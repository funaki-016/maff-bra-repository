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drawings/drawing6.xml" ContentType="application/vnd.openxmlformats-officedocument.drawing+xml"/>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drawings/drawing9.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drawings/drawing10.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drawings/drawing14.xml" ContentType="application/vnd.openxmlformats-officedocument.drawing+xml"/>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drawings/drawing15.xml" ContentType="application/vnd.openxmlformats-officedocument.drawing+xml"/>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drawings/drawing16.xml" ContentType="application/vnd.openxmlformats-officedocument.drawing+xml"/>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drawings/drawing17.xml" ContentType="application/vnd.openxmlformats-officedocument.drawing+xml"/>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drawings/drawing1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19.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drawings/drawing20.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726" codeName="{AE6600E7-7A62-396C-DE95-9942FA9DD81E}"/>
  <workbookPr codeName="ThisWorkbook"/>
  <mc:AlternateContent xmlns:mc="http://schemas.openxmlformats.org/markup-compatibility/2006">
    <mc:Choice Requires="x15">
      <x15ac:absPath xmlns:x15ac="http://schemas.microsoft.com/office/spreadsheetml/2010/11/ac" url="C:\Users\D8231\Desktop\64ビット対応修正対象\"/>
    </mc:Choice>
  </mc:AlternateContent>
  <xr:revisionPtr revIDLastSave="0" documentId="13_ncr:1_{85208E9E-3925-40F1-9745-943F0DE47F39}" xr6:coauthVersionLast="47" xr6:coauthVersionMax="47" xr10:uidLastSave="{00000000-0000-0000-0000-000000000000}"/>
  <bookViews>
    <workbookView xWindow="-120" yWindow="-16320" windowWidth="29040" windowHeight="15840" xr2:uid="{00000000-000D-0000-FFFF-FFFF00000000}"/>
  </bookViews>
  <sheets>
    <sheet name="指標部入力" sheetId="2" r:id="rId1"/>
    <sheet name="表紙_個別" sheetId="3" r:id="rId2"/>
    <sheet name="約束事項_そば" sheetId="4" r:id="rId3"/>
    <sheet name="目次_個別_米以外" sheetId="5" r:id="rId4"/>
    <sheet name="【１】経営の概況①_個別" sheetId="6" r:id="rId5"/>
    <sheet name="【１】経営の概況③_個別_なたね・そば" sheetId="7" r:id="rId6"/>
    <sheet name="【２】生産物の販売等の状況①_そば" sheetId="8" r:id="rId7"/>
    <sheet name="栽培の特徴" sheetId="9" r:id="rId8"/>
    <sheet name="【３】１種苗費_米以外" sheetId="10" r:id="rId9"/>
    <sheet name="【３】２肥料費_米以外" sheetId="11" r:id="rId10"/>
    <sheet name="【３】３農業薬剤費_米以外" sheetId="12" r:id="rId11"/>
    <sheet name="【３】４光熱動力費・５諸材料費_米以外" sheetId="13" r:id="rId12"/>
    <sheet name="【３】６賃借料及び料金_米以外" sheetId="14" r:id="rId13"/>
    <sheet name="【４】物件税及び公課諸負担_米以外" sheetId="15" r:id="rId14"/>
    <sheet name="【５】土地改良及び水利費・【６】借入金_米以外" sheetId="16" r:id="rId15"/>
    <sheet name="【７】建物及び構築物" sheetId="17" r:id="rId16"/>
    <sheet name="【８】自動車" sheetId="18" r:id="rId17"/>
    <sheet name="【９】農業機械" sheetId="19" r:id="rId18"/>
    <sheet name="減価償却費" sheetId="20" r:id="rId19"/>
    <sheet name="【10】農具の購入費等" sheetId="21" r:id="rId20"/>
    <sheet name="【11】土地_１所有地_米・さとうきび以外" sheetId="22" r:id="rId21"/>
    <sheet name="【11】土地_２借入地_米・さとうきび以外" sheetId="23" r:id="rId22"/>
    <sheet name="【12】作業別労働時間①_個別" sheetId="24" r:id="rId23"/>
    <sheet name="任意項目" sheetId="25" r:id="rId24"/>
    <sheet name="リスト" sheetId="26" state="hidden" r:id="rId25"/>
  </sheets>
  <functionGroups builtInGroupCount="19"/>
  <definedNames>
    <definedName name="[01]住宅">リスト!$AV$5:$AV$13</definedName>
    <definedName name="[01]電動機">リスト!$CF$20</definedName>
    <definedName name="[02]事務所">リスト!$AV$14:$AV$22</definedName>
    <definedName name="[02]発動機">リスト!$CF$21</definedName>
    <definedName name="[03]納屋・倉庫">リスト!$AV$23:$AV$31</definedName>
    <definedName name="[03]歩行用トラクター">リスト!$CF$22</definedName>
    <definedName name="[04]作業場">リスト!$AV$32:$AV$40</definedName>
    <definedName name="[04]乗用トラクター">リスト!$CF$5:$CF$7</definedName>
    <definedName name="[08]たい肥等散布機">リスト!$CF$23</definedName>
    <definedName name="[08]車庫">リスト!$AV$41:$AV$49</definedName>
    <definedName name="[09]肥料散布機">リスト!$CF$24</definedName>
    <definedName name="[1]貨物自動車">リスト!$BG$5:$BG$7</definedName>
    <definedName name="[10]総合は種機">リスト!$CF$25</definedName>
    <definedName name="[11]ライスセンター">リスト!$AV$50:$AV$58</definedName>
    <definedName name="[12]育苗ハウス">リスト!$AV$59:$AV$61</definedName>
    <definedName name="[12]電熱育苗機">リスト!$CF$26</definedName>
    <definedName name="[13]その他の建築物">リスト!$AV$62:$AV$70</definedName>
    <definedName name="[13]田植機">リスト!$CF$8:$CF$10</definedName>
    <definedName name="[14]移植機">リスト!$CF$27</definedName>
    <definedName name="[14]稲架">リスト!$AV$71:$AV$73</definedName>
    <definedName name="[15]コンクリートけい畔">リスト!$AV$74:$AV$75</definedName>
    <definedName name="[15]揚水ポンプ">リスト!$CF$28</definedName>
    <definedName name="[16]暗きょ排水施設">リスト!$AV$76:$AV$78</definedName>
    <definedName name="[16]中耕除草機">リスト!$CF$29</definedName>
    <definedName name="[17]客土">リスト!$AV$79</definedName>
    <definedName name="[17]動力噴霧機">リスト!$CF$30</definedName>
    <definedName name="[18]作業道">リスト!$AV$80</definedName>
    <definedName name="[18]動力散粉機">リスト!$CF$31</definedName>
    <definedName name="[19]バインダー">リスト!$CF$32</definedName>
    <definedName name="[19]用水路">リスト!$AV$81:$AV$82</definedName>
    <definedName name="[2]その他の自動車">リスト!$BG$8:$BG$10</definedName>
    <definedName name="[20]自脱型コンバイン">リスト!$CF$11:$CF$12</definedName>
    <definedName name="[21]普通型コンバイン">リスト!$CF$33</definedName>
    <definedName name="[22]そば収穫機">リスト!$CF$34</definedName>
    <definedName name="[23]大豆収穫機">リスト!$CF$35</definedName>
    <definedName name="[24]かんしょ収穫機">リスト!$CF$36</definedName>
    <definedName name="[25]たい肥盤">リスト!$AV$83:$AV$84</definedName>
    <definedName name="[25]ばれいしょ収穫機">リスト!$CF$37</definedName>
    <definedName name="[26]なたね収穫機">リスト!$CF$38</definedName>
    <definedName name="[27]てんさい収穫機">リスト!$CF$39</definedName>
    <definedName name="[28]さとうきび収穫機">リスト!$CF$40</definedName>
    <definedName name="[29]脱穀機">リスト!$CF$41</definedName>
    <definedName name="[30]きび脱葉機">リスト!$CF$42</definedName>
    <definedName name="[31]その他の構築物">リスト!$AV$85:$AV$91</definedName>
    <definedName name="[31]乾燥機">リスト!$CF$43</definedName>
    <definedName name="[32]もみすり機">リスト!$CF$44</definedName>
    <definedName name="[54]トレーラー">リスト!$CF$45</definedName>
    <definedName name="[56]その他の農機具">リスト!$CF$15:$CF$19</definedName>
    <definedName name="[57]パソコン">リスト!$CF$46</definedName>
    <definedName name="[58]その他の生産管理機器">リスト!$CF$47</definedName>
    <definedName name="調査年">指標部入力!$A$8</definedName>
    <definedName name="農機具種類">リスト!$BQ$5:$BQ$21</definedName>
    <definedName name="品種名称">リスト!$AD$5:$AD$19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18" i="17" l="1"/>
  <c r="Y19" i="17"/>
  <c r="Y20" i="17"/>
  <c r="Y21" i="17"/>
  <c r="Y22" i="17"/>
  <c r="Y23" i="17"/>
  <c r="Y24" i="17"/>
  <c r="Y25" i="17"/>
  <c r="Y26" i="17"/>
  <c r="Y27" i="17"/>
  <c r="Y28" i="17"/>
  <c r="Y29" i="17"/>
  <c r="Y30" i="17"/>
  <c r="Y31" i="17"/>
  <c r="Y32" i="17"/>
  <c r="Y33" i="17"/>
  <c r="Y34" i="17"/>
  <c r="Y35" i="17"/>
  <c r="Y36" i="17"/>
  <c r="Y37" i="17"/>
  <c r="Y38" i="17"/>
  <c r="Y39" i="17"/>
  <c r="Y40" i="17"/>
  <c r="Y41" i="17"/>
  <c r="Y42" i="17"/>
  <c r="Y43" i="17"/>
  <c r="Y44" i="17"/>
  <c r="Y45" i="17"/>
  <c r="Y46" i="17"/>
  <c r="Y47" i="17"/>
  <c r="Y48" i="17"/>
  <c r="Y49" i="17"/>
  <c r="Y50" i="17"/>
  <c r="Y51" i="17"/>
  <c r="Y52" i="17"/>
  <c r="Y53" i="17"/>
  <c r="Y54" i="17"/>
  <c r="Y55" i="17"/>
  <c r="Y56" i="17"/>
  <c r="Y57" i="17"/>
  <c r="Y58" i="17"/>
  <c r="Y59" i="17"/>
  <c r="Y60" i="17"/>
  <c r="Y61" i="17"/>
  <c r="Y62" i="17"/>
  <c r="Y63" i="17"/>
  <c r="Y64" i="17"/>
  <c r="Y65" i="17"/>
  <c r="Y66" i="17"/>
  <c r="Y67" i="17"/>
  <c r="Y68" i="17"/>
  <c r="Y69" i="17"/>
  <c r="Y70" i="17"/>
  <c r="Y71" i="17"/>
  <c r="Y72" i="17"/>
  <c r="Y73" i="17"/>
  <c r="Y74" i="17"/>
  <c r="Y75" i="17"/>
  <c r="Y76" i="17"/>
  <c r="Y77" i="17"/>
  <c r="Y78" i="17"/>
  <c r="Y79" i="17"/>
  <c r="Y80" i="17"/>
  <c r="Y81" i="17"/>
  <c r="Y82" i="17"/>
  <c r="Y83" i="17"/>
  <c r="Y84" i="17"/>
  <c r="Y85" i="17"/>
  <c r="Y86" i="17"/>
  <c r="Y87" i="17"/>
  <c r="Y88" i="17"/>
  <c r="Y89" i="17"/>
  <c r="Y90" i="17"/>
  <c r="Y91" i="17"/>
  <c r="Y92" i="17"/>
  <c r="Y93" i="17"/>
  <c r="Y94" i="17"/>
  <c r="Y95" i="17"/>
  <c r="Y96" i="17"/>
  <c r="Y97" i="17"/>
  <c r="Y98" i="17"/>
  <c r="Y99" i="17"/>
  <c r="Y100" i="17"/>
  <c r="Y101" i="17"/>
  <c r="Y102" i="17"/>
  <c r="Y103" i="17"/>
  <c r="Y104" i="17"/>
  <c r="Y105" i="17"/>
  <c r="Y106" i="17"/>
  <c r="Y107" i="17"/>
  <c r="Y108" i="17"/>
  <c r="Y109" i="17"/>
  <c r="Y110" i="17"/>
  <c r="Y111" i="17"/>
  <c r="Y112" i="17"/>
  <c r="Y113" i="17"/>
  <c r="Y114" i="17"/>
  <c r="Y115" i="17"/>
  <c r="Y17" i="17"/>
  <c r="Y16" i="17"/>
  <c r="CX77" i="26"/>
  <c r="CX76" i="26"/>
  <c r="CX64" i="26"/>
  <c r="CX63" i="26"/>
  <c r="CX54" i="26"/>
  <c r="CX53" i="26"/>
  <c r="CX44" i="26"/>
  <c r="CX43" i="26"/>
  <c r="CX34" i="26"/>
  <c r="CX33" i="26"/>
  <c r="CX24" i="26"/>
  <c r="CX23" i="26"/>
  <c r="CX14" i="26"/>
  <c r="CX13" i="26"/>
  <c r="CX72" i="26" l="1"/>
  <c r="CX59" i="26"/>
  <c r="CX49" i="26"/>
  <c r="CX38" i="26"/>
  <c r="CX29" i="26"/>
  <c r="CX19" i="26"/>
  <c r="CX9" i="26" l="1"/>
  <c r="CX75" i="26" l="1"/>
  <c r="CX74" i="26"/>
  <c r="CX73" i="26"/>
  <c r="CX62" i="26"/>
  <c r="CX61" i="26"/>
  <c r="CX60" i="26"/>
  <c r="CX52" i="26"/>
  <c r="CX51" i="26"/>
  <c r="CX50" i="26"/>
  <c r="CX42" i="26"/>
  <c r="CX41" i="26"/>
  <c r="CX40" i="26"/>
  <c r="CX32" i="26"/>
  <c r="CX31" i="26"/>
  <c r="CX30" i="26"/>
  <c r="CX10" i="26"/>
  <c r="CX22" i="26"/>
  <c r="CX21" i="26"/>
  <c r="CX20" i="26"/>
  <c r="CX12" i="26"/>
  <c r="CX11" i="26"/>
  <c r="AT18" i="18" l="1"/>
  <c r="AS18" i="18"/>
  <c r="AV18" i="18"/>
  <c r="AW17" i="19" l="1"/>
  <c r="AX17" i="19"/>
  <c r="AX116" i="19"/>
  <c r="AW116" i="19"/>
  <c r="AX115" i="19"/>
  <c r="AW115" i="19"/>
  <c r="AX114" i="19"/>
  <c r="AW114" i="19"/>
  <c r="AX113" i="19"/>
  <c r="AW113" i="19"/>
  <c r="AX112" i="19"/>
  <c r="AW112" i="19"/>
  <c r="AX111" i="19"/>
  <c r="AW111" i="19"/>
  <c r="AX110" i="19"/>
  <c r="AW110" i="19"/>
  <c r="AX109" i="19"/>
  <c r="AW109" i="19"/>
  <c r="AX108" i="19"/>
  <c r="AW108" i="19"/>
  <c r="AX107" i="19"/>
  <c r="AW107" i="19"/>
  <c r="AX106" i="19"/>
  <c r="AW106" i="19"/>
  <c r="AX105" i="19"/>
  <c r="AW105" i="19"/>
  <c r="AX104" i="19"/>
  <c r="AW104" i="19"/>
  <c r="AX103" i="19"/>
  <c r="AW103" i="19"/>
  <c r="AX102" i="19"/>
  <c r="AW102" i="19"/>
  <c r="AX101" i="19"/>
  <c r="AW101" i="19"/>
  <c r="AX100" i="19"/>
  <c r="AW100" i="19"/>
  <c r="AX99" i="19"/>
  <c r="AW99" i="19"/>
  <c r="AX98" i="19"/>
  <c r="AW98" i="19"/>
  <c r="AX97" i="19"/>
  <c r="AW97" i="19"/>
  <c r="AX96" i="19"/>
  <c r="AW96" i="19"/>
  <c r="AX95" i="19"/>
  <c r="AW95" i="19"/>
  <c r="AX94" i="19"/>
  <c r="AW94" i="19"/>
  <c r="AX93" i="19"/>
  <c r="AW93" i="19"/>
  <c r="AX92" i="19"/>
  <c r="AW92" i="19"/>
  <c r="AX91" i="19"/>
  <c r="AW91" i="19"/>
  <c r="AX90" i="19"/>
  <c r="AW90" i="19"/>
  <c r="AX89" i="19"/>
  <c r="AW89" i="19"/>
  <c r="AX88" i="19"/>
  <c r="AW88" i="19"/>
  <c r="AX87" i="19"/>
  <c r="AW87" i="19"/>
  <c r="AX86" i="19"/>
  <c r="AW86" i="19"/>
  <c r="AX85" i="19"/>
  <c r="AW85" i="19"/>
  <c r="AX84" i="19"/>
  <c r="AW84" i="19"/>
  <c r="AX83" i="19"/>
  <c r="AW83" i="19"/>
  <c r="AX82" i="19"/>
  <c r="AW82" i="19"/>
  <c r="AX81" i="19"/>
  <c r="AW81" i="19"/>
  <c r="AX80" i="19"/>
  <c r="AW80" i="19"/>
  <c r="AX79" i="19"/>
  <c r="AW79" i="19"/>
  <c r="AX78" i="19"/>
  <c r="AW78" i="19"/>
  <c r="AX77" i="19"/>
  <c r="AW77" i="19"/>
  <c r="AX76" i="19"/>
  <c r="AW76" i="19"/>
  <c r="AX75" i="19"/>
  <c r="AW75" i="19"/>
  <c r="AX74" i="19"/>
  <c r="AW74" i="19"/>
  <c r="AX73" i="19"/>
  <c r="AW73" i="19"/>
  <c r="AX72" i="19"/>
  <c r="AW72" i="19"/>
  <c r="AX71" i="19"/>
  <c r="AW71" i="19"/>
  <c r="AX70" i="19"/>
  <c r="AW70" i="19"/>
  <c r="AX69" i="19"/>
  <c r="AW69" i="19"/>
  <c r="AX68" i="19"/>
  <c r="AW68" i="19"/>
  <c r="AX67" i="19"/>
  <c r="AW67" i="19"/>
  <c r="AX66" i="19"/>
  <c r="AW66" i="19"/>
  <c r="AX65" i="19"/>
  <c r="AW65" i="19"/>
  <c r="AX64" i="19"/>
  <c r="AW64" i="19"/>
  <c r="AX63" i="19"/>
  <c r="AW63" i="19"/>
  <c r="AX62" i="19"/>
  <c r="AW62" i="19"/>
  <c r="AX61" i="19"/>
  <c r="AW61" i="19"/>
  <c r="AX60" i="19"/>
  <c r="AW60" i="19"/>
  <c r="AX59" i="19"/>
  <c r="AW59" i="19"/>
  <c r="AX58" i="19"/>
  <c r="AW58" i="19"/>
  <c r="AX57" i="19"/>
  <c r="AW57" i="19"/>
  <c r="AX56" i="19"/>
  <c r="AW56" i="19"/>
  <c r="AX55" i="19"/>
  <c r="AW55" i="19"/>
  <c r="AX54" i="19"/>
  <c r="AW54" i="19"/>
  <c r="AX53" i="19"/>
  <c r="AW53" i="19"/>
  <c r="AX52" i="19"/>
  <c r="AW52" i="19"/>
  <c r="AX51" i="19"/>
  <c r="AW51" i="19"/>
  <c r="AX50" i="19"/>
  <c r="AW50" i="19"/>
  <c r="AX49" i="19"/>
  <c r="AW49" i="19"/>
  <c r="AX48" i="19"/>
  <c r="AW48" i="19"/>
  <c r="AX47" i="19"/>
  <c r="AW47" i="19"/>
  <c r="AX46" i="19"/>
  <c r="AW46" i="19"/>
  <c r="AX45" i="19"/>
  <c r="AW45" i="19"/>
  <c r="AX44" i="19"/>
  <c r="AW44" i="19"/>
  <c r="AX43" i="19"/>
  <c r="AW43" i="19"/>
  <c r="AX42" i="19"/>
  <c r="AW42" i="19"/>
  <c r="AX41" i="19"/>
  <c r="AW41" i="19"/>
  <c r="AX40" i="19"/>
  <c r="AW40" i="19"/>
  <c r="AX39" i="19"/>
  <c r="AW39" i="19"/>
  <c r="AX38" i="19"/>
  <c r="AW38" i="19"/>
  <c r="AX37" i="19"/>
  <c r="AW37" i="19"/>
  <c r="AX36" i="19"/>
  <c r="AW36" i="19"/>
  <c r="AX35" i="19"/>
  <c r="AW35" i="19"/>
  <c r="AX34" i="19"/>
  <c r="AW34" i="19"/>
  <c r="AX33" i="19"/>
  <c r="AW33" i="19"/>
  <c r="AX32" i="19"/>
  <c r="AW32" i="19"/>
  <c r="AX31" i="19"/>
  <c r="AW31" i="19"/>
  <c r="AX30" i="19"/>
  <c r="AW30" i="19"/>
  <c r="AX29" i="19"/>
  <c r="AW29" i="19"/>
  <c r="AX28" i="19"/>
  <c r="AW28" i="19"/>
  <c r="AX27" i="19"/>
  <c r="AW27" i="19"/>
  <c r="AX26" i="19"/>
  <c r="AW26" i="19"/>
  <c r="AX25" i="19"/>
  <c r="AW25" i="19"/>
  <c r="AX24" i="19"/>
  <c r="AW24" i="19"/>
  <c r="AX23" i="19"/>
  <c r="AW23" i="19"/>
  <c r="AX22" i="19"/>
  <c r="AW22" i="19"/>
  <c r="AX21" i="19"/>
  <c r="AW21" i="19"/>
  <c r="AX20" i="19"/>
  <c r="AW20" i="19"/>
  <c r="AX19" i="19"/>
  <c r="AW19" i="19"/>
  <c r="AX18" i="19"/>
  <c r="AW18" i="19"/>
  <c r="AS20" i="18"/>
  <c r="AT20" i="18"/>
  <c r="AS21" i="18"/>
  <c r="AT21" i="18"/>
  <c r="AS22" i="18"/>
  <c r="AT22" i="18"/>
  <c r="AS23" i="18"/>
  <c r="AT23" i="18"/>
  <c r="AS24" i="18"/>
  <c r="AT24" i="18"/>
  <c r="AS25" i="18"/>
  <c r="AT25" i="18"/>
  <c r="AS26" i="18"/>
  <c r="AT26" i="18"/>
  <c r="AS27" i="18"/>
  <c r="AT27" i="18"/>
  <c r="AS28" i="18"/>
  <c r="AT28" i="18"/>
  <c r="AS29" i="18"/>
  <c r="AT29" i="18"/>
  <c r="AS30" i="18"/>
  <c r="AT30" i="18"/>
  <c r="AS31" i="18"/>
  <c r="AT31" i="18"/>
  <c r="AS32" i="18"/>
  <c r="AT32" i="18"/>
  <c r="AS33" i="18"/>
  <c r="AT33" i="18"/>
  <c r="AS34" i="18"/>
  <c r="AT34" i="18"/>
  <c r="AS35" i="18"/>
  <c r="AT35" i="18"/>
  <c r="AS36" i="18"/>
  <c r="AT36" i="18"/>
  <c r="AS37" i="18"/>
  <c r="AT37" i="18"/>
  <c r="AS38" i="18"/>
  <c r="AT38" i="18"/>
  <c r="AS39" i="18"/>
  <c r="AT39" i="18"/>
  <c r="AS40" i="18"/>
  <c r="AT40" i="18"/>
  <c r="AS41" i="18"/>
  <c r="AT41" i="18"/>
  <c r="AS42" i="18"/>
  <c r="AT42" i="18"/>
  <c r="AS43" i="18"/>
  <c r="AT43" i="18"/>
  <c r="AS44" i="18"/>
  <c r="AT44" i="18"/>
  <c r="AS45" i="18"/>
  <c r="AT45" i="18"/>
  <c r="AS46" i="18"/>
  <c r="AT46" i="18"/>
  <c r="AS47" i="18"/>
  <c r="AT47" i="18"/>
  <c r="AS48" i="18"/>
  <c r="AT48" i="18"/>
  <c r="AS49" i="18"/>
  <c r="AT49" i="18"/>
  <c r="AS50" i="18"/>
  <c r="AT50" i="18"/>
  <c r="AS51" i="18"/>
  <c r="AT51" i="18"/>
  <c r="AS52" i="18"/>
  <c r="AT52" i="18"/>
  <c r="AS53" i="18"/>
  <c r="AT53" i="18"/>
  <c r="AS54" i="18"/>
  <c r="AT54" i="18"/>
  <c r="AS55" i="18"/>
  <c r="AT55" i="18"/>
  <c r="AS56" i="18"/>
  <c r="AT56" i="18"/>
  <c r="AS57" i="18"/>
  <c r="AT57" i="18"/>
  <c r="AS58" i="18"/>
  <c r="AT58" i="18"/>
  <c r="AS59" i="18"/>
  <c r="AT59" i="18"/>
  <c r="AS60" i="18"/>
  <c r="AT60" i="18"/>
  <c r="AS61" i="18"/>
  <c r="AT61" i="18"/>
  <c r="AS62" i="18"/>
  <c r="AT62" i="18"/>
  <c r="AS63" i="18"/>
  <c r="AT63" i="18"/>
  <c r="AS64" i="18"/>
  <c r="AT64" i="18"/>
  <c r="AS65" i="18"/>
  <c r="AT65" i="18"/>
  <c r="AS66" i="18"/>
  <c r="AT66" i="18"/>
  <c r="AS67" i="18"/>
  <c r="AT67" i="18"/>
  <c r="AS68" i="18"/>
  <c r="AT68" i="18"/>
  <c r="AS69" i="18"/>
  <c r="AT69" i="18"/>
  <c r="AS70" i="18"/>
  <c r="AT70" i="18"/>
  <c r="AS71" i="18"/>
  <c r="AT71" i="18"/>
  <c r="AS72" i="18"/>
  <c r="AT72" i="18"/>
  <c r="AS73" i="18"/>
  <c r="AT73" i="18"/>
  <c r="AS74" i="18"/>
  <c r="AT74" i="18"/>
  <c r="AS75" i="18"/>
  <c r="AT75" i="18"/>
  <c r="AS76" i="18"/>
  <c r="AT76" i="18"/>
  <c r="AS77" i="18"/>
  <c r="AT77" i="18"/>
  <c r="AS78" i="18"/>
  <c r="AT78" i="18"/>
  <c r="AS79" i="18"/>
  <c r="AT79" i="18"/>
  <c r="AS80" i="18"/>
  <c r="AT80" i="18"/>
  <c r="AS81" i="18"/>
  <c r="AT81" i="18"/>
  <c r="AS82" i="18"/>
  <c r="AT82" i="18"/>
  <c r="AS83" i="18"/>
  <c r="AT83" i="18"/>
  <c r="AS84" i="18"/>
  <c r="AT84" i="18"/>
  <c r="AS85" i="18"/>
  <c r="AT85" i="18"/>
  <c r="AS86" i="18"/>
  <c r="AT86" i="18"/>
  <c r="AS87" i="18"/>
  <c r="AT87" i="18"/>
  <c r="AS88" i="18"/>
  <c r="AT88" i="18"/>
  <c r="AS89" i="18"/>
  <c r="AT89" i="18"/>
  <c r="AS90" i="18"/>
  <c r="AT90" i="18"/>
  <c r="AS91" i="18"/>
  <c r="AT91" i="18"/>
  <c r="AS92" i="18"/>
  <c r="AT92" i="18"/>
  <c r="AS93" i="18"/>
  <c r="AT93" i="18"/>
  <c r="AS94" i="18"/>
  <c r="AT94" i="18"/>
  <c r="AS95" i="18"/>
  <c r="AT95" i="18"/>
  <c r="AS96" i="18"/>
  <c r="AT96" i="18"/>
  <c r="AS97" i="18"/>
  <c r="AT97" i="18"/>
  <c r="AS98" i="18"/>
  <c r="AT98" i="18"/>
  <c r="AS99" i="18"/>
  <c r="AT99" i="18"/>
  <c r="AS100" i="18"/>
  <c r="AT100" i="18"/>
  <c r="AS101" i="18"/>
  <c r="AT101" i="18"/>
  <c r="AS102" i="18"/>
  <c r="AT102" i="18"/>
  <c r="AS103" i="18"/>
  <c r="AT103" i="18"/>
  <c r="AS104" i="18"/>
  <c r="AT104" i="18"/>
  <c r="AS105" i="18"/>
  <c r="AT105" i="18"/>
  <c r="AS106" i="18"/>
  <c r="AT106" i="18"/>
  <c r="AS107" i="18"/>
  <c r="AT107" i="18"/>
  <c r="AS108" i="18"/>
  <c r="AT108" i="18"/>
  <c r="AS109" i="18"/>
  <c r="AT109" i="18"/>
  <c r="AS110" i="18"/>
  <c r="AT110" i="18"/>
  <c r="AS111" i="18"/>
  <c r="AT111" i="18"/>
  <c r="AS112" i="18"/>
  <c r="AT112" i="18"/>
  <c r="AS113" i="18"/>
  <c r="AT113" i="18"/>
  <c r="AS114" i="18"/>
  <c r="AT114" i="18"/>
  <c r="AS115" i="18"/>
  <c r="AT115" i="18"/>
  <c r="AS116" i="18"/>
  <c r="AT116" i="18"/>
  <c r="AS117" i="18"/>
  <c r="AT117" i="18"/>
  <c r="AS19" i="18"/>
  <c r="AT19" i="18"/>
  <c r="Z18" i="17"/>
  <c r="Z19" i="17"/>
  <c r="Z20" i="17"/>
  <c r="Z21" i="17"/>
  <c r="AA21" i="17"/>
  <c r="Z22" i="17"/>
  <c r="Z23" i="17"/>
  <c r="Z24" i="17"/>
  <c r="AA24" i="17"/>
  <c r="Z25" i="17"/>
  <c r="Z26" i="17"/>
  <c r="AA26" i="17"/>
  <c r="Z27" i="17"/>
  <c r="Z28" i="17"/>
  <c r="Z29" i="17"/>
  <c r="Z30" i="17"/>
  <c r="AA30" i="17"/>
  <c r="Z17" i="17"/>
  <c r="AA17" i="17" l="1"/>
  <c r="AA28" i="17"/>
  <c r="AA19" i="17"/>
  <c r="AA27" i="17"/>
  <c r="AA18" i="17"/>
  <c r="AA25" i="17"/>
  <c r="AA22" i="17"/>
  <c r="AA29" i="17"/>
  <c r="AA23" i="17"/>
  <c r="AA20" i="17"/>
  <c r="AX14" i="19"/>
  <c r="AW14" i="19"/>
  <c r="CX98" i="26"/>
  <c r="CX97" i="26"/>
  <c r="CX96" i="26"/>
  <c r="CX95" i="26"/>
  <c r="CX94" i="26"/>
  <c r="CX93" i="26"/>
  <c r="CX92" i="26"/>
  <c r="CX91" i="26"/>
  <c r="CX90" i="26"/>
  <c r="CX89" i="26"/>
  <c r="CX88" i="26"/>
  <c r="CX87" i="26"/>
  <c r="CX86" i="26"/>
  <c r="CX85" i="26"/>
  <c r="CX84" i="26"/>
  <c r="CX83" i="26"/>
  <c r="CX82" i="26"/>
  <c r="CX81" i="26"/>
  <c r="CX80" i="26"/>
  <c r="CX79" i="26"/>
  <c r="CX78" i="26"/>
  <c r="CX71" i="26"/>
  <c r="CX70" i="26"/>
  <c r="CX69" i="26"/>
  <c r="CX68" i="26"/>
  <c r="CX67" i="26"/>
  <c r="CX66" i="26"/>
  <c r="DH47" i="26"/>
  <c r="CX65" i="26"/>
  <c r="DH46" i="26"/>
  <c r="DH45" i="26"/>
  <c r="DH44" i="26"/>
  <c r="DH43" i="26"/>
  <c r="CX58" i="26"/>
  <c r="DH42" i="26"/>
  <c r="CX57" i="26"/>
  <c r="DH41" i="26"/>
  <c r="CX56" i="26"/>
  <c r="DH40" i="26"/>
  <c r="CX55" i="26"/>
  <c r="DH39" i="26"/>
  <c r="DH38" i="26"/>
  <c r="DH37" i="26"/>
  <c r="DH36" i="26"/>
  <c r="CX48" i="26"/>
  <c r="DH35" i="26"/>
  <c r="CX47" i="26"/>
  <c r="DH34" i="26"/>
  <c r="CX46" i="26"/>
  <c r="DH33" i="26"/>
  <c r="CX45" i="26"/>
  <c r="DH32" i="26"/>
  <c r="DH31" i="26"/>
  <c r="DH30" i="26"/>
  <c r="DH29" i="26"/>
  <c r="CX39" i="26"/>
  <c r="DH28" i="26"/>
  <c r="CX37" i="26"/>
  <c r="DH27" i="26"/>
  <c r="CX36" i="26"/>
  <c r="DH26" i="26"/>
  <c r="CX35" i="26"/>
  <c r="DH25" i="26"/>
  <c r="DH24" i="26"/>
  <c r="DH23" i="26"/>
  <c r="DH22" i="26"/>
  <c r="CX28" i="26"/>
  <c r="DH21" i="26"/>
  <c r="CX27" i="26"/>
  <c r="DH20" i="26"/>
  <c r="CX26" i="26"/>
  <c r="DH19" i="26"/>
  <c r="CX25" i="26"/>
  <c r="C19" i="26"/>
  <c r="C23" i="26" s="1"/>
  <c r="DH18" i="26"/>
  <c r="DH17" i="26"/>
  <c r="DH16" i="26"/>
  <c r="DH15" i="26"/>
  <c r="CX18" i="26"/>
  <c r="DH14" i="26"/>
  <c r="CX17" i="26"/>
  <c r="DH13" i="26"/>
  <c r="CX16" i="26"/>
  <c r="DH12" i="26"/>
  <c r="CX15" i="26"/>
  <c r="DH11" i="26"/>
  <c r="DH10" i="26"/>
  <c r="DH9" i="26"/>
  <c r="DH8" i="26"/>
  <c r="CX8" i="26"/>
  <c r="DH7" i="26"/>
  <c r="CX7" i="26"/>
  <c r="DH6" i="26"/>
  <c r="CX6" i="26"/>
  <c r="DH5" i="26"/>
  <c r="CX5" i="26"/>
  <c r="BO51" i="24"/>
  <c r="BO54" i="24" s="1"/>
  <c r="BN51" i="24"/>
  <c r="BN54" i="24" s="1"/>
  <c r="BM51" i="24"/>
  <c r="BM54" i="24" s="1"/>
  <c r="BL51" i="24"/>
  <c r="BL54" i="24" s="1"/>
  <c r="BH51" i="24"/>
  <c r="BH54" i="24" s="1"/>
  <c r="BG51" i="24"/>
  <c r="BG54" i="24" s="1"/>
  <c r="BF51" i="24"/>
  <c r="BF54" i="24" s="1"/>
  <c r="BE51" i="24"/>
  <c r="BO50" i="24"/>
  <c r="BO53" i="24" s="1"/>
  <c r="BN50" i="24"/>
  <c r="BN52" i="24" s="1"/>
  <c r="BM50" i="24"/>
  <c r="BL50" i="24"/>
  <c r="BH50" i="24"/>
  <c r="BH52" i="24" s="1"/>
  <c r="BG50" i="24"/>
  <c r="BG53" i="24" s="1"/>
  <c r="BG55" i="24" s="1"/>
  <c r="BF50" i="24"/>
  <c r="BF52" i="24" s="1"/>
  <c r="BE50" i="24"/>
  <c r="BE52" i="24" s="1"/>
  <c r="BL40" i="24"/>
  <c r="BL43" i="24" s="1"/>
  <c r="BK40" i="24"/>
  <c r="BK43" i="24" s="1"/>
  <c r="BJ40" i="24"/>
  <c r="BJ43" i="24" s="1"/>
  <c r="BI40" i="24"/>
  <c r="BI43" i="24" s="1"/>
  <c r="BG40" i="24"/>
  <c r="BF40" i="24"/>
  <c r="BF43" i="24" s="1"/>
  <c r="BE40" i="24"/>
  <c r="BE43" i="24" s="1"/>
  <c r="BD40" i="24"/>
  <c r="BL39" i="24"/>
  <c r="BL41" i="24" s="1"/>
  <c r="BK39" i="24"/>
  <c r="BJ39" i="24"/>
  <c r="BJ41" i="24" s="1"/>
  <c r="BI39" i="24"/>
  <c r="BI42" i="24" s="1"/>
  <c r="BI44" i="24" s="1"/>
  <c r="BG39" i="24"/>
  <c r="BG41" i="24" s="1"/>
  <c r="BF39" i="24"/>
  <c r="BF41" i="24" s="1"/>
  <c r="BE39" i="24"/>
  <c r="BE42" i="24" s="1"/>
  <c r="BE44" i="24" s="1"/>
  <c r="BD39" i="24"/>
  <c r="BD41" i="24" s="1"/>
  <c r="BK31" i="24"/>
  <c r="BJ31" i="24"/>
  <c r="BK51" i="24" s="1"/>
  <c r="BH31" i="24"/>
  <c r="BG31" i="24"/>
  <c r="BE31" i="24"/>
  <c r="BD31" i="24"/>
  <c r="BE30" i="24"/>
  <c r="BD30" i="24"/>
  <c r="BF30" i="24" s="1"/>
  <c r="BK29" i="24"/>
  <c r="BJ29" i="24"/>
  <c r="BH29" i="24"/>
  <c r="BG29" i="24"/>
  <c r="BE29" i="24"/>
  <c r="BD29" i="24"/>
  <c r="BK28" i="24"/>
  <c r="BJ28" i="24"/>
  <c r="BH28" i="24"/>
  <c r="BG28" i="24"/>
  <c r="BE28" i="24"/>
  <c r="BD28" i="24"/>
  <c r="BK27" i="24"/>
  <c r="BJ27" i="24"/>
  <c r="BH27" i="24"/>
  <c r="BG27" i="24"/>
  <c r="BE27" i="24"/>
  <c r="BD27" i="24"/>
  <c r="BK26" i="24"/>
  <c r="BJ26" i="24"/>
  <c r="BH26" i="24"/>
  <c r="BG26" i="24"/>
  <c r="BE26" i="24"/>
  <c r="BD26" i="24"/>
  <c r="BK25" i="24"/>
  <c r="BJ25" i="24"/>
  <c r="BH25" i="24"/>
  <c r="BG25" i="24"/>
  <c r="BE25" i="24"/>
  <c r="BD25" i="24"/>
  <c r="BK24" i="24"/>
  <c r="BJ24" i="24"/>
  <c r="BH24" i="24"/>
  <c r="BG24" i="24"/>
  <c r="BE24" i="24"/>
  <c r="BD24" i="24"/>
  <c r="BK23" i="24"/>
  <c r="BJ23" i="24"/>
  <c r="BH23" i="24"/>
  <c r="BG23" i="24"/>
  <c r="BE23" i="24"/>
  <c r="BD23" i="24"/>
  <c r="BK22" i="24"/>
  <c r="BJ22" i="24"/>
  <c r="BH22" i="24"/>
  <c r="BG22" i="24"/>
  <c r="BE22" i="24"/>
  <c r="BD22" i="24"/>
  <c r="BK21" i="24"/>
  <c r="BJ21" i="24"/>
  <c r="BH21" i="24"/>
  <c r="BG21" i="24"/>
  <c r="BE21" i="24"/>
  <c r="BD21" i="24"/>
  <c r="BK20" i="24"/>
  <c r="BJ20" i="24"/>
  <c r="BH20" i="24"/>
  <c r="BG20" i="24"/>
  <c r="BE20" i="24"/>
  <c r="BD20" i="24"/>
  <c r="BK19" i="24"/>
  <c r="BJ19" i="24"/>
  <c r="BH19" i="24"/>
  <c r="BG19" i="24"/>
  <c r="BE19" i="24"/>
  <c r="BD19" i="24"/>
  <c r="BK18" i="24"/>
  <c r="BJ18" i="24"/>
  <c r="BH18" i="24"/>
  <c r="BG18" i="24"/>
  <c r="BE18" i="24"/>
  <c r="BD18" i="24"/>
  <c r="BK17" i="24"/>
  <c r="BJ17" i="24"/>
  <c r="BH17" i="24"/>
  <c r="BG17" i="24"/>
  <c r="BE17" i="24"/>
  <c r="BD17" i="24"/>
  <c r="BK16" i="24"/>
  <c r="BJ16" i="24"/>
  <c r="BH16" i="24"/>
  <c r="BG16" i="24"/>
  <c r="BE16" i="24"/>
  <c r="BD16" i="24"/>
  <c r="BK15" i="24"/>
  <c r="BJ15" i="24"/>
  <c r="BH15" i="24"/>
  <c r="BG15" i="24"/>
  <c r="BE15" i="24"/>
  <c r="BD15" i="24"/>
  <c r="O240" i="23"/>
  <c r="P240" i="23" s="1"/>
  <c r="N240" i="23"/>
  <c r="M240" i="23"/>
  <c r="O239" i="23"/>
  <c r="P239" i="23" s="1"/>
  <c r="N239" i="23"/>
  <c r="M239" i="23"/>
  <c r="O238" i="23"/>
  <c r="P238" i="23" s="1"/>
  <c r="N238" i="23"/>
  <c r="M238" i="23"/>
  <c r="O237" i="23"/>
  <c r="P237" i="23" s="1"/>
  <c r="N237" i="23"/>
  <c r="M237" i="23"/>
  <c r="O236" i="23"/>
  <c r="P236" i="23" s="1"/>
  <c r="N236" i="23"/>
  <c r="M236" i="23"/>
  <c r="O235" i="23"/>
  <c r="P235" i="23" s="1"/>
  <c r="N235" i="23"/>
  <c r="M235" i="23"/>
  <c r="O234" i="23"/>
  <c r="P234" i="23" s="1"/>
  <c r="N234" i="23"/>
  <c r="M234" i="23"/>
  <c r="O233" i="23"/>
  <c r="P233" i="23" s="1"/>
  <c r="N233" i="23"/>
  <c r="M233" i="23"/>
  <c r="O232" i="23"/>
  <c r="P232" i="23" s="1"/>
  <c r="N232" i="23"/>
  <c r="M232" i="23"/>
  <c r="O231" i="23"/>
  <c r="P231" i="23" s="1"/>
  <c r="N231" i="23"/>
  <c r="M231" i="23"/>
  <c r="O230" i="23"/>
  <c r="P230" i="23" s="1"/>
  <c r="N230" i="23"/>
  <c r="M230" i="23"/>
  <c r="O229" i="23"/>
  <c r="P229" i="23" s="1"/>
  <c r="N229" i="23"/>
  <c r="M229" i="23"/>
  <c r="O228" i="23"/>
  <c r="P228" i="23" s="1"/>
  <c r="N228" i="23"/>
  <c r="M228" i="23"/>
  <c r="O227" i="23"/>
  <c r="P227" i="23" s="1"/>
  <c r="N227" i="23"/>
  <c r="M227" i="23"/>
  <c r="O226" i="23"/>
  <c r="P226" i="23" s="1"/>
  <c r="N226" i="23"/>
  <c r="M226" i="23"/>
  <c r="O225" i="23"/>
  <c r="P225" i="23" s="1"/>
  <c r="N225" i="23"/>
  <c r="M225" i="23"/>
  <c r="O224" i="23"/>
  <c r="P224" i="23" s="1"/>
  <c r="N224" i="23"/>
  <c r="M224" i="23"/>
  <c r="O223" i="23"/>
  <c r="P223" i="23" s="1"/>
  <c r="N223" i="23"/>
  <c r="M223" i="23"/>
  <c r="O222" i="23"/>
  <c r="P222" i="23" s="1"/>
  <c r="N222" i="23"/>
  <c r="M222" i="23"/>
  <c r="O221" i="23"/>
  <c r="P221" i="23" s="1"/>
  <c r="N221" i="23"/>
  <c r="M221" i="23"/>
  <c r="O220" i="23"/>
  <c r="P220" i="23" s="1"/>
  <c r="N220" i="23"/>
  <c r="M220" i="23"/>
  <c r="O219" i="23"/>
  <c r="P219" i="23" s="1"/>
  <c r="N219" i="23"/>
  <c r="M219" i="23"/>
  <c r="O218" i="23"/>
  <c r="P218" i="23" s="1"/>
  <c r="N218" i="23"/>
  <c r="M218" i="23"/>
  <c r="O217" i="23"/>
  <c r="P217" i="23" s="1"/>
  <c r="N217" i="23"/>
  <c r="M217" i="23"/>
  <c r="O216" i="23"/>
  <c r="P216" i="23" s="1"/>
  <c r="N216" i="23"/>
  <c r="M216" i="23"/>
  <c r="O215" i="23"/>
  <c r="P215" i="23" s="1"/>
  <c r="N215" i="23"/>
  <c r="M215" i="23"/>
  <c r="O214" i="23"/>
  <c r="P214" i="23" s="1"/>
  <c r="N214" i="23"/>
  <c r="M214" i="23"/>
  <c r="O213" i="23"/>
  <c r="P213" i="23" s="1"/>
  <c r="N213" i="23"/>
  <c r="M213" i="23"/>
  <c r="O212" i="23"/>
  <c r="P212" i="23" s="1"/>
  <c r="N212" i="23"/>
  <c r="M212" i="23"/>
  <c r="O211" i="23"/>
  <c r="P211" i="23" s="1"/>
  <c r="N211" i="23"/>
  <c r="M211" i="23"/>
  <c r="O210" i="23"/>
  <c r="P210" i="23" s="1"/>
  <c r="N210" i="23"/>
  <c r="M210" i="23"/>
  <c r="O209" i="23"/>
  <c r="P209" i="23" s="1"/>
  <c r="N209" i="23"/>
  <c r="M209" i="23"/>
  <c r="O208" i="23"/>
  <c r="P208" i="23" s="1"/>
  <c r="N208" i="23"/>
  <c r="M208" i="23"/>
  <c r="O207" i="23"/>
  <c r="P207" i="23" s="1"/>
  <c r="N207" i="23"/>
  <c r="M207" i="23"/>
  <c r="O206" i="23"/>
  <c r="P206" i="23" s="1"/>
  <c r="N206" i="23"/>
  <c r="M206" i="23"/>
  <c r="O205" i="23"/>
  <c r="P205" i="23" s="1"/>
  <c r="N205" i="23"/>
  <c r="M205" i="23"/>
  <c r="O204" i="23"/>
  <c r="P204" i="23" s="1"/>
  <c r="N204" i="23"/>
  <c r="M204" i="23"/>
  <c r="O203" i="23"/>
  <c r="P203" i="23" s="1"/>
  <c r="N203" i="23"/>
  <c r="M203" i="23"/>
  <c r="O202" i="23"/>
  <c r="P202" i="23" s="1"/>
  <c r="N202" i="23"/>
  <c r="M202" i="23"/>
  <c r="O201" i="23"/>
  <c r="P201" i="23" s="1"/>
  <c r="N201" i="23"/>
  <c r="M201" i="23"/>
  <c r="O200" i="23"/>
  <c r="P200" i="23" s="1"/>
  <c r="N200" i="23"/>
  <c r="M200" i="23"/>
  <c r="O199" i="23"/>
  <c r="P199" i="23" s="1"/>
  <c r="N199" i="23"/>
  <c r="M199" i="23"/>
  <c r="O198" i="23"/>
  <c r="P198" i="23" s="1"/>
  <c r="N198" i="23"/>
  <c r="M198" i="23"/>
  <c r="O197" i="23"/>
  <c r="P197" i="23" s="1"/>
  <c r="N197" i="23"/>
  <c r="M197" i="23"/>
  <c r="O196" i="23"/>
  <c r="P196" i="23" s="1"/>
  <c r="N196" i="23"/>
  <c r="M196" i="23"/>
  <c r="O195" i="23"/>
  <c r="P195" i="23" s="1"/>
  <c r="N195" i="23"/>
  <c r="M195" i="23"/>
  <c r="O194" i="23"/>
  <c r="P194" i="23" s="1"/>
  <c r="N194" i="23"/>
  <c r="M194" i="23"/>
  <c r="O193" i="23"/>
  <c r="P193" i="23" s="1"/>
  <c r="N193" i="23"/>
  <c r="M193" i="23"/>
  <c r="O192" i="23"/>
  <c r="P192" i="23" s="1"/>
  <c r="N192" i="23"/>
  <c r="M192" i="23"/>
  <c r="O191" i="23"/>
  <c r="P191" i="23" s="1"/>
  <c r="N191" i="23"/>
  <c r="M191" i="23"/>
  <c r="O174" i="23"/>
  <c r="P174" i="23" s="1"/>
  <c r="N174" i="23"/>
  <c r="M174" i="23"/>
  <c r="O173" i="23"/>
  <c r="P173" i="23" s="1"/>
  <c r="N173" i="23"/>
  <c r="M173" i="23"/>
  <c r="O172" i="23"/>
  <c r="P172" i="23" s="1"/>
  <c r="N172" i="23"/>
  <c r="M172" i="23"/>
  <c r="O171" i="23"/>
  <c r="P171" i="23" s="1"/>
  <c r="N171" i="23"/>
  <c r="M171" i="23"/>
  <c r="O170" i="23"/>
  <c r="P170" i="23" s="1"/>
  <c r="N170" i="23"/>
  <c r="M170" i="23"/>
  <c r="O169" i="23"/>
  <c r="P169" i="23" s="1"/>
  <c r="N169" i="23"/>
  <c r="M169" i="23"/>
  <c r="O168" i="23"/>
  <c r="P168" i="23" s="1"/>
  <c r="N168" i="23"/>
  <c r="M168" i="23"/>
  <c r="O167" i="23"/>
  <c r="P167" i="23" s="1"/>
  <c r="N167" i="23"/>
  <c r="M167" i="23"/>
  <c r="O166" i="23"/>
  <c r="P166" i="23" s="1"/>
  <c r="N166" i="23"/>
  <c r="M166" i="23"/>
  <c r="O165" i="23"/>
  <c r="P165" i="23" s="1"/>
  <c r="N165" i="23"/>
  <c r="M165" i="23"/>
  <c r="O164" i="23"/>
  <c r="P164" i="23" s="1"/>
  <c r="N164" i="23"/>
  <c r="M164" i="23"/>
  <c r="O163" i="23"/>
  <c r="P163" i="23" s="1"/>
  <c r="N163" i="23"/>
  <c r="M163" i="23"/>
  <c r="O162" i="23"/>
  <c r="P162" i="23" s="1"/>
  <c r="N162" i="23"/>
  <c r="M162" i="23"/>
  <c r="O161" i="23"/>
  <c r="P161" i="23" s="1"/>
  <c r="N161" i="23"/>
  <c r="M161" i="23"/>
  <c r="O160" i="23"/>
  <c r="P160" i="23" s="1"/>
  <c r="N160" i="23"/>
  <c r="M160" i="23"/>
  <c r="O159" i="23"/>
  <c r="P159" i="23" s="1"/>
  <c r="N159" i="23"/>
  <c r="M159" i="23"/>
  <c r="O158" i="23"/>
  <c r="P158" i="23" s="1"/>
  <c r="N158" i="23"/>
  <c r="M158" i="23"/>
  <c r="O157" i="23"/>
  <c r="P157" i="23" s="1"/>
  <c r="N157" i="23"/>
  <c r="M157" i="23"/>
  <c r="O156" i="23"/>
  <c r="P156" i="23" s="1"/>
  <c r="N156" i="23"/>
  <c r="M156" i="23"/>
  <c r="O155" i="23"/>
  <c r="P155" i="23" s="1"/>
  <c r="N155" i="23"/>
  <c r="M155" i="23"/>
  <c r="O154" i="23"/>
  <c r="P154" i="23" s="1"/>
  <c r="N154" i="23"/>
  <c r="M154" i="23"/>
  <c r="O153" i="23"/>
  <c r="P153" i="23" s="1"/>
  <c r="N153" i="23"/>
  <c r="M153" i="23"/>
  <c r="O152" i="23"/>
  <c r="P152" i="23" s="1"/>
  <c r="N152" i="23"/>
  <c r="M152" i="23"/>
  <c r="O151" i="23"/>
  <c r="P151" i="23" s="1"/>
  <c r="N151" i="23"/>
  <c r="M151" i="23"/>
  <c r="O150" i="23"/>
  <c r="P150" i="23" s="1"/>
  <c r="N150" i="23"/>
  <c r="M150" i="23"/>
  <c r="O149" i="23"/>
  <c r="P149" i="23" s="1"/>
  <c r="N149" i="23"/>
  <c r="M149" i="23"/>
  <c r="O148" i="23"/>
  <c r="P148" i="23" s="1"/>
  <c r="N148" i="23"/>
  <c r="M148" i="23"/>
  <c r="O147" i="23"/>
  <c r="P147" i="23" s="1"/>
  <c r="N147" i="23"/>
  <c r="M147" i="23"/>
  <c r="O146" i="23"/>
  <c r="P146" i="23" s="1"/>
  <c r="N146" i="23"/>
  <c r="M146" i="23"/>
  <c r="O145" i="23"/>
  <c r="P145" i="23" s="1"/>
  <c r="N145" i="23"/>
  <c r="M145" i="23"/>
  <c r="O144" i="23"/>
  <c r="P144" i="23" s="1"/>
  <c r="N144" i="23"/>
  <c r="M144" i="23"/>
  <c r="O143" i="23"/>
  <c r="P143" i="23" s="1"/>
  <c r="N143" i="23"/>
  <c r="M143" i="23"/>
  <c r="O142" i="23"/>
  <c r="P142" i="23" s="1"/>
  <c r="N142" i="23"/>
  <c r="M142" i="23"/>
  <c r="O141" i="23"/>
  <c r="P141" i="23" s="1"/>
  <c r="N141" i="23"/>
  <c r="M141" i="23"/>
  <c r="O140" i="23"/>
  <c r="P140" i="23" s="1"/>
  <c r="N140" i="23"/>
  <c r="M140" i="23"/>
  <c r="O139" i="23"/>
  <c r="P139" i="23" s="1"/>
  <c r="N139" i="23"/>
  <c r="M139" i="23"/>
  <c r="O138" i="23"/>
  <c r="P138" i="23" s="1"/>
  <c r="N138" i="23"/>
  <c r="M138" i="23"/>
  <c r="O137" i="23"/>
  <c r="P137" i="23" s="1"/>
  <c r="N137" i="23"/>
  <c r="M137" i="23"/>
  <c r="O136" i="23"/>
  <c r="P136" i="23" s="1"/>
  <c r="N136" i="23"/>
  <c r="M136" i="23"/>
  <c r="O135" i="23"/>
  <c r="P135" i="23" s="1"/>
  <c r="N135" i="23"/>
  <c r="M135" i="23"/>
  <c r="O134" i="23"/>
  <c r="P134" i="23" s="1"/>
  <c r="N134" i="23"/>
  <c r="M134" i="23"/>
  <c r="O133" i="23"/>
  <c r="P133" i="23" s="1"/>
  <c r="N133" i="23"/>
  <c r="M133" i="23"/>
  <c r="O132" i="23"/>
  <c r="P132" i="23" s="1"/>
  <c r="N132" i="23"/>
  <c r="M132" i="23"/>
  <c r="O131" i="23"/>
  <c r="P131" i="23" s="1"/>
  <c r="N131" i="23"/>
  <c r="M131" i="23"/>
  <c r="O130" i="23"/>
  <c r="P130" i="23" s="1"/>
  <c r="N130" i="23"/>
  <c r="M130" i="23"/>
  <c r="O129" i="23"/>
  <c r="P129" i="23" s="1"/>
  <c r="N129" i="23"/>
  <c r="M129" i="23"/>
  <c r="O128" i="23"/>
  <c r="P128" i="23" s="1"/>
  <c r="N128" i="23"/>
  <c r="M128" i="23"/>
  <c r="O127" i="23"/>
  <c r="P127" i="23" s="1"/>
  <c r="N127" i="23"/>
  <c r="M127" i="23"/>
  <c r="O126" i="23"/>
  <c r="P126" i="23" s="1"/>
  <c r="N126" i="23"/>
  <c r="M126" i="23"/>
  <c r="O125" i="23"/>
  <c r="P125" i="23" s="1"/>
  <c r="N125" i="23"/>
  <c r="M125" i="23"/>
  <c r="O124" i="23"/>
  <c r="P124" i="23" s="1"/>
  <c r="N124" i="23"/>
  <c r="M124" i="23"/>
  <c r="O123" i="23"/>
  <c r="P123" i="23" s="1"/>
  <c r="N123" i="23"/>
  <c r="M123" i="23"/>
  <c r="O122" i="23"/>
  <c r="P122" i="23" s="1"/>
  <c r="N122" i="23"/>
  <c r="M122" i="23"/>
  <c r="O121" i="23"/>
  <c r="P121" i="23" s="1"/>
  <c r="N121" i="23"/>
  <c r="M121" i="23"/>
  <c r="O120" i="23"/>
  <c r="P120" i="23" s="1"/>
  <c r="N120" i="23"/>
  <c r="M120" i="23"/>
  <c r="O119" i="23"/>
  <c r="P119" i="23" s="1"/>
  <c r="N119" i="23"/>
  <c r="M119" i="23"/>
  <c r="O118" i="23"/>
  <c r="P118" i="23" s="1"/>
  <c r="N118" i="23"/>
  <c r="M118" i="23"/>
  <c r="O117" i="23"/>
  <c r="P117" i="23" s="1"/>
  <c r="N117" i="23"/>
  <c r="M117" i="23"/>
  <c r="O116" i="23"/>
  <c r="P116" i="23" s="1"/>
  <c r="N116" i="23"/>
  <c r="M116" i="23"/>
  <c r="O115" i="23"/>
  <c r="P115" i="23" s="1"/>
  <c r="N115" i="23"/>
  <c r="M115" i="23"/>
  <c r="O114" i="23"/>
  <c r="P114" i="23" s="1"/>
  <c r="N114" i="23"/>
  <c r="M114" i="23"/>
  <c r="O113" i="23"/>
  <c r="P113" i="23" s="1"/>
  <c r="N113" i="23"/>
  <c r="M113" i="23"/>
  <c r="O112" i="23"/>
  <c r="P112" i="23" s="1"/>
  <c r="N112" i="23"/>
  <c r="M112" i="23"/>
  <c r="O111" i="23"/>
  <c r="P111" i="23" s="1"/>
  <c r="N111" i="23"/>
  <c r="M111" i="23"/>
  <c r="O110" i="23"/>
  <c r="P110" i="23" s="1"/>
  <c r="N110" i="23"/>
  <c r="M110" i="23"/>
  <c r="O109" i="23"/>
  <c r="P109" i="23" s="1"/>
  <c r="N109" i="23"/>
  <c r="M109" i="23"/>
  <c r="O108" i="23"/>
  <c r="P108" i="23" s="1"/>
  <c r="N108" i="23"/>
  <c r="M108" i="23"/>
  <c r="O107" i="23"/>
  <c r="P107" i="23" s="1"/>
  <c r="N107" i="23"/>
  <c r="M107" i="23"/>
  <c r="O106" i="23"/>
  <c r="P106" i="23" s="1"/>
  <c r="N106" i="23"/>
  <c r="M106" i="23"/>
  <c r="O105" i="23"/>
  <c r="P105" i="23" s="1"/>
  <c r="N105" i="23"/>
  <c r="M105" i="23"/>
  <c r="O104" i="23"/>
  <c r="P104" i="23" s="1"/>
  <c r="N104" i="23"/>
  <c r="M104" i="23"/>
  <c r="O103" i="23"/>
  <c r="P103" i="23" s="1"/>
  <c r="N103" i="23"/>
  <c r="M103" i="23"/>
  <c r="O102" i="23"/>
  <c r="P102" i="23" s="1"/>
  <c r="N102" i="23"/>
  <c r="M102" i="23"/>
  <c r="O101" i="23"/>
  <c r="P101" i="23" s="1"/>
  <c r="N101" i="23"/>
  <c r="M101" i="23"/>
  <c r="O100" i="23"/>
  <c r="P100" i="23" s="1"/>
  <c r="N100" i="23"/>
  <c r="M100" i="23"/>
  <c r="O99" i="23"/>
  <c r="P99" i="23" s="1"/>
  <c r="N99" i="23"/>
  <c r="M99" i="23"/>
  <c r="O98" i="23"/>
  <c r="P98" i="23" s="1"/>
  <c r="N98" i="23"/>
  <c r="M98" i="23"/>
  <c r="O97" i="23"/>
  <c r="P97" i="23" s="1"/>
  <c r="N97" i="23"/>
  <c r="M97" i="23"/>
  <c r="O96" i="23"/>
  <c r="P96" i="23" s="1"/>
  <c r="N96" i="23"/>
  <c r="M96" i="23"/>
  <c r="O95" i="23"/>
  <c r="P95" i="23" s="1"/>
  <c r="N95" i="23"/>
  <c r="M95" i="23"/>
  <c r="O94" i="23"/>
  <c r="P94" i="23" s="1"/>
  <c r="N94" i="23"/>
  <c r="M94" i="23"/>
  <c r="O93" i="23"/>
  <c r="P93" i="23" s="1"/>
  <c r="N93" i="23"/>
  <c r="M93" i="23"/>
  <c r="O92" i="23"/>
  <c r="P92" i="23" s="1"/>
  <c r="N92" i="23"/>
  <c r="M92" i="23"/>
  <c r="O91" i="23"/>
  <c r="P91" i="23" s="1"/>
  <c r="N91" i="23"/>
  <c r="M91" i="23"/>
  <c r="O90" i="23"/>
  <c r="P90" i="23" s="1"/>
  <c r="N90" i="23"/>
  <c r="M90" i="23"/>
  <c r="O89" i="23"/>
  <c r="P89" i="23" s="1"/>
  <c r="N89" i="23"/>
  <c r="M89" i="23"/>
  <c r="O88" i="23"/>
  <c r="P88" i="23" s="1"/>
  <c r="N88" i="23"/>
  <c r="M88" i="23"/>
  <c r="O87" i="23"/>
  <c r="P87" i="23" s="1"/>
  <c r="N87" i="23"/>
  <c r="M87" i="23"/>
  <c r="O86" i="23"/>
  <c r="P86" i="23" s="1"/>
  <c r="N86" i="23"/>
  <c r="M86" i="23"/>
  <c r="O85" i="23"/>
  <c r="P85" i="23" s="1"/>
  <c r="N85" i="23"/>
  <c r="M85" i="23"/>
  <c r="O84" i="23"/>
  <c r="P84" i="23" s="1"/>
  <c r="N84" i="23"/>
  <c r="M84" i="23"/>
  <c r="O83" i="23"/>
  <c r="P83" i="23" s="1"/>
  <c r="N83" i="23"/>
  <c r="M83" i="23"/>
  <c r="O82" i="23"/>
  <c r="P82" i="23" s="1"/>
  <c r="N82" i="23"/>
  <c r="M82" i="23"/>
  <c r="O81" i="23"/>
  <c r="P81" i="23" s="1"/>
  <c r="N81" i="23"/>
  <c r="M81" i="23"/>
  <c r="O80" i="23"/>
  <c r="P80" i="23" s="1"/>
  <c r="N80" i="23"/>
  <c r="M80" i="23"/>
  <c r="O79" i="23"/>
  <c r="P79" i="23" s="1"/>
  <c r="N79" i="23"/>
  <c r="M79" i="23"/>
  <c r="O78" i="23"/>
  <c r="P78" i="23" s="1"/>
  <c r="N78" i="23"/>
  <c r="M78" i="23"/>
  <c r="O77" i="23"/>
  <c r="P77" i="23" s="1"/>
  <c r="N77" i="23"/>
  <c r="M77" i="23"/>
  <c r="O76" i="23"/>
  <c r="P76" i="23" s="1"/>
  <c r="N76" i="23"/>
  <c r="M76" i="23"/>
  <c r="O75" i="23"/>
  <c r="P75" i="23" s="1"/>
  <c r="N75" i="23"/>
  <c r="M75" i="23"/>
  <c r="O74" i="23"/>
  <c r="P74" i="23" s="1"/>
  <c r="N74" i="23"/>
  <c r="M74" i="23"/>
  <c r="O73" i="23"/>
  <c r="P73" i="23" s="1"/>
  <c r="N73" i="23"/>
  <c r="M73" i="23"/>
  <c r="O72" i="23"/>
  <c r="P72" i="23" s="1"/>
  <c r="N72" i="23"/>
  <c r="M72" i="23"/>
  <c r="O71" i="23"/>
  <c r="P71" i="23" s="1"/>
  <c r="N71" i="23"/>
  <c r="M71" i="23"/>
  <c r="O70" i="23"/>
  <c r="P70" i="23" s="1"/>
  <c r="N70" i="23"/>
  <c r="M70" i="23"/>
  <c r="O69" i="23"/>
  <c r="P69" i="23" s="1"/>
  <c r="N69" i="23"/>
  <c r="M69" i="23"/>
  <c r="O68" i="23"/>
  <c r="P68" i="23" s="1"/>
  <c r="N68" i="23"/>
  <c r="M68" i="23"/>
  <c r="O67" i="23"/>
  <c r="P67" i="23" s="1"/>
  <c r="N67" i="23"/>
  <c r="M67" i="23"/>
  <c r="O66" i="23"/>
  <c r="P66" i="23" s="1"/>
  <c r="N66" i="23"/>
  <c r="M66" i="23"/>
  <c r="O65" i="23"/>
  <c r="P65" i="23" s="1"/>
  <c r="N65" i="23"/>
  <c r="M65" i="23"/>
  <c r="O64" i="23"/>
  <c r="P64" i="23" s="1"/>
  <c r="N64" i="23"/>
  <c r="M64" i="23"/>
  <c r="O63" i="23"/>
  <c r="P63" i="23" s="1"/>
  <c r="N63" i="23"/>
  <c r="M63" i="23"/>
  <c r="O62" i="23"/>
  <c r="P62" i="23" s="1"/>
  <c r="N62" i="23"/>
  <c r="M62" i="23"/>
  <c r="O61" i="23"/>
  <c r="P61" i="23" s="1"/>
  <c r="N61" i="23"/>
  <c r="M61" i="23"/>
  <c r="O60" i="23"/>
  <c r="P60" i="23" s="1"/>
  <c r="N60" i="23"/>
  <c r="M60" i="23"/>
  <c r="O59" i="23"/>
  <c r="P59" i="23" s="1"/>
  <c r="N59" i="23"/>
  <c r="M59" i="23"/>
  <c r="O58" i="23"/>
  <c r="P58" i="23" s="1"/>
  <c r="N58" i="23"/>
  <c r="M58" i="23"/>
  <c r="O57" i="23"/>
  <c r="P57" i="23" s="1"/>
  <c r="N57" i="23"/>
  <c r="M57" i="23"/>
  <c r="O56" i="23"/>
  <c r="P56" i="23" s="1"/>
  <c r="N56" i="23"/>
  <c r="M56" i="23"/>
  <c r="O55" i="23"/>
  <c r="P55" i="23" s="1"/>
  <c r="N55" i="23"/>
  <c r="M55" i="23"/>
  <c r="O54" i="23"/>
  <c r="P54" i="23" s="1"/>
  <c r="N54" i="23"/>
  <c r="M54" i="23"/>
  <c r="O53" i="23"/>
  <c r="P53" i="23" s="1"/>
  <c r="N53" i="23"/>
  <c r="M53" i="23"/>
  <c r="O52" i="23"/>
  <c r="P52" i="23" s="1"/>
  <c r="N52" i="23"/>
  <c r="M52" i="23"/>
  <c r="O51" i="23"/>
  <c r="P51" i="23" s="1"/>
  <c r="N51" i="23"/>
  <c r="M51" i="23"/>
  <c r="O50" i="23"/>
  <c r="P50" i="23" s="1"/>
  <c r="N50" i="23"/>
  <c r="M50" i="23"/>
  <c r="O49" i="23"/>
  <c r="P49" i="23" s="1"/>
  <c r="N49" i="23"/>
  <c r="M49" i="23"/>
  <c r="O48" i="23"/>
  <c r="P48" i="23" s="1"/>
  <c r="N48" i="23"/>
  <c r="M48" i="23"/>
  <c r="O47" i="23"/>
  <c r="P47" i="23" s="1"/>
  <c r="N47" i="23"/>
  <c r="M47" i="23"/>
  <c r="O46" i="23"/>
  <c r="P46" i="23" s="1"/>
  <c r="N46" i="23"/>
  <c r="M46" i="23"/>
  <c r="O45" i="23"/>
  <c r="P45" i="23" s="1"/>
  <c r="N45" i="23"/>
  <c r="M45" i="23"/>
  <c r="O44" i="23"/>
  <c r="P44" i="23" s="1"/>
  <c r="N44" i="23"/>
  <c r="M44" i="23"/>
  <c r="O43" i="23"/>
  <c r="P43" i="23" s="1"/>
  <c r="N43" i="23"/>
  <c r="M43" i="23"/>
  <c r="O42" i="23"/>
  <c r="P42" i="23" s="1"/>
  <c r="N42" i="23"/>
  <c r="M42" i="23"/>
  <c r="O41" i="23"/>
  <c r="P41" i="23" s="1"/>
  <c r="N41" i="23"/>
  <c r="M41" i="23"/>
  <c r="O40" i="23"/>
  <c r="P40" i="23" s="1"/>
  <c r="N40" i="23"/>
  <c r="M40" i="23"/>
  <c r="O39" i="23"/>
  <c r="P39" i="23" s="1"/>
  <c r="N39" i="23"/>
  <c r="M39" i="23"/>
  <c r="O38" i="23"/>
  <c r="P38" i="23" s="1"/>
  <c r="N38" i="23"/>
  <c r="M38" i="23"/>
  <c r="O37" i="23"/>
  <c r="P37" i="23" s="1"/>
  <c r="N37" i="23"/>
  <c r="M37" i="23"/>
  <c r="O36" i="23"/>
  <c r="P36" i="23" s="1"/>
  <c r="N36" i="23"/>
  <c r="M36" i="23"/>
  <c r="O35" i="23"/>
  <c r="P35" i="23" s="1"/>
  <c r="N35" i="23"/>
  <c r="M35" i="23"/>
  <c r="O34" i="23"/>
  <c r="P34" i="23" s="1"/>
  <c r="N34" i="23"/>
  <c r="M34" i="23"/>
  <c r="O33" i="23"/>
  <c r="P33" i="23" s="1"/>
  <c r="N33" i="23"/>
  <c r="M33" i="23"/>
  <c r="O32" i="23"/>
  <c r="P32" i="23" s="1"/>
  <c r="N32" i="23"/>
  <c r="M32" i="23"/>
  <c r="O31" i="23"/>
  <c r="P31" i="23" s="1"/>
  <c r="N31" i="23"/>
  <c r="M31" i="23"/>
  <c r="O30" i="23"/>
  <c r="P30" i="23" s="1"/>
  <c r="N30" i="23"/>
  <c r="M30" i="23"/>
  <c r="O29" i="23"/>
  <c r="P29" i="23" s="1"/>
  <c r="N29" i="23"/>
  <c r="M29" i="23"/>
  <c r="O28" i="23"/>
  <c r="P28" i="23" s="1"/>
  <c r="N28" i="23"/>
  <c r="M28" i="23"/>
  <c r="O27" i="23"/>
  <c r="P27" i="23" s="1"/>
  <c r="N27" i="23"/>
  <c r="M27" i="23"/>
  <c r="O26" i="23"/>
  <c r="P26" i="23" s="1"/>
  <c r="N26" i="23"/>
  <c r="M26" i="23"/>
  <c r="O25" i="23"/>
  <c r="P25" i="23" s="1"/>
  <c r="N25" i="23"/>
  <c r="M25" i="23"/>
  <c r="M242" i="22"/>
  <c r="L242" i="22"/>
  <c r="O242" i="22" s="1"/>
  <c r="P242" i="22" s="1"/>
  <c r="M241" i="22"/>
  <c r="L241" i="22"/>
  <c r="O241" i="22" s="1"/>
  <c r="P241" i="22" s="1"/>
  <c r="M240" i="22"/>
  <c r="L240" i="22"/>
  <c r="O240" i="22" s="1"/>
  <c r="P240" i="22" s="1"/>
  <c r="M239" i="22"/>
  <c r="L239" i="22"/>
  <c r="O239" i="22" s="1"/>
  <c r="P239" i="22" s="1"/>
  <c r="M238" i="22"/>
  <c r="L238" i="22"/>
  <c r="O238" i="22" s="1"/>
  <c r="P238" i="22" s="1"/>
  <c r="M237" i="22"/>
  <c r="L237" i="22"/>
  <c r="O237" i="22" s="1"/>
  <c r="P237" i="22" s="1"/>
  <c r="M236" i="22"/>
  <c r="L236" i="22"/>
  <c r="O236" i="22" s="1"/>
  <c r="P236" i="22" s="1"/>
  <c r="M235" i="22"/>
  <c r="L235" i="22"/>
  <c r="O235" i="22" s="1"/>
  <c r="P235" i="22" s="1"/>
  <c r="M234" i="22"/>
  <c r="L234" i="22"/>
  <c r="O234" i="22" s="1"/>
  <c r="P234" i="22" s="1"/>
  <c r="M233" i="22"/>
  <c r="L233" i="22"/>
  <c r="O233" i="22" s="1"/>
  <c r="P233" i="22" s="1"/>
  <c r="M232" i="22"/>
  <c r="L232" i="22"/>
  <c r="O232" i="22" s="1"/>
  <c r="P232" i="22" s="1"/>
  <c r="M231" i="22"/>
  <c r="L231" i="22"/>
  <c r="O231" i="22" s="1"/>
  <c r="P231" i="22" s="1"/>
  <c r="M230" i="22"/>
  <c r="L230" i="22"/>
  <c r="O230" i="22" s="1"/>
  <c r="P230" i="22" s="1"/>
  <c r="M229" i="22"/>
  <c r="L229" i="22"/>
  <c r="O229" i="22" s="1"/>
  <c r="P229" i="22" s="1"/>
  <c r="M228" i="22"/>
  <c r="L228" i="22"/>
  <c r="O228" i="22" s="1"/>
  <c r="P228" i="22" s="1"/>
  <c r="M227" i="22"/>
  <c r="L227" i="22"/>
  <c r="O227" i="22" s="1"/>
  <c r="P227" i="22" s="1"/>
  <c r="M226" i="22"/>
  <c r="L226" i="22"/>
  <c r="O226" i="22" s="1"/>
  <c r="P226" i="22" s="1"/>
  <c r="M225" i="22"/>
  <c r="L225" i="22"/>
  <c r="O225" i="22" s="1"/>
  <c r="P225" i="22" s="1"/>
  <c r="M224" i="22"/>
  <c r="L224" i="22"/>
  <c r="O224" i="22" s="1"/>
  <c r="P224" i="22" s="1"/>
  <c r="M223" i="22"/>
  <c r="L223" i="22"/>
  <c r="O223" i="22" s="1"/>
  <c r="P223" i="22" s="1"/>
  <c r="M222" i="22"/>
  <c r="L222" i="22"/>
  <c r="O222" i="22" s="1"/>
  <c r="P222" i="22" s="1"/>
  <c r="M221" i="22"/>
  <c r="L221" i="22"/>
  <c r="O221" i="22" s="1"/>
  <c r="P221" i="22" s="1"/>
  <c r="M220" i="22"/>
  <c r="L220" i="22"/>
  <c r="O220" i="22" s="1"/>
  <c r="P220" i="22" s="1"/>
  <c r="M219" i="22"/>
  <c r="L219" i="22"/>
  <c r="O219" i="22" s="1"/>
  <c r="P219" i="22" s="1"/>
  <c r="M218" i="22"/>
  <c r="L218" i="22"/>
  <c r="O218" i="22" s="1"/>
  <c r="P218" i="22" s="1"/>
  <c r="M217" i="22"/>
  <c r="L217" i="22"/>
  <c r="O217" i="22" s="1"/>
  <c r="P217" i="22" s="1"/>
  <c r="M216" i="22"/>
  <c r="L216" i="22"/>
  <c r="O216" i="22" s="1"/>
  <c r="P216" i="22" s="1"/>
  <c r="M215" i="22"/>
  <c r="L215" i="22"/>
  <c r="O215" i="22" s="1"/>
  <c r="P215" i="22" s="1"/>
  <c r="M214" i="22"/>
  <c r="L214" i="22"/>
  <c r="O214" i="22" s="1"/>
  <c r="P214" i="22" s="1"/>
  <c r="M213" i="22"/>
  <c r="L213" i="22"/>
  <c r="O213" i="22" s="1"/>
  <c r="P213" i="22" s="1"/>
  <c r="M212" i="22"/>
  <c r="L212" i="22"/>
  <c r="O212" i="22" s="1"/>
  <c r="P212" i="22" s="1"/>
  <c r="M211" i="22"/>
  <c r="L211" i="22"/>
  <c r="O211" i="22" s="1"/>
  <c r="P211" i="22" s="1"/>
  <c r="M210" i="22"/>
  <c r="L210" i="22"/>
  <c r="O210" i="22" s="1"/>
  <c r="P210" i="22" s="1"/>
  <c r="M209" i="22"/>
  <c r="L209" i="22"/>
  <c r="O209" i="22" s="1"/>
  <c r="P209" i="22" s="1"/>
  <c r="M208" i="22"/>
  <c r="L208" i="22"/>
  <c r="O208" i="22" s="1"/>
  <c r="P208" i="22" s="1"/>
  <c r="M207" i="22"/>
  <c r="L207" i="22"/>
  <c r="O207" i="22" s="1"/>
  <c r="P207" i="22" s="1"/>
  <c r="M206" i="22"/>
  <c r="L206" i="22"/>
  <c r="O206" i="22" s="1"/>
  <c r="P206" i="22" s="1"/>
  <c r="M205" i="22"/>
  <c r="L205" i="22"/>
  <c r="O205" i="22" s="1"/>
  <c r="P205" i="22" s="1"/>
  <c r="M204" i="22"/>
  <c r="L204" i="22"/>
  <c r="O204" i="22" s="1"/>
  <c r="P204" i="22" s="1"/>
  <c r="M203" i="22"/>
  <c r="L203" i="22"/>
  <c r="O203" i="22" s="1"/>
  <c r="P203" i="22" s="1"/>
  <c r="M202" i="22"/>
  <c r="L202" i="22"/>
  <c r="O202" i="22" s="1"/>
  <c r="P202" i="22" s="1"/>
  <c r="M201" i="22"/>
  <c r="L201" i="22"/>
  <c r="O201" i="22" s="1"/>
  <c r="P201" i="22" s="1"/>
  <c r="M200" i="22"/>
  <c r="L200" i="22"/>
  <c r="O200" i="22" s="1"/>
  <c r="P200" i="22" s="1"/>
  <c r="M199" i="22"/>
  <c r="L199" i="22"/>
  <c r="O199" i="22" s="1"/>
  <c r="P199" i="22" s="1"/>
  <c r="M198" i="22"/>
  <c r="L198" i="22"/>
  <c r="O198" i="22" s="1"/>
  <c r="P198" i="22" s="1"/>
  <c r="M197" i="22"/>
  <c r="L197" i="22"/>
  <c r="O197" i="22" s="1"/>
  <c r="P197" i="22" s="1"/>
  <c r="M196" i="22"/>
  <c r="L196" i="22"/>
  <c r="O196" i="22" s="1"/>
  <c r="P196" i="22" s="1"/>
  <c r="M195" i="22"/>
  <c r="L195" i="22"/>
  <c r="O195" i="22" s="1"/>
  <c r="P195" i="22" s="1"/>
  <c r="M194" i="22"/>
  <c r="L194" i="22"/>
  <c r="O194" i="22" s="1"/>
  <c r="P194" i="22" s="1"/>
  <c r="M193" i="22"/>
  <c r="L193" i="22"/>
  <c r="O193" i="22" s="1"/>
  <c r="P193" i="22" s="1"/>
  <c r="M176" i="22"/>
  <c r="L176" i="22"/>
  <c r="O176" i="22" s="1"/>
  <c r="P176" i="22" s="1"/>
  <c r="M175" i="22"/>
  <c r="L175" i="22"/>
  <c r="O175" i="22" s="1"/>
  <c r="P175" i="22" s="1"/>
  <c r="M174" i="22"/>
  <c r="L174" i="22"/>
  <c r="O174" i="22" s="1"/>
  <c r="P174" i="22" s="1"/>
  <c r="M173" i="22"/>
  <c r="L173" i="22"/>
  <c r="O173" i="22" s="1"/>
  <c r="P173" i="22" s="1"/>
  <c r="M172" i="22"/>
  <c r="L172" i="22"/>
  <c r="O172" i="22" s="1"/>
  <c r="P172" i="22" s="1"/>
  <c r="M171" i="22"/>
  <c r="L171" i="22"/>
  <c r="O171" i="22" s="1"/>
  <c r="P171" i="22" s="1"/>
  <c r="M170" i="22"/>
  <c r="L170" i="22"/>
  <c r="O170" i="22" s="1"/>
  <c r="P170" i="22" s="1"/>
  <c r="M169" i="22"/>
  <c r="L169" i="22"/>
  <c r="O169" i="22" s="1"/>
  <c r="P169" i="22" s="1"/>
  <c r="M168" i="22"/>
  <c r="L168" i="22"/>
  <c r="O168" i="22" s="1"/>
  <c r="P168" i="22" s="1"/>
  <c r="M167" i="22"/>
  <c r="L167" i="22"/>
  <c r="O167" i="22" s="1"/>
  <c r="P167" i="22" s="1"/>
  <c r="M166" i="22"/>
  <c r="L166" i="22"/>
  <c r="O166" i="22" s="1"/>
  <c r="P166" i="22" s="1"/>
  <c r="M165" i="22"/>
  <c r="L165" i="22"/>
  <c r="O165" i="22" s="1"/>
  <c r="P165" i="22" s="1"/>
  <c r="M164" i="22"/>
  <c r="L164" i="22"/>
  <c r="O164" i="22" s="1"/>
  <c r="P164" i="22" s="1"/>
  <c r="M163" i="22"/>
  <c r="L163" i="22"/>
  <c r="O163" i="22" s="1"/>
  <c r="P163" i="22" s="1"/>
  <c r="M162" i="22"/>
  <c r="L162" i="22"/>
  <c r="O162" i="22" s="1"/>
  <c r="P162" i="22" s="1"/>
  <c r="M161" i="22"/>
  <c r="L161" i="22"/>
  <c r="O161" i="22" s="1"/>
  <c r="P161" i="22" s="1"/>
  <c r="M160" i="22"/>
  <c r="L160" i="22"/>
  <c r="O160" i="22" s="1"/>
  <c r="P160" i="22" s="1"/>
  <c r="M159" i="22"/>
  <c r="L159" i="22"/>
  <c r="O159" i="22" s="1"/>
  <c r="P159" i="22" s="1"/>
  <c r="M158" i="22"/>
  <c r="L158" i="22"/>
  <c r="O158" i="22" s="1"/>
  <c r="P158" i="22" s="1"/>
  <c r="M157" i="22"/>
  <c r="L157" i="22"/>
  <c r="O157" i="22" s="1"/>
  <c r="P157" i="22" s="1"/>
  <c r="M156" i="22"/>
  <c r="L156" i="22"/>
  <c r="O156" i="22" s="1"/>
  <c r="P156" i="22" s="1"/>
  <c r="M155" i="22"/>
  <c r="L155" i="22"/>
  <c r="O155" i="22" s="1"/>
  <c r="P155" i="22" s="1"/>
  <c r="M154" i="22"/>
  <c r="L154" i="22"/>
  <c r="O154" i="22" s="1"/>
  <c r="P154" i="22" s="1"/>
  <c r="M153" i="22"/>
  <c r="L153" i="22"/>
  <c r="O153" i="22" s="1"/>
  <c r="P153" i="22" s="1"/>
  <c r="M152" i="22"/>
  <c r="L152" i="22"/>
  <c r="O152" i="22" s="1"/>
  <c r="P152" i="22" s="1"/>
  <c r="M151" i="22"/>
  <c r="L151" i="22"/>
  <c r="O151" i="22" s="1"/>
  <c r="P151" i="22" s="1"/>
  <c r="M150" i="22"/>
  <c r="L150" i="22"/>
  <c r="O150" i="22" s="1"/>
  <c r="P150" i="22" s="1"/>
  <c r="M149" i="22"/>
  <c r="L149" i="22"/>
  <c r="O149" i="22" s="1"/>
  <c r="P149" i="22" s="1"/>
  <c r="M148" i="22"/>
  <c r="L148" i="22"/>
  <c r="O148" i="22" s="1"/>
  <c r="P148" i="22" s="1"/>
  <c r="M147" i="22"/>
  <c r="L147" i="22"/>
  <c r="O147" i="22" s="1"/>
  <c r="P147" i="22" s="1"/>
  <c r="M146" i="22"/>
  <c r="L146" i="22"/>
  <c r="O146" i="22" s="1"/>
  <c r="P146" i="22" s="1"/>
  <c r="M145" i="22"/>
  <c r="L145" i="22"/>
  <c r="O145" i="22" s="1"/>
  <c r="P145" i="22" s="1"/>
  <c r="M144" i="22"/>
  <c r="L144" i="22"/>
  <c r="O144" i="22" s="1"/>
  <c r="P144" i="22" s="1"/>
  <c r="M143" i="22"/>
  <c r="L143" i="22"/>
  <c r="O143" i="22" s="1"/>
  <c r="P143" i="22" s="1"/>
  <c r="M142" i="22"/>
  <c r="L142" i="22"/>
  <c r="O142" i="22" s="1"/>
  <c r="P142" i="22" s="1"/>
  <c r="M141" i="22"/>
  <c r="L141" i="22"/>
  <c r="O141" i="22" s="1"/>
  <c r="P141" i="22" s="1"/>
  <c r="M140" i="22"/>
  <c r="L140" i="22"/>
  <c r="O140" i="22" s="1"/>
  <c r="P140" i="22" s="1"/>
  <c r="M139" i="22"/>
  <c r="L139" i="22"/>
  <c r="O139" i="22" s="1"/>
  <c r="P139" i="22" s="1"/>
  <c r="M138" i="22"/>
  <c r="L138" i="22"/>
  <c r="O138" i="22" s="1"/>
  <c r="P138" i="22" s="1"/>
  <c r="M137" i="22"/>
  <c r="L137" i="22"/>
  <c r="O137" i="22" s="1"/>
  <c r="P137" i="22" s="1"/>
  <c r="M136" i="22"/>
  <c r="L136" i="22"/>
  <c r="O136" i="22" s="1"/>
  <c r="P136" i="22" s="1"/>
  <c r="M135" i="22"/>
  <c r="L135" i="22"/>
  <c r="O135" i="22" s="1"/>
  <c r="P135" i="22" s="1"/>
  <c r="M134" i="22"/>
  <c r="L134" i="22"/>
  <c r="O134" i="22" s="1"/>
  <c r="P134" i="22" s="1"/>
  <c r="M133" i="22"/>
  <c r="L133" i="22"/>
  <c r="O133" i="22" s="1"/>
  <c r="P133" i="22" s="1"/>
  <c r="M132" i="22"/>
  <c r="L132" i="22"/>
  <c r="O132" i="22" s="1"/>
  <c r="P132" i="22" s="1"/>
  <c r="M131" i="22"/>
  <c r="L131" i="22"/>
  <c r="O131" i="22" s="1"/>
  <c r="P131" i="22" s="1"/>
  <c r="M130" i="22"/>
  <c r="L130" i="22"/>
  <c r="O130" i="22" s="1"/>
  <c r="P130" i="22" s="1"/>
  <c r="M129" i="22"/>
  <c r="L129" i="22"/>
  <c r="O129" i="22" s="1"/>
  <c r="P129" i="22" s="1"/>
  <c r="M128" i="22"/>
  <c r="L128" i="22"/>
  <c r="O128" i="22" s="1"/>
  <c r="P128" i="22" s="1"/>
  <c r="M127" i="22"/>
  <c r="L127" i="22"/>
  <c r="O127" i="22" s="1"/>
  <c r="P127" i="22" s="1"/>
  <c r="M126" i="22"/>
  <c r="L126" i="22"/>
  <c r="O126" i="22" s="1"/>
  <c r="P126" i="22" s="1"/>
  <c r="M125" i="22"/>
  <c r="L125" i="22"/>
  <c r="O125" i="22" s="1"/>
  <c r="P125" i="22" s="1"/>
  <c r="M124" i="22"/>
  <c r="L124" i="22"/>
  <c r="O124" i="22" s="1"/>
  <c r="P124" i="22" s="1"/>
  <c r="M123" i="22"/>
  <c r="L123" i="22"/>
  <c r="O123" i="22" s="1"/>
  <c r="P123" i="22" s="1"/>
  <c r="M122" i="22"/>
  <c r="L122" i="22"/>
  <c r="O122" i="22" s="1"/>
  <c r="P122" i="22" s="1"/>
  <c r="M121" i="22"/>
  <c r="L121" i="22"/>
  <c r="O121" i="22" s="1"/>
  <c r="P121" i="22" s="1"/>
  <c r="M120" i="22"/>
  <c r="L120" i="22"/>
  <c r="O120" i="22" s="1"/>
  <c r="P120" i="22" s="1"/>
  <c r="M119" i="22"/>
  <c r="L119" i="22"/>
  <c r="O119" i="22" s="1"/>
  <c r="P119" i="22" s="1"/>
  <c r="M118" i="22"/>
  <c r="L118" i="22"/>
  <c r="O118" i="22" s="1"/>
  <c r="P118" i="22" s="1"/>
  <c r="M117" i="22"/>
  <c r="L117" i="22"/>
  <c r="O117" i="22" s="1"/>
  <c r="P117" i="22" s="1"/>
  <c r="M116" i="22"/>
  <c r="L116" i="22"/>
  <c r="O116" i="22" s="1"/>
  <c r="P116" i="22" s="1"/>
  <c r="M115" i="22"/>
  <c r="L115" i="22"/>
  <c r="O115" i="22" s="1"/>
  <c r="P115" i="22" s="1"/>
  <c r="M114" i="22"/>
  <c r="L114" i="22"/>
  <c r="O114" i="22" s="1"/>
  <c r="P114" i="22" s="1"/>
  <c r="M113" i="22"/>
  <c r="L113" i="22"/>
  <c r="O113" i="22" s="1"/>
  <c r="P113" i="22" s="1"/>
  <c r="M112" i="22"/>
  <c r="L112" i="22"/>
  <c r="O112" i="22" s="1"/>
  <c r="P112" i="22" s="1"/>
  <c r="M111" i="22"/>
  <c r="L111" i="22"/>
  <c r="O111" i="22" s="1"/>
  <c r="P111" i="22" s="1"/>
  <c r="M110" i="22"/>
  <c r="L110" i="22"/>
  <c r="O110" i="22" s="1"/>
  <c r="P110" i="22" s="1"/>
  <c r="M109" i="22"/>
  <c r="L109" i="22"/>
  <c r="O109" i="22" s="1"/>
  <c r="P109" i="22" s="1"/>
  <c r="M108" i="22"/>
  <c r="L108" i="22"/>
  <c r="O108" i="22" s="1"/>
  <c r="P108" i="22" s="1"/>
  <c r="M107" i="22"/>
  <c r="L107" i="22"/>
  <c r="O107" i="22" s="1"/>
  <c r="P107" i="22" s="1"/>
  <c r="M106" i="22"/>
  <c r="L106" i="22"/>
  <c r="O106" i="22" s="1"/>
  <c r="P106" i="22" s="1"/>
  <c r="M105" i="22"/>
  <c r="L105" i="22"/>
  <c r="O105" i="22" s="1"/>
  <c r="P105" i="22" s="1"/>
  <c r="M104" i="22"/>
  <c r="L104" i="22"/>
  <c r="O104" i="22" s="1"/>
  <c r="P104" i="22" s="1"/>
  <c r="M103" i="22"/>
  <c r="L103" i="22"/>
  <c r="O103" i="22" s="1"/>
  <c r="P103" i="22" s="1"/>
  <c r="M102" i="22"/>
  <c r="L102" i="22"/>
  <c r="O102" i="22" s="1"/>
  <c r="P102" i="22" s="1"/>
  <c r="M101" i="22"/>
  <c r="L101" i="22"/>
  <c r="O101" i="22" s="1"/>
  <c r="P101" i="22" s="1"/>
  <c r="M100" i="22"/>
  <c r="L100" i="22"/>
  <c r="O100" i="22" s="1"/>
  <c r="P100" i="22" s="1"/>
  <c r="M99" i="22"/>
  <c r="L99" i="22"/>
  <c r="O99" i="22" s="1"/>
  <c r="P99" i="22" s="1"/>
  <c r="M98" i="22"/>
  <c r="L98" i="22"/>
  <c r="O98" i="22" s="1"/>
  <c r="P98" i="22" s="1"/>
  <c r="M97" i="22"/>
  <c r="L97" i="22"/>
  <c r="O97" i="22" s="1"/>
  <c r="P97" i="22" s="1"/>
  <c r="M96" i="22"/>
  <c r="L96" i="22"/>
  <c r="O96" i="22" s="1"/>
  <c r="P96" i="22" s="1"/>
  <c r="M95" i="22"/>
  <c r="L95" i="22"/>
  <c r="O95" i="22" s="1"/>
  <c r="P95" i="22" s="1"/>
  <c r="M94" i="22"/>
  <c r="L94" i="22"/>
  <c r="O94" i="22" s="1"/>
  <c r="P94" i="22" s="1"/>
  <c r="M93" i="22"/>
  <c r="L93" i="22"/>
  <c r="O93" i="22" s="1"/>
  <c r="P93" i="22" s="1"/>
  <c r="M92" i="22"/>
  <c r="L92" i="22"/>
  <c r="O92" i="22" s="1"/>
  <c r="P92" i="22" s="1"/>
  <c r="M91" i="22"/>
  <c r="L91" i="22"/>
  <c r="O91" i="22" s="1"/>
  <c r="P91" i="22" s="1"/>
  <c r="M90" i="22"/>
  <c r="L90" i="22"/>
  <c r="O90" i="22" s="1"/>
  <c r="P90" i="22" s="1"/>
  <c r="M89" i="22"/>
  <c r="L89" i="22"/>
  <c r="O89" i="22" s="1"/>
  <c r="P89" i="22" s="1"/>
  <c r="M88" i="22"/>
  <c r="L88" i="22"/>
  <c r="O88" i="22" s="1"/>
  <c r="P88" i="22" s="1"/>
  <c r="M87" i="22"/>
  <c r="L87" i="22"/>
  <c r="O87" i="22" s="1"/>
  <c r="P87" i="22" s="1"/>
  <c r="M86" i="22"/>
  <c r="L86" i="22"/>
  <c r="O86" i="22" s="1"/>
  <c r="P86" i="22" s="1"/>
  <c r="M85" i="22"/>
  <c r="L85" i="22"/>
  <c r="O85" i="22" s="1"/>
  <c r="P85" i="22" s="1"/>
  <c r="M84" i="22"/>
  <c r="L84" i="22"/>
  <c r="O84" i="22" s="1"/>
  <c r="P84" i="22" s="1"/>
  <c r="M83" i="22"/>
  <c r="L83" i="22"/>
  <c r="O83" i="22" s="1"/>
  <c r="P83" i="22" s="1"/>
  <c r="M82" i="22"/>
  <c r="L82" i="22"/>
  <c r="O82" i="22" s="1"/>
  <c r="P82" i="22" s="1"/>
  <c r="M81" i="22"/>
  <c r="L81" i="22"/>
  <c r="O81" i="22" s="1"/>
  <c r="P81" i="22" s="1"/>
  <c r="M80" i="22"/>
  <c r="L80" i="22"/>
  <c r="O80" i="22" s="1"/>
  <c r="P80" i="22" s="1"/>
  <c r="M79" i="22"/>
  <c r="L79" i="22"/>
  <c r="O79" i="22" s="1"/>
  <c r="P79" i="22" s="1"/>
  <c r="M78" i="22"/>
  <c r="L78" i="22"/>
  <c r="O78" i="22" s="1"/>
  <c r="P78" i="22" s="1"/>
  <c r="M77" i="22"/>
  <c r="L77" i="22"/>
  <c r="O77" i="22" s="1"/>
  <c r="P77" i="22" s="1"/>
  <c r="M76" i="22"/>
  <c r="L76" i="22"/>
  <c r="O76" i="22" s="1"/>
  <c r="P76" i="22" s="1"/>
  <c r="M75" i="22"/>
  <c r="L75" i="22"/>
  <c r="O75" i="22" s="1"/>
  <c r="P75" i="22" s="1"/>
  <c r="M74" i="22"/>
  <c r="L74" i="22"/>
  <c r="O74" i="22" s="1"/>
  <c r="P74" i="22" s="1"/>
  <c r="M73" i="22"/>
  <c r="L73" i="22"/>
  <c r="O73" i="22" s="1"/>
  <c r="P73" i="22" s="1"/>
  <c r="M72" i="22"/>
  <c r="L72" i="22"/>
  <c r="O72" i="22" s="1"/>
  <c r="P72" i="22" s="1"/>
  <c r="M71" i="22"/>
  <c r="L71" i="22"/>
  <c r="O71" i="22" s="1"/>
  <c r="P71" i="22" s="1"/>
  <c r="M70" i="22"/>
  <c r="L70" i="22"/>
  <c r="O70" i="22" s="1"/>
  <c r="P70" i="22" s="1"/>
  <c r="M69" i="22"/>
  <c r="L69" i="22"/>
  <c r="O69" i="22" s="1"/>
  <c r="P69" i="22" s="1"/>
  <c r="M68" i="22"/>
  <c r="L68" i="22"/>
  <c r="O68" i="22" s="1"/>
  <c r="P68" i="22" s="1"/>
  <c r="M67" i="22"/>
  <c r="L67" i="22"/>
  <c r="O67" i="22" s="1"/>
  <c r="P67" i="22" s="1"/>
  <c r="M66" i="22"/>
  <c r="L66" i="22"/>
  <c r="O66" i="22" s="1"/>
  <c r="P66" i="22" s="1"/>
  <c r="M65" i="22"/>
  <c r="L65" i="22"/>
  <c r="O65" i="22" s="1"/>
  <c r="P65" i="22" s="1"/>
  <c r="M64" i="22"/>
  <c r="L64" i="22"/>
  <c r="O64" i="22" s="1"/>
  <c r="P64" i="22" s="1"/>
  <c r="M63" i="22"/>
  <c r="L63" i="22"/>
  <c r="O63" i="22" s="1"/>
  <c r="P63" i="22" s="1"/>
  <c r="M62" i="22"/>
  <c r="L62" i="22"/>
  <c r="O62" i="22" s="1"/>
  <c r="P62" i="22" s="1"/>
  <c r="M61" i="22"/>
  <c r="L61" i="22"/>
  <c r="O61" i="22" s="1"/>
  <c r="P61" i="22" s="1"/>
  <c r="M60" i="22"/>
  <c r="L60" i="22"/>
  <c r="O60" i="22" s="1"/>
  <c r="P60" i="22" s="1"/>
  <c r="M59" i="22"/>
  <c r="L59" i="22"/>
  <c r="O59" i="22" s="1"/>
  <c r="P59" i="22" s="1"/>
  <c r="M58" i="22"/>
  <c r="L58" i="22"/>
  <c r="O58" i="22" s="1"/>
  <c r="P58" i="22" s="1"/>
  <c r="M57" i="22"/>
  <c r="L57" i="22"/>
  <c r="O57" i="22" s="1"/>
  <c r="P57" i="22" s="1"/>
  <c r="M56" i="22"/>
  <c r="L56" i="22"/>
  <c r="O56" i="22" s="1"/>
  <c r="P56" i="22" s="1"/>
  <c r="M55" i="22"/>
  <c r="L55" i="22"/>
  <c r="O55" i="22" s="1"/>
  <c r="P55" i="22" s="1"/>
  <c r="M54" i="22"/>
  <c r="L54" i="22"/>
  <c r="O54" i="22" s="1"/>
  <c r="P54" i="22" s="1"/>
  <c r="M53" i="22"/>
  <c r="L53" i="22"/>
  <c r="O53" i="22" s="1"/>
  <c r="P53" i="22" s="1"/>
  <c r="M52" i="22"/>
  <c r="L52" i="22"/>
  <c r="O52" i="22" s="1"/>
  <c r="P52" i="22" s="1"/>
  <c r="M51" i="22"/>
  <c r="L51" i="22"/>
  <c r="O51" i="22" s="1"/>
  <c r="P51" i="22" s="1"/>
  <c r="M50" i="22"/>
  <c r="L50" i="22"/>
  <c r="O50" i="22" s="1"/>
  <c r="P50" i="22" s="1"/>
  <c r="M49" i="22"/>
  <c r="L49" i="22"/>
  <c r="O49" i="22" s="1"/>
  <c r="P49" i="22" s="1"/>
  <c r="M48" i="22"/>
  <c r="L48" i="22"/>
  <c r="O48" i="22" s="1"/>
  <c r="P48" i="22" s="1"/>
  <c r="M47" i="22"/>
  <c r="L47" i="22"/>
  <c r="O47" i="22" s="1"/>
  <c r="P47" i="22" s="1"/>
  <c r="M46" i="22"/>
  <c r="L46" i="22"/>
  <c r="O46" i="22" s="1"/>
  <c r="P46" i="22" s="1"/>
  <c r="M45" i="22"/>
  <c r="L45" i="22"/>
  <c r="O45" i="22" s="1"/>
  <c r="P45" i="22" s="1"/>
  <c r="M44" i="22"/>
  <c r="L44" i="22"/>
  <c r="O44" i="22" s="1"/>
  <c r="P44" i="22" s="1"/>
  <c r="M43" i="22"/>
  <c r="L43" i="22"/>
  <c r="O43" i="22" s="1"/>
  <c r="P43" i="22" s="1"/>
  <c r="M42" i="22"/>
  <c r="L42" i="22"/>
  <c r="O42" i="22" s="1"/>
  <c r="P42" i="22" s="1"/>
  <c r="M41" i="22"/>
  <c r="L41" i="22"/>
  <c r="O41" i="22" s="1"/>
  <c r="P41" i="22" s="1"/>
  <c r="M40" i="22"/>
  <c r="L40" i="22"/>
  <c r="O40" i="22" s="1"/>
  <c r="P40" i="22" s="1"/>
  <c r="M39" i="22"/>
  <c r="L39" i="22"/>
  <c r="O39" i="22" s="1"/>
  <c r="P39" i="22" s="1"/>
  <c r="M38" i="22"/>
  <c r="L38" i="22"/>
  <c r="O38" i="22" s="1"/>
  <c r="P38" i="22" s="1"/>
  <c r="M37" i="22"/>
  <c r="L37" i="22"/>
  <c r="O37" i="22" s="1"/>
  <c r="P37" i="22" s="1"/>
  <c r="M36" i="22"/>
  <c r="L36" i="22"/>
  <c r="O36" i="22" s="1"/>
  <c r="P36" i="22" s="1"/>
  <c r="M35" i="22"/>
  <c r="L35" i="22"/>
  <c r="O35" i="22" s="1"/>
  <c r="P35" i="22" s="1"/>
  <c r="M34" i="22"/>
  <c r="L34" i="22"/>
  <c r="O34" i="22" s="1"/>
  <c r="P34" i="22" s="1"/>
  <c r="M33" i="22"/>
  <c r="L33" i="22"/>
  <c r="O33" i="22" s="1"/>
  <c r="P33" i="22" s="1"/>
  <c r="M32" i="22"/>
  <c r="L32" i="22"/>
  <c r="O32" i="22" s="1"/>
  <c r="P32" i="22" s="1"/>
  <c r="M31" i="22"/>
  <c r="L31" i="22"/>
  <c r="O31" i="22" s="1"/>
  <c r="P31" i="22" s="1"/>
  <c r="M30" i="22"/>
  <c r="L30" i="22"/>
  <c r="O30" i="22" s="1"/>
  <c r="P30" i="22" s="1"/>
  <c r="M29" i="22"/>
  <c r="L29" i="22"/>
  <c r="O29" i="22" s="1"/>
  <c r="P29" i="22" s="1"/>
  <c r="M28" i="22"/>
  <c r="L28" i="22"/>
  <c r="O28" i="22" s="1"/>
  <c r="P28" i="22" s="1"/>
  <c r="M27" i="22"/>
  <c r="L27" i="22"/>
  <c r="O27" i="22" s="1"/>
  <c r="P27" i="22" s="1"/>
  <c r="S26" i="22"/>
  <c r="S25" i="22"/>
  <c r="CC15" i="21"/>
  <c r="AS16" i="19" s="1"/>
  <c r="CC14" i="21"/>
  <c r="AS15" i="19" s="1"/>
  <c r="O48" i="20"/>
  <c r="O47" i="20"/>
  <c r="N47" i="20"/>
  <c r="O46" i="20"/>
  <c r="N46" i="20"/>
  <c r="O45" i="20"/>
  <c r="N45" i="20"/>
  <c r="O44" i="20"/>
  <c r="N44" i="20"/>
  <c r="O43" i="20"/>
  <c r="N43" i="20"/>
  <c r="O42" i="20"/>
  <c r="N42" i="20"/>
  <c r="O41" i="20"/>
  <c r="N41" i="20"/>
  <c r="O40" i="20"/>
  <c r="N40" i="20"/>
  <c r="O39" i="20"/>
  <c r="N39" i="20"/>
  <c r="O38" i="20"/>
  <c r="N38" i="20"/>
  <c r="O37" i="20"/>
  <c r="N37" i="20"/>
  <c r="O36" i="20"/>
  <c r="N36" i="20"/>
  <c r="O35" i="20"/>
  <c r="N35" i="20"/>
  <c r="O34" i="20"/>
  <c r="N34" i="20"/>
  <c r="O33" i="20"/>
  <c r="N33" i="20"/>
  <c r="O32" i="20"/>
  <c r="N32" i="20"/>
  <c r="O31" i="20"/>
  <c r="N31" i="20"/>
  <c r="O30" i="20"/>
  <c r="N30" i="20"/>
  <c r="O29" i="20"/>
  <c r="N29" i="20"/>
  <c r="O28" i="20"/>
  <c r="N28" i="20"/>
  <c r="O27" i="20"/>
  <c r="N27" i="20"/>
  <c r="O26" i="20"/>
  <c r="N26" i="20"/>
  <c r="O25" i="20"/>
  <c r="N25" i="20"/>
  <c r="O24" i="20"/>
  <c r="N24" i="20"/>
  <c r="O23" i="20"/>
  <c r="N23" i="20"/>
  <c r="O22" i="20"/>
  <c r="N22" i="20"/>
  <c r="O21" i="20"/>
  <c r="N21" i="20"/>
  <c r="O20" i="20"/>
  <c r="N20" i="20"/>
  <c r="O19" i="20"/>
  <c r="N19" i="20"/>
  <c r="O18" i="20"/>
  <c r="N18" i="20"/>
  <c r="O15" i="20"/>
  <c r="O14" i="20"/>
  <c r="N14" i="20"/>
  <c r="O10" i="20"/>
  <c r="O9" i="20"/>
  <c r="O8" i="20"/>
  <c r="O7" i="20"/>
  <c r="O6" i="20"/>
  <c r="AY116" i="19"/>
  <c r="AV116" i="19"/>
  <c r="AT116" i="19"/>
  <c r="AS116" i="19"/>
  <c r="AR116" i="19"/>
  <c r="AQ116" i="19"/>
  <c r="AP116" i="19"/>
  <c r="AA116" i="19"/>
  <c r="AY115" i="19"/>
  <c r="AV115" i="19"/>
  <c r="AT115" i="19"/>
  <c r="AS115" i="19"/>
  <c r="AR115" i="19"/>
  <c r="AQ115" i="19"/>
  <c r="AP115" i="19"/>
  <c r="AA115" i="19"/>
  <c r="AY114" i="19"/>
  <c r="AV114" i="19"/>
  <c r="AT114" i="19"/>
  <c r="AS114" i="19"/>
  <c r="AR114" i="19"/>
  <c r="AQ114" i="19"/>
  <c r="AP114" i="19"/>
  <c r="AA114" i="19"/>
  <c r="AY113" i="19"/>
  <c r="AV113" i="19"/>
  <c r="AT113" i="19"/>
  <c r="AS113" i="19"/>
  <c r="AR113" i="19"/>
  <c r="AQ113" i="19"/>
  <c r="AP113" i="19"/>
  <c r="AA113" i="19"/>
  <c r="AY112" i="19"/>
  <c r="AV112" i="19"/>
  <c r="AT112" i="19"/>
  <c r="AS112" i="19"/>
  <c r="AR112" i="19"/>
  <c r="AQ112" i="19"/>
  <c r="AP112" i="19"/>
  <c r="AA112" i="19"/>
  <c r="AY111" i="19"/>
  <c r="AV111" i="19"/>
  <c r="AT111" i="19"/>
  <c r="AS111" i="19"/>
  <c r="AR111" i="19"/>
  <c r="AQ111" i="19"/>
  <c r="AP111" i="19"/>
  <c r="AA111" i="19"/>
  <c r="AY110" i="19"/>
  <c r="AV110" i="19"/>
  <c r="AT110" i="19"/>
  <c r="AS110" i="19"/>
  <c r="AR110" i="19"/>
  <c r="AQ110" i="19"/>
  <c r="AP110" i="19"/>
  <c r="AA110" i="19"/>
  <c r="AY109" i="19"/>
  <c r="AV109" i="19"/>
  <c r="AT109" i="19"/>
  <c r="AS109" i="19"/>
  <c r="AR109" i="19"/>
  <c r="AQ109" i="19"/>
  <c r="AP109" i="19"/>
  <c r="AA109" i="19"/>
  <c r="AY108" i="19"/>
  <c r="AV108" i="19"/>
  <c r="AT108" i="19"/>
  <c r="AS108" i="19"/>
  <c r="AR108" i="19"/>
  <c r="AQ108" i="19"/>
  <c r="AP108" i="19"/>
  <c r="AA108" i="19"/>
  <c r="AY107" i="19"/>
  <c r="AV107" i="19"/>
  <c r="AT107" i="19"/>
  <c r="AS107" i="19"/>
  <c r="AR107" i="19"/>
  <c r="AQ107" i="19"/>
  <c r="AP107" i="19"/>
  <c r="AA107" i="19"/>
  <c r="AY106" i="19"/>
  <c r="AV106" i="19"/>
  <c r="AT106" i="19"/>
  <c r="AS106" i="19"/>
  <c r="AR106" i="19"/>
  <c r="AQ106" i="19"/>
  <c r="AP106" i="19"/>
  <c r="AA106" i="19"/>
  <c r="AY105" i="19"/>
  <c r="AV105" i="19"/>
  <c r="AT105" i="19"/>
  <c r="AS105" i="19"/>
  <c r="AR105" i="19"/>
  <c r="AQ105" i="19"/>
  <c r="AP105" i="19"/>
  <c r="AA105" i="19"/>
  <c r="AY104" i="19"/>
  <c r="AV104" i="19"/>
  <c r="AT104" i="19"/>
  <c r="AS104" i="19"/>
  <c r="AR104" i="19"/>
  <c r="AQ104" i="19"/>
  <c r="AP104" i="19"/>
  <c r="AA104" i="19"/>
  <c r="AY103" i="19"/>
  <c r="AV103" i="19"/>
  <c r="AT103" i="19"/>
  <c r="AS103" i="19"/>
  <c r="AR103" i="19"/>
  <c r="AQ103" i="19"/>
  <c r="AP103" i="19"/>
  <c r="AA103" i="19"/>
  <c r="AY102" i="19"/>
  <c r="AV102" i="19"/>
  <c r="AT102" i="19"/>
  <c r="AS102" i="19"/>
  <c r="AR102" i="19"/>
  <c r="AQ102" i="19"/>
  <c r="AP102" i="19"/>
  <c r="AA102" i="19"/>
  <c r="AY101" i="19"/>
  <c r="AV101" i="19"/>
  <c r="AT101" i="19"/>
  <c r="AS101" i="19"/>
  <c r="AR101" i="19"/>
  <c r="AQ101" i="19"/>
  <c r="AP101" i="19"/>
  <c r="AA101" i="19"/>
  <c r="AY100" i="19"/>
  <c r="AV100" i="19"/>
  <c r="AT100" i="19"/>
  <c r="AS100" i="19"/>
  <c r="AR100" i="19"/>
  <c r="AQ100" i="19"/>
  <c r="AP100" i="19"/>
  <c r="AA100" i="19"/>
  <c r="AY99" i="19"/>
  <c r="AV99" i="19"/>
  <c r="AT99" i="19"/>
  <c r="AS99" i="19"/>
  <c r="AR99" i="19"/>
  <c r="AQ99" i="19"/>
  <c r="AP99" i="19"/>
  <c r="AA99" i="19"/>
  <c r="AY98" i="19"/>
  <c r="AV98" i="19"/>
  <c r="AT98" i="19"/>
  <c r="AS98" i="19"/>
  <c r="AR98" i="19"/>
  <c r="AQ98" i="19"/>
  <c r="AP98" i="19"/>
  <c r="AA98" i="19"/>
  <c r="AY97" i="19"/>
  <c r="AV97" i="19"/>
  <c r="AT97" i="19"/>
  <c r="AS97" i="19"/>
  <c r="AR97" i="19"/>
  <c r="AQ97" i="19"/>
  <c r="AP97" i="19"/>
  <c r="AA97" i="19"/>
  <c r="AY96" i="19"/>
  <c r="AV96" i="19"/>
  <c r="AT96" i="19"/>
  <c r="AS96" i="19"/>
  <c r="AR96" i="19"/>
  <c r="AQ96" i="19"/>
  <c r="AP96" i="19"/>
  <c r="AA96" i="19"/>
  <c r="AY95" i="19"/>
  <c r="AV95" i="19"/>
  <c r="AT95" i="19"/>
  <c r="AS95" i="19"/>
  <c r="AR95" i="19"/>
  <c r="AQ95" i="19"/>
  <c r="AP95" i="19"/>
  <c r="AA95" i="19"/>
  <c r="AY94" i="19"/>
  <c r="AV94" i="19"/>
  <c r="AT94" i="19"/>
  <c r="AS94" i="19"/>
  <c r="AR94" i="19"/>
  <c r="AQ94" i="19"/>
  <c r="AP94" i="19"/>
  <c r="AA94" i="19"/>
  <c r="AY93" i="19"/>
  <c r="AV93" i="19"/>
  <c r="AT93" i="19"/>
  <c r="AS93" i="19"/>
  <c r="AR93" i="19"/>
  <c r="AQ93" i="19"/>
  <c r="AP93" i="19"/>
  <c r="AA93" i="19"/>
  <c r="AY92" i="19"/>
  <c r="AV92" i="19"/>
  <c r="AT92" i="19"/>
  <c r="AS92" i="19"/>
  <c r="AR92" i="19"/>
  <c r="AQ92" i="19"/>
  <c r="AP92" i="19"/>
  <c r="AA92" i="19"/>
  <c r="AY91" i="19"/>
  <c r="AV91" i="19"/>
  <c r="AT91" i="19"/>
  <c r="AS91" i="19"/>
  <c r="AR91" i="19"/>
  <c r="AQ91" i="19"/>
  <c r="AP91" i="19"/>
  <c r="AA91" i="19"/>
  <c r="AY90" i="19"/>
  <c r="AV90" i="19"/>
  <c r="AT90" i="19"/>
  <c r="AS90" i="19"/>
  <c r="AR90" i="19"/>
  <c r="AQ90" i="19"/>
  <c r="AP90" i="19"/>
  <c r="AA90" i="19"/>
  <c r="AY89" i="19"/>
  <c r="AV89" i="19"/>
  <c r="AT89" i="19"/>
  <c r="AS89" i="19"/>
  <c r="AR89" i="19"/>
  <c r="AQ89" i="19"/>
  <c r="AP89" i="19"/>
  <c r="AA89" i="19"/>
  <c r="AY88" i="19"/>
  <c r="AV88" i="19"/>
  <c r="AT88" i="19"/>
  <c r="AS88" i="19"/>
  <c r="AR88" i="19"/>
  <c r="AQ88" i="19"/>
  <c r="AP88" i="19"/>
  <c r="AA88" i="19"/>
  <c r="AY87" i="19"/>
  <c r="AV87" i="19"/>
  <c r="AT87" i="19"/>
  <c r="AS87" i="19"/>
  <c r="AR87" i="19"/>
  <c r="AQ87" i="19"/>
  <c r="AP87" i="19"/>
  <c r="AA87" i="19"/>
  <c r="AY86" i="19"/>
  <c r="AV86" i="19"/>
  <c r="AT86" i="19"/>
  <c r="AS86" i="19"/>
  <c r="AR86" i="19"/>
  <c r="AQ86" i="19"/>
  <c r="AP86" i="19"/>
  <c r="AA86" i="19"/>
  <c r="AY85" i="19"/>
  <c r="AV85" i="19"/>
  <c r="AT85" i="19"/>
  <c r="AS85" i="19"/>
  <c r="AR85" i="19"/>
  <c r="AQ85" i="19"/>
  <c r="AP85" i="19"/>
  <c r="AA85" i="19"/>
  <c r="AY84" i="19"/>
  <c r="AV84" i="19"/>
  <c r="AT84" i="19"/>
  <c r="AS84" i="19"/>
  <c r="AR84" i="19"/>
  <c r="AQ84" i="19"/>
  <c r="AP84" i="19"/>
  <c r="AA84" i="19"/>
  <c r="AY83" i="19"/>
  <c r="AV83" i="19"/>
  <c r="AT83" i="19"/>
  <c r="AS83" i="19"/>
  <c r="AR83" i="19"/>
  <c r="AQ83" i="19"/>
  <c r="AP83" i="19"/>
  <c r="AA83" i="19"/>
  <c r="AY82" i="19"/>
  <c r="AV82" i="19"/>
  <c r="AT82" i="19"/>
  <c r="AS82" i="19"/>
  <c r="AR82" i="19"/>
  <c r="AQ82" i="19"/>
  <c r="AP82" i="19"/>
  <c r="AA82" i="19"/>
  <c r="AY81" i="19"/>
  <c r="AV81" i="19"/>
  <c r="AT81" i="19"/>
  <c r="AS81" i="19"/>
  <c r="AR81" i="19"/>
  <c r="AQ81" i="19"/>
  <c r="AP81" i="19"/>
  <c r="AA81" i="19"/>
  <c r="AY80" i="19"/>
  <c r="AV80" i="19"/>
  <c r="AT80" i="19"/>
  <c r="AS80" i="19"/>
  <c r="AR80" i="19"/>
  <c r="AQ80" i="19"/>
  <c r="AP80" i="19"/>
  <c r="AA80" i="19"/>
  <c r="AY79" i="19"/>
  <c r="AV79" i="19"/>
  <c r="AT79" i="19"/>
  <c r="AS79" i="19"/>
  <c r="AR79" i="19"/>
  <c r="AQ79" i="19"/>
  <c r="AP79" i="19"/>
  <c r="AA79" i="19"/>
  <c r="AY78" i="19"/>
  <c r="AV78" i="19"/>
  <c r="AT78" i="19"/>
  <c r="AS78" i="19"/>
  <c r="AR78" i="19"/>
  <c r="AQ78" i="19"/>
  <c r="AP78" i="19"/>
  <c r="AA78" i="19"/>
  <c r="AY77" i="19"/>
  <c r="AV77" i="19"/>
  <c r="AT77" i="19"/>
  <c r="AS77" i="19"/>
  <c r="AR77" i="19"/>
  <c r="AQ77" i="19"/>
  <c r="AP77" i="19"/>
  <c r="AA77" i="19"/>
  <c r="AY76" i="19"/>
  <c r="AV76" i="19"/>
  <c r="AT76" i="19"/>
  <c r="AS76" i="19"/>
  <c r="AR76" i="19"/>
  <c r="AQ76" i="19"/>
  <c r="AP76" i="19"/>
  <c r="AA76" i="19"/>
  <c r="AY75" i="19"/>
  <c r="AV75" i="19"/>
  <c r="AT75" i="19"/>
  <c r="AS75" i="19"/>
  <c r="AR75" i="19"/>
  <c r="AQ75" i="19"/>
  <c r="AP75" i="19"/>
  <c r="AA75" i="19"/>
  <c r="AY74" i="19"/>
  <c r="AV74" i="19"/>
  <c r="AT74" i="19"/>
  <c r="AS74" i="19"/>
  <c r="AR74" i="19"/>
  <c r="AQ74" i="19"/>
  <c r="AP74" i="19"/>
  <c r="AA74" i="19"/>
  <c r="AY73" i="19"/>
  <c r="AV73" i="19"/>
  <c r="AT73" i="19"/>
  <c r="AS73" i="19"/>
  <c r="AR73" i="19"/>
  <c r="AQ73" i="19"/>
  <c r="AP73" i="19"/>
  <c r="AA73" i="19"/>
  <c r="AY72" i="19"/>
  <c r="AV72" i="19"/>
  <c r="AT72" i="19"/>
  <c r="AS72" i="19"/>
  <c r="AR72" i="19"/>
  <c r="AQ72" i="19"/>
  <c r="AP72" i="19"/>
  <c r="AA72" i="19"/>
  <c r="AY71" i="19"/>
  <c r="AV71" i="19"/>
  <c r="AT71" i="19"/>
  <c r="AS71" i="19"/>
  <c r="AR71" i="19"/>
  <c r="AQ71" i="19"/>
  <c r="AP71" i="19"/>
  <c r="AA71" i="19"/>
  <c r="AY70" i="19"/>
  <c r="AV70" i="19"/>
  <c r="AT70" i="19"/>
  <c r="AS70" i="19"/>
  <c r="AR70" i="19"/>
  <c r="AQ70" i="19"/>
  <c r="AP70" i="19"/>
  <c r="AA70" i="19"/>
  <c r="AY69" i="19"/>
  <c r="AV69" i="19"/>
  <c r="AT69" i="19"/>
  <c r="AS69" i="19"/>
  <c r="AR69" i="19"/>
  <c r="AQ69" i="19"/>
  <c r="AP69" i="19"/>
  <c r="AA69" i="19"/>
  <c r="AY68" i="19"/>
  <c r="AV68" i="19"/>
  <c r="AT68" i="19"/>
  <c r="AS68" i="19"/>
  <c r="AR68" i="19"/>
  <c r="AQ68" i="19"/>
  <c r="AP68" i="19"/>
  <c r="AA68" i="19"/>
  <c r="AY67" i="19"/>
  <c r="AV67" i="19"/>
  <c r="AT67" i="19"/>
  <c r="AS67" i="19"/>
  <c r="AR67" i="19"/>
  <c r="AQ67" i="19"/>
  <c r="AP67" i="19"/>
  <c r="AA67" i="19"/>
  <c r="AY66" i="19"/>
  <c r="AV66" i="19"/>
  <c r="AT66" i="19"/>
  <c r="AS66" i="19"/>
  <c r="AR66" i="19"/>
  <c r="AQ66" i="19"/>
  <c r="AP66" i="19"/>
  <c r="AA66" i="19"/>
  <c r="AY65" i="19"/>
  <c r="AV65" i="19"/>
  <c r="AT65" i="19"/>
  <c r="AS65" i="19"/>
  <c r="AR65" i="19"/>
  <c r="AQ65" i="19"/>
  <c r="AP65" i="19"/>
  <c r="AA65" i="19"/>
  <c r="AY64" i="19"/>
  <c r="AV64" i="19"/>
  <c r="AT64" i="19"/>
  <c r="AS64" i="19"/>
  <c r="AR64" i="19"/>
  <c r="AQ64" i="19"/>
  <c r="AP64" i="19"/>
  <c r="AA64" i="19"/>
  <c r="AY63" i="19"/>
  <c r="AV63" i="19"/>
  <c r="AT63" i="19"/>
  <c r="AS63" i="19"/>
  <c r="AR63" i="19"/>
  <c r="AQ63" i="19"/>
  <c r="AP63" i="19"/>
  <c r="AA63" i="19"/>
  <c r="AY62" i="19"/>
  <c r="AV62" i="19"/>
  <c r="AT62" i="19"/>
  <c r="AS62" i="19"/>
  <c r="AR62" i="19"/>
  <c r="AQ62" i="19"/>
  <c r="AP62" i="19"/>
  <c r="AA62" i="19"/>
  <c r="AY61" i="19"/>
  <c r="AV61" i="19"/>
  <c r="AT61" i="19"/>
  <c r="AS61" i="19"/>
  <c r="AR61" i="19"/>
  <c r="AQ61" i="19"/>
  <c r="AP61" i="19"/>
  <c r="AA61" i="19"/>
  <c r="AY60" i="19"/>
  <c r="AV60" i="19"/>
  <c r="AT60" i="19"/>
  <c r="AS60" i="19"/>
  <c r="AR60" i="19"/>
  <c r="AQ60" i="19"/>
  <c r="AP60" i="19"/>
  <c r="AA60" i="19"/>
  <c r="AY59" i="19"/>
  <c r="AV59" i="19"/>
  <c r="AT59" i="19"/>
  <c r="AS59" i="19"/>
  <c r="AR59" i="19"/>
  <c r="AQ59" i="19"/>
  <c r="AP59" i="19"/>
  <c r="AA59" i="19"/>
  <c r="AY58" i="19"/>
  <c r="AV58" i="19"/>
  <c r="AT58" i="19"/>
  <c r="AS58" i="19"/>
  <c r="AR58" i="19"/>
  <c r="AQ58" i="19"/>
  <c r="AP58" i="19"/>
  <c r="AA58" i="19"/>
  <c r="AY57" i="19"/>
  <c r="AV57" i="19"/>
  <c r="AT57" i="19"/>
  <c r="AS57" i="19"/>
  <c r="AR57" i="19"/>
  <c r="AQ57" i="19"/>
  <c r="AP57" i="19"/>
  <c r="AA57" i="19"/>
  <c r="AY56" i="19"/>
  <c r="AV56" i="19"/>
  <c r="AT56" i="19"/>
  <c r="AS56" i="19"/>
  <c r="AR56" i="19"/>
  <c r="AQ56" i="19"/>
  <c r="AP56" i="19"/>
  <c r="AA56" i="19"/>
  <c r="AY55" i="19"/>
  <c r="AV55" i="19"/>
  <c r="AT55" i="19"/>
  <c r="AS55" i="19"/>
  <c r="AR55" i="19"/>
  <c r="AQ55" i="19"/>
  <c r="AP55" i="19"/>
  <c r="AA55" i="19"/>
  <c r="AY54" i="19"/>
  <c r="AV54" i="19"/>
  <c r="AT54" i="19"/>
  <c r="AS54" i="19"/>
  <c r="AR54" i="19"/>
  <c r="AQ54" i="19"/>
  <c r="AP54" i="19"/>
  <c r="AA54" i="19"/>
  <c r="AY53" i="19"/>
  <c r="AV53" i="19"/>
  <c r="AT53" i="19"/>
  <c r="AS53" i="19"/>
  <c r="AR53" i="19"/>
  <c r="AQ53" i="19"/>
  <c r="AP53" i="19"/>
  <c r="AA53" i="19"/>
  <c r="AY52" i="19"/>
  <c r="AV52" i="19"/>
  <c r="AT52" i="19"/>
  <c r="AS52" i="19"/>
  <c r="AR52" i="19"/>
  <c r="AQ52" i="19"/>
  <c r="AP52" i="19"/>
  <c r="AA52" i="19"/>
  <c r="AY51" i="19"/>
  <c r="AV51" i="19"/>
  <c r="AT51" i="19"/>
  <c r="AS51" i="19"/>
  <c r="AR51" i="19"/>
  <c r="AQ51" i="19"/>
  <c r="AP51" i="19"/>
  <c r="AA51" i="19"/>
  <c r="AY50" i="19"/>
  <c r="AV50" i="19"/>
  <c r="AT50" i="19"/>
  <c r="AS50" i="19"/>
  <c r="AR50" i="19"/>
  <c r="AQ50" i="19"/>
  <c r="AP50" i="19"/>
  <c r="AA50" i="19"/>
  <c r="AY49" i="19"/>
  <c r="AV49" i="19"/>
  <c r="AT49" i="19"/>
  <c r="AS49" i="19"/>
  <c r="AR49" i="19"/>
  <c r="AQ49" i="19"/>
  <c r="AP49" i="19"/>
  <c r="AA49" i="19"/>
  <c r="AY48" i="19"/>
  <c r="AV48" i="19"/>
  <c r="AT48" i="19"/>
  <c r="AS48" i="19"/>
  <c r="AR48" i="19"/>
  <c r="AQ48" i="19"/>
  <c r="AP48" i="19"/>
  <c r="AA48" i="19"/>
  <c r="AY47" i="19"/>
  <c r="AV47" i="19"/>
  <c r="AT47" i="19"/>
  <c r="AS47" i="19"/>
  <c r="AR47" i="19"/>
  <c r="AQ47" i="19"/>
  <c r="AP47" i="19"/>
  <c r="AA47" i="19"/>
  <c r="AY46" i="19"/>
  <c r="AV46" i="19"/>
  <c r="AT46" i="19"/>
  <c r="AS46" i="19"/>
  <c r="AR46" i="19"/>
  <c r="AQ46" i="19"/>
  <c r="AP46" i="19"/>
  <c r="AA46" i="19"/>
  <c r="AY45" i="19"/>
  <c r="AV45" i="19"/>
  <c r="AT45" i="19"/>
  <c r="AS45" i="19"/>
  <c r="AR45" i="19"/>
  <c r="AQ45" i="19"/>
  <c r="AP45" i="19"/>
  <c r="AA45" i="19"/>
  <c r="AY44" i="19"/>
  <c r="AV44" i="19"/>
  <c r="AT44" i="19"/>
  <c r="AS44" i="19"/>
  <c r="AR44" i="19"/>
  <c r="AQ44" i="19"/>
  <c r="AP44" i="19"/>
  <c r="AA44" i="19"/>
  <c r="AY43" i="19"/>
  <c r="AV43" i="19"/>
  <c r="AT43" i="19"/>
  <c r="AS43" i="19"/>
  <c r="AR43" i="19"/>
  <c r="AQ43" i="19"/>
  <c r="AP43" i="19"/>
  <c r="AA43" i="19"/>
  <c r="AY42" i="19"/>
  <c r="AV42" i="19"/>
  <c r="AT42" i="19"/>
  <c r="AS42" i="19"/>
  <c r="AR42" i="19"/>
  <c r="AQ42" i="19"/>
  <c r="AP42" i="19"/>
  <c r="AA42" i="19"/>
  <c r="AY41" i="19"/>
  <c r="AV41" i="19"/>
  <c r="AT41" i="19"/>
  <c r="AS41" i="19"/>
  <c r="AR41" i="19"/>
  <c r="AQ41" i="19"/>
  <c r="AP41" i="19"/>
  <c r="AA41" i="19"/>
  <c r="AY40" i="19"/>
  <c r="AV40" i="19"/>
  <c r="AT40" i="19"/>
  <c r="AS40" i="19"/>
  <c r="AR40" i="19"/>
  <c r="AQ40" i="19"/>
  <c r="AP40" i="19"/>
  <c r="AA40" i="19"/>
  <c r="AY39" i="19"/>
  <c r="AV39" i="19"/>
  <c r="AT39" i="19"/>
  <c r="AS39" i="19"/>
  <c r="AR39" i="19"/>
  <c r="AQ39" i="19"/>
  <c r="AP39" i="19"/>
  <c r="AA39" i="19"/>
  <c r="AY38" i="19"/>
  <c r="AV38" i="19"/>
  <c r="AT38" i="19"/>
  <c r="AS38" i="19"/>
  <c r="AR38" i="19"/>
  <c r="AQ38" i="19"/>
  <c r="AP38" i="19"/>
  <c r="AA38" i="19"/>
  <c r="AY37" i="19"/>
  <c r="AV37" i="19"/>
  <c r="AT37" i="19"/>
  <c r="AS37" i="19"/>
  <c r="AR37" i="19"/>
  <c r="AQ37" i="19"/>
  <c r="AP37" i="19"/>
  <c r="AA37" i="19"/>
  <c r="AY36" i="19"/>
  <c r="AV36" i="19"/>
  <c r="AT36" i="19"/>
  <c r="AS36" i="19"/>
  <c r="AR36" i="19"/>
  <c r="AQ36" i="19"/>
  <c r="AP36" i="19"/>
  <c r="AA36" i="19"/>
  <c r="AY35" i="19"/>
  <c r="AV35" i="19"/>
  <c r="AT35" i="19"/>
  <c r="AS35" i="19"/>
  <c r="AR35" i="19"/>
  <c r="AQ35" i="19"/>
  <c r="AP35" i="19"/>
  <c r="AA35" i="19"/>
  <c r="AY34" i="19"/>
  <c r="AV34" i="19"/>
  <c r="AT34" i="19"/>
  <c r="AS34" i="19"/>
  <c r="AR34" i="19"/>
  <c r="AQ34" i="19"/>
  <c r="AP34" i="19"/>
  <c r="AA34" i="19"/>
  <c r="AY33" i="19"/>
  <c r="AV33" i="19"/>
  <c r="AT33" i="19"/>
  <c r="AS33" i="19"/>
  <c r="AR33" i="19"/>
  <c r="AQ33" i="19"/>
  <c r="AP33" i="19"/>
  <c r="AA33" i="19"/>
  <c r="AY32" i="19"/>
  <c r="AV32" i="19"/>
  <c r="AT32" i="19"/>
  <c r="AS32" i="19"/>
  <c r="AR32" i="19"/>
  <c r="AQ32" i="19"/>
  <c r="AP32" i="19"/>
  <c r="AA32" i="19"/>
  <c r="AY31" i="19"/>
  <c r="AV31" i="19"/>
  <c r="AT31" i="19"/>
  <c r="AS31" i="19"/>
  <c r="AR31" i="19"/>
  <c r="AQ31" i="19"/>
  <c r="AP31" i="19"/>
  <c r="AA31" i="19"/>
  <c r="AY30" i="19"/>
  <c r="AV30" i="19"/>
  <c r="AT30" i="19"/>
  <c r="AS30" i="19"/>
  <c r="AR30" i="19"/>
  <c r="AQ30" i="19"/>
  <c r="AP30" i="19"/>
  <c r="AA30" i="19"/>
  <c r="AY29" i="19"/>
  <c r="AV29" i="19"/>
  <c r="AT29" i="19"/>
  <c r="AS29" i="19"/>
  <c r="AR29" i="19"/>
  <c r="AQ29" i="19"/>
  <c r="AP29" i="19"/>
  <c r="AA29" i="19"/>
  <c r="AY28" i="19"/>
  <c r="AV28" i="19"/>
  <c r="AT28" i="19"/>
  <c r="AS28" i="19"/>
  <c r="AR28" i="19"/>
  <c r="AQ28" i="19"/>
  <c r="AP28" i="19"/>
  <c r="AA28" i="19"/>
  <c r="AY27" i="19"/>
  <c r="AV27" i="19"/>
  <c r="AT27" i="19"/>
  <c r="AS27" i="19"/>
  <c r="AR27" i="19"/>
  <c r="AQ27" i="19"/>
  <c r="AP27" i="19"/>
  <c r="AA27" i="19"/>
  <c r="AY26" i="19"/>
  <c r="AV26" i="19"/>
  <c r="AT26" i="19"/>
  <c r="AS26" i="19"/>
  <c r="AR26" i="19"/>
  <c r="AQ26" i="19"/>
  <c r="AP26" i="19"/>
  <c r="AA26" i="19"/>
  <c r="AY25" i="19"/>
  <c r="AV25" i="19"/>
  <c r="AT25" i="19"/>
  <c r="AS25" i="19"/>
  <c r="AR25" i="19"/>
  <c r="AQ25" i="19"/>
  <c r="AP25" i="19"/>
  <c r="AA25" i="19"/>
  <c r="AY24" i="19"/>
  <c r="AV24" i="19"/>
  <c r="AT24" i="19"/>
  <c r="AS24" i="19"/>
  <c r="AR24" i="19"/>
  <c r="AQ24" i="19"/>
  <c r="AP24" i="19"/>
  <c r="AA24" i="19"/>
  <c r="AY23" i="19"/>
  <c r="AV23" i="19"/>
  <c r="AT23" i="19"/>
  <c r="AS23" i="19"/>
  <c r="AR23" i="19"/>
  <c r="AQ23" i="19"/>
  <c r="AP23" i="19"/>
  <c r="AA23" i="19"/>
  <c r="AY22" i="19"/>
  <c r="AV22" i="19"/>
  <c r="AT22" i="19"/>
  <c r="AS22" i="19"/>
  <c r="AR22" i="19"/>
  <c r="AQ22" i="19"/>
  <c r="AP22" i="19"/>
  <c r="AA22" i="19"/>
  <c r="AY21" i="19"/>
  <c r="AV21" i="19"/>
  <c r="AT21" i="19"/>
  <c r="AS21" i="19"/>
  <c r="AR21" i="19"/>
  <c r="AQ21" i="19"/>
  <c r="AP21" i="19"/>
  <c r="AA21" i="19"/>
  <c r="AY20" i="19"/>
  <c r="AV20" i="19"/>
  <c r="AT20" i="19"/>
  <c r="AS20" i="19"/>
  <c r="AR20" i="19"/>
  <c r="AQ20" i="19"/>
  <c r="AP20" i="19"/>
  <c r="AA20" i="19"/>
  <c r="AY19" i="19"/>
  <c r="AV19" i="19"/>
  <c r="AT19" i="19"/>
  <c r="AS19" i="19"/>
  <c r="AR19" i="19"/>
  <c r="AQ19" i="19"/>
  <c r="AP19" i="19"/>
  <c r="AA19" i="19"/>
  <c r="AY18" i="19"/>
  <c r="AV18" i="19"/>
  <c r="AT18" i="19"/>
  <c r="AS18" i="19"/>
  <c r="AR18" i="19"/>
  <c r="AQ18" i="19"/>
  <c r="AP18" i="19"/>
  <c r="AA18" i="19"/>
  <c r="AY17" i="19"/>
  <c r="AV17" i="19"/>
  <c r="AT17" i="19"/>
  <c r="AS17" i="19"/>
  <c r="AR17" i="19"/>
  <c r="AQ17" i="19"/>
  <c r="AP17" i="19"/>
  <c r="AA17" i="19"/>
  <c r="AT16" i="19"/>
  <c r="AR16" i="19"/>
  <c r="AQ16" i="19"/>
  <c r="O52" i="20" s="1"/>
  <c r="AP16" i="19"/>
  <c r="O51" i="20" s="1"/>
  <c r="AO16" i="19"/>
  <c r="AT15" i="19"/>
  <c r="AR15" i="19"/>
  <c r="AQ15" i="19"/>
  <c r="O50" i="20" s="1"/>
  <c r="AP15" i="19"/>
  <c r="AO15" i="19"/>
  <c r="AW117" i="18"/>
  <c r="AV117" i="18"/>
  <c r="AU117" i="18"/>
  <c r="AQ117" i="18"/>
  <c r="AP117" i="18"/>
  <c r="AO117" i="18"/>
  <c r="AN117" i="18"/>
  <c r="AM117" i="18"/>
  <c r="Z117" i="18"/>
  <c r="AC117" i="18" s="1"/>
  <c r="AW116" i="18"/>
  <c r="AV116" i="18"/>
  <c r="AU116" i="18"/>
  <c r="AQ116" i="18"/>
  <c r="AP116" i="18"/>
  <c r="AO116" i="18"/>
  <c r="AN116" i="18"/>
  <c r="AM116" i="18"/>
  <c r="Z116" i="18"/>
  <c r="AW115" i="18"/>
  <c r="AV115" i="18"/>
  <c r="AU115" i="18"/>
  <c r="AQ115" i="18"/>
  <c r="AP115" i="18"/>
  <c r="AO115" i="18"/>
  <c r="AN115" i="18"/>
  <c r="AM115" i="18"/>
  <c r="Z115" i="18"/>
  <c r="AF115" i="18" s="1"/>
  <c r="AW114" i="18"/>
  <c r="AV114" i="18"/>
  <c r="AU114" i="18"/>
  <c r="AQ114" i="18"/>
  <c r="AP114" i="18"/>
  <c r="AO114" i="18"/>
  <c r="AN114" i="18"/>
  <c r="AM114" i="18"/>
  <c r="Z114" i="18"/>
  <c r="AB114" i="18" s="1"/>
  <c r="AW113" i="18"/>
  <c r="AV113" i="18"/>
  <c r="AU113" i="18"/>
  <c r="AQ113" i="18"/>
  <c r="AP113" i="18"/>
  <c r="AO113" i="18"/>
  <c r="AN113" i="18"/>
  <c r="AM113" i="18"/>
  <c r="Z113" i="18"/>
  <c r="AF113" i="18" s="1"/>
  <c r="AW112" i="18"/>
  <c r="AV112" i="18"/>
  <c r="AU112" i="18"/>
  <c r="AQ112" i="18"/>
  <c r="AP112" i="18"/>
  <c r="AO112" i="18"/>
  <c r="AN112" i="18"/>
  <c r="AM112" i="18"/>
  <c r="Z112" i="18"/>
  <c r="AW111" i="18"/>
  <c r="AV111" i="18"/>
  <c r="AU111" i="18"/>
  <c r="AQ111" i="18"/>
  <c r="AP111" i="18"/>
  <c r="AO111" i="18"/>
  <c r="AN111" i="18"/>
  <c r="AM111" i="18"/>
  <c r="Z111" i="18"/>
  <c r="AW110" i="18"/>
  <c r="AV110" i="18"/>
  <c r="AU110" i="18"/>
  <c r="AQ110" i="18"/>
  <c r="AP110" i="18"/>
  <c r="AO110" i="18"/>
  <c r="AN110" i="18"/>
  <c r="AM110" i="18"/>
  <c r="Z110" i="18"/>
  <c r="AB110" i="18" s="1"/>
  <c r="AW109" i="18"/>
  <c r="AV109" i="18"/>
  <c r="AU109" i="18"/>
  <c r="AQ109" i="18"/>
  <c r="AP109" i="18"/>
  <c r="AO109" i="18"/>
  <c r="AN109" i="18"/>
  <c r="AM109" i="18"/>
  <c r="Z109" i="18"/>
  <c r="AF109" i="18" s="1"/>
  <c r="AW108" i="18"/>
  <c r="AV108" i="18"/>
  <c r="AU108" i="18"/>
  <c r="AQ108" i="18"/>
  <c r="AP108" i="18"/>
  <c r="AO108" i="18"/>
  <c r="AN108" i="18"/>
  <c r="AM108" i="18"/>
  <c r="Z108" i="18"/>
  <c r="AW107" i="18"/>
  <c r="AV107" i="18"/>
  <c r="AU107" i="18"/>
  <c r="AQ107" i="18"/>
  <c r="AP107" i="18"/>
  <c r="AO107" i="18"/>
  <c r="AN107" i="18"/>
  <c r="AM107" i="18"/>
  <c r="Z107" i="18"/>
  <c r="AW106" i="18"/>
  <c r="AV106" i="18"/>
  <c r="AU106" i="18"/>
  <c r="AQ106" i="18"/>
  <c r="AP106" i="18"/>
  <c r="AO106" i="18"/>
  <c r="AN106" i="18"/>
  <c r="AM106" i="18"/>
  <c r="Z106" i="18"/>
  <c r="AW105" i="18"/>
  <c r="AV105" i="18"/>
  <c r="AU105" i="18"/>
  <c r="AQ105" i="18"/>
  <c r="AP105" i="18"/>
  <c r="AO105" i="18"/>
  <c r="AN105" i="18"/>
  <c r="AM105" i="18"/>
  <c r="Z105" i="18"/>
  <c r="AF105" i="18" s="1"/>
  <c r="AW104" i="18"/>
  <c r="AV104" i="18"/>
  <c r="AU104" i="18"/>
  <c r="AQ104" i="18"/>
  <c r="AP104" i="18"/>
  <c r="AO104" i="18"/>
  <c r="AN104" i="18"/>
  <c r="AM104" i="18"/>
  <c r="Z104" i="18"/>
  <c r="AW103" i="18"/>
  <c r="AV103" i="18"/>
  <c r="AU103" i="18"/>
  <c r="AQ103" i="18"/>
  <c r="AP103" i="18"/>
  <c r="AO103" i="18"/>
  <c r="AN103" i="18"/>
  <c r="AM103" i="18"/>
  <c r="Z103" i="18"/>
  <c r="AW102" i="18"/>
  <c r="AV102" i="18"/>
  <c r="AU102" i="18"/>
  <c r="AQ102" i="18"/>
  <c r="AP102" i="18"/>
  <c r="AO102" i="18"/>
  <c r="AN102" i="18"/>
  <c r="AM102" i="18"/>
  <c r="Z102" i="18"/>
  <c r="AW101" i="18"/>
  <c r="AV101" i="18"/>
  <c r="AU101" i="18"/>
  <c r="AQ101" i="18"/>
  <c r="AP101" i="18"/>
  <c r="AO101" i="18"/>
  <c r="AN101" i="18"/>
  <c r="AM101" i="18"/>
  <c r="Z101" i="18"/>
  <c r="AF101" i="18" s="1"/>
  <c r="AW100" i="18"/>
  <c r="AV100" i="18"/>
  <c r="AU100" i="18"/>
  <c r="AQ100" i="18"/>
  <c r="AP100" i="18"/>
  <c r="AO100" i="18"/>
  <c r="AN100" i="18"/>
  <c r="AM100" i="18"/>
  <c r="Z100" i="18"/>
  <c r="AW99" i="18"/>
  <c r="AV99" i="18"/>
  <c r="AU99" i="18"/>
  <c r="AQ99" i="18"/>
  <c r="AP99" i="18"/>
  <c r="AO99" i="18"/>
  <c r="AN99" i="18"/>
  <c r="AM99" i="18"/>
  <c r="Z99" i="18"/>
  <c r="AW98" i="18"/>
  <c r="AV98" i="18"/>
  <c r="AU98" i="18"/>
  <c r="AQ98" i="18"/>
  <c r="AP98" i="18"/>
  <c r="AO98" i="18"/>
  <c r="AN98" i="18"/>
  <c r="AM98" i="18"/>
  <c r="Z98" i="18"/>
  <c r="AW97" i="18"/>
  <c r="AV97" i="18"/>
  <c r="AU97" i="18"/>
  <c r="AQ97" i="18"/>
  <c r="AP97" i="18"/>
  <c r="AO97" i="18"/>
  <c r="AN97" i="18"/>
  <c r="AM97" i="18"/>
  <c r="Z97" i="18"/>
  <c r="AW96" i="18"/>
  <c r="AV96" i="18"/>
  <c r="AU96" i="18"/>
  <c r="AQ96" i="18"/>
  <c r="AP96" i="18"/>
  <c r="AO96" i="18"/>
  <c r="AN96" i="18"/>
  <c r="AM96" i="18"/>
  <c r="Z96" i="18"/>
  <c r="AW95" i="18"/>
  <c r="AV95" i="18"/>
  <c r="AU95" i="18"/>
  <c r="AQ95" i="18"/>
  <c r="AP95" i="18"/>
  <c r="AO95" i="18"/>
  <c r="AN95" i="18"/>
  <c r="AM95" i="18"/>
  <c r="Z95" i="18"/>
  <c r="AW94" i="18"/>
  <c r="AV94" i="18"/>
  <c r="AU94" i="18"/>
  <c r="AQ94" i="18"/>
  <c r="AP94" i="18"/>
  <c r="AO94" i="18"/>
  <c r="AN94" i="18"/>
  <c r="AM94" i="18"/>
  <c r="Z94" i="18"/>
  <c r="AC94" i="18" s="1"/>
  <c r="AW93" i="18"/>
  <c r="AV93" i="18"/>
  <c r="AU93" i="18"/>
  <c r="AQ93" i="18"/>
  <c r="AP93" i="18"/>
  <c r="AO93" i="18"/>
  <c r="AN93" i="18"/>
  <c r="AM93" i="18"/>
  <c r="Z93" i="18"/>
  <c r="AF93" i="18" s="1"/>
  <c r="AW92" i="18"/>
  <c r="AV92" i="18"/>
  <c r="AU92" i="18"/>
  <c r="AQ92" i="18"/>
  <c r="AP92" i="18"/>
  <c r="AO92" i="18"/>
  <c r="AN92" i="18"/>
  <c r="AM92" i="18"/>
  <c r="Z92" i="18"/>
  <c r="AW91" i="18"/>
  <c r="AV91" i="18"/>
  <c r="AU91" i="18"/>
  <c r="AQ91" i="18"/>
  <c r="AP91" i="18"/>
  <c r="AO91" i="18"/>
  <c r="AN91" i="18"/>
  <c r="AM91" i="18"/>
  <c r="Z91" i="18"/>
  <c r="AW90" i="18"/>
  <c r="AV90" i="18"/>
  <c r="AU90" i="18"/>
  <c r="AQ90" i="18"/>
  <c r="AP90" i="18"/>
  <c r="AO90" i="18"/>
  <c r="AN90" i="18"/>
  <c r="AM90" i="18"/>
  <c r="Z90" i="18"/>
  <c r="AB90" i="18" s="1"/>
  <c r="AW89" i="18"/>
  <c r="AV89" i="18"/>
  <c r="AU89" i="18"/>
  <c r="AQ89" i="18"/>
  <c r="AP89" i="18"/>
  <c r="AO89" i="18"/>
  <c r="AN89" i="18"/>
  <c r="AM89" i="18"/>
  <c r="Z89" i="18"/>
  <c r="AF89" i="18" s="1"/>
  <c r="AW88" i="18"/>
  <c r="AV88" i="18"/>
  <c r="AU88" i="18"/>
  <c r="AQ88" i="18"/>
  <c r="AP88" i="18"/>
  <c r="AO88" i="18"/>
  <c r="AN88" i="18"/>
  <c r="AM88" i="18"/>
  <c r="Z88" i="18"/>
  <c r="AW87" i="18"/>
  <c r="AV87" i="18"/>
  <c r="AU87" i="18"/>
  <c r="AQ87" i="18"/>
  <c r="AP87" i="18"/>
  <c r="AO87" i="18"/>
  <c r="AN87" i="18"/>
  <c r="AM87" i="18"/>
  <c r="Z87" i="18"/>
  <c r="AW86" i="18"/>
  <c r="AV86" i="18"/>
  <c r="AU86" i="18"/>
  <c r="AQ86" i="18"/>
  <c r="AP86" i="18"/>
  <c r="AO86" i="18"/>
  <c r="AN86" i="18"/>
  <c r="AM86" i="18"/>
  <c r="Z86" i="18"/>
  <c r="AB86" i="18" s="1"/>
  <c r="AW85" i="18"/>
  <c r="AV85" i="18"/>
  <c r="AU85" i="18"/>
  <c r="AQ85" i="18"/>
  <c r="AP85" i="18"/>
  <c r="AO85" i="18"/>
  <c r="AN85" i="18"/>
  <c r="AM85" i="18"/>
  <c r="Z85" i="18"/>
  <c r="AF85" i="18" s="1"/>
  <c r="AW84" i="18"/>
  <c r="AV84" i="18"/>
  <c r="AU84" i="18"/>
  <c r="AQ84" i="18"/>
  <c r="AP84" i="18"/>
  <c r="AO84" i="18"/>
  <c r="AN84" i="18"/>
  <c r="AM84" i="18"/>
  <c r="Z84" i="18"/>
  <c r="AW83" i="18"/>
  <c r="AV83" i="18"/>
  <c r="AU83" i="18"/>
  <c r="AQ83" i="18"/>
  <c r="AP83" i="18"/>
  <c r="AO83" i="18"/>
  <c r="AN83" i="18"/>
  <c r="AM83" i="18"/>
  <c r="Z83" i="18"/>
  <c r="AW82" i="18"/>
  <c r="AV82" i="18"/>
  <c r="AU82" i="18"/>
  <c r="AQ82" i="18"/>
  <c r="AP82" i="18"/>
  <c r="AO82" i="18"/>
  <c r="AN82" i="18"/>
  <c r="AM82" i="18"/>
  <c r="Z82" i="18"/>
  <c r="AW81" i="18"/>
  <c r="AV81" i="18"/>
  <c r="AU81" i="18"/>
  <c r="AQ81" i="18"/>
  <c r="AP81" i="18"/>
  <c r="AO81" i="18"/>
  <c r="AN81" i="18"/>
  <c r="AM81" i="18"/>
  <c r="Z81" i="18"/>
  <c r="AW80" i="18"/>
  <c r="AV80" i="18"/>
  <c r="AU80" i="18"/>
  <c r="AQ80" i="18"/>
  <c r="AP80" i="18"/>
  <c r="AO80" i="18"/>
  <c r="AN80" i="18"/>
  <c r="AM80" i="18"/>
  <c r="Z80" i="18"/>
  <c r="AW79" i="18"/>
  <c r="AV79" i="18"/>
  <c r="AU79" i="18"/>
  <c r="AQ79" i="18"/>
  <c r="AP79" i="18"/>
  <c r="AO79" i="18"/>
  <c r="AN79" i="18"/>
  <c r="AM79" i="18"/>
  <c r="Z79" i="18"/>
  <c r="AW78" i="18"/>
  <c r="AV78" i="18"/>
  <c r="AU78" i="18"/>
  <c r="AQ78" i="18"/>
  <c r="AP78" i="18"/>
  <c r="AO78" i="18"/>
  <c r="AN78" i="18"/>
  <c r="AM78" i="18"/>
  <c r="Z78" i="18"/>
  <c r="AF78" i="18" s="1"/>
  <c r="AW77" i="18"/>
  <c r="AV77" i="18"/>
  <c r="AU77" i="18"/>
  <c r="AQ77" i="18"/>
  <c r="AP77" i="18"/>
  <c r="AO77" i="18"/>
  <c r="AN77" i="18"/>
  <c r="AM77" i="18"/>
  <c r="Z77" i="18"/>
  <c r="AC77" i="18" s="1"/>
  <c r="AW76" i="18"/>
  <c r="AV76" i="18"/>
  <c r="AU76" i="18"/>
  <c r="AQ76" i="18"/>
  <c r="AP76" i="18"/>
  <c r="AO76" i="18"/>
  <c r="AN76" i="18"/>
  <c r="AM76" i="18"/>
  <c r="Z76" i="18"/>
  <c r="AW75" i="18"/>
  <c r="AV75" i="18"/>
  <c r="AU75" i="18"/>
  <c r="AQ75" i="18"/>
  <c r="AP75" i="18"/>
  <c r="AO75" i="18"/>
  <c r="AN75" i="18"/>
  <c r="AM75" i="18"/>
  <c r="Z75" i="18"/>
  <c r="AA75" i="18" s="1"/>
  <c r="AI75" i="18" s="1"/>
  <c r="AW74" i="18"/>
  <c r="AV74" i="18"/>
  <c r="AU74" i="18"/>
  <c r="AQ74" i="18"/>
  <c r="AP74" i="18"/>
  <c r="AO74" i="18"/>
  <c r="AN74" i="18"/>
  <c r="AM74" i="18"/>
  <c r="Z74" i="18"/>
  <c r="AF74" i="18" s="1"/>
  <c r="AW73" i="18"/>
  <c r="AV73" i="18"/>
  <c r="AU73" i="18"/>
  <c r="AQ73" i="18"/>
  <c r="AP73" i="18"/>
  <c r="AO73" i="18"/>
  <c r="AN73" i="18"/>
  <c r="AM73" i="18"/>
  <c r="Z73" i="18"/>
  <c r="AF73" i="18" s="1"/>
  <c r="AW72" i="18"/>
  <c r="AV72" i="18"/>
  <c r="AU72" i="18"/>
  <c r="AQ72" i="18"/>
  <c r="AP72" i="18"/>
  <c r="AO72" i="18"/>
  <c r="AN72" i="18"/>
  <c r="AM72" i="18"/>
  <c r="Z72" i="18"/>
  <c r="AW71" i="18"/>
  <c r="AV71" i="18"/>
  <c r="AU71" i="18"/>
  <c r="AQ71" i="18"/>
  <c r="AP71" i="18"/>
  <c r="AO71" i="18"/>
  <c r="AN71" i="18"/>
  <c r="AM71" i="18"/>
  <c r="Z71" i="18"/>
  <c r="AB71" i="18" s="1"/>
  <c r="AW70" i="18"/>
  <c r="AV70" i="18"/>
  <c r="AU70" i="18"/>
  <c r="AQ70" i="18"/>
  <c r="AP70" i="18"/>
  <c r="AO70" i="18"/>
  <c r="AN70" i="18"/>
  <c r="AM70" i="18"/>
  <c r="Z70" i="18"/>
  <c r="AC70" i="18" s="1"/>
  <c r="AW69" i="18"/>
  <c r="AV69" i="18"/>
  <c r="AU69" i="18"/>
  <c r="AQ69" i="18"/>
  <c r="AP69" i="18"/>
  <c r="AO69" i="18"/>
  <c r="AN69" i="18"/>
  <c r="AM69" i="18"/>
  <c r="Z69" i="18"/>
  <c r="AW68" i="18"/>
  <c r="AV68" i="18"/>
  <c r="AU68" i="18"/>
  <c r="AQ68" i="18"/>
  <c r="AP68" i="18"/>
  <c r="AO68" i="18"/>
  <c r="AN68" i="18"/>
  <c r="AM68" i="18"/>
  <c r="Z68" i="18"/>
  <c r="AW67" i="18"/>
  <c r="AV67" i="18"/>
  <c r="AU67" i="18"/>
  <c r="AQ67" i="18"/>
  <c r="AP67" i="18"/>
  <c r="AO67" i="18"/>
  <c r="AN67" i="18"/>
  <c r="AM67" i="18"/>
  <c r="Z67" i="18"/>
  <c r="AW66" i="18"/>
  <c r="AV66" i="18"/>
  <c r="AU66" i="18"/>
  <c r="AQ66" i="18"/>
  <c r="AP66" i="18"/>
  <c r="AO66" i="18"/>
  <c r="AN66" i="18"/>
  <c r="AM66" i="18"/>
  <c r="Z66" i="18"/>
  <c r="AC66" i="18" s="1"/>
  <c r="AW65" i="18"/>
  <c r="AV65" i="18"/>
  <c r="AU65" i="18"/>
  <c r="AQ65" i="18"/>
  <c r="AP65" i="18"/>
  <c r="AO65" i="18"/>
  <c r="AN65" i="18"/>
  <c r="AM65" i="18"/>
  <c r="Z65" i="18"/>
  <c r="AF65" i="18" s="1"/>
  <c r="AW64" i="18"/>
  <c r="AV64" i="18"/>
  <c r="AU64" i="18"/>
  <c r="AQ64" i="18"/>
  <c r="AP64" i="18"/>
  <c r="AO64" i="18"/>
  <c r="AN64" i="18"/>
  <c r="AM64" i="18"/>
  <c r="Z64" i="18"/>
  <c r="AW63" i="18"/>
  <c r="AV63" i="18"/>
  <c r="AU63" i="18"/>
  <c r="AQ63" i="18"/>
  <c r="AP63" i="18"/>
  <c r="AO63" i="18"/>
  <c r="AN63" i="18"/>
  <c r="AM63" i="18"/>
  <c r="Z63" i="18"/>
  <c r="AW62" i="18"/>
  <c r="AV62" i="18"/>
  <c r="AU62" i="18"/>
  <c r="AQ62" i="18"/>
  <c r="AP62" i="18"/>
  <c r="AO62" i="18"/>
  <c r="AN62" i="18"/>
  <c r="AM62" i="18"/>
  <c r="Z62" i="18"/>
  <c r="AC62" i="18" s="1"/>
  <c r="AW61" i="18"/>
  <c r="AV61" i="18"/>
  <c r="AU61" i="18"/>
  <c r="AQ61" i="18"/>
  <c r="AP61" i="18"/>
  <c r="AO61" i="18"/>
  <c r="AN61" i="18"/>
  <c r="AM61" i="18"/>
  <c r="Z61" i="18"/>
  <c r="AF61" i="18" s="1"/>
  <c r="AW60" i="18"/>
  <c r="AV60" i="18"/>
  <c r="AU60" i="18"/>
  <c r="AQ60" i="18"/>
  <c r="AP60" i="18"/>
  <c r="AO60" i="18"/>
  <c r="AN60" i="18"/>
  <c r="AM60" i="18"/>
  <c r="Z60" i="18"/>
  <c r="AW59" i="18"/>
  <c r="AV59" i="18"/>
  <c r="AU59" i="18"/>
  <c r="AQ59" i="18"/>
  <c r="AP59" i="18"/>
  <c r="AO59" i="18"/>
  <c r="AN59" i="18"/>
  <c r="AM59" i="18"/>
  <c r="Z59" i="18"/>
  <c r="AA59" i="18" s="1"/>
  <c r="AI59" i="18" s="1"/>
  <c r="AW58" i="18"/>
  <c r="AV58" i="18"/>
  <c r="AU58" i="18"/>
  <c r="AQ58" i="18"/>
  <c r="AP58" i="18"/>
  <c r="AO58" i="18"/>
  <c r="AN58" i="18"/>
  <c r="AM58" i="18"/>
  <c r="Z58" i="18"/>
  <c r="AC58" i="18" s="1"/>
  <c r="AW57" i="18"/>
  <c r="AV57" i="18"/>
  <c r="AU57" i="18"/>
  <c r="AQ57" i="18"/>
  <c r="AP57" i="18"/>
  <c r="AO57" i="18"/>
  <c r="AN57" i="18"/>
  <c r="AM57" i="18"/>
  <c r="Z57" i="18"/>
  <c r="AF57" i="18" s="1"/>
  <c r="AW56" i="18"/>
  <c r="AV56" i="18"/>
  <c r="AU56" i="18"/>
  <c r="AQ56" i="18"/>
  <c r="AP56" i="18"/>
  <c r="AO56" i="18"/>
  <c r="AN56" i="18"/>
  <c r="AM56" i="18"/>
  <c r="Z56" i="18"/>
  <c r="AW55" i="18"/>
  <c r="AV55" i="18"/>
  <c r="AU55" i="18"/>
  <c r="AQ55" i="18"/>
  <c r="AP55" i="18"/>
  <c r="AO55" i="18"/>
  <c r="AN55" i="18"/>
  <c r="AM55" i="18"/>
  <c r="Z55" i="18"/>
  <c r="AW54" i="18"/>
  <c r="AV54" i="18"/>
  <c r="AU54" i="18"/>
  <c r="AQ54" i="18"/>
  <c r="AP54" i="18"/>
  <c r="AO54" i="18"/>
  <c r="AN54" i="18"/>
  <c r="AM54" i="18"/>
  <c r="Z54" i="18"/>
  <c r="AW53" i="18"/>
  <c r="AV53" i="18"/>
  <c r="AU53" i="18"/>
  <c r="AQ53" i="18"/>
  <c r="AP53" i="18"/>
  <c r="AO53" i="18"/>
  <c r="AN53" i="18"/>
  <c r="AM53" i="18"/>
  <c r="Z53" i="18"/>
  <c r="AF53" i="18" s="1"/>
  <c r="AW52" i="18"/>
  <c r="AV52" i="18"/>
  <c r="AU52" i="18"/>
  <c r="AQ52" i="18"/>
  <c r="AP52" i="18"/>
  <c r="AO52" i="18"/>
  <c r="AN52" i="18"/>
  <c r="AM52" i="18"/>
  <c r="Z52" i="18"/>
  <c r="AW51" i="18"/>
  <c r="AV51" i="18"/>
  <c r="AU51" i="18"/>
  <c r="AQ51" i="18"/>
  <c r="AP51" i="18"/>
  <c r="AO51" i="18"/>
  <c r="AN51" i="18"/>
  <c r="AM51" i="18"/>
  <c r="Z51" i="18"/>
  <c r="AW50" i="18"/>
  <c r="AV50" i="18"/>
  <c r="AU50" i="18"/>
  <c r="AQ50" i="18"/>
  <c r="AP50" i="18"/>
  <c r="AO50" i="18"/>
  <c r="AN50" i="18"/>
  <c r="AM50" i="18"/>
  <c r="Z50" i="18"/>
  <c r="AW49" i="18"/>
  <c r="AV49" i="18"/>
  <c r="AU49" i="18"/>
  <c r="AQ49" i="18"/>
  <c r="AP49" i="18"/>
  <c r="AO49" i="18"/>
  <c r="AN49" i="18"/>
  <c r="AM49" i="18"/>
  <c r="Z49" i="18"/>
  <c r="AF49" i="18" s="1"/>
  <c r="AW48" i="18"/>
  <c r="AV48" i="18"/>
  <c r="AU48" i="18"/>
  <c r="AQ48" i="18"/>
  <c r="AP48" i="18"/>
  <c r="AO48" i="18"/>
  <c r="AN48" i="18"/>
  <c r="AM48" i="18"/>
  <c r="Z48" i="18"/>
  <c r="AW47" i="18"/>
  <c r="AV47" i="18"/>
  <c r="AU47" i="18"/>
  <c r="AQ47" i="18"/>
  <c r="AP47" i="18"/>
  <c r="AO47" i="18"/>
  <c r="AN47" i="18"/>
  <c r="AM47" i="18"/>
  <c r="Z47" i="18"/>
  <c r="AA47" i="18" s="1"/>
  <c r="AI47" i="18" s="1"/>
  <c r="AW46" i="18"/>
  <c r="AV46" i="18"/>
  <c r="AU46" i="18"/>
  <c r="AQ46" i="18"/>
  <c r="AP46" i="18"/>
  <c r="AO46" i="18"/>
  <c r="AN46" i="18"/>
  <c r="AM46" i="18"/>
  <c r="Z46" i="18"/>
  <c r="AF46" i="18" s="1"/>
  <c r="AW45" i="18"/>
  <c r="AV45" i="18"/>
  <c r="AU45" i="18"/>
  <c r="AQ45" i="18"/>
  <c r="AP45" i="18"/>
  <c r="AO45" i="18"/>
  <c r="AN45" i="18"/>
  <c r="AM45" i="18"/>
  <c r="Z45" i="18"/>
  <c r="AF45" i="18" s="1"/>
  <c r="AW44" i="18"/>
  <c r="AV44" i="18"/>
  <c r="AU44" i="18"/>
  <c r="AQ44" i="18"/>
  <c r="AP44" i="18"/>
  <c r="AO44" i="18"/>
  <c r="AN44" i="18"/>
  <c r="AM44" i="18"/>
  <c r="Z44" i="18"/>
  <c r="AW43" i="18"/>
  <c r="AV43" i="18"/>
  <c r="AU43" i="18"/>
  <c r="AQ43" i="18"/>
  <c r="AP43" i="18"/>
  <c r="AO43" i="18"/>
  <c r="AN43" i="18"/>
  <c r="AM43" i="18"/>
  <c r="Z43" i="18"/>
  <c r="AA43" i="18" s="1"/>
  <c r="AI43" i="18" s="1"/>
  <c r="AW42" i="18"/>
  <c r="AV42" i="18"/>
  <c r="AU42" i="18"/>
  <c r="AQ42" i="18"/>
  <c r="AP42" i="18"/>
  <c r="AO42" i="18"/>
  <c r="AN42" i="18"/>
  <c r="AM42" i="18"/>
  <c r="Z42" i="18"/>
  <c r="AF42" i="18" s="1"/>
  <c r="AW41" i="18"/>
  <c r="AV41" i="18"/>
  <c r="AU41" i="18"/>
  <c r="AQ41" i="18"/>
  <c r="AP41" i="18"/>
  <c r="AO41" i="18"/>
  <c r="AN41" i="18"/>
  <c r="AM41" i="18"/>
  <c r="Z41" i="18"/>
  <c r="AF41" i="18" s="1"/>
  <c r="AW40" i="18"/>
  <c r="AV40" i="18"/>
  <c r="AU40" i="18"/>
  <c r="AQ40" i="18"/>
  <c r="AP40" i="18"/>
  <c r="AO40" i="18"/>
  <c r="AN40" i="18"/>
  <c r="AM40" i="18"/>
  <c r="Z40" i="18"/>
  <c r="AC40" i="18" s="1"/>
  <c r="AW39" i="18"/>
  <c r="AV39" i="18"/>
  <c r="AU39" i="18"/>
  <c r="AQ39" i="18"/>
  <c r="AP39" i="18"/>
  <c r="AO39" i="18"/>
  <c r="AN39" i="18"/>
  <c r="AM39" i="18"/>
  <c r="Z39" i="18"/>
  <c r="AW38" i="18"/>
  <c r="AV38" i="18"/>
  <c r="AU38" i="18"/>
  <c r="AQ38" i="18"/>
  <c r="AP38" i="18"/>
  <c r="AO38" i="18"/>
  <c r="AN38" i="18"/>
  <c r="AM38" i="18"/>
  <c r="Z38" i="18"/>
  <c r="AW37" i="18"/>
  <c r="AV37" i="18"/>
  <c r="AU37" i="18"/>
  <c r="AQ37" i="18"/>
  <c r="AP37" i="18"/>
  <c r="AO37" i="18"/>
  <c r="AN37" i="18"/>
  <c r="AM37" i="18"/>
  <c r="Z37" i="18"/>
  <c r="AW36" i="18"/>
  <c r="AV36" i="18"/>
  <c r="AU36" i="18"/>
  <c r="AQ36" i="18"/>
  <c r="AP36" i="18"/>
  <c r="AO36" i="18"/>
  <c r="AN36" i="18"/>
  <c r="AM36" i="18"/>
  <c r="Z36" i="18"/>
  <c r="AB36" i="18" s="1"/>
  <c r="AW35" i="18"/>
  <c r="AV35" i="18"/>
  <c r="AU35" i="18"/>
  <c r="AQ35" i="18"/>
  <c r="AP35" i="18"/>
  <c r="AO35" i="18"/>
  <c r="AN35" i="18"/>
  <c r="AM35" i="18"/>
  <c r="Z35" i="18"/>
  <c r="AW34" i="18"/>
  <c r="AV34" i="18"/>
  <c r="AU34" i="18"/>
  <c r="AQ34" i="18"/>
  <c r="AP34" i="18"/>
  <c r="AO34" i="18"/>
  <c r="AN34" i="18"/>
  <c r="AM34" i="18"/>
  <c r="Z34" i="18"/>
  <c r="AA34" i="18" s="1"/>
  <c r="AI34" i="18" s="1"/>
  <c r="AW33" i="18"/>
  <c r="AV33" i="18"/>
  <c r="AU33" i="18"/>
  <c r="AQ33" i="18"/>
  <c r="AP33" i="18"/>
  <c r="AO33" i="18"/>
  <c r="AN33" i="18"/>
  <c r="AM33" i="18"/>
  <c r="Z33" i="18"/>
  <c r="AA33" i="18" s="1"/>
  <c r="AI33" i="18" s="1"/>
  <c r="AW32" i="18"/>
  <c r="AV32" i="18"/>
  <c r="AU32" i="18"/>
  <c r="AQ32" i="18"/>
  <c r="AP32" i="18"/>
  <c r="AO32" i="18"/>
  <c r="AN32" i="18"/>
  <c r="AM32" i="18"/>
  <c r="Z32" i="18"/>
  <c r="AC32" i="18" s="1"/>
  <c r="AW31" i="18"/>
  <c r="AV31" i="18"/>
  <c r="AU31" i="18"/>
  <c r="AQ31" i="18"/>
  <c r="AP31" i="18"/>
  <c r="AO31" i="18"/>
  <c r="AN31" i="18"/>
  <c r="AM31" i="18"/>
  <c r="Z31" i="18"/>
  <c r="AW30" i="18"/>
  <c r="AV30" i="18"/>
  <c r="AU30" i="18"/>
  <c r="AQ30" i="18"/>
  <c r="AP30" i="18"/>
  <c r="AO30" i="18"/>
  <c r="AN30" i="18"/>
  <c r="AM30" i="18"/>
  <c r="Z30" i="18"/>
  <c r="AW29" i="18"/>
  <c r="AV29" i="18"/>
  <c r="AU29" i="18"/>
  <c r="AQ29" i="18"/>
  <c r="AP29" i="18"/>
  <c r="AO29" i="18"/>
  <c r="AN29" i="18"/>
  <c r="AM29" i="18"/>
  <c r="Z29" i="18"/>
  <c r="AW28" i="18"/>
  <c r="AV28" i="18"/>
  <c r="AU28" i="18"/>
  <c r="AQ28" i="18"/>
  <c r="AP28" i="18"/>
  <c r="AO28" i="18"/>
  <c r="AN28" i="18"/>
  <c r="AM28" i="18"/>
  <c r="Z28" i="18"/>
  <c r="AW27" i="18"/>
  <c r="AV27" i="18"/>
  <c r="AU27" i="18"/>
  <c r="AQ27" i="18"/>
  <c r="AP27" i="18"/>
  <c r="AO27" i="18"/>
  <c r="AN27" i="18"/>
  <c r="AM27" i="18"/>
  <c r="Z27" i="18"/>
  <c r="AW26" i="18"/>
  <c r="AV26" i="18"/>
  <c r="AU26" i="18"/>
  <c r="AQ26" i="18"/>
  <c r="AP26" i="18"/>
  <c r="AO26" i="18"/>
  <c r="AN26" i="18"/>
  <c r="AM26" i="18"/>
  <c r="Z26" i="18"/>
  <c r="AA26" i="18" s="1"/>
  <c r="AI26" i="18" s="1"/>
  <c r="AW25" i="18"/>
  <c r="AV25" i="18"/>
  <c r="AU25" i="18"/>
  <c r="AQ25" i="18"/>
  <c r="AP25" i="18"/>
  <c r="AO25" i="18"/>
  <c r="AN25" i="18"/>
  <c r="AM25" i="18"/>
  <c r="Z25" i="18"/>
  <c r="AA25" i="18" s="1"/>
  <c r="AI25" i="18" s="1"/>
  <c r="AW24" i="18"/>
  <c r="AV24" i="18"/>
  <c r="AU24" i="18"/>
  <c r="AQ24" i="18"/>
  <c r="AP24" i="18"/>
  <c r="AO24" i="18"/>
  <c r="AN24" i="18"/>
  <c r="AM24" i="18"/>
  <c r="Z24" i="18"/>
  <c r="AC24" i="18" s="1"/>
  <c r="AW23" i="18"/>
  <c r="AV23" i="18"/>
  <c r="AU23" i="18"/>
  <c r="AQ23" i="18"/>
  <c r="AP23" i="18"/>
  <c r="AO23" i="18"/>
  <c r="AN23" i="18"/>
  <c r="AM23" i="18"/>
  <c r="Z23" i="18"/>
  <c r="AW22" i="18"/>
  <c r="AV22" i="18"/>
  <c r="AU22" i="18"/>
  <c r="AQ22" i="18"/>
  <c r="AP22" i="18"/>
  <c r="AO22" i="18"/>
  <c r="AN22" i="18"/>
  <c r="AM22" i="18"/>
  <c r="Z22" i="18"/>
  <c r="AW21" i="18"/>
  <c r="AV21" i="18"/>
  <c r="AU21" i="18"/>
  <c r="AQ21" i="18"/>
  <c r="AP21" i="18"/>
  <c r="AO21" i="18"/>
  <c r="AN21" i="18"/>
  <c r="AM21" i="18"/>
  <c r="Z21" i="18"/>
  <c r="AW20" i="18"/>
  <c r="AV20" i="18"/>
  <c r="AU20" i="18"/>
  <c r="AQ20" i="18"/>
  <c r="AP20" i="18"/>
  <c r="AO20" i="18"/>
  <c r="AN20" i="18"/>
  <c r="AM20" i="18"/>
  <c r="Z20" i="18"/>
  <c r="AF20" i="18" s="1"/>
  <c r="AW19" i="18"/>
  <c r="AV19" i="18"/>
  <c r="AU19" i="18"/>
  <c r="AQ19" i="18"/>
  <c r="AP19" i="18"/>
  <c r="AO19" i="18"/>
  <c r="AN19" i="18"/>
  <c r="AM19" i="18"/>
  <c r="Z19" i="18"/>
  <c r="AW18" i="18"/>
  <c r="AU18" i="18"/>
  <c r="AQ18" i="18"/>
  <c r="AP18" i="18"/>
  <c r="AO18" i="18"/>
  <c r="AN18" i="18"/>
  <c r="AM18" i="18"/>
  <c r="Z18" i="18"/>
  <c r="AT115" i="17"/>
  <c r="AS115" i="17"/>
  <c r="AR115" i="17"/>
  <c r="AQ115" i="17"/>
  <c r="AP115" i="17"/>
  <c r="AM115" i="17"/>
  <c r="AL115" i="17"/>
  <c r="AT114" i="17"/>
  <c r="AS114" i="17"/>
  <c r="AR114" i="17"/>
  <c r="AQ114" i="17"/>
  <c r="AP114" i="17"/>
  <c r="AM114" i="17"/>
  <c r="AL114" i="17"/>
  <c r="AT113" i="17"/>
  <c r="AS113" i="17"/>
  <c r="AR113" i="17"/>
  <c r="AQ113" i="17"/>
  <c r="AP113" i="17"/>
  <c r="AM113" i="17"/>
  <c r="AL113" i="17"/>
  <c r="AT112" i="17"/>
  <c r="AS112" i="17"/>
  <c r="AR112" i="17"/>
  <c r="AQ112" i="17"/>
  <c r="AP112" i="17"/>
  <c r="AM112" i="17"/>
  <c r="AL112" i="17"/>
  <c r="AT111" i="17"/>
  <c r="AS111" i="17"/>
  <c r="AR111" i="17"/>
  <c r="AQ111" i="17"/>
  <c r="AP111" i="17"/>
  <c r="AM111" i="17"/>
  <c r="AL111" i="17"/>
  <c r="AT110" i="17"/>
  <c r="AS110" i="17"/>
  <c r="AR110" i="17"/>
  <c r="AQ110" i="17"/>
  <c r="AP110" i="17"/>
  <c r="AM110" i="17"/>
  <c r="AL110" i="17"/>
  <c r="AT109" i="17"/>
  <c r="AS109" i="17"/>
  <c r="AR109" i="17"/>
  <c r="AQ109" i="17"/>
  <c r="AP109" i="17"/>
  <c r="AM109" i="17"/>
  <c r="AL109" i="17"/>
  <c r="AT108" i="17"/>
  <c r="AS108" i="17"/>
  <c r="AR108" i="17"/>
  <c r="AQ108" i="17"/>
  <c r="AP108" i="17"/>
  <c r="AM108" i="17"/>
  <c r="AL108" i="17"/>
  <c r="AT107" i="17"/>
  <c r="AS107" i="17"/>
  <c r="AR107" i="17"/>
  <c r="AQ107" i="17"/>
  <c r="AP107" i="17"/>
  <c r="AM107" i="17"/>
  <c r="AL107" i="17"/>
  <c r="AT106" i="17"/>
  <c r="AS106" i="17"/>
  <c r="AR106" i="17"/>
  <c r="AQ106" i="17"/>
  <c r="AP106" i="17"/>
  <c r="AM106" i="17"/>
  <c r="AL106" i="17"/>
  <c r="AT105" i="17"/>
  <c r="AS105" i="17"/>
  <c r="AR105" i="17"/>
  <c r="AQ105" i="17"/>
  <c r="AP105" i="17"/>
  <c r="AM105" i="17"/>
  <c r="AL105" i="17"/>
  <c r="AT104" i="17"/>
  <c r="AS104" i="17"/>
  <c r="AR104" i="17"/>
  <c r="AQ104" i="17"/>
  <c r="AP104" i="17"/>
  <c r="AM104" i="17"/>
  <c r="AL104" i="17"/>
  <c r="AT103" i="17"/>
  <c r="AS103" i="17"/>
  <c r="AR103" i="17"/>
  <c r="AQ103" i="17"/>
  <c r="AP103" i="17"/>
  <c r="AM103" i="17"/>
  <c r="AL103" i="17"/>
  <c r="AT102" i="17"/>
  <c r="AS102" i="17"/>
  <c r="AR102" i="17"/>
  <c r="AQ102" i="17"/>
  <c r="AP102" i="17"/>
  <c r="AM102" i="17"/>
  <c r="AL102" i="17"/>
  <c r="AT101" i="17"/>
  <c r="AS101" i="17"/>
  <c r="AR101" i="17"/>
  <c r="AQ101" i="17"/>
  <c r="AP101" i="17"/>
  <c r="AM101" i="17"/>
  <c r="AL101" i="17"/>
  <c r="AT100" i="17"/>
  <c r="AS100" i="17"/>
  <c r="AR100" i="17"/>
  <c r="AQ100" i="17"/>
  <c r="AP100" i="17"/>
  <c r="AM100" i="17"/>
  <c r="AL100" i="17"/>
  <c r="AT99" i="17"/>
  <c r="AS99" i="17"/>
  <c r="AR99" i="17"/>
  <c r="AQ99" i="17"/>
  <c r="AP99" i="17"/>
  <c r="AM99" i="17"/>
  <c r="AL99" i="17"/>
  <c r="AT98" i="17"/>
  <c r="AS98" i="17"/>
  <c r="AR98" i="17"/>
  <c r="AQ98" i="17"/>
  <c r="AP98" i="17"/>
  <c r="AM98" i="17"/>
  <c r="AL98" i="17"/>
  <c r="AT97" i="17"/>
  <c r="AS97" i="17"/>
  <c r="AR97" i="17"/>
  <c r="AQ97" i="17"/>
  <c r="AP97" i="17"/>
  <c r="AM97" i="17"/>
  <c r="AL97" i="17"/>
  <c r="AT96" i="17"/>
  <c r="AS96" i="17"/>
  <c r="AR96" i="17"/>
  <c r="AQ96" i="17"/>
  <c r="AP96" i="17"/>
  <c r="AM96" i="17"/>
  <c r="AL96" i="17"/>
  <c r="AT95" i="17"/>
  <c r="AS95" i="17"/>
  <c r="AR95" i="17"/>
  <c r="AQ95" i="17"/>
  <c r="AP95" i="17"/>
  <c r="AM95" i="17"/>
  <c r="AL95" i="17"/>
  <c r="AT94" i="17"/>
  <c r="AS94" i="17"/>
  <c r="AR94" i="17"/>
  <c r="AQ94" i="17"/>
  <c r="AP94" i="17"/>
  <c r="AM94" i="17"/>
  <c r="AL94" i="17"/>
  <c r="AT93" i="17"/>
  <c r="AS93" i="17"/>
  <c r="AR93" i="17"/>
  <c r="AQ93" i="17"/>
  <c r="AP93" i="17"/>
  <c r="AM93" i="17"/>
  <c r="AL93" i="17"/>
  <c r="AT92" i="17"/>
  <c r="AS92" i="17"/>
  <c r="AR92" i="17"/>
  <c r="AQ92" i="17"/>
  <c r="AP92" i="17"/>
  <c r="AM92" i="17"/>
  <c r="AL92" i="17"/>
  <c r="AT91" i="17"/>
  <c r="AS91" i="17"/>
  <c r="AR91" i="17"/>
  <c r="AQ91" i="17"/>
  <c r="AP91" i="17"/>
  <c r="AM91" i="17"/>
  <c r="AL91" i="17"/>
  <c r="AT90" i="17"/>
  <c r="AS90" i="17"/>
  <c r="AR90" i="17"/>
  <c r="AQ90" i="17"/>
  <c r="AP90" i="17"/>
  <c r="AM90" i="17"/>
  <c r="AL90" i="17"/>
  <c r="AT89" i="17"/>
  <c r="AS89" i="17"/>
  <c r="AR89" i="17"/>
  <c r="AQ89" i="17"/>
  <c r="AP89" i="17"/>
  <c r="AM89" i="17"/>
  <c r="AL89" i="17"/>
  <c r="AT88" i="17"/>
  <c r="AS88" i="17"/>
  <c r="AR88" i="17"/>
  <c r="AQ88" i="17"/>
  <c r="AP88" i="17"/>
  <c r="AM88" i="17"/>
  <c r="AL88" i="17"/>
  <c r="AT87" i="17"/>
  <c r="AS87" i="17"/>
  <c r="AR87" i="17"/>
  <c r="AQ87" i="17"/>
  <c r="AP87" i="17"/>
  <c r="AM87" i="17"/>
  <c r="AL87" i="17"/>
  <c r="AT86" i="17"/>
  <c r="AS86" i="17"/>
  <c r="AR86" i="17"/>
  <c r="AQ86" i="17"/>
  <c r="AP86" i="17"/>
  <c r="AM86" i="17"/>
  <c r="AL86" i="17"/>
  <c r="AT85" i="17"/>
  <c r="AS85" i="17"/>
  <c r="AR85" i="17"/>
  <c r="AQ85" i="17"/>
  <c r="AP85" i="17"/>
  <c r="AM85" i="17"/>
  <c r="AL85" i="17"/>
  <c r="AT84" i="17"/>
  <c r="AS84" i="17"/>
  <c r="AR84" i="17"/>
  <c r="AQ84" i="17"/>
  <c r="AP84" i="17"/>
  <c r="AM84" i="17"/>
  <c r="AL84" i="17"/>
  <c r="AT83" i="17"/>
  <c r="AS83" i="17"/>
  <c r="AR83" i="17"/>
  <c r="AQ83" i="17"/>
  <c r="AP83" i="17"/>
  <c r="AM83" i="17"/>
  <c r="AL83" i="17"/>
  <c r="AT82" i="17"/>
  <c r="AS82" i="17"/>
  <c r="AR82" i="17"/>
  <c r="AQ82" i="17"/>
  <c r="AP82" i="17"/>
  <c r="AM82" i="17"/>
  <c r="AL82" i="17"/>
  <c r="AT81" i="17"/>
  <c r="AS81" i="17"/>
  <c r="AR81" i="17"/>
  <c r="AQ81" i="17"/>
  <c r="AP81" i="17"/>
  <c r="AM81" i="17"/>
  <c r="AL81" i="17"/>
  <c r="AT80" i="17"/>
  <c r="AS80" i="17"/>
  <c r="AR80" i="17"/>
  <c r="AQ80" i="17"/>
  <c r="AP80" i="17"/>
  <c r="AM80" i="17"/>
  <c r="AL80" i="17"/>
  <c r="AT79" i="17"/>
  <c r="AS79" i="17"/>
  <c r="AR79" i="17"/>
  <c r="AQ79" i="17"/>
  <c r="AP79" i="17"/>
  <c r="AM79" i="17"/>
  <c r="AL79" i="17"/>
  <c r="AT78" i="17"/>
  <c r="AS78" i="17"/>
  <c r="AR78" i="17"/>
  <c r="AQ78" i="17"/>
  <c r="AP78" i="17"/>
  <c r="AM78" i="17"/>
  <c r="AL78" i="17"/>
  <c r="AT77" i="17"/>
  <c r="AS77" i="17"/>
  <c r="AR77" i="17"/>
  <c r="AQ77" i="17"/>
  <c r="AP77" i="17"/>
  <c r="AM77" i="17"/>
  <c r="AL77" i="17"/>
  <c r="AT76" i="17"/>
  <c r="AS76" i="17"/>
  <c r="AR76" i="17"/>
  <c r="AQ76" i="17"/>
  <c r="AP76" i="17"/>
  <c r="AM76" i="17"/>
  <c r="AL76" i="17"/>
  <c r="AT75" i="17"/>
  <c r="AS75" i="17"/>
  <c r="AR75" i="17"/>
  <c r="AQ75" i="17"/>
  <c r="AP75" i="17"/>
  <c r="AM75" i="17"/>
  <c r="AL75" i="17"/>
  <c r="AT74" i="17"/>
  <c r="AS74" i="17"/>
  <c r="AR74" i="17"/>
  <c r="AQ74" i="17"/>
  <c r="AP74" i="17"/>
  <c r="AM74" i="17"/>
  <c r="AL74" i="17"/>
  <c r="AT73" i="17"/>
  <c r="AS73" i="17"/>
  <c r="AR73" i="17"/>
  <c r="AQ73" i="17"/>
  <c r="AP73" i="17"/>
  <c r="AM73" i="17"/>
  <c r="AL73" i="17"/>
  <c r="AT72" i="17"/>
  <c r="AS72" i="17"/>
  <c r="AR72" i="17"/>
  <c r="AQ72" i="17"/>
  <c r="AP72" i="17"/>
  <c r="AM72" i="17"/>
  <c r="AL72" i="17"/>
  <c r="AT71" i="17"/>
  <c r="AS71" i="17"/>
  <c r="AR71" i="17"/>
  <c r="AQ71" i="17"/>
  <c r="AP71" i="17"/>
  <c r="AM71" i="17"/>
  <c r="AL71" i="17"/>
  <c r="AT70" i="17"/>
  <c r="AS70" i="17"/>
  <c r="AR70" i="17"/>
  <c r="AQ70" i="17"/>
  <c r="AP70" i="17"/>
  <c r="AM70" i="17"/>
  <c r="AL70" i="17"/>
  <c r="AT69" i="17"/>
  <c r="AS69" i="17"/>
  <c r="AR69" i="17"/>
  <c r="AQ69" i="17"/>
  <c r="AP69" i="17"/>
  <c r="AM69" i="17"/>
  <c r="AL69" i="17"/>
  <c r="AT68" i="17"/>
  <c r="AS68" i="17"/>
  <c r="AR68" i="17"/>
  <c r="AQ68" i="17"/>
  <c r="AP68" i="17"/>
  <c r="AM68" i="17"/>
  <c r="AL68" i="17"/>
  <c r="AT67" i="17"/>
  <c r="AS67" i="17"/>
  <c r="AR67" i="17"/>
  <c r="AQ67" i="17"/>
  <c r="AP67" i="17"/>
  <c r="AM67" i="17"/>
  <c r="AL67" i="17"/>
  <c r="AT66" i="17"/>
  <c r="AS66" i="17"/>
  <c r="AR66" i="17"/>
  <c r="AQ66" i="17"/>
  <c r="AP66" i="17"/>
  <c r="AM66" i="17"/>
  <c r="AL66" i="17"/>
  <c r="AT65" i="17"/>
  <c r="AS65" i="17"/>
  <c r="AR65" i="17"/>
  <c r="AQ65" i="17"/>
  <c r="AP65" i="17"/>
  <c r="AM65" i="17"/>
  <c r="AL65" i="17"/>
  <c r="AT64" i="17"/>
  <c r="AS64" i="17"/>
  <c r="AR64" i="17"/>
  <c r="AQ64" i="17"/>
  <c r="AP64" i="17"/>
  <c r="AM64" i="17"/>
  <c r="AL64" i="17"/>
  <c r="AT63" i="17"/>
  <c r="AS63" i="17"/>
  <c r="AR63" i="17"/>
  <c r="AQ63" i="17"/>
  <c r="AP63" i="17"/>
  <c r="AM63" i="17"/>
  <c r="AL63" i="17"/>
  <c r="AT62" i="17"/>
  <c r="AS62" i="17"/>
  <c r="AR62" i="17"/>
  <c r="AQ62" i="17"/>
  <c r="AP62" i="17"/>
  <c r="AM62" i="17"/>
  <c r="AL62" i="17"/>
  <c r="AT61" i="17"/>
  <c r="AS61" i="17"/>
  <c r="AR61" i="17"/>
  <c r="AQ61" i="17"/>
  <c r="AP61" i="17"/>
  <c r="AM61" i="17"/>
  <c r="AL61" i="17"/>
  <c r="AT60" i="17"/>
  <c r="AS60" i="17"/>
  <c r="AR60" i="17"/>
  <c r="AQ60" i="17"/>
  <c r="AP60" i="17"/>
  <c r="AM60" i="17"/>
  <c r="AL60" i="17"/>
  <c r="AT59" i="17"/>
  <c r="AS59" i="17"/>
  <c r="AR59" i="17"/>
  <c r="AQ59" i="17"/>
  <c r="AP59" i="17"/>
  <c r="AM59" i="17"/>
  <c r="AL59" i="17"/>
  <c r="AT58" i="17"/>
  <c r="AS58" i="17"/>
  <c r="AR58" i="17"/>
  <c r="AQ58" i="17"/>
  <c r="AP58" i="17"/>
  <c r="AM58" i="17"/>
  <c r="AL58" i="17"/>
  <c r="AT57" i="17"/>
  <c r="AS57" i="17"/>
  <c r="AR57" i="17"/>
  <c r="AQ57" i="17"/>
  <c r="AP57" i="17"/>
  <c r="AM57" i="17"/>
  <c r="AL57" i="17"/>
  <c r="AT56" i="17"/>
  <c r="AS56" i="17"/>
  <c r="AR56" i="17"/>
  <c r="AQ56" i="17"/>
  <c r="AP56" i="17"/>
  <c r="AM56" i="17"/>
  <c r="AL56" i="17"/>
  <c r="AT55" i="17"/>
  <c r="AS55" i="17"/>
  <c r="AR55" i="17"/>
  <c r="AQ55" i="17"/>
  <c r="AP55" i="17"/>
  <c r="AM55" i="17"/>
  <c r="AL55" i="17"/>
  <c r="AT54" i="17"/>
  <c r="AS54" i="17"/>
  <c r="AR54" i="17"/>
  <c r="AQ54" i="17"/>
  <c r="AP54" i="17"/>
  <c r="AM54" i="17"/>
  <c r="AL54" i="17"/>
  <c r="AT53" i="17"/>
  <c r="AS53" i="17"/>
  <c r="AR53" i="17"/>
  <c r="AQ53" i="17"/>
  <c r="AP53" i="17"/>
  <c r="AM53" i="17"/>
  <c r="AL53" i="17"/>
  <c r="AT52" i="17"/>
  <c r="AS52" i="17"/>
  <c r="AR52" i="17"/>
  <c r="AQ52" i="17"/>
  <c r="AP52" i="17"/>
  <c r="AM52" i="17"/>
  <c r="AL52" i="17"/>
  <c r="AT51" i="17"/>
  <c r="AS51" i="17"/>
  <c r="AR51" i="17"/>
  <c r="AQ51" i="17"/>
  <c r="AP51" i="17"/>
  <c r="AM51" i="17"/>
  <c r="AL51" i="17"/>
  <c r="AT50" i="17"/>
  <c r="AS50" i="17"/>
  <c r="AR50" i="17"/>
  <c r="AQ50" i="17"/>
  <c r="AP50" i="17"/>
  <c r="AM50" i="17"/>
  <c r="AL50" i="17"/>
  <c r="AT49" i="17"/>
  <c r="AS49" i="17"/>
  <c r="AR49" i="17"/>
  <c r="AQ49" i="17"/>
  <c r="AP49" i="17"/>
  <c r="AM49" i="17"/>
  <c r="AL49" i="17"/>
  <c r="AT48" i="17"/>
  <c r="AS48" i="17"/>
  <c r="AR48" i="17"/>
  <c r="AQ48" i="17"/>
  <c r="AP48" i="17"/>
  <c r="AM48" i="17"/>
  <c r="AL48" i="17"/>
  <c r="AT47" i="17"/>
  <c r="AS47" i="17"/>
  <c r="AR47" i="17"/>
  <c r="AQ47" i="17"/>
  <c r="AP47" i="17"/>
  <c r="AM47" i="17"/>
  <c r="AL47" i="17"/>
  <c r="AT46" i="17"/>
  <c r="AS46" i="17"/>
  <c r="AR46" i="17"/>
  <c r="AQ46" i="17"/>
  <c r="AP46" i="17"/>
  <c r="AM46" i="17"/>
  <c r="AL46" i="17"/>
  <c r="AT45" i="17"/>
  <c r="AS45" i="17"/>
  <c r="AR45" i="17"/>
  <c r="AQ45" i="17"/>
  <c r="AP45" i="17"/>
  <c r="AM45" i="17"/>
  <c r="AL45" i="17"/>
  <c r="AT44" i="17"/>
  <c r="AS44" i="17"/>
  <c r="AR44" i="17"/>
  <c r="AQ44" i="17"/>
  <c r="AP44" i="17"/>
  <c r="AM44" i="17"/>
  <c r="AL44" i="17"/>
  <c r="AT43" i="17"/>
  <c r="AS43" i="17"/>
  <c r="AR43" i="17"/>
  <c r="AQ43" i="17"/>
  <c r="AP43" i="17"/>
  <c r="AM43" i="17"/>
  <c r="AL43" i="17"/>
  <c r="AT42" i="17"/>
  <c r="AS42" i="17"/>
  <c r="AR42" i="17"/>
  <c r="AQ42" i="17"/>
  <c r="AP42" i="17"/>
  <c r="AM42" i="17"/>
  <c r="AL42" i="17"/>
  <c r="AT41" i="17"/>
  <c r="AS41" i="17"/>
  <c r="AR41" i="17"/>
  <c r="AQ41" i="17"/>
  <c r="AP41" i="17"/>
  <c r="AM41" i="17"/>
  <c r="AL41" i="17"/>
  <c r="AT40" i="17"/>
  <c r="AS40" i="17"/>
  <c r="AR40" i="17"/>
  <c r="AQ40" i="17"/>
  <c r="AP40" i="17"/>
  <c r="AM40" i="17"/>
  <c r="AL40" i="17"/>
  <c r="AT39" i="17"/>
  <c r="AS39" i="17"/>
  <c r="AR39" i="17"/>
  <c r="AQ39" i="17"/>
  <c r="AP39" i="17"/>
  <c r="AM39" i="17"/>
  <c r="AL39" i="17"/>
  <c r="AT38" i="17"/>
  <c r="AS38" i="17"/>
  <c r="AR38" i="17"/>
  <c r="AQ38" i="17"/>
  <c r="AP38" i="17"/>
  <c r="AM38" i="17"/>
  <c r="AL38" i="17"/>
  <c r="AT37" i="17"/>
  <c r="AS37" i="17"/>
  <c r="AR37" i="17"/>
  <c r="AQ37" i="17"/>
  <c r="AP37" i="17"/>
  <c r="AM37" i="17"/>
  <c r="AL37" i="17"/>
  <c r="AT36" i="17"/>
  <c r="AS36" i="17"/>
  <c r="AR36" i="17"/>
  <c r="AQ36" i="17"/>
  <c r="AP36" i="17"/>
  <c r="AM36" i="17"/>
  <c r="AL36" i="17"/>
  <c r="AT35" i="17"/>
  <c r="AS35" i="17"/>
  <c r="AR35" i="17"/>
  <c r="AQ35" i="17"/>
  <c r="AP35" i="17"/>
  <c r="AM35" i="17"/>
  <c r="AL35" i="17"/>
  <c r="AT34" i="17"/>
  <c r="AS34" i="17"/>
  <c r="AR34" i="17"/>
  <c r="AQ34" i="17"/>
  <c r="AP34" i="17"/>
  <c r="AM34" i="17"/>
  <c r="AL34" i="17"/>
  <c r="AT33" i="17"/>
  <c r="AS33" i="17"/>
  <c r="AR33" i="17"/>
  <c r="AQ33" i="17"/>
  <c r="AP33" i="17"/>
  <c r="AM33" i="17"/>
  <c r="AL33" i="17"/>
  <c r="AT32" i="17"/>
  <c r="AS32" i="17"/>
  <c r="AR32" i="17"/>
  <c r="AQ32" i="17"/>
  <c r="AP32" i="17"/>
  <c r="AM32" i="17"/>
  <c r="AL32" i="17"/>
  <c r="AT31" i="17"/>
  <c r="AS31" i="17"/>
  <c r="AR31" i="17"/>
  <c r="AQ31" i="17"/>
  <c r="AP31" i="17"/>
  <c r="AM31" i="17"/>
  <c r="AL31" i="17"/>
  <c r="AT30" i="17"/>
  <c r="AS30" i="17"/>
  <c r="AR30" i="17"/>
  <c r="AQ30" i="17"/>
  <c r="AP30" i="17"/>
  <c r="AM30" i="17"/>
  <c r="AL30" i="17"/>
  <c r="AJ30" i="17"/>
  <c r="AT29" i="17"/>
  <c r="AS29" i="17"/>
  <c r="AR29" i="17"/>
  <c r="AQ29" i="17"/>
  <c r="AP29" i="17"/>
  <c r="AM29" i="17"/>
  <c r="AL29" i="17"/>
  <c r="AB29" i="17"/>
  <c r="AT28" i="17"/>
  <c r="AS28" i="17"/>
  <c r="AR28" i="17"/>
  <c r="AQ28" i="17"/>
  <c r="AP28" i="17"/>
  <c r="AM28" i="17"/>
  <c r="AL28" i="17"/>
  <c r="AE28" i="17"/>
  <c r="AK28" i="17" s="1"/>
  <c r="AT27" i="17"/>
  <c r="AS27" i="17"/>
  <c r="AR27" i="17"/>
  <c r="AQ27" i="17"/>
  <c r="AP27" i="17"/>
  <c r="AM27" i="17"/>
  <c r="AL27" i="17"/>
  <c r="AB27" i="17"/>
  <c r="AT26" i="17"/>
  <c r="AS26" i="17"/>
  <c r="AR26" i="17"/>
  <c r="AQ26" i="17"/>
  <c r="AP26" i="17"/>
  <c r="AM26" i="17"/>
  <c r="AL26" i="17"/>
  <c r="AT25" i="17"/>
  <c r="AS25" i="17"/>
  <c r="AR25" i="17"/>
  <c r="AQ25" i="17"/>
  <c r="AP25" i="17"/>
  <c r="AM25" i="17"/>
  <c r="AL25" i="17"/>
  <c r="AB25" i="17"/>
  <c r="AT24" i="17"/>
  <c r="AS24" i="17"/>
  <c r="AR24" i="17"/>
  <c r="AQ24" i="17"/>
  <c r="AP24" i="17"/>
  <c r="AM24" i="17"/>
  <c r="AL24" i="17"/>
  <c r="AT23" i="17"/>
  <c r="AS23" i="17"/>
  <c r="AR23" i="17"/>
  <c r="AQ23" i="17"/>
  <c r="AP23" i="17"/>
  <c r="AM23" i="17"/>
  <c r="AL23" i="17"/>
  <c r="AB23" i="17"/>
  <c r="AT22" i="17"/>
  <c r="AS22" i="17"/>
  <c r="AR22" i="17"/>
  <c r="AQ22" i="17"/>
  <c r="AP22" i="17"/>
  <c r="AM22" i="17"/>
  <c r="AL22" i="17"/>
  <c r="AJ22" i="17"/>
  <c r="AT21" i="17"/>
  <c r="AS21" i="17"/>
  <c r="AR21" i="17"/>
  <c r="AQ21" i="17"/>
  <c r="AP21" i="17"/>
  <c r="AM21" i="17"/>
  <c r="AL21" i="17"/>
  <c r="AB21" i="17"/>
  <c r="AT20" i="17"/>
  <c r="AS20" i="17"/>
  <c r="AR20" i="17"/>
  <c r="AQ20" i="17"/>
  <c r="AP20" i="17"/>
  <c r="AM20" i="17"/>
  <c r="AL20" i="17"/>
  <c r="AE20" i="17"/>
  <c r="AK20" i="17" s="1"/>
  <c r="AT19" i="17"/>
  <c r="AS19" i="17"/>
  <c r="AR19" i="17"/>
  <c r="AQ19" i="17"/>
  <c r="AP19" i="17"/>
  <c r="AM19" i="17"/>
  <c r="AL19" i="17"/>
  <c r="AB19" i="17"/>
  <c r="AT18" i="17"/>
  <c r="AS18" i="17"/>
  <c r="AR18" i="17"/>
  <c r="AQ18" i="17"/>
  <c r="AP18" i="17"/>
  <c r="AM18" i="17"/>
  <c r="AL18" i="17"/>
  <c r="AT17" i="17"/>
  <c r="AS17" i="17"/>
  <c r="AR17" i="17"/>
  <c r="AQ17" i="17"/>
  <c r="AP17" i="17"/>
  <c r="AM17" i="17"/>
  <c r="AL17" i="17"/>
  <c r="AB17" i="17"/>
  <c r="AT16" i="17"/>
  <c r="AS16" i="17"/>
  <c r="AR16" i="17"/>
  <c r="AQ16" i="17"/>
  <c r="AP16" i="17"/>
  <c r="AM16" i="17"/>
  <c r="AL16" i="17"/>
  <c r="AT15" i="17"/>
  <c r="AS15" i="17"/>
  <c r="AR15" i="17"/>
  <c r="AQ15" i="17"/>
  <c r="AP15" i="17"/>
  <c r="AO15" i="17"/>
  <c r="AT14" i="17"/>
  <c r="AG41" i="16"/>
  <c r="AF41" i="16"/>
  <c r="AG40" i="16"/>
  <c r="AF40" i="16"/>
  <c r="AG39" i="16"/>
  <c r="AF39" i="16"/>
  <c r="AF26" i="16"/>
  <c r="AF25" i="16"/>
  <c r="AF24" i="16"/>
  <c r="AG16" i="16"/>
  <c r="AF16" i="16"/>
  <c r="AG15" i="16"/>
  <c r="AF15" i="16"/>
  <c r="AG14" i="16"/>
  <c r="AF14" i="16"/>
  <c r="AG13" i="16"/>
  <c r="AF13" i="16"/>
  <c r="AG12" i="16"/>
  <c r="AF12" i="16"/>
  <c r="AU36" i="15"/>
  <c r="AU35" i="15"/>
  <c r="AU34" i="15"/>
  <c r="AU33" i="15"/>
  <c r="AU19" i="15"/>
  <c r="AU18" i="15"/>
  <c r="AU17" i="15"/>
  <c r="AU16" i="15"/>
  <c r="AU15" i="15"/>
  <c r="AU14" i="15"/>
  <c r="AU13" i="15"/>
  <c r="BA26" i="14"/>
  <c r="BA25" i="14"/>
  <c r="AW25" i="14"/>
  <c r="BA24" i="14"/>
  <c r="AW24" i="14"/>
  <c r="BA23" i="14"/>
  <c r="AW23" i="14"/>
  <c r="BA22" i="14"/>
  <c r="AW22" i="14"/>
  <c r="BA21" i="14"/>
  <c r="AW21" i="14"/>
  <c r="BA20" i="14"/>
  <c r="AW20" i="14"/>
  <c r="BA19" i="14"/>
  <c r="AW19" i="14"/>
  <c r="BA18" i="14"/>
  <c r="AW18" i="14"/>
  <c r="BA17" i="14"/>
  <c r="AW17" i="14"/>
  <c r="BA16" i="14"/>
  <c r="BA15" i="14"/>
  <c r="BA14" i="14"/>
  <c r="BA13" i="14"/>
  <c r="AP92" i="13"/>
  <c r="AR92" i="13" s="1"/>
  <c r="AO92" i="13"/>
  <c r="AS92" i="13" s="1"/>
  <c r="AM92" i="13"/>
  <c r="AP91" i="13"/>
  <c r="AR91" i="13" s="1"/>
  <c r="AO91" i="13"/>
  <c r="AS91" i="13" s="1"/>
  <c r="AM91" i="13"/>
  <c r="AP90" i="13"/>
  <c r="AR90" i="13" s="1"/>
  <c r="AO90" i="13"/>
  <c r="AS90" i="13" s="1"/>
  <c r="AM90" i="13"/>
  <c r="AP89" i="13"/>
  <c r="AR89" i="13" s="1"/>
  <c r="AO89" i="13"/>
  <c r="AS89" i="13" s="1"/>
  <c r="AM89" i="13"/>
  <c r="AP88" i="13"/>
  <c r="AR88" i="13" s="1"/>
  <c r="AO88" i="13"/>
  <c r="AS88" i="13" s="1"/>
  <c r="AM88" i="13"/>
  <c r="AP87" i="13"/>
  <c r="AR87" i="13" s="1"/>
  <c r="AO87" i="13"/>
  <c r="AS87" i="13" s="1"/>
  <c r="AM87" i="13"/>
  <c r="AP86" i="13"/>
  <c r="AR86" i="13" s="1"/>
  <c r="AO86" i="13"/>
  <c r="AS86" i="13" s="1"/>
  <c r="AM86" i="13"/>
  <c r="AP85" i="13"/>
  <c r="AR85" i="13" s="1"/>
  <c r="AO85" i="13"/>
  <c r="AS85" i="13" s="1"/>
  <c r="AM85" i="13"/>
  <c r="AP84" i="13"/>
  <c r="AR84" i="13" s="1"/>
  <c r="AO84" i="13"/>
  <c r="AS84" i="13" s="1"/>
  <c r="AM84" i="13"/>
  <c r="AP83" i="13"/>
  <c r="AR83" i="13" s="1"/>
  <c r="AO83" i="13"/>
  <c r="AS83" i="13" s="1"/>
  <c r="AM83" i="13"/>
  <c r="AP82" i="13"/>
  <c r="AR82" i="13" s="1"/>
  <c r="AO82" i="13"/>
  <c r="AS82" i="13" s="1"/>
  <c r="AM82" i="13"/>
  <c r="AP81" i="13"/>
  <c r="AR81" i="13" s="1"/>
  <c r="AO81" i="13"/>
  <c r="AS81" i="13" s="1"/>
  <c r="AM81" i="13"/>
  <c r="AP80" i="13"/>
  <c r="AR80" i="13" s="1"/>
  <c r="AO80" i="13"/>
  <c r="AS80" i="13" s="1"/>
  <c r="AM80" i="13"/>
  <c r="AP79" i="13"/>
  <c r="AR79" i="13" s="1"/>
  <c r="AO79" i="13"/>
  <c r="AS79" i="13" s="1"/>
  <c r="AM79" i="13"/>
  <c r="AP78" i="13"/>
  <c r="AR78" i="13" s="1"/>
  <c r="AO78" i="13"/>
  <c r="AS78" i="13" s="1"/>
  <c r="AM78" i="13"/>
  <c r="AS47" i="13"/>
  <c r="AS46" i="13"/>
  <c r="AO46" i="13"/>
  <c r="AP32" i="13"/>
  <c r="AR32" i="13" s="1"/>
  <c r="AO32" i="13"/>
  <c r="AS32" i="13" s="1"/>
  <c r="AM32" i="13"/>
  <c r="AP31" i="13"/>
  <c r="AR31" i="13" s="1"/>
  <c r="AO31" i="13"/>
  <c r="AS31" i="13" s="1"/>
  <c r="AM31" i="13"/>
  <c r="AP30" i="13"/>
  <c r="AR30" i="13" s="1"/>
  <c r="AO30" i="13"/>
  <c r="AS30" i="13" s="1"/>
  <c r="AM30" i="13"/>
  <c r="AP29" i="13"/>
  <c r="AR29" i="13" s="1"/>
  <c r="AO29" i="13"/>
  <c r="AS29" i="13" s="1"/>
  <c r="AM29" i="13"/>
  <c r="AP28" i="13"/>
  <c r="AR28" i="13" s="1"/>
  <c r="AO28" i="13"/>
  <c r="AS28" i="13" s="1"/>
  <c r="AM28" i="13"/>
  <c r="AP27" i="13"/>
  <c r="AR27" i="13" s="1"/>
  <c r="AO27" i="13"/>
  <c r="AS27" i="13" s="1"/>
  <c r="AM27" i="13"/>
  <c r="AP26" i="13"/>
  <c r="AR26" i="13" s="1"/>
  <c r="AO26" i="13"/>
  <c r="AS26" i="13" s="1"/>
  <c r="AM26" i="13"/>
  <c r="AP25" i="13"/>
  <c r="AR25" i="13" s="1"/>
  <c r="AO25" i="13"/>
  <c r="AS25" i="13" s="1"/>
  <c r="AM25" i="13"/>
  <c r="AP24" i="13"/>
  <c r="AR24" i="13" s="1"/>
  <c r="AO24" i="13"/>
  <c r="AS24" i="13" s="1"/>
  <c r="AM24" i="13"/>
  <c r="AP23" i="13"/>
  <c r="AR23" i="13" s="1"/>
  <c r="AO23" i="13"/>
  <c r="AS23" i="13" s="1"/>
  <c r="AM23" i="13"/>
  <c r="AP22" i="13"/>
  <c r="AR22" i="13" s="1"/>
  <c r="AO22" i="13"/>
  <c r="AS22" i="13" s="1"/>
  <c r="AM22" i="13"/>
  <c r="AP21" i="13"/>
  <c r="AR21" i="13" s="1"/>
  <c r="AO21" i="13"/>
  <c r="AS21" i="13" s="1"/>
  <c r="AM21" i="13"/>
  <c r="AP20" i="13"/>
  <c r="AR20" i="13" s="1"/>
  <c r="AO20" i="13"/>
  <c r="AS20" i="13" s="1"/>
  <c r="AM20" i="13"/>
  <c r="AP19" i="13"/>
  <c r="AR19" i="13" s="1"/>
  <c r="AO19" i="13"/>
  <c r="AS19" i="13" s="1"/>
  <c r="AM19" i="13"/>
  <c r="AP18" i="13"/>
  <c r="AR18" i="13" s="1"/>
  <c r="AO18" i="13"/>
  <c r="AS18" i="13" s="1"/>
  <c r="AM18" i="13"/>
  <c r="AS17" i="13"/>
  <c r="AS16" i="13"/>
  <c r="AS15" i="13"/>
  <c r="AO15" i="13"/>
  <c r="AS14" i="13"/>
  <c r="AO14" i="13"/>
  <c r="AS13" i="13"/>
  <c r="AO13" i="13"/>
  <c r="AS12" i="13"/>
  <c r="AO12" i="13"/>
  <c r="AS11" i="13"/>
  <c r="AO11" i="13"/>
  <c r="AS10" i="13"/>
  <c r="AO10" i="13"/>
  <c r="Y16" i="12"/>
  <c r="Y15" i="12"/>
  <c r="Y14" i="12"/>
  <c r="Y13" i="12"/>
  <c r="Y12" i="12"/>
  <c r="AE122" i="11"/>
  <c r="AG122" i="11" s="1"/>
  <c r="AE121" i="11"/>
  <c r="AG121" i="11" s="1"/>
  <c r="AE120" i="11"/>
  <c r="AG120" i="11" s="1"/>
  <c r="AE119" i="11"/>
  <c r="AG119" i="11" s="1"/>
  <c r="AG31" i="11"/>
  <c r="AG30" i="11"/>
  <c r="AE30" i="11"/>
  <c r="AG29" i="11"/>
  <c r="AG28" i="11"/>
  <c r="AE28" i="11"/>
  <c r="AG16" i="11"/>
  <c r="AE16" i="11"/>
  <c r="AG15" i="11"/>
  <c r="AE15" i="11"/>
  <c r="AG14" i="11"/>
  <c r="AE14" i="11"/>
  <c r="AG13" i="11"/>
  <c r="AE13" i="11"/>
  <c r="AG12" i="11"/>
  <c r="AE12" i="11"/>
  <c r="Z84" i="10"/>
  <c r="AB84" i="10" s="1"/>
  <c r="Y84" i="10"/>
  <c r="AC84" i="10" s="1"/>
  <c r="X84" i="10"/>
  <c r="Z83" i="10"/>
  <c r="AB83" i="10" s="1"/>
  <c r="Y83" i="10"/>
  <c r="AC83" i="10" s="1"/>
  <c r="X83" i="10"/>
  <c r="Z82" i="10"/>
  <c r="AB82" i="10" s="1"/>
  <c r="Y82" i="10"/>
  <c r="AC82" i="10" s="1"/>
  <c r="X82" i="10"/>
  <c r="Z81" i="10"/>
  <c r="AB81" i="10" s="1"/>
  <c r="Y81" i="10"/>
  <c r="AC81" i="10" s="1"/>
  <c r="X81" i="10"/>
  <c r="Z80" i="10"/>
  <c r="AB80" i="10" s="1"/>
  <c r="Y80" i="10"/>
  <c r="AC80" i="10" s="1"/>
  <c r="X80" i="10"/>
  <c r="Z79" i="10"/>
  <c r="AB79" i="10" s="1"/>
  <c r="Y79" i="10"/>
  <c r="AC79" i="10" s="1"/>
  <c r="X79" i="10"/>
  <c r="Z78" i="10"/>
  <c r="AB78" i="10" s="1"/>
  <c r="Y78" i="10"/>
  <c r="AC78" i="10" s="1"/>
  <c r="X78" i="10"/>
  <c r="Z77" i="10"/>
  <c r="AB77" i="10" s="1"/>
  <c r="Y77" i="10"/>
  <c r="AC77" i="10" s="1"/>
  <c r="X77" i="10"/>
  <c r="Z76" i="10"/>
  <c r="AB76" i="10" s="1"/>
  <c r="Y76" i="10"/>
  <c r="AC76" i="10" s="1"/>
  <c r="X76" i="10"/>
  <c r="Z75" i="10"/>
  <c r="AB75" i="10" s="1"/>
  <c r="Y75" i="10"/>
  <c r="AC75" i="10" s="1"/>
  <c r="X75" i="10"/>
  <c r="Z74" i="10"/>
  <c r="AB74" i="10" s="1"/>
  <c r="Y74" i="10"/>
  <c r="AC74" i="10" s="1"/>
  <c r="X74" i="10"/>
  <c r="Z73" i="10"/>
  <c r="AB73" i="10" s="1"/>
  <c r="Y73" i="10"/>
  <c r="AC73" i="10" s="1"/>
  <c r="X73" i="10"/>
  <c r="Z72" i="10"/>
  <c r="AB72" i="10" s="1"/>
  <c r="Y72" i="10"/>
  <c r="AC72" i="10" s="1"/>
  <c r="X72" i="10"/>
  <c r="Z71" i="10"/>
  <c r="AB71" i="10" s="1"/>
  <c r="Y71" i="10"/>
  <c r="AC71" i="10" s="1"/>
  <c r="X71" i="10"/>
  <c r="Z70" i="10"/>
  <c r="AB70" i="10" s="1"/>
  <c r="Y70" i="10"/>
  <c r="AC70" i="10" s="1"/>
  <c r="X70" i="10"/>
  <c r="AC55" i="10"/>
  <c r="Z46" i="10"/>
  <c r="AB46" i="10" s="1"/>
  <c r="Y46" i="10"/>
  <c r="AC46" i="10" s="1"/>
  <c r="X46" i="10"/>
  <c r="Z45" i="10"/>
  <c r="AB45" i="10" s="1"/>
  <c r="Y45" i="10"/>
  <c r="AC45" i="10" s="1"/>
  <c r="X45" i="10"/>
  <c r="Z44" i="10"/>
  <c r="AB44" i="10" s="1"/>
  <c r="Y44" i="10"/>
  <c r="AC44" i="10" s="1"/>
  <c r="X44" i="10"/>
  <c r="Z43" i="10"/>
  <c r="AB43" i="10" s="1"/>
  <c r="Y43" i="10"/>
  <c r="AC43" i="10" s="1"/>
  <c r="X43" i="10"/>
  <c r="Z42" i="10"/>
  <c r="AB42" i="10" s="1"/>
  <c r="Y42" i="10"/>
  <c r="AC42" i="10" s="1"/>
  <c r="X42" i="10"/>
  <c r="Z41" i="10"/>
  <c r="AB41" i="10" s="1"/>
  <c r="Y41" i="10"/>
  <c r="AC41" i="10" s="1"/>
  <c r="X41" i="10"/>
  <c r="Z40" i="10"/>
  <c r="AB40" i="10" s="1"/>
  <c r="Y40" i="10"/>
  <c r="AC40" i="10" s="1"/>
  <c r="X40" i="10"/>
  <c r="Z39" i="10"/>
  <c r="AB39" i="10" s="1"/>
  <c r="Y39" i="10"/>
  <c r="AC39" i="10" s="1"/>
  <c r="X39" i="10"/>
  <c r="Z38" i="10"/>
  <c r="AB38" i="10" s="1"/>
  <c r="Y38" i="10"/>
  <c r="AC38" i="10" s="1"/>
  <c r="X38" i="10"/>
  <c r="Z37" i="10"/>
  <c r="AB37" i="10" s="1"/>
  <c r="Y37" i="10"/>
  <c r="AC37" i="10" s="1"/>
  <c r="X37" i="10"/>
  <c r="Z36" i="10"/>
  <c r="AB36" i="10" s="1"/>
  <c r="Y36" i="10"/>
  <c r="AC36" i="10" s="1"/>
  <c r="X36" i="10"/>
  <c r="Z35" i="10"/>
  <c r="AB35" i="10" s="1"/>
  <c r="Y35" i="10"/>
  <c r="AC35" i="10" s="1"/>
  <c r="X35" i="10"/>
  <c r="Z34" i="10"/>
  <c r="AB34" i="10" s="1"/>
  <c r="Y34" i="10"/>
  <c r="AC34" i="10" s="1"/>
  <c r="X34" i="10"/>
  <c r="Z33" i="10"/>
  <c r="AB33" i="10" s="1"/>
  <c r="Y33" i="10"/>
  <c r="AC33" i="10" s="1"/>
  <c r="X33" i="10"/>
  <c r="Z32" i="10"/>
  <c r="AB32" i="10" s="1"/>
  <c r="Y32" i="10"/>
  <c r="AC32" i="10" s="1"/>
  <c r="X32" i="10"/>
  <c r="AC17" i="10"/>
  <c r="AA76" i="8"/>
  <c r="AC76" i="8" s="1"/>
  <c r="AC75" i="8"/>
  <c r="AA75" i="8"/>
  <c r="AA46" i="8"/>
  <c r="AC46" i="8" s="1"/>
  <c r="AA34" i="8"/>
  <c r="AA33" i="8"/>
  <c r="AC33" i="8" s="1"/>
  <c r="AC18" i="8"/>
  <c r="AA18" i="8"/>
  <c r="AC17" i="8"/>
  <c r="AA17" i="8"/>
  <c r="AC16" i="8"/>
  <c r="AA16" i="8"/>
  <c r="AC15" i="8"/>
  <c r="AA15" i="8"/>
  <c r="AM28" i="7"/>
  <c r="AL28" i="7"/>
  <c r="AM27" i="7"/>
  <c r="AL27" i="7"/>
  <c r="AM26" i="7"/>
  <c r="AL26" i="7"/>
  <c r="AM25" i="7"/>
  <c r="AL25" i="7"/>
  <c r="AM24" i="7"/>
  <c r="AL24" i="7"/>
  <c r="AE36" i="6"/>
  <c r="AF28" i="6"/>
  <c r="AG28" i="6" s="1"/>
  <c r="H60" i="3"/>
  <c r="E12" i="2"/>
  <c r="BM52" i="24" l="1"/>
  <c r="BP43" i="24"/>
  <c r="AU30" i="17"/>
  <c r="AB17" i="19"/>
  <c r="AC17" i="19"/>
  <c r="AA18" i="18"/>
  <c r="AI18" i="18" s="1"/>
  <c r="AB19" i="19"/>
  <c r="AM19" i="19" s="1"/>
  <c r="AC19" i="19"/>
  <c r="AB20" i="19"/>
  <c r="AC20" i="19"/>
  <c r="AB22" i="19"/>
  <c r="AC22" i="19"/>
  <c r="AG25" i="19"/>
  <c r="AB25" i="19"/>
  <c r="AM25" i="19" s="1"/>
  <c r="AC25" i="19"/>
  <c r="AG27" i="19"/>
  <c r="AB27" i="19"/>
  <c r="AC27" i="19"/>
  <c r="AG29" i="19"/>
  <c r="AB29" i="19"/>
  <c r="AM29" i="19" s="1"/>
  <c r="AC29" i="19"/>
  <c r="AB30" i="19"/>
  <c r="AC30" i="19"/>
  <c r="AB18" i="19"/>
  <c r="AM18" i="19" s="1"/>
  <c r="AC18" i="19"/>
  <c r="AG21" i="19"/>
  <c r="AB21" i="19"/>
  <c r="AM21" i="19" s="1"/>
  <c r="AC21" i="19"/>
  <c r="AG23" i="19"/>
  <c r="AB23" i="19"/>
  <c r="AM23" i="19" s="1"/>
  <c r="AC23" i="19"/>
  <c r="AB24" i="19"/>
  <c r="AM24" i="19" s="1"/>
  <c r="AC24" i="19"/>
  <c r="AB26" i="19"/>
  <c r="AC26" i="19"/>
  <c r="AB28" i="19"/>
  <c r="AC28" i="19"/>
  <c r="AB31" i="19"/>
  <c r="AC31" i="19"/>
  <c r="AR14" i="17"/>
  <c r="AR13" i="17" s="1"/>
  <c r="AQ14" i="17"/>
  <c r="AQ13" i="17" s="1"/>
  <c r="O13" i="20" s="1"/>
  <c r="O5" i="20"/>
  <c r="O11" i="20"/>
  <c r="AS14" i="17"/>
  <c r="AS13" i="17" s="1"/>
  <c r="AP14" i="17"/>
  <c r="AP13" i="17" s="1"/>
  <c r="O4" i="20"/>
  <c r="AU32" i="17"/>
  <c r="AU38" i="17"/>
  <c r="AE16" i="17"/>
  <c r="Z16" i="17"/>
  <c r="AB31" i="17"/>
  <c r="Z31" i="17"/>
  <c r="AE32" i="17"/>
  <c r="Z32" i="17"/>
  <c r="AB33" i="17"/>
  <c r="Z33" i="17"/>
  <c r="AA33" i="17"/>
  <c r="Z34" i="17"/>
  <c r="AA34" i="17"/>
  <c r="AB35" i="17"/>
  <c r="Z35" i="17"/>
  <c r="AA35" i="17"/>
  <c r="AE36" i="17"/>
  <c r="AA36" i="17"/>
  <c r="Z36" i="17"/>
  <c r="AB37" i="17"/>
  <c r="Z37" i="17"/>
  <c r="AA37" i="17"/>
  <c r="AE38" i="17"/>
  <c r="Z38" i="17"/>
  <c r="AA38" i="17"/>
  <c r="AB39" i="17"/>
  <c r="Z39" i="17"/>
  <c r="AA39" i="17"/>
  <c r="AE40" i="17"/>
  <c r="AA40" i="17"/>
  <c r="Z40" i="17"/>
  <c r="AB41" i="17"/>
  <c r="Z41" i="17"/>
  <c r="AA41" i="17"/>
  <c r="Z42" i="17"/>
  <c r="AA42" i="17"/>
  <c r="AB43" i="17"/>
  <c r="Z43" i="17"/>
  <c r="AA43" i="17"/>
  <c r="AE44" i="17"/>
  <c r="AA44" i="17"/>
  <c r="Z44" i="17"/>
  <c r="AK44" i="17" s="1"/>
  <c r="AB45" i="17"/>
  <c r="Z45" i="17"/>
  <c r="AA45" i="17"/>
  <c r="AE46" i="17"/>
  <c r="Z46" i="17"/>
  <c r="AA46" i="17"/>
  <c r="AB47" i="17"/>
  <c r="Z47" i="17"/>
  <c r="AK47" i="17" s="1"/>
  <c r="AA47" i="17"/>
  <c r="AA48" i="17"/>
  <c r="Z48" i="17"/>
  <c r="AB49" i="17"/>
  <c r="Z49" i="17"/>
  <c r="AA49" i="17"/>
  <c r="Z50" i="17"/>
  <c r="AA50" i="17"/>
  <c r="AB51" i="17"/>
  <c r="Z51" i="17"/>
  <c r="AA51" i="17"/>
  <c r="AA52" i="17"/>
  <c r="Z52" i="17"/>
  <c r="AB53" i="17"/>
  <c r="Z53" i="17"/>
  <c r="AA53" i="17"/>
  <c r="Z54" i="17"/>
  <c r="AA54" i="17"/>
  <c r="AB55" i="17"/>
  <c r="Z55" i="17"/>
  <c r="AA55" i="17"/>
  <c r="AA56" i="17"/>
  <c r="Z56" i="17"/>
  <c r="AB57" i="17"/>
  <c r="Z57" i="17"/>
  <c r="AA57" i="17"/>
  <c r="Z58" i="17"/>
  <c r="AA58" i="17"/>
  <c r="AB59" i="17"/>
  <c r="Z59" i="17"/>
  <c r="AA59" i="17"/>
  <c r="AA60" i="17"/>
  <c r="Z60" i="17"/>
  <c r="Z61" i="17"/>
  <c r="AA61" i="17"/>
  <c r="Z62" i="17"/>
  <c r="AA62" i="17"/>
  <c r="Z63" i="17"/>
  <c r="AA63" i="17"/>
  <c r="AA64" i="17"/>
  <c r="Z64" i="17"/>
  <c r="Z65" i="17"/>
  <c r="AA65" i="17"/>
  <c r="AB66" i="17"/>
  <c r="Z66" i="17"/>
  <c r="AH66" i="17" s="1"/>
  <c r="AA66" i="17"/>
  <c r="Z67" i="17"/>
  <c r="AA67" i="17"/>
  <c r="AB68" i="17"/>
  <c r="AA68" i="17"/>
  <c r="Z68" i="17"/>
  <c r="Z69" i="17"/>
  <c r="AA69" i="17"/>
  <c r="AB70" i="17"/>
  <c r="Z70" i="17"/>
  <c r="AA70" i="17"/>
  <c r="Z71" i="17"/>
  <c r="AA71" i="17"/>
  <c r="AB72" i="17"/>
  <c r="AA72" i="17"/>
  <c r="Z72" i="17"/>
  <c r="Z73" i="17"/>
  <c r="AA73" i="17"/>
  <c r="AB74" i="17"/>
  <c r="Z74" i="17"/>
  <c r="AA74" i="17"/>
  <c r="Z75" i="17"/>
  <c r="AA75" i="17"/>
  <c r="AB76" i="17"/>
  <c r="AA76" i="17"/>
  <c r="Z76" i="17"/>
  <c r="Z77" i="17"/>
  <c r="AA77" i="17"/>
  <c r="AB78" i="17"/>
  <c r="Z78" i="17"/>
  <c r="AA78" i="17"/>
  <c r="Z79" i="17"/>
  <c r="AH79" i="17" s="1"/>
  <c r="AA79" i="17"/>
  <c r="AB80" i="17"/>
  <c r="AA80" i="17"/>
  <c r="Z80" i="17"/>
  <c r="Z81" i="17"/>
  <c r="AA81" i="17"/>
  <c r="AB82" i="17"/>
  <c r="Z82" i="17"/>
  <c r="AA82" i="17"/>
  <c r="Z83" i="17"/>
  <c r="AA83" i="17"/>
  <c r="AB84" i="17"/>
  <c r="AA84" i="17"/>
  <c r="Z84" i="17"/>
  <c r="Z85" i="17"/>
  <c r="AA85" i="17"/>
  <c r="AB86" i="17"/>
  <c r="Z86" i="17"/>
  <c r="AA86" i="17"/>
  <c r="Z87" i="17"/>
  <c r="AA87" i="17"/>
  <c r="AB88" i="17"/>
  <c r="AA88" i="17"/>
  <c r="Z88" i="17"/>
  <c r="Z89" i="17"/>
  <c r="AA89" i="17"/>
  <c r="AB90" i="17"/>
  <c r="Z90" i="17"/>
  <c r="AA90" i="17"/>
  <c r="Z91" i="17"/>
  <c r="AA91" i="17"/>
  <c r="AB92" i="17"/>
  <c r="AA92" i="17"/>
  <c r="Z92" i="17"/>
  <c r="Z93" i="17"/>
  <c r="AK93" i="17" s="1"/>
  <c r="AA93" i="17"/>
  <c r="AB94" i="17"/>
  <c r="Z94" i="17"/>
  <c r="AA94" i="17"/>
  <c r="Z95" i="17"/>
  <c r="AJ95" i="17" s="1"/>
  <c r="AA95" i="17"/>
  <c r="AB96" i="17"/>
  <c r="AA96" i="17"/>
  <c r="Z96" i="17"/>
  <c r="Z97" i="17"/>
  <c r="AA97" i="17"/>
  <c r="AB98" i="17"/>
  <c r="Z98" i="17"/>
  <c r="AA98" i="17"/>
  <c r="AE99" i="17"/>
  <c r="Z99" i="17"/>
  <c r="AK99" i="17" s="1"/>
  <c r="AA99" i="17"/>
  <c r="AB100" i="17"/>
  <c r="AA100" i="17"/>
  <c r="Z100" i="17"/>
  <c r="Z101" i="17"/>
  <c r="AF101" i="17" s="1"/>
  <c r="AA101" i="17"/>
  <c r="AB102" i="17"/>
  <c r="Z102" i="17"/>
  <c r="AA102" i="17"/>
  <c r="Z103" i="17"/>
  <c r="AA103" i="17"/>
  <c r="AB104" i="17"/>
  <c r="AA104" i="17"/>
  <c r="Z104" i="17"/>
  <c r="Z105" i="17"/>
  <c r="AA105" i="17"/>
  <c r="AB106" i="17"/>
  <c r="Z106" i="17"/>
  <c r="AA106" i="17"/>
  <c r="AE107" i="17"/>
  <c r="Z107" i="17"/>
  <c r="AA107" i="17"/>
  <c r="AB108" i="17"/>
  <c r="AA108" i="17"/>
  <c r="Z108" i="17"/>
  <c r="Z109" i="17"/>
  <c r="AA109" i="17"/>
  <c r="AB110" i="17"/>
  <c r="Z110" i="17"/>
  <c r="AA110" i="17"/>
  <c r="Z111" i="17"/>
  <c r="AA111" i="17"/>
  <c r="AB112" i="17"/>
  <c r="AA112" i="17"/>
  <c r="Z112" i="17"/>
  <c r="Z113" i="17"/>
  <c r="AA113" i="17"/>
  <c r="AB114" i="17"/>
  <c r="Z114" i="17"/>
  <c r="AA114" i="17"/>
  <c r="Z115" i="17"/>
  <c r="AA115" i="17"/>
  <c r="BQ40" i="24"/>
  <c r="BN40" i="24"/>
  <c r="C21" i="26"/>
  <c r="D16" i="3" s="1"/>
  <c r="AC32" i="19"/>
  <c r="AB32" i="19"/>
  <c r="AL32" i="19" s="1"/>
  <c r="AC34" i="19"/>
  <c r="AB34" i="19"/>
  <c r="AI34" i="19" s="1"/>
  <c r="AO34" i="19" s="1"/>
  <c r="AC36" i="19"/>
  <c r="AB36" i="19"/>
  <c r="AL36" i="19" s="1"/>
  <c r="AG37" i="19"/>
  <c r="AB37" i="19"/>
  <c r="AC37" i="19"/>
  <c r="AC40" i="19"/>
  <c r="AB40" i="19"/>
  <c r="AI40" i="19" s="1"/>
  <c r="AO40" i="19" s="1"/>
  <c r="AD43" i="19"/>
  <c r="AB43" i="19"/>
  <c r="AL43" i="19" s="1"/>
  <c r="AC43" i="19"/>
  <c r="AC44" i="19"/>
  <c r="AB44" i="19"/>
  <c r="AI44" i="19" s="1"/>
  <c r="AO44" i="19" s="1"/>
  <c r="AB49" i="19"/>
  <c r="AC49" i="19"/>
  <c r="AC50" i="19"/>
  <c r="AB50" i="19"/>
  <c r="AJ50" i="19" s="1"/>
  <c r="AG53" i="19"/>
  <c r="AB53" i="19"/>
  <c r="AI53" i="19" s="1"/>
  <c r="AO53" i="19" s="1"/>
  <c r="AC53" i="19"/>
  <c r="AD55" i="19"/>
  <c r="AB55" i="19"/>
  <c r="AC55" i="19"/>
  <c r="AB57" i="19"/>
  <c r="AJ57" i="19" s="1"/>
  <c r="AC57" i="19"/>
  <c r="AB59" i="19"/>
  <c r="AC59" i="19"/>
  <c r="AC62" i="19"/>
  <c r="AB62" i="19"/>
  <c r="AL62" i="19" s="1"/>
  <c r="AC64" i="19"/>
  <c r="AB64" i="19"/>
  <c r="AL64" i="19" s="1"/>
  <c r="AD65" i="19"/>
  <c r="AB65" i="19"/>
  <c r="AC65" i="19"/>
  <c r="AB67" i="19"/>
  <c r="AJ67" i="19" s="1"/>
  <c r="AC67" i="19"/>
  <c r="AD69" i="19"/>
  <c r="AB69" i="19"/>
  <c r="AC69" i="19"/>
  <c r="AB71" i="19"/>
  <c r="AI71" i="19" s="1"/>
  <c r="AO71" i="19" s="1"/>
  <c r="AC71" i="19"/>
  <c r="AG74" i="19"/>
  <c r="AC74" i="19"/>
  <c r="AB74" i="19"/>
  <c r="AI74" i="19" s="1"/>
  <c r="AO74" i="19" s="1"/>
  <c r="AB75" i="19"/>
  <c r="AJ75" i="19" s="1"/>
  <c r="AC75" i="19"/>
  <c r="AC76" i="19"/>
  <c r="AB76" i="19"/>
  <c r="AH76" i="19" s="1"/>
  <c r="AC80" i="19"/>
  <c r="AB80" i="19"/>
  <c r="AB87" i="19"/>
  <c r="AL87" i="19" s="1"/>
  <c r="AC87" i="19"/>
  <c r="AG88" i="19"/>
  <c r="AC88" i="19"/>
  <c r="AB88" i="19"/>
  <c r="AM88" i="19" s="1"/>
  <c r="AB95" i="19"/>
  <c r="AL95" i="19" s="1"/>
  <c r="AC95" i="19"/>
  <c r="AB97" i="19"/>
  <c r="AJ97" i="19" s="1"/>
  <c r="AC97" i="19"/>
  <c r="AG99" i="19"/>
  <c r="AB99" i="19"/>
  <c r="AC99" i="19"/>
  <c r="AC100" i="19"/>
  <c r="AB100" i="19"/>
  <c r="AH100" i="19" s="1"/>
  <c r="AG102" i="19"/>
  <c r="AC102" i="19"/>
  <c r="AB102" i="19"/>
  <c r="AJ102" i="19" s="1"/>
  <c r="AD105" i="19"/>
  <c r="AB105" i="19"/>
  <c r="AH105" i="19" s="1"/>
  <c r="AC105" i="19"/>
  <c r="AG107" i="19"/>
  <c r="AB107" i="19"/>
  <c r="AJ107" i="19" s="1"/>
  <c r="AC107" i="19"/>
  <c r="AC108" i="19"/>
  <c r="AB108" i="19"/>
  <c r="AH108" i="19" s="1"/>
  <c r="AD112" i="19"/>
  <c r="AC112" i="19"/>
  <c r="AB112" i="19"/>
  <c r="AH112" i="19" s="1"/>
  <c r="AD113" i="19"/>
  <c r="AB113" i="19"/>
  <c r="AM113" i="19" s="1"/>
  <c r="AC113" i="19"/>
  <c r="AD114" i="19"/>
  <c r="AC114" i="19"/>
  <c r="AB114" i="19"/>
  <c r="AL114" i="19" s="1"/>
  <c r="AC116" i="19"/>
  <c r="AB116" i="19"/>
  <c r="AG33" i="19"/>
  <c r="AB33" i="19"/>
  <c r="AM33" i="19" s="1"/>
  <c r="AC33" i="19"/>
  <c r="AG35" i="19"/>
  <c r="AB35" i="19"/>
  <c r="AM35" i="19" s="1"/>
  <c r="AC35" i="19"/>
  <c r="AC38" i="19"/>
  <c r="AB38" i="19"/>
  <c r="AL38" i="19" s="1"/>
  <c r="AG39" i="19"/>
  <c r="AB39" i="19"/>
  <c r="AI39" i="19" s="1"/>
  <c r="AO39" i="19" s="1"/>
  <c r="AC39" i="19"/>
  <c r="AG41" i="19"/>
  <c r="AB41" i="19"/>
  <c r="AM41" i="19" s="1"/>
  <c r="AC41" i="19"/>
  <c r="AC42" i="19"/>
  <c r="AB42" i="19"/>
  <c r="AJ42" i="19" s="1"/>
  <c r="AB45" i="19"/>
  <c r="AI45" i="19" s="1"/>
  <c r="AO45" i="19" s="1"/>
  <c r="AC45" i="19"/>
  <c r="AC46" i="19"/>
  <c r="AB46" i="19"/>
  <c r="AJ46" i="19" s="1"/>
  <c r="AB47" i="19"/>
  <c r="AC47" i="19"/>
  <c r="AC48" i="19"/>
  <c r="AB48" i="19"/>
  <c r="AL48" i="19" s="1"/>
  <c r="AB51" i="19"/>
  <c r="AM51" i="19" s="1"/>
  <c r="AC51" i="19"/>
  <c r="AC52" i="19"/>
  <c r="AB52" i="19"/>
  <c r="AC54" i="19"/>
  <c r="AB54" i="19"/>
  <c r="AL54" i="19" s="1"/>
  <c r="AC56" i="19"/>
  <c r="AB56" i="19"/>
  <c r="AI56" i="19" s="1"/>
  <c r="AO56" i="19" s="1"/>
  <c r="AC58" i="19"/>
  <c r="AB58" i="19"/>
  <c r="AL58" i="19" s="1"/>
  <c r="AC60" i="19"/>
  <c r="AB60" i="19"/>
  <c r="AL60" i="19" s="1"/>
  <c r="AB61" i="19"/>
  <c r="AC61" i="19"/>
  <c r="AB63" i="19"/>
  <c r="AI63" i="19" s="1"/>
  <c r="AO63" i="19" s="1"/>
  <c r="AC63" i="19"/>
  <c r="AC66" i="19"/>
  <c r="AB66" i="19"/>
  <c r="AL66" i="19" s="1"/>
  <c r="AC68" i="19"/>
  <c r="AB68" i="19"/>
  <c r="AH68" i="19" s="1"/>
  <c r="AG70" i="19"/>
  <c r="AC70" i="19"/>
  <c r="AB70" i="19"/>
  <c r="AJ70" i="19" s="1"/>
  <c r="AC72" i="19"/>
  <c r="AB72" i="19"/>
  <c r="AD73" i="19"/>
  <c r="AB73" i="19"/>
  <c r="AH73" i="19" s="1"/>
  <c r="AC73" i="19"/>
  <c r="AD77" i="19"/>
  <c r="AB77" i="19"/>
  <c r="AC77" i="19"/>
  <c r="AC78" i="19"/>
  <c r="AB78" i="19"/>
  <c r="AL78" i="19" s="1"/>
  <c r="AB79" i="19"/>
  <c r="AI79" i="19" s="1"/>
  <c r="AO79" i="19" s="1"/>
  <c r="AC79" i="19"/>
  <c r="AD81" i="19"/>
  <c r="AB81" i="19"/>
  <c r="AH81" i="19" s="1"/>
  <c r="AC81" i="19"/>
  <c r="AG82" i="19"/>
  <c r="AC82" i="19"/>
  <c r="AB82" i="19"/>
  <c r="AL82" i="19" s="1"/>
  <c r="AB83" i="19"/>
  <c r="AJ83" i="19" s="1"/>
  <c r="AC83" i="19"/>
  <c r="AD84" i="19"/>
  <c r="AC84" i="19"/>
  <c r="AB84" i="19"/>
  <c r="AB85" i="19"/>
  <c r="AI85" i="19" s="1"/>
  <c r="AO85" i="19" s="1"/>
  <c r="AC85" i="19"/>
  <c r="AC86" i="19"/>
  <c r="AB86" i="19"/>
  <c r="AM86" i="19" s="1"/>
  <c r="AB89" i="19"/>
  <c r="AL89" i="19" s="1"/>
  <c r="AC89" i="19"/>
  <c r="AC90" i="19"/>
  <c r="AB90" i="19"/>
  <c r="AB91" i="19"/>
  <c r="AH91" i="19" s="1"/>
  <c r="AC91" i="19"/>
  <c r="AD92" i="19"/>
  <c r="AC92" i="19"/>
  <c r="AB92" i="19"/>
  <c r="AB93" i="19"/>
  <c r="AI93" i="19" s="1"/>
  <c r="AO93" i="19" s="1"/>
  <c r="AC93" i="19"/>
  <c r="AG94" i="19"/>
  <c r="AC94" i="19"/>
  <c r="AB94" i="19"/>
  <c r="AI94" i="19" s="1"/>
  <c r="AO94" i="19" s="1"/>
  <c r="AG96" i="19"/>
  <c r="AC96" i="19"/>
  <c r="AB96" i="19"/>
  <c r="AD98" i="19"/>
  <c r="AC98" i="19"/>
  <c r="AB98" i="19"/>
  <c r="AJ98" i="19" s="1"/>
  <c r="AD101" i="19"/>
  <c r="AB101" i="19"/>
  <c r="AH101" i="19" s="1"/>
  <c r="AC101" i="19"/>
  <c r="AB103" i="19"/>
  <c r="AL103" i="19" s="1"/>
  <c r="AC103" i="19"/>
  <c r="AC104" i="19"/>
  <c r="AB104" i="19"/>
  <c r="AC106" i="19"/>
  <c r="AB106" i="19"/>
  <c r="AJ106" i="19" s="1"/>
  <c r="AD109" i="19"/>
  <c r="AB109" i="19"/>
  <c r="AM109" i="19" s="1"/>
  <c r="AC109" i="19"/>
  <c r="AC110" i="19"/>
  <c r="AB110" i="19"/>
  <c r="AI110" i="19" s="1"/>
  <c r="AO110" i="19" s="1"/>
  <c r="AD111" i="19"/>
  <c r="AB111" i="19"/>
  <c r="AC111" i="19"/>
  <c r="AB115" i="19"/>
  <c r="AC115" i="19"/>
  <c r="AG110" i="19"/>
  <c r="AU50" i="17"/>
  <c r="AU52" i="17"/>
  <c r="AU54" i="17"/>
  <c r="AU56" i="17"/>
  <c r="AU58" i="17"/>
  <c r="AU77" i="17"/>
  <c r="AR116" i="18"/>
  <c r="AU89" i="17"/>
  <c r="AR33" i="18"/>
  <c r="AF110" i="18"/>
  <c r="AR111" i="18"/>
  <c r="BL23" i="24"/>
  <c r="BL27" i="24"/>
  <c r="BP50" i="24"/>
  <c r="BI51" i="24"/>
  <c r="AR79" i="18"/>
  <c r="AU94" i="19"/>
  <c r="AG98" i="19"/>
  <c r="AE30" i="17"/>
  <c r="AK30" i="17" s="1"/>
  <c r="AE89" i="17"/>
  <c r="AR36" i="18"/>
  <c r="AU65" i="19"/>
  <c r="AU67" i="19"/>
  <c r="AU74" i="19"/>
  <c r="AU77" i="19"/>
  <c r="AF12" i="11"/>
  <c r="AU22" i="17"/>
  <c r="AU78" i="17"/>
  <c r="AU83" i="17"/>
  <c r="AU86" i="17"/>
  <c r="AR22" i="18"/>
  <c r="AR39" i="18"/>
  <c r="AR43" i="18"/>
  <c r="AR47" i="18"/>
  <c r="AR55" i="18"/>
  <c r="AA71" i="18"/>
  <c r="AI71" i="18" s="1"/>
  <c r="AG42" i="19"/>
  <c r="AE18" i="17"/>
  <c r="AK18" i="17" s="1"/>
  <c r="AG17" i="16"/>
  <c r="AF38" i="16"/>
  <c r="AE22" i="17"/>
  <c r="AK22" i="17" s="1"/>
  <c r="AU111" i="17"/>
  <c r="AU114" i="17"/>
  <c r="AR54" i="18"/>
  <c r="AC90" i="18"/>
  <c r="AR91" i="18"/>
  <c r="AR103" i="18"/>
  <c r="AU41" i="19"/>
  <c r="AG89" i="19"/>
  <c r="O16" i="20"/>
  <c r="AF13" i="11"/>
  <c r="AF28" i="11"/>
  <c r="AY19" i="14"/>
  <c r="AY21" i="14"/>
  <c r="AY23" i="14"/>
  <c r="AU18" i="17"/>
  <c r="AU19" i="17"/>
  <c r="AU20" i="17"/>
  <c r="AR49" i="18"/>
  <c r="AR65" i="18"/>
  <c r="AR69" i="18"/>
  <c r="AR93" i="18"/>
  <c r="AR110" i="18"/>
  <c r="AU43" i="19"/>
  <c r="AU44" i="19"/>
  <c r="AU51" i="19"/>
  <c r="AU53" i="19"/>
  <c r="AU54" i="19"/>
  <c r="AB115" i="17"/>
  <c r="AB105" i="17"/>
  <c r="AE34" i="17"/>
  <c r="BA12" i="14"/>
  <c r="AE24" i="17"/>
  <c r="AK24" i="17" s="1"/>
  <c r="AE97" i="17"/>
  <c r="AU105" i="17"/>
  <c r="AU107" i="17"/>
  <c r="AU108" i="17"/>
  <c r="AR30" i="18"/>
  <c r="AR102" i="18"/>
  <c r="AU89" i="19"/>
  <c r="AU90" i="19"/>
  <c r="AB63" i="18"/>
  <c r="AF63" i="18"/>
  <c r="AA63" i="18"/>
  <c r="AI63" i="18" s="1"/>
  <c r="AD51" i="19"/>
  <c r="AQ46" i="13"/>
  <c r="AY20" i="14"/>
  <c r="AY22" i="14"/>
  <c r="AT13" i="17"/>
  <c r="AU24" i="17"/>
  <c r="AU26" i="17"/>
  <c r="AU27" i="17"/>
  <c r="AU28" i="17"/>
  <c r="AU97" i="17"/>
  <c r="AB28" i="18"/>
  <c r="AC28" i="18"/>
  <c r="AR38" i="18"/>
  <c r="AC54" i="18"/>
  <c r="AF54" i="18"/>
  <c r="AC73" i="18"/>
  <c r="AB74" i="18"/>
  <c r="AU69" i="19"/>
  <c r="AU70" i="19"/>
  <c r="AU73" i="19"/>
  <c r="AC36" i="18"/>
  <c r="AD36" i="18" s="1"/>
  <c r="AE36" i="18" s="1"/>
  <c r="AF36" i="18"/>
  <c r="AG31" i="19"/>
  <c r="AG78" i="19"/>
  <c r="AU49" i="19"/>
  <c r="AU105" i="19"/>
  <c r="AS45" i="13"/>
  <c r="AU44" i="17"/>
  <c r="AU71" i="17"/>
  <c r="AU73" i="17"/>
  <c r="AU75" i="17"/>
  <c r="AU115" i="17"/>
  <c r="AR26" i="18"/>
  <c r="AR57" i="18"/>
  <c r="AR63" i="18"/>
  <c r="AR83" i="18"/>
  <c r="AR95" i="18"/>
  <c r="AR99" i="18"/>
  <c r="AU36" i="19"/>
  <c r="AU56" i="19"/>
  <c r="AU57" i="19"/>
  <c r="AU59" i="19"/>
  <c r="AU84" i="19"/>
  <c r="BI20" i="24"/>
  <c r="BF21" i="24"/>
  <c r="BL21" i="24"/>
  <c r="AR88" i="18"/>
  <c r="P192" i="22"/>
  <c r="N190" i="23"/>
  <c r="BF22" i="24"/>
  <c r="AF30" i="11"/>
  <c r="AQ10" i="13"/>
  <c r="AQ14" i="13"/>
  <c r="AG38" i="16"/>
  <c r="AE61" i="17"/>
  <c r="AU67" i="17"/>
  <c r="AU69" i="17"/>
  <c r="AE75" i="17"/>
  <c r="AU85" i="17"/>
  <c r="AU87" i="17"/>
  <c r="AU91" i="17"/>
  <c r="AU93" i="17"/>
  <c r="AU100" i="17"/>
  <c r="AE115" i="17"/>
  <c r="AT17" i="18"/>
  <c r="AB20" i="18"/>
  <c r="AR23" i="18"/>
  <c r="AR25" i="18"/>
  <c r="AF28" i="18"/>
  <c r="AR28" i="18"/>
  <c r="AC45" i="18"/>
  <c r="AB46" i="18"/>
  <c r="AR46" i="18"/>
  <c r="AR50" i="18"/>
  <c r="AR66" i="18"/>
  <c r="AR94" i="18"/>
  <c r="AR104" i="18"/>
  <c r="AU38" i="19"/>
  <c r="AD59" i="19"/>
  <c r="AU79" i="19"/>
  <c r="AU81" i="19"/>
  <c r="AU101" i="19"/>
  <c r="M192" i="22"/>
  <c r="AC20" i="18"/>
  <c r="AP14" i="19"/>
  <c r="AR14" i="19"/>
  <c r="AG59" i="19"/>
  <c r="AD94" i="19"/>
  <c r="AD96" i="19"/>
  <c r="N24" i="23"/>
  <c r="AB17" i="8"/>
  <c r="AU16" i="17"/>
  <c r="AU36" i="17"/>
  <c r="AU39" i="17"/>
  <c r="AU46" i="17"/>
  <c r="AE65" i="17"/>
  <c r="AU103" i="17"/>
  <c r="AU104" i="17"/>
  <c r="AU109" i="17"/>
  <c r="AR20" i="18"/>
  <c r="AR31" i="18"/>
  <c r="AR42" i="18"/>
  <c r="AC53" i="18"/>
  <c r="AR53" i="18"/>
  <c r="AB54" i="18"/>
  <c r="AR61" i="18"/>
  <c r="AR71" i="18"/>
  <c r="AR74" i="18"/>
  <c r="AR75" i="18"/>
  <c r="AR81" i="18"/>
  <c r="AC86" i="18"/>
  <c r="AD86" i="18" s="1"/>
  <c r="AE86" i="18" s="1"/>
  <c r="AR86" i="18"/>
  <c r="AD90" i="18"/>
  <c r="AE90" i="18" s="1"/>
  <c r="AR101" i="18"/>
  <c r="AC110" i="18"/>
  <c r="AD110" i="18" s="1"/>
  <c r="AE110" i="18" s="1"/>
  <c r="AR112" i="18"/>
  <c r="AR117" i="18"/>
  <c r="AV14" i="19"/>
  <c r="AU22" i="19"/>
  <c r="AU32" i="19"/>
  <c r="AG55" i="19"/>
  <c r="AU61" i="19"/>
  <c r="AU88" i="19"/>
  <c r="AG106" i="19"/>
  <c r="AU114" i="19"/>
  <c r="O49" i="20"/>
  <c r="BG14" i="24"/>
  <c r="BL15" i="24"/>
  <c r="BL19" i="24"/>
  <c r="BI28" i="24"/>
  <c r="BF29" i="24"/>
  <c r="BL29" i="24"/>
  <c r="BI15" i="24"/>
  <c r="BF16" i="24"/>
  <c r="BF20" i="24"/>
  <c r="BK14" i="24"/>
  <c r="BK32" i="24" s="1"/>
  <c r="BI23" i="24"/>
  <c r="BI25" i="24"/>
  <c r="BF28" i="24"/>
  <c r="AB75" i="8"/>
  <c r="AQ11" i="13"/>
  <c r="AJ18" i="17"/>
  <c r="AU31" i="17"/>
  <c r="AU53" i="17"/>
  <c r="AU55" i="17"/>
  <c r="AU57" i="17"/>
  <c r="AU59" i="17"/>
  <c r="AU76" i="17"/>
  <c r="AE77" i="17"/>
  <c r="AU90" i="17"/>
  <c r="AE91" i="17"/>
  <c r="AU113" i="17"/>
  <c r="AR34" i="18"/>
  <c r="AC37" i="18"/>
  <c r="AA37" i="18"/>
  <c r="AI37" i="18" s="1"/>
  <c r="AF17" i="16"/>
  <c r="AC29" i="18"/>
  <c r="AA29" i="18"/>
  <c r="AI29" i="18" s="1"/>
  <c r="AC50" i="18"/>
  <c r="AF50" i="18"/>
  <c r="AB51" i="18"/>
  <c r="AA51" i="18"/>
  <c r="AI51" i="18" s="1"/>
  <c r="AF55" i="18"/>
  <c r="AB55" i="18"/>
  <c r="AF67" i="18"/>
  <c r="AA67" i="18"/>
  <c r="AI67" i="18" s="1"/>
  <c r="AC99" i="18"/>
  <c r="AB99" i="18"/>
  <c r="AB16" i="8"/>
  <c r="AB18" i="8"/>
  <c r="AC91" i="10"/>
  <c r="AU23" i="17"/>
  <c r="AJ26" i="17"/>
  <c r="AU42" i="17"/>
  <c r="AU48" i="17"/>
  <c r="AU81" i="17"/>
  <c r="AB85" i="17"/>
  <c r="AC85" i="17" s="1"/>
  <c r="AD85" i="17" s="1"/>
  <c r="AE113" i="17"/>
  <c r="AR18" i="18"/>
  <c r="AC21" i="18"/>
  <c r="AA21" i="18"/>
  <c r="AI21" i="18" s="1"/>
  <c r="AC33" i="18"/>
  <c r="AB33" i="18"/>
  <c r="AC41" i="18"/>
  <c r="AB42" i="18"/>
  <c r="AC49" i="18"/>
  <c r="AB50" i="18"/>
  <c r="AF51" i="18"/>
  <c r="AR51" i="18"/>
  <c r="AA55" i="18"/>
  <c r="AI55" i="18" s="1"/>
  <c r="AC65" i="18"/>
  <c r="AA66" i="18"/>
  <c r="AH66" i="18" s="1"/>
  <c r="AL66" i="18" s="1"/>
  <c r="AB70" i="18"/>
  <c r="AD70" i="18" s="1"/>
  <c r="AE70" i="18" s="1"/>
  <c r="AA70" i="18"/>
  <c r="AG70" i="18" s="1"/>
  <c r="AC103" i="18"/>
  <c r="AB103" i="18"/>
  <c r="AA103" i="18"/>
  <c r="AG103" i="18" s="1"/>
  <c r="AE26" i="17"/>
  <c r="AK26" i="17" s="1"/>
  <c r="AU34" i="17"/>
  <c r="AU35" i="17"/>
  <c r="AU92" i="17"/>
  <c r="AU98" i="17"/>
  <c r="AU99" i="17"/>
  <c r="AB109" i="17"/>
  <c r="AC25" i="18"/>
  <c r="AB25" i="18"/>
  <c r="AF59" i="18"/>
  <c r="AB59" i="18"/>
  <c r="AF69" i="18"/>
  <c r="AC69" i="18"/>
  <c r="AC102" i="18"/>
  <c r="AF102" i="18"/>
  <c r="AB106" i="18"/>
  <c r="AF106" i="18"/>
  <c r="AC106" i="18"/>
  <c r="AN17" i="18"/>
  <c r="O17" i="20" s="1"/>
  <c r="AV17" i="18"/>
  <c r="AS17" i="18"/>
  <c r="AU21" i="15" s="1"/>
  <c r="AF86" i="18"/>
  <c r="AR87" i="18"/>
  <c r="AR108" i="18"/>
  <c r="AC114" i="18"/>
  <c r="AD114" i="18" s="1"/>
  <c r="AE114" i="18" s="1"/>
  <c r="AA115" i="18"/>
  <c r="AI115" i="18" s="1"/>
  <c r="AT14" i="19"/>
  <c r="AU34" i="19"/>
  <c r="AD57" i="19"/>
  <c r="AU71" i="19"/>
  <c r="P24" i="23"/>
  <c r="M190" i="23"/>
  <c r="AU40" i="17"/>
  <c r="AU45" i="17"/>
  <c r="AU62" i="17"/>
  <c r="AU64" i="17"/>
  <c r="AU65" i="17"/>
  <c r="AU79" i="17"/>
  <c r="AU80" i="17"/>
  <c r="AU95" i="17"/>
  <c r="AU101" i="17"/>
  <c r="AU112" i="17"/>
  <c r="AR59" i="18"/>
  <c r="AR67" i="18"/>
  <c r="AR78" i="18"/>
  <c r="AR92" i="18"/>
  <c r="AR97" i="18"/>
  <c r="AR106" i="18"/>
  <c r="AR107" i="18"/>
  <c r="AB115" i="18"/>
  <c r="AO14" i="19"/>
  <c r="AU17" i="19"/>
  <c r="AU30" i="19"/>
  <c r="AU40" i="19"/>
  <c r="AU45" i="19"/>
  <c r="AD47" i="19"/>
  <c r="AU47" i="19"/>
  <c r="AD53" i="19"/>
  <c r="AU60" i="19"/>
  <c r="AU75" i="19"/>
  <c r="AU78" i="19"/>
  <c r="AG92" i="19"/>
  <c r="AU102" i="19"/>
  <c r="AU107" i="19"/>
  <c r="AU109" i="19"/>
  <c r="AU111" i="19"/>
  <c r="AD116" i="19"/>
  <c r="M26" i="22"/>
  <c r="O192" i="22"/>
  <c r="AR76" i="18"/>
  <c r="AR77" i="18"/>
  <c r="AR90" i="18"/>
  <c r="AC115" i="18"/>
  <c r="AU19" i="19"/>
  <c r="AU20" i="19"/>
  <c r="AU48" i="19"/>
  <c r="AU55" i="19"/>
  <c r="AU66" i="19"/>
  <c r="AU98" i="19"/>
  <c r="AU113" i="19"/>
  <c r="AG116" i="19"/>
  <c r="L26" i="22"/>
  <c r="O26" i="22"/>
  <c r="L192" i="22"/>
  <c r="BF15" i="24"/>
  <c r="P26" i="22"/>
  <c r="BI21" i="24"/>
  <c r="BF24" i="24"/>
  <c r="BF26" i="24"/>
  <c r="BL26" i="24"/>
  <c r="BL31" i="24"/>
  <c r="M24" i="23"/>
  <c r="P190" i="23"/>
  <c r="BF18" i="24"/>
  <c r="BL25" i="24"/>
  <c r="BM25" i="24" s="1"/>
  <c r="BI29" i="24"/>
  <c r="AB15" i="8"/>
  <c r="AC85" i="10"/>
  <c r="AF15" i="11"/>
  <c r="AQ12" i="13"/>
  <c r="AQ15" i="13"/>
  <c r="AY18" i="14"/>
  <c r="AY25" i="14"/>
  <c r="AF23" i="16"/>
  <c r="AU17" i="17"/>
  <c r="AF20" i="17"/>
  <c r="AU25" i="17"/>
  <c r="AJ28" i="17"/>
  <c r="AU33" i="17"/>
  <c r="AU41" i="17"/>
  <c r="AU43" i="17"/>
  <c r="AU60" i="17"/>
  <c r="AE95" i="17"/>
  <c r="Y11" i="12"/>
  <c r="AS9" i="13"/>
  <c r="AB103" i="17"/>
  <c r="AB111" i="17"/>
  <c r="AE111" i="17"/>
  <c r="AA47" i="8"/>
  <c r="AC34" i="8"/>
  <c r="AC47" i="8" s="1"/>
  <c r="AF16" i="11"/>
  <c r="AQ13" i="13"/>
  <c r="AY17" i="14"/>
  <c r="AY24" i="14"/>
  <c r="AU21" i="17"/>
  <c r="AJ24" i="17"/>
  <c r="AU29" i="17"/>
  <c r="AU37" i="17"/>
  <c r="AU47" i="17"/>
  <c r="AU49" i="17"/>
  <c r="AU51" i="17"/>
  <c r="AB61" i="17"/>
  <c r="AE103" i="17"/>
  <c r="AE55" i="17"/>
  <c r="AE57" i="17"/>
  <c r="AE59" i="17"/>
  <c r="AB64" i="17"/>
  <c r="AE83" i="17"/>
  <c r="AB107" i="17"/>
  <c r="AU61" i="17"/>
  <c r="AE63" i="17"/>
  <c r="AU63" i="17"/>
  <c r="AU68" i="17"/>
  <c r="AU70" i="17"/>
  <c r="AU72" i="17"/>
  <c r="AU74" i="17"/>
  <c r="AU84" i="17"/>
  <c r="AE87" i="17"/>
  <c r="AU88" i="17"/>
  <c r="AU96" i="17"/>
  <c r="AM17" i="18"/>
  <c r="AQ17" i="18"/>
  <c r="AU17" i="18"/>
  <c r="AU20" i="15" s="1"/>
  <c r="AO17" i="18"/>
  <c r="AB21" i="18"/>
  <c r="AF24" i="18"/>
  <c r="AR24" i="18"/>
  <c r="AB29" i="18"/>
  <c r="AF32" i="18"/>
  <c r="AR32" i="18"/>
  <c r="AB37" i="18"/>
  <c r="AF40" i="18"/>
  <c r="AR40" i="18"/>
  <c r="AR41" i="18"/>
  <c r="AR44" i="18"/>
  <c r="AR45" i="18"/>
  <c r="AF58" i="18"/>
  <c r="AR58" i="18"/>
  <c r="AB66" i="18"/>
  <c r="AD66" i="18" s="1"/>
  <c r="AE66" i="18" s="1"/>
  <c r="AR70" i="18"/>
  <c r="AR72" i="18"/>
  <c r="AR73" i="18"/>
  <c r="AF77" i="18"/>
  <c r="AB77" i="18"/>
  <c r="AD77" i="18" s="1"/>
  <c r="AE77" i="18" s="1"/>
  <c r="AA77" i="18"/>
  <c r="AG77" i="18" s="1"/>
  <c r="AF81" i="18"/>
  <c r="AC81" i="18"/>
  <c r="AF87" i="18"/>
  <c r="AB87" i="18"/>
  <c r="AA87" i="18"/>
  <c r="AG87" i="18" s="1"/>
  <c r="AA95" i="18"/>
  <c r="AI95" i="18" s="1"/>
  <c r="AG49" i="19"/>
  <c r="AD49" i="19"/>
  <c r="AG61" i="19"/>
  <c r="AD61" i="19"/>
  <c r="AG62" i="19"/>
  <c r="AA79" i="18"/>
  <c r="AI79" i="18" s="1"/>
  <c r="AF98" i="18"/>
  <c r="AC98" i="18"/>
  <c r="AB98" i="18"/>
  <c r="AF107" i="18"/>
  <c r="AB107" i="18"/>
  <c r="AA107" i="18"/>
  <c r="AE85" i="17"/>
  <c r="AB113" i="17"/>
  <c r="AC61" i="18"/>
  <c r="AB62" i="18"/>
  <c r="AD62" i="18" s="1"/>
  <c r="AE62" i="18" s="1"/>
  <c r="AR68" i="18"/>
  <c r="AB78" i="18"/>
  <c r="AF97" i="18"/>
  <c r="AC97" i="18"/>
  <c r="AU15" i="19"/>
  <c r="AS14" i="19"/>
  <c r="AG45" i="19"/>
  <c r="AD45" i="19"/>
  <c r="AG66" i="19"/>
  <c r="AB63" i="17"/>
  <c r="AU66" i="17"/>
  <c r="AE81" i="17"/>
  <c r="AU82" i="17"/>
  <c r="AB87" i="17"/>
  <c r="AE93" i="17"/>
  <c r="AU94" i="17"/>
  <c r="AE101" i="17"/>
  <c r="AU102" i="17"/>
  <c r="AE105" i="17"/>
  <c r="AU106" i="17"/>
  <c r="AE109" i="17"/>
  <c r="AU110" i="17"/>
  <c r="AP17" i="18"/>
  <c r="AR19" i="18"/>
  <c r="AF21" i="18"/>
  <c r="AR21" i="18"/>
  <c r="AA22" i="18"/>
  <c r="AI22" i="18" s="1"/>
  <c r="AB24" i="18"/>
  <c r="AD24" i="18" s="1"/>
  <c r="AE24" i="18" s="1"/>
  <c r="AR27" i="18"/>
  <c r="AF29" i="18"/>
  <c r="AR29" i="18"/>
  <c r="AA30" i="18"/>
  <c r="AI30" i="18" s="1"/>
  <c r="AB32" i="18"/>
  <c r="AD32" i="18" s="1"/>
  <c r="AE32" i="18" s="1"/>
  <c r="AR35" i="18"/>
  <c r="AF37" i="18"/>
  <c r="AR37" i="18"/>
  <c r="AA38" i="18"/>
  <c r="AI38" i="18" s="1"/>
  <c r="AB40" i="18"/>
  <c r="AD40" i="18" s="1"/>
  <c r="AE40" i="18" s="1"/>
  <c r="AC57" i="18"/>
  <c r="AB58" i="18"/>
  <c r="AD58" i="18" s="1"/>
  <c r="AE58" i="18" s="1"/>
  <c r="AF62" i="18"/>
  <c r="AR62" i="18"/>
  <c r="AF66" i="18"/>
  <c r="AB67" i="18"/>
  <c r="AF82" i="18"/>
  <c r="AB82" i="18"/>
  <c r="AF111" i="18"/>
  <c r="AB111" i="18"/>
  <c r="AA111" i="18"/>
  <c r="AG111" i="18" s="1"/>
  <c r="AG19" i="19"/>
  <c r="AF94" i="18"/>
  <c r="AD18" i="19"/>
  <c r="AE18" i="19" s="1"/>
  <c r="AF18" i="19" s="1"/>
  <c r="AU21" i="19"/>
  <c r="AU24" i="19"/>
  <c r="AU28" i="19"/>
  <c r="AU46" i="19"/>
  <c r="AG47" i="19"/>
  <c r="AU50" i="19"/>
  <c r="AG51" i="19"/>
  <c r="AG57" i="19"/>
  <c r="AU62" i="19"/>
  <c r="AG85" i="19"/>
  <c r="AU86" i="19"/>
  <c r="AU91" i="19"/>
  <c r="AU92" i="19"/>
  <c r="AU97" i="19"/>
  <c r="AU103" i="19"/>
  <c r="AU106" i="19"/>
  <c r="AU112" i="19"/>
  <c r="AU115" i="19"/>
  <c r="AU116" i="19"/>
  <c r="O24" i="23"/>
  <c r="O190" i="23"/>
  <c r="BI16" i="24"/>
  <c r="BL17" i="24"/>
  <c r="BI19" i="24"/>
  <c r="BM19" i="24" s="1"/>
  <c r="AF90" i="18"/>
  <c r="AA91" i="18"/>
  <c r="AI91" i="18" s="1"/>
  <c r="AC93" i="18"/>
  <c r="AA94" i="18"/>
  <c r="AH94" i="18" s="1"/>
  <c r="AL94" i="18" s="1"/>
  <c r="AR96" i="18"/>
  <c r="AF99" i="18"/>
  <c r="AC101" i="18"/>
  <c r="AB102" i="18"/>
  <c r="AG18" i="19"/>
  <c r="AG112" i="19"/>
  <c r="AG114" i="19"/>
  <c r="BE14" i="24"/>
  <c r="BE32" i="24" s="1"/>
  <c r="AF25" i="18"/>
  <c r="AF33" i="18"/>
  <c r="AR48" i="18"/>
  <c r="AR52" i="18"/>
  <c r="AR56" i="18"/>
  <c r="AR60" i="18"/>
  <c r="AR64" i="18"/>
  <c r="AF70" i="18"/>
  <c r="AR80" i="18"/>
  <c r="AR82" i="18"/>
  <c r="AA83" i="18"/>
  <c r="AI83" i="18" s="1"/>
  <c r="AR84" i="18"/>
  <c r="AC85" i="18"/>
  <c r="AR85" i="18"/>
  <c r="AC89" i="18"/>
  <c r="AR89" i="18"/>
  <c r="AA90" i="18"/>
  <c r="AG90" i="18" s="1"/>
  <c r="AB94" i="18"/>
  <c r="AD94" i="18" s="1"/>
  <c r="AE94" i="18" s="1"/>
  <c r="AR98" i="18"/>
  <c r="AA99" i="18"/>
  <c r="AG99" i="18" s="1"/>
  <c r="AR100" i="18"/>
  <c r="AF103" i="18"/>
  <c r="AC105" i="18"/>
  <c r="AR105" i="18"/>
  <c r="AC109" i="18"/>
  <c r="AR109" i="18"/>
  <c r="AC113" i="18"/>
  <c r="AR113" i="18"/>
  <c r="AR115" i="18"/>
  <c r="AU16" i="19"/>
  <c r="AU18" i="19"/>
  <c r="AL21" i="19"/>
  <c r="AU26" i="19"/>
  <c r="AU52" i="19"/>
  <c r="AU58" i="19"/>
  <c r="AU63" i="19"/>
  <c r="AU82" i="19"/>
  <c r="AU85" i="19"/>
  <c r="AU93" i="19"/>
  <c r="AU95" i="19"/>
  <c r="AU96" i="19"/>
  <c r="AU99" i="19"/>
  <c r="BL22" i="24"/>
  <c r="BI24" i="24"/>
  <c r="BF25" i="24"/>
  <c r="BO39" i="24"/>
  <c r="BI41" i="24"/>
  <c r="BG43" i="24"/>
  <c r="BQ43" i="24" s="1"/>
  <c r="BO52" i="24"/>
  <c r="BI27" i="24"/>
  <c r="BO40" i="24"/>
  <c r="BF42" i="24"/>
  <c r="BF44" i="24" s="1"/>
  <c r="BL53" i="24"/>
  <c r="BL55" i="24" s="1"/>
  <c r="BL16" i="24"/>
  <c r="BI18" i="24"/>
  <c r="BF19" i="24"/>
  <c r="BL20" i="24"/>
  <c r="BI22" i="24"/>
  <c r="BF23" i="24"/>
  <c r="BL24" i="24"/>
  <c r="BI26" i="24"/>
  <c r="BF27" i="24"/>
  <c r="BL28" i="24"/>
  <c r="BF31" i="24"/>
  <c r="BK41" i="24"/>
  <c r="BO43" i="24"/>
  <c r="BP40" i="24"/>
  <c r="BJ42" i="24"/>
  <c r="BJ44" i="24" s="1"/>
  <c r="BO55" i="24"/>
  <c r="BE54" i="24"/>
  <c r="BI54" i="24" s="1"/>
  <c r="BE41" i="24"/>
  <c r="BH41" i="24" s="1"/>
  <c r="BG52" i="24"/>
  <c r="BI52" i="24" s="1"/>
  <c r="AF14" i="11"/>
  <c r="AG11" i="11"/>
  <c r="AH18" i="17"/>
  <c r="AH22" i="17"/>
  <c r="AH28" i="17"/>
  <c r="AH30" i="17"/>
  <c r="AA30" i="8"/>
  <c r="AC47" i="10"/>
  <c r="AS93" i="13"/>
  <c r="AC30" i="8"/>
  <c r="AG123" i="11"/>
  <c r="AS33" i="13"/>
  <c r="AE42" i="17"/>
  <c r="AE48" i="17"/>
  <c r="AE50" i="17"/>
  <c r="AE52" i="17"/>
  <c r="AE54" i="17"/>
  <c r="AE56" i="17"/>
  <c r="AE58" i="17"/>
  <c r="AE60" i="17"/>
  <c r="AE62" i="17"/>
  <c r="AB16" i="17"/>
  <c r="AB18" i="17"/>
  <c r="AC18" i="17" s="1"/>
  <c r="AD18" i="17" s="1"/>
  <c r="AF18" i="17"/>
  <c r="AH19" i="17"/>
  <c r="AB20" i="17"/>
  <c r="AC20" i="17" s="1"/>
  <c r="AD20" i="17" s="1"/>
  <c r="AB22" i="17"/>
  <c r="AC22" i="17" s="1"/>
  <c r="AD22" i="17" s="1"/>
  <c r="AF22" i="17"/>
  <c r="AB24" i="17"/>
  <c r="AC24" i="17" s="1"/>
  <c r="AD24" i="17" s="1"/>
  <c r="AG25" i="17"/>
  <c r="AO25" i="17" s="1"/>
  <c r="AB26" i="17"/>
  <c r="AC26" i="17" s="1"/>
  <c r="AD26" i="17" s="1"/>
  <c r="AH27" i="17"/>
  <c r="AB28" i="17"/>
  <c r="AC28" i="17" s="1"/>
  <c r="AD28" i="17" s="1"/>
  <c r="AF28" i="17"/>
  <c r="AB30" i="17"/>
  <c r="AC30" i="17" s="1"/>
  <c r="AD30" i="17" s="1"/>
  <c r="AF30" i="17"/>
  <c r="AB32" i="17"/>
  <c r="AB34" i="17"/>
  <c r="AB36" i="17"/>
  <c r="AB38" i="17"/>
  <c r="AB40" i="17"/>
  <c r="AB42" i="17"/>
  <c r="AB44" i="17"/>
  <c r="AB46" i="17"/>
  <c r="AB48" i="17"/>
  <c r="AB50" i="17"/>
  <c r="AB52" i="17"/>
  <c r="AB54" i="17"/>
  <c r="AB56" i="17"/>
  <c r="AB58" i="17"/>
  <c r="AB60" i="17"/>
  <c r="AB62" i="17"/>
  <c r="AC17" i="17"/>
  <c r="AD17" i="17" s="1"/>
  <c r="AE17" i="17"/>
  <c r="AK17" i="17" s="1"/>
  <c r="AG18" i="17"/>
  <c r="AO18" i="17" s="1"/>
  <c r="AC19" i="17"/>
  <c r="AD19" i="17" s="1"/>
  <c r="AE19" i="17"/>
  <c r="AK19" i="17" s="1"/>
  <c r="AC21" i="17"/>
  <c r="AD21" i="17" s="1"/>
  <c r="AE21" i="17"/>
  <c r="AK21" i="17" s="1"/>
  <c r="AG22" i="17"/>
  <c r="AO22" i="17" s="1"/>
  <c r="AC23" i="17"/>
  <c r="AD23" i="17" s="1"/>
  <c r="AE23" i="17"/>
  <c r="AK23" i="17" s="1"/>
  <c r="AC25" i="17"/>
  <c r="AD25" i="17" s="1"/>
  <c r="AE25" i="17"/>
  <c r="AK25" i="17" s="1"/>
  <c r="AC27" i="17"/>
  <c r="AD27" i="17" s="1"/>
  <c r="AE27" i="17"/>
  <c r="AK27" i="17" s="1"/>
  <c r="AG28" i="17"/>
  <c r="AO28" i="17" s="1"/>
  <c r="AC29" i="17"/>
  <c r="AD29" i="17" s="1"/>
  <c r="AE29" i="17"/>
  <c r="AK29" i="17" s="1"/>
  <c r="AG30" i="17"/>
  <c r="AO30" i="17" s="1"/>
  <c r="AE31" i="17"/>
  <c r="AE33" i="17"/>
  <c r="AE35" i="17"/>
  <c r="AE37" i="17"/>
  <c r="AE39" i="17"/>
  <c r="AE41" i="17"/>
  <c r="AE43" i="17"/>
  <c r="AE45" i="17"/>
  <c r="AE47" i="17"/>
  <c r="AE49" i="17"/>
  <c r="AE51" i="17"/>
  <c r="AE53" i="17"/>
  <c r="AE64" i="17"/>
  <c r="AE67" i="17"/>
  <c r="AE69" i="17"/>
  <c r="AE71" i="17"/>
  <c r="AE73" i="17"/>
  <c r="AE79" i="17"/>
  <c r="AB65" i="17"/>
  <c r="AB67" i="17"/>
  <c r="AB69" i="17"/>
  <c r="AB71" i="17"/>
  <c r="AB73" i="17"/>
  <c r="AB75" i="17"/>
  <c r="AB77" i="17"/>
  <c r="AB79" i="17"/>
  <c r="AB81" i="17"/>
  <c r="AB83" i="17"/>
  <c r="AB89" i="17"/>
  <c r="AB91" i="17"/>
  <c r="AB93" i="17"/>
  <c r="AB95" i="17"/>
  <c r="AB97" i="17"/>
  <c r="AB99" i="17"/>
  <c r="AB101" i="17"/>
  <c r="AB18" i="18"/>
  <c r="AF18" i="18"/>
  <c r="AA19" i="18"/>
  <c r="AH19" i="18" s="1"/>
  <c r="AL19" i="18" s="1"/>
  <c r="AB22" i="18"/>
  <c r="AF22" i="18"/>
  <c r="AA23" i="18"/>
  <c r="AG23" i="18" s="1"/>
  <c r="AG25" i="18"/>
  <c r="AJ25" i="18" s="1"/>
  <c r="AB26" i="18"/>
  <c r="AF26" i="18"/>
  <c r="AA27" i="18"/>
  <c r="AH27" i="18" s="1"/>
  <c r="AL27" i="18" s="1"/>
  <c r="AB30" i="18"/>
  <c r="AF30" i="18"/>
  <c r="AA31" i="18"/>
  <c r="AH31" i="18" s="1"/>
  <c r="AL31" i="18" s="1"/>
  <c r="AG33" i="18"/>
  <c r="AJ33" i="18" s="1"/>
  <c r="AB34" i="18"/>
  <c r="AF34" i="18"/>
  <c r="AA35" i="18"/>
  <c r="AB38" i="18"/>
  <c r="AF38" i="18"/>
  <c r="AA39" i="18"/>
  <c r="AG39" i="18" s="1"/>
  <c r="AE66" i="17"/>
  <c r="AE68" i="17"/>
  <c r="AE70" i="17"/>
  <c r="AE72" i="17"/>
  <c r="AE74" i="17"/>
  <c r="AE76" i="17"/>
  <c r="AE78" i="17"/>
  <c r="AE80" i="17"/>
  <c r="AE82" i="17"/>
  <c r="AE84" i="17"/>
  <c r="AE86" i="17"/>
  <c r="AE88" i="17"/>
  <c r="AE90" i="17"/>
  <c r="AE92" i="17"/>
  <c r="AE94" i="17"/>
  <c r="AE96" i="17"/>
  <c r="AE98" i="17"/>
  <c r="AE100" i="17"/>
  <c r="AE102" i="17"/>
  <c r="AE104" i="17"/>
  <c r="AE106" i="17"/>
  <c r="AE108" i="17"/>
  <c r="AE110" i="17"/>
  <c r="AE112" i="17"/>
  <c r="AE114" i="17"/>
  <c r="AC18" i="18"/>
  <c r="AG18" i="18"/>
  <c r="AB19" i="18"/>
  <c r="AF19" i="18"/>
  <c r="AA20" i="18"/>
  <c r="AH20" i="18" s="1"/>
  <c r="AL20" i="18" s="1"/>
  <c r="AH21" i="18"/>
  <c r="AL21" i="18" s="1"/>
  <c r="AC22" i="18"/>
  <c r="AG22" i="18"/>
  <c r="AB23" i="18"/>
  <c r="AF23" i="18"/>
  <c r="AA24" i="18"/>
  <c r="AH24" i="18" s="1"/>
  <c r="AL24" i="18" s="1"/>
  <c r="AH25" i="18"/>
  <c r="AL25" i="18" s="1"/>
  <c r="AC26" i="18"/>
  <c r="AG26" i="18"/>
  <c r="AJ26" i="18" s="1"/>
  <c r="AB27" i="18"/>
  <c r="AF27" i="18"/>
  <c r="AA28" i="18"/>
  <c r="AC30" i="18"/>
  <c r="AB31" i="18"/>
  <c r="AF31" i="18"/>
  <c r="AA32" i="18"/>
  <c r="AH33" i="18"/>
  <c r="AL33" i="18" s="1"/>
  <c r="AC34" i="18"/>
  <c r="AG34" i="18"/>
  <c r="AJ34" i="18" s="1"/>
  <c r="AB35" i="18"/>
  <c r="AF35" i="18"/>
  <c r="AA36" i="18"/>
  <c r="AH36" i="18" s="1"/>
  <c r="AL36" i="18" s="1"/>
  <c r="AC38" i="18"/>
  <c r="AB39" i="18"/>
  <c r="AF39" i="18"/>
  <c r="AA40" i="18"/>
  <c r="AI40" i="18" s="1"/>
  <c r="AH18" i="18"/>
  <c r="AL18" i="18" s="1"/>
  <c r="AC19" i="18"/>
  <c r="AH22" i="18"/>
  <c r="AL22" i="18" s="1"/>
  <c r="AC23" i="18"/>
  <c r="AH26" i="18"/>
  <c r="AL26" i="18" s="1"/>
  <c r="AC27" i="18"/>
  <c r="AH30" i="18"/>
  <c r="AL30" i="18" s="1"/>
  <c r="AC31" i="18"/>
  <c r="AG31" i="18"/>
  <c r="AH34" i="18"/>
  <c r="AL34" i="18" s="1"/>
  <c r="AC35" i="18"/>
  <c r="AC39" i="18"/>
  <c r="AI103" i="18"/>
  <c r="AC42" i="18"/>
  <c r="AD42" i="18" s="1"/>
  <c r="AE42" i="18" s="1"/>
  <c r="AB43" i="18"/>
  <c r="AF43" i="18"/>
  <c r="AA44" i="18"/>
  <c r="AG44" i="18" s="1"/>
  <c r="AC46" i="18"/>
  <c r="AB47" i="18"/>
  <c r="AF47" i="18"/>
  <c r="AA48" i="18"/>
  <c r="AI48" i="18" s="1"/>
  <c r="AA52" i="18"/>
  <c r="AH52" i="18" s="1"/>
  <c r="AL52" i="18" s="1"/>
  <c r="AA56" i="18"/>
  <c r="AG56" i="18" s="1"/>
  <c r="AA60" i="18"/>
  <c r="AH60" i="18" s="1"/>
  <c r="AL60" i="18" s="1"/>
  <c r="AA64" i="18"/>
  <c r="AA68" i="18"/>
  <c r="AG68" i="18" s="1"/>
  <c r="AF71" i="18"/>
  <c r="AA72" i="18"/>
  <c r="AC74" i="18"/>
  <c r="AB75" i="18"/>
  <c r="AF75" i="18"/>
  <c r="AA76" i="18"/>
  <c r="AH76" i="18" s="1"/>
  <c r="AL76" i="18" s="1"/>
  <c r="AC78" i="18"/>
  <c r="AB79" i="18"/>
  <c r="AF79" i="18"/>
  <c r="AA80" i="18"/>
  <c r="AH80" i="18" s="1"/>
  <c r="AL80" i="18" s="1"/>
  <c r="AC82" i="18"/>
  <c r="AB83" i="18"/>
  <c r="AF83" i="18"/>
  <c r="AA84" i="18"/>
  <c r="AA88" i="18"/>
  <c r="AI88" i="18" s="1"/>
  <c r="AB91" i="18"/>
  <c r="AF91" i="18"/>
  <c r="AA92" i="18"/>
  <c r="AI92" i="18" s="1"/>
  <c r="AB95" i="18"/>
  <c r="AF95" i="18"/>
  <c r="AA96" i="18"/>
  <c r="AG96" i="18" s="1"/>
  <c r="AA100" i="18"/>
  <c r="AA104" i="18"/>
  <c r="AA108" i="18"/>
  <c r="AG108" i="18" s="1"/>
  <c r="AA112" i="18"/>
  <c r="AG115" i="18"/>
  <c r="AC116" i="18"/>
  <c r="AA41" i="18"/>
  <c r="AC43" i="18"/>
  <c r="AG43" i="18"/>
  <c r="AJ43" i="18" s="1"/>
  <c r="AB44" i="18"/>
  <c r="AF44" i="18"/>
  <c r="AA45" i="18"/>
  <c r="AI45" i="18" s="1"/>
  <c r="AC47" i="18"/>
  <c r="AG47" i="18"/>
  <c r="AJ47" i="18" s="1"/>
  <c r="AB48" i="18"/>
  <c r="AF48" i="18"/>
  <c r="AA49" i="18"/>
  <c r="AI49" i="18" s="1"/>
  <c r="AC51" i="18"/>
  <c r="AD51" i="18" s="1"/>
  <c r="AE51" i="18" s="1"/>
  <c r="AG51" i="18"/>
  <c r="AB52" i="18"/>
  <c r="AF52" i="18"/>
  <c r="AA53" i="18"/>
  <c r="AH53" i="18" s="1"/>
  <c r="AL53" i="18" s="1"/>
  <c r="AC55" i="18"/>
  <c r="AB56" i="18"/>
  <c r="AF56" i="18"/>
  <c r="AA57" i="18"/>
  <c r="AC59" i="18"/>
  <c r="AD59" i="18" s="1"/>
  <c r="AE59" i="18" s="1"/>
  <c r="AG59" i="18"/>
  <c r="AJ59" i="18" s="1"/>
  <c r="AB60" i="18"/>
  <c r="AF60" i="18"/>
  <c r="AA61" i="18"/>
  <c r="AH61" i="18" s="1"/>
  <c r="AL61" i="18" s="1"/>
  <c r="AC63" i="18"/>
  <c r="AD63" i="18" s="1"/>
  <c r="AE63" i="18" s="1"/>
  <c r="AB64" i="18"/>
  <c r="AF64" i="18"/>
  <c r="AA65" i="18"/>
  <c r="AC67" i="18"/>
  <c r="AG67" i="18"/>
  <c r="AB68" i="18"/>
  <c r="AF68" i="18"/>
  <c r="AA69" i="18"/>
  <c r="AH69" i="18" s="1"/>
  <c r="AL69" i="18" s="1"/>
  <c r="AC71" i="18"/>
  <c r="AD71" i="18" s="1"/>
  <c r="AE71" i="18" s="1"/>
  <c r="AG71" i="18"/>
  <c r="AB72" i="18"/>
  <c r="AF72" i="18"/>
  <c r="AA73" i="18"/>
  <c r="AC75" i="18"/>
  <c r="AG75" i="18"/>
  <c r="AJ75" i="18" s="1"/>
  <c r="AB76" i="18"/>
  <c r="AF76" i="18"/>
  <c r="AI77" i="18"/>
  <c r="AC79" i="18"/>
  <c r="AB80" i="18"/>
  <c r="AF80" i="18"/>
  <c r="AA81" i="18"/>
  <c r="AH81" i="18" s="1"/>
  <c r="AL81" i="18" s="1"/>
  <c r="AC83" i="18"/>
  <c r="AB84" i="18"/>
  <c r="AF84" i="18"/>
  <c r="AA85" i="18"/>
  <c r="AH85" i="18" s="1"/>
  <c r="AL85" i="18" s="1"/>
  <c r="AC87" i="18"/>
  <c r="AB88" i="18"/>
  <c r="AF88" i="18"/>
  <c r="AA89" i="18"/>
  <c r="AC91" i="18"/>
  <c r="AG91" i="18"/>
  <c r="AB92" i="18"/>
  <c r="AF92" i="18"/>
  <c r="AA93" i="18"/>
  <c r="AC95" i="18"/>
  <c r="AB96" i="18"/>
  <c r="AF96" i="18"/>
  <c r="AA97" i="18"/>
  <c r="AI97" i="18" s="1"/>
  <c r="AB100" i="18"/>
  <c r="AF100" i="18"/>
  <c r="AA101" i="18"/>
  <c r="AI101" i="18" s="1"/>
  <c r="AB104" i="18"/>
  <c r="AF104" i="18"/>
  <c r="AA105" i="18"/>
  <c r="AH105" i="18" s="1"/>
  <c r="AL105" i="18" s="1"/>
  <c r="AC107" i="18"/>
  <c r="AD107" i="18" s="1"/>
  <c r="AE107" i="18" s="1"/>
  <c r="AB108" i="18"/>
  <c r="AF108" i="18"/>
  <c r="AA109" i="18"/>
  <c r="AC111" i="18"/>
  <c r="AB112" i="18"/>
  <c r="AF112" i="18"/>
  <c r="AA113" i="18"/>
  <c r="AI113" i="18" s="1"/>
  <c r="AA114" i="18"/>
  <c r="AG114" i="18" s="1"/>
  <c r="AF114" i="18"/>
  <c r="AR114" i="18"/>
  <c r="AA116" i="18"/>
  <c r="AF116" i="18"/>
  <c r="AF117" i="18"/>
  <c r="AB117" i="18"/>
  <c r="AD117" i="18" s="1"/>
  <c r="AE117" i="18" s="1"/>
  <c r="AQ14" i="19"/>
  <c r="AD24" i="19"/>
  <c r="AG24" i="19"/>
  <c r="AB41" i="18"/>
  <c r="AA42" i="18"/>
  <c r="AI42" i="18" s="1"/>
  <c r="AH43" i="18"/>
  <c r="AL43" i="18" s="1"/>
  <c r="AC44" i="18"/>
  <c r="AB45" i="18"/>
  <c r="AA46" i="18"/>
  <c r="AH47" i="18"/>
  <c r="AL47" i="18" s="1"/>
  <c r="AC48" i="18"/>
  <c r="AB49" i="18"/>
  <c r="AD49" i="18" s="1"/>
  <c r="AE49" i="18" s="1"/>
  <c r="AA50" i="18"/>
  <c r="AG50" i="18" s="1"/>
  <c r="AH51" i="18"/>
  <c r="AL51" i="18" s="1"/>
  <c r="AC52" i="18"/>
  <c r="AB53" i="18"/>
  <c r="AA54" i="18"/>
  <c r="AG54" i="18" s="1"/>
  <c r="AC56" i="18"/>
  <c r="AB57" i="18"/>
  <c r="AA58" i="18"/>
  <c r="AI58" i="18" s="1"/>
  <c r="AH59" i="18"/>
  <c r="AL59" i="18" s="1"/>
  <c r="AC60" i="18"/>
  <c r="AB61" i="18"/>
  <c r="AA62" i="18"/>
  <c r="AH62" i="18" s="1"/>
  <c r="AL62" i="18" s="1"/>
  <c r="AC64" i="18"/>
  <c r="AB65" i="18"/>
  <c r="AH67" i="18"/>
  <c r="AL67" i="18" s="1"/>
  <c r="AC68" i="18"/>
  <c r="AB69" i="18"/>
  <c r="AC72" i="18"/>
  <c r="AB73" i="18"/>
  <c r="AA74" i="18"/>
  <c r="AH75" i="18"/>
  <c r="AL75" i="18" s="1"/>
  <c r="AC76" i="18"/>
  <c r="AA78" i="18"/>
  <c r="AG78" i="18" s="1"/>
  <c r="AC80" i="18"/>
  <c r="AG80" i="18"/>
  <c r="AB81" i="18"/>
  <c r="AA82" i="18"/>
  <c r="AH82" i="18" s="1"/>
  <c r="AL82" i="18" s="1"/>
  <c r="AC84" i="18"/>
  <c r="AG84" i="18"/>
  <c r="AB85" i="18"/>
  <c r="AA86" i="18"/>
  <c r="AH86" i="18" s="1"/>
  <c r="AL86" i="18" s="1"/>
  <c r="AC88" i="18"/>
  <c r="AB89" i="18"/>
  <c r="AH91" i="18"/>
  <c r="AL91" i="18" s="1"/>
  <c r="AC92" i="18"/>
  <c r="AB93" i="18"/>
  <c r="AH95" i="18"/>
  <c r="AL95" i="18" s="1"/>
  <c r="AC96" i="18"/>
  <c r="AB97" i="18"/>
  <c r="AA98" i="18"/>
  <c r="AC100" i="18"/>
  <c r="AB101" i="18"/>
  <c r="AA102" i="18"/>
  <c r="AG102" i="18" s="1"/>
  <c r="AH103" i="18"/>
  <c r="AL103" i="18" s="1"/>
  <c r="AC104" i="18"/>
  <c r="AB105" i="18"/>
  <c r="AA106" i="18"/>
  <c r="AI106" i="18" s="1"/>
  <c r="AC108" i="18"/>
  <c r="AB109" i="18"/>
  <c r="AA110" i="18"/>
  <c r="AH110" i="18" s="1"/>
  <c r="AL110" i="18" s="1"/>
  <c r="AC112" i="18"/>
  <c r="AB113" i="18"/>
  <c r="AB116" i="18"/>
  <c r="AA117" i="18"/>
  <c r="AG117" i="18" s="1"/>
  <c r="AG17" i="19"/>
  <c r="AM17" i="19" s="1"/>
  <c r="AH17" i="19"/>
  <c r="AD17" i="19"/>
  <c r="AH115" i="18"/>
  <c r="AL115" i="18" s="1"/>
  <c r="AU23" i="19"/>
  <c r="AU25" i="19"/>
  <c r="AU27" i="19"/>
  <c r="AU29" i="19"/>
  <c r="AU31" i="19"/>
  <c r="AU33" i="19"/>
  <c r="AU35" i="19"/>
  <c r="AU37" i="19"/>
  <c r="AU39" i="19"/>
  <c r="AD26" i="19"/>
  <c r="AG26" i="19"/>
  <c r="AD28" i="19"/>
  <c r="AG28" i="19"/>
  <c r="AL28" i="19"/>
  <c r="AD30" i="19"/>
  <c r="AG30" i="19"/>
  <c r="AD32" i="19"/>
  <c r="AG32" i="19"/>
  <c r="AD34" i="19"/>
  <c r="AG34" i="19"/>
  <c r="AD36" i="19"/>
  <c r="AG36" i="19"/>
  <c r="AD38" i="19"/>
  <c r="AG38" i="19"/>
  <c r="AD40" i="19"/>
  <c r="AG40" i="19"/>
  <c r="AD20" i="19"/>
  <c r="AG20" i="19"/>
  <c r="AD80" i="19"/>
  <c r="AG80" i="19"/>
  <c r="AD22" i="19"/>
  <c r="AG22" i="19"/>
  <c r="AH22" i="19"/>
  <c r="AD64" i="19"/>
  <c r="AG64" i="19"/>
  <c r="BF17" i="24"/>
  <c r="BD14" i="24"/>
  <c r="BL18" i="24"/>
  <c r="BJ14" i="24"/>
  <c r="BD51" i="24"/>
  <c r="BI31" i="24"/>
  <c r="AD19" i="19"/>
  <c r="AD21" i="19"/>
  <c r="AD23" i="19"/>
  <c r="AD25" i="19"/>
  <c r="AD27" i="19"/>
  <c r="AD29" i="19"/>
  <c r="AD31" i="19"/>
  <c r="AD33" i="19"/>
  <c r="AD35" i="19"/>
  <c r="AD37" i="19"/>
  <c r="AD39" i="19"/>
  <c r="AD41" i="19"/>
  <c r="AD42" i="19"/>
  <c r="AG43" i="19"/>
  <c r="AD46" i="19"/>
  <c r="AG46" i="19"/>
  <c r="AD50" i="19"/>
  <c r="AG50" i="19"/>
  <c r="AD54" i="19"/>
  <c r="AG54" i="19"/>
  <c r="AD68" i="19"/>
  <c r="AG68" i="19"/>
  <c r="AD103" i="19"/>
  <c r="AG103" i="19"/>
  <c r="AD72" i="19"/>
  <c r="AG72" i="19"/>
  <c r="AD87" i="19"/>
  <c r="AU42" i="19"/>
  <c r="AD44" i="19"/>
  <c r="AG44" i="19"/>
  <c r="AD48" i="19"/>
  <c r="AG48" i="19"/>
  <c r="AD52" i="19"/>
  <c r="AG52" i="19"/>
  <c r="AD76" i="19"/>
  <c r="AG76" i="19"/>
  <c r="AG87" i="19"/>
  <c r="AG56" i="19"/>
  <c r="AG58" i="19"/>
  <c r="AG60" i="19"/>
  <c r="AD63" i="19"/>
  <c r="AG65" i="19"/>
  <c r="AD67" i="19"/>
  <c r="AG69" i="19"/>
  <c r="AD71" i="19"/>
  <c r="AG73" i="19"/>
  <c r="AD75" i="19"/>
  <c r="AG77" i="19"/>
  <c r="AD79" i="19"/>
  <c r="AG81" i="19"/>
  <c r="AD86" i="19"/>
  <c r="AG90" i="19"/>
  <c r="AD90" i="19"/>
  <c r="AD108" i="19"/>
  <c r="AG108" i="19"/>
  <c r="AD56" i="19"/>
  <c r="AD58" i="19"/>
  <c r="AD60" i="19"/>
  <c r="AD62" i="19"/>
  <c r="AU64" i="19"/>
  <c r="AD66" i="19"/>
  <c r="AU68" i="19"/>
  <c r="AD70" i="19"/>
  <c r="AU72" i="19"/>
  <c r="AD74" i="19"/>
  <c r="AU76" i="19"/>
  <c r="AD78" i="19"/>
  <c r="AU80" i="19"/>
  <c r="AD82" i="19"/>
  <c r="AD83" i="19"/>
  <c r="AG83" i="19"/>
  <c r="AG84" i="19"/>
  <c r="AG86" i="19"/>
  <c r="AD88" i="19"/>
  <c r="AD91" i="19"/>
  <c r="AG91" i="19"/>
  <c r="AD100" i="19"/>
  <c r="AG100" i="19"/>
  <c r="AG63" i="19"/>
  <c r="AG67" i="19"/>
  <c r="AG71" i="19"/>
  <c r="AG75" i="19"/>
  <c r="AG79" i="19"/>
  <c r="AD95" i="19"/>
  <c r="AG95" i="19"/>
  <c r="AG115" i="19"/>
  <c r="AD115" i="19"/>
  <c r="AU83" i="19"/>
  <c r="AD85" i="19"/>
  <c r="AU87" i="19"/>
  <c r="AD89" i="19"/>
  <c r="AD93" i="19"/>
  <c r="AG93" i="19"/>
  <c r="AD97" i="19"/>
  <c r="AG97" i="19"/>
  <c r="AD99" i="19"/>
  <c r="AD104" i="19"/>
  <c r="AG104" i="19"/>
  <c r="AD107" i="19"/>
  <c r="AU110" i="19"/>
  <c r="S24" i="22"/>
  <c r="AG101" i="19"/>
  <c r="AG105" i="19"/>
  <c r="AG109" i="19"/>
  <c r="AG113" i="19"/>
  <c r="AU100" i="19"/>
  <c r="AD102" i="19"/>
  <c r="AU104" i="19"/>
  <c r="AD106" i="19"/>
  <c r="AU108" i="19"/>
  <c r="AD110" i="19"/>
  <c r="AG111" i="19"/>
  <c r="BD50" i="24"/>
  <c r="BG32" i="24"/>
  <c r="BM27" i="24"/>
  <c r="BM43" i="24"/>
  <c r="BM22" i="24"/>
  <c r="BH14" i="24"/>
  <c r="BH32" i="24" s="1"/>
  <c r="BI17" i="24"/>
  <c r="BP54" i="24"/>
  <c r="BH40" i="24"/>
  <c r="BI50" i="24"/>
  <c r="BH53" i="24"/>
  <c r="BH55" i="24" s="1"/>
  <c r="BH39" i="24"/>
  <c r="BP39" i="24"/>
  <c r="BM40" i="24"/>
  <c r="BG42" i="24"/>
  <c r="BK42" i="24"/>
  <c r="BK44" i="24" s="1"/>
  <c r="BD43" i="24"/>
  <c r="BL52" i="24"/>
  <c r="BE53" i="24"/>
  <c r="BM53" i="24"/>
  <c r="BM55" i="24" s="1"/>
  <c r="BM39" i="24"/>
  <c r="BQ39" i="24"/>
  <c r="BQ41" i="24" s="1"/>
  <c r="BD42" i="24"/>
  <c r="BL42" i="24"/>
  <c r="BL44" i="24" s="1"/>
  <c r="BP51" i="24"/>
  <c r="BQ51" i="24" s="1"/>
  <c r="BF53" i="24"/>
  <c r="BF55" i="24" s="1"/>
  <c r="BN53" i="24"/>
  <c r="BN55" i="24" s="1"/>
  <c r="BN39" i="24"/>
  <c r="AH90" i="18" l="1"/>
  <c r="AL90" i="18" s="1"/>
  <c r="AD55" i="18"/>
  <c r="AE55" i="18" s="1"/>
  <c r="AM72" i="19"/>
  <c r="AG95" i="18"/>
  <c r="AG38" i="18"/>
  <c r="AI18" i="19"/>
  <c r="AO18" i="19" s="1"/>
  <c r="AM115" i="19"/>
  <c r="AM116" i="19"/>
  <c r="AM69" i="19"/>
  <c r="AM55" i="19"/>
  <c r="AM49" i="19"/>
  <c r="AM31" i="19"/>
  <c r="AM30" i="19"/>
  <c r="BD44" i="24"/>
  <c r="BG44" i="24"/>
  <c r="BJ51" i="24"/>
  <c r="AM99" i="19"/>
  <c r="AM37" i="19"/>
  <c r="AK110" i="17"/>
  <c r="AK107" i="17"/>
  <c r="AK88" i="17"/>
  <c r="AK52" i="17"/>
  <c r="AK49" i="17"/>
  <c r="AK46" i="17"/>
  <c r="AK35" i="17"/>
  <c r="AM111" i="19"/>
  <c r="AM90" i="19"/>
  <c r="AM84" i="19"/>
  <c r="AM77" i="19"/>
  <c r="AK113" i="17"/>
  <c r="AK100" i="17"/>
  <c r="AK55" i="17"/>
  <c r="AK31" i="17"/>
  <c r="AM28" i="19"/>
  <c r="AG37" i="18"/>
  <c r="AJ37" i="18" s="1"/>
  <c r="AM104" i="19"/>
  <c r="AM61" i="19"/>
  <c r="AM47" i="19"/>
  <c r="AK84" i="17"/>
  <c r="AK75" i="17"/>
  <c r="AK68" i="17"/>
  <c r="AK48" i="17"/>
  <c r="AK37" i="17"/>
  <c r="AM22" i="19"/>
  <c r="AH37" i="18"/>
  <c r="AL37" i="18" s="1"/>
  <c r="AL24" i="19"/>
  <c r="AG30" i="18"/>
  <c r="AJ30" i="18" s="1"/>
  <c r="AI66" i="18"/>
  <c r="AM52" i="19"/>
  <c r="AM80" i="19"/>
  <c r="AM59" i="19"/>
  <c r="AK34" i="17"/>
  <c r="AM26" i="19"/>
  <c r="AM96" i="19"/>
  <c r="AM92" i="19"/>
  <c r="AM65" i="19"/>
  <c r="AK57" i="17"/>
  <c r="AK36" i="17"/>
  <c r="AM27" i="19"/>
  <c r="AM20" i="19"/>
  <c r="AK112" i="17"/>
  <c r="AK94" i="17"/>
  <c r="AK91" i="17"/>
  <c r="AK78" i="17"/>
  <c r="AK58" i="17"/>
  <c r="AF79" i="17"/>
  <c r="AK109" i="17"/>
  <c r="AK106" i="17"/>
  <c r="AK103" i="17"/>
  <c r="AK97" i="17"/>
  <c r="AK81" i="17"/>
  <c r="AK65" i="17"/>
  <c r="AK61" i="17"/>
  <c r="AK51" i="17"/>
  <c r="AK45" i="17"/>
  <c r="AJ79" i="17"/>
  <c r="AK115" i="17"/>
  <c r="AK108" i="17"/>
  <c r="AK90" i="17"/>
  <c r="AK74" i="17"/>
  <c r="AK64" i="17"/>
  <c r="AK42" i="17"/>
  <c r="AK102" i="17"/>
  <c r="AK77" i="17"/>
  <c r="AK33" i="17"/>
  <c r="AG101" i="17"/>
  <c r="AO101" i="17" s="1"/>
  <c r="AJ101" i="17"/>
  <c r="AK114" i="17"/>
  <c r="AK111" i="17"/>
  <c r="AK105" i="17"/>
  <c r="AK92" i="17"/>
  <c r="AK86" i="17"/>
  <c r="AK83" i="17"/>
  <c r="AK76" i="17"/>
  <c r="AK70" i="17"/>
  <c r="AK67" i="17"/>
  <c r="AK56" i="17"/>
  <c r="AK53" i="17"/>
  <c r="AK50" i="17"/>
  <c r="AK41" i="17"/>
  <c r="AK96" i="17"/>
  <c r="AK87" i="17"/>
  <c r="AK80" i="17"/>
  <c r="AF71" i="17"/>
  <c r="AK71" i="17"/>
  <c r="AK60" i="17"/>
  <c r="AJ54" i="17"/>
  <c r="AK54" i="17"/>
  <c r="AK39" i="17"/>
  <c r="AK104" i="17"/>
  <c r="AK89" i="17"/>
  <c r="AK73" i="17"/>
  <c r="AK63" i="17"/>
  <c r="AK59" i="17"/>
  <c r="AK38" i="17"/>
  <c r="AK32" i="17"/>
  <c r="AH101" i="17"/>
  <c r="AK101" i="17"/>
  <c r="AK98" i="17"/>
  <c r="AG95" i="17"/>
  <c r="AO95" i="17" s="1"/>
  <c r="AK95" i="17"/>
  <c r="AK82" i="17"/>
  <c r="AG79" i="17"/>
  <c r="AO79" i="17" s="1"/>
  <c r="AK79" i="17"/>
  <c r="AG72" i="17"/>
  <c r="AO72" i="17" s="1"/>
  <c r="AK72" i="17"/>
  <c r="AK66" i="17"/>
  <c r="AJ40" i="17"/>
  <c r="AK40" i="17"/>
  <c r="AK85" i="17"/>
  <c r="AK69" i="17"/>
  <c r="AK62" i="17"/>
  <c r="AK43" i="17"/>
  <c r="AC106" i="17"/>
  <c r="AD106" i="17" s="1"/>
  <c r="AC51" i="17"/>
  <c r="AD51" i="17" s="1"/>
  <c r="AK16" i="17"/>
  <c r="AM105" i="19"/>
  <c r="AM97" i="19"/>
  <c r="AM89" i="19"/>
  <c r="AM81" i="19"/>
  <c r="AM73" i="19"/>
  <c r="AM57" i="19"/>
  <c r="AM112" i="19"/>
  <c r="AM64" i="19"/>
  <c r="AM56" i="19"/>
  <c r="AM48" i="19"/>
  <c r="AM40" i="19"/>
  <c r="AM32" i="19"/>
  <c r="AM103" i="19"/>
  <c r="AM95" i="19"/>
  <c r="AM87" i="19"/>
  <c r="AM79" i="19"/>
  <c r="AM71" i="19"/>
  <c r="AM63" i="19"/>
  <c r="AM39" i="19"/>
  <c r="AM110" i="19"/>
  <c r="AM102" i="19"/>
  <c r="AM94" i="19"/>
  <c r="AM78" i="19"/>
  <c r="AM70" i="19"/>
  <c r="AM62" i="19"/>
  <c r="AM54" i="19"/>
  <c r="AM46" i="19"/>
  <c r="AM38" i="19"/>
  <c r="AM101" i="19"/>
  <c r="AM93" i="19"/>
  <c r="AM85" i="19"/>
  <c r="AM53" i="19"/>
  <c r="AM45" i="19"/>
  <c r="AM108" i="19"/>
  <c r="AM100" i="19"/>
  <c r="AM76" i="19"/>
  <c r="AM68" i="19"/>
  <c r="AM60" i="19"/>
  <c r="AM44" i="19"/>
  <c r="AM36" i="19"/>
  <c r="AM107" i="19"/>
  <c r="AM91" i="19"/>
  <c r="AM83" i="19"/>
  <c r="AM75" i="19"/>
  <c r="AM67" i="19"/>
  <c r="AM43" i="19"/>
  <c r="AM114" i="19"/>
  <c r="AM106" i="19"/>
  <c r="AM98" i="19"/>
  <c r="AM82" i="19"/>
  <c r="AM74" i="19"/>
  <c r="AM66" i="19"/>
  <c r="AM58" i="19"/>
  <c r="AM50" i="19"/>
  <c r="AM42" i="19"/>
  <c r="AM34" i="19"/>
  <c r="AG60" i="17"/>
  <c r="AO60" i="17" s="1"/>
  <c r="AJ36" i="17"/>
  <c r="AJ93" i="17"/>
  <c r="AH107" i="17"/>
  <c r="AJ115" i="17"/>
  <c r="AH108" i="17"/>
  <c r="AH87" i="17"/>
  <c r="AA16" i="17"/>
  <c r="AG87" i="17"/>
  <c r="AO87" i="17" s="1"/>
  <c r="AC99" i="17"/>
  <c r="AD99" i="17" s="1"/>
  <c r="AH90" i="17"/>
  <c r="AH115" i="17"/>
  <c r="AC77" i="17"/>
  <c r="AD77" i="17" s="1"/>
  <c r="AH98" i="17"/>
  <c r="AJ87" i="17"/>
  <c r="AH57" i="17"/>
  <c r="AG115" i="17"/>
  <c r="AO115" i="17" s="1"/>
  <c r="AG71" i="17"/>
  <c r="AO71" i="17" s="1"/>
  <c r="AF87" i="17"/>
  <c r="AC68" i="17"/>
  <c r="AD68" i="17" s="1"/>
  <c r="AC59" i="17"/>
  <c r="AD59" i="17" s="1"/>
  <c r="AH95" i="17"/>
  <c r="AI21" i="19"/>
  <c r="AO21" i="19" s="1"/>
  <c r="AJ20" i="19"/>
  <c r="AI31" i="19"/>
  <c r="AO31" i="19" s="1"/>
  <c r="AI26" i="19"/>
  <c r="AO26" i="19" s="1"/>
  <c r="AL23" i="19"/>
  <c r="AH30" i="19"/>
  <c r="AG103" i="17"/>
  <c r="AO103" i="17" s="1"/>
  <c r="AG97" i="17"/>
  <c r="AO97" i="17" s="1"/>
  <c r="AJ65" i="17"/>
  <c r="AJ61" i="17"/>
  <c r="AJ59" i="17"/>
  <c r="AJ34" i="17"/>
  <c r="AH32" i="17"/>
  <c r="AF107" i="17"/>
  <c r="AJ60" i="17"/>
  <c r="AJ52" i="17"/>
  <c r="AH46" i="17"/>
  <c r="AJ42" i="17"/>
  <c r="AH40" i="17"/>
  <c r="AH36" i="17"/>
  <c r="AH35" i="17"/>
  <c r="AF109" i="17"/>
  <c r="AH104" i="17"/>
  <c r="AJ81" i="17"/>
  <c r="AJ63" i="17"/>
  <c r="AG113" i="17"/>
  <c r="AO113" i="17" s="1"/>
  <c r="AF99" i="17"/>
  <c r="AG93" i="17"/>
  <c r="AO93" i="17" s="1"/>
  <c r="AJ85" i="17"/>
  <c r="AJ77" i="17"/>
  <c r="AH69" i="17"/>
  <c r="AJ62" i="17"/>
  <c r="AG55" i="17"/>
  <c r="AO55" i="17" s="1"/>
  <c r="AJ44" i="17"/>
  <c r="AH31" i="17"/>
  <c r="AH112" i="17"/>
  <c r="AJ111" i="17"/>
  <c r="AG105" i="17"/>
  <c r="AO105" i="17" s="1"/>
  <c r="AC102" i="17"/>
  <c r="AD102" i="17" s="1"/>
  <c r="AF91" i="17"/>
  <c r="AI91" i="17" s="1"/>
  <c r="AF83" i="17"/>
  <c r="AH78" i="17"/>
  <c r="AG75" i="17"/>
  <c r="AO75" i="17" s="1"/>
  <c r="AH68" i="17"/>
  <c r="AJ67" i="17"/>
  <c r="AF58" i="17"/>
  <c r="AG56" i="17"/>
  <c r="AO56" i="17" s="1"/>
  <c r="AH50" i="17"/>
  <c r="AJ48" i="17"/>
  <c r="AC47" i="17"/>
  <c r="AD47" i="17" s="1"/>
  <c r="AC45" i="17"/>
  <c r="AD45" i="17" s="1"/>
  <c r="AC43" i="17"/>
  <c r="AD43" i="17" s="1"/>
  <c r="AH41" i="17"/>
  <c r="AC33" i="17"/>
  <c r="AD33" i="17" s="1"/>
  <c r="AU37" i="15"/>
  <c r="AU32" i="15" s="1"/>
  <c r="AH29" i="18"/>
  <c r="AL29" i="18" s="1"/>
  <c r="AJ18" i="18"/>
  <c r="AG29" i="18"/>
  <c r="AJ29" i="18" s="1"/>
  <c r="AG21" i="18"/>
  <c r="AJ21" i="18" s="1"/>
  <c r="AH99" i="18"/>
  <c r="AL99" i="18" s="1"/>
  <c r="AD28" i="18"/>
  <c r="AE28" i="18" s="1"/>
  <c r="AJ21" i="19"/>
  <c r="AH21" i="19"/>
  <c r="AH23" i="19"/>
  <c r="AH85" i="19"/>
  <c r="AE42" i="19"/>
  <c r="AF42" i="19" s="1"/>
  <c r="AE99" i="19"/>
  <c r="AF99" i="19" s="1"/>
  <c r="AH48" i="19"/>
  <c r="AH71" i="18"/>
  <c r="AL71" i="18" s="1"/>
  <c r="AG79" i="18"/>
  <c r="AG66" i="18"/>
  <c r="AD78" i="18"/>
  <c r="AE78" i="18" s="1"/>
  <c r="AH79" i="18"/>
  <c r="AL79" i="18" s="1"/>
  <c r="AD87" i="18"/>
  <c r="AE87" i="18" s="1"/>
  <c r="AD67" i="18"/>
  <c r="AE67" i="18" s="1"/>
  <c r="AH77" i="18"/>
  <c r="AL77" i="18" s="1"/>
  <c r="AD111" i="18"/>
  <c r="AE111" i="18" s="1"/>
  <c r="AH97" i="17"/>
  <c r="AF61" i="17"/>
  <c r="AJ109" i="17"/>
  <c r="AF81" i="17"/>
  <c r="AC79" i="17"/>
  <c r="AD79" i="17" s="1"/>
  <c r="AH109" i="17"/>
  <c r="AJ97" i="17"/>
  <c r="AF65" i="17"/>
  <c r="AI65" i="17" s="1"/>
  <c r="AG61" i="17"/>
  <c r="AO61" i="17" s="1"/>
  <c r="AG89" i="17"/>
  <c r="AO89" i="17" s="1"/>
  <c r="AG65" i="17"/>
  <c r="AO65" i="17" s="1"/>
  <c r="AC101" i="17"/>
  <c r="AD101" i="17" s="1"/>
  <c r="AF97" i="17"/>
  <c r="AJ89" i="17"/>
  <c r="AH65" i="17"/>
  <c r="AF63" i="17"/>
  <c r="AC100" i="17"/>
  <c r="AD100" i="17" s="1"/>
  <c r="AI106" i="19"/>
  <c r="AO106" i="19" s="1"/>
  <c r="AI60" i="19"/>
  <c r="AO60" i="19" s="1"/>
  <c r="AE82" i="19"/>
  <c r="AF82" i="19" s="1"/>
  <c r="AH56" i="19"/>
  <c r="AJ23" i="19"/>
  <c r="AH42" i="19"/>
  <c r="AK42" i="19" s="1"/>
  <c r="AE27" i="19"/>
  <c r="AF27" i="19" s="1"/>
  <c r="AE85" i="19"/>
  <c r="AF85" i="19" s="1"/>
  <c r="AI23" i="19"/>
  <c r="AO23" i="19" s="1"/>
  <c r="AL56" i="19"/>
  <c r="AE111" i="19"/>
  <c r="AF111" i="19" s="1"/>
  <c r="AE101" i="19"/>
  <c r="AF101" i="19" s="1"/>
  <c r="AD50" i="18"/>
  <c r="AE50" i="18" s="1"/>
  <c r="AH38" i="18"/>
  <c r="AL38" i="18" s="1"/>
  <c r="AD106" i="18"/>
  <c r="AE106" i="18" s="1"/>
  <c r="AD20" i="18"/>
  <c r="AE20" i="18" s="1"/>
  <c r="AG60" i="18"/>
  <c r="AC113" i="17"/>
  <c r="AD113" i="17" s="1"/>
  <c r="AF115" i="17"/>
  <c r="AJ105" i="17"/>
  <c r="AC112" i="17"/>
  <c r="AD112" i="17" s="1"/>
  <c r="AC92" i="17"/>
  <c r="AD92" i="17" s="1"/>
  <c r="AC84" i="17"/>
  <c r="AD84" i="17" s="1"/>
  <c r="AC76" i="17"/>
  <c r="AD76" i="17" s="1"/>
  <c r="AC104" i="17"/>
  <c r="AD104" i="17" s="1"/>
  <c r="BM23" i="24"/>
  <c r="AC65" i="17"/>
  <c r="AD65" i="17" s="1"/>
  <c r="AF67" i="17"/>
  <c r="AH103" i="17"/>
  <c r="AH91" i="17"/>
  <c r="AG109" i="17"/>
  <c r="AO109" i="17" s="1"/>
  <c r="AG67" i="17"/>
  <c r="AO67" i="17" s="1"/>
  <c r="AF89" i="17"/>
  <c r="AJ75" i="17"/>
  <c r="AJ58" i="17"/>
  <c r="AG63" i="17"/>
  <c r="AO63" i="17" s="1"/>
  <c r="AC115" i="17"/>
  <c r="AD115" i="17" s="1"/>
  <c r="AG91" i="17"/>
  <c r="AO91" i="17" s="1"/>
  <c r="AH75" i="17"/>
  <c r="AH111" i="17"/>
  <c r="AH89" i="17"/>
  <c r="AI89" i="17" s="1"/>
  <c r="AG83" i="17"/>
  <c r="AO83" i="17" s="1"/>
  <c r="AF111" i="17"/>
  <c r="AC89" i="17"/>
  <c r="AD89" i="17" s="1"/>
  <c r="AF75" i="17"/>
  <c r="AC71" i="17"/>
  <c r="AD71" i="17" s="1"/>
  <c r="AG38" i="17"/>
  <c r="AO38" i="17" s="1"/>
  <c r="AH63" i="17"/>
  <c r="AC48" i="17"/>
  <c r="AD48" i="17" s="1"/>
  <c r="AH38" i="17"/>
  <c r="AC114" i="17"/>
  <c r="AD114" i="17" s="1"/>
  <c r="AC110" i="17"/>
  <c r="AD110" i="17" s="1"/>
  <c r="AC108" i="17"/>
  <c r="AD108" i="17" s="1"/>
  <c r="AC98" i="17"/>
  <c r="AD98" i="17" s="1"/>
  <c r="AC96" i="17"/>
  <c r="AD96" i="17" s="1"/>
  <c r="AC94" i="17"/>
  <c r="AD94" i="17" s="1"/>
  <c r="AC90" i="17"/>
  <c r="AD90" i="17" s="1"/>
  <c r="AC88" i="17"/>
  <c r="AD88" i="17" s="1"/>
  <c r="AC86" i="17"/>
  <c r="AD86" i="17" s="1"/>
  <c r="AC82" i="17"/>
  <c r="AD82" i="17" s="1"/>
  <c r="AC80" i="17"/>
  <c r="AD80" i="17" s="1"/>
  <c r="AC78" i="17"/>
  <c r="AD78" i="17" s="1"/>
  <c r="AC74" i="17"/>
  <c r="AD74" i="17" s="1"/>
  <c r="AC72" i="17"/>
  <c r="AD72" i="17" s="1"/>
  <c r="AC70" i="17"/>
  <c r="AD70" i="17" s="1"/>
  <c r="AC66" i="17"/>
  <c r="AD66" i="17" s="1"/>
  <c r="AJ50" i="17"/>
  <c r="AC34" i="17"/>
  <c r="AD34" i="17" s="1"/>
  <c r="AG58" i="17"/>
  <c r="AO58" i="17" s="1"/>
  <c r="AH61" i="17"/>
  <c r="AF50" i="17"/>
  <c r="AF38" i="17"/>
  <c r="AH56" i="17"/>
  <c r="AH48" i="17"/>
  <c r="AJ38" i="17"/>
  <c r="AG50" i="17"/>
  <c r="AO50" i="17" s="1"/>
  <c r="AF56" i="17"/>
  <c r="AC42" i="17"/>
  <c r="AD42" i="17" s="1"/>
  <c r="AG57" i="17"/>
  <c r="AO57" i="17" s="1"/>
  <c r="AH58" i="17"/>
  <c r="AI58" i="17" s="1"/>
  <c r="AC57" i="17"/>
  <c r="AD57" i="17" s="1"/>
  <c r="AC53" i="17"/>
  <c r="AD53" i="17" s="1"/>
  <c r="AC49" i="17"/>
  <c r="AD49" i="17" s="1"/>
  <c r="AC41" i="17"/>
  <c r="AD41" i="17" s="1"/>
  <c r="AC39" i="17"/>
  <c r="AD39" i="17" s="1"/>
  <c r="AC37" i="17"/>
  <c r="AD37" i="17" s="1"/>
  <c r="AC35" i="17"/>
  <c r="AD35" i="17" s="1"/>
  <c r="AA32" i="17"/>
  <c r="AC32" i="17" s="1"/>
  <c r="AD32" i="17" s="1"/>
  <c r="AF32" i="17"/>
  <c r="AJ32" i="17"/>
  <c r="AG32" i="17"/>
  <c r="AO32" i="17" s="1"/>
  <c r="AA31" i="17"/>
  <c r="AC31" i="17" s="1"/>
  <c r="AD31" i="17" s="1"/>
  <c r="O12" i="20"/>
  <c r="AJ16" i="17"/>
  <c r="AG111" i="17"/>
  <c r="AO111" i="17" s="1"/>
  <c r="AF105" i="17"/>
  <c r="AJ91" i="17"/>
  <c r="AC81" i="17"/>
  <c r="AD81" i="17" s="1"/>
  <c r="AC63" i="17"/>
  <c r="AD63" i="17" s="1"/>
  <c r="AJ56" i="17"/>
  <c r="AJ55" i="17"/>
  <c r="AC40" i="17"/>
  <c r="AD40" i="17" s="1"/>
  <c r="AH105" i="17"/>
  <c r="AC73" i="17"/>
  <c r="AD73" i="17" s="1"/>
  <c r="AH55" i="17"/>
  <c r="AC38" i="17"/>
  <c r="AD38" i="17" s="1"/>
  <c r="AF113" i="17"/>
  <c r="AC61" i="17"/>
  <c r="AD61" i="17" s="1"/>
  <c r="AH67" i="17"/>
  <c r="AH93" i="17"/>
  <c r="AG69" i="17"/>
  <c r="AO69" i="17" s="1"/>
  <c r="AF93" i="17"/>
  <c r="AJ69" i="17"/>
  <c r="AG85" i="17"/>
  <c r="AO85" i="17" s="1"/>
  <c r="AG77" i="17"/>
  <c r="AO77" i="17" s="1"/>
  <c r="AC91" i="17"/>
  <c r="AD91" i="17" s="1"/>
  <c r="AH99" i="17"/>
  <c r="AI99" i="17" s="1"/>
  <c r="AH77" i="17"/>
  <c r="AF77" i="17"/>
  <c r="AC75" i="17"/>
  <c r="AD75" i="17" s="1"/>
  <c r="AF69" i="17"/>
  <c r="AI69" i="17" s="1"/>
  <c r="AC67" i="17"/>
  <c r="AD67" i="17" s="1"/>
  <c r="AC64" i="17"/>
  <c r="AD64" i="17" s="1"/>
  <c r="AF85" i="17"/>
  <c r="AC52" i="17"/>
  <c r="AD52" i="17" s="1"/>
  <c r="AC50" i="17"/>
  <c r="AD50" i="17" s="1"/>
  <c r="AF44" i="17"/>
  <c r="AC36" i="17"/>
  <c r="AD36" i="17" s="1"/>
  <c r="AC16" i="17"/>
  <c r="AD16" i="17" s="1"/>
  <c r="AI101" i="17"/>
  <c r="AC55" i="17"/>
  <c r="AD55" i="17" s="1"/>
  <c r="AI83" i="19"/>
  <c r="AO83" i="19" s="1"/>
  <c r="AL102" i="19"/>
  <c r="AE81" i="19"/>
  <c r="AF81" i="19" s="1"/>
  <c r="AJ46" i="17"/>
  <c r="AJ57" i="17"/>
  <c r="AH42" i="17"/>
  <c r="AU13" i="17"/>
  <c r="AL42" i="19"/>
  <c r="AJ56" i="19"/>
  <c r="AE102" i="19"/>
  <c r="AF102" i="19" s="1"/>
  <c r="AE63" i="19"/>
  <c r="AF63" i="19" s="1"/>
  <c r="AE59" i="19"/>
  <c r="AF59" i="19" s="1"/>
  <c r="AE78" i="19"/>
  <c r="AF78" i="19" s="1"/>
  <c r="AE75" i="19"/>
  <c r="AF75" i="19" s="1"/>
  <c r="AE110" i="19"/>
  <c r="AF110" i="19" s="1"/>
  <c r="AH93" i="19"/>
  <c r="AJ52" i="19"/>
  <c r="AE73" i="19"/>
  <c r="AF73" i="19" s="1"/>
  <c r="AE65" i="19"/>
  <c r="AF65" i="19" s="1"/>
  <c r="AH110" i="19"/>
  <c r="AI97" i="19"/>
  <c r="AO97" i="19" s="1"/>
  <c r="AE89" i="19"/>
  <c r="AF89" i="19" s="1"/>
  <c r="AH46" i="19"/>
  <c r="AK46" i="19" s="1"/>
  <c r="AE113" i="19"/>
  <c r="AF113" i="19" s="1"/>
  <c r="AI89" i="19"/>
  <c r="AO89" i="19" s="1"/>
  <c r="AJ110" i="19"/>
  <c r="AJ89" i="19"/>
  <c r="AL110" i="19"/>
  <c r="AJ48" i="19"/>
  <c r="AE79" i="19"/>
  <c r="AF79" i="19" s="1"/>
  <c r="AE33" i="19"/>
  <c r="AF33" i="19" s="1"/>
  <c r="AE107" i="19"/>
  <c r="AF107" i="19" s="1"/>
  <c r="AH97" i="19"/>
  <c r="AH60" i="19"/>
  <c r="AJ60" i="19"/>
  <c r="AE112" i="19"/>
  <c r="AF112" i="19" s="1"/>
  <c r="AE105" i="19"/>
  <c r="AF105" i="19" s="1"/>
  <c r="AL97" i="19"/>
  <c r="AE98" i="19"/>
  <c r="AF98" i="19" s="1"/>
  <c r="AE114" i="19"/>
  <c r="AF114" i="19" s="1"/>
  <c r="BP52" i="24"/>
  <c r="BR51" i="24"/>
  <c r="BM21" i="24"/>
  <c r="BM31" i="24"/>
  <c r="BM28" i="24"/>
  <c r="BM17" i="24"/>
  <c r="BM18" i="24"/>
  <c r="BR40" i="24"/>
  <c r="BP55" i="24"/>
  <c r="BM15" i="24"/>
  <c r="BP42" i="24"/>
  <c r="BP44" i="24" s="1"/>
  <c r="BM20" i="24"/>
  <c r="BP41" i="24"/>
  <c r="AI58" i="19"/>
  <c r="AO58" i="19" s="1"/>
  <c r="AJ58" i="19"/>
  <c r="AL74" i="19"/>
  <c r="AH58" i="19"/>
  <c r="AE96" i="19"/>
  <c r="AF96" i="19" s="1"/>
  <c r="AH82" i="19"/>
  <c r="AH78" i="19"/>
  <c r="AE62" i="19"/>
  <c r="AF62" i="19" s="1"/>
  <c r="AE69" i="19"/>
  <c r="AF69" i="19" s="1"/>
  <c r="AE55" i="19"/>
  <c r="AF55" i="19" s="1"/>
  <c r="AE43" i="19"/>
  <c r="AF43" i="19" s="1"/>
  <c r="AE86" i="19"/>
  <c r="AF86" i="19" s="1"/>
  <c r="AJ78" i="19"/>
  <c r="AI78" i="19"/>
  <c r="AO78" i="19" s="1"/>
  <c r="AE109" i="19"/>
  <c r="AF109" i="19" s="1"/>
  <c r="AE84" i="19"/>
  <c r="AF84" i="19" s="1"/>
  <c r="AK97" i="19"/>
  <c r="AE66" i="19"/>
  <c r="AF66" i="19" s="1"/>
  <c r="AE53" i="19"/>
  <c r="AF53" i="19" s="1"/>
  <c r="AJ103" i="18"/>
  <c r="AJ77" i="18"/>
  <c r="AJ79" i="18"/>
  <c r="AD89" i="18"/>
  <c r="AE89" i="18" s="1"/>
  <c r="AD102" i="18"/>
  <c r="AE102" i="18" s="1"/>
  <c r="AD29" i="18"/>
  <c r="AE29" i="18" s="1"/>
  <c r="AD45" i="18"/>
  <c r="AE45" i="18" s="1"/>
  <c r="AD97" i="18"/>
  <c r="AE97" i="18" s="1"/>
  <c r="AD109" i="18"/>
  <c r="AE109" i="18" s="1"/>
  <c r="AD85" i="18"/>
  <c r="AE85" i="18" s="1"/>
  <c r="AD73" i="18"/>
  <c r="AE73" i="18" s="1"/>
  <c r="AJ115" i="18"/>
  <c r="AE92" i="19"/>
  <c r="AF92" i="19" s="1"/>
  <c r="AE45" i="19"/>
  <c r="AF45" i="19" s="1"/>
  <c r="AD21" i="18"/>
  <c r="AE21" i="18" s="1"/>
  <c r="AJ91" i="18"/>
  <c r="AD57" i="18"/>
  <c r="AE57" i="18" s="1"/>
  <c r="AJ67" i="18"/>
  <c r="AE47" i="19"/>
  <c r="AF47" i="19" s="1"/>
  <c r="AD37" i="18"/>
  <c r="AE37" i="18" s="1"/>
  <c r="AD25" i="18"/>
  <c r="AE25" i="18" s="1"/>
  <c r="AD99" i="18"/>
  <c r="AE99" i="18" s="1"/>
  <c r="AJ95" i="18"/>
  <c r="AD53" i="18"/>
  <c r="AE53" i="18" s="1"/>
  <c r="AD41" i="18"/>
  <c r="AE41" i="18" s="1"/>
  <c r="AJ71" i="18"/>
  <c r="AJ51" i="18"/>
  <c r="AJ38" i="18"/>
  <c r="AJ22" i="18"/>
  <c r="AE77" i="19"/>
  <c r="AF77" i="19" s="1"/>
  <c r="AH52" i="19"/>
  <c r="AK52" i="19" s="1"/>
  <c r="AL83" i="19"/>
  <c r="AJ111" i="19"/>
  <c r="AE106" i="19"/>
  <c r="AF106" i="19" s="1"/>
  <c r="AH83" i="19"/>
  <c r="AK83" i="19" s="1"/>
  <c r="AE70" i="19"/>
  <c r="AF70" i="19" s="1"/>
  <c r="AE71" i="19"/>
  <c r="AF71" i="19" s="1"/>
  <c r="AE67" i="19"/>
  <c r="AF67" i="19" s="1"/>
  <c r="AI52" i="19"/>
  <c r="AO52" i="19" s="1"/>
  <c r="AI48" i="19"/>
  <c r="AO48" i="19" s="1"/>
  <c r="AH44" i="19"/>
  <c r="AH54" i="19"/>
  <c r="AL70" i="19"/>
  <c r="AL111" i="19"/>
  <c r="AE57" i="19"/>
  <c r="AF57" i="19" s="1"/>
  <c r="AL52" i="19"/>
  <c r="AI114" i="19"/>
  <c r="AO114" i="19" s="1"/>
  <c r="AE35" i="19"/>
  <c r="AF35" i="19" s="1"/>
  <c r="AH70" i="19"/>
  <c r="AK70" i="19" s="1"/>
  <c r="AJ54" i="19"/>
  <c r="AI54" i="19"/>
  <c r="AO54" i="19" s="1"/>
  <c r="AU14" i="19"/>
  <c r="AI116" i="19"/>
  <c r="AO116" i="19" s="1"/>
  <c r="AI112" i="19"/>
  <c r="AO112" i="19" s="1"/>
  <c r="AL112" i="19"/>
  <c r="AH106" i="19"/>
  <c r="AK106" i="19" s="1"/>
  <c r="AH102" i="19"/>
  <c r="AK102" i="19" s="1"/>
  <c r="AH74" i="19"/>
  <c r="AL106" i="19"/>
  <c r="AI50" i="19"/>
  <c r="AO50" i="19" s="1"/>
  <c r="AH50" i="19"/>
  <c r="AK50" i="19" s="1"/>
  <c r="AE25" i="19"/>
  <c r="AF25" i="19" s="1"/>
  <c r="AE21" i="19"/>
  <c r="AF21" i="19" s="1"/>
  <c r="AH116" i="19"/>
  <c r="AH89" i="19"/>
  <c r="AL93" i="19"/>
  <c r="AJ82" i="19"/>
  <c r="AJ74" i="19"/>
  <c r="AI42" i="19"/>
  <c r="AO42" i="19" s="1"/>
  <c r="AE39" i="19"/>
  <c r="AF39" i="19" s="1"/>
  <c r="AE19" i="19"/>
  <c r="AF19" i="19" s="1"/>
  <c r="AE61" i="19"/>
  <c r="AF61" i="19" s="1"/>
  <c r="AE49" i="19"/>
  <c r="AF49" i="19" s="1"/>
  <c r="AI102" i="19"/>
  <c r="AO102" i="19" s="1"/>
  <c r="AH111" i="19"/>
  <c r="AI111" i="19"/>
  <c r="AO111" i="19" s="1"/>
  <c r="AI46" i="19"/>
  <c r="AO46" i="19" s="1"/>
  <c r="AE37" i="19"/>
  <c r="AF37" i="19" s="1"/>
  <c r="AE23" i="19"/>
  <c r="AF23" i="19" s="1"/>
  <c r="AI82" i="19"/>
  <c r="AO82" i="19" s="1"/>
  <c r="AE116" i="19"/>
  <c r="AF116" i="19" s="1"/>
  <c r="AE51" i="19"/>
  <c r="AF51" i="19" s="1"/>
  <c r="AH63" i="18"/>
  <c r="AL63" i="18" s="1"/>
  <c r="AG63" i="18"/>
  <c r="AJ63" i="18" s="1"/>
  <c r="AD46" i="18"/>
  <c r="AE46" i="18" s="1"/>
  <c r="AH55" i="18"/>
  <c r="AL55" i="18" s="1"/>
  <c r="AD54" i="18"/>
  <c r="AE54" i="18" s="1"/>
  <c r="AD101" i="18"/>
  <c r="AE101" i="18" s="1"/>
  <c r="AD61" i="18"/>
  <c r="AE61" i="18" s="1"/>
  <c r="AH70" i="18"/>
  <c r="AL70" i="18" s="1"/>
  <c r="AG55" i="18"/>
  <c r="AJ55" i="18" s="1"/>
  <c r="AI70" i="18"/>
  <c r="AJ70" i="18" s="1"/>
  <c r="AD33" i="18"/>
  <c r="AE33" i="18" s="1"/>
  <c r="AR17" i="18"/>
  <c r="AD93" i="18"/>
  <c r="AE93" i="18" s="1"/>
  <c r="AG99" i="17"/>
  <c r="AO99" i="17" s="1"/>
  <c r="AJ99" i="17"/>
  <c r="AC83" i="17"/>
  <c r="AD83" i="17" s="1"/>
  <c r="AJ71" i="17"/>
  <c r="AC69" i="17"/>
  <c r="AD69" i="17" s="1"/>
  <c r="AG46" i="17"/>
  <c r="AO46" i="17" s="1"/>
  <c r="AG44" i="17"/>
  <c r="AO44" i="17" s="1"/>
  <c r="AG24" i="17"/>
  <c r="AO24" i="17" s="1"/>
  <c r="AH59" i="17"/>
  <c r="AF46" i="17"/>
  <c r="AF24" i="17"/>
  <c r="AH81" i="17"/>
  <c r="AH71" i="17"/>
  <c r="AI71" i="17" s="1"/>
  <c r="AG107" i="17"/>
  <c r="AO107" i="17" s="1"/>
  <c r="AG81" i="17"/>
  <c r="AO81" i="17" s="1"/>
  <c r="AJ107" i="17"/>
  <c r="AC95" i="17"/>
  <c r="AD95" i="17" s="1"/>
  <c r="AC93" i="17"/>
  <c r="AD93" i="17" s="1"/>
  <c r="AG34" i="17"/>
  <c r="AO34" i="17" s="1"/>
  <c r="AG26" i="17"/>
  <c r="AO26" i="17" s="1"/>
  <c r="AF34" i="17"/>
  <c r="AF26" i="17"/>
  <c r="AH44" i="17"/>
  <c r="AH34" i="17"/>
  <c r="AH26" i="17"/>
  <c r="AF60" i="17"/>
  <c r="AH24" i="17"/>
  <c r="AC109" i="17"/>
  <c r="AD109" i="17" s="1"/>
  <c r="AJ25" i="16"/>
  <c r="AE94" i="19"/>
  <c r="AF94" i="19" s="1"/>
  <c r="BM26" i="24"/>
  <c r="AD115" i="18"/>
  <c r="AE115" i="18" s="1"/>
  <c r="AE41" i="19"/>
  <c r="AF41" i="19" s="1"/>
  <c r="AH111" i="18"/>
  <c r="AL111" i="18" s="1"/>
  <c r="AD82" i="18"/>
  <c r="AE82" i="18" s="1"/>
  <c r="AH85" i="17"/>
  <c r="AJ103" i="17"/>
  <c r="AF95" i="17"/>
  <c r="AG52" i="17"/>
  <c r="AO52" i="17" s="1"/>
  <c r="AG48" i="17"/>
  <c r="AO48" i="17" s="1"/>
  <c r="AG42" i="17"/>
  <c r="AO42" i="17" s="1"/>
  <c r="AG40" i="17"/>
  <c r="AO40" i="17" s="1"/>
  <c r="AG36" i="17"/>
  <c r="AO36" i="17" s="1"/>
  <c r="AF42" i="17"/>
  <c r="AF40" i="17"/>
  <c r="AF16" i="17"/>
  <c r="AH52" i="17"/>
  <c r="AH16" i="17"/>
  <c r="AL116" i="19"/>
  <c r="AJ66" i="19"/>
  <c r="AJ62" i="19"/>
  <c r="AE31" i="19"/>
  <c r="AF31" i="19" s="1"/>
  <c r="AD105" i="18"/>
  <c r="AE105" i="18" s="1"/>
  <c r="AH83" i="18"/>
  <c r="AL83" i="18" s="1"/>
  <c r="AG83" i="18"/>
  <c r="AJ83" i="18" s="1"/>
  <c r="AD74" i="18"/>
  <c r="AE74" i="18" s="1"/>
  <c r="AH83" i="17"/>
  <c r="AJ113" i="17"/>
  <c r="AF103" i="17"/>
  <c r="AC97" i="17"/>
  <c r="AD97" i="17" s="1"/>
  <c r="AJ83" i="17"/>
  <c r="AF48" i="17"/>
  <c r="AC44" i="17"/>
  <c r="AD44" i="17" s="1"/>
  <c r="BM29" i="24"/>
  <c r="BO42" i="24"/>
  <c r="BO44" i="24" s="1"/>
  <c r="AE74" i="19"/>
  <c r="AF74" i="19" s="1"/>
  <c r="AH66" i="19"/>
  <c r="AH62" i="19"/>
  <c r="AE29" i="19"/>
  <c r="AF29" i="19" s="1"/>
  <c r="AD113" i="18"/>
  <c r="AE113" i="18" s="1"/>
  <c r="AD69" i="18"/>
  <c r="AE69" i="18" s="1"/>
  <c r="AD65" i="18"/>
  <c r="AE65" i="18" s="1"/>
  <c r="AG27" i="18"/>
  <c r="AH113" i="17"/>
  <c r="AG62" i="17"/>
  <c r="AO62" i="17" s="1"/>
  <c r="AG20" i="17"/>
  <c r="AO20" i="17" s="1"/>
  <c r="AG16" i="17"/>
  <c r="AO16" i="17" s="1"/>
  <c r="AF62" i="17"/>
  <c r="AF52" i="17"/>
  <c r="AF36" i="17"/>
  <c r="AH62" i="17"/>
  <c r="AC87" i="17"/>
  <c r="AD87" i="17" s="1"/>
  <c r="AI80" i="18"/>
  <c r="AJ80" i="18" s="1"/>
  <c r="AG19" i="18"/>
  <c r="AC46" i="17"/>
  <c r="AD46" i="17" s="1"/>
  <c r="AJ93" i="19"/>
  <c r="AI79" i="17"/>
  <c r="AI27" i="18"/>
  <c r="AH102" i="17"/>
  <c r="AH60" i="17"/>
  <c r="AG59" i="17"/>
  <c r="AO59" i="17" s="1"/>
  <c r="AC105" i="17"/>
  <c r="AD105" i="17" s="1"/>
  <c r="AI66" i="19"/>
  <c r="AO66" i="19" s="1"/>
  <c r="AI36" i="19"/>
  <c r="AO36" i="19" s="1"/>
  <c r="AH94" i="17"/>
  <c r="AH65" i="19"/>
  <c r="AI88" i="19"/>
  <c r="AO88" i="19" s="1"/>
  <c r="AJ73" i="19"/>
  <c r="AK73" i="19" s="1"/>
  <c r="AE36" i="19"/>
  <c r="AF36" i="19" s="1"/>
  <c r="AE34" i="19"/>
  <c r="AF34" i="19" s="1"/>
  <c r="AG92" i="18"/>
  <c r="AJ92" i="18" s="1"/>
  <c r="AD100" i="18"/>
  <c r="AE100" i="18" s="1"/>
  <c r="AD98" i="18"/>
  <c r="AE98" i="18" s="1"/>
  <c r="AC111" i="17"/>
  <c r="AD111" i="17" s="1"/>
  <c r="AE68" i="19"/>
  <c r="AF68" i="19" s="1"/>
  <c r="AD95" i="18"/>
  <c r="AE95" i="18" s="1"/>
  <c r="AI19" i="18"/>
  <c r="AH110" i="17"/>
  <c r="AJ66" i="18"/>
  <c r="AU22" i="15"/>
  <c r="AU12" i="15" s="1"/>
  <c r="AD76" i="18"/>
  <c r="AE76" i="18" s="1"/>
  <c r="AH45" i="18"/>
  <c r="AL45" i="18" s="1"/>
  <c r="AG66" i="17"/>
  <c r="AO66" i="17" s="1"/>
  <c r="AG35" i="17"/>
  <c r="AO35" i="17" s="1"/>
  <c r="AJ96" i="19"/>
  <c r="AJ92" i="19"/>
  <c r="AI99" i="19"/>
  <c r="AO99" i="19" s="1"/>
  <c r="AH86" i="19"/>
  <c r="AH69" i="19"/>
  <c r="AJ61" i="19"/>
  <c r="AI32" i="19"/>
  <c r="AO32" i="19" s="1"/>
  <c r="AH38" i="19"/>
  <c r="AJ28" i="19"/>
  <c r="AH28" i="19"/>
  <c r="AI65" i="18"/>
  <c r="AI23" i="18"/>
  <c r="AJ23" i="18" s="1"/>
  <c r="AG78" i="17"/>
  <c r="AO78" i="17" s="1"/>
  <c r="AI20" i="18"/>
  <c r="AG19" i="17"/>
  <c r="AO19" i="17" s="1"/>
  <c r="BM41" i="24"/>
  <c r="AF57" i="17"/>
  <c r="AI57" i="17" s="1"/>
  <c r="AI57" i="19"/>
  <c r="AO57" i="19" s="1"/>
  <c r="AI51" i="19"/>
  <c r="AO51" i="19" s="1"/>
  <c r="AI30" i="19"/>
  <c r="AO30" i="19" s="1"/>
  <c r="AE28" i="19"/>
  <c r="AF28" i="19" s="1"/>
  <c r="AH40" i="18"/>
  <c r="AL40" i="18" s="1"/>
  <c r="AH47" i="17"/>
  <c r="AI90" i="18"/>
  <c r="AJ90" i="18" s="1"/>
  <c r="AJ116" i="19"/>
  <c r="AJ94" i="19"/>
  <c r="AH98" i="19"/>
  <c r="AK98" i="19" s="1"/>
  <c r="AE83" i="19"/>
  <c r="AF83" i="19" s="1"/>
  <c r="AI38" i="19"/>
  <c r="AO38" i="19" s="1"/>
  <c r="AI28" i="19"/>
  <c r="AO28" i="19" s="1"/>
  <c r="AJ36" i="19"/>
  <c r="AH36" i="19"/>
  <c r="AE26" i="19"/>
  <c r="AF26" i="19" s="1"/>
  <c r="AD116" i="18"/>
  <c r="AE116" i="18" s="1"/>
  <c r="AG48" i="18"/>
  <c r="AJ48" i="18" s="1"/>
  <c r="AD43" i="18"/>
  <c r="AE43" i="18" s="1"/>
  <c r="AB47" i="8"/>
  <c r="AC103" i="17"/>
  <c r="AD103" i="17" s="1"/>
  <c r="AF59" i="17"/>
  <c r="AF55" i="17"/>
  <c r="AI70" i="19"/>
  <c r="AO70" i="19" s="1"/>
  <c r="AD103" i="18"/>
  <c r="AE103" i="18" s="1"/>
  <c r="BI32" i="24"/>
  <c r="AJ105" i="19"/>
  <c r="AK105" i="19" s="1"/>
  <c r="BI14" i="24"/>
  <c r="AJ99" i="19"/>
  <c r="AE97" i="19"/>
  <c r="AF97" i="19" s="1"/>
  <c r="AH95" i="19"/>
  <c r="AJ81" i="19"/>
  <c r="AK81" i="19" s="1"/>
  <c r="AJ65" i="19"/>
  <c r="AE103" i="19"/>
  <c r="AF103" i="19" s="1"/>
  <c r="AL80" i="19"/>
  <c r="AH80" i="19"/>
  <c r="AJ80" i="19"/>
  <c r="AH20" i="19"/>
  <c r="AL26" i="19"/>
  <c r="AJ26" i="19"/>
  <c r="AJ17" i="19"/>
  <c r="AK17" i="19" s="1"/>
  <c r="AI46" i="18"/>
  <c r="AH41" i="18"/>
  <c r="AL41" i="18" s="1"/>
  <c r="AI41" i="18"/>
  <c r="AH35" i="18"/>
  <c r="AL35" i="18" s="1"/>
  <c r="AI35" i="18"/>
  <c r="AG35" i="18"/>
  <c r="AH106" i="17"/>
  <c r="AH74" i="17"/>
  <c r="AG74" i="17"/>
  <c r="AO74" i="17" s="1"/>
  <c r="AJ114" i="19"/>
  <c r="AH114" i="19"/>
  <c r="AG94" i="18"/>
  <c r="AI94" i="18"/>
  <c r="AL46" i="19"/>
  <c r="BP53" i="24"/>
  <c r="AE95" i="19"/>
  <c r="AF95" i="19" s="1"/>
  <c r="AI84" i="19"/>
  <c r="AO84" i="19" s="1"/>
  <c r="AJ84" i="19"/>
  <c r="AH77" i="19"/>
  <c r="AJ69" i="19"/>
  <c r="AE72" i="19"/>
  <c r="AF72" i="19" s="1"/>
  <c r="AH72" i="19"/>
  <c r="AH43" i="19"/>
  <c r="AJ38" i="19"/>
  <c r="AJ32" i="19"/>
  <c r="AH32" i="19"/>
  <c r="AH26" i="19"/>
  <c r="AH57" i="18"/>
  <c r="AL57" i="18" s="1"/>
  <c r="AI57" i="18"/>
  <c r="AH46" i="18"/>
  <c r="AL46" i="18" s="1"/>
  <c r="AI64" i="18"/>
  <c r="AG64" i="18"/>
  <c r="AH23" i="17"/>
  <c r="AG23" i="17"/>
  <c r="AO23" i="17" s="1"/>
  <c r="AI107" i="18"/>
  <c r="AG107" i="18"/>
  <c r="AH107" i="18"/>
  <c r="AL107" i="18" s="1"/>
  <c r="AI87" i="18"/>
  <c r="AJ87" i="18" s="1"/>
  <c r="AH87" i="18"/>
  <c r="AL87" i="18" s="1"/>
  <c r="AH54" i="17"/>
  <c r="AF54" i="17"/>
  <c r="AG54" i="17"/>
  <c r="AO54" i="17" s="1"/>
  <c r="AI95" i="19"/>
  <c r="AO95" i="19" s="1"/>
  <c r="AJ72" i="19"/>
  <c r="AL40" i="19"/>
  <c r="AL34" i="19"/>
  <c r="AJ34" i="19"/>
  <c r="AL30" i="19"/>
  <c r="AG98" i="18"/>
  <c r="AH98" i="18"/>
  <c r="AL98" i="18" s="1"/>
  <c r="AI82" i="18"/>
  <c r="AI116" i="18"/>
  <c r="AH100" i="18"/>
  <c r="AL100" i="18" s="1"/>
  <c r="AI100" i="18"/>
  <c r="AH72" i="18"/>
  <c r="AL72" i="18" s="1"/>
  <c r="AI72" i="18"/>
  <c r="AG72" i="18"/>
  <c r="AH49" i="17"/>
  <c r="AL18" i="19"/>
  <c r="AJ18" i="19"/>
  <c r="AH18" i="19"/>
  <c r="AI99" i="18"/>
  <c r="AJ99" i="18" s="1"/>
  <c r="AH73" i="17"/>
  <c r="AF73" i="17"/>
  <c r="AJ73" i="17"/>
  <c r="AG73" i="17"/>
  <c r="AO73" i="17" s="1"/>
  <c r="AJ20" i="17"/>
  <c r="AH20" i="17"/>
  <c r="AI20" i="17" s="1"/>
  <c r="AJ95" i="19"/>
  <c r="AJ88" i="19"/>
  <c r="AJ77" i="19"/>
  <c r="AH39" i="19"/>
  <c r="AH31" i="19"/>
  <c r="AJ87" i="19"/>
  <c r="AI87" i="19"/>
  <c r="AO87" i="19" s="1"/>
  <c r="AJ40" i="19"/>
  <c r="AH40" i="19"/>
  <c r="AH34" i="19"/>
  <c r="AJ30" i="19"/>
  <c r="AH116" i="18"/>
  <c r="AL116" i="18" s="1"/>
  <c r="AG100" i="18"/>
  <c r="AI73" i="18"/>
  <c r="AH82" i="17"/>
  <c r="AH39" i="17"/>
  <c r="AG39" i="17"/>
  <c r="AO39" i="17" s="1"/>
  <c r="AL85" i="19"/>
  <c r="AJ85" i="19"/>
  <c r="AI111" i="18"/>
  <c r="AJ111" i="18" s="1"/>
  <c r="AL50" i="19"/>
  <c r="AJ64" i="17"/>
  <c r="AG64" i="17"/>
  <c r="AO64" i="17" s="1"/>
  <c r="AF64" i="17"/>
  <c r="AH64" i="17"/>
  <c r="AE80" i="19"/>
  <c r="AF80" i="19" s="1"/>
  <c r="AE20" i="19"/>
  <c r="AF20" i="19" s="1"/>
  <c r="AE40" i="19"/>
  <c r="AF40" i="19" s="1"/>
  <c r="AE38" i="19"/>
  <c r="AF38" i="19" s="1"/>
  <c r="AE32" i="19"/>
  <c r="AF32" i="19" s="1"/>
  <c r="AE30" i="19"/>
  <c r="AF30" i="19" s="1"/>
  <c r="AE17" i="19"/>
  <c r="AF17" i="19" s="1"/>
  <c r="AD81" i="18"/>
  <c r="AE81" i="18" s="1"/>
  <c r="AD108" i="18"/>
  <c r="AE108" i="18" s="1"/>
  <c r="AI105" i="18"/>
  <c r="AI93" i="18"/>
  <c r="AH97" i="18"/>
  <c r="AL97" i="18" s="1"/>
  <c r="AD83" i="18"/>
  <c r="AE83" i="18" s="1"/>
  <c r="AD35" i="18"/>
  <c r="AE35" i="18" s="1"/>
  <c r="AD19" i="18"/>
  <c r="AE19" i="18" s="1"/>
  <c r="AI39" i="18"/>
  <c r="AJ39" i="18" s="1"/>
  <c r="AI31" i="18"/>
  <c r="AJ31" i="18" s="1"/>
  <c r="AH114" i="17"/>
  <c r="AH70" i="17"/>
  <c r="AG31" i="17"/>
  <c r="AO31" i="17" s="1"/>
  <c r="BO41" i="24"/>
  <c r="AL44" i="19"/>
  <c r="AJ44" i="19"/>
  <c r="BM16" i="24"/>
  <c r="AI85" i="18"/>
  <c r="AG41" i="17"/>
  <c r="AO41" i="17" s="1"/>
  <c r="AG27" i="17"/>
  <c r="AO27" i="17" s="1"/>
  <c r="AC92" i="10"/>
  <c r="BM24" i="24"/>
  <c r="AJ112" i="19"/>
  <c r="AK112" i="19" s="1"/>
  <c r="AC107" i="17"/>
  <c r="AD107" i="17" s="1"/>
  <c r="AD80" i="18"/>
  <c r="AE80" i="18" s="1"/>
  <c r="AI62" i="19"/>
  <c r="AO62" i="19" s="1"/>
  <c r="AL109" i="19"/>
  <c r="AI109" i="19"/>
  <c r="AO109" i="19" s="1"/>
  <c r="AI104" i="19"/>
  <c r="AO104" i="19" s="1"/>
  <c r="AL115" i="19"/>
  <c r="AL59" i="19"/>
  <c r="AH59" i="19"/>
  <c r="AL49" i="19"/>
  <c r="AH49" i="19"/>
  <c r="AL41" i="19"/>
  <c r="AL29" i="19"/>
  <c r="BD32" i="24"/>
  <c r="BF32" i="24" s="1"/>
  <c r="BF14" i="24"/>
  <c r="AG89" i="18"/>
  <c r="AD44" i="18"/>
  <c r="AE44" i="18" s="1"/>
  <c r="AG28" i="18"/>
  <c r="AJ96" i="17"/>
  <c r="AF96" i="17"/>
  <c r="AJ84" i="17"/>
  <c r="AF84" i="17"/>
  <c r="AJ76" i="17"/>
  <c r="AF76" i="17"/>
  <c r="AG76" i="17"/>
  <c r="AO76" i="17" s="1"/>
  <c r="AJ17" i="17"/>
  <c r="AF17" i="17"/>
  <c r="AG29" i="17"/>
  <c r="AO29" i="17" s="1"/>
  <c r="AG17" i="17"/>
  <c r="AO17" i="17" s="1"/>
  <c r="BD52" i="24"/>
  <c r="BJ50" i="24"/>
  <c r="AH109" i="19"/>
  <c r="AL98" i="19"/>
  <c r="AI98" i="19"/>
  <c r="AO98" i="19" s="1"/>
  <c r="AL94" i="19"/>
  <c r="AH94" i="19"/>
  <c r="AJ113" i="19"/>
  <c r="AJ109" i="19"/>
  <c r="AL105" i="19"/>
  <c r="AI105" i="19"/>
  <c r="AO105" i="19" s="1"/>
  <c r="AI92" i="19"/>
  <c r="AO92" i="19" s="1"/>
  <c r="AI107" i="19"/>
  <c r="AO107" i="19" s="1"/>
  <c r="AL99" i="19"/>
  <c r="AH99" i="19"/>
  <c r="AI115" i="19"/>
  <c r="AO115" i="19" s="1"/>
  <c r="AJ115" i="19"/>
  <c r="AH84" i="19"/>
  <c r="AE100" i="19"/>
  <c r="AF100" i="19" s="1"/>
  <c r="AE91" i="19"/>
  <c r="AF91" i="19" s="1"/>
  <c r="AL57" i="19"/>
  <c r="AH57" i="19"/>
  <c r="AK57" i="19" s="1"/>
  <c r="AJ55" i="19"/>
  <c r="AJ51" i="19"/>
  <c r="AJ47" i="19"/>
  <c r="AE108" i="19"/>
  <c r="AF108" i="19" s="1"/>
  <c r="AH88" i="19"/>
  <c r="AI81" i="19"/>
  <c r="AO81" i="19" s="1"/>
  <c r="AL81" i="19"/>
  <c r="AI73" i="19"/>
  <c r="AO73" i="19" s="1"/>
  <c r="AL73" i="19"/>
  <c r="AI65" i="19"/>
  <c r="AO65" i="19" s="1"/>
  <c r="AL65" i="19"/>
  <c r="AE58" i="19"/>
  <c r="AF58" i="19" s="1"/>
  <c r="AE52" i="19"/>
  <c r="AF52" i="19" s="1"/>
  <c r="AE44" i="19"/>
  <c r="AF44" i="19" s="1"/>
  <c r="AJ39" i="19"/>
  <c r="AJ35" i="19"/>
  <c r="AJ31" i="19"/>
  <c r="AJ27" i="19"/>
  <c r="AE87" i="19"/>
  <c r="AF87" i="19" s="1"/>
  <c r="AH87" i="19"/>
  <c r="AL72" i="19"/>
  <c r="AI72" i="19"/>
  <c r="AO72" i="19" s="1"/>
  <c r="AI33" i="19"/>
  <c r="AO33" i="19" s="1"/>
  <c r="AI25" i="19"/>
  <c r="AO25" i="19" s="1"/>
  <c r="AI103" i="19"/>
  <c r="AO103" i="19" s="1"/>
  <c r="AJ103" i="19"/>
  <c r="AJ68" i="19"/>
  <c r="AK68" i="19" s="1"/>
  <c r="AE54" i="19"/>
  <c r="AF54" i="19" s="1"/>
  <c r="AE46" i="19"/>
  <c r="AF46" i="19" s="1"/>
  <c r="AH64" i="19"/>
  <c r="AE22" i="19"/>
  <c r="AF22" i="19" s="1"/>
  <c r="AI80" i="19"/>
  <c r="AO80" i="19" s="1"/>
  <c r="AL20" i="19"/>
  <c r="AI20" i="19"/>
  <c r="AO20" i="19" s="1"/>
  <c r="AL17" i="19"/>
  <c r="AI17" i="19"/>
  <c r="AO17" i="19" s="1"/>
  <c r="AI117" i="18"/>
  <c r="AJ117" i="18" s="1"/>
  <c r="AH117" i="18"/>
  <c r="AL117" i="18" s="1"/>
  <c r="AG104" i="18"/>
  <c r="AG76" i="18"/>
  <c r="AG62" i="18"/>
  <c r="AG52" i="18"/>
  <c r="AJ24" i="19"/>
  <c r="AG113" i="18"/>
  <c r="AJ113" i="18" s="1"/>
  <c r="AI109" i="18"/>
  <c r="AH106" i="18"/>
  <c r="AL106" i="18" s="1"/>
  <c r="AD104" i="18"/>
  <c r="AE104" i="18" s="1"/>
  <c r="AD92" i="18"/>
  <c r="AE92" i="18" s="1"/>
  <c r="AG85" i="18"/>
  <c r="AI81" i="18"/>
  <c r="AH78" i="18"/>
  <c r="AL78" i="18" s="1"/>
  <c r="AH74" i="18"/>
  <c r="AL74" i="18" s="1"/>
  <c r="AD72" i="18"/>
  <c r="AE72" i="18" s="1"/>
  <c r="AG65" i="18"/>
  <c r="AI61" i="18"/>
  <c r="AH58" i="18"/>
  <c r="AL58" i="18" s="1"/>
  <c r="AD56" i="18"/>
  <c r="AE56" i="18" s="1"/>
  <c r="AG49" i="18"/>
  <c r="AJ49" i="18" s="1"/>
  <c r="AH42" i="18"/>
  <c r="AL42" i="18" s="1"/>
  <c r="AI96" i="18"/>
  <c r="AJ96" i="18" s="1"/>
  <c r="AI84" i="18"/>
  <c r="AJ84" i="18" s="1"/>
  <c r="AD79" i="18"/>
  <c r="AE79" i="18" s="1"/>
  <c r="AH65" i="18"/>
  <c r="AL65" i="18" s="1"/>
  <c r="AG46" i="18"/>
  <c r="AI44" i="18"/>
  <c r="AJ44" i="18" s="1"/>
  <c r="AH96" i="18"/>
  <c r="AL96" i="18" s="1"/>
  <c r="AH88" i="18"/>
  <c r="AL88" i="18" s="1"/>
  <c r="AH64" i="18"/>
  <c r="AL64" i="18" s="1"/>
  <c r="AH56" i="18"/>
  <c r="AL56" i="18" s="1"/>
  <c r="AH48" i="18"/>
  <c r="AL48" i="18" s="1"/>
  <c r="AI98" i="18"/>
  <c r="AI50" i="18"/>
  <c r="AJ50" i="18" s="1"/>
  <c r="AI74" i="18"/>
  <c r="AD39" i="18"/>
  <c r="AE39" i="18" s="1"/>
  <c r="AG32" i="18"/>
  <c r="AD23" i="18"/>
  <c r="AE23" i="18" s="1"/>
  <c r="AD38" i="18"/>
  <c r="AE38" i="18" s="1"/>
  <c r="AD34" i="18"/>
  <c r="AE34" i="18" s="1"/>
  <c r="AH32" i="18"/>
  <c r="AL32" i="18" s="1"/>
  <c r="AD30" i="18"/>
  <c r="AE30" i="18" s="1"/>
  <c r="AH28" i="18"/>
  <c r="AL28" i="18" s="1"/>
  <c r="AD26" i="18"/>
  <c r="AE26" i="18" s="1"/>
  <c r="AD22" i="18"/>
  <c r="AE22" i="18" s="1"/>
  <c r="AD18" i="18"/>
  <c r="AE18" i="18" s="1"/>
  <c r="AJ112" i="17"/>
  <c r="AF112" i="17"/>
  <c r="AJ108" i="17"/>
  <c r="AF108" i="17"/>
  <c r="AJ104" i="17"/>
  <c r="AF104" i="17"/>
  <c r="AH100" i="17"/>
  <c r="AJ98" i="17"/>
  <c r="AF98" i="17"/>
  <c r="AI98" i="17" s="1"/>
  <c r="AH92" i="17"/>
  <c r="AJ90" i="17"/>
  <c r="AF90" i="17"/>
  <c r="AH86" i="17"/>
  <c r="AH80" i="17"/>
  <c r="AJ78" i="17"/>
  <c r="AF78" i="17"/>
  <c r="AI78" i="17" s="1"/>
  <c r="AH72" i="17"/>
  <c r="AJ70" i="17"/>
  <c r="AF70" i="17"/>
  <c r="AJ66" i="17"/>
  <c r="AF66" i="17"/>
  <c r="AI66" i="17" s="1"/>
  <c r="AH39" i="18"/>
  <c r="AL39" i="18" s="1"/>
  <c r="AH23" i="18"/>
  <c r="AL23" i="18" s="1"/>
  <c r="AH51" i="17"/>
  <c r="AF49" i="17"/>
  <c r="AJ49" i="17"/>
  <c r="AH45" i="17"/>
  <c r="AC62" i="17"/>
  <c r="AD62" i="17" s="1"/>
  <c r="AC58" i="17"/>
  <c r="AD58" i="17" s="1"/>
  <c r="AC54" i="17"/>
  <c r="AD54" i="17" s="1"/>
  <c r="AG51" i="17"/>
  <c r="AO51" i="17" s="1"/>
  <c r="AB30" i="8"/>
  <c r="BN43" i="24"/>
  <c r="BR43" i="24" s="1"/>
  <c r="BH43" i="24"/>
  <c r="AH113" i="19"/>
  <c r="AL107" i="19"/>
  <c r="AH107" i="19"/>
  <c r="AK107" i="19" s="1"/>
  <c r="AL75" i="19"/>
  <c r="AH75" i="19"/>
  <c r="AK75" i="19" s="1"/>
  <c r="AL67" i="19"/>
  <c r="AH67" i="19"/>
  <c r="AK67" i="19" s="1"/>
  <c r="AL45" i="19"/>
  <c r="AH45" i="19"/>
  <c r="AL76" i="19"/>
  <c r="AL33" i="19"/>
  <c r="AL25" i="19"/>
  <c r="AJ41" i="19"/>
  <c r="AH37" i="19"/>
  <c r="AH29" i="19"/>
  <c r="AI64" i="19"/>
  <c r="AO64" i="19" s="1"/>
  <c r="AH102" i="18"/>
  <c r="AL102" i="18" s="1"/>
  <c r="AD96" i="18"/>
  <c r="AE96" i="18" s="1"/>
  <c r="AH112" i="18"/>
  <c r="AL112" i="18" s="1"/>
  <c r="AI102" i="18"/>
  <c r="AJ102" i="18" s="1"/>
  <c r="AJ43" i="17"/>
  <c r="AF43" i="17"/>
  <c r="AJ37" i="17"/>
  <c r="AF37" i="17"/>
  <c r="AJ25" i="17"/>
  <c r="AF25" i="17"/>
  <c r="AJ21" i="17"/>
  <c r="AF21" i="17"/>
  <c r="AG33" i="17"/>
  <c r="AO33" i="17" s="1"/>
  <c r="AG21" i="17"/>
  <c r="AO21" i="17" s="1"/>
  <c r="BQ42" i="24"/>
  <c r="BQ44" i="24" s="1"/>
  <c r="AL101" i="19"/>
  <c r="AI101" i="19"/>
  <c r="AO101" i="19" s="1"/>
  <c r="AL86" i="19"/>
  <c r="AI86" i="19"/>
  <c r="AO86" i="19" s="1"/>
  <c r="AL79" i="19"/>
  <c r="AH79" i="19"/>
  <c r="AL71" i="19"/>
  <c r="AH71" i="19"/>
  <c r="AL63" i="19"/>
  <c r="AH63" i="19"/>
  <c r="AL100" i="19"/>
  <c r="AJ100" i="19"/>
  <c r="AK100" i="19" s="1"/>
  <c r="AI100" i="19"/>
  <c r="AO100" i="19" s="1"/>
  <c r="AL91" i="19"/>
  <c r="AI91" i="19"/>
  <c r="AO91" i="19" s="1"/>
  <c r="AH55" i="19"/>
  <c r="AL55" i="19"/>
  <c r="AH51" i="19"/>
  <c r="AL51" i="19"/>
  <c r="AH47" i="19"/>
  <c r="AL47" i="19"/>
  <c r="AL108" i="19"/>
  <c r="AI108" i="19"/>
  <c r="AO108" i="19" s="1"/>
  <c r="AL90" i="19"/>
  <c r="AH90" i="19"/>
  <c r="AI59" i="19"/>
  <c r="AO59" i="19" s="1"/>
  <c r="AI55" i="19"/>
  <c r="AO55" i="19" s="1"/>
  <c r="AI47" i="19"/>
  <c r="AO47" i="19" s="1"/>
  <c r="AJ76" i="19"/>
  <c r="AK76" i="19" s="1"/>
  <c r="AL39" i="19"/>
  <c r="AL35" i="19"/>
  <c r="AL31" i="19"/>
  <c r="AL27" i="19"/>
  <c r="AI35" i="19"/>
  <c r="AO35" i="19" s="1"/>
  <c r="AI27" i="19"/>
  <c r="AO27" i="19" s="1"/>
  <c r="AI19" i="19"/>
  <c r="AO19" i="19" s="1"/>
  <c r="AH41" i="19"/>
  <c r="AH33" i="19"/>
  <c r="AH25" i="19"/>
  <c r="BM44" i="24"/>
  <c r="BK50" i="24"/>
  <c r="BL14" i="24"/>
  <c r="BJ32" i="24"/>
  <c r="BL32" i="24" s="1"/>
  <c r="AJ64" i="19"/>
  <c r="AL22" i="19"/>
  <c r="AI22" i="19"/>
  <c r="AO22" i="19" s="1"/>
  <c r="AG110" i="18"/>
  <c r="AG58" i="18"/>
  <c r="AJ58" i="18" s="1"/>
  <c r="AH114" i="18"/>
  <c r="AL114" i="18" s="1"/>
  <c r="AG109" i="18"/>
  <c r="AG101" i="18"/>
  <c r="AJ101" i="18" s="1"/>
  <c r="AG97" i="18"/>
  <c r="AJ97" i="18" s="1"/>
  <c r="AD88" i="18"/>
  <c r="AE88" i="18" s="1"/>
  <c r="AG81" i="18"/>
  <c r="AD68" i="18"/>
  <c r="AE68" i="18" s="1"/>
  <c r="AG61" i="18"/>
  <c r="AH54" i="18"/>
  <c r="AL54" i="18" s="1"/>
  <c r="AD52" i="18"/>
  <c r="AE52" i="18" s="1"/>
  <c r="AG45" i="18"/>
  <c r="AJ45" i="18" s="1"/>
  <c r="AG116" i="18"/>
  <c r="AH113" i="18"/>
  <c r="AL113" i="18" s="1"/>
  <c r="AH109" i="18"/>
  <c r="AL109" i="18" s="1"/>
  <c r="AH89" i="18"/>
  <c r="AL89" i="18" s="1"/>
  <c r="AG86" i="18"/>
  <c r="AG82" i="18"/>
  <c r="AD75" i="18"/>
  <c r="AE75" i="18" s="1"/>
  <c r="AI68" i="18"/>
  <c r="AJ68" i="18" s="1"/>
  <c r="AI60" i="18"/>
  <c r="AJ60" i="18" s="1"/>
  <c r="AI56" i="18"/>
  <c r="AJ56" i="18" s="1"/>
  <c r="AG42" i="18"/>
  <c r="AJ42" i="18" s="1"/>
  <c r="AH108" i="18"/>
  <c r="AL108" i="18" s="1"/>
  <c r="AI78" i="18"/>
  <c r="AJ78" i="18" s="1"/>
  <c r="AG36" i="18"/>
  <c r="AD27" i="18"/>
  <c r="AE27" i="18" s="1"/>
  <c r="AG20" i="18"/>
  <c r="AI86" i="18"/>
  <c r="AJ100" i="17"/>
  <c r="AF100" i="17"/>
  <c r="AJ92" i="17"/>
  <c r="AF92" i="17"/>
  <c r="AJ86" i="17"/>
  <c r="AF86" i="17"/>
  <c r="AJ80" i="17"/>
  <c r="AF80" i="17"/>
  <c r="AJ72" i="17"/>
  <c r="AF72" i="17"/>
  <c r="AG70" i="17"/>
  <c r="AO70" i="17" s="1"/>
  <c r="AI32" i="18"/>
  <c r="AF51" i="17"/>
  <c r="AJ51" i="17"/>
  <c r="AF45" i="17"/>
  <c r="AJ45" i="17"/>
  <c r="AF39" i="17"/>
  <c r="AJ39" i="17"/>
  <c r="AJ35" i="17"/>
  <c r="AF35" i="17"/>
  <c r="AJ31" i="17"/>
  <c r="AF31" i="17"/>
  <c r="AI31" i="17" s="1"/>
  <c r="AJ27" i="17"/>
  <c r="AF27" i="17"/>
  <c r="AI27" i="17" s="1"/>
  <c r="AJ23" i="17"/>
  <c r="AF23" i="17"/>
  <c r="AJ19" i="17"/>
  <c r="AF19" i="17"/>
  <c r="AI19" i="17" s="1"/>
  <c r="AI36" i="18"/>
  <c r="AG49" i="17"/>
  <c r="AO49" i="17" s="1"/>
  <c r="AI30" i="17"/>
  <c r="AI22" i="17"/>
  <c r="AL113" i="19"/>
  <c r="AL104" i="19"/>
  <c r="AJ104" i="19"/>
  <c r="AL53" i="19"/>
  <c r="AH53" i="19"/>
  <c r="AE88" i="19"/>
  <c r="AF88" i="19" s="1"/>
  <c r="AI76" i="19"/>
  <c r="AO76" i="19" s="1"/>
  <c r="AL37" i="19"/>
  <c r="AL19" i="19"/>
  <c r="AG69" i="18"/>
  <c r="AD60" i="18"/>
  <c r="AE60" i="18" s="1"/>
  <c r="AG53" i="18"/>
  <c r="AG74" i="18"/>
  <c r="AH104" i="18"/>
  <c r="AL104" i="18" s="1"/>
  <c r="AJ88" i="17"/>
  <c r="AF88" i="17"/>
  <c r="AF53" i="17"/>
  <c r="AJ53" i="17"/>
  <c r="AJ33" i="17"/>
  <c r="AF33" i="17"/>
  <c r="AJ29" i="17"/>
  <c r="AF29" i="17"/>
  <c r="AG53" i="17"/>
  <c r="AO53" i="17" s="1"/>
  <c r="AG37" i="17"/>
  <c r="AO37" i="17" s="1"/>
  <c r="AI18" i="17"/>
  <c r="BR39" i="24"/>
  <c r="BN41" i="24"/>
  <c r="BH42" i="24"/>
  <c r="BN42" i="24"/>
  <c r="BR42" i="24" s="1"/>
  <c r="BE55" i="24"/>
  <c r="BI55" i="24" s="1"/>
  <c r="BI53" i="24"/>
  <c r="AI113" i="19"/>
  <c r="AO113" i="19" s="1"/>
  <c r="AH96" i="19"/>
  <c r="AL96" i="19"/>
  <c r="AH92" i="19"/>
  <c r="AL92" i="19"/>
  <c r="AJ101" i="19"/>
  <c r="AK101" i="19" s="1"/>
  <c r="AI96" i="19"/>
  <c r="AO96" i="19" s="1"/>
  <c r="AE104" i="19"/>
  <c r="AF104" i="19" s="1"/>
  <c r="AH104" i="19"/>
  <c r="AE93" i="19"/>
  <c r="AF93" i="19" s="1"/>
  <c r="AH115" i="19"/>
  <c r="AE115" i="19"/>
  <c r="AF115" i="19" s="1"/>
  <c r="AJ86" i="19"/>
  <c r="AL84" i="19"/>
  <c r="AJ79" i="19"/>
  <c r="AJ71" i="19"/>
  <c r="AJ63" i="19"/>
  <c r="AJ108" i="19"/>
  <c r="AK108" i="19" s="1"/>
  <c r="AJ91" i="19"/>
  <c r="AK91" i="19" s="1"/>
  <c r="AE90" i="19"/>
  <c r="AF90" i="19" s="1"/>
  <c r="AL61" i="19"/>
  <c r="AH61" i="19"/>
  <c r="AJ59" i="19"/>
  <c r="AJ53" i="19"/>
  <c r="AJ49" i="19"/>
  <c r="AJ45" i="19"/>
  <c r="AI90" i="19"/>
  <c r="AO90" i="19" s="1"/>
  <c r="AJ90" i="19"/>
  <c r="AL88" i="19"/>
  <c r="AI77" i="19"/>
  <c r="AO77" i="19" s="1"/>
  <c r="AL77" i="19"/>
  <c r="AI75" i="19"/>
  <c r="AO75" i="19" s="1"/>
  <c r="AI69" i="19"/>
  <c r="AO69" i="19" s="1"/>
  <c r="AL69" i="19"/>
  <c r="AI67" i="19"/>
  <c r="AO67" i="19" s="1"/>
  <c r="AI61" i="19"/>
  <c r="AO61" i="19" s="1"/>
  <c r="AE60" i="19"/>
  <c r="AF60" i="19" s="1"/>
  <c r="AE56" i="19"/>
  <c r="AF56" i="19" s="1"/>
  <c r="AI49" i="19"/>
  <c r="AO49" i="19" s="1"/>
  <c r="AE76" i="19"/>
  <c r="AF76" i="19" s="1"/>
  <c r="AE48" i="19"/>
  <c r="AF48" i="19" s="1"/>
  <c r="AJ37" i="19"/>
  <c r="AJ33" i="19"/>
  <c r="AJ29" i="19"/>
  <c r="AJ25" i="19"/>
  <c r="AJ19" i="19"/>
  <c r="AI43" i="19"/>
  <c r="AO43" i="19" s="1"/>
  <c r="AJ43" i="19"/>
  <c r="AI41" i="19"/>
  <c r="AO41" i="19" s="1"/>
  <c r="AI37" i="19"/>
  <c r="AO37" i="19" s="1"/>
  <c r="AI29" i="19"/>
  <c r="AO29" i="19" s="1"/>
  <c r="AH103" i="19"/>
  <c r="AL68" i="19"/>
  <c r="AI68" i="19"/>
  <c r="AO68" i="19" s="1"/>
  <c r="AE50" i="19"/>
  <c r="AF50" i="19" s="1"/>
  <c r="AH35" i="19"/>
  <c r="AH27" i="19"/>
  <c r="AH19" i="19"/>
  <c r="BM42" i="24"/>
  <c r="AE64" i="19"/>
  <c r="AF64" i="19" s="1"/>
  <c r="AJ22" i="19"/>
  <c r="AK22" i="19" s="1"/>
  <c r="AG112" i="18"/>
  <c r="AG106" i="18"/>
  <c r="AJ106" i="18" s="1"/>
  <c r="AG88" i="18"/>
  <c r="AJ88" i="18" s="1"/>
  <c r="AI24" i="19"/>
  <c r="AO24" i="19" s="1"/>
  <c r="AE24" i="19"/>
  <c r="AF24" i="19" s="1"/>
  <c r="AH24" i="19"/>
  <c r="AI114" i="18"/>
  <c r="AJ114" i="18" s="1"/>
  <c r="AD112" i="18"/>
  <c r="AE112" i="18" s="1"/>
  <c r="AG105" i="18"/>
  <c r="AG93" i="18"/>
  <c r="AI89" i="18"/>
  <c r="AD84" i="18"/>
  <c r="AE84" i="18" s="1"/>
  <c r="AG73" i="18"/>
  <c r="AI69" i="18"/>
  <c r="AD64" i="18"/>
  <c r="AE64" i="18" s="1"/>
  <c r="AG57" i="18"/>
  <c r="AI53" i="18"/>
  <c r="AH50" i="18"/>
  <c r="AL50" i="18" s="1"/>
  <c r="AD48" i="18"/>
  <c r="AE48" i="18" s="1"/>
  <c r="AG41" i="18"/>
  <c r="AI112" i="18"/>
  <c r="AI108" i="18"/>
  <c r="AJ108" i="18" s="1"/>
  <c r="AI104" i="18"/>
  <c r="AH101" i="18"/>
  <c r="AL101" i="18" s="1"/>
  <c r="AH93" i="18"/>
  <c r="AL93" i="18" s="1"/>
  <c r="AD91" i="18"/>
  <c r="AE91" i="18" s="1"/>
  <c r="AI76" i="18"/>
  <c r="AH73" i="18"/>
  <c r="AL73" i="18" s="1"/>
  <c r="AI52" i="18"/>
  <c r="AH49" i="18"/>
  <c r="AL49" i="18" s="1"/>
  <c r="AD47" i="18"/>
  <c r="AE47" i="18" s="1"/>
  <c r="AH92" i="18"/>
  <c r="AL92" i="18" s="1"/>
  <c r="AH84" i="18"/>
  <c r="AL84" i="18" s="1"/>
  <c r="AH68" i="18"/>
  <c r="AL68" i="18" s="1"/>
  <c r="AH44" i="18"/>
  <c r="AL44" i="18" s="1"/>
  <c r="AI62" i="18"/>
  <c r="AI54" i="18"/>
  <c r="AJ54" i="18" s="1"/>
  <c r="AG40" i="18"/>
  <c r="AJ40" i="18" s="1"/>
  <c r="AD31" i="18"/>
  <c r="AE31" i="18" s="1"/>
  <c r="AG24" i="18"/>
  <c r="AI110" i="18"/>
  <c r="AJ114" i="17"/>
  <c r="AF114" i="17"/>
  <c r="AJ110" i="17"/>
  <c r="AF110" i="17"/>
  <c r="AJ106" i="17"/>
  <c r="AF106" i="17"/>
  <c r="AJ102" i="17"/>
  <c r="AF102" i="17"/>
  <c r="AH96" i="17"/>
  <c r="AJ94" i="17"/>
  <c r="AF94" i="17"/>
  <c r="AH88" i="17"/>
  <c r="AH84" i="17"/>
  <c r="AJ82" i="17"/>
  <c r="AF82" i="17"/>
  <c r="AH76" i="17"/>
  <c r="AJ74" i="17"/>
  <c r="AF74" i="17"/>
  <c r="AF68" i="17"/>
  <c r="AI68" i="17" s="1"/>
  <c r="AJ68" i="17"/>
  <c r="AG114" i="17"/>
  <c r="AO114" i="17" s="1"/>
  <c r="AG112" i="17"/>
  <c r="AO112" i="17" s="1"/>
  <c r="AG110" i="17"/>
  <c r="AO110" i="17" s="1"/>
  <c r="AG108" i="17"/>
  <c r="AO108" i="17" s="1"/>
  <c r="AG106" i="17"/>
  <c r="AO106" i="17" s="1"/>
  <c r="AG104" i="17"/>
  <c r="AO104" i="17" s="1"/>
  <c r="AG102" i="17"/>
  <c r="AO102" i="17" s="1"/>
  <c r="AG100" i="17"/>
  <c r="AO100" i="17" s="1"/>
  <c r="AG98" i="17"/>
  <c r="AO98" i="17" s="1"/>
  <c r="AG96" i="17"/>
  <c r="AO96" i="17" s="1"/>
  <c r="AG94" i="17"/>
  <c r="AO94" i="17" s="1"/>
  <c r="AG92" i="17"/>
  <c r="AO92" i="17" s="1"/>
  <c r="AG90" i="17"/>
  <c r="AO90" i="17" s="1"/>
  <c r="AG88" i="17"/>
  <c r="AO88" i="17" s="1"/>
  <c r="AG86" i="17"/>
  <c r="AO86" i="17" s="1"/>
  <c r="AG84" i="17"/>
  <c r="AO84" i="17" s="1"/>
  <c r="AG82" i="17"/>
  <c r="AO82" i="17" s="1"/>
  <c r="AG80" i="17"/>
  <c r="AO80" i="17" s="1"/>
  <c r="AG68" i="17"/>
  <c r="AO68" i="17" s="1"/>
  <c r="AI24" i="18"/>
  <c r="AH53" i="17"/>
  <c r="AF47" i="17"/>
  <c r="AJ47" i="17"/>
  <c r="AH43" i="17"/>
  <c r="AJ41" i="17"/>
  <c r="AF41" i="17"/>
  <c r="AH37" i="17"/>
  <c r="AH33" i="17"/>
  <c r="AH29" i="17"/>
  <c r="AH25" i="17"/>
  <c r="AH21" i="17"/>
  <c r="AH17" i="17"/>
  <c r="AI28" i="18"/>
  <c r="AC60" i="17"/>
  <c r="AD60" i="17" s="1"/>
  <c r="AC56" i="17"/>
  <c r="AD56" i="17" s="1"/>
  <c r="AG47" i="17"/>
  <c r="AO47" i="17" s="1"/>
  <c r="AG45" i="17"/>
  <c r="AO45" i="17" s="1"/>
  <c r="AG43" i="17"/>
  <c r="AO43" i="17" s="1"/>
  <c r="AI28" i="17"/>
  <c r="AI113" i="17" l="1"/>
  <c r="AJ27" i="18"/>
  <c r="AI48" i="17"/>
  <c r="AI95" i="17"/>
  <c r="AI50" i="17"/>
  <c r="AI81" i="17"/>
  <c r="AI108" i="17"/>
  <c r="AK85" i="19"/>
  <c r="AI111" i="17"/>
  <c r="AI90" i="17"/>
  <c r="AI41" i="17"/>
  <c r="AI107" i="17"/>
  <c r="AI115" i="17"/>
  <c r="AK21" i="19"/>
  <c r="AK30" i="19"/>
  <c r="AI104" i="17"/>
  <c r="AI40" i="17"/>
  <c r="AI87" i="17"/>
  <c r="AI112" i="17"/>
  <c r="AI97" i="17"/>
  <c r="AI36" i="17"/>
  <c r="AI32" i="17"/>
  <c r="AI85" i="17"/>
  <c r="AI38" i="17"/>
  <c r="AI35" i="17"/>
  <c r="AI46" i="17"/>
  <c r="AI83" i="17"/>
  <c r="AI67" i="17"/>
  <c r="AI109" i="17"/>
  <c r="AK20" i="19"/>
  <c r="AK48" i="19"/>
  <c r="AK23" i="19"/>
  <c r="AI63" i="17"/>
  <c r="AI61" i="17"/>
  <c r="AU43" i="15"/>
  <c r="AI75" i="17"/>
  <c r="AK89" i="19"/>
  <c r="BM14" i="24"/>
  <c r="AK60" i="19"/>
  <c r="AI56" i="17"/>
  <c r="AK56" i="19"/>
  <c r="AK95" i="19"/>
  <c r="AI105" i="17"/>
  <c r="AI55" i="17"/>
  <c r="AI103" i="17"/>
  <c r="AI77" i="17"/>
  <c r="AO14" i="17"/>
  <c r="AO13" i="17" s="1"/>
  <c r="AI44" i="17"/>
  <c r="AI42" i="17"/>
  <c r="AI93" i="17"/>
  <c r="AK82" i="19"/>
  <c r="AK58" i="19"/>
  <c r="AK74" i="19"/>
  <c r="AK110" i="19"/>
  <c r="AK93" i="19"/>
  <c r="AK78" i="19"/>
  <c r="BR41" i="24"/>
  <c r="AJ35" i="18"/>
  <c r="AK99" i="19"/>
  <c r="AK38" i="19"/>
  <c r="AJ62" i="18"/>
  <c r="AK96" i="19"/>
  <c r="AI49" i="17"/>
  <c r="AI70" i="17"/>
  <c r="AK79" i="19"/>
  <c r="AI82" i="17"/>
  <c r="AI16" i="17"/>
  <c r="AI62" i="17"/>
  <c r="AJ65" i="18"/>
  <c r="AK31" i="19"/>
  <c r="AJ76" i="18"/>
  <c r="AJ116" i="18"/>
  <c r="AI53" i="17"/>
  <c r="AI59" i="17"/>
  <c r="AI60" i="17"/>
  <c r="AI84" i="17"/>
  <c r="AI34" i="17"/>
  <c r="AK44" i="19"/>
  <c r="AJ19" i="18"/>
  <c r="AI26" i="17"/>
  <c r="AJ110" i="18"/>
  <c r="AI24" i="17"/>
  <c r="AI94" i="17"/>
  <c r="AJ82" i="18"/>
  <c r="AK54" i="19"/>
  <c r="AK111" i="19"/>
  <c r="AJ28" i="18"/>
  <c r="AI106" i="17"/>
  <c r="AK84" i="19"/>
  <c r="AK34" i="19"/>
  <c r="AK87" i="19"/>
  <c r="AK39" i="19"/>
  <c r="AK43" i="19"/>
  <c r="AK65" i="19"/>
  <c r="AK33" i="19"/>
  <c r="AK49" i="19"/>
  <c r="AK86" i="19"/>
  <c r="AK77" i="19"/>
  <c r="AK26" i="19"/>
  <c r="AK80" i="19"/>
  <c r="AK116" i="19"/>
  <c r="AK66" i="19"/>
  <c r="AK18" i="19"/>
  <c r="AK88" i="19"/>
  <c r="AK69" i="19"/>
  <c r="AK37" i="19"/>
  <c r="AK90" i="19"/>
  <c r="AK25" i="19"/>
  <c r="AK59" i="19"/>
  <c r="AK45" i="19"/>
  <c r="AK61" i="19"/>
  <c r="AK72" i="19"/>
  <c r="AJ41" i="18"/>
  <c r="AJ20" i="18"/>
  <c r="AJ85" i="18"/>
  <c r="AJ104" i="18"/>
  <c r="AJ89" i="18"/>
  <c r="AJ93" i="18"/>
  <c r="AJ52" i="18"/>
  <c r="AJ73" i="18"/>
  <c r="AJ105" i="18"/>
  <c r="AJ98" i="18"/>
  <c r="AJ57" i="18"/>
  <c r="AI29" i="17"/>
  <c r="AI114" i="17"/>
  <c r="AI23" i="17"/>
  <c r="AI37" i="17"/>
  <c r="AI76" i="17"/>
  <c r="AI102" i="17"/>
  <c r="AI25" i="17"/>
  <c r="AI39" i="17"/>
  <c r="AI74" i="17"/>
  <c r="AI43" i="17"/>
  <c r="AI96" i="17"/>
  <c r="BM32" i="24"/>
  <c r="AK62" i="19"/>
  <c r="AI52" i="17"/>
  <c r="AI17" i="17"/>
  <c r="AJ32" i="18"/>
  <c r="AJ46" i="18"/>
  <c r="AI88" i="17"/>
  <c r="AI110" i="17"/>
  <c r="AK92" i="19"/>
  <c r="BH44" i="24"/>
  <c r="AK94" i="19"/>
  <c r="AI47" i="17"/>
  <c r="AK64" i="19"/>
  <c r="AJ107" i="18"/>
  <c r="AK114" i="19"/>
  <c r="AJ36" i="18"/>
  <c r="AI64" i="17"/>
  <c r="AI73" i="17"/>
  <c r="AK28" i="19"/>
  <c r="AK36" i="19"/>
  <c r="AK53" i="19"/>
  <c r="AJ72" i="18"/>
  <c r="AK32" i="19"/>
  <c r="AK40" i="19"/>
  <c r="AI54" i="17"/>
  <c r="AK51" i="19"/>
  <c r="AK109" i="19"/>
  <c r="AJ100" i="18"/>
  <c r="AL17" i="18"/>
  <c r="AJ64" i="18"/>
  <c r="AJ94" i="18"/>
  <c r="BN44" i="24"/>
  <c r="BR44" i="24" s="1"/>
  <c r="AK104" i="19"/>
  <c r="AK41" i="19"/>
  <c r="AJ53" i="18"/>
  <c r="AK29" i="19"/>
  <c r="AJ86" i="18"/>
  <c r="BK52" i="24"/>
  <c r="BQ50" i="24"/>
  <c r="BR50" i="24" s="1"/>
  <c r="AJ81" i="18"/>
  <c r="AK103" i="19"/>
  <c r="AK27" i="19"/>
  <c r="AK55" i="19"/>
  <c r="BD54" i="24"/>
  <c r="BJ54" i="24" s="1"/>
  <c r="BJ52" i="24"/>
  <c r="BD53" i="24"/>
  <c r="AI33" i="17"/>
  <c r="AJ24" i="18"/>
  <c r="AJ69" i="18"/>
  <c r="AK63" i="19"/>
  <c r="AI72" i="17"/>
  <c r="AI80" i="17"/>
  <c r="AJ74" i="18"/>
  <c r="AK113" i="19"/>
  <c r="AI21" i="17"/>
  <c r="AJ112" i="18"/>
  <c r="AK19" i="19"/>
  <c r="AK71" i="19"/>
  <c r="AI45" i="17"/>
  <c r="AI51" i="17"/>
  <c r="AI86" i="17"/>
  <c r="AI92" i="17"/>
  <c r="AI100" i="17"/>
  <c r="AJ61" i="18"/>
  <c r="AJ109" i="18"/>
  <c r="AK24" i="19"/>
  <c r="AK35" i="19"/>
  <c r="AK47" i="19"/>
  <c r="AK115" i="19"/>
  <c r="BD55" i="24" l="1"/>
  <c r="BJ55" i="24" s="1"/>
  <c r="BJ53" i="24"/>
  <c r="BK53" i="24"/>
  <c r="BK54" i="24"/>
  <c r="BQ54" i="24" s="1"/>
  <c r="BR54" i="24" s="1"/>
  <c r="BQ52" i="24"/>
  <c r="BR52" i="24" s="1"/>
  <c r="BK55" i="24" l="1"/>
  <c r="BQ53" i="24"/>
  <c r="BR53" i="24" s="1"/>
  <c r="BQ55" i="24" l="1"/>
  <c r="BR55" i="2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梅津　幸子</author>
  </authors>
  <commentList>
    <comment ref="DG36" authorId="0" shapeId="0" xr:uid="{00000000-0006-0000-1800-000001000000}">
      <text>
        <r>
          <rPr>
            <b/>
            <sz val="9"/>
            <color indexed="81"/>
            <rFont val="MS P ゴシック"/>
            <family val="3"/>
            <charset val="128"/>
          </rPr>
          <t>米</t>
        </r>
      </text>
    </comment>
    <comment ref="DG37" authorId="0" shapeId="0" xr:uid="{00000000-0006-0000-1800-000002000000}">
      <text>
        <r>
          <rPr>
            <b/>
            <sz val="9"/>
            <color indexed="81"/>
            <rFont val="MS P ゴシック"/>
            <family val="3"/>
            <charset val="128"/>
          </rPr>
          <t>米</t>
        </r>
      </text>
    </comment>
    <comment ref="DG38" authorId="0" shapeId="0" xr:uid="{00000000-0006-0000-1800-000003000000}">
      <text>
        <r>
          <rPr>
            <b/>
            <sz val="9"/>
            <color indexed="81"/>
            <rFont val="MS P ゴシック"/>
            <family val="3"/>
            <charset val="128"/>
          </rPr>
          <t>麦類・そば・大豆・なたね</t>
        </r>
      </text>
    </comment>
  </commentList>
</comments>
</file>

<file path=xl/sharedStrings.xml><?xml version="1.0" encoding="utf-8"?>
<sst xmlns="http://schemas.openxmlformats.org/spreadsheetml/2006/main" count="2428" uniqueCount="1365">
  <si>
    <t>【職員記入欄】</t>
    <phoneticPr fontId="6"/>
  </si>
  <si>
    <t>次の指標を記入してください。</t>
    <rPh sb="0" eb="1">
      <t>ツギ</t>
    </rPh>
    <rPh sb="2" eb="4">
      <t>シヒョウ</t>
    </rPh>
    <rPh sb="5" eb="7">
      <t>キニュウ</t>
    </rPh>
    <phoneticPr fontId="6"/>
  </si>
  <si>
    <t>調査年産</t>
    <rPh sb="0" eb="2">
      <t>チョウサ</t>
    </rPh>
    <rPh sb="2" eb="3">
      <t>ネン</t>
    </rPh>
    <rPh sb="3" eb="4">
      <t>サン</t>
    </rPh>
    <phoneticPr fontId="6"/>
  </si>
  <si>
    <t>2015年農林業センサス　基本指標番号</t>
    <rPh sb="4" eb="5">
      <t>ネン</t>
    </rPh>
    <rPh sb="5" eb="8">
      <t>ノウリンギョウ</t>
    </rPh>
    <rPh sb="13" eb="15">
      <t>キホン</t>
    </rPh>
    <rPh sb="15" eb="17">
      <t>シヒョウ</t>
    </rPh>
    <rPh sb="17" eb="19">
      <t>バンゴウ</t>
    </rPh>
    <phoneticPr fontId="6"/>
  </si>
  <si>
    <t>都道府県</t>
    <rPh sb="0" eb="4">
      <t>トドウフケン</t>
    </rPh>
    <phoneticPr fontId="6"/>
  </si>
  <si>
    <t>市区町村</t>
    <rPh sb="0" eb="4">
      <t>シクチョウソン</t>
    </rPh>
    <phoneticPr fontId="6"/>
  </si>
  <si>
    <t>旧市区町村</t>
    <rPh sb="0" eb="1">
      <t>キュウ</t>
    </rPh>
    <rPh sb="1" eb="5">
      <t>シクチョウソン</t>
    </rPh>
    <phoneticPr fontId="6"/>
  </si>
  <si>
    <t>農業集落</t>
    <rPh sb="0" eb="2">
      <t>ノウギョウ</t>
    </rPh>
    <rPh sb="2" eb="4">
      <t>シュウラク</t>
    </rPh>
    <phoneticPr fontId="6"/>
  </si>
  <si>
    <t>調査区</t>
    <rPh sb="0" eb="3">
      <t>チョウサク</t>
    </rPh>
    <phoneticPr fontId="6"/>
  </si>
  <si>
    <t>客体番号</t>
    <rPh sb="0" eb="2">
      <t>キャクタイ</t>
    </rPh>
    <rPh sb="2" eb="4">
      <t>バンゴウ</t>
    </rPh>
    <phoneticPr fontId="6"/>
  </si>
  <si>
    <t>対象品目</t>
    <rPh sb="0" eb="2">
      <t>タイショウ</t>
    </rPh>
    <rPh sb="2" eb="4">
      <t>ヒンモク</t>
    </rPh>
    <phoneticPr fontId="6"/>
  </si>
  <si>
    <t>[76]そば</t>
  </si>
  <si>
    <t>調査区分</t>
    <rPh sb="0" eb="2">
      <t>チョウサ</t>
    </rPh>
    <rPh sb="2" eb="4">
      <t>クブン</t>
    </rPh>
    <phoneticPr fontId="6"/>
  </si>
  <si>
    <t>経営種類</t>
    <rPh sb="0" eb="2">
      <t>ケイエイ</t>
    </rPh>
    <rPh sb="2" eb="4">
      <t>シュルイ</t>
    </rPh>
    <phoneticPr fontId="6"/>
  </si>
  <si>
    <t>個別経営体</t>
    <rPh sb="0" eb="2">
      <t>コベツ</t>
    </rPh>
    <rPh sb="2" eb="4">
      <t>ケイエイ</t>
    </rPh>
    <rPh sb="4" eb="5">
      <t>タイ</t>
    </rPh>
    <phoneticPr fontId="6"/>
  </si>
  <si>
    <t>法人番号（13桁）</t>
    <rPh sb="0" eb="2">
      <t>ホウジン</t>
    </rPh>
    <rPh sb="2" eb="4">
      <t>バンゴウ</t>
    </rPh>
    <rPh sb="7" eb="8">
      <t>ケタ</t>
    </rPh>
    <phoneticPr fontId="6"/>
  </si>
  <si>
    <t>法人化年次</t>
    <rPh sb="0" eb="3">
      <t>ホウジンカ</t>
    </rPh>
    <rPh sb="3" eb="5">
      <t>ネンジ</t>
    </rPh>
    <phoneticPr fontId="6"/>
  </si>
  <si>
    <t>集落営農区分</t>
    <rPh sb="0" eb="2">
      <t>シュウラク</t>
    </rPh>
    <rPh sb="2" eb="4">
      <t>エイノウ</t>
    </rPh>
    <rPh sb="4" eb="6">
      <t>クブン</t>
    </rPh>
    <phoneticPr fontId="6"/>
  </si>
  <si>
    <t>組織形態区分</t>
    <rPh sb="0" eb="2">
      <t>ソシキ</t>
    </rPh>
    <rPh sb="2" eb="4">
      <t>ケイタイ</t>
    </rPh>
    <rPh sb="4" eb="6">
      <t>クブン</t>
    </rPh>
    <phoneticPr fontId="6"/>
  </si>
  <si>
    <t>別記様式第５号</t>
    <phoneticPr fontId="6"/>
  </si>
  <si>
    <t>秘</t>
    <rPh sb="0" eb="1">
      <t>ヒ</t>
    </rPh>
    <phoneticPr fontId="6"/>
  </si>
  <si>
    <t>農林水産省</t>
    <rPh sb="0" eb="2">
      <t>ノウリン</t>
    </rPh>
    <rPh sb="2" eb="5">
      <t>スイサンショウ</t>
    </rPh>
    <phoneticPr fontId="6"/>
  </si>
  <si>
    <t>農業経営統計調査</t>
    <phoneticPr fontId="6"/>
  </si>
  <si>
    <t>（個別経営体用）</t>
    <phoneticPr fontId="6"/>
  </si>
  <si>
    <t>【入力上の留意事項】</t>
    <phoneticPr fontId="6"/>
  </si>
  <si>
    <t>１．2019年産のそば生産費について入力してください。</t>
    <phoneticPr fontId="6"/>
  </si>
  <si>
    <t>２．入力は、</t>
    <phoneticPr fontId="6"/>
  </si>
  <si>
    <t>（黄色）の欄、または</t>
    <rPh sb="1" eb="3">
      <t>キイロ</t>
    </rPh>
    <rPh sb="5" eb="6">
      <t>ラン</t>
    </rPh>
    <phoneticPr fontId="6"/>
  </si>
  <si>
    <t>（緑色）の欄です。</t>
    <phoneticPr fontId="6"/>
  </si>
  <si>
    <t>　　なお、光熱動力費等の内訳欄</t>
    <rPh sb="5" eb="7">
      <t>コウネツ</t>
    </rPh>
    <rPh sb="7" eb="10">
      <t>ドウリョクヒ</t>
    </rPh>
    <phoneticPr fontId="6"/>
  </si>
  <si>
    <t>（緑色）を利用して「計」の内訳を入力する場合は、「計」欄の入力は不要です。</t>
    <phoneticPr fontId="6"/>
  </si>
  <si>
    <t>３．選択項目は、[▼]が表示されますので、該当するものを選択してください。</t>
    <phoneticPr fontId="6"/>
  </si>
  <si>
    <t>【提出方法】</t>
    <rPh sb="1" eb="3">
      <t>テイシュツ</t>
    </rPh>
    <rPh sb="3" eb="5">
      <t>ホウホウ</t>
    </rPh>
    <phoneticPr fontId="6"/>
  </si>
  <si>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6"/>
  </si>
  <si>
    <t>ご不明な点がございましたら、次のお問い合わせ先までご照会ください。</t>
    <phoneticPr fontId="6"/>
  </si>
  <si>
    <t>【問合わせ先】</t>
    <phoneticPr fontId="6"/>
  </si>
  <si>
    <t>2015センサス
番号</t>
    <rPh sb="9" eb="11">
      <t>バンゴウ</t>
    </rPh>
    <phoneticPr fontId="6"/>
  </si>
  <si>
    <t>　　調査にご協力いただき、ありがとうございます。</t>
    <rPh sb="2" eb="4">
      <t>チョウサ</t>
    </rPh>
    <rPh sb="6" eb="8">
      <t>キョウリョク</t>
    </rPh>
    <phoneticPr fontId="6"/>
  </si>
  <si>
    <t>　　調査票に記入いただく前に、以下についてお読みください。</t>
    <rPh sb="2" eb="5">
      <t>チョウサヒョウ</t>
    </rPh>
    <rPh sb="12" eb="13">
      <t>マエ</t>
    </rPh>
    <rPh sb="15" eb="17">
      <t>イカ</t>
    </rPh>
    <rPh sb="22" eb="23">
      <t>ヨ</t>
    </rPh>
    <phoneticPr fontId="6"/>
  </si>
  <si>
    <r>
      <t>　　この調査は、</t>
    </r>
    <r>
      <rPr>
        <u/>
        <sz val="14"/>
        <rFont val="ＭＳ 明朝"/>
        <family val="1"/>
        <charset val="128"/>
      </rPr>
      <t>「そば（※１）の生産コスト」を把握する調査</t>
    </r>
    <r>
      <rPr>
        <sz val="14"/>
        <rFont val="ＭＳ 明朝"/>
        <family val="1"/>
        <charset val="128"/>
      </rPr>
      <t>です。</t>
    </r>
    <rPh sb="4" eb="6">
      <t>チョウサ</t>
    </rPh>
    <rPh sb="16" eb="18">
      <t>セイサン</t>
    </rPh>
    <rPh sb="23" eb="25">
      <t>ハアク</t>
    </rPh>
    <rPh sb="27" eb="29">
      <t>チョウサ</t>
    </rPh>
    <phoneticPr fontId="6"/>
  </si>
  <si>
    <t>　　調査票には、2019年産のそばの生産（※２）のためにかかった経費や労働時</t>
    <phoneticPr fontId="6"/>
  </si>
  <si>
    <t>　間等について記入をお願いします。</t>
  </si>
  <si>
    <t>※１　そばとは</t>
    <phoneticPr fontId="6"/>
  </si>
  <si>
    <t>　　　食用だけでなく、種子用のそばも該当します。</t>
    <rPh sb="3" eb="5">
      <t>ショクヨウ</t>
    </rPh>
    <phoneticPr fontId="6"/>
  </si>
  <si>
    <r>
      <t>　　</t>
    </r>
    <r>
      <rPr>
        <u/>
        <sz val="14"/>
        <color indexed="8"/>
        <rFont val="ＭＳ 明朝"/>
        <family val="1"/>
        <charset val="128"/>
      </rPr>
      <t/>
    </r>
    <phoneticPr fontId="6"/>
  </si>
  <si>
    <t>※２　この調査でのそばの生産とは</t>
    <rPh sb="5" eb="7">
      <t>チョウサ</t>
    </rPh>
    <rPh sb="12" eb="14">
      <t>セイサン</t>
    </rPh>
    <phoneticPr fontId="6"/>
  </si>
  <si>
    <t>　　　自家生産のことをいい、受託による生産は含みません。</t>
    <phoneticPr fontId="6"/>
  </si>
  <si>
    <t>　【調査票の記入方法（そば負担割合について）】</t>
    <rPh sb="2" eb="5">
      <t>チョウサヒョウ</t>
    </rPh>
    <rPh sb="8" eb="10">
      <t>ホウホウ</t>
    </rPh>
    <rPh sb="13" eb="15">
      <t>フタン</t>
    </rPh>
    <rPh sb="15" eb="17">
      <t>ワリアイ</t>
    </rPh>
    <phoneticPr fontId="6"/>
  </si>
  <si>
    <t>　　そばを含めた複数の作物を作付けしている場合には、資材代金や料金等か　</t>
    <rPh sb="5" eb="6">
      <t>フク</t>
    </rPh>
    <rPh sb="8" eb="10">
      <t>フクスウ</t>
    </rPh>
    <rPh sb="11" eb="13">
      <t>サクモツ</t>
    </rPh>
    <rPh sb="14" eb="16">
      <t>サクツ</t>
    </rPh>
    <rPh sb="21" eb="23">
      <t>バアイ</t>
    </rPh>
    <rPh sb="26" eb="28">
      <t>シザイ</t>
    </rPh>
    <rPh sb="28" eb="30">
      <t>ダイキン</t>
    </rPh>
    <rPh sb="31" eb="33">
      <t>リョウキン</t>
    </rPh>
    <rPh sb="33" eb="34">
      <t>トウ</t>
    </rPh>
    <phoneticPr fontId="6"/>
  </si>
  <si>
    <t>　らそば負担分の経費を分けて記入していただく必要があります。</t>
    <rPh sb="22" eb="24">
      <t>ヒツヨウ</t>
    </rPh>
    <phoneticPr fontId="6"/>
  </si>
  <si>
    <t xml:space="preserve">  　そばと水稲を作付けしている経営体を例に、記入方法を説明します。</t>
    <rPh sb="6" eb="8">
      <t>スイトウ</t>
    </rPh>
    <rPh sb="9" eb="11">
      <t>サクツ</t>
    </rPh>
    <rPh sb="16" eb="19">
      <t>ケイエイタイ</t>
    </rPh>
    <rPh sb="20" eb="21">
      <t>レイ</t>
    </rPh>
    <phoneticPr fontId="6"/>
  </si>
  <si>
    <t>　（記入例）</t>
    <rPh sb="4" eb="5">
      <t>レイ</t>
    </rPh>
    <phoneticPr fontId="6"/>
  </si>
  <si>
    <t>　　「10万円」で購入した肥料「1,000㎏」を、そば「２ha」、水稲「８ha」</t>
    <rPh sb="5" eb="7">
      <t>マンエン</t>
    </rPh>
    <rPh sb="9" eb="11">
      <t>コウニュウ</t>
    </rPh>
    <rPh sb="13" eb="15">
      <t>ヒリョウ</t>
    </rPh>
    <rPh sb="33" eb="35">
      <t>スイトウ</t>
    </rPh>
    <phoneticPr fontId="6"/>
  </si>
  <si>
    <t>　の作付地に施肥した場合</t>
    <rPh sb="2" eb="4">
      <t>サクツ</t>
    </rPh>
    <rPh sb="4" eb="5">
      <t>チ</t>
    </rPh>
    <rPh sb="6" eb="8">
      <t>セヒ</t>
    </rPh>
    <rPh sb="10" eb="12">
      <t>バアイ</t>
    </rPh>
    <phoneticPr fontId="6"/>
  </si>
  <si>
    <t>例１　そばに施肥した数量、金額を記入する方法</t>
    <rPh sb="0" eb="1">
      <t>レイ</t>
    </rPh>
    <rPh sb="6" eb="8">
      <t>セヒ</t>
    </rPh>
    <rPh sb="10" eb="12">
      <t>スウリョウ</t>
    </rPh>
    <rPh sb="13" eb="15">
      <t>キンガク</t>
    </rPh>
    <rPh sb="20" eb="22">
      <t>ホウホウ</t>
    </rPh>
    <phoneticPr fontId="6"/>
  </si>
  <si>
    <t>区分</t>
    <rPh sb="0" eb="2">
      <t>クブン</t>
    </rPh>
    <phoneticPr fontId="6"/>
  </si>
  <si>
    <t>数　量（㎏）</t>
    <rPh sb="0" eb="1">
      <t>カズ</t>
    </rPh>
    <rPh sb="2" eb="3">
      <t>リョウ</t>
    </rPh>
    <phoneticPr fontId="6"/>
  </si>
  <si>
    <t>金　 額 （円）</t>
    <rPh sb="0" eb="1">
      <t>キン</t>
    </rPh>
    <rPh sb="3" eb="4">
      <t>ガク</t>
    </rPh>
    <rPh sb="6" eb="7">
      <t>エン</t>
    </rPh>
    <phoneticPr fontId="6"/>
  </si>
  <si>
    <t>そば
負担割合（％）</t>
    <rPh sb="3" eb="5">
      <t>フタン</t>
    </rPh>
    <rPh sb="5" eb="7">
      <t>ワリアイ</t>
    </rPh>
    <phoneticPr fontId="6"/>
  </si>
  <si>
    <t>肥料（購入）計</t>
    <rPh sb="0" eb="2">
      <t>ヒリョウ</t>
    </rPh>
    <rPh sb="3" eb="5">
      <t>コウニュウ</t>
    </rPh>
    <rPh sb="6" eb="7">
      <t>ケイ</t>
    </rPh>
    <phoneticPr fontId="6"/>
  </si>
  <si>
    <t>200</t>
    <phoneticPr fontId="6"/>
  </si>
  <si>
    <t>100</t>
    <phoneticPr fontId="6"/>
  </si>
  <si>
    <t>例２　そば、水稲に施肥した数量、金額の合計を記入する方法</t>
    <rPh sb="0" eb="1">
      <t>レイ</t>
    </rPh>
    <rPh sb="6" eb="8">
      <t>スイトウ</t>
    </rPh>
    <rPh sb="9" eb="11">
      <t>セヒ</t>
    </rPh>
    <rPh sb="13" eb="15">
      <t>スウリョウ</t>
    </rPh>
    <rPh sb="16" eb="18">
      <t>キンガク</t>
    </rPh>
    <rPh sb="19" eb="21">
      <t>ゴウケイ</t>
    </rPh>
    <rPh sb="26" eb="28">
      <t>ホウホウ</t>
    </rPh>
    <phoneticPr fontId="6"/>
  </si>
  <si>
    <t xml:space="preserve">  　　そばと水稲の作付面積割合「２：８」を目安にそば負担割合を</t>
    <rPh sb="7" eb="9">
      <t>スイトウ</t>
    </rPh>
    <rPh sb="27" eb="29">
      <t>フタン</t>
    </rPh>
    <rPh sb="29" eb="31">
      <t>ワリアイ</t>
    </rPh>
    <phoneticPr fontId="6"/>
  </si>
  <si>
    <t>　  「２０％」と記入してください。</t>
  </si>
  <si>
    <t>20</t>
    <phoneticPr fontId="6"/>
  </si>
  <si>
    <t xml:space="preserve"> 【そば負担割合の設定方法】</t>
    <rPh sb="4" eb="6">
      <t>フタン</t>
    </rPh>
    <rPh sb="6" eb="8">
      <t>ワリアイ</t>
    </rPh>
    <rPh sb="9" eb="11">
      <t>セッテイ</t>
    </rPh>
    <rPh sb="11" eb="13">
      <t>ホウホウ</t>
    </rPh>
    <phoneticPr fontId="6"/>
  </si>
  <si>
    <t>そばを含めた複数の作物を作付けしている場合のそば負担割合を設定する</t>
    <rPh sb="3" eb="4">
      <t>フク</t>
    </rPh>
    <rPh sb="6" eb="8">
      <t>フクスウ</t>
    </rPh>
    <rPh sb="9" eb="11">
      <t>サクモツ</t>
    </rPh>
    <rPh sb="12" eb="14">
      <t>サクツ</t>
    </rPh>
    <rPh sb="19" eb="21">
      <t>バアイ</t>
    </rPh>
    <rPh sb="24" eb="26">
      <t>フタン</t>
    </rPh>
    <rPh sb="26" eb="28">
      <t>ワリアイ</t>
    </rPh>
    <rPh sb="29" eb="31">
      <t>セッテイ</t>
    </rPh>
    <phoneticPr fontId="6"/>
  </si>
  <si>
    <t>方法について説明します。</t>
    <rPh sb="0" eb="2">
      <t>ホウホウ</t>
    </rPh>
    <rPh sb="6" eb="8">
      <t>セツメイ</t>
    </rPh>
    <phoneticPr fontId="6"/>
  </si>
  <si>
    <t>（１）倉庫（建物）の場合</t>
    <rPh sb="3" eb="5">
      <t>ソウコ</t>
    </rPh>
    <rPh sb="6" eb="8">
      <t>タテモノ</t>
    </rPh>
    <rPh sb="10" eb="12">
      <t>バアイ</t>
    </rPh>
    <phoneticPr fontId="6"/>
  </si>
  <si>
    <t>倉庫の全面積のうち、そば生産のために使用した面積の割合を「そば負</t>
    <rPh sb="0" eb="2">
      <t>ソウコ</t>
    </rPh>
    <rPh sb="3" eb="4">
      <t>ゼン</t>
    </rPh>
    <rPh sb="4" eb="6">
      <t>メンセキ</t>
    </rPh>
    <rPh sb="12" eb="14">
      <t>セイサン</t>
    </rPh>
    <rPh sb="18" eb="19">
      <t>ツカ</t>
    </rPh>
    <rPh sb="19" eb="20">
      <t>ヨウ</t>
    </rPh>
    <rPh sb="22" eb="24">
      <t>メンセキ</t>
    </rPh>
    <rPh sb="25" eb="27">
      <t>ワリアイ</t>
    </rPh>
    <rPh sb="31" eb="32">
      <t>フ</t>
    </rPh>
    <phoneticPr fontId="6"/>
  </si>
  <si>
    <t>担割合」とします。</t>
    <rPh sb="0" eb="1">
      <t>カツ</t>
    </rPh>
    <rPh sb="1" eb="3">
      <t>ワリアイ</t>
    </rPh>
    <phoneticPr fontId="6"/>
  </si>
  <si>
    <t>そば負担割合 ＝</t>
    <rPh sb="2" eb="4">
      <t>フタン</t>
    </rPh>
    <rPh sb="4" eb="6">
      <t>ワリアイ</t>
    </rPh>
    <phoneticPr fontId="6"/>
  </si>
  <si>
    <t>そばに使用した倉庫の面積</t>
    <rPh sb="3" eb="5">
      <t>シヨウ</t>
    </rPh>
    <rPh sb="7" eb="9">
      <t>ソウコ</t>
    </rPh>
    <rPh sb="10" eb="12">
      <t>メンセキ</t>
    </rPh>
    <phoneticPr fontId="6"/>
  </si>
  <si>
    <t>×100</t>
    <phoneticPr fontId="6"/>
  </si>
  <si>
    <t>倉庫の全面積</t>
    <rPh sb="0" eb="2">
      <t>ソウコ</t>
    </rPh>
    <rPh sb="3" eb="4">
      <t>ゼン</t>
    </rPh>
    <rPh sb="4" eb="6">
      <t>メンセキ</t>
    </rPh>
    <phoneticPr fontId="6"/>
  </si>
  <si>
    <t>○倉庫（300㎡）の負担割合のイメージ図</t>
    <rPh sb="1" eb="3">
      <t>ソウコ</t>
    </rPh>
    <rPh sb="10" eb="12">
      <t>フタン</t>
    </rPh>
    <rPh sb="12" eb="14">
      <t>ワリアイ</t>
    </rPh>
    <rPh sb="19" eb="20">
      <t>ズ</t>
    </rPh>
    <phoneticPr fontId="6"/>
  </si>
  <si>
    <t>倉庫全体（300㎡）</t>
    <rPh sb="0" eb="2">
      <t>ソウコ</t>
    </rPh>
    <rPh sb="2" eb="4">
      <t>ゼンタイ</t>
    </rPh>
    <phoneticPr fontId="6"/>
  </si>
  <si>
    <t>そばに使用
(210㎡)</t>
    <rPh sb="3" eb="5">
      <t>シヨウ</t>
    </rPh>
    <phoneticPr fontId="6"/>
  </si>
  <si>
    <t>そば以外に使用
(90㎡)</t>
    <rPh sb="2" eb="4">
      <t>イガイ</t>
    </rPh>
    <rPh sb="5" eb="7">
      <t>シヨウ</t>
    </rPh>
    <phoneticPr fontId="6"/>
  </si>
  <si>
    <r>
      <t>そば負担割合：</t>
    </r>
    <r>
      <rPr>
        <sz val="14"/>
        <color rgb="FFFF0000"/>
        <rFont val="ＭＳ 明朝"/>
        <family val="1"/>
        <charset val="128"/>
      </rPr>
      <t>７０％</t>
    </r>
    <rPh sb="2" eb="4">
      <t>フタン</t>
    </rPh>
    <rPh sb="4" eb="6">
      <t>ワリアイ</t>
    </rPh>
    <phoneticPr fontId="6"/>
  </si>
  <si>
    <t>（２）農機具（トラクター）の場合</t>
    <rPh sb="3" eb="6">
      <t>ノウキグ</t>
    </rPh>
    <rPh sb="14" eb="16">
      <t>バアイ</t>
    </rPh>
    <phoneticPr fontId="6"/>
  </si>
  <si>
    <t>トラクターの全使用時間のうち、そば生産のために使用した時間の割合</t>
    <rPh sb="6" eb="7">
      <t>ゼン</t>
    </rPh>
    <rPh sb="7" eb="9">
      <t>シヨウ</t>
    </rPh>
    <rPh sb="9" eb="11">
      <t>ジカン</t>
    </rPh>
    <rPh sb="17" eb="19">
      <t>セイサン</t>
    </rPh>
    <rPh sb="23" eb="25">
      <t>シヨウ</t>
    </rPh>
    <rPh sb="27" eb="29">
      <t>ジカン</t>
    </rPh>
    <rPh sb="30" eb="32">
      <t>ワリアイ</t>
    </rPh>
    <phoneticPr fontId="6"/>
  </si>
  <si>
    <t>を「そば負担割合」とします。</t>
    <rPh sb="5" eb="6">
      <t>カツ</t>
    </rPh>
    <rPh sb="6" eb="8">
      <t>ワリアイ</t>
    </rPh>
    <phoneticPr fontId="6"/>
  </si>
  <si>
    <t>そばに使用したトラクターの使用時間</t>
    <rPh sb="3" eb="5">
      <t>シヨウ</t>
    </rPh>
    <rPh sb="13" eb="16">
      <t>シヨウジ</t>
    </rPh>
    <rPh sb="16" eb="17">
      <t>カン</t>
    </rPh>
    <phoneticPr fontId="6"/>
  </si>
  <si>
    <t>×100</t>
    <phoneticPr fontId="6"/>
  </si>
  <si>
    <t>トラクターの全使用時間</t>
    <rPh sb="6" eb="7">
      <t>ゼン</t>
    </rPh>
    <rPh sb="7" eb="9">
      <t>シヨウ</t>
    </rPh>
    <rPh sb="9" eb="11">
      <t>ジカン</t>
    </rPh>
    <phoneticPr fontId="6"/>
  </si>
  <si>
    <t>調　　査　　事　　項</t>
    <rPh sb="0" eb="1">
      <t>チョウ</t>
    </rPh>
    <rPh sb="3" eb="4">
      <t>サ</t>
    </rPh>
    <rPh sb="6" eb="7">
      <t>コト</t>
    </rPh>
    <rPh sb="9" eb="10">
      <t>コウ</t>
    </rPh>
    <phoneticPr fontId="6"/>
  </si>
  <si>
    <t>【１】　経営の概況</t>
    <rPh sb="4" eb="6">
      <t>ケイエイ</t>
    </rPh>
    <rPh sb="7" eb="9">
      <t>ガイキョウ</t>
    </rPh>
    <phoneticPr fontId="6"/>
  </si>
  <si>
    <t>　　　　経営している耕地の状況、世帯員や農業就業者の人数、直近５か年の10ａ当たり収</t>
    <rPh sb="4" eb="6">
      <t>ケイエイ</t>
    </rPh>
    <rPh sb="10" eb="12">
      <t>コウチ</t>
    </rPh>
    <rPh sb="13" eb="15">
      <t>ジョウキョウ</t>
    </rPh>
    <rPh sb="16" eb="19">
      <t>セタイイン</t>
    </rPh>
    <rPh sb="20" eb="22">
      <t>ノウギョウ</t>
    </rPh>
    <rPh sb="22" eb="25">
      <t>シュウギョウシャ</t>
    </rPh>
    <rPh sb="26" eb="28">
      <t>ニンズウ</t>
    </rPh>
    <rPh sb="29" eb="31">
      <t>チョッキン</t>
    </rPh>
    <rPh sb="33" eb="34">
      <t>ネン</t>
    </rPh>
    <rPh sb="38" eb="39">
      <t>ア</t>
    </rPh>
    <rPh sb="41" eb="42">
      <t>オサム</t>
    </rPh>
    <phoneticPr fontId="6"/>
  </si>
  <si>
    <t>　　　量、品種別作付面積等について記入してください。</t>
    <rPh sb="3" eb="4">
      <t>リョウ</t>
    </rPh>
    <rPh sb="5" eb="7">
      <t>ヒンシュ</t>
    </rPh>
    <rPh sb="7" eb="8">
      <t>ベツ</t>
    </rPh>
    <rPh sb="8" eb="10">
      <t>サクツケ</t>
    </rPh>
    <rPh sb="10" eb="12">
      <t>メンセキ</t>
    </rPh>
    <rPh sb="12" eb="13">
      <t>トウ</t>
    </rPh>
    <phoneticPr fontId="6"/>
  </si>
  <si>
    <t>【２】　生産物の販売等の状況</t>
    <rPh sb="4" eb="7">
      <t>セイサンブツ</t>
    </rPh>
    <rPh sb="8" eb="10">
      <t>ハンバイ</t>
    </rPh>
    <rPh sb="10" eb="11">
      <t>トウ</t>
    </rPh>
    <rPh sb="12" eb="14">
      <t>ジョウキョウ</t>
    </rPh>
    <phoneticPr fontId="6"/>
  </si>
  <si>
    <t>　　　　生産物の販売状況等について記入してください。</t>
    <rPh sb="4" eb="7">
      <t>セイサンブツ</t>
    </rPh>
    <rPh sb="8" eb="10">
      <t>ハンバイ</t>
    </rPh>
    <rPh sb="10" eb="12">
      <t>ジョウキョウ</t>
    </rPh>
    <rPh sb="12" eb="13">
      <t>トウ</t>
    </rPh>
    <phoneticPr fontId="6"/>
  </si>
  <si>
    <t>【３】　対象品目の生産のために使用した資材等</t>
    <rPh sb="4" eb="6">
      <t>タイショウ</t>
    </rPh>
    <rPh sb="6" eb="8">
      <t>ヒンモク</t>
    </rPh>
    <rPh sb="9" eb="11">
      <t>セイサン</t>
    </rPh>
    <rPh sb="15" eb="17">
      <t>シヨウ</t>
    </rPh>
    <rPh sb="19" eb="21">
      <t>シザイ</t>
    </rPh>
    <rPh sb="21" eb="22">
      <t>トウ</t>
    </rPh>
    <phoneticPr fontId="6"/>
  </si>
  <si>
    <t>　　　　種苗費、肥料費等の資材、軽油、ガソリン、電力料等の光熱動力費、農機具借料、</t>
    <rPh sb="4" eb="6">
      <t>シュビョウ</t>
    </rPh>
    <rPh sb="6" eb="7">
      <t>ヒ</t>
    </rPh>
    <rPh sb="8" eb="10">
      <t>ヒリョウ</t>
    </rPh>
    <rPh sb="10" eb="11">
      <t>ヒ</t>
    </rPh>
    <rPh sb="11" eb="12">
      <t>トウ</t>
    </rPh>
    <rPh sb="13" eb="15">
      <t>シザイ</t>
    </rPh>
    <rPh sb="16" eb="18">
      <t>ケイユ</t>
    </rPh>
    <rPh sb="24" eb="26">
      <t>デンリョク</t>
    </rPh>
    <rPh sb="26" eb="27">
      <t>リョウ</t>
    </rPh>
    <rPh sb="27" eb="28">
      <t>トウ</t>
    </rPh>
    <rPh sb="29" eb="30">
      <t>ヒカリ</t>
    </rPh>
    <phoneticPr fontId="6"/>
  </si>
  <si>
    <t>　　　航空防除賃等の賃借料・料金等について記入してください。</t>
    <rPh sb="3" eb="5">
      <t>コウクウ</t>
    </rPh>
    <rPh sb="5" eb="7">
      <t>ボウジョ</t>
    </rPh>
    <rPh sb="7" eb="8">
      <t>チン</t>
    </rPh>
    <phoneticPr fontId="6"/>
  </si>
  <si>
    <t>【４】　物件税及び公課諸負担</t>
    <rPh sb="4" eb="6">
      <t>ブッケン</t>
    </rPh>
    <rPh sb="6" eb="7">
      <t>ゼイ</t>
    </rPh>
    <rPh sb="7" eb="8">
      <t>オヨ</t>
    </rPh>
    <rPh sb="9" eb="11">
      <t>コウカ</t>
    </rPh>
    <rPh sb="11" eb="12">
      <t>ショ</t>
    </rPh>
    <rPh sb="12" eb="14">
      <t>フタン</t>
    </rPh>
    <phoneticPr fontId="6"/>
  </si>
  <si>
    <t>　　　　固定資産税等の物件税、農業協同組合費や農業共済組合賦課金等の公課諸負担に</t>
    <rPh sb="4" eb="6">
      <t>コテイ</t>
    </rPh>
    <rPh sb="6" eb="9">
      <t>シサンゼイ</t>
    </rPh>
    <rPh sb="9" eb="10">
      <t>ナド</t>
    </rPh>
    <rPh sb="11" eb="13">
      <t>ブッケン</t>
    </rPh>
    <rPh sb="13" eb="14">
      <t>ゼイ</t>
    </rPh>
    <rPh sb="15" eb="17">
      <t>ノウギョウ</t>
    </rPh>
    <rPh sb="17" eb="19">
      <t>キョウドウ</t>
    </rPh>
    <rPh sb="19" eb="21">
      <t>クミアイ</t>
    </rPh>
    <rPh sb="21" eb="22">
      <t>ヒ</t>
    </rPh>
    <rPh sb="23" eb="25">
      <t>ノウギョウ</t>
    </rPh>
    <rPh sb="25" eb="27">
      <t>キョウサイ</t>
    </rPh>
    <rPh sb="27" eb="29">
      <t>クミアイ</t>
    </rPh>
    <rPh sb="29" eb="33">
      <t>フカキンナド</t>
    </rPh>
    <rPh sb="37" eb="39">
      <t>フタン</t>
    </rPh>
    <phoneticPr fontId="6"/>
  </si>
  <si>
    <t>　　　ついて記入してください。</t>
  </si>
  <si>
    <t>【５】　土地改良及び水利費</t>
    <rPh sb="4" eb="6">
      <t>トチ</t>
    </rPh>
    <rPh sb="6" eb="8">
      <t>カイリョウ</t>
    </rPh>
    <rPh sb="8" eb="9">
      <t>オヨ</t>
    </rPh>
    <rPh sb="10" eb="13">
      <t>スイリヒ</t>
    </rPh>
    <phoneticPr fontId="6"/>
  </si>
  <si>
    <t>　　　　土地改良区費、水利組合費等の負担金額について記入してください。</t>
    <rPh sb="4" eb="6">
      <t>トチ</t>
    </rPh>
    <rPh sb="6" eb="9">
      <t>カイリョウク</t>
    </rPh>
    <rPh sb="9" eb="10">
      <t>ヒ</t>
    </rPh>
    <rPh sb="11" eb="13">
      <t>スイリ</t>
    </rPh>
    <rPh sb="13" eb="16">
      <t>クミアイヒ</t>
    </rPh>
    <rPh sb="16" eb="17">
      <t>トウ</t>
    </rPh>
    <rPh sb="18" eb="21">
      <t>フタンキン</t>
    </rPh>
    <rPh sb="21" eb="22">
      <t>ガク</t>
    </rPh>
    <phoneticPr fontId="6"/>
  </si>
  <si>
    <t>【６】　借入金（買掛未払金を含む。）及び支払利子</t>
    <rPh sb="4" eb="7">
      <t>カリイレキン</t>
    </rPh>
    <rPh sb="8" eb="9">
      <t>カ</t>
    </rPh>
    <rPh sb="9" eb="10">
      <t>カ</t>
    </rPh>
    <rPh sb="10" eb="12">
      <t>ミバラ</t>
    </rPh>
    <rPh sb="12" eb="13">
      <t>キン</t>
    </rPh>
    <rPh sb="14" eb="15">
      <t>フク</t>
    </rPh>
    <rPh sb="18" eb="19">
      <t>オヨ</t>
    </rPh>
    <rPh sb="20" eb="22">
      <t>シハライ</t>
    </rPh>
    <rPh sb="22" eb="24">
      <t>リシ</t>
    </rPh>
    <phoneticPr fontId="6"/>
  </si>
  <si>
    <t>　　　　借入金残高、支払利子について記入してください。</t>
    <rPh sb="4" eb="7">
      <t>カリイレキン</t>
    </rPh>
    <rPh sb="7" eb="9">
      <t>ザンダカ</t>
    </rPh>
    <rPh sb="10" eb="12">
      <t>シハライ</t>
    </rPh>
    <rPh sb="12" eb="14">
      <t>リシ</t>
    </rPh>
    <phoneticPr fontId="6"/>
  </si>
  <si>
    <t>【７】　建物及び構築物（土地改良施設を含む。）の所有状況</t>
    <rPh sb="16" eb="18">
      <t>シセツ</t>
    </rPh>
    <phoneticPr fontId="6"/>
  </si>
  <si>
    <t>　　　　生産のために使用した建物及び構築物の所有状況について記入してください。</t>
    <rPh sb="4" eb="6">
      <t>セイサン</t>
    </rPh>
    <rPh sb="10" eb="12">
      <t>シヨウ</t>
    </rPh>
    <rPh sb="14" eb="16">
      <t>タテモノ</t>
    </rPh>
    <rPh sb="16" eb="17">
      <t>オヨ</t>
    </rPh>
    <rPh sb="18" eb="21">
      <t>コウチクブツ</t>
    </rPh>
    <rPh sb="22" eb="24">
      <t>ショユウ</t>
    </rPh>
    <rPh sb="24" eb="26">
      <t>ジョウキョウ</t>
    </rPh>
    <phoneticPr fontId="6"/>
  </si>
  <si>
    <t>　</t>
    <phoneticPr fontId="6"/>
  </si>
  <si>
    <t>【８】  自動車（自動二輪・三輪を含む。）の所有状況</t>
    <rPh sb="5" eb="8">
      <t>ジドウシャ</t>
    </rPh>
    <rPh sb="9" eb="11">
      <t>ジドウ</t>
    </rPh>
    <rPh sb="11" eb="13">
      <t>ニリン</t>
    </rPh>
    <rPh sb="14" eb="16">
      <t>ミワ</t>
    </rPh>
    <rPh sb="17" eb="18">
      <t>フク</t>
    </rPh>
    <rPh sb="22" eb="24">
      <t>ショユウ</t>
    </rPh>
    <rPh sb="24" eb="26">
      <t>ジョウキョウ</t>
    </rPh>
    <phoneticPr fontId="6"/>
  </si>
  <si>
    <t>　　　　生産のために使用した自動車等の所有状況について記入してください。</t>
  </si>
  <si>
    <t>【９】  農業機械（生産管理機器を含む。）の所有状況</t>
    <phoneticPr fontId="6"/>
  </si>
  <si>
    <t>　　　　生産のために使用した農業機械、パソコンやコピー機等の生産管理機器の所有状況</t>
    <phoneticPr fontId="6"/>
  </si>
  <si>
    <t>　　　について記入してください。</t>
  </si>
  <si>
    <t>【10】  農具の購入費等</t>
    <rPh sb="6" eb="8">
      <t>ノウグ</t>
    </rPh>
    <rPh sb="9" eb="12">
      <t>コウニュウヒ</t>
    </rPh>
    <rPh sb="12" eb="13">
      <t>トウ</t>
    </rPh>
    <phoneticPr fontId="6"/>
  </si>
  <si>
    <t>　    　生産のために使用したくわ類やかま類、コピー用紙等の購入費等について記入して</t>
  </si>
  <si>
    <t>　　　ください。</t>
    <phoneticPr fontId="6"/>
  </si>
  <si>
    <t>【11】　土地の面積及び地代</t>
    <rPh sb="5" eb="7">
      <t>トチ</t>
    </rPh>
    <rPh sb="8" eb="10">
      <t>メンセキ</t>
    </rPh>
    <rPh sb="10" eb="11">
      <t>オヨ</t>
    </rPh>
    <rPh sb="12" eb="14">
      <t>チダイ</t>
    </rPh>
    <phoneticPr fontId="6"/>
  </si>
  <si>
    <t>　    　所有地及び借入地の面積及び地代について記入してください。</t>
    <rPh sb="6" eb="9">
      <t>ショユウチ</t>
    </rPh>
    <rPh sb="9" eb="10">
      <t>オヨ</t>
    </rPh>
    <rPh sb="11" eb="13">
      <t>カリイレ</t>
    </rPh>
    <rPh sb="13" eb="14">
      <t>チ</t>
    </rPh>
    <rPh sb="15" eb="17">
      <t>メンセキ</t>
    </rPh>
    <rPh sb="17" eb="18">
      <t>オヨ</t>
    </rPh>
    <rPh sb="19" eb="21">
      <t>チダイ</t>
    </rPh>
    <phoneticPr fontId="6"/>
  </si>
  <si>
    <t>【12】　作業別労働時間</t>
    <rPh sb="5" eb="8">
      <t>サギョウベツ</t>
    </rPh>
    <rPh sb="8" eb="10">
      <t>ロウドウ</t>
    </rPh>
    <rPh sb="10" eb="12">
      <t>ジカン</t>
    </rPh>
    <phoneticPr fontId="6"/>
  </si>
  <si>
    <t xml:space="preserve">    　  家族、雇用別の作業労働時間、雇用者に支払った賃金について記入してください。</t>
    <rPh sb="7" eb="9">
      <t>カゾク</t>
    </rPh>
    <rPh sb="10" eb="12">
      <t>コヨウ</t>
    </rPh>
    <rPh sb="12" eb="13">
      <t>ベツ</t>
    </rPh>
    <rPh sb="14" eb="16">
      <t>サギョウ</t>
    </rPh>
    <rPh sb="16" eb="18">
      <t>ロウドウ</t>
    </rPh>
    <rPh sb="18" eb="20">
      <t>ジカン</t>
    </rPh>
    <rPh sb="21" eb="24">
      <t>コヨウシャ</t>
    </rPh>
    <rPh sb="25" eb="27">
      <t>シハラ</t>
    </rPh>
    <phoneticPr fontId="6"/>
  </si>
  <si>
    <t>【職員記入欄】</t>
  </si>
  <si>
    <t>【１】経営の概況</t>
    <rPh sb="3" eb="5">
      <t>ケイエイ</t>
    </rPh>
    <rPh sb="6" eb="8">
      <t>ガイキョウ</t>
    </rPh>
    <phoneticPr fontId="6"/>
  </si>
  <si>
    <t xml:space="preserve"> （１）経営土地</t>
    <rPh sb="4" eb="6">
      <t>ケイエイ</t>
    </rPh>
    <rPh sb="6" eb="8">
      <t>トチ</t>
    </rPh>
    <phoneticPr fontId="6"/>
  </si>
  <si>
    <t xml:space="preserve"> １　経営耕地</t>
    <rPh sb="3" eb="5">
      <t>ケイエイ</t>
    </rPh>
    <rPh sb="5" eb="7">
      <t>コウチ</t>
    </rPh>
    <phoneticPr fontId="6"/>
  </si>
  <si>
    <t xml:space="preserve"> 　農業経営に利用している耕地の状況を記入してください。</t>
    <rPh sb="2" eb="4">
      <t>ノウギョウ</t>
    </rPh>
    <rPh sb="4" eb="6">
      <t>ケイエイ</t>
    </rPh>
    <rPh sb="7" eb="9">
      <t>リヨウ</t>
    </rPh>
    <rPh sb="13" eb="15">
      <t>コウチ</t>
    </rPh>
    <rPh sb="16" eb="18">
      <t>ジョウキョウ</t>
    </rPh>
    <phoneticPr fontId="6"/>
  </si>
  <si>
    <t>所有地（ａ）</t>
    <rPh sb="0" eb="3">
      <t>ショユウチ</t>
    </rPh>
    <phoneticPr fontId="6"/>
  </si>
  <si>
    <t>借入地（ａ）</t>
    <rPh sb="0" eb="3">
      <t>カリイレチ</t>
    </rPh>
    <phoneticPr fontId="6"/>
  </si>
  <si>
    <t>田</t>
    <rPh sb="0" eb="1">
      <t>デン</t>
    </rPh>
    <phoneticPr fontId="6"/>
  </si>
  <si>
    <t>普通畑</t>
    <rPh sb="0" eb="2">
      <t>フツウ</t>
    </rPh>
    <rPh sb="2" eb="3">
      <t>ハタケ</t>
    </rPh>
    <phoneticPr fontId="6"/>
  </si>
  <si>
    <t>樹園地</t>
    <rPh sb="0" eb="1">
      <t>ジュ</t>
    </rPh>
    <rPh sb="1" eb="3">
      <t>エンチ</t>
    </rPh>
    <phoneticPr fontId="6"/>
  </si>
  <si>
    <t>牧草地</t>
    <rPh sb="0" eb="3">
      <t>ボクソウチ</t>
    </rPh>
    <phoneticPr fontId="6"/>
  </si>
  <si>
    <t xml:space="preserve"> ２　世帯員数と農業就業者数等</t>
    <rPh sb="3" eb="5">
      <t>セタイ</t>
    </rPh>
    <rPh sb="5" eb="7">
      <t>インスウ</t>
    </rPh>
    <rPh sb="8" eb="10">
      <t>ノウギョウ</t>
    </rPh>
    <rPh sb="10" eb="13">
      <t>シュウギョウシャ</t>
    </rPh>
    <rPh sb="13" eb="14">
      <t>スウ</t>
    </rPh>
    <rPh sb="14" eb="15">
      <t>トウ</t>
    </rPh>
    <phoneticPr fontId="6"/>
  </si>
  <si>
    <t>　 世帯員、農業就業者、農業年雇の人数について、男女別に記入してください。</t>
    <rPh sb="2" eb="5">
      <t>セタイイン</t>
    </rPh>
    <rPh sb="6" eb="8">
      <t>ノウギョウ</t>
    </rPh>
    <rPh sb="8" eb="11">
      <t>シュウギョウシャ</t>
    </rPh>
    <rPh sb="12" eb="14">
      <t>ノウギョウ</t>
    </rPh>
    <rPh sb="14" eb="15">
      <t>ネン</t>
    </rPh>
    <rPh sb="15" eb="16">
      <t>ヤトイ</t>
    </rPh>
    <rPh sb="17" eb="19">
      <t>ニンズウ</t>
    </rPh>
    <rPh sb="24" eb="26">
      <t>ダンジョ</t>
    </rPh>
    <rPh sb="26" eb="27">
      <t>ベツ</t>
    </rPh>
    <phoneticPr fontId="6"/>
  </si>
  <si>
    <t>用語の説明</t>
    <rPh sb="0" eb="2">
      <t>ヨウゴ</t>
    </rPh>
    <rPh sb="3" eb="5">
      <t>セツメイ</t>
    </rPh>
    <phoneticPr fontId="6"/>
  </si>
  <si>
    <t>男（人）</t>
    <rPh sb="0" eb="1">
      <t>オトコ</t>
    </rPh>
    <rPh sb="2" eb="3">
      <t>ニン</t>
    </rPh>
    <phoneticPr fontId="6"/>
  </si>
  <si>
    <t>女（人）</t>
    <rPh sb="0" eb="1">
      <t>オンナ</t>
    </rPh>
    <rPh sb="2" eb="3">
      <t>ニン</t>
    </rPh>
    <phoneticPr fontId="6"/>
  </si>
  <si>
    <t>世帯員</t>
    <rPh sb="0" eb="3">
      <t>セタイイン</t>
    </rPh>
    <phoneticPr fontId="6"/>
  </si>
  <si>
    <t>世帯主と血縁又は姻戚関係になくても一緒に住み、かつ生計をともにしている者（住み込みの年雇等を含む。）</t>
    <rPh sb="8" eb="10">
      <t>インセキ</t>
    </rPh>
    <rPh sb="37" eb="38">
      <t>ス</t>
    </rPh>
    <rPh sb="39" eb="40">
      <t>コ</t>
    </rPh>
    <rPh sb="42" eb="43">
      <t>ネン</t>
    </rPh>
    <rPh sb="43" eb="44">
      <t>ヤトイ</t>
    </rPh>
    <rPh sb="44" eb="45">
      <t>トウ</t>
    </rPh>
    <rPh sb="46" eb="47">
      <t>フク</t>
    </rPh>
    <phoneticPr fontId="6"/>
  </si>
  <si>
    <t>家族</t>
    <rPh sb="0" eb="2">
      <t>カゾク</t>
    </rPh>
    <phoneticPr fontId="6"/>
  </si>
  <si>
    <t>夫婦とその血縁関係者を中心に構成され、共同生活の単位となる集団（15歳未満を除く。）</t>
    <rPh sb="34" eb="35">
      <t>サイ</t>
    </rPh>
    <rPh sb="35" eb="37">
      <t>ミマン</t>
    </rPh>
    <rPh sb="38" eb="39">
      <t>ノゾ</t>
    </rPh>
    <phoneticPr fontId="6"/>
  </si>
  <si>
    <t>農業就業者</t>
    <rPh sb="0" eb="2">
      <t>ノウギョウ</t>
    </rPh>
    <rPh sb="2" eb="5">
      <t>シュウギョウシャ</t>
    </rPh>
    <phoneticPr fontId="6"/>
  </si>
  <si>
    <t>年間の農業労働日数が60日以上の者</t>
    <phoneticPr fontId="6"/>
  </si>
  <si>
    <t>150日以上</t>
    <rPh sb="3" eb="6">
      <t>ニチイジョウ</t>
    </rPh>
    <phoneticPr fontId="6"/>
  </si>
  <si>
    <t>年間の農業労働日数が150日以上の者</t>
    <phoneticPr fontId="6"/>
  </si>
  <si>
    <t>農業年雇</t>
    <rPh sb="0" eb="2">
      <t>ノウギョウ</t>
    </rPh>
    <rPh sb="2" eb="3">
      <t>ネン</t>
    </rPh>
    <rPh sb="3" eb="4">
      <t>コ</t>
    </rPh>
    <phoneticPr fontId="6"/>
  </si>
  <si>
    <t>農業経営のためにおおむね年間（７か月以上）を通じて雇った者</t>
    <rPh sb="0" eb="4">
      <t>ノウギョウケイエイ</t>
    </rPh>
    <rPh sb="17" eb="18">
      <t>ゲツ</t>
    </rPh>
    <rPh sb="18" eb="20">
      <t>イジョウ</t>
    </rPh>
    <rPh sb="25" eb="26">
      <t>ヤト</t>
    </rPh>
    <rPh sb="28" eb="29">
      <t>シャ</t>
    </rPh>
    <phoneticPr fontId="6"/>
  </si>
  <si>
    <t>注：農業労働日数は、１日＝８時間を目安にしてください。</t>
    <rPh sb="0" eb="1">
      <t>チュウ</t>
    </rPh>
    <rPh sb="2" eb="4">
      <t>ノウギョウ</t>
    </rPh>
    <rPh sb="4" eb="6">
      <t>ロウドウ</t>
    </rPh>
    <rPh sb="6" eb="8">
      <t>ニッスウ</t>
    </rPh>
    <rPh sb="11" eb="12">
      <t>ニチ</t>
    </rPh>
    <rPh sb="14" eb="16">
      <t>ジカン</t>
    </rPh>
    <rPh sb="17" eb="19">
      <t>メヤス</t>
    </rPh>
    <phoneticPr fontId="6"/>
  </si>
  <si>
    <t xml:space="preserve"> ３　認定農業者の状況</t>
    <rPh sb="3" eb="5">
      <t>ニンテイ</t>
    </rPh>
    <rPh sb="5" eb="8">
      <t>ノウギョウシャ</t>
    </rPh>
    <rPh sb="9" eb="11">
      <t>ジョウキョウ</t>
    </rPh>
    <phoneticPr fontId="6"/>
  </si>
  <si>
    <t xml:space="preserve"> 　認定農業者はいますか。
 　該当する回答を選択してください。</t>
    <rPh sb="2" eb="4">
      <t>ニンテイ</t>
    </rPh>
    <rPh sb="4" eb="7">
      <t>ノウギョウシャ</t>
    </rPh>
    <phoneticPr fontId="6"/>
  </si>
  <si>
    <t>認定農業者区分</t>
    <rPh sb="0" eb="2">
      <t>ニンテイ</t>
    </rPh>
    <rPh sb="2" eb="5">
      <t>ノウギョウシャ</t>
    </rPh>
    <rPh sb="5" eb="7">
      <t>クブン</t>
    </rPh>
    <phoneticPr fontId="6"/>
  </si>
  <si>
    <t xml:space="preserve"> ４　直近５か年の10ａ当たり収量</t>
    <rPh sb="3" eb="5">
      <t>チョッキン</t>
    </rPh>
    <rPh sb="7" eb="8">
      <t>ネン</t>
    </rPh>
    <rPh sb="12" eb="13">
      <t>ア</t>
    </rPh>
    <rPh sb="15" eb="17">
      <t>シュウリョウ</t>
    </rPh>
    <phoneticPr fontId="6"/>
  </si>
  <si>
    <t xml:space="preserve"> 　直近５か年における対象品目の10ａ当たり収量を記入してください。</t>
    <rPh sb="2" eb="4">
      <t>チョッキン</t>
    </rPh>
    <rPh sb="6" eb="7">
      <t>ネン</t>
    </rPh>
    <rPh sb="11" eb="13">
      <t>タイショウ</t>
    </rPh>
    <rPh sb="13" eb="15">
      <t>ヒンモク</t>
    </rPh>
    <rPh sb="19" eb="20">
      <t>ア</t>
    </rPh>
    <rPh sb="22" eb="24">
      <t>シュウリョウ</t>
    </rPh>
    <phoneticPr fontId="6"/>
  </si>
  <si>
    <t>１年前</t>
    <rPh sb="1" eb="3">
      <t>ネンマエ</t>
    </rPh>
    <phoneticPr fontId="6"/>
  </si>
  <si>
    <t>２年前</t>
    <rPh sb="1" eb="3">
      <t>ネンマエ</t>
    </rPh>
    <phoneticPr fontId="6"/>
  </si>
  <si>
    <t>３年前</t>
    <rPh sb="1" eb="3">
      <t>ネンマエ</t>
    </rPh>
    <phoneticPr fontId="6"/>
  </si>
  <si>
    <t>４年前</t>
    <rPh sb="1" eb="3">
      <t>ネンマエ</t>
    </rPh>
    <phoneticPr fontId="6"/>
  </si>
  <si>
    <t>５年前</t>
    <rPh sb="1" eb="3">
      <t>ネンマエ</t>
    </rPh>
    <phoneticPr fontId="6"/>
  </si>
  <si>
    <t>10ａ当たり平年収量</t>
    <rPh sb="3" eb="4">
      <t>ア</t>
    </rPh>
    <rPh sb="6" eb="8">
      <t>ヘイネン</t>
    </rPh>
    <rPh sb="8" eb="10">
      <t>シュウリョウ</t>
    </rPh>
    <phoneticPr fontId="6"/>
  </si>
  <si>
    <t>10ａ当たり収量（㎏）</t>
    <rPh sb="3" eb="4">
      <t>ア</t>
    </rPh>
    <rPh sb="6" eb="8">
      <t>シュウリョウ</t>
    </rPh>
    <phoneticPr fontId="6"/>
  </si>
  <si>
    <t xml:space="preserve">  ５　対象品目における作業委託の状況</t>
    <rPh sb="4" eb="6">
      <t>タイショウ</t>
    </rPh>
    <rPh sb="6" eb="8">
      <t>ヒンモク</t>
    </rPh>
    <rPh sb="12" eb="14">
      <t>サギョウ</t>
    </rPh>
    <rPh sb="14" eb="16">
      <t>イタク</t>
    </rPh>
    <rPh sb="17" eb="19">
      <t>ジョウキョウ</t>
    </rPh>
    <phoneticPr fontId="6"/>
  </si>
  <si>
    <t>　　耕うん・整地や防除などで、同一のほ場を複数回にわたって作業した場合は、延</t>
    <rPh sb="2" eb="3">
      <t>コウ</t>
    </rPh>
    <rPh sb="6" eb="8">
      <t>セイチ</t>
    </rPh>
    <rPh sb="9" eb="11">
      <t>ボウジョ</t>
    </rPh>
    <rPh sb="15" eb="17">
      <t>ドウイツ</t>
    </rPh>
    <rPh sb="19" eb="20">
      <t>ジョウ</t>
    </rPh>
    <rPh sb="21" eb="24">
      <t>フクスウカイ</t>
    </rPh>
    <rPh sb="29" eb="31">
      <t>サギョウ</t>
    </rPh>
    <rPh sb="33" eb="35">
      <t>バアイ</t>
    </rPh>
    <phoneticPr fontId="6"/>
  </si>
  <si>
    <t>　べ面積を記入してください。</t>
  </si>
  <si>
    <t>　　乾燥・調製は、玄そば・乾燥子実の数量を記入してください。</t>
    <rPh sb="2" eb="4">
      <t>カンソウ</t>
    </rPh>
    <rPh sb="5" eb="7">
      <t>チョウセイ</t>
    </rPh>
    <rPh sb="9" eb="10">
      <t>ゲン</t>
    </rPh>
    <rPh sb="13" eb="15">
      <t>カンソウ</t>
    </rPh>
    <rPh sb="15" eb="17">
      <t>シジツ</t>
    </rPh>
    <rPh sb="18" eb="20">
      <t>スウリョウ</t>
    </rPh>
    <phoneticPr fontId="6"/>
  </si>
  <si>
    <t>数量</t>
    <rPh sb="0" eb="2">
      <t>スウリョウ</t>
    </rPh>
    <phoneticPr fontId="6"/>
  </si>
  <si>
    <t>単位</t>
    <rPh sb="0" eb="2">
      <t>タンイ</t>
    </rPh>
    <phoneticPr fontId="6"/>
  </si>
  <si>
    <t>耕うん・整地</t>
    <rPh sb="0" eb="1">
      <t>コウ</t>
    </rPh>
    <rPh sb="4" eb="6">
      <t>セイチ</t>
    </rPh>
    <phoneticPr fontId="6"/>
  </si>
  <si>
    <t>ａ</t>
    <phoneticPr fontId="6"/>
  </si>
  <si>
    <t>は　　　　　　　種</t>
    <rPh sb="8" eb="9">
      <t>シュ</t>
    </rPh>
    <phoneticPr fontId="6"/>
  </si>
  <si>
    <t>ａ</t>
    <phoneticPr fontId="6"/>
  </si>
  <si>
    <t>防　　　　　　　除</t>
    <rPh sb="0" eb="1">
      <t>ボウ</t>
    </rPh>
    <rPh sb="8" eb="9">
      <t>ジョ</t>
    </rPh>
    <phoneticPr fontId="6"/>
  </si>
  <si>
    <t>ａ</t>
    <phoneticPr fontId="6"/>
  </si>
  <si>
    <t>刈 取 ・ 脱 穀</t>
    <phoneticPr fontId="6"/>
  </si>
  <si>
    <t>乾 燥 ・ 調 製</t>
    <phoneticPr fontId="6"/>
  </si>
  <si>
    <t>kg</t>
    <phoneticPr fontId="6"/>
  </si>
  <si>
    <t>　６　対象品目の品種別作付面積</t>
    <rPh sb="3" eb="5">
      <t>タイショウ</t>
    </rPh>
    <rPh sb="5" eb="7">
      <t>ヒンモク</t>
    </rPh>
    <rPh sb="8" eb="10">
      <t>ヒンシュ</t>
    </rPh>
    <rPh sb="9" eb="10">
      <t>サクツケ</t>
    </rPh>
    <rPh sb="10" eb="11">
      <t>ベツ</t>
    </rPh>
    <rPh sb="11" eb="13">
      <t>サクツケ</t>
    </rPh>
    <rPh sb="13" eb="15">
      <t>メンセキ</t>
    </rPh>
    <phoneticPr fontId="6"/>
  </si>
  <si>
    <t>　　当年産に作付けした対象品目の品種名及びその作付面積を記入してください。</t>
    <rPh sb="2" eb="4">
      <t>トウネン</t>
    </rPh>
    <rPh sb="4" eb="5">
      <t>サン</t>
    </rPh>
    <rPh sb="6" eb="8">
      <t>サクツ</t>
    </rPh>
    <rPh sb="11" eb="13">
      <t>タイショウ</t>
    </rPh>
    <rPh sb="13" eb="15">
      <t>ヒンモク</t>
    </rPh>
    <rPh sb="16" eb="19">
      <t>ヒンシュメイ</t>
    </rPh>
    <rPh sb="19" eb="20">
      <t>オヨ</t>
    </rPh>
    <rPh sb="23" eb="25">
      <t>サクツケ</t>
    </rPh>
    <rPh sb="25" eb="27">
      <t>メンセキ</t>
    </rPh>
    <phoneticPr fontId="6"/>
  </si>
  <si>
    <t>品種名をリストから選択してください。</t>
    <rPh sb="0" eb="2">
      <t>ヒンシュ</t>
    </rPh>
    <rPh sb="2" eb="3">
      <t>メイ</t>
    </rPh>
    <rPh sb="9" eb="11">
      <t>センタク</t>
    </rPh>
    <phoneticPr fontId="6"/>
  </si>
  <si>
    <t>品種名</t>
    <rPh sb="0" eb="3">
      <t>ヒンシュメイ</t>
    </rPh>
    <phoneticPr fontId="6"/>
  </si>
  <si>
    <t>面　積（ａ）</t>
    <rPh sb="0" eb="1">
      <t>メン</t>
    </rPh>
    <rPh sb="2" eb="3">
      <t>セキ</t>
    </rPh>
    <phoneticPr fontId="6"/>
  </si>
  <si>
    <t>コード</t>
    <phoneticPr fontId="6"/>
  </si>
  <si>
    <t>品 種 １</t>
    <rPh sb="0" eb="1">
      <t>シナ</t>
    </rPh>
    <rPh sb="2" eb="3">
      <t>タネ</t>
    </rPh>
    <phoneticPr fontId="6"/>
  </si>
  <si>
    <t>品 種 １</t>
    <phoneticPr fontId="6"/>
  </si>
  <si>
    <t>品 種 ２</t>
    <rPh sb="0" eb="1">
      <t>シナ</t>
    </rPh>
    <rPh sb="2" eb="3">
      <t>タネ</t>
    </rPh>
    <phoneticPr fontId="6"/>
  </si>
  <si>
    <t>品 種 ２</t>
  </si>
  <si>
    <t>品 種 ３</t>
    <rPh sb="0" eb="1">
      <t>シナ</t>
    </rPh>
    <rPh sb="2" eb="3">
      <t>タネ</t>
    </rPh>
    <phoneticPr fontId="6"/>
  </si>
  <si>
    <t>品 種 ３</t>
  </si>
  <si>
    <t>品 種 ４</t>
    <rPh sb="0" eb="1">
      <t>シナ</t>
    </rPh>
    <rPh sb="2" eb="3">
      <t>タネ</t>
    </rPh>
    <phoneticPr fontId="6"/>
  </si>
  <si>
    <t>品 種 ４</t>
  </si>
  <si>
    <t>品 種 ５</t>
    <rPh sb="0" eb="1">
      <t>シナ</t>
    </rPh>
    <rPh sb="2" eb="3">
      <t>タネ</t>
    </rPh>
    <phoneticPr fontId="6"/>
  </si>
  <si>
    <t>品 種 ５</t>
  </si>
  <si>
    <t>注： 面積の合計が当年産の対象品目の作付面積です。</t>
    <rPh sb="0" eb="1">
      <t>チュウ</t>
    </rPh>
    <rPh sb="3" eb="5">
      <t>メンセキ</t>
    </rPh>
    <rPh sb="6" eb="8">
      <t>ゴウケイ</t>
    </rPh>
    <rPh sb="9" eb="10">
      <t>トウ</t>
    </rPh>
    <rPh sb="10" eb="12">
      <t>ネンサン</t>
    </rPh>
    <rPh sb="11" eb="12">
      <t>サン</t>
    </rPh>
    <rPh sb="13" eb="15">
      <t>タイショウ</t>
    </rPh>
    <rPh sb="15" eb="17">
      <t>ヒンモク</t>
    </rPh>
    <rPh sb="18" eb="20">
      <t>サクツケ</t>
    </rPh>
    <rPh sb="20" eb="21">
      <t>ヅラ</t>
    </rPh>
    <rPh sb="21" eb="22">
      <t>セキ</t>
    </rPh>
    <phoneticPr fontId="6"/>
  </si>
  <si>
    <t>　７　制度受取金等の状況</t>
    <rPh sb="3" eb="5">
      <t>セイド</t>
    </rPh>
    <rPh sb="5" eb="7">
      <t>ウケトリ</t>
    </rPh>
    <rPh sb="7" eb="8">
      <t>キン</t>
    </rPh>
    <rPh sb="8" eb="9">
      <t>トウ</t>
    </rPh>
    <rPh sb="10" eb="12">
      <t>ジョウキョウ</t>
    </rPh>
    <phoneticPr fontId="6"/>
  </si>
  <si>
    <t>　　当年産の対象品目に係る制度受取金等について記入してください。</t>
    <rPh sb="2" eb="4">
      <t>トウネン</t>
    </rPh>
    <rPh sb="4" eb="5">
      <t>サン</t>
    </rPh>
    <rPh sb="6" eb="8">
      <t>タイショウ</t>
    </rPh>
    <rPh sb="8" eb="10">
      <t>ヒンモク</t>
    </rPh>
    <rPh sb="11" eb="12">
      <t>カカ</t>
    </rPh>
    <rPh sb="13" eb="15">
      <t>セイド</t>
    </rPh>
    <rPh sb="15" eb="18">
      <t>ウケトリキン</t>
    </rPh>
    <rPh sb="18" eb="19">
      <t>トウ</t>
    </rPh>
    <phoneticPr fontId="6"/>
  </si>
  <si>
    <t>掛　金（円）</t>
    <rPh sb="0" eb="1">
      <t>カカリ</t>
    </rPh>
    <rPh sb="2" eb="3">
      <t>キン</t>
    </rPh>
    <rPh sb="4" eb="5">
      <t>エン</t>
    </rPh>
    <phoneticPr fontId="6"/>
  </si>
  <si>
    <t>受　取　金（円）</t>
    <rPh sb="0" eb="1">
      <t>ウケ</t>
    </rPh>
    <rPh sb="2" eb="3">
      <t>トリ</t>
    </rPh>
    <rPh sb="4" eb="5">
      <t>キン</t>
    </rPh>
    <rPh sb="6" eb="7">
      <t>エン</t>
    </rPh>
    <phoneticPr fontId="6"/>
  </si>
  <si>
    <t>農業共済</t>
    <phoneticPr fontId="6"/>
  </si>
  <si>
    <t>水田活用の直接支払交付金</t>
    <phoneticPr fontId="6"/>
  </si>
  <si>
    <t>産地交付金</t>
    <rPh sb="0" eb="2">
      <t>サンチ</t>
    </rPh>
    <rPh sb="2" eb="5">
      <t>コウフキン</t>
    </rPh>
    <phoneticPr fontId="6"/>
  </si>
  <si>
    <t>畑作物の直接支払交付金</t>
    <rPh sb="0" eb="2">
      <t>ハタサク</t>
    </rPh>
    <rPh sb="2" eb="3">
      <t>モツ</t>
    </rPh>
    <rPh sb="8" eb="11">
      <t>コウフキン</t>
    </rPh>
    <phoneticPr fontId="6"/>
  </si>
  <si>
    <t>面積払</t>
    <rPh sb="0" eb="2">
      <t>メンセキ</t>
    </rPh>
    <rPh sb="2" eb="3">
      <t>バライ</t>
    </rPh>
    <phoneticPr fontId="6"/>
  </si>
  <si>
    <t>数量払</t>
    <rPh sb="0" eb="2">
      <t>スウリョウ</t>
    </rPh>
    <rPh sb="2" eb="3">
      <t>ハライ</t>
    </rPh>
    <phoneticPr fontId="6"/>
  </si>
  <si>
    <t>【２】生産物の販売等の状況</t>
    <rPh sb="3" eb="6">
      <t>セイサンブツ</t>
    </rPh>
    <rPh sb="7" eb="9">
      <t>ハンバイ</t>
    </rPh>
    <rPh sb="9" eb="10">
      <t>トウ</t>
    </rPh>
    <rPh sb="11" eb="13">
      <t>ジョウキョウ</t>
    </rPh>
    <phoneticPr fontId="6"/>
  </si>
  <si>
    <t xml:space="preserve">  １　そばの品質・用途別の販売状況等（玄そば換算）</t>
    <rPh sb="7" eb="9">
      <t>ヒンシツ</t>
    </rPh>
    <rPh sb="10" eb="13">
      <t>ヨウトベツ</t>
    </rPh>
    <rPh sb="14" eb="16">
      <t>ハンバイ</t>
    </rPh>
    <rPh sb="16" eb="18">
      <t>ジョウキョウ</t>
    </rPh>
    <rPh sb="18" eb="19">
      <t>ナド</t>
    </rPh>
    <rPh sb="20" eb="21">
      <t>ゲン</t>
    </rPh>
    <rPh sb="23" eb="25">
      <t>カンザン</t>
    </rPh>
    <phoneticPr fontId="6"/>
  </si>
  <si>
    <t xml:space="preserve">  　当年産の販売状況等について、黄色の欄に記入してください。</t>
    <rPh sb="3" eb="4">
      <t>トウ</t>
    </rPh>
    <rPh sb="4" eb="6">
      <t>ネンサン</t>
    </rPh>
    <rPh sb="5" eb="6">
      <t>サン</t>
    </rPh>
    <rPh sb="7" eb="9">
      <t>ハンバイ</t>
    </rPh>
    <rPh sb="9" eb="12">
      <t>ジョウキョウトウ</t>
    </rPh>
    <rPh sb="17" eb="19">
      <t>キイロ</t>
    </rPh>
    <rPh sb="20" eb="21">
      <t>ラン</t>
    </rPh>
    <phoneticPr fontId="6"/>
  </si>
  <si>
    <t>　　また、１等、２等及び規格外について、内訳欄を利用してそれぞれの「計」の内訳を記入する場合は、</t>
    <rPh sb="6" eb="7">
      <t>トウ</t>
    </rPh>
    <rPh sb="9" eb="10">
      <t>トウ</t>
    </rPh>
    <rPh sb="10" eb="11">
      <t>オヨ</t>
    </rPh>
    <rPh sb="12" eb="15">
      <t>キカクガイ</t>
    </rPh>
    <phoneticPr fontId="6"/>
  </si>
  <si>
    <t>　その合計が「計」となるよう記入してください。</t>
  </si>
  <si>
    <t xml:space="preserve">    なお、実際に販売したものは販売金額から搬出費、包装荷造り費等の出荷経費を除いた金額を記入し</t>
    <rPh sb="7" eb="9">
      <t>ジッサイ</t>
    </rPh>
    <rPh sb="10" eb="12">
      <t>ハンバイ</t>
    </rPh>
    <rPh sb="17" eb="19">
      <t>ハンバイ</t>
    </rPh>
    <rPh sb="19" eb="21">
      <t>キンガク</t>
    </rPh>
    <rPh sb="23" eb="26">
      <t>ハンシュツヒ</t>
    </rPh>
    <rPh sb="27" eb="29">
      <t>ホウソウ</t>
    </rPh>
    <rPh sb="29" eb="31">
      <t>ニヅク</t>
    </rPh>
    <rPh sb="32" eb="33">
      <t>ヒ</t>
    </rPh>
    <rPh sb="33" eb="34">
      <t>トウ</t>
    </rPh>
    <rPh sb="35" eb="37">
      <t>シュッカ</t>
    </rPh>
    <rPh sb="37" eb="39">
      <t>ケイヒ</t>
    </rPh>
    <rPh sb="40" eb="41">
      <t>ノゾ</t>
    </rPh>
    <rPh sb="43" eb="45">
      <t>キンガク</t>
    </rPh>
    <phoneticPr fontId="6"/>
  </si>
  <si>
    <t xml:space="preserve">  てください。</t>
    <phoneticPr fontId="6"/>
  </si>
  <si>
    <t>内容例示</t>
    <rPh sb="0" eb="2">
      <t>ナイヨウ</t>
    </rPh>
    <rPh sb="2" eb="4">
      <t>レイジ</t>
    </rPh>
    <phoneticPr fontId="6"/>
  </si>
  <si>
    <t>金額（円）</t>
    <rPh sb="0" eb="1">
      <t>キン</t>
    </rPh>
    <rPh sb="1" eb="2">
      <t>ガク</t>
    </rPh>
    <rPh sb="3" eb="4">
      <t>エン</t>
    </rPh>
    <phoneticPr fontId="6"/>
  </si>
  <si>
    <t>主産物</t>
    <rPh sb="0" eb="3">
      <t>シュサンブツ</t>
    </rPh>
    <phoneticPr fontId="6"/>
  </si>
  <si>
    <t>販売用（予定を含む。）</t>
    <rPh sb="0" eb="3">
      <t>ハンバイヨウ</t>
    </rPh>
    <rPh sb="4" eb="6">
      <t>ヨテイ</t>
    </rPh>
    <rPh sb="7" eb="8">
      <t>フク</t>
    </rPh>
    <phoneticPr fontId="6"/>
  </si>
  <si>
    <t>１等（計）</t>
    <rPh sb="1" eb="2">
      <t>トウ</t>
    </rPh>
    <phoneticPr fontId="6"/>
  </si>
  <si>
    <t>農産物検査において「１等」と判定されたもの</t>
    <rPh sb="0" eb="3">
      <t>ノウサンブツ</t>
    </rPh>
    <rPh sb="3" eb="5">
      <t>ケンサ</t>
    </rPh>
    <rPh sb="11" eb="12">
      <t>トウ</t>
    </rPh>
    <rPh sb="14" eb="16">
      <t>ハンテイ</t>
    </rPh>
    <phoneticPr fontId="6"/>
  </si>
  <si>
    <t>数量（kg）</t>
    <rPh sb="0" eb="2">
      <t>スウリョウ</t>
    </rPh>
    <phoneticPr fontId="6"/>
  </si>
  <si>
    <t>単価（円/45kg）</t>
    <rPh sb="0" eb="2">
      <t>タンカ</t>
    </rPh>
    <rPh sb="3" eb="4">
      <t>エン</t>
    </rPh>
    <phoneticPr fontId="6"/>
  </si>
  <si>
    <t>価額（円）</t>
    <rPh sb="0" eb="2">
      <t>カガク</t>
    </rPh>
    <rPh sb="3" eb="4">
      <t>エン</t>
    </rPh>
    <phoneticPr fontId="6"/>
  </si>
  <si>
    <t>販売用（予定を含む。）</t>
    <phoneticPr fontId="6"/>
  </si>
  <si>
    <t>１等</t>
    <rPh sb="1" eb="2">
      <t>トウ</t>
    </rPh>
    <phoneticPr fontId="6"/>
  </si>
  <si>
    <t>２等</t>
    <rPh sb="1" eb="2">
      <t>トウ</t>
    </rPh>
    <phoneticPr fontId="6"/>
  </si>
  <si>
    <t>規格外</t>
    <rPh sb="0" eb="3">
      <t>キカクガイ</t>
    </rPh>
    <phoneticPr fontId="6"/>
  </si>
  <si>
    <t>その他</t>
    <rPh sb="2" eb="3">
      <t>タ</t>
    </rPh>
    <phoneticPr fontId="6"/>
  </si>
  <si>
    <t>２等（計）</t>
    <rPh sb="1" eb="2">
      <t>トウ</t>
    </rPh>
    <phoneticPr fontId="6"/>
  </si>
  <si>
    <t>農産物検査において「２等」と判定されたもの</t>
    <rPh sb="0" eb="3">
      <t>ノウサンブツ</t>
    </rPh>
    <rPh sb="3" eb="5">
      <t>ケンサ</t>
    </rPh>
    <rPh sb="11" eb="12">
      <t>トウ</t>
    </rPh>
    <rPh sb="14" eb="16">
      <t>ハンテイ</t>
    </rPh>
    <phoneticPr fontId="6"/>
  </si>
  <si>
    <t>販売用計</t>
    <rPh sb="0" eb="3">
      <t>ハンバイヨウ</t>
    </rPh>
    <rPh sb="3" eb="4">
      <t>ケイ</t>
    </rPh>
    <phoneticPr fontId="6"/>
  </si>
  <si>
    <t>「自家用」の単価を記入してください。</t>
    <rPh sb="1" eb="3">
      <t>ジカ</t>
    </rPh>
    <rPh sb="3" eb="4">
      <t>ヨウ</t>
    </rPh>
    <rPh sb="6" eb="8">
      <t>タンカ</t>
    </rPh>
    <rPh sb="9" eb="11">
      <t>キニュウ</t>
    </rPh>
    <phoneticPr fontId="6"/>
  </si>
  <si>
    <t>自家用</t>
    <rPh sb="0" eb="3">
      <t>ジカヨウ</t>
    </rPh>
    <phoneticPr fontId="6"/>
  </si>
  <si>
    <t>食用</t>
    <rPh sb="0" eb="1">
      <t>ショク</t>
    </rPh>
    <rPh sb="1" eb="2">
      <t>ヨウ</t>
    </rPh>
    <phoneticPr fontId="6"/>
  </si>
  <si>
    <t>種子用</t>
    <rPh sb="0" eb="2">
      <t>シュシ</t>
    </rPh>
    <rPh sb="2" eb="3">
      <t>ヨウ</t>
    </rPh>
    <phoneticPr fontId="6"/>
  </si>
  <si>
    <t>規格外（計）</t>
    <rPh sb="0" eb="3">
      <t>キカクガイ</t>
    </rPh>
    <phoneticPr fontId="6"/>
  </si>
  <si>
    <t>農産物検査において「規格外」と判定されたもの</t>
    <rPh sb="0" eb="3">
      <t>ノウサンブツ</t>
    </rPh>
    <rPh sb="3" eb="5">
      <t>ケンサ</t>
    </rPh>
    <rPh sb="10" eb="13">
      <t>キカクガイ</t>
    </rPh>
    <rPh sb="15" eb="17">
      <t>ハンテイ</t>
    </rPh>
    <phoneticPr fontId="6"/>
  </si>
  <si>
    <t>自家用計</t>
    <rPh sb="0" eb="2">
      <t>ジカ</t>
    </rPh>
    <rPh sb="2" eb="3">
      <t>ヨウ</t>
    </rPh>
    <rPh sb="3" eb="4">
      <t>ケイ</t>
    </rPh>
    <phoneticPr fontId="6"/>
  </si>
  <si>
    <t>農産物検査を受検しないもののうち、主産物と同等の品質を有するもの</t>
    <phoneticPr fontId="6"/>
  </si>
  <si>
    <t>自家用</t>
    <phoneticPr fontId="6"/>
  </si>
  <si>
    <t>食用</t>
    <rPh sb="0" eb="2">
      <t>ショクヨウ</t>
    </rPh>
    <phoneticPr fontId="6"/>
  </si>
  <si>
    <t>食用に仕向けた（予定を含む。）もの</t>
    <rPh sb="0" eb="1">
      <t>ショク</t>
    </rPh>
    <phoneticPr fontId="6"/>
  </si>
  <si>
    <t>種子用に仕向けた（予定を含む。）もの</t>
    <rPh sb="0" eb="2">
      <t>シュシ</t>
    </rPh>
    <rPh sb="2" eb="3">
      <t>ヨウ</t>
    </rPh>
    <rPh sb="4" eb="6">
      <t>シム</t>
    </rPh>
    <rPh sb="9" eb="11">
      <t>ヨテイ</t>
    </rPh>
    <rPh sb="12" eb="13">
      <t>フク</t>
    </rPh>
    <phoneticPr fontId="6"/>
  </si>
  <si>
    <t>食用、種子用以外に仕向けた（予定を含む。）もの</t>
    <rPh sb="0" eb="2">
      <t>ショクヨウ</t>
    </rPh>
    <rPh sb="3" eb="5">
      <t>シュシ</t>
    </rPh>
    <rPh sb="5" eb="6">
      <t>ヨウ</t>
    </rPh>
    <rPh sb="6" eb="8">
      <t>イガイ</t>
    </rPh>
    <rPh sb="9" eb="11">
      <t>シム</t>
    </rPh>
    <rPh sb="14" eb="16">
      <t>ヨテイ</t>
    </rPh>
    <rPh sb="17" eb="18">
      <t>フク</t>
    </rPh>
    <phoneticPr fontId="6"/>
  </si>
  <si>
    <t xml:space="preserve">  ２　くずそば等の状況</t>
    <rPh sb="8" eb="9">
      <t>トウ</t>
    </rPh>
    <rPh sb="10" eb="12">
      <t>ジョウキョウ</t>
    </rPh>
    <phoneticPr fontId="6"/>
  </si>
  <si>
    <t xml:space="preserve">  　当年産のそば生産で発生したくずそば等について、記入してください。</t>
    <rPh sb="3" eb="4">
      <t>トウ</t>
    </rPh>
    <rPh sb="4" eb="6">
      <t>ネンサン</t>
    </rPh>
    <rPh sb="5" eb="6">
      <t>サン</t>
    </rPh>
    <rPh sb="9" eb="11">
      <t>セイサン</t>
    </rPh>
    <rPh sb="12" eb="14">
      <t>ハッセイ</t>
    </rPh>
    <rPh sb="20" eb="21">
      <t>トウ</t>
    </rPh>
    <phoneticPr fontId="6"/>
  </si>
  <si>
    <t>副産物</t>
    <rPh sb="0" eb="3">
      <t>フクサンブツ</t>
    </rPh>
    <phoneticPr fontId="6"/>
  </si>
  <si>
    <t>内容例示</t>
    <phoneticPr fontId="6"/>
  </si>
  <si>
    <t>販売用</t>
    <rPh sb="0" eb="3">
      <t>ハンバイヨウ</t>
    </rPh>
    <phoneticPr fontId="6"/>
  </si>
  <si>
    <t>販売した（予定を含む。）もの</t>
    <phoneticPr fontId="6"/>
  </si>
  <si>
    <t>自家用</t>
    <phoneticPr fontId="6"/>
  </si>
  <si>
    <t>自家用に仕向けた（予定を含む。）もの</t>
    <phoneticPr fontId="6"/>
  </si>
  <si>
    <t>１　作柄概況</t>
    <rPh sb="2" eb="4">
      <t>サクガラ</t>
    </rPh>
    <rPh sb="4" eb="6">
      <t>ガイキョウ</t>
    </rPh>
    <phoneticPr fontId="6"/>
  </si>
  <si>
    <t>２　被害の状況や品質</t>
    <rPh sb="2" eb="4">
      <t>ヒガイ</t>
    </rPh>
    <rPh sb="5" eb="7">
      <t>ジョウキョウ</t>
    </rPh>
    <rPh sb="8" eb="10">
      <t>ヒンシツ</t>
    </rPh>
    <phoneticPr fontId="6"/>
  </si>
  <si>
    <t>３　栽培状況の変化</t>
    <rPh sb="2" eb="4">
      <t>サイバイ</t>
    </rPh>
    <rPh sb="4" eb="6">
      <t>ジョウキョウ</t>
    </rPh>
    <rPh sb="7" eb="9">
      <t>ヘンカ</t>
    </rPh>
    <phoneticPr fontId="6"/>
  </si>
  <si>
    <t xml:space="preserve"> (1)　新たな品種の導入</t>
    <rPh sb="5" eb="6">
      <t>アラ</t>
    </rPh>
    <rPh sb="8" eb="10">
      <t>ヒンシュ</t>
    </rPh>
    <rPh sb="11" eb="13">
      <t>ドウニュウ</t>
    </rPh>
    <phoneticPr fontId="6"/>
  </si>
  <si>
    <t xml:space="preserve"> (2)　新たな設備・機械の導入</t>
    <rPh sb="5" eb="6">
      <t>アラ</t>
    </rPh>
    <rPh sb="8" eb="10">
      <t>セツビ</t>
    </rPh>
    <rPh sb="11" eb="13">
      <t>キカイ</t>
    </rPh>
    <rPh sb="14" eb="16">
      <t>ドウニュウ</t>
    </rPh>
    <phoneticPr fontId="6"/>
  </si>
  <si>
    <t xml:space="preserve"> (3)　その他（新たな栽培技術の導入）</t>
    <phoneticPr fontId="6"/>
  </si>
  <si>
    <t xml:space="preserve"> (4)　直まき栽培の導入</t>
    <phoneticPr fontId="6"/>
  </si>
  <si>
    <t>【３】対象品目の生産のために使用した資材等</t>
    <rPh sb="3" eb="5">
      <t>タイショウ</t>
    </rPh>
    <rPh sb="5" eb="7">
      <t>ヒンモク</t>
    </rPh>
    <rPh sb="8" eb="10">
      <t>セイサン</t>
    </rPh>
    <rPh sb="14" eb="16">
      <t>シヨウ</t>
    </rPh>
    <rPh sb="18" eb="20">
      <t>シザイ</t>
    </rPh>
    <rPh sb="20" eb="21">
      <t>トウ</t>
    </rPh>
    <phoneticPr fontId="6"/>
  </si>
  <si>
    <t xml:space="preserve">  １　種苗費</t>
    <rPh sb="4" eb="7">
      <t>シュビョウヒ</t>
    </rPh>
    <phoneticPr fontId="6"/>
  </si>
  <si>
    <t>　　当年産の対象品目生産のために使用した種子及び苗について、黄色の欄に記入してください。</t>
    <rPh sb="2" eb="4">
      <t>トウネン</t>
    </rPh>
    <rPh sb="4" eb="5">
      <t>サン</t>
    </rPh>
    <rPh sb="10" eb="12">
      <t>セイサン</t>
    </rPh>
    <rPh sb="16" eb="18">
      <t>シヨウ</t>
    </rPh>
    <rPh sb="20" eb="22">
      <t>シュシ</t>
    </rPh>
    <rPh sb="22" eb="23">
      <t>オヨ</t>
    </rPh>
    <rPh sb="24" eb="25">
      <t>ナエ</t>
    </rPh>
    <phoneticPr fontId="6"/>
  </si>
  <si>
    <t xml:space="preserve"> 　 なお、内訳欄を利用してそれぞれの「計」の内訳を記入する場合は、その合計が「計」となるよ</t>
    <rPh sb="6" eb="8">
      <t>ウチワケ</t>
    </rPh>
    <rPh sb="8" eb="9">
      <t>ラン</t>
    </rPh>
    <rPh sb="10" eb="12">
      <t>リヨウ</t>
    </rPh>
    <rPh sb="20" eb="21">
      <t>ケイ</t>
    </rPh>
    <rPh sb="23" eb="25">
      <t>ウチワケ</t>
    </rPh>
    <rPh sb="30" eb="32">
      <t>バアイ</t>
    </rPh>
    <phoneticPr fontId="6"/>
  </si>
  <si>
    <t>　う記入してください。</t>
  </si>
  <si>
    <t>　(1)　種子</t>
    <phoneticPr fontId="6"/>
  </si>
  <si>
    <r>
      <t>　(1)　種子</t>
    </r>
    <r>
      <rPr>
        <sz val="12"/>
        <color rgb="FF000000"/>
        <rFont val="ＭＳ ゴシック"/>
        <family val="3"/>
        <charset val="128"/>
      </rPr>
      <t>（種いも）</t>
    </r>
    <rPh sb="5" eb="7">
      <t>シュシ</t>
    </rPh>
    <rPh sb="8" eb="9">
      <t>タネ</t>
    </rPh>
    <phoneticPr fontId="6"/>
  </si>
  <si>
    <t>品種名等</t>
    <rPh sb="0" eb="2">
      <t>ヒンシュ</t>
    </rPh>
    <rPh sb="2" eb="3">
      <t>メイ</t>
    </rPh>
    <rPh sb="3" eb="4">
      <t>トウ</t>
    </rPh>
    <phoneticPr fontId="6"/>
  </si>
  <si>
    <t>金　　額　（円）</t>
    <rPh sb="0" eb="1">
      <t>キン</t>
    </rPh>
    <rPh sb="3" eb="4">
      <t>ガク</t>
    </rPh>
    <rPh sb="6" eb="7">
      <t>エン</t>
    </rPh>
    <phoneticPr fontId="6"/>
  </si>
  <si>
    <t>購入</t>
    <rPh sb="0" eb="2">
      <t>コウニュウ</t>
    </rPh>
    <phoneticPr fontId="6"/>
  </si>
  <si>
    <t>（計）</t>
    <rPh sb="1" eb="2">
      <t>ケイ</t>
    </rPh>
    <phoneticPr fontId="6"/>
  </si>
  <si>
    <t>－</t>
    <phoneticPr fontId="6"/>
  </si>
  <si>
    <t>品種名等</t>
    <phoneticPr fontId="6"/>
  </si>
  <si>
    <t>種子（購入）計</t>
    <rPh sb="0" eb="2">
      <t>シュシ</t>
    </rPh>
    <rPh sb="3" eb="5">
      <t>コウニュウ</t>
    </rPh>
    <rPh sb="6" eb="7">
      <t>ケイ</t>
    </rPh>
    <phoneticPr fontId="6"/>
  </si>
  <si>
    <t>「自給」の単価を記入してください。</t>
    <rPh sb="1" eb="3">
      <t>ジキュウ</t>
    </rPh>
    <rPh sb="5" eb="7">
      <t>タンカ</t>
    </rPh>
    <rPh sb="8" eb="10">
      <t>キニュウ</t>
    </rPh>
    <phoneticPr fontId="6"/>
  </si>
  <si>
    <t>単価</t>
    <rPh sb="0" eb="2">
      <t>タンカ</t>
    </rPh>
    <phoneticPr fontId="6"/>
  </si>
  <si>
    <t>自給</t>
    <rPh sb="0" eb="2">
      <t>ジキュウ</t>
    </rPh>
    <phoneticPr fontId="6"/>
  </si>
  <si>
    <t>　(2)　苗</t>
    <phoneticPr fontId="6"/>
  </si>
  <si>
    <t>種子（自給）計</t>
    <rPh sb="0" eb="2">
      <t>シュシ</t>
    </rPh>
    <rPh sb="3" eb="5">
      <t>ジキュウ</t>
    </rPh>
    <rPh sb="6" eb="7">
      <t>ケイ</t>
    </rPh>
    <phoneticPr fontId="6"/>
  </si>
  <si>
    <t>　(2)　苗</t>
    <phoneticPr fontId="6"/>
  </si>
  <si>
    <t>　(2)　苗</t>
    <rPh sb="5" eb="6">
      <t>ナエ</t>
    </rPh>
    <phoneticPr fontId="6"/>
  </si>
  <si>
    <t>苗（購入）計</t>
    <rPh sb="0" eb="1">
      <t>ナエ</t>
    </rPh>
    <rPh sb="2" eb="4">
      <t>コウニュウ</t>
    </rPh>
    <rPh sb="5" eb="6">
      <t>ケイ</t>
    </rPh>
    <phoneticPr fontId="6"/>
  </si>
  <si>
    <t>「自給」の単価を記入してください。</t>
    <phoneticPr fontId="6"/>
  </si>
  <si>
    <t>品種名等</t>
    <phoneticPr fontId="6"/>
  </si>
  <si>
    <t>数量</t>
    <phoneticPr fontId="6"/>
  </si>
  <si>
    <t>単価</t>
    <phoneticPr fontId="6"/>
  </si>
  <si>
    <t>価額（円）</t>
    <phoneticPr fontId="6"/>
  </si>
  <si>
    <t>苗（自給）計</t>
    <rPh sb="0" eb="1">
      <t>ナエ</t>
    </rPh>
    <rPh sb="2" eb="4">
      <t>ジキュウ</t>
    </rPh>
    <rPh sb="5" eb="6">
      <t>ケイ</t>
    </rPh>
    <phoneticPr fontId="6"/>
  </si>
  <si>
    <t>種苗費（購入）計</t>
    <rPh sb="0" eb="2">
      <t>シュビョウ</t>
    </rPh>
    <rPh sb="2" eb="3">
      <t>ヒ</t>
    </rPh>
    <rPh sb="4" eb="6">
      <t>コウニュウ</t>
    </rPh>
    <rPh sb="7" eb="8">
      <t>ケイ</t>
    </rPh>
    <phoneticPr fontId="6"/>
  </si>
  <si>
    <t>種苗費（自給）計</t>
    <rPh sb="0" eb="2">
      <t>シュビョウ</t>
    </rPh>
    <rPh sb="4" eb="6">
      <t>ジキュウ</t>
    </rPh>
    <rPh sb="7" eb="8">
      <t>ケイ</t>
    </rPh>
    <phoneticPr fontId="6"/>
  </si>
  <si>
    <t>【職員記入欄】</t>
    <phoneticPr fontId="6"/>
  </si>
  <si>
    <t>２　肥料費</t>
    <rPh sb="2" eb="5">
      <t>ヒリョウヒ</t>
    </rPh>
    <phoneticPr fontId="6"/>
  </si>
  <si>
    <t xml:space="preserve">    当年産の対象品目生産のために使用した肥料について、黄色の欄に記</t>
    <rPh sb="4" eb="6">
      <t>トウネン</t>
    </rPh>
    <rPh sb="6" eb="7">
      <t>サン</t>
    </rPh>
    <rPh sb="8" eb="10">
      <t>タイショウ</t>
    </rPh>
    <rPh sb="10" eb="12">
      <t>ヒンモク</t>
    </rPh>
    <rPh sb="12" eb="14">
      <t>セイサン</t>
    </rPh>
    <rPh sb="18" eb="20">
      <t>シヨウ</t>
    </rPh>
    <rPh sb="22" eb="24">
      <t>ヒリョウ</t>
    </rPh>
    <phoneticPr fontId="6"/>
  </si>
  <si>
    <t>　入してください。</t>
    <phoneticPr fontId="6"/>
  </si>
  <si>
    <t xml:space="preserve"> 　 なお、内訳欄を利用して「計」の内訳を記入する場合は、その合計が</t>
    <rPh sb="6" eb="8">
      <t>ウチワケ</t>
    </rPh>
    <rPh sb="8" eb="9">
      <t>ラン</t>
    </rPh>
    <rPh sb="10" eb="12">
      <t>リヨウ</t>
    </rPh>
    <rPh sb="15" eb="16">
      <t>ケイ</t>
    </rPh>
    <rPh sb="18" eb="20">
      <t>ウチワケ</t>
    </rPh>
    <rPh sb="25" eb="27">
      <t>バアイ</t>
    </rPh>
    <phoneticPr fontId="6"/>
  </si>
  <si>
    <t>　「計」となるよう記入してください。</t>
    <phoneticPr fontId="6"/>
  </si>
  <si>
    <t>資材名等</t>
    <rPh sb="0" eb="3">
      <t>シザイメイ</t>
    </rPh>
    <rPh sb="3" eb="4">
      <t>トウ</t>
    </rPh>
    <phoneticPr fontId="6"/>
  </si>
  <si>
    <t>数　量</t>
    <rPh sb="0" eb="1">
      <t>カズ</t>
    </rPh>
    <rPh sb="2" eb="3">
      <t>リョウ</t>
    </rPh>
    <phoneticPr fontId="6"/>
  </si>
  <si>
    <t>金　 額　（円）</t>
    <rPh sb="0" eb="1">
      <t>キン</t>
    </rPh>
    <rPh sb="3" eb="4">
      <t>ガク</t>
    </rPh>
    <rPh sb="6" eb="7">
      <t>エン</t>
    </rPh>
    <phoneticPr fontId="6"/>
  </si>
  <si>
    <t>対象品目
負担割合
（％）</t>
    <rPh sb="5" eb="7">
      <t>フタン</t>
    </rPh>
    <rPh sb="7" eb="9">
      <t>ワリアイ</t>
    </rPh>
    <phoneticPr fontId="6"/>
  </si>
  <si>
    <t>備考欄</t>
    <rPh sb="0" eb="2">
      <t>ビコウ</t>
    </rPh>
    <rPh sb="2" eb="3">
      <t>ラン</t>
    </rPh>
    <phoneticPr fontId="6"/>
  </si>
  <si>
    <t>資材名等</t>
    <rPh sb="0" eb="2">
      <t>シザイ</t>
    </rPh>
    <phoneticPr fontId="6"/>
  </si>
  <si>
    <t>数量（㎏）</t>
    <rPh sb="0" eb="2">
      <t>スウリョウ</t>
    </rPh>
    <phoneticPr fontId="6"/>
  </si>
  <si>
    <t>単価
（円/kg）</t>
    <rPh sb="0" eb="2">
      <t>タンカ</t>
    </rPh>
    <phoneticPr fontId="6"/>
  </si>
  <si>
    <t>計</t>
    <rPh sb="0" eb="1">
      <t>ケイ</t>
    </rPh>
    <phoneticPr fontId="6"/>
  </si>
  <si>
    <t>－</t>
    <phoneticPr fontId="6"/>
  </si>
  <si>
    <t>肥料費（購入）計</t>
    <rPh sb="0" eb="2">
      <t>ヒリョウ</t>
    </rPh>
    <rPh sb="2" eb="3">
      <t>ヒ</t>
    </rPh>
    <rPh sb="4" eb="6">
      <t>コウニュウ</t>
    </rPh>
    <rPh sb="7" eb="8">
      <t>ケイ</t>
    </rPh>
    <phoneticPr fontId="6"/>
  </si>
  <si>
    <t>窒素質肥料</t>
    <rPh sb="0" eb="3">
      <t>チッソシツ</t>
    </rPh>
    <rPh sb="3" eb="5">
      <t>ヒリョウ</t>
    </rPh>
    <phoneticPr fontId="6"/>
  </si>
  <si>
    <t>窒素質肥料（計）</t>
    <phoneticPr fontId="6"/>
  </si>
  <si>
    <t>りん酸質肥料（計）</t>
    <rPh sb="2" eb="3">
      <t>サン</t>
    </rPh>
    <rPh sb="3" eb="4">
      <t>シツ</t>
    </rPh>
    <rPh sb="4" eb="6">
      <t>ヒリョウ</t>
    </rPh>
    <rPh sb="7" eb="8">
      <t>ケイ</t>
    </rPh>
    <phoneticPr fontId="6"/>
  </si>
  <si>
    <t>カリ質肥料（計）</t>
    <phoneticPr fontId="6"/>
  </si>
  <si>
    <t>けい酸質肥料（計）</t>
    <rPh sb="2" eb="3">
      <t>サン</t>
    </rPh>
    <rPh sb="3" eb="4">
      <t>シツ</t>
    </rPh>
    <rPh sb="4" eb="6">
      <t>ヒリョウ</t>
    </rPh>
    <rPh sb="7" eb="8">
      <t>ケイ</t>
    </rPh>
    <phoneticPr fontId="6"/>
  </si>
  <si>
    <t>炭酸カルシウム（計）</t>
    <rPh sb="0" eb="2">
      <t>タンサン</t>
    </rPh>
    <rPh sb="8" eb="9">
      <t>ケイ</t>
    </rPh>
    <phoneticPr fontId="6"/>
  </si>
  <si>
    <t>りん酸質肥料</t>
    <rPh sb="2" eb="4">
      <t>サンシツ</t>
    </rPh>
    <rPh sb="4" eb="6">
      <t>ヒリョウ</t>
    </rPh>
    <phoneticPr fontId="6"/>
  </si>
  <si>
    <t>複合肥料（計）</t>
    <rPh sb="0" eb="2">
      <t>フクゴウ</t>
    </rPh>
    <rPh sb="2" eb="4">
      <t>ヒリョウ</t>
    </rPh>
    <rPh sb="5" eb="6">
      <t>ケイ</t>
    </rPh>
    <phoneticPr fontId="6"/>
  </si>
  <si>
    <t>土壌改良資材</t>
    <rPh sb="0" eb="2">
      <t>ドジョウ</t>
    </rPh>
    <rPh sb="2" eb="4">
      <t>カイリョウ</t>
    </rPh>
    <rPh sb="4" eb="6">
      <t>シザイ</t>
    </rPh>
    <phoneticPr fontId="6"/>
  </si>
  <si>
    <t>たい肥・きゅう肥</t>
    <phoneticPr fontId="6"/>
  </si>
  <si>
    <t>その他</t>
    <rPh sb="2" eb="3">
      <t>ホカ</t>
    </rPh>
    <phoneticPr fontId="6"/>
  </si>
  <si>
    <t>カリ質肥料</t>
    <rPh sb="2" eb="3">
      <t>シツ</t>
    </rPh>
    <rPh sb="3" eb="5">
      <t>ヒリョウ</t>
    </rPh>
    <phoneticPr fontId="6"/>
  </si>
  <si>
    <t>けい酸質肥料</t>
    <rPh sb="2" eb="3">
      <t>サン</t>
    </rPh>
    <rPh sb="3" eb="4">
      <t>シツ</t>
    </rPh>
    <rPh sb="4" eb="6">
      <t>ヒリョウ</t>
    </rPh>
    <phoneticPr fontId="6"/>
  </si>
  <si>
    <t>炭酸カルシウム</t>
    <rPh sb="0" eb="2">
      <t>タンサン</t>
    </rPh>
    <phoneticPr fontId="6"/>
  </si>
  <si>
    <t>炭酸カルシウムには石灰を含みます。
なお、融雪剤として使用した分は「５諸材料費」に記入してください。</t>
    <rPh sb="21" eb="23">
      <t>ユウセツ</t>
    </rPh>
    <rPh sb="23" eb="24">
      <t>ザイ</t>
    </rPh>
    <rPh sb="27" eb="28">
      <t>シ</t>
    </rPh>
    <rPh sb="28" eb="29">
      <t>ヨウ</t>
    </rPh>
    <rPh sb="31" eb="32">
      <t>ブン</t>
    </rPh>
    <rPh sb="35" eb="36">
      <t>ショ</t>
    </rPh>
    <rPh sb="36" eb="37">
      <t>ザイ</t>
    </rPh>
    <rPh sb="37" eb="38">
      <t>リョウ</t>
    </rPh>
    <rPh sb="38" eb="39">
      <t>ヒ</t>
    </rPh>
    <phoneticPr fontId="6"/>
  </si>
  <si>
    <t>複合肥料</t>
    <rPh sb="0" eb="2">
      <t>フクゴウ</t>
    </rPh>
    <rPh sb="2" eb="4">
      <t>ヒリョウ</t>
    </rPh>
    <phoneticPr fontId="6"/>
  </si>
  <si>
    <t>微生物資材、液肥、農薬入り肥料、ペースト肥料、苦土質肥料、微量要素肥料、有機質肥料など</t>
    <phoneticPr fontId="6"/>
  </si>
  <si>
    <t>たい肥・きゅう肥</t>
    <rPh sb="2" eb="3">
      <t>ヒ</t>
    </rPh>
    <rPh sb="7" eb="8">
      <t>ヒ</t>
    </rPh>
    <phoneticPr fontId="6"/>
  </si>
  <si>
    <t>－</t>
    <phoneticPr fontId="6"/>
  </si>
  <si>
    <t xml:space="preserve">  　当年産の対象品目生産のために使用した肥料のうち、自家で生産した肥料について記入して</t>
    <phoneticPr fontId="6"/>
  </si>
  <si>
    <t xml:space="preserve">  ください。</t>
    <phoneticPr fontId="6"/>
  </si>
  <si>
    <t xml:space="preserve"> ２肥料費のうち、「自給」の単価を記入してください。</t>
    <rPh sb="2" eb="5">
      <t>ヒリョウヒ</t>
    </rPh>
    <rPh sb="10" eb="12">
      <t>ジキュウ</t>
    </rPh>
    <rPh sb="14" eb="16">
      <t>タンカ</t>
    </rPh>
    <rPh sb="17" eb="19">
      <t>キニュウ</t>
    </rPh>
    <phoneticPr fontId="6"/>
  </si>
  <si>
    <t>単価（円/kg）</t>
    <rPh sb="0" eb="2">
      <t>タンカ</t>
    </rPh>
    <phoneticPr fontId="6"/>
  </si>
  <si>
    <t>たい肥</t>
    <rPh sb="2" eb="3">
      <t>ヒ</t>
    </rPh>
    <phoneticPr fontId="6"/>
  </si>
  <si>
    <t>kg</t>
    <phoneticPr fontId="6"/>
  </si>
  <si>
    <t>きゅう肥</t>
    <rPh sb="3" eb="4">
      <t>ヒ</t>
    </rPh>
    <phoneticPr fontId="6"/>
  </si>
  <si>
    <t>kg</t>
    <phoneticPr fontId="6"/>
  </si>
  <si>
    <t>稲・麦わら</t>
    <rPh sb="0" eb="1">
      <t>イネ</t>
    </rPh>
    <rPh sb="2" eb="3">
      <t>ムギ</t>
    </rPh>
    <phoneticPr fontId="6"/>
  </si>
  <si>
    <t>注：稲・麦わらは、前作の収穫後にほ場に放置し、そのまま
　すき込んだ分を除いて記入してください。</t>
    <rPh sb="0" eb="1">
      <t>チュウ</t>
    </rPh>
    <rPh sb="2" eb="3">
      <t>イナ</t>
    </rPh>
    <rPh sb="4" eb="5">
      <t>ムギ</t>
    </rPh>
    <rPh sb="9" eb="11">
      <t>ゼンサク</t>
    </rPh>
    <rPh sb="12" eb="14">
      <t>シュウカク</t>
    </rPh>
    <rPh sb="14" eb="15">
      <t>ゴ</t>
    </rPh>
    <rPh sb="17" eb="18">
      <t>ジョウ</t>
    </rPh>
    <rPh sb="19" eb="21">
      <t>ホウチ</t>
    </rPh>
    <phoneticPr fontId="6"/>
  </si>
  <si>
    <t>肥料費（自給）計</t>
    <rPh sb="0" eb="2">
      <t>ヒリョウ</t>
    </rPh>
    <rPh sb="2" eb="3">
      <t>ヒ</t>
    </rPh>
    <rPh sb="4" eb="6">
      <t>ジキュウ</t>
    </rPh>
    <rPh sb="7" eb="8">
      <t>ケイ</t>
    </rPh>
    <phoneticPr fontId="6"/>
  </si>
  <si>
    <t>３　農業薬剤費</t>
    <rPh sb="2" eb="4">
      <t>ノウギョウ</t>
    </rPh>
    <rPh sb="4" eb="7">
      <t>ヤクザイヒ</t>
    </rPh>
    <phoneticPr fontId="6"/>
  </si>
  <si>
    <t>　  当年産の対象品目生産のために使用した農業薬剤について、黄色の「計」の欄に
　記入してください。
 　 なお、内訳欄を利用して「計」の内訳を記入する場合は、その合計が「計」とな
　るよう記入してください。</t>
    <rPh sb="3" eb="5">
      <t>トウネン</t>
    </rPh>
    <rPh sb="5" eb="6">
      <t>サン</t>
    </rPh>
    <rPh sb="7" eb="9">
      <t>タイショウ</t>
    </rPh>
    <rPh sb="9" eb="11">
      <t>ヒンモク</t>
    </rPh>
    <rPh sb="11" eb="13">
      <t>セイサン</t>
    </rPh>
    <rPh sb="17" eb="19">
      <t>シヨウ</t>
    </rPh>
    <rPh sb="21" eb="23">
      <t>ノウギョウ</t>
    </rPh>
    <rPh sb="23" eb="25">
      <t>ヤクザイ</t>
    </rPh>
    <rPh sb="30" eb="32">
      <t>キイロ</t>
    </rPh>
    <rPh sb="34" eb="35">
      <t>ケイ</t>
    </rPh>
    <rPh sb="61" eb="63">
      <t>リヨウ</t>
    </rPh>
    <rPh sb="66" eb="67">
      <t>ケイ</t>
    </rPh>
    <rPh sb="69" eb="71">
      <t>ウチワケ</t>
    </rPh>
    <rPh sb="76" eb="78">
      <t>バアイ</t>
    </rPh>
    <rPh sb="82" eb="84">
      <t>ゴウケイ</t>
    </rPh>
    <phoneticPr fontId="6"/>
  </si>
  <si>
    <t>金　　額 （円）</t>
    <rPh sb="0" eb="1">
      <t>キン</t>
    </rPh>
    <rPh sb="3" eb="4">
      <t>ガク</t>
    </rPh>
    <rPh sb="6" eb="7">
      <t>エン</t>
    </rPh>
    <phoneticPr fontId="6"/>
  </si>
  <si>
    <t>対象品目
負担割合
（％）</t>
    <rPh sb="0" eb="2">
      <t>タイショウ</t>
    </rPh>
    <rPh sb="2" eb="4">
      <t>ヒンモク</t>
    </rPh>
    <rPh sb="5" eb="7">
      <t>フタン</t>
    </rPh>
    <rPh sb="7" eb="9">
      <t>ワリアイ</t>
    </rPh>
    <phoneticPr fontId="6"/>
  </si>
  <si>
    <t>備考欄</t>
    <rPh sb="0" eb="3">
      <t>ビコウラン</t>
    </rPh>
    <phoneticPr fontId="6"/>
  </si>
  <si>
    <t>価額 （円）</t>
    <rPh sb="0" eb="2">
      <t>カガク</t>
    </rPh>
    <rPh sb="4" eb="5">
      <t>エン</t>
    </rPh>
    <phoneticPr fontId="6"/>
  </si>
  <si>
    <t>農業薬剤費計</t>
    <rPh sb="0" eb="2">
      <t>ノウギョウ</t>
    </rPh>
    <rPh sb="2" eb="5">
      <t>ヤクザイヒ</t>
    </rPh>
    <rPh sb="5" eb="6">
      <t>ケイ</t>
    </rPh>
    <phoneticPr fontId="6"/>
  </si>
  <si>
    <t>殺虫剤</t>
    <rPh sb="0" eb="3">
      <t>サッチュウザイ</t>
    </rPh>
    <phoneticPr fontId="6"/>
  </si>
  <si>
    <t>殺虫剤</t>
    <phoneticPr fontId="6"/>
  </si>
  <si>
    <t>殺菌剤</t>
    <rPh sb="0" eb="2">
      <t>サッキン</t>
    </rPh>
    <phoneticPr fontId="6"/>
  </si>
  <si>
    <t>殺虫殺菌剤</t>
    <rPh sb="2" eb="4">
      <t>サッキン</t>
    </rPh>
    <phoneticPr fontId="6"/>
  </si>
  <si>
    <t>除草剤</t>
    <rPh sb="0" eb="2">
      <t>ジョソウ</t>
    </rPh>
    <phoneticPr fontId="6"/>
  </si>
  <si>
    <t>殺菌剤</t>
    <rPh sb="0" eb="3">
      <t>サッキンザイ</t>
    </rPh>
    <phoneticPr fontId="6"/>
  </si>
  <si>
    <t>殺虫殺菌剤</t>
    <rPh sb="0" eb="2">
      <t>サッチュウ</t>
    </rPh>
    <rPh sb="2" eb="4">
      <t>サッキン</t>
    </rPh>
    <rPh sb="4" eb="5">
      <t>ザイ</t>
    </rPh>
    <phoneticPr fontId="6"/>
  </si>
  <si>
    <t>除草剤</t>
    <rPh sb="0" eb="3">
      <t>ジョソウザイ</t>
    </rPh>
    <phoneticPr fontId="6"/>
  </si>
  <si>
    <t>殺鼠剤、植物成長調整剤、展着剤、生産に使用する農具及び資材（育苗箱など）の殺菌・消毒剤など</t>
    <phoneticPr fontId="6"/>
  </si>
  <si>
    <t>注１：共同負担金（薬剤散布）及び航空防除賃は、農薬代も含め「６　賃借料及び料金」に記入
　　してください。
　２：除草剤等農薬入りの肥料は「２　肥料費（内訳欄に記入する場合は「その他」。）」に記
　　入してください。</t>
    <rPh sb="0" eb="1">
      <t>チュウ</t>
    </rPh>
    <rPh sb="3" eb="5">
      <t>キョウドウ</t>
    </rPh>
    <rPh sb="5" eb="8">
      <t>フタンキン</t>
    </rPh>
    <rPh sb="9" eb="11">
      <t>ヤクザイ</t>
    </rPh>
    <rPh sb="11" eb="13">
      <t>サンプ</t>
    </rPh>
    <rPh sb="14" eb="15">
      <t>オヨ</t>
    </rPh>
    <rPh sb="16" eb="18">
      <t>コウクウ</t>
    </rPh>
    <rPh sb="18" eb="20">
      <t>ボウジョ</t>
    </rPh>
    <rPh sb="20" eb="21">
      <t>チン</t>
    </rPh>
    <rPh sb="23" eb="26">
      <t>ノウヤクダイ</t>
    </rPh>
    <rPh sb="27" eb="28">
      <t>フク</t>
    </rPh>
    <rPh sb="32" eb="35">
      <t>チンシャクリョウ</t>
    </rPh>
    <rPh sb="35" eb="36">
      <t>オヨ</t>
    </rPh>
    <rPh sb="37" eb="39">
      <t>リョウキン</t>
    </rPh>
    <rPh sb="76" eb="79">
      <t>ウチワケラン</t>
    </rPh>
    <rPh sb="80" eb="82">
      <t>キニュウ</t>
    </rPh>
    <rPh sb="84" eb="86">
      <t>バアイ</t>
    </rPh>
    <rPh sb="90" eb="91">
      <t>タ</t>
    </rPh>
    <phoneticPr fontId="6"/>
  </si>
  <si>
    <t>４　光熱動力費</t>
    <rPh sb="2" eb="4">
      <t>コウネツ</t>
    </rPh>
    <rPh sb="4" eb="7">
      <t>ドウリョクヒ</t>
    </rPh>
    <phoneticPr fontId="6"/>
  </si>
  <si>
    <t xml:space="preserve">  　当年産の対象品目生産のために使用した光熱動力について、黄色の欄に記入してください。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1" eb="13">
      <t>セイサン</t>
    </rPh>
    <rPh sb="17" eb="19">
      <t>シヨウ</t>
    </rPh>
    <rPh sb="21" eb="23">
      <t>コウネツ</t>
    </rPh>
    <rPh sb="23" eb="25">
      <t>ドウリョク</t>
    </rPh>
    <rPh sb="30" eb="32">
      <t>キイロ</t>
    </rPh>
    <rPh sb="33" eb="34">
      <t>ラン</t>
    </rPh>
    <phoneticPr fontId="6"/>
  </si>
  <si>
    <t>数量</t>
    <rPh sb="0" eb="1">
      <t>カズ</t>
    </rPh>
    <rPh sb="1" eb="2">
      <t>リョウ</t>
    </rPh>
    <phoneticPr fontId="6"/>
  </si>
  <si>
    <t>金　額 （円）</t>
    <rPh sb="0" eb="1">
      <t>キン</t>
    </rPh>
    <rPh sb="2" eb="3">
      <t>ガク</t>
    </rPh>
    <rPh sb="5" eb="6">
      <t>エン</t>
    </rPh>
    <phoneticPr fontId="6"/>
  </si>
  <si>
    <t>価額（円）</t>
    <phoneticPr fontId="6"/>
  </si>
  <si>
    <t>購入（計）</t>
    <rPh sb="0" eb="2">
      <t>コウニュウ</t>
    </rPh>
    <rPh sb="3" eb="4">
      <t>ケイ</t>
    </rPh>
    <phoneticPr fontId="6"/>
  </si>
  <si>
    <t>-</t>
    <phoneticPr fontId="6"/>
  </si>
  <si>
    <t>光熱動力費（購入）計</t>
    <rPh sb="0" eb="2">
      <t>コウネツ</t>
    </rPh>
    <rPh sb="2" eb="5">
      <t>ドウリョクヒ</t>
    </rPh>
    <rPh sb="6" eb="8">
      <t>コウニュウ</t>
    </rPh>
    <rPh sb="9" eb="10">
      <t>ケイ</t>
    </rPh>
    <phoneticPr fontId="6"/>
  </si>
  <si>
    <t>動力燃料</t>
    <rPh sb="0" eb="2">
      <t>ドウリョク</t>
    </rPh>
    <rPh sb="2" eb="4">
      <t>ネンリョウ</t>
    </rPh>
    <phoneticPr fontId="6"/>
  </si>
  <si>
    <t>重油</t>
    <rPh sb="0" eb="2">
      <t>ジュウユ</t>
    </rPh>
    <phoneticPr fontId="6"/>
  </si>
  <si>
    <t>L</t>
    <phoneticPr fontId="6"/>
  </si>
  <si>
    <t>L</t>
  </si>
  <si>
    <t>円/L</t>
    <rPh sb="0" eb="1">
      <t>エン</t>
    </rPh>
    <phoneticPr fontId="6"/>
  </si>
  <si>
    <t>軽油</t>
    <rPh sb="0" eb="2">
      <t>ケイユ</t>
    </rPh>
    <phoneticPr fontId="6"/>
  </si>
  <si>
    <t>L</t>
    <phoneticPr fontId="6"/>
  </si>
  <si>
    <t>灯油</t>
    <rPh sb="0" eb="2">
      <t>トウユ</t>
    </rPh>
    <phoneticPr fontId="6"/>
  </si>
  <si>
    <t>L</t>
    <phoneticPr fontId="6"/>
  </si>
  <si>
    <t>ガソリン</t>
    <phoneticPr fontId="6"/>
  </si>
  <si>
    <t>ガソリン</t>
    <phoneticPr fontId="6"/>
  </si>
  <si>
    <t>潤滑油</t>
    <rPh sb="0" eb="3">
      <t>ジュンカツユ</t>
    </rPh>
    <phoneticPr fontId="6"/>
  </si>
  <si>
    <t>混合油</t>
    <rPh sb="0" eb="3">
      <t>コンゴウユ</t>
    </rPh>
    <phoneticPr fontId="6"/>
  </si>
  <si>
    <t>電力料</t>
    <rPh sb="0" eb="3">
      <t>デンリョクリョウ</t>
    </rPh>
    <phoneticPr fontId="6"/>
  </si>
  <si>
    <t>-</t>
    <phoneticPr fontId="6"/>
  </si>
  <si>
    <t>電力料</t>
    <phoneticPr fontId="6"/>
  </si>
  <si>
    <r>
      <t xml:space="preserve">その他
</t>
    </r>
    <r>
      <rPr>
        <sz val="9"/>
        <rFont val="ＭＳ ゴシック"/>
        <family val="3"/>
        <charset val="128"/>
      </rPr>
      <t>（水道料、木炭などの燃料）</t>
    </r>
    <rPh sb="2" eb="3">
      <t>タ</t>
    </rPh>
    <rPh sb="5" eb="8">
      <t>スイドウリョウ</t>
    </rPh>
    <rPh sb="9" eb="11">
      <t>モクタン</t>
    </rPh>
    <rPh sb="14" eb="16">
      <t>ネンリョウ</t>
    </rPh>
    <phoneticPr fontId="6"/>
  </si>
  <si>
    <r>
      <t xml:space="preserve">その他
</t>
    </r>
    <r>
      <rPr>
        <sz val="9"/>
        <rFont val="ＭＳ ゴシック"/>
        <family val="3"/>
        <charset val="128"/>
      </rPr>
      <t>（水道料、木炭などの燃料）</t>
    </r>
    <phoneticPr fontId="6"/>
  </si>
  <si>
    <t>光熱動力費（自給）計</t>
    <rPh sb="0" eb="2">
      <t>コウネツ</t>
    </rPh>
    <rPh sb="2" eb="5">
      <t>ドウリョクヒ</t>
    </rPh>
    <rPh sb="6" eb="8">
      <t>ジキュウ</t>
    </rPh>
    <rPh sb="9" eb="10">
      <t>ケイ</t>
    </rPh>
    <phoneticPr fontId="6"/>
  </si>
  <si>
    <t>【職員記入欄】</t>
    <rPh sb="3" eb="5">
      <t>キニュウ</t>
    </rPh>
    <phoneticPr fontId="6"/>
  </si>
  <si>
    <t>５　諸材料費</t>
    <rPh sb="2" eb="5">
      <t>ショザイリョウ</t>
    </rPh>
    <rPh sb="5" eb="6">
      <t>ヒ</t>
    </rPh>
    <phoneticPr fontId="6"/>
  </si>
  <si>
    <t>　  当年産の対象品目生産のために使用した諸材料について、黄色の欄に記入してください。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1" eb="13">
      <t>セイサン</t>
    </rPh>
    <rPh sb="17" eb="19">
      <t>シヨウ</t>
    </rPh>
    <rPh sb="21" eb="22">
      <t>ショ</t>
    </rPh>
    <rPh sb="22" eb="24">
      <t>ザイリョウ</t>
    </rPh>
    <rPh sb="29" eb="31">
      <t>キイロ</t>
    </rPh>
    <rPh sb="32" eb="33">
      <t>ラン</t>
    </rPh>
    <rPh sb="54" eb="56">
      <t>リヨウ</t>
    </rPh>
    <rPh sb="59" eb="60">
      <t>ケイ</t>
    </rPh>
    <rPh sb="62" eb="64">
      <t>ウチワケ</t>
    </rPh>
    <rPh sb="69" eb="71">
      <t>バアイ</t>
    </rPh>
    <rPh sb="75" eb="77">
      <t>ゴウケイ</t>
    </rPh>
    <rPh sb="79" eb="80">
      <t>ケイ</t>
    </rPh>
    <rPh sb="86" eb="87">
      <t>キ</t>
    </rPh>
    <rPh sb="89" eb="90">
      <t>ニュウ</t>
    </rPh>
    <phoneticPr fontId="6"/>
  </si>
  <si>
    <t>-</t>
    <phoneticPr fontId="6"/>
  </si>
  <si>
    <t>諸材料費（購入）計</t>
    <rPh sb="0" eb="1">
      <t>ショ</t>
    </rPh>
    <rPh sb="1" eb="4">
      <t>ザイリョウヒ</t>
    </rPh>
    <rPh sb="5" eb="7">
      <t>コウニュウ</t>
    </rPh>
    <rPh sb="8" eb="9">
      <t>ケイ</t>
    </rPh>
    <phoneticPr fontId="6"/>
  </si>
  <si>
    <t>育苗用土（素土含む。）</t>
    <rPh sb="0" eb="2">
      <t>イクビョウ</t>
    </rPh>
    <rPh sb="2" eb="4">
      <t>ヨウド</t>
    </rPh>
    <rPh sb="5" eb="6">
      <t>モト</t>
    </rPh>
    <rPh sb="6" eb="7">
      <t>ツチ</t>
    </rPh>
    <rPh sb="7" eb="8">
      <t>フク</t>
    </rPh>
    <phoneticPr fontId="6"/>
  </si>
  <si>
    <t>育苗用土（素土含む。）</t>
    <rPh sb="0" eb="2">
      <t>イクビョウ</t>
    </rPh>
    <rPh sb="2" eb="4">
      <t>ヨウド</t>
    </rPh>
    <rPh sb="5" eb="6">
      <t>ス</t>
    </rPh>
    <rPh sb="6" eb="7">
      <t>ツチ</t>
    </rPh>
    <rPh sb="7" eb="8">
      <t>フク</t>
    </rPh>
    <phoneticPr fontId="6"/>
  </si>
  <si>
    <t>kg</t>
    <phoneticPr fontId="6"/>
  </si>
  <si>
    <t>円/kg</t>
    <rPh sb="0" eb="1">
      <t>エン</t>
    </rPh>
    <phoneticPr fontId="6"/>
  </si>
  <si>
    <t>諸材料費（自給）計</t>
    <rPh sb="0" eb="1">
      <t>ショ</t>
    </rPh>
    <rPh sb="1" eb="4">
      <t>ザイリョウヒ</t>
    </rPh>
    <rPh sb="4" eb="6">
      <t>ジキュウ</t>
    </rPh>
    <rPh sb="8" eb="9">
      <t>ケイ</t>
    </rPh>
    <phoneticPr fontId="6"/>
  </si>
  <si>
    <t>６　賃借料及び料金</t>
    <rPh sb="2" eb="5">
      <t>チンシャクリョウ</t>
    </rPh>
    <rPh sb="5" eb="6">
      <t>オヨ</t>
    </rPh>
    <rPh sb="7" eb="9">
      <t>リョウキン</t>
    </rPh>
    <phoneticPr fontId="6"/>
  </si>
  <si>
    <t>　  当年産の対象品目生産のために支払った賃借料や料金について、黄色の「計」の欄に記入して
　ください。
　　なお、内訳欄を利用して「計」の内訳を記入する場合は、その合計が「計」となるよう記入し
　てください。</t>
    <phoneticPr fontId="6"/>
  </si>
  <si>
    <t>料金名等</t>
    <rPh sb="0" eb="2">
      <t>リョウキン</t>
    </rPh>
    <rPh sb="2" eb="3">
      <t>メイ</t>
    </rPh>
    <rPh sb="3" eb="4">
      <t>トウ</t>
    </rPh>
    <phoneticPr fontId="6"/>
  </si>
  <si>
    <t>料金名等</t>
    <phoneticPr fontId="6"/>
  </si>
  <si>
    <t>賃借料及び料金計</t>
    <rPh sb="7" eb="8">
      <t>ケイ</t>
    </rPh>
    <phoneticPr fontId="6"/>
  </si>
  <si>
    <t>共同負担金</t>
    <rPh sb="0" eb="2">
      <t>キョウドウ</t>
    </rPh>
    <rPh sb="2" eb="5">
      <t>フタンキン</t>
    </rPh>
    <phoneticPr fontId="6"/>
  </si>
  <si>
    <t>薬剤散布</t>
    <rPh sb="0" eb="2">
      <t>ヤクザイ</t>
    </rPh>
    <rPh sb="2" eb="4">
      <t>サンプ</t>
    </rPh>
    <phoneticPr fontId="6"/>
  </si>
  <si>
    <t>－</t>
    <phoneticPr fontId="6"/>
  </si>
  <si>
    <t>共同負担金</t>
    <rPh sb="0" eb="2">
      <t>キョウドウ</t>
    </rPh>
    <rPh sb="2" eb="4">
      <t>フタン</t>
    </rPh>
    <rPh sb="4" eb="5">
      <t>キン</t>
    </rPh>
    <phoneticPr fontId="6"/>
  </si>
  <si>
    <t>共同施設</t>
    <rPh sb="0" eb="2">
      <t>キョウドウ</t>
    </rPh>
    <rPh sb="2" eb="4">
      <t>シセツ</t>
    </rPh>
    <phoneticPr fontId="6"/>
  </si>
  <si>
    <t>共同苗代</t>
    <rPh sb="0" eb="2">
      <t>キョウドウ</t>
    </rPh>
    <rPh sb="2" eb="3">
      <t>ナエ</t>
    </rPh>
    <rPh sb="3" eb="4">
      <t>ダイ</t>
    </rPh>
    <phoneticPr fontId="6"/>
  </si>
  <si>
    <t>農機具借料</t>
    <rPh sb="0" eb="3">
      <t>ノウキグ</t>
    </rPh>
    <rPh sb="3" eb="5">
      <t>シャクリョウ</t>
    </rPh>
    <phoneticPr fontId="6"/>
  </si>
  <si>
    <t>航空防除賃</t>
    <rPh sb="0" eb="2">
      <t>コウクウ</t>
    </rPh>
    <rPh sb="2" eb="4">
      <t>ボウジョ</t>
    </rPh>
    <rPh sb="4" eb="5">
      <t>チン</t>
    </rPh>
    <phoneticPr fontId="6"/>
  </si>
  <si>
    <t>ａ</t>
    <phoneticPr fontId="6"/>
  </si>
  <si>
    <t>円/ａ</t>
    <rPh sb="0" eb="1">
      <t>エン</t>
    </rPh>
    <phoneticPr fontId="6"/>
  </si>
  <si>
    <t>賃耕料</t>
    <rPh sb="0" eb="1">
      <t>チン</t>
    </rPh>
    <rPh sb="1" eb="2">
      <t>コウ</t>
    </rPh>
    <rPh sb="2" eb="3">
      <t>リョウ</t>
    </rPh>
    <phoneticPr fontId="6"/>
  </si>
  <si>
    <t>ａ</t>
  </si>
  <si>
    <t>は種・定植料</t>
    <rPh sb="1" eb="2">
      <t>シュ</t>
    </rPh>
    <rPh sb="3" eb="5">
      <t>テイショク</t>
    </rPh>
    <rPh sb="5" eb="6">
      <t>リョウ</t>
    </rPh>
    <phoneticPr fontId="6"/>
  </si>
  <si>
    <t>ａ</t>
    <phoneticPr fontId="6"/>
  </si>
  <si>
    <t>は種・定植料（田植賃）</t>
    <rPh sb="1" eb="2">
      <t>シュ</t>
    </rPh>
    <rPh sb="3" eb="5">
      <t>テイショク</t>
    </rPh>
    <rPh sb="5" eb="6">
      <t>リョウ</t>
    </rPh>
    <rPh sb="7" eb="9">
      <t>タウエ</t>
    </rPh>
    <rPh sb="9" eb="10">
      <t>チン</t>
    </rPh>
    <phoneticPr fontId="6"/>
  </si>
  <si>
    <t>収穫請負わせ賃</t>
    <rPh sb="0" eb="2">
      <t>シュウカク</t>
    </rPh>
    <rPh sb="2" eb="3">
      <t>ウ</t>
    </rPh>
    <rPh sb="3" eb="4">
      <t>オ</t>
    </rPh>
    <rPh sb="6" eb="7">
      <t>チン</t>
    </rPh>
    <phoneticPr fontId="6"/>
  </si>
  <si>
    <t>乾燥調製料</t>
    <rPh sb="0" eb="2">
      <t>カンソウ</t>
    </rPh>
    <rPh sb="2" eb="5">
      <t>チョウセイリョウ</t>
    </rPh>
    <phoneticPr fontId="6"/>
  </si>
  <si>
    <t>乾燥調製料</t>
    <phoneticPr fontId="6"/>
  </si>
  <si>
    <t>kg</t>
  </si>
  <si>
    <t>もみすり・脱穀賃</t>
    <rPh sb="5" eb="7">
      <t>ダッコク</t>
    </rPh>
    <rPh sb="7" eb="8">
      <t>チン</t>
    </rPh>
    <phoneticPr fontId="6"/>
  </si>
  <si>
    <t>ライスセンター費</t>
    <rPh sb="7" eb="8">
      <t>ヒ</t>
    </rPh>
    <phoneticPr fontId="6"/>
  </si>
  <si>
    <t>カントリーエレベーター費</t>
    <rPh sb="11" eb="12">
      <t>ヒ</t>
    </rPh>
    <phoneticPr fontId="6"/>
  </si>
  <si>
    <t>貯蔵</t>
    <rPh sb="0" eb="2">
      <t>チョゾウ</t>
    </rPh>
    <phoneticPr fontId="6"/>
  </si>
  <si>
    <t>その他</t>
    <phoneticPr fontId="6"/>
  </si>
  <si>
    <t>－</t>
    <phoneticPr fontId="6"/>
  </si>
  <si>
    <t>その他</t>
    <phoneticPr fontId="6"/>
  </si>
  <si>
    <t>注１：　共同負担金（薬剤散布）及び航空防除賃は、農薬代も含めて記入してください。</t>
    <rPh sb="0" eb="1">
      <t>チュウ</t>
    </rPh>
    <rPh sb="4" eb="6">
      <t>キョウドウ</t>
    </rPh>
    <rPh sb="6" eb="9">
      <t>フタンキン</t>
    </rPh>
    <rPh sb="10" eb="12">
      <t>ヤクザイ</t>
    </rPh>
    <rPh sb="12" eb="14">
      <t>サンプ</t>
    </rPh>
    <rPh sb="15" eb="16">
      <t>オヨ</t>
    </rPh>
    <rPh sb="17" eb="19">
      <t>コウクウ</t>
    </rPh>
    <rPh sb="19" eb="21">
      <t>ボウジョ</t>
    </rPh>
    <rPh sb="21" eb="22">
      <t>チン</t>
    </rPh>
    <rPh sb="24" eb="27">
      <t>ノウヤクダイ</t>
    </rPh>
    <rPh sb="28" eb="29">
      <t>フク</t>
    </rPh>
    <phoneticPr fontId="6"/>
  </si>
  <si>
    <t xml:space="preserve">  ２：　乾燥調製施設等に委託しており、その委託料金に包装荷造り費が含まれる場合は、包装荷造り費
　　　を除いて記入してください。</t>
    <rPh sb="5" eb="7">
      <t>カンソウ</t>
    </rPh>
    <rPh sb="7" eb="9">
      <t>チョウセイ</t>
    </rPh>
    <rPh sb="9" eb="11">
      <t>シセツ</t>
    </rPh>
    <phoneticPr fontId="6"/>
  </si>
  <si>
    <t>【４】物件税及び公課諸負担</t>
    <rPh sb="3" eb="5">
      <t>ブッケン</t>
    </rPh>
    <rPh sb="5" eb="6">
      <t>ゼイ</t>
    </rPh>
    <rPh sb="6" eb="7">
      <t>オヨ</t>
    </rPh>
    <rPh sb="8" eb="10">
      <t>コウカ</t>
    </rPh>
    <rPh sb="10" eb="11">
      <t>ショ</t>
    </rPh>
    <rPh sb="11" eb="13">
      <t>フタン</t>
    </rPh>
    <phoneticPr fontId="6"/>
  </si>
  <si>
    <t>１　物件税</t>
    <rPh sb="2" eb="4">
      <t>ブッケン</t>
    </rPh>
    <rPh sb="4" eb="5">
      <t>ゼイ</t>
    </rPh>
    <phoneticPr fontId="6"/>
  </si>
  <si>
    <t>　　１年間に負担した対象品目生産に関係する物件税について、黄色の「計」の欄に記入してください。</t>
    <rPh sb="3" eb="5">
      <t>ネンカン</t>
    </rPh>
    <rPh sb="6" eb="8">
      <t>フタン</t>
    </rPh>
    <rPh sb="17" eb="19">
      <t>カンケイ</t>
    </rPh>
    <rPh sb="29" eb="31">
      <t>キイロ</t>
    </rPh>
    <rPh sb="33" eb="34">
      <t>ケイ</t>
    </rPh>
    <rPh sb="36" eb="37">
      <t>ラン</t>
    </rPh>
    <phoneticPr fontId="6"/>
  </si>
  <si>
    <t>　　なお、内訳欄を利用して「計」の内訳を記入する場合は、その合計が「計」となるよう記入してくださ</t>
    <phoneticPr fontId="6"/>
  </si>
  <si>
    <t>　い。</t>
    <phoneticPr fontId="6"/>
  </si>
  <si>
    <t>価額（円）</t>
    <phoneticPr fontId="6"/>
  </si>
  <si>
    <t>物件税計</t>
    <rPh sb="0" eb="2">
      <t>ブッケン</t>
    </rPh>
    <rPh sb="2" eb="3">
      <t>ゼイ</t>
    </rPh>
    <rPh sb="3" eb="4">
      <t>ケイ</t>
    </rPh>
    <phoneticPr fontId="6"/>
  </si>
  <si>
    <t>固定資産税（建物）</t>
    <rPh sb="0" eb="5">
      <t>コテイシサンゼイ</t>
    </rPh>
    <rPh sb="6" eb="8">
      <t>タテモノ</t>
    </rPh>
    <phoneticPr fontId="6"/>
  </si>
  <si>
    <t>固定資産税（農機具）</t>
    <rPh sb="0" eb="5">
      <t>コテイシサンゼイ</t>
    </rPh>
    <rPh sb="6" eb="9">
      <t>ノウキグ</t>
    </rPh>
    <phoneticPr fontId="6"/>
  </si>
  <si>
    <t>不動産取得税
（土地以外）</t>
    <rPh sb="0" eb="3">
      <t>フドウサン</t>
    </rPh>
    <rPh sb="3" eb="6">
      <t>シュトクゼイ</t>
    </rPh>
    <rPh sb="8" eb="10">
      <t>トチ</t>
    </rPh>
    <rPh sb="10" eb="12">
      <t>イガイ</t>
    </rPh>
    <phoneticPr fontId="6"/>
  </si>
  <si>
    <t>自動車取得税</t>
    <rPh sb="0" eb="3">
      <t>ジドウシャ</t>
    </rPh>
    <rPh sb="3" eb="6">
      <t>シュトクゼイ</t>
    </rPh>
    <phoneticPr fontId="6"/>
  </si>
  <si>
    <t>水利地益税</t>
    <rPh sb="0" eb="2">
      <t>スイリ</t>
    </rPh>
    <rPh sb="2" eb="4">
      <t>チエキ</t>
    </rPh>
    <rPh sb="4" eb="5">
      <t>ゼイ</t>
    </rPh>
    <phoneticPr fontId="6"/>
  </si>
  <si>
    <t>都市計画税
（土地以外）</t>
    <rPh sb="0" eb="2">
      <t>トシ</t>
    </rPh>
    <rPh sb="2" eb="4">
      <t>ケイカク</t>
    </rPh>
    <rPh sb="4" eb="5">
      <t>ゼイ</t>
    </rPh>
    <rPh sb="7" eb="9">
      <t>トチ</t>
    </rPh>
    <rPh sb="9" eb="11">
      <t>イガイ</t>
    </rPh>
    <phoneticPr fontId="6"/>
  </si>
  <si>
    <t>共同施設税</t>
    <rPh sb="0" eb="2">
      <t>キョウドウ</t>
    </rPh>
    <rPh sb="2" eb="4">
      <t>シセツ</t>
    </rPh>
    <rPh sb="4" eb="5">
      <t>ゼイ</t>
    </rPh>
    <phoneticPr fontId="6"/>
  </si>
  <si>
    <t>注：固定資産税、不動産取得税及び都市計画税は土地に係るもの
　を除いて記入してください。</t>
    <rPh sb="0" eb="1">
      <t>チュウ</t>
    </rPh>
    <phoneticPr fontId="6"/>
  </si>
  <si>
    <t>自動車重量税</t>
    <rPh sb="0" eb="3">
      <t>ジドウシャ</t>
    </rPh>
    <rPh sb="3" eb="6">
      <t>ジュウリョウゼイ</t>
    </rPh>
    <phoneticPr fontId="6"/>
  </si>
  <si>
    <t>自動車税</t>
    <rPh sb="0" eb="4">
      <t>ジドウシャゼイ</t>
    </rPh>
    <phoneticPr fontId="6"/>
  </si>
  <si>
    <t>軽自動車税</t>
    <rPh sb="0" eb="4">
      <t>ケイジドウシャ</t>
    </rPh>
    <rPh sb="4" eb="5">
      <t>ゼイ</t>
    </rPh>
    <phoneticPr fontId="6"/>
  </si>
  <si>
    <t>２　公課諸負担</t>
    <rPh sb="2" eb="4">
      <t>コウカ</t>
    </rPh>
    <rPh sb="4" eb="5">
      <t>ショ</t>
    </rPh>
    <rPh sb="5" eb="7">
      <t>フタン</t>
    </rPh>
    <phoneticPr fontId="6"/>
  </si>
  <si>
    <t xml:space="preserve"> 　 １年間に負担した対象品目生産に関係する公課諸負担について、黄色の「計」の欄に記入してください。</t>
    <rPh sb="4" eb="6">
      <t>ネンカン</t>
    </rPh>
    <rPh sb="7" eb="9">
      <t>フタン</t>
    </rPh>
    <rPh sb="18" eb="20">
      <t>カンケイ</t>
    </rPh>
    <rPh sb="22" eb="24">
      <t>コウカ</t>
    </rPh>
    <rPh sb="24" eb="25">
      <t>ショ</t>
    </rPh>
    <rPh sb="25" eb="27">
      <t>フタン</t>
    </rPh>
    <phoneticPr fontId="6"/>
  </si>
  <si>
    <t>　　なお、内訳欄を利用して「計」の内訳を記入する場合は、その合計が「計」となるよう記入してくださ</t>
    <phoneticPr fontId="6"/>
  </si>
  <si>
    <t xml:space="preserve">　い。
</t>
    <phoneticPr fontId="6"/>
  </si>
  <si>
    <t xml:space="preserve"> （２）公課諸負担</t>
    <rPh sb="4" eb="9">
      <t>コウカショフタン</t>
    </rPh>
    <phoneticPr fontId="6"/>
  </si>
  <si>
    <t>公課諸負担計</t>
    <rPh sb="0" eb="2">
      <t>コウカ</t>
    </rPh>
    <rPh sb="2" eb="3">
      <t>ショ</t>
    </rPh>
    <rPh sb="3" eb="5">
      <t>フタン</t>
    </rPh>
    <rPh sb="5" eb="6">
      <t>ケイ</t>
    </rPh>
    <phoneticPr fontId="6"/>
  </si>
  <si>
    <r>
      <t xml:space="preserve">集落協議会費
</t>
    </r>
    <r>
      <rPr>
        <sz val="10"/>
        <rFont val="ＭＳ ゴシック"/>
        <family val="3"/>
        <charset val="128"/>
      </rPr>
      <t>（地域集落等の会費）</t>
    </r>
    <rPh sb="0" eb="2">
      <t>シュウラク</t>
    </rPh>
    <rPh sb="2" eb="4">
      <t>キョウギ</t>
    </rPh>
    <rPh sb="4" eb="6">
      <t>カイヒ</t>
    </rPh>
    <rPh sb="8" eb="10">
      <t>チイキ</t>
    </rPh>
    <rPh sb="10" eb="12">
      <t>シュウラク</t>
    </rPh>
    <rPh sb="12" eb="13">
      <t>トウ</t>
    </rPh>
    <rPh sb="14" eb="16">
      <t>カイヒ</t>
    </rPh>
    <phoneticPr fontId="6"/>
  </si>
  <si>
    <t>集落協議会費
（地域集落等の会費）</t>
    <rPh sb="0" eb="2">
      <t>シュウラク</t>
    </rPh>
    <rPh sb="2" eb="4">
      <t>キョウギ</t>
    </rPh>
    <rPh sb="4" eb="6">
      <t>カイヒ</t>
    </rPh>
    <rPh sb="8" eb="10">
      <t>チイキ</t>
    </rPh>
    <rPh sb="10" eb="12">
      <t>シュウラク</t>
    </rPh>
    <rPh sb="12" eb="13">
      <t>トウ</t>
    </rPh>
    <rPh sb="14" eb="16">
      <t>カイヒ</t>
    </rPh>
    <phoneticPr fontId="6"/>
  </si>
  <si>
    <t>農業協同組合費</t>
    <rPh sb="0" eb="2">
      <t>ノウギョウ</t>
    </rPh>
    <rPh sb="2" eb="4">
      <t>キョウドウ</t>
    </rPh>
    <rPh sb="4" eb="7">
      <t>クミアイヒ</t>
    </rPh>
    <phoneticPr fontId="6"/>
  </si>
  <si>
    <r>
      <t xml:space="preserve">農事実行組合費
</t>
    </r>
    <r>
      <rPr>
        <sz val="10"/>
        <rFont val="ＭＳ ゴシック"/>
        <family val="3"/>
        <charset val="128"/>
      </rPr>
      <t>（各種部会費）</t>
    </r>
    <rPh sb="0" eb="2">
      <t>ノウジ</t>
    </rPh>
    <rPh sb="2" eb="4">
      <t>ジッコウ</t>
    </rPh>
    <rPh sb="4" eb="7">
      <t>クミアイヒ</t>
    </rPh>
    <rPh sb="9" eb="11">
      <t>カクシュ</t>
    </rPh>
    <rPh sb="11" eb="13">
      <t>ブカイ</t>
    </rPh>
    <rPh sb="13" eb="14">
      <t>ヒ</t>
    </rPh>
    <phoneticPr fontId="6"/>
  </si>
  <si>
    <t>農事実行組合費
（各種部会費）</t>
    <rPh sb="0" eb="2">
      <t>ノウジ</t>
    </rPh>
    <rPh sb="2" eb="4">
      <t>ジッコウ</t>
    </rPh>
    <rPh sb="4" eb="7">
      <t>クミアイヒ</t>
    </rPh>
    <rPh sb="9" eb="11">
      <t>カクシュ</t>
    </rPh>
    <rPh sb="11" eb="13">
      <t>ブカイ</t>
    </rPh>
    <rPh sb="13" eb="14">
      <t>ヒ</t>
    </rPh>
    <phoneticPr fontId="6"/>
  </si>
  <si>
    <t>農業共済組合賦課金</t>
    <rPh sb="0" eb="2">
      <t>ノウギョウ</t>
    </rPh>
    <rPh sb="2" eb="4">
      <t>キョウサイ</t>
    </rPh>
    <rPh sb="4" eb="6">
      <t>クミアイ</t>
    </rPh>
    <rPh sb="6" eb="9">
      <t>フカキン</t>
    </rPh>
    <phoneticPr fontId="6"/>
  </si>
  <si>
    <t>自賠責保険</t>
    <rPh sb="0" eb="3">
      <t>ジバイセキ</t>
    </rPh>
    <rPh sb="3" eb="5">
      <t>ホケン</t>
    </rPh>
    <phoneticPr fontId="6"/>
  </si>
  <si>
    <t>物件税及び公課諸負担計</t>
    <rPh sb="0" eb="2">
      <t>ブッケン</t>
    </rPh>
    <rPh sb="2" eb="3">
      <t>ゼイ</t>
    </rPh>
    <rPh sb="3" eb="4">
      <t>オヨ</t>
    </rPh>
    <rPh sb="5" eb="7">
      <t>コウカ</t>
    </rPh>
    <rPh sb="7" eb="8">
      <t>ショ</t>
    </rPh>
    <rPh sb="8" eb="10">
      <t>フタン</t>
    </rPh>
    <rPh sb="10" eb="11">
      <t>ケイ</t>
    </rPh>
    <phoneticPr fontId="6"/>
  </si>
  <si>
    <t>【５】土地改良及び水利費</t>
    <rPh sb="3" eb="5">
      <t>トチ</t>
    </rPh>
    <rPh sb="5" eb="7">
      <t>カイリョウ</t>
    </rPh>
    <rPh sb="7" eb="8">
      <t>オヨ</t>
    </rPh>
    <rPh sb="9" eb="11">
      <t>スイリ</t>
    </rPh>
    <rPh sb="11" eb="12">
      <t>ヒ</t>
    </rPh>
    <phoneticPr fontId="6"/>
  </si>
  <si>
    <t xml:space="preserve"> 　 当年産の対象品目生産のために負担した土地改良区費及び水利費等について、黄色の欄に記入してください。</t>
    <rPh sb="3" eb="5">
      <t>トウネン</t>
    </rPh>
    <rPh sb="5" eb="6">
      <t>サン</t>
    </rPh>
    <rPh sb="17" eb="19">
      <t>フタン</t>
    </rPh>
    <rPh sb="21" eb="23">
      <t>トチ</t>
    </rPh>
    <rPh sb="23" eb="25">
      <t>カイリョウ</t>
    </rPh>
    <rPh sb="25" eb="27">
      <t>クヒ</t>
    </rPh>
    <rPh sb="27" eb="28">
      <t>オヨ</t>
    </rPh>
    <rPh sb="29" eb="31">
      <t>スイリ</t>
    </rPh>
    <rPh sb="31" eb="32">
      <t>ヒ</t>
    </rPh>
    <rPh sb="32" eb="33">
      <t>トウ</t>
    </rPh>
    <rPh sb="38" eb="40">
      <t>キイロ</t>
    </rPh>
    <rPh sb="41" eb="42">
      <t>ラン</t>
    </rPh>
    <phoneticPr fontId="6"/>
  </si>
  <si>
    <t>　　なお、内訳欄を利用して「計」の内訳を記入する場合は、その合計が「計」となるよう記入してください。</t>
    <phoneticPr fontId="6"/>
  </si>
  <si>
    <t>　  また、土地改良区費については、事業種類別の負担金額を記入してください。</t>
    <rPh sb="6" eb="8">
      <t>トチ</t>
    </rPh>
    <rPh sb="8" eb="10">
      <t>カイリョウ</t>
    </rPh>
    <rPh sb="10" eb="12">
      <t>クヒ</t>
    </rPh>
    <rPh sb="18" eb="20">
      <t>ジギョウ</t>
    </rPh>
    <rPh sb="20" eb="22">
      <t>シュルイ</t>
    </rPh>
    <rPh sb="22" eb="23">
      <t>ベツ</t>
    </rPh>
    <rPh sb="24" eb="27">
      <t>フタンキン</t>
    </rPh>
    <rPh sb="27" eb="28">
      <t>ガク</t>
    </rPh>
    <phoneticPr fontId="6"/>
  </si>
  <si>
    <t>１　土地改良区費</t>
    <rPh sb="2" eb="4">
      <t>トチ</t>
    </rPh>
    <rPh sb="4" eb="6">
      <t>カイリョウ</t>
    </rPh>
    <rPh sb="6" eb="8">
      <t>クヒ</t>
    </rPh>
    <phoneticPr fontId="6"/>
  </si>
  <si>
    <t>事業種類</t>
    <rPh sb="0" eb="2">
      <t>ジギョウ</t>
    </rPh>
    <rPh sb="2" eb="4">
      <t>シュルイ</t>
    </rPh>
    <phoneticPr fontId="6"/>
  </si>
  <si>
    <t>対象品目作付ほ場負担金額（円）</t>
    <rPh sb="4" eb="6">
      <t>サクツケ</t>
    </rPh>
    <rPh sb="7" eb="8">
      <t>ジョウ</t>
    </rPh>
    <rPh sb="8" eb="10">
      <t>フタン</t>
    </rPh>
    <rPh sb="10" eb="12">
      <t>キンガク</t>
    </rPh>
    <rPh sb="13" eb="14">
      <t>エン</t>
    </rPh>
    <phoneticPr fontId="6"/>
  </si>
  <si>
    <t>価額（円）</t>
    <rPh sb="0" eb="2">
      <t>カガク</t>
    </rPh>
    <phoneticPr fontId="6"/>
  </si>
  <si>
    <t>維持負担金</t>
    <phoneticPr fontId="6"/>
  </si>
  <si>
    <t>償還金</t>
    <phoneticPr fontId="6"/>
  </si>
  <si>
    <t>ほ場整備事業</t>
    <rPh sb="1" eb="2">
      <t>ジョウ</t>
    </rPh>
    <rPh sb="2" eb="4">
      <t>セイビ</t>
    </rPh>
    <rPh sb="4" eb="6">
      <t>ジギョウ</t>
    </rPh>
    <phoneticPr fontId="6"/>
  </si>
  <si>
    <t>農地開発事業</t>
    <rPh sb="0" eb="2">
      <t>ノウチ</t>
    </rPh>
    <rPh sb="2" eb="4">
      <t>カイハツ</t>
    </rPh>
    <rPh sb="4" eb="6">
      <t>ジギョウ</t>
    </rPh>
    <phoneticPr fontId="6"/>
  </si>
  <si>
    <t>かんがい排水事業</t>
    <rPh sb="4" eb="6">
      <t>ハイスイ</t>
    </rPh>
    <rPh sb="6" eb="8">
      <t>ジギョウ</t>
    </rPh>
    <phoneticPr fontId="6"/>
  </si>
  <si>
    <t>農道整備事業</t>
    <rPh sb="0" eb="2">
      <t>ノウドウ</t>
    </rPh>
    <rPh sb="2" eb="4">
      <t>セイビ</t>
    </rPh>
    <rPh sb="4" eb="6">
      <t>ジギョウ</t>
    </rPh>
    <phoneticPr fontId="6"/>
  </si>
  <si>
    <t>その他（整地、表土
扱いのない事業）</t>
    <rPh sb="2" eb="3">
      <t>タ</t>
    </rPh>
    <rPh sb="4" eb="6">
      <t>セイチ</t>
    </rPh>
    <rPh sb="7" eb="9">
      <t>ヒョウド</t>
    </rPh>
    <rPh sb="10" eb="11">
      <t>アツカ</t>
    </rPh>
    <rPh sb="15" eb="17">
      <t>ジギョウ</t>
    </rPh>
    <phoneticPr fontId="6"/>
  </si>
  <si>
    <t>２　水利費等</t>
    <rPh sb="2" eb="5">
      <t>スイリヒ</t>
    </rPh>
    <rPh sb="5" eb="6">
      <t>トウ</t>
    </rPh>
    <phoneticPr fontId="6"/>
  </si>
  <si>
    <t>費用名</t>
    <rPh sb="0" eb="2">
      <t>ヒヨウ</t>
    </rPh>
    <rPh sb="2" eb="3">
      <t>メイ</t>
    </rPh>
    <phoneticPr fontId="6"/>
  </si>
  <si>
    <t>対象品目作付ほ場
負担金額（円）</t>
    <rPh sb="4" eb="6">
      <t>サクツケ</t>
    </rPh>
    <rPh sb="7" eb="8">
      <t>ジョウ</t>
    </rPh>
    <rPh sb="9" eb="11">
      <t>フタン</t>
    </rPh>
    <rPh sb="11" eb="12">
      <t>キン</t>
    </rPh>
    <rPh sb="12" eb="13">
      <t>ガク</t>
    </rPh>
    <rPh sb="14" eb="15">
      <t>エン</t>
    </rPh>
    <phoneticPr fontId="6"/>
  </si>
  <si>
    <t>水利に係る費用計</t>
    <rPh sb="0" eb="2">
      <t>スイリ</t>
    </rPh>
    <rPh sb="3" eb="4">
      <t>カカ</t>
    </rPh>
    <rPh sb="5" eb="7">
      <t>ヒヨウ</t>
    </rPh>
    <rPh sb="7" eb="8">
      <t>ケイ</t>
    </rPh>
    <phoneticPr fontId="6"/>
  </si>
  <si>
    <t>水利組合費</t>
    <rPh sb="0" eb="2">
      <t>スイリ</t>
    </rPh>
    <rPh sb="2" eb="4">
      <t>クミアイ</t>
    </rPh>
    <rPh sb="4" eb="5">
      <t>ヒ</t>
    </rPh>
    <phoneticPr fontId="6"/>
  </si>
  <si>
    <t>揚水ポンプ組合費</t>
    <rPh sb="0" eb="2">
      <t>ヨウスイ</t>
    </rPh>
    <rPh sb="5" eb="7">
      <t>クミアイ</t>
    </rPh>
    <rPh sb="7" eb="8">
      <t>ヒ</t>
    </rPh>
    <phoneticPr fontId="6"/>
  </si>
  <si>
    <t>土地改良及び水利費計</t>
    <rPh sb="0" eb="2">
      <t>トチ</t>
    </rPh>
    <rPh sb="2" eb="4">
      <t>カイリョウ</t>
    </rPh>
    <rPh sb="4" eb="5">
      <t>オヨ</t>
    </rPh>
    <rPh sb="6" eb="8">
      <t>スイリ</t>
    </rPh>
    <rPh sb="8" eb="9">
      <t>ヒ</t>
    </rPh>
    <rPh sb="9" eb="10">
      <t>ケイ</t>
    </rPh>
    <phoneticPr fontId="6"/>
  </si>
  <si>
    <t>【６】借入金（買掛未払金を含む。）及び支払利子</t>
    <rPh sb="3" eb="6">
      <t>カリイレキン</t>
    </rPh>
    <rPh sb="7" eb="8">
      <t>カ</t>
    </rPh>
    <rPh sb="8" eb="9">
      <t>カ</t>
    </rPh>
    <rPh sb="9" eb="11">
      <t>ミバラ</t>
    </rPh>
    <rPh sb="11" eb="12">
      <t>キン</t>
    </rPh>
    <rPh sb="13" eb="14">
      <t>フク</t>
    </rPh>
    <rPh sb="17" eb="18">
      <t>オヨ</t>
    </rPh>
    <rPh sb="19" eb="21">
      <t>シハライ</t>
    </rPh>
    <rPh sb="21" eb="23">
      <t>リシ</t>
    </rPh>
    <phoneticPr fontId="6"/>
  </si>
  <si>
    <t>　  当年産の対象品目生産のための借入金及び支払利子につ</t>
    <rPh sb="3" eb="5">
      <t>トウネン</t>
    </rPh>
    <rPh sb="5" eb="6">
      <t>サン</t>
    </rPh>
    <rPh sb="11" eb="13">
      <t>セイサン</t>
    </rPh>
    <rPh sb="17" eb="19">
      <t>カリイレ</t>
    </rPh>
    <rPh sb="19" eb="20">
      <t>キン</t>
    </rPh>
    <rPh sb="20" eb="21">
      <t>オヨ</t>
    </rPh>
    <rPh sb="22" eb="24">
      <t>シハライ</t>
    </rPh>
    <rPh sb="24" eb="26">
      <t>リシ</t>
    </rPh>
    <phoneticPr fontId="6"/>
  </si>
  <si>
    <t>　いて、黄色の「計」の欄に記入してください。</t>
    <rPh sb="8" eb="9">
      <t>ケイ</t>
    </rPh>
    <phoneticPr fontId="6"/>
  </si>
  <si>
    <t xml:space="preserve"> 　 なお、内訳欄を利用して「計」の内訳を記入する場合は、その合計が「計」とな</t>
    <rPh sb="6" eb="8">
      <t>ウチワケ</t>
    </rPh>
    <rPh sb="8" eb="9">
      <t>ラン</t>
    </rPh>
    <rPh sb="10" eb="12">
      <t>リヨウ</t>
    </rPh>
    <rPh sb="15" eb="16">
      <t>ケイ</t>
    </rPh>
    <rPh sb="18" eb="20">
      <t>ウチワケ</t>
    </rPh>
    <rPh sb="25" eb="27">
      <t>バアイ</t>
    </rPh>
    <phoneticPr fontId="6"/>
  </si>
  <si>
    <t>　るよう記入してください。</t>
    <phoneticPr fontId="6"/>
  </si>
  <si>
    <t>資金名（用途）</t>
    <rPh sb="0" eb="1">
      <t>シ</t>
    </rPh>
    <rPh sb="1" eb="2">
      <t>キン</t>
    </rPh>
    <rPh sb="2" eb="3">
      <t>メイ</t>
    </rPh>
    <rPh sb="4" eb="6">
      <t>ヨウト</t>
    </rPh>
    <phoneticPr fontId="6"/>
  </si>
  <si>
    <t>調査開始時
未償還残高（円）</t>
    <rPh sb="0" eb="2">
      <t>チョウサ</t>
    </rPh>
    <rPh sb="2" eb="5">
      <t>カイシジ</t>
    </rPh>
    <rPh sb="6" eb="9">
      <t>ミショウカン</t>
    </rPh>
    <rPh sb="9" eb="11">
      <t>ザンダカ</t>
    </rPh>
    <rPh sb="12" eb="13">
      <t>エン</t>
    </rPh>
    <phoneticPr fontId="6"/>
  </si>
  <si>
    <t>支払利子額（円）</t>
    <rPh sb="0" eb="2">
      <t>シハライ</t>
    </rPh>
    <rPh sb="2" eb="4">
      <t>リシ</t>
    </rPh>
    <rPh sb="4" eb="5">
      <t>ガク</t>
    </rPh>
    <rPh sb="6" eb="7">
      <t>エン</t>
    </rPh>
    <phoneticPr fontId="6"/>
  </si>
  <si>
    <t>短期借入金</t>
    <rPh sb="0" eb="2">
      <t>タンキ</t>
    </rPh>
    <rPh sb="2" eb="4">
      <t>カリイレ</t>
    </rPh>
    <rPh sb="4" eb="5">
      <t>キン</t>
    </rPh>
    <phoneticPr fontId="6"/>
  </si>
  <si>
    <t>長期借入金</t>
    <rPh sb="0" eb="2">
      <t>チョウキ</t>
    </rPh>
    <rPh sb="2" eb="4">
      <t>カリイレ</t>
    </rPh>
    <rPh sb="4" eb="5">
      <t>キン</t>
    </rPh>
    <phoneticPr fontId="6"/>
  </si>
  <si>
    <t>買掛未払金</t>
    <rPh sb="0" eb="2">
      <t>カイカケ</t>
    </rPh>
    <rPh sb="2" eb="5">
      <t>ミバライキン</t>
    </rPh>
    <phoneticPr fontId="6"/>
  </si>
  <si>
    <t>長期借入金</t>
    <rPh sb="0" eb="2">
      <t>チョウキ</t>
    </rPh>
    <rPh sb="2" eb="5">
      <t>カリイレキン</t>
    </rPh>
    <phoneticPr fontId="6"/>
  </si>
  <si>
    <t>注：土地の取得に関する借入金を除いて記入してください。</t>
    <rPh sb="0" eb="1">
      <t>チュウ</t>
    </rPh>
    <rPh sb="2" eb="4">
      <t>トチ</t>
    </rPh>
    <rPh sb="5" eb="7">
      <t>シュトク</t>
    </rPh>
    <rPh sb="8" eb="9">
      <t>カン</t>
    </rPh>
    <rPh sb="11" eb="14">
      <t>カリイレキン</t>
    </rPh>
    <rPh sb="15" eb="16">
      <t>ノゾ</t>
    </rPh>
    <phoneticPr fontId="6"/>
  </si>
  <si>
    <t>【７】建物及び構築物（土地改良施設を含む。）の所有状況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6"/>
  </si>
  <si>
    <t>　（１）建物及び構築物（土地改良設備を含む。）</t>
    <rPh sb="4" eb="6">
      <t>タテモノ</t>
    </rPh>
    <rPh sb="6" eb="7">
      <t>オヨ</t>
    </rPh>
    <rPh sb="8" eb="11">
      <t>コウチクブツ</t>
    </rPh>
    <rPh sb="12" eb="14">
      <t>トチ</t>
    </rPh>
    <rPh sb="14" eb="16">
      <t>カイリョウ</t>
    </rPh>
    <rPh sb="16" eb="18">
      <t>セツビ</t>
    </rPh>
    <rPh sb="19" eb="20">
      <t>フク</t>
    </rPh>
    <phoneticPr fontId="6"/>
  </si>
  <si>
    <t xml:space="preserve"> 　対象品目生産のために使用した建物及び構築物の所有状況について記入してください。</t>
    <rPh sb="12" eb="14">
      <t>シヨウ</t>
    </rPh>
    <rPh sb="16" eb="18">
      <t>タテモノ</t>
    </rPh>
    <rPh sb="18" eb="19">
      <t>オヨ</t>
    </rPh>
    <rPh sb="20" eb="23">
      <t>コウチクブツ</t>
    </rPh>
    <rPh sb="24" eb="26">
      <t>ショユウ</t>
    </rPh>
    <rPh sb="26" eb="28">
      <t>ジョウキョウ</t>
    </rPh>
    <phoneticPr fontId="6"/>
  </si>
  <si>
    <t>　 なお、１年間で新たに取得（新築）した場合は、該当建物等の「名称等」欄～「対象品目負担割合」欄に</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42" eb="44">
      <t>フタン</t>
    </rPh>
    <rPh sb="44" eb="46">
      <t>ワリアイ</t>
    </rPh>
    <rPh sb="47" eb="48">
      <t>ラン</t>
    </rPh>
    <phoneticPr fontId="90"/>
  </si>
  <si>
    <t xml:space="preserve"> 記入してください。</t>
  </si>
  <si>
    <t>部分取り壊しをした面積割合（％）を記入してください。</t>
    <rPh sb="0" eb="2">
      <t>ブブン</t>
    </rPh>
    <rPh sb="2" eb="3">
      <t>ト</t>
    </rPh>
    <rPh sb="4" eb="5">
      <t>コワ</t>
    </rPh>
    <rPh sb="9" eb="11">
      <t>メンセキ</t>
    </rPh>
    <rPh sb="11" eb="13">
      <t>ワリアイ</t>
    </rPh>
    <rPh sb="17" eb="19">
      <t>キニュウ</t>
    </rPh>
    <phoneticPr fontId="38"/>
  </si>
  <si>
    <t>部分取り壊しをした面積割合（％）</t>
    <rPh sb="0" eb="2">
      <t>ブブン</t>
    </rPh>
    <rPh sb="2" eb="3">
      <t>ト</t>
    </rPh>
    <rPh sb="4" eb="5">
      <t>コワ</t>
    </rPh>
    <rPh sb="9" eb="11">
      <t>メンセキ</t>
    </rPh>
    <rPh sb="11" eb="13">
      <t>ワリアイ</t>
    </rPh>
    <phoneticPr fontId="38"/>
  </si>
  <si>
    <t>基本</t>
    <rPh sb="0" eb="2">
      <t>キホン</t>
    </rPh>
    <phoneticPr fontId="1"/>
  </si>
  <si>
    <t>減価償却</t>
    <rPh sb="0" eb="2">
      <t>ゲンカ</t>
    </rPh>
    <rPh sb="2" eb="4">
      <t>ショウキャク</t>
    </rPh>
    <phoneticPr fontId="6"/>
  </si>
  <si>
    <t>農業経営基盤強化準備金</t>
    <rPh sb="0" eb="2">
      <t>ノウギョウ</t>
    </rPh>
    <rPh sb="2" eb="4">
      <t>ケイエイ</t>
    </rPh>
    <rPh sb="4" eb="6">
      <t>キバン</t>
    </rPh>
    <rPh sb="6" eb="8">
      <t>キョウカ</t>
    </rPh>
    <rPh sb="8" eb="11">
      <t>ジュンビキン</t>
    </rPh>
    <phoneticPr fontId="6"/>
  </si>
  <si>
    <t>年末</t>
    <rPh sb="0" eb="2">
      <t>ネンマツ</t>
    </rPh>
    <phoneticPr fontId="6"/>
  </si>
  <si>
    <t>調査対象品目負担分</t>
    <rPh sb="0" eb="2">
      <t>チョウサ</t>
    </rPh>
    <rPh sb="2" eb="4">
      <t>タイショウ</t>
    </rPh>
    <rPh sb="4" eb="6">
      <t>ヒンモク</t>
    </rPh>
    <rPh sb="6" eb="9">
      <t>フタンブン</t>
    </rPh>
    <phoneticPr fontId="6"/>
  </si>
  <si>
    <t>番号</t>
    <rPh sb="0" eb="2">
      <t>バンゴウ</t>
    </rPh>
    <phoneticPr fontId="38"/>
  </si>
  <si>
    <t>名　　称　　等</t>
    <rPh sb="0" eb="1">
      <t>メイ</t>
    </rPh>
    <rPh sb="3" eb="4">
      <t>ショウ</t>
    </rPh>
    <rPh sb="6" eb="7">
      <t>トウ</t>
    </rPh>
    <phoneticPr fontId="6"/>
  </si>
  <si>
    <t>種類コード</t>
  </si>
  <si>
    <t>構造コード</t>
    <phoneticPr fontId="38"/>
  </si>
  <si>
    <t>新古
区分</t>
    <rPh sb="0" eb="1">
      <t>シン</t>
    </rPh>
    <rPh sb="1" eb="2">
      <t>コ</t>
    </rPh>
    <rPh sb="3" eb="5">
      <t>クブン</t>
    </rPh>
    <phoneticPr fontId="38"/>
  </si>
  <si>
    <t>耐用年数(年)</t>
    <rPh sb="0" eb="2">
      <t>タイヨウ</t>
    </rPh>
    <rPh sb="2" eb="4">
      <t>ネンスウ</t>
    </rPh>
    <rPh sb="5" eb="6">
      <t>ネン</t>
    </rPh>
    <phoneticPr fontId="38"/>
  </si>
  <si>
    <t>取得年月</t>
    <rPh sb="2" eb="4">
      <t>ネンゲツ</t>
    </rPh>
    <phoneticPr fontId="38"/>
  </si>
  <si>
    <t>取得価額</t>
    <rPh sb="0" eb="2">
      <t>シュトク</t>
    </rPh>
    <rPh sb="2" eb="4">
      <t>カガク</t>
    </rPh>
    <phoneticPr fontId="6"/>
  </si>
  <si>
    <t>農業経営基盤
強化準備金</t>
    <rPh sb="0" eb="2">
      <t>ノウギョウ</t>
    </rPh>
    <rPh sb="2" eb="4">
      <t>ケイエイ</t>
    </rPh>
    <rPh sb="4" eb="6">
      <t>キバン</t>
    </rPh>
    <rPh sb="7" eb="9">
      <t>キョウカ</t>
    </rPh>
    <rPh sb="9" eb="12">
      <t>ジュンビキン</t>
    </rPh>
    <phoneticPr fontId="6"/>
  </si>
  <si>
    <t>修繕費</t>
    <rPh sb="0" eb="2">
      <t>シュウゼン</t>
    </rPh>
    <rPh sb="2" eb="3">
      <t>ヒ</t>
    </rPh>
    <phoneticPr fontId="6"/>
  </si>
  <si>
    <t>保険料</t>
    <rPh sb="0" eb="3">
      <t>ホケンリョウ</t>
    </rPh>
    <phoneticPr fontId="6"/>
  </si>
  <si>
    <t>対象品目負担
割合
（％）</t>
    <rPh sb="4" eb="6">
      <t>フタン</t>
    </rPh>
    <rPh sb="7" eb="9">
      <t>ワリアイ</t>
    </rPh>
    <phoneticPr fontId="38"/>
  </si>
  <si>
    <t>夏植え使用</t>
    <rPh sb="0" eb="1">
      <t>ナツ</t>
    </rPh>
    <rPh sb="1" eb="2">
      <t>ウ</t>
    </rPh>
    <rPh sb="3" eb="5">
      <t>シヨウ</t>
    </rPh>
    <phoneticPr fontId="6"/>
  </si>
  <si>
    <t>年内異動状況</t>
    <rPh sb="0" eb="2">
      <t>ネンナイ</t>
    </rPh>
    <rPh sb="2" eb="4">
      <t>イドウ</t>
    </rPh>
    <rPh sb="4" eb="6">
      <t>ジョウキョウ</t>
    </rPh>
    <phoneticPr fontId="6"/>
  </si>
  <si>
    <t>種類＋構造</t>
    <rPh sb="0" eb="2">
      <t>シュルイ</t>
    </rPh>
    <rPh sb="3" eb="5">
      <t>コウゾウ</t>
    </rPh>
    <phoneticPr fontId="6"/>
  </si>
  <si>
    <t>10万円未満なら[1]</t>
    <rPh sb="2" eb="4">
      <t>マンエン</t>
    </rPh>
    <rPh sb="4" eb="6">
      <t>ミマン</t>
    </rPh>
    <phoneticPr fontId="6"/>
  </si>
  <si>
    <t>少額資産なら[1]</t>
    <rPh sb="0" eb="2">
      <t>ショウガク</t>
    </rPh>
    <rPh sb="2" eb="4">
      <t>シサン</t>
    </rPh>
    <phoneticPr fontId="6"/>
  </si>
  <si>
    <t>耐用年数（資産Codeから抽出）</t>
    <rPh sb="0" eb="2">
      <t>タイヨウ</t>
    </rPh>
    <rPh sb="2" eb="4">
      <t>ネンスウ</t>
    </rPh>
    <rPh sb="5" eb="7">
      <t>シサン</t>
    </rPh>
    <rPh sb="13" eb="15">
      <t>チュウシュツ</t>
    </rPh>
    <phoneticPr fontId="6"/>
  </si>
  <si>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6"/>
  </si>
  <si>
    <t>償却率</t>
    <rPh sb="0" eb="2">
      <t>ショウキャク</t>
    </rPh>
    <rPh sb="2" eb="3">
      <t>リツ</t>
    </rPh>
    <phoneticPr fontId="6"/>
  </si>
  <si>
    <t>経過年数</t>
    <rPh sb="0" eb="2">
      <t>ケイカ</t>
    </rPh>
    <rPh sb="2" eb="4">
      <t>ネンスウ</t>
    </rPh>
    <phoneticPr fontId="6"/>
  </si>
  <si>
    <t>１年当たりの償却額</t>
    <rPh sb="1" eb="2">
      <t>ネン</t>
    </rPh>
    <rPh sb="2" eb="3">
      <t>ア</t>
    </rPh>
    <rPh sb="6" eb="8">
      <t>ショウキャク</t>
    </rPh>
    <rPh sb="8" eb="9">
      <t>ガク</t>
    </rPh>
    <phoneticPr fontId="6"/>
  </si>
  <si>
    <t>調査始現在価
又は
取得価額</t>
    <rPh sb="3" eb="5">
      <t>ゲンザイ</t>
    </rPh>
    <rPh sb="5" eb="6">
      <t>カ</t>
    </rPh>
    <rPh sb="7" eb="8">
      <t>マタ</t>
    </rPh>
    <rPh sb="10" eb="12">
      <t>シュトク</t>
    </rPh>
    <rPh sb="12" eb="14">
      <t>カガク</t>
    </rPh>
    <phoneticPr fontId="6"/>
  </si>
  <si>
    <t>減価償却額（処分差込）</t>
    <rPh sb="0" eb="2">
      <t>ゲンカ</t>
    </rPh>
    <rPh sb="2" eb="5">
      <t>ショウキャクガク</t>
    </rPh>
    <rPh sb="6" eb="8">
      <t>ショブン</t>
    </rPh>
    <rPh sb="8" eb="9">
      <t>サ</t>
    </rPh>
    <rPh sb="9" eb="10">
      <t>コ</t>
    </rPh>
    <phoneticPr fontId="6"/>
  </si>
  <si>
    <t>調査始現在価</t>
    <rPh sb="3" eb="5">
      <t>ゲンザイ</t>
    </rPh>
    <rPh sb="5" eb="6">
      <t>カ</t>
    </rPh>
    <phoneticPr fontId="6"/>
  </si>
  <si>
    <t>当年修繕費相当額</t>
    <rPh sb="0" eb="2">
      <t>トウネン</t>
    </rPh>
    <rPh sb="2" eb="5">
      <t>シュウゼンヒ</t>
    </rPh>
    <rPh sb="5" eb="7">
      <t>ソウトウ</t>
    </rPh>
    <rPh sb="7" eb="8">
      <t>ガク</t>
    </rPh>
    <phoneticPr fontId="6"/>
  </si>
  <si>
    <t>部分取り壊し後の
取得価額</t>
    <rPh sb="0" eb="3">
      <t>ブブント</t>
    </rPh>
    <rPh sb="4" eb="5">
      <t>コワ</t>
    </rPh>
    <rPh sb="6" eb="7">
      <t>ゴ</t>
    </rPh>
    <rPh sb="9" eb="13">
      <t>シュトクカガク</t>
    </rPh>
    <phoneticPr fontId="6"/>
  </si>
  <si>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6"/>
  </si>
  <si>
    <t>減価償却額</t>
    <rPh sb="0" eb="2">
      <t>ゲンカ</t>
    </rPh>
    <rPh sb="2" eb="5">
      <t>ショウキャクガク</t>
    </rPh>
    <phoneticPr fontId="6"/>
  </si>
  <si>
    <t>資産計</t>
    <rPh sb="0" eb="2">
      <t>シサン</t>
    </rPh>
    <rPh sb="2" eb="3">
      <t>ケイ</t>
    </rPh>
    <phoneticPr fontId="6"/>
  </si>
  <si>
    <t>修繕費</t>
    <rPh sb="0" eb="3">
      <t>シュウゼンヒ</t>
    </rPh>
    <phoneticPr fontId="6"/>
  </si>
  <si>
    <t>修繕費
＋
保険料</t>
    <rPh sb="0" eb="3">
      <t>シュウゼンヒ</t>
    </rPh>
    <rPh sb="6" eb="9">
      <t>ホケンリョウ</t>
    </rPh>
    <phoneticPr fontId="6"/>
  </si>
  <si>
    <t>新築</t>
    <rPh sb="1" eb="2">
      <t>チク</t>
    </rPh>
    <phoneticPr fontId="38"/>
  </si>
  <si>
    <t>中古</t>
    <rPh sb="0" eb="2">
      <t>チュウコ</t>
    </rPh>
    <phoneticPr fontId="38"/>
  </si>
  <si>
    <t>年
（西暦）</t>
    <rPh sb="0" eb="1">
      <t>ネン</t>
    </rPh>
    <rPh sb="3" eb="5">
      <t>セイレキ</t>
    </rPh>
    <phoneticPr fontId="6"/>
  </si>
  <si>
    <t>月</t>
    <rPh sb="0" eb="1">
      <t>ツキ</t>
    </rPh>
    <phoneticPr fontId="6"/>
  </si>
  <si>
    <t>（円）</t>
    <rPh sb="1" eb="2">
      <t>エン</t>
    </rPh>
    <phoneticPr fontId="6"/>
  </si>
  <si>
    <t>異動コード</t>
    <rPh sb="0" eb="2">
      <t>イドウ</t>
    </rPh>
    <phoneticPr fontId="6"/>
  </si>
  <si>
    <t xml:space="preserve">異動に伴う発生金額（円）
</t>
    <rPh sb="0" eb="2">
      <t>イドウ</t>
    </rPh>
    <rPh sb="3" eb="4">
      <t>トモナ</t>
    </rPh>
    <rPh sb="5" eb="7">
      <t>ハッセイ</t>
    </rPh>
    <rPh sb="7" eb="8">
      <t>キン</t>
    </rPh>
    <rPh sb="8" eb="9">
      <t>ガク</t>
    </rPh>
    <rPh sb="10" eb="11">
      <t>エン</t>
    </rPh>
    <phoneticPr fontId="38"/>
  </si>
  <si>
    <t xml:space="preserve"> </t>
    <phoneticPr fontId="6"/>
  </si>
  <si>
    <t xml:space="preserve"> </t>
    <phoneticPr fontId="6"/>
  </si>
  <si>
    <t>うち処分差損失</t>
    <rPh sb="2" eb="4">
      <t>ショブン</t>
    </rPh>
    <rPh sb="4" eb="5">
      <t>サ</t>
    </rPh>
    <rPh sb="5" eb="7">
      <t>ソンシツ</t>
    </rPh>
    <phoneticPr fontId="6"/>
  </si>
  <si>
    <t xml:space="preserve"> </t>
    <phoneticPr fontId="6"/>
  </si>
  <si>
    <t>建物・構築物</t>
    <rPh sb="0" eb="2">
      <t>タテモノ</t>
    </rPh>
    <rPh sb="3" eb="6">
      <t>コウチクブツ</t>
    </rPh>
    <phoneticPr fontId="6"/>
  </si>
  <si>
    <t>土地改良設備</t>
    <rPh sb="0" eb="2">
      <t>トチ</t>
    </rPh>
    <rPh sb="2" eb="4">
      <t>カイリョウ</t>
    </rPh>
    <rPh sb="4" eb="6">
      <t>セツビ</t>
    </rPh>
    <phoneticPr fontId="6"/>
  </si>
  <si>
    <t>【８】自動車（自動二輪・三輪を含む。）の所有状況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6"/>
  </si>
  <si>
    <t>　（２）自動車（自動二輪・三輪を含む。）</t>
    <rPh sb="4" eb="7">
      <t>ジドウシャ</t>
    </rPh>
    <rPh sb="8" eb="10">
      <t>ジドウ</t>
    </rPh>
    <rPh sb="10" eb="12">
      <t>ニリン</t>
    </rPh>
    <rPh sb="13" eb="15">
      <t>サンリン</t>
    </rPh>
    <rPh sb="16" eb="17">
      <t>フク</t>
    </rPh>
    <phoneticPr fontId="6"/>
  </si>
  <si>
    <t xml:space="preserve"> 　対象品目生産のために使用した自動車等の所有状況について記入してくだ</t>
    <rPh sb="12" eb="14">
      <t>シヨウ</t>
    </rPh>
    <rPh sb="16" eb="19">
      <t>ジドウシャ</t>
    </rPh>
    <rPh sb="19" eb="20">
      <t>トウ</t>
    </rPh>
    <rPh sb="21" eb="23">
      <t>ショユウ</t>
    </rPh>
    <rPh sb="23" eb="25">
      <t>ジョウキョウ</t>
    </rPh>
    <phoneticPr fontId="6"/>
  </si>
  <si>
    <t>さい。</t>
    <phoneticPr fontId="6"/>
  </si>
  <si>
    <t>　 なお、１年間で新たに取得した場合は、該当自動車等の「名称等」欄～</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phoneticPr fontId="90"/>
  </si>
  <si>
    <t xml:space="preserve"> 「対象品目負担割合」欄に記入してください。</t>
    <rPh sb="6" eb="8">
      <t>フタン</t>
    </rPh>
    <rPh sb="8" eb="10">
      <t>ワリアイ</t>
    </rPh>
    <rPh sb="11" eb="12">
      <t>ラン</t>
    </rPh>
    <phoneticPr fontId="6"/>
  </si>
  <si>
    <t>共同所有している経営体数を記入してください。所有台数の計算にのみ使用します。</t>
    <rPh sb="0" eb="2">
      <t>キョウドウ</t>
    </rPh>
    <rPh sb="2" eb="4">
      <t>ショユウ</t>
    </rPh>
    <rPh sb="8" eb="11">
      <t>ケイエイタイ</t>
    </rPh>
    <rPh sb="11" eb="12">
      <t>スウ</t>
    </rPh>
    <rPh sb="13" eb="15">
      <t>キニュウ</t>
    </rPh>
    <rPh sb="22" eb="24">
      <t>ショユウ</t>
    </rPh>
    <rPh sb="24" eb="26">
      <t>ダイスウ</t>
    </rPh>
    <rPh sb="27" eb="29">
      <t>ケイサン</t>
    </rPh>
    <rPh sb="32" eb="34">
      <t>シヨウ</t>
    </rPh>
    <phoneticPr fontId="38"/>
  </si>
  <si>
    <t>20万円以上の修繕で修繕費を償却するために起こした資産は「○」を選択してください。所有台数には計上しません。</t>
    <rPh sb="2" eb="3">
      <t>マン</t>
    </rPh>
    <rPh sb="3" eb="6">
      <t>エンイジョウ</t>
    </rPh>
    <rPh sb="7" eb="9">
      <t>シュウゼン</t>
    </rPh>
    <rPh sb="10" eb="13">
      <t>シュウゼンヒ</t>
    </rPh>
    <rPh sb="14" eb="16">
      <t>ショウキャク</t>
    </rPh>
    <rPh sb="21" eb="22">
      <t>オ</t>
    </rPh>
    <rPh sb="25" eb="27">
      <t>シサン</t>
    </rPh>
    <rPh sb="32" eb="34">
      <t>センタク</t>
    </rPh>
    <rPh sb="41" eb="43">
      <t>ショユウ</t>
    </rPh>
    <rPh sb="43" eb="45">
      <t>ダイスウ</t>
    </rPh>
    <rPh sb="47" eb="49">
      <t>ケイジョウ</t>
    </rPh>
    <phoneticPr fontId="38"/>
  </si>
  <si>
    <t>共同所有経営体数</t>
    <rPh sb="0" eb="2">
      <t>キョウドウ</t>
    </rPh>
    <rPh sb="2" eb="4">
      <t>ショユウ</t>
    </rPh>
    <rPh sb="4" eb="7">
      <t>ケイエイタイ</t>
    </rPh>
    <rPh sb="7" eb="8">
      <t>スウ</t>
    </rPh>
    <phoneticPr fontId="38"/>
  </si>
  <si>
    <t>20万円以上の修繕資産</t>
    <rPh sb="2" eb="4">
      <t>マンエン</t>
    </rPh>
    <rPh sb="4" eb="6">
      <t>イジョウ</t>
    </rPh>
    <rPh sb="7" eb="9">
      <t>シュウゼン</t>
    </rPh>
    <rPh sb="9" eb="11">
      <t>シサン</t>
    </rPh>
    <phoneticPr fontId="38"/>
  </si>
  <si>
    <t>種類コード</t>
    <rPh sb="0" eb="2">
      <t>シュルイ</t>
    </rPh>
    <phoneticPr fontId="6"/>
  </si>
  <si>
    <t>型式コード</t>
    <rPh sb="0" eb="2">
      <t>カタシキ</t>
    </rPh>
    <phoneticPr fontId="6"/>
  </si>
  <si>
    <t>自動車保険料</t>
    <rPh sb="0" eb="3">
      <t>ジドウシャ</t>
    </rPh>
    <rPh sb="3" eb="6">
      <t>ホケンリョウ</t>
    </rPh>
    <phoneticPr fontId="6"/>
  </si>
  <si>
    <t>自動車・
軽自動車税</t>
    <rPh sb="0" eb="3">
      <t>ジドウシャ</t>
    </rPh>
    <rPh sb="5" eb="9">
      <t>ケイジドウシャ</t>
    </rPh>
    <rPh sb="9" eb="10">
      <t>ゼイ</t>
    </rPh>
    <phoneticPr fontId="6"/>
  </si>
  <si>
    <t>当年、車検を受けた自動車等
について記入してください。</t>
    <rPh sb="0" eb="2">
      <t>トウネン</t>
    </rPh>
    <rPh sb="3" eb="5">
      <t>シャケン</t>
    </rPh>
    <rPh sb="6" eb="7">
      <t>ウ</t>
    </rPh>
    <rPh sb="9" eb="12">
      <t>ジドウシャ</t>
    </rPh>
    <rPh sb="12" eb="13">
      <t>トウ</t>
    </rPh>
    <phoneticPr fontId="6"/>
  </si>
  <si>
    <t>対象品目
負担
割合
（％）</t>
    <rPh sb="5" eb="7">
      <t>フタン</t>
    </rPh>
    <rPh sb="8" eb="10">
      <t>ワリアイ</t>
    </rPh>
    <phoneticPr fontId="38"/>
  </si>
  <si>
    <t>自動車保険料</t>
    <rPh sb="0" eb="2">
      <t>ジドウ</t>
    </rPh>
    <rPh sb="2" eb="3">
      <t>シャ</t>
    </rPh>
    <rPh sb="3" eb="6">
      <t>ホケンリョウ</t>
    </rPh>
    <phoneticPr fontId="6"/>
  </si>
  <si>
    <t>修繕費＋
自動車保険料</t>
    <rPh sb="0" eb="3">
      <t>シュウゼンヒ</t>
    </rPh>
    <rPh sb="8" eb="11">
      <t>ホケンリョウ</t>
    </rPh>
    <phoneticPr fontId="6"/>
  </si>
  <si>
    <t>自動車税</t>
    <rPh sb="3" eb="4">
      <t>ゼイ</t>
    </rPh>
    <phoneticPr fontId="6"/>
  </si>
  <si>
    <t>軽自動車税</t>
    <phoneticPr fontId="6"/>
  </si>
  <si>
    <t>自動車
重量税</t>
    <phoneticPr fontId="6"/>
  </si>
  <si>
    <t>所有台数</t>
    <rPh sb="0" eb="2">
      <t>ショユウ</t>
    </rPh>
    <rPh sb="2" eb="4">
      <t>ダイスウ</t>
    </rPh>
    <phoneticPr fontId="6"/>
  </si>
  <si>
    <t>新品</t>
    <rPh sb="1" eb="2">
      <t>ヒン</t>
    </rPh>
    <phoneticPr fontId="38"/>
  </si>
  <si>
    <t>売　却　金　額
（円）</t>
    <rPh sb="0" eb="1">
      <t>バイ</t>
    </rPh>
    <rPh sb="2" eb="3">
      <t>キャク</t>
    </rPh>
    <rPh sb="4" eb="5">
      <t>キン</t>
    </rPh>
    <rPh sb="6" eb="7">
      <t>ガク</t>
    </rPh>
    <rPh sb="9" eb="10">
      <t>エン</t>
    </rPh>
    <phoneticPr fontId="6"/>
  </si>
  <si>
    <t>自動車重量税</t>
    <rPh sb="0" eb="3">
      <t>ジドウシャ</t>
    </rPh>
    <rPh sb="3" eb="5">
      <t>ジュウリョウ</t>
    </rPh>
    <rPh sb="5" eb="6">
      <t>ゼイ</t>
    </rPh>
    <phoneticPr fontId="6"/>
  </si>
  <si>
    <t>自動車計</t>
    <rPh sb="0" eb="3">
      <t>ジドウシャ</t>
    </rPh>
    <rPh sb="3" eb="4">
      <t>ケイ</t>
    </rPh>
    <phoneticPr fontId="6"/>
  </si>
  <si>
    <t>【９】農業機械（生産管理機器を含む。）の所有状況</t>
    <rPh sb="3" eb="5">
      <t>ノウギョウ</t>
    </rPh>
    <rPh sb="5" eb="7">
      <t>キカイ</t>
    </rPh>
    <rPh sb="8" eb="10">
      <t>セイサン</t>
    </rPh>
    <rPh sb="10" eb="12">
      <t>カンリ</t>
    </rPh>
    <rPh sb="12" eb="14">
      <t>キキ</t>
    </rPh>
    <rPh sb="15" eb="16">
      <t>フク</t>
    </rPh>
    <rPh sb="20" eb="22">
      <t>ショユウ</t>
    </rPh>
    <rPh sb="22" eb="24">
      <t>ジョウキョウ</t>
    </rPh>
    <phoneticPr fontId="6"/>
  </si>
  <si>
    <t>　 対象品目生産のために使用した農業機械、パソコンやコピー機等の生産管理機器の所有状況について記入してください。</t>
    <rPh sb="12" eb="14">
      <t>シヨウ</t>
    </rPh>
    <rPh sb="16" eb="18">
      <t>ノウギョウ</t>
    </rPh>
    <rPh sb="18" eb="20">
      <t>キカイ</t>
    </rPh>
    <rPh sb="29" eb="30">
      <t>キ</t>
    </rPh>
    <rPh sb="30" eb="31">
      <t>トウ</t>
    </rPh>
    <rPh sb="32" eb="34">
      <t>セイサン</t>
    </rPh>
    <rPh sb="34" eb="36">
      <t>カンリ</t>
    </rPh>
    <rPh sb="36" eb="38">
      <t>キキ</t>
    </rPh>
    <phoneticPr fontId="6"/>
  </si>
  <si>
    <t>　 なお、１年間で新たに取得した場合は、当該機械や機器の「名称等」欄～「対象品目負担割合」欄に記入してください。</t>
    <rPh sb="6" eb="8">
      <t>ネンカン</t>
    </rPh>
    <rPh sb="9" eb="10">
      <t>アラ</t>
    </rPh>
    <rPh sb="12" eb="14">
      <t>シュトク</t>
    </rPh>
    <rPh sb="16" eb="18">
      <t>バアイ</t>
    </rPh>
    <rPh sb="20" eb="22">
      <t>トウガイ</t>
    </rPh>
    <rPh sb="22" eb="24">
      <t>キカイ</t>
    </rPh>
    <rPh sb="25" eb="27">
      <t>キキ</t>
    </rPh>
    <rPh sb="29" eb="31">
      <t>メイショウ</t>
    </rPh>
    <rPh sb="31" eb="32">
      <t>トウ</t>
    </rPh>
    <rPh sb="33" eb="34">
      <t>ラン</t>
    </rPh>
    <rPh sb="40" eb="42">
      <t>フタン</t>
    </rPh>
    <rPh sb="42" eb="44">
      <t>ワリアイ</t>
    </rPh>
    <rPh sb="45" eb="46">
      <t>ラン</t>
    </rPh>
    <phoneticPr fontId="90"/>
  </si>
  <si>
    <t>20万円以上の修繕資産</t>
    <rPh sb="2" eb="6">
      <t>マンエンイジョウ</t>
    </rPh>
    <rPh sb="7" eb="9">
      <t>シュウゼン</t>
    </rPh>
    <rPh sb="9" eb="11">
      <t>シサン</t>
    </rPh>
    <phoneticPr fontId="38"/>
  </si>
  <si>
    <t>種類コード</t>
    <rPh sb="0" eb="2">
      <t>シュルイ</t>
    </rPh>
    <phoneticPr fontId="38"/>
  </si>
  <si>
    <t>型式コード</t>
    <rPh sb="0" eb="2">
      <t>カタシキ</t>
    </rPh>
    <phoneticPr fontId="38"/>
  </si>
  <si>
    <t>軽自動車税</t>
    <phoneticPr fontId="6"/>
  </si>
  <si>
    <t xml:space="preserve"> </t>
    <phoneticPr fontId="6"/>
  </si>
  <si>
    <t xml:space="preserve"> </t>
    <phoneticPr fontId="6"/>
  </si>
  <si>
    <t>農業機械計</t>
    <rPh sb="0" eb="2">
      <t>ノウギョウ</t>
    </rPh>
    <rPh sb="2" eb="4">
      <t>キカイ</t>
    </rPh>
    <rPh sb="4" eb="5">
      <t>ケイ</t>
    </rPh>
    <phoneticPr fontId="6"/>
  </si>
  <si>
    <t>生産管理
機器計</t>
    <rPh sb="0" eb="2">
      <t>セイサン</t>
    </rPh>
    <rPh sb="2" eb="4">
      <t>カンリ</t>
    </rPh>
    <rPh sb="5" eb="7">
      <t>キキ</t>
    </rPh>
    <rPh sb="7" eb="8">
      <t>ケイ</t>
    </rPh>
    <phoneticPr fontId="6"/>
  </si>
  <si>
    <t>12　減価償却費（円）</t>
    <rPh sb="3" eb="5">
      <t>ゲンカ</t>
    </rPh>
    <rPh sb="5" eb="8">
      <t>ショウキャクヒ</t>
    </rPh>
    <rPh sb="9" eb="10">
      <t>エン</t>
    </rPh>
    <phoneticPr fontId="38"/>
  </si>
  <si>
    <t>所有台数（台）</t>
    <rPh sb="0" eb="2">
      <t>ショユウ</t>
    </rPh>
    <rPh sb="2" eb="4">
      <t>ダイスウ</t>
    </rPh>
    <rPh sb="5" eb="6">
      <t>ダイ</t>
    </rPh>
    <phoneticPr fontId="98"/>
  </si>
  <si>
    <t>対象品目負担分</t>
    <rPh sb="0" eb="2">
      <t>タイショウ</t>
    </rPh>
    <rPh sb="2" eb="4">
      <t>ヒンモク</t>
    </rPh>
    <rPh sb="4" eb="7">
      <t>フタンブン</t>
    </rPh>
    <phoneticPr fontId="38"/>
  </si>
  <si>
    <t>建物・構築物</t>
    <rPh sb="0" eb="2">
      <t>タテモノ</t>
    </rPh>
    <rPh sb="3" eb="6">
      <t>コウチクブツ</t>
    </rPh>
    <phoneticPr fontId="38"/>
  </si>
  <si>
    <t>住宅</t>
    <rPh sb="0" eb="1">
      <t>ジュウ</t>
    </rPh>
    <rPh sb="1" eb="2">
      <t>タク</t>
    </rPh>
    <phoneticPr fontId="38"/>
  </si>
  <si>
    <t>納屋・倉庫</t>
    <rPh sb="0" eb="2">
      <t>ナヤ</t>
    </rPh>
    <rPh sb="3" eb="5">
      <t>ソウコ</t>
    </rPh>
    <phoneticPr fontId="38"/>
  </si>
  <si>
    <t>用水路</t>
    <rPh sb="0" eb="3">
      <t>ヨウスイロ</t>
    </rPh>
    <phoneticPr fontId="38"/>
  </si>
  <si>
    <t>暗きょ排水施設</t>
    <rPh sb="0" eb="1">
      <t>アン</t>
    </rPh>
    <rPh sb="3" eb="5">
      <t>ハイスイ</t>
    </rPh>
    <rPh sb="5" eb="7">
      <t>シセツ</t>
    </rPh>
    <phoneticPr fontId="38"/>
  </si>
  <si>
    <t>コンクリートけい畔</t>
    <rPh sb="8" eb="9">
      <t>ハン</t>
    </rPh>
    <phoneticPr fontId="38"/>
  </si>
  <si>
    <t>客土</t>
    <rPh sb="0" eb="2">
      <t>キャクド</t>
    </rPh>
    <phoneticPr fontId="38"/>
  </si>
  <si>
    <t>たい肥盤</t>
    <rPh sb="2" eb="3">
      <t>ヒ</t>
    </rPh>
    <rPh sb="3" eb="4">
      <t>バン</t>
    </rPh>
    <phoneticPr fontId="38"/>
  </si>
  <si>
    <t>その他</t>
    <rPh sb="2" eb="3">
      <t>タ</t>
    </rPh>
    <phoneticPr fontId="38"/>
  </si>
  <si>
    <t>計</t>
    <rPh sb="0" eb="1">
      <t>ケイ</t>
    </rPh>
    <phoneticPr fontId="38"/>
  </si>
  <si>
    <t>処分差損失</t>
    <phoneticPr fontId="38"/>
  </si>
  <si>
    <t>自動車</t>
    <rPh sb="0" eb="3">
      <t>ジドウシャ</t>
    </rPh>
    <phoneticPr fontId="38"/>
  </si>
  <si>
    <t>貨物自動車</t>
    <rPh sb="0" eb="2">
      <t>カモツ</t>
    </rPh>
    <rPh sb="2" eb="5">
      <t>ジドウシャ</t>
    </rPh>
    <phoneticPr fontId="38"/>
  </si>
  <si>
    <t>処分差損失</t>
    <phoneticPr fontId="38"/>
  </si>
  <si>
    <t>農機具</t>
    <rPh sb="0" eb="3">
      <t>ノウキグ</t>
    </rPh>
    <phoneticPr fontId="38"/>
  </si>
  <si>
    <t>電動機</t>
    <rPh sb="0" eb="3">
      <t>デンドウキ</t>
    </rPh>
    <phoneticPr fontId="38"/>
  </si>
  <si>
    <t>発動機</t>
    <rPh sb="0" eb="3">
      <t>ハツドウキ</t>
    </rPh>
    <phoneticPr fontId="38"/>
  </si>
  <si>
    <t>揚水ポンプ</t>
    <rPh sb="0" eb="1">
      <t>ア</t>
    </rPh>
    <rPh sb="1" eb="2">
      <t>ミズ</t>
    </rPh>
    <phoneticPr fontId="38"/>
  </si>
  <si>
    <t>乗用トラクター</t>
    <rPh sb="0" eb="2">
      <t>ジョウヨウ</t>
    </rPh>
    <phoneticPr fontId="38"/>
  </si>
  <si>
    <t>20馬力未満</t>
    <rPh sb="2" eb="4">
      <t>バリキ</t>
    </rPh>
    <rPh sb="4" eb="6">
      <t>ミマン</t>
    </rPh>
    <phoneticPr fontId="38"/>
  </si>
  <si>
    <t>20～50馬力未満</t>
    <rPh sb="5" eb="7">
      <t>バリキ</t>
    </rPh>
    <rPh sb="7" eb="9">
      <t>ミマン</t>
    </rPh>
    <phoneticPr fontId="38"/>
  </si>
  <si>
    <t>50馬力以上</t>
    <rPh sb="2" eb="4">
      <t>バリキ</t>
    </rPh>
    <rPh sb="4" eb="6">
      <t>イジョウ</t>
    </rPh>
    <phoneticPr fontId="38"/>
  </si>
  <si>
    <t>歩行用トラクター</t>
    <rPh sb="0" eb="2">
      <t>ホコウ</t>
    </rPh>
    <rPh sb="2" eb="3">
      <t>ヨウ</t>
    </rPh>
    <phoneticPr fontId="38"/>
  </si>
  <si>
    <t>電熱育苗機</t>
    <rPh sb="0" eb="2">
      <t>デンネツ</t>
    </rPh>
    <rPh sb="2" eb="4">
      <t>イクビョウ</t>
    </rPh>
    <rPh sb="4" eb="5">
      <t>キ</t>
    </rPh>
    <phoneticPr fontId="38"/>
  </si>
  <si>
    <t>田植機</t>
    <rPh sb="0" eb="3">
      <t>タウエキ</t>
    </rPh>
    <phoneticPr fontId="38"/>
  </si>
  <si>
    <t>２条植</t>
    <rPh sb="1" eb="2">
      <t>ジョウ</t>
    </rPh>
    <rPh sb="2" eb="3">
      <t>ウエ</t>
    </rPh>
    <phoneticPr fontId="38"/>
  </si>
  <si>
    <t>３～５条植</t>
    <rPh sb="3" eb="4">
      <t>ジョウ</t>
    </rPh>
    <rPh sb="4" eb="5">
      <t>ウエ</t>
    </rPh>
    <phoneticPr fontId="38"/>
  </si>
  <si>
    <t>６条植以上</t>
    <rPh sb="1" eb="2">
      <t>ジョウ</t>
    </rPh>
    <rPh sb="2" eb="3">
      <t>ウエ</t>
    </rPh>
    <rPh sb="3" eb="5">
      <t>イジョウ</t>
    </rPh>
    <phoneticPr fontId="38"/>
  </si>
  <si>
    <t>たい肥等散布機</t>
    <rPh sb="2" eb="3">
      <t>ヒ</t>
    </rPh>
    <rPh sb="3" eb="4">
      <t>トウ</t>
    </rPh>
    <rPh sb="4" eb="6">
      <t>サンプ</t>
    </rPh>
    <rPh sb="6" eb="7">
      <t>キ</t>
    </rPh>
    <phoneticPr fontId="38"/>
  </si>
  <si>
    <t>総合は種機</t>
    <rPh sb="0" eb="2">
      <t>ソウゴウ</t>
    </rPh>
    <rPh sb="3" eb="5">
      <t>シュキ</t>
    </rPh>
    <phoneticPr fontId="38"/>
  </si>
  <si>
    <t>移植機</t>
    <rPh sb="0" eb="2">
      <t>イショク</t>
    </rPh>
    <rPh sb="2" eb="3">
      <t>キ</t>
    </rPh>
    <phoneticPr fontId="38"/>
  </si>
  <si>
    <t>中耕除草機</t>
    <rPh sb="0" eb="2">
      <t>チュウコウ</t>
    </rPh>
    <rPh sb="2" eb="5">
      <t>ジョソウキ</t>
    </rPh>
    <phoneticPr fontId="38"/>
  </si>
  <si>
    <t>肥料散布機</t>
    <rPh sb="0" eb="2">
      <t>ヒリョウ</t>
    </rPh>
    <rPh sb="2" eb="4">
      <t>サンプ</t>
    </rPh>
    <rPh sb="4" eb="5">
      <t>キ</t>
    </rPh>
    <phoneticPr fontId="38"/>
  </si>
  <si>
    <t>動力噴霧機</t>
    <rPh sb="0" eb="2">
      <t>ドウリョク</t>
    </rPh>
    <rPh sb="2" eb="5">
      <t>フンムキ</t>
    </rPh>
    <phoneticPr fontId="38"/>
  </si>
  <si>
    <t>動力散粉機</t>
    <rPh sb="0" eb="2">
      <t>ドウリョク</t>
    </rPh>
    <rPh sb="2" eb="3">
      <t>サン</t>
    </rPh>
    <rPh sb="3" eb="4">
      <t>フン</t>
    </rPh>
    <rPh sb="4" eb="5">
      <t>キ</t>
    </rPh>
    <phoneticPr fontId="38"/>
  </si>
  <si>
    <t>バインダー</t>
    <phoneticPr fontId="38"/>
  </si>
  <si>
    <t>自脱型
コンバイン</t>
    <rPh sb="0" eb="1">
      <t>ジ</t>
    </rPh>
    <rPh sb="1" eb="2">
      <t>ダツ</t>
    </rPh>
    <rPh sb="2" eb="3">
      <t>ガタ</t>
    </rPh>
    <phoneticPr fontId="38"/>
  </si>
  <si>
    <t>３条以下</t>
    <rPh sb="1" eb="2">
      <t>ジョウ</t>
    </rPh>
    <rPh sb="2" eb="4">
      <t>イカ</t>
    </rPh>
    <phoneticPr fontId="38"/>
  </si>
  <si>
    <t>４条以上</t>
    <rPh sb="1" eb="2">
      <t>ジョウ</t>
    </rPh>
    <rPh sb="2" eb="4">
      <t>イジョウ</t>
    </rPh>
    <phoneticPr fontId="38"/>
  </si>
  <si>
    <t>普通型コンバイン</t>
    <rPh sb="0" eb="2">
      <t>フツウ</t>
    </rPh>
    <rPh sb="2" eb="3">
      <t>ガタ</t>
    </rPh>
    <phoneticPr fontId="38"/>
  </si>
  <si>
    <t>調査作物収穫機</t>
    <rPh sb="0" eb="2">
      <t>チョウサ</t>
    </rPh>
    <rPh sb="2" eb="4">
      <t>サクモツ</t>
    </rPh>
    <rPh sb="4" eb="6">
      <t>シュウカク</t>
    </rPh>
    <rPh sb="6" eb="7">
      <t>キ</t>
    </rPh>
    <phoneticPr fontId="38"/>
  </si>
  <si>
    <t>脱穀機</t>
    <rPh sb="0" eb="3">
      <t>ダッコクキ</t>
    </rPh>
    <phoneticPr fontId="38"/>
  </si>
  <si>
    <t>きび脱葉機</t>
    <rPh sb="2" eb="4">
      <t>ダツヨウ</t>
    </rPh>
    <rPh sb="4" eb="5">
      <t>キ</t>
    </rPh>
    <phoneticPr fontId="38"/>
  </si>
  <si>
    <t>もみすり機</t>
    <rPh sb="4" eb="5">
      <t>キ</t>
    </rPh>
    <phoneticPr fontId="38"/>
  </si>
  <si>
    <t>乾燥機</t>
    <rPh sb="0" eb="3">
      <t>カンソウキ</t>
    </rPh>
    <phoneticPr fontId="38"/>
  </si>
  <si>
    <t>静置式</t>
    <rPh sb="0" eb="1">
      <t>セイ</t>
    </rPh>
    <rPh sb="1" eb="2">
      <t>チ</t>
    </rPh>
    <rPh sb="2" eb="3">
      <t>シキ</t>
    </rPh>
    <phoneticPr fontId="38"/>
  </si>
  <si>
    <t>循環式</t>
    <rPh sb="0" eb="2">
      <t>ジュンカン</t>
    </rPh>
    <rPh sb="2" eb="3">
      <t>シキ</t>
    </rPh>
    <phoneticPr fontId="38"/>
  </si>
  <si>
    <t>トレーラー</t>
    <phoneticPr fontId="38"/>
  </si>
  <si>
    <t>処分差損失</t>
    <phoneticPr fontId="38"/>
  </si>
  <si>
    <t>生産管理機器</t>
    <rPh sb="0" eb="2">
      <t>セイサン</t>
    </rPh>
    <rPh sb="2" eb="4">
      <t>カンリ</t>
    </rPh>
    <rPh sb="4" eb="6">
      <t>キキ</t>
    </rPh>
    <phoneticPr fontId="38"/>
  </si>
  <si>
    <t>【10】農具の購入費等</t>
    <rPh sb="4" eb="6">
      <t>ノウグ</t>
    </rPh>
    <rPh sb="7" eb="9">
      <t>コウニュウ</t>
    </rPh>
    <rPh sb="9" eb="10">
      <t>ヒ</t>
    </rPh>
    <rPh sb="10" eb="11">
      <t>トウ</t>
    </rPh>
    <phoneticPr fontId="6"/>
  </si>
  <si>
    <t xml:space="preserve">    当年産の対象品目生産のために使用したくわ類やかま類、コピー用紙等の購入費等について、黄色の「計」の欄に記入してください。</t>
    <rPh sb="4" eb="6">
      <t>トウネン</t>
    </rPh>
    <rPh sb="6" eb="7">
      <t>サン</t>
    </rPh>
    <rPh sb="12" eb="14">
      <t>セイサン</t>
    </rPh>
    <rPh sb="18" eb="20">
      <t>シヨウ</t>
    </rPh>
    <rPh sb="24" eb="25">
      <t>ルイ</t>
    </rPh>
    <rPh sb="28" eb="29">
      <t>ルイ</t>
    </rPh>
    <rPh sb="33" eb="35">
      <t>ヨウシ</t>
    </rPh>
    <rPh sb="35" eb="36">
      <t>トウ</t>
    </rPh>
    <rPh sb="37" eb="39">
      <t>コウニュウ</t>
    </rPh>
    <rPh sb="40" eb="41">
      <t>トウ</t>
    </rPh>
    <phoneticPr fontId="6"/>
  </si>
  <si>
    <t xml:space="preserve"> 　 なお、内訳欄を利用してそれぞれの「計」の内訳を記入する場合は、その合計が「計」となるよう記入してください。</t>
    <rPh sb="6" eb="8">
      <t>ウチワケ</t>
    </rPh>
    <rPh sb="8" eb="9">
      <t>ラン</t>
    </rPh>
    <rPh sb="10" eb="12">
      <t>リヨウ</t>
    </rPh>
    <rPh sb="20" eb="21">
      <t>ケイ</t>
    </rPh>
    <rPh sb="23" eb="25">
      <t>ウチワケ</t>
    </rPh>
    <rPh sb="30" eb="32">
      <t>バアイ</t>
    </rPh>
    <phoneticPr fontId="6"/>
  </si>
  <si>
    <t>名称等</t>
    <rPh sb="0" eb="2">
      <t>メイショウ</t>
    </rPh>
    <rPh sb="2" eb="3">
      <t>トウ</t>
    </rPh>
    <phoneticPr fontId="6"/>
  </si>
  <si>
    <t>農具・農業被服等の購入費</t>
    <rPh sb="0" eb="2">
      <t>ノウグ</t>
    </rPh>
    <rPh sb="3" eb="5">
      <t>ノウギョウ</t>
    </rPh>
    <rPh sb="5" eb="7">
      <t>ヒフク</t>
    </rPh>
    <rPh sb="7" eb="8">
      <t>トウ</t>
    </rPh>
    <rPh sb="9" eb="12">
      <t>コウニュウヒ</t>
    </rPh>
    <phoneticPr fontId="6"/>
  </si>
  <si>
    <t>【農具の購入費】
・くわ類、かま類、シャベ
　ル類、ホース、じょう
　ろ、防除ネット、防鳥
　ネット等の購入費
【農業被服の購入費】
・作業着、軍手、ゴム長靴
　等の農作業用の衣類の購
　入費</t>
    <rPh sb="24" eb="25">
      <t>ルイ</t>
    </rPh>
    <rPh sb="37" eb="39">
      <t>ボウジョ</t>
    </rPh>
    <rPh sb="43" eb="45">
      <t>ボウチョウ</t>
    </rPh>
    <rPh sb="58" eb="60">
      <t>ノウギョウ</t>
    </rPh>
    <rPh sb="60" eb="62">
      <t>ヒフク</t>
    </rPh>
    <rPh sb="63" eb="65">
      <t>コウニュウ</t>
    </rPh>
    <phoneticPr fontId="6"/>
  </si>
  <si>
    <t>生産管理関係の費用</t>
    <rPh sb="0" eb="2">
      <t>セイサン</t>
    </rPh>
    <rPh sb="2" eb="4">
      <t>カンリ</t>
    </rPh>
    <rPh sb="4" eb="6">
      <t>カンケイ</t>
    </rPh>
    <rPh sb="7" eb="9">
      <t>ヒヨウ</t>
    </rPh>
    <phoneticPr fontId="6"/>
  </si>
  <si>
    <t>【購入費】
・コピー用紙、プリンター
　トナー等の消耗品の購入
　費
・農業経営に係る事務用
　机、消耗品（筆記用具、
　帳簿、ノート、電卓等）
　の購入費
【技術習得に係る費用】
・研修、集会等への参加料
　（受講料）、交通費
・営農、技術習得等に関す
　る専門書の購入費
【電話代・通信費】
・スマートフォンの通信料</t>
    <rPh sb="36" eb="38">
      <t>ノウギョウ</t>
    </rPh>
    <rPh sb="38" eb="40">
      <t>ケイエイ</t>
    </rPh>
    <rPh sb="41" eb="42">
      <t>カカ</t>
    </rPh>
    <rPh sb="43" eb="46">
      <t>ジムヨウ</t>
    </rPh>
    <rPh sb="48" eb="49">
      <t>ツクエ</t>
    </rPh>
    <rPh sb="50" eb="53">
      <t>ショウモウヒン</t>
    </rPh>
    <rPh sb="54" eb="56">
      <t>ヒッキ</t>
    </rPh>
    <rPh sb="56" eb="58">
      <t>ヨウグ</t>
    </rPh>
    <rPh sb="61" eb="63">
      <t>チョウボ</t>
    </rPh>
    <rPh sb="68" eb="70">
      <t>デンタク</t>
    </rPh>
    <rPh sb="70" eb="71">
      <t>トウ</t>
    </rPh>
    <rPh sb="75" eb="78">
      <t>コウニュウヒ</t>
    </rPh>
    <phoneticPr fontId="6"/>
  </si>
  <si>
    <t>農具・農業被服等の購入費計</t>
    <rPh sb="12" eb="13">
      <t>ケイ</t>
    </rPh>
    <phoneticPr fontId="6"/>
  </si>
  <si>
    <t>生産管理関係の費用計</t>
    <phoneticPr fontId="6"/>
  </si>
  <si>
    <t>【職員記入欄】</t>
    <phoneticPr fontId="6"/>
  </si>
  <si>
    <t>【11】土地の面積及び地代</t>
    <rPh sb="4" eb="6">
      <t>トチ</t>
    </rPh>
    <rPh sb="7" eb="9">
      <t>メンセキ</t>
    </rPh>
    <rPh sb="9" eb="10">
      <t>オヨ</t>
    </rPh>
    <rPh sb="11" eb="13">
      <t>チダイ</t>
    </rPh>
    <phoneticPr fontId="6"/>
  </si>
  <si>
    <t xml:space="preserve"> １　所有地</t>
    <rPh sb="3" eb="5">
      <t>ショユウ</t>
    </rPh>
    <rPh sb="5" eb="6">
      <t>チ</t>
    </rPh>
    <phoneticPr fontId="6"/>
  </si>
  <si>
    <t>(1)　作付地</t>
    <rPh sb="4" eb="6">
      <t>サクツケ</t>
    </rPh>
    <rPh sb="6" eb="7">
      <t>チ</t>
    </rPh>
    <phoneticPr fontId="6"/>
  </si>
  <si>
    <t>対象品目負担分</t>
    <rPh sb="0" eb="2">
      <t>タイショウ</t>
    </rPh>
    <rPh sb="2" eb="4">
      <t>ヒンモク</t>
    </rPh>
    <rPh sb="4" eb="7">
      <t>フタンブン</t>
    </rPh>
    <phoneticPr fontId="6"/>
  </si>
  <si>
    <t xml:space="preserve">   当年産の対象品目生産のために作付けした所有地について記入してください。</t>
    <rPh sb="3" eb="5">
      <t>トウネン</t>
    </rPh>
    <rPh sb="5" eb="6">
      <t>サン</t>
    </rPh>
    <rPh sb="17" eb="19">
      <t>サクツ</t>
    </rPh>
    <rPh sb="22" eb="24">
      <t>ショユウ</t>
    </rPh>
    <rPh sb="24" eb="25">
      <t>チ</t>
    </rPh>
    <phoneticPr fontId="6"/>
  </si>
  <si>
    <t>所有地（作付地）の近傍類地地代を記入してください。</t>
    <rPh sb="0" eb="3">
      <t>ショユウチ</t>
    </rPh>
    <rPh sb="4" eb="6">
      <t>サクツケ</t>
    </rPh>
    <rPh sb="6" eb="7">
      <t>チ</t>
    </rPh>
    <rPh sb="9" eb="11">
      <t>キンボウ</t>
    </rPh>
    <rPh sb="11" eb="13">
      <t>ルイチ</t>
    </rPh>
    <rPh sb="13" eb="15">
      <t>チダイ</t>
    </rPh>
    <rPh sb="16" eb="18">
      <t>キニュウ</t>
    </rPh>
    <phoneticPr fontId="6"/>
  </si>
  <si>
    <t>作付地
作付実面積（ａ）</t>
    <rPh sb="0" eb="2">
      <t>サクツケ</t>
    </rPh>
    <rPh sb="2" eb="3">
      <t>チ</t>
    </rPh>
    <rPh sb="4" eb="6">
      <t>サクツケ</t>
    </rPh>
    <phoneticPr fontId="6"/>
  </si>
  <si>
    <t>　 なお、団地（ほ場）ごとに田畑のどちらかを選択してください。</t>
    <phoneticPr fontId="6"/>
  </si>
  <si>
    <t>番号</t>
    <rPh sb="0" eb="2">
      <t>バンゴウ</t>
    </rPh>
    <phoneticPr fontId="6"/>
  </si>
  <si>
    <t>団地（ほ場）名</t>
    <rPh sb="0" eb="2">
      <t>ダンチ</t>
    </rPh>
    <rPh sb="4" eb="5">
      <t>ジョウ</t>
    </rPh>
    <rPh sb="6" eb="7">
      <t>メイ</t>
    </rPh>
    <phoneticPr fontId="6"/>
  </si>
  <si>
    <t>土地台帳面積（ａ）</t>
    <rPh sb="0" eb="2">
      <t>トチ</t>
    </rPh>
    <rPh sb="2" eb="4">
      <t>ダイチョウ</t>
    </rPh>
    <rPh sb="4" eb="6">
      <t>メンセキ</t>
    </rPh>
    <phoneticPr fontId="6"/>
  </si>
  <si>
    <t>作付実面積（ａ）</t>
    <rPh sb="0" eb="2">
      <t>サクツ</t>
    </rPh>
    <rPh sb="2" eb="3">
      <t>ジツ</t>
    </rPh>
    <rPh sb="3" eb="5">
      <t>メンセキ</t>
    </rPh>
    <phoneticPr fontId="6"/>
  </si>
  <si>
    <t>地目
（田畑）</t>
    <rPh sb="0" eb="2">
      <t>チモク</t>
    </rPh>
    <rPh sb="4" eb="5">
      <t>デン</t>
    </rPh>
    <rPh sb="5" eb="6">
      <t>ハタ</t>
    </rPh>
    <phoneticPr fontId="6"/>
  </si>
  <si>
    <t>夏植え</t>
    <rPh sb="0" eb="1">
      <t>ナツ</t>
    </rPh>
    <rPh sb="1" eb="2">
      <t>ウ</t>
    </rPh>
    <phoneticPr fontId="6"/>
  </si>
  <si>
    <t>所有地　作付地
土地台帳面積（ａ）</t>
    <rPh sb="4" eb="6">
      <t>サクツケ</t>
    </rPh>
    <rPh sb="6" eb="7">
      <t>チ</t>
    </rPh>
    <rPh sb="8" eb="10">
      <t>トチ</t>
    </rPh>
    <rPh sb="10" eb="12">
      <t>ダイチョウ</t>
    </rPh>
    <rPh sb="12" eb="14">
      <t>メンセキ</t>
    </rPh>
    <phoneticPr fontId="6"/>
  </si>
  <si>
    <t>所有地　作付地
作付実面積（ａ）</t>
    <rPh sb="8" eb="10">
      <t>サクツケ</t>
    </rPh>
    <rPh sb="10" eb="11">
      <t>ジツ</t>
    </rPh>
    <rPh sb="11" eb="13">
      <t>メンセキ</t>
    </rPh>
    <phoneticPr fontId="6"/>
  </si>
  <si>
    <t>作付地
近傍類地地代
（円/10a）</t>
    <rPh sb="4" eb="6">
      <t>キンボウ</t>
    </rPh>
    <rPh sb="6" eb="8">
      <t>ルイチ</t>
    </rPh>
    <rPh sb="8" eb="10">
      <t>チダイ</t>
    </rPh>
    <rPh sb="12" eb="13">
      <t>エン</t>
    </rPh>
    <phoneticPr fontId="6"/>
  </si>
  <si>
    <t>所有地　作付地
地代総額（円）</t>
    <rPh sb="8" eb="10">
      <t>チダイ</t>
    </rPh>
    <rPh sb="10" eb="12">
      <t>ソウガク</t>
    </rPh>
    <rPh sb="13" eb="14">
      <t>エン</t>
    </rPh>
    <phoneticPr fontId="6"/>
  </si>
  <si>
    <t>所有地　作付地
負担地代（円）</t>
    <rPh sb="8" eb="10">
      <t>フタン</t>
    </rPh>
    <rPh sb="10" eb="12">
      <t>チダイ</t>
    </rPh>
    <phoneticPr fontId="6"/>
  </si>
  <si>
    <t>田</t>
    <rPh sb="0" eb="1">
      <t>タ</t>
    </rPh>
    <phoneticPr fontId="6"/>
  </si>
  <si>
    <t>畑</t>
    <rPh sb="0" eb="1">
      <t>ハタ</t>
    </rPh>
    <phoneticPr fontId="6"/>
  </si>
  <si>
    <t>注：途中で廃耕があった場合は、廃耕分も含めた当初の作付実面積を記入してください。</t>
    <rPh sb="0" eb="1">
      <t>チュウ</t>
    </rPh>
    <rPh sb="2" eb="4">
      <t>トチュウ</t>
    </rPh>
    <rPh sb="5" eb="6">
      <t>ハイ</t>
    </rPh>
    <rPh sb="6" eb="7">
      <t>コウ</t>
    </rPh>
    <rPh sb="11" eb="13">
      <t>バアイ</t>
    </rPh>
    <rPh sb="15" eb="16">
      <t>ハイ</t>
    </rPh>
    <rPh sb="16" eb="17">
      <t>コウ</t>
    </rPh>
    <rPh sb="17" eb="18">
      <t>ブン</t>
    </rPh>
    <rPh sb="19" eb="20">
      <t>フク</t>
    </rPh>
    <rPh sb="22" eb="24">
      <t>トウショ</t>
    </rPh>
    <rPh sb="25" eb="27">
      <t>サクツケ</t>
    </rPh>
    <rPh sb="27" eb="28">
      <t>ジツ</t>
    </rPh>
    <rPh sb="28" eb="30">
      <t>メンセキ</t>
    </rPh>
    <phoneticPr fontId="6"/>
  </si>
  <si>
    <t>(2)　建物敷地等</t>
    <rPh sb="4" eb="6">
      <t>タテモノ</t>
    </rPh>
    <rPh sb="6" eb="8">
      <t>シキチ</t>
    </rPh>
    <rPh sb="8" eb="9">
      <t>トウ</t>
    </rPh>
    <phoneticPr fontId="6"/>
  </si>
  <si>
    <t xml:space="preserve">   当年産の対象品目生産のために使用した作付地以外の建物敷地等の</t>
    <rPh sb="3" eb="5">
      <t>トウネン</t>
    </rPh>
    <rPh sb="5" eb="6">
      <t>サン</t>
    </rPh>
    <rPh sb="17" eb="19">
      <t>シヨウ</t>
    </rPh>
    <rPh sb="21" eb="23">
      <t>サクツケ</t>
    </rPh>
    <rPh sb="23" eb="24">
      <t>チ</t>
    </rPh>
    <rPh sb="24" eb="26">
      <t>イガイ</t>
    </rPh>
    <rPh sb="31" eb="32">
      <t>トウ</t>
    </rPh>
    <phoneticPr fontId="6"/>
  </si>
  <si>
    <t>所有地（作付地以外）の近傍類地地代を記入してください。</t>
    <rPh sb="0" eb="3">
      <t>ショユウチ</t>
    </rPh>
    <rPh sb="4" eb="6">
      <t>サクツケ</t>
    </rPh>
    <rPh sb="6" eb="7">
      <t>チ</t>
    </rPh>
    <rPh sb="7" eb="9">
      <t>イガイ</t>
    </rPh>
    <rPh sb="11" eb="13">
      <t>キンボウ</t>
    </rPh>
    <rPh sb="13" eb="15">
      <t>ルイチ</t>
    </rPh>
    <rPh sb="15" eb="17">
      <t>チダイ</t>
    </rPh>
    <rPh sb="18" eb="20">
      <t>キニュウ</t>
    </rPh>
    <phoneticPr fontId="6"/>
  </si>
  <si>
    <t xml:space="preserve">   　所有地について記入してください。</t>
    <phoneticPr fontId="6"/>
  </si>
  <si>
    <t>使用地名</t>
    <rPh sb="0" eb="2">
      <t>シヨウ</t>
    </rPh>
    <rPh sb="2" eb="4">
      <t>チメイ</t>
    </rPh>
    <phoneticPr fontId="6"/>
  </si>
  <si>
    <t>総 面 積
（ａ）</t>
    <rPh sb="0" eb="1">
      <t>フサ</t>
    </rPh>
    <rPh sb="2" eb="3">
      <t>メン</t>
    </rPh>
    <rPh sb="4" eb="5">
      <t>セキ</t>
    </rPh>
    <phoneticPr fontId="6"/>
  </si>
  <si>
    <t>使用面積
（ａ）</t>
    <rPh sb="0" eb="1">
      <t>シ</t>
    </rPh>
    <rPh sb="1" eb="2">
      <t>ヨウ</t>
    </rPh>
    <phoneticPr fontId="6"/>
  </si>
  <si>
    <t>所有地
作付地以外
総面積（ａ）</t>
    <rPh sb="10" eb="11">
      <t>ソウ</t>
    </rPh>
    <rPh sb="11" eb="13">
      <t>メンセキ</t>
    </rPh>
    <phoneticPr fontId="6"/>
  </si>
  <si>
    <t>所有地
作付地以外
使用面積（ａ）</t>
    <rPh sb="10" eb="12">
      <t>シヨウ</t>
    </rPh>
    <rPh sb="12" eb="14">
      <t>メンセキ</t>
    </rPh>
    <phoneticPr fontId="6"/>
  </si>
  <si>
    <t>作付地以外
近傍類地地代
（円/10a）</t>
    <rPh sb="3" eb="5">
      <t>イガイ</t>
    </rPh>
    <rPh sb="6" eb="8">
      <t>キンボウ</t>
    </rPh>
    <rPh sb="8" eb="10">
      <t>ルイチ</t>
    </rPh>
    <rPh sb="10" eb="12">
      <t>チダイ</t>
    </rPh>
    <rPh sb="14" eb="15">
      <t>エン</t>
    </rPh>
    <phoneticPr fontId="6"/>
  </si>
  <si>
    <t>所有地
作付地以外
賃借料総額（円）</t>
    <rPh sb="7" eb="9">
      <t>イガイ</t>
    </rPh>
    <rPh sb="10" eb="11">
      <t>シャク</t>
    </rPh>
    <rPh sb="11" eb="12">
      <t>リョウ</t>
    </rPh>
    <rPh sb="13" eb="15">
      <t>ソウガク</t>
    </rPh>
    <phoneticPr fontId="6"/>
  </si>
  <si>
    <t>所有地
作付地以外
負担地代（円）</t>
    <rPh sb="7" eb="9">
      <t>イガイ</t>
    </rPh>
    <rPh sb="10" eb="12">
      <t>フタン</t>
    </rPh>
    <rPh sb="12" eb="14">
      <t>チダイ</t>
    </rPh>
    <phoneticPr fontId="6"/>
  </si>
  <si>
    <t xml:space="preserve"> ２　借入地</t>
    <rPh sb="3" eb="5">
      <t>カリイレ</t>
    </rPh>
    <rPh sb="5" eb="6">
      <t>チ</t>
    </rPh>
    <phoneticPr fontId="6"/>
  </si>
  <si>
    <t xml:space="preserve">   当年産の対象品目生産のために作付けした借入地について記入してください。</t>
    <rPh sb="3" eb="5">
      <t>トウネン</t>
    </rPh>
    <rPh sb="5" eb="6">
      <t>サン</t>
    </rPh>
    <rPh sb="17" eb="19">
      <t>サクツ</t>
    </rPh>
    <rPh sb="22" eb="24">
      <t>カリイレ</t>
    </rPh>
    <rPh sb="24" eb="25">
      <t>チ</t>
    </rPh>
    <phoneticPr fontId="6"/>
  </si>
  <si>
    <t>　 なお、団地（ほ場）ごとに田畑のどちらかを選択してください。</t>
    <phoneticPr fontId="6"/>
  </si>
  <si>
    <t>作付実面積
（ａ）</t>
    <rPh sb="0" eb="2">
      <t>サクツ</t>
    </rPh>
    <rPh sb="2" eb="3">
      <t>ジツ</t>
    </rPh>
    <rPh sb="3" eb="5">
      <t>メンセキ</t>
    </rPh>
    <phoneticPr fontId="6"/>
  </si>
  <si>
    <t>支  払  地  代
（円）</t>
    <rPh sb="0" eb="1">
      <t>シ</t>
    </rPh>
    <rPh sb="3" eb="4">
      <t>バライ</t>
    </rPh>
    <rPh sb="6" eb="7">
      <t>チ</t>
    </rPh>
    <rPh sb="9" eb="10">
      <t>ダイ</t>
    </rPh>
    <rPh sb="12" eb="13">
      <t>エン</t>
    </rPh>
    <phoneticPr fontId="6"/>
  </si>
  <si>
    <t>借入地　作付地
土地台帳面積（ａ）</t>
    <rPh sb="8" eb="10">
      <t>トチ</t>
    </rPh>
    <rPh sb="10" eb="12">
      <t>ダイチョウ</t>
    </rPh>
    <rPh sb="12" eb="14">
      <t>メンセキ</t>
    </rPh>
    <phoneticPr fontId="6"/>
  </si>
  <si>
    <t>借入地　作付地
作付実面積（ａ）</t>
    <rPh sb="8" eb="10">
      <t>サクツケ</t>
    </rPh>
    <rPh sb="10" eb="11">
      <t>ジツ</t>
    </rPh>
    <rPh sb="11" eb="13">
      <t>メンセキ</t>
    </rPh>
    <phoneticPr fontId="6"/>
  </si>
  <si>
    <t>借入地　作付地
地代総額
（円）</t>
    <rPh sb="8" eb="10">
      <t>チダイ</t>
    </rPh>
    <rPh sb="10" eb="12">
      <t>ソウガク</t>
    </rPh>
    <rPh sb="14" eb="15">
      <t>エン</t>
    </rPh>
    <phoneticPr fontId="6"/>
  </si>
  <si>
    <t>借入地　作付地
負担地代
（円）</t>
    <rPh sb="8" eb="9">
      <t>フ</t>
    </rPh>
    <rPh sb="9" eb="10">
      <t>タン</t>
    </rPh>
    <rPh sb="10" eb="11">
      <t>チ</t>
    </rPh>
    <rPh sb="11" eb="12">
      <t>ダイ</t>
    </rPh>
    <rPh sb="14" eb="15">
      <t>エン</t>
    </rPh>
    <phoneticPr fontId="6"/>
  </si>
  <si>
    <t xml:space="preserve">   当年産の対象品目生産のために使用した作付地以外の建物敷地等の借入地について</t>
    <rPh sb="3" eb="5">
      <t>トウネン</t>
    </rPh>
    <rPh sb="5" eb="6">
      <t>サン</t>
    </rPh>
    <rPh sb="17" eb="19">
      <t>シヨウ</t>
    </rPh>
    <rPh sb="21" eb="23">
      <t>サクツケ</t>
    </rPh>
    <rPh sb="23" eb="24">
      <t>チ</t>
    </rPh>
    <rPh sb="24" eb="26">
      <t>イガイ</t>
    </rPh>
    <rPh sb="27" eb="29">
      <t>タテモノ</t>
    </rPh>
    <rPh sb="29" eb="31">
      <t>シキチ</t>
    </rPh>
    <rPh sb="31" eb="32">
      <t>トウ</t>
    </rPh>
    <rPh sb="33" eb="35">
      <t>カリイレ</t>
    </rPh>
    <rPh sb="35" eb="36">
      <t>チ</t>
    </rPh>
    <phoneticPr fontId="6"/>
  </si>
  <si>
    <t>　   記入してください。</t>
    <phoneticPr fontId="6"/>
  </si>
  <si>
    <t>使 用 面 積（ａ）</t>
    <rPh sb="0" eb="1">
      <t>シ</t>
    </rPh>
    <rPh sb="2" eb="3">
      <t>ヨウ</t>
    </rPh>
    <rPh sb="4" eb="5">
      <t>メン</t>
    </rPh>
    <rPh sb="6" eb="7">
      <t>セキ</t>
    </rPh>
    <phoneticPr fontId="6"/>
  </si>
  <si>
    <t>支 払 賃 借 料
（円）</t>
    <rPh sb="0" eb="1">
      <t>シ</t>
    </rPh>
    <rPh sb="2" eb="3">
      <t>バライ</t>
    </rPh>
    <rPh sb="4" eb="5">
      <t>チン</t>
    </rPh>
    <rPh sb="6" eb="7">
      <t>シャク</t>
    </rPh>
    <rPh sb="8" eb="9">
      <t>リョウ</t>
    </rPh>
    <rPh sb="11" eb="12">
      <t>エン</t>
    </rPh>
    <phoneticPr fontId="6"/>
  </si>
  <si>
    <t>借入地
作付地以外
総面積（ａ）</t>
    <rPh sb="10" eb="11">
      <t>ソウ</t>
    </rPh>
    <rPh sb="11" eb="13">
      <t>メンセキ</t>
    </rPh>
    <phoneticPr fontId="6"/>
  </si>
  <si>
    <t>借入地
作付地以外
使用面積（ａ）</t>
    <rPh sb="10" eb="12">
      <t>シヨウ</t>
    </rPh>
    <rPh sb="12" eb="14">
      <t>メンセキ</t>
    </rPh>
    <phoneticPr fontId="6"/>
  </si>
  <si>
    <t>借入地
作付地以外
賃借料総額（円）</t>
    <rPh sb="7" eb="9">
      <t>イガイ</t>
    </rPh>
    <rPh sb="10" eb="11">
      <t>シャク</t>
    </rPh>
    <rPh sb="11" eb="12">
      <t>リョウ</t>
    </rPh>
    <rPh sb="13" eb="15">
      <t>ソウガク</t>
    </rPh>
    <phoneticPr fontId="6"/>
  </si>
  <si>
    <t>借入地
作付地以外
負担地代（円）</t>
    <rPh sb="7" eb="9">
      <t>イガイ</t>
    </rPh>
    <rPh sb="10" eb="12">
      <t>フタン</t>
    </rPh>
    <rPh sb="12" eb="14">
      <t>チダイ</t>
    </rPh>
    <phoneticPr fontId="6"/>
  </si>
  <si>
    <t>【12】作業別労働時間</t>
    <rPh sb="4" eb="7">
      <t>サギョウベツ</t>
    </rPh>
    <rPh sb="7" eb="9">
      <t>ロウドウ</t>
    </rPh>
    <rPh sb="9" eb="11">
      <t>ジカン</t>
    </rPh>
    <phoneticPr fontId="6"/>
  </si>
  <si>
    <t xml:space="preserve"> 　当年産の対象品目生産における作業時間（時間）について記入してください。</t>
    <rPh sb="2" eb="3">
      <t>トウ</t>
    </rPh>
    <rPh sb="3" eb="5">
      <t>ネンサン</t>
    </rPh>
    <rPh sb="10" eb="12">
      <t>セイサン</t>
    </rPh>
    <rPh sb="16" eb="18">
      <t>サギョウ</t>
    </rPh>
    <rPh sb="18" eb="20">
      <t>ジカン</t>
    </rPh>
    <phoneticPr fontId="6"/>
  </si>
  <si>
    <t xml:space="preserve"> 　作業時間は食事などを除いた実労働時間とし、最初の作業までの準備から農具の片付けまでの時間やほ場への往復時間も含めてください。</t>
    <rPh sb="44" eb="46">
      <t>ジカン</t>
    </rPh>
    <phoneticPr fontId="6"/>
  </si>
  <si>
    <t xml:space="preserve"> 　また、複数の作業を同時に行った場合は、要した時間を作業数で等分し、それぞれの作業へ等分した時間を記入してください。</t>
    <rPh sb="11" eb="13">
      <t>ドウジ</t>
    </rPh>
    <phoneticPr fontId="6"/>
  </si>
  <si>
    <t>　　</t>
    <phoneticPr fontId="6"/>
  </si>
  <si>
    <t>作業別労働時間</t>
    <rPh sb="0" eb="3">
      <t>サギョウベツ</t>
    </rPh>
    <rPh sb="3" eb="5">
      <t>ロウドウ</t>
    </rPh>
    <rPh sb="5" eb="7">
      <t>ジカン</t>
    </rPh>
    <phoneticPr fontId="85"/>
  </si>
  <si>
    <t>　１　家族労働時間</t>
    <rPh sb="3" eb="5">
      <t>カゾク</t>
    </rPh>
    <rPh sb="5" eb="7">
      <t>ロウドウ</t>
    </rPh>
    <rPh sb="7" eb="9">
      <t>ジカン</t>
    </rPh>
    <phoneticPr fontId="6"/>
  </si>
  <si>
    <t>２　雇用労働時間</t>
    <rPh sb="2" eb="4">
      <t>コヨウ</t>
    </rPh>
    <rPh sb="4" eb="6">
      <t>ロウドウ</t>
    </rPh>
    <rPh sb="6" eb="8">
      <t>ジカン</t>
    </rPh>
    <phoneticPr fontId="6"/>
  </si>
  <si>
    <t xml:space="preserve"> 　人別・作業別に労働時間を記入してください。</t>
    <rPh sb="2" eb="3">
      <t>ヒト</t>
    </rPh>
    <rPh sb="3" eb="4">
      <t>ベツ</t>
    </rPh>
    <rPh sb="5" eb="8">
      <t>サギョウベツ</t>
    </rPh>
    <rPh sb="9" eb="11">
      <t>ロウドウ</t>
    </rPh>
    <rPh sb="11" eb="13">
      <t>ジカン</t>
    </rPh>
    <phoneticPr fontId="6"/>
  </si>
  <si>
    <t xml:space="preserve">  　雇用者の男女別・作業別に労働時間を記入してください。</t>
    <rPh sb="3" eb="6">
      <t>コヨウシャ</t>
    </rPh>
    <rPh sb="7" eb="9">
      <t>ダンジョ</t>
    </rPh>
    <rPh sb="9" eb="10">
      <t>ベツ</t>
    </rPh>
    <rPh sb="11" eb="14">
      <t>サギョウベツ</t>
    </rPh>
    <rPh sb="15" eb="17">
      <t>ロウドウ</t>
    </rPh>
    <rPh sb="17" eb="19">
      <t>ジカン</t>
    </rPh>
    <phoneticPr fontId="6"/>
  </si>
  <si>
    <t>単位：時間</t>
    <rPh sb="0" eb="2">
      <t>タンイ</t>
    </rPh>
    <rPh sb="3" eb="5">
      <t>ジカン</t>
    </rPh>
    <phoneticPr fontId="85"/>
  </si>
  <si>
    <t>作業
種類</t>
    <rPh sb="0" eb="2">
      <t>サギョウ</t>
    </rPh>
    <rPh sb="3" eb="5">
      <t>シュルイ</t>
    </rPh>
    <phoneticPr fontId="6"/>
  </si>
  <si>
    <t>雇用労働
時間
男</t>
    <rPh sb="0" eb="2">
      <t>コヨウ</t>
    </rPh>
    <rPh sb="2" eb="4">
      <t>ロウドウ</t>
    </rPh>
    <rPh sb="5" eb="7">
      <t>ジカン</t>
    </rPh>
    <rPh sb="9" eb="10">
      <t>オトコ</t>
    </rPh>
    <phoneticPr fontId="6"/>
  </si>
  <si>
    <t>雇用労働
時間
女</t>
    <rPh sb="0" eb="2">
      <t>コヨウ</t>
    </rPh>
    <rPh sb="2" eb="4">
      <t>ロウドウ</t>
    </rPh>
    <rPh sb="5" eb="7">
      <t>ジカン</t>
    </rPh>
    <rPh sb="9" eb="10">
      <t>オンナ</t>
    </rPh>
    <phoneticPr fontId="6"/>
  </si>
  <si>
    <t>家族</t>
    <rPh sb="0" eb="2">
      <t>カゾク</t>
    </rPh>
    <phoneticPr fontId="85"/>
  </si>
  <si>
    <t>雇用</t>
    <rPh sb="0" eb="2">
      <t>コヨウ</t>
    </rPh>
    <phoneticPr fontId="38"/>
  </si>
  <si>
    <t>氏名</t>
    <rPh sb="0" eb="2">
      <t>シメイ</t>
    </rPh>
    <phoneticPr fontId="6"/>
  </si>
  <si>
    <t>男</t>
    <rPh sb="0" eb="1">
      <t>オトコ</t>
    </rPh>
    <phoneticPr fontId="85"/>
  </si>
  <si>
    <t>女</t>
    <rPh sb="0" eb="1">
      <t>オンナ</t>
    </rPh>
    <phoneticPr fontId="85"/>
  </si>
  <si>
    <t>小計</t>
    <rPh sb="0" eb="2">
      <t>ショウケイ</t>
    </rPh>
    <phoneticPr fontId="85"/>
  </si>
  <si>
    <t>男</t>
    <rPh sb="0" eb="1">
      <t>オトコ</t>
    </rPh>
    <phoneticPr fontId="38"/>
  </si>
  <si>
    <t>女</t>
    <phoneticPr fontId="85"/>
  </si>
  <si>
    <t>小　　計</t>
    <phoneticPr fontId="85"/>
  </si>
  <si>
    <t>性別</t>
    <rPh sb="0" eb="2">
      <t>セイベツ</t>
    </rPh>
    <phoneticPr fontId="6"/>
  </si>
  <si>
    <t>雇用</t>
    <rPh sb="0" eb="2">
      <t>コヨウ</t>
    </rPh>
    <phoneticPr fontId="85"/>
  </si>
  <si>
    <t>同居人、手伝い・共同作業受け</t>
    <phoneticPr fontId="85"/>
  </si>
  <si>
    <t>計</t>
    <rPh sb="0" eb="1">
      <t>ケイ</t>
    </rPh>
    <phoneticPr fontId="85"/>
  </si>
  <si>
    <t>同居人、手伝い・共同作業受け</t>
    <phoneticPr fontId="85"/>
  </si>
  <si>
    <t>年齢（歳）</t>
    <rPh sb="0" eb="2">
      <t>ネンレイ</t>
    </rPh>
    <rPh sb="3" eb="4">
      <t>サイ</t>
    </rPh>
    <phoneticPr fontId="6"/>
  </si>
  <si>
    <t>該当する人別区分を
選択してください。</t>
    <rPh sb="0" eb="2">
      <t>ガイトウ</t>
    </rPh>
    <rPh sb="4" eb="5">
      <t>ヒト</t>
    </rPh>
    <rPh sb="5" eb="6">
      <t>ベツ</t>
    </rPh>
    <rPh sb="6" eb="8">
      <t>クブン</t>
    </rPh>
    <rPh sb="10" eb="12">
      <t>センタク</t>
    </rPh>
    <phoneticPr fontId="6"/>
  </si>
  <si>
    <t>人別区分</t>
    <rPh sb="0" eb="1">
      <t>ヒト</t>
    </rPh>
    <rPh sb="1" eb="2">
      <t>ベツ</t>
    </rPh>
    <rPh sb="2" eb="4">
      <t>クブン</t>
    </rPh>
    <phoneticPr fontId="6"/>
  </si>
  <si>
    <t>種子
予措</t>
    <rPh sb="0" eb="2">
      <t>シュシ</t>
    </rPh>
    <rPh sb="3" eb="5">
      <t>ヨソ</t>
    </rPh>
    <phoneticPr fontId="1"/>
  </si>
  <si>
    <t>選種、浸種、消毒、催芽</t>
    <phoneticPr fontId="6"/>
  </si>
  <si>
    <t>選種、浸種、消毒、催芽</t>
    <phoneticPr fontId="6"/>
  </si>
  <si>
    <t>直接労働時間</t>
    <rPh sb="0" eb="2">
      <t>チョクセツ</t>
    </rPh>
    <rPh sb="2" eb="4">
      <t>ロウドウ</t>
    </rPh>
    <rPh sb="4" eb="6">
      <t>ジカン</t>
    </rPh>
    <phoneticPr fontId="38"/>
  </si>
  <si>
    <t>種子予措</t>
    <rPh sb="0" eb="2">
      <t>シュシ</t>
    </rPh>
    <rPh sb="2" eb="3">
      <t>ヨ</t>
    </rPh>
    <rPh sb="3" eb="4">
      <t>ソチ</t>
    </rPh>
    <phoneticPr fontId="38"/>
  </si>
  <si>
    <t>育苗</t>
    <rPh sb="0" eb="2">
      <t>イクビョウ</t>
    </rPh>
    <phoneticPr fontId="1"/>
  </si>
  <si>
    <t>育苗用の選種、消毒、土壌消毒、苗床の作業一切、育苗ハウスの設置・解体等</t>
    <phoneticPr fontId="6"/>
  </si>
  <si>
    <t>育苗</t>
    <rPh sb="0" eb="2">
      <t>イクビョウ</t>
    </rPh>
    <phoneticPr fontId="38"/>
  </si>
  <si>
    <t>耕起
整地</t>
    <rPh sb="0" eb="2">
      <t>コウキ</t>
    </rPh>
    <rPh sb="3" eb="5">
      <t>セイチ</t>
    </rPh>
    <phoneticPr fontId="1"/>
  </si>
  <si>
    <t>耕起、整地、畝立て、融雪剤散布</t>
    <phoneticPr fontId="1"/>
  </si>
  <si>
    <t>耕起、整地、畝立て、融雪剤散布</t>
    <phoneticPr fontId="1"/>
  </si>
  <si>
    <t>耕起整地</t>
    <rPh sb="0" eb="2">
      <t>コウキ</t>
    </rPh>
    <rPh sb="2" eb="4">
      <t>セイチ</t>
    </rPh>
    <phoneticPr fontId="38"/>
  </si>
  <si>
    <t>基肥</t>
    <rPh sb="0" eb="2">
      <t>モトゴエ</t>
    </rPh>
    <phoneticPr fontId="1"/>
  </si>
  <si>
    <t>基肥の配合、運搬、施肥</t>
    <phoneticPr fontId="6"/>
  </si>
  <si>
    <t>基肥</t>
    <rPh sb="0" eb="1">
      <t>モト</t>
    </rPh>
    <rPh sb="1" eb="2">
      <t>ヒ</t>
    </rPh>
    <phoneticPr fontId="38"/>
  </si>
  <si>
    <t>は種</t>
    <phoneticPr fontId="1"/>
  </si>
  <si>
    <t>種まき、覆土</t>
    <phoneticPr fontId="6"/>
  </si>
  <si>
    <t>は種</t>
    <phoneticPr fontId="1"/>
  </si>
  <si>
    <t>種まき、覆土</t>
    <phoneticPr fontId="6"/>
  </si>
  <si>
    <t>直まき／は種</t>
    <rPh sb="0" eb="1">
      <t>チョク</t>
    </rPh>
    <rPh sb="5" eb="6">
      <t>タネ</t>
    </rPh>
    <phoneticPr fontId="38"/>
  </si>
  <si>
    <t>定植</t>
    <phoneticPr fontId="1"/>
  </si>
  <si>
    <t>苗取り、植穴堀り、苗運搬、定植、補植</t>
    <phoneticPr fontId="1"/>
  </si>
  <si>
    <t>苗取り、植穴堀り、苗運搬、定植、補植</t>
    <phoneticPr fontId="1"/>
  </si>
  <si>
    <t>田植／定植</t>
    <rPh sb="0" eb="2">
      <t>タウ</t>
    </rPh>
    <rPh sb="3" eb="5">
      <t>テイショク</t>
    </rPh>
    <phoneticPr fontId="38"/>
  </si>
  <si>
    <t>株分け</t>
    <rPh sb="0" eb="2">
      <t>カブワ</t>
    </rPh>
    <phoneticPr fontId="6"/>
  </si>
  <si>
    <t>苗の消毒、調苗、株の切断</t>
    <phoneticPr fontId="6"/>
  </si>
  <si>
    <t>苗の消毒、調苗、株の切断</t>
  </si>
  <si>
    <t>株分け</t>
    <rPh sb="0" eb="2">
      <t>カブワ</t>
    </rPh>
    <phoneticPr fontId="85"/>
  </si>
  <si>
    <t>追肥</t>
    <rPh sb="0" eb="2">
      <t>ツイヒ</t>
    </rPh>
    <phoneticPr fontId="6"/>
  </si>
  <si>
    <t>追肥の配合、運搬、施肥</t>
    <phoneticPr fontId="6"/>
  </si>
  <si>
    <t>追肥の配合、運搬、施肥</t>
    <phoneticPr fontId="6"/>
  </si>
  <si>
    <t>追肥</t>
    <rPh sb="0" eb="2">
      <t>ツイヒ</t>
    </rPh>
    <phoneticPr fontId="38"/>
  </si>
  <si>
    <t>中耕
除草</t>
    <phoneticPr fontId="6"/>
  </si>
  <si>
    <t>ほ場内の中耕、土入れ、土寄せ、除草、除草剤散布</t>
    <phoneticPr fontId="6"/>
  </si>
  <si>
    <t>ほ場内の中耕、土入れ、土寄せ、除草、除草剤散布</t>
    <phoneticPr fontId="6"/>
  </si>
  <si>
    <t>除草／中耕除草</t>
    <rPh sb="0" eb="2">
      <t>ジョソウ</t>
    </rPh>
    <rPh sb="3" eb="5">
      <t>チュウコウ</t>
    </rPh>
    <rPh sb="5" eb="7">
      <t>ジョソウ</t>
    </rPh>
    <phoneticPr fontId="38"/>
  </si>
  <si>
    <t>麦踏み</t>
    <rPh sb="0" eb="2">
      <t>ムギフ</t>
    </rPh>
    <phoneticPr fontId="6"/>
  </si>
  <si>
    <t>麦踏み（ローラー等による鎮圧を含む。）</t>
    <phoneticPr fontId="85"/>
  </si>
  <si>
    <t>麦踏み（ローラー等による鎮圧を含む。）</t>
  </si>
  <si>
    <t>麦踏み</t>
    <rPh sb="0" eb="2">
      <t>ムギフ</t>
    </rPh>
    <phoneticPr fontId="85"/>
  </si>
  <si>
    <t>管理</t>
    <rPh sb="0" eb="2">
      <t>カンリ</t>
    </rPh>
    <phoneticPr fontId="6"/>
  </si>
  <si>
    <t>かん排水、けい畔の草刈り、けい畔の除草剤散布、心土破砕、ほ場見回り</t>
    <phoneticPr fontId="6"/>
  </si>
  <si>
    <t>かん排水、けい畔の草刈り、けい畔の除草剤散布、心土破砕、ほ場見回り</t>
    <phoneticPr fontId="6"/>
  </si>
  <si>
    <t>管理</t>
    <rPh sb="0" eb="2">
      <t>カンリ</t>
    </rPh>
    <phoneticPr fontId="38"/>
  </si>
  <si>
    <t>防除</t>
    <rPh sb="0" eb="2">
      <t>ボウジョ</t>
    </rPh>
    <phoneticPr fontId="6"/>
  </si>
  <si>
    <t>農薬散布（除草剤除く。）による防除、鳥獣害対策</t>
    <phoneticPr fontId="6"/>
  </si>
  <si>
    <t>農薬散布（除草剤除く。）による防除、鳥獣害対策</t>
  </si>
  <si>
    <t>防除</t>
    <rPh sb="0" eb="2">
      <t>ボウジョ</t>
    </rPh>
    <phoneticPr fontId="38"/>
  </si>
  <si>
    <t>はく葉</t>
    <rPh sb="2" eb="3">
      <t>ヨウ</t>
    </rPh>
    <phoneticPr fontId="6"/>
  </si>
  <si>
    <t>はく葉</t>
    <phoneticPr fontId="6"/>
  </si>
  <si>
    <t>はく葉</t>
  </si>
  <si>
    <t>はく葉</t>
    <rPh sb="2" eb="3">
      <t>ヨウ</t>
    </rPh>
    <phoneticPr fontId="85"/>
  </si>
  <si>
    <t>刈取
脱穀</t>
    <phoneticPr fontId="1"/>
  </si>
  <si>
    <t>収穫、運搬、脱穀</t>
    <phoneticPr fontId="6"/>
  </si>
  <si>
    <t>刈取脱穀</t>
    <rPh sb="0" eb="4">
      <t>カリトリダッコク</t>
    </rPh>
    <phoneticPr fontId="38"/>
  </si>
  <si>
    <t>乾燥</t>
    <rPh sb="0" eb="2">
      <t>カンソウ</t>
    </rPh>
    <phoneticPr fontId="6"/>
  </si>
  <si>
    <t>乾燥、調製</t>
    <phoneticPr fontId="6"/>
  </si>
  <si>
    <t>乾燥</t>
    <phoneticPr fontId="1"/>
  </si>
  <si>
    <t>乾燥</t>
    <rPh sb="0" eb="2">
      <t>カンソウ</t>
    </rPh>
    <phoneticPr fontId="38"/>
  </si>
  <si>
    <t>生産
管理</t>
    <rPh sb="0" eb="2">
      <t>セイサン</t>
    </rPh>
    <rPh sb="3" eb="5">
      <t>カンリ</t>
    </rPh>
    <phoneticPr fontId="6"/>
  </si>
  <si>
    <t>共同作業打合せ、技術習得、簿記記帳（税務申告は含まない。）</t>
    <rPh sb="18" eb="20">
      <t>ゼイム</t>
    </rPh>
    <rPh sb="20" eb="22">
      <t>シンコク</t>
    </rPh>
    <rPh sb="23" eb="24">
      <t>フク</t>
    </rPh>
    <phoneticPr fontId="6"/>
  </si>
  <si>
    <t>生産管理</t>
    <rPh sb="0" eb="2">
      <t>セイサン</t>
    </rPh>
    <rPh sb="2" eb="4">
      <t>カンリ</t>
    </rPh>
    <phoneticPr fontId="38"/>
  </si>
  <si>
    <t>労賃単価を入力してください。</t>
    <rPh sb="0" eb="2">
      <t>ロウチン</t>
    </rPh>
    <rPh sb="2" eb="4">
      <t>タンカ</t>
    </rPh>
    <rPh sb="5" eb="7">
      <t>ニュウリョク</t>
    </rPh>
    <phoneticPr fontId="6"/>
  </si>
  <si>
    <t>間接
労働</t>
    <rPh sb="0" eb="2">
      <t>カンセツ</t>
    </rPh>
    <rPh sb="3" eb="5">
      <t>ロウドウ</t>
    </rPh>
    <phoneticPr fontId="6"/>
  </si>
  <si>
    <t>建物、農機具等の修繕、購入資材の調達等</t>
    <rPh sb="0" eb="2">
      <t>タテモノ</t>
    </rPh>
    <rPh sb="3" eb="6">
      <t>ノウキグ</t>
    </rPh>
    <rPh sb="6" eb="7">
      <t>トウ</t>
    </rPh>
    <rPh sb="8" eb="10">
      <t>シュウゼン</t>
    </rPh>
    <rPh sb="11" eb="13">
      <t>コウニュウ</t>
    </rPh>
    <rPh sb="13" eb="15">
      <t>シザイ</t>
    </rPh>
    <rPh sb="16" eb="18">
      <t>チョウタツ</t>
    </rPh>
    <rPh sb="18" eb="19">
      <t>トウ</t>
    </rPh>
    <phoneticPr fontId="6"/>
  </si>
  <si>
    <t>間接労働時間</t>
    <rPh sb="0" eb="2">
      <t>カンセツ</t>
    </rPh>
    <rPh sb="2" eb="4">
      <t>ロウドウ</t>
    </rPh>
    <rPh sb="4" eb="6">
      <t>ジカン</t>
    </rPh>
    <phoneticPr fontId="38"/>
  </si>
  <si>
    <t>労賃単価（円）</t>
    <rPh sb="0" eb="2">
      <t>ロウチン</t>
    </rPh>
    <rPh sb="2" eb="4">
      <t>タンカ</t>
    </rPh>
    <rPh sb="5" eb="6">
      <t>エン</t>
    </rPh>
    <phoneticPr fontId="6"/>
  </si>
  <si>
    <t>労働時間合計</t>
    <rPh sb="0" eb="2">
      <t>ロウドウ</t>
    </rPh>
    <rPh sb="2" eb="4">
      <t>ジカン</t>
    </rPh>
    <rPh sb="4" eb="6">
      <t>ゴウケイ</t>
    </rPh>
    <phoneticPr fontId="38"/>
  </si>
  <si>
    <t>　３　支払賃金</t>
    <rPh sb="3" eb="5">
      <t>シハライ</t>
    </rPh>
    <rPh sb="5" eb="7">
      <t>チンギン</t>
    </rPh>
    <phoneticPr fontId="6"/>
  </si>
  <si>
    <t xml:space="preserve">   当年産の対象品目生産のために雇用者に支払った労賃（現物支給も含む。）を記入してください。</t>
    <rPh sb="3" eb="5">
      <t>トウネン</t>
    </rPh>
    <rPh sb="5" eb="6">
      <t>サン</t>
    </rPh>
    <rPh sb="11" eb="13">
      <t>セイサン</t>
    </rPh>
    <rPh sb="17" eb="20">
      <t>コヨウシャ</t>
    </rPh>
    <rPh sb="21" eb="23">
      <t>シハラ</t>
    </rPh>
    <rPh sb="25" eb="27">
      <t>ロウチン</t>
    </rPh>
    <rPh sb="28" eb="30">
      <t>ゲンブツ</t>
    </rPh>
    <rPh sb="30" eb="32">
      <t>シキュウ</t>
    </rPh>
    <rPh sb="33" eb="34">
      <t>フク</t>
    </rPh>
    <phoneticPr fontId="6"/>
  </si>
  <si>
    <t>年齢階層別労働時間・労働評価額</t>
    <rPh sb="0" eb="2">
      <t>ネンレイ</t>
    </rPh>
    <rPh sb="2" eb="5">
      <t>カイソウベツ</t>
    </rPh>
    <rPh sb="5" eb="7">
      <t>ロウドウ</t>
    </rPh>
    <rPh sb="7" eb="9">
      <t>ジカン</t>
    </rPh>
    <rPh sb="10" eb="12">
      <t>ロウドウ</t>
    </rPh>
    <rPh sb="12" eb="15">
      <t>ヒョウカガク</t>
    </rPh>
    <phoneticPr fontId="85"/>
  </si>
  <si>
    <t>支払賃金（円）</t>
    <rPh sb="0" eb="2">
      <t>シハライ</t>
    </rPh>
    <rPh sb="2" eb="4">
      <t>チンギン</t>
    </rPh>
    <rPh sb="5" eb="6">
      <t>エン</t>
    </rPh>
    <phoneticPr fontId="6"/>
  </si>
  <si>
    <t>対象品目
負担割合（％）</t>
    <rPh sb="5" eb="7">
      <t>フタン</t>
    </rPh>
    <rPh sb="7" eb="9">
      <t>ワリアイ</t>
    </rPh>
    <phoneticPr fontId="6"/>
  </si>
  <si>
    <t>単位：時間、円</t>
    <rPh sb="0" eb="2">
      <t>タンイ</t>
    </rPh>
    <rPh sb="3" eb="5">
      <t>ジカン</t>
    </rPh>
    <rPh sb="6" eb="7">
      <t>エン</t>
    </rPh>
    <phoneticPr fontId="85"/>
  </si>
  <si>
    <t>家族</t>
    <rPh sb="0" eb="2">
      <t>カゾク</t>
    </rPh>
    <phoneticPr fontId="38"/>
  </si>
  <si>
    <t>男</t>
    <rPh sb="0" eb="1">
      <t>オトコ</t>
    </rPh>
    <phoneticPr fontId="6"/>
  </si>
  <si>
    <t>女</t>
    <rPh sb="0" eb="1">
      <t>オンナ</t>
    </rPh>
    <phoneticPr fontId="38"/>
  </si>
  <si>
    <t>小　　計</t>
    <rPh sb="0" eb="4">
      <t>ショウケイ</t>
    </rPh>
    <phoneticPr fontId="38"/>
  </si>
  <si>
    <t>女</t>
    <rPh sb="0" eb="1">
      <t>オンナ</t>
    </rPh>
    <phoneticPr fontId="6"/>
  </si>
  <si>
    <t>６５歳未満</t>
    <rPh sb="2" eb="3">
      <t>サイ</t>
    </rPh>
    <rPh sb="3" eb="5">
      <t>ミマン</t>
    </rPh>
    <phoneticPr fontId="85"/>
  </si>
  <si>
    <t>６５～７０</t>
  </si>
  <si>
    <t>７０～７５</t>
  </si>
  <si>
    <t>７５歳以上</t>
    <rPh sb="2" eb="5">
      <t>サイイジョウ</t>
    </rPh>
    <phoneticPr fontId="85"/>
  </si>
  <si>
    <t>労働時間</t>
    <rPh sb="0" eb="2">
      <t>ロウドウ</t>
    </rPh>
    <rPh sb="2" eb="4">
      <t>ジカン</t>
    </rPh>
    <phoneticPr fontId="85"/>
  </si>
  <si>
    <t>直接労働</t>
    <rPh sb="0" eb="2">
      <t>チョクセツ</t>
    </rPh>
    <rPh sb="2" eb="4">
      <t>ロウドウ</t>
    </rPh>
    <phoneticPr fontId="85"/>
  </si>
  <si>
    <t>間接労働</t>
    <rPh sb="0" eb="2">
      <t>カンセツ</t>
    </rPh>
    <rPh sb="2" eb="4">
      <t>ロウドウ</t>
    </rPh>
    <phoneticPr fontId="85"/>
  </si>
  <si>
    <t>労働評価額</t>
    <rPh sb="0" eb="2">
      <t>ロウドウ</t>
    </rPh>
    <rPh sb="2" eb="5">
      <t>ヒョウカガク</t>
    </rPh>
    <phoneticPr fontId="85"/>
  </si>
  <si>
    <t>女</t>
    <phoneticPr fontId="85"/>
  </si>
  <si>
    <t>小　　計</t>
    <phoneticPr fontId="85"/>
  </si>
  <si>
    <t>同居人、手伝い・共同作業受け</t>
    <rPh sb="0" eb="3">
      <t>ドウキョニン</t>
    </rPh>
    <rPh sb="4" eb="6">
      <t>テツダ</t>
    </rPh>
    <rPh sb="8" eb="10">
      <t>キョウドウ</t>
    </rPh>
    <rPh sb="10" eb="12">
      <t>サギョウ</t>
    </rPh>
    <rPh sb="12" eb="13">
      <t>ウ</t>
    </rPh>
    <phoneticPr fontId="85"/>
  </si>
  <si>
    <t>任意項目</t>
    <rPh sb="0" eb="2">
      <t>ニンイ</t>
    </rPh>
    <rPh sb="2" eb="4">
      <t>コウモク</t>
    </rPh>
    <phoneticPr fontId="38"/>
  </si>
  <si>
    <t>項目名称</t>
    <rPh sb="0" eb="2">
      <t>コウモク</t>
    </rPh>
    <rPh sb="2" eb="4">
      <t>メイショウ</t>
    </rPh>
    <phoneticPr fontId="6"/>
  </si>
  <si>
    <t>数値</t>
    <rPh sb="0" eb="2">
      <t>スウチ</t>
    </rPh>
    <phoneticPr fontId="98"/>
  </si>
  <si>
    <t>シート名</t>
    <rPh sb="3" eb="4">
      <t>メイ</t>
    </rPh>
    <phoneticPr fontId="6"/>
  </si>
  <si>
    <t>表紙</t>
    <rPh sb="0" eb="2">
      <t>ヒョウシ</t>
    </rPh>
    <phoneticPr fontId="6"/>
  </si>
  <si>
    <t>3_目次・経営概要①</t>
    <phoneticPr fontId="6"/>
  </si>
  <si>
    <t>3_目次・経営概要①</t>
    <phoneticPr fontId="6"/>
  </si>
  <si>
    <t>3_目次・経営概要①</t>
    <phoneticPr fontId="6"/>
  </si>
  <si>
    <t>4_経営概要②</t>
  </si>
  <si>
    <t>4_経営概要②</t>
    <phoneticPr fontId="6"/>
  </si>
  <si>
    <t>7_建物</t>
    <phoneticPr fontId="6"/>
  </si>
  <si>
    <t>7_建物</t>
    <phoneticPr fontId="6"/>
  </si>
  <si>
    <t>7_建物</t>
    <phoneticPr fontId="6"/>
  </si>
  <si>
    <t>7、8、9、10、11</t>
    <phoneticPr fontId="6"/>
  </si>
  <si>
    <t>8_自動車</t>
    <phoneticPr fontId="6"/>
  </si>
  <si>
    <t>8_自動車</t>
  </si>
  <si>
    <t>8_自動車</t>
    <phoneticPr fontId="6"/>
  </si>
  <si>
    <t>9_農機・PC</t>
    <phoneticPr fontId="6"/>
  </si>
  <si>
    <t>9_農機・PC</t>
    <phoneticPr fontId="6"/>
  </si>
  <si>
    <t>9_農機・PC</t>
    <phoneticPr fontId="6"/>
  </si>
  <si>
    <t>9_農機・PC</t>
    <phoneticPr fontId="6"/>
  </si>
  <si>
    <t>9_農機・PC</t>
    <phoneticPr fontId="6"/>
  </si>
  <si>
    <t>9_農機・PC</t>
  </si>
  <si>
    <t>11_土地・地代</t>
    <rPh sb="3" eb="5">
      <t>トチ</t>
    </rPh>
    <rPh sb="6" eb="8">
      <t>チダイ</t>
    </rPh>
    <phoneticPr fontId="6"/>
  </si>
  <si>
    <t>12_労働</t>
    <phoneticPr fontId="6"/>
  </si>
  <si>
    <t>13_飼料用米</t>
    <phoneticPr fontId="6"/>
  </si>
  <si>
    <t>13_飼料用米</t>
    <phoneticPr fontId="6"/>
  </si>
  <si>
    <t>耐用年数</t>
    <rPh sb="0" eb="2">
      <t>タイヨウ</t>
    </rPh>
    <rPh sb="2" eb="4">
      <t>ネンスウ</t>
    </rPh>
    <phoneticPr fontId="6"/>
  </si>
  <si>
    <t>償却率</t>
    <rPh sb="0" eb="2">
      <t>ショウキャク</t>
    </rPh>
    <rPh sb="2" eb="3">
      <t>リツ</t>
    </rPh>
    <phoneticPr fontId="5"/>
  </si>
  <si>
    <t>11_自動車、12_農業機械</t>
    <rPh sb="10" eb="12">
      <t>ノウギョウ</t>
    </rPh>
    <rPh sb="12" eb="14">
      <t>キカイ</t>
    </rPh>
    <phoneticPr fontId="6"/>
  </si>
  <si>
    <t>項目名</t>
    <rPh sb="0" eb="3">
      <t>コウモクメイ</t>
    </rPh>
    <phoneticPr fontId="6"/>
  </si>
  <si>
    <t>【１】経営の概況</t>
    <phoneticPr fontId="6"/>
  </si>
  <si>
    <t>【１】経営の概況</t>
    <phoneticPr fontId="6"/>
  </si>
  <si>
    <t>【１】経営の概況</t>
  </si>
  <si>
    <t>【11】土地の面積及び地代</t>
  </si>
  <si>
    <t>【13】飼料用米の作付状況、費用及び労働時間</t>
  </si>
  <si>
    <t>自動車</t>
    <rPh sb="0" eb="3">
      <t>ジドウシャ</t>
    </rPh>
    <phoneticPr fontId="6"/>
  </si>
  <si>
    <t>農機具</t>
    <rPh sb="0" eb="3">
      <t>ノウキグ</t>
    </rPh>
    <phoneticPr fontId="6"/>
  </si>
  <si>
    <t>３　認定農業者の状況</t>
    <rPh sb="2" eb="4">
      <t>ニンテイ</t>
    </rPh>
    <rPh sb="4" eb="7">
      <t>ノウギョウシャ</t>
    </rPh>
    <rPh sb="8" eb="10">
      <t>ジョウキョウ</t>
    </rPh>
    <phoneticPr fontId="6"/>
  </si>
  <si>
    <t>４　稲作主体の経営</t>
    <rPh sb="2" eb="4">
      <t>イナサク</t>
    </rPh>
    <rPh sb="4" eb="6">
      <t>シュタイ</t>
    </rPh>
    <rPh sb="7" eb="9">
      <t>ケイエイ</t>
    </rPh>
    <phoneticPr fontId="6"/>
  </si>
  <si>
    <t>７　田の状況</t>
    <rPh sb="2" eb="3">
      <t>タ</t>
    </rPh>
    <rPh sb="4" eb="6">
      <t>ジョウキョウ</t>
    </rPh>
    <phoneticPr fontId="6"/>
  </si>
  <si>
    <t>10　食用米（うるち米）の品種別作付面積</t>
    <rPh sb="3" eb="5">
      <t>ショクヨウ</t>
    </rPh>
    <rPh sb="5" eb="6">
      <t>コメ</t>
    </rPh>
    <rPh sb="10" eb="11">
      <t>マイ</t>
    </rPh>
    <rPh sb="13" eb="15">
      <t>ヒンシュ</t>
    </rPh>
    <rPh sb="15" eb="16">
      <t>ベツ</t>
    </rPh>
    <rPh sb="16" eb="18">
      <t>サクツケ</t>
    </rPh>
    <rPh sb="18" eb="20">
      <t>メンセキ</t>
    </rPh>
    <phoneticPr fontId="6"/>
  </si>
  <si>
    <t>６　対象品目の品種別作付面積</t>
    <rPh sb="2" eb="4">
      <t>タイショウ</t>
    </rPh>
    <rPh sb="4" eb="6">
      <t>ヒンモク</t>
    </rPh>
    <rPh sb="7" eb="9">
      <t>ヒンシュ</t>
    </rPh>
    <rPh sb="9" eb="10">
      <t>ベツ</t>
    </rPh>
    <rPh sb="10" eb="12">
      <t>サクツケ</t>
    </rPh>
    <rPh sb="12" eb="14">
      <t>メンセキ</t>
    </rPh>
    <phoneticPr fontId="6"/>
  </si>
  <si>
    <t>１　家族労働時間</t>
  </si>
  <si>
    <t>３　飼料用米と食用米の10a当たり費用及び労働時間の違いの有無</t>
  </si>
  <si>
    <t>　４　食用米生産に対して飼料用米生産にかかる費用（10ａ当たり）</t>
    <rPh sb="3" eb="5">
      <t>ショクヨウ</t>
    </rPh>
    <rPh sb="5" eb="6">
      <t>コメ</t>
    </rPh>
    <rPh sb="6" eb="8">
      <t>セイサン</t>
    </rPh>
    <rPh sb="9" eb="10">
      <t>タイ</t>
    </rPh>
    <rPh sb="12" eb="14">
      <t>シリョウ</t>
    </rPh>
    <rPh sb="14" eb="16">
      <t>ヨウマイ</t>
    </rPh>
    <rPh sb="16" eb="18">
      <t>セイサン</t>
    </rPh>
    <rPh sb="22" eb="24">
      <t>ヒヨウ</t>
    </rPh>
    <rPh sb="28" eb="29">
      <t>ア</t>
    </rPh>
    <phoneticPr fontId="6"/>
  </si>
  <si>
    <t>リスト名</t>
    <rPh sb="3" eb="4">
      <t>メイ</t>
    </rPh>
    <phoneticPr fontId="6"/>
  </si>
  <si>
    <t>単位数量</t>
    <rPh sb="0" eb="2">
      <t>タンイ</t>
    </rPh>
    <rPh sb="2" eb="4">
      <t>スウリョウ</t>
    </rPh>
    <phoneticPr fontId="6"/>
  </si>
  <si>
    <t>名称</t>
    <rPh sb="0" eb="2">
      <t>メイショウ</t>
    </rPh>
    <phoneticPr fontId="6"/>
  </si>
  <si>
    <t>認定農業者の状況
（個別）</t>
    <rPh sb="0" eb="2">
      <t>ニンテイ</t>
    </rPh>
    <rPh sb="2" eb="5">
      <t>ノウギョウシャ</t>
    </rPh>
    <rPh sb="6" eb="8">
      <t>ジョウキョウ</t>
    </rPh>
    <rPh sb="10" eb="12">
      <t>コベツ</t>
    </rPh>
    <phoneticPr fontId="6"/>
  </si>
  <si>
    <t>認定農業者の状況
（組織）</t>
    <rPh sb="0" eb="2">
      <t>ニンテイ</t>
    </rPh>
    <rPh sb="2" eb="5">
      <t>ノウギョウシャ</t>
    </rPh>
    <rPh sb="6" eb="8">
      <t>ジョウキョウ</t>
    </rPh>
    <rPh sb="10" eb="12">
      <t>ソシキ</t>
    </rPh>
    <phoneticPr fontId="6"/>
  </si>
  <si>
    <t>稲作主体の経営
（組織）米</t>
    <rPh sb="0" eb="2">
      <t>イナサク</t>
    </rPh>
    <rPh sb="2" eb="4">
      <t>シュタイ</t>
    </rPh>
    <rPh sb="5" eb="7">
      <t>ケイエイ</t>
    </rPh>
    <rPh sb="9" eb="11">
      <t>ソシキ</t>
    </rPh>
    <rPh sb="12" eb="13">
      <t>コメ</t>
    </rPh>
    <phoneticPr fontId="6"/>
  </si>
  <si>
    <t>区画整理済み面積割合</t>
    <rPh sb="0" eb="2">
      <t>クカク</t>
    </rPh>
    <rPh sb="2" eb="4">
      <t>セイリ</t>
    </rPh>
    <rPh sb="4" eb="5">
      <t>ズ</t>
    </rPh>
    <rPh sb="6" eb="8">
      <t>メンセキ</t>
    </rPh>
    <rPh sb="8" eb="10">
      <t>ワリアイ</t>
    </rPh>
    <phoneticPr fontId="5"/>
  </si>
  <si>
    <t>食用米（うるち米）品種名称</t>
    <rPh sb="0" eb="3">
      <t>ショクヨウマイ</t>
    </rPh>
    <rPh sb="7" eb="8">
      <t>マイ</t>
    </rPh>
    <rPh sb="9" eb="11">
      <t>ヒンシュ</t>
    </rPh>
    <rPh sb="11" eb="13">
      <t>メイショウ</t>
    </rPh>
    <phoneticPr fontId="5"/>
  </si>
  <si>
    <t>[81]小麦品種名称</t>
    <rPh sb="4" eb="6">
      <t>コムギ</t>
    </rPh>
    <rPh sb="6" eb="8">
      <t>ヒンシュ</t>
    </rPh>
    <rPh sb="8" eb="10">
      <t>メイショウ</t>
    </rPh>
    <phoneticPr fontId="5"/>
  </si>
  <si>
    <t>[77]二条大麦品種名称</t>
    <rPh sb="4" eb="6">
      <t>ニジョウ</t>
    </rPh>
    <rPh sb="6" eb="8">
      <t>オオムギ</t>
    </rPh>
    <rPh sb="8" eb="10">
      <t>ヒンシュ</t>
    </rPh>
    <rPh sb="10" eb="12">
      <t>メイショウ</t>
    </rPh>
    <phoneticPr fontId="5"/>
  </si>
  <si>
    <t>[78]六条大麦品種名称</t>
    <rPh sb="4" eb="6">
      <t>ロクジョウ</t>
    </rPh>
    <rPh sb="6" eb="8">
      <t>オオムギ</t>
    </rPh>
    <rPh sb="8" eb="10">
      <t>ヒンシュ</t>
    </rPh>
    <rPh sb="10" eb="12">
      <t>メイショウ</t>
    </rPh>
    <phoneticPr fontId="5"/>
  </si>
  <si>
    <t>[79]はだか麦品種名称</t>
    <rPh sb="7" eb="8">
      <t>ムギ</t>
    </rPh>
    <rPh sb="8" eb="10">
      <t>ヒンシュ</t>
    </rPh>
    <rPh sb="10" eb="12">
      <t>メイショウ</t>
    </rPh>
    <phoneticPr fontId="5"/>
  </si>
  <si>
    <t>[76]そば品種名称</t>
    <rPh sb="6" eb="8">
      <t>ヒンシュ</t>
    </rPh>
    <rPh sb="8" eb="10">
      <t>メイショウ</t>
    </rPh>
    <phoneticPr fontId="5"/>
  </si>
  <si>
    <t>[82]大豆品種名称</t>
    <rPh sb="4" eb="6">
      <t>ダイズ</t>
    </rPh>
    <rPh sb="6" eb="8">
      <t>ヒンシュ</t>
    </rPh>
    <rPh sb="8" eb="10">
      <t>メイショウ</t>
    </rPh>
    <phoneticPr fontId="5"/>
  </si>
  <si>
    <t>[83]原料用かんしょ品種名称</t>
    <rPh sb="4" eb="7">
      <t>ゲンリョウヨウ</t>
    </rPh>
    <rPh sb="11" eb="13">
      <t>ヒンシュ</t>
    </rPh>
    <rPh sb="13" eb="15">
      <t>メイショウ</t>
    </rPh>
    <phoneticPr fontId="5"/>
  </si>
  <si>
    <t>[84]原料用ばれいしょ品種名称</t>
    <rPh sb="4" eb="7">
      <t>ゲンリョウヨウ</t>
    </rPh>
    <rPh sb="12" eb="14">
      <t>ヒンシュ</t>
    </rPh>
    <rPh sb="14" eb="16">
      <t>メイショウ</t>
    </rPh>
    <phoneticPr fontId="5"/>
  </si>
  <si>
    <t>[75]なたね品種名称</t>
    <rPh sb="7" eb="9">
      <t>ヒンシュ</t>
    </rPh>
    <rPh sb="9" eb="11">
      <t>メイショウ</t>
    </rPh>
    <phoneticPr fontId="5"/>
  </si>
  <si>
    <t>[86]てんさい品種名称</t>
    <rPh sb="8" eb="10">
      <t>ヒンシュ</t>
    </rPh>
    <rPh sb="10" eb="12">
      <t>メイショウ</t>
    </rPh>
    <phoneticPr fontId="5"/>
  </si>
  <si>
    <t>[85]さとうきび品種名称</t>
    <rPh sb="9" eb="11">
      <t>ヒンシュ</t>
    </rPh>
    <rPh sb="11" eb="13">
      <t>メイショウ</t>
    </rPh>
    <phoneticPr fontId="5"/>
  </si>
  <si>
    <t>種類コード</t>
    <phoneticPr fontId="6"/>
  </si>
  <si>
    <t>構造コード</t>
    <rPh sb="0" eb="2">
      <t>コウゾウ</t>
    </rPh>
    <phoneticPr fontId="6"/>
  </si>
  <si>
    <t>新築・中古区分</t>
    <rPh sb="0" eb="2">
      <t>シンチク</t>
    </rPh>
    <rPh sb="3" eb="5">
      <t>チュウコ</t>
    </rPh>
    <rPh sb="5" eb="7">
      <t>クブン</t>
    </rPh>
    <phoneticPr fontId="6"/>
  </si>
  <si>
    <t>型式コード</t>
    <rPh sb="0" eb="2">
      <t>カタシキ</t>
    </rPh>
    <phoneticPr fontId="5"/>
  </si>
  <si>
    <t>新品・中古区分</t>
    <rPh sb="0" eb="2">
      <t>シンピン</t>
    </rPh>
    <rPh sb="3" eb="5">
      <t>チュウコ</t>
    </rPh>
    <rPh sb="5" eb="7">
      <t>クブン</t>
    </rPh>
    <phoneticPr fontId="5"/>
  </si>
  <si>
    <t>種類コード
（米）</t>
    <rPh sb="7" eb="8">
      <t>コメ</t>
    </rPh>
    <phoneticPr fontId="6"/>
  </si>
  <si>
    <t>種類コード
（麦類）</t>
    <rPh sb="7" eb="9">
      <t>ムギルイ</t>
    </rPh>
    <phoneticPr fontId="6"/>
  </si>
  <si>
    <t>種類コード
（そば）</t>
    <phoneticPr fontId="6"/>
  </si>
  <si>
    <t>種類コード
（大豆）</t>
    <rPh sb="7" eb="9">
      <t>ダイズ</t>
    </rPh>
    <phoneticPr fontId="6"/>
  </si>
  <si>
    <t>種類コード
（原料用かんしょ）</t>
    <phoneticPr fontId="6"/>
  </si>
  <si>
    <t>種類コード
（原料用ばれいしょ）</t>
    <phoneticPr fontId="6"/>
  </si>
  <si>
    <t>種類コード
（なたね）</t>
    <phoneticPr fontId="6"/>
  </si>
  <si>
    <t>種類コード
（てんさい）</t>
    <phoneticPr fontId="6"/>
  </si>
  <si>
    <t>種類コード
（さとうきび）</t>
    <phoneticPr fontId="6"/>
  </si>
  <si>
    <t>型式コード
（全品目）</t>
    <rPh sb="0" eb="2">
      <t>カタシキ</t>
    </rPh>
    <rPh sb="7" eb="10">
      <t>ゼンヒンモク</t>
    </rPh>
    <phoneticPr fontId="5"/>
  </si>
  <si>
    <t>地目</t>
    <rPh sb="0" eb="2">
      <t>チモク</t>
    </rPh>
    <phoneticPr fontId="5"/>
  </si>
  <si>
    <t>性別</t>
    <rPh sb="0" eb="2">
      <t>セイベツ</t>
    </rPh>
    <phoneticPr fontId="5"/>
  </si>
  <si>
    <t>続柄</t>
    <rPh sb="0" eb="2">
      <t>ゾクガラ</t>
    </rPh>
    <phoneticPr fontId="5"/>
  </si>
  <si>
    <t>飼料用米と食用米の10a当たり費用及び労働時間の違いの有無</t>
    <phoneticPr fontId="6"/>
  </si>
  <si>
    <t>費用の種類
その他</t>
    <rPh sb="0" eb="2">
      <t>ヒヨウ</t>
    </rPh>
    <rPh sb="3" eb="5">
      <t>シュルイ</t>
    </rPh>
    <rPh sb="8" eb="9">
      <t>タ</t>
    </rPh>
    <phoneticPr fontId="6"/>
  </si>
  <si>
    <t>コード</t>
    <phoneticPr fontId="6"/>
  </si>
  <si>
    <t>コード</t>
    <phoneticPr fontId="6"/>
  </si>
  <si>
    <t>耐用年数</t>
    <rPh sb="0" eb="2">
      <t>タイヨウ</t>
    </rPh>
    <rPh sb="2" eb="4">
      <t>ネンスウ</t>
    </rPh>
    <phoneticPr fontId="1"/>
  </si>
  <si>
    <t>償却率</t>
    <rPh sb="0" eb="3">
      <t>ショウキャクリツ</t>
    </rPh>
    <phoneticPr fontId="1"/>
  </si>
  <si>
    <t>自動車・農業機械
20万円以上の修繕資産</t>
    <rPh sb="0" eb="3">
      <t>ジドウシャ</t>
    </rPh>
    <rPh sb="4" eb="6">
      <t>ノウギョウ</t>
    </rPh>
    <rPh sb="6" eb="8">
      <t>キカイ</t>
    </rPh>
    <rPh sb="11" eb="15">
      <t>マンエンイジョウ</t>
    </rPh>
    <rPh sb="16" eb="20">
      <t>シュウゼンシサン</t>
    </rPh>
    <phoneticPr fontId="6"/>
  </si>
  <si>
    <t>[75]なたね</t>
    <phoneticPr fontId="6"/>
  </si>
  <si>
    <t>なたね</t>
  </si>
  <si>
    <t>[1]集落営農</t>
    <rPh sb="3" eb="5">
      <t>シュウラク</t>
    </rPh>
    <rPh sb="5" eb="7">
      <t>エイノウ</t>
    </rPh>
    <phoneticPr fontId="6"/>
  </si>
  <si>
    <t>[1]農事組合法人</t>
    <rPh sb="3" eb="5">
      <t>ノウジ</t>
    </rPh>
    <rPh sb="5" eb="7">
      <t>クミアイ</t>
    </rPh>
    <rPh sb="7" eb="9">
      <t>ホウジン</t>
    </rPh>
    <phoneticPr fontId="6"/>
  </si>
  <si>
    <t>いる</t>
    <phoneticPr fontId="6"/>
  </si>
  <si>
    <t>はい</t>
    <phoneticPr fontId="6"/>
  </si>
  <si>
    <t>はい</t>
    <phoneticPr fontId="6"/>
  </si>
  <si>
    <t>50％未満</t>
    <phoneticPr fontId="5"/>
  </si>
  <si>
    <t>[01]コシヒカリ</t>
    <phoneticPr fontId="6"/>
  </si>
  <si>
    <t>[01]きたほなみ</t>
  </si>
  <si>
    <t>[01]サチホゴールデン</t>
  </si>
  <si>
    <t>[01]ファイバースノウ</t>
  </si>
  <si>
    <t>[01]イチバンボシ</t>
  </si>
  <si>
    <t>[01]キタワセソバ</t>
    <phoneticPr fontId="6"/>
  </si>
  <si>
    <t>[01]とよまさり</t>
    <phoneticPr fontId="6"/>
  </si>
  <si>
    <t>[01]シロユタカ</t>
    <phoneticPr fontId="6"/>
  </si>
  <si>
    <t>[01]コナフブキ</t>
    <phoneticPr fontId="6"/>
  </si>
  <si>
    <t>[01]キザキノナタネ</t>
    <phoneticPr fontId="6"/>
  </si>
  <si>
    <t xml:space="preserve">[01]パピリカ </t>
    <phoneticPr fontId="6"/>
  </si>
  <si>
    <t>[01]ＮｉＦ８</t>
    <phoneticPr fontId="6"/>
  </si>
  <si>
    <t>建築物</t>
    <rPh sb="0" eb="3">
      <t>ケンチクブツ</t>
    </rPh>
    <phoneticPr fontId="5"/>
  </si>
  <si>
    <t>[01]住宅</t>
  </si>
  <si>
    <t>[01]住宅</t>
    <rPh sb="4" eb="5">
      <t>スミ</t>
    </rPh>
    <rPh sb="5" eb="6">
      <t>タク</t>
    </rPh>
    <phoneticPr fontId="5"/>
  </si>
  <si>
    <t>[1]木造</t>
    <rPh sb="3" eb="5">
      <t>モクゾウ</t>
    </rPh>
    <phoneticPr fontId="99"/>
  </si>
  <si>
    <t>[1]新築</t>
    <rPh sb="3" eb="5">
      <t>シンチク</t>
    </rPh>
    <phoneticPr fontId="99"/>
  </si>
  <si>
    <t>[1]取り壊し</t>
  </si>
  <si>
    <t>[1]有</t>
    <rPh sb="3" eb="4">
      <t>ア</t>
    </rPh>
    <phoneticPr fontId="5"/>
  </si>
  <si>
    <t>[1]貨物自動車</t>
    <rPh sb="3" eb="5">
      <t>カモツ</t>
    </rPh>
    <rPh sb="5" eb="8">
      <t>ジドウシャ</t>
    </rPh>
    <phoneticPr fontId="6"/>
  </si>
  <si>
    <t>[1]貨物自動車</t>
    <phoneticPr fontId="5"/>
  </si>
  <si>
    <t>[1]軽自動車</t>
    <rPh sb="3" eb="7">
      <t>ケイジドウシャ</t>
    </rPh>
    <phoneticPr fontId="67"/>
  </si>
  <si>
    <t>[1]新品</t>
    <rPh sb="3" eb="5">
      <t>シンピン</t>
    </rPh>
    <phoneticPr fontId="99"/>
  </si>
  <si>
    <t>[1]売却</t>
    <rPh sb="3" eb="5">
      <t>バイキャク</t>
    </rPh>
    <phoneticPr fontId="1"/>
  </si>
  <si>
    <t>[01]電動機</t>
    <rPh sb="4" eb="7">
      <t>デンドウキ</t>
    </rPh>
    <phoneticPr fontId="67"/>
  </si>
  <si>
    <t>[03]歩行用トラクター</t>
  </si>
  <si>
    <t>[04]乗用トラクター</t>
    <phoneticPr fontId="67"/>
  </si>
  <si>
    <t>[1]２０馬力未満</t>
  </si>
  <si>
    <t>[1]田</t>
    <rPh sb="3" eb="4">
      <t>タ</t>
    </rPh>
    <phoneticPr fontId="5"/>
  </si>
  <si>
    <t>[1]男</t>
    <rPh sb="3" eb="4">
      <t>オトコ</t>
    </rPh>
    <phoneticPr fontId="99"/>
  </si>
  <si>
    <t>[1]家族</t>
    <rPh sb="3" eb="5">
      <t>カゾク</t>
    </rPh>
    <phoneticPr fontId="99"/>
  </si>
  <si>
    <t>[1]有</t>
    <rPh sb="3" eb="4">
      <t>ア</t>
    </rPh>
    <phoneticPr fontId="6"/>
  </si>
  <si>
    <t>[1]土地改良及び水利費</t>
    <rPh sb="3" eb="5">
      <t>トチ</t>
    </rPh>
    <rPh sb="5" eb="7">
      <t>カイリョウ</t>
    </rPh>
    <rPh sb="7" eb="8">
      <t>オヨ</t>
    </rPh>
    <rPh sb="9" eb="11">
      <t>スイリ</t>
    </rPh>
    <rPh sb="11" eb="12">
      <t>ヒ</t>
    </rPh>
    <phoneticPr fontId="6"/>
  </si>
  <si>
    <t>[01]住　宅</t>
    <phoneticPr fontId="6"/>
  </si>
  <si>
    <t>[1]木造</t>
    <rPh sb="3" eb="5">
      <t>モクゾウ</t>
    </rPh>
    <phoneticPr fontId="5"/>
  </si>
  <si>
    <t>[11]</t>
    <phoneticPr fontId="6"/>
  </si>
  <si>
    <t>[01]電動機</t>
    <rPh sb="4" eb="7">
      <t>デンドウキ</t>
    </rPh>
    <phoneticPr fontId="26"/>
  </si>
  <si>
    <t>[6]その他</t>
  </si>
  <si>
    <t>○</t>
    <phoneticPr fontId="6"/>
  </si>
  <si>
    <t>[76]そば</t>
    <phoneticPr fontId="6"/>
  </si>
  <si>
    <t>そば</t>
  </si>
  <si>
    <t>組織法人経営体</t>
    <rPh sb="0" eb="2">
      <t>ソシキ</t>
    </rPh>
    <rPh sb="2" eb="4">
      <t>ホウジン</t>
    </rPh>
    <rPh sb="4" eb="6">
      <t>ケイエイ</t>
    </rPh>
    <phoneticPr fontId="6"/>
  </si>
  <si>
    <t>[2]集落営農以外</t>
    <rPh sb="3" eb="5">
      <t>シュウラク</t>
    </rPh>
    <rPh sb="5" eb="7">
      <t>エイノウ</t>
    </rPh>
    <rPh sb="7" eb="9">
      <t>イガイ</t>
    </rPh>
    <phoneticPr fontId="6"/>
  </si>
  <si>
    <t>[2]株式会社</t>
    <rPh sb="3" eb="7">
      <t>カブシキガイシャ</t>
    </rPh>
    <phoneticPr fontId="6"/>
  </si>
  <si>
    <t>いない</t>
    <phoneticPr fontId="6"/>
  </si>
  <si>
    <t>いいえ</t>
    <phoneticPr fontId="6"/>
  </si>
  <si>
    <t>いいえ</t>
    <phoneticPr fontId="6"/>
  </si>
  <si>
    <t>50～80％</t>
    <phoneticPr fontId="5"/>
  </si>
  <si>
    <t>[02]ひとめぼれ</t>
    <phoneticPr fontId="6"/>
  </si>
  <si>
    <t>[02]ゆめちから</t>
  </si>
  <si>
    <t>[02]はるしずく</t>
  </si>
  <si>
    <t>[02]シュンライ</t>
  </si>
  <si>
    <t>[02]マンネンボシ</t>
  </si>
  <si>
    <t>[02]階上早生</t>
    <rPh sb="4" eb="6">
      <t>カイジョウ</t>
    </rPh>
    <rPh sb="6" eb="8">
      <t>ワセ</t>
    </rPh>
    <phoneticPr fontId="6"/>
  </si>
  <si>
    <t>[02]フクユタカ</t>
  </si>
  <si>
    <t>[02]コガネセンガン</t>
  </si>
  <si>
    <t>[02]紅丸</t>
    <rPh sb="4" eb="5">
      <t>ベニ</t>
    </rPh>
    <rPh sb="5" eb="6">
      <t>マル</t>
    </rPh>
    <phoneticPr fontId="6"/>
  </si>
  <si>
    <t>[02]アサカノナタネ</t>
    <phoneticPr fontId="6"/>
  </si>
  <si>
    <t>[02]リッカ</t>
  </si>
  <si>
    <t>[02]Ｎｉ２７</t>
  </si>
  <si>
    <t>[02]事務所</t>
    <rPh sb="4" eb="7">
      <t>ジムショ</t>
    </rPh>
    <phoneticPr fontId="90"/>
  </si>
  <si>
    <t>[2]合成樹脂造</t>
    <rPh sb="3" eb="5">
      <t>ゴウセイ</t>
    </rPh>
    <rPh sb="5" eb="7">
      <t>ジュシ</t>
    </rPh>
    <rPh sb="7" eb="8">
      <t>ツク</t>
    </rPh>
    <phoneticPr fontId="99"/>
  </si>
  <si>
    <t>[2]中古</t>
    <rPh sb="3" eb="5">
      <t>チュウコ</t>
    </rPh>
    <phoneticPr fontId="99"/>
  </si>
  <si>
    <t>[2]部分取り壊し</t>
  </si>
  <si>
    <t>[2]無</t>
    <rPh sb="3" eb="4">
      <t>ナ</t>
    </rPh>
    <phoneticPr fontId="5"/>
  </si>
  <si>
    <t>[2]その他の自動車</t>
    <rPh sb="5" eb="6">
      <t>タ</t>
    </rPh>
    <rPh sb="7" eb="10">
      <t>ジドウシャ</t>
    </rPh>
    <phoneticPr fontId="6"/>
  </si>
  <si>
    <t>[2]普通自動車（ダンプ式）</t>
    <rPh sb="3" eb="5">
      <t>フツウ</t>
    </rPh>
    <rPh sb="5" eb="8">
      <t>ジドウシャ</t>
    </rPh>
    <rPh sb="12" eb="13">
      <t>シキ</t>
    </rPh>
    <phoneticPr fontId="67"/>
  </si>
  <si>
    <t>[2]廃棄等</t>
    <rPh sb="3" eb="5">
      <t>ハイキ</t>
    </rPh>
    <rPh sb="5" eb="6">
      <t>ナド</t>
    </rPh>
    <phoneticPr fontId="1"/>
  </si>
  <si>
    <t>[02]発動機</t>
    <rPh sb="4" eb="7">
      <t>ハツドウキ</t>
    </rPh>
    <phoneticPr fontId="67"/>
  </si>
  <si>
    <t>[04]乗用トラクター</t>
  </si>
  <si>
    <t>[2]２０～５０馬力未満</t>
    <rPh sb="10" eb="12">
      <t>ミマン</t>
    </rPh>
    <phoneticPr fontId="84"/>
  </si>
  <si>
    <t>[2]畑</t>
    <rPh sb="3" eb="4">
      <t>ハタ</t>
    </rPh>
    <phoneticPr fontId="5"/>
  </si>
  <si>
    <t>[2]女</t>
    <rPh sb="3" eb="4">
      <t>オンナ</t>
    </rPh>
    <phoneticPr fontId="99"/>
  </si>
  <si>
    <t>[2]同居人</t>
    <rPh sb="3" eb="6">
      <t>ドウキョニン</t>
    </rPh>
    <phoneticPr fontId="99"/>
  </si>
  <si>
    <t>[2]無</t>
    <rPh sb="3" eb="4">
      <t>ナ</t>
    </rPh>
    <phoneticPr fontId="6"/>
  </si>
  <si>
    <t>[2]物件税及び公課諸負担</t>
    <rPh sb="3" eb="5">
      <t>ブッケン</t>
    </rPh>
    <rPh sb="5" eb="6">
      <t>ゼイ</t>
    </rPh>
    <rPh sb="6" eb="7">
      <t>オヨ</t>
    </rPh>
    <rPh sb="8" eb="10">
      <t>コウカ</t>
    </rPh>
    <rPh sb="10" eb="11">
      <t>ショ</t>
    </rPh>
    <rPh sb="11" eb="13">
      <t>フタン</t>
    </rPh>
    <phoneticPr fontId="6"/>
  </si>
  <si>
    <t>[2]合成樹脂造</t>
    <rPh sb="3" eb="5">
      <t>ゴウセイ</t>
    </rPh>
    <rPh sb="5" eb="7">
      <t>ジュシ</t>
    </rPh>
    <rPh sb="7" eb="8">
      <t>ツク</t>
    </rPh>
    <phoneticPr fontId="5"/>
  </si>
  <si>
    <t>[12]</t>
    <phoneticPr fontId="6"/>
  </si>
  <si>
    <t>[02]発動機</t>
    <rPh sb="4" eb="7">
      <t>ハツドウキ</t>
    </rPh>
    <phoneticPr fontId="26"/>
  </si>
  <si>
    <t>[77]二条大麦</t>
    <rPh sb="4" eb="6">
      <t>ニジョウ</t>
    </rPh>
    <rPh sb="6" eb="8">
      <t>オオムギ</t>
    </rPh>
    <phoneticPr fontId="6"/>
  </si>
  <si>
    <t>二条大麦</t>
    <rPh sb="0" eb="2">
      <t>ニジョウ</t>
    </rPh>
    <rPh sb="2" eb="4">
      <t>オオムギ</t>
    </rPh>
    <phoneticPr fontId="6"/>
  </si>
  <si>
    <t>[3]特例有限会社</t>
    <rPh sb="3" eb="5">
      <t>トクレイ</t>
    </rPh>
    <rPh sb="5" eb="9">
      <t>ユウゲンガイシャ</t>
    </rPh>
    <phoneticPr fontId="6"/>
  </si>
  <si>
    <t>80％以上</t>
    <rPh sb="3" eb="5">
      <t>イジョウ</t>
    </rPh>
    <phoneticPr fontId="5"/>
  </si>
  <si>
    <t>[03]ヒノヒカリ</t>
    <phoneticPr fontId="6"/>
  </si>
  <si>
    <t>[03]さとのそら</t>
  </si>
  <si>
    <t>[03]ニシノホシ</t>
  </si>
  <si>
    <t>[03]カシマゴール</t>
  </si>
  <si>
    <t>[03]トヨノカゼ</t>
  </si>
  <si>
    <t>[03]信濃１号</t>
    <rPh sb="4" eb="6">
      <t>シナノ</t>
    </rPh>
    <rPh sb="7" eb="8">
      <t>ゴウ</t>
    </rPh>
    <phoneticPr fontId="6"/>
  </si>
  <si>
    <t>[03]エンレイ</t>
  </si>
  <si>
    <t>[03]ダイチノユメ</t>
  </si>
  <si>
    <t>[03]アスタルテ</t>
  </si>
  <si>
    <t>[03]ななしきぶ</t>
    <phoneticPr fontId="6"/>
  </si>
  <si>
    <t>[03]アンジー</t>
  </si>
  <si>
    <t>[03]Ｎｉ２２</t>
  </si>
  <si>
    <t>[03]納屋・倉庫</t>
    <rPh sb="4" eb="6">
      <t>ナヤ</t>
    </rPh>
    <rPh sb="7" eb="8">
      <t>クラ</t>
    </rPh>
    <rPh sb="8" eb="9">
      <t>コ</t>
    </rPh>
    <phoneticPr fontId="90"/>
  </si>
  <si>
    <t>[3]鉄筋コンクリート</t>
    <rPh sb="3" eb="5">
      <t>テッキン</t>
    </rPh>
    <phoneticPr fontId="99"/>
  </si>
  <si>
    <t>[3]売　却</t>
  </si>
  <si>
    <t>[3]普通自動車（ダンプ式以外）</t>
    <rPh sb="3" eb="5">
      <t>フツウ</t>
    </rPh>
    <rPh sb="5" eb="8">
      <t>ジドウシャ</t>
    </rPh>
    <rPh sb="12" eb="13">
      <t>シキ</t>
    </rPh>
    <rPh sb="13" eb="15">
      <t>イガイ</t>
    </rPh>
    <phoneticPr fontId="67"/>
  </si>
  <si>
    <t>[03]歩行用トラクター</t>
    <rPh sb="4" eb="7">
      <t>ホコウヨウ</t>
    </rPh>
    <phoneticPr fontId="67"/>
  </si>
  <si>
    <t>[08]たい肥等散布機</t>
  </si>
  <si>
    <t>[3]５０馬力以上</t>
  </si>
  <si>
    <t>[3]ゆい・手間替え受け</t>
    <rPh sb="6" eb="8">
      <t>テマ</t>
    </rPh>
    <rPh sb="8" eb="9">
      <t>タイ</t>
    </rPh>
    <rPh sb="10" eb="11">
      <t>ウケ</t>
    </rPh>
    <phoneticPr fontId="99"/>
  </si>
  <si>
    <t>[3]建物費</t>
    <rPh sb="3" eb="5">
      <t>タテモノ</t>
    </rPh>
    <rPh sb="5" eb="6">
      <t>ヒ</t>
    </rPh>
    <phoneticPr fontId="6"/>
  </si>
  <si>
    <t>[3]鉄筋コンクリート</t>
    <rPh sb="3" eb="5">
      <t>テッキン</t>
    </rPh>
    <phoneticPr fontId="5"/>
  </si>
  <si>
    <t>[13]</t>
    <phoneticPr fontId="6"/>
  </si>
  <si>
    <t>[03]歩行用トラクター</t>
    <rPh sb="4" eb="7">
      <t>ホコウヨウ</t>
    </rPh>
    <phoneticPr fontId="26"/>
  </si>
  <si>
    <t>[78]六条大麦</t>
    <rPh sb="4" eb="6">
      <t>ロクジョウ</t>
    </rPh>
    <rPh sb="6" eb="8">
      <t>オオムギ</t>
    </rPh>
    <phoneticPr fontId="6"/>
  </si>
  <si>
    <t>六条大麦</t>
    <rPh sb="0" eb="2">
      <t>ロクジョウ</t>
    </rPh>
    <rPh sb="2" eb="4">
      <t>オオムギ</t>
    </rPh>
    <phoneticPr fontId="6"/>
  </si>
  <si>
    <t>[4]合同・合名・合資会社</t>
    <rPh sb="3" eb="5">
      <t>ゴウドウ</t>
    </rPh>
    <rPh sb="6" eb="8">
      <t>ゴウメイ</t>
    </rPh>
    <rPh sb="9" eb="11">
      <t>ゴウシ</t>
    </rPh>
    <rPh sb="11" eb="13">
      <t>ガイシャ</t>
    </rPh>
    <phoneticPr fontId="6"/>
  </si>
  <si>
    <t>[04]あきたこまち</t>
    <phoneticPr fontId="6"/>
  </si>
  <si>
    <t>[04]春よ恋</t>
    <rPh sb="4" eb="5">
      <t>ハル</t>
    </rPh>
    <rPh sb="6" eb="7">
      <t>コイ</t>
    </rPh>
    <phoneticPr fontId="54"/>
  </si>
  <si>
    <t>[04]ミカモゴールデン</t>
  </si>
  <si>
    <t>[04]ミノリノムギ</t>
  </si>
  <si>
    <t>[04]ハルヒメボシ</t>
  </si>
  <si>
    <t>[04]牡丹そば</t>
    <rPh sb="4" eb="6">
      <t>ボタン</t>
    </rPh>
    <phoneticPr fontId="6"/>
  </si>
  <si>
    <t>[04]リュウホウ</t>
  </si>
  <si>
    <t>[04]シロサツマ</t>
  </si>
  <si>
    <t>[04]エニワ</t>
  </si>
  <si>
    <t>[04]オオミナタネ</t>
    <phoneticPr fontId="6"/>
  </si>
  <si>
    <t>[04]リボルタ</t>
  </si>
  <si>
    <t>[04]Ｎｉ２３</t>
  </si>
  <si>
    <t>[04]作業場</t>
    <rPh sb="4" eb="7">
      <t>サギョウバ</t>
    </rPh>
    <phoneticPr fontId="90"/>
  </si>
  <si>
    <t>[4]コンクリートブロック</t>
  </si>
  <si>
    <t>[2]その他の自動車</t>
    <phoneticPr fontId="5"/>
  </si>
  <si>
    <t>[04]乗用トラクター</t>
    <rPh sb="4" eb="6">
      <t>ジョウヨウ</t>
    </rPh>
    <phoneticPr fontId="67"/>
  </si>
  <si>
    <t>[09]肥料散布機</t>
  </si>
  <si>
    <t>[13]田植機</t>
    <phoneticPr fontId="67"/>
  </si>
  <si>
    <t>[1]２条植</t>
    <rPh sb="5" eb="6">
      <t>ウ</t>
    </rPh>
    <phoneticPr fontId="67"/>
  </si>
  <si>
    <t>[4]手伝い・共同作業受け</t>
    <rPh sb="3" eb="4">
      <t>テ</t>
    </rPh>
    <rPh sb="4" eb="5">
      <t>デン</t>
    </rPh>
    <rPh sb="7" eb="9">
      <t>キョウドウ</t>
    </rPh>
    <rPh sb="9" eb="11">
      <t>サギョウ</t>
    </rPh>
    <rPh sb="11" eb="12">
      <t>ウケ</t>
    </rPh>
    <phoneticPr fontId="99"/>
  </si>
  <si>
    <t>[4]自動車費</t>
    <rPh sb="3" eb="6">
      <t>ジドウシャ</t>
    </rPh>
    <rPh sb="6" eb="7">
      <t>ヒ</t>
    </rPh>
    <phoneticPr fontId="6"/>
  </si>
  <si>
    <t>[2]その他の自動車</t>
    <phoneticPr fontId="5"/>
  </si>
  <si>
    <t>[21]</t>
    <phoneticPr fontId="6"/>
  </si>
  <si>
    <t>[04]乗用トラクター</t>
    <rPh sb="4" eb="6">
      <t>ジョウヨウ</t>
    </rPh>
    <phoneticPr fontId="26"/>
  </si>
  <si>
    <t>[1]２０馬力未満</t>
    <phoneticPr fontId="26"/>
  </si>
  <si>
    <t>[79]はだか麦</t>
    <rPh sb="7" eb="8">
      <t>ムギ</t>
    </rPh>
    <phoneticPr fontId="6"/>
  </si>
  <si>
    <t>はだか麦</t>
    <rPh sb="3" eb="4">
      <t>ムギ</t>
    </rPh>
    <phoneticPr fontId="6"/>
  </si>
  <si>
    <t>[05]ななつぼし</t>
    <phoneticPr fontId="6"/>
  </si>
  <si>
    <t>[05]シロガネコムギ</t>
  </si>
  <si>
    <t>[05]スカイゴールデン</t>
  </si>
  <si>
    <t>[05]カシマムギ</t>
  </si>
  <si>
    <t>[05]ユメサキボシ</t>
  </si>
  <si>
    <t>[05]マンカン</t>
    <phoneticPr fontId="6"/>
  </si>
  <si>
    <t>[05]ユキシズカ</t>
  </si>
  <si>
    <t>[05]こなみずき</t>
  </si>
  <si>
    <t>[05]サクラフブキ</t>
  </si>
  <si>
    <t>[05]キラリボシ</t>
    <phoneticPr fontId="6"/>
  </si>
  <si>
    <t>[05]あままる</t>
  </si>
  <si>
    <t>[05]Ｎｉ２１</t>
  </si>
  <si>
    <t>[08]車庫</t>
    <rPh sb="4" eb="5">
      <t>クルマ</t>
    </rPh>
    <rPh sb="5" eb="6">
      <t>コ</t>
    </rPh>
    <phoneticPr fontId="6"/>
  </si>
  <si>
    <t>[2]普通自動車</t>
    <rPh sb="3" eb="5">
      <t>フツウ</t>
    </rPh>
    <rPh sb="5" eb="8">
      <t>ジドウシャ</t>
    </rPh>
    <phoneticPr fontId="67"/>
  </si>
  <si>
    <t>[12]電熱育苗機</t>
    <rPh sb="4" eb="6">
      <t>デンネツ</t>
    </rPh>
    <rPh sb="6" eb="8">
      <t>イクビョウ</t>
    </rPh>
    <rPh sb="8" eb="9">
      <t>キ</t>
    </rPh>
    <phoneticPr fontId="67"/>
  </si>
  <si>
    <t>[10]総合は種機</t>
  </si>
  <si>
    <t>[14]移植機</t>
    <rPh sb="4" eb="6">
      <t>イショク</t>
    </rPh>
    <phoneticPr fontId="6"/>
  </si>
  <si>
    <t>[2]３～５条植</t>
    <rPh sb="7" eb="8">
      <t>ウエ</t>
    </rPh>
    <phoneticPr fontId="67"/>
  </si>
  <si>
    <t>[5]生産管理費</t>
    <rPh sb="3" eb="5">
      <t>セイサン</t>
    </rPh>
    <rPh sb="5" eb="7">
      <t>カンリ</t>
    </rPh>
    <rPh sb="7" eb="8">
      <t>ヒ</t>
    </rPh>
    <phoneticPr fontId="6"/>
  </si>
  <si>
    <t>[22]</t>
    <phoneticPr fontId="6"/>
  </si>
  <si>
    <t>[2]２０～５０馬力未満</t>
    <rPh sb="10" eb="12">
      <t>ミマン</t>
    </rPh>
    <phoneticPr fontId="26"/>
  </si>
  <si>
    <t>[80]米</t>
    <rPh sb="4" eb="5">
      <t>コメ</t>
    </rPh>
    <phoneticPr fontId="6"/>
  </si>
  <si>
    <t>米</t>
    <rPh sb="0" eb="1">
      <t>コメ</t>
    </rPh>
    <phoneticPr fontId="6"/>
  </si>
  <si>
    <t>[06]はえぬき</t>
    <phoneticPr fontId="6"/>
  </si>
  <si>
    <t>[06]チクゴイズミ</t>
  </si>
  <si>
    <t>[06]りょうふう</t>
  </si>
  <si>
    <t>[06]すずかぜ</t>
  </si>
  <si>
    <t>[06]御島裸</t>
    <rPh sb="4" eb="6">
      <t>ミシマ</t>
    </rPh>
    <rPh sb="6" eb="7">
      <t>ハダカ</t>
    </rPh>
    <phoneticPr fontId="54"/>
  </si>
  <si>
    <t>[06]でわかおり</t>
    <phoneticPr fontId="6"/>
  </si>
  <si>
    <t>[06]里のほほえみ</t>
    <phoneticPr fontId="6"/>
  </si>
  <si>
    <t>[06]コナホマレ</t>
    <phoneticPr fontId="6"/>
  </si>
  <si>
    <t>[06]アーリースターチ</t>
    <phoneticPr fontId="6"/>
  </si>
  <si>
    <t>[51]その他１</t>
    <rPh sb="6" eb="7">
      <t>タ</t>
    </rPh>
    <phoneticPr fontId="6"/>
  </si>
  <si>
    <t>[06]かちまる</t>
    <phoneticPr fontId="6"/>
  </si>
  <si>
    <t>[06]ＮｉＨ２５</t>
    <phoneticPr fontId="6"/>
  </si>
  <si>
    <t>[11]ライスセンター</t>
    <phoneticPr fontId="6"/>
  </si>
  <si>
    <t>[6]木造モルタル</t>
    <rPh sb="3" eb="5">
      <t>モクゾウ</t>
    </rPh>
    <phoneticPr fontId="99"/>
  </si>
  <si>
    <t>[3]自動二輪・三輪</t>
    <rPh sb="3" eb="5">
      <t>ジドウ</t>
    </rPh>
    <rPh sb="5" eb="7">
      <t>ニリン</t>
    </rPh>
    <rPh sb="8" eb="10">
      <t>サンリン</t>
    </rPh>
    <phoneticPr fontId="67"/>
  </si>
  <si>
    <t>[13]田植機</t>
    <rPh sb="4" eb="7">
      <t>タウエキ</t>
    </rPh>
    <phoneticPr fontId="67"/>
  </si>
  <si>
    <t>[16]中耕除草機</t>
  </si>
  <si>
    <t>[14]移植機</t>
    <rPh sb="4" eb="6">
      <t>イショク</t>
    </rPh>
    <rPh sb="6" eb="7">
      <t>キ</t>
    </rPh>
    <phoneticPr fontId="6"/>
  </si>
  <si>
    <t>[3]６条植以上</t>
    <rPh sb="5" eb="6">
      <t>ウエ</t>
    </rPh>
    <rPh sb="6" eb="8">
      <t>イジョウ</t>
    </rPh>
    <phoneticPr fontId="67"/>
  </si>
  <si>
    <t>[6]木造モルタル</t>
    <rPh sb="3" eb="5">
      <t>モクゾウ</t>
    </rPh>
    <phoneticPr fontId="5"/>
  </si>
  <si>
    <t>[23]</t>
    <phoneticPr fontId="6"/>
  </si>
  <si>
    <t>[3]５０馬力以上</t>
    <phoneticPr fontId="26"/>
  </si>
  <si>
    <t>[81]小麦</t>
    <rPh sb="4" eb="6">
      <t>コムギ</t>
    </rPh>
    <phoneticPr fontId="6"/>
  </si>
  <si>
    <t>小麦</t>
    <rPh sb="0" eb="2">
      <t>コムギ</t>
    </rPh>
    <phoneticPr fontId="6"/>
  </si>
  <si>
    <t>[07]キヌヒカリ</t>
    <phoneticPr fontId="6"/>
  </si>
  <si>
    <t>[07]農林６１号</t>
    <rPh sb="4" eb="6">
      <t>ノウリン</t>
    </rPh>
    <rPh sb="8" eb="9">
      <t>ゴウ</t>
    </rPh>
    <phoneticPr fontId="54"/>
  </si>
  <si>
    <t>[07]ミハルゴールデン</t>
  </si>
  <si>
    <t>[07]さやかぜ</t>
  </si>
  <si>
    <t>[07]ヒノデハダカ</t>
  </si>
  <si>
    <t>[07]常陸秋そば</t>
    <rPh sb="4" eb="6">
      <t>ヒタチ</t>
    </rPh>
    <rPh sb="6" eb="7">
      <t>アキ</t>
    </rPh>
    <phoneticPr fontId="6"/>
  </si>
  <si>
    <t>[07]タチナガハ</t>
  </si>
  <si>
    <t>[07]ミナミユタカ</t>
  </si>
  <si>
    <t>[07]ムサマル</t>
  </si>
  <si>
    <t>[52]その他２</t>
    <rPh sb="6" eb="7">
      <t>タ</t>
    </rPh>
    <phoneticPr fontId="6"/>
  </si>
  <si>
    <t>[07]ラテール</t>
  </si>
  <si>
    <t>[07]Ｎｉ２８</t>
  </si>
  <si>
    <t>[12]育苗ハウス</t>
    <rPh sb="4" eb="6">
      <t>イクビョウ</t>
    </rPh>
    <phoneticPr fontId="6"/>
  </si>
  <si>
    <t>[8]その他</t>
    <rPh sb="5" eb="6">
      <t>タ</t>
    </rPh>
    <phoneticPr fontId="99"/>
  </si>
  <si>
    <t>[15]揚水ポンプ</t>
    <rPh sb="4" eb="6">
      <t>ヨウスイ</t>
    </rPh>
    <phoneticPr fontId="67"/>
  </si>
  <si>
    <t>[17]動力噴霧機</t>
  </si>
  <si>
    <t>[20]自脱型コンバイン</t>
    <phoneticPr fontId="6"/>
  </si>
  <si>
    <t>[1]３条刈以下</t>
    <phoneticPr fontId="6"/>
  </si>
  <si>
    <t>[01]住　宅</t>
  </si>
  <si>
    <t>[8]その他</t>
    <rPh sb="5" eb="6">
      <t>タ</t>
    </rPh>
    <phoneticPr fontId="6"/>
  </si>
  <si>
    <t>[82]大豆</t>
    <rPh sb="4" eb="6">
      <t>ダイズ</t>
    </rPh>
    <phoneticPr fontId="6"/>
  </si>
  <si>
    <t>大豆</t>
    <rPh sb="0" eb="2">
      <t>ダイズ</t>
    </rPh>
    <phoneticPr fontId="6"/>
  </si>
  <si>
    <t>[08]まっしぐら</t>
    <phoneticPr fontId="6"/>
  </si>
  <si>
    <t>[08]きぬあかり</t>
  </si>
  <si>
    <t>[08]アサカゴールド</t>
  </si>
  <si>
    <t>[08]セツゲンモチ</t>
  </si>
  <si>
    <t>[08]もっちりぼし</t>
  </si>
  <si>
    <t>[08]信州大そば</t>
    <rPh sb="4" eb="6">
      <t>シンシュウ</t>
    </rPh>
    <rPh sb="6" eb="7">
      <t>オオ</t>
    </rPh>
    <phoneticPr fontId="6"/>
  </si>
  <si>
    <t>[08]おおすず</t>
  </si>
  <si>
    <t>[08]アリアケイモ</t>
  </si>
  <si>
    <t>[08]農林１号</t>
    <rPh sb="4" eb="6">
      <t>ノウリン</t>
    </rPh>
    <rPh sb="7" eb="8">
      <t>ゴウ</t>
    </rPh>
    <phoneticPr fontId="6"/>
  </si>
  <si>
    <t>[53]その他３</t>
    <rPh sb="6" eb="7">
      <t>タ</t>
    </rPh>
    <phoneticPr fontId="6"/>
  </si>
  <si>
    <t>[08]クリスター</t>
  </si>
  <si>
    <t>[08]Ｎｉ１７</t>
  </si>
  <si>
    <t>[13]その他の建築物</t>
    <rPh sb="6" eb="7">
      <t>タ</t>
    </rPh>
    <rPh sb="8" eb="11">
      <t>ケンチクブツ</t>
    </rPh>
    <phoneticPr fontId="6"/>
  </si>
  <si>
    <t>[02]事務所</t>
    <phoneticPr fontId="5"/>
  </si>
  <si>
    <t>[17]動力噴霧機</t>
    <rPh sb="4" eb="6">
      <t>ドウリョク</t>
    </rPh>
    <rPh sb="6" eb="9">
      <t>フンムキ</t>
    </rPh>
    <phoneticPr fontId="67"/>
  </si>
  <si>
    <t>[18]動力散粉機</t>
  </si>
  <si>
    <t>[2]４条刈以上</t>
    <phoneticPr fontId="6"/>
  </si>
  <si>
    <t>[83]原料用かんしょ</t>
    <rPh sb="4" eb="7">
      <t>ゲンリョウヨウ</t>
    </rPh>
    <phoneticPr fontId="6"/>
  </si>
  <si>
    <t>原料用かんしょ</t>
    <rPh sb="0" eb="3">
      <t>ゲンリョウヨウ</t>
    </rPh>
    <phoneticPr fontId="6"/>
  </si>
  <si>
    <t>[09]あさひの夢</t>
    <phoneticPr fontId="6"/>
  </si>
  <si>
    <t>[09]キタノカオリ</t>
  </si>
  <si>
    <t>[09]とちのいぶき</t>
  </si>
  <si>
    <t>[09]べんけいむぎ</t>
  </si>
  <si>
    <t>[09]ダイシモチ</t>
  </si>
  <si>
    <t>[09]最上早生</t>
    <rPh sb="4" eb="6">
      <t>モガミ</t>
    </rPh>
    <rPh sb="6" eb="8">
      <t>ワセ</t>
    </rPh>
    <phoneticPr fontId="6"/>
  </si>
  <si>
    <t>[09]ミヤギシロメ</t>
  </si>
  <si>
    <t>[09]ベニアカリ</t>
  </si>
  <si>
    <t>[54]その他４</t>
    <rPh sb="6" eb="7">
      <t>タ</t>
    </rPh>
    <phoneticPr fontId="6"/>
  </si>
  <si>
    <t>[09]ゆきまる</t>
  </si>
  <si>
    <t>[09]Ｎｉ１５</t>
  </si>
  <si>
    <t>構築物</t>
    <rPh sb="0" eb="3">
      <t>コウチクブツ</t>
    </rPh>
    <phoneticPr fontId="5"/>
  </si>
  <si>
    <t>[14]稲架</t>
    <rPh sb="4" eb="5">
      <t>イナ</t>
    </rPh>
    <phoneticPr fontId="6"/>
  </si>
  <si>
    <t>[18]動力散粉機</t>
    <rPh sb="4" eb="6">
      <t>ドウリョク</t>
    </rPh>
    <rPh sb="6" eb="7">
      <t>サン</t>
    </rPh>
    <rPh sb="7" eb="8">
      <t>プン</t>
    </rPh>
    <rPh sb="8" eb="9">
      <t>キ</t>
    </rPh>
    <phoneticPr fontId="67"/>
  </si>
  <si>
    <t>[20]自脱型コンバイン</t>
  </si>
  <si>
    <t>[24]かんしょ収穫機</t>
    <rPh sb="8" eb="11">
      <t>シュウカクキ</t>
    </rPh>
    <phoneticPr fontId="6"/>
  </si>
  <si>
    <t>[25]ばれいしょ収穫機</t>
    <rPh sb="9" eb="12">
      <t>シュウカクキ</t>
    </rPh>
    <phoneticPr fontId="6"/>
  </si>
  <si>
    <t>[31]乾燥機米</t>
    <rPh sb="7" eb="8">
      <t>コメ</t>
    </rPh>
    <phoneticPr fontId="67"/>
  </si>
  <si>
    <t>[1]静置式</t>
    <rPh sb="3" eb="4">
      <t>シズカ</t>
    </rPh>
    <rPh sb="4" eb="5">
      <t>オ</t>
    </rPh>
    <rPh sb="5" eb="6">
      <t>シキ</t>
    </rPh>
    <phoneticPr fontId="67"/>
  </si>
  <si>
    <t>[84]原料用ばれいしょ</t>
    <phoneticPr fontId="6"/>
  </si>
  <si>
    <t>原料用ばれいしょ</t>
  </si>
  <si>
    <t>[10]ゆめぴりか</t>
    <phoneticPr fontId="6"/>
  </si>
  <si>
    <t>[10]あやひかり</t>
  </si>
  <si>
    <t>[10]はるか二条</t>
    <rPh sb="7" eb="9">
      <t>ニジョウ</t>
    </rPh>
    <phoneticPr fontId="54"/>
  </si>
  <si>
    <t>[10]マサカドムギ</t>
  </si>
  <si>
    <t>[10]サヌキハダカ</t>
  </si>
  <si>
    <t>[10]鹿屋在来</t>
    <rPh sb="4" eb="6">
      <t>カノヤ</t>
    </rPh>
    <rPh sb="6" eb="8">
      <t>ザイライ</t>
    </rPh>
    <phoneticPr fontId="6"/>
  </si>
  <si>
    <t>[10]タンレイ</t>
  </si>
  <si>
    <t>[10]ホッカイコガネ</t>
  </si>
  <si>
    <t>[55]その他５</t>
    <rPh sb="6" eb="7">
      <t>タ</t>
    </rPh>
    <phoneticPr fontId="6"/>
  </si>
  <si>
    <t>[10]きたさやか</t>
  </si>
  <si>
    <t>[10]Ｎｉ２６</t>
  </si>
  <si>
    <t>[15]コンクリートけい畔</t>
    <rPh sb="12" eb="13">
      <t>ハン</t>
    </rPh>
    <phoneticPr fontId="6"/>
  </si>
  <si>
    <t>[19]バインダー</t>
    <phoneticPr fontId="6"/>
  </si>
  <si>
    <t>[21]普通型コンバイン</t>
  </si>
  <si>
    <t>[54]トレーラー</t>
  </si>
  <si>
    <t>[27]てんさい収穫機</t>
    <rPh sb="8" eb="10">
      <t>シュウカク</t>
    </rPh>
    <rPh sb="10" eb="11">
      <t>キ</t>
    </rPh>
    <phoneticPr fontId="6"/>
  </si>
  <si>
    <t>[28]さとうきび収穫機</t>
    <rPh sb="9" eb="11">
      <t>シュウカク</t>
    </rPh>
    <rPh sb="11" eb="12">
      <t>キ</t>
    </rPh>
    <phoneticPr fontId="6"/>
  </si>
  <si>
    <t>[2]循環式</t>
    <rPh sb="3" eb="6">
      <t>ジュンカンシキ</t>
    </rPh>
    <phoneticPr fontId="67"/>
  </si>
  <si>
    <t>[12]電熱育苗機</t>
    <rPh sb="4" eb="6">
      <t>デンネツ</t>
    </rPh>
    <rPh sb="6" eb="8">
      <t>イクビョウ</t>
    </rPh>
    <rPh sb="8" eb="9">
      <t>キ</t>
    </rPh>
    <phoneticPr fontId="26"/>
  </si>
  <si>
    <t>[85]さとうきび</t>
    <phoneticPr fontId="6"/>
  </si>
  <si>
    <t>さとうきび</t>
  </si>
  <si>
    <t>[11]こしいぶき</t>
    <phoneticPr fontId="6"/>
  </si>
  <si>
    <t>[11]ミナミノカオリ</t>
  </si>
  <si>
    <t>[51]その他１</t>
    <rPh sb="6" eb="7">
      <t>タ</t>
    </rPh>
    <phoneticPr fontId="54"/>
  </si>
  <si>
    <t>[11]トヨアカリ</t>
  </si>
  <si>
    <t>[11]みつぼし</t>
  </si>
  <si>
    <t>[11]ＮｉＴｎ２０</t>
    <phoneticPr fontId="6"/>
  </si>
  <si>
    <t>[16]暗きょ排水施設</t>
    <rPh sb="4" eb="5">
      <t>アン</t>
    </rPh>
    <rPh sb="7" eb="9">
      <t>ハイスイ</t>
    </rPh>
    <rPh sb="9" eb="11">
      <t>シセツ</t>
    </rPh>
    <phoneticPr fontId="6"/>
  </si>
  <si>
    <t>[20]自脱型コンバイン</t>
    <rPh sb="4" eb="5">
      <t>ジ</t>
    </rPh>
    <rPh sb="5" eb="6">
      <t>ダツ</t>
    </rPh>
    <rPh sb="6" eb="7">
      <t>ガタ</t>
    </rPh>
    <phoneticPr fontId="67"/>
  </si>
  <si>
    <t>[29]脱穀機</t>
  </si>
  <si>
    <t>[22]そば収穫機</t>
    <rPh sb="6" eb="9">
      <t>シュウカクキ</t>
    </rPh>
    <phoneticPr fontId="6"/>
  </si>
  <si>
    <t>[23]大豆収穫機</t>
    <rPh sb="4" eb="6">
      <t>ダイズ</t>
    </rPh>
    <rPh sb="6" eb="9">
      <t>シュウカクキ</t>
    </rPh>
    <phoneticPr fontId="6"/>
  </si>
  <si>
    <t>[56]その他の農機具</t>
  </si>
  <si>
    <t>[26]なたね収穫機</t>
    <rPh sb="7" eb="10">
      <t>シュウカクキ</t>
    </rPh>
    <phoneticPr fontId="6"/>
  </si>
  <si>
    <t>[30]きび脱葉機</t>
    <rPh sb="6" eb="7">
      <t>ダツ</t>
    </rPh>
    <rPh sb="7" eb="8">
      <t>ヨウ</t>
    </rPh>
    <rPh sb="8" eb="9">
      <t>キ</t>
    </rPh>
    <phoneticPr fontId="6"/>
  </si>
  <si>
    <t>[56]その他の農機具</t>
    <phoneticPr fontId="67"/>
  </si>
  <si>
    <t>[1]その他・耐用年数３年</t>
    <rPh sb="5" eb="6">
      <t>タ</t>
    </rPh>
    <rPh sb="7" eb="9">
      <t>タイヨウ</t>
    </rPh>
    <rPh sb="9" eb="11">
      <t>ネンスウ</t>
    </rPh>
    <rPh sb="12" eb="13">
      <t>ネン</t>
    </rPh>
    <phoneticPr fontId="84"/>
  </si>
  <si>
    <t>[13]田植機</t>
    <rPh sb="4" eb="7">
      <t>タウエキ</t>
    </rPh>
    <phoneticPr fontId="26"/>
  </si>
  <si>
    <t>[1]２条植</t>
    <rPh sb="5" eb="6">
      <t>ウ</t>
    </rPh>
    <phoneticPr fontId="26"/>
  </si>
  <si>
    <t>[86]てんさい</t>
    <phoneticPr fontId="6"/>
  </si>
  <si>
    <t>てんさい</t>
  </si>
  <si>
    <t>[12]つや姫</t>
    <phoneticPr fontId="6"/>
  </si>
  <si>
    <t>[12]イワイノダイチ</t>
  </si>
  <si>
    <t>[52]その他２</t>
    <rPh sb="6" eb="7">
      <t>タ</t>
    </rPh>
    <phoneticPr fontId="54"/>
  </si>
  <si>
    <t>[12]ナツフブキ</t>
  </si>
  <si>
    <t>[12]えぞまる</t>
  </si>
  <si>
    <t>[12]Ｆ１６１</t>
    <phoneticPr fontId="6"/>
  </si>
  <si>
    <t>[17]客土</t>
    <rPh sb="4" eb="5">
      <t>キャク</t>
    </rPh>
    <rPh sb="5" eb="6">
      <t>ツチ</t>
    </rPh>
    <phoneticPr fontId="6"/>
  </si>
  <si>
    <t>[21]普通型コンバイン</t>
    <rPh sb="4" eb="7">
      <t>フツウガタ</t>
    </rPh>
    <phoneticPr fontId="67"/>
  </si>
  <si>
    <t>[31]乾燥機</t>
  </si>
  <si>
    <t>[57]パソコン</t>
  </si>
  <si>
    <t>[2]その他・耐用年数４年</t>
    <rPh sb="5" eb="6">
      <t>タ</t>
    </rPh>
    <rPh sb="7" eb="9">
      <t>タイヨウ</t>
    </rPh>
    <rPh sb="9" eb="11">
      <t>ネンスウ</t>
    </rPh>
    <rPh sb="12" eb="13">
      <t>ネン</t>
    </rPh>
    <phoneticPr fontId="84"/>
  </si>
  <si>
    <t>[2]３～５条植</t>
    <rPh sb="7" eb="8">
      <t>ウエ</t>
    </rPh>
    <phoneticPr fontId="26"/>
  </si>
  <si>
    <t>[13]めんこいな</t>
    <phoneticPr fontId="6"/>
  </si>
  <si>
    <t>[13]はるきらり</t>
  </si>
  <si>
    <t>[53]その他３</t>
    <rPh sb="6" eb="7">
      <t>タ</t>
    </rPh>
    <phoneticPr fontId="54"/>
  </si>
  <si>
    <t>[13]ＫＮ００－１１４</t>
    <phoneticPr fontId="6"/>
  </si>
  <si>
    <t>[18]作業道</t>
    <rPh sb="4" eb="7">
      <t>サギョウドウ</t>
    </rPh>
    <phoneticPr fontId="6"/>
  </si>
  <si>
    <t>[29]脱穀機</t>
    <rPh sb="4" eb="7">
      <t>ダッコクキ</t>
    </rPh>
    <phoneticPr fontId="6"/>
  </si>
  <si>
    <t>[58]その他の生産管理機器</t>
  </si>
  <si>
    <t>[3]その他・耐用年数５年</t>
    <rPh sb="5" eb="6">
      <t>タ</t>
    </rPh>
    <rPh sb="7" eb="9">
      <t>タイヨウ</t>
    </rPh>
    <rPh sb="9" eb="11">
      <t>ネンスウ</t>
    </rPh>
    <rPh sb="12" eb="13">
      <t>ネン</t>
    </rPh>
    <phoneticPr fontId="84"/>
  </si>
  <si>
    <t>[3]６条植以上</t>
    <rPh sb="5" eb="6">
      <t>ウエ</t>
    </rPh>
    <rPh sb="6" eb="8">
      <t>イジョウ</t>
    </rPh>
    <phoneticPr fontId="26"/>
  </si>
  <si>
    <t>[14]にこまる</t>
    <phoneticPr fontId="6"/>
  </si>
  <si>
    <t>[14]ニシノカオリ</t>
  </si>
  <si>
    <t>[54]その他４</t>
    <rPh sb="6" eb="7">
      <t>タ</t>
    </rPh>
    <phoneticPr fontId="54"/>
  </si>
  <si>
    <t>[19]用水路</t>
    <rPh sb="4" eb="7">
      <t>ヨウスイロ</t>
    </rPh>
    <phoneticPr fontId="6"/>
  </si>
  <si>
    <t>[31]乾燥機</t>
    <rPh sb="4" eb="7">
      <t>カンソウキ</t>
    </rPh>
    <phoneticPr fontId="6"/>
  </si>
  <si>
    <t>[4]その他・耐用年数６年</t>
    <rPh sb="5" eb="6">
      <t>タ</t>
    </rPh>
    <rPh sb="7" eb="9">
      <t>タイヨウ</t>
    </rPh>
    <rPh sb="9" eb="11">
      <t>ネンスウ</t>
    </rPh>
    <rPh sb="12" eb="13">
      <t>ネン</t>
    </rPh>
    <phoneticPr fontId="84"/>
  </si>
  <si>
    <t>[15]日本晴</t>
    <phoneticPr fontId="6"/>
  </si>
  <si>
    <t>[15]ゆきちから</t>
  </si>
  <si>
    <t>[55]その他５</t>
    <rPh sb="6" eb="7">
      <t>タ</t>
    </rPh>
    <phoneticPr fontId="54"/>
  </si>
  <si>
    <t>[25]たい肥盤</t>
    <rPh sb="6" eb="7">
      <t>ヒ</t>
    </rPh>
    <rPh sb="7" eb="8">
      <t>バン</t>
    </rPh>
    <phoneticPr fontId="6"/>
  </si>
  <si>
    <t>[03]納屋・倉庫</t>
    <rPh sb="4" eb="6">
      <t>ナヤ</t>
    </rPh>
    <rPh sb="7" eb="9">
      <t>ソウコ</t>
    </rPh>
    <phoneticPr fontId="5"/>
  </si>
  <si>
    <t>[32]もみすり機</t>
    <rPh sb="8" eb="9">
      <t>キ</t>
    </rPh>
    <phoneticPr fontId="6"/>
  </si>
  <si>
    <t>[5]その他・耐用年数７年</t>
    <rPh sb="5" eb="6">
      <t>タ</t>
    </rPh>
    <rPh sb="7" eb="9">
      <t>タイヨウ</t>
    </rPh>
    <rPh sb="9" eb="11">
      <t>ネンスウ</t>
    </rPh>
    <rPh sb="12" eb="13">
      <t>ネン</t>
    </rPh>
    <phoneticPr fontId="84"/>
  </si>
  <si>
    <t>[15]揚水ポンプ</t>
    <rPh sb="4" eb="6">
      <t>ヨウスイ</t>
    </rPh>
    <phoneticPr fontId="26"/>
  </si>
  <si>
    <t>[16]ゆきん子舞</t>
    <phoneticPr fontId="6"/>
  </si>
  <si>
    <t>[16]ふくさやか</t>
  </si>
  <si>
    <t>[31]その他の構築物</t>
    <phoneticPr fontId="6"/>
  </si>
  <si>
    <t>[56]その他の農機具</t>
    <rPh sb="6" eb="7">
      <t>タ</t>
    </rPh>
    <rPh sb="8" eb="11">
      <t>ノウキグ</t>
    </rPh>
    <phoneticPr fontId="6"/>
  </si>
  <si>
    <t>表紙等で参照する対象品目名</t>
    <rPh sb="0" eb="2">
      <t>ヒョウシ</t>
    </rPh>
    <rPh sb="2" eb="3">
      <t>トウ</t>
    </rPh>
    <rPh sb="4" eb="6">
      <t>サンショウ</t>
    </rPh>
    <rPh sb="8" eb="10">
      <t>タイショウ</t>
    </rPh>
    <rPh sb="10" eb="12">
      <t>ヒンモク</t>
    </rPh>
    <rPh sb="12" eb="13">
      <t>メイ</t>
    </rPh>
    <phoneticPr fontId="6"/>
  </si>
  <si>
    <t>[17]ゆめおばこ</t>
    <phoneticPr fontId="6"/>
  </si>
  <si>
    <t>[17]さぬきの夢2009</t>
    <rPh sb="8" eb="9">
      <t>ユメ</t>
    </rPh>
    <phoneticPr fontId="54"/>
  </si>
  <si>
    <t>[57]パソコン</t>
    <phoneticPr fontId="6"/>
  </si>
  <si>
    <t>[17]動力噴霧機</t>
    <rPh sb="4" eb="6">
      <t>ドウリョク</t>
    </rPh>
    <rPh sb="6" eb="9">
      <t>フンムキ</t>
    </rPh>
    <phoneticPr fontId="26"/>
  </si>
  <si>
    <t>[18]あきさかり</t>
    <phoneticPr fontId="6"/>
  </si>
  <si>
    <t>[18]つるぴかり</t>
  </si>
  <si>
    <t>[58]その他の生産管理機器</t>
    <rPh sb="6" eb="7">
      <t>タ</t>
    </rPh>
    <rPh sb="8" eb="10">
      <t>セイサン</t>
    </rPh>
    <rPh sb="10" eb="12">
      <t>カンリ</t>
    </rPh>
    <rPh sb="12" eb="14">
      <t>キキ</t>
    </rPh>
    <phoneticPr fontId="6"/>
  </si>
  <si>
    <t>[18]動力散粉機</t>
    <rPh sb="4" eb="6">
      <t>ドウリョク</t>
    </rPh>
    <rPh sb="6" eb="7">
      <t>サン</t>
    </rPh>
    <rPh sb="7" eb="8">
      <t>プン</t>
    </rPh>
    <rPh sb="8" eb="9">
      <t>キ</t>
    </rPh>
    <phoneticPr fontId="26"/>
  </si>
  <si>
    <t>主産物単位数量（kg）</t>
    <rPh sb="0" eb="3">
      <t>シュサンブツ</t>
    </rPh>
    <rPh sb="3" eb="5">
      <t>タンイ</t>
    </rPh>
    <rPh sb="5" eb="7">
      <t>スウリョウ</t>
    </rPh>
    <phoneticPr fontId="6"/>
  </si>
  <si>
    <t>[19]秋の詩</t>
    <phoneticPr fontId="6"/>
  </si>
  <si>
    <t>[19]きぬの波</t>
    <rPh sb="7" eb="8">
      <t>ナミ</t>
    </rPh>
    <phoneticPr fontId="54"/>
  </si>
  <si>
    <t>[08]たい肥等散布機</t>
    <phoneticPr fontId="6"/>
  </si>
  <si>
    <t>[19]バインダー</t>
  </si>
  <si>
    <t>[20]あきだわら</t>
    <phoneticPr fontId="6"/>
  </si>
  <si>
    <t>[20]シラネコムギ</t>
  </si>
  <si>
    <t>[09]肥料散布機</t>
    <phoneticPr fontId="6"/>
  </si>
  <si>
    <t>[20]自脱型コンバイン</t>
    <rPh sb="4" eb="5">
      <t>ジ</t>
    </rPh>
    <rPh sb="5" eb="6">
      <t>ダツ</t>
    </rPh>
    <rPh sb="6" eb="7">
      <t>ガタ</t>
    </rPh>
    <phoneticPr fontId="26"/>
  </si>
  <si>
    <t>[1]３条刈以下</t>
  </si>
  <si>
    <t>[21]萌えみのり</t>
    <phoneticPr fontId="6"/>
  </si>
  <si>
    <t>[21]ハルユタカ</t>
  </si>
  <si>
    <t>[10]総合は種機</t>
    <phoneticPr fontId="6"/>
  </si>
  <si>
    <t>[2]４条刈以上</t>
  </si>
  <si>
    <t>[22]みつひかり</t>
    <phoneticPr fontId="6"/>
  </si>
  <si>
    <t>[22]タマイズミ</t>
  </si>
  <si>
    <t>[04]作業場</t>
    <phoneticPr fontId="5"/>
  </si>
  <si>
    <t>[21]普通型コンバイン</t>
    <rPh sb="4" eb="7">
      <t>フツウガタ</t>
    </rPh>
    <phoneticPr fontId="26"/>
  </si>
  <si>
    <t>[23]どんぴしゃり</t>
    <phoneticPr fontId="6"/>
  </si>
  <si>
    <t>[24]ふくまる</t>
    <phoneticPr fontId="6"/>
  </si>
  <si>
    <t>[23]大豆収穫機</t>
    <rPh sb="4" eb="6">
      <t>ダイズ</t>
    </rPh>
    <rPh sb="6" eb="8">
      <t>シュウカク</t>
    </rPh>
    <rPh sb="8" eb="9">
      <t>キ</t>
    </rPh>
    <phoneticPr fontId="3"/>
  </si>
  <si>
    <t>[25]ゆめひたち</t>
    <phoneticPr fontId="6"/>
  </si>
  <si>
    <t>[16]中耕除草機</t>
    <phoneticPr fontId="6"/>
  </si>
  <si>
    <t>[26]どんとこい</t>
    <phoneticPr fontId="6"/>
  </si>
  <si>
    <t>[27]ほしまる</t>
    <phoneticPr fontId="6"/>
  </si>
  <si>
    <t>[28]大地の星</t>
    <phoneticPr fontId="6"/>
  </si>
  <si>
    <t>[19]バインダー</t>
    <phoneticPr fontId="6"/>
  </si>
  <si>
    <t>[29]そらゆき</t>
    <phoneticPr fontId="6"/>
  </si>
  <si>
    <t>[08]車庫</t>
    <phoneticPr fontId="6"/>
  </si>
  <si>
    <t>[08]車　庫</t>
    <rPh sb="4" eb="5">
      <t>クルマ</t>
    </rPh>
    <rPh sb="6" eb="7">
      <t>コ</t>
    </rPh>
    <phoneticPr fontId="6"/>
  </si>
  <si>
    <t>[30]つくばＳＤシリーズ</t>
    <phoneticPr fontId="6"/>
  </si>
  <si>
    <t>[29]脱穀機</t>
    <rPh sb="4" eb="7">
      <t>ダッコクキ</t>
    </rPh>
    <phoneticPr fontId="54"/>
  </si>
  <si>
    <t>[31]こいもみじ</t>
    <phoneticPr fontId="6"/>
  </si>
  <si>
    <t>[32]出羽きらり</t>
    <phoneticPr fontId="6"/>
  </si>
  <si>
    <t>[31]乾燥機</t>
    <rPh sb="4" eb="7">
      <t>カンソウキ</t>
    </rPh>
    <phoneticPr fontId="54"/>
  </si>
  <si>
    <t>[1]静置式</t>
    <rPh sb="3" eb="4">
      <t>シズカ</t>
    </rPh>
    <rPh sb="4" eb="5">
      <t>オ</t>
    </rPh>
    <rPh sb="5" eb="6">
      <t>シキ</t>
    </rPh>
    <phoneticPr fontId="26"/>
  </si>
  <si>
    <t>[33]ほしじるし</t>
    <phoneticPr fontId="6"/>
  </si>
  <si>
    <t>[2]循環式</t>
    <rPh sb="3" eb="6">
      <t>ジュンカンシキ</t>
    </rPh>
    <phoneticPr fontId="26"/>
  </si>
  <si>
    <t>[34]やまだわら</t>
    <phoneticPr fontId="6"/>
  </si>
  <si>
    <t>[35]トドロキワセ</t>
    <phoneticPr fontId="6"/>
  </si>
  <si>
    <t>[32]もみすり機</t>
    <rPh sb="8" eb="9">
      <t>キ</t>
    </rPh>
    <phoneticPr fontId="54"/>
  </si>
  <si>
    <t>[36]げんきまる</t>
    <phoneticPr fontId="6"/>
  </si>
  <si>
    <t>[11]ライスセンター</t>
    <phoneticPr fontId="5"/>
  </si>
  <si>
    <t>[11]ライスセンター</t>
  </si>
  <si>
    <t>[37]ぎんさん</t>
    <phoneticPr fontId="6"/>
  </si>
  <si>
    <t>[1]耐用年数３年</t>
    <rPh sb="3" eb="5">
      <t>タイヨウ</t>
    </rPh>
    <rPh sb="5" eb="7">
      <t>ネンスウ</t>
    </rPh>
    <rPh sb="8" eb="9">
      <t>ネン</t>
    </rPh>
    <phoneticPr fontId="67"/>
  </si>
  <si>
    <t>[38]ちほみのり</t>
    <phoneticPr fontId="6"/>
  </si>
  <si>
    <t>[2]耐用年数４年</t>
    <rPh sb="3" eb="5">
      <t>タイヨウ</t>
    </rPh>
    <rPh sb="5" eb="7">
      <t>ネンスウ</t>
    </rPh>
    <rPh sb="8" eb="9">
      <t>ネン</t>
    </rPh>
    <phoneticPr fontId="67"/>
  </si>
  <si>
    <t>[39]秋田６３号</t>
    <phoneticPr fontId="6"/>
  </si>
  <si>
    <t>[31]乾燥機</t>
    <phoneticPr fontId="6"/>
  </si>
  <si>
    <t>[4]コンクリートブロック</t>
    <phoneticPr fontId="6"/>
  </si>
  <si>
    <t>[3]耐用年数５年</t>
    <rPh sb="3" eb="5">
      <t>タイヨウ</t>
    </rPh>
    <rPh sb="5" eb="7">
      <t>ネンスウ</t>
    </rPh>
    <rPh sb="8" eb="9">
      <t>ネン</t>
    </rPh>
    <phoneticPr fontId="67"/>
  </si>
  <si>
    <t>[40]ミズホチカラ</t>
    <phoneticPr fontId="6"/>
  </si>
  <si>
    <t>[4]耐用年数６年</t>
    <rPh sb="3" eb="5">
      <t>タイヨウ</t>
    </rPh>
    <rPh sb="5" eb="7">
      <t>ネンスウ</t>
    </rPh>
    <rPh sb="8" eb="9">
      <t>ネン</t>
    </rPh>
    <phoneticPr fontId="67"/>
  </si>
  <si>
    <t>[41]はるみ</t>
    <phoneticPr fontId="6"/>
  </si>
  <si>
    <t>[5]耐用年数７年</t>
    <rPh sb="3" eb="5">
      <t>タイヨウ</t>
    </rPh>
    <rPh sb="5" eb="7">
      <t>ネンスウ</t>
    </rPh>
    <rPh sb="8" eb="9">
      <t>ネン</t>
    </rPh>
    <phoneticPr fontId="67"/>
  </si>
  <si>
    <t>[42]夢ごこち</t>
    <phoneticPr fontId="6"/>
  </si>
  <si>
    <t>[57]パソコン</t>
    <phoneticPr fontId="6"/>
  </si>
  <si>
    <t>[43]しきゆたか
（ハイブリッドとうごうシリーズ）</t>
    <phoneticPr fontId="6"/>
  </si>
  <si>
    <t>[12]育苗ハウス</t>
    <rPh sb="4" eb="6">
      <t>イクビョウ</t>
    </rPh>
    <phoneticPr fontId="54"/>
  </si>
  <si>
    <t>[44]つきあかり</t>
    <phoneticPr fontId="6"/>
  </si>
  <si>
    <t>注：乾燥機は米のみ静置式・循環式に分類。麦類・そば・大豆・なたねは「その他」とする。</t>
    <rPh sb="0" eb="1">
      <t>チュウ</t>
    </rPh>
    <rPh sb="2" eb="5">
      <t>カンソウキ</t>
    </rPh>
    <rPh sb="6" eb="7">
      <t>コメ</t>
    </rPh>
    <rPh sb="9" eb="11">
      <t>セイチ</t>
    </rPh>
    <rPh sb="11" eb="12">
      <t>シキ</t>
    </rPh>
    <rPh sb="13" eb="15">
      <t>ジュンカン</t>
    </rPh>
    <rPh sb="15" eb="16">
      <t>シキ</t>
    </rPh>
    <rPh sb="17" eb="19">
      <t>ブンルイ</t>
    </rPh>
    <rPh sb="20" eb="21">
      <t>ムギ</t>
    </rPh>
    <rPh sb="21" eb="22">
      <t>ルイ</t>
    </rPh>
    <rPh sb="26" eb="28">
      <t>ダイズ</t>
    </rPh>
    <rPh sb="36" eb="37">
      <t>タ</t>
    </rPh>
    <phoneticPr fontId="6"/>
  </si>
  <si>
    <t>[45]みずほの輝き</t>
    <phoneticPr fontId="6"/>
  </si>
  <si>
    <t>[7]金属</t>
    <rPh sb="3" eb="5">
      <t>キンゾク</t>
    </rPh>
    <phoneticPr fontId="99"/>
  </si>
  <si>
    <t>[7]金属</t>
    <rPh sb="3" eb="5">
      <t>キンゾク</t>
    </rPh>
    <phoneticPr fontId="5"/>
  </si>
  <si>
    <t>[13]その他の建築物</t>
    <rPh sb="6" eb="7">
      <t>タ</t>
    </rPh>
    <rPh sb="8" eb="11">
      <t>ケンチクブツ</t>
    </rPh>
    <phoneticPr fontId="5"/>
  </si>
  <si>
    <t>[56]その他６</t>
    <rPh sb="6" eb="7">
      <t>タ</t>
    </rPh>
    <phoneticPr fontId="6"/>
  </si>
  <si>
    <t>[57]その他７</t>
    <rPh sb="6" eb="7">
      <t>タ</t>
    </rPh>
    <phoneticPr fontId="6"/>
  </si>
  <si>
    <t>[58]その他８</t>
    <rPh sb="6" eb="7">
      <t>タ</t>
    </rPh>
    <phoneticPr fontId="6"/>
  </si>
  <si>
    <t>[14]稲架</t>
    <rPh sb="4" eb="5">
      <t>イネ</t>
    </rPh>
    <rPh sb="5" eb="6">
      <t>カ</t>
    </rPh>
    <phoneticPr fontId="5"/>
  </si>
  <si>
    <t>[2]金属</t>
    <rPh sb="3" eb="5">
      <t>キンゾク</t>
    </rPh>
    <phoneticPr fontId="99"/>
  </si>
  <si>
    <t>[14]稲　架</t>
    <rPh sb="4" eb="5">
      <t>イナ</t>
    </rPh>
    <phoneticPr fontId="54"/>
  </si>
  <si>
    <t>[2]金属</t>
    <rPh sb="3" eb="5">
      <t>キンゾク</t>
    </rPh>
    <phoneticPr fontId="5"/>
  </si>
  <si>
    <t>[59]その他９</t>
    <rPh sb="6" eb="7">
      <t>タ</t>
    </rPh>
    <phoneticPr fontId="6"/>
  </si>
  <si>
    <t>[3]木造</t>
    <rPh sb="3" eb="5">
      <t>モクゾウ</t>
    </rPh>
    <phoneticPr fontId="1"/>
  </si>
  <si>
    <t>[3]木造</t>
    <rPh sb="3" eb="5">
      <t>モクゾウ</t>
    </rPh>
    <phoneticPr fontId="5"/>
  </si>
  <si>
    <t>[60]その他１０</t>
    <rPh sb="6" eb="7">
      <t>タ</t>
    </rPh>
    <phoneticPr fontId="6"/>
  </si>
  <si>
    <t>[7]その他</t>
    <rPh sb="5" eb="6">
      <t>タ</t>
    </rPh>
    <phoneticPr fontId="1"/>
  </si>
  <si>
    <t>[7]その他</t>
    <rPh sb="5" eb="6">
      <t>タ</t>
    </rPh>
    <phoneticPr fontId="5"/>
  </si>
  <si>
    <t>[15]コンクリートけい畔</t>
    <rPh sb="12" eb="13">
      <t>アゼ</t>
    </rPh>
    <phoneticPr fontId="6"/>
  </si>
  <si>
    <t>[1]コンクリート、れんが、石、ブロック</t>
    <rPh sb="14" eb="15">
      <t>イシ</t>
    </rPh>
    <phoneticPr fontId="1"/>
  </si>
  <si>
    <t>[15]コンクリートけい畔</t>
    <rPh sb="12" eb="13">
      <t>ハン</t>
    </rPh>
    <phoneticPr fontId="54"/>
  </si>
  <si>
    <t>[1]コンクリート、れんが、石、ブロック</t>
    <rPh sb="14" eb="15">
      <t>イシ</t>
    </rPh>
    <phoneticPr fontId="5"/>
  </si>
  <si>
    <t>[4]土管</t>
    <rPh sb="3" eb="5">
      <t>ドカン</t>
    </rPh>
    <phoneticPr fontId="1"/>
  </si>
  <si>
    <t>[16]暗きょ排水施設</t>
    <rPh sb="4" eb="5">
      <t>アン</t>
    </rPh>
    <rPh sb="7" eb="9">
      <t>ハイスイ</t>
    </rPh>
    <rPh sb="9" eb="11">
      <t>シセツ</t>
    </rPh>
    <phoneticPr fontId="54"/>
  </si>
  <si>
    <t>[4]土管</t>
    <rPh sb="3" eb="5">
      <t>ドカン</t>
    </rPh>
    <phoneticPr fontId="6"/>
  </si>
  <si>
    <t>[6]塩化ビニール</t>
    <rPh sb="3" eb="5">
      <t>エンカ</t>
    </rPh>
    <phoneticPr fontId="1"/>
  </si>
  <si>
    <t>[6]塩化ビニール</t>
    <rPh sb="3" eb="5">
      <t>エンカ</t>
    </rPh>
    <phoneticPr fontId="5"/>
  </si>
  <si>
    <t>[17]客土</t>
    <rPh sb="4" eb="5">
      <t>キャク</t>
    </rPh>
    <rPh sb="5" eb="6">
      <t>ツチ</t>
    </rPh>
    <phoneticPr fontId="54"/>
  </si>
  <si>
    <t>[18]作業道</t>
    <phoneticPr fontId="6"/>
  </si>
  <si>
    <t>[18]作業道</t>
    <rPh sb="4" eb="7">
      <t>サギョウドウ</t>
    </rPh>
    <phoneticPr fontId="54"/>
  </si>
  <si>
    <t>[19]用水路</t>
    <rPh sb="4" eb="7">
      <t>ヨウスイロ</t>
    </rPh>
    <phoneticPr fontId="54"/>
  </si>
  <si>
    <t>[25]たい肥盤</t>
    <rPh sb="6" eb="7">
      <t>ヒ</t>
    </rPh>
    <rPh sb="7" eb="8">
      <t>バン</t>
    </rPh>
    <phoneticPr fontId="54"/>
  </si>
  <si>
    <t>[31]その他の構築物</t>
    <phoneticPr fontId="6"/>
  </si>
  <si>
    <t>[31]その他の構築物</t>
  </si>
  <si>
    <t>[5]合成樹脂</t>
    <rPh sb="3" eb="5">
      <t>ゴウセイ</t>
    </rPh>
    <rPh sb="5" eb="7">
      <t>ジュシ</t>
    </rPh>
    <phoneticPr fontId="1"/>
  </si>
  <si>
    <t>[5]合成樹脂</t>
    <rPh sb="3" eb="5">
      <t>ゴウセイ</t>
    </rPh>
    <rPh sb="5" eb="7">
      <t>ジュシ</t>
    </rPh>
    <phoneticPr fontId="5"/>
  </si>
  <si>
    <t>注：黄色セルの資産は耐用年数欄の年数を使用し、この年数を上限とする。</t>
    <rPh sb="0" eb="1">
      <t>チュウ</t>
    </rPh>
    <rPh sb="2" eb="4">
      <t>キイロ</t>
    </rPh>
    <rPh sb="7" eb="9">
      <t>シサン</t>
    </rPh>
    <rPh sb="10" eb="12">
      <t>タイヨウ</t>
    </rPh>
    <rPh sb="12" eb="14">
      <t>ネンスウ</t>
    </rPh>
    <rPh sb="14" eb="15">
      <t>ラン</t>
    </rPh>
    <rPh sb="16" eb="18">
      <t>ネンスウ</t>
    </rPh>
    <rPh sb="19" eb="21">
      <t>シヨウ</t>
    </rPh>
    <rPh sb="25" eb="27">
      <t>ネンスウ</t>
    </rPh>
    <rPh sb="28" eb="30">
      <t>ジョウゲン</t>
    </rPh>
    <phoneticPr fontId="6"/>
  </si>
  <si>
    <t>当年、車検を受けた自動車等について入力してください。</t>
    <rPh sb="0" eb="2">
      <t>トウネン</t>
    </rPh>
    <rPh sb="3" eb="5">
      <t>シャケン</t>
    </rPh>
    <rPh sb="6" eb="7">
      <t>ウ</t>
    </rPh>
    <rPh sb="9" eb="12">
      <t>ジドウシャ</t>
    </rPh>
    <rPh sb="12" eb="13">
      <t>トウ</t>
    </rPh>
    <phoneticPr fontId="6"/>
  </si>
  <si>
    <t>自賠責保険</t>
    <phoneticPr fontId="6"/>
  </si>
  <si>
    <t>[9]鉄骨造(3mm以下)</t>
    <phoneticPr fontId="99"/>
  </si>
  <si>
    <t>[10]鉄骨造(3～4mm)</t>
    <phoneticPr fontId="99"/>
  </si>
  <si>
    <t>[11]鉄骨造(4mm以上)</t>
    <rPh sb="4" eb="7">
      <t>テッコツゾウ</t>
    </rPh>
    <rPh sb="11" eb="13">
      <t>イジョウ</t>
    </rPh>
    <phoneticPr fontId="99"/>
  </si>
  <si>
    <t>[9]鉄骨造(3mm以下)</t>
    <rPh sb="3" eb="6">
      <t>テッコツゾウ</t>
    </rPh>
    <rPh sb="10" eb="12">
      <t>イカ</t>
    </rPh>
    <phoneticPr fontId="5"/>
  </si>
  <si>
    <t>[10]鉄骨造(3～4mm)</t>
    <rPh sb="4" eb="7">
      <t>テッコツゾウ</t>
    </rPh>
    <phoneticPr fontId="5"/>
  </si>
  <si>
    <t>[11]鉄骨造(4mm以上)</t>
    <rPh sb="4" eb="7">
      <t>テッコツゾウ</t>
    </rPh>
    <rPh sb="11" eb="13">
      <t>イジョウ</t>
    </rPh>
    <phoneticPr fontId="5"/>
  </si>
  <si>
    <t>[5]鉄骨造</t>
    <rPh sb="3" eb="5">
      <t>テッコツ</t>
    </rPh>
    <phoneticPr fontId="5"/>
  </si>
  <si>
    <t>[5]鉄骨造</t>
    <phoneticPr fontId="5"/>
  </si>
  <si>
    <r>
      <t>[</t>
    </r>
    <r>
      <rPr>
        <sz val="11"/>
        <rFont val="ＭＳ Ｐゴシック"/>
        <family val="2"/>
        <charset val="128"/>
        <scheme val="minor"/>
      </rPr>
      <t>08]たい肥等散布機</t>
    </r>
    <rPh sb="6" eb="7">
      <t>ヒ</t>
    </rPh>
    <rPh sb="7" eb="8">
      <t>トウ</t>
    </rPh>
    <rPh sb="8" eb="10">
      <t>サンプ</t>
    </rPh>
    <rPh sb="10" eb="11">
      <t>キ</t>
    </rPh>
    <phoneticPr fontId="3"/>
  </si>
  <si>
    <r>
      <t>[</t>
    </r>
    <r>
      <rPr>
        <sz val="11"/>
        <rFont val="ＭＳ Ｐゴシック"/>
        <family val="2"/>
        <charset val="128"/>
        <scheme val="minor"/>
      </rPr>
      <t>09]肥料散布機</t>
    </r>
    <rPh sb="4" eb="6">
      <t>ヒリョウ</t>
    </rPh>
    <rPh sb="6" eb="8">
      <t>サンプ</t>
    </rPh>
    <rPh sb="8" eb="9">
      <t>キ</t>
    </rPh>
    <phoneticPr fontId="3"/>
  </si>
  <si>
    <r>
      <t>[10</t>
    </r>
    <r>
      <rPr>
        <sz val="11"/>
        <rFont val="ＭＳ Ｐゴシック"/>
        <family val="2"/>
        <charset val="128"/>
        <scheme val="minor"/>
      </rPr>
      <t>]総合は種機</t>
    </r>
    <rPh sb="4" eb="6">
      <t>ソウゴウ</t>
    </rPh>
    <rPh sb="7" eb="9">
      <t>シュキ</t>
    </rPh>
    <phoneticPr fontId="3"/>
  </si>
  <si>
    <r>
      <t>[</t>
    </r>
    <r>
      <rPr>
        <sz val="11"/>
        <rFont val="ＭＳ Ｐゴシック"/>
        <family val="2"/>
        <charset val="128"/>
        <scheme val="minor"/>
      </rPr>
      <t>14]移植機</t>
    </r>
    <rPh sb="4" eb="6">
      <t>イショク</t>
    </rPh>
    <rPh sb="6" eb="7">
      <t>キ</t>
    </rPh>
    <phoneticPr fontId="3"/>
  </si>
  <si>
    <r>
      <t>[</t>
    </r>
    <r>
      <rPr>
        <sz val="11"/>
        <rFont val="ＭＳ Ｐゴシック"/>
        <family val="2"/>
        <charset val="128"/>
        <scheme val="minor"/>
      </rPr>
      <t>16]中耕除草機</t>
    </r>
    <rPh sb="4" eb="6">
      <t>チュウコウ</t>
    </rPh>
    <rPh sb="6" eb="9">
      <t>ジョソウキ</t>
    </rPh>
    <phoneticPr fontId="3"/>
  </si>
  <si>
    <r>
      <t>[</t>
    </r>
    <r>
      <rPr>
        <sz val="11"/>
        <rFont val="ＭＳ Ｐゴシック"/>
        <family val="2"/>
        <charset val="128"/>
        <scheme val="minor"/>
      </rPr>
      <t>22]そば収穫機</t>
    </r>
    <rPh sb="6" eb="9">
      <t>シュウカクキ</t>
    </rPh>
    <phoneticPr fontId="3"/>
  </si>
  <si>
    <r>
      <t>[</t>
    </r>
    <r>
      <rPr>
        <sz val="11"/>
        <rFont val="ＭＳ Ｐゴシック"/>
        <family val="2"/>
        <charset val="128"/>
        <scheme val="minor"/>
      </rPr>
      <t>24]かんしょ収穫機</t>
    </r>
    <rPh sb="8" eb="10">
      <t>シュウカク</t>
    </rPh>
    <rPh sb="10" eb="11">
      <t>キ</t>
    </rPh>
    <phoneticPr fontId="3"/>
  </si>
  <si>
    <r>
      <t>[25</t>
    </r>
    <r>
      <rPr>
        <sz val="11"/>
        <rFont val="ＭＳ Ｐゴシック"/>
        <family val="2"/>
        <charset val="128"/>
        <scheme val="minor"/>
      </rPr>
      <t>]ばれいしょ収穫機</t>
    </r>
    <rPh sb="9" eb="11">
      <t>シュウカク</t>
    </rPh>
    <rPh sb="11" eb="12">
      <t>キ</t>
    </rPh>
    <phoneticPr fontId="3"/>
  </si>
  <si>
    <r>
      <t>[26</t>
    </r>
    <r>
      <rPr>
        <sz val="11"/>
        <rFont val="ＭＳ Ｐゴシック"/>
        <family val="2"/>
        <charset val="128"/>
        <scheme val="minor"/>
      </rPr>
      <t>]なたね収穫機</t>
    </r>
    <rPh sb="7" eb="9">
      <t>シュウカク</t>
    </rPh>
    <rPh sb="9" eb="10">
      <t>キ</t>
    </rPh>
    <phoneticPr fontId="3"/>
  </si>
  <si>
    <r>
      <t>[</t>
    </r>
    <r>
      <rPr>
        <sz val="11"/>
        <rFont val="ＭＳ Ｐゴシック"/>
        <family val="2"/>
        <charset val="128"/>
        <scheme val="minor"/>
      </rPr>
      <t>27]てんさい収穫機</t>
    </r>
    <rPh sb="8" eb="11">
      <t>シュウカクキ</t>
    </rPh>
    <phoneticPr fontId="3"/>
  </si>
  <si>
    <r>
      <t>[</t>
    </r>
    <r>
      <rPr>
        <sz val="11"/>
        <rFont val="ＭＳ Ｐゴシック"/>
        <family val="2"/>
        <charset val="128"/>
        <scheme val="minor"/>
      </rPr>
      <t>28]さとうきび収穫機</t>
    </r>
    <rPh sb="9" eb="12">
      <t>シュウカクキ</t>
    </rPh>
    <phoneticPr fontId="3"/>
  </si>
  <si>
    <r>
      <t>[</t>
    </r>
    <r>
      <rPr>
        <sz val="11"/>
        <rFont val="ＭＳ Ｐゴシック"/>
        <family val="2"/>
        <charset val="128"/>
        <scheme val="minor"/>
      </rPr>
      <t>30]きび脱葉機</t>
    </r>
    <rPh sb="6" eb="8">
      <t>ダツヨウ</t>
    </rPh>
    <rPh sb="8" eb="9">
      <t>キ</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</si>
</sst>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76" formatCode="0000"/>
    <numFmt numFmtId="177" formatCode="00"/>
    <numFmt numFmtId="178" formatCode="000"/>
    <numFmt numFmtId="179" formatCode="0_ "/>
    <numFmt numFmtId="180" formatCode="#,##0;[Red]\-#,##0;&quot;&quot;"/>
    <numFmt numFmtId="181" formatCode="#,##0.0"/>
    <numFmt numFmtId="182" formatCode="#,##0\ \ "/>
    <numFmt numFmtId="183" formatCode="000000"/>
    <numFmt numFmtId="184" formatCode="#,##0.0;[Red]\-#,##0.0;&quot;&quot;"/>
    <numFmt numFmtId="185" formatCode="#,##0.00;[Red]\-#,##0.00;&quot;&quot;"/>
    <numFmt numFmtId="186" formatCode="#,##0;;&quot;&quot;"/>
    <numFmt numFmtId="187" formatCode="##0"/>
    <numFmt numFmtId="188" formatCode="#,##0\ \ ;;&quot;&quot;"/>
    <numFmt numFmtId="189" formatCode="#0"/>
    <numFmt numFmtId="190" formatCode="#,##0.000;[Red]\-#,##0.000;&quot;&quot;"/>
    <numFmt numFmtId="191" formatCode="#,##0.0;;&quot;&quot;"/>
  </numFmts>
  <fonts count="102">
    <font>
      <sz val="11"/>
      <color theme="1"/>
      <name val="ＭＳ Ｐゴシック"/>
      <family val="2"/>
      <charset val="128"/>
      <scheme val="minor"/>
    </font>
    <font>
      <sz val="11"/>
      <color theme="1"/>
      <name val="ＭＳ Ｐゴシック"/>
      <family val="2"/>
      <charset val="128"/>
      <scheme val="minor"/>
    </font>
    <font>
      <sz val="11"/>
      <color rgb="FF000000"/>
      <name val="ＭＳ Ｐゴシック"/>
      <family val="3"/>
      <charset val="128"/>
    </font>
    <font>
      <sz val="11"/>
      <name val="ＭＳ Ｐゴシック"/>
      <family val="3"/>
      <charset val="128"/>
    </font>
    <font>
      <sz val="14"/>
      <name val="ＭＳ Ｐゴシック"/>
      <family val="3"/>
      <charset val="128"/>
    </font>
    <font>
      <sz val="6"/>
      <name val="ＭＳ Ｐゴシック"/>
      <family val="2"/>
      <charset val="128"/>
      <scheme val="minor"/>
    </font>
    <font>
      <sz val="6"/>
      <name val="ＭＳ Ｐゴシック"/>
      <family val="3"/>
      <charset val="128"/>
    </font>
    <font>
      <sz val="16"/>
      <name val="ＭＳ ゴシック"/>
      <family val="3"/>
      <charset val="128"/>
    </font>
    <font>
      <sz val="16"/>
      <name val="ＭＳ Ｐゴシック"/>
      <family val="3"/>
      <charset val="128"/>
    </font>
    <font>
      <sz val="11"/>
      <name val="ＭＳ ゴシック"/>
      <family val="3"/>
      <charset val="128"/>
    </font>
    <font>
      <sz val="14"/>
      <color indexed="8"/>
      <name val="ＭＳ 明朝"/>
      <family val="1"/>
      <charset val="128"/>
    </font>
    <font>
      <sz val="14"/>
      <color indexed="8"/>
      <name val="ＭＳ ゴシック"/>
      <family val="3"/>
      <charset val="128"/>
    </font>
    <font>
      <sz val="10"/>
      <color indexed="8"/>
      <name val="ＭＳ 明朝"/>
      <family val="1"/>
      <charset val="128"/>
    </font>
    <font>
      <sz val="8"/>
      <color indexed="8"/>
      <name val="ＭＳ 明朝"/>
      <family val="1"/>
      <charset val="128"/>
    </font>
    <font>
      <sz val="13"/>
      <color indexed="8"/>
      <name val="ＭＳ ゴシック"/>
      <family val="3"/>
      <charset val="128"/>
    </font>
    <font>
      <sz val="9"/>
      <color indexed="8"/>
      <name val="ＭＳ 明朝"/>
      <family val="1"/>
      <charset val="128"/>
    </font>
    <font>
      <sz val="26"/>
      <color indexed="8"/>
      <name val="ＭＳ 明朝"/>
      <family val="1"/>
      <charset val="128"/>
    </font>
    <font>
      <sz val="28"/>
      <name val="ＭＳ ゴシック"/>
      <family val="3"/>
      <charset val="128"/>
    </font>
    <font>
      <sz val="24"/>
      <name val="ＭＳ ゴシック"/>
      <family val="3"/>
      <charset val="128"/>
    </font>
    <font>
      <sz val="28"/>
      <color theme="1"/>
      <name val="ＭＳ ゴシック"/>
      <family val="3"/>
      <charset val="128"/>
    </font>
    <font>
      <sz val="24"/>
      <color theme="1"/>
      <name val="ＭＳ ゴシック"/>
      <family val="3"/>
      <charset val="128"/>
    </font>
    <font>
      <sz val="28"/>
      <color indexed="8"/>
      <name val="ＭＳ 明朝"/>
      <family val="1"/>
      <charset val="128"/>
    </font>
    <font>
      <sz val="28"/>
      <color indexed="8"/>
      <name val="ＭＳ ゴシック"/>
      <family val="3"/>
      <charset val="128"/>
    </font>
    <font>
      <sz val="24"/>
      <color indexed="8"/>
      <name val="ＭＳ ゴシック"/>
      <family val="3"/>
      <charset val="128"/>
    </font>
    <font>
      <sz val="9"/>
      <name val="ＭＳ Ｐゴシック"/>
      <family val="3"/>
      <charset val="128"/>
    </font>
    <font>
      <sz val="10"/>
      <name val="ＭＳ Ｐゴシック"/>
      <family val="3"/>
      <charset val="128"/>
    </font>
    <font>
      <sz val="8"/>
      <name val="ＭＳ Ｐゴシック"/>
      <family val="3"/>
      <charset val="128"/>
    </font>
    <font>
      <sz val="14"/>
      <color rgb="FF000000"/>
      <name val="ＭＳ 明朝"/>
      <family val="1"/>
      <charset val="128"/>
    </font>
    <font>
      <sz val="14"/>
      <name val="ＭＳ 明朝"/>
      <family val="1"/>
      <charset val="128"/>
    </font>
    <font>
      <b/>
      <sz val="14"/>
      <name val="ＭＳ ゴシック"/>
      <family val="3"/>
      <charset val="128"/>
    </font>
    <font>
      <sz val="12"/>
      <name val="ＭＳ 明朝"/>
      <family val="1"/>
      <charset val="128"/>
    </font>
    <font>
      <sz val="8"/>
      <name val="ＭＳ ゴシック"/>
      <family val="3"/>
      <charset val="128"/>
    </font>
    <font>
      <sz val="20"/>
      <name val="ＭＳ ゴシック"/>
      <family val="3"/>
      <charset val="128"/>
    </font>
    <font>
      <sz val="11"/>
      <name val="ＭＳ 明朝"/>
      <family val="1"/>
      <charset val="128"/>
    </font>
    <font>
      <sz val="11"/>
      <color indexed="8"/>
      <name val="ＭＳ 明朝"/>
      <family val="1"/>
      <charset val="128"/>
    </font>
    <font>
      <sz val="24"/>
      <name val="ＭＳ 明朝"/>
      <family val="1"/>
      <charset val="128"/>
    </font>
    <font>
      <sz val="10"/>
      <name val="ＭＳ 明朝"/>
      <family val="1"/>
      <charset val="128"/>
    </font>
    <font>
      <b/>
      <sz val="11"/>
      <name val="ＭＳ 明朝"/>
      <family val="1"/>
      <charset val="128"/>
    </font>
    <font>
      <sz val="6"/>
      <name val="ＭＳ 明朝"/>
      <family val="1"/>
      <charset val="128"/>
    </font>
    <font>
      <sz val="18"/>
      <color indexed="8"/>
      <name val="ＭＳ 明朝"/>
      <family val="1"/>
      <charset val="128"/>
    </font>
    <font>
      <u/>
      <sz val="14"/>
      <name val="ＭＳ 明朝"/>
      <family val="1"/>
      <charset val="128"/>
    </font>
    <font>
      <u/>
      <sz val="14"/>
      <color indexed="8"/>
      <name val="ＭＳ 明朝"/>
      <family val="1"/>
      <charset val="128"/>
    </font>
    <font>
      <b/>
      <sz val="14"/>
      <name val="ＭＳ 明朝"/>
      <family val="1"/>
      <charset val="128"/>
    </font>
    <font>
      <b/>
      <sz val="12"/>
      <color indexed="8"/>
      <name val="ＭＳ 明朝"/>
      <family val="1"/>
      <charset val="128"/>
    </font>
    <font>
      <sz val="11"/>
      <color indexed="8"/>
      <name val="ＭＳ ゴシック"/>
      <family val="3"/>
      <charset val="128"/>
    </font>
    <font>
      <sz val="9"/>
      <name val="ＭＳ ゴシック"/>
      <family val="3"/>
      <charset val="128"/>
    </font>
    <font>
      <sz val="6"/>
      <name val="ＭＳ ゴシック"/>
      <family val="3"/>
      <charset val="128"/>
    </font>
    <font>
      <b/>
      <sz val="12"/>
      <name val="ＭＳ Ｐゴシック"/>
      <family val="3"/>
      <charset val="128"/>
    </font>
    <font>
      <b/>
      <sz val="12"/>
      <name val="ＭＳ ゴシック"/>
      <family val="3"/>
      <charset val="128"/>
    </font>
    <font>
      <b/>
      <sz val="11"/>
      <name val="ＭＳ ゴシック"/>
      <family val="3"/>
      <charset val="128"/>
    </font>
    <font>
      <sz val="12"/>
      <color indexed="8"/>
      <name val="ＭＳ 明朝"/>
      <family val="1"/>
      <charset val="128"/>
    </font>
    <font>
      <sz val="14"/>
      <color rgb="FFFF0000"/>
      <name val="ＭＳ 明朝"/>
      <family val="1"/>
      <charset val="128"/>
    </font>
    <font>
      <sz val="18"/>
      <name val="ＭＳ ゴシック"/>
      <family val="3"/>
      <charset val="128"/>
    </font>
    <font>
      <b/>
      <sz val="12"/>
      <color indexed="8"/>
      <name val="ＭＳ ゴシック"/>
      <family val="3"/>
      <charset val="128"/>
    </font>
    <font>
      <sz val="14"/>
      <color indexed="8"/>
      <name val="ＭＳ Ｐゴシック"/>
      <family val="3"/>
      <charset val="128"/>
    </font>
    <font>
      <sz val="11"/>
      <color indexed="8"/>
      <name val="ＭＳ Ｐゴシック"/>
      <family val="3"/>
      <charset val="128"/>
    </font>
    <font>
      <sz val="16"/>
      <color indexed="8"/>
      <name val="ＭＳ ゴシック"/>
      <family val="3"/>
      <charset val="128"/>
    </font>
    <font>
      <sz val="9"/>
      <name val="ＭＳ 明朝"/>
      <family val="1"/>
      <charset val="128"/>
    </font>
    <font>
      <sz val="12"/>
      <color theme="1"/>
      <name val="ＭＳ ゴシック"/>
      <family val="3"/>
      <charset val="128"/>
    </font>
    <font>
      <sz val="12"/>
      <name val="ＭＳ Ｐゴシック"/>
      <family val="3"/>
      <charset val="128"/>
    </font>
    <font>
      <sz val="10"/>
      <name val="ＭＳ ゴシック"/>
      <family val="3"/>
      <charset val="128"/>
    </font>
    <font>
      <sz val="12"/>
      <color indexed="8"/>
      <name val="ＭＳ Ｐゴシック"/>
      <family val="3"/>
      <charset val="128"/>
    </font>
    <font>
      <sz val="24"/>
      <name val="ＭＳ Ｐゴシック"/>
      <family val="3"/>
      <charset val="128"/>
    </font>
    <font>
      <sz val="11"/>
      <color rgb="FFFF0000"/>
      <name val="ＭＳ ゴシック"/>
      <family val="3"/>
      <charset val="128"/>
    </font>
    <font>
      <sz val="11"/>
      <color theme="0"/>
      <name val="ＭＳ Ｐゴシック"/>
      <family val="3"/>
      <charset val="128"/>
    </font>
    <font>
      <sz val="12"/>
      <name val="ＭＳ ゴシック"/>
      <family val="3"/>
      <charset val="128"/>
    </font>
    <font>
      <sz val="10"/>
      <color theme="0"/>
      <name val="ＭＳ 明朝"/>
      <family val="1"/>
      <charset val="128"/>
    </font>
    <font>
      <sz val="8"/>
      <color indexed="8"/>
      <name val="ＭＳ ゴシック"/>
      <family val="3"/>
      <charset val="128"/>
    </font>
    <font>
      <b/>
      <sz val="12"/>
      <color indexed="8"/>
      <name val="ＭＳ Ｐゴシック"/>
      <family val="3"/>
      <charset val="128"/>
    </font>
    <font>
      <sz val="11"/>
      <color theme="0"/>
      <name val="ＭＳ ゴシック"/>
      <family val="3"/>
      <charset val="128"/>
    </font>
    <font>
      <sz val="10"/>
      <name val="ＭＳ Ｐ明朝"/>
      <family val="1"/>
      <charset val="128"/>
    </font>
    <font>
      <sz val="6"/>
      <color theme="0"/>
      <name val="ＭＳ ゴシック"/>
      <family val="3"/>
      <charset val="128"/>
    </font>
    <font>
      <sz val="6"/>
      <color theme="0"/>
      <name val="ＭＳ Ｐゴシック"/>
      <family val="3"/>
      <charset val="128"/>
    </font>
    <font>
      <sz val="9"/>
      <color theme="0"/>
      <name val="ＭＳ Ｐゴシック"/>
      <family val="3"/>
      <charset val="128"/>
    </font>
    <font>
      <sz val="11"/>
      <color theme="1"/>
      <name val="ＭＳ 明朝"/>
      <family val="1"/>
      <charset val="128"/>
    </font>
    <font>
      <sz val="12"/>
      <color rgb="FF000000"/>
      <name val="ＭＳ ゴシック"/>
      <family val="3"/>
      <charset val="128"/>
    </font>
    <font>
      <sz val="12"/>
      <color rgb="FFFF0000"/>
      <name val="ＭＳ ゴシック"/>
      <family val="3"/>
      <charset val="128"/>
    </font>
    <font>
      <sz val="9"/>
      <color theme="0"/>
      <name val="ＭＳ ゴシック"/>
      <family val="3"/>
      <charset val="128"/>
    </font>
    <font>
      <sz val="11"/>
      <color theme="0"/>
      <name val="ＭＳ 明朝"/>
      <family val="1"/>
      <charset val="128"/>
    </font>
    <font>
      <sz val="11"/>
      <color rgb="FFFF0000"/>
      <name val="ＭＳ 明朝"/>
      <family val="1"/>
      <charset val="128"/>
    </font>
    <font>
      <b/>
      <sz val="11"/>
      <name val="ＭＳ Ｐゴシック"/>
      <family val="3"/>
      <charset val="128"/>
    </font>
    <font>
      <b/>
      <sz val="9"/>
      <name val="ＭＳ 明朝"/>
      <family val="1"/>
      <charset val="128"/>
    </font>
    <font>
      <b/>
      <sz val="11"/>
      <color theme="0"/>
      <name val="ＭＳ Ｐゴシック"/>
      <family val="3"/>
      <charset val="128"/>
    </font>
    <font>
      <sz val="12"/>
      <color theme="0"/>
      <name val="ＭＳ Ｐゴシック"/>
      <family val="3"/>
      <charset val="128"/>
    </font>
    <font>
      <sz val="12"/>
      <color indexed="8"/>
      <name val="ＭＳ ゴシック"/>
      <family val="3"/>
      <charset val="128"/>
    </font>
    <font>
      <vertAlign val="superscript"/>
      <sz val="11"/>
      <name val="ＭＳ Ｐゴシック"/>
      <family val="3"/>
      <charset val="128"/>
    </font>
    <font>
      <sz val="9"/>
      <color theme="0"/>
      <name val="ＭＳ 明朝"/>
      <family val="1"/>
      <charset val="128"/>
    </font>
    <font>
      <sz val="8"/>
      <color theme="0"/>
      <name val="ＭＳ 明朝"/>
      <family val="1"/>
      <charset val="128"/>
    </font>
    <font>
      <b/>
      <sz val="12"/>
      <color theme="0"/>
      <name val="ＭＳ Ｐゴシック"/>
      <family val="3"/>
      <charset val="128"/>
    </font>
    <font>
      <sz val="8"/>
      <color theme="0"/>
      <name val="ＭＳ Ｐゴシック"/>
      <family val="3"/>
      <charset val="128"/>
    </font>
    <font>
      <sz val="26"/>
      <name val="ＭＳ ゴシック"/>
      <family val="3"/>
      <charset val="128"/>
    </font>
    <font>
      <sz val="11"/>
      <color theme="1"/>
      <name val="ＭＳ ゴシック"/>
      <family val="3"/>
      <charset val="128"/>
    </font>
    <font>
      <sz val="11"/>
      <color theme="1"/>
      <name val="ＭＳ Ｐゴシック"/>
      <family val="3"/>
      <charset val="128"/>
    </font>
    <font>
      <sz val="16"/>
      <color rgb="FFFF0000"/>
      <name val="ＭＳ ゴシック"/>
      <family val="3"/>
      <charset val="128"/>
    </font>
    <font>
      <sz val="16"/>
      <color theme="1"/>
      <name val="ＭＳ ゴシック"/>
      <family val="3"/>
      <charset val="128"/>
    </font>
    <font>
      <sz val="16"/>
      <color theme="0"/>
      <name val="ＭＳ ゴシック"/>
      <family val="3"/>
      <charset val="128"/>
    </font>
    <font>
      <b/>
      <sz val="12"/>
      <color theme="1"/>
      <name val="ＭＳ ゴシック"/>
      <family val="3"/>
      <charset val="128"/>
    </font>
    <font>
      <sz val="16"/>
      <name val="ＭＳ 明朝"/>
      <family val="1"/>
      <charset val="128"/>
    </font>
    <font>
      <sz val="6"/>
      <name val="明朝"/>
      <family val="1"/>
      <charset val="128"/>
    </font>
    <font>
      <sz val="12"/>
      <color rgb="FFFF0000"/>
      <name val="ＭＳ Ｐゴシック"/>
      <family val="3"/>
      <charset val="128"/>
    </font>
    <font>
      <b/>
      <sz val="9"/>
      <color indexed="81"/>
      <name val="MS P ゴシック"/>
      <family val="3"/>
      <charset val="128"/>
    </font>
    <font>
      <sz val="11"/>
      <name val="ＭＳ Ｐゴシック"/>
      <family val="2"/>
      <charset val="128"/>
      <scheme val="minor"/>
    </font>
  </fonts>
  <fills count="12">
    <fill>
      <patternFill patternType="none"/>
    </fill>
    <fill>
      <patternFill patternType="gray125"/>
    </fill>
    <fill>
      <patternFill patternType="solid">
        <fgColor theme="5" tint="0.79998168889431442"/>
        <bgColor indexed="64"/>
      </patternFill>
    </fill>
    <fill>
      <patternFill patternType="solid">
        <fgColor rgb="FFFFFF99"/>
        <bgColor indexed="64"/>
      </patternFill>
    </fill>
    <fill>
      <patternFill patternType="solid">
        <fgColor rgb="FFCCFFCC"/>
        <bgColor indexed="64"/>
      </patternFill>
    </fill>
    <fill>
      <patternFill patternType="solid">
        <fgColor theme="0"/>
        <bgColor indexed="64"/>
      </patternFill>
    </fill>
    <fill>
      <patternFill patternType="solid">
        <fgColor indexed="43"/>
        <bgColor indexed="64"/>
      </patternFill>
    </fill>
    <fill>
      <patternFill patternType="solid">
        <fgColor rgb="FFFFCF80"/>
        <bgColor indexed="64"/>
      </patternFill>
    </fill>
    <fill>
      <patternFill patternType="solid">
        <fgColor theme="3" tint="0.79998168889431442"/>
        <bgColor indexed="64"/>
      </patternFill>
    </fill>
    <fill>
      <patternFill patternType="solid">
        <fgColor rgb="FFF2DCDB"/>
        <bgColor indexed="64"/>
      </patternFill>
    </fill>
    <fill>
      <patternFill patternType="solid">
        <fgColor rgb="FFFFCCFF"/>
        <bgColor indexed="64"/>
      </patternFill>
    </fill>
    <fill>
      <patternFill patternType="solid">
        <fgColor theme="6" tint="0.79998168889431442"/>
        <bgColor indexed="64"/>
      </patternFill>
    </fill>
  </fills>
  <borders count="535">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double">
        <color auto="1"/>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top/>
      <bottom style="double">
        <color indexed="57"/>
      </bottom>
      <diagonal/>
    </border>
    <border>
      <left/>
      <right/>
      <top/>
      <bottom style="double">
        <color rgb="FF35A16B"/>
      </bottom>
      <diagonal/>
    </border>
    <border>
      <left/>
      <right style="thin">
        <color indexed="64"/>
      </right>
      <top/>
      <bottom style="double">
        <color rgb="FF35A16B"/>
      </bottom>
      <diagonal/>
    </border>
    <border>
      <left style="thin">
        <color indexed="64"/>
      </left>
      <right/>
      <top/>
      <bottom style="double">
        <color indexed="57"/>
      </bottom>
      <diagonal/>
    </border>
    <border>
      <left/>
      <right/>
      <top/>
      <bottom style="double">
        <color indexed="57"/>
      </bottom>
      <diagonal/>
    </border>
    <border>
      <left/>
      <right style="medium">
        <color indexed="64"/>
      </right>
      <top/>
      <bottom style="double">
        <color indexed="57"/>
      </bottom>
      <diagonal/>
    </border>
    <border>
      <left style="medium">
        <color indexed="64"/>
      </left>
      <right/>
      <top/>
      <bottom/>
      <diagonal/>
    </border>
    <border>
      <left/>
      <right style="double">
        <color indexed="57"/>
      </right>
      <top/>
      <bottom/>
      <diagonal/>
    </border>
    <border>
      <left style="double">
        <color indexed="57"/>
      </left>
      <right/>
      <top style="double">
        <color indexed="57"/>
      </top>
      <bottom/>
      <diagonal/>
    </border>
    <border>
      <left/>
      <right/>
      <top style="double">
        <color indexed="57"/>
      </top>
      <bottom/>
      <diagonal/>
    </border>
    <border>
      <left/>
      <right style="thin">
        <color indexed="64"/>
      </right>
      <top style="double">
        <color indexed="57"/>
      </top>
      <bottom/>
      <diagonal/>
    </border>
    <border>
      <left style="thin">
        <color indexed="64"/>
      </left>
      <right/>
      <top style="double">
        <color indexed="57"/>
      </top>
      <bottom/>
      <diagonal/>
    </border>
    <border>
      <left/>
      <right style="double">
        <color indexed="57"/>
      </right>
      <top style="double">
        <color indexed="57"/>
      </top>
      <bottom/>
      <diagonal/>
    </border>
    <border>
      <left/>
      <right style="double">
        <color indexed="57"/>
      </right>
      <top/>
      <bottom style="medium">
        <color indexed="64"/>
      </bottom>
      <diagonal/>
    </border>
    <border>
      <left style="double">
        <color indexed="57"/>
      </left>
      <right/>
      <top/>
      <bottom style="double">
        <color indexed="57"/>
      </bottom>
      <diagonal/>
    </border>
    <border>
      <left/>
      <right style="thin">
        <color indexed="64"/>
      </right>
      <top/>
      <bottom style="double">
        <color indexed="57"/>
      </bottom>
      <diagonal/>
    </border>
    <border>
      <left/>
      <right style="double">
        <color indexed="57"/>
      </right>
      <top/>
      <bottom style="double">
        <color indexed="57"/>
      </bottom>
      <diagonal/>
    </border>
    <border>
      <left style="thin">
        <color indexed="64"/>
      </left>
      <right style="medium">
        <color indexed="64"/>
      </right>
      <top style="medium">
        <color indexed="64"/>
      </top>
      <bottom/>
      <diagonal/>
    </border>
    <border>
      <left style="thin">
        <color indexed="64"/>
      </left>
      <right style="medium">
        <color indexed="64"/>
      </right>
      <top/>
      <bottom style="double">
        <color rgb="FF35A16B"/>
      </bottom>
      <diagonal/>
    </border>
    <border>
      <left/>
      <right style="double">
        <color rgb="FF35A16B"/>
      </right>
      <top style="medium">
        <color indexed="64"/>
      </top>
      <bottom/>
      <diagonal/>
    </border>
    <border>
      <left style="double">
        <color rgb="FF35A16B"/>
      </left>
      <right/>
      <top style="double">
        <color rgb="FF35A16B"/>
      </top>
      <bottom/>
      <diagonal/>
    </border>
    <border>
      <left style="thin">
        <color indexed="64"/>
      </left>
      <right style="double">
        <color rgb="FF35A36B"/>
      </right>
      <top style="double">
        <color rgb="FF35A16B"/>
      </top>
      <bottom/>
      <diagonal/>
    </border>
    <border>
      <left style="medium">
        <color indexed="64"/>
      </left>
      <right/>
      <top style="thin">
        <color indexed="64"/>
      </top>
      <bottom style="thin">
        <color indexed="64"/>
      </bottom>
      <diagonal/>
    </border>
    <border>
      <left/>
      <right style="double">
        <color rgb="FF35A16B"/>
      </right>
      <top style="thin">
        <color indexed="64"/>
      </top>
      <bottom style="thin">
        <color indexed="64"/>
      </bottom>
      <diagonal/>
    </border>
    <border>
      <left style="double">
        <color rgb="FF35A16B"/>
      </left>
      <right/>
      <top style="thin">
        <color indexed="64"/>
      </top>
      <bottom style="thin">
        <color indexed="64"/>
      </bottom>
      <diagonal/>
    </border>
    <border>
      <left style="thin">
        <color indexed="64"/>
      </left>
      <right style="double">
        <color rgb="FF35A36B"/>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double">
        <color rgb="FF35A16B"/>
      </right>
      <top style="thin">
        <color indexed="64"/>
      </top>
      <bottom style="medium">
        <color indexed="64"/>
      </bottom>
      <diagonal/>
    </border>
    <border>
      <left style="double">
        <color rgb="FF35A16B"/>
      </left>
      <right/>
      <top style="thin">
        <color indexed="64"/>
      </top>
      <bottom style="double">
        <color rgb="FF35A16B"/>
      </bottom>
      <diagonal/>
    </border>
    <border>
      <left style="thin">
        <color indexed="64"/>
      </left>
      <right style="double">
        <color rgb="FF35A36B"/>
      </right>
      <top style="thin">
        <color indexed="64"/>
      </top>
      <bottom style="double">
        <color rgb="FF35A16B"/>
      </bottom>
      <diagonal/>
    </border>
    <border>
      <left style="thin">
        <color indexed="64"/>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bottom style="double">
        <color rgb="FF35A16B"/>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double">
        <color rgb="FF35A16B"/>
      </right>
      <top style="medium">
        <color indexed="64"/>
      </top>
      <bottom style="thin">
        <color indexed="64"/>
      </bottom>
      <diagonal/>
    </border>
    <border>
      <left style="double">
        <color rgb="FF35A16B"/>
      </left>
      <right/>
      <top style="double">
        <color rgb="FF35A16B"/>
      </top>
      <bottom style="thin">
        <color indexed="64"/>
      </bottom>
      <diagonal/>
    </border>
    <border>
      <left style="thin">
        <color indexed="64"/>
      </left>
      <right style="double">
        <color rgb="FF35A36B"/>
      </right>
      <top style="double">
        <color rgb="FF35A16B"/>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double">
        <color rgb="FF35A16B"/>
      </bottom>
      <diagonal/>
    </border>
    <border>
      <left style="double">
        <color rgb="FF35A16B"/>
      </left>
      <right/>
      <top style="double">
        <color rgb="FF35A16B"/>
      </top>
      <bottom style="double">
        <color rgb="FF35A16B"/>
      </bottom>
      <diagonal/>
    </border>
    <border>
      <left style="thin">
        <color indexed="64"/>
      </left>
      <right/>
      <top style="double">
        <color rgb="FF35A16B"/>
      </top>
      <bottom style="double">
        <color rgb="FF35A16B"/>
      </bottom>
      <diagonal/>
    </border>
    <border>
      <left style="thin">
        <color indexed="64"/>
      </left>
      <right style="double">
        <color rgb="FF35A36B"/>
      </right>
      <top style="double">
        <color rgb="FF35A16B"/>
      </top>
      <bottom style="double">
        <color rgb="FF35A16B"/>
      </bottom>
      <diagonal/>
    </border>
    <border>
      <left/>
      <right style="medium">
        <color indexed="64"/>
      </right>
      <top/>
      <bottom/>
      <diagonal/>
    </border>
    <border>
      <left style="medium">
        <color theme="1"/>
      </left>
      <right style="medium">
        <color theme="1"/>
      </right>
      <top style="medium">
        <color indexed="64"/>
      </top>
      <bottom/>
      <diagonal/>
    </border>
    <border>
      <left style="medium">
        <color theme="1"/>
      </left>
      <right style="medium">
        <color theme="1"/>
      </right>
      <top/>
      <bottom/>
      <diagonal/>
    </border>
    <border>
      <left style="medium">
        <color theme="1"/>
      </left>
      <right style="medium">
        <color theme="1"/>
      </right>
      <top/>
      <bottom style="double">
        <color rgb="FF35A16B"/>
      </bottom>
      <diagonal/>
    </border>
    <border>
      <left style="thin">
        <color theme="1"/>
      </left>
      <right style="double">
        <color rgb="FF35A16B"/>
      </right>
      <top style="medium">
        <color theme="1"/>
      </top>
      <bottom/>
      <diagonal/>
    </border>
    <border>
      <left style="double">
        <color rgb="FF35A16B"/>
      </left>
      <right style="double">
        <color rgb="FF35A16B"/>
      </right>
      <top style="double">
        <color rgb="FF35A16B"/>
      </top>
      <bottom style="thin">
        <color theme="1"/>
      </bottom>
      <diagonal/>
    </border>
    <border>
      <left style="thin">
        <color theme="1"/>
      </left>
      <right style="double">
        <color rgb="FF35A16B"/>
      </right>
      <top style="thin">
        <color indexed="64"/>
      </top>
      <bottom/>
      <diagonal/>
    </border>
    <border>
      <left style="double">
        <color rgb="FF35A16B"/>
      </left>
      <right style="double">
        <color rgb="FF35A16B"/>
      </right>
      <top style="thin">
        <color theme="1"/>
      </top>
      <bottom style="thin">
        <color theme="1"/>
      </bottom>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style="thin">
        <color theme="1"/>
      </left>
      <right style="double">
        <color rgb="FF35A16B"/>
      </right>
      <top style="double">
        <color theme="1"/>
      </top>
      <bottom style="medium">
        <color theme="1"/>
      </bottom>
      <diagonal/>
    </border>
    <border>
      <left style="double">
        <color rgb="FF35A16B"/>
      </left>
      <right style="double">
        <color rgb="FF35A16B"/>
      </right>
      <top style="double">
        <color theme="1"/>
      </top>
      <bottom style="double">
        <color rgb="FF35A16B"/>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double">
        <color rgb="FF35A36B"/>
      </bottom>
      <diagonal/>
    </border>
    <border>
      <left style="thin">
        <color indexed="64"/>
      </left>
      <right/>
      <top/>
      <bottom style="double">
        <color theme="1"/>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rgb="FF35A36B"/>
      </right>
      <top style="double">
        <color rgb="FF35A36B"/>
      </top>
      <bottom/>
      <diagonal/>
    </border>
    <border>
      <left style="double">
        <color theme="1"/>
      </left>
      <right style="double">
        <color theme="1"/>
      </right>
      <top style="double">
        <color theme="1"/>
      </top>
      <bottom style="thin">
        <color theme="1"/>
      </bottom>
      <diagonal/>
    </border>
    <border>
      <left style="medium">
        <color indexed="64"/>
      </left>
      <right style="thin">
        <color indexed="64"/>
      </right>
      <top style="thin">
        <color indexed="64"/>
      </top>
      <bottom style="thin">
        <color indexed="64"/>
      </bottom>
      <diagonal/>
    </border>
    <border>
      <left style="double">
        <color rgb="FF35A16B"/>
      </left>
      <right/>
      <top style="thin">
        <color indexed="64"/>
      </top>
      <bottom/>
      <diagonal/>
    </border>
    <border>
      <left style="thin">
        <color indexed="64"/>
      </left>
      <right style="double">
        <color rgb="FF35A36B"/>
      </right>
      <top style="thin">
        <color indexed="64"/>
      </top>
      <bottom/>
      <diagonal/>
    </border>
    <border>
      <left style="double">
        <color theme="1"/>
      </left>
      <right style="double">
        <color theme="1"/>
      </right>
      <top style="thin">
        <color theme="1"/>
      </top>
      <bottom style="thin">
        <color theme="1"/>
      </bottom>
      <diagonal/>
    </border>
    <border>
      <left style="thin">
        <color indexed="64"/>
      </left>
      <right/>
      <top style="thin">
        <color indexed="64"/>
      </top>
      <bottom style="medium">
        <color indexed="64"/>
      </bottom>
      <diagonal/>
    </border>
    <border>
      <left style="thin">
        <color indexed="64"/>
      </left>
      <right style="double">
        <color rgb="FF35A36B"/>
      </right>
      <top style="thin">
        <color indexed="64"/>
      </top>
      <bottom style="double">
        <color rgb="FF35A36B"/>
      </bottom>
      <diagonal/>
    </border>
    <border>
      <left style="double">
        <color theme="1"/>
      </left>
      <right style="double">
        <color theme="1"/>
      </right>
      <top style="thin">
        <color theme="1"/>
      </top>
      <bottom style="double">
        <color theme="1"/>
      </bottom>
      <diagonal/>
    </border>
    <border>
      <left style="medium">
        <color indexed="64"/>
      </left>
      <right style="thin">
        <color indexed="64"/>
      </right>
      <top/>
      <bottom style="double">
        <color rgb="FF35A16B"/>
      </bottom>
      <diagonal/>
    </border>
    <border>
      <left style="double">
        <color rgb="FF35A36B"/>
      </left>
      <right style="thin">
        <color indexed="64"/>
      </right>
      <top style="double">
        <color rgb="FF35A16B"/>
      </top>
      <bottom style="double">
        <color rgb="FF35A16B"/>
      </bottom>
      <diagonal/>
    </border>
    <border>
      <left style="thin">
        <color indexed="64"/>
      </left>
      <right style="double">
        <color rgb="FF35A16B"/>
      </right>
      <top style="double">
        <color rgb="FF35A16B"/>
      </top>
      <bottom style="thin">
        <color theme="1"/>
      </bottom>
      <diagonal/>
    </border>
    <border diagonalDown="1">
      <left/>
      <right style="double">
        <color rgb="FF35A16B"/>
      </right>
      <top/>
      <bottom/>
      <diagonal style="thin">
        <color theme="1"/>
      </diagonal>
    </border>
    <border>
      <left style="double">
        <color rgb="FF35A16B"/>
      </left>
      <right style="double">
        <color rgb="FF35A16B"/>
      </right>
      <top style="thin">
        <color theme="1"/>
      </top>
      <bottom/>
      <diagonal/>
    </border>
    <border>
      <left style="thin">
        <color indexed="64"/>
      </left>
      <right style="medium">
        <color indexed="64"/>
      </right>
      <top style="thin">
        <color indexed="64"/>
      </top>
      <bottom style="thin">
        <color indexed="64"/>
      </bottom>
      <diagonal/>
    </border>
    <border diagonalDown="1">
      <left/>
      <right style="double">
        <color rgb="FF35A16B"/>
      </right>
      <top/>
      <bottom style="thin">
        <color indexed="64"/>
      </bottom>
      <diagonal style="thin">
        <color theme="1"/>
      </diagonal>
    </border>
    <border>
      <left style="double">
        <color rgb="FF35A16B"/>
      </left>
      <right style="double">
        <color rgb="FF35A16B"/>
      </right>
      <top style="thin">
        <color indexed="64"/>
      </top>
      <bottom style="double">
        <color rgb="FF35A16B"/>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double">
        <color rgb="FF35A36B"/>
      </bottom>
      <diagonal/>
    </border>
    <border>
      <left style="double">
        <color rgb="FF35A36B"/>
      </left>
      <right/>
      <top style="double">
        <color rgb="FF35A36B"/>
      </top>
      <bottom/>
      <diagonal/>
    </border>
    <border>
      <left style="thin">
        <color indexed="64"/>
      </left>
      <right/>
      <top style="double">
        <color rgb="FF35A36B"/>
      </top>
      <bottom/>
      <diagonal/>
    </border>
    <border>
      <left style="double">
        <color rgb="FF33A36B"/>
      </left>
      <right/>
      <top/>
      <bottom/>
      <diagonal/>
    </border>
    <border>
      <left style="thin">
        <color indexed="64"/>
      </left>
      <right style="medium">
        <color auto="1"/>
      </right>
      <top style="double">
        <color rgb="FF35A36B"/>
      </top>
      <bottom/>
      <diagonal/>
    </border>
    <border>
      <left/>
      <right style="double">
        <color rgb="FF35A36B"/>
      </right>
      <top style="thin">
        <color indexed="64"/>
      </top>
      <bottom/>
      <diagonal/>
    </border>
    <border>
      <left style="double">
        <color rgb="FF35A36B"/>
      </left>
      <right/>
      <top style="thin">
        <color theme="1"/>
      </top>
      <bottom style="thin">
        <color theme="1"/>
      </bottom>
      <diagonal/>
    </border>
    <border diagonalDown="1">
      <left style="double">
        <color rgb="FF35A36B"/>
      </left>
      <right style="medium">
        <color auto="1"/>
      </right>
      <top style="double">
        <color rgb="FF339966"/>
      </top>
      <bottom/>
      <diagonal style="hair">
        <color auto="1"/>
      </diagonal>
    </border>
    <border diagonalDown="1">
      <left style="double">
        <color rgb="FF35A36B"/>
      </left>
      <right style="medium">
        <color auto="1"/>
      </right>
      <top/>
      <bottom/>
      <diagonal style="hair">
        <color auto="1"/>
      </diagonal>
    </border>
    <border>
      <left/>
      <right style="double">
        <color rgb="FF35A36B"/>
      </right>
      <top style="thin">
        <color indexed="64"/>
      </top>
      <bottom style="medium">
        <color indexed="64"/>
      </bottom>
      <diagonal/>
    </border>
    <border>
      <left style="double">
        <color rgb="FF35A36B"/>
      </left>
      <right/>
      <top style="thin">
        <color theme="1"/>
      </top>
      <bottom style="double">
        <color rgb="FF35A36B"/>
      </bottom>
      <diagonal/>
    </border>
    <border diagonalDown="1">
      <left style="double">
        <color rgb="FF35A36B"/>
      </left>
      <right style="medium">
        <color auto="1"/>
      </right>
      <top/>
      <bottom style="medium">
        <color indexed="64"/>
      </bottom>
      <diagonal style="hair">
        <color auto="1"/>
      </diagonal>
    </border>
    <border>
      <left style="thin">
        <color indexed="64"/>
      </left>
      <right/>
      <top/>
      <bottom style="double">
        <color rgb="FF35A36B"/>
      </bottom>
      <diagonal/>
    </border>
    <border>
      <left/>
      <right style="medium">
        <color indexed="64"/>
      </right>
      <top style="medium">
        <color indexed="64"/>
      </top>
      <bottom style="thin">
        <color indexed="64"/>
      </bottom>
      <diagonal/>
    </border>
    <border>
      <left/>
      <right style="double">
        <color rgb="FF35A36B"/>
      </right>
      <top style="medium">
        <color indexed="64"/>
      </top>
      <bottom/>
      <diagonal/>
    </border>
    <border diagonalDown="1">
      <left style="double">
        <color rgb="FF35A36B"/>
      </left>
      <right style="medium">
        <color auto="1"/>
      </right>
      <top style="double">
        <color rgb="FF35A36B"/>
      </top>
      <bottom style="medium">
        <color indexed="64"/>
      </bottom>
      <diagonal style="thin">
        <color theme="1"/>
      </diagonal>
    </border>
    <border>
      <left style="thick">
        <color rgb="FF35A16B"/>
      </left>
      <right/>
      <top style="thick">
        <color rgb="FF35A16B"/>
      </top>
      <bottom/>
      <diagonal/>
    </border>
    <border>
      <left/>
      <right/>
      <top style="thick">
        <color rgb="FF35A16B"/>
      </top>
      <bottom/>
      <diagonal/>
    </border>
    <border>
      <left/>
      <right style="thick">
        <color rgb="FF35A16B"/>
      </right>
      <top style="thick">
        <color rgb="FF35A16B"/>
      </top>
      <bottom/>
      <diagonal/>
    </border>
    <border>
      <left style="thick">
        <color rgb="FF35A16B"/>
      </left>
      <right/>
      <top/>
      <bottom/>
      <diagonal/>
    </border>
    <border>
      <left/>
      <right style="thick">
        <color rgb="FF35A16B"/>
      </right>
      <top/>
      <bottom/>
      <diagonal/>
    </border>
    <border>
      <left style="thick">
        <color rgb="FF33A36B"/>
      </left>
      <right/>
      <top style="thick">
        <color rgb="FF33A36B"/>
      </top>
      <bottom/>
      <diagonal/>
    </border>
    <border>
      <left/>
      <right/>
      <top style="thick">
        <color rgb="FF33A36B"/>
      </top>
      <bottom/>
      <diagonal/>
    </border>
    <border>
      <left/>
      <right style="thick">
        <color rgb="FF33A36B"/>
      </right>
      <top style="thick">
        <color rgb="FF33A36B"/>
      </top>
      <bottom/>
      <diagonal/>
    </border>
    <border>
      <left style="thick">
        <color rgb="FF33A36B"/>
      </left>
      <right/>
      <top/>
      <bottom/>
      <diagonal/>
    </border>
    <border>
      <left/>
      <right style="thick">
        <color rgb="FF33A36B"/>
      </right>
      <top/>
      <bottom/>
      <diagonal/>
    </border>
    <border>
      <left style="thick">
        <color rgb="FF33A36B"/>
      </left>
      <right/>
      <top/>
      <bottom style="thick">
        <color rgb="FF33A36B"/>
      </bottom>
      <diagonal/>
    </border>
    <border>
      <left/>
      <right/>
      <top/>
      <bottom style="thick">
        <color rgb="FF35A36B"/>
      </bottom>
      <diagonal/>
    </border>
    <border>
      <left/>
      <right style="thick">
        <color rgb="FF33A36B"/>
      </right>
      <top/>
      <bottom style="thick">
        <color rgb="FF33A36B"/>
      </bottom>
      <diagonal/>
    </border>
    <border>
      <left style="thin">
        <color theme="1"/>
      </left>
      <right style="thin">
        <color indexed="64"/>
      </right>
      <top style="thin">
        <color theme="1"/>
      </top>
      <bottom/>
      <diagonal/>
    </border>
    <border>
      <left style="thin">
        <color indexed="64"/>
      </left>
      <right style="medium">
        <color indexed="64"/>
      </right>
      <top/>
      <bottom/>
      <diagonal/>
    </border>
    <border>
      <left style="thin">
        <color theme="1"/>
      </left>
      <right style="thin">
        <color indexed="64"/>
      </right>
      <top/>
      <bottom style="medium">
        <color theme="1"/>
      </bottom>
      <diagonal/>
    </border>
    <border diagonalDown="1">
      <left style="medium">
        <color auto="1"/>
      </left>
      <right style="thin">
        <color theme="1"/>
      </right>
      <top style="medium">
        <color auto="1"/>
      </top>
      <bottom style="thin">
        <color auto="1"/>
      </bottom>
      <diagonal style="hair">
        <color auto="1"/>
      </diagonal>
    </border>
    <border>
      <left style="thin">
        <color theme="1"/>
      </left>
      <right/>
      <top style="medium">
        <color theme="1"/>
      </top>
      <bottom style="thin">
        <color indexed="64"/>
      </bottom>
      <diagonal/>
    </border>
    <border>
      <left style="double">
        <color rgb="FF35A36B"/>
      </left>
      <right style="double">
        <color rgb="FF35A36B"/>
      </right>
      <top style="double">
        <color rgb="FF35A16B"/>
      </top>
      <bottom style="double">
        <color rgb="FF35A16B"/>
      </bottom>
      <diagonal/>
    </border>
    <border>
      <left style="double">
        <color rgb="FF35A36B"/>
      </left>
      <right/>
      <top/>
      <bottom/>
      <diagonal/>
    </border>
    <border diagonalDown="1">
      <left style="thin">
        <color auto="1"/>
      </left>
      <right/>
      <top style="thin">
        <color auto="1"/>
      </top>
      <bottom style="thin">
        <color auto="1"/>
      </bottom>
      <diagonal style="hair">
        <color auto="1"/>
      </diagonal>
    </border>
    <border diagonalDown="1">
      <left/>
      <right style="thin">
        <color auto="1"/>
      </right>
      <top style="thin">
        <color indexed="64"/>
      </top>
      <bottom style="thin">
        <color indexed="64"/>
      </bottom>
      <diagonal style="hair">
        <color auto="1"/>
      </diagonal>
    </border>
    <border>
      <left style="thin">
        <color theme="1"/>
      </left>
      <right/>
      <top style="thin">
        <color indexed="64"/>
      </top>
      <bottom/>
      <diagonal/>
    </border>
    <border>
      <left style="thin">
        <color indexed="64"/>
      </left>
      <right style="thin">
        <color theme="1"/>
      </right>
      <top/>
      <bottom style="thin">
        <color indexed="64"/>
      </bottom>
      <diagonal/>
    </border>
    <border>
      <left style="thin">
        <color indexed="64"/>
      </left>
      <right/>
      <top style="double">
        <color rgb="FF35A16B"/>
      </top>
      <bottom/>
      <diagonal/>
    </border>
    <border>
      <left style="thin">
        <color theme="1"/>
      </left>
      <right style="medium">
        <color theme="1"/>
      </right>
      <top style="thin">
        <color indexed="64"/>
      </top>
      <bottom style="thin">
        <color indexed="64"/>
      </bottom>
      <diagonal/>
    </border>
    <border>
      <left style="medium">
        <color indexed="64"/>
      </left>
      <right/>
      <top/>
      <bottom style="double">
        <color indexed="64"/>
      </bottom>
      <diagonal/>
    </border>
    <border>
      <left/>
      <right/>
      <top/>
      <bottom style="double">
        <color indexed="64"/>
      </bottom>
      <diagonal/>
    </border>
    <border>
      <left style="thin">
        <color indexed="64"/>
      </left>
      <right style="thin">
        <color theme="1"/>
      </right>
      <top style="thin">
        <color indexed="64"/>
      </top>
      <bottom/>
      <diagonal/>
    </border>
    <border>
      <left style="thin">
        <color theme="1"/>
      </left>
      <right style="medium">
        <color theme="1"/>
      </right>
      <top style="thin">
        <color indexed="64"/>
      </top>
      <bottom style="double">
        <color theme="1"/>
      </bottom>
      <diagonal/>
    </border>
    <border>
      <left style="medium">
        <color indexed="64"/>
      </left>
      <right/>
      <top style="double">
        <color indexed="64"/>
      </top>
      <bottom/>
      <diagonal/>
    </border>
    <border>
      <left/>
      <right style="double">
        <color rgb="FF35A36B"/>
      </right>
      <top style="double">
        <color indexed="64"/>
      </top>
      <bottom/>
      <diagonal/>
    </border>
    <border>
      <left style="double">
        <color rgb="FF35A36B"/>
      </left>
      <right style="medium">
        <color theme="1"/>
      </right>
      <top style="double">
        <color rgb="FF35A36B"/>
      </top>
      <bottom style="thin">
        <color indexed="64"/>
      </bottom>
      <diagonal/>
    </border>
    <border>
      <left/>
      <right/>
      <top style="double">
        <color rgb="FF35A16B"/>
      </top>
      <bottom style="thin">
        <color indexed="64"/>
      </bottom>
      <diagonal/>
    </border>
    <border>
      <left style="thin">
        <color indexed="64"/>
      </left>
      <right style="double">
        <color rgb="FF35A16B"/>
      </right>
      <top style="double">
        <color rgb="FF35A36B"/>
      </top>
      <bottom style="thin">
        <color auto="1"/>
      </bottom>
      <diagonal/>
    </border>
    <border diagonalDown="1">
      <left style="double">
        <color rgb="FF35A16B"/>
      </left>
      <right style="medium">
        <color theme="1"/>
      </right>
      <top style="double">
        <color theme="1"/>
      </top>
      <bottom/>
      <diagonal style="thin">
        <color theme="1"/>
      </diagonal>
    </border>
    <border>
      <left/>
      <right style="double">
        <color rgb="FF35A36B"/>
      </right>
      <top/>
      <bottom/>
      <diagonal/>
    </border>
    <border>
      <left style="double">
        <color rgb="FF35A36B"/>
      </left>
      <right style="medium">
        <color theme="1"/>
      </right>
      <top style="thin">
        <color indexed="64"/>
      </top>
      <bottom style="thin">
        <color indexed="64"/>
      </bottom>
      <diagonal/>
    </border>
    <border>
      <left style="thin">
        <color indexed="64"/>
      </left>
      <right style="double">
        <color rgb="FF35A16B"/>
      </right>
      <top style="thin">
        <color auto="1"/>
      </top>
      <bottom style="thin">
        <color auto="1"/>
      </bottom>
      <diagonal/>
    </border>
    <border diagonalDown="1">
      <left style="double">
        <color rgb="FF35A16B"/>
      </left>
      <right style="medium">
        <color theme="1"/>
      </right>
      <top/>
      <bottom/>
      <diagonal style="thin">
        <color theme="1"/>
      </diagonal>
    </border>
    <border>
      <left style="double">
        <color rgb="FF35A36B"/>
      </left>
      <right style="medium">
        <color theme="1"/>
      </right>
      <top style="thin">
        <color indexed="64"/>
      </top>
      <bottom/>
      <diagonal/>
    </border>
    <border>
      <left style="thin">
        <color indexed="64"/>
      </left>
      <right style="double">
        <color rgb="FF35A16B"/>
      </right>
      <top style="thin">
        <color indexed="64"/>
      </top>
      <bottom/>
      <diagonal/>
    </border>
    <border>
      <left style="double">
        <color indexed="64"/>
      </left>
      <right style="double">
        <color indexed="64"/>
      </right>
      <top style="thin">
        <color indexed="64"/>
      </top>
      <bottom/>
      <diagonal/>
    </border>
    <border>
      <left style="double">
        <color indexed="64"/>
      </left>
      <right style="thin">
        <color indexed="64"/>
      </right>
      <top style="thin">
        <color indexed="64"/>
      </top>
      <bottom style="thin">
        <color indexed="64"/>
      </bottom>
      <diagonal/>
    </border>
    <border>
      <left/>
      <right/>
      <top style="double">
        <color rgb="FF35A36B"/>
      </top>
      <bottom/>
      <diagonal/>
    </border>
    <border diagonalDown="1">
      <left style="thin">
        <color auto="1"/>
      </left>
      <right/>
      <top style="double">
        <color auto="1"/>
      </top>
      <bottom style="thin">
        <color indexed="64"/>
      </bottom>
      <diagonal style="hair">
        <color auto="1"/>
      </diagonal>
    </border>
    <border diagonalDown="1">
      <left/>
      <right style="thin">
        <color auto="1"/>
      </right>
      <top/>
      <bottom style="thin">
        <color indexed="64"/>
      </bottom>
      <diagonal style="hair">
        <color auto="1"/>
      </diagonal>
    </border>
    <border>
      <left style="medium">
        <color indexed="64"/>
      </left>
      <right/>
      <top/>
      <bottom style="medium">
        <color theme="1"/>
      </bottom>
      <diagonal/>
    </border>
    <border diagonalDown="1">
      <left style="medium">
        <color theme="1"/>
      </left>
      <right style="thin">
        <color theme="1"/>
      </right>
      <top style="medium">
        <color theme="1"/>
      </top>
      <bottom style="thin">
        <color indexed="64"/>
      </bottom>
      <diagonal style="hair">
        <color theme="1"/>
      </diagonal>
    </border>
    <border>
      <left style="double">
        <color rgb="FF35A36B"/>
      </left>
      <right style="double">
        <color rgb="FF35A36B"/>
      </right>
      <top style="double">
        <color rgb="FF35A36B"/>
      </top>
      <bottom style="double">
        <color rgb="FF35A36B"/>
      </bottom>
      <diagonal/>
    </border>
    <border>
      <left style="thin">
        <color theme="1"/>
      </left>
      <right/>
      <top style="thin">
        <color indexed="64"/>
      </top>
      <bottom style="thin">
        <color indexed="64"/>
      </bottom>
      <diagonal/>
    </border>
    <border>
      <left style="thin">
        <color indexed="64"/>
      </left>
      <right style="thin">
        <color theme="1"/>
      </right>
      <top style="thin">
        <color indexed="64"/>
      </top>
      <bottom style="thin">
        <color indexed="64"/>
      </bottom>
      <diagonal/>
    </border>
    <border>
      <left style="thin">
        <color theme="1"/>
      </left>
      <right style="medium">
        <color theme="1"/>
      </right>
      <top/>
      <bottom style="thin">
        <color indexed="64"/>
      </bottom>
      <diagonal/>
    </border>
    <border>
      <left style="thin">
        <color theme="1"/>
      </left>
      <right style="medium">
        <color theme="1"/>
      </right>
      <top style="thin">
        <color indexed="64"/>
      </top>
      <bottom/>
      <diagonal/>
    </border>
    <border>
      <left/>
      <right/>
      <top style="double">
        <color rgb="FF35A36B"/>
      </top>
      <bottom style="thin">
        <color indexed="64"/>
      </bottom>
      <diagonal/>
    </border>
    <border diagonalDown="1">
      <left style="double">
        <color rgb="FF35A16B"/>
      </left>
      <right style="medium">
        <color theme="1"/>
      </right>
      <top style="double">
        <color auto="1"/>
      </top>
      <bottom/>
      <diagonal style="thin">
        <color theme="1"/>
      </diagonal>
    </border>
    <border>
      <left/>
      <right style="double">
        <color rgb="FF35A36B"/>
      </right>
      <top/>
      <bottom style="medium">
        <color indexed="64"/>
      </bottom>
      <diagonal/>
    </border>
    <border>
      <left style="double">
        <color rgb="FF35A36B"/>
      </left>
      <right style="medium">
        <color theme="1"/>
      </right>
      <top style="thin">
        <color indexed="64"/>
      </top>
      <bottom style="double">
        <color rgb="FF35A36B"/>
      </bottom>
      <diagonal/>
    </border>
    <border>
      <left/>
      <right/>
      <top style="thin">
        <color indexed="64"/>
      </top>
      <bottom style="double">
        <color rgb="FF35A36B"/>
      </bottom>
      <diagonal/>
    </border>
    <border>
      <left style="thin">
        <color indexed="64"/>
      </left>
      <right style="double">
        <color rgb="FF35A16B"/>
      </right>
      <top style="thin">
        <color indexed="64"/>
      </top>
      <bottom style="double">
        <color rgb="FF35A36B"/>
      </bottom>
      <diagonal/>
    </border>
    <border diagonalDown="1">
      <left style="double">
        <color rgb="FF35A16B"/>
      </left>
      <right style="medium">
        <color theme="1"/>
      </right>
      <top/>
      <bottom style="medium">
        <color indexed="64"/>
      </bottom>
      <diagonal style="thin">
        <color theme="1"/>
      </diagonal>
    </border>
    <border>
      <left style="thin">
        <color indexed="64"/>
      </left>
      <right/>
      <top/>
      <bottom style="medium">
        <color indexed="64"/>
      </bottom>
      <diagonal/>
    </border>
    <border>
      <left style="thin">
        <color indexed="64"/>
      </left>
      <right style="thin">
        <color indexed="64"/>
      </right>
      <top/>
      <bottom style="medium">
        <color indexed="64"/>
      </bottom>
      <diagonal/>
    </border>
    <border diagonalDown="1">
      <left style="medium">
        <color auto="1"/>
      </left>
      <right style="thin">
        <color indexed="64"/>
      </right>
      <top style="medium">
        <color auto="1"/>
      </top>
      <bottom/>
      <diagonal style="hair">
        <color auto="1"/>
      </diagonal>
    </border>
    <border>
      <left style="thin">
        <color indexed="64"/>
      </left>
      <right/>
      <top style="medium">
        <color theme="1"/>
      </top>
      <bottom/>
      <diagonal/>
    </border>
    <border>
      <left style="double">
        <color rgb="FF35A36B"/>
      </left>
      <right style="double">
        <color rgb="FF35A36B"/>
      </right>
      <top style="double">
        <color rgb="FF35A16B"/>
      </top>
      <bottom style="double">
        <color rgb="FF35A36B"/>
      </bottom>
      <diagonal/>
    </border>
    <border diagonalDown="1">
      <left style="thin">
        <color indexed="64"/>
      </left>
      <right style="thin">
        <color indexed="64"/>
      </right>
      <top style="thin">
        <color indexed="64"/>
      </top>
      <bottom style="thin">
        <color indexed="64"/>
      </bottom>
      <diagonal style="hair">
        <color auto="1"/>
      </diagonal>
    </border>
    <border diagonalDown="1">
      <left style="medium">
        <color auto="1"/>
      </left>
      <right/>
      <top style="thin">
        <color auto="1"/>
      </top>
      <bottom style="thin">
        <color indexed="64"/>
      </bottom>
      <diagonal style="hair">
        <color auto="1"/>
      </diagonal>
    </border>
    <border diagonalDown="1">
      <left/>
      <right/>
      <top style="thin">
        <color indexed="64"/>
      </top>
      <bottom style="thin">
        <color indexed="64"/>
      </bottom>
      <diagonal style="hair">
        <color indexed="64"/>
      </diagonal>
    </border>
    <border diagonalDown="1">
      <left/>
      <right/>
      <top/>
      <bottom style="thin">
        <color indexed="64"/>
      </bottom>
      <diagonal style="hair">
        <color indexed="64"/>
      </diagonal>
    </border>
    <border>
      <left style="thin">
        <color theme="1"/>
      </left>
      <right/>
      <top style="thin">
        <color theme="1"/>
      </top>
      <bottom style="thin">
        <color indexed="64"/>
      </bottom>
      <diagonal/>
    </border>
    <border>
      <left style="double">
        <color auto="1"/>
      </left>
      <right style="thin">
        <color auto="1"/>
      </right>
      <top/>
      <bottom style="thin">
        <color indexed="64"/>
      </bottom>
      <diagonal/>
    </border>
    <border>
      <left style="medium">
        <color indexed="64"/>
      </left>
      <right style="thin">
        <color indexed="64"/>
      </right>
      <top style="thin">
        <color indexed="64"/>
      </top>
      <bottom/>
      <diagonal/>
    </border>
    <border>
      <left style="double">
        <color indexed="64"/>
      </left>
      <right style="thin">
        <color indexed="64"/>
      </right>
      <top style="thin">
        <color indexed="64"/>
      </top>
      <bottom/>
      <diagonal/>
    </border>
    <border diagonalUp="1">
      <left/>
      <right/>
      <top/>
      <bottom/>
      <diagonal style="thin">
        <color auto="1"/>
      </diagonal>
    </border>
    <border diagonalDown="1">
      <left style="medium">
        <color indexed="64"/>
      </left>
      <right style="thin">
        <color indexed="64"/>
      </right>
      <top style="thin">
        <color indexed="64"/>
      </top>
      <bottom style="medium">
        <color indexed="64"/>
      </bottom>
      <diagonal style="thin">
        <color indexed="64"/>
      </diagonal>
    </border>
    <border>
      <left style="thin">
        <color indexed="64"/>
      </left>
      <right style="thin">
        <color theme="1"/>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double">
        <color rgb="FF35A36B"/>
      </left>
      <right style="double">
        <color rgb="FF35A36B"/>
      </right>
      <top style="medium">
        <color theme="1"/>
      </top>
      <bottom style="thin">
        <color auto="1"/>
      </bottom>
      <diagonal/>
    </border>
    <border>
      <left style="double">
        <color rgb="FF35A36B"/>
      </left>
      <right style="double">
        <color rgb="FF35A36B"/>
      </right>
      <top style="double">
        <color rgb="FF35A16B"/>
      </top>
      <bottom style="thin">
        <color indexed="64"/>
      </bottom>
      <diagonal/>
    </border>
    <border>
      <left style="double">
        <color auto="1"/>
      </left>
      <right style="double">
        <color auto="1"/>
      </right>
      <top style="double">
        <color auto="1"/>
      </top>
      <bottom/>
      <diagonal/>
    </border>
    <border>
      <left style="double">
        <color rgb="FF35A36B"/>
      </left>
      <right style="double">
        <color rgb="FF35A36B"/>
      </right>
      <top style="thin">
        <color indexed="64"/>
      </top>
      <bottom style="thin">
        <color indexed="64"/>
      </bottom>
      <diagonal/>
    </border>
    <border>
      <left style="double">
        <color rgb="FF35A36B"/>
      </left>
      <right style="double">
        <color rgb="FF35A36B"/>
      </right>
      <top style="thin">
        <color auto="1"/>
      </top>
      <bottom style="medium">
        <color auto="1"/>
      </bottom>
      <diagonal/>
    </border>
    <border>
      <left style="double">
        <color rgb="FF35A36B"/>
      </left>
      <right style="double">
        <color rgb="FF35A36B"/>
      </right>
      <top style="thin">
        <color indexed="64"/>
      </top>
      <bottom style="double">
        <color rgb="FF35A16B"/>
      </bottom>
      <diagonal/>
    </border>
    <border diagonalDown="1">
      <left style="thin">
        <color auto="1"/>
      </left>
      <right/>
      <top/>
      <bottom style="thin">
        <color auto="1"/>
      </bottom>
      <diagonal style="hair">
        <color auto="1"/>
      </diagonal>
    </border>
    <border>
      <left style="double">
        <color rgb="FF35A36B"/>
      </left>
      <right/>
      <top style="double">
        <color rgb="FF35A36B"/>
      </top>
      <bottom style="double">
        <color rgb="FF35A36B"/>
      </bottom>
      <diagonal/>
    </border>
    <border>
      <left style="double">
        <color rgb="FF35A36B"/>
      </left>
      <right/>
      <top style="medium">
        <color indexed="64"/>
      </top>
      <bottom/>
      <diagonal/>
    </border>
    <border>
      <left style="medium">
        <color indexed="64"/>
      </left>
      <right style="thin">
        <color indexed="64"/>
      </right>
      <top/>
      <bottom/>
      <diagonal/>
    </border>
    <border diagonalDown="1">
      <left style="medium">
        <color auto="1"/>
      </left>
      <right/>
      <top style="double">
        <color rgb="FF35A36B"/>
      </top>
      <bottom/>
      <diagonal style="thin">
        <color auto="1"/>
      </diagonal>
    </border>
    <border diagonalDown="1">
      <left/>
      <right style="thin">
        <color indexed="64"/>
      </right>
      <top style="double">
        <color rgb="FF35A36B"/>
      </top>
      <bottom/>
      <diagonal style="thin">
        <color auto="1"/>
      </diagonal>
    </border>
    <border>
      <left style="double">
        <color indexed="64"/>
      </left>
      <right/>
      <top style="thin">
        <color indexed="64"/>
      </top>
      <bottom style="thin">
        <color indexed="64"/>
      </bottom>
      <diagonal/>
    </border>
    <border>
      <left style="double">
        <color indexed="64"/>
      </left>
      <right/>
      <top/>
      <bottom style="thin">
        <color indexed="64"/>
      </bottom>
      <diagonal/>
    </border>
    <border>
      <left style="thin">
        <color indexed="64"/>
      </left>
      <right style="thin">
        <color theme="1"/>
      </right>
      <top/>
      <bottom/>
      <diagonal/>
    </border>
    <border diagonalDown="1">
      <left style="medium">
        <color indexed="64"/>
      </left>
      <right/>
      <top style="thin">
        <color indexed="64"/>
      </top>
      <bottom/>
      <diagonal style="thin">
        <color indexed="64"/>
      </diagonal>
    </border>
    <border diagonalDown="1">
      <left/>
      <right style="thin">
        <color indexed="64"/>
      </right>
      <top style="thin">
        <color indexed="64"/>
      </top>
      <bottom/>
      <diagonal style="thin">
        <color indexed="64"/>
      </diagonal>
    </border>
    <border>
      <left style="double">
        <color indexed="64"/>
      </left>
      <right/>
      <top/>
      <bottom/>
      <diagonal/>
    </border>
    <border diagonalUp="1">
      <left style="thin">
        <color indexed="64"/>
      </left>
      <right/>
      <top/>
      <bottom/>
      <diagonal style="thin">
        <color indexed="64"/>
      </diagonal>
    </border>
    <border>
      <left style="medium">
        <color indexed="64"/>
      </left>
      <right style="thin">
        <color indexed="64"/>
      </right>
      <top/>
      <bottom style="medium">
        <color indexed="64"/>
      </bottom>
      <diagonal/>
    </border>
    <border>
      <left style="medium">
        <color auto="1"/>
      </left>
      <right style="double">
        <color auto="1"/>
      </right>
      <top style="thin">
        <color indexed="64"/>
      </top>
      <bottom style="medium">
        <color auto="1"/>
      </bottom>
      <diagonal/>
    </border>
    <border>
      <left style="thin">
        <color indexed="64"/>
      </left>
      <right/>
      <top/>
      <bottom style="double">
        <color rgb="FF35A16B"/>
      </bottom>
      <diagonal/>
    </border>
    <border diagonalDown="1">
      <left style="medium">
        <color auto="1"/>
      </left>
      <right/>
      <top/>
      <bottom/>
      <diagonal style="thin">
        <color auto="1"/>
      </diagonal>
    </border>
    <border>
      <left style="thin">
        <color indexed="64"/>
      </left>
      <right style="double">
        <color rgb="FF35A16B"/>
      </right>
      <top style="medium">
        <color indexed="64"/>
      </top>
      <bottom style="thin">
        <color indexed="64"/>
      </bottom>
      <diagonal/>
    </border>
    <border>
      <left/>
      <right/>
      <top style="double">
        <color rgb="FF35A16B"/>
      </top>
      <bottom/>
      <diagonal/>
    </border>
    <border>
      <left/>
      <right style="double">
        <color rgb="FF35A16B"/>
      </right>
      <top style="double">
        <color rgb="FF35A16B"/>
      </top>
      <bottom/>
      <diagonal/>
    </border>
    <border>
      <left style="thin">
        <color auto="1"/>
      </left>
      <right style="double">
        <color auto="1"/>
      </right>
      <top style="double">
        <color rgb="FF35A16B"/>
      </top>
      <bottom/>
      <diagonal/>
    </border>
    <border>
      <left style="double">
        <color auto="1"/>
      </left>
      <right style="thin">
        <color rgb="FFFF0000"/>
      </right>
      <top style="double">
        <color rgb="FF35A16B"/>
      </top>
      <bottom/>
      <diagonal/>
    </border>
    <border>
      <left style="thin">
        <color rgb="FFFF0000"/>
      </left>
      <right style="thin">
        <color rgb="FFFF0000"/>
      </right>
      <top style="double">
        <color rgb="FF35A16B"/>
      </top>
      <bottom/>
      <diagonal/>
    </border>
    <border>
      <left style="thin">
        <color rgb="FFFF0000"/>
      </left>
      <right style="medium">
        <color auto="1"/>
      </right>
      <top style="double">
        <color rgb="FF35A16B"/>
      </top>
      <bottom/>
      <diagonal/>
    </border>
    <border>
      <left style="medium">
        <color auto="1"/>
      </left>
      <right style="thin">
        <color auto="1"/>
      </right>
      <top style="thin">
        <color theme="1"/>
      </top>
      <bottom/>
      <diagonal/>
    </border>
    <border>
      <left style="thin">
        <color auto="1"/>
      </left>
      <right style="double">
        <color auto="1"/>
      </right>
      <top style="thin">
        <color theme="1"/>
      </top>
      <bottom style="thin">
        <color theme="1"/>
      </bottom>
      <diagonal/>
    </border>
    <border>
      <left style="double">
        <color auto="1"/>
      </left>
      <right style="thin">
        <color rgb="FFFF0000"/>
      </right>
      <top style="thin">
        <color theme="1"/>
      </top>
      <bottom style="thin">
        <color theme="1"/>
      </bottom>
      <diagonal/>
    </border>
    <border>
      <left style="thin">
        <color rgb="FFFF0000"/>
      </left>
      <right style="thin">
        <color rgb="FFFF0000"/>
      </right>
      <top style="thin">
        <color theme="1"/>
      </top>
      <bottom style="thin">
        <color theme="1"/>
      </bottom>
      <diagonal/>
    </border>
    <border>
      <left style="thin">
        <color rgb="FFFF0000"/>
      </left>
      <right style="medium">
        <color auto="1"/>
      </right>
      <top style="thin">
        <color theme="1"/>
      </top>
      <bottom style="thin">
        <color theme="1"/>
      </bottom>
      <diagonal/>
    </border>
    <border>
      <left style="medium">
        <color auto="1"/>
      </left>
      <right style="thin">
        <color auto="1"/>
      </right>
      <top style="thin">
        <color theme="1"/>
      </top>
      <bottom style="thin">
        <color auto="1"/>
      </bottom>
      <diagonal/>
    </border>
    <border diagonalDown="1">
      <left style="medium">
        <color indexed="64"/>
      </left>
      <right style="thin">
        <color indexed="64"/>
      </right>
      <top style="thin">
        <color indexed="64"/>
      </top>
      <bottom/>
      <diagonal style="thin">
        <color indexed="64"/>
      </diagonal>
    </border>
    <border>
      <left style="thin">
        <color auto="1"/>
      </left>
      <right style="double">
        <color auto="1"/>
      </right>
      <top style="thin">
        <color theme="1"/>
      </top>
      <bottom style="double">
        <color auto="1"/>
      </bottom>
      <diagonal/>
    </border>
    <border>
      <left style="double">
        <color auto="1"/>
      </left>
      <right style="thin">
        <color rgb="FFFF0000"/>
      </right>
      <top style="thin">
        <color theme="1"/>
      </top>
      <bottom style="double">
        <color rgb="FF35A36B"/>
      </bottom>
      <diagonal/>
    </border>
    <border>
      <left style="thin">
        <color rgb="FFFF0000"/>
      </left>
      <right style="thin">
        <color rgb="FFFF0000"/>
      </right>
      <top style="thin">
        <color theme="1"/>
      </top>
      <bottom style="double">
        <color rgb="FF35A36B"/>
      </bottom>
      <diagonal/>
    </border>
    <border>
      <left style="thin">
        <color rgb="FFFF0000"/>
      </left>
      <right style="medium">
        <color auto="1"/>
      </right>
      <top style="thin">
        <color theme="1"/>
      </top>
      <bottom style="double">
        <color rgb="FF35A36B"/>
      </bottom>
      <diagonal/>
    </border>
    <border diagonalDown="1">
      <left style="thin">
        <color auto="1"/>
      </left>
      <right style="thin">
        <color auto="1"/>
      </right>
      <top style="thin">
        <color indexed="64"/>
      </top>
      <bottom/>
      <diagonal style="hair">
        <color auto="1"/>
      </diagonal>
    </border>
    <border>
      <left/>
      <right style="double">
        <color rgb="FF35A16B"/>
      </right>
      <top style="double">
        <color indexed="64"/>
      </top>
      <bottom/>
      <diagonal/>
    </border>
    <border>
      <left/>
      <right style="medium">
        <color theme="1"/>
      </right>
      <top style="double">
        <color rgb="FF35A16B"/>
      </top>
      <bottom/>
      <diagonal/>
    </border>
    <border>
      <left/>
      <right style="thin">
        <color theme="1"/>
      </right>
      <top style="double">
        <color rgb="FF35A16B"/>
      </top>
      <bottom/>
      <diagonal/>
    </border>
    <border>
      <left style="thin">
        <color theme="1"/>
      </left>
      <right style="double">
        <color rgb="FF35A16B"/>
      </right>
      <top style="double">
        <color rgb="FF35A16B"/>
      </top>
      <bottom style="thin">
        <color theme="1"/>
      </bottom>
      <diagonal/>
    </border>
    <border diagonalDown="1">
      <left style="double">
        <color rgb="FF35A16B"/>
      </left>
      <right style="double">
        <color rgb="FF35A16B"/>
      </right>
      <top style="double">
        <color auto="1"/>
      </top>
      <bottom/>
      <diagonal style="thin">
        <color theme="1"/>
      </diagonal>
    </border>
    <border>
      <left style="double">
        <color rgb="FF35A16B"/>
      </left>
      <right/>
      <top style="double">
        <color rgb="FF35A36B"/>
      </top>
      <bottom style="thin">
        <color theme="1"/>
      </bottom>
      <diagonal/>
    </border>
    <border>
      <left/>
      <right/>
      <top style="double">
        <color rgb="FF35A36B"/>
      </top>
      <bottom style="thin">
        <color theme="1"/>
      </bottom>
      <diagonal/>
    </border>
    <border>
      <left/>
      <right style="double">
        <color rgb="FF35A16B"/>
      </right>
      <top style="double">
        <color rgb="FF35A36B"/>
      </top>
      <bottom style="thin">
        <color theme="1"/>
      </bottom>
      <diagonal/>
    </border>
    <border>
      <left style="double">
        <color rgb="FF35A16B"/>
      </left>
      <right/>
      <top/>
      <bottom/>
      <diagonal/>
    </border>
    <border>
      <left/>
      <right style="double">
        <color rgb="FF35A16B"/>
      </right>
      <top/>
      <bottom/>
      <diagonal/>
    </border>
    <border>
      <left style="double">
        <color rgb="FF35A16B"/>
      </left>
      <right/>
      <top style="thin">
        <color theme="1"/>
      </top>
      <bottom style="thin">
        <color auto="1"/>
      </bottom>
      <diagonal/>
    </border>
    <border>
      <left/>
      <right/>
      <top style="thin">
        <color theme="1"/>
      </top>
      <bottom style="thin">
        <color auto="1"/>
      </bottom>
      <diagonal/>
    </border>
    <border>
      <left/>
      <right style="medium">
        <color theme="1"/>
      </right>
      <top style="thin">
        <color theme="1"/>
      </top>
      <bottom style="thin">
        <color auto="1"/>
      </bottom>
      <diagonal/>
    </border>
    <border>
      <left/>
      <right style="thin">
        <color theme="1"/>
      </right>
      <top style="thin">
        <color theme="1"/>
      </top>
      <bottom style="thin">
        <color auto="1"/>
      </bottom>
      <diagonal/>
    </border>
    <border>
      <left style="thin">
        <color theme="1"/>
      </left>
      <right style="double">
        <color rgb="FF35A16B"/>
      </right>
      <top style="thin">
        <color theme="1"/>
      </top>
      <bottom style="thin">
        <color auto="1"/>
      </bottom>
      <diagonal/>
    </border>
    <border diagonalDown="1">
      <left style="double">
        <color rgb="FF35A16B"/>
      </left>
      <right style="double">
        <color rgb="FF35A16B"/>
      </right>
      <top/>
      <bottom/>
      <diagonal style="thin">
        <color theme="1"/>
      </diagonal>
    </border>
    <border>
      <left style="double">
        <color rgb="FF35A16B"/>
      </left>
      <right/>
      <top style="thin">
        <color theme="1"/>
      </top>
      <bottom style="thin">
        <color theme="1"/>
      </bottom>
      <diagonal/>
    </border>
    <border>
      <left/>
      <right/>
      <top style="thin">
        <color theme="1"/>
      </top>
      <bottom style="thin">
        <color theme="1"/>
      </bottom>
      <diagonal/>
    </border>
    <border>
      <left/>
      <right style="double">
        <color rgb="FF35A16B"/>
      </right>
      <top style="thin">
        <color theme="1"/>
      </top>
      <bottom style="thin">
        <color theme="1"/>
      </bottom>
      <diagonal/>
    </border>
    <border>
      <left/>
      <right style="medium">
        <color theme="1"/>
      </right>
      <top style="thin">
        <color auto="1"/>
      </top>
      <bottom style="thin">
        <color auto="1"/>
      </bottom>
      <diagonal/>
    </border>
    <border>
      <left/>
      <right style="thin">
        <color theme="1"/>
      </right>
      <top style="thin">
        <color auto="1"/>
      </top>
      <bottom style="thin">
        <color auto="1"/>
      </bottom>
      <diagonal/>
    </border>
    <border>
      <left style="thin">
        <color theme="1"/>
      </left>
      <right style="double">
        <color rgb="FF35A16B"/>
      </right>
      <top style="thin">
        <color auto="1"/>
      </top>
      <bottom style="thin">
        <color auto="1"/>
      </bottom>
      <diagonal/>
    </border>
    <border>
      <left/>
      <right style="medium">
        <color theme="1"/>
      </right>
      <top/>
      <bottom/>
      <diagonal/>
    </border>
    <border>
      <left/>
      <right style="thin">
        <color theme="1"/>
      </right>
      <top/>
      <bottom/>
      <diagonal/>
    </border>
    <border>
      <left style="thin">
        <color theme="1"/>
      </left>
      <right style="double">
        <color rgb="FF35A16B"/>
      </right>
      <top/>
      <bottom/>
      <diagonal/>
    </border>
    <border>
      <left style="double">
        <color rgb="FF35A16B"/>
      </left>
      <right/>
      <top style="thin">
        <color theme="1"/>
      </top>
      <bottom/>
      <diagonal/>
    </border>
    <border>
      <left/>
      <right/>
      <top style="thin">
        <color theme="1"/>
      </top>
      <bottom/>
      <diagonal/>
    </border>
    <border>
      <left/>
      <right style="double">
        <color rgb="FF35A16B"/>
      </right>
      <top style="thin">
        <color theme="1"/>
      </top>
      <bottom/>
      <diagonal/>
    </border>
    <border diagonalDown="1">
      <left style="thin">
        <color indexed="64"/>
      </left>
      <right style="thin">
        <color indexed="64"/>
      </right>
      <top style="double">
        <color indexed="64"/>
      </top>
      <bottom style="thin">
        <color indexed="64"/>
      </bottom>
      <diagonal style="hair">
        <color indexed="64"/>
      </diagonal>
    </border>
    <border>
      <left style="thin">
        <color auto="1"/>
      </left>
      <right style="double">
        <color auto="1"/>
      </right>
      <top style="double">
        <color rgb="FF35A36B"/>
      </top>
      <bottom style="thin">
        <color auto="1"/>
      </bottom>
      <diagonal/>
    </border>
    <border>
      <left/>
      <right style="medium">
        <color auto="1"/>
      </right>
      <top style="double">
        <color rgb="FF35A36B"/>
      </top>
      <bottom/>
      <diagonal/>
    </border>
    <border diagonalDown="1">
      <left style="medium">
        <color auto="1"/>
      </left>
      <right/>
      <top style="thin">
        <color auto="1"/>
      </top>
      <bottom style="thin">
        <color auto="1"/>
      </bottom>
      <diagonal style="thin">
        <color auto="1"/>
      </diagonal>
    </border>
    <border diagonalDown="1">
      <left/>
      <right/>
      <top style="thin">
        <color auto="1"/>
      </top>
      <bottom style="thin">
        <color auto="1"/>
      </bottom>
      <diagonal style="thin">
        <color auto="1"/>
      </diagonal>
    </border>
    <border diagonalDown="1">
      <left/>
      <right style="medium">
        <color auto="1"/>
      </right>
      <top style="thin">
        <color auto="1"/>
      </top>
      <bottom style="thin">
        <color auto="1"/>
      </bottom>
      <diagonal style="thin">
        <color auto="1"/>
      </diagonal>
    </border>
    <border>
      <left style="thin">
        <color indexed="64"/>
      </left>
      <right/>
      <top style="thin">
        <color indexed="64"/>
      </top>
      <bottom style="double">
        <color rgb="FF35A16B"/>
      </bottom>
      <diagonal/>
    </border>
    <border>
      <left/>
      <right/>
      <top style="thin">
        <color indexed="64"/>
      </top>
      <bottom style="double">
        <color rgb="FF35A16B"/>
      </bottom>
      <diagonal/>
    </border>
    <border>
      <left/>
      <right style="medium">
        <color indexed="64"/>
      </right>
      <top style="thin">
        <color indexed="64"/>
      </top>
      <bottom style="double">
        <color rgb="FF35A16B"/>
      </bottom>
      <diagonal/>
    </border>
    <border>
      <left style="thin">
        <color indexed="64"/>
      </left>
      <right style="double">
        <color auto="1"/>
      </right>
      <top style="thin">
        <color indexed="64"/>
      </top>
      <bottom/>
      <diagonal/>
    </border>
    <border>
      <left style="double">
        <color indexed="64"/>
      </left>
      <right/>
      <top style="thin">
        <color indexed="64"/>
      </top>
      <bottom style="double">
        <color rgb="FF35A16B"/>
      </bottom>
      <diagonal/>
    </border>
    <border>
      <left style="double">
        <color rgb="FF35A16B"/>
      </left>
      <right/>
      <top style="double">
        <color rgb="FF35A16B"/>
      </top>
      <bottom style="thin">
        <color theme="1"/>
      </bottom>
      <diagonal/>
    </border>
    <border>
      <left/>
      <right/>
      <top style="double">
        <color rgb="FF35A16B"/>
      </top>
      <bottom style="thin">
        <color theme="1"/>
      </bottom>
      <diagonal/>
    </border>
    <border>
      <left/>
      <right style="medium">
        <color indexed="64"/>
      </right>
      <top style="double">
        <color rgb="FF35A16B"/>
      </top>
      <bottom style="thin">
        <color theme="1"/>
      </bottom>
      <diagonal/>
    </border>
    <border>
      <left style="medium">
        <color indexed="64"/>
      </left>
      <right/>
      <top style="double">
        <color rgb="FF35A16B"/>
      </top>
      <bottom/>
      <diagonal/>
    </border>
    <border>
      <left style="thin">
        <color indexed="64"/>
      </left>
      <right style="double">
        <color rgb="FF35A16B"/>
      </right>
      <top style="double">
        <color rgb="FF35A16B"/>
      </top>
      <bottom/>
      <diagonal/>
    </border>
    <border>
      <left/>
      <right style="double">
        <color rgb="FF35A16B"/>
      </right>
      <top style="double">
        <color rgb="FF35A16B"/>
      </top>
      <bottom style="thin">
        <color indexed="64"/>
      </bottom>
      <diagonal/>
    </border>
    <border>
      <left/>
      <right style="medium">
        <color indexed="64"/>
      </right>
      <top style="thin">
        <color theme="1"/>
      </top>
      <bottom style="thin">
        <color auto="1"/>
      </bottom>
      <diagonal/>
    </border>
    <border>
      <left style="medium">
        <color indexed="64"/>
      </left>
      <right/>
      <top style="thin">
        <color theme="1"/>
      </top>
      <bottom style="thin">
        <color auto="1"/>
      </bottom>
      <diagonal/>
    </border>
    <border>
      <left style="thin">
        <color auto="1"/>
      </left>
      <right style="double">
        <color rgb="FF35A16B"/>
      </right>
      <top style="thin">
        <color theme="1"/>
      </top>
      <bottom style="thin">
        <color auto="1"/>
      </bottom>
      <diagonal/>
    </border>
    <border>
      <left style="thin">
        <color indexed="64"/>
      </left>
      <right style="double">
        <color rgb="FF35A16B"/>
      </right>
      <top/>
      <bottom/>
      <diagonal/>
    </border>
    <border>
      <left/>
      <right style="double">
        <color rgb="FF35A16B"/>
      </right>
      <top style="thin">
        <color indexed="64"/>
      </top>
      <bottom/>
      <diagonal/>
    </border>
    <border>
      <left/>
      <right style="medium">
        <color indexed="64"/>
      </right>
      <top style="thin">
        <color theme="1"/>
      </top>
      <bottom/>
      <diagonal/>
    </border>
    <border>
      <left style="medium">
        <color indexed="64"/>
      </left>
      <right/>
      <top style="thin">
        <color theme="1"/>
      </top>
      <bottom/>
      <diagonal/>
    </border>
    <border>
      <left style="thin">
        <color auto="1"/>
      </left>
      <right style="double">
        <color rgb="FF35A16B"/>
      </right>
      <top style="thin">
        <color theme="1"/>
      </top>
      <bottom/>
      <diagonal/>
    </border>
    <border diagonalDown="1">
      <left style="double">
        <color rgb="FF35A16B"/>
      </left>
      <right style="double">
        <color rgb="FF35A16B"/>
      </right>
      <top/>
      <bottom style="medium">
        <color indexed="64"/>
      </bottom>
      <diagonal style="thin">
        <color theme="1"/>
      </diagonal>
    </border>
    <border>
      <left style="double">
        <color indexed="64"/>
      </left>
      <right style="double">
        <color indexed="64"/>
      </right>
      <top/>
      <bottom style="double">
        <color indexed="64"/>
      </bottom>
      <diagonal/>
    </border>
    <border diagonalDown="1">
      <left style="medium">
        <color indexed="64"/>
      </left>
      <right/>
      <top style="medium">
        <color indexed="64"/>
      </top>
      <bottom style="thin">
        <color indexed="64"/>
      </bottom>
      <diagonal style="thin">
        <color indexed="64"/>
      </diagonal>
    </border>
    <border diagonalDown="1">
      <left/>
      <right/>
      <top style="medium">
        <color indexed="64"/>
      </top>
      <bottom style="thin">
        <color indexed="64"/>
      </bottom>
      <diagonal style="thin">
        <color indexed="64"/>
      </diagonal>
    </border>
    <border diagonalDown="1">
      <left/>
      <right style="thin">
        <color indexed="64"/>
      </right>
      <top style="medium">
        <color indexed="64"/>
      </top>
      <bottom style="thin">
        <color indexed="64"/>
      </bottom>
      <diagonal style="thin">
        <color indexed="64"/>
      </diagonal>
    </border>
    <border>
      <left/>
      <right style="double">
        <color rgb="FF35A36B"/>
      </right>
      <top style="double">
        <color rgb="FF35A16B"/>
      </top>
      <bottom style="thin">
        <color theme="1"/>
      </bottom>
      <diagonal/>
    </border>
    <border>
      <left style="double">
        <color rgb="FF35A36B"/>
      </left>
      <right/>
      <top style="double">
        <color rgb="FF35A16B"/>
      </top>
      <bottom style="thin">
        <color theme="1"/>
      </bottom>
      <diagonal/>
    </border>
    <border diagonalDown="1">
      <left style="thin">
        <color auto="1"/>
      </left>
      <right style="thin">
        <color auto="1"/>
      </right>
      <top/>
      <bottom style="thin">
        <color auto="1"/>
      </bottom>
      <diagonal style="hair">
        <color auto="1"/>
      </diagonal>
    </border>
    <border diagonalDown="1">
      <left/>
      <right/>
      <top/>
      <bottom/>
      <diagonal style="thin">
        <color auto="1"/>
      </diagonal>
    </border>
    <border diagonalDown="1">
      <left/>
      <right style="thin">
        <color indexed="64"/>
      </right>
      <top/>
      <bottom/>
      <diagonal style="thin">
        <color auto="1"/>
      </diagonal>
    </border>
    <border>
      <left style="thin">
        <color auto="1"/>
      </left>
      <right/>
      <top style="double">
        <color rgb="FF35A16B"/>
      </top>
      <bottom style="thin">
        <color theme="1"/>
      </bottom>
      <diagonal/>
    </border>
    <border>
      <left/>
      <right style="double">
        <color auto="1"/>
      </right>
      <top style="double">
        <color rgb="FF35A16B"/>
      </top>
      <bottom style="thin">
        <color theme="1"/>
      </bottom>
      <diagonal/>
    </border>
    <border diagonalDown="1">
      <left/>
      <right/>
      <top style="thin">
        <color indexed="64"/>
      </top>
      <bottom/>
      <diagonal style="thin">
        <color indexed="64"/>
      </diagonal>
    </border>
    <border>
      <left style="thin">
        <color indexed="64"/>
      </left>
      <right/>
      <top style="thin">
        <color theme="1"/>
      </top>
      <bottom style="thin">
        <color theme="1"/>
      </bottom>
      <diagonal/>
    </border>
    <border>
      <left/>
      <right style="double">
        <color auto="1"/>
      </right>
      <top style="thin">
        <color theme="1"/>
      </top>
      <bottom style="thin">
        <color theme="1"/>
      </bottom>
      <diagonal/>
    </border>
    <border>
      <left/>
      <right style="medium">
        <color auto="1"/>
      </right>
      <top style="thin">
        <color theme="1"/>
      </top>
      <bottom style="thin">
        <color theme="1"/>
      </bottom>
      <diagonal/>
    </border>
    <border diagonalDown="1">
      <left style="medium">
        <color indexed="64"/>
      </left>
      <right/>
      <top style="thin">
        <color theme="1"/>
      </top>
      <bottom/>
      <diagonal style="thin">
        <color indexed="64"/>
      </diagonal>
    </border>
    <border diagonalDown="1">
      <left/>
      <right/>
      <top style="thin">
        <color theme="1"/>
      </top>
      <bottom/>
      <diagonal style="thin">
        <color indexed="64"/>
      </diagonal>
    </border>
    <border diagonalDown="1">
      <left/>
      <right style="thin">
        <color indexed="64"/>
      </right>
      <top style="thin">
        <color theme="1"/>
      </top>
      <bottom/>
      <diagonal style="thin">
        <color indexed="64"/>
      </diagonal>
    </border>
    <border>
      <left style="medium">
        <color auto="1"/>
      </left>
      <right/>
      <top style="thin">
        <color auto="1"/>
      </top>
      <bottom style="thin">
        <color theme="1"/>
      </bottom>
      <diagonal/>
    </border>
    <border>
      <left/>
      <right/>
      <top style="thin">
        <color indexed="64"/>
      </top>
      <bottom style="thin">
        <color theme="1"/>
      </bottom>
      <diagonal/>
    </border>
    <border>
      <left/>
      <right style="thin">
        <color auto="1"/>
      </right>
      <top style="thin">
        <color auto="1"/>
      </top>
      <bottom style="thin">
        <color theme="1"/>
      </bottom>
      <diagonal/>
    </border>
    <border>
      <left style="medium">
        <color auto="1"/>
      </left>
      <right/>
      <top style="thin">
        <color theme="1"/>
      </top>
      <bottom style="thin">
        <color theme="1"/>
      </bottom>
      <diagonal/>
    </border>
    <border>
      <left/>
      <right style="thin">
        <color auto="1"/>
      </right>
      <top style="thin">
        <color theme="1"/>
      </top>
      <bottom style="thin">
        <color theme="1"/>
      </bottom>
      <diagonal/>
    </border>
    <border>
      <left/>
      <right style="thin">
        <color auto="1"/>
      </right>
      <top style="thin">
        <color theme="1"/>
      </top>
      <bottom style="thin">
        <color auto="1"/>
      </bottom>
      <diagonal/>
    </border>
    <border>
      <left style="thin">
        <color auto="1"/>
      </left>
      <right/>
      <top style="thin">
        <color theme="1"/>
      </top>
      <bottom style="thin">
        <color indexed="64"/>
      </bottom>
      <diagonal/>
    </border>
    <border>
      <left/>
      <right style="double">
        <color auto="1"/>
      </right>
      <top style="thin">
        <color theme="1"/>
      </top>
      <bottom style="thin">
        <color indexed="64"/>
      </bottom>
      <diagonal/>
    </border>
    <border>
      <left style="thin">
        <color auto="1"/>
      </left>
      <right/>
      <top/>
      <bottom style="thin">
        <color theme="1"/>
      </bottom>
      <diagonal/>
    </border>
    <border>
      <left/>
      <right/>
      <top/>
      <bottom style="thin">
        <color theme="1"/>
      </bottom>
      <diagonal/>
    </border>
    <border>
      <left/>
      <right style="double">
        <color auto="1"/>
      </right>
      <top/>
      <bottom style="thin">
        <color theme="1"/>
      </bottom>
      <diagonal/>
    </border>
    <border>
      <left/>
      <right style="medium">
        <color auto="1"/>
      </right>
      <top/>
      <bottom style="thin">
        <color theme="1"/>
      </bottom>
      <diagonal/>
    </border>
    <border>
      <left style="thin">
        <color indexed="64"/>
      </left>
      <right/>
      <top style="double">
        <color indexed="64"/>
      </top>
      <bottom/>
      <diagonal/>
    </border>
    <border>
      <left/>
      <right style="thin">
        <color indexed="64"/>
      </right>
      <top style="double">
        <color indexed="64"/>
      </top>
      <bottom/>
      <diagonal/>
    </border>
    <border>
      <left style="medium">
        <color auto="1"/>
      </left>
      <right/>
      <top/>
      <bottom style="thin">
        <color theme="1"/>
      </bottom>
      <diagonal/>
    </border>
    <border>
      <left/>
      <right style="thin">
        <color auto="1"/>
      </right>
      <top/>
      <bottom style="thin">
        <color theme="1"/>
      </bottom>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diagonalDown="1">
      <left/>
      <right style="thin">
        <color indexed="64"/>
      </right>
      <top/>
      <bottom style="medium">
        <color indexed="64"/>
      </bottom>
      <diagonal style="thin">
        <color auto="1"/>
      </diagonal>
    </border>
    <border>
      <left style="thin">
        <color auto="1"/>
      </left>
      <right/>
      <top style="thin">
        <color theme="1"/>
      </top>
      <bottom style="medium">
        <color auto="1"/>
      </bottom>
      <diagonal/>
    </border>
    <border>
      <left/>
      <right/>
      <top style="thin">
        <color theme="1"/>
      </top>
      <bottom style="medium">
        <color auto="1"/>
      </bottom>
      <diagonal/>
    </border>
    <border>
      <left/>
      <right style="double">
        <color auto="1"/>
      </right>
      <top style="thin">
        <color theme="1"/>
      </top>
      <bottom style="medium">
        <color auto="1"/>
      </bottom>
      <diagonal/>
    </border>
    <border>
      <left/>
      <right style="medium">
        <color auto="1"/>
      </right>
      <top style="thin">
        <color theme="1"/>
      </top>
      <bottom style="medium">
        <color auto="1"/>
      </bottom>
      <diagonal/>
    </border>
    <border>
      <left/>
      <right style="double">
        <color rgb="FF35A36B"/>
      </right>
      <top style="double">
        <color rgb="FF35A16B"/>
      </top>
      <bottom/>
      <diagonal/>
    </border>
    <border>
      <left/>
      <right style="double">
        <color rgb="FF35A36B"/>
      </right>
      <top style="double">
        <color rgb="FF35A36B"/>
      </top>
      <bottom/>
      <diagonal/>
    </border>
    <border>
      <left style="medium">
        <color auto="1"/>
      </left>
      <right style="double">
        <color auto="1"/>
      </right>
      <top style="double">
        <color rgb="FF35A16B"/>
      </top>
      <bottom/>
      <diagonal/>
    </border>
    <border>
      <left style="double">
        <color auto="1"/>
      </left>
      <right style="double">
        <color auto="1"/>
      </right>
      <top style="double">
        <color rgb="FF35A16B"/>
      </top>
      <bottom/>
      <diagonal/>
    </border>
    <border>
      <left style="double">
        <color auto="1"/>
      </left>
      <right style="double">
        <color auto="1"/>
      </right>
      <top style="double">
        <color rgb="FF35A36B"/>
      </top>
      <bottom/>
      <diagonal/>
    </border>
    <border>
      <left style="double">
        <color auto="1"/>
      </left>
      <right style="medium">
        <color auto="1"/>
      </right>
      <top style="double">
        <color rgb="FF35A36B"/>
      </top>
      <bottom/>
      <diagonal/>
    </border>
    <border>
      <left style="medium">
        <color auto="1"/>
      </left>
      <right style="double">
        <color auto="1"/>
      </right>
      <top style="thin">
        <color indexed="64"/>
      </top>
      <bottom style="thin">
        <color indexed="64"/>
      </bottom>
      <diagonal/>
    </border>
    <border>
      <left style="double">
        <color indexed="64"/>
      </left>
      <right style="medium">
        <color indexed="64"/>
      </right>
      <top style="thin">
        <color indexed="64"/>
      </top>
      <bottom style="thin">
        <color indexed="64"/>
      </bottom>
      <diagonal/>
    </border>
    <border>
      <left style="medium">
        <color auto="1"/>
      </left>
      <right style="double">
        <color auto="1"/>
      </right>
      <top/>
      <bottom/>
      <diagonal/>
    </border>
    <border>
      <left style="double">
        <color auto="1"/>
      </left>
      <right style="double">
        <color auto="1"/>
      </right>
      <top/>
      <bottom/>
      <diagonal/>
    </border>
    <border>
      <left style="double">
        <color auto="1"/>
      </left>
      <right style="medium">
        <color auto="1"/>
      </right>
      <top/>
      <bottom/>
      <diagonal/>
    </border>
    <border>
      <left style="double">
        <color auto="1"/>
      </left>
      <right style="double">
        <color auto="1"/>
      </right>
      <top style="thin">
        <color indexed="64"/>
      </top>
      <bottom style="medium">
        <color auto="1"/>
      </bottom>
      <diagonal/>
    </border>
    <border>
      <left style="double">
        <color auto="1"/>
      </left>
      <right style="medium">
        <color auto="1"/>
      </right>
      <top style="thin">
        <color indexed="64"/>
      </top>
      <bottom style="medium">
        <color auto="1"/>
      </bottom>
      <diagonal/>
    </border>
    <border>
      <left/>
      <right style="double">
        <color rgb="FF35A36B"/>
      </right>
      <top style="double">
        <color rgb="FF35A16B"/>
      </top>
      <bottom style="thin">
        <color indexed="64"/>
      </bottom>
      <diagonal/>
    </border>
    <border>
      <left style="double">
        <color rgb="FF35A36B"/>
      </left>
      <right/>
      <top style="double">
        <color rgb="FF35A16B"/>
      </top>
      <bottom style="thin">
        <color indexed="64"/>
      </bottom>
      <diagonal/>
    </border>
    <border>
      <left style="medium">
        <color auto="1"/>
      </left>
      <right style="double">
        <color auto="1"/>
      </right>
      <top style="double">
        <color rgb="FF35A16B"/>
      </top>
      <bottom style="thin">
        <color indexed="64"/>
      </bottom>
      <diagonal/>
    </border>
    <border>
      <left style="double">
        <color auto="1"/>
      </left>
      <right style="double">
        <color auto="1"/>
      </right>
      <top style="double">
        <color rgb="FF35A16B"/>
      </top>
      <bottom style="thin">
        <color indexed="64"/>
      </bottom>
      <diagonal/>
    </border>
    <border>
      <left style="double">
        <color auto="1"/>
      </left>
      <right style="medium">
        <color auto="1"/>
      </right>
      <top style="double">
        <color rgb="FF35A16B"/>
      </top>
      <bottom style="thin">
        <color indexed="64"/>
      </bottom>
      <diagonal/>
    </border>
    <border>
      <left style="thin">
        <color indexed="64"/>
      </left>
      <right style="medium">
        <color indexed="64"/>
      </right>
      <top style="thin">
        <color indexed="64"/>
      </top>
      <bottom/>
      <diagonal/>
    </border>
    <border>
      <left style="double">
        <color rgb="FF35A36B"/>
      </left>
      <right style="double">
        <color rgb="FF35A36B"/>
      </right>
      <top style="double">
        <color rgb="FF35A36B"/>
      </top>
      <bottom style="thin">
        <color indexed="64"/>
      </bottom>
      <diagonal/>
    </border>
    <border>
      <left/>
      <right style="double">
        <color rgb="FF35A16B"/>
      </right>
      <top/>
      <bottom style="thin">
        <color indexed="64"/>
      </bottom>
      <diagonal/>
    </border>
    <border>
      <left style="thin">
        <color indexed="64"/>
      </left>
      <right style="double">
        <color rgb="FF35A36B"/>
      </right>
      <top/>
      <bottom/>
      <diagonal/>
    </border>
    <border>
      <left style="double">
        <color rgb="FF35A16B"/>
      </left>
      <right/>
      <top style="thin">
        <color theme="1"/>
      </top>
      <bottom style="double">
        <color rgb="FF35A16B"/>
      </bottom>
      <diagonal/>
    </border>
    <border>
      <left style="thin">
        <color indexed="64"/>
      </left>
      <right style="double">
        <color rgb="FF35A36B"/>
      </right>
      <top style="thin">
        <color theme="1"/>
      </top>
      <bottom style="double">
        <color rgb="FF35A16B"/>
      </bottom>
      <diagonal/>
    </border>
    <border>
      <left style="double">
        <color rgb="FF35A36B"/>
      </left>
      <right style="double">
        <color rgb="FF35A36B"/>
      </right>
      <top style="thin">
        <color indexed="64"/>
      </top>
      <bottom style="double">
        <color rgb="FF35A36B"/>
      </bottom>
      <diagonal/>
    </border>
    <border>
      <left style="medium">
        <color indexed="64"/>
      </left>
      <right/>
      <top/>
      <bottom style="double">
        <color rgb="FF35A16B"/>
      </bottom>
      <diagonal/>
    </border>
    <border>
      <left style="double">
        <color rgb="FF35A36B"/>
      </left>
      <right style="double">
        <color rgb="FF35A36B"/>
      </right>
      <top style="double">
        <color rgb="FF35A36B"/>
      </top>
      <bottom/>
      <diagonal/>
    </border>
    <border>
      <left style="medium">
        <color auto="1"/>
      </left>
      <right style="double">
        <color auto="1"/>
      </right>
      <top style="thin">
        <color indexed="64"/>
      </top>
      <bottom/>
      <diagonal/>
    </border>
    <border>
      <left style="double">
        <color indexed="64"/>
      </left>
      <right style="medium">
        <color indexed="64"/>
      </right>
      <top style="thin">
        <color indexed="64"/>
      </top>
      <bottom/>
      <diagonal/>
    </border>
    <border>
      <left style="medium">
        <color theme="1"/>
      </left>
      <right style="thin">
        <color indexed="64"/>
      </right>
      <top/>
      <bottom style="medium">
        <color indexed="64"/>
      </bottom>
      <diagonal/>
    </border>
    <border>
      <left style="thin">
        <color indexed="64"/>
      </left>
      <right style="medium">
        <color indexed="64"/>
      </right>
      <top/>
      <bottom style="medium">
        <color indexed="64"/>
      </bottom>
      <diagonal/>
    </border>
    <border>
      <left/>
      <right style="double">
        <color rgb="FF35A36B"/>
      </right>
      <top style="medium">
        <color indexed="64"/>
      </top>
      <bottom style="thin">
        <color indexed="64"/>
      </bottom>
      <diagonal/>
    </border>
    <border>
      <left style="thin">
        <color indexed="64"/>
      </left>
      <right/>
      <top style="double">
        <color rgb="FF35A36B"/>
      </top>
      <bottom style="double">
        <color rgb="FF35A36B"/>
      </bottom>
      <diagonal/>
    </border>
    <border diagonalDown="1">
      <left style="medium">
        <color auto="1"/>
      </left>
      <right/>
      <top style="double">
        <color rgb="FF35A36B"/>
      </top>
      <bottom style="thin">
        <color auto="1"/>
      </bottom>
      <diagonal style="thin">
        <color auto="1"/>
      </diagonal>
    </border>
    <border diagonalDown="1">
      <left/>
      <right/>
      <top style="double">
        <color rgb="FF35A36B"/>
      </top>
      <bottom style="thin">
        <color auto="1"/>
      </bottom>
      <diagonal style="thin">
        <color auto="1"/>
      </diagonal>
    </border>
    <border diagonalDown="1">
      <left/>
      <right style="medium">
        <color auto="1"/>
      </right>
      <top style="double">
        <color rgb="FF35A36B"/>
      </top>
      <bottom style="thin">
        <color auto="1"/>
      </bottom>
      <diagonal style="thin">
        <color auto="1"/>
      </diagonal>
    </border>
    <border>
      <left style="double">
        <color indexed="64"/>
      </left>
      <right style="medium">
        <color indexed="64"/>
      </right>
      <top/>
      <bottom style="thin">
        <color indexed="64"/>
      </bottom>
      <diagonal/>
    </border>
    <border>
      <left style="thin">
        <color indexed="64"/>
      </left>
      <right style="double">
        <color indexed="64"/>
      </right>
      <top style="thin">
        <color indexed="64"/>
      </top>
      <bottom style="medium">
        <color indexed="64"/>
      </bottom>
      <diagonal/>
    </border>
    <border diagonalDown="1">
      <left style="thin">
        <color auto="1"/>
      </left>
      <right style="thin">
        <color auto="1"/>
      </right>
      <top/>
      <bottom/>
      <diagonal style="hair">
        <color auto="1"/>
      </diagonal>
    </border>
    <border>
      <left style="thin">
        <color indexed="64"/>
      </left>
      <right style="thin">
        <color indexed="64"/>
      </right>
      <top/>
      <bottom style="double">
        <color rgb="FF35A36B"/>
      </bottom>
      <diagonal/>
    </border>
    <border diagonalDown="1">
      <left style="thin">
        <color indexed="64"/>
      </left>
      <right style="thin">
        <color indexed="64"/>
      </right>
      <top style="thin">
        <color indexed="64"/>
      </top>
      <bottom style="double">
        <color indexed="64"/>
      </bottom>
      <diagonal style="hair">
        <color indexed="64"/>
      </diagonal>
    </border>
    <border diagonalDown="1">
      <left style="thin">
        <color indexed="64"/>
      </left>
      <right style="thin">
        <color indexed="64"/>
      </right>
      <top/>
      <bottom style="double">
        <color indexed="64"/>
      </bottom>
      <diagonal style="hair">
        <color indexed="64"/>
      </diagonal>
    </border>
    <border>
      <left style="double">
        <color rgb="FF35A16B"/>
      </left>
      <right style="thin">
        <color indexed="64"/>
      </right>
      <top style="double">
        <color rgb="FF35A16B"/>
      </top>
      <bottom/>
      <diagonal/>
    </border>
    <border>
      <left style="thin">
        <color indexed="64"/>
      </left>
      <right style="thin">
        <color indexed="64"/>
      </right>
      <top style="double">
        <color rgb="FF35A16B"/>
      </top>
      <bottom/>
      <diagonal/>
    </border>
    <border>
      <left/>
      <right style="thin">
        <color indexed="64"/>
      </right>
      <top style="double">
        <color rgb="FF35A16B"/>
      </top>
      <bottom/>
      <diagonal/>
    </border>
    <border>
      <left style="thin">
        <color indexed="64"/>
      </left>
      <right/>
      <top style="double">
        <color rgb="FF35A16B"/>
      </top>
      <bottom style="thin">
        <color indexed="64"/>
      </bottom>
      <diagonal/>
    </border>
    <border>
      <left style="double">
        <color rgb="FF35A36B"/>
      </left>
      <right style="thin">
        <color indexed="64"/>
      </right>
      <top style="double">
        <color rgb="FF35A36B"/>
      </top>
      <bottom/>
      <diagonal/>
    </border>
    <border>
      <left style="double">
        <color indexed="64"/>
      </left>
      <right style="double">
        <color indexed="64"/>
      </right>
      <top style="double">
        <color indexed="64"/>
      </top>
      <bottom style="thin">
        <color theme="1"/>
      </bottom>
      <diagonal/>
    </border>
    <border>
      <left style="thin">
        <color indexed="64"/>
      </left>
      <right style="thin">
        <color indexed="64"/>
      </right>
      <top style="double">
        <color indexed="64"/>
      </top>
      <bottom style="thin">
        <color indexed="64"/>
      </bottom>
      <diagonal/>
    </border>
    <border>
      <left style="double">
        <color rgb="FF35A16B"/>
      </left>
      <right style="thin">
        <color indexed="64"/>
      </right>
      <top style="thin">
        <color indexed="64"/>
      </top>
      <bottom style="thin">
        <color indexed="64"/>
      </bottom>
      <diagonal/>
    </border>
    <border>
      <left style="thin">
        <color indexed="64"/>
      </left>
      <right style="dotted">
        <color rgb="FF7F878F"/>
      </right>
      <top style="thin">
        <color indexed="64"/>
      </top>
      <bottom style="thin">
        <color indexed="64"/>
      </bottom>
      <diagonal/>
    </border>
    <border>
      <left style="double">
        <color rgb="FF35A36B"/>
      </left>
      <right style="thin">
        <color indexed="64"/>
      </right>
      <top style="thin">
        <color indexed="64"/>
      </top>
      <bottom style="thin">
        <color indexed="64"/>
      </bottom>
      <diagonal/>
    </border>
    <border>
      <left style="double">
        <color indexed="64"/>
      </left>
      <right style="double">
        <color indexed="64"/>
      </right>
      <top style="thin">
        <color theme="1"/>
      </top>
      <bottom style="thin">
        <color theme="1"/>
      </bottom>
      <diagonal/>
    </border>
    <border>
      <left style="double">
        <color rgb="FF35A16B"/>
      </left>
      <right style="thin">
        <color auto="1"/>
      </right>
      <top style="thin">
        <color indexed="64"/>
      </top>
      <bottom/>
      <diagonal/>
    </border>
    <border>
      <left style="thin">
        <color indexed="64"/>
      </left>
      <right style="dotted">
        <color rgb="FF7F878F"/>
      </right>
      <top style="thin">
        <color indexed="64"/>
      </top>
      <bottom/>
      <diagonal/>
    </border>
    <border>
      <left style="double">
        <color rgb="FF35A36B"/>
      </left>
      <right style="thin">
        <color indexed="64"/>
      </right>
      <top style="thin">
        <color indexed="64"/>
      </top>
      <bottom style="double">
        <color rgb="FF35A36B"/>
      </bottom>
      <diagonal/>
    </border>
    <border>
      <left style="double">
        <color indexed="64"/>
      </left>
      <right style="double">
        <color indexed="64"/>
      </right>
      <top style="thin">
        <color theme="1"/>
      </top>
      <bottom/>
      <diagonal/>
    </border>
    <border>
      <left/>
      <right/>
      <top style="double">
        <color auto="1"/>
      </top>
      <bottom/>
      <diagonal/>
    </border>
    <border>
      <left style="double">
        <color rgb="FF35A16B"/>
      </left>
      <right style="dotted">
        <color rgb="FF7F878F"/>
      </right>
      <top style="double">
        <color rgb="FF35A16B"/>
      </top>
      <bottom/>
      <diagonal/>
    </border>
    <border>
      <left style="thin">
        <color indexed="64"/>
      </left>
      <right style="dotted">
        <color rgb="FF7F878F"/>
      </right>
      <top style="double">
        <color rgb="FF35A16B"/>
      </top>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diagonalDown="1">
      <left style="thin">
        <color indexed="64"/>
      </left>
      <right style="thin">
        <color indexed="64"/>
      </right>
      <top style="double">
        <color indexed="64"/>
      </top>
      <bottom/>
      <diagonal style="hair">
        <color indexed="64"/>
      </diagonal>
    </border>
    <border>
      <left style="double">
        <color rgb="FF35A16B"/>
      </left>
      <right style="dotted">
        <color rgb="FF7F878F"/>
      </right>
      <top style="thin">
        <color indexed="64"/>
      </top>
      <bottom style="thin">
        <color indexed="64"/>
      </bottom>
      <diagonal/>
    </border>
    <border>
      <left style="double">
        <color rgb="FF35A16B"/>
      </left>
      <right style="dotted">
        <color rgb="FF7F878F"/>
      </right>
      <top/>
      <bottom style="thin">
        <color indexed="64"/>
      </bottom>
      <diagonal/>
    </border>
    <border>
      <left style="thin">
        <color indexed="64"/>
      </left>
      <right style="dotted">
        <color rgb="FF7F878F"/>
      </right>
      <top/>
      <bottom style="thin">
        <color indexed="64"/>
      </bottom>
      <diagonal/>
    </border>
    <border>
      <left style="double">
        <color rgb="FF35A36B"/>
      </left>
      <right style="thin">
        <color indexed="64"/>
      </right>
      <top/>
      <bottom style="thin">
        <color indexed="64"/>
      </bottom>
      <diagonal/>
    </border>
    <border>
      <left style="thin">
        <color indexed="64"/>
      </left>
      <right style="double">
        <color rgb="FF35A36B"/>
      </right>
      <top/>
      <bottom style="thin">
        <color indexed="64"/>
      </bottom>
      <diagonal/>
    </border>
    <border>
      <left style="double">
        <color rgb="FF35A16B"/>
      </left>
      <right style="dotted">
        <color rgb="FF7F878F"/>
      </right>
      <top style="thin">
        <color indexed="64"/>
      </top>
      <bottom/>
      <diagonal/>
    </border>
    <border>
      <left style="double">
        <color indexed="64"/>
      </left>
      <right style="thin">
        <color indexed="64"/>
      </right>
      <top style="thin">
        <color theme="1"/>
      </top>
      <bottom/>
      <diagonal/>
    </border>
    <border>
      <left style="thin">
        <color indexed="64"/>
      </left>
      <right style="double">
        <color indexed="64"/>
      </right>
      <top style="thin">
        <color theme="1"/>
      </top>
      <bottom/>
      <diagonal/>
    </border>
    <border>
      <left/>
      <right style="thin">
        <color indexed="64"/>
      </right>
      <top style="thin">
        <color indexed="64"/>
      </top>
      <bottom style="double">
        <color indexed="64"/>
      </bottom>
      <diagonal/>
    </border>
    <border>
      <left style="double">
        <color rgb="FF35A16B"/>
      </left>
      <right style="thin">
        <color indexed="64"/>
      </right>
      <top style="thin">
        <color theme="1"/>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bottom style="thin">
        <color theme="1"/>
      </bottom>
      <diagonal/>
    </border>
    <border>
      <left style="double">
        <color auto="1"/>
      </left>
      <right style="thin">
        <color auto="1"/>
      </right>
      <top style="thin">
        <color indexed="64"/>
      </top>
      <bottom style="thin">
        <color theme="1"/>
      </bottom>
      <diagonal/>
    </border>
    <border>
      <left style="thin">
        <color indexed="64"/>
      </left>
      <right style="double">
        <color indexed="64"/>
      </right>
      <top style="thin">
        <color indexed="64"/>
      </top>
      <bottom style="thin">
        <color theme="1"/>
      </bottom>
      <diagonal/>
    </border>
    <border>
      <left style="thin">
        <color indexed="64"/>
      </left>
      <right style="thin">
        <color indexed="64"/>
      </right>
      <top style="thin">
        <color theme="1"/>
      </top>
      <bottom/>
      <diagonal/>
    </border>
    <border diagonalDown="1">
      <left style="thin">
        <color indexed="64"/>
      </left>
      <right style="hair">
        <color indexed="64"/>
      </right>
      <top/>
      <bottom style="thin">
        <color indexed="64"/>
      </bottom>
      <diagonal style="hair">
        <color auto="1"/>
      </diagonal>
    </border>
    <border diagonalDown="1">
      <left style="hair">
        <color indexed="64"/>
      </left>
      <right style="hair">
        <color indexed="64"/>
      </right>
      <top/>
      <bottom style="thin">
        <color indexed="64"/>
      </bottom>
      <diagonal style="hair">
        <color auto="1"/>
      </diagonal>
    </border>
    <border diagonalDown="1">
      <left style="hair">
        <color indexed="64"/>
      </left>
      <right/>
      <top/>
      <bottom style="thin">
        <color indexed="64"/>
      </bottom>
      <diagonal style="hair">
        <color auto="1"/>
      </diagonal>
    </border>
    <border>
      <left/>
      <right style="hair">
        <color auto="1"/>
      </right>
      <top/>
      <bottom/>
      <diagonal/>
    </border>
    <border>
      <left style="hair">
        <color auto="1"/>
      </left>
      <right style="hair">
        <color auto="1"/>
      </right>
      <top/>
      <bottom/>
      <diagonal/>
    </border>
    <border>
      <left style="hair">
        <color auto="1"/>
      </left>
      <right/>
      <top/>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indexed="64"/>
      </left>
      <right style="hair">
        <color auto="1"/>
      </right>
      <top style="thin">
        <color indexed="64"/>
      </top>
      <bottom/>
      <diagonal/>
    </border>
    <border>
      <left style="hair">
        <color auto="1"/>
      </left>
      <right style="hair">
        <color auto="1"/>
      </right>
      <top style="thin">
        <color auto="1"/>
      </top>
      <bottom/>
      <diagonal/>
    </border>
    <border>
      <left style="hair">
        <color auto="1"/>
      </left>
      <right/>
      <top style="thin">
        <color auto="1"/>
      </top>
      <bottom/>
      <diagonal/>
    </border>
    <border>
      <left/>
      <right/>
      <top/>
      <bottom style="double">
        <color rgb="FF35A36B"/>
      </bottom>
      <diagonal/>
    </border>
    <border>
      <left/>
      <right style="medium">
        <color indexed="64"/>
      </right>
      <top/>
      <bottom style="double">
        <color rgb="FF35A36B"/>
      </bottom>
      <diagonal/>
    </border>
    <border>
      <left style="medium">
        <color indexed="64"/>
      </left>
      <right/>
      <top style="double">
        <color rgb="FF35A16B"/>
      </top>
      <bottom style="thin">
        <color indexed="64"/>
      </bottom>
      <diagonal/>
    </border>
    <border>
      <left/>
      <right style="double">
        <color auto="1"/>
      </right>
      <top style="double">
        <color rgb="FF35A16B"/>
      </top>
      <bottom style="thin">
        <color indexed="64"/>
      </bottom>
      <diagonal/>
    </border>
    <border>
      <left style="double">
        <color auto="1"/>
      </left>
      <right/>
      <top style="double">
        <color rgb="FF35A36B"/>
      </top>
      <bottom style="thin">
        <color indexed="64"/>
      </bottom>
      <diagonal/>
    </border>
    <border>
      <left/>
      <right style="medium">
        <color auto="1"/>
      </right>
      <top style="double">
        <color rgb="FF35A36B"/>
      </top>
      <bottom style="thin">
        <color indexed="64"/>
      </bottom>
      <diagonal/>
    </border>
    <border>
      <left/>
      <right style="double">
        <color auto="1"/>
      </right>
      <top style="thin">
        <color indexed="64"/>
      </top>
      <bottom style="thin">
        <color indexed="64"/>
      </bottom>
      <diagonal/>
    </border>
    <border>
      <left/>
      <right style="double">
        <color auto="1"/>
      </right>
      <top/>
      <bottom style="thin">
        <color indexed="64"/>
      </bottom>
      <diagonal/>
    </border>
    <border>
      <left/>
      <right style="double">
        <color auto="1"/>
      </right>
      <top style="thin">
        <color indexed="64"/>
      </top>
      <bottom/>
      <diagonal/>
    </border>
    <border>
      <left style="double">
        <color indexed="64"/>
      </left>
      <right/>
      <top style="thin">
        <color indexed="64"/>
      </top>
      <bottom style="medium">
        <color indexed="64"/>
      </bottom>
      <diagonal/>
    </border>
    <border>
      <left/>
      <right style="mediumDashed">
        <color indexed="55"/>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bottom style="double">
        <color indexed="57"/>
      </bottom>
      <diagonal/>
    </border>
    <border>
      <left style="double">
        <color rgb="FF35A36B"/>
      </left>
      <right style="double">
        <color rgb="FF35A36B"/>
      </right>
      <top style="double">
        <color indexed="57"/>
      </top>
      <bottom/>
      <diagonal/>
    </border>
    <border>
      <left style="double">
        <color rgb="FF35A36B"/>
      </left>
      <right style="double">
        <color indexed="57"/>
      </right>
      <top style="double">
        <color indexed="57"/>
      </top>
      <bottom style="thin">
        <color theme="1"/>
      </bottom>
      <diagonal/>
    </border>
    <border>
      <left style="double">
        <color indexed="64"/>
      </left>
      <right style="double">
        <color indexed="64"/>
      </right>
      <top/>
      <bottom style="thin">
        <color indexed="64"/>
      </bottom>
      <diagonal/>
    </border>
    <border>
      <left style="double">
        <color rgb="FF35A36B"/>
      </left>
      <right/>
      <top style="thin">
        <color indexed="64"/>
      </top>
      <bottom style="thin">
        <color indexed="64"/>
      </bottom>
      <diagonal/>
    </border>
    <border>
      <left style="double">
        <color rgb="FF35A36B"/>
      </left>
      <right style="double">
        <color indexed="57"/>
      </right>
      <top style="thin">
        <color theme="1"/>
      </top>
      <bottom style="thin">
        <color theme="1"/>
      </bottom>
      <diagonal/>
    </border>
    <border>
      <left style="medium">
        <color indexed="64"/>
      </left>
      <right style="double">
        <color rgb="FF35A16B"/>
      </right>
      <top style="thin">
        <color indexed="64"/>
      </top>
      <bottom/>
      <diagonal/>
    </border>
    <border>
      <left style="double">
        <color rgb="FF35A36B"/>
      </left>
      <right/>
      <top style="thin">
        <color indexed="64"/>
      </top>
      <bottom/>
      <diagonal/>
    </border>
    <border>
      <left style="double">
        <color rgb="FF35A36B"/>
      </left>
      <right style="double">
        <color rgb="FF35A36B"/>
      </right>
      <top style="thin">
        <color indexed="64"/>
      </top>
      <bottom/>
      <diagonal/>
    </border>
    <border>
      <left style="double">
        <color rgb="FF35A36B"/>
      </left>
      <right style="double">
        <color indexed="57"/>
      </right>
      <top style="thin">
        <color theme="1"/>
      </top>
      <bottom style="double">
        <color rgb="FF35A16B"/>
      </bottom>
      <diagonal/>
    </border>
    <border>
      <left/>
      <right style="double">
        <color indexed="57"/>
      </right>
      <top style="double">
        <color indexed="57"/>
      </top>
      <bottom style="thin">
        <color theme="1"/>
      </bottom>
      <diagonal/>
    </border>
    <border>
      <left/>
      <right style="double">
        <color indexed="57"/>
      </right>
      <top style="thin">
        <color theme="1"/>
      </top>
      <bottom style="thin">
        <color theme="1"/>
      </bottom>
      <diagonal/>
    </border>
    <border>
      <left style="double">
        <color indexed="57"/>
      </left>
      <right style="double">
        <color indexed="57"/>
      </right>
      <top style="thin">
        <color theme="1"/>
      </top>
      <bottom style="thin">
        <color theme="1"/>
      </bottom>
      <diagonal/>
    </border>
    <border>
      <left style="double">
        <color indexed="57"/>
      </left>
      <right/>
      <top/>
      <bottom/>
      <diagonal/>
    </border>
    <border>
      <left style="double">
        <color rgb="FF35A36B"/>
      </left>
      <right style="double">
        <color indexed="57"/>
      </right>
      <top style="thin">
        <color indexed="64"/>
      </top>
      <bottom/>
      <diagonal/>
    </border>
    <border>
      <left style="double">
        <color indexed="57"/>
      </left>
      <right style="double">
        <color indexed="57"/>
      </right>
      <top style="thin">
        <color theme="1"/>
      </top>
      <bottom style="double">
        <color rgb="FF35A16B"/>
      </bottom>
      <diagonal/>
    </border>
    <border>
      <left style="thin">
        <color indexed="64"/>
      </left>
      <right style="double">
        <color indexed="64"/>
      </right>
      <top style="medium">
        <color indexed="64"/>
      </top>
      <bottom style="double">
        <color rgb="FF35A36B"/>
      </bottom>
      <diagonal/>
    </border>
    <border>
      <left style="double">
        <color rgb="FF35A36B"/>
      </left>
      <right style="thin">
        <color indexed="64"/>
      </right>
      <top style="double">
        <color rgb="FF35A36B"/>
      </top>
      <bottom style="thin">
        <color indexed="64"/>
      </bottom>
      <diagonal/>
    </border>
    <border>
      <left style="thin">
        <color indexed="64"/>
      </left>
      <right style="thin">
        <color indexed="64"/>
      </right>
      <top style="double">
        <color rgb="FF35A36B"/>
      </top>
      <bottom style="thin">
        <color indexed="64"/>
      </bottom>
      <diagonal/>
    </border>
    <border>
      <left style="thin">
        <color indexed="64"/>
      </left>
      <right/>
      <top style="double">
        <color rgb="FF35A36B"/>
      </top>
      <bottom style="thin">
        <color indexed="64"/>
      </bottom>
      <diagonal/>
    </border>
    <border>
      <left style="double">
        <color rgb="FF35A36B"/>
      </left>
      <right style="thin">
        <color indexed="64"/>
      </right>
      <top/>
      <bottom/>
      <diagonal/>
    </border>
    <border>
      <left style="thin">
        <color indexed="64"/>
      </left>
      <right style="thin">
        <color indexed="64"/>
      </right>
      <top style="thin">
        <color indexed="64"/>
      </top>
      <bottom style="double">
        <color rgb="FF35A36B"/>
      </bottom>
      <diagonal/>
    </border>
    <border>
      <left style="thin">
        <color indexed="64"/>
      </left>
      <right/>
      <top style="thin">
        <color indexed="64"/>
      </top>
      <bottom style="double">
        <color rgb="FF35A36B"/>
      </bottom>
      <diagonal/>
    </border>
    <border>
      <left style="double">
        <color rgb="FF35A36B"/>
      </left>
      <right style="thin">
        <color indexed="64"/>
      </right>
      <top/>
      <bottom style="double">
        <color rgb="FF35A36B"/>
      </bottom>
      <diagonal/>
    </border>
    <border>
      <left/>
      <right style="thin">
        <color auto="1"/>
      </right>
      <top style="medium">
        <color indexed="64"/>
      </top>
      <bottom style="medium">
        <color indexed="64"/>
      </bottom>
      <diagonal/>
    </border>
    <border>
      <left style="thin">
        <color auto="1"/>
      </left>
      <right/>
      <top style="medium">
        <color auto="1"/>
      </top>
      <bottom style="medium">
        <color auto="1"/>
      </bottom>
      <diagonal/>
    </border>
    <border>
      <left/>
      <right style="double">
        <color theme="1"/>
      </right>
      <top style="medium">
        <color indexed="64"/>
      </top>
      <bottom style="medium">
        <color indexed="64"/>
      </bottom>
      <diagonal/>
    </border>
    <border>
      <left style="double">
        <color theme="1"/>
      </left>
      <right style="thin">
        <color theme="1"/>
      </right>
      <top style="double">
        <color rgb="FF35A36B"/>
      </top>
      <bottom style="double">
        <color rgb="FF35A36B"/>
      </bottom>
      <diagonal/>
    </border>
    <border>
      <left style="thin">
        <color theme="1"/>
      </left>
      <right style="thin">
        <color theme="1"/>
      </right>
      <top style="double">
        <color rgb="FF35A36B"/>
      </top>
      <bottom style="double">
        <color rgb="FF35A36B"/>
      </bottom>
      <diagonal/>
    </border>
    <border>
      <left style="thin">
        <color theme="1"/>
      </left>
      <right style="double">
        <color theme="1"/>
      </right>
      <top style="double">
        <color rgb="FF35A36B"/>
      </top>
      <bottom style="double">
        <color rgb="FF35A36B"/>
      </bottom>
      <diagonal/>
    </border>
    <border>
      <left style="double">
        <color theme="1"/>
      </left>
      <right/>
      <top/>
      <bottom/>
      <diagonal/>
    </border>
    <border>
      <left/>
      <right style="thin">
        <color indexed="64"/>
      </right>
      <top style="medium">
        <color indexed="64"/>
      </top>
      <bottom style="thin">
        <color indexed="64"/>
      </bottom>
      <diagonal/>
    </border>
    <border>
      <left style="double">
        <color rgb="FF35A16B"/>
      </left>
      <right style="thin">
        <color auto="1"/>
      </right>
      <top style="double">
        <color rgb="FF35A36B"/>
      </top>
      <bottom style="thin">
        <color auto="1"/>
      </bottom>
      <diagonal/>
    </border>
    <border>
      <left style="thin">
        <color indexed="64"/>
      </left>
      <right style="double">
        <color rgb="FF35A36B"/>
      </right>
      <top style="double">
        <color rgb="FF35A36B"/>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theme="1"/>
      </left>
      <right style="thin">
        <color theme="1"/>
      </right>
      <top style="thin">
        <color indexed="64"/>
      </top>
      <bottom style="thin">
        <color indexed="64"/>
      </bottom>
      <diagonal/>
    </border>
    <border>
      <left style="thin">
        <color theme="1"/>
      </left>
      <right style="double">
        <color rgb="FF35A36B"/>
      </right>
      <top style="thin">
        <color indexed="64"/>
      </top>
      <bottom style="thin">
        <color indexed="64"/>
      </bottom>
      <diagonal/>
    </border>
    <border>
      <left style="double">
        <color rgb="FF35A36B"/>
      </left>
      <right/>
      <top style="thin">
        <color indexed="64"/>
      </top>
      <bottom style="double">
        <color rgb="FF35A36B"/>
      </bottom>
      <diagonal/>
    </border>
    <border>
      <left style="medium">
        <color indexed="64"/>
      </left>
      <right style="medium">
        <color indexed="64"/>
      </right>
      <top style="thin">
        <color indexed="64"/>
      </top>
      <bottom style="medium">
        <color indexed="64"/>
      </bottom>
      <diagonal/>
    </border>
    <border>
      <left style="double">
        <color rgb="FF35A16B"/>
      </left>
      <right style="thin">
        <color auto="1"/>
      </right>
      <top style="thin">
        <color auto="1"/>
      </top>
      <bottom style="double">
        <color indexed="64"/>
      </bottom>
      <diagonal/>
    </border>
    <border>
      <left style="thin">
        <color auto="1"/>
      </left>
      <right style="thin">
        <color theme="1"/>
      </right>
      <top style="thin">
        <color auto="1"/>
      </top>
      <bottom style="double">
        <color indexed="64"/>
      </bottom>
      <diagonal/>
    </border>
    <border>
      <left style="thin">
        <color theme="1"/>
      </left>
      <right style="thin">
        <color theme="1"/>
      </right>
      <top style="thin">
        <color indexed="64"/>
      </top>
      <bottom style="double">
        <color indexed="64"/>
      </bottom>
      <diagonal/>
    </border>
    <border>
      <left style="thin">
        <color theme="1"/>
      </left>
      <right style="double">
        <color rgb="FF35A36B"/>
      </right>
      <top style="thin">
        <color indexed="64"/>
      </top>
      <bottom style="double">
        <color indexed="64"/>
      </bottom>
      <diagonal/>
    </border>
    <border diagonalDown="1">
      <left style="double">
        <color rgb="FF35A36B"/>
      </left>
      <right/>
      <top style="double">
        <color rgb="FF35A36B"/>
      </top>
      <bottom style="double">
        <color rgb="FF35A36B"/>
      </bottom>
      <diagonal style="hair">
        <color auto="1"/>
      </diagonal>
    </border>
    <border diagonalDown="1">
      <left style="thin">
        <color indexed="64"/>
      </left>
      <right/>
      <top style="double">
        <color rgb="FF35A36B"/>
      </top>
      <bottom style="double">
        <color rgb="FF35A36B"/>
      </bottom>
      <diagonal style="hair">
        <color auto="1"/>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double">
        <color indexed="64"/>
      </top>
      <bottom style="medium">
        <color indexed="64"/>
      </bottom>
      <diagonal/>
    </border>
    <border>
      <left style="double">
        <color rgb="FF35A16B"/>
      </left>
      <right style="thin">
        <color theme="1"/>
      </right>
      <top style="double">
        <color indexed="64"/>
      </top>
      <bottom style="double">
        <color rgb="FF35A16B"/>
      </bottom>
      <diagonal/>
    </border>
    <border>
      <left style="thin">
        <color theme="1"/>
      </left>
      <right style="thin">
        <color theme="1"/>
      </right>
      <top style="double">
        <color indexed="64"/>
      </top>
      <bottom style="double">
        <color rgb="FF35A16B"/>
      </bottom>
      <diagonal/>
    </border>
    <border>
      <left style="thin">
        <color theme="1"/>
      </left>
      <right style="double">
        <color rgb="FF35A36B"/>
      </right>
      <top style="double">
        <color indexed="64"/>
      </top>
      <bottom style="double">
        <color rgb="FF35A16B"/>
      </bottom>
      <diagonal/>
    </border>
    <border>
      <left style="double">
        <color rgb="FF35A36B"/>
      </left>
      <right/>
      <top style="double">
        <color rgb="FF35A36B"/>
      </top>
      <bottom style="double">
        <color rgb="FF35A16B"/>
      </bottom>
      <diagonal/>
    </border>
    <border>
      <left style="thin">
        <color indexed="64"/>
      </left>
      <right style="double">
        <color rgb="FF35A36B"/>
      </right>
      <top style="double">
        <color rgb="FF35A36B"/>
      </top>
      <bottom style="double">
        <color rgb="FF35A16B"/>
      </bottom>
      <diagonal/>
    </border>
    <border>
      <left/>
      <right style="medium">
        <color indexed="64"/>
      </right>
      <top style="double">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double">
        <color indexed="64"/>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diagonalDown="1">
      <left style="thin">
        <color indexed="64"/>
      </left>
      <right/>
      <top style="thin">
        <color indexed="64"/>
      </top>
      <bottom/>
      <diagonal style="hair">
        <color indexed="64"/>
      </diagonal>
    </border>
    <border diagonalDown="1">
      <left/>
      <right style="thin">
        <color indexed="64"/>
      </right>
      <top style="thin">
        <color indexed="64"/>
      </top>
      <bottom/>
      <diagonal style="hair">
        <color indexed="64"/>
      </diagonal>
    </border>
    <border diagonalDown="1">
      <left style="thin">
        <color indexed="64"/>
      </left>
      <right/>
      <top/>
      <bottom/>
      <diagonal style="hair">
        <color auto="1"/>
      </diagonal>
    </border>
    <border diagonalDown="1">
      <left/>
      <right style="thin">
        <color indexed="64"/>
      </right>
      <top/>
      <bottom/>
      <diagonal style="hair">
        <color auto="1"/>
      </diagonal>
    </border>
    <border>
      <left style="double">
        <color rgb="FF35A36B"/>
      </left>
      <right style="double">
        <color rgb="FF35A36B"/>
      </right>
      <top style="thin">
        <color theme="1"/>
      </top>
      <bottom style="double">
        <color rgb="FF35A36B"/>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thin">
        <color indexed="64"/>
      </right>
      <top style="double">
        <color indexed="64"/>
      </top>
      <bottom/>
      <diagonal/>
    </border>
  </borders>
  <cellStyleXfs count="10">
    <xf numFmtId="0" fontId="0" fillId="0" borderId="0">
      <alignment vertical="center"/>
    </xf>
    <xf numFmtId="0" fontId="3" fillId="0" borderId="0"/>
    <xf numFmtId="38" fontId="3" fillId="0" borderId="0" applyFont="0" applyFill="0" applyBorder="0" applyAlignment="0" applyProtection="0">
      <alignment vertical="center"/>
    </xf>
    <xf numFmtId="0" fontId="3" fillId="0" borderId="0"/>
    <xf numFmtId="0" fontId="36" fillId="0" borderId="0">
      <alignment vertical="center"/>
    </xf>
    <xf numFmtId="0" fontId="36" fillId="0" borderId="0"/>
    <xf numFmtId="0" fontId="3" fillId="0" borderId="0">
      <alignment vertical="center"/>
    </xf>
    <xf numFmtId="0" fontId="1" fillId="0" borderId="0">
      <alignment vertical="center"/>
    </xf>
    <xf numFmtId="0" fontId="1" fillId="0" borderId="0">
      <alignment vertical="center"/>
    </xf>
    <xf numFmtId="0" fontId="60" fillId="0" borderId="0"/>
  </cellStyleXfs>
  <cellXfs count="2187">
    <xf numFmtId="0" fontId="0" fillId="0" borderId="0" xfId="0">
      <alignment vertical="center"/>
    </xf>
    <xf numFmtId="0" fontId="4" fillId="0" borderId="0" xfId="1" applyFont="1" applyAlignment="1">
      <alignment horizontal="left" vertical="center"/>
    </xf>
    <xf numFmtId="0" fontId="3" fillId="0" borderId="0" xfId="1"/>
    <xf numFmtId="0" fontId="4" fillId="0" borderId="0" xfId="1" applyFont="1" applyAlignment="1">
      <alignment vertical="top"/>
    </xf>
    <xf numFmtId="0" fontId="4" fillId="0" borderId="0" xfId="1" applyFont="1"/>
    <xf numFmtId="176" fontId="7" fillId="2" borderId="9" xfId="1" applyNumberFormat="1" applyFont="1" applyFill="1" applyBorder="1" applyAlignment="1" applyProtection="1">
      <alignment horizontal="center" vertical="center"/>
      <protection locked="0"/>
    </xf>
    <xf numFmtId="0" fontId="8" fillId="0" borderId="0" xfId="1" applyFont="1" applyAlignment="1">
      <alignment horizontal="center"/>
    </xf>
    <xf numFmtId="177" fontId="8" fillId="2" borderId="10" xfId="1" applyNumberFormat="1" applyFont="1" applyFill="1" applyBorder="1" applyAlignment="1" applyProtection="1">
      <alignment horizontal="center" vertical="center" wrapText="1"/>
      <protection locked="0"/>
    </xf>
    <xf numFmtId="178" fontId="8" fillId="2" borderId="11" xfId="1" applyNumberFormat="1" applyFont="1" applyFill="1" applyBorder="1" applyAlignment="1" applyProtection="1">
      <alignment horizontal="center" vertical="center" wrapText="1"/>
      <protection locked="0"/>
    </xf>
    <xf numFmtId="177" fontId="8" fillId="2" borderId="11" xfId="1" applyNumberFormat="1" applyFont="1" applyFill="1" applyBorder="1" applyAlignment="1" applyProtection="1">
      <alignment horizontal="center" vertical="center" wrapText="1"/>
      <protection locked="0"/>
    </xf>
    <xf numFmtId="0" fontId="4" fillId="0" borderId="12" xfId="1" applyFont="1" applyBorder="1" applyAlignment="1">
      <alignment horizontal="center" vertical="center"/>
    </xf>
    <xf numFmtId="0" fontId="3" fillId="2" borderId="13" xfId="1" applyFill="1" applyBorder="1" applyAlignment="1">
      <alignment horizontal="center" vertical="center"/>
    </xf>
    <xf numFmtId="0" fontId="4" fillId="0" borderId="2" xfId="1" applyFont="1" applyBorder="1" applyAlignment="1">
      <alignment horizontal="center" vertical="center"/>
    </xf>
    <xf numFmtId="0" fontId="4" fillId="0" borderId="12" xfId="1" applyFont="1" applyBorder="1" applyAlignment="1">
      <alignment horizontal="center" vertical="center" wrapText="1"/>
    </xf>
    <xf numFmtId="0" fontId="3" fillId="2" borderId="14" xfId="1" applyFill="1" applyBorder="1" applyAlignment="1">
      <alignment horizontal="center" vertical="center"/>
    </xf>
    <xf numFmtId="179" fontId="3" fillId="2" borderId="15" xfId="1" applyNumberFormat="1" applyFill="1" applyBorder="1" applyAlignment="1" applyProtection="1">
      <alignment horizontal="center" vertical="center"/>
      <protection locked="0"/>
    </xf>
    <xf numFmtId="0" fontId="4" fillId="0" borderId="16" xfId="1" applyFont="1" applyBorder="1" applyAlignment="1">
      <alignment horizontal="center" vertical="center"/>
    </xf>
    <xf numFmtId="0" fontId="3" fillId="2" borderId="13" xfId="1" applyFill="1" applyBorder="1" applyAlignment="1" applyProtection="1">
      <alignment horizontal="center" vertical="center"/>
      <protection locked="0"/>
    </xf>
    <xf numFmtId="0" fontId="3" fillId="2" borderId="14" xfId="1" applyFill="1" applyBorder="1" applyAlignment="1" applyProtection="1">
      <alignment horizontal="center" vertical="center"/>
      <protection locked="0"/>
    </xf>
    <xf numFmtId="0" fontId="3" fillId="2" borderId="15" xfId="1" applyFill="1" applyBorder="1" applyAlignment="1" applyProtection="1">
      <alignment horizontal="center" vertical="center"/>
      <protection locked="0"/>
    </xf>
    <xf numFmtId="0" fontId="3" fillId="0" borderId="0" xfId="1" applyAlignment="1">
      <alignment horizontal="center" vertical="center"/>
    </xf>
    <xf numFmtId="0" fontId="10" fillId="0" borderId="0" xfId="1" applyFont="1" applyAlignment="1">
      <alignment horizontal="center" vertical="center"/>
    </xf>
    <xf numFmtId="0" fontId="12" fillId="0" borderId="0" xfId="1" applyFont="1" applyAlignment="1">
      <alignment horizontal="distributed" vertical="center"/>
    </xf>
    <xf numFmtId="0" fontId="13" fillId="0" borderId="0" xfId="1" applyFont="1" applyAlignment="1">
      <alignment horizontal="right" vertical="top"/>
    </xf>
    <xf numFmtId="0" fontId="15" fillId="0" borderId="0" xfId="1" applyFont="1" applyAlignment="1">
      <alignment horizontal="distributed" vertical="center"/>
    </xf>
    <xf numFmtId="0" fontId="16" fillId="0" borderId="0" xfId="1" applyFont="1" applyAlignment="1">
      <alignment vertical="center"/>
    </xf>
    <xf numFmtId="177" fontId="16" fillId="0" borderId="0" xfId="1" applyNumberFormat="1" applyFont="1" applyAlignment="1">
      <alignment vertical="center"/>
    </xf>
    <xf numFmtId="0" fontId="18" fillId="0" borderId="0" xfId="1" applyFont="1" applyAlignment="1">
      <alignment horizontal="center" vertical="center"/>
    </xf>
    <xf numFmtId="0" fontId="17" fillId="0" borderId="0" xfId="1" applyFont="1" applyAlignment="1">
      <alignment horizontal="center" vertical="center"/>
    </xf>
    <xf numFmtId="0" fontId="20" fillId="0" borderId="0" xfId="1" applyFont="1" applyAlignment="1">
      <alignment horizontal="center" vertical="center"/>
    </xf>
    <xf numFmtId="0" fontId="3" fillId="0" borderId="0" xfId="1" applyAlignment="1">
      <alignment vertical="center"/>
    </xf>
    <xf numFmtId="0" fontId="21" fillId="0" borderId="0" xfId="1" applyFont="1" applyAlignment="1">
      <alignment vertical="center" shrinkToFit="1"/>
    </xf>
    <xf numFmtId="0" fontId="19" fillId="0" borderId="0" xfId="1" applyFont="1" applyAlignment="1">
      <alignment horizontal="center" vertical="center"/>
    </xf>
    <xf numFmtId="0" fontId="23" fillId="0" borderId="0" xfId="1" applyFont="1" applyAlignment="1">
      <alignment horizontal="center" vertical="center" shrinkToFit="1"/>
    </xf>
    <xf numFmtId="0" fontId="3" fillId="0" borderId="0" xfId="1" applyAlignment="1">
      <alignment horizontal="center"/>
    </xf>
    <xf numFmtId="0" fontId="24" fillId="0" borderId="0" xfId="1" applyFont="1" applyAlignment="1">
      <alignment horizontal="center" vertical="center" wrapText="1"/>
    </xf>
    <xf numFmtId="0" fontId="25" fillId="0" borderId="0" xfId="1" applyFont="1" applyAlignment="1">
      <alignment horizontal="center" vertical="center" wrapText="1"/>
    </xf>
    <xf numFmtId="0" fontId="26" fillId="0" borderId="0" xfId="1" applyFont="1" applyAlignment="1">
      <alignment horizontal="left"/>
    </xf>
    <xf numFmtId="0" fontId="27" fillId="0" borderId="0" xfId="1" applyFont="1" applyAlignment="1">
      <alignment horizontal="left" vertical="center"/>
    </xf>
    <xf numFmtId="0" fontId="3" fillId="0" borderId="0" xfId="1" applyAlignment="1">
      <alignment vertical="top"/>
    </xf>
    <xf numFmtId="0" fontId="28" fillId="0" borderId="0" xfId="1" applyFont="1" applyAlignment="1">
      <alignment horizontal="left" vertical="top" wrapText="1"/>
    </xf>
    <xf numFmtId="0" fontId="28" fillId="0" borderId="0" xfId="1" applyFont="1" applyAlignment="1">
      <alignment vertical="top"/>
    </xf>
    <xf numFmtId="0" fontId="28" fillId="0" borderId="0" xfId="1" applyFont="1"/>
    <xf numFmtId="0" fontId="29" fillId="0" borderId="0" xfId="1" applyFont="1"/>
    <xf numFmtId="0" fontId="9" fillId="0" borderId="0" xfId="1" applyFont="1" applyAlignment="1">
      <alignment vertical="center" wrapText="1"/>
    </xf>
    <xf numFmtId="0" fontId="9" fillId="0" borderId="0" xfId="1" applyFont="1" applyAlignment="1">
      <alignment horizontal="center" vertical="center" wrapText="1"/>
    </xf>
    <xf numFmtId="0" fontId="33" fillId="0" borderId="0" xfId="1" applyFont="1"/>
    <xf numFmtId="0" fontId="10" fillId="0" borderId="0" xfId="1" applyFont="1"/>
    <xf numFmtId="0" fontId="34" fillId="0" borderId="0" xfId="1" applyFont="1"/>
    <xf numFmtId="0" fontId="33" fillId="0" borderId="0" xfId="1" applyFont="1" applyAlignment="1">
      <alignment horizontal="right"/>
    </xf>
    <xf numFmtId="0" fontId="33" fillId="0" borderId="0" xfId="1" applyFont="1" applyAlignment="1">
      <alignment horizontal="distributed" vertical="center"/>
    </xf>
    <xf numFmtId="0" fontId="33" fillId="0" borderId="0" xfId="1" applyFont="1" applyAlignment="1">
      <alignment vertical="center"/>
    </xf>
    <xf numFmtId="0" fontId="35" fillId="0" borderId="0" xfId="1" applyFont="1" applyAlignment="1">
      <alignment horizontal="left"/>
    </xf>
    <xf numFmtId="0" fontId="36" fillId="0" borderId="0" xfId="1" applyFont="1" applyAlignment="1">
      <alignment horizontal="center"/>
    </xf>
    <xf numFmtId="0" fontId="28" fillId="0" borderId="0" xfId="1" applyFont="1" applyAlignment="1">
      <alignment vertical="center"/>
    </xf>
    <xf numFmtId="0" fontId="37" fillId="0" borderId="0" xfId="1" applyFont="1" applyAlignment="1">
      <alignment vertical="center"/>
    </xf>
    <xf numFmtId="0" fontId="37" fillId="0" borderId="0" xfId="1" applyFont="1" applyAlignment="1">
      <alignment vertical="center" textRotation="255"/>
    </xf>
    <xf numFmtId="0" fontId="37" fillId="0" borderId="0" xfId="1" applyFont="1" applyAlignment="1">
      <alignment horizontal="center" vertical="center"/>
    </xf>
    <xf numFmtId="0" fontId="34" fillId="0" borderId="0" xfId="1" applyFont="1" applyAlignment="1">
      <alignment vertical="center"/>
    </xf>
    <xf numFmtId="0" fontId="38" fillId="0" borderId="0" xfId="1" applyFont="1" applyAlignment="1">
      <alignment horizontal="right" vertical="center"/>
    </xf>
    <xf numFmtId="0" fontId="39" fillId="0" borderId="0" xfId="1" applyFont="1" applyAlignment="1">
      <alignment vertical="center"/>
    </xf>
    <xf numFmtId="0" fontId="33" fillId="0" borderId="0" xfId="1" applyFont="1" applyAlignment="1">
      <alignment vertical="center" textRotation="255"/>
    </xf>
    <xf numFmtId="0" fontId="33" fillId="0" borderId="0" xfId="1" applyFont="1" applyAlignment="1">
      <alignment horizontal="center" vertical="center"/>
    </xf>
    <xf numFmtId="0" fontId="10" fillId="0" borderId="0" xfId="1" applyFont="1" applyAlignment="1">
      <alignment vertical="center"/>
    </xf>
    <xf numFmtId="0" fontId="34" fillId="0" borderId="0" xfId="1" applyFont="1" applyAlignment="1">
      <alignment horizontal="distributed" vertical="center"/>
    </xf>
    <xf numFmtId="0" fontId="37" fillId="0" borderId="0" xfId="1" applyFont="1" applyAlignment="1">
      <alignment horizontal="distributed" vertical="center"/>
    </xf>
    <xf numFmtId="0" fontId="10" fillId="0" borderId="0" xfId="1" applyFont="1" applyAlignment="1">
      <alignment horizontal="left" vertical="center"/>
    </xf>
    <xf numFmtId="0" fontId="42" fillId="0" borderId="0" xfId="1" applyFont="1" applyAlignment="1">
      <alignment vertical="center"/>
    </xf>
    <xf numFmtId="0" fontId="43" fillId="0" borderId="0" xfId="1" applyFont="1" applyAlignment="1">
      <alignment vertical="center"/>
    </xf>
    <xf numFmtId="0" fontId="9" fillId="0" borderId="38" xfId="1" applyFont="1" applyBorder="1" applyAlignment="1">
      <alignment vertical="center"/>
    </xf>
    <xf numFmtId="0" fontId="3" fillId="0" borderId="39" xfId="1" applyBorder="1" applyAlignment="1">
      <alignment vertical="center"/>
    </xf>
    <xf numFmtId="0" fontId="3" fillId="0" borderId="20" xfId="1" applyBorder="1" applyAlignment="1">
      <alignment vertical="center"/>
    </xf>
    <xf numFmtId="0" fontId="3" fillId="0" borderId="45" xfId="1" applyBorder="1" applyAlignment="1">
      <alignment vertical="center"/>
    </xf>
    <xf numFmtId="0" fontId="3" fillId="0" borderId="0" xfId="1" applyAlignment="1">
      <alignment horizontal="distributed" vertical="center"/>
    </xf>
    <xf numFmtId="0" fontId="26" fillId="0" borderId="0" xfId="1" applyFont="1" applyAlignment="1">
      <alignment horizontal="left" vertical="center" wrapText="1"/>
    </xf>
    <xf numFmtId="0" fontId="46" fillId="0" borderId="0" xfId="1" applyFont="1" applyAlignment="1">
      <alignment horizontal="right" vertical="center"/>
    </xf>
    <xf numFmtId="0" fontId="47" fillId="0" borderId="0" xfId="1" applyFont="1" applyAlignment="1">
      <alignment horizontal="left" vertical="center" wrapText="1"/>
    </xf>
    <xf numFmtId="0" fontId="48" fillId="0" borderId="0" xfId="1" applyFont="1" applyAlignment="1">
      <alignment horizontal="center" vertical="center"/>
    </xf>
    <xf numFmtId="0" fontId="49" fillId="0" borderId="0" xfId="1" applyFont="1" applyAlignment="1">
      <alignment horizontal="center" vertical="center"/>
    </xf>
    <xf numFmtId="0" fontId="31" fillId="0" borderId="0" xfId="1" applyFont="1" applyAlignment="1">
      <alignment horizontal="center" vertical="center" wrapText="1"/>
    </xf>
    <xf numFmtId="0" fontId="48" fillId="0" borderId="0" xfId="1" quotePrefix="1" applyFont="1" applyAlignment="1">
      <alignment horizontal="center" vertical="center"/>
    </xf>
    <xf numFmtId="0" fontId="33" fillId="0" borderId="0" xfId="1" applyFont="1" applyAlignment="1">
      <alignment horizontal="right" vertical="center"/>
    </xf>
    <xf numFmtId="0" fontId="30" fillId="0" borderId="0" xfId="1" applyFont="1" applyProtection="1">
      <protection hidden="1"/>
    </xf>
    <xf numFmtId="0" fontId="49" fillId="0" borderId="0" xfId="1" applyFont="1" applyAlignment="1">
      <alignment vertical="center"/>
    </xf>
    <xf numFmtId="0" fontId="42" fillId="0" borderId="0" xfId="1" applyFont="1"/>
    <xf numFmtId="0" fontId="30" fillId="0" borderId="0" xfId="1" applyFont="1" applyAlignment="1">
      <alignment vertical="center"/>
    </xf>
    <xf numFmtId="0" fontId="50" fillId="0" borderId="0" xfId="1" applyFont="1" applyAlignment="1">
      <alignment vertical="center"/>
    </xf>
    <xf numFmtId="0" fontId="30" fillId="0" borderId="0" xfId="1" applyFont="1" applyAlignment="1" applyProtection="1">
      <alignment vertical="center"/>
      <protection hidden="1"/>
    </xf>
    <xf numFmtId="0" fontId="28" fillId="0" borderId="0" xfId="1" applyFont="1" applyAlignment="1" applyProtection="1">
      <alignment vertical="center"/>
      <protection hidden="1"/>
    </xf>
    <xf numFmtId="0" fontId="30" fillId="0" borderId="0" xfId="1" applyFont="1"/>
    <xf numFmtId="0" fontId="40" fillId="0" borderId="0" xfId="1" applyFont="1"/>
    <xf numFmtId="0" fontId="28" fillId="0" borderId="0" xfId="1" applyFont="1" applyProtection="1">
      <protection hidden="1"/>
    </xf>
    <xf numFmtId="0" fontId="40" fillId="0" borderId="0" xfId="1" applyFont="1" applyProtection="1">
      <protection hidden="1"/>
    </xf>
    <xf numFmtId="0" fontId="28" fillId="0" borderId="0" xfId="1" applyFont="1" applyAlignment="1" applyProtection="1">
      <alignment horizontal="center" vertical="center"/>
      <protection hidden="1"/>
    </xf>
    <xf numFmtId="0" fontId="28" fillId="0" borderId="0" xfId="1" applyFont="1" applyAlignment="1" applyProtection="1">
      <alignment horizontal="center"/>
      <protection hidden="1"/>
    </xf>
    <xf numFmtId="0" fontId="30" fillId="0" borderId="0" xfId="1" applyFont="1" applyAlignment="1" applyProtection="1">
      <alignment horizontal="center" vertical="center"/>
      <protection hidden="1"/>
    </xf>
    <xf numFmtId="0" fontId="30" fillId="0" borderId="0" xfId="1" applyFont="1" applyAlignment="1" applyProtection="1">
      <alignment horizontal="center"/>
      <protection hidden="1"/>
    </xf>
    <xf numFmtId="0" fontId="28" fillId="0" borderId="0" xfId="1" applyFont="1" applyAlignment="1" applyProtection="1">
      <alignment horizontal="center" vertical="center" wrapText="1"/>
      <protection hidden="1"/>
    </xf>
    <xf numFmtId="0" fontId="28" fillId="0" borderId="0" xfId="1" applyFont="1" applyAlignment="1" applyProtection="1">
      <alignment horizontal="left"/>
      <protection hidden="1"/>
    </xf>
    <xf numFmtId="0" fontId="38" fillId="0" borderId="0" xfId="1" applyFont="1" applyAlignment="1">
      <alignment horizontal="right" vertical="top"/>
    </xf>
    <xf numFmtId="0" fontId="52" fillId="5" borderId="0" xfId="1" applyFont="1" applyFill="1"/>
    <xf numFmtId="0" fontId="9" fillId="5" borderId="0" xfId="1" applyFont="1" applyFill="1"/>
    <xf numFmtId="0" fontId="52" fillId="5" borderId="0" xfId="1" applyFont="1" applyFill="1" applyAlignment="1">
      <alignment horizontal="center"/>
    </xf>
    <xf numFmtId="0" fontId="9" fillId="5" borderId="0" xfId="1" applyFont="1" applyFill="1" applyAlignment="1">
      <alignment horizontal="right"/>
    </xf>
    <xf numFmtId="0" fontId="9" fillId="5" borderId="0" xfId="1" applyFont="1" applyFill="1" applyAlignment="1">
      <alignment horizontal="center"/>
    </xf>
    <xf numFmtId="0" fontId="33" fillId="5" borderId="0" xfId="1" applyFont="1" applyFill="1"/>
    <xf numFmtId="0" fontId="3" fillId="5" borderId="0" xfId="1" applyFill="1"/>
    <xf numFmtId="0" fontId="48" fillId="0" borderId="0" xfId="1" applyFont="1"/>
    <xf numFmtId="0" fontId="53" fillId="0" borderId="0" xfId="1" applyFont="1" applyAlignment="1">
      <alignment vertical="center"/>
    </xf>
    <xf numFmtId="0" fontId="54" fillId="0" borderId="0" xfId="1" applyFont="1" applyAlignment="1">
      <alignment vertical="center"/>
    </xf>
    <xf numFmtId="0" fontId="55" fillId="0" borderId="0" xfId="1" applyFont="1" applyAlignment="1">
      <alignment vertical="center"/>
    </xf>
    <xf numFmtId="3" fontId="7" fillId="3" borderId="52" xfId="1" applyNumberFormat="1" applyFont="1" applyFill="1" applyBorder="1" applyAlignment="1" applyProtection="1">
      <alignment vertical="center" shrinkToFit="1"/>
      <protection locked="0"/>
    </xf>
    <xf numFmtId="3" fontId="7" fillId="3" borderId="53" xfId="1" applyNumberFormat="1" applyFont="1" applyFill="1" applyBorder="1" applyAlignment="1" applyProtection="1">
      <alignment vertical="center" shrinkToFit="1"/>
      <protection locked="0"/>
    </xf>
    <xf numFmtId="3" fontId="7" fillId="3" borderId="56" xfId="1" applyNumberFormat="1" applyFont="1" applyFill="1" applyBorder="1" applyAlignment="1" applyProtection="1">
      <alignment vertical="center" shrinkToFit="1"/>
      <protection locked="0"/>
    </xf>
    <xf numFmtId="3" fontId="56" fillId="3" borderId="57" xfId="1" applyNumberFormat="1" applyFont="1" applyFill="1" applyBorder="1" applyAlignment="1" applyProtection="1">
      <alignment vertical="center" shrinkToFit="1"/>
      <protection locked="0"/>
    </xf>
    <xf numFmtId="3" fontId="7" fillId="3" borderId="61" xfId="1" applyNumberFormat="1" applyFont="1" applyFill="1" applyBorder="1" applyAlignment="1" applyProtection="1">
      <alignment vertical="center" shrinkToFit="1"/>
      <protection locked="0"/>
    </xf>
    <xf numFmtId="3" fontId="56" fillId="3" borderId="62" xfId="1" applyNumberFormat="1" applyFont="1" applyFill="1" applyBorder="1" applyAlignment="1" applyProtection="1">
      <alignment vertical="center" shrinkToFit="1"/>
      <protection locked="0"/>
    </xf>
    <xf numFmtId="0" fontId="44" fillId="0" borderId="0" xfId="1" applyFont="1" applyAlignment="1">
      <alignment vertical="center" wrapText="1" justifyLastLine="1"/>
    </xf>
    <xf numFmtId="0" fontId="3" fillId="0" borderId="23" xfId="1" applyBorder="1"/>
    <xf numFmtId="0" fontId="55" fillId="0" borderId="23" xfId="1" applyFont="1" applyBorder="1"/>
    <xf numFmtId="0" fontId="3" fillId="0" borderId="0" xfId="1" applyAlignment="1">
      <alignment horizontal="distributed" vertical="center" justifyLastLine="1"/>
    </xf>
    <xf numFmtId="0" fontId="3" fillId="0" borderId="0" xfId="1" applyAlignment="1">
      <alignment horizontal="right" vertical="center"/>
    </xf>
    <xf numFmtId="3" fontId="7" fillId="3" borderId="69" xfId="1" applyNumberFormat="1" applyFont="1" applyFill="1" applyBorder="1" applyAlignment="1" applyProtection="1">
      <alignment vertical="center" shrinkToFit="1"/>
      <protection locked="0"/>
    </xf>
    <xf numFmtId="3" fontId="7" fillId="3" borderId="70" xfId="1" applyNumberFormat="1" applyFont="1" applyFill="1" applyBorder="1" applyAlignment="1" applyProtection="1">
      <alignment vertical="center" shrinkToFit="1"/>
      <protection locked="0"/>
    </xf>
    <xf numFmtId="0" fontId="9" fillId="0" borderId="38" xfId="1" applyFont="1" applyBorder="1"/>
    <xf numFmtId="0" fontId="9" fillId="0" borderId="26" xfId="1" applyFont="1" applyBorder="1"/>
    <xf numFmtId="3" fontId="7" fillId="3" borderId="57" xfId="1" applyNumberFormat="1" applyFont="1" applyFill="1" applyBorder="1" applyAlignment="1" applyProtection="1">
      <alignment vertical="center" shrinkToFit="1"/>
      <protection locked="0"/>
    </xf>
    <xf numFmtId="3" fontId="7" fillId="3" borderId="62" xfId="1" applyNumberFormat="1" applyFont="1" applyFill="1" applyBorder="1" applyAlignment="1" applyProtection="1">
      <alignment vertical="center" shrinkToFit="1"/>
      <protection locked="0"/>
    </xf>
    <xf numFmtId="0" fontId="53" fillId="0" borderId="0" xfId="1" applyFont="1"/>
    <xf numFmtId="0" fontId="54" fillId="0" borderId="0" xfId="1" applyFont="1"/>
    <xf numFmtId="0" fontId="55" fillId="0" borderId="0" xfId="1" applyFont="1"/>
    <xf numFmtId="0" fontId="58" fillId="3" borderId="75" xfId="1" applyFont="1" applyFill="1" applyBorder="1" applyAlignment="1" applyProtection="1">
      <alignment horizontal="center" vertical="center" shrinkToFit="1"/>
      <protection locked="0"/>
    </xf>
    <xf numFmtId="0" fontId="59" fillId="0" borderId="6" xfId="1" applyFont="1" applyBorder="1" applyAlignment="1">
      <alignment horizontal="center" vertical="center"/>
    </xf>
    <xf numFmtId="0" fontId="8" fillId="0" borderId="6" xfId="1" applyFont="1" applyBorder="1" applyAlignment="1">
      <alignment horizontal="center" vertical="center"/>
    </xf>
    <xf numFmtId="0" fontId="34" fillId="0" borderId="0" xfId="1" applyFont="1" applyAlignment="1">
      <alignment horizontal="left" vertical="center" wrapText="1"/>
    </xf>
    <xf numFmtId="0" fontId="9" fillId="0" borderId="18" xfId="1" applyFont="1" applyBorder="1" applyAlignment="1">
      <alignment horizontal="center" vertical="center"/>
    </xf>
    <xf numFmtId="0" fontId="9" fillId="0" borderId="31" xfId="1" applyFont="1" applyBorder="1" applyAlignment="1">
      <alignment horizontal="center" vertical="center"/>
    </xf>
    <xf numFmtId="0" fontId="9" fillId="0" borderId="79" xfId="1" applyFont="1" applyBorder="1" applyAlignment="1">
      <alignment horizontal="center" vertical="center"/>
    </xf>
    <xf numFmtId="0" fontId="59" fillId="0" borderId="6" xfId="1" applyFont="1" applyBorder="1" applyAlignment="1">
      <alignment horizontal="center" vertical="center" shrinkToFit="1"/>
    </xf>
    <xf numFmtId="3" fontId="56" fillId="3" borderId="80" xfId="1" applyNumberFormat="1" applyFont="1" applyFill="1" applyBorder="1" applyAlignment="1" applyProtection="1">
      <alignment vertical="center" shrinkToFit="1"/>
      <protection locked="0"/>
    </xf>
    <xf numFmtId="3" fontId="7" fillId="3" borderId="81" xfId="1" applyNumberFormat="1" applyFont="1" applyFill="1" applyBorder="1" applyAlignment="1" applyProtection="1">
      <alignment vertical="center" shrinkToFit="1"/>
      <protection locked="0"/>
    </xf>
    <xf numFmtId="3" fontId="7" fillId="3" borderId="82" xfId="1" applyNumberFormat="1" applyFont="1" applyFill="1" applyBorder="1" applyAlignment="1" applyProtection="1">
      <alignment vertical="center" shrinkToFit="1"/>
      <protection locked="0"/>
    </xf>
    <xf numFmtId="180" fontId="8" fillId="0" borderId="6" xfId="2" applyNumberFormat="1" applyFont="1" applyFill="1" applyBorder="1" applyAlignment="1" applyProtection="1">
      <alignment horizontal="right" vertical="center" shrinkToFit="1"/>
    </xf>
    <xf numFmtId="0" fontId="3" fillId="0" borderId="0" xfId="1" applyAlignment="1">
      <alignment horizontal="right"/>
    </xf>
    <xf numFmtId="0" fontId="9" fillId="0" borderId="0" xfId="1" applyFont="1"/>
    <xf numFmtId="0" fontId="9" fillId="0" borderId="0" xfId="1" applyFont="1" applyAlignment="1">
      <alignment vertical="center" justifyLastLine="1"/>
    </xf>
    <xf numFmtId="0" fontId="9" fillId="0" borderId="0" xfId="1" applyFont="1" applyAlignment="1">
      <alignment vertical="center"/>
    </xf>
    <xf numFmtId="0" fontId="9" fillId="0" borderId="0" xfId="1" applyFont="1" applyAlignment="1">
      <alignment horizontal="distributed" vertical="center" justifyLastLine="1"/>
    </xf>
    <xf numFmtId="0" fontId="60" fillId="0" borderId="0" xfId="1" applyFont="1"/>
    <xf numFmtId="0" fontId="60" fillId="0" borderId="0" xfId="1" applyFont="1" applyAlignment="1">
      <alignment horizontal="center"/>
    </xf>
    <xf numFmtId="0" fontId="36" fillId="0" borderId="0" xfId="1" applyFont="1" applyAlignment="1">
      <alignment vertical="top"/>
    </xf>
    <xf numFmtId="0" fontId="59" fillId="0" borderId="0" xfId="1" applyFont="1" applyAlignment="1">
      <alignment vertical="center"/>
    </xf>
    <xf numFmtId="0" fontId="48" fillId="0" borderId="0" xfId="1" applyFont="1" applyAlignment="1">
      <alignment vertical="center"/>
    </xf>
    <xf numFmtId="0" fontId="61" fillId="0" borderId="0" xfId="1" applyFont="1" applyAlignment="1">
      <alignment vertical="center"/>
    </xf>
    <xf numFmtId="0" fontId="62" fillId="0" borderId="0" xfId="1" applyFont="1" applyAlignment="1">
      <alignment horizontal="left"/>
    </xf>
    <xf numFmtId="0" fontId="34" fillId="0" borderId="21" xfId="1" applyFont="1" applyBorder="1"/>
    <xf numFmtId="0" fontId="3" fillId="0" borderId="83" xfId="1" applyBorder="1"/>
    <xf numFmtId="0" fontId="9" fillId="0" borderId="0" xfId="1" applyFont="1" applyAlignment="1">
      <alignment justifyLastLine="1"/>
    </xf>
    <xf numFmtId="0" fontId="9" fillId="0" borderId="87" xfId="1" applyFont="1" applyBorder="1" applyAlignment="1">
      <alignment horizontal="center" vertical="center"/>
    </xf>
    <xf numFmtId="181" fontId="7" fillId="3" borderId="88" xfId="1" applyNumberFormat="1" applyFont="1" applyFill="1" applyBorder="1" applyAlignment="1" applyProtection="1">
      <alignment vertical="center" shrinkToFit="1"/>
      <protection locked="0"/>
    </xf>
    <xf numFmtId="0" fontId="9" fillId="0" borderId="89" xfId="1" applyFont="1" applyBorder="1" applyAlignment="1">
      <alignment horizontal="center" vertical="center"/>
    </xf>
    <xf numFmtId="181" fontId="7" fillId="3" borderId="90" xfId="1" applyNumberFormat="1" applyFont="1" applyFill="1" applyBorder="1" applyAlignment="1" applyProtection="1">
      <alignment vertical="center" shrinkToFit="1"/>
      <protection locked="0"/>
    </xf>
    <xf numFmtId="0" fontId="9" fillId="0" borderId="0" xfId="1" applyFont="1" applyAlignment="1">
      <alignment vertical="distributed"/>
    </xf>
    <xf numFmtId="0" fontId="36" fillId="0" borderId="83" xfId="1" applyFont="1" applyBorder="1"/>
    <xf numFmtId="0" fontId="45" fillId="0" borderId="93" xfId="1" applyFont="1" applyBorder="1" applyAlignment="1">
      <alignment horizontal="center" vertical="center" wrapText="1"/>
    </xf>
    <xf numFmtId="182" fontId="7" fillId="3" borderId="94" xfId="1" applyNumberFormat="1" applyFont="1" applyFill="1" applyBorder="1" applyAlignment="1" applyProtection="1">
      <alignment vertical="center" shrinkToFit="1"/>
      <protection locked="0"/>
    </xf>
    <xf numFmtId="0" fontId="36" fillId="0" borderId="0" xfId="1" applyFont="1"/>
    <xf numFmtId="0" fontId="3" fillId="0" borderId="18" xfId="1" applyBorder="1" applyAlignment="1">
      <alignment horizontal="center"/>
    </xf>
    <xf numFmtId="0" fontId="63" fillId="0" borderId="0" xfId="1" applyFont="1" applyAlignment="1">
      <alignment horizontal="center" vertical="center"/>
    </xf>
    <xf numFmtId="0" fontId="9" fillId="0" borderId="4" xfId="1" applyFont="1" applyBorder="1" applyAlignment="1">
      <alignment horizontal="center" vertical="center"/>
    </xf>
    <xf numFmtId="0" fontId="9" fillId="0" borderId="6" xfId="1" applyFont="1" applyBorder="1" applyAlignment="1">
      <alignment horizontal="center" vertical="center"/>
    </xf>
    <xf numFmtId="49" fontId="9" fillId="3" borderId="52" xfId="1" applyNumberFormat="1" applyFont="1" applyFill="1" applyBorder="1" applyAlignment="1" applyProtection="1">
      <alignment horizontal="center" vertical="center" wrapText="1"/>
      <protection locked="0"/>
    </xf>
    <xf numFmtId="181" fontId="7" fillId="3" borderId="106" xfId="1" applyNumberFormat="1" applyFont="1" applyFill="1" applyBorder="1" applyAlignment="1" applyProtection="1">
      <alignment vertical="center" shrinkToFit="1"/>
      <protection locked="0"/>
    </xf>
    <xf numFmtId="0" fontId="64" fillId="0" borderId="0" xfId="1" applyFont="1"/>
    <xf numFmtId="0" fontId="9" fillId="0" borderId="2" xfId="1" applyFont="1" applyBorder="1" applyAlignment="1">
      <alignment horizontal="center" vertical="center" shrinkToFit="1"/>
    </xf>
    <xf numFmtId="183" fontId="65" fillId="7" borderId="107" xfId="1" applyNumberFormat="1" applyFont="1" applyFill="1" applyBorder="1" applyAlignment="1" applyProtection="1">
      <alignment horizontal="center" vertical="center" shrinkToFit="1"/>
      <protection locked="0"/>
    </xf>
    <xf numFmtId="177" fontId="7" fillId="0" borderId="4" xfId="1" applyNumberFormat="1" applyFont="1" applyBorder="1" applyAlignment="1">
      <alignment horizontal="center" vertical="center" shrinkToFit="1"/>
    </xf>
    <xf numFmtId="184" fontId="7" fillId="0" borderId="4" xfId="1" applyNumberFormat="1" applyFont="1" applyBorder="1" applyAlignment="1">
      <alignment vertical="center" shrinkToFit="1"/>
    </xf>
    <xf numFmtId="49" fontId="9" fillId="3" borderId="109" xfId="1" applyNumberFormat="1" applyFont="1" applyFill="1" applyBorder="1" applyAlignment="1" applyProtection="1">
      <alignment horizontal="center" vertical="center" wrapText="1"/>
      <protection locked="0"/>
    </xf>
    <xf numFmtId="181" fontId="7" fillId="3" borderId="110" xfId="1" applyNumberFormat="1" applyFont="1" applyFill="1" applyBorder="1" applyAlignment="1" applyProtection="1">
      <alignment vertical="center" shrinkToFit="1"/>
      <protection locked="0"/>
    </xf>
    <xf numFmtId="183" fontId="65" fillId="7" borderId="111" xfId="1" applyNumberFormat="1" applyFont="1" applyFill="1" applyBorder="1" applyAlignment="1" applyProtection="1">
      <alignment horizontal="center" vertical="center" shrinkToFit="1"/>
      <protection locked="0"/>
    </xf>
    <xf numFmtId="49" fontId="9" fillId="3" borderId="61" xfId="1" applyNumberFormat="1" applyFont="1" applyFill="1" applyBorder="1" applyAlignment="1" applyProtection="1">
      <alignment horizontal="center" vertical="center" wrapText="1"/>
      <protection locked="0"/>
    </xf>
    <xf numFmtId="181" fontId="7" fillId="3" borderId="113" xfId="1" applyNumberFormat="1" applyFont="1" applyFill="1" applyBorder="1" applyAlignment="1" applyProtection="1">
      <alignment vertical="center" shrinkToFit="1"/>
      <protection locked="0"/>
    </xf>
    <xf numFmtId="183" fontId="65" fillId="7" borderId="114" xfId="1" applyNumberFormat="1" applyFont="1" applyFill="1" applyBorder="1" applyAlignment="1" applyProtection="1">
      <alignment horizontal="center" vertical="center" shrinkToFit="1"/>
      <protection locked="0"/>
    </xf>
    <xf numFmtId="0" fontId="64" fillId="0" borderId="0" xfId="1" applyFont="1" applyAlignment="1">
      <alignment vertical="center"/>
    </xf>
    <xf numFmtId="0" fontId="66" fillId="0" borderId="0" xfId="1" applyFont="1"/>
    <xf numFmtId="0" fontId="36" fillId="0" borderId="0" xfId="1" applyFont="1" applyAlignment="1">
      <alignment vertical="center"/>
    </xf>
    <xf numFmtId="3" fontId="7" fillId="3" borderId="116" xfId="1" applyNumberFormat="1" applyFont="1" applyFill="1" applyBorder="1" applyAlignment="1" applyProtection="1">
      <alignment vertical="center" shrinkToFit="1"/>
      <protection locked="0"/>
    </xf>
    <xf numFmtId="3" fontId="7" fillId="3" borderId="117" xfId="1" applyNumberFormat="1" applyFont="1" applyFill="1" applyBorder="1" applyAlignment="1" applyProtection="1">
      <alignment vertical="center" shrinkToFit="1"/>
      <protection locked="0"/>
    </xf>
    <xf numFmtId="3" fontId="56" fillId="3" borderId="119" xfId="1" applyNumberFormat="1" applyFont="1" applyFill="1" applyBorder="1" applyAlignment="1" applyProtection="1">
      <alignment vertical="center" shrinkToFit="1"/>
      <protection locked="0"/>
    </xf>
    <xf numFmtId="3" fontId="56" fillId="3" borderId="122" xfId="1" applyNumberFormat="1" applyFont="1" applyFill="1" applyBorder="1" applyAlignment="1" applyProtection="1">
      <alignment vertical="center" shrinkToFit="1"/>
      <protection locked="0"/>
    </xf>
    <xf numFmtId="3" fontId="7" fillId="0" borderId="29" xfId="1" applyNumberFormat="1" applyFont="1" applyBorder="1" applyAlignment="1" applyProtection="1">
      <alignment vertical="center" shrinkToFit="1"/>
      <protection locked="0"/>
    </xf>
    <xf numFmtId="3" fontId="7" fillId="0" borderId="125" xfId="1" applyNumberFormat="1" applyFont="1" applyBorder="1" applyAlignment="1" applyProtection="1">
      <alignment vertical="center" shrinkToFit="1"/>
      <protection locked="0"/>
    </xf>
    <xf numFmtId="3" fontId="7" fillId="0" borderId="4" xfId="1" applyNumberFormat="1" applyFont="1" applyBorder="1" applyAlignment="1" applyProtection="1">
      <alignment vertical="center" shrinkToFit="1"/>
      <protection locked="0"/>
    </xf>
    <xf numFmtId="3" fontId="7" fillId="0" borderId="120" xfId="1" applyNumberFormat="1" applyFont="1" applyBorder="1" applyAlignment="1" applyProtection="1">
      <alignment vertical="center" shrinkToFit="1"/>
      <protection locked="0"/>
    </xf>
    <xf numFmtId="3" fontId="7" fillId="0" borderId="126" xfId="1" applyNumberFormat="1" applyFont="1" applyBorder="1" applyAlignment="1" applyProtection="1">
      <alignment vertical="center" shrinkToFit="1"/>
      <protection locked="0"/>
    </xf>
    <xf numFmtId="3" fontId="7" fillId="0" borderId="101" xfId="1" applyNumberFormat="1" applyFont="1" applyBorder="1" applyAlignment="1" applyProtection="1">
      <alignment vertical="center" shrinkToFit="1"/>
      <protection locked="0"/>
    </xf>
    <xf numFmtId="0" fontId="25" fillId="0" borderId="0" xfId="1" applyFont="1" applyAlignment="1">
      <alignment horizontal="distributed" vertical="center"/>
    </xf>
    <xf numFmtId="0" fontId="64" fillId="0" borderId="0" xfId="1" applyFont="1" applyAlignment="1">
      <alignment horizontal="center" vertical="center"/>
    </xf>
    <xf numFmtId="0" fontId="24" fillId="0" borderId="0" xfId="1" applyFont="1" applyAlignment="1">
      <alignment horizontal="left" vertical="center" wrapText="1"/>
    </xf>
    <xf numFmtId="0" fontId="68" fillId="0" borderId="0" xfId="1" applyFont="1" applyAlignment="1">
      <alignment vertical="center"/>
    </xf>
    <xf numFmtId="0" fontId="9" fillId="0" borderId="0" xfId="1" applyFont="1" applyAlignment="1">
      <alignment horizontal="left"/>
    </xf>
    <xf numFmtId="0" fontId="3" fillId="0" borderId="0" xfId="1" applyAlignment="1">
      <alignment horizontal="left"/>
    </xf>
    <xf numFmtId="0" fontId="68" fillId="0" borderId="0" xfId="1" applyFont="1"/>
    <xf numFmtId="0" fontId="69" fillId="0" borderId="0" xfId="1" applyFont="1"/>
    <xf numFmtId="0" fontId="59" fillId="0" borderId="0" xfId="1" applyFont="1"/>
    <xf numFmtId="0" fontId="60" fillId="0" borderId="0" xfId="1" applyFont="1" applyAlignment="1">
      <alignment vertical="center" wrapText="1"/>
    </xf>
    <xf numFmtId="0" fontId="46" fillId="0" borderId="0" xfId="1" applyFont="1" applyAlignment="1">
      <alignment horizontal="left" vertical="center" wrapText="1"/>
    </xf>
    <xf numFmtId="0" fontId="46" fillId="0" borderId="0" xfId="1" applyFont="1" applyAlignment="1">
      <alignment vertical="top"/>
    </xf>
    <xf numFmtId="0" fontId="46" fillId="0" borderId="0" xfId="1" applyFont="1" applyAlignment="1">
      <alignment horizontal="right" vertical="top" wrapText="1"/>
    </xf>
    <xf numFmtId="0" fontId="46" fillId="0" borderId="0" xfId="1" applyFont="1" applyAlignment="1">
      <alignment horizontal="right" vertical="top"/>
    </xf>
    <xf numFmtId="0" fontId="46" fillId="0" borderId="0" xfId="1" applyFont="1" applyAlignment="1">
      <alignment horizontal="center" vertical="top"/>
    </xf>
    <xf numFmtId="0" fontId="46" fillId="0" borderId="0" xfId="1" applyFont="1" applyAlignment="1">
      <alignment horizontal="center" vertical="center"/>
    </xf>
    <xf numFmtId="3" fontId="7" fillId="6" borderId="128" xfId="1" applyNumberFormat="1" applyFont="1" applyFill="1" applyBorder="1" applyAlignment="1" applyProtection="1">
      <alignment horizontal="right" vertical="center" shrinkToFit="1"/>
      <protection locked="0"/>
    </xf>
    <xf numFmtId="3" fontId="7" fillId="6" borderId="129" xfId="1" applyNumberFormat="1" applyFont="1" applyFill="1" applyBorder="1" applyAlignment="1" applyProtection="1">
      <alignment horizontal="right" vertical="center" shrinkToFit="1"/>
      <protection locked="0"/>
    </xf>
    <xf numFmtId="0" fontId="64" fillId="0" borderId="130" xfId="1" applyFont="1" applyBorder="1" applyAlignment="1">
      <alignment horizontal="center" vertical="center"/>
    </xf>
    <xf numFmtId="0" fontId="65" fillId="0" borderId="6" xfId="1" applyFont="1" applyBorder="1" applyAlignment="1">
      <alignment horizontal="center" vertical="center"/>
    </xf>
    <xf numFmtId="0" fontId="65" fillId="0" borderId="6" xfId="1" applyFont="1" applyBorder="1" applyAlignment="1">
      <alignment horizontal="center" vertical="center" shrinkToFit="1"/>
    </xf>
    <xf numFmtId="0" fontId="9" fillId="0" borderId="0" xfId="1" applyFont="1" applyAlignment="1">
      <alignment horizontal="left" vertical="center" wrapText="1"/>
    </xf>
    <xf numFmtId="0" fontId="9" fillId="0" borderId="0" xfId="1" applyFont="1" applyAlignment="1">
      <alignment horizontal="center" vertical="center"/>
    </xf>
    <xf numFmtId="49" fontId="9" fillId="4" borderId="16" xfId="1" applyNumberFormat="1" applyFont="1" applyFill="1" applyBorder="1" applyAlignment="1" applyProtection="1">
      <alignment horizontal="center" vertical="center" wrapText="1"/>
      <protection locked="0"/>
    </xf>
    <xf numFmtId="3" fontId="7" fillId="4" borderId="129" xfId="1" applyNumberFormat="1" applyFont="1" applyFill="1" applyBorder="1" applyAlignment="1" applyProtection="1">
      <alignment horizontal="right" vertical="center" shrinkToFit="1"/>
      <protection locked="0"/>
    </xf>
    <xf numFmtId="3" fontId="7" fillId="4" borderId="131" xfId="1" applyNumberFormat="1" applyFont="1" applyFill="1" applyBorder="1" applyAlignment="1" applyProtection="1">
      <alignment horizontal="right" vertical="center" shrinkToFit="1"/>
      <protection locked="0"/>
    </xf>
    <xf numFmtId="0" fontId="9" fillId="0" borderId="0" xfId="1" applyFont="1" applyAlignment="1">
      <alignment vertical="center" shrinkToFit="1"/>
    </xf>
    <xf numFmtId="180" fontId="7" fillId="0" borderId="6" xfId="1" applyNumberFormat="1" applyFont="1" applyBorder="1" applyAlignment="1">
      <alignment horizontal="right" vertical="center" shrinkToFit="1"/>
    </xf>
    <xf numFmtId="185" fontId="7" fillId="0" borderId="6" xfId="2" applyNumberFormat="1" applyFont="1" applyFill="1" applyBorder="1" applyAlignment="1" applyProtection="1">
      <alignment horizontal="right" vertical="center" shrinkToFit="1"/>
    </xf>
    <xf numFmtId="3" fontId="7" fillId="4" borderId="2" xfId="1" applyNumberFormat="1" applyFont="1" applyFill="1" applyBorder="1" applyAlignment="1" applyProtection="1">
      <alignment horizontal="right" vertical="center" shrinkToFit="1"/>
      <protection locked="0"/>
    </xf>
    <xf numFmtId="3" fontId="7" fillId="4" borderId="120" xfId="1" applyNumberFormat="1" applyFont="1" applyFill="1" applyBorder="1" applyAlignment="1" applyProtection="1">
      <alignment horizontal="right" vertical="center" shrinkToFit="1"/>
      <protection locked="0"/>
    </xf>
    <xf numFmtId="0" fontId="44" fillId="0" borderId="0" xfId="1" applyFont="1" applyAlignment="1">
      <alignment vertical="center"/>
    </xf>
    <xf numFmtId="0" fontId="45" fillId="0" borderId="0" xfId="1" applyFont="1" applyAlignment="1">
      <alignment horizontal="left" vertical="center" wrapText="1"/>
    </xf>
    <xf numFmtId="0" fontId="6" fillId="0" borderId="0" xfId="1" applyFont="1" applyAlignment="1">
      <alignment horizontal="center" vertical="top"/>
    </xf>
    <xf numFmtId="180" fontId="7" fillId="0" borderId="23" xfId="1" applyNumberFormat="1" applyFont="1" applyBorder="1" applyAlignment="1">
      <alignment horizontal="right" vertical="center" shrinkToFit="1"/>
    </xf>
    <xf numFmtId="185" fontId="7" fillId="0" borderId="23" xfId="2" applyNumberFormat="1" applyFont="1" applyFill="1" applyBorder="1" applyAlignment="1" applyProtection="1">
      <alignment horizontal="right" vertical="center" shrinkToFit="1"/>
    </xf>
    <xf numFmtId="180" fontId="7" fillId="0" borderId="24" xfId="1" applyNumberFormat="1" applyFont="1" applyBorder="1" applyAlignment="1">
      <alignment horizontal="right" vertical="center" shrinkToFit="1"/>
    </xf>
    <xf numFmtId="180" fontId="7" fillId="0" borderId="0" xfId="1" applyNumberFormat="1" applyFont="1" applyAlignment="1">
      <alignment horizontal="right" vertical="center" shrinkToFit="1"/>
    </xf>
    <xf numFmtId="185" fontId="7" fillId="0" borderId="0" xfId="2" applyNumberFormat="1" applyFont="1" applyFill="1" applyBorder="1" applyAlignment="1" applyProtection="1">
      <alignment horizontal="right" vertical="center" shrinkToFit="1"/>
    </xf>
    <xf numFmtId="180" fontId="7" fillId="0" borderId="26" xfId="1" applyNumberFormat="1" applyFont="1" applyBorder="1" applyAlignment="1">
      <alignment horizontal="right" vertical="center" shrinkToFit="1"/>
    </xf>
    <xf numFmtId="3" fontId="7" fillId="4" borderId="127" xfId="1" applyNumberFormat="1" applyFont="1" applyFill="1" applyBorder="1" applyAlignment="1" applyProtection="1">
      <alignment horizontal="right" vertical="center" shrinkToFit="1"/>
      <protection locked="0"/>
    </xf>
    <xf numFmtId="180" fontId="7" fillId="0" borderId="28" xfId="1" applyNumberFormat="1" applyFont="1" applyBorder="1" applyAlignment="1">
      <alignment horizontal="right" vertical="center" shrinkToFit="1"/>
    </xf>
    <xf numFmtId="185" fontId="7" fillId="0" borderId="28" xfId="2" applyNumberFormat="1" applyFont="1" applyFill="1" applyBorder="1" applyAlignment="1" applyProtection="1">
      <alignment horizontal="right" vertical="center" shrinkToFit="1"/>
    </xf>
    <xf numFmtId="180" fontId="7" fillId="0" borderId="29" xfId="1" applyNumberFormat="1" applyFont="1" applyBorder="1" applyAlignment="1">
      <alignment horizontal="right" vertical="center" shrinkToFit="1"/>
    </xf>
    <xf numFmtId="0" fontId="9" fillId="0" borderId="26" xfId="1" applyFont="1" applyBorder="1" applyAlignment="1">
      <alignment vertical="distributed"/>
    </xf>
    <xf numFmtId="0" fontId="65" fillId="0" borderId="1" xfId="1" applyFont="1" applyBorder="1" applyAlignment="1">
      <alignment horizontal="center" vertical="center" shrinkToFit="1"/>
    </xf>
    <xf numFmtId="186" fontId="7" fillId="0" borderId="2" xfId="1" applyNumberFormat="1" applyFont="1" applyBorder="1" applyAlignment="1">
      <alignment horizontal="right" vertical="center" shrinkToFit="1"/>
    </xf>
    <xf numFmtId="4" fontId="7" fillId="7" borderId="13" xfId="1" applyNumberFormat="1" applyFont="1" applyFill="1" applyBorder="1" applyAlignment="1" applyProtection="1">
      <alignment horizontal="right" vertical="center" shrinkToFit="1"/>
      <protection locked="0"/>
    </xf>
    <xf numFmtId="186" fontId="7" fillId="0" borderId="4" xfId="1" applyNumberFormat="1" applyFont="1" applyBorder="1" applyAlignment="1">
      <alignment horizontal="right" vertical="center" shrinkToFit="1"/>
    </xf>
    <xf numFmtId="0" fontId="9" fillId="0" borderId="25" xfId="1" applyFont="1" applyBorder="1" applyAlignment="1">
      <alignment vertical="distributed"/>
    </xf>
    <xf numFmtId="4" fontId="7" fillId="7" borderId="14" xfId="1" applyNumberFormat="1" applyFont="1" applyFill="1" applyBorder="1" applyAlignment="1" applyProtection="1">
      <alignment horizontal="right" vertical="center" shrinkToFit="1"/>
      <protection locked="0"/>
    </xf>
    <xf numFmtId="0" fontId="36" fillId="0" borderId="38" xfId="1" applyFont="1" applyBorder="1" applyAlignment="1">
      <alignment horizontal="left" vertical="center" wrapText="1"/>
    </xf>
    <xf numFmtId="0" fontId="36" fillId="0" borderId="0" xfId="1" applyFont="1" applyAlignment="1">
      <alignment horizontal="left" vertical="center" wrapText="1"/>
    </xf>
    <xf numFmtId="3" fontId="7" fillId="4" borderId="125" xfId="1" applyNumberFormat="1" applyFont="1" applyFill="1" applyBorder="1" applyAlignment="1" applyProtection="1">
      <alignment horizontal="right" vertical="center" shrinkToFit="1"/>
      <protection locked="0"/>
    </xf>
    <xf numFmtId="186" fontId="7" fillId="0" borderId="23" xfId="1" applyNumberFormat="1" applyFont="1" applyBorder="1" applyAlignment="1">
      <alignment horizontal="right" vertical="center" shrinkToFit="1"/>
    </xf>
    <xf numFmtId="180" fontId="7" fillId="0" borderId="23" xfId="2" applyNumberFormat="1" applyFont="1" applyFill="1" applyBorder="1" applyAlignment="1" applyProtection="1">
      <alignment horizontal="right" vertical="center" shrinkToFit="1"/>
    </xf>
    <xf numFmtId="186" fontId="7" fillId="0" borderId="24" xfId="1" applyNumberFormat="1" applyFont="1" applyBorder="1" applyAlignment="1">
      <alignment horizontal="right" vertical="center" shrinkToFit="1"/>
    </xf>
    <xf numFmtId="186" fontId="7" fillId="0" borderId="0" xfId="1" applyNumberFormat="1" applyFont="1" applyAlignment="1">
      <alignment horizontal="right" vertical="center" shrinkToFit="1"/>
    </xf>
    <xf numFmtId="180" fontId="7" fillId="0" borderId="0" xfId="2" applyNumberFormat="1" applyFont="1" applyFill="1" applyBorder="1" applyAlignment="1" applyProtection="1">
      <alignment horizontal="right" vertical="center" shrinkToFit="1"/>
    </xf>
    <xf numFmtId="186" fontId="7" fillId="0" borderId="26" xfId="1" applyNumberFormat="1" applyFont="1" applyBorder="1" applyAlignment="1">
      <alignment horizontal="right" vertical="center" shrinkToFit="1"/>
    </xf>
    <xf numFmtId="186" fontId="7" fillId="0" borderId="28" xfId="1" applyNumberFormat="1" applyFont="1" applyBorder="1" applyAlignment="1">
      <alignment horizontal="right" vertical="center" shrinkToFit="1"/>
    </xf>
    <xf numFmtId="180" fontId="7" fillId="0" borderId="28" xfId="2" applyNumberFormat="1" applyFont="1" applyFill="1" applyBorder="1" applyAlignment="1" applyProtection="1">
      <alignment horizontal="right" vertical="center" shrinkToFit="1"/>
    </xf>
    <xf numFmtId="186" fontId="7" fillId="0" borderId="29" xfId="1" applyNumberFormat="1" applyFont="1" applyBorder="1" applyAlignment="1">
      <alignment horizontal="right" vertical="center" shrinkToFit="1"/>
    </xf>
    <xf numFmtId="4" fontId="7" fillId="7" borderId="15" xfId="1" applyNumberFormat="1" applyFont="1" applyFill="1" applyBorder="1" applyAlignment="1" applyProtection="1">
      <alignment horizontal="right" vertical="center" shrinkToFit="1"/>
      <protection locked="0"/>
    </xf>
    <xf numFmtId="185" fontId="7" fillId="0" borderId="105" xfId="2" applyNumberFormat="1" applyFont="1" applyFill="1" applyBorder="1" applyAlignment="1" applyProtection="1">
      <alignment horizontal="right" vertical="center" shrinkToFit="1"/>
    </xf>
    <xf numFmtId="0" fontId="6" fillId="0" borderId="0" xfId="1" applyFont="1" applyAlignment="1">
      <alignment horizontal="center" vertical="center"/>
    </xf>
    <xf numFmtId="186" fontId="3" fillId="0" borderId="0" xfId="1" applyNumberFormat="1"/>
    <xf numFmtId="180" fontId="7" fillId="0" borderId="0" xfId="1" applyNumberFormat="1" applyFont="1" applyAlignment="1">
      <alignment horizontal="right" vertical="center"/>
    </xf>
    <xf numFmtId="180" fontId="7" fillId="0" borderId="0" xfId="2" applyNumberFormat="1" applyFont="1" applyFill="1" applyBorder="1" applyAlignment="1" applyProtection="1">
      <alignment horizontal="right" vertical="center"/>
    </xf>
    <xf numFmtId="0" fontId="6" fillId="0" borderId="0" xfId="1" applyFont="1" applyAlignment="1">
      <alignment vertical="top"/>
    </xf>
    <xf numFmtId="3" fontId="7" fillId="6" borderId="133" xfId="1" applyNumberFormat="1" applyFont="1" applyFill="1" applyBorder="1" applyAlignment="1" applyProtection="1">
      <alignment horizontal="right" vertical="center" shrinkToFit="1"/>
      <protection locked="0"/>
    </xf>
    <xf numFmtId="3" fontId="7" fillId="6" borderId="137" xfId="1" applyNumberFormat="1" applyFont="1" applyFill="1" applyBorder="1" applyAlignment="1" applyProtection="1">
      <alignment horizontal="right" vertical="center" shrinkToFit="1"/>
      <protection locked="0"/>
    </xf>
    <xf numFmtId="0" fontId="64" fillId="0" borderId="0" xfId="1" applyFont="1" applyAlignment="1">
      <alignment horizontal="left"/>
    </xf>
    <xf numFmtId="0" fontId="69" fillId="0" borderId="0" xfId="1" applyFont="1" applyAlignment="1">
      <alignment horizontal="distributed" vertical="center"/>
    </xf>
    <xf numFmtId="0" fontId="71" fillId="0" borderId="0" xfId="1" applyFont="1" applyAlignment="1">
      <alignment horizontal="right" vertical="top"/>
    </xf>
    <xf numFmtId="0" fontId="72" fillId="0" borderId="0" xfId="1" applyFont="1" applyAlignment="1">
      <alignment vertical="top"/>
    </xf>
    <xf numFmtId="185" fontId="7" fillId="0" borderId="1" xfId="2" applyNumberFormat="1" applyFont="1" applyFill="1" applyBorder="1" applyAlignment="1" applyProtection="1">
      <alignment horizontal="right" vertical="center" shrinkToFit="1"/>
    </xf>
    <xf numFmtId="0" fontId="3" fillId="0" borderId="0" xfId="1" applyAlignment="1">
      <alignment horizontal="left" vertical="center" wrapText="1"/>
    </xf>
    <xf numFmtId="0" fontId="26" fillId="0" borderId="0" xfId="1" applyFont="1" applyAlignment="1">
      <alignment horizontal="left" vertical="center"/>
    </xf>
    <xf numFmtId="0" fontId="3" fillId="0" borderId="0" xfId="1" applyAlignment="1">
      <alignment horizontal="left" vertical="center"/>
    </xf>
    <xf numFmtId="0" fontId="46" fillId="0" borderId="142" xfId="1" applyFont="1" applyBorder="1" applyAlignment="1">
      <alignment vertical="top"/>
    </xf>
    <xf numFmtId="180" fontId="7" fillId="0" borderId="2" xfId="1" applyNumberFormat="1" applyFont="1" applyBorder="1" applyAlignment="1">
      <alignment horizontal="right" vertical="center" shrinkToFit="1"/>
    </xf>
    <xf numFmtId="185" fontId="7" fillId="7" borderId="9" xfId="2" applyNumberFormat="1" applyFont="1" applyFill="1" applyBorder="1" applyAlignment="1" applyProtection="1">
      <alignment horizontal="right" vertical="center" shrinkToFit="1"/>
      <protection locked="0"/>
    </xf>
    <xf numFmtId="0" fontId="25" fillId="0" borderId="143" xfId="1" applyFont="1" applyBorder="1" applyAlignment="1">
      <alignment horizontal="distributed" vertical="center"/>
    </xf>
    <xf numFmtId="0" fontId="25" fillId="0" borderId="144" xfId="1" applyFont="1" applyBorder="1" applyAlignment="1">
      <alignment horizontal="distributed" vertical="center"/>
    </xf>
    <xf numFmtId="0" fontId="3" fillId="0" borderId="145" xfId="1" applyBorder="1" applyAlignment="1">
      <alignment horizontal="center" vertical="center"/>
    </xf>
    <xf numFmtId="0" fontId="55" fillId="0" borderId="146" xfId="1" applyFont="1" applyBorder="1"/>
    <xf numFmtId="0" fontId="3" fillId="0" borderId="147" xfId="1" applyBorder="1"/>
    <xf numFmtId="0" fontId="34" fillId="0" borderId="146" xfId="1" applyFont="1" applyBorder="1"/>
    <xf numFmtId="0" fontId="33" fillId="0" borderId="146" xfId="1" applyFont="1" applyBorder="1" applyAlignment="1">
      <alignment vertical="center"/>
    </xf>
    <xf numFmtId="0" fontId="9" fillId="4" borderId="0" xfId="1" applyFont="1" applyFill="1" applyAlignment="1" applyProtection="1">
      <alignment horizontal="left" vertical="top" wrapText="1"/>
      <protection locked="0"/>
    </xf>
    <xf numFmtId="0" fontId="3" fillId="0" borderId="147" xfId="1" applyBorder="1" applyAlignment="1">
      <alignment horizontal="left"/>
    </xf>
    <xf numFmtId="0" fontId="9" fillId="0" borderId="146" xfId="1" applyFont="1" applyBorder="1" applyAlignment="1">
      <alignment vertical="center" justifyLastLine="1"/>
    </xf>
    <xf numFmtId="0" fontId="9" fillId="0" borderId="0" xfId="1" applyFont="1" applyAlignment="1">
      <alignment vertical="center" textRotation="255"/>
    </xf>
    <xf numFmtId="0" fontId="9" fillId="0" borderId="147" xfId="1" applyFont="1" applyBorder="1" applyAlignment="1">
      <alignment vertical="center"/>
    </xf>
    <xf numFmtId="0" fontId="24" fillId="0" borderId="0" xfId="1" applyFont="1" applyAlignment="1">
      <alignment horizontal="center" vertical="center"/>
    </xf>
    <xf numFmtId="0" fontId="9" fillId="0" borderId="146" xfId="1" applyFont="1" applyBorder="1" applyAlignment="1">
      <alignment vertical="distributed" textRotation="255" wrapText="1" justifyLastLine="1"/>
    </xf>
    <xf numFmtId="0" fontId="9" fillId="0" borderId="0" xfId="1" applyFont="1" applyAlignment="1">
      <alignment vertical="distributed" textRotation="255" justifyLastLine="1"/>
    </xf>
    <xf numFmtId="0" fontId="9" fillId="0" borderId="0" xfId="1" applyFont="1" applyAlignment="1">
      <alignment horizontal="left" vertical="center"/>
    </xf>
    <xf numFmtId="0" fontId="46" fillId="0" borderId="147" xfId="1" applyFont="1" applyBorder="1" applyAlignment="1">
      <alignment horizontal="right" vertical="top" wrapText="1"/>
    </xf>
    <xf numFmtId="0" fontId="24" fillId="0" borderId="0" xfId="1" applyFont="1" applyAlignment="1">
      <alignment horizontal="left" vertical="center"/>
    </xf>
    <xf numFmtId="0" fontId="9" fillId="0" borderId="146" xfId="1" applyFont="1" applyBorder="1" applyAlignment="1">
      <alignment vertical="distributed" textRotation="255" justifyLastLine="1"/>
    </xf>
    <xf numFmtId="0" fontId="3" fillId="0" borderId="147" xfId="1" applyBorder="1" applyAlignment="1">
      <alignment horizontal="center" vertical="center"/>
    </xf>
    <xf numFmtId="49" fontId="9" fillId="0" borderId="0" xfId="1" applyNumberFormat="1" applyFont="1" applyAlignment="1">
      <alignment horizontal="left" vertical="center"/>
    </xf>
    <xf numFmtId="0" fontId="64" fillId="0" borderId="0" xfId="1" applyFont="1" applyAlignment="1">
      <alignment horizontal="left" vertical="center"/>
    </xf>
    <xf numFmtId="0" fontId="73" fillId="0" borderId="0" xfId="1" applyFont="1" applyAlignment="1">
      <alignment horizontal="left" vertical="center"/>
    </xf>
    <xf numFmtId="0" fontId="44" fillId="0" borderId="0" xfId="1" applyFont="1" applyAlignment="1">
      <alignment horizontal="center" vertical="center"/>
    </xf>
    <xf numFmtId="0" fontId="6" fillId="0" borderId="147" xfId="1" applyFont="1" applyBorder="1" applyAlignment="1">
      <alignment horizontal="center" vertical="top"/>
    </xf>
    <xf numFmtId="0" fontId="6" fillId="0" borderId="147" xfId="1" applyFont="1" applyBorder="1" applyAlignment="1">
      <alignment vertical="top"/>
    </xf>
    <xf numFmtId="49" fontId="9" fillId="0" borderId="0" xfId="1" applyNumberFormat="1" applyFont="1" applyAlignment="1">
      <alignment horizontal="left"/>
    </xf>
    <xf numFmtId="0" fontId="3" fillId="0" borderId="146" xfId="1" applyBorder="1"/>
    <xf numFmtId="0" fontId="3" fillId="0" borderId="144" xfId="1" applyBorder="1"/>
    <xf numFmtId="0" fontId="9" fillId="0" borderId="144" xfId="1" applyFont="1" applyBorder="1"/>
    <xf numFmtId="0" fontId="3" fillId="0" borderId="148" xfId="1" applyBorder="1"/>
    <xf numFmtId="0" fontId="9" fillId="0" borderId="149" xfId="1" applyFont="1" applyBorder="1"/>
    <xf numFmtId="0" fontId="3" fillId="0" borderId="150" xfId="1" applyBorder="1"/>
    <xf numFmtId="0" fontId="3" fillId="0" borderId="151" xfId="1" applyBorder="1"/>
    <xf numFmtId="0" fontId="3" fillId="0" borderId="152" xfId="1" applyBorder="1"/>
    <xf numFmtId="0" fontId="3" fillId="0" borderId="153" xfId="1" applyBorder="1"/>
    <xf numFmtId="0" fontId="9" fillId="0" borderId="154" xfId="1" applyFont="1" applyBorder="1" applyAlignment="1">
      <alignment vertical="top" wrapText="1"/>
    </xf>
    <xf numFmtId="0" fontId="3" fillId="0" borderId="155" xfId="1" applyBorder="1"/>
    <xf numFmtId="0" fontId="57" fillId="0" borderId="0" xfId="1" applyFont="1" applyAlignment="1">
      <alignment vertical="center"/>
    </xf>
    <xf numFmtId="0" fontId="3" fillId="0" borderId="0" xfId="1" applyAlignment="1">
      <alignment horizontal="center" vertical="distributed" textRotation="255"/>
    </xf>
    <xf numFmtId="0" fontId="65" fillId="0" borderId="0" xfId="1" applyFont="1" applyAlignment="1">
      <alignment vertical="center"/>
    </xf>
    <xf numFmtId="0" fontId="74" fillId="0" borderId="0" xfId="1" applyFont="1" applyAlignment="1">
      <alignment vertical="center"/>
    </xf>
    <xf numFmtId="0" fontId="45" fillId="0" borderId="0" xfId="1" applyFont="1" applyAlignment="1">
      <alignment horizontal="left" vertical="center"/>
    </xf>
    <xf numFmtId="0" fontId="43" fillId="0" borderId="0" xfId="1" applyFont="1"/>
    <xf numFmtId="0" fontId="9" fillId="0" borderId="18" xfId="1" applyFont="1" applyBorder="1" applyAlignment="1">
      <alignment horizontal="distributed" vertical="center" justifyLastLine="1"/>
    </xf>
    <xf numFmtId="0" fontId="9" fillId="0" borderId="18" xfId="1" applyFont="1" applyBorder="1" applyAlignment="1">
      <alignment horizontal="center" vertical="center" justifyLastLine="1"/>
    </xf>
    <xf numFmtId="3" fontId="7" fillId="0" borderId="159" xfId="1" applyNumberFormat="1" applyFont="1" applyBorder="1" applyAlignment="1">
      <alignment horizontal="right" vertical="center" shrinkToFit="1"/>
    </xf>
    <xf numFmtId="49" fontId="9" fillId="0" borderId="160" xfId="1" applyNumberFormat="1" applyFont="1" applyBorder="1" applyAlignment="1">
      <alignment horizontal="center" vertical="center" shrinkToFit="1"/>
    </xf>
    <xf numFmtId="3" fontId="7" fillId="3" borderId="161" xfId="1" applyNumberFormat="1" applyFont="1" applyFill="1" applyBorder="1" applyAlignment="1" applyProtection="1">
      <alignment horizontal="right" vertical="center" shrinkToFit="1"/>
      <protection locked="0"/>
    </xf>
    <xf numFmtId="0" fontId="64" fillId="0" borderId="162" xfId="1" applyFont="1" applyBorder="1" applyAlignment="1">
      <alignment horizontal="center" vertical="center"/>
    </xf>
    <xf numFmtId="49" fontId="9" fillId="4" borderId="165" xfId="1" applyNumberFormat="1" applyFont="1" applyFill="1" applyBorder="1" applyAlignment="1" applyProtection="1">
      <alignment horizontal="center" vertical="center" wrapText="1"/>
      <protection locked="0"/>
    </xf>
    <xf numFmtId="3" fontId="7" fillId="4" borderId="38" xfId="1" applyNumberFormat="1" applyFont="1" applyFill="1" applyBorder="1" applyAlignment="1" applyProtection="1">
      <alignment horizontal="right" vertical="center" shrinkToFit="1"/>
      <protection locked="0"/>
    </xf>
    <xf numFmtId="49" fontId="9" fillId="4" borderId="166" xfId="1" applyNumberFormat="1" applyFont="1" applyFill="1" applyBorder="1" applyAlignment="1" applyProtection="1">
      <alignment horizontal="center" vertical="center" shrinkToFit="1"/>
      <protection locked="0"/>
    </xf>
    <xf numFmtId="3" fontId="7" fillId="4" borderId="167" xfId="1" applyNumberFormat="1" applyFont="1" applyFill="1" applyBorder="1" applyAlignment="1" applyProtection="1">
      <alignment horizontal="right" vertical="center" shrinkToFit="1"/>
      <protection locked="0"/>
    </xf>
    <xf numFmtId="0" fontId="64" fillId="0" borderId="38" xfId="1" applyFont="1" applyBorder="1" applyAlignment="1">
      <alignment horizontal="center" vertical="center"/>
    </xf>
    <xf numFmtId="186" fontId="7" fillId="0" borderId="6" xfId="1" applyNumberFormat="1" applyFont="1" applyBorder="1" applyAlignment="1">
      <alignment horizontal="right" vertical="center" shrinkToFit="1"/>
    </xf>
    <xf numFmtId="3" fontId="7" fillId="4" borderId="54" xfId="1" applyNumberFormat="1" applyFont="1" applyFill="1" applyBorder="1" applyAlignment="1" applyProtection="1">
      <alignment horizontal="right" vertical="center" shrinkToFit="1"/>
      <protection locked="0"/>
    </xf>
    <xf numFmtId="3" fontId="7" fillId="4" borderId="168" xfId="1" applyNumberFormat="1" applyFont="1" applyFill="1" applyBorder="1" applyAlignment="1" applyProtection="1">
      <alignment horizontal="right" vertical="center" shrinkToFit="1"/>
      <protection locked="0"/>
    </xf>
    <xf numFmtId="49" fontId="9" fillId="4" borderId="171" xfId="1" applyNumberFormat="1" applyFont="1" applyFill="1" applyBorder="1" applyAlignment="1" applyProtection="1">
      <alignment horizontal="center" vertical="center" shrinkToFit="1"/>
      <protection locked="0"/>
    </xf>
    <xf numFmtId="3" fontId="7" fillId="4" borderId="172" xfId="1" applyNumberFormat="1" applyFont="1" applyFill="1" applyBorder="1" applyAlignment="1" applyProtection="1">
      <alignment horizontal="right" vertical="center" shrinkToFit="1"/>
      <protection locked="0"/>
    </xf>
    <xf numFmtId="49" fontId="9" fillId="3" borderId="175" xfId="1" applyNumberFormat="1" applyFont="1" applyFill="1" applyBorder="1" applyAlignment="1" applyProtection="1">
      <alignment horizontal="center" vertical="center" wrapText="1"/>
      <protection locked="0"/>
    </xf>
    <xf numFmtId="3" fontId="7" fillId="3" borderId="176" xfId="1" applyNumberFormat="1" applyFont="1" applyFill="1" applyBorder="1" applyAlignment="1" applyProtection="1">
      <alignment horizontal="right" vertical="center" shrinkToFit="1"/>
      <protection locked="0"/>
    </xf>
    <xf numFmtId="49" fontId="9" fillId="3" borderId="177" xfId="1" applyNumberFormat="1" applyFont="1" applyFill="1" applyBorder="1" applyAlignment="1" applyProtection="1">
      <alignment horizontal="center" vertical="center" shrinkToFit="1"/>
      <protection locked="0"/>
    </xf>
    <xf numFmtId="186" fontId="9" fillId="0" borderId="6" xfId="1" applyNumberFormat="1" applyFont="1" applyBorder="1" applyAlignment="1">
      <alignment horizontal="center" vertical="center" wrapText="1"/>
    </xf>
    <xf numFmtId="186" fontId="7" fillId="0" borderId="6" xfId="2" applyNumberFormat="1" applyFont="1" applyFill="1" applyBorder="1" applyAlignment="1" applyProtection="1">
      <alignment horizontal="right" vertical="center" shrinkToFit="1"/>
    </xf>
    <xf numFmtId="186" fontId="31" fillId="0" borderId="2" xfId="1" applyNumberFormat="1" applyFont="1" applyBorder="1" applyAlignment="1">
      <alignment horizontal="center" vertical="center" shrinkToFit="1"/>
    </xf>
    <xf numFmtId="0" fontId="45" fillId="0" borderId="4" xfId="1" applyFont="1" applyBorder="1" applyAlignment="1">
      <alignment horizontal="center" vertical="center" shrinkToFit="1"/>
    </xf>
    <xf numFmtId="49" fontId="9" fillId="3" borderId="180" xfId="1" applyNumberFormat="1" applyFont="1" applyFill="1" applyBorder="1" applyAlignment="1" applyProtection="1">
      <alignment horizontal="center" vertical="center" wrapText="1"/>
      <protection locked="0"/>
    </xf>
    <xf numFmtId="3" fontId="7" fillId="3" borderId="3" xfId="1" applyNumberFormat="1" applyFont="1" applyFill="1" applyBorder="1" applyAlignment="1" applyProtection="1">
      <alignment horizontal="right" vertical="center" shrinkToFit="1"/>
      <protection locked="0"/>
    </xf>
    <xf numFmtId="49" fontId="9" fillId="3" borderId="181" xfId="1" applyNumberFormat="1" applyFont="1" applyFill="1" applyBorder="1" applyAlignment="1" applyProtection="1">
      <alignment horizontal="center" vertical="center" shrinkToFit="1"/>
      <protection locked="0"/>
    </xf>
    <xf numFmtId="3" fontId="45" fillId="0" borderId="4" xfId="1" applyNumberFormat="1" applyFont="1" applyBorder="1" applyAlignment="1">
      <alignment horizontal="center" vertical="center" shrinkToFit="1"/>
    </xf>
    <xf numFmtId="49" fontId="9" fillId="3" borderId="183" xfId="1" applyNumberFormat="1" applyFont="1" applyFill="1" applyBorder="1" applyAlignment="1" applyProtection="1">
      <alignment horizontal="center" vertical="center" wrapText="1"/>
      <protection locked="0"/>
    </xf>
    <xf numFmtId="3" fontId="7" fillId="3" borderId="23" xfId="1" applyNumberFormat="1" applyFont="1" applyFill="1" applyBorder="1" applyAlignment="1" applyProtection="1">
      <alignment horizontal="right" vertical="center" shrinkToFit="1"/>
      <protection locked="0"/>
    </xf>
    <xf numFmtId="49" fontId="9" fillId="3" borderId="184" xfId="1" applyNumberFormat="1" applyFont="1" applyFill="1" applyBorder="1" applyAlignment="1" applyProtection="1">
      <alignment horizontal="center" vertical="center" shrinkToFit="1"/>
      <protection locked="0"/>
    </xf>
    <xf numFmtId="4" fontId="7" fillId="7" borderId="185" xfId="1" applyNumberFormat="1" applyFont="1" applyFill="1" applyBorder="1" applyAlignment="1" applyProtection="1">
      <alignment horizontal="right" vertical="center" shrinkToFit="1"/>
      <protection locked="0"/>
    </xf>
    <xf numFmtId="3" fontId="45" fillId="0" borderId="186" xfId="1" applyNumberFormat="1" applyFont="1" applyBorder="1" applyAlignment="1">
      <alignment horizontal="center" vertical="center" shrinkToFit="1"/>
    </xf>
    <xf numFmtId="0" fontId="9" fillId="0" borderId="0" xfId="1" applyFont="1" applyAlignment="1">
      <alignment horizontal="distributed" vertical="center" textRotation="255"/>
    </xf>
    <xf numFmtId="0" fontId="9" fillId="0" borderId="18" xfId="1" applyFont="1" applyBorder="1" applyAlignment="1">
      <alignment horizontal="distributed" vertical="center" textRotation="255"/>
    </xf>
    <xf numFmtId="0" fontId="3" fillId="0" borderId="18" xfId="1" applyBorder="1" applyAlignment="1">
      <alignment horizontal="distributed" vertical="center"/>
    </xf>
    <xf numFmtId="0" fontId="3" fillId="0" borderId="187" xfId="1" applyBorder="1" applyAlignment="1">
      <alignment horizontal="distributed" vertical="center"/>
    </xf>
    <xf numFmtId="0" fontId="24" fillId="0" borderId="187" xfId="1" applyFont="1" applyBorder="1" applyAlignment="1">
      <alignment horizontal="left" vertical="center" wrapText="1"/>
    </xf>
    <xf numFmtId="0" fontId="3" fillId="0" borderId="18" xfId="1" applyBorder="1" applyAlignment="1">
      <alignment horizontal="center" vertical="center"/>
    </xf>
    <xf numFmtId="0" fontId="77" fillId="0" borderId="0" xfId="1" applyFont="1" applyAlignment="1">
      <alignment horizontal="left" vertical="center"/>
    </xf>
    <xf numFmtId="0" fontId="9" fillId="0" borderId="18" xfId="1" applyFont="1" applyBorder="1" applyAlignment="1">
      <alignment horizontal="center" vertical="center" wrapText="1"/>
    </xf>
    <xf numFmtId="181" fontId="7" fillId="0" borderId="191" xfId="1" applyNumberFormat="1" applyFont="1" applyBorder="1" applyAlignment="1">
      <alignment horizontal="right" vertical="center" shrinkToFit="1"/>
    </xf>
    <xf numFmtId="3" fontId="7" fillId="3" borderId="192" xfId="1" applyNumberFormat="1" applyFont="1" applyFill="1" applyBorder="1" applyAlignment="1" applyProtection="1">
      <alignment horizontal="right" vertical="center" shrinkToFit="1"/>
      <protection locked="0"/>
    </xf>
    <xf numFmtId="49" fontId="9" fillId="4" borderId="193" xfId="1" applyNumberFormat="1" applyFont="1" applyFill="1" applyBorder="1" applyAlignment="1" applyProtection="1">
      <alignment horizontal="center" vertical="center" wrapText="1"/>
      <protection locked="0"/>
    </xf>
    <xf numFmtId="186" fontId="7" fillId="4" borderId="54" xfId="1" applyNumberFormat="1" applyFont="1" applyFill="1" applyBorder="1" applyAlignment="1" applyProtection="1">
      <alignment horizontal="right" vertical="center" shrinkToFit="1"/>
      <protection locked="0"/>
    </xf>
    <xf numFmtId="49" fontId="9" fillId="4" borderId="194" xfId="1" applyNumberFormat="1" applyFont="1" applyFill="1" applyBorder="1" applyAlignment="1" applyProtection="1">
      <alignment horizontal="center" vertical="center" shrinkToFit="1"/>
      <protection locked="0"/>
    </xf>
    <xf numFmtId="3" fontId="7" fillId="4" borderId="195" xfId="1" applyNumberFormat="1" applyFont="1" applyFill="1" applyBorder="1" applyAlignment="1" applyProtection="1">
      <alignment horizontal="right" vertical="center" shrinkToFit="1"/>
      <protection locked="0"/>
    </xf>
    <xf numFmtId="186" fontId="7" fillId="4" borderId="72" xfId="1" applyNumberFormat="1" applyFont="1" applyFill="1" applyBorder="1" applyAlignment="1" applyProtection="1">
      <alignment horizontal="right" vertical="center" shrinkToFit="1"/>
      <protection locked="0"/>
    </xf>
    <xf numFmtId="3" fontId="7" fillId="4" borderId="196" xfId="1" applyNumberFormat="1" applyFont="1" applyFill="1" applyBorder="1" applyAlignment="1" applyProtection="1">
      <alignment horizontal="right" vertical="center" shrinkToFit="1"/>
      <protection locked="0"/>
    </xf>
    <xf numFmtId="0" fontId="65" fillId="0" borderId="1" xfId="1" applyFont="1" applyBorder="1" applyAlignment="1">
      <alignment horizontal="center" vertical="center"/>
    </xf>
    <xf numFmtId="3" fontId="7" fillId="3" borderId="197" xfId="1" applyNumberFormat="1" applyFont="1" applyFill="1" applyBorder="1" applyAlignment="1" applyProtection="1">
      <alignment horizontal="right" vertical="center" shrinkToFit="1"/>
      <protection locked="0"/>
    </xf>
    <xf numFmtId="186" fontId="65" fillId="0" borderId="12" xfId="1" applyNumberFormat="1" applyFont="1" applyBorder="1" applyAlignment="1">
      <alignment horizontal="center" vertical="center" shrinkToFit="1"/>
    </xf>
    <xf numFmtId="186" fontId="65" fillId="0" borderId="2" xfId="1" applyNumberFormat="1" applyFont="1" applyBorder="1" applyAlignment="1">
      <alignment horizontal="center" vertical="center" shrinkToFit="1"/>
    </xf>
    <xf numFmtId="49" fontId="9" fillId="3" borderId="200" xfId="1" applyNumberFormat="1" applyFont="1" applyFill="1" applyBorder="1" applyAlignment="1" applyProtection="1">
      <alignment horizontal="center" vertical="center" wrapText="1"/>
      <protection locked="0"/>
    </xf>
    <xf numFmtId="3" fontId="7" fillId="3" borderId="201" xfId="1" applyNumberFormat="1" applyFont="1" applyFill="1" applyBorder="1" applyAlignment="1" applyProtection="1">
      <alignment horizontal="right" vertical="center" shrinkToFit="1"/>
      <protection locked="0"/>
    </xf>
    <xf numFmtId="49" fontId="9" fillId="3" borderId="202" xfId="1" applyNumberFormat="1" applyFont="1" applyFill="1" applyBorder="1" applyAlignment="1" applyProtection="1">
      <alignment horizontal="center" vertical="center" shrinkToFit="1"/>
      <protection locked="0"/>
    </xf>
    <xf numFmtId="0" fontId="36" fillId="0" borderId="18" xfId="1" applyFont="1" applyBorder="1" applyAlignment="1">
      <alignment vertical="center"/>
    </xf>
    <xf numFmtId="0" fontId="3" fillId="0" borderId="18" xfId="1" applyBorder="1"/>
    <xf numFmtId="0" fontId="3" fillId="0" borderId="187" xfId="1" applyBorder="1"/>
    <xf numFmtId="0" fontId="65" fillId="0" borderId="0" xfId="1" applyFont="1" applyAlignment="1">
      <alignment horizontal="center" vertical="center"/>
    </xf>
    <xf numFmtId="38" fontId="7" fillId="0" borderId="0" xfId="2" applyFont="1" applyFill="1" applyBorder="1" applyAlignment="1" applyProtection="1">
      <alignment horizontal="right" vertical="center"/>
    </xf>
    <xf numFmtId="3" fontId="7" fillId="0" borderId="0" xfId="1" applyNumberFormat="1" applyFont="1" applyAlignment="1">
      <alignment horizontal="right" vertical="center" shrinkToFit="1"/>
    </xf>
    <xf numFmtId="180" fontId="7" fillId="0" borderId="6" xfId="2" applyNumberFormat="1" applyFont="1" applyFill="1" applyBorder="1" applyAlignment="1" applyProtection="1">
      <alignment horizontal="right" vertical="center" shrinkToFit="1"/>
    </xf>
    <xf numFmtId="0" fontId="78" fillId="0" borderId="0" xfId="1" applyFont="1" applyAlignment="1">
      <alignment horizontal="center"/>
    </xf>
    <xf numFmtId="0" fontId="25" fillId="0" borderId="0" xfId="1" applyFont="1"/>
    <xf numFmtId="0" fontId="25" fillId="0" borderId="0" xfId="1" applyFont="1" applyAlignment="1">
      <alignment horizontal="center"/>
    </xf>
    <xf numFmtId="0" fontId="79" fillId="0" borderId="0" xfId="1" applyFont="1" applyAlignment="1">
      <alignment vertical="center"/>
    </xf>
    <xf numFmtId="3" fontId="7" fillId="0" borderId="206" xfId="1" applyNumberFormat="1" applyFont="1" applyBorder="1" applyAlignment="1">
      <alignment horizontal="right" vertical="center" shrinkToFit="1"/>
    </xf>
    <xf numFmtId="49" fontId="9" fillId="0" borderId="207" xfId="1" applyNumberFormat="1" applyFont="1" applyBorder="1" applyAlignment="1">
      <alignment horizontal="center" vertical="center" shrinkToFit="1"/>
    </xf>
    <xf numFmtId="3" fontId="7" fillId="3" borderId="208" xfId="1" applyNumberFormat="1" applyFont="1" applyFill="1" applyBorder="1" applyAlignment="1" applyProtection="1">
      <alignment horizontal="right" vertical="center" shrinkToFit="1"/>
      <protection locked="0"/>
    </xf>
    <xf numFmtId="0" fontId="9" fillId="0" borderId="83" xfId="1" applyFont="1" applyBorder="1" applyAlignment="1">
      <alignment horizontal="distributed" vertical="center" justifyLastLine="1"/>
    </xf>
    <xf numFmtId="38" fontId="7" fillId="0" borderId="209" xfId="2" applyFont="1" applyFill="1" applyBorder="1" applyAlignment="1" applyProtection="1">
      <alignment horizontal="right" vertical="center" shrinkToFit="1"/>
    </xf>
    <xf numFmtId="0" fontId="57" fillId="0" borderId="0" xfId="1" applyFont="1" applyAlignment="1">
      <alignment vertical="center" wrapText="1"/>
    </xf>
    <xf numFmtId="0" fontId="57" fillId="0" borderId="83" xfId="1" applyFont="1" applyBorder="1" applyAlignment="1">
      <alignment vertical="center" wrapText="1"/>
    </xf>
    <xf numFmtId="0" fontId="9" fillId="0" borderId="25" xfId="1" applyFont="1" applyBorder="1" applyAlignment="1">
      <alignment horizontal="distributed" vertical="center" textRotation="255"/>
    </xf>
    <xf numFmtId="49" fontId="9" fillId="4" borderId="213" xfId="1" applyNumberFormat="1" applyFont="1" applyFill="1" applyBorder="1" applyAlignment="1" applyProtection="1">
      <alignment horizontal="center" vertical="center" wrapText="1"/>
      <protection locked="0"/>
    </xf>
    <xf numFmtId="3" fontId="7" fillId="4" borderId="104" xfId="1" applyNumberFormat="1" applyFont="1" applyFill="1" applyBorder="1" applyAlignment="1" applyProtection="1">
      <alignment horizontal="right" vertical="center" shrinkToFit="1"/>
      <protection locked="0"/>
    </xf>
    <xf numFmtId="3" fontId="7" fillId="4" borderId="28" xfId="1" applyNumberFormat="1" applyFont="1" applyFill="1" applyBorder="1" applyAlignment="1" applyProtection="1">
      <alignment horizontal="right" vertical="center" shrinkToFit="1"/>
      <protection locked="0"/>
    </xf>
    <xf numFmtId="3" fontId="7" fillId="4" borderId="215" xfId="1" applyNumberFormat="1" applyFont="1" applyFill="1" applyBorder="1" applyAlignment="1" applyProtection="1">
      <alignment horizontal="right" vertical="center" shrinkToFit="1"/>
      <protection locked="0"/>
    </xf>
    <xf numFmtId="3" fontId="7" fillId="4" borderId="23" xfId="1" applyNumberFormat="1" applyFont="1" applyFill="1" applyBorder="1" applyAlignment="1" applyProtection="1">
      <alignment horizontal="right" vertical="center" shrinkToFit="1"/>
      <protection locked="0"/>
    </xf>
    <xf numFmtId="3" fontId="7" fillId="4" borderId="108" xfId="1" applyNumberFormat="1" applyFont="1" applyFill="1" applyBorder="1" applyAlignment="1" applyProtection="1">
      <alignment horizontal="right" vertical="center" shrinkToFit="1"/>
      <protection locked="0"/>
    </xf>
    <xf numFmtId="3" fontId="7" fillId="4" borderId="3" xfId="1" applyNumberFormat="1" applyFont="1" applyFill="1" applyBorder="1" applyAlignment="1" applyProtection="1">
      <alignment horizontal="right" vertical="center" shrinkToFit="1"/>
      <protection locked="0"/>
    </xf>
    <xf numFmtId="185" fontId="7" fillId="0" borderId="0" xfId="2" applyNumberFormat="1" applyFont="1" applyFill="1" applyBorder="1" applyAlignment="1" applyProtection="1">
      <alignment horizontal="right" vertical="center"/>
    </xf>
    <xf numFmtId="185" fontId="3" fillId="0" borderId="0" xfId="1" applyNumberFormat="1"/>
    <xf numFmtId="0" fontId="80" fillId="0" borderId="0" xfId="1" applyFont="1"/>
    <xf numFmtId="0" fontId="49" fillId="0" borderId="25" xfId="1" applyFont="1" applyBorder="1" applyAlignment="1">
      <alignment horizontal="distributed" vertical="center" textRotation="255"/>
    </xf>
    <xf numFmtId="0" fontId="81" fillId="0" borderId="0" xfId="1" applyFont="1" applyAlignment="1">
      <alignment vertical="center" wrapText="1"/>
    </xf>
    <xf numFmtId="0" fontId="81" fillId="0" borderId="83" xfId="1" applyFont="1" applyBorder="1" applyAlignment="1">
      <alignment vertical="center" wrapText="1"/>
    </xf>
    <xf numFmtId="0" fontId="82" fillId="0" borderId="0" xfId="1" applyFont="1"/>
    <xf numFmtId="0" fontId="57" fillId="0" borderId="25" xfId="1" applyFont="1" applyBorder="1" applyAlignment="1">
      <alignment horizontal="center" vertical="center" wrapText="1"/>
    </xf>
    <xf numFmtId="0" fontId="36" fillId="0" borderId="28" xfId="1" applyFont="1" applyBorder="1" applyAlignment="1">
      <alignment horizontal="left" vertical="top" wrapText="1"/>
    </xf>
    <xf numFmtId="0" fontId="36" fillId="0" borderId="124" xfId="1" applyFont="1" applyBorder="1" applyAlignment="1">
      <alignment horizontal="left" vertical="top" wrapText="1"/>
    </xf>
    <xf numFmtId="3" fontId="7" fillId="0" borderId="218" xfId="1" applyNumberFormat="1" applyFont="1" applyBorder="1" applyAlignment="1">
      <alignment horizontal="right" vertical="center" shrinkToFit="1"/>
    </xf>
    <xf numFmtId="49" fontId="9" fillId="0" borderId="219" xfId="1" applyNumberFormat="1" applyFont="1" applyBorder="1" applyAlignment="1">
      <alignment horizontal="center" vertical="center" shrinkToFit="1"/>
    </xf>
    <xf numFmtId="3" fontId="7" fillId="4" borderId="59" xfId="1" applyNumberFormat="1" applyFont="1" applyFill="1" applyBorder="1" applyAlignment="1" applyProtection="1">
      <alignment horizontal="right" vertical="center" shrinkToFit="1"/>
      <protection locked="0"/>
    </xf>
    <xf numFmtId="0" fontId="3" fillId="0" borderId="21" xfId="1" applyBorder="1"/>
    <xf numFmtId="0" fontId="3" fillId="0" borderId="0" xfId="1" applyAlignment="1">
      <alignment vertical="center" justifyLastLine="1"/>
    </xf>
    <xf numFmtId="0" fontId="64" fillId="0" borderId="0" xfId="1" applyFont="1" applyAlignment="1">
      <alignment horizontal="center"/>
    </xf>
    <xf numFmtId="3" fontId="7" fillId="3" borderId="69" xfId="1" applyNumberFormat="1" applyFont="1" applyFill="1" applyBorder="1" applyAlignment="1" applyProtection="1">
      <alignment horizontal="right" vertical="center" shrinkToFit="1"/>
      <protection locked="0"/>
    </xf>
    <xf numFmtId="49" fontId="9" fillId="0" borderId="222" xfId="1" applyNumberFormat="1" applyFont="1" applyBorder="1" applyAlignment="1">
      <alignment horizontal="center" vertical="center" shrinkToFit="1"/>
    </xf>
    <xf numFmtId="0" fontId="65" fillId="0" borderId="2" xfId="1" applyFont="1" applyBorder="1" applyAlignment="1">
      <alignment horizontal="center" vertical="center"/>
    </xf>
    <xf numFmtId="186" fontId="7" fillId="0" borderId="12" xfId="1" applyNumberFormat="1" applyFont="1" applyBorder="1" applyAlignment="1">
      <alignment horizontal="right" vertical="center" shrinkToFit="1"/>
    </xf>
    <xf numFmtId="4" fontId="7" fillId="7" borderId="224" xfId="1" applyNumberFormat="1" applyFont="1" applyFill="1" applyBorder="1" applyAlignment="1" applyProtection="1">
      <alignment horizontal="right" vertical="center" shrinkToFit="1"/>
      <protection locked="0"/>
    </xf>
    <xf numFmtId="3" fontId="7" fillId="3" borderId="56" xfId="1" applyNumberFormat="1" applyFont="1" applyFill="1" applyBorder="1" applyAlignment="1" applyProtection="1">
      <alignment horizontal="right" vertical="center" shrinkToFit="1"/>
      <protection locked="0"/>
    </xf>
    <xf numFmtId="49" fontId="9" fillId="0" borderId="225" xfId="1" applyNumberFormat="1" applyFont="1" applyBorder="1" applyAlignment="1">
      <alignment horizontal="center" vertical="center" shrinkToFit="1"/>
    </xf>
    <xf numFmtId="3" fontId="7" fillId="3" borderId="61" xfId="1" applyNumberFormat="1" applyFont="1" applyFill="1" applyBorder="1" applyAlignment="1" applyProtection="1">
      <alignment horizontal="right" vertical="center" shrinkToFit="1"/>
      <protection locked="0"/>
    </xf>
    <xf numFmtId="49" fontId="9" fillId="0" borderId="226" xfId="1" applyNumberFormat="1" applyFont="1" applyBorder="1" applyAlignment="1">
      <alignment horizontal="center" vertical="center" shrinkToFit="1"/>
    </xf>
    <xf numFmtId="186" fontId="7" fillId="0" borderId="186" xfId="1" applyNumberFormat="1" applyFont="1" applyBorder="1" applyAlignment="1">
      <alignment horizontal="right" vertical="center" shrinkToFit="1"/>
    </xf>
    <xf numFmtId="0" fontId="60" fillId="0" borderId="228" xfId="1" applyFont="1" applyBorder="1" applyAlignment="1">
      <alignment horizontal="center" shrinkToFit="1"/>
    </xf>
    <xf numFmtId="186" fontId="7" fillId="0" borderId="105" xfId="1" applyNumberFormat="1" applyFont="1" applyBorder="1" applyAlignment="1">
      <alignment horizontal="right" vertical="center" shrinkToFit="1"/>
    </xf>
    <xf numFmtId="0" fontId="34" fillId="0" borderId="0" xfId="1" applyFont="1" applyAlignment="1">
      <alignment vertical="center" wrapText="1"/>
    </xf>
    <xf numFmtId="0" fontId="34" fillId="0" borderId="0" xfId="1" applyFont="1" applyAlignment="1">
      <alignment vertical="top"/>
    </xf>
    <xf numFmtId="0" fontId="80" fillId="0" borderId="0" xfId="1" applyFont="1" applyAlignment="1">
      <alignment horizontal="center"/>
    </xf>
    <xf numFmtId="3" fontId="7" fillId="3" borderId="229" xfId="1" applyNumberFormat="1" applyFont="1" applyFill="1" applyBorder="1" applyAlignment="1" applyProtection="1">
      <alignment horizontal="right" vertical="center" shrinkToFit="1"/>
      <protection locked="0"/>
    </xf>
    <xf numFmtId="0" fontId="9" fillId="0" borderId="230" xfId="1" applyFont="1" applyBorder="1" applyAlignment="1">
      <alignment horizontal="distributed" vertical="center" justifyLastLine="1"/>
    </xf>
    <xf numFmtId="0" fontId="9" fillId="0" borderId="19" xfId="1" applyFont="1" applyBorder="1" applyAlignment="1">
      <alignment horizontal="distributed" vertical="center" justifyLastLine="1"/>
    </xf>
    <xf numFmtId="186" fontId="7" fillId="0" borderId="6" xfId="2" applyNumberFormat="1" applyFont="1" applyBorder="1" applyAlignment="1" applyProtection="1">
      <alignment vertical="center" shrinkToFit="1"/>
    </xf>
    <xf numFmtId="0" fontId="9" fillId="0" borderId="231" xfId="1" applyFont="1" applyBorder="1" applyAlignment="1">
      <alignment vertical="center"/>
    </xf>
    <xf numFmtId="186" fontId="7" fillId="0" borderId="6" xfId="2" applyNumberFormat="1" applyFont="1" applyFill="1" applyBorder="1" applyAlignment="1" applyProtection="1">
      <alignment vertical="center" shrinkToFit="1"/>
    </xf>
    <xf numFmtId="0" fontId="9" fillId="0" borderId="231" xfId="1" applyFont="1" applyBorder="1" applyAlignment="1">
      <alignment horizontal="distributed" vertical="center" textRotation="255"/>
    </xf>
    <xf numFmtId="0" fontId="57" fillId="0" borderId="25" xfId="1" applyFont="1" applyBorder="1" applyAlignment="1">
      <alignment vertical="center" wrapText="1"/>
    </xf>
    <xf numFmtId="3" fontId="7" fillId="4" borderId="123" xfId="1" applyNumberFormat="1" applyFont="1" applyFill="1" applyBorder="1" applyAlignment="1" applyProtection="1">
      <alignment horizontal="right" vertical="center" shrinkToFit="1"/>
      <protection locked="0"/>
    </xf>
    <xf numFmtId="0" fontId="65" fillId="0" borderId="23" xfId="1" applyFont="1" applyBorder="1" applyAlignment="1">
      <alignment horizontal="center" vertical="center"/>
    </xf>
    <xf numFmtId="38" fontId="7" fillId="0" borderId="23" xfId="2" applyFont="1" applyFill="1" applyBorder="1" applyAlignment="1" applyProtection="1">
      <alignment vertical="center"/>
    </xf>
    <xf numFmtId="0" fontId="9" fillId="0" borderId="236" xfId="1" applyFont="1" applyBorder="1" applyAlignment="1">
      <alignment horizontal="distributed" vertical="center" textRotation="255"/>
    </xf>
    <xf numFmtId="38" fontId="7" fillId="0" borderId="0" xfId="2" applyFont="1" applyFill="1" applyBorder="1" applyAlignment="1" applyProtection="1">
      <alignment vertical="center"/>
    </xf>
    <xf numFmtId="3" fontId="7" fillId="4" borderId="72" xfId="1" applyNumberFormat="1" applyFont="1" applyFill="1" applyBorder="1" applyAlignment="1" applyProtection="1">
      <alignment horizontal="right" vertical="center" shrinkToFit="1"/>
      <protection locked="0"/>
    </xf>
    <xf numFmtId="0" fontId="36" fillId="0" borderId="0" xfId="1" applyFont="1" applyAlignment="1">
      <alignment horizontal="left" vertical="top" wrapText="1"/>
    </xf>
    <xf numFmtId="0" fontId="3" fillId="0" borderId="0" xfId="1" applyAlignment="1">
      <alignment wrapText="1"/>
    </xf>
    <xf numFmtId="0" fontId="3" fillId="0" borderId="83" xfId="1" applyBorder="1" applyAlignment="1">
      <alignment wrapText="1"/>
    </xf>
    <xf numFmtId="0" fontId="9" fillId="0" borderId="241" xfId="1" applyFont="1" applyBorder="1" applyAlignment="1">
      <alignment vertical="center"/>
    </xf>
    <xf numFmtId="3" fontId="7" fillId="4" borderId="242" xfId="1" applyNumberFormat="1" applyFont="1" applyFill="1" applyBorder="1" applyAlignment="1" applyProtection="1">
      <alignment horizontal="right" vertical="center" shrinkToFit="1"/>
      <protection locked="0"/>
    </xf>
    <xf numFmtId="0" fontId="36" fillId="0" borderId="21" xfId="1" applyFont="1" applyBorder="1" applyAlignment="1">
      <alignment vertical="top" wrapText="1"/>
    </xf>
    <xf numFmtId="0" fontId="3" fillId="0" borderId="21" xfId="1" applyBorder="1" applyAlignment="1">
      <alignment wrapText="1"/>
    </xf>
    <xf numFmtId="0" fontId="3" fillId="0" borderId="22" xfId="1" applyBorder="1" applyAlignment="1">
      <alignment wrapText="1"/>
    </xf>
    <xf numFmtId="0" fontId="9" fillId="0" borderId="30" xfId="1" applyFont="1" applyBorder="1" applyAlignment="1">
      <alignment horizontal="center" vertical="center"/>
    </xf>
    <xf numFmtId="0" fontId="24" fillId="0" borderId="244" xfId="1" applyFont="1" applyBorder="1" applyAlignment="1">
      <alignment horizontal="center" vertical="center" shrinkToFit="1"/>
    </xf>
    <xf numFmtId="49" fontId="9" fillId="0" borderId="245" xfId="1" applyNumberFormat="1" applyFont="1" applyBorder="1" applyAlignment="1">
      <alignment horizontal="center" vertical="center" shrinkToFit="1"/>
    </xf>
    <xf numFmtId="3" fontId="7" fillId="3" borderId="246" xfId="1" applyNumberFormat="1" applyFont="1" applyFill="1" applyBorder="1" applyAlignment="1" applyProtection="1">
      <alignment horizontal="right" vertical="center" shrinkToFit="1"/>
      <protection locked="0"/>
    </xf>
    <xf numFmtId="38" fontId="65" fillId="0" borderId="209" xfId="2" applyFont="1" applyFill="1" applyBorder="1" applyAlignment="1" applyProtection="1">
      <alignment horizontal="right" vertical="center" shrinkToFit="1"/>
    </xf>
    <xf numFmtId="0" fontId="9" fillId="0" borderId="38" xfId="1" applyFont="1" applyBorder="1" applyAlignment="1">
      <alignment vertical="distributed" textRotation="255" wrapText="1" justifyLastLine="1"/>
    </xf>
    <xf numFmtId="0" fontId="9" fillId="0" borderId="16" xfId="1" applyFont="1" applyBorder="1" applyAlignment="1">
      <alignment horizontal="distributed" vertical="center" justifyLastLine="1"/>
    </xf>
    <xf numFmtId="0" fontId="9" fillId="0" borderId="23" xfId="1" applyFont="1" applyBorder="1" applyAlignment="1">
      <alignment horizontal="distributed" vertical="center" justifyLastLine="1"/>
    </xf>
    <xf numFmtId="49" fontId="9" fillId="0" borderId="28" xfId="1" applyNumberFormat="1" applyFont="1" applyBorder="1" applyAlignment="1">
      <alignment horizontal="center" vertical="center" shrinkToFit="1"/>
    </xf>
    <xf numFmtId="3" fontId="7" fillId="4" borderId="248" xfId="1" applyNumberFormat="1" applyFont="1" applyFill="1" applyBorder="1" applyAlignment="1" applyProtection="1">
      <alignment horizontal="right" vertical="center" shrinkToFit="1"/>
      <protection locked="0"/>
    </xf>
    <xf numFmtId="0" fontId="83" fillId="0" borderId="0" xfId="1" applyFont="1" applyAlignment="1">
      <alignment horizontal="center" vertical="center"/>
    </xf>
    <xf numFmtId="0" fontId="3" fillId="0" borderId="5" xfId="1" applyBorder="1"/>
    <xf numFmtId="3" fontId="65" fillId="0" borderId="6" xfId="1" applyNumberFormat="1" applyFont="1" applyBorder="1" applyAlignment="1">
      <alignment horizontal="center" vertical="center" shrinkToFit="1"/>
    </xf>
    <xf numFmtId="3" fontId="7" fillId="4" borderId="252" xfId="1" applyNumberFormat="1" applyFont="1" applyFill="1" applyBorder="1" applyAlignment="1" applyProtection="1">
      <alignment horizontal="right" vertical="center" shrinkToFit="1"/>
      <protection locked="0"/>
    </xf>
    <xf numFmtId="49" fontId="9" fillId="0" borderId="3" xfId="1" applyNumberFormat="1" applyFont="1" applyBorder="1" applyAlignment="1">
      <alignment horizontal="center" vertical="center" shrinkToFit="1"/>
    </xf>
    <xf numFmtId="3" fontId="7" fillId="4" borderId="253" xfId="1" applyNumberFormat="1" applyFont="1" applyFill="1" applyBorder="1" applyAlignment="1" applyProtection="1">
      <alignment horizontal="right" vertical="center" shrinkToFit="1"/>
      <protection locked="0"/>
    </xf>
    <xf numFmtId="0" fontId="9" fillId="0" borderId="2" xfId="1" applyFont="1" applyBorder="1" applyAlignment="1">
      <alignment horizontal="distributed" vertical="center" justifyLastLine="1"/>
    </xf>
    <xf numFmtId="0" fontId="9" fillId="0" borderId="3" xfId="1" applyFont="1" applyBorder="1" applyAlignment="1">
      <alignment horizontal="distributed" vertical="center" justifyLastLine="1"/>
    </xf>
    <xf numFmtId="3" fontId="7" fillId="4" borderId="257" xfId="1" applyNumberFormat="1" applyFont="1" applyFill="1" applyBorder="1" applyAlignment="1" applyProtection="1">
      <alignment horizontal="right" vertical="center" shrinkToFit="1"/>
      <protection locked="0"/>
    </xf>
    <xf numFmtId="0" fontId="9" fillId="0" borderId="38" xfId="1" applyFont="1" applyBorder="1" applyAlignment="1">
      <alignment horizontal="distributed" vertical="center" wrapText="1"/>
    </xf>
    <xf numFmtId="49" fontId="9" fillId="0" borderId="27" xfId="1" applyNumberFormat="1" applyFont="1" applyBorder="1" applyAlignment="1">
      <alignment horizontal="center" vertical="center" shrinkToFit="1"/>
    </xf>
    <xf numFmtId="0" fontId="9" fillId="0" borderId="169" xfId="1" applyFont="1" applyBorder="1" applyAlignment="1">
      <alignment horizontal="distributed" vertical="center"/>
    </xf>
    <xf numFmtId="0" fontId="24" fillId="0" borderId="258" xfId="1" applyFont="1" applyBorder="1" applyAlignment="1">
      <alignment horizontal="center" vertical="center" shrinkToFit="1"/>
    </xf>
    <xf numFmtId="49" fontId="9" fillId="0" borderId="16" xfId="1" applyNumberFormat="1" applyFont="1" applyBorder="1" applyAlignment="1">
      <alignment horizontal="center" vertical="center" shrinkToFit="1"/>
    </xf>
    <xf numFmtId="3" fontId="7" fillId="4" borderId="259" xfId="1" applyNumberFormat="1" applyFont="1" applyFill="1" applyBorder="1" applyAlignment="1" applyProtection="1">
      <alignment horizontal="right" vertical="center" shrinkToFit="1"/>
      <protection locked="0"/>
    </xf>
    <xf numFmtId="38" fontId="65" fillId="0" borderId="263" xfId="2" applyFont="1" applyFill="1" applyBorder="1" applyAlignment="1" applyProtection="1">
      <alignment horizontal="right" vertical="center" shrinkToFit="1"/>
    </xf>
    <xf numFmtId="186" fontId="7" fillId="0" borderId="1" xfId="1" applyNumberFormat="1" applyFont="1" applyBorder="1" applyAlignment="1">
      <alignment horizontal="right" vertical="center" shrinkToFit="1"/>
    </xf>
    <xf numFmtId="3" fontId="7" fillId="3" borderId="266" xfId="1" applyNumberFormat="1" applyFont="1" applyFill="1" applyBorder="1" applyAlignment="1" applyProtection="1">
      <alignment horizontal="right" vertical="center" shrinkToFit="1"/>
      <protection locked="0"/>
    </xf>
    <xf numFmtId="49" fontId="9" fillId="3" borderId="267" xfId="1" applyNumberFormat="1" applyFont="1" applyFill="1" applyBorder="1" applyAlignment="1" applyProtection="1">
      <alignment horizontal="center" vertical="center" shrinkToFit="1"/>
      <protection locked="0"/>
    </xf>
    <xf numFmtId="0" fontId="83" fillId="0" borderId="272" xfId="1" applyFont="1" applyBorder="1" applyAlignment="1">
      <alignment horizontal="center" vertical="center"/>
    </xf>
    <xf numFmtId="40" fontId="7" fillId="7" borderId="13" xfId="2" applyNumberFormat="1" applyFont="1" applyFill="1" applyBorder="1" applyAlignment="1" applyProtection="1">
      <alignment vertical="center" shrinkToFit="1"/>
      <protection locked="0"/>
    </xf>
    <xf numFmtId="3" fontId="65" fillId="0" borderId="4" xfId="1" applyNumberFormat="1" applyFont="1" applyBorder="1" applyAlignment="1">
      <alignment horizontal="center" vertical="center" shrinkToFit="1"/>
    </xf>
    <xf numFmtId="3" fontId="7" fillId="3" borderId="277" xfId="1" applyNumberFormat="1" applyFont="1" applyFill="1" applyBorder="1" applyAlignment="1" applyProtection="1">
      <alignment horizontal="right" vertical="center" shrinkToFit="1"/>
      <protection locked="0"/>
    </xf>
    <xf numFmtId="49" fontId="9" fillId="3" borderId="278" xfId="1" applyNumberFormat="1" applyFont="1" applyFill="1" applyBorder="1" applyAlignment="1" applyProtection="1">
      <alignment horizontal="center" vertical="center" shrinkToFit="1"/>
      <protection locked="0"/>
    </xf>
    <xf numFmtId="40" fontId="7" fillId="7" borderId="14" xfId="2" applyNumberFormat="1" applyFont="1" applyFill="1" applyBorder="1" applyAlignment="1" applyProtection="1">
      <alignment vertical="center" shrinkToFit="1"/>
      <protection locked="0"/>
    </xf>
    <xf numFmtId="3" fontId="7" fillId="3" borderId="284" xfId="1" applyNumberFormat="1" applyFont="1" applyFill="1" applyBorder="1" applyAlignment="1" applyProtection="1">
      <alignment horizontal="right" vertical="center" shrinkToFit="1"/>
      <protection locked="0"/>
    </xf>
    <xf numFmtId="49" fontId="9" fillId="3" borderId="285" xfId="1" applyNumberFormat="1" applyFont="1" applyFill="1" applyBorder="1" applyAlignment="1" applyProtection="1">
      <alignment horizontal="center" vertical="center" shrinkToFit="1"/>
      <protection locked="0"/>
    </xf>
    <xf numFmtId="3" fontId="7" fillId="3" borderId="287" xfId="1" applyNumberFormat="1" applyFont="1" applyFill="1" applyBorder="1" applyAlignment="1" applyProtection="1">
      <alignment horizontal="right" vertical="center" shrinkToFit="1"/>
      <protection locked="0"/>
    </xf>
    <xf numFmtId="49" fontId="9" fillId="3" borderId="288" xfId="1" applyNumberFormat="1" applyFont="1" applyFill="1" applyBorder="1" applyAlignment="1" applyProtection="1">
      <alignment horizontal="center" vertical="center" shrinkToFit="1"/>
      <protection locked="0"/>
    </xf>
    <xf numFmtId="40" fontId="7" fillId="7" borderId="185" xfId="2" applyNumberFormat="1" applyFont="1" applyFill="1" applyBorder="1" applyAlignment="1" applyProtection="1">
      <alignment vertical="center" shrinkToFit="1"/>
      <protection locked="0"/>
    </xf>
    <xf numFmtId="38" fontId="65" fillId="0" borderId="292" xfId="2" applyFont="1" applyFill="1" applyBorder="1" applyAlignment="1" applyProtection="1">
      <alignment horizontal="right" vertical="center" shrinkToFit="1"/>
    </xf>
    <xf numFmtId="3" fontId="7" fillId="3" borderId="269" xfId="1" applyNumberFormat="1" applyFont="1" applyFill="1" applyBorder="1" applyAlignment="1" applyProtection="1">
      <alignment horizontal="right" vertical="center" shrinkToFit="1"/>
      <protection locked="0"/>
    </xf>
    <xf numFmtId="0" fontId="9" fillId="0" borderId="38" xfId="1" applyFont="1" applyBorder="1" applyAlignment="1">
      <alignment vertical="distributed" textRotation="255" justifyLastLine="1"/>
    </xf>
    <xf numFmtId="49" fontId="9" fillId="5" borderId="23" xfId="1" applyNumberFormat="1" applyFont="1" applyFill="1" applyBorder="1" applyAlignment="1">
      <alignment horizontal="center" vertical="center" shrinkToFit="1"/>
    </xf>
    <xf numFmtId="3" fontId="7" fillId="4" borderId="293" xfId="1" applyNumberFormat="1" applyFont="1" applyFill="1" applyBorder="1" applyAlignment="1" applyProtection="1">
      <alignment horizontal="right" vertical="center" shrinkToFit="1"/>
      <protection locked="0"/>
    </xf>
    <xf numFmtId="49" fontId="9" fillId="4" borderId="105" xfId="1" applyNumberFormat="1" applyFont="1" applyFill="1" applyBorder="1" applyAlignment="1" applyProtection="1">
      <alignment horizontal="center" vertical="center" shrinkToFit="1"/>
      <protection locked="0"/>
    </xf>
    <xf numFmtId="3" fontId="7" fillId="4" borderId="27" xfId="1" applyNumberFormat="1" applyFont="1" applyFill="1" applyBorder="1" applyAlignment="1" applyProtection="1">
      <alignment horizontal="right" vertical="center" shrinkToFit="1"/>
      <protection locked="0"/>
    </xf>
    <xf numFmtId="0" fontId="65" fillId="0" borderId="23" xfId="1" applyFont="1" applyBorder="1" applyAlignment="1">
      <alignment horizontal="center" vertical="center" justifyLastLine="1"/>
    </xf>
    <xf numFmtId="38" fontId="65" fillId="0" borderId="23" xfId="2" applyFont="1" applyFill="1" applyBorder="1" applyAlignment="1" applyProtection="1">
      <alignment horizontal="right" vertical="center"/>
    </xf>
    <xf numFmtId="3" fontId="7" fillId="0" borderId="23" xfId="1" applyNumberFormat="1" applyFont="1" applyBorder="1" applyAlignment="1">
      <alignment horizontal="right" vertical="center" shrinkToFit="1"/>
    </xf>
    <xf numFmtId="0" fontId="9" fillId="0" borderId="5" xfId="1" applyFont="1" applyBorder="1" applyAlignment="1">
      <alignment vertical="center" justifyLastLine="1"/>
    </xf>
    <xf numFmtId="49" fontId="9" fillId="4" borderId="6" xfId="1" applyNumberFormat="1" applyFont="1" applyFill="1" applyBorder="1" applyAlignment="1" applyProtection="1">
      <alignment horizontal="center" vertical="center" shrinkToFit="1"/>
      <protection locked="0"/>
    </xf>
    <xf numFmtId="0" fontId="65" fillId="0" borderId="0" xfId="1" applyFont="1" applyAlignment="1">
      <alignment horizontal="center" vertical="center" justifyLastLine="1"/>
    </xf>
    <xf numFmtId="38" fontId="65" fillId="0" borderId="0" xfId="2" applyFont="1" applyFill="1" applyBorder="1" applyAlignment="1" applyProtection="1">
      <alignment horizontal="right" vertical="center"/>
    </xf>
    <xf numFmtId="0" fontId="9" fillId="0" borderId="5" xfId="1" applyFont="1" applyBorder="1" applyAlignment="1">
      <alignment horizontal="distributed" vertical="center" justifyLastLine="1"/>
    </xf>
    <xf numFmtId="0" fontId="9" fillId="0" borderId="169" xfId="1" applyFont="1" applyBorder="1" applyAlignment="1">
      <alignment vertical="distributed" textRotation="255" justifyLastLine="1"/>
    </xf>
    <xf numFmtId="3" fontId="7" fillId="4" borderId="301" xfId="1" applyNumberFormat="1" applyFont="1" applyFill="1" applyBorder="1" applyAlignment="1" applyProtection="1">
      <alignment horizontal="right" vertical="center" shrinkToFit="1"/>
      <protection locked="0"/>
    </xf>
    <xf numFmtId="0" fontId="65" fillId="0" borderId="28" xfId="1" applyFont="1" applyBorder="1" applyAlignment="1">
      <alignment horizontal="center" vertical="center" justifyLastLine="1"/>
    </xf>
    <xf numFmtId="38" fontId="65" fillId="0" borderId="28" xfId="2" applyFont="1" applyFill="1" applyBorder="1" applyAlignment="1" applyProtection="1">
      <alignment horizontal="right" vertical="center"/>
    </xf>
    <xf numFmtId="3" fontId="7" fillId="0" borderId="28" xfId="1" applyNumberFormat="1" applyFont="1" applyBorder="1" applyAlignment="1">
      <alignment horizontal="right" vertical="center" shrinkToFit="1"/>
    </xf>
    <xf numFmtId="3" fontId="7" fillId="3" borderId="306" xfId="1" applyNumberFormat="1" applyFont="1" applyFill="1" applyBorder="1" applyAlignment="1" applyProtection="1">
      <alignment horizontal="right" vertical="center" shrinkToFit="1"/>
      <protection locked="0"/>
    </xf>
    <xf numFmtId="49" fontId="9" fillId="3" borderId="307" xfId="1" applyNumberFormat="1" applyFont="1" applyFill="1" applyBorder="1" applyAlignment="1" applyProtection="1">
      <alignment horizontal="center" vertical="center" shrinkToFit="1"/>
      <protection locked="0"/>
    </xf>
    <xf numFmtId="180" fontId="65" fillId="0" borderId="2" xfId="1" applyNumberFormat="1" applyFont="1" applyBorder="1" applyAlignment="1">
      <alignment horizontal="center" vertical="center" shrinkToFit="1"/>
    </xf>
    <xf numFmtId="40" fontId="7" fillId="7" borderId="13" xfId="2" applyNumberFormat="1" applyFont="1" applyFill="1" applyBorder="1" applyAlignment="1" applyProtection="1">
      <alignment vertical="center"/>
      <protection locked="0"/>
    </xf>
    <xf numFmtId="3" fontId="7" fillId="3" borderId="310" xfId="1" applyNumberFormat="1" applyFont="1" applyFill="1" applyBorder="1" applyAlignment="1" applyProtection="1">
      <alignment horizontal="right" vertical="center" shrinkToFit="1"/>
      <protection locked="0"/>
    </xf>
    <xf numFmtId="49" fontId="9" fillId="3" borderId="311" xfId="1" applyNumberFormat="1" applyFont="1" applyFill="1" applyBorder="1" applyAlignment="1" applyProtection="1">
      <alignment horizontal="center" vertical="center" shrinkToFit="1"/>
      <protection locked="0"/>
    </xf>
    <xf numFmtId="40" fontId="7" fillId="7" borderId="14" xfId="2" applyNumberFormat="1" applyFont="1" applyFill="1" applyBorder="1" applyAlignment="1" applyProtection="1">
      <alignment vertical="center"/>
      <protection locked="0"/>
    </xf>
    <xf numFmtId="3" fontId="7" fillId="3" borderId="38" xfId="1" applyNumberFormat="1" applyFont="1" applyFill="1" applyBorder="1" applyAlignment="1" applyProtection="1">
      <alignment horizontal="right" vertical="center" shrinkToFit="1"/>
      <protection locked="0"/>
    </xf>
    <xf numFmtId="49" fontId="9" fillId="3" borderId="312" xfId="1" applyNumberFormat="1" applyFont="1" applyFill="1" applyBorder="1" applyAlignment="1" applyProtection="1">
      <alignment horizontal="center" vertical="center" shrinkToFit="1"/>
      <protection locked="0"/>
    </xf>
    <xf numFmtId="3" fontId="7" fillId="3" borderId="315" xfId="1" applyNumberFormat="1" applyFont="1" applyFill="1" applyBorder="1" applyAlignment="1" applyProtection="1">
      <alignment horizontal="right" vertical="center" shrinkToFit="1"/>
      <protection locked="0"/>
    </xf>
    <xf numFmtId="49" fontId="9" fillId="3" borderId="316" xfId="1" applyNumberFormat="1" applyFont="1" applyFill="1" applyBorder="1" applyAlignment="1" applyProtection="1">
      <alignment horizontal="center" vertical="center" shrinkToFit="1"/>
      <protection locked="0"/>
    </xf>
    <xf numFmtId="3" fontId="7" fillId="3" borderId="72" xfId="1" applyNumberFormat="1" applyFont="1" applyFill="1" applyBorder="1" applyAlignment="1" applyProtection="1">
      <alignment horizontal="right" vertical="center" shrinkToFit="1"/>
      <protection locked="0"/>
    </xf>
    <xf numFmtId="180" fontId="65" fillId="0" borderId="27" xfId="1" applyNumberFormat="1" applyFont="1" applyBorder="1" applyAlignment="1">
      <alignment horizontal="center" vertical="center" shrinkToFit="1"/>
    </xf>
    <xf numFmtId="40" fontId="7" fillId="7" borderId="318" xfId="2" applyNumberFormat="1" applyFont="1" applyFill="1" applyBorder="1" applyAlignment="1" applyProtection="1">
      <alignment vertical="center"/>
      <protection locked="0"/>
    </xf>
    <xf numFmtId="3" fontId="65" fillId="0" borderId="29" xfId="1" applyNumberFormat="1" applyFont="1" applyBorder="1" applyAlignment="1">
      <alignment horizontal="center" vertical="center" shrinkToFit="1"/>
    </xf>
    <xf numFmtId="180" fontId="7" fillId="0" borderId="105" xfId="1" applyNumberFormat="1" applyFont="1" applyBorder="1" applyAlignment="1">
      <alignment horizontal="right" vertical="center" shrinkToFit="1"/>
    </xf>
    <xf numFmtId="0" fontId="24" fillId="0" borderId="18" xfId="1" applyFont="1" applyBorder="1"/>
    <xf numFmtId="38" fontId="65" fillId="0" borderId="209" xfId="2" applyFont="1" applyFill="1" applyBorder="1" applyAlignment="1" applyProtection="1">
      <alignment horizontal="right" vertical="center"/>
    </xf>
    <xf numFmtId="38" fontId="65" fillId="0" borderId="292" xfId="2" applyFont="1" applyFill="1" applyBorder="1" applyAlignment="1" applyProtection="1">
      <alignment horizontal="right" vertical="center"/>
    </xf>
    <xf numFmtId="3" fontId="7" fillId="0" borderId="324" xfId="1" applyNumberFormat="1" applyFont="1" applyBorder="1" applyAlignment="1">
      <alignment horizontal="right" vertical="center" shrinkToFit="1"/>
    </xf>
    <xf numFmtId="0" fontId="43" fillId="0" borderId="231" xfId="1" applyFont="1" applyBorder="1"/>
    <xf numFmtId="0" fontId="9" fillId="0" borderId="25" xfId="1" applyFont="1" applyBorder="1" applyAlignment="1">
      <alignment vertical="center" justifyLastLine="1"/>
    </xf>
    <xf numFmtId="0" fontId="9" fillId="0" borderId="83" xfId="1" applyFont="1" applyBorder="1" applyAlignment="1">
      <alignment vertical="center" justifyLastLine="1"/>
    </xf>
    <xf numFmtId="49" fontId="9" fillId="0" borderId="25" xfId="1" applyNumberFormat="1" applyFont="1" applyBorder="1" applyAlignment="1">
      <alignment horizontal="center" vertical="center" shrinkToFit="1"/>
    </xf>
    <xf numFmtId="0" fontId="65" fillId="0" borderId="2" xfId="1" applyFont="1" applyBorder="1" applyAlignment="1">
      <alignment horizontal="center" vertical="distributed" wrapText="1" justifyLastLine="1"/>
    </xf>
    <xf numFmtId="3" fontId="7" fillId="0" borderId="209" xfId="1" applyNumberFormat="1" applyFont="1" applyBorder="1" applyAlignment="1">
      <alignment horizontal="right" vertical="center" shrinkToFit="1"/>
    </xf>
    <xf numFmtId="3" fontId="65" fillId="0" borderId="209" xfId="1" applyNumberFormat="1" applyFont="1" applyBorder="1" applyAlignment="1">
      <alignment horizontal="center" vertical="center" shrinkToFit="1"/>
    </xf>
    <xf numFmtId="180" fontId="7" fillId="0" borderId="209" xfId="2" applyNumberFormat="1" applyFont="1" applyFill="1" applyBorder="1" applyAlignment="1" applyProtection="1">
      <alignment horizontal="right" vertical="center" shrinkToFit="1"/>
    </xf>
    <xf numFmtId="0" fontId="3" fillId="0" borderId="231" xfId="1" applyBorder="1"/>
    <xf numFmtId="0" fontId="9" fillId="0" borderId="73" xfId="1" applyFont="1" applyBorder="1" applyAlignment="1">
      <alignment horizontal="distributed" vertical="center" justifyLastLine="1"/>
    </xf>
    <xf numFmtId="180" fontId="7" fillId="0" borderId="324" xfId="2" applyNumberFormat="1" applyFont="1" applyFill="1" applyBorder="1" applyAlignment="1" applyProtection="1">
      <alignment horizontal="right" vertical="center" shrinkToFit="1"/>
    </xf>
    <xf numFmtId="0" fontId="9" fillId="0" borderId="23" xfId="1" applyFont="1" applyBorder="1" applyAlignment="1">
      <alignment vertical="distributed" textRotation="255" wrapText="1" justifyLastLine="1"/>
    </xf>
    <xf numFmtId="49" fontId="9" fillId="0" borderId="23" xfId="1" applyNumberFormat="1" applyFont="1" applyBorder="1" applyAlignment="1">
      <alignment horizontal="center" vertical="center" shrinkToFit="1"/>
    </xf>
    <xf numFmtId="184" fontId="7" fillId="0" borderId="6" xfId="1" applyNumberFormat="1" applyFont="1" applyBorder="1" applyAlignment="1">
      <alignment horizontal="right" vertical="center" shrinkToFit="1"/>
    </xf>
    <xf numFmtId="0" fontId="9" fillId="0" borderId="2" xfId="1" applyFont="1" applyBorder="1" applyAlignment="1">
      <alignment vertical="distributed" textRotation="255" wrapText="1" justifyLastLine="1"/>
    </xf>
    <xf numFmtId="184" fontId="7" fillId="0" borderId="8" xfId="1" applyNumberFormat="1" applyFont="1" applyBorder="1" applyAlignment="1">
      <alignment horizontal="right" vertical="center" shrinkToFit="1"/>
    </xf>
    <xf numFmtId="3" fontId="65" fillId="0" borderId="8" xfId="1" applyNumberFormat="1" applyFont="1" applyBorder="1" applyAlignment="1">
      <alignment horizontal="center" vertical="center" shrinkToFit="1"/>
    </xf>
    <xf numFmtId="185" fontId="7" fillId="0" borderId="8" xfId="2" applyNumberFormat="1" applyFont="1" applyFill="1" applyBorder="1" applyAlignment="1" applyProtection="1">
      <alignment horizontal="right" vertical="center" shrinkToFit="1"/>
    </xf>
    <xf numFmtId="186" fontId="7" fillId="0" borderId="8" xfId="1" applyNumberFormat="1" applyFont="1" applyBorder="1" applyAlignment="1">
      <alignment horizontal="right" vertical="center" shrinkToFit="1"/>
    </xf>
    <xf numFmtId="0" fontId="9" fillId="0" borderId="27" xfId="1" applyFont="1" applyBorder="1" applyAlignment="1">
      <alignment vertical="distributed" textRotation="255" wrapText="1" justifyLastLine="1"/>
    </xf>
    <xf numFmtId="0" fontId="9" fillId="0" borderId="28" xfId="1" applyFont="1" applyBorder="1" applyAlignment="1">
      <alignment horizontal="distributed" vertical="center" justifyLastLine="1"/>
    </xf>
    <xf numFmtId="188" fontId="7" fillId="0" borderId="6" xfId="1" applyNumberFormat="1" applyFont="1" applyBorder="1" applyAlignment="1">
      <alignment horizontal="right" vertical="center" shrinkToFit="1"/>
    </xf>
    <xf numFmtId="0" fontId="9" fillId="0" borderId="0" xfId="1" applyFont="1" applyAlignment="1">
      <alignment horizontal="center" vertical="distributed" textRotation="255" justifyLastLine="1"/>
    </xf>
    <xf numFmtId="0" fontId="9" fillId="0" borderId="28" xfId="1" applyFont="1" applyBorder="1" applyAlignment="1">
      <alignment horizontal="center" vertical="center" justifyLastLine="1"/>
    </xf>
    <xf numFmtId="49" fontId="9" fillId="0" borderId="0" xfId="1" applyNumberFormat="1" applyFont="1" applyAlignment="1">
      <alignment horizontal="center" vertical="center" shrinkToFit="1"/>
    </xf>
    <xf numFmtId="0" fontId="59" fillId="0" borderId="5" xfId="1" applyFont="1" applyBorder="1" applyAlignment="1">
      <alignment vertical="center"/>
    </xf>
    <xf numFmtId="0" fontId="9" fillId="0" borderId="0" xfId="1" applyFont="1" applyAlignment="1">
      <alignment horizontal="distributed" vertical="distributed" textRotation="255" justifyLastLine="1"/>
    </xf>
    <xf numFmtId="0" fontId="9" fillId="0" borderId="28" xfId="1" applyFont="1" applyBorder="1" applyAlignment="1">
      <alignment horizontal="distributed" vertical="distributed" textRotation="255" justifyLastLine="1"/>
    </xf>
    <xf numFmtId="0" fontId="59" fillId="0" borderId="105" xfId="1" applyFont="1" applyBorder="1" applyAlignment="1">
      <alignment vertical="center" shrinkToFit="1"/>
    </xf>
    <xf numFmtId="0" fontId="3" fillId="0" borderId="241" xfId="1" applyBorder="1"/>
    <xf numFmtId="0" fontId="9" fillId="0" borderId="59" xfId="1" applyFont="1" applyBorder="1" applyAlignment="1">
      <alignment vertical="distributed" textRotation="255" justifyLastLine="1"/>
    </xf>
    <xf numFmtId="0" fontId="9" fillId="0" borderId="74" xfId="1" applyFont="1" applyBorder="1" applyAlignment="1">
      <alignment vertical="center"/>
    </xf>
    <xf numFmtId="49" fontId="9" fillId="0" borderId="112" xfId="1" applyNumberFormat="1" applyFont="1" applyBorder="1" applyAlignment="1">
      <alignment horizontal="center" vertical="center" shrinkToFit="1"/>
    </xf>
    <xf numFmtId="0" fontId="36" fillId="0" borderId="0" xfId="1" applyFont="1" applyAlignment="1">
      <alignment vertical="center" wrapText="1"/>
    </xf>
    <xf numFmtId="0" fontId="36" fillId="0" borderId="0" xfId="1" applyFont="1" applyAlignment="1">
      <alignment horizontal="left" vertical="top"/>
    </xf>
    <xf numFmtId="0" fontId="66" fillId="0" borderId="0" xfId="1" applyFont="1" applyAlignment="1">
      <alignment vertical="center" wrapText="1"/>
    </xf>
    <xf numFmtId="0" fontId="66" fillId="0" borderId="0" xfId="1" applyFont="1" applyAlignment="1">
      <alignment horizontal="left" vertical="top"/>
    </xf>
    <xf numFmtId="0" fontId="69" fillId="0" borderId="0" xfId="1" applyFont="1" applyAlignment="1">
      <alignment vertical="center" justifyLastLine="1"/>
    </xf>
    <xf numFmtId="0" fontId="69" fillId="0" borderId="0" xfId="1" applyFont="1" applyAlignment="1">
      <alignment vertical="center"/>
    </xf>
    <xf numFmtId="0" fontId="9" fillId="0" borderId="0" xfId="1" applyFont="1" applyAlignment="1">
      <alignment vertical="center" wrapText="1" justifyLastLine="1"/>
    </xf>
    <xf numFmtId="0" fontId="85" fillId="0" borderId="0" xfId="1" applyFont="1" applyAlignment="1">
      <alignment horizontal="right" vertical="center" wrapText="1"/>
    </xf>
    <xf numFmtId="0" fontId="3" fillId="0" borderId="0" xfId="1" applyAlignment="1">
      <alignment vertical="center" wrapText="1"/>
    </xf>
    <xf numFmtId="0" fontId="85" fillId="0" borderId="0" xfId="1" applyFont="1" applyAlignment="1">
      <alignment vertical="center" wrapText="1"/>
    </xf>
    <xf numFmtId="0" fontId="69" fillId="0" borderId="0" xfId="1" quotePrefix="1" applyFont="1" applyAlignment="1">
      <alignment vertical="center"/>
    </xf>
    <xf numFmtId="0" fontId="3" fillId="0" borderId="0" xfId="1" applyAlignment="1">
      <alignment horizontal="center" vertical="top"/>
    </xf>
    <xf numFmtId="0" fontId="49" fillId="0" borderId="0" xfId="1" applyFont="1" applyAlignment="1">
      <alignment vertical="center" justifyLastLine="1"/>
    </xf>
    <xf numFmtId="0" fontId="43" fillId="0" borderId="0" xfId="1" applyFont="1" applyAlignment="1">
      <alignment horizontal="left" vertical="center" wrapText="1"/>
    </xf>
    <xf numFmtId="0" fontId="43" fillId="0" borderId="0" xfId="1" applyFont="1" applyAlignment="1">
      <alignment vertical="center" wrapText="1"/>
    </xf>
    <xf numFmtId="0" fontId="69" fillId="0" borderId="0" xfId="1" applyFont="1" applyAlignment="1">
      <alignment horizontal="distributed" vertical="center" wrapText="1"/>
    </xf>
    <xf numFmtId="0" fontId="9" fillId="0" borderId="0" xfId="1" applyFont="1" applyAlignment="1">
      <alignment horizontal="distributed" vertical="center"/>
    </xf>
    <xf numFmtId="0" fontId="65" fillId="0" borderId="105" xfId="1" applyFont="1" applyBorder="1" applyAlignment="1">
      <alignment horizontal="center" vertical="center"/>
    </xf>
    <xf numFmtId="0" fontId="9" fillId="0" borderId="231" xfId="1" applyFont="1" applyBorder="1" applyAlignment="1">
      <alignment horizontal="distributed" vertical="center" justifyLastLine="1"/>
    </xf>
    <xf numFmtId="0" fontId="77" fillId="0" borderId="0" xfId="1" applyFont="1" applyAlignment="1">
      <alignment horizontal="left" vertical="center" wrapText="1"/>
    </xf>
    <xf numFmtId="0" fontId="9" fillId="0" borderId="231" xfId="1" applyFont="1" applyBorder="1" applyAlignment="1">
      <alignment horizontal="distributed" vertical="center" wrapText="1" justifyLastLine="1"/>
    </xf>
    <xf numFmtId="0" fontId="65" fillId="0" borderId="6" xfId="1" applyFont="1" applyBorder="1" applyAlignment="1">
      <alignment horizontal="center" vertical="center" wrapText="1"/>
    </xf>
    <xf numFmtId="0" fontId="60" fillId="0" borderId="231" xfId="1" applyFont="1" applyBorder="1" applyAlignment="1">
      <alignment horizontal="distributed" vertical="center" justifyLastLine="1"/>
    </xf>
    <xf numFmtId="0" fontId="60" fillId="0" borderId="241" xfId="1" applyFont="1" applyBorder="1" applyAlignment="1">
      <alignment horizontal="distributed" vertical="center" justifyLastLine="1"/>
    </xf>
    <xf numFmtId="0" fontId="57" fillId="0" borderId="0" xfId="1" applyFont="1" applyAlignment="1">
      <alignment vertical="top"/>
    </xf>
    <xf numFmtId="0" fontId="25" fillId="0" borderId="231" xfId="1" applyFont="1" applyBorder="1" applyAlignment="1">
      <alignment horizontal="distributed" vertical="center" justifyLastLine="1"/>
    </xf>
    <xf numFmtId="0" fontId="3" fillId="0" borderId="3" xfId="1" applyBorder="1" applyAlignment="1">
      <alignment horizontal="distributed" vertical="center" justifyLastLine="1"/>
    </xf>
    <xf numFmtId="0" fontId="3" fillId="0" borderId="231" xfId="1" applyBorder="1" applyAlignment="1">
      <alignment horizontal="distributed" vertical="center" justifyLastLine="1"/>
    </xf>
    <xf numFmtId="0" fontId="86" fillId="0" borderId="0" xfId="1" applyFont="1" applyAlignment="1">
      <alignment horizontal="left" vertical="center" wrapText="1"/>
    </xf>
    <xf numFmtId="0" fontId="3" fillId="0" borderId="241" xfId="1" applyBorder="1" applyAlignment="1">
      <alignment horizontal="distributed" vertical="center" wrapText="1" justifyLastLine="1"/>
    </xf>
    <xf numFmtId="0" fontId="3" fillId="0" borderId="59" xfId="1" applyBorder="1" applyAlignment="1">
      <alignment horizontal="distributed" vertical="center" justifyLastLine="1"/>
    </xf>
    <xf numFmtId="0" fontId="25" fillId="0" borderId="0" xfId="1" applyFont="1" applyAlignment="1">
      <alignment horizontal="distributed" vertical="center" justifyLastLine="1"/>
    </xf>
    <xf numFmtId="0" fontId="87" fillId="0" borderId="0" xfId="1" applyFont="1" applyAlignment="1">
      <alignment horizontal="left" vertical="center"/>
    </xf>
    <xf numFmtId="0" fontId="65" fillId="0" borderId="6" xfId="1" applyFont="1" applyBorder="1" applyAlignment="1">
      <alignment vertical="center" shrinkToFit="1"/>
    </xf>
    <xf numFmtId="0" fontId="33" fillId="0" borderId="0" xfId="1" applyFont="1" applyAlignment="1">
      <alignment horizontal="left" vertical="center"/>
    </xf>
    <xf numFmtId="0" fontId="34" fillId="0" borderId="0" xfId="1" applyFont="1" applyAlignment="1">
      <alignment horizontal="left" vertical="center"/>
    </xf>
    <xf numFmtId="0" fontId="68" fillId="0" borderId="0" xfId="1" applyFont="1" applyAlignment="1">
      <alignment horizontal="left" vertical="center" wrapText="1"/>
    </xf>
    <xf numFmtId="0" fontId="88" fillId="0" borderId="0" xfId="1" applyFont="1" applyAlignment="1">
      <alignment horizontal="left" vertical="center" wrapText="1"/>
    </xf>
    <xf numFmtId="3" fontId="7" fillId="3" borderId="52" xfId="1" applyNumberFormat="1" applyFont="1" applyFill="1" applyBorder="1" applyAlignment="1" applyProtection="1">
      <alignment horizontal="right" vertical="center" shrinkToFit="1"/>
      <protection locked="0"/>
    </xf>
    <xf numFmtId="3" fontId="7" fillId="3" borderId="272" xfId="1" applyNumberFormat="1" applyFont="1" applyFill="1" applyBorder="1" applyAlignment="1" applyProtection="1">
      <alignment horizontal="right" vertical="center" shrinkToFit="1"/>
      <protection locked="0"/>
    </xf>
    <xf numFmtId="3" fontId="7" fillId="3" borderId="380" xfId="1" applyNumberFormat="1" applyFont="1" applyFill="1" applyBorder="1" applyAlignment="1" applyProtection="1">
      <alignment vertical="center" shrinkToFit="1"/>
      <protection locked="0"/>
    </xf>
    <xf numFmtId="3" fontId="7" fillId="3" borderId="109" xfId="1" applyNumberFormat="1" applyFont="1" applyFill="1" applyBorder="1" applyAlignment="1" applyProtection="1">
      <alignment horizontal="right" vertical="center" shrinkToFit="1"/>
      <protection locked="0"/>
    </xf>
    <xf numFmtId="3" fontId="7" fillId="3" borderId="110" xfId="1" applyNumberFormat="1" applyFont="1" applyFill="1" applyBorder="1" applyAlignment="1" applyProtection="1">
      <alignment vertical="center" shrinkToFit="1"/>
      <protection locked="0"/>
    </xf>
    <xf numFmtId="3" fontId="7" fillId="3" borderId="381" xfId="1" applyNumberFormat="1" applyFont="1" applyFill="1" applyBorder="1" applyAlignment="1" applyProtection="1">
      <alignment horizontal="right" vertical="center" shrinkToFit="1"/>
      <protection locked="0"/>
    </xf>
    <xf numFmtId="3" fontId="7" fillId="3" borderId="382" xfId="1" applyNumberFormat="1" applyFont="1" applyFill="1" applyBorder="1" applyAlignment="1" applyProtection="1">
      <alignment vertical="center" shrinkToFit="1"/>
      <protection locked="0"/>
    </xf>
    <xf numFmtId="0" fontId="49" fillId="0" borderId="0" xfId="1" applyFont="1" applyAlignment="1">
      <alignment vertical="distributed" textRotation="255" justifyLastLine="1"/>
    </xf>
    <xf numFmtId="0" fontId="24" fillId="0" borderId="0" xfId="1" applyFont="1" applyAlignment="1">
      <alignment vertical="center" wrapText="1"/>
    </xf>
    <xf numFmtId="0" fontId="72" fillId="0" borderId="0" xfId="1" applyFont="1" applyAlignment="1">
      <alignment horizontal="center" vertical="top"/>
    </xf>
    <xf numFmtId="0" fontId="65" fillId="0" borderId="28" xfId="1" applyFont="1" applyBorder="1" applyAlignment="1">
      <alignment horizontal="center" vertical="center" shrinkToFit="1"/>
    </xf>
    <xf numFmtId="0" fontId="9" fillId="0" borderId="231" xfId="1" applyFont="1" applyBorder="1" applyAlignment="1">
      <alignment horizontal="distributed" vertical="center" indent="1" shrinkToFit="1"/>
    </xf>
    <xf numFmtId="3" fontId="7" fillId="4" borderId="361" xfId="1" applyNumberFormat="1" applyFont="1" applyFill="1" applyBorder="1" applyAlignment="1" applyProtection="1">
      <alignment horizontal="right" vertical="center" shrinkToFit="1"/>
      <protection locked="0"/>
    </xf>
    <xf numFmtId="0" fontId="3" fillId="0" borderId="6" xfId="1" applyBorder="1" applyAlignment="1">
      <alignment horizontal="center" vertical="center"/>
    </xf>
    <xf numFmtId="0" fontId="9" fillId="0" borderId="231" xfId="1" applyFont="1" applyBorder="1" applyAlignment="1">
      <alignment horizontal="distributed" vertical="center" indent="1"/>
    </xf>
    <xf numFmtId="3" fontId="7" fillId="4" borderId="386" xfId="1" applyNumberFormat="1" applyFont="1" applyFill="1" applyBorder="1" applyAlignment="1" applyProtection="1">
      <alignment horizontal="right" vertical="center" shrinkToFit="1"/>
      <protection locked="0"/>
    </xf>
    <xf numFmtId="0" fontId="3" fillId="0" borderId="388" xfId="1" applyBorder="1" applyAlignment="1">
      <alignment horizontal="distributed" vertical="center" indent="1"/>
    </xf>
    <xf numFmtId="3" fontId="7" fillId="3" borderId="391" xfId="1" applyNumberFormat="1" applyFont="1" applyFill="1" applyBorder="1" applyAlignment="1" applyProtection="1">
      <alignment horizontal="right" vertical="center" shrinkToFit="1"/>
      <protection locked="0"/>
    </xf>
    <xf numFmtId="0" fontId="3" fillId="0" borderId="38" xfId="1" applyBorder="1"/>
    <xf numFmtId="49" fontId="9" fillId="4" borderId="27" xfId="1" applyNumberFormat="1" applyFont="1" applyFill="1" applyBorder="1" applyAlignment="1" applyProtection="1">
      <alignment horizontal="center" vertical="center" wrapText="1" justifyLastLine="1"/>
      <protection locked="0"/>
    </xf>
    <xf numFmtId="3" fontId="7" fillId="4" borderId="25" xfId="1" applyNumberFormat="1" applyFont="1" applyFill="1" applyBorder="1" applyAlignment="1" applyProtection="1">
      <alignment horizontal="right" vertical="center" shrinkToFit="1"/>
      <protection locked="0"/>
    </xf>
    <xf numFmtId="186" fontId="7" fillId="0" borderId="6" xfId="1" applyNumberFormat="1" applyFont="1" applyBorder="1" applyAlignment="1">
      <alignment vertical="center" shrinkToFit="1"/>
    </xf>
    <xf numFmtId="3" fontId="7" fillId="4" borderId="16" xfId="1" applyNumberFormat="1" applyFont="1" applyFill="1" applyBorder="1" applyAlignment="1" applyProtection="1">
      <alignment horizontal="right" vertical="center" shrinkToFit="1"/>
      <protection locked="0"/>
    </xf>
    <xf numFmtId="0" fontId="9" fillId="0" borderId="3" xfId="1" applyFont="1" applyBorder="1" applyAlignment="1">
      <alignment horizontal="center" vertical="center" justifyLastLine="1"/>
    </xf>
    <xf numFmtId="0" fontId="9" fillId="0" borderId="241" xfId="1" applyFont="1" applyBorder="1" applyAlignment="1">
      <alignment vertical="center" justifyLastLine="1"/>
    </xf>
    <xf numFmtId="3" fontId="7" fillId="4" borderId="58" xfId="1" applyNumberFormat="1" applyFont="1" applyFill="1" applyBorder="1" applyAlignment="1" applyProtection="1">
      <alignment horizontal="right" vertical="center" shrinkToFit="1"/>
      <protection locked="0"/>
    </xf>
    <xf numFmtId="3" fontId="7" fillId="4" borderId="396" xfId="1" applyNumberFormat="1" applyFont="1" applyFill="1" applyBorder="1" applyAlignment="1" applyProtection="1">
      <alignment horizontal="right" vertical="center" shrinkToFit="1"/>
      <protection locked="0"/>
    </xf>
    <xf numFmtId="0" fontId="89" fillId="0" borderId="0" xfId="1" applyFont="1" applyAlignment="1">
      <alignment horizontal="left" vertical="center" wrapText="1"/>
    </xf>
    <xf numFmtId="0" fontId="65" fillId="0" borderId="0" xfId="1" applyFont="1"/>
    <xf numFmtId="0" fontId="33" fillId="0" borderId="0" xfId="1" applyFont="1" applyAlignment="1">
      <alignment vertical="center" shrinkToFit="1"/>
    </xf>
    <xf numFmtId="0" fontId="3" fillId="0" borderId="0" xfId="1" applyAlignment="1">
      <alignment vertical="center" shrinkToFit="1"/>
    </xf>
    <xf numFmtId="0" fontId="33" fillId="0" borderId="0" xfId="1" applyFont="1" applyAlignment="1">
      <alignment horizontal="center" vertical="center" shrinkToFit="1"/>
    </xf>
    <xf numFmtId="0" fontId="92" fillId="0" borderId="4" xfId="1" applyFont="1" applyBorder="1" applyAlignment="1">
      <alignment vertical="center" wrapText="1"/>
    </xf>
    <xf numFmtId="0" fontId="33" fillId="0" borderId="4" xfId="1" applyFont="1" applyBorder="1"/>
    <xf numFmtId="0" fontId="9" fillId="0" borderId="25" xfId="4" applyFont="1" applyBorder="1" applyAlignment="1">
      <alignment horizontal="center" vertical="center" wrapText="1"/>
    </xf>
    <xf numFmtId="0" fontId="9" fillId="0" borderId="25" xfId="4" applyFont="1" applyBorder="1" applyAlignment="1">
      <alignment horizontal="center" vertical="center" wrapText="1" justifyLastLine="1"/>
    </xf>
    <xf numFmtId="0" fontId="9" fillId="0" borderId="25" xfId="1" applyFont="1" applyBorder="1" applyAlignment="1">
      <alignment vertical="center" wrapText="1"/>
    </xf>
    <xf numFmtId="0" fontId="9" fillId="0" borderId="25" xfId="4" applyFont="1" applyBorder="1" applyAlignment="1">
      <alignment vertical="center" wrapText="1" justifyLastLine="1"/>
    </xf>
    <xf numFmtId="0" fontId="60" fillId="0" borderId="25" xfId="4" applyFont="1" applyBorder="1" applyAlignment="1">
      <alignment vertical="top" wrapText="1"/>
    </xf>
    <xf numFmtId="0" fontId="60" fillId="0" borderId="25" xfId="4" applyFont="1" applyBorder="1" applyAlignment="1">
      <alignment vertical="center" wrapText="1"/>
    </xf>
    <xf numFmtId="180" fontId="7" fillId="0" borderId="6" xfId="2" applyNumberFormat="1" applyFont="1" applyFill="1" applyBorder="1" applyAlignment="1" applyProtection="1">
      <alignment vertical="center" shrinkToFit="1"/>
    </xf>
    <xf numFmtId="0" fontId="65" fillId="0" borderId="105" xfId="1" applyFont="1" applyBorder="1" applyAlignment="1">
      <alignment vertical="center" shrinkToFit="1"/>
    </xf>
    <xf numFmtId="180" fontId="7" fillId="0" borderId="209" xfId="2" applyNumberFormat="1" applyFont="1" applyFill="1" applyBorder="1" applyAlignment="1" applyProtection="1">
      <alignment vertical="center" shrinkToFit="1"/>
    </xf>
    <xf numFmtId="0" fontId="33" fillId="0" borderId="399" xfId="1" applyFont="1" applyBorder="1"/>
    <xf numFmtId="0" fontId="33" fillId="0" borderId="8" xfId="1" applyFont="1" applyBorder="1" applyAlignment="1">
      <alignment horizontal="center" vertical="center" shrinkToFit="1"/>
    </xf>
    <xf numFmtId="180" fontId="7" fillId="0" borderId="7" xfId="2" applyNumberFormat="1" applyFont="1" applyFill="1" applyBorder="1" applyAlignment="1" applyProtection="1">
      <alignment horizontal="right" vertical="center" shrinkToFit="1"/>
    </xf>
    <xf numFmtId="180" fontId="7" fillId="0" borderId="400" xfId="2" applyNumberFormat="1" applyFont="1" applyFill="1" applyBorder="1" applyAlignment="1" applyProtection="1">
      <alignment horizontal="right" vertical="center" shrinkToFit="1"/>
    </xf>
    <xf numFmtId="0" fontId="9" fillId="0" borderId="38" xfId="4" applyFont="1" applyBorder="1" applyAlignment="1">
      <alignment horizontal="center" vertical="center"/>
    </xf>
    <xf numFmtId="49" fontId="9" fillId="4" borderId="221" xfId="4" applyNumberFormat="1" applyFont="1" applyFill="1" applyBorder="1" applyAlignment="1" applyProtection="1">
      <alignment horizontal="center" vertical="center" wrapText="1"/>
      <protection locked="0"/>
    </xf>
    <xf numFmtId="0" fontId="9" fillId="3" borderId="401" xfId="1" applyFont="1" applyFill="1" applyBorder="1" applyAlignment="1" applyProtection="1">
      <alignment horizontal="center" vertical="center" shrinkToFit="1"/>
      <protection locked="0"/>
    </xf>
    <xf numFmtId="0" fontId="9" fillId="3" borderId="402" xfId="4" applyFont="1" applyFill="1" applyBorder="1" applyAlignment="1" applyProtection="1">
      <alignment horizontal="center" vertical="center" shrinkToFit="1"/>
      <protection locked="0"/>
    </xf>
    <xf numFmtId="189" fontId="7" fillId="3" borderId="167" xfId="4" applyNumberFormat="1" applyFont="1" applyFill="1" applyBorder="1" applyAlignment="1" applyProtection="1">
      <alignment horizontal="center" vertical="center" shrinkToFit="1"/>
      <protection locked="0"/>
    </xf>
    <xf numFmtId="0" fontId="7" fillId="3" borderId="167" xfId="4" applyFont="1" applyFill="1" applyBorder="1" applyAlignment="1" applyProtection="1">
      <alignment horizontal="center" vertical="center" shrinkToFit="1"/>
      <protection locked="0"/>
    </xf>
    <xf numFmtId="177" fontId="7" fillId="3" borderId="167" xfId="4" applyNumberFormat="1" applyFont="1" applyFill="1" applyBorder="1" applyAlignment="1" applyProtection="1">
      <alignment horizontal="center" vertical="center" shrinkToFit="1"/>
      <protection locked="0"/>
    </xf>
    <xf numFmtId="3" fontId="7" fillId="3" borderId="404" xfId="4" applyNumberFormat="1" applyFont="1" applyFill="1" applyBorder="1" applyAlignment="1" applyProtection="1">
      <alignment horizontal="right" vertical="center" shrinkToFit="1"/>
      <protection locked="0"/>
    </xf>
    <xf numFmtId="3" fontId="7" fillId="3" borderId="404" xfId="1" applyNumberFormat="1" applyFont="1" applyFill="1" applyBorder="1" applyAlignment="1" applyProtection="1">
      <alignment horizontal="right" vertical="center" shrinkToFit="1"/>
      <protection locked="0"/>
    </xf>
    <xf numFmtId="3" fontId="7" fillId="3" borderId="167" xfId="1" applyNumberFormat="1" applyFont="1" applyFill="1" applyBorder="1" applyAlignment="1" applyProtection="1">
      <alignment horizontal="right" vertical="center" shrinkToFit="1"/>
      <protection locked="0"/>
    </xf>
    <xf numFmtId="0" fontId="9" fillId="3" borderId="405" xfId="4" applyFont="1" applyFill="1" applyBorder="1" applyAlignment="1" applyProtection="1">
      <alignment horizontal="center" vertical="center" shrinkToFit="1"/>
      <protection locked="0"/>
    </xf>
    <xf numFmtId="0" fontId="60" fillId="3" borderId="402" xfId="4" applyFont="1" applyFill="1" applyBorder="1" applyAlignment="1" applyProtection="1">
      <alignment horizontal="center" vertical="center" shrinkToFit="1"/>
      <protection locked="0"/>
    </xf>
    <xf numFmtId="0" fontId="93" fillId="0" borderId="272" xfId="1" applyFont="1" applyBorder="1" applyAlignment="1">
      <alignment horizontal="center" vertical="center" shrinkToFit="1"/>
    </xf>
    <xf numFmtId="3" fontId="93" fillId="0" borderId="0" xfId="1" applyNumberFormat="1" applyFont="1" applyAlignment="1">
      <alignment horizontal="center" vertical="center" shrinkToFit="1"/>
    </xf>
    <xf numFmtId="180" fontId="7" fillId="0" borderId="105" xfId="1" applyNumberFormat="1" applyFont="1" applyBorder="1" applyAlignment="1">
      <alignment horizontal="center" vertical="center" shrinkToFit="1"/>
    </xf>
    <xf numFmtId="190" fontId="7" fillId="0" borderId="105" xfId="1" applyNumberFormat="1" applyFont="1" applyBorder="1" applyAlignment="1">
      <alignment horizontal="center" vertical="center" shrinkToFit="1"/>
    </xf>
    <xf numFmtId="180" fontId="7" fillId="0" borderId="105" xfId="2" applyNumberFormat="1" applyFont="1" applyFill="1" applyBorder="1" applyAlignment="1" applyProtection="1">
      <alignment horizontal="right" vertical="center" shrinkToFit="1"/>
    </xf>
    <xf numFmtId="38" fontId="7" fillId="0" borderId="292" xfId="2" applyFont="1" applyFill="1" applyBorder="1" applyAlignment="1" applyProtection="1">
      <alignment horizontal="right" vertical="center" shrinkToFit="1"/>
    </xf>
    <xf numFmtId="0" fontId="9" fillId="0" borderId="72" xfId="4" applyFont="1" applyBorder="1" applyAlignment="1">
      <alignment horizontal="center" vertical="center"/>
    </xf>
    <xf numFmtId="49" fontId="9" fillId="4" borderId="27" xfId="4" applyNumberFormat="1" applyFont="1" applyFill="1" applyBorder="1" applyAlignment="1" applyProtection="1">
      <alignment horizontal="center" vertical="center" wrapText="1"/>
      <protection locked="0"/>
    </xf>
    <xf numFmtId="0" fontId="9" fillId="3" borderId="408" xfId="1" applyFont="1" applyFill="1" applyBorder="1" applyAlignment="1" applyProtection="1">
      <alignment horizontal="center" vertical="center" shrinkToFit="1"/>
      <protection locked="0"/>
    </xf>
    <xf numFmtId="0" fontId="9" fillId="3" borderId="409" xfId="4" applyFont="1" applyFill="1" applyBorder="1" applyAlignment="1" applyProtection="1">
      <alignment horizontal="center" vertical="center" shrinkToFit="1"/>
      <protection locked="0"/>
    </xf>
    <xf numFmtId="189" fontId="7" fillId="3" borderId="2" xfId="4" applyNumberFormat="1" applyFont="1" applyFill="1" applyBorder="1" applyAlignment="1" applyProtection="1">
      <alignment horizontal="center" vertical="center" shrinkToFit="1"/>
      <protection locked="0"/>
    </xf>
    <xf numFmtId="0" fontId="7" fillId="3" borderId="2" xfId="4" applyFont="1" applyFill="1" applyBorder="1" applyAlignment="1" applyProtection="1">
      <alignment horizontal="center" vertical="center" shrinkToFit="1"/>
      <protection locked="0"/>
    </xf>
    <xf numFmtId="177" fontId="94" fillId="3" borderId="2" xfId="4" applyNumberFormat="1" applyFont="1" applyFill="1" applyBorder="1" applyAlignment="1" applyProtection="1">
      <alignment horizontal="center" vertical="center" shrinkToFit="1"/>
      <protection locked="0"/>
    </xf>
    <xf numFmtId="3" fontId="7" fillId="3" borderId="2" xfId="4" applyNumberFormat="1" applyFont="1" applyFill="1" applyBorder="1" applyAlignment="1" applyProtection="1">
      <alignment horizontal="right" vertical="center" shrinkToFit="1"/>
      <protection locked="0"/>
    </xf>
    <xf numFmtId="0" fontId="9" fillId="3" borderId="410" xfId="4" applyFont="1" applyFill="1" applyBorder="1" applyAlignment="1" applyProtection="1">
      <alignment horizontal="center" vertical="center" shrinkToFit="1"/>
      <protection locked="0"/>
    </xf>
    <xf numFmtId="0" fontId="60" fillId="3" borderId="6" xfId="4" applyFont="1" applyFill="1" applyBorder="1" applyAlignment="1" applyProtection="1">
      <alignment horizontal="center" vertical="center" shrinkToFit="1"/>
      <protection locked="0"/>
    </xf>
    <xf numFmtId="180" fontId="7" fillId="0" borderId="6" xfId="1" applyNumberFormat="1" applyFont="1" applyBorder="1" applyAlignment="1">
      <alignment horizontal="center" vertical="center" shrinkToFit="1"/>
    </xf>
    <xf numFmtId="190" fontId="7" fillId="0" borderId="6" xfId="1" applyNumberFormat="1" applyFont="1" applyBorder="1" applyAlignment="1">
      <alignment horizontal="center" vertical="center" shrinkToFit="1"/>
    </xf>
    <xf numFmtId="0" fontId="78" fillId="0" borderId="0" xfId="1" applyFont="1"/>
    <xf numFmtId="49" fontId="9" fillId="4" borderId="2" xfId="4" applyNumberFormat="1" applyFont="1" applyFill="1" applyBorder="1" applyAlignment="1" applyProtection="1">
      <alignment horizontal="center" vertical="center" wrapText="1"/>
      <protection locked="0"/>
    </xf>
    <xf numFmtId="0" fontId="9" fillId="0" borderId="108" xfId="4" applyFont="1" applyBorder="1" applyAlignment="1">
      <alignment horizontal="center" vertical="center"/>
    </xf>
    <xf numFmtId="49" fontId="9" fillId="4" borderId="16" xfId="4" applyNumberFormat="1" applyFont="1" applyFill="1" applyBorder="1" applyAlignment="1" applyProtection="1">
      <alignment horizontal="center" vertical="center" wrapText="1"/>
      <protection locked="0"/>
    </xf>
    <xf numFmtId="0" fontId="9" fillId="3" borderId="412" xfId="1" applyFont="1" applyFill="1" applyBorder="1" applyAlignment="1" applyProtection="1">
      <alignment horizontal="center" vertical="center" shrinkToFit="1"/>
      <protection locked="0"/>
    </xf>
    <xf numFmtId="0" fontId="9" fillId="3" borderId="413" xfId="4" applyFont="1" applyFill="1" applyBorder="1" applyAlignment="1" applyProtection="1">
      <alignment horizontal="center" vertical="center" shrinkToFit="1"/>
      <protection locked="0"/>
    </xf>
    <xf numFmtId="189" fontId="7" fillId="3" borderId="16" xfId="4" applyNumberFormat="1" applyFont="1" applyFill="1" applyBorder="1" applyAlignment="1" applyProtection="1">
      <alignment horizontal="center" vertical="center" shrinkToFit="1"/>
      <protection locked="0"/>
    </xf>
    <xf numFmtId="0" fontId="7" fillId="3" borderId="16" xfId="4" applyFont="1" applyFill="1" applyBorder="1" applyAlignment="1" applyProtection="1">
      <alignment horizontal="center" vertical="center" shrinkToFit="1"/>
      <protection locked="0"/>
    </xf>
    <xf numFmtId="177" fontId="94" fillId="3" borderId="16" xfId="4" applyNumberFormat="1" applyFont="1" applyFill="1" applyBorder="1" applyAlignment="1" applyProtection="1">
      <alignment horizontal="center" vertical="center" shrinkToFit="1"/>
      <protection locked="0"/>
    </xf>
    <xf numFmtId="3" fontId="7" fillId="3" borderId="16" xfId="4" applyNumberFormat="1" applyFont="1" applyFill="1" applyBorder="1" applyAlignment="1" applyProtection="1">
      <alignment horizontal="right" vertical="center" shrinkToFit="1"/>
      <protection locked="0"/>
    </xf>
    <xf numFmtId="0" fontId="9" fillId="3" borderId="414" xfId="4" applyFont="1" applyFill="1" applyBorder="1" applyAlignment="1" applyProtection="1">
      <alignment horizontal="center" vertical="center" shrinkToFit="1"/>
      <protection locked="0"/>
    </xf>
    <xf numFmtId="0" fontId="60" fillId="3" borderId="1" xfId="4" applyFont="1" applyFill="1" applyBorder="1" applyAlignment="1" applyProtection="1">
      <alignment horizontal="center" vertical="center" shrinkToFit="1"/>
      <protection locked="0"/>
    </xf>
    <xf numFmtId="3" fontId="7" fillId="3" borderId="184" xfId="4" applyNumberFormat="1" applyFont="1" applyFill="1" applyBorder="1" applyAlignment="1" applyProtection="1">
      <alignment horizontal="right" vertical="center" shrinkToFit="1"/>
      <protection locked="0"/>
    </xf>
    <xf numFmtId="0" fontId="3" fillId="0" borderId="416" xfId="1" applyBorder="1"/>
    <xf numFmtId="0" fontId="9" fillId="0" borderId="5" xfId="4" applyFont="1" applyBorder="1" applyAlignment="1">
      <alignment horizontal="center" vertical="center" wrapText="1"/>
    </xf>
    <xf numFmtId="0" fontId="9" fillId="0" borderId="0" xfId="4" applyFont="1" applyAlignment="1">
      <alignment horizontal="center" vertical="top" wrapText="1"/>
    </xf>
    <xf numFmtId="0" fontId="9" fillId="0" borderId="25" xfId="4" applyFont="1" applyBorder="1" applyAlignment="1">
      <alignment horizontal="center" vertical="top" wrapText="1"/>
    </xf>
    <xf numFmtId="0" fontId="9" fillId="0" borderId="5" xfId="4" applyFont="1" applyBorder="1" applyAlignment="1">
      <alignment vertical="center" wrapText="1"/>
    </xf>
    <xf numFmtId="0" fontId="60" fillId="0" borderId="0" xfId="4" applyFont="1" applyAlignment="1">
      <alignment vertical="top" wrapText="1"/>
    </xf>
    <xf numFmtId="0" fontId="60" fillId="0" borderId="25" xfId="4" applyFont="1" applyBorder="1" applyAlignment="1">
      <alignment vertical="center" wrapText="1" justifyLastLine="1"/>
    </xf>
    <xf numFmtId="0" fontId="9" fillId="0" borderId="157" xfId="4" applyFont="1" applyBorder="1" applyAlignment="1">
      <alignment vertical="center" wrapText="1"/>
    </xf>
    <xf numFmtId="0" fontId="9" fillId="0" borderId="65" xfId="4" applyFont="1" applyBorder="1" applyAlignment="1">
      <alignment vertical="center" wrapText="1"/>
    </xf>
    <xf numFmtId="0" fontId="9" fillId="0" borderId="243" xfId="4" applyFont="1" applyBorder="1" applyAlignment="1">
      <alignment vertical="center" wrapText="1"/>
    </xf>
    <xf numFmtId="0" fontId="9" fillId="0" borderId="50" xfId="1" applyFont="1" applyBorder="1" applyAlignment="1">
      <alignment vertical="center" wrapText="1"/>
    </xf>
    <xf numFmtId="0" fontId="33" fillId="0" borderId="8" xfId="1" applyFont="1" applyBorder="1" applyAlignment="1">
      <alignment horizontal="center" vertical="center" wrapText="1" shrinkToFit="1"/>
    </xf>
    <xf numFmtId="180" fontId="7" fillId="0" borderId="8" xfId="2" applyNumberFormat="1" applyFont="1" applyFill="1" applyBorder="1" applyAlignment="1" applyProtection="1">
      <alignment horizontal="right" vertical="center" shrinkToFit="1"/>
    </xf>
    <xf numFmtId="0" fontId="60" fillId="0" borderId="38" xfId="4" applyFont="1" applyBorder="1" applyAlignment="1">
      <alignment horizontal="center" vertical="center"/>
    </xf>
    <xf numFmtId="0" fontId="60" fillId="3" borderId="417" xfId="4" applyFont="1" applyFill="1" applyBorder="1" applyAlignment="1" applyProtection="1">
      <alignment horizontal="center" vertical="center" shrinkToFit="1"/>
      <protection locked="0"/>
    </xf>
    <xf numFmtId="0" fontId="60" fillId="3" borderId="418" xfId="4" applyFont="1" applyFill="1" applyBorder="1" applyAlignment="1" applyProtection="1">
      <alignment horizontal="center" vertical="center" shrinkToFit="1"/>
      <protection locked="0"/>
    </xf>
    <xf numFmtId="0" fontId="60" fillId="3" borderId="246" xfId="4" applyFont="1" applyFill="1" applyBorder="1" applyAlignment="1" applyProtection="1">
      <alignment horizontal="center" vertical="center" shrinkToFit="1"/>
      <protection locked="0"/>
    </xf>
    <xf numFmtId="3" fontId="7" fillId="3" borderId="53" xfId="1" applyNumberFormat="1" applyFont="1" applyFill="1" applyBorder="1" applyAlignment="1" applyProtection="1">
      <alignment horizontal="right" vertical="center" shrinkToFit="1"/>
      <protection locked="0"/>
    </xf>
    <xf numFmtId="3" fontId="95" fillId="0" borderId="0" xfId="1" applyNumberFormat="1" applyFont="1" applyAlignment="1">
      <alignment horizontal="center" vertical="center" shrinkToFit="1"/>
    </xf>
    <xf numFmtId="187" fontId="7" fillId="7" borderId="419" xfId="4" applyNumberFormat="1" applyFont="1" applyFill="1" applyBorder="1" applyAlignment="1" applyProtection="1">
      <alignment horizontal="center" vertical="center" shrinkToFit="1"/>
      <protection locked="0"/>
    </xf>
    <xf numFmtId="187" fontId="7" fillId="7" borderId="420" xfId="4" applyNumberFormat="1" applyFont="1" applyFill="1" applyBorder="1" applyAlignment="1" applyProtection="1">
      <alignment horizontal="center" vertical="center" shrinkToFit="1"/>
      <protection locked="0"/>
    </xf>
    <xf numFmtId="38" fontId="7" fillId="0" borderId="421" xfId="2" applyFont="1" applyFill="1" applyBorder="1" applyAlignment="1" applyProtection="1">
      <alignment horizontal="right" vertical="center" shrinkToFit="1"/>
    </xf>
    <xf numFmtId="184" fontId="7" fillId="0" borderId="105" xfId="2" applyNumberFormat="1" applyFont="1" applyFill="1" applyBorder="1" applyAlignment="1" applyProtection="1">
      <alignment horizontal="right" vertical="center" shrinkToFit="1"/>
    </xf>
    <xf numFmtId="0" fontId="60" fillId="0" borderId="72" xfId="4" applyFont="1" applyBorder="1" applyAlignment="1">
      <alignment horizontal="center" vertical="center"/>
    </xf>
    <xf numFmtId="0" fontId="60" fillId="3" borderId="422" xfId="4" applyFont="1" applyFill="1" applyBorder="1" applyAlignment="1" applyProtection="1">
      <alignment horizontal="center" vertical="center" shrinkToFit="1"/>
      <protection locked="0"/>
    </xf>
    <xf numFmtId="0" fontId="60" fillId="3" borderId="409" xfId="4" applyFont="1" applyFill="1" applyBorder="1" applyAlignment="1" applyProtection="1">
      <alignment horizontal="center" vertical="center" shrinkToFit="1"/>
      <protection locked="0"/>
    </xf>
    <xf numFmtId="0" fontId="94" fillId="3" borderId="2" xfId="4" applyFont="1" applyFill="1" applyBorder="1" applyAlignment="1" applyProtection="1">
      <alignment horizontal="center" vertical="center" shrinkToFit="1"/>
      <protection locked="0"/>
    </xf>
    <xf numFmtId="0" fontId="60" fillId="3" borderId="3" xfId="4" applyFont="1" applyFill="1" applyBorder="1" applyAlignment="1" applyProtection="1">
      <alignment horizontal="center" vertical="center" shrinkToFit="1"/>
      <protection locked="0"/>
    </xf>
    <xf numFmtId="3" fontId="7" fillId="3" borderId="57" xfId="4" applyNumberFormat="1" applyFont="1" applyFill="1" applyBorder="1" applyAlignment="1" applyProtection="1">
      <alignment horizontal="right" vertical="center" shrinkToFit="1"/>
      <protection locked="0"/>
    </xf>
    <xf numFmtId="187" fontId="7" fillId="7" borderId="186" xfId="4" applyNumberFormat="1" applyFont="1" applyFill="1" applyBorder="1" applyAlignment="1" applyProtection="1">
      <alignment horizontal="center" vertical="center" shrinkToFit="1"/>
      <protection locked="0"/>
    </xf>
    <xf numFmtId="187" fontId="7" fillId="7" borderId="12" xfId="4" applyNumberFormat="1" applyFont="1" applyFill="1" applyBorder="1" applyAlignment="1" applyProtection="1">
      <alignment horizontal="center" vertical="center" shrinkToFit="1"/>
      <protection locked="0"/>
    </xf>
    <xf numFmtId="0" fontId="60" fillId="0" borderId="54" xfId="4" applyFont="1" applyBorder="1" applyAlignment="1">
      <alignment horizontal="center" vertical="center"/>
    </xf>
    <xf numFmtId="0" fontId="60" fillId="3" borderId="423" xfId="4" applyFont="1" applyFill="1" applyBorder="1" applyAlignment="1" applyProtection="1">
      <alignment horizontal="center" vertical="center" shrinkToFit="1"/>
      <protection locked="0"/>
    </xf>
    <xf numFmtId="0" fontId="60" fillId="3" borderId="424" xfId="4" applyFont="1" applyFill="1" applyBorder="1" applyAlignment="1" applyProtection="1">
      <alignment horizontal="center" vertical="center" shrinkToFit="1"/>
      <protection locked="0"/>
    </xf>
    <xf numFmtId="0" fontId="7" fillId="3" borderId="27" xfId="4" applyFont="1" applyFill="1" applyBorder="1" applyAlignment="1" applyProtection="1">
      <alignment horizontal="center" vertical="center" shrinkToFit="1"/>
      <protection locked="0"/>
    </xf>
    <xf numFmtId="0" fontId="94" fillId="3" borderId="27" xfId="4" applyFont="1" applyFill="1" applyBorder="1" applyAlignment="1" applyProtection="1">
      <alignment horizontal="center" vertical="center" shrinkToFit="1"/>
      <protection locked="0"/>
    </xf>
    <xf numFmtId="177" fontId="94" fillId="3" borderId="27" xfId="4" applyNumberFormat="1" applyFont="1" applyFill="1" applyBorder="1" applyAlignment="1" applyProtection="1">
      <alignment horizontal="center" vertical="center" shrinkToFit="1"/>
      <protection locked="0"/>
    </xf>
    <xf numFmtId="3" fontId="7" fillId="3" borderId="27" xfId="4" applyNumberFormat="1" applyFont="1" applyFill="1" applyBorder="1" applyAlignment="1" applyProtection="1">
      <alignment horizontal="right" vertical="center" shrinkToFit="1"/>
      <protection locked="0"/>
    </xf>
    <xf numFmtId="0" fontId="9" fillId="3" borderId="425" xfId="4" applyFont="1" applyFill="1" applyBorder="1" applyAlignment="1" applyProtection="1">
      <alignment horizontal="center" vertical="center" shrinkToFit="1"/>
      <protection locked="0"/>
    </xf>
    <xf numFmtId="0" fontId="60" fillId="3" borderId="28" xfId="4" applyFont="1" applyFill="1" applyBorder="1" applyAlignment="1" applyProtection="1">
      <alignment horizontal="center" vertical="center" shrinkToFit="1"/>
      <protection locked="0"/>
    </xf>
    <xf numFmtId="3" fontId="7" fillId="3" borderId="426" xfId="4" applyNumberFormat="1" applyFont="1" applyFill="1" applyBorder="1" applyAlignment="1" applyProtection="1">
      <alignment horizontal="right" vertical="center" shrinkToFit="1"/>
      <protection locked="0"/>
    </xf>
    <xf numFmtId="0" fontId="60" fillId="0" borderId="72" xfId="4" applyFont="1" applyBorder="1" applyAlignment="1">
      <alignment horizontal="center" vertical="center" shrinkToFit="1"/>
    </xf>
    <xf numFmtId="0" fontId="60" fillId="3" borderId="427" xfId="4" applyFont="1" applyFill="1" applyBorder="1" applyAlignment="1" applyProtection="1">
      <alignment horizontal="center" vertical="center" shrinkToFit="1"/>
      <protection locked="0"/>
    </xf>
    <xf numFmtId="0" fontId="60" fillId="3" borderId="413" xfId="4" applyFont="1" applyFill="1" applyBorder="1" applyAlignment="1" applyProtection="1">
      <alignment horizontal="center" vertical="center" shrinkToFit="1"/>
      <protection locked="0"/>
    </xf>
    <xf numFmtId="0" fontId="94" fillId="3" borderId="16" xfId="4" applyFont="1" applyFill="1" applyBorder="1" applyAlignment="1" applyProtection="1">
      <alignment horizontal="center" vertical="center" shrinkToFit="1"/>
      <protection locked="0"/>
    </xf>
    <xf numFmtId="0" fontId="60" fillId="3" borderId="23" xfId="4" applyFont="1" applyFill="1" applyBorder="1" applyAlignment="1" applyProtection="1">
      <alignment horizontal="center" vertical="center" shrinkToFit="1"/>
      <protection locked="0"/>
    </xf>
    <xf numFmtId="3" fontId="7" fillId="3" borderId="110" xfId="4" applyNumberFormat="1" applyFont="1" applyFill="1" applyBorder="1" applyAlignment="1" applyProtection="1">
      <alignment horizontal="right" vertical="center" shrinkToFit="1"/>
      <protection locked="0"/>
    </xf>
    <xf numFmtId="187" fontId="7" fillId="7" borderId="428" xfId="4" applyNumberFormat="1" applyFont="1" applyFill="1" applyBorder="1" applyAlignment="1" applyProtection="1">
      <alignment horizontal="center" vertical="center" shrinkToFit="1"/>
      <protection locked="0"/>
    </xf>
    <xf numFmtId="187" fontId="7" fillId="7" borderId="429" xfId="4" applyNumberFormat="1" applyFont="1" applyFill="1" applyBorder="1" applyAlignment="1" applyProtection="1">
      <alignment horizontal="center" vertical="center" shrinkToFit="1"/>
      <protection locked="0"/>
    </xf>
    <xf numFmtId="0" fontId="53" fillId="0" borderId="0" xfId="1" applyFont="1" applyAlignment="1">
      <alignment horizontal="left" vertical="center"/>
    </xf>
    <xf numFmtId="0" fontId="96" fillId="0" borderId="0" xfId="1" applyFont="1"/>
    <xf numFmtId="0" fontId="9" fillId="0" borderId="0" xfId="4" applyFont="1" applyAlignment="1">
      <alignment horizontal="center" vertical="center" wrapText="1" justifyLastLine="1"/>
    </xf>
    <xf numFmtId="0" fontId="9" fillId="0" borderId="5" xfId="4" applyFont="1" applyBorder="1" applyAlignment="1">
      <alignment horizontal="center" vertical="top" wrapText="1"/>
    </xf>
    <xf numFmtId="0" fontId="9" fillId="0" borderId="0" xfId="4" applyFont="1" applyAlignment="1">
      <alignment horizontal="center" vertical="center" wrapText="1"/>
    </xf>
    <xf numFmtId="0" fontId="9" fillId="0" borderId="0" xfId="4" applyFont="1" applyAlignment="1">
      <alignment vertical="center" wrapText="1" justifyLastLine="1"/>
    </xf>
    <xf numFmtId="0" fontId="60" fillId="0" borderId="5" xfId="4" applyFont="1" applyBorder="1" applyAlignment="1">
      <alignment vertical="top" wrapText="1"/>
    </xf>
    <xf numFmtId="0" fontId="33" fillId="0" borderId="209" xfId="1" applyFont="1" applyBorder="1"/>
    <xf numFmtId="0" fontId="33" fillId="0" borderId="4" xfId="1" applyFont="1" applyBorder="1" applyAlignment="1">
      <alignment horizontal="center" vertical="center" shrinkToFit="1"/>
    </xf>
    <xf numFmtId="0" fontId="60" fillId="0" borderId="65" xfId="4" applyFont="1" applyBorder="1" applyAlignment="1">
      <alignment vertical="top" wrapText="1"/>
    </xf>
    <xf numFmtId="0" fontId="33" fillId="0" borderId="430" xfId="1" applyFont="1" applyBorder="1" applyAlignment="1">
      <alignment horizontal="center" vertical="center" wrapText="1" shrinkToFit="1"/>
    </xf>
    <xf numFmtId="180" fontId="7" fillId="0" borderId="1" xfId="2" applyNumberFormat="1" applyFont="1" applyFill="1" applyBorder="1" applyAlignment="1" applyProtection="1">
      <alignment horizontal="right" vertical="center" shrinkToFit="1"/>
    </xf>
    <xf numFmtId="180" fontId="7" fillId="0" borderId="1" xfId="1" applyNumberFormat="1" applyFont="1" applyBorder="1" applyAlignment="1">
      <alignment horizontal="right" vertical="center" shrinkToFit="1"/>
    </xf>
    <xf numFmtId="38" fontId="7" fillId="0" borderId="399" xfId="2" applyFont="1" applyFill="1" applyBorder="1" applyAlignment="1" applyProtection="1">
      <alignment horizontal="right" vertical="center" shrinkToFit="1"/>
    </xf>
    <xf numFmtId="38" fontId="97" fillId="0" borderId="399" xfId="2" applyFont="1" applyFill="1" applyBorder="1" applyAlignment="1" applyProtection="1">
      <alignment horizontal="right" vertical="center" shrinkToFit="1"/>
    </xf>
    <xf numFmtId="0" fontId="60" fillId="0" borderId="38" xfId="4" applyFont="1" applyBorder="1" applyAlignment="1">
      <alignment horizontal="center" vertical="center" shrinkToFit="1"/>
    </xf>
    <xf numFmtId="0" fontId="60" fillId="3" borderId="52" xfId="4" applyFont="1" applyFill="1" applyBorder="1" applyAlignment="1" applyProtection="1">
      <alignment horizontal="center" vertical="center" shrinkToFit="1"/>
      <protection locked="0"/>
    </xf>
    <xf numFmtId="180" fontId="7" fillId="0" borderId="5" xfId="1" applyNumberFormat="1" applyFont="1" applyBorder="1" applyAlignment="1">
      <alignment horizontal="center" vertical="center" shrinkToFit="1"/>
    </xf>
    <xf numFmtId="190" fontId="7" fillId="0" borderId="5" xfId="1" applyNumberFormat="1" applyFont="1" applyBorder="1" applyAlignment="1">
      <alignment horizontal="center" vertical="center" shrinkToFit="1"/>
    </xf>
    <xf numFmtId="180" fontId="7" fillId="0" borderId="5" xfId="2" applyNumberFormat="1" applyFont="1" applyFill="1" applyBorder="1" applyAlignment="1" applyProtection="1">
      <alignment horizontal="right" vertical="center" shrinkToFit="1"/>
    </xf>
    <xf numFmtId="180" fontId="7" fillId="0" borderId="407" xfId="2" applyNumberFormat="1" applyFont="1" applyFill="1" applyBorder="1" applyAlignment="1" applyProtection="1">
      <alignment horizontal="right" vertical="center" shrinkToFit="1"/>
    </xf>
    <xf numFmtId="0" fontId="60" fillId="3" borderId="431" xfId="4" applyFont="1" applyFill="1" applyBorder="1" applyAlignment="1" applyProtection="1">
      <alignment horizontal="center" vertical="center" shrinkToFit="1"/>
      <protection locked="0"/>
    </xf>
    <xf numFmtId="0" fontId="60" fillId="3" borderId="432" xfId="4" applyFont="1" applyFill="1" applyBorder="1" applyAlignment="1" applyProtection="1">
      <alignment horizontal="center" vertical="center" shrinkToFit="1"/>
      <protection locked="0"/>
    </xf>
    <xf numFmtId="0" fontId="60" fillId="3" borderId="272" xfId="4" applyFont="1" applyFill="1" applyBorder="1" applyAlignment="1" applyProtection="1">
      <alignment horizontal="center" vertical="center" shrinkToFit="1"/>
      <protection locked="0"/>
    </xf>
    <xf numFmtId="0" fontId="60" fillId="3" borderId="433" xfId="4" applyFont="1" applyFill="1" applyBorder="1" applyAlignment="1" applyProtection="1">
      <alignment horizontal="center" vertical="center" shrinkToFit="1"/>
      <protection locked="0"/>
    </xf>
    <xf numFmtId="0" fontId="33" fillId="0" borderId="0" xfId="1" applyFont="1" applyAlignment="1">
      <alignment vertical="center" justifyLastLine="1" shrinkToFit="1"/>
    </xf>
    <xf numFmtId="0" fontId="60" fillId="3" borderId="56" xfId="4" applyFont="1" applyFill="1" applyBorder="1" applyAlignment="1" applyProtection="1">
      <alignment horizontal="center" vertical="center" shrinkToFit="1"/>
      <protection locked="0"/>
    </xf>
    <xf numFmtId="0" fontId="60" fillId="0" borderId="108" xfId="4" applyFont="1" applyBorder="1" applyAlignment="1">
      <alignment horizontal="center" vertical="center" shrinkToFit="1"/>
    </xf>
    <xf numFmtId="187" fontId="7" fillId="7" borderId="434" xfId="4" applyNumberFormat="1" applyFont="1" applyFill="1" applyBorder="1" applyAlignment="1" applyProtection="1">
      <alignment horizontal="center" vertical="center" shrinkToFit="1"/>
      <protection locked="0"/>
    </xf>
    <xf numFmtId="187" fontId="7" fillId="7" borderId="435" xfId="4" applyNumberFormat="1" applyFont="1" applyFill="1" applyBorder="1" applyAlignment="1" applyProtection="1">
      <alignment horizontal="center" vertical="center" shrinkToFit="1"/>
      <protection locked="0"/>
    </xf>
    <xf numFmtId="0" fontId="60" fillId="3" borderId="109" xfId="4" applyFont="1" applyFill="1" applyBorder="1" applyAlignment="1" applyProtection="1">
      <alignment horizontal="center" vertical="center" shrinkToFit="1"/>
      <protection locked="0"/>
    </xf>
    <xf numFmtId="0" fontId="60" fillId="3" borderId="436" xfId="4" applyFont="1" applyFill="1" applyBorder="1" applyAlignment="1" applyProtection="1">
      <alignment horizontal="center" vertical="center" shrinkToFit="1"/>
      <protection locked="0"/>
    </xf>
    <xf numFmtId="0" fontId="33" fillId="0" borderId="0" xfId="1" applyFont="1" applyAlignment="1">
      <alignment horizontal="centerContinuous" vertical="center"/>
    </xf>
    <xf numFmtId="0" fontId="3" fillId="0" borderId="0" xfId="1" applyAlignment="1">
      <alignment horizontal="centerContinuous"/>
    </xf>
    <xf numFmtId="0" fontId="65" fillId="0" borderId="0" xfId="1" applyFont="1" applyAlignment="1">
      <alignment vertical="top"/>
    </xf>
    <xf numFmtId="0" fontId="65" fillId="0" borderId="27" xfId="5" applyFont="1" applyBorder="1" applyAlignment="1">
      <alignment horizontal="center" vertical="center"/>
    </xf>
    <xf numFmtId="0" fontId="65" fillId="0" borderId="6" xfId="5" applyFont="1" applyBorder="1" applyAlignment="1">
      <alignment horizontal="center" vertical="center"/>
    </xf>
    <xf numFmtId="180" fontId="7" fillId="0" borderId="209" xfId="6" applyNumberFormat="1" applyFont="1" applyBorder="1" applyAlignment="1">
      <alignment horizontal="right" vertical="center" shrinkToFit="1"/>
    </xf>
    <xf numFmtId="180" fontId="7" fillId="0" borderId="6" xfId="6" applyNumberFormat="1" applyFont="1" applyBorder="1" applyAlignment="1">
      <alignment horizontal="right" vertical="center" shrinkToFit="1"/>
    </xf>
    <xf numFmtId="0" fontId="65" fillId="0" borderId="0" xfId="5" applyFont="1" applyAlignment="1">
      <alignment vertical="center"/>
    </xf>
    <xf numFmtId="184" fontId="7" fillId="0" borderId="6" xfId="6" applyNumberFormat="1" applyFont="1" applyBorder="1" applyAlignment="1">
      <alignment horizontal="right" vertical="center" shrinkToFit="1"/>
    </xf>
    <xf numFmtId="0" fontId="65" fillId="0" borderId="27" xfId="5" applyFont="1" applyBorder="1" applyAlignment="1">
      <alignment vertical="center"/>
    </xf>
    <xf numFmtId="0" fontId="65" fillId="0" borderId="28" xfId="5" applyFont="1" applyBorder="1" applyAlignment="1">
      <alignment vertical="center"/>
    </xf>
    <xf numFmtId="0" fontId="34" fillId="0" borderId="0" xfId="1" applyFont="1" applyAlignment="1">
      <alignment horizontal="left"/>
    </xf>
    <xf numFmtId="0" fontId="9" fillId="0" borderId="17" xfId="1" applyFont="1" applyBorder="1" applyAlignment="1">
      <alignment vertical="center" wrapText="1" justifyLastLine="1"/>
    </xf>
    <xf numFmtId="0" fontId="9" fillId="0" borderId="18" xfId="1" applyFont="1" applyBorder="1" applyAlignment="1">
      <alignment vertical="center" wrapText="1" justifyLastLine="1"/>
    </xf>
    <xf numFmtId="0" fontId="9" fillId="0" borderId="19" xfId="1" applyFont="1" applyBorder="1" applyAlignment="1">
      <alignment vertical="center" justifyLastLine="1"/>
    </xf>
    <xf numFmtId="0" fontId="9" fillId="0" borderId="18" xfId="1" applyFont="1" applyBorder="1" applyAlignment="1">
      <alignment vertical="center"/>
    </xf>
    <xf numFmtId="0" fontId="9" fillId="0" borderId="30" xfId="1" applyFont="1" applyBorder="1" applyAlignment="1">
      <alignment vertical="center"/>
    </xf>
    <xf numFmtId="0" fontId="69" fillId="0" borderId="0" xfId="1" applyFont="1" applyAlignment="1">
      <alignment horizontal="distributed" vertical="center" justifyLastLine="1"/>
    </xf>
    <xf numFmtId="0" fontId="9" fillId="0" borderId="38" xfId="1" applyFont="1" applyBorder="1" applyAlignment="1">
      <alignment vertical="center" justifyLastLine="1"/>
    </xf>
    <xf numFmtId="0" fontId="9" fillId="0" borderId="26" xfId="1" applyFont="1" applyBorder="1" applyAlignment="1">
      <alignment vertical="center"/>
    </xf>
    <xf numFmtId="0" fontId="9" fillId="0" borderId="20" xfId="1" applyFont="1" applyBorder="1" applyAlignment="1">
      <alignment vertical="center" justifyLastLine="1"/>
    </xf>
    <xf numFmtId="0" fontId="9" fillId="0" borderId="21" xfId="1" applyFont="1" applyBorder="1" applyAlignment="1">
      <alignment vertical="center" justifyLastLine="1"/>
    </xf>
    <xf numFmtId="0" fontId="9" fillId="0" borderId="22" xfId="1" applyFont="1" applyBorder="1" applyAlignment="1">
      <alignment vertical="center" justifyLastLine="1"/>
    </xf>
    <xf numFmtId="0" fontId="9" fillId="0" borderId="18" xfId="1" applyFont="1" applyBorder="1" applyAlignment="1">
      <alignment vertical="distributed" textRotation="255" justifyLastLine="1"/>
    </xf>
    <xf numFmtId="0" fontId="83" fillId="0" borderId="38" xfId="1" applyFont="1" applyBorder="1" applyAlignment="1">
      <alignment horizontal="center" vertical="center"/>
    </xf>
    <xf numFmtId="0" fontId="57" fillId="0" borderId="0" xfId="1" applyFont="1" applyAlignment="1">
      <alignment horizontal="left" vertical="center" wrapText="1"/>
    </xf>
    <xf numFmtId="0" fontId="9" fillId="0" borderId="83" xfId="1" applyFont="1" applyBorder="1" applyAlignment="1">
      <alignment vertical="center"/>
    </xf>
    <xf numFmtId="0" fontId="9" fillId="0" borderId="6" xfId="1" applyFont="1" applyBorder="1" applyAlignment="1">
      <alignment horizontal="center" vertical="distributed" justifyLastLine="1"/>
    </xf>
    <xf numFmtId="0" fontId="96" fillId="0" borderId="0" xfId="1" applyFont="1" applyAlignment="1">
      <alignment vertical="center"/>
    </xf>
    <xf numFmtId="0" fontId="9" fillId="0" borderId="18" xfId="1" applyFont="1" applyBorder="1" applyAlignment="1">
      <alignment vertical="distributed"/>
    </xf>
    <xf numFmtId="0" fontId="46" fillId="0" borderId="18" xfId="1" applyFont="1" applyBorder="1" applyAlignment="1">
      <alignment horizontal="center" vertical="top"/>
    </xf>
    <xf numFmtId="0" fontId="45" fillId="0" borderId="18" xfId="1" applyFont="1" applyBorder="1" applyAlignment="1">
      <alignment horizontal="left" vertical="center" wrapText="1"/>
    </xf>
    <xf numFmtId="0" fontId="57" fillId="0" borderId="18" xfId="1" applyFont="1" applyBorder="1" applyAlignment="1">
      <alignment vertical="center" wrapText="1"/>
    </xf>
    <xf numFmtId="0" fontId="33" fillId="0" borderId="460" xfId="1" applyFont="1" applyBorder="1"/>
    <xf numFmtId="0" fontId="33" fillId="0" borderId="460" xfId="1" applyFont="1" applyBorder="1" applyAlignment="1">
      <alignment vertical="center"/>
    </xf>
    <xf numFmtId="0" fontId="68" fillId="0" borderId="0" xfId="1" applyFont="1" applyAlignment="1">
      <alignment horizontal="left" vertical="center"/>
    </xf>
    <xf numFmtId="0" fontId="34" fillId="0" borderId="0" xfId="1" applyFont="1" applyAlignment="1">
      <alignment horizontal="center" vertical="center"/>
    </xf>
    <xf numFmtId="0" fontId="3" fillId="0" borderId="6" xfId="1" applyBorder="1" applyAlignment="1">
      <alignment horizontal="center" vertical="center" wrapText="1"/>
    </xf>
    <xf numFmtId="184" fontId="7" fillId="0" borderId="105" xfId="1" applyNumberFormat="1" applyFont="1" applyBorder="1" applyAlignment="1">
      <alignment vertical="center" shrinkToFit="1"/>
    </xf>
    <xf numFmtId="184" fontId="7" fillId="0" borderId="6" xfId="1" applyNumberFormat="1" applyFont="1" applyBorder="1" applyAlignment="1">
      <alignment vertical="center" shrinkToFit="1"/>
    </xf>
    <xf numFmtId="184" fontId="7" fillId="0" borderId="8" xfId="1" applyNumberFormat="1" applyFont="1" applyBorder="1" applyAlignment="1">
      <alignment vertical="center" shrinkToFit="1"/>
    </xf>
    <xf numFmtId="0" fontId="3" fillId="0" borderId="399" xfId="1" applyBorder="1" applyAlignment="1">
      <alignment shrinkToFit="1"/>
    </xf>
    <xf numFmtId="180" fontId="7" fillId="0" borderId="8" xfId="1" applyNumberFormat="1" applyFont="1" applyBorder="1" applyAlignment="1">
      <alignment vertical="center" shrinkToFit="1"/>
    </xf>
    <xf numFmtId="0" fontId="9" fillId="0" borderId="38" xfId="1" applyFont="1" applyBorder="1" applyAlignment="1">
      <alignment horizontal="center" vertical="center" shrinkToFit="1"/>
    </xf>
    <xf numFmtId="49" fontId="9" fillId="3" borderId="52" xfId="1" applyNumberFormat="1" applyFont="1" applyFill="1" applyBorder="1" applyAlignment="1" applyProtection="1">
      <alignment horizontal="center" vertical="center" wrapText="1" justifyLastLine="1"/>
      <protection locked="0"/>
    </xf>
    <xf numFmtId="181" fontId="7" fillId="3" borderId="167" xfId="1" applyNumberFormat="1" applyFont="1" applyFill="1" applyBorder="1" applyAlignment="1" applyProtection="1">
      <alignment horizontal="right" vertical="center" shrinkToFit="1"/>
      <protection locked="0"/>
    </xf>
    <xf numFmtId="0" fontId="7" fillId="6" borderId="465" xfId="1" applyFont="1" applyFill="1" applyBorder="1" applyAlignment="1" applyProtection="1">
      <alignment horizontal="center" vertical="center" shrinkToFit="1"/>
      <protection locked="0"/>
    </xf>
    <xf numFmtId="0" fontId="7" fillId="6" borderId="466" xfId="1" applyFont="1" applyFill="1" applyBorder="1" applyAlignment="1">
      <alignment horizontal="center" vertical="center" shrinkToFit="1"/>
    </xf>
    <xf numFmtId="180" fontId="7" fillId="7" borderId="467" xfId="1" applyNumberFormat="1" applyFont="1" applyFill="1" applyBorder="1" applyAlignment="1" applyProtection="1">
      <alignment vertical="center" shrinkToFit="1"/>
      <protection locked="0"/>
    </xf>
    <xf numFmtId="180" fontId="7" fillId="0" borderId="29" xfId="1" applyNumberFormat="1" applyFont="1" applyBorder="1" applyAlignment="1">
      <alignment vertical="center" shrinkToFit="1"/>
    </xf>
    <xf numFmtId="180" fontId="7" fillId="0" borderId="105" xfId="1" applyNumberFormat="1" applyFont="1" applyBorder="1" applyAlignment="1">
      <alignment vertical="center" shrinkToFit="1"/>
    </xf>
    <xf numFmtId="0" fontId="9" fillId="0" borderId="54" xfId="1" applyFont="1" applyBorder="1" applyAlignment="1">
      <alignment horizontal="center" vertical="center" shrinkToFit="1"/>
    </xf>
    <xf numFmtId="49" fontId="9" fillId="3" borderId="56" xfId="1" applyNumberFormat="1" applyFont="1" applyFill="1" applyBorder="1" applyAlignment="1" applyProtection="1">
      <alignment horizontal="center" vertical="center" wrapText="1" justifyLastLine="1"/>
      <protection locked="0"/>
    </xf>
    <xf numFmtId="181" fontId="7" fillId="3" borderId="2" xfId="1" applyNumberFormat="1" applyFont="1" applyFill="1" applyBorder="1" applyAlignment="1" applyProtection="1">
      <alignment horizontal="right" vertical="center" shrinkToFit="1"/>
      <protection locked="0"/>
    </xf>
    <xf numFmtId="0" fontId="7" fillId="6" borderId="225" xfId="1" applyFont="1" applyFill="1" applyBorder="1" applyAlignment="1" applyProtection="1">
      <alignment horizontal="center" vertical="center" shrinkToFit="1"/>
      <protection locked="0"/>
    </xf>
    <xf numFmtId="0" fontId="7" fillId="6" borderId="469" xfId="1" applyFont="1" applyFill="1" applyBorder="1" applyAlignment="1">
      <alignment horizontal="center" vertical="center" shrinkToFit="1"/>
    </xf>
    <xf numFmtId="184" fontId="7" fillId="0" borderId="2" xfId="1" applyNumberFormat="1" applyFont="1" applyBorder="1" applyAlignment="1">
      <alignment vertical="center" shrinkToFit="1"/>
    </xf>
    <xf numFmtId="180" fontId="7" fillId="7" borderId="14" xfId="1" applyNumberFormat="1" applyFont="1" applyFill="1" applyBorder="1" applyAlignment="1" applyProtection="1">
      <alignment vertical="center" shrinkToFit="1"/>
      <protection locked="0"/>
    </xf>
    <xf numFmtId="180" fontId="7" fillId="0" borderId="4" xfId="1" applyNumberFormat="1" applyFont="1" applyBorder="1" applyAlignment="1">
      <alignment vertical="center" shrinkToFit="1"/>
    </xf>
    <xf numFmtId="0" fontId="9" fillId="0" borderId="470" xfId="1" applyFont="1" applyBorder="1" applyAlignment="1">
      <alignment horizontal="center" vertical="center" shrinkToFit="1"/>
    </xf>
    <xf numFmtId="49" fontId="9" fillId="3" borderId="109" xfId="1" applyNumberFormat="1" applyFont="1" applyFill="1" applyBorder="1" applyAlignment="1" applyProtection="1">
      <alignment horizontal="center" vertical="center" wrapText="1" justifyLastLine="1"/>
      <protection locked="0"/>
    </xf>
    <xf numFmtId="181" fontId="7" fillId="3" borderId="16" xfId="1" applyNumberFormat="1" applyFont="1" applyFill="1" applyBorder="1" applyAlignment="1" applyProtection="1">
      <alignment horizontal="right" vertical="center" shrinkToFit="1"/>
      <protection locked="0"/>
    </xf>
    <xf numFmtId="0" fontId="7" fillId="6" borderId="472" xfId="1" applyFont="1" applyFill="1" applyBorder="1" applyAlignment="1" applyProtection="1">
      <alignment horizontal="center" vertical="center" shrinkToFit="1"/>
      <protection locked="0"/>
    </xf>
    <xf numFmtId="0" fontId="7" fillId="6" borderId="473" xfId="1" applyFont="1" applyFill="1" applyBorder="1" applyAlignment="1">
      <alignment horizontal="center" vertical="center" shrinkToFit="1"/>
    </xf>
    <xf numFmtId="180" fontId="7" fillId="7" borderId="185" xfId="1" applyNumberFormat="1" applyFont="1" applyFill="1" applyBorder="1" applyAlignment="1" applyProtection="1">
      <alignment vertical="center" shrinkToFit="1"/>
      <protection locked="0"/>
    </xf>
    <xf numFmtId="0" fontId="36" fillId="0" borderId="18" xfId="1" applyFont="1" applyBorder="1" applyAlignment="1">
      <alignment horizontal="left" vertical="top"/>
    </xf>
    <xf numFmtId="0" fontId="36" fillId="0" borderId="187" xfId="1" applyFont="1" applyBorder="1" applyAlignment="1">
      <alignment vertical="top" shrinkToFit="1"/>
    </xf>
    <xf numFmtId="0" fontId="36" fillId="0" borderId="0" xfId="1" applyFont="1" applyAlignment="1">
      <alignment vertical="top" shrinkToFit="1"/>
    </xf>
    <xf numFmtId="0" fontId="36" fillId="0" borderId="416" xfId="1" applyFont="1" applyBorder="1" applyAlignment="1">
      <alignment vertical="top" shrinkToFit="1"/>
    </xf>
    <xf numFmtId="0" fontId="36" fillId="0" borderId="460" xfId="1" applyFont="1" applyBorder="1" applyAlignment="1">
      <alignment vertical="top" shrinkToFit="1"/>
    </xf>
    <xf numFmtId="0" fontId="33" fillId="0" borderId="0" xfId="1" applyFont="1" applyAlignment="1">
      <alignment vertical="top"/>
    </xf>
    <xf numFmtId="0" fontId="3" fillId="0" borderId="5" xfId="1" applyBorder="1" applyAlignment="1">
      <alignment horizontal="center" vertical="center" wrapText="1"/>
    </xf>
    <xf numFmtId="0" fontId="3" fillId="0" borderId="1" xfId="1" applyBorder="1" applyAlignment="1">
      <alignment horizontal="center" vertical="center" wrapText="1"/>
    </xf>
    <xf numFmtId="0" fontId="9" fillId="0" borderId="399" xfId="1" applyFont="1" applyBorder="1" applyAlignment="1">
      <alignment shrinkToFit="1"/>
    </xf>
    <xf numFmtId="0" fontId="9" fillId="0" borderId="28" xfId="1" applyFont="1" applyBorder="1" applyAlignment="1">
      <alignment vertical="center" wrapText="1"/>
    </xf>
    <xf numFmtId="0" fontId="7" fillId="6" borderId="474" xfId="1" applyFont="1" applyFill="1" applyBorder="1" applyAlignment="1">
      <alignment horizontal="center" vertical="center" shrinkToFit="1"/>
    </xf>
    <xf numFmtId="3" fontId="7" fillId="3" borderId="2" xfId="1" applyNumberFormat="1" applyFont="1" applyFill="1" applyBorder="1" applyAlignment="1" applyProtection="1">
      <alignment horizontal="right" vertical="center" shrinkToFit="1"/>
      <protection locked="0"/>
    </xf>
    <xf numFmtId="0" fontId="7" fillId="6" borderId="475" xfId="1" applyFont="1" applyFill="1" applyBorder="1" applyAlignment="1">
      <alignment horizontal="center" vertical="center" shrinkToFit="1"/>
    </xf>
    <xf numFmtId="180" fontId="7" fillId="0" borderId="6" xfId="1" applyNumberFormat="1" applyFont="1" applyBorder="1" applyAlignment="1">
      <alignment vertical="center" shrinkToFit="1"/>
    </xf>
    <xf numFmtId="0" fontId="7" fillId="6" borderId="468" xfId="1" applyFont="1" applyFill="1" applyBorder="1" applyAlignment="1" applyProtection="1">
      <alignment horizontal="center" vertical="center" shrinkToFit="1"/>
      <protection locked="0"/>
    </xf>
    <xf numFmtId="0" fontId="7" fillId="6" borderId="476" xfId="1" applyFont="1" applyFill="1" applyBorder="1" applyAlignment="1">
      <alignment horizontal="center" vertical="center" shrinkToFit="1"/>
    </xf>
    <xf numFmtId="0" fontId="83" fillId="0" borderId="477" xfId="1" applyFont="1" applyBorder="1" applyAlignment="1">
      <alignment horizontal="center" vertical="center"/>
    </xf>
    <xf numFmtId="3" fontId="7" fillId="3" borderId="16" xfId="1" applyNumberFormat="1" applyFont="1" applyFill="1" applyBorder="1" applyAlignment="1" applyProtection="1">
      <alignment horizontal="right" vertical="center" shrinkToFit="1"/>
      <protection locked="0"/>
    </xf>
    <xf numFmtId="0" fontId="7" fillId="6" borderId="478" xfId="1" applyFont="1" applyFill="1" applyBorder="1" applyAlignment="1" applyProtection="1">
      <alignment horizontal="center" vertical="center" shrinkToFit="1"/>
      <protection locked="0"/>
    </xf>
    <xf numFmtId="0" fontId="7" fillId="6" borderId="479" xfId="1" applyFont="1" applyFill="1" applyBorder="1" applyAlignment="1">
      <alignment horizontal="center" vertical="center" shrinkToFit="1"/>
    </xf>
    <xf numFmtId="0" fontId="66" fillId="0" borderId="0" xfId="1" applyFont="1" applyAlignment="1">
      <alignment vertical="top" shrinkToFit="1"/>
    </xf>
    <xf numFmtId="0" fontId="3" fillId="0" borderId="5" xfId="1" applyBorder="1" applyAlignment="1">
      <alignment horizontal="center" vertical="center"/>
    </xf>
    <xf numFmtId="0" fontId="9" fillId="0" borderId="17" xfId="1" applyFont="1" applyBorder="1" applyAlignment="1">
      <alignment horizontal="center" vertical="center" shrinkToFit="1"/>
    </xf>
    <xf numFmtId="0" fontId="7" fillId="0" borderId="477" xfId="1" applyFont="1" applyBorder="1" applyAlignment="1">
      <alignment horizontal="center" vertical="center" shrinkToFit="1"/>
    </xf>
    <xf numFmtId="0" fontId="3" fillId="0" borderId="162" xfId="1" applyBorder="1"/>
    <xf numFmtId="0" fontId="59" fillId="0" borderId="0" xfId="1" applyFont="1" applyAlignment="1">
      <alignment horizontal="center" vertical="center"/>
    </xf>
    <xf numFmtId="0" fontId="53" fillId="0" borderId="0" xfId="1" applyFont="1" applyAlignment="1">
      <alignment vertical="top"/>
    </xf>
    <xf numFmtId="0" fontId="74" fillId="0" borderId="0" xfId="1" applyFont="1" applyAlignment="1">
      <alignment vertical="top"/>
    </xf>
    <xf numFmtId="0" fontId="55" fillId="0" borderId="0" xfId="1" applyFont="1" applyAlignment="1">
      <alignment vertical="top"/>
    </xf>
    <xf numFmtId="0" fontId="3" fillId="0" borderId="0" xfId="1" applyAlignment="1">
      <alignment horizontal="right" vertical="top"/>
    </xf>
    <xf numFmtId="0" fontId="3" fillId="0" borderId="67" xfId="1" applyBorder="1"/>
    <xf numFmtId="0" fontId="3" fillId="0" borderId="98" xfId="1" applyBorder="1" applyAlignment="1">
      <alignment horizontal="center" vertical="center"/>
    </xf>
    <xf numFmtId="0" fontId="3" fillId="0" borderId="63" xfId="1" applyBorder="1" applyAlignment="1">
      <alignment horizontal="center" vertical="center"/>
    </xf>
    <xf numFmtId="0" fontId="3" fillId="0" borderId="480" xfId="1" applyBorder="1" applyAlignment="1">
      <alignment horizontal="center" vertical="center"/>
    </xf>
    <xf numFmtId="0" fontId="65" fillId="0" borderId="0" xfId="1" applyFont="1" applyAlignment="1">
      <alignment horizontal="center"/>
    </xf>
    <xf numFmtId="0" fontId="65" fillId="0" borderId="0" xfId="5" applyFont="1" applyAlignment="1">
      <alignment horizontal="center" vertical="center"/>
    </xf>
    <xf numFmtId="49" fontId="9" fillId="3" borderId="481" xfId="1" applyNumberFormat="1" applyFont="1" applyFill="1" applyBorder="1" applyAlignment="1" applyProtection="1">
      <alignment horizontal="center" vertical="center" wrapText="1"/>
      <protection locked="0"/>
    </xf>
    <xf numFmtId="49" fontId="9" fillId="3" borderId="482" xfId="1" applyNumberFormat="1" applyFont="1" applyFill="1" applyBorder="1" applyAlignment="1" applyProtection="1">
      <alignment horizontal="center" vertical="center" wrapText="1"/>
      <protection locked="0"/>
    </xf>
    <xf numFmtId="49" fontId="9" fillId="3" borderId="483" xfId="1" applyNumberFormat="1" applyFont="1" applyFill="1" applyBorder="1" applyAlignment="1" applyProtection="1">
      <alignment horizontal="center" vertical="center" wrapText="1"/>
      <protection locked="0"/>
    </xf>
    <xf numFmtId="0" fontId="65" fillId="3" borderId="410" xfId="1" applyFont="1" applyFill="1" applyBorder="1" applyAlignment="1" applyProtection="1">
      <alignment horizontal="center" vertical="center" shrinkToFit="1"/>
      <protection locked="0"/>
    </xf>
    <xf numFmtId="0" fontId="65" fillId="3" borderId="6" xfId="1" applyFont="1" applyFill="1" applyBorder="1" applyAlignment="1" applyProtection="1">
      <alignment horizontal="center" vertical="center" shrinkToFit="1"/>
      <protection locked="0"/>
    </xf>
    <xf numFmtId="0" fontId="65" fillId="3" borderId="2" xfId="1" applyFont="1" applyFill="1" applyBorder="1" applyAlignment="1" applyProtection="1">
      <alignment horizontal="center" vertical="center" shrinkToFit="1"/>
      <protection locked="0"/>
    </xf>
    <xf numFmtId="0" fontId="65" fillId="3" borderId="414" xfId="1" applyFont="1" applyFill="1" applyBorder="1" applyAlignment="1" applyProtection="1">
      <alignment horizontal="center" vertical="center" shrinkToFit="1"/>
      <protection locked="0"/>
    </xf>
    <xf numFmtId="0" fontId="65" fillId="3" borderId="485" xfId="1" applyFont="1" applyFill="1" applyBorder="1" applyAlignment="1" applyProtection="1">
      <alignment horizontal="center" vertical="center" shrinkToFit="1"/>
      <protection locked="0"/>
    </xf>
    <xf numFmtId="0" fontId="65" fillId="3" borderId="486" xfId="1" applyFont="1" applyFill="1" applyBorder="1" applyAlignment="1" applyProtection="1">
      <alignment horizontal="center" vertical="center" shrinkToFit="1"/>
      <protection locked="0"/>
    </xf>
    <xf numFmtId="0" fontId="26" fillId="0" borderId="0" xfId="1" applyFont="1" applyAlignment="1">
      <alignment vertical="center"/>
    </xf>
    <xf numFmtId="0" fontId="60" fillId="0" borderId="0" xfId="1" applyFont="1" applyAlignment="1">
      <alignment vertical="center" wrapText="1" justifyLastLine="1"/>
    </xf>
    <xf numFmtId="0" fontId="60" fillId="0" borderId="77" xfId="1" applyFont="1" applyBorder="1" applyAlignment="1">
      <alignment vertical="center" wrapText="1" justifyLastLine="1"/>
    </xf>
    <xf numFmtId="0" fontId="65" fillId="7" borderId="491" xfId="1" applyFont="1" applyFill="1" applyBorder="1" applyAlignment="1" applyProtection="1">
      <alignment horizontal="center" vertical="center" shrinkToFit="1"/>
      <protection locked="0"/>
    </xf>
    <xf numFmtId="0" fontId="65" fillId="7" borderId="492" xfId="1" applyFont="1" applyFill="1" applyBorder="1" applyAlignment="1" applyProtection="1">
      <alignment horizontal="center" vertical="center" shrinkToFit="1"/>
      <protection locked="0"/>
    </xf>
    <xf numFmtId="0" fontId="65" fillId="7" borderId="493" xfId="1" applyFont="1" applyFill="1" applyBorder="1" applyAlignment="1" applyProtection="1">
      <alignment horizontal="center" vertical="center" shrinkToFit="1"/>
      <protection locked="0"/>
    </xf>
    <xf numFmtId="0" fontId="9" fillId="0" borderId="494" xfId="1" applyFont="1" applyBorder="1" applyAlignment="1">
      <alignment horizontal="center" vertical="center" wrapText="1"/>
    </xf>
    <xf numFmtId="0" fontId="65" fillId="0" borderId="0" xfId="1" applyFont="1" applyAlignment="1">
      <alignment horizontal="center" vertical="center" textRotation="255"/>
    </xf>
    <xf numFmtId="180" fontId="7" fillId="0" borderId="0" xfId="1" applyNumberFormat="1" applyFont="1" applyAlignment="1">
      <alignment vertical="center"/>
    </xf>
    <xf numFmtId="186" fontId="7" fillId="3" borderId="496" xfId="1" applyNumberFormat="1" applyFont="1" applyFill="1" applyBorder="1" applyAlignment="1" applyProtection="1">
      <alignment horizontal="right" vertical="center" shrinkToFit="1"/>
      <protection locked="0"/>
    </xf>
    <xf numFmtId="186" fontId="7" fillId="3" borderId="482" xfId="1" applyNumberFormat="1" applyFont="1" applyFill="1" applyBorder="1" applyAlignment="1" applyProtection="1">
      <alignment horizontal="right" vertical="center" shrinkToFit="1"/>
      <protection locked="0"/>
    </xf>
    <xf numFmtId="186" fontId="7" fillId="3" borderId="483" xfId="1" applyNumberFormat="1" applyFont="1" applyFill="1" applyBorder="1" applyAlignment="1" applyProtection="1">
      <alignment horizontal="right" vertical="center" shrinkToFit="1"/>
      <protection locked="0"/>
    </xf>
    <xf numFmtId="186" fontId="7" fillId="3" borderId="481" xfId="1" applyNumberFormat="1" applyFont="1" applyFill="1" applyBorder="1" applyAlignment="1" applyProtection="1">
      <alignment horizontal="right" vertical="center" shrinkToFit="1"/>
      <protection locked="0"/>
    </xf>
    <xf numFmtId="186" fontId="7" fillId="3" borderId="497" xfId="1" applyNumberFormat="1" applyFont="1" applyFill="1" applyBorder="1" applyAlignment="1" applyProtection="1">
      <alignment horizontal="right" vertical="center" shrinkToFit="1"/>
      <protection locked="0"/>
    </xf>
    <xf numFmtId="0" fontId="65" fillId="0" borderId="2" xfId="5" applyFont="1" applyBorder="1" applyAlignment="1">
      <alignment horizontal="center" vertical="center" shrinkToFit="1"/>
    </xf>
    <xf numFmtId="186" fontId="7" fillId="3" borderId="408" xfId="1" applyNumberFormat="1" applyFont="1" applyFill="1" applyBorder="1" applyAlignment="1" applyProtection="1">
      <alignment horizontal="right" vertical="center" shrinkToFit="1"/>
      <protection locked="0"/>
    </xf>
    <xf numFmtId="186" fontId="7" fillId="3" borderId="6" xfId="1" applyNumberFormat="1" applyFont="1" applyFill="1" applyBorder="1" applyAlignment="1" applyProtection="1">
      <alignment horizontal="right" vertical="center" shrinkToFit="1"/>
      <protection locked="0"/>
    </xf>
    <xf numFmtId="186" fontId="7" fillId="3" borderId="2" xfId="1" applyNumberFormat="1" applyFont="1" applyFill="1" applyBorder="1" applyAlignment="1" applyProtection="1">
      <alignment horizontal="right" vertical="center" shrinkToFit="1"/>
      <protection locked="0"/>
    </xf>
    <xf numFmtId="186" fontId="7" fillId="3" borderId="410" xfId="1" applyNumberFormat="1" applyFont="1" applyFill="1" applyBorder="1" applyAlignment="1" applyProtection="1">
      <alignment horizontal="right" vertical="center" shrinkToFit="1"/>
      <protection locked="0"/>
    </xf>
    <xf numFmtId="186" fontId="7" fillId="3" borderId="57" xfId="1" applyNumberFormat="1" applyFont="1" applyFill="1" applyBorder="1" applyAlignment="1" applyProtection="1">
      <alignment horizontal="right" vertical="center" shrinkToFit="1"/>
      <protection locked="0"/>
    </xf>
    <xf numFmtId="0" fontId="36" fillId="0" borderId="0" xfId="1" applyFont="1" applyAlignment="1">
      <alignment horizontal="left" vertical="center"/>
    </xf>
    <xf numFmtId="0" fontId="36" fillId="0" borderId="0" xfId="1" applyFont="1" applyAlignment="1">
      <alignment vertical="center" textRotation="255"/>
    </xf>
    <xf numFmtId="3" fontId="7" fillId="6" borderId="385" xfId="1" applyNumberFormat="1" applyFont="1" applyFill="1" applyBorder="1" applyAlignment="1" applyProtection="1">
      <alignment horizontal="right" vertical="center"/>
      <protection locked="0"/>
    </xf>
    <xf numFmtId="3" fontId="7" fillId="3" borderId="383" xfId="1" applyNumberFormat="1" applyFont="1" applyFill="1" applyBorder="1" applyAlignment="1" applyProtection="1">
      <alignment horizontal="right" vertical="center"/>
      <protection locked="0"/>
    </xf>
    <xf numFmtId="0" fontId="65" fillId="0" borderId="4" xfId="1" applyFont="1" applyBorder="1" applyAlignment="1">
      <alignment horizontal="center" vertical="center" shrinkToFit="1"/>
    </xf>
    <xf numFmtId="0" fontId="65" fillId="0" borderId="6" xfId="5" applyFont="1" applyBorder="1" applyAlignment="1">
      <alignment horizontal="center" vertical="center" shrinkToFit="1"/>
    </xf>
    <xf numFmtId="0" fontId="65" fillId="0" borderId="27" xfId="1" applyFont="1" applyBorder="1" applyAlignment="1">
      <alignment horizontal="center" vertical="center"/>
    </xf>
    <xf numFmtId="180" fontId="7" fillId="0" borderId="1" xfId="1" applyNumberFormat="1" applyFont="1" applyBorder="1" applyAlignment="1">
      <alignment vertical="center" shrinkToFit="1"/>
    </xf>
    <xf numFmtId="180" fontId="7" fillId="0" borderId="529" xfId="1" applyNumberFormat="1" applyFont="1" applyBorder="1" applyAlignment="1">
      <alignment vertical="center" shrinkToFit="1"/>
    </xf>
    <xf numFmtId="180" fontId="7" fillId="0" borderId="530" xfId="1" applyNumberFormat="1" applyFont="1" applyBorder="1" applyAlignment="1">
      <alignment vertical="center" shrinkToFit="1"/>
    </xf>
    <xf numFmtId="180" fontId="7" fillId="0" borderId="531" xfId="1" applyNumberFormat="1" applyFont="1" applyBorder="1" applyAlignment="1">
      <alignment vertical="center" shrinkToFit="1"/>
    </xf>
    <xf numFmtId="180" fontId="7" fillId="0" borderId="3" xfId="1" applyNumberFormat="1" applyFont="1" applyBorder="1" applyAlignment="1">
      <alignment vertical="center" shrinkToFit="1"/>
    </xf>
    <xf numFmtId="180" fontId="7" fillId="0" borderId="2" xfId="1" applyNumberFormat="1" applyFont="1" applyBorder="1" applyAlignment="1">
      <alignment vertical="center" shrinkToFit="1"/>
    </xf>
    <xf numFmtId="180" fontId="7" fillId="0" borderId="498" xfId="1" applyNumberFormat="1" applyFont="1" applyBorder="1" applyAlignment="1">
      <alignment vertical="center" shrinkToFit="1"/>
    </xf>
    <xf numFmtId="180" fontId="7" fillId="0" borderId="503" xfId="1" applyNumberFormat="1" applyFont="1" applyBorder="1" applyAlignment="1">
      <alignment vertical="center" shrinkToFit="1"/>
    </xf>
    <xf numFmtId="0" fontId="65" fillId="0" borderId="105" xfId="1" applyFont="1" applyBorder="1" applyAlignment="1">
      <alignment horizontal="center" vertical="center" shrinkToFit="1"/>
    </xf>
    <xf numFmtId="0" fontId="65" fillId="0" borderId="105" xfId="5" applyFont="1" applyBorder="1" applyAlignment="1">
      <alignment horizontal="center" vertical="center" shrinkToFit="1"/>
    </xf>
    <xf numFmtId="180" fontId="7" fillId="0" borderId="16" xfId="1" applyNumberFormat="1" applyFont="1" applyBorder="1" applyAlignment="1">
      <alignment vertical="center" shrinkToFit="1"/>
    </xf>
    <xf numFmtId="180" fontId="7" fillId="0" borderId="520" xfId="1" applyNumberFormat="1" applyFont="1" applyBorder="1" applyAlignment="1">
      <alignment vertical="center" shrinkToFit="1"/>
    </xf>
    <xf numFmtId="0" fontId="65" fillId="0" borderId="1" xfId="5" applyFont="1" applyBorder="1" applyAlignment="1">
      <alignment horizontal="center" vertical="center"/>
    </xf>
    <xf numFmtId="0" fontId="9" fillId="7" borderId="419" xfId="5" applyFont="1" applyFill="1" applyBorder="1" applyAlignment="1" applyProtection="1">
      <alignment horizontal="center" vertical="center" wrapText="1"/>
      <protection locked="0"/>
    </xf>
    <xf numFmtId="180" fontId="7" fillId="7" borderId="420" xfId="6" applyNumberFormat="1" applyFont="1" applyFill="1" applyBorder="1" applyAlignment="1" applyProtection="1">
      <alignment horizontal="right" vertical="center" shrinkToFit="1"/>
      <protection locked="0"/>
    </xf>
    <xf numFmtId="0" fontId="9" fillId="7" borderId="186" xfId="5" applyFont="1" applyFill="1" applyBorder="1" applyAlignment="1" applyProtection="1">
      <alignment horizontal="center" vertical="center" wrapText="1"/>
      <protection locked="0"/>
    </xf>
    <xf numFmtId="180" fontId="7" fillId="7" borderId="12" xfId="6" applyNumberFormat="1" applyFont="1" applyFill="1" applyBorder="1" applyAlignment="1" applyProtection="1">
      <alignment horizontal="right" vertical="center" shrinkToFit="1"/>
      <protection locked="0"/>
    </xf>
    <xf numFmtId="0" fontId="9" fillId="7" borderId="532" xfId="5" applyFont="1" applyFill="1" applyBorder="1" applyAlignment="1" applyProtection="1">
      <alignment horizontal="center" vertical="center" wrapText="1"/>
      <protection locked="0"/>
    </xf>
    <xf numFmtId="180" fontId="7" fillId="7" borderId="533" xfId="6" applyNumberFormat="1" applyFont="1" applyFill="1" applyBorder="1" applyAlignment="1" applyProtection="1">
      <alignment horizontal="right" vertical="center" shrinkToFit="1"/>
      <protection locked="0"/>
    </xf>
    <xf numFmtId="0" fontId="9" fillId="0" borderId="24" xfId="1" applyFont="1" applyBorder="1" applyAlignment="1">
      <alignment vertical="center" shrinkToFit="1"/>
    </xf>
    <xf numFmtId="0" fontId="9" fillId="0" borderId="1" xfId="7" applyFont="1" applyBorder="1">
      <alignment vertical="center"/>
    </xf>
    <xf numFmtId="0" fontId="9" fillId="0" borderId="6" xfId="1" applyFont="1" applyBorder="1" applyAlignment="1">
      <alignment vertical="top" wrapText="1" shrinkToFit="1"/>
    </xf>
    <xf numFmtId="0" fontId="9" fillId="0" borderId="6" xfId="1" applyFont="1" applyBorder="1" applyAlignment="1">
      <alignment horizontal="center" vertical="center" shrinkToFit="1"/>
    </xf>
    <xf numFmtId="0" fontId="9" fillId="0" borderId="26" xfId="1" applyFont="1" applyBorder="1" applyAlignment="1">
      <alignment vertical="center" shrinkToFit="1"/>
    </xf>
    <xf numFmtId="0" fontId="9" fillId="0" borderId="5" xfId="7" applyFont="1" applyBorder="1">
      <alignment vertical="center"/>
    </xf>
    <xf numFmtId="0" fontId="9" fillId="0" borderId="29" xfId="1" applyFont="1" applyBorder="1" applyAlignment="1">
      <alignment vertical="center" shrinkToFit="1"/>
    </xf>
    <xf numFmtId="0" fontId="9" fillId="0" borderId="105" xfId="7" applyFont="1" applyBorder="1">
      <alignment vertical="center"/>
    </xf>
    <xf numFmtId="0" fontId="9" fillId="0" borderId="5" xfId="1" applyFont="1" applyBorder="1" applyAlignment="1">
      <alignment vertical="center" shrinkToFit="1"/>
    </xf>
    <xf numFmtId="0" fontId="9" fillId="0" borderId="5" xfId="1" applyFont="1" applyBorder="1" applyAlignment="1">
      <alignment vertical="center" wrapText="1" shrinkToFit="1"/>
    </xf>
    <xf numFmtId="0" fontId="9" fillId="0" borderId="105" xfId="1" applyFont="1" applyBorder="1" applyAlignment="1">
      <alignment vertical="center" shrinkToFit="1"/>
    </xf>
    <xf numFmtId="0" fontId="9" fillId="0" borderId="1" xfId="1" applyFont="1" applyBorder="1" applyAlignment="1">
      <alignment vertical="center" shrinkToFit="1"/>
    </xf>
    <xf numFmtId="0" fontId="9" fillId="0" borderId="23" xfId="1" applyFont="1" applyBorder="1" applyAlignment="1">
      <alignment vertical="center" shrinkToFit="1"/>
    </xf>
    <xf numFmtId="0" fontId="9" fillId="0" borderId="6" xfId="1" applyFont="1" applyBorder="1" applyAlignment="1">
      <alignment vertical="center" wrapText="1"/>
    </xf>
    <xf numFmtId="0" fontId="9" fillId="0" borderId="1" xfId="1" applyFont="1" applyBorder="1" applyAlignment="1">
      <alignment vertical="center" wrapText="1"/>
    </xf>
    <xf numFmtId="0" fontId="9" fillId="0" borderId="5" xfId="1" applyFont="1" applyBorder="1" applyAlignment="1">
      <alignment vertical="center" wrapText="1"/>
    </xf>
    <xf numFmtId="0" fontId="9" fillId="0" borderId="105" xfId="1" applyFont="1" applyBorder="1" applyAlignment="1">
      <alignment vertical="center" wrapText="1"/>
    </xf>
    <xf numFmtId="0" fontId="9" fillId="0" borderId="6" xfId="8" applyFont="1" applyBorder="1" applyAlignment="1">
      <alignment vertical="center" wrapText="1" shrinkToFit="1"/>
    </xf>
    <xf numFmtId="0" fontId="9" fillId="0" borderId="105" xfId="8" applyFont="1" applyBorder="1" applyAlignment="1">
      <alignment vertical="center" shrinkToFit="1"/>
    </xf>
    <xf numFmtId="0" fontId="9" fillId="0" borderId="6" xfId="1" applyFont="1" applyBorder="1" applyAlignment="1">
      <alignment vertical="center" wrapText="1" shrinkToFit="1"/>
    </xf>
    <xf numFmtId="0" fontId="9" fillId="0" borderId="6" xfId="1" applyFont="1" applyBorder="1" applyAlignment="1">
      <alignment vertical="center" shrinkToFit="1"/>
    </xf>
    <xf numFmtId="0" fontId="3" fillId="0" borderId="28" xfId="1" applyBorder="1" applyAlignment="1">
      <alignment vertical="center" wrapText="1"/>
    </xf>
    <xf numFmtId="0" fontId="3" fillId="0" borderId="6" xfId="1" applyBorder="1" applyAlignment="1">
      <alignment vertical="center" wrapText="1"/>
    </xf>
    <xf numFmtId="0" fontId="9" fillId="0" borderId="6" xfId="9" applyFont="1" applyBorder="1" applyAlignment="1">
      <alignment horizontal="center" vertical="center" shrinkToFit="1"/>
    </xf>
    <xf numFmtId="0" fontId="9" fillId="0" borderId="0" xfId="7" applyFont="1" applyAlignment="1">
      <alignment vertical="center" shrinkToFit="1"/>
    </xf>
    <xf numFmtId="0" fontId="9" fillId="0" borderId="0" xfId="8" applyFont="1" applyAlignment="1">
      <alignment vertical="center" shrinkToFit="1"/>
    </xf>
    <xf numFmtId="0" fontId="3" fillId="0" borderId="0" xfId="1" applyAlignment="1">
      <alignment shrinkToFit="1"/>
    </xf>
    <xf numFmtId="0" fontId="3" fillId="0" borderId="0" xfId="1" applyAlignment="1">
      <alignment horizontal="center" vertical="center" shrinkToFit="1"/>
    </xf>
    <xf numFmtId="0" fontId="9" fillId="0" borderId="0" xfId="3" applyFont="1" applyAlignment="1">
      <alignment vertical="center" shrinkToFit="1"/>
    </xf>
    <xf numFmtId="0" fontId="3" fillId="0" borderId="0" xfId="1" applyAlignment="1">
      <alignment horizontal="center" shrinkToFit="1"/>
    </xf>
    <xf numFmtId="0" fontId="9" fillId="0" borderId="0" xfId="7" applyFont="1" applyAlignment="1">
      <alignment horizontal="left" vertical="center" wrapText="1"/>
    </xf>
    <xf numFmtId="0" fontId="9" fillId="8" borderId="0" xfId="7" applyFont="1" applyFill="1" applyAlignment="1">
      <alignment horizontal="center" vertical="center" wrapText="1"/>
    </xf>
    <xf numFmtId="0" fontId="9" fillId="3" borderId="0" xfId="7" applyFont="1" applyFill="1" applyAlignment="1">
      <alignment horizontal="center" vertical="center" wrapText="1"/>
    </xf>
    <xf numFmtId="0" fontId="9" fillId="0" borderId="0" xfId="7" applyFont="1" applyAlignment="1">
      <alignment horizontal="center" vertical="center" wrapText="1"/>
    </xf>
    <xf numFmtId="0" fontId="9" fillId="0" borderId="0" xfId="3" applyFont="1" applyAlignment="1">
      <alignment horizontal="center" vertical="center" wrapText="1"/>
    </xf>
    <xf numFmtId="0" fontId="9" fillId="8" borderId="0" xfId="8" applyFont="1" applyFill="1" applyAlignment="1">
      <alignment horizontal="center" vertical="center" wrapText="1"/>
    </xf>
    <xf numFmtId="0" fontId="9" fillId="0" borderId="0" xfId="8" applyFont="1" applyAlignment="1">
      <alignment horizontal="center" vertical="center" wrapText="1"/>
    </xf>
    <xf numFmtId="0" fontId="3" fillId="2" borderId="28" xfId="1" applyFill="1" applyBorder="1" applyAlignment="1">
      <alignment vertical="center"/>
    </xf>
    <xf numFmtId="0" fontId="3" fillId="2" borderId="28" xfId="1" applyFill="1" applyBorder="1" applyAlignment="1">
      <alignment horizontal="center" vertical="center"/>
    </xf>
    <xf numFmtId="0" fontId="3" fillId="2" borderId="0" xfId="1" applyFill="1" applyAlignment="1">
      <alignment horizontal="center" vertical="center"/>
    </xf>
    <xf numFmtId="0" fontId="9" fillId="9" borderId="0" xfId="7" applyFont="1" applyFill="1" applyAlignment="1">
      <alignment horizontal="center" vertical="center" wrapText="1"/>
    </xf>
    <xf numFmtId="0" fontId="9" fillId="0" borderId="0" xfId="7" applyFont="1">
      <alignment vertical="center"/>
    </xf>
    <xf numFmtId="0" fontId="9" fillId="0" borderId="16" xfId="7" applyFont="1" applyBorder="1" applyAlignment="1">
      <alignment vertical="center" shrinkToFit="1"/>
    </xf>
    <xf numFmtId="0" fontId="9" fillId="0" borderId="23" xfId="7" applyFont="1" applyBorder="1" applyAlignment="1">
      <alignment horizontal="center" vertical="center"/>
    </xf>
    <xf numFmtId="0" fontId="9" fillId="0" borderId="24" xfId="7" applyFont="1" applyBorder="1" applyAlignment="1">
      <alignment horizontal="center" vertical="center"/>
    </xf>
    <xf numFmtId="0" fontId="9" fillId="0" borderId="1" xfId="7" applyFont="1" applyBorder="1" applyAlignment="1">
      <alignment vertical="center" shrinkToFit="1"/>
    </xf>
    <xf numFmtId="0" fontId="9" fillId="0" borderId="1" xfId="8" applyFont="1" applyBorder="1" applyAlignment="1">
      <alignment vertical="center" shrinkToFit="1"/>
    </xf>
    <xf numFmtId="0" fontId="9" fillId="0" borderId="1" xfId="8" applyFont="1" applyBorder="1" applyAlignment="1">
      <alignment vertical="center" wrapText="1" shrinkToFit="1"/>
    </xf>
    <xf numFmtId="0" fontId="9" fillId="0" borderId="0" xfId="3" applyFont="1" applyAlignment="1">
      <alignment vertical="center"/>
    </xf>
    <xf numFmtId="0" fontId="9" fillId="0" borderId="0" xfId="8" applyFont="1">
      <alignment vertical="center"/>
    </xf>
    <xf numFmtId="0" fontId="9" fillId="0" borderId="1" xfId="8" applyFont="1" applyBorder="1">
      <alignment vertical="center"/>
    </xf>
    <xf numFmtId="0" fontId="9" fillId="0" borderId="1" xfId="9" applyFont="1" applyBorder="1" applyAlignment="1">
      <alignment vertical="center" shrinkToFit="1"/>
    </xf>
    <xf numFmtId="0" fontId="9" fillId="0" borderId="6" xfId="7" applyFont="1" applyBorder="1" applyAlignment="1">
      <alignment vertical="center" wrapText="1"/>
    </xf>
    <xf numFmtId="0" fontId="9" fillId="0" borderId="6" xfId="7" applyFont="1" applyBorder="1">
      <alignment vertical="center"/>
    </xf>
    <xf numFmtId="0" fontId="9" fillId="0" borderId="6" xfId="7" applyFont="1" applyBorder="1" applyAlignment="1">
      <alignment horizontal="center" vertical="center"/>
    </xf>
    <xf numFmtId="0" fontId="9" fillId="0" borderId="25" xfId="7" applyFont="1" applyBorder="1" applyAlignment="1">
      <alignment vertical="center" shrinkToFit="1"/>
    </xf>
    <xf numFmtId="0" fontId="9" fillId="0" borderId="0" xfId="7" applyFont="1" applyAlignment="1">
      <alignment horizontal="center" vertical="center"/>
    </xf>
    <xf numFmtId="0" fontId="9" fillId="0" borderId="26" xfId="7" applyFont="1" applyBorder="1" applyAlignment="1">
      <alignment horizontal="center" vertical="center"/>
    </xf>
    <xf numFmtId="0" fontId="9" fillId="0" borderId="105" xfId="7" applyFont="1" applyBorder="1" applyAlignment="1">
      <alignment vertical="center" shrinkToFit="1"/>
    </xf>
    <xf numFmtId="0" fontId="9" fillId="0" borderId="5" xfId="7" applyFont="1" applyBorder="1" applyAlignment="1">
      <alignment vertical="center" shrinkToFit="1"/>
    </xf>
    <xf numFmtId="0" fontId="9" fillId="0" borderId="5" xfId="8" applyFont="1" applyBorder="1" applyAlignment="1">
      <alignment vertical="center" shrinkToFit="1"/>
    </xf>
    <xf numFmtId="0" fontId="9" fillId="0" borderId="5" xfId="8" applyFont="1" applyBorder="1">
      <alignment vertical="center"/>
    </xf>
    <xf numFmtId="0" fontId="9" fillId="0" borderId="105" xfId="8" applyFont="1" applyBorder="1">
      <alignment vertical="center"/>
    </xf>
    <xf numFmtId="0" fontId="9" fillId="0" borderId="5" xfId="9" applyFont="1" applyBorder="1" applyAlignment="1">
      <alignment vertical="center" shrinkToFit="1"/>
    </xf>
    <xf numFmtId="0" fontId="9" fillId="0" borderId="5" xfId="8" applyFont="1" applyBorder="1" applyAlignment="1">
      <alignment vertical="center" wrapText="1" shrinkToFit="1"/>
    </xf>
    <xf numFmtId="0" fontId="9" fillId="0" borderId="23" xfId="8" applyFont="1" applyBorder="1">
      <alignment vertical="center"/>
    </xf>
    <xf numFmtId="0" fontId="24" fillId="0" borderId="28" xfId="1" applyFont="1" applyBorder="1" applyAlignment="1">
      <alignment vertical="center" wrapText="1"/>
    </xf>
    <xf numFmtId="0" fontId="9" fillId="0" borderId="1" xfId="7" applyFont="1" applyBorder="1" applyAlignment="1">
      <alignment vertical="center" wrapText="1"/>
    </xf>
    <xf numFmtId="0" fontId="9" fillId="0" borderId="5" xfId="7" applyFont="1" applyBorder="1" applyAlignment="1">
      <alignment vertical="center" wrapText="1"/>
    </xf>
    <xf numFmtId="0" fontId="9" fillId="0" borderId="105" xfId="7" applyFont="1" applyBorder="1" applyAlignment="1">
      <alignment vertical="center" wrapText="1"/>
    </xf>
    <xf numFmtId="0" fontId="3" fillId="0" borderId="28" xfId="0" applyFont="1" applyBorder="1" applyAlignment="1">
      <alignment vertical="center" wrapText="1"/>
    </xf>
    <xf numFmtId="0" fontId="3" fillId="0" borderId="6" xfId="0" applyFont="1" applyBorder="1" applyAlignment="1">
      <alignment horizontal="center" vertical="center" wrapText="1"/>
    </xf>
    <xf numFmtId="0" fontId="9" fillId="0" borderId="6" xfId="0" applyFont="1" applyBorder="1" applyAlignment="1">
      <alignment horizontal="center" vertical="center" shrinkToFit="1"/>
    </xf>
    <xf numFmtId="0" fontId="9" fillId="0" borderId="27" xfId="7" applyFont="1" applyBorder="1" applyAlignment="1">
      <alignment vertical="center" shrinkToFit="1"/>
    </xf>
    <xf numFmtId="0" fontId="9" fillId="0" borderId="28" xfId="7" applyFont="1" applyBorder="1" applyAlignment="1">
      <alignment horizontal="center" vertical="center"/>
    </xf>
    <xf numFmtId="0" fontId="9" fillId="0" borderId="29" xfId="7" applyFont="1" applyBorder="1" applyAlignment="1">
      <alignment horizontal="center" vertical="center"/>
    </xf>
    <xf numFmtId="0" fontId="24" fillId="0" borderId="6" xfId="1" applyFont="1" applyBorder="1" applyAlignment="1">
      <alignment vertical="center" wrapText="1"/>
    </xf>
    <xf numFmtId="0" fontId="9" fillId="3" borderId="0" xfId="7" applyFont="1" applyFill="1" applyAlignment="1">
      <alignment horizontal="center" vertical="center"/>
    </xf>
    <xf numFmtId="0" fontId="9" fillId="0" borderId="105" xfId="7" applyFont="1" applyBorder="1" applyAlignment="1">
      <alignment vertical="center" wrapText="1" shrinkToFit="1"/>
    </xf>
    <xf numFmtId="0" fontId="9" fillId="10" borderId="0" xfId="7" applyFont="1" applyFill="1">
      <alignment vertical="center"/>
    </xf>
    <xf numFmtId="0" fontId="9" fillId="0" borderId="520" xfId="7" quotePrefix="1" applyFont="1" applyBorder="1" applyAlignment="1">
      <alignment horizontal="center" vertical="center"/>
    </xf>
    <xf numFmtId="0" fontId="9" fillId="0" borderId="6" xfId="7" applyFont="1" applyBorder="1" applyAlignment="1">
      <alignment vertical="center" wrapText="1" shrinkToFit="1"/>
    </xf>
    <xf numFmtId="0" fontId="9" fillId="0" borderId="520" xfId="7" applyFont="1" applyBorder="1" applyAlignment="1">
      <alignment horizontal="center" vertical="center"/>
    </xf>
    <xf numFmtId="0" fontId="9" fillId="0" borderId="6" xfId="8" applyFont="1" applyBorder="1">
      <alignment vertical="center"/>
    </xf>
    <xf numFmtId="0" fontId="9" fillId="11" borderId="6" xfId="7" applyFont="1" applyFill="1" applyBorder="1">
      <alignment vertical="center"/>
    </xf>
    <xf numFmtId="0" fontId="31" fillId="0" borderId="5" xfId="7" applyFont="1" applyBorder="1" applyAlignment="1">
      <alignment vertical="center" wrapText="1" shrinkToFit="1"/>
    </xf>
    <xf numFmtId="0" fontId="9" fillId="0" borderId="0" xfId="7" applyFont="1" applyAlignment="1">
      <alignment vertical="center" wrapText="1" shrinkToFit="1"/>
    </xf>
    <xf numFmtId="0" fontId="9" fillId="0" borderId="6" xfId="7" applyFont="1" applyBorder="1" applyAlignment="1">
      <alignment vertical="center" shrinkToFit="1"/>
    </xf>
    <xf numFmtId="0" fontId="9" fillId="0" borderId="23" xfId="9" applyFont="1" applyBorder="1" applyAlignment="1">
      <alignment vertical="center"/>
    </xf>
    <xf numFmtId="0" fontId="9" fillId="0" borderId="0" xfId="9" applyFont="1" applyAlignment="1">
      <alignment vertical="center"/>
    </xf>
    <xf numFmtId="184" fontId="7" fillId="0" borderId="1" xfId="2" applyNumberFormat="1" applyFont="1" applyFill="1" applyBorder="1" applyAlignment="1" applyProtection="1">
      <alignment horizontal="right" vertical="center" shrinkToFit="1"/>
    </xf>
    <xf numFmtId="184" fontId="7" fillId="0" borderId="6" xfId="2" applyNumberFormat="1" applyFont="1" applyFill="1" applyBorder="1" applyAlignment="1" applyProtection="1">
      <alignment horizontal="right" vertical="center" shrinkToFit="1"/>
    </xf>
    <xf numFmtId="184" fontId="7" fillId="0" borderId="95" xfId="2" applyNumberFormat="1" applyFont="1" applyFill="1" applyBorder="1" applyAlignment="1" applyProtection="1">
      <alignment horizontal="right" vertical="center" shrinkToFit="1"/>
    </xf>
    <xf numFmtId="184" fontId="7" fillId="0" borderId="97" xfId="2" applyNumberFormat="1" applyFont="1" applyFill="1" applyBorder="1" applyAlignment="1" applyProtection="1">
      <alignment horizontal="right" vertical="center" shrinkToFit="1"/>
    </xf>
    <xf numFmtId="184" fontId="7" fillId="0" borderId="4" xfId="2" applyNumberFormat="1" applyFont="1" applyFill="1" applyBorder="1" applyAlignment="1" applyProtection="1">
      <alignment horizontal="right" vertical="center" shrinkToFit="1"/>
    </xf>
    <xf numFmtId="184" fontId="7" fillId="0" borderId="2" xfId="2" applyNumberFormat="1" applyFont="1" applyFill="1" applyBorder="1" applyAlignment="1" applyProtection="1">
      <alignment horizontal="right" vertical="center" shrinkToFit="1"/>
    </xf>
    <xf numFmtId="184" fontId="7" fillId="0" borderId="498" xfId="2" applyNumberFormat="1" applyFont="1" applyFill="1" applyBorder="1" applyAlignment="1" applyProtection="1">
      <alignment horizontal="right" vertical="center" shrinkToFit="1"/>
    </xf>
    <xf numFmtId="184" fontId="7" fillId="0" borderId="3" xfId="2" applyNumberFormat="1" applyFont="1" applyFill="1" applyBorder="1" applyAlignment="1" applyProtection="1">
      <alignment horizontal="right" vertical="center" shrinkToFit="1"/>
    </xf>
    <xf numFmtId="184" fontId="7" fillId="0" borderId="499" xfId="2" applyNumberFormat="1" applyFont="1" applyFill="1" applyBorder="1" applyAlignment="1" applyProtection="1">
      <alignment horizontal="right" vertical="center" shrinkToFit="1"/>
    </xf>
    <xf numFmtId="184" fontId="7" fillId="0" borderId="108" xfId="2" applyNumberFormat="1" applyFont="1" applyFill="1" applyBorder="1" applyAlignment="1" applyProtection="1">
      <alignment horizontal="right" vertical="center" shrinkToFit="1"/>
    </xf>
    <xf numFmtId="184" fontId="7" fillId="0" borderId="120" xfId="2" applyNumberFormat="1" applyFont="1" applyFill="1" applyBorder="1" applyAlignment="1" applyProtection="1">
      <alignment horizontal="right" vertical="center" shrinkToFit="1"/>
    </xf>
    <xf numFmtId="184" fontId="7" fillId="0" borderId="503" xfId="2" applyNumberFormat="1" applyFont="1" applyFill="1" applyBorder="1" applyAlignment="1" applyProtection="1">
      <alignment horizontal="right" vertical="center" shrinkToFit="1"/>
    </xf>
    <xf numFmtId="184" fontId="7" fillId="0" borderId="209" xfId="2" applyNumberFormat="1" applyFont="1" applyFill="1" applyBorder="1" applyAlignment="1" applyProtection="1">
      <alignment horizontal="right" vertical="center" shrinkToFit="1"/>
    </xf>
    <xf numFmtId="184" fontId="7" fillId="0" borderId="397" xfId="2" applyNumberFormat="1" applyFont="1" applyFill="1" applyBorder="1" applyAlignment="1" applyProtection="1">
      <alignment horizontal="right" vertical="center" shrinkToFit="1"/>
    </xf>
    <xf numFmtId="184" fontId="7" fillId="0" borderId="99" xfId="2" applyNumberFormat="1" applyFont="1" applyFill="1" applyBorder="1" applyAlignment="1" applyProtection="1">
      <alignment horizontal="right" vertical="center" shrinkToFit="1"/>
    </xf>
    <xf numFmtId="184" fontId="7" fillId="0" borderId="101" xfId="2" applyNumberFormat="1" applyFont="1" applyFill="1" applyBorder="1" applyAlignment="1" applyProtection="1">
      <alignment horizontal="right" vertical="center" shrinkToFit="1"/>
    </xf>
    <xf numFmtId="184" fontId="7" fillId="0" borderId="520" xfId="2" applyNumberFormat="1" applyFont="1" applyFill="1" applyBorder="1" applyAlignment="1" applyProtection="1">
      <alignment horizontal="right" vertical="center" shrinkToFit="1"/>
    </xf>
    <xf numFmtId="191" fontId="7" fillId="3" borderId="408" xfId="1" applyNumberFormat="1" applyFont="1" applyFill="1" applyBorder="1" applyAlignment="1" applyProtection="1">
      <alignment horizontal="right" vertical="center" shrinkToFit="1"/>
      <protection locked="0"/>
    </xf>
    <xf numFmtId="191" fontId="7" fillId="3" borderId="6" xfId="1" applyNumberFormat="1" applyFont="1" applyFill="1" applyBorder="1" applyAlignment="1" applyProtection="1">
      <alignment horizontal="right" vertical="center" shrinkToFit="1"/>
      <protection locked="0"/>
    </xf>
    <xf numFmtId="191" fontId="7" fillId="3" borderId="2" xfId="1" applyNumberFormat="1" applyFont="1" applyFill="1" applyBorder="1" applyAlignment="1" applyProtection="1">
      <alignment horizontal="right" vertical="center" shrinkToFit="1"/>
      <protection locked="0"/>
    </xf>
    <xf numFmtId="191" fontId="7" fillId="3" borderId="410" xfId="1" applyNumberFormat="1" applyFont="1" applyFill="1" applyBorder="1" applyAlignment="1" applyProtection="1">
      <alignment horizontal="right" vertical="center" shrinkToFit="1"/>
      <protection locked="0"/>
    </xf>
    <xf numFmtId="191" fontId="7" fillId="3" borderId="57" xfId="1" applyNumberFormat="1" applyFont="1" applyFill="1" applyBorder="1" applyAlignment="1" applyProtection="1">
      <alignment horizontal="right" vertical="center" shrinkToFit="1"/>
      <protection locked="0"/>
    </xf>
    <xf numFmtId="191" fontId="7" fillId="3" borderId="194" xfId="1" applyNumberFormat="1" applyFont="1" applyFill="1" applyBorder="1" applyAlignment="1" applyProtection="1">
      <alignment horizontal="right" vertical="center" shrinkToFit="1"/>
      <protection locked="0"/>
    </xf>
    <xf numFmtId="191" fontId="7" fillId="3" borderId="500" xfId="1" applyNumberFormat="1" applyFont="1" applyFill="1" applyBorder="1" applyAlignment="1" applyProtection="1">
      <alignment horizontal="right" vertical="center" shrinkToFit="1"/>
      <protection locked="0"/>
    </xf>
    <xf numFmtId="191" fontId="7" fillId="3" borderId="501" xfId="1" applyNumberFormat="1" applyFont="1" applyFill="1" applyBorder="1" applyAlignment="1" applyProtection="1">
      <alignment horizontal="right" vertical="center" shrinkToFit="1"/>
      <protection locked="0"/>
    </xf>
    <xf numFmtId="191" fontId="7" fillId="3" borderId="468" xfId="1" applyNumberFormat="1" applyFont="1" applyFill="1" applyBorder="1" applyAlignment="1" applyProtection="1">
      <alignment horizontal="right" vertical="center" shrinkToFit="1"/>
      <protection locked="0"/>
    </xf>
    <xf numFmtId="191" fontId="7" fillId="3" borderId="502" xfId="1" applyNumberFormat="1" applyFont="1" applyFill="1" applyBorder="1" applyAlignment="1" applyProtection="1">
      <alignment horizontal="right" vertical="center" shrinkToFit="1"/>
      <protection locked="0"/>
    </xf>
    <xf numFmtId="191" fontId="7" fillId="3" borderId="113" xfId="1" applyNumberFormat="1" applyFont="1" applyFill="1" applyBorder="1" applyAlignment="1" applyProtection="1">
      <alignment horizontal="right" vertical="center" shrinkToFit="1"/>
      <protection locked="0"/>
    </xf>
    <xf numFmtId="191" fontId="7" fillId="3" borderId="504" xfId="1" applyNumberFormat="1" applyFont="1" applyFill="1" applyBorder="1" applyAlignment="1" applyProtection="1">
      <alignment horizontal="right" vertical="center" shrinkToFit="1"/>
      <protection locked="0"/>
    </xf>
    <xf numFmtId="191" fontId="7" fillId="3" borderId="8" xfId="1" applyNumberFormat="1" applyFont="1" applyFill="1" applyBorder="1" applyAlignment="1" applyProtection="1">
      <alignment horizontal="right" vertical="center" shrinkToFit="1"/>
      <protection locked="0"/>
    </xf>
    <xf numFmtId="191" fontId="7" fillId="3" borderId="505" xfId="1" applyNumberFormat="1" applyFont="1" applyFill="1" applyBorder="1" applyAlignment="1" applyProtection="1">
      <alignment horizontal="right" vertical="center" shrinkToFit="1"/>
      <protection locked="0"/>
    </xf>
    <xf numFmtId="191" fontId="7" fillId="3" borderId="506" xfId="1" applyNumberFormat="1" applyFont="1" applyFill="1" applyBorder="1" applyAlignment="1" applyProtection="1">
      <alignment horizontal="right" vertical="center" shrinkToFit="1"/>
      <protection locked="0"/>
    </xf>
    <xf numFmtId="191" fontId="7" fillId="3" borderId="507" xfId="1" applyNumberFormat="1" applyFont="1" applyFill="1" applyBorder="1" applyAlignment="1" applyProtection="1">
      <alignment horizontal="right" vertical="center" shrinkToFit="1"/>
      <protection locked="0"/>
    </xf>
    <xf numFmtId="191" fontId="8" fillId="0" borderId="508" xfId="1" applyNumberFormat="1" applyFont="1" applyBorder="1" applyAlignment="1" applyProtection="1">
      <alignment horizontal="center" vertical="center" shrinkToFit="1"/>
      <protection locked="0"/>
    </xf>
    <xf numFmtId="191" fontId="8" fillId="0" borderId="509" xfId="1" applyNumberFormat="1" applyFont="1" applyBorder="1" applyAlignment="1" applyProtection="1">
      <alignment horizontal="center" vertical="center" shrinkToFit="1"/>
      <protection locked="0"/>
    </xf>
    <xf numFmtId="191" fontId="7" fillId="3" borderId="514" xfId="1" applyNumberFormat="1" applyFont="1" applyFill="1" applyBorder="1" applyAlignment="1" applyProtection="1">
      <alignment horizontal="right" vertical="center" shrinkToFit="1"/>
      <protection locked="0"/>
    </xf>
    <xf numFmtId="191" fontId="7" fillId="3" borderId="515" xfId="1" applyNumberFormat="1" applyFont="1" applyFill="1" applyBorder="1" applyAlignment="1" applyProtection="1">
      <alignment horizontal="right" vertical="center" shrinkToFit="1"/>
      <protection locked="0"/>
    </xf>
    <xf numFmtId="191" fontId="7" fillId="3" borderId="516" xfId="1" applyNumberFormat="1" applyFont="1" applyFill="1" applyBorder="1" applyAlignment="1" applyProtection="1">
      <alignment horizontal="right" vertical="center" shrinkToFit="1"/>
      <protection locked="0"/>
    </xf>
    <xf numFmtId="191" fontId="7" fillId="3" borderId="517" xfId="1" applyNumberFormat="1" applyFont="1" applyFill="1" applyBorder="1" applyAlignment="1" applyProtection="1">
      <alignment horizontal="right" vertical="center" shrinkToFit="1"/>
      <protection locked="0"/>
    </xf>
    <xf numFmtId="191" fontId="7" fillId="3" borderId="518" xfId="1" applyNumberFormat="1" applyFont="1" applyFill="1" applyBorder="1" applyAlignment="1" applyProtection="1">
      <alignment horizontal="right" vertical="center" shrinkToFit="1"/>
      <protection locked="0"/>
    </xf>
    <xf numFmtId="184" fontId="7" fillId="0" borderId="1" xfId="1" applyNumberFormat="1" applyFont="1" applyBorder="1" applyAlignment="1">
      <alignment vertical="center" shrinkToFit="1"/>
    </xf>
    <xf numFmtId="184" fontId="7" fillId="0" borderId="529" xfId="1" applyNumberFormat="1" applyFont="1" applyBorder="1" applyAlignment="1">
      <alignment vertical="center" shrinkToFit="1"/>
    </xf>
    <xf numFmtId="184" fontId="7" fillId="0" borderId="530" xfId="1" applyNumberFormat="1" applyFont="1" applyBorder="1" applyAlignment="1">
      <alignment vertical="center" shrinkToFit="1"/>
    </xf>
    <xf numFmtId="184" fontId="7" fillId="0" borderId="531" xfId="1" applyNumberFormat="1" applyFont="1" applyBorder="1" applyAlignment="1">
      <alignment vertical="center" shrinkToFit="1"/>
    </xf>
    <xf numFmtId="184" fontId="7" fillId="0" borderId="3" xfId="1" applyNumberFormat="1" applyFont="1" applyBorder="1" applyAlignment="1">
      <alignment vertical="center" shrinkToFit="1"/>
    </xf>
    <xf numFmtId="3" fontId="7" fillId="3" borderId="57" xfId="1" applyNumberFormat="1" applyFont="1" applyFill="1" applyBorder="1" applyAlignment="1" applyProtection="1">
      <alignment horizontal="right" vertical="center" shrinkToFit="1"/>
      <protection locked="0"/>
    </xf>
    <xf numFmtId="180" fontId="7" fillId="0" borderId="534" xfId="1" applyNumberFormat="1" applyFont="1" applyBorder="1" applyAlignment="1">
      <alignment horizontal="center" vertical="center" shrinkToFit="1"/>
    </xf>
    <xf numFmtId="0" fontId="7" fillId="3" borderId="192" xfId="1" applyFont="1" applyFill="1" applyBorder="1" applyAlignment="1" applyProtection="1">
      <alignment horizontal="center" vertical="center" shrinkToFit="1"/>
      <protection locked="0"/>
    </xf>
    <xf numFmtId="0" fontId="7" fillId="4" borderId="214" xfId="1" applyFont="1" applyFill="1" applyBorder="1" applyAlignment="1" applyProtection="1">
      <alignment horizontal="center" vertical="center" shrinkToFit="1"/>
      <protection locked="0"/>
    </xf>
    <xf numFmtId="0" fontId="7" fillId="4" borderId="216" xfId="1" applyFont="1" applyFill="1" applyBorder="1" applyAlignment="1" applyProtection="1">
      <alignment horizontal="center" vertical="center" shrinkToFit="1"/>
      <protection locked="0"/>
    </xf>
    <xf numFmtId="0" fontId="7" fillId="4" borderId="186" xfId="1" applyFont="1" applyFill="1" applyBorder="1" applyAlignment="1" applyProtection="1">
      <alignment horizontal="center" vertical="center" shrinkToFit="1"/>
      <protection locked="0"/>
    </xf>
    <xf numFmtId="0" fontId="7" fillId="4" borderId="220" xfId="1" applyFont="1" applyFill="1" applyBorder="1" applyAlignment="1" applyProtection="1">
      <alignment horizontal="center" vertical="center" shrinkToFit="1"/>
      <protection locked="0"/>
    </xf>
    <xf numFmtId="0" fontId="7" fillId="3" borderId="223" xfId="1" applyFont="1" applyFill="1" applyBorder="1" applyAlignment="1" applyProtection="1">
      <alignment horizontal="center" vertical="center"/>
      <protection locked="0"/>
    </xf>
    <xf numFmtId="0" fontId="7" fillId="3" borderId="225" xfId="1" applyFont="1" applyFill="1" applyBorder="1" applyAlignment="1" applyProtection="1">
      <alignment horizontal="center" vertical="center"/>
      <protection locked="0"/>
    </xf>
    <xf numFmtId="0" fontId="7" fillId="3" borderId="227" xfId="1" applyFont="1" applyFill="1" applyBorder="1" applyAlignment="1" applyProtection="1">
      <alignment horizontal="center" vertical="center"/>
      <protection locked="0"/>
    </xf>
    <xf numFmtId="0" fontId="7" fillId="4" borderId="234" xfId="1" applyFont="1" applyFill="1" applyBorder="1" applyAlignment="1" applyProtection="1">
      <alignment horizontal="center" vertical="center" shrinkToFit="1"/>
      <protection locked="0"/>
    </xf>
    <xf numFmtId="0" fontId="7" fillId="4" borderId="235" xfId="1" applyFont="1" applyFill="1" applyBorder="1" applyAlignment="1" applyProtection="1">
      <alignment horizontal="center" vertical="center" shrinkToFit="1"/>
      <protection locked="0"/>
    </xf>
    <xf numFmtId="0" fontId="7" fillId="4" borderId="239" xfId="1" applyFont="1" applyFill="1" applyBorder="1" applyAlignment="1" applyProtection="1">
      <alignment horizontal="center" vertical="center" shrinkToFit="1"/>
      <protection locked="0"/>
    </xf>
    <xf numFmtId="0" fontId="7" fillId="3" borderId="378" xfId="1" applyFont="1" applyFill="1" applyBorder="1" applyAlignment="1" applyProtection="1">
      <alignment horizontal="center" vertical="center" shrinkToFit="1"/>
      <protection locked="0"/>
    </xf>
    <xf numFmtId="0" fontId="7" fillId="3" borderId="225" xfId="1" applyFont="1" applyFill="1" applyBorder="1" applyAlignment="1" applyProtection="1">
      <alignment horizontal="center" vertical="center" shrinkToFit="1"/>
      <protection locked="0"/>
    </xf>
    <xf numFmtId="0" fontId="7" fillId="3" borderId="385" xfId="1" applyFont="1" applyFill="1" applyBorder="1" applyAlignment="1" applyProtection="1">
      <alignment horizontal="center" vertical="center" shrinkToFit="1"/>
      <protection locked="0"/>
    </xf>
    <xf numFmtId="0" fontId="7" fillId="4" borderId="364" xfId="1" applyFont="1" applyFill="1" applyBorder="1" applyAlignment="1" applyProtection="1">
      <alignment horizontal="center" vertical="center" shrinkToFit="1"/>
      <protection locked="0"/>
    </xf>
    <xf numFmtId="0" fontId="7" fillId="4" borderId="387" xfId="1" applyFont="1" applyFill="1" applyBorder="1" applyAlignment="1" applyProtection="1">
      <alignment horizontal="center" vertical="center" shrinkToFit="1"/>
      <protection locked="0"/>
    </xf>
    <xf numFmtId="0" fontId="7" fillId="4" borderId="371" xfId="1" applyFont="1" applyFill="1" applyBorder="1" applyAlignment="1" applyProtection="1">
      <alignment horizontal="center" vertical="center" shrinkToFit="1"/>
      <protection locked="0"/>
    </xf>
    <xf numFmtId="0" fontId="7" fillId="4" borderId="395" xfId="1" applyFont="1" applyFill="1" applyBorder="1" applyAlignment="1" applyProtection="1">
      <alignment horizontal="center" vertical="center" shrinkToFit="1"/>
      <protection locked="0"/>
    </xf>
    <xf numFmtId="0" fontId="7" fillId="4" borderId="366" xfId="1" applyFont="1" applyFill="1" applyBorder="1" applyAlignment="1" applyProtection="1">
      <alignment horizontal="center" vertical="center" shrinkToFit="1"/>
      <protection locked="0"/>
    </xf>
    <xf numFmtId="0" fontId="7" fillId="4" borderId="74" xfId="1" applyFont="1" applyFill="1" applyBorder="1" applyAlignment="1" applyProtection="1">
      <alignment horizontal="center" vertical="center" shrinkToFit="1"/>
      <protection locked="0"/>
    </xf>
    <xf numFmtId="0" fontId="7" fillId="3" borderId="223" xfId="4" applyFont="1" applyFill="1" applyBorder="1" applyAlignment="1" applyProtection="1">
      <alignment horizontal="center" vertical="center" shrinkToFit="1"/>
      <protection locked="0"/>
    </xf>
    <xf numFmtId="0" fontId="7" fillId="3" borderId="225" xfId="4" applyFont="1" applyFill="1" applyBorder="1" applyAlignment="1" applyProtection="1">
      <alignment horizontal="center" vertical="center" shrinkToFit="1"/>
      <protection locked="0"/>
    </xf>
    <xf numFmtId="0" fontId="7" fillId="3" borderId="383" xfId="4" applyFont="1" applyFill="1" applyBorder="1" applyAlignment="1" applyProtection="1">
      <alignment horizontal="center" vertical="center" shrinkToFit="1"/>
      <protection locked="0"/>
    </xf>
    <xf numFmtId="0" fontId="7" fillId="3" borderId="385" xfId="4" applyFont="1" applyFill="1" applyBorder="1" applyAlignment="1" applyProtection="1">
      <alignment horizontal="center" vertical="center" shrinkToFit="1"/>
      <protection locked="0"/>
    </xf>
    <xf numFmtId="0" fontId="7" fillId="3" borderId="128" xfId="1" applyFont="1" applyFill="1" applyBorder="1" applyAlignment="1" applyProtection="1">
      <alignment horizontal="center" vertical="center" shrinkToFit="1"/>
      <protection locked="0"/>
    </xf>
    <xf numFmtId="0" fontId="7" fillId="3" borderId="468" xfId="1" applyFont="1" applyFill="1" applyBorder="1" applyAlignment="1" applyProtection="1">
      <alignment horizontal="center" vertical="center" shrinkToFit="1"/>
      <protection locked="0"/>
    </xf>
    <xf numFmtId="0" fontId="7" fillId="3" borderId="471" xfId="1" applyFont="1" applyFill="1" applyBorder="1" applyAlignment="1" applyProtection="1">
      <alignment horizontal="center" vertical="center" shrinkToFit="1"/>
      <protection locked="0"/>
    </xf>
    <xf numFmtId="0" fontId="7" fillId="3" borderId="472" xfId="1" applyFont="1" applyFill="1" applyBorder="1" applyAlignment="1" applyProtection="1">
      <alignment horizontal="center" vertical="center" shrinkToFit="1"/>
      <protection locked="0"/>
    </xf>
    <xf numFmtId="0" fontId="7" fillId="3" borderId="385" xfId="1" applyFont="1" applyFill="1" applyBorder="1" applyAlignment="1" applyProtection="1">
      <alignment horizontal="center" vertical="center"/>
      <protection locked="0"/>
    </xf>
    <xf numFmtId="0" fontId="7" fillId="3" borderId="528" xfId="1" applyFont="1" applyFill="1" applyBorder="1" applyAlignment="1" applyProtection="1">
      <alignment horizontal="center" vertical="center"/>
      <protection locked="0"/>
    </xf>
    <xf numFmtId="0" fontId="7" fillId="3" borderId="383" xfId="1" applyFont="1" applyFill="1" applyBorder="1" applyAlignment="1" applyProtection="1">
      <alignment horizontal="center" vertical="center" shrinkToFit="1"/>
      <protection locked="0"/>
    </xf>
    <xf numFmtId="0" fontId="7" fillId="7" borderId="406" xfId="4" applyFont="1" applyFill="1" applyBorder="1" applyAlignment="1" applyProtection="1">
      <alignment horizontal="center" vertical="center" shrinkToFit="1"/>
      <protection locked="0"/>
    </xf>
    <xf numFmtId="0" fontId="7" fillId="7" borderId="411" xfId="4" applyFont="1" applyFill="1" applyBorder="1" applyAlignment="1" applyProtection="1">
      <alignment horizontal="center" vertical="center" shrinkToFit="1"/>
      <protection locked="0"/>
    </xf>
    <xf numFmtId="0" fontId="7" fillId="7" borderId="415" xfId="4" applyFont="1" applyFill="1" applyBorder="1" applyAlignment="1" applyProtection="1">
      <alignment horizontal="center" vertical="center" shrinkToFit="1"/>
      <protection locked="0"/>
    </xf>
    <xf numFmtId="0" fontId="0" fillId="0" borderId="2" xfId="1" applyFont="1" applyBorder="1" applyAlignment="1">
      <alignment horizontal="center" vertical="center" wrapText="1"/>
    </xf>
    <xf numFmtId="0" fontId="3" fillId="0" borderId="3" xfId="1" applyBorder="1" applyAlignment="1">
      <alignment horizontal="center" vertical="center"/>
    </xf>
    <xf numFmtId="0" fontId="3" fillId="0" borderId="4" xfId="1" applyBorder="1" applyAlignment="1">
      <alignment horizontal="center" vertical="center"/>
    </xf>
    <xf numFmtId="0" fontId="4" fillId="0" borderId="1" xfId="1" applyFont="1" applyBorder="1" applyAlignment="1">
      <alignment horizontal="center" vertical="center" wrapText="1"/>
    </xf>
    <xf numFmtId="0" fontId="4" fillId="0" borderId="5" xfId="1" applyFont="1" applyBorder="1" applyAlignment="1">
      <alignment horizontal="center" vertical="center" wrapText="1"/>
    </xf>
    <xf numFmtId="0" fontId="4" fillId="0" borderId="7" xfId="1" applyFont="1" applyBorder="1" applyAlignment="1">
      <alignment horizontal="center" vertical="center" wrapText="1"/>
    </xf>
    <xf numFmtId="0" fontId="4" fillId="0" borderId="2" xfId="1" applyFont="1" applyBorder="1" applyAlignment="1">
      <alignment horizontal="center" vertical="center"/>
    </xf>
    <xf numFmtId="0" fontId="4" fillId="0" borderId="3" xfId="1" applyFont="1" applyBorder="1" applyAlignment="1">
      <alignment horizontal="center" vertical="center"/>
    </xf>
    <xf numFmtId="0" fontId="4" fillId="0" borderId="4" xfId="1" applyFont="1" applyBorder="1" applyAlignment="1">
      <alignment horizontal="center" vertical="center"/>
    </xf>
    <xf numFmtId="0" fontId="4" fillId="0" borderId="6" xfId="1" applyFont="1" applyBorder="1" applyAlignment="1">
      <alignment horizontal="center" vertical="center" wrapText="1"/>
    </xf>
    <xf numFmtId="0" fontId="4" fillId="0" borderId="8" xfId="1" applyFont="1" applyBorder="1" applyAlignment="1">
      <alignment horizontal="center" vertical="center" wrapText="1"/>
    </xf>
    <xf numFmtId="0" fontId="22" fillId="0" borderId="0" xfId="1" applyFont="1" applyAlignment="1">
      <alignment horizontal="center" vertical="center" shrinkToFit="1"/>
    </xf>
    <xf numFmtId="0" fontId="9" fillId="0" borderId="0" xfId="1" applyFont="1" applyAlignment="1">
      <alignment horizontal="distributed" vertical="center"/>
    </xf>
    <xf numFmtId="0" fontId="11" fillId="0" borderId="17" xfId="1" applyFont="1" applyBorder="1" applyAlignment="1">
      <alignment horizontal="center" vertical="center"/>
    </xf>
    <xf numFmtId="0" fontId="11" fillId="0" borderId="18" xfId="1" applyFont="1" applyBorder="1" applyAlignment="1">
      <alignment horizontal="center" vertical="center"/>
    </xf>
    <xf numFmtId="0" fontId="11" fillId="0" borderId="19" xfId="1" applyFont="1" applyBorder="1" applyAlignment="1">
      <alignment horizontal="center" vertical="center"/>
    </xf>
    <xf numFmtId="0" fontId="11" fillId="0" borderId="20" xfId="1" applyFont="1" applyBorder="1" applyAlignment="1">
      <alignment horizontal="center" vertical="center"/>
    </xf>
    <xf numFmtId="0" fontId="11" fillId="0" borderId="21" xfId="1" applyFont="1" applyBorder="1" applyAlignment="1">
      <alignment horizontal="center" vertical="center"/>
    </xf>
    <xf numFmtId="0" fontId="11" fillId="0" borderId="22" xfId="1" applyFont="1" applyBorder="1" applyAlignment="1">
      <alignment horizontal="center" vertical="center"/>
    </xf>
    <xf numFmtId="0" fontId="14" fillId="0" borderId="17" xfId="1" applyFont="1" applyBorder="1" applyAlignment="1">
      <alignment horizontal="center" vertical="center"/>
    </xf>
    <xf numFmtId="0" fontId="14" fillId="0" borderId="18" xfId="1" applyFont="1" applyBorder="1" applyAlignment="1">
      <alignment horizontal="center" vertical="center"/>
    </xf>
    <xf numFmtId="0" fontId="14" fillId="0" borderId="19" xfId="1" applyFont="1" applyBorder="1" applyAlignment="1">
      <alignment horizontal="center" vertical="center"/>
    </xf>
    <xf numFmtId="0" fontId="14" fillId="0" borderId="20" xfId="1" applyFont="1" applyBorder="1" applyAlignment="1">
      <alignment horizontal="center" vertical="center"/>
    </xf>
    <xf numFmtId="0" fontId="14" fillId="0" borderId="21" xfId="1" applyFont="1" applyBorder="1" applyAlignment="1">
      <alignment horizontal="center" vertical="center"/>
    </xf>
    <xf numFmtId="0" fontId="14" fillId="0" borderId="22" xfId="1" applyFont="1" applyBorder="1" applyAlignment="1">
      <alignment horizontal="center" vertical="center"/>
    </xf>
    <xf numFmtId="0" fontId="17" fillId="0" borderId="0" xfId="1" applyFont="1" applyAlignment="1">
      <alignment horizontal="center" vertical="center"/>
    </xf>
    <xf numFmtId="0" fontId="19" fillId="0" borderId="0" xfId="1" applyFont="1" applyAlignment="1">
      <alignment horizontal="center" vertical="center"/>
    </xf>
    <xf numFmtId="0" fontId="31" fillId="5" borderId="16" xfId="1" applyFont="1" applyFill="1" applyBorder="1" applyAlignment="1">
      <alignment horizontal="center" vertical="center" wrapText="1"/>
    </xf>
    <xf numFmtId="0" fontId="31" fillId="5" borderId="23" xfId="1" applyFont="1" applyFill="1" applyBorder="1" applyAlignment="1">
      <alignment horizontal="center" vertical="center" wrapText="1"/>
    </xf>
    <xf numFmtId="0" fontId="31" fillId="5" borderId="27" xfId="1" applyFont="1" applyFill="1" applyBorder="1" applyAlignment="1">
      <alignment horizontal="center" vertical="center" wrapText="1"/>
    </xf>
    <xf numFmtId="0" fontId="31" fillId="5" borderId="28" xfId="1" applyFont="1" applyFill="1" applyBorder="1" applyAlignment="1">
      <alignment horizontal="center" vertical="center" wrapText="1"/>
    </xf>
    <xf numFmtId="0" fontId="32" fillId="5" borderId="16" xfId="1" applyFont="1" applyFill="1" applyBorder="1" applyAlignment="1">
      <alignment horizontal="center" vertical="center"/>
    </xf>
    <xf numFmtId="0" fontId="32" fillId="0" borderId="23" xfId="1" applyFont="1" applyBorder="1" applyAlignment="1">
      <alignment horizontal="center" vertical="center"/>
    </xf>
    <xf numFmtId="0" fontId="32" fillId="0" borderId="24" xfId="1" applyFont="1" applyBorder="1" applyAlignment="1">
      <alignment horizontal="center" vertical="center"/>
    </xf>
    <xf numFmtId="0" fontId="32" fillId="0" borderId="27" xfId="1" applyFont="1" applyBorder="1" applyAlignment="1">
      <alignment horizontal="center" vertical="center"/>
    </xf>
    <xf numFmtId="0" fontId="32" fillId="0" borderId="28" xfId="1" applyFont="1" applyBorder="1" applyAlignment="1">
      <alignment horizontal="center" vertical="center"/>
    </xf>
    <xf numFmtId="0" fontId="32" fillId="0" borderId="29" xfId="1" applyFont="1" applyBorder="1" applyAlignment="1">
      <alignment horizontal="center" vertical="center"/>
    </xf>
    <xf numFmtId="0" fontId="28" fillId="0" borderId="0" xfId="1" quotePrefix="1" applyFont="1" applyAlignment="1">
      <alignment horizontal="left" vertical="top"/>
    </xf>
    <xf numFmtId="0" fontId="3" fillId="0" borderId="0" xfId="1" applyAlignment="1">
      <alignment horizontal="left" vertical="top"/>
    </xf>
    <xf numFmtId="0" fontId="3" fillId="0" borderId="0" xfId="1" applyAlignment="1">
      <alignment vertical="top"/>
    </xf>
    <xf numFmtId="0" fontId="3" fillId="0" borderId="0" xfId="1"/>
    <xf numFmtId="0" fontId="3" fillId="3" borderId="2" xfId="1" applyFill="1" applyBorder="1" applyAlignment="1">
      <alignment vertical="top"/>
    </xf>
    <xf numFmtId="0" fontId="3" fillId="3" borderId="3" xfId="1" applyFill="1" applyBorder="1" applyAlignment="1">
      <alignment vertical="top"/>
    </xf>
    <xf numFmtId="0" fontId="3" fillId="3" borderId="4" xfId="1" applyFill="1" applyBorder="1" applyAlignment="1">
      <alignment vertical="top"/>
    </xf>
    <xf numFmtId="0" fontId="3" fillId="4" borderId="2" xfId="1" applyFill="1" applyBorder="1" applyAlignment="1">
      <alignment vertical="top"/>
    </xf>
    <xf numFmtId="0" fontId="3" fillId="4" borderId="3" xfId="1" applyFill="1" applyBorder="1" applyAlignment="1">
      <alignment vertical="top"/>
    </xf>
    <xf numFmtId="0" fontId="3" fillId="4" borderId="4" xfId="1" applyFill="1" applyBorder="1" applyAlignment="1">
      <alignment vertical="top"/>
    </xf>
    <xf numFmtId="0" fontId="30" fillId="0" borderId="16" xfId="1" applyFont="1" applyBorder="1" applyAlignment="1">
      <alignment vertical="center"/>
    </xf>
    <xf numFmtId="0" fontId="3" fillId="0" borderId="23" xfId="1" applyBorder="1"/>
    <xf numFmtId="0" fontId="3" fillId="0" borderId="24" xfId="1" applyBorder="1"/>
    <xf numFmtId="0" fontId="28" fillId="0" borderId="25" xfId="1" applyFont="1" applyBorder="1" applyAlignment="1" applyProtection="1">
      <alignment horizontal="left" vertical="top" wrapText="1"/>
      <protection locked="0"/>
    </xf>
    <xf numFmtId="0" fontId="28" fillId="0" borderId="0" xfId="1" applyFont="1" applyAlignment="1" applyProtection="1">
      <alignment horizontal="left" vertical="top" wrapText="1"/>
      <protection locked="0"/>
    </xf>
    <xf numFmtId="0" fontId="28" fillId="0" borderId="26" xfId="1" applyFont="1" applyBorder="1" applyAlignment="1" applyProtection="1">
      <alignment horizontal="left" vertical="top" wrapText="1"/>
      <protection locked="0"/>
    </xf>
    <xf numFmtId="0" fontId="28" fillId="0" borderId="27" xfId="1" applyFont="1" applyBorder="1" applyAlignment="1" applyProtection="1">
      <alignment horizontal="left" vertical="top" wrapText="1"/>
      <protection locked="0"/>
    </xf>
    <xf numFmtId="0" fontId="28" fillId="0" borderId="28" xfId="1" applyFont="1" applyBorder="1" applyAlignment="1" applyProtection="1">
      <alignment horizontal="left" vertical="top" wrapText="1"/>
      <protection locked="0"/>
    </xf>
    <xf numFmtId="0" fontId="28" fillId="0" borderId="29" xfId="1" applyFont="1" applyBorder="1" applyAlignment="1" applyProtection="1">
      <alignment horizontal="left" vertical="top" wrapText="1"/>
      <protection locked="0"/>
    </xf>
    <xf numFmtId="0" fontId="44" fillId="0" borderId="17" xfId="1" applyFont="1" applyBorder="1" applyAlignment="1">
      <alignment horizontal="distributed" vertical="center" justifyLastLine="1"/>
    </xf>
    <xf numFmtId="0" fontId="44" fillId="0" borderId="18" xfId="1" applyFont="1" applyBorder="1" applyAlignment="1">
      <alignment horizontal="distributed" vertical="center" justifyLastLine="1"/>
    </xf>
    <xf numFmtId="0" fontId="44" fillId="0" borderId="19" xfId="1" applyFont="1" applyBorder="1" applyAlignment="1">
      <alignment horizontal="distributed" vertical="center" justifyLastLine="1"/>
    </xf>
    <xf numFmtId="0" fontId="44" fillId="0" borderId="20" xfId="1" applyFont="1" applyBorder="1" applyAlignment="1">
      <alignment horizontal="distributed" vertical="center" justifyLastLine="1"/>
    </xf>
    <xf numFmtId="0" fontId="44" fillId="0" borderId="21" xfId="1" applyFont="1" applyBorder="1" applyAlignment="1">
      <alignment horizontal="distributed" vertical="center" justifyLastLine="1"/>
    </xf>
    <xf numFmtId="0" fontId="44" fillId="0" borderId="22" xfId="1" applyFont="1" applyBorder="1" applyAlignment="1">
      <alignment horizontal="distributed" vertical="center" justifyLastLine="1"/>
    </xf>
    <xf numFmtId="0" fontId="9" fillId="0" borderId="17" xfId="1" applyFont="1" applyBorder="1" applyAlignment="1">
      <alignment horizontal="center" vertical="center"/>
    </xf>
    <xf numFmtId="0" fontId="9" fillId="0" borderId="18" xfId="1" applyFont="1" applyBorder="1" applyAlignment="1">
      <alignment horizontal="center" vertical="center"/>
    </xf>
    <xf numFmtId="0" fontId="9" fillId="0" borderId="30" xfId="1" applyFont="1" applyBorder="1" applyAlignment="1">
      <alignment horizontal="center" vertical="center"/>
    </xf>
    <xf numFmtId="0" fontId="9" fillId="0" borderId="32" xfId="1" applyFont="1" applyBorder="1" applyAlignment="1">
      <alignment horizontal="center" vertical="center"/>
    </xf>
    <xf numFmtId="0" fontId="9" fillId="0" borderId="33" xfId="1" applyFont="1" applyBorder="1" applyAlignment="1">
      <alignment horizontal="center" vertical="center"/>
    </xf>
    <xf numFmtId="0" fontId="9" fillId="0" borderId="34" xfId="1" applyFont="1" applyBorder="1" applyAlignment="1">
      <alignment horizontal="center" vertical="center"/>
    </xf>
    <xf numFmtId="0" fontId="45" fillId="0" borderId="31" xfId="1" applyFont="1" applyBorder="1" applyAlignment="1">
      <alignment horizontal="center" vertical="center" wrapText="1"/>
    </xf>
    <xf numFmtId="0" fontId="45" fillId="0" borderId="18" xfId="1" applyFont="1" applyBorder="1" applyAlignment="1">
      <alignment horizontal="center" vertical="center" wrapText="1"/>
    </xf>
    <xf numFmtId="0" fontId="45" fillId="0" borderId="19" xfId="1" applyFont="1" applyBorder="1" applyAlignment="1">
      <alignment horizontal="center" vertical="center" wrapText="1"/>
    </xf>
    <xf numFmtId="0" fontId="45" fillId="0" borderId="35" xfId="1" applyFont="1" applyBorder="1" applyAlignment="1">
      <alignment horizontal="center" vertical="center" wrapText="1"/>
    </xf>
    <xf numFmtId="0" fontId="45" fillId="0" borderId="36" xfId="1" applyFont="1" applyBorder="1" applyAlignment="1">
      <alignment horizontal="center" vertical="center" wrapText="1"/>
    </xf>
    <xf numFmtId="0" fontId="45" fillId="0" borderId="37" xfId="1" applyFont="1" applyBorder="1" applyAlignment="1">
      <alignment horizontal="center" vertical="center" wrapText="1"/>
    </xf>
    <xf numFmtId="0" fontId="3" fillId="0" borderId="0" xfId="1" applyAlignment="1">
      <alignment horizontal="distributed" vertical="center"/>
    </xf>
    <xf numFmtId="0" fontId="3" fillId="0" borderId="21" xfId="1" applyBorder="1" applyAlignment="1">
      <alignment horizontal="distributed" vertical="center"/>
    </xf>
    <xf numFmtId="49" fontId="7" fillId="6" borderId="40" xfId="1" applyNumberFormat="1" applyFont="1" applyFill="1" applyBorder="1" applyAlignment="1">
      <alignment horizontal="right" vertical="center" wrapText="1"/>
    </xf>
    <xf numFmtId="49" fontId="7" fillId="6" borderId="41" xfId="1" applyNumberFormat="1" applyFont="1" applyFill="1" applyBorder="1" applyAlignment="1">
      <alignment horizontal="right" vertical="center" wrapText="1"/>
    </xf>
    <xf numFmtId="49" fontId="7" fillId="6" borderId="42" xfId="1" applyNumberFormat="1" applyFont="1" applyFill="1" applyBorder="1" applyAlignment="1">
      <alignment horizontal="right" vertical="center" wrapText="1"/>
    </xf>
    <xf numFmtId="49" fontId="7" fillId="6" borderId="46" xfId="1" applyNumberFormat="1" applyFont="1" applyFill="1" applyBorder="1" applyAlignment="1">
      <alignment horizontal="right" vertical="center" wrapText="1"/>
    </xf>
    <xf numFmtId="49" fontId="7" fillId="6" borderId="36" xfId="1" applyNumberFormat="1" applyFont="1" applyFill="1" applyBorder="1" applyAlignment="1">
      <alignment horizontal="right" vertical="center" wrapText="1"/>
    </xf>
    <xf numFmtId="49" fontId="7" fillId="6" borderId="47" xfId="1" applyNumberFormat="1" applyFont="1" applyFill="1" applyBorder="1" applyAlignment="1">
      <alignment horizontal="right" vertical="center" wrapText="1"/>
    </xf>
    <xf numFmtId="3" fontId="7" fillId="6" borderId="43" xfId="2" applyNumberFormat="1" applyFont="1" applyFill="1" applyBorder="1" applyAlignment="1">
      <alignment horizontal="right" vertical="center"/>
    </xf>
    <xf numFmtId="3" fontId="7" fillId="6" borderId="41" xfId="2" applyNumberFormat="1" applyFont="1" applyFill="1" applyBorder="1" applyAlignment="1">
      <alignment horizontal="right" vertical="center"/>
    </xf>
    <xf numFmtId="3" fontId="7" fillId="6" borderId="44" xfId="2" applyNumberFormat="1" applyFont="1" applyFill="1" applyBorder="1" applyAlignment="1">
      <alignment horizontal="right" vertical="center"/>
    </xf>
    <xf numFmtId="3" fontId="7" fillId="6" borderId="35" xfId="2" applyNumberFormat="1" applyFont="1" applyFill="1" applyBorder="1" applyAlignment="1">
      <alignment horizontal="right" vertical="center"/>
    </xf>
    <xf numFmtId="3" fontId="7" fillId="6" borderId="36" xfId="2" applyNumberFormat="1" applyFont="1" applyFill="1" applyBorder="1" applyAlignment="1">
      <alignment horizontal="right" vertical="center"/>
    </xf>
    <xf numFmtId="3" fontId="7" fillId="6" borderId="48" xfId="2" applyNumberFormat="1" applyFont="1" applyFill="1" applyBorder="1" applyAlignment="1">
      <alignment horizontal="right" vertical="center"/>
    </xf>
    <xf numFmtId="49" fontId="7" fillId="6" borderId="40" xfId="1" quotePrefix="1" applyNumberFormat="1" applyFont="1" applyFill="1" applyBorder="1" applyAlignment="1">
      <alignment horizontal="center" vertical="center"/>
    </xf>
    <xf numFmtId="49" fontId="7" fillId="6" borderId="41" xfId="1" quotePrefix="1" applyNumberFormat="1" applyFont="1" applyFill="1" applyBorder="1" applyAlignment="1">
      <alignment horizontal="center" vertical="center"/>
    </xf>
    <xf numFmtId="49" fontId="7" fillId="6" borderId="44" xfId="1" quotePrefix="1" applyNumberFormat="1" applyFont="1" applyFill="1" applyBorder="1" applyAlignment="1">
      <alignment horizontal="center" vertical="center"/>
    </xf>
    <xf numFmtId="49" fontId="7" fillId="6" borderId="46" xfId="1" quotePrefix="1" applyNumberFormat="1" applyFont="1" applyFill="1" applyBorder="1" applyAlignment="1">
      <alignment horizontal="center" vertical="center"/>
    </xf>
    <xf numFmtId="49" fontId="7" fillId="6" borderId="36" xfId="1" quotePrefix="1" applyNumberFormat="1" applyFont="1" applyFill="1" applyBorder="1" applyAlignment="1">
      <alignment horizontal="center" vertical="center"/>
    </xf>
    <xf numFmtId="49" fontId="7" fillId="6" borderId="48" xfId="1" quotePrefix="1" applyNumberFormat="1" applyFont="1" applyFill="1" applyBorder="1" applyAlignment="1">
      <alignment horizontal="center" vertical="center"/>
    </xf>
    <xf numFmtId="0" fontId="28" fillId="0" borderId="16" xfId="1" applyFont="1" applyBorder="1" applyAlignment="1" applyProtection="1">
      <alignment horizontal="center" vertical="center" wrapText="1"/>
      <protection hidden="1"/>
    </xf>
    <xf numFmtId="0" fontId="28" fillId="0" borderId="23" xfId="1" applyFont="1" applyBorder="1" applyAlignment="1" applyProtection="1">
      <alignment horizontal="center" vertical="center" wrapText="1"/>
      <protection hidden="1"/>
    </xf>
    <xf numFmtId="0" fontId="28" fillId="0" borderId="24" xfId="1" applyFont="1" applyBorder="1" applyAlignment="1" applyProtection="1">
      <alignment horizontal="center" vertical="center" wrapText="1"/>
      <protection hidden="1"/>
    </xf>
    <xf numFmtId="0" fontId="28" fillId="0" borderId="27" xfId="1" applyFont="1" applyBorder="1" applyAlignment="1" applyProtection="1">
      <alignment horizontal="center" vertical="center" wrapText="1"/>
      <protection hidden="1"/>
    </xf>
    <xf numFmtId="0" fontId="28" fillId="0" borderId="28" xfId="1" applyFont="1" applyBorder="1" applyAlignment="1" applyProtection="1">
      <alignment horizontal="center" vertical="center" wrapText="1"/>
      <protection hidden="1"/>
    </xf>
    <xf numFmtId="0" fontId="28" fillId="0" borderId="29" xfId="1" applyFont="1" applyBorder="1" applyAlignment="1" applyProtection="1">
      <alignment horizontal="center" vertical="center" wrapText="1"/>
      <protection hidden="1"/>
    </xf>
    <xf numFmtId="38" fontId="7" fillId="6" borderId="40" xfId="2" applyFont="1" applyFill="1" applyBorder="1" applyAlignment="1" applyProtection="1">
      <alignment horizontal="right" vertical="center" wrapText="1"/>
    </xf>
    <xf numFmtId="38" fontId="7" fillId="6" borderId="41" xfId="2" applyFont="1" applyFill="1" applyBorder="1" applyAlignment="1" applyProtection="1">
      <alignment horizontal="right" vertical="center" wrapText="1"/>
    </xf>
    <xf numFmtId="38" fontId="7" fillId="6" borderId="42" xfId="2" applyFont="1" applyFill="1" applyBorder="1" applyAlignment="1" applyProtection="1">
      <alignment horizontal="right" vertical="center" wrapText="1"/>
    </xf>
    <xf numFmtId="38" fontId="7" fillId="6" borderId="46" xfId="2" applyFont="1" applyFill="1" applyBorder="1" applyAlignment="1" applyProtection="1">
      <alignment horizontal="right" vertical="center" wrapText="1"/>
    </xf>
    <xf numFmtId="38" fontId="7" fillId="6" borderId="36" xfId="2" applyFont="1" applyFill="1" applyBorder="1" applyAlignment="1" applyProtection="1">
      <alignment horizontal="right" vertical="center" wrapText="1"/>
    </xf>
    <xf numFmtId="38" fontId="7" fillId="6" borderId="47" xfId="2" applyFont="1" applyFill="1" applyBorder="1" applyAlignment="1" applyProtection="1">
      <alignment horizontal="right" vertical="center" wrapText="1"/>
    </xf>
    <xf numFmtId="38" fontId="7" fillId="6" borderId="43" xfId="2" applyFont="1" applyFill="1" applyBorder="1" applyAlignment="1">
      <alignment horizontal="right" vertical="center"/>
    </xf>
    <xf numFmtId="38" fontId="7" fillId="6" borderId="41" xfId="2" applyFont="1" applyFill="1" applyBorder="1" applyAlignment="1">
      <alignment horizontal="right" vertical="center"/>
    </xf>
    <xf numFmtId="38" fontId="7" fillId="6" borderId="44" xfId="2" applyFont="1" applyFill="1" applyBorder="1" applyAlignment="1">
      <alignment horizontal="right" vertical="center"/>
    </xf>
    <xf numFmtId="38" fontId="7" fillId="6" borderId="35" xfId="2" applyFont="1" applyFill="1" applyBorder="1" applyAlignment="1">
      <alignment horizontal="right" vertical="center"/>
    </xf>
    <xf numFmtId="38" fontId="7" fillId="6" borderId="36" xfId="2" applyFont="1" applyFill="1" applyBorder="1" applyAlignment="1">
      <alignment horizontal="right" vertical="center"/>
    </xf>
    <xf numFmtId="38" fontId="7" fillId="6" borderId="48" xfId="2" applyFont="1" applyFill="1" applyBorder="1" applyAlignment="1">
      <alignment horizontal="right" vertical="center"/>
    </xf>
    <xf numFmtId="0" fontId="28" fillId="0" borderId="0" xfId="1" applyFont="1" applyAlignment="1" applyProtection="1">
      <alignment horizontal="center" vertical="center"/>
      <protection hidden="1"/>
    </xf>
    <xf numFmtId="0" fontId="28" fillId="0" borderId="0" xfId="1" applyFont="1" applyAlignment="1" applyProtection="1">
      <alignment horizontal="center"/>
      <protection hidden="1"/>
    </xf>
    <xf numFmtId="0" fontId="28" fillId="0" borderId="23" xfId="1" applyFont="1" applyBorder="1" applyAlignment="1" applyProtection="1">
      <alignment horizontal="center"/>
      <protection hidden="1"/>
    </xf>
    <xf numFmtId="0" fontId="28" fillId="0" borderId="28" xfId="1" applyFont="1" applyBorder="1" applyAlignment="1" applyProtection="1">
      <alignment horizontal="center"/>
      <protection hidden="1"/>
    </xf>
    <xf numFmtId="0" fontId="52" fillId="5" borderId="0" xfId="1" applyFont="1" applyFill="1" applyAlignment="1">
      <alignment horizontal="center"/>
    </xf>
    <xf numFmtId="0" fontId="44" fillId="0" borderId="54" xfId="1" applyFont="1" applyBorder="1" applyAlignment="1">
      <alignment horizontal="distributed" vertical="center" justifyLastLine="1"/>
    </xf>
    <xf numFmtId="0" fontId="3" fillId="0" borderId="3" xfId="1" applyBorder="1" applyAlignment="1">
      <alignment horizontal="distributed" vertical="center" justifyLastLine="1"/>
    </xf>
    <xf numFmtId="0" fontId="3" fillId="0" borderId="55" xfId="1" applyBorder="1" applyAlignment="1">
      <alignment horizontal="distributed" vertical="center" justifyLastLine="1"/>
    </xf>
    <xf numFmtId="0" fontId="44" fillId="0" borderId="58" xfId="1" applyFont="1" applyBorder="1" applyAlignment="1">
      <alignment horizontal="distributed" vertical="center" justifyLastLine="1"/>
    </xf>
    <xf numFmtId="0" fontId="44" fillId="0" borderId="59" xfId="1" applyFont="1" applyBorder="1" applyAlignment="1">
      <alignment horizontal="distributed" vertical="center" justifyLastLine="1"/>
    </xf>
    <xf numFmtId="0" fontId="44" fillId="0" borderId="60" xfId="1" applyFont="1" applyBorder="1" applyAlignment="1">
      <alignment horizontal="distributed" vertical="center" justifyLastLine="1"/>
    </xf>
    <xf numFmtId="0" fontId="55" fillId="0" borderId="17" xfId="1" applyFont="1" applyBorder="1" applyAlignment="1">
      <alignment horizontal="distributed" vertical="center" justifyLastLine="1"/>
    </xf>
    <xf numFmtId="0" fontId="55" fillId="0" borderId="18" xfId="1" applyFont="1" applyBorder="1" applyAlignment="1">
      <alignment horizontal="distributed" vertical="center" justifyLastLine="1"/>
    </xf>
    <xf numFmtId="0" fontId="55" fillId="0" borderId="19" xfId="1" applyFont="1" applyBorder="1" applyAlignment="1">
      <alignment horizontal="distributed" vertical="center" justifyLastLine="1"/>
    </xf>
    <xf numFmtId="0" fontId="55" fillId="0" borderId="20" xfId="1" applyFont="1" applyBorder="1" applyAlignment="1">
      <alignment horizontal="distributed" vertical="center" justifyLastLine="1"/>
    </xf>
    <xf numFmtId="0" fontId="55" fillId="0" borderId="21" xfId="1" applyFont="1" applyBorder="1" applyAlignment="1">
      <alignment horizontal="distributed" vertical="center" justifyLastLine="1"/>
    </xf>
    <xf numFmtId="0" fontId="55" fillId="0" borderId="22" xfId="1" applyFont="1" applyBorder="1" applyAlignment="1">
      <alignment horizontal="distributed" vertical="center" justifyLastLine="1"/>
    </xf>
    <xf numFmtId="0" fontId="9" fillId="0" borderId="17" xfId="1" applyFont="1" applyBorder="1" applyAlignment="1">
      <alignment horizontal="distributed" vertical="center" justifyLastLine="1"/>
    </xf>
    <xf numFmtId="0" fontId="9" fillId="0" borderId="18" xfId="1" applyFont="1" applyBorder="1" applyAlignment="1">
      <alignment horizontal="distributed" vertical="center" justifyLastLine="1"/>
    </xf>
    <xf numFmtId="0" fontId="9" fillId="0" borderId="30" xfId="1" applyFont="1" applyBorder="1" applyAlignment="1">
      <alignment horizontal="distributed" vertical="center" justifyLastLine="1"/>
    </xf>
    <xf numFmtId="0" fontId="9" fillId="0" borderId="20" xfId="1" applyFont="1" applyBorder="1" applyAlignment="1">
      <alignment horizontal="distributed" vertical="center" justifyLastLine="1"/>
    </xf>
    <xf numFmtId="0" fontId="9" fillId="0" borderId="21" xfId="1" applyFont="1" applyBorder="1" applyAlignment="1">
      <alignment horizontal="distributed" vertical="center" justifyLastLine="1"/>
    </xf>
    <xf numFmtId="0" fontId="9" fillId="0" borderId="64" xfId="1" applyFont="1" applyBorder="1" applyAlignment="1">
      <alignment horizontal="distributed" vertical="center" justifyLastLine="1"/>
    </xf>
    <xf numFmtId="0" fontId="44" fillId="0" borderId="30" xfId="1" applyFont="1" applyBorder="1" applyAlignment="1">
      <alignment horizontal="center" vertical="center" justifyLastLine="1"/>
    </xf>
    <xf numFmtId="0" fontId="44" fillId="0" borderId="34" xfId="1" applyFont="1" applyBorder="1" applyAlignment="1">
      <alignment horizontal="center" vertical="center" justifyLastLine="1"/>
    </xf>
    <xf numFmtId="0" fontId="44" fillId="0" borderId="49" xfId="1" applyFont="1" applyBorder="1" applyAlignment="1">
      <alignment horizontal="center" vertical="center" justifyLastLine="1"/>
    </xf>
    <xf numFmtId="0" fontId="44" fillId="0" borderId="50" xfId="1" applyFont="1" applyBorder="1" applyAlignment="1">
      <alignment horizontal="center" vertical="center" justifyLastLine="1"/>
    </xf>
    <xf numFmtId="0" fontId="44" fillId="0" borderId="17" xfId="1" applyFont="1" applyBorder="1" applyAlignment="1">
      <alignment horizontal="center" vertical="center"/>
    </xf>
    <xf numFmtId="0" fontId="44" fillId="0" borderId="18" xfId="1" applyFont="1" applyBorder="1" applyAlignment="1">
      <alignment horizontal="center" vertical="center"/>
    </xf>
    <xf numFmtId="0" fontId="44" fillId="0" borderId="51" xfId="1" applyFont="1" applyBorder="1" applyAlignment="1">
      <alignment horizontal="center" vertical="center"/>
    </xf>
    <xf numFmtId="0" fontId="44" fillId="0" borderId="63" xfId="1" applyFont="1" applyBorder="1" applyAlignment="1">
      <alignment horizontal="center" vertical="center" justifyLastLine="1"/>
    </xf>
    <xf numFmtId="0" fontId="44" fillId="0" borderId="65" xfId="1" applyFont="1" applyBorder="1" applyAlignment="1">
      <alignment horizontal="center" vertical="center" justifyLastLine="1"/>
    </xf>
    <xf numFmtId="0" fontId="9" fillId="0" borderId="2" xfId="1" applyFont="1" applyBorder="1" applyAlignment="1">
      <alignment horizontal="distributed" vertical="center" justifyLastLine="1"/>
    </xf>
    <xf numFmtId="0" fontId="9" fillId="0" borderId="3" xfId="1" applyFont="1" applyBorder="1" applyAlignment="1">
      <alignment horizontal="distributed" vertical="center" justifyLastLine="1"/>
    </xf>
    <xf numFmtId="0" fontId="9" fillId="0" borderId="71" xfId="1" applyFont="1" applyBorder="1" applyAlignment="1">
      <alignment horizontal="distributed" vertical="center" justifyLastLine="1"/>
    </xf>
    <xf numFmtId="0" fontId="57" fillId="0" borderId="54" xfId="1" applyFont="1" applyBorder="1" applyAlignment="1">
      <alignment horizontal="left" vertical="center" wrapText="1"/>
    </xf>
    <xf numFmtId="0" fontId="57" fillId="0" borderId="3" xfId="1" applyFont="1" applyBorder="1" applyAlignment="1">
      <alignment horizontal="left" vertical="center" wrapText="1"/>
    </xf>
    <xf numFmtId="0" fontId="57" fillId="0" borderId="55" xfId="1" applyFont="1" applyBorder="1" applyAlignment="1">
      <alignment horizontal="left" vertical="center" wrapText="1"/>
    </xf>
    <xf numFmtId="0" fontId="9" fillId="0" borderId="72" xfId="1" applyFont="1" applyBorder="1" applyAlignment="1">
      <alignment horizontal="distributed" vertical="center" justifyLastLine="1"/>
    </xf>
    <xf numFmtId="0" fontId="9" fillId="0" borderId="23" xfId="1" applyFont="1" applyBorder="1" applyAlignment="1">
      <alignment horizontal="distributed" vertical="center" justifyLastLine="1"/>
    </xf>
    <xf numFmtId="0" fontId="9" fillId="0" borderId="73" xfId="1" applyFont="1" applyBorder="1" applyAlignment="1">
      <alignment horizontal="distributed" vertical="center" justifyLastLine="1"/>
    </xf>
    <xf numFmtId="0" fontId="9" fillId="0" borderId="19" xfId="1" applyFont="1" applyBorder="1" applyAlignment="1">
      <alignment horizontal="distributed" vertical="center" justifyLastLine="1"/>
    </xf>
    <xf numFmtId="0" fontId="57" fillId="0" borderId="66" xfId="1" applyFont="1" applyBorder="1" applyAlignment="1">
      <alignment horizontal="left" vertical="center" wrapText="1"/>
    </xf>
    <xf numFmtId="0" fontId="57" fillId="0" borderId="67" xfId="1" applyFont="1" applyBorder="1" applyAlignment="1">
      <alignment horizontal="left" vertical="center" wrapText="1"/>
    </xf>
    <xf numFmtId="0" fontId="57" fillId="0" borderId="68" xfId="1" applyFont="1" applyBorder="1" applyAlignment="1">
      <alignment horizontal="left" vertical="center" wrapText="1"/>
    </xf>
    <xf numFmtId="0" fontId="55" fillId="0" borderId="76" xfId="1" applyFont="1" applyBorder="1" applyAlignment="1">
      <alignment horizontal="distributed" vertical="center" justifyLastLine="1"/>
    </xf>
    <xf numFmtId="0" fontId="55" fillId="0" borderId="77" xfId="1" applyFont="1" applyBorder="1" applyAlignment="1">
      <alignment horizontal="distributed" vertical="center" justifyLastLine="1"/>
    </xf>
    <xf numFmtId="0" fontId="55" fillId="0" borderId="78" xfId="1" applyFont="1" applyBorder="1" applyAlignment="1">
      <alignment horizontal="distributed" vertical="center" justifyLastLine="1"/>
    </xf>
    <xf numFmtId="0" fontId="44" fillId="0" borderId="20" xfId="1" applyFont="1" applyBorder="1" applyAlignment="1">
      <alignment horizontal="center" vertical="center" shrinkToFit="1"/>
    </xf>
    <xf numFmtId="0" fontId="44" fillId="0" borderId="21" xfId="1" applyFont="1" applyBorder="1" applyAlignment="1">
      <alignment horizontal="center" vertical="center" shrinkToFit="1"/>
    </xf>
    <xf numFmtId="0" fontId="9" fillId="0" borderId="58" xfId="1" applyFont="1" applyBorder="1" applyAlignment="1">
      <alignment horizontal="distributed" vertical="center" justifyLastLine="1"/>
    </xf>
    <xf numFmtId="0" fontId="9" fillId="0" borderId="59" xfId="1" applyFont="1" applyBorder="1" applyAlignment="1">
      <alignment horizontal="distributed" vertical="center" justifyLastLine="1"/>
    </xf>
    <xf numFmtId="0" fontId="9" fillId="0" borderId="74" xfId="1" applyFont="1" applyBorder="1" applyAlignment="1">
      <alignment horizontal="distributed" vertical="center" justifyLastLine="1"/>
    </xf>
    <xf numFmtId="0" fontId="57" fillId="0" borderId="58" xfId="1" applyFont="1" applyBorder="1" applyAlignment="1">
      <alignment horizontal="left" vertical="center" wrapText="1"/>
    </xf>
    <xf numFmtId="0" fontId="57" fillId="0" borderId="59" xfId="1" applyFont="1" applyBorder="1" applyAlignment="1">
      <alignment horizontal="left" vertical="center" wrapText="1"/>
    </xf>
    <xf numFmtId="0" fontId="57" fillId="0" borderId="60" xfId="1" applyFont="1" applyBorder="1" applyAlignment="1">
      <alignment horizontal="left" vertical="center" wrapText="1"/>
    </xf>
    <xf numFmtId="0" fontId="34" fillId="0" borderId="0" xfId="1" applyFont="1" applyAlignment="1">
      <alignment horizontal="left" vertical="center" wrapText="1"/>
    </xf>
    <xf numFmtId="0" fontId="44" fillId="0" borderId="72" xfId="1" applyFont="1" applyBorder="1" applyAlignment="1">
      <alignment horizontal="distributed" vertical="center" justifyLastLine="1"/>
    </xf>
    <xf numFmtId="0" fontId="44" fillId="0" borderId="23" xfId="1" applyFont="1" applyBorder="1" applyAlignment="1">
      <alignment horizontal="distributed" vertical="center" justifyLastLine="1"/>
    </xf>
    <xf numFmtId="0" fontId="44" fillId="0" borderId="17" xfId="1" applyFont="1" applyBorder="1" applyAlignment="1">
      <alignment horizontal="distributed" vertical="center" wrapText="1" justifyLastLine="1"/>
    </xf>
    <xf numFmtId="0" fontId="44" fillId="0" borderId="18" xfId="1" applyFont="1" applyBorder="1" applyAlignment="1">
      <alignment horizontal="distributed" vertical="center" wrapText="1" justifyLastLine="1"/>
    </xf>
    <xf numFmtId="0" fontId="44" fillId="0" borderId="38" xfId="1" applyFont="1" applyBorder="1" applyAlignment="1">
      <alignment horizontal="distributed" vertical="center" wrapText="1" justifyLastLine="1"/>
    </xf>
    <xf numFmtId="0" fontId="44" fillId="0" borderId="0" xfId="1" applyFont="1" applyAlignment="1">
      <alignment horizontal="distributed" vertical="center" wrapText="1" justifyLastLine="1"/>
    </xf>
    <xf numFmtId="0" fontId="44" fillId="0" borderId="20" xfId="1" applyFont="1" applyBorder="1" applyAlignment="1">
      <alignment horizontal="distributed" vertical="center" wrapText="1" justifyLastLine="1"/>
    </xf>
    <xf numFmtId="0" fontId="44" fillId="0" borderId="21" xfId="1" applyFont="1" applyBorder="1" applyAlignment="1">
      <alignment horizontal="distributed" vertical="center" wrapText="1" justifyLastLine="1"/>
    </xf>
    <xf numFmtId="0" fontId="9" fillId="0" borderId="84" xfId="1" applyFont="1" applyBorder="1" applyAlignment="1">
      <alignment horizontal="distributed" vertical="center" wrapText="1" justifyLastLine="1"/>
    </xf>
    <xf numFmtId="0" fontId="9" fillId="0" borderId="85" xfId="1" applyFont="1" applyBorder="1" applyAlignment="1">
      <alignment horizontal="distributed" vertical="center" wrapText="1" justifyLastLine="1"/>
    </xf>
    <xf numFmtId="0" fontId="9" fillId="0" borderId="86" xfId="1" applyFont="1" applyBorder="1" applyAlignment="1">
      <alignment horizontal="distributed" vertical="center" wrapText="1" justifyLastLine="1"/>
    </xf>
    <xf numFmtId="0" fontId="60" fillId="0" borderId="16" xfId="3" applyFont="1" applyBorder="1" applyAlignment="1">
      <alignment horizontal="center" vertical="center" textRotation="255"/>
    </xf>
    <xf numFmtId="0" fontId="60" fillId="0" borderId="25" xfId="3" applyFont="1" applyBorder="1" applyAlignment="1">
      <alignment horizontal="center" vertical="center" textRotation="255"/>
    </xf>
    <xf numFmtId="0" fontId="9" fillId="0" borderId="108" xfId="1" applyFont="1" applyBorder="1" applyAlignment="1">
      <alignment horizontal="distributed" vertical="center" justifyLastLine="1"/>
    </xf>
    <xf numFmtId="0" fontId="9" fillId="0" borderId="6" xfId="1" applyFont="1" applyBorder="1" applyAlignment="1">
      <alignment horizontal="distributed" vertical="center" justifyLastLine="1"/>
    </xf>
    <xf numFmtId="0" fontId="3" fillId="0" borderId="91" xfId="1" applyBorder="1" applyAlignment="1">
      <alignment horizontal="distributed" vertical="center" justifyLastLine="1"/>
    </xf>
    <xf numFmtId="0" fontId="3" fillId="0" borderId="92" xfId="1" applyBorder="1" applyAlignment="1">
      <alignment horizontal="distributed" vertical="center" justifyLastLine="1"/>
    </xf>
    <xf numFmtId="0" fontId="3" fillId="0" borderId="0" xfId="1" applyAlignment="1">
      <alignment horizontal="distributed" vertical="center" justifyLastLine="1"/>
    </xf>
    <xf numFmtId="0" fontId="9" fillId="0" borderId="95" xfId="1" applyFont="1" applyBorder="1" applyAlignment="1">
      <alignment horizontal="distributed" vertical="center" justifyLastLine="1"/>
    </xf>
    <xf numFmtId="0" fontId="9" fillId="0" borderId="96" xfId="1" applyFont="1" applyBorder="1" applyAlignment="1">
      <alignment horizontal="distributed" vertical="center" justifyLastLine="1"/>
    </xf>
    <xf numFmtId="0" fontId="9" fillId="0" borderId="97" xfId="1" applyFont="1" applyBorder="1" applyAlignment="1">
      <alignment horizontal="distributed" vertical="center" justifyLastLine="1"/>
    </xf>
    <xf numFmtId="0" fontId="9" fillId="0" borderId="99" xfId="1" applyFont="1" applyBorder="1" applyAlignment="1">
      <alignment horizontal="distributed" vertical="center" justifyLastLine="1"/>
    </xf>
    <xf numFmtId="0" fontId="9" fillId="0" borderId="100" xfId="1" applyFont="1" applyBorder="1" applyAlignment="1">
      <alignment horizontal="distributed" vertical="center" justifyLastLine="1"/>
    </xf>
    <xf numFmtId="0" fontId="9" fillId="0" borderId="101" xfId="1" applyFont="1" applyBorder="1" applyAlignment="1">
      <alignment horizontal="distributed" vertical="center" justifyLastLine="1"/>
    </xf>
    <xf numFmtId="0" fontId="9" fillId="0" borderId="98" xfId="1" applyFont="1" applyBorder="1" applyAlignment="1">
      <alignment horizontal="distributed" vertical="center" justifyLastLine="1"/>
    </xf>
    <xf numFmtId="0" fontId="9" fillId="0" borderId="102" xfId="1" applyFont="1" applyBorder="1" applyAlignment="1">
      <alignment horizontal="distributed" justifyLastLine="1"/>
    </xf>
    <xf numFmtId="0" fontId="9" fillId="0" borderId="16" xfId="1" applyFont="1" applyBorder="1" applyAlignment="1">
      <alignment horizontal="center" vertical="center"/>
    </xf>
    <xf numFmtId="0" fontId="9" fillId="0" borderId="103" xfId="1" applyFont="1" applyBorder="1" applyAlignment="1">
      <alignment horizontal="center" vertical="center"/>
    </xf>
    <xf numFmtId="0" fontId="9" fillId="0" borderId="1" xfId="1" applyFont="1" applyBorder="1" applyAlignment="1">
      <alignment horizontal="center" vertical="center"/>
    </xf>
    <xf numFmtId="0" fontId="9" fillId="0" borderId="5" xfId="1" applyFont="1" applyBorder="1" applyAlignment="1">
      <alignment horizontal="center" vertical="center"/>
    </xf>
    <xf numFmtId="0" fontId="9" fillId="0" borderId="104" xfId="1" applyFont="1" applyBorder="1" applyAlignment="1">
      <alignment horizontal="distributed" vertical="center" justifyLastLine="1"/>
    </xf>
    <xf numFmtId="0" fontId="9" fillId="0" borderId="105" xfId="1" applyFont="1" applyBorder="1" applyAlignment="1">
      <alignment horizontal="distributed" vertical="center" justifyLastLine="1"/>
    </xf>
    <xf numFmtId="0" fontId="9" fillId="0" borderId="27" xfId="1" applyFont="1" applyBorder="1" applyAlignment="1">
      <alignment horizontal="distributed" vertical="center" justifyLastLine="1"/>
    </xf>
    <xf numFmtId="0" fontId="9" fillId="0" borderId="19" xfId="1" applyFont="1" applyBorder="1" applyAlignment="1">
      <alignment horizontal="center" vertical="center"/>
    </xf>
    <xf numFmtId="0" fontId="9" fillId="0" borderId="83" xfId="1" applyFont="1" applyBorder="1" applyAlignment="1">
      <alignment horizontal="center" vertical="center"/>
    </xf>
    <xf numFmtId="0" fontId="9" fillId="0" borderId="98" xfId="1" applyFont="1" applyBorder="1" applyAlignment="1">
      <alignment horizontal="center" vertical="center"/>
    </xf>
    <xf numFmtId="0" fontId="9" fillId="0" borderId="115" xfId="1" applyFont="1" applyBorder="1" applyAlignment="1">
      <alignment horizontal="center" vertical="center"/>
    </xf>
    <xf numFmtId="0" fontId="9" fillId="0" borderId="49" xfId="1" applyFont="1" applyBorder="1" applyAlignment="1">
      <alignment horizontal="center" vertical="center" justifyLastLine="1"/>
    </xf>
    <xf numFmtId="0" fontId="9" fillId="0" borderId="50" xfId="1" applyFont="1" applyBorder="1" applyAlignment="1">
      <alignment horizontal="center" vertical="center" justifyLastLine="1"/>
    </xf>
    <xf numFmtId="0" fontId="67" fillId="0" borderId="108" xfId="1" applyFont="1" applyBorder="1" applyAlignment="1">
      <alignment horizontal="center" vertical="center" wrapText="1" justifyLastLine="1"/>
    </xf>
    <xf numFmtId="0" fontId="67" fillId="0" borderId="6" xfId="1" applyFont="1" applyBorder="1" applyAlignment="1">
      <alignment horizontal="center" vertical="center" wrapText="1" justifyLastLine="1"/>
    </xf>
    <xf numFmtId="0" fontId="44" fillId="0" borderId="2" xfId="1" applyFont="1" applyBorder="1" applyAlignment="1">
      <alignment horizontal="distributed" vertical="center" justifyLastLine="1"/>
    </xf>
    <xf numFmtId="0" fontId="44" fillId="0" borderId="3" xfId="1" applyFont="1" applyBorder="1" applyAlignment="1">
      <alignment horizontal="distributed" vertical="center" justifyLastLine="1"/>
    </xf>
    <xf numFmtId="0" fontId="44" fillId="0" borderId="71" xfId="1" applyFont="1" applyBorder="1" applyAlignment="1">
      <alignment horizontal="distributed" vertical="center" justifyLastLine="1"/>
    </xf>
    <xf numFmtId="0" fontId="46" fillId="0" borderId="118" xfId="1" applyFont="1" applyBorder="1" applyAlignment="1">
      <alignment horizontal="center" vertical="top" shrinkToFit="1"/>
    </xf>
    <xf numFmtId="0" fontId="46" fillId="0" borderId="121" xfId="1" applyFont="1" applyBorder="1" applyAlignment="1">
      <alignment horizontal="center" vertical="top" shrinkToFit="1"/>
    </xf>
    <xf numFmtId="0" fontId="44" fillId="0" borderId="6" xfId="1" applyFont="1" applyBorder="1" applyAlignment="1">
      <alignment horizontal="distributed" vertical="center" justifyLastLine="1"/>
    </xf>
    <xf numFmtId="0" fontId="44" fillId="0" borderId="120" xfId="1" applyFont="1" applyBorder="1" applyAlignment="1">
      <alignment horizontal="distributed" vertical="center" justifyLastLine="1"/>
    </xf>
    <xf numFmtId="0" fontId="44" fillId="0" borderId="123" xfId="1" applyFont="1" applyBorder="1" applyAlignment="1" applyProtection="1">
      <alignment horizontal="distributed" vertical="center" wrapText="1" indent="1"/>
      <protection locked="0"/>
    </xf>
    <xf numFmtId="0" fontId="44" fillId="0" borderId="28" xfId="1" applyFont="1" applyBorder="1" applyAlignment="1" applyProtection="1">
      <alignment horizontal="distributed" vertical="center" wrapText="1" indent="1"/>
      <protection locked="0"/>
    </xf>
    <xf numFmtId="0" fontId="44" fillId="0" borderId="124" xfId="1" applyFont="1" applyBorder="1" applyAlignment="1" applyProtection="1">
      <alignment horizontal="distributed" vertical="center" wrapText="1" indent="1"/>
      <protection locked="0"/>
    </xf>
    <xf numFmtId="0" fontId="44" fillId="0" borderId="54" xfId="1" applyFont="1" applyBorder="1" applyAlignment="1" applyProtection="1">
      <alignment horizontal="distributed" vertical="center" wrapText="1" indent="1"/>
      <protection locked="0"/>
    </xf>
    <xf numFmtId="0" fontId="44" fillId="0" borderId="3" xfId="1" applyFont="1" applyBorder="1" applyAlignment="1" applyProtection="1">
      <alignment horizontal="distributed" vertical="center" wrapText="1" indent="1"/>
      <protection locked="0"/>
    </xf>
    <xf numFmtId="0" fontId="44" fillId="0" borderId="71" xfId="1" applyFont="1" applyBorder="1" applyAlignment="1" applyProtection="1">
      <alignment horizontal="distributed" vertical="center" wrapText="1" indent="1"/>
      <protection locked="0"/>
    </xf>
    <xf numFmtId="0" fontId="44" fillId="0" borderId="58" xfId="1" applyFont="1" applyBorder="1" applyAlignment="1" applyProtection="1">
      <alignment horizontal="distributed" vertical="center" wrapText="1" indent="1"/>
      <protection locked="0"/>
    </xf>
    <xf numFmtId="0" fontId="44" fillId="0" borderId="59" xfId="1" applyFont="1" applyBorder="1" applyAlignment="1" applyProtection="1">
      <alignment horizontal="distributed" vertical="center" wrapText="1" indent="1"/>
      <protection locked="0"/>
    </xf>
    <xf numFmtId="0" fontId="44" fillId="0" borderId="74" xfId="1" applyFont="1" applyBorder="1" applyAlignment="1" applyProtection="1">
      <alignment horizontal="distributed" vertical="center" wrapText="1" indent="1"/>
      <protection locked="0"/>
    </xf>
    <xf numFmtId="0" fontId="9" fillId="0" borderId="112" xfId="1" applyFont="1" applyBorder="1" applyAlignment="1">
      <alignment horizontal="distributed" vertical="center" justifyLastLine="1"/>
    </xf>
    <xf numFmtId="0" fontId="44" fillId="0" borderId="95" xfId="1" applyFont="1" applyBorder="1" applyAlignment="1">
      <alignment horizontal="distributed" vertical="center" justifyLastLine="1"/>
    </xf>
    <xf numFmtId="0" fontId="44" fillId="0" borderId="96" xfId="1" applyFont="1" applyBorder="1" applyAlignment="1">
      <alignment horizontal="distributed" vertical="center" justifyLastLine="1"/>
    </xf>
    <xf numFmtId="0" fontId="44" fillId="0" borderId="97" xfId="1" applyFont="1" applyBorder="1" applyAlignment="1">
      <alignment horizontal="distributed" vertical="center" justifyLastLine="1"/>
    </xf>
    <xf numFmtId="0" fontId="44" fillId="0" borderId="99" xfId="1" applyFont="1" applyBorder="1" applyAlignment="1">
      <alignment horizontal="distributed" vertical="center" justifyLastLine="1"/>
    </xf>
    <xf numFmtId="0" fontId="44" fillId="0" borderId="100" xfId="1" applyFont="1" applyBorder="1" applyAlignment="1">
      <alignment horizontal="distributed" vertical="center" justifyLastLine="1"/>
    </xf>
    <xf numFmtId="0" fontId="44" fillId="0" borderId="101" xfId="1" applyFont="1" applyBorder="1" applyAlignment="1">
      <alignment horizontal="distributed" vertical="center" justifyLastLine="1"/>
    </xf>
    <xf numFmtId="0" fontId="9" fillId="0" borderId="0" xfId="1" applyFont="1" applyAlignment="1">
      <alignment horizontal="center" vertical="center"/>
    </xf>
    <xf numFmtId="0" fontId="9" fillId="0" borderId="49" xfId="1" applyFont="1" applyBorder="1" applyAlignment="1">
      <alignment horizontal="center" vertical="center"/>
    </xf>
    <xf numFmtId="0" fontId="9" fillId="0" borderId="127" xfId="1" applyFont="1" applyBorder="1" applyAlignment="1">
      <alignment horizontal="center" vertical="center"/>
    </xf>
    <xf numFmtId="0" fontId="9" fillId="0" borderId="17" xfId="1" applyFont="1" applyBorder="1" applyAlignment="1">
      <alignment horizontal="center" vertical="distributed" textRotation="255" justifyLastLine="1"/>
    </xf>
    <xf numFmtId="0" fontId="3" fillId="0" borderId="30" xfId="1" applyBorder="1" applyAlignment="1">
      <alignment vertical="distributed" textRotation="255" justifyLastLine="1"/>
    </xf>
    <xf numFmtId="0" fontId="3" fillId="0" borderId="38" xfId="1" applyBorder="1" applyAlignment="1">
      <alignment vertical="distributed" textRotation="255" justifyLastLine="1"/>
    </xf>
    <xf numFmtId="0" fontId="3" fillId="0" borderId="26" xfId="1" applyBorder="1" applyAlignment="1">
      <alignment vertical="distributed" textRotation="255" justifyLastLine="1"/>
    </xf>
    <xf numFmtId="0" fontId="3" fillId="0" borderId="123" xfId="1" applyBorder="1" applyAlignment="1">
      <alignment vertical="distributed" textRotation="255" justifyLastLine="1"/>
    </xf>
    <xf numFmtId="0" fontId="3" fillId="0" borderId="29" xfId="1" applyBorder="1" applyAlignment="1">
      <alignment vertical="distributed" textRotation="255" justifyLastLine="1"/>
    </xf>
    <xf numFmtId="0" fontId="9" fillId="0" borderId="31" xfId="1" applyFont="1" applyBorder="1" applyAlignment="1">
      <alignment horizontal="distributed" vertical="distributed" justifyLastLine="1"/>
    </xf>
    <xf numFmtId="0" fontId="9" fillId="0" borderId="18" xfId="1" applyFont="1" applyBorder="1" applyAlignment="1">
      <alignment horizontal="distributed" vertical="distributed" justifyLastLine="1"/>
    </xf>
    <xf numFmtId="0" fontId="36" fillId="0" borderId="17" xfId="1" applyFont="1" applyBorder="1" applyAlignment="1">
      <alignment horizontal="left" vertical="center" wrapText="1"/>
    </xf>
    <xf numFmtId="0" fontId="36" fillId="0" borderId="18" xfId="1" applyFont="1" applyBorder="1" applyAlignment="1">
      <alignment horizontal="left" vertical="center" wrapText="1"/>
    </xf>
    <xf numFmtId="0" fontId="36" fillId="0" borderId="38" xfId="1" applyFont="1" applyBorder="1" applyAlignment="1">
      <alignment horizontal="left" vertical="center" wrapText="1"/>
    </xf>
    <xf numFmtId="0" fontId="36" fillId="0" borderId="0" xfId="1" applyFont="1" applyAlignment="1">
      <alignment horizontal="left" vertical="center" wrapText="1"/>
    </xf>
    <xf numFmtId="0" fontId="9" fillId="0" borderId="2" xfId="1" applyFont="1" applyBorder="1" applyAlignment="1">
      <alignment horizontal="distributed" vertical="distributed" justifyLastLine="1"/>
    </xf>
    <xf numFmtId="0" fontId="9" fillId="0" borderId="71" xfId="1" applyFont="1" applyBorder="1" applyAlignment="1">
      <alignment horizontal="distributed" vertical="distributed" justifyLastLine="1"/>
    </xf>
    <xf numFmtId="0" fontId="70" fillId="0" borderId="72" xfId="1" applyFont="1" applyBorder="1" applyAlignment="1">
      <alignment horizontal="left" vertical="center" wrapText="1"/>
    </xf>
    <xf numFmtId="0" fontId="70" fillId="0" borderId="23" xfId="1" applyFont="1" applyBorder="1" applyAlignment="1">
      <alignment horizontal="left" vertical="center" wrapText="1"/>
    </xf>
    <xf numFmtId="0" fontId="70" fillId="0" borderId="132" xfId="1" applyFont="1" applyBorder="1" applyAlignment="1">
      <alignment horizontal="left" vertical="center" wrapText="1"/>
    </xf>
    <xf numFmtId="0" fontId="65" fillId="0" borderId="25" xfId="1" applyFont="1" applyBorder="1" applyAlignment="1">
      <alignment horizontal="center" vertical="center"/>
    </xf>
    <xf numFmtId="0" fontId="65" fillId="0" borderId="0" xfId="1" applyFont="1" applyAlignment="1">
      <alignment horizontal="center" vertical="center"/>
    </xf>
    <xf numFmtId="0" fontId="65" fillId="0" borderId="6" xfId="1" applyFont="1" applyBorder="1" applyAlignment="1">
      <alignment horizontal="center" vertical="center"/>
    </xf>
    <xf numFmtId="0" fontId="60" fillId="0" borderId="6" xfId="1" applyFont="1" applyBorder="1" applyAlignment="1">
      <alignment horizontal="center" vertical="center" textRotation="255" wrapText="1"/>
    </xf>
    <xf numFmtId="0" fontId="65" fillId="0" borderId="4" xfId="1" applyFont="1" applyBorder="1" applyAlignment="1">
      <alignment horizontal="center" vertical="center"/>
    </xf>
    <xf numFmtId="0" fontId="65" fillId="0" borderId="16" xfId="1" applyFont="1" applyBorder="1" applyAlignment="1">
      <alignment horizontal="center" vertical="center"/>
    </xf>
    <xf numFmtId="0" fontId="65" fillId="0" borderId="23" xfId="1" applyFont="1" applyBorder="1" applyAlignment="1">
      <alignment horizontal="center" vertical="center"/>
    </xf>
    <xf numFmtId="0" fontId="65" fillId="0" borderId="27" xfId="1" applyFont="1" applyBorder="1" applyAlignment="1">
      <alignment horizontal="center" vertical="center"/>
    </xf>
    <xf numFmtId="0" fontId="65" fillId="0" borderId="28" xfId="1" applyFont="1" applyBorder="1" applyAlignment="1">
      <alignment horizontal="center" vertical="center"/>
    </xf>
    <xf numFmtId="0" fontId="9" fillId="0" borderId="16" xfId="1" applyFont="1" applyBorder="1" applyAlignment="1">
      <alignment horizontal="distributed" vertical="distributed" justifyLastLine="1"/>
    </xf>
    <xf numFmtId="0" fontId="9" fillId="0" borderId="23" xfId="1" applyFont="1" applyBorder="1" applyAlignment="1">
      <alignment horizontal="distributed" vertical="distributed" justifyLastLine="1"/>
    </xf>
    <xf numFmtId="0" fontId="36" fillId="0" borderId="72" xfId="1" applyFont="1" applyBorder="1" applyAlignment="1">
      <alignment horizontal="left" vertical="center" wrapText="1"/>
    </xf>
    <xf numFmtId="0" fontId="36" fillId="0" borderId="23" xfId="1" applyFont="1" applyBorder="1" applyAlignment="1">
      <alignment horizontal="left" vertical="center" wrapText="1"/>
    </xf>
    <xf numFmtId="0" fontId="59" fillId="0" borderId="6" xfId="1" applyFont="1" applyBorder="1" applyAlignment="1">
      <alignment horizontal="center" vertical="center" textRotation="255"/>
    </xf>
    <xf numFmtId="0" fontId="59" fillId="0" borderId="6" xfId="1" applyFont="1" applyBorder="1" applyAlignment="1">
      <alignment horizontal="center" vertical="center"/>
    </xf>
    <xf numFmtId="0" fontId="9" fillId="0" borderId="72" xfId="1" applyFont="1" applyBorder="1" applyAlignment="1">
      <alignment horizontal="center" vertical="distributed" textRotation="255" justifyLastLine="1"/>
    </xf>
    <xf numFmtId="0" fontId="9" fillId="0" borderId="24" xfId="1" applyFont="1" applyBorder="1" applyAlignment="1">
      <alignment horizontal="center" vertical="distributed" textRotation="255" justifyLastLine="1"/>
    </xf>
    <xf numFmtId="0" fontId="9" fillId="0" borderId="38" xfId="1" applyFont="1" applyBorder="1" applyAlignment="1">
      <alignment horizontal="center" vertical="distributed" textRotation="255" justifyLastLine="1"/>
    </xf>
    <xf numFmtId="0" fontId="9" fillId="0" borderId="26" xfId="1" applyFont="1" applyBorder="1" applyAlignment="1">
      <alignment horizontal="center" vertical="distributed" textRotation="255" justifyLastLine="1"/>
    </xf>
    <xf numFmtId="0" fontId="9" fillId="0" borderId="20" xfId="1" applyFont="1" applyBorder="1" applyAlignment="1">
      <alignment horizontal="center" vertical="distributed" textRotation="255" justifyLastLine="1"/>
    </xf>
    <xf numFmtId="0" fontId="9" fillId="0" borderId="64" xfId="1" applyFont="1" applyBorder="1" applyAlignment="1">
      <alignment horizontal="center" vertical="distributed" textRotation="255" justifyLastLine="1"/>
    </xf>
    <xf numFmtId="0" fontId="36" fillId="0" borderId="132" xfId="1" applyFont="1" applyBorder="1" applyAlignment="1">
      <alignment horizontal="left" vertical="center" wrapText="1"/>
    </xf>
    <xf numFmtId="0" fontId="6" fillId="0" borderId="134" xfId="1" applyFont="1" applyBorder="1" applyAlignment="1">
      <alignment horizontal="center" vertical="top"/>
    </xf>
    <xf numFmtId="0" fontId="6" fillId="0" borderId="135" xfId="1" applyFont="1" applyBorder="1" applyAlignment="1">
      <alignment horizontal="center" vertical="top"/>
    </xf>
    <xf numFmtId="0" fontId="6" fillId="0" borderId="138" xfId="1" applyFont="1" applyBorder="1" applyAlignment="1">
      <alignment horizontal="center" vertical="top"/>
    </xf>
    <xf numFmtId="0" fontId="9" fillId="0" borderId="112" xfId="1" applyFont="1" applyBorder="1" applyAlignment="1">
      <alignment horizontal="distributed" vertical="distributed" justifyLastLine="1"/>
    </xf>
    <xf numFmtId="0" fontId="9" fillId="0" borderId="74" xfId="1" applyFont="1" applyBorder="1" applyAlignment="1">
      <alignment horizontal="distributed" vertical="distributed" justifyLastLine="1"/>
    </xf>
    <xf numFmtId="0" fontId="36" fillId="0" borderId="58" xfId="1" applyFont="1" applyBorder="1" applyAlignment="1">
      <alignment horizontal="left" vertical="center" wrapText="1"/>
    </xf>
    <xf numFmtId="0" fontId="36" fillId="0" borderId="59" xfId="1" applyFont="1" applyBorder="1" applyAlignment="1">
      <alignment horizontal="left" vertical="center" wrapText="1"/>
    </xf>
    <xf numFmtId="0" fontId="36" fillId="0" borderId="136" xfId="1" applyFont="1" applyBorder="1" applyAlignment="1">
      <alignment horizontal="left" vertical="center" wrapText="1"/>
    </xf>
    <xf numFmtId="0" fontId="9" fillId="0" borderId="58" xfId="1" applyFont="1" applyBorder="1" applyAlignment="1">
      <alignment horizontal="distributed" vertical="distributed" justifyLastLine="1"/>
    </xf>
    <xf numFmtId="0" fontId="9" fillId="0" borderId="59" xfId="1" applyFont="1" applyBorder="1" applyAlignment="1">
      <alignment horizontal="distributed" vertical="distributed" justifyLastLine="1"/>
    </xf>
    <xf numFmtId="0" fontId="9" fillId="0" borderId="22" xfId="1" applyFont="1" applyBorder="1" applyAlignment="1">
      <alignment horizontal="distributed" vertical="center" justifyLastLine="1"/>
    </xf>
    <xf numFmtId="0" fontId="9" fillId="0" borderId="31" xfId="1" applyFont="1" applyBorder="1" applyAlignment="1">
      <alignment horizontal="center" vertical="center" wrapText="1" justifyLastLine="1"/>
    </xf>
    <xf numFmtId="0" fontId="9" fillId="0" borderId="139" xfId="1" applyFont="1" applyBorder="1" applyAlignment="1">
      <alignment horizontal="center" vertical="center" wrapText="1" justifyLastLine="1"/>
    </xf>
    <xf numFmtId="0" fontId="65" fillId="0" borderId="24" xfId="1" applyFont="1" applyBorder="1" applyAlignment="1">
      <alignment horizontal="center" vertical="center"/>
    </xf>
    <xf numFmtId="0" fontId="65" fillId="0" borderId="29" xfId="1" applyFont="1" applyBorder="1" applyAlignment="1">
      <alignment horizontal="center" vertical="center"/>
    </xf>
    <xf numFmtId="0" fontId="65" fillId="0" borderId="1" xfId="1" applyFont="1" applyBorder="1" applyAlignment="1">
      <alignment horizontal="center" vertical="center" shrinkToFit="1"/>
    </xf>
    <xf numFmtId="0" fontId="65" fillId="0" borderId="105" xfId="1" applyFont="1" applyBorder="1" applyAlignment="1">
      <alignment horizontal="center" vertical="center" shrinkToFit="1"/>
    </xf>
    <xf numFmtId="0" fontId="65" fillId="0" borderId="1" xfId="1" applyFont="1" applyBorder="1" applyAlignment="1">
      <alignment horizontal="center" vertical="center"/>
    </xf>
    <xf numFmtId="0" fontId="65" fillId="0" borderId="105" xfId="1" applyFont="1" applyBorder="1" applyAlignment="1">
      <alignment horizontal="center" vertical="center"/>
    </xf>
    <xf numFmtId="0" fontId="9" fillId="0" borderId="66" xfId="1" applyFont="1" applyBorder="1" applyAlignment="1">
      <alignment horizontal="distributed" vertical="distributed" justifyLastLine="1"/>
    </xf>
    <xf numFmtId="0" fontId="9" fillId="0" borderId="67" xfId="1" applyFont="1" applyBorder="1" applyAlignment="1">
      <alignment horizontal="distributed" vertical="distributed" justifyLastLine="1"/>
    </xf>
    <xf numFmtId="0" fontId="9" fillId="0" borderId="140" xfId="1" applyFont="1" applyBorder="1" applyAlignment="1">
      <alignment horizontal="distributed" vertical="distributed" justifyLastLine="1"/>
    </xf>
    <xf numFmtId="0" fontId="36" fillId="0" borderId="141" xfId="1" applyFont="1" applyBorder="1" applyAlignment="1">
      <alignment horizontal="left" vertical="center" wrapText="1"/>
    </xf>
    <xf numFmtId="0" fontId="9" fillId="0" borderId="38" xfId="1" applyFont="1" applyBorder="1" applyAlignment="1">
      <alignment horizontal="distributed" vertical="center" justifyLastLine="1"/>
    </xf>
    <xf numFmtId="0" fontId="9" fillId="0" borderId="0" xfId="1" applyFont="1" applyAlignment="1">
      <alignment horizontal="distributed" vertical="center" justifyLastLine="1"/>
    </xf>
    <xf numFmtId="0" fontId="9" fillId="0" borderId="83" xfId="1" applyFont="1" applyBorder="1" applyAlignment="1">
      <alignment horizontal="distributed" vertical="center" justifyLastLine="1"/>
    </xf>
    <xf numFmtId="0" fontId="9" fillId="0" borderId="157" xfId="1" applyFont="1" applyBorder="1" applyAlignment="1">
      <alignment horizontal="center" vertical="center"/>
    </xf>
    <xf numFmtId="0" fontId="9" fillId="0" borderId="50" xfId="1" applyFont="1" applyBorder="1" applyAlignment="1">
      <alignment horizontal="center" vertical="center"/>
    </xf>
    <xf numFmtId="0" fontId="3" fillId="0" borderId="156" xfId="1" applyBorder="1" applyAlignment="1">
      <alignment horizontal="center" vertical="center"/>
    </xf>
    <xf numFmtId="0" fontId="3" fillId="0" borderId="158" xfId="1" applyBorder="1" applyAlignment="1">
      <alignment horizontal="center" vertical="center"/>
    </xf>
    <xf numFmtId="0" fontId="9" fillId="0" borderId="17" xfId="1" applyFont="1" applyBorder="1" applyAlignment="1">
      <alignment horizontal="distributed" vertical="distributed" textRotation="255" wrapText="1" justifyLastLine="1"/>
    </xf>
    <xf numFmtId="0" fontId="9" fillId="0" borderId="18" xfId="1" applyFont="1" applyBorder="1" applyAlignment="1">
      <alignment horizontal="distributed" vertical="distributed" textRotation="255" justifyLastLine="1"/>
    </xf>
    <xf numFmtId="0" fontId="9" fillId="0" borderId="38" xfId="1" applyFont="1" applyBorder="1" applyAlignment="1">
      <alignment horizontal="distributed" vertical="distributed" textRotation="255" justifyLastLine="1"/>
    </xf>
    <xf numFmtId="0" fontId="9" fillId="0" borderId="0" xfId="1" applyFont="1" applyAlignment="1">
      <alignment horizontal="distributed" vertical="distributed" textRotation="255" justifyLastLine="1"/>
    </xf>
    <xf numFmtId="0" fontId="9" fillId="0" borderId="169" xfId="1" applyFont="1" applyBorder="1" applyAlignment="1">
      <alignment horizontal="distributed" vertical="distributed" textRotation="255" justifyLastLine="1"/>
    </xf>
    <xf numFmtId="0" fontId="9" fillId="0" borderId="170" xfId="1" applyFont="1" applyBorder="1" applyAlignment="1">
      <alignment horizontal="distributed" vertical="distributed" textRotation="255" justifyLastLine="1"/>
    </xf>
    <xf numFmtId="0" fontId="76" fillId="0" borderId="188" xfId="1" applyFont="1" applyBorder="1" applyAlignment="1">
      <alignment horizontal="center" vertical="center" shrinkToFit="1"/>
    </xf>
    <xf numFmtId="0" fontId="76" fillId="0" borderId="189" xfId="1" applyFont="1" applyBorder="1" applyAlignment="1">
      <alignment horizontal="center" vertical="center" shrinkToFit="1"/>
    </xf>
    <xf numFmtId="0" fontId="76" fillId="0" borderId="163" xfId="1" applyFont="1" applyBorder="1" applyAlignment="1">
      <alignment horizontal="center" vertical="center"/>
    </xf>
    <xf numFmtId="0" fontId="76" fillId="0" borderId="164" xfId="1" applyFont="1" applyBorder="1" applyAlignment="1">
      <alignment horizontal="center" vertical="center"/>
    </xf>
    <xf numFmtId="0" fontId="65" fillId="0" borderId="6" xfId="1" applyFont="1" applyBorder="1" applyAlignment="1">
      <alignment horizontal="center" vertical="center" shrinkToFit="1"/>
    </xf>
    <xf numFmtId="0" fontId="9" fillId="0" borderId="173" xfId="1" applyFont="1" applyBorder="1" applyAlignment="1">
      <alignment horizontal="center" vertical="distributed" textRotation="255" wrapText="1" justifyLastLine="1"/>
    </xf>
    <xf numFmtId="0" fontId="9" fillId="0" borderId="174" xfId="1" applyFont="1" applyBorder="1" applyAlignment="1">
      <alignment horizontal="center" vertical="distributed" textRotation="255" wrapText="1" justifyLastLine="1"/>
    </xf>
    <xf numFmtId="0" fontId="9" fillId="0" borderId="38" xfId="1" applyFont="1" applyBorder="1" applyAlignment="1">
      <alignment horizontal="center" vertical="distributed" textRotation="255" wrapText="1" justifyLastLine="1"/>
    </xf>
    <xf numFmtId="0" fontId="9" fillId="0" borderId="179" xfId="1" applyFont="1" applyBorder="1" applyAlignment="1">
      <alignment horizontal="center" vertical="distributed" textRotation="255" wrapText="1" justifyLastLine="1"/>
    </xf>
    <xf numFmtId="0" fontId="3" fillId="0" borderId="178" xfId="1" applyBorder="1" applyAlignment="1">
      <alignment horizontal="center" vertical="center"/>
    </xf>
    <xf numFmtId="0" fontId="3" fillId="0" borderId="182" xfId="1" applyBorder="1" applyAlignment="1">
      <alignment horizontal="center" vertical="center"/>
    </xf>
    <xf numFmtId="0" fontId="9" fillId="0" borderId="6" xfId="1" applyFont="1" applyBorder="1" applyAlignment="1">
      <alignment horizontal="center" vertical="center" textRotation="255"/>
    </xf>
    <xf numFmtId="0" fontId="76" fillId="0" borderId="163" xfId="1" applyFont="1" applyBorder="1" applyAlignment="1">
      <alignment horizontal="center" vertical="center" shrinkToFit="1"/>
    </xf>
    <xf numFmtId="0" fontId="76" fillId="0" borderId="164" xfId="1" applyFont="1" applyBorder="1" applyAlignment="1">
      <alignment horizontal="center" vertical="center" shrinkToFit="1"/>
    </xf>
    <xf numFmtId="0" fontId="9" fillId="0" borderId="17" xfId="1" applyFont="1" applyBorder="1" applyAlignment="1">
      <alignment horizontal="distributed" vertical="center" wrapText="1" justifyLastLine="1"/>
    </xf>
    <xf numFmtId="0" fontId="9" fillId="0" borderId="38" xfId="1" applyFont="1" applyBorder="1" applyAlignment="1">
      <alignment horizontal="distributed" vertical="center" wrapText="1" justifyLastLine="1"/>
    </xf>
    <xf numFmtId="0" fontId="9" fillId="0" borderId="190" xfId="1" applyFont="1" applyBorder="1" applyAlignment="1">
      <alignment horizontal="distributed" vertical="center" wrapText="1" justifyLastLine="1"/>
    </xf>
    <xf numFmtId="0" fontId="9" fillId="0" borderId="17" xfId="1" applyFont="1" applyBorder="1" applyAlignment="1">
      <alignment horizontal="distributed" vertical="distributed" textRotation="255" justifyLastLine="1"/>
    </xf>
    <xf numFmtId="0" fontId="65" fillId="0" borderId="2" xfId="1" applyFont="1" applyBorder="1" applyAlignment="1">
      <alignment horizontal="center" vertical="center"/>
    </xf>
    <xf numFmtId="0" fontId="60" fillId="0" borderId="163" xfId="1" applyFont="1" applyBorder="1" applyAlignment="1">
      <alignment horizontal="center"/>
    </xf>
    <xf numFmtId="0" fontId="60" fillId="0" borderId="164" xfId="1" applyFont="1" applyBorder="1" applyAlignment="1">
      <alignment horizontal="center"/>
    </xf>
    <xf numFmtId="0" fontId="9" fillId="0" borderId="20" xfId="1" applyFont="1" applyBorder="1" applyAlignment="1">
      <alignment horizontal="center" vertical="distributed" textRotation="255" wrapText="1" justifyLastLine="1"/>
    </xf>
    <xf numFmtId="0" fontId="9" fillId="0" borderId="199" xfId="1" applyFont="1" applyBorder="1" applyAlignment="1">
      <alignment horizontal="center" vertical="distributed" textRotation="255" wrapText="1" justifyLastLine="1"/>
    </xf>
    <xf numFmtId="0" fontId="3" fillId="0" borderId="198" xfId="1" applyBorder="1" applyAlignment="1">
      <alignment horizontal="center" vertical="center"/>
    </xf>
    <xf numFmtId="0" fontId="3" fillId="0" borderId="203" xfId="1" applyBorder="1" applyAlignment="1">
      <alignment horizontal="center" vertical="center"/>
    </xf>
    <xf numFmtId="0" fontId="9" fillId="0" borderId="1" xfId="1" applyFont="1" applyBorder="1" applyAlignment="1">
      <alignment horizontal="center" vertical="center" textRotation="255"/>
    </xf>
    <xf numFmtId="0" fontId="9" fillId="0" borderId="5" xfId="1" applyFont="1" applyBorder="1" applyAlignment="1">
      <alignment horizontal="center" vertical="center" textRotation="255"/>
    </xf>
    <xf numFmtId="0" fontId="9" fillId="0" borderId="105" xfId="1" applyFont="1" applyBorder="1" applyAlignment="1">
      <alignment horizontal="center" vertical="center" textRotation="255"/>
    </xf>
    <xf numFmtId="0" fontId="65" fillId="0" borderId="6" xfId="1" applyFont="1" applyBorder="1" applyAlignment="1">
      <alignment horizontal="center" vertical="center" wrapText="1"/>
    </xf>
    <xf numFmtId="0" fontId="9" fillId="0" borderId="17" xfId="1" applyFont="1" applyBorder="1" applyAlignment="1">
      <alignment horizontal="center" vertical="center" justifyLastLine="1"/>
    </xf>
    <xf numFmtId="0" fontId="9" fillId="0" borderId="18" xfId="1" applyFont="1" applyBorder="1" applyAlignment="1">
      <alignment horizontal="center" vertical="center" justifyLastLine="1"/>
    </xf>
    <xf numFmtId="0" fontId="9" fillId="0" borderId="66" xfId="1" applyFont="1" applyBorder="1" applyAlignment="1">
      <alignment horizontal="distributed" vertical="center" justifyLastLine="1"/>
    </xf>
    <xf numFmtId="0" fontId="9" fillId="0" borderId="67" xfId="1" applyFont="1" applyBorder="1" applyAlignment="1">
      <alignment horizontal="distributed" vertical="center" justifyLastLine="1"/>
    </xf>
    <xf numFmtId="0" fontId="9" fillId="0" borderId="140" xfId="1" applyFont="1" applyBorder="1" applyAlignment="1">
      <alignment horizontal="distributed" vertical="center" justifyLastLine="1"/>
    </xf>
    <xf numFmtId="0" fontId="9" fillId="0" borderId="54" xfId="1" applyFont="1" applyBorder="1" applyAlignment="1">
      <alignment horizontal="distributed" vertical="center" justifyLastLine="1"/>
    </xf>
    <xf numFmtId="0" fontId="9" fillId="0" borderId="31" xfId="1" applyFont="1" applyBorder="1" applyAlignment="1">
      <alignment horizontal="center" vertical="center"/>
    </xf>
    <xf numFmtId="0" fontId="9" fillId="0" borderId="25" xfId="1" applyFont="1" applyBorder="1" applyAlignment="1">
      <alignment horizontal="center" vertical="center"/>
    </xf>
    <xf numFmtId="0" fontId="9" fillId="0" borderId="204" xfId="1" applyFont="1" applyBorder="1" applyAlignment="1">
      <alignment horizontal="center" vertical="center"/>
    </xf>
    <xf numFmtId="0" fontId="45" fillId="0" borderId="63" xfId="1" applyFont="1" applyBorder="1" applyAlignment="1">
      <alignment horizontal="center" vertical="center" wrapText="1"/>
    </xf>
    <xf numFmtId="0" fontId="45" fillId="0" borderId="5" xfId="1" applyFont="1" applyBorder="1" applyAlignment="1">
      <alignment horizontal="center" vertical="center" wrapText="1"/>
    </xf>
    <xf numFmtId="0" fontId="45" fillId="0" borderId="205" xfId="1" applyFont="1" applyBorder="1" applyAlignment="1">
      <alignment horizontal="center" vertical="center"/>
    </xf>
    <xf numFmtId="0" fontId="9" fillId="0" borderId="31" xfId="1" applyFont="1" applyBorder="1" applyAlignment="1">
      <alignment horizontal="distributed" vertical="center" justifyLastLine="1"/>
    </xf>
    <xf numFmtId="0" fontId="9" fillId="0" borderId="25" xfId="1" applyFont="1" applyBorder="1" applyAlignment="1">
      <alignment horizontal="distributed" vertical="center" justifyLastLine="1"/>
    </xf>
    <xf numFmtId="0" fontId="9" fillId="0" borderId="204" xfId="1" applyFont="1" applyBorder="1" applyAlignment="1">
      <alignment horizontal="distributed" vertical="center" justifyLastLine="1"/>
    </xf>
    <xf numFmtId="0" fontId="65" fillId="0" borderId="0" xfId="1" applyFont="1" applyAlignment="1">
      <alignment horizontal="center" vertical="center" shrinkToFit="1"/>
    </xf>
    <xf numFmtId="0" fontId="9" fillId="0" borderId="16" xfId="1" applyFont="1" applyBorder="1" applyAlignment="1">
      <alignment horizontal="distributed" vertical="center"/>
    </xf>
    <xf numFmtId="0" fontId="9" fillId="0" borderId="23" xfId="1" applyFont="1" applyBorder="1" applyAlignment="1">
      <alignment horizontal="distributed" vertical="center"/>
    </xf>
    <xf numFmtId="3" fontId="7" fillId="0" borderId="210" xfId="1" applyNumberFormat="1" applyFont="1" applyBorder="1" applyAlignment="1">
      <alignment horizontal="right" vertical="center" shrinkToFit="1"/>
    </xf>
    <xf numFmtId="0" fontId="3" fillId="0" borderId="211" xfId="1" applyBorder="1" applyAlignment="1">
      <alignment horizontal="right" vertical="center" shrinkToFit="1"/>
    </xf>
    <xf numFmtId="0" fontId="3" fillId="0" borderId="164" xfId="1" applyBorder="1" applyAlignment="1">
      <alignment horizontal="right" vertical="center" shrinkToFit="1"/>
    </xf>
    <xf numFmtId="0" fontId="9" fillId="0" borderId="26" xfId="1" applyFont="1" applyBorder="1" applyAlignment="1">
      <alignment horizontal="center" vertical="distributed" textRotation="255" wrapText="1" justifyLastLine="1"/>
    </xf>
    <xf numFmtId="0" fontId="9" fillId="0" borderId="64" xfId="1" applyFont="1" applyBorder="1" applyAlignment="1">
      <alignment horizontal="center" vertical="distributed" textRotation="255" wrapText="1" justifyLastLine="1"/>
    </xf>
    <xf numFmtId="0" fontId="3" fillId="0" borderId="212" xfId="1" applyBorder="1" applyAlignment="1">
      <alignment horizontal="right" vertical="center" shrinkToFit="1"/>
    </xf>
    <xf numFmtId="0" fontId="3" fillId="0" borderId="189" xfId="1" applyBorder="1" applyAlignment="1">
      <alignment horizontal="right" vertical="center" shrinkToFit="1"/>
    </xf>
    <xf numFmtId="0" fontId="36" fillId="0" borderId="0" xfId="1" applyFont="1" applyAlignment="1">
      <alignment horizontal="left" vertical="top" wrapText="1"/>
    </xf>
    <xf numFmtId="0" fontId="36" fillId="0" borderId="83" xfId="1" applyFont="1" applyBorder="1" applyAlignment="1">
      <alignment horizontal="left" vertical="top" wrapText="1"/>
    </xf>
    <xf numFmtId="0" fontId="9" fillId="0" borderId="2" xfId="1" applyFont="1" applyBorder="1" applyAlignment="1">
      <alignment horizontal="distributed" vertical="center"/>
    </xf>
    <xf numFmtId="0" fontId="9" fillId="0" borderId="3" xfId="1" applyFont="1" applyBorder="1" applyAlignment="1">
      <alignment horizontal="distributed" vertical="center"/>
    </xf>
    <xf numFmtId="0" fontId="57" fillId="0" borderId="217" xfId="1" applyFont="1" applyBorder="1" applyAlignment="1">
      <alignment horizontal="center" vertical="center" wrapText="1"/>
    </xf>
    <xf numFmtId="0" fontId="3" fillId="0" borderId="217" xfId="1" applyBorder="1" applyAlignment="1">
      <alignment horizontal="center" vertical="center" wrapText="1"/>
    </xf>
    <xf numFmtId="0" fontId="36" fillId="0" borderId="23" xfId="1" applyFont="1" applyBorder="1" applyAlignment="1">
      <alignment horizontal="left" vertical="top" wrapText="1"/>
    </xf>
    <xf numFmtId="0" fontId="3" fillId="0" borderId="23" xfId="1" applyBorder="1" applyAlignment="1">
      <alignment horizontal="left" vertical="top" wrapText="1"/>
    </xf>
    <xf numFmtId="0" fontId="3" fillId="0" borderId="73" xfId="1" applyBorder="1" applyAlignment="1">
      <alignment horizontal="left" vertical="top" wrapText="1"/>
    </xf>
    <xf numFmtId="0" fontId="3" fillId="0" borderId="0" xfId="1" applyAlignment="1">
      <alignment horizontal="left" vertical="top" wrapText="1"/>
    </xf>
    <xf numFmtId="0" fontId="3" fillId="0" borderId="83" xfId="1" applyBorder="1" applyAlignment="1">
      <alignment horizontal="left" vertical="top" wrapText="1"/>
    </xf>
    <xf numFmtId="0" fontId="3" fillId="0" borderId="21" xfId="1" applyBorder="1" applyAlignment="1">
      <alignment horizontal="left" vertical="top" wrapText="1"/>
    </xf>
    <xf numFmtId="0" fontId="3" fillId="0" borderId="22" xfId="1" applyBorder="1" applyAlignment="1">
      <alignment horizontal="left" vertical="top" wrapText="1"/>
    </xf>
    <xf numFmtId="0" fontId="9" fillId="0" borderId="204" xfId="1" applyFont="1" applyBorder="1" applyAlignment="1">
      <alignment horizontal="distributed" vertical="center"/>
    </xf>
    <xf numFmtId="0" fontId="9" fillId="0" borderId="21" xfId="1" applyFont="1" applyBorder="1" applyAlignment="1">
      <alignment horizontal="distributed" vertical="center"/>
    </xf>
    <xf numFmtId="0" fontId="9" fillId="0" borderId="17" xfId="1" applyFont="1" applyBorder="1" applyAlignment="1">
      <alignment horizontal="center" vertical="distributed" textRotation="255" wrapText="1" justifyLastLine="1"/>
    </xf>
    <xf numFmtId="0" fontId="9" fillId="0" borderId="30" xfId="1" applyFont="1" applyBorder="1" applyAlignment="1">
      <alignment horizontal="center" vertical="distributed" textRotation="255" wrapText="1" justifyLastLine="1"/>
    </xf>
    <xf numFmtId="0" fontId="9" fillId="0" borderId="221" xfId="1" applyFont="1" applyBorder="1" applyAlignment="1">
      <alignment horizontal="distributed" vertical="center" indent="1"/>
    </xf>
    <xf numFmtId="0" fontId="9" fillId="0" borderId="68" xfId="1" applyFont="1" applyBorder="1" applyAlignment="1">
      <alignment horizontal="distributed" vertical="center" indent="1"/>
    </xf>
    <xf numFmtId="0" fontId="65" fillId="0" borderId="6" xfId="1" applyFont="1" applyBorder="1" applyAlignment="1">
      <alignment horizontal="center" vertical="center" textRotation="255"/>
    </xf>
    <xf numFmtId="0" fontId="9" fillId="0" borderId="2" xfId="1" applyFont="1" applyBorder="1" applyAlignment="1">
      <alignment horizontal="distributed" vertical="center" indent="1"/>
    </xf>
    <xf numFmtId="0" fontId="9" fillId="0" borderId="55" xfId="1" applyFont="1" applyBorder="1" applyAlignment="1">
      <alignment horizontal="distributed" vertical="center" indent="1"/>
    </xf>
    <xf numFmtId="0" fontId="9" fillId="0" borderId="112" xfId="1" applyFont="1" applyBorder="1" applyAlignment="1">
      <alignment horizontal="distributed" vertical="center" indent="1"/>
    </xf>
    <xf numFmtId="0" fontId="9" fillId="0" borderId="60" xfId="1" applyFont="1" applyBorder="1" applyAlignment="1">
      <alignment horizontal="distributed" vertical="center" indent="1"/>
    </xf>
    <xf numFmtId="0" fontId="45" fillId="0" borderId="49" xfId="1" applyFont="1" applyBorder="1" applyAlignment="1">
      <alignment horizontal="center" vertical="center" wrapText="1"/>
    </xf>
    <xf numFmtId="0" fontId="45" fillId="0" borderId="157" xfId="1" applyFont="1" applyBorder="1" applyAlignment="1">
      <alignment horizontal="center" vertical="center" wrapText="1"/>
    </xf>
    <xf numFmtId="0" fontId="45" fillId="0" borderId="50" xfId="1" applyFont="1" applyBorder="1" applyAlignment="1">
      <alignment horizontal="center" vertical="center"/>
    </xf>
    <xf numFmtId="0" fontId="33" fillId="0" borderId="0" xfId="1" applyFont="1" applyAlignment="1">
      <alignment horizontal="left" vertical="top" wrapText="1"/>
    </xf>
    <xf numFmtId="0" fontId="9" fillId="0" borderId="20" xfId="1" applyFont="1" applyBorder="1" applyAlignment="1">
      <alignment horizontal="center" vertical="center"/>
    </xf>
    <xf numFmtId="0" fontId="45" fillId="0" borderId="205" xfId="1" applyFont="1" applyBorder="1" applyAlignment="1">
      <alignment horizontal="center" vertical="center" wrapText="1"/>
    </xf>
    <xf numFmtId="3" fontId="7" fillId="0" borderId="232" xfId="1" applyNumberFormat="1" applyFont="1" applyBorder="1" applyAlignment="1">
      <alignment horizontal="right" vertical="center" shrinkToFit="1"/>
    </xf>
    <xf numFmtId="0" fontId="3" fillId="0" borderId="233" xfId="1" applyBorder="1" applyAlignment="1">
      <alignment vertical="center" shrinkToFit="1"/>
    </xf>
    <xf numFmtId="0" fontId="9" fillId="0" borderId="73" xfId="1" applyFont="1" applyBorder="1" applyAlignment="1">
      <alignment horizontal="distributed" vertical="center"/>
    </xf>
    <xf numFmtId="3" fontId="7" fillId="0" borderId="237" xfId="1" applyNumberFormat="1" applyFont="1" applyBorder="1" applyAlignment="1">
      <alignment horizontal="right" vertical="center" shrinkToFit="1"/>
    </xf>
    <xf numFmtId="0" fontId="3" fillId="0" borderId="238" xfId="1" applyBorder="1" applyAlignment="1">
      <alignment vertical="center" shrinkToFit="1"/>
    </xf>
    <xf numFmtId="0" fontId="65" fillId="0" borderId="6" xfId="1" applyFont="1" applyBorder="1" applyAlignment="1">
      <alignment horizontal="center" vertical="center" justifyLastLine="1"/>
    </xf>
    <xf numFmtId="0" fontId="9" fillId="0" borderId="59" xfId="1" applyFont="1" applyBorder="1" applyAlignment="1">
      <alignment horizontal="distributed" vertical="center"/>
    </xf>
    <xf numFmtId="0" fontId="36" fillId="0" borderId="18" xfId="1" applyFont="1" applyBorder="1" applyAlignment="1">
      <alignment vertical="top" wrapText="1"/>
    </xf>
    <xf numFmtId="0" fontId="36" fillId="0" borderId="0" xfId="1" applyFont="1" applyAlignment="1">
      <alignment vertical="top" wrapText="1"/>
    </xf>
    <xf numFmtId="0" fontId="57" fillId="0" borderId="240" xfId="1" applyFont="1" applyBorder="1" applyAlignment="1">
      <alignment vertical="center" wrapText="1"/>
    </xf>
    <xf numFmtId="0" fontId="3" fillId="0" borderId="240" xfId="1" applyBorder="1" applyAlignment="1">
      <alignment vertical="center" wrapText="1"/>
    </xf>
    <xf numFmtId="0" fontId="33" fillId="0" borderId="23" xfId="1" applyFont="1" applyBorder="1" applyAlignment="1">
      <alignment vertical="top" wrapText="1"/>
    </xf>
    <xf numFmtId="0" fontId="3" fillId="0" borderId="23" xfId="1" applyBorder="1" applyAlignment="1">
      <alignment wrapText="1"/>
    </xf>
    <xf numFmtId="0" fontId="3" fillId="0" borderId="73" xfId="1" applyBorder="1" applyAlignment="1">
      <alignment wrapText="1"/>
    </xf>
    <xf numFmtId="0" fontId="3" fillId="0" borderId="0" xfId="1" applyAlignment="1">
      <alignment wrapText="1"/>
    </xf>
    <xf numFmtId="0" fontId="3" fillId="0" borderId="83" xfId="1" applyBorder="1" applyAlignment="1">
      <alignment wrapText="1"/>
    </xf>
    <xf numFmtId="0" fontId="65" fillId="0" borderId="16" xfId="1" applyFont="1" applyBorder="1" applyAlignment="1">
      <alignment horizontal="center" vertical="center" wrapText="1" justifyLastLine="1"/>
    </xf>
    <xf numFmtId="0" fontId="65" fillId="0" borderId="24" xfId="1" applyFont="1" applyBorder="1" applyAlignment="1">
      <alignment horizontal="center" vertical="center" wrapText="1" justifyLastLine="1"/>
    </xf>
    <xf numFmtId="0" fontId="65" fillId="0" borderId="25" xfId="1" applyFont="1" applyBorder="1" applyAlignment="1">
      <alignment horizontal="center" vertical="center" wrapText="1" justifyLastLine="1"/>
    </xf>
    <xf numFmtId="0" fontId="65" fillId="0" borderId="26" xfId="1" applyFont="1" applyBorder="1" applyAlignment="1">
      <alignment horizontal="center" vertical="center" wrapText="1" justifyLastLine="1"/>
    </xf>
    <xf numFmtId="0" fontId="65" fillId="0" borderId="27" xfId="1" applyFont="1" applyBorder="1" applyAlignment="1">
      <alignment horizontal="center" vertical="center" wrapText="1" justifyLastLine="1"/>
    </xf>
    <xf numFmtId="0" fontId="65" fillId="0" borderId="29" xfId="1" applyFont="1" applyBorder="1" applyAlignment="1">
      <alignment horizontal="center" vertical="center" wrapText="1" justifyLastLine="1"/>
    </xf>
    <xf numFmtId="0" fontId="65" fillId="0" borderId="1" xfId="1" applyFont="1" applyBorder="1" applyAlignment="1">
      <alignment horizontal="center" vertical="center" justifyLastLine="1"/>
    </xf>
    <xf numFmtId="0" fontId="65" fillId="0" borderId="5" xfId="1" applyFont="1" applyBorder="1" applyAlignment="1">
      <alignment horizontal="center" vertical="center" justifyLastLine="1"/>
    </xf>
    <xf numFmtId="0" fontId="65" fillId="0" borderId="105" xfId="1" applyFont="1" applyBorder="1" applyAlignment="1">
      <alignment horizontal="center" vertical="center" justifyLastLine="1"/>
    </xf>
    <xf numFmtId="0" fontId="60" fillId="0" borderId="1" xfId="1" applyFont="1" applyBorder="1" applyAlignment="1">
      <alignment horizontal="center" vertical="center" textRotation="255"/>
    </xf>
    <xf numFmtId="0" fontId="60" fillId="0" borderId="205" xfId="1" applyFont="1" applyBorder="1" applyAlignment="1">
      <alignment horizontal="center" vertical="center" textRotation="255"/>
    </xf>
    <xf numFmtId="0" fontId="9" fillId="0" borderId="17" xfId="1" applyFont="1" applyBorder="1" applyAlignment="1">
      <alignment horizontal="distributed" vertical="center" indent="1"/>
    </xf>
    <xf numFmtId="0" fontId="9" fillId="0" borderId="18" xfId="1" applyFont="1" applyBorder="1" applyAlignment="1">
      <alignment horizontal="distributed" vertical="center" indent="1"/>
    </xf>
    <xf numFmtId="0" fontId="9" fillId="0" borderId="19" xfId="1" applyFont="1" applyBorder="1" applyAlignment="1">
      <alignment horizontal="distributed" vertical="center" indent="1"/>
    </xf>
    <xf numFmtId="0" fontId="7" fillId="3" borderId="52" xfId="1" applyFont="1" applyFill="1" applyBorder="1" applyAlignment="1" applyProtection="1">
      <alignment horizontal="center" vertical="center" shrinkToFit="1"/>
      <protection locked="0"/>
    </xf>
    <xf numFmtId="0" fontId="7" fillId="0" borderId="246" xfId="1" applyFont="1" applyBorder="1" applyAlignment="1" applyProtection="1">
      <alignment horizontal="center" vertical="center" shrinkToFit="1"/>
      <protection locked="0"/>
    </xf>
    <xf numFmtId="0" fontId="7" fillId="0" borderId="247" xfId="1" applyFont="1" applyBorder="1" applyAlignment="1" applyProtection="1">
      <alignment horizontal="center" vertical="center" shrinkToFit="1"/>
      <protection locked="0"/>
    </xf>
    <xf numFmtId="0" fontId="65" fillId="0" borderId="16" xfId="1" applyFont="1" applyBorder="1" applyAlignment="1">
      <alignment horizontal="center" vertical="center" justifyLastLine="1"/>
    </xf>
    <xf numFmtId="0" fontId="65" fillId="0" borderId="23" xfId="1" applyFont="1" applyBorder="1" applyAlignment="1">
      <alignment horizontal="center" vertical="center" justifyLastLine="1"/>
    </xf>
    <xf numFmtId="0" fontId="65" fillId="0" borderId="24" xfId="1" applyFont="1" applyBorder="1" applyAlignment="1">
      <alignment horizontal="center" vertical="center" justifyLastLine="1"/>
    </xf>
    <xf numFmtId="0" fontId="33" fillId="0" borderId="0" xfId="1" applyFont="1" applyAlignment="1">
      <alignment vertical="center" wrapText="1"/>
    </xf>
    <xf numFmtId="0" fontId="9" fillId="0" borderId="20" xfId="1" applyFont="1" applyBorder="1" applyAlignment="1">
      <alignment horizontal="distributed" vertical="center" wrapText="1" justifyLastLine="1"/>
    </xf>
    <xf numFmtId="0" fontId="9" fillId="0" borderId="243" xfId="1" applyFont="1" applyBorder="1" applyAlignment="1">
      <alignment horizontal="center" vertical="center"/>
    </xf>
    <xf numFmtId="0" fontId="45" fillId="0" borderId="18" xfId="1" applyFont="1" applyBorder="1" applyAlignment="1">
      <alignment horizontal="center" vertical="center"/>
    </xf>
    <xf numFmtId="0" fontId="45" fillId="0" borderId="19" xfId="1" applyFont="1" applyBorder="1" applyAlignment="1">
      <alignment horizontal="center" vertical="center"/>
    </xf>
    <xf numFmtId="0" fontId="45" fillId="0" borderId="25" xfId="1" applyFont="1" applyBorder="1" applyAlignment="1">
      <alignment horizontal="center" vertical="center" wrapText="1"/>
    </xf>
    <xf numFmtId="0" fontId="45" fillId="0" borderId="0" xfId="1" applyFont="1" applyAlignment="1">
      <alignment horizontal="center" vertical="center"/>
    </xf>
    <xf numFmtId="0" fontId="45" fillId="0" borderId="83" xfId="1" applyFont="1" applyBorder="1" applyAlignment="1">
      <alignment horizontal="center" vertical="center"/>
    </xf>
    <xf numFmtId="0" fontId="45" fillId="0" borderId="25" xfId="1" applyFont="1" applyBorder="1" applyAlignment="1">
      <alignment horizontal="center" vertical="center"/>
    </xf>
    <xf numFmtId="0" fontId="7" fillId="4" borderId="254" xfId="1" applyFont="1" applyFill="1" applyBorder="1" applyAlignment="1" applyProtection="1">
      <alignment horizontal="center" vertical="center" shrinkToFit="1"/>
      <protection locked="0"/>
    </xf>
    <xf numFmtId="0" fontId="7" fillId="4" borderId="255" xfId="1" applyFont="1" applyFill="1" applyBorder="1" applyAlignment="1" applyProtection="1">
      <alignment horizontal="center" vertical="center" shrinkToFit="1"/>
      <protection locked="0"/>
    </xf>
    <xf numFmtId="0" fontId="7" fillId="4" borderId="256" xfId="1" applyFont="1" applyFill="1" applyBorder="1" applyAlignment="1" applyProtection="1">
      <alignment horizontal="center" vertical="center" shrinkToFit="1"/>
      <protection locked="0"/>
    </xf>
    <xf numFmtId="0" fontId="65" fillId="0" borderId="2" xfId="1" applyFont="1" applyBorder="1" applyAlignment="1">
      <alignment horizontal="center" vertical="distributed" wrapText="1" justifyLastLine="1"/>
    </xf>
    <xf numFmtId="0" fontId="65" fillId="0" borderId="4" xfId="1" applyFont="1" applyBorder="1" applyAlignment="1">
      <alignment horizontal="center" vertical="distributed" wrapText="1" justifyLastLine="1"/>
    </xf>
    <xf numFmtId="0" fontId="9" fillId="0" borderId="3" xfId="1" applyFont="1" applyBorder="1" applyAlignment="1">
      <alignment horizontal="distributed" vertical="center" indent="1"/>
    </xf>
    <xf numFmtId="0" fontId="9" fillId="0" borderId="71" xfId="1" applyFont="1" applyBorder="1" applyAlignment="1">
      <alignment horizontal="distributed" vertical="center" indent="1"/>
    </xf>
    <xf numFmtId="0" fontId="65" fillId="0" borderId="3" xfId="1" applyFont="1" applyBorder="1" applyAlignment="1">
      <alignment horizontal="center" vertical="center"/>
    </xf>
    <xf numFmtId="0" fontId="9" fillId="0" borderId="1" xfId="1" applyFont="1" applyBorder="1" applyAlignment="1">
      <alignment horizontal="center" vertical="distributed" textRotation="255" wrapText="1" justifyLastLine="1"/>
    </xf>
    <xf numFmtId="0" fontId="9" fillId="0" borderId="5" xfId="1" applyFont="1" applyBorder="1" applyAlignment="1">
      <alignment horizontal="center" vertical="distributed" textRotation="255" wrapText="1" justifyLastLine="1"/>
    </xf>
    <xf numFmtId="0" fontId="9" fillId="0" borderId="105" xfId="1" applyFont="1" applyBorder="1" applyAlignment="1">
      <alignment horizontal="center" vertical="distributed" textRotation="255" wrapText="1" justifyLastLine="1"/>
    </xf>
    <xf numFmtId="0" fontId="7" fillId="4" borderId="249" xfId="1" applyFont="1" applyFill="1" applyBorder="1" applyAlignment="1" applyProtection="1">
      <alignment horizontal="center" vertical="center" shrinkToFit="1"/>
      <protection locked="0"/>
    </xf>
    <xf numFmtId="0" fontId="7" fillId="4" borderId="250" xfId="1" applyFont="1" applyFill="1" applyBorder="1" applyAlignment="1" applyProtection="1">
      <alignment horizontal="center" vertical="center" shrinkToFit="1"/>
      <protection locked="0"/>
    </xf>
    <xf numFmtId="0" fontId="7" fillId="4" borderId="251" xfId="1" applyFont="1" applyFill="1" applyBorder="1" applyAlignment="1" applyProtection="1">
      <alignment horizontal="center" vertical="center" shrinkToFit="1"/>
      <protection locked="0"/>
    </xf>
    <xf numFmtId="0" fontId="65" fillId="0" borderId="6" xfId="1" applyFont="1" applyBorder="1" applyAlignment="1">
      <alignment horizontal="center" vertical="distributed" textRotation="255" wrapText="1" justifyLastLine="1"/>
    </xf>
    <xf numFmtId="0" fontId="9" fillId="0" borderId="16" xfId="1" applyFont="1" applyBorder="1" applyAlignment="1">
      <alignment horizontal="distributed" vertical="center" wrapText="1" indent="1"/>
    </xf>
    <xf numFmtId="0" fontId="9" fillId="0" borderId="23" xfId="1" applyFont="1" applyBorder="1" applyAlignment="1">
      <alignment horizontal="distributed" vertical="center" wrapText="1" indent="1"/>
    </xf>
    <xf numFmtId="0" fontId="9" fillId="0" borderId="73" xfId="1" applyFont="1" applyBorder="1" applyAlignment="1">
      <alignment horizontal="distributed" vertical="center" wrapText="1" indent="1"/>
    </xf>
    <xf numFmtId="0" fontId="7" fillId="4" borderId="260" xfId="1" applyFont="1" applyFill="1" applyBorder="1" applyAlignment="1" applyProtection="1">
      <alignment horizontal="center" vertical="center" shrinkToFit="1"/>
      <protection locked="0"/>
    </xf>
    <xf numFmtId="0" fontId="7" fillId="4" borderId="261" xfId="1" applyFont="1" applyFill="1" applyBorder="1" applyAlignment="1" applyProtection="1">
      <alignment horizontal="center" vertical="center" shrinkToFit="1"/>
      <protection locked="0"/>
    </xf>
    <xf numFmtId="0" fontId="7" fillId="4" borderId="262" xfId="1" applyFont="1" applyFill="1" applyBorder="1" applyAlignment="1" applyProtection="1">
      <alignment horizontal="center" vertical="center" shrinkToFit="1"/>
      <protection locked="0"/>
    </xf>
    <xf numFmtId="0" fontId="65" fillId="0" borderId="16" xfId="1" applyFont="1" applyBorder="1" applyAlignment="1">
      <alignment horizontal="center" vertical="center" wrapText="1"/>
    </xf>
    <xf numFmtId="0" fontId="65" fillId="0" borderId="23" xfId="1" applyFont="1" applyBorder="1" applyAlignment="1">
      <alignment horizontal="center" vertical="center" wrapText="1"/>
    </xf>
    <xf numFmtId="0" fontId="65" fillId="0" borderId="24" xfId="1" applyFont="1" applyBorder="1" applyAlignment="1">
      <alignment horizontal="center" vertical="center" wrapText="1"/>
    </xf>
    <xf numFmtId="0" fontId="9" fillId="0" borderId="264" xfId="1" applyFont="1" applyBorder="1" applyAlignment="1">
      <alignment horizontal="center" vertical="distributed" textRotation="255" wrapText="1" justifyLastLine="1"/>
    </xf>
    <xf numFmtId="0" fontId="9" fillId="0" borderId="273" xfId="1" applyFont="1" applyBorder="1" applyAlignment="1">
      <alignment horizontal="center" vertical="distributed" textRotation="255" wrapText="1" justifyLastLine="1"/>
    </xf>
    <xf numFmtId="49" fontId="9" fillId="3" borderId="52" xfId="1" applyNumberFormat="1" applyFont="1" applyFill="1" applyBorder="1" applyAlignment="1" applyProtection="1">
      <alignment horizontal="center" vertical="center" wrapText="1"/>
      <protection locked="0"/>
    </xf>
    <xf numFmtId="49" fontId="9" fillId="3" borderId="246" xfId="1" applyNumberFormat="1" applyFont="1" applyFill="1" applyBorder="1" applyAlignment="1" applyProtection="1">
      <alignment horizontal="center" vertical="center" wrapText="1"/>
      <protection locked="0"/>
    </xf>
    <xf numFmtId="49" fontId="9" fillId="3" borderId="265" xfId="1" applyNumberFormat="1" applyFont="1" applyFill="1" applyBorder="1" applyAlignment="1" applyProtection="1">
      <alignment horizontal="center" vertical="center" wrapText="1"/>
      <protection locked="0"/>
    </xf>
    <xf numFmtId="0" fontId="46" fillId="0" borderId="268" xfId="1" applyFont="1" applyBorder="1" applyAlignment="1">
      <alignment horizontal="center" vertical="top" shrinkToFit="1"/>
    </xf>
    <xf numFmtId="0" fontId="46" fillId="0" borderId="279" xfId="1" applyFont="1" applyBorder="1" applyAlignment="1">
      <alignment horizontal="center" vertical="top" shrinkToFit="1"/>
    </xf>
    <xf numFmtId="0" fontId="7" fillId="3" borderId="269" xfId="1" applyFont="1" applyFill="1" applyBorder="1" applyAlignment="1" applyProtection="1">
      <alignment horizontal="center" vertical="center" shrinkToFit="1"/>
      <protection locked="0"/>
    </xf>
    <xf numFmtId="0" fontId="7" fillId="0" borderId="270" xfId="1" applyFont="1" applyBorder="1" applyAlignment="1" applyProtection="1">
      <alignment horizontal="center" vertical="center" shrinkToFit="1"/>
      <protection locked="0"/>
    </xf>
    <xf numFmtId="0" fontId="7" fillId="0" borderId="271" xfId="1" applyFont="1" applyBorder="1" applyAlignment="1" applyProtection="1">
      <alignment horizontal="center" vertical="center" shrinkToFit="1"/>
      <protection locked="0"/>
    </xf>
    <xf numFmtId="0" fontId="65" fillId="0" borderId="16" xfId="1" applyFont="1" applyBorder="1" applyAlignment="1">
      <alignment horizontal="center" vertical="center" textRotation="255"/>
    </xf>
    <xf numFmtId="0" fontId="65" fillId="0" borderId="24" xfId="1" applyFont="1" applyBorder="1" applyAlignment="1">
      <alignment horizontal="center" vertical="center" textRotation="255"/>
    </xf>
    <xf numFmtId="0" fontId="65" fillId="0" borderId="25" xfId="1" applyFont="1" applyBorder="1" applyAlignment="1">
      <alignment horizontal="center" vertical="center" textRotation="255"/>
    </xf>
    <xf numFmtId="0" fontId="65" fillId="0" borderId="26" xfId="1" applyFont="1" applyBorder="1" applyAlignment="1">
      <alignment horizontal="center" vertical="center" textRotation="255"/>
    </xf>
    <xf numFmtId="0" fontId="65" fillId="0" borderId="27" xfId="1" applyFont="1" applyBorder="1" applyAlignment="1">
      <alignment horizontal="center" vertical="center" textRotation="255"/>
    </xf>
    <xf numFmtId="0" fontId="65" fillId="0" borderId="29" xfId="1" applyFont="1" applyBorder="1" applyAlignment="1">
      <alignment horizontal="center" vertical="center" textRotation="255"/>
    </xf>
    <xf numFmtId="186" fontId="65" fillId="0" borderId="6" xfId="1" applyNumberFormat="1" applyFont="1" applyBorder="1" applyAlignment="1">
      <alignment horizontal="center" vertical="center" wrapText="1"/>
    </xf>
    <xf numFmtId="49" fontId="9" fillId="3" borderId="274" xfId="1" applyNumberFormat="1" applyFont="1" applyFill="1" applyBorder="1" applyAlignment="1" applyProtection="1">
      <alignment horizontal="center" vertical="center" wrapText="1"/>
      <protection locked="0"/>
    </xf>
    <xf numFmtId="49" fontId="9" fillId="3" borderId="275" xfId="1" applyNumberFormat="1" applyFont="1" applyFill="1" applyBorder="1" applyAlignment="1" applyProtection="1">
      <alignment horizontal="center" vertical="center" wrapText="1"/>
      <protection locked="0"/>
    </xf>
    <xf numFmtId="49" fontId="9" fillId="3" borderId="276" xfId="1" applyNumberFormat="1" applyFont="1" applyFill="1" applyBorder="1" applyAlignment="1" applyProtection="1">
      <alignment horizontal="center" vertical="center" wrapText="1"/>
      <protection locked="0"/>
    </xf>
    <xf numFmtId="0" fontId="7" fillId="3" borderId="280" xfId="1" applyFont="1" applyFill="1" applyBorder="1" applyAlignment="1" applyProtection="1">
      <alignment horizontal="center" vertical="center" shrinkToFit="1"/>
      <protection locked="0"/>
    </xf>
    <xf numFmtId="0" fontId="7" fillId="0" borderId="281" xfId="1" applyFont="1" applyBorder="1" applyAlignment="1" applyProtection="1">
      <alignment horizontal="center" vertical="center" shrinkToFit="1"/>
      <protection locked="0"/>
    </xf>
    <xf numFmtId="0" fontId="7" fillId="0" borderId="282" xfId="1" applyFont="1" applyBorder="1" applyAlignment="1" applyProtection="1">
      <alignment horizontal="center" vertical="center" shrinkToFit="1"/>
      <protection locked="0"/>
    </xf>
    <xf numFmtId="49" fontId="9" fillId="3" borderId="56" xfId="1" applyNumberFormat="1" applyFont="1" applyFill="1" applyBorder="1" applyAlignment="1" applyProtection="1">
      <alignment horizontal="center" vertical="center" wrapText="1"/>
      <protection locked="0"/>
    </xf>
    <xf numFmtId="49" fontId="9" fillId="3" borderId="3" xfId="1" applyNumberFormat="1" applyFont="1" applyFill="1" applyBorder="1" applyAlignment="1" applyProtection="1">
      <alignment horizontal="center" vertical="center" wrapText="1"/>
      <protection locked="0"/>
    </xf>
    <xf numFmtId="49" fontId="9" fillId="3" borderId="283" xfId="1" applyNumberFormat="1" applyFont="1" applyFill="1" applyBorder="1" applyAlignment="1" applyProtection="1">
      <alignment horizontal="center" vertical="center" wrapText="1"/>
      <protection locked="0"/>
    </xf>
    <xf numFmtId="49" fontId="9" fillId="3" borderId="272" xfId="1" applyNumberFormat="1" applyFont="1" applyFill="1" applyBorder="1" applyAlignment="1" applyProtection="1">
      <alignment horizontal="center" vertical="center" wrapText="1"/>
      <protection locked="0"/>
    </xf>
    <xf numFmtId="49" fontId="9" fillId="3" borderId="0" xfId="1" applyNumberFormat="1" applyFont="1" applyFill="1" applyAlignment="1" applyProtection="1">
      <alignment horizontal="center" vertical="center" wrapText="1"/>
      <protection locked="0"/>
    </xf>
    <xf numFmtId="49" fontId="9" fillId="3" borderId="286" xfId="1" applyNumberFormat="1" applyFont="1" applyFill="1" applyBorder="1" applyAlignment="1" applyProtection="1">
      <alignment horizontal="center" vertical="center" wrapText="1"/>
      <protection locked="0"/>
    </xf>
    <xf numFmtId="0" fontId="7" fillId="3" borderId="289" xfId="1" applyFont="1" applyFill="1" applyBorder="1" applyAlignment="1" applyProtection="1">
      <alignment horizontal="center" vertical="center" shrinkToFit="1"/>
      <protection locked="0"/>
    </xf>
    <xf numFmtId="0" fontId="7" fillId="0" borderId="290" xfId="1" applyFont="1" applyBorder="1" applyAlignment="1" applyProtection="1">
      <alignment horizontal="center" vertical="center" shrinkToFit="1"/>
      <protection locked="0"/>
    </xf>
    <xf numFmtId="0" fontId="7" fillId="0" borderId="291" xfId="1" applyFont="1" applyBorder="1" applyAlignment="1" applyProtection="1">
      <alignment horizontal="center" vertical="center" shrinkToFit="1"/>
      <protection locked="0"/>
    </xf>
    <xf numFmtId="0" fontId="34" fillId="0" borderId="0" xfId="1" applyFont="1" applyAlignment="1">
      <alignment horizontal="left" vertical="top" wrapText="1"/>
    </xf>
    <xf numFmtId="0" fontId="9" fillId="5" borderId="16" xfId="1" applyFont="1" applyFill="1" applyBorder="1" applyAlignment="1">
      <alignment horizontal="distributed" vertical="center" indent="1" shrinkToFit="1"/>
    </xf>
    <xf numFmtId="0" fontId="9" fillId="5" borderId="23" xfId="1" applyFont="1" applyFill="1" applyBorder="1" applyAlignment="1">
      <alignment horizontal="distributed" vertical="center" indent="1" shrinkToFit="1"/>
    </xf>
    <xf numFmtId="0" fontId="7" fillId="4" borderId="187" xfId="1" applyFont="1" applyFill="1" applyBorder="1" applyAlignment="1" applyProtection="1">
      <alignment horizontal="center" vertical="center" shrinkToFit="1"/>
      <protection locked="0"/>
    </xf>
    <xf numFmtId="0" fontId="7" fillId="4" borderId="294" xfId="1" applyFont="1" applyFill="1" applyBorder="1" applyAlignment="1" applyProtection="1">
      <alignment horizontal="center" vertical="center" shrinkToFit="1"/>
      <protection locked="0"/>
    </xf>
    <xf numFmtId="0" fontId="65" fillId="0" borderId="2" xfId="1" applyFont="1" applyBorder="1" applyAlignment="1">
      <alignment horizontal="center" vertical="center" justifyLastLine="1"/>
    </xf>
    <xf numFmtId="0" fontId="65" fillId="0" borderId="3" xfId="1" applyFont="1" applyBorder="1" applyAlignment="1">
      <alignment horizontal="center" vertical="center" justifyLastLine="1"/>
    </xf>
    <xf numFmtId="0" fontId="65" fillId="0" borderId="4" xfId="1" applyFont="1" applyBorder="1" applyAlignment="1">
      <alignment horizontal="center" vertical="center" justifyLastLine="1"/>
    </xf>
    <xf numFmtId="3" fontId="7" fillId="0" borderId="295" xfId="1" applyNumberFormat="1" applyFont="1" applyBorder="1" applyAlignment="1">
      <alignment horizontal="right" vertical="center" shrinkToFit="1"/>
    </xf>
    <xf numFmtId="0" fontId="3" fillId="0" borderId="296" xfId="1" applyBorder="1" applyAlignment="1">
      <alignment vertical="center" shrinkToFit="1"/>
    </xf>
    <xf numFmtId="0" fontId="3" fillId="0" borderId="297" xfId="1" applyBorder="1" applyAlignment="1">
      <alignment vertical="center" shrinkToFit="1"/>
    </xf>
    <xf numFmtId="49" fontId="9" fillId="4" borderId="2" xfId="1" applyNumberFormat="1" applyFont="1" applyFill="1" applyBorder="1" applyAlignment="1" applyProtection="1">
      <alignment horizontal="center" vertical="center" wrapText="1"/>
      <protection locked="0"/>
    </xf>
    <xf numFmtId="49" fontId="9" fillId="4" borderId="3" xfId="1" applyNumberFormat="1" applyFont="1" applyFill="1" applyBorder="1" applyAlignment="1" applyProtection="1">
      <alignment horizontal="center" vertical="center" wrapText="1"/>
      <protection locked="0"/>
    </xf>
    <xf numFmtId="49" fontId="9" fillId="4" borderId="71" xfId="1" applyNumberFormat="1" applyFont="1" applyFill="1" applyBorder="1" applyAlignment="1" applyProtection="1">
      <alignment horizontal="center" vertical="center" wrapText="1"/>
      <protection locked="0"/>
    </xf>
    <xf numFmtId="0" fontId="7" fillId="4" borderId="234" xfId="1" applyFont="1" applyFill="1" applyBorder="1" applyAlignment="1" applyProtection="1">
      <alignment horizontal="center" vertical="center" shrinkToFit="1"/>
      <protection locked="0"/>
    </xf>
    <xf numFmtId="0" fontId="7" fillId="4" borderId="3" xfId="1" applyFont="1" applyFill="1" applyBorder="1" applyAlignment="1" applyProtection="1">
      <alignment horizontal="center" vertical="center" shrinkToFit="1"/>
      <protection locked="0"/>
    </xf>
    <xf numFmtId="0" fontId="7" fillId="4" borderId="71" xfId="1" applyFont="1" applyFill="1" applyBorder="1" applyAlignment="1" applyProtection="1">
      <alignment horizontal="center" vertical="center" shrinkToFit="1"/>
      <protection locked="0"/>
    </xf>
    <xf numFmtId="0" fontId="7" fillId="4" borderId="235" xfId="1" applyFont="1" applyFill="1" applyBorder="1" applyAlignment="1" applyProtection="1">
      <alignment horizontal="center" vertical="center" shrinkToFit="1"/>
      <protection locked="0"/>
    </xf>
    <xf numFmtId="0" fontId="7" fillId="4" borderId="28" xfId="1" applyFont="1" applyFill="1" applyBorder="1" applyAlignment="1" applyProtection="1">
      <alignment horizontal="center" vertical="center" shrinkToFit="1"/>
      <protection locked="0"/>
    </xf>
    <xf numFmtId="0" fontId="7" fillId="4" borderId="124" xfId="1" applyFont="1" applyFill="1" applyBorder="1" applyAlignment="1" applyProtection="1">
      <alignment horizontal="center" vertical="center" shrinkToFit="1"/>
      <protection locked="0"/>
    </xf>
    <xf numFmtId="49" fontId="9" fillId="4" borderId="298" xfId="1" applyNumberFormat="1" applyFont="1" applyFill="1" applyBorder="1" applyAlignment="1" applyProtection="1">
      <alignment horizontal="center" vertical="center" wrapText="1"/>
      <protection locked="0"/>
    </xf>
    <xf numFmtId="49" fontId="9" fillId="4" borderId="299" xfId="1" applyNumberFormat="1" applyFont="1" applyFill="1" applyBorder="1" applyAlignment="1" applyProtection="1">
      <alignment horizontal="center" vertical="center" wrapText="1"/>
      <protection locked="0"/>
    </xf>
    <xf numFmtId="49" fontId="9" fillId="4" borderId="300" xfId="1" applyNumberFormat="1" applyFont="1" applyFill="1" applyBorder="1" applyAlignment="1" applyProtection="1">
      <alignment horizontal="center" vertical="center" wrapText="1"/>
      <protection locked="0"/>
    </xf>
    <xf numFmtId="0" fontId="7" fillId="4" borderId="302" xfId="1" applyFont="1" applyFill="1" applyBorder="1" applyAlignment="1" applyProtection="1">
      <alignment horizontal="center" vertical="center" shrinkToFit="1"/>
      <protection locked="0"/>
    </xf>
    <xf numFmtId="0" fontId="7" fillId="4" borderId="299" xfId="1" applyFont="1" applyFill="1" applyBorder="1" applyAlignment="1" applyProtection="1">
      <alignment horizontal="center" vertical="center" shrinkToFit="1"/>
      <protection locked="0"/>
    </xf>
    <xf numFmtId="0" fontId="7" fillId="4" borderId="300" xfId="1" applyFont="1" applyFill="1" applyBorder="1" applyAlignment="1" applyProtection="1">
      <alignment horizontal="center" vertical="center" shrinkToFit="1"/>
      <protection locked="0"/>
    </xf>
    <xf numFmtId="49" fontId="9" fillId="3" borderId="303" xfId="1" applyNumberFormat="1" applyFont="1" applyFill="1" applyBorder="1" applyAlignment="1" applyProtection="1">
      <alignment horizontal="center" vertical="center" wrapText="1"/>
      <protection locked="0"/>
    </xf>
    <xf numFmtId="49" fontId="9" fillId="3" borderId="304" xfId="1" applyNumberFormat="1" applyFont="1" applyFill="1" applyBorder="1" applyAlignment="1" applyProtection="1">
      <alignment horizontal="center" vertical="center" wrapText="1"/>
      <protection locked="0"/>
    </xf>
    <xf numFmtId="49" fontId="9" fillId="3" borderId="305" xfId="1" applyNumberFormat="1" applyFont="1" applyFill="1" applyBorder="1" applyAlignment="1" applyProtection="1">
      <alignment horizontal="center" vertical="center" wrapText="1"/>
      <protection locked="0"/>
    </xf>
    <xf numFmtId="0" fontId="46" fillId="0" borderId="317" xfId="1" applyFont="1" applyBorder="1" applyAlignment="1">
      <alignment horizontal="center" vertical="top" shrinkToFit="1"/>
    </xf>
    <xf numFmtId="0" fontId="7" fillId="3" borderId="69" xfId="1" applyFont="1" applyFill="1" applyBorder="1" applyAlignment="1" applyProtection="1">
      <alignment horizontal="center" vertical="center" shrinkToFit="1"/>
      <protection locked="0"/>
    </xf>
    <xf numFmtId="0" fontId="7" fillId="0" borderId="176" xfId="1" applyFont="1" applyBorder="1" applyAlignment="1" applyProtection="1">
      <alignment horizontal="center" vertical="center" shrinkToFit="1"/>
      <protection locked="0"/>
    </xf>
    <xf numFmtId="0" fontId="7" fillId="0" borderId="308" xfId="1" applyFont="1" applyBorder="1" applyAlignment="1" applyProtection="1">
      <alignment horizontal="center" vertical="center" shrinkToFit="1"/>
      <protection locked="0"/>
    </xf>
    <xf numFmtId="180" fontId="65" fillId="0" borderId="6" xfId="1" applyNumberFormat="1" applyFont="1" applyBorder="1" applyAlignment="1">
      <alignment horizontal="center" vertical="center" shrinkToFit="1"/>
    </xf>
    <xf numFmtId="49" fontId="9" fillId="3" borderId="309" xfId="1" applyNumberFormat="1" applyFont="1" applyFill="1" applyBorder="1" applyAlignment="1" applyProtection="1">
      <alignment horizontal="center" vertical="center" wrapText="1"/>
      <protection locked="0"/>
    </xf>
    <xf numFmtId="0" fontId="7" fillId="3" borderId="56" xfId="1" applyFont="1" applyFill="1" applyBorder="1" applyAlignment="1" applyProtection="1">
      <alignment horizontal="center" vertical="center" shrinkToFit="1"/>
      <protection locked="0"/>
    </xf>
    <xf numFmtId="0" fontId="7" fillId="0" borderId="3" xfId="1" applyFont="1" applyBorder="1" applyAlignment="1" applyProtection="1">
      <alignment horizontal="center" vertical="center" shrinkToFit="1"/>
      <protection locked="0"/>
    </xf>
    <xf numFmtId="0" fontId="7" fillId="0" borderId="55" xfId="1" applyFont="1" applyBorder="1" applyAlignment="1" applyProtection="1">
      <alignment horizontal="center" vertical="center" shrinkToFit="1"/>
      <protection locked="0"/>
    </xf>
    <xf numFmtId="49" fontId="9" fillId="3" borderId="83" xfId="1" applyNumberFormat="1" applyFont="1" applyFill="1" applyBorder="1" applyAlignment="1" applyProtection="1">
      <alignment horizontal="center" vertical="center" wrapText="1"/>
      <protection locked="0"/>
    </xf>
    <xf numFmtId="49" fontId="9" fillId="3" borderId="289" xfId="1" applyNumberFormat="1" applyFont="1" applyFill="1" applyBorder="1" applyAlignment="1" applyProtection="1">
      <alignment horizontal="center" vertical="center" wrapText="1"/>
      <protection locked="0"/>
    </xf>
    <xf numFmtId="49" fontId="9" fillId="3" borderId="290" xfId="1" applyNumberFormat="1" applyFont="1" applyFill="1" applyBorder="1" applyAlignment="1" applyProtection="1">
      <alignment horizontal="center" vertical="center" wrapText="1"/>
      <protection locked="0"/>
    </xf>
    <xf numFmtId="49" fontId="9" fillId="3" borderId="314" xfId="1" applyNumberFormat="1" applyFont="1" applyFill="1" applyBorder="1" applyAlignment="1" applyProtection="1">
      <alignment horizontal="center" vertical="center" wrapText="1"/>
      <protection locked="0"/>
    </xf>
    <xf numFmtId="0" fontId="7" fillId="3" borderId="109" xfId="1" applyFont="1" applyFill="1" applyBorder="1" applyAlignment="1" applyProtection="1">
      <alignment horizontal="center" vertical="center" shrinkToFit="1"/>
      <protection locked="0"/>
    </xf>
    <xf numFmtId="0" fontId="7" fillId="0" borderId="23" xfId="1" applyFont="1" applyBorder="1" applyAlignment="1" applyProtection="1">
      <alignment horizontal="center" vertical="center" shrinkToFit="1"/>
      <protection locked="0"/>
    </xf>
    <xf numFmtId="0" fontId="7" fillId="0" borderId="313" xfId="1" applyFont="1" applyBorder="1" applyAlignment="1" applyProtection="1">
      <alignment horizontal="center" vertical="center" shrinkToFit="1"/>
      <protection locked="0"/>
    </xf>
    <xf numFmtId="49" fontId="9" fillId="3" borderId="109" xfId="1" applyNumberFormat="1" applyFont="1" applyFill="1" applyBorder="1" applyAlignment="1" applyProtection="1">
      <alignment horizontal="center" vertical="center" wrapText="1"/>
      <protection locked="0"/>
    </xf>
    <xf numFmtId="49" fontId="9" fillId="3" borderId="23" xfId="1" applyNumberFormat="1" applyFont="1" applyFill="1" applyBorder="1" applyAlignment="1" applyProtection="1">
      <alignment horizontal="center" vertical="center" wrapText="1"/>
      <protection locked="0"/>
    </xf>
    <xf numFmtId="49" fontId="9" fillId="3" borderId="73" xfId="1" applyNumberFormat="1" applyFont="1" applyFill="1" applyBorder="1" applyAlignment="1" applyProtection="1">
      <alignment horizontal="center" vertical="center" wrapText="1"/>
      <protection locked="0"/>
    </xf>
    <xf numFmtId="180" fontId="65" fillId="0" borderId="105" xfId="1" applyNumberFormat="1" applyFont="1" applyBorder="1" applyAlignment="1">
      <alignment horizontal="center" vertical="center" shrinkToFit="1"/>
    </xf>
    <xf numFmtId="0" fontId="33" fillId="0" borderId="21" xfId="1" applyFont="1" applyBorder="1" applyAlignment="1">
      <alignment vertical="center" wrapText="1"/>
    </xf>
    <xf numFmtId="0" fontId="9" fillId="0" borderId="18" xfId="1" applyFont="1" applyBorder="1" applyAlignment="1">
      <alignment horizontal="distributed" vertical="center" wrapText="1" justifyLastLine="1"/>
    </xf>
    <xf numFmtId="0" fontId="9" fillId="0" borderId="0" xfId="1" applyFont="1" applyAlignment="1">
      <alignment horizontal="distributed" vertical="center" wrapText="1" justifyLastLine="1"/>
    </xf>
    <xf numFmtId="0" fontId="9" fillId="0" borderId="21" xfId="1" applyFont="1" applyBorder="1" applyAlignment="1">
      <alignment horizontal="distributed" vertical="center" wrapText="1" justifyLastLine="1"/>
    </xf>
    <xf numFmtId="0" fontId="9" fillId="0" borderId="26" xfId="1" applyFont="1" applyBorder="1" applyAlignment="1">
      <alignment horizontal="center" vertical="center"/>
    </xf>
    <xf numFmtId="0" fontId="9" fillId="0" borderId="21" xfId="1" applyFont="1" applyBorder="1" applyAlignment="1">
      <alignment horizontal="center" vertical="center"/>
    </xf>
    <xf numFmtId="0" fontId="9" fillId="0" borderId="64" xfId="1" applyFont="1" applyBorder="1" applyAlignment="1">
      <alignment horizontal="center" vertical="center"/>
    </xf>
    <xf numFmtId="0" fontId="45" fillId="0" borderId="0" xfId="1" applyFont="1" applyAlignment="1">
      <alignment horizontal="center" vertical="center" wrapText="1"/>
    </xf>
    <xf numFmtId="0" fontId="45" fillId="0" borderId="83" xfId="1" applyFont="1" applyBorder="1" applyAlignment="1">
      <alignment horizontal="center" vertical="center" wrapText="1"/>
    </xf>
    <xf numFmtId="0" fontId="45" fillId="0" borderId="204" xfId="1" applyFont="1" applyBorder="1" applyAlignment="1">
      <alignment horizontal="center" vertical="center" wrapText="1"/>
    </xf>
    <xf numFmtId="0" fontId="45" fillId="0" borderId="21" xfId="1" applyFont="1" applyBorder="1" applyAlignment="1">
      <alignment horizontal="center" vertical="center" wrapText="1"/>
    </xf>
    <xf numFmtId="0" fontId="45" fillId="0" borderId="22" xfId="1" applyFont="1" applyBorder="1" applyAlignment="1">
      <alignment horizontal="center" vertical="center" wrapText="1"/>
    </xf>
    <xf numFmtId="0" fontId="84" fillId="0" borderId="17" xfId="1" applyFont="1" applyBorder="1" applyAlignment="1">
      <alignment horizontal="center" vertical="center"/>
    </xf>
    <xf numFmtId="0" fontId="84" fillId="0" borderId="67" xfId="1" applyFont="1" applyBorder="1" applyAlignment="1">
      <alignment horizontal="center" vertical="center"/>
    </xf>
    <xf numFmtId="0" fontId="84" fillId="0" borderId="140" xfId="1" applyFont="1" applyBorder="1" applyAlignment="1">
      <alignment horizontal="center" vertical="center"/>
    </xf>
    <xf numFmtId="0" fontId="24" fillId="0" borderId="319" xfId="1" applyFont="1" applyBorder="1" applyAlignment="1">
      <alignment horizontal="center" vertical="center" shrinkToFit="1"/>
    </xf>
    <xf numFmtId="0" fontId="24" fillId="0" borderId="320" xfId="1" applyFont="1" applyBorder="1" applyAlignment="1">
      <alignment horizontal="center" vertical="center" shrinkToFit="1"/>
    </xf>
    <xf numFmtId="0" fontId="24" fillId="0" borderId="321" xfId="1" applyFont="1" applyBorder="1" applyAlignment="1">
      <alignment horizontal="center" vertical="center" shrinkToFit="1"/>
    </xf>
    <xf numFmtId="3" fontId="7" fillId="3" borderId="303" xfId="1" applyNumberFormat="1" applyFont="1" applyFill="1" applyBorder="1" applyAlignment="1" applyProtection="1">
      <alignment horizontal="right" vertical="center" shrinkToFit="1"/>
      <protection locked="0"/>
    </xf>
    <xf numFmtId="3" fontId="7" fillId="0" borderId="304" xfId="1" applyNumberFormat="1" applyFont="1" applyBorder="1" applyAlignment="1" applyProtection="1">
      <alignment horizontal="right" vertical="center" shrinkToFit="1"/>
      <protection locked="0"/>
    </xf>
    <xf numFmtId="3" fontId="7" fillId="0" borderId="322" xfId="1" applyNumberFormat="1" applyFont="1" applyBorder="1" applyAlignment="1" applyProtection="1">
      <alignment horizontal="right" vertical="center" shrinkToFit="1"/>
      <protection locked="0"/>
    </xf>
    <xf numFmtId="0" fontId="7" fillId="3" borderId="323" xfId="1" applyFont="1" applyFill="1" applyBorder="1" applyAlignment="1" applyProtection="1">
      <alignment horizontal="center" vertical="center" shrinkToFit="1"/>
      <protection locked="0"/>
    </xf>
    <xf numFmtId="0" fontId="7" fillId="0" borderId="304" xfId="1" applyFont="1" applyBorder="1" applyAlignment="1" applyProtection="1">
      <alignment horizontal="center" vertical="center" shrinkToFit="1"/>
      <protection locked="0"/>
    </xf>
    <xf numFmtId="0" fontId="7" fillId="0" borderId="322" xfId="1" applyFont="1" applyBorder="1" applyAlignment="1" applyProtection="1">
      <alignment horizontal="center" vertical="center" shrinkToFit="1"/>
      <protection locked="0"/>
    </xf>
    <xf numFmtId="0" fontId="59" fillId="0" borderId="105" xfId="1" applyFont="1" applyBorder="1" applyAlignment="1">
      <alignment horizontal="center" vertical="center"/>
    </xf>
    <xf numFmtId="0" fontId="65" fillId="0" borderId="1" xfId="1" applyFont="1" applyBorder="1" applyAlignment="1">
      <alignment horizontal="center" vertical="distributed" textRotation="255" wrapText="1" justifyLastLine="1"/>
    </xf>
    <xf numFmtId="0" fontId="65" fillId="0" borderId="5" xfId="1" applyFont="1" applyBorder="1" applyAlignment="1">
      <alignment horizontal="center" vertical="distributed" textRotation="255" wrapText="1" justifyLastLine="1"/>
    </xf>
    <xf numFmtId="0" fontId="65" fillId="0" borderId="105" xfId="1" applyFont="1" applyBorder="1" applyAlignment="1">
      <alignment horizontal="center" vertical="distributed" textRotation="255" wrapText="1" justifyLastLine="1"/>
    </xf>
    <xf numFmtId="0" fontId="24" fillId="0" borderId="237" xfId="1" applyFont="1" applyBorder="1" applyAlignment="1">
      <alignment horizontal="center" vertical="center" shrinkToFit="1"/>
    </xf>
    <xf numFmtId="0" fontId="24" fillId="0" borderId="329" xfId="1" applyFont="1" applyBorder="1" applyAlignment="1">
      <alignment horizontal="center" vertical="center" shrinkToFit="1"/>
    </xf>
    <xf numFmtId="0" fontId="24" fillId="0" borderId="238" xfId="1" applyFont="1" applyBorder="1" applyAlignment="1">
      <alignment horizontal="center" vertical="center" shrinkToFit="1"/>
    </xf>
    <xf numFmtId="3" fontId="7" fillId="4" borderId="330" xfId="1" applyNumberFormat="1" applyFont="1" applyFill="1" applyBorder="1" applyAlignment="1" applyProtection="1">
      <alignment horizontal="right" vertical="center" shrinkToFit="1"/>
      <protection locked="0"/>
    </xf>
    <xf numFmtId="3" fontId="7" fillId="4" borderId="281" xfId="1" applyNumberFormat="1" applyFont="1" applyFill="1" applyBorder="1" applyAlignment="1" applyProtection="1">
      <alignment horizontal="right" vertical="center" shrinkToFit="1"/>
      <protection locked="0"/>
    </xf>
    <xf numFmtId="3" fontId="7" fillId="4" borderId="331" xfId="1" applyNumberFormat="1" applyFont="1" applyFill="1" applyBorder="1" applyAlignment="1" applyProtection="1">
      <alignment horizontal="right" vertical="center" shrinkToFit="1"/>
      <protection locked="0"/>
    </xf>
    <xf numFmtId="0" fontId="7" fillId="4" borderId="281" xfId="1" applyFont="1" applyFill="1" applyBorder="1" applyAlignment="1" applyProtection="1">
      <alignment horizontal="center" vertical="center" shrinkToFit="1"/>
      <protection locked="0"/>
    </xf>
    <xf numFmtId="0" fontId="7" fillId="4" borderId="332" xfId="1" applyFont="1" applyFill="1" applyBorder="1" applyAlignment="1" applyProtection="1">
      <alignment horizontal="center" vertical="center" shrinkToFit="1"/>
      <protection locked="0"/>
    </xf>
    <xf numFmtId="0" fontId="9" fillId="0" borderId="0" xfId="1" applyFont="1" applyAlignment="1">
      <alignment horizontal="center" vertical="distributed" textRotation="255" wrapText="1" justifyLastLine="1"/>
    </xf>
    <xf numFmtId="0" fontId="24" fillId="0" borderId="244" xfId="1" applyFont="1" applyBorder="1" applyAlignment="1">
      <alignment horizontal="center" vertical="center" shrinkToFit="1"/>
    </xf>
    <xf numFmtId="0" fontId="24" fillId="0" borderId="325" xfId="1" applyFont="1" applyBorder="1" applyAlignment="1">
      <alignment horizontal="center" vertical="center" shrinkToFit="1"/>
    </xf>
    <xf numFmtId="0" fontId="24" fillId="0" borderId="326" xfId="1" applyFont="1" applyBorder="1" applyAlignment="1">
      <alignment horizontal="center" vertical="center" shrinkToFit="1"/>
    </xf>
    <xf numFmtId="3" fontId="7" fillId="4" borderId="327" xfId="1" applyNumberFormat="1" applyFont="1" applyFill="1" applyBorder="1" applyAlignment="1" applyProtection="1">
      <alignment horizontal="right" vertical="center" shrinkToFit="1"/>
      <protection locked="0"/>
    </xf>
    <xf numFmtId="3" fontId="7" fillId="4" borderId="304" xfId="1" applyNumberFormat="1" applyFont="1" applyFill="1" applyBorder="1" applyAlignment="1" applyProtection="1">
      <alignment horizontal="right" vertical="center" shrinkToFit="1"/>
      <protection locked="0"/>
    </xf>
    <xf numFmtId="3" fontId="7" fillId="4" borderId="328" xfId="1" applyNumberFormat="1" applyFont="1" applyFill="1" applyBorder="1" applyAlignment="1" applyProtection="1">
      <alignment horizontal="right" vertical="center" shrinkToFit="1"/>
      <protection locked="0"/>
    </xf>
    <xf numFmtId="0" fontId="7" fillId="4" borderId="304" xfId="1" applyFont="1" applyFill="1" applyBorder="1" applyAlignment="1" applyProtection="1">
      <alignment horizontal="center" vertical="center" shrinkToFit="1"/>
      <protection locked="0"/>
    </xf>
    <xf numFmtId="0" fontId="7" fillId="4" borderId="305" xfId="1" applyFont="1" applyFill="1" applyBorder="1" applyAlignment="1" applyProtection="1">
      <alignment horizontal="center" vertical="center" shrinkToFit="1"/>
      <protection locked="0"/>
    </xf>
    <xf numFmtId="0" fontId="9" fillId="0" borderId="23" xfId="1" applyFont="1" applyBorder="1" applyAlignment="1">
      <alignment horizontal="distributed" vertical="distributed"/>
    </xf>
    <xf numFmtId="181" fontId="7" fillId="4" borderId="336" xfId="1" applyNumberFormat="1" applyFont="1" applyFill="1" applyBorder="1" applyAlignment="1" applyProtection="1">
      <alignment horizontal="right" vertical="center" shrinkToFit="1"/>
      <protection locked="0"/>
    </xf>
    <xf numFmtId="181" fontId="7" fillId="4" borderId="337" xfId="1" applyNumberFormat="1" applyFont="1" applyFill="1" applyBorder="1" applyAlignment="1" applyProtection="1">
      <alignment horizontal="right" vertical="center" shrinkToFit="1"/>
      <protection locked="0"/>
    </xf>
    <xf numFmtId="181" fontId="7" fillId="4" borderId="338" xfId="1" applyNumberFormat="1" applyFont="1" applyFill="1" applyBorder="1" applyAlignment="1" applyProtection="1">
      <alignment horizontal="right" vertical="center" shrinkToFit="1"/>
      <protection locked="0"/>
    </xf>
    <xf numFmtId="0" fontId="24" fillId="0" borderId="333" xfId="1" applyFont="1" applyBorder="1" applyAlignment="1">
      <alignment horizontal="center" vertical="center" shrinkToFit="1"/>
    </xf>
    <xf numFmtId="0" fontId="24" fillId="0" borderId="334" xfId="1" applyFont="1" applyBorder="1" applyAlignment="1">
      <alignment horizontal="center" vertical="center" shrinkToFit="1"/>
    </xf>
    <xf numFmtId="0" fontId="24" fillId="0" borderId="335" xfId="1" applyFont="1" applyBorder="1" applyAlignment="1">
      <alignment horizontal="center" vertical="center" shrinkToFit="1"/>
    </xf>
    <xf numFmtId="181" fontId="7" fillId="4" borderId="339" xfId="1" applyNumberFormat="1" applyFont="1" applyFill="1" applyBorder="1" applyAlignment="1" applyProtection="1">
      <alignment horizontal="right" vertical="center" shrinkToFit="1"/>
      <protection locked="0"/>
    </xf>
    <xf numFmtId="181" fontId="7" fillId="4" borderId="281" xfId="1" applyNumberFormat="1" applyFont="1" applyFill="1" applyBorder="1" applyAlignment="1" applyProtection="1">
      <alignment horizontal="right" vertical="center" shrinkToFit="1"/>
      <protection locked="0"/>
    </xf>
    <xf numFmtId="181" fontId="7" fillId="4" borderId="340" xfId="1" applyNumberFormat="1" applyFont="1" applyFill="1" applyBorder="1" applyAlignment="1" applyProtection="1">
      <alignment horizontal="right" vertical="center" shrinkToFit="1"/>
      <protection locked="0"/>
    </xf>
    <xf numFmtId="0" fontId="9" fillId="0" borderId="28" xfId="1" applyFont="1" applyBorder="1" applyAlignment="1">
      <alignment horizontal="distributed" vertical="distributed"/>
    </xf>
    <xf numFmtId="182" fontId="7" fillId="4" borderId="123" xfId="1" applyNumberFormat="1" applyFont="1" applyFill="1" applyBorder="1" applyAlignment="1" applyProtection="1">
      <alignment horizontal="right" vertical="center" shrinkToFit="1"/>
      <protection locked="0"/>
    </xf>
    <xf numFmtId="182" fontId="7" fillId="4" borderId="28" xfId="1" applyNumberFormat="1" applyFont="1" applyFill="1" applyBorder="1" applyAlignment="1" applyProtection="1">
      <alignment horizontal="right" vertical="center" shrinkToFit="1"/>
      <protection locked="0"/>
    </xf>
    <xf numFmtId="182" fontId="7" fillId="4" borderId="29" xfId="1" applyNumberFormat="1" applyFont="1" applyFill="1" applyBorder="1" applyAlignment="1" applyProtection="1">
      <alignment horizontal="right" vertical="center" shrinkToFit="1"/>
      <protection locked="0"/>
    </xf>
    <xf numFmtId="3" fontId="7" fillId="4" borderId="344" xfId="1" applyNumberFormat="1" applyFont="1" applyFill="1" applyBorder="1" applyAlignment="1" applyProtection="1">
      <alignment horizontal="right" vertical="center" shrinkToFit="1"/>
      <protection locked="0"/>
    </xf>
    <xf numFmtId="3" fontId="7" fillId="4" borderId="345" xfId="1" applyNumberFormat="1" applyFont="1" applyFill="1" applyBorder="1" applyAlignment="1" applyProtection="1">
      <alignment horizontal="right" vertical="center" shrinkToFit="1"/>
      <protection locked="0"/>
    </xf>
    <xf numFmtId="3" fontId="7" fillId="4" borderId="346" xfId="1" applyNumberFormat="1" applyFont="1" applyFill="1" applyBorder="1" applyAlignment="1" applyProtection="1">
      <alignment horizontal="right" vertical="center" shrinkToFit="1"/>
      <protection locked="0"/>
    </xf>
    <xf numFmtId="0" fontId="7" fillId="4" borderId="345" xfId="1" applyFont="1" applyFill="1" applyBorder="1" applyAlignment="1" applyProtection="1">
      <alignment horizontal="center" vertical="center" shrinkToFit="1"/>
      <protection locked="0"/>
    </xf>
    <xf numFmtId="0" fontId="7" fillId="4" borderId="347" xfId="1" applyFont="1" applyFill="1" applyBorder="1" applyAlignment="1" applyProtection="1">
      <alignment horizontal="center" vertical="center" shrinkToFit="1"/>
      <protection locked="0"/>
    </xf>
    <xf numFmtId="0" fontId="59" fillId="0" borderId="348" xfId="1" applyFont="1" applyBorder="1" applyAlignment="1">
      <alignment horizontal="center" vertical="center"/>
    </xf>
    <xf numFmtId="0" fontId="59" fillId="0" borderId="349" xfId="1" applyFont="1" applyBorder="1" applyAlignment="1">
      <alignment horizontal="center" vertical="center"/>
    </xf>
    <xf numFmtId="0" fontId="9" fillId="0" borderId="3" xfId="1" applyFont="1" applyBorder="1" applyAlignment="1">
      <alignment horizontal="distributed" vertical="distributed"/>
    </xf>
    <xf numFmtId="181" fontId="7" fillId="4" borderId="310" xfId="1" applyNumberFormat="1" applyFont="1" applyFill="1" applyBorder="1" applyAlignment="1" applyProtection="1">
      <alignment horizontal="right" vertical="center" shrinkToFit="1"/>
      <protection locked="0"/>
    </xf>
    <xf numFmtId="181" fontId="7" fillId="4" borderId="275" xfId="1" applyNumberFormat="1" applyFont="1" applyFill="1" applyBorder="1" applyAlignment="1" applyProtection="1">
      <alignment horizontal="right" vertical="center" shrinkToFit="1"/>
      <protection locked="0"/>
    </xf>
    <xf numFmtId="181" fontId="7" fillId="4" borderId="341" xfId="1" applyNumberFormat="1" applyFont="1" applyFill="1" applyBorder="1" applyAlignment="1" applyProtection="1">
      <alignment horizontal="right" vertical="center" shrinkToFit="1"/>
      <protection locked="0"/>
    </xf>
    <xf numFmtId="3" fontId="7" fillId="4" borderId="342" xfId="1" applyNumberFormat="1" applyFont="1" applyFill="1" applyBorder="1" applyAlignment="1" applyProtection="1">
      <alignment horizontal="right" vertical="center" shrinkToFit="1"/>
      <protection locked="0"/>
    </xf>
    <xf numFmtId="3" fontId="7" fillId="4" borderId="275" xfId="1" applyNumberFormat="1" applyFont="1" applyFill="1" applyBorder="1" applyAlignment="1" applyProtection="1">
      <alignment horizontal="right" vertical="center" shrinkToFit="1"/>
      <protection locked="0"/>
    </xf>
    <xf numFmtId="3" fontId="7" fillId="4" borderId="343" xfId="1" applyNumberFormat="1" applyFont="1" applyFill="1" applyBorder="1" applyAlignment="1" applyProtection="1">
      <alignment horizontal="right" vertical="center" shrinkToFit="1"/>
      <protection locked="0"/>
    </xf>
    <xf numFmtId="0" fontId="7" fillId="4" borderId="275" xfId="1" applyFont="1" applyFill="1" applyBorder="1" applyAlignment="1" applyProtection="1">
      <alignment horizontal="center" vertical="center" shrinkToFit="1"/>
      <protection locked="0"/>
    </xf>
    <xf numFmtId="0" fontId="7" fillId="4" borderId="309" xfId="1" applyFont="1" applyFill="1" applyBorder="1" applyAlignment="1" applyProtection="1">
      <alignment horizontal="center" vertical="center" shrinkToFit="1"/>
      <protection locked="0"/>
    </xf>
    <xf numFmtId="0" fontId="59" fillId="0" borderId="8" xfId="1" applyFont="1" applyBorder="1" applyAlignment="1">
      <alignment horizontal="center" vertical="center"/>
    </xf>
    <xf numFmtId="0" fontId="9" fillId="0" borderId="27" xfId="1" applyFont="1" applyBorder="1" applyAlignment="1">
      <alignment horizontal="distributed" vertical="distributed"/>
    </xf>
    <xf numFmtId="182" fontId="7" fillId="4" borderId="350" xfId="1" applyNumberFormat="1" applyFont="1" applyFill="1" applyBorder="1" applyAlignment="1" applyProtection="1">
      <alignment horizontal="right" vertical="center" shrinkToFit="1"/>
      <protection locked="0"/>
    </xf>
    <xf numFmtId="182" fontId="7" fillId="4" borderId="345" xfId="1" applyNumberFormat="1" applyFont="1" applyFill="1" applyBorder="1" applyAlignment="1" applyProtection="1">
      <alignment horizontal="right" vertical="center" shrinkToFit="1"/>
      <protection locked="0"/>
    </xf>
    <xf numFmtId="182" fontId="7" fillId="4" borderId="351" xfId="1" applyNumberFormat="1" applyFont="1" applyFill="1" applyBorder="1" applyAlignment="1" applyProtection="1">
      <alignment horizontal="right" vertical="center" shrinkToFit="1"/>
      <protection locked="0"/>
    </xf>
    <xf numFmtId="0" fontId="9" fillId="0" borderId="25" xfId="1" applyFont="1" applyBorder="1" applyAlignment="1">
      <alignment horizontal="distributed" vertical="distributed"/>
    </xf>
    <xf numFmtId="0" fontId="9" fillId="0" borderId="0" xfId="1" applyFont="1" applyAlignment="1">
      <alignment horizontal="distributed" vertical="distributed"/>
    </xf>
    <xf numFmtId="182" fontId="7" fillId="4" borderId="339" xfId="1" applyNumberFormat="1" applyFont="1" applyFill="1" applyBorder="1" applyAlignment="1" applyProtection="1">
      <alignment horizontal="right" vertical="center" shrinkToFit="1"/>
      <protection locked="0"/>
    </xf>
    <xf numFmtId="182" fontId="7" fillId="4" borderId="281" xfId="1" applyNumberFormat="1" applyFont="1" applyFill="1" applyBorder="1" applyAlignment="1" applyProtection="1">
      <alignment horizontal="right" vertical="center" shrinkToFit="1"/>
      <protection locked="0"/>
    </xf>
    <xf numFmtId="182" fontId="7" fillId="4" borderId="340" xfId="1" applyNumberFormat="1" applyFont="1" applyFill="1" applyBorder="1" applyAlignment="1" applyProtection="1">
      <alignment horizontal="right" vertical="center" shrinkToFit="1"/>
      <protection locked="0"/>
    </xf>
    <xf numFmtId="0" fontId="60" fillId="0" borderId="2" xfId="1" applyFont="1" applyBorder="1" applyAlignment="1">
      <alignment horizontal="distributed" vertical="center" shrinkToFit="1"/>
    </xf>
    <xf numFmtId="0" fontId="60" fillId="0" borderId="3" xfId="1" applyFont="1" applyBorder="1" applyAlignment="1">
      <alignment horizontal="distributed" vertical="center" shrinkToFit="1"/>
    </xf>
    <xf numFmtId="182" fontId="7" fillId="4" borderId="310" xfId="1" applyNumberFormat="1" applyFont="1" applyFill="1" applyBorder="1" applyAlignment="1" applyProtection="1">
      <alignment horizontal="right" vertical="center" shrinkToFit="1"/>
      <protection locked="0"/>
    </xf>
    <xf numFmtId="182" fontId="7" fillId="4" borderId="275" xfId="1" applyNumberFormat="1" applyFont="1" applyFill="1" applyBorder="1" applyAlignment="1" applyProtection="1">
      <alignment horizontal="right" vertical="center" shrinkToFit="1"/>
      <protection locked="0"/>
    </xf>
    <xf numFmtId="182" fontId="7" fillId="4" borderId="341" xfId="1" applyNumberFormat="1" applyFont="1" applyFill="1" applyBorder="1" applyAlignment="1" applyProtection="1">
      <alignment horizontal="right" vertical="center" shrinkToFit="1"/>
      <protection locked="0"/>
    </xf>
    <xf numFmtId="0" fontId="3" fillId="0" borderId="0" xfId="1" applyAlignment="1">
      <alignment horizontal="left" vertical="center" wrapText="1"/>
    </xf>
    <xf numFmtId="0" fontId="24" fillId="0" borderId="352" xfId="1" applyFont="1" applyBorder="1" applyAlignment="1">
      <alignment horizontal="center" vertical="center" shrinkToFit="1"/>
    </xf>
    <xf numFmtId="0" fontId="24" fillId="0" borderId="353" xfId="1" applyFont="1" applyBorder="1" applyAlignment="1">
      <alignment horizontal="center" vertical="center" shrinkToFit="1"/>
    </xf>
    <xf numFmtId="0" fontId="24" fillId="0" borderId="354" xfId="1" applyFont="1" applyBorder="1" applyAlignment="1">
      <alignment horizontal="center" vertical="center" shrinkToFit="1"/>
    </xf>
    <xf numFmtId="3" fontId="7" fillId="4" borderId="355" xfId="1" applyNumberFormat="1" applyFont="1" applyFill="1" applyBorder="1" applyAlignment="1" applyProtection="1">
      <alignment horizontal="right" vertical="center" shrinkToFit="1"/>
      <protection locked="0"/>
    </xf>
    <xf numFmtId="3" fontId="7" fillId="4" borderId="356" xfId="1" applyNumberFormat="1" applyFont="1" applyFill="1" applyBorder="1" applyAlignment="1" applyProtection="1">
      <alignment horizontal="right" vertical="center" shrinkToFit="1"/>
      <protection locked="0"/>
    </xf>
    <xf numFmtId="3" fontId="7" fillId="4" borderId="357" xfId="1" applyNumberFormat="1" applyFont="1" applyFill="1" applyBorder="1" applyAlignment="1" applyProtection="1">
      <alignment horizontal="right" vertical="center" shrinkToFit="1"/>
      <protection locked="0"/>
    </xf>
    <xf numFmtId="0" fontId="7" fillId="4" borderId="356" xfId="1" applyFont="1" applyFill="1" applyBorder="1" applyAlignment="1" applyProtection="1">
      <alignment horizontal="center" vertical="center" shrinkToFit="1"/>
      <protection locked="0"/>
    </xf>
    <xf numFmtId="0" fontId="7" fillId="4" borderId="358" xfId="1" applyFont="1" applyFill="1" applyBorder="1" applyAlignment="1" applyProtection="1">
      <alignment horizontal="center" vertical="center" shrinkToFit="1"/>
      <protection locked="0"/>
    </xf>
    <xf numFmtId="3" fontId="7" fillId="4" borderId="361" xfId="1" applyNumberFormat="1" applyFont="1" applyFill="1" applyBorder="1" applyAlignment="1" applyProtection="1">
      <alignment horizontal="right" vertical="center" shrinkToFit="1"/>
      <protection locked="0"/>
    </xf>
    <xf numFmtId="3" fontId="7" fillId="4" borderId="362" xfId="1" applyNumberFormat="1" applyFont="1" applyFill="1" applyBorder="1" applyAlignment="1" applyProtection="1">
      <alignment horizontal="right" vertical="center" shrinkToFit="1"/>
      <protection locked="0"/>
    </xf>
    <xf numFmtId="0" fontId="7" fillId="4" borderId="363" xfId="1" applyFont="1" applyFill="1" applyBorder="1" applyAlignment="1" applyProtection="1">
      <alignment horizontal="center" vertical="center" shrinkToFit="1"/>
      <protection locked="0"/>
    </xf>
    <xf numFmtId="0" fontId="7" fillId="4" borderId="364" xfId="1" applyFont="1" applyFill="1" applyBorder="1" applyAlignment="1" applyProtection="1">
      <alignment horizontal="center" vertical="center" shrinkToFit="1"/>
      <protection locked="0"/>
    </xf>
    <xf numFmtId="0" fontId="9" fillId="0" borderId="51" xfId="1" applyFont="1" applyBorder="1" applyAlignment="1">
      <alignment horizontal="center" vertical="center" justifyLastLine="1"/>
    </xf>
    <xf numFmtId="3" fontId="7" fillId="3" borderId="52" xfId="1" applyNumberFormat="1" applyFont="1" applyFill="1" applyBorder="1" applyAlignment="1" applyProtection="1">
      <alignment horizontal="right" vertical="center" shrinkToFit="1"/>
      <protection locked="0"/>
    </xf>
    <xf numFmtId="3" fontId="7" fillId="0" borderId="246" xfId="1" applyNumberFormat="1" applyFont="1" applyBorder="1" applyAlignment="1" applyProtection="1">
      <alignment horizontal="right" vertical="center" shrinkToFit="1"/>
      <protection locked="0"/>
    </xf>
    <xf numFmtId="3" fontId="7" fillId="0" borderId="359" xfId="1" applyNumberFormat="1" applyFont="1" applyBorder="1" applyAlignment="1" applyProtection="1">
      <alignment horizontal="right" vertical="center" shrinkToFit="1"/>
      <protection locked="0"/>
    </xf>
    <xf numFmtId="0" fontId="7" fillId="3" borderId="128" xfId="1" applyFont="1" applyFill="1" applyBorder="1" applyAlignment="1" applyProtection="1">
      <alignment horizontal="center" vertical="center" shrinkToFit="1"/>
      <protection locked="0"/>
    </xf>
    <xf numFmtId="0" fontId="7" fillId="0" borderId="187" xfId="1" applyFont="1" applyBorder="1" applyAlignment="1" applyProtection="1">
      <alignment horizontal="center" vertical="center" shrinkToFit="1"/>
      <protection locked="0"/>
    </xf>
    <xf numFmtId="0" fontId="7" fillId="0" borderId="360" xfId="1" applyFont="1" applyBorder="1" applyAlignment="1" applyProtection="1">
      <alignment horizontal="center" vertical="center" shrinkToFit="1"/>
      <protection locked="0"/>
    </xf>
    <xf numFmtId="0" fontId="9" fillId="0" borderId="38" xfId="1" applyFont="1" applyBorder="1" applyAlignment="1">
      <alignment horizontal="center" vertical="center"/>
    </xf>
    <xf numFmtId="0" fontId="45" fillId="0" borderId="204" xfId="1" applyFont="1" applyBorder="1" applyAlignment="1">
      <alignment horizontal="center" vertical="center"/>
    </xf>
    <xf numFmtId="0" fontId="45" fillId="0" borderId="21" xfId="1" applyFont="1" applyBorder="1" applyAlignment="1">
      <alignment horizontal="center" vertical="center"/>
    </xf>
    <xf numFmtId="0" fontId="45" fillId="0" borderId="22" xfId="1" applyFont="1" applyBorder="1" applyAlignment="1">
      <alignment horizontal="center" vertical="center"/>
    </xf>
    <xf numFmtId="3" fontId="7" fillId="4" borderId="365" xfId="1" applyNumberFormat="1" applyFont="1" applyFill="1" applyBorder="1" applyAlignment="1" applyProtection="1">
      <alignment horizontal="right" vertical="center" shrinkToFit="1"/>
      <protection locked="0"/>
    </xf>
    <xf numFmtId="3" fontId="7" fillId="4" borderId="14" xfId="1" applyNumberFormat="1" applyFont="1" applyFill="1" applyBorder="1" applyAlignment="1" applyProtection="1">
      <alignment horizontal="right" vertical="center" shrinkToFit="1"/>
      <protection locked="0"/>
    </xf>
    <xf numFmtId="0" fontId="7" fillId="4" borderId="14" xfId="1" applyFont="1" applyFill="1" applyBorder="1" applyAlignment="1" applyProtection="1">
      <alignment horizontal="center" vertical="center" shrinkToFit="1"/>
      <protection locked="0"/>
    </xf>
    <xf numFmtId="0" fontId="7" fillId="4" borderId="366" xfId="1" applyFont="1" applyFill="1" applyBorder="1" applyAlignment="1" applyProtection="1">
      <alignment horizontal="center" vertical="center" shrinkToFit="1"/>
      <protection locked="0"/>
    </xf>
    <xf numFmtId="3" fontId="7" fillId="4" borderId="367" xfId="1" applyNumberFormat="1" applyFont="1" applyFill="1" applyBorder="1" applyAlignment="1" applyProtection="1">
      <alignment horizontal="right" vertical="center" shrinkToFit="1"/>
      <protection locked="0"/>
    </xf>
    <xf numFmtId="3" fontId="7" fillId="4" borderId="368" xfId="1" applyNumberFormat="1" applyFont="1" applyFill="1" applyBorder="1" applyAlignment="1" applyProtection="1">
      <alignment horizontal="right" vertical="center" shrinkToFit="1"/>
      <protection locked="0"/>
    </xf>
    <xf numFmtId="0" fontId="7" fillId="4" borderId="368" xfId="1" applyFont="1" applyFill="1" applyBorder="1" applyAlignment="1" applyProtection="1">
      <alignment horizontal="center" vertical="center" shrinkToFit="1"/>
      <protection locked="0"/>
    </xf>
    <xf numFmtId="0" fontId="7" fillId="4" borderId="369" xfId="1" applyFont="1" applyFill="1" applyBorder="1" applyAlignment="1" applyProtection="1">
      <alignment horizontal="center" vertical="center" shrinkToFit="1"/>
      <protection locked="0"/>
    </xf>
    <xf numFmtId="0" fontId="9" fillId="0" borderId="2" xfId="1" applyFont="1" applyBorder="1" applyAlignment="1">
      <alignment horizontal="distributed" vertical="center" wrapText="1"/>
    </xf>
    <xf numFmtId="0" fontId="9" fillId="0" borderId="3" xfId="1" applyFont="1" applyBorder="1" applyAlignment="1">
      <alignment horizontal="distributed" vertical="center" wrapText="1"/>
    </xf>
    <xf numFmtId="3" fontId="7" fillId="4" borderId="374" xfId="1" applyNumberFormat="1" applyFont="1" applyFill="1" applyBorder="1" applyAlignment="1" applyProtection="1">
      <alignment horizontal="right" vertical="center" shrinkToFit="1"/>
      <protection locked="0"/>
    </xf>
    <xf numFmtId="3" fontId="7" fillId="4" borderId="375" xfId="1" applyNumberFormat="1" applyFont="1" applyFill="1" applyBorder="1" applyAlignment="1" applyProtection="1">
      <alignment horizontal="right" vertical="center" shrinkToFit="1"/>
      <protection locked="0"/>
    </xf>
    <xf numFmtId="0" fontId="7" fillId="4" borderId="375" xfId="1" applyFont="1" applyFill="1" applyBorder="1" applyAlignment="1" applyProtection="1">
      <alignment horizontal="center" vertical="center" shrinkToFit="1"/>
      <protection locked="0"/>
    </xf>
    <xf numFmtId="0" fontId="7" fillId="4" borderId="376" xfId="1" applyFont="1" applyFill="1" applyBorder="1" applyAlignment="1" applyProtection="1">
      <alignment horizontal="center" vertical="center" shrinkToFit="1"/>
      <protection locked="0"/>
    </xf>
    <xf numFmtId="3" fontId="7" fillId="4" borderId="242" xfId="1" applyNumberFormat="1" applyFont="1" applyFill="1" applyBorder="1" applyAlignment="1" applyProtection="1">
      <alignment horizontal="right" vertical="center" shrinkToFit="1"/>
      <protection locked="0"/>
    </xf>
    <xf numFmtId="3" fontId="7" fillId="4" borderId="370" xfId="1" applyNumberFormat="1" applyFont="1" applyFill="1" applyBorder="1" applyAlignment="1" applyProtection="1">
      <alignment horizontal="right" vertical="center" shrinkToFit="1"/>
      <protection locked="0"/>
    </xf>
    <xf numFmtId="0" fontId="7" fillId="4" borderId="370" xfId="1" applyFont="1" applyFill="1" applyBorder="1" applyAlignment="1" applyProtection="1">
      <alignment horizontal="center" vertical="center" shrinkToFit="1"/>
      <protection locked="0"/>
    </xf>
    <xf numFmtId="0" fontId="7" fillId="4" borderId="371" xfId="1" applyFont="1" applyFill="1" applyBorder="1" applyAlignment="1" applyProtection="1">
      <alignment horizontal="center" vertical="center" shrinkToFit="1"/>
      <protection locked="0"/>
    </xf>
    <xf numFmtId="0" fontId="36" fillId="0" borderId="0" xfId="1" applyFont="1" applyAlignment="1">
      <alignment horizontal="left" wrapText="1"/>
    </xf>
    <xf numFmtId="0" fontId="9" fillId="0" borderId="38" xfId="1" applyFont="1" applyBorder="1" applyAlignment="1">
      <alignment horizontal="center" vertical="center" justifyLastLine="1"/>
    </xf>
    <xf numFmtId="0" fontId="9" fillId="0" borderId="0" xfId="1" applyFont="1" applyAlignment="1">
      <alignment horizontal="center" vertical="center" justifyLastLine="1"/>
    </xf>
    <xf numFmtId="3" fontId="7" fillId="3" borderId="69" xfId="1" applyNumberFormat="1" applyFont="1" applyFill="1" applyBorder="1" applyAlignment="1" applyProtection="1">
      <alignment horizontal="right" vertical="center" shrinkToFit="1"/>
      <protection locked="0"/>
    </xf>
    <xf numFmtId="3" fontId="7" fillId="0" borderId="176" xfId="1" applyNumberFormat="1" applyFont="1" applyBorder="1" applyAlignment="1" applyProtection="1">
      <alignment horizontal="right" vertical="center" shrinkToFit="1"/>
      <protection locked="0"/>
    </xf>
    <xf numFmtId="3" fontId="7" fillId="0" borderId="372" xfId="1" applyNumberFormat="1" applyFont="1" applyBorder="1" applyAlignment="1" applyProtection="1">
      <alignment horizontal="right" vertical="center" shrinkToFit="1"/>
      <protection locked="0"/>
    </xf>
    <xf numFmtId="0" fontId="7" fillId="3" borderId="373" xfId="1" applyFont="1" applyFill="1" applyBorder="1" applyAlignment="1" applyProtection="1">
      <alignment horizontal="center" vertical="center" shrinkToFit="1"/>
      <protection locked="0"/>
    </xf>
    <xf numFmtId="0" fontId="7" fillId="0" borderId="372" xfId="1" applyFont="1" applyBorder="1" applyAlignment="1" applyProtection="1">
      <alignment horizontal="center" vertical="center" shrinkToFit="1"/>
      <protection locked="0"/>
    </xf>
    <xf numFmtId="0" fontId="9" fillId="0" borderId="28" xfId="1" applyFont="1" applyBorder="1" applyAlignment="1">
      <alignment horizontal="center" vertical="center" justifyLastLine="1"/>
    </xf>
    <xf numFmtId="0" fontId="45" fillId="0" borderId="97" xfId="1" applyFont="1" applyBorder="1" applyAlignment="1">
      <alignment horizontal="center" vertical="center" wrapText="1"/>
    </xf>
    <xf numFmtId="0" fontId="45" fillId="0" borderId="120" xfId="1" applyFont="1" applyBorder="1" applyAlignment="1">
      <alignment horizontal="center" vertical="center" wrapText="1"/>
    </xf>
    <xf numFmtId="0" fontId="45" fillId="0" borderId="377" xfId="1" applyFont="1" applyBorder="1" applyAlignment="1">
      <alignment horizontal="center" vertical="center" wrapText="1"/>
    </xf>
    <xf numFmtId="0" fontId="65" fillId="0" borderId="25" xfId="1" applyFont="1" applyBorder="1" applyAlignment="1">
      <alignment horizontal="center" vertical="center" justifyLastLine="1"/>
    </xf>
    <xf numFmtId="0" fontId="65" fillId="0" borderId="0" xfId="1" applyFont="1" applyAlignment="1">
      <alignment horizontal="center" vertical="center" justifyLastLine="1"/>
    </xf>
    <xf numFmtId="0" fontId="65" fillId="0" borderId="26" xfId="1" applyFont="1" applyBorder="1" applyAlignment="1">
      <alignment horizontal="center" vertical="center" justifyLastLine="1"/>
    </xf>
    <xf numFmtId="0" fontId="65" fillId="0" borderId="27" xfId="1" applyFont="1" applyBorder="1" applyAlignment="1">
      <alignment horizontal="center" vertical="center" justifyLastLine="1"/>
    </xf>
    <xf numFmtId="0" fontId="65" fillId="0" borderId="28" xfId="1" applyFont="1" applyBorder="1" applyAlignment="1">
      <alignment horizontal="center" vertical="center" justifyLastLine="1"/>
    </xf>
    <xf numFmtId="0" fontId="65" fillId="0" borderId="29" xfId="1" applyFont="1" applyBorder="1" applyAlignment="1">
      <alignment horizontal="center" vertical="center" justifyLastLine="1"/>
    </xf>
    <xf numFmtId="0" fontId="9" fillId="0" borderId="4" xfId="1" applyFont="1" applyBorder="1" applyAlignment="1">
      <alignment horizontal="center" vertical="center" justifyLastLine="1"/>
    </xf>
    <xf numFmtId="0" fontId="9" fillId="0" borderId="6" xfId="1" applyFont="1" applyBorder="1" applyAlignment="1">
      <alignment horizontal="center" vertical="center" justifyLastLine="1"/>
    </xf>
    <xf numFmtId="0" fontId="9" fillId="0" borderId="66" xfId="1" applyFont="1" applyBorder="1" applyAlignment="1">
      <alignment horizontal="distributed" vertical="center" indent="1"/>
    </xf>
    <xf numFmtId="0" fontId="9" fillId="0" borderId="67" xfId="1" applyFont="1" applyBorder="1" applyAlignment="1">
      <alignment horizontal="distributed" vertical="center" indent="1"/>
    </xf>
    <xf numFmtId="0" fontId="9" fillId="0" borderId="123" xfId="1" applyFont="1" applyBorder="1" applyAlignment="1">
      <alignment horizontal="distributed" vertical="center" indent="1"/>
    </xf>
    <xf numFmtId="0" fontId="9" fillId="0" borderId="28" xfId="1" applyFont="1" applyBorder="1" applyAlignment="1">
      <alignment horizontal="distributed" vertical="center" indent="1"/>
    </xf>
    <xf numFmtId="0" fontId="9" fillId="0" borderId="379" xfId="1" applyFont="1" applyBorder="1" applyAlignment="1">
      <alignment horizontal="distributed" vertical="center" indent="1"/>
    </xf>
    <xf numFmtId="0" fontId="9" fillId="0" borderId="54" xfId="1" applyFont="1" applyBorder="1" applyAlignment="1">
      <alignment horizontal="distributed" vertical="center" indent="1"/>
    </xf>
    <xf numFmtId="0" fontId="9" fillId="0" borderId="2" xfId="1" applyFont="1" applyBorder="1" applyAlignment="1">
      <alignment horizontal="distributed" vertical="center" indent="1" shrinkToFit="1"/>
    </xf>
    <xf numFmtId="0" fontId="9" fillId="0" borderId="3" xfId="1" applyFont="1" applyBorder="1" applyAlignment="1">
      <alignment horizontal="distributed" vertical="center" indent="1" shrinkToFit="1"/>
    </xf>
    <xf numFmtId="0" fontId="9" fillId="0" borderId="58" xfId="1" applyFont="1" applyBorder="1" applyAlignment="1">
      <alignment horizontal="distributed" vertical="center" indent="1"/>
    </xf>
    <xf numFmtId="0" fontId="9" fillId="0" borderId="59" xfId="1" applyFont="1" applyBorder="1" applyAlignment="1">
      <alignment horizontal="distributed" vertical="center" indent="1"/>
    </xf>
    <xf numFmtId="0" fontId="45" fillId="0" borderId="2" xfId="1" applyFont="1" applyBorder="1" applyAlignment="1">
      <alignment horizontal="center" vertical="center" wrapText="1"/>
    </xf>
    <xf numFmtId="0" fontId="45" fillId="0" borderId="3" xfId="1" applyFont="1" applyBorder="1" applyAlignment="1">
      <alignment horizontal="center" vertical="center" wrapText="1"/>
    </xf>
    <xf numFmtId="0" fontId="45" fillId="0" borderId="4" xfId="1" applyFont="1" applyBorder="1" applyAlignment="1">
      <alignment horizontal="center" vertical="center"/>
    </xf>
    <xf numFmtId="0" fontId="9" fillId="0" borderId="17" xfId="1" applyFont="1" applyBorder="1" applyAlignment="1">
      <alignment horizontal="distributed" vertical="center" wrapText="1"/>
    </xf>
    <xf numFmtId="0" fontId="9" fillId="0" borderId="38" xfId="1" applyFont="1" applyBorder="1" applyAlignment="1">
      <alignment horizontal="distributed" vertical="center" wrapText="1"/>
    </xf>
    <xf numFmtId="0" fontId="9" fillId="0" borderId="384" xfId="1" applyFont="1" applyBorder="1" applyAlignment="1">
      <alignment horizontal="distributed" vertical="center" wrapText="1"/>
    </xf>
    <xf numFmtId="0" fontId="45" fillId="0" borderId="127" xfId="1" applyFont="1" applyBorder="1" applyAlignment="1">
      <alignment horizontal="center" vertical="center" wrapText="1"/>
    </xf>
    <xf numFmtId="0" fontId="9" fillId="0" borderId="17" xfId="1" applyFont="1" applyBorder="1" applyAlignment="1">
      <alignment horizontal="distributed" vertical="center" indent="1" shrinkToFit="1"/>
    </xf>
    <xf numFmtId="0" fontId="9" fillId="0" borderId="18" xfId="1" applyFont="1" applyBorder="1" applyAlignment="1">
      <alignment horizontal="distributed" vertical="center" indent="1" shrinkToFit="1"/>
    </xf>
    <xf numFmtId="0" fontId="9" fillId="0" borderId="51" xfId="1" applyFont="1" applyBorder="1" applyAlignment="1">
      <alignment horizontal="distributed" vertical="center" indent="1" shrinkToFit="1"/>
    </xf>
    <xf numFmtId="0" fontId="3" fillId="0" borderId="112" xfId="1" applyBorder="1" applyAlignment="1">
      <alignment horizontal="distributed" vertical="center" indent="1"/>
    </xf>
    <xf numFmtId="0" fontId="3" fillId="0" borderId="59" xfId="1" applyBorder="1" applyAlignment="1">
      <alignment horizontal="distributed" vertical="center" indent="1"/>
    </xf>
    <xf numFmtId="0" fontId="9" fillId="0" borderId="17" xfId="1" applyFont="1" applyBorder="1" applyAlignment="1">
      <alignment horizontal="distributed" vertical="center" wrapText="1" indent="1"/>
    </xf>
    <xf numFmtId="0" fontId="9" fillId="0" borderId="18" xfId="1" applyFont="1" applyBorder="1" applyAlignment="1">
      <alignment horizontal="distributed" vertical="center" wrapText="1" indent="1"/>
    </xf>
    <xf numFmtId="0" fontId="9" fillId="0" borderId="19" xfId="1" applyFont="1" applyBorder="1" applyAlignment="1">
      <alignment horizontal="distributed" vertical="center" wrapText="1" indent="1"/>
    </xf>
    <xf numFmtId="0" fontId="9" fillId="0" borderId="38" xfId="1" applyFont="1" applyBorder="1" applyAlignment="1">
      <alignment horizontal="distributed" vertical="center" wrapText="1" indent="1"/>
    </xf>
    <xf numFmtId="0" fontId="9" fillId="0" borderId="0" xfId="1" applyFont="1" applyAlignment="1">
      <alignment horizontal="distributed" vertical="center" wrapText="1" indent="1"/>
    </xf>
    <xf numFmtId="0" fontId="9" fillId="0" borderId="83" xfId="1" applyFont="1" applyBorder="1" applyAlignment="1">
      <alignment horizontal="distributed" vertical="center" wrapText="1" indent="1"/>
    </xf>
    <xf numFmtId="0" fontId="9" fillId="0" borderId="20" xfId="1" applyFont="1" applyBorder="1" applyAlignment="1">
      <alignment horizontal="distributed" vertical="center" wrapText="1" indent="1"/>
    </xf>
    <xf numFmtId="0" fontId="9" fillId="0" borderId="21" xfId="1" applyFont="1" applyBorder="1" applyAlignment="1">
      <alignment horizontal="distributed" vertical="center" wrapText="1" indent="1"/>
    </xf>
    <xf numFmtId="0" fontId="9" fillId="0" borderId="22" xfId="1" applyFont="1" applyBorder="1" applyAlignment="1">
      <alignment horizontal="distributed" vertical="center" wrapText="1" indent="1"/>
    </xf>
    <xf numFmtId="0" fontId="9" fillId="0" borderId="25" xfId="1" applyFont="1" applyBorder="1" applyAlignment="1">
      <alignment horizontal="center" vertical="center" wrapText="1" justifyLastLine="1"/>
    </xf>
    <xf numFmtId="0" fontId="9" fillId="0" borderId="204" xfId="1" applyFont="1" applyBorder="1" applyAlignment="1">
      <alignment horizontal="center" vertical="center" wrapText="1" justifyLastLine="1"/>
    </xf>
    <xf numFmtId="0" fontId="45" fillId="0" borderId="389" xfId="1" applyFont="1" applyBorder="1" applyAlignment="1">
      <alignment horizontal="center" vertical="center" wrapText="1"/>
    </xf>
    <xf numFmtId="0" fontId="65" fillId="0" borderId="27" xfId="1" applyFont="1" applyBorder="1" applyAlignment="1">
      <alignment horizontal="center" vertical="center" wrapText="1"/>
    </xf>
    <xf numFmtId="0" fontId="65" fillId="0" borderId="28" xfId="1" applyFont="1" applyBorder="1" applyAlignment="1">
      <alignment horizontal="center" vertical="center" wrapText="1"/>
    </xf>
    <xf numFmtId="0" fontId="65" fillId="0" borderId="29" xfId="1" applyFont="1" applyBorder="1" applyAlignment="1">
      <alignment horizontal="center" vertical="center" wrapText="1"/>
    </xf>
    <xf numFmtId="0" fontId="9" fillId="0" borderId="16" xfId="1" applyFont="1" applyBorder="1" applyAlignment="1">
      <alignment horizontal="center" vertical="distributed" textRotation="255" justifyLastLine="1"/>
    </xf>
    <xf numFmtId="0" fontId="9" fillId="0" borderId="5" xfId="1" applyFont="1" applyBorder="1" applyAlignment="1">
      <alignment horizontal="center" vertical="distributed" textRotation="255" justifyLastLine="1"/>
    </xf>
    <xf numFmtId="0" fontId="9" fillId="0" borderId="105" xfId="1" applyFont="1" applyBorder="1" applyAlignment="1">
      <alignment horizontal="center" vertical="distributed" textRotation="255" justifyLastLine="1"/>
    </xf>
    <xf numFmtId="0" fontId="9" fillId="0" borderId="1" xfId="1" applyFont="1" applyBorder="1" applyAlignment="1">
      <alignment horizontal="center" vertical="center" wrapText="1" justifyLastLine="1"/>
    </xf>
    <xf numFmtId="0" fontId="9" fillId="0" borderId="105" xfId="1" applyFont="1" applyBorder="1" applyAlignment="1">
      <alignment horizontal="center" vertical="center" wrapText="1" justifyLastLine="1"/>
    </xf>
    <xf numFmtId="0" fontId="65" fillId="0" borderId="1" xfId="1" applyFont="1" applyBorder="1" applyAlignment="1">
      <alignment horizontal="center" vertical="center" wrapText="1" justifyLastLine="1"/>
    </xf>
    <xf numFmtId="0" fontId="65" fillId="0" borderId="105" xfId="1" applyFont="1" applyBorder="1" applyAlignment="1">
      <alignment horizontal="center" vertical="center" wrapText="1" justifyLastLine="1"/>
    </xf>
    <xf numFmtId="0" fontId="9" fillId="0" borderId="17" xfId="1" applyFont="1" applyBorder="1" applyAlignment="1">
      <alignment horizontal="center" vertical="center" wrapText="1"/>
    </xf>
    <xf numFmtId="0" fontId="9" fillId="0" borderId="67" xfId="1" applyFont="1" applyBorder="1" applyAlignment="1">
      <alignment horizontal="center" vertical="center" wrapText="1"/>
    </xf>
    <xf numFmtId="0" fontId="9" fillId="0" borderId="390" xfId="1" applyFont="1" applyBorder="1" applyAlignment="1">
      <alignment horizontal="center" vertical="center" wrapText="1"/>
    </xf>
    <xf numFmtId="0" fontId="9" fillId="0" borderId="25" xfId="1" applyFont="1" applyBorder="1" applyAlignment="1">
      <alignment horizontal="center" vertical="distributed" textRotation="255" justifyLastLine="1"/>
    </xf>
    <xf numFmtId="3" fontId="7" fillId="0" borderId="392" xfId="1" applyNumberFormat="1" applyFont="1" applyBorder="1" applyAlignment="1">
      <alignment horizontal="right" vertical="center" shrinkToFit="1"/>
    </xf>
    <xf numFmtId="0" fontId="3" fillId="0" borderId="393" xfId="1" applyBorder="1" applyAlignment="1">
      <alignment vertical="center"/>
    </xf>
    <xf numFmtId="0" fontId="3" fillId="0" borderId="394" xfId="1" applyBorder="1" applyAlignment="1">
      <alignment vertical="center"/>
    </xf>
    <xf numFmtId="0" fontId="65" fillId="0" borderId="2" xfId="1" applyFont="1" applyBorder="1" applyAlignment="1">
      <alignment horizontal="center" vertical="center" shrinkToFit="1"/>
    </xf>
    <xf numFmtId="0" fontId="65" fillId="0" borderId="3" xfId="1" applyFont="1" applyBorder="1" applyAlignment="1">
      <alignment horizontal="center" vertical="center" shrinkToFit="1"/>
    </xf>
    <xf numFmtId="0" fontId="65" fillId="0" borderId="4" xfId="1" applyFont="1" applyBorder="1" applyAlignment="1">
      <alignment horizontal="center" vertical="center" shrinkToFit="1"/>
    </xf>
    <xf numFmtId="0" fontId="9" fillId="0" borderId="17" xfId="4" applyFont="1" applyBorder="1" applyAlignment="1">
      <alignment horizontal="distributed" vertical="center"/>
    </xf>
    <xf numFmtId="0" fontId="9" fillId="0" borderId="38" xfId="4" applyFont="1" applyBorder="1" applyAlignment="1">
      <alignment horizontal="distributed" vertical="center"/>
    </xf>
    <xf numFmtId="0" fontId="9" fillId="0" borderId="20" xfId="4" applyFont="1" applyBorder="1" applyAlignment="1">
      <alignment horizontal="distributed" vertical="center"/>
    </xf>
    <xf numFmtId="0" fontId="9" fillId="0" borderId="49" xfId="1" applyFont="1" applyBorder="1" applyAlignment="1">
      <alignment horizontal="center" vertical="center" wrapText="1"/>
    </xf>
    <xf numFmtId="0" fontId="9" fillId="0" borderId="157" xfId="1" applyFont="1" applyBorder="1" applyAlignment="1">
      <alignment horizontal="center" vertical="center" wrapText="1"/>
    </xf>
    <xf numFmtId="0" fontId="9" fillId="0" borderId="389" xfId="1" applyFont="1" applyBorder="1" applyAlignment="1">
      <alignment horizontal="center" vertical="center" wrapText="1"/>
    </xf>
    <xf numFmtId="0" fontId="9" fillId="0" borderId="30" xfId="4" applyFont="1" applyBorder="1" applyAlignment="1">
      <alignment horizontal="center" vertical="distributed" textRotation="255" justifyLastLine="1"/>
    </xf>
    <xf numFmtId="0" fontId="9" fillId="0" borderId="26" xfId="4" applyFont="1" applyBorder="1" applyAlignment="1">
      <alignment horizontal="center" vertical="distributed" textRotation="255" justifyLastLine="1"/>
    </xf>
    <xf numFmtId="0" fontId="9" fillId="0" borderId="34" xfId="4" applyFont="1" applyBorder="1" applyAlignment="1">
      <alignment horizontal="center" vertical="distributed" textRotation="255" justifyLastLine="1"/>
    </xf>
    <xf numFmtId="0" fontId="9" fillId="0" borderId="63" xfId="4" applyFont="1" applyBorder="1" applyAlignment="1">
      <alignment horizontal="center" vertical="distributed" textRotation="255" justifyLastLine="1"/>
    </xf>
    <xf numFmtId="0" fontId="9" fillId="0" borderId="5" xfId="4" applyFont="1" applyBorder="1" applyAlignment="1">
      <alignment horizontal="center" vertical="distributed" textRotation="255" justifyLastLine="1"/>
    </xf>
    <xf numFmtId="0" fontId="9" fillId="0" borderId="65" xfId="4" applyFont="1" applyBorder="1" applyAlignment="1">
      <alignment horizontal="center" vertical="distributed" textRotation="255" justifyLastLine="1"/>
    </xf>
    <xf numFmtId="0" fontId="9" fillId="0" borderId="31" xfId="4" applyFont="1" applyBorder="1" applyAlignment="1">
      <alignment horizontal="distributed" vertical="center" wrapText="1" justifyLastLine="1"/>
    </xf>
    <xf numFmtId="0" fontId="9" fillId="0" borderId="30" xfId="4" applyFont="1" applyBorder="1" applyAlignment="1">
      <alignment horizontal="distributed" vertical="center" justifyLastLine="1"/>
    </xf>
    <xf numFmtId="0" fontId="9" fillId="0" borderId="25" xfId="4" applyFont="1" applyBorder="1" applyAlignment="1">
      <alignment horizontal="distributed" vertical="center" justifyLastLine="1"/>
    </xf>
    <xf numFmtId="0" fontId="9" fillId="0" borderId="26" xfId="4" applyFont="1" applyBorder="1" applyAlignment="1">
      <alignment horizontal="distributed" vertical="center" justifyLastLine="1"/>
    </xf>
    <xf numFmtId="0" fontId="9" fillId="0" borderId="31" xfId="4" applyFont="1" applyBorder="1" applyAlignment="1">
      <alignment horizontal="center" vertical="center" textRotation="255" wrapText="1"/>
    </xf>
    <xf numFmtId="0" fontId="9" fillId="0" borderId="25" xfId="4" applyFont="1" applyBorder="1" applyAlignment="1">
      <alignment horizontal="center" vertical="center" textRotation="255" wrapText="1"/>
    </xf>
    <xf numFmtId="0" fontId="9" fillId="0" borderId="243" xfId="4" applyFont="1" applyBorder="1" applyAlignment="1">
      <alignment horizontal="center" vertical="center" textRotation="255" wrapText="1"/>
    </xf>
    <xf numFmtId="0" fontId="9" fillId="0" borderId="31" xfId="4" applyFont="1" applyBorder="1" applyAlignment="1">
      <alignment horizontal="center" vertical="center" wrapText="1" justifyLastLine="1"/>
    </xf>
    <xf numFmtId="0" fontId="9" fillId="0" borderId="18" xfId="4" applyFont="1" applyBorder="1" applyAlignment="1">
      <alignment horizontal="center" vertical="center" wrapText="1" justifyLastLine="1"/>
    </xf>
    <xf numFmtId="0" fontId="9" fillId="0" borderId="27" xfId="4" applyFont="1" applyBorder="1" applyAlignment="1">
      <alignment horizontal="center" vertical="center" wrapText="1" justifyLastLine="1"/>
    </xf>
    <xf numFmtId="0" fontId="9" fillId="0" borderId="28" xfId="4" applyFont="1" applyBorder="1" applyAlignment="1">
      <alignment horizontal="center" vertical="center" wrapText="1" justifyLastLine="1"/>
    </xf>
    <xf numFmtId="0" fontId="9" fillId="0" borderId="31" xfId="4" applyFont="1" applyBorder="1" applyAlignment="1">
      <alignment horizontal="distributed" vertical="center" wrapText="1" indent="1"/>
    </xf>
    <xf numFmtId="0" fontId="9" fillId="0" borderId="25" xfId="4" applyFont="1" applyBorder="1" applyAlignment="1">
      <alignment horizontal="distributed" vertical="center" wrapText="1" indent="1"/>
    </xf>
    <xf numFmtId="0" fontId="9" fillId="0" borderId="31" xfId="4" applyFont="1" applyBorder="1" applyAlignment="1">
      <alignment horizontal="distributed" vertical="center" wrapText="1" indent="1" shrinkToFit="1"/>
    </xf>
    <xf numFmtId="0" fontId="9" fillId="0" borderId="25" xfId="4" applyFont="1" applyBorder="1" applyAlignment="1">
      <alignment horizontal="distributed" vertical="center" wrapText="1" indent="1" shrinkToFit="1"/>
    </xf>
    <xf numFmtId="0" fontId="91" fillId="0" borderId="1" xfId="4" applyFont="1" applyBorder="1" applyAlignment="1">
      <alignment horizontal="center" vertical="center" wrapText="1"/>
    </xf>
    <xf numFmtId="0" fontId="91" fillId="0" borderId="5" xfId="4" applyFont="1" applyBorder="1" applyAlignment="1">
      <alignment horizontal="center" vertical="center" wrapText="1"/>
    </xf>
    <xf numFmtId="0" fontId="91" fillId="0" borderId="7" xfId="4" applyFont="1" applyBorder="1" applyAlignment="1">
      <alignment horizontal="center" vertical="center" wrapText="1"/>
    </xf>
    <xf numFmtId="0" fontId="60" fillId="0" borderId="16" xfId="1" applyFont="1" applyBorder="1" applyAlignment="1">
      <alignment horizontal="center" vertical="center" wrapText="1"/>
    </xf>
    <xf numFmtId="0" fontId="60" fillId="0" borderId="23" xfId="1" applyFont="1" applyBorder="1" applyAlignment="1">
      <alignment horizontal="center" vertical="center" wrapText="1"/>
    </xf>
    <xf numFmtId="0" fontId="60" fillId="0" borderId="27" xfId="1" applyFont="1" applyBorder="1" applyAlignment="1">
      <alignment horizontal="center" vertical="center" wrapText="1"/>
    </xf>
    <xf numFmtId="0" fontId="60" fillId="0" borderId="28" xfId="1" applyFont="1" applyBorder="1" applyAlignment="1">
      <alignment horizontal="center" vertical="center" wrapText="1"/>
    </xf>
    <xf numFmtId="0" fontId="65" fillId="0" borderId="263" xfId="1" applyFont="1" applyBorder="1" applyAlignment="1">
      <alignment horizontal="center" vertical="center" wrapText="1"/>
    </xf>
    <xf numFmtId="0" fontId="65" fillId="0" borderId="397" xfId="1" applyFont="1" applyBorder="1" applyAlignment="1">
      <alignment horizontal="center" vertical="center" wrapText="1"/>
    </xf>
    <xf numFmtId="0" fontId="65" fillId="0" borderId="324" xfId="1" applyFont="1" applyBorder="1" applyAlignment="1">
      <alignment horizontal="center" vertical="center" wrapText="1"/>
    </xf>
    <xf numFmtId="0" fontId="92" fillId="0" borderId="1" xfId="1" applyFont="1" applyBorder="1" applyAlignment="1">
      <alignment horizontal="center" vertical="center" wrapText="1"/>
    </xf>
    <xf numFmtId="0" fontId="92" fillId="0" borderId="5" xfId="1" applyFont="1" applyBorder="1" applyAlignment="1">
      <alignment horizontal="center" vertical="center" wrapText="1"/>
    </xf>
    <xf numFmtId="0" fontId="92" fillId="0" borderId="105" xfId="1" applyFont="1" applyBorder="1" applyAlignment="1">
      <alignment horizontal="center" vertical="center" wrapText="1"/>
    </xf>
    <xf numFmtId="0" fontId="92" fillId="0" borderId="16" xfId="1" applyFont="1" applyBorder="1" applyAlignment="1">
      <alignment horizontal="center" vertical="center" wrapText="1"/>
    </xf>
    <xf numFmtId="0" fontId="9" fillId="3" borderId="2" xfId="4" applyFont="1" applyFill="1" applyBorder="1" applyAlignment="1" applyProtection="1">
      <alignment horizontal="center" vertical="center" shrinkToFit="1"/>
      <protection locked="0"/>
    </xf>
    <xf numFmtId="0" fontId="9" fillId="0" borderId="4" xfId="1" applyFont="1" applyBorder="1" applyAlignment="1" applyProtection="1">
      <alignment horizontal="center" vertical="center" shrinkToFit="1"/>
      <protection locked="0"/>
    </xf>
    <xf numFmtId="0" fontId="9" fillId="0" borderId="63" xfId="4" applyFont="1" applyBorder="1" applyAlignment="1">
      <alignment horizontal="distributed" vertical="center" wrapText="1" indent="1"/>
    </xf>
    <xf numFmtId="0" fontId="9" fillId="0" borderId="5" xfId="4" applyFont="1" applyBorder="1" applyAlignment="1">
      <alignment horizontal="distributed" vertical="center" wrapText="1" indent="1"/>
    </xf>
    <xf numFmtId="0" fontId="9" fillId="0" borderId="63" xfId="4" applyFont="1" applyBorder="1" applyAlignment="1">
      <alignment horizontal="center" vertical="center" wrapText="1"/>
    </xf>
    <xf numFmtId="0" fontId="9" fillId="0" borderId="5" xfId="1" applyFont="1" applyBorder="1" applyAlignment="1">
      <alignment horizontal="center" vertical="center" wrapText="1"/>
    </xf>
    <xf numFmtId="0" fontId="9" fillId="0" borderId="65" xfId="1" applyFont="1" applyBorder="1" applyAlignment="1">
      <alignment horizontal="center" vertical="center" wrapText="1"/>
    </xf>
    <xf numFmtId="0" fontId="9" fillId="0" borderId="63" xfId="1" applyFont="1" applyBorder="1" applyAlignment="1">
      <alignment horizontal="center" vertical="distributed" textRotation="255" wrapText="1" justifyLastLine="1"/>
    </xf>
    <xf numFmtId="0" fontId="9" fillId="0" borderId="398" xfId="1" applyFont="1" applyBorder="1" applyAlignment="1">
      <alignment horizontal="center" vertical="distributed" textRotation="255" wrapText="1" justifyLastLine="1"/>
    </xf>
    <xf numFmtId="0" fontId="9" fillId="0" borderId="31" xfId="4" applyFont="1" applyBorder="1" applyAlignment="1">
      <alignment horizontal="distributed" vertical="center" justifyLastLine="1"/>
    </xf>
    <xf numFmtId="0" fontId="9" fillId="0" borderId="19" xfId="4" applyFont="1" applyBorder="1" applyAlignment="1">
      <alignment horizontal="distributed" vertical="center" justifyLastLine="1"/>
    </xf>
    <xf numFmtId="0" fontId="9" fillId="0" borderId="27" xfId="4" applyFont="1" applyBorder="1" applyAlignment="1">
      <alignment horizontal="distributed" vertical="center" justifyLastLine="1"/>
    </xf>
    <xf numFmtId="0" fontId="9" fillId="0" borderId="124" xfId="4" applyFont="1" applyBorder="1" applyAlignment="1">
      <alignment horizontal="distributed" vertical="center" justifyLastLine="1"/>
    </xf>
    <xf numFmtId="0" fontId="9" fillId="3" borderId="167" xfId="4" applyFont="1" applyFill="1" applyBorder="1" applyAlignment="1" applyProtection="1">
      <alignment horizontal="center" vertical="center" shrinkToFit="1"/>
      <protection locked="0"/>
    </xf>
    <xf numFmtId="0" fontId="9" fillId="0" borderId="403" xfId="1" applyFont="1" applyBorder="1" applyAlignment="1" applyProtection="1">
      <alignment horizontal="center" vertical="center" shrinkToFit="1"/>
      <protection locked="0"/>
    </xf>
    <xf numFmtId="0" fontId="9" fillId="0" borderId="1" xfId="1" applyFont="1" applyBorder="1" applyAlignment="1">
      <alignment horizontal="center" vertical="center" wrapText="1"/>
    </xf>
    <xf numFmtId="0" fontId="9" fillId="0" borderId="105" xfId="1" applyFont="1" applyBorder="1" applyAlignment="1">
      <alignment horizontal="center" vertical="center" wrapText="1"/>
    </xf>
    <xf numFmtId="0" fontId="9" fillId="0" borderId="6" xfId="4" applyFont="1" applyBorder="1" applyAlignment="1">
      <alignment horizontal="center" vertical="center" textRotation="255"/>
    </xf>
    <xf numFmtId="0" fontId="9" fillId="0" borderId="1" xfId="4" applyFont="1" applyBorder="1" applyAlignment="1">
      <alignment horizontal="center" vertical="center" textRotation="255"/>
    </xf>
    <xf numFmtId="0" fontId="9" fillId="0" borderId="16" xfId="4" applyFont="1" applyBorder="1" applyAlignment="1">
      <alignment horizontal="center" vertical="center" wrapText="1" shrinkToFit="1"/>
    </xf>
    <xf numFmtId="0" fontId="9" fillId="0" borderId="25" xfId="4" applyFont="1" applyBorder="1" applyAlignment="1">
      <alignment horizontal="center" vertical="center" wrapText="1" shrinkToFit="1"/>
    </xf>
    <xf numFmtId="0" fontId="9" fillId="0" borderId="25" xfId="4" applyFont="1" applyBorder="1" applyAlignment="1">
      <alignment horizontal="center" vertical="center" shrinkToFit="1"/>
    </xf>
    <xf numFmtId="0" fontId="9" fillId="0" borderId="16" xfId="4" applyFont="1" applyBorder="1" applyAlignment="1">
      <alignment horizontal="center" vertical="center" wrapText="1"/>
    </xf>
    <xf numFmtId="0" fontId="9" fillId="0" borderId="25" xfId="4" applyFont="1" applyBorder="1" applyAlignment="1">
      <alignment horizontal="center" vertical="center" wrapText="1"/>
    </xf>
    <xf numFmtId="0" fontId="9" fillId="0" borderId="1" xfId="4" applyFont="1" applyBorder="1" applyAlignment="1">
      <alignment horizontal="center" vertical="center" textRotation="255" wrapText="1"/>
    </xf>
    <xf numFmtId="0" fontId="9" fillId="0" borderId="5" xfId="4" applyFont="1" applyBorder="1" applyAlignment="1">
      <alignment horizontal="center" vertical="center" textRotation="255" wrapText="1"/>
    </xf>
    <xf numFmtId="0" fontId="9" fillId="0" borderId="5" xfId="1" applyFont="1" applyBorder="1" applyAlignment="1">
      <alignment horizontal="center" vertical="center" textRotation="255" wrapText="1"/>
    </xf>
    <xf numFmtId="0" fontId="9" fillId="0" borderId="65" xfId="1" applyFont="1" applyBorder="1" applyAlignment="1">
      <alignment horizontal="center" vertical="center" textRotation="255" wrapText="1"/>
    </xf>
    <xf numFmtId="0" fontId="9" fillId="0" borderId="377" xfId="4" applyFont="1" applyBorder="1" applyAlignment="1">
      <alignment horizontal="center" vertical="center" wrapText="1"/>
    </xf>
    <xf numFmtId="0" fontId="9" fillId="0" borderId="157" xfId="4" applyFont="1" applyBorder="1" applyAlignment="1">
      <alignment horizontal="center" vertical="center" wrapText="1"/>
    </xf>
    <xf numFmtId="0" fontId="9" fillId="0" borderId="50" xfId="1" applyFont="1" applyBorder="1" applyAlignment="1">
      <alignment horizontal="center" vertical="center" wrapText="1"/>
    </xf>
    <xf numFmtId="0" fontId="9" fillId="0" borderId="16" xfId="1" applyFont="1" applyBorder="1" applyAlignment="1">
      <alignment horizontal="center" vertical="center" wrapText="1"/>
    </xf>
    <xf numFmtId="0" fontId="9" fillId="3" borderId="16" xfId="4" applyFont="1" applyFill="1" applyBorder="1" applyAlignment="1" applyProtection="1">
      <alignment horizontal="center" vertical="center" shrinkToFit="1"/>
      <protection locked="0"/>
    </xf>
    <xf numFmtId="0" fontId="9" fillId="0" borderId="24" xfId="1" applyFont="1" applyBorder="1" applyAlignment="1" applyProtection="1">
      <alignment horizontal="center" vertical="center" shrinkToFit="1"/>
      <protection locked="0"/>
    </xf>
    <xf numFmtId="0" fontId="9" fillId="0" borderId="31" xfId="1" applyFont="1" applyBorder="1" applyAlignment="1">
      <alignment horizontal="center" vertical="center" wrapText="1"/>
    </xf>
    <xf numFmtId="0" fontId="9" fillId="0" borderId="25" xfId="1" applyFont="1" applyBorder="1" applyAlignment="1">
      <alignment vertical="center"/>
    </xf>
    <xf numFmtId="0" fontId="9" fillId="0" borderId="204" xfId="1" applyFont="1" applyBorder="1" applyAlignment="1">
      <alignment vertical="center"/>
    </xf>
    <xf numFmtId="0" fontId="9" fillId="0" borderId="98" xfId="4" applyFont="1" applyBorder="1" applyAlignment="1">
      <alignment horizontal="center" vertical="distributed" textRotation="255" wrapText="1" justifyLastLine="1"/>
    </xf>
    <xf numFmtId="0" fontId="9" fillId="0" borderId="231" xfId="4" applyFont="1" applyBorder="1" applyAlignment="1">
      <alignment horizontal="center" vertical="distributed" textRotation="255" wrapText="1" justifyLastLine="1"/>
    </xf>
    <xf numFmtId="0" fontId="9" fillId="0" borderId="115" xfId="4" applyFont="1" applyBorder="1" applyAlignment="1">
      <alignment horizontal="center" vertical="distributed" textRotation="255" wrapText="1" justifyLastLine="1"/>
    </xf>
    <xf numFmtId="0" fontId="9" fillId="0" borderId="63" xfId="4" applyFont="1" applyBorder="1" applyAlignment="1">
      <alignment horizontal="center" vertical="distributed" textRotation="255" wrapText="1" justifyLastLine="1"/>
    </xf>
    <xf numFmtId="0" fontId="9" fillId="0" borderId="5" xfId="4" applyFont="1" applyBorder="1" applyAlignment="1">
      <alignment horizontal="center" vertical="distributed" textRotation="255" wrapText="1" justifyLastLine="1"/>
    </xf>
    <xf numFmtId="0" fontId="9" fillId="0" borderId="65" xfId="4" applyFont="1" applyBorder="1" applyAlignment="1">
      <alignment horizontal="center" vertical="distributed" textRotation="255" wrapText="1" justifyLastLine="1"/>
    </xf>
    <xf numFmtId="0" fontId="9" fillId="0" borderId="16" xfId="4" applyFont="1" applyBorder="1" applyAlignment="1">
      <alignment horizontal="distributed" vertical="center" wrapText="1" justifyLastLine="1"/>
    </xf>
    <xf numFmtId="0" fontId="9" fillId="0" borderId="25" xfId="4" applyFont="1" applyBorder="1" applyAlignment="1">
      <alignment horizontal="distributed" vertical="center" wrapText="1" justifyLastLine="1"/>
    </xf>
    <xf numFmtId="0" fontId="9" fillId="0" borderId="5" xfId="4" applyFont="1" applyBorder="1" applyAlignment="1">
      <alignment horizontal="center" vertical="center" wrapText="1" justifyLastLine="1"/>
    </xf>
    <xf numFmtId="0" fontId="9" fillId="0" borderId="65" xfId="4" applyFont="1" applyBorder="1" applyAlignment="1">
      <alignment horizontal="center" vertical="center" wrapText="1" justifyLastLine="1"/>
    </xf>
    <xf numFmtId="0" fontId="9" fillId="0" borderId="25" xfId="4" applyFont="1" applyBorder="1" applyAlignment="1">
      <alignment horizontal="center" vertical="center" wrapText="1" justifyLastLine="1"/>
    </xf>
    <xf numFmtId="0" fontId="9" fillId="0" borderId="243" xfId="4" applyFont="1" applyBorder="1" applyAlignment="1">
      <alignment horizontal="center" vertical="center" wrapText="1" justifyLastLine="1"/>
    </xf>
    <xf numFmtId="0" fontId="9" fillId="0" borderId="31" xfId="4" applyFont="1" applyBorder="1" applyAlignment="1">
      <alignment horizontal="center" vertical="center" wrapText="1"/>
    </xf>
    <xf numFmtId="0" fontId="9" fillId="0" borderId="18" xfId="4" applyFont="1" applyBorder="1" applyAlignment="1">
      <alignment horizontal="center" vertical="center" wrapText="1"/>
    </xf>
    <xf numFmtId="0" fontId="9" fillId="0" borderId="27" xfId="4" applyFont="1" applyBorder="1" applyAlignment="1">
      <alignment horizontal="center" vertical="center" wrapText="1"/>
    </xf>
    <xf numFmtId="0" fontId="9" fillId="0" borderId="28" xfId="4" applyFont="1" applyBorder="1" applyAlignment="1">
      <alignment horizontal="center" vertical="center" wrapText="1"/>
    </xf>
    <xf numFmtId="0" fontId="45" fillId="0" borderId="31" xfId="4" applyFont="1" applyBorder="1" applyAlignment="1">
      <alignment horizontal="distributed" vertical="center" wrapText="1" justifyLastLine="1"/>
    </xf>
    <xf numFmtId="0" fontId="45" fillId="0" borderId="18" xfId="4" applyFont="1" applyBorder="1" applyAlignment="1">
      <alignment horizontal="distributed" vertical="center" wrapText="1" justifyLastLine="1"/>
    </xf>
    <xf numFmtId="0" fontId="45" fillId="0" borderId="25" xfId="4" applyFont="1" applyBorder="1" applyAlignment="1">
      <alignment horizontal="distributed" vertical="center" wrapText="1" justifyLastLine="1"/>
    </xf>
    <xf numFmtId="0" fontId="45" fillId="0" borderId="0" xfId="4" applyFont="1" applyAlignment="1">
      <alignment horizontal="distributed" vertical="center" wrapText="1" justifyLastLine="1"/>
    </xf>
    <xf numFmtId="0" fontId="45" fillId="0" borderId="27" xfId="4" applyFont="1" applyBorder="1" applyAlignment="1">
      <alignment horizontal="distributed" vertical="center" wrapText="1" justifyLastLine="1"/>
    </xf>
    <xf numFmtId="0" fontId="45" fillId="0" borderId="28" xfId="4" applyFont="1" applyBorder="1" applyAlignment="1">
      <alignment horizontal="distributed" vertical="center" wrapText="1" justifyLastLine="1"/>
    </xf>
    <xf numFmtId="0" fontId="9" fillId="0" borderId="398" xfId="1" applyFont="1" applyBorder="1" applyAlignment="1">
      <alignment horizontal="center" vertical="center" wrapText="1"/>
    </xf>
    <xf numFmtId="0" fontId="60" fillId="3" borderId="167" xfId="4" applyFont="1" applyFill="1" applyBorder="1" applyAlignment="1" applyProtection="1">
      <alignment horizontal="center" vertical="center" shrinkToFit="1"/>
      <protection locked="0"/>
    </xf>
    <xf numFmtId="0" fontId="60" fillId="0" borderId="403" xfId="1" applyFont="1" applyBorder="1" applyAlignment="1" applyProtection="1">
      <alignment horizontal="center" vertical="center" shrinkToFit="1"/>
      <protection locked="0"/>
    </xf>
    <xf numFmtId="0" fontId="60" fillId="3" borderId="2" xfId="4" applyFont="1" applyFill="1" applyBorder="1" applyAlignment="1" applyProtection="1">
      <alignment horizontal="center" vertical="center" shrinkToFit="1"/>
      <protection locked="0"/>
    </xf>
    <xf numFmtId="0" fontId="60" fillId="0" borderId="4" xfId="1" applyFont="1" applyBorder="1" applyAlignment="1" applyProtection="1">
      <alignment horizontal="center" vertical="center" shrinkToFit="1"/>
      <protection locked="0"/>
    </xf>
    <xf numFmtId="0" fontId="9" fillId="0" borderId="25" xfId="1" applyFont="1" applyBorder="1" applyAlignment="1">
      <alignment horizontal="center" vertical="center" wrapText="1"/>
    </xf>
    <xf numFmtId="0" fontId="9" fillId="0" borderId="27" xfId="1" applyFont="1" applyBorder="1" applyAlignment="1">
      <alignment horizontal="center" vertical="center" wrapText="1"/>
    </xf>
    <xf numFmtId="0" fontId="60" fillId="3" borderId="27" xfId="4" applyFont="1" applyFill="1" applyBorder="1" applyAlignment="1" applyProtection="1">
      <alignment horizontal="center" vertical="center" shrinkToFit="1"/>
      <protection locked="0"/>
    </xf>
    <xf numFmtId="0" fontId="60" fillId="0" borderId="29" xfId="1" applyFont="1" applyBorder="1" applyAlignment="1" applyProtection="1">
      <alignment horizontal="center" vertical="center" shrinkToFit="1"/>
      <protection locked="0"/>
    </xf>
    <xf numFmtId="0" fontId="60" fillId="3" borderId="16" xfId="4" applyFont="1" applyFill="1" applyBorder="1" applyAlignment="1" applyProtection="1">
      <alignment horizontal="center" vertical="center" shrinkToFit="1"/>
      <protection locked="0"/>
    </xf>
    <xf numFmtId="0" fontId="60" fillId="0" borderId="24" xfId="1" applyFont="1" applyBorder="1" applyAlignment="1" applyProtection="1">
      <alignment horizontal="center" vertical="center" shrinkToFit="1"/>
      <protection locked="0"/>
    </xf>
    <xf numFmtId="0" fontId="60" fillId="0" borderId="16" xfId="4" applyFont="1" applyBorder="1" applyAlignment="1">
      <alignment horizontal="distributed" vertical="center" wrapText="1" justifyLastLine="1"/>
    </xf>
    <xf numFmtId="0" fontId="60" fillId="0" borderId="25" xfId="4" applyFont="1" applyBorder="1" applyAlignment="1">
      <alignment horizontal="distributed" vertical="center" wrapText="1" justifyLastLine="1"/>
    </xf>
    <xf numFmtId="0" fontId="60" fillId="0" borderId="5" xfId="4" applyFont="1" applyBorder="1" applyAlignment="1">
      <alignment horizontal="center" vertical="center" wrapText="1" justifyLastLine="1"/>
    </xf>
    <xf numFmtId="0" fontId="60" fillId="0" borderId="65" xfId="4" applyFont="1" applyBorder="1" applyAlignment="1">
      <alignment horizontal="center" vertical="center" wrapText="1" justifyLastLine="1"/>
    </xf>
    <xf numFmtId="0" fontId="9" fillId="0" borderId="157" xfId="1" applyFont="1" applyBorder="1" applyAlignment="1">
      <alignment vertical="center"/>
    </xf>
    <xf numFmtId="0" fontId="9" fillId="0" borderId="389" xfId="1" applyFont="1" applyBorder="1" applyAlignment="1">
      <alignment vertical="center"/>
    </xf>
    <xf numFmtId="0" fontId="9" fillId="0" borderId="18" xfId="4" applyFont="1" applyBorder="1" applyAlignment="1">
      <alignment horizontal="center" vertical="center" textRotation="255" wrapText="1"/>
    </xf>
    <xf numFmtId="0" fontId="9" fillId="0" borderId="0" xfId="4" applyFont="1" applyAlignment="1">
      <alignment horizontal="center" vertical="center" textRotation="255"/>
    </xf>
    <xf numFmtId="0" fontId="9" fillId="0" borderId="25" xfId="4" applyFont="1" applyBorder="1" applyAlignment="1">
      <alignment horizontal="center" vertical="center" textRotation="255"/>
    </xf>
    <xf numFmtId="0" fontId="9" fillId="0" borderId="63" xfId="4" applyFont="1" applyBorder="1" applyAlignment="1">
      <alignment horizontal="distributed" vertical="center" wrapText="1" indent="1" shrinkToFit="1"/>
    </xf>
    <xf numFmtId="0" fontId="9" fillId="0" borderId="5" xfId="4" applyFont="1" applyBorder="1" applyAlignment="1">
      <alignment horizontal="distributed" vertical="center" wrapText="1" indent="1" shrinkToFit="1"/>
    </xf>
    <xf numFmtId="0" fontId="60" fillId="0" borderId="31" xfId="4" applyFont="1" applyBorder="1" applyAlignment="1">
      <alignment horizontal="center" vertical="center" wrapText="1"/>
    </xf>
    <xf numFmtId="0" fontId="60" fillId="0" borderId="18" xfId="4" applyFont="1" applyBorder="1" applyAlignment="1">
      <alignment horizontal="center" vertical="center" wrapText="1"/>
    </xf>
    <xf numFmtId="0" fontId="60" fillId="0" borderId="25" xfId="4" applyFont="1" applyBorder="1" applyAlignment="1">
      <alignment horizontal="center" vertical="center" wrapText="1"/>
    </xf>
    <xf numFmtId="0" fontId="60" fillId="0" borderId="0" xfId="4" applyFont="1" applyAlignment="1">
      <alignment horizontal="center" vertical="center" wrapText="1"/>
    </xf>
    <xf numFmtId="0" fontId="60" fillId="0" borderId="27" xfId="4" applyFont="1" applyBorder="1" applyAlignment="1">
      <alignment horizontal="center" vertical="center" wrapText="1"/>
    </xf>
    <xf numFmtId="0" fontId="60" fillId="0" borderId="28" xfId="4" applyFont="1" applyBorder="1" applyAlignment="1">
      <alignment horizontal="center" vertical="center" wrapText="1"/>
    </xf>
    <xf numFmtId="0" fontId="9" fillId="0" borderId="16" xfId="4" applyFont="1" applyBorder="1" applyAlignment="1">
      <alignment horizontal="center" vertical="center" textRotation="255" wrapText="1"/>
    </xf>
    <xf numFmtId="0" fontId="9" fillId="0" borderId="25" xfId="1" applyFont="1" applyBorder="1" applyAlignment="1">
      <alignment horizontal="center" vertical="center" textRotation="255" wrapText="1"/>
    </xf>
    <xf numFmtId="0" fontId="9" fillId="0" borderId="243" xfId="1" applyFont="1" applyBorder="1" applyAlignment="1">
      <alignment horizontal="center" vertical="center" textRotation="255" wrapText="1"/>
    </xf>
    <xf numFmtId="0" fontId="9" fillId="0" borderId="63" xfId="4" applyFont="1" applyBorder="1" applyAlignment="1">
      <alignment horizontal="distributed" vertical="center" wrapText="1" justifyLastLine="1"/>
    </xf>
    <xf numFmtId="0" fontId="9" fillId="0" borderId="5" xfId="4" applyFont="1" applyBorder="1" applyAlignment="1">
      <alignment horizontal="distributed" vertical="center" wrapText="1" justifyLastLine="1"/>
    </xf>
    <xf numFmtId="0" fontId="60" fillId="0" borderId="18" xfId="4" applyFont="1" applyBorder="1" applyAlignment="1">
      <alignment horizontal="distributed" vertical="center" wrapText="1" justifyLastLine="1"/>
    </xf>
    <xf numFmtId="0" fontId="60" fillId="0" borderId="0" xfId="4" applyFont="1" applyAlignment="1">
      <alignment horizontal="distributed" vertical="center" wrapText="1" justifyLastLine="1"/>
    </xf>
    <xf numFmtId="0" fontId="65" fillId="0" borderId="6" xfId="5" applyFont="1" applyBorder="1" applyAlignment="1">
      <alignment vertical="center"/>
    </xf>
    <xf numFmtId="0" fontId="65" fillId="0" borderId="437" xfId="5" applyFont="1" applyBorder="1" applyAlignment="1">
      <alignment vertical="center"/>
    </xf>
    <xf numFmtId="0" fontId="65" fillId="0" borderId="438" xfId="5" applyFont="1" applyBorder="1" applyAlignment="1">
      <alignment vertical="center"/>
    </xf>
    <xf numFmtId="0" fontId="65" fillId="0" borderId="439" xfId="5" applyFont="1" applyBorder="1" applyAlignment="1">
      <alignment vertical="center"/>
    </xf>
    <xf numFmtId="0" fontId="65" fillId="0" borderId="6" xfId="5" applyFont="1" applyBorder="1" applyAlignment="1">
      <alignment horizontal="center" vertical="distributed" textRotation="255" justifyLastLine="1"/>
    </xf>
    <xf numFmtId="0" fontId="65" fillId="0" borderId="6" xfId="5" applyFont="1" applyBorder="1" applyAlignment="1">
      <alignment horizontal="distributed" vertical="center"/>
    </xf>
    <xf numFmtId="0" fontId="65" fillId="0" borderId="440" xfId="5" applyFont="1" applyBorder="1" applyAlignment="1">
      <alignment horizontal="distributed" vertical="center"/>
    </xf>
    <xf numFmtId="0" fontId="65" fillId="0" borderId="441" xfId="5" applyFont="1" applyBorder="1" applyAlignment="1">
      <alignment horizontal="distributed" vertical="center"/>
    </xf>
    <xf numFmtId="0" fontId="65" fillId="0" borderId="442" xfId="5" applyFont="1" applyBorder="1" applyAlignment="1">
      <alignment horizontal="distributed" vertical="center"/>
    </xf>
    <xf numFmtId="0" fontId="65" fillId="0" borderId="443" xfId="5" applyFont="1" applyBorder="1" applyAlignment="1">
      <alignment horizontal="distributed" vertical="center"/>
    </xf>
    <xf numFmtId="0" fontId="65" fillId="0" borderId="444" xfId="5" applyFont="1" applyBorder="1" applyAlignment="1">
      <alignment horizontal="distributed" vertical="center"/>
    </xf>
    <xf numFmtId="0" fontId="65" fillId="0" borderId="445" xfId="5" applyFont="1" applyBorder="1" applyAlignment="1">
      <alignment horizontal="distributed" vertical="center"/>
    </xf>
    <xf numFmtId="0" fontId="65" fillId="0" borderId="2" xfId="5" applyFont="1" applyBorder="1" applyAlignment="1">
      <alignment horizontal="distributed" vertical="center"/>
    </xf>
    <xf numFmtId="0" fontId="65" fillId="0" borderId="3" xfId="5" applyFont="1" applyBorder="1" applyAlignment="1">
      <alignment horizontal="distributed" vertical="center"/>
    </xf>
    <xf numFmtId="0" fontId="65" fillId="0" borderId="4" xfId="5" applyFont="1" applyBorder="1" applyAlignment="1">
      <alignment horizontal="distributed" vertical="center"/>
    </xf>
    <xf numFmtId="0" fontId="65" fillId="0" borderId="1" xfId="5" applyFont="1" applyBorder="1" applyAlignment="1">
      <alignment horizontal="center" vertical="distributed" textRotation="255" justifyLastLine="1"/>
    </xf>
    <xf numFmtId="0" fontId="65" fillId="0" borderId="6" xfId="5" applyFont="1" applyBorder="1" applyAlignment="1">
      <alignment horizontal="distributed" vertical="center" wrapText="1"/>
    </xf>
    <xf numFmtId="0" fontId="65" fillId="0" borderId="6" xfId="5" applyFont="1" applyBorder="1" applyAlignment="1">
      <alignment horizontal="center" vertical="center" wrapText="1" shrinkToFit="1"/>
    </xf>
    <xf numFmtId="0" fontId="65" fillId="0" borderId="6" xfId="5" applyFont="1" applyBorder="1" applyAlignment="1">
      <alignment horizontal="center" vertical="center" shrinkToFit="1"/>
    </xf>
    <xf numFmtId="0" fontId="65" fillId="0" borderId="446" xfId="5" applyFont="1" applyBorder="1" applyAlignment="1">
      <alignment horizontal="distributed" vertical="center"/>
    </xf>
    <xf numFmtId="0" fontId="65" fillId="0" borderId="447" xfId="5" applyFont="1" applyBorder="1" applyAlignment="1">
      <alignment horizontal="distributed" vertical="center"/>
    </xf>
    <xf numFmtId="0" fontId="65" fillId="0" borderId="448" xfId="5" applyFont="1" applyBorder="1" applyAlignment="1">
      <alignment horizontal="distributed" vertical="center"/>
    </xf>
    <xf numFmtId="0" fontId="65" fillId="0" borderId="449" xfId="5" applyFont="1" applyBorder="1" applyAlignment="1">
      <alignment horizontal="distributed" vertical="center"/>
    </xf>
    <xf numFmtId="0" fontId="9" fillId="0" borderId="6" xfId="1" applyFont="1" applyBorder="1" applyAlignment="1">
      <alignment horizontal="center" vertical="center" wrapText="1" justifyLastLine="1"/>
    </xf>
    <xf numFmtId="0" fontId="9" fillId="0" borderId="6" xfId="1" applyFont="1" applyBorder="1" applyAlignment="1">
      <alignment horizontal="center" vertical="center"/>
    </xf>
    <xf numFmtId="0" fontId="9" fillId="0" borderId="18" xfId="1" applyFont="1" applyBorder="1" applyAlignment="1">
      <alignment horizontal="center" vertical="distributed" textRotation="255" justifyLastLine="1"/>
    </xf>
    <xf numFmtId="0" fontId="9" fillId="0" borderId="0" xfId="1" applyFont="1" applyAlignment="1">
      <alignment horizontal="center" vertical="distributed" textRotation="255" justifyLastLine="1"/>
    </xf>
    <xf numFmtId="0" fontId="9" fillId="0" borderId="21" xfId="1" applyFont="1" applyBorder="1" applyAlignment="1">
      <alignment horizontal="center" vertical="distributed" textRotation="255" justifyLastLine="1"/>
    </xf>
    <xf numFmtId="0" fontId="33" fillId="0" borderId="18" xfId="1" applyFont="1" applyBorder="1" applyAlignment="1">
      <alignment vertical="center" wrapText="1"/>
    </xf>
    <xf numFmtId="0" fontId="33" fillId="0" borderId="19" xfId="1" applyFont="1" applyBorder="1" applyAlignment="1">
      <alignment vertical="center" wrapText="1"/>
    </xf>
    <xf numFmtId="0" fontId="33" fillId="0" borderId="83" xfId="1" applyFont="1" applyBorder="1" applyAlignment="1">
      <alignment vertical="center" wrapText="1"/>
    </xf>
    <xf numFmtId="0" fontId="33" fillId="0" borderId="22" xfId="1" applyFont="1" applyBorder="1" applyAlignment="1">
      <alignment vertical="center" wrapText="1"/>
    </xf>
    <xf numFmtId="0" fontId="9" fillId="0" borderId="18" xfId="1" applyFont="1" applyBorder="1" applyAlignment="1">
      <alignment horizontal="distributed" vertical="center"/>
    </xf>
    <xf numFmtId="0" fontId="45" fillId="0" borderId="139" xfId="1" applyFont="1" applyBorder="1" applyAlignment="1">
      <alignment horizontal="center" vertical="center"/>
    </xf>
    <xf numFmtId="0" fontId="45" fillId="0" borderId="450" xfId="1" applyFont="1" applyBorder="1" applyAlignment="1">
      <alignment horizontal="center" vertical="center"/>
    </xf>
    <xf numFmtId="0" fontId="45" fillId="0" borderId="451" xfId="1" applyFont="1" applyBorder="1" applyAlignment="1">
      <alignment horizontal="center" vertical="center"/>
    </xf>
    <xf numFmtId="3" fontId="7" fillId="4" borderId="452" xfId="1" applyNumberFormat="1" applyFont="1" applyFill="1" applyBorder="1" applyAlignment="1" applyProtection="1">
      <alignment horizontal="right" vertical="center" shrinkToFit="1"/>
      <protection locked="0"/>
    </xf>
    <xf numFmtId="3" fontId="7" fillId="4" borderId="176" xfId="1" applyNumberFormat="1" applyFont="1" applyFill="1" applyBorder="1" applyAlignment="1" applyProtection="1">
      <alignment horizontal="right" vertical="center" shrinkToFit="1"/>
      <protection locked="0"/>
    </xf>
    <xf numFmtId="3" fontId="7" fillId="4" borderId="453" xfId="1" applyNumberFormat="1" applyFont="1" applyFill="1" applyBorder="1" applyAlignment="1" applyProtection="1">
      <alignment horizontal="right" vertical="center" shrinkToFit="1"/>
      <protection locked="0"/>
    </xf>
    <xf numFmtId="0" fontId="7" fillId="4" borderId="454" xfId="1" applyFont="1" applyFill="1" applyBorder="1" applyAlignment="1" applyProtection="1">
      <alignment horizontal="center" vertical="center" shrinkToFit="1"/>
      <protection locked="0"/>
    </xf>
    <xf numFmtId="0" fontId="7" fillId="4" borderId="197" xfId="1" applyFont="1" applyFill="1" applyBorder="1" applyAlignment="1" applyProtection="1">
      <alignment horizontal="center" vertical="center" shrinkToFit="1"/>
      <protection locked="0"/>
    </xf>
    <xf numFmtId="0" fontId="7" fillId="4" borderId="455" xfId="1" applyFont="1" applyFill="1" applyBorder="1" applyAlignment="1" applyProtection="1">
      <alignment horizontal="center" vertical="center" shrinkToFit="1"/>
      <protection locked="0"/>
    </xf>
    <xf numFmtId="3" fontId="7" fillId="4" borderId="54" xfId="1" applyNumberFormat="1" applyFont="1" applyFill="1" applyBorder="1" applyAlignment="1" applyProtection="1">
      <alignment horizontal="right" vertical="center" shrinkToFit="1"/>
      <protection locked="0"/>
    </xf>
    <xf numFmtId="3" fontId="7" fillId="4" borderId="3" xfId="1" applyNumberFormat="1" applyFont="1" applyFill="1" applyBorder="1" applyAlignment="1" applyProtection="1">
      <alignment horizontal="right" vertical="center" shrinkToFit="1"/>
      <protection locked="0"/>
    </xf>
    <xf numFmtId="3" fontId="7" fillId="4" borderId="456" xfId="1" applyNumberFormat="1" applyFont="1" applyFill="1" applyBorder="1" applyAlignment="1" applyProtection="1">
      <alignment horizontal="right" vertical="center" shrinkToFit="1"/>
      <protection locked="0"/>
    </xf>
    <xf numFmtId="3" fontId="7" fillId="4" borderId="123" xfId="1" applyNumberFormat="1" applyFont="1" applyFill="1" applyBorder="1" applyAlignment="1" applyProtection="1">
      <alignment horizontal="right" vertical="center" shrinkToFit="1"/>
      <protection locked="0"/>
    </xf>
    <xf numFmtId="3" fontId="7" fillId="4" borderId="28" xfId="1" applyNumberFormat="1" applyFont="1" applyFill="1" applyBorder="1" applyAlignment="1" applyProtection="1">
      <alignment horizontal="right" vertical="center" shrinkToFit="1"/>
      <protection locked="0"/>
    </xf>
    <xf numFmtId="3" fontId="7" fillId="4" borderId="457" xfId="1" applyNumberFormat="1" applyFont="1" applyFill="1" applyBorder="1" applyAlignment="1" applyProtection="1">
      <alignment horizontal="right" vertical="center" shrinkToFit="1"/>
      <protection locked="0"/>
    </xf>
    <xf numFmtId="49" fontId="9" fillId="4" borderId="27" xfId="1" applyNumberFormat="1" applyFont="1" applyFill="1" applyBorder="1" applyAlignment="1" applyProtection="1">
      <alignment horizontal="center" vertical="center" wrapText="1"/>
      <protection locked="0"/>
    </xf>
    <xf numFmtId="49" fontId="9" fillId="4" borderId="28" xfId="1" applyNumberFormat="1" applyFont="1" applyFill="1" applyBorder="1" applyAlignment="1" applyProtection="1">
      <alignment horizontal="center" vertical="center" wrapText="1"/>
      <protection locked="0"/>
    </xf>
    <xf numFmtId="49" fontId="9" fillId="4" borderId="124" xfId="1" applyNumberFormat="1" applyFont="1" applyFill="1" applyBorder="1" applyAlignment="1" applyProtection="1">
      <alignment horizontal="center" vertical="center" wrapText="1"/>
      <protection locked="0"/>
    </xf>
    <xf numFmtId="49" fontId="9" fillId="4" borderId="16" xfId="1" applyNumberFormat="1" applyFont="1" applyFill="1" applyBorder="1" applyAlignment="1" applyProtection="1">
      <alignment horizontal="center" vertical="center" wrapText="1"/>
      <protection locked="0"/>
    </xf>
    <xf numFmtId="49" fontId="9" fillId="4" borderId="23" xfId="1" applyNumberFormat="1" applyFont="1" applyFill="1" applyBorder="1" applyAlignment="1" applyProtection="1">
      <alignment horizontal="center" vertical="center" wrapText="1"/>
      <protection locked="0"/>
    </xf>
    <xf numFmtId="49" fontId="9" fillId="4" borderId="73" xfId="1" applyNumberFormat="1" applyFont="1" applyFill="1" applyBorder="1" applyAlignment="1" applyProtection="1">
      <alignment horizontal="center" vertical="center" wrapText="1"/>
      <protection locked="0"/>
    </xf>
    <xf numFmtId="3" fontId="7" fillId="4" borderId="72" xfId="1" applyNumberFormat="1" applyFont="1" applyFill="1" applyBorder="1" applyAlignment="1" applyProtection="1">
      <alignment horizontal="right" vertical="center" shrinkToFit="1"/>
      <protection locked="0"/>
    </xf>
    <xf numFmtId="3" fontId="7" fillId="4" borderId="23" xfId="1" applyNumberFormat="1" applyFont="1" applyFill="1" applyBorder="1" applyAlignment="1" applyProtection="1">
      <alignment horizontal="right" vertical="center" shrinkToFit="1"/>
      <protection locked="0"/>
    </xf>
    <xf numFmtId="3" fontId="7" fillId="4" borderId="458" xfId="1" applyNumberFormat="1" applyFont="1" applyFill="1" applyBorder="1" applyAlignment="1" applyProtection="1">
      <alignment horizontal="right" vertical="center" shrinkToFit="1"/>
      <protection locked="0"/>
    </xf>
    <xf numFmtId="0" fontId="7" fillId="4" borderId="459" xfId="1" applyFont="1" applyFill="1" applyBorder="1" applyAlignment="1" applyProtection="1">
      <alignment horizontal="center" vertical="center" shrinkToFit="1"/>
      <protection locked="0"/>
    </xf>
    <xf numFmtId="0" fontId="7" fillId="4" borderId="59" xfId="1" applyFont="1" applyFill="1" applyBorder="1" applyAlignment="1" applyProtection="1">
      <alignment horizontal="center" vertical="center" shrinkToFit="1"/>
      <protection locked="0"/>
    </xf>
    <xf numFmtId="0" fontId="7" fillId="4" borderId="74" xfId="1" applyFont="1" applyFill="1" applyBorder="1" applyAlignment="1" applyProtection="1">
      <alignment horizontal="center" vertical="center" shrinkToFit="1"/>
      <protection locked="0"/>
    </xf>
    <xf numFmtId="0" fontId="3" fillId="0" borderId="209" xfId="1" applyBorder="1" applyAlignment="1">
      <alignment horizontal="center"/>
    </xf>
    <xf numFmtId="0" fontId="9" fillId="0" borderId="464" xfId="1" applyFont="1" applyBorder="1" applyAlignment="1">
      <alignment horizontal="center" vertical="center"/>
    </xf>
    <xf numFmtId="0" fontId="9" fillId="0" borderId="19" xfId="1" applyFont="1" applyBorder="1" applyAlignment="1">
      <alignment horizontal="center" vertical="center" wrapText="1" justifyLastLine="1"/>
    </xf>
    <xf numFmtId="0" fontId="9" fillId="0" borderId="83" xfId="1" applyFont="1" applyBorder="1" applyAlignment="1">
      <alignment horizontal="center" vertical="center" wrapText="1" justifyLastLine="1"/>
    </xf>
    <xf numFmtId="0" fontId="9" fillId="0" borderId="37" xfId="1" applyFont="1" applyBorder="1" applyAlignment="1">
      <alignment horizontal="center" vertical="center" wrapText="1" justifyLastLine="1"/>
    </xf>
    <xf numFmtId="0" fontId="3" fillId="0" borderId="1" xfId="1" applyBorder="1" applyAlignment="1">
      <alignment horizontal="center" vertical="center" wrapText="1"/>
    </xf>
    <xf numFmtId="0" fontId="3" fillId="0" borderId="5" xfId="1" applyBorder="1" applyAlignment="1">
      <alignment horizontal="center" vertical="center" wrapText="1"/>
    </xf>
    <xf numFmtId="0" fontId="3" fillId="0" borderId="105" xfId="1" applyBorder="1" applyAlignment="1">
      <alignment horizontal="center" vertical="center" wrapText="1"/>
    </xf>
    <xf numFmtId="0" fontId="3" fillId="0" borderId="6" xfId="1" applyBorder="1" applyAlignment="1">
      <alignment horizontal="center" vertical="center" wrapText="1"/>
    </xf>
    <xf numFmtId="0" fontId="25" fillId="0" borderId="5" xfId="1" applyFont="1" applyBorder="1" applyAlignment="1">
      <alignment horizontal="center" vertical="center" wrapText="1"/>
    </xf>
    <xf numFmtId="0" fontId="25" fillId="0" borderId="105" xfId="1" applyFont="1" applyBorder="1" applyAlignment="1">
      <alignment horizontal="center" vertical="center" wrapText="1"/>
    </xf>
    <xf numFmtId="0" fontId="9" fillId="0" borderId="461" xfId="1" applyFont="1" applyBorder="1" applyAlignment="1">
      <alignment horizontal="center" vertical="distributed" textRotation="255" justifyLastLine="1"/>
    </xf>
    <xf numFmtId="0" fontId="9" fillId="0" borderId="462" xfId="1" applyFont="1" applyBorder="1" applyAlignment="1">
      <alignment horizontal="center" vertical="distributed" textRotation="255" justifyLastLine="1"/>
    </xf>
    <xf numFmtId="0" fontId="9" fillId="0" borderId="463" xfId="1" applyFont="1" applyBorder="1" applyAlignment="1">
      <alignment horizontal="center" vertical="distributed" textRotation="255" justifyLastLine="1"/>
    </xf>
    <xf numFmtId="0" fontId="25" fillId="0" borderId="1" xfId="1" applyFont="1" applyBorder="1" applyAlignment="1">
      <alignment horizontal="center" vertical="center" wrapText="1"/>
    </xf>
    <xf numFmtId="0" fontId="9" fillId="0" borderId="243" xfId="1" applyFont="1" applyBorder="1" applyAlignment="1">
      <alignment horizontal="center" vertical="center" wrapText="1"/>
    </xf>
    <xf numFmtId="0" fontId="45" fillId="0" borderId="127" xfId="1" applyFont="1" applyBorder="1" applyAlignment="1">
      <alignment horizontal="center" vertical="center"/>
    </xf>
    <xf numFmtId="0" fontId="9" fillId="0" borderId="0" xfId="1" applyFont="1" applyAlignment="1">
      <alignment horizontal="center" vertical="center" wrapText="1" justifyLastLine="1"/>
    </xf>
    <xf numFmtId="0" fontId="3" fillId="0" borderId="6" xfId="1" applyBorder="1" applyAlignment="1">
      <alignment horizontal="center" vertical="center"/>
    </xf>
    <xf numFmtId="0" fontId="45" fillId="0" borderId="398" xfId="1" applyFont="1" applyBorder="1" applyAlignment="1">
      <alignment horizontal="center" vertical="center"/>
    </xf>
    <xf numFmtId="0" fontId="9" fillId="0" borderId="243" xfId="1" applyFont="1" applyBorder="1" applyAlignment="1">
      <alignment horizontal="center" vertical="center" justifyLastLine="1"/>
    </xf>
    <xf numFmtId="49" fontId="64" fillId="0" borderId="0" xfId="1" applyNumberFormat="1" applyFont="1" applyAlignment="1">
      <alignment horizontal="center" vertical="center"/>
    </xf>
    <xf numFmtId="0" fontId="64" fillId="0" borderId="0" xfId="1" applyFont="1" applyAlignment="1">
      <alignment horizontal="center" vertical="center"/>
    </xf>
    <xf numFmtId="0" fontId="9" fillId="0" borderId="2" xfId="1" applyFont="1" applyBorder="1" applyAlignment="1">
      <alignment horizontal="center" vertical="center" justifyLastLine="1"/>
    </xf>
    <xf numFmtId="0" fontId="9" fillId="0" borderId="3" xfId="1" applyFont="1" applyBorder="1" applyAlignment="1">
      <alignment horizontal="center" vertical="center" justifyLastLine="1"/>
    </xf>
    <xf numFmtId="0" fontId="65" fillId="0" borderId="1" xfId="5" applyFont="1" applyBorder="1" applyAlignment="1">
      <alignment horizontal="center" vertical="center"/>
    </xf>
    <xf numFmtId="0" fontId="65" fillId="0" borderId="5" xfId="5" applyFont="1" applyBorder="1" applyAlignment="1">
      <alignment horizontal="center" vertical="center"/>
    </xf>
    <xf numFmtId="0" fontId="65" fillId="0" borderId="105" xfId="5" applyFont="1" applyBorder="1" applyAlignment="1">
      <alignment horizontal="center" vertical="center"/>
    </xf>
    <xf numFmtId="0" fontId="65" fillId="0" borderId="2" xfId="5" applyFont="1" applyBorder="1" applyAlignment="1">
      <alignment horizontal="center" vertical="center"/>
    </xf>
    <xf numFmtId="0" fontId="65" fillId="0" borderId="3" xfId="5" applyFont="1" applyBorder="1" applyAlignment="1">
      <alignment horizontal="center" vertical="center"/>
    </xf>
    <xf numFmtId="0" fontId="65" fillId="0" borderId="4" xfId="5" applyFont="1" applyBorder="1" applyAlignment="1">
      <alignment horizontal="center" vertical="center"/>
    </xf>
    <xf numFmtId="0" fontId="9" fillId="0" borderId="30" xfId="1" applyFont="1" applyBorder="1" applyAlignment="1">
      <alignment horizontal="center" vertical="center" wrapText="1"/>
    </xf>
    <xf numFmtId="0" fontId="9" fillId="0" borderId="484" xfId="1" applyFont="1" applyBorder="1" applyAlignment="1">
      <alignment horizontal="center" vertical="center" wrapText="1"/>
    </xf>
    <xf numFmtId="0" fontId="9" fillId="0" borderId="487" xfId="1" applyFont="1" applyBorder="1" applyAlignment="1">
      <alignment horizontal="center" vertical="center" wrapText="1"/>
    </xf>
    <xf numFmtId="0" fontId="9" fillId="0" borderId="139" xfId="1" applyFont="1" applyBorder="1" applyAlignment="1">
      <alignment horizontal="center" vertical="center"/>
    </xf>
    <xf numFmtId="0" fontId="9" fillId="0" borderId="112" xfId="1" applyFont="1" applyBorder="1" applyAlignment="1">
      <alignment horizontal="center" vertical="center" shrinkToFit="1"/>
    </xf>
    <xf numFmtId="0" fontId="9" fillId="0" borderId="59" xfId="1" applyFont="1" applyBorder="1" applyAlignment="1">
      <alignment horizontal="center" vertical="center" shrinkToFit="1"/>
    </xf>
    <xf numFmtId="0" fontId="9" fillId="0" borderId="136" xfId="1" applyFont="1" applyBorder="1" applyAlignment="1">
      <alignment horizontal="center" vertical="center" shrinkToFit="1"/>
    </xf>
    <xf numFmtId="0" fontId="45" fillId="0" borderId="1" xfId="5" applyFont="1" applyBorder="1" applyAlignment="1">
      <alignment horizontal="center" vertical="center" wrapText="1" shrinkToFit="1"/>
    </xf>
    <xf numFmtId="0" fontId="45" fillId="0" borderId="105" xfId="5" applyFont="1" applyBorder="1" applyAlignment="1">
      <alignment horizontal="center" vertical="center" wrapText="1" shrinkToFit="1"/>
    </xf>
    <xf numFmtId="0" fontId="65" fillId="0" borderId="1" xfId="5" applyFont="1" applyBorder="1" applyAlignment="1">
      <alignment horizontal="center" vertical="center" wrapText="1" shrinkToFit="1"/>
    </xf>
    <xf numFmtId="0" fontId="65" fillId="0" borderId="105" xfId="5" applyFont="1" applyBorder="1" applyAlignment="1">
      <alignment horizontal="center" vertical="center" wrapText="1" shrinkToFit="1"/>
    </xf>
    <xf numFmtId="0" fontId="9" fillId="0" borderId="209" xfId="1" applyFont="1" applyBorder="1" applyAlignment="1">
      <alignment horizontal="center" vertical="top"/>
    </xf>
    <xf numFmtId="0" fontId="65" fillId="0" borderId="3" xfId="5" applyFont="1" applyBorder="1" applyAlignment="1">
      <alignment horizontal="center" vertical="center" justifyLastLine="1"/>
    </xf>
    <xf numFmtId="0" fontId="65" fillId="0" borderId="4" xfId="5" applyFont="1" applyBorder="1" applyAlignment="1">
      <alignment horizontal="center" vertical="center" justifyLastLine="1"/>
    </xf>
    <xf numFmtId="0" fontId="65" fillId="0" borderId="2" xfId="5" applyFont="1" applyBorder="1" applyAlignment="1">
      <alignment horizontal="center" vertical="center" justifyLastLine="1"/>
    </xf>
    <xf numFmtId="0" fontId="31" fillId="0" borderId="77" xfId="1" applyFont="1" applyBorder="1" applyAlignment="1">
      <alignment horizontal="center" vertical="center" wrapText="1" justifyLastLine="1"/>
    </xf>
    <xf numFmtId="0" fontId="31" fillId="0" borderId="488" xfId="1" applyFont="1" applyBorder="1" applyAlignment="1">
      <alignment horizontal="center" vertical="center" wrapText="1" justifyLastLine="1"/>
    </xf>
    <xf numFmtId="0" fontId="31" fillId="0" borderId="489" xfId="1" applyFont="1" applyBorder="1" applyAlignment="1">
      <alignment horizontal="center" vertical="center" justifyLastLine="1"/>
    </xf>
    <xf numFmtId="0" fontId="31" fillId="0" borderId="77" xfId="1" applyFont="1" applyBorder="1" applyAlignment="1">
      <alignment horizontal="center" vertical="center" justifyLastLine="1"/>
    </xf>
    <xf numFmtId="0" fontId="31" fillId="0" borderId="490" xfId="1" applyFont="1" applyBorder="1" applyAlignment="1">
      <alignment horizontal="center" vertical="center" justifyLastLine="1"/>
    </xf>
    <xf numFmtId="0" fontId="65" fillId="0" borderId="16" xfId="5" applyFont="1" applyBorder="1" applyAlignment="1">
      <alignment horizontal="center" vertical="center"/>
    </xf>
    <xf numFmtId="0" fontId="9" fillId="0" borderId="66" xfId="1" applyFont="1" applyBorder="1" applyAlignment="1">
      <alignment horizontal="distributed" vertical="center" wrapText="1" justifyLastLine="1"/>
    </xf>
    <xf numFmtId="0" fontId="9" fillId="0" borderId="67" xfId="1" applyFont="1" applyBorder="1" applyAlignment="1">
      <alignment horizontal="distributed" vertical="center" wrapText="1" justifyLastLine="1"/>
    </xf>
    <xf numFmtId="0" fontId="9" fillId="0" borderId="495" xfId="1" applyFont="1" applyBorder="1" applyAlignment="1">
      <alignment horizontal="distributed" vertical="center" wrapText="1" justifyLastLine="1"/>
    </xf>
    <xf numFmtId="0" fontId="57" fillId="0" borderId="25" xfId="1" applyFont="1" applyBorder="1" applyAlignment="1">
      <alignment horizontal="left" vertical="center" wrapText="1"/>
    </xf>
    <xf numFmtId="0" fontId="57" fillId="0" borderId="0" xfId="1" applyFont="1" applyAlignment="1">
      <alignment horizontal="left" vertical="center" wrapText="1"/>
    </xf>
    <xf numFmtId="0" fontId="9" fillId="0" borderId="30" xfId="1" applyFont="1" applyBorder="1" applyAlignment="1">
      <alignment horizontal="distributed" vertical="center" wrapText="1" justifyLastLine="1"/>
    </xf>
    <xf numFmtId="0" fontId="57" fillId="0" borderId="31" xfId="1" applyFont="1" applyBorder="1" applyAlignment="1">
      <alignment horizontal="left" vertical="center" wrapText="1"/>
    </xf>
    <xf numFmtId="0" fontId="57" fillId="0" borderId="18" xfId="1" applyFont="1" applyBorder="1" applyAlignment="1">
      <alignment horizontal="left" vertical="center" wrapText="1"/>
    </xf>
    <xf numFmtId="0" fontId="57" fillId="0" borderId="19" xfId="1" applyFont="1" applyBorder="1" applyAlignment="1">
      <alignment horizontal="left" vertical="center" wrapText="1"/>
    </xf>
    <xf numFmtId="0" fontId="65" fillId="0" borderId="105" xfId="5" applyFont="1" applyBorder="1" applyAlignment="1">
      <alignment horizontal="center" vertical="distributed" textRotation="255" justifyLastLine="1"/>
    </xf>
    <xf numFmtId="0" fontId="9" fillId="0" borderId="54" xfId="1" applyFont="1" applyBorder="1" applyAlignment="1">
      <alignment horizontal="distributed" vertical="center" wrapText="1" justifyLastLine="1"/>
    </xf>
    <xf numFmtId="0" fontId="9" fillId="0" borderId="3" xfId="1" applyFont="1" applyBorder="1" applyAlignment="1">
      <alignment horizontal="distributed" vertical="center" wrapText="1" justifyLastLine="1"/>
    </xf>
    <xf numFmtId="0" fontId="9" fillId="0" borderId="4" xfId="1" applyFont="1" applyBorder="1" applyAlignment="1">
      <alignment horizontal="distributed" vertical="center" wrapText="1" justifyLastLine="1"/>
    </xf>
    <xf numFmtId="0" fontId="57" fillId="0" borderId="16" xfId="1" applyFont="1" applyBorder="1" applyAlignment="1">
      <alignment horizontal="left" vertical="center" wrapText="1"/>
    </xf>
    <xf numFmtId="0" fontId="57" fillId="0" borderId="23" xfId="1" applyFont="1" applyBorder="1" applyAlignment="1">
      <alignment horizontal="left" vertical="center" wrapText="1"/>
    </xf>
    <xf numFmtId="0" fontId="9" fillId="0" borderId="23" xfId="1" applyFont="1" applyBorder="1" applyAlignment="1">
      <alignment horizontal="distributed" vertical="center" wrapText="1" justifyLastLine="1"/>
    </xf>
    <xf numFmtId="0" fontId="9" fillId="0" borderId="24" xfId="1" applyFont="1" applyBorder="1" applyAlignment="1">
      <alignment horizontal="distributed" vertical="center" justifyLastLine="1"/>
    </xf>
    <xf numFmtId="0" fontId="57" fillId="0" borderId="73" xfId="1" applyFont="1" applyBorder="1" applyAlignment="1">
      <alignment horizontal="left" vertical="center" wrapText="1"/>
    </xf>
    <xf numFmtId="0" fontId="9" fillId="0" borderId="72" xfId="1" applyFont="1" applyBorder="1" applyAlignment="1">
      <alignment horizontal="distributed" vertical="center" wrapText="1" justifyLastLine="1"/>
    </xf>
    <xf numFmtId="0" fontId="57" fillId="0" borderId="6" xfId="1" applyFont="1" applyBorder="1" applyAlignment="1">
      <alignment horizontal="left" vertical="center" wrapText="1"/>
    </xf>
    <xf numFmtId="0" fontId="57" fillId="0" borderId="120" xfId="1" applyFont="1" applyBorder="1" applyAlignment="1">
      <alignment horizontal="left" vertical="center" wrapText="1"/>
    </xf>
    <xf numFmtId="0" fontId="9" fillId="0" borderId="24" xfId="1" applyFont="1" applyBorder="1" applyAlignment="1">
      <alignment horizontal="distributed" vertical="center" wrapText="1" justifyLastLine="1"/>
    </xf>
    <xf numFmtId="0" fontId="9" fillId="0" borderId="91" xfId="1" applyFont="1" applyBorder="1" applyAlignment="1">
      <alignment horizontal="distributed" vertical="center" wrapText="1" justifyLastLine="1"/>
    </xf>
    <xf numFmtId="0" fontId="9" fillId="0" borderId="92" xfId="1" applyFont="1" applyBorder="1" applyAlignment="1">
      <alignment horizontal="distributed" vertical="center" justifyLastLine="1"/>
    </xf>
    <xf numFmtId="0" fontId="9" fillId="0" borderId="430" xfId="1" applyFont="1" applyBorder="1" applyAlignment="1">
      <alignment horizontal="distributed" vertical="center" justifyLastLine="1"/>
    </xf>
    <xf numFmtId="0" fontId="9" fillId="0" borderId="510" xfId="1" applyFont="1" applyBorder="1" applyAlignment="1">
      <alignment horizontal="distributed" vertical="center" wrapText="1" justifyLastLine="1"/>
    </xf>
    <xf numFmtId="0" fontId="9" fillId="0" borderId="511" xfId="1" applyFont="1" applyBorder="1" applyAlignment="1">
      <alignment horizontal="distributed" vertical="center" justifyLastLine="1"/>
    </xf>
    <xf numFmtId="0" fontId="9" fillId="0" borderId="512" xfId="1" applyFont="1" applyBorder="1" applyAlignment="1">
      <alignment horizontal="distributed" vertical="center" justifyLastLine="1"/>
    </xf>
    <xf numFmtId="0" fontId="57" fillId="0" borderId="513" xfId="1" applyFont="1" applyBorder="1" applyAlignment="1">
      <alignment horizontal="left" vertical="center" wrapText="1"/>
    </xf>
    <xf numFmtId="0" fontId="57" fillId="0" borderId="511" xfId="1" applyFont="1" applyBorder="1" applyAlignment="1">
      <alignment horizontal="left" vertical="center" wrapText="1"/>
    </xf>
    <xf numFmtId="0" fontId="9" fillId="0" borderId="511" xfId="1" applyFont="1" applyBorder="1" applyAlignment="1">
      <alignment horizontal="distributed" vertical="center" wrapText="1" justifyLastLine="1"/>
    </xf>
    <xf numFmtId="0" fontId="57" fillId="0" borderId="519" xfId="1" applyFont="1" applyBorder="1" applyAlignment="1">
      <alignment horizontal="left" vertical="center" wrapText="1"/>
    </xf>
    <xf numFmtId="0" fontId="3" fillId="0" borderId="20" xfId="1" applyBorder="1" applyAlignment="1">
      <alignment horizontal="center" vertical="center" wrapText="1"/>
    </xf>
    <xf numFmtId="0" fontId="3" fillId="0" borderId="21" xfId="1" applyBorder="1" applyAlignment="1">
      <alignment horizontal="center" vertical="center" wrapText="1"/>
    </xf>
    <xf numFmtId="0" fontId="59" fillId="0" borderId="521" xfId="1" applyFont="1" applyBorder="1" applyAlignment="1">
      <alignment horizontal="center" vertical="center"/>
    </xf>
    <xf numFmtId="0" fontId="3" fillId="0" borderId="430" xfId="1" applyBorder="1"/>
    <xf numFmtId="0" fontId="65" fillId="0" borderId="6" xfId="5" applyFont="1" applyBorder="1" applyAlignment="1">
      <alignment horizontal="center" vertical="center"/>
    </xf>
    <xf numFmtId="38" fontId="7" fillId="7" borderId="522" xfId="2" applyFont="1" applyFill="1" applyBorder="1" applyAlignment="1" applyProtection="1">
      <alignment horizontal="right" vertical="center" shrinkToFit="1"/>
      <protection locked="0"/>
    </xf>
    <xf numFmtId="0" fontId="3" fillId="0" borderId="523" xfId="1" applyBorder="1" applyAlignment="1" applyProtection="1">
      <alignment shrinkToFit="1"/>
      <protection locked="0"/>
    </xf>
    <xf numFmtId="0" fontId="3" fillId="0" borderId="17" xfId="1" applyBorder="1" applyAlignment="1">
      <alignment horizontal="distributed" vertical="center" indent="1"/>
    </xf>
    <xf numFmtId="0" fontId="3" fillId="0" borderId="18" xfId="1" applyBorder="1" applyAlignment="1">
      <alignment horizontal="distributed" vertical="center" indent="1"/>
    </xf>
    <xf numFmtId="0" fontId="3" fillId="0" borderId="19" xfId="1" applyBorder="1" applyAlignment="1">
      <alignment horizontal="distributed" vertical="center" indent="1"/>
    </xf>
    <xf numFmtId="0" fontId="3" fillId="0" borderId="20" xfId="1" applyBorder="1" applyAlignment="1">
      <alignment horizontal="distributed" vertical="center" indent="1"/>
    </xf>
    <xf numFmtId="0" fontId="3" fillId="0" borderId="21" xfId="1" applyBorder="1" applyAlignment="1">
      <alignment horizontal="distributed" vertical="center" indent="1"/>
    </xf>
    <xf numFmtId="0" fontId="3" fillId="0" borderId="22" xfId="1" applyBorder="1" applyAlignment="1">
      <alignment horizontal="distributed" vertical="center" indent="1"/>
    </xf>
    <xf numFmtId="0" fontId="45" fillId="0" borderId="49" xfId="1" applyFont="1" applyBorder="1" applyAlignment="1">
      <alignment horizontal="center" vertical="center" wrapText="1" justifyLastLine="1"/>
    </xf>
    <xf numFmtId="0" fontId="45" fillId="0" borderId="127" xfId="1" applyFont="1" applyBorder="1" applyAlignment="1">
      <alignment horizontal="center" vertical="center" wrapText="1" justifyLastLine="1"/>
    </xf>
    <xf numFmtId="0" fontId="65" fillId="0" borderId="524" xfId="1" applyFont="1" applyBorder="1" applyAlignment="1">
      <alignment horizontal="center"/>
    </xf>
    <xf numFmtId="0" fontId="3" fillId="0" borderId="525" xfId="1" applyBorder="1" applyAlignment="1">
      <alignment horizontal="center"/>
    </xf>
    <xf numFmtId="0" fontId="3" fillId="0" borderId="526" xfId="1" applyBorder="1" applyAlignment="1">
      <alignment horizontal="center"/>
    </xf>
    <xf numFmtId="0" fontId="3" fillId="0" borderId="527" xfId="1" applyBorder="1" applyAlignment="1">
      <alignment horizontal="center"/>
    </xf>
    <xf numFmtId="0" fontId="3" fillId="0" borderId="228" xfId="1" applyBorder="1" applyAlignment="1">
      <alignment horizontal="center"/>
    </xf>
    <xf numFmtId="0" fontId="3" fillId="0" borderId="189" xfId="1" applyBorder="1" applyAlignment="1">
      <alignment horizontal="center"/>
    </xf>
    <xf numFmtId="0" fontId="65" fillId="0" borderId="6" xfId="5" applyFont="1" applyBorder="1" applyAlignment="1">
      <alignment horizontal="center" vertical="center" justifyLastLine="1"/>
    </xf>
    <xf numFmtId="0" fontId="3" fillId="0" borderId="66" xfId="1" applyBorder="1" applyAlignment="1">
      <alignment horizontal="center" vertical="center"/>
    </xf>
    <xf numFmtId="0" fontId="3" fillId="0" borderId="67" xfId="1" applyBorder="1" applyAlignment="1">
      <alignment horizontal="center" vertical="center"/>
    </xf>
    <xf numFmtId="0" fontId="65" fillId="0" borderId="5" xfId="5" applyFont="1" applyBorder="1" applyAlignment="1">
      <alignment horizontal="center" vertical="center" shrinkToFit="1"/>
    </xf>
    <xf numFmtId="0" fontId="65" fillId="0" borderId="105" xfId="5" applyFont="1" applyBorder="1" applyAlignment="1">
      <alignment horizontal="center" vertical="center" shrinkToFit="1"/>
    </xf>
    <xf numFmtId="0" fontId="65" fillId="0" borderId="209" xfId="1" applyFont="1" applyBorder="1" applyAlignment="1">
      <alignment horizontal="center"/>
    </xf>
    <xf numFmtId="0" fontId="9" fillId="0" borderId="1" xfId="7" applyFont="1" applyBorder="1" applyAlignment="1">
      <alignment horizontal="center" vertical="center" wrapText="1"/>
    </xf>
    <xf numFmtId="0" fontId="9" fillId="0" borderId="5" xfId="7" applyFont="1" applyBorder="1" applyAlignment="1">
      <alignment horizontal="center" vertical="center" wrapText="1"/>
    </xf>
    <xf numFmtId="0" fontId="9" fillId="0" borderId="105" xfId="7" applyFont="1" applyBorder="1" applyAlignment="1">
      <alignment horizontal="center" vertical="center" wrapText="1"/>
    </xf>
    <xf numFmtId="0" fontId="9" fillId="0" borderId="1" xfId="7" applyFont="1" applyBorder="1" applyAlignment="1">
      <alignment horizontal="center" vertical="center"/>
    </xf>
    <xf numFmtId="0" fontId="9" fillId="0" borderId="5" xfId="7" applyFont="1" applyBorder="1" applyAlignment="1">
      <alignment horizontal="center" vertical="center"/>
    </xf>
    <xf numFmtId="0" fontId="9" fillId="0" borderId="105" xfId="7" applyFont="1" applyBorder="1" applyAlignment="1">
      <alignment horizontal="center" vertical="center"/>
    </xf>
    <xf numFmtId="0" fontId="9" fillId="0" borderId="0" xfId="7" applyFont="1" applyAlignment="1">
      <alignment horizontal="left" vertical="center" shrinkToFit="1"/>
    </xf>
    <xf numFmtId="0" fontId="9" fillId="8" borderId="28" xfId="7" applyFont="1" applyFill="1" applyBorder="1" applyAlignment="1">
      <alignment horizontal="center" vertical="center" wrapText="1"/>
    </xf>
    <xf numFmtId="0" fontId="3" fillId="2" borderId="28" xfId="1" applyFill="1" applyBorder="1" applyAlignment="1">
      <alignment horizontal="center" vertical="center"/>
    </xf>
    <xf numFmtId="0" fontId="3" fillId="2" borderId="0" xfId="1" applyFill="1" applyAlignment="1">
      <alignment horizontal="center" vertical="center"/>
    </xf>
    <xf numFmtId="0" fontId="9" fillId="0" borderId="6" xfId="7" applyFont="1" applyBorder="1" applyAlignment="1">
      <alignment horizontal="center" vertical="center" textRotation="255"/>
    </xf>
    <xf numFmtId="0" fontId="9" fillId="0" borderId="1" xfId="1" applyFont="1" applyBorder="1" applyAlignment="1">
      <alignment horizontal="center" vertical="center" textRotation="255" wrapText="1"/>
    </xf>
    <xf numFmtId="0" fontId="9" fillId="0" borderId="105" xfId="1" applyFont="1" applyBorder="1" applyAlignment="1">
      <alignment horizontal="center" vertical="center" textRotation="255" wrapText="1"/>
    </xf>
    <xf numFmtId="0" fontId="9" fillId="0" borderId="1" xfId="7" applyFont="1" applyBorder="1" applyAlignment="1">
      <alignment horizontal="left" vertical="center" wrapText="1" shrinkToFit="1"/>
    </xf>
    <xf numFmtId="0" fontId="9" fillId="0" borderId="5" xfId="7" applyFont="1" applyBorder="1" applyAlignment="1">
      <alignment horizontal="left" vertical="center" wrapText="1" shrinkToFit="1"/>
    </xf>
    <xf numFmtId="0" fontId="9" fillId="0" borderId="105" xfId="7" applyFont="1" applyBorder="1" applyAlignment="1">
      <alignment horizontal="left" vertical="center" wrapText="1" shrinkToFit="1"/>
    </xf>
    <xf numFmtId="0" fontId="9" fillId="0" borderId="23" xfId="9" applyFont="1" applyBorder="1" applyAlignment="1">
      <alignment horizontal="left" vertical="top" wrapText="1"/>
    </xf>
    <xf numFmtId="0" fontId="9" fillId="0" borderId="0" xfId="9" applyFont="1" applyAlignment="1">
      <alignment horizontal="left" vertical="top" wrapText="1"/>
    </xf>
    <xf numFmtId="0" fontId="3" fillId="0" borderId="5" xfId="1" applyBorder="1" applyAlignment="1">
      <alignment horizontal="left" vertical="center" wrapText="1" shrinkToFit="1"/>
    </xf>
    <xf numFmtId="0" fontId="3" fillId="0" borderId="105" xfId="1" applyBorder="1" applyAlignment="1">
      <alignment horizontal="left" vertical="center" wrapText="1" shrinkToFit="1"/>
    </xf>
    <xf numFmtId="0" fontId="9" fillId="0" borderId="6" xfId="7" applyFont="1" applyBorder="1" applyAlignment="1">
      <alignment horizontal="center" vertical="center"/>
    </xf>
    <xf numFmtId="0" fontId="9" fillId="0" borderId="1" xfId="7" applyFont="1" applyBorder="1" applyAlignment="1">
      <alignment horizontal="center" vertical="center" wrapText="1" shrinkToFit="1"/>
    </xf>
    <xf numFmtId="0" fontId="9" fillId="0" borderId="105" xfId="7" applyFont="1" applyBorder="1" applyAlignment="1">
      <alignment horizontal="center" vertical="center" wrapText="1" shrinkToFit="1"/>
    </xf>
  </cellXfs>
  <cellStyles count="10">
    <cellStyle name="Normal 4" xfId="6" xr:uid="{00000000-0005-0000-0000-000000000000}"/>
    <cellStyle name="桁区切り 2 2" xfId="2" xr:uid="{00000000-0005-0000-0000-000001000000}"/>
    <cellStyle name="標準" xfId="0" builtinId="0"/>
    <cellStyle name="標準 2" xfId="1" xr:uid="{00000000-0005-0000-0000-000003000000}"/>
    <cellStyle name="標準 5" xfId="4" xr:uid="{00000000-0005-0000-0000-000004000000}"/>
    <cellStyle name="標準 6" xfId="7" xr:uid="{00000000-0005-0000-0000-000005000000}"/>
    <cellStyle name="標準 6 2" xfId="9" xr:uid="{00000000-0005-0000-0000-000006000000}"/>
    <cellStyle name="標準 6 2 2" xfId="8" xr:uid="{00000000-0005-0000-0000-000007000000}"/>
    <cellStyle name="標準 6 3" xfId="3" xr:uid="{00000000-0005-0000-0000-000008000000}"/>
    <cellStyle name="標準_BDA1S0T05201" xfId="5" xr:uid="{00000000-0005-0000-0000-000009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ustomXml" Target="../customXml/item1.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8BD21D60-EC42-11CE-9E0D-00AA006002F3}"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60-EC42-11CE-9E0D-00AA006002F3}"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8BD21D60-EC42-11CE-9E0D-00AA006002F3}"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8BD21D10-EC42-11CE-9E0D-00AA006002F3}"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8BD21D10-EC42-11CE-9E0D-00AA006002F3}"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8BD21D10-EC42-11CE-9E0D-00AA006002F3}"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8BD21D10-EC42-11CE-9E0D-00AA006002F3}" ax:persistence="persistStreamInit" r:id="rId1"/>
</file>

<file path=xl/activeX/activeX30.xml><?xml version="1.0" encoding="utf-8"?>
<ax:ocx xmlns:ax="http://schemas.microsoft.com/office/2006/activeX" xmlns:r="http://schemas.openxmlformats.org/officeDocument/2006/relationships" ax:classid="{978C9E23-D4B0-11CE-BF2D-00AA003F40D0}"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978C9E23-D4B0-11CE-BF2D-00AA003F40D0}" ax:persistence="persistStreamInit" r:id="rId1"/>
</file>

<file path=xl/activeX/activeX33.xml><?xml version="1.0" encoding="utf-8"?>
<ax:ocx xmlns:ax="http://schemas.microsoft.com/office/2006/activeX" xmlns:r="http://schemas.openxmlformats.org/officeDocument/2006/relationships" ax:classid="{978C9E23-D4B0-11CE-BF2D-00AA003F40D0}" ax:persistence="persistStreamInit" r:id="rId1"/>
</file>

<file path=xl/activeX/activeX34.xml><?xml version="1.0" encoding="utf-8"?>
<ax:ocx xmlns:ax="http://schemas.microsoft.com/office/2006/activeX" xmlns:r="http://schemas.openxmlformats.org/officeDocument/2006/relationships" ax:classid="{978C9E23-D4B0-11CE-BF2D-00AA003F40D0}" ax:persistence="persistStreamInit" r:id="rId1"/>
</file>

<file path=xl/activeX/activeX35.xml><?xml version="1.0" encoding="utf-8"?>
<ax:ocx xmlns:ax="http://schemas.microsoft.com/office/2006/activeX" xmlns:r="http://schemas.openxmlformats.org/officeDocument/2006/relationships" ax:classid="{8BD21D10-EC42-11CE-9E0D-00AA006002F3}" ax:persistence="persistStreamInit" r:id="rId1"/>
</file>

<file path=xl/activeX/activeX36.xml><?xml version="1.0" encoding="utf-8"?>
<ax:ocx xmlns:ax="http://schemas.microsoft.com/office/2006/activeX" xmlns:r="http://schemas.openxmlformats.org/officeDocument/2006/relationships" ax:classid="{8BD21D60-EC42-11CE-9E0D-00AA006002F3}" ax:persistence="persistStreamInit" r:id="rId1"/>
</file>

<file path=xl/activeX/activeX37.xml><?xml version="1.0" encoding="utf-8"?>
<ax:ocx xmlns:ax="http://schemas.microsoft.com/office/2006/activeX" xmlns:r="http://schemas.openxmlformats.org/officeDocument/2006/relationships" ax:classid="{978C9E23-D4B0-11CE-BF2D-00AA003F40D0}" ax:persistence="persistStreamInit" r:id="rId1"/>
</file>

<file path=xl/activeX/activeX38.xml><?xml version="1.0" encoding="utf-8"?>
<ax:ocx xmlns:ax="http://schemas.microsoft.com/office/2006/activeX" xmlns:r="http://schemas.openxmlformats.org/officeDocument/2006/relationships" ax:classid="{8BD21D10-EC42-11CE-9E0D-00AA006002F3}" ax:persistence="persistStreamInit" r:id="rId1"/>
</file>

<file path=xl/activeX/activeX39.xml><?xml version="1.0" encoding="utf-8"?>
<ax:ocx xmlns:ax="http://schemas.microsoft.com/office/2006/activeX" xmlns:r="http://schemas.openxmlformats.org/officeDocument/2006/relationships" ax:classid="{978C9E23-D4B0-11CE-BF2D-00AA003F40D0}" ax:persistence="persistStreamInit" r:id="rId1"/>
</file>

<file path=xl/activeX/activeX40.xml><?xml version="1.0" encoding="utf-8"?>
<ax:ocx xmlns:ax="http://schemas.microsoft.com/office/2006/activeX" xmlns:r="http://schemas.openxmlformats.org/officeDocument/2006/relationships" ax:classid="{8BD21D10-EC42-11CE-9E0D-00AA006002F3}" ax:persistence="persistStreamInit" r:id="rId1"/>
</file>

<file path=xl/activeX/activeX41.xml><?xml version="1.0" encoding="utf-8"?>
<ax:ocx xmlns:ax="http://schemas.microsoft.com/office/2006/activeX" xmlns:r="http://schemas.openxmlformats.org/officeDocument/2006/relationships" ax:classid="{978C9E23-D4B0-11CE-BF2D-00AA003F40D0}" ax:persistence="persistStreamInit" r:id="rId1"/>
</file>

<file path=xl/activeX/activeX42.xml><?xml version="1.0" encoding="utf-8"?>
<ax:ocx xmlns:ax="http://schemas.microsoft.com/office/2006/activeX" xmlns:r="http://schemas.openxmlformats.org/officeDocument/2006/relationships" ax:classid="{8BD21D10-EC42-11CE-9E0D-00AA006002F3}" ax:persistence="persistStreamInit" r:id="rId1"/>
</file>

<file path=xl/activeX/activeX43.xml><?xml version="1.0" encoding="utf-8"?>
<ax:ocx xmlns:ax="http://schemas.microsoft.com/office/2006/activeX" xmlns:r="http://schemas.openxmlformats.org/officeDocument/2006/relationships" ax:classid="{978C9E23-D4B0-11CE-BF2D-00AA003F40D0}" ax:persistence="persistStreamInit" r:id="rId1"/>
</file>

<file path=xl/activeX/activeX44.xml><?xml version="1.0" encoding="utf-8"?>
<ax:ocx xmlns:ax="http://schemas.microsoft.com/office/2006/activeX" xmlns:r="http://schemas.openxmlformats.org/officeDocument/2006/relationships" ax:classid="{978C9E23-D4B0-11CE-BF2D-00AA003F40D0}" ax:persistence="persistStreamInit" r:id="rId1"/>
</file>

<file path=xl/activeX/activeX45.xml><?xml version="1.0" encoding="utf-8"?>
<ax:ocx xmlns:ax="http://schemas.microsoft.com/office/2006/activeX" xmlns:r="http://schemas.openxmlformats.org/officeDocument/2006/relationships" ax:classid="{978C9E23-D4B0-11CE-BF2D-00AA003F40D0}" ax:persistence="persistStreamInit" r:id="rId1"/>
</file>

<file path=xl/activeX/activeX46.xml><?xml version="1.0" encoding="utf-8"?>
<ax:ocx xmlns:ax="http://schemas.microsoft.com/office/2006/activeX" xmlns:r="http://schemas.openxmlformats.org/officeDocument/2006/relationships" ax:classid="{978C9E23-D4B0-11CE-BF2D-00AA003F40D0}" ax:persistence="persistStreamInit" r:id="rId1"/>
</file>

<file path=xl/activeX/activeX47.xml><?xml version="1.0" encoding="utf-8"?>
<ax:ocx xmlns:ax="http://schemas.microsoft.com/office/2006/activeX" xmlns:r="http://schemas.openxmlformats.org/officeDocument/2006/relationships" ax:classid="{978C9E23-D4B0-11CE-BF2D-00AA003F40D0}" ax:persistence="persistStreamInit" r:id="rId1"/>
</file>

<file path=xl/activeX/activeX48.xml><?xml version="1.0" encoding="utf-8"?>
<ax:ocx xmlns:ax="http://schemas.microsoft.com/office/2006/activeX" xmlns:r="http://schemas.openxmlformats.org/officeDocument/2006/relationships" ax:classid="{8BD21D10-EC42-11CE-9E0D-00AA006002F3}" ax:persistence="persistStreamInit" r:id="rId1"/>
</file>

<file path=xl/activeX/activeX49.xml><?xml version="1.0" encoding="utf-8"?>
<ax:ocx xmlns:ax="http://schemas.microsoft.com/office/2006/activeX" xmlns:r="http://schemas.openxmlformats.org/officeDocument/2006/relationships" ax:classid="{8BD21D60-EC42-11CE-9E0D-00AA006002F3}" ax:persistence="persistStreamInit" r:id="rId1"/>
</file>

<file path=xl/activeX/activeX50.xml><?xml version="1.0" encoding="utf-8"?>
<ax:ocx xmlns:ax="http://schemas.microsoft.com/office/2006/activeX" xmlns:r="http://schemas.openxmlformats.org/officeDocument/2006/relationships" ax:classid="{978C9E23-D4B0-11CE-BF2D-00AA003F40D0}" ax:persistence="persistStreamInit" r:id="rId1"/>
</file>

<file path=xl/activeX/activeX51.xml><?xml version="1.0" encoding="utf-8"?>
<ax:ocx xmlns:ax="http://schemas.microsoft.com/office/2006/activeX" xmlns:r="http://schemas.openxmlformats.org/officeDocument/2006/relationships" ax:classid="{978C9E23-D4B0-11CE-BF2D-00AA003F40D0}" ax:persistence="persistStreamInit" r:id="rId1"/>
</file>

<file path=xl/activeX/activeX52.xml><?xml version="1.0" encoding="utf-8"?>
<ax:ocx xmlns:ax="http://schemas.microsoft.com/office/2006/activeX" xmlns:r="http://schemas.openxmlformats.org/officeDocument/2006/relationships" ax:classid="{978C9E23-D4B0-11CE-BF2D-00AA003F40D0}" ax:persistence="persistStreamInit" r:id="rId1"/>
</file>

<file path=xl/activeX/activeX53.xml><?xml version="1.0" encoding="utf-8"?>
<ax:ocx xmlns:ax="http://schemas.microsoft.com/office/2006/activeX" xmlns:r="http://schemas.openxmlformats.org/officeDocument/2006/relationships" ax:classid="{8BD21D10-EC42-11CE-9E0D-00AA006002F3}" ax:persistence="persistStreamInit" r:id="rId1"/>
</file>

<file path=xl/activeX/activeX54.xml><?xml version="1.0" encoding="utf-8"?>
<ax:ocx xmlns:ax="http://schemas.microsoft.com/office/2006/activeX" xmlns:r="http://schemas.openxmlformats.org/officeDocument/2006/relationships" ax:classid="{8BD21D60-EC42-11CE-9E0D-00AA006002F3}" ax:persistence="persistStreamInit" r:id="rId1"/>
</file>

<file path=xl/activeX/activeX55.xml><?xml version="1.0" encoding="utf-8"?>
<ax:ocx xmlns:ax="http://schemas.microsoft.com/office/2006/activeX" xmlns:r="http://schemas.openxmlformats.org/officeDocument/2006/relationships" ax:classid="{978C9E23-D4B0-11CE-BF2D-00AA003F40D0}" ax:persistence="persistStreamInit" r:id="rId1"/>
</file>

<file path=xl/activeX/activeX56.xml><?xml version="1.0" encoding="utf-8"?>
<ax:ocx xmlns:ax="http://schemas.microsoft.com/office/2006/activeX" xmlns:r="http://schemas.openxmlformats.org/officeDocument/2006/relationships" ax:classid="{8BD21D10-EC42-11CE-9E0D-00AA006002F3}" ax:persistence="persistStreamInit" r:id="rId1"/>
</file>

<file path=xl/activeX/activeX57.xml><?xml version="1.0" encoding="utf-8"?>
<ax:ocx xmlns:ax="http://schemas.microsoft.com/office/2006/activeX" xmlns:r="http://schemas.openxmlformats.org/officeDocument/2006/relationships" ax:classid="{978C9E23-D4B0-11CE-BF2D-00AA003F40D0}" ax:persistence="persistStreamInit" r:id="rId1"/>
</file>

<file path=xl/activeX/activeX58.xml><?xml version="1.0" encoding="utf-8"?>
<ax:ocx xmlns:ax="http://schemas.microsoft.com/office/2006/activeX" xmlns:r="http://schemas.openxmlformats.org/officeDocument/2006/relationships" ax:classid="{978C9E23-D4B0-11CE-BF2D-00AA003F40D0}" ax:persistence="persistStreamInit" r:id="rId1"/>
</file>

<file path=xl/activeX/activeX59.xml><?xml version="1.0" encoding="utf-8"?>
<ax:ocx xmlns:ax="http://schemas.microsoft.com/office/2006/activeX" xmlns:r="http://schemas.openxmlformats.org/officeDocument/2006/relationships" ax:classid="{978C9E23-D4B0-11CE-BF2D-00AA003F40D0}" ax:persistence="persistStreamInit" r:id="rId1"/>
</file>

<file path=xl/activeX/activeX60.xml><?xml version="1.0" encoding="utf-8"?>
<ax:ocx xmlns:ax="http://schemas.microsoft.com/office/2006/activeX" xmlns:r="http://schemas.openxmlformats.org/officeDocument/2006/relationships" ax:classid="{8BD21D10-EC42-11CE-9E0D-00AA006002F3}" ax:persistence="persistStreamInit" r:id="rId1"/>
</file>

<file path=xl/activeX/activeX61.xml><?xml version="1.0" encoding="utf-8"?>
<ax:ocx xmlns:ax="http://schemas.microsoft.com/office/2006/activeX" xmlns:r="http://schemas.openxmlformats.org/officeDocument/2006/relationships" ax:classid="{8BD21D60-EC42-11CE-9E0D-00AA006002F3}" ax:persistence="persistStreamInit" r:id="rId1"/>
</file>

<file path=xl/activeX/activeX62.xml><?xml version="1.0" encoding="utf-8"?>
<ax:ocx xmlns:ax="http://schemas.microsoft.com/office/2006/activeX" xmlns:r="http://schemas.openxmlformats.org/officeDocument/2006/relationships" ax:classid="{978C9E23-D4B0-11CE-BF2D-00AA003F40D0}" ax:persistence="persistStreamInit" r:id="rId1"/>
</file>

<file path=xl/activeX/activeX63.xml><?xml version="1.0" encoding="utf-8"?>
<ax:ocx xmlns:ax="http://schemas.microsoft.com/office/2006/activeX" xmlns:r="http://schemas.openxmlformats.org/officeDocument/2006/relationships" ax:classid="{8BD21D10-EC42-11CE-9E0D-00AA006002F3}" ax:persistence="persistStreamInit" r:id="rId1"/>
</file>

<file path=xl/activeX/activeX64.xml><?xml version="1.0" encoding="utf-8"?>
<ax:ocx xmlns:ax="http://schemas.microsoft.com/office/2006/activeX" xmlns:r="http://schemas.openxmlformats.org/officeDocument/2006/relationships" ax:classid="{978C9E23-D4B0-11CE-BF2D-00AA003F40D0}" ax:persistence="persistStreamInit" r:id="rId1"/>
</file>

<file path=xl/activeX/activeX65.xml><?xml version="1.0" encoding="utf-8"?>
<ax:ocx xmlns:ax="http://schemas.microsoft.com/office/2006/activeX" xmlns:r="http://schemas.openxmlformats.org/officeDocument/2006/relationships" ax:classid="{8BD21D10-EC42-11CE-9E0D-00AA006002F3}" ax:persistence="persistStreamInit" r:id="rId1"/>
</file>

<file path=xl/activeX/activeX66.xml><?xml version="1.0" encoding="utf-8"?>
<ax:ocx xmlns:ax="http://schemas.microsoft.com/office/2006/activeX" xmlns:r="http://schemas.openxmlformats.org/officeDocument/2006/relationships" ax:classid="{8BD21D60-EC42-11CE-9E0D-00AA006002F3}" ax:persistence="persistStreamInit" r:id="rId1"/>
</file>

<file path=xl/activeX/activeX67.xml><?xml version="1.0" encoding="utf-8"?>
<ax:ocx xmlns:ax="http://schemas.microsoft.com/office/2006/activeX" xmlns:r="http://schemas.openxmlformats.org/officeDocument/2006/relationships" ax:classid="{978C9E23-D4B0-11CE-BF2D-00AA003F40D0}" ax:persistence="persistStreamInit" r:id="rId1"/>
</file>

<file path=xl/activeX/activeX68.xml><?xml version="1.0" encoding="utf-8"?>
<ax:ocx xmlns:ax="http://schemas.microsoft.com/office/2006/activeX" xmlns:r="http://schemas.openxmlformats.org/officeDocument/2006/relationships" ax:classid="{8BD21D10-EC42-11CE-9E0D-00AA006002F3}" ax:persistence="persistStreamInit" r:id="rId1"/>
</file>

<file path=xl/activeX/activeX69.xml><?xml version="1.0" encoding="utf-8"?>
<ax:ocx xmlns:ax="http://schemas.microsoft.com/office/2006/activeX" xmlns:r="http://schemas.openxmlformats.org/officeDocument/2006/relationships" ax:classid="{8BD21D60-EC42-11CE-9E0D-00AA006002F3}" ax:persistence="persistStreamInit" r:id="rId1"/>
</file>

<file path=xl/activeX/activeX70.xml><?xml version="1.0" encoding="utf-8"?>
<ax:ocx xmlns:ax="http://schemas.microsoft.com/office/2006/activeX" xmlns:r="http://schemas.openxmlformats.org/officeDocument/2006/relationships" ax:classid="{978C9E23-D4B0-11CE-BF2D-00AA003F40D0}" ax:persistence="persistStreamInit" r:id="rId1"/>
</file>

<file path=xl/activeX/activeX71.xml><?xml version="1.0" encoding="utf-8"?>
<ax:ocx xmlns:ax="http://schemas.microsoft.com/office/2006/activeX" xmlns:r="http://schemas.openxmlformats.org/officeDocument/2006/relationships" ax:classid="{8BD21D10-EC42-11CE-9E0D-00AA006002F3}" ax:persistence="persistStreamInit" r:id="rId1"/>
</file>

<file path=xl/activeX/activeX72.xml><?xml version="1.0" encoding="utf-8"?>
<ax:ocx xmlns:ax="http://schemas.microsoft.com/office/2006/activeX" xmlns:r="http://schemas.openxmlformats.org/officeDocument/2006/relationships" ax:classid="{8BD21D60-EC42-11CE-9E0D-00AA006002F3}" ax:persistence="persistStreamInit" r:id="rId1"/>
</file>

<file path=xl/activeX/activeX73.xml><?xml version="1.0" encoding="utf-8"?>
<ax:ocx xmlns:ax="http://schemas.microsoft.com/office/2006/activeX" xmlns:r="http://schemas.openxmlformats.org/officeDocument/2006/relationships" ax:classid="{978C9E23-D4B0-11CE-BF2D-00AA003F40D0}" ax:persistence="persistStreamInit" r:id="rId1"/>
</file>

<file path=xl/activeX/activeX74.xml><?xml version="1.0" encoding="utf-8"?>
<ax:ocx xmlns:ax="http://schemas.microsoft.com/office/2006/activeX" xmlns:r="http://schemas.openxmlformats.org/officeDocument/2006/relationships" ax:classid="{8BD21D10-EC42-11CE-9E0D-00AA006002F3}" ax:persistence="persistStreamInit" r:id="rId1"/>
</file>

<file path=xl/activeX/activeX75.xml><?xml version="1.0" encoding="utf-8"?>
<ax:ocx xmlns:ax="http://schemas.microsoft.com/office/2006/activeX" xmlns:r="http://schemas.openxmlformats.org/officeDocument/2006/relationships" ax:classid="{8BD21D60-EC42-11CE-9E0D-00AA006002F3}" ax:persistence="persistStreamInit" r:id="rId1"/>
</file>

<file path=xl/activeX/activeX76.xml><?xml version="1.0" encoding="utf-8"?>
<ax:ocx xmlns:ax="http://schemas.microsoft.com/office/2006/activeX" xmlns:r="http://schemas.openxmlformats.org/officeDocument/2006/relationships" ax:classid="{978C9E23-D4B0-11CE-BF2D-00AA003F40D0}" ax:persistence="persistStreamInit" r:id="rId1"/>
</file>

<file path=xl/activeX/activeX77.xml><?xml version="1.0" encoding="utf-8"?>
<ax:ocx xmlns:ax="http://schemas.microsoft.com/office/2006/activeX" xmlns:r="http://schemas.openxmlformats.org/officeDocument/2006/relationships" ax:classid="{8BD21D10-EC42-11CE-9E0D-00AA006002F3}" ax:persistence="persistStreamInit" r:id="rId1"/>
</file>

<file path=xl/activeX/activeX78.xml><?xml version="1.0" encoding="utf-8"?>
<ax:ocx xmlns:ax="http://schemas.microsoft.com/office/2006/activeX" xmlns:r="http://schemas.openxmlformats.org/officeDocument/2006/relationships" ax:classid="{8BD21D60-EC42-11CE-9E0D-00AA006002F3}" ax:persistence="persistStreamInit" r:id="rId1"/>
</file>

<file path=xl/activeX/activeX79.xml><?xml version="1.0" encoding="utf-8"?>
<ax:ocx xmlns:ax="http://schemas.microsoft.com/office/2006/activeX" xmlns:r="http://schemas.openxmlformats.org/officeDocument/2006/relationships" ax:classid="{978C9E23-D4B0-11CE-BF2D-00AA003F40D0}" ax:persistence="persistStreamInit" r:id="rId1"/>
</file>

<file path=xl/activeX/activeX80.xml><?xml version="1.0" encoding="utf-8"?>
<ax:ocx xmlns:ax="http://schemas.microsoft.com/office/2006/activeX" xmlns:r="http://schemas.openxmlformats.org/officeDocument/2006/relationships" ax:classid="{8BD21D10-EC42-11CE-9E0D-00AA006002F3}" ax:persistence="persistStreamInit" r:id="rId1"/>
</file>

<file path=xl/activeX/activeX81.xml><?xml version="1.0" encoding="utf-8"?>
<ax:ocx xmlns:ax="http://schemas.microsoft.com/office/2006/activeX" xmlns:r="http://schemas.openxmlformats.org/officeDocument/2006/relationships" ax:classid="{8BD21D60-EC42-11CE-9E0D-00AA006002F3}" ax:persistence="persistStreamInit" r:id="rId1"/>
</file>

<file path=xl/activeX/activeX82.xml><?xml version="1.0" encoding="utf-8"?>
<ax:ocx xmlns:ax="http://schemas.microsoft.com/office/2006/activeX" xmlns:r="http://schemas.openxmlformats.org/officeDocument/2006/relationships" ax:classid="{8BD21D60-EC42-11CE-9E0D-00AA006002F3}" ax:persistence="persistStreamInit" r:id="rId1"/>
</file>

<file path=xl/activeX/activeX83.xml><?xml version="1.0" encoding="utf-8"?>
<ax:ocx xmlns:ax="http://schemas.microsoft.com/office/2006/activeX" xmlns:r="http://schemas.openxmlformats.org/officeDocument/2006/relationships" ax:classid="{978C9E23-D4B0-11CE-BF2D-00AA003F40D0}" ax:persistence="persistStreamInit" r:id="rId1"/>
</file>

<file path=xl/activeX/activeX84.xml><?xml version="1.0" encoding="utf-8"?>
<ax:ocx xmlns:ax="http://schemas.microsoft.com/office/2006/activeX" xmlns:r="http://schemas.openxmlformats.org/officeDocument/2006/relationships" ax:classid="{8BD21D10-EC42-11CE-9E0D-00AA006002F3}" ax:persistence="persistStreamInit" r:id="rId1"/>
</file>

<file path=xl/activeX/activeX85.xml><?xml version="1.0" encoding="utf-8"?>
<ax:ocx xmlns:ax="http://schemas.microsoft.com/office/2006/activeX" xmlns:r="http://schemas.openxmlformats.org/officeDocument/2006/relationships" ax:classid="{8BD21D60-EC42-11CE-9E0D-00AA006002F3}" ax:persistence="persistStreamInit" r:id="rId1"/>
</file>

<file path=xl/activeX/activeX86.xml><?xml version="1.0" encoding="utf-8"?>
<ax:ocx xmlns:ax="http://schemas.microsoft.com/office/2006/activeX" xmlns:r="http://schemas.openxmlformats.org/officeDocument/2006/relationships" ax:classid="{978C9E23-D4B0-11CE-BF2D-00AA003F40D0}" ax:persistence="persistStreamInit" r:id="rId1"/>
</file>

<file path=xl/activeX/activeX87.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3" Type="http://schemas.openxmlformats.org/officeDocument/2006/relationships/image" Target="../media/image71.emf"/><Relationship Id="rId2" Type="http://schemas.openxmlformats.org/officeDocument/2006/relationships/image" Target="../media/image70.png"/><Relationship Id="rId1" Type="http://schemas.openxmlformats.org/officeDocument/2006/relationships/image" Target="../media/image69.emf"/></Relationships>
</file>

<file path=xl/drawings/_rels/drawing15.xml.rels><?xml version="1.0" encoding="UTF-8" standalone="yes"?>
<Relationships xmlns="http://schemas.openxmlformats.org/package/2006/relationships"><Relationship Id="rId3" Type="http://schemas.openxmlformats.org/officeDocument/2006/relationships/image" Target="../media/image78.emf"/><Relationship Id="rId2" Type="http://schemas.openxmlformats.org/officeDocument/2006/relationships/image" Target="../media/image77.emf"/><Relationship Id="rId1" Type="http://schemas.openxmlformats.org/officeDocument/2006/relationships/image" Target="../media/image76.emf"/></Relationships>
</file>

<file path=xl/drawings/_rels/drawing16.xml.rels><?xml version="1.0" encoding="UTF-8" standalone="yes"?>
<Relationships xmlns="http://schemas.openxmlformats.org/package/2006/relationships"><Relationship Id="rId8" Type="http://schemas.openxmlformats.org/officeDocument/2006/relationships/image" Target="../media/image90.emf"/><Relationship Id="rId13" Type="http://schemas.openxmlformats.org/officeDocument/2006/relationships/image" Target="../media/image95.emf"/><Relationship Id="rId18" Type="http://schemas.openxmlformats.org/officeDocument/2006/relationships/image" Target="../media/image100.emf"/><Relationship Id="rId3" Type="http://schemas.openxmlformats.org/officeDocument/2006/relationships/image" Target="../media/image85.emf"/><Relationship Id="rId7" Type="http://schemas.openxmlformats.org/officeDocument/2006/relationships/image" Target="../media/image89.emf"/><Relationship Id="rId12" Type="http://schemas.openxmlformats.org/officeDocument/2006/relationships/image" Target="../media/image94.emf"/><Relationship Id="rId17" Type="http://schemas.openxmlformats.org/officeDocument/2006/relationships/image" Target="../media/image99.emf"/><Relationship Id="rId2" Type="http://schemas.openxmlformats.org/officeDocument/2006/relationships/image" Target="../media/image84.emf"/><Relationship Id="rId16" Type="http://schemas.openxmlformats.org/officeDocument/2006/relationships/image" Target="../media/image98.emf"/><Relationship Id="rId1" Type="http://schemas.openxmlformats.org/officeDocument/2006/relationships/image" Target="../media/image83.emf"/><Relationship Id="rId6" Type="http://schemas.openxmlformats.org/officeDocument/2006/relationships/image" Target="../media/image88.emf"/><Relationship Id="rId11" Type="http://schemas.openxmlformats.org/officeDocument/2006/relationships/image" Target="../media/image93.emf"/><Relationship Id="rId5" Type="http://schemas.openxmlformats.org/officeDocument/2006/relationships/image" Target="../media/image87.emf"/><Relationship Id="rId15" Type="http://schemas.openxmlformats.org/officeDocument/2006/relationships/image" Target="../media/image97.emf"/><Relationship Id="rId10" Type="http://schemas.openxmlformats.org/officeDocument/2006/relationships/image" Target="../media/image92.emf"/><Relationship Id="rId19" Type="http://schemas.openxmlformats.org/officeDocument/2006/relationships/image" Target="../media/image101.emf"/><Relationship Id="rId4" Type="http://schemas.openxmlformats.org/officeDocument/2006/relationships/image" Target="../media/image86.emf"/><Relationship Id="rId9" Type="http://schemas.openxmlformats.org/officeDocument/2006/relationships/image" Target="../media/image91.emf"/><Relationship Id="rId14" Type="http://schemas.openxmlformats.org/officeDocument/2006/relationships/image" Target="../media/image9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8" Type="http://schemas.openxmlformats.org/officeDocument/2006/relationships/image" Target="../media/image11.emf"/><Relationship Id="rId3" Type="http://schemas.openxmlformats.org/officeDocument/2006/relationships/image" Target="../media/image6.emf"/><Relationship Id="rId7" Type="http://schemas.openxmlformats.org/officeDocument/2006/relationships/image" Target="../media/image10.emf"/><Relationship Id="rId2" Type="http://schemas.openxmlformats.org/officeDocument/2006/relationships/image" Target="../media/image5.emf"/><Relationship Id="rId1" Type="http://schemas.openxmlformats.org/officeDocument/2006/relationships/image" Target="../media/image4.emf"/><Relationship Id="rId6" Type="http://schemas.openxmlformats.org/officeDocument/2006/relationships/image" Target="../media/image9.emf"/><Relationship Id="rId5" Type="http://schemas.openxmlformats.org/officeDocument/2006/relationships/image" Target="../media/image8.emf"/><Relationship Id="rId4" Type="http://schemas.openxmlformats.org/officeDocument/2006/relationships/image" Target="../media/image7.emf"/><Relationship Id="rId9" Type="http://schemas.openxmlformats.org/officeDocument/2006/relationships/image" Target="../media/image1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4.emf"/><Relationship Id="rId7" Type="http://schemas.openxmlformats.org/officeDocument/2006/relationships/image" Target="../media/image18.emf"/><Relationship Id="rId2" Type="http://schemas.openxmlformats.org/officeDocument/2006/relationships/image" Target="../media/image13.emf"/><Relationship Id="rId1" Type="http://schemas.openxmlformats.org/officeDocument/2006/relationships/image" Target="../media/image4.emf"/><Relationship Id="rId6" Type="http://schemas.openxmlformats.org/officeDocument/2006/relationships/image" Target="../media/image17.emf"/><Relationship Id="rId5" Type="http://schemas.openxmlformats.org/officeDocument/2006/relationships/image" Target="../media/image16.emf"/><Relationship Id="rId4" Type="http://schemas.openxmlformats.org/officeDocument/2006/relationships/image" Target="../media/image15.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6.emf"/><Relationship Id="rId13" Type="http://schemas.openxmlformats.org/officeDocument/2006/relationships/image" Target="../media/image31.emf"/><Relationship Id="rId3" Type="http://schemas.openxmlformats.org/officeDocument/2006/relationships/image" Target="../media/image21.emf"/><Relationship Id="rId7" Type="http://schemas.openxmlformats.org/officeDocument/2006/relationships/image" Target="../media/image25.emf"/><Relationship Id="rId12" Type="http://schemas.openxmlformats.org/officeDocument/2006/relationships/image" Target="../media/image30.emf"/><Relationship Id="rId2" Type="http://schemas.openxmlformats.org/officeDocument/2006/relationships/image" Target="../media/image20.emf"/><Relationship Id="rId1" Type="http://schemas.openxmlformats.org/officeDocument/2006/relationships/image" Target="../media/image19.emf"/><Relationship Id="rId6" Type="http://schemas.openxmlformats.org/officeDocument/2006/relationships/image" Target="../media/image24.emf"/><Relationship Id="rId11" Type="http://schemas.openxmlformats.org/officeDocument/2006/relationships/image" Target="../media/image29.emf"/><Relationship Id="rId5" Type="http://schemas.openxmlformats.org/officeDocument/2006/relationships/image" Target="../media/image23.emf"/><Relationship Id="rId1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22.emf"/><Relationship Id="rId9" Type="http://schemas.openxmlformats.org/officeDocument/2006/relationships/image" Target="../media/image27.emf"/><Relationship Id="rId14" Type="http://schemas.openxmlformats.org/officeDocument/2006/relationships/image" Target="../media/image32.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41.emf"/><Relationship Id="rId13" Type="http://schemas.openxmlformats.org/officeDocument/2006/relationships/image" Target="../media/image46.emf"/><Relationship Id="rId3" Type="http://schemas.openxmlformats.org/officeDocument/2006/relationships/image" Target="../media/image36.emf"/><Relationship Id="rId7" Type="http://schemas.openxmlformats.org/officeDocument/2006/relationships/image" Target="../media/image40.emf"/><Relationship Id="rId12" Type="http://schemas.openxmlformats.org/officeDocument/2006/relationships/image" Target="../media/image45.emf"/><Relationship Id="rId2" Type="http://schemas.openxmlformats.org/officeDocument/2006/relationships/image" Target="../media/image35.emf"/><Relationship Id="rId1" Type="http://schemas.openxmlformats.org/officeDocument/2006/relationships/image" Target="../media/image34.emf"/><Relationship Id="rId6" Type="http://schemas.openxmlformats.org/officeDocument/2006/relationships/image" Target="../media/image39.emf"/><Relationship Id="rId11" Type="http://schemas.openxmlformats.org/officeDocument/2006/relationships/image" Target="../media/image44.emf"/><Relationship Id="rId5" Type="http://schemas.openxmlformats.org/officeDocument/2006/relationships/image" Target="../media/image38.emf"/><Relationship Id="rId15" Type="http://schemas.openxmlformats.org/officeDocument/2006/relationships/image" Target="../media/image48.emf"/><Relationship Id="rId10" Type="http://schemas.openxmlformats.org/officeDocument/2006/relationships/image" Target="../media/image43.emf"/><Relationship Id="rId4" Type="http://schemas.openxmlformats.org/officeDocument/2006/relationships/image" Target="../media/image37.emf"/><Relationship Id="rId9" Type="http://schemas.openxmlformats.org/officeDocument/2006/relationships/image" Target="../media/image42.emf"/><Relationship Id="rId14" Type="http://schemas.openxmlformats.org/officeDocument/2006/relationships/image" Target="../media/image47.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56.emf"/><Relationship Id="rId3" Type="http://schemas.openxmlformats.org/officeDocument/2006/relationships/image" Target="../media/image51.emf"/><Relationship Id="rId7" Type="http://schemas.openxmlformats.org/officeDocument/2006/relationships/image" Target="../media/image55.emf"/><Relationship Id="rId2" Type="http://schemas.openxmlformats.org/officeDocument/2006/relationships/image" Target="../media/image50.emf"/><Relationship Id="rId1" Type="http://schemas.openxmlformats.org/officeDocument/2006/relationships/image" Target="../media/image49.emf"/><Relationship Id="rId6" Type="http://schemas.openxmlformats.org/officeDocument/2006/relationships/image" Target="../media/image54.emf"/><Relationship Id="rId5" Type="http://schemas.openxmlformats.org/officeDocument/2006/relationships/image" Target="../media/image53.emf"/><Relationship Id="rId10" Type="http://schemas.openxmlformats.org/officeDocument/2006/relationships/image" Target="../media/image58.emf"/><Relationship Id="rId4" Type="http://schemas.openxmlformats.org/officeDocument/2006/relationships/image" Target="../media/image52.emf"/><Relationship Id="rId9" Type="http://schemas.openxmlformats.org/officeDocument/2006/relationships/image" Target="../media/image57.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61.emf"/><Relationship Id="rId7" Type="http://schemas.openxmlformats.org/officeDocument/2006/relationships/image" Target="../media/image65.emf"/><Relationship Id="rId2" Type="http://schemas.openxmlformats.org/officeDocument/2006/relationships/image" Target="../media/image60.emf"/><Relationship Id="rId1" Type="http://schemas.openxmlformats.org/officeDocument/2006/relationships/image" Target="../media/image59.emf"/><Relationship Id="rId6" Type="http://schemas.openxmlformats.org/officeDocument/2006/relationships/image" Target="../media/image64.emf"/><Relationship Id="rId5" Type="http://schemas.openxmlformats.org/officeDocument/2006/relationships/image" Target="../media/image63.emf"/><Relationship Id="rId4" Type="http://schemas.openxmlformats.org/officeDocument/2006/relationships/image" Target="../media/image6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68.emf"/><Relationship Id="rId2" Type="http://schemas.openxmlformats.org/officeDocument/2006/relationships/image" Target="../media/image67.emf"/><Relationship Id="rId1" Type="http://schemas.openxmlformats.org/officeDocument/2006/relationships/image" Target="../media/image6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2.png"/></Relationships>
</file>

<file path=xl/drawings/_rels/vmlDrawing11.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9.png"/></Relationships>
</file>

<file path=xl/drawings/_rels/vmlDrawing13.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1.emf"/><Relationship Id="rId1" Type="http://schemas.openxmlformats.org/officeDocument/2006/relationships/image" Target="../media/image80.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2.png"/></Relationships>
</file>

<file path=xl/drawings/_rels/vmlDrawing15.vml.rels><?xml version="1.0" encoding="UTF-8" standalone="yes"?>
<Relationships xmlns="http://schemas.openxmlformats.org/package/2006/relationships"><Relationship Id="rId3" Type="http://schemas.openxmlformats.org/officeDocument/2006/relationships/image" Target="../media/image105.emf"/><Relationship Id="rId2" Type="http://schemas.openxmlformats.org/officeDocument/2006/relationships/image" Target="../media/image104.emf"/><Relationship Id="rId1" Type="http://schemas.openxmlformats.org/officeDocument/2006/relationships/image" Target="../media/image10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108.emf"/><Relationship Id="rId2" Type="http://schemas.openxmlformats.org/officeDocument/2006/relationships/image" Target="../media/image107.emf"/><Relationship Id="rId1" Type="http://schemas.openxmlformats.org/officeDocument/2006/relationships/image" Target="../media/image106.emf"/><Relationship Id="rId6" Type="http://schemas.openxmlformats.org/officeDocument/2006/relationships/image" Target="../media/image111.emf"/><Relationship Id="rId5" Type="http://schemas.openxmlformats.org/officeDocument/2006/relationships/image" Target="../media/image110.emf"/><Relationship Id="rId4" Type="http://schemas.openxmlformats.org/officeDocument/2006/relationships/image" Target="../media/image109.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12.png"/></Relationships>
</file>

<file path=xl/drawings/_rels/vmlDrawing18.vml.rels><?xml version="1.0" encoding="UTF-8" standalone="yes"?>
<Relationships xmlns="http://schemas.openxmlformats.org/package/2006/relationships"><Relationship Id="rId3" Type="http://schemas.openxmlformats.org/officeDocument/2006/relationships/image" Target="../media/image115.emf"/><Relationship Id="rId2" Type="http://schemas.openxmlformats.org/officeDocument/2006/relationships/image" Target="../media/image114.emf"/><Relationship Id="rId1" Type="http://schemas.openxmlformats.org/officeDocument/2006/relationships/image" Target="../media/image113.emf"/><Relationship Id="rId6" Type="http://schemas.openxmlformats.org/officeDocument/2006/relationships/image" Target="../media/image118.emf"/><Relationship Id="rId5" Type="http://schemas.openxmlformats.org/officeDocument/2006/relationships/image" Target="../media/image117.emf"/><Relationship Id="rId4" Type="http://schemas.openxmlformats.org/officeDocument/2006/relationships/image" Target="../media/image116.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1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581025</xdr:colOff>
          <xdr:row>20</xdr:row>
          <xdr:rowOff>57150</xdr:rowOff>
        </xdr:from>
        <xdr:to>
          <xdr:col>7</xdr:col>
          <xdr:colOff>628650</xdr:colOff>
          <xdr:row>22</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電子調査票作成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1057275</xdr:colOff>
          <xdr:row>20</xdr:row>
          <xdr:rowOff>57150</xdr:rowOff>
        </xdr:from>
        <xdr:to>
          <xdr:col>3</xdr:col>
          <xdr:colOff>352425</xdr:colOff>
          <xdr:row>22</xdr:row>
          <xdr:rowOff>76200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全シート表示</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51</xdr:col>
      <xdr:colOff>85725</xdr:colOff>
      <xdr:row>3</xdr:row>
      <xdr:rowOff>9525</xdr:rowOff>
    </xdr:from>
    <xdr:to>
      <xdr:col>55</xdr:col>
      <xdr:colOff>200025</xdr:colOff>
      <xdr:row>12</xdr:row>
      <xdr:rowOff>38100</xdr:rowOff>
    </xdr:to>
    <xdr:pic>
      <xdr:nvPicPr>
        <xdr:cNvPr id="2" name="図 4">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t="7298"/>
        <a:stretch>
          <a:fillRect/>
        </a:stretch>
      </xdr:blipFill>
      <xdr:spPr bwMode="auto">
        <a:xfrm>
          <a:off x="13154025" y="523875"/>
          <a:ext cx="1143000" cy="1504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66675</xdr:colOff>
      <xdr:row>9</xdr:row>
      <xdr:rowOff>38100</xdr:rowOff>
    </xdr:from>
    <xdr:to>
      <xdr:col>8</xdr:col>
      <xdr:colOff>238125</xdr:colOff>
      <xdr:row>11</xdr:row>
      <xdr:rowOff>0</xdr:rowOff>
    </xdr:to>
    <xdr:pic>
      <xdr:nvPicPr>
        <xdr:cNvPr id="3" name="図 17">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1504950"/>
          <a:ext cx="14097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152400</xdr:colOff>
      <xdr:row>23</xdr:row>
      <xdr:rowOff>12700</xdr:rowOff>
    </xdr:from>
    <xdr:to>
      <xdr:col>55</xdr:col>
      <xdr:colOff>230500</xdr:colOff>
      <xdr:row>29</xdr:row>
      <xdr:rowOff>116084</xdr:rowOff>
    </xdr:to>
    <xdr:sp macro="" textlink="">
      <xdr:nvSpPr>
        <xdr:cNvPr id="4" name="大かっこ 3">
          <a:extLst>
            <a:ext uri="{FF2B5EF4-FFF2-40B4-BE49-F238E27FC236}">
              <a16:creationId xmlns:a16="http://schemas.microsoft.com/office/drawing/2014/main" id="{00000000-0008-0000-0100-000004000000}"/>
            </a:ext>
          </a:extLst>
        </xdr:cNvPr>
        <xdr:cNvSpPr/>
      </xdr:nvSpPr>
      <xdr:spPr>
        <a:xfrm>
          <a:off x="923925" y="3994150"/>
          <a:ext cx="13403575" cy="1132084"/>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baseline="0">
              <a:latin typeface="ＭＳ 明朝" panose="02020609040205080304" pitchFamily="17" charset="-128"/>
              <a:ea typeface="ＭＳ 明朝" panose="02020609040205080304" pitchFamily="17" charset="-128"/>
            </a:rPr>
            <a:t> 　</a:t>
          </a:r>
          <a:r>
            <a:rPr kumimoji="1" lang="ja-JP" altLang="en-US" sz="1400">
              <a:latin typeface="ＭＳ 明朝" panose="02020609040205080304" pitchFamily="17" charset="-128"/>
              <a:ea typeface="ＭＳ 明朝" panose="02020609040205080304" pitchFamily="17" charset="-128"/>
            </a:rPr>
            <a:t>この調査は、農林水産省が統計法に基づき基幹統計調査として実施するもので</a:t>
          </a:r>
          <a:r>
            <a:rPr kumimoji="1" lang="ja-JP" altLang="en-US" sz="1400" baseline="0">
              <a:solidFill>
                <a:schemeClr val="tx1"/>
              </a:solidFill>
              <a:latin typeface="ＭＳ 明朝" panose="02020609040205080304" pitchFamily="17" charset="-128"/>
              <a:ea typeface="ＭＳ 明朝" panose="02020609040205080304" pitchFamily="17" charset="-128"/>
            </a:rPr>
            <a:t>す。</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solidFill>
                <a:schemeClr val="tx1"/>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また、この調査票は</a:t>
          </a:r>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統計の目的のみに使用するもので、入力いただいた個別の結果を、外部への提供や課税のための資料に利用することはなく</a:t>
          </a:r>
          <a:r>
            <a:rPr kumimoji="1" lang="ja-JP" altLang="en-US" sz="1400">
              <a:solidFill>
                <a:sysClr val="windowText" lastClr="000000"/>
              </a:solidFill>
              <a:latin typeface="ＭＳ 明朝" panose="02020609040205080304" pitchFamily="17" charset="-128"/>
              <a:ea typeface="ＭＳ 明朝" panose="02020609040205080304" pitchFamily="17" charset="-128"/>
            </a:rPr>
            <a:t>、</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統計以外の目的には使用しません。</a:t>
          </a:r>
        </a:p>
      </xdr:txBody>
    </xdr:sp>
    <xdr:clientData/>
  </xdr:twoCellAnchor>
  <xdr:twoCellAnchor>
    <xdr:from>
      <xdr:col>3</xdr:col>
      <xdr:colOff>190500</xdr:colOff>
      <xdr:row>30</xdr:row>
      <xdr:rowOff>50800</xdr:rowOff>
    </xdr:from>
    <xdr:to>
      <xdr:col>56</xdr:col>
      <xdr:colOff>101600</xdr:colOff>
      <xdr:row>58</xdr:row>
      <xdr:rowOff>63499</xdr:rowOff>
    </xdr:to>
    <xdr:grpSp>
      <xdr:nvGrpSpPr>
        <xdr:cNvPr id="5" name="グループ化 4">
          <a:extLst>
            <a:ext uri="{FF2B5EF4-FFF2-40B4-BE49-F238E27FC236}">
              <a16:creationId xmlns:a16="http://schemas.microsoft.com/office/drawing/2014/main" id="{00000000-0008-0000-0100-000005000000}"/>
            </a:ext>
          </a:extLst>
        </xdr:cNvPr>
        <xdr:cNvGrpSpPr/>
      </xdr:nvGrpSpPr>
      <xdr:grpSpPr>
        <a:xfrm>
          <a:off x="952500" y="5346700"/>
          <a:ext cx="13335000" cy="5499099"/>
          <a:chOff x="876299" y="5600705"/>
          <a:chExt cx="13388974" cy="4825996"/>
        </a:xfrm>
      </xdr:grpSpPr>
      <xdr:sp macro="" textlink="">
        <xdr:nvSpPr>
          <xdr:cNvPr id="6" name="角丸四角形 5">
            <a:extLst>
              <a:ext uri="{FF2B5EF4-FFF2-40B4-BE49-F238E27FC236}">
                <a16:creationId xmlns:a16="http://schemas.microsoft.com/office/drawing/2014/main" id="{00000000-0008-0000-0100-000006000000}"/>
              </a:ext>
            </a:extLst>
          </xdr:cNvPr>
          <xdr:cNvSpPr/>
        </xdr:nvSpPr>
        <xdr:spPr bwMode="auto">
          <a:xfrm>
            <a:off x="876299" y="5634063"/>
            <a:ext cx="13300969" cy="4792638"/>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7" name="角丸四角形 6">
            <a:extLst>
              <a:ext uri="{FF2B5EF4-FFF2-40B4-BE49-F238E27FC236}">
                <a16:creationId xmlns:a16="http://schemas.microsoft.com/office/drawing/2014/main" id="{00000000-0008-0000-0100-000007000000}"/>
              </a:ext>
            </a:extLst>
          </xdr:cNvPr>
          <xdr:cNvSpPr/>
        </xdr:nvSpPr>
        <xdr:spPr bwMode="auto">
          <a:xfrm>
            <a:off x="945478" y="5600705"/>
            <a:ext cx="13319795" cy="3169146"/>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2500"/>
              </a:lnSpc>
            </a:pPr>
            <a:r>
              <a:rPr kumimoji="1" lang="ja-JP" altLang="en-US" sz="1400" b="1">
                <a:solidFill>
                  <a:sysClr val="windowText" lastClr="000000"/>
                </a:solidFill>
                <a:latin typeface="ＭＳ ゴシック" panose="020B0609070205080204" pitchFamily="49" charset="-128"/>
                <a:ea typeface="ＭＳ ゴシック" panose="020B0609070205080204" pitchFamily="49" charset="-128"/>
              </a:rPr>
              <a:t>　</a:t>
            </a:r>
            <a:endParaRPr kumimoji="1" lang="en-US" altLang="ja-JP" sz="1600" b="1">
              <a:solidFill>
                <a:sysClr val="windowText" lastClr="000000"/>
              </a:solidFill>
              <a:latin typeface="ＭＳ 明朝" panose="02020609040205080304" pitchFamily="17" charset="-128"/>
              <a:ea typeface="ＭＳ 明朝" panose="02020609040205080304" pitchFamily="17" charset="-128"/>
            </a:endParaRPr>
          </a:p>
          <a:p>
            <a:pPr algn="l">
              <a:lnSpc>
                <a:spcPts val="2500"/>
              </a:lnSpc>
            </a:pPr>
            <a:endParaRPr kumimoji="1" lang="en-US" altLang="ja-JP" sz="1400" b="0">
              <a:solidFill>
                <a:sysClr val="windowText" lastClr="000000"/>
              </a:solidFill>
              <a:latin typeface="ＭＳ 明朝" panose="02020609040205080304" pitchFamily="17" charset="-128"/>
              <a:ea typeface="ＭＳ 明朝" panose="02020609040205080304" pitchFamily="17" charset="-128"/>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14291</xdr:colOff>
      <xdr:row>66</xdr:row>
      <xdr:rowOff>19050</xdr:rowOff>
    </xdr:from>
    <xdr:to>
      <xdr:col>32</xdr:col>
      <xdr:colOff>190505</xdr:colOff>
      <xdr:row>66</xdr:row>
      <xdr:rowOff>190501</xdr:rowOff>
    </xdr:to>
    <xdr:sp macro="" textlink="">
      <xdr:nvSpPr>
        <xdr:cNvPr id="2" name="左中かっこ 1">
          <a:extLst>
            <a:ext uri="{FF2B5EF4-FFF2-40B4-BE49-F238E27FC236}">
              <a16:creationId xmlns:a16="http://schemas.microsoft.com/office/drawing/2014/main" id="{00000000-0008-0000-0200-000002000000}"/>
            </a:ext>
          </a:extLst>
        </xdr:cNvPr>
        <xdr:cNvSpPr/>
      </xdr:nvSpPr>
      <xdr:spPr>
        <a:xfrm rot="5400000" flipV="1">
          <a:off x="3788572" y="12951619"/>
          <a:ext cx="171451" cy="6043614"/>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3</xdr:col>
      <xdr:colOff>57150</xdr:colOff>
      <xdr:row>58</xdr:row>
      <xdr:rowOff>9525</xdr:rowOff>
    </xdr:from>
    <xdr:to>
      <xdr:col>36</xdr:col>
      <xdr:colOff>68036</xdr:colOff>
      <xdr:row>62</xdr:row>
      <xdr:rowOff>29025</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a:xfrm>
          <a:off x="685800" y="13896975"/>
          <a:ext cx="6926036" cy="10101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倉庫全体の面積が</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㎡で、うちそば生産のために</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㎡、そば以外の作</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物に</a:t>
          </a:r>
          <a:r>
            <a:rPr kumimoji="1" lang="en-US" altLang="ja-JP" sz="1200">
              <a:solidFill>
                <a:srgbClr val="0041FF"/>
              </a:solidFill>
              <a:latin typeface="ＭＳ 明朝" panose="02020609040205080304" pitchFamily="17" charset="-128"/>
              <a:ea typeface="ＭＳ 明朝" panose="02020609040205080304" pitchFamily="17" charset="-128"/>
            </a:rPr>
            <a:t>90</a:t>
          </a:r>
          <a:r>
            <a:rPr kumimoji="1" lang="ja-JP" altLang="en-US" sz="1200">
              <a:solidFill>
                <a:srgbClr val="0041FF"/>
              </a:solidFill>
              <a:latin typeface="ＭＳ 明朝" panose="02020609040205080304" pitchFamily="17" charset="-128"/>
              <a:ea typeface="ＭＳ 明朝" panose="02020609040205080304" pitchFamily="17" charset="-128"/>
            </a:rPr>
            <a:t>㎡を使用した場合の「そば負担割合」は７０％（</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3</xdr:col>
      <xdr:colOff>57150</xdr:colOff>
      <xdr:row>82</xdr:row>
      <xdr:rowOff>9525</xdr:rowOff>
    </xdr:from>
    <xdr:to>
      <xdr:col>34</xdr:col>
      <xdr:colOff>163286</xdr:colOff>
      <xdr:row>86</xdr:row>
      <xdr:rowOff>29025</xdr:rowOff>
    </xdr:to>
    <xdr:sp macro="" textlink="">
      <xdr:nvSpPr>
        <xdr:cNvPr id="4" name="角丸四角形 3">
          <a:extLst>
            <a:ext uri="{FF2B5EF4-FFF2-40B4-BE49-F238E27FC236}">
              <a16:creationId xmlns:a16="http://schemas.microsoft.com/office/drawing/2014/main" id="{00000000-0008-0000-0200-000004000000}"/>
            </a:ext>
          </a:extLst>
        </xdr:cNvPr>
        <xdr:cNvSpPr/>
      </xdr:nvSpPr>
      <xdr:spPr>
        <a:xfrm>
          <a:off x="685800" y="19840575"/>
          <a:ext cx="6602186" cy="10101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トラクター全体の使用時間が</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時間で、うちそば生産のために</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そば以外の作物に</a:t>
          </a:r>
          <a:r>
            <a:rPr kumimoji="1" lang="en-US" altLang="ja-JP" sz="1200">
              <a:solidFill>
                <a:srgbClr val="0041FF"/>
              </a:solidFill>
              <a:latin typeface="ＭＳ 明朝" panose="02020609040205080304" pitchFamily="17" charset="-128"/>
              <a:ea typeface="ＭＳ 明朝" panose="02020609040205080304" pitchFamily="17" charset="-128"/>
            </a:rPr>
            <a:t>120</a:t>
          </a:r>
          <a:r>
            <a:rPr kumimoji="1" lang="ja-JP" altLang="en-US" sz="1200">
              <a:solidFill>
                <a:srgbClr val="0041FF"/>
              </a:solidFill>
              <a:latin typeface="ＭＳ 明朝" panose="02020609040205080304" pitchFamily="17" charset="-128"/>
              <a:ea typeface="ＭＳ 明朝" panose="02020609040205080304" pitchFamily="17" charset="-128"/>
            </a:rPr>
            <a:t>時間使用した場合の「そば負担割合」は４０％</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r>
            <a:rPr kumimoji="1" lang="ja-JP" altLang="en-US" sz="1000">
              <a:solidFill>
                <a:srgbClr val="0041FF"/>
              </a:solidFill>
              <a:latin typeface="ＭＳ 明朝" panose="02020609040205080304" pitchFamily="17" charset="-128"/>
              <a:ea typeface="ＭＳ 明朝" panose="02020609040205080304" pitchFamily="17" charset="-128"/>
            </a:rPr>
            <a:t>。</a:t>
          </a:r>
        </a:p>
      </xdr:txBody>
    </xdr:sp>
    <xdr:clientData/>
  </xdr:twoCellAnchor>
  <xdr:twoCellAnchor>
    <xdr:from>
      <xdr:col>4</xdr:col>
      <xdr:colOff>0</xdr:colOff>
      <xdr:row>68</xdr:row>
      <xdr:rowOff>219075</xdr:rowOff>
    </xdr:from>
    <xdr:to>
      <xdr:col>25</xdr:col>
      <xdr:colOff>19051</xdr:colOff>
      <xdr:row>70</xdr:row>
      <xdr:rowOff>3</xdr:rowOff>
    </xdr:to>
    <xdr:sp macro="" textlink="">
      <xdr:nvSpPr>
        <xdr:cNvPr id="5" name="左中かっこ 4">
          <a:extLst>
            <a:ext uri="{FF2B5EF4-FFF2-40B4-BE49-F238E27FC236}">
              <a16:creationId xmlns:a16="http://schemas.microsoft.com/office/drawing/2014/main" id="{00000000-0008-0000-0200-000005000000}"/>
            </a:ext>
          </a:extLst>
        </xdr:cNvPr>
        <xdr:cNvSpPr/>
      </xdr:nvSpPr>
      <xdr:spPr>
        <a:xfrm rot="5400000" flipH="1" flipV="1">
          <a:off x="2909887" y="14511338"/>
          <a:ext cx="276228" cy="4419601"/>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0</xdr:col>
      <xdr:colOff>200025</xdr:colOff>
      <xdr:row>7</xdr:row>
      <xdr:rowOff>152399</xdr:rowOff>
    </xdr:from>
    <xdr:to>
      <xdr:col>32</xdr:col>
      <xdr:colOff>118425</xdr:colOff>
      <xdr:row>14</xdr:row>
      <xdr:rowOff>105524</xdr:rowOff>
    </xdr:to>
    <xdr:sp macro="" textlink="">
      <xdr:nvSpPr>
        <xdr:cNvPr id="6" name="大かっこ 5">
          <a:extLst>
            <a:ext uri="{FF2B5EF4-FFF2-40B4-BE49-F238E27FC236}">
              <a16:creationId xmlns:a16="http://schemas.microsoft.com/office/drawing/2014/main" id="{00000000-0008-0000-0200-000006000000}"/>
            </a:ext>
          </a:extLst>
        </xdr:cNvPr>
        <xdr:cNvSpPr/>
      </xdr:nvSpPr>
      <xdr:spPr>
        <a:xfrm>
          <a:off x="200025" y="1809749"/>
          <a:ext cx="6624000" cy="1620000"/>
        </a:xfrm>
        <a:prstGeom prst="bracketPair">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27</xdr:col>
      <xdr:colOff>76200</xdr:colOff>
      <xdr:row>29</xdr:row>
      <xdr:rowOff>161926</xdr:rowOff>
    </xdr:from>
    <xdr:to>
      <xdr:col>35</xdr:col>
      <xdr:colOff>54429</xdr:colOff>
      <xdr:row>32</xdr:row>
      <xdr:rowOff>228600</xdr:rowOff>
    </xdr:to>
    <xdr:sp macro="" textlink="">
      <xdr:nvSpPr>
        <xdr:cNvPr id="7" name="角丸四角形 6">
          <a:extLst>
            <a:ext uri="{FF2B5EF4-FFF2-40B4-BE49-F238E27FC236}">
              <a16:creationId xmlns:a16="http://schemas.microsoft.com/office/drawing/2014/main" id="{00000000-0008-0000-0200-000007000000}"/>
            </a:ext>
          </a:extLst>
        </xdr:cNvPr>
        <xdr:cNvSpPr/>
      </xdr:nvSpPr>
      <xdr:spPr>
        <a:xfrm>
          <a:off x="5734050" y="7058026"/>
          <a:ext cx="1654629" cy="781049"/>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そば負担割合には</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9525</xdr:colOff>
      <xdr:row>30</xdr:row>
      <xdr:rowOff>228600</xdr:rowOff>
    </xdr:from>
    <xdr:to>
      <xdr:col>27</xdr:col>
      <xdr:colOff>80963</xdr:colOff>
      <xdr:row>30</xdr:row>
      <xdr:rowOff>228600</xdr:rowOff>
    </xdr:to>
    <xdr:cxnSp macro="">
      <xdr:nvCxnSpPr>
        <xdr:cNvPr id="8" name="直線矢印コネクタ 7">
          <a:extLst>
            <a:ext uri="{FF2B5EF4-FFF2-40B4-BE49-F238E27FC236}">
              <a16:creationId xmlns:a16="http://schemas.microsoft.com/office/drawing/2014/main" id="{00000000-0008-0000-0200-000008000000}"/>
            </a:ext>
          </a:extLst>
        </xdr:cNvPr>
        <xdr:cNvCxnSpPr/>
      </xdr:nvCxnSpPr>
      <xdr:spPr bwMode="auto">
        <a:xfrm flipH="1">
          <a:off x="5457825" y="7362825"/>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76199</xdr:colOff>
      <xdr:row>39</xdr:row>
      <xdr:rowOff>123825</xdr:rowOff>
    </xdr:from>
    <xdr:to>
      <xdr:col>34</xdr:col>
      <xdr:colOff>108856</xdr:colOff>
      <xdr:row>42</xdr:row>
      <xdr:rowOff>123825</xdr:rowOff>
    </xdr:to>
    <xdr:sp macro="" textlink="">
      <xdr:nvSpPr>
        <xdr:cNvPr id="9" name="角丸四角形 8">
          <a:extLst>
            <a:ext uri="{FF2B5EF4-FFF2-40B4-BE49-F238E27FC236}">
              <a16:creationId xmlns:a16="http://schemas.microsoft.com/office/drawing/2014/main" id="{00000000-0008-0000-0200-000009000000}"/>
            </a:ext>
          </a:extLst>
        </xdr:cNvPr>
        <xdr:cNvSpPr/>
      </xdr:nvSpPr>
      <xdr:spPr>
        <a:xfrm>
          <a:off x="5734049" y="9401175"/>
          <a:ext cx="1499507" cy="714375"/>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そば負担割合には</a:t>
          </a:r>
          <a:r>
            <a:rPr kumimoji="1" lang="en-US" altLang="ja-JP" sz="1000">
              <a:solidFill>
                <a:srgbClr val="0041FF"/>
              </a:solidFill>
              <a:latin typeface="ＭＳ 明朝" panose="02020609040205080304" pitchFamily="17" charset="-128"/>
              <a:ea typeface="ＭＳ 明朝" panose="02020609040205080304" pitchFamily="17" charset="-128"/>
            </a:rPr>
            <a:t>20</a:t>
          </a:r>
          <a:r>
            <a:rPr kumimoji="1" lang="ja-JP" altLang="en-US" sz="1000">
              <a:solidFill>
                <a:srgbClr val="0041FF"/>
              </a:solidFill>
              <a:latin typeface="ＭＳ 明朝" panose="02020609040205080304" pitchFamily="17" charset="-128"/>
              <a:ea typeface="ＭＳ 明朝" panose="02020609040205080304" pitchFamily="17" charset="-128"/>
            </a:rPr>
            <a:t>％と</a:t>
          </a:r>
          <a:r>
            <a:rPr kumimoji="1" lang="ja-JP" altLang="en-US" sz="1000" b="0" i="0" u="none" strike="noStrike" kern="0" cap="none" spc="0" normalizeH="0" baseline="0" noProof="0">
              <a:ln>
                <a:noFill/>
              </a:ln>
              <a:solidFill>
                <a:srgbClr val="0041FF"/>
              </a:solidFill>
              <a:effectLst/>
              <a:uLnTx/>
              <a:uFillTx/>
              <a:latin typeface="ＭＳ 明朝" panose="02020609040205080304" pitchFamily="17" charset="-128"/>
              <a:ea typeface="ＭＳ 明朝" panose="02020609040205080304" pitchFamily="17" charset="-128"/>
              <a:cs typeface="+mn-cs"/>
            </a:rPr>
            <a:t>記入</a:t>
          </a:r>
          <a:endParaRPr kumimoji="1" lang="ja-JP" altLang="en-US" sz="1000">
            <a:solidFill>
              <a:srgbClr val="0041FF"/>
            </a:solidFill>
            <a:latin typeface="ＭＳ 明朝" panose="02020609040205080304" pitchFamily="17" charset="-128"/>
            <a:ea typeface="ＭＳ 明朝" panose="02020609040205080304" pitchFamily="17" charset="-128"/>
          </a:endParaRPr>
        </a:p>
      </xdr:txBody>
    </xdr:sp>
    <xdr:clientData/>
  </xdr:twoCellAnchor>
  <xdr:twoCellAnchor>
    <xdr:from>
      <xdr:col>26</xdr:col>
      <xdr:colOff>19050</xdr:colOff>
      <xdr:row>41</xdr:row>
      <xdr:rowOff>0</xdr:rowOff>
    </xdr:from>
    <xdr:to>
      <xdr:col>27</xdr:col>
      <xdr:colOff>90488</xdr:colOff>
      <xdr:row>41</xdr:row>
      <xdr:rowOff>0</xdr:rowOff>
    </xdr:to>
    <xdr:cxnSp macro="">
      <xdr:nvCxnSpPr>
        <xdr:cNvPr id="10" name="直線矢印コネクタ 9">
          <a:extLst>
            <a:ext uri="{FF2B5EF4-FFF2-40B4-BE49-F238E27FC236}">
              <a16:creationId xmlns:a16="http://schemas.microsoft.com/office/drawing/2014/main" id="{00000000-0008-0000-0200-00000A000000}"/>
            </a:ext>
          </a:extLst>
        </xdr:cNvPr>
        <xdr:cNvCxnSpPr/>
      </xdr:nvCxnSpPr>
      <xdr:spPr bwMode="auto">
        <a:xfrm flipH="1">
          <a:off x="5467350" y="975360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500062</xdr:colOff>
      <xdr:row>38</xdr:row>
      <xdr:rowOff>35719</xdr:rowOff>
    </xdr:from>
    <xdr:to>
      <xdr:col>15</xdr:col>
      <xdr:colOff>589710</xdr:colOff>
      <xdr:row>43</xdr:row>
      <xdr:rowOff>165987</xdr:rowOff>
    </xdr:to>
    <xdr:sp macro="" textlink="">
      <xdr:nvSpPr>
        <xdr:cNvPr id="2" name="Comment_Daizu" hidden="1">
          <a:extLst>
            <a:ext uri="{FF2B5EF4-FFF2-40B4-BE49-F238E27FC236}">
              <a16:creationId xmlns:a16="http://schemas.microsoft.com/office/drawing/2014/main" id="{00000000-0008-0000-0400-000002000000}"/>
            </a:ext>
          </a:extLst>
        </xdr:cNvPr>
        <xdr:cNvSpPr/>
      </xdr:nvSpPr>
      <xdr:spPr>
        <a:xfrm>
          <a:off x="3719512" y="9808369"/>
          <a:ext cx="3518648" cy="987518"/>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本調査の対象作物は、普通大豆、特定加工用大豆、種子大豆です。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黒大豆は含めないでください。</a:t>
          </a:r>
        </a:p>
      </xdr:txBody>
    </xdr:sp>
    <xdr:clientData/>
  </xdr:twoCellAnchor>
  <xdr:twoCellAnchor>
    <xdr:from>
      <xdr:col>12</xdr:col>
      <xdr:colOff>496420</xdr:colOff>
      <xdr:row>38</xdr:row>
      <xdr:rowOff>35316</xdr:rowOff>
    </xdr:from>
    <xdr:to>
      <xdr:col>15</xdr:col>
      <xdr:colOff>541244</xdr:colOff>
      <xdr:row>42</xdr:row>
      <xdr:rowOff>40920</xdr:rowOff>
    </xdr:to>
    <xdr:sp macro="" textlink="">
      <xdr:nvSpPr>
        <xdr:cNvPr id="3" name="Comment_Soba">
          <a:extLst>
            <a:ext uri="{FF2B5EF4-FFF2-40B4-BE49-F238E27FC236}">
              <a16:creationId xmlns:a16="http://schemas.microsoft.com/office/drawing/2014/main" id="{00000000-0008-0000-0400-000003000000}"/>
            </a:ext>
          </a:extLst>
        </xdr:cNvPr>
        <xdr:cNvSpPr/>
      </xdr:nvSpPr>
      <xdr:spPr>
        <a:xfrm>
          <a:off x="3715870" y="9807966"/>
          <a:ext cx="3473824" cy="691404"/>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本調査の対象作物は、食用だけでなく、種子用も含めたそばです。</a:t>
          </a:r>
        </a:p>
      </xdr:txBody>
    </xdr:sp>
    <xdr:clientData/>
  </xdr:twoCellAnchor>
  <xdr:twoCellAnchor>
    <xdr:from>
      <xdr:col>12</xdr:col>
      <xdr:colOff>500064</xdr:colOff>
      <xdr:row>38</xdr:row>
      <xdr:rowOff>35721</xdr:rowOff>
    </xdr:from>
    <xdr:to>
      <xdr:col>15</xdr:col>
      <xdr:colOff>589711</xdr:colOff>
      <xdr:row>45</xdr:row>
      <xdr:rowOff>123967</xdr:rowOff>
    </xdr:to>
    <xdr:sp macro="" textlink="">
      <xdr:nvSpPr>
        <xdr:cNvPr id="4" name="Comment_Kansyo" hidden="1">
          <a:extLst>
            <a:ext uri="{FF2B5EF4-FFF2-40B4-BE49-F238E27FC236}">
              <a16:creationId xmlns:a16="http://schemas.microsoft.com/office/drawing/2014/main" id="{00000000-0008-0000-0400-000004000000}"/>
            </a:ext>
          </a:extLst>
        </xdr:cNvPr>
        <xdr:cNvSpPr/>
      </xdr:nvSpPr>
      <xdr:spPr>
        <a:xfrm>
          <a:off x="3719514" y="9808371"/>
          <a:ext cx="3518647" cy="1288396"/>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本調査の対象作物は、でん粉原料用とする目的で栽培しているかんしょです。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生食用、焼酎用、種子用とする目的で栽培しているかんしょや、規格外・余剰品ででん粉原料用に利用したかんしょは含めないでください。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twoCellAnchor>
    <xdr:from>
      <xdr:col>12</xdr:col>
      <xdr:colOff>488158</xdr:colOff>
      <xdr:row>38</xdr:row>
      <xdr:rowOff>23816</xdr:rowOff>
    </xdr:from>
    <xdr:to>
      <xdr:col>15</xdr:col>
      <xdr:colOff>566600</xdr:colOff>
      <xdr:row>46</xdr:row>
      <xdr:rowOff>23816</xdr:rowOff>
    </xdr:to>
    <xdr:sp macro="" textlink="">
      <xdr:nvSpPr>
        <xdr:cNvPr id="5" name="Comment_Barei" hidden="1">
          <a:extLst>
            <a:ext uri="{FF2B5EF4-FFF2-40B4-BE49-F238E27FC236}">
              <a16:creationId xmlns:a16="http://schemas.microsoft.com/office/drawing/2014/main" id="{00000000-0008-0000-0400-000005000000}"/>
            </a:ext>
          </a:extLst>
        </xdr:cNvPr>
        <xdr:cNvSpPr/>
      </xdr:nvSpPr>
      <xdr:spPr>
        <a:xfrm>
          <a:off x="3707608" y="9796466"/>
          <a:ext cx="3507442" cy="137160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本調査の対象作物は、でん粉原料用とする目的で栽培しているばれいしょです。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生食用、加工用、種子用とする目的で栽培しているばれいしょや、規格外・余剰品ででん粉原料用として利用されるばれいしょ（でん原落ち分）は含めないでください。</a:t>
          </a:r>
        </a:p>
      </xdr:txBody>
    </xdr:sp>
    <xdr:clientData/>
  </xdr:twoCellAnchor>
  <xdr:twoCellAnchor>
    <xdr:from>
      <xdr:col>12</xdr:col>
      <xdr:colOff>488157</xdr:colOff>
      <xdr:row>38</xdr:row>
      <xdr:rowOff>23812</xdr:rowOff>
    </xdr:from>
    <xdr:to>
      <xdr:col>15</xdr:col>
      <xdr:colOff>544187</xdr:colOff>
      <xdr:row>42</xdr:row>
      <xdr:rowOff>119062</xdr:rowOff>
    </xdr:to>
    <xdr:sp macro="" textlink="">
      <xdr:nvSpPr>
        <xdr:cNvPr id="6" name="Comment_Natane" hidden="1">
          <a:extLst>
            <a:ext uri="{FF2B5EF4-FFF2-40B4-BE49-F238E27FC236}">
              <a16:creationId xmlns:a16="http://schemas.microsoft.com/office/drawing/2014/main" id="{00000000-0008-0000-0400-000006000000}"/>
            </a:ext>
          </a:extLst>
        </xdr:cNvPr>
        <xdr:cNvSpPr/>
      </xdr:nvSpPr>
      <xdr:spPr>
        <a:xfrm>
          <a:off x="3707607" y="9796462"/>
          <a:ext cx="3485030" cy="781050"/>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本調査の対象作物は、食用だけでなく、種子用も含めたなたねです。</a:t>
          </a:r>
        </a:p>
      </xdr:txBody>
    </xdr:sp>
    <xdr:clientData/>
  </xdr:twoCellAnchor>
  <xdr:twoCellAnchor>
    <xdr:from>
      <xdr:col>12</xdr:col>
      <xdr:colOff>488162</xdr:colOff>
      <xdr:row>38</xdr:row>
      <xdr:rowOff>23814</xdr:rowOff>
    </xdr:from>
    <xdr:to>
      <xdr:col>15</xdr:col>
      <xdr:colOff>555398</xdr:colOff>
      <xdr:row>44</xdr:row>
      <xdr:rowOff>99454</xdr:rowOff>
    </xdr:to>
    <xdr:sp macro="" textlink="">
      <xdr:nvSpPr>
        <xdr:cNvPr id="7" name="Comment_Satokibi" hidden="1">
          <a:extLst>
            <a:ext uri="{FF2B5EF4-FFF2-40B4-BE49-F238E27FC236}">
              <a16:creationId xmlns:a16="http://schemas.microsoft.com/office/drawing/2014/main" id="{00000000-0008-0000-0400-000007000000}"/>
            </a:ext>
          </a:extLst>
        </xdr:cNvPr>
        <xdr:cNvSpPr/>
      </xdr:nvSpPr>
      <xdr:spPr>
        <a:xfrm>
          <a:off x="3707612" y="9796464"/>
          <a:ext cx="3496236" cy="110434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本調査の対象作物は、砂糖原料用とする目的で栽培しているさとうきびです。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苗取り用とする目的で栽培しているさとうきびは含めないでください。</a:t>
          </a:r>
        </a:p>
      </xdr:txBody>
    </xdr:sp>
    <xdr:clientData/>
  </xdr:twoCellAnchor>
  <xdr:twoCellAnchor>
    <xdr:from>
      <xdr:col>12</xdr:col>
      <xdr:colOff>515471</xdr:colOff>
      <xdr:row>38</xdr:row>
      <xdr:rowOff>32917</xdr:rowOff>
    </xdr:from>
    <xdr:to>
      <xdr:col>15</xdr:col>
      <xdr:colOff>638735</xdr:colOff>
      <xdr:row>44</xdr:row>
      <xdr:rowOff>154781</xdr:rowOff>
    </xdr:to>
    <xdr:sp macro="" textlink="">
      <xdr:nvSpPr>
        <xdr:cNvPr id="8" name="Comment_kome" hidden="1" title="TEST1">
          <a:extLst>
            <a:ext uri="{FF2B5EF4-FFF2-40B4-BE49-F238E27FC236}">
              <a16:creationId xmlns:a16="http://schemas.microsoft.com/office/drawing/2014/main" id="{00000000-0008-0000-0400-000008000000}"/>
            </a:ext>
          </a:extLst>
        </xdr:cNvPr>
        <xdr:cNvSpPr/>
      </xdr:nvSpPr>
      <xdr:spPr>
        <a:xfrm>
          <a:off x="3734921" y="9805567"/>
          <a:ext cx="3552264" cy="1150564"/>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rIns="7200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本調査の対象作物は、</a:t>
          </a:r>
          <a:r>
            <a:rPr kumimoji="1" lang="ja-JP" altLang="en-US" sz="1000" b="1">
              <a:solidFill>
                <a:srgbClr val="0041FF"/>
              </a:solidFill>
              <a:latin typeface="ＭＳ ゴシック" panose="020B0609070205080204" pitchFamily="49" charset="-128"/>
              <a:ea typeface="ＭＳ ゴシック" panose="020B0609070205080204" pitchFamily="49" charset="-128"/>
            </a:rPr>
            <a:t>食用米</a:t>
          </a:r>
          <a:r>
            <a:rPr kumimoji="1" lang="ja-JP" altLang="en-US" sz="1000">
              <a:solidFill>
                <a:srgbClr val="0041FF"/>
              </a:solidFill>
              <a:latin typeface="ＭＳ ゴシック" panose="020B0609070205080204" pitchFamily="49" charset="-128"/>
              <a:ea typeface="ＭＳ ゴシック" panose="020B0609070205080204" pitchFamily="49" charset="-128"/>
            </a:rPr>
            <a:t>（食用に供する水稲のことをいい、種子も含めた主食用米（政府備蓄米、新規需要米のうち酒造用米、輸出用米を含む。）、加工用米、米粉用米）です。</a:t>
          </a:r>
          <a:endParaRPr kumimoji="1" lang="en-US" altLang="ja-JP" sz="1000" b="1">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　</a:t>
          </a:r>
          <a:r>
            <a:rPr kumimoji="1" lang="ja-JP" altLang="en-US" sz="1000" b="0">
              <a:solidFill>
                <a:srgbClr val="0041FF"/>
              </a:solidFill>
              <a:latin typeface="ＭＳ ゴシック" panose="020B0609070205080204" pitchFamily="49" charset="-128"/>
              <a:ea typeface="ＭＳ ゴシック" panose="020B0609070205080204" pitchFamily="49" charset="-128"/>
            </a:rPr>
            <a:t>食用以外の飼料用米、</a:t>
          </a:r>
          <a:r>
            <a:rPr kumimoji="1" lang="en-US" altLang="ja-JP" sz="1000" b="0">
              <a:solidFill>
                <a:srgbClr val="0041FF"/>
              </a:solidFill>
              <a:latin typeface="ＭＳ ゴシック" panose="020B0609070205080204" pitchFamily="49" charset="-128"/>
              <a:ea typeface="ＭＳ ゴシック" panose="020B0609070205080204" pitchFamily="49" charset="-128"/>
            </a:rPr>
            <a:t>WCS</a:t>
          </a:r>
          <a:r>
            <a:rPr kumimoji="1" lang="ja-JP" altLang="en-US" sz="1000" b="0">
              <a:solidFill>
                <a:srgbClr val="0041FF"/>
              </a:solidFill>
              <a:latin typeface="ＭＳ ゴシック" panose="020B0609070205080204" pitchFamily="49" charset="-128"/>
              <a:ea typeface="ＭＳ ゴシック" panose="020B0609070205080204" pitchFamily="49" charset="-128"/>
            </a:rPr>
            <a:t>用稲、バイオエタノール用等は含め</a:t>
          </a:r>
          <a:r>
            <a:rPr kumimoji="1" lang="ja-JP" altLang="en-US" sz="1000">
              <a:solidFill>
                <a:srgbClr val="0041FF"/>
              </a:solidFill>
              <a:latin typeface="ＭＳ ゴシック" panose="020B0609070205080204" pitchFamily="49" charset="-128"/>
              <a:ea typeface="ＭＳ ゴシック" panose="020B0609070205080204" pitchFamily="49" charset="-128"/>
            </a:rPr>
            <a:t>ないでください。</a:t>
          </a:r>
        </a:p>
      </xdr:txBody>
    </xdr:sp>
    <xdr:clientData/>
  </xdr:twoCellAnchor>
  <xdr:twoCellAnchor>
    <xdr:from>
      <xdr:col>13</xdr:col>
      <xdr:colOff>324971</xdr:colOff>
      <xdr:row>35</xdr:row>
      <xdr:rowOff>388970</xdr:rowOff>
    </xdr:from>
    <xdr:to>
      <xdr:col>13</xdr:col>
      <xdr:colOff>327093</xdr:colOff>
      <xdr:row>38</xdr:row>
      <xdr:rowOff>35314</xdr:rowOff>
    </xdr:to>
    <xdr:cxnSp macro="">
      <xdr:nvCxnSpPr>
        <xdr:cNvPr id="9" name="Uparrow">
          <a:extLst>
            <a:ext uri="{FF2B5EF4-FFF2-40B4-BE49-F238E27FC236}">
              <a16:creationId xmlns:a16="http://schemas.microsoft.com/office/drawing/2014/main" id="{00000000-0008-0000-0400-000009000000}"/>
            </a:ext>
          </a:extLst>
        </xdr:cNvPr>
        <xdr:cNvCxnSpPr/>
      </xdr:nvCxnSpPr>
      <xdr:spPr bwMode="auto">
        <a:xfrm>
          <a:off x="4687421" y="9428195"/>
          <a:ext cx="2122" cy="379769"/>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511969</xdr:colOff>
      <xdr:row>38</xdr:row>
      <xdr:rowOff>23813</xdr:rowOff>
    </xdr:from>
    <xdr:to>
      <xdr:col>15</xdr:col>
      <xdr:colOff>612823</xdr:colOff>
      <xdr:row>45</xdr:row>
      <xdr:rowOff>44826</xdr:rowOff>
    </xdr:to>
    <xdr:sp macro="" textlink="">
      <xdr:nvSpPr>
        <xdr:cNvPr id="10" name="Comment_Mugi" hidden="1">
          <a:extLst>
            <a:ext uri="{FF2B5EF4-FFF2-40B4-BE49-F238E27FC236}">
              <a16:creationId xmlns:a16="http://schemas.microsoft.com/office/drawing/2014/main" id="{00000000-0008-0000-0400-00000A000000}"/>
            </a:ext>
          </a:extLst>
        </xdr:cNvPr>
        <xdr:cNvSpPr/>
      </xdr:nvSpPr>
      <xdr:spPr>
        <a:xfrm>
          <a:off x="3731419" y="9796463"/>
          <a:ext cx="3529854" cy="1221163"/>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本調査の対象品目は、調査をお願いした、</a:t>
          </a:r>
          <a:r>
            <a:rPr kumimoji="1" lang="ja-JP" altLang="en-US"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小麦、二条大麦、六条大麦、はだか麦の</a:t>
          </a:r>
          <a:r>
            <a:rPr kumimoji="1" lang="ja-JP" altLang="en-US" sz="1000" b="1" i="0" u="sng"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いずれか</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対象品目以外の麦を含めないでください。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また、食用だけでなく、種子用の麦も含みます。（青刈り目的で栽培している麦は含みません。）</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xdr:colOff>
          <xdr:row>0</xdr:row>
          <xdr:rowOff>142875</xdr:rowOff>
        </xdr:from>
        <xdr:to>
          <xdr:col>14</xdr:col>
          <xdr:colOff>142875</xdr:colOff>
          <xdr:row>2</xdr:row>
          <xdr:rowOff>152400</xdr:rowOff>
        </xdr:to>
        <xdr:sp macro="" textlink="">
          <xdr:nvSpPr>
            <xdr:cNvPr id="23562" name="Label1" hidden="1">
              <a:extLst>
                <a:ext uri="{63B3BB69-23CF-44E3-9099-C40C66FF867C}">
                  <a14:compatExt spid="_x0000_s23562"/>
                </a:ext>
                <a:ext uri="{FF2B5EF4-FFF2-40B4-BE49-F238E27FC236}">
                  <a16:creationId xmlns:a16="http://schemas.microsoft.com/office/drawing/2014/main" id="{00000000-0008-0000-0600-00000A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1</xdr:row>
          <xdr:rowOff>85725</xdr:rowOff>
        </xdr:from>
        <xdr:to>
          <xdr:col>14</xdr:col>
          <xdr:colOff>104775</xdr:colOff>
          <xdr:row>2</xdr:row>
          <xdr:rowOff>47625</xdr:rowOff>
        </xdr:to>
        <xdr:sp macro="" textlink="">
          <xdr:nvSpPr>
            <xdr:cNvPr id="23563" name="Label2" hidden="1">
              <a:extLst>
                <a:ext uri="{63B3BB69-23CF-44E3-9099-C40C66FF867C}">
                  <a14:compatExt spid="_x0000_s23563"/>
                </a:ext>
                <a:ext uri="{FF2B5EF4-FFF2-40B4-BE49-F238E27FC236}">
                  <a16:creationId xmlns:a16="http://schemas.microsoft.com/office/drawing/2014/main" id="{00000000-0008-0000-0600-00000B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142875</xdr:colOff>
          <xdr:row>0</xdr:row>
          <xdr:rowOff>142875</xdr:rowOff>
        </xdr:from>
        <xdr:to>
          <xdr:col>18</xdr:col>
          <xdr:colOff>9525</xdr:colOff>
          <xdr:row>1</xdr:row>
          <xdr:rowOff>171450</xdr:rowOff>
        </xdr:to>
        <xdr:sp macro="" textlink="">
          <xdr:nvSpPr>
            <xdr:cNvPr id="23564" name="Label3" hidden="1">
              <a:extLst>
                <a:ext uri="{63B3BB69-23CF-44E3-9099-C40C66FF867C}">
                  <a14:compatExt spid="_x0000_s23564"/>
                </a:ext>
                <a:ext uri="{FF2B5EF4-FFF2-40B4-BE49-F238E27FC236}">
                  <a16:creationId xmlns:a16="http://schemas.microsoft.com/office/drawing/2014/main" id="{00000000-0008-0000-0600-00000C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142875</xdr:colOff>
          <xdr:row>1</xdr:row>
          <xdr:rowOff>171450</xdr:rowOff>
        </xdr:from>
        <xdr:to>
          <xdr:col>18</xdr:col>
          <xdr:colOff>9525</xdr:colOff>
          <xdr:row>2</xdr:row>
          <xdr:rowOff>152400</xdr:rowOff>
        </xdr:to>
        <xdr:sp macro="" textlink="">
          <xdr:nvSpPr>
            <xdr:cNvPr id="23565" name="txt_hyouji1" hidden="1">
              <a:extLst>
                <a:ext uri="{63B3BB69-23CF-44E3-9099-C40C66FF867C}">
                  <a14:compatExt spid="_x0000_s23565"/>
                </a:ext>
                <a:ext uri="{FF2B5EF4-FFF2-40B4-BE49-F238E27FC236}">
                  <a16:creationId xmlns:a16="http://schemas.microsoft.com/office/drawing/2014/main" id="{00000000-0008-0000-0600-00000D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361950</xdr:colOff>
          <xdr:row>0</xdr:row>
          <xdr:rowOff>142875</xdr:rowOff>
        </xdr:from>
        <xdr:to>
          <xdr:col>20</xdr:col>
          <xdr:colOff>104775</xdr:colOff>
          <xdr:row>2</xdr:row>
          <xdr:rowOff>161925</xdr:rowOff>
        </xdr:to>
        <xdr:sp macro="" textlink="">
          <xdr:nvSpPr>
            <xdr:cNvPr id="23566" name="btnKoushin1" hidden="1">
              <a:extLst>
                <a:ext uri="{63B3BB69-23CF-44E3-9099-C40C66FF867C}">
                  <a14:compatExt spid="_x0000_s23566"/>
                </a:ext>
                <a:ext uri="{FF2B5EF4-FFF2-40B4-BE49-F238E27FC236}">
                  <a16:creationId xmlns:a16="http://schemas.microsoft.com/office/drawing/2014/main" id="{00000000-0008-0000-0600-00000E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0</xdr:row>
          <xdr:rowOff>142875</xdr:rowOff>
        </xdr:from>
        <xdr:to>
          <xdr:col>18</xdr:col>
          <xdr:colOff>723900</xdr:colOff>
          <xdr:row>1</xdr:row>
          <xdr:rowOff>171450</xdr:rowOff>
        </xdr:to>
        <xdr:sp macro="" textlink="">
          <xdr:nvSpPr>
            <xdr:cNvPr id="23567" name="Label4" hidden="1">
              <a:extLst>
                <a:ext uri="{63B3BB69-23CF-44E3-9099-C40C66FF867C}">
                  <a14:compatExt spid="_x0000_s23567"/>
                </a:ext>
                <a:ext uri="{FF2B5EF4-FFF2-40B4-BE49-F238E27FC236}">
                  <a16:creationId xmlns:a16="http://schemas.microsoft.com/office/drawing/2014/main" id="{00000000-0008-0000-0600-00000F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xdr:row>
          <xdr:rowOff>171450</xdr:rowOff>
        </xdr:from>
        <xdr:to>
          <xdr:col>18</xdr:col>
          <xdr:colOff>723900</xdr:colOff>
          <xdr:row>2</xdr:row>
          <xdr:rowOff>152400</xdr:rowOff>
        </xdr:to>
        <xdr:sp macro="" textlink="">
          <xdr:nvSpPr>
            <xdr:cNvPr id="23568" name="txt_hyouji2" hidden="1">
              <a:extLst>
                <a:ext uri="{63B3BB69-23CF-44E3-9099-C40C66FF867C}">
                  <a14:compatExt spid="_x0000_s23568"/>
                </a:ext>
                <a:ext uri="{FF2B5EF4-FFF2-40B4-BE49-F238E27FC236}">
                  <a16:creationId xmlns:a16="http://schemas.microsoft.com/office/drawing/2014/main" id="{00000000-0008-0000-0600-000010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723900</xdr:colOff>
          <xdr:row>0</xdr:row>
          <xdr:rowOff>142875</xdr:rowOff>
        </xdr:from>
        <xdr:to>
          <xdr:col>19</xdr:col>
          <xdr:colOff>247650</xdr:colOff>
          <xdr:row>1</xdr:row>
          <xdr:rowOff>171450</xdr:rowOff>
        </xdr:to>
        <xdr:sp macro="" textlink="">
          <xdr:nvSpPr>
            <xdr:cNvPr id="23569" name="Label5" hidden="1">
              <a:extLst>
                <a:ext uri="{63B3BB69-23CF-44E3-9099-C40C66FF867C}">
                  <a14:compatExt spid="_x0000_s23569"/>
                </a:ext>
                <a:ext uri="{FF2B5EF4-FFF2-40B4-BE49-F238E27FC236}">
                  <a16:creationId xmlns:a16="http://schemas.microsoft.com/office/drawing/2014/main" id="{00000000-0008-0000-0600-000011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723900</xdr:colOff>
          <xdr:row>1</xdr:row>
          <xdr:rowOff>171450</xdr:rowOff>
        </xdr:from>
        <xdr:to>
          <xdr:col>19</xdr:col>
          <xdr:colOff>247650</xdr:colOff>
          <xdr:row>2</xdr:row>
          <xdr:rowOff>152400</xdr:rowOff>
        </xdr:to>
        <xdr:sp macro="" textlink="">
          <xdr:nvSpPr>
            <xdr:cNvPr id="23570" name="txt_hyouji3" hidden="1">
              <a:extLst>
                <a:ext uri="{63B3BB69-23CF-44E3-9099-C40C66FF867C}">
                  <a14:compatExt spid="_x0000_s23570"/>
                </a:ext>
                <a:ext uri="{FF2B5EF4-FFF2-40B4-BE49-F238E27FC236}">
                  <a16:creationId xmlns:a16="http://schemas.microsoft.com/office/drawing/2014/main" id="{00000000-0008-0000-0600-00001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5</xdr:col>
      <xdr:colOff>1840257</xdr:colOff>
      <xdr:row>1</xdr:row>
      <xdr:rowOff>31105</xdr:rowOff>
    </xdr:from>
    <xdr:ext cx="2532529" cy="323564"/>
    <xdr:sp macro="" textlink="">
      <xdr:nvSpPr>
        <xdr:cNvPr id="2" name="角丸四角形 1">
          <a:extLst>
            <a:ext uri="{FF2B5EF4-FFF2-40B4-BE49-F238E27FC236}">
              <a16:creationId xmlns:a16="http://schemas.microsoft.com/office/drawing/2014/main" id="{00000000-0008-0000-0700-000002000000}"/>
            </a:ext>
          </a:extLst>
        </xdr:cNvPr>
        <xdr:cNvSpPr/>
      </xdr:nvSpPr>
      <xdr:spPr>
        <a:xfrm>
          <a:off x="2421282" y="212080"/>
          <a:ext cx="2532529"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当年産の対象品目栽培の特徴</a:t>
          </a:r>
        </a:p>
      </xdr:txBody>
    </xdr:sp>
    <xdr:clientData/>
  </xdr:oneCellAnchor>
  <xdr:oneCellAnchor>
    <xdr:from>
      <xdr:col>5</xdr:col>
      <xdr:colOff>2169957</xdr:colOff>
      <xdr:row>24</xdr:row>
      <xdr:rowOff>7012</xdr:rowOff>
    </xdr:from>
    <xdr:ext cx="2196000" cy="323564"/>
    <xdr:sp macro="" textlink="">
      <xdr:nvSpPr>
        <xdr:cNvPr id="3" name="角丸四角形 2">
          <a:extLst>
            <a:ext uri="{FF2B5EF4-FFF2-40B4-BE49-F238E27FC236}">
              <a16:creationId xmlns:a16="http://schemas.microsoft.com/office/drawing/2014/main" id="{00000000-0008-0000-0700-000003000000}"/>
            </a:ext>
          </a:extLst>
        </xdr:cNvPr>
        <xdr:cNvSpPr/>
      </xdr:nvSpPr>
      <xdr:spPr>
        <a:xfrm>
          <a:off x="2750982" y="8350912"/>
          <a:ext cx="2196000"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通　　信　　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xdr:txBody>
    </xdr:sp>
    <xdr:clientData/>
  </xdr:oneCellAnchor>
</xdr:wsDr>
</file>

<file path=xl/drawings/drawing7.xml><?xml version="1.0" encoding="utf-8"?>
<xdr:wsDr xmlns:xdr="http://schemas.openxmlformats.org/drawingml/2006/spreadsheetDrawing" xmlns:a="http://schemas.openxmlformats.org/drawingml/2006/main">
  <xdr:twoCellAnchor>
    <xdr:from>
      <xdr:col>8</xdr:col>
      <xdr:colOff>0</xdr:colOff>
      <xdr:row>31</xdr:row>
      <xdr:rowOff>10583</xdr:rowOff>
    </xdr:from>
    <xdr:to>
      <xdr:col>8</xdr:col>
      <xdr:colOff>1084768</xdr:colOff>
      <xdr:row>46</xdr:row>
      <xdr:rowOff>85724</xdr:rowOff>
    </xdr:to>
    <xdr:grpSp>
      <xdr:nvGrpSpPr>
        <xdr:cNvPr id="2" name="グループ化 1">
          <a:extLst>
            <a:ext uri="{FF2B5EF4-FFF2-40B4-BE49-F238E27FC236}">
              <a16:creationId xmlns:a16="http://schemas.microsoft.com/office/drawing/2014/main" id="{00000000-0008-0000-0800-000002000000}"/>
            </a:ext>
          </a:extLst>
        </xdr:cNvPr>
        <xdr:cNvGrpSpPr/>
      </xdr:nvGrpSpPr>
      <xdr:grpSpPr>
        <a:xfrm>
          <a:off x="4048125" y="4606396"/>
          <a:ext cx="1084768" cy="1980141"/>
          <a:chOff x="4042833" y="4407958"/>
          <a:chExt cx="1084768" cy="1657350"/>
        </a:xfrm>
      </xdr:grpSpPr>
      <xdr:cxnSp macro="">
        <xdr:nvCxnSpPr>
          <xdr:cNvPr id="3" name="直線コネクタ 2">
            <a:extLst>
              <a:ext uri="{FF2B5EF4-FFF2-40B4-BE49-F238E27FC236}">
                <a16:creationId xmlns:a16="http://schemas.microsoft.com/office/drawing/2014/main" id="{00000000-0008-0000-0800-000003000000}"/>
              </a:ext>
            </a:extLst>
          </xdr:cNvPr>
          <xdr:cNvCxnSpPr/>
        </xdr:nvCxnSpPr>
        <xdr:spPr bwMode="auto">
          <a:xfrm>
            <a:off x="5120155" y="5205655"/>
            <a:ext cx="7446" cy="85965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4" name="右中かっこ 3">
            <a:extLst>
              <a:ext uri="{FF2B5EF4-FFF2-40B4-BE49-F238E27FC236}">
                <a16:creationId xmlns:a16="http://schemas.microsoft.com/office/drawing/2014/main" id="{00000000-0008-0000-0800-000004000000}"/>
              </a:ext>
            </a:extLst>
          </xdr:cNvPr>
          <xdr:cNvSpPr/>
        </xdr:nvSpPr>
        <xdr:spPr>
          <a:xfrm>
            <a:off x="4042833" y="4407958"/>
            <a:ext cx="180975" cy="1610882"/>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5" name="直線矢印コネクタ 4">
            <a:extLst>
              <a:ext uri="{FF2B5EF4-FFF2-40B4-BE49-F238E27FC236}">
                <a16:creationId xmlns:a16="http://schemas.microsoft.com/office/drawing/2014/main" id="{00000000-0008-0000-0800-000005000000}"/>
              </a:ext>
            </a:extLst>
          </xdr:cNvPr>
          <xdr:cNvCxnSpPr/>
        </xdr:nvCxnSpPr>
        <xdr:spPr bwMode="auto">
          <a:xfrm flipH="1">
            <a:off x="4185709" y="5208284"/>
            <a:ext cx="934446" cy="2"/>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1077322</xdr:colOff>
      <xdr:row>46</xdr:row>
      <xdr:rowOff>78497</xdr:rowOff>
    </xdr:from>
    <xdr:to>
      <xdr:col>12</xdr:col>
      <xdr:colOff>103876</xdr:colOff>
      <xdr:row>46</xdr:row>
      <xdr:rowOff>78497</xdr:rowOff>
    </xdr:to>
    <xdr:cxnSp macro="">
      <xdr:nvCxnSpPr>
        <xdr:cNvPr id="6" name="直線矢印コネクタ 5">
          <a:extLst>
            <a:ext uri="{FF2B5EF4-FFF2-40B4-BE49-F238E27FC236}">
              <a16:creationId xmlns:a16="http://schemas.microsoft.com/office/drawing/2014/main" id="{00000000-0008-0000-0800-000006000000}"/>
            </a:ext>
          </a:extLst>
        </xdr:cNvPr>
        <xdr:cNvCxnSpPr/>
      </xdr:nvCxnSpPr>
      <xdr:spPr bwMode="auto">
        <a:xfrm flipH="1">
          <a:off x="5115922" y="6612647"/>
          <a:ext cx="115062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108479</xdr:colOff>
      <xdr:row>33</xdr:row>
      <xdr:rowOff>148167</xdr:rowOff>
    </xdr:from>
    <xdr:to>
      <xdr:col>12</xdr:col>
      <xdr:colOff>108479</xdr:colOff>
      <xdr:row>46</xdr:row>
      <xdr:rowOff>83018</xdr:rowOff>
    </xdr:to>
    <xdr:cxnSp macro="">
      <xdr:nvCxnSpPr>
        <xdr:cNvPr id="7" name="直線コネクタ 6">
          <a:extLst>
            <a:ext uri="{FF2B5EF4-FFF2-40B4-BE49-F238E27FC236}">
              <a16:creationId xmlns:a16="http://schemas.microsoft.com/office/drawing/2014/main" id="{00000000-0008-0000-0800-000007000000}"/>
            </a:ext>
          </a:extLst>
        </xdr:cNvPr>
        <xdr:cNvCxnSpPr/>
      </xdr:nvCxnSpPr>
      <xdr:spPr bwMode="auto">
        <a:xfrm>
          <a:off x="6271154" y="5539317"/>
          <a:ext cx="0" cy="10778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158749</xdr:colOff>
      <xdr:row>31</xdr:row>
      <xdr:rowOff>345835</xdr:rowOff>
    </xdr:from>
    <xdr:to>
      <xdr:col>18</xdr:col>
      <xdr:colOff>201083</xdr:colOff>
      <xdr:row>33</xdr:row>
      <xdr:rowOff>179916</xdr:rowOff>
    </xdr:to>
    <xdr:sp macro="" textlink="">
      <xdr:nvSpPr>
        <xdr:cNvPr id="8" name="角丸四角形 12">
          <a:extLst>
            <a:ext uri="{FF2B5EF4-FFF2-40B4-BE49-F238E27FC236}">
              <a16:creationId xmlns:a16="http://schemas.microsoft.com/office/drawing/2014/main" id="{00000000-0008-0000-0800-000008000000}"/>
            </a:ext>
          </a:extLst>
        </xdr:cNvPr>
        <xdr:cNvSpPr/>
      </xdr:nvSpPr>
      <xdr:spPr>
        <a:xfrm>
          <a:off x="5721349" y="4974985"/>
          <a:ext cx="1842559" cy="59608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使用した自給の種子の品種名と数量を記入してください。　</a:t>
          </a:r>
        </a:p>
      </xdr:txBody>
    </xdr:sp>
    <xdr:clientData/>
  </xdr:twoCellAnchor>
  <xdr:twoCellAnchor>
    <xdr:from>
      <xdr:col>8</xdr:col>
      <xdr:colOff>0</xdr:colOff>
      <xdr:row>48</xdr:row>
      <xdr:rowOff>0</xdr:rowOff>
    </xdr:from>
    <xdr:to>
      <xdr:col>12</xdr:col>
      <xdr:colOff>2</xdr:colOff>
      <xdr:row>48</xdr:row>
      <xdr:rowOff>0</xdr:rowOff>
    </xdr:to>
    <xdr:grpSp>
      <xdr:nvGrpSpPr>
        <xdr:cNvPr id="9" name="ComemntNaeJikyu">
          <a:extLst>
            <a:ext uri="{FF2B5EF4-FFF2-40B4-BE49-F238E27FC236}">
              <a16:creationId xmlns:a16="http://schemas.microsoft.com/office/drawing/2014/main" id="{00000000-0008-0000-0800-000009000000}"/>
            </a:ext>
          </a:extLst>
        </xdr:cNvPr>
        <xdr:cNvGrpSpPr/>
      </xdr:nvGrpSpPr>
      <xdr:grpSpPr>
        <a:xfrm>
          <a:off x="4048125" y="7262813"/>
          <a:ext cx="2131221" cy="0"/>
          <a:chOff x="4042833" y="9948332"/>
          <a:chExt cx="2127252" cy="1912409"/>
        </a:xfrm>
      </xdr:grpSpPr>
      <xdr:sp macro="" textlink="">
        <xdr:nvSpPr>
          <xdr:cNvPr id="10" name="右中かっこ 9">
            <a:extLst>
              <a:ext uri="{FF2B5EF4-FFF2-40B4-BE49-F238E27FC236}">
                <a16:creationId xmlns:a16="http://schemas.microsoft.com/office/drawing/2014/main" id="{00000000-0008-0000-0800-00000A000000}"/>
              </a:ext>
            </a:extLst>
          </xdr:cNvPr>
          <xdr:cNvSpPr/>
        </xdr:nvSpPr>
        <xdr:spPr>
          <a:xfrm>
            <a:off x="4042833" y="9948332"/>
            <a:ext cx="190500" cy="1912409"/>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sp macro="" textlink="">
        <xdr:nvSpPr>
          <xdr:cNvPr id="11" name="角丸四角形 12">
            <a:extLst>
              <a:ext uri="{FF2B5EF4-FFF2-40B4-BE49-F238E27FC236}">
                <a16:creationId xmlns:a16="http://schemas.microsoft.com/office/drawing/2014/main" id="{00000000-0008-0000-0800-00000B000000}"/>
              </a:ext>
            </a:extLst>
          </xdr:cNvPr>
          <xdr:cNvSpPr/>
        </xdr:nvSpPr>
        <xdr:spPr>
          <a:xfrm>
            <a:off x="4318001" y="10572750"/>
            <a:ext cx="1852084" cy="65193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使用した苗の品種名と数量を記入してください。　</a:t>
            </a:r>
          </a:p>
        </xdr:txBody>
      </xdr:sp>
    </xdr:grpSp>
    <xdr:clientData/>
  </xdr:twoCellAnchor>
  <xdr:twoCellAnchor>
    <xdr:from>
      <xdr:col>10</xdr:col>
      <xdr:colOff>198967</xdr:colOff>
      <xdr:row>15</xdr:row>
      <xdr:rowOff>201085</xdr:rowOff>
    </xdr:from>
    <xdr:to>
      <xdr:col>10</xdr:col>
      <xdr:colOff>198967</xdr:colOff>
      <xdr:row>31</xdr:row>
      <xdr:rowOff>193434</xdr:rowOff>
    </xdr:to>
    <xdr:cxnSp macro="">
      <xdr:nvCxnSpPr>
        <xdr:cNvPr id="12" name="直線コネクタ 11">
          <a:extLst>
            <a:ext uri="{FF2B5EF4-FFF2-40B4-BE49-F238E27FC236}">
              <a16:creationId xmlns:a16="http://schemas.microsoft.com/office/drawing/2014/main" id="{00000000-0008-0000-0800-00000C000000}"/>
            </a:ext>
          </a:extLst>
        </xdr:cNvPr>
        <xdr:cNvCxnSpPr/>
      </xdr:nvCxnSpPr>
      <xdr:spPr bwMode="auto">
        <a:xfrm>
          <a:off x="5961592" y="2925235"/>
          <a:ext cx="0" cy="189734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1512359</xdr:colOff>
      <xdr:row>31</xdr:row>
      <xdr:rowOff>180976</xdr:rowOff>
    </xdr:from>
    <xdr:to>
      <xdr:col>10</xdr:col>
      <xdr:colOff>189442</xdr:colOff>
      <xdr:row>31</xdr:row>
      <xdr:rowOff>180976</xdr:rowOff>
    </xdr:to>
    <xdr:cxnSp macro="">
      <xdr:nvCxnSpPr>
        <xdr:cNvPr id="13" name="直線矢印コネクタ 12">
          <a:extLst>
            <a:ext uri="{FF2B5EF4-FFF2-40B4-BE49-F238E27FC236}">
              <a16:creationId xmlns:a16="http://schemas.microsoft.com/office/drawing/2014/main" id="{00000000-0008-0000-0800-00000D000000}"/>
            </a:ext>
          </a:extLst>
        </xdr:cNvPr>
        <xdr:cNvCxnSpPr/>
      </xdr:nvCxnSpPr>
      <xdr:spPr bwMode="auto">
        <a:xfrm flipH="1">
          <a:off x="5550959" y="4810126"/>
          <a:ext cx="40110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1502834</xdr:colOff>
      <xdr:row>15</xdr:row>
      <xdr:rowOff>190501</xdr:rowOff>
    </xdr:from>
    <xdr:to>
      <xdr:col>11</xdr:col>
      <xdr:colOff>11641</xdr:colOff>
      <xdr:row>15</xdr:row>
      <xdr:rowOff>191559</xdr:rowOff>
    </xdr:to>
    <xdr:cxnSp macro="">
      <xdr:nvCxnSpPr>
        <xdr:cNvPr id="14" name="直線矢印コネクタ 13">
          <a:extLst>
            <a:ext uri="{FF2B5EF4-FFF2-40B4-BE49-F238E27FC236}">
              <a16:creationId xmlns:a16="http://schemas.microsoft.com/office/drawing/2014/main" id="{00000000-0008-0000-0800-00000E000000}"/>
            </a:ext>
          </a:extLst>
        </xdr:cNvPr>
        <xdr:cNvCxnSpPr/>
      </xdr:nvCxnSpPr>
      <xdr:spPr bwMode="auto">
        <a:xfrm flipH="1">
          <a:off x="5541434" y="2914651"/>
          <a:ext cx="432857" cy="105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87841</xdr:colOff>
      <xdr:row>16</xdr:row>
      <xdr:rowOff>137585</xdr:rowOff>
    </xdr:from>
    <xdr:to>
      <xdr:col>18</xdr:col>
      <xdr:colOff>164041</xdr:colOff>
      <xdr:row>18</xdr:row>
      <xdr:rowOff>203702</xdr:rowOff>
    </xdr:to>
    <xdr:sp macro="" textlink="">
      <xdr:nvSpPr>
        <xdr:cNvPr id="15" name="角丸四角形 5">
          <a:extLst>
            <a:ext uri="{FF2B5EF4-FFF2-40B4-BE49-F238E27FC236}">
              <a16:creationId xmlns:a16="http://schemas.microsoft.com/office/drawing/2014/main" id="{00000000-0008-0000-0800-00000F000000}"/>
            </a:ext>
          </a:extLst>
        </xdr:cNvPr>
        <xdr:cNvSpPr/>
      </xdr:nvSpPr>
      <xdr:spPr>
        <a:xfrm>
          <a:off x="5650441" y="3242735"/>
          <a:ext cx="1876425" cy="82811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浸種の場合の減耗分や不発芽による二度まき分についても含めて記入してください。</a:t>
          </a:r>
        </a:p>
      </xdr:txBody>
    </xdr:sp>
    <xdr:clientData/>
  </xdr:twoCellAnchor>
  <mc:AlternateContent xmlns:mc="http://schemas.openxmlformats.org/markup-compatibility/2006">
    <mc:Choice xmlns:a14="http://schemas.microsoft.com/office/drawing/2010/main" Requires="a14">
      <xdr:twoCellAnchor editAs="oneCell">
        <xdr:from>
          <xdr:col>5</xdr:col>
          <xdr:colOff>1057275</xdr:colOff>
          <xdr:row>9</xdr:row>
          <xdr:rowOff>85725</xdr:rowOff>
        </xdr:from>
        <xdr:to>
          <xdr:col>6</xdr:col>
          <xdr:colOff>523875</xdr:colOff>
          <xdr:row>11</xdr:row>
          <xdr:rowOff>142875</xdr:rowOff>
        </xdr:to>
        <xdr:sp macro="" textlink="">
          <xdr:nvSpPr>
            <xdr:cNvPr id="6145" name="Label1" hidden="1">
              <a:extLst>
                <a:ext uri="{63B3BB69-23CF-44E3-9099-C40C66FF867C}">
                  <a14:compatExt spid="_x0000_s6145"/>
                </a:ext>
                <a:ext uri="{FF2B5EF4-FFF2-40B4-BE49-F238E27FC236}">
                  <a16:creationId xmlns:a16="http://schemas.microsoft.com/office/drawing/2014/main" id="{00000000-0008-0000-08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1085850</xdr:colOff>
          <xdr:row>10</xdr:row>
          <xdr:rowOff>28575</xdr:rowOff>
        </xdr:from>
        <xdr:to>
          <xdr:col>6</xdr:col>
          <xdr:colOff>504825</xdr:colOff>
          <xdr:row>11</xdr:row>
          <xdr:rowOff>19050</xdr:rowOff>
        </xdr:to>
        <xdr:sp macro="" textlink="">
          <xdr:nvSpPr>
            <xdr:cNvPr id="6146" name="Label2" hidden="1">
              <a:extLst>
                <a:ext uri="{63B3BB69-23CF-44E3-9099-C40C66FF867C}">
                  <a14:compatExt spid="_x0000_s6146"/>
                </a:ext>
                <a:ext uri="{FF2B5EF4-FFF2-40B4-BE49-F238E27FC236}">
                  <a16:creationId xmlns:a16="http://schemas.microsoft.com/office/drawing/2014/main" id="{00000000-0008-0000-08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9</xdr:row>
          <xdr:rowOff>85725</xdr:rowOff>
        </xdr:from>
        <xdr:to>
          <xdr:col>7</xdr:col>
          <xdr:colOff>171450</xdr:colOff>
          <xdr:row>10</xdr:row>
          <xdr:rowOff>114300</xdr:rowOff>
        </xdr:to>
        <xdr:sp macro="" textlink="">
          <xdr:nvSpPr>
            <xdr:cNvPr id="6147" name="Label3" hidden="1">
              <a:extLst>
                <a:ext uri="{63B3BB69-23CF-44E3-9099-C40C66FF867C}">
                  <a14:compatExt spid="_x0000_s6147"/>
                </a:ext>
                <a:ext uri="{FF2B5EF4-FFF2-40B4-BE49-F238E27FC236}">
                  <a16:creationId xmlns:a16="http://schemas.microsoft.com/office/drawing/2014/main" id="{00000000-0008-0000-08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10</xdr:row>
          <xdr:rowOff>114300</xdr:rowOff>
        </xdr:from>
        <xdr:to>
          <xdr:col>7</xdr:col>
          <xdr:colOff>171450</xdr:colOff>
          <xdr:row>11</xdr:row>
          <xdr:rowOff>142875</xdr:rowOff>
        </xdr:to>
        <xdr:sp macro="" textlink="">
          <xdr:nvSpPr>
            <xdr:cNvPr id="6148" name="txt_kounyu" hidden="1">
              <a:extLst>
                <a:ext uri="{63B3BB69-23CF-44E3-9099-C40C66FF867C}">
                  <a14:compatExt spid="_x0000_s6148"/>
                </a:ext>
                <a:ext uri="{FF2B5EF4-FFF2-40B4-BE49-F238E27FC236}">
                  <a16:creationId xmlns:a16="http://schemas.microsoft.com/office/drawing/2014/main" id="{00000000-0008-0000-08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9</xdr:row>
          <xdr:rowOff>85725</xdr:rowOff>
        </xdr:from>
        <xdr:to>
          <xdr:col>8</xdr:col>
          <xdr:colOff>790575</xdr:colOff>
          <xdr:row>10</xdr:row>
          <xdr:rowOff>114300</xdr:rowOff>
        </xdr:to>
        <xdr:sp macro="" textlink="">
          <xdr:nvSpPr>
            <xdr:cNvPr id="6149" name="Label4" hidden="1">
              <a:extLst>
                <a:ext uri="{63B3BB69-23CF-44E3-9099-C40C66FF867C}">
                  <a14:compatExt spid="_x0000_s6149"/>
                </a:ext>
                <a:ext uri="{FF2B5EF4-FFF2-40B4-BE49-F238E27FC236}">
                  <a16:creationId xmlns:a16="http://schemas.microsoft.com/office/drawing/2014/main" id="{00000000-0008-0000-08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152400</xdr:colOff>
          <xdr:row>10</xdr:row>
          <xdr:rowOff>114300</xdr:rowOff>
        </xdr:from>
        <xdr:to>
          <xdr:col>8</xdr:col>
          <xdr:colOff>790575</xdr:colOff>
          <xdr:row>11</xdr:row>
          <xdr:rowOff>142875</xdr:rowOff>
        </xdr:to>
        <xdr:sp macro="" textlink="">
          <xdr:nvSpPr>
            <xdr:cNvPr id="6150" name="txt_jikyu" hidden="1">
              <a:extLst>
                <a:ext uri="{63B3BB69-23CF-44E3-9099-C40C66FF867C}">
                  <a14:compatExt spid="_x0000_s6150"/>
                </a:ext>
                <a:ext uri="{FF2B5EF4-FFF2-40B4-BE49-F238E27FC236}">
                  <a16:creationId xmlns:a16="http://schemas.microsoft.com/office/drawing/2014/main" id="{00000000-0008-0000-08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790575</xdr:colOff>
          <xdr:row>9</xdr:row>
          <xdr:rowOff>95250</xdr:rowOff>
        </xdr:from>
        <xdr:to>
          <xdr:col>11</xdr:col>
          <xdr:colOff>152400</xdr:colOff>
          <xdr:row>11</xdr:row>
          <xdr:rowOff>152400</xdr:rowOff>
        </xdr:to>
        <xdr:sp macro="" textlink="">
          <xdr:nvSpPr>
            <xdr:cNvPr id="6151" name="btnKoushin1" hidden="1">
              <a:extLst>
                <a:ext uri="{63B3BB69-23CF-44E3-9099-C40C66FF867C}">
                  <a14:compatExt spid="_x0000_s6151"/>
                </a:ext>
                <a:ext uri="{FF2B5EF4-FFF2-40B4-BE49-F238E27FC236}">
                  <a16:creationId xmlns:a16="http://schemas.microsoft.com/office/drawing/2014/main" id="{00000000-0008-0000-08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8</xdr:col>
      <xdr:colOff>781050</xdr:colOff>
      <xdr:row>2</xdr:row>
      <xdr:rowOff>171450</xdr:rowOff>
    </xdr:from>
    <xdr:to>
      <xdr:col>8</xdr:col>
      <xdr:colOff>781050</xdr:colOff>
      <xdr:row>6</xdr:row>
      <xdr:rowOff>171749</xdr:rowOff>
    </xdr:to>
    <xdr:cxnSp macro="">
      <xdr:nvCxnSpPr>
        <xdr:cNvPr id="2" name="直線矢印コネクタ 1">
          <a:extLst>
            <a:ext uri="{FF2B5EF4-FFF2-40B4-BE49-F238E27FC236}">
              <a16:creationId xmlns:a16="http://schemas.microsoft.com/office/drawing/2014/main" id="{00000000-0008-0000-0900-000002000000}"/>
            </a:ext>
          </a:extLst>
        </xdr:cNvPr>
        <xdr:cNvCxnSpPr/>
      </xdr:nvCxnSpPr>
      <xdr:spPr bwMode="auto">
        <a:xfrm>
          <a:off x="6686550" y="762000"/>
          <a:ext cx="0" cy="724199"/>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514350</xdr:colOff>
      <xdr:row>0</xdr:row>
      <xdr:rowOff>83344</xdr:rowOff>
    </xdr:from>
    <xdr:to>
      <xdr:col>21</xdr:col>
      <xdr:colOff>19051</xdr:colOff>
      <xdr:row>6</xdr:row>
      <xdr:rowOff>9525</xdr:rowOff>
    </xdr:to>
    <xdr:sp macro="" textlink="">
      <xdr:nvSpPr>
        <xdr:cNvPr id="3" name="角丸四角形 2">
          <a:extLst>
            <a:ext uri="{FF2B5EF4-FFF2-40B4-BE49-F238E27FC236}">
              <a16:creationId xmlns:a16="http://schemas.microsoft.com/office/drawing/2014/main" id="{00000000-0008-0000-0900-000003000000}"/>
            </a:ext>
          </a:extLst>
        </xdr:cNvPr>
        <xdr:cNvSpPr/>
      </xdr:nvSpPr>
      <xdr:spPr>
        <a:xfrm>
          <a:off x="6419850" y="83344"/>
          <a:ext cx="2705101" cy="124063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記入する場合には、作付面積の割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合を目安に記入してください。</a:t>
          </a:r>
        </a:p>
      </xdr:txBody>
    </xdr:sp>
    <xdr:clientData/>
  </xdr:twoCellAnchor>
  <xdr:twoCellAnchor>
    <xdr:from>
      <xdr:col>8</xdr:col>
      <xdr:colOff>9525</xdr:colOff>
      <xdr:row>116</xdr:row>
      <xdr:rowOff>95250</xdr:rowOff>
    </xdr:from>
    <xdr:to>
      <xdr:col>8</xdr:col>
      <xdr:colOff>411691</xdr:colOff>
      <xdr:row>116</xdr:row>
      <xdr:rowOff>95250</xdr:rowOff>
    </xdr:to>
    <xdr:cxnSp macro="">
      <xdr:nvCxnSpPr>
        <xdr:cNvPr id="4" name="直線矢印コネクタ 3">
          <a:extLst>
            <a:ext uri="{FF2B5EF4-FFF2-40B4-BE49-F238E27FC236}">
              <a16:creationId xmlns:a16="http://schemas.microsoft.com/office/drawing/2014/main" id="{00000000-0008-0000-0900-000004000000}"/>
            </a:ext>
          </a:extLst>
        </xdr:cNvPr>
        <xdr:cNvCxnSpPr/>
      </xdr:nvCxnSpPr>
      <xdr:spPr bwMode="auto">
        <a:xfrm flipH="1">
          <a:off x="5915025" y="16554450"/>
          <a:ext cx="402166"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209549</xdr:colOff>
      <xdr:row>114</xdr:row>
      <xdr:rowOff>47625</xdr:rowOff>
    </xdr:from>
    <xdr:to>
      <xdr:col>21</xdr:col>
      <xdr:colOff>38100</xdr:colOff>
      <xdr:row>119</xdr:row>
      <xdr:rowOff>19050</xdr:rowOff>
    </xdr:to>
    <xdr:sp macro="" textlink="">
      <xdr:nvSpPr>
        <xdr:cNvPr id="5" name="角丸四角形 9">
          <a:extLst>
            <a:ext uri="{FF2B5EF4-FFF2-40B4-BE49-F238E27FC236}">
              <a16:creationId xmlns:a16="http://schemas.microsoft.com/office/drawing/2014/main" id="{00000000-0008-0000-0900-000005000000}"/>
            </a:ext>
          </a:extLst>
        </xdr:cNvPr>
        <xdr:cNvSpPr/>
      </xdr:nvSpPr>
      <xdr:spPr>
        <a:xfrm>
          <a:off x="6115049" y="16049625"/>
          <a:ext cx="3028951" cy="12192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4</xdr:col>
          <xdr:colOff>1485900</xdr:colOff>
          <xdr:row>0</xdr:row>
          <xdr:rowOff>66675</xdr:rowOff>
        </xdr:from>
        <xdr:to>
          <xdr:col>5</xdr:col>
          <xdr:colOff>438150</xdr:colOff>
          <xdr:row>2</xdr:row>
          <xdr:rowOff>9525</xdr:rowOff>
        </xdr:to>
        <xdr:sp macro="" textlink="">
          <xdr:nvSpPr>
            <xdr:cNvPr id="7169" name="Label1" hidden="1">
              <a:extLst>
                <a:ext uri="{63B3BB69-23CF-44E3-9099-C40C66FF867C}">
                  <a14:compatExt spid="_x0000_s7169"/>
                </a:ext>
                <a:ext uri="{FF2B5EF4-FFF2-40B4-BE49-F238E27FC236}">
                  <a16:creationId xmlns:a16="http://schemas.microsoft.com/office/drawing/2014/main" id="{00000000-0008-0000-09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1514475</xdr:colOff>
          <xdr:row>0</xdr:row>
          <xdr:rowOff>266700</xdr:rowOff>
        </xdr:from>
        <xdr:to>
          <xdr:col>5</xdr:col>
          <xdr:colOff>428625</xdr:colOff>
          <xdr:row>1</xdr:row>
          <xdr:rowOff>57150</xdr:rowOff>
        </xdr:to>
        <xdr:sp macro="" textlink="">
          <xdr:nvSpPr>
            <xdr:cNvPr id="7170" name="Label2" hidden="1">
              <a:extLst>
                <a:ext uri="{63B3BB69-23CF-44E3-9099-C40C66FF867C}">
                  <a14:compatExt spid="_x0000_s7170"/>
                </a:ext>
                <a:ext uri="{FF2B5EF4-FFF2-40B4-BE49-F238E27FC236}">
                  <a16:creationId xmlns:a16="http://schemas.microsoft.com/office/drawing/2014/main" id="{00000000-0008-0000-09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419100</xdr:colOff>
          <xdr:row>0</xdr:row>
          <xdr:rowOff>66675</xdr:rowOff>
        </xdr:from>
        <xdr:to>
          <xdr:col>5</xdr:col>
          <xdr:colOff>981075</xdr:colOff>
          <xdr:row>1</xdr:row>
          <xdr:rowOff>38100</xdr:rowOff>
        </xdr:to>
        <xdr:sp macro="" textlink="">
          <xdr:nvSpPr>
            <xdr:cNvPr id="7171" name="Label3" hidden="1">
              <a:extLst>
                <a:ext uri="{63B3BB69-23CF-44E3-9099-C40C66FF867C}">
                  <a14:compatExt spid="_x0000_s7171"/>
                </a:ext>
                <a:ext uri="{FF2B5EF4-FFF2-40B4-BE49-F238E27FC236}">
                  <a16:creationId xmlns:a16="http://schemas.microsoft.com/office/drawing/2014/main" id="{00000000-0008-0000-09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419100</xdr:colOff>
          <xdr:row>1</xdr:row>
          <xdr:rowOff>28575</xdr:rowOff>
        </xdr:from>
        <xdr:to>
          <xdr:col>5</xdr:col>
          <xdr:colOff>981075</xdr:colOff>
          <xdr:row>2</xdr:row>
          <xdr:rowOff>9525</xdr:rowOff>
        </xdr:to>
        <xdr:sp macro="" textlink="">
          <xdr:nvSpPr>
            <xdr:cNvPr id="7172" name="txt_chisso" hidden="1">
              <a:extLst>
                <a:ext uri="{63B3BB69-23CF-44E3-9099-C40C66FF867C}">
                  <a14:compatExt spid="_x0000_s7172"/>
                </a:ext>
                <a:ext uri="{FF2B5EF4-FFF2-40B4-BE49-F238E27FC236}">
                  <a16:creationId xmlns:a16="http://schemas.microsoft.com/office/drawing/2014/main" id="{00000000-0008-0000-0900-00000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971550</xdr:colOff>
          <xdr:row>2</xdr:row>
          <xdr:rowOff>9525</xdr:rowOff>
        </xdr:from>
        <xdr:to>
          <xdr:col>8</xdr:col>
          <xdr:colOff>495300</xdr:colOff>
          <xdr:row>4</xdr:row>
          <xdr:rowOff>66675</xdr:rowOff>
        </xdr:to>
        <xdr:sp macro="" textlink="">
          <xdr:nvSpPr>
            <xdr:cNvPr id="7173" name="btnKoushin1" hidden="1">
              <a:extLst>
                <a:ext uri="{63B3BB69-23CF-44E3-9099-C40C66FF867C}">
                  <a14:compatExt spid="_x0000_s7173"/>
                </a:ext>
                <a:ext uri="{FF2B5EF4-FFF2-40B4-BE49-F238E27FC236}">
                  <a16:creationId xmlns:a16="http://schemas.microsoft.com/office/drawing/2014/main" id="{00000000-0008-0000-09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981075</xdr:colOff>
          <xdr:row>0</xdr:row>
          <xdr:rowOff>66675</xdr:rowOff>
        </xdr:from>
        <xdr:to>
          <xdr:col>6</xdr:col>
          <xdr:colOff>9525</xdr:colOff>
          <xdr:row>1</xdr:row>
          <xdr:rowOff>28575</xdr:rowOff>
        </xdr:to>
        <xdr:sp macro="" textlink="">
          <xdr:nvSpPr>
            <xdr:cNvPr id="7174" name="Label4" hidden="1">
              <a:extLst>
                <a:ext uri="{63B3BB69-23CF-44E3-9099-C40C66FF867C}">
                  <a14:compatExt spid="_x0000_s7174"/>
                </a:ext>
                <a:ext uri="{FF2B5EF4-FFF2-40B4-BE49-F238E27FC236}">
                  <a16:creationId xmlns:a16="http://schemas.microsoft.com/office/drawing/2014/main" id="{00000000-0008-0000-0900-00000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981075</xdr:colOff>
          <xdr:row>1</xdr:row>
          <xdr:rowOff>28575</xdr:rowOff>
        </xdr:from>
        <xdr:to>
          <xdr:col>6</xdr:col>
          <xdr:colOff>9525</xdr:colOff>
          <xdr:row>2</xdr:row>
          <xdr:rowOff>9525</xdr:rowOff>
        </xdr:to>
        <xdr:sp macro="" textlink="">
          <xdr:nvSpPr>
            <xdr:cNvPr id="7175" name="txt_rinsan" hidden="1">
              <a:extLst>
                <a:ext uri="{63B3BB69-23CF-44E3-9099-C40C66FF867C}">
                  <a14:compatExt spid="_x0000_s7175"/>
                </a:ext>
                <a:ext uri="{FF2B5EF4-FFF2-40B4-BE49-F238E27FC236}">
                  <a16:creationId xmlns:a16="http://schemas.microsoft.com/office/drawing/2014/main" id="{00000000-0008-0000-0900-00000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0</xdr:row>
          <xdr:rowOff>66675</xdr:rowOff>
        </xdr:from>
        <xdr:to>
          <xdr:col>7</xdr:col>
          <xdr:colOff>228600</xdr:colOff>
          <xdr:row>1</xdr:row>
          <xdr:rowOff>28575</xdr:rowOff>
        </xdr:to>
        <xdr:sp macro="" textlink="">
          <xdr:nvSpPr>
            <xdr:cNvPr id="7176" name="Label5" hidden="1">
              <a:extLst>
                <a:ext uri="{63B3BB69-23CF-44E3-9099-C40C66FF867C}">
                  <a14:compatExt spid="_x0000_s7176"/>
                </a:ext>
                <a:ext uri="{FF2B5EF4-FFF2-40B4-BE49-F238E27FC236}">
                  <a16:creationId xmlns:a16="http://schemas.microsoft.com/office/drawing/2014/main" id="{00000000-0008-0000-0900-000008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xdr:row>
          <xdr:rowOff>28575</xdr:rowOff>
        </xdr:from>
        <xdr:to>
          <xdr:col>7</xdr:col>
          <xdr:colOff>228600</xdr:colOff>
          <xdr:row>2</xdr:row>
          <xdr:rowOff>9525</xdr:rowOff>
        </xdr:to>
        <xdr:sp macro="" textlink="">
          <xdr:nvSpPr>
            <xdr:cNvPr id="7177" name="txt_kari" hidden="1">
              <a:extLst>
                <a:ext uri="{63B3BB69-23CF-44E3-9099-C40C66FF867C}">
                  <a14:compatExt spid="_x0000_s7177"/>
                </a:ext>
                <a:ext uri="{FF2B5EF4-FFF2-40B4-BE49-F238E27FC236}">
                  <a16:creationId xmlns:a16="http://schemas.microsoft.com/office/drawing/2014/main" id="{00000000-0008-0000-0900-000009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0</xdr:row>
          <xdr:rowOff>66675</xdr:rowOff>
        </xdr:from>
        <xdr:to>
          <xdr:col>7</xdr:col>
          <xdr:colOff>790575</xdr:colOff>
          <xdr:row>1</xdr:row>
          <xdr:rowOff>28575</xdr:rowOff>
        </xdr:to>
        <xdr:sp macro="" textlink="">
          <xdr:nvSpPr>
            <xdr:cNvPr id="7178" name="Label6" hidden="1">
              <a:extLst>
                <a:ext uri="{63B3BB69-23CF-44E3-9099-C40C66FF867C}">
                  <a14:compatExt spid="_x0000_s7178"/>
                </a:ext>
                <a:ext uri="{FF2B5EF4-FFF2-40B4-BE49-F238E27FC236}">
                  <a16:creationId xmlns:a16="http://schemas.microsoft.com/office/drawing/2014/main" id="{00000000-0008-0000-0900-00000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1</xdr:row>
          <xdr:rowOff>28575</xdr:rowOff>
        </xdr:from>
        <xdr:to>
          <xdr:col>7</xdr:col>
          <xdr:colOff>790575</xdr:colOff>
          <xdr:row>2</xdr:row>
          <xdr:rowOff>9525</xdr:rowOff>
        </xdr:to>
        <xdr:sp macro="" textlink="">
          <xdr:nvSpPr>
            <xdr:cNvPr id="7179" name="txt_keisan" hidden="1">
              <a:extLst>
                <a:ext uri="{63B3BB69-23CF-44E3-9099-C40C66FF867C}">
                  <a14:compatExt spid="_x0000_s7179"/>
                </a:ext>
                <a:ext uri="{FF2B5EF4-FFF2-40B4-BE49-F238E27FC236}">
                  <a16:creationId xmlns:a16="http://schemas.microsoft.com/office/drawing/2014/main" id="{00000000-0008-0000-09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790575</xdr:colOff>
          <xdr:row>0</xdr:row>
          <xdr:rowOff>66675</xdr:rowOff>
        </xdr:from>
        <xdr:to>
          <xdr:col>7</xdr:col>
          <xdr:colOff>1400175</xdr:colOff>
          <xdr:row>1</xdr:row>
          <xdr:rowOff>28575</xdr:rowOff>
        </xdr:to>
        <xdr:sp macro="" textlink="">
          <xdr:nvSpPr>
            <xdr:cNvPr id="7180" name="Label7" hidden="1">
              <a:extLst>
                <a:ext uri="{63B3BB69-23CF-44E3-9099-C40C66FF867C}">
                  <a14:compatExt spid="_x0000_s7180"/>
                </a:ext>
                <a:ext uri="{FF2B5EF4-FFF2-40B4-BE49-F238E27FC236}">
                  <a16:creationId xmlns:a16="http://schemas.microsoft.com/office/drawing/2014/main" id="{00000000-0008-0000-0900-00000C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790575</xdr:colOff>
          <xdr:row>1</xdr:row>
          <xdr:rowOff>28575</xdr:rowOff>
        </xdr:from>
        <xdr:to>
          <xdr:col>7</xdr:col>
          <xdr:colOff>1400175</xdr:colOff>
          <xdr:row>2</xdr:row>
          <xdr:rowOff>9525</xdr:rowOff>
        </xdr:to>
        <xdr:sp macro="" textlink="">
          <xdr:nvSpPr>
            <xdr:cNvPr id="7181" name="txt_tansan" hidden="1">
              <a:extLst>
                <a:ext uri="{63B3BB69-23CF-44E3-9099-C40C66FF867C}">
                  <a14:compatExt spid="_x0000_s7181"/>
                </a:ext>
                <a:ext uri="{FF2B5EF4-FFF2-40B4-BE49-F238E27FC236}">
                  <a16:creationId xmlns:a16="http://schemas.microsoft.com/office/drawing/2014/main" id="{00000000-0008-0000-0900-00000D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1381125</xdr:colOff>
          <xdr:row>0</xdr:row>
          <xdr:rowOff>66675</xdr:rowOff>
        </xdr:from>
        <xdr:to>
          <xdr:col>8</xdr:col>
          <xdr:colOff>476250</xdr:colOff>
          <xdr:row>1</xdr:row>
          <xdr:rowOff>28575</xdr:rowOff>
        </xdr:to>
        <xdr:sp macro="" textlink="">
          <xdr:nvSpPr>
            <xdr:cNvPr id="7182" name="Label8" hidden="1">
              <a:extLst>
                <a:ext uri="{63B3BB69-23CF-44E3-9099-C40C66FF867C}">
                  <a14:compatExt spid="_x0000_s7182"/>
                </a:ext>
                <a:ext uri="{FF2B5EF4-FFF2-40B4-BE49-F238E27FC236}">
                  <a16:creationId xmlns:a16="http://schemas.microsoft.com/office/drawing/2014/main" id="{00000000-0008-0000-0900-00000E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1381125</xdr:colOff>
          <xdr:row>1</xdr:row>
          <xdr:rowOff>28575</xdr:rowOff>
        </xdr:from>
        <xdr:to>
          <xdr:col>8</xdr:col>
          <xdr:colOff>476250</xdr:colOff>
          <xdr:row>2</xdr:row>
          <xdr:rowOff>9525</xdr:rowOff>
        </xdr:to>
        <xdr:sp macro="" textlink="">
          <xdr:nvSpPr>
            <xdr:cNvPr id="7183" name="txt_fukugou" hidden="1">
              <a:extLst>
                <a:ext uri="{63B3BB69-23CF-44E3-9099-C40C66FF867C}">
                  <a14:compatExt spid="_x0000_s7183"/>
                </a:ext>
                <a:ext uri="{FF2B5EF4-FFF2-40B4-BE49-F238E27FC236}">
                  <a16:creationId xmlns:a16="http://schemas.microsoft.com/office/drawing/2014/main" id="{00000000-0008-0000-0900-00000F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6</xdr:col>
      <xdr:colOff>504826</xdr:colOff>
      <xdr:row>3</xdr:row>
      <xdr:rowOff>180974</xdr:rowOff>
    </xdr:from>
    <xdr:to>
      <xdr:col>18</xdr:col>
      <xdr:colOff>38101</xdr:colOff>
      <xdr:row>8</xdr:row>
      <xdr:rowOff>13949</xdr:rowOff>
    </xdr:to>
    <xdr:grpSp>
      <xdr:nvGrpSpPr>
        <xdr:cNvPr id="2" name="グループ化 1">
          <a:extLst>
            <a:ext uri="{FF2B5EF4-FFF2-40B4-BE49-F238E27FC236}">
              <a16:creationId xmlns:a16="http://schemas.microsoft.com/office/drawing/2014/main" id="{00000000-0008-0000-0A00-000002000000}"/>
            </a:ext>
          </a:extLst>
        </xdr:cNvPr>
        <xdr:cNvGrpSpPr/>
      </xdr:nvGrpSpPr>
      <xdr:grpSpPr>
        <a:xfrm>
          <a:off x="4552951" y="859630"/>
          <a:ext cx="2700338" cy="964069"/>
          <a:chOff x="12239135" y="3402536"/>
          <a:chExt cx="1215172" cy="1330414"/>
        </a:xfrm>
      </xdr:grpSpPr>
      <xdr:cxnSp macro="">
        <xdr:nvCxnSpPr>
          <xdr:cNvPr id="3" name="直線矢印コネクタ 2">
            <a:extLst>
              <a:ext uri="{FF2B5EF4-FFF2-40B4-BE49-F238E27FC236}">
                <a16:creationId xmlns:a16="http://schemas.microsoft.com/office/drawing/2014/main" id="{00000000-0008-0000-0A00-000003000000}"/>
              </a:ext>
            </a:extLst>
          </xdr:cNvPr>
          <xdr:cNvCxnSpPr/>
        </xdr:nvCxnSpPr>
        <xdr:spPr bwMode="auto">
          <a:xfrm flipH="1" flipV="1">
            <a:off x="12239135" y="4552658"/>
            <a:ext cx="1215172" cy="18452"/>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A00-000004000000}"/>
              </a:ext>
            </a:extLst>
          </xdr:cNvPr>
          <xdr:cNvCxnSpPr/>
        </xdr:nvCxnSpPr>
        <xdr:spPr bwMode="auto">
          <a:xfrm flipH="1">
            <a:off x="13449300" y="3402536"/>
            <a:ext cx="490" cy="115993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0A00-000005000000}"/>
              </a:ext>
            </a:extLst>
          </xdr:cNvPr>
          <xdr:cNvCxnSpPr/>
        </xdr:nvCxnSpPr>
        <xdr:spPr bwMode="auto">
          <a:xfrm>
            <a:off x="12239625" y="4552950"/>
            <a:ext cx="0" cy="18000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92869</xdr:colOff>
      <xdr:row>0</xdr:row>
      <xdr:rowOff>107156</xdr:rowOff>
    </xdr:from>
    <xdr:to>
      <xdr:col>18</xdr:col>
      <xdr:colOff>73069</xdr:colOff>
      <xdr:row>4</xdr:row>
      <xdr:rowOff>166687</xdr:rowOff>
    </xdr:to>
    <xdr:sp macro="" textlink="">
      <xdr:nvSpPr>
        <xdr:cNvPr id="6" name="角丸四角形 9">
          <a:extLst>
            <a:ext uri="{FF2B5EF4-FFF2-40B4-BE49-F238E27FC236}">
              <a16:creationId xmlns:a16="http://schemas.microsoft.com/office/drawing/2014/main" id="{00000000-0008-0000-0A00-000006000000}"/>
            </a:ext>
          </a:extLst>
        </xdr:cNvPr>
        <xdr:cNvSpPr/>
      </xdr:nvSpPr>
      <xdr:spPr>
        <a:xfrm>
          <a:off x="4140994" y="107156"/>
          <a:ext cx="3147263" cy="964406"/>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1</xdr:col>
          <xdr:colOff>19050</xdr:colOff>
          <xdr:row>1</xdr:row>
          <xdr:rowOff>9525</xdr:rowOff>
        </xdr:from>
        <xdr:to>
          <xdr:col>4</xdr:col>
          <xdr:colOff>95250</xdr:colOff>
          <xdr:row>3</xdr:row>
          <xdr:rowOff>104775</xdr:rowOff>
        </xdr:to>
        <xdr:sp macro="" textlink="">
          <xdr:nvSpPr>
            <xdr:cNvPr id="8193" name="Label1" hidden="1">
              <a:extLst>
                <a:ext uri="{63B3BB69-23CF-44E3-9099-C40C66FF867C}">
                  <a14:compatExt spid="_x0000_s8193"/>
                </a:ext>
                <a:ext uri="{FF2B5EF4-FFF2-40B4-BE49-F238E27FC236}">
                  <a16:creationId xmlns:a16="http://schemas.microsoft.com/office/drawing/2014/main" id="{00000000-0008-0000-0A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95250</xdr:colOff>
          <xdr:row>1</xdr:row>
          <xdr:rowOff>219075</xdr:rowOff>
        </xdr:from>
        <xdr:to>
          <xdr:col>4</xdr:col>
          <xdr:colOff>57150</xdr:colOff>
          <xdr:row>2</xdr:row>
          <xdr:rowOff>133350</xdr:rowOff>
        </xdr:to>
        <xdr:sp macro="" textlink="">
          <xdr:nvSpPr>
            <xdr:cNvPr id="8194" name="Label2" hidden="1">
              <a:extLst>
                <a:ext uri="{63B3BB69-23CF-44E3-9099-C40C66FF867C}">
                  <a14:compatExt spid="_x0000_s8194"/>
                </a:ext>
                <a:ext uri="{FF2B5EF4-FFF2-40B4-BE49-F238E27FC236}">
                  <a16:creationId xmlns:a16="http://schemas.microsoft.com/office/drawing/2014/main" id="{00000000-0008-0000-0A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1</xdr:row>
          <xdr:rowOff>9525</xdr:rowOff>
        </xdr:from>
        <xdr:to>
          <xdr:col>4</xdr:col>
          <xdr:colOff>600075</xdr:colOff>
          <xdr:row>2</xdr:row>
          <xdr:rowOff>123825</xdr:rowOff>
        </xdr:to>
        <xdr:sp macro="" textlink="">
          <xdr:nvSpPr>
            <xdr:cNvPr id="8195" name="Label3" hidden="1">
              <a:extLst>
                <a:ext uri="{63B3BB69-23CF-44E3-9099-C40C66FF867C}">
                  <a14:compatExt spid="_x0000_s8195"/>
                </a:ext>
                <a:ext uri="{FF2B5EF4-FFF2-40B4-BE49-F238E27FC236}">
                  <a16:creationId xmlns:a16="http://schemas.microsoft.com/office/drawing/2014/main" id="{00000000-0008-0000-0A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2</xdr:row>
          <xdr:rowOff>123825</xdr:rowOff>
        </xdr:from>
        <xdr:to>
          <xdr:col>4</xdr:col>
          <xdr:colOff>600075</xdr:colOff>
          <xdr:row>3</xdr:row>
          <xdr:rowOff>104775</xdr:rowOff>
        </xdr:to>
        <xdr:sp macro="" textlink="">
          <xdr:nvSpPr>
            <xdr:cNvPr id="8196" name="txt_sacchuuzai" hidden="1">
              <a:extLst>
                <a:ext uri="{63B3BB69-23CF-44E3-9099-C40C66FF867C}">
                  <a14:compatExt spid="_x0000_s8196"/>
                </a:ext>
                <a:ext uri="{FF2B5EF4-FFF2-40B4-BE49-F238E27FC236}">
                  <a16:creationId xmlns:a16="http://schemas.microsoft.com/office/drawing/2014/main" id="{00000000-0008-0000-0A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428625</xdr:colOff>
          <xdr:row>1</xdr:row>
          <xdr:rowOff>9525</xdr:rowOff>
        </xdr:from>
        <xdr:to>
          <xdr:col>6</xdr:col>
          <xdr:colOff>57150</xdr:colOff>
          <xdr:row>3</xdr:row>
          <xdr:rowOff>104775</xdr:rowOff>
        </xdr:to>
        <xdr:sp macro="" textlink="">
          <xdr:nvSpPr>
            <xdr:cNvPr id="8197" name="btnKoushin1" hidden="1">
              <a:extLst>
                <a:ext uri="{63B3BB69-23CF-44E3-9099-C40C66FF867C}">
                  <a14:compatExt spid="_x0000_s8197"/>
                </a:ext>
                <a:ext uri="{FF2B5EF4-FFF2-40B4-BE49-F238E27FC236}">
                  <a16:creationId xmlns:a16="http://schemas.microsoft.com/office/drawing/2014/main" id="{00000000-0008-0000-0A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600075</xdr:colOff>
          <xdr:row>1</xdr:row>
          <xdr:rowOff>9525</xdr:rowOff>
        </xdr:from>
        <xdr:to>
          <xdr:col>4</xdr:col>
          <xdr:colOff>1133475</xdr:colOff>
          <xdr:row>2</xdr:row>
          <xdr:rowOff>123825</xdr:rowOff>
        </xdr:to>
        <xdr:sp macro="" textlink="">
          <xdr:nvSpPr>
            <xdr:cNvPr id="8198" name="Label4" hidden="1">
              <a:extLst>
                <a:ext uri="{63B3BB69-23CF-44E3-9099-C40C66FF867C}">
                  <a14:compatExt spid="_x0000_s8198"/>
                </a:ext>
                <a:ext uri="{FF2B5EF4-FFF2-40B4-BE49-F238E27FC236}">
                  <a16:creationId xmlns:a16="http://schemas.microsoft.com/office/drawing/2014/main" id="{00000000-0008-0000-0A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600075</xdr:colOff>
          <xdr:row>2</xdr:row>
          <xdr:rowOff>123825</xdr:rowOff>
        </xdr:from>
        <xdr:to>
          <xdr:col>4</xdr:col>
          <xdr:colOff>1133475</xdr:colOff>
          <xdr:row>3</xdr:row>
          <xdr:rowOff>104775</xdr:rowOff>
        </xdr:to>
        <xdr:sp macro="" textlink="">
          <xdr:nvSpPr>
            <xdr:cNvPr id="8199" name="txt_sakkinzai" hidden="1">
              <a:extLst>
                <a:ext uri="{63B3BB69-23CF-44E3-9099-C40C66FF867C}">
                  <a14:compatExt spid="_x0000_s8199"/>
                </a:ext>
                <a:ext uri="{FF2B5EF4-FFF2-40B4-BE49-F238E27FC236}">
                  <a16:creationId xmlns:a16="http://schemas.microsoft.com/office/drawing/2014/main" id="{00000000-0008-0000-0A00-00000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1133475</xdr:colOff>
          <xdr:row>1</xdr:row>
          <xdr:rowOff>9525</xdr:rowOff>
        </xdr:from>
        <xdr:to>
          <xdr:col>4</xdr:col>
          <xdr:colOff>1657350</xdr:colOff>
          <xdr:row>2</xdr:row>
          <xdr:rowOff>123825</xdr:rowOff>
        </xdr:to>
        <xdr:sp macro="" textlink="">
          <xdr:nvSpPr>
            <xdr:cNvPr id="8200" name="Label5" hidden="1">
              <a:extLst>
                <a:ext uri="{63B3BB69-23CF-44E3-9099-C40C66FF867C}">
                  <a14:compatExt spid="_x0000_s8200"/>
                </a:ext>
                <a:ext uri="{FF2B5EF4-FFF2-40B4-BE49-F238E27FC236}">
                  <a16:creationId xmlns:a16="http://schemas.microsoft.com/office/drawing/2014/main" id="{00000000-0008-0000-0A00-00000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1133475</xdr:colOff>
          <xdr:row>2</xdr:row>
          <xdr:rowOff>123825</xdr:rowOff>
        </xdr:from>
        <xdr:to>
          <xdr:col>4</xdr:col>
          <xdr:colOff>1657350</xdr:colOff>
          <xdr:row>3</xdr:row>
          <xdr:rowOff>104775</xdr:rowOff>
        </xdr:to>
        <xdr:sp macro="" textlink="">
          <xdr:nvSpPr>
            <xdr:cNvPr id="8201" name="txt_sachuukin" hidden="1">
              <a:extLst>
                <a:ext uri="{63B3BB69-23CF-44E3-9099-C40C66FF867C}">
                  <a14:compatExt spid="_x0000_s8201"/>
                </a:ext>
                <a:ext uri="{FF2B5EF4-FFF2-40B4-BE49-F238E27FC236}">
                  <a16:creationId xmlns:a16="http://schemas.microsoft.com/office/drawing/2014/main" id="{00000000-0008-0000-0A00-00000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1647825</xdr:colOff>
          <xdr:row>1</xdr:row>
          <xdr:rowOff>9525</xdr:rowOff>
        </xdr:from>
        <xdr:to>
          <xdr:col>5</xdr:col>
          <xdr:colOff>438150</xdr:colOff>
          <xdr:row>2</xdr:row>
          <xdr:rowOff>123825</xdr:rowOff>
        </xdr:to>
        <xdr:sp macro="" textlink="">
          <xdr:nvSpPr>
            <xdr:cNvPr id="8202" name="Label6" hidden="1">
              <a:extLst>
                <a:ext uri="{63B3BB69-23CF-44E3-9099-C40C66FF867C}">
                  <a14:compatExt spid="_x0000_s8202"/>
                </a:ext>
                <a:ext uri="{FF2B5EF4-FFF2-40B4-BE49-F238E27FC236}">
                  <a16:creationId xmlns:a16="http://schemas.microsoft.com/office/drawing/2014/main" id="{00000000-0008-0000-0A00-00000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1647825</xdr:colOff>
          <xdr:row>2</xdr:row>
          <xdr:rowOff>123825</xdr:rowOff>
        </xdr:from>
        <xdr:to>
          <xdr:col>5</xdr:col>
          <xdr:colOff>438150</xdr:colOff>
          <xdr:row>3</xdr:row>
          <xdr:rowOff>104775</xdr:rowOff>
        </xdr:to>
        <xdr:sp macro="" textlink="">
          <xdr:nvSpPr>
            <xdr:cNvPr id="8203" name="txt_josouzai" hidden="1">
              <a:extLst>
                <a:ext uri="{63B3BB69-23CF-44E3-9099-C40C66FF867C}">
                  <a14:compatExt spid="_x0000_s8203"/>
                </a:ext>
                <a:ext uri="{FF2B5EF4-FFF2-40B4-BE49-F238E27FC236}">
                  <a16:creationId xmlns:a16="http://schemas.microsoft.com/office/drawing/2014/main" id="{00000000-0008-0000-0A00-00000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152400</xdr:colOff>
          <xdr:row>1</xdr:row>
          <xdr:rowOff>123825</xdr:rowOff>
        </xdr:from>
        <xdr:to>
          <xdr:col>4</xdr:col>
          <xdr:colOff>581025</xdr:colOff>
          <xdr:row>2</xdr:row>
          <xdr:rowOff>57150</xdr:rowOff>
        </xdr:to>
        <xdr:sp macro="" textlink="">
          <xdr:nvSpPr>
            <xdr:cNvPr id="8204" name="Label7" hidden="1">
              <a:extLst>
                <a:ext uri="{63B3BB69-23CF-44E3-9099-C40C66FF867C}">
                  <a14:compatExt spid="_x0000_s8204"/>
                </a:ext>
                <a:ext uri="{FF2B5EF4-FFF2-40B4-BE49-F238E27FC236}">
                  <a16:creationId xmlns:a16="http://schemas.microsoft.com/office/drawing/2014/main" id="{00000000-0008-0000-0A00-00000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676275</xdr:colOff>
          <xdr:row>1</xdr:row>
          <xdr:rowOff>123825</xdr:rowOff>
        </xdr:from>
        <xdr:to>
          <xdr:col>4</xdr:col>
          <xdr:colOff>1076325</xdr:colOff>
          <xdr:row>2</xdr:row>
          <xdr:rowOff>57150</xdr:rowOff>
        </xdr:to>
        <xdr:sp macro="" textlink="">
          <xdr:nvSpPr>
            <xdr:cNvPr id="8205" name="Label8" hidden="1">
              <a:extLst>
                <a:ext uri="{63B3BB69-23CF-44E3-9099-C40C66FF867C}">
                  <a14:compatExt spid="_x0000_s8205"/>
                </a:ext>
                <a:ext uri="{FF2B5EF4-FFF2-40B4-BE49-F238E27FC236}">
                  <a16:creationId xmlns:a16="http://schemas.microsoft.com/office/drawing/2014/main" id="{00000000-0008-0000-0A00-00000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1190625</xdr:colOff>
          <xdr:row>1</xdr:row>
          <xdr:rowOff>66675</xdr:rowOff>
        </xdr:from>
        <xdr:to>
          <xdr:col>4</xdr:col>
          <xdr:colOff>1628775</xdr:colOff>
          <xdr:row>2</xdr:row>
          <xdr:rowOff>95250</xdr:rowOff>
        </xdr:to>
        <xdr:sp macro="" textlink="">
          <xdr:nvSpPr>
            <xdr:cNvPr id="8206" name="Label9" hidden="1">
              <a:extLst>
                <a:ext uri="{63B3BB69-23CF-44E3-9099-C40C66FF867C}">
                  <a14:compatExt spid="_x0000_s8206"/>
                </a:ext>
                <a:ext uri="{FF2B5EF4-FFF2-40B4-BE49-F238E27FC236}">
                  <a16:creationId xmlns:a16="http://schemas.microsoft.com/office/drawing/2014/main" id="{00000000-0008-0000-0A00-00000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1</xdr:row>
          <xdr:rowOff>133350</xdr:rowOff>
        </xdr:from>
        <xdr:to>
          <xdr:col>5</xdr:col>
          <xdr:colOff>381000</xdr:colOff>
          <xdr:row>2</xdr:row>
          <xdr:rowOff>66675</xdr:rowOff>
        </xdr:to>
        <xdr:sp macro="" textlink="">
          <xdr:nvSpPr>
            <xdr:cNvPr id="8207" name="Label10" hidden="1">
              <a:extLst>
                <a:ext uri="{63B3BB69-23CF-44E3-9099-C40C66FF867C}">
                  <a14:compatExt spid="_x0000_s8207"/>
                </a:ext>
                <a:ext uri="{FF2B5EF4-FFF2-40B4-BE49-F238E27FC236}">
                  <a16:creationId xmlns:a16="http://schemas.microsoft.com/office/drawing/2014/main" id="{00000000-0008-0000-0A00-00000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18</xdr:col>
      <xdr:colOff>0</xdr:colOff>
      <xdr:row>36</xdr:row>
      <xdr:rowOff>38100</xdr:rowOff>
    </xdr:from>
    <xdr:to>
      <xdr:col>26</xdr:col>
      <xdr:colOff>33618</xdr:colOff>
      <xdr:row>42</xdr:row>
      <xdr:rowOff>85725</xdr:rowOff>
    </xdr:to>
    <xdr:grpSp>
      <xdr:nvGrpSpPr>
        <xdr:cNvPr id="2" name="グループ化 1">
          <a:extLst>
            <a:ext uri="{FF2B5EF4-FFF2-40B4-BE49-F238E27FC236}">
              <a16:creationId xmlns:a16="http://schemas.microsoft.com/office/drawing/2014/main" id="{00000000-0008-0000-0B00-000002000000}"/>
            </a:ext>
          </a:extLst>
        </xdr:cNvPr>
        <xdr:cNvGrpSpPr/>
      </xdr:nvGrpSpPr>
      <xdr:grpSpPr>
        <a:xfrm>
          <a:off x="6286500" y="7579659"/>
          <a:ext cx="1378324" cy="1123390"/>
          <a:chOff x="5971054" y="6862482"/>
          <a:chExt cx="1380005" cy="1123390"/>
        </a:xfrm>
      </xdr:grpSpPr>
      <xdr:cxnSp macro="">
        <xdr:nvCxnSpPr>
          <xdr:cNvPr id="3" name="直線矢印コネクタ 2">
            <a:extLst>
              <a:ext uri="{FF2B5EF4-FFF2-40B4-BE49-F238E27FC236}">
                <a16:creationId xmlns:a16="http://schemas.microsoft.com/office/drawing/2014/main" id="{00000000-0008-0000-0B00-000003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B00-000004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3361</xdr:colOff>
      <xdr:row>33</xdr:row>
      <xdr:rowOff>369795</xdr:rowOff>
    </xdr:from>
    <xdr:to>
      <xdr:col>27</xdr:col>
      <xdr:colOff>114299</xdr:colOff>
      <xdr:row>36</xdr:row>
      <xdr:rowOff>47625</xdr:rowOff>
    </xdr:to>
    <xdr:sp macro="" textlink="">
      <xdr:nvSpPr>
        <xdr:cNvPr id="5" name="角丸四角形 4">
          <a:extLst>
            <a:ext uri="{FF2B5EF4-FFF2-40B4-BE49-F238E27FC236}">
              <a16:creationId xmlns:a16="http://schemas.microsoft.com/office/drawing/2014/main" id="{00000000-0008-0000-0B00-000005000000}"/>
            </a:ext>
          </a:extLst>
        </xdr:cNvPr>
        <xdr:cNvSpPr/>
      </xdr:nvSpPr>
      <xdr:spPr>
        <a:xfrm>
          <a:off x="1708336" y="6961095"/>
          <a:ext cx="6216463" cy="64938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・対象品目以外の使用分を含めて記入する場合には、作付面積の割合を目安に記入してください。</a:t>
          </a:r>
        </a:p>
      </xdr:txBody>
    </xdr:sp>
    <xdr:clientData/>
  </xdr:twoCellAnchor>
  <xdr:twoCellAnchor>
    <xdr:from>
      <xdr:col>18</xdr:col>
      <xdr:colOff>0</xdr:colOff>
      <xdr:row>0</xdr:row>
      <xdr:rowOff>428625</xdr:rowOff>
    </xdr:from>
    <xdr:to>
      <xdr:col>26</xdr:col>
      <xdr:colOff>33618</xdr:colOff>
      <xdr:row>6</xdr:row>
      <xdr:rowOff>66675</xdr:rowOff>
    </xdr:to>
    <xdr:grpSp>
      <xdr:nvGrpSpPr>
        <xdr:cNvPr id="6" name="グループ化 5">
          <a:extLst>
            <a:ext uri="{FF2B5EF4-FFF2-40B4-BE49-F238E27FC236}">
              <a16:creationId xmlns:a16="http://schemas.microsoft.com/office/drawing/2014/main" id="{00000000-0008-0000-0B00-000006000000}"/>
            </a:ext>
          </a:extLst>
        </xdr:cNvPr>
        <xdr:cNvGrpSpPr/>
      </xdr:nvGrpSpPr>
      <xdr:grpSpPr>
        <a:xfrm>
          <a:off x="6286500" y="428625"/>
          <a:ext cx="1378324" cy="1296521"/>
          <a:chOff x="5971054" y="6862482"/>
          <a:chExt cx="1380005" cy="1123390"/>
        </a:xfrm>
      </xdr:grpSpPr>
      <xdr:cxnSp macro="">
        <xdr:nvCxnSpPr>
          <xdr:cNvPr id="7" name="直線矢印コネクタ 6">
            <a:extLst>
              <a:ext uri="{FF2B5EF4-FFF2-40B4-BE49-F238E27FC236}">
                <a16:creationId xmlns:a16="http://schemas.microsoft.com/office/drawing/2014/main" id="{00000000-0008-0000-0B00-000007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直線コネクタ 7">
            <a:extLst>
              <a:ext uri="{FF2B5EF4-FFF2-40B4-BE49-F238E27FC236}">
                <a16:creationId xmlns:a16="http://schemas.microsoft.com/office/drawing/2014/main" id="{00000000-0008-0000-0B00-000008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7003</xdr:colOff>
      <xdr:row>0</xdr:row>
      <xdr:rowOff>71436</xdr:rowOff>
    </xdr:from>
    <xdr:to>
      <xdr:col>26</xdr:col>
      <xdr:colOff>153380</xdr:colOff>
      <xdr:row>1</xdr:row>
      <xdr:rowOff>190499</xdr:rowOff>
    </xdr:to>
    <xdr:sp macro="" textlink="">
      <xdr:nvSpPr>
        <xdr:cNvPr id="9" name="角丸四角形 8">
          <a:extLst>
            <a:ext uri="{FF2B5EF4-FFF2-40B4-BE49-F238E27FC236}">
              <a16:creationId xmlns:a16="http://schemas.microsoft.com/office/drawing/2014/main" id="{00000000-0008-0000-0B00-000009000000}"/>
            </a:ext>
          </a:extLst>
        </xdr:cNvPr>
        <xdr:cNvSpPr/>
      </xdr:nvSpPr>
      <xdr:spPr>
        <a:xfrm>
          <a:off x="2312053" y="71436"/>
          <a:ext cx="5451802" cy="852488"/>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・対象品目以外の使用分を含めて記入する場合には、機械等の使用時間</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a:t>
          </a:r>
          <a:r>
            <a:rPr kumimoji="1" lang="ja-JP" altLang="en-US" sz="1000">
              <a:solidFill>
                <a:srgbClr val="0041FF"/>
              </a:solidFill>
              <a:latin typeface="ＭＳ ゴシック" panose="020B0609070205080204" pitchFamily="49" charset="-128"/>
              <a:ea typeface="ＭＳ ゴシック" panose="020B0609070205080204" pitchFamily="49" charset="-128"/>
            </a:rPr>
            <a:t>や作付面積の割合を目安に記入してください。</a:t>
          </a:r>
        </a:p>
      </xdr:txBody>
    </xdr:sp>
    <xdr:clientData/>
  </xdr:twoCellAnchor>
  <xdr:twoCellAnchor>
    <xdr:from>
      <xdr:col>14</xdr:col>
      <xdr:colOff>35719</xdr:colOff>
      <xdr:row>77</xdr:row>
      <xdr:rowOff>11906</xdr:rowOff>
    </xdr:from>
    <xdr:to>
      <xdr:col>21</xdr:col>
      <xdr:colOff>74044</xdr:colOff>
      <xdr:row>92</xdr:row>
      <xdr:rowOff>47625</xdr:rowOff>
    </xdr:to>
    <xdr:grpSp>
      <xdr:nvGrpSpPr>
        <xdr:cNvPr id="10" name="グループ化 9">
          <a:extLst>
            <a:ext uri="{FF2B5EF4-FFF2-40B4-BE49-F238E27FC236}">
              <a16:creationId xmlns:a16="http://schemas.microsoft.com/office/drawing/2014/main" id="{00000000-0008-0000-0B00-00000A000000}"/>
            </a:ext>
          </a:extLst>
        </xdr:cNvPr>
        <xdr:cNvGrpSpPr/>
      </xdr:nvGrpSpPr>
      <xdr:grpSpPr>
        <a:xfrm>
          <a:off x="4226719" y="11688435"/>
          <a:ext cx="2738943" cy="797719"/>
          <a:chOff x="4053024" y="15454247"/>
          <a:chExt cx="2748946" cy="5794085"/>
        </a:xfrm>
      </xdr:grpSpPr>
      <xdr:sp macro="" textlink="">
        <xdr:nvSpPr>
          <xdr:cNvPr id="11" name="右中かっこ 10">
            <a:extLst>
              <a:ext uri="{FF2B5EF4-FFF2-40B4-BE49-F238E27FC236}">
                <a16:creationId xmlns:a16="http://schemas.microsoft.com/office/drawing/2014/main" id="{00000000-0008-0000-0B00-00000B000000}"/>
              </a:ext>
            </a:extLst>
          </xdr:cNvPr>
          <xdr:cNvSpPr/>
        </xdr:nvSpPr>
        <xdr:spPr>
          <a:xfrm>
            <a:off x="4053024" y="15454247"/>
            <a:ext cx="159901" cy="5778768"/>
          </a:xfrm>
          <a:prstGeom prst="rightBrace">
            <a:avLst>
              <a:gd name="adj1" fmla="val 21457"/>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2" name="直線矢印コネクタ 11">
            <a:extLst>
              <a:ext uri="{FF2B5EF4-FFF2-40B4-BE49-F238E27FC236}">
                <a16:creationId xmlns:a16="http://schemas.microsoft.com/office/drawing/2014/main" id="{00000000-0008-0000-0B00-00000C000000}"/>
              </a:ext>
            </a:extLst>
          </xdr:cNvPr>
          <xdr:cNvCxnSpPr>
            <a:endCxn id="11" idx="1"/>
          </xdr:cNvCxnSpPr>
        </xdr:nvCxnSpPr>
        <xdr:spPr bwMode="auto">
          <a:xfrm flipH="1" flipV="1">
            <a:off x="4212925" y="18343635"/>
            <a:ext cx="1061829" cy="679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直線コネクタ 12">
            <a:extLst>
              <a:ext uri="{FF2B5EF4-FFF2-40B4-BE49-F238E27FC236}">
                <a16:creationId xmlns:a16="http://schemas.microsoft.com/office/drawing/2014/main" id="{00000000-0008-0000-0B00-00000D000000}"/>
              </a:ext>
            </a:extLst>
          </xdr:cNvPr>
          <xdr:cNvCxnSpPr/>
        </xdr:nvCxnSpPr>
        <xdr:spPr bwMode="auto">
          <a:xfrm>
            <a:off x="5268133" y="18356295"/>
            <a:ext cx="0" cy="287620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4" name="直線矢印コネクタ 13">
            <a:extLst>
              <a:ext uri="{FF2B5EF4-FFF2-40B4-BE49-F238E27FC236}">
                <a16:creationId xmlns:a16="http://schemas.microsoft.com/office/drawing/2014/main" id="{00000000-0008-0000-0B00-00000E000000}"/>
              </a:ext>
            </a:extLst>
          </xdr:cNvPr>
          <xdr:cNvCxnSpPr/>
        </xdr:nvCxnSpPr>
        <xdr:spPr bwMode="auto">
          <a:xfrm flipH="1" flipV="1">
            <a:off x="5252289" y="21231902"/>
            <a:ext cx="1539201" cy="10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コネクタ 14">
            <a:extLst>
              <a:ext uri="{FF2B5EF4-FFF2-40B4-BE49-F238E27FC236}">
                <a16:creationId xmlns:a16="http://schemas.microsoft.com/office/drawing/2014/main" id="{00000000-0008-0000-0B00-00000F000000}"/>
              </a:ext>
            </a:extLst>
          </xdr:cNvPr>
          <xdr:cNvCxnSpPr/>
        </xdr:nvCxnSpPr>
        <xdr:spPr bwMode="auto">
          <a:xfrm>
            <a:off x="6801970" y="15914329"/>
            <a:ext cx="0" cy="533400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122190</xdr:colOff>
      <xdr:row>77</xdr:row>
      <xdr:rowOff>59531</xdr:rowOff>
    </xdr:from>
    <xdr:to>
      <xdr:col>26</xdr:col>
      <xdr:colOff>120690</xdr:colOff>
      <xdr:row>78</xdr:row>
      <xdr:rowOff>335053</xdr:rowOff>
    </xdr:to>
    <xdr:sp macro="" textlink="">
      <xdr:nvSpPr>
        <xdr:cNvPr id="16" name="角丸四角形 35">
          <a:extLst>
            <a:ext uri="{FF2B5EF4-FFF2-40B4-BE49-F238E27FC236}">
              <a16:creationId xmlns:a16="http://schemas.microsoft.com/office/drawing/2014/main" id="{00000000-0008-0000-0B00-000010000000}"/>
            </a:ext>
          </a:extLst>
        </xdr:cNvPr>
        <xdr:cNvSpPr/>
      </xdr:nvSpPr>
      <xdr:spPr>
        <a:xfrm>
          <a:off x="6399165" y="11775281"/>
          <a:ext cx="1332000" cy="6565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14</xdr:col>
      <xdr:colOff>23813</xdr:colOff>
      <xdr:row>16</xdr:row>
      <xdr:rowOff>379447</xdr:rowOff>
    </xdr:from>
    <xdr:to>
      <xdr:col>20</xdr:col>
      <xdr:colOff>158751</xdr:colOff>
      <xdr:row>32</xdr:row>
      <xdr:rowOff>56031</xdr:rowOff>
    </xdr:to>
    <xdr:grpSp>
      <xdr:nvGrpSpPr>
        <xdr:cNvPr id="17" name="グループ化 16">
          <a:extLst>
            <a:ext uri="{FF2B5EF4-FFF2-40B4-BE49-F238E27FC236}">
              <a16:creationId xmlns:a16="http://schemas.microsoft.com/office/drawing/2014/main" id="{00000000-0008-0000-0B00-000011000000}"/>
            </a:ext>
          </a:extLst>
        </xdr:cNvPr>
        <xdr:cNvGrpSpPr/>
      </xdr:nvGrpSpPr>
      <xdr:grpSpPr>
        <a:xfrm>
          <a:off x="4214813" y="5422094"/>
          <a:ext cx="2633850" cy="819584"/>
          <a:chOff x="4067734" y="4736725"/>
          <a:chExt cx="2643655" cy="5796804"/>
        </a:xfrm>
      </xdr:grpSpPr>
      <xdr:sp macro="" textlink="">
        <xdr:nvSpPr>
          <xdr:cNvPr id="18" name="右中かっこ 17">
            <a:extLst>
              <a:ext uri="{FF2B5EF4-FFF2-40B4-BE49-F238E27FC236}">
                <a16:creationId xmlns:a16="http://schemas.microsoft.com/office/drawing/2014/main" id="{00000000-0008-0000-0B00-000012000000}"/>
              </a:ext>
            </a:extLst>
          </xdr:cNvPr>
          <xdr:cNvSpPr/>
        </xdr:nvSpPr>
        <xdr:spPr>
          <a:xfrm>
            <a:off x="4067734" y="4736725"/>
            <a:ext cx="123265" cy="5651127"/>
          </a:xfrm>
          <a:prstGeom prst="rightBrace">
            <a:avLst>
              <a:gd name="adj1" fmla="val 55555"/>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9" name="直線矢印コネクタ 18">
            <a:extLst>
              <a:ext uri="{FF2B5EF4-FFF2-40B4-BE49-F238E27FC236}">
                <a16:creationId xmlns:a16="http://schemas.microsoft.com/office/drawing/2014/main" id="{00000000-0008-0000-0B00-000013000000}"/>
              </a:ext>
            </a:extLst>
          </xdr:cNvPr>
          <xdr:cNvCxnSpPr/>
        </xdr:nvCxnSpPr>
        <xdr:spPr bwMode="auto">
          <a:xfrm flipH="1">
            <a:off x="4195765" y="7551273"/>
            <a:ext cx="1075542" cy="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直線コネクタ 19">
            <a:extLst>
              <a:ext uri="{FF2B5EF4-FFF2-40B4-BE49-F238E27FC236}">
                <a16:creationId xmlns:a16="http://schemas.microsoft.com/office/drawing/2014/main" id="{00000000-0008-0000-0B00-000014000000}"/>
              </a:ext>
            </a:extLst>
          </xdr:cNvPr>
          <xdr:cNvCxnSpPr/>
        </xdr:nvCxnSpPr>
        <xdr:spPr bwMode="auto">
          <a:xfrm>
            <a:off x="5258089" y="7563971"/>
            <a:ext cx="7368" cy="2969558"/>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21" name="直線矢印コネクタ 20">
            <a:extLst>
              <a:ext uri="{FF2B5EF4-FFF2-40B4-BE49-F238E27FC236}">
                <a16:creationId xmlns:a16="http://schemas.microsoft.com/office/drawing/2014/main" id="{00000000-0008-0000-0B00-000015000000}"/>
              </a:ext>
            </a:extLst>
          </xdr:cNvPr>
          <xdr:cNvCxnSpPr/>
        </xdr:nvCxnSpPr>
        <xdr:spPr bwMode="auto">
          <a:xfrm flipH="1">
            <a:off x="5255559" y="10517745"/>
            <a:ext cx="145583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 name="直線コネクタ 21">
            <a:extLst>
              <a:ext uri="{FF2B5EF4-FFF2-40B4-BE49-F238E27FC236}">
                <a16:creationId xmlns:a16="http://schemas.microsoft.com/office/drawing/2014/main" id="{00000000-0008-0000-0B00-000016000000}"/>
              </a:ext>
            </a:extLst>
          </xdr:cNvPr>
          <xdr:cNvCxnSpPr/>
        </xdr:nvCxnSpPr>
        <xdr:spPr bwMode="auto">
          <a:xfrm>
            <a:off x="6703156" y="5188324"/>
            <a:ext cx="0" cy="533400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54909</xdr:colOff>
      <xdr:row>16</xdr:row>
      <xdr:rowOff>345281</xdr:rowOff>
    </xdr:from>
    <xdr:to>
      <xdr:col>27</xdr:col>
      <xdr:colOff>81245</xdr:colOff>
      <xdr:row>18</xdr:row>
      <xdr:rowOff>278048</xdr:rowOff>
    </xdr:to>
    <xdr:sp macro="" textlink="">
      <xdr:nvSpPr>
        <xdr:cNvPr id="23" name="角丸四角形 22">
          <a:extLst>
            <a:ext uri="{FF2B5EF4-FFF2-40B4-BE49-F238E27FC236}">
              <a16:creationId xmlns:a16="http://schemas.microsoft.com/office/drawing/2014/main" id="{00000000-0008-0000-0B00-000017000000}"/>
            </a:ext>
          </a:extLst>
        </xdr:cNvPr>
        <xdr:cNvSpPr/>
      </xdr:nvSpPr>
      <xdr:spPr>
        <a:xfrm>
          <a:off x="6331884" y="5412581"/>
          <a:ext cx="1559861" cy="6947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xdr:col>
      <xdr:colOff>23813</xdr:colOff>
      <xdr:row>92</xdr:row>
      <xdr:rowOff>271041</xdr:rowOff>
    </xdr:from>
    <xdr:to>
      <xdr:col>14</xdr:col>
      <xdr:colOff>1066272</xdr:colOff>
      <xdr:row>93</xdr:row>
      <xdr:rowOff>221300</xdr:rowOff>
    </xdr:to>
    <xdr:sp macro="" textlink="">
      <xdr:nvSpPr>
        <xdr:cNvPr id="24" name="Comment_Mugirui">
          <a:extLst>
            <a:ext uri="{FF2B5EF4-FFF2-40B4-BE49-F238E27FC236}">
              <a16:creationId xmlns:a16="http://schemas.microsoft.com/office/drawing/2014/main" id="{00000000-0008-0000-0B00-000018000000}"/>
            </a:ext>
          </a:extLst>
        </xdr:cNvPr>
        <xdr:cNvSpPr/>
      </xdr:nvSpPr>
      <xdr:spPr>
        <a:xfrm>
          <a:off x="223838" y="12748791"/>
          <a:ext cx="5023909" cy="331259"/>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融雪剤として使用した炭酸カルシウムは、諸材料に記入してください。</a:t>
          </a:r>
        </a:p>
      </xdr:txBody>
    </xdr:sp>
    <xdr:clientData/>
  </xdr:twoCellAnchor>
  <xdr:twoCellAnchor>
    <xdr:from>
      <xdr:col>1</xdr:col>
      <xdr:colOff>0</xdr:colOff>
      <xdr:row>92</xdr:row>
      <xdr:rowOff>268940</xdr:rowOff>
    </xdr:from>
    <xdr:to>
      <xdr:col>19</xdr:col>
      <xdr:colOff>78050</xdr:colOff>
      <xdr:row>94</xdr:row>
      <xdr:rowOff>17985</xdr:rowOff>
    </xdr:to>
    <xdr:sp macro="" textlink="">
      <xdr:nvSpPr>
        <xdr:cNvPr id="25" name="Comment_Kansyo" hidden="1">
          <a:extLst>
            <a:ext uri="{FF2B5EF4-FFF2-40B4-BE49-F238E27FC236}">
              <a16:creationId xmlns:a16="http://schemas.microsoft.com/office/drawing/2014/main" id="{00000000-0008-0000-0B00-000019000000}"/>
            </a:ext>
          </a:extLst>
        </xdr:cNvPr>
        <xdr:cNvSpPr/>
      </xdr:nvSpPr>
      <xdr:spPr>
        <a:xfrm>
          <a:off x="200025" y="12746690"/>
          <a:ext cx="6355025" cy="511045"/>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諸材料には、ビニール・シート（償却資産に属する建物（育苗ハウス等）のビニール張り替え費用については、建物費の修繕費に記入。）、マルチ張り用のポリエチレン等が入ります。</a:t>
          </a:r>
        </a:p>
      </xdr:txBody>
    </xdr:sp>
    <xdr:clientData/>
  </xdr:twoCellAnchor>
  <xdr:twoCellAnchor>
    <xdr:from>
      <xdr:col>1</xdr:col>
      <xdr:colOff>0</xdr:colOff>
      <xdr:row>92</xdr:row>
      <xdr:rowOff>268939</xdr:rowOff>
    </xdr:from>
    <xdr:to>
      <xdr:col>14</xdr:col>
      <xdr:colOff>1212429</xdr:colOff>
      <xdr:row>93</xdr:row>
      <xdr:rowOff>214000</xdr:rowOff>
    </xdr:to>
    <xdr:sp macro="" textlink="">
      <xdr:nvSpPr>
        <xdr:cNvPr id="26" name="Comment_Tensai" hidden="1">
          <a:extLst>
            <a:ext uri="{FF2B5EF4-FFF2-40B4-BE49-F238E27FC236}">
              <a16:creationId xmlns:a16="http://schemas.microsoft.com/office/drawing/2014/main" id="{00000000-0008-0000-0B00-00001A000000}"/>
            </a:ext>
          </a:extLst>
        </xdr:cNvPr>
        <xdr:cNvSpPr/>
      </xdr:nvSpPr>
      <xdr:spPr>
        <a:xfrm>
          <a:off x="200025" y="12746689"/>
          <a:ext cx="5193879" cy="32606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諸材料には、育苗用土、ペーパーポット、融雪剤等が入ります。</a:t>
          </a:r>
        </a:p>
      </xdr:txBody>
    </xdr:sp>
    <xdr:clientData/>
  </xdr:twoCellAnchor>
  <xdr:twoCellAnchor>
    <xdr:from>
      <xdr:col>1</xdr:col>
      <xdr:colOff>0</xdr:colOff>
      <xdr:row>92</xdr:row>
      <xdr:rowOff>268937</xdr:rowOff>
    </xdr:from>
    <xdr:to>
      <xdr:col>14</xdr:col>
      <xdr:colOff>1150716</xdr:colOff>
      <xdr:row>93</xdr:row>
      <xdr:rowOff>214178</xdr:rowOff>
    </xdr:to>
    <xdr:sp macro="" textlink="">
      <xdr:nvSpPr>
        <xdr:cNvPr id="27" name="Comment_Satokibi" hidden="1">
          <a:extLst>
            <a:ext uri="{FF2B5EF4-FFF2-40B4-BE49-F238E27FC236}">
              <a16:creationId xmlns:a16="http://schemas.microsoft.com/office/drawing/2014/main" id="{00000000-0008-0000-0B00-00001B000000}"/>
            </a:ext>
          </a:extLst>
        </xdr:cNvPr>
        <xdr:cNvSpPr/>
      </xdr:nvSpPr>
      <xdr:spPr>
        <a:xfrm>
          <a:off x="200025" y="12746687"/>
          <a:ext cx="5132166" cy="32624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諸材料には、被覆用ポリエチレンや結束用のなわ等が入ります。</a:t>
          </a:r>
        </a:p>
      </xdr:txBody>
    </xdr:sp>
    <xdr:clientData/>
  </xdr:twoCellAnchor>
  <mc:AlternateContent xmlns:mc="http://schemas.openxmlformats.org/markup-compatibility/2006">
    <mc:Choice xmlns:a14="http://schemas.microsoft.com/office/drawing/2010/main" Requires="a14">
      <xdr:twoCellAnchor editAs="oneCell">
        <xdr:from>
          <xdr:col>19</xdr:col>
          <xdr:colOff>9525</xdr:colOff>
          <xdr:row>8</xdr:row>
          <xdr:rowOff>9525</xdr:rowOff>
        </xdr:from>
        <xdr:to>
          <xdr:col>26</xdr:col>
          <xdr:colOff>152400</xdr:colOff>
          <xdr:row>8</xdr:row>
          <xdr:rowOff>219075</xdr:rowOff>
        </xdr:to>
        <xdr:sp macro="" textlink="">
          <xdr:nvSpPr>
            <xdr:cNvPr id="9220" name="Label1" hidden="1">
              <a:extLst>
                <a:ext uri="{63B3BB69-23CF-44E3-9099-C40C66FF867C}">
                  <a14:compatExt spid="_x0000_s9220"/>
                </a:ext>
                <a:ext uri="{FF2B5EF4-FFF2-40B4-BE49-F238E27FC236}">
                  <a16:creationId xmlns:a16="http://schemas.microsoft.com/office/drawing/2014/main" id="{00000000-0008-0000-0B00-00000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8</xdr:row>
          <xdr:rowOff>219075</xdr:rowOff>
        </xdr:from>
        <xdr:to>
          <xdr:col>26</xdr:col>
          <xdr:colOff>152400</xdr:colOff>
          <xdr:row>9</xdr:row>
          <xdr:rowOff>47625</xdr:rowOff>
        </xdr:to>
        <xdr:sp macro="" textlink="">
          <xdr:nvSpPr>
            <xdr:cNvPr id="9221" name="txt_hyouji" hidden="1">
              <a:extLst>
                <a:ext uri="{63B3BB69-23CF-44E3-9099-C40C66FF867C}">
                  <a14:compatExt spid="_x0000_s9221"/>
                </a:ext>
                <a:ext uri="{FF2B5EF4-FFF2-40B4-BE49-F238E27FC236}">
                  <a16:creationId xmlns:a16="http://schemas.microsoft.com/office/drawing/2014/main" id="{00000000-0008-0000-0B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9</xdr:row>
          <xdr:rowOff>47625</xdr:rowOff>
        </xdr:from>
        <xdr:to>
          <xdr:col>26</xdr:col>
          <xdr:colOff>152400</xdr:colOff>
          <xdr:row>10</xdr:row>
          <xdr:rowOff>85725</xdr:rowOff>
        </xdr:to>
        <xdr:sp macro="" textlink="">
          <xdr:nvSpPr>
            <xdr:cNvPr id="9222" name="btnKoushin1" hidden="1">
              <a:extLst>
                <a:ext uri="{63B3BB69-23CF-44E3-9099-C40C66FF867C}">
                  <a14:compatExt spid="_x0000_s9222"/>
                </a:ext>
                <a:ext uri="{FF2B5EF4-FFF2-40B4-BE49-F238E27FC236}">
                  <a16:creationId xmlns:a16="http://schemas.microsoft.com/office/drawing/2014/main" id="{00000000-0008-0000-0B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581025</xdr:colOff>
          <xdr:row>39</xdr:row>
          <xdr:rowOff>19050</xdr:rowOff>
        </xdr:from>
        <xdr:to>
          <xdr:col>12</xdr:col>
          <xdr:colOff>1247775</xdr:colOff>
          <xdr:row>40</xdr:row>
          <xdr:rowOff>161925</xdr:rowOff>
        </xdr:to>
        <xdr:sp macro="" textlink="">
          <xdr:nvSpPr>
            <xdr:cNvPr id="9223" name="Label2" hidden="1">
              <a:extLst>
                <a:ext uri="{63B3BB69-23CF-44E3-9099-C40C66FF867C}">
                  <a14:compatExt spid="_x0000_s9223"/>
                </a:ext>
                <a:ext uri="{FF2B5EF4-FFF2-40B4-BE49-F238E27FC236}">
                  <a16:creationId xmlns:a16="http://schemas.microsoft.com/office/drawing/2014/main" id="{00000000-0008-0000-0B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619125</xdr:colOff>
          <xdr:row>39</xdr:row>
          <xdr:rowOff>123825</xdr:rowOff>
        </xdr:from>
        <xdr:to>
          <xdr:col>12</xdr:col>
          <xdr:colOff>1209675</xdr:colOff>
          <xdr:row>40</xdr:row>
          <xdr:rowOff>66675</xdr:rowOff>
        </xdr:to>
        <xdr:sp macro="" textlink="">
          <xdr:nvSpPr>
            <xdr:cNvPr id="9224" name="Label3" hidden="1">
              <a:extLst>
                <a:ext uri="{63B3BB69-23CF-44E3-9099-C40C66FF867C}">
                  <a14:compatExt spid="_x0000_s9224"/>
                </a:ext>
                <a:ext uri="{FF2B5EF4-FFF2-40B4-BE49-F238E27FC236}">
                  <a16:creationId xmlns:a16="http://schemas.microsoft.com/office/drawing/2014/main" id="{00000000-0008-0000-0B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1247775</xdr:colOff>
          <xdr:row>39</xdr:row>
          <xdr:rowOff>19050</xdr:rowOff>
        </xdr:from>
        <xdr:to>
          <xdr:col>14</xdr:col>
          <xdr:colOff>209550</xdr:colOff>
          <xdr:row>40</xdr:row>
          <xdr:rowOff>9525</xdr:rowOff>
        </xdr:to>
        <xdr:sp macro="" textlink="">
          <xdr:nvSpPr>
            <xdr:cNvPr id="9225" name="Label4" hidden="1">
              <a:extLst>
                <a:ext uri="{63B3BB69-23CF-44E3-9099-C40C66FF867C}">
                  <a14:compatExt spid="_x0000_s9225"/>
                </a:ext>
                <a:ext uri="{FF2B5EF4-FFF2-40B4-BE49-F238E27FC236}">
                  <a16:creationId xmlns:a16="http://schemas.microsoft.com/office/drawing/2014/main" id="{00000000-0008-0000-0B00-00000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1247775</xdr:colOff>
          <xdr:row>39</xdr:row>
          <xdr:rowOff>161925</xdr:rowOff>
        </xdr:from>
        <xdr:to>
          <xdr:col>14</xdr:col>
          <xdr:colOff>209550</xdr:colOff>
          <xdr:row>40</xdr:row>
          <xdr:rowOff>152400</xdr:rowOff>
        </xdr:to>
        <xdr:sp macro="" textlink="">
          <xdr:nvSpPr>
            <xdr:cNvPr id="9226" name="txt_kounyu" hidden="1">
              <a:extLst>
                <a:ext uri="{63B3BB69-23CF-44E3-9099-C40C66FF867C}">
                  <a14:compatExt spid="_x0000_s9226"/>
                </a:ext>
                <a:ext uri="{FF2B5EF4-FFF2-40B4-BE49-F238E27FC236}">
                  <a16:creationId xmlns:a16="http://schemas.microsoft.com/office/drawing/2014/main" id="{00000000-0008-0000-0B00-00000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914400</xdr:colOff>
          <xdr:row>39</xdr:row>
          <xdr:rowOff>9525</xdr:rowOff>
        </xdr:from>
        <xdr:to>
          <xdr:col>18</xdr:col>
          <xdr:colOff>0</xdr:colOff>
          <xdr:row>40</xdr:row>
          <xdr:rowOff>171450</xdr:rowOff>
        </xdr:to>
        <xdr:sp macro="" textlink="">
          <xdr:nvSpPr>
            <xdr:cNvPr id="9227" name="btnKoushin2" hidden="1">
              <a:extLst>
                <a:ext uri="{63B3BB69-23CF-44E3-9099-C40C66FF867C}">
                  <a14:compatExt spid="_x0000_s9227"/>
                </a:ext>
                <a:ext uri="{FF2B5EF4-FFF2-40B4-BE49-F238E27FC236}">
                  <a16:creationId xmlns:a16="http://schemas.microsoft.com/office/drawing/2014/main" id="{00000000-0008-0000-0B00-00000B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200025</xdr:colOff>
          <xdr:row>39</xdr:row>
          <xdr:rowOff>19050</xdr:rowOff>
        </xdr:from>
        <xdr:to>
          <xdr:col>14</xdr:col>
          <xdr:colOff>923925</xdr:colOff>
          <xdr:row>40</xdr:row>
          <xdr:rowOff>9525</xdr:rowOff>
        </xdr:to>
        <xdr:sp macro="" textlink="">
          <xdr:nvSpPr>
            <xdr:cNvPr id="9228" name="Label5" hidden="1">
              <a:extLst>
                <a:ext uri="{63B3BB69-23CF-44E3-9099-C40C66FF867C}">
                  <a14:compatExt spid="_x0000_s9228"/>
                </a:ext>
                <a:ext uri="{FF2B5EF4-FFF2-40B4-BE49-F238E27FC236}">
                  <a16:creationId xmlns:a16="http://schemas.microsoft.com/office/drawing/2014/main" id="{00000000-0008-0000-0B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200025</xdr:colOff>
          <xdr:row>39</xdr:row>
          <xdr:rowOff>161925</xdr:rowOff>
        </xdr:from>
        <xdr:to>
          <xdr:col>14</xdr:col>
          <xdr:colOff>923925</xdr:colOff>
          <xdr:row>40</xdr:row>
          <xdr:rowOff>152400</xdr:rowOff>
        </xdr:to>
        <xdr:sp macro="" textlink="">
          <xdr:nvSpPr>
            <xdr:cNvPr id="9229" name="txt_jikyu" hidden="1">
              <a:extLst>
                <a:ext uri="{63B3BB69-23CF-44E3-9099-C40C66FF867C}">
                  <a14:compatExt spid="_x0000_s9229"/>
                </a:ext>
                <a:ext uri="{FF2B5EF4-FFF2-40B4-BE49-F238E27FC236}">
                  <a16:creationId xmlns:a16="http://schemas.microsoft.com/office/drawing/2014/main" id="{00000000-0008-0000-0B00-00000D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34</xdr:col>
      <xdr:colOff>0</xdr:colOff>
      <xdr:row>2</xdr:row>
      <xdr:rowOff>27215</xdr:rowOff>
    </xdr:from>
    <xdr:to>
      <xdr:col>35</xdr:col>
      <xdr:colOff>136071</xdr:colOff>
      <xdr:row>9</xdr:row>
      <xdr:rowOff>47625</xdr:rowOff>
    </xdr:to>
    <xdr:grpSp>
      <xdr:nvGrpSpPr>
        <xdr:cNvPr id="2" name="グループ化 22">
          <a:extLst>
            <a:ext uri="{FF2B5EF4-FFF2-40B4-BE49-F238E27FC236}">
              <a16:creationId xmlns:a16="http://schemas.microsoft.com/office/drawing/2014/main" id="{00000000-0008-0000-0C00-000002000000}"/>
            </a:ext>
          </a:extLst>
        </xdr:cNvPr>
        <xdr:cNvGrpSpPr>
          <a:grpSpLocks/>
        </xdr:cNvGrpSpPr>
      </xdr:nvGrpSpPr>
      <xdr:grpSpPr bwMode="auto">
        <a:xfrm>
          <a:off x="7003676" y="744391"/>
          <a:ext cx="337777" cy="1342705"/>
          <a:chOff x="6210300" y="5819775"/>
          <a:chExt cx="295275" cy="857251"/>
        </a:xfrm>
      </xdr:grpSpPr>
      <xdr:cxnSp macro="">
        <xdr:nvCxnSpPr>
          <xdr:cNvPr id="3" name="直線矢印コネクタ 2">
            <a:extLst>
              <a:ext uri="{FF2B5EF4-FFF2-40B4-BE49-F238E27FC236}">
                <a16:creationId xmlns:a16="http://schemas.microsoft.com/office/drawing/2014/main" id="{00000000-0008-0000-0C00-000003000000}"/>
              </a:ext>
            </a:extLst>
          </xdr:cNvPr>
          <xdr:cNvCxnSpPr/>
        </xdr:nvCxnSpPr>
        <xdr:spPr bwMode="auto">
          <a:xfrm flipH="1">
            <a:off x="6210300" y="6667058"/>
            <a:ext cx="2952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C00-000004000000}"/>
              </a:ext>
            </a:extLst>
          </xdr:cNvPr>
          <xdr:cNvCxnSpPr/>
        </xdr:nvCxnSpPr>
        <xdr:spPr bwMode="auto">
          <a:xfrm>
            <a:off x="6496490" y="5819775"/>
            <a:ext cx="0" cy="8572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171451</xdr:colOff>
      <xdr:row>1</xdr:row>
      <xdr:rowOff>47625</xdr:rowOff>
    </xdr:from>
    <xdr:to>
      <xdr:col>38</xdr:col>
      <xdr:colOff>182657</xdr:colOff>
      <xdr:row>3</xdr:row>
      <xdr:rowOff>79725</xdr:rowOff>
    </xdr:to>
    <xdr:sp macro="" textlink="">
      <xdr:nvSpPr>
        <xdr:cNvPr id="5" name="角丸四角形 21">
          <a:extLst>
            <a:ext uri="{FF2B5EF4-FFF2-40B4-BE49-F238E27FC236}">
              <a16:creationId xmlns:a16="http://schemas.microsoft.com/office/drawing/2014/main" id="{00000000-0008-0000-0C00-000005000000}"/>
            </a:ext>
          </a:extLst>
        </xdr:cNvPr>
        <xdr:cNvSpPr/>
      </xdr:nvSpPr>
      <xdr:spPr>
        <a:xfrm>
          <a:off x="2571751" y="228600"/>
          <a:ext cx="5364256" cy="756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・対象品目のみの支払分を記入する場合は、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・対象品目以外の支払分を含めて記入する場合には、機械等の使用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時間</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algn="l">
            <a:lnSpc>
              <a:spcPts val="1300"/>
            </a:lnSpc>
          </a:pPr>
          <a:r>
            <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や作付面積の割合を目安に記入してください。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23</xdr:col>
      <xdr:colOff>0</xdr:colOff>
      <xdr:row>29</xdr:row>
      <xdr:rowOff>9525</xdr:rowOff>
    </xdr:from>
    <xdr:to>
      <xdr:col>28</xdr:col>
      <xdr:colOff>171450</xdr:colOff>
      <xdr:row>32</xdr:row>
      <xdr:rowOff>133350</xdr:rowOff>
    </xdr:to>
    <xdr:grpSp>
      <xdr:nvGrpSpPr>
        <xdr:cNvPr id="2" name="グループ化 9">
          <a:extLst>
            <a:ext uri="{FF2B5EF4-FFF2-40B4-BE49-F238E27FC236}">
              <a16:creationId xmlns:a16="http://schemas.microsoft.com/office/drawing/2014/main" id="{00000000-0008-0000-0D00-000002000000}"/>
            </a:ext>
          </a:extLst>
        </xdr:cNvPr>
        <xdr:cNvGrpSpPr>
          <a:grpSpLocks/>
        </xdr:cNvGrpSpPr>
      </xdr:nvGrpSpPr>
      <xdr:grpSpPr bwMode="auto">
        <a:xfrm>
          <a:off x="4639235" y="8010525"/>
          <a:ext cx="1179980" cy="829796"/>
          <a:chOff x="4400551" y="6391275"/>
          <a:chExt cx="1171574" cy="333375"/>
        </a:xfrm>
      </xdr:grpSpPr>
      <xdr:cxnSp macro="">
        <xdr:nvCxnSpPr>
          <xdr:cNvPr id="3" name="直線矢印コネクタ 2">
            <a:extLst>
              <a:ext uri="{FF2B5EF4-FFF2-40B4-BE49-F238E27FC236}">
                <a16:creationId xmlns:a16="http://schemas.microsoft.com/office/drawing/2014/main" id="{00000000-0008-0000-0D00-000003000000}"/>
              </a:ext>
            </a:extLst>
          </xdr:cNvPr>
          <xdr:cNvCxnSpPr/>
        </xdr:nvCxnSpPr>
        <xdr:spPr bwMode="auto">
          <a:xfrm flipH="1">
            <a:off x="4400551" y="63912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D00-000004000000}"/>
              </a:ext>
            </a:extLst>
          </xdr:cNvPr>
          <xdr:cNvCxnSpPr/>
        </xdr:nvCxnSpPr>
        <xdr:spPr bwMode="auto">
          <a:xfrm flipV="1">
            <a:off x="5562600" y="639127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0</xdr:colOff>
      <xdr:row>9</xdr:row>
      <xdr:rowOff>57150</xdr:rowOff>
    </xdr:from>
    <xdr:to>
      <xdr:col>28</xdr:col>
      <xdr:colOff>180975</xdr:colOff>
      <xdr:row>10</xdr:row>
      <xdr:rowOff>171450</xdr:rowOff>
    </xdr:to>
    <xdr:grpSp>
      <xdr:nvGrpSpPr>
        <xdr:cNvPr id="5" name="グループ化 4">
          <a:extLst>
            <a:ext uri="{FF2B5EF4-FFF2-40B4-BE49-F238E27FC236}">
              <a16:creationId xmlns:a16="http://schemas.microsoft.com/office/drawing/2014/main" id="{00000000-0008-0000-0D00-000005000000}"/>
            </a:ext>
          </a:extLst>
        </xdr:cNvPr>
        <xdr:cNvGrpSpPr/>
      </xdr:nvGrpSpPr>
      <xdr:grpSpPr>
        <a:xfrm>
          <a:off x="4639235" y="1962150"/>
          <a:ext cx="1189505" cy="271182"/>
          <a:chOff x="4600575" y="1543050"/>
          <a:chExt cx="1181100" cy="276225"/>
        </a:xfrm>
      </xdr:grpSpPr>
      <xdr:cxnSp macro="">
        <xdr:nvCxnSpPr>
          <xdr:cNvPr id="6" name="直線矢印コネクタ 5">
            <a:extLst>
              <a:ext uri="{FF2B5EF4-FFF2-40B4-BE49-F238E27FC236}">
                <a16:creationId xmlns:a16="http://schemas.microsoft.com/office/drawing/2014/main" id="{00000000-0008-0000-0D00-000006000000}"/>
              </a:ext>
            </a:extLst>
          </xdr:cNvPr>
          <xdr:cNvCxnSpPr/>
        </xdr:nvCxnSpPr>
        <xdr:spPr bwMode="auto">
          <a:xfrm flipH="1">
            <a:off x="4600575" y="15525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直線コネクタ 6">
            <a:extLst>
              <a:ext uri="{FF2B5EF4-FFF2-40B4-BE49-F238E27FC236}">
                <a16:creationId xmlns:a16="http://schemas.microsoft.com/office/drawing/2014/main" id="{00000000-0008-0000-0D00-000007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91888</xdr:colOff>
      <xdr:row>29</xdr:row>
      <xdr:rowOff>123265</xdr:rowOff>
    </xdr:from>
    <xdr:to>
      <xdr:col>39</xdr:col>
      <xdr:colOff>22411</xdr:colOff>
      <xdr:row>37</xdr:row>
      <xdr:rowOff>156882</xdr:rowOff>
    </xdr:to>
    <xdr:sp macro="" textlink="">
      <xdr:nvSpPr>
        <xdr:cNvPr id="8" name="角丸四角形 7">
          <a:extLst>
            <a:ext uri="{FF2B5EF4-FFF2-40B4-BE49-F238E27FC236}">
              <a16:creationId xmlns:a16="http://schemas.microsoft.com/office/drawing/2014/main" id="{00000000-0008-0000-0D00-000008000000}"/>
            </a:ext>
          </a:extLst>
        </xdr:cNvPr>
        <xdr:cNvSpPr/>
      </xdr:nvSpPr>
      <xdr:spPr>
        <a:xfrm>
          <a:off x="4692463" y="8190940"/>
          <a:ext cx="2864223" cy="265299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入する場合には、公課諸負担の種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類に応じて次を目安に記入してく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集落協議会費、農業協同組合費、農事実行組合費：</a:t>
          </a:r>
          <a:r>
            <a:rPr kumimoji="1" lang="ja-JP" altLang="en-US" sz="1000" b="1" u="sng">
              <a:solidFill>
                <a:srgbClr val="0041FF"/>
              </a:solidFill>
              <a:latin typeface="ＭＳ ゴシック" panose="020B0609070205080204" pitchFamily="49" charset="-128"/>
              <a:ea typeface="ＭＳ ゴシック" panose="020B0609070205080204" pitchFamily="49" charset="-128"/>
            </a:rPr>
            <a:t>農業収入全体のうち、対象品目の収入が占める割合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農業共済組合賦課金：</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作付面積割合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23</xdr:col>
      <xdr:colOff>95248</xdr:colOff>
      <xdr:row>10</xdr:row>
      <xdr:rowOff>28575</xdr:rowOff>
    </xdr:from>
    <xdr:to>
      <xdr:col>38</xdr:col>
      <xdr:colOff>156883</xdr:colOff>
      <xdr:row>19</xdr:row>
      <xdr:rowOff>0</xdr:rowOff>
    </xdr:to>
    <xdr:sp macro="" textlink="">
      <xdr:nvSpPr>
        <xdr:cNvPr id="9" name="角丸四角形 8">
          <a:extLst>
            <a:ext uri="{FF2B5EF4-FFF2-40B4-BE49-F238E27FC236}">
              <a16:creationId xmlns:a16="http://schemas.microsoft.com/office/drawing/2014/main" id="{00000000-0008-0000-0D00-000009000000}"/>
            </a:ext>
          </a:extLst>
        </xdr:cNvPr>
        <xdr:cNvSpPr/>
      </xdr:nvSpPr>
      <xdr:spPr>
        <a:xfrm>
          <a:off x="4695823" y="2133600"/>
          <a:ext cx="2795310" cy="32004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入する場合には、物件税の種類に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応じて次を目安に記入してくださ</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固定資産税（建物）、不動産取得税、水利地益税及び都市計画税：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使用面積割合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固定資産税（農機具）、自動車取得税、共同施設税：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機械等の使用時間割合</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8</xdr:col>
      <xdr:colOff>11206</xdr:colOff>
      <xdr:row>8</xdr:row>
      <xdr:rowOff>141194</xdr:rowOff>
    </xdr:from>
    <xdr:to>
      <xdr:col>10</xdr:col>
      <xdr:colOff>30256</xdr:colOff>
      <xdr:row>18</xdr:row>
      <xdr:rowOff>188819</xdr:rowOff>
    </xdr:to>
    <xdr:grpSp>
      <xdr:nvGrpSpPr>
        <xdr:cNvPr id="2" name="グループ化 6">
          <a:extLst>
            <a:ext uri="{FF2B5EF4-FFF2-40B4-BE49-F238E27FC236}">
              <a16:creationId xmlns:a16="http://schemas.microsoft.com/office/drawing/2014/main" id="{00000000-0008-0000-0E00-000002000000}"/>
            </a:ext>
          </a:extLst>
        </xdr:cNvPr>
        <xdr:cNvGrpSpPr>
          <a:grpSpLocks/>
        </xdr:cNvGrpSpPr>
      </xdr:nvGrpSpPr>
      <xdr:grpSpPr bwMode="auto">
        <a:xfrm>
          <a:off x="6533030" y="1822076"/>
          <a:ext cx="422461" cy="3005978"/>
          <a:chOff x="4537982" y="1353911"/>
          <a:chExt cx="1232282" cy="336096"/>
        </a:xfrm>
      </xdr:grpSpPr>
      <xdr:cxnSp macro="">
        <xdr:nvCxnSpPr>
          <xdr:cNvPr id="3" name="直線矢印コネクタ 2">
            <a:extLst>
              <a:ext uri="{FF2B5EF4-FFF2-40B4-BE49-F238E27FC236}">
                <a16:creationId xmlns:a16="http://schemas.microsoft.com/office/drawing/2014/main" id="{00000000-0008-0000-0E00-000003000000}"/>
              </a:ext>
            </a:extLst>
          </xdr:cNvPr>
          <xdr:cNvCxnSpPr/>
        </xdr:nvCxnSpPr>
        <xdr:spPr>
          <a:xfrm>
            <a:off x="4537982" y="1356338"/>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E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11205</xdr:colOff>
      <xdr:row>20</xdr:row>
      <xdr:rowOff>81803</xdr:rowOff>
    </xdr:from>
    <xdr:to>
      <xdr:col>8</xdr:col>
      <xdr:colOff>11205</xdr:colOff>
      <xdr:row>20</xdr:row>
      <xdr:rowOff>81803</xdr:rowOff>
    </xdr:to>
    <xdr:cxnSp macro="">
      <xdr:nvCxnSpPr>
        <xdr:cNvPr id="5" name="直線矢印コネクタ 4">
          <a:extLst>
            <a:ext uri="{FF2B5EF4-FFF2-40B4-BE49-F238E27FC236}">
              <a16:creationId xmlns:a16="http://schemas.microsoft.com/office/drawing/2014/main" id="{00000000-0008-0000-0E00-000005000000}"/>
            </a:ext>
          </a:extLst>
        </xdr:cNvPr>
        <xdr:cNvCxnSpPr/>
      </xdr:nvCxnSpPr>
      <xdr:spPr bwMode="auto">
        <a:xfrm flipV="1">
          <a:off x="5211855" y="5168153"/>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168088</xdr:colOff>
      <xdr:row>17</xdr:row>
      <xdr:rowOff>9524</xdr:rowOff>
    </xdr:from>
    <xdr:to>
      <xdr:col>18</xdr:col>
      <xdr:colOff>44824</xdr:colOff>
      <xdr:row>24</xdr:row>
      <xdr:rowOff>0</xdr:rowOff>
    </xdr:to>
    <xdr:sp macro="" textlink="">
      <xdr:nvSpPr>
        <xdr:cNvPr id="6" name="角丸四角形 12">
          <a:extLst>
            <a:ext uri="{FF2B5EF4-FFF2-40B4-BE49-F238E27FC236}">
              <a16:creationId xmlns:a16="http://schemas.microsoft.com/office/drawing/2014/main" id="{00000000-0008-0000-0E00-000006000000}"/>
            </a:ext>
          </a:extLst>
        </xdr:cNvPr>
        <xdr:cNvSpPr/>
      </xdr:nvSpPr>
      <xdr:spPr>
        <a:xfrm>
          <a:off x="5368738" y="4524374"/>
          <a:ext cx="3200961" cy="167640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場合には、農業収入全体のうち、対象品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目の収入が占める割合を目安に記入して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ください。</a:t>
          </a:r>
        </a:p>
      </xdr:txBody>
    </xdr:sp>
    <xdr:clientData/>
  </xdr:twoCellAnchor>
  <xdr:twoCellAnchor>
    <xdr:from>
      <xdr:col>8</xdr:col>
      <xdr:colOff>0</xdr:colOff>
      <xdr:row>28</xdr:row>
      <xdr:rowOff>152400</xdr:rowOff>
    </xdr:from>
    <xdr:to>
      <xdr:col>12</xdr:col>
      <xdr:colOff>38100</xdr:colOff>
      <xdr:row>34</xdr:row>
      <xdr:rowOff>85726</xdr:rowOff>
    </xdr:to>
    <xdr:grpSp>
      <xdr:nvGrpSpPr>
        <xdr:cNvPr id="7" name="グループ化 6">
          <a:extLst>
            <a:ext uri="{FF2B5EF4-FFF2-40B4-BE49-F238E27FC236}">
              <a16:creationId xmlns:a16="http://schemas.microsoft.com/office/drawing/2014/main" id="{00000000-0008-0000-0E00-000007000000}"/>
            </a:ext>
          </a:extLst>
        </xdr:cNvPr>
        <xdr:cNvGrpSpPr/>
      </xdr:nvGrpSpPr>
      <xdr:grpSpPr>
        <a:xfrm flipV="1">
          <a:off x="6521824" y="7402606"/>
          <a:ext cx="844923" cy="1053914"/>
          <a:chOff x="4600575" y="1543050"/>
          <a:chExt cx="1181100" cy="276225"/>
        </a:xfrm>
      </xdr:grpSpPr>
      <xdr:cxnSp macro="">
        <xdr:nvCxnSpPr>
          <xdr:cNvPr id="8" name="直線矢印コネクタ 7">
            <a:extLst>
              <a:ext uri="{FF2B5EF4-FFF2-40B4-BE49-F238E27FC236}">
                <a16:creationId xmlns:a16="http://schemas.microsoft.com/office/drawing/2014/main" id="{00000000-0008-0000-0E00-000008000000}"/>
              </a:ext>
            </a:extLst>
          </xdr:cNvPr>
          <xdr:cNvCxnSpPr/>
        </xdr:nvCxnSpPr>
        <xdr:spPr bwMode="auto">
          <a:xfrm flipH="1">
            <a:off x="4600575" y="1546437"/>
            <a:ext cx="11715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直線コネクタ 8">
            <a:extLst>
              <a:ext uri="{FF2B5EF4-FFF2-40B4-BE49-F238E27FC236}">
                <a16:creationId xmlns:a16="http://schemas.microsoft.com/office/drawing/2014/main" id="{00000000-0008-0000-0E00-000009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78442</xdr:colOff>
      <xdr:row>25</xdr:row>
      <xdr:rowOff>156883</xdr:rowOff>
    </xdr:from>
    <xdr:to>
      <xdr:col>18</xdr:col>
      <xdr:colOff>67236</xdr:colOff>
      <xdr:row>30</xdr:row>
      <xdr:rowOff>113214</xdr:rowOff>
    </xdr:to>
    <xdr:sp macro="" textlink="">
      <xdr:nvSpPr>
        <xdr:cNvPr id="10" name="角丸四角形 14">
          <a:extLst>
            <a:ext uri="{FF2B5EF4-FFF2-40B4-BE49-F238E27FC236}">
              <a16:creationId xmlns:a16="http://schemas.microsoft.com/office/drawing/2014/main" id="{00000000-0008-0000-0E00-00000A000000}"/>
            </a:ext>
          </a:extLst>
        </xdr:cNvPr>
        <xdr:cNvSpPr/>
      </xdr:nvSpPr>
      <xdr:spPr>
        <a:xfrm>
          <a:off x="5279092" y="6738658"/>
          <a:ext cx="3313019" cy="1146956"/>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・対象品目のみの生産に関係する金額を記入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・対象品目以外の金額を含めて記入する場合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には、その使途に応じた使用割合を目安に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9</xdr:col>
          <xdr:colOff>19050</xdr:colOff>
          <xdr:row>35</xdr:row>
          <xdr:rowOff>161925</xdr:rowOff>
        </xdr:from>
        <xdr:to>
          <xdr:col>12</xdr:col>
          <xdr:colOff>142875</xdr:colOff>
          <xdr:row>36</xdr:row>
          <xdr:rowOff>333375</xdr:rowOff>
        </xdr:to>
        <xdr:sp macro="" textlink="">
          <xdr:nvSpPr>
            <xdr:cNvPr id="12289" name="Label1" hidden="1">
              <a:extLst>
                <a:ext uri="{63B3BB69-23CF-44E3-9099-C40C66FF867C}">
                  <a14:compatExt spid="_x0000_s12289"/>
                </a:ext>
                <a:ext uri="{FF2B5EF4-FFF2-40B4-BE49-F238E27FC236}">
                  <a16:creationId xmlns:a16="http://schemas.microsoft.com/office/drawing/2014/main" id="{00000000-0008-0000-0E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36</xdr:row>
          <xdr:rowOff>95250</xdr:rowOff>
        </xdr:from>
        <xdr:to>
          <xdr:col>12</xdr:col>
          <xdr:colOff>95250</xdr:colOff>
          <xdr:row>36</xdr:row>
          <xdr:rowOff>228600</xdr:rowOff>
        </xdr:to>
        <xdr:sp macro="" textlink="">
          <xdr:nvSpPr>
            <xdr:cNvPr id="12290" name="Label2" hidden="1">
              <a:extLst>
                <a:ext uri="{63B3BB69-23CF-44E3-9099-C40C66FF867C}">
                  <a14:compatExt spid="_x0000_s12290"/>
                </a:ext>
                <a:ext uri="{FF2B5EF4-FFF2-40B4-BE49-F238E27FC236}">
                  <a16:creationId xmlns:a16="http://schemas.microsoft.com/office/drawing/2014/main" id="{00000000-0008-0000-0E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133350</xdr:colOff>
          <xdr:row>35</xdr:row>
          <xdr:rowOff>161925</xdr:rowOff>
        </xdr:from>
        <xdr:to>
          <xdr:col>15</xdr:col>
          <xdr:colOff>66675</xdr:colOff>
          <xdr:row>36</xdr:row>
          <xdr:rowOff>161925</xdr:rowOff>
        </xdr:to>
        <xdr:sp macro="" textlink="">
          <xdr:nvSpPr>
            <xdr:cNvPr id="12291" name="Label3" hidden="1">
              <a:extLst>
                <a:ext uri="{63B3BB69-23CF-44E3-9099-C40C66FF867C}">
                  <a14:compatExt spid="_x0000_s12291"/>
                </a:ext>
                <a:ext uri="{FF2B5EF4-FFF2-40B4-BE49-F238E27FC236}">
                  <a16:creationId xmlns:a16="http://schemas.microsoft.com/office/drawing/2014/main" id="{00000000-0008-0000-0E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133350</xdr:colOff>
          <xdr:row>36</xdr:row>
          <xdr:rowOff>161925</xdr:rowOff>
        </xdr:from>
        <xdr:to>
          <xdr:col>15</xdr:col>
          <xdr:colOff>66675</xdr:colOff>
          <xdr:row>36</xdr:row>
          <xdr:rowOff>333375</xdr:rowOff>
        </xdr:to>
        <xdr:sp macro="" textlink="">
          <xdr:nvSpPr>
            <xdr:cNvPr id="12292" name="txt_tanki" hidden="1">
              <a:extLst>
                <a:ext uri="{63B3BB69-23CF-44E3-9099-C40C66FF867C}">
                  <a14:compatExt spid="_x0000_s12292"/>
                </a:ext>
                <a:ext uri="{FF2B5EF4-FFF2-40B4-BE49-F238E27FC236}">
                  <a16:creationId xmlns:a16="http://schemas.microsoft.com/office/drawing/2014/main" id="{00000000-0008-0000-0E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36</xdr:row>
          <xdr:rowOff>342900</xdr:rowOff>
        </xdr:from>
        <xdr:to>
          <xdr:col>18</xdr:col>
          <xdr:colOff>9525</xdr:colOff>
          <xdr:row>37</xdr:row>
          <xdr:rowOff>304800</xdr:rowOff>
        </xdr:to>
        <xdr:sp macro="" textlink="">
          <xdr:nvSpPr>
            <xdr:cNvPr id="12293" name="btnKoushin1" hidden="1">
              <a:extLst>
                <a:ext uri="{63B3BB69-23CF-44E3-9099-C40C66FF867C}">
                  <a14:compatExt spid="_x0000_s12293"/>
                </a:ext>
                <a:ext uri="{FF2B5EF4-FFF2-40B4-BE49-F238E27FC236}">
                  <a16:creationId xmlns:a16="http://schemas.microsoft.com/office/drawing/2014/main" id="{00000000-0008-0000-0E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57150</xdr:colOff>
          <xdr:row>35</xdr:row>
          <xdr:rowOff>161925</xdr:rowOff>
        </xdr:from>
        <xdr:to>
          <xdr:col>18</xdr:col>
          <xdr:colOff>0</xdr:colOff>
          <xdr:row>36</xdr:row>
          <xdr:rowOff>161925</xdr:rowOff>
        </xdr:to>
        <xdr:sp macro="" textlink="">
          <xdr:nvSpPr>
            <xdr:cNvPr id="12294" name="Label4" hidden="1">
              <a:extLst>
                <a:ext uri="{63B3BB69-23CF-44E3-9099-C40C66FF867C}">
                  <a14:compatExt spid="_x0000_s12294"/>
                </a:ext>
                <a:ext uri="{FF2B5EF4-FFF2-40B4-BE49-F238E27FC236}">
                  <a16:creationId xmlns:a16="http://schemas.microsoft.com/office/drawing/2014/main" id="{00000000-0008-0000-0E00-000006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57150</xdr:colOff>
          <xdr:row>36</xdr:row>
          <xdr:rowOff>161925</xdr:rowOff>
        </xdr:from>
        <xdr:to>
          <xdr:col>18</xdr:col>
          <xdr:colOff>0</xdr:colOff>
          <xdr:row>36</xdr:row>
          <xdr:rowOff>333375</xdr:rowOff>
        </xdr:to>
        <xdr:sp macro="" textlink="">
          <xdr:nvSpPr>
            <xdr:cNvPr id="12295" name="txt_chouki" hidden="1">
              <a:extLst>
                <a:ext uri="{63B3BB69-23CF-44E3-9099-C40C66FF867C}">
                  <a14:compatExt spid="_x0000_s12295"/>
                </a:ext>
                <a:ext uri="{FF2B5EF4-FFF2-40B4-BE49-F238E27FC236}">
                  <a16:creationId xmlns:a16="http://schemas.microsoft.com/office/drawing/2014/main" id="{00000000-0008-0000-0E00-000007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11</xdr:col>
      <xdr:colOff>47625</xdr:colOff>
      <xdr:row>11</xdr:row>
      <xdr:rowOff>4766</xdr:rowOff>
    </xdr:from>
    <xdr:to>
      <xdr:col>11</xdr:col>
      <xdr:colOff>1788583</xdr:colOff>
      <xdr:row>14</xdr:row>
      <xdr:rowOff>145841</xdr:rowOff>
    </xdr:to>
    <xdr:sp macro="" textlink="">
      <xdr:nvSpPr>
        <xdr:cNvPr id="2" name="大かっこ 1">
          <a:extLst>
            <a:ext uri="{FF2B5EF4-FFF2-40B4-BE49-F238E27FC236}">
              <a16:creationId xmlns:a16="http://schemas.microsoft.com/office/drawing/2014/main" id="{00000000-0008-0000-0F00-000002000000}"/>
            </a:ext>
          </a:extLst>
        </xdr:cNvPr>
        <xdr:cNvSpPr/>
      </xdr:nvSpPr>
      <xdr:spPr>
        <a:xfrm>
          <a:off x="7667625" y="2109791"/>
          <a:ext cx="1740958"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57150</xdr:colOff>
      <xdr:row>11</xdr:row>
      <xdr:rowOff>3179</xdr:rowOff>
    </xdr:from>
    <xdr:to>
      <xdr:col>12</xdr:col>
      <xdr:colOff>1755322</xdr:colOff>
      <xdr:row>14</xdr:row>
      <xdr:rowOff>145229</xdr:rowOff>
    </xdr:to>
    <xdr:sp macro="" textlink="">
      <xdr:nvSpPr>
        <xdr:cNvPr id="3" name="大かっこ 2">
          <a:extLst>
            <a:ext uri="{FF2B5EF4-FFF2-40B4-BE49-F238E27FC236}">
              <a16:creationId xmlns:a16="http://schemas.microsoft.com/office/drawing/2014/main" id="{00000000-0008-0000-0F00-000003000000}"/>
            </a:ext>
          </a:extLst>
        </xdr:cNvPr>
        <xdr:cNvSpPr/>
      </xdr:nvSpPr>
      <xdr:spPr>
        <a:xfrm>
          <a:off x="9515475" y="2108204"/>
          <a:ext cx="1698172"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建物等の取得のために取り崩した準備金の額を記入してください。</a:t>
          </a:r>
        </a:p>
      </xdr:txBody>
    </xdr:sp>
    <xdr:clientData/>
  </xdr:twoCellAnchor>
  <xdr:twoCellAnchor>
    <xdr:from>
      <xdr:col>18</xdr:col>
      <xdr:colOff>47625</xdr:colOff>
      <xdr:row>13</xdr:row>
      <xdr:rowOff>21167</xdr:rowOff>
    </xdr:from>
    <xdr:to>
      <xdr:col>18</xdr:col>
      <xdr:colOff>1555750</xdr:colOff>
      <xdr:row>14</xdr:row>
      <xdr:rowOff>137583</xdr:rowOff>
    </xdr:to>
    <xdr:sp macro="" textlink="">
      <xdr:nvSpPr>
        <xdr:cNvPr id="4" name="大かっこ 3">
          <a:extLst>
            <a:ext uri="{FF2B5EF4-FFF2-40B4-BE49-F238E27FC236}">
              <a16:creationId xmlns:a16="http://schemas.microsoft.com/office/drawing/2014/main" id="{00000000-0008-0000-0F00-000004000000}"/>
            </a:ext>
          </a:extLst>
        </xdr:cNvPr>
        <xdr:cNvSpPr/>
      </xdr:nvSpPr>
      <xdr:spPr>
        <a:xfrm>
          <a:off x="15687675" y="2726267"/>
          <a:ext cx="1508125" cy="4783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p>
      </xdr:txBody>
    </xdr:sp>
    <xdr:clientData/>
  </xdr:twoCellAnchor>
  <xdr:twoCellAnchor>
    <xdr:from>
      <xdr:col>13</xdr:col>
      <xdr:colOff>47625</xdr:colOff>
      <xdr:row>11</xdr:row>
      <xdr:rowOff>0</xdr:rowOff>
    </xdr:from>
    <xdr:to>
      <xdr:col>13</xdr:col>
      <xdr:colOff>1566334</xdr:colOff>
      <xdr:row>14</xdr:row>
      <xdr:rowOff>142050</xdr:rowOff>
    </xdr:to>
    <xdr:sp macro="" textlink="">
      <xdr:nvSpPr>
        <xdr:cNvPr id="5" name="大かっこ 4">
          <a:extLst>
            <a:ext uri="{FF2B5EF4-FFF2-40B4-BE49-F238E27FC236}">
              <a16:creationId xmlns:a16="http://schemas.microsoft.com/office/drawing/2014/main" id="{00000000-0008-0000-0F00-000005000000}"/>
            </a:ext>
          </a:extLst>
        </xdr:cNvPr>
        <xdr:cNvSpPr/>
      </xdr:nvSpPr>
      <xdr:spPr>
        <a:xfrm>
          <a:off x="11344275" y="2105025"/>
          <a:ext cx="1518709"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当年の当該建物等の修繕費を記入してください。</a:t>
          </a:r>
        </a:p>
      </xdr:txBody>
    </xdr:sp>
    <xdr:clientData/>
  </xdr:twoCellAnchor>
  <xdr:twoCellAnchor>
    <xdr:from>
      <xdr:col>14</xdr:col>
      <xdr:colOff>66674</xdr:colOff>
      <xdr:row>11</xdr:row>
      <xdr:rowOff>9525</xdr:rowOff>
    </xdr:from>
    <xdr:to>
      <xdr:col>14</xdr:col>
      <xdr:colOff>1365249</xdr:colOff>
      <xdr:row>14</xdr:row>
      <xdr:rowOff>150600</xdr:rowOff>
    </xdr:to>
    <xdr:sp macro="" textlink="">
      <xdr:nvSpPr>
        <xdr:cNvPr id="6" name="大かっこ 5">
          <a:extLst>
            <a:ext uri="{FF2B5EF4-FFF2-40B4-BE49-F238E27FC236}">
              <a16:creationId xmlns:a16="http://schemas.microsoft.com/office/drawing/2014/main" id="{00000000-0008-0000-0F00-000006000000}"/>
            </a:ext>
          </a:extLst>
        </xdr:cNvPr>
        <xdr:cNvSpPr/>
      </xdr:nvSpPr>
      <xdr:spPr>
        <a:xfrm>
          <a:off x="12992099" y="2114550"/>
          <a:ext cx="1298575"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当年の当該建物等の災害保険料を記入してください。</a:t>
          </a:r>
        </a:p>
      </xdr:txBody>
    </xdr:sp>
    <xdr:clientData/>
  </xdr:twoCellAnchor>
  <xdr:twoCellAnchor>
    <xdr:from>
      <xdr:col>15</xdr:col>
      <xdr:colOff>361541</xdr:colOff>
      <xdr:row>4</xdr:row>
      <xdr:rowOff>7373</xdr:rowOff>
    </xdr:from>
    <xdr:to>
      <xdr:col>15</xdr:col>
      <xdr:colOff>361542</xdr:colOff>
      <xdr:row>7</xdr:row>
      <xdr:rowOff>146498</xdr:rowOff>
    </xdr:to>
    <xdr:cxnSp macro="">
      <xdr:nvCxnSpPr>
        <xdr:cNvPr id="7" name="直線矢印コネクタ 6">
          <a:extLst>
            <a:ext uri="{FF2B5EF4-FFF2-40B4-BE49-F238E27FC236}">
              <a16:creationId xmlns:a16="http://schemas.microsoft.com/office/drawing/2014/main" id="{00000000-0008-0000-0F00-000007000000}"/>
            </a:ext>
          </a:extLst>
        </xdr:cNvPr>
        <xdr:cNvCxnSpPr/>
      </xdr:nvCxnSpPr>
      <xdr:spPr>
        <a:xfrm>
          <a:off x="14715716" y="731273"/>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153629</xdr:colOff>
      <xdr:row>6</xdr:row>
      <xdr:rowOff>133351</xdr:rowOff>
    </xdr:from>
    <xdr:to>
      <xdr:col>9</xdr:col>
      <xdr:colOff>583791</xdr:colOff>
      <xdr:row>7</xdr:row>
      <xdr:rowOff>171451</xdr:rowOff>
    </xdr:to>
    <xdr:grpSp>
      <xdr:nvGrpSpPr>
        <xdr:cNvPr id="8" name="グループ化 9">
          <a:extLst>
            <a:ext uri="{FF2B5EF4-FFF2-40B4-BE49-F238E27FC236}">
              <a16:creationId xmlns:a16="http://schemas.microsoft.com/office/drawing/2014/main" id="{00000000-0008-0000-0F00-000008000000}"/>
            </a:ext>
          </a:extLst>
        </xdr:cNvPr>
        <xdr:cNvGrpSpPr>
          <a:grpSpLocks/>
        </xdr:cNvGrpSpPr>
      </xdr:nvGrpSpPr>
      <xdr:grpSpPr bwMode="auto">
        <a:xfrm rot="-5400000">
          <a:off x="6472874" y="889820"/>
          <a:ext cx="214993" cy="824769"/>
          <a:chOff x="4400545" y="6383925"/>
          <a:chExt cx="1171574" cy="333375"/>
        </a:xfrm>
      </xdr:grpSpPr>
      <xdr:cxnSp macro="">
        <xdr:nvCxnSpPr>
          <xdr:cNvPr id="9" name="直線矢印コネクタ 8">
            <a:extLst>
              <a:ext uri="{FF2B5EF4-FFF2-40B4-BE49-F238E27FC236}">
                <a16:creationId xmlns:a16="http://schemas.microsoft.com/office/drawing/2014/main" id="{00000000-0008-0000-0F00-000009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0F00-00000A000000}"/>
              </a:ext>
            </a:extLst>
          </xdr:cNvPr>
          <xdr:cNvCxnSpPr/>
        </xdr:nvCxnSpPr>
        <xdr:spPr bwMode="auto">
          <a:xfrm flipV="1">
            <a:off x="5521189"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286980</xdr:colOff>
      <xdr:row>5</xdr:row>
      <xdr:rowOff>114300</xdr:rowOff>
    </xdr:from>
    <xdr:to>
      <xdr:col>12</xdr:col>
      <xdr:colOff>675968</xdr:colOff>
      <xdr:row>7</xdr:row>
      <xdr:rowOff>87975</xdr:rowOff>
    </xdr:to>
    <xdr:sp macro="" textlink="">
      <xdr:nvSpPr>
        <xdr:cNvPr id="11" name="角丸四角形 10">
          <a:extLst>
            <a:ext uri="{FF2B5EF4-FFF2-40B4-BE49-F238E27FC236}">
              <a16:creationId xmlns:a16="http://schemas.microsoft.com/office/drawing/2014/main" id="{00000000-0008-0000-0F00-00000B000000}"/>
            </a:ext>
          </a:extLst>
        </xdr:cNvPr>
        <xdr:cNvSpPr/>
      </xdr:nvSpPr>
      <xdr:spPr>
        <a:xfrm>
          <a:off x="6287730" y="1019175"/>
          <a:ext cx="3846563" cy="33562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耐用年数は、中古で取得した場合のみ記入してください。</a:t>
          </a:r>
        </a:p>
      </xdr:txBody>
    </xdr:sp>
    <xdr:clientData/>
  </xdr:twoCellAnchor>
  <xdr:twoCellAnchor editAs="oneCell">
    <xdr:from>
      <xdr:col>16</xdr:col>
      <xdr:colOff>0</xdr:colOff>
      <xdr:row>4</xdr:row>
      <xdr:rowOff>81936</xdr:rowOff>
    </xdr:from>
    <xdr:to>
      <xdr:col>22</xdr:col>
      <xdr:colOff>3524</xdr:colOff>
      <xdr:row>8</xdr:row>
      <xdr:rowOff>872</xdr:rowOff>
    </xdr:to>
    <xdr:grpSp>
      <xdr:nvGrpSpPr>
        <xdr:cNvPr id="12" name="CommentNatsuue" hidden="1">
          <a:extLst>
            <a:ext uri="{FF2B5EF4-FFF2-40B4-BE49-F238E27FC236}">
              <a16:creationId xmlns:a16="http://schemas.microsoft.com/office/drawing/2014/main" id="{00000000-0008-0000-0F00-00000C000000}"/>
            </a:ext>
          </a:extLst>
        </xdr:cNvPr>
        <xdr:cNvGrpSpPr/>
      </xdr:nvGrpSpPr>
      <xdr:grpSpPr>
        <a:xfrm>
          <a:off x="14967857" y="789507"/>
          <a:ext cx="3350881" cy="626508"/>
          <a:chOff x="14822130" y="789507"/>
          <a:chExt cx="3234549" cy="621065"/>
        </a:xfrm>
      </xdr:grpSpPr>
      <xdr:cxnSp macro="">
        <xdr:nvCxnSpPr>
          <xdr:cNvPr id="13" name="直線矢印コネクタ 12" hidden="1">
            <a:extLst>
              <a:ext uri="{FF2B5EF4-FFF2-40B4-BE49-F238E27FC236}">
                <a16:creationId xmlns:a16="http://schemas.microsoft.com/office/drawing/2014/main" id="{00000000-0008-0000-0F00-00000D000000}"/>
              </a:ext>
            </a:extLst>
          </xdr:cNvPr>
          <xdr:cNvCxnSpPr/>
        </xdr:nvCxnSpPr>
        <xdr:spPr bwMode="auto">
          <a:xfrm rot="16200000" flipH="1">
            <a:off x="14668678" y="1253526"/>
            <a:ext cx="314092"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hidden="1">
            <a:extLst>
              <a:ext uri="{FF2B5EF4-FFF2-40B4-BE49-F238E27FC236}">
                <a16:creationId xmlns:a16="http://schemas.microsoft.com/office/drawing/2014/main" id="{00000000-0008-0000-0F00-00000E000000}"/>
              </a:ext>
            </a:extLst>
          </xdr:cNvPr>
          <xdr:cNvCxnSpPr/>
        </xdr:nvCxnSpPr>
        <xdr:spPr bwMode="auto">
          <a:xfrm flipH="1" flipV="1">
            <a:off x="14822130" y="1093965"/>
            <a:ext cx="3071264" cy="251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角丸四角形 68" hidden="1">
            <a:extLst>
              <a:ext uri="{FF2B5EF4-FFF2-40B4-BE49-F238E27FC236}">
                <a16:creationId xmlns:a16="http://schemas.microsoft.com/office/drawing/2014/main" id="{00000000-0008-0000-0F00-00000F000000}"/>
              </a:ext>
            </a:extLst>
          </xdr:cNvPr>
          <xdr:cNvSpPr/>
        </xdr:nvSpPr>
        <xdr:spPr>
          <a:xfrm>
            <a:off x="14932667" y="789507"/>
            <a:ext cx="3124012" cy="5735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13</xdr:col>
      <xdr:colOff>800714</xdr:colOff>
      <xdr:row>4</xdr:row>
      <xdr:rowOff>16386</xdr:rowOff>
    </xdr:from>
    <xdr:to>
      <xdr:col>13</xdr:col>
      <xdr:colOff>800715</xdr:colOff>
      <xdr:row>7</xdr:row>
      <xdr:rowOff>155511</xdr:rowOff>
    </xdr:to>
    <xdr:cxnSp macro="">
      <xdr:nvCxnSpPr>
        <xdr:cNvPr id="16" name="直線矢印コネクタ 15">
          <a:extLst>
            <a:ext uri="{FF2B5EF4-FFF2-40B4-BE49-F238E27FC236}">
              <a16:creationId xmlns:a16="http://schemas.microsoft.com/office/drawing/2014/main" id="{00000000-0008-0000-0F00-000010000000}"/>
            </a:ext>
          </a:extLst>
        </xdr:cNvPr>
        <xdr:cNvCxnSpPr/>
      </xdr:nvCxnSpPr>
      <xdr:spPr>
        <a:xfrm>
          <a:off x="12097364" y="740286"/>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762000</xdr:colOff>
      <xdr:row>0</xdr:row>
      <xdr:rowOff>95968</xdr:rowOff>
    </xdr:from>
    <xdr:to>
      <xdr:col>14</xdr:col>
      <xdr:colOff>830035</xdr:colOff>
      <xdr:row>7</xdr:row>
      <xdr:rowOff>4275</xdr:rowOff>
    </xdr:to>
    <xdr:sp macro="" textlink="">
      <xdr:nvSpPr>
        <xdr:cNvPr id="17" name="角丸四角形 16">
          <a:extLst>
            <a:ext uri="{FF2B5EF4-FFF2-40B4-BE49-F238E27FC236}">
              <a16:creationId xmlns:a16="http://schemas.microsoft.com/office/drawing/2014/main" id="{00000000-0008-0000-0F00-000011000000}"/>
            </a:ext>
          </a:extLst>
        </xdr:cNvPr>
        <xdr:cNvSpPr/>
      </xdr:nvSpPr>
      <xdr:spPr>
        <a:xfrm>
          <a:off x="10220325" y="95968"/>
          <a:ext cx="3535135" cy="11751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・倉庫の屋根の修理、壁の塗り替え費用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・育苗ハウスのビニールの張り替え費用</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・建物の電灯や電球の交換費用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・防風網や支柱の修繕費用　など</a:t>
          </a:r>
        </a:p>
      </xdr:txBody>
    </xdr:sp>
    <xdr:clientData/>
  </xdr:twoCellAnchor>
  <xdr:twoCellAnchor editAs="oneCell">
    <xdr:from>
      <xdr:col>3</xdr:col>
      <xdr:colOff>143387</xdr:colOff>
      <xdr:row>116</xdr:row>
      <xdr:rowOff>174114</xdr:rowOff>
    </xdr:from>
    <xdr:to>
      <xdr:col>4</xdr:col>
      <xdr:colOff>962537</xdr:colOff>
      <xdr:row>128</xdr:row>
      <xdr:rowOff>3721</xdr:rowOff>
    </xdr:to>
    <xdr:pic>
      <xdr:nvPicPr>
        <xdr:cNvPr id="18" name="図 17">
          <a:extLst>
            <a:ext uri="{FF2B5EF4-FFF2-40B4-BE49-F238E27FC236}">
              <a16:creationId xmlns:a16="http://schemas.microsoft.com/office/drawing/2014/main" id="{00000000-0008-0000-0F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362" y="9508614"/>
          <a:ext cx="2828925" cy="20013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40967</xdr:colOff>
      <xdr:row>116</xdr:row>
      <xdr:rowOff>173927</xdr:rowOff>
    </xdr:from>
    <xdr:to>
      <xdr:col>11</xdr:col>
      <xdr:colOff>548296</xdr:colOff>
      <xdr:row>128</xdr:row>
      <xdr:rowOff>3602</xdr:rowOff>
    </xdr:to>
    <xdr:pic>
      <xdr:nvPicPr>
        <xdr:cNvPr id="19" name="図 18">
          <a:extLst>
            <a:ext uri="{FF2B5EF4-FFF2-40B4-BE49-F238E27FC236}">
              <a16:creationId xmlns:a16="http://schemas.microsoft.com/office/drawing/2014/main" id="{00000000-0008-0000-0F00-00001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3779530" y="9472708"/>
          <a:ext cx="4388766" cy="1972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594032</xdr:colOff>
      <xdr:row>117</xdr:row>
      <xdr:rowOff>10242</xdr:rowOff>
    </xdr:from>
    <xdr:to>
      <xdr:col>18</xdr:col>
      <xdr:colOff>588978</xdr:colOff>
      <xdr:row>121</xdr:row>
      <xdr:rowOff>19766</xdr:rowOff>
    </xdr:to>
    <xdr:pic>
      <xdr:nvPicPr>
        <xdr:cNvPr id="20" name="図 19">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54250" y="9525717"/>
          <a:ext cx="1274778" cy="733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307258</xdr:colOff>
      <xdr:row>115</xdr:row>
      <xdr:rowOff>10242</xdr:rowOff>
    </xdr:from>
    <xdr:to>
      <xdr:col>17</xdr:col>
      <xdr:colOff>307258</xdr:colOff>
      <xdr:row>117</xdr:row>
      <xdr:rowOff>4997</xdr:rowOff>
    </xdr:to>
    <xdr:cxnSp macro="">
      <xdr:nvCxnSpPr>
        <xdr:cNvPr id="21" name="直線矢印コネクタ 20">
          <a:extLst>
            <a:ext uri="{FF2B5EF4-FFF2-40B4-BE49-F238E27FC236}">
              <a16:creationId xmlns:a16="http://schemas.microsoft.com/office/drawing/2014/main" id="{00000000-0008-0000-0F00-000015000000}"/>
            </a:ext>
          </a:extLst>
        </xdr:cNvPr>
        <xdr:cNvCxnSpPr/>
      </xdr:nvCxnSpPr>
      <xdr:spPr bwMode="auto">
        <a:xfrm flipV="1">
          <a:off x="15261508" y="9163767"/>
          <a:ext cx="0" cy="356705"/>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706693</xdr:colOff>
      <xdr:row>114</xdr:row>
      <xdr:rowOff>358469</xdr:rowOff>
    </xdr:from>
    <xdr:to>
      <xdr:col>5</xdr:col>
      <xdr:colOff>706693</xdr:colOff>
      <xdr:row>116</xdr:row>
      <xdr:rowOff>158843</xdr:rowOff>
    </xdr:to>
    <xdr:cxnSp macro="">
      <xdr:nvCxnSpPr>
        <xdr:cNvPr id="22" name="直線矢印コネクタ 21">
          <a:extLst>
            <a:ext uri="{FF2B5EF4-FFF2-40B4-BE49-F238E27FC236}">
              <a16:creationId xmlns:a16="http://schemas.microsoft.com/office/drawing/2014/main" id="{00000000-0008-0000-0F00-000016000000}"/>
            </a:ext>
          </a:extLst>
        </xdr:cNvPr>
        <xdr:cNvCxnSpPr/>
      </xdr:nvCxnSpPr>
      <xdr:spPr>
        <a:xfrm flipV="1">
          <a:off x="4430968" y="9153525"/>
          <a:ext cx="0" cy="339818"/>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481371</xdr:colOff>
      <xdr:row>114</xdr:row>
      <xdr:rowOff>368711</xdr:rowOff>
    </xdr:from>
    <xdr:to>
      <xdr:col>4</xdr:col>
      <xdr:colOff>481371</xdr:colOff>
      <xdr:row>116</xdr:row>
      <xdr:rowOff>169085</xdr:rowOff>
    </xdr:to>
    <xdr:cxnSp macro="">
      <xdr:nvCxnSpPr>
        <xdr:cNvPr id="23" name="直線矢印コネクタ 22">
          <a:extLst>
            <a:ext uri="{FF2B5EF4-FFF2-40B4-BE49-F238E27FC236}">
              <a16:creationId xmlns:a16="http://schemas.microsoft.com/office/drawing/2014/main" id="{00000000-0008-0000-0F00-000017000000}"/>
            </a:ext>
          </a:extLst>
        </xdr:cNvPr>
        <xdr:cNvCxnSpPr/>
      </xdr:nvCxnSpPr>
      <xdr:spPr>
        <a:xfrm flipV="1">
          <a:off x="3053121" y="9153525"/>
          <a:ext cx="0" cy="35006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914401</xdr:colOff>
      <xdr:row>0</xdr:row>
      <xdr:rowOff>74125</xdr:rowOff>
    </xdr:from>
    <xdr:to>
      <xdr:col>19</xdr:col>
      <xdr:colOff>150182</xdr:colOff>
      <xdr:row>5</xdr:row>
      <xdr:rowOff>68036</xdr:rowOff>
    </xdr:to>
    <xdr:sp macro="" textlink="">
      <xdr:nvSpPr>
        <xdr:cNvPr id="24" name="CommentWariai_NatsuueIgai">
          <a:extLst>
            <a:ext uri="{FF2B5EF4-FFF2-40B4-BE49-F238E27FC236}">
              <a16:creationId xmlns:a16="http://schemas.microsoft.com/office/drawing/2014/main" id="{00000000-0008-0000-0F00-000018000000}"/>
            </a:ext>
          </a:extLst>
        </xdr:cNvPr>
        <xdr:cNvSpPr/>
      </xdr:nvSpPr>
      <xdr:spPr>
        <a:xfrm>
          <a:off x="13839826" y="74125"/>
          <a:ext cx="3569656" cy="8987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・対象品目以外の作物へ共通して使用した場合には、使用面積割合を目安に記入してください。</a:t>
          </a:r>
        </a:p>
      </xdr:txBody>
    </xdr:sp>
    <xdr:clientData/>
  </xdr:twoCellAnchor>
  <xdr:twoCellAnchor editAs="oneCell">
    <xdr:from>
      <xdr:col>14</xdr:col>
      <xdr:colOff>938892</xdr:colOff>
      <xdr:row>0</xdr:row>
      <xdr:rowOff>85009</xdr:rowOff>
    </xdr:from>
    <xdr:to>
      <xdr:col>22</xdr:col>
      <xdr:colOff>1396</xdr:colOff>
      <xdr:row>4</xdr:row>
      <xdr:rowOff>27216</xdr:rowOff>
    </xdr:to>
    <xdr:sp macro="" textlink="">
      <xdr:nvSpPr>
        <xdr:cNvPr id="25" name="CommentWariai_Natsuue" hidden="1">
          <a:extLst>
            <a:ext uri="{FF2B5EF4-FFF2-40B4-BE49-F238E27FC236}">
              <a16:creationId xmlns:a16="http://schemas.microsoft.com/office/drawing/2014/main" id="{00000000-0008-0000-0F00-000019000000}"/>
            </a:ext>
          </a:extLst>
        </xdr:cNvPr>
        <xdr:cNvSpPr/>
      </xdr:nvSpPr>
      <xdr:spPr>
        <a:xfrm>
          <a:off x="13864317" y="85009"/>
          <a:ext cx="4438414" cy="66610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10</xdr:col>
          <xdr:colOff>0</xdr:colOff>
          <xdr:row>0</xdr:row>
          <xdr:rowOff>123825</xdr:rowOff>
        </xdr:from>
        <xdr:to>
          <xdr:col>11</xdr:col>
          <xdr:colOff>476250</xdr:colOff>
          <xdr:row>1</xdr:row>
          <xdr:rowOff>152400</xdr:rowOff>
        </xdr:to>
        <xdr:sp macro="" textlink="">
          <xdr:nvSpPr>
            <xdr:cNvPr id="13313" name="Label1" hidden="1">
              <a:extLst>
                <a:ext uri="{63B3BB69-23CF-44E3-9099-C40C66FF867C}">
                  <a14:compatExt spid="_x0000_s13313"/>
                </a:ext>
                <a:ext uri="{FF2B5EF4-FFF2-40B4-BE49-F238E27FC236}">
                  <a16:creationId xmlns:a16="http://schemas.microsoft.com/office/drawing/2014/main" id="{00000000-0008-0000-0F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xdr:row>
          <xdr:rowOff>152400</xdr:rowOff>
        </xdr:from>
        <xdr:to>
          <xdr:col>11</xdr:col>
          <xdr:colOff>476250</xdr:colOff>
          <xdr:row>3</xdr:row>
          <xdr:rowOff>9525</xdr:rowOff>
        </xdr:to>
        <xdr:sp macro="" textlink="">
          <xdr:nvSpPr>
            <xdr:cNvPr id="13314" name="txt_hyouji" hidden="1">
              <a:extLst>
                <a:ext uri="{63B3BB69-23CF-44E3-9099-C40C66FF867C}">
                  <a14:compatExt spid="_x0000_s13314"/>
                </a:ext>
                <a:ext uri="{FF2B5EF4-FFF2-40B4-BE49-F238E27FC236}">
                  <a16:creationId xmlns:a16="http://schemas.microsoft.com/office/drawing/2014/main" id="{00000000-0008-0000-0F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476250</xdr:colOff>
          <xdr:row>0</xdr:row>
          <xdr:rowOff>123825</xdr:rowOff>
        </xdr:from>
        <xdr:to>
          <xdr:col>11</xdr:col>
          <xdr:colOff>1743075</xdr:colOff>
          <xdr:row>3</xdr:row>
          <xdr:rowOff>9525</xdr:rowOff>
        </xdr:to>
        <xdr:sp macro="" textlink="">
          <xdr:nvSpPr>
            <xdr:cNvPr id="13315" name="btnKoushin1" hidden="1">
              <a:extLst>
                <a:ext uri="{63B3BB69-23CF-44E3-9099-C40C66FF867C}">
                  <a14:compatExt spid="_x0000_s13315"/>
                </a:ext>
                <a:ext uri="{FF2B5EF4-FFF2-40B4-BE49-F238E27FC236}">
                  <a16:creationId xmlns:a16="http://schemas.microsoft.com/office/drawing/2014/main" id="{00000000-0008-0000-0F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11</xdr:col>
      <xdr:colOff>66675</xdr:colOff>
      <xdr:row>13</xdr:row>
      <xdr:rowOff>0</xdr:rowOff>
    </xdr:from>
    <xdr:to>
      <xdr:col>11</xdr:col>
      <xdr:colOff>1355912</xdr:colOff>
      <xdr:row>16</xdr:row>
      <xdr:rowOff>141075</xdr:rowOff>
    </xdr:to>
    <xdr:sp macro="" textlink="">
      <xdr:nvSpPr>
        <xdr:cNvPr id="2" name="大かっこ 1">
          <a:extLst>
            <a:ext uri="{FF2B5EF4-FFF2-40B4-BE49-F238E27FC236}">
              <a16:creationId xmlns:a16="http://schemas.microsoft.com/office/drawing/2014/main" id="{00000000-0008-0000-1000-000002000000}"/>
            </a:ext>
          </a:extLst>
        </xdr:cNvPr>
        <xdr:cNvSpPr/>
      </xdr:nvSpPr>
      <xdr:spPr>
        <a:xfrm>
          <a:off x="6943725" y="2352675"/>
          <a:ext cx="128923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20</xdr:col>
      <xdr:colOff>78441</xdr:colOff>
      <xdr:row>13</xdr:row>
      <xdr:rowOff>177053</xdr:rowOff>
    </xdr:from>
    <xdr:to>
      <xdr:col>20</xdr:col>
      <xdr:colOff>1333500</xdr:colOff>
      <xdr:row>16</xdr:row>
      <xdr:rowOff>212912</xdr:rowOff>
    </xdr:to>
    <xdr:sp macro="" textlink="">
      <xdr:nvSpPr>
        <xdr:cNvPr id="3" name="大かっこ 2">
          <a:extLst>
            <a:ext uri="{FF2B5EF4-FFF2-40B4-BE49-F238E27FC236}">
              <a16:creationId xmlns:a16="http://schemas.microsoft.com/office/drawing/2014/main" id="{00000000-0008-0000-1000-000003000000}"/>
            </a:ext>
          </a:extLst>
        </xdr:cNvPr>
        <xdr:cNvSpPr/>
      </xdr:nvSpPr>
      <xdr:spPr>
        <a:xfrm>
          <a:off x="15966141" y="2529728"/>
          <a:ext cx="1255059" cy="578784"/>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57151</xdr:colOff>
      <xdr:row>13</xdr:row>
      <xdr:rowOff>9525</xdr:rowOff>
    </xdr:from>
    <xdr:to>
      <xdr:col>12</xdr:col>
      <xdr:colOff>1176618</xdr:colOff>
      <xdr:row>16</xdr:row>
      <xdr:rowOff>150600</xdr:rowOff>
    </xdr:to>
    <xdr:sp macro="" textlink="">
      <xdr:nvSpPr>
        <xdr:cNvPr id="4" name="大かっこ 3">
          <a:extLst>
            <a:ext uri="{FF2B5EF4-FFF2-40B4-BE49-F238E27FC236}">
              <a16:creationId xmlns:a16="http://schemas.microsoft.com/office/drawing/2014/main" id="{00000000-0008-0000-1000-000004000000}"/>
            </a:ext>
          </a:extLst>
        </xdr:cNvPr>
        <xdr:cNvSpPr/>
      </xdr:nvSpPr>
      <xdr:spPr>
        <a:xfrm>
          <a:off x="8543926" y="2362200"/>
          <a:ext cx="111946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当年の当該自動車等の修繕費を記入してください。</a:t>
          </a:r>
        </a:p>
      </xdr:txBody>
    </xdr:sp>
    <xdr:clientData/>
  </xdr:twoCellAnchor>
  <xdr:twoCellAnchor>
    <xdr:from>
      <xdr:col>13</xdr:col>
      <xdr:colOff>56029</xdr:colOff>
      <xdr:row>13</xdr:row>
      <xdr:rowOff>1679</xdr:rowOff>
    </xdr:from>
    <xdr:to>
      <xdr:col>13</xdr:col>
      <xdr:colOff>1019736</xdr:colOff>
      <xdr:row>16</xdr:row>
      <xdr:rowOff>141074</xdr:rowOff>
    </xdr:to>
    <xdr:sp macro="" textlink="">
      <xdr:nvSpPr>
        <xdr:cNvPr id="5" name="大かっこ 4">
          <a:extLst>
            <a:ext uri="{FF2B5EF4-FFF2-40B4-BE49-F238E27FC236}">
              <a16:creationId xmlns:a16="http://schemas.microsoft.com/office/drawing/2014/main" id="{00000000-0008-0000-1000-000005000000}"/>
            </a:ext>
          </a:extLst>
        </xdr:cNvPr>
        <xdr:cNvSpPr/>
      </xdr:nvSpPr>
      <xdr:spPr>
        <a:xfrm>
          <a:off x="9942979" y="2354354"/>
          <a:ext cx="963707" cy="68232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当年の当該自動車等の保険料を記入してください。</a:t>
          </a:r>
        </a:p>
      </xdr:txBody>
    </xdr:sp>
    <xdr:clientData/>
  </xdr:twoCellAnchor>
  <xdr:twoCellAnchor>
    <xdr:from>
      <xdr:col>12</xdr:col>
      <xdr:colOff>687480</xdr:colOff>
      <xdr:row>7</xdr:row>
      <xdr:rowOff>17368</xdr:rowOff>
    </xdr:from>
    <xdr:to>
      <xdr:col>12</xdr:col>
      <xdr:colOff>687481</xdr:colOff>
      <xdr:row>9</xdr:row>
      <xdr:rowOff>159418</xdr:rowOff>
    </xdr:to>
    <xdr:cxnSp macro="">
      <xdr:nvCxnSpPr>
        <xdr:cNvPr id="6" name="直線矢印コネクタ 5">
          <a:extLst>
            <a:ext uri="{FF2B5EF4-FFF2-40B4-BE49-F238E27FC236}">
              <a16:creationId xmlns:a16="http://schemas.microsoft.com/office/drawing/2014/main" id="{00000000-0008-0000-1000-000006000000}"/>
            </a:ext>
          </a:extLst>
        </xdr:cNvPr>
        <xdr:cNvCxnSpPr/>
      </xdr:nvCxnSpPr>
      <xdr:spPr>
        <a:xfrm>
          <a:off x="9174255" y="1284193"/>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1510393</xdr:colOff>
      <xdr:row>0</xdr:row>
      <xdr:rowOff>54429</xdr:rowOff>
    </xdr:from>
    <xdr:to>
      <xdr:col>14</xdr:col>
      <xdr:colOff>201706</xdr:colOff>
      <xdr:row>7</xdr:row>
      <xdr:rowOff>173418</xdr:rowOff>
    </xdr:to>
    <xdr:sp macro="" textlink="">
      <xdr:nvSpPr>
        <xdr:cNvPr id="7" name="角丸四角形 6">
          <a:extLst>
            <a:ext uri="{FF2B5EF4-FFF2-40B4-BE49-F238E27FC236}">
              <a16:creationId xmlns:a16="http://schemas.microsoft.com/office/drawing/2014/main" id="{00000000-0008-0000-1000-000007000000}"/>
            </a:ext>
          </a:extLst>
        </xdr:cNvPr>
        <xdr:cNvSpPr/>
      </xdr:nvSpPr>
      <xdr:spPr>
        <a:xfrm>
          <a:off x="8387443" y="54429"/>
          <a:ext cx="2929938" cy="13858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17</xdr:col>
      <xdr:colOff>317687</xdr:colOff>
      <xdr:row>6</xdr:row>
      <xdr:rowOff>3362</xdr:rowOff>
    </xdr:from>
    <xdr:to>
      <xdr:col>17</xdr:col>
      <xdr:colOff>317687</xdr:colOff>
      <xdr:row>10</xdr:row>
      <xdr:rowOff>11206</xdr:rowOff>
    </xdr:to>
    <xdr:cxnSp macro="">
      <xdr:nvCxnSpPr>
        <xdr:cNvPr id="8" name="直線矢印コネクタ 7">
          <a:extLst>
            <a:ext uri="{FF2B5EF4-FFF2-40B4-BE49-F238E27FC236}">
              <a16:creationId xmlns:a16="http://schemas.microsoft.com/office/drawing/2014/main" id="{00000000-0008-0000-1000-000008000000}"/>
            </a:ext>
          </a:extLst>
        </xdr:cNvPr>
        <xdr:cNvCxnSpPr/>
      </xdr:nvCxnSpPr>
      <xdr:spPr bwMode="auto">
        <a:xfrm>
          <a:off x="14662337" y="1089212"/>
          <a:ext cx="0" cy="731744"/>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462642</xdr:colOff>
      <xdr:row>3</xdr:row>
      <xdr:rowOff>108857</xdr:rowOff>
    </xdr:from>
    <xdr:to>
      <xdr:col>18</xdr:col>
      <xdr:colOff>869156</xdr:colOff>
      <xdr:row>8</xdr:row>
      <xdr:rowOff>103159</xdr:rowOff>
    </xdr:to>
    <xdr:sp macro="" textlink="">
      <xdr:nvSpPr>
        <xdr:cNvPr id="9" name="角丸四角形 8">
          <a:extLst>
            <a:ext uri="{FF2B5EF4-FFF2-40B4-BE49-F238E27FC236}">
              <a16:creationId xmlns:a16="http://schemas.microsoft.com/office/drawing/2014/main" id="{00000000-0008-0000-1000-000009000000}"/>
            </a:ext>
          </a:extLst>
        </xdr:cNvPr>
        <xdr:cNvSpPr/>
      </xdr:nvSpPr>
      <xdr:spPr>
        <a:xfrm>
          <a:off x="11578317" y="651782"/>
          <a:ext cx="3385458" cy="8991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（％）としてください。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・対象品目以外の作物へ共通して使用した場合には、使用時間割合を目安に記入してください。</a:t>
          </a:r>
        </a:p>
      </xdr:txBody>
    </xdr:sp>
    <xdr:clientData/>
  </xdr:twoCellAnchor>
  <xdr:twoCellAnchor>
    <xdr:from>
      <xdr:col>13</xdr:col>
      <xdr:colOff>628074</xdr:colOff>
      <xdr:row>8</xdr:row>
      <xdr:rowOff>136871</xdr:rowOff>
    </xdr:from>
    <xdr:to>
      <xdr:col>13</xdr:col>
      <xdr:colOff>628074</xdr:colOff>
      <xdr:row>10</xdr:row>
      <xdr:rowOff>0</xdr:rowOff>
    </xdr:to>
    <xdr:cxnSp macro="">
      <xdr:nvCxnSpPr>
        <xdr:cNvPr id="10" name="直線矢印コネクタ 9">
          <a:extLst>
            <a:ext uri="{FF2B5EF4-FFF2-40B4-BE49-F238E27FC236}">
              <a16:creationId xmlns:a16="http://schemas.microsoft.com/office/drawing/2014/main" id="{00000000-0008-0000-1000-00000A000000}"/>
            </a:ext>
          </a:extLst>
        </xdr:cNvPr>
        <xdr:cNvCxnSpPr/>
      </xdr:nvCxnSpPr>
      <xdr:spPr bwMode="auto">
        <a:xfrm>
          <a:off x="10515024" y="1584671"/>
          <a:ext cx="0" cy="225079"/>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616326</xdr:colOff>
      <xdr:row>8</xdr:row>
      <xdr:rowOff>136871</xdr:rowOff>
    </xdr:from>
    <xdr:to>
      <xdr:col>14</xdr:col>
      <xdr:colOff>381000</xdr:colOff>
      <xdr:row>8</xdr:row>
      <xdr:rowOff>136871</xdr:rowOff>
    </xdr:to>
    <xdr:cxnSp macro="">
      <xdr:nvCxnSpPr>
        <xdr:cNvPr id="11" name="直線矢印コネクタ 10">
          <a:extLst>
            <a:ext uri="{FF2B5EF4-FFF2-40B4-BE49-F238E27FC236}">
              <a16:creationId xmlns:a16="http://schemas.microsoft.com/office/drawing/2014/main" id="{00000000-0008-0000-1000-00000B000000}"/>
            </a:ext>
          </a:extLst>
        </xdr:cNvPr>
        <xdr:cNvCxnSpPr/>
      </xdr:nvCxnSpPr>
      <xdr:spPr bwMode="auto">
        <a:xfrm flipH="1">
          <a:off x="10503276" y="1584671"/>
          <a:ext cx="99339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369252</xdr:colOff>
      <xdr:row>2</xdr:row>
      <xdr:rowOff>108857</xdr:rowOff>
    </xdr:from>
    <xdr:to>
      <xdr:col>14</xdr:col>
      <xdr:colOff>369252</xdr:colOff>
      <xdr:row>8</xdr:row>
      <xdr:rowOff>136071</xdr:rowOff>
    </xdr:to>
    <xdr:cxnSp macro="">
      <xdr:nvCxnSpPr>
        <xdr:cNvPr id="12" name="直線矢印コネクタ 11">
          <a:extLst>
            <a:ext uri="{FF2B5EF4-FFF2-40B4-BE49-F238E27FC236}">
              <a16:creationId xmlns:a16="http://schemas.microsoft.com/office/drawing/2014/main" id="{00000000-0008-0000-1000-00000C000000}"/>
            </a:ext>
          </a:extLst>
        </xdr:cNvPr>
        <xdr:cNvCxnSpPr/>
      </xdr:nvCxnSpPr>
      <xdr:spPr bwMode="auto">
        <a:xfrm>
          <a:off x="11484927" y="470807"/>
          <a:ext cx="0" cy="1113064"/>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262214</xdr:colOff>
      <xdr:row>0</xdr:row>
      <xdr:rowOff>149680</xdr:rowOff>
    </xdr:from>
    <xdr:to>
      <xdr:col>20</xdr:col>
      <xdr:colOff>680357</xdr:colOff>
      <xdr:row>2</xdr:row>
      <xdr:rowOff>149678</xdr:rowOff>
    </xdr:to>
    <xdr:sp macro="" textlink="">
      <xdr:nvSpPr>
        <xdr:cNvPr id="13" name="角丸四角形 12">
          <a:extLst>
            <a:ext uri="{FF2B5EF4-FFF2-40B4-BE49-F238E27FC236}">
              <a16:creationId xmlns:a16="http://schemas.microsoft.com/office/drawing/2014/main" id="{00000000-0008-0000-1000-00000D000000}"/>
            </a:ext>
          </a:extLst>
        </xdr:cNvPr>
        <xdr:cNvSpPr/>
      </xdr:nvSpPr>
      <xdr:spPr>
        <a:xfrm>
          <a:off x="11377889" y="149680"/>
          <a:ext cx="5190168" cy="36194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自動車保険料には、任意保険（車両分を含む。）の掛金を記入してください。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14</xdr:col>
      <xdr:colOff>56030</xdr:colOff>
      <xdr:row>13</xdr:row>
      <xdr:rowOff>0</xdr:rowOff>
    </xdr:from>
    <xdr:to>
      <xdr:col>14</xdr:col>
      <xdr:colOff>997324</xdr:colOff>
      <xdr:row>16</xdr:row>
      <xdr:rowOff>268941</xdr:rowOff>
    </xdr:to>
    <xdr:sp macro="" textlink="">
      <xdr:nvSpPr>
        <xdr:cNvPr id="14" name="大かっこ 13">
          <a:extLst>
            <a:ext uri="{FF2B5EF4-FFF2-40B4-BE49-F238E27FC236}">
              <a16:creationId xmlns:a16="http://schemas.microsoft.com/office/drawing/2014/main" id="{00000000-0008-0000-1000-00000E000000}"/>
            </a:ext>
          </a:extLst>
        </xdr:cNvPr>
        <xdr:cNvSpPr/>
      </xdr:nvSpPr>
      <xdr:spPr>
        <a:xfrm>
          <a:off x="11171705" y="2352675"/>
          <a:ext cx="941294" cy="8118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当年の当該自動車等の自動車税又は軽自動車税を記入してください。</a:t>
          </a:r>
        </a:p>
      </xdr:txBody>
    </xdr:sp>
    <xdr:clientData/>
  </xdr:twoCellAnchor>
  <xdr:twoCellAnchor>
    <xdr:from>
      <xdr:col>8</xdr:col>
      <xdr:colOff>201705</xdr:colOff>
      <xdr:row>7</xdr:row>
      <xdr:rowOff>160246</xdr:rowOff>
    </xdr:from>
    <xdr:to>
      <xdr:col>9</xdr:col>
      <xdr:colOff>38100</xdr:colOff>
      <xdr:row>9</xdr:row>
      <xdr:rowOff>160246</xdr:rowOff>
    </xdr:to>
    <xdr:grpSp>
      <xdr:nvGrpSpPr>
        <xdr:cNvPr id="15" name="グループ化 9">
          <a:extLst>
            <a:ext uri="{FF2B5EF4-FFF2-40B4-BE49-F238E27FC236}">
              <a16:creationId xmlns:a16="http://schemas.microsoft.com/office/drawing/2014/main" id="{00000000-0008-0000-1000-00000F000000}"/>
            </a:ext>
          </a:extLst>
        </xdr:cNvPr>
        <xdr:cNvGrpSpPr>
          <a:grpSpLocks/>
        </xdr:cNvGrpSpPr>
      </xdr:nvGrpSpPr>
      <xdr:grpSpPr bwMode="auto">
        <a:xfrm rot="-5400000">
          <a:off x="5433492" y="1459888"/>
          <a:ext cx="353786" cy="231002"/>
          <a:chOff x="4400545" y="6383925"/>
          <a:chExt cx="1171574" cy="333375"/>
        </a:xfrm>
      </xdr:grpSpPr>
      <xdr:cxnSp macro="">
        <xdr:nvCxnSpPr>
          <xdr:cNvPr id="16" name="直線矢印コネクタ 15">
            <a:extLst>
              <a:ext uri="{FF2B5EF4-FFF2-40B4-BE49-F238E27FC236}">
                <a16:creationId xmlns:a16="http://schemas.microsoft.com/office/drawing/2014/main" id="{00000000-0008-0000-1000-000010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線コネクタ 16">
            <a:extLst>
              <a:ext uri="{FF2B5EF4-FFF2-40B4-BE49-F238E27FC236}">
                <a16:creationId xmlns:a16="http://schemas.microsoft.com/office/drawing/2014/main" id="{00000000-0008-0000-1000-000011000000}"/>
              </a:ext>
            </a:extLst>
          </xdr:cNvPr>
          <xdr:cNvCxnSpPr/>
        </xdr:nvCxnSpPr>
        <xdr:spPr bwMode="auto">
          <a:xfrm flipV="1">
            <a:off x="5522527"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310562</xdr:colOff>
      <xdr:row>5</xdr:row>
      <xdr:rowOff>136073</xdr:rowOff>
    </xdr:from>
    <xdr:to>
      <xdr:col>11</xdr:col>
      <xdr:colOff>1442357</xdr:colOff>
      <xdr:row>9</xdr:row>
      <xdr:rowOff>76771</xdr:rowOff>
    </xdr:to>
    <xdr:sp macro="" textlink="">
      <xdr:nvSpPr>
        <xdr:cNvPr id="18" name="角丸四角形 17">
          <a:extLst>
            <a:ext uri="{FF2B5EF4-FFF2-40B4-BE49-F238E27FC236}">
              <a16:creationId xmlns:a16="http://schemas.microsoft.com/office/drawing/2014/main" id="{00000000-0008-0000-1000-000012000000}"/>
            </a:ext>
          </a:extLst>
        </xdr:cNvPr>
        <xdr:cNvSpPr/>
      </xdr:nvSpPr>
      <xdr:spPr>
        <a:xfrm>
          <a:off x="5596937" y="1040948"/>
          <a:ext cx="2722470" cy="66459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18</xdr:col>
      <xdr:colOff>0</xdr:colOff>
      <xdr:row>5</xdr:row>
      <xdr:rowOff>59531</xdr:rowOff>
    </xdr:from>
    <xdr:to>
      <xdr:col>21</xdr:col>
      <xdr:colOff>22412</xdr:colOff>
      <xdr:row>9</xdr:row>
      <xdr:rowOff>171237</xdr:rowOff>
    </xdr:to>
    <xdr:grpSp>
      <xdr:nvGrpSpPr>
        <xdr:cNvPr id="19" name="CommentNatsuue" hidden="1">
          <a:extLst>
            <a:ext uri="{FF2B5EF4-FFF2-40B4-BE49-F238E27FC236}">
              <a16:creationId xmlns:a16="http://schemas.microsoft.com/office/drawing/2014/main" id="{00000000-0008-0000-1000-000013000000}"/>
            </a:ext>
          </a:extLst>
        </xdr:cNvPr>
        <xdr:cNvGrpSpPr/>
      </xdr:nvGrpSpPr>
      <xdr:grpSpPr>
        <a:xfrm>
          <a:off x="14954250" y="943995"/>
          <a:ext cx="2553341" cy="819278"/>
          <a:chOff x="15438204" y="952500"/>
          <a:chExt cx="3038896" cy="826081"/>
        </a:xfrm>
      </xdr:grpSpPr>
      <xdr:grpSp>
        <xdr:nvGrpSpPr>
          <xdr:cNvPr id="20" name="グループ化 9" hidden="1">
            <a:extLst>
              <a:ext uri="{FF2B5EF4-FFF2-40B4-BE49-F238E27FC236}">
                <a16:creationId xmlns:a16="http://schemas.microsoft.com/office/drawing/2014/main" id="{00000000-0008-0000-1000-000014000000}"/>
              </a:ext>
            </a:extLst>
          </xdr:cNvPr>
          <xdr:cNvGrpSpPr>
            <a:grpSpLocks/>
          </xdr:cNvGrpSpPr>
        </xdr:nvGrpSpPr>
        <xdr:grpSpPr bwMode="auto">
          <a:xfrm rot="-5400000">
            <a:off x="16855574" y="179467"/>
            <a:ext cx="181744" cy="3016484"/>
            <a:chOff x="4400545" y="6389497"/>
            <a:chExt cx="1180954" cy="327805"/>
          </a:xfrm>
        </xdr:grpSpPr>
        <xdr:cxnSp macro="">
          <xdr:nvCxnSpPr>
            <xdr:cNvPr id="22" name="直線矢印コネクタ 21" hidden="1">
              <a:extLst>
                <a:ext uri="{FF2B5EF4-FFF2-40B4-BE49-F238E27FC236}">
                  <a16:creationId xmlns:a16="http://schemas.microsoft.com/office/drawing/2014/main" id="{00000000-0008-0000-1000-000016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コネクタ 22" hidden="1">
              <a:extLst>
                <a:ext uri="{FF2B5EF4-FFF2-40B4-BE49-F238E27FC236}">
                  <a16:creationId xmlns:a16="http://schemas.microsoft.com/office/drawing/2014/main" id="{00000000-0008-0000-1000-000017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 name="角丸四角形 68" hidden="1">
            <a:extLst>
              <a:ext uri="{FF2B5EF4-FFF2-40B4-BE49-F238E27FC236}">
                <a16:creationId xmlns:a16="http://schemas.microsoft.com/office/drawing/2014/main" id="{00000000-0008-0000-1000-000015000000}"/>
              </a:ext>
            </a:extLst>
          </xdr:cNvPr>
          <xdr:cNvSpPr/>
        </xdr:nvSpPr>
        <xdr:spPr>
          <a:xfrm>
            <a:off x="15978187" y="952500"/>
            <a:ext cx="2498913" cy="76831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19</xdr:col>
      <xdr:colOff>414618</xdr:colOff>
      <xdr:row>117</xdr:row>
      <xdr:rowOff>33618</xdr:rowOff>
    </xdr:from>
    <xdr:to>
      <xdr:col>19</xdr:col>
      <xdr:colOff>414618</xdr:colOff>
      <xdr:row>119</xdr:row>
      <xdr:rowOff>38494</xdr:rowOff>
    </xdr:to>
    <xdr:cxnSp macro="">
      <xdr:nvCxnSpPr>
        <xdr:cNvPr id="24" name="直線矢印コネクタ 23">
          <a:extLst>
            <a:ext uri="{FF2B5EF4-FFF2-40B4-BE49-F238E27FC236}">
              <a16:creationId xmlns:a16="http://schemas.microsoft.com/office/drawing/2014/main" id="{00000000-0008-0000-1000-000018000000}"/>
            </a:ext>
          </a:extLst>
        </xdr:cNvPr>
        <xdr:cNvCxnSpPr/>
      </xdr:nvCxnSpPr>
      <xdr:spPr bwMode="auto">
        <a:xfrm flipV="1">
          <a:off x="15378393" y="9168093"/>
          <a:ext cx="0" cy="366826"/>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627529</xdr:colOff>
      <xdr:row>119</xdr:row>
      <xdr:rowOff>0</xdr:rowOff>
    </xdr:from>
    <xdr:to>
      <xdr:col>20</xdr:col>
      <xdr:colOff>559413</xdr:colOff>
      <xdr:row>122</xdr:row>
      <xdr:rowOff>9525</xdr:rowOff>
    </xdr:to>
    <xdr:pic>
      <xdr:nvPicPr>
        <xdr:cNvPr id="25" name="図 24">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63775" y="9496425"/>
          <a:ext cx="1483338"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381000</xdr:colOff>
      <xdr:row>117</xdr:row>
      <xdr:rowOff>22412</xdr:rowOff>
    </xdr:from>
    <xdr:to>
      <xdr:col>4</xdr:col>
      <xdr:colOff>381000</xdr:colOff>
      <xdr:row>119</xdr:row>
      <xdr:rowOff>27504</xdr:rowOff>
    </xdr:to>
    <xdr:cxnSp macro="">
      <xdr:nvCxnSpPr>
        <xdr:cNvPr id="26" name="直線矢印コネクタ 25">
          <a:extLst>
            <a:ext uri="{FF2B5EF4-FFF2-40B4-BE49-F238E27FC236}">
              <a16:creationId xmlns:a16="http://schemas.microsoft.com/office/drawing/2014/main" id="{00000000-0008-0000-1000-00001A000000}"/>
            </a:ext>
          </a:extLst>
        </xdr:cNvPr>
        <xdr:cNvCxnSpPr/>
      </xdr:nvCxnSpPr>
      <xdr:spPr>
        <a:xfrm flipV="1">
          <a:off x="2819400" y="9156887"/>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504265</xdr:colOff>
      <xdr:row>117</xdr:row>
      <xdr:rowOff>11206</xdr:rowOff>
    </xdr:from>
    <xdr:to>
      <xdr:col>5</xdr:col>
      <xdr:colOff>504265</xdr:colOff>
      <xdr:row>119</xdr:row>
      <xdr:rowOff>16298</xdr:rowOff>
    </xdr:to>
    <xdr:cxnSp macro="">
      <xdr:nvCxnSpPr>
        <xdr:cNvPr id="27" name="直線矢印コネクタ 26">
          <a:extLst>
            <a:ext uri="{FF2B5EF4-FFF2-40B4-BE49-F238E27FC236}">
              <a16:creationId xmlns:a16="http://schemas.microsoft.com/office/drawing/2014/main" id="{00000000-0008-0000-1000-00001B000000}"/>
            </a:ext>
          </a:extLst>
        </xdr:cNvPr>
        <xdr:cNvCxnSpPr/>
      </xdr:nvCxnSpPr>
      <xdr:spPr>
        <a:xfrm flipV="1">
          <a:off x="3809440" y="9145681"/>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1064559</xdr:colOff>
      <xdr:row>118</xdr:row>
      <xdr:rowOff>168088</xdr:rowOff>
    </xdr:from>
    <xdr:to>
      <xdr:col>4</xdr:col>
      <xdr:colOff>638175</xdr:colOff>
      <xdr:row>122</xdr:row>
      <xdr:rowOff>720</xdr:rowOff>
    </xdr:to>
    <xdr:pic>
      <xdr:nvPicPr>
        <xdr:cNvPr id="28" name="図 27">
          <a:extLst>
            <a:ext uri="{FF2B5EF4-FFF2-40B4-BE49-F238E27FC236}">
              <a16:creationId xmlns:a16="http://schemas.microsoft.com/office/drawing/2014/main" id="{00000000-0008-0000-10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26534" y="9483538"/>
          <a:ext cx="1450041" cy="5565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244928</xdr:colOff>
      <xdr:row>119</xdr:row>
      <xdr:rowOff>13607</xdr:rowOff>
    </xdr:from>
    <xdr:to>
      <xdr:col>9</xdr:col>
      <xdr:colOff>273503</xdr:colOff>
      <xdr:row>128</xdr:row>
      <xdr:rowOff>23132</xdr:rowOff>
    </xdr:to>
    <xdr:pic>
      <xdr:nvPicPr>
        <xdr:cNvPr id="29" name="図 28">
          <a:extLst>
            <a:ext uri="{FF2B5EF4-FFF2-40B4-BE49-F238E27FC236}">
              <a16:creationId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50103" y="9510032"/>
          <a:ext cx="2409825"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400050</xdr:colOff>
          <xdr:row>1</xdr:row>
          <xdr:rowOff>0</xdr:rowOff>
        </xdr:from>
        <xdr:to>
          <xdr:col>11</xdr:col>
          <xdr:colOff>180975</xdr:colOff>
          <xdr:row>2</xdr:row>
          <xdr:rowOff>38100</xdr:rowOff>
        </xdr:to>
        <xdr:sp macro="" textlink="">
          <xdr:nvSpPr>
            <xdr:cNvPr id="14340" name="Label1" hidden="1">
              <a:extLst>
                <a:ext uri="{63B3BB69-23CF-44E3-9099-C40C66FF867C}">
                  <a14:compatExt spid="_x0000_s14340"/>
                </a:ext>
                <a:ext uri="{FF2B5EF4-FFF2-40B4-BE49-F238E27FC236}">
                  <a16:creationId xmlns:a16="http://schemas.microsoft.com/office/drawing/2014/main" id="{00000000-0008-0000-1000-000004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400050</xdr:colOff>
          <xdr:row>2</xdr:row>
          <xdr:rowOff>19050</xdr:rowOff>
        </xdr:from>
        <xdr:to>
          <xdr:col>11</xdr:col>
          <xdr:colOff>190500</xdr:colOff>
          <xdr:row>3</xdr:row>
          <xdr:rowOff>38100</xdr:rowOff>
        </xdr:to>
        <xdr:sp macro="" textlink="">
          <xdr:nvSpPr>
            <xdr:cNvPr id="14341" name="txt_hyouji" hidden="1">
              <a:extLst>
                <a:ext uri="{63B3BB69-23CF-44E3-9099-C40C66FF867C}">
                  <a14:compatExt spid="_x0000_s14341"/>
                </a:ext>
                <a:ext uri="{FF2B5EF4-FFF2-40B4-BE49-F238E27FC236}">
                  <a16:creationId xmlns:a16="http://schemas.microsoft.com/office/drawing/2014/main" id="{00000000-0008-0000-1000-000005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200025</xdr:colOff>
          <xdr:row>1</xdr:row>
          <xdr:rowOff>0</xdr:rowOff>
        </xdr:from>
        <xdr:to>
          <xdr:col>11</xdr:col>
          <xdr:colOff>1371600</xdr:colOff>
          <xdr:row>3</xdr:row>
          <xdr:rowOff>66675</xdr:rowOff>
        </xdr:to>
        <xdr:sp macro="" textlink="">
          <xdr:nvSpPr>
            <xdr:cNvPr id="14342" name="btnKoushin1" hidden="1">
              <a:extLst>
                <a:ext uri="{63B3BB69-23CF-44E3-9099-C40C66FF867C}">
                  <a14:compatExt spid="_x0000_s14342"/>
                </a:ext>
                <a:ext uri="{FF2B5EF4-FFF2-40B4-BE49-F238E27FC236}">
                  <a16:creationId xmlns:a16="http://schemas.microsoft.com/office/drawing/2014/main" id="{00000000-0008-0000-1000-000006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2</xdr:col>
      <xdr:colOff>168088</xdr:colOff>
      <xdr:row>118</xdr:row>
      <xdr:rowOff>22404</xdr:rowOff>
    </xdr:from>
    <xdr:to>
      <xdr:col>10</xdr:col>
      <xdr:colOff>38099</xdr:colOff>
      <xdr:row>128</xdr:row>
      <xdr:rowOff>43135</xdr:rowOff>
    </xdr:to>
    <xdr:grpSp>
      <xdr:nvGrpSpPr>
        <xdr:cNvPr id="2" name="cdeList_soba">
          <a:extLst>
            <a:ext uri="{FF2B5EF4-FFF2-40B4-BE49-F238E27FC236}">
              <a16:creationId xmlns:a16="http://schemas.microsoft.com/office/drawing/2014/main" id="{00000000-0008-0000-1100-000002000000}"/>
            </a:ext>
          </a:extLst>
        </xdr:cNvPr>
        <xdr:cNvGrpSpPr/>
      </xdr:nvGrpSpPr>
      <xdr:grpSpPr>
        <a:xfrm>
          <a:off x="440231" y="9737904"/>
          <a:ext cx="6455868" cy="1789660"/>
          <a:chOff x="470647" y="13828059"/>
          <a:chExt cx="6380629" cy="1813672"/>
        </a:xfrm>
      </xdr:grpSpPr>
      <xdr:pic>
        <xdr:nvPicPr>
          <xdr:cNvPr id="3" name="図 2">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647" y="13839265"/>
            <a:ext cx="2834528" cy="1802466"/>
          </a:xfrm>
          <a:prstGeom prst="rect">
            <a:avLst/>
          </a:prstGeom>
          <a:solidFill>
            <a:schemeClr val="bg1"/>
          </a:solidFill>
        </xdr:spPr>
      </xdr:pic>
      <xdr:pic>
        <xdr:nvPicPr>
          <xdr:cNvPr id="4" name="図 3">
            <a:extLst>
              <a:ext uri="{FF2B5EF4-FFF2-40B4-BE49-F238E27FC236}">
                <a16:creationId xmlns:a16="http://schemas.microsoft.com/office/drawing/2014/main" id="{00000000-0008-0000-11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97941" y="13828059"/>
            <a:ext cx="3153335" cy="1623172"/>
          </a:xfrm>
          <a:prstGeom prst="rect">
            <a:avLst/>
          </a:prstGeom>
          <a:solidFill>
            <a:schemeClr val="bg1"/>
          </a:solidFill>
        </xdr:spPr>
      </xdr:pic>
    </xdr:grpSp>
    <xdr:clientData/>
  </xdr:twoCellAnchor>
  <xdr:twoCellAnchor>
    <xdr:from>
      <xdr:col>2</xdr:col>
      <xdr:colOff>145676</xdr:colOff>
      <xdr:row>118</xdr:row>
      <xdr:rowOff>22412</xdr:rowOff>
    </xdr:from>
    <xdr:to>
      <xdr:col>11</xdr:col>
      <xdr:colOff>1116666</xdr:colOff>
      <xdr:row>128</xdr:row>
      <xdr:rowOff>31937</xdr:rowOff>
    </xdr:to>
    <xdr:grpSp>
      <xdr:nvGrpSpPr>
        <xdr:cNvPr id="5" name="cdeList_kome" hidden="1">
          <a:extLst>
            <a:ext uri="{FF2B5EF4-FFF2-40B4-BE49-F238E27FC236}">
              <a16:creationId xmlns:a16="http://schemas.microsoft.com/office/drawing/2014/main" id="{00000000-0008-0000-1100-000005000000}"/>
            </a:ext>
          </a:extLst>
        </xdr:cNvPr>
        <xdr:cNvGrpSpPr/>
      </xdr:nvGrpSpPr>
      <xdr:grpSpPr>
        <a:xfrm>
          <a:off x="417819" y="9737912"/>
          <a:ext cx="7951454" cy="1778454"/>
          <a:chOff x="414617" y="9737912"/>
          <a:chExt cx="7873814" cy="1802466"/>
        </a:xfrm>
        <a:solidFill>
          <a:schemeClr val="bg1"/>
        </a:solidFill>
      </xdr:grpSpPr>
      <xdr:pic>
        <xdr:nvPicPr>
          <xdr:cNvPr id="6" name="図 5" hidden="1">
            <a:extLst>
              <a:ext uri="{FF2B5EF4-FFF2-40B4-BE49-F238E27FC236}">
                <a16:creationId xmlns:a16="http://schemas.microsoft.com/office/drawing/2014/main" id="{00000000-0008-0000-11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4617" y="9737912"/>
            <a:ext cx="2868146" cy="1802466"/>
          </a:xfrm>
          <a:prstGeom prst="rect">
            <a:avLst/>
          </a:prstGeom>
          <a:grpFill/>
        </xdr:spPr>
      </xdr:pic>
      <xdr:pic>
        <xdr:nvPicPr>
          <xdr:cNvPr id="7" name="図 6" hidden="1">
            <a:extLst>
              <a:ext uri="{FF2B5EF4-FFF2-40B4-BE49-F238E27FC236}">
                <a16:creationId xmlns:a16="http://schemas.microsoft.com/office/drawing/2014/main" id="{00000000-0008-0000-11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09147" y="9737912"/>
            <a:ext cx="4579284" cy="1623172"/>
          </a:xfrm>
          <a:prstGeom prst="rect">
            <a:avLst/>
          </a:prstGeom>
          <a:grpFill/>
        </xdr:spPr>
      </xdr:pic>
    </xdr:grpSp>
    <xdr:clientData/>
  </xdr:twoCellAnchor>
  <xdr:twoCellAnchor>
    <xdr:from>
      <xdr:col>11</xdr:col>
      <xdr:colOff>47625</xdr:colOff>
      <xdr:row>12</xdr:row>
      <xdr:rowOff>9525</xdr:rowOff>
    </xdr:from>
    <xdr:to>
      <xdr:col>11</xdr:col>
      <xdr:colOff>1632857</xdr:colOff>
      <xdr:row>15</xdr:row>
      <xdr:rowOff>114600</xdr:rowOff>
    </xdr:to>
    <xdr:sp macro="" textlink="">
      <xdr:nvSpPr>
        <xdr:cNvPr id="8" name="大かっこ 7">
          <a:extLst>
            <a:ext uri="{FF2B5EF4-FFF2-40B4-BE49-F238E27FC236}">
              <a16:creationId xmlns:a16="http://schemas.microsoft.com/office/drawing/2014/main" id="{00000000-0008-0000-1100-000008000000}"/>
            </a:ext>
          </a:extLst>
        </xdr:cNvPr>
        <xdr:cNvSpPr/>
      </xdr:nvSpPr>
      <xdr:spPr>
        <a:xfrm>
          <a:off x="7296150" y="2181225"/>
          <a:ext cx="158523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47624</xdr:colOff>
      <xdr:row>12</xdr:row>
      <xdr:rowOff>9525</xdr:rowOff>
    </xdr:from>
    <xdr:to>
      <xdr:col>12</xdr:col>
      <xdr:colOff>1619250</xdr:colOff>
      <xdr:row>15</xdr:row>
      <xdr:rowOff>114600</xdr:rowOff>
    </xdr:to>
    <xdr:sp macro="" textlink="">
      <xdr:nvSpPr>
        <xdr:cNvPr id="9" name="大かっこ 8">
          <a:extLst>
            <a:ext uri="{FF2B5EF4-FFF2-40B4-BE49-F238E27FC236}">
              <a16:creationId xmlns:a16="http://schemas.microsoft.com/office/drawing/2014/main" id="{00000000-0008-0000-1100-000009000000}"/>
            </a:ext>
          </a:extLst>
        </xdr:cNvPr>
        <xdr:cNvSpPr/>
      </xdr:nvSpPr>
      <xdr:spPr>
        <a:xfrm>
          <a:off x="8982074" y="2181225"/>
          <a:ext cx="1571626"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農業機械の購入のために取り崩した準備金の額を記入してください。</a:t>
          </a:r>
        </a:p>
      </xdr:txBody>
    </xdr:sp>
    <xdr:clientData/>
  </xdr:twoCellAnchor>
  <xdr:twoCellAnchor>
    <xdr:from>
      <xdr:col>9</xdr:col>
      <xdr:colOff>358588</xdr:colOff>
      <xdr:row>0</xdr:row>
      <xdr:rowOff>21770</xdr:rowOff>
    </xdr:from>
    <xdr:to>
      <xdr:col>15</xdr:col>
      <xdr:colOff>515470</xdr:colOff>
      <xdr:row>2</xdr:row>
      <xdr:rowOff>19820</xdr:rowOff>
    </xdr:to>
    <xdr:sp macro="" textlink="">
      <xdr:nvSpPr>
        <xdr:cNvPr id="10" name="角丸四角形 9">
          <a:extLst>
            <a:ext uri="{FF2B5EF4-FFF2-40B4-BE49-F238E27FC236}">
              <a16:creationId xmlns:a16="http://schemas.microsoft.com/office/drawing/2014/main" id="{00000000-0008-0000-1100-00000A000000}"/>
            </a:ext>
          </a:extLst>
        </xdr:cNvPr>
        <xdr:cNvSpPr/>
      </xdr:nvSpPr>
      <xdr:spPr>
        <a:xfrm>
          <a:off x="6406963" y="21770"/>
          <a:ext cx="7357782"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358589</xdr:colOff>
      <xdr:row>5</xdr:row>
      <xdr:rowOff>78441</xdr:rowOff>
    </xdr:from>
    <xdr:to>
      <xdr:col>18</xdr:col>
      <xdr:colOff>362512</xdr:colOff>
      <xdr:row>8</xdr:row>
      <xdr:rowOff>154092</xdr:rowOff>
    </xdr:to>
    <xdr:cxnSp macro="">
      <xdr:nvCxnSpPr>
        <xdr:cNvPr id="11" name="直線矢印コネクタ 10">
          <a:extLst>
            <a:ext uri="{FF2B5EF4-FFF2-40B4-BE49-F238E27FC236}">
              <a16:creationId xmlns:a16="http://schemas.microsoft.com/office/drawing/2014/main" id="{00000000-0008-0000-1100-00000B000000}"/>
            </a:ext>
          </a:extLst>
        </xdr:cNvPr>
        <xdr:cNvCxnSpPr/>
      </xdr:nvCxnSpPr>
      <xdr:spPr>
        <a:xfrm>
          <a:off x="14417489" y="983316"/>
          <a:ext cx="3923" cy="618576"/>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593912</xdr:colOff>
      <xdr:row>0</xdr:row>
      <xdr:rowOff>103093</xdr:rowOff>
    </xdr:from>
    <xdr:to>
      <xdr:col>22</xdr:col>
      <xdr:colOff>273844</xdr:colOff>
      <xdr:row>5</xdr:row>
      <xdr:rowOff>81149</xdr:rowOff>
    </xdr:to>
    <xdr:sp macro="" textlink="">
      <xdr:nvSpPr>
        <xdr:cNvPr id="12" name="角丸四角形 11">
          <a:extLst>
            <a:ext uri="{FF2B5EF4-FFF2-40B4-BE49-F238E27FC236}">
              <a16:creationId xmlns:a16="http://schemas.microsoft.com/office/drawing/2014/main" id="{00000000-0008-0000-1100-00000C000000}"/>
            </a:ext>
          </a:extLst>
        </xdr:cNvPr>
        <xdr:cNvSpPr/>
      </xdr:nvSpPr>
      <xdr:spPr>
        <a:xfrm>
          <a:off x="13843187" y="103093"/>
          <a:ext cx="3613757" cy="88293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し</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・対象品目以外の作物へ共通して使用した場合には、</a:t>
          </a:r>
          <a:endPar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　使用時間割合を目安に記入してください。</a:t>
          </a:r>
        </a:p>
      </xdr:txBody>
    </xdr:sp>
    <xdr:clientData/>
  </xdr:twoCellAnchor>
  <xdr:twoCellAnchor>
    <xdr:from>
      <xdr:col>15</xdr:col>
      <xdr:colOff>38100</xdr:colOff>
      <xdr:row>11</xdr:row>
      <xdr:rowOff>171450</xdr:rowOff>
    </xdr:from>
    <xdr:to>
      <xdr:col>15</xdr:col>
      <xdr:colOff>750794</xdr:colOff>
      <xdr:row>15</xdr:row>
      <xdr:rowOff>167550</xdr:rowOff>
    </xdr:to>
    <xdr:sp macro="" textlink="">
      <xdr:nvSpPr>
        <xdr:cNvPr id="13" name="大かっこ 12">
          <a:extLst>
            <a:ext uri="{FF2B5EF4-FFF2-40B4-BE49-F238E27FC236}">
              <a16:creationId xmlns:a16="http://schemas.microsoft.com/office/drawing/2014/main" id="{00000000-0008-0000-1100-00000D000000}"/>
            </a:ext>
          </a:extLst>
        </xdr:cNvPr>
        <xdr:cNvSpPr/>
      </xdr:nvSpPr>
      <xdr:spPr>
        <a:xfrm>
          <a:off x="13287375" y="2162175"/>
          <a:ext cx="712694" cy="1120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当年の当該農業機械の軽自動車税を記入してください。</a:t>
          </a:r>
        </a:p>
      </xdr:txBody>
    </xdr:sp>
    <xdr:clientData/>
  </xdr:twoCellAnchor>
  <xdr:twoCellAnchor>
    <xdr:from>
      <xdr:col>13</xdr:col>
      <xdr:colOff>57150</xdr:colOff>
      <xdr:row>12</xdr:row>
      <xdr:rowOff>19050</xdr:rowOff>
    </xdr:from>
    <xdr:to>
      <xdr:col>13</xdr:col>
      <xdr:colOff>1355912</xdr:colOff>
      <xdr:row>15</xdr:row>
      <xdr:rowOff>124125</xdr:rowOff>
    </xdr:to>
    <xdr:sp macro="" textlink="">
      <xdr:nvSpPr>
        <xdr:cNvPr id="14" name="大かっこ 13">
          <a:extLst>
            <a:ext uri="{FF2B5EF4-FFF2-40B4-BE49-F238E27FC236}">
              <a16:creationId xmlns:a16="http://schemas.microsoft.com/office/drawing/2014/main" id="{00000000-0008-0000-1100-00000E000000}"/>
            </a:ext>
          </a:extLst>
        </xdr:cNvPr>
        <xdr:cNvSpPr/>
      </xdr:nvSpPr>
      <xdr:spPr>
        <a:xfrm>
          <a:off x="10677525" y="2190750"/>
          <a:ext cx="129876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当年の当該農業機械や生産管理機器の修繕費を記入してください。</a:t>
          </a:r>
        </a:p>
      </xdr:txBody>
    </xdr:sp>
    <xdr:clientData/>
  </xdr:twoCellAnchor>
  <xdr:twoCellAnchor>
    <xdr:from>
      <xdr:col>14</xdr:col>
      <xdr:colOff>47624</xdr:colOff>
      <xdr:row>12</xdr:row>
      <xdr:rowOff>1680</xdr:rowOff>
    </xdr:from>
    <xdr:to>
      <xdr:col>14</xdr:col>
      <xdr:colOff>1165412</xdr:colOff>
      <xdr:row>15</xdr:row>
      <xdr:rowOff>141074</xdr:rowOff>
    </xdr:to>
    <xdr:sp macro="" textlink="">
      <xdr:nvSpPr>
        <xdr:cNvPr id="15" name="大かっこ 14">
          <a:extLst>
            <a:ext uri="{FF2B5EF4-FFF2-40B4-BE49-F238E27FC236}">
              <a16:creationId xmlns:a16="http://schemas.microsoft.com/office/drawing/2014/main" id="{00000000-0008-0000-1100-00000F000000}"/>
            </a:ext>
          </a:extLst>
        </xdr:cNvPr>
        <xdr:cNvSpPr/>
      </xdr:nvSpPr>
      <xdr:spPr>
        <a:xfrm>
          <a:off x="12087224" y="2173380"/>
          <a:ext cx="1117788" cy="10823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当年の当該農業機械の保険料を記入してください。</a:t>
          </a:r>
        </a:p>
      </xdr:txBody>
    </xdr:sp>
    <xdr:clientData/>
  </xdr:twoCellAnchor>
  <xdr:twoCellAnchor>
    <xdr:from>
      <xdr:col>13</xdr:col>
      <xdr:colOff>708212</xdr:colOff>
      <xdr:row>6</xdr:row>
      <xdr:rowOff>16420</xdr:rowOff>
    </xdr:from>
    <xdr:to>
      <xdr:col>13</xdr:col>
      <xdr:colOff>708213</xdr:colOff>
      <xdr:row>8</xdr:row>
      <xdr:rowOff>158470</xdr:rowOff>
    </xdr:to>
    <xdr:cxnSp macro="">
      <xdr:nvCxnSpPr>
        <xdr:cNvPr id="16" name="直線矢印コネクタ 15">
          <a:extLst>
            <a:ext uri="{FF2B5EF4-FFF2-40B4-BE49-F238E27FC236}">
              <a16:creationId xmlns:a16="http://schemas.microsoft.com/office/drawing/2014/main" id="{00000000-0008-0000-1100-000010000000}"/>
            </a:ext>
          </a:extLst>
        </xdr:cNvPr>
        <xdr:cNvCxnSpPr/>
      </xdr:nvCxnSpPr>
      <xdr:spPr>
        <a:xfrm>
          <a:off x="11328587" y="1102270"/>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67235</xdr:colOff>
      <xdr:row>2</xdr:row>
      <xdr:rowOff>89647</xdr:rowOff>
    </xdr:from>
    <xdr:to>
      <xdr:col>15</xdr:col>
      <xdr:colOff>481853</xdr:colOff>
      <xdr:row>7</xdr:row>
      <xdr:rowOff>107763</xdr:rowOff>
    </xdr:to>
    <xdr:sp macro="" textlink="">
      <xdr:nvSpPr>
        <xdr:cNvPr id="17" name="角丸四角形 16">
          <a:extLst>
            <a:ext uri="{FF2B5EF4-FFF2-40B4-BE49-F238E27FC236}">
              <a16:creationId xmlns:a16="http://schemas.microsoft.com/office/drawing/2014/main" id="{00000000-0008-0000-1100-000011000000}"/>
            </a:ext>
          </a:extLst>
        </xdr:cNvPr>
        <xdr:cNvSpPr/>
      </xdr:nvSpPr>
      <xdr:spPr>
        <a:xfrm>
          <a:off x="10687610" y="451597"/>
          <a:ext cx="3043518" cy="9229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xdr:from>
      <xdr:col>21</xdr:col>
      <xdr:colOff>66673</xdr:colOff>
      <xdr:row>13</xdr:row>
      <xdr:rowOff>76200</xdr:rowOff>
    </xdr:from>
    <xdr:to>
      <xdr:col>21</xdr:col>
      <xdr:colOff>1524000</xdr:colOff>
      <xdr:row>15</xdr:row>
      <xdr:rowOff>146249</xdr:rowOff>
    </xdr:to>
    <xdr:sp macro="" textlink="">
      <xdr:nvSpPr>
        <xdr:cNvPr id="18" name="大かっこ 17">
          <a:extLst>
            <a:ext uri="{FF2B5EF4-FFF2-40B4-BE49-F238E27FC236}">
              <a16:creationId xmlns:a16="http://schemas.microsoft.com/office/drawing/2014/main" id="{00000000-0008-0000-1100-000012000000}"/>
            </a:ext>
          </a:extLst>
        </xdr:cNvPr>
        <xdr:cNvSpPr/>
      </xdr:nvSpPr>
      <xdr:spPr>
        <a:xfrm>
          <a:off x="15649573" y="2428875"/>
          <a:ext cx="1457327" cy="83204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8</xdr:col>
      <xdr:colOff>171450</xdr:colOff>
      <xdr:row>7</xdr:row>
      <xdr:rowOff>47624</xdr:rowOff>
    </xdr:from>
    <xdr:to>
      <xdr:col>10</xdr:col>
      <xdr:colOff>0</xdr:colOff>
      <xdr:row>8</xdr:row>
      <xdr:rowOff>152399</xdr:rowOff>
    </xdr:to>
    <xdr:grpSp>
      <xdr:nvGrpSpPr>
        <xdr:cNvPr id="19" name="グループ化 9">
          <a:extLst>
            <a:ext uri="{FF2B5EF4-FFF2-40B4-BE49-F238E27FC236}">
              <a16:creationId xmlns:a16="http://schemas.microsoft.com/office/drawing/2014/main" id="{00000000-0008-0000-1100-000013000000}"/>
            </a:ext>
          </a:extLst>
        </xdr:cNvPr>
        <xdr:cNvGrpSpPr>
          <a:grpSpLocks/>
        </xdr:cNvGrpSpPr>
      </xdr:nvGrpSpPr>
      <xdr:grpSpPr bwMode="auto">
        <a:xfrm rot="-5400000">
          <a:off x="6197373" y="906915"/>
          <a:ext cx="281668" cy="1039586"/>
          <a:chOff x="4400548" y="6383925"/>
          <a:chExt cx="1171574" cy="333375"/>
        </a:xfrm>
      </xdr:grpSpPr>
      <xdr:cxnSp macro="">
        <xdr:nvCxnSpPr>
          <xdr:cNvPr id="20" name="直線矢印コネクタ 19">
            <a:extLst>
              <a:ext uri="{FF2B5EF4-FFF2-40B4-BE49-F238E27FC236}">
                <a16:creationId xmlns:a16="http://schemas.microsoft.com/office/drawing/2014/main" id="{00000000-0008-0000-1100-000014000000}"/>
              </a:ext>
            </a:extLst>
          </xdr:cNvPr>
          <xdr:cNvCxnSpPr/>
        </xdr:nvCxnSpPr>
        <xdr:spPr bwMode="auto">
          <a:xfrm flipH="1">
            <a:off x="4400548"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1100-000015000000}"/>
              </a:ext>
            </a:extLst>
          </xdr:cNvPr>
          <xdr:cNvCxnSpPr/>
        </xdr:nvCxnSpPr>
        <xdr:spPr bwMode="auto">
          <a:xfrm flipV="1">
            <a:off x="5521192"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6</xdr:row>
      <xdr:rowOff>92075</xdr:rowOff>
    </xdr:from>
    <xdr:to>
      <xdr:col>13</xdr:col>
      <xdr:colOff>0</xdr:colOff>
      <xdr:row>8</xdr:row>
      <xdr:rowOff>90125</xdr:rowOff>
    </xdr:to>
    <xdr:sp macro="" textlink="">
      <xdr:nvSpPr>
        <xdr:cNvPr id="22" name="角丸四角形 21">
          <a:extLst>
            <a:ext uri="{FF2B5EF4-FFF2-40B4-BE49-F238E27FC236}">
              <a16:creationId xmlns:a16="http://schemas.microsoft.com/office/drawing/2014/main" id="{00000000-0008-0000-1100-000016000000}"/>
            </a:ext>
          </a:extLst>
        </xdr:cNvPr>
        <xdr:cNvSpPr/>
      </xdr:nvSpPr>
      <xdr:spPr>
        <a:xfrm>
          <a:off x="6048375" y="1177925"/>
          <a:ext cx="4572000"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19</xdr:col>
      <xdr:colOff>0</xdr:colOff>
      <xdr:row>5</xdr:row>
      <xdr:rowOff>123263</xdr:rowOff>
    </xdr:from>
    <xdr:to>
      <xdr:col>22</xdr:col>
      <xdr:colOff>257736</xdr:colOff>
      <xdr:row>9</xdr:row>
      <xdr:rowOff>3149</xdr:rowOff>
    </xdr:to>
    <xdr:grpSp>
      <xdr:nvGrpSpPr>
        <xdr:cNvPr id="23" name="CommentNatsuue" hidden="1">
          <a:extLst>
            <a:ext uri="{FF2B5EF4-FFF2-40B4-BE49-F238E27FC236}">
              <a16:creationId xmlns:a16="http://schemas.microsoft.com/office/drawing/2014/main" id="{00000000-0008-0000-1100-000017000000}"/>
            </a:ext>
          </a:extLst>
        </xdr:cNvPr>
        <xdr:cNvGrpSpPr/>
      </xdr:nvGrpSpPr>
      <xdr:grpSpPr>
        <a:xfrm>
          <a:off x="16138071" y="1007727"/>
          <a:ext cx="2788665" cy="587458"/>
          <a:chOff x="14870206" y="1019734"/>
          <a:chExt cx="3272118" cy="597062"/>
        </a:xfrm>
      </xdr:grpSpPr>
      <xdr:grpSp>
        <xdr:nvGrpSpPr>
          <xdr:cNvPr id="24" name="グループ化 9" hidden="1">
            <a:extLst>
              <a:ext uri="{FF2B5EF4-FFF2-40B4-BE49-F238E27FC236}">
                <a16:creationId xmlns:a16="http://schemas.microsoft.com/office/drawing/2014/main" id="{00000000-0008-0000-1100-000018000000}"/>
              </a:ext>
            </a:extLst>
          </xdr:cNvPr>
          <xdr:cNvGrpSpPr>
            <a:grpSpLocks/>
          </xdr:cNvGrpSpPr>
        </xdr:nvGrpSpPr>
        <xdr:grpSpPr bwMode="auto">
          <a:xfrm rot="-5400000">
            <a:off x="16215362" y="-52429"/>
            <a:ext cx="324069" cy="3014382"/>
            <a:chOff x="4400545" y="6389497"/>
            <a:chExt cx="1180954" cy="327805"/>
          </a:xfrm>
        </xdr:grpSpPr>
        <xdr:cxnSp macro="">
          <xdr:nvCxnSpPr>
            <xdr:cNvPr id="26" name="直線矢印コネクタ 25" hidden="1">
              <a:extLst>
                <a:ext uri="{FF2B5EF4-FFF2-40B4-BE49-F238E27FC236}">
                  <a16:creationId xmlns:a16="http://schemas.microsoft.com/office/drawing/2014/main" id="{00000000-0008-0000-1100-00001A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7" name="直線コネクタ 26" hidden="1">
              <a:extLst>
                <a:ext uri="{FF2B5EF4-FFF2-40B4-BE49-F238E27FC236}">
                  <a16:creationId xmlns:a16="http://schemas.microsoft.com/office/drawing/2014/main" id="{00000000-0008-0000-1100-00001B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角丸四角形 68" hidden="1">
            <a:extLst>
              <a:ext uri="{FF2B5EF4-FFF2-40B4-BE49-F238E27FC236}">
                <a16:creationId xmlns:a16="http://schemas.microsoft.com/office/drawing/2014/main" id="{00000000-0008-0000-1100-000019000000}"/>
              </a:ext>
            </a:extLst>
          </xdr:cNvPr>
          <xdr:cNvSpPr/>
        </xdr:nvSpPr>
        <xdr:spPr>
          <a:xfrm>
            <a:off x="14970503" y="1019734"/>
            <a:ext cx="3171821" cy="56029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2</xdr:col>
      <xdr:colOff>156880</xdr:colOff>
      <xdr:row>118</xdr:row>
      <xdr:rowOff>22408</xdr:rowOff>
    </xdr:from>
    <xdr:to>
      <xdr:col>10</xdr:col>
      <xdr:colOff>88527</xdr:colOff>
      <xdr:row>127</xdr:row>
      <xdr:rowOff>31933</xdr:rowOff>
    </xdr:to>
    <xdr:grpSp>
      <xdr:nvGrpSpPr>
        <xdr:cNvPr id="28" name="cdeList_mugi" hidden="1">
          <a:extLst>
            <a:ext uri="{FF2B5EF4-FFF2-40B4-BE49-F238E27FC236}">
              <a16:creationId xmlns:a16="http://schemas.microsoft.com/office/drawing/2014/main" id="{00000000-0008-0000-1100-00001C000000}"/>
            </a:ext>
          </a:extLst>
        </xdr:cNvPr>
        <xdr:cNvGrpSpPr/>
      </xdr:nvGrpSpPr>
      <xdr:grpSpPr>
        <a:xfrm>
          <a:off x="429023" y="9737908"/>
          <a:ext cx="6517504" cy="1601561"/>
          <a:chOff x="425821" y="11889440"/>
          <a:chExt cx="6442265" cy="1623172"/>
        </a:xfrm>
        <a:solidFill>
          <a:schemeClr val="bg1"/>
        </a:solidFill>
      </xdr:grpSpPr>
      <xdr:pic>
        <xdr:nvPicPr>
          <xdr:cNvPr id="29" name="図 28" hidden="1">
            <a:extLst>
              <a:ext uri="{FF2B5EF4-FFF2-40B4-BE49-F238E27FC236}">
                <a16:creationId xmlns:a16="http://schemas.microsoft.com/office/drawing/2014/main" id="{00000000-0008-0000-1100-00001D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5821" y="11889440"/>
            <a:ext cx="2868146" cy="1623172"/>
          </a:xfrm>
          <a:prstGeom prst="rect">
            <a:avLst/>
          </a:prstGeom>
          <a:grpFill/>
        </xdr:spPr>
      </xdr:pic>
      <xdr:pic>
        <xdr:nvPicPr>
          <xdr:cNvPr id="30" name="図 29" hidden="1">
            <a:extLst>
              <a:ext uri="{FF2B5EF4-FFF2-40B4-BE49-F238E27FC236}">
                <a16:creationId xmlns:a16="http://schemas.microsoft.com/office/drawing/2014/main" id="{00000000-0008-0000-1100-00001E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709148" y="11889440"/>
            <a:ext cx="3158938" cy="1623172"/>
          </a:xfrm>
          <a:prstGeom prst="rect">
            <a:avLst/>
          </a:prstGeom>
          <a:grpFill/>
        </xdr:spPr>
      </xdr:pic>
    </xdr:grpSp>
    <xdr:clientData/>
  </xdr:twoCellAnchor>
  <xdr:oneCellAnchor>
    <xdr:from>
      <xdr:col>19</xdr:col>
      <xdr:colOff>616323</xdr:colOff>
      <xdr:row>118</xdr:row>
      <xdr:rowOff>11205</xdr:rowOff>
    </xdr:from>
    <xdr:ext cx="1244973" cy="547407"/>
    <xdr:pic>
      <xdr:nvPicPr>
        <xdr:cNvPr id="31" name="図 30">
          <a:extLst>
            <a:ext uri="{FF2B5EF4-FFF2-40B4-BE49-F238E27FC236}">
              <a16:creationId xmlns:a16="http://schemas.microsoft.com/office/drawing/2014/main" id="{00000000-0008-0000-1100-00001F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4658975" y="9726705"/>
          <a:ext cx="1244973" cy="54740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437029</xdr:colOff>
      <xdr:row>116</xdr:row>
      <xdr:rowOff>11206</xdr:rowOff>
    </xdr:from>
    <xdr:to>
      <xdr:col>4</xdr:col>
      <xdr:colOff>437029</xdr:colOff>
      <xdr:row>118</xdr:row>
      <xdr:rowOff>16298</xdr:rowOff>
    </xdr:to>
    <xdr:cxnSp macro="">
      <xdr:nvCxnSpPr>
        <xdr:cNvPr id="32" name="直線矢印コネクタ 31">
          <a:extLst>
            <a:ext uri="{FF2B5EF4-FFF2-40B4-BE49-F238E27FC236}">
              <a16:creationId xmlns:a16="http://schemas.microsoft.com/office/drawing/2014/main" id="{00000000-0008-0000-1100-000020000000}"/>
            </a:ext>
          </a:extLst>
        </xdr:cNvPr>
        <xdr:cNvCxnSpPr/>
      </xdr:nvCxnSpPr>
      <xdr:spPr>
        <a:xfrm flipV="1">
          <a:off x="2989729"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392206</xdr:colOff>
      <xdr:row>116</xdr:row>
      <xdr:rowOff>11206</xdr:rowOff>
    </xdr:from>
    <xdr:to>
      <xdr:col>5</xdr:col>
      <xdr:colOff>392206</xdr:colOff>
      <xdr:row>118</xdr:row>
      <xdr:rowOff>16298</xdr:rowOff>
    </xdr:to>
    <xdr:cxnSp macro="">
      <xdr:nvCxnSpPr>
        <xdr:cNvPr id="33" name="直線矢印コネクタ 32">
          <a:extLst>
            <a:ext uri="{FF2B5EF4-FFF2-40B4-BE49-F238E27FC236}">
              <a16:creationId xmlns:a16="http://schemas.microsoft.com/office/drawing/2014/main" id="{00000000-0008-0000-1100-000021000000}"/>
            </a:ext>
          </a:extLst>
        </xdr:cNvPr>
        <xdr:cNvCxnSpPr/>
      </xdr:nvCxnSpPr>
      <xdr:spPr>
        <a:xfrm flipV="1">
          <a:off x="3992656"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414618</xdr:colOff>
      <xdr:row>116</xdr:row>
      <xdr:rowOff>0</xdr:rowOff>
    </xdr:from>
    <xdr:to>
      <xdr:col>20</xdr:col>
      <xdr:colOff>414618</xdr:colOff>
      <xdr:row>118</xdr:row>
      <xdr:rowOff>5092</xdr:rowOff>
    </xdr:to>
    <xdr:cxnSp macro="">
      <xdr:nvCxnSpPr>
        <xdr:cNvPr id="34" name="直線矢印コネクタ 33">
          <a:extLst>
            <a:ext uri="{FF2B5EF4-FFF2-40B4-BE49-F238E27FC236}">
              <a16:creationId xmlns:a16="http://schemas.microsoft.com/office/drawing/2014/main" id="{00000000-0008-0000-1100-000022000000}"/>
            </a:ext>
          </a:extLst>
        </xdr:cNvPr>
        <xdr:cNvCxnSpPr/>
      </xdr:nvCxnSpPr>
      <xdr:spPr>
        <a:xfrm flipV="1">
          <a:off x="15073593" y="9353550"/>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145676</xdr:colOff>
      <xdr:row>118</xdr:row>
      <xdr:rowOff>33613</xdr:rowOff>
    </xdr:from>
    <xdr:to>
      <xdr:col>10</xdr:col>
      <xdr:colOff>38099</xdr:colOff>
      <xdr:row>128</xdr:row>
      <xdr:rowOff>43138</xdr:rowOff>
    </xdr:to>
    <xdr:grpSp>
      <xdr:nvGrpSpPr>
        <xdr:cNvPr id="35" name="cdeList_daizu" hidden="1">
          <a:extLst>
            <a:ext uri="{FF2B5EF4-FFF2-40B4-BE49-F238E27FC236}">
              <a16:creationId xmlns:a16="http://schemas.microsoft.com/office/drawing/2014/main" id="{00000000-0008-0000-1100-000023000000}"/>
            </a:ext>
          </a:extLst>
        </xdr:cNvPr>
        <xdr:cNvGrpSpPr/>
      </xdr:nvGrpSpPr>
      <xdr:grpSpPr>
        <a:xfrm>
          <a:off x="417819" y="9749113"/>
          <a:ext cx="6478280" cy="1778454"/>
          <a:chOff x="470647" y="15990794"/>
          <a:chExt cx="6403041" cy="1802466"/>
        </a:xfrm>
        <a:solidFill>
          <a:schemeClr val="lt1"/>
        </a:solidFill>
      </xdr:grpSpPr>
      <xdr:pic>
        <xdr:nvPicPr>
          <xdr:cNvPr id="36" name="図 35" hidden="1">
            <a:extLst>
              <a:ext uri="{FF2B5EF4-FFF2-40B4-BE49-F238E27FC236}">
                <a16:creationId xmlns:a16="http://schemas.microsoft.com/office/drawing/2014/main" id="{00000000-0008-0000-1100-00002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70647" y="15990794"/>
            <a:ext cx="2834528" cy="1802466"/>
          </a:xfrm>
          <a:prstGeom prst="rect">
            <a:avLst/>
          </a:prstGeom>
          <a:grpFill/>
        </xdr:spPr>
      </xdr:pic>
      <xdr:pic>
        <xdr:nvPicPr>
          <xdr:cNvPr id="37" name="図 36" hidden="1">
            <a:extLst>
              <a:ext uri="{FF2B5EF4-FFF2-40B4-BE49-F238E27FC236}">
                <a16:creationId xmlns:a16="http://schemas.microsoft.com/office/drawing/2014/main" id="{00000000-0008-0000-1100-00002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720353" y="15990794"/>
            <a:ext cx="3153335" cy="1623172"/>
          </a:xfrm>
          <a:prstGeom prst="rect">
            <a:avLst/>
          </a:prstGeom>
          <a:grpFill/>
        </xdr:spPr>
      </xdr:pic>
    </xdr:grpSp>
    <xdr:clientData/>
  </xdr:twoCellAnchor>
  <xdr:twoCellAnchor>
    <xdr:from>
      <xdr:col>2</xdr:col>
      <xdr:colOff>145676</xdr:colOff>
      <xdr:row>118</xdr:row>
      <xdr:rowOff>22413</xdr:rowOff>
    </xdr:from>
    <xdr:to>
      <xdr:col>10</xdr:col>
      <xdr:colOff>49305</xdr:colOff>
      <xdr:row>127</xdr:row>
      <xdr:rowOff>54349</xdr:rowOff>
    </xdr:to>
    <xdr:grpSp>
      <xdr:nvGrpSpPr>
        <xdr:cNvPr id="38" name="cdeList_genkan" hidden="1">
          <a:extLst>
            <a:ext uri="{FF2B5EF4-FFF2-40B4-BE49-F238E27FC236}">
              <a16:creationId xmlns:a16="http://schemas.microsoft.com/office/drawing/2014/main" id="{00000000-0008-0000-1100-000026000000}"/>
            </a:ext>
          </a:extLst>
        </xdr:cNvPr>
        <xdr:cNvGrpSpPr/>
      </xdr:nvGrpSpPr>
      <xdr:grpSpPr>
        <a:xfrm>
          <a:off x="417819" y="9737913"/>
          <a:ext cx="6489486" cy="1623972"/>
          <a:chOff x="470647" y="18142324"/>
          <a:chExt cx="6414247" cy="1645583"/>
        </a:xfrm>
        <a:solidFill>
          <a:schemeClr val="lt1"/>
        </a:solidFill>
      </xdr:grpSpPr>
      <xdr:pic>
        <xdr:nvPicPr>
          <xdr:cNvPr id="39" name="図 38" hidden="1">
            <a:extLst>
              <a:ext uri="{FF2B5EF4-FFF2-40B4-BE49-F238E27FC236}">
                <a16:creationId xmlns:a16="http://schemas.microsoft.com/office/drawing/2014/main" id="{00000000-0008-0000-1100-000027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70647" y="18142324"/>
            <a:ext cx="2834528" cy="1443878"/>
          </a:xfrm>
          <a:prstGeom prst="rect">
            <a:avLst/>
          </a:prstGeom>
          <a:grpFill/>
        </xdr:spPr>
      </xdr:pic>
      <xdr:pic>
        <xdr:nvPicPr>
          <xdr:cNvPr id="40" name="図 39" hidden="1">
            <a:extLst>
              <a:ext uri="{FF2B5EF4-FFF2-40B4-BE49-F238E27FC236}">
                <a16:creationId xmlns:a16="http://schemas.microsoft.com/office/drawing/2014/main" id="{00000000-0008-0000-1100-000028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731559" y="18164735"/>
            <a:ext cx="3153335" cy="1623172"/>
          </a:xfrm>
          <a:prstGeom prst="rect">
            <a:avLst/>
          </a:prstGeom>
          <a:grpFill/>
        </xdr:spPr>
      </xdr:pic>
    </xdr:grpSp>
    <xdr:clientData/>
  </xdr:twoCellAnchor>
  <xdr:twoCellAnchor>
    <xdr:from>
      <xdr:col>2</xdr:col>
      <xdr:colOff>134471</xdr:colOff>
      <xdr:row>118</xdr:row>
      <xdr:rowOff>22412</xdr:rowOff>
    </xdr:from>
    <xdr:to>
      <xdr:col>10</xdr:col>
      <xdr:colOff>38100</xdr:colOff>
      <xdr:row>128</xdr:row>
      <xdr:rowOff>31937</xdr:rowOff>
    </xdr:to>
    <xdr:grpSp>
      <xdr:nvGrpSpPr>
        <xdr:cNvPr id="41" name="cdeList_genbare" hidden="1">
          <a:extLst>
            <a:ext uri="{FF2B5EF4-FFF2-40B4-BE49-F238E27FC236}">
              <a16:creationId xmlns:a16="http://schemas.microsoft.com/office/drawing/2014/main" id="{00000000-0008-0000-1100-000029000000}"/>
            </a:ext>
          </a:extLst>
        </xdr:cNvPr>
        <xdr:cNvGrpSpPr/>
      </xdr:nvGrpSpPr>
      <xdr:grpSpPr>
        <a:xfrm>
          <a:off x="406614" y="9737912"/>
          <a:ext cx="6489486" cy="1778454"/>
          <a:chOff x="470647" y="20114559"/>
          <a:chExt cx="6414247" cy="1802466"/>
        </a:xfrm>
      </xdr:grpSpPr>
      <xdr:pic>
        <xdr:nvPicPr>
          <xdr:cNvPr id="42" name="図 41" hidden="1">
            <a:extLst>
              <a:ext uri="{FF2B5EF4-FFF2-40B4-BE49-F238E27FC236}">
                <a16:creationId xmlns:a16="http://schemas.microsoft.com/office/drawing/2014/main" id="{00000000-0008-0000-1100-00002A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0647" y="20114559"/>
            <a:ext cx="2834528" cy="1802466"/>
          </a:xfrm>
          <a:prstGeom prst="rect">
            <a:avLst/>
          </a:prstGeom>
          <a:solidFill>
            <a:srgbClr val="FFFFFF"/>
          </a:solidFill>
        </xdr:spPr>
      </xdr:pic>
      <xdr:pic>
        <xdr:nvPicPr>
          <xdr:cNvPr id="43" name="図 42" hidden="1">
            <a:extLst>
              <a:ext uri="{FF2B5EF4-FFF2-40B4-BE49-F238E27FC236}">
                <a16:creationId xmlns:a16="http://schemas.microsoft.com/office/drawing/2014/main" id="{00000000-0008-0000-1100-00002B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731559" y="20125765"/>
            <a:ext cx="3153335" cy="1623172"/>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134472</xdr:colOff>
      <xdr:row>118</xdr:row>
      <xdr:rowOff>22411</xdr:rowOff>
    </xdr:from>
    <xdr:to>
      <xdr:col>10</xdr:col>
      <xdr:colOff>49307</xdr:colOff>
      <xdr:row>128</xdr:row>
      <xdr:rowOff>43143</xdr:rowOff>
    </xdr:to>
    <xdr:grpSp>
      <xdr:nvGrpSpPr>
        <xdr:cNvPr id="44" name="cdeList_natane" hidden="1">
          <a:extLst>
            <a:ext uri="{FF2B5EF4-FFF2-40B4-BE49-F238E27FC236}">
              <a16:creationId xmlns:a16="http://schemas.microsoft.com/office/drawing/2014/main" id="{00000000-0008-0000-1100-00002C000000}"/>
            </a:ext>
          </a:extLst>
        </xdr:cNvPr>
        <xdr:cNvGrpSpPr/>
      </xdr:nvGrpSpPr>
      <xdr:grpSpPr>
        <a:xfrm>
          <a:off x="406615" y="9737911"/>
          <a:ext cx="6500692" cy="1789661"/>
          <a:chOff x="470647" y="22254882"/>
          <a:chExt cx="6425453" cy="1813673"/>
        </a:xfrm>
        <a:solidFill>
          <a:schemeClr val="lt1"/>
        </a:solidFill>
      </xdr:grpSpPr>
      <xdr:pic>
        <xdr:nvPicPr>
          <xdr:cNvPr id="45" name="図 44" hidden="1">
            <a:extLst>
              <a:ext uri="{FF2B5EF4-FFF2-40B4-BE49-F238E27FC236}">
                <a16:creationId xmlns:a16="http://schemas.microsoft.com/office/drawing/2014/main" id="{00000000-0008-0000-1100-00002D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70647" y="22266088"/>
            <a:ext cx="2834528" cy="1802467"/>
          </a:xfrm>
          <a:prstGeom prst="rect">
            <a:avLst/>
          </a:prstGeom>
          <a:grpFill/>
        </xdr:spPr>
      </xdr:pic>
      <xdr:pic>
        <xdr:nvPicPr>
          <xdr:cNvPr id="46" name="図 45" hidden="1">
            <a:extLst>
              <a:ext uri="{FF2B5EF4-FFF2-40B4-BE49-F238E27FC236}">
                <a16:creationId xmlns:a16="http://schemas.microsoft.com/office/drawing/2014/main" id="{00000000-0008-0000-1100-00002E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742765" y="22254882"/>
            <a:ext cx="3153335" cy="1623172"/>
          </a:xfrm>
          <a:prstGeom prst="rect">
            <a:avLst/>
          </a:prstGeom>
          <a:grpFill/>
        </xdr:spPr>
      </xdr:pic>
    </xdr:grpSp>
    <xdr:clientData/>
  </xdr:twoCellAnchor>
  <xdr:twoCellAnchor>
    <xdr:from>
      <xdr:col>2</xdr:col>
      <xdr:colOff>145677</xdr:colOff>
      <xdr:row>118</xdr:row>
      <xdr:rowOff>22412</xdr:rowOff>
    </xdr:from>
    <xdr:to>
      <xdr:col>10</xdr:col>
      <xdr:colOff>60511</xdr:colOff>
      <xdr:row>128</xdr:row>
      <xdr:rowOff>43143</xdr:rowOff>
    </xdr:to>
    <xdr:grpSp>
      <xdr:nvGrpSpPr>
        <xdr:cNvPr id="47" name="cdeList_tensai" hidden="1">
          <a:extLst>
            <a:ext uri="{FF2B5EF4-FFF2-40B4-BE49-F238E27FC236}">
              <a16:creationId xmlns:a16="http://schemas.microsoft.com/office/drawing/2014/main" id="{00000000-0008-0000-1100-00002F000000}"/>
            </a:ext>
          </a:extLst>
        </xdr:cNvPr>
        <xdr:cNvGrpSpPr/>
      </xdr:nvGrpSpPr>
      <xdr:grpSpPr>
        <a:xfrm>
          <a:off x="417820" y="9737912"/>
          <a:ext cx="6500691" cy="1789660"/>
          <a:chOff x="470647" y="24406412"/>
          <a:chExt cx="6425452" cy="1813674"/>
        </a:xfrm>
        <a:solidFill>
          <a:schemeClr val="lt1"/>
        </a:solidFill>
      </xdr:grpSpPr>
      <xdr:pic>
        <xdr:nvPicPr>
          <xdr:cNvPr id="48" name="図 47" hidden="1">
            <a:extLst>
              <a:ext uri="{FF2B5EF4-FFF2-40B4-BE49-F238E27FC236}">
                <a16:creationId xmlns:a16="http://schemas.microsoft.com/office/drawing/2014/main" id="{00000000-0008-0000-1100-000030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70647" y="24417620"/>
            <a:ext cx="2834528" cy="1802466"/>
          </a:xfrm>
          <a:prstGeom prst="rect">
            <a:avLst/>
          </a:prstGeom>
          <a:grpFill/>
        </xdr:spPr>
      </xdr:pic>
      <xdr:pic>
        <xdr:nvPicPr>
          <xdr:cNvPr id="49" name="図 48" hidden="1">
            <a:extLst>
              <a:ext uri="{FF2B5EF4-FFF2-40B4-BE49-F238E27FC236}">
                <a16:creationId xmlns:a16="http://schemas.microsoft.com/office/drawing/2014/main" id="{00000000-0008-0000-1100-000031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742764" y="24406412"/>
            <a:ext cx="3153335" cy="1623172"/>
          </a:xfrm>
          <a:prstGeom prst="rect">
            <a:avLst/>
          </a:prstGeom>
          <a:grpFill/>
        </xdr:spPr>
      </xdr:pic>
    </xdr:grpSp>
    <xdr:clientData/>
  </xdr:twoCellAnchor>
  <xdr:twoCellAnchor>
    <xdr:from>
      <xdr:col>2</xdr:col>
      <xdr:colOff>134469</xdr:colOff>
      <xdr:row>118</xdr:row>
      <xdr:rowOff>22411</xdr:rowOff>
    </xdr:from>
    <xdr:to>
      <xdr:col>10</xdr:col>
      <xdr:colOff>49304</xdr:colOff>
      <xdr:row>127</xdr:row>
      <xdr:rowOff>31936</xdr:rowOff>
    </xdr:to>
    <xdr:grpSp>
      <xdr:nvGrpSpPr>
        <xdr:cNvPr id="50" name="cdeList_satokibi" hidden="1">
          <a:extLst>
            <a:ext uri="{FF2B5EF4-FFF2-40B4-BE49-F238E27FC236}">
              <a16:creationId xmlns:a16="http://schemas.microsoft.com/office/drawing/2014/main" id="{00000000-0008-0000-1100-000032000000}"/>
            </a:ext>
          </a:extLst>
        </xdr:cNvPr>
        <xdr:cNvGrpSpPr/>
      </xdr:nvGrpSpPr>
      <xdr:grpSpPr>
        <a:xfrm>
          <a:off x="406612" y="9737911"/>
          <a:ext cx="6500692" cy="1601561"/>
          <a:chOff x="470647" y="26569147"/>
          <a:chExt cx="6425453" cy="1623172"/>
        </a:xfrm>
        <a:solidFill>
          <a:schemeClr val="lt1"/>
        </a:solidFill>
      </xdr:grpSpPr>
      <xdr:pic>
        <xdr:nvPicPr>
          <xdr:cNvPr id="51" name="図 50" hidden="1">
            <a:extLst>
              <a:ext uri="{FF2B5EF4-FFF2-40B4-BE49-F238E27FC236}">
                <a16:creationId xmlns:a16="http://schemas.microsoft.com/office/drawing/2014/main" id="{00000000-0008-0000-1100-000033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470647" y="26569147"/>
            <a:ext cx="2834528" cy="1623172"/>
          </a:xfrm>
          <a:prstGeom prst="rect">
            <a:avLst/>
          </a:prstGeom>
          <a:grpFill/>
        </xdr:spPr>
      </xdr:pic>
      <xdr:pic>
        <xdr:nvPicPr>
          <xdr:cNvPr id="52" name="図 51" hidden="1">
            <a:extLst>
              <a:ext uri="{FF2B5EF4-FFF2-40B4-BE49-F238E27FC236}">
                <a16:creationId xmlns:a16="http://schemas.microsoft.com/office/drawing/2014/main" id="{00000000-0008-0000-1100-000034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3742765" y="26569147"/>
            <a:ext cx="3153335" cy="1623172"/>
          </a:xfrm>
          <a:prstGeom prst="rect">
            <a:avLst/>
          </a:prstGeom>
          <a:grpFill/>
        </xdr:spPr>
      </xdr:pic>
    </xdr:grpSp>
    <xdr:clientData/>
  </xdr:twoCellAnchor>
  <mc:AlternateContent xmlns:mc="http://schemas.openxmlformats.org/markup-compatibility/2006">
    <mc:Choice xmlns:a14="http://schemas.microsoft.com/office/drawing/2010/main" Requires="a14">
      <xdr:twoCellAnchor editAs="oneCell">
        <xdr:from>
          <xdr:col>3</xdr:col>
          <xdr:colOff>1733550</xdr:colOff>
          <xdr:row>5</xdr:row>
          <xdr:rowOff>161925</xdr:rowOff>
        </xdr:from>
        <xdr:to>
          <xdr:col>4</xdr:col>
          <xdr:colOff>800100</xdr:colOff>
          <xdr:row>7</xdr:row>
          <xdr:rowOff>19050</xdr:rowOff>
        </xdr:to>
        <xdr:sp macro="" textlink="">
          <xdr:nvSpPr>
            <xdr:cNvPr id="15361" name="Label1" hidden="1">
              <a:extLst>
                <a:ext uri="{63B3BB69-23CF-44E3-9099-C40C66FF867C}">
                  <a14:compatExt spid="_x0000_s15361"/>
                </a:ext>
                <a:ext uri="{FF2B5EF4-FFF2-40B4-BE49-F238E27FC236}">
                  <a16:creationId xmlns:a16="http://schemas.microsoft.com/office/drawing/2014/main" id="{00000000-0008-0000-1100-000001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1733550</xdr:colOff>
          <xdr:row>7</xdr:row>
          <xdr:rowOff>19050</xdr:rowOff>
        </xdr:from>
        <xdr:to>
          <xdr:col>4</xdr:col>
          <xdr:colOff>800100</xdr:colOff>
          <xdr:row>8</xdr:row>
          <xdr:rowOff>47625</xdr:rowOff>
        </xdr:to>
        <xdr:sp macro="" textlink="">
          <xdr:nvSpPr>
            <xdr:cNvPr id="15362" name="txt_hyouji" hidden="1">
              <a:extLst>
                <a:ext uri="{63B3BB69-23CF-44E3-9099-C40C66FF867C}">
                  <a14:compatExt spid="_x0000_s15362"/>
                </a:ext>
                <a:ext uri="{FF2B5EF4-FFF2-40B4-BE49-F238E27FC236}">
                  <a16:creationId xmlns:a16="http://schemas.microsoft.com/office/drawing/2014/main" id="{00000000-0008-0000-11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5</xdr:row>
          <xdr:rowOff>161925</xdr:rowOff>
        </xdr:from>
        <xdr:to>
          <xdr:col>6</xdr:col>
          <xdr:colOff>9525</xdr:colOff>
          <xdr:row>8</xdr:row>
          <xdr:rowOff>47625</xdr:rowOff>
        </xdr:to>
        <xdr:sp macro="" textlink="">
          <xdr:nvSpPr>
            <xdr:cNvPr id="15363" name="btnKoushin1" hidden="1">
              <a:extLst>
                <a:ext uri="{63B3BB69-23CF-44E3-9099-C40C66FF867C}">
                  <a14:compatExt spid="_x0000_s15363"/>
                </a:ext>
                <a:ext uri="{FF2B5EF4-FFF2-40B4-BE49-F238E27FC236}">
                  <a16:creationId xmlns:a16="http://schemas.microsoft.com/office/drawing/2014/main" id="{00000000-0008-0000-11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23</xdr:col>
      <xdr:colOff>105221</xdr:colOff>
      <xdr:row>8</xdr:row>
      <xdr:rowOff>28575</xdr:rowOff>
    </xdr:from>
    <xdr:to>
      <xdr:col>23</xdr:col>
      <xdr:colOff>105221</xdr:colOff>
      <xdr:row>9</xdr:row>
      <xdr:rowOff>171600</xdr:rowOff>
    </xdr:to>
    <xdr:cxnSp macro="">
      <xdr:nvCxnSpPr>
        <xdr:cNvPr id="2" name="直線矢印コネクタ 1">
          <a:extLst>
            <a:ext uri="{FF2B5EF4-FFF2-40B4-BE49-F238E27FC236}">
              <a16:creationId xmlns:a16="http://schemas.microsoft.com/office/drawing/2014/main" id="{00000000-0008-0000-1300-000002000000}"/>
            </a:ext>
          </a:extLst>
        </xdr:cNvPr>
        <xdr:cNvCxnSpPr/>
      </xdr:nvCxnSpPr>
      <xdr:spPr bwMode="auto">
        <a:xfrm flipV="1">
          <a:off x="4705796" y="1476375"/>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76201</xdr:colOff>
      <xdr:row>6</xdr:row>
      <xdr:rowOff>142873</xdr:rowOff>
    </xdr:from>
    <xdr:to>
      <xdr:col>63</xdr:col>
      <xdr:colOff>114301</xdr:colOff>
      <xdr:row>9</xdr:row>
      <xdr:rowOff>175949</xdr:rowOff>
    </xdr:to>
    <xdr:grpSp>
      <xdr:nvGrpSpPr>
        <xdr:cNvPr id="3" name="グループ化 23">
          <a:extLst>
            <a:ext uri="{FF2B5EF4-FFF2-40B4-BE49-F238E27FC236}">
              <a16:creationId xmlns:a16="http://schemas.microsoft.com/office/drawing/2014/main" id="{00000000-0008-0000-1300-000003000000}"/>
            </a:ext>
          </a:extLst>
        </xdr:cNvPr>
        <xdr:cNvGrpSpPr>
          <a:grpSpLocks/>
        </xdr:cNvGrpSpPr>
      </xdr:nvGrpSpPr>
      <xdr:grpSpPr bwMode="auto">
        <a:xfrm rot="5400000" flipH="1">
          <a:off x="9916677" y="-1288389"/>
          <a:ext cx="563755" cy="5548993"/>
          <a:chOff x="4728760" y="1353911"/>
          <a:chExt cx="1095870" cy="336096"/>
        </a:xfrm>
      </xdr:grpSpPr>
      <xdr:cxnSp macro="">
        <xdr:nvCxnSpPr>
          <xdr:cNvPr id="4" name="直線矢印コネクタ 3">
            <a:extLst>
              <a:ext uri="{FF2B5EF4-FFF2-40B4-BE49-F238E27FC236}">
                <a16:creationId xmlns:a16="http://schemas.microsoft.com/office/drawing/2014/main" id="{00000000-0008-0000-1300-000004000000}"/>
              </a:ext>
            </a:extLst>
          </xdr:cNvPr>
          <xdr:cNvCxnSpPr/>
        </xdr:nvCxnSpPr>
        <xdr:spPr>
          <a:xfrm>
            <a:off x="4728760" y="1354499"/>
            <a:ext cx="1095869"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1300-000005000000}"/>
              </a:ext>
            </a:extLst>
          </xdr:cNvPr>
          <xdr:cNvCxnSpPr/>
        </xdr:nvCxnSpPr>
        <xdr:spPr>
          <a:xfrm>
            <a:off x="5824630"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19049</xdr:colOff>
      <xdr:row>4</xdr:row>
      <xdr:rowOff>123825</xdr:rowOff>
    </xdr:from>
    <xdr:to>
      <xdr:col>41</xdr:col>
      <xdr:colOff>76199</xdr:colOff>
      <xdr:row>8</xdr:row>
      <xdr:rowOff>119925</xdr:rowOff>
    </xdr:to>
    <xdr:sp macro="" textlink="">
      <xdr:nvSpPr>
        <xdr:cNvPr id="6" name="角丸四角形 5">
          <a:extLst>
            <a:ext uri="{FF2B5EF4-FFF2-40B4-BE49-F238E27FC236}">
              <a16:creationId xmlns:a16="http://schemas.microsoft.com/office/drawing/2014/main" id="{00000000-0008-0000-1300-000006000000}"/>
            </a:ext>
          </a:extLst>
        </xdr:cNvPr>
        <xdr:cNvSpPr/>
      </xdr:nvSpPr>
      <xdr:spPr>
        <a:xfrm>
          <a:off x="2419349" y="847725"/>
          <a:ext cx="5857875" cy="720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51</xdr:col>
          <xdr:colOff>133350</xdr:colOff>
          <xdr:row>3</xdr:row>
          <xdr:rowOff>114300</xdr:rowOff>
        </xdr:from>
        <xdr:to>
          <xdr:col>57</xdr:col>
          <xdr:colOff>0</xdr:colOff>
          <xdr:row>4</xdr:row>
          <xdr:rowOff>142875</xdr:rowOff>
        </xdr:to>
        <xdr:sp macro="" textlink="">
          <xdr:nvSpPr>
            <xdr:cNvPr id="16385" name="Label1" hidden="1">
              <a:extLst>
                <a:ext uri="{63B3BB69-23CF-44E3-9099-C40C66FF867C}">
                  <a14:compatExt spid="_x0000_s16385"/>
                </a:ext>
                <a:ext uri="{FF2B5EF4-FFF2-40B4-BE49-F238E27FC236}">
                  <a16:creationId xmlns:a16="http://schemas.microsoft.com/office/drawing/2014/main" id="{00000000-0008-0000-13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51</xdr:col>
          <xdr:colOff>133350</xdr:colOff>
          <xdr:row>4</xdr:row>
          <xdr:rowOff>142875</xdr:rowOff>
        </xdr:from>
        <xdr:to>
          <xdr:col>57</xdr:col>
          <xdr:colOff>0</xdr:colOff>
          <xdr:row>5</xdr:row>
          <xdr:rowOff>171450</xdr:rowOff>
        </xdr:to>
        <xdr:sp macro="" textlink="">
          <xdr:nvSpPr>
            <xdr:cNvPr id="16386" name="txt_hyouji" hidden="1">
              <a:extLst>
                <a:ext uri="{63B3BB69-23CF-44E3-9099-C40C66FF867C}">
                  <a14:compatExt spid="_x0000_s16386"/>
                </a:ext>
                <a:ext uri="{FF2B5EF4-FFF2-40B4-BE49-F238E27FC236}">
                  <a16:creationId xmlns:a16="http://schemas.microsoft.com/office/drawing/2014/main" id="{00000000-0008-0000-13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57</xdr:col>
          <xdr:colOff>104775</xdr:colOff>
          <xdr:row>3</xdr:row>
          <xdr:rowOff>114300</xdr:rowOff>
        </xdr:from>
        <xdr:to>
          <xdr:col>63</xdr:col>
          <xdr:colOff>171450</xdr:colOff>
          <xdr:row>5</xdr:row>
          <xdr:rowOff>171450</xdr:rowOff>
        </xdr:to>
        <xdr:sp macro="" textlink="">
          <xdr:nvSpPr>
            <xdr:cNvPr id="16387" name="btnKoushin1" hidden="1">
              <a:extLst>
                <a:ext uri="{63B3BB69-23CF-44E3-9099-C40C66FF867C}">
                  <a14:compatExt spid="_x0000_s16387"/>
                </a:ext>
                <a:ext uri="{FF2B5EF4-FFF2-40B4-BE49-F238E27FC236}">
                  <a16:creationId xmlns:a16="http://schemas.microsoft.com/office/drawing/2014/main" id="{00000000-0008-0000-13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9</xdr:col>
      <xdr:colOff>107153</xdr:colOff>
      <xdr:row>15</xdr:row>
      <xdr:rowOff>83345</xdr:rowOff>
    </xdr:from>
    <xdr:to>
      <xdr:col>9</xdr:col>
      <xdr:colOff>107156</xdr:colOff>
      <xdr:row>20</xdr:row>
      <xdr:rowOff>209328</xdr:rowOff>
    </xdr:to>
    <xdr:cxnSp macro="">
      <xdr:nvCxnSpPr>
        <xdr:cNvPr id="2" name="直線矢印コネクタ 1">
          <a:extLst>
            <a:ext uri="{FF2B5EF4-FFF2-40B4-BE49-F238E27FC236}">
              <a16:creationId xmlns:a16="http://schemas.microsoft.com/office/drawing/2014/main" id="{00000000-0008-0000-1400-000002000000}"/>
            </a:ext>
          </a:extLst>
        </xdr:cNvPr>
        <xdr:cNvCxnSpPr/>
      </xdr:nvCxnSpPr>
      <xdr:spPr bwMode="auto">
        <a:xfrm flipH="1" flipV="1">
          <a:off x="6279353" y="2845595"/>
          <a:ext cx="3" cy="11737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416718</xdr:colOff>
      <xdr:row>20</xdr:row>
      <xdr:rowOff>199867</xdr:rowOff>
    </xdr:from>
    <xdr:to>
      <xdr:col>6</xdr:col>
      <xdr:colOff>416718</xdr:colOff>
      <xdr:row>22</xdr:row>
      <xdr:rowOff>226219</xdr:rowOff>
    </xdr:to>
    <xdr:cxnSp macro="">
      <xdr:nvCxnSpPr>
        <xdr:cNvPr id="3" name="直線矢印コネクタ 2">
          <a:extLst>
            <a:ext uri="{FF2B5EF4-FFF2-40B4-BE49-F238E27FC236}">
              <a16:creationId xmlns:a16="http://schemas.microsoft.com/office/drawing/2014/main" id="{00000000-0008-0000-1400-000003000000}"/>
            </a:ext>
          </a:extLst>
        </xdr:cNvPr>
        <xdr:cNvCxnSpPr/>
      </xdr:nvCxnSpPr>
      <xdr:spPr bwMode="auto">
        <a:xfrm rot="16200000">
          <a:off x="5042217" y="4137343"/>
          <a:ext cx="25495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416717</xdr:colOff>
      <xdr:row>20</xdr:row>
      <xdr:rowOff>201909</xdr:rowOff>
    </xdr:from>
    <xdr:to>
      <xdr:col>9</xdr:col>
      <xdr:colOff>106252</xdr:colOff>
      <xdr:row>20</xdr:row>
      <xdr:rowOff>201909</xdr:rowOff>
    </xdr:to>
    <xdr:cxnSp macro="">
      <xdr:nvCxnSpPr>
        <xdr:cNvPr id="4" name="直線矢印コネクタ 3">
          <a:extLst>
            <a:ext uri="{FF2B5EF4-FFF2-40B4-BE49-F238E27FC236}">
              <a16:creationId xmlns:a16="http://schemas.microsoft.com/office/drawing/2014/main" id="{00000000-0008-0000-1400-000004000000}"/>
            </a:ext>
          </a:extLst>
        </xdr:cNvPr>
        <xdr:cNvCxnSpPr/>
      </xdr:nvCxnSpPr>
      <xdr:spPr bwMode="auto">
        <a:xfrm rot="16200000" flipV="1">
          <a:off x="5724072" y="3457529"/>
          <a:ext cx="0" cy="110876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371476</xdr:colOff>
      <xdr:row>182</xdr:row>
      <xdr:rowOff>19050</xdr:rowOff>
    </xdr:from>
    <xdr:to>
      <xdr:col>7</xdr:col>
      <xdr:colOff>369094</xdr:colOff>
      <xdr:row>186</xdr:row>
      <xdr:rowOff>209550</xdr:rowOff>
    </xdr:to>
    <xdr:grpSp>
      <xdr:nvGrpSpPr>
        <xdr:cNvPr id="5" name="グループ化 4">
          <a:extLst>
            <a:ext uri="{FF2B5EF4-FFF2-40B4-BE49-F238E27FC236}">
              <a16:creationId xmlns:a16="http://schemas.microsoft.com/office/drawing/2014/main" id="{00000000-0008-0000-1400-000005000000}"/>
            </a:ext>
          </a:extLst>
        </xdr:cNvPr>
        <xdr:cNvGrpSpPr/>
      </xdr:nvGrpSpPr>
      <xdr:grpSpPr>
        <a:xfrm>
          <a:off x="5133976" y="10306050"/>
          <a:ext cx="759618" cy="1000125"/>
          <a:chOff x="5915026" y="2409825"/>
          <a:chExt cx="828676" cy="1001258"/>
        </a:xfrm>
      </xdr:grpSpPr>
      <xdr:cxnSp macro="">
        <xdr:nvCxnSpPr>
          <xdr:cNvPr id="6" name="直線矢印コネクタ 5">
            <a:extLst>
              <a:ext uri="{FF2B5EF4-FFF2-40B4-BE49-F238E27FC236}">
                <a16:creationId xmlns:a16="http://schemas.microsoft.com/office/drawing/2014/main" id="{00000000-0008-0000-1400-000006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 name="直線矢印コネクタ 6">
            <a:extLst>
              <a:ext uri="{FF2B5EF4-FFF2-40B4-BE49-F238E27FC236}">
                <a16:creationId xmlns:a16="http://schemas.microsoft.com/office/drawing/2014/main" id="{00000000-0008-0000-1400-000007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 name="直線矢印コネクタ 7">
            <a:extLst>
              <a:ext uri="{FF2B5EF4-FFF2-40B4-BE49-F238E27FC236}">
                <a16:creationId xmlns:a16="http://schemas.microsoft.com/office/drawing/2014/main" id="{00000000-0008-0000-1400-000008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914400</xdr:colOff>
      <xdr:row>177</xdr:row>
      <xdr:rowOff>123965</xdr:rowOff>
    </xdr:from>
    <xdr:to>
      <xdr:col>8</xdr:col>
      <xdr:colOff>161925</xdr:colOff>
      <xdr:row>182</xdr:row>
      <xdr:rowOff>75640</xdr:rowOff>
    </xdr:to>
    <xdr:sp macro="" textlink="">
      <xdr:nvSpPr>
        <xdr:cNvPr id="9" name="角丸四角形 8">
          <a:extLst>
            <a:ext uri="{FF2B5EF4-FFF2-40B4-BE49-F238E27FC236}">
              <a16:creationId xmlns:a16="http://schemas.microsoft.com/office/drawing/2014/main" id="{00000000-0008-0000-1400-000009000000}"/>
            </a:ext>
          </a:extLst>
        </xdr:cNvPr>
        <xdr:cNvSpPr/>
      </xdr:nvSpPr>
      <xdr:spPr>
        <a:xfrm>
          <a:off x="561975" y="9553715"/>
          <a:ext cx="5610225" cy="866075"/>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・対象品目以外にも使用した場合には、使用面積割合を目安に記入してください。</a:t>
          </a:r>
        </a:p>
      </xdr:txBody>
    </xdr:sp>
    <xdr:clientData/>
  </xdr:twoCellAnchor>
  <xdr:twoCellAnchor>
    <xdr:from>
      <xdr:col>1</xdr:col>
      <xdr:colOff>11208</xdr:colOff>
      <xdr:row>1</xdr:row>
      <xdr:rowOff>221457</xdr:rowOff>
    </xdr:from>
    <xdr:to>
      <xdr:col>9</xdr:col>
      <xdr:colOff>545308</xdr:colOff>
      <xdr:row>15</xdr:row>
      <xdr:rowOff>94194</xdr:rowOff>
    </xdr:to>
    <xdr:grpSp>
      <xdr:nvGrpSpPr>
        <xdr:cNvPr id="10" name="CommentSakutuketiSoshiki">
          <a:extLst>
            <a:ext uri="{FF2B5EF4-FFF2-40B4-BE49-F238E27FC236}">
              <a16:creationId xmlns:a16="http://schemas.microsoft.com/office/drawing/2014/main" id="{00000000-0008-0000-1400-00000A000000}"/>
            </a:ext>
          </a:extLst>
        </xdr:cNvPr>
        <xdr:cNvGrpSpPr/>
      </xdr:nvGrpSpPr>
      <xdr:grpSpPr>
        <a:xfrm>
          <a:off x="82646" y="400051"/>
          <a:ext cx="6642006" cy="2420674"/>
          <a:chOff x="716058" y="211932"/>
          <a:chExt cx="6642006" cy="2420674"/>
        </a:xfrm>
      </xdr:grpSpPr>
      <xdr:sp macro="" textlink="">
        <xdr:nvSpPr>
          <xdr:cNvPr id="11" name="角丸四角形 10">
            <a:extLst>
              <a:ext uri="{FF2B5EF4-FFF2-40B4-BE49-F238E27FC236}">
                <a16:creationId xmlns:a16="http://schemas.microsoft.com/office/drawing/2014/main" id="{00000000-0008-0000-1400-00000B000000}"/>
              </a:ext>
            </a:extLst>
          </xdr:cNvPr>
          <xdr:cNvSpPr/>
        </xdr:nvSpPr>
        <xdr:spPr bwMode="auto">
          <a:xfrm>
            <a:off x="716058" y="211932"/>
            <a:ext cx="6642006" cy="2420674"/>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対象品目が食用米の場合、Ａ団地（ほ場）に食用米と小麦を作付けており、過去１年間におけ</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る作物別の収入が食用米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す。</a:t>
            </a:r>
          </a:p>
        </xdr:txBody>
      </xdr:sp>
      <xdr:grpSp>
        <xdr:nvGrpSpPr>
          <xdr:cNvPr id="12" name="グループ化 18">
            <a:extLst>
              <a:ext uri="{FF2B5EF4-FFF2-40B4-BE49-F238E27FC236}">
                <a16:creationId xmlns:a16="http://schemas.microsoft.com/office/drawing/2014/main" id="{00000000-0008-0000-1400-00000C000000}"/>
              </a:ext>
            </a:extLst>
          </xdr:cNvPr>
          <xdr:cNvGrpSpPr>
            <a:grpSpLocks/>
          </xdr:cNvGrpSpPr>
        </xdr:nvGrpSpPr>
        <xdr:grpSpPr bwMode="auto">
          <a:xfrm>
            <a:off x="1378911" y="1821731"/>
            <a:ext cx="4965943" cy="585255"/>
            <a:chOff x="4648199" y="1295405"/>
            <a:chExt cx="2817361" cy="495299"/>
          </a:xfrm>
        </xdr:grpSpPr>
        <xdr:cxnSp macro="">
          <xdr:nvCxnSpPr>
            <xdr:cNvPr id="13" name="直線コネクタ 12">
              <a:extLst>
                <a:ext uri="{FF2B5EF4-FFF2-40B4-BE49-F238E27FC236}">
                  <a16:creationId xmlns:a16="http://schemas.microsoft.com/office/drawing/2014/main" id="{00000000-0008-0000-1400-00000D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4" name="テキスト ボックス 13">
              <a:extLst>
                <a:ext uri="{FF2B5EF4-FFF2-40B4-BE49-F238E27FC236}">
                  <a16:creationId xmlns:a16="http://schemas.microsoft.com/office/drawing/2014/main" id="{00000000-0008-0000-1400-00000E000000}"/>
                </a:ext>
              </a:extLst>
            </xdr:cNvPr>
            <xdr:cNvSpPr txBox="1"/>
          </xdr:nvSpPr>
          <xdr:spPr>
            <a:xfrm>
              <a:off x="6526656" y="1398201"/>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5" name="テキスト ボックス 14">
              <a:extLst>
                <a:ext uri="{FF2B5EF4-FFF2-40B4-BE49-F238E27FC236}">
                  <a16:creationId xmlns:a16="http://schemas.microsoft.com/office/drawing/2014/main" id="{00000000-0008-0000-1400-00000F000000}"/>
                </a:ext>
              </a:extLst>
            </xdr:cNvPr>
            <xdr:cNvSpPr txBox="1"/>
          </xdr:nvSpPr>
          <xdr:spPr>
            <a:xfrm>
              <a:off x="5163702" y="1295405"/>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6" name="テキスト ボックス 15">
              <a:extLst>
                <a:ext uri="{FF2B5EF4-FFF2-40B4-BE49-F238E27FC236}">
                  <a16:creationId xmlns:a16="http://schemas.microsoft.com/office/drawing/2014/main" id="{00000000-0008-0000-1400-000010000000}"/>
                </a:ext>
              </a:extLst>
            </xdr:cNvPr>
            <xdr:cNvSpPr txBox="1"/>
          </xdr:nvSpPr>
          <xdr:spPr>
            <a:xfrm>
              <a:off x="4648199" y="1547726"/>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mc:AlternateContent xmlns:mc="http://schemas.openxmlformats.org/markup-compatibility/2006">
    <mc:Choice xmlns:a14="http://schemas.microsoft.com/office/drawing/2010/main" Requires="a14">
      <xdr:twoCellAnchor editAs="oneCell">
        <xdr:from>
          <xdr:col>4</xdr:col>
          <xdr:colOff>9525</xdr:colOff>
          <xdr:row>17</xdr:row>
          <xdr:rowOff>47625</xdr:rowOff>
        </xdr:from>
        <xdr:to>
          <xdr:col>5</xdr:col>
          <xdr:colOff>0</xdr:colOff>
          <xdr:row>18</xdr:row>
          <xdr:rowOff>19050</xdr:rowOff>
        </xdr:to>
        <xdr:sp macro="" textlink="">
          <xdr:nvSpPr>
            <xdr:cNvPr id="17409" name="Label1" hidden="1">
              <a:extLst>
                <a:ext uri="{63B3BB69-23CF-44E3-9099-C40C66FF867C}">
                  <a14:compatExt spid="_x0000_s17409"/>
                </a:ext>
                <a:ext uri="{FF2B5EF4-FFF2-40B4-BE49-F238E27FC236}">
                  <a16:creationId xmlns:a16="http://schemas.microsoft.com/office/drawing/2014/main" id="{00000000-0008-0000-14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18</xdr:row>
          <xdr:rowOff>28575</xdr:rowOff>
        </xdr:from>
        <xdr:to>
          <xdr:col>5</xdr:col>
          <xdr:colOff>0</xdr:colOff>
          <xdr:row>19</xdr:row>
          <xdr:rowOff>9525</xdr:rowOff>
        </xdr:to>
        <xdr:sp macro="" textlink="">
          <xdr:nvSpPr>
            <xdr:cNvPr id="17410" name="txt_hyouji1" hidden="1">
              <a:extLst>
                <a:ext uri="{63B3BB69-23CF-44E3-9099-C40C66FF867C}">
                  <a14:compatExt spid="_x0000_s17410"/>
                </a:ext>
                <a:ext uri="{FF2B5EF4-FFF2-40B4-BE49-F238E27FC236}">
                  <a16:creationId xmlns:a16="http://schemas.microsoft.com/office/drawing/2014/main" id="{00000000-0008-0000-1400-00000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47625</xdr:rowOff>
        </xdr:from>
        <xdr:to>
          <xdr:col>6</xdr:col>
          <xdr:colOff>123825</xdr:colOff>
          <xdr:row>19</xdr:row>
          <xdr:rowOff>9525</xdr:rowOff>
        </xdr:to>
        <xdr:sp macro="" textlink="">
          <xdr:nvSpPr>
            <xdr:cNvPr id="17411" name="btnKoushin1" hidden="1">
              <a:extLst>
                <a:ext uri="{63B3BB69-23CF-44E3-9099-C40C66FF867C}">
                  <a14:compatExt spid="_x0000_s17411"/>
                </a:ext>
                <a:ext uri="{FF2B5EF4-FFF2-40B4-BE49-F238E27FC236}">
                  <a16:creationId xmlns:a16="http://schemas.microsoft.com/office/drawing/2014/main" id="{00000000-0008-0000-14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1676400</xdr:colOff>
          <xdr:row>183</xdr:row>
          <xdr:rowOff>9525</xdr:rowOff>
        </xdr:from>
        <xdr:to>
          <xdr:col>4</xdr:col>
          <xdr:colOff>838200</xdr:colOff>
          <xdr:row>184</xdr:row>
          <xdr:rowOff>38100</xdr:rowOff>
        </xdr:to>
        <xdr:sp macro="" textlink="">
          <xdr:nvSpPr>
            <xdr:cNvPr id="17412" name="Label2" hidden="1">
              <a:extLst>
                <a:ext uri="{63B3BB69-23CF-44E3-9099-C40C66FF867C}">
                  <a14:compatExt spid="_x0000_s17412"/>
                </a:ext>
                <a:ext uri="{FF2B5EF4-FFF2-40B4-BE49-F238E27FC236}">
                  <a16:creationId xmlns:a16="http://schemas.microsoft.com/office/drawing/2014/main" id="{00000000-0008-0000-14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1676400</xdr:colOff>
          <xdr:row>184</xdr:row>
          <xdr:rowOff>38100</xdr:rowOff>
        </xdr:from>
        <xdr:to>
          <xdr:col>4</xdr:col>
          <xdr:colOff>838200</xdr:colOff>
          <xdr:row>185</xdr:row>
          <xdr:rowOff>19050</xdr:rowOff>
        </xdr:to>
        <xdr:sp macro="" textlink="">
          <xdr:nvSpPr>
            <xdr:cNvPr id="17413" name="txt_hyouji2" hidden="1">
              <a:extLst>
                <a:ext uri="{63B3BB69-23CF-44E3-9099-C40C66FF867C}">
                  <a14:compatExt spid="_x0000_s17413"/>
                </a:ext>
                <a:ext uri="{FF2B5EF4-FFF2-40B4-BE49-F238E27FC236}">
                  <a16:creationId xmlns:a16="http://schemas.microsoft.com/office/drawing/2014/main" id="{00000000-0008-0000-1400-000005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183</xdr:row>
          <xdr:rowOff>9525</xdr:rowOff>
        </xdr:from>
        <xdr:to>
          <xdr:col>6</xdr:col>
          <xdr:colOff>123825</xdr:colOff>
          <xdr:row>185</xdr:row>
          <xdr:rowOff>19050</xdr:rowOff>
        </xdr:to>
        <xdr:sp macro="" textlink="">
          <xdr:nvSpPr>
            <xdr:cNvPr id="17414" name="btnKoushin2" hidden="1">
              <a:extLst>
                <a:ext uri="{63B3BB69-23CF-44E3-9099-C40C66FF867C}">
                  <a14:compatExt spid="_x0000_s17414"/>
                </a:ext>
                <a:ext uri="{FF2B5EF4-FFF2-40B4-BE49-F238E27FC236}">
                  <a16:creationId xmlns:a16="http://schemas.microsoft.com/office/drawing/2014/main" id="{00000000-0008-0000-1400-000006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7</xdr:col>
      <xdr:colOff>417420</xdr:colOff>
      <xdr:row>14</xdr:row>
      <xdr:rowOff>40484</xdr:rowOff>
    </xdr:from>
    <xdr:to>
      <xdr:col>9</xdr:col>
      <xdr:colOff>0</xdr:colOff>
      <xdr:row>21</xdr:row>
      <xdr:rowOff>1274</xdr:rowOff>
    </xdr:to>
    <xdr:grpSp>
      <xdr:nvGrpSpPr>
        <xdr:cNvPr id="2" name="グループ化 1">
          <a:extLst>
            <a:ext uri="{FF2B5EF4-FFF2-40B4-BE49-F238E27FC236}">
              <a16:creationId xmlns:a16="http://schemas.microsoft.com/office/drawing/2014/main" id="{00000000-0008-0000-1500-000002000000}"/>
            </a:ext>
          </a:extLst>
        </xdr:cNvPr>
        <xdr:cNvGrpSpPr/>
      </xdr:nvGrpSpPr>
      <xdr:grpSpPr>
        <a:xfrm>
          <a:off x="6513420" y="2540797"/>
          <a:ext cx="892268" cy="1079977"/>
          <a:chOff x="5915026" y="2409825"/>
          <a:chExt cx="828676" cy="1001258"/>
        </a:xfrm>
      </xdr:grpSpPr>
      <xdr:cxnSp macro="">
        <xdr:nvCxnSpPr>
          <xdr:cNvPr id="3" name="直線矢印コネクタ 2">
            <a:extLst>
              <a:ext uri="{FF2B5EF4-FFF2-40B4-BE49-F238E27FC236}">
                <a16:creationId xmlns:a16="http://schemas.microsoft.com/office/drawing/2014/main" id="{00000000-0008-0000-1500-000003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矢印コネクタ 3">
            <a:extLst>
              <a:ext uri="{FF2B5EF4-FFF2-40B4-BE49-F238E27FC236}">
                <a16:creationId xmlns:a16="http://schemas.microsoft.com/office/drawing/2014/main" id="{00000000-0008-0000-1500-000004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1500-000005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292895</xdr:colOff>
      <xdr:row>1</xdr:row>
      <xdr:rowOff>142875</xdr:rowOff>
    </xdr:from>
    <xdr:to>
      <xdr:col>10</xdr:col>
      <xdr:colOff>234065</xdr:colOff>
      <xdr:row>14</xdr:row>
      <xdr:rowOff>63237</xdr:rowOff>
    </xdr:to>
    <xdr:grpSp>
      <xdr:nvGrpSpPr>
        <xdr:cNvPr id="6" name="グループ化 5">
          <a:extLst>
            <a:ext uri="{FF2B5EF4-FFF2-40B4-BE49-F238E27FC236}">
              <a16:creationId xmlns:a16="http://schemas.microsoft.com/office/drawing/2014/main" id="{00000000-0008-0000-1500-000006000000}"/>
            </a:ext>
          </a:extLst>
        </xdr:cNvPr>
        <xdr:cNvGrpSpPr/>
      </xdr:nvGrpSpPr>
      <xdr:grpSpPr>
        <a:xfrm>
          <a:off x="864395" y="321469"/>
          <a:ext cx="6775358" cy="2242081"/>
          <a:chOff x="1050965" y="473867"/>
          <a:chExt cx="6494711" cy="2088000"/>
        </a:xfrm>
      </xdr:grpSpPr>
      <xdr:sp macro="" textlink="">
        <xdr:nvSpPr>
          <xdr:cNvPr id="7" name="角丸四角形 15">
            <a:extLst>
              <a:ext uri="{FF2B5EF4-FFF2-40B4-BE49-F238E27FC236}">
                <a16:creationId xmlns:a16="http://schemas.microsoft.com/office/drawing/2014/main" id="{00000000-0008-0000-1500-000007000000}"/>
              </a:ext>
            </a:extLst>
          </xdr:cNvPr>
          <xdr:cNvSpPr/>
        </xdr:nvSpPr>
        <xdr:spPr bwMode="auto">
          <a:xfrm>
            <a:off x="1050965" y="473867"/>
            <a:ext cx="6494711" cy="2088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対象品目が食用米の場合、Ａ団地（ほ場）に食用米と小麦を作付けており、過去１年間における</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ja-JP" sz="1000" baseline="0">
                <a:solidFill>
                  <a:srgbClr val="0041FF"/>
                </a:solidFill>
                <a:effectLst/>
                <a:latin typeface="ＭＳ ゴシック" panose="020B0609070205080204" pitchFamily="49" charset="-128"/>
                <a:ea typeface="ＭＳ ゴシック" panose="020B0609070205080204" pitchFamily="49" charset="-128"/>
                <a:cs typeface="+mn-cs"/>
              </a:rPr>
              <a:t>作物別の収</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入が食用米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万円のとき、この作付地の収入割合は次のとおりです。</a:t>
            </a:r>
          </a:p>
        </xdr:txBody>
      </xdr:sp>
      <xdr:grpSp>
        <xdr:nvGrpSpPr>
          <xdr:cNvPr id="8" name="グループ化 18">
            <a:extLst>
              <a:ext uri="{FF2B5EF4-FFF2-40B4-BE49-F238E27FC236}">
                <a16:creationId xmlns:a16="http://schemas.microsoft.com/office/drawing/2014/main" id="{00000000-0008-0000-1500-000008000000}"/>
              </a:ext>
            </a:extLst>
          </xdr:cNvPr>
          <xdr:cNvGrpSpPr>
            <a:grpSpLocks/>
          </xdr:cNvGrpSpPr>
        </xdr:nvGrpSpPr>
        <xdr:grpSpPr bwMode="auto">
          <a:xfrm>
            <a:off x="1819275" y="1924050"/>
            <a:ext cx="4737155" cy="504825"/>
            <a:chOff x="4648199" y="1295400"/>
            <a:chExt cx="2817361" cy="495301"/>
          </a:xfrm>
        </xdr:grpSpPr>
        <xdr:cxnSp macro="">
          <xdr:nvCxnSpPr>
            <xdr:cNvPr id="9" name="直線コネクタ 8">
              <a:extLst>
                <a:ext uri="{FF2B5EF4-FFF2-40B4-BE49-F238E27FC236}">
                  <a16:creationId xmlns:a16="http://schemas.microsoft.com/office/drawing/2014/main" id="{00000000-0008-0000-1500-000009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0" name="テキスト ボックス 9">
              <a:extLst>
                <a:ext uri="{FF2B5EF4-FFF2-40B4-BE49-F238E27FC236}">
                  <a16:creationId xmlns:a16="http://schemas.microsoft.com/office/drawing/2014/main" id="{00000000-0008-0000-1500-00000A000000}"/>
                </a:ext>
              </a:extLst>
            </xdr:cNvPr>
            <xdr:cNvSpPr txBox="1"/>
          </xdr:nvSpPr>
          <xdr:spPr>
            <a:xfrm>
              <a:off x="6526656" y="1398198"/>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1" name="テキスト ボックス 10">
              <a:extLst>
                <a:ext uri="{FF2B5EF4-FFF2-40B4-BE49-F238E27FC236}">
                  <a16:creationId xmlns:a16="http://schemas.microsoft.com/office/drawing/2014/main" id="{00000000-0008-0000-1500-00000B000000}"/>
                </a:ext>
              </a:extLst>
            </xdr:cNvPr>
            <xdr:cNvSpPr txBox="1"/>
          </xdr:nvSpPr>
          <xdr:spPr>
            <a:xfrm>
              <a:off x="5163702" y="1295400"/>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2" name="テキスト ボックス 11">
              <a:extLst>
                <a:ext uri="{FF2B5EF4-FFF2-40B4-BE49-F238E27FC236}">
                  <a16:creationId xmlns:a16="http://schemas.microsoft.com/office/drawing/2014/main" id="{00000000-0008-0000-1500-00000C000000}"/>
                </a:ext>
              </a:extLst>
            </xdr:cNvPr>
            <xdr:cNvSpPr txBox="1"/>
          </xdr:nvSpPr>
          <xdr:spPr>
            <a:xfrm>
              <a:off x="4648199" y="1547723"/>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xdr:twoCellAnchor>
    <xdr:from>
      <xdr:col>7</xdr:col>
      <xdr:colOff>352425</xdr:colOff>
      <xdr:row>181</xdr:row>
      <xdr:rowOff>28435</xdr:rowOff>
    </xdr:from>
    <xdr:to>
      <xdr:col>9</xdr:col>
      <xdr:colOff>0</xdr:colOff>
      <xdr:row>185</xdr:row>
      <xdr:rowOff>179726</xdr:rowOff>
    </xdr:to>
    <xdr:grpSp>
      <xdr:nvGrpSpPr>
        <xdr:cNvPr id="13" name="グループ化 12">
          <a:extLst>
            <a:ext uri="{FF2B5EF4-FFF2-40B4-BE49-F238E27FC236}">
              <a16:creationId xmlns:a16="http://schemas.microsoft.com/office/drawing/2014/main" id="{00000000-0008-0000-1500-00000D000000}"/>
            </a:ext>
          </a:extLst>
        </xdr:cNvPr>
        <xdr:cNvGrpSpPr/>
      </xdr:nvGrpSpPr>
      <xdr:grpSpPr>
        <a:xfrm>
          <a:off x="6448425" y="9636779"/>
          <a:ext cx="957263" cy="865666"/>
          <a:chOff x="5915026" y="2409825"/>
          <a:chExt cx="828676" cy="1001258"/>
        </a:xfrm>
      </xdr:grpSpPr>
      <xdr:cxnSp macro="">
        <xdr:nvCxnSpPr>
          <xdr:cNvPr id="14" name="直線矢印コネクタ 13">
            <a:extLst>
              <a:ext uri="{FF2B5EF4-FFF2-40B4-BE49-F238E27FC236}">
                <a16:creationId xmlns:a16="http://schemas.microsoft.com/office/drawing/2014/main" id="{00000000-0008-0000-1500-00000E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矢印コネクタ 14">
            <a:extLst>
              <a:ext uri="{FF2B5EF4-FFF2-40B4-BE49-F238E27FC236}">
                <a16:creationId xmlns:a16="http://schemas.microsoft.com/office/drawing/2014/main" id="{00000000-0008-0000-1500-00000F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00000000-0008-0000-1500-000010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177</xdr:row>
      <xdr:rowOff>0</xdr:rowOff>
    </xdr:from>
    <xdr:to>
      <xdr:col>10</xdr:col>
      <xdr:colOff>200025</xdr:colOff>
      <xdr:row>181</xdr:row>
      <xdr:rowOff>132650</xdr:rowOff>
    </xdr:to>
    <xdr:sp macro="" textlink="">
      <xdr:nvSpPr>
        <xdr:cNvPr id="17" name="角丸四角形 6">
          <a:extLst>
            <a:ext uri="{FF2B5EF4-FFF2-40B4-BE49-F238E27FC236}">
              <a16:creationId xmlns:a16="http://schemas.microsoft.com/office/drawing/2014/main" id="{00000000-0008-0000-1500-000011000000}"/>
            </a:ext>
          </a:extLst>
        </xdr:cNvPr>
        <xdr:cNvSpPr/>
      </xdr:nvSpPr>
      <xdr:spPr>
        <a:xfrm>
          <a:off x="2466975" y="8953500"/>
          <a:ext cx="5133975" cy="85655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・対象品目以外にも使用した場合には、使用面積割合を目安に記入してください。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15</xdr:row>
          <xdr:rowOff>19050</xdr:rowOff>
        </xdr:from>
        <xdr:to>
          <xdr:col>6</xdr:col>
          <xdr:colOff>47625</xdr:colOff>
          <xdr:row>17</xdr:row>
          <xdr:rowOff>0</xdr:rowOff>
        </xdr:to>
        <xdr:sp macro="" textlink="">
          <xdr:nvSpPr>
            <xdr:cNvPr id="18433" name="btnKoushin1" hidden="1">
              <a:extLst>
                <a:ext uri="{63B3BB69-23CF-44E3-9099-C40C66FF867C}">
                  <a14:compatExt spid="_x0000_s18433"/>
                </a:ext>
                <a:ext uri="{FF2B5EF4-FFF2-40B4-BE49-F238E27FC236}">
                  <a16:creationId xmlns:a16="http://schemas.microsoft.com/office/drawing/2014/main" id="{00000000-0008-0000-1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19050</xdr:rowOff>
        </xdr:from>
        <xdr:to>
          <xdr:col>4</xdr:col>
          <xdr:colOff>1019175</xdr:colOff>
          <xdr:row>16</xdr:row>
          <xdr:rowOff>19050</xdr:rowOff>
        </xdr:to>
        <xdr:sp macro="" textlink="">
          <xdr:nvSpPr>
            <xdr:cNvPr id="18434" name="Label1" hidden="1">
              <a:extLst>
                <a:ext uri="{63B3BB69-23CF-44E3-9099-C40C66FF867C}">
                  <a14:compatExt spid="_x0000_s18434"/>
                </a:ext>
                <a:ext uri="{FF2B5EF4-FFF2-40B4-BE49-F238E27FC236}">
                  <a16:creationId xmlns:a16="http://schemas.microsoft.com/office/drawing/2014/main" id="{00000000-0008-0000-1500-000002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xdr:row>
          <xdr:rowOff>9525</xdr:rowOff>
        </xdr:from>
        <xdr:to>
          <xdr:col>4</xdr:col>
          <xdr:colOff>1019175</xdr:colOff>
          <xdr:row>17</xdr:row>
          <xdr:rowOff>0</xdr:rowOff>
        </xdr:to>
        <xdr:sp macro="" textlink="">
          <xdr:nvSpPr>
            <xdr:cNvPr id="18435" name="txt_hyouji1" hidden="1">
              <a:extLst>
                <a:ext uri="{63B3BB69-23CF-44E3-9099-C40C66FF867C}">
                  <a14:compatExt spid="_x0000_s18435"/>
                </a:ext>
                <a:ext uri="{FF2B5EF4-FFF2-40B4-BE49-F238E27FC236}">
                  <a16:creationId xmlns:a16="http://schemas.microsoft.com/office/drawing/2014/main" id="{00000000-0008-0000-15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182</xdr:row>
          <xdr:rowOff>0</xdr:rowOff>
        </xdr:from>
        <xdr:to>
          <xdr:col>6</xdr:col>
          <xdr:colOff>219075</xdr:colOff>
          <xdr:row>183</xdr:row>
          <xdr:rowOff>171450</xdr:rowOff>
        </xdr:to>
        <xdr:sp macro="" textlink="">
          <xdr:nvSpPr>
            <xdr:cNvPr id="18436" name="btnKoushin2" hidden="1">
              <a:extLst>
                <a:ext uri="{63B3BB69-23CF-44E3-9099-C40C66FF867C}">
                  <a14:compatExt spid="_x0000_s18436"/>
                </a:ext>
                <a:ext uri="{FF2B5EF4-FFF2-40B4-BE49-F238E27FC236}">
                  <a16:creationId xmlns:a16="http://schemas.microsoft.com/office/drawing/2014/main" id="{00000000-0008-0000-1500-000004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182</xdr:row>
          <xdr:rowOff>0</xdr:rowOff>
        </xdr:from>
        <xdr:to>
          <xdr:col>5</xdr:col>
          <xdr:colOff>28575</xdr:colOff>
          <xdr:row>182</xdr:row>
          <xdr:rowOff>171450</xdr:rowOff>
        </xdr:to>
        <xdr:sp macro="" textlink="">
          <xdr:nvSpPr>
            <xdr:cNvPr id="18437" name="Label2" hidden="1">
              <a:extLst>
                <a:ext uri="{63B3BB69-23CF-44E3-9099-C40C66FF867C}">
                  <a14:compatExt spid="_x0000_s18437"/>
                </a:ext>
                <a:ext uri="{FF2B5EF4-FFF2-40B4-BE49-F238E27FC236}">
                  <a16:creationId xmlns:a16="http://schemas.microsoft.com/office/drawing/2014/main" id="{00000000-0008-0000-15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183</xdr:row>
          <xdr:rowOff>0</xdr:rowOff>
        </xdr:from>
        <xdr:to>
          <xdr:col>5</xdr:col>
          <xdr:colOff>28575</xdr:colOff>
          <xdr:row>183</xdr:row>
          <xdr:rowOff>171450</xdr:rowOff>
        </xdr:to>
        <xdr:sp macro="" textlink="">
          <xdr:nvSpPr>
            <xdr:cNvPr id="18438" name="txt_hyouji2" hidden="1">
              <a:extLst>
                <a:ext uri="{63B3BB69-23CF-44E3-9099-C40C66FF867C}">
                  <a14:compatExt spid="_x0000_s18438"/>
                </a:ext>
                <a:ext uri="{FF2B5EF4-FFF2-40B4-BE49-F238E27FC236}">
                  <a16:creationId xmlns:a16="http://schemas.microsoft.com/office/drawing/2014/main" id="{00000000-0008-0000-1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17</xdr:col>
      <xdr:colOff>0</xdr:colOff>
      <xdr:row>34</xdr:row>
      <xdr:rowOff>243570</xdr:rowOff>
    </xdr:from>
    <xdr:to>
      <xdr:col>17</xdr:col>
      <xdr:colOff>571500</xdr:colOff>
      <xdr:row>34</xdr:row>
      <xdr:rowOff>243570</xdr:rowOff>
    </xdr:to>
    <xdr:cxnSp macro="">
      <xdr:nvCxnSpPr>
        <xdr:cNvPr id="2" name="直線矢印コネクタ 1">
          <a:extLst>
            <a:ext uri="{FF2B5EF4-FFF2-40B4-BE49-F238E27FC236}">
              <a16:creationId xmlns:a16="http://schemas.microsoft.com/office/drawing/2014/main" id="{00000000-0008-0000-1600-000002000000}"/>
            </a:ext>
          </a:extLst>
        </xdr:cNvPr>
        <xdr:cNvCxnSpPr/>
      </xdr:nvCxnSpPr>
      <xdr:spPr bwMode="auto">
        <a:xfrm flipH="1">
          <a:off x="5924550" y="9520920"/>
          <a:ext cx="57150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574298</xdr:colOff>
      <xdr:row>34</xdr:row>
      <xdr:rowOff>25616</xdr:rowOff>
    </xdr:from>
    <xdr:to>
      <xdr:col>20</xdr:col>
      <xdr:colOff>182507</xdr:colOff>
      <xdr:row>37</xdr:row>
      <xdr:rowOff>211745</xdr:rowOff>
    </xdr:to>
    <xdr:sp macro="" textlink="">
      <xdr:nvSpPr>
        <xdr:cNvPr id="3" name="角丸四角形 12">
          <a:extLst>
            <a:ext uri="{FF2B5EF4-FFF2-40B4-BE49-F238E27FC236}">
              <a16:creationId xmlns:a16="http://schemas.microsoft.com/office/drawing/2014/main" id="{00000000-0008-0000-1600-000003000000}"/>
            </a:ext>
          </a:extLst>
        </xdr:cNvPr>
        <xdr:cNvSpPr/>
      </xdr:nvSpPr>
      <xdr:spPr>
        <a:xfrm>
          <a:off x="6498848" y="9302966"/>
          <a:ext cx="3580134" cy="1081479"/>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・対象品目生産のための労働に支払った賃金を記入す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・対象品目生産以外の労働への支払いも含めて記入す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る場合には、労働時間の割合を目安に記入してく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8.emf"/><Relationship Id="rId18" Type="http://schemas.openxmlformats.org/officeDocument/2006/relationships/control" Target="../activeX/activeX8.xml"/><Relationship Id="rId3" Type="http://schemas.openxmlformats.org/officeDocument/2006/relationships/vmlDrawing" Target="../drawings/vmlDrawing3.vml"/><Relationship Id="rId21" Type="http://schemas.openxmlformats.org/officeDocument/2006/relationships/image" Target="../media/image12.emf"/><Relationship Id="rId7" Type="http://schemas.openxmlformats.org/officeDocument/2006/relationships/image" Target="../media/image5.emf"/><Relationship Id="rId12" Type="http://schemas.openxmlformats.org/officeDocument/2006/relationships/control" Target="../activeX/activeX5.xml"/><Relationship Id="rId17" Type="http://schemas.openxmlformats.org/officeDocument/2006/relationships/image" Target="../media/image10.emf"/><Relationship Id="rId2" Type="http://schemas.openxmlformats.org/officeDocument/2006/relationships/drawing" Target="../drawings/drawing5.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7.bin"/><Relationship Id="rId6" Type="http://schemas.openxmlformats.org/officeDocument/2006/relationships/control" Target="../activeX/activeX2.xml"/><Relationship Id="rId11" Type="http://schemas.openxmlformats.org/officeDocument/2006/relationships/image" Target="../media/image7.emf"/><Relationship Id="rId5" Type="http://schemas.openxmlformats.org/officeDocument/2006/relationships/image" Target="../media/image4.emf"/><Relationship Id="rId15" Type="http://schemas.openxmlformats.org/officeDocument/2006/relationships/image" Target="../media/image9.emf"/><Relationship Id="rId10" Type="http://schemas.openxmlformats.org/officeDocument/2006/relationships/control" Target="../activeX/activeX4.xml"/><Relationship Id="rId19" Type="http://schemas.openxmlformats.org/officeDocument/2006/relationships/image" Target="../media/image11.emf"/><Relationship Id="rId4" Type="http://schemas.openxmlformats.org/officeDocument/2006/relationships/control" Target="../activeX/activeX1.xml"/><Relationship Id="rId9" Type="http://schemas.openxmlformats.org/officeDocument/2006/relationships/image" Target="../media/image6.emf"/><Relationship Id="rId1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12.xml"/><Relationship Id="rId13" Type="http://schemas.openxmlformats.org/officeDocument/2006/relationships/image" Target="../media/image16.emf"/><Relationship Id="rId3" Type="http://schemas.openxmlformats.org/officeDocument/2006/relationships/vmlDrawing" Target="../drawings/vmlDrawing4.vml"/><Relationship Id="rId7" Type="http://schemas.openxmlformats.org/officeDocument/2006/relationships/image" Target="../media/image13.emf"/><Relationship Id="rId12" Type="http://schemas.openxmlformats.org/officeDocument/2006/relationships/control" Target="../activeX/activeX14.xml"/><Relationship Id="rId17" Type="http://schemas.openxmlformats.org/officeDocument/2006/relationships/image" Target="../media/image18.emf"/><Relationship Id="rId2" Type="http://schemas.openxmlformats.org/officeDocument/2006/relationships/drawing" Target="../drawings/drawing7.xml"/><Relationship Id="rId16" Type="http://schemas.openxmlformats.org/officeDocument/2006/relationships/control" Target="../activeX/activeX16.xml"/><Relationship Id="rId1" Type="http://schemas.openxmlformats.org/officeDocument/2006/relationships/printerSettings" Target="../printerSettings/printerSettings9.bin"/><Relationship Id="rId6" Type="http://schemas.openxmlformats.org/officeDocument/2006/relationships/control" Target="../activeX/activeX11.xml"/><Relationship Id="rId11" Type="http://schemas.openxmlformats.org/officeDocument/2006/relationships/image" Target="../media/image15.emf"/><Relationship Id="rId5" Type="http://schemas.openxmlformats.org/officeDocument/2006/relationships/image" Target="../media/image4.emf"/><Relationship Id="rId15" Type="http://schemas.openxmlformats.org/officeDocument/2006/relationships/image" Target="../media/image17.emf"/><Relationship Id="rId10" Type="http://schemas.openxmlformats.org/officeDocument/2006/relationships/control" Target="../activeX/activeX13.xml"/><Relationship Id="rId4" Type="http://schemas.openxmlformats.org/officeDocument/2006/relationships/control" Target="../activeX/activeX10.xml"/><Relationship Id="rId9" Type="http://schemas.openxmlformats.org/officeDocument/2006/relationships/image" Target="../media/image14.emf"/><Relationship Id="rId14" Type="http://schemas.openxmlformats.org/officeDocument/2006/relationships/control" Target="../activeX/activeX15.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23.emf"/><Relationship Id="rId18" Type="http://schemas.openxmlformats.org/officeDocument/2006/relationships/control" Target="../activeX/activeX24.xml"/><Relationship Id="rId26" Type="http://schemas.openxmlformats.org/officeDocument/2006/relationships/control" Target="../activeX/activeX28.xml"/><Relationship Id="rId3" Type="http://schemas.openxmlformats.org/officeDocument/2006/relationships/vmlDrawing" Target="../drawings/vmlDrawing5.vml"/><Relationship Id="rId21" Type="http://schemas.openxmlformats.org/officeDocument/2006/relationships/image" Target="../media/image27.emf"/><Relationship Id="rId7" Type="http://schemas.openxmlformats.org/officeDocument/2006/relationships/image" Target="../media/image20.emf"/><Relationship Id="rId12" Type="http://schemas.openxmlformats.org/officeDocument/2006/relationships/control" Target="../activeX/activeX21.xml"/><Relationship Id="rId17" Type="http://schemas.openxmlformats.org/officeDocument/2006/relationships/image" Target="../media/image25.emf"/><Relationship Id="rId25" Type="http://schemas.openxmlformats.org/officeDocument/2006/relationships/image" Target="../media/image29.emf"/><Relationship Id="rId33" Type="http://schemas.openxmlformats.org/officeDocument/2006/relationships/image" Target="../media/image33.emf"/><Relationship Id="rId2" Type="http://schemas.openxmlformats.org/officeDocument/2006/relationships/drawing" Target="../drawings/drawing8.xml"/><Relationship Id="rId16" Type="http://schemas.openxmlformats.org/officeDocument/2006/relationships/control" Target="../activeX/activeX23.xml"/><Relationship Id="rId20" Type="http://schemas.openxmlformats.org/officeDocument/2006/relationships/control" Target="../activeX/activeX25.xml"/><Relationship Id="rId29" Type="http://schemas.openxmlformats.org/officeDocument/2006/relationships/image" Target="../media/image31.emf"/><Relationship Id="rId1" Type="http://schemas.openxmlformats.org/officeDocument/2006/relationships/printerSettings" Target="../printerSettings/printerSettings10.bin"/><Relationship Id="rId6" Type="http://schemas.openxmlformats.org/officeDocument/2006/relationships/control" Target="../activeX/activeX18.xml"/><Relationship Id="rId11" Type="http://schemas.openxmlformats.org/officeDocument/2006/relationships/image" Target="../media/image22.emf"/><Relationship Id="rId24" Type="http://schemas.openxmlformats.org/officeDocument/2006/relationships/control" Target="../activeX/activeX27.xml"/><Relationship Id="rId32" Type="http://schemas.openxmlformats.org/officeDocument/2006/relationships/control" Target="../activeX/activeX31.xml"/><Relationship Id="rId5" Type="http://schemas.openxmlformats.org/officeDocument/2006/relationships/image" Target="../media/image19.emf"/><Relationship Id="rId15" Type="http://schemas.openxmlformats.org/officeDocument/2006/relationships/image" Target="../media/image24.emf"/><Relationship Id="rId23" Type="http://schemas.openxmlformats.org/officeDocument/2006/relationships/image" Target="../media/image28.emf"/><Relationship Id="rId28" Type="http://schemas.openxmlformats.org/officeDocument/2006/relationships/control" Target="../activeX/activeX29.xml"/><Relationship Id="rId10" Type="http://schemas.openxmlformats.org/officeDocument/2006/relationships/control" Target="../activeX/activeX20.xml"/><Relationship Id="rId19" Type="http://schemas.openxmlformats.org/officeDocument/2006/relationships/image" Target="../media/image26.emf"/><Relationship Id="rId31" Type="http://schemas.openxmlformats.org/officeDocument/2006/relationships/image" Target="../media/image32.emf"/><Relationship Id="rId4" Type="http://schemas.openxmlformats.org/officeDocument/2006/relationships/control" Target="../activeX/activeX17.xml"/><Relationship Id="rId9" Type="http://schemas.openxmlformats.org/officeDocument/2006/relationships/image" Target="../media/image21.emf"/><Relationship Id="rId14" Type="http://schemas.openxmlformats.org/officeDocument/2006/relationships/control" Target="../activeX/activeX22.xml"/><Relationship Id="rId22" Type="http://schemas.openxmlformats.org/officeDocument/2006/relationships/control" Target="../activeX/activeX26.xml"/><Relationship Id="rId27" Type="http://schemas.openxmlformats.org/officeDocument/2006/relationships/image" Target="../media/image30.emf"/><Relationship Id="rId30" Type="http://schemas.openxmlformats.org/officeDocument/2006/relationships/control" Target="../activeX/activeX30.xml"/><Relationship Id="rId8" Type="http://schemas.openxmlformats.org/officeDocument/2006/relationships/control" Target="../activeX/activeX19.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38.emf"/><Relationship Id="rId18" Type="http://schemas.openxmlformats.org/officeDocument/2006/relationships/control" Target="../activeX/activeX39.xml"/><Relationship Id="rId26" Type="http://schemas.openxmlformats.org/officeDocument/2006/relationships/control" Target="../activeX/activeX43.xml"/><Relationship Id="rId3" Type="http://schemas.openxmlformats.org/officeDocument/2006/relationships/vmlDrawing" Target="../drawings/vmlDrawing6.vml"/><Relationship Id="rId21" Type="http://schemas.openxmlformats.org/officeDocument/2006/relationships/image" Target="../media/image42.emf"/><Relationship Id="rId7" Type="http://schemas.openxmlformats.org/officeDocument/2006/relationships/image" Target="../media/image35.emf"/><Relationship Id="rId12" Type="http://schemas.openxmlformats.org/officeDocument/2006/relationships/control" Target="../activeX/activeX36.xml"/><Relationship Id="rId17" Type="http://schemas.openxmlformats.org/officeDocument/2006/relationships/image" Target="../media/image40.emf"/><Relationship Id="rId25" Type="http://schemas.openxmlformats.org/officeDocument/2006/relationships/image" Target="../media/image44.emf"/><Relationship Id="rId33" Type="http://schemas.openxmlformats.org/officeDocument/2006/relationships/image" Target="../media/image48.emf"/><Relationship Id="rId2" Type="http://schemas.openxmlformats.org/officeDocument/2006/relationships/drawing" Target="../drawings/drawing9.xml"/><Relationship Id="rId16" Type="http://schemas.openxmlformats.org/officeDocument/2006/relationships/control" Target="../activeX/activeX38.xml"/><Relationship Id="rId20" Type="http://schemas.openxmlformats.org/officeDocument/2006/relationships/control" Target="../activeX/activeX40.xml"/><Relationship Id="rId29" Type="http://schemas.openxmlformats.org/officeDocument/2006/relationships/image" Target="../media/image46.emf"/><Relationship Id="rId1" Type="http://schemas.openxmlformats.org/officeDocument/2006/relationships/printerSettings" Target="../printerSettings/printerSettings11.bin"/><Relationship Id="rId6" Type="http://schemas.openxmlformats.org/officeDocument/2006/relationships/control" Target="../activeX/activeX33.xml"/><Relationship Id="rId11" Type="http://schemas.openxmlformats.org/officeDocument/2006/relationships/image" Target="../media/image37.emf"/><Relationship Id="rId24" Type="http://schemas.openxmlformats.org/officeDocument/2006/relationships/control" Target="../activeX/activeX42.xml"/><Relationship Id="rId32" Type="http://schemas.openxmlformats.org/officeDocument/2006/relationships/control" Target="../activeX/activeX46.xml"/><Relationship Id="rId5" Type="http://schemas.openxmlformats.org/officeDocument/2006/relationships/image" Target="../media/image34.emf"/><Relationship Id="rId15" Type="http://schemas.openxmlformats.org/officeDocument/2006/relationships/image" Target="../media/image39.emf"/><Relationship Id="rId23" Type="http://schemas.openxmlformats.org/officeDocument/2006/relationships/image" Target="../media/image43.emf"/><Relationship Id="rId28" Type="http://schemas.openxmlformats.org/officeDocument/2006/relationships/control" Target="../activeX/activeX44.xml"/><Relationship Id="rId10" Type="http://schemas.openxmlformats.org/officeDocument/2006/relationships/control" Target="../activeX/activeX35.xml"/><Relationship Id="rId19" Type="http://schemas.openxmlformats.org/officeDocument/2006/relationships/image" Target="../media/image41.emf"/><Relationship Id="rId31" Type="http://schemas.openxmlformats.org/officeDocument/2006/relationships/image" Target="../media/image47.emf"/><Relationship Id="rId4" Type="http://schemas.openxmlformats.org/officeDocument/2006/relationships/control" Target="../activeX/activeX32.xml"/><Relationship Id="rId9" Type="http://schemas.openxmlformats.org/officeDocument/2006/relationships/image" Target="../media/image36.emf"/><Relationship Id="rId14" Type="http://schemas.openxmlformats.org/officeDocument/2006/relationships/control" Target="../activeX/activeX37.xml"/><Relationship Id="rId22" Type="http://schemas.openxmlformats.org/officeDocument/2006/relationships/control" Target="../activeX/activeX41.xml"/><Relationship Id="rId27" Type="http://schemas.openxmlformats.org/officeDocument/2006/relationships/image" Target="../media/image45.emf"/><Relationship Id="rId30" Type="http://schemas.openxmlformats.org/officeDocument/2006/relationships/control" Target="../activeX/activeX45.xml"/><Relationship Id="rId8" Type="http://schemas.openxmlformats.org/officeDocument/2006/relationships/control" Target="../activeX/activeX34.xml"/></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49.xml"/><Relationship Id="rId13" Type="http://schemas.openxmlformats.org/officeDocument/2006/relationships/image" Target="../media/image53.emf"/><Relationship Id="rId18" Type="http://schemas.openxmlformats.org/officeDocument/2006/relationships/control" Target="../activeX/activeX54.xml"/><Relationship Id="rId3" Type="http://schemas.openxmlformats.org/officeDocument/2006/relationships/vmlDrawing" Target="../drawings/vmlDrawing7.vml"/><Relationship Id="rId21" Type="http://schemas.openxmlformats.org/officeDocument/2006/relationships/image" Target="../media/image57.emf"/><Relationship Id="rId7" Type="http://schemas.openxmlformats.org/officeDocument/2006/relationships/image" Target="../media/image50.emf"/><Relationship Id="rId12" Type="http://schemas.openxmlformats.org/officeDocument/2006/relationships/control" Target="../activeX/activeX51.xml"/><Relationship Id="rId17" Type="http://schemas.openxmlformats.org/officeDocument/2006/relationships/image" Target="../media/image55.emf"/><Relationship Id="rId2" Type="http://schemas.openxmlformats.org/officeDocument/2006/relationships/drawing" Target="../drawings/drawing10.xml"/><Relationship Id="rId16" Type="http://schemas.openxmlformats.org/officeDocument/2006/relationships/control" Target="../activeX/activeX53.xml"/><Relationship Id="rId20" Type="http://schemas.openxmlformats.org/officeDocument/2006/relationships/control" Target="../activeX/activeX55.xml"/><Relationship Id="rId1" Type="http://schemas.openxmlformats.org/officeDocument/2006/relationships/printerSettings" Target="../printerSettings/printerSettings12.bin"/><Relationship Id="rId6" Type="http://schemas.openxmlformats.org/officeDocument/2006/relationships/control" Target="../activeX/activeX48.xml"/><Relationship Id="rId11" Type="http://schemas.openxmlformats.org/officeDocument/2006/relationships/image" Target="../media/image52.emf"/><Relationship Id="rId5" Type="http://schemas.openxmlformats.org/officeDocument/2006/relationships/image" Target="../media/image49.emf"/><Relationship Id="rId15" Type="http://schemas.openxmlformats.org/officeDocument/2006/relationships/image" Target="../media/image54.emf"/><Relationship Id="rId23" Type="http://schemas.openxmlformats.org/officeDocument/2006/relationships/image" Target="../media/image58.emf"/><Relationship Id="rId10" Type="http://schemas.openxmlformats.org/officeDocument/2006/relationships/control" Target="../activeX/activeX50.xml"/><Relationship Id="rId19" Type="http://schemas.openxmlformats.org/officeDocument/2006/relationships/image" Target="../media/image56.emf"/><Relationship Id="rId4" Type="http://schemas.openxmlformats.org/officeDocument/2006/relationships/control" Target="../activeX/activeX47.xml"/><Relationship Id="rId9" Type="http://schemas.openxmlformats.org/officeDocument/2006/relationships/image" Target="../media/image51.emf"/><Relationship Id="rId14" Type="http://schemas.openxmlformats.org/officeDocument/2006/relationships/control" Target="../activeX/activeX52.xml"/><Relationship Id="rId22" Type="http://schemas.openxmlformats.org/officeDocument/2006/relationships/control" Target="../activeX/activeX56.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59.xml"/><Relationship Id="rId13" Type="http://schemas.openxmlformats.org/officeDocument/2006/relationships/image" Target="../media/image63.emf"/><Relationship Id="rId3" Type="http://schemas.openxmlformats.org/officeDocument/2006/relationships/vmlDrawing" Target="../drawings/vmlDrawing8.vml"/><Relationship Id="rId7" Type="http://schemas.openxmlformats.org/officeDocument/2006/relationships/image" Target="../media/image60.emf"/><Relationship Id="rId12" Type="http://schemas.openxmlformats.org/officeDocument/2006/relationships/control" Target="../activeX/activeX61.xml"/><Relationship Id="rId17" Type="http://schemas.openxmlformats.org/officeDocument/2006/relationships/image" Target="../media/image65.emf"/><Relationship Id="rId2" Type="http://schemas.openxmlformats.org/officeDocument/2006/relationships/drawing" Target="../drawings/drawing13.xml"/><Relationship Id="rId16" Type="http://schemas.openxmlformats.org/officeDocument/2006/relationships/control" Target="../activeX/activeX63.xml"/><Relationship Id="rId1" Type="http://schemas.openxmlformats.org/officeDocument/2006/relationships/printerSettings" Target="../printerSettings/printerSettings15.bin"/><Relationship Id="rId6" Type="http://schemas.openxmlformats.org/officeDocument/2006/relationships/control" Target="../activeX/activeX58.xml"/><Relationship Id="rId11" Type="http://schemas.openxmlformats.org/officeDocument/2006/relationships/image" Target="../media/image62.emf"/><Relationship Id="rId5" Type="http://schemas.openxmlformats.org/officeDocument/2006/relationships/image" Target="../media/image59.emf"/><Relationship Id="rId15" Type="http://schemas.openxmlformats.org/officeDocument/2006/relationships/image" Target="../media/image64.emf"/><Relationship Id="rId10" Type="http://schemas.openxmlformats.org/officeDocument/2006/relationships/control" Target="../activeX/activeX60.xml"/><Relationship Id="rId4" Type="http://schemas.openxmlformats.org/officeDocument/2006/relationships/control" Target="../activeX/activeX57.xml"/><Relationship Id="rId9" Type="http://schemas.openxmlformats.org/officeDocument/2006/relationships/image" Target="../media/image61.emf"/><Relationship Id="rId14" Type="http://schemas.openxmlformats.org/officeDocument/2006/relationships/control" Target="../activeX/activeX62.xml"/></Relationships>
</file>

<file path=xl/worksheets/_rels/sheet16.xml.rels><?xml version="1.0" encoding="UTF-8" standalone="yes"?>
<Relationships xmlns="http://schemas.openxmlformats.org/package/2006/relationships"><Relationship Id="rId8" Type="http://schemas.openxmlformats.org/officeDocument/2006/relationships/image" Target="../media/image67.emf"/><Relationship Id="rId3" Type="http://schemas.openxmlformats.org/officeDocument/2006/relationships/vmlDrawing" Target="../drawings/vmlDrawing9.vml"/><Relationship Id="rId7" Type="http://schemas.openxmlformats.org/officeDocument/2006/relationships/control" Target="../activeX/activeX65.xml"/><Relationship Id="rId2" Type="http://schemas.openxmlformats.org/officeDocument/2006/relationships/drawing" Target="../drawings/drawing14.xml"/><Relationship Id="rId1" Type="http://schemas.openxmlformats.org/officeDocument/2006/relationships/printerSettings" Target="../printerSettings/printerSettings16.bin"/><Relationship Id="rId6" Type="http://schemas.openxmlformats.org/officeDocument/2006/relationships/image" Target="../media/image66.emf"/><Relationship Id="rId5" Type="http://schemas.openxmlformats.org/officeDocument/2006/relationships/control" Target="../activeX/activeX64.xml"/><Relationship Id="rId10" Type="http://schemas.openxmlformats.org/officeDocument/2006/relationships/image" Target="../media/image68.emf"/><Relationship Id="rId4" Type="http://schemas.openxmlformats.org/officeDocument/2006/relationships/vmlDrawing" Target="../drawings/vmlDrawing10.vml"/><Relationship Id="rId9" Type="http://schemas.openxmlformats.org/officeDocument/2006/relationships/control" Target="../activeX/activeX66.xml"/></Relationships>
</file>

<file path=xl/worksheets/_rels/sheet17.xml.rels><?xml version="1.0" encoding="UTF-8" standalone="yes"?>
<Relationships xmlns="http://schemas.openxmlformats.org/package/2006/relationships"><Relationship Id="rId8" Type="http://schemas.openxmlformats.org/officeDocument/2006/relationships/image" Target="../media/image74.emf"/><Relationship Id="rId3" Type="http://schemas.openxmlformats.org/officeDocument/2006/relationships/vmlDrawing" Target="../drawings/vmlDrawing11.vml"/><Relationship Id="rId7" Type="http://schemas.openxmlformats.org/officeDocument/2006/relationships/control" Target="../activeX/activeX68.xml"/><Relationship Id="rId2" Type="http://schemas.openxmlformats.org/officeDocument/2006/relationships/drawing" Target="../drawings/drawing15.xml"/><Relationship Id="rId1" Type="http://schemas.openxmlformats.org/officeDocument/2006/relationships/printerSettings" Target="../printerSettings/printerSettings17.bin"/><Relationship Id="rId6" Type="http://schemas.openxmlformats.org/officeDocument/2006/relationships/image" Target="../media/image73.emf"/><Relationship Id="rId5" Type="http://schemas.openxmlformats.org/officeDocument/2006/relationships/control" Target="../activeX/activeX67.xml"/><Relationship Id="rId10" Type="http://schemas.openxmlformats.org/officeDocument/2006/relationships/image" Target="../media/image75.emf"/><Relationship Id="rId4" Type="http://schemas.openxmlformats.org/officeDocument/2006/relationships/vmlDrawing" Target="../drawings/vmlDrawing12.vml"/><Relationship Id="rId9" Type="http://schemas.openxmlformats.org/officeDocument/2006/relationships/control" Target="../activeX/activeX69.xml"/></Relationships>
</file>

<file path=xl/worksheets/_rels/sheet18.xml.rels><?xml version="1.0" encoding="UTF-8" standalone="yes"?>
<Relationships xmlns="http://schemas.openxmlformats.org/package/2006/relationships"><Relationship Id="rId8" Type="http://schemas.openxmlformats.org/officeDocument/2006/relationships/image" Target="../media/image81.emf"/><Relationship Id="rId3" Type="http://schemas.openxmlformats.org/officeDocument/2006/relationships/vmlDrawing" Target="../drawings/vmlDrawing13.vml"/><Relationship Id="rId7" Type="http://schemas.openxmlformats.org/officeDocument/2006/relationships/control" Target="../activeX/activeX71.xml"/><Relationship Id="rId2" Type="http://schemas.openxmlformats.org/officeDocument/2006/relationships/drawing" Target="../drawings/drawing16.xml"/><Relationship Id="rId1" Type="http://schemas.openxmlformats.org/officeDocument/2006/relationships/printerSettings" Target="../printerSettings/printerSettings18.bin"/><Relationship Id="rId6" Type="http://schemas.openxmlformats.org/officeDocument/2006/relationships/image" Target="../media/image80.emf"/><Relationship Id="rId5" Type="http://schemas.openxmlformats.org/officeDocument/2006/relationships/control" Target="../activeX/activeX70.xml"/><Relationship Id="rId10" Type="http://schemas.openxmlformats.org/officeDocument/2006/relationships/image" Target="../media/image82.emf"/><Relationship Id="rId4" Type="http://schemas.openxmlformats.org/officeDocument/2006/relationships/vmlDrawing" Target="../drawings/vmlDrawing14.vml"/><Relationship Id="rId9" Type="http://schemas.openxmlformats.org/officeDocument/2006/relationships/control" Target="../activeX/activeX72.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75.xml"/><Relationship Id="rId3" Type="http://schemas.openxmlformats.org/officeDocument/2006/relationships/vmlDrawing" Target="../drawings/vmlDrawing15.vml"/><Relationship Id="rId7" Type="http://schemas.openxmlformats.org/officeDocument/2006/relationships/image" Target="../media/image104.emf"/><Relationship Id="rId2" Type="http://schemas.openxmlformats.org/officeDocument/2006/relationships/drawing" Target="../drawings/drawing17.xml"/><Relationship Id="rId1" Type="http://schemas.openxmlformats.org/officeDocument/2006/relationships/printerSettings" Target="../printerSettings/printerSettings20.bin"/><Relationship Id="rId6" Type="http://schemas.openxmlformats.org/officeDocument/2006/relationships/control" Target="../activeX/activeX74.xml"/><Relationship Id="rId5" Type="http://schemas.openxmlformats.org/officeDocument/2006/relationships/image" Target="../media/image103.emf"/><Relationship Id="rId4" Type="http://schemas.openxmlformats.org/officeDocument/2006/relationships/control" Target="../activeX/activeX73.xml"/><Relationship Id="rId9" Type="http://schemas.openxmlformats.org/officeDocument/2006/relationships/image" Target="../media/image105.emf"/></Relationships>
</file>

<file path=xl/worksheets/_rels/sheet21.xml.rels><?xml version="1.0" encoding="UTF-8" standalone="yes"?>
<Relationships xmlns="http://schemas.openxmlformats.org/package/2006/relationships"><Relationship Id="rId8" Type="http://schemas.openxmlformats.org/officeDocument/2006/relationships/image" Target="../media/image107.emf"/><Relationship Id="rId13" Type="http://schemas.openxmlformats.org/officeDocument/2006/relationships/control" Target="../activeX/activeX80.xml"/><Relationship Id="rId3" Type="http://schemas.openxmlformats.org/officeDocument/2006/relationships/vmlDrawing" Target="../drawings/vmlDrawing16.vml"/><Relationship Id="rId7" Type="http://schemas.openxmlformats.org/officeDocument/2006/relationships/control" Target="../activeX/activeX77.xml"/><Relationship Id="rId12" Type="http://schemas.openxmlformats.org/officeDocument/2006/relationships/image" Target="../media/image109.emf"/><Relationship Id="rId2" Type="http://schemas.openxmlformats.org/officeDocument/2006/relationships/drawing" Target="../drawings/drawing18.xml"/><Relationship Id="rId16" Type="http://schemas.openxmlformats.org/officeDocument/2006/relationships/image" Target="../media/image111.emf"/><Relationship Id="rId1" Type="http://schemas.openxmlformats.org/officeDocument/2006/relationships/printerSettings" Target="../printerSettings/printerSettings21.bin"/><Relationship Id="rId6" Type="http://schemas.openxmlformats.org/officeDocument/2006/relationships/image" Target="../media/image106.emf"/><Relationship Id="rId11" Type="http://schemas.openxmlformats.org/officeDocument/2006/relationships/control" Target="../activeX/activeX79.xml"/><Relationship Id="rId5" Type="http://schemas.openxmlformats.org/officeDocument/2006/relationships/control" Target="../activeX/activeX76.xml"/><Relationship Id="rId15" Type="http://schemas.openxmlformats.org/officeDocument/2006/relationships/control" Target="../activeX/activeX81.xml"/><Relationship Id="rId10" Type="http://schemas.openxmlformats.org/officeDocument/2006/relationships/image" Target="../media/image108.emf"/><Relationship Id="rId4" Type="http://schemas.openxmlformats.org/officeDocument/2006/relationships/vmlDrawing" Target="../drawings/vmlDrawing17.vml"/><Relationship Id="rId9" Type="http://schemas.openxmlformats.org/officeDocument/2006/relationships/control" Target="../activeX/activeX78.xml"/><Relationship Id="rId14" Type="http://schemas.openxmlformats.org/officeDocument/2006/relationships/image" Target="../media/image110.emf"/></Relationships>
</file>

<file path=xl/worksheets/_rels/sheet22.xml.rels><?xml version="1.0" encoding="UTF-8" standalone="yes"?>
<Relationships xmlns="http://schemas.openxmlformats.org/package/2006/relationships"><Relationship Id="rId8" Type="http://schemas.openxmlformats.org/officeDocument/2006/relationships/image" Target="../media/image114.emf"/><Relationship Id="rId13" Type="http://schemas.openxmlformats.org/officeDocument/2006/relationships/control" Target="../activeX/activeX86.xml"/><Relationship Id="rId3" Type="http://schemas.openxmlformats.org/officeDocument/2006/relationships/vmlDrawing" Target="../drawings/vmlDrawing18.vml"/><Relationship Id="rId7" Type="http://schemas.openxmlformats.org/officeDocument/2006/relationships/control" Target="../activeX/activeX83.xml"/><Relationship Id="rId12" Type="http://schemas.openxmlformats.org/officeDocument/2006/relationships/image" Target="../media/image116.emf"/><Relationship Id="rId2" Type="http://schemas.openxmlformats.org/officeDocument/2006/relationships/drawing" Target="../drawings/drawing19.xml"/><Relationship Id="rId16" Type="http://schemas.openxmlformats.org/officeDocument/2006/relationships/image" Target="../media/image118.emf"/><Relationship Id="rId1" Type="http://schemas.openxmlformats.org/officeDocument/2006/relationships/printerSettings" Target="../printerSettings/printerSettings22.bin"/><Relationship Id="rId6" Type="http://schemas.openxmlformats.org/officeDocument/2006/relationships/image" Target="../media/image113.emf"/><Relationship Id="rId11" Type="http://schemas.openxmlformats.org/officeDocument/2006/relationships/control" Target="../activeX/activeX85.xml"/><Relationship Id="rId5" Type="http://schemas.openxmlformats.org/officeDocument/2006/relationships/control" Target="../activeX/activeX82.xml"/><Relationship Id="rId15" Type="http://schemas.openxmlformats.org/officeDocument/2006/relationships/control" Target="../activeX/activeX87.xml"/><Relationship Id="rId10" Type="http://schemas.openxmlformats.org/officeDocument/2006/relationships/image" Target="../media/image115.emf"/><Relationship Id="rId4" Type="http://schemas.openxmlformats.org/officeDocument/2006/relationships/vmlDrawing" Target="../drawings/vmlDrawing19.vml"/><Relationship Id="rId9" Type="http://schemas.openxmlformats.org/officeDocument/2006/relationships/control" Target="../activeX/activeX84.xml"/><Relationship Id="rId14" Type="http://schemas.openxmlformats.org/officeDocument/2006/relationships/image" Target="../media/image117.emf"/></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0.vml"/><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20"/>
  <sheetViews>
    <sheetView tabSelected="1" zoomScale="90" zoomScaleNormal="90" workbookViewId="0">
      <selection activeCell="A8" sqref="A8"/>
    </sheetView>
  </sheetViews>
  <sheetFormatPr defaultColWidth="9" defaultRowHeight="13.5"/>
  <cols>
    <col min="1" max="1" width="19.25" style="2" customWidth="1"/>
    <col min="2" max="2" width="18.875" style="2" customWidth="1"/>
    <col min="3" max="4" width="11.5" style="2" bestFit="1" customWidth="1"/>
    <col min="5" max="5" width="14.125" style="2" bestFit="1" customWidth="1"/>
    <col min="6" max="6" width="11.5" style="2" bestFit="1" customWidth="1"/>
    <col min="7" max="7" width="9" style="2" bestFit="1" customWidth="1"/>
    <col min="8" max="8" width="11.5" style="2" bestFit="1" customWidth="1"/>
    <col min="9" max="16384" width="9" style="2"/>
  </cols>
  <sheetData>
    <row r="1" spans="1:8" ht="17.25">
      <c r="A1" s="1" t="s">
        <v>0</v>
      </c>
    </row>
    <row r="4" spans="1:8" ht="17.25">
      <c r="A4" s="3" t="s">
        <v>1</v>
      </c>
      <c r="B4" s="4"/>
      <c r="C4" s="4"/>
      <c r="D4" s="4"/>
      <c r="E4" s="4"/>
      <c r="F4" s="4"/>
      <c r="G4" s="4"/>
      <c r="H4" s="4"/>
    </row>
    <row r="5" spans="1:8" ht="17.25">
      <c r="A5" s="1110" t="s">
        <v>2</v>
      </c>
      <c r="B5" s="4"/>
      <c r="C5" s="1113" t="s">
        <v>3</v>
      </c>
      <c r="D5" s="1114"/>
      <c r="E5" s="1114"/>
      <c r="F5" s="1114"/>
      <c r="G5" s="1114"/>
      <c r="H5" s="1115"/>
    </row>
    <row r="6" spans="1:8" ht="17.25">
      <c r="A6" s="1111"/>
      <c r="B6" s="4"/>
      <c r="C6" s="1116" t="s">
        <v>4</v>
      </c>
      <c r="D6" s="1116" t="s">
        <v>5</v>
      </c>
      <c r="E6" s="1116" t="s">
        <v>6</v>
      </c>
      <c r="F6" s="1116" t="s">
        <v>7</v>
      </c>
      <c r="G6" s="1116" t="s">
        <v>8</v>
      </c>
      <c r="H6" s="1116" t="s">
        <v>9</v>
      </c>
    </row>
    <row r="7" spans="1:8" ht="18" thickBot="1">
      <c r="A7" s="1112"/>
      <c r="B7" s="4"/>
      <c r="C7" s="1117"/>
      <c r="D7" s="1117"/>
      <c r="E7" s="1117"/>
      <c r="F7" s="1117"/>
      <c r="G7" s="1117"/>
      <c r="H7" s="1117"/>
    </row>
    <row r="8" spans="1:8" ht="20.25" thickTop="1" thickBot="1">
      <c r="A8" s="5"/>
      <c r="B8" s="6"/>
      <c r="C8" s="7"/>
      <c r="D8" s="8"/>
      <c r="E8" s="9"/>
      <c r="F8" s="8"/>
      <c r="G8" s="8"/>
      <c r="H8" s="8"/>
    </row>
    <row r="9" spans="1:8" ht="14.25" thickTop="1"/>
    <row r="11" spans="1:8" ht="14.25" thickBot="1"/>
    <row r="12" spans="1:8" ht="18" thickTop="1">
      <c r="A12" s="10" t="s">
        <v>10</v>
      </c>
      <c r="B12" s="11" t="s">
        <v>11</v>
      </c>
      <c r="D12" s="12" t="s">
        <v>12</v>
      </c>
      <c r="E12" s="1107" t="str">
        <f>IF(AND(B12&lt;&gt;"",B13&lt;&gt;""),
IF(B12="[75]なたね",IF(B13="個別経営体","なたね生産費統計（個別）","経営分析調査_なたね生産費"),
IF(B12="[76]そば",IF(B13="個別経営体","そば生産費統計（個別）","経営分析調査_そば生産費"),
IF(B12="[77]二条大麦",IF(B13="個別経営体","二条大麦生産費統計（個別）","経営分析調査_二条大麦生産費"),
IF(B12="[78]六条大麦",IF(B13="個別経営体","六条大麦生産費統計（個別）","経営分析調査_六条大麦生産費"),
IF(B12="[79]はだか麦",IF(B13="個別経営体","はだか麦生産費統計（個別）","経営分析調査_はだか麦生産費"),
IF(B12="[80]米",IF(B13="個別経営体","米生産費統計（個別）","米生産費統計（組織法人）"),
IF(B12="[81]小麦",IF(B13="個別経営体","小麦生産費統計（個別）","小麦生産費統計（組織法人）"),
IF(B12="[82]大豆",IF(B13="個別経営体","大豆生産費統計（個別）","大豆生産費統計（組織法人）"),
IF(B12="[83]原料用かんしょ",IF(B13="個別経営体","原料用かんしょ生産費統計（個別）",""),
IF(B12="[84]原料用ばれいしょ",IF(B13="個別経営体","原料用ばれいしょ生産費統計（個別）","経営分析調査_原料用ばれいしょ生産費"),
IF(B12="[85]さとうきび",IF(B13="個別経営体","さとうきび生産費統計（個別）","経営分析調査_さとうきび生産費"),
IF(B12="[86]てんさい",IF(B13="個別経営体","てんさい生産費統計（個別）","経営分析調査_てんさい生産費"))))))))))))),"")</f>
        <v>そば生産費統計（個別）</v>
      </c>
      <c r="F12" s="1108"/>
      <c r="G12" s="1108"/>
      <c r="H12" s="1109"/>
    </row>
    <row r="13" spans="1:8" ht="17.25">
      <c r="A13" s="13" t="s">
        <v>13</v>
      </c>
      <c r="B13" s="14" t="s">
        <v>14</v>
      </c>
    </row>
    <row r="14" spans="1:8" ht="18" thickBot="1">
      <c r="A14" s="13" t="s">
        <v>15</v>
      </c>
      <c r="B14" s="15"/>
    </row>
    <row r="15" spans="1:8" ht="14.25" thickTop="1"/>
    <row r="16" spans="1:8" ht="14.25" thickBot="1"/>
    <row r="17" spans="1:2" ht="18" thickTop="1">
      <c r="A17" s="16" t="s">
        <v>16</v>
      </c>
      <c r="B17" s="17"/>
    </row>
    <row r="18" spans="1:2" ht="17.25">
      <c r="A18" s="16" t="s">
        <v>17</v>
      </c>
      <c r="B18" s="18"/>
    </row>
    <row r="19" spans="1:2" ht="18" thickBot="1">
      <c r="A19" s="12" t="s">
        <v>18</v>
      </c>
      <c r="B19" s="19"/>
    </row>
    <row r="20" spans="1:2" ht="14.25" thickTop="1"/>
  </sheetData>
  <sheetProtection sheet="1" objects="1" scenarios="1" selectLockedCells="1"/>
  <mergeCells count="9">
    <mergeCell ref="E12:H12"/>
    <mergeCell ref="A5:A7"/>
    <mergeCell ref="C5:H5"/>
    <mergeCell ref="C6:C7"/>
    <mergeCell ref="D6:D7"/>
    <mergeCell ref="E6:E7"/>
    <mergeCell ref="F6:F7"/>
    <mergeCell ref="G6:G7"/>
    <mergeCell ref="H6:H7"/>
  </mergeCells>
  <phoneticPr fontId="5"/>
  <dataValidations count="9">
    <dataValidation type="whole" allowBlank="1" showInputMessage="1" showErrorMessage="1" error="0～999の数字を入力してください。" sqref="G8" xr:uid="{00000000-0002-0000-0000-000000000000}">
      <formula1>0</formula1>
      <formula2>999</formula2>
    </dataValidation>
    <dataValidation type="whole" allowBlank="1" showInputMessage="1" showErrorMessage="1" error="1～999の数字を入力してください。" sqref="H8" xr:uid="{00000000-0002-0000-0000-000001000000}">
      <formula1>1</formula1>
      <formula2>999</formula2>
    </dataValidation>
    <dataValidation type="whole" operator="greaterThan" allowBlank="1" showInputMessage="1" showErrorMessage="1" error="0より大きい数値を整数で入力してください。" sqref="B17" xr:uid="{00000000-0002-0000-0000-000002000000}">
      <formula1>0</formula1>
    </dataValidation>
    <dataValidation type="whole" allowBlank="1" showInputMessage="1" showErrorMessage="1" error="13桁の整数を入力してください。" sqref="B14" xr:uid="{00000000-0002-0000-0000-000003000000}">
      <formula1>1000000000000</formula1>
      <formula2>9999999999999</formula2>
    </dataValidation>
    <dataValidation type="whole" allowBlank="1" showInputMessage="1" showErrorMessage="1" error="100～999の数字を入力してください。" sqref="D8" xr:uid="{00000000-0002-0000-0000-000004000000}">
      <formula1>100</formula1>
      <formula2>999</formula2>
    </dataValidation>
    <dataValidation type="whole" allowBlank="1" showInputMessage="1" showErrorMessage="1" error="100～999の数字を入力してください。" sqref="F8" xr:uid="{00000000-0002-0000-0000-000005000000}">
      <formula1>1</formula1>
      <formula2>999</formula2>
    </dataValidation>
    <dataValidation type="whole" allowBlank="1" showInputMessage="1" showErrorMessage="1" error="1～47の数字を入力してください。" sqref="C8" xr:uid="{00000000-0002-0000-0000-000006000000}">
      <formula1>1</formula1>
      <formula2>47</formula2>
    </dataValidation>
    <dataValidation type="whole" allowBlank="1" showInputMessage="1" showErrorMessage="1" error="0～99の数字を入力してください。" sqref="E8" xr:uid="{00000000-0002-0000-0000-000007000000}">
      <formula1>0</formula1>
      <formula2>99</formula2>
    </dataValidation>
    <dataValidation type="whole" allowBlank="1" showInputMessage="1" showErrorMessage="1" sqref="A8" xr:uid="{00000000-0002-0000-0000-000008000000}">
      <formula1>1700</formula1>
      <formula2>2100</formula2>
    </dataValidation>
  </dataValidations>
  <pageMargins left="0.7" right="0.7" top="0.75" bottom="0.75" header="0.3" footer="0.3"/>
  <pageSetup paperSize="9"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anchor moveWithCells="1" sizeWithCells="1">
                  <from>
                    <xdr:col>5</xdr:col>
                    <xdr:colOff>581025</xdr:colOff>
                    <xdr:row>20</xdr:row>
                    <xdr:rowOff>57150</xdr:rowOff>
                  </from>
                  <to>
                    <xdr:col>7</xdr:col>
                    <xdr:colOff>628650</xdr:colOff>
                    <xdr:row>22</xdr:row>
                    <xdr:rowOff>76200</xdr:rowOff>
                  </to>
                </anchor>
              </controlPr>
            </control>
          </mc:Choice>
        </mc:AlternateContent>
        <mc:AlternateContent xmlns:mc="http://schemas.openxmlformats.org/markup-compatibility/2006">
          <mc:Choice Requires="x14">
            <control shapeId="1026" r:id="rId5" name="Button 2">
              <controlPr defaultSize="0" print="0" autoFill="0" autoPict="0">
                <anchor moveWithCells="1" sizeWithCells="1">
                  <from>
                    <xdr:col>1</xdr:col>
                    <xdr:colOff>1057275</xdr:colOff>
                    <xdr:row>20</xdr:row>
                    <xdr:rowOff>57150</xdr:rowOff>
                  </from>
                  <to>
                    <xdr:col>3</xdr:col>
                    <xdr:colOff>352425</xdr:colOff>
                    <xdr:row>22</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9000000}">
          <x14:formula1>
            <xm:f>リスト!$J$5:$J$8</xm:f>
          </x14:formula1>
          <xm:sqref>B19</xm:sqref>
        </x14:dataValidation>
        <x14:dataValidation type="list" allowBlank="1" showInputMessage="1" showErrorMessage="1" xr:uid="{00000000-0002-0000-0000-00000A000000}">
          <x14:formula1>
            <xm:f>リスト!$H$5:$H$6</xm:f>
          </x14:formula1>
          <xm:sqref>B18</xm:sqref>
        </x14:dataValidation>
        <x14:dataValidation type="list" allowBlank="1" showInputMessage="1" showErrorMessage="1" xr:uid="{00000000-0002-0000-0000-00000B000000}">
          <x14:formula1>
            <xm:f>リスト!$F$5:$F$6</xm:f>
          </x14:formula1>
          <xm:sqref>B13</xm:sqref>
        </x14:dataValidation>
        <x14:dataValidation type="list" allowBlank="1" showInputMessage="1" showErrorMessage="1" xr:uid="{00000000-0002-0000-0000-00000C000000}">
          <x14:formula1>
            <xm:f>リスト!$B$5:$B$16</xm:f>
          </x14:formula1>
          <xm:sqref>B12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D3:BN61"/>
  <sheetViews>
    <sheetView view="pageBreakPreview" zoomScale="75" zoomScaleNormal="75" zoomScaleSheetLayoutView="75" workbookViewId="0">
      <selection activeCell="F51" sqref="F51:BC57"/>
    </sheetView>
  </sheetViews>
  <sheetFormatPr defaultColWidth="9" defaultRowHeight="13.5"/>
  <cols>
    <col min="1" max="3" width="3.375" style="2" customWidth="1"/>
    <col min="4" max="4" width="3.25" style="2" customWidth="1"/>
    <col min="5" max="5" width="2.875" style="2" customWidth="1"/>
    <col min="6" max="64" width="3.375" style="2" customWidth="1"/>
    <col min="65" max="65" width="0.375" style="2" customWidth="1"/>
    <col min="66" max="66" width="1.375" style="2" customWidth="1"/>
    <col min="67" max="16384" width="9" style="2"/>
  </cols>
  <sheetData>
    <row r="3" spans="4:66">
      <c r="D3" s="1119" t="s">
        <v>19</v>
      </c>
      <c r="E3" s="1119"/>
      <c r="F3" s="1119"/>
      <c r="G3" s="1119"/>
      <c r="H3" s="1119"/>
      <c r="I3" s="1119"/>
    </row>
    <row r="4" spans="4:66" ht="3.75" customHeight="1" thickBot="1">
      <c r="BG4" s="20"/>
      <c r="BH4" s="21"/>
      <c r="BI4" s="21"/>
      <c r="BJ4" s="21"/>
      <c r="BK4" s="21"/>
      <c r="BL4" s="21"/>
      <c r="BM4" s="21"/>
      <c r="BN4" s="21"/>
    </row>
    <row r="5" spans="4:66" ht="14.25" customHeight="1">
      <c r="E5" s="1120" t="s">
        <v>20</v>
      </c>
      <c r="F5" s="1121"/>
      <c r="G5" s="1121"/>
      <c r="H5" s="1122"/>
      <c r="BG5" s="20"/>
      <c r="BH5" s="22"/>
      <c r="BI5" s="22"/>
      <c r="BJ5" s="22"/>
      <c r="BK5" s="22"/>
      <c r="BL5" s="23"/>
      <c r="BM5" s="23"/>
      <c r="BN5" s="23"/>
    </row>
    <row r="6" spans="4:66" ht="14.25" customHeight="1" thickBot="1">
      <c r="E6" s="1123"/>
      <c r="F6" s="1124"/>
      <c r="G6" s="1124"/>
      <c r="H6" s="1125"/>
      <c r="BG6" s="20"/>
      <c r="BH6" s="22"/>
      <c r="BI6" s="22"/>
      <c r="BK6" s="22"/>
      <c r="BL6" s="23"/>
      <c r="BM6" s="23"/>
      <c r="BN6" s="23"/>
    </row>
    <row r="7" spans="4:66" ht="14.25" customHeight="1">
      <c r="E7" s="1126" t="s">
        <v>21</v>
      </c>
      <c r="F7" s="1127"/>
      <c r="G7" s="1127"/>
      <c r="H7" s="1128"/>
      <c r="BH7" s="24"/>
      <c r="BI7" s="24"/>
      <c r="BJ7" s="24"/>
      <c r="BK7" s="24"/>
      <c r="BL7" s="23"/>
      <c r="BM7" s="23"/>
      <c r="BN7" s="23"/>
    </row>
    <row r="8" spans="4:66" ht="14.25" customHeight="1" thickBot="1">
      <c r="E8" s="1129"/>
      <c r="F8" s="1130"/>
      <c r="G8" s="1130"/>
      <c r="H8" s="1131"/>
      <c r="BH8" s="24"/>
      <c r="BI8" s="24"/>
      <c r="BJ8" s="24"/>
      <c r="BK8" s="24"/>
      <c r="BL8" s="23"/>
      <c r="BM8" s="23"/>
      <c r="BN8" s="23"/>
    </row>
    <row r="9" spans="4:66" ht="14.25" customHeight="1"/>
    <row r="10" spans="4:66" ht="14.25" customHeight="1"/>
    <row r="11" spans="4:66" ht="13.5" customHeight="1">
      <c r="L11" s="25"/>
      <c r="M11" s="25"/>
      <c r="N11" s="25"/>
      <c r="O11" s="25"/>
      <c r="P11" s="25"/>
      <c r="Q11" s="26"/>
      <c r="R11" s="26"/>
      <c r="S11" s="26"/>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6"/>
      <c r="AU11" s="26"/>
      <c r="AV11" s="26"/>
      <c r="AW11" s="25"/>
      <c r="AX11" s="25"/>
      <c r="AY11" s="25"/>
      <c r="AZ11" s="25"/>
      <c r="BA11" s="25"/>
      <c r="BB11" s="25"/>
      <c r="BC11" s="25"/>
      <c r="BD11" s="25"/>
      <c r="BE11" s="25"/>
      <c r="BF11" s="25"/>
    </row>
    <row r="12" spans="4:66" ht="13.5" customHeight="1">
      <c r="D12" s="1132" t="s">
        <v>22</v>
      </c>
      <c r="E12" s="1132"/>
      <c r="F12" s="1132"/>
      <c r="G12" s="1132"/>
      <c r="H12" s="1132"/>
      <c r="I12" s="1132"/>
      <c r="J12" s="1132"/>
      <c r="K12" s="1132"/>
      <c r="L12" s="1132"/>
      <c r="M12" s="1132"/>
      <c r="N12" s="1132"/>
      <c r="O12" s="1132"/>
      <c r="P12" s="1132"/>
      <c r="Q12" s="1132"/>
      <c r="R12" s="1132"/>
      <c r="S12" s="1132"/>
      <c r="T12" s="1132"/>
      <c r="U12" s="1132"/>
      <c r="V12" s="1132"/>
      <c r="W12" s="1132"/>
      <c r="X12" s="1132"/>
      <c r="Y12" s="1132"/>
      <c r="Z12" s="1132"/>
      <c r="AA12" s="1132"/>
      <c r="AB12" s="1132"/>
      <c r="AC12" s="1132"/>
      <c r="AD12" s="1132"/>
      <c r="AE12" s="1132"/>
      <c r="AF12" s="1132"/>
      <c r="AG12" s="1132"/>
      <c r="AH12" s="1132"/>
      <c r="AI12" s="1132"/>
      <c r="AJ12" s="1132"/>
      <c r="AK12" s="1132"/>
      <c r="AL12" s="1132"/>
      <c r="AM12" s="1132"/>
      <c r="AN12" s="1132"/>
      <c r="AO12" s="1132"/>
      <c r="AP12" s="1132"/>
      <c r="AQ12" s="1132"/>
      <c r="AR12" s="1132"/>
      <c r="AS12" s="1132"/>
      <c r="AT12" s="1132"/>
      <c r="AU12" s="1132"/>
      <c r="AV12" s="1132"/>
      <c r="AW12" s="1132"/>
      <c r="AX12" s="1132"/>
      <c r="AY12" s="1132"/>
      <c r="AZ12" s="1132"/>
      <c r="BA12" s="1132"/>
      <c r="BB12" s="1132"/>
      <c r="BC12" s="1132"/>
      <c r="BD12" s="1132"/>
      <c r="BE12" s="27"/>
      <c r="BF12" s="27"/>
      <c r="BG12" s="27"/>
      <c r="BH12" s="27"/>
      <c r="BI12" s="27"/>
      <c r="BJ12" s="27"/>
      <c r="BK12" s="27"/>
    </row>
    <row r="13" spans="4:66" ht="21" customHeight="1">
      <c r="D13" s="1132"/>
      <c r="E13" s="1132"/>
      <c r="F13" s="1132"/>
      <c r="G13" s="1132"/>
      <c r="H13" s="1132"/>
      <c r="I13" s="1132"/>
      <c r="J13" s="1132"/>
      <c r="K13" s="1132"/>
      <c r="L13" s="1132"/>
      <c r="M13" s="1132"/>
      <c r="N13" s="1132"/>
      <c r="O13" s="1132"/>
      <c r="P13" s="1132"/>
      <c r="Q13" s="1132"/>
      <c r="R13" s="1132"/>
      <c r="S13" s="1132"/>
      <c r="T13" s="1132"/>
      <c r="U13" s="1132"/>
      <c r="V13" s="1132"/>
      <c r="W13" s="1132"/>
      <c r="X13" s="1132"/>
      <c r="Y13" s="1132"/>
      <c r="Z13" s="1132"/>
      <c r="AA13" s="1132"/>
      <c r="AB13" s="1132"/>
      <c r="AC13" s="1132"/>
      <c r="AD13" s="1132"/>
      <c r="AE13" s="1132"/>
      <c r="AF13" s="1132"/>
      <c r="AG13" s="1132"/>
      <c r="AH13" s="1132"/>
      <c r="AI13" s="1132"/>
      <c r="AJ13" s="1132"/>
      <c r="AK13" s="1132"/>
      <c r="AL13" s="1132"/>
      <c r="AM13" s="1132"/>
      <c r="AN13" s="1132"/>
      <c r="AO13" s="1132"/>
      <c r="AP13" s="1132"/>
      <c r="AQ13" s="1132"/>
      <c r="AR13" s="1132"/>
      <c r="AS13" s="1132"/>
      <c r="AT13" s="1132"/>
      <c r="AU13" s="1132"/>
      <c r="AV13" s="1132"/>
      <c r="AW13" s="1132"/>
      <c r="AX13" s="1132"/>
      <c r="AY13" s="1132"/>
      <c r="AZ13" s="1132"/>
      <c r="BA13" s="1132"/>
      <c r="BB13" s="1132"/>
      <c r="BC13" s="1132"/>
      <c r="BD13" s="1132"/>
      <c r="BE13" s="27"/>
      <c r="BF13" s="27"/>
      <c r="BG13" s="27"/>
      <c r="BH13" s="27"/>
      <c r="BI13" s="27"/>
      <c r="BJ13" s="27"/>
      <c r="BK13" s="27"/>
    </row>
    <row r="14" spans="4:66" ht="13.5" customHeight="1">
      <c r="D14" s="1132"/>
      <c r="E14" s="1132"/>
      <c r="F14" s="1132"/>
      <c r="G14" s="1132"/>
      <c r="H14" s="1132"/>
      <c r="I14" s="1132"/>
      <c r="J14" s="1132"/>
      <c r="K14" s="1132"/>
      <c r="L14" s="1132"/>
      <c r="M14" s="1132"/>
      <c r="N14" s="1132"/>
      <c r="O14" s="1132"/>
      <c r="P14" s="1132"/>
      <c r="Q14" s="1132"/>
      <c r="R14" s="1132"/>
      <c r="S14" s="1132"/>
      <c r="T14" s="1132"/>
      <c r="U14" s="1132"/>
      <c r="V14" s="1132"/>
      <c r="W14" s="1132"/>
      <c r="X14" s="1132"/>
      <c r="Y14" s="1132"/>
      <c r="Z14" s="1132"/>
      <c r="AA14" s="1132"/>
      <c r="AB14" s="1132"/>
      <c r="AC14" s="1132"/>
      <c r="AD14" s="1132"/>
      <c r="AE14" s="1132"/>
      <c r="AF14" s="1132"/>
      <c r="AG14" s="1132"/>
      <c r="AH14" s="1132"/>
      <c r="AI14" s="1132"/>
      <c r="AJ14" s="1132"/>
      <c r="AK14" s="1132"/>
      <c r="AL14" s="1132"/>
      <c r="AM14" s="1132"/>
      <c r="AN14" s="1132"/>
      <c r="AO14" s="1132"/>
      <c r="AP14" s="1132"/>
      <c r="AQ14" s="1132"/>
      <c r="AR14" s="1132"/>
      <c r="AS14" s="1132"/>
      <c r="AT14" s="1132"/>
      <c r="AU14" s="1132"/>
      <c r="AV14" s="1132"/>
      <c r="AW14" s="1132"/>
      <c r="AX14" s="1132"/>
      <c r="AY14" s="1132"/>
      <c r="AZ14" s="1132"/>
      <c r="BA14" s="1132"/>
      <c r="BB14" s="1132"/>
      <c r="BC14" s="1132"/>
      <c r="BD14" s="1132"/>
      <c r="BE14" s="27"/>
      <c r="BF14" s="27"/>
      <c r="BG14" s="27"/>
      <c r="BH14" s="27"/>
      <c r="BI14" s="27"/>
      <c r="BJ14" s="27"/>
      <c r="BK14" s="27"/>
    </row>
    <row r="15" spans="4:66" ht="13.5" customHeight="1">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7"/>
      <c r="BF15" s="27"/>
      <c r="BG15" s="27"/>
      <c r="BH15" s="27"/>
      <c r="BI15" s="27"/>
      <c r="BJ15" s="27"/>
      <c r="BK15" s="27"/>
    </row>
    <row r="16" spans="4:66" ht="13.5" customHeight="1">
      <c r="D16" s="1133" t="str">
        <f>指標部入力!A8 &amp; "年産　" &amp; リスト!C21 &amp; "生産費統計調査票"</f>
        <v>年産　そば生産費統計調査票</v>
      </c>
      <c r="E16" s="1133"/>
      <c r="F16" s="1133"/>
      <c r="G16" s="1133"/>
      <c r="H16" s="1133"/>
      <c r="I16" s="1133"/>
      <c r="J16" s="1133"/>
      <c r="K16" s="1133"/>
      <c r="L16" s="1133"/>
      <c r="M16" s="1133"/>
      <c r="N16" s="1133"/>
      <c r="O16" s="1133"/>
      <c r="P16" s="1133"/>
      <c r="Q16" s="1133"/>
      <c r="R16" s="1133"/>
      <c r="S16" s="1133"/>
      <c r="T16" s="1133"/>
      <c r="U16" s="1133"/>
      <c r="V16" s="1133"/>
      <c r="W16" s="1133"/>
      <c r="X16" s="1133"/>
      <c r="Y16" s="1133"/>
      <c r="Z16" s="1133"/>
      <c r="AA16" s="1133"/>
      <c r="AB16" s="1133"/>
      <c r="AC16" s="1133"/>
      <c r="AD16" s="1133"/>
      <c r="AE16" s="1133"/>
      <c r="AF16" s="1133"/>
      <c r="AG16" s="1133"/>
      <c r="AH16" s="1133"/>
      <c r="AI16" s="1133"/>
      <c r="AJ16" s="1133"/>
      <c r="AK16" s="1133"/>
      <c r="AL16" s="1133"/>
      <c r="AM16" s="1133"/>
      <c r="AN16" s="1133"/>
      <c r="AO16" s="1133"/>
      <c r="AP16" s="1133"/>
      <c r="AQ16" s="1133"/>
      <c r="AR16" s="1133"/>
      <c r="AS16" s="1133"/>
      <c r="AT16" s="1133"/>
      <c r="AU16" s="1133"/>
      <c r="AV16" s="1133"/>
      <c r="AW16" s="1133"/>
      <c r="AX16" s="1133"/>
      <c r="AY16" s="1133"/>
      <c r="AZ16" s="1133"/>
      <c r="BA16" s="1133"/>
      <c r="BB16" s="1133"/>
      <c r="BC16" s="1133"/>
      <c r="BD16" s="1133"/>
      <c r="BE16" s="29"/>
      <c r="BF16" s="29"/>
      <c r="BG16" s="29"/>
      <c r="BH16" s="29"/>
      <c r="BI16" s="29"/>
      <c r="BJ16" s="29"/>
    </row>
    <row r="17" spans="4:66" ht="13.5" customHeight="1">
      <c r="D17" s="1133"/>
      <c r="E17" s="1133"/>
      <c r="F17" s="1133"/>
      <c r="G17" s="1133"/>
      <c r="H17" s="1133"/>
      <c r="I17" s="1133"/>
      <c r="J17" s="1133"/>
      <c r="K17" s="1133"/>
      <c r="L17" s="1133"/>
      <c r="M17" s="1133"/>
      <c r="N17" s="1133"/>
      <c r="O17" s="1133"/>
      <c r="P17" s="1133"/>
      <c r="Q17" s="1133"/>
      <c r="R17" s="1133"/>
      <c r="S17" s="1133"/>
      <c r="T17" s="1133"/>
      <c r="U17" s="1133"/>
      <c r="V17" s="1133"/>
      <c r="W17" s="1133"/>
      <c r="X17" s="1133"/>
      <c r="Y17" s="1133"/>
      <c r="Z17" s="1133"/>
      <c r="AA17" s="1133"/>
      <c r="AB17" s="1133"/>
      <c r="AC17" s="1133"/>
      <c r="AD17" s="1133"/>
      <c r="AE17" s="1133"/>
      <c r="AF17" s="1133"/>
      <c r="AG17" s="1133"/>
      <c r="AH17" s="1133"/>
      <c r="AI17" s="1133"/>
      <c r="AJ17" s="1133"/>
      <c r="AK17" s="1133"/>
      <c r="AL17" s="1133"/>
      <c r="AM17" s="1133"/>
      <c r="AN17" s="1133"/>
      <c r="AO17" s="1133"/>
      <c r="AP17" s="1133"/>
      <c r="AQ17" s="1133"/>
      <c r="AR17" s="1133"/>
      <c r="AS17" s="1133"/>
      <c r="AT17" s="1133"/>
      <c r="AU17" s="1133"/>
      <c r="AV17" s="1133"/>
      <c r="AW17" s="1133"/>
      <c r="AX17" s="1133"/>
      <c r="AY17" s="1133"/>
      <c r="AZ17" s="1133"/>
      <c r="BA17" s="1133"/>
      <c r="BB17" s="1133"/>
      <c r="BC17" s="1133"/>
      <c r="BD17" s="1133"/>
      <c r="BE17" s="29"/>
      <c r="BF17" s="29"/>
      <c r="BG17" s="29"/>
      <c r="BH17" s="29"/>
      <c r="BI17" s="29"/>
      <c r="BJ17" s="29"/>
      <c r="BK17" s="30"/>
    </row>
    <row r="18" spans="4:66" ht="13.5" customHeight="1">
      <c r="D18" s="1133"/>
      <c r="E18" s="1133"/>
      <c r="F18" s="1133"/>
      <c r="G18" s="1133"/>
      <c r="H18" s="1133"/>
      <c r="I18" s="1133"/>
      <c r="J18" s="1133"/>
      <c r="K18" s="1133"/>
      <c r="L18" s="1133"/>
      <c r="M18" s="1133"/>
      <c r="N18" s="1133"/>
      <c r="O18" s="1133"/>
      <c r="P18" s="1133"/>
      <c r="Q18" s="1133"/>
      <c r="R18" s="1133"/>
      <c r="S18" s="1133"/>
      <c r="T18" s="1133"/>
      <c r="U18" s="1133"/>
      <c r="V18" s="1133"/>
      <c r="W18" s="1133"/>
      <c r="X18" s="1133"/>
      <c r="Y18" s="1133"/>
      <c r="Z18" s="1133"/>
      <c r="AA18" s="1133"/>
      <c r="AB18" s="1133"/>
      <c r="AC18" s="1133"/>
      <c r="AD18" s="1133"/>
      <c r="AE18" s="1133"/>
      <c r="AF18" s="1133"/>
      <c r="AG18" s="1133"/>
      <c r="AH18" s="1133"/>
      <c r="AI18" s="1133"/>
      <c r="AJ18" s="1133"/>
      <c r="AK18" s="1133"/>
      <c r="AL18" s="1133"/>
      <c r="AM18" s="1133"/>
      <c r="AN18" s="1133"/>
      <c r="AO18" s="1133"/>
      <c r="AP18" s="1133"/>
      <c r="AQ18" s="1133"/>
      <c r="AR18" s="1133"/>
      <c r="AS18" s="1133"/>
      <c r="AT18" s="1133"/>
      <c r="AU18" s="1133"/>
      <c r="AV18" s="1133"/>
      <c r="AW18" s="1133"/>
      <c r="AX18" s="1133"/>
      <c r="AY18" s="1133"/>
      <c r="AZ18" s="1133"/>
      <c r="BA18" s="1133"/>
      <c r="BB18" s="1133"/>
      <c r="BC18" s="1133"/>
      <c r="BD18" s="1133"/>
      <c r="BE18" s="29"/>
      <c r="BF18" s="29"/>
      <c r="BG18" s="29"/>
      <c r="BH18" s="29"/>
      <c r="BI18" s="29"/>
      <c r="BJ18" s="29"/>
      <c r="BK18" s="31"/>
      <c r="BL18" s="31"/>
      <c r="BM18" s="31"/>
    </row>
    <row r="19" spans="4:66" ht="13.5" customHeight="1">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c r="BC19" s="32"/>
      <c r="BD19" s="32"/>
      <c r="BE19" s="29"/>
      <c r="BF19" s="29"/>
      <c r="BG19" s="29"/>
      <c r="BH19" s="29"/>
      <c r="BI19" s="29"/>
      <c r="BJ19" s="29"/>
      <c r="BK19" s="31"/>
      <c r="BL19" s="31"/>
      <c r="BM19" s="31"/>
    </row>
    <row r="20" spans="4:66" ht="13.5" customHeight="1">
      <c r="D20" s="1118" t="s">
        <v>23</v>
      </c>
      <c r="E20" s="1118"/>
      <c r="F20" s="1118"/>
      <c r="G20" s="1118"/>
      <c r="H20" s="1118"/>
      <c r="I20" s="1118"/>
      <c r="J20" s="1118"/>
      <c r="K20" s="1118"/>
      <c r="L20" s="1118"/>
      <c r="M20" s="1118"/>
      <c r="N20" s="1118"/>
      <c r="O20" s="1118"/>
      <c r="P20" s="1118"/>
      <c r="Q20" s="1118"/>
      <c r="R20" s="1118"/>
      <c r="S20" s="1118"/>
      <c r="T20" s="1118"/>
      <c r="U20" s="1118"/>
      <c r="V20" s="1118"/>
      <c r="W20" s="1118"/>
      <c r="X20" s="1118"/>
      <c r="Y20" s="1118"/>
      <c r="Z20" s="1118"/>
      <c r="AA20" s="1118"/>
      <c r="AB20" s="1118"/>
      <c r="AC20" s="1118"/>
      <c r="AD20" s="1118"/>
      <c r="AE20" s="1118"/>
      <c r="AF20" s="1118"/>
      <c r="AG20" s="1118"/>
      <c r="AH20" s="1118"/>
      <c r="AI20" s="1118"/>
      <c r="AJ20" s="1118"/>
      <c r="AK20" s="1118"/>
      <c r="AL20" s="1118"/>
      <c r="AM20" s="1118"/>
      <c r="AN20" s="1118"/>
      <c r="AO20" s="1118"/>
      <c r="AP20" s="1118"/>
      <c r="AQ20" s="1118"/>
      <c r="AR20" s="1118"/>
      <c r="AS20" s="1118"/>
      <c r="AT20" s="1118"/>
      <c r="AU20" s="1118"/>
      <c r="AV20" s="1118"/>
      <c r="AW20" s="1118"/>
      <c r="AX20" s="1118"/>
      <c r="AY20" s="1118"/>
      <c r="AZ20" s="1118"/>
      <c r="BA20" s="1118"/>
      <c r="BB20" s="1118"/>
      <c r="BC20" s="1118"/>
      <c r="BD20" s="1118"/>
      <c r="BE20" s="33"/>
      <c r="BF20" s="33"/>
      <c r="BG20" s="33"/>
      <c r="BH20" s="33"/>
      <c r="BI20" s="33"/>
      <c r="BJ20" s="33"/>
      <c r="BK20" s="33"/>
      <c r="BL20" s="31"/>
      <c r="BM20" s="31"/>
      <c r="BN20" s="31"/>
    </row>
    <row r="21" spans="4:66" ht="13.5" customHeight="1">
      <c r="D21" s="1118"/>
      <c r="E21" s="1118"/>
      <c r="F21" s="1118"/>
      <c r="G21" s="1118"/>
      <c r="H21" s="1118"/>
      <c r="I21" s="1118"/>
      <c r="J21" s="1118"/>
      <c r="K21" s="1118"/>
      <c r="L21" s="1118"/>
      <c r="M21" s="1118"/>
      <c r="N21" s="1118"/>
      <c r="O21" s="1118"/>
      <c r="P21" s="1118"/>
      <c r="Q21" s="1118"/>
      <c r="R21" s="1118"/>
      <c r="S21" s="1118"/>
      <c r="T21" s="1118"/>
      <c r="U21" s="1118"/>
      <c r="V21" s="1118"/>
      <c r="W21" s="1118"/>
      <c r="X21" s="1118"/>
      <c r="Y21" s="1118"/>
      <c r="Z21" s="1118"/>
      <c r="AA21" s="1118"/>
      <c r="AB21" s="1118"/>
      <c r="AC21" s="1118"/>
      <c r="AD21" s="1118"/>
      <c r="AE21" s="1118"/>
      <c r="AF21" s="1118"/>
      <c r="AG21" s="1118"/>
      <c r="AH21" s="1118"/>
      <c r="AI21" s="1118"/>
      <c r="AJ21" s="1118"/>
      <c r="AK21" s="1118"/>
      <c r="AL21" s="1118"/>
      <c r="AM21" s="1118"/>
      <c r="AN21" s="1118"/>
      <c r="AO21" s="1118"/>
      <c r="AP21" s="1118"/>
      <c r="AQ21" s="1118"/>
      <c r="AR21" s="1118"/>
      <c r="AS21" s="1118"/>
      <c r="AT21" s="1118"/>
      <c r="AU21" s="1118"/>
      <c r="AV21" s="1118"/>
      <c r="AW21" s="1118"/>
      <c r="AX21" s="1118"/>
      <c r="AY21" s="1118"/>
      <c r="AZ21" s="1118"/>
      <c r="BA21" s="1118"/>
      <c r="BB21" s="1118"/>
      <c r="BC21" s="1118"/>
      <c r="BD21" s="1118"/>
      <c r="BE21" s="33"/>
      <c r="BF21" s="33"/>
      <c r="BG21" s="33"/>
      <c r="BH21" s="33"/>
      <c r="BI21" s="33"/>
      <c r="BJ21" s="33"/>
      <c r="BK21" s="33"/>
      <c r="BL21" s="31"/>
      <c r="BM21" s="31"/>
      <c r="BN21" s="31"/>
    </row>
    <row r="22" spans="4:66" ht="13.5" customHeight="1">
      <c r="D22" s="1118"/>
      <c r="E22" s="1118"/>
      <c r="F22" s="1118"/>
      <c r="G22" s="1118"/>
      <c r="H22" s="1118"/>
      <c r="I22" s="1118"/>
      <c r="J22" s="1118"/>
      <c r="K22" s="1118"/>
      <c r="L22" s="1118"/>
      <c r="M22" s="1118"/>
      <c r="N22" s="1118"/>
      <c r="O22" s="1118"/>
      <c r="P22" s="1118"/>
      <c r="Q22" s="1118"/>
      <c r="R22" s="1118"/>
      <c r="S22" s="1118"/>
      <c r="T22" s="1118"/>
      <c r="U22" s="1118"/>
      <c r="V22" s="1118"/>
      <c r="W22" s="1118"/>
      <c r="X22" s="1118"/>
      <c r="Y22" s="1118"/>
      <c r="Z22" s="1118"/>
      <c r="AA22" s="1118"/>
      <c r="AB22" s="1118"/>
      <c r="AC22" s="1118"/>
      <c r="AD22" s="1118"/>
      <c r="AE22" s="1118"/>
      <c r="AF22" s="1118"/>
      <c r="AG22" s="1118"/>
      <c r="AH22" s="1118"/>
      <c r="AI22" s="1118"/>
      <c r="AJ22" s="1118"/>
      <c r="AK22" s="1118"/>
      <c r="AL22" s="1118"/>
      <c r="AM22" s="1118"/>
      <c r="AN22" s="1118"/>
      <c r="AO22" s="1118"/>
      <c r="AP22" s="1118"/>
      <c r="AQ22" s="1118"/>
      <c r="AR22" s="1118"/>
      <c r="AS22" s="1118"/>
      <c r="AT22" s="1118"/>
      <c r="AU22" s="1118"/>
      <c r="AV22" s="1118"/>
      <c r="AW22" s="1118"/>
      <c r="AX22" s="1118"/>
      <c r="AY22" s="1118"/>
      <c r="AZ22" s="1118"/>
      <c r="BA22" s="1118"/>
      <c r="BB22" s="1118"/>
      <c r="BC22" s="1118"/>
      <c r="BD22" s="1118"/>
      <c r="BE22" s="33"/>
      <c r="BF22" s="33"/>
      <c r="BG22" s="33"/>
      <c r="BH22" s="33"/>
      <c r="BI22" s="33"/>
      <c r="BJ22" s="33"/>
      <c r="BK22" s="33"/>
      <c r="BL22" s="31"/>
      <c r="BM22" s="31"/>
      <c r="BN22" s="31"/>
    </row>
    <row r="23" spans="4:66" ht="14.25" customHeight="1">
      <c r="BG23" s="20"/>
      <c r="BH23" s="21"/>
      <c r="BI23" s="21"/>
      <c r="BJ23" s="21"/>
      <c r="BK23" s="21"/>
      <c r="BL23" s="21"/>
      <c r="BM23" s="21"/>
      <c r="BN23" s="21"/>
    </row>
    <row r="24" spans="4:66" ht="13.5" customHeight="1">
      <c r="G24" s="20"/>
      <c r="H24" s="34"/>
      <c r="I24" s="34"/>
      <c r="J24" s="34"/>
      <c r="K24" s="34"/>
      <c r="L24" s="34"/>
      <c r="M24" s="34"/>
      <c r="N24" s="34"/>
      <c r="O24" s="34"/>
      <c r="P24" s="34"/>
      <c r="Q24" s="34"/>
      <c r="R24" s="34"/>
      <c r="S24" s="35"/>
      <c r="T24" s="35"/>
      <c r="U24" s="20"/>
      <c r="V24" s="20"/>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5"/>
      <c r="AW24" s="35"/>
      <c r="AX24" s="35"/>
      <c r="AY24" s="35"/>
      <c r="AZ24" s="35"/>
      <c r="BA24" s="35"/>
      <c r="BB24" s="35"/>
      <c r="BC24" s="20"/>
      <c r="BD24" s="20"/>
      <c r="BE24" s="20"/>
      <c r="BF24" s="20"/>
      <c r="BG24" s="20"/>
      <c r="BH24" s="20"/>
      <c r="BI24" s="20"/>
      <c r="BJ24" s="20"/>
    </row>
    <row r="25" spans="4:66">
      <c r="G25" s="20"/>
      <c r="H25" s="34"/>
      <c r="I25" s="34"/>
      <c r="J25" s="34"/>
      <c r="K25" s="34"/>
      <c r="L25" s="34"/>
      <c r="M25" s="34"/>
      <c r="N25" s="34"/>
      <c r="O25" s="34"/>
      <c r="P25" s="34"/>
      <c r="Q25" s="34"/>
      <c r="R25" s="34"/>
      <c r="S25" s="35"/>
      <c r="T25" s="35"/>
      <c r="U25" s="20"/>
      <c r="V25" s="20"/>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5"/>
      <c r="AW25" s="35"/>
      <c r="AX25" s="35"/>
      <c r="AY25" s="35"/>
      <c r="AZ25" s="35"/>
      <c r="BA25" s="35"/>
      <c r="BB25" s="35"/>
      <c r="BC25" s="20"/>
      <c r="BD25" s="20"/>
      <c r="BE25" s="20"/>
      <c r="BF25" s="20"/>
      <c r="BG25" s="20"/>
      <c r="BH25" s="20"/>
      <c r="BI25" s="20"/>
      <c r="BJ25" s="20"/>
    </row>
    <row r="26" spans="4:66" ht="13.5" customHeight="1">
      <c r="G26" s="20"/>
      <c r="H26" s="34"/>
      <c r="I26" s="34"/>
      <c r="J26" s="34"/>
      <c r="K26" s="34"/>
      <c r="L26" s="34"/>
      <c r="M26" s="34"/>
      <c r="N26" s="34"/>
      <c r="O26" s="34"/>
      <c r="P26" s="34"/>
      <c r="Q26" s="34"/>
      <c r="R26" s="34"/>
      <c r="S26" s="36"/>
      <c r="T26" s="36"/>
      <c r="U26" s="37"/>
      <c r="V26" s="37"/>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6"/>
      <c r="AW26" s="36"/>
      <c r="AX26" s="36"/>
      <c r="AY26" s="36"/>
      <c r="AZ26" s="36"/>
      <c r="BA26" s="36"/>
      <c r="BB26" s="36"/>
      <c r="BC26" s="37"/>
      <c r="BD26" s="37"/>
      <c r="BE26" s="37"/>
      <c r="BF26" s="37"/>
      <c r="BG26" s="37"/>
      <c r="BH26" s="37"/>
      <c r="BI26" s="37"/>
      <c r="BJ26" s="37"/>
    </row>
    <row r="27" spans="4:66">
      <c r="G27" s="20"/>
      <c r="H27" s="34"/>
      <c r="I27" s="34"/>
      <c r="J27" s="34"/>
      <c r="K27" s="34"/>
      <c r="L27" s="34"/>
      <c r="M27" s="34"/>
      <c r="N27" s="34"/>
      <c r="O27" s="34"/>
      <c r="P27" s="34"/>
      <c r="Q27" s="34"/>
      <c r="R27" s="34"/>
      <c r="S27" s="36"/>
      <c r="T27" s="36"/>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6"/>
      <c r="AW27" s="36"/>
      <c r="AX27" s="36"/>
      <c r="AY27" s="36"/>
      <c r="AZ27" s="36"/>
      <c r="BA27" s="36"/>
      <c r="BB27" s="36"/>
    </row>
    <row r="28" spans="4:66" ht="13.5" customHeight="1">
      <c r="G28" s="20"/>
      <c r="H28" s="37"/>
      <c r="I28" s="37"/>
      <c r="J28" s="37"/>
      <c r="K28" s="37"/>
      <c r="L28" s="37"/>
      <c r="M28" s="37"/>
      <c r="N28" s="37"/>
      <c r="O28" s="37"/>
      <c r="P28" s="37"/>
      <c r="Q28" s="37"/>
      <c r="R28" s="37"/>
      <c r="S28" s="36"/>
      <c r="T28" s="36"/>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6"/>
      <c r="AW28" s="36"/>
      <c r="AX28" s="36"/>
      <c r="AY28" s="36"/>
      <c r="AZ28" s="36"/>
      <c r="BA28" s="36"/>
      <c r="BB28" s="36"/>
    </row>
    <row r="29" spans="4:66" ht="13.5" customHeight="1">
      <c r="G29" s="20"/>
      <c r="H29" s="37"/>
      <c r="I29" s="37"/>
      <c r="J29" s="37"/>
      <c r="K29" s="37"/>
      <c r="L29" s="37"/>
      <c r="M29" s="37"/>
      <c r="N29" s="37"/>
      <c r="O29" s="37"/>
      <c r="P29" s="37"/>
      <c r="Q29" s="37"/>
      <c r="R29" s="37"/>
      <c r="S29" s="36"/>
      <c r="T29" s="36"/>
      <c r="W29" s="37"/>
      <c r="X29" s="37"/>
      <c r="Y29" s="37"/>
      <c r="Z29" s="37"/>
      <c r="AA29" s="37"/>
      <c r="AB29" s="37"/>
      <c r="AC29" s="37"/>
      <c r="AD29" s="37"/>
      <c r="AE29" s="37"/>
      <c r="AF29" s="37"/>
      <c r="AG29" s="37"/>
      <c r="AH29" s="37"/>
      <c r="AI29" s="37"/>
      <c r="AJ29" s="37"/>
      <c r="AK29" s="37"/>
      <c r="AL29" s="37"/>
      <c r="AM29" s="37"/>
      <c r="AN29" s="37"/>
      <c r="AO29" s="37"/>
      <c r="AP29" s="37"/>
      <c r="AQ29" s="37"/>
      <c r="AR29" s="37"/>
      <c r="AS29" s="37"/>
      <c r="AT29" s="37"/>
      <c r="AU29" s="37"/>
      <c r="AV29" s="36"/>
      <c r="AW29" s="36"/>
      <c r="AX29" s="36"/>
      <c r="AY29" s="36"/>
      <c r="AZ29" s="36"/>
      <c r="BA29" s="36"/>
      <c r="BB29" s="36"/>
    </row>
    <row r="30" spans="4:66" ht="13.5" customHeight="1">
      <c r="G30" s="20"/>
      <c r="H30" s="37"/>
      <c r="I30" s="37"/>
      <c r="J30" s="37"/>
      <c r="K30" s="37"/>
      <c r="L30" s="37"/>
      <c r="M30" s="37"/>
      <c r="N30" s="37"/>
      <c r="O30" s="37"/>
      <c r="P30" s="37"/>
      <c r="Q30" s="37"/>
      <c r="R30" s="37"/>
      <c r="S30" s="36"/>
      <c r="T30" s="36"/>
      <c r="W30" s="37"/>
      <c r="X30" s="37"/>
      <c r="Y30" s="37"/>
      <c r="Z30" s="37"/>
      <c r="AA30" s="37"/>
      <c r="AB30" s="37"/>
      <c r="AC30" s="37"/>
      <c r="AD30" s="37"/>
      <c r="AE30" s="37"/>
      <c r="AF30" s="37"/>
      <c r="AG30" s="37"/>
      <c r="AH30" s="37"/>
      <c r="AI30" s="37"/>
      <c r="AJ30" s="37"/>
      <c r="AK30" s="37"/>
      <c r="AL30" s="37"/>
      <c r="AM30" s="37"/>
      <c r="AN30" s="37"/>
      <c r="AO30" s="37"/>
      <c r="AP30" s="37"/>
      <c r="AQ30" s="37"/>
      <c r="AR30" s="37"/>
      <c r="AS30" s="37"/>
      <c r="AT30" s="37"/>
      <c r="AU30" s="37"/>
      <c r="AV30" s="36"/>
      <c r="AW30" s="36"/>
      <c r="AX30" s="36"/>
      <c r="AY30" s="36"/>
      <c r="AZ30" s="36"/>
      <c r="BA30" s="36"/>
      <c r="BB30" s="36"/>
    </row>
    <row r="31" spans="4:66" ht="13.5" customHeight="1">
      <c r="G31" s="20"/>
      <c r="H31" s="20"/>
      <c r="I31" s="20"/>
      <c r="J31" s="20"/>
      <c r="K31" s="20"/>
      <c r="L31" s="20"/>
      <c r="M31" s="20"/>
      <c r="N31" s="20"/>
      <c r="O31" s="20"/>
      <c r="P31" s="20"/>
      <c r="Q31" s="20"/>
      <c r="R31" s="20"/>
      <c r="S31" s="36"/>
      <c r="T31" s="36"/>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36"/>
      <c r="AW31" s="36"/>
      <c r="AX31" s="36"/>
      <c r="AY31" s="36"/>
      <c r="AZ31" s="36"/>
      <c r="BA31" s="36"/>
      <c r="BB31" s="36"/>
    </row>
    <row r="32" spans="4:66" ht="17.25">
      <c r="E32" s="38" t="s">
        <v>24</v>
      </c>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row>
    <row r="33" spans="5:56">
      <c r="E33" s="39"/>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row>
    <row r="34" spans="5:56" ht="17.25">
      <c r="E34" s="1144" t="s">
        <v>25</v>
      </c>
      <c r="F34" s="1145"/>
      <c r="G34" s="1146"/>
      <c r="H34" s="1146"/>
      <c r="I34" s="1146"/>
      <c r="J34" s="1146"/>
      <c r="K34" s="1146"/>
      <c r="L34" s="1146"/>
      <c r="M34" s="1146"/>
      <c r="N34" s="1146"/>
      <c r="O34" s="1146"/>
      <c r="P34" s="1146"/>
      <c r="Q34" s="1146"/>
      <c r="R34" s="1146"/>
      <c r="S34" s="1146"/>
      <c r="T34" s="1146"/>
      <c r="U34" s="1146"/>
      <c r="V34" s="1146"/>
      <c r="W34" s="1146"/>
      <c r="X34" s="1146"/>
      <c r="Y34" s="1146"/>
      <c r="Z34" s="1146"/>
      <c r="AA34" s="1146"/>
      <c r="AB34" s="1147"/>
      <c r="AC34" s="1147"/>
      <c r="AD34" s="1147"/>
      <c r="AE34" s="1147"/>
      <c r="AF34" s="1147"/>
      <c r="AG34" s="1147"/>
      <c r="AH34" s="1147"/>
      <c r="AI34" s="1147"/>
      <c r="AJ34" s="1147"/>
      <c r="AK34" s="1147"/>
      <c r="AL34" s="1147"/>
      <c r="AM34" s="1147"/>
      <c r="AN34" s="1147"/>
      <c r="AO34" s="1147"/>
      <c r="AP34" s="1147"/>
      <c r="AQ34" s="1147"/>
      <c r="AR34" s="1147"/>
      <c r="AS34" s="1147"/>
      <c r="AT34" s="1147"/>
      <c r="AU34" s="1147"/>
      <c r="AV34" s="1147"/>
      <c r="AW34" s="1147"/>
      <c r="AX34" s="1147"/>
      <c r="AY34" s="1147"/>
      <c r="AZ34" s="1147"/>
      <c r="BA34" s="1147"/>
      <c r="BB34" s="1147"/>
      <c r="BC34" s="1147"/>
      <c r="BD34" s="1147"/>
    </row>
    <row r="35" spans="5:56" ht="17.25">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row>
    <row r="36" spans="5:56" ht="17.25">
      <c r="E36" s="38" t="s">
        <v>26</v>
      </c>
      <c r="F36" s="39"/>
      <c r="G36" s="39"/>
      <c r="H36" s="39"/>
      <c r="I36" s="39"/>
      <c r="J36" s="1148"/>
      <c r="K36" s="1149"/>
      <c r="L36" s="1150"/>
      <c r="M36" s="38" t="s">
        <v>27</v>
      </c>
      <c r="P36" s="39"/>
      <c r="Q36" s="39"/>
      <c r="R36" s="39"/>
      <c r="S36" s="39"/>
      <c r="T36" s="39"/>
      <c r="U36" s="1151"/>
      <c r="V36" s="1152"/>
      <c r="W36" s="1153"/>
      <c r="X36" s="41" t="s">
        <v>28</v>
      </c>
      <c r="Y36" s="39"/>
      <c r="Z36" s="39"/>
      <c r="AA36" s="39"/>
      <c r="AB36" s="39"/>
      <c r="AC36" s="39"/>
      <c r="AD36" s="39"/>
    </row>
    <row r="38" spans="5:56" ht="17.25">
      <c r="E38" s="38" t="s">
        <v>29</v>
      </c>
      <c r="P38" s="39"/>
      <c r="Q38" s="1151"/>
      <c r="R38" s="1152"/>
      <c r="S38" s="1153"/>
      <c r="T38" s="42" t="s">
        <v>30</v>
      </c>
    </row>
    <row r="40" spans="5:56" ht="17.25">
      <c r="E40" s="38" t="s">
        <v>31</v>
      </c>
    </row>
    <row r="43" spans="5:56" ht="17.25">
      <c r="E43" s="38" t="s">
        <v>32</v>
      </c>
    </row>
    <row r="45" spans="5:56" ht="17.25">
      <c r="E45" s="38" t="s">
        <v>33</v>
      </c>
    </row>
    <row r="47" spans="5:56" ht="17.25">
      <c r="E47" s="38"/>
    </row>
    <row r="49" spans="4:55" ht="17.25">
      <c r="F49" s="43" t="s">
        <v>34</v>
      </c>
    </row>
    <row r="50" spans="4:55" ht="24" customHeight="1">
      <c r="F50" s="1154" t="s">
        <v>35</v>
      </c>
      <c r="G50" s="1155"/>
      <c r="H50" s="1155"/>
      <c r="I50" s="1155"/>
      <c r="J50" s="1155"/>
      <c r="K50" s="1155"/>
      <c r="L50" s="1155"/>
      <c r="M50" s="1155"/>
      <c r="N50" s="1155"/>
      <c r="O50" s="1155"/>
      <c r="P50" s="1155"/>
      <c r="Q50" s="1155"/>
      <c r="R50" s="1155"/>
      <c r="S50" s="1155"/>
      <c r="T50" s="1155"/>
      <c r="U50" s="1155"/>
      <c r="V50" s="1155"/>
      <c r="W50" s="1155"/>
      <c r="X50" s="1155"/>
      <c r="Y50" s="1155"/>
      <c r="Z50" s="1155"/>
      <c r="AA50" s="1155"/>
      <c r="AB50" s="1155"/>
      <c r="AC50" s="1155"/>
      <c r="AD50" s="1155"/>
      <c r="AE50" s="1155"/>
      <c r="AF50" s="1155"/>
      <c r="AG50" s="1155"/>
      <c r="AH50" s="1155"/>
      <c r="AI50" s="1155"/>
      <c r="AJ50" s="1155"/>
      <c r="AK50" s="1155"/>
      <c r="AL50" s="1155"/>
      <c r="AM50" s="1155"/>
      <c r="AN50" s="1155"/>
      <c r="AO50" s="1155"/>
      <c r="AP50" s="1155"/>
      <c r="AQ50" s="1155"/>
      <c r="AR50" s="1155"/>
      <c r="AS50" s="1155"/>
      <c r="AT50" s="1155"/>
      <c r="AU50" s="1155"/>
      <c r="AV50" s="1155"/>
      <c r="AW50" s="1155"/>
      <c r="AX50" s="1155"/>
      <c r="AY50" s="1155"/>
      <c r="AZ50" s="1155"/>
      <c r="BA50" s="1155"/>
      <c r="BB50" s="1155"/>
      <c r="BC50" s="1156"/>
    </row>
    <row r="51" spans="4:55">
      <c r="F51" s="1157"/>
      <c r="G51" s="1158"/>
      <c r="H51" s="1158"/>
      <c r="I51" s="1158"/>
      <c r="J51" s="1158"/>
      <c r="K51" s="1158"/>
      <c r="L51" s="1158"/>
      <c r="M51" s="1158"/>
      <c r="N51" s="1158"/>
      <c r="O51" s="1158"/>
      <c r="P51" s="1158"/>
      <c r="Q51" s="1158"/>
      <c r="R51" s="1158"/>
      <c r="S51" s="1158"/>
      <c r="T51" s="1158"/>
      <c r="U51" s="1158"/>
      <c r="V51" s="1158"/>
      <c r="W51" s="1158"/>
      <c r="X51" s="1158"/>
      <c r="Y51" s="1158"/>
      <c r="Z51" s="1158"/>
      <c r="AA51" s="1158"/>
      <c r="AB51" s="1158"/>
      <c r="AC51" s="1158"/>
      <c r="AD51" s="1158"/>
      <c r="AE51" s="1158"/>
      <c r="AF51" s="1158"/>
      <c r="AG51" s="1158"/>
      <c r="AH51" s="1158"/>
      <c r="AI51" s="1158"/>
      <c r="AJ51" s="1158"/>
      <c r="AK51" s="1158"/>
      <c r="AL51" s="1158"/>
      <c r="AM51" s="1158"/>
      <c r="AN51" s="1158"/>
      <c r="AO51" s="1158"/>
      <c r="AP51" s="1158"/>
      <c r="AQ51" s="1158"/>
      <c r="AR51" s="1158"/>
      <c r="AS51" s="1158"/>
      <c r="AT51" s="1158"/>
      <c r="AU51" s="1158"/>
      <c r="AV51" s="1158"/>
      <c r="AW51" s="1158"/>
      <c r="AX51" s="1158"/>
      <c r="AY51" s="1158"/>
      <c r="AZ51" s="1158"/>
      <c r="BA51" s="1158"/>
      <c r="BB51" s="1158"/>
      <c r="BC51" s="1159"/>
    </row>
    <row r="52" spans="4:55">
      <c r="F52" s="1157"/>
      <c r="G52" s="1158"/>
      <c r="H52" s="1158"/>
      <c r="I52" s="1158"/>
      <c r="J52" s="1158"/>
      <c r="K52" s="1158"/>
      <c r="L52" s="1158"/>
      <c r="M52" s="1158"/>
      <c r="N52" s="1158"/>
      <c r="O52" s="1158"/>
      <c r="P52" s="1158"/>
      <c r="Q52" s="1158"/>
      <c r="R52" s="1158"/>
      <c r="S52" s="1158"/>
      <c r="T52" s="1158"/>
      <c r="U52" s="1158"/>
      <c r="V52" s="1158"/>
      <c r="W52" s="1158"/>
      <c r="X52" s="1158"/>
      <c r="Y52" s="1158"/>
      <c r="Z52" s="1158"/>
      <c r="AA52" s="1158"/>
      <c r="AB52" s="1158"/>
      <c r="AC52" s="1158"/>
      <c r="AD52" s="1158"/>
      <c r="AE52" s="1158"/>
      <c r="AF52" s="1158"/>
      <c r="AG52" s="1158"/>
      <c r="AH52" s="1158"/>
      <c r="AI52" s="1158"/>
      <c r="AJ52" s="1158"/>
      <c r="AK52" s="1158"/>
      <c r="AL52" s="1158"/>
      <c r="AM52" s="1158"/>
      <c r="AN52" s="1158"/>
      <c r="AO52" s="1158"/>
      <c r="AP52" s="1158"/>
      <c r="AQ52" s="1158"/>
      <c r="AR52" s="1158"/>
      <c r="AS52" s="1158"/>
      <c r="AT52" s="1158"/>
      <c r="AU52" s="1158"/>
      <c r="AV52" s="1158"/>
      <c r="AW52" s="1158"/>
      <c r="AX52" s="1158"/>
      <c r="AY52" s="1158"/>
      <c r="AZ52" s="1158"/>
      <c r="BA52" s="1158"/>
      <c r="BB52" s="1158"/>
      <c r="BC52" s="1159"/>
    </row>
    <row r="53" spans="4:55">
      <c r="F53" s="1157"/>
      <c r="G53" s="1158"/>
      <c r="H53" s="1158"/>
      <c r="I53" s="1158"/>
      <c r="J53" s="1158"/>
      <c r="K53" s="1158"/>
      <c r="L53" s="1158"/>
      <c r="M53" s="1158"/>
      <c r="N53" s="1158"/>
      <c r="O53" s="1158"/>
      <c r="P53" s="1158"/>
      <c r="Q53" s="1158"/>
      <c r="R53" s="1158"/>
      <c r="S53" s="1158"/>
      <c r="T53" s="1158"/>
      <c r="U53" s="1158"/>
      <c r="V53" s="1158"/>
      <c r="W53" s="1158"/>
      <c r="X53" s="1158"/>
      <c r="Y53" s="1158"/>
      <c r="Z53" s="1158"/>
      <c r="AA53" s="1158"/>
      <c r="AB53" s="1158"/>
      <c r="AC53" s="1158"/>
      <c r="AD53" s="1158"/>
      <c r="AE53" s="1158"/>
      <c r="AF53" s="1158"/>
      <c r="AG53" s="1158"/>
      <c r="AH53" s="1158"/>
      <c r="AI53" s="1158"/>
      <c r="AJ53" s="1158"/>
      <c r="AK53" s="1158"/>
      <c r="AL53" s="1158"/>
      <c r="AM53" s="1158"/>
      <c r="AN53" s="1158"/>
      <c r="AO53" s="1158"/>
      <c r="AP53" s="1158"/>
      <c r="AQ53" s="1158"/>
      <c r="AR53" s="1158"/>
      <c r="AS53" s="1158"/>
      <c r="AT53" s="1158"/>
      <c r="AU53" s="1158"/>
      <c r="AV53" s="1158"/>
      <c r="AW53" s="1158"/>
      <c r="AX53" s="1158"/>
      <c r="AY53" s="1158"/>
      <c r="AZ53" s="1158"/>
      <c r="BA53" s="1158"/>
      <c r="BB53" s="1158"/>
      <c r="BC53" s="1159"/>
    </row>
    <row r="54" spans="4:55">
      <c r="F54" s="1157"/>
      <c r="G54" s="1158"/>
      <c r="H54" s="1158"/>
      <c r="I54" s="1158"/>
      <c r="J54" s="1158"/>
      <c r="K54" s="1158"/>
      <c r="L54" s="1158"/>
      <c r="M54" s="1158"/>
      <c r="N54" s="1158"/>
      <c r="O54" s="1158"/>
      <c r="P54" s="1158"/>
      <c r="Q54" s="1158"/>
      <c r="R54" s="1158"/>
      <c r="S54" s="1158"/>
      <c r="T54" s="1158"/>
      <c r="U54" s="1158"/>
      <c r="V54" s="1158"/>
      <c r="W54" s="1158"/>
      <c r="X54" s="1158"/>
      <c r="Y54" s="1158"/>
      <c r="Z54" s="1158"/>
      <c r="AA54" s="1158"/>
      <c r="AB54" s="1158"/>
      <c r="AC54" s="1158"/>
      <c r="AD54" s="1158"/>
      <c r="AE54" s="1158"/>
      <c r="AF54" s="1158"/>
      <c r="AG54" s="1158"/>
      <c r="AH54" s="1158"/>
      <c r="AI54" s="1158"/>
      <c r="AJ54" s="1158"/>
      <c r="AK54" s="1158"/>
      <c r="AL54" s="1158"/>
      <c r="AM54" s="1158"/>
      <c r="AN54" s="1158"/>
      <c r="AO54" s="1158"/>
      <c r="AP54" s="1158"/>
      <c r="AQ54" s="1158"/>
      <c r="AR54" s="1158"/>
      <c r="AS54" s="1158"/>
      <c r="AT54" s="1158"/>
      <c r="AU54" s="1158"/>
      <c r="AV54" s="1158"/>
      <c r="AW54" s="1158"/>
      <c r="AX54" s="1158"/>
      <c r="AY54" s="1158"/>
      <c r="AZ54" s="1158"/>
      <c r="BA54" s="1158"/>
      <c r="BB54" s="1158"/>
      <c r="BC54" s="1159"/>
    </row>
    <row r="55" spans="4:55">
      <c r="F55" s="1157"/>
      <c r="G55" s="1158"/>
      <c r="H55" s="1158"/>
      <c r="I55" s="1158"/>
      <c r="J55" s="1158"/>
      <c r="K55" s="1158"/>
      <c r="L55" s="1158"/>
      <c r="M55" s="1158"/>
      <c r="N55" s="1158"/>
      <c r="O55" s="1158"/>
      <c r="P55" s="1158"/>
      <c r="Q55" s="1158"/>
      <c r="R55" s="1158"/>
      <c r="S55" s="1158"/>
      <c r="T55" s="1158"/>
      <c r="U55" s="1158"/>
      <c r="V55" s="1158"/>
      <c r="W55" s="1158"/>
      <c r="X55" s="1158"/>
      <c r="Y55" s="1158"/>
      <c r="Z55" s="1158"/>
      <c r="AA55" s="1158"/>
      <c r="AB55" s="1158"/>
      <c r="AC55" s="1158"/>
      <c r="AD55" s="1158"/>
      <c r="AE55" s="1158"/>
      <c r="AF55" s="1158"/>
      <c r="AG55" s="1158"/>
      <c r="AH55" s="1158"/>
      <c r="AI55" s="1158"/>
      <c r="AJ55" s="1158"/>
      <c r="AK55" s="1158"/>
      <c r="AL55" s="1158"/>
      <c r="AM55" s="1158"/>
      <c r="AN55" s="1158"/>
      <c r="AO55" s="1158"/>
      <c r="AP55" s="1158"/>
      <c r="AQ55" s="1158"/>
      <c r="AR55" s="1158"/>
      <c r="AS55" s="1158"/>
      <c r="AT55" s="1158"/>
      <c r="AU55" s="1158"/>
      <c r="AV55" s="1158"/>
      <c r="AW55" s="1158"/>
      <c r="AX55" s="1158"/>
      <c r="AY55" s="1158"/>
      <c r="AZ55" s="1158"/>
      <c r="BA55" s="1158"/>
      <c r="BB55" s="1158"/>
      <c r="BC55" s="1159"/>
    </row>
    <row r="56" spans="4:55">
      <c r="F56" s="1157"/>
      <c r="G56" s="1158"/>
      <c r="H56" s="1158"/>
      <c r="I56" s="1158"/>
      <c r="J56" s="1158"/>
      <c r="K56" s="1158"/>
      <c r="L56" s="1158"/>
      <c r="M56" s="1158"/>
      <c r="N56" s="1158"/>
      <c r="O56" s="1158"/>
      <c r="P56" s="1158"/>
      <c r="Q56" s="1158"/>
      <c r="R56" s="1158"/>
      <c r="S56" s="1158"/>
      <c r="T56" s="1158"/>
      <c r="U56" s="1158"/>
      <c r="V56" s="1158"/>
      <c r="W56" s="1158"/>
      <c r="X56" s="1158"/>
      <c r="Y56" s="1158"/>
      <c r="Z56" s="1158"/>
      <c r="AA56" s="1158"/>
      <c r="AB56" s="1158"/>
      <c r="AC56" s="1158"/>
      <c r="AD56" s="1158"/>
      <c r="AE56" s="1158"/>
      <c r="AF56" s="1158"/>
      <c r="AG56" s="1158"/>
      <c r="AH56" s="1158"/>
      <c r="AI56" s="1158"/>
      <c r="AJ56" s="1158"/>
      <c r="AK56" s="1158"/>
      <c r="AL56" s="1158"/>
      <c r="AM56" s="1158"/>
      <c r="AN56" s="1158"/>
      <c r="AO56" s="1158"/>
      <c r="AP56" s="1158"/>
      <c r="AQ56" s="1158"/>
      <c r="AR56" s="1158"/>
      <c r="AS56" s="1158"/>
      <c r="AT56" s="1158"/>
      <c r="AU56" s="1158"/>
      <c r="AV56" s="1158"/>
      <c r="AW56" s="1158"/>
      <c r="AX56" s="1158"/>
      <c r="AY56" s="1158"/>
      <c r="AZ56" s="1158"/>
      <c r="BA56" s="1158"/>
      <c r="BB56" s="1158"/>
      <c r="BC56" s="1159"/>
    </row>
    <row r="57" spans="4:55">
      <c r="F57" s="1160"/>
      <c r="G57" s="1161"/>
      <c r="H57" s="1161"/>
      <c r="I57" s="1161"/>
      <c r="J57" s="1161"/>
      <c r="K57" s="1161"/>
      <c r="L57" s="1161"/>
      <c r="M57" s="1161"/>
      <c r="N57" s="1161"/>
      <c r="O57" s="1161"/>
      <c r="P57" s="1161"/>
      <c r="Q57" s="1161"/>
      <c r="R57" s="1161"/>
      <c r="S57" s="1161"/>
      <c r="T57" s="1161"/>
      <c r="U57" s="1161"/>
      <c r="V57" s="1161"/>
      <c r="W57" s="1161"/>
      <c r="X57" s="1161"/>
      <c r="Y57" s="1161"/>
      <c r="Z57" s="1161"/>
      <c r="AA57" s="1161"/>
      <c r="AB57" s="1161"/>
      <c r="AC57" s="1161"/>
      <c r="AD57" s="1161"/>
      <c r="AE57" s="1161"/>
      <c r="AF57" s="1161"/>
      <c r="AG57" s="1161"/>
      <c r="AH57" s="1161"/>
      <c r="AI57" s="1161"/>
      <c r="AJ57" s="1161"/>
      <c r="AK57" s="1161"/>
      <c r="AL57" s="1161"/>
      <c r="AM57" s="1161"/>
      <c r="AN57" s="1161"/>
      <c r="AO57" s="1161"/>
      <c r="AP57" s="1161"/>
      <c r="AQ57" s="1161"/>
      <c r="AR57" s="1161"/>
      <c r="AS57" s="1161"/>
      <c r="AT57" s="1161"/>
      <c r="AU57" s="1161"/>
      <c r="AV57" s="1161"/>
      <c r="AW57" s="1161"/>
      <c r="AX57" s="1161"/>
      <c r="AY57" s="1161"/>
      <c r="AZ57" s="1161"/>
      <c r="BA57" s="1161"/>
      <c r="BB57" s="1161"/>
      <c r="BC57" s="1162"/>
    </row>
    <row r="60" spans="4:55" ht="13.5" customHeight="1">
      <c r="D60" s="1134" t="s">
        <v>36</v>
      </c>
      <c r="E60" s="1135"/>
      <c r="F60" s="1135"/>
      <c r="G60" s="1135"/>
      <c r="H60" s="1138" t="str">
        <f>TEXT(指標部入力!C8,"00") &amp; " " &amp; TEXT(指標部入力!D8,"000") &amp; " " &amp; TEXT(指標部入力!E8,"00")  &amp;  " " &amp; TEXT(指標部入力!F8,"000")  &amp; " " &amp; TEXT(指標部入力!G8,"000") &amp; " " &amp; TEXT(指標部入力!H8,"000")</f>
        <v>00 000 00 000 000 000</v>
      </c>
      <c r="I60" s="1139"/>
      <c r="J60" s="1139"/>
      <c r="K60" s="1139"/>
      <c r="L60" s="1139"/>
      <c r="M60" s="1139"/>
      <c r="N60" s="1139"/>
      <c r="O60" s="1139"/>
      <c r="P60" s="1139"/>
      <c r="Q60" s="1139"/>
      <c r="R60" s="1139"/>
      <c r="S60" s="1139"/>
      <c r="T60" s="1139"/>
      <c r="U60" s="1139"/>
      <c r="V60" s="1139"/>
      <c r="W60" s="1140"/>
      <c r="Y60" s="44"/>
      <c r="Z60" s="44"/>
      <c r="AE60" s="34"/>
      <c r="AF60" s="34"/>
    </row>
    <row r="61" spans="4:55">
      <c r="D61" s="1136"/>
      <c r="E61" s="1137"/>
      <c r="F61" s="1137"/>
      <c r="G61" s="1137"/>
      <c r="H61" s="1141"/>
      <c r="I61" s="1142"/>
      <c r="J61" s="1142"/>
      <c r="K61" s="1142"/>
      <c r="L61" s="1142"/>
      <c r="M61" s="1142"/>
      <c r="N61" s="1142"/>
      <c r="O61" s="1142"/>
      <c r="P61" s="1142"/>
      <c r="Q61" s="1142"/>
      <c r="R61" s="1142"/>
      <c r="S61" s="1142"/>
      <c r="T61" s="1142"/>
      <c r="U61" s="1142"/>
      <c r="V61" s="1142"/>
      <c r="W61" s="1143"/>
      <c r="X61" s="45"/>
      <c r="Y61" s="44"/>
      <c r="Z61" s="44"/>
      <c r="AE61" s="34"/>
      <c r="AF61" s="34"/>
    </row>
  </sheetData>
  <sheetProtection sheet="1" objects="1" scenarios="1" selectLockedCells="1"/>
  <mergeCells count="14">
    <mergeCell ref="D60:G61"/>
    <mergeCell ref="H60:W61"/>
    <mergeCell ref="E34:BD34"/>
    <mergeCell ref="J36:L36"/>
    <mergeCell ref="U36:W36"/>
    <mergeCell ref="Q38:S38"/>
    <mergeCell ref="F50:BC50"/>
    <mergeCell ref="F51:BC57"/>
    <mergeCell ref="D20:BD22"/>
    <mergeCell ref="D3:I3"/>
    <mergeCell ref="E5:H6"/>
    <mergeCell ref="E7:H8"/>
    <mergeCell ref="D12:BD14"/>
    <mergeCell ref="D16:BD18"/>
  </mergeCells>
  <phoneticPr fontId="5"/>
  <dataValidations count="1">
    <dataValidation type="whole" imeMode="disabled" allowBlank="1" showErrorMessage="1" errorTitle="調査簿入力" error="年を入力して下さい。" sqref="AT11:AV11 Q11:S11" xr:uid="{00000000-0002-0000-0100-000000000000}">
      <formula1>1</formula1>
      <formula2>99</formula2>
    </dataValidation>
  </dataValidations>
  <printOptions horizontalCentered="1" verticalCentered="1"/>
  <pageMargins left="0.59055118110236227" right="0.59055118110236227" top="0.59055118110236227" bottom="0.59055118110236227" header="0" footer="0"/>
  <pageSetup paperSize="9" scale="63" firstPageNumber="2" orientation="landscape" cellComments="asDisplayed"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A1:BU130"/>
  <sheetViews>
    <sheetView showGridLines="0" view="pageBreakPreview" zoomScale="80" zoomScaleNormal="85" zoomScaleSheetLayoutView="80" workbookViewId="0"/>
  </sheetViews>
  <sheetFormatPr defaultColWidth="2.75" defaultRowHeight="14.25" customHeight="1"/>
  <cols>
    <col min="1" max="42" width="2.75" style="46" customWidth="1"/>
    <col min="43" max="71" width="2.75" style="46"/>
    <col min="72" max="72" width="0.875" style="46" customWidth="1"/>
    <col min="73" max="16384" width="2.75" style="46"/>
  </cols>
  <sheetData>
    <row r="1" spans="1:56" ht="18" customHeight="1">
      <c r="B1" s="47"/>
      <c r="C1" s="47"/>
      <c r="D1" s="47"/>
      <c r="E1" s="47"/>
      <c r="F1" s="47"/>
      <c r="G1" s="48"/>
      <c r="H1" s="48"/>
      <c r="I1" s="48"/>
      <c r="J1" s="48"/>
      <c r="K1" s="48"/>
      <c r="L1" s="48"/>
      <c r="M1" s="48"/>
      <c r="N1" s="48"/>
      <c r="Q1" s="49"/>
      <c r="AN1" s="47"/>
      <c r="AO1" s="50"/>
      <c r="AP1" s="50"/>
      <c r="AQ1" s="50"/>
      <c r="AR1" s="50"/>
      <c r="AS1" s="50"/>
      <c r="AT1" s="50"/>
      <c r="AU1" s="50"/>
      <c r="AV1" s="50"/>
      <c r="AW1" s="50"/>
      <c r="AX1" s="51"/>
      <c r="AY1" s="51"/>
      <c r="AZ1" s="51"/>
      <c r="BA1" s="51"/>
      <c r="BB1" s="52"/>
      <c r="BC1" s="53"/>
      <c r="BD1" s="53"/>
    </row>
    <row r="2" spans="1:56" ht="18.75" customHeight="1">
      <c r="A2" s="54" t="s">
        <v>37</v>
      </c>
      <c r="B2" s="55"/>
      <c r="C2" s="56"/>
      <c r="D2" s="57"/>
      <c r="E2" s="57"/>
      <c r="F2" s="57"/>
      <c r="G2" s="57"/>
      <c r="H2" s="51"/>
      <c r="I2" s="58"/>
      <c r="J2" s="59"/>
      <c r="K2" s="50"/>
      <c r="L2" s="59"/>
      <c r="M2" s="58"/>
      <c r="N2" s="58"/>
      <c r="O2" s="59"/>
      <c r="P2" s="50"/>
      <c r="Q2" s="59"/>
      <c r="R2" s="51"/>
      <c r="S2" s="51"/>
      <c r="T2" s="50"/>
      <c r="U2" s="50"/>
      <c r="V2" s="50"/>
      <c r="W2" s="50"/>
      <c r="X2" s="50"/>
      <c r="Y2" s="50"/>
      <c r="Z2" s="50"/>
      <c r="AA2" s="51"/>
      <c r="AB2" s="51"/>
      <c r="AC2" s="51"/>
      <c r="AD2" s="59"/>
      <c r="AE2" s="51"/>
      <c r="AF2" s="51"/>
      <c r="AG2" s="51"/>
      <c r="AH2" s="51"/>
      <c r="AI2" s="51"/>
      <c r="AJ2" s="51"/>
      <c r="AK2" s="51"/>
      <c r="AL2" s="51"/>
    </row>
    <row r="3" spans="1:56" ht="18.75" customHeight="1">
      <c r="A3" s="54" t="s">
        <v>38</v>
      </c>
      <c r="B3" s="60"/>
      <c r="C3" s="61"/>
      <c r="D3" s="62"/>
      <c r="E3" s="62"/>
      <c r="F3" s="62"/>
      <c r="G3" s="62"/>
      <c r="H3" s="51"/>
      <c r="I3" s="58"/>
      <c r="J3" s="58"/>
      <c r="K3" s="58"/>
      <c r="L3" s="58"/>
      <c r="M3" s="58"/>
      <c r="N3" s="58"/>
      <c r="O3" s="51"/>
      <c r="P3" s="51"/>
      <c r="Q3" s="51"/>
      <c r="R3" s="51"/>
      <c r="S3" s="51"/>
      <c r="T3" s="50"/>
      <c r="U3" s="50"/>
      <c r="V3" s="50"/>
      <c r="W3" s="50"/>
      <c r="X3" s="50"/>
      <c r="Y3" s="50"/>
      <c r="Z3" s="50"/>
      <c r="AA3" s="51"/>
      <c r="AB3" s="51"/>
      <c r="AC3" s="51"/>
      <c r="AD3" s="51"/>
      <c r="AE3" s="51"/>
      <c r="AF3" s="51"/>
      <c r="AG3" s="51"/>
      <c r="AH3" s="51"/>
      <c r="AI3" s="51"/>
      <c r="AJ3" s="51"/>
      <c r="AK3" s="51"/>
      <c r="AL3" s="51"/>
    </row>
    <row r="4" spans="1:56" ht="18.75" customHeight="1">
      <c r="B4" s="63"/>
      <c r="C4" s="61"/>
      <c r="D4" s="62"/>
      <c r="E4" s="62"/>
      <c r="F4" s="62"/>
      <c r="G4" s="62"/>
      <c r="H4" s="51"/>
      <c r="I4" s="58"/>
      <c r="J4" s="58"/>
      <c r="K4" s="58"/>
      <c r="L4" s="58"/>
      <c r="M4" s="58"/>
      <c r="N4" s="58"/>
      <c r="O4" s="51"/>
      <c r="P4" s="51"/>
      <c r="Q4" s="51"/>
      <c r="R4" s="51"/>
      <c r="S4" s="51"/>
      <c r="T4" s="50"/>
      <c r="U4" s="50"/>
      <c r="V4" s="50"/>
      <c r="W4" s="50"/>
      <c r="X4" s="50"/>
      <c r="Y4" s="50"/>
      <c r="Z4" s="50"/>
      <c r="AA4" s="51"/>
      <c r="AB4" s="51"/>
      <c r="AC4" s="51"/>
      <c r="AD4" s="51"/>
      <c r="AE4" s="51"/>
      <c r="AF4" s="51"/>
      <c r="AG4" s="51"/>
      <c r="AH4" s="51"/>
      <c r="AI4" s="51"/>
      <c r="AJ4" s="51"/>
      <c r="AK4" s="51"/>
      <c r="AL4" s="51"/>
    </row>
    <row r="5" spans="1:56" ht="18.75" customHeight="1">
      <c r="A5" s="54" t="s">
        <v>39</v>
      </c>
      <c r="B5" s="63"/>
      <c r="C5" s="61"/>
      <c r="D5" s="58"/>
      <c r="E5" s="64"/>
      <c r="F5" s="50"/>
      <c r="G5" s="50"/>
      <c r="H5" s="51"/>
      <c r="I5" s="58"/>
      <c r="J5" s="58"/>
      <c r="K5" s="58"/>
      <c r="L5" s="58"/>
      <c r="M5" s="58"/>
      <c r="N5" s="58"/>
      <c r="O5" s="51"/>
      <c r="P5" s="51"/>
      <c r="Q5" s="51"/>
      <c r="R5" s="51"/>
      <c r="S5" s="51"/>
      <c r="T5" s="51"/>
      <c r="U5" s="51"/>
      <c r="V5" s="50"/>
      <c r="W5" s="50"/>
      <c r="X5" s="50"/>
      <c r="Y5" s="50"/>
      <c r="Z5" s="50"/>
      <c r="AA5" s="51"/>
      <c r="AB5" s="51"/>
      <c r="AC5" s="51"/>
      <c r="AD5" s="51"/>
      <c r="AE5" s="51"/>
      <c r="AF5" s="51"/>
      <c r="AG5" s="51"/>
      <c r="AH5" s="51"/>
      <c r="AI5" s="51"/>
      <c r="AJ5" s="51"/>
      <c r="AK5" s="51"/>
      <c r="AL5" s="51"/>
    </row>
    <row r="6" spans="1:56" ht="18.75" customHeight="1">
      <c r="A6" s="54" t="s">
        <v>40</v>
      </c>
      <c r="B6" s="55"/>
      <c r="C6" s="56"/>
      <c r="D6" s="55"/>
      <c r="E6" s="65"/>
      <c r="F6" s="65"/>
      <c r="G6" s="65"/>
      <c r="H6" s="55"/>
      <c r="I6" s="58"/>
      <c r="J6" s="58"/>
      <c r="K6" s="58"/>
      <c r="L6" s="58"/>
      <c r="M6" s="58"/>
      <c r="N6" s="58"/>
      <c r="O6" s="51"/>
      <c r="P6" s="51"/>
      <c r="Q6" s="51"/>
      <c r="R6" s="51"/>
      <c r="S6" s="51"/>
      <c r="T6" s="51"/>
      <c r="U6" s="51"/>
      <c r="V6" s="50"/>
      <c r="W6" s="50"/>
      <c r="X6" s="50"/>
      <c r="Y6" s="50"/>
      <c r="Z6" s="50"/>
      <c r="AA6" s="51"/>
      <c r="AB6" s="51"/>
      <c r="AC6" s="51"/>
      <c r="AD6" s="51"/>
      <c r="AE6" s="51"/>
      <c r="AF6" s="51"/>
      <c r="AG6" s="51"/>
      <c r="AH6" s="51"/>
      <c r="AI6" s="51"/>
      <c r="AJ6" s="51"/>
      <c r="AK6" s="51"/>
      <c r="AL6" s="51"/>
    </row>
    <row r="7" spans="1:56" ht="18.75" customHeight="1">
      <c r="A7" s="54" t="s">
        <v>41</v>
      </c>
      <c r="B7" s="63"/>
      <c r="C7" s="61"/>
      <c r="D7" s="51"/>
      <c r="E7" s="64"/>
      <c r="F7" s="50"/>
      <c r="G7" s="50"/>
      <c r="H7" s="51"/>
      <c r="I7" s="58"/>
      <c r="J7" s="58"/>
      <c r="K7" s="58"/>
      <c r="L7" s="58"/>
      <c r="M7" s="58"/>
      <c r="N7" s="58"/>
      <c r="O7" s="51"/>
      <c r="P7" s="51"/>
      <c r="Q7" s="51"/>
      <c r="R7" s="51"/>
      <c r="S7" s="51"/>
      <c r="T7" s="50"/>
      <c r="U7" s="50"/>
      <c r="V7" s="50"/>
      <c r="W7" s="50"/>
      <c r="X7" s="50"/>
      <c r="Y7" s="50"/>
      <c r="Z7" s="50"/>
      <c r="AA7" s="51"/>
      <c r="AB7" s="51"/>
      <c r="AC7" s="51"/>
      <c r="AD7" s="51"/>
      <c r="AE7" s="51"/>
      <c r="AF7" s="51"/>
      <c r="AG7" s="51"/>
      <c r="AH7" s="51"/>
      <c r="AI7" s="51"/>
      <c r="AJ7" s="51"/>
      <c r="AK7" s="51"/>
      <c r="AL7" s="51"/>
    </row>
    <row r="8" spans="1:56" ht="18.75" customHeight="1">
      <c r="B8" s="63"/>
      <c r="C8" s="61"/>
      <c r="D8" s="51"/>
      <c r="E8" s="64"/>
      <c r="F8" s="50"/>
      <c r="G8" s="50"/>
      <c r="H8" s="51"/>
      <c r="I8" s="58"/>
      <c r="J8" s="58"/>
      <c r="K8" s="58"/>
      <c r="L8" s="58"/>
      <c r="M8" s="58"/>
      <c r="N8" s="58"/>
      <c r="O8" s="51"/>
      <c r="P8" s="51"/>
      <c r="Q8" s="51"/>
      <c r="R8" s="51"/>
      <c r="S8" s="51"/>
      <c r="T8" s="50"/>
      <c r="U8" s="50"/>
      <c r="V8" s="50"/>
      <c r="W8" s="50"/>
      <c r="X8" s="50"/>
      <c r="Y8" s="50"/>
      <c r="Z8" s="50"/>
      <c r="AA8" s="51"/>
      <c r="AB8" s="51"/>
      <c r="AC8" s="51"/>
      <c r="AD8" s="51"/>
      <c r="AE8" s="51"/>
      <c r="AF8" s="51"/>
      <c r="AG8" s="51"/>
      <c r="AH8" s="51"/>
      <c r="AI8" s="51"/>
      <c r="AJ8" s="51"/>
      <c r="AK8" s="51"/>
      <c r="AL8" s="51"/>
    </row>
    <row r="9" spans="1:56" ht="18.75" customHeight="1">
      <c r="B9" s="63"/>
      <c r="C9" s="66" t="s">
        <v>42</v>
      </c>
      <c r="D9" s="51"/>
      <c r="E9" s="64"/>
      <c r="F9" s="50"/>
      <c r="G9" s="50"/>
      <c r="H9" s="51"/>
      <c r="I9" s="58"/>
      <c r="J9" s="58"/>
      <c r="K9" s="58"/>
      <c r="L9" s="58"/>
      <c r="M9" s="58"/>
      <c r="N9" s="58"/>
      <c r="O9" s="51"/>
      <c r="P9" s="51"/>
      <c r="Q9" s="51"/>
      <c r="R9" s="51"/>
      <c r="S9" s="51"/>
      <c r="T9" s="50"/>
      <c r="U9" s="50"/>
      <c r="V9" s="50"/>
      <c r="W9" s="50"/>
      <c r="X9" s="50"/>
      <c r="Y9" s="50"/>
      <c r="Z9" s="50"/>
      <c r="AA9" s="51"/>
      <c r="AB9" s="51"/>
      <c r="AC9" s="51"/>
      <c r="AD9" s="51"/>
      <c r="AE9" s="51"/>
      <c r="AF9" s="51"/>
      <c r="AG9" s="51"/>
      <c r="AH9" s="51"/>
      <c r="AI9" s="51"/>
      <c r="AJ9" s="51"/>
      <c r="AK9" s="51"/>
      <c r="AL9" s="51"/>
    </row>
    <row r="10" spans="1:56" ht="18.75" customHeight="1">
      <c r="A10" s="54"/>
      <c r="B10" s="63"/>
      <c r="C10" s="66" t="s">
        <v>43</v>
      </c>
      <c r="D10" s="51"/>
      <c r="E10" s="50"/>
      <c r="F10" s="50"/>
      <c r="G10" s="50"/>
      <c r="H10" s="51"/>
      <c r="I10" s="58"/>
      <c r="J10" s="58"/>
      <c r="K10" s="58"/>
      <c r="L10" s="58"/>
      <c r="M10" s="58"/>
      <c r="N10" s="58"/>
      <c r="O10" s="51"/>
      <c r="P10" s="51"/>
      <c r="Q10" s="51"/>
      <c r="R10" s="51"/>
      <c r="S10" s="51"/>
      <c r="T10" s="50"/>
      <c r="U10" s="50"/>
      <c r="V10" s="50"/>
      <c r="W10" s="50"/>
      <c r="X10" s="50"/>
      <c r="Y10" s="50"/>
      <c r="Z10" s="50"/>
      <c r="AA10" s="51"/>
      <c r="AB10" s="51"/>
      <c r="AC10" s="51"/>
      <c r="AD10" s="51"/>
      <c r="AE10" s="51"/>
      <c r="AF10" s="51"/>
      <c r="AG10" s="51"/>
      <c r="AH10" s="51"/>
      <c r="AI10" s="51"/>
      <c r="AJ10" s="51"/>
      <c r="AK10" s="51"/>
      <c r="AL10" s="51"/>
    </row>
    <row r="11" spans="1:56" ht="18.75" customHeight="1">
      <c r="A11" s="51"/>
      <c r="B11" s="63"/>
      <c r="C11" s="66" t="s">
        <v>44</v>
      </c>
      <c r="D11" s="50"/>
      <c r="E11" s="50"/>
      <c r="F11" s="50"/>
      <c r="G11" s="50"/>
      <c r="H11" s="51"/>
      <c r="I11" s="58"/>
      <c r="J11" s="58"/>
      <c r="K11" s="58"/>
      <c r="L11" s="58"/>
      <c r="M11" s="58"/>
      <c r="N11" s="58"/>
      <c r="O11" s="51"/>
      <c r="P11" s="51"/>
      <c r="Q11" s="51"/>
      <c r="R11" s="51"/>
      <c r="S11" s="51"/>
      <c r="T11" s="51"/>
      <c r="U11" s="51"/>
      <c r="V11" s="50"/>
      <c r="W11" s="50"/>
      <c r="X11" s="50"/>
      <c r="Y11" s="50"/>
      <c r="Z11" s="50"/>
      <c r="AA11" s="51"/>
      <c r="AB11" s="51"/>
      <c r="AC11" s="51"/>
      <c r="AD11" s="51"/>
      <c r="AE11" s="51"/>
      <c r="AF11" s="51"/>
      <c r="AG11" s="51"/>
      <c r="AH11" s="51"/>
      <c r="AI11" s="51"/>
      <c r="AJ11" s="51"/>
      <c r="AK11" s="51"/>
      <c r="AL11" s="51"/>
    </row>
    <row r="12" spans="1:56" ht="18.75" customHeight="1">
      <c r="A12" s="51"/>
      <c r="B12" s="63"/>
      <c r="C12" s="42"/>
      <c r="D12" s="50"/>
      <c r="E12" s="50"/>
      <c r="F12" s="50"/>
      <c r="G12" s="50"/>
      <c r="H12" s="51"/>
      <c r="I12" s="58"/>
      <c r="J12" s="58"/>
      <c r="K12" s="58"/>
      <c r="L12" s="58"/>
      <c r="M12" s="58"/>
      <c r="N12" s="58"/>
      <c r="O12" s="51"/>
      <c r="P12" s="51"/>
      <c r="Q12" s="51"/>
      <c r="R12" s="51"/>
      <c r="S12" s="51"/>
      <c r="T12" s="50"/>
      <c r="U12" s="50"/>
      <c r="V12" s="50"/>
      <c r="W12" s="50"/>
      <c r="X12" s="50"/>
      <c r="Y12" s="50"/>
      <c r="Z12" s="50"/>
      <c r="AA12" s="51"/>
      <c r="AB12" s="51"/>
      <c r="AC12" s="51"/>
      <c r="AD12" s="51"/>
      <c r="AE12" s="51"/>
      <c r="AF12" s="51"/>
      <c r="AG12" s="51"/>
      <c r="AH12" s="51"/>
      <c r="AI12" s="51"/>
      <c r="AJ12" s="51"/>
      <c r="AK12" s="51"/>
      <c r="AL12" s="51"/>
    </row>
    <row r="13" spans="1:56" ht="18.75" customHeight="1">
      <c r="A13" s="51"/>
      <c r="B13" s="63"/>
      <c r="C13" s="42" t="s">
        <v>45</v>
      </c>
      <c r="D13" s="50"/>
      <c r="E13" s="50"/>
      <c r="F13" s="50"/>
      <c r="G13" s="50"/>
      <c r="H13" s="58"/>
      <c r="I13" s="58"/>
      <c r="J13" s="58"/>
      <c r="K13" s="58"/>
      <c r="L13" s="58"/>
      <c r="M13" s="58"/>
      <c r="N13" s="58"/>
      <c r="O13" s="51"/>
      <c r="P13" s="51"/>
      <c r="Q13" s="51"/>
      <c r="R13" s="51"/>
      <c r="S13" s="51"/>
      <c r="T13" s="50"/>
      <c r="U13" s="50"/>
      <c r="V13" s="50"/>
      <c r="W13" s="50"/>
      <c r="X13" s="50"/>
      <c r="Y13" s="50"/>
      <c r="Z13" s="50"/>
      <c r="AA13" s="51"/>
      <c r="AB13" s="51"/>
      <c r="AC13" s="51"/>
      <c r="AD13" s="51"/>
      <c r="AE13" s="51"/>
      <c r="AF13" s="51"/>
      <c r="AG13" s="51"/>
      <c r="AH13" s="51"/>
      <c r="AI13" s="51"/>
      <c r="AJ13" s="51"/>
      <c r="AK13" s="51"/>
      <c r="AL13" s="51"/>
    </row>
    <row r="14" spans="1:56" ht="18.75" customHeight="1">
      <c r="A14" s="51"/>
      <c r="B14" s="63"/>
      <c r="C14" s="47" t="s">
        <v>46</v>
      </c>
      <c r="D14" s="63"/>
      <c r="E14" s="63"/>
      <c r="F14" s="63"/>
      <c r="G14" s="58"/>
      <c r="H14" s="58"/>
      <c r="I14" s="58"/>
      <c r="J14" s="58"/>
      <c r="K14" s="58"/>
      <c r="L14" s="58"/>
      <c r="M14" s="58"/>
      <c r="N14" s="58"/>
      <c r="O14" s="51"/>
      <c r="P14" s="51"/>
      <c r="Q14" s="51"/>
      <c r="R14" s="51"/>
      <c r="S14" s="51"/>
      <c r="T14" s="51"/>
      <c r="U14" s="51"/>
      <c r="V14" s="51"/>
      <c r="W14" s="51"/>
      <c r="X14" s="51"/>
      <c r="Y14" s="51"/>
      <c r="Z14" s="51"/>
      <c r="AA14" s="51"/>
      <c r="AB14" s="51"/>
      <c r="AC14" s="51"/>
      <c r="AD14" s="51"/>
      <c r="AE14" s="51"/>
      <c r="AF14" s="51"/>
      <c r="AG14" s="51"/>
      <c r="AH14" s="51"/>
      <c r="AI14" s="51"/>
      <c r="AJ14" s="51"/>
      <c r="AK14" s="51"/>
      <c r="AL14" s="51"/>
    </row>
    <row r="15" spans="1:56" ht="18.75" customHeight="1">
      <c r="A15" s="51"/>
      <c r="B15" s="63"/>
      <c r="C15" s="47"/>
      <c r="D15" s="63"/>
      <c r="E15" s="63"/>
      <c r="F15" s="63"/>
      <c r="G15" s="58"/>
      <c r="H15" s="58"/>
      <c r="I15" s="58"/>
      <c r="J15" s="58"/>
      <c r="K15" s="58"/>
      <c r="L15" s="58"/>
      <c r="M15" s="58"/>
      <c r="N15" s="58"/>
      <c r="O15" s="51"/>
      <c r="P15" s="51"/>
      <c r="Q15" s="51"/>
      <c r="R15" s="51"/>
      <c r="S15" s="51"/>
      <c r="T15" s="51"/>
      <c r="U15" s="51"/>
      <c r="V15" s="51"/>
      <c r="W15" s="51"/>
      <c r="X15" s="51"/>
      <c r="Y15" s="51"/>
      <c r="Z15" s="51"/>
      <c r="AA15" s="51"/>
      <c r="AB15" s="51"/>
      <c r="AC15" s="51"/>
      <c r="AD15" s="51"/>
      <c r="AE15" s="51"/>
      <c r="AF15" s="51"/>
      <c r="AG15" s="51"/>
      <c r="AH15" s="51"/>
      <c r="AI15" s="51"/>
      <c r="AJ15" s="51"/>
      <c r="AK15" s="51"/>
      <c r="AL15" s="51"/>
    </row>
    <row r="16" spans="1:56" ht="18.75" customHeight="1">
      <c r="A16" s="51"/>
      <c r="B16" s="63"/>
      <c r="C16" s="63"/>
      <c r="D16" s="63"/>
      <c r="E16" s="63"/>
      <c r="F16" s="63"/>
      <c r="G16" s="58"/>
      <c r="H16" s="58"/>
      <c r="I16" s="58"/>
      <c r="J16" s="58"/>
      <c r="K16" s="58"/>
      <c r="L16" s="58"/>
      <c r="M16" s="58"/>
      <c r="N16" s="58"/>
      <c r="O16" s="51"/>
      <c r="P16" s="51"/>
      <c r="Q16" s="51"/>
      <c r="R16" s="51"/>
      <c r="S16" s="51"/>
      <c r="T16" s="51"/>
      <c r="U16" s="51"/>
      <c r="V16" s="51"/>
      <c r="W16" s="51"/>
      <c r="X16" s="51"/>
      <c r="Y16" s="51"/>
      <c r="Z16" s="51"/>
      <c r="AA16" s="51"/>
      <c r="AB16" s="51"/>
      <c r="AC16" s="51"/>
      <c r="AD16" s="51"/>
      <c r="AE16" s="51"/>
    </row>
    <row r="17" spans="1:38" ht="18.75" customHeight="1">
      <c r="A17" s="67" t="s">
        <v>47</v>
      </c>
      <c r="B17" s="63"/>
      <c r="C17" s="61"/>
      <c r="D17" s="62"/>
      <c r="E17" s="62"/>
      <c r="F17" s="62"/>
      <c r="G17" s="62"/>
      <c r="H17" s="51"/>
      <c r="I17" s="58"/>
      <c r="J17" s="58"/>
      <c r="K17" s="58"/>
      <c r="L17" s="58"/>
      <c r="M17" s="58"/>
      <c r="N17" s="58"/>
      <c r="O17" s="51"/>
      <c r="P17" s="51"/>
      <c r="Q17" s="51"/>
      <c r="R17" s="51"/>
      <c r="S17" s="51"/>
      <c r="T17" s="50"/>
      <c r="U17" s="50"/>
      <c r="V17" s="50"/>
      <c r="W17" s="50"/>
      <c r="X17" s="50"/>
      <c r="Y17" s="50"/>
      <c r="Z17" s="50"/>
      <c r="AA17" s="51"/>
      <c r="AB17" s="51"/>
      <c r="AC17" s="51"/>
      <c r="AD17" s="51"/>
      <c r="AE17" s="51"/>
    </row>
    <row r="18" spans="1:38" ht="18.75" customHeight="1">
      <c r="A18" s="67"/>
      <c r="B18" s="63"/>
      <c r="C18" s="61"/>
      <c r="D18" s="62"/>
      <c r="E18" s="62"/>
      <c r="F18" s="62"/>
      <c r="G18" s="62"/>
      <c r="H18" s="51"/>
      <c r="I18" s="58"/>
      <c r="J18" s="58"/>
      <c r="K18" s="58"/>
      <c r="L18" s="58"/>
      <c r="M18" s="58"/>
      <c r="N18" s="58"/>
      <c r="O18" s="51"/>
      <c r="P18" s="51"/>
      <c r="Q18" s="51"/>
      <c r="R18" s="51"/>
      <c r="S18" s="51"/>
      <c r="T18" s="50"/>
      <c r="U18" s="50"/>
      <c r="V18" s="50"/>
      <c r="W18" s="50"/>
      <c r="X18" s="50"/>
      <c r="Y18" s="50"/>
      <c r="Z18" s="50"/>
      <c r="AA18" s="51"/>
      <c r="AB18" s="51"/>
      <c r="AC18" s="51"/>
      <c r="AD18" s="51"/>
      <c r="AE18" s="51"/>
      <c r="AF18" s="51"/>
      <c r="AG18" s="51"/>
      <c r="AH18" s="51"/>
      <c r="AI18" s="51"/>
      <c r="AJ18" s="51"/>
    </row>
    <row r="19" spans="1:38" ht="18.75" customHeight="1">
      <c r="A19" s="54" t="s">
        <v>48</v>
      </c>
      <c r="B19" s="63"/>
      <c r="C19" s="61"/>
      <c r="D19" s="62"/>
      <c r="E19" s="62"/>
      <c r="F19" s="62"/>
      <c r="G19" s="62"/>
      <c r="H19" s="51"/>
      <c r="I19" s="58"/>
      <c r="J19" s="58"/>
      <c r="K19" s="58"/>
      <c r="L19" s="58"/>
      <c r="M19" s="58"/>
      <c r="N19" s="58"/>
      <c r="O19" s="51"/>
      <c r="P19" s="51"/>
      <c r="Q19" s="51"/>
      <c r="R19" s="51"/>
      <c r="S19" s="51"/>
      <c r="T19" s="50"/>
      <c r="U19" s="50"/>
      <c r="V19" s="50"/>
      <c r="W19" s="50"/>
      <c r="X19" s="50"/>
      <c r="Y19" s="50"/>
      <c r="Z19" s="50"/>
      <c r="AA19" s="51"/>
      <c r="AB19" s="51"/>
      <c r="AC19" s="51"/>
      <c r="AD19" s="51"/>
      <c r="AE19" s="51"/>
      <c r="AF19" s="51"/>
      <c r="AG19" s="51"/>
      <c r="AH19" s="51"/>
      <c r="AI19" s="51"/>
      <c r="AJ19" s="51"/>
      <c r="AK19" s="51"/>
      <c r="AL19" s="51"/>
    </row>
    <row r="20" spans="1:38" ht="18.75" customHeight="1">
      <c r="A20" s="54" t="s">
        <v>49</v>
      </c>
      <c r="B20" s="63"/>
      <c r="C20" s="61"/>
      <c r="D20" s="58"/>
      <c r="E20" s="64"/>
      <c r="F20" s="50"/>
      <c r="G20" s="50"/>
      <c r="H20" s="51"/>
      <c r="I20" s="58"/>
      <c r="J20" s="58"/>
      <c r="K20" s="58"/>
      <c r="L20" s="58"/>
      <c r="M20" s="58"/>
      <c r="N20" s="58"/>
      <c r="O20" s="51"/>
      <c r="P20" s="51"/>
      <c r="Q20" s="51"/>
      <c r="R20" s="51"/>
      <c r="S20" s="51"/>
      <c r="T20" s="51"/>
      <c r="U20" s="51"/>
      <c r="V20" s="50"/>
      <c r="W20" s="50"/>
      <c r="X20" s="50"/>
      <c r="Y20" s="50"/>
      <c r="Z20" s="50"/>
      <c r="AA20" s="51"/>
      <c r="AB20" s="51"/>
      <c r="AC20" s="51"/>
      <c r="AD20" s="51"/>
      <c r="AE20" s="51"/>
      <c r="AF20" s="51"/>
      <c r="AG20" s="51"/>
      <c r="AH20" s="51"/>
      <c r="AI20" s="51"/>
      <c r="AJ20" s="51"/>
      <c r="AK20" s="51"/>
      <c r="AL20" s="51"/>
    </row>
    <row r="21" spans="1:38" ht="18.75" customHeight="1">
      <c r="A21" s="63" t="s">
        <v>50</v>
      </c>
      <c r="C21" s="63"/>
      <c r="D21" s="63"/>
      <c r="E21" s="63"/>
      <c r="F21" s="63"/>
      <c r="G21" s="58"/>
      <c r="H21" s="58"/>
      <c r="I21" s="58"/>
      <c r="J21" s="58"/>
      <c r="K21" s="58"/>
      <c r="L21" s="58"/>
      <c r="M21" s="58"/>
      <c r="N21" s="58"/>
      <c r="O21" s="51"/>
      <c r="P21" s="51"/>
      <c r="Q21" s="51"/>
      <c r="R21" s="51"/>
      <c r="S21" s="51"/>
      <c r="T21" s="51"/>
      <c r="U21" s="51"/>
      <c r="V21" s="51"/>
      <c r="W21" s="51"/>
      <c r="X21" s="51"/>
      <c r="Y21" s="51"/>
      <c r="Z21" s="51"/>
      <c r="AA21" s="51"/>
      <c r="AB21" s="51"/>
      <c r="AC21" s="51"/>
      <c r="AD21" s="51"/>
      <c r="AE21" s="51"/>
      <c r="AF21" s="51"/>
      <c r="AG21" s="51"/>
      <c r="AH21" s="51"/>
      <c r="AI21" s="51"/>
      <c r="AJ21" s="51"/>
      <c r="AK21" s="51"/>
      <c r="AL21" s="51"/>
    </row>
    <row r="22" spans="1:38" ht="18.75" customHeight="1">
      <c r="A22" s="51"/>
      <c r="B22" s="63"/>
      <c r="C22" s="63"/>
      <c r="D22" s="63"/>
      <c r="E22" s="63"/>
      <c r="F22" s="63"/>
      <c r="G22" s="58"/>
      <c r="H22" s="58"/>
      <c r="I22" s="58"/>
      <c r="J22" s="58"/>
      <c r="K22" s="58"/>
      <c r="L22" s="58"/>
      <c r="M22" s="58"/>
      <c r="N22" s="58"/>
      <c r="O22" s="51"/>
      <c r="P22" s="51"/>
      <c r="Q22" s="51"/>
      <c r="R22" s="51"/>
      <c r="S22" s="51"/>
      <c r="T22" s="51"/>
      <c r="U22" s="51"/>
      <c r="V22" s="51"/>
      <c r="W22" s="51"/>
      <c r="X22" s="51"/>
      <c r="Y22" s="51"/>
      <c r="Z22" s="51"/>
      <c r="AA22" s="51"/>
      <c r="AB22" s="51"/>
      <c r="AC22" s="51"/>
      <c r="AD22" s="51"/>
      <c r="AE22" s="51"/>
      <c r="AF22" s="51"/>
      <c r="AG22" s="51"/>
      <c r="AH22" s="51"/>
      <c r="AI22" s="51"/>
      <c r="AJ22" s="51"/>
      <c r="AK22" s="51"/>
      <c r="AL22" s="51"/>
    </row>
    <row r="23" spans="1:38" ht="18.75" customHeight="1">
      <c r="A23" s="54" t="s">
        <v>51</v>
      </c>
      <c r="B23" s="63"/>
      <c r="C23" s="63"/>
      <c r="D23" s="63"/>
      <c r="E23" s="63"/>
      <c r="F23" s="63"/>
      <c r="G23" s="58"/>
      <c r="H23" s="58"/>
      <c r="I23" s="58"/>
      <c r="J23" s="58"/>
      <c r="K23" s="58"/>
      <c r="L23" s="58"/>
      <c r="M23" s="58"/>
      <c r="N23" s="58"/>
      <c r="O23" s="51"/>
      <c r="P23" s="51"/>
      <c r="Q23" s="51"/>
      <c r="R23" s="51"/>
      <c r="S23" s="51"/>
      <c r="T23" s="51"/>
      <c r="U23" s="51"/>
      <c r="V23" s="51"/>
      <c r="W23" s="51"/>
      <c r="X23" s="51"/>
      <c r="Y23" s="51"/>
      <c r="Z23" s="51"/>
      <c r="AA23" s="51"/>
      <c r="AB23" s="51"/>
      <c r="AC23" s="51"/>
      <c r="AD23" s="51"/>
      <c r="AE23" s="51"/>
      <c r="AF23" s="51"/>
      <c r="AG23" s="51"/>
      <c r="AH23" s="51"/>
      <c r="AI23" s="51"/>
      <c r="AJ23" s="51"/>
      <c r="AK23" s="51"/>
      <c r="AL23" s="51"/>
    </row>
    <row r="24" spans="1:38" ht="18.75" customHeight="1">
      <c r="A24" s="51"/>
      <c r="B24" s="63" t="s">
        <v>52</v>
      </c>
      <c r="C24" s="63"/>
      <c r="D24" s="63"/>
      <c r="E24" s="63"/>
      <c r="F24" s="63"/>
      <c r="G24" s="58"/>
      <c r="H24" s="58"/>
      <c r="I24" s="58"/>
      <c r="J24" s="58"/>
      <c r="K24" s="58"/>
      <c r="L24" s="58"/>
      <c r="M24" s="58"/>
      <c r="N24" s="58"/>
      <c r="O24" s="51"/>
      <c r="P24" s="51"/>
      <c r="Q24" s="51"/>
      <c r="R24" s="51"/>
      <c r="S24" s="51"/>
      <c r="T24" s="51"/>
      <c r="U24" s="51"/>
      <c r="V24" s="51"/>
      <c r="W24" s="51"/>
      <c r="X24" s="51"/>
      <c r="Y24" s="51"/>
      <c r="Z24" s="51"/>
      <c r="AA24" s="51"/>
      <c r="AB24" s="51"/>
      <c r="AC24" s="51"/>
      <c r="AD24" s="51"/>
      <c r="AE24" s="51"/>
      <c r="AF24" s="51"/>
      <c r="AG24" s="51"/>
      <c r="AH24" s="51"/>
      <c r="AI24" s="51"/>
      <c r="AJ24" s="51"/>
      <c r="AK24" s="51"/>
      <c r="AL24" s="51"/>
    </row>
    <row r="25" spans="1:38" ht="18.75" customHeight="1">
      <c r="A25" s="55"/>
      <c r="B25" s="42" t="s">
        <v>53</v>
      </c>
      <c r="H25" s="55"/>
      <c r="I25" s="55"/>
      <c r="J25" s="55"/>
      <c r="K25" s="55"/>
      <c r="L25" s="55"/>
      <c r="M25" s="55"/>
      <c r="N25" s="55"/>
      <c r="O25" s="51"/>
      <c r="P25" s="51"/>
      <c r="Q25" s="51"/>
      <c r="R25" s="51"/>
      <c r="S25" s="68"/>
      <c r="T25" s="51"/>
      <c r="U25" s="51"/>
      <c r="V25" s="51"/>
      <c r="W25" s="51"/>
      <c r="X25" s="51"/>
      <c r="Y25" s="51"/>
      <c r="Z25" s="51"/>
      <c r="AA25" s="51"/>
      <c r="AB25" s="51"/>
      <c r="AC25" s="51"/>
      <c r="AD25" s="51"/>
      <c r="AE25" s="51"/>
      <c r="AF25" s="51"/>
      <c r="AG25" s="51"/>
      <c r="AH25" s="51"/>
      <c r="AI25" s="51"/>
      <c r="AJ25" s="51"/>
      <c r="AK25" s="51"/>
      <c r="AL25" s="51"/>
    </row>
    <row r="26" spans="1:38" ht="18.75" customHeight="1">
      <c r="A26" s="55"/>
      <c r="B26" s="42"/>
      <c r="H26" s="55"/>
      <c r="I26" s="55"/>
      <c r="J26" s="55"/>
      <c r="K26" s="55"/>
      <c r="L26" s="55"/>
      <c r="M26" s="55"/>
      <c r="N26" s="55"/>
      <c r="O26" s="51"/>
      <c r="P26" s="51"/>
      <c r="Q26" s="51"/>
      <c r="R26" s="51"/>
      <c r="S26" s="68"/>
      <c r="T26" s="51"/>
      <c r="U26" s="51"/>
      <c r="V26" s="51"/>
      <c r="W26" s="51"/>
      <c r="X26" s="51"/>
      <c r="Y26" s="51"/>
      <c r="Z26" s="51"/>
      <c r="AA26" s="51"/>
      <c r="AB26" s="51"/>
      <c r="AC26" s="51"/>
      <c r="AD26" s="51"/>
      <c r="AE26" s="51"/>
      <c r="AF26" s="51"/>
      <c r="AG26" s="51"/>
      <c r="AH26" s="51"/>
      <c r="AI26" s="51"/>
      <c r="AJ26" s="51"/>
      <c r="AK26" s="51"/>
      <c r="AL26" s="51"/>
    </row>
    <row r="27" spans="1:38" ht="18.75" customHeight="1">
      <c r="A27" s="55"/>
      <c r="B27" s="42"/>
      <c r="C27" s="42" t="s">
        <v>54</v>
      </c>
      <c r="H27" s="55"/>
      <c r="I27" s="55"/>
      <c r="J27" s="55"/>
      <c r="K27" s="55"/>
      <c r="L27" s="55"/>
      <c r="M27" s="55"/>
      <c r="N27" s="55"/>
      <c r="O27" s="51"/>
      <c r="P27" s="51"/>
      <c r="Q27" s="51"/>
      <c r="R27" s="51"/>
      <c r="S27" s="68"/>
      <c r="T27" s="51"/>
      <c r="U27" s="51"/>
      <c r="V27" s="51"/>
      <c r="W27" s="51"/>
      <c r="X27" s="51"/>
      <c r="Y27" s="51"/>
      <c r="Z27" s="51"/>
      <c r="AA27" s="51"/>
      <c r="AB27" s="51"/>
      <c r="AC27" s="51"/>
      <c r="AD27" s="51"/>
      <c r="AE27" s="51"/>
      <c r="AF27" s="51"/>
      <c r="AG27" s="51"/>
      <c r="AH27" s="51"/>
      <c r="AI27" s="51"/>
      <c r="AJ27" s="51"/>
      <c r="AK27" s="51"/>
      <c r="AL27" s="51"/>
    </row>
    <row r="28" spans="1:38" ht="18.75" customHeight="1" thickBot="1">
      <c r="A28" s="55"/>
      <c r="B28" s="42"/>
      <c r="C28" s="42"/>
      <c r="H28" s="55"/>
      <c r="I28" s="55"/>
      <c r="J28" s="55"/>
      <c r="K28" s="55"/>
      <c r="L28" s="55"/>
      <c r="M28" s="55"/>
      <c r="N28" s="55"/>
      <c r="O28" s="51"/>
      <c r="P28" s="51"/>
      <c r="Q28" s="51"/>
      <c r="R28" s="51"/>
      <c r="S28" s="68"/>
      <c r="T28" s="51"/>
      <c r="U28" s="51"/>
      <c r="V28" s="51"/>
      <c r="W28" s="51"/>
      <c r="X28" s="51"/>
      <c r="Y28" s="51"/>
      <c r="Z28" s="51"/>
      <c r="AA28" s="51"/>
      <c r="AB28" s="51"/>
      <c r="AC28" s="51"/>
      <c r="AD28" s="51"/>
      <c r="AE28" s="51"/>
      <c r="AF28" s="51"/>
      <c r="AG28" s="51"/>
      <c r="AH28" s="51"/>
      <c r="AI28" s="51"/>
      <c r="AJ28" s="51"/>
      <c r="AK28" s="51"/>
      <c r="AL28" s="51"/>
    </row>
    <row r="29" spans="1:38" ht="18.75" customHeight="1">
      <c r="A29" s="55"/>
      <c r="B29" s="42"/>
      <c r="C29" s="1163" t="s">
        <v>55</v>
      </c>
      <c r="D29" s="1164"/>
      <c r="E29" s="1164"/>
      <c r="F29" s="1164"/>
      <c r="G29" s="1164"/>
      <c r="H29" s="1164"/>
      <c r="I29" s="1165"/>
      <c r="J29" s="1169" t="s">
        <v>56</v>
      </c>
      <c r="K29" s="1170"/>
      <c r="L29" s="1170"/>
      <c r="M29" s="1170"/>
      <c r="N29" s="1170"/>
      <c r="O29" s="1171"/>
      <c r="P29" s="1170" t="s">
        <v>57</v>
      </c>
      <c r="Q29" s="1170"/>
      <c r="R29" s="1170"/>
      <c r="S29" s="1170"/>
      <c r="T29" s="1170"/>
      <c r="U29" s="1170"/>
      <c r="V29" s="1170"/>
      <c r="W29" s="1171"/>
      <c r="X29" s="1175" t="s">
        <v>58</v>
      </c>
      <c r="Y29" s="1176"/>
      <c r="Z29" s="1177"/>
      <c r="AA29" s="51"/>
      <c r="AB29" s="51"/>
      <c r="AC29" s="51"/>
      <c r="AD29" s="51"/>
      <c r="AE29" s="51"/>
      <c r="AF29" s="51"/>
      <c r="AG29" s="51"/>
      <c r="AH29" s="51"/>
      <c r="AI29" s="51"/>
      <c r="AJ29" s="51"/>
      <c r="AK29" s="51"/>
      <c r="AL29" s="51"/>
    </row>
    <row r="30" spans="1:38" ht="18.75" customHeight="1" thickBot="1">
      <c r="A30" s="55"/>
      <c r="B30" s="42"/>
      <c r="C30" s="1166"/>
      <c r="D30" s="1167"/>
      <c r="E30" s="1167"/>
      <c r="F30" s="1167"/>
      <c r="G30" s="1167"/>
      <c r="H30" s="1167"/>
      <c r="I30" s="1168"/>
      <c r="J30" s="1172"/>
      <c r="K30" s="1173"/>
      <c r="L30" s="1173"/>
      <c r="M30" s="1173"/>
      <c r="N30" s="1173"/>
      <c r="O30" s="1174"/>
      <c r="P30" s="1173"/>
      <c r="Q30" s="1173"/>
      <c r="R30" s="1173"/>
      <c r="S30" s="1173"/>
      <c r="T30" s="1173"/>
      <c r="U30" s="1173"/>
      <c r="V30" s="1173"/>
      <c r="W30" s="1174"/>
      <c r="X30" s="1178"/>
      <c r="Y30" s="1179"/>
      <c r="Z30" s="1180"/>
      <c r="AA30" s="51"/>
      <c r="AB30" s="51"/>
      <c r="AC30" s="51"/>
      <c r="AD30" s="51"/>
      <c r="AE30" s="51"/>
      <c r="AF30" s="51"/>
      <c r="AG30" s="51"/>
      <c r="AH30" s="51"/>
      <c r="AI30" s="51"/>
      <c r="AJ30" s="51"/>
      <c r="AK30" s="51"/>
      <c r="AL30" s="51"/>
    </row>
    <row r="31" spans="1:38" ht="18.75" customHeight="1" thickTop="1">
      <c r="A31" s="51"/>
      <c r="B31" s="51"/>
      <c r="C31" s="69"/>
      <c r="D31" s="1181" t="s">
        <v>59</v>
      </c>
      <c r="E31" s="1181"/>
      <c r="F31" s="1181"/>
      <c r="G31" s="1181"/>
      <c r="H31" s="1181"/>
      <c r="I31" s="70"/>
      <c r="J31" s="1183" t="s">
        <v>60</v>
      </c>
      <c r="K31" s="1184"/>
      <c r="L31" s="1184"/>
      <c r="M31" s="1184"/>
      <c r="N31" s="1184"/>
      <c r="O31" s="1185"/>
      <c r="P31" s="1189">
        <v>20000</v>
      </c>
      <c r="Q31" s="1190"/>
      <c r="R31" s="1190"/>
      <c r="S31" s="1190"/>
      <c r="T31" s="1190"/>
      <c r="U31" s="1190"/>
      <c r="V31" s="1190"/>
      <c r="W31" s="1191"/>
      <c r="X31" s="1195" t="s">
        <v>61</v>
      </c>
      <c r="Y31" s="1196"/>
      <c r="Z31" s="1197"/>
      <c r="AA31" s="51"/>
      <c r="AB31" s="51"/>
      <c r="AC31" s="51"/>
      <c r="AD31" s="51"/>
      <c r="AE31" s="51"/>
      <c r="AF31" s="51"/>
      <c r="AG31" s="51"/>
      <c r="AH31" s="51"/>
      <c r="AI31" s="51"/>
      <c r="AJ31" s="51"/>
      <c r="AK31" s="51"/>
      <c r="AL31" s="51"/>
    </row>
    <row r="32" spans="1:38" ht="18.75" customHeight="1" thickBot="1">
      <c r="A32" s="51"/>
      <c r="B32" s="51"/>
      <c r="C32" s="71"/>
      <c r="D32" s="1182"/>
      <c r="E32" s="1182"/>
      <c r="F32" s="1182"/>
      <c r="G32" s="1182"/>
      <c r="H32" s="1182"/>
      <c r="I32" s="72"/>
      <c r="J32" s="1186"/>
      <c r="K32" s="1187"/>
      <c r="L32" s="1187"/>
      <c r="M32" s="1187"/>
      <c r="N32" s="1187"/>
      <c r="O32" s="1188"/>
      <c r="P32" s="1192"/>
      <c r="Q32" s="1193"/>
      <c r="R32" s="1193"/>
      <c r="S32" s="1193"/>
      <c r="T32" s="1193"/>
      <c r="U32" s="1193"/>
      <c r="V32" s="1193"/>
      <c r="W32" s="1194"/>
      <c r="X32" s="1198"/>
      <c r="Y32" s="1199"/>
      <c r="Z32" s="1200"/>
      <c r="AA32" s="51"/>
      <c r="AB32" s="51"/>
      <c r="AC32" s="51"/>
      <c r="AD32" s="51"/>
      <c r="AE32" s="51"/>
      <c r="AF32" s="51"/>
      <c r="AG32" s="51"/>
      <c r="AH32" s="51"/>
      <c r="AI32" s="51"/>
      <c r="AJ32" s="51"/>
      <c r="AK32" s="51"/>
      <c r="AL32" s="51"/>
    </row>
    <row r="33" spans="1:73" ht="18.75" customHeight="1">
      <c r="A33" s="51"/>
      <c r="B33" s="51"/>
      <c r="C33" s="73"/>
      <c r="D33" s="73"/>
      <c r="E33" s="73"/>
      <c r="F33" s="73"/>
      <c r="G33" s="73"/>
      <c r="H33" s="73"/>
      <c r="I33" s="73"/>
      <c r="J33" s="74"/>
      <c r="K33" s="75"/>
      <c r="L33" s="75"/>
      <c r="M33" s="76"/>
      <c r="N33" s="76"/>
      <c r="O33" s="76"/>
      <c r="P33" s="20"/>
      <c r="Q33" s="20"/>
      <c r="R33" s="20"/>
      <c r="S33" s="77"/>
      <c r="T33" s="77"/>
      <c r="U33" s="78"/>
      <c r="V33" s="78"/>
      <c r="W33" s="78"/>
      <c r="X33" s="77"/>
      <c r="Y33" s="77"/>
      <c r="Z33" s="77"/>
      <c r="AA33" s="51"/>
      <c r="AB33" s="51"/>
      <c r="AC33" s="51"/>
      <c r="AD33" s="51"/>
      <c r="AE33" s="51"/>
      <c r="AF33" s="51"/>
      <c r="AG33" s="51"/>
      <c r="AH33" s="51"/>
      <c r="AI33" s="51"/>
      <c r="AJ33" s="51"/>
      <c r="AK33" s="51"/>
      <c r="AL33" s="51"/>
    </row>
    <row r="34" spans="1:73" ht="18.75" customHeight="1">
      <c r="A34" s="51"/>
      <c r="B34" s="51"/>
      <c r="C34" s="73"/>
      <c r="D34" s="73"/>
      <c r="E34" s="73"/>
      <c r="F34" s="73"/>
      <c r="G34" s="73"/>
      <c r="H34" s="73"/>
      <c r="I34" s="73"/>
      <c r="J34" s="74"/>
      <c r="K34" s="75"/>
      <c r="L34" s="75"/>
      <c r="M34" s="76"/>
      <c r="N34" s="76"/>
      <c r="O34" s="76"/>
      <c r="P34" s="20"/>
      <c r="Q34" s="20"/>
      <c r="R34" s="20"/>
      <c r="S34" s="77"/>
      <c r="T34" s="77"/>
      <c r="U34" s="78"/>
      <c r="V34" s="78"/>
      <c r="W34" s="78"/>
      <c r="X34" s="77"/>
      <c r="Y34" s="77"/>
      <c r="Z34" s="77"/>
      <c r="AA34" s="51"/>
      <c r="AB34" s="51"/>
      <c r="AC34" s="51"/>
      <c r="AD34" s="51"/>
      <c r="AE34" s="51"/>
      <c r="AF34" s="51"/>
      <c r="AG34" s="51"/>
      <c r="AH34" s="51"/>
      <c r="AI34" s="51"/>
      <c r="AJ34" s="51"/>
      <c r="AK34" s="51"/>
      <c r="AL34" s="51"/>
    </row>
    <row r="35" spans="1:73" ht="18.75" customHeight="1">
      <c r="A35" s="55"/>
      <c r="C35" s="42" t="s">
        <v>62</v>
      </c>
    </row>
    <row r="36" spans="1:73" ht="18.75" customHeight="1">
      <c r="A36" s="55"/>
      <c r="C36" s="42" t="s">
        <v>63</v>
      </c>
    </row>
    <row r="37" spans="1:73" ht="18.75" customHeight="1">
      <c r="B37" s="51"/>
      <c r="C37" s="42" t="s">
        <v>64</v>
      </c>
      <c r="D37" s="42"/>
      <c r="I37" s="55"/>
      <c r="J37" s="55"/>
      <c r="K37" s="55"/>
      <c r="L37" s="55"/>
      <c r="M37" s="55"/>
      <c r="N37" s="55"/>
      <c r="O37" s="55"/>
      <c r="P37" s="51"/>
      <c r="Q37" s="51"/>
      <c r="R37" s="51"/>
      <c r="S37" s="51"/>
      <c r="T37" s="68"/>
      <c r="U37" s="51"/>
      <c r="V37" s="51"/>
      <c r="W37" s="51"/>
      <c r="X37" s="51"/>
      <c r="Y37" s="51"/>
      <c r="Z37" s="51"/>
      <c r="AA37" s="51"/>
      <c r="AB37" s="51"/>
      <c r="AC37" s="51"/>
      <c r="AD37" s="51"/>
      <c r="AE37" s="51"/>
      <c r="AF37" s="51"/>
    </row>
    <row r="38" spans="1:73" ht="18.75" customHeight="1" thickBot="1">
      <c r="B38" s="51"/>
      <c r="I38" s="55"/>
      <c r="J38" s="55"/>
      <c r="K38" s="55"/>
      <c r="L38" s="55"/>
      <c r="M38" s="55"/>
      <c r="N38" s="55"/>
      <c r="O38" s="55"/>
      <c r="P38" s="51"/>
      <c r="Q38" s="51"/>
      <c r="R38" s="51"/>
      <c r="S38" s="51"/>
      <c r="T38" s="68"/>
      <c r="U38" s="51"/>
      <c r="V38" s="51"/>
      <c r="W38" s="51"/>
      <c r="X38" s="51"/>
      <c r="Y38" s="51"/>
      <c r="Z38" s="51"/>
      <c r="AA38" s="51"/>
      <c r="AB38" s="51"/>
      <c r="AC38" s="51"/>
      <c r="AD38" s="51"/>
      <c r="AE38" s="51"/>
      <c r="AF38" s="51"/>
      <c r="AG38" s="51"/>
      <c r="AH38" s="51"/>
      <c r="AI38" s="51"/>
      <c r="AJ38" s="51"/>
      <c r="AK38" s="51"/>
      <c r="AL38" s="51"/>
    </row>
    <row r="39" spans="1:73" ht="18.75" customHeight="1">
      <c r="A39" s="55"/>
      <c r="C39" s="1163" t="s">
        <v>55</v>
      </c>
      <c r="D39" s="1164"/>
      <c r="E39" s="1164"/>
      <c r="F39" s="1164"/>
      <c r="G39" s="1164"/>
      <c r="H39" s="1164"/>
      <c r="I39" s="1165"/>
      <c r="J39" s="1169" t="s">
        <v>56</v>
      </c>
      <c r="K39" s="1170"/>
      <c r="L39" s="1170"/>
      <c r="M39" s="1170"/>
      <c r="N39" s="1170"/>
      <c r="O39" s="1171"/>
      <c r="P39" s="1170" t="s">
        <v>57</v>
      </c>
      <c r="Q39" s="1170"/>
      <c r="R39" s="1170"/>
      <c r="S39" s="1170"/>
      <c r="T39" s="1170"/>
      <c r="U39" s="1170"/>
      <c r="V39" s="1170"/>
      <c r="W39" s="1171"/>
      <c r="X39" s="1175" t="s">
        <v>58</v>
      </c>
      <c r="Y39" s="1176"/>
      <c r="Z39" s="1177"/>
      <c r="AA39" s="79"/>
      <c r="AB39" s="79"/>
      <c r="AC39" s="79"/>
      <c r="AD39" s="79"/>
      <c r="AE39" s="79"/>
      <c r="AF39" s="79"/>
      <c r="AG39" s="79"/>
      <c r="AH39" s="79"/>
      <c r="AI39" s="79"/>
      <c r="AJ39" s="79"/>
      <c r="AK39" s="79"/>
      <c r="AL39" s="79"/>
    </row>
    <row r="40" spans="1:73" ht="18.75" customHeight="1" thickBot="1">
      <c r="A40" s="51"/>
      <c r="C40" s="1166"/>
      <c r="D40" s="1167"/>
      <c r="E40" s="1167"/>
      <c r="F40" s="1167"/>
      <c r="G40" s="1167"/>
      <c r="H40" s="1167"/>
      <c r="I40" s="1168"/>
      <c r="J40" s="1172"/>
      <c r="K40" s="1173"/>
      <c r="L40" s="1173"/>
      <c r="M40" s="1173"/>
      <c r="N40" s="1173"/>
      <c r="O40" s="1174"/>
      <c r="P40" s="1173"/>
      <c r="Q40" s="1173"/>
      <c r="R40" s="1173"/>
      <c r="S40" s="1173"/>
      <c r="T40" s="1173"/>
      <c r="U40" s="1173"/>
      <c r="V40" s="1173"/>
      <c r="W40" s="1174"/>
      <c r="X40" s="1178"/>
      <c r="Y40" s="1179"/>
      <c r="Z40" s="1180"/>
      <c r="AA40" s="79"/>
      <c r="AB40" s="79"/>
      <c r="AC40" s="79"/>
      <c r="AD40" s="79"/>
      <c r="AE40" s="79"/>
      <c r="AF40" s="79"/>
      <c r="AG40" s="79"/>
      <c r="AH40" s="79"/>
      <c r="AI40" s="79"/>
      <c r="AJ40" s="79"/>
      <c r="AK40" s="79"/>
      <c r="AL40" s="79"/>
    </row>
    <row r="41" spans="1:73" ht="18.75" customHeight="1" thickTop="1">
      <c r="A41" s="51"/>
      <c r="B41" s="51"/>
      <c r="C41" s="69"/>
      <c r="D41" s="1181" t="s">
        <v>59</v>
      </c>
      <c r="E41" s="1181"/>
      <c r="F41" s="1181"/>
      <c r="G41" s="1181"/>
      <c r="H41" s="1181"/>
      <c r="I41" s="70"/>
      <c r="J41" s="1207">
        <v>1000</v>
      </c>
      <c r="K41" s="1208"/>
      <c r="L41" s="1208"/>
      <c r="M41" s="1208"/>
      <c r="N41" s="1208"/>
      <c r="O41" s="1209"/>
      <c r="P41" s="1213">
        <v>100000</v>
      </c>
      <c r="Q41" s="1214"/>
      <c r="R41" s="1214"/>
      <c r="S41" s="1214"/>
      <c r="T41" s="1214"/>
      <c r="U41" s="1214"/>
      <c r="V41" s="1214"/>
      <c r="W41" s="1215"/>
      <c r="X41" s="1195" t="s">
        <v>65</v>
      </c>
      <c r="Y41" s="1196"/>
      <c r="Z41" s="1197"/>
      <c r="AA41" s="80"/>
      <c r="AB41" s="80"/>
      <c r="AC41" s="80"/>
      <c r="AD41" s="80"/>
      <c r="AE41" s="80"/>
      <c r="AF41" s="80"/>
      <c r="AG41" s="80"/>
      <c r="AH41" s="80"/>
      <c r="AI41" s="80"/>
      <c r="AJ41" s="80"/>
      <c r="AK41" s="80"/>
      <c r="AL41" s="80"/>
    </row>
    <row r="42" spans="1:73" ht="18.75" customHeight="1" thickBot="1">
      <c r="A42" s="51"/>
      <c r="B42" s="51"/>
      <c r="C42" s="71"/>
      <c r="D42" s="1182"/>
      <c r="E42" s="1182"/>
      <c r="F42" s="1182"/>
      <c r="G42" s="1182"/>
      <c r="H42" s="1182"/>
      <c r="I42" s="72"/>
      <c r="J42" s="1210"/>
      <c r="K42" s="1211"/>
      <c r="L42" s="1211"/>
      <c r="M42" s="1211"/>
      <c r="N42" s="1211"/>
      <c r="O42" s="1212"/>
      <c r="P42" s="1216"/>
      <c r="Q42" s="1217"/>
      <c r="R42" s="1217"/>
      <c r="S42" s="1217"/>
      <c r="T42" s="1217"/>
      <c r="U42" s="1217"/>
      <c r="V42" s="1217"/>
      <c r="W42" s="1218"/>
      <c r="X42" s="1198"/>
      <c r="Y42" s="1199"/>
      <c r="Z42" s="1200"/>
      <c r="AA42" s="77"/>
      <c r="AB42" s="77"/>
      <c r="AC42" s="77"/>
      <c r="AD42" s="77"/>
      <c r="AE42" s="77"/>
      <c r="AF42" s="77"/>
      <c r="AG42" s="77"/>
      <c r="AH42" s="77"/>
      <c r="AI42" s="77"/>
      <c r="AJ42" s="77"/>
      <c r="AK42" s="77"/>
      <c r="AL42" s="77"/>
    </row>
    <row r="43" spans="1:73" ht="18.75" customHeight="1">
      <c r="A43" s="51"/>
      <c r="B43" s="51"/>
      <c r="C43" s="20"/>
      <c r="D43" s="20"/>
      <c r="E43" s="20"/>
      <c r="F43" s="20"/>
      <c r="G43" s="20"/>
      <c r="H43" s="20"/>
      <c r="I43" s="20"/>
      <c r="J43" s="63"/>
      <c r="K43" s="51"/>
      <c r="L43" s="51"/>
      <c r="M43" s="51"/>
      <c r="N43" s="51"/>
      <c r="O43" s="81"/>
      <c r="P43" s="51"/>
      <c r="Q43" s="51"/>
      <c r="R43" s="51"/>
      <c r="S43" s="51"/>
      <c r="T43" s="51"/>
      <c r="U43" s="51"/>
      <c r="V43" s="51"/>
      <c r="W43" s="51"/>
      <c r="X43" s="51"/>
      <c r="Y43" s="51"/>
      <c r="Z43" s="51"/>
      <c r="AA43" s="51"/>
      <c r="AB43" s="61"/>
      <c r="AC43" s="61"/>
      <c r="AD43" s="50"/>
      <c r="AE43" s="20"/>
      <c r="AF43" s="20"/>
      <c r="AG43" s="20"/>
      <c r="AH43" s="20"/>
      <c r="AI43" s="20"/>
      <c r="AJ43" s="20"/>
      <c r="AK43" s="20"/>
      <c r="AL43" s="20"/>
    </row>
    <row r="44" spans="1:73" ht="18.75" customHeight="1">
      <c r="A44" s="51"/>
      <c r="B44" s="51"/>
      <c r="C44" s="63"/>
      <c r="D44" s="63"/>
      <c r="E44" s="20"/>
      <c r="F44" s="20"/>
      <c r="G44" s="20"/>
      <c r="H44" s="20"/>
      <c r="I44" s="20"/>
      <c r="J44" s="63"/>
      <c r="K44" s="51"/>
      <c r="L44" s="51"/>
      <c r="M44" s="51"/>
      <c r="N44" s="51"/>
      <c r="O44" s="81"/>
      <c r="P44" s="51"/>
      <c r="Q44" s="51"/>
      <c r="R44" s="51"/>
      <c r="S44" s="51"/>
      <c r="T44" s="51"/>
      <c r="U44" s="51"/>
      <c r="V44" s="51"/>
      <c r="W44" s="51"/>
      <c r="X44" s="51"/>
      <c r="Y44" s="51"/>
      <c r="Z44" s="51"/>
      <c r="AA44" s="51"/>
      <c r="AB44" s="61"/>
      <c r="AC44" s="61"/>
      <c r="AD44" s="50"/>
      <c r="AE44" s="20"/>
      <c r="AF44" s="20"/>
      <c r="AG44" s="20"/>
      <c r="AH44" s="20"/>
      <c r="AI44" s="20"/>
      <c r="AJ44" s="20"/>
      <c r="AK44" s="20"/>
      <c r="AL44" s="20"/>
      <c r="BU44" s="82"/>
    </row>
    <row r="45" spans="1:73" ht="18.75" customHeight="1">
      <c r="A45" s="51"/>
      <c r="B45" s="51"/>
      <c r="C45" s="83"/>
      <c r="D45" s="83"/>
      <c r="E45" s="20"/>
      <c r="F45" s="20"/>
      <c r="G45" s="20"/>
      <c r="H45" s="20"/>
      <c r="I45" s="20"/>
      <c r="J45" s="63"/>
      <c r="K45" s="51"/>
      <c r="L45" s="51"/>
      <c r="M45" s="51"/>
      <c r="N45" s="51"/>
      <c r="O45" s="81"/>
      <c r="P45" s="51"/>
      <c r="Q45" s="51"/>
      <c r="R45" s="51"/>
      <c r="S45" s="51"/>
      <c r="T45" s="51"/>
      <c r="U45" s="51"/>
      <c r="V45" s="51"/>
      <c r="W45" s="51"/>
      <c r="X45" s="51"/>
      <c r="Y45" s="51"/>
      <c r="Z45" s="51"/>
      <c r="AA45" s="51"/>
      <c r="AB45" s="61"/>
      <c r="AC45" s="61"/>
      <c r="AD45" s="50"/>
      <c r="AE45" s="20"/>
      <c r="AF45" s="20"/>
      <c r="AG45" s="20"/>
      <c r="AH45" s="20"/>
      <c r="AI45" s="20"/>
      <c r="AJ45" s="20"/>
      <c r="AK45" s="20"/>
      <c r="AL45" s="20"/>
      <c r="BU45" s="82"/>
    </row>
    <row r="46" spans="1:73" ht="18" customHeight="1">
      <c r="A46" s="84" t="s">
        <v>66</v>
      </c>
      <c r="B46" s="47"/>
      <c r="C46" s="50"/>
      <c r="D46" s="50"/>
      <c r="E46" s="50"/>
      <c r="F46" s="50"/>
      <c r="G46" s="50"/>
      <c r="H46" s="50"/>
      <c r="I46" s="50"/>
      <c r="J46" s="50"/>
      <c r="K46" s="50"/>
      <c r="L46" s="51"/>
      <c r="M46" s="51"/>
      <c r="N46" s="51"/>
      <c r="O46" s="51"/>
      <c r="P46" s="52"/>
      <c r="Q46" s="53"/>
      <c r="R46" s="53"/>
      <c r="AI46" s="50"/>
    </row>
    <row r="47" spans="1:73" ht="18" customHeight="1">
      <c r="A47" s="85"/>
      <c r="B47" s="86"/>
      <c r="C47" s="87"/>
      <c r="D47" s="87"/>
      <c r="E47" s="87"/>
      <c r="F47" s="87"/>
      <c r="G47" s="87"/>
      <c r="H47" s="87"/>
      <c r="I47" s="87"/>
      <c r="J47" s="86"/>
      <c r="K47" s="86"/>
      <c r="L47" s="86"/>
      <c r="M47" s="86"/>
      <c r="N47" s="86"/>
      <c r="O47" s="86"/>
      <c r="P47" s="85"/>
      <c r="Q47" s="85"/>
      <c r="R47" s="85"/>
      <c r="S47" s="85"/>
      <c r="T47" s="86"/>
      <c r="U47" s="85"/>
      <c r="V47" s="85"/>
      <c r="W47" s="85"/>
      <c r="X47" s="85"/>
      <c r="Y47" s="85"/>
      <c r="Z47" s="85"/>
      <c r="AA47" s="85"/>
      <c r="AB47" s="85"/>
      <c r="AC47" s="85"/>
      <c r="AD47" s="85"/>
      <c r="AE47" s="85"/>
      <c r="AF47" s="85"/>
      <c r="AG47" s="85"/>
      <c r="AH47" s="85"/>
      <c r="AI47" s="85"/>
    </row>
    <row r="48" spans="1:73" ht="19.5" customHeight="1">
      <c r="A48" s="85"/>
      <c r="B48" s="63"/>
      <c r="C48" s="88" t="s">
        <v>67</v>
      </c>
      <c r="D48" s="87"/>
      <c r="E48" s="87"/>
      <c r="F48" s="87"/>
      <c r="G48" s="87"/>
      <c r="H48" s="87"/>
      <c r="I48" s="87"/>
      <c r="J48" s="86"/>
      <c r="K48" s="86"/>
      <c r="L48" s="86"/>
      <c r="M48" s="86"/>
      <c r="N48" s="86"/>
      <c r="O48" s="86"/>
      <c r="P48" s="85"/>
      <c r="Q48" s="85"/>
      <c r="R48" s="85"/>
      <c r="S48" s="85"/>
      <c r="T48" s="86"/>
      <c r="U48" s="85"/>
      <c r="V48" s="85"/>
      <c r="W48" s="85"/>
      <c r="X48" s="85"/>
      <c r="Y48" s="85"/>
      <c r="Z48" s="85"/>
      <c r="AA48" s="85"/>
      <c r="AB48" s="85"/>
      <c r="AC48" s="85"/>
      <c r="AD48" s="85"/>
      <c r="AE48" s="85"/>
      <c r="AF48" s="85"/>
      <c r="AG48" s="85"/>
      <c r="AH48" s="85"/>
      <c r="AI48" s="85"/>
    </row>
    <row r="49" spans="1:44" ht="19.5" customHeight="1">
      <c r="A49" s="85"/>
      <c r="B49" s="63" t="s">
        <v>68</v>
      </c>
      <c r="C49" s="88"/>
      <c r="D49" s="87"/>
      <c r="E49" s="87"/>
      <c r="F49" s="87"/>
      <c r="G49" s="87"/>
      <c r="H49" s="87"/>
      <c r="I49" s="87"/>
      <c r="J49" s="86"/>
      <c r="K49" s="86"/>
      <c r="L49" s="86"/>
      <c r="M49" s="86"/>
      <c r="N49" s="86"/>
      <c r="O49" s="86"/>
      <c r="P49" s="85"/>
      <c r="Q49" s="85"/>
      <c r="R49" s="85"/>
      <c r="S49" s="85"/>
      <c r="T49" s="86"/>
      <c r="U49" s="85"/>
      <c r="V49" s="85"/>
      <c r="W49" s="85"/>
      <c r="X49" s="85"/>
      <c r="Y49" s="85"/>
      <c r="Z49" s="85"/>
      <c r="AA49" s="85"/>
      <c r="AB49" s="85"/>
      <c r="AC49" s="85"/>
      <c r="AD49" s="85"/>
      <c r="AE49" s="85"/>
      <c r="AF49" s="85"/>
      <c r="AG49" s="85"/>
      <c r="AH49" s="85"/>
      <c r="AI49" s="85"/>
    </row>
    <row r="50" spans="1:44" ht="19.5" customHeight="1">
      <c r="A50" s="85"/>
      <c r="B50" s="86"/>
      <c r="C50" s="87"/>
      <c r="D50" s="87"/>
      <c r="E50" s="87"/>
      <c r="F50" s="87"/>
      <c r="G50" s="87"/>
      <c r="H50" s="87"/>
      <c r="I50" s="87"/>
      <c r="J50" s="86"/>
      <c r="K50" s="86"/>
      <c r="L50" s="86"/>
      <c r="M50" s="86"/>
      <c r="N50" s="86"/>
      <c r="O50" s="86"/>
      <c r="P50" s="85"/>
      <c r="Q50" s="85"/>
      <c r="R50" s="85"/>
      <c r="S50" s="85"/>
      <c r="T50" s="86"/>
      <c r="U50" s="85"/>
      <c r="V50" s="85"/>
      <c r="W50" s="85"/>
      <c r="X50" s="85"/>
      <c r="Y50" s="85"/>
      <c r="Z50" s="85"/>
      <c r="AA50" s="85"/>
      <c r="AB50" s="85"/>
      <c r="AC50" s="85"/>
      <c r="AD50" s="85"/>
      <c r="AE50" s="85"/>
      <c r="AF50" s="85"/>
      <c r="AG50" s="85"/>
      <c r="AH50" s="85"/>
      <c r="AI50" s="85"/>
    </row>
    <row r="51" spans="1:44" ht="19.5" customHeight="1">
      <c r="A51" s="89"/>
      <c r="B51" s="90" t="s">
        <v>69</v>
      </c>
      <c r="C51" s="91"/>
      <c r="D51" s="91"/>
      <c r="E51" s="91"/>
      <c r="F51" s="91"/>
      <c r="G51" s="91"/>
      <c r="H51" s="91"/>
      <c r="I51" s="91"/>
      <c r="J51" s="91"/>
      <c r="K51" s="91"/>
      <c r="L51" s="91"/>
      <c r="M51" s="92"/>
      <c r="N51" s="92"/>
      <c r="O51" s="92"/>
      <c r="P51" s="92"/>
      <c r="Q51" s="91"/>
      <c r="R51" s="91"/>
      <c r="S51" s="91"/>
      <c r="T51" s="91"/>
      <c r="U51" s="91"/>
      <c r="V51" s="91"/>
      <c r="W51" s="91"/>
      <c r="X51" s="91"/>
      <c r="Y51" s="91"/>
      <c r="Z51" s="91"/>
      <c r="AA51" s="91"/>
      <c r="AB51" s="91"/>
      <c r="AC51" s="91"/>
      <c r="AD51" s="82"/>
      <c r="AE51" s="82"/>
      <c r="AF51" s="82"/>
      <c r="AG51" s="82"/>
      <c r="AH51" s="82"/>
      <c r="AI51" s="85"/>
    </row>
    <row r="52" spans="1:44" ht="19.5" customHeight="1">
      <c r="A52" s="89"/>
      <c r="B52" s="90"/>
      <c r="C52" s="91"/>
      <c r="D52" s="91"/>
      <c r="E52" s="91"/>
      <c r="F52" s="91"/>
      <c r="G52" s="91"/>
      <c r="H52" s="91"/>
      <c r="I52" s="91"/>
      <c r="J52" s="91"/>
      <c r="K52" s="91"/>
      <c r="L52" s="91"/>
      <c r="M52" s="92"/>
      <c r="N52" s="92"/>
      <c r="O52" s="92"/>
      <c r="P52" s="92"/>
      <c r="Q52" s="91"/>
      <c r="R52" s="91"/>
      <c r="S52" s="91"/>
      <c r="T52" s="91"/>
      <c r="U52" s="91"/>
      <c r="V52" s="91"/>
      <c r="W52" s="91"/>
      <c r="X52" s="91"/>
      <c r="Y52" s="91"/>
      <c r="Z52" s="91"/>
      <c r="AA52" s="91"/>
      <c r="AB52" s="91"/>
      <c r="AC52" s="91"/>
      <c r="AD52" s="82"/>
      <c r="AE52" s="82"/>
      <c r="AF52" s="82"/>
      <c r="AG52" s="82"/>
      <c r="AH52" s="82"/>
      <c r="AI52" s="85"/>
    </row>
    <row r="53" spans="1:44" ht="19.5" customHeight="1">
      <c r="A53" s="89"/>
      <c r="B53" s="42"/>
      <c r="C53" s="91"/>
      <c r="D53" s="91" t="s">
        <v>70</v>
      </c>
      <c r="E53" s="88"/>
      <c r="F53" s="91"/>
      <c r="G53" s="91"/>
      <c r="H53" s="91"/>
      <c r="I53" s="91"/>
      <c r="J53" s="91"/>
      <c r="K53" s="91"/>
      <c r="L53" s="91"/>
      <c r="M53" s="91"/>
      <c r="N53" s="91"/>
      <c r="O53" s="91"/>
      <c r="P53" s="91"/>
      <c r="Q53" s="91"/>
      <c r="R53" s="91"/>
      <c r="S53" s="91"/>
      <c r="T53" s="91"/>
      <c r="U53" s="91"/>
      <c r="V53" s="91"/>
      <c r="W53" s="91"/>
      <c r="X53" s="91"/>
      <c r="Y53" s="91"/>
      <c r="Z53" s="91"/>
      <c r="AA53" s="91"/>
      <c r="AB53" s="91"/>
      <c r="AC53" s="91"/>
      <c r="AD53" s="82"/>
      <c r="AE53" s="82"/>
      <c r="AF53" s="82"/>
      <c r="AG53" s="82"/>
      <c r="AH53" s="82"/>
      <c r="AI53" s="82"/>
    </row>
    <row r="54" spans="1:44" ht="19.5" customHeight="1">
      <c r="A54" s="89"/>
      <c r="B54" s="42"/>
      <c r="C54" s="91" t="s">
        <v>71</v>
      </c>
      <c r="D54" s="88"/>
      <c r="E54" s="91"/>
      <c r="F54" s="91"/>
      <c r="G54" s="91"/>
      <c r="H54" s="91"/>
      <c r="I54" s="91"/>
      <c r="J54" s="91"/>
      <c r="K54" s="91"/>
      <c r="L54" s="91"/>
      <c r="M54" s="91"/>
      <c r="N54" s="91"/>
      <c r="O54" s="91"/>
      <c r="P54" s="91"/>
      <c r="Q54" s="91"/>
      <c r="R54" s="91"/>
      <c r="S54" s="91"/>
      <c r="T54" s="91"/>
      <c r="U54" s="91"/>
      <c r="V54" s="91"/>
      <c r="W54" s="91"/>
      <c r="X54" s="91"/>
      <c r="Y54" s="91"/>
      <c r="Z54" s="91"/>
      <c r="AA54" s="91"/>
      <c r="AB54" s="91"/>
      <c r="AC54" s="91"/>
      <c r="AD54" s="82"/>
      <c r="AE54" s="82"/>
      <c r="AF54" s="82"/>
      <c r="AG54" s="82"/>
      <c r="AH54" s="82"/>
      <c r="AI54" s="82"/>
    </row>
    <row r="55" spans="1:44" ht="19.5" customHeight="1">
      <c r="A55" s="89"/>
      <c r="B55" s="42"/>
      <c r="C55" s="91"/>
      <c r="D55" s="88"/>
      <c r="E55" s="91"/>
      <c r="F55" s="91"/>
      <c r="G55" s="91"/>
      <c r="H55" s="91"/>
      <c r="I55" s="91"/>
      <c r="J55" s="91"/>
      <c r="K55" s="91"/>
      <c r="L55" s="91"/>
      <c r="M55" s="91"/>
      <c r="N55" s="91"/>
      <c r="O55" s="91"/>
      <c r="P55" s="91"/>
      <c r="Q55" s="91"/>
      <c r="R55" s="91"/>
      <c r="S55" s="91"/>
      <c r="T55" s="91"/>
      <c r="U55" s="91"/>
      <c r="V55" s="91"/>
      <c r="W55" s="91"/>
      <c r="X55" s="91"/>
      <c r="Y55" s="91"/>
      <c r="Z55" s="91"/>
      <c r="AA55" s="91"/>
      <c r="AB55" s="91"/>
      <c r="AC55" s="91"/>
      <c r="AD55" s="82"/>
      <c r="AE55" s="82"/>
      <c r="AF55" s="82"/>
      <c r="AG55" s="82"/>
    </row>
    <row r="56" spans="1:44" ht="19.5" customHeight="1">
      <c r="A56" s="89"/>
      <c r="B56" s="89"/>
      <c r="C56" s="1219" t="s">
        <v>72</v>
      </c>
      <c r="D56" s="1219"/>
      <c r="E56" s="1219"/>
      <c r="F56" s="1219"/>
      <c r="G56" s="1219"/>
      <c r="H56" s="1219"/>
      <c r="I56" s="1219"/>
      <c r="J56" s="1219"/>
      <c r="K56" s="1219"/>
      <c r="L56" s="1220" t="s">
        <v>73</v>
      </c>
      <c r="M56" s="1220"/>
      <c r="N56" s="1220"/>
      <c r="O56" s="1220"/>
      <c r="P56" s="1220"/>
      <c r="Q56" s="1220"/>
      <c r="R56" s="1220"/>
      <c r="S56" s="1220"/>
      <c r="T56" s="1220"/>
      <c r="U56" s="1220"/>
      <c r="V56" s="1220"/>
      <c r="W56" s="1220"/>
      <c r="X56" s="1220"/>
      <c r="Y56" s="1220"/>
      <c r="Z56" s="1219" t="s">
        <v>74</v>
      </c>
      <c r="AA56" s="1219"/>
      <c r="AB56" s="1219"/>
      <c r="AC56" s="88"/>
      <c r="AD56" s="88"/>
      <c r="AE56" s="87"/>
      <c r="AF56" s="82"/>
      <c r="AG56" s="82"/>
      <c r="AH56" s="82"/>
      <c r="AK56" s="20"/>
    </row>
    <row r="57" spans="1:44" ht="19.5" customHeight="1">
      <c r="A57" s="89"/>
      <c r="B57" s="89"/>
      <c r="C57" s="1219"/>
      <c r="D57" s="1219"/>
      <c r="E57" s="1219"/>
      <c r="F57" s="1219"/>
      <c r="G57" s="1219"/>
      <c r="H57" s="1219"/>
      <c r="I57" s="1219"/>
      <c r="J57" s="1219"/>
      <c r="K57" s="1219"/>
      <c r="L57" s="1221" t="s">
        <v>75</v>
      </c>
      <c r="M57" s="1221"/>
      <c r="N57" s="1221"/>
      <c r="O57" s="1221"/>
      <c r="P57" s="1221"/>
      <c r="Q57" s="1221"/>
      <c r="R57" s="1221"/>
      <c r="S57" s="1221"/>
      <c r="T57" s="1221"/>
      <c r="U57" s="1221"/>
      <c r="V57" s="1221"/>
      <c r="W57" s="1221"/>
      <c r="X57" s="1221"/>
      <c r="Y57" s="1221"/>
      <c r="Z57" s="1219"/>
      <c r="AA57" s="1219"/>
      <c r="AB57" s="1219"/>
      <c r="AC57" s="88"/>
      <c r="AD57" s="88"/>
      <c r="AE57" s="87"/>
      <c r="AF57" s="82"/>
      <c r="AG57" s="82"/>
      <c r="AH57" s="82"/>
      <c r="AI57" s="82"/>
      <c r="AO57" s="62"/>
      <c r="AP57" s="62"/>
      <c r="AQ57" s="62"/>
    </row>
    <row r="58" spans="1:44" ht="19.5" customHeight="1">
      <c r="A58" s="89"/>
      <c r="B58" s="89"/>
      <c r="C58" s="82"/>
      <c r="D58" s="87"/>
      <c r="E58" s="93"/>
      <c r="F58" s="93"/>
      <c r="G58" s="93"/>
      <c r="H58" s="93"/>
      <c r="I58" s="93"/>
      <c r="J58" s="93"/>
      <c r="K58" s="93"/>
      <c r="L58" s="93"/>
      <c r="M58" s="93"/>
      <c r="N58" s="94"/>
      <c r="O58" s="94"/>
      <c r="P58" s="94"/>
      <c r="Q58" s="94"/>
      <c r="R58" s="94"/>
      <c r="S58" s="94"/>
      <c r="T58" s="94"/>
      <c r="U58" s="94"/>
      <c r="V58" s="94"/>
      <c r="W58" s="94"/>
      <c r="X58" s="94"/>
      <c r="Y58" s="94"/>
      <c r="Z58" s="93"/>
      <c r="AA58" s="93"/>
      <c r="AB58" s="93"/>
      <c r="AC58" s="88"/>
      <c r="AD58" s="88"/>
      <c r="AE58" s="87"/>
      <c r="AF58" s="82"/>
      <c r="AG58" s="82"/>
      <c r="AH58" s="82"/>
      <c r="AI58" s="82"/>
      <c r="AO58" s="62"/>
      <c r="AP58" s="62"/>
      <c r="AQ58" s="62"/>
    </row>
    <row r="59" spans="1:44" ht="19.5" customHeight="1">
      <c r="A59" s="89"/>
      <c r="B59" s="89"/>
      <c r="C59" s="82"/>
      <c r="D59" s="87"/>
      <c r="E59" s="87"/>
      <c r="F59" s="87"/>
      <c r="G59" s="95"/>
      <c r="H59" s="95"/>
      <c r="I59" s="95"/>
      <c r="J59" s="95"/>
      <c r="K59" s="95"/>
      <c r="L59" s="95"/>
      <c r="M59" s="95"/>
      <c r="N59" s="95"/>
      <c r="O59" s="95"/>
      <c r="P59" s="96"/>
      <c r="Q59" s="96"/>
      <c r="R59" s="96"/>
      <c r="S59" s="96"/>
      <c r="T59" s="96"/>
      <c r="U59" s="96"/>
      <c r="V59" s="96"/>
      <c r="W59" s="96"/>
      <c r="X59" s="96"/>
      <c r="Y59" s="96"/>
      <c r="Z59" s="96"/>
      <c r="AA59" s="96"/>
      <c r="AB59" s="95"/>
      <c r="AC59" s="95"/>
      <c r="AD59" s="95"/>
      <c r="AE59" s="87"/>
      <c r="AF59" s="87"/>
      <c r="AG59" s="87"/>
      <c r="AH59" s="87"/>
      <c r="AI59" s="82"/>
      <c r="AO59" s="62"/>
      <c r="AP59" s="62"/>
      <c r="AQ59" s="62"/>
    </row>
    <row r="60" spans="1:44" ht="19.5" customHeight="1">
      <c r="C60" s="82"/>
      <c r="D60" s="87"/>
      <c r="E60" s="87"/>
      <c r="F60" s="87"/>
      <c r="G60" s="95"/>
      <c r="H60" s="95"/>
      <c r="I60" s="95"/>
      <c r="J60" s="95"/>
      <c r="K60" s="95"/>
      <c r="L60" s="95"/>
      <c r="M60" s="95"/>
      <c r="N60" s="95"/>
      <c r="O60" s="95"/>
      <c r="P60" s="96"/>
      <c r="Q60" s="96"/>
      <c r="R60" s="96"/>
      <c r="S60" s="96"/>
      <c r="T60" s="96"/>
      <c r="U60" s="96"/>
      <c r="V60" s="96"/>
      <c r="W60" s="96"/>
      <c r="X60" s="96"/>
      <c r="Y60" s="96"/>
      <c r="Z60" s="96"/>
      <c r="AA60" s="96"/>
      <c r="AB60" s="95"/>
      <c r="AC60" s="95"/>
      <c r="AD60" s="95"/>
      <c r="AE60" s="87"/>
      <c r="AF60" s="87"/>
      <c r="AG60" s="87"/>
      <c r="AH60" s="87"/>
      <c r="AI60" s="82"/>
      <c r="AO60" s="62"/>
      <c r="AP60" s="62"/>
      <c r="AQ60" s="62"/>
    </row>
    <row r="61" spans="1:44" ht="19.5" customHeight="1">
      <c r="C61" s="82"/>
      <c r="D61" s="82"/>
      <c r="E61" s="82"/>
      <c r="F61" s="82"/>
      <c r="G61" s="82"/>
      <c r="H61" s="82"/>
      <c r="I61" s="82"/>
      <c r="J61" s="82"/>
      <c r="K61" s="82"/>
      <c r="L61" s="82"/>
      <c r="M61" s="82"/>
      <c r="N61" s="82"/>
      <c r="O61" s="82"/>
      <c r="P61" s="82"/>
      <c r="Q61" s="82"/>
      <c r="R61" s="82"/>
      <c r="S61" s="82"/>
      <c r="T61" s="82"/>
      <c r="U61" s="82"/>
      <c r="V61" s="82"/>
      <c r="W61" s="82"/>
      <c r="X61" s="82"/>
      <c r="Y61" s="82"/>
      <c r="Z61" s="82"/>
      <c r="AA61" s="82"/>
      <c r="AB61" s="82"/>
      <c r="AC61" s="82"/>
      <c r="AD61" s="82"/>
      <c r="AE61" s="82"/>
      <c r="AF61" s="87"/>
      <c r="AG61" s="87"/>
      <c r="AH61" s="87"/>
      <c r="AI61" s="82"/>
      <c r="AO61" s="62"/>
      <c r="AP61" s="62"/>
      <c r="AQ61" s="62"/>
      <c r="AR61" s="62"/>
    </row>
    <row r="62" spans="1:44" ht="19.5" customHeight="1">
      <c r="C62" s="82"/>
      <c r="D62" s="82"/>
      <c r="E62" s="82"/>
      <c r="F62" s="82"/>
      <c r="G62" s="82"/>
      <c r="H62" s="82"/>
      <c r="I62" s="82"/>
      <c r="J62" s="82"/>
      <c r="K62" s="82"/>
      <c r="L62" s="82"/>
      <c r="M62" s="82"/>
      <c r="N62" s="82"/>
      <c r="O62" s="82"/>
      <c r="P62" s="82"/>
      <c r="Q62" s="82"/>
      <c r="R62" s="82"/>
      <c r="S62" s="82"/>
      <c r="T62" s="82"/>
      <c r="U62" s="82"/>
      <c r="V62" s="82"/>
      <c r="W62" s="82"/>
      <c r="X62" s="82"/>
      <c r="Y62" s="82"/>
      <c r="Z62" s="82"/>
      <c r="AA62" s="82"/>
      <c r="AB62" s="82"/>
      <c r="AC62" s="82"/>
      <c r="AD62" s="82"/>
      <c r="AE62" s="82"/>
      <c r="AF62" s="87"/>
      <c r="AG62" s="87"/>
      <c r="AH62" s="87"/>
      <c r="AI62" s="82"/>
      <c r="AO62" s="62"/>
      <c r="AP62" s="62"/>
      <c r="AQ62" s="62"/>
      <c r="AR62" s="62"/>
    </row>
    <row r="63" spans="1:44" ht="19.5" customHeight="1">
      <c r="A63" s="89"/>
      <c r="B63" s="89"/>
      <c r="C63" s="82"/>
      <c r="D63" s="87"/>
      <c r="E63" s="87"/>
      <c r="F63" s="87"/>
      <c r="G63" s="87"/>
      <c r="H63" s="87"/>
      <c r="I63" s="87"/>
      <c r="J63" s="87"/>
      <c r="K63" s="87"/>
      <c r="L63" s="87"/>
      <c r="M63" s="87"/>
      <c r="N63" s="87"/>
      <c r="O63" s="87"/>
      <c r="P63" s="87"/>
      <c r="Q63" s="87"/>
      <c r="R63" s="87"/>
      <c r="S63" s="87"/>
      <c r="T63" s="87"/>
      <c r="U63" s="87"/>
      <c r="V63" s="87"/>
      <c r="W63" s="87"/>
      <c r="X63" s="87"/>
      <c r="Y63" s="87"/>
      <c r="Z63" s="87"/>
      <c r="AA63" s="87"/>
      <c r="AB63" s="87"/>
      <c r="AC63" s="87"/>
      <c r="AD63" s="87"/>
      <c r="AE63" s="87"/>
      <c r="AF63" s="87"/>
      <c r="AG63" s="87"/>
      <c r="AH63" s="87"/>
      <c r="AI63" s="82"/>
      <c r="AO63" s="62"/>
      <c r="AP63" s="62"/>
      <c r="AQ63" s="62"/>
      <c r="AR63" s="62"/>
    </row>
    <row r="64" spans="1:44" ht="19.5" customHeight="1">
      <c r="A64" s="89"/>
      <c r="B64" s="89"/>
      <c r="C64" s="82"/>
      <c r="D64" s="91" t="s">
        <v>76</v>
      </c>
      <c r="E64" s="87"/>
      <c r="F64" s="87"/>
      <c r="G64" s="87"/>
      <c r="H64" s="87"/>
      <c r="I64" s="87"/>
      <c r="J64" s="87"/>
      <c r="K64" s="87"/>
      <c r="L64" s="87"/>
      <c r="M64" s="87"/>
      <c r="N64" s="87"/>
      <c r="O64" s="87"/>
      <c r="P64" s="87"/>
      <c r="Q64" s="87"/>
      <c r="R64" s="87"/>
      <c r="S64" s="87"/>
      <c r="T64" s="87"/>
      <c r="U64" s="87"/>
      <c r="V64" s="87"/>
      <c r="W64" s="87"/>
      <c r="X64" s="87"/>
      <c r="Y64" s="87"/>
      <c r="Z64" s="87"/>
      <c r="AA64" s="87"/>
      <c r="AB64" s="87"/>
      <c r="AC64" s="87"/>
      <c r="AD64" s="87"/>
      <c r="AE64" s="87"/>
      <c r="AF64" s="87"/>
      <c r="AG64" s="87"/>
      <c r="AH64" s="87"/>
      <c r="AI64" s="82"/>
      <c r="AO64" s="62"/>
      <c r="AP64" s="62"/>
      <c r="AQ64" s="62"/>
      <c r="AR64" s="62"/>
    </row>
    <row r="65" spans="1:44" ht="19.5" customHeight="1">
      <c r="A65" s="89"/>
      <c r="B65" s="89"/>
      <c r="C65" s="82"/>
      <c r="D65" s="82"/>
      <c r="E65" s="87"/>
      <c r="F65" s="87"/>
      <c r="G65" s="87"/>
      <c r="H65" s="87"/>
      <c r="I65" s="87"/>
      <c r="J65" s="87"/>
      <c r="K65" s="87"/>
      <c r="L65" s="87"/>
      <c r="M65" s="87"/>
      <c r="N65" s="87"/>
      <c r="O65" s="87"/>
      <c r="P65" s="87"/>
      <c r="Q65" s="87"/>
      <c r="R65" s="87"/>
      <c r="S65" s="87"/>
      <c r="T65" s="87"/>
      <c r="U65" s="87"/>
      <c r="V65" s="87"/>
      <c r="W65" s="87"/>
      <c r="X65" s="87"/>
      <c r="Y65" s="87"/>
      <c r="Z65" s="87"/>
      <c r="AA65" s="87"/>
      <c r="AB65" s="87"/>
      <c r="AC65" s="87"/>
      <c r="AD65" s="87"/>
      <c r="AE65" s="87"/>
      <c r="AF65" s="87"/>
      <c r="AG65" s="87"/>
      <c r="AH65" s="87"/>
      <c r="AI65" s="82"/>
      <c r="AO65" s="62"/>
      <c r="AP65" s="62"/>
      <c r="AQ65" s="62"/>
      <c r="AR65" s="62"/>
    </row>
    <row r="66" spans="1:44" ht="19.5" customHeight="1">
      <c r="A66" s="89"/>
      <c r="B66" s="89"/>
      <c r="C66" s="82"/>
      <c r="D66" s="82"/>
      <c r="E66" s="1220" t="s">
        <v>77</v>
      </c>
      <c r="F66" s="1220"/>
      <c r="G66" s="1220"/>
      <c r="H66" s="1220"/>
      <c r="I66" s="1220"/>
      <c r="J66" s="1220"/>
      <c r="K66" s="1220"/>
      <c r="L66" s="1220"/>
      <c r="M66" s="1220"/>
      <c r="N66" s="1220"/>
      <c r="O66" s="1220"/>
      <c r="P66" s="1220"/>
      <c r="Q66" s="1220"/>
      <c r="R66" s="1220"/>
      <c r="S66" s="1220"/>
      <c r="T66" s="1220"/>
      <c r="U66" s="1220"/>
      <c r="V66" s="1220"/>
      <c r="W66" s="1220"/>
      <c r="X66" s="1220"/>
      <c r="Y66" s="1220"/>
      <c r="Z66" s="1220"/>
      <c r="AA66" s="1220"/>
      <c r="AB66" s="1220"/>
      <c r="AC66" s="1220"/>
      <c r="AD66" s="1220"/>
      <c r="AE66" s="1220"/>
      <c r="AF66" s="1220"/>
      <c r="AG66" s="1220"/>
      <c r="AH66" s="87"/>
      <c r="AI66" s="82"/>
      <c r="AO66" s="62"/>
      <c r="AP66" s="62"/>
      <c r="AQ66" s="62"/>
      <c r="AR66" s="62"/>
    </row>
    <row r="67" spans="1:44" ht="19.5" customHeight="1">
      <c r="A67" s="89"/>
      <c r="B67" s="89"/>
      <c r="C67" s="82"/>
      <c r="D67" s="82"/>
      <c r="E67" s="88"/>
      <c r="F67" s="88"/>
      <c r="G67" s="88"/>
      <c r="H67" s="88"/>
      <c r="I67" s="88"/>
      <c r="J67" s="88"/>
      <c r="K67" s="88"/>
      <c r="L67" s="88"/>
      <c r="M67" s="88"/>
      <c r="N67" s="88"/>
      <c r="O67" s="88"/>
      <c r="P67" s="88"/>
      <c r="Q67" s="88"/>
      <c r="R67" s="88"/>
      <c r="S67" s="88"/>
      <c r="T67" s="88"/>
      <c r="U67" s="88"/>
      <c r="V67" s="88"/>
      <c r="W67" s="88"/>
      <c r="X67" s="88"/>
      <c r="Y67" s="88"/>
      <c r="Z67" s="88"/>
      <c r="AA67" s="88"/>
      <c r="AB67" s="88"/>
      <c r="AC67" s="88"/>
      <c r="AD67" s="88"/>
      <c r="AE67" s="88"/>
      <c r="AF67" s="88"/>
      <c r="AG67" s="88"/>
      <c r="AH67" s="87"/>
      <c r="AI67" s="82"/>
      <c r="AO67" s="62"/>
      <c r="AP67" s="62"/>
      <c r="AQ67" s="62"/>
      <c r="AR67" s="62"/>
    </row>
    <row r="68" spans="1:44" ht="19.5" customHeight="1">
      <c r="A68" s="89"/>
      <c r="B68" s="89"/>
      <c r="C68" s="82"/>
      <c r="D68" s="82"/>
      <c r="E68" s="1201" t="s">
        <v>78</v>
      </c>
      <c r="F68" s="1202"/>
      <c r="G68" s="1202"/>
      <c r="H68" s="1202"/>
      <c r="I68" s="1202"/>
      <c r="J68" s="1202"/>
      <c r="K68" s="1202"/>
      <c r="L68" s="1202"/>
      <c r="M68" s="1202"/>
      <c r="N68" s="1202"/>
      <c r="O68" s="1202"/>
      <c r="P68" s="1202"/>
      <c r="Q68" s="1202"/>
      <c r="R68" s="1202"/>
      <c r="S68" s="1202"/>
      <c r="T68" s="1202"/>
      <c r="U68" s="1202"/>
      <c r="V68" s="1202"/>
      <c r="W68" s="1202"/>
      <c r="X68" s="1202"/>
      <c r="Y68" s="1203"/>
      <c r="Z68" s="1202" t="s">
        <v>79</v>
      </c>
      <c r="AA68" s="1202"/>
      <c r="AB68" s="1202"/>
      <c r="AC68" s="1202"/>
      <c r="AD68" s="1202"/>
      <c r="AE68" s="1202"/>
      <c r="AF68" s="1202"/>
      <c r="AG68" s="1203"/>
      <c r="AH68" s="87"/>
      <c r="AI68" s="82"/>
      <c r="AO68" s="62"/>
      <c r="AP68" s="62"/>
      <c r="AQ68" s="62"/>
      <c r="AR68" s="62"/>
    </row>
    <row r="69" spans="1:44" ht="19.5" customHeight="1">
      <c r="A69" s="89"/>
      <c r="B69" s="89"/>
      <c r="C69" s="82"/>
      <c r="D69" s="82"/>
      <c r="E69" s="1204"/>
      <c r="F69" s="1205"/>
      <c r="G69" s="1205"/>
      <c r="H69" s="1205"/>
      <c r="I69" s="1205"/>
      <c r="J69" s="1205"/>
      <c r="K69" s="1205"/>
      <c r="L69" s="1205"/>
      <c r="M69" s="1205"/>
      <c r="N69" s="1205"/>
      <c r="O69" s="1205"/>
      <c r="P69" s="1205"/>
      <c r="Q69" s="1205"/>
      <c r="R69" s="1205"/>
      <c r="S69" s="1205"/>
      <c r="T69" s="1205"/>
      <c r="U69" s="1205"/>
      <c r="V69" s="1205"/>
      <c r="W69" s="1205"/>
      <c r="X69" s="1205"/>
      <c r="Y69" s="1206"/>
      <c r="Z69" s="1205"/>
      <c r="AA69" s="1205"/>
      <c r="AB69" s="1205"/>
      <c r="AC69" s="1205"/>
      <c r="AD69" s="1205"/>
      <c r="AE69" s="1205"/>
      <c r="AF69" s="1205"/>
      <c r="AG69" s="1206"/>
      <c r="AH69" s="87"/>
      <c r="AI69" s="82"/>
      <c r="AO69" s="62"/>
      <c r="AP69" s="62"/>
      <c r="AQ69" s="62"/>
      <c r="AR69" s="62"/>
    </row>
    <row r="70" spans="1:44" ht="19.5" customHeight="1">
      <c r="A70" s="89"/>
      <c r="B70" s="89"/>
      <c r="C70" s="82"/>
      <c r="D70" s="82"/>
      <c r="E70" s="97"/>
      <c r="F70" s="97"/>
      <c r="G70" s="97"/>
      <c r="H70" s="97"/>
      <c r="I70" s="97"/>
      <c r="J70" s="97"/>
      <c r="K70" s="97"/>
      <c r="L70" s="97"/>
      <c r="M70" s="97"/>
      <c r="N70" s="97"/>
      <c r="O70" s="97"/>
      <c r="P70" s="97"/>
      <c r="Q70" s="97"/>
      <c r="R70" s="97"/>
      <c r="S70" s="97"/>
      <c r="T70" s="97"/>
      <c r="U70" s="97"/>
      <c r="V70" s="97"/>
      <c r="W70" s="97"/>
      <c r="X70" s="97"/>
      <c r="Y70" s="97"/>
      <c r="Z70" s="97"/>
      <c r="AA70" s="97"/>
      <c r="AB70" s="97"/>
      <c r="AC70" s="97"/>
      <c r="AD70" s="97"/>
      <c r="AE70" s="97"/>
      <c r="AF70" s="97"/>
      <c r="AG70" s="97"/>
      <c r="AH70" s="87"/>
      <c r="AI70" s="82"/>
    </row>
    <row r="71" spans="1:44" ht="19.5" customHeight="1">
      <c r="A71" s="89"/>
      <c r="B71" s="89"/>
      <c r="C71" s="82"/>
      <c r="D71" s="82"/>
      <c r="E71" s="1220" t="s">
        <v>80</v>
      </c>
      <c r="F71" s="1220"/>
      <c r="G71" s="1220"/>
      <c r="H71" s="1220"/>
      <c r="I71" s="1220"/>
      <c r="J71" s="1220"/>
      <c r="K71" s="1220"/>
      <c r="L71" s="1220"/>
      <c r="M71" s="1220"/>
      <c r="N71" s="1220"/>
      <c r="O71" s="1220"/>
      <c r="P71" s="1220"/>
      <c r="Q71" s="1220"/>
      <c r="R71" s="1220"/>
      <c r="S71" s="1220"/>
      <c r="T71" s="1220"/>
      <c r="U71" s="1220"/>
      <c r="V71" s="1220"/>
      <c r="W71" s="1220"/>
      <c r="X71" s="1220"/>
      <c r="Y71" s="1220"/>
      <c r="Z71" s="94"/>
      <c r="AA71" s="94"/>
      <c r="AB71" s="91"/>
      <c r="AC71" s="91"/>
      <c r="AD71" s="91"/>
      <c r="AE71" s="91"/>
      <c r="AF71" s="91"/>
      <c r="AG71" s="91"/>
      <c r="AH71" s="88"/>
      <c r="AI71" s="82"/>
    </row>
    <row r="72" spans="1:44" ht="19.5" customHeight="1">
      <c r="A72" s="89"/>
      <c r="B72" s="89"/>
      <c r="C72" s="82"/>
      <c r="D72" s="82"/>
      <c r="E72" s="96"/>
      <c r="F72" s="96"/>
      <c r="G72" s="96"/>
      <c r="H72" s="96"/>
      <c r="I72" s="96"/>
      <c r="J72" s="96"/>
      <c r="K72" s="96"/>
      <c r="L72" s="96"/>
      <c r="M72" s="96"/>
      <c r="N72" s="96"/>
      <c r="O72" s="96"/>
      <c r="P72" s="96"/>
      <c r="Q72" s="96"/>
      <c r="R72" s="96"/>
      <c r="S72" s="96"/>
      <c r="T72" s="96"/>
      <c r="U72" s="96"/>
      <c r="V72" s="96"/>
      <c r="W72" s="96"/>
      <c r="X72" s="96"/>
      <c r="Y72" s="96"/>
      <c r="Z72" s="96"/>
      <c r="AA72" s="96"/>
      <c r="AB72" s="82"/>
      <c r="AC72" s="82"/>
      <c r="AD72" s="82"/>
      <c r="AE72" s="82"/>
      <c r="AF72" s="82"/>
      <c r="AG72" s="82"/>
      <c r="AH72" s="88"/>
      <c r="AI72" s="82"/>
    </row>
    <row r="73" spans="1:44" ht="19.5" customHeight="1">
      <c r="A73" s="89"/>
      <c r="B73" s="89"/>
      <c r="C73" s="82"/>
      <c r="D73" s="82"/>
      <c r="E73" s="96"/>
      <c r="F73" s="96"/>
      <c r="G73" s="96"/>
      <c r="H73" s="96"/>
      <c r="I73" s="96"/>
      <c r="J73" s="96"/>
      <c r="K73" s="96"/>
      <c r="L73" s="96"/>
      <c r="M73" s="96"/>
      <c r="N73" s="96"/>
      <c r="O73" s="96"/>
      <c r="P73" s="96"/>
      <c r="Q73" s="96"/>
      <c r="R73" s="96"/>
      <c r="S73" s="96"/>
      <c r="T73" s="96"/>
      <c r="U73" s="96"/>
      <c r="V73" s="96"/>
      <c r="W73" s="96"/>
      <c r="X73" s="96"/>
      <c r="Y73" s="96"/>
      <c r="Z73" s="96"/>
      <c r="AA73" s="96"/>
      <c r="AB73" s="82"/>
      <c r="AC73" s="82"/>
      <c r="AD73" s="82"/>
      <c r="AE73" s="82"/>
      <c r="AF73" s="82"/>
      <c r="AG73" s="82"/>
      <c r="AH73" s="88"/>
      <c r="AI73" s="82"/>
    </row>
    <row r="74" spans="1:44" ht="19.5" customHeight="1">
      <c r="A74" s="89"/>
      <c r="B74" s="89"/>
      <c r="C74" s="82"/>
      <c r="D74" s="82"/>
      <c r="E74" s="96"/>
      <c r="F74" s="96"/>
      <c r="G74" s="96"/>
      <c r="H74" s="96"/>
      <c r="I74" s="96"/>
      <c r="J74" s="96"/>
      <c r="K74" s="96"/>
      <c r="L74" s="96"/>
      <c r="M74" s="96"/>
      <c r="N74" s="96"/>
      <c r="O74" s="96"/>
      <c r="P74" s="96"/>
      <c r="Q74" s="96"/>
      <c r="R74" s="96"/>
      <c r="S74" s="96"/>
      <c r="T74" s="96"/>
      <c r="U74" s="96"/>
      <c r="V74" s="96"/>
      <c r="W74" s="96"/>
      <c r="X74" s="96"/>
      <c r="Y74" s="96"/>
      <c r="Z74" s="96"/>
      <c r="AA74" s="96"/>
      <c r="AB74" s="82"/>
      <c r="AC74" s="82"/>
      <c r="AD74" s="82"/>
      <c r="AE74" s="82"/>
      <c r="AF74" s="82"/>
      <c r="AG74" s="82"/>
      <c r="AH74" s="88"/>
      <c r="AI74" s="82"/>
    </row>
    <row r="75" spans="1:44" ht="19.5" customHeight="1">
      <c r="A75" s="42"/>
      <c r="B75" s="92" t="s">
        <v>81</v>
      </c>
      <c r="C75" s="91"/>
      <c r="D75" s="91"/>
      <c r="E75" s="94"/>
      <c r="F75" s="88"/>
      <c r="G75" s="91"/>
      <c r="H75" s="91"/>
      <c r="I75" s="91"/>
      <c r="J75" s="91"/>
      <c r="K75" s="91"/>
      <c r="L75" s="91"/>
      <c r="M75" s="91"/>
      <c r="N75" s="91"/>
      <c r="O75" s="91"/>
      <c r="P75" s="91"/>
      <c r="Q75" s="91"/>
      <c r="R75" s="91"/>
      <c r="S75" s="91"/>
      <c r="T75" s="91"/>
      <c r="U75" s="91"/>
      <c r="V75" s="91"/>
      <c r="W75" s="91"/>
      <c r="X75" s="91"/>
      <c r="Y75" s="91"/>
      <c r="Z75" s="91"/>
      <c r="AA75" s="91"/>
      <c r="AB75" s="91"/>
      <c r="AC75" s="91"/>
      <c r="AD75" s="91"/>
      <c r="AE75" s="91"/>
      <c r="AF75" s="91"/>
      <c r="AG75" s="91"/>
      <c r="AH75" s="95"/>
      <c r="AI75" s="82"/>
    </row>
    <row r="76" spans="1:44" ht="19.5" customHeight="1">
      <c r="A76" s="42"/>
      <c r="B76" s="92"/>
      <c r="C76" s="91"/>
      <c r="D76" s="91"/>
      <c r="E76" s="94"/>
      <c r="F76" s="88"/>
      <c r="G76" s="91"/>
      <c r="H76" s="91"/>
      <c r="I76" s="91"/>
      <c r="J76" s="91"/>
      <c r="K76" s="91"/>
      <c r="L76" s="91"/>
      <c r="M76" s="91"/>
      <c r="N76" s="91"/>
      <c r="O76" s="91"/>
      <c r="P76" s="91"/>
      <c r="Q76" s="91"/>
      <c r="R76" s="91"/>
      <c r="S76" s="91"/>
      <c r="T76" s="91"/>
      <c r="U76" s="91"/>
      <c r="V76" s="91"/>
      <c r="W76" s="91"/>
      <c r="X76" s="91"/>
      <c r="Y76" s="91"/>
      <c r="Z76" s="91"/>
      <c r="AA76" s="91"/>
      <c r="AB76" s="91"/>
      <c r="AC76" s="91"/>
      <c r="AD76" s="91"/>
      <c r="AE76" s="91"/>
      <c r="AF76" s="91"/>
      <c r="AG76" s="91"/>
      <c r="AH76" s="95"/>
      <c r="AI76" s="82"/>
      <c r="AJ76" s="62"/>
    </row>
    <row r="77" spans="1:44" ht="19.5" customHeight="1">
      <c r="A77" s="42"/>
      <c r="B77" s="42"/>
      <c r="C77" s="91"/>
      <c r="D77" s="98" t="s">
        <v>82</v>
      </c>
      <c r="E77" s="54"/>
      <c r="F77" s="91"/>
      <c r="G77" s="91"/>
      <c r="H77" s="91"/>
      <c r="I77" s="91"/>
      <c r="J77" s="91"/>
      <c r="K77" s="91"/>
      <c r="L77" s="91"/>
      <c r="M77" s="91"/>
      <c r="N77" s="91"/>
      <c r="O77" s="91"/>
      <c r="P77" s="91"/>
      <c r="Q77" s="91"/>
      <c r="R77" s="91"/>
      <c r="S77" s="91"/>
      <c r="T77" s="91"/>
      <c r="U77" s="91"/>
      <c r="V77" s="91"/>
      <c r="W77" s="91"/>
      <c r="X77" s="91"/>
      <c r="Y77" s="91"/>
      <c r="Z77" s="91"/>
      <c r="AA77" s="91"/>
      <c r="AB77" s="91"/>
      <c r="AC77" s="91"/>
      <c r="AD77" s="91"/>
      <c r="AE77" s="91"/>
      <c r="AF77" s="91"/>
      <c r="AG77" s="91"/>
      <c r="AH77" s="95"/>
      <c r="AI77" s="82"/>
    </row>
    <row r="78" spans="1:44" ht="19.5" customHeight="1">
      <c r="A78" s="42"/>
      <c r="B78" s="42"/>
      <c r="C78" s="91" t="s">
        <v>83</v>
      </c>
      <c r="D78" s="91"/>
      <c r="E78" s="94"/>
      <c r="F78" s="91"/>
      <c r="G78" s="91"/>
      <c r="H78" s="91"/>
      <c r="I78" s="91"/>
      <c r="J78" s="91"/>
      <c r="K78" s="91"/>
      <c r="L78" s="91"/>
      <c r="M78" s="91"/>
      <c r="N78" s="91"/>
      <c r="O78" s="91"/>
      <c r="P78" s="91"/>
      <c r="Q78" s="91"/>
      <c r="R78" s="91"/>
      <c r="S78" s="91"/>
      <c r="T78" s="91"/>
      <c r="U78" s="91"/>
      <c r="V78" s="91"/>
      <c r="W78" s="91"/>
      <c r="X78" s="91"/>
      <c r="Y78" s="91"/>
      <c r="Z78" s="91"/>
      <c r="AA78" s="91"/>
      <c r="AB78" s="91"/>
      <c r="AC78" s="91"/>
      <c r="AD78" s="91"/>
      <c r="AE78" s="91"/>
      <c r="AF78" s="91"/>
      <c r="AG78" s="91"/>
      <c r="AH78" s="87"/>
      <c r="AI78" s="82"/>
      <c r="AJ78" s="51"/>
      <c r="AK78" s="99"/>
      <c r="AL78" s="52"/>
      <c r="AO78" s="62"/>
      <c r="AP78" s="62"/>
      <c r="AQ78" s="62"/>
      <c r="AR78" s="62"/>
    </row>
    <row r="79" spans="1:44" ht="19.5" customHeight="1">
      <c r="A79" s="42"/>
      <c r="B79" s="42"/>
      <c r="C79" s="91"/>
      <c r="D79" s="91"/>
      <c r="E79" s="94"/>
      <c r="F79" s="91"/>
      <c r="G79" s="91"/>
      <c r="H79" s="91"/>
      <c r="I79" s="91"/>
      <c r="J79" s="91"/>
      <c r="K79" s="91"/>
      <c r="L79" s="91"/>
      <c r="M79" s="91"/>
      <c r="N79" s="91"/>
      <c r="O79" s="91"/>
      <c r="P79" s="91"/>
      <c r="Q79" s="91"/>
      <c r="R79" s="91"/>
      <c r="S79" s="91"/>
      <c r="T79" s="91"/>
      <c r="U79" s="91"/>
      <c r="V79" s="91"/>
      <c r="W79" s="91"/>
      <c r="X79" s="91"/>
      <c r="Y79" s="91"/>
      <c r="Z79" s="91"/>
      <c r="AA79" s="91"/>
      <c r="AB79" s="91"/>
      <c r="AC79" s="91"/>
      <c r="AD79" s="91"/>
      <c r="AE79" s="91"/>
      <c r="AF79" s="91"/>
      <c r="AG79" s="91"/>
      <c r="AH79" s="87"/>
      <c r="AI79" s="62"/>
      <c r="AJ79" s="51"/>
      <c r="AK79" s="51"/>
      <c r="AL79" s="52"/>
      <c r="AO79" s="62"/>
      <c r="AP79" s="62"/>
      <c r="AQ79" s="62"/>
      <c r="AR79" s="62"/>
    </row>
    <row r="80" spans="1:44" ht="19.5" customHeight="1">
      <c r="A80" s="89"/>
      <c r="B80" s="89"/>
      <c r="C80" s="1219" t="s">
        <v>72</v>
      </c>
      <c r="D80" s="1219"/>
      <c r="E80" s="1219"/>
      <c r="F80" s="1219"/>
      <c r="G80" s="1219"/>
      <c r="H80" s="1219"/>
      <c r="I80" s="1219"/>
      <c r="J80" s="1219"/>
      <c r="K80" s="1219"/>
      <c r="L80" s="1222" t="s">
        <v>84</v>
      </c>
      <c r="M80" s="1222"/>
      <c r="N80" s="1222"/>
      <c r="O80" s="1222"/>
      <c r="P80" s="1222"/>
      <c r="Q80" s="1222"/>
      <c r="R80" s="1222"/>
      <c r="S80" s="1222"/>
      <c r="T80" s="1222"/>
      <c r="U80" s="1222"/>
      <c r="V80" s="1222"/>
      <c r="W80" s="1222"/>
      <c r="X80" s="1222"/>
      <c r="Y80" s="1222"/>
      <c r="Z80" s="1222"/>
      <c r="AA80" s="1222"/>
      <c r="AB80" s="1222"/>
      <c r="AC80" s="1222"/>
      <c r="AD80" s="1222"/>
      <c r="AE80" s="1219" t="s">
        <v>85</v>
      </c>
      <c r="AF80" s="1219"/>
      <c r="AG80" s="1219"/>
      <c r="AH80" s="62"/>
      <c r="AJ80" s="51"/>
      <c r="AK80" s="51"/>
      <c r="AL80" s="52"/>
    </row>
    <row r="81" spans="1:44" ht="19.5" customHeight="1">
      <c r="A81" s="89"/>
      <c r="B81" s="89"/>
      <c r="C81" s="1219"/>
      <c r="D81" s="1219"/>
      <c r="E81" s="1219"/>
      <c r="F81" s="1219"/>
      <c r="G81" s="1219"/>
      <c r="H81" s="1219"/>
      <c r="I81" s="1219"/>
      <c r="J81" s="1219"/>
      <c r="K81" s="1219"/>
      <c r="L81" s="1221" t="s">
        <v>86</v>
      </c>
      <c r="M81" s="1221"/>
      <c r="N81" s="1221"/>
      <c r="O81" s="1221"/>
      <c r="P81" s="1221"/>
      <c r="Q81" s="1221"/>
      <c r="R81" s="1221"/>
      <c r="S81" s="1221"/>
      <c r="T81" s="1221"/>
      <c r="U81" s="1221"/>
      <c r="V81" s="1221"/>
      <c r="W81" s="1221"/>
      <c r="X81" s="1221"/>
      <c r="Y81" s="1221"/>
      <c r="Z81" s="1221"/>
      <c r="AA81" s="1221"/>
      <c r="AB81" s="1221"/>
      <c r="AC81" s="1221"/>
      <c r="AD81" s="1221"/>
      <c r="AE81" s="1219"/>
      <c r="AF81" s="1219"/>
      <c r="AG81" s="1219"/>
      <c r="AH81" s="52"/>
      <c r="AI81" s="82"/>
    </row>
    <row r="82" spans="1:44" ht="19.5" customHeight="1">
      <c r="A82" s="89"/>
      <c r="B82" s="89"/>
      <c r="C82" s="82"/>
      <c r="D82" s="82"/>
      <c r="E82" s="96"/>
      <c r="F82" s="82"/>
      <c r="G82" s="82"/>
      <c r="H82" s="82"/>
      <c r="I82" s="82"/>
      <c r="J82" s="82"/>
      <c r="K82" s="82"/>
      <c r="L82" s="82"/>
      <c r="M82" s="82"/>
      <c r="N82" s="82"/>
      <c r="O82" s="82"/>
      <c r="P82" s="82"/>
      <c r="Q82" s="82"/>
      <c r="R82" s="82"/>
      <c r="S82" s="82"/>
      <c r="T82" s="82"/>
      <c r="U82" s="82"/>
      <c r="V82" s="82"/>
      <c r="W82" s="82"/>
      <c r="X82" s="82"/>
      <c r="Y82" s="82"/>
      <c r="Z82" s="82"/>
      <c r="AA82" s="82"/>
      <c r="AB82" s="82"/>
      <c r="AC82" s="82"/>
      <c r="AD82" s="82"/>
      <c r="AE82" s="82"/>
      <c r="AF82" s="82"/>
      <c r="AG82" s="82"/>
      <c r="AH82" s="87"/>
      <c r="AI82" s="82"/>
    </row>
    <row r="83" spans="1:44" ht="19.5" customHeight="1">
      <c r="A83" s="89"/>
      <c r="B83" s="89"/>
      <c r="C83" s="82"/>
      <c r="D83" s="82"/>
      <c r="E83" s="96"/>
      <c r="F83" s="82"/>
      <c r="G83" s="82"/>
      <c r="H83" s="82"/>
      <c r="I83" s="82"/>
      <c r="J83" s="82"/>
      <c r="K83" s="82"/>
      <c r="L83" s="82"/>
      <c r="M83" s="82"/>
      <c r="N83" s="82"/>
      <c r="O83" s="82"/>
      <c r="P83" s="82"/>
      <c r="Q83" s="82"/>
      <c r="R83" s="82"/>
      <c r="S83" s="82"/>
      <c r="T83" s="82"/>
      <c r="U83" s="82"/>
      <c r="V83" s="82"/>
      <c r="W83" s="82"/>
      <c r="X83" s="82"/>
      <c r="Y83" s="82"/>
      <c r="Z83" s="82"/>
      <c r="AA83" s="82"/>
      <c r="AB83" s="87"/>
      <c r="AC83" s="87"/>
      <c r="AD83" s="87"/>
      <c r="AE83" s="82"/>
      <c r="AF83" s="82"/>
      <c r="AG83" s="82"/>
      <c r="AH83" s="87"/>
      <c r="AI83" s="82"/>
      <c r="AQ83" s="86"/>
    </row>
    <row r="84" spans="1:44" ht="19.5" customHeight="1">
      <c r="A84" s="89"/>
      <c r="B84" s="89"/>
      <c r="C84" s="82"/>
      <c r="D84" s="82"/>
      <c r="E84" s="96"/>
      <c r="F84" s="82"/>
      <c r="G84" s="82"/>
      <c r="H84" s="82"/>
      <c r="I84" s="82"/>
      <c r="J84" s="82"/>
      <c r="K84" s="82"/>
      <c r="L84" s="82"/>
      <c r="M84" s="82"/>
      <c r="N84" s="82"/>
      <c r="O84" s="82"/>
      <c r="P84" s="82"/>
      <c r="Q84" s="82"/>
      <c r="R84" s="82"/>
      <c r="S84" s="82"/>
      <c r="T84" s="82"/>
      <c r="U84" s="82"/>
      <c r="V84" s="82"/>
      <c r="W84" s="82"/>
      <c r="X84" s="82"/>
      <c r="Y84" s="82"/>
      <c r="Z84" s="82"/>
      <c r="AA84" s="82"/>
      <c r="AB84" s="87"/>
      <c r="AC84" s="87"/>
      <c r="AD84" s="87"/>
      <c r="AE84" s="82"/>
      <c r="AF84" s="82"/>
      <c r="AG84" s="82"/>
      <c r="AI84" s="87"/>
      <c r="AO84" s="86"/>
      <c r="AP84" s="86"/>
      <c r="AQ84" s="86"/>
      <c r="AR84" s="86"/>
    </row>
    <row r="85" spans="1:44" ht="19.5" customHeight="1">
      <c r="A85" s="89"/>
      <c r="B85" s="89"/>
      <c r="C85" s="82"/>
      <c r="D85" s="82"/>
      <c r="E85" s="96"/>
      <c r="F85" s="82"/>
      <c r="G85" s="82"/>
      <c r="H85" s="82"/>
      <c r="I85" s="82"/>
      <c r="J85" s="82"/>
      <c r="K85" s="82"/>
      <c r="L85" s="82"/>
      <c r="M85" s="82"/>
      <c r="N85" s="82"/>
      <c r="O85" s="82"/>
      <c r="P85" s="82"/>
      <c r="Q85" s="82"/>
      <c r="R85" s="82"/>
      <c r="S85" s="82"/>
      <c r="T85" s="82"/>
      <c r="U85" s="82"/>
      <c r="V85" s="82"/>
      <c r="W85" s="82"/>
      <c r="X85" s="82"/>
      <c r="Y85" s="82"/>
      <c r="Z85" s="82"/>
      <c r="AA85" s="82"/>
      <c r="AB85" s="87"/>
      <c r="AC85" s="87"/>
      <c r="AD85" s="87"/>
      <c r="AE85" s="82"/>
      <c r="AF85" s="82"/>
      <c r="AG85" s="82"/>
      <c r="AI85" s="87"/>
      <c r="AO85" s="86"/>
      <c r="AP85" s="86"/>
    </row>
    <row r="86" spans="1:44" ht="19.5" customHeight="1">
      <c r="A86" s="89"/>
      <c r="B86" s="89"/>
      <c r="C86" s="82"/>
      <c r="D86" s="82"/>
      <c r="E86" s="96"/>
      <c r="F86" s="82"/>
      <c r="G86" s="82"/>
      <c r="H86" s="82"/>
      <c r="I86" s="82"/>
      <c r="J86" s="82"/>
      <c r="K86" s="82"/>
      <c r="L86" s="82"/>
      <c r="M86" s="82"/>
      <c r="N86" s="82"/>
      <c r="O86" s="82"/>
      <c r="P86" s="82"/>
      <c r="Q86" s="82"/>
      <c r="R86" s="82"/>
      <c r="S86" s="82"/>
      <c r="T86" s="82"/>
      <c r="U86" s="82"/>
      <c r="V86" s="82"/>
      <c r="W86" s="82"/>
      <c r="X86" s="82"/>
      <c r="Y86" s="82"/>
      <c r="Z86" s="82"/>
      <c r="AA86" s="82"/>
      <c r="AB86" s="82"/>
      <c r="AC86" s="82"/>
      <c r="AD86" s="82"/>
      <c r="AE86" s="82"/>
      <c r="AF86" s="82"/>
      <c r="AG86" s="82"/>
      <c r="AI86" s="82"/>
      <c r="AO86" s="86"/>
      <c r="AP86" s="86"/>
    </row>
    <row r="87" spans="1:44" ht="19.5" customHeight="1">
      <c r="AI87" s="82"/>
      <c r="AO87" s="62"/>
    </row>
    <row r="88" spans="1:44" ht="14.25" customHeight="1">
      <c r="A88" s="51"/>
      <c r="B88" s="63"/>
      <c r="AO88" s="62"/>
    </row>
    <row r="89" spans="1:44" ht="14.25" customHeight="1">
      <c r="B89" s="54"/>
      <c r="C89" s="54"/>
      <c r="D89" s="50"/>
      <c r="E89" s="50"/>
      <c r="F89" s="50"/>
      <c r="G89" s="50"/>
      <c r="H89" s="50"/>
      <c r="I89" s="50"/>
      <c r="J89" s="50"/>
      <c r="K89" s="50"/>
      <c r="L89" s="51"/>
      <c r="M89" s="51"/>
      <c r="N89" s="51"/>
      <c r="O89" s="51"/>
      <c r="P89" s="52"/>
      <c r="Q89" s="53"/>
      <c r="R89" s="53"/>
    </row>
    <row r="90" spans="1:44" ht="14.25" customHeight="1">
      <c r="A90" s="51"/>
      <c r="C90" s="42"/>
    </row>
    <row r="91" spans="1:44" ht="14.25" customHeight="1">
      <c r="B91" s="47"/>
    </row>
    <row r="92" spans="1:44" ht="14.25" customHeight="1">
      <c r="C92" s="54"/>
      <c r="D92" s="55"/>
      <c r="E92" s="55"/>
      <c r="F92" s="55"/>
      <c r="G92" s="55"/>
      <c r="H92" s="55"/>
    </row>
    <row r="93" spans="1:44" ht="14.25" customHeight="1">
      <c r="C93" s="54"/>
      <c r="D93" s="67"/>
      <c r="E93" s="55"/>
      <c r="F93" s="55"/>
      <c r="G93" s="55"/>
      <c r="H93" s="55"/>
    </row>
    <row r="99" spans="39:40" ht="14.25" customHeight="1">
      <c r="AM99" s="50"/>
      <c r="AN99" s="62"/>
    </row>
    <row r="100" spans="39:40" ht="14.25" customHeight="1">
      <c r="AM100" s="50"/>
      <c r="AN100" s="62"/>
    </row>
    <row r="101" spans="39:40" ht="14.25" customHeight="1">
      <c r="AM101" s="50"/>
      <c r="AN101" s="62"/>
    </row>
    <row r="102" spans="39:40" ht="14.25" customHeight="1">
      <c r="AM102" s="50"/>
      <c r="AN102" s="62"/>
    </row>
    <row r="103" spans="39:40" ht="14.25" customHeight="1">
      <c r="AM103" s="50"/>
      <c r="AN103" s="50"/>
    </row>
    <row r="104" spans="39:40" ht="14.25" customHeight="1">
      <c r="AM104" s="50"/>
      <c r="AN104" s="50"/>
    </row>
    <row r="105" spans="39:40" ht="14.25" customHeight="1">
      <c r="AM105" s="50"/>
      <c r="AN105" s="50"/>
    </row>
    <row r="106" spans="39:40" ht="14.25" customHeight="1">
      <c r="AM106" s="50"/>
      <c r="AN106" s="50"/>
    </row>
    <row r="107" spans="39:40" ht="14.25" customHeight="1">
      <c r="AM107" s="50"/>
      <c r="AN107" s="50"/>
    </row>
    <row r="108" spans="39:40" ht="14.25" customHeight="1">
      <c r="AM108" s="50"/>
      <c r="AN108" s="50"/>
    </row>
    <row r="109" spans="39:40" ht="14.25" customHeight="1">
      <c r="AM109" s="50"/>
      <c r="AN109" s="50"/>
    </row>
    <row r="110" spans="39:40" ht="14.25" customHeight="1">
      <c r="AM110" s="50"/>
      <c r="AN110" s="50"/>
    </row>
    <row r="111" spans="39:40" ht="14.25" customHeight="1">
      <c r="AM111" s="50"/>
      <c r="AN111" s="50"/>
    </row>
    <row r="120" spans="40:40" ht="14.25" customHeight="1">
      <c r="AN120" s="50"/>
    </row>
    <row r="121" spans="40:40" ht="14.25" customHeight="1">
      <c r="AN121" s="50"/>
    </row>
    <row r="122" spans="40:40" ht="14.25" customHeight="1">
      <c r="AN122" s="86"/>
    </row>
    <row r="123" spans="40:40" ht="14.25" customHeight="1">
      <c r="AN123" s="86"/>
    </row>
    <row r="124" spans="40:40" ht="14.25" customHeight="1">
      <c r="AN124" s="86"/>
    </row>
    <row r="125" spans="40:40" ht="14.25" customHeight="1">
      <c r="AN125" s="86"/>
    </row>
    <row r="129" spans="40:40" ht="14.25" customHeight="1">
      <c r="AN129" s="62"/>
    </row>
    <row r="130" spans="40:40" ht="14.25" customHeight="1">
      <c r="AN130" s="62"/>
    </row>
  </sheetData>
  <sheetProtection sheet="1" objects="1" scenarios="1" selectLockedCells="1"/>
  <mergeCells count="28">
    <mergeCell ref="E71:Y71"/>
    <mergeCell ref="C80:K81"/>
    <mergeCell ref="L80:AD80"/>
    <mergeCell ref="AE80:AG81"/>
    <mergeCell ref="L81:AD81"/>
    <mergeCell ref="E68:Y69"/>
    <mergeCell ref="Z68:AG69"/>
    <mergeCell ref="C39:I40"/>
    <mergeCell ref="J39:O40"/>
    <mergeCell ref="P39:W40"/>
    <mergeCell ref="X39:Z40"/>
    <mergeCell ref="D41:H42"/>
    <mergeCell ref="J41:O42"/>
    <mergeCell ref="P41:W42"/>
    <mergeCell ref="X41:Z42"/>
    <mergeCell ref="C56:K57"/>
    <mergeCell ref="L56:Y56"/>
    <mergeCell ref="Z56:AB57"/>
    <mergeCell ref="L57:Y57"/>
    <mergeCell ref="E66:AG66"/>
    <mergeCell ref="C29:I30"/>
    <mergeCell ref="J29:O30"/>
    <mergeCell ref="P29:W30"/>
    <mergeCell ref="X29:Z30"/>
    <mergeCell ref="D31:H32"/>
    <mergeCell ref="J31:O32"/>
    <mergeCell ref="P31:W32"/>
    <mergeCell ref="X31:Z32"/>
  </mergeCells>
  <phoneticPr fontId="5"/>
  <pageMargins left="0.59055118110236227" right="0.59055118110236227" top="0.59055118110236227" bottom="0.39370078740157483" header="0" footer="0.19685039370078741"/>
  <pageSetup paperSize="9" scale="85" firstPageNumber="2" fitToHeight="2" orientation="portrait" cellComments="asDisplayed" useFirstPageNumber="1" r:id="rId1"/>
  <headerFooter scaleWithDoc="0" alignWithMargins="0">
    <evenFooter>&amp;R&amp;G</evenFooter>
  </headerFooter>
  <rowBreaks count="1" manualBreakCount="1">
    <brk id="44" max="38" man="1"/>
  </row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AI48"/>
  <sheetViews>
    <sheetView view="pageBreakPreview" zoomScale="90" zoomScaleNormal="100" zoomScaleSheetLayoutView="90" workbookViewId="0">
      <selection sqref="A1:AH1"/>
    </sheetView>
  </sheetViews>
  <sheetFormatPr defaultColWidth="2.625" defaultRowHeight="13.5"/>
  <cols>
    <col min="1" max="16384" width="2.625" style="106"/>
  </cols>
  <sheetData>
    <row r="1" spans="1:35" s="101" customFormat="1" ht="21">
      <c r="A1" s="1223" t="s">
        <v>87</v>
      </c>
      <c r="B1" s="1223"/>
      <c r="C1" s="1223"/>
      <c r="D1" s="1223"/>
      <c r="E1" s="1223"/>
      <c r="F1" s="1223"/>
      <c r="G1" s="1223"/>
      <c r="H1" s="1223"/>
      <c r="I1" s="1223"/>
      <c r="J1" s="1223"/>
      <c r="K1" s="1223"/>
      <c r="L1" s="1223"/>
      <c r="M1" s="1223"/>
      <c r="N1" s="1223"/>
      <c r="O1" s="1223"/>
      <c r="P1" s="1223"/>
      <c r="Q1" s="1223"/>
      <c r="R1" s="1223"/>
      <c r="S1" s="1223"/>
      <c r="T1" s="1223"/>
      <c r="U1" s="1223"/>
      <c r="V1" s="1223"/>
      <c r="W1" s="1223"/>
      <c r="X1" s="1223"/>
      <c r="Y1" s="1223"/>
      <c r="Z1" s="1223"/>
      <c r="AA1" s="1223"/>
      <c r="AB1" s="1223"/>
      <c r="AC1" s="1223"/>
      <c r="AD1" s="1223"/>
      <c r="AE1" s="1223"/>
      <c r="AF1" s="1223"/>
      <c r="AG1" s="1223"/>
      <c r="AH1" s="1223"/>
      <c r="AI1" s="100"/>
    </row>
    <row r="2" spans="1:35" s="101" customFormat="1" ht="27" customHeight="1">
      <c r="A2" s="102"/>
      <c r="B2" s="102"/>
      <c r="C2" s="102"/>
      <c r="D2" s="102"/>
      <c r="E2" s="102"/>
      <c r="F2" s="102"/>
      <c r="G2" s="102"/>
      <c r="H2" s="102"/>
      <c r="AH2" s="103"/>
    </row>
    <row r="3" spans="1:35" s="101" customFormat="1" ht="18" customHeight="1">
      <c r="A3" s="101" t="s">
        <v>88</v>
      </c>
      <c r="I3" s="104"/>
    </row>
    <row r="4" spans="1:35" s="101" customFormat="1" ht="18" customHeight="1">
      <c r="A4" s="105" t="s">
        <v>89</v>
      </c>
    </row>
    <row r="5" spans="1:35" s="101" customFormat="1" ht="18" customHeight="1">
      <c r="A5" s="105" t="s">
        <v>90</v>
      </c>
    </row>
    <row r="6" spans="1:35" s="101" customFormat="1" ht="15" customHeight="1">
      <c r="A6" s="105"/>
    </row>
    <row r="7" spans="1:35" s="101" customFormat="1" ht="18" customHeight="1">
      <c r="A7" s="101" t="s">
        <v>91</v>
      </c>
      <c r="I7" s="104"/>
    </row>
    <row r="8" spans="1:35" s="101" customFormat="1" ht="18" customHeight="1">
      <c r="A8" s="105" t="s">
        <v>92</v>
      </c>
    </row>
    <row r="9" spans="1:35" s="101" customFormat="1" ht="15" customHeight="1"/>
    <row r="10" spans="1:35" s="101" customFormat="1" ht="18" customHeight="1">
      <c r="A10" s="101" t="s">
        <v>93</v>
      </c>
    </row>
    <row r="11" spans="1:35" s="101" customFormat="1" ht="18" customHeight="1">
      <c r="A11" s="105" t="s">
        <v>94</v>
      </c>
    </row>
    <row r="12" spans="1:35" s="101" customFormat="1" ht="18" customHeight="1">
      <c r="A12" s="105" t="s">
        <v>95</v>
      </c>
    </row>
    <row r="13" spans="1:35" s="101" customFormat="1" ht="15" customHeight="1"/>
    <row r="14" spans="1:35" s="101" customFormat="1" ht="18" customHeight="1">
      <c r="A14" s="101" t="s">
        <v>96</v>
      </c>
    </row>
    <row r="15" spans="1:35" s="101" customFormat="1" ht="18" customHeight="1">
      <c r="A15" s="105" t="s">
        <v>97</v>
      </c>
    </row>
    <row r="16" spans="1:35" s="101" customFormat="1" ht="18" customHeight="1">
      <c r="A16" s="105" t="s">
        <v>98</v>
      </c>
    </row>
    <row r="17" spans="1:1" s="101" customFormat="1" ht="15" customHeight="1"/>
    <row r="18" spans="1:1" s="101" customFormat="1" ht="18" customHeight="1">
      <c r="A18" s="101" t="s">
        <v>99</v>
      </c>
    </row>
    <row r="19" spans="1:1" s="101" customFormat="1" ht="18" customHeight="1">
      <c r="A19" s="105" t="s">
        <v>100</v>
      </c>
    </row>
    <row r="20" spans="1:1" s="101" customFormat="1" ht="15" customHeight="1"/>
    <row r="21" spans="1:1" s="101" customFormat="1" ht="18" customHeight="1">
      <c r="A21" s="101" t="s">
        <v>101</v>
      </c>
    </row>
    <row r="22" spans="1:1" s="101" customFormat="1" ht="18" customHeight="1">
      <c r="A22" s="105" t="s">
        <v>102</v>
      </c>
    </row>
    <row r="23" spans="1:1" s="101" customFormat="1" ht="15.75" customHeight="1"/>
    <row r="24" spans="1:1" s="101" customFormat="1" ht="18" customHeight="1">
      <c r="A24" s="101" t="s">
        <v>103</v>
      </c>
    </row>
    <row r="25" spans="1:1" s="101" customFormat="1" ht="18" customHeight="1">
      <c r="A25" s="105" t="s">
        <v>104</v>
      </c>
    </row>
    <row r="26" spans="1:1" s="101" customFormat="1" ht="15" customHeight="1">
      <c r="A26" s="101" t="s">
        <v>105</v>
      </c>
    </row>
    <row r="27" spans="1:1" s="101" customFormat="1" ht="18" customHeight="1">
      <c r="A27" s="101" t="s">
        <v>106</v>
      </c>
    </row>
    <row r="28" spans="1:1" s="101" customFormat="1" ht="18" customHeight="1">
      <c r="A28" s="105" t="s">
        <v>107</v>
      </c>
    </row>
    <row r="29" spans="1:1" s="101" customFormat="1" ht="15" customHeight="1">
      <c r="A29" s="105"/>
    </row>
    <row r="30" spans="1:1" s="101" customFormat="1" ht="18" customHeight="1">
      <c r="A30" s="101" t="s">
        <v>108</v>
      </c>
    </row>
    <row r="31" spans="1:1" s="101" customFormat="1" ht="18" customHeight="1">
      <c r="A31" s="105" t="s">
        <v>109</v>
      </c>
    </row>
    <row r="32" spans="1:1" s="101" customFormat="1" ht="18" customHeight="1">
      <c r="A32" s="105" t="s">
        <v>110</v>
      </c>
    </row>
    <row r="33" spans="1:34" s="101" customFormat="1" ht="15" customHeight="1">
      <c r="A33" s="105"/>
    </row>
    <row r="34" spans="1:34" s="101" customFormat="1" ht="18" customHeight="1">
      <c r="A34" s="101" t="s">
        <v>111</v>
      </c>
    </row>
    <row r="35" spans="1:34" s="101" customFormat="1" ht="18" customHeight="1">
      <c r="A35" s="105" t="s">
        <v>112</v>
      </c>
    </row>
    <row r="36" spans="1:34" s="101" customFormat="1" ht="18" customHeight="1">
      <c r="A36" s="105" t="s">
        <v>113</v>
      </c>
    </row>
    <row r="37" spans="1:34" s="101" customFormat="1" ht="15" customHeight="1">
      <c r="A37" s="105"/>
    </row>
    <row r="38" spans="1:34" s="101" customFormat="1" ht="18" customHeight="1">
      <c r="A38" s="101" t="s">
        <v>114</v>
      </c>
    </row>
    <row r="39" spans="1:34" s="101" customFormat="1" ht="18" customHeight="1">
      <c r="A39" s="105" t="s">
        <v>115</v>
      </c>
    </row>
    <row r="40" spans="1:34" ht="15" customHeight="1">
      <c r="A40" s="101"/>
      <c r="B40" s="101"/>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c r="AB40" s="101"/>
      <c r="AC40" s="101"/>
      <c r="AD40" s="101"/>
      <c r="AE40" s="101"/>
      <c r="AF40" s="101"/>
      <c r="AG40" s="101"/>
      <c r="AH40" s="101"/>
    </row>
    <row r="41" spans="1:34" ht="18" customHeight="1">
      <c r="A41" s="101" t="s">
        <v>116</v>
      </c>
      <c r="B41" s="101"/>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c r="AB41" s="101"/>
      <c r="AC41" s="101"/>
      <c r="AD41" s="101"/>
      <c r="AE41" s="101"/>
      <c r="AF41" s="101"/>
      <c r="AG41" s="101"/>
      <c r="AH41" s="101"/>
    </row>
    <row r="42" spans="1:34" ht="18" customHeight="1">
      <c r="A42" s="105" t="s">
        <v>117</v>
      </c>
      <c r="B42" s="101"/>
      <c r="C42" s="101"/>
      <c r="D42" s="101"/>
      <c r="E42" s="101"/>
      <c r="F42" s="101"/>
      <c r="G42" s="101"/>
      <c r="H42" s="101"/>
      <c r="I42" s="101"/>
      <c r="J42" s="101"/>
      <c r="K42" s="101"/>
      <c r="L42" s="101"/>
      <c r="M42" s="101"/>
      <c r="N42" s="101"/>
      <c r="O42" s="101"/>
      <c r="P42" s="101"/>
      <c r="Q42" s="101"/>
      <c r="R42" s="101"/>
      <c r="S42" s="101"/>
      <c r="T42" s="101"/>
      <c r="U42" s="101"/>
      <c r="V42" s="101"/>
      <c r="W42" s="101"/>
      <c r="X42" s="101"/>
      <c r="Y42" s="101"/>
      <c r="Z42" s="101"/>
      <c r="AA42" s="101"/>
      <c r="AB42" s="101"/>
      <c r="AC42" s="101"/>
      <c r="AD42" s="101"/>
      <c r="AE42" s="101"/>
      <c r="AF42" s="101"/>
      <c r="AG42" s="101"/>
      <c r="AH42" s="101"/>
    </row>
    <row r="43" spans="1:34" ht="15" customHeight="1">
      <c r="A43" s="101"/>
      <c r="B43" s="101"/>
      <c r="C43" s="101"/>
      <c r="D43" s="101"/>
      <c r="E43" s="101"/>
      <c r="F43" s="101"/>
      <c r="G43" s="101"/>
      <c r="H43" s="101"/>
      <c r="I43" s="101"/>
      <c r="J43" s="101"/>
      <c r="K43" s="101"/>
      <c r="L43" s="101"/>
      <c r="M43" s="101"/>
      <c r="N43" s="101"/>
      <c r="O43" s="101"/>
      <c r="P43" s="101"/>
      <c r="Q43" s="101"/>
      <c r="R43" s="101"/>
      <c r="S43" s="101"/>
      <c r="T43" s="101"/>
      <c r="U43" s="101"/>
      <c r="V43" s="101"/>
      <c r="W43" s="101"/>
      <c r="X43" s="101"/>
      <c r="Y43" s="101"/>
      <c r="Z43" s="101"/>
      <c r="AA43" s="101"/>
      <c r="AB43" s="101"/>
      <c r="AC43" s="101"/>
      <c r="AD43" s="101"/>
      <c r="AE43" s="101"/>
      <c r="AF43" s="101"/>
      <c r="AG43" s="101"/>
      <c r="AH43" s="101"/>
    </row>
    <row r="44" spans="1:34" ht="18" customHeight="1"/>
    <row r="45" spans="1:34" ht="18" customHeight="1"/>
    <row r="46" spans="1:34" ht="18" customHeight="1"/>
    <row r="47" spans="1:34" ht="18" customHeight="1"/>
    <row r="48" spans="1:34" ht="18" customHeight="1"/>
  </sheetData>
  <sheetProtection sheet="1" objects="1" scenarios="1" selectLockedCells="1"/>
  <mergeCells count="1">
    <mergeCell ref="A1:AH1"/>
  </mergeCells>
  <phoneticPr fontId="5"/>
  <pageMargins left="0.59055118110236227" right="0.59055118110236227" top="0.59055118110236227" bottom="0.59055118110236227" header="0.31496062992125984" footer="0.19685039370078741"/>
  <pageSetup paperSize="9" scale="99" firstPageNumber="3" orientation="portrait" useFirstPageNumber="1"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pageSetUpPr fitToPage="1"/>
  </sheetPr>
  <dimension ref="A1:AI48"/>
  <sheetViews>
    <sheetView showGridLines="0" zoomScale="80" zoomScaleNormal="80" zoomScaleSheetLayoutView="80" workbookViewId="0">
      <selection activeCell="M9" sqref="M9"/>
    </sheetView>
  </sheetViews>
  <sheetFormatPr defaultColWidth="2.75" defaultRowHeight="14.25" customHeight="1" outlineLevelCol="1"/>
  <cols>
    <col min="1" max="1" width="2.75" style="2"/>
    <col min="2" max="2" width="0.875" style="2" customWidth="1"/>
    <col min="3" max="11" width="2.625" style="2" customWidth="1"/>
    <col min="12" max="16" width="15" style="2" customWidth="1"/>
    <col min="17" max="18" width="2.625" style="2" customWidth="1"/>
    <col min="19" max="20" width="15" style="2" customWidth="1"/>
    <col min="21" max="21" width="2.625" style="2" customWidth="1"/>
    <col min="22" max="30" width="2.625" style="2" customWidth="1" outlineLevel="1"/>
    <col min="31" max="31" width="18" style="2" customWidth="1" outlineLevel="1"/>
    <col min="32" max="32" width="17.375" style="2" customWidth="1" outlineLevel="1"/>
    <col min="33" max="33" width="13.375" style="2" customWidth="1" outlineLevel="1"/>
    <col min="34" max="16384" width="2.75" style="2"/>
  </cols>
  <sheetData>
    <row r="1" spans="2:30" ht="14.25" customHeight="1">
      <c r="AD1" s="2" t="s">
        <v>118</v>
      </c>
    </row>
    <row r="2" spans="2:30" ht="14.25" customHeight="1">
      <c r="B2" s="107" t="s">
        <v>119</v>
      </c>
      <c r="C2" s="107"/>
      <c r="AD2" s="107"/>
    </row>
    <row r="4" spans="2:30" s="30" customFormat="1" ht="18" customHeight="1">
      <c r="B4" s="108" t="s">
        <v>120</v>
      </c>
      <c r="C4" s="108" t="s">
        <v>121</v>
      </c>
      <c r="E4" s="109"/>
      <c r="F4" s="109"/>
      <c r="G4" s="109"/>
      <c r="H4" s="109"/>
      <c r="I4" s="110"/>
      <c r="J4" s="110"/>
      <c r="K4" s="110"/>
      <c r="L4" s="110"/>
      <c r="M4" s="110"/>
      <c r="U4" s="2"/>
      <c r="V4" s="2"/>
      <c r="W4" s="2"/>
      <c r="X4" s="2"/>
      <c r="Y4" s="2"/>
      <c r="Z4" s="2"/>
      <c r="AA4" s="2"/>
      <c r="AB4" s="2"/>
      <c r="AD4" s="108"/>
    </row>
    <row r="5" spans="2:30" s="30" customFormat="1" ht="18" customHeight="1">
      <c r="D5" s="58" t="s">
        <v>122</v>
      </c>
      <c r="F5" s="109"/>
      <c r="G5" s="109"/>
      <c r="H5" s="109"/>
      <c r="I5" s="110"/>
      <c r="J5" s="110"/>
      <c r="K5" s="110"/>
      <c r="L5" s="110"/>
      <c r="M5" s="110"/>
      <c r="N5" s="110"/>
      <c r="O5" s="110"/>
      <c r="P5" s="110"/>
      <c r="Q5" s="110"/>
      <c r="R5" s="110"/>
      <c r="S5" s="110"/>
      <c r="T5" s="110"/>
      <c r="U5" s="2"/>
      <c r="V5" s="2"/>
      <c r="W5" s="2"/>
      <c r="X5" s="2"/>
      <c r="Y5" s="2"/>
      <c r="Z5" s="2"/>
      <c r="AA5" s="2"/>
      <c r="AB5" s="2"/>
    </row>
    <row r="6" spans="2:30" s="30" customFormat="1" ht="14.1" customHeight="1" thickBot="1">
      <c r="D6" s="58"/>
      <c r="F6" s="109"/>
      <c r="G6" s="109"/>
      <c r="H6" s="109"/>
      <c r="I6" s="110"/>
      <c r="J6" s="110"/>
      <c r="K6" s="110"/>
      <c r="L6" s="110"/>
      <c r="M6" s="110"/>
      <c r="N6" s="110"/>
      <c r="O6" s="110"/>
      <c r="P6" s="110"/>
      <c r="Q6" s="110"/>
      <c r="R6" s="110"/>
      <c r="S6" s="110"/>
      <c r="T6" s="110"/>
      <c r="U6" s="2"/>
      <c r="V6" s="2"/>
      <c r="W6" s="2"/>
      <c r="X6" s="2"/>
      <c r="Y6" s="2"/>
      <c r="Z6" s="2"/>
      <c r="AA6" s="2"/>
      <c r="AB6" s="2"/>
    </row>
    <row r="7" spans="2:30" ht="14.1" customHeight="1">
      <c r="D7" s="1230" t="s">
        <v>55</v>
      </c>
      <c r="E7" s="1231"/>
      <c r="F7" s="1231"/>
      <c r="G7" s="1231"/>
      <c r="H7" s="1231"/>
      <c r="I7" s="1231"/>
      <c r="J7" s="1231"/>
      <c r="K7" s="1231"/>
      <c r="L7" s="1232"/>
      <c r="M7" s="1242" t="s">
        <v>123</v>
      </c>
      <c r="N7" s="1244" t="s">
        <v>124</v>
      </c>
    </row>
    <row r="8" spans="2:30" ht="14.1" customHeight="1" thickBot="1">
      <c r="D8" s="1233"/>
      <c r="E8" s="1234"/>
      <c r="F8" s="1234"/>
      <c r="G8" s="1234"/>
      <c r="H8" s="1234"/>
      <c r="I8" s="1234"/>
      <c r="J8" s="1234"/>
      <c r="K8" s="1234"/>
      <c r="L8" s="1235"/>
      <c r="M8" s="1243"/>
      <c r="N8" s="1245"/>
    </row>
    <row r="9" spans="2:30" ht="30" customHeight="1" thickTop="1">
      <c r="D9" s="1246" t="s">
        <v>125</v>
      </c>
      <c r="E9" s="1247"/>
      <c r="F9" s="1247"/>
      <c r="G9" s="1247"/>
      <c r="H9" s="1247"/>
      <c r="I9" s="1247"/>
      <c r="J9" s="1247"/>
      <c r="K9" s="1247"/>
      <c r="L9" s="1248"/>
      <c r="M9" s="111"/>
      <c r="N9" s="112"/>
    </row>
    <row r="10" spans="2:30" ht="30" customHeight="1">
      <c r="D10" s="1224" t="s">
        <v>126</v>
      </c>
      <c r="E10" s="1225"/>
      <c r="F10" s="1225"/>
      <c r="G10" s="1225"/>
      <c r="H10" s="1225"/>
      <c r="I10" s="1225"/>
      <c r="J10" s="1225"/>
      <c r="K10" s="1225"/>
      <c r="L10" s="1226"/>
      <c r="M10" s="113"/>
      <c r="N10" s="114"/>
    </row>
    <row r="11" spans="2:30" ht="30" customHeight="1">
      <c r="D11" s="1224" t="s">
        <v>127</v>
      </c>
      <c r="E11" s="1225"/>
      <c r="F11" s="1225"/>
      <c r="G11" s="1225"/>
      <c r="H11" s="1225"/>
      <c r="I11" s="1225"/>
      <c r="J11" s="1225"/>
      <c r="K11" s="1225"/>
      <c r="L11" s="1226"/>
      <c r="M11" s="113"/>
      <c r="N11" s="114"/>
    </row>
    <row r="12" spans="2:30" ht="30" customHeight="1" thickBot="1">
      <c r="D12" s="1227" t="s">
        <v>128</v>
      </c>
      <c r="E12" s="1228"/>
      <c r="F12" s="1228"/>
      <c r="G12" s="1228"/>
      <c r="H12" s="1228"/>
      <c r="I12" s="1228"/>
      <c r="J12" s="1228"/>
      <c r="K12" s="1228"/>
      <c r="L12" s="1229"/>
      <c r="M12" s="115"/>
      <c r="N12" s="116"/>
    </row>
    <row r="13" spans="2:30" ht="27.95" customHeight="1">
      <c r="D13" s="117"/>
      <c r="E13" s="117"/>
      <c r="F13" s="117"/>
      <c r="G13" s="117"/>
      <c r="H13" s="117"/>
      <c r="I13" s="117"/>
      <c r="J13" s="117"/>
      <c r="K13" s="117"/>
      <c r="L13" s="118"/>
      <c r="M13" s="119"/>
      <c r="N13" s="119"/>
    </row>
    <row r="14" spans="2:30" s="30" customFormat="1" ht="18" customHeight="1">
      <c r="C14" s="108" t="s">
        <v>129</v>
      </c>
      <c r="P14" s="120"/>
      <c r="Q14" s="120"/>
      <c r="R14" s="120"/>
      <c r="S14" s="120"/>
      <c r="T14" s="120"/>
      <c r="U14" s="2"/>
      <c r="V14" s="2"/>
      <c r="W14" s="2"/>
      <c r="X14" s="2"/>
      <c r="Y14" s="2"/>
      <c r="Z14" s="2"/>
      <c r="AA14" s="2"/>
      <c r="AB14" s="2"/>
      <c r="AD14" s="108"/>
    </row>
    <row r="15" spans="2:30" s="30" customFormat="1" ht="18" customHeight="1">
      <c r="D15" s="51" t="s">
        <v>130</v>
      </c>
      <c r="R15" s="121"/>
      <c r="U15" s="2"/>
      <c r="V15" s="2"/>
      <c r="W15" s="2"/>
      <c r="X15" s="2"/>
      <c r="Y15" s="2"/>
      <c r="Z15" s="2"/>
      <c r="AA15" s="2"/>
      <c r="AB15" s="2"/>
    </row>
    <row r="16" spans="2:30" s="30" customFormat="1" ht="14.1" customHeight="1" thickBot="1">
      <c r="D16" s="51"/>
      <c r="R16" s="121"/>
      <c r="U16" s="2"/>
      <c r="V16" s="2"/>
      <c r="W16" s="2"/>
      <c r="X16" s="2"/>
      <c r="Y16" s="2"/>
      <c r="Z16" s="2"/>
      <c r="AA16" s="2"/>
      <c r="AB16" s="2"/>
    </row>
    <row r="17" spans="3:35" ht="14.1" customHeight="1">
      <c r="D17" s="1230" t="s">
        <v>55</v>
      </c>
      <c r="E17" s="1231"/>
      <c r="F17" s="1231"/>
      <c r="G17" s="1231"/>
      <c r="H17" s="1231"/>
      <c r="I17" s="1231"/>
      <c r="J17" s="1232"/>
      <c r="K17" s="1236" t="s">
        <v>131</v>
      </c>
      <c r="L17" s="1237"/>
      <c r="M17" s="1237"/>
      <c r="N17" s="1237"/>
      <c r="O17" s="1237"/>
      <c r="P17" s="1237"/>
      <c r="Q17" s="1237"/>
      <c r="R17" s="1238"/>
      <c r="S17" s="1249" t="s">
        <v>132</v>
      </c>
      <c r="T17" s="1244" t="s">
        <v>133</v>
      </c>
      <c r="AC17" s="120"/>
      <c r="AE17" s="120"/>
      <c r="AF17" s="120"/>
      <c r="AG17" s="120"/>
      <c r="AH17" s="120"/>
      <c r="AI17" s="120"/>
    </row>
    <row r="18" spans="3:35" ht="14.1" customHeight="1" thickBot="1">
      <c r="D18" s="1233"/>
      <c r="E18" s="1234"/>
      <c r="F18" s="1234"/>
      <c r="G18" s="1234"/>
      <c r="H18" s="1234"/>
      <c r="I18" s="1234"/>
      <c r="J18" s="1235"/>
      <c r="K18" s="1239"/>
      <c r="L18" s="1240"/>
      <c r="M18" s="1240"/>
      <c r="N18" s="1240"/>
      <c r="O18" s="1240"/>
      <c r="P18" s="1240"/>
      <c r="Q18" s="1240"/>
      <c r="R18" s="1241"/>
      <c r="S18" s="1250"/>
      <c r="T18" s="1245"/>
      <c r="AC18" s="120"/>
      <c r="AE18" s="120"/>
      <c r="AF18" s="120"/>
      <c r="AG18" s="120"/>
      <c r="AH18" s="120"/>
      <c r="AI18" s="120"/>
    </row>
    <row r="19" spans="3:35" ht="30.75" customHeight="1" thickTop="1">
      <c r="D19" s="1236" t="s">
        <v>134</v>
      </c>
      <c r="E19" s="1237"/>
      <c r="F19" s="1237"/>
      <c r="G19" s="1237"/>
      <c r="H19" s="1237"/>
      <c r="I19" s="1237"/>
      <c r="J19" s="1260"/>
      <c r="K19" s="1261" t="s">
        <v>135</v>
      </c>
      <c r="L19" s="1262"/>
      <c r="M19" s="1262"/>
      <c r="N19" s="1262"/>
      <c r="O19" s="1262"/>
      <c r="P19" s="1262"/>
      <c r="Q19" s="1262"/>
      <c r="R19" s="1263"/>
      <c r="S19" s="122"/>
      <c r="T19" s="123"/>
      <c r="AC19" s="120"/>
      <c r="AE19" s="120"/>
      <c r="AF19" s="120"/>
      <c r="AG19" s="120"/>
      <c r="AH19" s="120"/>
      <c r="AI19" s="120"/>
    </row>
    <row r="20" spans="3:35" ht="30.75" customHeight="1">
      <c r="D20" s="124"/>
      <c r="E20" s="125"/>
      <c r="F20" s="1251" t="s">
        <v>136</v>
      </c>
      <c r="G20" s="1252"/>
      <c r="H20" s="1252"/>
      <c r="I20" s="1252"/>
      <c r="J20" s="1253"/>
      <c r="K20" s="1254" t="s">
        <v>137</v>
      </c>
      <c r="L20" s="1255"/>
      <c r="M20" s="1255"/>
      <c r="N20" s="1255"/>
      <c r="O20" s="1255"/>
      <c r="P20" s="1255"/>
      <c r="Q20" s="1255"/>
      <c r="R20" s="1256"/>
      <c r="S20" s="113"/>
      <c r="T20" s="126"/>
      <c r="AC20" s="120"/>
      <c r="AE20" s="120"/>
      <c r="AF20" s="120"/>
      <c r="AG20" s="120"/>
      <c r="AH20" s="120"/>
      <c r="AI20" s="120"/>
    </row>
    <row r="21" spans="3:35" ht="30.75" customHeight="1">
      <c r="D21" s="1257" t="s">
        <v>138</v>
      </c>
      <c r="E21" s="1258"/>
      <c r="F21" s="1258"/>
      <c r="G21" s="1258"/>
      <c r="H21" s="1258"/>
      <c r="I21" s="1258"/>
      <c r="J21" s="1259"/>
      <c r="K21" s="1254" t="s">
        <v>139</v>
      </c>
      <c r="L21" s="1255"/>
      <c r="M21" s="1255"/>
      <c r="N21" s="1255"/>
      <c r="O21" s="1255"/>
      <c r="P21" s="1255"/>
      <c r="Q21" s="1255"/>
      <c r="R21" s="1256"/>
      <c r="S21" s="113"/>
      <c r="T21" s="126"/>
      <c r="AC21" s="120"/>
      <c r="AE21" s="120"/>
      <c r="AF21" s="120"/>
      <c r="AG21" s="120"/>
      <c r="AH21" s="120"/>
      <c r="AI21" s="120"/>
    </row>
    <row r="22" spans="3:35" ht="30.75" customHeight="1">
      <c r="D22" s="124"/>
      <c r="E22" s="125"/>
      <c r="F22" s="1251" t="s">
        <v>140</v>
      </c>
      <c r="G22" s="1252"/>
      <c r="H22" s="1252"/>
      <c r="I22" s="1252"/>
      <c r="J22" s="1253"/>
      <c r="K22" s="1254" t="s">
        <v>141</v>
      </c>
      <c r="L22" s="1255"/>
      <c r="M22" s="1255"/>
      <c r="N22" s="1255"/>
      <c r="O22" s="1255"/>
      <c r="P22" s="1255"/>
      <c r="Q22" s="1255"/>
      <c r="R22" s="1256"/>
      <c r="S22" s="113"/>
      <c r="T22" s="126"/>
      <c r="AC22" s="120"/>
      <c r="AE22" s="120"/>
      <c r="AF22" s="120"/>
      <c r="AG22" s="120"/>
      <c r="AH22" s="120"/>
      <c r="AI22" s="120"/>
    </row>
    <row r="23" spans="3:35" ht="30" customHeight="1" thickBot="1">
      <c r="D23" s="1269" t="s">
        <v>142</v>
      </c>
      <c r="E23" s="1270"/>
      <c r="F23" s="1270"/>
      <c r="G23" s="1270"/>
      <c r="H23" s="1270"/>
      <c r="I23" s="1270"/>
      <c r="J23" s="1271"/>
      <c r="K23" s="1272" t="s">
        <v>143</v>
      </c>
      <c r="L23" s="1273"/>
      <c r="M23" s="1273"/>
      <c r="N23" s="1273"/>
      <c r="O23" s="1273"/>
      <c r="P23" s="1273"/>
      <c r="Q23" s="1273"/>
      <c r="R23" s="1274"/>
      <c r="S23" s="115"/>
      <c r="T23" s="127"/>
      <c r="AC23" s="120"/>
      <c r="AE23" s="120"/>
      <c r="AF23" s="120"/>
      <c r="AG23" s="120"/>
      <c r="AH23" s="120"/>
      <c r="AI23" s="120"/>
    </row>
    <row r="24" spans="3:35" ht="14.25" customHeight="1">
      <c r="D24" s="51" t="s">
        <v>144</v>
      </c>
      <c r="E24" s="120"/>
      <c r="F24" s="120"/>
      <c r="G24" s="120"/>
      <c r="H24" s="120"/>
      <c r="I24" s="120"/>
      <c r="J24" s="120"/>
      <c r="K24" s="120"/>
      <c r="L24" s="120"/>
      <c r="M24" s="120"/>
      <c r="N24" s="120"/>
      <c r="O24" s="120"/>
    </row>
    <row r="25" spans="3:35" ht="14.25" customHeight="1">
      <c r="D25" s="51"/>
      <c r="E25" s="120"/>
      <c r="F25" s="120"/>
      <c r="G25" s="120"/>
      <c r="H25" s="120"/>
      <c r="I25" s="120"/>
      <c r="J25" s="120"/>
      <c r="K25" s="120"/>
      <c r="L25" s="120"/>
      <c r="M25" s="120"/>
      <c r="N25" s="120"/>
      <c r="O25" s="120"/>
    </row>
    <row r="27" spans="3:35" ht="18" thickBot="1">
      <c r="C27" s="128" t="s">
        <v>145</v>
      </c>
      <c r="E27" s="129"/>
      <c r="F27" s="129"/>
      <c r="G27" s="129"/>
      <c r="H27" s="129"/>
      <c r="I27" s="130"/>
      <c r="J27" s="130"/>
      <c r="K27" s="130"/>
      <c r="L27" s="130"/>
      <c r="M27" s="130"/>
      <c r="P27" s="120"/>
      <c r="Q27" s="120"/>
      <c r="R27" s="120"/>
      <c r="AD27" s="128" t="s">
        <v>145</v>
      </c>
    </row>
    <row r="28" spans="3:35" ht="30" customHeight="1" thickTop="1" thickBot="1">
      <c r="D28" s="1275" t="s">
        <v>146</v>
      </c>
      <c r="E28" s="1275"/>
      <c r="F28" s="1275"/>
      <c r="G28" s="1275"/>
      <c r="H28" s="1275"/>
      <c r="I28" s="1275"/>
      <c r="J28" s="1275"/>
      <c r="K28" s="1275"/>
      <c r="L28" s="1275"/>
      <c r="M28" s="1275"/>
      <c r="N28" s="1275"/>
      <c r="P28" s="131"/>
      <c r="AE28" s="132" t="s">
        <v>147</v>
      </c>
      <c r="AF28" s="132" t="str">
        <f>IF(P28&lt;&gt;"",P28,"")</f>
        <v/>
      </c>
      <c r="AG28" s="133" t="str">
        <f>IF(AF28="いる",1,IF(AF28="いない",0,""))</f>
        <v/>
      </c>
    </row>
    <row r="29" spans="3:35" ht="14.25" customHeight="1" thickTop="1">
      <c r="D29" s="1275"/>
      <c r="E29" s="1275"/>
      <c r="F29" s="1275"/>
      <c r="G29" s="1275"/>
      <c r="H29" s="1275"/>
      <c r="I29" s="1275"/>
      <c r="J29" s="1275"/>
      <c r="K29" s="1275"/>
      <c r="L29" s="1275"/>
      <c r="M29" s="1275"/>
      <c r="N29" s="1275"/>
    </row>
    <row r="30" spans="3:35" ht="14.25" customHeight="1">
      <c r="D30" s="134"/>
      <c r="E30" s="134"/>
      <c r="F30" s="134"/>
      <c r="G30" s="134"/>
      <c r="H30" s="134"/>
      <c r="I30" s="134"/>
      <c r="J30" s="134"/>
      <c r="K30" s="134"/>
      <c r="L30" s="134"/>
      <c r="M30" s="134"/>
      <c r="N30" s="134"/>
    </row>
    <row r="31" spans="3:35" ht="18" customHeight="1">
      <c r="D31" s="129"/>
      <c r="M31" s="83"/>
      <c r="N31" s="83"/>
      <c r="O31" s="83"/>
      <c r="P31" s="83"/>
      <c r="Q31" s="83"/>
      <c r="R31" s="83"/>
    </row>
    <row r="32" spans="3:35" ht="18" customHeight="1">
      <c r="C32" s="128" t="s">
        <v>148</v>
      </c>
      <c r="E32" s="129"/>
      <c r="F32" s="129"/>
      <c r="G32" s="129"/>
      <c r="H32" s="129"/>
      <c r="I32" s="130"/>
      <c r="J32" s="130"/>
      <c r="K32" s="130"/>
      <c r="L32" s="130"/>
      <c r="M32" s="130"/>
      <c r="P32" s="120"/>
      <c r="Q32" s="120"/>
      <c r="R32" s="120"/>
      <c r="AD32" s="128" t="s">
        <v>148</v>
      </c>
    </row>
    <row r="33" spans="1:31" ht="18" customHeight="1">
      <c r="D33" s="48" t="s">
        <v>149</v>
      </c>
      <c r="F33" s="129"/>
      <c r="G33" s="129"/>
      <c r="H33" s="129"/>
      <c r="I33" s="130"/>
      <c r="J33" s="130"/>
      <c r="K33" s="130"/>
      <c r="L33" s="130"/>
      <c r="M33" s="130"/>
      <c r="P33" s="120"/>
      <c r="Q33" s="120"/>
      <c r="R33" s="120"/>
    </row>
    <row r="34" spans="1:31" ht="14.1" customHeight="1" thickBot="1">
      <c r="D34" s="48"/>
      <c r="F34" s="129"/>
      <c r="G34" s="129"/>
      <c r="H34" s="129"/>
      <c r="I34" s="130"/>
      <c r="J34" s="130"/>
      <c r="K34" s="130"/>
      <c r="L34" s="130"/>
      <c r="M34" s="130"/>
      <c r="P34" s="120"/>
      <c r="Q34" s="120"/>
      <c r="R34" s="120"/>
    </row>
    <row r="35" spans="1:31" ht="28.5" customHeight="1" thickBot="1">
      <c r="D35" s="1264" t="s">
        <v>55</v>
      </c>
      <c r="E35" s="1265"/>
      <c r="F35" s="1265"/>
      <c r="G35" s="1265"/>
      <c r="H35" s="1265"/>
      <c r="I35" s="1265"/>
      <c r="J35" s="1265"/>
      <c r="K35" s="1266"/>
      <c r="L35" s="135" t="s">
        <v>150</v>
      </c>
      <c r="M35" s="136" t="s">
        <v>151</v>
      </c>
      <c r="N35" s="136" t="s">
        <v>152</v>
      </c>
      <c r="O35" s="136" t="s">
        <v>153</v>
      </c>
      <c r="P35" s="137" t="s">
        <v>154</v>
      </c>
      <c r="AE35" s="138" t="s">
        <v>155</v>
      </c>
    </row>
    <row r="36" spans="1:31" ht="30.75" customHeight="1" thickTop="1" thickBot="1">
      <c r="D36" s="1267" t="s">
        <v>156</v>
      </c>
      <c r="E36" s="1268"/>
      <c r="F36" s="1268"/>
      <c r="G36" s="1268"/>
      <c r="H36" s="1268"/>
      <c r="I36" s="1268"/>
      <c r="J36" s="1268"/>
      <c r="K36" s="1268"/>
      <c r="L36" s="139"/>
      <c r="M36" s="140"/>
      <c r="N36" s="140"/>
      <c r="O36" s="140"/>
      <c r="P36" s="141"/>
      <c r="AE36" s="142">
        <f>IF(COUNT(L36:P36)=2,ROUND(SUM(L36:P36)/2,0),(ROUND((SUM(L36:P36)-MIN(L36:P36)-MAX(L36:P36))/(COUNT(L36:P36)-2),0)))</f>
        <v>0</v>
      </c>
    </row>
    <row r="37" spans="1:31" ht="14.1" customHeight="1">
      <c r="D37" s="129"/>
      <c r="E37" s="20"/>
      <c r="F37" s="20"/>
      <c r="G37" s="20"/>
      <c r="H37" s="20"/>
      <c r="I37" s="20"/>
      <c r="J37" s="20"/>
      <c r="K37" s="20"/>
      <c r="M37" s="30"/>
      <c r="N37" s="30"/>
      <c r="P37" s="120"/>
      <c r="Q37" s="120"/>
      <c r="R37" s="120"/>
    </row>
    <row r="38" spans="1:31" ht="14.1" customHeight="1">
      <c r="D38" s="129"/>
      <c r="E38" s="20"/>
      <c r="F38" s="20"/>
      <c r="G38" s="20"/>
      <c r="H38" s="20"/>
      <c r="I38" s="20"/>
      <c r="J38" s="20"/>
      <c r="K38" s="20"/>
      <c r="M38" s="30"/>
      <c r="N38" s="30"/>
      <c r="P38" s="120"/>
      <c r="Q38" s="120"/>
      <c r="R38" s="120"/>
    </row>
    <row r="39" spans="1:31" ht="14.1" customHeight="1">
      <c r="B39" s="128"/>
      <c r="C39" s="128"/>
      <c r="P39" s="129"/>
      <c r="Q39" s="129"/>
      <c r="R39" s="130"/>
      <c r="S39" s="130"/>
      <c r="T39" s="130"/>
      <c r="AD39" s="128"/>
    </row>
    <row r="40" spans="1:31" ht="14.1" customHeight="1">
      <c r="D40" s="46"/>
      <c r="E40" s="46"/>
      <c r="N40" s="143"/>
      <c r="P40" s="129"/>
      <c r="Q40" s="130"/>
      <c r="R40" s="130"/>
      <c r="S40" s="130"/>
      <c r="T40" s="130"/>
    </row>
    <row r="41" spans="1:31" ht="14.1" customHeight="1">
      <c r="D41" s="46"/>
      <c r="E41" s="46"/>
      <c r="N41" s="143"/>
    </row>
    <row r="42" spans="1:31" s="144" customFormat="1" ht="14.1" customHeight="1">
      <c r="A42" s="2"/>
      <c r="D42" s="145"/>
      <c r="E42" s="145"/>
      <c r="F42" s="145"/>
      <c r="G42" s="145"/>
      <c r="H42" s="145"/>
      <c r="I42" s="145"/>
      <c r="J42" s="145"/>
      <c r="K42" s="145"/>
      <c r="L42" s="146"/>
      <c r="M42" s="146"/>
      <c r="N42" s="146"/>
      <c r="P42" s="145"/>
      <c r="Q42" s="145"/>
      <c r="R42" s="145"/>
      <c r="S42" s="145"/>
      <c r="T42" s="145"/>
      <c r="U42" s="2"/>
      <c r="V42" s="2"/>
      <c r="W42" s="2"/>
      <c r="X42" s="2"/>
      <c r="Y42" s="2"/>
      <c r="Z42" s="2"/>
      <c r="AA42" s="2"/>
      <c r="AB42" s="2"/>
    </row>
    <row r="43" spans="1:31" s="144" customFormat="1" ht="14.1" customHeight="1">
      <c r="D43" s="145"/>
      <c r="E43" s="145"/>
      <c r="F43" s="145"/>
      <c r="G43" s="145"/>
      <c r="H43" s="145"/>
      <c r="I43" s="145"/>
      <c r="J43" s="145"/>
      <c r="K43" s="145"/>
      <c r="L43" s="146"/>
      <c r="M43" s="146"/>
      <c r="N43" s="146"/>
      <c r="P43" s="145"/>
      <c r="Q43" s="145"/>
      <c r="R43" s="145"/>
      <c r="S43" s="145"/>
      <c r="T43" s="145"/>
      <c r="U43" s="2"/>
      <c r="V43" s="2"/>
      <c r="W43" s="2"/>
      <c r="X43" s="2"/>
      <c r="Y43" s="2"/>
      <c r="Z43" s="2"/>
      <c r="AA43" s="2"/>
      <c r="AB43" s="2"/>
    </row>
    <row r="44" spans="1:31" s="144" customFormat="1" ht="14.1" customHeight="1">
      <c r="D44" s="147"/>
      <c r="E44" s="146"/>
      <c r="F44" s="146"/>
      <c r="G44" s="146"/>
      <c r="H44" s="146"/>
      <c r="I44" s="146"/>
      <c r="J44" s="146"/>
      <c r="K44" s="147"/>
      <c r="L44" s="146"/>
      <c r="M44" s="147"/>
      <c r="N44" s="148"/>
      <c r="P44" s="145"/>
      <c r="Q44" s="145"/>
      <c r="R44" s="145"/>
      <c r="S44" s="145"/>
      <c r="T44" s="145"/>
      <c r="U44" s="2"/>
      <c r="V44" s="2"/>
      <c r="W44" s="2"/>
      <c r="X44" s="2"/>
      <c r="Y44" s="2"/>
      <c r="Z44" s="2"/>
      <c r="AA44" s="2"/>
      <c r="AB44" s="2"/>
    </row>
    <row r="45" spans="1:31" s="144" customFormat="1" ht="14.1" customHeight="1">
      <c r="D45" s="147"/>
      <c r="E45" s="146"/>
      <c r="F45" s="146"/>
      <c r="G45" s="146"/>
      <c r="H45" s="146"/>
      <c r="I45" s="146"/>
      <c r="J45" s="146"/>
      <c r="K45" s="147"/>
      <c r="L45" s="146"/>
      <c r="M45" s="146"/>
      <c r="N45" s="148"/>
      <c r="P45" s="145"/>
      <c r="Q45" s="145"/>
      <c r="R45" s="145"/>
      <c r="S45" s="145"/>
      <c r="T45" s="145"/>
      <c r="U45" s="2"/>
      <c r="V45" s="2"/>
      <c r="W45" s="2"/>
      <c r="X45" s="2"/>
      <c r="Y45" s="2"/>
      <c r="Z45" s="2"/>
      <c r="AA45" s="2"/>
      <c r="AB45" s="2"/>
    </row>
    <row r="46" spans="1:31" ht="14.1" customHeight="1">
      <c r="D46" s="120"/>
      <c r="E46" s="146"/>
      <c r="F46" s="146"/>
      <c r="G46" s="146"/>
      <c r="H46" s="146"/>
      <c r="I46" s="146"/>
      <c r="J46" s="146"/>
      <c r="K46" s="147"/>
      <c r="L46" s="146"/>
      <c r="M46" s="146"/>
      <c r="N46" s="149"/>
      <c r="P46" s="20"/>
      <c r="Q46" s="20"/>
      <c r="R46" s="20"/>
      <c r="S46" s="20"/>
    </row>
    <row r="47" spans="1:31" ht="14.1" customHeight="1">
      <c r="D47" s="150"/>
    </row>
    <row r="48" spans="1:31" ht="14.25" customHeight="1">
      <c r="E48" s="150"/>
    </row>
  </sheetData>
  <sheetProtection sheet="1" objects="1" scenarios="1" selectLockedCells="1"/>
  <mergeCells count="24">
    <mergeCell ref="D35:K35"/>
    <mergeCell ref="D36:K36"/>
    <mergeCell ref="F22:J22"/>
    <mergeCell ref="K22:R22"/>
    <mergeCell ref="D23:J23"/>
    <mergeCell ref="K23:R23"/>
    <mergeCell ref="D28:N29"/>
    <mergeCell ref="S17:S18"/>
    <mergeCell ref="T17:T18"/>
    <mergeCell ref="F20:J20"/>
    <mergeCell ref="K20:R20"/>
    <mergeCell ref="D21:J21"/>
    <mergeCell ref="K21:R21"/>
    <mergeCell ref="D19:J19"/>
    <mergeCell ref="K19:R19"/>
    <mergeCell ref="D11:L11"/>
    <mergeCell ref="D12:L12"/>
    <mergeCell ref="D17:J18"/>
    <mergeCell ref="K17:R18"/>
    <mergeCell ref="D7:L8"/>
    <mergeCell ref="M7:M8"/>
    <mergeCell ref="N7:N8"/>
    <mergeCell ref="D9:L9"/>
    <mergeCell ref="D10:L10"/>
  </mergeCells>
  <phoneticPr fontId="5"/>
  <dataValidations count="1">
    <dataValidation type="whole" operator="greaterThan" allowBlank="1" showInputMessage="1" showErrorMessage="1" error="0より大きい数値を整数で入力してください。" sqref="M9:N12 S19:T23 L36:P36" xr:uid="{00000000-0002-0000-0400-000000000000}">
      <formula1>0</formula1>
    </dataValidation>
  </dataValidations>
  <pageMargins left="0.59055118110236227" right="0.59055118110236227" top="0.59055118110236227" bottom="0.59055118110236227" header="0" footer="0"/>
  <pageSetup paperSize="9" scale="43" orientation="portrait"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リスト!$L$5:$L$6</xm:f>
          </x14:formula1>
          <xm:sqref>P28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8">
    <pageSetUpPr fitToPage="1"/>
  </sheetPr>
  <dimension ref="A1:BG78"/>
  <sheetViews>
    <sheetView showGridLines="0" zoomScale="85" zoomScaleNormal="85" zoomScaleSheetLayoutView="80" workbookViewId="0">
      <selection activeCell="K12" sqref="K12"/>
    </sheetView>
  </sheetViews>
  <sheetFormatPr defaultColWidth="2.625" defaultRowHeight="14.25" customHeight="1" outlineLevelCol="1"/>
  <cols>
    <col min="1" max="1" width="2.625" style="2" customWidth="1"/>
    <col min="2" max="2" width="7.625" style="2" customWidth="1"/>
    <col min="3" max="10" width="2.625" style="2" customWidth="1"/>
    <col min="11" max="12" width="17.375" style="2" customWidth="1"/>
    <col min="13" max="17" width="2.625" style="2" customWidth="1"/>
    <col min="18" max="22" width="2.625" style="2" customWidth="1" outlineLevel="1"/>
    <col min="23" max="23" width="17.375" style="2" customWidth="1" outlineLevel="1"/>
    <col min="24" max="31" width="2.625" style="2" customWidth="1" outlineLevel="1"/>
    <col min="32" max="33" width="0.875" style="2" customWidth="1" outlineLevel="1"/>
    <col min="34" max="35" width="2.625" style="2" customWidth="1" outlineLevel="1"/>
    <col min="36" max="37" width="17.375" style="2" customWidth="1" outlineLevel="1"/>
    <col min="38" max="38" width="10" style="2" customWidth="1" outlineLevel="1"/>
    <col min="39" max="39" width="17.375" style="2" customWidth="1" outlineLevel="1"/>
    <col min="40" max="42" width="17.375" style="2" customWidth="1"/>
    <col min="43" max="43" width="22.75" style="2" bestFit="1" customWidth="1"/>
    <col min="44" max="44" width="2.625" style="2"/>
    <col min="45" max="45" width="22.75" style="2" bestFit="1" customWidth="1"/>
    <col min="46" max="46" width="2.625" style="2"/>
    <col min="47" max="47" width="22.75" style="2" bestFit="1" customWidth="1"/>
    <col min="48" max="16384" width="2.625" style="2"/>
  </cols>
  <sheetData>
    <row r="1" spans="1:59" ht="14.25" customHeight="1">
      <c r="AI1" s="46"/>
      <c r="AJ1" s="151" t="s">
        <v>118</v>
      </c>
    </row>
    <row r="2" spans="1:59" s="30" customFormat="1" ht="18" customHeight="1">
      <c r="A2" s="152"/>
      <c r="AI2" s="46"/>
      <c r="AJ2" s="152"/>
      <c r="AM2" s="2"/>
      <c r="AN2" s="2"/>
      <c r="AO2" s="2"/>
      <c r="AP2" s="2"/>
      <c r="AQ2" s="2"/>
    </row>
    <row r="3" spans="1:59" ht="14.25" customHeight="1">
      <c r="O3" s="153"/>
      <c r="P3" s="120"/>
      <c r="Q3" s="120"/>
      <c r="R3" s="120"/>
      <c r="S3" s="120"/>
      <c r="T3" s="120"/>
      <c r="U3" s="120"/>
      <c r="V3" s="120"/>
      <c r="W3" s="120"/>
      <c r="X3" s="30"/>
      <c r="Y3" s="30"/>
      <c r="Z3" s="30"/>
      <c r="AA3" s="30"/>
      <c r="AB3" s="154"/>
      <c r="AI3" s="46"/>
    </row>
    <row r="4" spans="1:59" s="30" customFormat="1" ht="18" customHeight="1">
      <c r="A4" s="108" t="s">
        <v>157</v>
      </c>
      <c r="C4" s="109"/>
      <c r="D4" s="109"/>
      <c r="E4" s="109"/>
      <c r="F4" s="110"/>
      <c r="G4" s="110"/>
      <c r="H4" s="110"/>
      <c r="I4" s="110"/>
      <c r="J4" s="110"/>
      <c r="K4" s="110"/>
      <c r="O4" s="108"/>
      <c r="AI4" s="46"/>
      <c r="AJ4" s="108"/>
    </row>
    <row r="5" spans="1:59" s="30" customFormat="1" ht="14.25" customHeight="1">
      <c r="A5" s="2"/>
      <c r="B5" s="58" t="s">
        <v>158</v>
      </c>
      <c r="C5" s="46"/>
      <c r="D5" s="48"/>
      <c r="E5" s="48"/>
      <c r="F5" s="48"/>
      <c r="G5" s="48"/>
      <c r="H5" s="48"/>
      <c r="I5" s="48"/>
      <c r="J5" s="48"/>
      <c r="K5" s="48"/>
      <c r="L5" s="46"/>
      <c r="M5" s="49"/>
      <c r="N5" s="49"/>
      <c r="O5" s="46"/>
      <c r="P5" s="48"/>
      <c r="Q5" s="46"/>
      <c r="R5" s="46"/>
      <c r="S5" s="46"/>
      <c r="T5" s="46"/>
      <c r="U5" s="46"/>
      <c r="V5" s="46"/>
      <c r="W5" s="46"/>
      <c r="X5" s="46"/>
      <c r="Y5" s="46"/>
      <c r="Z5" s="46"/>
      <c r="AA5" s="46"/>
      <c r="AB5" s="46"/>
      <c r="AC5" s="46"/>
      <c r="AD5" s="46"/>
      <c r="AE5" s="49"/>
      <c r="AF5" s="2"/>
      <c r="AG5" s="2"/>
      <c r="AH5" s="2"/>
      <c r="AI5" s="46"/>
      <c r="AJ5" s="144"/>
    </row>
    <row r="6" spans="1:59" ht="14.25" customHeight="1">
      <c r="B6" s="58" t="s">
        <v>159</v>
      </c>
      <c r="C6" s="46"/>
      <c r="D6" s="48"/>
      <c r="E6" s="48"/>
      <c r="F6" s="48"/>
      <c r="G6" s="48"/>
      <c r="H6" s="48"/>
      <c r="I6" s="48"/>
      <c r="J6" s="48"/>
      <c r="K6" s="48"/>
      <c r="L6" s="46"/>
      <c r="M6" s="49"/>
      <c r="N6" s="49"/>
      <c r="O6" s="46"/>
      <c r="P6" s="48"/>
      <c r="Q6" s="46"/>
      <c r="R6" s="46"/>
      <c r="S6" s="46"/>
      <c r="T6" s="46"/>
      <c r="U6" s="46"/>
      <c r="V6" s="46"/>
      <c r="W6" s="46"/>
      <c r="X6" s="46"/>
      <c r="Y6" s="46"/>
      <c r="Z6" s="46"/>
      <c r="AA6" s="46"/>
      <c r="AB6" s="46"/>
      <c r="AC6" s="46"/>
      <c r="AD6" s="46"/>
      <c r="AE6" s="49"/>
      <c r="AI6" s="46"/>
      <c r="AJ6" s="144"/>
    </row>
    <row r="7" spans="1:59" ht="14.25" customHeight="1">
      <c r="B7" s="58" t="s">
        <v>160</v>
      </c>
      <c r="C7" s="46"/>
      <c r="D7" s="48"/>
      <c r="E7" s="48"/>
      <c r="F7" s="48"/>
      <c r="G7" s="48"/>
      <c r="H7" s="48"/>
      <c r="I7" s="48"/>
      <c r="J7" s="48"/>
      <c r="K7" s="48"/>
      <c r="L7" s="46"/>
      <c r="M7" s="49"/>
      <c r="N7" s="49"/>
      <c r="O7" s="46"/>
      <c r="P7" s="48"/>
      <c r="Q7" s="46"/>
      <c r="R7" s="46"/>
      <c r="S7" s="46"/>
      <c r="T7" s="46"/>
      <c r="U7" s="46"/>
      <c r="V7" s="46"/>
      <c r="W7" s="46"/>
      <c r="X7" s="46"/>
      <c r="Y7" s="46"/>
      <c r="Z7" s="46"/>
      <c r="AA7" s="46"/>
      <c r="AB7" s="46"/>
      <c r="AC7" s="46"/>
      <c r="AD7" s="46"/>
      <c r="AE7" s="49"/>
      <c r="AI7" s="46"/>
      <c r="AK7" s="144"/>
      <c r="AL7" s="144"/>
      <c r="AM7" s="144"/>
      <c r="AN7" s="144"/>
    </row>
    <row r="8" spans="1:59" ht="14.25" customHeight="1" thickBot="1">
      <c r="B8" s="58"/>
      <c r="C8" s="46"/>
      <c r="D8" s="48"/>
      <c r="E8" s="48"/>
      <c r="F8" s="48"/>
      <c r="G8" s="48"/>
      <c r="H8" s="48"/>
      <c r="I8" s="48"/>
      <c r="J8" s="155"/>
      <c r="K8" s="155"/>
      <c r="Q8" s="46"/>
      <c r="R8" s="46"/>
      <c r="S8" s="46"/>
      <c r="T8" s="46"/>
      <c r="U8" s="46"/>
      <c r="V8" s="46"/>
      <c r="W8" s="46"/>
      <c r="X8" s="46"/>
      <c r="Y8" s="46"/>
      <c r="Z8" s="46"/>
      <c r="AA8" s="46"/>
      <c r="AB8" s="46"/>
      <c r="AC8" s="46"/>
      <c r="AD8" s="46"/>
      <c r="AE8" s="49"/>
      <c r="AI8" s="46"/>
      <c r="AK8" s="144"/>
      <c r="AL8" s="144"/>
      <c r="AM8" s="144"/>
      <c r="AN8" s="144"/>
    </row>
    <row r="9" spans="1:59" ht="14.25" customHeight="1">
      <c r="A9" s="156"/>
      <c r="B9" s="1278" t="s">
        <v>55</v>
      </c>
      <c r="C9" s="1279"/>
      <c r="D9" s="1279"/>
      <c r="E9" s="1279"/>
      <c r="F9" s="1279"/>
      <c r="G9" s="1279"/>
      <c r="H9" s="1279"/>
      <c r="I9" s="1279"/>
      <c r="J9" s="146"/>
      <c r="K9" s="1284" t="s">
        <v>161</v>
      </c>
      <c r="AK9" s="144"/>
      <c r="AL9" s="144"/>
      <c r="AM9" s="144"/>
      <c r="AN9" s="144"/>
    </row>
    <row r="10" spans="1:59" ht="14.25" customHeight="1">
      <c r="A10" s="156"/>
      <c r="B10" s="1280"/>
      <c r="C10" s="1281"/>
      <c r="D10" s="1281"/>
      <c r="E10" s="1281"/>
      <c r="F10" s="1281"/>
      <c r="G10" s="1281"/>
      <c r="H10" s="1281"/>
      <c r="I10" s="1281"/>
      <c r="J10" s="1287" t="s">
        <v>162</v>
      </c>
      <c r="K10" s="1285"/>
      <c r="Q10" s="145"/>
      <c r="R10" s="145"/>
      <c r="S10" s="145"/>
      <c r="T10" s="157"/>
      <c r="AC10" s="146"/>
      <c r="AD10" s="146"/>
      <c r="AE10" s="146"/>
      <c r="AI10" s="46"/>
    </row>
    <row r="11" spans="1:59" ht="14.25" customHeight="1" thickBot="1">
      <c r="A11" s="156"/>
      <c r="B11" s="1282"/>
      <c r="C11" s="1283"/>
      <c r="D11" s="1283"/>
      <c r="E11" s="1283"/>
      <c r="F11" s="1283"/>
      <c r="G11" s="1283"/>
      <c r="H11" s="1283"/>
      <c r="I11" s="1283"/>
      <c r="J11" s="1288"/>
      <c r="K11" s="1286"/>
      <c r="Q11" s="146"/>
      <c r="AD11" s="144"/>
      <c r="AE11" s="144"/>
    </row>
    <row r="12" spans="1:59" ht="30" customHeight="1" thickTop="1">
      <c r="B12" s="1276" t="s">
        <v>163</v>
      </c>
      <c r="C12" s="1277"/>
      <c r="D12" s="1277"/>
      <c r="E12" s="1277"/>
      <c r="F12" s="1277"/>
      <c r="G12" s="1277"/>
      <c r="H12" s="1277"/>
      <c r="I12" s="1277"/>
      <c r="J12" s="158" t="s">
        <v>164</v>
      </c>
      <c r="K12" s="159"/>
      <c r="Q12" s="146"/>
      <c r="AD12" s="144"/>
      <c r="AE12" s="144"/>
    </row>
    <row r="13" spans="1:59" ht="30" customHeight="1">
      <c r="B13" s="1276" t="s">
        <v>165</v>
      </c>
      <c r="C13" s="1277"/>
      <c r="D13" s="1277"/>
      <c r="E13" s="1277"/>
      <c r="F13" s="1277"/>
      <c r="G13" s="1277"/>
      <c r="H13" s="1277"/>
      <c r="I13" s="1277"/>
      <c r="J13" s="160" t="s">
        <v>166</v>
      </c>
      <c r="K13" s="161"/>
      <c r="Q13" s="146"/>
    </row>
    <row r="14" spans="1:59" ht="30" customHeight="1">
      <c r="A14" s="156"/>
      <c r="B14" s="1276" t="s">
        <v>167</v>
      </c>
      <c r="C14" s="1277"/>
      <c r="D14" s="1277"/>
      <c r="E14" s="1277"/>
      <c r="F14" s="1277"/>
      <c r="G14" s="1277"/>
      <c r="H14" s="1277"/>
      <c r="I14" s="1277"/>
      <c r="J14" s="160" t="s">
        <v>168</v>
      </c>
      <c r="K14" s="161"/>
      <c r="Q14" s="162"/>
    </row>
    <row r="15" spans="1:59" ht="30" customHeight="1" thickBot="1">
      <c r="A15" s="156"/>
      <c r="B15" s="1291" t="s">
        <v>169</v>
      </c>
      <c r="C15" s="1292"/>
      <c r="D15" s="1292"/>
      <c r="E15" s="1292"/>
      <c r="F15" s="1292"/>
      <c r="G15" s="1292"/>
      <c r="H15" s="1292"/>
      <c r="I15" s="1292"/>
      <c r="J15" s="160" t="s">
        <v>166</v>
      </c>
      <c r="K15" s="161"/>
      <c r="Q15" s="162"/>
    </row>
    <row r="16" spans="1:59" ht="30" customHeight="1" thickTop="1" thickBot="1">
      <c r="A16" s="163"/>
      <c r="B16" s="1293" t="s">
        <v>170</v>
      </c>
      <c r="C16" s="1293"/>
      <c r="D16" s="1293"/>
      <c r="E16" s="1293"/>
      <c r="F16" s="1293"/>
      <c r="G16" s="1293"/>
      <c r="H16" s="1293"/>
      <c r="I16" s="1293"/>
      <c r="J16" s="164" t="s">
        <v>171</v>
      </c>
      <c r="K16" s="165"/>
      <c r="BG16" s="153"/>
    </row>
    <row r="17" spans="1:59" ht="14.25" customHeight="1">
      <c r="A17" s="166"/>
      <c r="B17" s="167"/>
      <c r="C17" s="167"/>
      <c r="D17" s="167"/>
      <c r="E17" s="167"/>
      <c r="F17" s="167"/>
      <c r="G17" s="167"/>
      <c r="H17" s="167"/>
      <c r="I17" s="167"/>
      <c r="J17" s="34"/>
      <c r="K17" s="34"/>
      <c r="BG17" s="153"/>
    </row>
    <row r="18" spans="1:59" ht="14.25" customHeight="1">
      <c r="A18" s="166"/>
      <c r="B18" s="150"/>
      <c r="C18" s="166"/>
      <c r="D18" s="166"/>
      <c r="E18" s="166"/>
      <c r="F18" s="166"/>
      <c r="G18" s="166"/>
      <c r="H18" s="166"/>
      <c r="I18" s="166"/>
      <c r="J18" s="166"/>
      <c r="K18" s="166"/>
      <c r="Q18" s="166"/>
      <c r="R18" s="166"/>
      <c r="S18" s="166"/>
      <c r="T18" s="166"/>
      <c r="U18" s="166"/>
      <c r="V18" s="166"/>
      <c r="W18" s="166"/>
      <c r="X18" s="166"/>
      <c r="Y18" s="166"/>
      <c r="Z18" s="166"/>
      <c r="AA18" s="166"/>
      <c r="AB18" s="166"/>
      <c r="AC18" s="166"/>
      <c r="AD18" s="166"/>
      <c r="AE18" s="166"/>
    </row>
    <row r="19" spans="1:59" ht="14.25" customHeight="1">
      <c r="A19" s="108" t="s">
        <v>172</v>
      </c>
      <c r="B19" s="166"/>
      <c r="C19" s="166"/>
      <c r="D19" s="166"/>
      <c r="E19" s="166"/>
      <c r="F19" s="166"/>
      <c r="G19" s="166"/>
      <c r="H19" s="166"/>
      <c r="I19" s="166"/>
      <c r="J19" s="166"/>
      <c r="K19" s="166"/>
      <c r="L19" s="166"/>
      <c r="M19" s="166"/>
      <c r="N19" s="166"/>
      <c r="O19" s="166"/>
      <c r="P19" s="166"/>
      <c r="Q19" s="166"/>
      <c r="R19" s="166"/>
      <c r="S19" s="166"/>
      <c r="T19" s="166"/>
      <c r="U19" s="166"/>
      <c r="V19" s="166"/>
      <c r="W19" s="166"/>
      <c r="X19" s="166"/>
      <c r="Y19" s="166"/>
      <c r="Z19" s="166"/>
      <c r="AA19" s="166"/>
      <c r="AB19" s="166"/>
      <c r="AC19" s="166"/>
      <c r="AD19" s="166"/>
      <c r="AE19" s="166"/>
      <c r="AI19" s="46"/>
      <c r="AJ19" s="108" t="s">
        <v>172</v>
      </c>
      <c r="BG19" s="153"/>
    </row>
    <row r="20" spans="1:59" ht="14.25" customHeight="1">
      <c r="B20" s="58" t="s">
        <v>173</v>
      </c>
      <c r="C20" s="166"/>
      <c r="D20" s="166"/>
      <c r="E20" s="166"/>
      <c r="F20" s="166"/>
      <c r="G20" s="166"/>
      <c r="H20" s="166"/>
      <c r="I20" s="166"/>
      <c r="J20" s="166"/>
      <c r="K20" s="166"/>
      <c r="L20" s="166"/>
      <c r="M20" s="166"/>
      <c r="N20" s="166"/>
      <c r="O20" s="166"/>
      <c r="P20" s="166"/>
      <c r="Q20" s="166"/>
      <c r="R20" s="166"/>
      <c r="S20" s="166"/>
      <c r="T20" s="166"/>
      <c r="U20" s="166"/>
      <c r="V20" s="166"/>
      <c r="W20" s="166"/>
      <c r="X20" s="166"/>
      <c r="Y20" s="166"/>
      <c r="Z20" s="166"/>
      <c r="AA20" s="166"/>
      <c r="AB20" s="166"/>
      <c r="AC20" s="166"/>
      <c r="AD20" s="166"/>
      <c r="AE20" s="166"/>
      <c r="AI20" s="46"/>
      <c r="AJ20" s="2" t="s">
        <v>174</v>
      </c>
      <c r="AQ20" s="166"/>
      <c r="BG20" s="153"/>
    </row>
    <row r="21" spans="1:59" ht="18" customHeight="1" thickBot="1">
      <c r="B21" s="58"/>
      <c r="C21" s="166"/>
      <c r="D21" s="166"/>
      <c r="E21" s="166"/>
      <c r="F21" s="166"/>
      <c r="G21" s="166"/>
      <c r="H21" s="166"/>
      <c r="I21" s="166"/>
      <c r="J21" s="166"/>
      <c r="K21" s="166"/>
      <c r="L21" s="166"/>
      <c r="M21" s="166"/>
      <c r="N21" s="166"/>
      <c r="O21" s="166"/>
      <c r="P21" s="166"/>
      <c r="Q21" s="166"/>
      <c r="R21" s="166"/>
      <c r="S21" s="166"/>
      <c r="T21" s="166"/>
      <c r="U21" s="166"/>
      <c r="V21" s="166"/>
      <c r="W21" s="166"/>
      <c r="X21" s="166"/>
      <c r="Y21" s="166"/>
      <c r="Z21" s="166"/>
      <c r="AA21" s="166"/>
      <c r="AB21" s="166"/>
      <c r="AC21" s="166"/>
      <c r="AD21" s="166"/>
      <c r="AE21" s="166"/>
      <c r="AI21" s="46"/>
      <c r="AJ21" s="144"/>
      <c r="AQ21" s="168"/>
      <c r="BG21" s="153"/>
    </row>
    <row r="22" spans="1:59" ht="14.25" customHeight="1">
      <c r="B22" s="1294" t="s">
        <v>55</v>
      </c>
      <c r="C22" s="1295"/>
      <c r="D22" s="1295"/>
      <c r="E22" s="1295"/>
      <c r="F22" s="1295"/>
      <c r="G22" s="1295"/>
      <c r="H22" s="1295"/>
      <c r="I22" s="1295"/>
      <c r="J22" s="1296"/>
      <c r="K22" s="1300" t="s">
        <v>175</v>
      </c>
      <c r="L22" s="1309" t="s">
        <v>176</v>
      </c>
      <c r="AD22" s="166"/>
      <c r="AE22" s="166"/>
      <c r="AI22" s="46"/>
      <c r="AJ22" s="1304" t="s">
        <v>55</v>
      </c>
      <c r="AK22" s="1302" t="s">
        <v>175</v>
      </c>
      <c r="AL22" s="169"/>
      <c r="AM22" s="1304" t="s">
        <v>176</v>
      </c>
      <c r="AQ22" s="168"/>
      <c r="BG22" s="153"/>
    </row>
    <row r="23" spans="1:59" ht="14.25" customHeight="1" thickBot="1">
      <c r="B23" s="1297"/>
      <c r="C23" s="1298"/>
      <c r="D23" s="1298"/>
      <c r="E23" s="1298"/>
      <c r="F23" s="1298"/>
      <c r="G23" s="1298"/>
      <c r="H23" s="1298"/>
      <c r="I23" s="1298"/>
      <c r="J23" s="1299"/>
      <c r="K23" s="1301"/>
      <c r="L23" s="1310"/>
      <c r="AD23" s="166"/>
      <c r="AE23" s="166"/>
      <c r="AI23" s="46"/>
      <c r="AJ23" s="1305"/>
      <c r="AK23" s="1303"/>
      <c r="AL23" s="170" t="s">
        <v>177</v>
      </c>
      <c r="AM23" s="1305"/>
      <c r="AQ23" s="168"/>
      <c r="BG23" s="153"/>
    </row>
    <row r="24" spans="1:59" ht="30" customHeight="1" thickTop="1">
      <c r="B24" s="1306" t="s">
        <v>178</v>
      </c>
      <c r="C24" s="1307"/>
      <c r="D24" s="1307"/>
      <c r="E24" s="1307"/>
      <c r="F24" s="1307"/>
      <c r="G24" s="1307"/>
      <c r="H24" s="1307"/>
      <c r="I24" s="1307"/>
      <c r="J24" s="1308"/>
      <c r="K24" s="171"/>
      <c r="L24" s="172"/>
      <c r="S24" s="173"/>
      <c r="T24" s="173"/>
      <c r="U24" s="173"/>
      <c r="V24" s="173"/>
      <c r="W24" s="173"/>
      <c r="X24" s="173"/>
      <c r="Y24" s="173"/>
      <c r="Z24" s="173"/>
      <c r="AA24" s="173"/>
      <c r="AB24" s="173"/>
      <c r="AC24" s="173"/>
      <c r="AD24" s="166"/>
      <c r="AE24" s="166"/>
      <c r="AI24" s="46"/>
      <c r="AJ24" s="174" t="s">
        <v>179</v>
      </c>
      <c r="AK24" s="175"/>
      <c r="AL24" s="176" t="str">
        <f>IF(AK24&lt;&gt;"",SUM(RIGHT(LEFT(AK24,3),2)),"")</f>
        <v/>
      </c>
      <c r="AM24" s="177">
        <f>L24</f>
        <v>0</v>
      </c>
      <c r="AQ24" s="168"/>
      <c r="BG24" s="153"/>
    </row>
    <row r="25" spans="1:59" ht="30" customHeight="1">
      <c r="B25" s="1289" t="s">
        <v>180</v>
      </c>
      <c r="C25" s="1290"/>
      <c r="D25" s="1290"/>
      <c r="E25" s="1290"/>
      <c r="F25" s="1290"/>
      <c r="G25" s="1290"/>
      <c r="H25" s="1290"/>
      <c r="I25" s="1290"/>
      <c r="J25" s="1251"/>
      <c r="K25" s="178"/>
      <c r="L25" s="179"/>
      <c r="S25" s="173"/>
      <c r="T25" s="173"/>
      <c r="U25" s="173"/>
      <c r="V25" s="173"/>
      <c r="W25" s="173"/>
      <c r="X25" s="173"/>
      <c r="Y25" s="173"/>
      <c r="Z25" s="173"/>
      <c r="AA25" s="173"/>
      <c r="AB25" s="173"/>
      <c r="AC25" s="173"/>
      <c r="AD25" s="166"/>
      <c r="AE25" s="166"/>
      <c r="AI25" s="46"/>
      <c r="AJ25" s="174" t="s">
        <v>181</v>
      </c>
      <c r="AK25" s="180"/>
      <c r="AL25" s="176" t="str">
        <f>IF(AK25&lt;&gt;"",SUM(RIGHT(LEFT(AK25,3),2)),"")</f>
        <v/>
      </c>
      <c r="AM25" s="177">
        <f>L25</f>
        <v>0</v>
      </c>
      <c r="BG25" s="153"/>
    </row>
    <row r="26" spans="1:59" ht="30" customHeight="1">
      <c r="B26" s="1289" t="s">
        <v>182</v>
      </c>
      <c r="C26" s="1290"/>
      <c r="D26" s="1290"/>
      <c r="E26" s="1290"/>
      <c r="F26" s="1290"/>
      <c r="G26" s="1290"/>
      <c r="H26" s="1290"/>
      <c r="I26" s="1290"/>
      <c r="J26" s="1251"/>
      <c r="K26" s="178"/>
      <c r="L26" s="179"/>
      <c r="S26" s="173"/>
      <c r="T26" s="173"/>
      <c r="U26" s="173"/>
      <c r="V26" s="173"/>
      <c r="W26" s="173"/>
      <c r="X26" s="173"/>
      <c r="Y26" s="173"/>
      <c r="Z26" s="173"/>
      <c r="AA26" s="173"/>
      <c r="AB26" s="173"/>
      <c r="AC26" s="173"/>
      <c r="AD26" s="166"/>
      <c r="AE26" s="166"/>
      <c r="AI26" s="46"/>
      <c r="AJ26" s="174" t="s">
        <v>183</v>
      </c>
      <c r="AK26" s="180"/>
      <c r="AL26" s="176" t="str">
        <f t="shared" ref="AL26:AL28" si="0">IF(AK26&lt;&gt;"",SUM(RIGHT(LEFT(AK26,3),2)),"")</f>
        <v/>
      </c>
      <c r="AM26" s="177">
        <f>L26</f>
        <v>0</v>
      </c>
      <c r="BG26" s="153"/>
    </row>
    <row r="27" spans="1:59" ht="30" customHeight="1">
      <c r="B27" s="1289" t="s">
        <v>184</v>
      </c>
      <c r="C27" s="1290"/>
      <c r="D27" s="1290"/>
      <c r="E27" s="1290"/>
      <c r="F27" s="1290"/>
      <c r="G27" s="1290"/>
      <c r="H27" s="1290"/>
      <c r="I27" s="1290"/>
      <c r="J27" s="1251"/>
      <c r="K27" s="178"/>
      <c r="L27" s="179"/>
      <c r="S27" s="173"/>
      <c r="T27" s="173"/>
      <c r="U27" s="173"/>
      <c r="V27" s="173"/>
      <c r="W27" s="173"/>
      <c r="X27" s="173"/>
      <c r="Y27" s="173"/>
      <c r="Z27" s="173"/>
      <c r="AA27" s="173"/>
      <c r="AB27" s="173"/>
      <c r="AC27" s="173"/>
      <c r="AD27" s="166"/>
      <c r="AE27" s="166"/>
      <c r="AI27" s="46"/>
      <c r="AJ27" s="174" t="s">
        <v>185</v>
      </c>
      <c r="AK27" s="180"/>
      <c r="AL27" s="176" t="str">
        <f t="shared" si="0"/>
        <v/>
      </c>
      <c r="AM27" s="177">
        <f>L27</f>
        <v>0</v>
      </c>
      <c r="BG27" s="153"/>
    </row>
    <row r="28" spans="1:59" s="30" customFormat="1" ht="30" customHeight="1" thickBot="1">
      <c r="A28" s="2"/>
      <c r="B28" s="1297" t="s">
        <v>186</v>
      </c>
      <c r="C28" s="1298"/>
      <c r="D28" s="1298"/>
      <c r="E28" s="1298"/>
      <c r="F28" s="1298"/>
      <c r="G28" s="1298"/>
      <c r="H28" s="1298"/>
      <c r="I28" s="1298"/>
      <c r="J28" s="1333"/>
      <c r="K28" s="181"/>
      <c r="L28" s="182"/>
      <c r="M28" s="2"/>
      <c r="N28" s="2"/>
      <c r="O28" s="2"/>
      <c r="P28" s="2"/>
      <c r="Q28" s="2"/>
      <c r="R28" s="2"/>
      <c r="S28" s="173"/>
      <c r="T28" s="173"/>
      <c r="U28" s="173"/>
      <c r="V28" s="173"/>
      <c r="W28" s="173"/>
      <c r="X28" s="173"/>
      <c r="Y28" s="173"/>
      <c r="Z28" s="173"/>
      <c r="AA28" s="173"/>
      <c r="AB28" s="173"/>
      <c r="AC28" s="173"/>
      <c r="AD28" s="166"/>
      <c r="AE28" s="166"/>
      <c r="AF28" s="2"/>
      <c r="AG28" s="2"/>
      <c r="AH28" s="2"/>
      <c r="AI28" s="46"/>
      <c r="AJ28" s="174" t="s">
        <v>187</v>
      </c>
      <c r="AK28" s="183"/>
      <c r="AL28" s="176" t="str">
        <f t="shared" si="0"/>
        <v/>
      </c>
      <c r="AM28" s="177">
        <f>L28</f>
        <v>0</v>
      </c>
      <c r="AN28" s="2"/>
      <c r="AO28" s="2"/>
      <c r="AP28" s="2"/>
    </row>
    <row r="29" spans="1:59" ht="14.25" customHeight="1">
      <c r="B29" s="166" t="s">
        <v>188</v>
      </c>
      <c r="C29" s="166"/>
      <c r="D29" s="166"/>
      <c r="E29" s="166"/>
      <c r="F29" s="166"/>
      <c r="G29" s="166"/>
      <c r="H29" s="166"/>
      <c r="I29" s="166"/>
      <c r="J29" s="166"/>
      <c r="K29" s="166"/>
      <c r="L29" s="166"/>
      <c r="M29" s="166"/>
      <c r="N29" s="173"/>
      <c r="O29" s="184"/>
      <c r="P29" s="185"/>
      <c r="Q29" s="185"/>
      <c r="R29" s="173"/>
      <c r="S29" s="185"/>
      <c r="T29" s="185"/>
      <c r="U29" s="185"/>
      <c r="V29" s="185"/>
      <c r="W29" s="185"/>
      <c r="X29" s="185"/>
      <c r="Y29" s="185"/>
      <c r="Z29" s="185"/>
      <c r="AA29" s="185"/>
      <c r="AB29" s="185"/>
      <c r="AC29" s="185"/>
      <c r="AD29" s="166"/>
      <c r="AE29" s="166"/>
      <c r="AI29" s="46"/>
      <c r="AN29" s="30"/>
      <c r="AO29" s="30"/>
      <c r="AP29" s="30"/>
    </row>
    <row r="30" spans="1:59" ht="14.25" customHeight="1">
      <c r="B30" s="166"/>
      <c r="C30" s="166"/>
      <c r="D30" s="166"/>
      <c r="E30" s="166"/>
      <c r="F30" s="166"/>
      <c r="G30" s="166"/>
      <c r="H30" s="166"/>
      <c r="I30" s="166"/>
      <c r="J30" s="166"/>
      <c r="K30" s="166"/>
      <c r="L30" s="166"/>
      <c r="M30" s="166"/>
      <c r="N30" s="173"/>
      <c r="O30" s="184"/>
      <c r="P30" s="185"/>
      <c r="Q30" s="185"/>
      <c r="R30" s="173"/>
      <c r="S30" s="185"/>
      <c r="T30" s="185"/>
      <c r="U30" s="185"/>
      <c r="V30" s="185"/>
      <c r="W30" s="185"/>
      <c r="X30" s="185"/>
      <c r="Y30" s="185"/>
      <c r="Z30" s="185"/>
      <c r="AA30" s="185"/>
      <c r="AB30" s="185"/>
      <c r="AC30" s="185"/>
      <c r="AD30" s="166"/>
      <c r="AE30" s="166"/>
      <c r="AI30" s="46"/>
      <c r="AN30" s="30"/>
      <c r="AO30" s="30"/>
      <c r="AP30" s="30"/>
    </row>
    <row r="31" spans="1:59" ht="14.25" customHeight="1">
      <c r="A31" s="166"/>
      <c r="B31" s="186"/>
      <c r="AI31" s="46"/>
    </row>
    <row r="32" spans="1:59" ht="14.1" customHeight="1">
      <c r="A32" s="108" t="s">
        <v>189</v>
      </c>
      <c r="B32" s="109"/>
      <c r="C32" s="109"/>
      <c r="D32" s="109"/>
      <c r="E32" s="109"/>
      <c r="F32" s="110"/>
      <c r="G32" s="110"/>
      <c r="H32" s="110"/>
      <c r="I32" s="110"/>
      <c r="J32" s="110"/>
      <c r="K32" s="110"/>
      <c r="L32" s="30"/>
      <c r="M32" s="30"/>
      <c r="N32" s="30"/>
      <c r="O32" s="30"/>
      <c r="P32" s="30"/>
      <c r="Q32" s="30"/>
      <c r="R32" s="30"/>
      <c r="S32" s="30"/>
      <c r="T32" s="30"/>
      <c r="U32" s="30"/>
      <c r="V32" s="30"/>
      <c r="W32" s="30"/>
      <c r="X32" s="30"/>
      <c r="Y32" s="30"/>
      <c r="Z32" s="30"/>
      <c r="AA32" s="30"/>
      <c r="AB32" s="30"/>
      <c r="AC32" s="30"/>
      <c r="AD32" s="30"/>
      <c r="AE32" s="30"/>
      <c r="AF32" s="30"/>
      <c r="AG32" s="30"/>
      <c r="AH32" s="30"/>
      <c r="AI32" s="46"/>
      <c r="AJ32" s="108"/>
    </row>
    <row r="33" spans="1:36" ht="14.1" customHeight="1">
      <c r="A33" s="30"/>
      <c r="B33" s="51" t="s">
        <v>190</v>
      </c>
      <c r="C33" s="30"/>
      <c r="D33" s="30"/>
      <c r="E33" s="30"/>
      <c r="F33" s="30"/>
      <c r="G33" s="30"/>
      <c r="H33" s="30"/>
      <c r="I33" s="30"/>
      <c r="J33" s="30"/>
      <c r="K33" s="30"/>
      <c r="L33" s="30"/>
      <c r="M33" s="30"/>
      <c r="N33" s="30"/>
      <c r="O33" s="30"/>
      <c r="P33" s="30"/>
      <c r="Q33" s="30"/>
      <c r="R33" s="30"/>
      <c r="S33" s="121"/>
      <c r="T33" s="30"/>
      <c r="U33" s="30"/>
      <c r="V33" s="30"/>
      <c r="W33" s="30"/>
      <c r="X33" s="30"/>
      <c r="Y33" s="30"/>
      <c r="Z33" s="30"/>
      <c r="AA33" s="30"/>
      <c r="AB33" s="30"/>
      <c r="AC33" s="30"/>
      <c r="AD33" s="30"/>
      <c r="AE33" s="30"/>
      <c r="AF33" s="30"/>
      <c r="AG33" s="30"/>
      <c r="AH33" s="30"/>
      <c r="AI33" s="46"/>
    </row>
    <row r="34" spans="1:36" ht="18" customHeight="1" thickBot="1">
      <c r="A34" s="30"/>
      <c r="B34" s="51"/>
      <c r="C34" s="30"/>
      <c r="D34" s="30"/>
      <c r="E34" s="30"/>
      <c r="F34" s="30"/>
      <c r="G34" s="30"/>
      <c r="H34" s="30"/>
      <c r="I34" s="30"/>
      <c r="J34" s="30"/>
      <c r="K34" s="30"/>
      <c r="L34" s="30"/>
      <c r="M34" s="30"/>
      <c r="N34" s="30"/>
      <c r="O34" s="30"/>
      <c r="P34" s="30"/>
      <c r="Q34" s="30"/>
      <c r="R34" s="30"/>
      <c r="S34" s="121"/>
      <c r="T34" s="30"/>
      <c r="U34" s="30"/>
      <c r="V34" s="30"/>
      <c r="W34" s="30"/>
      <c r="X34" s="30"/>
      <c r="Y34" s="30"/>
      <c r="Z34" s="30"/>
      <c r="AA34" s="30"/>
      <c r="AB34" s="30"/>
      <c r="AC34" s="30"/>
      <c r="AD34" s="30"/>
      <c r="AE34" s="30"/>
      <c r="AF34" s="30"/>
      <c r="AG34" s="30"/>
      <c r="AH34" s="30"/>
      <c r="AI34" s="46"/>
    </row>
    <row r="35" spans="1:36" ht="14.25" customHeight="1">
      <c r="B35" s="1334" t="s">
        <v>55</v>
      </c>
      <c r="C35" s="1335"/>
      <c r="D35" s="1335"/>
      <c r="E35" s="1335"/>
      <c r="F35" s="1335"/>
      <c r="G35" s="1335"/>
      <c r="H35" s="1335"/>
      <c r="I35" s="1335"/>
      <c r="J35" s="1336"/>
      <c r="K35" s="1311" t="s">
        <v>191</v>
      </c>
      <c r="L35" s="1313" t="s">
        <v>192</v>
      </c>
      <c r="AI35" s="46"/>
      <c r="AJ35" s="30"/>
    </row>
    <row r="36" spans="1:36" ht="14.25" customHeight="1" thickBot="1">
      <c r="B36" s="1337"/>
      <c r="C36" s="1338"/>
      <c r="D36" s="1338"/>
      <c r="E36" s="1338"/>
      <c r="F36" s="1338"/>
      <c r="G36" s="1338"/>
      <c r="H36" s="1338"/>
      <c r="I36" s="1338"/>
      <c r="J36" s="1339"/>
      <c r="K36" s="1312"/>
      <c r="L36" s="1314"/>
      <c r="AI36" s="46"/>
      <c r="AJ36" s="30"/>
    </row>
    <row r="37" spans="1:36" ht="30" customHeight="1" thickTop="1" thickBot="1">
      <c r="B37" s="1306" t="s">
        <v>193</v>
      </c>
      <c r="C37" s="1307"/>
      <c r="D37" s="1307"/>
      <c r="E37" s="1307"/>
      <c r="F37" s="1307"/>
      <c r="G37" s="1307"/>
      <c r="H37" s="1307"/>
      <c r="I37" s="1307"/>
      <c r="J37" s="1308"/>
      <c r="K37" s="187"/>
      <c r="L37" s="188"/>
      <c r="AI37" s="46"/>
      <c r="AJ37" s="30"/>
    </row>
    <row r="38" spans="1:36" ht="30" customHeight="1" thickTop="1">
      <c r="B38" s="1315" t="s">
        <v>194</v>
      </c>
      <c r="C38" s="1316"/>
      <c r="D38" s="1317" t="s">
        <v>195</v>
      </c>
      <c r="E38" s="1318"/>
      <c r="F38" s="1318"/>
      <c r="G38" s="1318"/>
      <c r="H38" s="1318"/>
      <c r="I38" s="1318"/>
      <c r="J38" s="1319"/>
      <c r="K38" s="1320"/>
      <c r="L38" s="189"/>
      <c r="AI38" s="46"/>
    </row>
    <row r="39" spans="1:36" ht="30" customHeight="1">
      <c r="B39" s="1315" t="s">
        <v>196</v>
      </c>
      <c r="C39" s="1316"/>
      <c r="D39" s="1322" t="s">
        <v>197</v>
      </c>
      <c r="E39" s="1322"/>
      <c r="F39" s="1322"/>
      <c r="G39" s="1322"/>
      <c r="H39" s="1322"/>
      <c r="I39" s="1322"/>
      <c r="J39" s="1323"/>
      <c r="K39" s="1320"/>
      <c r="L39" s="189"/>
      <c r="AI39" s="46"/>
    </row>
    <row r="40" spans="1:36" ht="30" customHeight="1" thickBot="1">
      <c r="B40" s="1315"/>
      <c r="C40" s="1316"/>
      <c r="D40" s="1322" t="s">
        <v>198</v>
      </c>
      <c r="E40" s="1322"/>
      <c r="F40" s="1322"/>
      <c r="G40" s="1322"/>
      <c r="H40" s="1322"/>
      <c r="I40" s="1322"/>
      <c r="J40" s="1323"/>
      <c r="K40" s="1321"/>
      <c r="L40" s="190"/>
    </row>
    <row r="41" spans="1:36" ht="31.5" customHeight="1" thickTop="1">
      <c r="B41" s="1324"/>
      <c r="C41" s="1325"/>
      <c r="D41" s="1325"/>
      <c r="E41" s="1325"/>
      <c r="F41" s="1325"/>
      <c r="G41" s="1325"/>
      <c r="H41" s="1325"/>
      <c r="I41" s="1325"/>
      <c r="J41" s="1326"/>
      <c r="K41" s="191"/>
      <c r="L41" s="192"/>
    </row>
    <row r="42" spans="1:36" ht="31.5" customHeight="1">
      <c r="B42" s="1327"/>
      <c r="C42" s="1328"/>
      <c r="D42" s="1328"/>
      <c r="E42" s="1328"/>
      <c r="F42" s="1328"/>
      <c r="G42" s="1328"/>
      <c r="H42" s="1328"/>
      <c r="I42" s="1328"/>
      <c r="J42" s="1329"/>
      <c r="K42" s="193"/>
      <c r="L42" s="194"/>
    </row>
    <row r="43" spans="1:36" ht="31.5" customHeight="1" thickBot="1">
      <c r="B43" s="1330"/>
      <c r="C43" s="1331"/>
      <c r="D43" s="1331"/>
      <c r="E43" s="1331"/>
      <c r="F43" s="1331"/>
      <c r="G43" s="1331"/>
      <c r="H43" s="1331"/>
      <c r="I43" s="1331"/>
      <c r="J43" s="1332"/>
      <c r="K43" s="195"/>
      <c r="L43" s="196"/>
    </row>
    <row r="45" spans="1:36" ht="23.25" customHeight="1"/>
    <row r="46" spans="1:36" ht="23.25" customHeight="1"/>
    <row r="47" spans="1:36" ht="23.25" customHeight="1"/>
    <row r="48" spans="1:36" ht="23.25" customHeight="1"/>
    <row r="49" ht="23.25" customHeight="1"/>
    <row r="65" s="2" customFormat="1" ht="14.25" customHeight="1"/>
    <row r="66" s="2" customFormat="1" ht="14.25" customHeight="1"/>
    <row r="67" s="2" customFormat="1" ht="14.25" customHeight="1"/>
    <row r="68" s="2" customFormat="1" ht="14.25" customHeight="1"/>
    <row r="69" s="2" customFormat="1" ht="14.25" customHeight="1"/>
    <row r="70" s="2" customFormat="1" ht="14.25" customHeight="1"/>
    <row r="71" s="2" customFormat="1" ht="14.25" customHeight="1"/>
    <row r="72" s="2" customFormat="1" ht="14.25" customHeight="1"/>
    <row r="73" s="2" customFormat="1" ht="14.25" customHeight="1"/>
    <row r="74" s="2" customFormat="1" ht="14.25" customHeight="1"/>
    <row r="75" s="2" customFormat="1" ht="14.25" customHeight="1"/>
    <row r="76" s="2" customFormat="1" ht="14.25" customHeight="1"/>
    <row r="77" s="2" customFormat="1" ht="14.25" customHeight="1"/>
    <row r="78" s="2" customFormat="1" ht="14.25" customHeight="1"/>
  </sheetData>
  <sheetProtection sheet="1" objects="1" scenarios="1" selectLockedCells="1"/>
  <mergeCells count="32">
    <mergeCell ref="B41:J41"/>
    <mergeCell ref="B42:J42"/>
    <mergeCell ref="B43:J43"/>
    <mergeCell ref="B28:J28"/>
    <mergeCell ref="B35:J36"/>
    <mergeCell ref="K35:K36"/>
    <mergeCell ref="L35:L36"/>
    <mergeCell ref="B37:J37"/>
    <mergeCell ref="B38:C38"/>
    <mergeCell ref="D38:J38"/>
    <mergeCell ref="K38:K40"/>
    <mergeCell ref="B39:C40"/>
    <mergeCell ref="D39:J39"/>
    <mergeCell ref="D40:J40"/>
    <mergeCell ref="AK22:AK23"/>
    <mergeCell ref="AM22:AM23"/>
    <mergeCell ref="B24:J24"/>
    <mergeCell ref="B25:J25"/>
    <mergeCell ref="B26:J26"/>
    <mergeCell ref="L22:L23"/>
    <mergeCell ref="AJ22:AJ23"/>
    <mergeCell ref="B27:J27"/>
    <mergeCell ref="B15:I15"/>
    <mergeCell ref="B16:I16"/>
    <mergeCell ref="B22:J23"/>
    <mergeCell ref="K22:K23"/>
    <mergeCell ref="B14:I14"/>
    <mergeCell ref="B9:I11"/>
    <mergeCell ref="K9:K11"/>
    <mergeCell ref="J10:J11"/>
    <mergeCell ref="B12:I12"/>
    <mergeCell ref="B13:I13"/>
  </mergeCells>
  <phoneticPr fontId="5"/>
  <dataValidations count="4">
    <dataValidation type="custom" operator="greaterThan" allowBlank="1" showInputMessage="1" showErrorMessage="1" error="0より大きい小数点第１位までの数値を入力してください。" sqref="K12:K15 L24:L28" xr:uid="{00000000-0002-0000-0500-000000000000}">
      <formula1>AND(AND(K12*10=INT(K12*10)),(K12&gt;0))</formula1>
    </dataValidation>
    <dataValidation type="list" allowBlank="1" showInputMessage="1" showErrorMessage="1" sqref="AK24:AK28" xr:uid="{00000000-0002-0000-0500-000001000000}">
      <formula1>品種名称</formula1>
    </dataValidation>
    <dataValidation type="whole" operator="greaterThan" allowBlank="1" showInputMessage="1" showErrorMessage="1" error="0より大きい数値を整数で入力してください。" sqref="K16 K37 L37:L40 K41:L43" xr:uid="{00000000-0002-0000-0500-000002000000}">
      <formula1>0</formula1>
    </dataValidation>
    <dataValidation type="textLength" imeMode="hiragana" operator="greaterThanOrEqual" allowBlank="1" showInputMessage="1" showErrorMessage="1" sqref="K24:K28" xr:uid="{00000000-0002-0000-0500-000003000000}">
      <formula1>1</formula1>
    </dataValidation>
  </dataValidations>
  <printOptions horizontalCentered="1"/>
  <pageMargins left="0.59055118110236227" right="0.59055118110236227" top="0.59055118110236227" bottom="0.39370078740157483" header="0" footer="0.19685039370078741"/>
  <pageSetup paperSize="9" scale="46" firstPageNumber="2" orientation="portrait" cellComments="asDisplayed" useFirstPageNumber="1" r:id="rId1"/>
  <headerFooter>
    <evenFooter>&amp;R&amp;G</even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9">
    <outlinePr summaryBelow="0"/>
    <pageSetUpPr fitToPage="1"/>
  </sheetPr>
  <dimension ref="A1:BY82"/>
  <sheetViews>
    <sheetView showGridLines="0" zoomScale="85" zoomScaleNormal="85" zoomScaleSheetLayoutView="80" workbookViewId="0">
      <selection activeCell="S14" sqref="S14"/>
    </sheetView>
  </sheetViews>
  <sheetFormatPr defaultColWidth="2.625" defaultRowHeight="14.25" customHeight="1" outlineLevelRow="1" outlineLevelCol="1"/>
  <cols>
    <col min="1" max="5" width="2.625" style="2" customWidth="1"/>
    <col min="6" max="6" width="20.25" style="2" customWidth="1"/>
    <col min="7" max="16" width="3" style="2" customWidth="1"/>
    <col min="17" max="18" width="2.625" style="2" customWidth="1"/>
    <col min="19" max="19" width="15.75" style="2" customWidth="1"/>
    <col min="20" max="20" width="21" style="2" customWidth="1"/>
    <col min="21" max="21" width="2.625" style="173" customWidth="1"/>
    <col min="22" max="22" width="14.875" style="2" customWidth="1" outlineLevel="1"/>
    <col min="23" max="23" width="2.625" style="2" customWidth="1" outlineLevel="1"/>
    <col min="24" max="25" width="4.375" style="2" customWidth="1" outlineLevel="1"/>
    <col min="26" max="26" width="16" style="2" customWidth="1" outlineLevel="1"/>
    <col min="27" max="29" width="17.375" style="2" customWidth="1" outlineLevel="1"/>
    <col min="30" max="34" width="2.625" style="2"/>
    <col min="35" max="35" width="18.375" style="2" bestFit="1" customWidth="1"/>
    <col min="36" max="60" width="2.625" style="2" customWidth="1"/>
    <col min="61" max="16384" width="2.625" style="2"/>
  </cols>
  <sheetData>
    <row r="1" spans="1:58" ht="14.25" customHeight="1">
      <c r="A1" s="46"/>
      <c r="X1" s="151" t="s">
        <v>0</v>
      </c>
      <c r="Y1" s="151"/>
    </row>
    <row r="2" spans="1:58" s="30" customFormat="1" ht="18" customHeight="1">
      <c r="A2" s="46"/>
      <c r="B2" s="152" t="s">
        <v>199</v>
      </c>
      <c r="C2" s="152"/>
      <c r="U2" s="184"/>
      <c r="X2" s="2"/>
      <c r="Y2" s="2"/>
      <c r="Z2" s="2"/>
      <c r="AA2" s="2"/>
      <c r="AB2" s="2"/>
      <c r="AC2" s="2"/>
      <c r="AD2" s="2"/>
      <c r="AE2" s="2"/>
    </row>
    <row r="3" spans="1:58" ht="14.25" customHeight="1">
      <c r="A3" s="46"/>
      <c r="D3" s="197"/>
      <c r="E3" s="197"/>
      <c r="F3" s="197"/>
      <c r="G3" s="197"/>
      <c r="H3" s="197"/>
      <c r="I3" s="197"/>
      <c r="J3" s="197"/>
      <c r="K3" s="197"/>
      <c r="L3" s="197"/>
      <c r="M3" s="197"/>
      <c r="N3" s="197"/>
      <c r="O3" s="197"/>
      <c r="P3" s="197"/>
      <c r="Q3" s="197"/>
      <c r="R3" s="197"/>
      <c r="S3" s="197"/>
      <c r="T3" s="74"/>
      <c r="U3" s="198"/>
      <c r="V3" s="20"/>
      <c r="W3" s="30"/>
      <c r="AI3" s="197"/>
      <c r="AJ3" s="197"/>
      <c r="AK3" s="197"/>
      <c r="AL3" s="197"/>
      <c r="AM3" s="197"/>
      <c r="AN3" s="197"/>
      <c r="AO3" s="197"/>
      <c r="AP3" s="197"/>
      <c r="AQ3" s="197"/>
      <c r="AR3" s="197"/>
      <c r="AS3" s="197"/>
      <c r="AT3" s="74"/>
      <c r="AU3" s="74"/>
      <c r="AV3" s="74"/>
      <c r="AW3" s="199"/>
      <c r="AX3" s="20"/>
      <c r="AY3" s="20"/>
      <c r="AZ3" s="20"/>
      <c r="BA3" s="20"/>
      <c r="BB3" s="20"/>
      <c r="BC3" s="20"/>
      <c r="BD3" s="20"/>
      <c r="BE3" s="20"/>
      <c r="BF3" s="74"/>
    </row>
    <row r="4" spans="1:58" s="30" customFormat="1" ht="18" customHeight="1">
      <c r="A4" s="46"/>
      <c r="B4" s="108" t="s">
        <v>200</v>
      </c>
      <c r="C4" s="110"/>
      <c r="D4" s="110"/>
      <c r="E4" s="110"/>
      <c r="F4" s="110"/>
      <c r="G4" s="110"/>
      <c r="H4" s="110"/>
      <c r="I4" s="110"/>
      <c r="J4" s="110"/>
      <c r="K4" s="110"/>
      <c r="L4" s="110"/>
      <c r="M4" s="110"/>
      <c r="N4" s="110"/>
      <c r="O4" s="110"/>
      <c r="P4" s="110"/>
      <c r="Q4" s="110"/>
      <c r="R4" s="110"/>
      <c r="S4" s="110"/>
      <c r="U4" s="184"/>
      <c r="X4" s="108" t="s">
        <v>200</v>
      </c>
      <c r="Y4" s="110"/>
      <c r="Z4" s="2"/>
      <c r="AA4" s="2"/>
      <c r="AB4" s="2"/>
      <c r="AC4" s="2"/>
      <c r="AD4" s="2"/>
      <c r="AE4" s="2"/>
      <c r="AI4" s="110"/>
      <c r="AJ4" s="110"/>
      <c r="AK4" s="110"/>
      <c r="AL4" s="110"/>
      <c r="AM4" s="110"/>
      <c r="AN4" s="110"/>
      <c r="AO4" s="110"/>
      <c r="AP4" s="110"/>
      <c r="AQ4" s="110"/>
      <c r="AR4" s="110"/>
      <c r="AS4" s="110"/>
      <c r="AT4" s="110"/>
      <c r="AU4" s="110"/>
    </row>
    <row r="5" spans="1:58" s="30" customFormat="1" ht="18" hidden="1" customHeight="1">
      <c r="A5" s="46"/>
      <c r="B5" s="108"/>
      <c r="C5" s="110"/>
      <c r="D5" s="110"/>
      <c r="E5" s="110"/>
      <c r="F5" s="110"/>
      <c r="G5" s="110"/>
      <c r="H5" s="110"/>
      <c r="I5" s="110"/>
      <c r="J5" s="110"/>
      <c r="K5" s="110"/>
      <c r="L5" s="110"/>
      <c r="M5" s="110"/>
      <c r="N5" s="110"/>
      <c r="O5" s="110"/>
      <c r="P5" s="110"/>
      <c r="Q5" s="110"/>
      <c r="R5" s="110"/>
      <c r="S5" s="110"/>
      <c r="U5" s="184"/>
      <c r="X5" s="108"/>
      <c r="Y5" s="110"/>
      <c r="Z5" s="2"/>
      <c r="AA5" s="2"/>
      <c r="AB5" s="2"/>
      <c r="AC5" s="2"/>
      <c r="AD5" s="2"/>
      <c r="AE5" s="2"/>
      <c r="AI5" s="110"/>
      <c r="AJ5" s="110"/>
      <c r="AK5" s="110"/>
      <c r="AL5" s="110"/>
      <c r="AM5" s="110"/>
      <c r="AN5" s="110"/>
      <c r="AO5" s="110"/>
      <c r="AP5" s="110"/>
      <c r="AQ5" s="110"/>
      <c r="AR5" s="110"/>
      <c r="AS5" s="110"/>
      <c r="AT5" s="110"/>
      <c r="AU5" s="110"/>
    </row>
    <row r="6" spans="1:58" s="30" customFormat="1" ht="14.25" customHeight="1">
      <c r="A6" s="46"/>
      <c r="B6" s="200"/>
      <c r="C6" s="58" t="s">
        <v>201</v>
      </c>
      <c r="F6" s="110"/>
      <c r="G6" s="110"/>
      <c r="H6" s="110"/>
      <c r="I6" s="110"/>
      <c r="J6" s="110"/>
      <c r="K6" s="110"/>
      <c r="L6" s="110"/>
      <c r="M6" s="110"/>
      <c r="N6" s="110"/>
      <c r="O6" s="110"/>
      <c r="P6" s="110"/>
      <c r="Q6" s="110"/>
      <c r="R6" s="110"/>
      <c r="S6" s="110"/>
      <c r="T6" s="110"/>
      <c r="U6" s="184"/>
      <c r="W6" s="51"/>
      <c r="AI6" s="130"/>
      <c r="AJ6" s="130"/>
      <c r="AK6" s="130"/>
      <c r="AL6" s="130"/>
      <c r="AM6" s="130"/>
      <c r="AN6" s="130"/>
      <c r="AO6" s="130"/>
      <c r="AP6" s="130"/>
      <c r="AQ6" s="110"/>
      <c r="AR6" s="110"/>
      <c r="AS6" s="110"/>
      <c r="AT6" s="110"/>
      <c r="AU6" s="110"/>
      <c r="AV6" s="110"/>
      <c r="AW6" s="110"/>
      <c r="AX6" s="110"/>
      <c r="AY6" s="110"/>
      <c r="AZ6" s="110"/>
      <c r="BA6" s="110"/>
      <c r="BB6" s="110"/>
      <c r="BC6" s="110"/>
    </row>
    <row r="7" spans="1:58" ht="14.25" customHeight="1">
      <c r="A7" s="46"/>
      <c r="B7" s="200"/>
      <c r="C7" s="58" t="s">
        <v>202</v>
      </c>
      <c r="D7" s="30"/>
      <c r="E7" s="30"/>
      <c r="F7" s="110"/>
      <c r="G7" s="110"/>
      <c r="H7" s="110"/>
      <c r="I7" s="110"/>
      <c r="J7" s="110"/>
      <c r="K7" s="110"/>
      <c r="L7" s="110"/>
      <c r="M7" s="110"/>
      <c r="N7" s="110"/>
      <c r="O7" s="110"/>
      <c r="P7" s="110"/>
      <c r="Q7" s="110"/>
      <c r="R7" s="110"/>
      <c r="S7" s="110"/>
      <c r="T7" s="110"/>
      <c r="U7" s="184"/>
      <c r="V7" s="30"/>
      <c r="W7" s="46"/>
      <c r="AF7" s="30"/>
      <c r="AG7" s="30"/>
      <c r="AH7" s="30"/>
      <c r="AI7" s="146"/>
      <c r="AJ7" s="146"/>
      <c r="AK7" s="146"/>
      <c r="AL7" s="146"/>
      <c r="AM7" s="146"/>
      <c r="AN7" s="146"/>
      <c r="AO7" s="144"/>
      <c r="AP7" s="144"/>
      <c r="AQ7" s="144"/>
      <c r="AR7" s="144"/>
      <c r="AS7" s="144"/>
      <c r="AT7" s="144"/>
      <c r="AU7" s="144"/>
      <c r="AV7" s="144"/>
      <c r="AW7" s="144"/>
      <c r="AX7" s="144"/>
      <c r="AY7" s="201"/>
      <c r="AZ7" s="144"/>
      <c r="BA7" s="144"/>
      <c r="BB7" s="201"/>
      <c r="BC7" s="201"/>
      <c r="BD7" s="202"/>
      <c r="BE7" s="202"/>
    </row>
    <row r="8" spans="1:58" ht="14.25" customHeight="1">
      <c r="A8" s="46"/>
      <c r="B8" s="200"/>
      <c r="C8" s="58" t="s">
        <v>203</v>
      </c>
      <c r="D8" s="30"/>
      <c r="E8" s="30"/>
      <c r="F8" s="110"/>
      <c r="G8" s="110"/>
      <c r="H8" s="110"/>
      <c r="I8" s="110"/>
      <c r="J8" s="110"/>
      <c r="K8" s="110"/>
      <c r="L8" s="110"/>
      <c r="M8" s="110"/>
      <c r="N8" s="110"/>
      <c r="O8" s="110"/>
      <c r="P8" s="110"/>
      <c r="Q8" s="110"/>
      <c r="R8" s="110"/>
      <c r="S8" s="110"/>
      <c r="T8" s="110"/>
      <c r="U8" s="184"/>
      <c r="V8" s="30"/>
      <c r="W8" s="46"/>
      <c r="AF8" s="30"/>
      <c r="AG8" s="30"/>
      <c r="AH8" s="30"/>
      <c r="AI8" s="146"/>
      <c r="AJ8" s="146"/>
      <c r="AK8" s="146"/>
      <c r="AL8" s="146"/>
      <c r="AM8" s="146"/>
      <c r="AN8" s="146"/>
      <c r="AO8" s="144"/>
      <c r="AP8" s="144"/>
      <c r="AQ8" s="144"/>
      <c r="AR8" s="144"/>
      <c r="AS8" s="144"/>
      <c r="AT8" s="144"/>
      <c r="AU8" s="144"/>
      <c r="AV8" s="144"/>
      <c r="AW8" s="144"/>
      <c r="AX8" s="144"/>
      <c r="AY8" s="201"/>
      <c r="AZ8" s="144"/>
      <c r="BA8" s="144"/>
      <c r="BB8" s="201"/>
      <c r="BC8" s="201"/>
      <c r="BD8" s="202"/>
      <c r="BE8" s="202"/>
    </row>
    <row r="9" spans="1:58" ht="14.25" customHeight="1">
      <c r="A9" s="46"/>
      <c r="B9" s="200"/>
      <c r="C9" s="58" t="s">
        <v>204</v>
      </c>
      <c r="D9" s="30"/>
      <c r="E9" s="30"/>
      <c r="F9" s="110"/>
      <c r="G9" s="110"/>
      <c r="H9" s="110"/>
      <c r="I9" s="110"/>
      <c r="J9" s="110"/>
      <c r="K9" s="110"/>
      <c r="L9" s="110"/>
      <c r="M9" s="110"/>
      <c r="N9" s="110"/>
      <c r="O9" s="110"/>
      <c r="P9" s="110"/>
      <c r="Q9" s="110"/>
      <c r="R9" s="110"/>
      <c r="S9" s="110"/>
      <c r="T9" s="110"/>
      <c r="U9" s="184"/>
      <c r="V9" s="30"/>
      <c r="W9" s="146"/>
      <c r="X9" s="166"/>
      <c r="Y9" s="166"/>
      <c r="Z9" s="166"/>
      <c r="AA9" s="166"/>
      <c r="AB9" s="166"/>
      <c r="AC9" s="166"/>
      <c r="AD9" s="166"/>
      <c r="AE9" s="166"/>
      <c r="AF9" s="30"/>
      <c r="AG9" s="30"/>
      <c r="AH9" s="30"/>
      <c r="AI9" s="146"/>
      <c r="AJ9" s="146"/>
      <c r="AK9" s="146"/>
      <c r="AL9" s="146"/>
      <c r="AM9" s="146"/>
      <c r="AN9" s="146"/>
      <c r="AO9" s="148"/>
      <c r="AP9" s="148"/>
      <c r="AQ9" s="148"/>
      <c r="AR9" s="148"/>
      <c r="AS9" s="148"/>
      <c r="AT9" s="148"/>
      <c r="AU9" s="148"/>
      <c r="AV9" s="148"/>
      <c r="AW9" s="148"/>
      <c r="AX9" s="148"/>
      <c r="AY9" s="148"/>
      <c r="AZ9" s="148"/>
      <c r="BA9" s="148"/>
      <c r="BB9" s="148"/>
      <c r="BC9" s="148"/>
      <c r="BD9" s="166"/>
      <c r="BE9" s="166"/>
    </row>
    <row r="10" spans="1:58" ht="14.25" customHeight="1">
      <c r="A10" s="46"/>
      <c r="B10" s="200"/>
      <c r="C10" s="58" t="s">
        <v>205</v>
      </c>
      <c r="D10" s="30"/>
      <c r="E10" s="30"/>
      <c r="F10" s="110"/>
      <c r="G10" s="110"/>
      <c r="H10" s="110"/>
      <c r="I10" s="110"/>
      <c r="J10" s="110"/>
      <c r="K10" s="110"/>
      <c r="L10" s="110"/>
      <c r="M10" s="110"/>
      <c r="N10" s="110"/>
      <c r="O10" s="110"/>
      <c r="P10" s="110"/>
      <c r="Q10" s="110"/>
      <c r="R10" s="110"/>
      <c r="S10" s="110"/>
      <c r="T10" s="110"/>
      <c r="U10" s="184"/>
      <c r="V10" s="30"/>
      <c r="W10" s="146"/>
      <c r="X10" s="166"/>
      <c r="Y10" s="166"/>
      <c r="Z10" s="166"/>
      <c r="AA10" s="166"/>
      <c r="AB10" s="166"/>
      <c r="AC10" s="166"/>
      <c r="AD10" s="166"/>
      <c r="AE10" s="166"/>
      <c r="AF10" s="30"/>
      <c r="AG10" s="30"/>
      <c r="AH10" s="30"/>
      <c r="AI10" s="146"/>
      <c r="AJ10" s="146"/>
      <c r="AK10" s="146"/>
      <c r="AL10" s="146"/>
      <c r="AM10" s="146"/>
      <c r="AN10" s="146"/>
      <c r="AO10" s="145"/>
      <c r="AP10" s="145"/>
      <c r="AQ10" s="145"/>
      <c r="AR10" s="146"/>
      <c r="AS10" s="146"/>
      <c r="AT10" s="146"/>
      <c r="AU10" s="146"/>
      <c r="AV10" s="146"/>
      <c r="AW10" s="146"/>
      <c r="AX10" s="146"/>
      <c r="AY10" s="146"/>
      <c r="AZ10" s="146"/>
      <c r="BA10" s="146"/>
      <c r="BB10" s="146"/>
      <c r="BC10" s="146"/>
      <c r="BD10" s="146"/>
      <c r="BE10" s="146"/>
    </row>
    <row r="11" spans="1:58" ht="14.25" customHeight="1" thickBot="1">
      <c r="A11" s="46"/>
      <c r="B11" s="203"/>
      <c r="C11" s="48"/>
      <c r="F11" s="130"/>
      <c r="G11" s="130"/>
      <c r="H11" s="130"/>
      <c r="I11" s="130"/>
      <c r="J11" s="130"/>
      <c r="K11" s="130"/>
      <c r="L11" s="130"/>
      <c r="M11" s="130"/>
      <c r="N11" s="130"/>
      <c r="O11" s="130"/>
      <c r="P11" s="130"/>
      <c r="Q11" s="130"/>
      <c r="R11" s="130"/>
      <c r="S11" s="130"/>
      <c r="T11" s="130"/>
      <c r="W11" s="144"/>
      <c r="X11" s="166"/>
      <c r="Y11" s="166"/>
      <c r="Z11" s="166"/>
      <c r="AA11" s="166"/>
      <c r="AB11" s="166"/>
      <c r="AC11" s="166"/>
      <c r="AD11" s="166"/>
      <c r="AF11" s="30"/>
      <c r="AG11" s="30"/>
      <c r="AH11" s="30"/>
      <c r="AI11" s="146"/>
      <c r="AJ11" s="146"/>
      <c r="AK11" s="146"/>
      <c r="AL11" s="146"/>
      <c r="AM11" s="146"/>
      <c r="AN11" s="146"/>
      <c r="AO11" s="145"/>
      <c r="AP11" s="145"/>
      <c r="AQ11" s="145"/>
      <c r="AR11" s="146"/>
      <c r="AS11" s="146"/>
      <c r="AT11" s="146"/>
      <c r="AU11" s="146"/>
      <c r="AV11" s="146"/>
      <c r="AW11" s="146"/>
      <c r="AX11" s="146"/>
      <c r="AY11" s="146"/>
      <c r="AZ11" s="146"/>
      <c r="BA11" s="146"/>
      <c r="BB11" s="146"/>
      <c r="BC11" s="146"/>
      <c r="BD11" s="146"/>
      <c r="BE11" s="146"/>
    </row>
    <row r="12" spans="1:58" ht="14.1" customHeight="1">
      <c r="A12" s="46"/>
      <c r="C12" s="1163" t="s">
        <v>55</v>
      </c>
      <c r="D12" s="1164"/>
      <c r="E12" s="1164"/>
      <c r="F12" s="1164"/>
      <c r="G12" s="1236" t="s">
        <v>206</v>
      </c>
      <c r="H12" s="1237"/>
      <c r="I12" s="1237"/>
      <c r="J12" s="1237"/>
      <c r="K12" s="1237"/>
      <c r="L12" s="1237"/>
      <c r="M12" s="1237"/>
      <c r="N12" s="1237"/>
      <c r="O12" s="1237"/>
      <c r="P12" s="1237"/>
      <c r="Q12" s="1237"/>
      <c r="R12" s="1238"/>
      <c r="S12" s="1170" t="s">
        <v>56</v>
      </c>
      <c r="T12" s="1341" t="s">
        <v>207</v>
      </c>
      <c r="U12" s="204"/>
      <c r="V12" s="146"/>
      <c r="W12" s="146"/>
      <c r="X12" s="205" t="s">
        <v>208</v>
      </c>
      <c r="Y12" s="166"/>
      <c r="Z12" s="166"/>
      <c r="AA12" s="166"/>
      <c r="AB12" s="166"/>
      <c r="AC12" s="166"/>
      <c r="AD12" s="166"/>
      <c r="AJ12" s="146"/>
      <c r="AK12" s="146"/>
      <c r="AL12" s="146"/>
      <c r="AM12" s="206"/>
      <c r="AN12" s="206"/>
      <c r="AO12" s="206"/>
      <c r="AP12" s="207"/>
      <c r="AQ12" s="208"/>
      <c r="AR12" s="208"/>
      <c r="AS12" s="209"/>
      <c r="AT12" s="209"/>
      <c r="AU12" s="210"/>
      <c r="AV12" s="211"/>
      <c r="AW12" s="211"/>
      <c r="AX12" s="211"/>
      <c r="AY12" s="208"/>
      <c r="AZ12" s="208"/>
      <c r="BA12" s="209"/>
      <c r="BB12" s="209"/>
      <c r="BC12" s="210"/>
    </row>
    <row r="13" spans="1:58" ht="14.1" customHeight="1" thickBot="1">
      <c r="A13" s="46"/>
      <c r="C13" s="1166"/>
      <c r="D13" s="1167"/>
      <c r="E13" s="1167"/>
      <c r="F13" s="1167"/>
      <c r="G13" s="1239"/>
      <c r="H13" s="1240"/>
      <c r="I13" s="1240"/>
      <c r="J13" s="1240"/>
      <c r="K13" s="1240"/>
      <c r="L13" s="1240"/>
      <c r="M13" s="1240"/>
      <c r="N13" s="1240"/>
      <c r="O13" s="1240"/>
      <c r="P13" s="1240"/>
      <c r="Q13" s="1240"/>
      <c r="R13" s="1241"/>
      <c r="S13" s="1340"/>
      <c r="T13" s="1342"/>
      <c r="U13" s="204"/>
      <c r="V13" s="146"/>
      <c r="W13" s="146"/>
      <c r="X13" s="166"/>
      <c r="Y13" s="166"/>
      <c r="Z13" s="166"/>
      <c r="AA13" s="166"/>
      <c r="AB13" s="166"/>
      <c r="AC13" s="166"/>
      <c r="AD13" s="166"/>
      <c r="AJ13" s="146"/>
      <c r="AK13" s="146"/>
      <c r="AL13" s="146"/>
      <c r="AM13" s="206"/>
      <c r="AN13" s="206"/>
      <c r="AO13" s="206"/>
      <c r="AP13" s="207"/>
      <c r="AQ13" s="208"/>
      <c r="AR13" s="208"/>
      <c r="AS13" s="207"/>
      <c r="AT13" s="207"/>
      <c r="AU13" s="210"/>
      <c r="AV13" s="211"/>
      <c r="AW13" s="211"/>
      <c r="AX13" s="211"/>
      <c r="AY13" s="208"/>
      <c r="AZ13" s="208"/>
      <c r="BA13" s="212"/>
      <c r="BB13" s="212"/>
      <c r="BC13" s="212"/>
    </row>
    <row r="14" spans="1:58" ht="30" customHeight="1" thickTop="1" thickBot="1">
      <c r="A14" s="46"/>
      <c r="C14" s="1343" t="s">
        <v>209</v>
      </c>
      <c r="D14" s="1344"/>
      <c r="E14" s="1349" t="s">
        <v>210</v>
      </c>
      <c r="F14" s="1350"/>
      <c r="G14" s="1351" t="s">
        <v>211</v>
      </c>
      <c r="H14" s="1352"/>
      <c r="I14" s="1352"/>
      <c r="J14" s="1352"/>
      <c r="K14" s="1352"/>
      <c r="L14" s="1352"/>
      <c r="M14" s="1352"/>
      <c r="N14" s="1352"/>
      <c r="O14" s="1352"/>
      <c r="P14" s="1352"/>
      <c r="Q14" s="1352"/>
      <c r="R14" s="1352"/>
      <c r="S14" s="213"/>
      <c r="T14" s="214"/>
      <c r="U14" s="215"/>
      <c r="V14" s="146"/>
      <c r="W14" s="146"/>
      <c r="X14" s="1362" t="s">
        <v>55</v>
      </c>
      <c r="Y14" s="1362"/>
      <c r="Z14" s="1362"/>
      <c r="AA14" s="216" t="s">
        <v>212</v>
      </c>
      <c r="AB14" s="217" t="s">
        <v>213</v>
      </c>
      <c r="AC14" s="216" t="s">
        <v>214</v>
      </c>
      <c r="AD14" s="166"/>
      <c r="AJ14" s="146"/>
      <c r="AK14" s="146"/>
      <c r="AL14" s="146"/>
      <c r="AM14" s="206"/>
      <c r="AN14" s="206"/>
      <c r="AO14" s="206"/>
      <c r="AP14" s="218"/>
      <c r="AQ14" s="210"/>
      <c r="AR14" s="210"/>
      <c r="AS14" s="218"/>
      <c r="AT14" s="218"/>
      <c r="AU14" s="210"/>
      <c r="AV14" s="211"/>
      <c r="AW14" s="211"/>
      <c r="AX14" s="211"/>
      <c r="AY14" s="210"/>
      <c r="AZ14" s="210"/>
      <c r="BA14" s="219"/>
      <c r="BB14" s="20"/>
      <c r="BC14" s="20"/>
    </row>
    <row r="15" spans="1:58" ht="30" customHeight="1" thickTop="1">
      <c r="A15" s="46"/>
      <c r="C15" s="1345"/>
      <c r="D15" s="1346"/>
      <c r="E15" s="162"/>
      <c r="F15" s="220"/>
      <c r="G15" s="1353"/>
      <c r="H15" s="1354"/>
      <c r="I15" s="1354"/>
      <c r="J15" s="1354"/>
      <c r="K15" s="1354"/>
      <c r="L15" s="1354"/>
      <c r="M15" s="1354"/>
      <c r="N15" s="1354"/>
      <c r="O15" s="1354"/>
      <c r="P15" s="1354"/>
      <c r="Q15" s="1354"/>
      <c r="R15" s="1354"/>
      <c r="S15" s="221"/>
      <c r="T15" s="222"/>
      <c r="U15" s="198"/>
      <c r="V15" s="223"/>
      <c r="W15" s="223"/>
      <c r="X15" s="1363" t="s">
        <v>215</v>
      </c>
      <c r="Y15" s="1364" t="s">
        <v>216</v>
      </c>
      <c r="Z15" s="1362"/>
      <c r="AA15" s="224">
        <f>IF(OR(S14="",S14=0),SUM(S15:S29),S14)</f>
        <v>0</v>
      </c>
      <c r="AB15" s="225">
        <f>IF(AND(AA15&gt;0,AC15&gt;0),ROUND(AC15/AA15*リスト!$C$23,2),)</f>
        <v>0</v>
      </c>
      <c r="AC15" s="224">
        <f>IF(OR(T14="",T14=0),SUM(T15:T29),T14)</f>
        <v>0</v>
      </c>
      <c r="AD15" s="166"/>
      <c r="AJ15" s="146"/>
      <c r="AK15" s="146"/>
      <c r="AL15" s="146"/>
      <c r="AM15" s="206"/>
      <c r="AN15" s="206"/>
      <c r="AO15" s="206"/>
      <c r="AP15" s="218"/>
      <c r="AQ15" s="210"/>
      <c r="AR15" s="210"/>
      <c r="AS15" s="218"/>
      <c r="AT15" s="218"/>
      <c r="AU15" s="210"/>
      <c r="AV15" s="211"/>
      <c r="AW15" s="211"/>
      <c r="AX15" s="211"/>
      <c r="AY15" s="210"/>
      <c r="AZ15" s="210"/>
      <c r="BA15" s="219"/>
      <c r="BB15" s="20"/>
      <c r="BC15" s="20"/>
    </row>
    <row r="16" spans="1:58" ht="30" customHeight="1">
      <c r="A16" s="46"/>
      <c r="C16" s="1345"/>
      <c r="D16" s="1346"/>
      <c r="E16" s="162"/>
      <c r="F16" s="220"/>
      <c r="G16" s="1353"/>
      <c r="H16" s="1354"/>
      <c r="I16" s="1354"/>
      <c r="J16" s="1354"/>
      <c r="K16" s="1354"/>
      <c r="L16" s="1354"/>
      <c r="M16" s="1354"/>
      <c r="N16" s="1354"/>
      <c r="O16" s="1354"/>
      <c r="P16" s="1354"/>
      <c r="Q16" s="1354"/>
      <c r="R16" s="1354"/>
      <c r="S16" s="226"/>
      <c r="T16" s="227"/>
      <c r="U16" s="198"/>
      <c r="V16" s="146"/>
      <c r="W16" s="146"/>
      <c r="X16" s="1363"/>
      <c r="Y16" s="1364" t="s">
        <v>217</v>
      </c>
      <c r="Z16" s="1362"/>
      <c r="AA16" s="224">
        <f>IF(OR(S30="",S30=0),SUM(S31:S45),S30)</f>
        <v>0</v>
      </c>
      <c r="AB16" s="225">
        <f>IF(AND(AA16&gt;0,AC16&gt;0),ROUND(AC16/AA16*リスト!$C$23,2),)</f>
        <v>0</v>
      </c>
      <c r="AC16" s="224">
        <f>IF(OR(T30="",T30=0),SUM(T31:T45),T30)</f>
        <v>0</v>
      </c>
      <c r="AD16" s="166"/>
      <c r="AJ16" s="146"/>
      <c r="AK16" s="146"/>
      <c r="AL16" s="146"/>
      <c r="AM16" s="206"/>
      <c r="AN16" s="206"/>
      <c r="AO16" s="206"/>
      <c r="AP16" s="218"/>
      <c r="AQ16" s="210"/>
      <c r="AR16" s="210"/>
      <c r="AS16" s="218"/>
      <c r="AT16" s="218"/>
      <c r="AU16" s="210"/>
      <c r="AV16" s="211"/>
      <c r="AW16" s="211"/>
      <c r="AX16" s="211"/>
      <c r="AY16" s="210"/>
      <c r="AZ16" s="210"/>
      <c r="BA16" s="219"/>
      <c r="BB16" s="20"/>
      <c r="BC16" s="20"/>
    </row>
    <row r="17" spans="1:77" ht="30" customHeight="1">
      <c r="A17" s="46"/>
      <c r="C17" s="1345"/>
      <c r="D17" s="1346"/>
      <c r="E17" s="162"/>
      <c r="F17" s="220"/>
      <c r="G17" s="1353"/>
      <c r="H17" s="1354"/>
      <c r="I17" s="1354"/>
      <c r="J17" s="1354"/>
      <c r="K17" s="1354"/>
      <c r="L17" s="1354"/>
      <c r="M17" s="1354"/>
      <c r="N17" s="1354"/>
      <c r="O17" s="1354"/>
      <c r="P17" s="1354"/>
      <c r="Q17" s="1354"/>
      <c r="R17" s="1354"/>
      <c r="S17" s="226"/>
      <c r="T17" s="227"/>
      <c r="U17" s="198"/>
      <c r="V17" s="228"/>
      <c r="W17" s="228"/>
      <c r="X17" s="1363"/>
      <c r="Y17" s="1364" t="s">
        <v>218</v>
      </c>
      <c r="Z17" s="1362"/>
      <c r="AA17" s="224">
        <f>IF(OR(S46="",S46=0),SUM(S47:S61),S46)</f>
        <v>0</v>
      </c>
      <c r="AB17" s="225">
        <f>IF(AND(AA17&gt;0,AC17&gt;0),ROUND(AC17/AA17*リスト!$C$23,2),)</f>
        <v>0</v>
      </c>
      <c r="AC17" s="224">
        <f>IF(OR(T46="",T46=0),SUM(T47:T61),T46)</f>
        <v>0</v>
      </c>
      <c r="AD17" s="166"/>
      <c r="AJ17" s="228"/>
      <c r="AK17" s="228"/>
      <c r="AL17" s="228"/>
      <c r="AM17" s="206"/>
      <c r="AN17" s="206"/>
      <c r="AO17" s="206"/>
      <c r="AP17" s="229"/>
      <c r="AQ17" s="229"/>
      <c r="AR17" s="229"/>
      <c r="AS17" s="229"/>
      <c r="AT17" s="229"/>
      <c r="AU17" s="229"/>
      <c r="AV17" s="211"/>
      <c r="AW17" s="211"/>
      <c r="AX17" s="211"/>
      <c r="AY17" s="211"/>
      <c r="AZ17" s="211"/>
      <c r="BA17" s="211"/>
      <c r="BB17" s="230"/>
      <c r="BC17" s="20"/>
    </row>
    <row r="18" spans="1:77" ht="30" customHeight="1" collapsed="1" thickBot="1">
      <c r="A18" s="46"/>
      <c r="C18" s="1345"/>
      <c r="D18" s="1346"/>
      <c r="E18" s="162"/>
      <c r="F18" s="220"/>
      <c r="G18" s="1353"/>
      <c r="H18" s="1354"/>
      <c r="I18" s="1354"/>
      <c r="J18" s="1354"/>
      <c r="K18" s="1354"/>
      <c r="L18" s="1354"/>
      <c r="M18" s="1354"/>
      <c r="N18" s="1354"/>
      <c r="O18" s="1354"/>
      <c r="P18" s="1354"/>
      <c r="Q18" s="1354"/>
      <c r="R18" s="1354"/>
      <c r="S18" s="226"/>
      <c r="T18" s="227"/>
      <c r="U18" s="198"/>
      <c r="V18" s="144"/>
      <c r="W18" s="206"/>
      <c r="X18" s="1363"/>
      <c r="Y18" s="1364" t="s">
        <v>219</v>
      </c>
      <c r="Z18" s="1362"/>
      <c r="AA18" s="224">
        <f>S62</f>
        <v>0</v>
      </c>
      <c r="AB18" s="225">
        <f>IF(AND(AA18&gt;0,AC18&gt;0),ROUND(AC18/AA18*リスト!$C$23,2),)</f>
        <v>0</v>
      </c>
      <c r="AC18" s="224">
        <f>T62</f>
        <v>0</v>
      </c>
      <c r="AD18" s="166"/>
      <c r="AJ18" s="206"/>
      <c r="AK18" s="206"/>
      <c r="AL18" s="206"/>
      <c r="AM18" s="206"/>
      <c r="AN18" s="206"/>
      <c r="AO18" s="206"/>
      <c r="AP18" s="229"/>
      <c r="AQ18" s="229"/>
      <c r="AR18" s="229"/>
      <c r="AS18" s="229"/>
      <c r="AT18" s="229"/>
      <c r="AU18" s="229"/>
      <c r="AV18" s="211"/>
      <c r="AW18" s="211"/>
      <c r="AX18" s="211"/>
      <c r="AY18" s="211"/>
      <c r="AZ18" s="211"/>
      <c r="BA18" s="211"/>
      <c r="BB18" s="230"/>
      <c r="BC18" s="230"/>
      <c r="BY18" s="153"/>
    </row>
    <row r="19" spans="1:77" ht="30" hidden="1" customHeight="1" outlineLevel="1">
      <c r="A19" s="46"/>
      <c r="C19" s="1345"/>
      <c r="D19" s="1346"/>
      <c r="E19" s="162"/>
      <c r="F19" s="220"/>
      <c r="G19" s="1353"/>
      <c r="H19" s="1354"/>
      <c r="I19" s="1354"/>
      <c r="J19" s="1354"/>
      <c r="K19" s="1354"/>
      <c r="L19" s="1354"/>
      <c r="M19" s="1354"/>
      <c r="N19" s="1354"/>
      <c r="O19" s="1354"/>
      <c r="P19" s="1354"/>
      <c r="Q19" s="1354"/>
      <c r="R19" s="1354"/>
      <c r="S19" s="226"/>
      <c r="T19" s="227"/>
      <c r="U19" s="198"/>
      <c r="V19" s="144"/>
      <c r="W19" s="206"/>
      <c r="X19" s="1363"/>
      <c r="Y19" s="1365"/>
      <c r="Z19" s="1366"/>
      <c r="AA19" s="231"/>
      <c r="AB19" s="232"/>
      <c r="AC19" s="233"/>
      <c r="AD19" s="166"/>
      <c r="AJ19" s="206"/>
      <c r="AK19" s="206"/>
      <c r="AL19" s="206"/>
      <c r="AM19" s="206"/>
      <c r="AN19" s="206"/>
      <c r="AO19" s="206"/>
      <c r="AP19" s="229"/>
      <c r="AQ19" s="229"/>
      <c r="AR19" s="229"/>
      <c r="AS19" s="229"/>
      <c r="AT19" s="229"/>
      <c r="AU19" s="229"/>
      <c r="AV19" s="211"/>
      <c r="AW19" s="211"/>
      <c r="AX19" s="211"/>
      <c r="AY19" s="211"/>
      <c r="AZ19" s="211"/>
      <c r="BA19" s="211"/>
      <c r="BB19" s="230"/>
      <c r="BC19" s="230"/>
      <c r="BY19" s="153"/>
    </row>
    <row r="20" spans="1:77" ht="30" hidden="1" customHeight="1" outlineLevel="1">
      <c r="A20" s="46"/>
      <c r="C20" s="1345"/>
      <c r="D20" s="1346"/>
      <c r="E20" s="162"/>
      <c r="F20" s="220"/>
      <c r="G20" s="1353"/>
      <c r="H20" s="1354"/>
      <c r="I20" s="1354"/>
      <c r="J20" s="1354"/>
      <c r="K20" s="1354"/>
      <c r="L20" s="1354"/>
      <c r="M20" s="1354"/>
      <c r="N20" s="1354"/>
      <c r="O20" s="1354"/>
      <c r="P20" s="1354"/>
      <c r="Q20" s="1354"/>
      <c r="R20" s="1354"/>
      <c r="S20" s="226"/>
      <c r="T20" s="227"/>
      <c r="U20" s="198"/>
      <c r="V20" s="144"/>
      <c r="W20" s="206"/>
      <c r="X20" s="1363"/>
      <c r="Y20" s="1360"/>
      <c r="Z20" s="1361"/>
      <c r="AA20" s="234"/>
      <c r="AB20" s="235"/>
      <c r="AC20" s="236"/>
      <c r="AD20" s="166"/>
      <c r="AJ20" s="206"/>
      <c r="AK20" s="206"/>
      <c r="AL20" s="206"/>
      <c r="AM20" s="206"/>
      <c r="AN20" s="206"/>
      <c r="AO20" s="206"/>
      <c r="AP20" s="229"/>
      <c r="AQ20" s="229"/>
      <c r="AR20" s="229"/>
      <c r="AS20" s="229"/>
      <c r="AT20" s="229"/>
      <c r="AU20" s="229"/>
      <c r="AV20" s="211"/>
      <c r="AW20" s="211"/>
      <c r="AX20" s="211"/>
      <c r="AY20" s="211"/>
      <c r="AZ20" s="211"/>
      <c r="BA20" s="211"/>
      <c r="BB20" s="230"/>
      <c r="BC20" s="230"/>
      <c r="BY20" s="153"/>
    </row>
    <row r="21" spans="1:77" ht="30" hidden="1" customHeight="1" outlineLevel="1">
      <c r="A21" s="46"/>
      <c r="C21" s="1345"/>
      <c r="D21" s="1346"/>
      <c r="E21" s="162"/>
      <c r="F21" s="220"/>
      <c r="G21" s="1353"/>
      <c r="H21" s="1354"/>
      <c r="I21" s="1354"/>
      <c r="J21" s="1354"/>
      <c r="K21" s="1354"/>
      <c r="L21" s="1354"/>
      <c r="M21" s="1354"/>
      <c r="N21" s="1354"/>
      <c r="O21" s="1354"/>
      <c r="P21" s="1354"/>
      <c r="Q21" s="1354"/>
      <c r="R21" s="1354"/>
      <c r="S21" s="226"/>
      <c r="T21" s="227"/>
      <c r="U21" s="198"/>
      <c r="V21" s="144"/>
      <c r="W21" s="206"/>
      <c r="X21" s="1363"/>
      <c r="Y21" s="1360"/>
      <c r="Z21" s="1361"/>
      <c r="AA21" s="234"/>
      <c r="AB21" s="235"/>
      <c r="AC21" s="236"/>
      <c r="AD21" s="166"/>
      <c r="AJ21" s="206"/>
      <c r="AK21" s="206"/>
      <c r="AL21" s="206"/>
      <c r="AM21" s="206"/>
      <c r="AN21" s="206"/>
      <c r="AO21" s="206"/>
      <c r="AP21" s="229"/>
      <c r="AQ21" s="229"/>
      <c r="AR21" s="229"/>
      <c r="AS21" s="229"/>
      <c r="AT21" s="229"/>
      <c r="AU21" s="229"/>
      <c r="AV21" s="211"/>
      <c r="AW21" s="211"/>
      <c r="AX21" s="211"/>
      <c r="AY21" s="211"/>
      <c r="AZ21" s="211"/>
      <c r="BA21" s="211"/>
      <c r="BB21" s="230"/>
      <c r="BC21" s="230"/>
      <c r="BY21" s="153"/>
    </row>
    <row r="22" spans="1:77" ht="30" hidden="1" customHeight="1" outlineLevel="1">
      <c r="A22" s="46"/>
      <c r="C22" s="1345"/>
      <c r="D22" s="1346"/>
      <c r="E22" s="162"/>
      <c r="F22" s="220"/>
      <c r="G22" s="1353"/>
      <c r="H22" s="1354"/>
      <c r="I22" s="1354"/>
      <c r="J22" s="1354"/>
      <c r="K22" s="1354"/>
      <c r="L22" s="1354"/>
      <c r="M22" s="1354"/>
      <c r="N22" s="1354"/>
      <c r="O22" s="1354"/>
      <c r="P22" s="1354"/>
      <c r="Q22" s="1354"/>
      <c r="R22" s="1354"/>
      <c r="S22" s="226"/>
      <c r="T22" s="227"/>
      <c r="U22" s="198"/>
      <c r="V22" s="144"/>
      <c r="W22" s="206"/>
      <c r="X22" s="1363"/>
      <c r="Y22" s="1360"/>
      <c r="Z22" s="1361"/>
      <c r="AA22" s="234"/>
      <c r="AB22" s="235"/>
      <c r="AC22" s="236"/>
      <c r="AD22" s="166"/>
      <c r="AJ22" s="206"/>
      <c r="AK22" s="206"/>
      <c r="AL22" s="206"/>
      <c r="AM22" s="206"/>
      <c r="AN22" s="206"/>
      <c r="AO22" s="206"/>
      <c r="AP22" s="229"/>
      <c r="AQ22" s="229"/>
      <c r="AR22" s="229"/>
      <c r="AS22" s="229"/>
      <c r="AT22" s="229"/>
      <c r="AU22" s="229"/>
      <c r="AV22" s="211"/>
      <c r="AW22" s="211"/>
      <c r="AX22" s="211"/>
      <c r="AY22" s="211"/>
      <c r="AZ22" s="211"/>
      <c r="BA22" s="211"/>
      <c r="BB22" s="230"/>
      <c r="BC22" s="230"/>
      <c r="BY22" s="153"/>
    </row>
    <row r="23" spans="1:77" ht="30" hidden="1" customHeight="1" outlineLevel="1">
      <c r="A23" s="46"/>
      <c r="C23" s="1345"/>
      <c r="D23" s="1346"/>
      <c r="E23" s="162"/>
      <c r="F23" s="220"/>
      <c r="G23" s="1353"/>
      <c r="H23" s="1354"/>
      <c r="I23" s="1354"/>
      <c r="J23" s="1354"/>
      <c r="K23" s="1354"/>
      <c r="L23" s="1354"/>
      <c r="M23" s="1354"/>
      <c r="N23" s="1354"/>
      <c r="O23" s="1354"/>
      <c r="P23" s="1354"/>
      <c r="Q23" s="1354"/>
      <c r="R23" s="1354"/>
      <c r="S23" s="226"/>
      <c r="T23" s="227"/>
      <c r="U23" s="198"/>
      <c r="V23" s="144"/>
      <c r="W23" s="206"/>
      <c r="X23" s="1363"/>
      <c r="Y23" s="1360"/>
      <c r="Z23" s="1361"/>
      <c r="AA23" s="234"/>
      <c r="AB23" s="235"/>
      <c r="AC23" s="236"/>
      <c r="AD23" s="166"/>
      <c r="AJ23" s="206"/>
      <c r="AK23" s="206"/>
      <c r="AL23" s="206"/>
      <c r="AM23" s="206"/>
      <c r="AN23" s="206"/>
      <c r="AO23" s="206"/>
      <c r="AP23" s="229"/>
      <c r="AQ23" s="229"/>
      <c r="AR23" s="229"/>
      <c r="AS23" s="229"/>
      <c r="AT23" s="229"/>
      <c r="AU23" s="229"/>
      <c r="AV23" s="211"/>
      <c r="AW23" s="211"/>
      <c r="AX23" s="211"/>
      <c r="AY23" s="211"/>
      <c r="AZ23" s="211"/>
      <c r="BA23" s="211"/>
      <c r="BB23" s="230"/>
      <c r="BC23" s="230"/>
      <c r="BY23" s="153"/>
    </row>
    <row r="24" spans="1:77" ht="30" hidden="1" customHeight="1" outlineLevel="1">
      <c r="A24" s="46"/>
      <c r="C24" s="1345"/>
      <c r="D24" s="1346"/>
      <c r="E24" s="162"/>
      <c r="F24" s="220"/>
      <c r="G24" s="1353"/>
      <c r="H24" s="1354"/>
      <c r="I24" s="1354"/>
      <c r="J24" s="1354"/>
      <c r="K24" s="1354"/>
      <c r="L24" s="1354"/>
      <c r="M24" s="1354"/>
      <c r="N24" s="1354"/>
      <c r="O24" s="1354"/>
      <c r="P24" s="1354"/>
      <c r="Q24" s="1354"/>
      <c r="R24" s="1354"/>
      <c r="S24" s="226"/>
      <c r="T24" s="227"/>
      <c r="U24" s="198"/>
      <c r="V24" s="144"/>
      <c r="W24" s="206"/>
      <c r="X24" s="1363"/>
      <c r="Y24" s="1360"/>
      <c r="Z24" s="1361"/>
      <c r="AA24" s="234"/>
      <c r="AB24" s="235"/>
      <c r="AC24" s="236"/>
      <c r="AD24" s="166"/>
      <c r="AJ24" s="206"/>
      <c r="AK24" s="206"/>
      <c r="AL24" s="206"/>
      <c r="AM24" s="206"/>
      <c r="AN24" s="206"/>
      <c r="AO24" s="206"/>
      <c r="AP24" s="229"/>
      <c r="AQ24" s="229"/>
      <c r="AR24" s="229"/>
      <c r="AS24" s="229"/>
      <c r="AT24" s="229"/>
      <c r="AU24" s="229"/>
      <c r="AV24" s="211"/>
      <c r="AW24" s="211"/>
      <c r="AX24" s="211"/>
      <c r="AY24" s="211"/>
      <c r="AZ24" s="211"/>
      <c r="BA24" s="211"/>
      <c r="BB24" s="230"/>
      <c r="BC24" s="230"/>
      <c r="BY24" s="153"/>
    </row>
    <row r="25" spans="1:77" ht="30" hidden="1" customHeight="1" outlineLevel="1">
      <c r="A25" s="46"/>
      <c r="C25" s="1345"/>
      <c r="D25" s="1346"/>
      <c r="E25" s="162"/>
      <c r="F25" s="220"/>
      <c r="G25" s="1353"/>
      <c r="H25" s="1354"/>
      <c r="I25" s="1354"/>
      <c r="J25" s="1354"/>
      <c r="K25" s="1354"/>
      <c r="L25" s="1354"/>
      <c r="M25" s="1354"/>
      <c r="N25" s="1354"/>
      <c r="O25" s="1354"/>
      <c r="P25" s="1354"/>
      <c r="Q25" s="1354"/>
      <c r="R25" s="1354"/>
      <c r="S25" s="226"/>
      <c r="T25" s="227"/>
      <c r="U25" s="198"/>
      <c r="V25" s="144"/>
      <c r="W25" s="206"/>
      <c r="X25" s="1363"/>
      <c r="Y25" s="1360"/>
      <c r="Z25" s="1361"/>
      <c r="AA25" s="234"/>
      <c r="AB25" s="235"/>
      <c r="AC25" s="236"/>
      <c r="AD25" s="166"/>
      <c r="AJ25" s="206"/>
      <c r="AK25" s="206"/>
      <c r="AL25" s="206"/>
      <c r="AM25" s="206"/>
      <c r="AN25" s="206"/>
      <c r="AO25" s="206"/>
      <c r="AP25" s="229"/>
      <c r="AQ25" s="229"/>
      <c r="AR25" s="229"/>
      <c r="AS25" s="229"/>
      <c r="AT25" s="229"/>
      <c r="AU25" s="229"/>
      <c r="AV25" s="211"/>
      <c r="AW25" s="211"/>
      <c r="AX25" s="211"/>
      <c r="AY25" s="211"/>
      <c r="AZ25" s="211"/>
      <c r="BA25" s="211"/>
      <c r="BB25" s="230"/>
      <c r="BC25" s="230"/>
      <c r="BY25" s="153"/>
    </row>
    <row r="26" spans="1:77" ht="30" hidden="1" customHeight="1" outlineLevel="1">
      <c r="A26" s="46"/>
      <c r="C26" s="1345"/>
      <c r="D26" s="1346"/>
      <c r="E26" s="162"/>
      <c r="F26" s="220"/>
      <c r="G26" s="1353"/>
      <c r="H26" s="1354"/>
      <c r="I26" s="1354"/>
      <c r="J26" s="1354"/>
      <c r="K26" s="1354"/>
      <c r="L26" s="1354"/>
      <c r="M26" s="1354"/>
      <c r="N26" s="1354"/>
      <c r="O26" s="1354"/>
      <c r="P26" s="1354"/>
      <c r="Q26" s="1354"/>
      <c r="R26" s="1354"/>
      <c r="S26" s="226"/>
      <c r="T26" s="227"/>
      <c r="U26" s="198"/>
      <c r="V26" s="144"/>
      <c r="W26" s="206"/>
      <c r="X26" s="1363"/>
      <c r="Y26" s="1360"/>
      <c r="Z26" s="1361"/>
      <c r="AA26" s="234"/>
      <c r="AB26" s="235"/>
      <c r="AC26" s="236"/>
      <c r="AD26" s="166"/>
      <c r="AJ26" s="206"/>
      <c r="AK26" s="206"/>
      <c r="AL26" s="206"/>
      <c r="AM26" s="206"/>
      <c r="AN26" s="206"/>
      <c r="AO26" s="206"/>
      <c r="AP26" s="229"/>
      <c r="AQ26" s="229"/>
      <c r="AR26" s="229"/>
      <c r="AS26" s="229"/>
      <c r="AT26" s="229"/>
      <c r="AU26" s="229"/>
      <c r="AV26" s="211"/>
      <c r="AW26" s="211"/>
      <c r="AX26" s="211"/>
      <c r="AY26" s="211"/>
      <c r="AZ26" s="211"/>
      <c r="BA26" s="211"/>
      <c r="BB26" s="230"/>
      <c r="BC26" s="230"/>
      <c r="BY26" s="153"/>
    </row>
    <row r="27" spans="1:77" ht="30" hidden="1" customHeight="1" outlineLevel="1">
      <c r="A27" s="46"/>
      <c r="C27" s="1345"/>
      <c r="D27" s="1346"/>
      <c r="E27" s="162"/>
      <c r="F27" s="220"/>
      <c r="G27" s="1353"/>
      <c r="H27" s="1354"/>
      <c r="I27" s="1354"/>
      <c r="J27" s="1354"/>
      <c r="K27" s="1354"/>
      <c r="L27" s="1354"/>
      <c r="M27" s="1354"/>
      <c r="N27" s="1354"/>
      <c r="O27" s="1354"/>
      <c r="P27" s="1354"/>
      <c r="Q27" s="1354"/>
      <c r="R27" s="1354"/>
      <c r="S27" s="226"/>
      <c r="T27" s="227"/>
      <c r="U27" s="198"/>
      <c r="V27" s="144"/>
      <c r="W27" s="206"/>
      <c r="X27" s="1363"/>
      <c r="Y27" s="1360"/>
      <c r="Z27" s="1361"/>
      <c r="AA27" s="234"/>
      <c r="AB27" s="235"/>
      <c r="AC27" s="236"/>
      <c r="AD27" s="166"/>
      <c r="AJ27" s="206"/>
      <c r="AK27" s="206"/>
      <c r="AL27" s="206"/>
      <c r="AM27" s="206"/>
      <c r="AN27" s="206"/>
      <c r="AO27" s="206"/>
      <c r="AP27" s="229"/>
      <c r="AQ27" s="229"/>
      <c r="AR27" s="229"/>
      <c r="AS27" s="229"/>
      <c r="AT27" s="229"/>
      <c r="AU27" s="229"/>
      <c r="AV27" s="211"/>
      <c r="AW27" s="211"/>
      <c r="AX27" s="211"/>
      <c r="AY27" s="211"/>
      <c r="AZ27" s="211"/>
      <c r="BA27" s="211"/>
      <c r="BB27" s="230"/>
      <c r="BC27" s="230"/>
      <c r="BY27" s="153"/>
    </row>
    <row r="28" spans="1:77" ht="30" hidden="1" customHeight="1" outlineLevel="1">
      <c r="A28" s="46"/>
      <c r="C28" s="1345"/>
      <c r="D28" s="1346"/>
      <c r="E28" s="162"/>
      <c r="F28" s="220"/>
      <c r="G28" s="1353"/>
      <c r="H28" s="1354"/>
      <c r="I28" s="1354"/>
      <c r="J28" s="1354"/>
      <c r="K28" s="1354"/>
      <c r="L28" s="1354"/>
      <c r="M28" s="1354"/>
      <c r="N28" s="1354"/>
      <c r="O28" s="1354"/>
      <c r="P28" s="1354"/>
      <c r="Q28" s="1354"/>
      <c r="R28" s="1354"/>
      <c r="S28" s="226"/>
      <c r="T28" s="227"/>
      <c r="U28" s="198"/>
      <c r="V28" s="144"/>
      <c r="W28" s="206"/>
      <c r="X28" s="1363"/>
      <c r="Y28" s="1360"/>
      <c r="Z28" s="1361"/>
      <c r="AA28" s="234"/>
      <c r="AB28" s="235"/>
      <c r="AC28" s="236"/>
      <c r="AD28" s="166"/>
      <c r="AJ28" s="206"/>
      <c r="AK28" s="206"/>
      <c r="AL28" s="206"/>
      <c r="AM28" s="206"/>
      <c r="AN28" s="206"/>
      <c r="AO28" s="206"/>
      <c r="AP28" s="229"/>
      <c r="AQ28" s="229"/>
      <c r="AR28" s="229"/>
      <c r="AS28" s="229"/>
      <c r="AT28" s="229"/>
      <c r="AU28" s="229"/>
      <c r="AV28" s="211"/>
      <c r="AW28" s="211"/>
      <c r="AX28" s="211"/>
      <c r="AY28" s="211"/>
      <c r="AZ28" s="211"/>
      <c r="BA28" s="211"/>
      <c r="BB28" s="230"/>
      <c r="BC28" s="230"/>
      <c r="BY28" s="153"/>
    </row>
    <row r="29" spans="1:77" ht="30" hidden="1" customHeight="1" outlineLevel="1" thickBot="1">
      <c r="A29" s="46"/>
      <c r="C29" s="1345"/>
      <c r="D29" s="1346"/>
      <c r="E29" s="162"/>
      <c r="F29" s="220"/>
      <c r="G29" s="1353"/>
      <c r="H29" s="1354"/>
      <c r="I29" s="1354"/>
      <c r="J29" s="1354"/>
      <c r="K29" s="1354"/>
      <c r="L29" s="1354"/>
      <c r="M29" s="1354"/>
      <c r="N29" s="1354"/>
      <c r="O29" s="1354"/>
      <c r="P29" s="1354"/>
      <c r="Q29" s="1354"/>
      <c r="R29" s="1354"/>
      <c r="S29" s="226"/>
      <c r="T29" s="237"/>
      <c r="U29" s="198"/>
      <c r="V29" s="144"/>
      <c r="W29" s="206"/>
      <c r="X29" s="1363"/>
      <c r="Y29" s="1367"/>
      <c r="Z29" s="1368"/>
      <c r="AA29" s="238"/>
      <c r="AB29" s="239"/>
      <c r="AC29" s="240"/>
      <c r="AD29" s="166"/>
      <c r="AJ29" s="206"/>
      <c r="AK29" s="206"/>
      <c r="AL29" s="206"/>
      <c r="AM29" s="206"/>
      <c r="AN29" s="206"/>
      <c r="AO29" s="206"/>
      <c r="AP29" s="229"/>
      <c r="AQ29" s="229"/>
      <c r="AR29" s="229"/>
      <c r="AS29" s="229"/>
      <c r="AT29" s="229"/>
      <c r="AU29" s="229"/>
      <c r="AV29" s="211"/>
      <c r="AW29" s="211"/>
      <c r="AX29" s="211"/>
      <c r="AY29" s="211"/>
      <c r="AZ29" s="211"/>
      <c r="BA29" s="211"/>
      <c r="BB29" s="230"/>
      <c r="BC29" s="230"/>
      <c r="BY29" s="153"/>
    </row>
    <row r="30" spans="1:77" ht="30" customHeight="1" thickTop="1" thickBot="1">
      <c r="A30" s="46"/>
      <c r="C30" s="1345"/>
      <c r="D30" s="1346"/>
      <c r="E30" s="1369" t="s">
        <v>220</v>
      </c>
      <c r="F30" s="1370"/>
      <c r="G30" s="1371" t="s">
        <v>221</v>
      </c>
      <c r="H30" s="1372"/>
      <c r="I30" s="1372"/>
      <c r="J30" s="1372"/>
      <c r="K30" s="1372"/>
      <c r="L30" s="1372"/>
      <c r="M30" s="1372"/>
      <c r="N30" s="1372"/>
      <c r="O30" s="1372"/>
      <c r="P30" s="1372"/>
      <c r="Q30" s="1372"/>
      <c r="R30" s="1372"/>
      <c r="S30" s="213"/>
      <c r="T30" s="214"/>
      <c r="U30" s="215"/>
      <c r="V30" s="144"/>
      <c r="W30" s="206"/>
      <c r="X30" s="1362" t="s">
        <v>222</v>
      </c>
      <c r="Y30" s="1362"/>
      <c r="Z30" s="1362"/>
      <c r="AA30" s="224">
        <f>SUM(AA15:AA29)</f>
        <v>0</v>
      </c>
      <c r="AB30" s="225">
        <f>IF(AND(AA30&gt;0,AC30&gt;0),ROUND(AC30/AA30*45,2),)</f>
        <v>0</v>
      </c>
      <c r="AC30" s="224">
        <f>SUM(AC15:AC29)</f>
        <v>0</v>
      </c>
      <c r="AD30" s="166"/>
      <c r="AJ30" s="206"/>
      <c r="AK30" s="206"/>
      <c r="AL30" s="206"/>
      <c r="AM30" s="206"/>
      <c r="AN30" s="206"/>
      <c r="AO30" s="206"/>
      <c r="AP30" s="229"/>
      <c r="AQ30" s="229"/>
      <c r="AR30" s="229"/>
      <c r="AS30" s="229"/>
      <c r="AT30" s="229"/>
      <c r="AU30" s="229"/>
      <c r="AV30" s="211"/>
      <c r="AW30" s="211"/>
      <c r="AX30" s="211"/>
      <c r="AY30" s="211"/>
      <c r="AZ30" s="211"/>
      <c r="BA30" s="211"/>
      <c r="BB30" s="230"/>
      <c r="BC30" s="230"/>
      <c r="BY30" s="153"/>
    </row>
    <row r="31" spans="1:77" ht="30" customHeight="1" thickTop="1">
      <c r="A31" s="46"/>
      <c r="C31" s="1345"/>
      <c r="D31" s="1346"/>
      <c r="E31" s="162"/>
      <c r="F31" s="220"/>
      <c r="G31" s="1353"/>
      <c r="H31" s="1354"/>
      <c r="I31" s="1354"/>
      <c r="J31" s="1354"/>
      <c r="K31" s="1354"/>
      <c r="L31" s="1354"/>
      <c r="M31" s="1354"/>
      <c r="N31" s="1354"/>
      <c r="O31" s="1354"/>
      <c r="P31" s="1354"/>
      <c r="Q31" s="1354"/>
      <c r="R31" s="1354"/>
      <c r="S31" s="221"/>
      <c r="T31" s="222"/>
      <c r="U31" s="198"/>
      <c r="V31" s="144"/>
      <c r="W31" s="206"/>
      <c r="X31" s="205" t="s">
        <v>223</v>
      </c>
      <c r="Y31" s="166"/>
      <c r="Z31" s="166"/>
      <c r="AA31" s="166"/>
      <c r="AB31" s="166"/>
      <c r="AC31" s="166"/>
      <c r="AD31" s="166"/>
      <c r="AJ31" s="206"/>
      <c r="AL31" s="206"/>
      <c r="AM31" s="206"/>
      <c r="AN31" s="206"/>
      <c r="AO31" s="206"/>
      <c r="AP31" s="229"/>
      <c r="AQ31" s="229"/>
      <c r="AR31" s="229"/>
      <c r="AS31" s="229"/>
      <c r="AT31" s="229"/>
      <c r="AU31" s="229"/>
      <c r="AV31" s="211"/>
      <c r="AW31" s="211"/>
      <c r="AX31" s="211"/>
      <c r="AY31" s="211"/>
      <c r="AZ31" s="211"/>
      <c r="BA31" s="211"/>
      <c r="BB31" s="230"/>
      <c r="BC31" s="230"/>
      <c r="BY31" s="153"/>
    </row>
    <row r="32" spans="1:77" ht="30" customHeight="1" thickBot="1">
      <c r="A32" s="46"/>
      <c r="C32" s="1345"/>
      <c r="D32" s="1346"/>
      <c r="E32" s="241"/>
      <c r="F32" s="220"/>
      <c r="G32" s="1353"/>
      <c r="H32" s="1354"/>
      <c r="I32" s="1354"/>
      <c r="J32" s="1354"/>
      <c r="K32" s="1354"/>
      <c r="L32" s="1354"/>
      <c r="M32" s="1354"/>
      <c r="N32" s="1354"/>
      <c r="O32" s="1354"/>
      <c r="P32" s="1354"/>
      <c r="Q32" s="1354"/>
      <c r="R32" s="1354"/>
      <c r="S32" s="226"/>
      <c r="T32" s="227"/>
      <c r="U32" s="198"/>
      <c r="V32" s="144"/>
      <c r="W32" s="206"/>
      <c r="X32" s="1362" t="s">
        <v>55</v>
      </c>
      <c r="Y32" s="1362"/>
      <c r="Z32" s="1362"/>
      <c r="AA32" s="216" t="s">
        <v>212</v>
      </c>
      <c r="AB32" s="242" t="s">
        <v>213</v>
      </c>
      <c r="AC32" s="132" t="s">
        <v>214</v>
      </c>
      <c r="AD32" s="166"/>
      <c r="AL32" s="206"/>
      <c r="AM32" s="206"/>
      <c r="AN32" s="206"/>
      <c r="AO32" s="206"/>
      <c r="AP32" s="229"/>
      <c r="AQ32" s="229"/>
      <c r="AR32" s="229"/>
      <c r="AS32" s="229"/>
      <c r="AT32" s="229"/>
      <c r="AU32" s="229"/>
      <c r="AV32" s="211"/>
      <c r="AW32" s="211"/>
      <c r="AX32" s="211"/>
      <c r="AY32" s="211"/>
      <c r="AZ32" s="211"/>
      <c r="BA32" s="211"/>
      <c r="BB32" s="230"/>
      <c r="BC32" s="230"/>
      <c r="BY32" s="153"/>
    </row>
    <row r="33" spans="1:77" ht="30" customHeight="1" thickTop="1">
      <c r="A33" s="46"/>
      <c r="C33" s="1345"/>
      <c r="D33" s="1346"/>
      <c r="E33" s="162"/>
      <c r="F33" s="220"/>
      <c r="G33" s="1353"/>
      <c r="H33" s="1354"/>
      <c r="I33" s="1354"/>
      <c r="J33" s="1354"/>
      <c r="K33" s="1354"/>
      <c r="L33" s="1354"/>
      <c r="M33" s="1354"/>
      <c r="N33" s="1354"/>
      <c r="O33" s="1354"/>
      <c r="P33" s="1354"/>
      <c r="Q33" s="1354"/>
      <c r="R33" s="1354"/>
      <c r="S33" s="226"/>
      <c r="T33" s="227"/>
      <c r="U33" s="198"/>
      <c r="V33" s="144"/>
      <c r="W33" s="206"/>
      <c r="X33" s="1373" t="s">
        <v>224</v>
      </c>
      <c r="Y33" s="1374" t="s">
        <v>225</v>
      </c>
      <c r="Z33" s="1374"/>
      <c r="AA33" s="243">
        <f>S63</f>
        <v>0</v>
      </c>
      <c r="AB33" s="244"/>
      <c r="AC33" s="245">
        <f>ROUND(AA33/45*AB33,)</f>
        <v>0</v>
      </c>
      <c r="AL33" s="206"/>
      <c r="AM33" s="206"/>
      <c r="AN33" s="206"/>
      <c r="AO33" s="206"/>
      <c r="AP33" s="229"/>
      <c r="AQ33" s="229"/>
      <c r="AR33" s="229"/>
      <c r="AS33" s="229"/>
      <c r="AT33" s="229"/>
      <c r="AU33" s="229"/>
      <c r="AV33" s="211"/>
      <c r="AW33" s="211"/>
      <c r="AX33" s="211"/>
      <c r="AY33" s="211"/>
      <c r="AZ33" s="211"/>
      <c r="BA33" s="211"/>
      <c r="BB33" s="230"/>
      <c r="BC33" s="230"/>
      <c r="BY33" s="153"/>
    </row>
    <row r="34" spans="1:77" ht="30" customHeight="1" collapsed="1" thickBot="1">
      <c r="A34" s="46"/>
      <c r="C34" s="1345"/>
      <c r="D34" s="1346"/>
      <c r="E34" s="246"/>
      <c r="F34" s="220"/>
      <c r="G34" s="1353"/>
      <c r="H34" s="1354"/>
      <c r="I34" s="1354"/>
      <c r="J34" s="1354"/>
      <c r="K34" s="1354"/>
      <c r="L34" s="1354"/>
      <c r="M34" s="1354"/>
      <c r="N34" s="1354"/>
      <c r="O34" s="1354"/>
      <c r="P34" s="1354"/>
      <c r="Q34" s="1354"/>
      <c r="R34" s="1354"/>
      <c r="S34" s="226"/>
      <c r="T34" s="227"/>
      <c r="U34" s="198"/>
      <c r="X34" s="1373"/>
      <c r="Y34" s="1374" t="s">
        <v>226</v>
      </c>
      <c r="Z34" s="1374"/>
      <c r="AA34" s="243">
        <f>S64</f>
        <v>0</v>
      </c>
      <c r="AB34" s="247"/>
      <c r="AC34" s="245">
        <f>ROUND(AA34/45*AB34,)</f>
        <v>0</v>
      </c>
      <c r="AL34" s="206"/>
      <c r="AM34" s="206"/>
      <c r="AN34" s="206"/>
      <c r="AO34" s="206"/>
      <c r="AP34" s="229"/>
      <c r="AQ34" s="229"/>
      <c r="AR34" s="229"/>
      <c r="AS34" s="229"/>
      <c r="AT34" s="229"/>
      <c r="AU34" s="229"/>
      <c r="AV34" s="211"/>
      <c r="AW34" s="211"/>
      <c r="AX34" s="211"/>
      <c r="AY34" s="211"/>
      <c r="AZ34" s="211"/>
      <c r="BA34" s="211"/>
      <c r="BB34" s="230"/>
      <c r="BC34" s="230"/>
      <c r="BY34" s="153"/>
    </row>
    <row r="35" spans="1:77" ht="30" hidden="1" customHeight="1" outlineLevel="1">
      <c r="A35" s="46"/>
      <c r="C35" s="1345"/>
      <c r="D35" s="1346"/>
      <c r="E35" s="162"/>
      <c r="F35" s="220"/>
      <c r="G35" s="248"/>
      <c r="H35" s="249"/>
      <c r="I35" s="249"/>
      <c r="J35" s="249"/>
      <c r="K35" s="249"/>
      <c r="L35" s="249"/>
      <c r="M35" s="249"/>
      <c r="N35" s="249"/>
      <c r="O35" s="249"/>
      <c r="P35" s="249"/>
      <c r="Q35" s="249"/>
      <c r="R35" s="249"/>
      <c r="S35" s="226"/>
      <c r="T35" s="250"/>
      <c r="U35" s="198"/>
      <c r="V35" s="144"/>
      <c r="W35" s="206"/>
      <c r="X35" s="1373"/>
      <c r="Y35" s="1365"/>
      <c r="Z35" s="1366"/>
      <c r="AA35" s="251"/>
      <c r="AB35" s="252"/>
      <c r="AC35" s="253"/>
      <c r="AD35" s="166"/>
      <c r="AJ35" s="206"/>
      <c r="AK35" s="206"/>
      <c r="AL35" s="206"/>
      <c r="AM35" s="206"/>
      <c r="AN35" s="206"/>
      <c r="AO35" s="206"/>
      <c r="AP35" s="229"/>
      <c r="AQ35" s="229"/>
      <c r="AR35" s="229"/>
      <c r="AS35" s="229"/>
      <c r="AT35" s="229"/>
      <c r="AU35" s="229"/>
      <c r="AV35" s="211"/>
      <c r="AW35" s="211"/>
      <c r="AX35" s="211"/>
      <c r="AY35" s="211"/>
      <c r="AZ35" s="211"/>
      <c r="BA35" s="211"/>
      <c r="BB35" s="230"/>
      <c r="BC35" s="230"/>
      <c r="BY35" s="153"/>
    </row>
    <row r="36" spans="1:77" ht="30" hidden="1" customHeight="1" outlineLevel="1">
      <c r="A36" s="46"/>
      <c r="C36" s="1345"/>
      <c r="D36" s="1346"/>
      <c r="E36" s="162"/>
      <c r="F36" s="220"/>
      <c r="G36" s="248"/>
      <c r="H36" s="249"/>
      <c r="I36" s="249"/>
      <c r="J36" s="249"/>
      <c r="K36" s="249"/>
      <c r="L36" s="249"/>
      <c r="M36" s="249"/>
      <c r="N36" s="249"/>
      <c r="O36" s="249"/>
      <c r="P36" s="249"/>
      <c r="Q36" s="249"/>
      <c r="R36" s="249"/>
      <c r="S36" s="226"/>
      <c r="T36" s="227"/>
      <c r="U36" s="198"/>
      <c r="V36" s="144"/>
      <c r="W36" s="206"/>
      <c r="X36" s="1373"/>
      <c r="Y36" s="1360"/>
      <c r="Z36" s="1361"/>
      <c r="AA36" s="254"/>
      <c r="AB36" s="255"/>
      <c r="AC36" s="256"/>
      <c r="AD36" s="166"/>
      <c r="AJ36" s="206"/>
      <c r="AK36" s="206"/>
      <c r="AL36" s="206"/>
      <c r="AM36" s="206"/>
      <c r="AN36" s="206"/>
      <c r="AO36" s="206"/>
      <c r="AP36" s="229"/>
      <c r="AQ36" s="229"/>
      <c r="AR36" s="229"/>
      <c r="AS36" s="229"/>
      <c r="AT36" s="229"/>
      <c r="AU36" s="229"/>
      <c r="AV36" s="211"/>
      <c r="AW36" s="211"/>
      <c r="AX36" s="211"/>
      <c r="AY36" s="211"/>
      <c r="AZ36" s="211"/>
      <c r="BA36" s="211"/>
      <c r="BB36" s="230"/>
      <c r="BC36" s="230"/>
      <c r="BY36" s="153"/>
    </row>
    <row r="37" spans="1:77" ht="30" hidden="1" customHeight="1" outlineLevel="1">
      <c r="A37" s="46"/>
      <c r="C37" s="1345"/>
      <c r="D37" s="1346"/>
      <c r="E37" s="162"/>
      <c r="F37" s="220"/>
      <c r="G37" s="248"/>
      <c r="H37" s="249"/>
      <c r="I37" s="249"/>
      <c r="J37" s="249"/>
      <c r="K37" s="249"/>
      <c r="L37" s="249"/>
      <c r="M37" s="249"/>
      <c r="N37" s="249"/>
      <c r="O37" s="249"/>
      <c r="P37" s="249"/>
      <c r="Q37" s="249"/>
      <c r="R37" s="249"/>
      <c r="S37" s="226"/>
      <c r="T37" s="227"/>
      <c r="U37" s="198"/>
      <c r="V37" s="144"/>
      <c r="W37" s="206"/>
      <c r="X37" s="1373"/>
      <c r="Y37" s="1360"/>
      <c r="Z37" s="1361"/>
      <c r="AA37" s="254"/>
      <c r="AB37" s="255"/>
      <c r="AC37" s="256"/>
      <c r="AD37" s="166"/>
      <c r="AJ37" s="206"/>
      <c r="AK37" s="206"/>
      <c r="AL37" s="206"/>
      <c r="AM37" s="206"/>
      <c r="AN37" s="206"/>
      <c r="AO37" s="206"/>
      <c r="AP37" s="229"/>
      <c r="AQ37" s="229"/>
      <c r="AR37" s="229"/>
      <c r="AS37" s="229"/>
      <c r="AT37" s="229"/>
      <c r="AU37" s="229"/>
      <c r="AV37" s="211"/>
      <c r="AW37" s="211"/>
      <c r="AX37" s="211"/>
      <c r="AY37" s="211"/>
      <c r="AZ37" s="211"/>
      <c r="BA37" s="211"/>
      <c r="BB37" s="230"/>
      <c r="BC37" s="230"/>
      <c r="BY37" s="153"/>
    </row>
    <row r="38" spans="1:77" ht="30" hidden="1" customHeight="1" outlineLevel="1">
      <c r="A38" s="46"/>
      <c r="C38" s="1345"/>
      <c r="D38" s="1346"/>
      <c r="E38" s="162"/>
      <c r="F38" s="220"/>
      <c r="G38" s="248"/>
      <c r="H38" s="249"/>
      <c r="I38" s="249"/>
      <c r="J38" s="249"/>
      <c r="K38" s="249"/>
      <c r="L38" s="249"/>
      <c r="M38" s="249"/>
      <c r="N38" s="249"/>
      <c r="O38" s="249"/>
      <c r="P38" s="249"/>
      <c r="Q38" s="249"/>
      <c r="R38" s="249"/>
      <c r="S38" s="226"/>
      <c r="T38" s="227"/>
      <c r="U38" s="198"/>
      <c r="V38" s="144"/>
      <c r="W38" s="206"/>
      <c r="X38" s="1373"/>
      <c r="Y38" s="1360"/>
      <c r="Z38" s="1361"/>
      <c r="AA38" s="254"/>
      <c r="AB38" s="255"/>
      <c r="AC38" s="256"/>
      <c r="AD38" s="166"/>
      <c r="AJ38" s="206"/>
      <c r="AK38" s="206"/>
      <c r="AL38" s="206"/>
      <c r="AM38" s="206"/>
      <c r="AN38" s="206"/>
      <c r="AO38" s="206"/>
      <c r="AP38" s="229"/>
      <c r="AQ38" s="229"/>
      <c r="AR38" s="229"/>
      <c r="AS38" s="229"/>
      <c r="AT38" s="229"/>
      <c r="AU38" s="229"/>
      <c r="AV38" s="211"/>
      <c r="AW38" s="211"/>
      <c r="AX38" s="211"/>
      <c r="AY38" s="211"/>
      <c r="AZ38" s="211"/>
      <c r="BA38" s="211"/>
      <c r="BB38" s="230"/>
      <c r="BC38" s="230"/>
      <c r="BY38" s="153"/>
    </row>
    <row r="39" spans="1:77" ht="30" hidden="1" customHeight="1" outlineLevel="1">
      <c r="A39" s="46"/>
      <c r="C39" s="1345"/>
      <c r="D39" s="1346"/>
      <c r="E39" s="162"/>
      <c r="F39" s="220"/>
      <c r="G39" s="248"/>
      <c r="H39" s="249"/>
      <c r="I39" s="249"/>
      <c r="J39" s="249"/>
      <c r="K39" s="249"/>
      <c r="L39" s="249"/>
      <c r="M39" s="249"/>
      <c r="N39" s="249"/>
      <c r="O39" s="249"/>
      <c r="P39" s="249"/>
      <c r="Q39" s="249"/>
      <c r="R39" s="249"/>
      <c r="S39" s="226"/>
      <c r="T39" s="227"/>
      <c r="U39" s="198"/>
      <c r="V39" s="144"/>
      <c r="W39" s="206"/>
      <c r="X39" s="1373"/>
      <c r="Y39" s="1360"/>
      <c r="Z39" s="1361"/>
      <c r="AA39" s="254"/>
      <c r="AB39" s="255"/>
      <c r="AC39" s="256"/>
      <c r="AD39" s="166"/>
      <c r="AJ39" s="206"/>
      <c r="AK39" s="206"/>
      <c r="AL39" s="206"/>
      <c r="AM39" s="206"/>
      <c r="AN39" s="206"/>
      <c r="AO39" s="206"/>
      <c r="AP39" s="229"/>
      <c r="AQ39" s="229"/>
      <c r="AR39" s="229"/>
      <c r="AS39" s="229"/>
      <c r="AT39" s="229"/>
      <c r="AU39" s="229"/>
      <c r="AV39" s="211"/>
      <c r="AW39" s="211"/>
      <c r="AX39" s="211"/>
      <c r="AY39" s="211"/>
      <c r="AZ39" s="211"/>
      <c r="BA39" s="211"/>
      <c r="BB39" s="230"/>
      <c r="BC39" s="230"/>
      <c r="BY39" s="153"/>
    </row>
    <row r="40" spans="1:77" ht="30" hidden="1" customHeight="1" outlineLevel="1">
      <c r="A40" s="46"/>
      <c r="C40" s="1345"/>
      <c r="D40" s="1346"/>
      <c r="E40" s="162"/>
      <c r="F40" s="220"/>
      <c r="G40" s="248"/>
      <c r="H40" s="249"/>
      <c r="I40" s="249"/>
      <c r="J40" s="249"/>
      <c r="K40" s="249"/>
      <c r="L40" s="249"/>
      <c r="M40" s="249"/>
      <c r="N40" s="249"/>
      <c r="O40" s="249"/>
      <c r="P40" s="249"/>
      <c r="Q40" s="249"/>
      <c r="R40" s="249"/>
      <c r="S40" s="226"/>
      <c r="T40" s="227"/>
      <c r="U40" s="198"/>
      <c r="V40" s="144"/>
      <c r="W40" s="206"/>
      <c r="X40" s="1373"/>
      <c r="Y40" s="1360"/>
      <c r="Z40" s="1361"/>
      <c r="AA40" s="254"/>
      <c r="AB40" s="255"/>
      <c r="AC40" s="256"/>
      <c r="AD40" s="166"/>
      <c r="AJ40" s="206"/>
      <c r="AK40" s="206"/>
      <c r="AL40" s="206"/>
      <c r="AM40" s="206"/>
      <c r="AN40" s="206"/>
      <c r="AO40" s="206"/>
      <c r="AP40" s="229"/>
      <c r="AQ40" s="229"/>
      <c r="AR40" s="229"/>
      <c r="AS40" s="229"/>
      <c r="AT40" s="229"/>
      <c r="AU40" s="229"/>
      <c r="AV40" s="211"/>
      <c r="AW40" s="211"/>
      <c r="AX40" s="211"/>
      <c r="AY40" s="211"/>
      <c r="AZ40" s="211"/>
      <c r="BA40" s="211"/>
      <c r="BB40" s="230"/>
      <c r="BC40" s="230"/>
      <c r="BY40" s="153"/>
    </row>
    <row r="41" spans="1:77" ht="30" hidden="1" customHeight="1" outlineLevel="1">
      <c r="A41" s="46"/>
      <c r="C41" s="1345"/>
      <c r="D41" s="1346"/>
      <c r="E41" s="162"/>
      <c r="F41" s="220"/>
      <c r="G41" s="248"/>
      <c r="H41" s="249"/>
      <c r="I41" s="249"/>
      <c r="J41" s="249"/>
      <c r="K41" s="249"/>
      <c r="L41" s="249"/>
      <c r="M41" s="249"/>
      <c r="N41" s="249"/>
      <c r="O41" s="249"/>
      <c r="P41" s="249"/>
      <c r="Q41" s="249"/>
      <c r="R41" s="249"/>
      <c r="S41" s="226"/>
      <c r="T41" s="227"/>
      <c r="U41" s="198"/>
      <c r="V41" s="144"/>
      <c r="W41" s="206"/>
      <c r="X41" s="1373"/>
      <c r="Y41" s="1360"/>
      <c r="Z41" s="1361"/>
      <c r="AA41" s="254"/>
      <c r="AB41" s="255"/>
      <c r="AC41" s="256"/>
      <c r="AD41" s="166"/>
      <c r="AJ41" s="206"/>
      <c r="AK41" s="206"/>
      <c r="AL41" s="206"/>
      <c r="AM41" s="206"/>
      <c r="AN41" s="206"/>
      <c r="AO41" s="206"/>
      <c r="AP41" s="229"/>
      <c r="AQ41" s="229"/>
      <c r="AR41" s="229"/>
      <c r="AS41" s="229"/>
      <c r="AT41" s="229"/>
      <c r="AU41" s="229"/>
      <c r="AV41" s="211"/>
      <c r="AW41" s="211"/>
      <c r="AX41" s="211"/>
      <c r="AY41" s="211"/>
      <c r="AZ41" s="211"/>
      <c r="BA41" s="211"/>
      <c r="BB41" s="230"/>
      <c r="BC41" s="230"/>
      <c r="BY41" s="153"/>
    </row>
    <row r="42" spans="1:77" ht="30" hidden="1" customHeight="1" outlineLevel="1">
      <c r="A42" s="46"/>
      <c r="C42" s="1345"/>
      <c r="D42" s="1346"/>
      <c r="E42" s="162"/>
      <c r="F42" s="220"/>
      <c r="G42" s="248"/>
      <c r="H42" s="249"/>
      <c r="I42" s="249"/>
      <c r="J42" s="249"/>
      <c r="K42" s="249"/>
      <c r="L42" s="249"/>
      <c r="M42" s="249"/>
      <c r="N42" s="249"/>
      <c r="O42" s="249"/>
      <c r="P42" s="249"/>
      <c r="Q42" s="249"/>
      <c r="R42" s="249"/>
      <c r="S42" s="226"/>
      <c r="T42" s="227"/>
      <c r="U42" s="198"/>
      <c r="V42" s="144"/>
      <c r="W42" s="206"/>
      <c r="X42" s="1373"/>
      <c r="Y42" s="1360"/>
      <c r="Z42" s="1361"/>
      <c r="AA42" s="254"/>
      <c r="AB42" s="255"/>
      <c r="AC42" s="256"/>
      <c r="AD42" s="166"/>
      <c r="AJ42" s="206"/>
      <c r="AK42" s="206"/>
      <c r="AL42" s="206"/>
      <c r="AM42" s="206"/>
      <c r="AN42" s="206"/>
      <c r="AO42" s="206"/>
      <c r="AP42" s="229"/>
      <c r="AQ42" s="229"/>
      <c r="AR42" s="229"/>
      <c r="AS42" s="229"/>
      <c r="AT42" s="229"/>
      <c r="AU42" s="229"/>
      <c r="AV42" s="211"/>
      <c r="AW42" s="211"/>
      <c r="AX42" s="211"/>
      <c r="AY42" s="211"/>
      <c r="AZ42" s="211"/>
      <c r="BA42" s="211"/>
      <c r="BB42" s="230"/>
      <c r="BC42" s="230"/>
      <c r="BY42" s="153"/>
    </row>
    <row r="43" spans="1:77" ht="30" hidden="1" customHeight="1" outlineLevel="1">
      <c r="A43" s="46"/>
      <c r="C43" s="1345"/>
      <c r="D43" s="1346"/>
      <c r="E43" s="162"/>
      <c r="F43" s="220"/>
      <c r="G43" s="248"/>
      <c r="H43" s="249"/>
      <c r="I43" s="249"/>
      <c r="J43" s="249"/>
      <c r="K43" s="249"/>
      <c r="L43" s="249"/>
      <c r="M43" s="249"/>
      <c r="N43" s="249"/>
      <c r="O43" s="249"/>
      <c r="P43" s="249"/>
      <c r="Q43" s="249"/>
      <c r="R43" s="249"/>
      <c r="S43" s="226"/>
      <c r="T43" s="227"/>
      <c r="U43" s="198"/>
      <c r="V43" s="144"/>
      <c r="W43" s="206"/>
      <c r="X43" s="1373"/>
      <c r="Y43" s="1360"/>
      <c r="Z43" s="1361"/>
      <c r="AA43" s="254"/>
      <c r="AB43" s="255"/>
      <c r="AC43" s="256"/>
      <c r="AD43" s="166"/>
      <c r="AJ43" s="206"/>
      <c r="AK43" s="206"/>
      <c r="AL43" s="206"/>
      <c r="AM43" s="206"/>
      <c r="AN43" s="206"/>
      <c r="AO43" s="206"/>
      <c r="AP43" s="229"/>
      <c r="AQ43" s="229"/>
      <c r="AR43" s="229"/>
      <c r="AS43" s="229"/>
      <c r="AT43" s="229"/>
      <c r="AU43" s="229"/>
      <c r="AV43" s="211"/>
      <c r="AW43" s="211"/>
      <c r="AX43" s="211"/>
      <c r="AY43" s="211"/>
      <c r="AZ43" s="211"/>
      <c r="BA43" s="211"/>
      <c r="BB43" s="230"/>
      <c r="BC43" s="230"/>
      <c r="BY43" s="153"/>
    </row>
    <row r="44" spans="1:77" ht="30" hidden="1" customHeight="1" outlineLevel="1">
      <c r="A44" s="46"/>
      <c r="C44" s="1345"/>
      <c r="D44" s="1346"/>
      <c r="E44" s="162"/>
      <c r="F44" s="220"/>
      <c r="G44" s="248"/>
      <c r="H44" s="249"/>
      <c r="I44" s="249"/>
      <c r="J44" s="249"/>
      <c r="K44" s="249"/>
      <c r="L44" s="249"/>
      <c r="M44" s="249"/>
      <c r="N44" s="249"/>
      <c r="O44" s="249"/>
      <c r="P44" s="249"/>
      <c r="Q44" s="249"/>
      <c r="R44" s="249"/>
      <c r="S44" s="226"/>
      <c r="T44" s="227"/>
      <c r="U44" s="198"/>
      <c r="V44" s="144"/>
      <c r="W44" s="206"/>
      <c r="X44" s="1373"/>
      <c r="Y44" s="1360"/>
      <c r="Z44" s="1361"/>
      <c r="AA44" s="254"/>
      <c r="AB44" s="255"/>
      <c r="AC44" s="256"/>
      <c r="AD44" s="166"/>
      <c r="AJ44" s="206"/>
      <c r="AK44" s="206"/>
      <c r="AL44" s="206"/>
      <c r="AM44" s="206"/>
      <c r="AN44" s="206"/>
      <c r="AO44" s="206"/>
      <c r="AP44" s="229"/>
      <c r="AQ44" s="229"/>
      <c r="AR44" s="229"/>
      <c r="AS44" s="229"/>
      <c r="AT44" s="229"/>
      <c r="AU44" s="229"/>
      <c r="AV44" s="211"/>
      <c r="AW44" s="211"/>
      <c r="AX44" s="211"/>
      <c r="AY44" s="211"/>
      <c r="AZ44" s="211"/>
      <c r="BA44" s="211"/>
      <c r="BB44" s="230"/>
      <c r="BC44" s="230"/>
      <c r="BY44" s="153"/>
    </row>
    <row r="45" spans="1:77" ht="30" hidden="1" customHeight="1" outlineLevel="1" thickBot="1">
      <c r="A45" s="46"/>
      <c r="C45" s="1345"/>
      <c r="D45" s="1346"/>
      <c r="E45" s="162"/>
      <c r="F45" s="220"/>
      <c r="G45" s="248"/>
      <c r="H45" s="249"/>
      <c r="I45" s="249"/>
      <c r="J45" s="249"/>
      <c r="K45" s="249"/>
      <c r="L45" s="249"/>
      <c r="M45" s="249"/>
      <c r="N45" s="249"/>
      <c r="O45" s="249"/>
      <c r="P45" s="249"/>
      <c r="Q45" s="249"/>
      <c r="R45" s="249"/>
      <c r="S45" s="226"/>
      <c r="T45" s="237"/>
      <c r="U45" s="198"/>
      <c r="V45" s="144"/>
      <c r="W45" s="206"/>
      <c r="X45" s="1373"/>
      <c r="Y45" s="1367"/>
      <c r="Z45" s="1368"/>
      <c r="AA45" s="257"/>
      <c r="AB45" s="258"/>
      <c r="AC45" s="259"/>
      <c r="AD45" s="166"/>
      <c r="AJ45" s="206"/>
      <c r="AK45" s="206"/>
      <c r="AL45" s="206"/>
      <c r="AM45" s="206"/>
      <c r="AN45" s="206"/>
      <c r="AO45" s="206"/>
      <c r="AP45" s="229"/>
      <c r="AQ45" s="229"/>
      <c r="AR45" s="229"/>
      <c r="AS45" s="229"/>
      <c r="AT45" s="229"/>
      <c r="AU45" s="229"/>
      <c r="AV45" s="211"/>
      <c r="AW45" s="211"/>
      <c r="AX45" s="211"/>
      <c r="AY45" s="211"/>
      <c r="AZ45" s="211"/>
      <c r="BA45" s="211"/>
      <c r="BB45" s="230"/>
      <c r="BC45" s="230"/>
      <c r="BY45" s="153"/>
    </row>
    <row r="46" spans="1:77" ht="30" customHeight="1" thickTop="1" thickBot="1">
      <c r="A46" s="46"/>
      <c r="C46" s="1345"/>
      <c r="D46" s="1346"/>
      <c r="E46" s="1369" t="s">
        <v>227</v>
      </c>
      <c r="F46" s="1370"/>
      <c r="G46" s="1371" t="s">
        <v>228</v>
      </c>
      <c r="H46" s="1372"/>
      <c r="I46" s="1372"/>
      <c r="J46" s="1372"/>
      <c r="K46" s="1372"/>
      <c r="L46" s="1372"/>
      <c r="M46" s="1372"/>
      <c r="N46" s="1372"/>
      <c r="O46" s="1372"/>
      <c r="P46" s="1372"/>
      <c r="Q46" s="1372"/>
      <c r="R46" s="1372"/>
      <c r="S46" s="213"/>
      <c r="T46" s="214"/>
      <c r="U46" s="215"/>
      <c r="V46" s="206"/>
      <c r="W46" s="206"/>
      <c r="X46" s="1373"/>
      <c r="Y46" s="1374" t="s">
        <v>219</v>
      </c>
      <c r="Z46" s="1374"/>
      <c r="AA46" s="243">
        <f>S65</f>
        <v>0</v>
      </c>
      <c r="AB46" s="260"/>
      <c r="AC46" s="245">
        <f>ROUND(AA46/45*AB46,)</f>
        <v>0</v>
      </c>
      <c r="AL46" s="206"/>
      <c r="AM46" s="206"/>
      <c r="AN46" s="206"/>
      <c r="AO46" s="206"/>
      <c r="AP46" s="229"/>
      <c r="AQ46" s="229"/>
      <c r="AR46" s="229"/>
      <c r="AS46" s="229"/>
      <c r="AT46" s="229"/>
      <c r="AU46" s="229"/>
      <c r="AV46" s="211"/>
      <c r="AW46" s="211"/>
      <c r="AX46" s="211"/>
      <c r="AY46" s="211"/>
      <c r="AZ46" s="211"/>
      <c r="BA46" s="211"/>
      <c r="BB46" s="230"/>
      <c r="BC46" s="230"/>
      <c r="BY46" s="153"/>
    </row>
    <row r="47" spans="1:77" ht="30" customHeight="1" thickTop="1">
      <c r="A47" s="46"/>
      <c r="C47" s="1345"/>
      <c r="D47" s="1346"/>
      <c r="E47" s="241"/>
      <c r="F47" s="220"/>
      <c r="G47" s="1353"/>
      <c r="H47" s="1354"/>
      <c r="I47" s="1354"/>
      <c r="J47" s="1354"/>
      <c r="K47" s="1354"/>
      <c r="L47" s="1354"/>
      <c r="M47" s="1354"/>
      <c r="N47" s="1354"/>
      <c r="O47" s="1354"/>
      <c r="P47" s="1354"/>
      <c r="Q47" s="1354"/>
      <c r="R47" s="1354"/>
      <c r="S47" s="221"/>
      <c r="T47" s="222"/>
      <c r="U47" s="198"/>
      <c r="V47" s="144"/>
      <c r="W47" s="144"/>
      <c r="X47" s="1362" t="s">
        <v>229</v>
      </c>
      <c r="Y47" s="1362"/>
      <c r="Z47" s="1362"/>
      <c r="AA47" s="224">
        <f>SUM(AA33:AA46)</f>
        <v>0</v>
      </c>
      <c r="AB47" s="261">
        <f>IF(AND(AA47&gt;0,AC47&gt;0),ROUND(AC47/AA47*45,2),)</f>
        <v>0</v>
      </c>
      <c r="AC47" s="224">
        <f>SUM(AC33:AC46)</f>
        <v>0</v>
      </c>
      <c r="AL47" s="144"/>
      <c r="AM47" s="144"/>
      <c r="AN47" s="144"/>
      <c r="AO47" s="144"/>
      <c r="AP47" s="144"/>
      <c r="AQ47" s="144"/>
      <c r="AR47" s="144"/>
      <c r="AS47" s="144"/>
      <c r="AT47" s="144"/>
      <c r="AU47" s="144"/>
      <c r="AV47" s="144"/>
      <c r="AW47" s="144"/>
      <c r="AX47" s="144"/>
      <c r="AY47" s="144"/>
      <c r="AZ47" s="144"/>
      <c r="BA47" s="144"/>
      <c r="BC47" s="230"/>
      <c r="BY47" s="153"/>
    </row>
    <row r="48" spans="1:77" s="30" customFormat="1" ht="30" customHeight="1">
      <c r="A48" s="46"/>
      <c r="B48" s="2"/>
      <c r="C48" s="1345"/>
      <c r="D48" s="1346"/>
      <c r="E48" s="241"/>
      <c r="F48" s="220"/>
      <c r="G48" s="1353"/>
      <c r="H48" s="1354"/>
      <c r="I48" s="1354"/>
      <c r="J48" s="1354"/>
      <c r="K48" s="1354"/>
      <c r="L48" s="1354"/>
      <c r="M48" s="1354"/>
      <c r="N48" s="1354"/>
      <c r="O48" s="1354"/>
      <c r="P48" s="1354"/>
      <c r="Q48" s="1354"/>
      <c r="R48" s="1354"/>
      <c r="S48" s="226"/>
      <c r="T48" s="227"/>
      <c r="U48" s="198"/>
      <c r="V48" s="144"/>
      <c r="W48" s="144"/>
      <c r="X48" s="2"/>
      <c r="Y48" s="2"/>
      <c r="Z48" s="2"/>
      <c r="AA48" s="2"/>
      <c r="AB48" s="2"/>
      <c r="AC48" s="2"/>
      <c r="AD48" s="2"/>
      <c r="AE48" s="2"/>
      <c r="AF48" s="2"/>
      <c r="AG48" s="2"/>
      <c r="AH48" s="2"/>
      <c r="AL48" s="144"/>
      <c r="AM48" s="144"/>
      <c r="AN48" s="144"/>
      <c r="AO48" s="144"/>
      <c r="AP48" s="144"/>
      <c r="AQ48" s="144"/>
      <c r="AR48" s="144"/>
      <c r="AS48" s="144"/>
      <c r="AT48" s="144"/>
      <c r="AU48" s="144"/>
      <c r="AV48" s="144"/>
      <c r="AW48" s="144"/>
      <c r="AX48" s="144"/>
      <c r="AY48" s="144"/>
      <c r="AZ48" s="144"/>
      <c r="BA48" s="144"/>
      <c r="BB48" s="2"/>
      <c r="BC48" s="262"/>
    </row>
    <row r="49" spans="1:77" ht="30" customHeight="1">
      <c r="A49" s="46"/>
      <c r="C49" s="1345"/>
      <c r="D49" s="1346"/>
      <c r="E49" s="241"/>
      <c r="F49" s="220"/>
      <c r="G49" s="1353"/>
      <c r="H49" s="1354"/>
      <c r="I49" s="1354"/>
      <c r="J49" s="1354"/>
      <c r="K49" s="1354"/>
      <c r="L49" s="1354"/>
      <c r="M49" s="1354"/>
      <c r="N49" s="1354"/>
      <c r="O49" s="1354"/>
      <c r="P49" s="1354"/>
      <c r="Q49" s="1354"/>
      <c r="R49" s="1354"/>
      <c r="S49" s="226"/>
      <c r="T49" s="227"/>
      <c r="U49" s="198"/>
      <c r="V49" s="144"/>
      <c r="W49" s="144"/>
      <c r="AC49" s="263"/>
      <c r="AL49" s="144"/>
      <c r="AM49" s="144"/>
      <c r="AN49" s="144"/>
      <c r="AO49" s="144"/>
      <c r="AP49" s="144"/>
      <c r="AQ49" s="144"/>
      <c r="AR49" s="144"/>
      <c r="AS49" s="144"/>
      <c r="AT49" s="144"/>
      <c r="AU49" s="144"/>
      <c r="AV49" s="144"/>
      <c r="AW49" s="144"/>
      <c r="AX49" s="144"/>
      <c r="AY49" s="144"/>
      <c r="AZ49" s="144"/>
      <c r="BA49" s="144"/>
      <c r="BC49" s="230"/>
    </row>
    <row r="50" spans="1:77" ht="30" customHeight="1" collapsed="1" thickBot="1">
      <c r="A50" s="46"/>
      <c r="C50" s="1345"/>
      <c r="D50" s="1346"/>
      <c r="E50" s="241"/>
      <c r="F50" s="220"/>
      <c r="G50" s="1353"/>
      <c r="H50" s="1354"/>
      <c r="I50" s="1354"/>
      <c r="J50" s="1354"/>
      <c r="K50" s="1354"/>
      <c r="L50" s="1354"/>
      <c r="M50" s="1354"/>
      <c r="N50" s="1354"/>
      <c r="O50" s="1354"/>
      <c r="P50" s="1354"/>
      <c r="Q50" s="1354"/>
      <c r="R50" s="1354"/>
      <c r="S50" s="226"/>
      <c r="T50" s="227"/>
      <c r="U50" s="198"/>
      <c r="BC50" s="230"/>
    </row>
    <row r="51" spans="1:77" ht="30" hidden="1" customHeight="1" outlineLevel="1">
      <c r="A51" s="46"/>
      <c r="C51" s="1345"/>
      <c r="D51" s="1346"/>
      <c r="E51" s="162"/>
      <c r="F51" s="220"/>
      <c r="G51" s="248"/>
      <c r="H51" s="249"/>
      <c r="I51" s="249"/>
      <c r="J51" s="249"/>
      <c r="K51" s="249"/>
      <c r="L51" s="249"/>
      <c r="M51" s="249"/>
      <c r="N51" s="249"/>
      <c r="O51" s="249"/>
      <c r="P51" s="249"/>
      <c r="Q51" s="249"/>
      <c r="R51" s="249"/>
      <c r="S51" s="226"/>
      <c r="T51" s="227"/>
      <c r="U51" s="198"/>
      <c r="V51" s="144"/>
      <c r="W51" s="206"/>
      <c r="Y51" s="1361"/>
      <c r="Z51" s="1361"/>
      <c r="AA51" s="264"/>
      <c r="AB51" s="265"/>
      <c r="AC51" s="234"/>
      <c r="AD51" s="166"/>
      <c r="AJ51" s="206"/>
      <c r="AK51" s="206"/>
      <c r="AL51" s="206"/>
      <c r="AM51" s="206"/>
      <c r="AN51" s="206"/>
      <c r="AO51" s="206"/>
      <c r="AP51" s="229"/>
      <c r="AQ51" s="229"/>
      <c r="AR51" s="229"/>
      <c r="AS51" s="229"/>
      <c r="AT51" s="229"/>
      <c r="AU51" s="229"/>
      <c r="AV51" s="211"/>
      <c r="AW51" s="211"/>
      <c r="AX51" s="211"/>
      <c r="AY51" s="211"/>
      <c r="AZ51" s="211"/>
      <c r="BA51" s="211"/>
      <c r="BB51" s="230"/>
      <c r="BC51" s="230"/>
      <c r="BY51" s="153"/>
    </row>
    <row r="52" spans="1:77" ht="30" hidden="1" customHeight="1" outlineLevel="1">
      <c r="A52" s="46"/>
      <c r="C52" s="1345"/>
      <c r="D52" s="1346"/>
      <c r="E52" s="162"/>
      <c r="F52" s="220"/>
      <c r="G52" s="248"/>
      <c r="H52" s="249"/>
      <c r="I52" s="249"/>
      <c r="J52" s="249"/>
      <c r="K52" s="249"/>
      <c r="L52" s="249"/>
      <c r="M52" s="249"/>
      <c r="N52" s="249"/>
      <c r="O52" s="249"/>
      <c r="P52" s="249"/>
      <c r="Q52" s="249"/>
      <c r="R52" s="249"/>
      <c r="S52" s="226"/>
      <c r="T52" s="227"/>
      <c r="U52" s="198"/>
      <c r="V52" s="144"/>
      <c r="W52" s="206"/>
      <c r="Y52" s="1361"/>
      <c r="Z52" s="1361"/>
      <c r="AA52" s="264"/>
      <c r="AB52" s="265"/>
      <c r="AC52" s="234"/>
      <c r="AD52" s="166"/>
      <c r="AJ52" s="206"/>
      <c r="AK52" s="206"/>
      <c r="AL52" s="206"/>
      <c r="AM52" s="206"/>
      <c r="AN52" s="206"/>
      <c r="AO52" s="206"/>
      <c r="AP52" s="229"/>
      <c r="AQ52" s="229"/>
      <c r="AR52" s="229"/>
      <c r="AS52" s="229"/>
      <c r="AT52" s="229"/>
      <c r="AU52" s="229"/>
      <c r="AV52" s="211"/>
      <c r="AW52" s="211"/>
      <c r="AX52" s="211"/>
      <c r="AY52" s="211"/>
      <c r="AZ52" s="211"/>
      <c r="BA52" s="211"/>
      <c r="BB52" s="230"/>
      <c r="BC52" s="230"/>
      <c r="BY52" s="153"/>
    </row>
    <row r="53" spans="1:77" ht="30" hidden="1" customHeight="1" outlineLevel="1">
      <c r="A53" s="46"/>
      <c r="C53" s="1345"/>
      <c r="D53" s="1346"/>
      <c r="E53" s="162"/>
      <c r="F53" s="220"/>
      <c r="G53" s="248"/>
      <c r="H53" s="249"/>
      <c r="I53" s="249"/>
      <c r="J53" s="249"/>
      <c r="K53" s="249"/>
      <c r="L53" s="249"/>
      <c r="M53" s="249"/>
      <c r="N53" s="249"/>
      <c r="O53" s="249"/>
      <c r="P53" s="249"/>
      <c r="Q53" s="249"/>
      <c r="R53" s="249"/>
      <c r="S53" s="226"/>
      <c r="T53" s="227"/>
      <c r="U53" s="198"/>
      <c r="V53" s="144"/>
      <c r="W53" s="206"/>
      <c r="Y53" s="1361"/>
      <c r="Z53" s="1361"/>
      <c r="AA53" s="264"/>
      <c r="AB53" s="265"/>
      <c r="AC53" s="234"/>
      <c r="AD53" s="166"/>
      <c r="AJ53" s="206"/>
      <c r="AK53" s="206"/>
      <c r="AL53" s="206"/>
      <c r="AM53" s="206"/>
      <c r="AN53" s="206"/>
      <c r="AO53" s="206"/>
      <c r="AP53" s="229"/>
      <c r="AQ53" s="229"/>
      <c r="AR53" s="229"/>
      <c r="AS53" s="229"/>
      <c r="AT53" s="229"/>
      <c r="AU53" s="229"/>
      <c r="AV53" s="211"/>
      <c r="AW53" s="211"/>
      <c r="AX53" s="211"/>
      <c r="AY53" s="211"/>
      <c r="AZ53" s="211"/>
      <c r="BA53" s="211"/>
      <c r="BB53" s="230"/>
      <c r="BC53" s="230"/>
      <c r="BY53" s="153"/>
    </row>
    <row r="54" spans="1:77" ht="30" hidden="1" customHeight="1" outlineLevel="1">
      <c r="A54" s="46"/>
      <c r="C54" s="1345"/>
      <c r="D54" s="1346"/>
      <c r="E54" s="162"/>
      <c r="F54" s="220"/>
      <c r="G54" s="248"/>
      <c r="H54" s="249"/>
      <c r="I54" s="249"/>
      <c r="J54" s="249"/>
      <c r="K54" s="249"/>
      <c r="L54" s="249"/>
      <c r="M54" s="249"/>
      <c r="N54" s="249"/>
      <c r="O54" s="249"/>
      <c r="P54" s="249"/>
      <c r="Q54" s="249"/>
      <c r="R54" s="249"/>
      <c r="S54" s="226"/>
      <c r="T54" s="227"/>
      <c r="U54" s="198"/>
      <c r="V54" s="144"/>
      <c r="W54" s="206"/>
      <c r="Y54" s="1361"/>
      <c r="Z54" s="1361"/>
      <c r="AA54" s="264"/>
      <c r="AB54" s="265"/>
      <c r="AC54" s="234"/>
      <c r="AD54" s="166"/>
      <c r="AJ54" s="206"/>
      <c r="AK54" s="206"/>
      <c r="AL54" s="206"/>
      <c r="AM54" s="206"/>
      <c r="AN54" s="206"/>
      <c r="AO54" s="206"/>
      <c r="AP54" s="229"/>
      <c r="AQ54" s="229"/>
      <c r="AR54" s="229"/>
      <c r="AS54" s="229"/>
      <c r="AT54" s="229"/>
      <c r="AU54" s="229"/>
      <c r="AV54" s="211"/>
      <c r="AW54" s="211"/>
      <c r="AX54" s="211"/>
      <c r="AY54" s="211"/>
      <c r="AZ54" s="211"/>
      <c r="BA54" s="211"/>
      <c r="BB54" s="230"/>
      <c r="BC54" s="230"/>
      <c r="BY54" s="153"/>
    </row>
    <row r="55" spans="1:77" ht="30" hidden="1" customHeight="1" outlineLevel="1">
      <c r="A55" s="46"/>
      <c r="C55" s="1345"/>
      <c r="D55" s="1346"/>
      <c r="E55" s="162"/>
      <c r="F55" s="220"/>
      <c r="G55" s="248"/>
      <c r="H55" s="249"/>
      <c r="I55" s="249"/>
      <c r="J55" s="249"/>
      <c r="K55" s="249"/>
      <c r="L55" s="249"/>
      <c r="M55" s="249"/>
      <c r="N55" s="249"/>
      <c r="O55" s="249"/>
      <c r="P55" s="249"/>
      <c r="Q55" s="249"/>
      <c r="R55" s="249"/>
      <c r="S55" s="226"/>
      <c r="T55" s="227"/>
      <c r="U55" s="198"/>
      <c r="V55" s="144"/>
      <c r="W55" s="206"/>
      <c r="Y55" s="1361"/>
      <c r="Z55" s="1361"/>
      <c r="AA55" s="264"/>
      <c r="AB55" s="265"/>
      <c r="AC55" s="234"/>
      <c r="AD55" s="166"/>
      <c r="AJ55" s="206"/>
      <c r="AK55" s="206"/>
      <c r="AL55" s="206"/>
      <c r="AM55" s="206"/>
      <c r="AN55" s="206"/>
      <c r="AO55" s="206"/>
      <c r="AP55" s="229"/>
      <c r="AQ55" s="229"/>
      <c r="AR55" s="229"/>
      <c r="AS55" s="229"/>
      <c r="AT55" s="229"/>
      <c r="AU55" s="229"/>
      <c r="AV55" s="211"/>
      <c r="AW55" s="211"/>
      <c r="AX55" s="211"/>
      <c r="AY55" s="211"/>
      <c r="AZ55" s="211"/>
      <c r="BA55" s="211"/>
      <c r="BB55" s="230"/>
      <c r="BC55" s="230"/>
      <c r="BY55" s="153"/>
    </row>
    <row r="56" spans="1:77" ht="30" hidden="1" customHeight="1" outlineLevel="1">
      <c r="A56" s="46"/>
      <c r="C56" s="1345"/>
      <c r="D56" s="1346"/>
      <c r="E56" s="162"/>
      <c r="F56" s="220"/>
      <c r="G56" s="248"/>
      <c r="H56" s="249"/>
      <c r="I56" s="249"/>
      <c r="J56" s="249"/>
      <c r="K56" s="249"/>
      <c r="L56" s="249"/>
      <c r="M56" s="249"/>
      <c r="N56" s="249"/>
      <c r="O56" s="249"/>
      <c r="P56" s="249"/>
      <c r="Q56" s="249"/>
      <c r="R56" s="249"/>
      <c r="S56" s="226"/>
      <c r="T56" s="227"/>
      <c r="U56" s="198"/>
      <c r="V56" s="144"/>
      <c r="W56" s="206"/>
      <c r="Y56" s="1361"/>
      <c r="Z56" s="1361"/>
      <c r="AA56" s="264"/>
      <c r="AB56" s="265"/>
      <c r="AC56" s="234"/>
      <c r="AD56" s="166"/>
      <c r="AJ56" s="206"/>
      <c r="AK56" s="206"/>
      <c r="AL56" s="206"/>
      <c r="AM56" s="206"/>
      <c r="AN56" s="206"/>
      <c r="AO56" s="206"/>
      <c r="AP56" s="229"/>
      <c r="AQ56" s="229"/>
      <c r="AR56" s="229"/>
      <c r="AS56" s="229"/>
      <c r="AT56" s="229"/>
      <c r="AU56" s="229"/>
      <c r="AV56" s="211"/>
      <c r="AW56" s="211"/>
      <c r="AX56" s="211"/>
      <c r="AY56" s="211"/>
      <c r="AZ56" s="211"/>
      <c r="BA56" s="211"/>
      <c r="BB56" s="230"/>
      <c r="BC56" s="230"/>
      <c r="BY56" s="153"/>
    </row>
    <row r="57" spans="1:77" ht="30" hidden="1" customHeight="1" outlineLevel="1">
      <c r="A57" s="46"/>
      <c r="C57" s="1345"/>
      <c r="D57" s="1346"/>
      <c r="E57" s="162"/>
      <c r="F57" s="220"/>
      <c r="G57" s="248"/>
      <c r="H57" s="249"/>
      <c r="I57" s="249"/>
      <c r="J57" s="249"/>
      <c r="K57" s="249"/>
      <c r="L57" s="249"/>
      <c r="M57" s="249"/>
      <c r="N57" s="249"/>
      <c r="O57" s="249"/>
      <c r="P57" s="249"/>
      <c r="Q57" s="249"/>
      <c r="R57" s="249"/>
      <c r="S57" s="226"/>
      <c r="T57" s="227"/>
      <c r="U57" s="198"/>
      <c r="V57" s="144"/>
      <c r="W57" s="206"/>
      <c r="Y57" s="1361"/>
      <c r="Z57" s="1361"/>
      <c r="AA57" s="264"/>
      <c r="AB57" s="265"/>
      <c r="AC57" s="234"/>
      <c r="AD57" s="166"/>
      <c r="AJ57" s="206"/>
      <c r="AK57" s="206"/>
      <c r="AL57" s="206"/>
      <c r="AM57" s="206"/>
      <c r="AN57" s="206"/>
      <c r="AO57" s="206"/>
      <c r="AP57" s="229"/>
      <c r="AQ57" s="229"/>
      <c r="AR57" s="229"/>
      <c r="AS57" s="229"/>
      <c r="AT57" s="229"/>
      <c r="AU57" s="229"/>
      <c r="AV57" s="211"/>
      <c r="AW57" s="211"/>
      <c r="AX57" s="211"/>
      <c r="AY57" s="211"/>
      <c r="AZ57" s="211"/>
      <c r="BA57" s="211"/>
      <c r="BB57" s="230"/>
      <c r="BC57" s="230"/>
      <c r="BY57" s="153"/>
    </row>
    <row r="58" spans="1:77" ht="30" hidden="1" customHeight="1" outlineLevel="1">
      <c r="A58" s="46"/>
      <c r="C58" s="1345"/>
      <c r="D58" s="1346"/>
      <c r="E58" s="162"/>
      <c r="F58" s="220"/>
      <c r="G58" s="248"/>
      <c r="H58" s="249"/>
      <c r="I58" s="249"/>
      <c r="J58" s="249"/>
      <c r="K58" s="249"/>
      <c r="L58" s="249"/>
      <c r="M58" s="249"/>
      <c r="N58" s="249"/>
      <c r="O58" s="249"/>
      <c r="P58" s="249"/>
      <c r="Q58" s="249"/>
      <c r="R58" s="249"/>
      <c r="S58" s="226"/>
      <c r="T58" s="227"/>
      <c r="U58" s="198"/>
      <c r="V58" s="144"/>
      <c r="W58" s="206"/>
      <c r="Y58" s="1361"/>
      <c r="Z58" s="1361"/>
      <c r="AA58" s="264"/>
      <c r="AB58" s="265"/>
      <c r="AC58" s="234"/>
      <c r="AD58" s="166"/>
      <c r="AJ58" s="206"/>
      <c r="AK58" s="206"/>
      <c r="AL58" s="206"/>
      <c r="AM58" s="206"/>
      <c r="AN58" s="206"/>
      <c r="AO58" s="206"/>
      <c r="AP58" s="229"/>
      <c r="AQ58" s="229"/>
      <c r="AR58" s="229"/>
      <c r="AS58" s="229"/>
      <c r="AT58" s="229"/>
      <c r="AU58" s="229"/>
      <c r="AV58" s="211"/>
      <c r="AW58" s="211"/>
      <c r="AX58" s="211"/>
      <c r="AY58" s="211"/>
      <c r="AZ58" s="211"/>
      <c r="BA58" s="211"/>
      <c r="BB58" s="230"/>
      <c r="BC58" s="230"/>
      <c r="BY58" s="153"/>
    </row>
    <row r="59" spans="1:77" ht="30" hidden="1" customHeight="1" outlineLevel="1">
      <c r="A59" s="46"/>
      <c r="C59" s="1345"/>
      <c r="D59" s="1346"/>
      <c r="E59" s="162"/>
      <c r="F59" s="220"/>
      <c r="G59" s="248"/>
      <c r="H59" s="249"/>
      <c r="I59" s="249"/>
      <c r="J59" s="249"/>
      <c r="K59" s="249"/>
      <c r="L59" s="249"/>
      <c r="M59" s="249"/>
      <c r="N59" s="249"/>
      <c r="O59" s="249"/>
      <c r="P59" s="249"/>
      <c r="Q59" s="249"/>
      <c r="R59" s="249"/>
      <c r="S59" s="226"/>
      <c r="T59" s="227"/>
      <c r="U59" s="198"/>
      <c r="V59" s="144"/>
      <c r="W59" s="206"/>
      <c r="Y59" s="1361"/>
      <c r="Z59" s="1361"/>
      <c r="AA59" s="264"/>
      <c r="AB59" s="265"/>
      <c r="AC59" s="234"/>
      <c r="AD59" s="166"/>
      <c r="AJ59" s="206"/>
      <c r="AK59" s="206"/>
      <c r="AL59" s="206"/>
      <c r="AM59" s="206"/>
      <c r="AN59" s="206"/>
      <c r="AO59" s="206"/>
      <c r="AP59" s="229"/>
      <c r="AQ59" s="229"/>
      <c r="AR59" s="229"/>
      <c r="AS59" s="229"/>
      <c r="AT59" s="229"/>
      <c r="AU59" s="229"/>
      <c r="AV59" s="211"/>
      <c r="AW59" s="211"/>
      <c r="AX59" s="211"/>
      <c r="AY59" s="211"/>
      <c r="AZ59" s="211"/>
      <c r="BA59" s="211"/>
      <c r="BB59" s="230"/>
      <c r="BC59" s="230"/>
      <c r="BY59" s="153"/>
    </row>
    <row r="60" spans="1:77" ht="30" hidden="1" customHeight="1" outlineLevel="1">
      <c r="A60" s="46"/>
      <c r="C60" s="1345"/>
      <c r="D60" s="1346"/>
      <c r="E60" s="162"/>
      <c r="F60" s="220"/>
      <c r="G60" s="248"/>
      <c r="H60" s="249"/>
      <c r="I60" s="249"/>
      <c r="J60" s="249"/>
      <c r="K60" s="249"/>
      <c r="L60" s="249"/>
      <c r="M60" s="249"/>
      <c r="N60" s="249"/>
      <c r="O60" s="249"/>
      <c r="P60" s="249"/>
      <c r="Q60" s="249"/>
      <c r="R60" s="249"/>
      <c r="S60" s="226"/>
      <c r="T60" s="227"/>
      <c r="U60" s="198"/>
      <c r="V60" s="144"/>
      <c r="W60" s="206"/>
      <c r="Y60" s="1361"/>
      <c r="Z60" s="1361"/>
      <c r="AA60" s="264"/>
      <c r="AB60" s="265"/>
      <c r="AC60" s="234"/>
      <c r="AD60" s="166"/>
      <c r="AJ60" s="206"/>
      <c r="AK60" s="206"/>
      <c r="AL60" s="206"/>
      <c r="AM60" s="206"/>
      <c r="AN60" s="206"/>
      <c r="AO60" s="206"/>
      <c r="AP60" s="229"/>
      <c r="AQ60" s="229"/>
      <c r="AR60" s="229"/>
      <c r="AS60" s="229"/>
      <c r="AT60" s="229"/>
      <c r="AU60" s="229"/>
      <c r="AV60" s="211"/>
      <c r="AW60" s="211"/>
      <c r="AX60" s="211"/>
      <c r="AY60" s="211"/>
      <c r="AZ60" s="211"/>
      <c r="BA60" s="211"/>
      <c r="BB60" s="230"/>
      <c r="BC60" s="230"/>
      <c r="BY60" s="153"/>
    </row>
    <row r="61" spans="1:77" ht="30" hidden="1" customHeight="1" outlineLevel="1" thickBot="1">
      <c r="A61" s="46"/>
      <c r="C61" s="1345"/>
      <c r="D61" s="1346"/>
      <c r="E61" s="162"/>
      <c r="F61" s="220"/>
      <c r="G61" s="248"/>
      <c r="H61" s="249"/>
      <c r="I61" s="249"/>
      <c r="J61" s="249"/>
      <c r="K61" s="249"/>
      <c r="L61" s="249"/>
      <c r="M61" s="249"/>
      <c r="N61" s="249"/>
      <c r="O61" s="249"/>
      <c r="P61" s="249"/>
      <c r="Q61" s="249"/>
      <c r="R61" s="249"/>
      <c r="S61" s="226"/>
      <c r="T61" s="237"/>
      <c r="U61" s="198"/>
      <c r="V61" s="144"/>
      <c r="W61" s="206"/>
      <c r="Y61" s="1361"/>
      <c r="Z61" s="1361"/>
      <c r="AA61" s="264"/>
      <c r="AB61" s="265"/>
      <c r="AC61" s="234"/>
      <c r="AD61" s="166"/>
      <c r="AJ61" s="206"/>
      <c r="AK61" s="206"/>
      <c r="AL61" s="206"/>
      <c r="AM61" s="206"/>
      <c r="AN61" s="206"/>
      <c r="AO61" s="206"/>
      <c r="AP61" s="229"/>
      <c r="AQ61" s="229"/>
      <c r="AR61" s="229"/>
      <c r="AS61" s="229"/>
      <c r="AT61" s="229"/>
      <c r="AU61" s="229"/>
      <c r="AV61" s="211"/>
      <c r="AW61" s="211"/>
      <c r="AX61" s="211"/>
      <c r="AY61" s="211"/>
      <c r="AZ61" s="211"/>
      <c r="BA61" s="211"/>
      <c r="BB61" s="230"/>
      <c r="BC61" s="230"/>
      <c r="BY61" s="153"/>
    </row>
    <row r="62" spans="1:77" ht="30" customHeight="1" thickTop="1" thickBot="1">
      <c r="A62" s="46"/>
      <c r="C62" s="1347"/>
      <c r="D62" s="1348"/>
      <c r="E62" s="1355" t="s">
        <v>219</v>
      </c>
      <c r="F62" s="1356"/>
      <c r="G62" s="1357" t="s">
        <v>230</v>
      </c>
      <c r="H62" s="1358"/>
      <c r="I62" s="1358"/>
      <c r="J62" s="1358"/>
      <c r="K62" s="1358"/>
      <c r="L62" s="1358"/>
      <c r="M62" s="1358"/>
      <c r="N62" s="1358"/>
      <c r="O62" s="1358"/>
      <c r="P62" s="1358"/>
      <c r="Q62" s="1358"/>
      <c r="R62" s="1359"/>
      <c r="S62" s="213"/>
      <c r="T62" s="214"/>
      <c r="U62" s="215"/>
      <c r="BD62" s="266"/>
    </row>
    <row r="63" spans="1:77" ht="30" customHeight="1" thickTop="1">
      <c r="A63" s="46"/>
      <c r="C63" s="1375" t="s">
        <v>231</v>
      </c>
      <c r="D63" s="1376"/>
      <c r="E63" s="1251" t="s">
        <v>232</v>
      </c>
      <c r="F63" s="1253"/>
      <c r="G63" s="1371" t="s">
        <v>233</v>
      </c>
      <c r="H63" s="1372"/>
      <c r="I63" s="1372"/>
      <c r="J63" s="1372"/>
      <c r="K63" s="1372"/>
      <c r="L63" s="1372"/>
      <c r="M63" s="1372"/>
      <c r="N63" s="1372"/>
      <c r="O63" s="1372"/>
      <c r="P63" s="1372"/>
      <c r="Q63" s="1372"/>
      <c r="R63" s="1381"/>
      <c r="S63" s="267"/>
      <c r="T63" s="1382"/>
      <c r="V63" s="30"/>
      <c r="AD63" s="166"/>
      <c r="BE63" s="166"/>
    </row>
    <row r="64" spans="1:77" ht="30" customHeight="1">
      <c r="A64" s="46"/>
      <c r="B64" s="200"/>
      <c r="C64" s="1377"/>
      <c r="D64" s="1378"/>
      <c r="E64" s="1251" t="s">
        <v>226</v>
      </c>
      <c r="F64" s="1253"/>
      <c r="G64" s="1371" t="s">
        <v>234</v>
      </c>
      <c r="H64" s="1372"/>
      <c r="I64" s="1372"/>
      <c r="J64" s="1372"/>
      <c r="K64" s="1372"/>
      <c r="L64" s="1372"/>
      <c r="M64" s="1372"/>
      <c r="N64" s="1372"/>
      <c r="O64" s="1372"/>
      <c r="P64" s="1372"/>
      <c r="Q64" s="1372"/>
      <c r="R64" s="1381"/>
      <c r="S64" s="267"/>
      <c r="T64" s="1383"/>
      <c r="X64" s="166"/>
      <c r="Y64" s="166"/>
      <c r="Z64" s="166"/>
      <c r="AA64" s="166"/>
      <c r="AB64" s="166"/>
      <c r="AC64" s="166"/>
    </row>
    <row r="65" spans="1:59" ht="30" customHeight="1" thickBot="1">
      <c r="A65" s="46"/>
      <c r="C65" s="1379"/>
      <c r="D65" s="1380"/>
      <c r="E65" s="1385" t="s">
        <v>219</v>
      </c>
      <c r="F65" s="1386"/>
      <c r="G65" s="1387" t="s">
        <v>235</v>
      </c>
      <c r="H65" s="1388"/>
      <c r="I65" s="1388"/>
      <c r="J65" s="1388"/>
      <c r="K65" s="1388"/>
      <c r="L65" s="1388"/>
      <c r="M65" s="1388"/>
      <c r="N65" s="1388"/>
      <c r="O65" s="1388"/>
      <c r="P65" s="1388"/>
      <c r="Q65" s="1388"/>
      <c r="R65" s="1389"/>
      <c r="S65" s="268"/>
      <c r="T65" s="1384"/>
      <c r="U65" s="269"/>
    </row>
    <row r="66" spans="1:59" ht="14.1" customHeight="1">
      <c r="A66" s="46"/>
      <c r="C66" s="186"/>
      <c r="U66" s="269"/>
      <c r="W66" s="153"/>
    </row>
    <row r="67" spans="1:59" ht="14.1" customHeight="1">
      <c r="A67" s="46"/>
      <c r="B67" s="108"/>
      <c r="C67" s="130"/>
      <c r="D67" s="130"/>
      <c r="E67" s="130"/>
      <c r="F67" s="130"/>
      <c r="G67" s="130"/>
      <c r="H67" s="130"/>
      <c r="I67" s="130"/>
      <c r="J67" s="130"/>
      <c r="K67" s="130"/>
      <c r="L67" s="130"/>
      <c r="M67" s="130"/>
      <c r="N67" s="130"/>
      <c r="O67" s="130"/>
      <c r="P67" s="130"/>
      <c r="Q67" s="130"/>
      <c r="R67" s="130"/>
      <c r="S67" s="130"/>
    </row>
    <row r="68" spans="1:59" ht="14.1" customHeight="1">
      <c r="A68" s="46"/>
      <c r="B68" s="108" t="s">
        <v>236</v>
      </c>
      <c r="D68" s="30"/>
      <c r="E68" s="130"/>
      <c r="F68" s="130"/>
      <c r="G68" s="130"/>
      <c r="H68" s="130"/>
      <c r="I68" s="130"/>
      <c r="J68" s="130"/>
      <c r="K68" s="130"/>
      <c r="L68" s="130"/>
      <c r="M68" s="130"/>
      <c r="N68" s="130"/>
      <c r="O68" s="130"/>
      <c r="P68" s="130"/>
      <c r="Q68" s="130"/>
      <c r="R68" s="130"/>
      <c r="S68" s="130"/>
      <c r="U68" s="184"/>
      <c r="X68" s="108" t="s">
        <v>236</v>
      </c>
    </row>
    <row r="69" spans="1:59" ht="14.1" customHeight="1">
      <c r="A69" s="46"/>
      <c r="B69" s="46"/>
      <c r="C69" s="58" t="s">
        <v>237</v>
      </c>
      <c r="E69" s="110"/>
      <c r="F69" s="110"/>
      <c r="G69" s="110"/>
      <c r="H69" s="110"/>
      <c r="I69" s="110"/>
      <c r="J69" s="110"/>
      <c r="K69" s="110"/>
      <c r="L69" s="110"/>
      <c r="M69" s="110"/>
      <c r="N69" s="110"/>
      <c r="O69" s="110"/>
      <c r="P69" s="110"/>
      <c r="Q69" s="110"/>
      <c r="R69" s="110"/>
      <c r="S69" s="110"/>
      <c r="T69" s="110"/>
      <c r="U69" s="270"/>
    </row>
    <row r="70" spans="1:59" ht="14.1" customHeight="1">
      <c r="A70" s="46"/>
      <c r="B70" s="46"/>
      <c r="C70" s="58" t="s">
        <v>204</v>
      </c>
      <c r="E70" s="110"/>
      <c r="F70" s="110"/>
      <c r="G70" s="110"/>
      <c r="H70" s="110"/>
      <c r="I70" s="110"/>
      <c r="J70" s="110"/>
      <c r="K70" s="110"/>
      <c r="L70" s="110"/>
      <c r="M70" s="110"/>
      <c r="N70" s="110"/>
      <c r="O70" s="110"/>
      <c r="P70" s="110"/>
      <c r="Q70" s="110"/>
      <c r="R70" s="110"/>
      <c r="S70" s="110"/>
      <c r="T70" s="110"/>
      <c r="U70" s="271"/>
    </row>
    <row r="71" spans="1:59" ht="14.1" customHeight="1">
      <c r="A71" s="46"/>
      <c r="B71" s="46"/>
      <c r="C71" s="58" t="s">
        <v>205</v>
      </c>
      <c r="D71" s="51"/>
      <c r="E71" s="110"/>
      <c r="F71" s="110"/>
      <c r="G71" s="110"/>
      <c r="H71" s="110"/>
      <c r="I71" s="110"/>
      <c r="J71" s="110"/>
      <c r="K71" s="110"/>
      <c r="L71" s="110"/>
      <c r="M71" s="110"/>
      <c r="N71" s="110"/>
      <c r="O71" s="110"/>
      <c r="P71" s="110"/>
      <c r="Q71" s="110"/>
      <c r="R71" s="110"/>
      <c r="S71" s="110"/>
      <c r="T71" s="110"/>
      <c r="U71" s="272"/>
      <c r="X71" s="205" t="s">
        <v>238</v>
      </c>
      <c r="BG71" s="153"/>
    </row>
    <row r="72" spans="1:59" ht="14.1" customHeight="1" thickBot="1">
      <c r="B72" s="46"/>
      <c r="U72" s="2"/>
      <c r="X72" s="151" t="s">
        <v>223</v>
      </c>
    </row>
    <row r="73" spans="1:59" ht="14.1" customHeight="1">
      <c r="B73" s="46"/>
      <c r="C73" s="1236" t="s">
        <v>55</v>
      </c>
      <c r="D73" s="1237"/>
      <c r="E73" s="1237"/>
      <c r="F73" s="1260"/>
      <c r="G73" s="1237" t="s">
        <v>239</v>
      </c>
      <c r="H73" s="1237"/>
      <c r="I73" s="1237"/>
      <c r="J73" s="1237"/>
      <c r="K73" s="1237"/>
      <c r="L73" s="1237"/>
      <c r="M73" s="1237"/>
      <c r="N73" s="1237"/>
      <c r="O73" s="1237"/>
      <c r="P73" s="1237"/>
      <c r="Q73" s="1237"/>
      <c r="R73" s="1238"/>
      <c r="S73" s="1393" t="s">
        <v>56</v>
      </c>
      <c r="T73" s="1341" t="s">
        <v>207</v>
      </c>
      <c r="U73" s="2"/>
      <c r="X73" s="1365" t="s">
        <v>55</v>
      </c>
      <c r="Y73" s="1366"/>
      <c r="Z73" s="1395"/>
      <c r="AA73" s="1399" t="s">
        <v>212</v>
      </c>
      <c r="AB73" s="1397" t="s">
        <v>213</v>
      </c>
      <c r="AC73" s="1399" t="s">
        <v>214</v>
      </c>
    </row>
    <row r="74" spans="1:59" ht="14.1" customHeight="1" thickBot="1">
      <c r="B74" s="46"/>
      <c r="C74" s="1239"/>
      <c r="D74" s="1240"/>
      <c r="E74" s="1240"/>
      <c r="F74" s="1392"/>
      <c r="G74" s="1240"/>
      <c r="H74" s="1240"/>
      <c r="I74" s="1240"/>
      <c r="J74" s="1240"/>
      <c r="K74" s="1240"/>
      <c r="L74" s="1240"/>
      <c r="M74" s="1240"/>
      <c r="N74" s="1240"/>
      <c r="O74" s="1240"/>
      <c r="P74" s="1240"/>
      <c r="Q74" s="1240"/>
      <c r="R74" s="1241"/>
      <c r="S74" s="1394"/>
      <c r="T74" s="1342"/>
      <c r="U74" s="2"/>
      <c r="X74" s="1367"/>
      <c r="Y74" s="1368"/>
      <c r="Z74" s="1396"/>
      <c r="AA74" s="1400"/>
      <c r="AB74" s="1398"/>
      <c r="AC74" s="1400"/>
    </row>
    <row r="75" spans="1:59" ht="29.25" customHeight="1" thickTop="1" thickBot="1">
      <c r="B75" s="46"/>
      <c r="C75" s="1401" t="s">
        <v>240</v>
      </c>
      <c r="D75" s="1402"/>
      <c r="E75" s="1402"/>
      <c r="F75" s="1403"/>
      <c r="G75" s="1352" t="s">
        <v>241</v>
      </c>
      <c r="H75" s="1352"/>
      <c r="I75" s="1352"/>
      <c r="J75" s="1352"/>
      <c r="K75" s="1352"/>
      <c r="L75" s="1352"/>
      <c r="M75" s="1352"/>
      <c r="N75" s="1352"/>
      <c r="O75" s="1352"/>
      <c r="P75" s="1352"/>
      <c r="Q75" s="1352"/>
      <c r="R75" s="1404"/>
      <c r="S75" s="213"/>
      <c r="T75" s="214"/>
      <c r="U75" s="215"/>
      <c r="V75" s="153"/>
      <c r="X75" s="1362" t="s">
        <v>240</v>
      </c>
      <c r="Y75" s="1362"/>
      <c r="Z75" s="1362"/>
      <c r="AA75" s="224">
        <f>S75</f>
        <v>0</v>
      </c>
      <c r="AB75" s="273">
        <f>IF(AND(AA75&gt;0,AC75&gt;0),ROUND(AC75/AA75*45,2),)</f>
        <v>0</v>
      </c>
      <c r="AC75" s="224">
        <f>T75</f>
        <v>0</v>
      </c>
      <c r="AI75" s="74"/>
      <c r="AJ75" s="74"/>
      <c r="AK75" s="74"/>
      <c r="AL75" s="74"/>
      <c r="AM75" s="74"/>
      <c r="AN75" s="274"/>
      <c r="AO75" s="20"/>
      <c r="AP75" s="20"/>
      <c r="AQ75" s="20"/>
      <c r="AR75" s="20"/>
      <c r="AS75" s="20"/>
      <c r="AT75" s="20"/>
      <c r="AU75" s="20"/>
      <c r="AV75" s="20"/>
      <c r="AW75" s="275"/>
      <c r="AX75" s="275"/>
      <c r="AY75" s="275"/>
      <c r="AZ75" s="275"/>
      <c r="BA75" s="275"/>
      <c r="BB75" s="276"/>
    </row>
    <row r="76" spans="1:59" ht="29.25" customHeight="1" thickTop="1" thickBot="1">
      <c r="B76" s="46"/>
      <c r="C76" s="1390" t="s">
        <v>242</v>
      </c>
      <c r="D76" s="1391"/>
      <c r="E76" s="1391"/>
      <c r="F76" s="1386"/>
      <c r="G76" s="1388" t="s">
        <v>243</v>
      </c>
      <c r="H76" s="1388"/>
      <c r="I76" s="1388"/>
      <c r="J76" s="1388"/>
      <c r="K76" s="1388"/>
      <c r="L76" s="1388"/>
      <c r="M76" s="1388"/>
      <c r="N76" s="1388"/>
      <c r="O76" s="1388"/>
      <c r="P76" s="1388"/>
      <c r="Q76" s="1388"/>
      <c r="R76" s="1389"/>
      <c r="S76" s="268"/>
      <c r="T76" s="277"/>
      <c r="X76" s="1362" t="s">
        <v>224</v>
      </c>
      <c r="Y76" s="1362"/>
      <c r="Z76" s="1362"/>
      <c r="AA76" s="278">
        <f>S76</f>
        <v>0</v>
      </c>
      <c r="AB76" s="279"/>
      <c r="AC76" s="224">
        <f>ROUND(AA76/45*AB76,)</f>
        <v>0</v>
      </c>
    </row>
    <row r="77" spans="1:59" ht="30" customHeight="1"/>
    <row r="78" spans="1:59" ht="30" customHeight="1"/>
    <row r="79" spans="1:59" ht="30" customHeight="1"/>
    <row r="80" spans="1:59" ht="30" customHeight="1"/>
    <row r="81" ht="30" customHeight="1"/>
    <row r="82" ht="30" customHeight="1"/>
  </sheetData>
  <sheetProtection sheet="1" objects="1" scenarios="1" selectLockedCells="1"/>
  <mergeCells count="81">
    <mergeCell ref="AB73:AB74"/>
    <mergeCell ref="AC73:AC74"/>
    <mergeCell ref="C75:F75"/>
    <mergeCell ref="G75:R75"/>
    <mergeCell ref="X75:Z75"/>
    <mergeCell ref="AA73:AA74"/>
    <mergeCell ref="C76:F76"/>
    <mergeCell ref="G76:R76"/>
    <mergeCell ref="X76:Z76"/>
    <mergeCell ref="C73:F74"/>
    <mergeCell ref="G73:R74"/>
    <mergeCell ref="S73:S74"/>
    <mergeCell ref="T73:T74"/>
    <mergeCell ref="X73:Z74"/>
    <mergeCell ref="Y61:Z61"/>
    <mergeCell ref="C63:D65"/>
    <mergeCell ref="E63:F63"/>
    <mergeCell ref="G63:R63"/>
    <mergeCell ref="T63:T65"/>
    <mergeCell ref="E64:F64"/>
    <mergeCell ref="G64:R64"/>
    <mergeCell ref="E65:F65"/>
    <mergeCell ref="G65:R65"/>
    <mergeCell ref="Y56:Z56"/>
    <mergeCell ref="Y57:Z57"/>
    <mergeCell ref="Y58:Z58"/>
    <mergeCell ref="Y59:Z59"/>
    <mergeCell ref="Y60:Z60"/>
    <mergeCell ref="Y51:Z51"/>
    <mergeCell ref="Y52:Z52"/>
    <mergeCell ref="Y53:Z53"/>
    <mergeCell ref="Y54:Z54"/>
    <mergeCell ref="Y55:Z55"/>
    <mergeCell ref="Y43:Z43"/>
    <mergeCell ref="Y44:Z44"/>
    <mergeCell ref="Y45:Z45"/>
    <mergeCell ref="E46:F46"/>
    <mergeCell ref="G46:R50"/>
    <mergeCell ref="Y46:Z46"/>
    <mergeCell ref="X47:Z47"/>
    <mergeCell ref="Y42:Z42"/>
    <mergeCell ref="Y29:Z29"/>
    <mergeCell ref="E30:F30"/>
    <mergeCell ref="G30:R34"/>
    <mergeCell ref="X30:Z30"/>
    <mergeCell ref="X32:Z32"/>
    <mergeCell ref="X33:X46"/>
    <mergeCell ref="Y33:Z33"/>
    <mergeCell ref="Y34:Z34"/>
    <mergeCell ref="Y35:Z35"/>
    <mergeCell ref="Y36:Z36"/>
    <mergeCell ref="Y37:Z37"/>
    <mergeCell ref="Y38:Z38"/>
    <mergeCell ref="Y39:Z39"/>
    <mergeCell ref="Y40:Z40"/>
    <mergeCell ref="Y41:Z41"/>
    <mergeCell ref="Y28:Z28"/>
    <mergeCell ref="X14:Z14"/>
    <mergeCell ref="X15:X29"/>
    <mergeCell ref="Y15:Z15"/>
    <mergeCell ref="Y16:Z16"/>
    <mergeCell ref="Y17:Z17"/>
    <mergeCell ref="Y18:Z18"/>
    <mergeCell ref="Y19:Z19"/>
    <mergeCell ref="Y20:Z20"/>
    <mergeCell ref="Y21:Z21"/>
    <mergeCell ref="Y22:Z22"/>
    <mergeCell ref="Y23:Z23"/>
    <mergeCell ref="Y24:Z24"/>
    <mergeCell ref="Y25:Z25"/>
    <mergeCell ref="Y26:Z26"/>
    <mergeCell ref="Y27:Z27"/>
    <mergeCell ref="C12:F13"/>
    <mergeCell ref="G12:R13"/>
    <mergeCell ref="S12:S13"/>
    <mergeCell ref="T12:T13"/>
    <mergeCell ref="C14:D62"/>
    <mergeCell ref="E14:F14"/>
    <mergeCell ref="G14:R29"/>
    <mergeCell ref="E62:F62"/>
    <mergeCell ref="G62:R62"/>
  </mergeCells>
  <phoneticPr fontId="5"/>
  <dataValidations count="3">
    <dataValidation type="custom" operator="greaterThan" allowBlank="1" showInputMessage="1" showErrorMessage="1" error="0より大きい小数点第２位までの数値を入力してください。" sqref="AB33:AB46 AB76" xr:uid="{00000000-0002-0000-0600-000000000000}">
      <formula1>AND(AND(AB33*100=INT(AB33*100)),(AB33&gt;0))</formula1>
    </dataValidation>
    <dataValidation type="whole" operator="greaterThan" allowBlank="1" showInputMessage="1" showErrorMessage="1" error="0より大きい数値を整数で入力してください。" sqref="S14:T62 S63:S65 S75:S76 T75" xr:uid="{00000000-0002-0000-0600-000001000000}">
      <formula1>0</formula1>
    </dataValidation>
    <dataValidation type="textLength" imeMode="hiragana" operator="greaterThanOrEqual" allowBlank="1" showInputMessage="1" showErrorMessage="1" sqref="F31:F45 F15:F29 F47:F61" xr:uid="{00000000-0002-0000-0600-000002000000}">
      <formula1>1</formula1>
    </dataValidation>
  </dataValidations>
  <printOptions horizontalCentered="1"/>
  <pageMargins left="0.59055118110236227" right="0.59055118110236227" top="0.59055118110236227" bottom="0.59055118110236227" header="0" footer="0.19685039370078741"/>
  <pageSetup paperSize="9" scale="45" orientation="portrait" cellComments="asDisplayed" r:id="rId1"/>
  <headerFooter alignWithMargins="0"/>
  <drawing r:id="rId2"/>
  <legacyDrawing r:id="rId3"/>
  <controls>
    <mc:AlternateContent xmlns:mc="http://schemas.openxmlformats.org/markup-compatibility/2006">
      <mc:Choice Requires="x14">
        <control shapeId="23562" r:id="rId4" name="Label1">
          <controlPr defaultSize="0" print="0" autoLine="0" r:id="rId5">
            <anchor moveWithCells="1">
              <from>
                <xdr:col>11</xdr:col>
                <xdr:colOff>38100</xdr:colOff>
                <xdr:row>0</xdr:row>
                <xdr:rowOff>142875</xdr:rowOff>
              </from>
              <to>
                <xdr:col>14</xdr:col>
                <xdr:colOff>142875</xdr:colOff>
                <xdr:row>2</xdr:row>
                <xdr:rowOff>152400</xdr:rowOff>
              </to>
            </anchor>
          </controlPr>
        </control>
      </mc:Choice>
      <mc:Fallback>
        <control shapeId="23562" r:id="rId4" name="Label1"/>
      </mc:Fallback>
    </mc:AlternateContent>
    <mc:AlternateContent xmlns:mc="http://schemas.openxmlformats.org/markup-compatibility/2006">
      <mc:Choice Requires="x14">
        <control shapeId="23563" r:id="rId6" name="Label2">
          <controlPr defaultSize="0" print="0" autoLine="0" r:id="rId7">
            <anchor moveWithCells="1">
              <from>
                <xdr:col>11</xdr:col>
                <xdr:colOff>85725</xdr:colOff>
                <xdr:row>1</xdr:row>
                <xdr:rowOff>85725</xdr:rowOff>
              </from>
              <to>
                <xdr:col>14</xdr:col>
                <xdr:colOff>104775</xdr:colOff>
                <xdr:row>2</xdr:row>
                <xdr:rowOff>47625</xdr:rowOff>
              </to>
            </anchor>
          </controlPr>
        </control>
      </mc:Choice>
      <mc:Fallback>
        <control shapeId="23563" r:id="rId6" name="Label2"/>
      </mc:Fallback>
    </mc:AlternateContent>
    <mc:AlternateContent xmlns:mc="http://schemas.openxmlformats.org/markup-compatibility/2006">
      <mc:Choice Requires="x14">
        <control shapeId="23564" r:id="rId8" name="Label3">
          <controlPr defaultSize="0" print="0" autoLine="0" r:id="rId9">
            <anchor moveWithCells="1">
              <from>
                <xdr:col>14</xdr:col>
                <xdr:colOff>142875</xdr:colOff>
                <xdr:row>0</xdr:row>
                <xdr:rowOff>142875</xdr:rowOff>
              </from>
              <to>
                <xdr:col>18</xdr:col>
                <xdr:colOff>9525</xdr:colOff>
                <xdr:row>1</xdr:row>
                <xdr:rowOff>171450</xdr:rowOff>
              </to>
            </anchor>
          </controlPr>
        </control>
      </mc:Choice>
      <mc:Fallback>
        <control shapeId="23564" r:id="rId8" name="Label3"/>
      </mc:Fallback>
    </mc:AlternateContent>
    <mc:AlternateContent xmlns:mc="http://schemas.openxmlformats.org/markup-compatibility/2006">
      <mc:Choice Requires="x14">
        <control shapeId="23565" r:id="rId10" name="txt_hyouji1">
          <controlPr locked="0" defaultSize="0" print="0" autoLine="0" r:id="rId11">
            <anchor moveWithCells="1">
              <from>
                <xdr:col>14</xdr:col>
                <xdr:colOff>142875</xdr:colOff>
                <xdr:row>1</xdr:row>
                <xdr:rowOff>171450</xdr:rowOff>
              </from>
              <to>
                <xdr:col>18</xdr:col>
                <xdr:colOff>9525</xdr:colOff>
                <xdr:row>2</xdr:row>
                <xdr:rowOff>152400</xdr:rowOff>
              </to>
            </anchor>
          </controlPr>
        </control>
      </mc:Choice>
      <mc:Fallback>
        <control shapeId="23565" r:id="rId10" name="txt_hyouji1"/>
      </mc:Fallback>
    </mc:AlternateContent>
    <mc:AlternateContent xmlns:mc="http://schemas.openxmlformats.org/markup-compatibility/2006">
      <mc:Choice Requires="x14">
        <control shapeId="23566" r:id="rId12" name="btnKoushin1">
          <controlPr defaultSize="0" print="0" autoLine="0" autoPict="0" r:id="rId13">
            <anchor moveWithCells="1">
              <from>
                <xdr:col>19</xdr:col>
                <xdr:colOff>361950</xdr:colOff>
                <xdr:row>0</xdr:row>
                <xdr:rowOff>142875</xdr:rowOff>
              </from>
              <to>
                <xdr:col>20</xdr:col>
                <xdr:colOff>104775</xdr:colOff>
                <xdr:row>2</xdr:row>
                <xdr:rowOff>161925</xdr:rowOff>
              </to>
            </anchor>
          </controlPr>
        </control>
      </mc:Choice>
      <mc:Fallback>
        <control shapeId="23566" r:id="rId12" name="btnKoushin1"/>
      </mc:Fallback>
    </mc:AlternateContent>
    <mc:AlternateContent xmlns:mc="http://schemas.openxmlformats.org/markup-compatibility/2006">
      <mc:Choice Requires="x14">
        <control shapeId="23567" r:id="rId14" name="Label4">
          <controlPr defaultSize="0" print="0" autoLine="0" r:id="rId15">
            <anchor moveWithCells="1">
              <from>
                <xdr:col>18</xdr:col>
                <xdr:colOff>0</xdr:colOff>
                <xdr:row>0</xdr:row>
                <xdr:rowOff>142875</xdr:rowOff>
              </from>
              <to>
                <xdr:col>18</xdr:col>
                <xdr:colOff>723900</xdr:colOff>
                <xdr:row>1</xdr:row>
                <xdr:rowOff>171450</xdr:rowOff>
              </to>
            </anchor>
          </controlPr>
        </control>
      </mc:Choice>
      <mc:Fallback>
        <control shapeId="23567" r:id="rId14" name="Label4"/>
      </mc:Fallback>
    </mc:AlternateContent>
    <mc:AlternateContent xmlns:mc="http://schemas.openxmlformats.org/markup-compatibility/2006">
      <mc:Choice Requires="x14">
        <control shapeId="23568" r:id="rId16" name="txt_hyouji2">
          <controlPr locked="0" defaultSize="0" print="0" autoLine="0" r:id="rId17">
            <anchor moveWithCells="1">
              <from>
                <xdr:col>18</xdr:col>
                <xdr:colOff>0</xdr:colOff>
                <xdr:row>1</xdr:row>
                <xdr:rowOff>171450</xdr:rowOff>
              </from>
              <to>
                <xdr:col>18</xdr:col>
                <xdr:colOff>723900</xdr:colOff>
                <xdr:row>2</xdr:row>
                <xdr:rowOff>152400</xdr:rowOff>
              </to>
            </anchor>
          </controlPr>
        </control>
      </mc:Choice>
      <mc:Fallback>
        <control shapeId="23568" r:id="rId16" name="txt_hyouji2"/>
      </mc:Fallback>
    </mc:AlternateContent>
    <mc:AlternateContent xmlns:mc="http://schemas.openxmlformats.org/markup-compatibility/2006">
      <mc:Choice Requires="x14">
        <control shapeId="23569" r:id="rId18" name="Label5">
          <controlPr defaultSize="0" print="0" autoLine="0" r:id="rId19">
            <anchor moveWithCells="1">
              <from>
                <xdr:col>18</xdr:col>
                <xdr:colOff>723900</xdr:colOff>
                <xdr:row>0</xdr:row>
                <xdr:rowOff>142875</xdr:rowOff>
              </from>
              <to>
                <xdr:col>19</xdr:col>
                <xdr:colOff>247650</xdr:colOff>
                <xdr:row>1</xdr:row>
                <xdr:rowOff>171450</xdr:rowOff>
              </to>
            </anchor>
          </controlPr>
        </control>
      </mc:Choice>
      <mc:Fallback>
        <control shapeId="23569" r:id="rId18" name="Label5"/>
      </mc:Fallback>
    </mc:AlternateContent>
    <mc:AlternateContent xmlns:mc="http://schemas.openxmlformats.org/markup-compatibility/2006">
      <mc:Choice Requires="x14">
        <control shapeId="23570" r:id="rId20" name="txt_hyouji3">
          <controlPr locked="0" defaultSize="0" print="0" autoLine="0" r:id="rId21">
            <anchor moveWithCells="1">
              <from>
                <xdr:col>18</xdr:col>
                <xdr:colOff>723900</xdr:colOff>
                <xdr:row>1</xdr:row>
                <xdr:rowOff>171450</xdr:rowOff>
              </from>
              <to>
                <xdr:col>19</xdr:col>
                <xdr:colOff>247650</xdr:colOff>
                <xdr:row>2</xdr:row>
                <xdr:rowOff>152400</xdr:rowOff>
              </to>
            </anchor>
          </controlPr>
        </control>
      </mc:Choice>
      <mc:Fallback>
        <control shapeId="23570" r:id="rId20" name="txt_hyouji3"/>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6">
    <pageSetUpPr fitToPage="1"/>
  </sheetPr>
  <dimension ref="A2:Q46"/>
  <sheetViews>
    <sheetView showGridLines="0" view="pageBreakPreview" zoomScale="90" zoomScaleNormal="85" zoomScaleSheetLayoutView="90" workbookViewId="0">
      <selection activeCell="F6" sqref="F6"/>
    </sheetView>
  </sheetViews>
  <sheetFormatPr defaultColWidth="2.625" defaultRowHeight="14.25" customHeight="1"/>
  <cols>
    <col min="1" max="1" width="2.625" style="2" customWidth="1"/>
    <col min="2" max="5" width="1.25" style="2" customWidth="1"/>
    <col min="6" max="6" width="95.875" style="2" customWidth="1"/>
    <col min="7" max="41" width="2.625" style="2" customWidth="1"/>
    <col min="42" max="16384" width="2.625" style="2"/>
  </cols>
  <sheetData>
    <row r="2" spans="1:17" ht="14.25" customHeight="1" thickBot="1">
      <c r="A2" s="107"/>
    </row>
    <row r="3" spans="1:17" ht="18" customHeight="1" thickTop="1">
      <c r="B3" s="280"/>
      <c r="C3" s="281"/>
      <c r="D3" s="281"/>
      <c r="E3" s="281"/>
      <c r="F3" s="281"/>
      <c r="G3" s="282"/>
      <c r="H3" s="74"/>
      <c r="J3" s="74"/>
    </row>
    <row r="4" spans="1:17" ht="18" customHeight="1">
      <c r="A4" s="128"/>
      <c r="B4" s="283"/>
      <c r="C4" s="130"/>
      <c r="D4" s="130"/>
      <c r="E4" s="130"/>
      <c r="F4" s="130"/>
      <c r="G4" s="284"/>
    </row>
    <row r="5" spans="1:17" ht="18" customHeight="1">
      <c r="A5" s="203"/>
      <c r="B5" s="285"/>
      <c r="D5" s="146" t="s">
        <v>244</v>
      </c>
      <c r="E5" s="130"/>
      <c r="F5" s="130"/>
      <c r="G5" s="284"/>
      <c r="I5" s="30"/>
    </row>
    <row r="6" spans="1:17" ht="75" customHeight="1">
      <c r="B6" s="286"/>
      <c r="C6" s="144"/>
      <c r="F6" s="287"/>
      <c r="G6" s="288"/>
      <c r="H6" s="202"/>
      <c r="I6" s="30"/>
      <c r="J6" s="202"/>
      <c r="K6" s="202"/>
    </row>
    <row r="7" spans="1:17" ht="14.25" customHeight="1">
      <c r="B7" s="289"/>
      <c r="C7" s="145"/>
      <c r="D7" s="290"/>
      <c r="E7" s="290"/>
      <c r="F7" s="290"/>
      <c r="G7" s="291"/>
      <c r="H7" s="146"/>
      <c r="I7" s="30"/>
      <c r="J7" s="292"/>
      <c r="K7" s="292"/>
      <c r="L7" s="20"/>
      <c r="M7" s="20"/>
      <c r="N7" s="20"/>
      <c r="O7" s="20"/>
      <c r="P7" s="20"/>
      <c r="Q7" s="20"/>
    </row>
    <row r="8" spans="1:17" ht="14.25" customHeight="1">
      <c r="B8" s="293"/>
      <c r="C8" s="294"/>
      <c r="D8" s="295" t="s">
        <v>245</v>
      </c>
      <c r="E8" s="146"/>
      <c r="F8" s="146"/>
      <c r="G8" s="296"/>
      <c r="H8" s="210"/>
      <c r="I8" s="30"/>
      <c r="J8" s="276"/>
      <c r="K8" s="297"/>
      <c r="L8" s="297"/>
      <c r="M8" s="297"/>
      <c r="N8" s="297"/>
      <c r="O8" s="297"/>
      <c r="P8" s="297"/>
      <c r="Q8" s="297"/>
    </row>
    <row r="9" spans="1:17" ht="75" customHeight="1">
      <c r="B9" s="286"/>
      <c r="C9" s="144"/>
      <c r="F9" s="287"/>
      <c r="G9" s="288"/>
      <c r="H9" s="202"/>
      <c r="I9" s="30"/>
      <c r="J9" s="202"/>
      <c r="K9" s="202"/>
    </row>
    <row r="10" spans="1:17" ht="14.25" customHeight="1">
      <c r="B10" s="298"/>
      <c r="C10" s="294"/>
      <c r="G10" s="299"/>
      <c r="H10" s="20"/>
      <c r="J10" s="276"/>
      <c r="K10" s="276"/>
      <c r="L10" s="297"/>
      <c r="M10" s="297"/>
      <c r="N10" s="297"/>
      <c r="O10" s="297"/>
      <c r="P10" s="297"/>
      <c r="Q10" s="297"/>
    </row>
    <row r="11" spans="1:17" ht="14.25" customHeight="1">
      <c r="B11" s="298"/>
      <c r="C11" s="294"/>
      <c r="D11" s="295" t="s">
        <v>246</v>
      </c>
      <c r="G11" s="299"/>
      <c r="H11" s="20"/>
      <c r="J11" s="276"/>
      <c r="K11" s="276"/>
      <c r="L11" s="297"/>
      <c r="M11" s="297"/>
      <c r="N11" s="297"/>
      <c r="O11" s="297"/>
      <c r="P11" s="297"/>
      <c r="Q11" s="297"/>
    </row>
    <row r="12" spans="1:17" ht="14.25" customHeight="1">
      <c r="B12" s="298"/>
      <c r="C12" s="294"/>
      <c r="G12" s="299"/>
      <c r="H12" s="20"/>
      <c r="J12" s="276"/>
      <c r="K12" s="276"/>
      <c r="L12" s="297"/>
      <c r="M12" s="297"/>
      <c r="N12" s="297"/>
      <c r="O12" s="297"/>
      <c r="P12" s="297"/>
      <c r="Q12" s="297"/>
    </row>
    <row r="13" spans="1:17" ht="14.25" customHeight="1">
      <c r="B13" s="298"/>
      <c r="C13" s="294"/>
      <c r="D13" s="300" t="s">
        <v>247</v>
      </c>
      <c r="G13" s="299"/>
      <c r="H13" s="20"/>
      <c r="J13" s="276"/>
      <c r="K13" s="276"/>
      <c r="L13" s="297"/>
      <c r="M13" s="297"/>
      <c r="N13" s="297"/>
      <c r="O13" s="297"/>
      <c r="P13" s="297"/>
      <c r="Q13" s="297"/>
    </row>
    <row r="14" spans="1:17" ht="75" customHeight="1">
      <c r="B14" s="298"/>
      <c r="C14" s="294"/>
      <c r="D14" s="300"/>
      <c r="E14" s="146"/>
      <c r="F14" s="287"/>
      <c r="G14" s="299"/>
      <c r="H14" s="20"/>
      <c r="J14" s="301"/>
      <c r="K14" s="301"/>
      <c r="L14" s="302"/>
      <c r="M14" s="302"/>
      <c r="N14" s="302"/>
      <c r="O14" s="302"/>
      <c r="P14" s="302"/>
      <c r="Q14" s="297"/>
    </row>
    <row r="15" spans="1:17" ht="27.95" customHeight="1">
      <c r="B15" s="298"/>
      <c r="C15" s="294"/>
      <c r="D15" s="300" t="s">
        <v>248</v>
      </c>
      <c r="E15" s="303"/>
      <c r="F15" s="228"/>
      <c r="G15" s="304"/>
      <c r="H15" s="230"/>
      <c r="J15" s="302"/>
      <c r="K15" s="302"/>
      <c r="L15" s="302"/>
      <c r="M15" s="302"/>
      <c r="N15" s="302"/>
      <c r="O15" s="302"/>
      <c r="P15" s="302"/>
      <c r="Q15" s="297"/>
    </row>
    <row r="16" spans="1:17" ht="75.75" customHeight="1">
      <c r="B16" s="298"/>
      <c r="C16" s="294"/>
      <c r="E16" s="166"/>
      <c r="F16" s="287"/>
      <c r="G16" s="304"/>
      <c r="H16" s="230"/>
      <c r="J16" s="302"/>
      <c r="K16" s="302"/>
      <c r="L16" s="302"/>
      <c r="M16" s="302"/>
      <c r="N16" s="302"/>
      <c r="O16" s="302"/>
      <c r="P16" s="302"/>
      <c r="Q16" s="297"/>
    </row>
    <row r="17" spans="2:17" ht="27.95" customHeight="1">
      <c r="B17" s="298"/>
      <c r="C17" s="294"/>
      <c r="D17" s="300" t="s">
        <v>249</v>
      </c>
      <c r="E17" s="30"/>
      <c r="F17" s="30"/>
      <c r="G17" s="304"/>
      <c r="H17" s="230"/>
      <c r="J17" s="302"/>
      <c r="K17" s="302"/>
      <c r="L17" s="302"/>
      <c r="M17" s="302"/>
      <c r="N17" s="302"/>
      <c r="O17" s="302"/>
      <c r="P17" s="302"/>
      <c r="Q17" s="297"/>
    </row>
    <row r="18" spans="2:17" ht="75.75" customHeight="1">
      <c r="B18" s="293"/>
      <c r="C18" s="294"/>
      <c r="F18" s="287"/>
      <c r="G18" s="305"/>
      <c r="H18" s="266"/>
      <c r="J18" s="276"/>
      <c r="K18" s="297"/>
      <c r="L18" s="297"/>
      <c r="M18" s="297"/>
      <c r="N18" s="297"/>
      <c r="O18" s="297"/>
      <c r="P18" s="297"/>
      <c r="Q18" s="297"/>
    </row>
    <row r="19" spans="2:17" ht="27.95" hidden="1" customHeight="1">
      <c r="B19" s="298"/>
      <c r="C19" s="294"/>
      <c r="D19" s="306" t="s">
        <v>250</v>
      </c>
      <c r="E19" s="219"/>
      <c r="F19" s="146"/>
      <c r="G19" s="304"/>
      <c r="H19" s="230"/>
      <c r="J19" s="302"/>
      <c r="K19" s="302"/>
      <c r="L19" s="302"/>
      <c r="M19" s="302"/>
      <c r="N19" s="302"/>
      <c r="O19" s="302"/>
      <c r="P19" s="302"/>
      <c r="Q19" s="297"/>
    </row>
    <row r="20" spans="2:17" ht="75.75" hidden="1" customHeight="1">
      <c r="B20" s="298"/>
      <c r="C20" s="294"/>
      <c r="F20" s="287"/>
      <c r="G20" s="304"/>
      <c r="H20" s="230"/>
      <c r="J20" s="302"/>
      <c r="K20" s="302"/>
      <c r="L20" s="302"/>
      <c r="M20" s="302"/>
      <c r="N20" s="302"/>
      <c r="O20" s="302"/>
      <c r="P20" s="302"/>
      <c r="Q20" s="297"/>
    </row>
    <row r="21" spans="2:17" ht="14.25" customHeight="1" thickBot="1">
      <c r="B21" s="307"/>
      <c r="C21" s="144"/>
      <c r="D21" s="144"/>
      <c r="G21" s="284"/>
    </row>
    <row r="22" spans="2:17" ht="14.25" customHeight="1" thickTop="1">
      <c r="B22" s="308"/>
      <c r="C22" s="309"/>
      <c r="D22" s="308"/>
      <c r="E22" s="308"/>
      <c r="F22" s="308"/>
      <c r="G22" s="308"/>
      <c r="I22" s="30"/>
    </row>
    <row r="23" spans="2:17" ht="14.25" customHeight="1">
      <c r="C23" s="144"/>
      <c r="I23" s="30"/>
    </row>
    <row r="24" spans="2:17" ht="14.25" customHeight="1">
      <c r="C24" s="144"/>
      <c r="I24" s="30"/>
    </row>
    <row r="25" spans="2:17" ht="14.25" customHeight="1" thickBot="1">
      <c r="C25" s="144"/>
      <c r="D25" s="144"/>
      <c r="E25" s="144"/>
      <c r="F25" s="144"/>
    </row>
    <row r="26" spans="2:17" ht="14.25" customHeight="1" thickTop="1">
      <c r="B26" s="310"/>
      <c r="C26" s="311"/>
      <c r="D26" s="311"/>
      <c r="E26" s="311"/>
      <c r="F26" s="311"/>
      <c r="G26" s="312"/>
    </row>
    <row r="27" spans="2:17" ht="174" customHeight="1">
      <c r="B27" s="313"/>
      <c r="F27" s="287"/>
      <c r="G27" s="314"/>
      <c r="J27" s="173"/>
      <c r="K27" s="173"/>
      <c r="L27" s="173"/>
      <c r="M27" s="173"/>
    </row>
    <row r="28" spans="2:17" ht="14.25" customHeight="1" thickBot="1">
      <c r="B28" s="315"/>
      <c r="C28" s="316"/>
      <c r="D28" s="316"/>
      <c r="E28" s="316"/>
      <c r="F28" s="316"/>
      <c r="G28" s="317"/>
    </row>
    <row r="29" spans="2:17" ht="14.25" customHeight="1" thickTop="1"/>
    <row r="35" spans="2:3" ht="21" customHeight="1"/>
    <row r="36" spans="2:3" ht="21" customHeight="1"/>
    <row r="37" spans="2:3" ht="21" customHeight="1"/>
    <row r="38" spans="2:3" ht="21" customHeight="1"/>
    <row r="39" spans="2:3" ht="21" customHeight="1"/>
    <row r="46" spans="2:3" ht="14.25" customHeight="1">
      <c r="B46" s="318"/>
      <c r="C46" s="319"/>
    </row>
  </sheetData>
  <sheetProtection sheet="1" objects="1" scenarios="1" selectLockedCells="1"/>
  <phoneticPr fontId="5"/>
  <dataValidations count="2">
    <dataValidation type="textLength" imeMode="hiragana" operator="greaterThanOrEqual" allowBlank="1" showInputMessage="1" showErrorMessage="1" sqref="F6 F9 F14 F16 F18 F20 F27" xr:uid="{00000000-0002-0000-0700-000000000000}">
      <formula1>1</formula1>
    </dataValidation>
    <dataValidation type="textLength" allowBlank="1" showInputMessage="1" showErrorMessage="1" sqref="F19" xr:uid="{00000000-0002-0000-0700-000001000000}">
      <formula1>1</formula1>
      <formula2>190</formula2>
    </dataValidation>
  </dataValidations>
  <pageMargins left="0.59055118110236227" right="0.59055118110236227" top="0.59055118110236227" bottom="0.59055118110236227" header="0" footer="0"/>
  <pageSetup paperSize="9" scale="88" orientation="portrait" cellComments="asDisplayed" r:id="rId1"/>
  <headerFooter alignWithMargins="0"/>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1">
    <outlinePr summaryBelow="0"/>
    <pageSetUpPr fitToPage="1"/>
  </sheetPr>
  <dimension ref="A1:AJ92"/>
  <sheetViews>
    <sheetView showGridLines="0" zoomScale="80" zoomScaleNormal="80" zoomScaleSheetLayoutView="90" workbookViewId="0">
      <selection activeCell="I16" sqref="I16"/>
    </sheetView>
  </sheetViews>
  <sheetFormatPr defaultColWidth="2.625" defaultRowHeight="14.25" customHeight="1" outlineLevelRow="1" outlineLevelCol="1"/>
  <cols>
    <col min="1" max="5" width="2.625" style="2" customWidth="1"/>
    <col min="6" max="7" width="17.375" style="2" customWidth="1"/>
    <col min="8" max="8" width="5.125" style="2" customWidth="1"/>
    <col min="9" max="9" width="20" style="2" customWidth="1"/>
    <col min="10" max="20" width="2.625" style="2" customWidth="1"/>
    <col min="21" max="21" width="11.125" style="2" customWidth="1" outlineLevel="1"/>
    <col min="22" max="22" width="2.625" style="2" customWidth="1" outlineLevel="1"/>
    <col min="23" max="23" width="4.375" style="144" customWidth="1" outlineLevel="1"/>
    <col min="24" max="25" width="17.375" style="144" customWidth="1" outlineLevel="1"/>
    <col min="26" max="26" width="5" style="144" customWidth="1" outlineLevel="1"/>
    <col min="27" max="27" width="14.25" style="144" customWidth="1" outlineLevel="1"/>
    <col min="28" max="28" width="5" style="144" customWidth="1" outlineLevel="1"/>
    <col min="29" max="29" width="17.375" style="144" customWidth="1" outlineLevel="1"/>
    <col min="30" max="36" width="2.625" style="144" customWidth="1"/>
    <col min="37" max="39" width="2.625" style="2" customWidth="1"/>
    <col min="40" max="16384" width="2.625" style="2"/>
  </cols>
  <sheetData>
    <row r="1" spans="1:36" ht="14.25" customHeight="1">
      <c r="V1" s="320" t="s">
        <v>0</v>
      </c>
    </row>
    <row r="2" spans="1:36" ht="14.25" customHeight="1">
      <c r="B2" s="107" t="s">
        <v>251</v>
      </c>
      <c r="V2" s="107" t="s">
        <v>251</v>
      </c>
      <c r="W2" s="2"/>
    </row>
    <row r="3" spans="1:36" ht="18" customHeight="1">
      <c r="C3" s="48"/>
      <c r="D3" s="48"/>
      <c r="E3" s="48"/>
      <c r="F3" s="48"/>
      <c r="G3" s="48"/>
      <c r="H3" s="48"/>
      <c r="I3" s="48"/>
      <c r="R3" s="74"/>
      <c r="S3" s="74"/>
      <c r="T3" s="74"/>
      <c r="U3" s="74"/>
      <c r="W3" s="48"/>
    </row>
    <row r="4" spans="1:36" ht="18" customHeight="1">
      <c r="B4" s="108" t="s">
        <v>252</v>
      </c>
      <c r="C4" s="48"/>
      <c r="D4" s="48"/>
      <c r="E4" s="48"/>
      <c r="F4" s="48"/>
      <c r="G4" s="48"/>
      <c r="H4" s="48"/>
      <c r="I4" s="48"/>
      <c r="V4" s="108" t="s">
        <v>252</v>
      </c>
      <c r="W4" s="48"/>
    </row>
    <row r="5" spans="1:36" ht="18" customHeight="1">
      <c r="A5" s="30"/>
      <c r="B5" s="68"/>
      <c r="C5" s="58" t="s">
        <v>253</v>
      </c>
      <c r="D5" s="58"/>
      <c r="E5" s="58"/>
      <c r="F5" s="58"/>
      <c r="G5" s="58"/>
      <c r="H5" s="58"/>
      <c r="I5" s="58"/>
      <c r="J5" s="30"/>
      <c r="K5" s="30"/>
      <c r="L5" s="30"/>
      <c r="M5" s="30"/>
      <c r="N5" s="30"/>
      <c r="O5" s="30"/>
      <c r="P5" s="321"/>
      <c r="Q5" s="321"/>
    </row>
    <row r="6" spans="1:36" ht="14.25" customHeight="1">
      <c r="A6" s="30"/>
      <c r="B6" s="68"/>
      <c r="C6" s="58" t="s">
        <v>254</v>
      </c>
      <c r="D6" s="58"/>
      <c r="E6" s="58"/>
      <c r="F6" s="58"/>
      <c r="G6" s="58"/>
      <c r="H6" s="58"/>
      <c r="I6" s="58"/>
      <c r="J6" s="30"/>
      <c r="K6" s="30"/>
      <c r="L6" s="30"/>
      <c r="M6" s="30"/>
      <c r="N6" s="30"/>
      <c r="O6" s="30"/>
      <c r="P6" s="30"/>
      <c r="Q6" s="30"/>
      <c r="R6" s="166"/>
      <c r="S6" s="166"/>
      <c r="T6" s="202"/>
      <c r="U6" s="202"/>
      <c r="V6" s="202"/>
    </row>
    <row r="7" spans="1:36" s="166" customFormat="1" ht="14.25" customHeight="1">
      <c r="A7" s="30"/>
      <c r="B7" s="68"/>
      <c r="C7" s="58" t="s">
        <v>255</v>
      </c>
      <c r="D7" s="58"/>
      <c r="E7" s="58"/>
      <c r="F7" s="58"/>
      <c r="G7" s="58"/>
      <c r="H7" s="58"/>
      <c r="I7" s="58"/>
      <c r="J7" s="30"/>
      <c r="K7" s="30"/>
      <c r="L7" s="30"/>
      <c r="M7" s="30"/>
      <c r="N7" s="30"/>
      <c r="O7" s="30"/>
      <c r="P7" s="30"/>
      <c r="Q7" s="30"/>
      <c r="R7" s="292"/>
      <c r="S7" s="292"/>
      <c r="W7" s="148"/>
      <c r="X7" s="148"/>
      <c r="Y7" s="148"/>
      <c r="Z7" s="148"/>
      <c r="AA7" s="148"/>
      <c r="AB7" s="148"/>
      <c r="AC7" s="148"/>
      <c r="AD7" s="148"/>
      <c r="AE7" s="148"/>
      <c r="AF7" s="148"/>
      <c r="AG7" s="148"/>
      <c r="AH7" s="148"/>
      <c r="AI7" s="148"/>
      <c r="AJ7" s="148"/>
    </row>
    <row r="8" spans="1:36" s="166" customFormat="1" ht="14.25" hidden="1" customHeight="1">
      <c r="A8" s="30"/>
      <c r="B8" s="68"/>
      <c r="C8" s="58"/>
      <c r="D8" s="58"/>
      <c r="E8" s="58"/>
      <c r="F8" s="58"/>
      <c r="G8" s="58"/>
      <c r="H8" s="58"/>
      <c r="I8" s="58"/>
      <c r="J8" s="30"/>
      <c r="K8" s="30"/>
      <c r="L8" s="30"/>
      <c r="M8" s="30"/>
      <c r="N8" s="30"/>
      <c r="O8" s="30"/>
      <c r="P8" s="30"/>
      <c r="Q8" s="30"/>
      <c r="R8" s="292"/>
      <c r="S8" s="292"/>
      <c r="W8" s="148"/>
      <c r="X8" s="148"/>
      <c r="Y8" s="148"/>
      <c r="Z8" s="148"/>
      <c r="AA8" s="148"/>
      <c r="AB8" s="148"/>
      <c r="AC8" s="148"/>
      <c r="AD8" s="148"/>
      <c r="AE8" s="148"/>
      <c r="AF8" s="148"/>
      <c r="AG8" s="148"/>
      <c r="AH8" s="148"/>
      <c r="AI8" s="148"/>
      <c r="AJ8" s="148"/>
    </row>
    <row r="9" spans="1:36" s="166" customFormat="1" ht="14.25" customHeight="1">
      <c r="A9" s="30"/>
      <c r="B9" s="68"/>
      <c r="C9" s="58"/>
      <c r="D9" s="58"/>
      <c r="E9" s="58"/>
      <c r="F9" s="58"/>
      <c r="G9" s="58"/>
      <c r="H9" s="58"/>
      <c r="I9" s="58"/>
      <c r="J9" s="30"/>
      <c r="K9" s="30"/>
      <c r="L9" s="30"/>
      <c r="M9" s="30"/>
      <c r="N9" s="30"/>
      <c r="O9" s="30"/>
      <c r="P9" s="30"/>
      <c r="Q9" s="30"/>
      <c r="R9" s="292"/>
      <c r="S9" s="292"/>
      <c r="W9" s="148"/>
      <c r="X9" s="148"/>
      <c r="Y9" s="148"/>
      <c r="Z9" s="148"/>
      <c r="AA9" s="148"/>
      <c r="AB9" s="148"/>
      <c r="AC9" s="148"/>
      <c r="AD9" s="148"/>
      <c r="AE9" s="148"/>
      <c r="AF9" s="148"/>
      <c r="AG9" s="148"/>
      <c r="AH9" s="148"/>
      <c r="AI9" s="148"/>
      <c r="AJ9" s="148"/>
    </row>
    <row r="10" spans="1:36" ht="14.25" customHeight="1">
      <c r="A10" s="30"/>
      <c r="B10" s="68"/>
      <c r="C10" s="58"/>
      <c r="D10" s="58"/>
      <c r="E10" s="58"/>
      <c r="F10" s="58"/>
      <c r="G10" s="58"/>
      <c r="H10" s="58"/>
      <c r="I10" s="58"/>
      <c r="J10" s="30"/>
      <c r="K10" s="30"/>
      <c r="L10" s="30"/>
      <c r="M10" s="30"/>
      <c r="N10" s="30"/>
      <c r="O10" s="30"/>
      <c r="P10" s="30"/>
      <c r="Q10" s="30"/>
      <c r="R10" s="276"/>
      <c r="S10" s="276"/>
      <c r="T10" s="276"/>
      <c r="U10" s="276"/>
      <c r="V10" s="297"/>
    </row>
    <row r="11" spans="1:36" ht="14.25" customHeight="1">
      <c r="A11" s="30"/>
      <c r="B11" s="68"/>
      <c r="C11" s="128" t="s">
        <v>256</v>
      </c>
      <c r="D11" s="58"/>
      <c r="E11" s="58"/>
      <c r="F11" s="58"/>
      <c r="G11" s="58"/>
      <c r="H11" s="58"/>
      <c r="I11" s="58"/>
      <c r="J11" s="30"/>
      <c r="K11" s="30"/>
      <c r="L11" s="30"/>
      <c r="M11" s="30"/>
      <c r="N11" s="30"/>
      <c r="O11" s="30"/>
      <c r="P11" s="30"/>
      <c r="Q11" s="30"/>
      <c r="R11" s="276"/>
      <c r="S11" s="276"/>
      <c r="T11" s="276"/>
      <c r="U11" s="276"/>
      <c r="V11" s="276"/>
      <c r="W11" s="128" t="s">
        <v>257</v>
      </c>
      <c r="X11" s="322"/>
      <c r="Y11" s="322"/>
      <c r="Z11" s="322"/>
      <c r="AA11" s="322"/>
      <c r="AB11" s="322"/>
    </row>
    <row r="12" spans="1:36" ht="18" customHeight="1" thickBot="1">
      <c r="A12" s="30"/>
      <c r="B12" s="68"/>
      <c r="C12" s="128"/>
      <c r="D12" s="58"/>
      <c r="E12" s="58"/>
      <c r="F12" s="58"/>
      <c r="G12" s="58"/>
      <c r="H12" s="58"/>
      <c r="I12" s="58"/>
      <c r="J12" s="30"/>
      <c r="K12" s="30"/>
      <c r="L12" s="30"/>
      <c r="M12" s="30"/>
      <c r="N12" s="30"/>
      <c r="O12" s="30"/>
      <c r="P12" s="30"/>
      <c r="Q12" s="30"/>
      <c r="R12" s="276"/>
      <c r="S12" s="276"/>
      <c r="T12" s="276"/>
      <c r="U12" s="276"/>
      <c r="V12" s="276"/>
      <c r="W12" s="322"/>
      <c r="X12" s="322"/>
      <c r="Y12" s="322"/>
      <c r="Z12" s="322"/>
      <c r="AA12" s="322"/>
      <c r="AB12" s="322"/>
    </row>
    <row r="13" spans="1:36" ht="14.25" customHeight="1">
      <c r="C13" s="323"/>
      <c r="D13" s="1236" t="s">
        <v>258</v>
      </c>
      <c r="E13" s="1237"/>
      <c r="F13" s="1260"/>
      <c r="G13" s="1237" t="s">
        <v>161</v>
      </c>
      <c r="H13" s="324"/>
      <c r="I13" s="1341" t="s">
        <v>259</v>
      </c>
      <c r="R13" s="276"/>
      <c r="S13" s="276"/>
      <c r="T13" s="276"/>
      <c r="U13" s="276"/>
      <c r="V13" s="276"/>
      <c r="W13" s="322"/>
      <c r="X13" s="322"/>
      <c r="Y13" s="322"/>
      <c r="Z13" s="322"/>
      <c r="AA13" s="322"/>
      <c r="AB13" s="322"/>
    </row>
    <row r="14" spans="1:36" ht="14.25" customHeight="1">
      <c r="C14" s="323"/>
      <c r="D14" s="1405"/>
      <c r="E14" s="1406"/>
      <c r="F14" s="1407"/>
      <c r="G14" s="1406"/>
      <c r="H14" s="1410" t="s">
        <v>162</v>
      </c>
      <c r="I14" s="1408"/>
      <c r="R14" s="276"/>
      <c r="S14" s="276"/>
      <c r="T14" s="276"/>
      <c r="U14" s="276"/>
      <c r="V14" s="276"/>
      <c r="W14" s="322"/>
      <c r="X14" s="322"/>
      <c r="Y14" s="322"/>
      <c r="Z14" s="322"/>
      <c r="AA14" s="322"/>
      <c r="AB14" s="322"/>
    </row>
    <row r="15" spans="1:36" ht="14.25" customHeight="1" thickBot="1">
      <c r="D15" s="1239"/>
      <c r="E15" s="1240"/>
      <c r="F15" s="1392"/>
      <c r="G15" s="1406"/>
      <c r="H15" s="1411"/>
      <c r="I15" s="1409"/>
      <c r="R15" s="276"/>
      <c r="S15" s="276"/>
      <c r="T15" s="276"/>
      <c r="U15" s="276"/>
      <c r="V15" s="276"/>
    </row>
    <row r="16" spans="1:36" ht="30" customHeight="1" thickTop="1" thickBot="1">
      <c r="D16" s="1412" t="s">
        <v>260</v>
      </c>
      <c r="E16" s="1413"/>
      <c r="F16" s="325" t="s">
        <v>261</v>
      </c>
      <c r="G16" s="326"/>
      <c r="H16" s="327" t="s">
        <v>262</v>
      </c>
      <c r="I16" s="328"/>
      <c r="J16" s="329"/>
      <c r="K16" s="173"/>
      <c r="L16" s="173"/>
      <c r="M16" s="173"/>
      <c r="R16" s="276"/>
      <c r="S16" s="276"/>
      <c r="T16" s="276"/>
      <c r="U16" s="276"/>
      <c r="V16" s="276"/>
      <c r="W16" s="1362" t="s">
        <v>263</v>
      </c>
      <c r="X16" s="1362"/>
      <c r="Y16" s="1420"/>
      <c r="Z16" s="1421"/>
      <c r="AA16" s="1420"/>
      <c r="AB16" s="1421"/>
      <c r="AC16" s="216" t="s">
        <v>214</v>
      </c>
    </row>
    <row r="17" spans="4:29" ht="30" customHeight="1" thickTop="1">
      <c r="D17" s="1414"/>
      <c r="E17" s="1415"/>
      <c r="F17" s="330"/>
      <c r="G17" s="331"/>
      <c r="H17" s="332"/>
      <c r="I17" s="333"/>
      <c r="J17" s="334"/>
      <c r="K17" s="173"/>
      <c r="L17" s="173"/>
      <c r="M17" s="173"/>
      <c r="N17" s="173"/>
      <c r="O17" s="173"/>
      <c r="P17" s="173"/>
      <c r="Q17" s="173"/>
      <c r="R17" s="301"/>
      <c r="S17" s="301"/>
      <c r="T17" s="301"/>
      <c r="U17" s="301"/>
      <c r="V17" s="301"/>
      <c r="W17" s="1362" t="s">
        <v>264</v>
      </c>
      <c r="X17" s="1362"/>
      <c r="Y17" s="1420"/>
      <c r="Z17" s="1421"/>
      <c r="AA17" s="1420"/>
      <c r="AB17" s="1421"/>
      <c r="AC17" s="335">
        <f>IF(OR(I16="",I16=0),SUM(I17:I31),I16)</f>
        <v>0</v>
      </c>
    </row>
    <row r="18" spans="4:29" ht="30" customHeight="1">
      <c r="D18" s="1414"/>
      <c r="E18" s="1415"/>
      <c r="F18" s="330"/>
      <c r="G18" s="336"/>
      <c r="H18" s="332"/>
      <c r="I18" s="337"/>
      <c r="J18" s="198"/>
      <c r="K18" s="173"/>
      <c r="L18" s="173"/>
      <c r="M18" s="173"/>
      <c r="N18" s="173"/>
      <c r="O18" s="173"/>
      <c r="P18" s="173"/>
      <c r="Q18" s="173"/>
      <c r="R18" s="302"/>
      <c r="S18" s="302"/>
      <c r="T18" s="302"/>
      <c r="U18" s="302"/>
      <c r="V18" s="302"/>
      <c r="W18" s="2"/>
      <c r="Y18" s="320"/>
      <c r="Z18" s="320"/>
      <c r="AA18" s="320"/>
      <c r="AB18" s="320"/>
    </row>
    <row r="19" spans="4:29" ht="30" customHeight="1">
      <c r="D19" s="1414"/>
      <c r="E19" s="1415"/>
      <c r="F19" s="330"/>
      <c r="G19" s="336"/>
      <c r="H19" s="332"/>
      <c r="I19" s="337"/>
      <c r="J19" s="198"/>
      <c r="K19" s="173"/>
      <c r="L19" s="173"/>
      <c r="M19" s="173"/>
      <c r="N19" s="173"/>
      <c r="O19" s="173"/>
      <c r="P19" s="173"/>
      <c r="Q19" s="173"/>
      <c r="R19" s="302"/>
      <c r="S19" s="302"/>
      <c r="T19" s="302"/>
      <c r="U19" s="302"/>
      <c r="V19" s="302"/>
      <c r="W19" s="320"/>
      <c r="Y19" s="152"/>
      <c r="Z19" s="152"/>
      <c r="AA19" s="152"/>
      <c r="AB19" s="152"/>
    </row>
    <row r="20" spans="4:29" ht="30" customHeight="1" collapsed="1" thickBot="1">
      <c r="D20" s="1414"/>
      <c r="E20" s="1415"/>
      <c r="F20" s="330"/>
      <c r="G20" s="336"/>
      <c r="H20" s="332"/>
      <c r="I20" s="337"/>
      <c r="J20" s="198"/>
      <c r="K20" s="173"/>
      <c r="L20" s="173"/>
      <c r="M20" s="173"/>
      <c r="N20" s="173"/>
      <c r="O20" s="173"/>
      <c r="P20" s="173"/>
      <c r="Q20" s="173"/>
      <c r="R20" s="302"/>
      <c r="S20" s="302"/>
      <c r="T20" s="302"/>
      <c r="U20" s="302"/>
      <c r="V20" s="302"/>
      <c r="W20" s="320"/>
      <c r="Y20" s="152"/>
      <c r="Z20" s="152"/>
      <c r="AA20" s="152"/>
      <c r="AB20" s="152"/>
    </row>
    <row r="21" spans="4:29" ht="30" hidden="1" customHeight="1" outlineLevel="1">
      <c r="D21" s="1414"/>
      <c r="E21" s="1415"/>
      <c r="F21" s="330"/>
      <c r="G21" s="336"/>
      <c r="H21" s="332"/>
      <c r="I21" s="337"/>
      <c r="J21" s="198"/>
      <c r="K21" s="173"/>
      <c r="L21" s="173"/>
      <c r="M21" s="173"/>
      <c r="N21" s="173"/>
      <c r="O21" s="173"/>
      <c r="P21" s="173"/>
      <c r="Q21" s="173"/>
      <c r="R21" s="302"/>
      <c r="S21" s="302"/>
      <c r="T21" s="302"/>
      <c r="U21" s="302"/>
      <c r="V21" s="302"/>
      <c r="W21" s="320"/>
      <c r="Y21" s="152"/>
      <c r="Z21" s="152"/>
      <c r="AA21" s="152"/>
      <c r="AB21" s="152"/>
    </row>
    <row r="22" spans="4:29" ht="30" hidden="1" customHeight="1" outlineLevel="1">
      <c r="D22" s="1414"/>
      <c r="E22" s="1415"/>
      <c r="F22" s="330"/>
      <c r="G22" s="336"/>
      <c r="H22" s="332"/>
      <c r="I22" s="337"/>
      <c r="J22" s="198"/>
      <c r="K22" s="173"/>
      <c r="L22" s="173"/>
      <c r="M22" s="173"/>
      <c r="N22" s="173"/>
      <c r="O22" s="173"/>
      <c r="P22" s="173"/>
      <c r="Q22" s="173"/>
      <c r="R22" s="302"/>
      <c r="S22" s="302"/>
      <c r="T22" s="302"/>
      <c r="U22" s="302"/>
      <c r="V22" s="302"/>
      <c r="W22" s="320"/>
      <c r="Y22" s="152"/>
      <c r="Z22" s="152"/>
      <c r="AA22" s="152"/>
      <c r="AB22" s="152"/>
    </row>
    <row r="23" spans="4:29" ht="30" hidden="1" customHeight="1" outlineLevel="1">
      <c r="D23" s="1414"/>
      <c r="E23" s="1415"/>
      <c r="F23" s="330"/>
      <c r="G23" s="336"/>
      <c r="H23" s="332"/>
      <c r="I23" s="337"/>
      <c r="J23" s="198"/>
      <c r="K23" s="173"/>
      <c r="L23" s="173"/>
      <c r="M23" s="173"/>
      <c r="N23" s="173"/>
      <c r="O23" s="173"/>
      <c r="P23" s="173"/>
      <c r="Q23" s="173"/>
      <c r="R23" s="302"/>
      <c r="S23" s="302"/>
      <c r="T23" s="302"/>
      <c r="U23" s="302"/>
      <c r="V23" s="302"/>
      <c r="W23" s="320"/>
      <c r="Y23" s="152"/>
      <c r="Z23" s="152"/>
      <c r="AA23" s="152"/>
      <c r="AB23" s="152"/>
    </row>
    <row r="24" spans="4:29" ht="30" hidden="1" customHeight="1" outlineLevel="1">
      <c r="D24" s="1414"/>
      <c r="E24" s="1415"/>
      <c r="F24" s="330"/>
      <c r="G24" s="336"/>
      <c r="H24" s="332"/>
      <c r="I24" s="337"/>
      <c r="J24" s="198"/>
      <c r="K24" s="173"/>
      <c r="L24" s="173"/>
      <c r="M24" s="173"/>
      <c r="N24" s="173"/>
      <c r="O24" s="173"/>
      <c r="P24" s="173"/>
      <c r="Q24" s="173"/>
      <c r="R24" s="302"/>
      <c r="S24" s="302"/>
      <c r="T24" s="302"/>
      <c r="U24" s="302"/>
      <c r="V24" s="302"/>
      <c r="W24" s="320"/>
      <c r="Y24" s="152"/>
      <c r="Z24" s="152"/>
      <c r="AA24" s="152"/>
      <c r="AB24" s="152"/>
    </row>
    <row r="25" spans="4:29" ht="30" hidden="1" customHeight="1" outlineLevel="1">
      <c r="D25" s="1414"/>
      <c r="E25" s="1415"/>
      <c r="F25" s="330"/>
      <c r="G25" s="336"/>
      <c r="H25" s="332"/>
      <c r="I25" s="337"/>
      <c r="J25" s="198"/>
      <c r="K25" s="173"/>
      <c r="L25" s="173"/>
      <c r="M25" s="173"/>
      <c r="N25" s="173"/>
      <c r="O25" s="173"/>
      <c r="P25" s="173"/>
      <c r="Q25" s="173"/>
      <c r="R25" s="302"/>
      <c r="S25" s="302"/>
      <c r="T25" s="302"/>
      <c r="U25" s="302"/>
      <c r="V25" s="302"/>
      <c r="W25" s="320"/>
      <c r="Y25" s="152"/>
      <c r="Z25" s="152"/>
      <c r="AA25" s="152"/>
      <c r="AB25" s="152"/>
    </row>
    <row r="26" spans="4:29" ht="30" hidden="1" customHeight="1" outlineLevel="1">
      <c r="D26" s="1414"/>
      <c r="E26" s="1415"/>
      <c r="F26" s="330"/>
      <c r="G26" s="336"/>
      <c r="H26" s="332"/>
      <c r="I26" s="337"/>
      <c r="J26" s="198"/>
      <c r="K26" s="173"/>
      <c r="L26" s="173"/>
      <c r="M26" s="173"/>
      <c r="N26" s="173"/>
      <c r="O26" s="173"/>
      <c r="P26" s="173"/>
      <c r="Q26" s="173"/>
      <c r="R26" s="302"/>
      <c r="S26" s="302"/>
      <c r="T26" s="302"/>
      <c r="U26" s="302"/>
      <c r="V26" s="302"/>
      <c r="W26" s="320"/>
      <c r="Y26" s="152"/>
      <c r="Z26" s="152"/>
      <c r="AA26" s="152"/>
      <c r="AB26" s="152"/>
    </row>
    <row r="27" spans="4:29" ht="30" hidden="1" customHeight="1" outlineLevel="1">
      <c r="D27" s="1414"/>
      <c r="E27" s="1415"/>
      <c r="F27" s="330"/>
      <c r="G27" s="336"/>
      <c r="H27" s="332"/>
      <c r="I27" s="337"/>
      <c r="J27" s="198"/>
      <c r="K27" s="173"/>
      <c r="L27" s="173"/>
      <c r="M27" s="173"/>
      <c r="N27" s="173"/>
      <c r="O27" s="173"/>
      <c r="P27" s="173"/>
      <c r="Q27" s="173"/>
      <c r="R27" s="302"/>
      <c r="S27" s="302"/>
      <c r="T27" s="302"/>
      <c r="U27" s="302"/>
      <c r="V27" s="302"/>
      <c r="W27" s="320"/>
      <c r="Y27" s="152"/>
      <c r="Z27" s="152"/>
      <c r="AA27" s="152"/>
      <c r="AB27" s="152"/>
    </row>
    <row r="28" spans="4:29" ht="30" hidden="1" customHeight="1" outlineLevel="1">
      <c r="D28" s="1414"/>
      <c r="E28" s="1415"/>
      <c r="F28" s="330"/>
      <c r="G28" s="336"/>
      <c r="H28" s="332"/>
      <c r="I28" s="337"/>
      <c r="J28" s="198"/>
      <c r="K28" s="173"/>
      <c r="L28" s="173"/>
      <c r="M28" s="173"/>
      <c r="N28" s="173"/>
      <c r="O28" s="173"/>
      <c r="P28" s="173"/>
      <c r="Q28" s="173"/>
      <c r="R28" s="302"/>
      <c r="S28" s="302"/>
      <c r="T28" s="302"/>
      <c r="U28" s="302"/>
      <c r="V28" s="302"/>
      <c r="W28" s="320"/>
      <c r="Y28" s="152"/>
      <c r="Z28" s="152"/>
      <c r="AA28" s="152"/>
      <c r="AB28" s="152"/>
    </row>
    <row r="29" spans="4:29" ht="30" hidden="1" customHeight="1" outlineLevel="1">
      <c r="D29" s="1414"/>
      <c r="E29" s="1415"/>
      <c r="F29" s="330"/>
      <c r="G29" s="336"/>
      <c r="H29" s="332"/>
      <c r="I29" s="337"/>
      <c r="J29" s="198"/>
      <c r="K29" s="173"/>
      <c r="L29" s="173"/>
      <c r="M29" s="173"/>
      <c r="N29" s="173"/>
      <c r="O29" s="173"/>
      <c r="P29" s="173"/>
      <c r="Q29" s="173"/>
      <c r="R29" s="302"/>
      <c r="S29" s="302"/>
      <c r="T29" s="302"/>
      <c r="U29" s="302"/>
      <c r="V29" s="302"/>
      <c r="W29" s="320"/>
      <c r="Y29" s="152"/>
      <c r="Z29" s="152"/>
      <c r="AA29" s="152"/>
      <c r="AB29" s="152"/>
    </row>
    <row r="30" spans="4:29" ht="30" hidden="1" customHeight="1" outlineLevel="1">
      <c r="D30" s="1414"/>
      <c r="E30" s="1415"/>
      <c r="F30" s="330"/>
      <c r="G30" s="336"/>
      <c r="H30" s="332"/>
      <c r="I30" s="337"/>
      <c r="J30" s="198"/>
      <c r="K30" s="173"/>
      <c r="L30" s="173"/>
      <c r="M30" s="173"/>
      <c r="N30" s="173"/>
      <c r="O30" s="173"/>
      <c r="P30" s="173"/>
      <c r="Q30" s="173"/>
      <c r="R30" s="302"/>
      <c r="S30" s="302"/>
      <c r="T30" s="302"/>
      <c r="U30" s="302"/>
      <c r="V30" s="302"/>
      <c r="W30" s="320" t="s">
        <v>265</v>
      </c>
      <c r="Y30" s="152"/>
      <c r="Z30" s="152"/>
      <c r="AA30" s="152"/>
      <c r="AB30" s="152"/>
    </row>
    <row r="31" spans="4:29" ht="30" hidden="1" customHeight="1" outlineLevel="1" thickBot="1">
      <c r="D31" s="1416"/>
      <c r="E31" s="1417"/>
      <c r="F31" s="330"/>
      <c r="G31" s="331"/>
      <c r="H31" s="338"/>
      <c r="I31" s="339"/>
      <c r="J31" s="198"/>
      <c r="K31" s="173"/>
      <c r="L31" s="173"/>
      <c r="M31" s="173"/>
      <c r="N31" s="173"/>
      <c r="O31" s="173"/>
      <c r="P31" s="173"/>
      <c r="Q31" s="173"/>
      <c r="R31" s="302"/>
      <c r="S31" s="302"/>
      <c r="T31" s="302"/>
      <c r="U31" s="302"/>
      <c r="V31" s="302"/>
      <c r="W31" s="1362" t="s">
        <v>263</v>
      </c>
      <c r="X31" s="1362"/>
      <c r="Y31" s="1362" t="s">
        <v>161</v>
      </c>
      <c r="Z31" s="1362"/>
      <c r="AA31" s="1397" t="s">
        <v>266</v>
      </c>
      <c r="AB31" s="1422"/>
      <c r="AC31" s="216" t="s">
        <v>214</v>
      </c>
    </row>
    <row r="32" spans="4:29" ht="30" customHeight="1" thickTop="1">
      <c r="D32" s="1423" t="s">
        <v>267</v>
      </c>
      <c r="E32" s="1424"/>
      <c r="F32" s="340"/>
      <c r="G32" s="341"/>
      <c r="H32" s="342"/>
      <c r="I32" s="1427"/>
      <c r="J32" s="198"/>
      <c r="K32" s="173"/>
      <c r="L32" s="173"/>
      <c r="M32" s="173"/>
      <c r="N32" s="173"/>
      <c r="O32" s="173"/>
      <c r="P32" s="173"/>
      <c r="Q32" s="173"/>
      <c r="R32" s="302"/>
      <c r="S32" s="302"/>
      <c r="T32" s="302"/>
      <c r="U32" s="302"/>
      <c r="V32" s="302"/>
      <c r="W32" s="1429" t="s">
        <v>267</v>
      </c>
      <c r="X32" s="343">
        <f>F32</f>
        <v>0</v>
      </c>
      <c r="Y32" s="344">
        <f>G32</f>
        <v>0</v>
      </c>
      <c r="Z32" s="345">
        <f>H32</f>
        <v>0</v>
      </c>
      <c r="AA32" s="244"/>
      <c r="AB32" s="346" t="str">
        <f>"円/"&amp;Z32</f>
        <v>円/0</v>
      </c>
      <c r="AC32" s="335">
        <f>ROUND(Y32*AA32,)</f>
        <v>0</v>
      </c>
    </row>
    <row r="33" spans="3:34" ht="30" customHeight="1">
      <c r="D33" s="1425"/>
      <c r="E33" s="1426"/>
      <c r="F33" s="347"/>
      <c r="G33" s="348"/>
      <c r="H33" s="349"/>
      <c r="I33" s="1428"/>
      <c r="J33" s="198"/>
      <c r="K33" s="173"/>
      <c r="L33" s="173"/>
      <c r="M33" s="173"/>
      <c r="N33" s="173"/>
      <c r="O33" s="173"/>
      <c r="P33" s="173"/>
      <c r="Q33" s="173"/>
      <c r="R33" s="302"/>
      <c r="S33" s="302"/>
      <c r="T33" s="302"/>
      <c r="U33" s="302"/>
      <c r="V33" s="302"/>
      <c r="W33" s="1429"/>
      <c r="X33" s="343">
        <f t="shared" ref="X33:Z46" si="0">F33</f>
        <v>0</v>
      </c>
      <c r="Y33" s="344">
        <f t="shared" si="0"/>
        <v>0</v>
      </c>
      <c r="Z33" s="345">
        <f t="shared" si="0"/>
        <v>0</v>
      </c>
      <c r="AA33" s="247"/>
      <c r="AB33" s="346" t="str">
        <f t="shared" ref="AB33:AB46" si="1">"円/"&amp;Z33</f>
        <v>円/0</v>
      </c>
      <c r="AC33" s="335">
        <f t="shared" ref="AC33:AC46" si="2">ROUND(Y33*AA33,)</f>
        <v>0</v>
      </c>
    </row>
    <row r="34" spans="3:34" ht="30" customHeight="1">
      <c r="D34" s="1425"/>
      <c r="E34" s="1426"/>
      <c r="F34" s="347"/>
      <c r="G34" s="348"/>
      <c r="H34" s="349"/>
      <c r="I34" s="1428"/>
      <c r="J34" s="198"/>
      <c r="K34" s="173"/>
      <c r="L34" s="173"/>
      <c r="M34" s="173"/>
      <c r="N34" s="173"/>
      <c r="O34" s="173"/>
      <c r="P34" s="173"/>
      <c r="Q34" s="173"/>
      <c r="R34" s="302"/>
      <c r="S34" s="302"/>
      <c r="T34" s="302"/>
      <c r="U34" s="302"/>
      <c r="V34" s="302"/>
      <c r="W34" s="1429"/>
      <c r="X34" s="343">
        <f t="shared" si="0"/>
        <v>0</v>
      </c>
      <c r="Y34" s="344">
        <f t="shared" si="0"/>
        <v>0</v>
      </c>
      <c r="Z34" s="345">
        <f t="shared" si="0"/>
        <v>0</v>
      </c>
      <c r="AA34" s="247"/>
      <c r="AB34" s="346" t="str">
        <f t="shared" si="1"/>
        <v>円/0</v>
      </c>
      <c r="AC34" s="335">
        <f t="shared" si="2"/>
        <v>0</v>
      </c>
    </row>
    <row r="35" spans="3:34" ht="30" customHeight="1">
      <c r="D35" s="1425"/>
      <c r="E35" s="1426"/>
      <c r="F35" s="347"/>
      <c r="G35" s="348"/>
      <c r="H35" s="349"/>
      <c r="I35" s="1428"/>
      <c r="J35" s="198"/>
      <c r="K35" s="173"/>
      <c r="L35" s="173"/>
      <c r="M35" s="173"/>
      <c r="N35" s="173"/>
      <c r="O35" s="173"/>
      <c r="P35" s="173"/>
      <c r="Q35" s="173"/>
      <c r="R35" s="302"/>
      <c r="S35" s="302"/>
      <c r="T35" s="302"/>
      <c r="U35" s="302"/>
      <c r="V35" s="302"/>
      <c r="W35" s="1429"/>
      <c r="X35" s="343">
        <f t="shared" si="0"/>
        <v>0</v>
      </c>
      <c r="Y35" s="344">
        <f t="shared" si="0"/>
        <v>0</v>
      </c>
      <c r="Z35" s="345">
        <f t="shared" si="0"/>
        <v>0</v>
      </c>
      <c r="AA35" s="247"/>
      <c r="AB35" s="346" t="str">
        <f t="shared" si="1"/>
        <v>円/0</v>
      </c>
      <c r="AC35" s="335">
        <f t="shared" si="2"/>
        <v>0</v>
      </c>
    </row>
    <row r="36" spans="3:34" ht="30" customHeight="1" collapsed="1" thickBot="1">
      <c r="D36" s="1425"/>
      <c r="E36" s="1426"/>
      <c r="F36" s="347"/>
      <c r="G36" s="348"/>
      <c r="H36" s="349"/>
      <c r="I36" s="1428"/>
      <c r="J36" s="198"/>
      <c r="K36" s="173"/>
      <c r="L36" s="173"/>
      <c r="M36" s="173"/>
      <c r="N36" s="173"/>
      <c r="O36" s="173"/>
      <c r="P36" s="173"/>
      <c r="Q36" s="173"/>
      <c r="R36" s="302"/>
      <c r="S36" s="302"/>
      <c r="T36" s="302"/>
      <c r="U36" s="302"/>
      <c r="V36" s="302"/>
      <c r="W36" s="1429"/>
      <c r="X36" s="343">
        <f t="shared" si="0"/>
        <v>0</v>
      </c>
      <c r="Y36" s="344">
        <f t="shared" si="0"/>
        <v>0</v>
      </c>
      <c r="Z36" s="345">
        <f t="shared" si="0"/>
        <v>0</v>
      </c>
      <c r="AA36" s="247"/>
      <c r="AB36" s="346" t="str">
        <f t="shared" si="1"/>
        <v>円/0</v>
      </c>
      <c r="AC36" s="335">
        <f t="shared" si="2"/>
        <v>0</v>
      </c>
    </row>
    <row r="37" spans="3:34" ht="30" hidden="1" customHeight="1" outlineLevel="1">
      <c r="D37" s="1425"/>
      <c r="E37" s="1426"/>
      <c r="F37" s="347"/>
      <c r="G37" s="348"/>
      <c r="H37" s="349"/>
      <c r="I37" s="1428"/>
      <c r="J37" s="198"/>
      <c r="K37" s="173"/>
      <c r="L37" s="173"/>
      <c r="M37" s="173"/>
      <c r="N37" s="173"/>
      <c r="O37" s="173"/>
      <c r="P37" s="173"/>
      <c r="Q37" s="173"/>
      <c r="R37" s="302"/>
      <c r="S37" s="302"/>
      <c r="T37" s="302"/>
      <c r="U37" s="302"/>
      <c r="V37" s="302"/>
      <c r="W37" s="1429"/>
      <c r="X37" s="343">
        <f t="shared" si="0"/>
        <v>0</v>
      </c>
      <c r="Y37" s="344">
        <f t="shared" si="0"/>
        <v>0</v>
      </c>
      <c r="Z37" s="345">
        <f t="shared" si="0"/>
        <v>0</v>
      </c>
      <c r="AA37" s="247"/>
      <c r="AB37" s="346" t="str">
        <f t="shared" si="1"/>
        <v>円/0</v>
      </c>
      <c r="AC37" s="335">
        <f t="shared" si="2"/>
        <v>0</v>
      </c>
    </row>
    <row r="38" spans="3:34" ht="30" hidden="1" customHeight="1" outlineLevel="1">
      <c r="D38" s="1425"/>
      <c r="E38" s="1426"/>
      <c r="F38" s="347"/>
      <c r="G38" s="348"/>
      <c r="H38" s="349"/>
      <c r="I38" s="1428"/>
      <c r="J38" s="198"/>
      <c r="K38" s="173"/>
      <c r="L38" s="173"/>
      <c r="M38" s="173"/>
      <c r="N38" s="173"/>
      <c r="O38" s="173"/>
      <c r="P38" s="173"/>
      <c r="Q38" s="173"/>
      <c r="R38" s="302"/>
      <c r="S38" s="302"/>
      <c r="T38" s="302"/>
      <c r="U38" s="302"/>
      <c r="V38" s="302"/>
      <c r="W38" s="1429"/>
      <c r="X38" s="343">
        <f t="shared" si="0"/>
        <v>0</v>
      </c>
      <c r="Y38" s="344">
        <f t="shared" si="0"/>
        <v>0</v>
      </c>
      <c r="Z38" s="345">
        <f t="shared" si="0"/>
        <v>0</v>
      </c>
      <c r="AA38" s="247"/>
      <c r="AB38" s="346" t="str">
        <f t="shared" si="1"/>
        <v>円/0</v>
      </c>
      <c r="AC38" s="335">
        <f t="shared" si="2"/>
        <v>0</v>
      </c>
    </row>
    <row r="39" spans="3:34" ht="30" hidden="1" customHeight="1" outlineLevel="1">
      <c r="D39" s="1425"/>
      <c r="E39" s="1426"/>
      <c r="F39" s="347"/>
      <c r="G39" s="348"/>
      <c r="H39" s="349"/>
      <c r="I39" s="1428"/>
      <c r="J39" s="198"/>
      <c r="K39" s="173"/>
      <c r="L39" s="173"/>
      <c r="M39" s="173"/>
      <c r="N39" s="173"/>
      <c r="O39" s="173"/>
      <c r="P39" s="173"/>
      <c r="Q39" s="173"/>
      <c r="R39" s="302"/>
      <c r="S39" s="302"/>
      <c r="T39" s="302"/>
      <c r="U39" s="302"/>
      <c r="V39" s="302"/>
      <c r="W39" s="1429"/>
      <c r="X39" s="343">
        <f t="shared" si="0"/>
        <v>0</v>
      </c>
      <c r="Y39" s="344">
        <f t="shared" si="0"/>
        <v>0</v>
      </c>
      <c r="Z39" s="345">
        <f t="shared" si="0"/>
        <v>0</v>
      </c>
      <c r="AA39" s="247"/>
      <c r="AB39" s="346" t="str">
        <f t="shared" si="1"/>
        <v>円/0</v>
      </c>
      <c r="AC39" s="335">
        <f t="shared" si="2"/>
        <v>0</v>
      </c>
    </row>
    <row r="40" spans="3:34" ht="30" hidden="1" customHeight="1" outlineLevel="1">
      <c r="D40" s="1425"/>
      <c r="E40" s="1426"/>
      <c r="F40" s="347"/>
      <c r="G40" s="348"/>
      <c r="H40" s="349"/>
      <c r="I40" s="1428"/>
      <c r="J40" s="198"/>
      <c r="K40" s="173"/>
      <c r="L40" s="173"/>
      <c r="M40" s="173"/>
      <c r="N40" s="173"/>
      <c r="O40" s="173"/>
      <c r="P40" s="173"/>
      <c r="Q40" s="173"/>
      <c r="R40" s="302"/>
      <c r="S40" s="302"/>
      <c r="T40" s="302"/>
      <c r="U40" s="302"/>
      <c r="V40" s="302"/>
      <c r="W40" s="1429"/>
      <c r="X40" s="343">
        <f t="shared" si="0"/>
        <v>0</v>
      </c>
      <c r="Y40" s="344">
        <f t="shared" si="0"/>
        <v>0</v>
      </c>
      <c r="Z40" s="345">
        <f t="shared" si="0"/>
        <v>0</v>
      </c>
      <c r="AA40" s="247"/>
      <c r="AB40" s="350" t="str">
        <f t="shared" si="1"/>
        <v>円/0</v>
      </c>
      <c r="AC40" s="335">
        <f t="shared" si="2"/>
        <v>0</v>
      </c>
    </row>
    <row r="41" spans="3:34" ht="30" hidden="1" customHeight="1" outlineLevel="1">
      <c r="D41" s="1425"/>
      <c r="E41" s="1426"/>
      <c r="F41" s="347"/>
      <c r="G41" s="348"/>
      <c r="H41" s="349"/>
      <c r="I41" s="1428"/>
      <c r="J41" s="198"/>
      <c r="K41" s="173"/>
      <c r="L41" s="173"/>
      <c r="M41" s="173"/>
      <c r="N41" s="173"/>
      <c r="O41" s="173"/>
      <c r="P41" s="173"/>
      <c r="Q41" s="173"/>
      <c r="R41" s="302"/>
      <c r="S41" s="302"/>
      <c r="T41" s="302"/>
      <c r="U41" s="302"/>
      <c r="V41" s="302"/>
      <c r="W41" s="1429"/>
      <c r="X41" s="343">
        <f t="shared" si="0"/>
        <v>0</v>
      </c>
      <c r="Y41" s="344">
        <f t="shared" si="0"/>
        <v>0</v>
      </c>
      <c r="Z41" s="345">
        <f t="shared" si="0"/>
        <v>0</v>
      </c>
      <c r="AA41" s="247"/>
      <c r="AB41" s="350" t="str">
        <f t="shared" si="1"/>
        <v>円/0</v>
      </c>
      <c r="AC41" s="335">
        <f t="shared" si="2"/>
        <v>0</v>
      </c>
    </row>
    <row r="42" spans="3:34" ht="30" hidden="1" customHeight="1" outlineLevel="1">
      <c r="D42" s="1425"/>
      <c r="E42" s="1426"/>
      <c r="F42" s="347"/>
      <c r="G42" s="348"/>
      <c r="H42" s="349"/>
      <c r="I42" s="1428"/>
      <c r="J42" s="198"/>
      <c r="K42" s="173"/>
      <c r="L42" s="173"/>
      <c r="M42" s="173"/>
      <c r="N42" s="173"/>
      <c r="O42" s="173"/>
      <c r="P42" s="173"/>
      <c r="Q42" s="173"/>
      <c r="R42" s="302"/>
      <c r="S42" s="302"/>
      <c r="T42" s="302"/>
      <c r="U42" s="302"/>
      <c r="V42" s="302"/>
      <c r="W42" s="1429"/>
      <c r="X42" s="343">
        <f t="shared" si="0"/>
        <v>0</v>
      </c>
      <c r="Y42" s="344">
        <f t="shared" si="0"/>
        <v>0</v>
      </c>
      <c r="Z42" s="345">
        <f t="shared" si="0"/>
        <v>0</v>
      </c>
      <c r="AA42" s="247"/>
      <c r="AB42" s="350" t="str">
        <f t="shared" si="1"/>
        <v>円/0</v>
      </c>
      <c r="AC42" s="335">
        <f t="shared" si="2"/>
        <v>0</v>
      </c>
    </row>
    <row r="43" spans="3:34" ht="30" hidden="1" customHeight="1" outlineLevel="1">
      <c r="D43" s="1425"/>
      <c r="E43" s="1426"/>
      <c r="F43" s="347"/>
      <c r="G43" s="348"/>
      <c r="H43" s="349"/>
      <c r="I43" s="1428"/>
      <c r="J43" s="198"/>
      <c r="K43" s="173"/>
      <c r="L43" s="173"/>
      <c r="M43" s="173"/>
      <c r="N43" s="173"/>
      <c r="O43" s="173"/>
      <c r="P43" s="173"/>
      <c r="Q43" s="173"/>
      <c r="R43" s="302"/>
      <c r="S43" s="302"/>
      <c r="T43" s="302"/>
      <c r="U43" s="302"/>
      <c r="V43" s="302"/>
      <c r="W43" s="1429"/>
      <c r="X43" s="343">
        <f t="shared" si="0"/>
        <v>0</v>
      </c>
      <c r="Y43" s="344">
        <f t="shared" si="0"/>
        <v>0</v>
      </c>
      <c r="Z43" s="345">
        <f t="shared" si="0"/>
        <v>0</v>
      </c>
      <c r="AA43" s="247"/>
      <c r="AB43" s="350" t="str">
        <f t="shared" si="1"/>
        <v>円/0</v>
      </c>
      <c r="AC43" s="335">
        <f t="shared" si="2"/>
        <v>0</v>
      </c>
    </row>
    <row r="44" spans="3:34" ht="30" hidden="1" customHeight="1" outlineLevel="1">
      <c r="D44" s="1425"/>
      <c r="E44" s="1426"/>
      <c r="F44" s="347"/>
      <c r="G44" s="348"/>
      <c r="H44" s="349"/>
      <c r="I44" s="1428"/>
      <c r="J44" s="198"/>
      <c r="K44" s="173"/>
      <c r="L44" s="173"/>
      <c r="M44" s="173"/>
      <c r="N44" s="173"/>
      <c r="O44" s="173"/>
      <c r="P44" s="173"/>
      <c r="Q44" s="173"/>
      <c r="R44" s="302"/>
      <c r="S44" s="302"/>
      <c r="T44" s="302"/>
      <c r="U44" s="302"/>
      <c r="V44" s="302"/>
      <c r="W44" s="1429"/>
      <c r="X44" s="343">
        <f t="shared" si="0"/>
        <v>0</v>
      </c>
      <c r="Y44" s="344">
        <f t="shared" si="0"/>
        <v>0</v>
      </c>
      <c r="Z44" s="345">
        <f t="shared" si="0"/>
        <v>0</v>
      </c>
      <c r="AA44" s="247"/>
      <c r="AB44" s="350" t="str">
        <f t="shared" si="1"/>
        <v>円/0</v>
      </c>
      <c r="AC44" s="335">
        <f t="shared" si="2"/>
        <v>0</v>
      </c>
    </row>
    <row r="45" spans="3:34" ht="30" hidden="1" customHeight="1" outlineLevel="1">
      <c r="D45" s="1425"/>
      <c r="E45" s="1426"/>
      <c r="F45" s="347"/>
      <c r="G45" s="348"/>
      <c r="H45" s="349"/>
      <c r="I45" s="1428"/>
      <c r="J45" s="198"/>
      <c r="K45" s="173"/>
      <c r="L45" s="173"/>
      <c r="M45" s="173"/>
      <c r="N45" s="173"/>
      <c r="O45" s="173"/>
      <c r="P45" s="173"/>
      <c r="Q45" s="173"/>
      <c r="R45" s="302"/>
      <c r="S45" s="302"/>
      <c r="T45" s="302"/>
      <c r="U45" s="302"/>
      <c r="V45" s="302"/>
      <c r="W45" s="1429"/>
      <c r="X45" s="343">
        <f t="shared" si="0"/>
        <v>0</v>
      </c>
      <c r="Y45" s="344">
        <f t="shared" si="0"/>
        <v>0</v>
      </c>
      <c r="Z45" s="345">
        <f t="shared" si="0"/>
        <v>0</v>
      </c>
      <c r="AA45" s="247"/>
      <c r="AB45" s="350" t="str">
        <f t="shared" si="1"/>
        <v>円/0</v>
      </c>
      <c r="AC45" s="335">
        <f t="shared" si="2"/>
        <v>0</v>
      </c>
    </row>
    <row r="46" spans="3:34" ht="30" hidden="1" customHeight="1" outlineLevel="1" thickBot="1">
      <c r="D46" s="1425"/>
      <c r="E46" s="1426"/>
      <c r="F46" s="351"/>
      <c r="G46" s="352"/>
      <c r="H46" s="353"/>
      <c r="I46" s="1428"/>
      <c r="J46" s="198"/>
      <c r="K46" s="173"/>
      <c r="L46" s="173"/>
      <c r="M46" s="173"/>
      <c r="N46" s="173"/>
      <c r="O46" s="173"/>
      <c r="P46" s="173"/>
      <c r="Q46" s="173"/>
      <c r="R46" s="302"/>
      <c r="S46" s="302"/>
      <c r="T46" s="302"/>
      <c r="U46" s="302"/>
      <c r="V46" s="302"/>
      <c r="W46" s="1429"/>
      <c r="X46" s="343">
        <f t="shared" si="0"/>
        <v>0</v>
      </c>
      <c r="Y46" s="344">
        <f t="shared" si="0"/>
        <v>0</v>
      </c>
      <c r="Z46" s="345">
        <f t="shared" si="0"/>
        <v>0</v>
      </c>
      <c r="AA46" s="354"/>
      <c r="AB46" s="355" t="str">
        <f t="shared" si="1"/>
        <v>円/0</v>
      </c>
      <c r="AC46" s="335">
        <f t="shared" si="2"/>
        <v>0</v>
      </c>
    </row>
    <row r="47" spans="3:34" ht="30" customHeight="1" thickTop="1">
      <c r="C47" s="356" t="s">
        <v>268</v>
      </c>
      <c r="D47" s="357"/>
      <c r="E47" s="358"/>
      <c r="F47" s="359"/>
      <c r="G47" s="360"/>
      <c r="H47" s="360"/>
      <c r="I47" s="361"/>
      <c r="R47" s="276"/>
      <c r="S47" s="276"/>
      <c r="T47" s="276"/>
      <c r="U47" s="276"/>
      <c r="V47" s="297"/>
      <c r="W47" s="1362" t="s">
        <v>269</v>
      </c>
      <c r="X47" s="1362"/>
      <c r="Y47" s="1430"/>
      <c r="Z47" s="1431"/>
      <c r="AA47" s="1418"/>
      <c r="AB47" s="1419"/>
      <c r="AC47" s="335">
        <f>SUM(AC32:AC46)</f>
        <v>0</v>
      </c>
      <c r="AD47" s="148"/>
      <c r="AE47" s="148"/>
      <c r="AF47" s="148"/>
      <c r="AG47" s="148"/>
      <c r="AH47" s="148"/>
    </row>
    <row r="48" spans="3:34" ht="30" customHeight="1">
      <c r="C48" s="356"/>
      <c r="D48" s="356"/>
      <c r="E48" s="73"/>
      <c r="F48" s="73"/>
      <c r="G48" s="199"/>
      <c r="H48" s="199"/>
      <c r="I48" s="20"/>
      <c r="R48" s="297"/>
      <c r="S48" s="297"/>
      <c r="T48" s="297"/>
      <c r="U48" s="297"/>
      <c r="V48" s="297"/>
      <c r="W48" s="362"/>
      <c r="X48" s="362"/>
      <c r="Y48" s="322"/>
      <c r="Z48" s="322"/>
      <c r="AA48" s="322"/>
      <c r="AB48" s="322"/>
    </row>
    <row r="49" spans="1:35" ht="14.25" hidden="1" customHeight="1">
      <c r="A49" s="30"/>
      <c r="B49" s="68"/>
      <c r="C49" s="128" t="s">
        <v>270</v>
      </c>
      <c r="D49" s="58"/>
      <c r="E49" s="58"/>
      <c r="F49" s="58"/>
      <c r="G49" s="58"/>
      <c r="H49" s="58"/>
      <c r="I49" s="58"/>
      <c r="J49" s="30"/>
      <c r="K49" s="30"/>
      <c r="L49" s="30"/>
      <c r="M49" s="30"/>
      <c r="N49" s="30"/>
      <c r="O49" s="30"/>
      <c r="P49" s="30"/>
      <c r="Q49" s="30"/>
      <c r="W49" s="128" t="s">
        <v>271</v>
      </c>
      <c r="X49" s="322"/>
      <c r="Y49" s="322"/>
      <c r="Z49" s="322"/>
      <c r="AA49" s="322"/>
      <c r="AB49" s="322"/>
    </row>
    <row r="50" spans="1:35" ht="14.25" hidden="1" customHeight="1" thickBot="1">
      <c r="A50" s="30"/>
      <c r="B50" s="68"/>
      <c r="C50" s="128"/>
      <c r="D50" s="58"/>
      <c r="E50" s="58"/>
      <c r="F50" s="58"/>
      <c r="G50" s="58"/>
      <c r="H50" s="58"/>
      <c r="I50" s="58"/>
      <c r="J50" s="30"/>
      <c r="K50" s="30"/>
      <c r="L50" s="30"/>
      <c r="M50" s="30"/>
      <c r="N50" s="30"/>
      <c r="O50" s="30"/>
      <c r="P50" s="30"/>
      <c r="Q50" s="30"/>
      <c r="W50" s="322"/>
      <c r="X50" s="322"/>
      <c r="Y50" s="322"/>
      <c r="Z50" s="322"/>
      <c r="AA50" s="322"/>
      <c r="AB50" s="322"/>
    </row>
    <row r="51" spans="1:35" ht="14.25" hidden="1" customHeight="1">
      <c r="C51" s="323"/>
      <c r="D51" s="1236" t="s">
        <v>258</v>
      </c>
      <c r="E51" s="1237"/>
      <c r="F51" s="1260"/>
      <c r="G51" s="1432" t="s">
        <v>161</v>
      </c>
      <c r="H51" s="363"/>
      <c r="I51" s="1341" t="s">
        <v>259</v>
      </c>
      <c r="W51" s="322"/>
      <c r="X51" s="322"/>
      <c r="Y51" s="322"/>
      <c r="Z51" s="322"/>
      <c r="AA51" s="322"/>
      <c r="AB51" s="322"/>
    </row>
    <row r="52" spans="1:35" ht="14.25" hidden="1" customHeight="1">
      <c r="C52" s="323"/>
      <c r="D52" s="1405"/>
      <c r="E52" s="1406"/>
      <c r="F52" s="1407"/>
      <c r="G52" s="1433"/>
      <c r="H52" s="1410" t="s">
        <v>162</v>
      </c>
      <c r="I52" s="1408"/>
      <c r="W52" s="148"/>
      <c r="X52" s="148"/>
      <c r="Y52" s="148"/>
      <c r="Z52" s="148"/>
      <c r="AA52" s="148"/>
      <c r="AB52" s="148"/>
      <c r="AC52" s="148"/>
      <c r="AD52" s="148"/>
      <c r="AE52" s="148"/>
      <c r="AF52" s="148"/>
      <c r="AG52" s="148"/>
      <c r="AH52" s="148"/>
      <c r="AI52" s="148"/>
    </row>
    <row r="53" spans="1:35" ht="14.25" hidden="1" customHeight="1" thickBot="1">
      <c r="D53" s="1239"/>
      <c r="E53" s="1240"/>
      <c r="F53" s="1392"/>
      <c r="G53" s="1434"/>
      <c r="H53" s="1411"/>
      <c r="I53" s="1342"/>
    </row>
    <row r="54" spans="1:35" ht="30" hidden="1" customHeight="1" thickTop="1" thickBot="1">
      <c r="D54" s="1435" t="s">
        <v>260</v>
      </c>
      <c r="E54" s="1413"/>
      <c r="F54" s="325" t="s">
        <v>261</v>
      </c>
      <c r="G54" s="364"/>
      <c r="H54" s="327" t="s">
        <v>262</v>
      </c>
      <c r="I54" s="365"/>
      <c r="J54" s="329"/>
      <c r="K54" s="173"/>
      <c r="L54" s="173"/>
      <c r="M54" s="173"/>
      <c r="N54" s="173"/>
      <c r="O54" s="173"/>
      <c r="P54" s="173"/>
      <c r="Q54" s="173"/>
      <c r="R54" s="173"/>
      <c r="S54" s="173"/>
      <c r="T54" s="173"/>
      <c r="U54" s="173"/>
      <c r="V54" s="173"/>
      <c r="W54" s="1437"/>
      <c r="X54" s="1438"/>
      <c r="Y54" s="1420"/>
      <c r="Z54" s="1421"/>
      <c r="AA54" s="1420"/>
      <c r="AB54" s="1421"/>
      <c r="AC54" s="216" t="s">
        <v>214</v>
      </c>
    </row>
    <row r="55" spans="1:35" ht="30" hidden="1" customHeight="1" thickTop="1">
      <c r="D55" s="1414"/>
      <c r="E55" s="1415"/>
      <c r="F55" s="366"/>
      <c r="G55" s="367"/>
      <c r="H55" s="368"/>
      <c r="I55" s="369"/>
      <c r="J55" s="198"/>
      <c r="K55" s="173"/>
      <c r="L55" s="173"/>
      <c r="M55" s="173"/>
      <c r="N55" s="173"/>
      <c r="O55" s="173"/>
      <c r="P55" s="173"/>
      <c r="Q55" s="173"/>
      <c r="R55" s="173"/>
      <c r="S55" s="173"/>
      <c r="T55" s="173"/>
      <c r="U55" s="173"/>
      <c r="V55" s="173"/>
      <c r="W55" s="1436" t="s">
        <v>272</v>
      </c>
      <c r="X55" s="1364"/>
      <c r="Y55" s="1420"/>
      <c r="Z55" s="1421"/>
      <c r="AA55" s="1420"/>
      <c r="AB55" s="1421"/>
      <c r="AC55" s="335">
        <f>IF(OR(I54="",I54=0),SUM(I55:I69),I54)</f>
        <v>0</v>
      </c>
    </row>
    <row r="56" spans="1:35" ht="30" hidden="1" customHeight="1">
      <c r="D56" s="1414"/>
      <c r="E56" s="1415"/>
      <c r="F56" s="366"/>
      <c r="G56" s="367"/>
      <c r="H56" s="368"/>
      <c r="I56" s="337"/>
      <c r="J56" s="198"/>
      <c r="K56" s="173"/>
      <c r="L56" s="173"/>
      <c r="M56" s="173"/>
      <c r="N56" s="173"/>
      <c r="O56" s="173"/>
      <c r="P56" s="173"/>
      <c r="Q56" s="173"/>
      <c r="R56" s="173"/>
      <c r="S56" s="173"/>
      <c r="T56" s="173"/>
      <c r="U56" s="173"/>
      <c r="V56" s="173"/>
    </row>
    <row r="57" spans="1:35" ht="30" hidden="1" customHeight="1">
      <c r="D57" s="1414"/>
      <c r="E57" s="1415"/>
      <c r="F57" s="366"/>
      <c r="G57" s="367"/>
      <c r="H57" s="368"/>
      <c r="I57" s="337"/>
      <c r="J57" s="198"/>
      <c r="K57" s="173"/>
      <c r="L57" s="173"/>
      <c r="M57" s="173"/>
      <c r="N57" s="173"/>
      <c r="O57" s="173"/>
      <c r="P57" s="173"/>
      <c r="Q57" s="173"/>
      <c r="R57" s="173"/>
      <c r="S57" s="173"/>
      <c r="T57" s="173"/>
      <c r="U57" s="173"/>
      <c r="V57" s="173"/>
    </row>
    <row r="58" spans="1:35" ht="30" hidden="1" customHeight="1" collapsed="1">
      <c r="D58" s="1414"/>
      <c r="E58" s="1415"/>
      <c r="F58" s="366"/>
      <c r="G58" s="367"/>
      <c r="H58" s="368"/>
      <c r="I58" s="337"/>
      <c r="J58" s="198"/>
      <c r="K58" s="173"/>
      <c r="L58" s="173"/>
      <c r="M58" s="173"/>
      <c r="N58" s="173"/>
      <c r="O58" s="173"/>
      <c r="P58" s="173"/>
      <c r="Q58" s="173"/>
      <c r="R58" s="173"/>
      <c r="S58" s="173"/>
      <c r="T58" s="173"/>
      <c r="U58" s="173"/>
      <c r="V58" s="173"/>
    </row>
    <row r="59" spans="1:35" ht="30" hidden="1" customHeight="1" outlineLevel="1">
      <c r="D59" s="1414"/>
      <c r="E59" s="1415"/>
      <c r="F59" s="366"/>
      <c r="G59" s="367"/>
      <c r="H59" s="368"/>
      <c r="I59" s="337"/>
      <c r="J59" s="198"/>
      <c r="K59" s="173"/>
      <c r="L59" s="173"/>
      <c r="M59" s="173"/>
      <c r="N59" s="173"/>
      <c r="O59" s="173"/>
      <c r="P59" s="173"/>
      <c r="Q59" s="173"/>
      <c r="R59" s="173"/>
      <c r="S59" s="173"/>
      <c r="T59" s="173"/>
      <c r="U59" s="173"/>
      <c r="V59" s="173"/>
    </row>
    <row r="60" spans="1:35" ht="30" hidden="1" customHeight="1" outlineLevel="1">
      <c r="D60" s="1414"/>
      <c r="E60" s="1415"/>
      <c r="F60" s="366"/>
      <c r="G60" s="367"/>
      <c r="H60" s="368"/>
      <c r="I60" s="337"/>
      <c r="J60" s="198"/>
      <c r="K60" s="173"/>
      <c r="L60" s="173"/>
      <c r="M60" s="173"/>
      <c r="N60" s="173"/>
      <c r="O60" s="173"/>
      <c r="P60" s="173"/>
      <c r="Q60" s="173"/>
      <c r="R60" s="173"/>
      <c r="S60" s="173"/>
      <c r="T60" s="173"/>
      <c r="U60" s="173"/>
      <c r="V60" s="173"/>
    </row>
    <row r="61" spans="1:35" ht="30" hidden="1" customHeight="1" outlineLevel="1">
      <c r="D61" s="1414"/>
      <c r="E61" s="1415"/>
      <c r="F61" s="366"/>
      <c r="G61" s="367"/>
      <c r="H61" s="368"/>
      <c r="I61" s="337"/>
      <c r="J61" s="198"/>
      <c r="K61" s="173"/>
      <c r="L61" s="173"/>
      <c r="M61" s="173"/>
      <c r="N61" s="173"/>
      <c r="O61" s="173"/>
      <c r="P61" s="173"/>
      <c r="Q61" s="173"/>
      <c r="R61" s="173"/>
      <c r="S61" s="173"/>
      <c r="T61" s="173"/>
      <c r="U61" s="173"/>
      <c r="V61" s="173"/>
    </row>
    <row r="62" spans="1:35" ht="30" hidden="1" customHeight="1" outlineLevel="1">
      <c r="D62" s="1414"/>
      <c r="E62" s="1415"/>
      <c r="F62" s="366"/>
      <c r="G62" s="367"/>
      <c r="H62" s="368"/>
      <c r="I62" s="337"/>
      <c r="J62" s="198"/>
      <c r="K62" s="173"/>
      <c r="L62" s="173"/>
      <c r="M62" s="173"/>
      <c r="N62" s="173"/>
      <c r="O62" s="173"/>
      <c r="P62" s="173"/>
      <c r="Q62" s="173"/>
      <c r="R62" s="173"/>
      <c r="S62" s="173"/>
      <c r="T62" s="173"/>
      <c r="U62" s="173"/>
      <c r="V62" s="173"/>
    </row>
    <row r="63" spans="1:35" ht="30" hidden="1" customHeight="1" outlineLevel="1">
      <c r="D63" s="1414"/>
      <c r="E63" s="1415"/>
      <c r="F63" s="366"/>
      <c r="G63" s="367"/>
      <c r="H63" s="368"/>
      <c r="I63" s="337"/>
      <c r="J63" s="198"/>
      <c r="K63" s="173"/>
      <c r="L63" s="173"/>
      <c r="M63" s="173"/>
      <c r="N63" s="173"/>
      <c r="O63" s="173"/>
      <c r="P63" s="173"/>
      <c r="Q63" s="173"/>
      <c r="R63" s="173"/>
      <c r="S63" s="173"/>
      <c r="T63" s="173"/>
      <c r="U63" s="173"/>
      <c r="V63" s="173"/>
    </row>
    <row r="64" spans="1:35" ht="30" hidden="1" customHeight="1" outlineLevel="1">
      <c r="D64" s="1414"/>
      <c r="E64" s="1415"/>
      <c r="F64" s="366"/>
      <c r="G64" s="367"/>
      <c r="H64" s="368"/>
      <c r="I64" s="337"/>
      <c r="J64" s="198"/>
      <c r="K64" s="173"/>
      <c r="L64" s="173"/>
      <c r="M64" s="173"/>
      <c r="N64" s="173"/>
      <c r="O64" s="173"/>
      <c r="P64" s="173"/>
      <c r="Q64" s="173"/>
      <c r="R64" s="173"/>
      <c r="S64" s="173"/>
      <c r="T64" s="173"/>
      <c r="U64" s="173"/>
      <c r="V64" s="173"/>
    </row>
    <row r="65" spans="4:29" ht="30" hidden="1" customHeight="1" outlineLevel="1">
      <c r="D65" s="1414"/>
      <c r="E65" s="1415"/>
      <c r="F65" s="366"/>
      <c r="G65" s="367"/>
      <c r="H65" s="368"/>
      <c r="I65" s="337"/>
      <c r="J65" s="198"/>
      <c r="K65" s="173"/>
      <c r="L65" s="173"/>
      <c r="M65" s="173"/>
      <c r="N65" s="173"/>
      <c r="O65" s="173"/>
      <c r="P65" s="173"/>
      <c r="Q65" s="173"/>
      <c r="R65" s="173"/>
      <c r="S65" s="173"/>
      <c r="T65" s="173"/>
      <c r="U65" s="173"/>
      <c r="V65" s="173"/>
    </row>
    <row r="66" spans="4:29" ht="30" hidden="1" customHeight="1" outlineLevel="1">
      <c r="D66" s="1414"/>
      <c r="E66" s="1415"/>
      <c r="F66" s="366"/>
      <c r="G66" s="367"/>
      <c r="H66" s="368"/>
      <c r="I66" s="337"/>
      <c r="J66" s="198"/>
      <c r="K66" s="173"/>
      <c r="L66" s="173"/>
      <c r="M66" s="173"/>
      <c r="N66" s="173"/>
      <c r="O66" s="173"/>
      <c r="P66" s="173"/>
      <c r="Q66" s="173"/>
      <c r="R66" s="173"/>
      <c r="S66" s="173"/>
      <c r="T66" s="173"/>
      <c r="U66" s="173"/>
      <c r="V66" s="173"/>
    </row>
    <row r="67" spans="4:29" ht="30" hidden="1" customHeight="1" outlineLevel="1">
      <c r="D67" s="1414"/>
      <c r="E67" s="1415"/>
      <c r="F67" s="366"/>
      <c r="G67" s="367"/>
      <c r="H67" s="368"/>
      <c r="I67" s="337"/>
      <c r="J67" s="198"/>
      <c r="K67" s="173"/>
      <c r="L67" s="173"/>
      <c r="M67" s="173"/>
      <c r="N67" s="173"/>
      <c r="O67" s="173"/>
      <c r="P67" s="173"/>
      <c r="Q67" s="173"/>
      <c r="R67" s="173"/>
      <c r="S67" s="173"/>
      <c r="T67" s="173"/>
      <c r="U67" s="173"/>
      <c r="V67" s="173"/>
    </row>
    <row r="68" spans="4:29" ht="30" hidden="1" customHeight="1" outlineLevel="1">
      <c r="D68" s="1414"/>
      <c r="E68" s="1415"/>
      <c r="F68" s="366"/>
      <c r="G68" s="367"/>
      <c r="H68" s="368"/>
      <c r="I68" s="337"/>
      <c r="J68" s="198"/>
      <c r="K68" s="173"/>
      <c r="L68" s="173"/>
      <c r="M68" s="173"/>
      <c r="N68" s="173"/>
      <c r="O68" s="173"/>
      <c r="P68" s="173"/>
      <c r="Q68" s="173"/>
      <c r="R68" s="173"/>
      <c r="S68" s="173"/>
      <c r="T68" s="173"/>
      <c r="U68" s="173"/>
      <c r="V68" s="173"/>
      <c r="W68" s="320" t="s">
        <v>273</v>
      </c>
      <c r="Y68" s="152"/>
      <c r="Z68" s="152"/>
      <c r="AA68" s="152"/>
      <c r="AB68" s="152"/>
    </row>
    <row r="69" spans="4:29" ht="30" hidden="1" customHeight="1" outlineLevel="1" thickBot="1">
      <c r="D69" s="1414"/>
      <c r="E69" s="1415"/>
      <c r="F69" s="330"/>
      <c r="G69" s="370"/>
      <c r="H69" s="338"/>
      <c r="I69" s="371"/>
      <c r="J69" s="198"/>
      <c r="K69" s="173"/>
      <c r="L69" s="173"/>
      <c r="M69" s="173"/>
      <c r="N69" s="173"/>
      <c r="O69" s="173"/>
      <c r="P69" s="173"/>
      <c r="Q69" s="173"/>
      <c r="R69" s="173"/>
      <c r="S69" s="173"/>
      <c r="T69" s="173"/>
      <c r="U69" s="173"/>
      <c r="V69" s="173"/>
      <c r="W69" s="1399" t="s">
        <v>274</v>
      </c>
      <c r="X69" s="1399"/>
      <c r="Y69" s="1399" t="s">
        <v>275</v>
      </c>
      <c r="Z69" s="1399"/>
      <c r="AA69" s="1397" t="s">
        <v>276</v>
      </c>
      <c r="AB69" s="1397"/>
      <c r="AC69" s="372" t="s">
        <v>277</v>
      </c>
    </row>
    <row r="70" spans="4:29" ht="30" hidden="1" customHeight="1" thickTop="1">
      <c r="D70" s="1423" t="s">
        <v>267</v>
      </c>
      <c r="E70" s="1424"/>
      <c r="F70" s="340"/>
      <c r="G70" s="373"/>
      <c r="H70" s="342"/>
      <c r="I70" s="1441"/>
      <c r="W70" s="1443" t="s">
        <v>267</v>
      </c>
      <c r="X70" s="343">
        <f>F70</f>
        <v>0</v>
      </c>
      <c r="Y70" s="344">
        <f>G70</f>
        <v>0</v>
      </c>
      <c r="Z70" s="374">
        <f>H70</f>
        <v>0</v>
      </c>
      <c r="AA70" s="244"/>
      <c r="AB70" s="355" t="str">
        <f>"円/"&amp;Z70</f>
        <v>円/0</v>
      </c>
      <c r="AC70" s="335">
        <f>ROUND(Y70*AA70,)</f>
        <v>0</v>
      </c>
    </row>
    <row r="71" spans="4:29" ht="30" hidden="1" customHeight="1">
      <c r="D71" s="1425"/>
      <c r="E71" s="1426"/>
      <c r="F71" s="347"/>
      <c r="G71" s="348"/>
      <c r="H71" s="349"/>
      <c r="I71" s="1428"/>
      <c r="W71" s="1444"/>
      <c r="X71" s="343">
        <f t="shared" ref="X71:Z84" si="3">F71</f>
        <v>0</v>
      </c>
      <c r="Y71" s="344">
        <f t="shared" si="3"/>
        <v>0</v>
      </c>
      <c r="Z71" s="375">
        <f t="shared" si="3"/>
        <v>0</v>
      </c>
      <c r="AA71" s="247"/>
      <c r="AB71" s="350" t="str">
        <f t="shared" ref="AB71:AB84" si="4">"円/"&amp;Z71</f>
        <v>円/0</v>
      </c>
      <c r="AC71" s="335">
        <f t="shared" ref="AC71:AC84" si="5">ROUND(Y71*AA71,)</f>
        <v>0</v>
      </c>
    </row>
    <row r="72" spans="4:29" ht="30" hidden="1" customHeight="1">
      <c r="D72" s="1425"/>
      <c r="E72" s="1426"/>
      <c r="F72" s="347"/>
      <c r="G72" s="348"/>
      <c r="H72" s="349"/>
      <c r="I72" s="1428"/>
      <c r="W72" s="1444"/>
      <c r="X72" s="343">
        <f t="shared" si="3"/>
        <v>0</v>
      </c>
      <c r="Y72" s="344">
        <f t="shared" si="3"/>
        <v>0</v>
      </c>
      <c r="Z72" s="375">
        <f t="shared" si="3"/>
        <v>0</v>
      </c>
      <c r="AA72" s="247"/>
      <c r="AB72" s="350" t="str">
        <f t="shared" si="4"/>
        <v>円/0</v>
      </c>
      <c r="AC72" s="335">
        <f t="shared" si="5"/>
        <v>0</v>
      </c>
    </row>
    <row r="73" spans="4:29" ht="30" hidden="1" customHeight="1">
      <c r="D73" s="1425"/>
      <c r="E73" s="1426"/>
      <c r="F73" s="347"/>
      <c r="G73" s="348"/>
      <c r="H73" s="349"/>
      <c r="I73" s="1428"/>
      <c r="W73" s="1444"/>
      <c r="X73" s="343">
        <f t="shared" si="3"/>
        <v>0</v>
      </c>
      <c r="Y73" s="344">
        <f t="shared" si="3"/>
        <v>0</v>
      </c>
      <c r="Z73" s="375">
        <f t="shared" si="3"/>
        <v>0</v>
      </c>
      <c r="AA73" s="247"/>
      <c r="AB73" s="350" t="str">
        <f t="shared" si="4"/>
        <v>円/0</v>
      </c>
      <c r="AC73" s="335">
        <f t="shared" si="5"/>
        <v>0</v>
      </c>
    </row>
    <row r="74" spans="4:29" ht="30" hidden="1" customHeight="1" collapsed="1">
      <c r="D74" s="1425"/>
      <c r="E74" s="1426"/>
      <c r="F74" s="347"/>
      <c r="G74" s="348"/>
      <c r="H74" s="349"/>
      <c r="I74" s="1428"/>
      <c r="W74" s="1444"/>
      <c r="X74" s="343">
        <f t="shared" si="3"/>
        <v>0</v>
      </c>
      <c r="Y74" s="344">
        <f t="shared" si="3"/>
        <v>0</v>
      </c>
      <c r="Z74" s="375">
        <f t="shared" si="3"/>
        <v>0</v>
      </c>
      <c r="AA74" s="247"/>
      <c r="AB74" s="350" t="str">
        <f t="shared" si="4"/>
        <v>円/0</v>
      </c>
      <c r="AC74" s="335">
        <f t="shared" si="5"/>
        <v>0</v>
      </c>
    </row>
    <row r="75" spans="4:29" ht="30" hidden="1" customHeight="1" outlineLevel="1">
      <c r="D75" s="1425"/>
      <c r="E75" s="1426"/>
      <c r="F75" s="347"/>
      <c r="G75" s="348"/>
      <c r="H75" s="349"/>
      <c r="I75" s="1428"/>
      <c r="W75" s="1444"/>
      <c r="X75" s="343">
        <f t="shared" si="3"/>
        <v>0</v>
      </c>
      <c r="Y75" s="344">
        <f t="shared" si="3"/>
        <v>0</v>
      </c>
      <c r="Z75" s="375">
        <f t="shared" si="3"/>
        <v>0</v>
      </c>
      <c r="AA75" s="247"/>
      <c r="AB75" s="350" t="str">
        <f t="shared" si="4"/>
        <v>円/0</v>
      </c>
      <c r="AC75" s="335">
        <f t="shared" si="5"/>
        <v>0</v>
      </c>
    </row>
    <row r="76" spans="4:29" ht="30" hidden="1" customHeight="1" outlineLevel="1">
      <c r="D76" s="1425"/>
      <c r="E76" s="1426"/>
      <c r="F76" s="347"/>
      <c r="G76" s="348"/>
      <c r="H76" s="349"/>
      <c r="I76" s="1428"/>
      <c r="W76" s="1444"/>
      <c r="X76" s="343">
        <f t="shared" si="3"/>
        <v>0</v>
      </c>
      <c r="Y76" s="344">
        <f t="shared" si="3"/>
        <v>0</v>
      </c>
      <c r="Z76" s="375">
        <f t="shared" si="3"/>
        <v>0</v>
      </c>
      <c r="AA76" s="247"/>
      <c r="AB76" s="350" t="str">
        <f t="shared" si="4"/>
        <v>円/0</v>
      </c>
      <c r="AC76" s="335">
        <f t="shared" si="5"/>
        <v>0</v>
      </c>
    </row>
    <row r="77" spans="4:29" ht="30" hidden="1" customHeight="1" outlineLevel="1">
      <c r="D77" s="1425"/>
      <c r="E77" s="1426"/>
      <c r="F77" s="347"/>
      <c r="G77" s="348"/>
      <c r="H77" s="349"/>
      <c r="I77" s="1428"/>
      <c r="W77" s="1444"/>
      <c r="X77" s="343">
        <f t="shared" si="3"/>
        <v>0</v>
      </c>
      <c r="Y77" s="344">
        <f t="shared" si="3"/>
        <v>0</v>
      </c>
      <c r="Z77" s="375">
        <f t="shared" si="3"/>
        <v>0</v>
      </c>
      <c r="AA77" s="247"/>
      <c r="AB77" s="350" t="str">
        <f t="shared" si="4"/>
        <v>円/0</v>
      </c>
      <c r="AC77" s="335">
        <f t="shared" si="5"/>
        <v>0</v>
      </c>
    </row>
    <row r="78" spans="4:29" ht="30" hidden="1" customHeight="1" outlineLevel="1">
      <c r="D78" s="1425"/>
      <c r="E78" s="1426"/>
      <c r="F78" s="347"/>
      <c r="G78" s="348"/>
      <c r="H78" s="349"/>
      <c r="I78" s="1428"/>
      <c r="W78" s="1444"/>
      <c r="X78" s="343">
        <f t="shared" si="3"/>
        <v>0</v>
      </c>
      <c r="Y78" s="344">
        <f t="shared" si="3"/>
        <v>0</v>
      </c>
      <c r="Z78" s="375">
        <f t="shared" si="3"/>
        <v>0</v>
      </c>
      <c r="AA78" s="247"/>
      <c r="AB78" s="350" t="str">
        <f t="shared" si="4"/>
        <v>円/0</v>
      </c>
      <c r="AC78" s="335">
        <f t="shared" si="5"/>
        <v>0</v>
      </c>
    </row>
    <row r="79" spans="4:29" ht="30" hidden="1" customHeight="1" outlineLevel="1">
      <c r="D79" s="1425"/>
      <c r="E79" s="1426"/>
      <c r="F79" s="347"/>
      <c r="G79" s="348"/>
      <c r="H79" s="349"/>
      <c r="I79" s="1428"/>
      <c r="W79" s="1444"/>
      <c r="X79" s="343">
        <f t="shared" si="3"/>
        <v>0</v>
      </c>
      <c r="Y79" s="344">
        <f t="shared" si="3"/>
        <v>0</v>
      </c>
      <c r="Z79" s="375">
        <f t="shared" si="3"/>
        <v>0</v>
      </c>
      <c r="AA79" s="247"/>
      <c r="AB79" s="350" t="str">
        <f t="shared" si="4"/>
        <v>円/0</v>
      </c>
      <c r="AC79" s="335">
        <f t="shared" si="5"/>
        <v>0</v>
      </c>
    </row>
    <row r="80" spans="4:29" ht="30" hidden="1" customHeight="1" outlineLevel="1">
      <c r="D80" s="1425"/>
      <c r="E80" s="1426"/>
      <c r="F80" s="347"/>
      <c r="G80" s="348"/>
      <c r="H80" s="349"/>
      <c r="I80" s="1428"/>
      <c r="W80" s="1444"/>
      <c r="X80" s="343">
        <f t="shared" si="3"/>
        <v>0</v>
      </c>
      <c r="Y80" s="344">
        <f t="shared" si="3"/>
        <v>0</v>
      </c>
      <c r="Z80" s="375">
        <f t="shared" si="3"/>
        <v>0</v>
      </c>
      <c r="AA80" s="247"/>
      <c r="AB80" s="350" t="str">
        <f t="shared" si="4"/>
        <v>円/0</v>
      </c>
      <c r="AC80" s="335">
        <f t="shared" si="5"/>
        <v>0</v>
      </c>
    </row>
    <row r="81" spans="4:30" ht="30" hidden="1" customHeight="1" outlineLevel="1">
      <c r="D81" s="1425"/>
      <c r="E81" s="1426"/>
      <c r="F81" s="347"/>
      <c r="G81" s="348"/>
      <c r="H81" s="349"/>
      <c r="I81" s="1428"/>
      <c r="W81" s="1444"/>
      <c r="X81" s="343">
        <f t="shared" si="3"/>
        <v>0</v>
      </c>
      <c r="Y81" s="344">
        <f t="shared" si="3"/>
        <v>0</v>
      </c>
      <c r="Z81" s="375">
        <f t="shared" si="3"/>
        <v>0</v>
      </c>
      <c r="AA81" s="247"/>
      <c r="AB81" s="350" t="str">
        <f t="shared" si="4"/>
        <v>円/0</v>
      </c>
      <c r="AC81" s="335">
        <f t="shared" si="5"/>
        <v>0</v>
      </c>
    </row>
    <row r="82" spans="4:30" ht="30" hidden="1" customHeight="1" outlineLevel="1">
      <c r="D82" s="1425"/>
      <c r="E82" s="1426"/>
      <c r="F82" s="347"/>
      <c r="G82" s="348"/>
      <c r="H82" s="349"/>
      <c r="I82" s="1428"/>
      <c r="W82" s="1444"/>
      <c r="X82" s="343">
        <f t="shared" si="3"/>
        <v>0</v>
      </c>
      <c r="Y82" s="344">
        <f t="shared" si="3"/>
        <v>0</v>
      </c>
      <c r="Z82" s="375">
        <f t="shared" si="3"/>
        <v>0</v>
      </c>
      <c r="AA82" s="247"/>
      <c r="AB82" s="350" t="str">
        <f t="shared" si="4"/>
        <v>円/0</v>
      </c>
      <c r="AC82" s="335">
        <f t="shared" si="5"/>
        <v>0</v>
      </c>
    </row>
    <row r="83" spans="4:30" ht="30" hidden="1" customHeight="1" outlineLevel="1">
      <c r="D83" s="1425"/>
      <c r="E83" s="1426"/>
      <c r="F83" s="347"/>
      <c r="G83" s="348"/>
      <c r="H83" s="349"/>
      <c r="I83" s="1428"/>
      <c r="W83" s="1444"/>
      <c r="X83" s="343">
        <f t="shared" si="3"/>
        <v>0</v>
      </c>
      <c r="Y83" s="344">
        <f t="shared" si="3"/>
        <v>0</v>
      </c>
      <c r="Z83" s="375">
        <f t="shared" si="3"/>
        <v>0</v>
      </c>
      <c r="AA83" s="247"/>
      <c r="AB83" s="350" t="str">
        <f t="shared" si="4"/>
        <v>円/0</v>
      </c>
      <c r="AC83" s="335">
        <f t="shared" si="5"/>
        <v>0</v>
      </c>
    </row>
    <row r="84" spans="4:30" ht="30" hidden="1" customHeight="1" outlineLevel="1" thickBot="1">
      <c r="D84" s="1439"/>
      <c r="E84" s="1440"/>
      <c r="F84" s="376"/>
      <c r="G84" s="377"/>
      <c r="H84" s="378"/>
      <c r="I84" s="1442"/>
      <c r="W84" s="1445"/>
      <c r="X84" s="343">
        <f t="shared" si="3"/>
        <v>0</v>
      </c>
      <c r="Y84" s="344">
        <f t="shared" si="3"/>
        <v>0</v>
      </c>
      <c r="Z84" s="375">
        <f t="shared" si="3"/>
        <v>0</v>
      </c>
      <c r="AA84" s="354"/>
      <c r="AB84" s="355" t="str">
        <f t="shared" si="4"/>
        <v>円/0</v>
      </c>
      <c r="AC84" s="335">
        <f t="shared" si="5"/>
        <v>0</v>
      </c>
    </row>
    <row r="85" spans="4:30" ht="21" hidden="1" customHeight="1" thickTop="1">
      <c r="D85" s="379"/>
      <c r="E85" s="380"/>
      <c r="F85" s="381"/>
      <c r="G85" s="381"/>
      <c r="H85" s="381"/>
      <c r="I85" s="380"/>
      <c r="W85" s="1436" t="s">
        <v>278</v>
      </c>
      <c r="X85" s="1364"/>
      <c r="Y85" s="1430"/>
      <c r="Z85" s="1431"/>
      <c r="AA85" s="1418"/>
      <c r="AB85" s="1419"/>
      <c r="AC85" s="335">
        <f>SUM(AC70:AC84)</f>
        <v>0</v>
      </c>
      <c r="AD85" s="148"/>
    </row>
    <row r="86" spans="4:30" ht="17.25" customHeight="1">
      <c r="D86" s="186"/>
      <c r="W86" s="362"/>
      <c r="X86" s="362"/>
      <c r="Y86" s="322"/>
      <c r="Z86" s="322"/>
      <c r="AA86" s="322"/>
      <c r="AB86" s="322"/>
    </row>
    <row r="87" spans="4:30" ht="17.25" customHeight="1">
      <c r="W87" s="382"/>
      <c r="X87" s="382"/>
      <c r="Y87" s="383"/>
      <c r="Z87" s="383"/>
      <c r="AA87" s="383"/>
      <c r="AB87" s="383"/>
      <c r="AC87" s="384"/>
      <c r="AD87" s="148"/>
    </row>
    <row r="88" spans="4:30" ht="17.25" customHeight="1">
      <c r="W88" s="362"/>
      <c r="X88" s="362"/>
      <c r="Y88" s="322"/>
      <c r="Z88" s="322"/>
      <c r="AA88" s="322"/>
      <c r="AB88" s="322"/>
    </row>
    <row r="89" spans="4:30" ht="21" customHeight="1"/>
    <row r="90" spans="4:30" ht="30" customHeight="1">
      <c r="W90" s="1437"/>
      <c r="X90" s="1438"/>
      <c r="Y90" s="1420"/>
      <c r="Z90" s="1421"/>
      <c r="AA90" s="1420"/>
      <c r="AB90" s="1421"/>
      <c r="AC90" s="216" t="s">
        <v>214</v>
      </c>
    </row>
    <row r="91" spans="4:30" ht="30" customHeight="1">
      <c r="W91" s="1436" t="s">
        <v>279</v>
      </c>
      <c r="X91" s="1364"/>
      <c r="Y91" s="1420"/>
      <c r="Z91" s="1421"/>
      <c r="AA91" s="1420"/>
      <c r="AB91" s="1421"/>
      <c r="AC91" s="385">
        <f>SUM(AC17,AC55)</f>
        <v>0</v>
      </c>
    </row>
    <row r="92" spans="4:30" ht="30" customHeight="1">
      <c r="W92" s="1436" t="s">
        <v>280</v>
      </c>
      <c r="X92" s="1364"/>
      <c r="Y92" s="1420"/>
      <c r="Z92" s="1421"/>
      <c r="AA92" s="1420"/>
      <c r="AB92" s="1421"/>
      <c r="AC92" s="385">
        <f>SUM(AC47,AC85)</f>
        <v>0</v>
      </c>
    </row>
  </sheetData>
  <sheetProtection sheet="1" objects="1" scenarios="1" selectLockedCells="1"/>
  <mergeCells count="49">
    <mergeCell ref="W92:X92"/>
    <mergeCell ref="Y92:Z92"/>
    <mergeCell ref="AA92:AB92"/>
    <mergeCell ref="W90:X90"/>
    <mergeCell ref="Y90:Z90"/>
    <mergeCell ref="AA90:AB90"/>
    <mergeCell ref="W91:X91"/>
    <mergeCell ref="Y91:Z91"/>
    <mergeCell ref="AA91:AB91"/>
    <mergeCell ref="D70:E84"/>
    <mergeCell ref="I70:I84"/>
    <mergeCell ref="W70:W84"/>
    <mergeCell ref="W85:X85"/>
    <mergeCell ref="Y85:Z85"/>
    <mergeCell ref="AA85:AB85"/>
    <mergeCell ref="Y54:Z54"/>
    <mergeCell ref="AA54:AB54"/>
    <mergeCell ref="W55:X55"/>
    <mergeCell ref="Y55:Z55"/>
    <mergeCell ref="AA55:AB55"/>
    <mergeCell ref="W69:X69"/>
    <mergeCell ref="Y69:Z69"/>
    <mergeCell ref="AA69:AB69"/>
    <mergeCell ref="W54:X54"/>
    <mergeCell ref="D51:F53"/>
    <mergeCell ref="G51:G53"/>
    <mergeCell ref="I51:I53"/>
    <mergeCell ref="H52:H53"/>
    <mergeCell ref="D54:E69"/>
    <mergeCell ref="D32:E46"/>
    <mergeCell ref="I32:I46"/>
    <mergeCell ref="W32:W46"/>
    <mergeCell ref="W47:X47"/>
    <mergeCell ref="Y47:Z47"/>
    <mergeCell ref="AA47:AB47"/>
    <mergeCell ref="Y16:Z16"/>
    <mergeCell ref="AA16:AB16"/>
    <mergeCell ref="W17:X17"/>
    <mergeCell ref="Y17:Z17"/>
    <mergeCell ref="AA17:AB17"/>
    <mergeCell ref="W31:X31"/>
    <mergeCell ref="Y31:Z31"/>
    <mergeCell ref="AA31:AB31"/>
    <mergeCell ref="W16:X16"/>
    <mergeCell ref="D13:F15"/>
    <mergeCell ref="G13:G15"/>
    <mergeCell ref="I13:I15"/>
    <mergeCell ref="H14:H15"/>
    <mergeCell ref="D16:E31"/>
  </mergeCells>
  <phoneticPr fontId="5"/>
  <dataValidations count="3">
    <dataValidation type="custom" operator="greaterThan" allowBlank="1" showInputMessage="1" showErrorMessage="1" error="0より大きい小数点第２位までの数値を入力してください。" sqref="AA32:AA46 AA70:AA84" xr:uid="{00000000-0002-0000-0800-000000000000}">
      <formula1>AND(AND(AA32*100=INT(AA32*100)),(AA32&gt;0))</formula1>
    </dataValidation>
    <dataValidation type="whole" operator="greaterThan" allowBlank="1" showInputMessage="1" showErrorMessage="1" error="0より大きい数値を整数で入力してください。" sqref="G17:G46 I16:I31 I54:I69 G55:G84" xr:uid="{00000000-0002-0000-0800-000001000000}">
      <formula1>0</formula1>
    </dataValidation>
    <dataValidation type="textLength" imeMode="hiragana" operator="greaterThanOrEqual" allowBlank="1" showInputMessage="1" showErrorMessage="1" sqref="F17:F46 F55:F84" xr:uid="{00000000-0002-0000-0800-000002000000}">
      <formula1>1</formula1>
    </dataValidation>
  </dataValidations>
  <pageMargins left="0.59055118110236227" right="0.59055118110236227" top="0.59055118110236227" bottom="0.59055118110236227" header="0" footer="0"/>
  <pageSetup paperSize="9" scale="46" orientation="portrait" cellComments="asDisplayed" r:id="rId1"/>
  <headerFooter alignWithMargins="0"/>
  <colBreaks count="1" manualBreakCount="1">
    <brk id="20" max="92" man="1"/>
  </colBreaks>
  <drawing r:id="rId2"/>
  <legacyDrawing r:id="rId3"/>
  <controls>
    <mc:AlternateContent xmlns:mc="http://schemas.openxmlformats.org/markup-compatibility/2006">
      <mc:Choice Requires="x14">
        <control shapeId="6145" r:id="rId4" name="Label1">
          <controlPr defaultSize="0" print="0" autoLine="0" r:id="rId5">
            <anchor moveWithCells="1">
              <from>
                <xdr:col>5</xdr:col>
                <xdr:colOff>1057275</xdr:colOff>
                <xdr:row>9</xdr:row>
                <xdr:rowOff>85725</xdr:rowOff>
              </from>
              <to>
                <xdr:col>6</xdr:col>
                <xdr:colOff>523875</xdr:colOff>
                <xdr:row>11</xdr:row>
                <xdr:rowOff>142875</xdr:rowOff>
              </to>
            </anchor>
          </controlPr>
        </control>
      </mc:Choice>
      <mc:Fallback>
        <control shapeId="6145" r:id="rId4" name="Label1"/>
      </mc:Fallback>
    </mc:AlternateContent>
    <mc:AlternateContent xmlns:mc="http://schemas.openxmlformats.org/markup-compatibility/2006">
      <mc:Choice Requires="x14">
        <control shapeId="6146" r:id="rId6" name="Label2">
          <controlPr defaultSize="0" print="0" autoLine="0" r:id="rId7">
            <anchor moveWithCells="1">
              <from>
                <xdr:col>5</xdr:col>
                <xdr:colOff>1085850</xdr:colOff>
                <xdr:row>10</xdr:row>
                <xdr:rowOff>28575</xdr:rowOff>
              </from>
              <to>
                <xdr:col>6</xdr:col>
                <xdr:colOff>504825</xdr:colOff>
                <xdr:row>11</xdr:row>
                <xdr:rowOff>19050</xdr:rowOff>
              </to>
            </anchor>
          </controlPr>
        </control>
      </mc:Choice>
      <mc:Fallback>
        <control shapeId="6146" r:id="rId6" name="Label2"/>
      </mc:Fallback>
    </mc:AlternateContent>
    <mc:AlternateContent xmlns:mc="http://schemas.openxmlformats.org/markup-compatibility/2006">
      <mc:Choice Requires="x14">
        <control shapeId="6147" r:id="rId8" name="Label3">
          <controlPr defaultSize="0" print="0" autoLine="0" r:id="rId9">
            <anchor moveWithCells="1">
              <from>
                <xdr:col>6</xdr:col>
                <xdr:colOff>514350</xdr:colOff>
                <xdr:row>9</xdr:row>
                <xdr:rowOff>85725</xdr:rowOff>
              </from>
              <to>
                <xdr:col>7</xdr:col>
                <xdr:colOff>171450</xdr:colOff>
                <xdr:row>10</xdr:row>
                <xdr:rowOff>114300</xdr:rowOff>
              </to>
            </anchor>
          </controlPr>
        </control>
      </mc:Choice>
      <mc:Fallback>
        <control shapeId="6147" r:id="rId8" name="Label3"/>
      </mc:Fallback>
    </mc:AlternateContent>
    <mc:AlternateContent xmlns:mc="http://schemas.openxmlformats.org/markup-compatibility/2006">
      <mc:Choice Requires="x14">
        <control shapeId="6148" r:id="rId10" name="txt_kounyu">
          <controlPr locked="0" defaultSize="0" print="0" autoLine="0" r:id="rId11">
            <anchor moveWithCells="1">
              <from>
                <xdr:col>6</xdr:col>
                <xdr:colOff>514350</xdr:colOff>
                <xdr:row>10</xdr:row>
                <xdr:rowOff>114300</xdr:rowOff>
              </from>
              <to>
                <xdr:col>7</xdr:col>
                <xdr:colOff>171450</xdr:colOff>
                <xdr:row>11</xdr:row>
                <xdr:rowOff>142875</xdr:rowOff>
              </to>
            </anchor>
          </controlPr>
        </control>
      </mc:Choice>
      <mc:Fallback>
        <control shapeId="6148" r:id="rId10" name="txt_kounyu"/>
      </mc:Fallback>
    </mc:AlternateContent>
    <mc:AlternateContent xmlns:mc="http://schemas.openxmlformats.org/markup-compatibility/2006">
      <mc:Choice Requires="x14">
        <control shapeId="6149" r:id="rId12" name="Label4">
          <controlPr defaultSize="0" print="0" autoLine="0" r:id="rId13">
            <anchor moveWithCells="1">
              <from>
                <xdr:col>7</xdr:col>
                <xdr:colOff>152400</xdr:colOff>
                <xdr:row>9</xdr:row>
                <xdr:rowOff>85725</xdr:rowOff>
              </from>
              <to>
                <xdr:col>8</xdr:col>
                <xdr:colOff>790575</xdr:colOff>
                <xdr:row>10</xdr:row>
                <xdr:rowOff>114300</xdr:rowOff>
              </to>
            </anchor>
          </controlPr>
        </control>
      </mc:Choice>
      <mc:Fallback>
        <control shapeId="6149" r:id="rId12" name="Label4"/>
      </mc:Fallback>
    </mc:AlternateContent>
    <mc:AlternateContent xmlns:mc="http://schemas.openxmlformats.org/markup-compatibility/2006">
      <mc:Choice Requires="x14">
        <control shapeId="6150" r:id="rId14" name="txt_jikyu">
          <controlPr locked="0" defaultSize="0" print="0" autoLine="0" r:id="rId15">
            <anchor moveWithCells="1">
              <from>
                <xdr:col>7</xdr:col>
                <xdr:colOff>152400</xdr:colOff>
                <xdr:row>10</xdr:row>
                <xdr:rowOff>114300</xdr:rowOff>
              </from>
              <to>
                <xdr:col>8</xdr:col>
                <xdr:colOff>790575</xdr:colOff>
                <xdr:row>11</xdr:row>
                <xdr:rowOff>142875</xdr:rowOff>
              </to>
            </anchor>
          </controlPr>
        </control>
      </mc:Choice>
      <mc:Fallback>
        <control shapeId="6150" r:id="rId14" name="txt_jikyu"/>
      </mc:Fallback>
    </mc:AlternateContent>
    <mc:AlternateContent xmlns:mc="http://schemas.openxmlformats.org/markup-compatibility/2006">
      <mc:Choice Requires="x14">
        <control shapeId="6151" r:id="rId16" name="btnKoushin1">
          <controlPr defaultSize="0" print="0" autoLine="0" r:id="rId17">
            <anchor moveWithCells="1">
              <from>
                <xdr:col>8</xdr:col>
                <xdr:colOff>790575</xdr:colOff>
                <xdr:row>9</xdr:row>
                <xdr:rowOff>95250</xdr:rowOff>
              </from>
              <to>
                <xdr:col>11</xdr:col>
                <xdr:colOff>152400</xdr:colOff>
                <xdr:row>11</xdr:row>
                <xdr:rowOff>152400</xdr:rowOff>
              </to>
            </anchor>
          </controlPr>
        </control>
      </mc:Choice>
      <mc:Fallback>
        <control shapeId="6151" r:id="rId16" name="btnKoushi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3">
    <outlinePr summaryBelow="0"/>
    <pageSetUpPr fitToPage="1"/>
  </sheetPr>
  <dimension ref="A1:BH124"/>
  <sheetViews>
    <sheetView showGridLines="0" zoomScale="80" zoomScaleNormal="80" zoomScaleSheetLayoutView="80" workbookViewId="0">
      <selection activeCell="H11" sqref="H11"/>
    </sheetView>
  </sheetViews>
  <sheetFormatPr defaultColWidth="2.625" defaultRowHeight="14.25" customHeight="1" outlineLevelRow="1" outlineLevelCol="1"/>
  <cols>
    <col min="1" max="4" width="2.625" style="2" customWidth="1"/>
    <col min="5" max="5" width="22.375" style="2" customWidth="1"/>
    <col min="6" max="6" width="20" style="2" customWidth="1"/>
    <col min="7" max="7" width="4.625" style="2" customWidth="1"/>
    <col min="8" max="8" width="20" style="2" customWidth="1"/>
    <col min="9" max="9" width="12.375" style="2" customWidth="1"/>
    <col min="10" max="16" width="2.625" style="2" customWidth="1"/>
    <col min="17" max="17" width="0.75" style="2" customWidth="1"/>
    <col min="18" max="18" width="2.625" style="2" customWidth="1"/>
    <col min="19" max="19" width="2.625" style="420" customWidth="1"/>
    <col min="20" max="22" width="2.625" style="2" customWidth="1"/>
    <col min="23" max="28" width="2.625" style="2" customWidth="1" outlineLevel="1"/>
    <col min="29" max="29" width="4.75" style="2" customWidth="1" outlineLevel="1"/>
    <col min="30" max="30" width="15.25" style="2" customWidth="1" outlineLevel="1"/>
    <col min="31" max="32" width="12.625" style="2" customWidth="1" outlineLevel="1"/>
    <col min="33" max="33" width="17.375" style="2" customWidth="1" outlineLevel="1"/>
    <col min="34" max="48" width="2.625" style="2" customWidth="1"/>
    <col min="49" max="49" width="2.625" style="34" customWidth="1"/>
    <col min="50" max="74" width="2.625" style="2" customWidth="1"/>
    <col min="75" max="16384" width="2.625" style="2"/>
  </cols>
  <sheetData>
    <row r="1" spans="2:52" ht="28.5" customHeight="1">
      <c r="S1" s="386"/>
      <c r="AB1" s="151" t="s">
        <v>281</v>
      </c>
      <c r="AC1" s="387"/>
      <c r="AW1" s="388"/>
      <c r="AX1" s="387"/>
    </row>
    <row r="2" spans="2:52" s="30" customFormat="1" ht="18" customHeight="1">
      <c r="B2" s="108" t="s">
        <v>282</v>
      </c>
      <c r="C2" s="58"/>
      <c r="D2" s="58"/>
      <c r="E2" s="58"/>
      <c r="F2" s="58"/>
      <c r="G2" s="58"/>
      <c r="H2" s="58"/>
      <c r="S2" s="386"/>
      <c r="T2" s="2"/>
      <c r="U2" s="2"/>
      <c r="V2" s="2"/>
      <c r="W2" s="2"/>
      <c r="X2" s="2"/>
      <c r="Y2" s="2"/>
      <c r="Z2" s="2"/>
      <c r="AA2" s="2"/>
      <c r="AC2" s="108" t="s">
        <v>282</v>
      </c>
      <c r="AD2" s="2"/>
      <c r="AE2" s="2"/>
      <c r="AF2" s="2"/>
      <c r="AG2" s="2"/>
      <c r="AH2" s="2"/>
      <c r="AI2" s="2"/>
      <c r="AJ2" s="2"/>
      <c r="AK2" s="2"/>
      <c r="AL2" s="2"/>
      <c r="AM2" s="2"/>
      <c r="AN2" s="2"/>
      <c r="AO2" s="2"/>
      <c r="AP2" s="2"/>
      <c r="AQ2" s="2"/>
      <c r="AR2" s="2"/>
      <c r="AS2" s="2"/>
      <c r="AT2" s="2"/>
      <c r="AU2" s="2"/>
      <c r="AV2" s="2"/>
      <c r="AW2" s="34"/>
      <c r="AX2" s="2"/>
      <c r="AY2" s="2"/>
      <c r="AZ2" s="2"/>
    </row>
    <row r="3" spans="2:52" s="30" customFormat="1" ht="14.25" customHeight="1">
      <c r="B3" s="321" t="s">
        <v>283</v>
      </c>
      <c r="C3" s="321"/>
      <c r="D3" s="389"/>
      <c r="E3" s="58"/>
      <c r="F3" s="58"/>
      <c r="G3" s="58"/>
      <c r="H3" s="58"/>
      <c r="S3" s="386"/>
      <c r="T3" s="2"/>
      <c r="U3" s="2"/>
      <c r="V3" s="2"/>
      <c r="W3" s="2"/>
      <c r="X3" s="2"/>
      <c r="Y3" s="2"/>
      <c r="Z3" s="2"/>
      <c r="AA3" s="2"/>
      <c r="AB3" s="2"/>
      <c r="AC3" s="387"/>
      <c r="AD3" s="2"/>
      <c r="AE3" s="2"/>
      <c r="AF3" s="2"/>
      <c r="AG3" s="2"/>
      <c r="AH3" s="2"/>
      <c r="AI3" s="2"/>
      <c r="AJ3" s="2"/>
      <c r="AK3" s="2"/>
      <c r="AL3" s="2"/>
      <c r="AM3" s="2"/>
      <c r="AN3" s="2"/>
      <c r="AO3" s="2"/>
      <c r="AP3" s="2"/>
      <c r="AQ3" s="2"/>
      <c r="AR3" s="2"/>
      <c r="AS3" s="2"/>
      <c r="AT3" s="2"/>
      <c r="AU3" s="2"/>
      <c r="AV3" s="2"/>
      <c r="AW3" s="34"/>
      <c r="AX3" s="2"/>
      <c r="AY3" s="2"/>
      <c r="AZ3" s="2"/>
    </row>
    <row r="4" spans="2:52" s="30" customFormat="1" ht="14.25" customHeight="1">
      <c r="B4" s="321" t="s">
        <v>284</v>
      </c>
      <c r="C4" s="321"/>
      <c r="D4" s="389"/>
      <c r="E4" s="58"/>
      <c r="F4" s="58"/>
      <c r="G4" s="58"/>
      <c r="H4" s="58"/>
      <c r="S4" s="386"/>
      <c r="T4" s="2"/>
      <c r="U4" s="2"/>
      <c r="V4" s="2"/>
      <c r="W4" s="2"/>
      <c r="X4" s="2"/>
      <c r="Y4" s="2"/>
      <c r="Z4" s="2"/>
      <c r="AA4" s="2"/>
      <c r="AB4" s="2"/>
      <c r="AC4" s="387"/>
      <c r="AD4" s="2"/>
      <c r="AE4" s="2"/>
      <c r="AF4" s="2"/>
      <c r="AG4" s="2"/>
      <c r="AH4" s="2"/>
      <c r="AI4" s="2"/>
      <c r="AJ4" s="2"/>
      <c r="AR4" s="2"/>
      <c r="AS4" s="2"/>
      <c r="AT4" s="2"/>
      <c r="AU4" s="2"/>
      <c r="AV4" s="2"/>
      <c r="AW4" s="2"/>
      <c r="AX4" s="2"/>
      <c r="AY4" s="2"/>
      <c r="AZ4" s="2"/>
    </row>
    <row r="5" spans="2:52" s="30" customFormat="1" ht="14.25" customHeight="1">
      <c r="B5" s="51" t="s">
        <v>285</v>
      </c>
      <c r="C5" s="51"/>
      <c r="D5" s="51"/>
      <c r="E5" s="51"/>
      <c r="F5" s="58"/>
      <c r="G5" s="58"/>
      <c r="H5" s="58"/>
      <c r="S5" s="386"/>
      <c r="T5" s="2"/>
      <c r="U5" s="2"/>
      <c r="V5" s="2"/>
      <c r="W5" s="2"/>
      <c r="X5" s="2"/>
      <c r="Y5" s="2"/>
      <c r="Z5" s="2"/>
      <c r="AA5" s="2"/>
      <c r="AB5" s="2"/>
      <c r="AC5" s="387"/>
      <c r="AD5" s="2"/>
      <c r="AE5" s="2"/>
      <c r="AF5" s="2"/>
      <c r="AG5" s="2"/>
      <c r="AH5" s="2"/>
      <c r="AI5" s="2"/>
      <c r="AJ5" s="2"/>
      <c r="AR5" s="2"/>
      <c r="AS5" s="2"/>
      <c r="AT5" s="2"/>
      <c r="AU5" s="2"/>
      <c r="AV5" s="2"/>
      <c r="AW5" s="34"/>
      <c r="AX5" s="2"/>
      <c r="AY5" s="2"/>
      <c r="AZ5" s="2"/>
    </row>
    <row r="6" spans="2:52" s="30" customFormat="1" ht="14.25" customHeight="1">
      <c r="B6" s="51" t="s">
        <v>286</v>
      </c>
      <c r="C6" s="51"/>
      <c r="D6" s="51"/>
      <c r="E6" s="51"/>
      <c r="F6" s="58"/>
      <c r="G6" s="58"/>
      <c r="H6" s="58"/>
      <c r="S6" s="386"/>
      <c r="T6" s="2"/>
      <c r="U6" s="2"/>
      <c r="V6" s="2"/>
      <c r="W6" s="2"/>
      <c r="X6" s="2"/>
      <c r="Y6" s="2"/>
      <c r="Z6" s="2"/>
      <c r="AA6" s="2"/>
      <c r="AB6" s="2"/>
      <c r="AC6" s="322"/>
      <c r="AD6" s="322"/>
      <c r="AE6" s="322"/>
      <c r="AF6" s="322"/>
      <c r="AG6" s="144"/>
      <c r="AH6" s="144"/>
      <c r="AI6" s="2"/>
      <c r="AJ6" s="2"/>
      <c r="AR6" s="2"/>
      <c r="AS6" s="2"/>
      <c r="AT6" s="2"/>
      <c r="AU6" s="2"/>
      <c r="AV6" s="2"/>
      <c r="AW6" s="34"/>
      <c r="AX6" s="2"/>
      <c r="AY6" s="2"/>
      <c r="AZ6" s="2"/>
    </row>
    <row r="7" spans="2:52" s="30" customFormat="1" ht="14.25" customHeight="1" thickBot="1">
      <c r="B7" s="321"/>
      <c r="C7" s="321"/>
      <c r="D7" s="389"/>
      <c r="E7" s="58"/>
      <c r="F7" s="58"/>
      <c r="G7" s="58"/>
      <c r="H7" s="58"/>
      <c r="S7" s="386"/>
      <c r="T7" s="2"/>
      <c r="U7" s="2"/>
      <c r="V7" s="2"/>
      <c r="W7" s="2"/>
      <c r="X7" s="2"/>
      <c r="Y7" s="2"/>
      <c r="Z7" s="2"/>
      <c r="AA7" s="2"/>
      <c r="AB7" s="2"/>
      <c r="AC7" s="322"/>
      <c r="AD7" s="322"/>
      <c r="AE7" s="322"/>
      <c r="AF7" s="322"/>
      <c r="AG7" s="144"/>
      <c r="AH7" s="144"/>
      <c r="AI7" s="144"/>
      <c r="AJ7" s="144"/>
      <c r="AR7" s="2"/>
      <c r="AS7" s="2"/>
      <c r="AT7" s="2"/>
      <c r="AU7" s="2"/>
      <c r="AV7" s="2"/>
      <c r="AW7" s="34"/>
      <c r="AX7" s="2"/>
      <c r="AY7" s="2"/>
      <c r="AZ7" s="2"/>
    </row>
    <row r="8" spans="2:52" ht="14.25" customHeight="1">
      <c r="B8" s="1449" t="s">
        <v>287</v>
      </c>
      <c r="C8" s="1450"/>
      <c r="D8" s="1450"/>
      <c r="E8" s="1451"/>
      <c r="F8" s="1236" t="s">
        <v>288</v>
      </c>
      <c r="G8" s="324"/>
      <c r="H8" s="1453" t="s">
        <v>289</v>
      </c>
      <c r="I8" s="1456" t="s">
        <v>290</v>
      </c>
      <c r="J8" s="1459" t="s">
        <v>291</v>
      </c>
      <c r="K8" s="1237"/>
      <c r="L8" s="1237"/>
      <c r="M8" s="1237"/>
      <c r="N8" s="1237"/>
      <c r="O8" s="1237"/>
      <c r="P8" s="1237"/>
      <c r="Q8" s="1237"/>
      <c r="R8" s="1260"/>
      <c r="S8" s="386"/>
      <c r="AC8" s="322"/>
      <c r="AD8" s="322"/>
      <c r="AE8" s="322"/>
      <c r="AF8" s="322"/>
      <c r="AG8" s="144"/>
      <c r="AH8" s="144"/>
      <c r="AI8" s="144"/>
      <c r="AJ8" s="144"/>
    </row>
    <row r="9" spans="2:52" ht="18" customHeight="1">
      <c r="B9" s="1452"/>
      <c r="C9" s="1252"/>
      <c r="D9" s="1252"/>
      <c r="E9" s="1253"/>
      <c r="F9" s="1405"/>
      <c r="G9" s="1410" t="s">
        <v>162</v>
      </c>
      <c r="H9" s="1454"/>
      <c r="I9" s="1457"/>
      <c r="J9" s="1460"/>
      <c r="K9" s="1406"/>
      <c r="L9" s="1406"/>
      <c r="M9" s="1406"/>
      <c r="N9" s="1406"/>
      <c r="O9" s="1406"/>
      <c r="P9" s="1406"/>
      <c r="Q9" s="1406"/>
      <c r="R9" s="1407"/>
      <c r="S9" s="386"/>
      <c r="AC9" s="1362" t="s">
        <v>292</v>
      </c>
      <c r="AD9" s="1362"/>
      <c r="AE9" s="1362" t="s">
        <v>293</v>
      </c>
      <c r="AF9" s="1446" t="s">
        <v>294</v>
      </c>
      <c r="AG9" s="1362" t="s">
        <v>214</v>
      </c>
      <c r="AH9" s="144"/>
      <c r="AI9" s="144"/>
      <c r="AJ9" s="144"/>
    </row>
    <row r="10" spans="2:52" ht="18" customHeight="1" thickBot="1">
      <c r="B10" s="1269"/>
      <c r="C10" s="1270"/>
      <c r="D10" s="1270"/>
      <c r="E10" s="1271"/>
      <c r="F10" s="1405"/>
      <c r="G10" s="1411"/>
      <c r="H10" s="1455"/>
      <c r="I10" s="1458"/>
      <c r="J10" s="1461"/>
      <c r="K10" s="1240"/>
      <c r="L10" s="1240"/>
      <c r="M10" s="1240"/>
      <c r="N10" s="1240"/>
      <c r="O10" s="1240"/>
      <c r="P10" s="1240"/>
      <c r="Q10" s="1240"/>
      <c r="R10" s="1392"/>
      <c r="S10" s="386"/>
      <c r="AC10" s="1362"/>
      <c r="AD10" s="1362"/>
      <c r="AE10" s="1362"/>
      <c r="AF10" s="1362"/>
      <c r="AG10" s="1362"/>
      <c r="AH10" s="144"/>
      <c r="AI10" s="144"/>
      <c r="AJ10" s="144"/>
    </row>
    <row r="11" spans="2:52" ht="30" customHeight="1" thickTop="1" thickBot="1">
      <c r="B11" s="1447" t="s">
        <v>295</v>
      </c>
      <c r="C11" s="1448"/>
      <c r="D11" s="1448"/>
      <c r="E11" s="1448"/>
      <c r="F11" s="390"/>
      <c r="G11" s="391" t="s">
        <v>296</v>
      </c>
      <c r="H11" s="392"/>
      <c r="I11" s="1073"/>
      <c r="J11" s="147"/>
      <c r="K11" s="147"/>
      <c r="L11" s="147"/>
      <c r="M11" s="147"/>
      <c r="N11" s="147"/>
      <c r="O11" s="147"/>
      <c r="P11" s="147"/>
      <c r="Q11" s="147"/>
      <c r="R11" s="393"/>
      <c r="S11" s="386"/>
      <c r="AC11" s="1422" t="s">
        <v>297</v>
      </c>
      <c r="AD11" s="1422"/>
      <c r="AE11" s="394"/>
      <c r="AF11" s="394"/>
      <c r="AG11" s="335">
        <f>IF(H11&gt;0,ROUND(H11*I11%,),SUM(AG12:AG31))</f>
        <v>0</v>
      </c>
      <c r="AH11" s="144"/>
      <c r="AI11" s="144"/>
      <c r="AJ11" s="144"/>
    </row>
    <row r="12" spans="2:52" ht="30" customHeight="1" thickTop="1">
      <c r="B12" s="1425" t="s">
        <v>260</v>
      </c>
      <c r="C12" s="1468"/>
      <c r="D12" s="1463" t="s">
        <v>298</v>
      </c>
      <c r="E12" s="1464"/>
      <c r="F12" s="1465"/>
      <c r="G12" s="1466"/>
      <c r="H12" s="1470"/>
      <c r="I12" s="1471"/>
      <c r="J12" s="395"/>
      <c r="K12" s="395"/>
      <c r="L12" s="395"/>
      <c r="M12" s="395"/>
      <c r="N12" s="395"/>
      <c r="O12" s="395"/>
      <c r="P12" s="395"/>
      <c r="Q12" s="395"/>
      <c r="R12" s="396"/>
      <c r="S12" s="334"/>
      <c r="AC12" s="1422" t="s">
        <v>299</v>
      </c>
      <c r="AD12" s="1422"/>
      <c r="AE12" s="344">
        <f>SUMPRODUCT(ROUND((F13:F27)*(I13:I27)/100,))</f>
        <v>0</v>
      </c>
      <c r="AF12" s="225">
        <f>IF(AND(AE12&gt;0,AG12&gt;0),ROUND(AG12/AE12,2),)</f>
        <v>0</v>
      </c>
      <c r="AG12" s="335">
        <f>SUMPRODUCT(ROUND((H13:H27)*(I13:I27)/100,))</f>
        <v>0</v>
      </c>
      <c r="AH12" s="144"/>
      <c r="AI12" s="144"/>
      <c r="AJ12" s="144"/>
    </row>
    <row r="13" spans="2:52" ht="30" customHeight="1">
      <c r="B13" s="1425"/>
      <c r="C13" s="1468"/>
      <c r="D13" s="397"/>
      <c r="E13" s="398"/>
      <c r="F13" s="399"/>
      <c r="G13" s="332"/>
      <c r="H13" s="400"/>
      <c r="I13" s="1074"/>
      <c r="J13" s="395"/>
      <c r="K13" s="395"/>
      <c r="L13" s="395"/>
      <c r="M13" s="395"/>
      <c r="N13" s="395"/>
      <c r="O13" s="395"/>
      <c r="P13" s="395"/>
      <c r="Q13" s="395"/>
      <c r="R13" s="396"/>
      <c r="S13" s="334"/>
      <c r="AC13" s="1422" t="s">
        <v>300</v>
      </c>
      <c r="AD13" s="1422"/>
      <c r="AE13" s="344">
        <f>SUMPRODUCT(ROUND((F29:F43)*(I29:I43)/100,))</f>
        <v>0</v>
      </c>
      <c r="AF13" s="225">
        <f t="shared" ref="AF13:AF16" si="0">IF(AND(AE13&gt;0,AG13&gt;0),ROUND(AG13/AE13,2),)</f>
        <v>0</v>
      </c>
      <c r="AG13" s="335">
        <f>SUMPRODUCT(ROUND((H29:H43)*(I29:I43)/100,))</f>
        <v>0</v>
      </c>
      <c r="AI13" s="144"/>
      <c r="AJ13" s="144"/>
    </row>
    <row r="14" spans="2:52" ht="30" customHeight="1">
      <c r="B14" s="1425"/>
      <c r="C14" s="1468"/>
      <c r="D14" s="397"/>
      <c r="E14" s="398"/>
      <c r="F14" s="401"/>
      <c r="G14" s="332"/>
      <c r="H14" s="402"/>
      <c r="I14" s="1075"/>
      <c r="J14" s="395"/>
      <c r="K14" s="395"/>
      <c r="L14" s="395"/>
      <c r="M14" s="395"/>
      <c r="N14" s="395"/>
      <c r="O14" s="395"/>
      <c r="P14" s="395"/>
      <c r="Q14" s="395"/>
      <c r="R14" s="396"/>
      <c r="S14" s="334"/>
      <c r="AC14" s="1422" t="s">
        <v>301</v>
      </c>
      <c r="AD14" s="1422"/>
      <c r="AE14" s="344">
        <f>SUMPRODUCT(ROUND((F45:F59)*(I45:I59)/100,))</f>
        <v>0</v>
      </c>
      <c r="AF14" s="225">
        <f t="shared" si="0"/>
        <v>0</v>
      </c>
      <c r="AG14" s="335">
        <f>SUMPRODUCT(ROUND((H45:H59)*(I45:I59)/100,))</f>
        <v>0</v>
      </c>
    </row>
    <row r="15" spans="2:52" ht="30" customHeight="1">
      <c r="B15" s="1425"/>
      <c r="C15" s="1468"/>
      <c r="D15" s="397"/>
      <c r="E15" s="398"/>
      <c r="F15" s="403"/>
      <c r="G15" s="332"/>
      <c r="H15" s="404"/>
      <c r="I15" s="1076"/>
      <c r="J15" s="395"/>
      <c r="K15" s="395"/>
      <c r="L15" s="395"/>
      <c r="M15" s="395"/>
      <c r="N15" s="395"/>
      <c r="O15" s="395"/>
      <c r="P15" s="395"/>
      <c r="Q15" s="395"/>
      <c r="R15" s="396"/>
      <c r="S15" s="334"/>
      <c r="AC15" s="1422" t="s">
        <v>302</v>
      </c>
      <c r="AD15" s="1422"/>
      <c r="AE15" s="344">
        <f>SUMPRODUCT(ROUND((F61:F75)*(I61:I75)/100,))</f>
        <v>0</v>
      </c>
      <c r="AF15" s="225">
        <f t="shared" si="0"/>
        <v>0</v>
      </c>
      <c r="AG15" s="335">
        <f>SUMPRODUCT(ROUND((H61:H75)*(I61:I75)/100,))</f>
        <v>0</v>
      </c>
    </row>
    <row r="16" spans="2:52" ht="30" customHeight="1" collapsed="1">
      <c r="B16" s="1425"/>
      <c r="C16" s="1468"/>
      <c r="D16" s="397"/>
      <c r="E16" s="398"/>
      <c r="F16" s="401"/>
      <c r="G16" s="332"/>
      <c r="H16" s="402"/>
      <c r="I16" s="1075"/>
      <c r="J16" s="395"/>
      <c r="K16" s="395"/>
      <c r="L16" s="395"/>
      <c r="M16" s="395"/>
      <c r="N16" s="395"/>
      <c r="O16" s="395"/>
      <c r="P16" s="395"/>
      <c r="Q16" s="395"/>
      <c r="R16" s="396"/>
      <c r="S16" s="334"/>
      <c r="AC16" s="1422" t="s">
        <v>303</v>
      </c>
      <c r="AD16" s="1422"/>
      <c r="AE16" s="344">
        <f>SUMPRODUCT(ROUND((F77:F91)*(I77:I91)/100,))</f>
        <v>0</v>
      </c>
      <c r="AF16" s="225">
        <f t="shared" si="0"/>
        <v>0</v>
      </c>
      <c r="AG16" s="335">
        <f>SUMPRODUCT(ROUND((H77:H91)*(I77:I91)/100,))</f>
        <v>0</v>
      </c>
    </row>
    <row r="17" spans="2:33" ht="30" hidden="1" customHeight="1" outlineLevel="1">
      <c r="B17" s="1425"/>
      <c r="C17" s="1468"/>
      <c r="D17" s="397"/>
      <c r="E17" s="398"/>
      <c r="F17" s="403"/>
      <c r="G17" s="332"/>
      <c r="H17" s="404"/>
      <c r="I17" s="1076"/>
      <c r="J17" s="395"/>
      <c r="K17" s="395"/>
      <c r="L17" s="395"/>
      <c r="M17" s="395"/>
      <c r="N17" s="395"/>
      <c r="O17" s="395"/>
      <c r="P17" s="395"/>
      <c r="Q17" s="395"/>
      <c r="R17" s="396"/>
      <c r="S17" s="334"/>
      <c r="AC17" s="1462"/>
      <c r="AD17" s="1462"/>
      <c r="AE17" s="383"/>
      <c r="AF17" s="405"/>
      <c r="AG17" s="384"/>
    </row>
    <row r="18" spans="2:33" ht="30" hidden="1" customHeight="1" outlineLevel="1">
      <c r="B18" s="1425"/>
      <c r="C18" s="1468"/>
      <c r="D18" s="397"/>
      <c r="E18" s="398"/>
      <c r="F18" s="403"/>
      <c r="G18" s="332"/>
      <c r="H18" s="404"/>
      <c r="I18" s="1076"/>
      <c r="J18" s="395"/>
      <c r="K18" s="395"/>
      <c r="L18" s="395"/>
      <c r="M18" s="395"/>
      <c r="N18" s="395"/>
      <c r="O18" s="395"/>
      <c r="P18" s="395"/>
      <c r="Q18" s="395"/>
      <c r="R18" s="396"/>
      <c r="S18" s="334"/>
      <c r="AC18" s="1462"/>
      <c r="AD18" s="1462"/>
      <c r="AE18" s="383"/>
      <c r="AF18" s="405"/>
      <c r="AG18" s="384"/>
    </row>
    <row r="19" spans="2:33" ht="30" hidden="1" customHeight="1" outlineLevel="1">
      <c r="B19" s="1425"/>
      <c r="C19" s="1468"/>
      <c r="D19" s="397"/>
      <c r="E19" s="398"/>
      <c r="F19" s="401"/>
      <c r="G19" s="332"/>
      <c r="H19" s="402"/>
      <c r="I19" s="1075"/>
      <c r="J19" s="395"/>
      <c r="K19" s="395"/>
      <c r="L19" s="395"/>
      <c r="M19" s="395"/>
      <c r="N19" s="395"/>
      <c r="O19" s="395"/>
      <c r="P19" s="395"/>
      <c r="Q19" s="395"/>
      <c r="R19" s="396"/>
      <c r="S19" s="334"/>
      <c r="AC19" s="1462"/>
      <c r="AD19" s="1462"/>
      <c r="AE19" s="383"/>
      <c r="AF19" s="405"/>
      <c r="AG19" s="384"/>
    </row>
    <row r="20" spans="2:33" ht="30" hidden="1" customHeight="1" outlineLevel="1">
      <c r="B20" s="1425"/>
      <c r="C20" s="1468"/>
      <c r="D20" s="397"/>
      <c r="E20" s="398"/>
      <c r="F20" s="403"/>
      <c r="G20" s="332"/>
      <c r="H20" s="404"/>
      <c r="I20" s="1076"/>
      <c r="J20" s="395"/>
      <c r="K20" s="395"/>
      <c r="L20" s="395"/>
      <c r="M20" s="395"/>
      <c r="N20" s="395"/>
      <c r="O20" s="395"/>
      <c r="P20" s="395"/>
      <c r="Q20" s="395"/>
      <c r="R20" s="396"/>
      <c r="S20" s="334"/>
      <c r="AC20" s="1462"/>
      <c r="AD20" s="1462"/>
      <c r="AE20" s="383"/>
      <c r="AF20" s="405"/>
      <c r="AG20" s="384"/>
    </row>
    <row r="21" spans="2:33" ht="30" hidden="1" customHeight="1" outlineLevel="1">
      <c r="B21" s="1425"/>
      <c r="C21" s="1468"/>
      <c r="D21" s="397"/>
      <c r="E21" s="398"/>
      <c r="F21" s="401"/>
      <c r="G21" s="332"/>
      <c r="H21" s="402"/>
      <c r="I21" s="1075"/>
      <c r="J21" s="395"/>
      <c r="K21" s="395"/>
      <c r="L21" s="395"/>
      <c r="M21" s="395"/>
      <c r="N21" s="395"/>
      <c r="O21" s="395"/>
      <c r="P21" s="395"/>
      <c r="Q21" s="395"/>
      <c r="R21" s="396"/>
      <c r="S21" s="334"/>
      <c r="AC21" s="1462"/>
      <c r="AD21" s="1462"/>
      <c r="AE21" s="383"/>
      <c r="AF21" s="405"/>
      <c r="AG21" s="384"/>
    </row>
    <row r="22" spans="2:33" ht="30" hidden="1" customHeight="1" outlineLevel="1">
      <c r="B22" s="1425"/>
      <c r="C22" s="1468"/>
      <c r="D22" s="397"/>
      <c r="E22" s="398"/>
      <c r="F22" s="403"/>
      <c r="G22" s="332"/>
      <c r="H22" s="404"/>
      <c r="I22" s="1076"/>
      <c r="J22" s="395"/>
      <c r="K22" s="395"/>
      <c r="L22" s="395"/>
      <c r="M22" s="395"/>
      <c r="N22" s="395"/>
      <c r="O22" s="395"/>
      <c r="P22" s="395"/>
      <c r="Q22" s="395"/>
      <c r="R22" s="396"/>
      <c r="S22" s="334"/>
      <c r="AC22" s="1462"/>
      <c r="AD22" s="1462"/>
      <c r="AE22" s="383"/>
      <c r="AF22" s="405"/>
      <c r="AG22" s="384"/>
    </row>
    <row r="23" spans="2:33" ht="30" hidden="1" customHeight="1" outlineLevel="1">
      <c r="B23" s="1425"/>
      <c r="C23" s="1468"/>
      <c r="D23" s="397"/>
      <c r="E23" s="398"/>
      <c r="F23" s="401"/>
      <c r="G23" s="332"/>
      <c r="H23" s="402"/>
      <c r="I23" s="1075"/>
      <c r="J23" s="395"/>
      <c r="K23" s="395"/>
      <c r="L23" s="395"/>
      <c r="M23" s="395"/>
      <c r="N23" s="395"/>
      <c r="O23" s="395"/>
      <c r="P23" s="395"/>
      <c r="Q23" s="395"/>
      <c r="R23" s="396"/>
      <c r="S23" s="334"/>
      <c r="AC23" s="1462"/>
      <c r="AD23" s="1462"/>
      <c r="AE23" s="383"/>
      <c r="AF23" s="405"/>
      <c r="AG23" s="384"/>
    </row>
    <row r="24" spans="2:33" ht="30" hidden="1" customHeight="1" outlineLevel="1">
      <c r="B24" s="1425"/>
      <c r="C24" s="1468"/>
      <c r="D24" s="397"/>
      <c r="E24" s="398"/>
      <c r="F24" s="403"/>
      <c r="G24" s="332"/>
      <c r="H24" s="404"/>
      <c r="I24" s="1076"/>
      <c r="J24" s="395"/>
      <c r="K24" s="395"/>
      <c r="L24" s="395"/>
      <c r="M24" s="395"/>
      <c r="N24" s="395"/>
      <c r="O24" s="395"/>
      <c r="P24" s="395"/>
      <c r="Q24" s="395"/>
      <c r="R24" s="396"/>
      <c r="S24" s="334"/>
      <c r="AC24" s="1462"/>
      <c r="AD24" s="1462"/>
      <c r="AE24" s="383"/>
      <c r="AF24" s="405"/>
      <c r="AG24" s="384"/>
    </row>
    <row r="25" spans="2:33" ht="30" hidden="1" customHeight="1" outlineLevel="1">
      <c r="B25" s="1425"/>
      <c r="C25" s="1468"/>
      <c r="D25" s="397"/>
      <c r="E25" s="398"/>
      <c r="F25" s="401"/>
      <c r="G25" s="332"/>
      <c r="H25" s="402"/>
      <c r="I25" s="1075"/>
      <c r="J25" s="395"/>
      <c r="K25" s="395"/>
      <c r="L25" s="395"/>
      <c r="M25" s="395"/>
      <c r="N25" s="395"/>
      <c r="O25" s="395"/>
      <c r="P25" s="395"/>
      <c r="Q25" s="395"/>
      <c r="R25" s="396"/>
      <c r="S25" s="334"/>
      <c r="AF25" s="406"/>
    </row>
    <row r="26" spans="2:33" ht="30" hidden="1" customHeight="1" outlineLevel="1">
      <c r="B26" s="1425"/>
      <c r="C26" s="1468"/>
      <c r="D26" s="397"/>
      <c r="E26" s="398"/>
      <c r="F26" s="403"/>
      <c r="G26" s="332"/>
      <c r="H26" s="404"/>
      <c r="I26" s="1076"/>
      <c r="J26" s="395"/>
      <c r="K26" s="395"/>
      <c r="L26" s="395"/>
      <c r="M26" s="395"/>
      <c r="N26" s="395"/>
      <c r="O26" s="395"/>
      <c r="P26" s="395"/>
      <c r="Q26" s="395"/>
      <c r="R26" s="396"/>
      <c r="S26" s="334"/>
      <c r="AF26" s="406"/>
    </row>
    <row r="27" spans="2:33" ht="30" hidden="1" customHeight="1" outlineLevel="1">
      <c r="B27" s="1425"/>
      <c r="C27" s="1468"/>
      <c r="D27" s="397"/>
      <c r="E27" s="398"/>
      <c r="F27" s="401"/>
      <c r="G27" s="332"/>
      <c r="H27" s="402"/>
      <c r="I27" s="1075"/>
      <c r="J27" s="395"/>
      <c r="K27" s="395"/>
      <c r="L27" s="395"/>
      <c r="M27" s="395"/>
      <c r="N27" s="395"/>
      <c r="O27" s="395"/>
      <c r="P27" s="395"/>
      <c r="Q27" s="395"/>
      <c r="R27" s="396"/>
      <c r="S27" s="334"/>
      <c r="AF27" s="406"/>
    </row>
    <row r="28" spans="2:33" ht="30" customHeight="1">
      <c r="B28" s="1425"/>
      <c r="C28" s="1468"/>
      <c r="D28" s="1463" t="s">
        <v>304</v>
      </c>
      <c r="E28" s="1464"/>
      <c r="F28" s="1465"/>
      <c r="G28" s="1466"/>
      <c r="H28" s="1466"/>
      <c r="I28" s="1467"/>
      <c r="J28" s="395"/>
      <c r="K28" s="395"/>
      <c r="L28" s="395"/>
      <c r="M28" s="395"/>
      <c r="N28" s="395"/>
      <c r="O28" s="395"/>
      <c r="P28" s="395"/>
      <c r="Q28" s="395"/>
      <c r="R28" s="396"/>
      <c r="S28" s="334"/>
      <c r="AC28" s="1422" t="s">
        <v>305</v>
      </c>
      <c r="AD28" s="1422"/>
      <c r="AE28" s="344">
        <f>SUMPRODUCT(ROUND((F93:F107)*(I93:I107)/100,))</f>
        <v>0</v>
      </c>
      <c r="AF28" s="225">
        <f>IF(AND(AE28&gt;0,AG28&gt;0),ROUND(AG28/AE28,2),)</f>
        <v>0</v>
      </c>
      <c r="AG28" s="335">
        <f>SUMPRODUCT(ROUND((H93:H107)*(I93:I107)/100,))</f>
        <v>0</v>
      </c>
    </row>
    <row r="29" spans="2:33" ht="30" customHeight="1">
      <c r="B29" s="1425"/>
      <c r="C29" s="1468"/>
      <c r="D29" s="397"/>
      <c r="E29" s="398"/>
      <c r="F29" s="399"/>
      <c r="G29" s="332"/>
      <c r="H29" s="400"/>
      <c r="I29" s="1074"/>
      <c r="J29" s="395"/>
      <c r="K29" s="395"/>
      <c r="L29" s="395"/>
      <c r="M29" s="395"/>
      <c r="N29" s="395"/>
      <c r="O29" s="395"/>
      <c r="P29" s="395"/>
      <c r="Q29" s="395"/>
      <c r="R29" s="396"/>
      <c r="S29" s="334"/>
      <c r="AC29" s="1422" t="s">
        <v>306</v>
      </c>
      <c r="AD29" s="1422"/>
      <c r="AE29" s="394"/>
      <c r="AF29" s="394"/>
      <c r="AG29" s="335">
        <f>ROUND(H108*I108%,)</f>
        <v>0</v>
      </c>
    </row>
    <row r="30" spans="2:33" ht="30" customHeight="1">
      <c r="B30" s="1425"/>
      <c r="C30" s="1468"/>
      <c r="D30" s="397"/>
      <c r="E30" s="398"/>
      <c r="F30" s="401"/>
      <c r="G30" s="332"/>
      <c r="H30" s="402"/>
      <c r="I30" s="1075"/>
      <c r="J30" s="395"/>
      <c r="K30" s="395"/>
      <c r="L30" s="395"/>
      <c r="M30" s="395"/>
      <c r="N30" s="395"/>
      <c r="O30" s="395"/>
      <c r="P30" s="395"/>
      <c r="Q30" s="395"/>
      <c r="R30" s="396"/>
      <c r="S30" s="334"/>
      <c r="AC30" s="1422" t="s">
        <v>307</v>
      </c>
      <c r="AD30" s="1422"/>
      <c r="AE30" s="344">
        <f>ROUND(F109*I109%,)</f>
        <v>0</v>
      </c>
      <c r="AF30" s="225">
        <f>IF(AND(AE30&gt;0,AG30&gt;0),ROUND(AG30/AE30,2),)</f>
        <v>0</v>
      </c>
      <c r="AG30" s="335">
        <f>ROUND(H109*I109%,)</f>
        <v>0</v>
      </c>
    </row>
    <row r="31" spans="2:33" ht="30" customHeight="1">
      <c r="B31" s="1425"/>
      <c r="C31" s="1468"/>
      <c r="D31" s="397"/>
      <c r="E31" s="398"/>
      <c r="F31" s="403"/>
      <c r="G31" s="332"/>
      <c r="H31" s="404"/>
      <c r="I31" s="1076"/>
      <c r="J31" s="395"/>
      <c r="K31" s="395"/>
      <c r="L31" s="395"/>
      <c r="M31" s="395"/>
      <c r="N31" s="395"/>
      <c r="O31" s="395"/>
      <c r="P31" s="395"/>
      <c r="Q31" s="395"/>
      <c r="R31" s="396"/>
      <c r="S31" s="334"/>
      <c r="AC31" s="1422" t="s">
        <v>308</v>
      </c>
      <c r="AD31" s="1422"/>
      <c r="AE31" s="394"/>
      <c r="AF31" s="394"/>
      <c r="AG31" s="335">
        <f>ROUND(H110*I110%,)</f>
        <v>0</v>
      </c>
    </row>
    <row r="32" spans="2:33" ht="30" customHeight="1" collapsed="1">
      <c r="B32" s="1425"/>
      <c r="C32" s="1468"/>
      <c r="D32" s="397"/>
      <c r="E32" s="398"/>
      <c r="F32" s="403"/>
      <c r="G32" s="332"/>
      <c r="H32" s="404"/>
      <c r="I32" s="1076"/>
      <c r="J32" s="395"/>
      <c r="K32" s="395"/>
      <c r="L32" s="395"/>
      <c r="M32" s="395"/>
      <c r="N32" s="395"/>
      <c r="O32" s="395"/>
      <c r="P32" s="395"/>
      <c r="Q32" s="395"/>
      <c r="R32" s="396"/>
      <c r="S32" s="334"/>
      <c r="AC32" s="1462"/>
      <c r="AD32" s="1462"/>
      <c r="AE32" s="383"/>
      <c r="AF32" s="265"/>
      <c r="AG32" s="384"/>
    </row>
    <row r="33" spans="1:33" ht="30" hidden="1" customHeight="1" outlineLevel="1">
      <c r="B33" s="1425"/>
      <c r="C33" s="1468"/>
      <c r="D33" s="397"/>
      <c r="E33" s="398"/>
      <c r="F33" s="401"/>
      <c r="G33" s="332"/>
      <c r="H33" s="402"/>
      <c r="I33" s="1075"/>
      <c r="J33" s="395"/>
      <c r="K33" s="395"/>
      <c r="L33" s="395"/>
      <c r="M33" s="395"/>
      <c r="N33" s="395"/>
      <c r="O33" s="395"/>
      <c r="P33" s="395"/>
      <c r="Q33" s="395"/>
      <c r="R33" s="396"/>
      <c r="S33" s="334"/>
      <c r="AC33" s="1462"/>
      <c r="AD33" s="1462"/>
      <c r="AE33" s="383"/>
      <c r="AF33" s="265"/>
      <c r="AG33" s="384"/>
    </row>
    <row r="34" spans="1:33" ht="30" hidden="1" customHeight="1" outlineLevel="1">
      <c r="B34" s="1425"/>
      <c r="C34" s="1468"/>
      <c r="D34" s="397"/>
      <c r="E34" s="398"/>
      <c r="F34" s="403"/>
      <c r="G34" s="332"/>
      <c r="H34" s="404"/>
      <c r="I34" s="1076"/>
      <c r="J34" s="395"/>
      <c r="K34" s="395"/>
      <c r="L34" s="395"/>
      <c r="M34" s="395"/>
      <c r="N34" s="395"/>
      <c r="O34" s="395"/>
      <c r="P34" s="395"/>
      <c r="Q34" s="395"/>
      <c r="R34" s="396"/>
      <c r="S34" s="334"/>
      <c r="AC34" s="1462"/>
      <c r="AD34" s="1462"/>
      <c r="AE34" s="383"/>
      <c r="AF34" s="265"/>
      <c r="AG34" s="384"/>
    </row>
    <row r="35" spans="1:33" ht="30" hidden="1" customHeight="1" outlineLevel="1">
      <c r="B35" s="1425"/>
      <c r="C35" s="1468"/>
      <c r="D35" s="397"/>
      <c r="E35" s="398"/>
      <c r="F35" s="401"/>
      <c r="G35" s="332"/>
      <c r="H35" s="402"/>
      <c r="I35" s="1075"/>
      <c r="J35" s="395"/>
      <c r="K35" s="395"/>
      <c r="L35" s="395"/>
      <c r="M35" s="395"/>
      <c r="N35" s="395"/>
      <c r="O35" s="395"/>
      <c r="P35" s="395"/>
      <c r="Q35" s="395"/>
      <c r="R35" s="396"/>
      <c r="S35" s="334"/>
      <c r="AC35" s="1462"/>
      <c r="AD35" s="1462"/>
      <c r="AE35" s="383"/>
      <c r="AF35" s="265"/>
      <c r="AG35" s="384"/>
    </row>
    <row r="36" spans="1:33" ht="30" hidden="1" customHeight="1" outlineLevel="1">
      <c r="B36" s="1425"/>
      <c r="C36" s="1468"/>
      <c r="D36" s="397"/>
      <c r="E36" s="398"/>
      <c r="F36" s="403"/>
      <c r="G36" s="332"/>
      <c r="H36" s="404"/>
      <c r="I36" s="1076"/>
      <c r="J36" s="395"/>
      <c r="K36" s="395"/>
      <c r="L36" s="395"/>
      <c r="M36" s="395"/>
      <c r="N36" s="395"/>
      <c r="O36" s="395"/>
      <c r="P36" s="395"/>
      <c r="Q36" s="395"/>
      <c r="R36" s="396"/>
      <c r="S36" s="334"/>
      <c r="AC36" s="1462"/>
      <c r="AD36" s="1462"/>
      <c r="AE36" s="383"/>
      <c r="AF36" s="265"/>
      <c r="AG36" s="384"/>
    </row>
    <row r="37" spans="1:33" ht="30" hidden="1" customHeight="1" outlineLevel="1">
      <c r="B37" s="1425"/>
      <c r="C37" s="1468"/>
      <c r="D37" s="397"/>
      <c r="E37" s="398"/>
      <c r="F37" s="401"/>
      <c r="G37" s="332"/>
      <c r="H37" s="402"/>
      <c r="I37" s="1075"/>
      <c r="J37" s="395"/>
      <c r="K37" s="395"/>
      <c r="L37" s="395"/>
      <c r="M37" s="395"/>
      <c r="N37" s="395"/>
      <c r="O37" s="395"/>
      <c r="P37" s="395"/>
      <c r="Q37" s="395"/>
      <c r="R37" s="396"/>
      <c r="S37" s="334"/>
      <c r="AC37" s="1462"/>
      <c r="AD37" s="1462"/>
      <c r="AE37" s="383"/>
      <c r="AF37" s="265"/>
      <c r="AG37" s="384"/>
    </row>
    <row r="38" spans="1:33" ht="30" hidden="1" customHeight="1" outlineLevel="1">
      <c r="B38" s="1425"/>
      <c r="C38" s="1468"/>
      <c r="D38" s="397"/>
      <c r="E38" s="398"/>
      <c r="F38" s="403"/>
      <c r="G38" s="332"/>
      <c r="H38" s="404"/>
      <c r="I38" s="1076"/>
      <c r="J38" s="395"/>
      <c r="K38" s="395"/>
      <c r="L38" s="395"/>
      <c r="M38" s="395"/>
      <c r="N38" s="395"/>
      <c r="O38" s="395"/>
      <c r="P38" s="395"/>
      <c r="Q38" s="395"/>
      <c r="R38" s="396"/>
      <c r="S38" s="334"/>
      <c r="AC38" s="1462"/>
      <c r="AD38" s="1462"/>
      <c r="AE38" s="383"/>
      <c r="AF38" s="265"/>
      <c r="AG38" s="384"/>
    </row>
    <row r="39" spans="1:33" ht="30" hidden="1" customHeight="1" outlineLevel="1">
      <c r="B39" s="1425"/>
      <c r="C39" s="1468"/>
      <c r="D39" s="397"/>
      <c r="E39" s="398"/>
      <c r="F39" s="401"/>
      <c r="G39" s="332"/>
      <c r="H39" s="402"/>
      <c r="I39" s="1075"/>
      <c r="J39" s="395"/>
      <c r="K39" s="395"/>
      <c r="L39" s="395"/>
      <c r="M39" s="395"/>
      <c r="N39" s="395"/>
      <c r="O39" s="395"/>
      <c r="P39" s="395"/>
      <c r="Q39" s="395"/>
      <c r="R39" s="396"/>
      <c r="S39" s="334"/>
      <c r="AC39" s="1462"/>
      <c r="AD39" s="1462"/>
      <c r="AE39" s="383"/>
      <c r="AF39" s="265"/>
      <c r="AG39" s="384"/>
    </row>
    <row r="40" spans="1:33" ht="30" hidden="1" customHeight="1" outlineLevel="1">
      <c r="B40" s="1425"/>
      <c r="C40" s="1468"/>
      <c r="D40" s="397"/>
      <c r="E40" s="398"/>
      <c r="F40" s="403"/>
      <c r="G40" s="332"/>
      <c r="H40" s="404"/>
      <c r="I40" s="1076"/>
      <c r="J40" s="395"/>
      <c r="K40" s="395"/>
      <c r="L40" s="395"/>
      <c r="M40" s="395"/>
      <c r="N40" s="395"/>
      <c r="O40" s="395"/>
      <c r="P40" s="395"/>
      <c r="Q40" s="395"/>
      <c r="R40" s="396"/>
      <c r="S40" s="334"/>
      <c r="AC40" s="1462"/>
      <c r="AD40" s="1462"/>
      <c r="AE40" s="383"/>
      <c r="AF40" s="265"/>
      <c r="AG40" s="384"/>
    </row>
    <row r="41" spans="1:33" ht="30" hidden="1" customHeight="1" outlineLevel="1">
      <c r="B41" s="1425"/>
      <c r="C41" s="1468"/>
      <c r="D41" s="397"/>
      <c r="E41" s="398"/>
      <c r="F41" s="401"/>
      <c r="G41" s="332"/>
      <c r="H41" s="402"/>
      <c r="I41" s="1075"/>
      <c r="J41" s="395"/>
      <c r="K41" s="395"/>
      <c r="L41" s="395"/>
      <c r="M41" s="395"/>
      <c r="N41" s="395"/>
      <c r="O41" s="395"/>
      <c r="P41" s="395"/>
      <c r="Q41" s="395"/>
      <c r="R41" s="396"/>
      <c r="S41" s="334"/>
    </row>
    <row r="42" spans="1:33" ht="30" hidden="1" customHeight="1" outlineLevel="1">
      <c r="B42" s="1425"/>
      <c r="C42" s="1468"/>
      <c r="D42" s="397"/>
      <c r="E42" s="398"/>
      <c r="F42" s="403"/>
      <c r="G42" s="332"/>
      <c r="H42" s="404"/>
      <c r="I42" s="1076"/>
      <c r="J42" s="395"/>
      <c r="K42" s="395"/>
      <c r="L42" s="395"/>
      <c r="M42" s="395"/>
      <c r="N42" s="395"/>
      <c r="O42" s="395"/>
      <c r="P42" s="395"/>
      <c r="Q42" s="395"/>
      <c r="R42" s="396"/>
      <c r="S42" s="334"/>
    </row>
    <row r="43" spans="1:33" ht="30" hidden="1" customHeight="1" outlineLevel="1">
      <c r="B43" s="1425"/>
      <c r="C43" s="1468"/>
      <c r="D43" s="397"/>
      <c r="E43" s="398"/>
      <c r="F43" s="401"/>
      <c r="G43" s="332"/>
      <c r="H43" s="402"/>
      <c r="I43" s="1075"/>
      <c r="J43" s="395"/>
      <c r="K43" s="395"/>
      <c r="L43" s="395"/>
      <c r="M43" s="395"/>
      <c r="N43" s="395"/>
      <c r="O43" s="395"/>
      <c r="P43" s="395"/>
      <c r="Q43" s="395"/>
      <c r="R43" s="396"/>
      <c r="S43" s="334"/>
    </row>
    <row r="44" spans="1:33" ht="30" customHeight="1">
      <c r="B44" s="1425"/>
      <c r="C44" s="1468"/>
      <c r="D44" s="1463" t="s">
        <v>309</v>
      </c>
      <c r="E44" s="1464"/>
      <c r="F44" s="1465"/>
      <c r="G44" s="1466"/>
      <c r="H44" s="1466"/>
      <c r="I44" s="1467"/>
      <c r="J44" s="395"/>
      <c r="K44" s="395"/>
      <c r="L44" s="395"/>
      <c r="M44" s="395"/>
      <c r="N44" s="395"/>
      <c r="O44" s="395"/>
      <c r="P44" s="395"/>
      <c r="Q44" s="395"/>
      <c r="R44" s="396"/>
      <c r="S44" s="334"/>
    </row>
    <row r="45" spans="1:33" ht="30" customHeight="1">
      <c r="A45" s="407"/>
      <c r="B45" s="1425"/>
      <c r="C45" s="1468"/>
      <c r="D45" s="408"/>
      <c r="E45" s="398"/>
      <c r="F45" s="399"/>
      <c r="G45" s="332"/>
      <c r="H45" s="400"/>
      <c r="I45" s="1074"/>
      <c r="J45" s="409"/>
      <c r="K45" s="409"/>
      <c r="L45" s="409"/>
      <c r="M45" s="409"/>
      <c r="N45" s="409"/>
      <c r="O45" s="409"/>
      <c r="P45" s="409"/>
      <c r="Q45" s="409"/>
      <c r="R45" s="410"/>
      <c r="S45" s="334"/>
    </row>
    <row r="46" spans="1:33" ht="30" customHeight="1">
      <c r="A46" s="407"/>
      <c r="B46" s="1425"/>
      <c r="C46" s="1468"/>
      <c r="D46" s="408"/>
      <c r="E46" s="398"/>
      <c r="F46" s="401"/>
      <c r="G46" s="332"/>
      <c r="H46" s="402"/>
      <c r="I46" s="1075"/>
      <c r="J46" s="409"/>
      <c r="K46" s="409"/>
      <c r="L46" s="409"/>
      <c r="M46" s="409"/>
      <c r="N46" s="409"/>
      <c r="O46" s="409"/>
      <c r="P46" s="409"/>
      <c r="Q46" s="409"/>
      <c r="R46" s="410"/>
      <c r="S46" s="334"/>
    </row>
    <row r="47" spans="1:33" ht="30" customHeight="1">
      <c r="B47" s="1425"/>
      <c r="C47" s="1468"/>
      <c r="D47" s="397"/>
      <c r="E47" s="398"/>
      <c r="F47" s="401"/>
      <c r="G47" s="332"/>
      <c r="H47" s="402"/>
      <c r="I47" s="1075"/>
      <c r="J47" s="395"/>
      <c r="K47" s="395"/>
      <c r="L47" s="395"/>
      <c r="M47" s="395"/>
      <c r="N47" s="395"/>
      <c r="O47" s="395"/>
      <c r="P47" s="395"/>
      <c r="Q47" s="395"/>
      <c r="R47" s="396"/>
      <c r="S47" s="334"/>
      <c r="AC47" s="1462"/>
      <c r="AD47" s="1462"/>
      <c r="AE47" s="383"/>
      <c r="AF47" s="265"/>
      <c r="AG47" s="384"/>
    </row>
    <row r="48" spans="1:33" ht="30" customHeight="1" collapsed="1">
      <c r="B48" s="1425"/>
      <c r="C48" s="1468"/>
      <c r="D48" s="397"/>
      <c r="E48" s="398"/>
      <c r="F48" s="403"/>
      <c r="G48" s="332"/>
      <c r="H48" s="404"/>
      <c r="I48" s="1076"/>
      <c r="J48" s="395"/>
      <c r="K48" s="395"/>
      <c r="L48" s="395"/>
      <c r="M48" s="395"/>
      <c r="N48" s="395"/>
      <c r="O48" s="395"/>
      <c r="P48" s="395"/>
      <c r="Q48" s="395"/>
      <c r="R48" s="396"/>
      <c r="S48" s="334"/>
      <c r="AC48" s="1462"/>
      <c r="AD48" s="1462"/>
      <c r="AE48" s="383"/>
      <c r="AF48" s="265"/>
      <c r="AG48" s="384"/>
    </row>
    <row r="49" spans="1:60" ht="30" hidden="1" customHeight="1" outlineLevel="1">
      <c r="B49" s="1425"/>
      <c r="C49" s="1468"/>
      <c r="D49" s="397"/>
      <c r="E49" s="398"/>
      <c r="F49" s="401"/>
      <c r="G49" s="332"/>
      <c r="H49" s="402"/>
      <c r="I49" s="1075"/>
      <c r="J49" s="395"/>
      <c r="K49" s="395"/>
      <c r="L49" s="395"/>
      <c r="M49" s="395"/>
      <c r="N49" s="395"/>
      <c r="O49" s="395"/>
      <c r="P49" s="395"/>
      <c r="Q49" s="395"/>
      <c r="R49" s="396"/>
      <c r="S49" s="334"/>
      <c r="AC49" s="1462"/>
      <c r="AD49" s="1462"/>
      <c r="AE49" s="383"/>
      <c r="AF49" s="265"/>
      <c r="AG49" s="384"/>
    </row>
    <row r="50" spans="1:60" ht="30" hidden="1" customHeight="1" outlineLevel="1">
      <c r="B50" s="1425"/>
      <c r="C50" s="1468"/>
      <c r="D50" s="397"/>
      <c r="E50" s="398"/>
      <c r="F50" s="403"/>
      <c r="G50" s="332"/>
      <c r="H50" s="404"/>
      <c r="I50" s="1076"/>
      <c r="J50" s="395"/>
      <c r="K50" s="395"/>
      <c r="L50" s="395"/>
      <c r="M50" s="395"/>
      <c r="N50" s="395"/>
      <c r="O50" s="395"/>
      <c r="P50" s="395"/>
      <c r="Q50" s="395"/>
      <c r="R50" s="396"/>
      <c r="S50" s="334"/>
      <c r="AC50" s="1462"/>
      <c r="AD50" s="1462"/>
      <c r="AE50" s="383"/>
      <c r="AF50" s="265"/>
      <c r="AG50" s="384"/>
    </row>
    <row r="51" spans="1:60" ht="30" hidden="1" customHeight="1" outlineLevel="1">
      <c r="B51" s="1425"/>
      <c r="C51" s="1468"/>
      <c r="D51" s="397"/>
      <c r="E51" s="398"/>
      <c r="F51" s="401"/>
      <c r="G51" s="332"/>
      <c r="H51" s="402"/>
      <c r="I51" s="1075"/>
      <c r="J51" s="395"/>
      <c r="K51" s="395"/>
      <c r="L51" s="395"/>
      <c r="M51" s="395"/>
      <c r="N51" s="395"/>
      <c r="O51" s="395"/>
      <c r="P51" s="395"/>
      <c r="Q51" s="395"/>
      <c r="R51" s="396"/>
      <c r="S51" s="334"/>
      <c r="AC51" s="1462"/>
      <c r="AD51" s="1462"/>
      <c r="AE51" s="383"/>
      <c r="AF51" s="265"/>
      <c r="AG51" s="384"/>
    </row>
    <row r="52" spans="1:60" ht="30" hidden="1" customHeight="1" outlineLevel="1">
      <c r="B52" s="1425"/>
      <c r="C52" s="1468"/>
      <c r="D52" s="397"/>
      <c r="E52" s="398"/>
      <c r="F52" s="403"/>
      <c r="G52" s="332"/>
      <c r="H52" s="404"/>
      <c r="I52" s="1076"/>
      <c r="J52" s="395"/>
      <c r="K52" s="395"/>
      <c r="L52" s="395"/>
      <c r="M52" s="395"/>
      <c r="N52" s="395"/>
      <c r="O52" s="395"/>
      <c r="P52" s="395"/>
      <c r="Q52" s="395"/>
      <c r="R52" s="396"/>
      <c r="S52" s="334"/>
      <c r="AC52" s="1462"/>
      <c r="AD52" s="1462"/>
      <c r="AE52" s="383"/>
      <c r="AF52" s="265"/>
      <c r="AG52" s="384"/>
    </row>
    <row r="53" spans="1:60" ht="30" hidden="1" customHeight="1" outlineLevel="1">
      <c r="B53" s="1425"/>
      <c r="C53" s="1468"/>
      <c r="D53" s="397"/>
      <c r="E53" s="398"/>
      <c r="F53" s="401"/>
      <c r="G53" s="332"/>
      <c r="H53" s="402"/>
      <c r="I53" s="1075"/>
      <c r="J53" s="395"/>
      <c r="K53" s="395"/>
      <c r="L53" s="395"/>
      <c r="M53" s="395"/>
      <c r="N53" s="395"/>
      <c r="O53" s="395"/>
      <c r="P53" s="395"/>
      <c r="Q53" s="395"/>
      <c r="R53" s="396"/>
      <c r="S53" s="334"/>
      <c r="AC53" s="1462"/>
      <c r="AD53" s="1462"/>
      <c r="AE53" s="383"/>
      <c r="AF53" s="265"/>
      <c r="AG53" s="384"/>
    </row>
    <row r="54" spans="1:60" ht="30" hidden="1" customHeight="1" outlineLevel="1">
      <c r="B54" s="1425"/>
      <c r="C54" s="1468"/>
      <c r="D54" s="397"/>
      <c r="E54" s="398"/>
      <c r="F54" s="403"/>
      <c r="G54" s="332"/>
      <c r="H54" s="404"/>
      <c r="I54" s="1076"/>
      <c r="J54" s="395"/>
      <c r="K54" s="395"/>
      <c r="L54" s="395"/>
      <c r="M54" s="395"/>
      <c r="N54" s="395"/>
      <c r="O54" s="395"/>
      <c r="P54" s="395"/>
      <c r="Q54" s="395"/>
      <c r="R54" s="396"/>
      <c r="S54" s="334"/>
      <c r="AC54" s="1462"/>
      <c r="AD54" s="1462"/>
      <c r="AE54" s="383"/>
      <c r="AF54" s="265"/>
      <c r="AG54" s="384"/>
    </row>
    <row r="55" spans="1:60" ht="30" hidden="1" customHeight="1" outlineLevel="1">
      <c r="B55" s="1425"/>
      <c r="C55" s="1468"/>
      <c r="D55" s="397"/>
      <c r="E55" s="398"/>
      <c r="F55" s="401"/>
      <c r="G55" s="332"/>
      <c r="H55" s="402"/>
      <c r="I55" s="1075"/>
      <c r="J55" s="395"/>
      <c r="K55" s="395"/>
      <c r="L55" s="395"/>
      <c r="M55" s="395"/>
      <c r="N55" s="395"/>
      <c r="O55" s="395"/>
      <c r="P55" s="395"/>
      <c r="Q55" s="395"/>
      <c r="R55" s="396"/>
      <c r="S55" s="334"/>
    </row>
    <row r="56" spans="1:60" ht="30" hidden="1" customHeight="1" outlineLevel="1">
      <c r="B56" s="1425"/>
      <c r="C56" s="1468"/>
      <c r="D56" s="397"/>
      <c r="E56" s="398"/>
      <c r="F56" s="401"/>
      <c r="G56" s="332"/>
      <c r="H56" s="402"/>
      <c r="I56" s="1075"/>
      <c r="J56" s="395"/>
      <c r="K56" s="395"/>
      <c r="L56" s="395"/>
      <c r="M56" s="395"/>
      <c r="N56" s="395"/>
      <c r="O56" s="395"/>
      <c r="P56" s="395"/>
      <c r="Q56" s="395"/>
      <c r="R56" s="396"/>
      <c r="S56" s="334"/>
    </row>
    <row r="57" spans="1:60" ht="30" hidden="1" customHeight="1" outlineLevel="1">
      <c r="B57" s="1425"/>
      <c r="C57" s="1468"/>
      <c r="D57" s="397"/>
      <c r="E57" s="398"/>
      <c r="F57" s="403"/>
      <c r="G57" s="332"/>
      <c r="H57" s="404"/>
      <c r="I57" s="1076"/>
      <c r="J57" s="395"/>
      <c r="K57" s="395"/>
      <c r="L57" s="395"/>
      <c r="M57" s="395"/>
      <c r="N57" s="395"/>
      <c r="O57" s="395"/>
      <c r="P57" s="395"/>
      <c r="Q57" s="395"/>
      <c r="R57" s="396"/>
      <c r="S57" s="334"/>
    </row>
    <row r="58" spans="1:60" ht="30" hidden="1" customHeight="1" outlineLevel="1">
      <c r="B58" s="1425"/>
      <c r="C58" s="1468"/>
      <c r="D58" s="397"/>
      <c r="E58" s="398"/>
      <c r="F58" s="403"/>
      <c r="G58" s="332"/>
      <c r="H58" s="404"/>
      <c r="I58" s="1076"/>
      <c r="J58" s="395"/>
      <c r="K58" s="395"/>
      <c r="L58" s="395"/>
      <c r="M58" s="395"/>
      <c r="N58" s="395"/>
      <c r="O58" s="395"/>
      <c r="P58" s="395"/>
      <c r="Q58" s="395"/>
      <c r="R58" s="396"/>
      <c r="S58" s="334"/>
      <c r="BA58" s="173"/>
      <c r="BB58" s="173"/>
      <c r="BC58" s="173"/>
      <c r="BD58" s="173"/>
      <c r="BE58" s="173"/>
      <c r="BF58" s="173"/>
      <c r="BG58" s="173"/>
      <c r="BH58" s="173"/>
    </row>
    <row r="59" spans="1:60" s="407" customFormat="1" ht="30" hidden="1" customHeight="1" outlineLevel="1">
      <c r="A59" s="2"/>
      <c r="B59" s="1425"/>
      <c r="C59" s="1468"/>
      <c r="D59" s="397"/>
      <c r="E59" s="398"/>
      <c r="F59" s="401"/>
      <c r="G59" s="332"/>
      <c r="H59" s="402"/>
      <c r="I59" s="1075"/>
      <c r="J59" s="395"/>
      <c r="K59" s="395"/>
      <c r="L59" s="395"/>
      <c r="M59" s="395"/>
      <c r="N59" s="395"/>
      <c r="O59" s="395"/>
      <c r="P59" s="395"/>
      <c r="Q59" s="395"/>
      <c r="R59" s="396"/>
      <c r="S59" s="334"/>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34"/>
      <c r="AX59" s="2"/>
      <c r="AY59" s="2"/>
      <c r="AZ59" s="2"/>
      <c r="BA59" s="411"/>
      <c r="BB59" s="411"/>
      <c r="BC59" s="411"/>
      <c r="BD59" s="411"/>
      <c r="BE59" s="411"/>
      <c r="BF59" s="411"/>
      <c r="BG59" s="411"/>
      <c r="BH59" s="411"/>
    </row>
    <row r="60" spans="1:60" s="407" customFormat="1" ht="30" customHeight="1">
      <c r="A60" s="2"/>
      <c r="B60" s="1425"/>
      <c r="C60" s="1468"/>
      <c r="D60" s="1463" t="s">
        <v>310</v>
      </c>
      <c r="E60" s="1464"/>
      <c r="F60" s="1465"/>
      <c r="G60" s="1466"/>
      <c r="H60" s="1466"/>
      <c r="I60" s="1467"/>
      <c r="J60" s="395"/>
      <c r="K60" s="395"/>
      <c r="L60" s="395"/>
      <c r="M60" s="395"/>
      <c r="N60" s="395"/>
      <c r="O60" s="395"/>
      <c r="P60" s="395"/>
      <c r="Q60" s="395"/>
      <c r="R60" s="396"/>
      <c r="S60" s="334"/>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34"/>
      <c r="AX60" s="2"/>
      <c r="AY60" s="2"/>
      <c r="AZ60" s="2"/>
      <c r="BA60" s="411"/>
      <c r="BB60" s="411"/>
      <c r="BC60" s="411"/>
      <c r="BD60" s="411"/>
      <c r="BE60" s="411"/>
      <c r="BF60" s="411"/>
      <c r="BG60" s="411"/>
      <c r="BH60" s="411"/>
    </row>
    <row r="61" spans="1:60" ht="30" customHeight="1">
      <c r="B61" s="1425"/>
      <c r="C61" s="1468"/>
      <c r="D61" s="408"/>
      <c r="E61" s="398"/>
      <c r="F61" s="399"/>
      <c r="G61" s="332"/>
      <c r="H61" s="400"/>
      <c r="I61" s="1074"/>
      <c r="J61" s="395"/>
      <c r="K61" s="395"/>
      <c r="L61" s="395"/>
      <c r="M61" s="395"/>
      <c r="N61" s="395"/>
      <c r="O61" s="395"/>
      <c r="P61" s="395"/>
      <c r="Q61" s="395"/>
      <c r="R61" s="396"/>
      <c r="S61" s="334"/>
      <c r="BA61" s="173"/>
      <c r="BB61" s="173"/>
      <c r="BC61" s="173"/>
      <c r="BD61" s="173"/>
      <c r="BE61" s="173"/>
      <c r="BF61" s="173"/>
      <c r="BG61" s="173"/>
      <c r="BH61" s="173"/>
    </row>
    <row r="62" spans="1:60" ht="30" customHeight="1">
      <c r="A62" s="407"/>
      <c r="B62" s="1425"/>
      <c r="C62" s="1468"/>
      <c r="D62" s="408"/>
      <c r="E62" s="398"/>
      <c r="F62" s="401"/>
      <c r="G62" s="332"/>
      <c r="H62" s="402"/>
      <c r="I62" s="1075"/>
      <c r="J62" s="409"/>
      <c r="K62" s="409"/>
      <c r="L62" s="409"/>
      <c r="M62" s="409"/>
      <c r="N62" s="409"/>
      <c r="O62" s="409"/>
      <c r="P62" s="409"/>
      <c r="Q62" s="409"/>
      <c r="R62" s="410"/>
      <c r="S62" s="334"/>
    </row>
    <row r="63" spans="1:60" ht="30" customHeight="1">
      <c r="B63" s="1425"/>
      <c r="C63" s="1468"/>
      <c r="D63" s="397"/>
      <c r="E63" s="398"/>
      <c r="F63" s="401"/>
      <c r="G63" s="332"/>
      <c r="H63" s="402"/>
      <c r="I63" s="1075"/>
      <c r="J63" s="395"/>
      <c r="K63" s="395"/>
      <c r="L63" s="395"/>
      <c r="M63" s="395"/>
      <c r="N63" s="395"/>
      <c r="O63" s="395"/>
      <c r="P63" s="395"/>
      <c r="Q63" s="395"/>
      <c r="R63" s="396"/>
      <c r="S63" s="334"/>
      <c r="AC63" s="1462"/>
      <c r="AD63" s="1462"/>
      <c r="AE63" s="383"/>
      <c r="AF63" s="265"/>
      <c r="AG63" s="384"/>
    </row>
    <row r="64" spans="1:60" ht="30" customHeight="1" collapsed="1">
      <c r="B64" s="1425"/>
      <c r="C64" s="1468"/>
      <c r="D64" s="397"/>
      <c r="E64" s="398"/>
      <c r="F64" s="403"/>
      <c r="G64" s="332"/>
      <c r="H64" s="404"/>
      <c r="I64" s="1076"/>
      <c r="J64" s="395"/>
      <c r="K64" s="395"/>
      <c r="L64" s="395"/>
      <c r="M64" s="395"/>
      <c r="N64" s="395"/>
      <c r="O64" s="395"/>
      <c r="P64" s="395"/>
      <c r="Q64" s="395"/>
      <c r="R64" s="396"/>
      <c r="S64" s="334"/>
      <c r="AC64" s="1462"/>
      <c r="AD64" s="1462"/>
      <c r="AE64" s="383"/>
      <c r="AF64" s="265"/>
      <c r="AG64" s="384"/>
    </row>
    <row r="65" spans="1:60" ht="30" hidden="1" customHeight="1" outlineLevel="1">
      <c r="B65" s="1425"/>
      <c r="C65" s="1468"/>
      <c r="D65" s="397"/>
      <c r="E65" s="398"/>
      <c r="F65" s="401"/>
      <c r="G65" s="332"/>
      <c r="H65" s="402"/>
      <c r="I65" s="1075"/>
      <c r="J65" s="395"/>
      <c r="K65" s="395"/>
      <c r="L65" s="395"/>
      <c r="M65" s="395"/>
      <c r="N65" s="395"/>
      <c r="O65" s="395"/>
      <c r="P65" s="395"/>
      <c r="Q65" s="395"/>
      <c r="R65" s="396"/>
      <c r="S65" s="334"/>
      <c r="AC65" s="1462"/>
      <c r="AD65" s="1462"/>
      <c r="AE65" s="383"/>
      <c r="AF65" s="265"/>
      <c r="AG65" s="384"/>
    </row>
    <row r="66" spans="1:60" ht="30" hidden="1" customHeight="1" outlineLevel="1">
      <c r="B66" s="1425"/>
      <c r="C66" s="1468"/>
      <c r="D66" s="397"/>
      <c r="E66" s="398"/>
      <c r="F66" s="403"/>
      <c r="G66" s="332"/>
      <c r="H66" s="404"/>
      <c r="I66" s="1076"/>
      <c r="J66" s="395"/>
      <c r="K66" s="395"/>
      <c r="L66" s="395"/>
      <c r="M66" s="395"/>
      <c r="N66" s="395"/>
      <c r="O66" s="395"/>
      <c r="P66" s="395"/>
      <c r="Q66" s="395"/>
      <c r="R66" s="396"/>
      <c r="S66" s="334"/>
      <c r="AC66" s="1462"/>
      <c r="AD66" s="1462"/>
      <c r="AE66" s="383"/>
      <c r="AF66" s="265"/>
      <c r="AG66" s="384"/>
    </row>
    <row r="67" spans="1:60" ht="30" hidden="1" customHeight="1" outlineLevel="1">
      <c r="B67" s="1425"/>
      <c r="C67" s="1468"/>
      <c r="D67" s="397"/>
      <c r="E67" s="398"/>
      <c r="F67" s="401"/>
      <c r="G67" s="332"/>
      <c r="H67" s="402"/>
      <c r="I67" s="1075"/>
      <c r="J67" s="395"/>
      <c r="K67" s="395"/>
      <c r="L67" s="395"/>
      <c r="M67" s="395"/>
      <c r="N67" s="395"/>
      <c r="O67" s="395"/>
      <c r="P67" s="395"/>
      <c r="Q67" s="395"/>
      <c r="R67" s="396"/>
      <c r="S67" s="334"/>
      <c r="AC67" s="1462"/>
      <c r="AD67" s="1462"/>
      <c r="AE67" s="383"/>
      <c r="AF67" s="265"/>
      <c r="AG67" s="384"/>
    </row>
    <row r="68" spans="1:60" ht="30" hidden="1" customHeight="1" outlineLevel="1">
      <c r="B68" s="1425"/>
      <c r="C68" s="1468"/>
      <c r="D68" s="397"/>
      <c r="E68" s="398"/>
      <c r="F68" s="403"/>
      <c r="G68" s="332"/>
      <c r="H68" s="404"/>
      <c r="I68" s="1076"/>
      <c r="J68" s="395"/>
      <c r="K68" s="395"/>
      <c r="L68" s="395"/>
      <c r="M68" s="395"/>
      <c r="N68" s="395"/>
      <c r="O68" s="395"/>
      <c r="P68" s="395"/>
      <c r="Q68" s="395"/>
      <c r="R68" s="396"/>
      <c r="S68" s="334"/>
      <c r="AC68" s="1462"/>
      <c r="AD68" s="1462"/>
      <c r="AE68" s="383"/>
      <c r="AF68" s="265"/>
      <c r="AG68" s="384"/>
    </row>
    <row r="69" spans="1:60" ht="30" hidden="1" customHeight="1" outlineLevel="1">
      <c r="B69" s="1425"/>
      <c r="C69" s="1468"/>
      <c r="D69" s="397"/>
      <c r="E69" s="398"/>
      <c r="F69" s="401"/>
      <c r="G69" s="332"/>
      <c r="H69" s="402"/>
      <c r="I69" s="1075"/>
      <c r="J69" s="395"/>
      <c r="K69" s="395"/>
      <c r="L69" s="395"/>
      <c r="M69" s="395"/>
      <c r="N69" s="395"/>
      <c r="O69" s="395"/>
      <c r="P69" s="395"/>
      <c r="Q69" s="395"/>
      <c r="R69" s="396"/>
      <c r="S69" s="334"/>
      <c r="AC69" s="1462"/>
      <c r="AD69" s="1462"/>
      <c r="AE69" s="383"/>
      <c r="AF69" s="265"/>
      <c r="AG69" s="384"/>
    </row>
    <row r="70" spans="1:60" ht="30" hidden="1" customHeight="1" outlineLevel="1">
      <c r="B70" s="1425"/>
      <c r="C70" s="1468"/>
      <c r="D70" s="397"/>
      <c r="E70" s="398"/>
      <c r="F70" s="403"/>
      <c r="G70" s="332"/>
      <c r="H70" s="404"/>
      <c r="I70" s="1076"/>
      <c r="J70" s="395"/>
      <c r="K70" s="395"/>
      <c r="L70" s="395"/>
      <c r="M70" s="395"/>
      <c r="N70" s="395"/>
      <c r="O70" s="395"/>
      <c r="P70" s="395"/>
      <c r="Q70" s="395"/>
      <c r="R70" s="396"/>
      <c r="S70" s="334"/>
      <c r="AC70" s="1462"/>
      <c r="AD70" s="1462"/>
      <c r="AE70" s="383"/>
      <c r="AF70" s="265"/>
      <c r="AG70" s="384"/>
    </row>
    <row r="71" spans="1:60" ht="30" hidden="1" customHeight="1" outlineLevel="1">
      <c r="B71" s="1425"/>
      <c r="C71" s="1468"/>
      <c r="D71" s="397"/>
      <c r="E71" s="398"/>
      <c r="F71" s="401"/>
      <c r="G71" s="332"/>
      <c r="H71" s="402"/>
      <c r="I71" s="1075"/>
      <c r="J71" s="395"/>
      <c r="K71" s="395"/>
      <c r="L71" s="395"/>
      <c r="M71" s="395"/>
      <c r="N71" s="395"/>
      <c r="O71" s="395"/>
      <c r="P71" s="395"/>
      <c r="Q71" s="395"/>
      <c r="R71" s="396"/>
      <c r="S71" s="334"/>
    </row>
    <row r="72" spans="1:60" ht="30" hidden="1" customHeight="1" outlineLevel="1">
      <c r="B72" s="1425"/>
      <c r="C72" s="1468"/>
      <c r="D72" s="397"/>
      <c r="E72" s="398"/>
      <c r="F72" s="403"/>
      <c r="G72" s="332"/>
      <c r="H72" s="404"/>
      <c r="I72" s="1076"/>
      <c r="J72" s="395"/>
      <c r="K72" s="395"/>
      <c r="L72" s="395"/>
      <c r="M72" s="395"/>
      <c r="N72" s="395"/>
      <c r="O72" s="395"/>
      <c r="P72" s="395"/>
      <c r="Q72" s="395"/>
      <c r="R72" s="396"/>
      <c r="S72" s="334"/>
      <c r="AC72" s="1462"/>
      <c r="AD72" s="1462"/>
      <c r="AE72" s="383"/>
      <c r="AF72" s="265"/>
      <c r="AG72" s="384"/>
    </row>
    <row r="73" spans="1:60" ht="30" hidden="1" customHeight="1" outlineLevel="1">
      <c r="B73" s="1425"/>
      <c r="C73" s="1468"/>
      <c r="D73" s="408"/>
      <c r="E73" s="398"/>
      <c r="F73" s="401"/>
      <c r="G73" s="332"/>
      <c r="H73" s="402"/>
      <c r="I73" s="1075"/>
      <c r="J73" s="395"/>
      <c r="K73" s="395"/>
      <c r="L73" s="395"/>
      <c r="M73" s="395"/>
      <c r="N73" s="395"/>
      <c r="O73" s="395"/>
      <c r="P73" s="395"/>
      <c r="Q73" s="395"/>
      <c r="R73" s="396"/>
      <c r="S73" s="334"/>
      <c r="AC73" s="387"/>
      <c r="BA73" s="173"/>
      <c r="BB73" s="173"/>
      <c r="BC73" s="173"/>
      <c r="BD73" s="173"/>
      <c r="BE73" s="173"/>
      <c r="BF73" s="173"/>
      <c r="BG73" s="173"/>
      <c r="BH73" s="173"/>
    </row>
    <row r="74" spans="1:60" ht="30" hidden="1" customHeight="1" outlineLevel="1">
      <c r="B74" s="1425"/>
      <c r="C74" s="1468"/>
      <c r="D74" s="397"/>
      <c r="E74" s="398"/>
      <c r="F74" s="403"/>
      <c r="G74" s="332"/>
      <c r="H74" s="404"/>
      <c r="I74" s="1076"/>
      <c r="J74" s="395"/>
      <c r="K74" s="395"/>
      <c r="L74" s="395"/>
      <c r="M74" s="395"/>
      <c r="N74" s="395"/>
      <c r="O74" s="395"/>
      <c r="P74" s="395"/>
      <c r="Q74" s="395"/>
      <c r="R74" s="396"/>
      <c r="S74" s="334"/>
      <c r="AC74" s="387"/>
      <c r="BA74" s="173"/>
      <c r="BB74" s="173"/>
      <c r="BC74" s="173"/>
      <c r="BD74" s="173"/>
      <c r="BE74" s="173"/>
      <c r="BF74" s="173"/>
      <c r="BG74" s="173"/>
      <c r="BH74" s="173"/>
    </row>
    <row r="75" spans="1:60" ht="30" hidden="1" customHeight="1" outlineLevel="1">
      <c r="B75" s="1425"/>
      <c r="C75" s="1468"/>
      <c r="D75" s="397"/>
      <c r="E75" s="398"/>
      <c r="F75" s="401"/>
      <c r="G75" s="332"/>
      <c r="H75" s="402"/>
      <c r="I75" s="1075"/>
      <c r="J75" s="395"/>
      <c r="K75" s="395"/>
      <c r="L75" s="395"/>
      <c r="M75" s="395"/>
      <c r="N75" s="395"/>
      <c r="O75" s="395"/>
      <c r="P75" s="395"/>
      <c r="Q75" s="395"/>
      <c r="R75" s="396"/>
      <c r="S75" s="334"/>
      <c r="AC75" s="387"/>
      <c r="BA75" s="173"/>
      <c r="BB75" s="173"/>
      <c r="BC75" s="173"/>
      <c r="BD75" s="173"/>
      <c r="BE75" s="173"/>
      <c r="BF75" s="173"/>
      <c r="BG75" s="173"/>
      <c r="BH75" s="173"/>
    </row>
    <row r="76" spans="1:60" ht="30" customHeight="1">
      <c r="B76" s="1425"/>
      <c r="C76" s="1468"/>
      <c r="D76" s="1463" t="s">
        <v>311</v>
      </c>
      <c r="E76" s="1464"/>
      <c r="F76" s="1465"/>
      <c r="G76" s="1466"/>
      <c r="H76" s="1466"/>
      <c r="I76" s="1467"/>
      <c r="J76" s="1472" t="s">
        <v>312</v>
      </c>
      <c r="K76" s="1472"/>
      <c r="L76" s="1472"/>
      <c r="M76" s="1472"/>
      <c r="N76" s="1472"/>
      <c r="O76" s="1472"/>
      <c r="P76" s="1472"/>
      <c r="Q76" s="1472"/>
      <c r="R76" s="1473"/>
      <c r="S76" s="334"/>
      <c r="AC76" s="387"/>
      <c r="BA76" s="173"/>
      <c r="BB76" s="173"/>
      <c r="BC76" s="173"/>
      <c r="BD76" s="173"/>
      <c r="BE76" s="173"/>
      <c r="BF76" s="173"/>
      <c r="BG76" s="173"/>
      <c r="BH76" s="173"/>
    </row>
    <row r="77" spans="1:60" ht="30" customHeight="1">
      <c r="B77" s="1425"/>
      <c r="C77" s="1468"/>
      <c r="D77" s="408"/>
      <c r="E77" s="398"/>
      <c r="F77" s="399"/>
      <c r="G77" s="332"/>
      <c r="H77" s="400"/>
      <c r="I77" s="1074"/>
      <c r="J77" s="1472"/>
      <c r="K77" s="1472"/>
      <c r="L77" s="1472"/>
      <c r="M77" s="1472"/>
      <c r="N77" s="1472"/>
      <c r="O77" s="1472"/>
      <c r="P77" s="1472"/>
      <c r="Q77" s="1472"/>
      <c r="R77" s="1473"/>
      <c r="S77" s="334"/>
      <c r="AC77" s="387"/>
      <c r="BA77" s="173"/>
      <c r="BB77" s="173"/>
      <c r="BC77" s="173"/>
      <c r="BD77" s="173"/>
      <c r="BE77" s="173"/>
      <c r="BF77" s="173"/>
      <c r="BG77" s="173"/>
      <c r="BH77" s="173"/>
    </row>
    <row r="78" spans="1:60" ht="30" customHeight="1">
      <c r="B78" s="1425"/>
      <c r="C78" s="1468"/>
      <c r="D78" s="408"/>
      <c r="E78" s="398"/>
      <c r="F78" s="401"/>
      <c r="G78" s="332"/>
      <c r="H78" s="402"/>
      <c r="I78" s="1075"/>
      <c r="J78" s="1472"/>
      <c r="K78" s="1472"/>
      <c r="L78" s="1472"/>
      <c r="M78" s="1472"/>
      <c r="N78" s="1472"/>
      <c r="O78" s="1472"/>
      <c r="P78" s="1472"/>
      <c r="Q78" s="1472"/>
      <c r="R78" s="1473"/>
      <c r="S78" s="334"/>
      <c r="AC78" s="387"/>
      <c r="BA78" s="173"/>
      <c r="BB78" s="173"/>
      <c r="BC78" s="173"/>
      <c r="BD78" s="173"/>
      <c r="BE78" s="173"/>
      <c r="BF78" s="173"/>
      <c r="BG78" s="173"/>
      <c r="BH78" s="173"/>
    </row>
    <row r="79" spans="1:60" ht="30" customHeight="1">
      <c r="A79" s="407"/>
      <c r="B79" s="1425"/>
      <c r="C79" s="1468"/>
      <c r="D79" s="408"/>
      <c r="E79" s="398"/>
      <c r="F79" s="401"/>
      <c r="G79" s="332"/>
      <c r="H79" s="402"/>
      <c r="I79" s="1075"/>
      <c r="J79" s="1472"/>
      <c r="K79" s="1472"/>
      <c r="L79" s="1472"/>
      <c r="M79" s="1472"/>
      <c r="N79" s="1472"/>
      <c r="O79" s="1472"/>
      <c r="P79" s="1472"/>
      <c r="Q79" s="1472"/>
      <c r="R79" s="1473"/>
      <c r="S79" s="334"/>
    </row>
    <row r="80" spans="1:60" ht="30" customHeight="1" collapsed="1">
      <c r="B80" s="1425"/>
      <c r="C80" s="1468"/>
      <c r="D80" s="397"/>
      <c r="E80" s="398"/>
      <c r="F80" s="401"/>
      <c r="G80" s="332"/>
      <c r="H80" s="402"/>
      <c r="I80" s="1075"/>
      <c r="J80" s="1472"/>
      <c r="K80" s="1472"/>
      <c r="L80" s="1472"/>
      <c r="M80" s="1472"/>
      <c r="N80" s="1472"/>
      <c r="O80" s="1472"/>
      <c r="P80" s="1472"/>
      <c r="Q80" s="1472"/>
      <c r="R80" s="1473"/>
      <c r="S80" s="334"/>
      <c r="AC80" s="1462"/>
      <c r="AD80" s="1462"/>
      <c r="AE80" s="383"/>
      <c r="AF80" s="265"/>
      <c r="AG80" s="384"/>
    </row>
    <row r="81" spans="1:60" ht="30" hidden="1" customHeight="1" outlineLevel="1">
      <c r="B81" s="1425"/>
      <c r="C81" s="1468"/>
      <c r="D81" s="397"/>
      <c r="E81" s="398"/>
      <c r="F81" s="403"/>
      <c r="G81" s="332"/>
      <c r="H81" s="404"/>
      <c r="I81" s="1076"/>
      <c r="J81" s="1472"/>
      <c r="K81" s="1472"/>
      <c r="L81" s="1472"/>
      <c r="M81" s="1472"/>
      <c r="N81" s="1472"/>
      <c r="O81" s="1472"/>
      <c r="P81" s="1472"/>
      <c r="Q81" s="1472"/>
      <c r="R81" s="1473"/>
      <c r="S81" s="334"/>
      <c r="AC81" s="1462"/>
      <c r="AD81" s="1462"/>
      <c r="AE81" s="383"/>
      <c r="AF81" s="265"/>
      <c r="AG81" s="384"/>
    </row>
    <row r="82" spans="1:60" ht="30" hidden="1" customHeight="1" outlineLevel="1">
      <c r="B82" s="1425"/>
      <c r="C82" s="1468"/>
      <c r="D82" s="397"/>
      <c r="E82" s="398"/>
      <c r="F82" s="401"/>
      <c r="G82" s="332"/>
      <c r="H82" s="402"/>
      <c r="I82" s="1075"/>
      <c r="J82" s="1472"/>
      <c r="K82" s="1472"/>
      <c r="L82" s="1472"/>
      <c r="M82" s="1472"/>
      <c r="N82" s="1472"/>
      <c r="O82" s="1472"/>
      <c r="P82" s="1472"/>
      <c r="Q82" s="1472"/>
      <c r="R82" s="1473"/>
      <c r="S82" s="334"/>
      <c r="AC82" s="1462"/>
      <c r="AD82" s="1462"/>
      <c r="AE82" s="383"/>
      <c r="AF82" s="265"/>
      <c r="AG82" s="384"/>
    </row>
    <row r="83" spans="1:60" ht="30" hidden="1" customHeight="1" outlineLevel="1">
      <c r="B83" s="1425"/>
      <c r="C83" s="1468"/>
      <c r="D83" s="397"/>
      <c r="E83" s="398"/>
      <c r="F83" s="403"/>
      <c r="G83" s="332"/>
      <c r="H83" s="404"/>
      <c r="I83" s="1076"/>
      <c r="J83" s="1472"/>
      <c r="K83" s="1472"/>
      <c r="L83" s="1472"/>
      <c r="M83" s="1472"/>
      <c r="N83" s="1472"/>
      <c r="O83" s="1472"/>
      <c r="P83" s="1472"/>
      <c r="Q83" s="1472"/>
      <c r="R83" s="1473"/>
      <c r="S83" s="334"/>
      <c r="AC83" s="1462"/>
      <c r="AD83" s="1462"/>
      <c r="AE83" s="383"/>
      <c r="AF83" s="265"/>
      <c r="AG83" s="384"/>
    </row>
    <row r="84" spans="1:60" ht="30" hidden="1" customHeight="1" outlineLevel="1">
      <c r="B84" s="1425"/>
      <c r="C84" s="1468"/>
      <c r="D84" s="397"/>
      <c r="E84" s="398"/>
      <c r="F84" s="401"/>
      <c r="G84" s="332"/>
      <c r="H84" s="402"/>
      <c r="I84" s="1075"/>
      <c r="J84" s="1472"/>
      <c r="K84" s="1472"/>
      <c r="L84" s="1472"/>
      <c r="M84" s="1472"/>
      <c r="N84" s="1472"/>
      <c r="O84" s="1472"/>
      <c r="P84" s="1472"/>
      <c r="Q84" s="1472"/>
      <c r="R84" s="1473"/>
      <c r="S84" s="334"/>
      <c r="AC84" s="1462"/>
      <c r="AD84" s="1462"/>
      <c r="AE84" s="383"/>
      <c r="AF84" s="265"/>
      <c r="AG84" s="384"/>
    </row>
    <row r="85" spans="1:60" ht="30" hidden="1" customHeight="1" outlineLevel="1">
      <c r="B85" s="1425"/>
      <c r="C85" s="1468"/>
      <c r="D85" s="397"/>
      <c r="E85" s="398"/>
      <c r="F85" s="403"/>
      <c r="G85" s="332"/>
      <c r="H85" s="404"/>
      <c r="I85" s="1076"/>
      <c r="J85" s="1472"/>
      <c r="K85" s="1472"/>
      <c r="L85" s="1472"/>
      <c r="M85" s="1472"/>
      <c r="N85" s="1472"/>
      <c r="O85" s="1472"/>
      <c r="P85" s="1472"/>
      <c r="Q85" s="1472"/>
      <c r="R85" s="1473"/>
      <c r="S85" s="334"/>
      <c r="AC85" s="1462"/>
      <c r="AD85" s="1462"/>
      <c r="AE85" s="383"/>
      <c r="AF85" s="265"/>
      <c r="AG85" s="384"/>
    </row>
    <row r="86" spans="1:60" ht="30" hidden="1" customHeight="1" outlineLevel="1">
      <c r="B86" s="1425"/>
      <c r="C86" s="1468"/>
      <c r="D86" s="397"/>
      <c r="E86" s="398"/>
      <c r="F86" s="401"/>
      <c r="G86" s="332"/>
      <c r="H86" s="402"/>
      <c r="I86" s="1075"/>
      <c r="J86" s="1472"/>
      <c r="K86" s="1472"/>
      <c r="L86" s="1472"/>
      <c r="M86" s="1472"/>
      <c r="N86" s="1472"/>
      <c r="O86" s="1472"/>
      <c r="P86" s="1472"/>
      <c r="Q86" s="1472"/>
      <c r="R86" s="1473"/>
      <c r="S86" s="334"/>
      <c r="AC86" s="1462"/>
      <c r="AD86" s="1462"/>
      <c r="AE86" s="383"/>
      <c r="AF86" s="265"/>
      <c r="AG86" s="384"/>
    </row>
    <row r="87" spans="1:60" ht="30" hidden="1" customHeight="1" outlineLevel="1">
      <c r="B87" s="1425"/>
      <c r="C87" s="1468"/>
      <c r="D87" s="397"/>
      <c r="E87" s="398"/>
      <c r="F87" s="403"/>
      <c r="G87" s="332"/>
      <c r="H87" s="404"/>
      <c r="I87" s="1076"/>
      <c r="J87" s="1472"/>
      <c r="K87" s="1472"/>
      <c r="L87" s="1472"/>
      <c r="M87" s="1472"/>
      <c r="N87" s="1472"/>
      <c r="O87" s="1472"/>
      <c r="P87" s="1472"/>
      <c r="Q87" s="1472"/>
      <c r="R87" s="1473"/>
      <c r="S87" s="334"/>
      <c r="AC87" s="1462"/>
      <c r="AD87" s="1462"/>
      <c r="AE87" s="383"/>
      <c r="AF87" s="265"/>
      <c r="AG87" s="384"/>
    </row>
    <row r="88" spans="1:60" ht="30" hidden="1" customHeight="1" outlineLevel="1">
      <c r="B88" s="1425"/>
      <c r="C88" s="1468"/>
      <c r="D88" s="397"/>
      <c r="E88" s="398"/>
      <c r="F88" s="401"/>
      <c r="G88" s="332"/>
      <c r="H88" s="402"/>
      <c r="I88" s="1075"/>
      <c r="J88" s="1472"/>
      <c r="K88" s="1472"/>
      <c r="L88" s="1472"/>
      <c r="M88" s="1472"/>
      <c r="N88" s="1472"/>
      <c r="O88" s="1472"/>
      <c r="P88" s="1472"/>
      <c r="Q88" s="1472"/>
      <c r="R88" s="1473"/>
      <c r="S88" s="334"/>
    </row>
    <row r="89" spans="1:60" ht="30" hidden="1" customHeight="1" outlineLevel="1">
      <c r="B89" s="1425"/>
      <c r="C89" s="1468"/>
      <c r="D89" s="397"/>
      <c r="E89" s="398"/>
      <c r="F89" s="403"/>
      <c r="G89" s="332"/>
      <c r="H89" s="404"/>
      <c r="I89" s="1076"/>
      <c r="J89" s="1472"/>
      <c r="K89" s="1472"/>
      <c r="L89" s="1472"/>
      <c r="M89" s="1472"/>
      <c r="N89" s="1472"/>
      <c r="O89" s="1472"/>
      <c r="P89" s="1472"/>
      <c r="Q89" s="1472"/>
      <c r="R89" s="1473"/>
      <c r="S89" s="334"/>
      <c r="AC89" s="1462"/>
      <c r="AD89" s="1462"/>
      <c r="AE89" s="383"/>
      <c r="AF89" s="265"/>
      <c r="AG89" s="384"/>
    </row>
    <row r="90" spans="1:60" ht="30" hidden="1" customHeight="1" outlineLevel="1">
      <c r="B90" s="1425"/>
      <c r="C90" s="1468"/>
      <c r="D90" s="397"/>
      <c r="E90" s="398"/>
      <c r="F90" s="403"/>
      <c r="G90" s="332"/>
      <c r="H90" s="404"/>
      <c r="I90" s="1076"/>
      <c r="J90" s="1472"/>
      <c r="K90" s="1472"/>
      <c r="L90" s="1472"/>
      <c r="M90" s="1472"/>
      <c r="N90" s="1472"/>
      <c r="O90" s="1472"/>
      <c r="P90" s="1472"/>
      <c r="Q90" s="1472"/>
      <c r="R90" s="1473"/>
      <c r="S90" s="334"/>
      <c r="AC90" s="387"/>
      <c r="BA90" s="173"/>
      <c r="BB90" s="173"/>
      <c r="BC90" s="173"/>
      <c r="BD90" s="173"/>
      <c r="BE90" s="173"/>
      <c r="BF90" s="173"/>
      <c r="BG90" s="173"/>
      <c r="BH90" s="173"/>
    </row>
    <row r="91" spans="1:60" ht="30" hidden="1" customHeight="1" outlineLevel="1">
      <c r="B91" s="1425"/>
      <c r="C91" s="1468"/>
      <c r="D91" s="397"/>
      <c r="E91" s="398"/>
      <c r="F91" s="401"/>
      <c r="G91" s="332"/>
      <c r="H91" s="402"/>
      <c r="I91" s="1075"/>
      <c r="J91" s="1472"/>
      <c r="K91" s="1472"/>
      <c r="L91" s="1472"/>
      <c r="M91" s="1472"/>
      <c r="N91" s="1472"/>
      <c r="O91" s="1472"/>
      <c r="P91" s="1472"/>
      <c r="Q91" s="1472"/>
      <c r="R91" s="1473"/>
      <c r="S91" s="334"/>
      <c r="AC91" s="387"/>
      <c r="BA91" s="173"/>
      <c r="BB91" s="173"/>
      <c r="BC91" s="173"/>
      <c r="BD91" s="173"/>
      <c r="BE91" s="173"/>
      <c r="BF91" s="173"/>
      <c r="BG91" s="173"/>
      <c r="BH91" s="173"/>
    </row>
    <row r="92" spans="1:60" ht="30" customHeight="1">
      <c r="B92" s="1425"/>
      <c r="C92" s="1468"/>
      <c r="D92" s="1463" t="s">
        <v>313</v>
      </c>
      <c r="E92" s="1464"/>
      <c r="F92" s="1465"/>
      <c r="G92" s="1466"/>
      <c r="H92" s="1466"/>
      <c r="I92" s="1467"/>
      <c r="J92" s="395"/>
      <c r="K92" s="395"/>
      <c r="L92" s="395"/>
      <c r="M92" s="395"/>
      <c r="N92" s="395"/>
      <c r="O92" s="395"/>
      <c r="P92" s="395"/>
      <c r="Q92" s="395"/>
      <c r="R92" s="396"/>
      <c r="S92" s="334"/>
      <c r="AC92" s="387"/>
      <c r="BA92" s="173"/>
      <c r="BB92" s="173"/>
      <c r="BC92" s="173"/>
      <c r="BD92" s="173"/>
      <c r="BE92" s="173"/>
      <c r="BF92" s="173"/>
      <c r="BG92" s="173"/>
      <c r="BH92" s="173"/>
    </row>
    <row r="93" spans="1:60" ht="30" customHeight="1">
      <c r="B93" s="1425"/>
      <c r="C93" s="1468"/>
      <c r="D93" s="408"/>
      <c r="E93" s="398"/>
      <c r="F93" s="399"/>
      <c r="G93" s="332"/>
      <c r="H93" s="400"/>
      <c r="I93" s="1074"/>
      <c r="J93" s="395"/>
      <c r="K93" s="395"/>
      <c r="L93" s="395"/>
      <c r="M93" s="395"/>
      <c r="N93" s="395"/>
      <c r="O93" s="395"/>
      <c r="P93" s="395"/>
      <c r="Q93" s="395"/>
      <c r="R93" s="396"/>
      <c r="S93" s="334"/>
      <c r="AC93" s="387"/>
      <c r="BA93" s="173"/>
      <c r="BB93" s="173"/>
      <c r="BC93" s="173"/>
      <c r="BD93" s="173"/>
      <c r="BE93" s="173"/>
      <c r="BF93" s="173"/>
      <c r="BG93" s="173"/>
      <c r="BH93" s="173"/>
    </row>
    <row r="94" spans="1:60" ht="30" customHeight="1">
      <c r="A94" s="407"/>
      <c r="B94" s="1425"/>
      <c r="C94" s="1468"/>
      <c r="D94" s="408"/>
      <c r="E94" s="398"/>
      <c r="F94" s="401"/>
      <c r="G94" s="332"/>
      <c r="H94" s="402"/>
      <c r="I94" s="1075"/>
      <c r="J94" s="395"/>
      <c r="K94" s="395"/>
      <c r="L94" s="395"/>
      <c r="M94" s="395"/>
      <c r="N94" s="395"/>
      <c r="O94" s="395"/>
      <c r="P94" s="395"/>
      <c r="Q94" s="395"/>
      <c r="R94" s="396"/>
      <c r="S94" s="334"/>
    </row>
    <row r="95" spans="1:60" ht="30" customHeight="1">
      <c r="B95" s="1425"/>
      <c r="C95" s="1468"/>
      <c r="D95" s="397"/>
      <c r="E95" s="398"/>
      <c r="F95" s="401"/>
      <c r="G95" s="332"/>
      <c r="H95" s="402"/>
      <c r="I95" s="1075"/>
      <c r="J95" s="395"/>
      <c r="K95" s="395"/>
      <c r="L95" s="395"/>
      <c r="M95" s="395"/>
      <c r="N95" s="395"/>
      <c r="O95" s="395"/>
      <c r="P95" s="395"/>
      <c r="Q95" s="395"/>
      <c r="R95" s="396"/>
      <c r="S95" s="334"/>
      <c r="AC95" s="1462"/>
      <c r="AD95" s="1462"/>
      <c r="AE95" s="383"/>
      <c r="AF95" s="265"/>
      <c r="AG95" s="384"/>
    </row>
    <row r="96" spans="1:60" ht="30" customHeight="1" collapsed="1">
      <c r="B96" s="1425"/>
      <c r="C96" s="1468"/>
      <c r="D96" s="397"/>
      <c r="E96" s="398"/>
      <c r="F96" s="403"/>
      <c r="G96" s="332"/>
      <c r="H96" s="404"/>
      <c r="I96" s="1076"/>
      <c r="J96" s="395"/>
      <c r="K96" s="395"/>
      <c r="L96" s="395"/>
      <c r="M96" s="395"/>
      <c r="N96" s="395"/>
      <c r="O96" s="395"/>
      <c r="P96" s="395"/>
      <c r="Q96" s="395"/>
      <c r="R96" s="396"/>
      <c r="S96" s="334"/>
      <c r="AC96" s="1462"/>
      <c r="AD96" s="1462"/>
      <c r="AE96" s="383"/>
      <c r="AF96" s="265"/>
      <c r="AG96" s="384"/>
    </row>
    <row r="97" spans="2:60" ht="30" hidden="1" customHeight="1" outlineLevel="1">
      <c r="B97" s="1425"/>
      <c r="C97" s="1468"/>
      <c r="D97" s="397"/>
      <c r="E97" s="398"/>
      <c r="F97" s="401"/>
      <c r="G97" s="332"/>
      <c r="H97" s="402"/>
      <c r="I97" s="1075"/>
      <c r="J97" s="395"/>
      <c r="K97" s="395"/>
      <c r="L97" s="395"/>
      <c r="M97" s="395"/>
      <c r="N97" s="395"/>
      <c r="O97" s="395"/>
      <c r="P97" s="395"/>
      <c r="Q97" s="395"/>
      <c r="R97" s="396"/>
      <c r="S97" s="334"/>
      <c r="AC97" s="1462"/>
      <c r="AD97" s="1462"/>
      <c r="AE97" s="383"/>
      <c r="AF97" s="265"/>
      <c r="AG97" s="384"/>
    </row>
    <row r="98" spans="2:60" ht="30" hidden="1" customHeight="1" outlineLevel="1">
      <c r="B98" s="1425"/>
      <c r="C98" s="1468"/>
      <c r="D98" s="397"/>
      <c r="E98" s="398"/>
      <c r="F98" s="403"/>
      <c r="G98" s="332"/>
      <c r="H98" s="404"/>
      <c r="I98" s="1076"/>
      <c r="J98" s="395"/>
      <c r="K98" s="395"/>
      <c r="L98" s="395"/>
      <c r="M98" s="395"/>
      <c r="N98" s="395"/>
      <c r="O98" s="395"/>
      <c r="P98" s="395"/>
      <c r="Q98" s="395"/>
      <c r="R98" s="396"/>
      <c r="S98" s="334"/>
      <c r="AC98" s="1462"/>
      <c r="AD98" s="1462"/>
      <c r="AE98" s="383"/>
      <c r="AF98" s="265"/>
      <c r="AG98" s="384"/>
    </row>
    <row r="99" spans="2:60" ht="30" hidden="1" customHeight="1" outlineLevel="1">
      <c r="B99" s="1425"/>
      <c r="C99" s="1468"/>
      <c r="D99" s="397"/>
      <c r="E99" s="398"/>
      <c r="F99" s="401"/>
      <c r="G99" s="332"/>
      <c r="H99" s="402"/>
      <c r="I99" s="1075"/>
      <c r="J99" s="395"/>
      <c r="K99" s="395"/>
      <c r="L99" s="395"/>
      <c r="M99" s="395"/>
      <c r="N99" s="395"/>
      <c r="O99" s="395"/>
      <c r="P99" s="395"/>
      <c r="Q99" s="395"/>
      <c r="R99" s="396"/>
      <c r="S99" s="334"/>
      <c r="AC99" s="1462"/>
      <c r="AD99" s="1462"/>
      <c r="AE99" s="383"/>
      <c r="AF99" s="265"/>
      <c r="AG99" s="384"/>
    </row>
    <row r="100" spans="2:60" ht="30" hidden="1" customHeight="1" outlineLevel="1">
      <c r="B100" s="1425"/>
      <c r="C100" s="1468"/>
      <c r="D100" s="397"/>
      <c r="E100" s="398"/>
      <c r="F100" s="403"/>
      <c r="G100" s="332"/>
      <c r="H100" s="404"/>
      <c r="I100" s="1076"/>
      <c r="J100" s="395"/>
      <c r="K100" s="395"/>
      <c r="L100" s="395"/>
      <c r="M100" s="395"/>
      <c r="N100" s="395"/>
      <c r="O100" s="395"/>
      <c r="P100" s="395"/>
      <c r="Q100" s="395"/>
      <c r="R100" s="396"/>
      <c r="S100" s="334"/>
      <c r="AC100" s="1462"/>
      <c r="AD100" s="1462"/>
      <c r="AE100" s="383"/>
      <c r="AF100" s="265"/>
      <c r="AG100" s="384"/>
    </row>
    <row r="101" spans="2:60" ht="30" hidden="1" customHeight="1" outlineLevel="1">
      <c r="B101" s="1425"/>
      <c r="C101" s="1468"/>
      <c r="D101" s="397"/>
      <c r="E101" s="398"/>
      <c r="F101" s="401"/>
      <c r="G101" s="332"/>
      <c r="H101" s="402"/>
      <c r="I101" s="1075"/>
      <c r="J101" s="395"/>
      <c r="K101" s="395"/>
      <c r="L101" s="395"/>
      <c r="M101" s="395"/>
      <c r="N101" s="395"/>
      <c r="O101" s="395"/>
      <c r="P101" s="395"/>
      <c r="Q101" s="395"/>
      <c r="R101" s="396"/>
      <c r="S101" s="334"/>
      <c r="AC101" s="1462"/>
      <c r="AD101" s="1462"/>
      <c r="AE101" s="383"/>
      <c r="AF101" s="265"/>
      <c r="AG101" s="384"/>
    </row>
    <row r="102" spans="2:60" ht="30" hidden="1" customHeight="1" outlineLevel="1">
      <c r="B102" s="1425"/>
      <c r="C102" s="1468"/>
      <c r="D102" s="397"/>
      <c r="E102" s="398"/>
      <c r="F102" s="403"/>
      <c r="G102" s="332"/>
      <c r="H102" s="404"/>
      <c r="I102" s="1076"/>
      <c r="J102" s="395"/>
      <c r="K102" s="395"/>
      <c r="L102" s="395"/>
      <c r="M102" s="395"/>
      <c r="N102" s="395"/>
      <c r="O102" s="395"/>
      <c r="P102" s="395"/>
      <c r="Q102" s="395"/>
      <c r="R102" s="396"/>
      <c r="S102" s="334"/>
      <c r="AC102" s="1462"/>
      <c r="AD102" s="1462"/>
      <c r="AE102" s="383"/>
      <c r="AF102" s="265"/>
      <c r="AG102" s="384"/>
    </row>
    <row r="103" spans="2:60" ht="30" hidden="1" customHeight="1" outlineLevel="1">
      <c r="B103" s="1425"/>
      <c r="C103" s="1468"/>
      <c r="D103" s="397"/>
      <c r="E103" s="398"/>
      <c r="F103" s="401"/>
      <c r="G103" s="332"/>
      <c r="H103" s="402"/>
      <c r="I103" s="1075"/>
      <c r="J103" s="395"/>
      <c r="K103" s="395"/>
      <c r="L103" s="395"/>
      <c r="M103" s="395"/>
      <c r="N103" s="395"/>
      <c r="O103" s="395"/>
      <c r="P103" s="395"/>
      <c r="Q103" s="395"/>
      <c r="R103" s="396"/>
      <c r="S103" s="334"/>
    </row>
    <row r="104" spans="2:60" ht="30" hidden="1" customHeight="1" outlineLevel="1">
      <c r="B104" s="1425"/>
      <c r="C104" s="1468"/>
      <c r="D104" s="397"/>
      <c r="E104" s="398"/>
      <c r="F104" s="403"/>
      <c r="G104" s="332"/>
      <c r="H104" s="404"/>
      <c r="I104" s="1076"/>
      <c r="J104" s="395"/>
      <c r="K104" s="395"/>
      <c r="L104" s="395"/>
      <c r="M104" s="395"/>
      <c r="N104" s="395"/>
      <c r="O104" s="395"/>
      <c r="P104" s="395"/>
      <c r="Q104" s="395"/>
      <c r="R104" s="396"/>
      <c r="S104" s="334"/>
      <c r="AC104" s="1462"/>
      <c r="AD104" s="1462"/>
      <c r="AE104" s="383"/>
      <c r="AF104" s="265"/>
      <c r="AG104" s="384"/>
    </row>
    <row r="105" spans="2:60" ht="30" hidden="1" customHeight="1" outlineLevel="1">
      <c r="B105" s="1425"/>
      <c r="C105" s="1468"/>
      <c r="D105" s="408"/>
      <c r="E105" s="398"/>
      <c r="F105" s="401"/>
      <c r="G105" s="332"/>
      <c r="H105" s="402"/>
      <c r="I105" s="1075"/>
      <c r="J105" s="395"/>
      <c r="K105" s="395"/>
      <c r="L105" s="395"/>
      <c r="M105" s="395"/>
      <c r="N105" s="395"/>
      <c r="O105" s="395"/>
      <c r="P105" s="395"/>
      <c r="Q105" s="395"/>
      <c r="R105" s="396"/>
      <c r="S105" s="334"/>
      <c r="AC105" s="387"/>
      <c r="BA105" s="173"/>
      <c r="BB105" s="173"/>
      <c r="BC105" s="173"/>
      <c r="BD105" s="173"/>
      <c r="BE105" s="173"/>
      <c r="BF105" s="173"/>
      <c r="BG105" s="173"/>
      <c r="BH105" s="173"/>
    </row>
    <row r="106" spans="2:60" ht="30" hidden="1" customHeight="1" outlineLevel="1">
      <c r="B106" s="1425"/>
      <c r="C106" s="1468"/>
      <c r="D106" s="397"/>
      <c r="E106" s="398"/>
      <c r="F106" s="403"/>
      <c r="G106" s="332"/>
      <c r="H106" s="404"/>
      <c r="I106" s="1076"/>
      <c r="J106" s="395"/>
      <c r="K106" s="395"/>
      <c r="L106" s="395"/>
      <c r="M106" s="395"/>
      <c r="N106" s="395"/>
      <c r="O106" s="395"/>
      <c r="P106" s="395"/>
      <c r="Q106" s="395"/>
      <c r="R106" s="396"/>
      <c r="S106" s="334"/>
      <c r="AC106" s="387"/>
      <c r="BA106" s="173"/>
      <c r="BB106" s="173"/>
      <c r="BC106" s="173"/>
      <c r="BD106" s="173"/>
      <c r="BE106" s="173"/>
      <c r="BF106" s="173"/>
      <c r="BG106" s="173"/>
      <c r="BH106" s="173"/>
    </row>
    <row r="107" spans="2:60" ht="30" hidden="1" customHeight="1" outlineLevel="1">
      <c r="B107" s="1425"/>
      <c r="C107" s="1468"/>
      <c r="D107" s="397"/>
      <c r="E107" s="398"/>
      <c r="F107" s="401"/>
      <c r="G107" s="332"/>
      <c r="H107" s="402"/>
      <c r="I107" s="1075"/>
      <c r="J107" s="412"/>
      <c r="K107" s="413"/>
      <c r="L107" s="413"/>
      <c r="M107" s="413"/>
      <c r="N107" s="413"/>
      <c r="O107" s="413"/>
      <c r="P107" s="413"/>
      <c r="Q107" s="413"/>
      <c r="R107" s="414"/>
      <c r="S107" s="334"/>
      <c r="AC107" s="387"/>
      <c r="BA107" s="173"/>
      <c r="BB107" s="173"/>
      <c r="BC107" s="173"/>
      <c r="BD107" s="173"/>
      <c r="BE107" s="173"/>
      <c r="BF107" s="173"/>
      <c r="BG107" s="173"/>
      <c r="BH107" s="173"/>
    </row>
    <row r="108" spans="2:60" ht="30" customHeight="1">
      <c r="B108" s="1425"/>
      <c r="C108" s="1468"/>
      <c r="D108" s="1474" t="s">
        <v>306</v>
      </c>
      <c r="E108" s="1475"/>
      <c r="F108" s="401"/>
      <c r="G108" s="332"/>
      <c r="H108" s="402"/>
      <c r="I108" s="1075"/>
      <c r="J108" s="1476"/>
      <c r="K108" s="1478" t="s">
        <v>314</v>
      </c>
      <c r="L108" s="1479"/>
      <c r="M108" s="1479"/>
      <c r="N108" s="1479"/>
      <c r="O108" s="1479"/>
      <c r="P108" s="1479"/>
      <c r="Q108" s="1479"/>
      <c r="R108" s="1480"/>
      <c r="S108" s="334"/>
      <c r="AC108" s="387"/>
      <c r="BA108" s="173"/>
      <c r="BB108" s="173"/>
      <c r="BC108" s="173"/>
      <c r="BD108" s="173"/>
      <c r="BE108" s="173"/>
      <c r="BF108" s="173"/>
      <c r="BG108" s="173"/>
      <c r="BH108" s="173"/>
    </row>
    <row r="109" spans="2:60" ht="30" customHeight="1">
      <c r="B109" s="1425"/>
      <c r="C109" s="1468"/>
      <c r="D109" s="1474" t="s">
        <v>315</v>
      </c>
      <c r="E109" s="1475"/>
      <c r="F109" s="401"/>
      <c r="G109" s="332"/>
      <c r="H109" s="402"/>
      <c r="I109" s="1075"/>
      <c r="J109" s="1477"/>
      <c r="K109" s="1481"/>
      <c r="L109" s="1481"/>
      <c r="M109" s="1481"/>
      <c r="N109" s="1481"/>
      <c r="O109" s="1481"/>
      <c r="P109" s="1481"/>
      <c r="Q109" s="1481"/>
      <c r="R109" s="1482"/>
      <c r="S109" s="334"/>
      <c r="AC109" s="387"/>
      <c r="BA109" s="173"/>
      <c r="BB109" s="173"/>
      <c r="BC109" s="173"/>
      <c r="BD109" s="173"/>
      <c r="BE109" s="173"/>
      <c r="BF109" s="173"/>
      <c r="BG109" s="173"/>
      <c r="BH109" s="173"/>
    </row>
    <row r="110" spans="2:60" ht="30" customHeight="1" thickBot="1">
      <c r="B110" s="1439"/>
      <c r="C110" s="1469"/>
      <c r="D110" s="1485" t="s">
        <v>219</v>
      </c>
      <c r="E110" s="1486"/>
      <c r="F110" s="415"/>
      <c r="G110" s="416" t="s">
        <v>316</v>
      </c>
      <c r="H110" s="417"/>
      <c r="I110" s="1077"/>
      <c r="J110" s="418"/>
      <c r="K110" s="1483"/>
      <c r="L110" s="1483"/>
      <c r="M110" s="1483"/>
      <c r="N110" s="1483"/>
      <c r="O110" s="1483"/>
      <c r="P110" s="1483"/>
      <c r="Q110" s="1483"/>
      <c r="R110" s="1484"/>
      <c r="S110" s="334"/>
      <c r="AC110" s="387"/>
      <c r="BA110" s="173"/>
      <c r="BB110" s="173"/>
      <c r="BC110" s="173"/>
      <c r="BD110" s="173"/>
      <c r="BE110" s="173"/>
      <c r="BF110" s="173"/>
      <c r="BG110" s="173"/>
      <c r="BH110" s="173"/>
    </row>
    <row r="111" spans="2:60" ht="18" customHeight="1">
      <c r="R111" s="395"/>
      <c r="S111" s="386"/>
      <c r="AC111" s="387"/>
      <c r="BA111" s="173"/>
      <c r="BB111" s="173"/>
      <c r="BC111" s="173"/>
      <c r="BD111" s="173"/>
      <c r="BE111" s="173"/>
      <c r="BF111" s="173"/>
      <c r="BG111" s="173"/>
      <c r="BH111" s="173"/>
    </row>
    <row r="112" spans="2:60" ht="18" customHeight="1">
      <c r="B112" s="30"/>
      <c r="C112" s="58"/>
      <c r="D112" s="58"/>
      <c r="E112" s="58"/>
      <c r="F112" s="58"/>
      <c r="G112" s="58"/>
      <c r="H112" s="58"/>
      <c r="I112" s="30"/>
      <c r="J112" s="30"/>
      <c r="K112" s="30"/>
      <c r="L112" s="30"/>
      <c r="M112" s="30"/>
      <c r="N112" s="20"/>
      <c r="O112" s="30"/>
      <c r="P112" s="30"/>
      <c r="Q112" s="30"/>
      <c r="R112" s="395"/>
      <c r="S112" s="386"/>
      <c r="AC112" s="387"/>
    </row>
    <row r="113" spans="1:34" ht="18" customHeight="1">
      <c r="B113" s="58" t="s">
        <v>317</v>
      </c>
      <c r="C113" s="58"/>
      <c r="D113" s="58"/>
      <c r="E113" s="58"/>
      <c r="F113" s="58"/>
      <c r="G113" s="58"/>
      <c r="H113" s="58"/>
      <c r="I113" s="30"/>
      <c r="J113" s="30"/>
      <c r="K113" s="30"/>
      <c r="L113" s="30"/>
      <c r="M113" s="30"/>
      <c r="N113" s="20"/>
      <c r="O113" s="30"/>
      <c r="P113" s="30"/>
      <c r="Q113" s="30"/>
      <c r="R113" s="395"/>
      <c r="S113" s="386"/>
      <c r="AC113" s="387"/>
    </row>
    <row r="114" spans="1:34" ht="18" customHeight="1">
      <c r="B114" s="58" t="s">
        <v>318</v>
      </c>
      <c r="C114" s="58"/>
      <c r="D114" s="58"/>
      <c r="E114" s="58"/>
      <c r="F114" s="58"/>
      <c r="G114" s="58"/>
      <c r="H114" s="58"/>
      <c r="I114" s="30"/>
      <c r="J114" s="30"/>
      <c r="K114" s="30"/>
      <c r="L114" s="30"/>
      <c r="M114" s="30"/>
      <c r="N114" s="20"/>
      <c r="O114" s="30"/>
      <c r="P114" s="30"/>
      <c r="Q114" s="30"/>
      <c r="S114" s="386"/>
      <c r="AC114" s="387"/>
    </row>
    <row r="115" spans="1:34" ht="18" customHeight="1" thickBot="1">
      <c r="A115" s="58"/>
      <c r="B115" s="58"/>
      <c r="C115" s="58"/>
      <c r="D115" s="58"/>
      <c r="E115" s="58"/>
      <c r="F115" s="58"/>
      <c r="G115" s="58"/>
      <c r="H115" s="58"/>
      <c r="I115" s="30"/>
      <c r="J115" s="30"/>
      <c r="K115" s="30"/>
      <c r="L115" s="30"/>
      <c r="M115" s="30"/>
      <c r="N115" s="20"/>
      <c r="O115" s="30"/>
      <c r="P115" s="30"/>
      <c r="Q115" s="30"/>
      <c r="S115" s="386"/>
      <c r="AC115" s="151"/>
    </row>
    <row r="116" spans="1:34" ht="18" customHeight="1">
      <c r="B116" s="1449" t="s">
        <v>287</v>
      </c>
      <c r="C116" s="1450"/>
      <c r="D116" s="1450"/>
      <c r="E116" s="1451"/>
      <c r="F116" s="1236" t="s">
        <v>288</v>
      </c>
      <c r="G116" s="324"/>
      <c r="H116" s="1496" t="s">
        <v>290</v>
      </c>
      <c r="I116" s="419"/>
      <c r="N116" s="34"/>
      <c r="Q116" s="30"/>
      <c r="AC116" s="146" t="s">
        <v>319</v>
      </c>
      <c r="AD116" s="320"/>
      <c r="AE116" s="320"/>
      <c r="AF116" s="320"/>
      <c r="AG116" s="144"/>
    </row>
    <row r="117" spans="1:34" ht="18" customHeight="1">
      <c r="B117" s="1452"/>
      <c r="C117" s="1252"/>
      <c r="D117" s="1252"/>
      <c r="E117" s="1253"/>
      <c r="F117" s="1405"/>
      <c r="G117" s="1410" t="s">
        <v>162</v>
      </c>
      <c r="H117" s="1497"/>
      <c r="I117" s="419"/>
      <c r="N117" s="34"/>
      <c r="Q117" s="30"/>
      <c r="AC117" s="1362" t="s">
        <v>292</v>
      </c>
      <c r="AD117" s="1362"/>
      <c r="AE117" s="1399" t="s">
        <v>293</v>
      </c>
      <c r="AF117" s="1397" t="s">
        <v>320</v>
      </c>
      <c r="AG117" s="1399" t="s">
        <v>214</v>
      </c>
    </row>
    <row r="118" spans="1:34" ht="14.25" customHeight="1" thickBot="1">
      <c r="B118" s="1269"/>
      <c r="C118" s="1270"/>
      <c r="D118" s="1270"/>
      <c r="E118" s="1271"/>
      <c r="F118" s="1405"/>
      <c r="G118" s="1411"/>
      <c r="H118" s="1498"/>
      <c r="I118" s="419"/>
      <c r="N118" s="34"/>
      <c r="AC118" s="1362"/>
      <c r="AD118" s="1362"/>
      <c r="AE118" s="1400"/>
      <c r="AF118" s="1398"/>
      <c r="AG118" s="1400"/>
    </row>
    <row r="119" spans="1:34" ht="30" customHeight="1" thickTop="1">
      <c r="B119" s="1487" t="s">
        <v>267</v>
      </c>
      <c r="C119" s="1488"/>
      <c r="D119" s="1489" t="s">
        <v>321</v>
      </c>
      <c r="E119" s="1490"/>
      <c r="F119" s="421"/>
      <c r="G119" s="422" t="s">
        <v>322</v>
      </c>
      <c r="H119" s="1078"/>
      <c r="I119" s="173"/>
      <c r="J119" s="173"/>
      <c r="N119" s="34"/>
      <c r="AC119" s="1491" t="s">
        <v>267</v>
      </c>
      <c r="AD119" s="423" t="s">
        <v>321</v>
      </c>
      <c r="AE119" s="424">
        <f>ROUND(F119*H119%,)</f>
        <v>0</v>
      </c>
      <c r="AF119" s="425"/>
      <c r="AG119" s="335">
        <f>ROUND(AE119*$AF119,)</f>
        <v>0</v>
      </c>
    </row>
    <row r="120" spans="1:34" ht="30" customHeight="1">
      <c r="B120" s="1425"/>
      <c r="C120" s="1468"/>
      <c r="D120" s="1492" t="s">
        <v>323</v>
      </c>
      <c r="E120" s="1493"/>
      <c r="F120" s="426"/>
      <c r="G120" s="427" t="s">
        <v>324</v>
      </c>
      <c r="H120" s="1079"/>
      <c r="I120" s="173"/>
      <c r="J120" s="173"/>
      <c r="N120" s="34"/>
      <c r="AC120" s="1491"/>
      <c r="AD120" s="423" t="s">
        <v>323</v>
      </c>
      <c r="AE120" s="424">
        <f t="shared" ref="AE120:AE122" si="1">ROUND(F120*H120%,)</f>
        <v>0</v>
      </c>
      <c r="AF120" s="354"/>
      <c r="AG120" s="335">
        <f t="shared" ref="AG120:AG122" si="2">ROUND(AE120*$AF120,)</f>
        <v>0</v>
      </c>
    </row>
    <row r="121" spans="1:34" ht="30" customHeight="1">
      <c r="B121" s="1425"/>
      <c r="C121" s="1468"/>
      <c r="D121" s="1492" t="s">
        <v>325</v>
      </c>
      <c r="E121" s="1493"/>
      <c r="F121" s="426"/>
      <c r="G121" s="427" t="s">
        <v>324</v>
      </c>
      <c r="H121" s="1079"/>
      <c r="I121" s="173"/>
      <c r="J121" s="173"/>
      <c r="N121" s="34"/>
      <c r="AC121" s="1491"/>
      <c r="AD121" s="423" t="s">
        <v>325</v>
      </c>
      <c r="AE121" s="424">
        <f t="shared" si="1"/>
        <v>0</v>
      </c>
      <c r="AF121" s="354"/>
      <c r="AG121" s="335">
        <f t="shared" si="2"/>
        <v>0</v>
      </c>
    </row>
    <row r="122" spans="1:34" ht="30" customHeight="1" thickBot="1">
      <c r="B122" s="1439"/>
      <c r="C122" s="1469"/>
      <c r="D122" s="1494" t="s">
        <v>219</v>
      </c>
      <c r="E122" s="1495"/>
      <c r="F122" s="428"/>
      <c r="G122" s="429" t="s">
        <v>322</v>
      </c>
      <c r="H122" s="1080"/>
      <c r="I122" s="173"/>
      <c r="J122" s="173"/>
      <c r="N122" s="34"/>
      <c r="S122" s="173"/>
      <c r="AC122" s="1491"/>
      <c r="AD122" s="423" t="s">
        <v>219</v>
      </c>
      <c r="AE122" s="424">
        <f t="shared" si="1"/>
        <v>0</v>
      </c>
      <c r="AF122" s="260"/>
      <c r="AG122" s="430">
        <f t="shared" si="2"/>
        <v>0</v>
      </c>
    </row>
    <row r="123" spans="1:34" ht="30" customHeight="1">
      <c r="B123" s="1472" t="s">
        <v>326</v>
      </c>
      <c r="C123" s="1472"/>
      <c r="D123" s="1472"/>
      <c r="E123" s="1472"/>
      <c r="F123" s="1472"/>
      <c r="G123" s="1472"/>
      <c r="H123" s="1472"/>
      <c r="I123" s="173"/>
      <c r="J123" s="173"/>
      <c r="N123" s="34"/>
      <c r="AC123" s="1400" t="s">
        <v>327</v>
      </c>
      <c r="AD123" s="1400"/>
      <c r="AE123" s="431"/>
      <c r="AF123" s="431"/>
      <c r="AG123" s="432">
        <f>SUM(AG119:AG122)</f>
        <v>0</v>
      </c>
      <c r="AH123" s="166"/>
    </row>
    <row r="124" spans="1:34" ht="22.5" customHeight="1">
      <c r="B124" s="1472"/>
      <c r="C124" s="1472"/>
      <c r="D124" s="1472"/>
      <c r="E124" s="1472"/>
      <c r="F124" s="1472"/>
      <c r="G124" s="1472"/>
      <c r="H124" s="1472"/>
      <c r="I124" s="173"/>
      <c r="J124" s="173"/>
      <c r="N124" s="34"/>
    </row>
  </sheetData>
  <sheetProtection sheet="1" objects="1" scenarios="1" selectLockedCells="1"/>
  <mergeCells count="108">
    <mergeCell ref="B123:H124"/>
    <mergeCell ref="AC123:AD123"/>
    <mergeCell ref="AF117:AF118"/>
    <mergeCell ref="AG117:AG118"/>
    <mergeCell ref="B119:C122"/>
    <mergeCell ref="D119:E119"/>
    <mergeCell ref="AC119:AC122"/>
    <mergeCell ref="D120:E120"/>
    <mergeCell ref="D121:E121"/>
    <mergeCell ref="D122:E122"/>
    <mergeCell ref="B116:E118"/>
    <mergeCell ref="F116:F118"/>
    <mergeCell ref="H116:H118"/>
    <mergeCell ref="G117:G118"/>
    <mergeCell ref="AC117:AD118"/>
    <mergeCell ref="AE117:AE118"/>
    <mergeCell ref="AC104:AD104"/>
    <mergeCell ref="D108:E108"/>
    <mergeCell ref="J108:J109"/>
    <mergeCell ref="K108:R110"/>
    <mergeCell ref="D109:E109"/>
    <mergeCell ref="D110:E110"/>
    <mergeCell ref="AC97:AD97"/>
    <mergeCell ref="AC98:AD98"/>
    <mergeCell ref="AC99:AD99"/>
    <mergeCell ref="AC100:AD100"/>
    <mergeCell ref="AC101:AD101"/>
    <mergeCell ref="AC102:AD102"/>
    <mergeCell ref="AC87:AD87"/>
    <mergeCell ref="AC89:AD89"/>
    <mergeCell ref="D92:E92"/>
    <mergeCell ref="F92:I92"/>
    <mergeCell ref="AC95:AD95"/>
    <mergeCell ref="AC96:AD96"/>
    <mergeCell ref="D76:E76"/>
    <mergeCell ref="F76:I76"/>
    <mergeCell ref="J76:R91"/>
    <mergeCell ref="AC80:AD80"/>
    <mergeCell ref="AC81:AD81"/>
    <mergeCell ref="AC82:AD82"/>
    <mergeCell ref="AC83:AD83"/>
    <mergeCell ref="AC84:AD84"/>
    <mergeCell ref="AC85:AD85"/>
    <mergeCell ref="AC86:AD86"/>
    <mergeCell ref="AC66:AD66"/>
    <mergeCell ref="AC67:AD67"/>
    <mergeCell ref="AC47:AD47"/>
    <mergeCell ref="AC68:AD68"/>
    <mergeCell ref="AC69:AD69"/>
    <mergeCell ref="AC70:AD70"/>
    <mergeCell ref="AC72:AD72"/>
    <mergeCell ref="AC54:AD54"/>
    <mergeCell ref="D60:E60"/>
    <mergeCell ref="F60:I60"/>
    <mergeCell ref="AC63:AD63"/>
    <mergeCell ref="AC64:AD64"/>
    <mergeCell ref="AC65:AD65"/>
    <mergeCell ref="AC48:AD48"/>
    <mergeCell ref="AC49:AD49"/>
    <mergeCell ref="B12:C110"/>
    <mergeCell ref="D12:E12"/>
    <mergeCell ref="F12:I12"/>
    <mergeCell ref="AC12:AD12"/>
    <mergeCell ref="AC13:AD13"/>
    <mergeCell ref="AC14:AD14"/>
    <mergeCell ref="AC15:AD15"/>
    <mergeCell ref="AC16:AD16"/>
    <mergeCell ref="AC17:AD17"/>
    <mergeCell ref="AC18:AD18"/>
    <mergeCell ref="D28:E28"/>
    <mergeCell ref="F28:I28"/>
    <mergeCell ref="AC28:AD28"/>
    <mergeCell ref="AC29:AD29"/>
    <mergeCell ref="AC30:AD30"/>
    <mergeCell ref="AC31:AD31"/>
    <mergeCell ref="AC50:AD50"/>
    <mergeCell ref="AC51:AD51"/>
    <mergeCell ref="AC52:AD52"/>
    <mergeCell ref="AC53:AD53"/>
    <mergeCell ref="AC38:AD38"/>
    <mergeCell ref="AC39:AD39"/>
    <mergeCell ref="AC19:AD19"/>
    <mergeCell ref="AC20:AD20"/>
    <mergeCell ref="AC21:AD21"/>
    <mergeCell ref="AC22:AD22"/>
    <mergeCell ref="AC23:AD23"/>
    <mergeCell ref="AC24:AD24"/>
    <mergeCell ref="D44:E44"/>
    <mergeCell ref="F44:I44"/>
    <mergeCell ref="AC9:AD10"/>
    <mergeCell ref="AC32:AD32"/>
    <mergeCell ref="AC33:AD33"/>
    <mergeCell ref="AC34:AD34"/>
    <mergeCell ref="AC35:AD35"/>
    <mergeCell ref="AC36:AD36"/>
    <mergeCell ref="AC37:AD37"/>
    <mergeCell ref="AC40:AD40"/>
    <mergeCell ref="AE9:AE10"/>
    <mergeCell ref="AF9:AF10"/>
    <mergeCell ref="AG9:AG10"/>
    <mergeCell ref="B11:E11"/>
    <mergeCell ref="AC11:AD11"/>
    <mergeCell ref="B8:E10"/>
    <mergeCell ref="F8:F10"/>
    <mergeCell ref="H8:H10"/>
    <mergeCell ref="I8:I10"/>
    <mergeCell ref="J8:R10"/>
    <mergeCell ref="G9:G10"/>
  </mergeCells>
  <phoneticPr fontId="5"/>
  <dataValidations count="5">
    <dataValidation type="custom" operator="greaterThan" allowBlank="1" showInputMessage="1" showErrorMessage="1" error="0より大きい小数点第２位までの数値を入力してください。" sqref="AF119:AF122" xr:uid="{00000000-0002-0000-0900-000000000000}">
      <formula1>AND(AND(AF119*100=INT(AF119*100)),(AF119&gt;0))</formula1>
    </dataValidation>
    <dataValidation type="whole" operator="greaterThan" allowBlank="1" showInputMessage="1" showErrorMessage="1" error="0より大きい数値を整数で入力してください。" sqref="F13:F27 H11 H13:H27 F29:F43 H29:H43 F45:F59 H45:H59 F61:F75 H61:H75 F77:F91 H77:H91 F93:F109 H93:H110 F119:F122" xr:uid="{00000000-0002-0000-0900-000001000000}">
      <formula1>0</formula1>
    </dataValidation>
    <dataValidation type="textLength" imeMode="hiragana" operator="greaterThanOrEqual" allowBlank="1" showInputMessage="1" showErrorMessage="1" sqref="E61:E75 E13:E27 E77:E91 E29:E43 E45:E59 E93:E107" xr:uid="{00000000-0002-0000-0900-000002000000}">
      <formula1>1</formula1>
    </dataValidation>
    <dataValidation type="custom" allowBlank="1" showInputMessage="1" showErrorMessage="1" error="0.001~100の範囲で小数点第３位までの数値を入力してください。" sqref="I11 I13:I27 I29:I43 I61:I75 I77:I91 H119:H122 I93:I110 I45:I59" xr:uid="{00000000-0002-0000-0900-000003000000}">
      <formula1>AND(AND(H11*1000=INT(H11*1000)),(H11&gt;0),(H11&lt;=100))</formula1>
    </dataValidation>
    <dataValidation type="decimal" allowBlank="1" showInputMessage="1" showErrorMessage="1" sqref="AE119:AE122" xr:uid="{00000000-0002-0000-0900-000004000000}">
      <formula1>0.001</formula1>
      <formula2>9999999999.999</formula2>
    </dataValidation>
  </dataValidations>
  <pageMargins left="0.59055118110236227" right="0.59055118110236227" top="0.59055118110236227" bottom="0.59055118110236227" header="0" footer="0"/>
  <pageSetup paperSize="9" scale="45" orientation="portrait" cellComments="asDisplayed" r:id="rId1"/>
  <headerFooter alignWithMargins="0"/>
  <drawing r:id="rId2"/>
  <legacyDrawing r:id="rId3"/>
  <controls>
    <mc:AlternateContent xmlns:mc="http://schemas.openxmlformats.org/markup-compatibility/2006">
      <mc:Choice Requires="x14">
        <control shapeId="7169" r:id="rId4" name="Label1">
          <controlPr defaultSize="0" print="0" autoLine="0" r:id="rId5">
            <anchor moveWithCells="1">
              <from>
                <xdr:col>4</xdr:col>
                <xdr:colOff>1485900</xdr:colOff>
                <xdr:row>0</xdr:row>
                <xdr:rowOff>66675</xdr:rowOff>
              </from>
              <to>
                <xdr:col>5</xdr:col>
                <xdr:colOff>438150</xdr:colOff>
                <xdr:row>2</xdr:row>
                <xdr:rowOff>9525</xdr:rowOff>
              </to>
            </anchor>
          </controlPr>
        </control>
      </mc:Choice>
      <mc:Fallback>
        <control shapeId="7169" r:id="rId4" name="Label1"/>
      </mc:Fallback>
    </mc:AlternateContent>
    <mc:AlternateContent xmlns:mc="http://schemas.openxmlformats.org/markup-compatibility/2006">
      <mc:Choice Requires="x14">
        <control shapeId="7170" r:id="rId6" name="Label2">
          <controlPr defaultSize="0" print="0" autoLine="0" r:id="rId7">
            <anchor moveWithCells="1">
              <from>
                <xdr:col>4</xdr:col>
                <xdr:colOff>1514475</xdr:colOff>
                <xdr:row>0</xdr:row>
                <xdr:rowOff>266700</xdr:rowOff>
              </from>
              <to>
                <xdr:col>5</xdr:col>
                <xdr:colOff>428625</xdr:colOff>
                <xdr:row>1</xdr:row>
                <xdr:rowOff>57150</xdr:rowOff>
              </to>
            </anchor>
          </controlPr>
        </control>
      </mc:Choice>
      <mc:Fallback>
        <control shapeId="7170" r:id="rId6" name="Label2"/>
      </mc:Fallback>
    </mc:AlternateContent>
    <mc:AlternateContent xmlns:mc="http://schemas.openxmlformats.org/markup-compatibility/2006">
      <mc:Choice Requires="x14">
        <control shapeId="7171" r:id="rId8" name="Label3">
          <controlPr defaultSize="0" print="0" autoLine="0" r:id="rId9">
            <anchor moveWithCells="1">
              <from>
                <xdr:col>5</xdr:col>
                <xdr:colOff>419100</xdr:colOff>
                <xdr:row>0</xdr:row>
                <xdr:rowOff>66675</xdr:rowOff>
              </from>
              <to>
                <xdr:col>5</xdr:col>
                <xdr:colOff>981075</xdr:colOff>
                <xdr:row>1</xdr:row>
                <xdr:rowOff>38100</xdr:rowOff>
              </to>
            </anchor>
          </controlPr>
        </control>
      </mc:Choice>
      <mc:Fallback>
        <control shapeId="7171" r:id="rId8" name="Label3"/>
      </mc:Fallback>
    </mc:AlternateContent>
    <mc:AlternateContent xmlns:mc="http://schemas.openxmlformats.org/markup-compatibility/2006">
      <mc:Choice Requires="x14">
        <control shapeId="7172" r:id="rId10" name="txt_chisso">
          <controlPr locked="0" defaultSize="0" print="0" autoLine="0" r:id="rId11">
            <anchor moveWithCells="1">
              <from>
                <xdr:col>5</xdr:col>
                <xdr:colOff>419100</xdr:colOff>
                <xdr:row>1</xdr:row>
                <xdr:rowOff>28575</xdr:rowOff>
              </from>
              <to>
                <xdr:col>5</xdr:col>
                <xdr:colOff>981075</xdr:colOff>
                <xdr:row>2</xdr:row>
                <xdr:rowOff>9525</xdr:rowOff>
              </to>
            </anchor>
          </controlPr>
        </control>
      </mc:Choice>
      <mc:Fallback>
        <control shapeId="7172" r:id="rId10" name="txt_chisso"/>
      </mc:Fallback>
    </mc:AlternateContent>
    <mc:AlternateContent xmlns:mc="http://schemas.openxmlformats.org/markup-compatibility/2006">
      <mc:Choice Requires="x14">
        <control shapeId="7173" r:id="rId12" name="btnKoushin1">
          <controlPr defaultSize="0" print="0" autoLine="0" r:id="rId13">
            <anchor moveWithCells="1">
              <from>
                <xdr:col>7</xdr:col>
                <xdr:colOff>971550</xdr:colOff>
                <xdr:row>2</xdr:row>
                <xdr:rowOff>9525</xdr:rowOff>
              </from>
              <to>
                <xdr:col>8</xdr:col>
                <xdr:colOff>495300</xdr:colOff>
                <xdr:row>4</xdr:row>
                <xdr:rowOff>66675</xdr:rowOff>
              </to>
            </anchor>
          </controlPr>
        </control>
      </mc:Choice>
      <mc:Fallback>
        <control shapeId="7173" r:id="rId12" name="btnKoushin1"/>
      </mc:Fallback>
    </mc:AlternateContent>
    <mc:AlternateContent xmlns:mc="http://schemas.openxmlformats.org/markup-compatibility/2006">
      <mc:Choice Requires="x14">
        <control shapeId="7174" r:id="rId14" name="Label4">
          <controlPr defaultSize="0" print="0" autoLine="0" r:id="rId15">
            <anchor moveWithCells="1">
              <from>
                <xdr:col>5</xdr:col>
                <xdr:colOff>981075</xdr:colOff>
                <xdr:row>0</xdr:row>
                <xdr:rowOff>66675</xdr:rowOff>
              </from>
              <to>
                <xdr:col>6</xdr:col>
                <xdr:colOff>9525</xdr:colOff>
                <xdr:row>1</xdr:row>
                <xdr:rowOff>28575</xdr:rowOff>
              </to>
            </anchor>
          </controlPr>
        </control>
      </mc:Choice>
      <mc:Fallback>
        <control shapeId="7174" r:id="rId14" name="Label4"/>
      </mc:Fallback>
    </mc:AlternateContent>
    <mc:AlternateContent xmlns:mc="http://schemas.openxmlformats.org/markup-compatibility/2006">
      <mc:Choice Requires="x14">
        <control shapeId="7175" r:id="rId16" name="txt_rinsan">
          <controlPr locked="0" defaultSize="0" print="0" autoLine="0" r:id="rId17">
            <anchor moveWithCells="1">
              <from>
                <xdr:col>5</xdr:col>
                <xdr:colOff>981075</xdr:colOff>
                <xdr:row>1</xdr:row>
                <xdr:rowOff>28575</xdr:rowOff>
              </from>
              <to>
                <xdr:col>6</xdr:col>
                <xdr:colOff>9525</xdr:colOff>
                <xdr:row>2</xdr:row>
                <xdr:rowOff>9525</xdr:rowOff>
              </to>
            </anchor>
          </controlPr>
        </control>
      </mc:Choice>
      <mc:Fallback>
        <control shapeId="7175" r:id="rId16" name="txt_rinsan"/>
      </mc:Fallback>
    </mc:AlternateContent>
    <mc:AlternateContent xmlns:mc="http://schemas.openxmlformats.org/markup-compatibility/2006">
      <mc:Choice Requires="x14">
        <control shapeId="7176" r:id="rId18" name="Label5">
          <controlPr defaultSize="0" print="0" autoLine="0" r:id="rId19">
            <anchor moveWithCells="1">
              <from>
                <xdr:col>6</xdr:col>
                <xdr:colOff>0</xdr:colOff>
                <xdr:row>0</xdr:row>
                <xdr:rowOff>66675</xdr:rowOff>
              </from>
              <to>
                <xdr:col>7</xdr:col>
                <xdr:colOff>228600</xdr:colOff>
                <xdr:row>1</xdr:row>
                <xdr:rowOff>28575</xdr:rowOff>
              </to>
            </anchor>
          </controlPr>
        </control>
      </mc:Choice>
      <mc:Fallback>
        <control shapeId="7176" r:id="rId18" name="Label5"/>
      </mc:Fallback>
    </mc:AlternateContent>
    <mc:AlternateContent xmlns:mc="http://schemas.openxmlformats.org/markup-compatibility/2006">
      <mc:Choice Requires="x14">
        <control shapeId="7177" r:id="rId20" name="txt_kari">
          <controlPr locked="0" defaultSize="0" print="0" autoLine="0" r:id="rId21">
            <anchor moveWithCells="1">
              <from>
                <xdr:col>6</xdr:col>
                <xdr:colOff>0</xdr:colOff>
                <xdr:row>1</xdr:row>
                <xdr:rowOff>28575</xdr:rowOff>
              </from>
              <to>
                <xdr:col>7</xdr:col>
                <xdr:colOff>228600</xdr:colOff>
                <xdr:row>2</xdr:row>
                <xdr:rowOff>9525</xdr:rowOff>
              </to>
            </anchor>
          </controlPr>
        </control>
      </mc:Choice>
      <mc:Fallback>
        <control shapeId="7177" r:id="rId20" name="txt_kari"/>
      </mc:Fallback>
    </mc:AlternateContent>
    <mc:AlternateContent xmlns:mc="http://schemas.openxmlformats.org/markup-compatibility/2006">
      <mc:Choice Requires="x14">
        <control shapeId="7178" r:id="rId22" name="Label6">
          <controlPr defaultSize="0" print="0" autoLine="0" r:id="rId23">
            <anchor moveWithCells="1">
              <from>
                <xdr:col>7</xdr:col>
                <xdr:colOff>209550</xdr:colOff>
                <xdr:row>0</xdr:row>
                <xdr:rowOff>66675</xdr:rowOff>
              </from>
              <to>
                <xdr:col>7</xdr:col>
                <xdr:colOff>790575</xdr:colOff>
                <xdr:row>1</xdr:row>
                <xdr:rowOff>28575</xdr:rowOff>
              </to>
            </anchor>
          </controlPr>
        </control>
      </mc:Choice>
      <mc:Fallback>
        <control shapeId="7178" r:id="rId22" name="Label6"/>
      </mc:Fallback>
    </mc:AlternateContent>
    <mc:AlternateContent xmlns:mc="http://schemas.openxmlformats.org/markup-compatibility/2006">
      <mc:Choice Requires="x14">
        <control shapeId="7179" r:id="rId24" name="txt_keisan">
          <controlPr locked="0" defaultSize="0" print="0" autoLine="0" r:id="rId25">
            <anchor moveWithCells="1">
              <from>
                <xdr:col>7</xdr:col>
                <xdr:colOff>209550</xdr:colOff>
                <xdr:row>1</xdr:row>
                <xdr:rowOff>28575</xdr:rowOff>
              </from>
              <to>
                <xdr:col>7</xdr:col>
                <xdr:colOff>790575</xdr:colOff>
                <xdr:row>2</xdr:row>
                <xdr:rowOff>9525</xdr:rowOff>
              </to>
            </anchor>
          </controlPr>
        </control>
      </mc:Choice>
      <mc:Fallback>
        <control shapeId="7179" r:id="rId24" name="txt_keisan"/>
      </mc:Fallback>
    </mc:AlternateContent>
    <mc:AlternateContent xmlns:mc="http://schemas.openxmlformats.org/markup-compatibility/2006">
      <mc:Choice Requires="x14">
        <control shapeId="7180" r:id="rId26" name="Label7">
          <controlPr defaultSize="0" print="0" autoLine="0" r:id="rId27">
            <anchor moveWithCells="1">
              <from>
                <xdr:col>7</xdr:col>
                <xdr:colOff>790575</xdr:colOff>
                <xdr:row>0</xdr:row>
                <xdr:rowOff>66675</xdr:rowOff>
              </from>
              <to>
                <xdr:col>7</xdr:col>
                <xdr:colOff>1400175</xdr:colOff>
                <xdr:row>1</xdr:row>
                <xdr:rowOff>28575</xdr:rowOff>
              </to>
            </anchor>
          </controlPr>
        </control>
      </mc:Choice>
      <mc:Fallback>
        <control shapeId="7180" r:id="rId26" name="Label7"/>
      </mc:Fallback>
    </mc:AlternateContent>
    <mc:AlternateContent xmlns:mc="http://schemas.openxmlformats.org/markup-compatibility/2006">
      <mc:Choice Requires="x14">
        <control shapeId="7181" r:id="rId28" name="txt_tansan">
          <controlPr locked="0" defaultSize="0" print="0" autoLine="0" r:id="rId29">
            <anchor moveWithCells="1">
              <from>
                <xdr:col>7</xdr:col>
                <xdr:colOff>790575</xdr:colOff>
                <xdr:row>1</xdr:row>
                <xdr:rowOff>28575</xdr:rowOff>
              </from>
              <to>
                <xdr:col>7</xdr:col>
                <xdr:colOff>1400175</xdr:colOff>
                <xdr:row>2</xdr:row>
                <xdr:rowOff>9525</xdr:rowOff>
              </to>
            </anchor>
          </controlPr>
        </control>
      </mc:Choice>
      <mc:Fallback>
        <control shapeId="7181" r:id="rId28" name="txt_tansan"/>
      </mc:Fallback>
    </mc:AlternateContent>
    <mc:AlternateContent xmlns:mc="http://schemas.openxmlformats.org/markup-compatibility/2006">
      <mc:Choice Requires="x14">
        <control shapeId="7182" r:id="rId30" name="Label8">
          <controlPr defaultSize="0" print="0" autoLine="0" r:id="rId31">
            <anchor moveWithCells="1">
              <from>
                <xdr:col>7</xdr:col>
                <xdr:colOff>1381125</xdr:colOff>
                <xdr:row>0</xdr:row>
                <xdr:rowOff>66675</xdr:rowOff>
              </from>
              <to>
                <xdr:col>8</xdr:col>
                <xdr:colOff>476250</xdr:colOff>
                <xdr:row>1</xdr:row>
                <xdr:rowOff>28575</xdr:rowOff>
              </to>
            </anchor>
          </controlPr>
        </control>
      </mc:Choice>
      <mc:Fallback>
        <control shapeId="7182" r:id="rId30" name="Label8"/>
      </mc:Fallback>
    </mc:AlternateContent>
    <mc:AlternateContent xmlns:mc="http://schemas.openxmlformats.org/markup-compatibility/2006">
      <mc:Choice Requires="x14">
        <control shapeId="7183" r:id="rId32" name="txt_fukugou">
          <controlPr locked="0" defaultSize="0" print="0" autoLine="0" r:id="rId33">
            <anchor moveWithCells="1">
              <from>
                <xdr:col>7</xdr:col>
                <xdr:colOff>1381125</xdr:colOff>
                <xdr:row>1</xdr:row>
                <xdr:rowOff>28575</xdr:rowOff>
              </from>
              <to>
                <xdr:col>8</xdr:col>
                <xdr:colOff>476250</xdr:colOff>
                <xdr:row>2</xdr:row>
                <xdr:rowOff>9525</xdr:rowOff>
              </to>
            </anchor>
          </controlPr>
        </control>
      </mc:Choice>
      <mc:Fallback>
        <control shapeId="7183" r:id="rId32" name="txt_fukugou"/>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5">
    <outlinePr summaryBelow="0"/>
    <pageSetUpPr fitToPage="1"/>
  </sheetPr>
  <dimension ref="B1:AA91"/>
  <sheetViews>
    <sheetView showGridLines="0" zoomScale="80" zoomScaleNormal="80" zoomScaleSheetLayoutView="80" workbookViewId="0">
      <selection activeCell="F11" sqref="F11"/>
    </sheetView>
  </sheetViews>
  <sheetFormatPr defaultColWidth="2.625" defaultRowHeight="14.25" customHeight="1" outlineLevelRow="1" outlineLevelCol="1"/>
  <cols>
    <col min="1" max="1" width="2.625" style="2"/>
    <col min="2" max="4" width="2.625" style="2" customWidth="1"/>
    <col min="5" max="5" width="22.375" style="2" customWidth="1"/>
    <col min="6" max="6" width="20.125" style="2" customWidth="1"/>
    <col min="7" max="7" width="12.375" style="2" customWidth="1"/>
    <col min="8" max="17" width="2.625" style="2" customWidth="1"/>
    <col min="18" max="18" width="2.625" style="34" customWidth="1"/>
    <col min="19" max="19" width="2.625" style="2" customWidth="1"/>
    <col min="20" max="23" width="2.625" style="2" customWidth="1" outlineLevel="1"/>
    <col min="24" max="25" width="17.375" style="2" customWidth="1" outlineLevel="1"/>
    <col min="26" max="41" width="2.625" style="2" customWidth="1"/>
    <col min="42" max="16384" width="2.625" style="2"/>
  </cols>
  <sheetData>
    <row r="1" spans="2:27" ht="18" customHeight="1">
      <c r="H1" s="173"/>
      <c r="I1" s="173"/>
      <c r="J1" s="173"/>
      <c r="K1" s="173"/>
      <c r="L1" s="173"/>
      <c r="M1" s="173"/>
      <c r="N1" s="173"/>
    </row>
    <row r="2" spans="2:27" ht="18" customHeight="1"/>
    <row r="3" spans="2:27" ht="18" customHeight="1"/>
    <row r="4" spans="2:27" ht="18" customHeight="1">
      <c r="C4" s="48"/>
      <c r="D4" s="48"/>
      <c r="E4" s="48"/>
      <c r="F4" s="48"/>
      <c r="G4" s="48"/>
    </row>
    <row r="5" spans="2:27" ht="18" customHeight="1">
      <c r="B5" s="108" t="s">
        <v>328</v>
      </c>
      <c r="C5" s="433"/>
      <c r="D5" s="433"/>
      <c r="E5" s="433"/>
      <c r="F5" s="433"/>
      <c r="G5" s="433"/>
      <c r="H5" s="433"/>
      <c r="I5" s="433"/>
      <c r="J5" s="433"/>
      <c r="K5" s="433"/>
      <c r="L5" s="433"/>
      <c r="M5" s="433"/>
      <c r="N5" s="433"/>
      <c r="O5" s="433"/>
      <c r="P5" s="433"/>
      <c r="Q5" s="433"/>
      <c r="R5" s="20"/>
      <c r="S5" s="30"/>
      <c r="W5" s="108" t="s">
        <v>328</v>
      </c>
    </row>
    <row r="6" spans="2:27" ht="18" customHeight="1">
      <c r="B6" s="1499" t="s">
        <v>329</v>
      </c>
      <c r="C6" s="1499"/>
      <c r="D6" s="1499"/>
      <c r="E6" s="1499"/>
      <c r="F6" s="1499"/>
      <c r="G6" s="1499"/>
      <c r="H6" s="1499"/>
      <c r="I6" s="1499"/>
      <c r="J6" s="1499"/>
      <c r="K6" s="1499"/>
      <c r="L6" s="1499"/>
      <c r="M6" s="1499"/>
      <c r="N6" s="1499"/>
      <c r="O6" s="1499"/>
      <c r="P6" s="1499"/>
      <c r="Q6" s="1499"/>
      <c r="R6" s="1499"/>
      <c r="S6" s="30"/>
    </row>
    <row r="7" spans="2:27" ht="18" customHeight="1">
      <c r="B7" s="1499"/>
      <c r="C7" s="1499"/>
      <c r="D7" s="1499"/>
      <c r="E7" s="1499"/>
      <c r="F7" s="1499"/>
      <c r="G7" s="1499"/>
      <c r="H7" s="1499"/>
      <c r="I7" s="1499"/>
      <c r="J7" s="1499"/>
      <c r="K7" s="1499"/>
      <c r="L7" s="1499"/>
      <c r="M7" s="1499"/>
      <c r="N7" s="1499"/>
      <c r="O7" s="1499"/>
      <c r="P7" s="1499"/>
      <c r="Q7" s="1499"/>
      <c r="R7" s="1499"/>
      <c r="S7" s="30"/>
    </row>
    <row r="8" spans="2:27" ht="18" customHeight="1" thickBot="1">
      <c r="B8" s="1499"/>
      <c r="C8" s="1499"/>
      <c r="D8" s="1499"/>
      <c r="E8" s="1499"/>
      <c r="F8" s="1499"/>
      <c r="G8" s="1499"/>
      <c r="H8" s="1499"/>
      <c r="I8" s="1499"/>
      <c r="J8" s="1499"/>
      <c r="K8" s="1499"/>
      <c r="L8" s="1499"/>
      <c r="M8" s="1499"/>
      <c r="N8" s="1499"/>
      <c r="O8" s="1499"/>
      <c r="P8" s="1499"/>
      <c r="Q8" s="1499"/>
      <c r="R8" s="1499"/>
      <c r="S8" s="30"/>
    </row>
    <row r="9" spans="2:27" ht="18" customHeight="1">
      <c r="B9" s="434"/>
      <c r="C9" s="1236" t="s">
        <v>287</v>
      </c>
      <c r="D9" s="1237"/>
      <c r="E9" s="1237"/>
      <c r="F9" s="1169" t="s">
        <v>330</v>
      </c>
      <c r="G9" s="1456" t="s">
        <v>331</v>
      </c>
      <c r="H9" s="1459" t="s">
        <v>332</v>
      </c>
      <c r="I9" s="1237"/>
      <c r="J9" s="1237"/>
      <c r="K9" s="1237"/>
      <c r="L9" s="1237"/>
      <c r="M9" s="1237"/>
      <c r="N9" s="1237"/>
      <c r="O9" s="1237"/>
      <c r="P9" s="1237"/>
      <c r="Q9" s="1260"/>
      <c r="R9" s="20"/>
      <c r="S9" s="30"/>
      <c r="X9" s="1507" t="s">
        <v>287</v>
      </c>
      <c r="Y9" s="1362" t="s">
        <v>333</v>
      </c>
    </row>
    <row r="10" spans="2:27" ht="18" customHeight="1" thickBot="1">
      <c r="B10" s="323"/>
      <c r="C10" s="1239"/>
      <c r="D10" s="1240"/>
      <c r="E10" s="1240"/>
      <c r="F10" s="1500"/>
      <c r="G10" s="1501"/>
      <c r="H10" s="1461"/>
      <c r="I10" s="1240"/>
      <c r="J10" s="1240"/>
      <c r="K10" s="1240"/>
      <c r="L10" s="1240"/>
      <c r="M10" s="1240"/>
      <c r="N10" s="1240"/>
      <c r="O10" s="1240"/>
      <c r="P10" s="1240"/>
      <c r="Q10" s="1392"/>
      <c r="R10" s="435"/>
      <c r="S10" s="407"/>
      <c r="T10" s="407"/>
      <c r="X10" s="1507"/>
      <c r="Y10" s="1362"/>
    </row>
    <row r="11" spans="2:27" ht="30" customHeight="1" thickTop="1" thickBot="1">
      <c r="B11" s="323"/>
      <c r="C11" s="1447" t="s">
        <v>295</v>
      </c>
      <c r="D11" s="1448"/>
      <c r="E11" s="1448"/>
      <c r="F11" s="436"/>
      <c r="G11" s="1073"/>
      <c r="H11" s="437"/>
      <c r="I11" s="324"/>
      <c r="J11" s="324"/>
      <c r="K11" s="324"/>
      <c r="L11" s="324"/>
      <c r="M11" s="324"/>
      <c r="N11" s="324"/>
      <c r="O11" s="324"/>
      <c r="P11" s="324"/>
      <c r="Q11" s="438"/>
      <c r="R11" s="435"/>
      <c r="S11" s="407"/>
      <c r="T11" s="407"/>
      <c r="X11" s="216" t="s">
        <v>334</v>
      </c>
      <c r="Y11" s="439">
        <f>IF(F11&gt;0,ROUND(F11*G11%,),SUM(Y12:Y16))</f>
        <v>0</v>
      </c>
    </row>
    <row r="12" spans="2:27" ht="30" customHeight="1" thickTop="1">
      <c r="B12" s="323"/>
      <c r="C12" s="440"/>
      <c r="D12" s="1463" t="s">
        <v>335</v>
      </c>
      <c r="E12" s="1464"/>
      <c r="F12" s="1502"/>
      <c r="G12" s="1503"/>
      <c r="H12" s="395"/>
      <c r="I12" s="395"/>
      <c r="J12" s="395"/>
      <c r="K12" s="395"/>
      <c r="L12" s="395"/>
      <c r="M12" s="395"/>
      <c r="N12" s="395"/>
      <c r="O12" s="395"/>
      <c r="P12" s="395"/>
      <c r="Q12" s="396"/>
      <c r="R12" s="334"/>
      <c r="S12" s="173"/>
      <c r="T12" s="173"/>
      <c r="U12" s="173"/>
      <c r="V12" s="173"/>
      <c r="W12" s="173"/>
      <c r="X12" s="216" t="s">
        <v>336</v>
      </c>
      <c r="Y12" s="441">
        <f>SUMPRODUCT(ROUND((F13:F27)*(G13:G27)/100,))</f>
        <v>0</v>
      </c>
      <c r="Z12" s="173"/>
      <c r="AA12" s="173"/>
    </row>
    <row r="13" spans="2:27" s="407" customFormat="1" ht="30" customHeight="1">
      <c r="B13" s="2"/>
      <c r="C13" s="442"/>
      <c r="D13" s="356"/>
      <c r="E13" s="398"/>
      <c r="F13" s="336"/>
      <c r="G13" s="1076"/>
      <c r="H13" s="443"/>
      <c r="I13" s="395"/>
      <c r="J13" s="395"/>
      <c r="K13" s="395"/>
      <c r="L13" s="395"/>
      <c r="M13" s="395"/>
      <c r="N13" s="395"/>
      <c r="O13" s="395"/>
      <c r="P13" s="395"/>
      <c r="Q13" s="396"/>
      <c r="R13" s="334"/>
      <c r="S13" s="173"/>
      <c r="T13" s="173"/>
      <c r="U13" s="411"/>
      <c r="V13" s="411"/>
      <c r="W13" s="411"/>
      <c r="X13" s="216" t="s">
        <v>337</v>
      </c>
      <c r="Y13" s="441">
        <f>SUMPRODUCT(ROUND((F29:F43)*(G29:G43)/100,))</f>
        <v>0</v>
      </c>
      <c r="Z13" s="411"/>
      <c r="AA13" s="411"/>
    </row>
    <row r="14" spans="2:27" s="407" customFormat="1" ht="30" customHeight="1">
      <c r="B14" s="2"/>
      <c r="C14" s="442"/>
      <c r="D14" s="356"/>
      <c r="E14" s="398"/>
      <c r="F14" s="336"/>
      <c r="G14" s="1081"/>
      <c r="H14" s="443"/>
      <c r="I14" s="395"/>
      <c r="J14" s="395"/>
      <c r="K14" s="395"/>
      <c r="L14" s="395"/>
      <c r="M14" s="395"/>
      <c r="N14" s="395"/>
      <c r="O14" s="395"/>
      <c r="P14" s="395"/>
      <c r="Q14" s="396"/>
      <c r="R14" s="334"/>
      <c r="S14" s="173"/>
      <c r="T14" s="173"/>
      <c r="U14" s="411"/>
      <c r="V14" s="411"/>
      <c r="W14" s="411"/>
      <c r="X14" s="216" t="s">
        <v>338</v>
      </c>
      <c r="Y14" s="441">
        <f>SUMPRODUCT(ROUND((F45:F59)*(G45:G59)/100,))</f>
        <v>0</v>
      </c>
      <c r="Z14" s="411"/>
      <c r="AA14" s="411"/>
    </row>
    <row r="15" spans="2:27" ht="30" customHeight="1">
      <c r="C15" s="442"/>
      <c r="D15" s="356"/>
      <c r="E15" s="398"/>
      <c r="F15" s="444"/>
      <c r="G15" s="1082"/>
      <c r="H15" s="443"/>
      <c r="I15" s="395"/>
      <c r="J15" s="395"/>
      <c r="K15" s="395"/>
      <c r="L15" s="395"/>
      <c r="M15" s="395"/>
      <c r="N15" s="395"/>
      <c r="O15" s="395"/>
      <c r="P15" s="395"/>
      <c r="Q15" s="396"/>
      <c r="R15" s="334"/>
      <c r="S15" s="173"/>
      <c r="T15" s="173"/>
      <c r="U15" s="173"/>
      <c r="V15" s="173"/>
      <c r="W15" s="173"/>
      <c r="X15" s="216" t="s">
        <v>339</v>
      </c>
      <c r="Y15" s="441">
        <f>SUMPRODUCT(ROUND((F61:F75)*(G61:G75)/100,))</f>
        <v>0</v>
      </c>
      <c r="Z15" s="173"/>
      <c r="AA15" s="173"/>
    </row>
    <row r="16" spans="2:27" ht="30" customHeight="1" collapsed="1">
      <c r="C16" s="442"/>
      <c r="D16" s="356"/>
      <c r="E16" s="398"/>
      <c r="F16" s="444"/>
      <c r="G16" s="1082"/>
      <c r="H16" s="443"/>
      <c r="I16" s="395"/>
      <c r="J16" s="395"/>
      <c r="K16" s="395"/>
      <c r="L16" s="395"/>
      <c r="M16" s="395"/>
      <c r="N16" s="395"/>
      <c r="O16" s="395"/>
      <c r="P16" s="395"/>
      <c r="Q16" s="396"/>
      <c r="R16" s="334"/>
      <c r="S16" s="173"/>
      <c r="T16" s="173"/>
      <c r="U16" s="173"/>
      <c r="V16" s="173"/>
      <c r="W16" s="173"/>
      <c r="X16" s="216" t="s">
        <v>219</v>
      </c>
      <c r="Y16" s="441">
        <f>ROUND((F76*G76)/100,)</f>
        <v>0</v>
      </c>
      <c r="Z16" s="173"/>
      <c r="AA16" s="173"/>
    </row>
    <row r="17" spans="3:27" ht="30" hidden="1" customHeight="1" outlineLevel="1">
      <c r="C17" s="442"/>
      <c r="D17" s="356"/>
      <c r="E17" s="398"/>
      <c r="F17" s="444"/>
      <c r="G17" s="1082"/>
      <c r="H17" s="443"/>
      <c r="I17" s="395"/>
      <c r="J17" s="395"/>
      <c r="K17" s="395"/>
      <c r="L17" s="395"/>
      <c r="M17" s="395"/>
      <c r="N17" s="395"/>
      <c r="O17" s="395"/>
      <c r="P17" s="395"/>
      <c r="Q17" s="396"/>
      <c r="R17" s="334"/>
      <c r="S17" s="173"/>
      <c r="T17" s="173"/>
      <c r="U17" s="173"/>
      <c r="V17" s="173"/>
      <c r="W17" s="173"/>
      <c r="X17" s="445"/>
      <c r="Y17" s="446"/>
      <c r="Z17" s="173"/>
      <c r="AA17" s="173"/>
    </row>
    <row r="18" spans="3:27" ht="30" hidden="1" customHeight="1" outlineLevel="1">
      <c r="C18" s="442"/>
      <c r="D18" s="447"/>
      <c r="E18" s="398"/>
      <c r="F18" s="444"/>
      <c r="G18" s="1082"/>
      <c r="H18" s="443"/>
      <c r="I18" s="395"/>
      <c r="J18" s="395"/>
      <c r="K18" s="395"/>
      <c r="L18" s="395"/>
      <c r="M18" s="395"/>
      <c r="N18" s="395"/>
      <c r="O18" s="395"/>
      <c r="P18" s="395"/>
      <c r="Q18" s="396"/>
      <c r="R18" s="334"/>
      <c r="S18" s="173"/>
      <c r="T18" s="173"/>
      <c r="U18" s="173"/>
      <c r="V18" s="173"/>
      <c r="W18" s="173"/>
      <c r="X18" s="382"/>
      <c r="Y18" s="448"/>
      <c r="Z18" s="173"/>
      <c r="AA18" s="173"/>
    </row>
    <row r="19" spans="3:27" ht="30" hidden="1" customHeight="1" outlineLevel="1">
      <c r="C19" s="442"/>
      <c r="D19" s="447"/>
      <c r="E19" s="398"/>
      <c r="F19" s="444"/>
      <c r="G19" s="1082"/>
      <c r="H19" s="443"/>
      <c r="I19" s="395"/>
      <c r="J19" s="395"/>
      <c r="K19" s="395"/>
      <c r="L19" s="395"/>
      <c r="M19" s="395"/>
      <c r="N19" s="395"/>
      <c r="O19" s="395"/>
      <c r="P19" s="395"/>
      <c r="Q19" s="396"/>
      <c r="R19" s="334"/>
      <c r="S19" s="173"/>
      <c r="T19" s="173"/>
      <c r="U19" s="173"/>
      <c r="V19" s="173"/>
      <c r="W19" s="173"/>
      <c r="X19" s="382"/>
      <c r="Y19" s="448"/>
      <c r="Z19" s="173"/>
      <c r="AA19" s="173"/>
    </row>
    <row r="20" spans="3:27" ht="30" hidden="1" customHeight="1" outlineLevel="1">
      <c r="C20" s="442"/>
      <c r="D20" s="447"/>
      <c r="E20" s="398"/>
      <c r="F20" s="444"/>
      <c r="G20" s="1082"/>
      <c r="H20" s="443"/>
      <c r="I20" s="395"/>
      <c r="J20" s="395"/>
      <c r="K20" s="395"/>
      <c r="L20" s="395"/>
      <c r="M20" s="395"/>
      <c r="N20" s="395"/>
      <c r="O20" s="395"/>
      <c r="P20" s="395"/>
      <c r="Q20" s="396"/>
      <c r="R20" s="334"/>
      <c r="S20" s="173"/>
      <c r="T20" s="173"/>
      <c r="U20" s="173"/>
      <c r="V20" s="173"/>
      <c r="W20" s="173"/>
      <c r="X20" s="382"/>
      <c r="Y20" s="448"/>
      <c r="Z20" s="173"/>
      <c r="AA20" s="173"/>
    </row>
    <row r="21" spans="3:27" ht="30" hidden="1" customHeight="1" outlineLevel="1">
      <c r="C21" s="442"/>
      <c r="D21" s="447"/>
      <c r="E21" s="398"/>
      <c r="F21" s="444"/>
      <c r="G21" s="1082"/>
      <c r="H21" s="443"/>
      <c r="I21" s="395"/>
      <c r="J21" s="395"/>
      <c r="K21" s="395"/>
      <c r="L21" s="395"/>
      <c r="M21" s="395"/>
      <c r="N21" s="395"/>
      <c r="O21" s="395"/>
      <c r="P21" s="395"/>
      <c r="Q21" s="396"/>
      <c r="R21" s="334"/>
      <c r="S21" s="173"/>
      <c r="T21" s="173"/>
      <c r="U21" s="173"/>
      <c r="V21" s="173"/>
      <c r="W21" s="173"/>
      <c r="X21" s="382"/>
      <c r="Y21" s="448"/>
      <c r="Z21" s="173"/>
      <c r="AA21" s="173"/>
    </row>
    <row r="22" spans="3:27" ht="30" hidden="1" customHeight="1" outlineLevel="1">
      <c r="C22" s="442"/>
      <c r="D22" s="447"/>
      <c r="E22" s="398"/>
      <c r="F22" s="444"/>
      <c r="G22" s="1082"/>
      <c r="H22" s="443"/>
      <c r="I22" s="395"/>
      <c r="J22" s="395"/>
      <c r="K22" s="395"/>
      <c r="L22" s="395"/>
      <c r="M22" s="395"/>
      <c r="N22" s="395"/>
      <c r="O22" s="395"/>
      <c r="P22" s="395"/>
      <c r="Q22" s="396"/>
      <c r="R22" s="334"/>
      <c r="S22" s="173"/>
      <c r="T22" s="173"/>
      <c r="U22" s="173"/>
      <c r="V22" s="173"/>
      <c r="W22" s="173"/>
      <c r="X22" s="382"/>
      <c r="Y22" s="448"/>
      <c r="Z22" s="173"/>
      <c r="AA22" s="173"/>
    </row>
    <row r="23" spans="3:27" ht="30" hidden="1" customHeight="1" outlineLevel="1">
      <c r="C23" s="442"/>
      <c r="D23" s="447"/>
      <c r="E23" s="398"/>
      <c r="F23" s="444"/>
      <c r="G23" s="1082"/>
      <c r="H23" s="443"/>
      <c r="I23" s="395"/>
      <c r="J23" s="395"/>
      <c r="K23" s="395"/>
      <c r="L23" s="395"/>
      <c r="M23" s="395"/>
      <c r="N23" s="395"/>
      <c r="O23" s="395"/>
      <c r="P23" s="395"/>
      <c r="Q23" s="396"/>
      <c r="R23" s="334"/>
      <c r="S23" s="173"/>
      <c r="T23" s="173"/>
      <c r="U23" s="173"/>
      <c r="V23" s="173"/>
      <c r="W23" s="173"/>
      <c r="X23" s="382"/>
      <c r="Y23" s="448"/>
      <c r="Z23" s="173"/>
      <c r="AA23" s="173"/>
    </row>
    <row r="24" spans="3:27" ht="30" hidden="1" customHeight="1" outlineLevel="1">
      <c r="C24" s="442"/>
      <c r="D24" s="447"/>
      <c r="E24" s="398"/>
      <c r="F24" s="444"/>
      <c r="G24" s="1082"/>
      <c r="H24" s="443"/>
      <c r="I24" s="395"/>
      <c r="J24" s="395"/>
      <c r="K24" s="395"/>
      <c r="L24" s="395"/>
      <c r="M24" s="395"/>
      <c r="N24" s="395"/>
      <c r="O24" s="395"/>
      <c r="P24" s="395"/>
      <c r="Q24" s="396"/>
      <c r="R24" s="334"/>
      <c r="S24" s="173"/>
      <c r="T24" s="173"/>
      <c r="U24" s="173"/>
      <c r="V24" s="173"/>
      <c r="W24" s="173"/>
      <c r="X24" s="382"/>
      <c r="Y24" s="448"/>
      <c r="Z24" s="173"/>
      <c r="AA24" s="173"/>
    </row>
    <row r="25" spans="3:27" ht="30" hidden="1" customHeight="1" outlineLevel="1">
      <c r="C25" s="442"/>
      <c r="D25" s="447"/>
      <c r="E25" s="398"/>
      <c r="F25" s="444"/>
      <c r="G25" s="1082"/>
      <c r="H25" s="443"/>
      <c r="I25" s="395"/>
      <c r="J25" s="395"/>
      <c r="K25" s="395"/>
      <c r="L25" s="395"/>
      <c r="M25" s="395"/>
      <c r="N25" s="395"/>
      <c r="O25" s="395"/>
      <c r="P25" s="395"/>
      <c r="Q25" s="396"/>
      <c r="R25" s="334"/>
      <c r="S25" s="173"/>
      <c r="T25" s="173"/>
      <c r="U25" s="173"/>
      <c r="V25" s="173"/>
      <c r="W25" s="173"/>
      <c r="X25" s="382"/>
      <c r="Y25" s="448"/>
      <c r="Z25" s="173"/>
      <c r="AA25" s="173"/>
    </row>
    <row r="26" spans="3:27" ht="30" hidden="1" customHeight="1" outlineLevel="1">
      <c r="C26" s="442"/>
      <c r="D26" s="447"/>
      <c r="E26" s="398"/>
      <c r="F26" s="444"/>
      <c r="G26" s="1082"/>
      <c r="H26" s="443"/>
      <c r="I26" s="395"/>
      <c r="J26" s="395"/>
      <c r="K26" s="395"/>
      <c r="L26" s="395"/>
      <c r="M26" s="395"/>
      <c r="N26" s="395"/>
      <c r="O26" s="395"/>
      <c r="P26" s="395"/>
      <c r="Q26" s="396"/>
      <c r="R26" s="334"/>
      <c r="S26" s="173"/>
      <c r="T26" s="173"/>
      <c r="U26" s="173"/>
      <c r="V26" s="173"/>
      <c r="W26" s="173"/>
      <c r="X26" s="382"/>
      <c r="Y26" s="448"/>
      <c r="Z26" s="173"/>
      <c r="AA26" s="173"/>
    </row>
    <row r="27" spans="3:27" ht="30" hidden="1" customHeight="1" outlineLevel="1">
      <c r="C27" s="442"/>
      <c r="D27" s="447"/>
      <c r="E27" s="398"/>
      <c r="F27" s="449"/>
      <c r="G27" s="1075"/>
      <c r="H27" s="443"/>
      <c r="I27" s="395"/>
      <c r="J27" s="395"/>
      <c r="K27" s="395"/>
      <c r="L27" s="395"/>
      <c r="M27" s="395"/>
      <c r="N27" s="395"/>
      <c r="O27" s="395"/>
      <c r="P27" s="395"/>
      <c r="Q27" s="396"/>
      <c r="R27" s="334"/>
      <c r="S27" s="173"/>
      <c r="T27" s="173"/>
      <c r="U27" s="173"/>
      <c r="V27" s="173"/>
      <c r="W27" s="173"/>
      <c r="X27" s="382"/>
      <c r="Y27" s="448"/>
      <c r="Z27" s="173"/>
      <c r="AA27" s="173"/>
    </row>
    <row r="28" spans="3:27" ht="30" customHeight="1">
      <c r="C28" s="440"/>
      <c r="D28" s="1463" t="s">
        <v>340</v>
      </c>
      <c r="E28" s="1504"/>
      <c r="F28" s="1505"/>
      <c r="G28" s="1506"/>
      <c r="H28" s="395"/>
      <c r="I28" s="395"/>
      <c r="J28" s="395"/>
      <c r="K28" s="395"/>
      <c r="L28" s="395"/>
      <c r="M28" s="395"/>
      <c r="N28" s="395"/>
      <c r="O28" s="395"/>
      <c r="P28" s="395"/>
      <c r="Q28" s="396"/>
      <c r="R28" s="334"/>
      <c r="S28" s="173"/>
      <c r="T28" s="173"/>
      <c r="U28" s="173"/>
      <c r="V28" s="173"/>
      <c r="W28" s="173"/>
      <c r="Z28" s="173"/>
      <c r="AA28" s="173"/>
    </row>
    <row r="29" spans="3:27" ht="30" customHeight="1">
      <c r="C29" s="442"/>
      <c r="D29" s="356"/>
      <c r="E29" s="398"/>
      <c r="F29" s="336"/>
      <c r="G29" s="1076"/>
      <c r="H29" s="443"/>
      <c r="I29" s="395"/>
      <c r="J29" s="395"/>
      <c r="K29" s="395"/>
      <c r="L29" s="395"/>
      <c r="M29" s="395"/>
      <c r="N29" s="395"/>
      <c r="O29" s="395"/>
      <c r="P29" s="395"/>
      <c r="Q29" s="396"/>
      <c r="R29" s="334"/>
      <c r="S29" s="173"/>
      <c r="T29" s="173"/>
      <c r="U29" s="173"/>
      <c r="V29" s="173"/>
      <c r="W29" s="173"/>
      <c r="Z29" s="173"/>
      <c r="AA29" s="173"/>
    </row>
    <row r="30" spans="3:27" ht="30" customHeight="1">
      <c r="C30" s="442"/>
      <c r="D30" s="356"/>
      <c r="E30" s="398"/>
      <c r="F30" s="336"/>
      <c r="G30" s="1081"/>
      <c r="H30" s="443"/>
      <c r="I30" s="395"/>
      <c r="J30" s="395"/>
      <c r="K30" s="395"/>
      <c r="L30" s="395"/>
      <c r="M30" s="395"/>
      <c r="N30" s="395"/>
      <c r="O30" s="395"/>
      <c r="P30" s="395"/>
      <c r="Q30" s="396"/>
      <c r="R30" s="334"/>
      <c r="S30" s="173"/>
      <c r="T30" s="173"/>
      <c r="U30" s="173"/>
      <c r="V30" s="173"/>
      <c r="W30" s="173"/>
      <c r="X30" s="173"/>
      <c r="Y30" s="173"/>
      <c r="Z30" s="173"/>
      <c r="AA30" s="173"/>
    </row>
    <row r="31" spans="3:27" ht="30" customHeight="1">
      <c r="C31" s="442"/>
      <c r="D31" s="447"/>
      <c r="E31" s="398"/>
      <c r="F31" s="444"/>
      <c r="G31" s="1082"/>
      <c r="H31" s="443"/>
      <c r="I31" s="395"/>
      <c r="J31" s="395"/>
      <c r="K31" s="395"/>
      <c r="L31" s="395"/>
      <c r="M31" s="395"/>
      <c r="N31" s="395"/>
      <c r="O31" s="395"/>
      <c r="P31" s="395"/>
      <c r="Q31" s="396"/>
      <c r="R31" s="334"/>
      <c r="S31" s="173"/>
      <c r="T31" s="173"/>
      <c r="U31" s="173"/>
      <c r="V31" s="173"/>
      <c r="W31" s="173"/>
      <c r="X31" s="382"/>
      <c r="Y31" s="448"/>
      <c r="Z31" s="173"/>
      <c r="AA31" s="173"/>
    </row>
    <row r="32" spans="3:27" ht="30" customHeight="1" collapsed="1">
      <c r="C32" s="442"/>
      <c r="D32" s="447"/>
      <c r="E32" s="398"/>
      <c r="F32" s="444"/>
      <c r="G32" s="1082"/>
      <c r="H32" s="443"/>
      <c r="I32" s="395"/>
      <c r="J32" s="395"/>
      <c r="K32" s="395"/>
      <c r="L32" s="395"/>
      <c r="M32" s="395"/>
      <c r="N32" s="395"/>
      <c r="O32" s="395"/>
      <c r="P32" s="395"/>
      <c r="Q32" s="396"/>
      <c r="R32" s="334"/>
      <c r="S32" s="173"/>
      <c r="T32" s="173"/>
      <c r="U32" s="173"/>
      <c r="V32" s="173"/>
      <c r="W32" s="173"/>
      <c r="X32" s="382"/>
      <c r="Y32" s="448"/>
      <c r="Z32" s="173"/>
      <c r="AA32" s="173"/>
    </row>
    <row r="33" spans="3:27" ht="30" hidden="1" customHeight="1" outlineLevel="1">
      <c r="C33" s="442"/>
      <c r="D33" s="447"/>
      <c r="E33" s="398"/>
      <c r="F33" s="444"/>
      <c r="G33" s="1082"/>
      <c r="H33" s="443"/>
      <c r="I33" s="395"/>
      <c r="J33" s="395"/>
      <c r="K33" s="395"/>
      <c r="L33" s="395"/>
      <c r="M33" s="395"/>
      <c r="N33" s="395"/>
      <c r="O33" s="395"/>
      <c r="P33" s="395"/>
      <c r="Q33" s="396"/>
      <c r="R33" s="334"/>
      <c r="S33" s="173"/>
      <c r="T33" s="173"/>
      <c r="U33" s="173"/>
      <c r="V33" s="173"/>
      <c r="W33" s="173"/>
      <c r="X33" s="382"/>
      <c r="Y33" s="448"/>
      <c r="Z33" s="173"/>
      <c r="AA33" s="173"/>
    </row>
    <row r="34" spans="3:27" ht="30" hidden="1" customHeight="1" outlineLevel="1">
      <c r="C34" s="442"/>
      <c r="D34" s="447"/>
      <c r="E34" s="398"/>
      <c r="F34" s="444"/>
      <c r="G34" s="1082"/>
      <c r="H34" s="443"/>
      <c r="I34" s="395"/>
      <c r="J34" s="395"/>
      <c r="K34" s="395"/>
      <c r="L34" s="395"/>
      <c r="M34" s="395"/>
      <c r="N34" s="395"/>
      <c r="O34" s="395"/>
      <c r="P34" s="395"/>
      <c r="Q34" s="396"/>
      <c r="R34" s="334"/>
      <c r="S34" s="173"/>
      <c r="T34" s="173"/>
      <c r="U34" s="173"/>
      <c r="V34" s="173"/>
      <c r="W34" s="173"/>
      <c r="X34" s="382"/>
      <c r="Y34" s="448"/>
      <c r="Z34" s="173"/>
      <c r="AA34" s="173"/>
    </row>
    <row r="35" spans="3:27" ht="30" hidden="1" customHeight="1" outlineLevel="1">
      <c r="C35" s="442"/>
      <c r="D35" s="447"/>
      <c r="E35" s="398"/>
      <c r="F35" s="444"/>
      <c r="G35" s="1082"/>
      <c r="H35" s="443"/>
      <c r="I35" s="395"/>
      <c r="J35" s="395"/>
      <c r="K35" s="395"/>
      <c r="L35" s="395"/>
      <c r="M35" s="395"/>
      <c r="N35" s="395"/>
      <c r="O35" s="395"/>
      <c r="P35" s="395"/>
      <c r="Q35" s="396"/>
      <c r="R35" s="334"/>
      <c r="S35" s="173"/>
      <c r="T35" s="173"/>
      <c r="U35" s="173"/>
      <c r="V35" s="173"/>
      <c r="W35" s="173"/>
      <c r="X35" s="382"/>
      <c r="Y35" s="448"/>
      <c r="Z35" s="173"/>
      <c r="AA35" s="173"/>
    </row>
    <row r="36" spans="3:27" ht="30" hidden="1" customHeight="1" outlineLevel="1">
      <c r="C36" s="442"/>
      <c r="D36" s="447"/>
      <c r="E36" s="398"/>
      <c r="F36" s="444"/>
      <c r="G36" s="1082"/>
      <c r="H36" s="443"/>
      <c r="I36" s="395"/>
      <c r="J36" s="395"/>
      <c r="K36" s="395"/>
      <c r="L36" s="395"/>
      <c r="M36" s="395"/>
      <c r="N36" s="395"/>
      <c r="O36" s="395"/>
      <c r="P36" s="395"/>
      <c r="Q36" s="396"/>
      <c r="R36" s="334"/>
      <c r="S36" s="173"/>
      <c r="T36" s="173"/>
      <c r="U36" s="173"/>
      <c r="V36" s="173"/>
      <c r="W36" s="173"/>
      <c r="X36" s="382"/>
      <c r="Y36" s="448"/>
      <c r="Z36" s="173"/>
      <c r="AA36" s="173"/>
    </row>
    <row r="37" spans="3:27" ht="30" hidden="1" customHeight="1" outlineLevel="1">
      <c r="C37" s="442"/>
      <c r="D37" s="447"/>
      <c r="E37" s="398"/>
      <c r="F37" s="444"/>
      <c r="G37" s="1082"/>
      <c r="H37" s="443"/>
      <c r="I37" s="395"/>
      <c r="J37" s="395"/>
      <c r="K37" s="395"/>
      <c r="L37" s="395"/>
      <c r="M37" s="395"/>
      <c r="N37" s="395"/>
      <c r="O37" s="395"/>
      <c r="P37" s="395"/>
      <c r="Q37" s="396"/>
      <c r="R37" s="334"/>
      <c r="S37" s="173"/>
      <c r="T37" s="173"/>
      <c r="U37" s="173"/>
      <c r="V37" s="173"/>
      <c r="W37" s="173"/>
      <c r="X37" s="382"/>
      <c r="Y37" s="448"/>
      <c r="Z37" s="173"/>
      <c r="AA37" s="173"/>
    </row>
    <row r="38" spans="3:27" ht="30" hidden="1" customHeight="1" outlineLevel="1">
      <c r="C38" s="442"/>
      <c r="D38" s="447"/>
      <c r="E38" s="398"/>
      <c r="F38" s="444"/>
      <c r="G38" s="1082"/>
      <c r="H38" s="443"/>
      <c r="I38" s="395"/>
      <c r="J38" s="395"/>
      <c r="K38" s="395"/>
      <c r="L38" s="395"/>
      <c r="M38" s="395"/>
      <c r="N38" s="395"/>
      <c r="O38" s="395"/>
      <c r="P38" s="395"/>
      <c r="Q38" s="396"/>
      <c r="R38" s="334"/>
      <c r="S38" s="173"/>
      <c r="T38" s="173"/>
      <c r="U38" s="173"/>
      <c r="V38" s="173"/>
      <c r="W38" s="173"/>
      <c r="X38" s="382"/>
      <c r="Y38" s="448"/>
      <c r="Z38" s="173"/>
      <c r="AA38" s="173"/>
    </row>
    <row r="39" spans="3:27" ht="30" hidden="1" customHeight="1" outlineLevel="1">
      <c r="C39" s="442"/>
      <c r="D39" s="447"/>
      <c r="E39" s="398"/>
      <c r="F39" s="444"/>
      <c r="G39" s="1082"/>
      <c r="H39" s="443"/>
      <c r="I39" s="395"/>
      <c r="J39" s="395"/>
      <c r="K39" s="395"/>
      <c r="L39" s="395"/>
      <c r="M39" s="395"/>
      <c r="N39" s="395"/>
      <c r="O39" s="395"/>
      <c r="P39" s="395"/>
      <c r="Q39" s="396"/>
      <c r="R39" s="334"/>
      <c r="S39" s="173"/>
      <c r="T39" s="173"/>
      <c r="U39" s="173"/>
      <c r="V39" s="173"/>
      <c r="W39" s="173"/>
      <c r="X39" s="382"/>
      <c r="Y39" s="448"/>
      <c r="Z39" s="173"/>
      <c r="AA39" s="173"/>
    </row>
    <row r="40" spans="3:27" ht="30" hidden="1" customHeight="1" outlineLevel="1">
      <c r="C40" s="442"/>
      <c r="D40" s="447"/>
      <c r="E40" s="398"/>
      <c r="F40" s="444"/>
      <c r="G40" s="1082"/>
      <c r="H40" s="443"/>
      <c r="I40" s="395"/>
      <c r="J40" s="395"/>
      <c r="K40" s="395"/>
      <c r="L40" s="395"/>
      <c r="M40" s="395"/>
      <c r="N40" s="395"/>
      <c r="O40" s="395"/>
      <c r="P40" s="395"/>
      <c r="Q40" s="396"/>
      <c r="R40" s="334"/>
      <c r="S40" s="173"/>
      <c r="T40" s="173"/>
      <c r="U40" s="173"/>
      <c r="V40" s="173"/>
      <c r="W40" s="173"/>
      <c r="X40" s="382"/>
      <c r="Y40" s="448"/>
      <c r="Z40" s="173"/>
      <c r="AA40" s="173"/>
    </row>
    <row r="41" spans="3:27" ht="30" hidden="1" customHeight="1" outlineLevel="1">
      <c r="C41" s="442"/>
      <c r="D41" s="356"/>
      <c r="E41" s="398"/>
      <c r="F41" s="336"/>
      <c r="G41" s="1081"/>
      <c r="H41" s="443"/>
      <c r="I41" s="395"/>
      <c r="J41" s="395"/>
      <c r="K41" s="395"/>
      <c r="L41" s="395"/>
      <c r="M41" s="395"/>
      <c r="N41" s="395"/>
      <c r="O41" s="395"/>
      <c r="P41" s="395"/>
      <c r="Q41" s="396"/>
      <c r="R41" s="334"/>
      <c r="S41" s="173"/>
      <c r="T41" s="173"/>
      <c r="U41" s="173"/>
      <c r="V41" s="173"/>
      <c r="W41" s="173"/>
      <c r="X41" s="173"/>
      <c r="Y41" s="173"/>
      <c r="Z41" s="173"/>
      <c r="AA41" s="173"/>
    </row>
    <row r="42" spans="3:27" ht="30" hidden="1" customHeight="1" outlineLevel="1">
      <c r="C42" s="442"/>
      <c r="D42" s="356"/>
      <c r="E42" s="398"/>
      <c r="F42" s="444"/>
      <c r="G42" s="1082"/>
      <c r="H42" s="443"/>
      <c r="I42" s="395"/>
      <c r="J42" s="395"/>
      <c r="K42" s="395"/>
      <c r="L42" s="395"/>
      <c r="M42" s="395"/>
      <c r="N42" s="395"/>
      <c r="O42" s="395"/>
      <c r="P42" s="395"/>
      <c r="Q42" s="396"/>
      <c r="R42" s="334"/>
      <c r="S42" s="173"/>
      <c r="T42" s="173"/>
      <c r="U42" s="173"/>
      <c r="V42" s="173"/>
      <c r="W42" s="173"/>
      <c r="X42" s="173"/>
      <c r="Y42" s="173"/>
      <c r="Z42" s="173"/>
      <c r="AA42" s="173"/>
    </row>
    <row r="43" spans="3:27" ht="30" hidden="1" customHeight="1" outlineLevel="1">
      <c r="C43" s="442"/>
      <c r="D43" s="356"/>
      <c r="E43" s="398"/>
      <c r="F43" s="331"/>
      <c r="G43" s="1083"/>
      <c r="H43" s="443"/>
      <c r="I43" s="395"/>
      <c r="J43" s="395"/>
      <c r="K43" s="395"/>
      <c r="L43" s="395"/>
      <c r="M43" s="395"/>
      <c r="N43" s="395"/>
      <c r="O43" s="395"/>
      <c r="P43" s="395"/>
      <c r="Q43" s="396"/>
      <c r="R43" s="334"/>
      <c r="S43" s="173"/>
      <c r="T43" s="173"/>
      <c r="U43" s="173"/>
      <c r="V43" s="173"/>
      <c r="W43" s="173"/>
      <c r="X43" s="173"/>
      <c r="Y43" s="173"/>
      <c r="Z43" s="173"/>
      <c r="AA43" s="173"/>
    </row>
    <row r="44" spans="3:27" ht="30" customHeight="1">
      <c r="C44" s="440"/>
      <c r="D44" s="1463" t="s">
        <v>341</v>
      </c>
      <c r="E44" s="1504"/>
      <c r="F44" s="1505"/>
      <c r="G44" s="1506"/>
      <c r="H44" s="395"/>
      <c r="I44" s="395"/>
      <c r="J44" s="395"/>
      <c r="K44" s="395"/>
      <c r="L44" s="395"/>
      <c r="M44" s="395"/>
      <c r="N44" s="395"/>
      <c r="O44" s="395"/>
      <c r="P44" s="395"/>
      <c r="Q44" s="396"/>
      <c r="R44" s="334"/>
      <c r="S44" s="173"/>
      <c r="T44" s="173"/>
      <c r="U44" s="173"/>
      <c r="V44" s="173"/>
      <c r="W44" s="173"/>
      <c r="X44" s="173"/>
      <c r="Y44" s="173"/>
      <c r="Z44" s="173"/>
      <c r="AA44" s="173"/>
    </row>
    <row r="45" spans="3:27" ht="30" customHeight="1">
      <c r="C45" s="442"/>
      <c r="D45" s="356"/>
      <c r="E45" s="398"/>
      <c r="F45" s="336"/>
      <c r="G45" s="1076"/>
      <c r="H45" s="443"/>
      <c r="I45" s="395"/>
      <c r="J45" s="395"/>
      <c r="K45" s="395"/>
      <c r="L45" s="395"/>
      <c r="M45" s="395"/>
      <c r="N45" s="395"/>
      <c r="O45" s="395"/>
      <c r="P45" s="395"/>
      <c r="Q45" s="396"/>
      <c r="R45" s="334"/>
      <c r="S45" s="173"/>
      <c r="T45" s="173"/>
      <c r="U45" s="173"/>
      <c r="V45" s="173"/>
      <c r="W45" s="173"/>
      <c r="X45" s="173"/>
      <c r="Y45" s="173"/>
      <c r="Z45" s="173"/>
      <c r="AA45" s="173"/>
    </row>
    <row r="46" spans="3:27" ht="30" customHeight="1">
      <c r="C46" s="442"/>
      <c r="D46" s="356"/>
      <c r="E46" s="398"/>
      <c r="F46" s="336"/>
      <c r="G46" s="1081"/>
      <c r="H46" s="443"/>
      <c r="I46" s="395"/>
      <c r="J46" s="395"/>
      <c r="K46" s="395"/>
      <c r="L46" s="395"/>
      <c r="M46" s="395"/>
      <c r="N46" s="395"/>
      <c r="O46" s="395"/>
      <c r="P46" s="395"/>
      <c r="Q46" s="396"/>
      <c r="R46" s="334"/>
      <c r="S46" s="173"/>
      <c r="T46" s="173"/>
      <c r="U46" s="173"/>
      <c r="V46" s="173"/>
      <c r="W46" s="173"/>
      <c r="X46" s="173"/>
      <c r="Y46" s="173"/>
      <c r="Z46" s="173"/>
      <c r="AA46" s="173"/>
    </row>
    <row r="47" spans="3:27" ht="30" customHeight="1">
      <c r="C47" s="442"/>
      <c r="D47" s="356"/>
      <c r="E47" s="398"/>
      <c r="F47" s="336"/>
      <c r="G47" s="1081"/>
      <c r="H47" s="443"/>
      <c r="I47" s="395"/>
      <c r="J47" s="395"/>
      <c r="K47" s="395"/>
      <c r="L47" s="395"/>
      <c r="M47" s="395"/>
      <c r="N47" s="395"/>
      <c r="O47" s="395"/>
      <c r="P47" s="395"/>
      <c r="Q47" s="396"/>
      <c r="R47" s="334"/>
      <c r="S47" s="173"/>
      <c r="T47" s="173"/>
      <c r="U47" s="173"/>
      <c r="V47" s="173"/>
      <c r="W47" s="173"/>
      <c r="X47" s="173"/>
      <c r="Y47" s="173"/>
      <c r="Z47" s="173"/>
      <c r="AA47" s="173"/>
    </row>
    <row r="48" spans="3:27" ht="30" customHeight="1" collapsed="1">
      <c r="C48" s="442"/>
      <c r="D48" s="447"/>
      <c r="E48" s="398"/>
      <c r="F48" s="444"/>
      <c r="G48" s="1082"/>
      <c r="H48" s="443"/>
      <c r="I48" s="395"/>
      <c r="J48" s="395"/>
      <c r="K48" s="395"/>
      <c r="L48" s="395"/>
      <c r="M48" s="395"/>
      <c r="N48" s="395"/>
      <c r="O48" s="395"/>
      <c r="P48" s="395"/>
      <c r="Q48" s="396"/>
      <c r="R48" s="334"/>
      <c r="S48" s="173"/>
      <c r="T48" s="173"/>
      <c r="U48" s="173"/>
      <c r="V48" s="173"/>
      <c r="W48" s="173"/>
      <c r="X48" s="382"/>
      <c r="Y48" s="448"/>
      <c r="Z48" s="173"/>
      <c r="AA48" s="173"/>
    </row>
    <row r="49" spans="3:27" ht="30" hidden="1" customHeight="1" outlineLevel="1">
      <c r="C49" s="442"/>
      <c r="D49" s="447"/>
      <c r="E49" s="398"/>
      <c r="F49" s="444"/>
      <c r="G49" s="1082"/>
      <c r="H49" s="443"/>
      <c r="I49" s="395"/>
      <c r="J49" s="395"/>
      <c r="K49" s="395"/>
      <c r="L49" s="395"/>
      <c r="M49" s="395"/>
      <c r="N49" s="395"/>
      <c r="O49" s="395"/>
      <c r="P49" s="395"/>
      <c r="Q49" s="396"/>
      <c r="R49" s="334"/>
      <c r="S49" s="173"/>
      <c r="T49" s="173"/>
      <c r="U49" s="173"/>
      <c r="V49" s="173"/>
      <c r="W49" s="173"/>
      <c r="X49" s="382"/>
      <c r="Y49" s="448"/>
      <c r="Z49" s="173"/>
      <c r="AA49" s="173"/>
    </row>
    <row r="50" spans="3:27" ht="30" hidden="1" customHeight="1" outlineLevel="1">
      <c r="C50" s="442"/>
      <c r="D50" s="447"/>
      <c r="E50" s="398"/>
      <c r="F50" s="444"/>
      <c r="G50" s="1082"/>
      <c r="H50" s="443"/>
      <c r="I50" s="395"/>
      <c r="J50" s="395"/>
      <c r="K50" s="395"/>
      <c r="L50" s="395"/>
      <c r="M50" s="395"/>
      <c r="N50" s="395"/>
      <c r="O50" s="395"/>
      <c r="P50" s="395"/>
      <c r="Q50" s="396"/>
      <c r="R50" s="334"/>
      <c r="S50" s="173"/>
      <c r="T50" s="173"/>
      <c r="U50" s="173"/>
      <c r="V50" s="173"/>
      <c r="W50" s="173"/>
      <c r="X50" s="382"/>
      <c r="Y50" s="448"/>
      <c r="Z50" s="173"/>
      <c r="AA50" s="173"/>
    </row>
    <row r="51" spans="3:27" ht="30" hidden="1" customHeight="1" outlineLevel="1">
      <c r="C51" s="442"/>
      <c r="D51" s="447"/>
      <c r="E51" s="398"/>
      <c r="F51" s="444"/>
      <c r="G51" s="1082"/>
      <c r="H51" s="443"/>
      <c r="I51" s="395"/>
      <c r="J51" s="395"/>
      <c r="K51" s="395"/>
      <c r="L51" s="395"/>
      <c r="M51" s="395"/>
      <c r="N51" s="395"/>
      <c r="O51" s="395"/>
      <c r="P51" s="395"/>
      <c r="Q51" s="396"/>
      <c r="R51" s="334"/>
      <c r="S51" s="173"/>
      <c r="T51" s="173"/>
      <c r="U51" s="173"/>
      <c r="V51" s="173"/>
      <c r="W51" s="173"/>
      <c r="X51" s="382"/>
      <c r="Y51" s="448"/>
      <c r="Z51" s="173"/>
      <c r="AA51" s="173"/>
    </row>
    <row r="52" spans="3:27" ht="30" hidden="1" customHeight="1" outlineLevel="1">
      <c r="C52" s="442"/>
      <c r="D52" s="447"/>
      <c r="E52" s="398"/>
      <c r="F52" s="444"/>
      <c r="G52" s="1082"/>
      <c r="H52" s="443"/>
      <c r="I52" s="395"/>
      <c r="J52" s="395"/>
      <c r="K52" s="395"/>
      <c r="L52" s="395"/>
      <c r="M52" s="395"/>
      <c r="N52" s="395"/>
      <c r="O52" s="395"/>
      <c r="P52" s="395"/>
      <c r="Q52" s="396"/>
      <c r="R52" s="334"/>
      <c r="S52" s="173"/>
      <c r="T52" s="173"/>
      <c r="U52" s="173"/>
      <c r="V52" s="173"/>
      <c r="W52" s="173"/>
      <c r="X52" s="382"/>
      <c r="Y52" s="448"/>
      <c r="Z52" s="173"/>
      <c r="AA52" s="173"/>
    </row>
    <row r="53" spans="3:27" ht="30" hidden="1" customHeight="1" outlineLevel="1">
      <c r="C53" s="442"/>
      <c r="D53" s="447"/>
      <c r="E53" s="398"/>
      <c r="F53" s="444"/>
      <c r="G53" s="1082"/>
      <c r="H53" s="443"/>
      <c r="I53" s="395"/>
      <c r="J53" s="395"/>
      <c r="K53" s="395"/>
      <c r="L53" s="395"/>
      <c r="M53" s="395"/>
      <c r="N53" s="395"/>
      <c r="O53" s="395"/>
      <c r="P53" s="395"/>
      <c r="Q53" s="396"/>
      <c r="R53" s="334"/>
      <c r="S53" s="173"/>
      <c r="T53" s="173"/>
      <c r="U53" s="173"/>
      <c r="V53" s="173"/>
      <c r="W53" s="173"/>
      <c r="X53" s="382"/>
      <c r="Y53" s="448"/>
      <c r="Z53" s="173"/>
      <c r="AA53" s="173"/>
    </row>
    <row r="54" spans="3:27" ht="30" hidden="1" customHeight="1" outlineLevel="1">
      <c r="C54" s="442"/>
      <c r="D54" s="447"/>
      <c r="E54" s="398"/>
      <c r="F54" s="444"/>
      <c r="G54" s="1082"/>
      <c r="H54" s="443"/>
      <c r="I54" s="395"/>
      <c r="J54" s="395"/>
      <c r="K54" s="395"/>
      <c r="L54" s="395"/>
      <c r="M54" s="395"/>
      <c r="N54" s="395"/>
      <c r="O54" s="395"/>
      <c r="P54" s="395"/>
      <c r="Q54" s="396"/>
      <c r="R54" s="334"/>
      <c r="S54" s="173"/>
      <c r="T54" s="173"/>
      <c r="U54" s="173"/>
      <c r="V54" s="173"/>
      <c r="W54" s="173"/>
      <c r="X54" s="382"/>
      <c r="Y54" s="448"/>
      <c r="Z54" s="173"/>
      <c r="AA54" s="173"/>
    </row>
    <row r="55" spans="3:27" ht="30" hidden="1" customHeight="1" outlineLevel="1">
      <c r="C55" s="442"/>
      <c r="D55" s="447"/>
      <c r="E55" s="398"/>
      <c r="F55" s="444"/>
      <c r="G55" s="1082"/>
      <c r="H55" s="443"/>
      <c r="I55" s="395"/>
      <c r="J55" s="395"/>
      <c r="K55" s="395"/>
      <c r="L55" s="395"/>
      <c r="M55" s="395"/>
      <c r="N55" s="395"/>
      <c r="O55" s="395"/>
      <c r="P55" s="395"/>
      <c r="Q55" s="396"/>
      <c r="R55" s="334"/>
      <c r="S55" s="173"/>
      <c r="T55" s="173"/>
      <c r="U55" s="173"/>
      <c r="V55" s="173"/>
      <c r="W55" s="173"/>
      <c r="X55" s="382"/>
      <c r="Y55" s="448"/>
      <c r="Z55" s="173"/>
      <c r="AA55" s="173"/>
    </row>
    <row r="56" spans="3:27" ht="30" hidden="1" customHeight="1" outlineLevel="1">
      <c r="C56" s="442"/>
      <c r="D56" s="447"/>
      <c r="E56" s="398"/>
      <c r="F56" s="444"/>
      <c r="G56" s="1082"/>
      <c r="H56" s="443"/>
      <c r="I56" s="395"/>
      <c r="J56" s="395"/>
      <c r="K56" s="395"/>
      <c r="L56" s="395"/>
      <c r="M56" s="395"/>
      <c r="N56" s="395"/>
      <c r="O56" s="395"/>
      <c r="P56" s="395"/>
      <c r="Q56" s="396"/>
      <c r="R56" s="334"/>
      <c r="S56" s="173"/>
      <c r="T56" s="173"/>
      <c r="U56" s="173"/>
      <c r="V56" s="173"/>
      <c r="W56" s="173"/>
      <c r="X56" s="382"/>
      <c r="Y56" s="448"/>
      <c r="Z56" s="173"/>
      <c r="AA56" s="173"/>
    </row>
    <row r="57" spans="3:27" ht="30" hidden="1" customHeight="1" outlineLevel="1">
      <c r="C57" s="442"/>
      <c r="D57" s="447"/>
      <c r="E57" s="398"/>
      <c r="F57" s="444"/>
      <c r="G57" s="1082"/>
      <c r="H57" s="443"/>
      <c r="I57" s="395"/>
      <c r="J57" s="395"/>
      <c r="K57" s="395"/>
      <c r="L57" s="395"/>
      <c r="M57" s="395"/>
      <c r="N57" s="395"/>
      <c r="O57" s="395"/>
      <c r="P57" s="395"/>
      <c r="Q57" s="396"/>
      <c r="R57" s="334"/>
      <c r="S57" s="173"/>
      <c r="T57" s="173"/>
      <c r="U57" s="173"/>
      <c r="V57" s="173"/>
      <c r="W57" s="173"/>
      <c r="X57" s="382"/>
      <c r="Y57" s="448"/>
      <c r="Z57" s="173"/>
      <c r="AA57" s="173"/>
    </row>
    <row r="58" spans="3:27" ht="30" hidden="1" customHeight="1" outlineLevel="1">
      <c r="C58" s="442"/>
      <c r="D58" s="356"/>
      <c r="E58" s="398"/>
      <c r="F58" s="444"/>
      <c r="G58" s="1082"/>
      <c r="H58" s="443"/>
      <c r="I58" s="395"/>
      <c r="J58" s="395"/>
      <c r="K58" s="395"/>
      <c r="L58" s="395"/>
      <c r="M58" s="395"/>
      <c r="N58" s="395"/>
      <c r="O58" s="395"/>
      <c r="P58" s="395"/>
      <c r="Q58" s="396"/>
      <c r="R58" s="334"/>
      <c r="S58" s="173"/>
      <c r="T58" s="173"/>
      <c r="U58" s="173"/>
      <c r="V58" s="173"/>
      <c r="W58" s="173"/>
      <c r="X58" s="173"/>
      <c r="Y58" s="173"/>
      <c r="Z58" s="173"/>
      <c r="AA58" s="173"/>
    </row>
    <row r="59" spans="3:27" ht="30" hidden="1" customHeight="1" outlineLevel="1">
      <c r="C59" s="442"/>
      <c r="D59" s="356"/>
      <c r="E59" s="398"/>
      <c r="F59" s="331"/>
      <c r="G59" s="1083"/>
      <c r="H59" s="443"/>
      <c r="I59" s="395"/>
      <c r="J59" s="395"/>
      <c r="K59" s="395"/>
      <c r="L59" s="395"/>
      <c r="M59" s="395"/>
      <c r="N59" s="395"/>
      <c r="O59" s="395"/>
      <c r="P59" s="395"/>
      <c r="Q59" s="396"/>
      <c r="R59" s="334"/>
      <c r="S59" s="173"/>
      <c r="T59" s="173"/>
      <c r="U59" s="173"/>
      <c r="V59" s="173"/>
      <c r="W59" s="173"/>
      <c r="X59" s="173"/>
      <c r="Y59" s="173"/>
      <c r="Z59" s="173"/>
      <c r="AA59" s="173"/>
    </row>
    <row r="60" spans="3:27" ht="30" customHeight="1">
      <c r="C60" s="440"/>
      <c r="D60" s="1463" t="s">
        <v>342</v>
      </c>
      <c r="E60" s="1504"/>
      <c r="F60" s="1505"/>
      <c r="G60" s="1506"/>
      <c r="H60" s="395"/>
      <c r="I60" s="395"/>
      <c r="J60" s="395"/>
      <c r="K60" s="395"/>
      <c r="L60" s="395"/>
      <c r="M60" s="395"/>
      <c r="N60" s="395"/>
      <c r="O60" s="395"/>
      <c r="P60" s="395"/>
      <c r="Q60" s="396"/>
      <c r="R60" s="334"/>
      <c r="S60" s="173"/>
      <c r="T60" s="173"/>
      <c r="U60" s="173"/>
      <c r="V60" s="173"/>
      <c r="W60" s="173"/>
      <c r="X60" s="173"/>
      <c r="Y60" s="173"/>
      <c r="Z60" s="173"/>
      <c r="AA60" s="173"/>
    </row>
    <row r="61" spans="3:27" ht="30" customHeight="1">
      <c r="C61" s="442"/>
      <c r="D61" s="356"/>
      <c r="E61" s="398"/>
      <c r="F61" s="336"/>
      <c r="G61" s="1076"/>
      <c r="H61" s="443"/>
      <c r="I61" s="395"/>
      <c r="J61" s="395"/>
      <c r="K61" s="395"/>
      <c r="L61" s="395"/>
      <c r="M61" s="395"/>
      <c r="N61" s="395"/>
      <c r="O61" s="395"/>
      <c r="P61" s="395"/>
      <c r="Q61" s="396"/>
      <c r="R61" s="334"/>
      <c r="S61" s="173"/>
      <c r="T61" s="173"/>
      <c r="U61" s="173"/>
      <c r="V61" s="173"/>
      <c r="W61" s="173"/>
      <c r="X61" s="173"/>
      <c r="Y61" s="173"/>
      <c r="Z61" s="173"/>
      <c r="AA61" s="173"/>
    </row>
    <row r="62" spans="3:27" ht="30" customHeight="1">
      <c r="C62" s="442"/>
      <c r="D62" s="356"/>
      <c r="E62" s="398"/>
      <c r="F62" s="336"/>
      <c r="G62" s="1081"/>
      <c r="H62" s="1511"/>
      <c r="I62" s="1513" t="s">
        <v>343</v>
      </c>
      <c r="J62" s="1514"/>
      <c r="K62" s="1514"/>
      <c r="L62" s="1514"/>
      <c r="M62" s="1514"/>
      <c r="N62" s="1514"/>
      <c r="O62" s="1514"/>
      <c r="P62" s="1514"/>
      <c r="Q62" s="1515"/>
      <c r="R62" s="334"/>
      <c r="S62" s="173"/>
      <c r="T62" s="173"/>
      <c r="U62" s="173"/>
      <c r="V62" s="173"/>
      <c r="W62" s="173"/>
      <c r="X62" s="173"/>
      <c r="Y62" s="173"/>
      <c r="Z62" s="173"/>
      <c r="AA62" s="173"/>
    </row>
    <row r="63" spans="3:27" ht="30" customHeight="1">
      <c r="C63" s="442"/>
      <c r="D63" s="447"/>
      <c r="E63" s="398"/>
      <c r="F63" s="444"/>
      <c r="G63" s="1082"/>
      <c r="H63" s="1512"/>
      <c r="I63" s="1516"/>
      <c r="J63" s="1516"/>
      <c r="K63" s="1516"/>
      <c r="L63" s="1516"/>
      <c r="M63" s="1516"/>
      <c r="N63" s="1516"/>
      <c r="O63" s="1516"/>
      <c r="P63" s="1516"/>
      <c r="Q63" s="1517"/>
      <c r="R63" s="334"/>
      <c r="S63" s="173"/>
      <c r="T63" s="173"/>
      <c r="U63" s="173"/>
      <c r="V63" s="173"/>
      <c r="W63" s="173"/>
      <c r="X63" s="382"/>
      <c r="Y63" s="448"/>
      <c r="Z63" s="173"/>
      <c r="AA63" s="173"/>
    </row>
    <row r="64" spans="3:27" ht="30" customHeight="1" collapsed="1">
      <c r="C64" s="442"/>
      <c r="D64" s="447"/>
      <c r="E64" s="398"/>
      <c r="F64" s="444"/>
      <c r="G64" s="1082"/>
      <c r="H64" s="1512"/>
      <c r="I64" s="1516"/>
      <c r="J64" s="1516"/>
      <c r="K64" s="1516"/>
      <c r="L64" s="1516"/>
      <c r="M64" s="1516"/>
      <c r="N64" s="1516"/>
      <c r="O64" s="1516"/>
      <c r="P64" s="1516"/>
      <c r="Q64" s="1517"/>
      <c r="R64" s="334"/>
      <c r="S64" s="173"/>
      <c r="T64" s="173"/>
      <c r="U64" s="173"/>
      <c r="V64" s="173"/>
      <c r="W64" s="173"/>
      <c r="X64" s="382"/>
      <c r="Y64" s="448"/>
      <c r="Z64" s="173"/>
      <c r="AA64" s="173"/>
    </row>
    <row r="65" spans="3:27" ht="30" hidden="1" customHeight="1" outlineLevel="1">
      <c r="C65" s="442"/>
      <c r="D65" s="447"/>
      <c r="E65" s="398"/>
      <c r="F65" s="444"/>
      <c r="G65" s="1082"/>
      <c r="H65" s="1512"/>
      <c r="I65" s="395"/>
      <c r="J65" s="395"/>
      <c r="K65" s="395"/>
      <c r="L65" s="395"/>
      <c r="M65" s="395"/>
      <c r="N65" s="395"/>
      <c r="O65" s="395"/>
      <c r="P65" s="395"/>
      <c r="Q65" s="396"/>
      <c r="R65" s="334"/>
      <c r="S65" s="173"/>
      <c r="T65" s="173"/>
      <c r="U65" s="173"/>
      <c r="V65" s="173"/>
      <c r="W65" s="173"/>
      <c r="X65" s="382"/>
      <c r="Y65" s="448"/>
      <c r="Z65" s="173"/>
      <c r="AA65" s="173"/>
    </row>
    <row r="66" spans="3:27" ht="30" hidden="1" customHeight="1" outlineLevel="1">
      <c r="C66" s="442"/>
      <c r="D66" s="447"/>
      <c r="E66" s="398"/>
      <c r="F66" s="444"/>
      <c r="G66" s="1082"/>
      <c r="H66" s="1512"/>
      <c r="I66" s="395"/>
      <c r="J66" s="395"/>
      <c r="K66" s="395"/>
      <c r="L66" s="395"/>
      <c r="M66" s="395"/>
      <c r="N66" s="395"/>
      <c r="O66" s="395"/>
      <c r="P66" s="395"/>
      <c r="Q66" s="396"/>
      <c r="R66" s="334"/>
      <c r="S66" s="173"/>
      <c r="T66" s="173"/>
      <c r="U66" s="173"/>
      <c r="V66" s="173"/>
      <c r="W66" s="173"/>
      <c r="X66" s="382"/>
      <c r="Y66" s="448"/>
      <c r="Z66" s="173"/>
      <c r="AA66" s="173"/>
    </row>
    <row r="67" spans="3:27" ht="30" hidden="1" customHeight="1" outlineLevel="1">
      <c r="C67" s="442"/>
      <c r="D67" s="447"/>
      <c r="E67" s="398"/>
      <c r="F67" s="444"/>
      <c r="G67" s="1082"/>
      <c r="H67" s="1512"/>
      <c r="I67" s="395"/>
      <c r="J67" s="395"/>
      <c r="K67" s="395"/>
      <c r="L67" s="395"/>
      <c r="M67" s="395"/>
      <c r="N67" s="395"/>
      <c r="O67" s="395"/>
      <c r="P67" s="395"/>
      <c r="Q67" s="396"/>
      <c r="R67" s="334"/>
      <c r="S67" s="173"/>
      <c r="T67" s="173"/>
      <c r="U67" s="173"/>
      <c r="V67" s="173"/>
      <c r="W67" s="173"/>
      <c r="X67" s="382"/>
      <c r="Y67" s="448"/>
      <c r="Z67" s="173"/>
      <c r="AA67" s="173"/>
    </row>
    <row r="68" spans="3:27" ht="30" hidden="1" customHeight="1" outlineLevel="1">
      <c r="C68" s="442"/>
      <c r="D68" s="447"/>
      <c r="E68" s="398"/>
      <c r="F68" s="444"/>
      <c r="G68" s="1082"/>
      <c r="H68" s="1512"/>
      <c r="I68" s="395"/>
      <c r="J68" s="395"/>
      <c r="K68" s="395"/>
      <c r="L68" s="395"/>
      <c r="M68" s="395"/>
      <c r="N68" s="395"/>
      <c r="O68" s="395"/>
      <c r="P68" s="395"/>
      <c r="Q68" s="396"/>
      <c r="R68" s="334"/>
      <c r="S68" s="173"/>
      <c r="T68" s="173"/>
      <c r="U68" s="173"/>
      <c r="V68" s="173"/>
      <c r="W68" s="173"/>
      <c r="X68" s="382"/>
      <c r="Y68" s="448"/>
      <c r="Z68" s="173"/>
      <c r="AA68" s="173"/>
    </row>
    <row r="69" spans="3:27" ht="30" hidden="1" customHeight="1" outlineLevel="1">
      <c r="C69" s="442"/>
      <c r="D69" s="447"/>
      <c r="E69" s="398"/>
      <c r="F69" s="444"/>
      <c r="G69" s="1082"/>
      <c r="H69" s="1512"/>
      <c r="I69" s="395"/>
      <c r="J69" s="395"/>
      <c r="K69" s="395"/>
      <c r="L69" s="395"/>
      <c r="M69" s="395"/>
      <c r="N69" s="395"/>
      <c r="O69" s="395"/>
      <c r="P69" s="395"/>
      <c r="Q69" s="396"/>
      <c r="R69" s="334"/>
      <c r="S69" s="173"/>
      <c r="T69" s="173"/>
      <c r="U69" s="173"/>
      <c r="V69" s="173"/>
      <c r="W69" s="173"/>
      <c r="X69" s="382"/>
      <c r="Y69" s="448"/>
      <c r="Z69" s="173"/>
      <c r="AA69" s="173"/>
    </row>
    <row r="70" spans="3:27" ht="30" hidden="1" customHeight="1" outlineLevel="1">
      <c r="C70" s="442"/>
      <c r="D70" s="447"/>
      <c r="E70" s="398"/>
      <c r="F70" s="444"/>
      <c r="G70" s="1082"/>
      <c r="H70" s="1512"/>
      <c r="I70" s="395"/>
      <c r="J70" s="395"/>
      <c r="K70" s="395"/>
      <c r="L70" s="395"/>
      <c r="M70" s="395"/>
      <c r="N70" s="395"/>
      <c r="O70" s="395"/>
      <c r="P70" s="395"/>
      <c r="Q70" s="396"/>
      <c r="R70" s="334"/>
      <c r="S70" s="173"/>
      <c r="T70" s="173"/>
      <c r="U70" s="173"/>
      <c r="V70" s="173"/>
      <c r="W70" s="173"/>
      <c r="X70" s="382"/>
      <c r="Y70" s="448"/>
      <c r="Z70" s="173"/>
      <c r="AA70" s="173"/>
    </row>
    <row r="71" spans="3:27" ht="30" hidden="1" customHeight="1" outlineLevel="1">
      <c r="C71" s="442"/>
      <c r="D71" s="447"/>
      <c r="E71" s="398"/>
      <c r="F71" s="444"/>
      <c r="G71" s="1082"/>
      <c r="H71" s="1512"/>
      <c r="I71" s="395"/>
      <c r="J71" s="395"/>
      <c r="K71" s="395"/>
      <c r="L71" s="395"/>
      <c r="M71" s="395"/>
      <c r="N71" s="395"/>
      <c r="O71" s="395"/>
      <c r="P71" s="395"/>
      <c r="Q71" s="396"/>
      <c r="R71" s="334"/>
      <c r="S71" s="173"/>
      <c r="T71" s="173"/>
      <c r="U71" s="173"/>
      <c r="V71" s="173"/>
      <c r="W71" s="173"/>
      <c r="X71" s="382"/>
      <c r="Y71" s="448"/>
      <c r="Z71" s="173"/>
      <c r="AA71" s="173"/>
    </row>
    <row r="72" spans="3:27" ht="30" hidden="1" customHeight="1" outlineLevel="1">
      <c r="C72" s="442"/>
      <c r="D72" s="447"/>
      <c r="E72" s="398"/>
      <c r="F72" s="444"/>
      <c r="G72" s="1082"/>
      <c r="H72" s="1512"/>
      <c r="I72" s="395"/>
      <c r="J72" s="395"/>
      <c r="K72" s="395"/>
      <c r="L72" s="395"/>
      <c r="M72" s="395"/>
      <c r="N72" s="395"/>
      <c r="O72" s="395"/>
      <c r="P72" s="395"/>
      <c r="Q72" s="396"/>
      <c r="R72" s="334"/>
      <c r="S72" s="173"/>
      <c r="T72" s="173"/>
      <c r="U72" s="173"/>
      <c r="V72" s="173"/>
      <c r="W72" s="173"/>
      <c r="X72" s="382"/>
      <c r="Y72" s="448"/>
      <c r="Z72" s="173"/>
      <c r="AA72" s="173"/>
    </row>
    <row r="73" spans="3:27" ht="30" hidden="1" customHeight="1" outlineLevel="1">
      <c r="C73" s="442"/>
      <c r="D73" s="356"/>
      <c r="E73" s="398"/>
      <c r="F73" s="336"/>
      <c r="G73" s="1081"/>
      <c r="H73" s="1512"/>
      <c r="I73" s="450"/>
      <c r="J73" s="451"/>
      <c r="K73" s="451"/>
      <c r="L73" s="451"/>
      <c r="M73" s="451"/>
      <c r="N73" s="451"/>
      <c r="O73" s="451"/>
      <c r="P73" s="451"/>
      <c r="Q73" s="452"/>
      <c r="R73" s="334"/>
      <c r="S73" s="173"/>
      <c r="T73" s="173"/>
      <c r="U73" s="173"/>
      <c r="V73" s="173"/>
      <c r="W73" s="173"/>
      <c r="X73" s="173"/>
      <c r="Y73" s="173"/>
      <c r="Z73" s="173"/>
      <c r="AA73" s="173"/>
    </row>
    <row r="74" spans="3:27" ht="30" hidden="1" customHeight="1" outlineLevel="1">
      <c r="C74" s="442"/>
      <c r="D74" s="356"/>
      <c r="E74" s="398"/>
      <c r="F74" s="444"/>
      <c r="G74" s="1082"/>
      <c r="H74" s="1512"/>
      <c r="I74" s="451"/>
      <c r="J74" s="451"/>
      <c r="K74" s="451"/>
      <c r="L74" s="451"/>
      <c r="M74" s="451"/>
      <c r="N74" s="451"/>
      <c r="O74" s="451"/>
      <c r="P74" s="451"/>
      <c r="Q74" s="452"/>
      <c r="R74" s="334"/>
      <c r="S74" s="173"/>
      <c r="T74" s="173"/>
      <c r="U74" s="173"/>
      <c r="V74" s="173"/>
      <c r="W74" s="173"/>
      <c r="X74" s="173"/>
      <c r="Y74" s="173"/>
      <c r="Z74" s="173"/>
      <c r="AA74" s="173"/>
    </row>
    <row r="75" spans="3:27" ht="30" hidden="1" customHeight="1" outlineLevel="1">
      <c r="C75" s="442"/>
      <c r="D75" s="356"/>
      <c r="E75" s="398"/>
      <c r="F75" s="331"/>
      <c r="G75" s="1083"/>
      <c r="H75" s="1512"/>
      <c r="I75" s="451"/>
      <c r="J75" s="451"/>
      <c r="K75" s="451"/>
      <c r="L75" s="451"/>
      <c r="M75" s="451"/>
      <c r="N75" s="451"/>
      <c r="O75" s="451"/>
      <c r="P75" s="451"/>
      <c r="Q75" s="452"/>
      <c r="R75" s="334"/>
      <c r="S75" s="173"/>
      <c r="T75" s="173"/>
      <c r="U75" s="173"/>
      <c r="V75" s="173"/>
      <c r="W75" s="173"/>
      <c r="X75" s="173"/>
      <c r="Y75" s="173"/>
      <c r="Z75" s="173"/>
      <c r="AA75" s="173"/>
    </row>
    <row r="76" spans="3:27" ht="30" customHeight="1" thickBot="1">
      <c r="C76" s="453"/>
      <c r="D76" s="1508" t="s">
        <v>219</v>
      </c>
      <c r="E76" s="1508"/>
      <c r="F76" s="454"/>
      <c r="G76" s="1077"/>
      <c r="H76" s="455"/>
      <c r="I76" s="456"/>
      <c r="J76" s="456"/>
      <c r="K76" s="456"/>
      <c r="L76" s="456"/>
      <c r="M76" s="456"/>
      <c r="N76" s="456"/>
      <c r="O76" s="456"/>
      <c r="P76" s="456"/>
      <c r="Q76" s="457"/>
      <c r="R76" s="334"/>
      <c r="S76" s="173"/>
      <c r="T76" s="173"/>
      <c r="U76" s="173"/>
      <c r="V76" s="173"/>
      <c r="W76" s="173"/>
      <c r="X76" s="173"/>
      <c r="Y76" s="173"/>
      <c r="Z76" s="173"/>
      <c r="AA76" s="173"/>
    </row>
    <row r="77" spans="3:27" ht="18" customHeight="1">
      <c r="C77" s="1509" t="s">
        <v>344</v>
      </c>
      <c r="D77" s="1509"/>
      <c r="E77" s="1509"/>
      <c r="F77" s="1509"/>
      <c r="G77" s="1509"/>
      <c r="H77" s="1509"/>
      <c r="I77" s="1509"/>
      <c r="J77" s="1509"/>
      <c r="K77" s="1509"/>
      <c r="L77" s="1509"/>
      <c r="M77" s="1509"/>
      <c r="N77" s="1509"/>
      <c r="O77" s="1509"/>
      <c r="P77" s="1509"/>
      <c r="Q77" s="1509"/>
    </row>
    <row r="78" spans="3:27" ht="18" customHeight="1">
      <c r="C78" s="1510"/>
      <c r="D78" s="1510"/>
      <c r="E78" s="1510"/>
      <c r="F78" s="1510"/>
      <c r="G78" s="1510"/>
      <c r="H78" s="1510"/>
      <c r="I78" s="1510"/>
      <c r="J78" s="1510"/>
      <c r="K78" s="1510"/>
      <c r="L78" s="1510"/>
      <c r="M78" s="1510"/>
      <c r="N78" s="1510"/>
      <c r="O78" s="1510"/>
      <c r="P78" s="1510"/>
      <c r="Q78" s="1510"/>
    </row>
    <row r="79" spans="3:27" ht="18" customHeight="1">
      <c r="C79" s="1510"/>
      <c r="D79" s="1510"/>
      <c r="E79" s="1510"/>
      <c r="F79" s="1510"/>
      <c r="G79" s="1510"/>
      <c r="H79" s="1510"/>
      <c r="I79" s="1510"/>
      <c r="J79" s="1510"/>
      <c r="K79" s="1510"/>
      <c r="L79" s="1510"/>
      <c r="M79" s="1510"/>
      <c r="N79" s="1510"/>
      <c r="O79" s="1510"/>
      <c r="P79" s="1510"/>
      <c r="Q79" s="1510"/>
    </row>
    <row r="80" spans="3:27" ht="18" customHeight="1">
      <c r="N80" s="387"/>
      <c r="O80" s="387"/>
      <c r="P80" s="387"/>
      <c r="Q80" s="387"/>
    </row>
    <row r="81" spans="2:19" ht="18" customHeight="1">
      <c r="N81" s="387"/>
      <c r="O81" s="387"/>
      <c r="P81" s="387"/>
      <c r="Q81" s="387"/>
    </row>
    <row r="82" spans="2:19" ht="18" customHeight="1">
      <c r="B82" s="387"/>
      <c r="R82" s="388"/>
      <c r="S82" s="387"/>
    </row>
    <row r="83" spans="2:19" ht="14.25" customHeight="1">
      <c r="R83" s="2"/>
    </row>
    <row r="84" spans="2:19" ht="14.25" customHeight="1">
      <c r="R84" s="2"/>
    </row>
    <row r="85" spans="2:19" ht="14.25" customHeight="1">
      <c r="R85" s="2"/>
    </row>
    <row r="86" spans="2:19" ht="22.5" customHeight="1">
      <c r="R86" s="2"/>
    </row>
    <row r="87" spans="2:19" ht="22.5" customHeight="1">
      <c r="R87" s="2"/>
    </row>
    <row r="88" spans="2:19" ht="22.5" customHeight="1">
      <c r="R88" s="2"/>
    </row>
    <row r="89" spans="2:19" ht="22.5" customHeight="1">
      <c r="R89" s="2"/>
    </row>
    <row r="90" spans="2:19" ht="14.25" customHeight="1">
      <c r="R90" s="2"/>
    </row>
    <row r="91" spans="2:19" ht="14.25" customHeight="1">
      <c r="R91" s="2"/>
    </row>
  </sheetData>
  <sheetProtection sheet="1" objects="1" scenarios="1" selectLockedCells="1"/>
  <mergeCells count="20">
    <mergeCell ref="D76:E76"/>
    <mergeCell ref="C77:Q79"/>
    <mergeCell ref="D44:E44"/>
    <mergeCell ref="F44:G44"/>
    <mergeCell ref="D60:E60"/>
    <mergeCell ref="F60:G60"/>
    <mergeCell ref="H62:H75"/>
    <mergeCell ref="I62:Q64"/>
    <mergeCell ref="Y9:Y10"/>
    <mergeCell ref="C11:E11"/>
    <mergeCell ref="D12:E12"/>
    <mergeCell ref="F12:G12"/>
    <mergeCell ref="D28:E28"/>
    <mergeCell ref="F28:G28"/>
    <mergeCell ref="X9:X10"/>
    <mergeCell ref="B6:R8"/>
    <mergeCell ref="C9:E10"/>
    <mergeCell ref="F9:F10"/>
    <mergeCell ref="G9:G10"/>
    <mergeCell ref="H9:Q10"/>
  </mergeCells>
  <phoneticPr fontId="5"/>
  <dataValidations count="3">
    <dataValidation type="whole" operator="greaterThan" allowBlank="1" showInputMessage="1" showErrorMessage="1" error="0より大きい数値を整数で入力してください。" sqref="F11 F13:F27 F29:F43 F45:F59 F61:F76" xr:uid="{00000000-0002-0000-0A00-000000000000}">
      <formula1>0</formula1>
    </dataValidation>
    <dataValidation type="textLength" imeMode="hiragana" operator="greaterThanOrEqual" allowBlank="1" showInputMessage="1" showErrorMessage="1" sqref="E29:E43 E13:E27 E45:E59 E61:E75" xr:uid="{00000000-0002-0000-0A00-000001000000}">
      <formula1>1</formula1>
    </dataValidation>
    <dataValidation type="custom" allowBlank="1" showInputMessage="1" showErrorMessage="1" error="0.001~100の範囲で小数点第３位までの数値を入力してください。" sqref="G11 G13:G27 G29:G43 G45:G59 G61:G76" xr:uid="{00000000-0002-0000-0A00-000002000000}">
      <formula1>AND(AND(G11*1000=INT(G11*1000)),(G11&gt;0),(G11&lt;=100))</formula1>
    </dataValidation>
  </dataValidations>
  <pageMargins left="0.59055118110236227" right="0.59055118110236227" top="0.59055118110236227" bottom="0.59055118110236227" header="0" footer="0"/>
  <pageSetup paperSize="9" scale="64" orientation="portrait" cellComments="asDisplayed" r:id="rId1"/>
  <headerFooter alignWithMargins="0"/>
  <drawing r:id="rId2"/>
  <legacyDrawing r:id="rId3"/>
  <controls>
    <mc:AlternateContent xmlns:mc="http://schemas.openxmlformats.org/markup-compatibility/2006">
      <mc:Choice Requires="x14">
        <control shapeId="8193" r:id="rId4" name="Label1">
          <controlPr defaultSize="0" print="0" autoLine="0" r:id="rId5">
            <anchor moveWithCells="1">
              <from>
                <xdr:col>1</xdr:col>
                <xdr:colOff>19050</xdr:colOff>
                <xdr:row>1</xdr:row>
                <xdr:rowOff>9525</xdr:rowOff>
              </from>
              <to>
                <xdr:col>4</xdr:col>
                <xdr:colOff>95250</xdr:colOff>
                <xdr:row>3</xdr:row>
                <xdr:rowOff>104775</xdr:rowOff>
              </to>
            </anchor>
          </controlPr>
        </control>
      </mc:Choice>
      <mc:Fallback>
        <control shapeId="8193" r:id="rId4" name="Label1"/>
      </mc:Fallback>
    </mc:AlternateContent>
    <mc:AlternateContent xmlns:mc="http://schemas.openxmlformats.org/markup-compatibility/2006">
      <mc:Choice Requires="x14">
        <control shapeId="8194" r:id="rId6" name="Label2">
          <controlPr defaultSize="0" print="0" autoLine="0" r:id="rId7">
            <anchor moveWithCells="1">
              <from>
                <xdr:col>1</xdr:col>
                <xdr:colOff>95250</xdr:colOff>
                <xdr:row>1</xdr:row>
                <xdr:rowOff>219075</xdr:rowOff>
              </from>
              <to>
                <xdr:col>4</xdr:col>
                <xdr:colOff>57150</xdr:colOff>
                <xdr:row>2</xdr:row>
                <xdr:rowOff>133350</xdr:rowOff>
              </to>
            </anchor>
          </controlPr>
        </control>
      </mc:Choice>
      <mc:Fallback>
        <control shapeId="8194" r:id="rId6" name="Label2"/>
      </mc:Fallback>
    </mc:AlternateContent>
    <mc:AlternateContent xmlns:mc="http://schemas.openxmlformats.org/markup-compatibility/2006">
      <mc:Choice Requires="x14">
        <control shapeId="8195" r:id="rId8" name="Label3">
          <controlPr defaultSize="0" print="0" autoLine="0" r:id="rId9">
            <anchor moveWithCells="1">
              <from>
                <xdr:col>4</xdr:col>
                <xdr:colOff>85725</xdr:colOff>
                <xdr:row>1</xdr:row>
                <xdr:rowOff>9525</xdr:rowOff>
              </from>
              <to>
                <xdr:col>4</xdr:col>
                <xdr:colOff>600075</xdr:colOff>
                <xdr:row>2</xdr:row>
                <xdr:rowOff>123825</xdr:rowOff>
              </to>
            </anchor>
          </controlPr>
        </control>
      </mc:Choice>
      <mc:Fallback>
        <control shapeId="8195" r:id="rId8" name="Label3"/>
      </mc:Fallback>
    </mc:AlternateContent>
    <mc:AlternateContent xmlns:mc="http://schemas.openxmlformats.org/markup-compatibility/2006">
      <mc:Choice Requires="x14">
        <control shapeId="8196" r:id="rId10" name="txt_sacchuuzai">
          <controlPr locked="0" defaultSize="0" print="0" autoLine="0" r:id="rId11">
            <anchor moveWithCells="1">
              <from>
                <xdr:col>4</xdr:col>
                <xdr:colOff>85725</xdr:colOff>
                <xdr:row>2</xdr:row>
                <xdr:rowOff>123825</xdr:rowOff>
              </from>
              <to>
                <xdr:col>4</xdr:col>
                <xdr:colOff>600075</xdr:colOff>
                <xdr:row>3</xdr:row>
                <xdr:rowOff>104775</xdr:rowOff>
              </to>
            </anchor>
          </controlPr>
        </control>
      </mc:Choice>
      <mc:Fallback>
        <control shapeId="8196" r:id="rId10" name="txt_sacchuuzai"/>
      </mc:Fallback>
    </mc:AlternateContent>
    <mc:AlternateContent xmlns:mc="http://schemas.openxmlformats.org/markup-compatibility/2006">
      <mc:Choice Requires="x14">
        <control shapeId="8197" r:id="rId12" name="btnKoushin1">
          <controlPr defaultSize="0" print="0" autoLine="0" r:id="rId13">
            <anchor moveWithCells="1">
              <from>
                <xdr:col>5</xdr:col>
                <xdr:colOff>428625</xdr:colOff>
                <xdr:row>1</xdr:row>
                <xdr:rowOff>9525</xdr:rowOff>
              </from>
              <to>
                <xdr:col>6</xdr:col>
                <xdr:colOff>57150</xdr:colOff>
                <xdr:row>3</xdr:row>
                <xdr:rowOff>104775</xdr:rowOff>
              </to>
            </anchor>
          </controlPr>
        </control>
      </mc:Choice>
      <mc:Fallback>
        <control shapeId="8197" r:id="rId12" name="btnKoushin1"/>
      </mc:Fallback>
    </mc:AlternateContent>
    <mc:AlternateContent xmlns:mc="http://schemas.openxmlformats.org/markup-compatibility/2006">
      <mc:Choice Requires="x14">
        <control shapeId="8198" r:id="rId14" name="Label4">
          <controlPr defaultSize="0" print="0" autoLine="0" r:id="rId15">
            <anchor moveWithCells="1">
              <from>
                <xdr:col>4</xdr:col>
                <xdr:colOff>600075</xdr:colOff>
                <xdr:row>1</xdr:row>
                <xdr:rowOff>9525</xdr:rowOff>
              </from>
              <to>
                <xdr:col>4</xdr:col>
                <xdr:colOff>1133475</xdr:colOff>
                <xdr:row>2</xdr:row>
                <xdr:rowOff>123825</xdr:rowOff>
              </to>
            </anchor>
          </controlPr>
        </control>
      </mc:Choice>
      <mc:Fallback>
        <control shapeId="8198" r:id="rId14" name="Label4"/>
      </mc:Fallback>
    </mc:AlternateContent>
    <mc:AlternateContent xmlns:mc="http://schemas.openxmlformats.org/markup-compatibility/2006">
      <mc:Choice Requires="x14">
        <control shapeId="8199" r:id="rId16" name="txt_sakkinzai">
          <controlPr locked="0" defaultSize="0" print="0" autoLine="0" r:id="rId17">
            <anchor moveWithCells="1">
              <from>
                <xdr:col>4</xdr:col>
                <xdr:colOff>600075</xdr:colOff>
                <xdr:row>2</xdr:row>
                <xdr:rowOff>123825</xdr:rowOff>
              </from>
              <to>
                <xdr:col>4</xdr:col>
                <xdr:colOff>1133475</xdr:colOff>
                <xdr:row>3</xdr:row>
                <xdr:rowOff>104775</xdr:rowOff>
              </to>
            </anchor>
          </controlPr>
        </control>
      </mc:Choice>
      <mc:Fallback>
        <control shapeId="8199" r:id="rId16" name="txt_sakkinzai"/>
      </mc:Fallback>
    </mc:AlternateContent>
    <mc:AlternateContent xmlns:mc="http://schemas.openxmlformats.org/markup-compatibility/2006">
      <mc:Choice Requires="x14">
        <control shapeId="8200" r:id="rId18" name="Label5">
          <controlPr defaultSize="0" print="0" autoLine="0" r:id="rId19">
            <anchor moveWithCells="1">
              <from>
                <xdr:col>4</xdr:col>
                <xdr:colOff>1133475</xdr:colOff>
                <xdr:row>1</xdr:row>
                <xdr:rowOff>9525</xdr:rowOff>
              </from>
              <to>
                <xdr:col>4</xdr:col>
                <xdr:colOff>1657350</xdr:colOff>
                <xdr:row>2</xdr:row>
                <xdr:rowOff>123825</xdr:rowOff>
              </to>
            </anchor>
          </controlPr>
        </control>
      </mc:Choice>
      <mc:Fallback>
        <control shapeId="8200" r:id="rId18" name="Label5"/>
      </mc:Fallback>
    </mc:AlternateContent>
    <mc:AlternateContent xmlns:mc="http://schemas.openxmlformats.org/markup-compatibility/2006">
      <mc:Choice Requires="x14">
        <control shapeId="8201" r:id="rId20" name="txt_sachuukin">
          <controlPr locked="0" defaultSize="0" print="0" autoLine="0" r:id="rId21">
            <anchor moveWithCells="1">
              <from>
                <xdr:col>4</xdr:col>
                <xdr:colOff>1133475</xdr:colOff>
                <xdr:row>2</xdr:row>
                <xdr:rowOff>123825</xdr:rowOff>
              </from>
              <to>
                <xdr:col>4</xdr:col>
                <xdr:colOff>1657350</xdr:colOff>
                <xdr:row>3</xdr:row>
                <xdr:rowOff>104775</xdr:rowOff>
              </to>
            </anchor>
          </controlPr>
        </control>
      </mc:Choice>
      <mc:Fallback>
        <control shapeId="8201" r:id="rId20" name="txt_sachuukin"/>
      </mc:Fallback>
    </mc:AlternateContent>
    <mc:AlternateContent xmlns:mc="http://schemas.openxmlformats.org/markup-compatibility/2006">
      <mc:Choice Requires="x14">
        <control shapeId="8202" r:id="rId22" name="Label6">
          <controlPr defaultSize="0" print="0" autoLine="0" r:id="rId23">
            <anchor moveWithCells="1">
              <from>
                <xdr:col>4</xdr:col>
                <xdr:colOff>1647825</xdr:colOff>
                <xdr:row>1</xdr:row>
                <xdr:rowOff>9525</xdr:rowOff>
              </from>
              <to>
                <xdr:col>5</xdr:col>
                <xdr:colOff>438150</xdr:colOff>
                <xdr:row>2</xdr:row>
                <xdr:rowOff>123825</xdr:rowOff>
              </to>
            </anchor>
          </controlPr>
        </control>
      </mc:Choice>
      <mc:Fallback>
        <control shapeId="8202" r:id="rId22" name="Label6"/>
      </mc:Fallback>
    </mc:AlternateContent>
    <mc:AlternateContent xmlns:mc="http://schemas.openxmlformats.org/markup-compatibility/2006">
      <mc:Choice Requires="x14">
        <control shapeId="8203" r:id="rId24" name="txt_josouzai">
          <controlPr locked="0" defaultSize="0" print="0" autoLine="0" r:id="rId25">
            <anchor moveWithCells="1">
              <from>
                <xdr:col>4</xdr:col>
                <xdr:colOff>1647825</xdr:colOff>
                <xdr:row>2</xdr:row>
                <xdr:rowOff>123825</xdr:rowOff>
              </from>
              <to>
                <xdr:col>5</xdr:col>
                <xdr:colOff>438150</xdr:colOff>
                <xdr:row>3</xdr:row>
                <xdr:rowOff>104775</xdr:rowOff>
              </to>
            </anchor>
          </controlPr>
        </control>
      </mc:Choice>
      <mc:Fallback>
        <control shapeId="8203" r:id="rId24" name="txt_josouzai"/>
      </mc:Fallback>
    </mc:AlternateContent>
    <mc:AlternateContent xmlns:mc="http://schemas.openxmlformats.org/markup-compatibility/2006">
      <mc:Choice Requires="x14">
        <control shapeId="8204" r:id="rId26" name="Label7">
          <controlPr defaultSize="0" print="0" autoLine="0" r:id="rId27">
            <anchor moveWithCells="1">
              <from>
                <xdr:col>4</xdr:col>
                <xdr:colOff>152400</xdr:colOff>
                <xdr:row>1</xdr:row>
                <xdr:rowOff>123825</xdr:rowOff>
              </from>
              <to>
                <xdr:col>4</xdr:col>
                <xdr:colOff>581025</xdr:colOff>
                <xdr:row>2</xdr:row>
                <xdr:rowOff>57150</xdr:rowOff>
              </to>
            </anchor>
          </controlPr>
        </control>
      </mc:Choice>
      <mc:Fallback>
        <control shapeId="8204" r:id="rId26" name="Label7"/>
      </mc:Fallback>
    </mc:AlternateContent>
    <mc:AlternateContent xmlns:mc="http://schemas.openxmlformats.org/markup-compatibility/2006">
      <mc:Choice Requires="x14">
        <control shapeId="8205" r:id="rId28" name="Label8">
          <controlPr defaultSize="0" print="0" autoLine="0" r:id="rId29">
            <anchor moveWithCells="1">
              <from>
                <xdr:col>4</xdr:col>
                <xdr:colOff>676275</xdr:colOff>
                <xdr:row>1</xdr:row>
                <xdr:rowOff>123825</xdr:rowOff>
              </from>
              <to>
                <xdr:col>4</xdr:col>
                <xdr:colOff>1076325</xdr:colOff>
                <xdr:row>2</xdr:row>
                <xdr:rowOff>57150</xdr:rowOff>
              </to>
            </anchor>
          </controlPr>
        </control>
      </mc:Choice>
      <mc:Fallback>
        <control shapeId="8205" r:id="rId28" name="Label8"/>
      </mc:Fallback>
    </mc:AlternateContent>
    <mc:AlternateContent xmlns:mc="http://schemas.openxmlformats.org/markup-compatibility/2006">
      <mc:Choice Requires="x14">
        <control shapeId="8206" r:id="rId30" name="Label9">
          <controlPr defaultSize="0" print="0" autoLine="0" r:id="rId31">
            <anchor moveWithCells="1">
              <from>
                <xdr:col>4</xdr:col>
                <xdr:colOff>1190625</xdr:colOff>
                <xdr:row>1</xdr:row>
                <xdr:rowOff>66675</xdr:rowOff>
              </from>
              <to>
                <xdr:col>4</xdr:col>
                <xdr:colOff>1628775</xdr:colOff>
                <xdr:row>2</xdr:row>
                <xdr:rowOff>95250</xdr:rowOff>
              </to>
            </anchor>
          </controlPr>
        </control>
      </mc:Choice>
      <mc:Fallback>
        <control shapeId="8206" r:id="rId30" name="Label9"/>
      </mc:Fallback>
    </mc:AlternateContent>
    <mc:AlternateContent xmlns:mc="http://schemas.openxmlformats.org/markup-compatibility/2006">
      <mc:Choice Requires="x14">
        <control shapeId="8207" r:id="rId32" name="Label10">
          <controlPr defaultSize="0" print="0" autoLine="0" r:id="rId33">
            <anchor moveWithCells="1">
              <from>
                <xdr:col>4</xdr:col>
                <xdr:colOff>1685925</xdr:colOff>
                <xdr:row>1</xdr:row>
                <xdr:rowOff>133350</xdr:rowOff>
              </from>
              <to>
                <xdr:col>5</xdr:col>
                <xdr:colOff>381000</xdr:colOff>
                <xdr:row>2</xdr:row>
                <xdr:rowOff>66675</xdr:rowOff>
              </to>
            </anchor>
          </controlPr>
        </control>
      </mc:Choice>
      <mc:Fallback>
        <control shapeId="8207" r:id="rId32" name="Label10"/>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6">
    <outlinePr summaryBelow="0"/>
    <pageSetUpPr fitToPage="1"/>
  </sheetPr>
  <dimension ref="A1:BF117"/>
  <sheetViews>
    <sheetView showGridLines="0" zoomScale="85" zoomScaleNormal="85" zoomScaleSheetLayoutView="80" workbookViewId="0">
      <selection activeCell="O9" sqref="O9"/>
    </sheetView>
  </sheetViews>
  <sheetFormatPr defaultColWidth="2.625" defaultRowHeight="14.25" customHeight="1" outlineLevelRow="1" outlineLevelCol="1"/>
  <cols>
    <col min="1" max="2" width="2.625" style="2" customWidth="1"/>
    <col min="3" max="3" width="4" style="2" customWidth="1"/>
    <col min="4" max="12" width="2.625" style="2" customWidth="1"/>
    <col min="13" max="13" width="17.375" style="2" customWidth="1"/>
    <col min="14" max="14" width="4.625" style="2" customWidth="1"/>
    <col min="15" max="15" width="19.625" style="2" customWidth="1"/>
    <col min="16" max="22" width="2.625" style="2" customWidth="1"/>
    <col min="23" max="24" width="0.875" style="2" customWidth="1"/>
    <col min="25" max="28" width="2.625" style="2" customWidth="1"/>
    <col min="29" max="36" width="2.625" style="2" customWidth="1" outlineLevel="1"/>
    <col min="37" max="37" width="2.625" style="144" customWidth="1" outlineLevel="1"/>
    <col min="38" max="38" width="5.25" style="144" customWidth="1" outlineLevel="1"/>
    <col min="39" max="39" width="2.625" style="144" customWidth="1" outlineLevel="1"/>
    <col min="40" max="40" width="18.625" style="144" customWidth="1" outlineLevel="1"/>
    <col min="41" max="41" width="17.375" style="144" customWidth="1" outlineLevel="1"/>
    <col min="42" max="42" width="6.25" style="2" bestFit="1" customWidth="1" outlineLevel="1"/>
    <col min="43" max="43" width="17.375" style="144" customWidth="1" outlineLevel="1"/>
    <col min="44" max="44" width="6.25" style="2" bestFit="1" customWidth="1" outlineLevel="1"/>
    <col min="45" max="45" width="17.375" style="144" customWidth="1" outlineLevel="1"/>
    <col min="46" max="58" width="2.625" style="144"/>
    <col min="59" max="16384" width="2.625" style="2"/>
  </cols>
  <sheetData>
    <row r="1" spans="1:58" s="30" customFormat="1" ht="57.75" customHeight="1">
      <c r="A1" s="108"/>
      <c r="C1" s="58"/>
      <c r="D1" s="58"/>
      <c r="E1" s="58"/>
      <c r="F1" s="58"/>
      <c r="G1" s="58"/>
      <c r="H1" s="58"/>
      <c r="I1" s="58"/>
      <c r="J1" s="58"/>
      <c r="K1" s="58"/>
      <c r="L1" s="58"/>
      <c r="M1" s="58"/>
      <c r="N1" s="58"/>
      <c r="O1" s="58"/>
      <c r="AB1" s="2"/>
      <c r="AC1" s="2"/>
      <c r="AK1" s="151" t="s">
        <v>281</v>
      </c>
      <c r="AL1" s="146"/>
      <c r="AM1" s="146"/>
      <c r="AN1" s="146"/>
      <c r="AO1" s="146"/>
      <c r="AP1" s="2"/>
      <c r="AQ1" s="146"/>
      <c r="AR1" s="2"/>
      <c r="AS1" s="146"/>
      <c r="AT1" s="146"/>
      <c r="AU1" s="146"/>
      <c r="AV1" s="146"/>
      <c r="AW1" s="146"/>
      <c r="AX1" s="146"/>
      <c r="AY1" s="146"/>
      <c r="AZ1" s="146"/>
      <c r="BA1" s="146"/>
      <c r="BB1" s="146"/>
      <c r="BC1" s="146"/>
      <c r="BD1" s="146"/>
      <c r="BE1" s="146"/>
      <c r="BF1" s="146"/>
    </row>
    <row r="2" spans="1:58" ht="18" customHeight="1">
      <c r="B2" s="108" t="s">
        <v>345</v>
      </c>
      <c r="C2" s="48"/>
      <c r="D2" s="48"/>
      <c r="E2" s="48"/>
      <c r="F2" s="48"/>
      <c r="G2" s="48"/>
      <c r="H2" s="48"/>
      <c r="I2" s="48"/>
      <c r="J2" s="48"/>
      <c r="K2" s="48"/>
      <c r="L2" s="48"/>
      <c r="M2" s="48"/>
      <c r="N2" s="48"/>
      <c r="O2" s="48"/>
      <c r="AK2" s="108" t="s">
        <v>345</v>
      </c>
      <c r="AL2" s="108"/>
      <c r="AM2" s="108"/>
    </row>
    <row r="3" spans="1:58" s="30" customFormat="1" ht="14.25" customHeight="1">
      <c r="B3" s="1538" t="s">
        <v>346</v>
      </c>
      <c r="C3" s="1538"/>
      <c r="D3" s="1538"/>
      <c r="E3" s="1538"/>
      <c r="F3" s="1538"/>
      <c r="G3" s="1538"/>
      <c r="H3" s="1538"/>
      <c r="I3" s="1538"/>
      <c r="J3" s="1538"/>
      <c r="K3" s="1538"/>
      <c r="L3" s="1538"/>
      <c r="M3" s="1538"/>
      <c r="N3" s="1538"/>
      <c r="O3" s="1538"/>
      <c r="P3" s="1538"/>
      <c r="Q3" s="1538"/>
      <c r="R3" s="1538"/>
      <c r="S3" s="1538"/>
      <c r="T3" s="1538"/>
      <c r="U3" s="1538"/>
      <c r="V3" s="1538"/>
      <c r="W3" s="1538"/>
      <c r="X3" s="1538"/>
      <c r="Y3" s="1538"/>
      <c r="AB3" s="2"/>
      <c r="AC3" s="2"/>
      <c r="AK3" s="146" t="s">
        <v>265</v>
      </c>
      <c r="AL3" s="146"/>
      <c r="AM3" s="146"/>
      <c r="AN3" s="146"/>
      <c r="AO3" s="146"/>
      <c r="AP3" s="2"/>
      <c r="AQ3" s="146"/>
      <c r="AR3" s="2"/>
      <c r="AS3" s="146"/>
      <c r="AT3" s="146"/>
      <c r="AU3" s="146"/>
      <c r="AV3" s="146"/>
      <c r="AW3" s="146"/>
      <c r="AX3" s="146"/>
      <c r="AY3" s="146"/>
      <c r="AZ3" s="146"/>
      <c r="BA3" s="146"/>
      <c r="BB3" s="146"/>
      <c r="BC3" s="146"/>
      <c r="BD3" s="146"/>
      <c r="BE3" s="146"/>
      <c r="BF3" s="146"/>
    </row>
    <row r="4" spans="1:58" s="30" customFormat="1" ht="14.25" customHeight="1">
      <c r="A4" s="108"/>
      <c r="B4" s="1538"/>
      <c r="C4" s="1538"/>
      <c r="D4" s="1538"/>
      <c r="E4" s="1538"/>
      <c r="F4" s="1538"/>
      <c r="G4" s="1538"/>
      <c r="H4" s="1538"/>
      <c r="I4" s="1538"/>
      <c r="J4" s="1538"/>
      <c r="K4" s="1538"/>
      <c r="L4" s="1538"/>
      <c r="M4" s="1538"/>
      <c r="N4" s="1538"/>
      <c r="O4" s="1538"/>
      <c r="P4" s="1538"/>
      <c r="Q4" s="1538"/>
      <c r="R4" s="1538"/>
      <c r="S4" s="1538"/>
      <c r="T4" s="1538"/>
      <c r="U4" s="1538"/>
      <c r="V4" s="1538"/>
      <c r="W4" s="1538"/>
      <c r="X4" s="1538"/>
      <c r="Y4" s="1538"/>
      <c r="AB4" s="2"/>
      <c r="AC4" s="2"/>
      <c r="AK4" s="146"/>
      <c r="AL4" s="146"/>
      <c r="AM4" s="146"/>
      <c r="AN4" s="146"/>
      <c r="AO4" s="146"/>
      <c r="AP4" s="2"/>
      <c r="AQ4" s="146"/>
      <c r="AR4" s="2"/>
      <c r="AS4" s="146"/>
      <c r="AT4" s="146"/>
      <c r="AU4" s="146"/>
      <c r="AV4" s="146"/>
      <c r="AW4" s="146"/>
      <c r="AX4" s="146"/>
      <c r="AY4" s="146"/>
      <c r="AZ4" s="146"/>
      <c r="BA4" s="146"/>
      <c r="BB4" s="146"/>
      <c r="BC4" s="146"/>
      <c r="BD4" s="146"/>
      <c r="BE4" s="146"/>
      <c r="BF4" s="146"/>
    </row>
    <row r="5" spans="1:58" ht="14.25" customHeight="1" thickBot="1">
      <c r="B5" s="1538"/>
      <c r="C5" s="1538"/>
      <c r="D5" s="1538"/>
      <c r="E5" s="1538"/>
      <c r="F5" s="1538"/>
      <c r="G5" s="1538"/>
      <c r="H5" s="1538"/>
      <c r="I5" s="1538"/>
      <c r="J5" s="1538"/>
      <c r="K5" s="1538"/>
      <c r="L5" s="1538"/>
      <c r="M5" s="1538"/>
      <c r="N5" s="1538"/>
      <c r="O5" s="1538"/>
      <c r="P5" s="1538"/>
      <c r="Q5" s="1538"/>
      <c r="R5" s="1538"/>
      <c r="S5" s="1538"/>
      <c r="T5" s="1538"/>
      <c r="U5" s="1538"/>
      <c r="V5" s="1538"/>
      <c r="W5" s="1538"/>
      <c r="X5" s="1538"/>
      <c r="Y5" s="1538"/>
    </row>
    <row r="6" spans="1:58" ht="14.1" customHeight="1">
      <c r="B6" s="1236" t="s">
        <v>287</v>
      </c>
      <c r="C6" s="1237"/>
      <c r="D6" s="1237"/>
      <c r="E6" s="1237"/>
      <c r="F6" s="1237"/>
      <c r="G6" s="1237"/>
      <c r="H6" s="1237"/>
      <c r="I6" s="1237"/>
      <c r="J6" s="1237"/>
      <c r="K6" s="1237"/>
      <c r="L6" s="1260"/>
      <c r="M6" s="1432" t="s">
        <v>347</v>
      </c>
      <c r="N6" s="458"/>
      <c r="O6" s="1453" t="s">
        <v>348</v>
      </c>
      <c r="P6" s="1175" t="s">
        <v>331</v>
      </c>
      <c r="Q6" s="1541"/>
      <c r="R6" s="1542"/>
      <c r="AK6" s="1507" t="s">
        <v>287</v>
      </c>
      <c r="AL6" s="1507"/>
      <c r="AM6" s="1507"/>
      <c r="AN6" s="1507"/>
      <c r="AO6" s="1518" t="s">
        <v>347</v>
      </c>
      <c r="AP6" s="1519"/>
      <c r="AQ6" s="1518" t="s">
        <v>266</v>
      </c>
      <c r="AR6" s="1519"/>
      <c r="AS6" s="1524" t="s">
        <v>349</v>
      </c>
    </row>
    <row r="7" spans="1:58" ht="14.1" customHeight="1">
      <c r="B7" s="1405"/>
      <c r="C7" s="1406"/>
      <c r="D7" s="1406"/>
      <c r="E7" s="1406"/>
      <c r="F7" s="1406"/>
      <c r="G7" s="1406"/>
      <c r="H7" s="1406"/>
      <c r="I7" s="1406"/>
      <c r="J7" s="1406"/>
      <c r="K7" s="1406"/>
      <c r="L7" s="1407"/>
      <c r="M7" s="1433"/>
      <c r="N7" s="1527" t="s">
        <v>162</v>
      </c>
      <c r="O7" s="1454"/>
      <c r="P7" s="1543"/>
      <c r="Q7" s="1544"/>
      <c r="R7" s="1545"/>
      <c r="AK7" s="1507"/>
      <c r="AL7" s="1507"/>
      <c r="AM7" s="1507"/>
      <c r="AN7" s="1507"/>
      <c r="AO7" s="1520"/>
      <c r="AP7" s="1521"/>
      <c r="AQ7" s="1520"/>
      <c r="AR7" s="1521"/>
      <c r="AS7" s="1525"/>
    </row>
    <row r="8" spans="1:58" ht="14.1" customHeight="1" thickBot="1">
      <c r="B8" s="1239"/>
      <c r="C8" s="1240"/>
      <c r="D8" s="1240"/>
      <c r="E8" s="1240"/>
      <c r="F8" s="1240"/>
      <c r="G8" s="1240"/>
      <c r="H8" s="1240"/>
      <c r="I8" s="1240"/>
      <c r="J8" s="1240"/>
      <c r="K8" s="1240"/>
      <c r="L8" s="1392"/>
      <c r="M8" s="1539"/>
      <c r="N8" s="1528"/>
      <c r="O8" s="1540"/>
      <c r="P8" s="1546"/>
      <c r="Q8" s="1544"/>
      <c r="R8" s="1545"/>
      <c r="S8" s="173"/>
      <c r="T8" s="173"/>
      <c r="U8" s="173"/>
      <c r="V8" s="173"/>
      <c r="W8" s="173"/>
      <c r="X8" s="173"/>
      <c r="Y8" s="173"/>
      <c r="Z8" s="173"/>
      <c r="AA8" s="173"/>
      <c r="AK8" s="1507"/>
      <c r="AL8" s="1507"/>
      <c r="AM8" s="1507"/>
      <c r="AN8" s="1507"/>
      <c r="AO8" s="1522"/>
      <c r="AP8" s="1523"/>
      <c r="AQ8" s="1522"/>
      <c r="AR8" s="1523"/>
      <c r="AS8" s="1526"/>
    </row>
    <row r="9" spans="1:58" ht="30" customHeight="1" thickTop="1" thickBot="1">
      <c r="B9" s="1529" t="s">
        <v>350</v>
      </c>
      <c r="C9" s="1530"/>
      <c r="D9" s="1530"/>
      <c r="E9" s="1530"/>
      <c r="F9" s="1530"/>
      <c r="G9" s="1530"/>
      <c r="H9" s="1530"/>
      <c r="I9" s="1530"/>
      <c r="J9" s="1530"/>
      <c r="K9" s="1530"/>
      <c r="L9" s="1531"/>
      <c r="M9" s="459"/>
      <c r="N9" s="460" t="s">
        <v>351</v>
      </c>
      <c r="O9" s="461"/>
      <c r="P9" s="1532"/>
      <c r="Q9" s="1533"/>
      <c r="R9" s="1534"/>
      <c r="S9" s="173"/>
      <c r="T9" s="173"/>
      <c r="U9" s="173"/>
      <c r="V9" s="173"/>
      <c r="W9" s="173"/>
      <c r="X9" s="173"/>
      <c r="Y9" s="173"/>
      <c r="Z9" s="173"/>
      <c r="AA9" s="173"/>
      <c r="AK9" s="1535" t="s">
        <v>352</v>
      </c>
      <c r="AL9" s="1536"/>
      <c r="AM9" s="1536"/>
      <c r="AN9" s="1537"/>
      <c r="AO9" s="462"/>
      <c r="AP9" s="462"/>
      <c r="AQ9" s="462"/>
      <c r="AR9" s="462"/>
      <c r="AS9" s="335">
        <f>IF(O9&gt;0,ROUND(O9*P9%,),SUM(AS10:AS17))</f>
        <v>0</v>
      </c>
    </row>
    <row r="10" spans="1:58" ht="30" customHeight="1" thickTop="1">
      <c r="B10" s="463"/>
      <c r="C10" s="1555" t="s">
        <v>353</v>
      </c>
      <c r="D10" s="464"/>
      <c r="E10" s="1464" t="s">
        <v>354</v>
      </c>
      <c r="F10" s="1464"/>
      <c r="G10" s="1464"/>
      <c r="H10" s="1464"/>
      <c r="I10" s="1464"/>
      <c r="J10" s="1464"/>
      <c r="K10" s="1464"/>
      <c r="L10" s="465"/>
      <c r="M10" s="401"/>
      <c r="N10" s="466" t="s">
        <v>355</v>
      </c>
      <c r="O10" s="467"/>
      <c r="P10" s="1558"/>
      <c r="Q10" s="1559"/>
      <c r="R10" s="1560"/>
      <c r="S10" s="468"/>
      <c r="T10" s="173"/>
      <c r="U10" s="173"/>
      <c r="V10" s="173"/>
      <c r="W10" s="173"/>
      <c r="X10" s="173"/>
      <c r="Y10" s="173"/>
      <c r="Z10" s="173"/>
      <c r="AA10" s="173"/>
      <c r="AK10" s="469"/>
      <c r="AL10" s="1561" t="s">
        <v>353</v>
      </c>
      <c r="AM10" s="1550" t="s">
        <v>354</v>
      </c>
      <c r="AN10" s="1551"/>
      <c r="AO10" s="335">
        <f>ROUND(M10*P10%,)</f>
        <v>0</v>
      </c>
      <c r="AP10" s="470" t="s">
        <v>356</v>
      </c>
      <c r="AQ10" s="261">
        <f>IF(AND(AO10&gt;0,AS10&gt;0),ROUND(AS10/AO10,2),)</f>
        <v>0</v>
      </c>
      <c r="AR10" s="470" t="s">
        <v>357</v>
      </c>
      <c r="AS10" s="335">
        <f>ROUND(O10*P10%,)</f>
        <v>0</v>
      </c>
    </row>
    <row r="11" spans="1:58" ht="30" customHeight="1">
      <c r="B11" s="463"/>
      <c r="C11" s="1556"/>
      <c r="D11" s="464"/>
      <c r="E11" s="1464" t="s">
        <v>358</v>
      </c>
      <c r="F11" s="1464"/>
      <c r="G11" s="1464"/>
      <c r="H11" s="1464"/>
      <c r="I11" s="1464"/>
      <c r="J11" s="1464"/>
      <c r="K11" s="1464"/>
      <c r="L11" s="465"/>
      <c r="M11" s="471"/>
      <c r="N11" s="472" t="s">
        <v>359</v>
      </c>
      <c r="O11" s="473"/>
      <c r="P11" s="1547"/>
      <c r="Q11" s="1548"/>
      <c r="R11" s="1549"/>
      <c r="S11" s="468"/>
      <c r="T11" s="173"/>
      <c r="U11" s="173"/>
      <c r="V11" s="173"/>
      <c r="W11" s="173"/>
      <c r="X11" s="173"/>
      <c r="Y11" s="173"/>
      <c r="Z11" s="173"/>
      <c r="AA11" s="173"/>
      <c r="AD11" s="173"/>
      <c r="AE11" s="173"/>
      <c r="AF11" s="173"/>
      <c r="AG11" s="173"/>
      <c r="AK11" s="469"/>
      <c r="AL11" s="1561"/>
      <c r="AM11" s="1550" t="s">
        <v>358</v>
      </c>
      <c r="AN11" s="1551"/>
      <c r="AO11" s="335">
        <f t="shared" ref="AO11:AO15" si="0">ROUND(M11*P11%,)</f>
        <v>0</v>
      </c>
      <c r="AP11" s="470" t="s">
        <v>356</v>
      </c>
      <c r="AQ11" s="261">
        <f t="shared" ref="AQ11:AQ15" si="1">IF(AND(AO11&gt;0,AS11&gt;0),ROUND(AS11/AO11,2),)</f>
        <v>0</v>
      </c>
      <c r="AR11" s="470" t="s">
        <v>357</v>
      </c>
      <c r="AS11" s="335">
        <f t="shared" ref="AS11:AS17" si="2">ROUND(O11*P11%,)</f>
        <v>0</v>
      </c>
    </row>
    <row r="12" spans="1:58" ht="30" customHeight="1">
      <c r="B12" s="463"/>
      <c r="C12" s="1556"/>
      <c r="D12" s="464"/>
      <c r="E12" s="1464" t="s">
        <v>360</v>
      </c>
      <c r="F12" s="1464"/>
      <c r="G12" s="1464"/>
      <c r="H12" s="1464"/>
      <c r="I12" s="1464"/>
      <c r="J12" s="1464"/>
      <c r="K12" s="1464"/>
      <c r="L12" s="465"/>
      <c r="M12" s="471"/>
      <c r="N12" s="472" t="s">
        <v>361</v>
      </c>
      <c r="O12" s="473"/>
      <c r="P12" s="1547"/>
      <c r="Q12" s="1548"/>
      <c r="R12" s="1549"/>
      <c r="S12" s="468"/>
      <c r="T12" s="173"/>
      <c r="U12" s="173"/>
      <c r="V12" s="173"/>
      <c r="W12" s="173"/>
      <c r="X12" s="173"/>
      <c r="Y12" s="173"/>
      <c r="Z12" s="173"/>
      <c r="AA12" s="173"/>
      <c r="AD12" s="173"/>
      <c r="AE12" s="173"/>
      <c r="AF12" s="173"/>
      <c r="AG12" s="173"/>
      <c r="AK12" s="469"/>
      <c r="AL12" s="1561"/>
      <c r="AM12" s="1550" t="s">
        <v>360</v>
      </c>
      <c r="AN12" s="1551"/>
      <c r="AO12" s="335">
        <f t="shared" si="0"/>
        <v>0</v>
      </c>
      <c r="AP12" s="470" t="s">
        <v>356</v>
      </c>
      <c r="AQ12" s="261">
        <f t="shared" si="1"/>
        <v>0</v>
      </c>
      <c r="AR12" s="470" t="s">
        <v>357</v>
      </c>
      <c r="AS12" s="335">
        <f t="shared" si="2"/>
        <v>0</v>
      </c>
    </row>
    <row r="13" spans="1:58" ht="30" customHeight="1">
      <c r="B13" s="463"/>
      <c r="C13" s="1556"/>
      <c r="D13" s="464"/>
      <c r="E13" s="1464" t="s">
        <v>362</v>
      </c>
      <c r="F13" s="1464"/>
      <c r="G13" s="1464"/>
      <c r="H13" s="1464"/>
      <c r="I13" s="1464"/>
      <c r="J13" s="1464"/>
      <c r="K13" s="1464"/>
      <c r="L13" s="465"/>
      <c r="M13" s="471"/>
      <c r="N13" s="472" t="s">
        <v>355</v>
      </c>
      <c r="O13" s="473"/>
      <c r="P13" s="1547"/>
      <c r="Q13" s="1548"/>
      <c r="R13" s="1549"/>
      <c r="S13" s="468"/>
      <c r="T13" s="173"/>
      <c r="U13" s="173"/>
      <c r="V13" s="173"/>
      <c r="W13" s="173"/>
      <c r="X13" s="173"/>
      <c r="Y13" s="173"/>
      <c r="Z13" s="173"/>
      <c r="AA13" s="173"/>
      <c r="AD13" s="173"/>
      <c r="AE13" s="173"/>
      <c r="AF13" s="173"/>
      <c r="AG13" s="173"/>
      <c r="AK13" s="469"/>
      <c r="AL13" s="1561"/>
      <c r="AM13" s="1550" t="s">
        <v>363</v>
      </c>
      <c r="AN13" s="1551"/>
      <c r="AO13" s="335">
        <f t="shared" si="0"/>
        <v>0</v>
      </c>
      <c r="AP13" s="470" t="s">
        <v>356</v>
      </c>
      <c r="AQ13" s="261">
        <f t="shared" si="1"/>
        <v>0</v>
      </c>
      <c r="AR13" s="470" t="s">
        <v>357</v>
      </c>
      <c r="AS13" s="335">
        <f t="shared" si="2"/>
        <v>0</v>
      </c>
    </row>
    <row r="14" spans="1:58" ht="30" customHeight="1">
      <c r="B14" s="463"/>
      <c r="C14" s="1556"/>
      <c r="D14" s="464"/>
      <c r="E14" s="1464" t="s">
        <v>364</v>
      </c>
      <c r="F14" s="1464"/>
      <c r="G14" s="1464"/>
      <c r="H14" s="1464"/>
      <c r="I14" s="1464"/>
      <c r="J14" s="1464"/>
      <c r="K14" s="1464"/>
      <c r="L14" s="465"/>
      <c r="M14" s="471"/>
      <c r="N14" s="472" t="s">
        <v>361</v>
      </c>
      <c r="O14" s="473"/>
      <c r="P14" s="1547"/>
      <c r="Q14" s="1548"/>
      <c r="R14" s="1549"/>
      <c r="S14" s="468"/>
      <c r="T14" s="173"/>
      <c r="U14" s="173"/>
      <c r="V14" s="173"/>
      <c r="W14" s="173"/>
      <c r="X14" s="173"/>
      <c r="Y14" s="173"/>
      <c r="Z14" s="173"/>
      <c r="AA14" s="173"/>
      <c r="AD14" s="173"/>
      <c r="AE14" s="173"/>
      <c r="AF14" s="173"/>
      <c r="AG14" s="173"/>
      <c r="AK14" s="469"/>
      <c r="AL14" s="1561"/>
      <c r="AM14" s="1550" t="s">
        <v>364</v>
      </c>
      <c r="AN14" s="1551"/>
      <c r="AO14" s="335">
        <f>ROUND(M14*P14%,)</f>
        <v>0</v>
      </c>
      <c r="AP14" s="470" t="s">
        <v>356</v>
      </c>
      <c r="AQ14" s="261">
        <f t="shared" si="1"/>
        <v>0</v>
      </c>
      <c r="AR14" s="470" t="s">
        <v>357</v>
      </c>
      <c r="AS14" s="335">
        <f t="shared" si="2"/>
        <v>0</v>
      </c>
    </row>
    <row r="15" spans="1:58" ht="30" customHeight="1">
      <c r="B15" s="463"/>
      <c r="C15" s="1557"/>
      <c r="D15" s="474"/>
      <c r="E15" s="1475" t="s">
        <v>365</v>
      </c>
      <c r="F15" s="1475"/>
      <c r="G15" s="1475"/>
      <c r="H15" s="1475"/>
      <c r="I15" s="1475"/>
      <c r="J15" s="1475"/>
      <c r="K15" s="1475"/>
      <c r="L15" s="475"/>
      <c r="M15" s="476"/>
      <c r="N15" s="472" t="s">
        <v>355</v>
      </c>
      <c r="O15" s="473"/>
      <c r="P15" s="1547"/>
      <c r="Q15" s="1548"/>
      <c r="R15" s="1549"/>
      <c r="S15" s="468"/>
      <c r="T15" s="173"/>
      <c r="U15" s="173"/>
      <c r="V15" s="173"/>
      <c r="W15" s="173"/>
      <c r="X15" s="173"/>
      <c r="Y15" s="173"/>
      <c r="Z15" s="173"/>
      <c r="AA15" s="173"/>
      <c r="AD15" s="173"/>
      <c r="AE15" s="173"/>
      <c r="AF15" s="173"/>
      <c r="AG15" s="173"/>
      <c r="AK15" s="469"/>
      <c r="AL15" s="1561"/>
      <c r="AM15" s="1550" t="s">
        <v>365</v>
      </c>
      <c r="AN15" s="1551"/>
      <c r="AO15" s="335">
        <f t="shared" si="0"/>
        <v>0</v>
      </c>
      <c r="AP15" s="470" t="s">
        <v>356</v>
      </c>
      <c r="AQ15" s="261">
        <f t="shared" si="1"/>
        <v>0</v>
      </c>
      <c r="AR15" s="470" t="s">
        <v>357</v>
      </c>
      <c r="AS15" s="335">
        <f t="shared" si="2"/>
        <v>0</v>
      </c>
    </row>
    <row r="16" spans="1:58" ht="30" customHeight="1">
      <c r="B16" s="477"/>
      <c r="C16" s="1492" t="s">
        <v>366</v>
      </c>
      <c r="D16" s="1552"/>
      <c r="E16" s="1552"/>
      <c r="F16" s="1552"/>
      <c r="G16" s="1552"/>
      <c r="H16" s="1552"/>
      <c r="I16" s="1552"/>
      <c r="J16" s="1552"/>
      <c r="K16" s="1552"/>
      <c r="L16" s="1553"/>
      <c r="M16" s="459"/>
      <c r="N16" s="478" t="s">
        <v>367</v>
      </c>
      <c r="O16" s="473"/>
      <c r="P16" s="1547"/>
      <c r="Q16" s="1548"/>
      <c r="R16" s="1549"/>
      <c r="S16" s="468"/>
      <c r="T16" s="173"/>
      <c r="U16" s="173"/>
      <c r="V16" s="173"/>
      <c r="W16" s="173"/>
      <c r="X16" s="173"/>
      <c r="Y16" s="173"/>
      <c r="Z16" s="173"/>
      <c r="AA16" s="173"/>
      <c r="AD16" s="173"/>
      <c r="AE16" s="173"/>
      <c r="AF16" s="173"/>
      <c r="AG16" s="173"/>
      <c r="AK16" s="469"/>
      <c r="AL16" s="1436" t="s">
        <v>368</v>
      </c>
      <c r="AM16" s="1554"/>
      <c r="AN16" s="1364"/>
      <c r="AO16" s="462"/>
      <c r="AP16" s="462"/>
      <c r="AQ16" s="462"/>
      <c r="AR16" s="462"/>
      <c r="AS16" s="335">
        <f t="shared" si="2"/>
        <v>0</v>
      </c>
    </row>
    <row r="17" spans="2:45" ht="30" customHeight="1" thickBot="1">
      <c r="B17" s="479"/>
      <c r="C17" s="1562" t="s">
        <v>369</v>
      </c>
      <c r="D17" s="1563"/>
      <c r="E17" s="1563"/>
      <c r="F17" s="1563"/>
      <c r="G17" s="1563"/>
      <c r="H17" s="1563"/>
      <c r="I17" s="1563"/>
      <c r="J17" s="1563"/>
      <c r="K17" s="1563"/>
      <c r="L17" s="1564"/>
      <c r="M17" s="480"/>
      <c r="N17" s="481" t="s">
        <v>367</v>
      </c>
      <c r="O17" s="482"/>
      <c r="P17" s="1565"/>
      <c r="Q17" s="1566"/>
      <c r="R17" s="1567"/>
      <c r="S17" s="468"/>
      <c r="T17" s="173"/>
      <c r="U17" s="173"/>
      <c r="V17" s="173"/>
      <c r="W17" s="173"/>
      <c r="X17" s="173"/>
      <c r="Y17" s="173"/>
      <c r="Z17" s="173"/>
      <c r="AA17" s="173"/>
      <c r="AD17" s="173"/>
      <c r="AE17" s="173"/>
      <c r="AF17" s="173"/>
      <c r="AG17" s="173"/>
      <c r="AK17" s="469"/>
      <c r="AL17" s="1568" t="s">
        <v>370</v>
      </c>
      <c r="AM17" s="1569"/>
      <c r="AN17" s="1570"/>
      <c r="AO17" s="483"/>
      <c r="AP17" s="483"/>
      <c r="AQ17" s="483"/>
      <c r="AR17" s="483"/>
      <c r="AS17" s="484">
        <f t="shared" si="2"/>
        <v>0</v>
      </c>
    </row>
    <row r="18" spans="2:45" ht="30" customHeight="1" thickTop="1">
      <c r="B18" s="1423" t="s">
        <v>267</v>
      </c>
      <c r="C18" s="1571"/>
      <c r="D18" s="1573"/>
      <c r="E18" s="1574"/>
      <c r="F18" s="1574"/>
      <c r="G18" s="1574"/>
      <c r="H18" s="1574"/>
      <c r="I18" s="1574"/>
      <c r="J18" s="1574"/>
      <c r="K18" s="1574"/>
      <c r="L18" s="1575"/>
      <c r="M18" s="485"/>
      <c r="N18" s="486"/>
      <c r="O18" s="1576"/>
      <c r="P18" s="1578"/>
      <c r="Q18" s="1579"/>
      <c r="R18" s="1580"/>
      <c r="S18" s="487"/>
      <c r="T18" s="173"/>
      <c r="U18" s="173"/>
      <c r="V18" s="173"/>
      <c r="W18" s="173"/>
      <c r="X18" s="173"/>
      <c r="Y18" s="173"/>
      <c r="Z18" s="173"/>
      <c r="AA18" s="173"/>
      <c r="AD18" s="173"/>
      <c r="AE18" s="173"/>
      <c r="AF18" s="173"/>
      <c r="AG18" s="173"/>
      <c r="AK18" s="1581" t="s">
        <v>267</v>
      </c>
      <c r="AL18" s="1582"/>
      <c r="AM18" s="1587">
        <f t="shared" ref="AM18:AM32" si="3">D18</f>
        <v>0</v>
      </c>
      <c r="AN18" s="1587"/>
      <c r="AO18" s="335">
        <f t="shared" ref="AO18:AO32" si="4">ROUND(M18*P18%,)</f>
        <v>0</v>
      </c>
      <c r="AP18" s="375">
        <f t="shared" ref="AP18:AP32" si="5">N18</f>
        <v>0</v>
      </c>
      <c r="AQ18" s="488"/>
      <c r="AR18" s="489" t="str">
        <f t="shared" ref="AR18:AR32" si="6">"円/"&amp;AP18</f>
        <v>円/0</v>
      </c>
      <c r="AS18" s="335">
        <f>ROUND(AO18*AQ18,)</f>
        <v>0</v>
      </c>
    </row>
    <row r="19" spans="2:45" ht="30" customHeight="1" collapsed="1" thickBot="1">
      <c r="B19" s="1425"/>
      <c r="C19" s="1572"/>
      <c r="D19" s="1588"/>
      <c r="E19" s="1589"/>
      <c r="F19" s="1589"/>
      <c r="G19" s="1589"/>
      <c r="H19" s="1589"/>
      <c r="I19" s="1589"/>
      <c r="J19" s="1589"/>
      <c r="K19" s="1589"/>
      <c r="L19" s="1590"/>
      <c r="M19" s="490"/>
      <c r="N19" s="491"/>
      <c r="O19" s="1577"/>
      <c r="P19" s="1591"/>
      <c r="Q19" s="1592"/>
      <c r="R19" s="1593"/>
      <c r="S19" s="487"/>
      <c r="T19" s="173"/>
      <c r="U19" s="173"/>
      <c r="V19" s="173"/>
      <c r="W19" s="173"/>
      <c r="X19" s="173"/>
      <c r="Y19" s="173"/>
      <c r="Z19" s="173"/>
      <c r="AA19" s="173"/>
      <c r="AD19" s="173"/>
      <c r="AE19" s="173"/>
      <c r="AF19" s="173"/>
      <c r="AG19" s="173"/>
      <c r="AK19" s="1583"/>
      <c r="AL19" s="1584"/>
      <c r="AM19" s="1587">
        <f t="shared" si="3"/>
        <v>0</v>
      </c>
      <c r="AN19" s="1587"/>
      <c r="AO19" s="335">
        <f t="shared" si="4"/>
        <v>0</v>
      </c>
      <c r="AP19" s="375">
        <f t="shared" si="5"/>
        <v>0</v>
      </c>
      <c r="AQ19" s="492"/>
      <c r="AR19" s="489" t="str">
        <f t="shared" si="6"/>
        <v>円/0</v>
      </c>
      <c r="AS19" s="335">
        <f t="shared" ref="AS19:AS32" si="7">ROUND(AO19*AQ19,)</f>
        <v>0</v>
      </c>
    </row>
    <row r="20" spans="2:45" ht="30" hidden="1" customHeight="1" outlineLevel="1">
      <c r="B20" s="1425"/>
      <c r="C20" s="1572"/>
      <c r="D20" s="1594"/>
      <c r="E20" s="1595"/>
      <c r="F20" s="1595"/>
      <c r="G20" s="1595"/>
      <c r="H20" s="1595"/>
      <c r="I20" s="1595"/>
      <c r="J20" s="1595"/>
      <c r="K20" s="1595"/>
      <c r="L20" s="1596"/>
      <c r="M20" s="493"/>
      <c r="N20" s="494"/>
      <c r="O20" s="1577"/>
      <c r="P20" s="1591"/>
      <c r="Q20" s="1592"/>
      <c r="R20" s="1593"/>
      <c r="S20" s="487"/>
      <c r="T20" s="173"/>
      <c r="U20" s="173"/>
      <c r="V20" s="173"/>
      <c r="W20" s="173"/>
      <c r="X20" s="173"/>
      <c r="Y20" s="173"/>
      <c r="Z20" s="173"/>
      <c r="AA20" s="173"/>
      <c r="AD20" s="173"/>
      <c r="AE20" s="173"/>
      <c r="AF20" s="173"/>
      <c r="AG20" s="173"/>
      <c r="AK20" s="1583"/>
      <c r="AL20" s="1584"/>
      <c r="AM20" s="1587">
        <f t="shared" si="3"/>
        <v>0</v>
      </c>
      <c r="AN20" s="1587"/>
      <c r="AO20" s="335">
        <f t="shared" si="4"/>
        <v>0</v>
      </c>
      <c r="AP20" s="375">
        <f t="shared" si="5"/>
        <v>0</v>
      </c>
      <c r="AQ20" s="492"/>
      <c r="AR20" s="489" t="str">
        <f t="shared" si="6"/>
        <v>円/0</v>
      </c>
      <c r="AS20" s="335">
        <f t="shared" si="7"/>
        <v>0</v>
      </c>
    </row>
    <row r="21" spans="2:45" ht="30" hidden="1" customHeight="1" outlineLevel="1">
      <c r="B21" s="1425"/>
      <c r="C21" s="1572"/>
      <c r="D21" s="1594"/>
      <c r="E21" s="1595"/>
      <c r="F21" s="1595"/>
      <c r="G21" s="1595"/>
      <c r="H21" s="1595"/>
      <c r="I21" s="1595"/>
      <c r="J21" s="1595"/>
      <c r="K21" s="1595"/>
      <c r="L21" s="1596"/>
      <c r="M21" s="493"/>
      <c r="N21" s="494"/>
      <c r="O21" s="1577"/>
      <c r="P21" s="1591"/>
      <c r="Q21" s="1592"/>
      <c r="R21" s="1593"/>
      <c r="S21" s="487"/>
      <c r="T21" s="173"/>
      <c r="U21" s="173"/>
      <c r="V21" s="173"/>
      <c r="W21" s="173"/>
      <c r="X21" s="173"/>
      <c r="Y21" s="173"/>
      <c r="Z21" s="173"/>
      <c r="AA21" s="173"/>
      <c r="AD21" s="173"/>
      <c r="AE21" s="173"/>
      <c r="AF21" s="173"/>
      <c r="AG21" s="173"/>
      <c r="AK21" s="1583"/>
      <c r="AL21" s="1584"/>
      <c r="AM21" s="1587">
        <f t="shared" si="3"/>
        <v>0</v>
      </c>
      <c r="AN21" s="1587"/>
      <c r="AO21" s="335">
        <f t="shared" si="4"/>
        <v>0</v>
      </c>
      <c r="AP21" s="375">
        <f t="shared" si="5"/>
        <v>0</v>
      </c>
      <c r="AQ21" s="492"/>
      <c r="AR21" s="489" t="str">
        <f t="shared" si="6"/>
        <v>円/0</v>
      </c>
      <c r="AS21" s="335">
        <f t="shared" si="7"/>
        <v>0</v>
      </c>
    </row>
    <row r="22" spans="2:45" ht="30" hidden="1" customHeight="1" outlineLevel="1">
      <c r="B22" s="1425"/>
      <c r="C22" s="1572"/>
      <c r="D22" s="1588"/>
      <c r="E22" s="1589"/>
      <c r="F22" s="1589"/>
      <c r="G22" s="1589"/>
      <c r="H22" s="1589"/>
      <c r="I22" s="1589"/>
      <c r="J22" s="1589"/>
      <c r="K22" s="1589"/>
      <c r="L22" s="1590"/>
      <c r="M22" s="490"/>
      <c r="N22" s="491"/>
      <c r="O22" s="1577"/>
      <c r="P22" s="1591"/>
      <c r="Q22" s="1592"/>
      <c r="R22" s="1593"/>
      <c r="S22" s="487"/>
      <c r="T22" s="173"/>
      <c r="U22" s="173"/>
      <c r="V22" s="173"/>
      <c r="W22" s="173"/>
      <c r="X22" s="173"/>
      <c r="Y22" s="173"/>
      <c r="Z22" s="173"/>
      <c r="AA22" s="173"/>
      <c r="AD22" s="173"/>
      <c r="AE22" s="173"/>
      <c r="AF22" s="173"/>
      <c r="AG22" s="173"/>
      <c r="AK22" s="1583"/>
      <c r="AL22" s="1584"/>
      <c r="AM22" s="1587">
        <f t="shared" si="3"/>
        <v>0</v>
      </c>
      <c r="AN22" s="1587"/>
      <c r="AO22" s="335">
        <f t="shared" si="4"/>
        <v>0</v>
      </c>
      <c r="AP22" s="375">
        <f t="shared" si="5"/>
        <v>0</v>
      </c>
      <c r="AQ22" s="492"/>
      <c r="AR22" s="489" t="str">
        <f t="shared" si="6"/>
        <v>円/0</v>
      </c>
      <c r="AS22" s="335">
        <f t="shared" si="7"/>
        <v>0</v>
      </c>
    </row>
    <row r="23" spans="2:45" ht="30" hidden="1" customHeight="1" outlineLevel="1">
      <c r="B23" s="1425"/>
      <c r="C23" s="1572"/>
      <c r="D23" s="1594"/>
      <c r="E23" s="1595"/>
      <c r="F23" s="1595"/>
      <c r="G23" s="1595"/>
      <c r="H23" s="1595"/>
      <c r="I23" s="1595"/>
      <c r="J23" s="1595"/>
      <c r="K23" s="1595"/>
      <c r="L23" s="1596"/>
      <c r="M23" s="493"/>
      <c r="N23" s="494"/>
      <c r="O23" s="1577"/>
      <c r="P23" s="1591"/>
      <c r="Q23" s="1592"/>
      <c r="R23" s="1593"/>
      <c r="S23" s="487"/>
      <c r="T23" s="173"/>
      <c r="U23" s="173"/>
      <c r="V23" s="173"/>
      <c r="W23" s="173"/>
      <c r="X23" s="173"/>
      <c r="Y23" s="173"/>
      <c r="Z23" s="173"/>
      <c r="AA23" s="173"/>
      <c r="AD23" s="173"/>
      <c r="AE23" s="173"/>
      <c r="AF23" s="173"/>
      <c r="AG23" s="173"/>
      <c r="AK23" s="1583"/>
      <c r="AL23" s="1584"/>
      <c r="AM23" s="1587">
        <f t="shared" si="3"/>
        <v>0</v>
      </c>
      <c r="AN23" s="1587"/>
      <c r="AO23" s="335">
        <f t="shared" si="4"/>
        <v>0</v>
      </c>
      <c r="AP23" s="375">
        <f t="shared" si="5"/>
        <v>0</v>
      </c>
      <c r="AQ23" s="492"/>
      <c r="AR23" s="489" t="str">
        <f t="shared" si="6"/>
        <v>円/0</v>
      </c>
      <c r="AS23" s="335">
        <f t="shared" si="7"/>
        <v>0</v>
      </c>
    </row>
    <row r="24" spans="2:45" ht="30" hidden="1" customHeight="1" outlineLevel="1">
      <c r="B24" s="1425"/>
      <c r="C24" s="1572"/>
      <c r="D24" s="1588"/>
      <c r="E24" s="1589"/>
      <c r="F24" s="1589"/>
      <c r="G24" s="1589"/>
      <c r="H24" s="1589"/>
      <c r="I24" s="1589"/>
      <c r="J24" s="1589"/>
      <c r="K24" s="1589"/>
      <c r="L24" s="1590"/>
      <c r="M24" s="490"/>
      <c r="N24" s="491"/>
      <c r="O24" s="1577"/>
      <c r="P24" s="1591"/>
      <c r="Q24" s="1592"/>
      <c r="R24" s="1593"/>
      <c r="S24" s="487"/>
      <c r="T24" s="173"/>
      <c r="U24" s="173"/>
      <c r="V24" s="173"/>
      <c r="W24" s="173"/>
      <c r="X24" s="173"/>
      <c r="Y24" s="173"/>
      <c r="Z24" s="173"/>
      <c r="AA24" s="173"/>
      <c r="AD24" s="173"/>
      <c r="AE24" s="173"/>
      <c r="AF24" s="173"/>
      <c r="AG24" s="173"/>
      <c r="AK24" s="1583"/>
      <c r="AL24" s="1584"/>
      <c r="AM24" s="1587">
        <f t="shared" si="3"/>
        <v>0</v>
      </c>
      <c r="AN24" s="1587"/>
      <c r="AO24" s="335">
        <f t="shared" si="4"/>
        <v>0</v>
      </c>
      <c r="AP24" s="375">
        <f t="shared" si="5"/>
        <v>0</v>
      </c>
      <c r="AQ24" s="492"/>
      <c r="AR24" s="489" t="str">
        <f t="shared" si="6"/>
        <v>円/0</v>
      </c>
      <c r="AS24" s="335">
        <f t="shared" si="7"/>
        <v>0</v>
      </c>
    </row>
    <row r="25" spans="2:45" ht="30" hidden="1" customHeight="1" outlineLevel="1">
      <c r="B25" s="1425"/>
      <c r="C25" s="1572"/>
      <c r="D25" s="1594"/>
      <c r="E25" s="1595"/>
      <c r="F25" s="1595"/>
      <c r="G25" s="1595"/>
      <c r="H25" s="1595"/>
      <c r="I25" s="1595"/>
      <c r="J25" s="1595"/>
      <c r="K25" s="1595"/>
      <c r="L25" s="1596"/>
      <c r="M25" s="493"/>
      <c r="N25" s="494"/>
      <c r="O25" s="1577"/>
      <c r="P25" s="1591"/>
      <c r="Q25" s="1592"/>
      <c r="R25" s="1593"/>
      <c r="S25" s="487"/>
      <c r="T25" s="173"/>
      <c r="U25" s="173"/>
      <c r="V25" s="173"/>
      <c r="W25" s="173"/>
      <c r="X25" s="173"/>
      <c r="Y25" s="173"/>
      <c r="Z25" s="173"/>
      <c r="AA25" s="173"/>
      <c r="AD25" s="173"/>
      <c r="AE25" s="173"/>
      <c r="AF25" s="173"/>
      <c r="AG25" s="173"/>
      <c r="AK25" s="1583"/>
      <c r="AL25" s="1584"/>
      <c r="AM25" s="1587">
        <f t="shared" si="3"/>
        <v>0</v>
      </c>
      <c r="AN25" s="1587"/>
      <c r="AO25" s="335">
        <f t="shared" si="4"/>
        <v>0</v>
      </c>
      <c r="AP25" s="375">
        <f t="shared" si="5"/>
        <v>0</v>
      </c>
      <c r="AQ25" s="492"/>
      <c r="AR25" s="489" t="str">
        <f t="shared" si="6"/>
        <v>円/0</v>
      </c>
      <c r="AS25" s="335">
        <f t="shared" si="7"/>
        <v>0</v>
      </c>
    </row>
    <row r="26" spans="2:45" ht="30" hidden="1" customHeight="1" outlineLevel="1">
      <c r="B26" s="1425"/>
      <c r="C26" s="1572"/>
      <c r="D26" s="1594"/>
      <c r="E26" s="1595"/>
      <c r="F26" s="1595"/>
      <c r="G26" s="1595"/>
      <c r="H26" s="1595"/>
      <c r="I26" s="1595"/>
      <c r="J26" s="1595"/>
      <c r="K26" s="1595"/>
      <c r="L26" s="1596"/>
      <c r="M26" s="493"/>
      <c r="N26" s="494"/>
      <c r="O26" s="1577"/>
      <c r="P26" s="1591"/>
      <c r="Q26" s="1592"/>
      <c r="R26" s="1593"/>
      <c r="S26" s="487"/>
      <c r="T26" s="173"/>
      <c r="U26" s="173"/>
      <c r="V26" s="173"/>
      <c r="W26" s="173"/>
      <c r="X26" s="173"/>
      <c r="Y26" s="173"/>
      <c r="Z26" s="173"/>
      <c r="AA26" s="173"/>
      <c r="AD26" s="173"/>
      <c r="AE26" s="173"/>
      <c r="AF26" s="173"/>
      <c r="AG26" s="173"/>
      <c r="AK26" s="1583"/>
      <c r="AL26" s="1584"/>
      <c r="AM26" s="1587">
        <f t="shared" si="3"/>
        <v>0</v>
      </c>
      <c r="AN26" s="1587"/>
      <c r="AO26" s="335">
        <f t="shared" si="4"/>
        <v>0</v>
      </c>
      <c r="AP26" s="375">
        <f t="shared" si="5"/>
        <v>0</v>
      </c>
      <c r="AQ26" s="492"/>
      <c r="AR26" s="489" t="str">
        <f t="shared" si="6"/>
        <v>円/0</v>
      </c>
      <c r="AS26" s="335">
        <f t="shared" si="7"/>
        <v>0</v>
      </c>
    </row>
    <row r="27" spans="2:45" ht="30" hidden="1" customHeight="1" outlineLevel="1">
      <c r="B27" s="1425"/>
      <c r="C27" s="1572"/>
      <c r="D27" s="1594"/>
      <c r="E27" s="1595"/>
      <c r="F27" s="1595"/>
      <c r="G27" s="1595"/>
      <c r="H27" s="1595"/>
      <c r="I27" s="1595"/>
      <c r="J27" s="1595"/>
      <c r="K27" s="1595"/>
      <c r="L27" s="1596"/>
      <c r="M27" s="493"/>
      <c r="N27" s="494"/>
      <c r="O27" s="1577"/>
      <c r="P27" s="1591"/>
      <c r="Q27" s="1592"/>
      <c r="R27" s="1593"/>
      <c r="S27" s="487"/>
      <c r="T27" s="173"/>
      <c r="U27" s="173"/>
      <c r="V27" s="173"/>
      <c r="W27" s="173"/>
      <c r="X27" s="173"/>
      <c r="Y27" s="173"/>
      <c r="Z27" s="173"/>
      <c r="AA27" s="173"/>
      <c r="AD27" s="173"/>
      <c r="AE27" s="173"/>
      <c r="AF27" s="173"/>
      <c r="AG27" s="173"/>
      <c r="AK27" s="1583"/>
      <c r="AL27" s="1584"/>
      <c r="AM27" s="1587">
        <f t="shared" si="3"/>
        <v>0</v>
      </c>
      <c r="AN27" s="1587"/>
      <c r="AO27" s="335">
        <f t="shared" si="4"/>
        <v>0</v>
      </c>
      <c r="AP27" s="375">
        <f t="shared" si="5"/>
        <v>0</v>
      </c>
      <c r="AQ27" s="492"/>
      <c r="AR27" s="489" t="str">
        <f t="shared" si="6"/>
        <v>円/0</v>
      </c>
      <c r="AS27" s="335">
        <f t="shared" si="7"/>
        <v>0</v>
      </c>
    </row>
    <row r="28" spans="2:45" ht="30" hidden="1" customHeight="1" outlineLevel="1">
      <c r="B28" s="1425"/>
      <c r="C28" s="1572"/>
      <c r="D28" s="1594"/>
      <c r="E28" s="1595"/>
      <c r="F28" s="1595"/>
      <c r="G28" s="1595"/>
      <c r="H28" s="1595"/>
      <c r="I28" s="1595"/>
      <c r="J28" s="1595"/>
      <c r="K28" s="1595"/>
      <c r="L28" s="1596"/>
      <c r="M28" s="493"/>
      <c r="N28" s="494"/>
      <c r="O28" s="1577"/>
      <c r="P28" s="1591"/>
      <c r="Q28" s="1592"/>
      <c r="R28" s="1593"/>
      <c r="S28" s="487"/>
      <c r="T28" s="173"/>
      <c r="U28" s="173"/>
      <c r="V28" s="173"/>
      <c r="W28" s="173"/>
      <c r="X28" s="173"/>
      <c r="Y28" s="173"/>
      <c r="Z28" s="173"/>
      <c r="AA28" s="173"/>
      <c r="AD28" s="173"/>
      <c r="AE28" s="173"/>
      <c r="AF28" s="173"/>
      <c r="AG28" s="173"/>
      <c r="AK28" s="1583"/>
      <c r="AL28" s="1584"/>
      <c r="AM28" s="1587">
        <f t="shared" si="3"/>
        <v>0</v>
      </c>
      <c r="AN28" s="1587"/>
      <c r="AO28" s="335">
        <f t="shared" si="4"/>
        <v>0</v>
      </c>
      <c r="AP28" s="375">
        <f t="shared" si="5"/>
        <v>0</v>
      </c>
      <c r="AQ28" s="492"/>
      <c r="AR28" s="489" t="str">
        <f t="shared" si="6"/>
        <v>円/0</v>
      </c>
      <c r="AS28" s="335">
        <f t="shared" si="7"/>
        <v>0</v>
      </c>
    </row>
    <row r="29" spans="2:45" ht="30" hidden="1" customHeight="1" outlineLevel="1">
      <c r="B29" s="1425"/>
      <c r="C29" s="1572"/>
      <c r="D29" s="1588"/>
      <c r="E29" s="1589"/>
      <c r="F29" s="1589"/>
      <c r="G29" s="1589"/>
      <c r="H29" s="1589"/>
      <c r="I29" s="1589"/>
      <c r="J29" s="1589"/>
      <c r="K29" s="1589"/>
      <c r="L29" s="1590"/>
      <c r="M29" s="490"/>
      <c r="N29" s="491"/>
      <c r="O29" s="1577"/>
      <c r="P29" s="1591"/>
      <c r="Q29" s="1592"/>
      <c r="R29" s="1593"/>
      <c r="S29" s="487"/>
      <c r="T29" s="173"/>
      <c r="U29" s="173"/>
      <c r="V29" s="173"/>
      <c r="W29" s="173"/>
      <c r="X29" s="173"/>
      <c r="Y29" s="173"/>
      <c r="Z29" s="173"/>
      <c r="AA29" s="173"/>
      <c r="AD29" s="173"/>
      <c r="AE29" s="173"/>
      <c r="AF29" s="173"/>
      <c r="AG29" s="173"/>
      <c r="AK29" s="1583"/>
      <c r="AL29" s="1584"/>
      <c r="AM29" s="1587">
        <f t="shared" si="3"/>
        <v>0</v>
      </c>
      <c r="AN29" s="1587"/>
      <c r="AO29" s="335">
        <f t="shared" si="4"/>
        <v>0</v>
      </c>
      <c r="AP29" s="375">
        <f t="shared" si="5"/>
        <v>0</v>
      </c>
      <c r="AQ29" s="492"/>
      <c r="AR29" s="489" t="str">
        <f t="shared" si="6"/>
        <v>円/0</v>
      </c>
      <c r="AS29" s="335">
        <f t="shared" si="7"/>
        <v>0</v>
      </c>
    </row>
    <row r="30" spans="2:45" ht="30" hidden="1" customHeight="1" outlineLevel="1">
      <c r="B30" s="1425"/>
      <c r="C30" s="1572"/>
      <c r="D30" s="1594"/>
      <c r="E30" s="1595"/>
      <c r="F30" s="1595"/>
      <c r="G30" s="1595"/>
      <c r="H30" s="1595"/>
      <c r="I30" s="1595"/>
      <c r="J30" s="1595"/>
      <c r="K30" s="1595"/>
      <c r="L30" s="1596"/>
      <c r="M30" s="493"/>
      <c r="N30" s="494"/>
      <c r="O30" s="1577"/>
      <c r="P30" s="1591"/>
      <c r="Q30" s="1592"/>
      <c r="R30" s="1593"/>
      <c r="S30" s="487"/>
      <c r="T30" s="173"/>
      <c r="U30" s="173"/>
      <c r="V30" s="173"/>
      <c r="W30" s="173"/>
      <c r="X30" s="173"/>
      <c r="Y30" s="173"/>
      <c r="Z30" s="173"/>
      <c r="AA30" s="173"/>
      <c r="AD30" s="173"/>
      <c r="AE30" s="173"/>
      <c r="AF30" s="173"/>
      <c r="AG30" s="173"/>
      <c r="AK30" s="1583"/>
      <c r="AL30" s="1584"/>
      <c r="AM30" s="1587">
        <f t="shared" si="3"/>
        <v>0</v>
      </c>
      <c r="AN30" s="1587"/>
      <c r="AO30" s="335">
        <f t="shared" si="4"/>
        <v>0</v>
      </c>
      <c r="AP30" s="375">
        <f t="shared" si="5"/>
        <v>0</v>
      </c>
      <c r="AQ30" s="492"/>
      <c r="AR30" s="489" t="str">
        <f t="shared" si="6"/>
        <v>円/0</v>
      </c>
      <c r="AS30" s="335">
        <f t="shared" si="7"/>
        <v>0</v>
      </c>
    </row>
    <row r="31" spans="2:45" ht="30" hidden="1" customHeight="1" outlineLevel="1">
      <c r="B31" s="1425"/>
      <c r="C31" s="1572"/>
      <c r="D31" s="1594"/>
      <c r="E31" s="1595"/>
      <c r="F31" s="1595"/>
      <c r="G31" s="1595"/>
      <c r="H31" s="1595"/>
      <c r="I31" s="1595"/>
      <c r="J31" s="1595"/>
      <c r="K31" s="1595"/>
      <c r="L31" s="1596"/>
      <c r="M31" s="493"/>
      <c r="N31" s="494"/>
      <c r="O31" s="1577"/>
      <c r="P31" s="1591"/>
      <c r="Q31" s="1592"/>
      <c r="R31" s="1593"/>
      <c r="S31" s="487"/>
      <c r="T31" s="173"/>
      <c r="U31" s="173"/>
      <c r="V31" s="173"/>
      <c r="W31" s="173"/>
      <c r="X31" s="173"/>
      <c r="Y31" s="173"/>
      <c r="Z31" s="173"/>
      <c r="AA31" s="173"/>
      <c r="AD31" s="173"/>
      <c r="AE31" s="173"/>
      <c r="AF31" s="173"/>
      <c r="AG31" s="173"/>
      <c r="AK31" s="1583"/>
      <c r="AL31" s="1584"/>
      <c r="AM31" s="1587">
        <f t="shared" si="3"/>
        <v>0</v>
      </c>
      <c r="AN31" s="1587"/>
      <c r="AO31" s="335">
        <f t="shared" si="4"/>
        <v>0</v>
      </c>
      <c r="AP31" s="375">
        <f t="shared" si="5"/>
        <v>0</v>
      </c>
      <c r="AQ31" s="492"/>
      <c r="AR31" s="489" t="str">
        <f t="shared" si="6"/>
        <v>円/0</v>
      </c>
      <c r="AS31" s="335">
        <f t="shared" si="7"/>
        <v>0</v>
      </c>
    </row>
    <row r="32" spans="2:45" ht="30" hidden="1" customHeight="1" outlineLevel="1" thickBot="1">
      <c r="B32" s="1425"/>
      <c r="C32" s="1572"/>
      <c r="D32" s="1597"/>
      <c r="E32" s="1598"/>
      <c r="F32" s="1598"/>
      <c r="G32" s="1598"/>
      <c r="H32" s="1598"/>
      <c r="I32" s="1598"/>
      <c r="J32" s="1598"/>
      <c r="K32" s="1598"/>
      <c r="L32" s="1599"/>
      <c r="M32" s="495"/>
      <c r="N32" s="496"/>
      <c r="O32" s="1577"/>
      <c r="P32" s="1600"/>
      <c r="Q32" s="1601"/>
      <c r="R32" s="1602"/>
      <c r="S32" s="487"/>
      <c r="T32" s="173"/>
      <c r="U32" s="173"/>
      <c r="V32" s="173"/>
      <c r="W32" s="173"/>
      <c r="X32" s="173"/>
      <c r="Y32" s="173"/>
      <c r="Z32" s="173"/>
      <c r="AA32" s="173"/>
      <c r="AD32" s="173"/>
      <c r="AE32" s="173"/>
      <c r="AF32" s="173"/>
      <c r="AG32" s="173"/>
      <c r="AK32" s="1585"/>
      <c r="AL32" s="1586"/>
      <c r="AM32" s="1587">
        <f t="shared" si="3"/>
        <v>0</v>
      </c>
      <c r="AN32" s="1587"/>
      <c r="AO32" s="335">
        <f t="shared" si="4"/>
        <v>0</v>
      </c>
      <c r="AP32" s="375">
        <f t="shared" si="5"/>
        <v>0</v>
      </c>
      <c r="AQ32" s="497"/>
      <c r="AR32" s="489" t="str">
        <f t="shared" si="6"/>
        <v>円/0</v>
      </c>
      <c r="AS32" s="335">
        <f t="shared" si="7"/>
        <v>0</v>
      </c>
    </row>
    <row r="33" spans="1:58" ht="30" customHeight="1" thickTop="1">
      <c r="B33" s="380"/>
      <c r="C33" s="380"/>
      <c r="D33" s="381"/>
      <c r="E33" s="381"/>
      <c r="F33" s="381"/>
      <c r="G33" s="381"/>
      <c r="H33" s="381"/>
      <c r="I33" s="381"/>
      <c r="J33" s="381"/>
      <c r="K33" s="381"/>
      <c r="L33" s="381"/>
      <c r="M33" s="381"/>
      <c r="N33" s="381"/>
      <c r="O33" s="380"/>
      <c r="P33" s="381"/>
      <c r="Q33" s="381"/>
      <c r="R33" s="381"/>
      <c r="AK33" s="1526" t="s">
        <v>371</v>
      </c>
      <c r="AL33" s="1526"/>
      <c r="AM33" s="1507"/>
      <c r="AN33" s="1507"/>
      <c r="AO33" s="462"/>
      <c r="AP33" s="462"/>
      <c r="AQ33" s="498"/>
      <c r="AR33" s="462"/>
      <c r="AS33" s="335">
        <f>SUM(AS18:AS32)</f>
        <v>0</v>
      </c>
      <c r="AT33" s="2"/>
      <c r="AU33" s="2"/>
      <c r="AV33" s="2"/>
      <c r="AW33" s="2"/>
      <c r="AX33" s="2"/>
      <c r="AY33" s="2"/>
      <c r="AZ33" s="2"/>
      <c r="BA33" s="2"/>
      <c r="BB33" s="2"/>
      <c r="BC33" s="2"/>
      <c r="BD33" s="2"/>
      <c r="BE33" s="2"/>
      <c r="BF33" s="2"/>
    </row>
    <row r="34" spans="1:58" ht="30" customHeight="1">
      <c r="AT34" s="2"/>
      <c r="AU34" s="2"/>
      <c r="AV34" s="2"/>
      <c r="AW34" s="2"/>
      <c r="AX34" s="2"/>
      <c r="AY34" s="2"/>
      <c r="AZ34" s="2"/>
      <c r="BA34" s="2"/>
      <c r="BB34" s="2"/>
      <c r="BC34" s="2"/>
      <c r="BD34" s="2"/>
      <c r="BE34" s="2"/>
      <c r="BF34" s="2"/>
    </row>
    <row r="35" spans="1:58" ht="14.25" customHeight="1">
      <c r="AD35" s="173"/>
      <c r="AE35" s="173"/>
      <c r="AF35" s="173"/>
      <c r="AG35" s="173"/>
      <c r="AK35" s="2" t="s">
        <v>372</v>
      </c>
    </row>
    <row r="36" spans="1:58" ht="32.25" customHeight="1">
      <c r="AD36" s="173"/>
      <c r="AE36" s="173"/>
      <c r="AF36" s="173"/>
      <c r="AG36" s="173"/>
    </row>
    <row r="37" spans="1:58" s="30" customFormat="1" ht="14.25" customHeight="1">
      <c r="A37" s="2"/>
      <c r="B37" s="108" t="s">
        <v>373</v>
      </c>
      <c r="C37" s="58"/>
      <c r="D37" s="58"/>
      <c r="E37" s="58"/>
      <c r="F37" s="58"/>
      <c r="G37" s="58"/>
      <c r="H37" s="58"/>
      <c r="I37" s="58"/>
      <c r="J37" s="58"/>
      <c r="K37" s="58"/>
      <c r="L37" s="58"/>
      <c r="M37" s="58"/>
      <c r="N37" s="58"/>
      <c r="O37" s="58"/>
      <c r="W37" s="2"/>
      <c r="X37" s="2"/>
      <c r="Y37" s="2"/>
      <c r="Z37" s="2"/>
      <c r="AA37" s="2"/>
      <c r="AB37" s="2"/>
      <c r="AC37" s="2"/>
      <c r="AD37" s="184"/>
      <c r="AE37" s="184"/>
      <c r="AF37" s="184"/>
      <c r="AG37" s="184"/>
      <c r="AK37" s="108" t="s">
        <v>373</v>
      </c>
      <c r="AL37" s="108"/>
      <c r="AM37" s="108"/>
      <c r="AN37" s="146"/>
      <c r="AO37" s="146"/>
      <c r="AQ37" s="146"/>
      <c r="AS37" s="146"/>
      <c r="AT37" s="146"/>
      <c r="AU37" s="146"/>
      <c r="AV37" s="146"/>
      <c r="AW37" s="146"/>
      <c r="AX37" s="146"/>
      <c r="AY37" s="146"/>
      <c r="AZ37" s="146"/>
      <c r="BA37" s="146"/>
      <c r="BB37" s="146"/>
      <c r="BC37" s="146"/>
      <c r="BD37" s="146"/>
      <c r="BE37" s="146"/>
      <c r="BF37" s="146"/>
    </row>
    <row r="38" spans="1:58" s="30" customFormat="1" ht="14.25" customHeight="1">
      <c r="A38" s="68"/>
      <c r="B38" s="1603" t="s">
        <v>374</v>
      </c>
      <c r="C38" s="1603"/>
      <c r="D38" s="1603"/>
      <c r="E38" s="1603"/>
      <c r="F38" s="1603"/>
      <c r="G38" s="1603"/>
      <c r="H38" s="1603"/>
      <c r="I38" s="1603"/>
      <c r="J38" s="1603"/>
      <c r="K38" s="1603"/>
      <c r="L38" s="1603"/>
      <c r="M38" s="1603"/>
      <c r="N38" s="1603"/>
      <c r="O38" s="1603"/>
      <c r="P38" s="1603"/>
      <c r="Q38" s="1603"/>
      <c r="R38" s="1603"/>
      <c r="S38" s="1603"/>
      <c r="T38" s="1603"/>
      <c r="U38" s="1603"/>
      <c r="V38" s="1603"/>
      <c r="W38" s="1603"/>
      <c r="X38" s="1603"/>
      <c r="Y38" s="1603"/>
      <c r="AB38" s="2"/>
      <c r="AC38" s="2"/>
      <c r="AD38" s="184"/>
      <c r="AE38" s="184"/>
      <c r="AF38" s="184"/>
      <c r="AG38" s="184"/>
      <c r="AK38" s="146"/>
      <c r="AL38" s="146"/>
      <c r="AM38" s="146"/>
      <c r="AN38" s="146"/>
      <c r="AO38" s="146"/>
      <c r="AQ38" s="146"/>
      <c r="AS38" s="146"/>
      <c r="AT38" s="146"/>
      <c r="AU38" s="146"/>
      <c r="AV38" s="146"/>
      <c r="AW38" s="146"/>
      <c r="AX38" s="146"/>
      <c r="AY38" s="146"/>
      <c r="AZ38" s="146"/>
      <c r="BA38" s="146"/>
      <c r="BB38" s="146"/>
      <c r="BC38" s="146"/>
      <c r="BD38" s="146"/>
      <c r="BE38" s="146"/>
      <c r="BF38" s="146"/>
    </row>
    <row r="39" spans="1:58" s="30" customFormat="1" ht="14.25" customHeight="1">
      <c r="A39" s="68"/>
      <c r="B39" s="1603"/>
      <c r="C39" s="1603"/>
      <c r="D39" s="1603"/>
      <c r="E39" s="1603"/>
      <c r="F39" s="1603"/>
      <c r="G39" s="1603"/>
      <c r="H39" s="1603"/>
      <c r="I39" s="1603"/>
      <c r="J39" s="1603"/>
      <c r="K39" s="1603"/>
      <c r="L39" s="1603"/>
      <c r="M39" s="1603"/>
      <c r="N39" s="1603"/>
      <c r="O39" s="1603"/>
      <c r="P39" s="1603"/>
      <c r="Q39" s="1603"/>
      <c r="R39" s="1603"/>
      <c r="S39" s="1603"/>
      <c r="T39" s="1603"/>
      <c r="U39" s="1603"/>
      <c r="V39" s="1603"/>
      <c r="W39" s="1603"/>
      <c r="X39" s="1603"/>
      <c r="Y39" s="1603"/>
      <c r="AB39" s="2"/>
      <c r="AC39" s="2"/>
      <c r="AK39" s="146"/>
      <c r="AL39" s="146"/>
      <c r="AM39" s="146"/>
      <c r="AN39" s="146"/>
      <c r="AO39" s="146"/>
      <c r="AP39" s="2"/>
      <c r="AQ39" s="146"/>
      <c r="AR39" s="2"/>
      <c r="AS39" s="146"/>
      <c r="AT39" s="146"/>
      <c r="AU39" s="146"/>
      <c r="AV39" s="146"/>
      <c r="AW39" s="146"/>
      <c r="AX39" s="146"/>
      <c r="AY39" s="146"/>
      <c r="AZ39" s="146"/>
      <c r="BA39" s="146"/>
      <c r="BB39" s="146"/>
      <c r="BC39" s="146"/>
      <c r="BD39" s="146"/>
      <c r="BE39" s="146"/>
      <c r="BF39" s="146"/>
    </row>
    <row r="40" spans="1:58" ht="14.25" customHeight="1">
      <c r="A40" s="68"/>
      <c r="B40" s="1603"/>
      <c r="C40" s="1603"/>
      <c r="D40" s="1603"/>
      <c r="E40" s="1603"/>
      <c r="F40" s="1603"/>
      <c r="G40" s="1603"/>
      <c r="H40" s="1603"/>
      <c r="I40" s="1603"/>
      <c r="J40" s="1603"/>
      <c r="K40" s="1603"/>
      <c r="L40" s="1603"/>
      <c r="M40" s="1603"/>
      <c r="N40" s="1603"/>
      <c r="O40" s="1603"/>
      <c r="P40" s="1603"/>
      <c r="Q40" s="1603"/>
      <c r="R40" s="1603"/>
      <c r="S40" s="1603"/>
      <c r="T40" s="1603"/>
      <c r="U40" s="1603"/>
      <c r="V40" s="1603"/>
      <c r="W40" s="1603"/>
      <c r="X40" s="1603"/>
      <c r="Y40" s="1603"/>
      <c r="Z40" s="30"/>
      <c r="AA40" s="30"/>
    </row>
    <row r="41" spans="1:58" ht="14.25" customHeight="1" thickBot="1">
      <c r="A41" s="68"/>
      <c r="B41" s="1603"/>
      <c r="C41" s="1603"/>
      <c r="D41" s="1603"/>
      <c r="E41" s="1603"/>
      <c r="F41" s="1603"/>
      <c r="G41" s="1603"/>
      <c r="H41" s="1603"/>
      <c r="I41" s="1603"/>
      <c r="J41" s="1603"/>
      <c r="K41" s="1603"/>
      <c r="L41" s="1603"/>
      <c r="M41" s="1603"/>
      <c r="N41" s="1603"/>
      <c r="O41" s="1603"/>
      <c r="P41" s="1603"/>
      <c r="Q41" s="1603"/>
      <c r="R41" s="1603"/>
      <c r="S41" s="1603"/>
      <c r="T41" s="1603"/>
      <c r="U41" s="1603"/>
      <c r="V41" s="1603"/>
      <c r="W41" s="1603"/>
      <c r="X41" s="1603"/>
      <c r="Y41" s="1603"/>
      <c r="Z41" s="30"/>
      <c r="AA41" s="30"/>
      <c r="AK41" s="146" t="s">
        <v>265</v>
      </c>
      <c r="AL41" s="146"/>
      <c r="AM41" s="146"/>
      <c r="AN41" s="146"/>
      <c r="AO41" s="146"/>
      <c r="AQ41" s="146"/>
      <c r="AS41" s="146"/>
    </row>
    <row r="42" spans="1:58" ht="14.25" customHeight="1">
      <c r="A42" s="323"/>
      <c r="B42" s="1236" t="s">
        <v>287</v>
      </c>
      <c r="C42" s="1237"/>
      <c r="D42" s="1237"/>
      <c r="E42" s="1237"/>
      <c r="F42" s="1237"/>
      <c r="G42" s="1237"/>
      <c r="H42" s="1237"/>
      <c r="I42" s="1237"/>
      <c r="J42" s="1237"/>
      <c r="K42" s="1237"/>
      <c r="L42" s="1260"/>
      <c r="M42" s="1432" t="s">
        <v>347</v>
      </c>
      <c r="N42" s="458"/>
      <c r="O42" s="1453" t="s">
        <v>348</v>
      </c>
      <c r="P42" s="1175" t="s">
        <v>331</v>
      </c>
      <c r="Q42" s="1541"/>
      <c r="R42" s="1542"/>
      <c r="W42" s="30"/>
      <c r="X42" s="30"/>
      <c r="Y42" s="30"/>
      <c r="Z42" s="30"/>
      <c r="AA42" s="30"/>
      <c r="AK42" s="1507" t="s">
        <v>287</v>
      </c>
      <c r="AL42" s="1507"/>
      <c r="AM42" s="1507"/>
      <c r="AN42" s="1507"/>
      <c r="AO42" s="1518" t="s">
        <v>347</v>
      </c>
      <c r="AP42" s="1519"/>
      <c r="AQ42" s="1518" t="s">
        <v>266</v>
      </c>
      <c r="AR42" s="1519"/>
      <c r="AS42" s="1524" t="s">
        <v>277</v>
      </c>
    </row>
    <row r="43" spans="1:58" ht="13.5" customHeight="1">
      <c r="A43" s="323"/>
      <c r="B43" s="1405"/>
      <c r="C43" s="1406"/>
      <c r="D43" s="1406"/>
      <c r="E43" s="1406"/>
      <c r="F43" s="1406"/>
      <c r="G43" s="1406"/>
      <c r="H43" s="1406"/>
      <c r="I43" s="1406"/>
      <c r="J43" s="1406"/>
      <c r="K43" s="1406"/>
      <c r="L43" s="1407"/>
      <c r="M43" s="1433"/>
      <c r="N43" s="1527" t="s">
        <v>162</v>
      </c>
      <c r="O43" s="1454"/>
      <c r="P43" s="1543"/>
      <c r="Q43" s="1544"/>
      <c r="R43" s="1545"/>
      <c r="AK43" s="1507"/>
      <c r="AL43" s="1507"/>
      <c r="AM43" s="1507"/>
      <c r="AN43" s="1507"/>
      <c r="AO43" s="1520"/>
      <c r="AP43" s="1521"/>
      <c r="AQ43" s="1520"/>
      <c r="AR43" s="1521"/>
      <c r="AS43" s="1525"/>
    </row>
    <row r="44" spans="1:58" ht="18" customHeight="1" thickBot="1">
      <c r="B44" s="1239"/>
      <c r="C44" s="1240"/>
      <c r="D44" s="1240"/>
      <c r="E44" s="1240"/>
      <c r="F44" s="1240"/>
      <c r="G44" s="1240"/>
      <c r="H44" s="1240"/>
      <c r="I44" s="1240"/>
      <c r="J44" s="1240"/>
      <c r="K44" s="1240"/>
      <c r="L44" s="1392"/>
      <c r="M44" s="1539"/>
      <c r="N44" s="1528"/>
      <c r="O44" s="1454"/>
      <c r="P44" s="1546"/>
      <c r="Q44" s="1544"/>
      <c r="R44" s="1545"/>
      <c r="S44" s="173"/>
      <c r="T44" s="173"/>
      <c r="U44" s="173"/>
      <c r="V44" s="173"/>
      <c r="W44" s="173"/>
      <c r="X44" s="173"/>
      <c r="AK44" s="1507"/>
      <c r="AL44" s="1507"/>
      <c r="AM44" s="1507"/>
      <c r="AN44" s="1507"/>
      <c r="AO44" s="1522"/>
      <c r="AP44" s="1523"/>
      <c r="AQ44" s="1522"/>
      <c r="AR44" s="1523"/>
      <c r="AS44" s="1526"/>
    </row>
    <row r="45" spans="1:58" ht="30" customHeight="1" thickTop="1" thickBot="1">
      <c r="B45" s="1529" t="s">
        <v>350</v>
      </c>
      <c r="C45" s="1530"/>
      <c r="D45" s="1530"/>
      <c r="E45" s="1530"/>
      <c r="F45" s="1530"/>
      <c r="G45" s="1530"/>
      <c r="H45" s="1530"/>
      <c r="I45" s="1530"/>
      <c r="J45" s="1530"/>
      <c r="K45" s="1530"/>
      <c r="L45" s="1531"/>
      <c r="M45" s="459"/>
      <c r="N45" s="460" t="s">
        <v>375</v>
      </c>
      <c r="O45" s="499"/>
      <c r="P45" s="1532"/>
      <c r="Q45" s="1533"/>
      <c r="R45" s="1534"/>
      <c r="S45" s="173"/>
      <c r="T45" s="173"/>
      <c r="U45" s="173"/>
      <c r="V45" s="173"/>
      <c r="W45" s="173"/>
      <c r="X45" s="173"/>
      <c r="AK45" s="1507" t="s">
        <v>376</v>
      </c>
      <c r="AL45" s="1507"/>
      <c r="AM45" s="1507"/>
      <c r="AN45" s="1507"/>
      <c r="AO45" s="462"/>
      <c r="AP45" s="462"/>
      <c r="AQ45" s="462"/>
      <c r="AR45" s="462"/>
      <c r="AS45" s="335">
        <f>IF(O45&gt;0,ROUND(O45*P45%,),SUM(AS46:AS47))</f>
        <v>0</v>
      </c>
    </row>
    <row r="46" spans="1:58" ht="30" customHeight="1" thickTop="1">
      <c r="B46" s="500"/>
      <c r="C46" s="1604" t="s">
        <v>377</v>
      </c>
      <c r="D46" s="1605"/>
      <c r="E46" s="1605"/>
      <c r="F46" s="1605"/>
      <c r="G46" s="1605"/>
      <c r="H46" s="1605"/>
      <c r="I46" s="1605"/>
      <c r="J46" s="1605"/>
      <c r="K46" s="1605"/>
      <c r="L46" s="1605"/>
      <c r="M46" s="403"/>
      <c r="N46" s="501" t="s">
        <v>322</v>
      </c>
      <c r="O46" s="502"/>
      <c r="P46" s="1606"/>
      <c r="Q46" s="1606"/>
      <c r="R46" s="1607"/>
      <c r="S46" s="468"/>
      <c r="T46" s="173"/>
      <c r="U46" s="173"/>
      <c r="V46" s="173"/>
      <c r="W46" s="173"/>
      <c r="X46" s="173"/>
      <c r="AK46" s="1608" t="s">
        <v>378</v>
      </c>
      <c r="AL46" s="1609"/>
      <c r="AM46" s="1609"/>
      <c r="AN46" s="1610"/>
      <c r="AO46" s="335">
        <f>ROUND(M46*P46%,)</f>
        <v>0</v>
      </c>
      <c r="AP46" s="470" t="s">
        <v>379</v>
      </c>
      <c r="AQ46" s="225">
        <f>IF(AND(AO46&gt;0,AS46&gt;0),ROUND(AS46/AO46,2),)</f>
        <v>0</v>
      </c>
      <c r="AR46" s="470" t="s">
        <v>380</v>
      </c>
      <c r="AS46" s="335">
        <f>ROUND(O46*P46%,)</f>
        <v>0</v>
      </c>
      <c r="BA46" s="2"/>
      <c r="BB46" s="2"/>
    </row>
    <row r="47" spans="1:58" ht="30" customHeight="1">
      <c r="B47" s="500"/>
      <c r="C47" s="1604" t="s">
        <v>219</v>
      </c>
      <c r="D47" s="1605"/>
      <c r="E47" s="1605"/>
      <c r="F47" s="1605"/>
      <c r="G47" s="1605"/>
      <c r="H47" s="1605"/>
      <c r="I47" s="1605"/>
      <c r="J47" s="1605"/>
      <c r="K47" s="1605"/>
      <c r="L47" s="1605"/>
      <c r="M47" s="1611"/>
      <c r="N47" s="1612"/>
      <c r="O47" s="1612"/>
      <c r="P47" s="1612"/>
      <c r="Q47" s="1612"/>
      <c r="R47" s="1613"/>
      <c r="S47" s="468"/>
      <c r="T47" s="173"/>
      <c r="U47" s="173"/>
      <c r="V47" s="173"/>
      <c r="W47" s="173"/>
      <c r="X47" s="173"/>
      <c r="AK47" s="1608" t="s">
        <v>219</v>
      </c>
      <c r="AL47" s="1609"/>
      <c r="AM47" s="1609"/>
      <c r="AN47" s="1610"/>
      <c r="AO47" s="462"/>
      <c r="AP47" s="462"/>
      <c r="AQ47" s="462"/>
      <c r="AR47" s="462"/>
      <c r="AS47" s="335">
        <f>SUMPRODUCT(ROUND((O48:O77)*(P48:R77)/100,))</f>
        <v>0</v>
      </c>
      <c r="BA47" s="2"/>
      <c r="BB47" s="2"/>
    </row>
    <row r="48" spans="1:58" ht="30" customHeight="1">
      <c r="B48" s="500"/>
      <c r="C48" s="469"/>
      <c r="D48" s="1614"/>
      <c r="E48" s="1615"/>
      <c r="F48" s="1615"/>
      <c r="G48" s="1615"/>
      <c r="H48" s="1615"/>
      <c r="I48" s="1615"/>
      <c r="J48" s="1615"/>
      <c r="K48" s="1615"/>
      <c r="L48" s="1616"/>
      <c r="M48" s="444"/>
      <c r="N48" s="503"/>
      <c r="O48" s="504"/>
      <c r="P48" s="1620"/>
      <c r="Q48" s="1621"/>
      <c r="R48" s="1622"/>
      <c r="S48" s="468"/>
      <c r="T48" s="173"/>
      <c r="U48" s="173"/>
      <c r="V48" s="173"/>
      <c r="W48" s="173"/>
      <c r="X48" s="173"/>
      <c r="AK48" s="505"/>
      <c r="AL48" s="505"/>
      <c r="AM48" s="505"/>
      <c r="AN48" s="505"/>
      <c r="AO48" s="506"/>
      <c r="AP48" s="506"/>
      <c r="AQ48" s="506"/>
      <c r="AR48" s="506"/>
      <c r="AS48" s="507"/>
      <c r="BA48" s="2"/>
      <c r="BB48" s="2"/>
    </row>
    <row r="49" spans="2:54" ht="30" customHeight="1">
      <c r="B49" s="500"/>
      <c r="C49" s="508"/>
      <c r="D49" s="1614"/>
      <c r="E49" s="1615"/>
      <c r="F49" s="1615"/>
      <c r="G49" s="1615"/>
      <c r="H49" s="1615"/>
      <c r="I49" s="1615"/>
      <c r="J49" s="1615"/>
      <c r="K49" s="1615"/>
      <c r="L49" s="1616"/>
      <c r="M49" s="336"/>
      <c r="N49" s="509"/>
      <c r="O49" s="226"/>
      <c r="P49" s="1617"/>
      <c r="Q49" s="1618"/>
      <c r="R49" s="1619"/>
      <c r="S49" s="468"/>
      <c r="T49" s="173"/>
      <c r="U49" s="173"/>
      <c r="V49" s="173"/>
      <c r="W49" s="173"/>
      <c r="X49" s="173"/>
      <c r="AK49" s="510"/>
      <c r="AL49" s="510"/>
      <c r="AM49" s="510"/>
      <c r="AN49" s="510"/>
      <c r="AO49" s="511"/>
      <c r="AP49" s="511"/>
      <c r="AQ49" s="511"/>
      <c r="AR49" s="511"/>
      <c r="AS49" s="384"/>
      <c r="BA49" s="2"/>
      <c r="BB49" s="2"/>
    </row>
    <row r="50" spans="2:54" ht="30" customHeight="1">
      <c r="B50" s="500"/>
      <c r="C50" s="512"/>
      <c r="D50" s="1614"/>
      <c r="E50" s="1615"/>
      <c r="F50" s="1615"/>
      <c r="G50" s="1615"/>
      <c r="H50" s="1615"/>
      <c r="I50" s="1615"/>
      <c r="J50" s="1615"/>
      <c r="K50" s="1615"/>
      <c r="L50" s="1616"/>
      <c r="M50" s="336"/>
      <c r="N50" s="509"/>
      <c r="O50" s="226"/>
      <c r="P50" s="1617"/>
      <c r="Q50" s="1618"/>
      <c r="R50" s="1619"/>
      <c r="S50" s="468"/>
      <c r="T50" s="173"/>
      <c r="U50" s="173"/>
      <c r="V50" s="173"/>
      <c r="W50" s="173"/>
      <c r="X50" s="173"/>
      <c r="Y50" s="173"/>
      <c r="Z50" s="173"/>
      <c r="AA50" s="173"/>
      <c r="AK50" s="510"/>
      <c r="AL50" s="510"/>
      <c r="AM50" s="510"/>
      <c r="AN50" s="510"/>
      <c r="AO50" s="511"/>
      <c r="AP50" s="511"/>
      <c r="AQ50" s="511"/>
      <c r="AR50" s="511"/>
      <c r="AS50" s="384"/>
      <c r="BA50" s="2"/>
      <c r="BB50" s="2"/>
    </row>
    <row r="51" spans="2:54" ht="30" customHeight="1" collapsed="1" thickBot="1">
      <c r="B51" s="500"/>
      <c r="C51" s="512"/>
      <c r="D51" s="1614"/>
      <c r="E51" s="1615"/>
      <c r="F51" s="1615"/>
      <c r="G51" s="1615"/>
      <c r="H51" s="1615"/>
      <c r="I51" s="1615"/>
      <c r="J51" s="1615"/>
      <c r="K51" s="1615"/>
      <c r="L51" s="1616"/>
      <c r="M51" s="336"/>
      <c r="N51" s="509"/>
      <c r="O51" s="226"/>
      <c r="P51" s="1617"/>
      <c r="Q51" s="1618"/>
      <c r="R51" s="1619"/>
      <c r="S51" s="468"/>
      <c r="T51" s="173"/>
      <c r="U51" s="173"/>
      <c r="V51" s="173"/>
      <c r="W51" s="173"/>
      <c r="X51" s="173"/>
      <c r="Y51" s="173"/>
      <c r="Z51" s="173"/>
      <c r="AA51" s="173"/>
      <c r="AK51" s="510"/>
      <c r="AL51" s="510"/>
      <c r="AM51" s="510"/>
      <c r="AN51" s="510"/>
      <c r="AO51" s="511"/>
      <c r="AP51" s="511"/>
      <c r="AQ51" s="511"/>
      <c r="AR51" s="511"/>
      <c r="AS51" s="384"/>
      <c r="BA51" s="2"/>
      <c r="BB51" s="2"/>
    </row>
    <row r="52" spans="2:54" ht="30" hidden="1" customHeight="1" outlineLevel="1">
      <c r="B52" s="500"/>
      <c r="C52" s="512"/>
      <c r="D52" s="1614"/>
      <c r="E52" s="1615"/>
      <c r="F52" s="1615"/>
      <c r="G52" s="1615"/>
      <c r="H52" s="1615"/>
      <c r="I52" s="1615"/>
      <c r="J52" s="1615"/>
      <c r="K52" s="1615"/>
      <c r="L52" s="1616"/>
      <c r="M52" s="336"/>
      <c r="N52" s="509"/>
      <c r="O52" s="226"/>
      <c r="P52" s="1617"/>
      <c r="Q52" s="1618"/>
      <c r="R52" s="1619"/>
      <c r="S52" s="468"/>
      <c r="T52" s="173"/>
      <c r="U52" s="173"/>
      <c r="V52" s="173"/>
      <c r="W52" s="173"/>
      <c r="X52" s="173"/>
      <c r="Y52" s="173"/>
      <c r="Z52" s="173"/>
      <c r="AA52" s="173"/>
      <c r="AK52" s="510"/>
      <c r="AL52" s="510"/>
      <c r="AM52" s="510"/>
      <c r="AN52" s="510"/>
      <c r="AO52" s="511"/>
      <c r="AP52" s="511"/>
      <c r="AQ52" s="511"/>
      <c r="AR52" s="511"/>
      <c r="AS52" s="384"/>
      <c r="BA52" s="2"/>
      <c r="BB52" s="2"/>
    </row>
    <row r="53" spans="2:54" ht="30" hidden="1" customHeight="1" outlineLevel="1">
      <c r="B53" s="500"/>
      <c r="C53" s="512"/>
      <c r="D53" s="1614"/>
      <c r="E53" s="1615"/>
      <c r="F53" s="1615"/>
      <c r="G53" s="1615"/>
      <c r="H53" s="1615"/>
      <c r="I53" s="1615"/>
      <c r="J53" s="1615"/>
      <c r="K53" s="1615"/>
      <c r="L53" s="1616"/>
      <c r="M53" s="336"/>
      <c r="N53" s="509"/>
      <c r="O53" s="226"/>
      <c r="P53" s="1617"/>
      <c r="Q53" s="1618"/>
      <c r="R53" s="1619"/>
      <c r="S53" s="468"/>
      <c r="T53" s="173"/>
      <c r="U53" s="173"/>
      <c r="V53" s="173"/>
      <c r="W53" s="173"/>
      <c r="X53" s="173"/>
      <c r="Y53" s="173"/>
      <c r="Z53" s="173"/>
      <c r="AA53" s="173"/>
      <c r="AK53" s="510"/>
      <c r="AL53" s="510"/>
      <c r="AM53" s="510"/>
      <c r="AN53" s="510"/>
      <c r="AO53" s="511"/>
      <c r="AP53" s="511"/>
      <c r="AQ53" s="511"/>
      <c r="AR53" s="511"/>
      <c r="AS53" s="384"/>
      <c r="BA53" s="2"/>
      <c r="BB53" s="2"/>
    </row>
    <row r="54" spans="2:54" ht="30" hidden="1" customHeight="1" outlineLevel="1">
      <c r="B54" s="500"/>
      <c r="C54" s="512"/>
      <c r="D54" s="1614"/>
      <c r="E54" s="1615"/>
      <c r="F54" s="1615"/>
      <c r="G54" s="1615"/>
      <c r="H54" s="1615"/>
      <c r="I54" s="1615"/>
      <c r="J54" s="1615"/>
      <c r="K54" s="1615"/>
      <c r="L54" s="1616"/>
      <c r="M54" s="336"/>
      <c r="N54" s="509"/>
      <c r="O54" s="226"/>
      <c r="P54" s="1617"/>
      <c r="Q54" s="1618"/>
      <c r="R54" s="1619"/>
      <c r="S54" s="468"/>
      <c r="T54" s="173"/>
      <c r="U54" s="173"/>
      <c r="V54" s="173"/>
      <c r="W54" s="173"/>
      <c r="X54" s="173"/>
      <c r="Y54" s="173"/>
      <c r="Z54" s="173"/>
      <c r="AA54" s="173"/>
      <c r="AK54" s="510"/>
      <c r="AL54" s="510"/>
      <c r="AM54" s="510"/>
      <c r="AN54" s="510"/>
      <c r="AO54" s="511"/>
      <c r="AP54" s="511"/>
      <c r="AQ54" s="511"/>
      <c r="AR54" s="511"/>
      <c r="AS54" s="384"/>
      <c r="BA54" s="2"/>
      <c r="BB54" s="2"/>
    </row>
    <row r="55" spans="2:54" ht="30" hidden="1" customHeight="1" outlineLevel="1">
      <c r="B55" s="500"/>
      <c r="C55" s="512"/>
      <c r="D55" s="1614"/>
      <c r="E55" s="1615"/>
      <c r="F55" s="1615"/>
      <c r="G55" s="1615"/>
      <c r="H55" s="1615"/>
      <c r="I55" s="1615"/>
      <c r="J55" s="1615"/>
      <c r="K55" s="1615"/>
      <c r="L55" s="1616"/>
      <c r="M55" s="336"/>
      <c r="N55" s="509"/>
      <c r="O55" s="226"/>
      <c r="P55" s="1617"/>
      <c r="Q55" s="1618"/>
      <c r="R55" s="1619"/>
      <c r="S55" s="468"/>
      <c r="T55" s="173"/>
      <c r="U55" s="173"/>
      <c r="V55" s="173"/>
      <c r="W55" s="173"/>
      <c r="X55" s="173"/>
      <c r="Y55" s="173"/>
      <c r="Z55" s="173"/>
      <c r="AA55" s="173"/>
      <c r="AK55" s="510"/>
      <c r="AL55" s="510"/>
      <c r="AM55" s="510"/>
      <c r="AN55" s="510"/>
      <c r="AO55" s="511"/>
      <c r="AP55" s="511"/>
      <c r="AQ55" s="511"/>
      <c r="AR55" s="511"/>
      <c r="AS55" s="384"/>
      <c r="BA55" s="2"/>
      <c r="BB55" s="2"/>
    </row>
    <row r="56" spans="2:54" ht="30" hidden="1" customHeight="1" outlineLevel="1">
      <c r="B56" s="500"/>
      <c r="C56" s="512"/>
      <c r="D56" s="1614"/>
      <c r="E56" s="1615"/>
      <c r="F56" s="1615"/>
      <c r="G56" s="1615"/>
      <c r="H56" s="1615"/>
      <c r="I56" s="1615"/>
      <c r="J56" s="1615"/>
      <c r="K56" s="1615"/>
      <c r="L56" s="1616"/>
      <c r="M56" s="336"/>
      <c r="N56" s="509"/>
      <c r="O56" s="226"/>
      <c r="P56" s="1617"/>
      <c r="Q56" s="1618"/>
      <c r="R56" s="1619"/>
      <c r="S56" s="468"/>
      <c r="T56" s="173"/>
      <c r="U56" s="173"/>
      <c r="V56" s="173"/>
      <c r="W56" s="173"/>
      <c r="X56" s="173"/>
      <c r="Y56" s="173"/>
      <c r="Z56" s="173"/>
      <c r="AA56" s="173"/>
      <c r="AK56" s="510"/>
      <c r="AL56" s="510"/>
      <c r="AM56" s="510"/>
      <c r="AN56" s="510"/>
      <c r="AO56" s="511"/>
      <c r="AP56" s="511"/>
      <c r="AQ56" s="511"/>
      <c r="AR56" s="511"/>
      <c r="AS56" s="384"/>
      <c r="BA56" s="2"/>
      <c r="BB56" s="2"/>
    </row>
    <row r="57" spans="2:54" ht="30" hidden="1" customHeight="1" outlineLevel="1">
      <c r="B57" s="500"/>
      <c r="C57" s="512"/>
      <c r="D57" s="1614"/>
      <c r="E57" s="1615"/>
      <c r="F57" s="1615"/>
      <c r="G57" s="1615"/>
      <c r="H57" s="1615"/>
      <c r="I57" s="1615"/>
      <c r="J57" s="1615"/>
      <c r="K57" s="1615"/>
      <c r="L57" s="1616"/>
      <c r="M57" s="336"/>
      <c r="N57" s="509"/>
      <c r="O57" s="226"/>
      <c r="P57" s="1617"/>
      <c r="Q57" s="1618"/>
      <c r="R57" s="1619"/>
      <c r="S57" s="468"/>
      <c r="T57" s="173"/>
      <c r="U57" s="173"/>
      <c r="V57" s="173"/>
      <c r="W57" s="173"/>
      <c r="X57" s="173"/>
      <c r="Y57" s="173"/>
      <c r="Z57" s="173"/>
      <c r="AA57" s="173"/>
      <c r="AK57" s="510"/>
      <c r="AL57" s="510"/>
      <c r="AM57" s="510"/>
      <c r="AN57" s="510"/>
      <c r="AO57" s="511"/>
      <c r="AP57" s="511"/>
      <c r="AQ57" s="511"/>
      <c r="AR57" s="511"/>
      <c r="AS57" s="384"/>
      <c r="BA57" s="2"/>
      <c r="BB57" s="2"/>
    </row>
    <row r="58" spans="2:54" ht="30" hidden="1" customHeight="1" outlineLevel="1">
      <c r="B58" s="500"/>
      <c r="C58" s="512"/>
      <c r="D58" s="1614"/>
      <c r="E58" s="1615"/>
      <c r="F58" s="1615"/>
      <c r="G58" s="1615"/>
      <c r="H58" s="1615"/>
      <c r="I58" s="1615"/>
      <c r="J58" s="1615"/>
      <c r="K58" s="1615"/>
      <c r="L58" s="1616"/>
      <c r="M58" s="336"/>
      <c r="N58" s="509"/>
      <c r="O58" s="226"/>
      <c r="P58" s="1617"/>
      <c r="Q58" s="1618"/>
      <c r="R58" s="1619"/>
      <c r="S58" s="468"/>
      <c r="T58" s="173"/>
      <c r="U58" s="173"/>
      <c r="V58" s="173"/>
      <c r="W58" s="173"/>
      <c r="X58" s="173"/>
      <c r="Y58" s="173"/>
      <c r="Z58" s="173"/>
      <c r="AA58" s="173"/>
      <c r="AK58" s="510"/>
      <c r="AL58" s="510"/>
      <c r="AM58" s="510"/>
      <c r="AN58" s="510"/>
      <c r="AO58" s="511"/>
      <c r="AP58" s="511"/>
      <c r="AQ58" s="511"/>
      <c r="AR58" s="511"/>
      <c r="AS58" s="384"/>
      <c r="BA58" s="2"/>
      <c r="BB58" s="2"/>
    </row>
    <row r="59" spans="2:54" ht="30" hidden="1" customHeight="1" outlineLevel="1">
      <c r="B59" s="500"/>
      <c r="C59" s="512"/>
      <c r="D59" s="1614"/>
      <c r="E59" s="1615"/>
      <c r="F59" s="1615"/>
      <c r="G59" s="1615"/>
      <c r="H59" s="1615"/>
      <c r="I59" s="1615"/>
      <c r="J59" s="1615"/>
      <c r="K59" s="1615"/>
      <c r="L59" s="1616"/>
      <c r="M59" s="336"/>
      <c r="N59" s="509"/>
      <c r="O59" s="226"/>
      <c r="P59" s="1617"/>
      <c r="Q59" s="1618"/>
      <c r="R59" s="1619"/>
      <c r="S59" s="468"/>
      <c r="T59" s="173"/>
      <c r="U59" s="173"/>
      <c r="V59" s="173"/>
      <c r="W59" s="173"/>
      <c r="X59" s="173"/>
      <c r="Y59" s="173"/>
      <c r="Z59" s="173"/>
      <c r="AA59" s="173"/>
      <c r="AK59" s="510"/>
      <c r="AL59" s="510"/>
      <c r="AM59" s="510"/>
      <c r="AN59" s="510"/>
      <c r="AO59" s="511"/>
      <c r="AP59" s="511"/>
      <c r="AQ59" s="511"/>
      <c r="AR59" s="511"/>
      <c r="AS59" s="384"/>
      <c r="BA59" s="2"/>
      <c r="BB59" s="2"/>
    </row>
    <row r="60" spans="2:54" ht="30" hidden="1" customHeight="1" outlineLevel="1">
      <c r="B60" s="500"/>
      <c r="C60" s="512"/>
      <c r="D60" s="1614"/>
      <c r="E60" s="1615"/>
      <c r="F60" s="1615"/>
      <c r="G60" s="1615"/>
      <c r="H60" s="1615"/>
      <c r="I60" s="1615"/>
      <c r="J60" s="1615"/>
      <c r="K60" s="1615"/>
      <c r="L60" s="1616"/>
      <c r="M60" s="336"/>
      <c r="N60" s="509"/>
      <c r="O60" s="226"/>
      <c r="P60" s="1617"/>
      <c r="Q60" s="1618"/>
      <c r="R60" s="1619"/>
      <c r="S60" s="468"/>
      <c r="T60" s="173"/>
      <c r="U60" s="173"/>
      <c r="V60" s="173"/>
      <c r="W60" s="173"/>
      <c r="X60" s="173"/>
      <c r="Y60" s="173"/>
      <c r="Z60" s="173"/>
      <c r="AA60" s="173"/>
      <c r="AK60" s="510"/>
      <c r="AL60" s="510"/>
      <c r="AM60" s="510"/>
      <c r="AN60" s="510"/>
      <c r="AO60" s="511"/>
      <c r="AP60" s="511"/>
      <c r="AQ60" s="511"/>
      <c r="AR60" s="511"/>
      <c r="AS60" s="384"/>
      <c r="BA60" s="2"/>
      <c r="BB60" s="2"/>
    </row>
    <row r="61" spans="2:54" ht="30" hidden="1" customHeight="1" outlineLevel="1">
      <c r="B61" s="500"/>
      <c r="C61" s="512"/>
      <c r="D61" s="1614"/>
      <c r="E61" s="1615"/>
      <c r="F61" s="1615"/>
      <c r="G61" s="1615"/>
      <c r="H61" s="1615"/>
      <c r="I61" s="1615"/>
      <c r="J61" s="1615"/>
      <c r="K61" s="1615"/>
      <c r="L61" s="1616"/>
      <c r="M61" s="336"/>
      <c r="N61" s="509"/>
      <c r="O61" s="226"/>
      <c r="P61" s="1617"/>
      <c r="Q61" s="1618"/>
      <c r="R61" s="1619"/>
      <c r="S61" s="468"/>
      <c r="T61" s="173"/>
      <c r="U61" s="173"/>
      <c r="V61" s="173"/>
      <c r="W61" s="173"/>
      <c r="X61" s="173"/>
      <c r="Y61" s="173"/>
      <c r="Z61" s="173"/>
      <c r="AA61" s="173"/>
      <c r="AK61" s="510"/>
      <c r="AL61" s="510"/>
      <c r="AM61" s="510"/>
      <c r="AN61" s="510"/>
      <c r="AO61" s="511"/>
      <c r="AP61" s="511"/>
      <c r="AQ61" s="511"/>
      <c r="AR61" s="511"/>
      <c r="AS61" s="384"/>
      <c r="BA61" s="2"/>
      <c r="BB61" s="2"/>
    </row>
    <row r="62" spans="2:54" ht="30" hidden="1" customHeight="1" outlineLevel="1">
      <c r="B62" s="500"/>
      <c r="C62" s="512"/>
      <c r="D62" s="1614"/>
      <c r="E62" s="1615"/>
      <c r="F62" s="1615"/>
      <c r="G62" s="1615"/>
      <c r="H62" s="1615"/>
      <c r="I62" s="1615"/>
      <c r="J62" s="1615"/>
      <c r="K62" s="1615"/>
      <c r="L62" s="1616"/>
      <c r="M62" s="336"/>
      <c r="N62" s="509"/>
      <c r="O62" s="226"/>
      <c r="P62" s="1617"/>
      <c r="Q62" s="1618"/>
      <c r="R62" s="1619"/>
      <c r="S62" s="468"/>
      <c r="T62" s="173"/>
      <c r="U62" s="173"/>
      <c r="V62" s="173"/>
      <c r="W62" s="173"/>
      <c r="X62" s="173"/>
      <c r="Y62" s="173"/>
      <c r="Z62" s="173"/>
      <c r="AA62" s="173"/>
      <c r="AK62" s="510"/>
      <c r="AL62" s="510"/>
      <c r="AM62" s="510"/>
      <c r="AN62" s="510"/>
      <c r="AO62" s="511"/>
      <c r="AP62" s="511"/>
      <c r="AQ62" s="511"/>
      <c r="AR62" s="511"/>
      <c r="AS62" s="384"/>
      <c r="BA62" s="2"/>
      <c r="BB62" s="2"/>
    </row>
    <row r="63" spans="2:54" ht="30" hidden="1" customHeight="1" outlineLevel="1">
      <c r="B63" s="500"/>
      <c r="C63" s="512"/>
      <c r="D63" s="1614"/>
      <c r="E63" s="1615"/>
      <c r="F63" s="1615"/>
      <c r="G63" s="1615"/>
      <c r="H63" s="1615"/>
      <c r="I63" s="1615"/>
      <c r="J63" s="1615"/>
      <c r="K63" s="1615"/>
      <c r="L63" s="1616"/>
      <c r="M63" s="336"/>
      <c r="N63" s="509"/>
      <c r="O63" s="226"/>
      <c r="P63" s="1617"/>
      <c r="Q63" s="1618"/>
      <c r="R63" s="1619"/>
      <c r="S63" s="468"/>
      <c r="T63" s="173"/>
      <c r="U63" s="173"/>
      <c r="V63" s="173"/>
      <c r="W63" s="173"/>
      <c r="X63" s="173"/>
      <c r="Y63" s="173"/>
      <c r="Z63" s="173"/>
      <c r="AA63" s="173"/>
      <c r="AK63" s="510"/>
      <c r="AL63" s="510"/>
      <c r="AM63" s="510"/>
      <c r="AN63" s="510"/>
      <c r="AO63" s="511"/>
      <c r="AP63" s="511"/>
      <c r="AQ63" s="511"/>
      <c r="AR63" s="511"/>
      <c r="AS63" s="384"/>
      <c r="BA63" s="2"/>
      <c r="BB63" s="2"/>
    </row>
    <row r="64" spans="2:54" ht="30" hidden="1" customHeight="1" outlineLevel="1">
      <c r="B64" s="500"/>
      <c r="C64" s="512"/>
      <c r="D64" s="1614"/>
      <c r="E64" s="1615"/>
      <c r="F64" s="1615"/>
      <c r="G64" s="1615"/>
      <c r="H64" s="1615"/>
      <c r="I64" s="1615"/>
      <c r="J64" s="1615"/>
      <c r="K64" s="1615"/>
      <c r="L64" s="1616"/>
      <c r="M64" s="336"/>
      <c r="N64" s="509"/>
      <c r="O64" s="226"/>
      <c r="P64" s="1617"/>
      <c r="Q64" s="1618"/>
      <c r="R64" s="1619"/>
      <c r="S64" s="468"/>
      <c r="T64" s="173"/>
      <c r="U64" s="173"/>
      <c r="V64" s="173"/>
      <c r="W64" s="173"/>
      <c r="X64" s="173"/>
      <c r="Y64" s="173"/>
      <c r="Z64" s="173"/>
      <c r="AA64" s="173"/>
      <c r="AK64" s="510"/>
      <c r="AL64" s="510"/>
      <c r="AM64" s="510"/>
      <c r="AN64" s="510"/>
      <c r="AO64" s="511"/>
      <c r="AP64" s="511"/>
      <c r="AQ64" s="511"/>
      <c r="AR64" s="511"/>
      <c r="AS64" s="384"/>
      <c r="BA64" s="2"/>
      <c r="BB64" s="2"/>
    </row>
    <row r="65" spans="2:54" ht="30" hidden="1" customHeight="1" outlineLevel="1">
      <c r="B65" s="500"/>
      <c r="C65" s="512"/>
      <c r="D65" s="1614"/>
      <c r="E65" s="1615"/>
      <c r="F65" s="1615"/>
      <c r="G65" s="1615"/>
      <c r="H65" s="1615"/>
      <c r="I65" s="1615"/>
      <c r="J65" s="1615"/>
      <c r="K65" s="1615"/>
      <c r="L65" s="1616"/>
      <c r="M65" s="336"/>
      <c r="N65" s="509"/>
      <c r="O65" s="226"/>
      <c r="P65" s="1617"/>
      <c r="Q65" s="1618"/>
      <c r="R65" s="1619"/>
      <c r="S65" s="468"/>
      <c r="T65" s="173"/>
      <c r="U65" s="173"/>
      <c r="V65" s="173"/>
      <c r="W65" s="173"/>
      <c r="X65" s="173"/>
      <c r="Y65" s="173"/>
      <c r="Z65" s="173"/>
      <c r="AA65" s="173"/>
      <c r="AK65" s="510"/>
      <c r="AL65" s="510"/>
      <c r="AM65" s="510"/>
      <c r="AN65" s="510"/>
      <c r="AO65" s="511"/>
      <c r="AP65" s="511"/>
      <c r="AQ65" s="511"/>
      <c r="AR65" s="511"/>
      <c r="AS65" s="384"/>
      <c r="BA65" s="2"/>
      <c r="BB65" s="2"/>
    </row>
    <row r="66" spans="2:54" ht="30" hidden="1" customHeight="1" outlineLevel="1">
      <c r="B66" s="500"/>
      <c r="C66" s="512"/>
      <c r="D66" s="1614"/>
      <c r="E66" s="1615"/>
      <c r="F66" s="1615"/>
      <c r="G66" s="1615"/>
      <c r="H66" s="1615"/>
      <c r="I66" s="1615"/>
      <c r="J66" s="1615"/>
      <c r="K66" s="1615"/>
      <c r="L66" s="1616"/>
      <c r="M66" s="336"/>
      <c r="N66" s="509"/>
      <c r="O66" s="226"/>
      <c r="P66" s="1617"/>
      <c r="Q66" s="1618"/>
      <c r="R66" s="1619"/>
      <c r="S66" s="468"/>
      <c r="T66" s="173"/>
      <c r="U66" s="173"/>
      <c r="V66" s="173"/>
      <c r="W66" s="173"/>
      <c r="X66" s="173"/>
      <c r="Y66" s="173"/>
      <c r="Z66" s="173"/>
      <c r="AA66" s="173"/>
      <c r="AK66" s="510"/>
      <c r="AL66" s="510"/>
      <c r="AM66" s="510"/>
      <c r="AN66" s="510"/>
      <c r="AO66" s="511"/>
      <c r="AP66" s="511"/>
      <c r="AQ66" s="511"/>
      <c r="AR66" s="511"/>
      <c r="AS66" s="384"/>
      <c r="BA66" s="2"/>
      <c r="BB66" s="2"/>
    </row>
    <row r="67" spans="2:54" ht="30" hidden="1" customHeight="1" outlineLevel="1">
      <c r="B67" s="500"/>
      <c r="C67" s="512"/>
      <c r="D67" s="1614"/>
      <c r="E67" s="1615"/>
      <c r="F67" s="1615"/>
      <c r="G67" s="1615"/>
      <c r="H67" s="1615"/>
      <c r="I67" s="1615"/>
      <c r="J67" s="1615"/>
      <c r="K67" s="1615"/>
      <c r="L67" s="1616"/>
      <c r="M67" s="336"/>
      <c r="N67" s="509"/>
      <c r="O67" s="226"/>
      <c r="P67" s="1617"/>
      <c r="Q67" s="1618"/>
      <c r="R67" s="1619"/>
      <c r="S67" s="468"/>
      <c r="T67" s="173"/>
      <c r="U67" s="173"/>
      <c r="V67" s="173"/>
      <c r="W67" s="173"/>
      <c r="X67" s="173"/>
      <c r="Y67" s="173"/>
      <c r="Z67" s="173"/>
      <c r="AA67" s="173"/>
      <c r="AK67" s="510"/>
      <c r="AL67" s="510"/>
      <c r="AM67" s="510"/>
      <c r="AN67" s="510"/>
      <c r="AO67" s="511"/>
      <c r="AP67" s="511"/>
      <c r="AQ67" s="511"/>
      <c r="AR67" s="511"/>
      <c r="AS67" s="384"/>
      <c r="BA67" s="2"/>
      <c r="BB67" s="2"/>
    </row>
    <row r="68" spans="2:54" ht="30" hidden="1" customHeight="1" outlineLevel="1">
      <c r="B68" s="500"/>
      <c r="C68" s="512"/>
      <c r="D68" s="1614"/>
      <c r="E68" s="1615"/>
      <c r="F68" s="1615"/>
      <c r="G68" s="1615"/>
      <c r="H68" s="1615"/>
      <c r="I68" s="1615"/>
      <c r="J68" s="1615"/>
      <c r="K68" s="1615"/>
      <c r="L68" s="1616"/>
      <c r="M68" s="336"/>
      <c r="N68" s="509"/>
      <c r="O68" s="226"/>
      <c r="P68" s="1617"/>
      <c r="Q68" s="1618"/>
      <c r="R68" s="1619"/>
      <c r="S68" s="468"/>
      <c r="T68" s="173"/>
      <c r="U68" s="173"/>
      <c r="V68" s="173"/>
      <c r="W68" s="173"/>
      <c r="X68" s="173"/>
      <c r="Y68" s="173"/>
      <c r="Z68" s="173"/>
      <c r="AA68" s="173"/>
      <c r="AK68" s="510"/>
      <c r="AL68" s="510"/>
      <c r="AM68" s="510"/>
      <c r="AN68" s="510"/>
      <c r="AO68" s="511"/>
      <c r="AP68" s="511"/>
      <c r="AQ68" s="511"/>
      <c r="AR68" s="511"/>
      <c r="AS68" s="384"/>
      <c r="BA68" s="2"/>
      <c r="BB68" s="2"/>
    </row>
    <row r="69" spans="2:54" ht="30" hidden="1" customHeight="1" outlineLevel="1">
      <c r="B69" s="500"/>
      <c r="C69" s="512"/>
      <c r="D69" s="1614"/>
      <c r="E69" s="1615"/>
      <c r="F69" s="1615"/>
      <c r="G69" s="1615"/>
      <c r="H69" s="1615"/>
      <c r="I69" s="1615"/>
      <c r="J69" s="1615"/>
      <c r="K69" s="1615"/>
      <c r="L69" s="1616"/>
      <c r="M69" s="336"/>
      <c r="N69" s="509"/>
      <c r="O69" s="226"/>
      <c r="P69" s="1617"/>
      <c r="Q69" s="1618"/>
      <c r="R69" s="1619"/>
      <c r="S69" s="468"/>
      <c r="T69" s="173"/>
      <c r="U69" s="173"/>
      <c r="V69" s="173"/>
      <c r="W69" s="173"/>
      <c r="X69" s="173"/>
      <c r="Y69" s="173"/>
      <c r="Z69" s="173"/>
      <c r="AA69" s="173"/>
      <c r="AK69" s="510"/>
      <c r="AL69" s="510"/>
      <c r="AM69" s="510"/>
      <c r="AN69" s="510"/>
      <c r="AO69" s="511"/>
      <c r="AP69" s="511"/>
      <c r="AQ69" s="511"/>
      <c r="AR69" s="511"/>
      <c r="AS69" s="384"/>
      <c r="BA69" s="2"/>
      <c r="BB69" s="2"/>
    </row>
    <row r="70" spans="2:54" ht="30" hidden="1" customHeight="1" outlineLevel="1">
      <c r="B70" s="500"/>
      <c r="C70" s="512"/>
      <c r="D70" s="1614"/>
      <c r="E70" s="1615"/>
      <c r="F70" s="1615"/>
      <c r="G70" s="1615"/>
      <c r="H70" s="1615"/>
      <c r="I70" s="1615"/>
      <c r="J70" s="1615"/>
      <c r="K70" s="1615"/>
      <c r="L70" s="1616"/>
      <c r="M70" s="336"/>
      <c r="N70" s="509"/>
      <c r="O70" s="226"/>
      <c r="P70" s="1617"/>
      <c r="Q70" s="1618"/>
      <c r="R70" s="1619"/>
      <c r="S70" s="468"/>
      <c r="T70" s="173"/>
      <c r="U70" s="173"/>
      <c r="V70" s="173"/>
      <c r="W70" s="173"/>
      <c r="X70" s="173"/>
      <c r="Y70" s="173"/>
      <c r="Z70" s="173"/>
      <c r="AA70" s="173"/>
      <c r="AK70" s="510"/>
      <c r="AL70" s="510"/>
      <c r="AM70" s="510"/>
      <c r="AN70" s="510"/>
      <c r="AO70" s="511"/>
      <c r="AP70" s="511"/>
      <c r="AQ70" s="511"/>
      <c r="AR70" s="511"/>
      <c r="AS70" s="384"/>
      <c r="BA70" s="2"/>
      <c r="BB70" s="2"/>
    </row>
    <row r="71" spans="2:54" ht="30" hidden="1" customHeight="1" outlineLevel="1">
      <c r="B71" s="500"/>
      <c r="C71" s="512"/>
      <c r="D71" s="1614"/>
      <c r="E71" s="1615"/>
      <c r="F71" s="1615"/>
      <c r="G71" s="1615"/>
      <c r="H71" s="1615"/>
      <c r="I71" s="1615"/>
      <c r="J71" s="1615"/>
      <c r="K71" s="1615"/>
      <c r="L71" s="1616"/>
      <c r="M71" s="336"/>
      <c r="N71" s="509"/>
      <c r="O71" s="226"/>
      <c r="P71" s="1617"/>
      <c r="Q71" s="1618"/>
      <c r="R71" s="1619"/>
      <c r="S71" s="468"/>
      <c r="T71" s="173"/>
      <c r="U71" s="173"/>
      <c r="V71" s="173"/>
      <c r="W71" s="173"/>
      <c r="X71" s="173"/>
      <c r="Y71" s="173"/>
      <c r="Z71" s="173"/>
      <c r="AA71" s="173"/>
      <c r="AK71" s="510"/>
      <c r="AL71" s="510"/>
      <c r="AM71" s="510"/>
      <c r="AN71" s="510"/>
      <c r="AO71" s="511"/>
      <c r="AP71" s="511"/>
      <c r="AQ71" s="511"/>
      <c r="AR71" s="511"/>
      <c r="AS71" s="384"/>
      <c r="BA71" s="2"/>
      <c r="BB71" s="2"/>
    </row>
    <row r="72" spans="2:54" ht="30" hidden="1" customHeight="1" outlineLevel="1">
      <c r="B72" s="500"/>
      <c r="C72" s="512"/>
      <c r="D72" s="1614"/>
      <c r="E72" s="1615"/>
      <c r="F72" s="1615"/>
      <c r="G72" s="1615"/>
      <c r="H72" s="1615"/>
      <c r="I72" s="1615"/>
      <c r="J72" s="1615"/>
      <c r="K72" s="1615"/>
      <c r="L72" s="1616"/>
      <c r="M72" s="336"/>
      <c r="N72" s="509"/>
      <c r="O72" s="226"/>
      <c r="P72" s="1617"/>
      <c r="Q72" s="1618"/>
      <c r="R72" s="1619"/>
      <c r="S72" s="468"/>
      <c r="T72" s="173"/>
      <c r="U72" s="173"/>
      <c r="V72" s="173"/>
      <c r="W72" s="173"/>
      <c r="X72" s="173"/>
      <c r="Y72" s="173"/>
      <c r="Z72" s="173"/>
      <c r="AA72" s="173"/>
      <c r="AK72" s="510"/>
      <c r="AL72" s="510"/>
      <c r="AM72" s="510"/>
      <c r="AN72" s="510"/>
      <c r="AO72" s="511"/>
      <c r="AP72" s="511"/>
      <c r="AQ72" s="511"/>
      <c r="AR72" s="511"/>
      <c r="AS72" s="384"/>
      <c r="BA72" s="2"/>
      <c r="BB72" s="2"/>
    </row>
    <row r="73" spans="2:54" ht="30" hidden="1" customHeight="1" outlineLevel="1">
      <c r="B73" s="500"/>
      <c r="C73" s="512"/>
      <c r="D73" s="1614"/>
      <c r="E73" s="1615"/>
      <c r="F73" s="1615"/>
      <c r="G73" s="1615"/>
      <c r="H73" s="1615"/>
      <c r="I73" s="1615"/>
      <c r="J73" s="1615"/>
      <c r="K73" s="1615"/>
      <c r="L73" s="1616"/>
      <c r="M73" s="336"/>
      <c r="N73" s="509"/>
      <c r="O73" s="226"/>
      <c r="P73" s="1617"/>
      <c r="Q73" s="1618"/>
      <c r="R73" s="1619"/>
      <c r="S73" s="468"/>
      <c r="T73" s="173"/>
      <c r="U73" s="173"/>
      <c r="V73" s="173"/>
      <c r="W73" s="173"/>
      <c r="X73" s="173"/>
      <c r="Y73" s="173"/>
      <c r="Z73" s="173"/>
      <c r="AA73" s="173"/>
      <c r="AK73" s="510"/>
      <c r="AL73" s="510"/>
      <c r="AM73" s="510"/>
      <c r="AN73" s="510"/>
      <c r="AO73" s="511"/>
      <c r="AP73" s="511"/>
      <c r="AQ73" s="511"/>
      <c r="AR73" s="511"/>
      <c r="AS73" s="384"/>
      <c r="BA73" s="2"/>
      <c r="BB73" s="2"/>
    </row>
    <row r="74" spans="2:54" ht="30" hidden="1" customHeight="1" outlineLevel="1">
      <c r="B74" s="500"/>
      <c r="C74" s="512"/>
      <c r="D74" s="1614"/>
      <c r="E74" s="1615"/>
      <c r="F74" s="1615"/>
      <c r="G74" s="1615"/>
      <c r="H74" s="1615"/>
      <c r="I74" s="1615"/>
      <c r="J74" s="1615"/>
      <c r="K74" s="1615"/>
      <c r="L74" s="1616"/>
      <c r="M74" s="336"/>
      <c r="N74" s="509"/>
      <c r="O74" s="226"/>
      <c r="P74" s="1617"/>
      <c r="Q74" s="1618"/>
      <c r="R74" s="1619"/>
      <c r="S74" s="468"/>
      <c r="T74" s="173"/>
      <c r="U74" s="173"/>
      <c r="V74" s="173"/>
      <c r="W74" s="173"/>
      <c r="X74" s="173"/>
      <c r="Y74" s="173"/>
      <c r="Z74" s="173"/>
      <c r="AA74" s="173"/>
      <c r="AK74" s="510"/>
      <c r="AL74" s="510"/>
      <c r="AM74" s="510"/>
      <c r="AN74" s="510"/>
      <c r="AO74" s="511"/>
      <c r="AP74" s="511"/>
      <c r="AQ74" s="511"/>
      <c r="AR74" s="511"/>
      <c r="AS74" s="384"/>
      <c r="BA74" s="2"/>
      <c r="BB74" s="2"/>
    </row>
    <row r="75" spans="2:54" ht="30" hidden="1" customHeight="1" outlineLevel="1">
      <c r="B75" s="500"/>
      <c r="C75" s="512"/>
      <c r="D75" s="1614"/>
      <c r="E75" s="1615"/>
      <c r="F75" s="1615"/>
      <c r="G75" s="1615"/>
      <c r="H75" s="1615"/>
      <c r="I75" s="1615"/>
      <c r="J75" s="1615"/>
      <c r="K75" s="1615"/>
      <c r="L75" s="1616"/>
      <c r="M75" s="336"/>
      <c r="N75" s="509"/>
      <c r="O75" s="226"/>
      <c r="P75" s="1617"/>
      <c r="Q75" s="1618"/>
      <c r="R75" s="1619"/>
      <c r="S75" s="468"/>
      <c r="T75" s="173"/>
      <c r="U75" s="173"/>
      <c r="V75" s="173"/>
      <c r="W75" s="173"/>
      <c r="X75" s="173"/>
      <c r="Y75" s="173"/>
      <c r="Z75" s="173"/>
      <c r="AA75" s="173"/>
      <c r="AK75" s="510"/>
      <c r="AL75" s="510"/>
      <c r="AM75" s="510"/>
      <c r="AN75" s="510"/>
      <c r="AO75" s="511"/>
      <c r="AP75" s="511"/>
      <c r="AQ75" s="511"/>
      <c r="AR75" s="511"/>
      <c r="AS75" s="384"/>
      <c r="BA75" s="2"/>
      <c r="BB75" s="2"/>
    </row>
    <row r="76" spans="2:54" ht="30" hidden="1" customHeight="1" outlineLevel="1">
      <c r="B76" s="500"/>
      <c r="C76" s="512"/>
      <c r="D76" s="1614"/>
      <c r="E76" s="1615"/>
      <c r="F76" s="1615"/>
      <c r="G76" s="1615"/>
      <c r="H76" s="1615"/>
      <c r="I76" s="1615"/>
      <c r="J76" s="1615"/>
      <c r="K76" s="1615"/>
      <c r="L76" s="1616"/>
      <c r="M76" s="336"/>
      <c r="N76" s="509"/>
      <c r="O76" s="226"/>
      <c r="P76" s="1617"/>
      <c r="Q76" s="1618"/>
      <c r="R76" s="1619"/>
      <c r="S76" s="468"/>
      <c r="T76" s="173"/>
      <c r="U76" s="173"/>
      <c r="V76" s="173"/>
      <c r="W76" s="173"/>
      <c r="X76" s="173"/>
      <c r="Y76" s="173"/>
      <c r="Z76" s="173"/>
      <c r="AA76" s="173"/>
      <c r="AK76" s="510"/>
      <c r="AL76" s="510"/>
      <c r="AM76" s="510"/>
      <c r="AN76" s="510"/>
      <c r="AO76" s="511"/>
      <c r="AP76" s="511"/>
      <c r="AQ76" s="511"/>
      <c r="AR76" s="511"/>
      <c r="AS76" s="384"/>
      <c r="BA76" s="2"/>
      <c r="BB76" s="2"/>
    </row>
    <row r="77" spans="2:54" ht="30" hidden="1" customHeight="1" outlineLevel="1" thickBot="1">
      <c r="B77" s="513"/>
      <c r="C77" s="508"/>
      <c r="D77" s="1623"/>
      <c r="E77" s="1624"/>
      <c r="F77" s="1624"/>
      <c r="G77" s="1624"/>
      <c r="H77" s="1624"/>
      <c r="I77" s="1624"/>
      <c r="J77" s="1624"/>
      <c r="K77" s="1624"/>
      <c r="L77" s="1625"/>
      <c r="M77" s="336"/>
      <c r="N77" s="509"/>
      <c r="O77" s="514"/>
      <c r="P77" s="1626"/>
      <c r="Q77" s="1627"/>
      <c r="R77" s="1628"/>
      <c r="S77" s="468"/>
      <c r="T77" s="173"/>
      <c r="U77" s="173"/>
      <c r="V77" s="173"/>
      <c r="W77" s="173"/>
      <c r="X77" s="173"/>
      <c r="Y77" s="173"/>
      <c r="Z77" s="173"/>
      <c r="AA77" s="173"/>
      <c r="AK77" s="515"/>
      <c r="AL77" s="515"/>
      <c r="AM77" s="515"/>
      <c r="AN77" s="515"/>
      <c r="AO77" s="516"/>
      <c r="AP77" s="516"/>
      <c r="AQ77" s="511"/>
      <c r="AR77" s="516"/>
      <c r="AS77" s="517"/>
      <c r="BA77" s="2"/>
      <c r="BB77" s="2"/>
    </row>
    <row r="78" spans="2:54" ht="30" customHeight="1" thickTop="1">
      <c r="B78" s="1423" t="s">
        <v>267</v>
      </c>
      <c r="C78" s="1571"/>
      <c r="D78" s="1629"/>
      <c r="E78" s="1630"/>
      <c r="F78" s="1630"/>
      <c r="G78" s="1630"/>
      <c r="H78" s="1630"/>
      <c r="I78" s="1630"/>
      <c r="J78" s="1630"/>
      <c r="K78" s="1630"/>
      <c r="L78" s="1631"/>
      <c r="M78" s="518"/>
      <c r="N78" s="519"/>
      <c r="O78" s="1576"/>
      <c r="P78" s="1633"/>
      <c r="Q78" s="1634"/>
      <c r="R78" s="1635"/>
      <c r="S78" s="487"/>
      <c r="T78" s="173"/>
      <c r="U78" s="173"/>
      <c r="V78" s="173"/>
      <c r="W78" s="173"/>
      <c r="X78" s="173"/>
      <c r="Y78" s="173"/>
      <c r="Z78" s="173"/>
      <c r="AA78" s="173"/>
      <c r="AK78" s="1491" t="s">
        <v>267</v>
      </c>
      <c r="AL78" s="1491"/>
      <c r="AM78" s="1636">
        <f t="shared" ref="AM78:AM92" si="8">D78</f>
        <v>0</v>
      </c>
      <c r="AN78" s="1636"/>
      <c r="AO78" s="335">
        <f t="shared" ref="AO78:AO92" si="9">ROUND(M78*P78%,)</f>
        <v>0</v>
      </c>
      <c r="AP78" s="520">
        <f t="shared" ref="AP78:AP92" si="10">N78</f>
        <v>0</v>
      </c>
      <c r="AQ78" s="521"/>
      <c r="AR78" s="489" t="str">
        <f t="shared" ref="AR78:AR92" si="11">"円/"&amp;AP78</f>
        <v>円/0</v>
      </c>
      <c r="AS78" s="224">
        <f>ROUND(AO78*AQ78,)</f>
        <v>0</v>
      </c>
    </row>
    <row r="79" spans="2:54" ht="30" customHeight="1" collapsed="1" thickBot="1">
      <c r="B79" s="1425"/>
      <c r="C79" s="1572"/>
      <c r="D79" s="1588"/>
      <c r="E79" s="1589"/>
      <c r="F79" s="1589"/>
      <c r="G79" s="1589"/>
      <c r="H79" s="1589"/>
      <c r="I79" s="1589"/>
      <c r="J79" s="1589"/>
      <c r="K79" s="1589"/>
      <c r="L79" s="1637"/>
      <c r="M79" s="522"/>
      <c r="N79" s="523"/>
      <c r="O79" s="1577"/>
      <c r="P79" s="1638"/>
      <c r="Q79" s="1639"/>
      <c r="R79" s="1640"/>
      <c r="S79" s="487"/>
      <c r="T79" s="173"/>
      <c r="U79" s="173"/>
      <c r="V79" s="173"/>
      <c r="W79" s="173"/>
      <c r="X79" s="173"/>
      <c r="Y79" s="173"/>
      <c r="Z79" s="173"/>
      <c r="AA79" s="173"/>
      <c r="AK79" s="1491"/>
      <c r="AL79" s="1491"/>
      <c r="AM79" s="1636">
        <f t="shared" si="8"/>
        <v>0</v>
      </c>
      <c r="AN79" s="1636"/>
      <c r="AO79" s="335">
        <f t="shared" si="9"/>
        <v>0</v>
      </c>
      <c r="AP79" s="520">
        <f t="shared" si="10"/>
        <v>0</v>
      </c>
      <c r="AQ79" s="524"/>
      <c r="AR79" s="489" t="str">
        <f t="shared" si="11"/>
        <v>円/0</v>
      </c>
      <c r="AS79" s="224">
        <f t="shared" ref="AS79:AS92" si="12">ROUND(AO79*AQ79,)</f>
        <v>0</v>
      </c>
    </row>
    <row r="80" spans="2:54" ht="30" hidden="1" customHeight="1" outlineLevel="1">
      <c r="B80" s="1425"/>
      <c r="C80" s="1572"/>
      <c r="D80" s="1597"/>
      <c r="E80" s="1598"/>
      <c r="F80" s="1598"/>
      <c r="G80" s="1598"/>
      <c r="H80" s="1598"/>
      <c r="I80" s="1598"/>
      <c r="J80" s="1598"/>
      <c r="K80" s="1598"/>
      <c r="L80" s="1641"/>
      <c r="M80" s="525"/>
      <c r="N80" s="526"/>
      <c r="O80" s="1577"/>
      <c r="P80" s="1645"/>
      <c r="Q80" s="1646"/>
      <c r="R80" s="1647"/>
      <c r="S80" s="487"/>
      <c r="T80" s="173"/>
      <c r="U80" s="173"/>
      <c r="V80" s="173"/>
      <c r="W80" s="173"/>
      <c r="X80" s="173"/>
      <c r="Y80" s="173"/>
      <c r="Z80" s="173"/>
      <c r="AA80" s="173"/>
      <c r="AK80" s="1491"/>
      <c r="AL80" s="1491"/>
      <c r="AM80" s="1636">
        <f t="shared" si="8"/>
        <v>0</v>
      </c>
      <c r="AN80" s="1636"/>
      <c r="AO80" s="335">
        <f t="shared" si="9"/>
        <v>0</v>
      </c>
      <c r="AP80" s="520">
        <f t="shared" si="10"/>
        <v>0</v>
      </c>
      <c r="AQ80" s="524"/>
      <c r="AR80" s="489" t="str">
        <f t="shared" si="11"/>
        <v>円/0</v>
      </c>
      <c r="AS80" s="224">
        <f t="shared" si="12"/>
        <v>0</v>
      </c>
    </row>
    <row r="81" spans="2:45" ht="30" hidden="1" customHeight="1" outlineLevel="1">
      <c r="B81" s="1425"/>
      <c r="C81" s="1572"/>
      <c r="D81" s="1642"/>
      <c r="E81" s="1643"/>
      <c r="F81" s="1643"/>
      <c r="G81" s="1643"/>
      <c r="H81" s="1643"/>
      <c r="I81" s="1643"/>
      <c r="J81" s="1643"/>
      <c r="K81" s="1643"/>
      <c r="L81" s="1644"/>
      <c r="M81" s="527"/>
      <c r="N81" s="528"/>
      <c r="O81" s="1577"/>
      <c r="P81" s="1645"/>
      <c r="Q81" s="1646"/>
      <c r="R81" s="1647"/>
      <c r="S81" s="487"/>
      <c r="T81" s="173"/>
      <c r="U81" s="173"/>
      <c r="V81" s="173"/>
      <c r="W81" s="173"/>
      <c r="X81" s="173"/>
      <c r="Y81" s="173"/>
      <c r="Z81" s="173"/>
      <c r="AA81" s="173"/>
      <c r="AK81" s="1491"/>
      <c r="AL81" s="1491"/>
      <c r="AM81" s="1636">
        <f t="shared" si="8"/>
        <v>0</v>
      </c>
      <c r="AN81" s="1636"/>
      <c r="AO81" s="335">
        <f t="shared" si="9"/>
        <v>0</v>
      </c>
      <c r="AP81" s="520">
        <f t="shared" si="10"/>
        <v>0</v>
      </c>
      <c r="AQ81" s="524"/>
      <c r="AR81" s="489" t="str">
        <f t="shared" si="11"/>
        <v>円/0</v>
      </c>
      <c r="AS81" s="224">
        <f t="shared" si="12"/>
        <v>0</v>
      </c>
    </row>
    <row r="82" spans="2:45" ht="30" hidden="1" customHeight="1" outlineLevel="1">
      <c r="B82" s="1425"/>
      <c r="C82" s="1572"/>
      <c r="D82" s="1642"/>
      <c r="E82" s="1643"/>
      <c r="F82" s="1643"/>
      <c r="G82" s="1643"/>
      <c r="H82" s="1643"/>
      <c r="I82" s="1643"/>
      <c r="J82" s="1643"/>
      <c r="K82" s="1643"/>
      <c r="L82" s="1644"/>
      <c r="M82" s="527"/>
      <c r="N82" s="528"/>
      <c r="O82" s="1577"/>
      <c r="P82" s="1645"/>
      <c r="Q82" s="1646"/>
      <c r="R82" s="1647"/>
      <c r="S82" s="487"/>
      <c r="T82" s="173"/>
      <c r="U82" s="173"/>
      <c r="V82" s="173"/>
      <c r="W82" s="173"/>
      <c r="X82" s="173"/>
      <c r="Y82" s="173"/>
      <c r="Z82" s="173"/>
      <c r="AA82" s="173"/>
      <c r="AK82" s="1491"/>
      <c r="AL82" s="1491"/>
      <c r="AM82" s="1636">
        <f t="shared" si="8"/>
        <v>0</v>
      </c>
      <c r="AN82" s="1636"/>
      <c r="AO82" s="335">
        <f t="shared" si="9"/>
        <v>0</v>
      </c>
      <c r="AP82" s="520">
        <f t="shared" si="10"/>
        <v>0</v>
      </c>
      <c r="AQ82" s="524"/>
      <c r="AR82" s="489" t="str">
        <f t="shared" si="11"/>
        <v>円/0</v>
      </c>
      <c r="AS82" s="224">
        <f t="shared" si="12"/>
        <v>0</v>
      </c>
    </row>
    <row r="83" spans="2:45" ht="30" hidden="1" customHeight="1" outlineLevel="1">
      <c r="B83" s="1425"/>
      <c r="C83" s="1572"/>
      <c r="D83" s="1642"/>
      <c r="E83" s="1643"/>
      <c r="F83" s="1643"/>
      <c r="G83" s="1643"/>
      <c r="H83" s="1643"/>
      <c r="I83" s="1643"/>
      <c r="J83" s="1643"/>
      <c r="K83" s="1643"/>
      <c r="L83" s="1644"/>
      <c r="M83" s="527"/>
      <c r="N83" s="528"/>
      <c r="O83" s="1577"/>
      <c r="P83" s="1645"/>
      <c r="Q83" s="1646"/>
      <c r="R83" s="1647"/>
      <c r="S83" s="487"/>
      <c r="T83" s="173"/>
      <c r="U83" s="173"/>
      <c r="V83" s="173"/>
      <c r="W83" s="173"/>
      <c r="X83" s="173"/>
      <c r="Y83" s="173"/>
      <c r="Z83" s="173"/>
      <c r="AA83" s="173"/>
      <c r="AK83" s="1491"/>
      <c r="AL83" s="1491"/>
      <c r="AM83" s="1636">
        <f t="shared" si="8"/>
        <v>0</v>
      </c>
      <c r="AN83" s="1636"/>
      <c r="AO83" s="335">
        <f t="shared" si="9"/>
        <v>0</v>
      </c>
      <c r="AP83" s="520">
        <f t="shared" si="10"/>
        <v>0</v>
      </c>
      <c r="AQ83" s="524"/>
      <c r="AR83" s="489" t="str">
        <f t="shared" si="11"/>
        <v>円/0</v>
      </c>
      <c r="AS83" s="224">
        <f t="shared" si="12"/>
        <v>0</v>
      </c>
    </row>
    <row r="84" spans="2:45" ht="30" hidden="1" customHeight="1" outlineLevel="1">
      <c r="B84" s="1425"/>
      <c r="C84" s="1572"/>
      <c r="D84" s="1642"/>
      <c r="E84" s="1643"/>
      <c r="F84" s="1643"/>
      <c r="G84" s="1643"/>
      <c r="H84" s="1643"/>
      <c r="I84" s="1643"/>
      <c r="J84" s="1643"/>
      <c r="K84" s="1643"/>
      <c r="L84" s="1644"/>
      <c r="M84" s="527"/>
      <c r="N84" s="528"/>
      <c r="O84" s="1577"/>
      <c r="P84" s="1645"/>
      <c r="Q84" s="1646"/>
      <c r="R84" s="1647"/>
      <c r="S84" s="487"/>
      <c r="T84" s="173"/>
      <c r="U84" s="173"/>
      <c r="V84" s="173"/>
      <c r="W84" s="173"/>
      <c r="X84" s="173"/>
      <c r="Y84" s="173"/>
      <c r="Z84" s="173"/>
      <c r="AA84" s="173"/>
      <c r="AK84" s="1491"/>
      <c r="AL84" s="1491"/>
      <c r="AM84" s="1636">
        <f t="shared" si="8"/>
        <v>0</v>
      </c>
      <c r="AN84" s="1636"/>
      <c r="AO84" s="335">
        <f t="shared" si="9"/>
        <v>0</v>
      </c>
      <c r="AP84" s="520">
        <f t="shared" si="10"/>
        <v>0</v>
      </c>
      <c r="AQ84" s="524"/>
      <c r="AR84" s="489" t="str">
        <f t="shared" si="11"/>
        <v>円/0</v>
      </c>
      <c r="AS84" s="224">
        <f t="shared" si="12"/>
        <v>0</v>
      </c>
    </row>
    <row r="85" spans="2:45" ht="30" hidden="1" customHeight="1" outlineLevel="1">
      <c r="B85" s="1425"/>
      <c r="C85" s="1572"/>
      <c r="D85" s="1642"/>
      <c r="E85" s="1643"/>
      <c r="F85" s="1643"/>
      <c r="G85" s="1643"/>
      <c r="H85" s="1643"/>
      <c r="I85" s="1643"/>
      <c r="J85" s="1643"/>
      <c r="K85" s="1643"/>
      <c r="L85" s="1644"/>
      <c r="M85" s="527"/>
      <c r="N85" s="528"/>
      <c r="O85" s="1577"/>
      <c r="P85" s="1645"/>
      <c r="Q85" s="1646"/>
      <c r="R85" s="1647"/>
      <c r="S85" s="487"/>
      <c r="T85" s="173"/>
      <c r="U85" s="173"/>
      <c r="V85" s="173"/>
      <c r="W85" s="173"/>
      <c r="X85" s="173"/>
      <c r="Y85" s="173"/>
      <c r="Z85" s="173"/>
      <c r="AA85" s="173"/>
      <c r="AK85" s="1491"/>
      <c r="AL85" s="1491"/>
      <c r="AM85" s="1636">
        <f t="shared" si="8"/>
        <v>0</v>
      </c>
      <c r="AN85" s="1636"/>
      <c r="AO85" s="335">
        <f t="shared" si="9"/>
        <v>0</v>
      </c>
      <c r="AP85" s="520">
        <f t="shared" si="10"/>
        <v>0</v>
      </c>
      <c r="AQ85" s="524"/>
      <c r="AR85" s="489" t="str">
        <f t="shared" si="11"/>
        <v>円/0</v>
      </c>
      <c r="AS85" s="224">
        <f t="shared" si="12"/>
        <v>0</v>
      </c>
    </row>
    <row r="86" spans="2:45" ht="30" hidden="1" customHeight="1" outlineLevel="1">
      <c r="B86" s="1425"/>
      <c r="C86" s="1572"/>
      <c r="D86" s="1642"/>
      <c r="E86" s="1643"/>
      <c r="F86" s="1643"/>
      <c r="G86" s="1643"/>
      <c r="H86" s="1643"/>
      <c r="I86" s="1643"/>
      <c r="J86" s="1643"/>
      <c r="K86" s="1643"/>
      <c r="L86" s="1644"/>
      <c r="M86" s="527"/>
      <c r="N86" s="528"/>
      <c r="O86" s="1577"/>
      <c r="P86" s="1645"/>
      <c r="Q86" s="1646"/>
      <c r="R86" s="1647"/>
      <c r="S86" s="487"/>
      <c r="T86" s="173"/>
      <c r="U86" s="173"/>
      <c r="V86" s="173"/>
      <c r="W86" s="173"/>
      <c r="X86" s="173"/>
      <c r="Y86" s="173"/>
      <c r="Z86" s="173"/>
      <c r="AA86" s="173"/>
      <c r="AK86" s="1491"/>
      <c r="AL86" s="1491"/>
      <c r="AM86" s="1636">
        <f t="shared" si="8"/>
        <v>0</v>
      </c>
      <c r="AN86" s="1636"/>
      <c r="AO86" s="335">
        <f t="shared" si="9"/>
        <v>0</v>
      </c>
      <c r="AP86" s="520">
        <f t="shared" si="10"/>
        <v>0</v>
      </c>
      <c r="AQ86" s="524"/>
      <c r="AR86" s="489" t="str">
        <f t="shared" si="11"/>
        <v>円/0</v>
      </c>
      <c r="AS86" s="224">
        <f t="shared" si="12"/>
        <v>0</v>
      </c>
    </row>
    <row r="87" spans="2:45" ht="30" hidden="1" customHeight="1" outlineLevel="1">
      <c r="B87" s="1425"/>
      <c r="C87" s="1572"/>
      <c r="D87" s="1642"/>
      <c r="E87" s="1643"/>
      <c r="F87" s="1643"/>
      <c r="G87" s="1643"/>
      <c r="H87" s="1643"/>
      <c r="I87" s="1643"/>
      <c r="J87" s="1643"/>
      <c r="K87" s="1643"/>
      <c r="L87" s="1644"/>
      <c r="M87" s="527"/>
      <c r="N87" s="528"/>
      <c r="O87" s="1577"/>
      <c r="P87" s="1645"/>
      <c r="Q87" s="1646"/>
      <c r="R87" s="1647"/>
      <c r="S87" s="487"/>
      <c r="T87" s="173"/>
      <c r="U87" s="173"/>
      <c r="V87" s="173"/>
      <c r="W87" s="173"/>
      <c r="X87" s="173"/>
      <c r="Y87" s="173"/>
      <c r="Z87" s="173"/>
      <c r="AA87" s="173"/>
      <c r="AK87" s="1491"/>
      <c r="AL87" s="1491"/>
      <c r="AM87" s="1636">
        <f t="shared" si="8"/>
        <v>0</v>
      </c>
      <c r="AN87" s="1636"/>
      <c r="AO87" s="335">
        <f t="shared" si="9"/>
        <v>0</v>
      </c>
      <c r="AP87" s="520">
        <f t="shared" si="10"/>
        <v>0</v>
      </c>
      <c r="AQ87" s="524"/>
      <c r="AR87" s="489" t="str">
        <f t="shared" si="11"/>
        <v>円/0</v>
      </c>
      <c r="AS87" s="224">
        <f t="shared" si="12"/>
        <v>0</v>
      </c>
    </row>
    <row r="88" spans="2:45" ht="30" hidden="1" customHeight="1" outlineLevel="1">
      <c r="B88" s="1425"/>
      <c r="C88" s="1572"/>
      <c r="D88" s="1642"/>
      <c r="E88" s="1643"/>
      <c r="F88" s="1643"/>
      <c r="G88" s="1643"/>
      <c r="H88" s="1643"/>
      <c r="I88" s="1643"/>
      <c r="J88" s="1643"/>
      <c r="K88" s="1643"/>
      <c r="L88" s="1644"/>
      <c r="M88" s="527"/>
      <c r="N88" s="528"/>
      <c r="O88" s="1577"/>
      <c r="P88" s="1645"/>
      <c r="Q88" s="1646"/>
      <c r="R88" s="1647"/>
      <c r="S88" s="487"/>
      <c r="T88" s="173"/>
      <c r="U88" s="173"/>
      <c r="V88" s="173"/>
      <c r="W88" s="173"/>
      <c r="X88" s="173"/>
      <c r="Y88" s="173"/>
      <c r="Z88" s="173"/>
      <c r="AA88" s="173"/>
      <c r="AK88" s="1491"/>
      <c r="AL88" s="1491"/>
      <c r="AM88" s="1636">
        <f t="shared" si="8"/>
        <v>0</v>
      </c>
      <c r="AN88" s="1636"/>
      <c r="AO88" s="335">
        <f t="shared" si="9"/>
        <v>0</v>
      </c>
      <c r="AP88" s="520">
        <f t="shared" si="10"/>
        <v>0</v>
      </c>
      <c r="AQ88" s="524"/>
      <c r="AR88" s="489" t="str">
        <f t="shared" si="11"/>
        <v>円/0</v>
      </c>
      <c r="AS88" s="224">
        <f t="shared" si="12"/>
        <v>0</v>
      </c>
    </row>
    <row r="89" spans="2:45" ht="30" hidden="1" customHeight="1" outlineLevel="1">
      <c r="B89" s="1425"/>
      <c r="C89" s="1572"/>
      <c r="D89" s="1642"/>
      <c r="E89" s="1643"/>
      <c r="F89" s="1643"/>
      <c r="G89" s="1643"/>
      <c r="H89" s="1643"/>
      <c r="I89" s="1643"/>
      <c r="J89" s="1643"/>
      <c r="K89" s="1643"/>
      <c r="L89" s="1644"/>
      <c r="M89" s="527"/>
      <c r="N89" s="528"/>
      <c r="O89" s="1577"/>
      <c r="P89" s="1645"/>
      <c r="Q89" s="1646"/>
      <c r="R89" s="1647"/>
      <c r="S89" s="487"/>
      <c r="T89" s="173"/>
      <c r="U89" s="173"/>
      <c r="V89" s="173"/>
      <c r="W89" s="173"/>
      <c r="X89" s="173"/>
      <c r="Y89" s="173"/>
      <c r="Z89" s="173"/>
      <c r="AA89" s="173"/>
      <c r="AK89" s="1491"/>
      <c r="AL89" s="1491"/>
      <c r="AM89" s="1636">
        <f t="shared" si="8"/>
        <v>0</v>
      </c>
      <c r="AN89" s="1636"/>
      <c r="AO89" s="335">
        <f t="shared" si="9"/>
        <v>0</v>
      </c>
      <c r="AP89" s="520">
        <f t="shared" si="10"/>
        <v>0</v>
      </c>
      <c r="AQ89" s="524"/>
      <c r="AR89" s="489" t="str">
        <f t="shared" si="11"/>
        <v>円/0</v>
      </c>
      <c r="AS89" s="224">
        <f t="shared" si="12"/>
        <v>0</v>
      </c>
    </row>
    <row r="90" spans="2:45" ht="30" hidden="1" customHeight="1" outlineLevel="1">
      <c r="B90" s="1425"/>
      <c r="C90" s="1572"/>
      <c r="D90" s="1642"/>
      <c r="E90" s="1643"/>
      <c r="F90" s="1643"/>
      <c r="G90" s="1643"/>
      <c r="H90" s="1643"/>
      <c r="I90" s="1643"/>
      <c r="J90" s="1643"/>
      <c r="K90" s="1643"/>
      <c r="L90" s="1644"/>
      <c r="M90" s="527"/>
      <c r="N90" s="528"/>
      <c r="O90" s="1577"/>
      <c r="P90" s="1645"/>
      <c r="Q90" s="1646"/>
      <c r="R90" s="1647"/>
      <c r="S90" s="487"/>
      <c r="T90" s="173"/>
      <c r="U90" s="173"/>
      <c r="V90" s="173"/>
      <c r="W90" s="173"/>
      <c r="X90" s="173"/>
      <c r="Y90" s="173"/>
      <c r="Z90" s="173"/>
      <c r="AA90" s="173"/>
      <c r="AK90" s="1491"/>
      <c r="AL90" s="1491"/>
      <c r="AM90" s="1636">
        <f t="shared" si="8"/>
        <v>0</v>
      </c>
      <c r="AN90" s="1636"/>
      <c r="AO90" s="335">
        <f t="shared" si="9"/>
        <v>0</v>
      </c>
      <c r="AP90" s="520">
        <f t="shared" si="10"/>
        <v>0</v>
      </c>
      <c r="AQ90" s="524"/>
      <c r="AR90" s="489" t="str">
        <f t="shared" si="11"/>
        <v>円/0</v>
      </c>
      <c r="AS90" s="224">
        <f t="shared" si="12"/>
        <v>0</v>
      </c>
    </row>
    <row r="91" spans="2:45" ht="30" hidden="1" customHeight="1" outlineLevel="1">
      <c r="B91" s="1425"/>
      <c r="C91" s="1572"/>
      <c r="D91" s="1642"/>
      <c r="E91" s="1643"/>
      <c r="F91" s="1643"/>
      <c r="G91" s="1643"/>
      <c r="H91" s="1643"/>
      <c r="I91" s="1643"/>
      <c r="J91" s="1643"/>
      <c r="K91" s="1643"/>
      <c r="L91" s="1644"/>
      <c r="M91" s="527"/>
      <c r="N91" s="528"/>
      <c r="O91" s="1577"/>
      <c r="P91" s="1645"/>
      <c r="Q91" s="1646"/>
      <c r="R91" s="1647"/>
      <c r="S91" s="487"/>
      <c r="T91" s="173"/>
      <c r="U91" s="173"/>
      <c r="V91" s="173"/>
      <c r="W91" s="173"/>
      <c r="X91" s="173"/>
      <c r="Y91" s="173"/>
      <c r="Z91" s="173"/>
      <c r="AA91" s="173"/>
      <c r="AK91" s="1491"/>
      <c r="AL91" s="1491"/>
      <c r="AM91" s="1636">
        <f t="shared" si="8"/>
        <v>0</v>
      </c>
      <c r="AN91" s="1636"/>
      <c r="AO91" s="335">
        <f t="shared" si="9"/>
        <v>0</v>
      </c>
      <c r="AP91" s="520">
        <f t="shared" si="10"/>
        <v>0</v>
      </c>
      <c r="AQ91" s="524"/>
      <c r="AR91" s="489" t="str">
        <f t="shared" si="11"/>
        <v>円/0</v>
      </c>
      <c r="AS91" s="224">
        <f t="shared" si="12"/>
        <v>0</v>
      </c>
    </row>
    <row r="92" spans="2:45" ht="30" hidden="1" customHeight="1" outlineLevel="1" thickBot="1">
      <c r="B92" s="1425"/>
      <c r="C92" s="1572"/>
      <c r="D92" s="1648"/>
      <c r="E92" s="1649"/>
      <c r="F92" s="1649"/>
      <c r="G92" s="1649"/>
      <c r="H92" s="1649"/>
      <c r="I92" s="1649"/>
      <c r="J92" s="1649"/>
      <c r="K92" s="1649"/>
      <c r="L92" s="1650"/>
      <c r="M92" s="529"/>
      <c r="N92" s="353"/>
      <c r="O92" s="1632"/>
      <c r="P92" s="1645"/>
      <c r="Q92" s="1646"/>
      <c r="R92" s="1647"/>
      <c r="S92" s="487"/>
      <c r="T92" s="173"/>
      <c r="U92" s="173"/>
      <c r="V92" s="173"/>
      <c r="W92" s="173"/>
      <c r="X92" s="173"/>
      <c r="Y92" s="173"/>
      <c r="Z92" s="173"/>
      <c r="AA92" s="173"/>
      <c r="AK92" s="1491"/>
      <c r="AL92" s="1491"/>
      <c r="AM92" s="1651">
        <f t="shared" si="8"/>
        <v>0</v>
      </c>
      <c r="AN92" s="1651"/>
      <c r="AO92" s="432">
        <f t="shared" si="9"/>
        <v>0</v>
      </c>
      <c r="AP92" s="530">
        <f t="shared" si="10"/>
        <v>0</v>
      </c>
      <c r="AQ92" s="531"/>
      <c r="AR92" s="532" t="str">
        <f t="shared" si="11"/>
        <v>円/0</v>
      </c>
      <c r="AS92" s="533">
        <f t="shared" si="12"/>
        <v>0</v>
      </c>
    </row>
    <row r="93" spans="2:45" ht="30" customHeight="1" thickTop="1">
      <c r="B93" s="534"/>
      <c r="C93" s="380"/>
      <c r="D93" s="381"/>
      <c r="E93" s="381"/>
      <c r="F93" s="381"/>
      <c r="G93" s="381"/>
      <c r="H93" s="381"/>
      <c r="I93" s="381"/>
      <c r="J93" s="381"/>
      <c r="K93" s="381"/>
      <c r="L93" s="381"/>
      <c r="M93" s="381"/>
      <c r="N93" s="381"/>
      <c r="O93" s="380"/>
      <c r="P93" s="381"/>
      <c r="Q93" s="381"/>
      <c r="R93" s="381"/>
      <c r="S93" s="173"/>
      <c r="T93" s="173"/>
      <c r="U93" s="173"/>
      <c r="V93" s="173"/>
      <c r="W93" s="173"/>
      <c r="X93" s="173"/>
      <c r="Y93" s="173"/>
      <c r="Z93" s="173"/>
      <c r="AA93" s="173"/>
      <c r="AK93" s="1526" t="s">
        <v>381</v>
      </c>
      <c r="AL93" s="1526"/>
      <c r="AM93" s="1507"/>
      <c r="AN93" s="1507"/>
      <c r="AO93" s="535"/>
      <c r="AP93" s="535"/>
      <c r="AQ93" s="536"/>
      <c r="AR93" s="535"/>
      <c r="AS93" s="335">
        <f>SUM(AS78:AS92)</f>
        <v>0</v>
      </c>
    </row>
    <row r="94" spans="2:45" ht="30" customHeight="1">
      <c r="AK94" s="2"/>
      <c r="AL94" s="2"/>
      <c r="AM94" s="2"/>
      <c r="AN94" s="2"/>
      <c r="AO94" s="2"/>
      <c r="AQ94" s="2"/>
      <c r="AS94" s="2"/>
    </row>
    <row r="95" spans="2:45" ht="30" customHeight="1"/>
    <row r="96" spans="2:45" ht="30" customHeight="1"/>
    <row r="98" spans="37:45" ht="14.25" customHeight="1">
      <c r="AK98" s="2"/>
      <c r="AL98" s="2"/>
      <c r="AM98" s="2"/>
      <c r="AN98" s="2"/>
      <c r="AO98" s="2"/>
      <c r="AQ98" s="2"/>
      <c r="AS98" s="2"/>
    </row>
    <row r="99" spans="37:45" ht="14.25" customHeight="1">
      <c r="AK99" s="2"/>
      <c r="AL99" s="2"/>
      <c r="AM99" s="2"/>
      <c r="AN99" s="2"/>
      <c r="AO99" s="2"/>
      <c r="AQ99" s="2"/>
      <c r="AS99" s="2"/>
    </row>
    <row r="100" spans="37:45" ht="14.25" customHeight="1">
      <c r="AK100" s="2"/>
      <c r="AL100" s="2"/>
      <c r="AM100" s="2"/>
      <c r="AN100" s="2"/>
      <c r="AO100" s="2"/>
      <c r="AQ100" s="2"/>
      <c r="AS100" s="2"/>
    </row>
    <row r="102" spans="37:45" ht="14.25" customHeight="1">
      <c r="AK102" s="2"/>
      <c r="AL102" s="2"/>
      <c r="AM102" s="2"/>
      <c r="AN102" s="2"/>
      <c r="AO102" s="2"/>
      <c r="AQ102" s="2"/>
    </row>
    <row r="103" spans="37:45" ht="14.25" customHeight="1">
      <c r="AK103" s="2"/>
      <c r="AL103" s="2"/>
      <c r="AM103" s="2"/>
      <c r="AN103" s="2"/>
      <c r="AO103" s="2"/>
      <c r="AQ103" s="2"/>
    </row>
    <row r="104" spans="37:45" ht="23.25" customHeight="1">
      <c r="AK104" s="2"/>
      <c r="AL104" s="2"/>
      <c r="AM104" s="2"/>
      <c r="AN104" s="2"/>
      <c r="AO104" s="2"/>
      <c r="AQ104" s="2"/>
    </row>
    <row r="105" spans="37:45" ht="23.25" customHeight="1">
      <c r="AK105" s="2"/>
      <c r="AL105" s="2"/>
      <c r="AM105" s="2"/>
      <c r="AN105" s="2"/>
      <c r="AO105" s="2"/>
      <c r="AQ105" s="2"/>
    </row>
    <row r="106" spans="37:45" ht="14.25" customHeight="1">
      <c r="AK106" s="2"/>
      <c r="AL106" s="2"/>
      <c r="AM106" s="2"/>
      <c r="AN106" s="2"/>
      <c r="AO106" s="2"/>
      <c r="AQ106" s="2"/>
    </row>
    <row r="107" spans="37:45" ht="14.25" customHeight="1">
      <c r="AK107" s="2"/>
      <c r="AL107" s="2"/>
      <c r="AM107" s="2"/>
      <c r="AN107" s="2"/>
      <c r="AO107" s="2"/>
      <c r="AQ107" s="2"/>
    </row>
    <row r="108" spans="37:45" ht="14.25" customHeight="1">
      <c r="AK108" s="2"/>
      <c r="AL108" s="2"/>
      <c r="AM108" s="2"/>
      <c r="AN108" s="2"/>
      <c r="AO108" s="2"/>
      <c r="AQ108" s="2"/>
    </row>
    <row r="109" spans="37:45" ht="23.25" customHeight="1">
      <c r="AK109" s="2"/>
      <c r="AL109" s="2"/>
      <c r="AM109" s="2"/>
      <c r="AN109" s="2"/>
      <c r="AO109" s="2"/>
      <c r="AQ109" s="2"/>
    </row>
    <row r="110" spans="37:45" ht="23.25" customHeight="1">
      <c r="AK110" s="2"/>
      <c r="AL110" s="2"/>
      <c r="AM110" s="2"/>
      <c r="AN110" s="2"/>
      <c r="AO110" s="2"/>
      <c r="AQ110" s="2"/>
    </row>
    <row r="111" spans="37:45" ht="14.25" customHeight="1">
      <c r="AK111" s="2"/>
      <c r="AL111" s="2"/>
      <c r="AM111" s="2"/>
      <c r="AN111" s="2"/>
      <c r="AO111" s="2"/>
      <c r="AQ111" s="2"/>
    </row>
    <row r="112" spans="37:45" ht="14.25" customHeight="1">
      <c r="AK112" s="2"/>
      <c r="AL112" s="2"/>
      <c r="AM112" s="2"/>
      <c r="AN112" s="2"/>
      <c r="AO112" s="2"/>
      <c r="AQ112" s="2"/>
    </row>
    <row r="113" spans="37:43" ht="14.25" customHeight="1">
      <c r="AK113" s="2"/>
      <c r="AL113" s="2"/>
      <c r="AM113" s="2"/>
      <c r="AN113" s="2"/>
      <c r="AO113" s="2"/>
      <c r="AQ113" s="2"/>
    </row>
    <row r="114" spans="37:43" ht="14.25" customHeight="1">
      <c r="AK114" s="2"/>
      <c r="AL114" s="2"/>
      <c r="AM114" s="2"/>
      <c r="AN114" s="2"/>
      <c r="AO114" s="2"/>
      <c r="AQ114" s="2"/>
    </row>
    <row r="115" spans="37:43" ht="14.25" customHeight="1">
      <c r="AK115" s="2"/>
      <c r="AL115" s="2"/>
      <c r="AM115" s="2"/>
      <c r="AN115" s="2"/>
      <c r="AO115" s="2"/>
      <c r="AQ115" s="2"/>
    </row>
    <row r="116" spans="37:43" ht="14.25" customHeight="1">
      <c r="AK116" s="2"/>
      <c r="AL116" s="2"/>
      <c r="AM116" s="2"/>
      <c r="AN116" s="2"/>
      <c r="AO116" s="2"/>
      <c r="AQ116" s="2"/>
    </row>
    <row r="117" spans="37:43" ht="14.25" customHeight="1">
      <c r="AK117" s="2"/>
      <c r="AL117" s="2"/>
      <c r="AM117" s="2"/>
      <c r="AN117" s="2"/>
      <c r="AO117" s="2"/>
      <c r="AQ117" s="2"/>
    </row>
  </sheetData>
  <sheetProtection sheet="1" objects="1" scenarios="1" selectLockedCells="1"/>
  <mergeCells count="216">
    <mergeCell ref="AK93:AN93"/>
    <mergeCell ref="D91:L91"/>
    <mergeCell ref="P91:R91"/>
    <mergeCell ref="AM91:AN91"/>
    <mergeCell ref="D92:L92"/>
    <mergeCell ref="P92:R92"/>
    <mergeCell ref="AM92:AN92"/>
    <mergeCell ref="D89:L89"/>
    <mergeCell ref="P89:R89"/>
    <mergeCell ref="AM89:AN89"/>
    <mergeCell ref="D90:L90"/>
    <mergeCell ref="P90:R90"/>
    <mergeCell ref="AM90:AN90"/>
    <mergeCell ref="D87:L87"/>
    <mergeCell ref="P87:R87"/>
    <mergeCell ref="AM87:AN87"/>
    <mergeCell ref="D88:L88"/>
    <mergeCell ref="P88:R88"/>
    <mergeCell ref="AM88:AN88"/>
    <mergeCell ref="D85:L85"/>
    <mergeCell ref="P85:R85"/>
    <mergeCell ref="AM85:AN85"/>
    <mergeCell ref="D86:L86"/>
    <mergeCell ref="P86:R86"/>
    <mergeCell ref="AM86:AN86"/>
    <mergeCell ref="B78:C92"/>
    <mergeCell ref="D78:L78"/>
    <mergeCell ref="O78:O92"/>
    <mergeCell ref="P78:R78"/>
    <mergeCell ref="AK78:AL92"/>
    <mergeCell ref="AM78:AN78"/>
    <mergeCell ref="D79:L79"/>
    <mergeCell ref="P79:R79"/>
    <mergeCell ref="AM79:AN79"/>
    <mergeCell ref="D80:L80"/>
    <mergeCell ref="D83:L83"/>
    <mergeCell ref="P83:R83"/>
    <mergeCell ref="AM83:AN83"/>
    <mergeCell ref="D84:L84"/>
    <mergeCell ref="P84:R84"/>
    <mergeCell ref="AM84:AN84"/>
    <mergeCell ref="P80:R80"/>
    <mergeCell ref="AM80:AN80"/>
    <mergeCell ref="D81:L81"/>
    <mergeCell ref="P81:R81"/>
    <mergeCell ref="AM81:AN81"/>
    <mergeCell ref="D82:L82"/>
    <mergeCell ref="P82:R82"/>
    <mergeCell ref="AM82:AN82"/>
    <mergeCell ref="D75:L75"/>
    <mergeCell ref="P75:R75"/>
    <mergeCell ref="D76:L76"/>
    <mergeCell ref="P76:R76"/>
    <mergeCell ref="D77:L77"/>
    <mergeCell ref="P77:R77"/>
    <mergeCell ref="D72:L72"/>
    <mergeCell ref="P72:R72"/>
    <mergeCell ref="D73:L73"/>
    <mergeCell ref="P73:R73"/>
    <mergeCell ref="D74:L74"/>
    <mergeCell ref="P74:R74"/>
    <mergeCell ref="D69:L69"/>
    <mergeCell ref="P69:R69"/>
    <mergeCell ref="D70:L70"/>
    <mergeCell ref="P70:R70"/>
    <mergeCell ref="D71:L71"/>
    <mergeCell ref="P71:R71"/>
    <mergeCell ref="D66:L66"/>
    <mergeCell ref="P66:R66"/>
    <mergeCell ref="D67:L67"/>
    <mergeCell ref="P67:R67"/>
    <mergeCell ref="D68:L68"/>
    <mergeCell ref="P68:R68"/>
    <mergeCell ref="D63:L63"/>
    <mergeCell ref="P63:R63"/>
    <mergeCell ref="D64:L64"/>
    <mergeCell ref="P64:R64"/>
    <mergeCell ref="D65:L65"/>
    <mergeCell ref="P65:R65"/>
    <mergeCell ref="D60:L60"/>
    <mergeCell ref="P60:R60"/>
    <mergeCell ref="D61:L61"/>
    <mergeCell ref="P61:R61"/>
    <mergeCell ref="D62:L62"/>
    <mergeCell ref="P62:R62"/>
    <mergeCell ref="D57:L57"/>
    <mergeCell ref="P57:R57"/>
    <mergeCell ref="D58:L58"/>
    <mergeCell ref="P58:R58"/>
    <mergeCell ref="D59:L59"/>
    <mergeCell ref="P59:R59"/>
    <mergeCell ref="D54:L54"/>
    <mergeCell ref="P54:R54"/>
    <mergeCell ref="D55:L55"/>
    <mergeCell ref="P55:R55"/>
    <mergeCell ref="D56:L56"/>
    <mergeCell ref="P56:R56"/>
    <mergeCell ref="D51:L51"/>
    <mergeCell ref="P51:R51"/>
    <mergeCell ref="D52:L52"/>
    <mergeCell ref="P52:R52"/>
    <mergeCell ref="D53:L53"/>
    <mergeCell ref="P53:R53"/>
    <mergeCell ref="D48:L48"/>
    <mergeCell ref="P48:R48"/>
    <mergeCell ref="D49:L49"/>
    <mergeCell ref="P49:R49"/>
    <mergeCell ref="D50:L50"/>
    <mergeCell ref="P50:R50"/>
    <mergeCell ref="C46:L46"/>
    <mergeCell ref="P46:R46"/>
    <mergeCell ref="AK46:AN46"/>
    <mergeCell ref="C47:L47"/>
    <mergeCell ref="M47:R47"/>
    <mergeCell ref="AK47:AN47"/>
    <mergeCell ref="AO42:AP44"/>
    <mergeCell ref="AQ42:AR44"/>
    <mergeCell ref="AS42:AS44"/>
    <mergeCell ref="N43:N44"/>
    <mergeCell ref="B45:L45"/>
    <mergeCell ref="P45:R45"/>
    <mergeCell ref="AK45:AN45"/>
    <mergeCell ref="D32:L32"/>
    <mergeCell ref="P32:R32"/>
    <mergeCell ref="AM32:AN32"/>
    <mergeCell ref="AK33:AN33"/>
    <mergeCell ref="B38:Y41"/>
    <mergeCell ref="B42:L44"/>
    <mergeCell ref="M42:M44"/>
    <mergeCell ref="O42:O44"/>
    <mergeCell ref="P42:R44"/>
    <mergeCell ref="AK42:AN44"/>
    <mergeCell ref="D30:L30"/>
    <mergeCell ref="P30:R30"/>
    <mergeCell ref="AM30:AN30"/>
    <mergeCell ref="D31:L31"/>
    <mergeCell ref="P31:R31"/>
    <mergeCell ref="AM31:AN31"/>
    <mergeCell ref="D28:L28"/>
    <mergeCell ref="P28:R28"/>
    <mergeCell ref="AM28:AN28"/>
    <mergeCell ref="D29:L29"/>
    <mergeCell ref="P29:R29"/>
    <mergeCell ref="AM29:AN29"/>
    <mergeCell ref="D26:L26"/>
    <mergeCell ref="P26:R26"/>
    <mergeCell ref="AM26:AN26"/>
    <mergeCell ref="D27:L27"/>
    <mergeCell ref="P27:R27"/>
    <mergeCell ref="AM27:AN27"/>
    <mergeCell ref="D24:L24"/>
    <mergeCell ref="P24:R24"/>
    <mergeCell ref="AM24:AN24"/>
    <mergeCell ref="D25:L25"/>
    <mergeCell ref="P25:R25"/>
    <mergeCell ref="AM25:AN25"/>
    <mergeCell ref="C17:L17"/>
    <mergeCell ref="P17:R17"/>
    <mergeCell ref="AL17:AN17"/>
    <mergeCell ref="B18:C32"/>
    <mergeCell ref="D18:L18"/>
    <mergeCell ref="O18:O32"/>
    <mergeCell ref="P18:R18"/>
    <mergeCell ref="AK18:AL32"/>
    <mergeCell ref="AM18:AN18"/>
    <mergeCell ref="D19:L19"/>
    <mergeCell ref="D22:L22"/>
    <mergeCell ref="P22:R22"/>
    <mergeCell ref="AM22:AN22"/>
    <mergeCell ref="D23:L23"/>
    <mergeCell ref="P23:R23"/>
    <mergeCell ref="AM23:AN23"/>
    <mergeCell ref="P19:R19"/>
    <mergeCell ref="AM19:AN19"/>
    <mergeCell ref="D20:L20"/>
    <mergeCell ref="P20:R20"/>
    <mergeCell ref="AM20:AN20"/>
    <mergeCell ref="D21:L21"/>
    <mergeCell ref="P21:R21"/>
    <mergeCell ref="AM21:AN21"/>
    <mergeCell ref="E15:K15"/>
    <mergeCell ref="P15:R15"/>
    <mergeCell ref="AM15:AN15"/>
    <mergeCell ref="C16:L16"/>
    <mergeCell ref="P16:R16"/>
    <mergeCell ref="AL16:AN16"/>
    <mergeCell ref="AM12:AN12"/>
    <mergeCell ref="E13:K13"/>
    <mergeCell ref="P13:R13"/>
    <mergeCell ref="AM13:AN13"/>
    <mergeCell ref="E14:K14"/>
    <mergeCell ref="P14:R14"/>
    <mergeCell ref="AM14:AN14"/>
    <mergeCell ref="C10:C15"/>
    <mergeCell ref="E10:K10"/>
    <mergeCell ref="P10:R10"/>
    <mergeCell ref="AL10:AL15"/>
    <mergeCell ref="AM10:AN10"/>
    <mergeCell ref="E11:K11"/>
    <mergeCell ref="P11:R11"/>
    <mergeCell ref="AM11:AN11"/>
    <mergeCell ref="E12:K12"/>
    <mergeCell ref="P12:R12"/>
    <mergeCell ref="AO6:AP8"/>
    <mergeCell ref="AQ6:AR8"/>
    <mergeCell ref="AS6:AS8"/>
    <mergeCell ref="N7:N8"/>
    <mergeCell ref="B9:L9"/>
    <mergeCell ref="P9:R9"/>
    <mergeCell ref="AK9:AN9"/>
    <mergeCell ref="B3:Y5"/>
    <mergeCell ref="B6:L8"/>
    <mergeCell ref="M6:M8"/>
    <mergeCell ref="O6:O8"/>
    <mergeCell ref="P6:R8"/>
    <mergeCell ref="AK6:AN8"/>
  </mergeCells>
  <phoneticPr fontId="5"/>
  <dataValidations count="4">
    <dataValidation type="custom" operator="greaterThan" allowBlank="1" showInputMessage="1" showErrorMessage="1" error="0より大きい小数点第２位までの数値を入力してください。" sqref="AQ18:AQ32 AQ78:AQ92" xr:uid="{00000000-0002-0000-0B00-000000000000}">
      <formula1>AND(AND(AQ18*100=INT(AQ18*100)),(AQ18&gt;0))</formula1>
    </dataValidation>
    <dataValidation type="whole" operator="greaterThan" allowBlank="1" showInputMessage="1" showErrorMessage="1" error="0より大きい数値を整数で入力してください。" sqref="M10:M15 O9:O17 M18:M32 M46 O45:O46 M48:M92 O48:O77" xr:uid="{00000000-0002-0000-0B00-000001000000}">
      <formula1>0</formula1>
    </dataValidation>
    <dataValidation type="textLength" imeMode="hiragana" operator="greaterThanOrEqual" allowBlank="1" showInputMessage="1" showErrorMessage="1" sqref="D48:L92 D18:L32" xr:uid="{00000000-0002-0000-0B00-000002000000}">
      <formula1>1</formula1>
    </dataValidation>
    <dataValidation type="custom" allowBlank="1" showInputMessage="1" showErrorMessage="1" error="0.001~100の範囲で小数点第３位までの数値を入力してください。" sqref="P9:R32 P48:R92 P45:R46" xr:uid="{00000000-0002-0000-0B00-000003000000}">
      <formula1>AND(AND(P9*1000=INT(P9*1000)),(P9&gt;0),(P9&lt;=100))</formula1>
    </dataValidation>
  </dataValidations>
  <pageMargins left="0.59055118110236227" right="0.59055118110236227" top="0.59055118110236227" bottom="0.59055118110236227" header="0" footer="0"/>
  <pageSetup paperSize="9" scale="41" orientation="portrait" cellComments="asDisplayed" r:id="rId1"/>
  <headerFooter alignWithMargins="0"/>
  <drawing r:id="rId2"/>
  <legacyDrawing r:id="rId3"/>
  <controls>
    <mc:AlternateContent xmlns:mc="http://schemas.openxmlformats.org/markup-compatibility/2006">
      <mc:Choice Requires="x14">
        <control shapeId="9220" r:id="rId4" name="Label1">
          <controlPr defaultSize="0" print="0" autoLine="0" r:id="rId5">
            <anchor moveWithCells="1">
              <from>
                <xdr:col>19</xdr:col>
                <xdr:colOff>9525</xdr:colOff>
                <xdr:row>8</xdr:row>
                <xdr:rowOff>9525</xdr:rowOff>
              </from>
              <to>
                <xdr:col>26</xdr:col>
                <xdr:colOff>152400</xdr:colOff>
                <xdr:row>8</xdr:row>
                <xdr:rowOff>219075</xdr:rowOff>
              </to>
            </anchor>
          </controlPr>
        </control>
      </mc:Choice>
      <mc:Fallback>
        <control shapeId="9220" r:id="rId4" name="Label1"/>
      </mc:Fallback>
    </mc:AlternateContent>
    <mc:AlternateContent xmlns:mc="http://schemas.openxmlformats.org/markup-compatibility/2006">
      <mc:Choice Requires="x14">
        <control shapeId="9221" r:id="rId6" name="txt_hyouji">
          <controlPr locked="0" defaultSize="0" print="0" autoLine="0" r:id="rId7">
            <anchor moveWithCells="1">
              <from>
                <xdr:col>19</xdr:col>
                <xdr:colOff>9525</xdr:colOff>
                <xdr:row>8</xdr:row>
                <xdr:rowOff>219075</xdr:rowOff>
              </from>
              <to>
                <xdr:col>26</xdr:col>
                <xdr:colOff>152400</xdr:colOff>
                <xdr:row>9</xdr:row>
                <xdr:rowOff>47625</xdr:rowOff>
              </to>
            </anchor>
          </controlPr>
        </control>
      </mc:Choice>
      <mc:Fallback>
        <control shapeId="9221" r:id="rId6" name="txt_hyouji"/>
      </mc:Fallback>
    </mc:AlternateContent>
    <mc:AlternateContent xmlns:mc="http://schemas.openxmlformats.org/markup-compatibility/2006">
      <mc:Choice Requires="x14">
        <control shapeId="9222" r:id="rId8" name="btnKoushin1">
          <controlPr defaultSize="0" print="0" autoLine="0" r:id="rId9">
            <anchor moveWithCells="1">
              <from>
                <xdr:col>19</xdr:col>
                <xdr:colOff>9525</xdr:colOff>
                <xdr:row>9</xdr:row>
                <xdr:rowOff>47625</xdr:rowOff>
              </from>
              <to>
                <xdr:col>26</xdr:col>
                <xdr:colOff>152400</xdr:colOff>
                <xdr:row>10</xdr:row>
                <xdr:rowOff>85725</xdr:rowOff>
              </to>
            </anchor>
          </controlPr>
        </control>
      </mc:Choice>
      <mc:Fallback>
        <control shapeId="9222" r:id="rId8" name="btnKoushin1"/>
      </mc:Fallback>
    </mc:AlternateContent>
    <mc:AlternateContent xmlns:mc="http://schemas.openxmlformats.org/markup-compatibility/2006">
      <mc:Choice Requires="x14">
        <control shapeId="9223" r:id="rId10" name="Label2">
          <controlPr defaultSize="0" print="0" autoLine="0" r:id="rId11">
            <anchor moveWithCells="1">
              <from>
                <xdr:col>12</xdr:col>
                <xdr:colOff>581025</xdr:colOff>
                <xdr:row>39</xdr:row>
                <xdr:rowOff>19050</xdr:rowOff>
              </from>
              <to>
                <xdr:col>12</xdr:col>
                <xdr:colOff>1247775</xdr:colOff>
                <xdr:row>40</xdr:row>
                <xdr:rowOff>161925</xdr:rowOff>
              </to>
            </anchor>
          </controlPr>
        </control>
      </mc:Choice>
      <mc:Fallback>
        <control shapeId="9223" r:id="rId10" name="Label2"/>
      </mc:Fallback>
    </mc:AlternateContent>
    <mc:AlternateContent xmlns:mc="http://schemas.openxmlformats.org/markup-compatibility/2006">
      <mc:Choice Requires="x14">
        <control shapeId="9224" r:id="rId12" name="Label3">
          <controlPr defaultSize="0" print="0" autoLine="0" r:id="rId13">
            <anchor moveWithCells="1">
              <from>
                <xdr:col>12</xdr:col>
                <xdr:colOff>619125</xdr:colOff>
                <xdr:row>39</xdr:row>
                <xdr:rowOff>123825</xdr:rowOff>
              </from>
              <to>
                <xdr:col>12</xdr:col>
                <xdr:colOff>1209675</xdr:colOff>
                <xdr:row>40</xdr:row>
                <xdr:rowOff>66675</xdr:rowOff>
              </to>
            </anchor>
          </controlPr>
        </control>
      </mc:Choice>
      <mc:Fallback>
        <control shapeId="9224" r:id="rId12" name="Label3"/>
      </mc:Fallback>
    </mc:AlternateContent>
    <mc:AlternateContent xmlns:mc="http://schemas.openxmlformats.org/markup-compatibility/2006">
      <mc:Choice Requires="x14">
        <control shapeId="9225" r:id="rId14" name="Label4">
          <controlPr defaultSize="0" print="0" autoLine="0" r:id="rId15">
            <anchor moveWithCells="1">
              <from>
                <xdr:col>12</xdr:col>
                <xdr:colOff>1247775</xdr:colOff>
                <xdr:row>39</xdr:row>
                <xdr:rowOff>19050</xdr:rowOff>
              </from>
              <to>
                <xdr:col>14</xdr:col>
                <xdr:colOff>209550</xdr:colOff>
                <xdr:row>40</xdr:row>
                <xdr:rowOff>9525</xdr:rowOff>
              </to>
            </anchor>
          </controlPr>
        </control>
      </mc:Choice>
      <mc:Fallback>
        <control shapeId="9225" r:id="rId14" name="Label4"/>
      </mc:Fallback>
    </mc:AlternateContent>
    <mc:AlternateContent xmlns:mc="http://schemas.openxmlformats.org/markup-compatibility/2006">
      <mc:Choice Requires="x14">
        <control shapeId="9226" r:id="rId16" name="txt_kounyu">
          <controlPr locked="0" defaultSize="0" print="0" autoLine="0" r:id="rId17">
            <anchor moveWithCells="1">
              <from>
                <xdr:col>12</xdr:col>
                <xdr:colOff>1247775</xdr:colOff>
                <xdr:row>39</xdr:row>
                <xdr:rowOff>161925</xdr:rowOff>
              </from>
              <to>
                <xdr:col>14</xdr:col>
                <xdr:colOff>209550</xdr:colOff>
                <xdr:row>40</xdr:row>
                <xdr:rowOff>152400</xdr:rowOff>
              </to>
            </anchor>
          </controlPr>
        </control>
      </mc:Choice>
      <mc:Fallback>
        <control shapeId="9226" r:id="rId16" name="txt_kounyu"/>
      </mc:Fallback>
    </mc:AlternateContent>
    <mc:AlternateContent xmlns:mc="http://schemas.openxmlformats.org/markup-compatibility/2006">
      <mc:Choice Requires="x14">
        <control shapeId="9227" r:id="rId18" name="btnKoushin2">
          <controlPr defaultSize="0" print="0" autoLine="0" r:id="rId19">
            <anchor moveWithCells="1">
              <from>
                <xdr:col>14</xdr:col>
                <xdr:colOff>914400</xdr:colOff>
                <xdr:row>39</xdr:row>
                <xdr:rowOff>9525</xdr:rowOff>
              </from>
              <to>
                <xdr:col>18</xdr:col>
                <xdr:colOff>0</xdr:colOff>
                <xdr:row>40</xdr:row>
                <xdr:rowOff>171450</xdr:rowOff>
              </to>
            </anchor>
          </controlPr>
        </control>
      </mc:Choice>
      <mc:Fallback>
        <control shapeId="9227" r:id="rId18" name="btnKoushin2"/>
      </mc:Fallback>
    </mc:AlternateContent>
    <mc:AlternateContent xmlns:mc="http://schemas.openxmlformats.org/markup-compatibility/2006">
      <mc:Choice Requires="x14">
        <control shapeId="9228" r:id="rId20" name="Label5">
          <controlPr defaultSize="0" print="0" autoLine="0" r:id="rId21">
            <anchor moveWithCells="1">
              <from>
                <xdr:col>14</xdr:col>
                <xdr:colOff>200025</xdr:colOff>
                <xdr:row>39</xdr:row>
                <xdr:rowOff>19050</xdr:rowOff>
              </from>
              <to>
                <xdr:col>14</xdr:col>
                <xdr:colOff>923925</xdr:colOff>
                <xdr:row>40</xdr:row>
                <xdr:rowOff>9525</xdr:rowOff>
              </to>
            </anchor>
          </controlPr>
        </control>
      </mc:Choice>
      <mc:Fallback>
        <control shapeId="9228" r:id="rId20" name="Label5"/>
      </mc:Fallback>
    </mc:AlternateContent>
    <mc:AlternateContent xmlns:mc="http://schemas.openxmlformats.org/markup-compatibility/2006">
      <mc:Choice Requires="x14">
        <control shapeId="9229" r:id="rId22" name="txt_jikyu">
          <controlPr locked="0" defaultSize="0" print="0" autoLine="0" r:id="rId23">
            <anchor moveWithCells="1">
              <from>
                <xdr:col>14</xdr:col>
                <xdr:colOff>200025</xdr:colOff>
                <xdr:row>39</xdr:row>
                <xdr:rowOff>161925</xdr:rowOff>
              </from>
              <to>
                <xdr:col>14</xdr:col>
                <xdr:colOff>923925</xdr:colOff>
                <xdr:row>40</xdr:row>
                <xdr:rowOff>152400</xdr:rowOff>
              </to>
            </anchor>
          </controlPr>
        </control>
      </mc:Choice>
      <mc:Fallback>
        <control shapeId="9229" r:id="rId22" name="txt_jikyu"/>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0">
    <pageSetUpPr fitToPage="1"/>
  </sheetPr>
  <dimension ref="A1:BA58"/>
  <sheetViews>
    <sheetView showGridLines="0" zoomScale="85" zoomScaleNormal="85" zoomScaleSheetLayoutView="80" workbookViewId="0">
      <selection activeCell="X12" sqref="X12:AE12"/>
    </sheetView>
  </sheetViews>
  <sheetFormatPr defaultColWidth="2.625" defaultRowHeight="14.25" customHeight="1" outlineLevelCol="1"/>
  <cols>
    <col min="1" max="22" width="2.625" style="2" customWidth="1"/>
    <col min="23" max="23" width="4.625" style="2" customWidth="1"/>
    <col min="24" max="39" width="2.625" style="2" customWidth="1"/>
    <col min="40" max="46" width="2.625" style="2" customWidth="1" outlineLevel="1"/>
    <col min="47" max="47" width="4.75" style="2" customWidth="1" outlineLevel="1"/>
    <col min="48" max="48" width="17.625" style="2" customWidth="1" outlineLevel="1"/>
    <col min="49" max="49" width="17.375" style="2" customWidth="1" outlineLevel="1"/>
    <col min="50" max="50" width="5.75" style="2" customWidth="1" outlineLevel="1"/>
    <col min="51" max="51" width="17.375" style="2" customWidth="1" outlineLevel="1"/>
    <col min="52" max="52" width="6.875" style="2" customWidth="1" outlineLevel="1"/>
    <col min="53" max="53" width="17.375" style="2" customWidth="1" outlineLevel="1"/>
    <col min="54" max="57" width="2.625" style="2" customWidth="1"/>
    <col min="58" max="16384" width="2.625" style="2"/>
  </cols>
  <sheetData>
    <row r="1" spans="1:53" ht="14.25" customHeight="1">
      <c r="AU1" s="2" t="s">
        <v>372</v>
      </c>
    </row>
    <row r="2" spans="1:53" ht="42.75" customHeight="1"/>
    <row r="3" spans="1:53" s="30" customFormat="1" ht="14.25" customHeight="1">
      <c r="A3" s="47"/>
      <c r="B3" s="47"/>
      <c r="C3" s="48"/>
      <c r="D3" s="48"/>
      <c r="E3" s="48"/>
      <c r="F3" s="48"/>
      <c r="G3" s="48"/>
      <c r="H3" s="48"/>
      <c r="I3" s="48"/>
      <c r="J3" s="48"/>
      <c r="K3" s="48"/>
      <c r="L3" s="48"/>
      <c r="M3" s="48"/>
      <c r="N3" s="48"/>
      <c r="O3" s="48"/>
      <c r="P3" s="48"/>
      <c r="Q3" s="48"/>
      <c r="R3" s="48"/>
      <c r="S3" s="48"/>
      <c r="T3" s="2"/>
      <c r="U3" s="2"/>
      <c r="V3" s="2"/>
      <c r="W3" s="2"/>
      <c r="X3" s="2"/>
      <c r="Y3" s="2"/>
      <c r="Z3" s="2"/>
      <c r="AA3" s="2"/>
      <c r="AB3" s="2"/>
      <c r="AC3" s="2"/>
      <c r="AD3" s="2"/>
      <c r="AE3" s="2"/>
      <c r="AF3" s="2"/>
      <c r="AG3" s="2"/>
      <c r="AH3" s="2"/>
      <c r="AI3" s="2"/>
    </row>
    <row r="4" spans="1:53" ht="18" customHeight="1">
      <c r="B4" s="128" t="s">
        <v>382</v>
      </c>
      <c r="D4" s="48"/>
      <c r="E4" s="48"/>
      <c r="F4" s="48"/>
      <c r="G4" s="48"/>
      <c r="H4" s="48"/>
      <c r="I4" s="48"/>
      <c r="J4" s="48"/>
      <c r="K4" s="48"/>
      <c r="L4" s="48"/>
      <c r="M4" s="48"/>
      <c r="N4" s="48"/>
      <c r="O4" s="48"/>
      <c r="P4" s="48"/>
      <c r="Q4" s="48"/>
      <c r="R4" s="48"/>
      <c r="S4" s="48"/>
      <c r="T4" s="48"/>
      <c r="U4" s="48"/>
      <c r="V4" s="48"/>
      <c r="W4" s="48"/>
      <c r="AU4" s="128" t="s">
        <v>382</v>
      </c>
      <c r="AV4" s="108"/>
      <c r="AW4" s="144"/>
      <c r="AY4" s="144"/>
      <c r="BA4" s="144"/>
    </row>
    <row r="5" spans="1:53" s="30" customFormat="1" ht="18" customHeight="1">
      <c r="A5" s="68"/>
      <c r="B5" s="1538" t="s">
        <v>383</v>
      </c>
      <c r="C5" s="1538"/>
      <c r="D5" s="1538"/>
      <c r="E5" s="1538"/>
      <c r="F5" s="1538"/>
      <c r="G5" s="1538"/>
      <c r="H5" s="1538"/>
      <c r="I5" s="1538"/>
      <c r="J5" s="1538"/>
      <c r="K5" s="1538"/>
      <c r="L5" s="1538"/>
      <c r="M5" s="1538"/>
      <c r="N5" s="1538"/>
      <c r="O5" s="1538"/>
      <c r="P5" s="1538"/>
      <c r="Q5" s="1538"/>
      <c r="R5" s="1538"/>
      <c r="S5" s="1538"/>
      <c r="T5" s="1538"/>
      <c r="U5" s="1538"/>
      <c r="V5" s="1538"/>
      <c r="W5" s="1538"/>
      <c r="X5" s="1538"/>
      <c r="Y5" s="1538"/>
      <c r="Z5" s="1538"/>
      <c r="AA5" s="1538"/>
      <c r="AB5" s="1538"/>
      <c r="AC5" s="1538"/>
      <c r="AD5" s="1538"/>
      <c r="AE5" s="1538"/>
      <c r="AF5" s="1538"/>
      <c r="AG5" s="1538"/>
      <c r="AH5" s="1538"/>
      <c r="AU5" s="146"/>
      <c r="AV5" s="146"/>
      <c r="AW5" s="146"/>
      <c r="AX5" s="2"/>
      <c r="AY5" s="146"/>
      <c r="AZ5" s="2"/>
      <c r="BA5" s="146"/>
    </row>
    <row r="6" spans="1:53" ht="14.1" customHeight="1">
      <c r="A6" s="68"/>
      <c r="B6" s="1538"/>
      <c r="C6" s="1538"/>
      <c r="D6" s="1538"/>
      <c r="E6" s="1538"/>
      <c r="F6" s="1538"/>
      <c r="G6" s="1538"/>
      <c r="H6" s="1538"/>
      <c r="I6" s="1538"/>
      <c r="J6" s="1538"/>
      <c r="K6" s="1538"/>
      <c r="L6" s="1538"/>
      <c r="M6" s="1538"/>
      <c r="N6" s="1538"/>
      <c r="O6" s="1538"/>
      <c r="P6" s="1538"/>
      <c r="Q6" s="1538"/>
      <c r="R6" s="1538"/>
      <c r="S6" s="1538"/>
      <c r="T6" s="1538"/>
      <c r="U6" s="1538"/>
      <c r="V6" s="1538"/>
      <c r="W6" s="1538"/>
      <c r="X6" s="1538"/>
      <c r="Y6" s="1538"/>
      <c r="Z6" s="1538"/>
      <c r="AA6" s="1538"/>
      <c r="AB6" s="1538"/>
      <c r="AC6" s="1538"/>
      <c r="AD6" s="1538"/>
      <c r="AE6" s="1538"/>
      <c r="AF6" s="1538"/>
      <c r="AG6" s="1538"/>
      <c r="AH6" s="1538"/>
      <c r="AI6" s="30"/>
    </row>
    <row r="7" spans="1:53" ht="14.25" customHeight="1">
      <c r="A7" s="47"/>
      <c r="B7" s="1538"/>
      <c r="C7" s="1538"/>
      <c r="D7" s="1538"/>
      <c r="E7" s="1538"/>
      <c r="F7" s="1538"/>
      <c r="G7" s="1538"/>
      <c r="H7" s="1538"/>
      <c r="I7" s="1538"/>
      <c r="J7" s="1538"/>
      <c r="K7" s="1538"/>
      <c r="L7" s="1538"/>
      <c r="M7" s="1538"/>
      <c r="N7" s="1538"/>
      <c r="O7" s="1538"/>
      <c r="P7" s="1538"/>
      <c r="Q7" s="1538"/>
      <c r="R7" s="1538"/>
      <c r="S7" s="1538"/>
      <c r="T7" s="1538"/>
      <c r="U7" s="1538"/>
      <c r="V7" s="1538"/>
      <c r="W7" s="1538"/>
      <c r="X7" s="1538"/>
      <c r="Y7" s="1538"/>
      <c r="Z7" s="1538"/>
      <c r="AA7" s="1538"/>
      <c r="AB7" s="1538"/>
      <c r="AC7" s="1538"/>
      <c r="AD7" s="1538"/>
      <c r="AE7" s="1538"/>
      <c r="AF7" s="1538"/>
      <c r="AG7" s="1538"/>
      <c r="AH7" s="1538"/>
    </row>
    <row r="8" spans="1:53" ht="14.25" customHeight="1" thickBot="1">
      <c r="A8" s="47"/>
      <c r="B8" s="1652"/>
      <c r="C8" s="1652"/>
      <c r="D8" s="1652"/>
      <c r="E8" s="1652"/>
      <c r="F8" s="1652"/>
      <c r="G8" s="1652"/>
      <c r="H8" s="1652"/>
      <c r="I8" s="1652"/>
      <c r="J8" s="1652"/>
      <c r="K8" s="1652"/>
      <c r="L8" s="1652"/>
      <c r="M8" s="1652"/>
      <c r="N8" s="1652"/>
      <c r="O8" s="1652"/>
      <c r="P8" s="1652"/>
      <c r="Q8" s="1652"/>
      <c r="R8" s="1652"/>
      <c r="S8" s="1652"/>
      <c r="T8" s="1652"/>
      <c r="U8" s="1652"/>
      <c r="V8" s="1652"/>
      <c r="W8" s="1652"/>
      <c r="X8" s="1652"/>
      <c r="Y8" s="1652"/>
      <c r="Z8" s="1652"/>
      <c r="AA8" s="1652"/>
      <c r="AB8" s="1652"/>
      <c r="AC8" s="1652"/>
      <c r="AD8" s="1652"/>
      <c r="AE8" s="1652"/>
      <c r="AF8" s="1652"/>
      <c r="AG8" s="1652"/>
      <c r="AH8" s="1652"/>
    </row>
    <row r="9" spans="1:53" ht="14.1" customHeight="1">
      <c r="A9" s="323"/>
      <c r="B9" s="1236" t="s">
        <v>384</v>
      </c>
      <c r="C9" s="1237"/>
      <c r="D9" s="1237"/>
      <c r="E9" s="1237"/>
      <c r="F9" s="1237"/>
      <c r="G9" s="1237"/>
      <c r="H9" s="1237"/>
      <c r="I9" s="1237"/>
      <c r="J9" s="1237"/>
      <c r="K9" s="1237"/>
      <c r="L9" s="1237"/>
      <c r="M9" s="1260"/>
      <c r="N9" s="1432" t="s">
        <v>347</v>
      </c>
      <c r="O9" s="1653"/>
      <c r="P9" s="1653"/>
      <c r="Q9" s="1653"/>
      <c r="R9" s="1653"/>
      <c r="S9" s="1653"/>
      <c r="T9" s="1653"/>
      <c r="U9" s="1653"/>
      <c r="V9" s="1653"/>
      <c r="W9" s="458"/>
      <c r="X9" s="1453" t="s">
        <v>348</v>
      </c>
      <c r="Y9" s="1170"/>
      <c r="Z9" s="1170"/>
      <c r="AA9" s="1170"/>
      <c r="AB9" s="1170"/>
      <c r="AC9" s="1170"/>
      <c r="AD9" s="1170"/>
      <c r="AE9" s="1171"/>
      <c r="AF9" s="1175" t="s">
        <v>290</v>
      </c>
      <c r="AG9" s="1176"/>
      <c r="AH9" s="1177"/>
      <c r="AU9" s="1507" t="s">
        <v>385</v>
      </c>
      <c r="AV9" s="1507"/>
      <c r="AW9" s="1518" t="s">
        <v>347</v>
      </c>
      <c r="AX9" s="1519"/>
      <c r="AY9" s="1518" t="s">
        <v>266</v>
      </c>
      <c r="AZ9" s="1519"/>
      <c r="BA9" s="1524" t="s">
        <v>349</v>
      </c>
    </row>
    <row r="10" spans="1:53" ht="14.1" customHeight="1">
      <c r="A10" s="323"/>
      <c r="B10" s="1405"/>
      <c r="C10" s="1406"/>
      <c r="D10" s="1406"/>
      <c r="E10" s="1406"/>
      <c r="F10" s="1406"/>
      <c r="G10" s="1406"/>
      <c r="H10" s="1406"/>
      <c r="I10" s="1406"/>
      <c r="J10" s="1406"/>
      <c r="K10" s="1406"/>
      <c r="L10" s="1406"/>
      <c r="M10" s="1407"/>
      <c r="N10" s="1433"/>
      <c r="O10" s="1654"/>
      <c r="P10" s="1654"/>
      <c r="Q10" s="1654"/>
      <c r="R10" s="1654"/>
      <c r="S10" s="1654"/>
      <c r="T10" s="1654"/>
      <c r="U10" s="1654"/>
      <c r="V10" s="1654"/>
      <c r="W10" s="1527" t="s">
        <v>162</v>
      </c>
      <c r="X10" s="1454"/>
      <c r="Y10" s="1340"/>
      <c r="Z10" s="1340"/>
      <c r="AA10" s="1340"/>
      <c r="AB10" s="1340"/>
      <c r="AC10" s="1340"/>
      <c r="AD10" s="1340"/>
      <c r="AE10" s="1656"/>
      <c r="AF10" s="1543"/>
      <c r="AG10" s="1659"/>
      <c r="AH10" s="1660"/>
      <c r="AU10" s="1507"/>
      <c r="AV10" s="1507"/>
      <c r="AW10" s="1520"/>
      <c r="AX10" s="1521"/>
      <c r="AY10" s="1520"/>
      <c r="AZ10" s="1521"/>
      <c r="BA10" s="1525"/>
    </row>
    <row r="11" spans="1:53" ht="14.1" customHeight="1" thickBot="1">
      <c r="A11" s="323"/>
      <c r="B11" s="1239"/>
      <c r="C11" s="1240"/>
      <c r="D11" s="1240"/>
      <c r="E11" s="1240"/>
      <c r="F11" s="1240"/>
      <c r="G11" s="1240"/>
      <c r="H11" s="1240"/>
      <c r="I11" s="1240"/>
      <c r="J11" s="1240"/>
      <c r="K11" s="1240"/>
      <c r="L11" s="1240"/>
      <c r="M11" s="1392"/>
      <c r="N11" s="1539"/>
      <c r="O11" s="1655"/>
      <c r="P11" s="1655"/>
      <c r="Q11" s="1655"/>
      <c r="R11" s="1655"/>
      <c r="S11" s="1655"/>
      <c r="T11" s="1655"/>
      <c r="U11" s="1655"/>
      <c r="V11" s="1655"/>
      <c r="W11" s="1528"/>
      <c r="X11" s="1455"/>
      <c r="Y11" s="1657"/>
      <c r="Z11" s="1657"/>
      <c r="AA11" s="1657"/>
      <c r="AB11" s="1657"/>
      <c r="AC11" s="1657"/>
      <c r="AD11" s="1657"/>
      <c r="AE11" s="1658"/>
      <c r="AF11" s="1661"/>
      <c r="AG11" s="1662"/>
      <c r="AH11" s="1663"/>
      <c r="AU11" s="1507"/>
      <c r="AV11" s="1507"/>
      <c r="AW11" s="1522"/>
      <c r="AX11" s="1523"/>
      <c r="AY11" s="1522"/>
      <c r="AZ11" s="1523"/>
      <c r="BA11" s="1526"/>
    </row>
    <row r="12" spans="1:53" ht="30" customHeight="1" thickTop="1" thickBot="1">
      <c r="A12" s="323"/>
      <c r="B12" s="1664" t="s">
        <v>295</v>
      </c>
      <c r="C12" s="1665"/>
      <c r="D12" s="1665"/>
      <c r="E12" s="1665"/>
      <c r="F12" s="1665"/>
      <c r="G12" s="1665"/>
      <c r="H12" s="1665"/>
      <c r="I12" s="1665"/>
      <c r="J12" s="1665"/>
      <c r="K12" s="1665"/>
      <c r="L12" s="1665"/>
      <c r="M12" s="1666"/>
      <c r="N12" s="1667"/>
      <c r="O12" s="1668"/>
      <c r="P12" s="1668"/>
      <c r="Q12" s="1668"/>
      <c r="R12" s="1668"/>
      <c r="S12" s="1668"/>
      <c r="T12" s="1668"/>
      <c r="U12" s="1668"/>
      <c r="V12" s="1669"/>
      <c r="W12" s="460" t="s">
        <v>262</v>
      </c>
      <c r="X12" s="1670"/>
      <c r="Y12" s="1671"/>
      <c r="Z12" s="1671"/>
      <c r="AA12" s="1671"/>
      <c r="AB12" s="1671"/>
      <c r="AC12" s="1671"/>
      <c r="AD12" s="1671"/>
      <c r="AE12" s="1672"/>
      <c r="AF12" s="1673"/>
      <c r="AG12" s="1674"/>
      <c r="AH12" s="1675"/>
      <c r="AU12" s="1676" t="s">
        <v>386</v>
      </c>
      <c r="AV12" s="1676"/>
      <c r="AW12" s="537"/>
      <c r="AX12" s="537"/>
      <c r="AY12" s="537"/>
      <c r="AZ12" s="537"/>
      <c r="BA12" s="432">
        <f>IF(X12&gt;0,ROUND(X12*AF12%,),SUBTOTAL(109,BA13:BA26))</f>
        <v>0</v>
      </c>
    </row>
    <row r="13" spans="1:53" ht="30" customHeight="1" thickTop="1">
      <c r="A13" s="323"/>
      <c r="B13" s="538"/>
      <c r="C13" s="1688" t="s">
        <v>387</v>
      </c>
      <c r="D13" s="1468"/>
      <c r="E13" s="539"/>
      <c r="F13" s="1119" t="s">
        <v>388</v>
      </c>
      <c r="G13" s="1119"/>
      <c r="H13" s="1119"/>
      <c r="I13" s="1119"/>
      <c r="J13" s="1119"/>
      <c r="K13" s="1119"/>
      <c r="L13" s="1119"/>
      <c r="M13" s="540"/>
      <c r="N13" s="1689"/>
      <c r="O13" s="1690"/>
      <c r="P13" s="1690"/>
      <c r="Q13" s="1690"/>
      <c r="R13" s="1690"/>
      <c r="S13" s="1690"/>
      <c r="T13" s="1690"/>
      <c r="U13" s="1690"/>
      <c r="V13" s="1691"/>
      <c r="W13" s="541" t="s">
        <v>389</v>
      </c>
      <c r="X13" s="1692"/>
      <c r="Y13" s="1693"/>
      <c r="Z13" s="1693"/>
      <c r="AA13" s="1693"/>
      <c r="AB13" s="1693"/>
      <c r="AC13" s="1693"/>
      <c r="AD13" s="1693"/>
      <c r="AE13" s="1694"/>
      <c r="AF13" s="1695"/>
      <c r="AG13" s="1695"/>
      <c r="AH13" s="1696"/>
      <c r="AI13" s="468"/>
      <c r="AJ13" s="173"/>
      <c r="AK13" s="173"/>
      <c r="AL13" s="173"/>
      <c r="AM13" s="173"/>
      <c r="AN13" s="173"/>
      <c r="AO13" s="173"/>
      <c r="AP13" s="173"/>
      <c r="AQ13" s="173"/>
      <c r="AR13" s="173"/>
      <c r="AS13" s="173"/>
      <c r="AU13" s="1677" t="s">
        <v>390</v>
      </c>
      <c r="AV13" s="542" t="s">
        <v>388</v>
      </c>
      <c r="AW13" s="543"/>
      <c r="AX13" s="544"/>
      <c r="AY13" s="545"/>
      <c r="AZ13" s="544"/>
      <c r="BA13" s="335">
        <f>ROUND(X13*AF13%,)</f>
        <v>0</v>
      </c>
    </row>
    <row r="14" spans="1:53" ht="30" customHeight="1">
      <c r="B14" s="546"/>
      <c r="C14" s="1688"/>
      <c r="D14" s="1468"/>
      <c r="E14" s="474"/>
      <c r="F14" s="1464" t="s">
        <v>391</v>
      </c>
      <c r="G14" s="1464"/>
      <c r="H14" s="1464"/>
      <c r="I14" s="1464"/>
      <c r="J14" s="1464"/>
      <c r="K14" s="1464"/>
      <c r="L14" s="1464"/>
      <c r="M14" s="547"/>
      <c r="N14" s="1680"/>
      <c r="O14" s="1681"/>
      <c r="P14" s="1681"/>
      <c r="Q14" s="1681"/>
      <c r="R14" s="1681"/>
      <c r="S14" s="1681"/>
      <c r="T14" s="1681"/>
      <c r="U14" s="1681"/>
      <c r="V14" s="1682"/>
      <c r="W14" s="481" t="s">
        <v>296</v>
      </c>
      <c r="X14" s="1683"/>
      <c r="Y14" s="1684"/>
      <c r="Z14" s="1684"/>
      <c r="AA14" s="1684"/>
      <c r="AB14" s="1684"/>
      <c r="AC14" s="1684"/>
      <c r="AD14" s="1684"/>
      <c r="AE14" s="1685"/>
      <c r="AF14" s="1686"/>
      <c r="AG14" s="1686"/>
      <c r="AH14" s="1687"/>
      <c r="AI14" s="468"/>
      <c r="AJ14" s="173"/>
      <c r="AK14" s="173"/>
      <c r="AL14" s="173"/>
      <c r="AM14" s="173"/>
      <c r="AN14" s="173"/>
      <c r="AO14" s="173"/>
      <c r="AP14" s="173"/>
      <c r="AQ14" s="173"/>
      <c r="AR14" s="173"/>
      <c r="AS14" s="173"/>
      <c r="AU14" s="1678"/>
      <c r="AV14" s="542" t="s">
        <v>391</v>
      </c>
      <c r="AW14" s="543"/>
      <c r="AX14" s="544"/>
      <c r="AY14" s="548"/>
      <c r="AZ14" s="544"/>
      <c r="BA14" s="335">
        <f t="shared" ref="BA14:BA26" si="0">ROUND(X14*AF14%,)</f>
        <v>0</v>
      </c>
    </row>
    <row r="15" spans="1:53" ht="30" hidden="1" customHeight="1">
      <c r="B15" s="546"/>
      <c r="C15" s="1688"/>
      <c r="D15" s="1468"/>
      <c r="E15" s="147"/>
      <c r="F15" s="1464" t="s">
        <v>392</v>
      </c>
      <c r="G15" s="1464"/>
      <c r="H15" s="1464"/>
      <c r="I15" s="1464"/>
      <c r="J15" s="1464"/>
      <c r="K15" s="1464"/>
      <c r="L15" s="1464"/>
      <c r="M15" s="547"/>
      <c r="N15" s="1680"/>
      <c r="O15" s="1681"/>
      <c r="P15" s="1681"/>
      <c r="Q15" s="1681"/>
      <c r="R15" s="1681"/>
      <c r="S15" s="1681"/>
      <c r="T15" s="1681"/>
      <c r="U15" s="1681"/>
      <c r="V15" s="1682"/>
      <c r="W15" s="481" t="s">
        <v>389</v>
      </c>
      <c r="X15" s="1683"/>
      <c r="Y15" s="1684"/>
      <c r="Z15" s="1684"/>
      <c r="AA15" s="1684"/>
      <c r="AB15" s="1684"/>
      <c r="AC15" s="1684"/>
      <c r="AD15" s="1684"/>
      <c r="AE15" s="1685"/>
      <c r="AF15" s="1686"/>
      <c r="AG15" s="1686"/>
      <c r="AH15" s="1687"/>
      <c r="AI15" s="468"/>
      <c r="AJ15" s="173"/>
      <c r="AK15" s="173"/>
      <c r="AL15" s="173"/>
      <c r="AM15" s="173"/>
      <c r="AN15" s="173"/>
      <c r="AO15" s="173"/>
      <c r="AP15" s="173"/>
      <c r="AQ15" s="173"/>
      <c r="AR15" s="173"/>
      <c r="AS15" s="173"/>
      <c r="AU15" s="1679"/>
      <c r="AV15" s="542" t="s">
        <v>392</v>
      </c>
      <c r="AW15" s="543"/>
      <c r="AX15" s="544"/>
      <c r="AY15" s="548"/>
      <c r="AZ15" s="544"/>
      <c r="BA15" s="335">
        <f t="shared" si="0"/>
        <v>0</v>
      </c>
    </row>
    <row r="16" spans="1:53" ht="30" customHeight="1">
      <c r="B16" s="546"/>
      <c r="C16" s="549"/>
      <c r="D16" s="1697" t="s">
        <v>393</v>
      </c>
      <c r="E16" s="1697"/>
      <c r="F16" s="1697"/>
      <c r="G16" s="1697"/>
      <c r="H16" s="1697"/>
      <c r="I16" s="1697"/>
      <c r="J16" s="1697"/>
      <c r="K16" s="1697"/>
      <c r="L16" s="1697"/>
      <c r="M16" s="547"/>
      <c r="N16" s="1701"/>
      <c r="O16" s="1702"/>
      <c r="P16" s="1702"/>
      <c r="Q16" s="1702"/>
      <c r="R16" s="1702"/>
      <c r="S16" s="1702"/>
      <c r="T16" s="1702"/>
      <c r="U16" s="1702"/>
      <c r="V16" s="1703"/>
      <c r="W16" s="481" t="s">
        <v>262</v>
      </c>
      <c r="X16" s="1683"/>
      <c r="Y16" s="1684"/>
      <c r="Z16" s="1684"/>
      <c r="AA16" s="1684"/>
      <c r="AB16" s="1684"/>
      <c r="AC16" s="1684"/>
      <c r="AD16" s="1684"/>
      <c r="AE16" s="1685"/>
      <c r="AF16" s="1686"/>
      <c r="AG16" s="1686"/>
      <c r="AH16" s="1687"/>
      <c r="AI16" s="468"/>
      <c r="AJ16" s="173"/>
      <c r="AK16" s="173"/>
      <c r="AL16" s="173"/>
      <c r="AM16" s="173"/>
      <c r="AN16" s="173"/>
      <c r="AO16" s="173"/>
      <c r="AP16" s="173"/>
      <c r="AQ16" s="173"/>
      <c r="AR16" s="173"/>
      <c r="AS16" s="173"/>
      <c r="AU16" s="1374" t="s">
        <v>393</v>
      </c>
      <c r="AV16" s="1374"/>
      <c r="AW16" s="543"/>
      <c r="AX16" s="544"/>
      <c r="AY16" s="548"/>
      <c r="AZ16" s="544"/>
      <c r="BA16" s="335">
        <f t="shared" si="0"/>
        <v>0</v>
      </c>
    </row>
    <row r="17" spans="1:53" ht="30" customHeight="1">
      <c r="B17" s="546"/>
      <c r="C17" s="549"/>
      <c r="D17" s="1697" t="s">
        <v>394</v>
      </c>
      <c r="E17" s="1697"/>
      <c r="F17" s="1697"/>
      <c r="G17" s="1697"/>
      <c r="H17" s="1697"/>
      <c r="I17" s="1697"/>
      <c r="J17" s="1697"/>
      <c r="K17" s="1697"/>
      <c r="L17" s="1697"/>
      <c r="M17" s="465"/>
      <c r="N17" s="1698"/>
      <c r="O17" s="1699"/>
      <c r="P17" s="1699"/>
      <c r="Q17" s="1699"/>
      <c r="R17" s="1699"/>
      <c r="S17" s="1699"/>
      <c r="T17" s="1699"/>
      <c r="U17" s="1699"/>
      <c r="V17" s="1700"/>
      <c r="W17" s="550" t="s">
        <v>395</v>
      </c>
      <c r="X17" s="1683"/>
      <c r="Y17" s="1684"/>
      <c r="Z17" s="1684"/>
      <c r="AA17" s="1684"/>
      <c r="AB17" s="1684"/>
      <c r="AC17" s="1684"/>
      <c r="AD17" s="1684"/>
      <c r="AE17" s="1685"/>
      <c r="AF17" s="1686"/>
      <c r="AG17" s="1686"/>
      <c r="AH17" s="1687"/>
      <c r="AI17" s="468"/>
      <c r="AJ17" s="173"/>
      <c r="AK17" s="173"/>
      <c r="AL17" s="173"/>
      <c r="AM17" s="173"/>
      <c r="AN17" s="173"/>
      <c r="AO17" s="173"/>
      <c r="AP17" s="173"/>
      <c r="AQ17" s="173"/>
      <c r="AR17" s="173"/>
      <c r="AS17" s="173"/>
      <c r="AU17" s="1374" t="s">
        <v>394</v>
      </c>
      <c r="AV17" s="1374"/>
      <c r="AW17" s="551">
        <f>ROUND(N17*AF17%,1)</f>
        <v>0</v>
      </c>
      <c r="AX17" s="470" t="s">
        <v>395</v>
      </c>
      <c r="AY17" s="261">
        <f>IF(AND(AW17&gt;0,BA17&gt;0),ROUND(BA17/AW17,2),)</f>
        <v>0</v>
      </c>
      <c r="AZ17" s="470" t="s">
        <v>396</v>
      </c>
      <c r="BA17" s="335">
        <f t="shared" si="0"/>
        <v>0</v>
      </c>
    </row>
    <row r="18" spans="1:53" ht="30" customHeight="1">
      <c r="B18" s="546"/>
      <c r="C18" s="549"/>
      <c r="D18" s="1697" t="s">
        <v>397</v>
      </c>
      <c r="E18" s="1697"/>
      <c r="F18" s="1697"/>
      <c r="G18" s="1697"/>
      <c r="H18" s="1697"/>
      <c r="I18" s="1697"/>
      <c r="J18" s="1697"/>
      <c r="K18" s="1697"/>
      <c r="L18" s="1697"/>
      <c r="M18" s="465"/>
      <c r="N18" s="1704"/>
      <c r="O18" s="1705"/>
      <c r="P18" s="1705"/>
      <c r="Q18" s="1705"/>
      <c r="R18" s="1705"/>
      <c r="S18" s="1705"/>
      <c r="T18" s="1705"/>
      <c r="U18" s="1705"/>
      <c r="V18" s="1706"/>
      <c r="W18" s="550" t="s">
        <v>395</v>
      </c>
      <c r="X18" s="1683"/>
      <c r="Y18" s="1684"/>
      <c r="Z18" s="1684"/>
      <c r="AA18" s="1684"/>
      <c r="AB18" s="1684"/>
      <c r="AC18" s="1684"/>
      <c r="AD18" s="1684"/>
      <c r="AE18" s="1685"/>
      <c r="AF18" s="1686"/>
      <c r="AG18" s="1686"/>
      <c r="AH18" s="1687"/>
      <c r="AI18" s="468"/>
      <c r="AJ18" s="173"/>
      <c r="AK18" s="173"/>
      <c r="AL18" s="173"/>
      <c r="AM18" s="173"/>
      <c r="AN18" s="173"/>
      <c r="AO18" s="173"/>
      <c r="AP18" s="173"/>
      <c r="AQ18" s="173"/>
      <c r="AR18" s="173"/>
      <c r="AS18" s="173"/>
      <c r="AU18" s="1374" t="s">
        <v>397</v>
      </c>
      <c r="AV18" s="1374"/>
      <c r="AW18" s="551">
        <f>ROUND(N18*AF18%,1)</f>
        <v>0</v>
      </c>
      <c r="AX18" s="470" t="s">
        <v>398</v>
      </c>
      <c r="AY18" s="261">
        <f t="shared" ref="AY18:AY25" si="1">IF(AND(AW18&gt;0,BA18&gt;0),ROUND(BA18/AW18,2),)</f>
        <v>0</v>
      </c>
      <c r="AZ18" s="470" t="s">
        <v>396</v>
      </c>
      <c r="BA18" s="335">
        <f t="shared" si="0"/>
        <v>0</v>
      </c>
    </row>
    <row r="19" spans="1:53" ht="30" customHeight="1">
      <c r="B19" s="546"/>
      <c r="C19" s="549"/>
      <c r="D19" s="1697" t="s">
        <v>399</v>
      </c>
      <c r="E19" s="1697"/>
      <c r="F19" s="1697"/>
      <c r="G19" s="1697"/>
      <c r="H19" s="1697"/>
      <c r="I19" s="1697"/>
      <c r="J19" s="1697"/>
      <c r="K19" s="1697"/>
      <c r="L19" s="1697"/>
      <c r="M19" s="465"/>
      <c r="N19" s="1704"/>
      <c r="O19" s="1705"/>
      <c r="P19" s="1705"/>
      <c r="Q19" s="1705"/>
      <c r="R19" s="1705"/>
      <c r="S19" s="1705"/>
      <c r="T19" s="1705"/>
      <c r="U19" s="1705"/>
      <c r="V19" s="1706"/>
      <c r="W19" s="550" t="s">
        <v>400</v>
      </c>
      <c r="X19" s="1683"/>
      <c r="Y19" s="1684"/>
      <c r="Z19" s="1684"/>
      <c r="AA19" s="1684"/>
      <c r="AB19" s="1684"/>
      <c r="AC19" s="1684"/>
      <c r="AD19" s="1684"/>
      <c r="AE19" s="1685"/>
      <c r="AF19" s="1686"/>
      <c r="AG19" s="1686"/>
      <c r="AH19" s="1687"/>
      <c r="AI19" s="468"/>
      <c r="AJ19" s="173"/>
      <c r="AK19" s="173"/>
      <c r="AL19" s="173"/>
      <c r="AM19" s="173"/>
      <c r="AN19" s="173"/>
      <c r="AO19" s="173"/>
      <c r="AP19" s="173"/>
      <c r="AQ19" s="173"/>
      <c r="AR19" s="173"/>
      <c r="AS19" s="173"/>
      <c r="AU19" s="1374" t="s">
        <v>401</v>
      </c>
      <c r="AV19" s="1374"/>
      <c r="AW19" s="551">
        <f>ROUND(N19*AF19%,1)</f>
        <v>0</v>
      </c>
      <c r="AX19" s="470" t="s">
        <v>398</v>
      </c>
      <c r="AY19" s="261">
        <f t="shared" si="1"/>
        <v>0</v>
      </c>
      <c r="AZ19" s="470" t="s">
        <v>396</v>
      </c>
      <c r="BA19" s="335">
        <f t="shared" si="0"/>
        <v>0</v>
      </c>
    </row>
    <row r="20" spans="1:53" ht="30" customHeight="1" thickBot="1">
      <c r="B20" s="546"/>
      <c r="C20" s="552"/>
      <c r="D20" s="1718" t="s">
        <v>402</v>
      </c>
      <c r="E20" s="1718"/>
      <c r="F20" s="1718"/>
      <c r="G20" s="1718"/>
      <c r="H20" s="1718"/>
      <c r="I20" s="1718"/>
      <c r="J20" s="1718"/>
      <c r="K20" s="1718"/>
      <c r="L20" s="1718"/>
      <c r="M20" s="475"/>
      <c r="N20" s="1719"/>
      <c r="O20" s="1720"/>
      <c r="P20" s="1720"/>
      <c r="Q20" s="1720"/>
      <c r="R20" s="1720"/>
      <c r="S20" s="1720"/>
      <c r="T20" s="1720"/>
      <c r="U20" s="1720"/>
      <c r="V20" s="1721"/>
      <c r="W20" s="472" t="s">
        <v>395</v>
      </c>
      <c r="X20" s="1722"/>
      <c r="Y20" s="1723"/>
      <c r="Z20" s="1723"/>
      <c r="AA20" s="1723"/>
      <c r="AB20" s="1723"/>
      <c r="AC20" s="1723"/>
      <c r="AD20" s="1723"/>
      <c r="AE20" s="1724"/>
      <c r="AF20" s="1725"/>
      <c r="AG20" s="1725"/>
      <c r="AH20" s="1726"/>
      <c r="AI20" s="468"/>
      <c r="AJ20" s="173"/>
      <c r="AK20" s="173"/>
      <c r="AL20" s="173"/>
      <c r="AM20" s="173"/>
      <c r="AN20" s="173"/>
      <c r="AO20" s="173"/>
      <c r="AP20" s="173"/>
      <c r="AQ20" s="173"/>
      <c r="AR20" s="173"/>
      <c r="AS20" s="173"/>
      <c r="AU20" s="1727" t="s">
        <v>402</v>
      </c>
      <c r="AV20" s="1727"/>
      <c r="AW20" s="553">
        <f>ROUND(N20*AF20%,1)</f>
        <v>0</v>
      </c>
      <c r="AX20" s="554" t="s">
        <v>398</v>
      </c>
      <c r="AY20" s="555">
        <f t="shared" si="1"/>
        <v>0</v>
      </c>
      <c r="AZ20" s="554" t="s">
        <v>396</v>
      </c>
      <c r="BA20" s="556">
        <f t="shared" si="0"/>
        <v>0</v>
      </c>
    </row>
    <row r="21" spans="1:53" ht="30" customHeight="1" thickTop="1">
      <c r="B21" s="546"/>
      <c r="C21" s="557"/>
      <c r="D21" s="1707" t="s">
        <v>403</v>
      </c>
      <c r="E21" s="1707"/>
      <c r="F21" s="1707"/>
      <c r="G21" s="1707"/>
      <c r="H21" s="1707"/>
      <c r="I21" s="1707"/>
      <c r="J21" s="1707"/>
      <c r="K21" s="1707"/>
      <c r="L21" s="1707"/>
      <c r="M21" s="558"/>
      <c r="N21" s="1708"/>
      <c r="O21" s="1709"/>
      <c r="P21" s="1709"/>
      <c r="Q21" s="1709"/>
      <c r="R21" s="1709"/>
      <c r="S21" s="1709"/>
      <c r="T21" s="1709"/>
      <c r="U21" s="1709"/>
      <c r="V21" s="1710"/>
      <c r="W21" s="466" t="s">
        <v>324</v>
      </c>
      <c r="X21" s="1711"/>
      <c r="Y21" s="1712"/>
      <c r="Z21" s="1712"/>
      <c r="AA21" s="1712"/>
      <c r="AB21" s="1712"/>
      <c r="AC21" s="1712"/>
      <c r="AD21" s="1712"/>
      <c r="AE21" s="1713"/>
      <c r="AF21" s="1714"/>
      <c r="AG21" s="1714"/>
      <c r="AH21" s="1715"/>
      <c r="AI21" s="468"/>
      <c r="AJ21" s="173"/>
      <c r="AK21" s="173"/>
      <c r="AL21" s="173"/>
      <c r="AM21" s="173"/>
      <c r="AN21" s="173"/>
      <c r="AO21" s="173"/>
      <c r="AP21" s="173"/>
      <c r="AQ21" s="173"/>
      <c r="AR21" s="173"/>
      <c r="AS21" s="173"/>
      <c r="AU21" s="1716" t="s">
        <v>404</v>
      </c>
      <c r="AV21" s="1717"/>
      <c r="AW21" s="559">
        <f>ROUND(N21*AF21%,)</f>
        <v>0</v>
      </c>
      <c r="AX21" s="470" t="s">
        <v>405</v>
      </c>
      <c r="AY21" s="225">
        <f t="shared" si="1"/>
        <v>0</v>
      </c>
      <c r="AZ21" s="470" t="s">
        <v>380</v>
      </c>
      <c r="BA21" s="335">
        <f t="shared" si="0"/>
        <v>0</v>
      </c>
    </row>
    <row r="22" spans="1:53" ht="30" hidden="1" customHeight="1">
      <c r="B22" s="546"/>
      <c r="C22" s="560"/>
      <c r="D22" s="1728" t="s">
        <v>406</v>
      </c>
      <c r="E22" s="1707"/>
      <c r="F22" s="1707"/>
      <c r="G22" s="1707"/>
      <c r="H22" s="1707"/>
      <c r="I22" s="1707"/>
      <c r="J22" s="1707"/>
      <c r="K22" s="1707"/>
      <c r="L22" s="1707"/>
      <c r="M22" s="561"/>
      <c r="N22" s="1729"/>
      <c r="O22" s="1730"/>
      <c r="P22" s="1730"/>
      <c r="Q22" s="1730"/>
      <c r="R22" s="1730"/>
      <c r="S22" s="1730"/>
      <c r="T22" s="1730"/>
      <c r="U22" s="1730"/>
      <c r="V22" s="1731"/>
      <c r="W22" s="562" t="s">
        <v>324</v>
      </c>
      <c r="X22" s="1711"/>
      <c r="Y22" s="1712"/>
      <c r="Z22" s="1712"/>
      <c r="AA22" s="1712"/>
      <c r="AB22" s="1712"/>
      <c r="AC22" s="1712"/>
      <c r="AD22" s="1712"/>
      <c r="AE22" s="1713"/>
      <c r="AF22" s="1714"/>
      <c r="AG22" s="1714"/>
      <c r="AH22" s="1715"/>
      <c r="AI22" s="468"/>
      <c r="AJ22" s="173"/>
      <c r="AK22" s="173"/>
      <c r="AL22" s="173"/>
      <c r="AM22" s="173"/>
      <c r="AN22" s="173"/>
      <c r="AO22" s="173"/>
      <c r="AP22" s="173"/>
      <c r="AQ22" s="173"/>
      <c r="AR22" s="173"/>
      <c r="AS22" s="173"/>
      <c r="AU22" s="563"/>
      <c r="AV22" s="138" t="s">
        <v>406</v>
      </c>
      <c r="AW22" s="559">
        <f>ROUND(N22*AF22%,)</f>
        <v>0</v>
      </c>
      <c r="AX22" s="470" t="s">
        <v>405</v>
      </c>
      <c r="AY22" s="225">
        <f t="shared" si="1"/>
        <v>0</v>
      </c>
      <c r="AZ22" s="470" t="s">
        <v>380</v>
      </c>
      <c r="BA22" s="335">
        <f t="shared" si="0"/>
        <v>0</v>
      </c>
    </row>
    <row r="23" spans="1:53" ht="30" hidden="1" customHeight="1">
      <c r="B23" s="546"/>
      <c r="C23" s="564"/>
      <c r="D23" s="1732" t="s">
        <v>407</v>
      </c>
      <c r="E23" s="1733"/>
      <c r="F23" s="1733"/>
      <c r="G23" s="1733"/>
      <c r="H23" s="1733"/>
      <c r="I23" s="1733"/>
      <c r="J23" s="1733"/>
      <c r="K23" s="1733"/>
      <c r="L23" s="1733"/>
      <c r="M23" s="147"/>
      <c r="N23" s="1734"/>
      <c r="O23" s="1735"/>
      <c r="P23" s="1735"/>
      <c r="Q23" s="1735"/>
      <c r="R23" s="1735"/>
      <c r="S23" s="1735"/>
      <c r="T23" s="1735"/>
      <c r="U23" s="1735"/>
      <c r="V23" s="1736"/>
      <c r="W23" s="550" t="s">
        <v>324</v>
      </c>
      <c r="X23" s="1683"/>
      <c r="Y23" s="1684"/>
      <c r="Z23" s="1684"/>
      <c r="AA23" s="1684"/>
      <c r="AB23" s="1684"/>
      <c r="AC23" s="1684"/>
      <c r="AD23" s="1684"/>
      <c r="AE23" s="1685"/>
      <c r="AF23" s="1686"/>
      <c r="AG23" s="1686"/>
      <c r="AH23" s="1687"/>
      <c r="AI23" s="468"/>
      <c r="AJ23" s="173"/>
      <c r="AK23" s="173"/>
      <c r="AL23" s="173"/>
      <c r="AM23" s="173"/>
      <c r="AN23" s="173"/>
      <c r="AO23" s="173"/>
      <c r="AP23" s="173"/>
      <c r="AQ23" s="173"/>
      <c r="AR23" s="173"/>
      <c r="AS23" s="173"/>
      <c r="AU23" s="563"/>
      <c r="AV23" s="138" t="s">
        <v>407</v>
      </c>
      <c r="AW23" s="559">
        <f>ROUND(N23*AF23%,)</f>
        <v>0</v>
      </c>
      <c r="AX23" s="470" t="s">
        <v>405</v>
      </c>
      <c r="AY23" s="261">
        <f t="shared" si="1"/>
        <v>0</v>
      </c>
      <c r="AZ23" s="470" t="s">
        <v>380</v>
      </c>
      <c r="BA23" s="335">
        <f t="shared" si="0"/>
        <v>0</v>
      </c>
    </row>
    <row r="24" spans="1:53" ht="30" hidden="1" customHeight="1">
      <c r="B24" s="546"/>
      <c r="C24" s="565"/>
      <c r="D24" s="1737" t="s">
        <v>408</v>
      </c>
      <c r="E24" s="1738"/>
      <c r="F24" s="1738"/>
      <c r="G24" s="1738"/>
      <c r="H24" s="1738"/>
      <c r="I24" s="1738"/>
      <c r="J24" s="1738"/>
      <c r="K24" s="1738"/>
      <c r="L24" s="1738"/>
      <c r="M24" s="465"/>
      <c r="N24" s="1734"/>
      <c r="O24" s="1735"/>
      <c r="P24" s="1735"/>
      <c r="Q24" s="1735"/>
      <c r="R24" s="1735"/>
      <c r="S24" s="1735"/>
      <c r="T24" s="1735"/>
      <c r="U24" s="1735"/>
      <c r="V24" s="1736"/>
      <c r="W24" s="550" t="s">
        <v>324</v>
      </c>
      <c r="X24" s="1683"/>
      <c r="Y24" s="1684"/>
      <c r="Z24" s="1684"/>
      <c r="AA24" s="1684"/>
      <c r="AB24" s="1684"/>
      <c r="AC24" s="1684"/>
      <c r="AD24" s="1684"/>
      <c r="AE24" s="1685"/>
      <c r="AF24" s="1686"/>
      <c r="AG24" s="1686"/>
      <c r="AH24" s="1687"/>
      <c r="AI24" s="468"/>
      <c r="AJ24" s="173"/>
      <c r="AK24" s="173"/>
      <c r="AL24" s="173"/>
      <c r="AM24" s="173"/>
      <c r="AN24" s="173"/>
      <c r="AO24" s="173"/>
      <c r="AP24" s="173"/>
      <c r="AQ24" s="173"/>
      <c r="AR24" s="173"/>
      <c r="AS24" s="173"/>
      <c r="AU24" s="566"/>
      <c r="AV24" s="138" t="s">
        <v>408</v>
      </c>
      <c r="AW24" s="559">
        <f>ROUND(N24*AF24%,)</f>
        <v>0</v>
      </c>
      <c r="AX24" s="470" t="s">
        <v>405</v>
      </c>
      <c r="AY24" s="261">
        <f t="shared" si="1"/>
        <v>0</v>
      </c>
      <c r="AZ24" s="470" t="s">
        <v>380</v>
      </c>
      <c r="BA24" s="335">
        <f t="shared" si="0"/>
        <v>0</v>
      </c>
    </row>
    <row r="25" spans="1:53" ht="30" hidden="1" customHeight="1">
      <c r="B25" s="546"/>
      <c r="C25" s="564"/>
      <c r="D25" s="1697" t="s">
        <v>409</v>
      </c>
      <c r="E25" s="1697"/>
      <c r="F25" s="1697"/>
      <c r="G25" s="1697"/>
      <c r="H25" s="1697"/>
      <c r="I25" s="1697"/>
      <c r="J25" s="1697"/>
      <c r="K25" s="1697"/>
      <c r="L25" s="1697"/>
      <c r="M25" s="465"/>
      <c r="N25" s="1739"/>
      <c r="O25" s="1740"/>
      <c r="P25" s="1740"/>
      <c r="Q25" s="1740"/>
      <c r="R25" s="1740"/>
      <c r="S25" s="1740"/>
      <c r="T25" s="1740"/>
      <c r="U25" s="1740"/>
      <c r="V25" s="1741"/>
      <c r="W25" s="550" t="s">
        <v>324</v>
      </c>
      <c r="X25" s="1683"/>
      <c r="Y25" s="1684"/>
      <c r="Z25" s="1684"/>
      <c r="AA25" s="1684"/>
      <c r="AB25" s="1684"/>
      <c r="AC25" s="1684"/>
      <c r="AD25" s="1684"/>
      <c r="AE25" s="1685"/>
      <c r="AF25" s="1686"/>
      <c r="AG25" s="1686"/>
      <c r="AH25" s="1687"/>
      <c r="AI25" s="468"/>
      <c r="AJ25" s="173"/>
      <c r="AK25" s="173"/>
      <c r="AL25" s="173"/>
      <c r="AM25" s="173"/>
      <c r="AN25" s="173"/>
      <c r="AO25" s="173"/>
      <c r="AP25" s="173"/>
      <c r="AQ25" s="173"/>
      <c r="AR25" s="173"/>
      <c r="AS25" s="173"/>
      <c r="AU25" s="1374" t="s">
        <v>409</v>
      </c>
      <c r="AV25" s="1374"/>
      <c r="AW25" s="559">
        <f>ROUND(N25*AF25%,)</f>
        <v>0</v>
      </c>
      <c r="AX25" s="470" t="s">
        <v>405</v>
      </c>
      <c r="AY25" s="261">
        <f t="shared" si="1"/>
        <v>0</v>
      </c>
      <c r="AZ25" s="470" t="s">
        <v>380</v>
      </c>
      <c r="BA25" s="335">
        <f t="shared" si="0"/>
        <v>0</v>
      </c>
    </row>
    <row r="26" spans="1:53" s="30" customFormat="1" ht="30" customHeight="1" thickBot="1">
      <c r="A26" s="2"/>
      <c r="B26" s="567"/>
      <c r="C26" s="568"/>
      <c r="D26" s="1508" t="s">
        <v>410</v>
      </c>
      <c r="E26" s="1508"/>
      <c r="F26" s="1508"/>
      <c r="G26" s="1508"/>
      <c r="H26" s="1508"/>
      <c r="I26" s="1508"/>
      <c r="J26" s="1508"/>
      <c r="K26" s="1508"/>
      <c r="L26" s="1508"/>
      <c r="M26" s="569"/>
      <c r="N26" s="1743"/>
      <c r="O26" s="1744"/>
      <c r="P26" s="1744"/>
      <c r="Q26" s="1744"/>
      <c r="R26" s="1744"/>
      <c r="S26" s="1744"/>
      <c r="T26" s="1744"/>
      <c r="U26" s="1744"/>
      <c r="V26" s="1745"/>
      <c r="W26" s="570" t="s">
        <v>411</v>
      </c>
      <c r="X26" s="1746"/>
      <c r="Y26" s="1747"/>
      <c r="Z26" s="1747"/>
      <c r="AA26" s="1747"/>
      <c r="AB26" s="1747"/>
      <c r="AC26" s="1747"/>
      <c r="AD26" s="1747"/>
      <c r="AE26" s="1748"/>
      <c r="AF26" s="1749"/>
      <c r="AG26" s="1749"/>
      <c r="AH26" s="1750"/>
      <c r="AI26" s="468"/>
      <c r="AJ26" s="184"/>
      <c r="AK26" s="184"/>
      <c r="AL26" s="184"/>
      <c r="AM26" s="184"/>
      <c r="AN26" s="184"/>
      <c r="AO26" s="184"/>
      <c r="AP26" s="184"/>
      <c r="AQ26" s="184"/>
      <c r="AR26" s="184"/>
      <c r="AS26" s="184"/>
      <c r="AU26" s="1374" t="s">
        <v>412</v>
      </c>
      <c r="AV26" s="1374"/>
      <c r="AW26" s="543"/>
      <c r="AX26" s="543"/>
      <c r="AY26" s="543"/>
      <c r="AZ26" s="543"/>
      <c r="BA26" s="335">
        <f t="shared" si="0"/>
        <v>0</v>
      </c>
    </row>
    <row r="27" spans="1:53" s="30" customFormat="1" ht="14.25" customHeight="1">
      <c r="A27" s="2"/>
      <c r="B27" s="1354" t="s">
        <v>413</v>
      </c>
      <c r="C27" s="1742"/>
      <c r="D27" s="1742"/>
      <c r="E27" s="1742"/>
      <c r="F27" s="1742"/>
      <c r="G27" s="1742"/>
      <c r="H27" s="1742"/>
      <c r="I27" s="1742"/>
      <c r="J27" s="1742"/>
      <c r="K27" s="1742"/>
      <c r="L27" s="1742"/>
      <c r="M27" s="1742"/>
      <c r="N27" s="1742"/>
      <c r="O27" s="1742"/>
      <c r="P27" s="1742"/>
      <c r="Q27" s="1742"/>
      <c r="R27" s="1742"/>
      <c r="S27" s="1742"/>
      <c r="T27" s="1742"/>
      <c r="U27" s="1742"/>
      <c r="V27" s="1742"/>
      <c r="W27" s="1742"/>
      <c r="X27" s="1742"/>
      <c r="Y27" s="1742"/>
      <c r="Z27" s="1742"/>
      <c r="AA27" s="1742"/>
      <c r="AB27" s="1742"/>
      <c r="AC27" s="1742"/>
      <c r="AD27" s="1742"/>
      <c r="AE27" s="1742"/>
      <c r="AF27" s="1742"/>
      <c r="AG27" s="1742"/>
      <c r="AH27" s="1742"/>
      <c r="AI27" s="1147"/>
      <c r="AJ27" s="1147"/>
      <c r="AK27" s="1147"/>
      <c r="AL27" s="1147"/>
      <c r="AU27" s="2"/>
      <c r="AV27" s="2"/>
      <c r="AW27" s="2"/>
      <c r="AX27" s="2"/>
      <c r="AY27" s="2"/>
      <c r="AZ27" s="2"/>
      <c r="BA27" s="2"/>
    </row>
    <row r="28" spans="1:53" ht="14.25" customHeight="1">
      <c r="B28" s="1354" t="s">
        <v>414</v>
      </c>
      <c r="C28" s="1516"/>
      <c r="D28" s="1516"/>
      <c r="E28" s="1516"/>
      <c r="F28" s="1516"/>
      <c r="G28" s="1516"/>
      <c r="H28" s="1516"/>
      <c r="I28" s="1516"/>
      <c r="J28" s="1516"/>
      <c r="K28" s="1516"/>
      <c r="L28" s="1516"/>
      <c r="M28" s="1516"/>
      <c r="N28" s="1516"/>
      <c r="O28" s="1516"/>
      <c r="P28" s="1516"/>
      <c r="Q28" s="1516"/>
      <c r="R28" s="1516"/>
      <c r="S28" s="1516"/>
      <c r="T28" s="1516"/>
      <c r="U28" s="1516"/>
      <c r="V28" s="1516"/>
      <c r="W28" s="1516"/>
      <c r="X28" s="1516"/>
      <c r="Y28" s="1516"/>
      <c r="Z28" s="1516"/>
      <c r="AA28" s="1516"/>
      <c r="AB28" s="1516"/>
      <c r="AC28" s="1516"/>
      <c r="AD28" s="1516"/>
      <c r="AE28" s="1516"/>
      <c r="AF28" s="1516"/>
      <c r="AG28" s="1516"/>
      <c r="AH28" s="1516"/>
      <c r="AI28" s="1147"/>
      <c r="AJ28" s="1147"/>
      <c r="AK28" s="1147"/>
      <c r="AL28" s="1147"/>
    </row>
    <row r="29" spans="1:53" ht="14.25" customHeight="1">
      <c r="B29" s="1516"/>
      <c r="C29" s="1516"/>
      <c r="D29" s="1516"/>
      <c r="E29" s="1516"/>
      <c r="F29" s="1516"/>
      <c r="G29" s="1516"/>
      <c r="H29" s="1516"/>
      <c r="I29" s="1516"/>
      <c r="J29" s="1516"/>
      <c r="K29" s="1516"/>
      <c r="L29" s="1516"/>
      <c r="M29" s="1516"/>
      <c r="N29" s="1516"/>
      <c r="O29" s="1516"/>
      <c r="P29" s="1516"/>
      <c r="Q29" s="1516"/>
      <c r="R29" s="1516"/>
      <c r="S29" s="1516"/>
      <c r="T29" s="1516"/>
      <c r="U29" s="1516"/>
      <c r="V29" s="1516"/>
      <c r="W29" s="1516"/>
      <c r="X29" s="1516"/>
      <c r="Y29" s="1516"/>
      <c r="Z29" s="1516"/>
      <c r="AA29" s="1516"/>
      <c r="AB29" s="1516"/>
      <c r="AC29" s="1516"/>
      <c r="AD29" s="1516"/>
      <c r="AE29" s="1516"/>
      <c r="AF29" s="1516"/>
      <c r="AG29" s="1516"/>
      <c r="AH29" s="1516"/>
      <c r="AI29" s="1147"/>
      <c r="AJ29" s="1147"/>
      <c r="AK29" s="1147"/>
      <c r="AL29" s="1147"/>
    </row>
    <row r="31" spans="1:53" ht="13.5" customHeight="1">
      <c r="D31" s="571"/>
      <c r="E31" s="572"/>
      <c r="F31" s="571"/>
      <c r="G31" s="571"/>
      <c r="H31" s="571"/>
      <c r="I31" s="571"/>
      <c r="J31" s="571"/>
      <c r="K31" s="571"/>
      <c r="L31" s="571"/>
      <c r="M31" s="571"/>
      <c r="N31" s="571"/>
      <c r="O31" s="571"/>
      <c r="P31" s="571"/>
      <c r="Q31" s="571"/>
      <c r="R31" s="571"/>
      <c r="S31" s="571"/>
      <c r="T31" s="571"/>
      <c r="U31" s="571"/>
      <c r="V31" s="571"/>
      <c r="W31" s="571"/>
      <c r="X31" s="571"/>
      <c r="Y31" s="571"/>
      <c r="Z31" s="571"/>
      <c r="AA31" s="571"/>
      <c r="AB31" s="571"/>
      <c r="AC31" s="571"/>
      <c r="AD31" s="571"/>
      <c r="AE31" s="571"/>
      <c r="AF31" s="571"/>
      <c r="AG31" s="571"/>
      <c r="AH31" s="571"/>
    </row>
    <row r="32" spans="1:53" ht="18" customHeight="1">
      <c r="A32" s="173"/>
      <c r="B32" s="173"/>
      <c r="C32" s="173"/>
      <c r="D32" s="573"/>
      <c r="E32" s="574"/>
      <c r="F32" s="573"/>
      <c r="G32" s="573"/>
      <c r="H32" s="573"/>
      <c r="I32" s="573"/>
      <c r="J32" s="573"/>
      <c r="K32" s="573"/>
      <c r="L32" s="571"/>
      <c r="M32" s="571"/>
      <c r="N32" s="571"/>
      <c r="O32" s="571"/>
      <c r="P32" s="571"/>
      <c r="Q32" s="571"/>
      <c r="R32" s="571"/>
      <c r="S32" s="571"/>
      <c r="T32" s="571"/>
      <c r="U32" s="571"/>
      <c r="V32" s="571"/>
      <c r="W32" s="571"/>
      <c r="X32" s="571"/>
      <c r="Y32" s="571"/>
      <c r="Z32" s="571"/>
      <c r="AA32" s="571"/>
      <c r="AB32" s="571"/>
      <c r="AC32" s="571"/>
      <c r="AD32" s="571"/>
      <c r="AE32" s="571"/>
      <c r="AF32" s="571"/>
      <c r="AG32" s="571"/>
      <c r="AH32" s="571"/>
    </row>
    <row r="33" spans="1:34" ht="18" customHeight="1">
      <c r="A33" s="173"/>
      <c r="B33" s="173"/>
      <c r="C33" s="173"/>
      <c r="D33" s="573"/>
      <c r="E33" s="574"/>
      <c r="F33" s="573"/>
      <c r="G33" s="573"/>
      <c r="H33" s="573"/>
      <c r="I33" s="573"/>
      <c r="J33" s="573"/>
      <c r="K33" s="573"/>
      <c r="L33" s="571"/>
      <c r="M33" s="571"/>
      <c r="N33" s="571"/>
      <c r="O33" s="571"/>
      <c r="P33" s="571"/>
      <c r="Q33" s="571"/>
      <c r="R33" s="571"/>
      <c r="S33" s="571"/>
      <c r="T33" s="571"/>
      <c r="U33" s="571"/>
      <c r="V33" s="571"/>
      <c r="W33" s="571"/>
      <c r="X33" s="571"/>
      <c r="Y33" s="571"/>
      <c r="Z33" s="571"/>
      <c r="AA33" s="571"/>
      <c r="AB33" s="571"/>
      <c r="AC33" s="571"/>
      <c r="AD33" s="571"/>
      <c r="AE33" s="571"/>
      <c r="AF33" s="571"/>
      <c r="AG33" s="571"/>
      <c r="AH33" s="571"/>
    </row>
    <row r="34" spans="1:34" ht="18" customHeight="1">
      <c r="A34" s="173"/>
      <c r="B34" s="173"/>
      <c r="C34" s="575"/>
      <c r="D34" s="173"/>
      <c r="E34" s="575"/>
      <c r="F34" s="575"/>
      <c r="G34" s="575"/>
      <c r="H34" s="575"/>
      <c r="I34" s="575"/>
      <c r="J34" s="576"/>
      <c r="K34" s="576"/>
      <c r="L34" s="144"/>
      <c r="M34" s="144"/>
      <c r="N34" s="144"/>
      <c r="O34" s="144"/>
      <c r="P34" s="577"/>
      <c r="Q34" s="577"/>
      <c r="R34" s="577"/>
      <c r="S34" s="145"/>
      <c r="U34" s="577"/>
      <c r="X34" s="44"/>
      <c r="Y34" s="44"/>
    </row>
    <row r="35" spans="1:34" ht="18" customHeight="1">
      <c r="A35" s="173"/>
      <c r="B35" s="173"/>
      <c r="C35" s="575"/>
      <c r="D35" s="173"/>
      <c r="E35" s="575"/>
      <c r="F35" s="575"/>
      <c r="G35" s="575"/>
      <c r="H35" s="575"/>
      <c r="I35" s="575"/>
      <c r="J35" s="576"/>
      <c r="K35" s="576"/>
      <c r="L35" s="144"/>
      <c r="M35" s="144"/>
      <c r="N35" s="144"/>
      <c r="O35" s="144"/>
      <c r="P35" s="577"/>
      <c r="Q35" s="577"/>
      <c r="R35" s="577"/>
      <c r="S35" s="145"/>
      <c r="U35" s="577"/>
      <c r="X35" s="44"/>
      <c r="Y35" s="44"/>
    </row>
    <row r="36" spans="1:34" ht="18" customHeight="1">
      <c r="A36" s="173"/>
      <c r="B36" s="173"/>
      <c r="C36" s="575"/>
      <c r="D36" s="173"/>
      <c r="E36" s="575"/>
      <c r="F36" s="575"/>
      <c r="G36" s="575"/>
      <c r="H36" s="575"/>
      <c r="I36" s="575"/>
      <c r="J36" s="576"/>
      <c r="K36" s="576"/>
      <c r="L36" s="144"/>
      <c r="M36" s="144"/>
      <c r="N36" s="144"/>
      <c r="O36" s="144"/>
      <c r="P36" s="577"/>
      <c r="Q36" s="577"/>
      <c r="R36" s="577"/>
      <c r="S36" s="145"/>
      <c r="U36" s="577"/>
      <c r="X36" s="44"/>
      <c r="Y36" s="44"/>
    </row>
    <row r="37" spans="1:34" ht="18" customHeight="1">
      <c r="A37" s="173"/>
      <c r="B37" s="173"/>
      <c r="C37" s="575"/>
      <c r="D37" s="173"/>
      <c r="E37" s="575"/>
      <c r="F37" s="575"/>
      <c r="G37" s="575"/>
      <c r="H37" s="575"/>
      <c r="I37" s="575"/>
      <c r="J37" s="576"/>
      <c r="K37" s="576"/>
      <c r="M37" s="120"/>
      <c r="N37" s="274"/>
      <c r="O37" s="578"/>
      <c r="P37" s="20"/>
      <c r="Q37" s="20"/>
      <c r="R37" s="39"/>
      <c r="S37" s="20"/>
      <c r="T37" s="30"/>
      <c r="U37" s="20"/>
      <c r="X37" s="579"/>
      <c r="Y37" s="580"/>
    </row>
    <row r="38" spans="1:34" ht="18" customHeight="1">
      <c r="A38" s="173"/>
      <c r="B38" s="173"/>
      <c r="C38" s="575"/>
      <c r="D38" s="173"/>
      <c r="E38" s="575"/>
      <c r="F38" s="575"/>
      <c r="G38" s="575"/>
      <c r="H38" s="575"/>
      <c r="I38" s="575"/>
      <c r="J38" s="576"/>
      <c r="K38" s="576"/>
      <c r="L38" s="144"/>
      <c r="M38" s="144"/>
      <c r="N38" s="144"/>
      <c r="O38" s="144"/>
      <c r="P38" s="577"/>
      <c r="Q38" s="577"/>
      <c r="R38" s="577"/>
      <c r="S38" s="145"/>
      <c r="U38" s="577"/>
      <c r="X38" s="44"/>
      <c r="Y38" s="44"/>
    </row>
    <row r="39" spans="1:34" ht="18" customHeight="1">
      <c r="A39" s="173"/>
      <c r="B39" s="173"/>
      <c r="C39" s="575"/>
      <c r="D39" s="173"/>
      <c r="E39" s="575"/>
      <c r="F39" s="575"/>
      <c r="G39" s="575"/>
      <c r="H39" s="575"/>
      <c r="I39" s="575"/>
      <c r="J39" s="581"/>
      <c r="K39" s="581"/>
      <c r="M39" s="120"/>
      <c r="N39" s="274"/>
      <c r="O39" s="579"/>
      <c r="P39" s="582"/>
      <c r="Q39" s="582"/>
      <c r="R39" s="582"/>
      <c r="S39" s="582"/>
      <c r="T39" s="30"/>
      <c r="U39" s="582"/>
      <c r="X39" s="579"/>
      <c r="Y39" s="579"/>
    </row>
    <row r="40" spans="1:34" ht="18" customHeight="1">
      <c r="A40" s="173"/>
      <c r="B40" s="173"/>
      <c r="C40" s="575"/>
      <c r="D40" s="184"/>
      <c r="E40" s="575"/>
      <c r="F40" s="575"/>
      <c r="G40" s="575"/>
      <c r="H40" s="575"/>
      <c r="I40" s="575"/>
      <c r="J40" s="581"/>
      <c r="K40" s="581"/>
      <c r="M40" s="120"/>
      <c r="N40" s="274"/>
      <c r="O40" s="579"/>
      <c r="P40" s="582"/>
      <c r="Q40" s="582"/>
      <c r="R40" s="582"/>
      <c r="S40" s="582"/>
      <c r="T40" s="30"/>
      <c r="U40" s="582"/>
      <c r="X40" s="579"/>
      <c r="Y40" s="579"/>
    </row>
    <row r="41" spans="1:34" ht="13.5" customHeight="1">
      <c r="A41" s="173"/>
      <c r="B41" s="173"/>
      <c r="C41" s="173"/>
      <c r="D41" s="173"/>
      <c r="E41" s="575"/>
      <c r="F41" s="575"/>
      <c r="G41" s="575"/>
      <c r="H41" s="575"/>
      <c r="I41" s="575"/>
      <c r="J41" s="581"/>
      <c r="K41" s="581"/>
      <c r="M41" s="73"/>
      <c r="N41" s="274"/>
      <c r="O41" s="579"/>
      <c r="P41" s="582"/>
      <c r="Q41" s="582"/>
      <c r="R41" s="582"/>
      <c r="S41" s="582"/>
      <c r="T41" s="30"/>
      <c r="U41" s="582"/>
      <c r="X41" s="579"/>
      <c r="Y41" s="579"/>
    </row>
    <row r="42" spans="1:34" ht="13.5" customHeight="1">
      <c r="C42" s="583"/>
      <c r="D42" s="30"/>
      <c r="E42" s="583"/>
      <c r="F42" s="583"/>
      <c r="G42" s="583"/>
      <c r="H42" s="583"/>
      <c r="I42" s="583"/>
      <c r="J42" s="83"/>
      <c r="K42" s="83"/>
      <c r="M42" s="73"/>
      <c r="N42" s="274"/>
      <c r="O42" s="579"/>
      <c r="P42" s="20"/>
      <c r="Q42" s="20"/>
      <c r="R42" s="20"/>
      <c r="S42" s="20"/>
      <c r="U42" s="20"/>
      <c r="X42" s="579"/>
      <c r="Y42" s="579"/>
    </row>
    <row r="52" ht="23.25" customHeight="1"/>
    <row r="53" ht="23.25" customHeight="1"/>
    <row r="57" ht="23.25" customHeight="1"/>
    <row r="58" ht="23.25" customHeight="1"/>
  </sheetData>
  <sheetProtection sheet="1" objects="1" scenarios="1" selectLockedCells="1"/>
  <mergeCells count="83">
    <mergeCell ref="B27:AL27"/>
    <mergeCell ref="B28:AL29"/>
    <mergeCell ref="AU25:AV25"/>
    <mergeCell ref="D26:L26"/>
    <mergeCell ref="N26:V26"/>
    <mergeCell ref="X26:AE26"/>
    <mergeCell ref="AF26:AH26"/>
    <mergeCell ref="AU26:AV26"/>
    <mergeCell ref="D24:L24"/>
    <mergeCell ref="N24:V24"/>
    <mergeCell ref="X24:AE24"/>
    <mergeCell ref="AF24:AH24"/>
    <mergeCell ref="D25:L25"/>
    <mergeCell ref="N25:V25"/>
    <mergeCell ref="X25:AE25"/>
    <mergeCell ref="AF25:AH25"/>
    <mergeCell ref="D22:L22"/>
    <mergeCell ref="N22:V22"/>
    <mergeCell ref="X22:AE22"/>
    <mergeCell ref="AF22:AH22"/>
    <mergeCell ref="D23:L23"/>
    <mergeCell ref="N23:V23"/>
    <mergeCell ref="X23:AE23"/>
    <mergeCell ref="AF23:AH23"/>
    <mergeCell ref="D20:L20"/>
    <mergeCell ref="N20:V20"/>
    <mergeCell ref="X20:AE20"/>
    <mergeCell ref="AF20:AH20"/>
    <mergeCell ref="AU20:AV20"/>
    <mergeCell ref="D21:L21"/>
    <mergeCell ref="N21:V21"/>
    <mergeCell ref="X21:AE21"/>
    <mergeCell ref="AF21:AH21"/>
    <mergeCell ref="AU21:AV21"/>
    <mergeCell ref="D18:L18"/>
    <mergeCell ref="N18:V18"/>
    <mergeCell ref="X18:AE18"/>
    <mergeCell ref="AF18:AH18"/>
    <mergeCell ref="AU18:AV18"/>
    <mergeCell ref="D19:L19"/>
    <mergeCell ref="N19:V19"/>
    <mergeCell ref="X19:AE19"/>
    <mergeCell ref="AF19:AH19"/>
    <mergeCell ref="AU19:AV19"/>
    <mergeCell ref="AU16:AV16"/>
    <mergeCell ref="D17:L17"/>
    <mergeCell ref="N17:V17"/>
    <mergeCell ref="X17:AE17"/>
    <mergeCell ref="AF17:AH17"/>
    <mergeCell ref="AU17:AV17"/>
    <mergeCell ref="D16:L16"/>
    <mergeCell ref="N16:V16"/>
    <mergeCell ref="X16:AE16"/>
    <mergeCell ref="AF16:AH16"/>
    <mergeCell ref="C13:D15"/>
    <mergeCell ref="F13:L13"/>
    <mergeCell ref="N13:V13"/>
    <mergeCell ref="X13:AE13"/>
    <mergeCell ref="AF13:AH13"/>
    <mergeCell ref="AU13:AU15"/>
    <mergeCell ref="F14:L14"/>
    <mergeCell ref="N14:V14"/>
    <mergeCell ref="X14:AE14"/>
    <mergeCell ref="AF14:AH14"/>
    <mergeCell ref="F15:L15"/>
    <mergeCell ref="N15:V15"/>
    <mergeCell ref="X15:AE15"/>
    <mergeCell ref="AF15:AH15"/>
    <mergeCell ref="AW9:AX11"/>
    <mergeCell ref="AY9:AZ11"/>
    <mergeCell ref="BA9:BA11"/>
    <mergeCell ref="W10:W11"/>
    <mergeCell ref="B12:M12"/>
    <mergeCell ref="N12:V12"/>
    <mergeCell ref="X12:AE12"/>
    <mergeCell ref="AF12:AH12"/>
    <mergeCell ref="AU12:AV12"/>
    <mergeCell ref="AU9:AV11"/>
    <mergeCell ref="B5:AH8"/>
    <mergeCell ref="B9:M11"/>
    <mergeCell ref="N9:V11"/>
    <mergeCell ref="X9:AE11"/>
    <mergeCell ref="AF9:AH11"/>
  </mergeCells>
  <phoneticPr fontId="5"/>
  <dataValidations count="3">
    <dataValidation type="custom" operator="greaterThan" allowBlank="1" showInputMessage="1" showErrorMessage="1" error="0より大きい小数点第１位までの数値を入力してください。" sqref="N17:V20" xr:uid="{00000000-0002-0000-0C00-000000000000}">
      <formula1>AND(AND(N17*10=INT(N17*10)),(N17&gt;0))</formula1>
    </dataValidation>
    <dataValidation type="whole" operator="greaterThan" allowBlank="1" showInputMessage="1" showErrorMessage="1" error="0より大きい数値を整数で入力してください。" sqref="X12:AE26 N21:V25" xr:uid="{00000000-0002-0000-0C00-000001000000}">
      <formula1>0</formula1>
    </dataValidation>
    <dataValidation type="custom" allowBlank="1" showInputMessage="1" showErrorMessage="1" error="0.001~100の範囲で小数点第３位までの数値を入力してください。" sqref="AF12:AH26" xr:uid="{00000000-0002-0000-0C00-000002000000}">
      <formula1>AND(AND(AF12*1000=INT(AF12*1000)),(AF12&gt;0),(AF12&lt;=100))</formula1>
    </dataValidation>
  </dataValidations>
  <pageMargins left="0.59055118110236227" right="0.59055118110236227" top="0.59055118110236227" bottom="0.59055118110236227" header="0" footer="0"/>
  <pageSetup paperSize="9" scale="44" orientation="portrait" cellComments="asDisplayed"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2">
    <pageSetUpPr fitToPage="1"/>
  </sheetPr>
  <dimension ref="A1:AU53"/>
  <sheetViews>
    <sheetView showGridLines="0" zoomScale="85" zoomScaleNormal="85" zoomScaleSheetLayoutView="80" workbookViewId="0">
      <selection activeCell="M12" sqref="M12:T12"/>
    </sheetView>
  </sheetViews>
  <sheetFormatPr defaultColWidth="2.625" defaultRowHeight="14.25" customHeight="1" outlineLevelCol="1"/>
  <cols>
    <col min="1" max="35" width="2.625" style="2" customWidth="1"/>
    <col min="36" max="37" width="0.875" style="2" customWidth="1"/>
    <col min="38" max="40" width="2.625" style="2" customWidth="1"/>
    <col min="41" max="45" width="2.625" style="2" customWidth="1" outlineLevel="1"/>
    <col min="46" max="46" width="24.25" style="2" bestFit="1" customWidth="1" outlineLevel="1"/>
    <col min="47" max="47" width="17.375" style="2" customWidth="1" outlineLevel="1"/>
    <col min="48" max="16384" width="2.625" style="2"/>
  </cols>
  <sheetData>
    <row r="1" spans="1:47" ht="14.25" customHeight="1">
      <c r="AS1" s="2" t="s">
        <v>372</v>
      </c>
    </row>
    <row r="2" spans="1:47" s="30" customFormat="1" ht="18" customHeight="1">
      <c r="A2" s="152" t="s">
        <v>415</v>
      </c>
      <c r="AM2" s="2"/>
      <c r="AN2" s="2"/>
      <c r="AO2" s="2"/>
      <c r="AS2" s="152" t="s">
        <v>415</v>
      </c>
      <c r="AT2" s="2"/>
    </row>
    <row r="3" spans="1:47" ht="18" customHeight="1">
      <c r="B3" s="584"/>
      <c r="C3" s="584"/>
      <c r="D3" s="584"/>
      <c r="E3" s="584"/>
      <c r="F3" s="584"/>
      <c r="G3" s="584"/>
      <c r="H3" s="584"/>
      <c r="I3" s="584"/>
      <c r="J3" s="584"/>
      <c r="K3" s="584"/>
      <c r="L3" s="584"/>
      <c r="M3" s="584"/>
      <c r="N3" s="584"/>
      <c r="O3" s="584"/>
      <c r="P3" s="584"/>
      <c r="Q3" s="584"/>
      <c r="R3" s="584"/>
      <c r="S3" s="584"/>
      <c r="T3" s="584"/>
      <c r="U3" s="584"/>
      <c r="V3" s="584"/>
      <c r="W3" s="584"/>
      <c r="X3" s="584"/>
      <c r="Y3" s="584"/>
      <c r="Z3" s="584"/>
      <c r="AA3" s="584"/>
      <c r="AB3" s="584"/>
      <c r="AC3" s="584"/>
      <c r="AD3" s="584"/>
      <c r="AE3" s="584"/>
      <c r="AF3" s="584"/>
      <c r="AG3" s="584"/>
      <c r="AH3" s="585"/>
      <c r="AI3" s="585"/>
      <c r="AJ3" s="585"/>
      <c r="AK3" s="585"/>
      <c r="AP3" s="585"/>
      <c r="AQ3" s="585"/>
      <c r="AR3" s="585"/>
    </row>
    <row r="4" spans="1:47" ht="18" customHeight="1">
      <c r="B4" s="128" t="s">
        <v>416</v>
      </c>
      <c r="C4" s="48"/>
      <c r="D4" s="48"/>
      <c r="E4" s="48"/>
      <c r="F4" s="48"/>
      <c r="G4" s="48"/>
      <c r="H4" s="48"/>
      <c r="I4" s="48"/>
      <c r="J4" s="48"/>
      <c r="K4" s="48"/>
      <c r="L4" s="48"/>
      <c r="M4" s="48"/>
      <c r="N4" s="48"/>
      <c r="O4" s="48"/>
      <c r="P4" s="48"/>
      <c r="Q4" s="48"/>
      <c r="R4" s="48"/>
      <c r="U4" s="48"/>
      <c r="V4" s="48"/>
      <c r="W4" s="48"/>
      <c r="X4" s="48"/>
      <c r="Y4" s="48"/>
      <c r="Z4" s="48"/>
      <c r="AT4" s="128" t="s">
        <v>416</v>
      </c>
    </row>
    <row r="5" spans="1:47" ht="18" customHeight="1">
      <c r="B5" s="51" t="s">
        <v>417</v>
      </c>
      <c r="D5" s="48"/>
      <c r="E5" s="48"/>
      <c r="F5" s="48"/>
      <c r="G5" s="48"/>
      <c r="H5" s="48"/>
      <c r="I5" s="48"/>
      <c r="J5" s="48"/>
      <c r="K5" s="48"/>
      <c r="L5" s="48"/>
      <c r="M5" s="48"/>
      <c r="N5" s="48"/>
      <c r="O5" s="48"/>
      <c r="P5" s="48"/>
      <c r="Q5" s="48"/>
      <c r="R5" s="48"/>
      <c r="U5" s="48"/>
      <c r="V5" s="48"/>
      <c r="W5" s="48"/>
      <c r="X5" s="48"/>
      <c r="Y5" s="48"/>
      <c r="Z5" s="48"/>
    </row>
    <row r="6" spans="1:47" ht="18" customHeight="1">
      <c r="B6" s="51" t="s">
        <v>418</v>
      </c>
      <c r="D6" s="48"/>
      <c r="E6" s="48"/>
      <c r="F6" s="48"/>
      <c r="G6" s="48"/>
      <c r="H6" s="48"/>
      <c r="I6" s="48"/>
      <c r="J6" s="48"/>
      <c r="K6" s="48"/>
      <c r="L6" s="48"/>
      <c r="M6" s="48"/>
      <c r="N6" s="48"/>
      <c r="O6" s="48"/>
      <c r="P6" s="48"/>
      <c r="Q6" s="48"/>
      <c r="R6" s="48"/>
      <c r="U6" s="48"/>
      <c r="V6" s="48"/>
      <c r="W6" s="48"/>
      <c r="X6" s="48"/>
      <c r="Y6" s="48"/>
      <c r="Z6" s="48"/>
    </row>
    <row r="7" spans="1:47" ht="18" customHeight="1">
      <c r="B7" s="51" t="s">
        <v>419</v>
      </c>
      <c r="D7" s="48"/>
      <c r="E7" s="48"/>
      <c r="F7" s="48"/>
      <c r="G7" s="48"/>
      <c r="H7" s="48"/>
      <c r="I7" s="48"/>
      <c r="J7" s="48"/>
      <c r="K7" s="48"/>
      <c r="L7" s="48"/>
      <c r="M7" s="48"/>
      <c r="N7" s="48"/>
      <c r="O7" s="48"/>
      <c r="P7" s="48"/>
      <c r="Q7" s="48"/>
      <c r="R7" s="48"/>
      <c r="U7" s="48"/>
      <c r="V7" s="48"/>
      <c r="W7" s="48"/>
      <c r="X7" s="48"/>
      <c r="Y7" s="48"/>
      <c r="Z7" s="48"/>
    </row>
    <row r="8" spans="1:47" ht="18" customHeight="1" thickBot="1">
      <c r="B8" s="48"/>
      <c r="D8" s="48"/>
      <c r="E8" s="48"/>
      <c r="F8" s="48"/>
      <c r="G8" s="48"/>
      <c r="H8" s="48"/>
      <c r="I8" s="48"/>
      <c r="J8" s="48"/>
      <c r="K8" s="48"/>
      <c r="L8" s="48"/>
      <c r="M8" s="48"/>
      <c r="N8" s="48"/>
      <c r="O8" s="48"/>
      <c r="P8" s="48"/>
      <c r="Q8" s="48"/>
      <c r="R8" s="48"/>
      <c r="U8" s="48"/>
      <c r="V8" s="48"/>
      <c r="W8" s="48"/>
      <c r="X8" s="48"/>
      <c r="Y8" s="48"/>
      <c r="Z8" s="48"/>
    </row>
    <row r="9" spans="1:47" ht="12.75" customHeight="1">
      <c r="B9" s="1236" t="s">
        <v>55</v>
      </c>
      <c r="C9" s="1237"/>
      <c r="D9" s="1237"/>
      <c r="E9" s="1237"/>
      <c r="F9" s="1237"/>
      <c r="G9" s="1237"/>
      <c r="H9" s="1237"/>
      <c r="I9" s="1237"/>
      <c r="J9" s="1237"/>
      <c r="K9" s="1237"/>
      <c r="L9" s="1260"/>
      <c r="M9" s="1169" t="s">
        <v>259</v>
      </c>
      <c r="N9" s="1170"/>
      <c r="O9" s="1170"/>
      <c r="P9" s="1170"/>
      <c r="Q9" s="1170"/>
      <c r="R9" s="1170"/>
      <c r="S9" s="1170"/>
      <c r="T9" s="1170"/>
      <c r="U9" s="1175" t="s">
        <v>290</v>
      </c>
      <c r="V9" s="1541"/>
      <c r="W9" s="1542"/>
      <c r="X9" s="586"/>
      <c r="Y9" s="270"/>
      <c r="Z9" s="270"/>
      <c r="AA9" s="270"/>
      <c r="AB9" s="270"/>
      <c r="AC9" s="270"/>
      <c r="AD9" s="270"/>
      <c r="AE9" s="270"/>
      <c r="AF9" s="270"/>
      <c r="AG9" s="270"/>
      <c r="AH9" s="587"/>
      <c r="AI9" s="587"/>
      <c r="AT9" s="1507" t="s">
        <v>55</v>
      </c>
      <c r="AU9" s="1524" t="s">
        <v>420</v>
      </c>
    </row>
    <row r="10" spans="1:47" ht="12.95" customHeight="1">
      <c r="B10" s="1405"/>
      <c r="C10" s="1406"/>
      <c r="D10" s="1406"/>
      <c r="E10" s="1406"/>
      <c r="F10" s="1406"/>
      <c r="G10" s="1406"/>
      <c r="H10" s="1406"/>
      <c r="I10" s="1406"/>
      <c r="J10" s="1406"/>
      <c r="K10" s="1406"/>
      <c r="L10" s="1407"/>
      <c r="M10" s="1762"/>
      <c r="N10" s="1340"/>
      <c r="O10" s="1340"/>
      <c r="P10" s="1340"/>
      <c r="Q10" s="1340"/>
      <c r="R10" s="1340"/>
      <c r="S10" s="1340"/>
      <c r="T10" s="1340"/>
      <c r="U10" s="1543"/>
      <c r="V10" s="1544"/>
      <c r="W10" s="1545"/>
      <c r="X10" s="270"/>
      <c r="Y10" s="270"/>
      <c r="Z10" s="270"/>
      <c r="AA10" s="270"/>
      <c r="AB10" s="270"/>
      <c r="AC10" s="270"/>
      <c r="AD10" s="270"/>
      <c r="AE10" s="270"/>
      <c r="AF10" s="270"/>
      <c r="AG10" s="270"/>
      <c r="AH10" s="587"/>
      <c r="AI10" s="587"/>
      <c r="AT10" s="1507"/>
      <c r="AU10" s="1525"/>
    </row>
    <row r="11" spans="1:47" ht="14.25" customHeight="1" thickBot="1">
      <c r="B11" s="1239"/>
      <c r="C11" s="1240"/>
      <c r="D11" s="1240"/>
      <c r="E11" s="1240"/>
      <c r="F11" s="1240"/>
      <c r="G11" s="1240"/>
      <c r="H11" s="1240"/>
      <c r="I11" s="1240"/>
      <c r="J11" s="1240"/>
      <c r="K11" s="1240"/>
      <c r="L11" s="1392"/>
      <c r="M11" s="1500"/>
      <c r="N11" s="1657"/>
      <c r="O11" s="1657"/>
      <c r="P11" s="1657"/>
      <c r="Q11" s="1657"/>
      <c r="R11" s="1657"/>
      <c r="S11" s="1657"/>
      <c r="T11" s="1657"/>
      <c r="U11" s="1763"/>
      <c r="V11" s="1764"/>
      <c r="W11" s="1765"/>
      <c r="X11" s="270"/>
      <c r="Y11" s="270"/>
      <c r="Z11" s="270"/>
      <c r="AA11" s="270"/>
      <c r="AB11" s="270"/>
      <c r="AC11" s="270"/>
      <c r="AD11" s="270"/>
      <c r="AE11" s="270"/>
      <c r="AF11" s="270"/>
      <c r="AG11" s="270"/>
      <c r="AH11" s="587"/>
      <c r="AI11" s="587"/>
      <c r="AT11" s="1507"/>
      <c r="AU11" s="1526"/>
    </row>
    <row r="12" spans="1:47" ht="30" customHeight="1" thickTop="1" thickBot="1">
      <c r="B12" s="1447" t="s">
        <v>295</v>
      </c>
      <c r="C12" s="1448"/>
      <c r="D12" s="1448"/>
      <c r="E12" s="1448"/>
      <c r="F12" s="1448"/>
      <c r="G12" s="1448"/>
      <c r="H12" s="1448"/>
      <c r="I12" s="1448"/>
      <c r="J12" s="1448"/>
      <c r="K12" s="1448"/>
      <c r="L12" s="1755"/>
      <c r="M12" s="1756"/>
      <c r="N12" s="1757"/>
      <c r="O12" s="1757"/>
      <c r="P12" s="1757"/>
      <c r="Q12" s="1757"/>
      <c r="R12" s="1757"/>
      <c r="S12" s="1757"/>
      <c r="T12" s="1758"/>
      <c r="U12" s="1759"/>
      <c r="V12" s="1760"/>
      <c r="W12" s="1761"/>
      <c r="X12" s="270"/>
      <c r="Y12" s="270"/>
      <c r="Z12" s="270"/>
      <c r="AA12" s="270"/>
      <c r="AB12" s="270"/>
      <c r="AC12" s="270"/>
      <c r="AD12" s="270"/>
      <c r="AE12" s="270"/>
      <c r="AF12" s="270"/>
      <c r="AG12" s="270"/>
      <c r="AH12" s="587"/>
      <c r="AI12" s="587"/>
      <c r="AT12" s="588" t="s">
        <v>421</v>
      </c>
      <c r="AU12" s="432">
        <f>IF(M12&gt;0,SUM(ROUND(M12*U12%,),AU20:AU22),SUM(AU13:AU22))</f>
        <v>0</v>
      </c>
    </row>
    <row r="13" spans="1:47" ht="30" customHeight="1" thickTop="1">
      <c r="B13" s="589"/>
      <c r="C13" s="1251" t="s">
        <v>422</v>
      </c>
      <c r="D13" s="1252"/>
      <c r="E13" s="1252"/>
      <c r="F13" s="1252"/>
      <c r="G13" s="1252"/>
      <c r="H13" s="1252"/>
      <c r="I13" s="1252"/>
      <c r="J13" s="1252"/>
      <c r="K13" s="1252"/>
      <c r="L13" s="1252"/>
      <c r="M13" s="1751"/>
      <c r="N13" s="1752"/>
      <c r="O13" s="1752"/>
      <c r="P13" s="1752"/>
      <c r="Q13" s="1752"/>
      <c r="R13" s="1752"/>
      <c r="S13" s="1752"/>
      <c r="T13" s="1752"/>
      <c r="U13" s="1753"/>
      <c r="V13" s="1753"/>
      <c r="W13" s="1754"/>
      <c r="X13" s="468"/>
      <c r="Y13" s="590"/>
      <c r="Z13" s="590"/>
      <c r="AA13" s="590"/>
      <c r="AB13" s="590"/>
      <c r="AC13" s="590"/>
      <c r="AD13" s="590"/>
      <c r="AE13" s="590"/>
      <c r="AF13" s="590"/>
      <c r="AG13" s="590"/>
      <c r="AH13" s="229"/>
      <c r="AI13" s="229"/>
      <c r="AT13" s="216" t="s">
        <v>422</v>
      </c>
      <c r="AU13" s="335">
        <f>ROUND(M13*U13%,)</f>
        <v>0</v>
      </c>
    </row>
    <row r="14" spans="1:47" ht="30" customHeight="1">
      <c r="B14" s="591"/>
      <c r="C14" s="1251" t="s">
        <v>423</v>
      </c>
      <c r="D14" s="1252"/>
      <c r="E14" s="1252"/>
      <c r="F14" s="1252"/>
      <c r="G14" s="1252"/>
      <c r="H14" s="1252"/>
      <c r="I14" s="1252"/>
      <c r="J14" s="1252"/>
      <c r="K14" s="1252"/>
      <c r="L14" s="1252"/>
      <c r="M14" s="1766"/>
      <c r="N14" s="1767"/>
      <c r="O14" s="1767"/>
      <c r="P14" s="1767"/>
      <c r="Q14" s="1767"/>
      <c r="R14" s="1767"/>
      <c r="S14" s="1767"/>
      <c r="T14" s="1767"/>
      <c r="U14" s="1768"/>
      <c r="V14" s="1768"/>
      <c r="W14" s="1769"/>
      <c r="X14" s="468"/>
      <c r="Y14" s="590"/>
      <c r="Z14" s="590"/>
      <c r="AA14" s="590"/>
      <c r="AB14" s="590"/>
      <c r="AC14" s="590"/>
      <c r="AD14" s="590"/>
      <c r="AE14" s="590"/>
      <c r="AF14" s="590"/>
      <c r="AG14" s="590"/>
      <c r="AH14" s="229"/>
      <c r="AI14" s="229"/>
      <c r="AT14" s="592" t="s">
        <v>423</v>
      </c>
      <c r="AU14" s="335">
        <f>ROUND(M14*U14%,)</f>
        <v>0</v>
      </c>
    </row>
    <row r="15" spans="1:47" ht="30" customHeight="1">
      <c r="B15" s="589"/>
      <c r="C15" s="1251" t="s">
        <v>424</v>
      </c>
      <c r="D15" s="1252"/>
      <c r="E15" s="1252"/>
      <c r="F15" s="1252"/>
      <c r="G15" s="1252"/>
      <c r="H15" s="1252"/>
      <c r="I15" s="1252"/>
      <c r="J15" s="1252"/>
      <c r="K15" s="1252"/>
      <c r="L15" s="1252"/>
      <c r="M15" s="1770"/>
      <c r="N15" s="1771"/>
      <c r="O15" s="1771"/>
      <c r="P15" s="1771"/>
      <c r="Q15" s="1771"/>
      <c r="R15" s="1771"/>
      <c r="S15" s="1771"/>
      <c r="T15" s="1771"/>
      <c r="U15" s="1772"/>
      <c r="V15" s="1772"/>
      <c r="W15" s="1773"/>
      <c r="X15" s="468"/>
      <c r="Y15" s="362"/>
      <c r="Z15" s="362"/>
      <c r="AA15" s="362"/>
      <c r="AB15" s="362"/>
      <c r="AC15" s="362"/>
      <c r="AD15" s="362"/>
      <c r="AE15" s="362"/>
      <c r="AF15" s="362"/>
      <c r="AG15" s="362"/>
      <c r="AH15" s="322"/>
      <c r="AI15" s="322"/>
      <c r="AT15" s="592" t="s">
        <v>424</v>
      </c>
      <c r="AU15" s="335">
        <f t="shared" ref="AU15:AU19" si="0">ROUND(M15*U15%,)</f>
        <v>0</v>
      </c>
    </row>
    <row r="16" spans="1:47" ht="30" customHeight="1">
      <c r="B16" s="593"/>
      <c r="C16" s="1251" t="s">
        <v>425</v>
      </c>
      <c r="D16" s="1252"/>
      <c r="E16" s="1252"/>
      <c r="F16" s="1252"/>
      <c r="G16" s="1252"/>
      <c r="H16" s="1252"/>
      <c r="I16" s="1252"/>
      <c r="J16" s="1252"/>
      <c r="K16" s="1252"/>
      <c r="L16" s="1252"/>
      <c r="M16" s="1766"/>
      <c r="N16" s="1767"/>
      <c r="O16" s="1767"/>
      <c r="P16" s="1767"/>
      <c r="Q16" s="1767"/>
      <c r="R16" s="1767"/>
      <c r="S16" s="1767"/>
      <c r="T16" s="1767"/>
      <c r="U16" s="1768"/>
      <c r="V16" s="1768"/>
      <c r="W16" s="1769"/>
      <c r="X16" s="468"/>
      <c r="Y16" s="362"/>
      <c r="Z16" s="362"/>
      <c r="AA16" s="362"/>
      <c r="AB16" s="362"/>
      <c r="AC16" s="362"/>
      <c r="AD16" s="362"/>
      <c r="AE16" s="362"/>
      <c r="AF16" s="362"/>
      <c r="AG16" s="362"/>
      <c r="AH16" s="322"/>
      <c r="AI16" s="322"/>
      <c r="AT16" s="216" t="s">
        <v>425</v>
      </c>
      <c r="AU16" s="335">
        <f t="shared" si="0"/>
        <v>0</v>
      </c>
    </row>
    <row r="17" spans="1:47" ht="30" customHeight="1">
      <c r="B17" s="589"/>
      <c r="C17" s="1251" t="s">
        <v>426</v>
      </c>
      <c r="D17" s="1252"/>
      <c r="E17" s="1252"/>
      <c r="F17" s="1252"/>
      <c r="G17" s="1252"/>
      <c r="H17" s="1252"/>
      <c r="I17" s="1252"/>
      <c r="J17" s="1252"/>
      <c r="K17" s="1252"/>
      <c r="L17" s="1252"/>
      <c r="M17" s="1770"/>
      <c r="N17" s="1771"/>
      <c r="O17" s="1771"/>
      <c r="P17" s="1771"/>
      <c r="Q17" s="1771"/>
      <c r="R17" s="1771"/>
      <c r="S17" s="1771"/>
      <c r="T17" s="1771"/>
      <c r="U17" s="1772"/>
      <c r="V17" s="1772"/>
      <c r="W17" s="1773"/>
      <c r="X17" s="468"/>
      <c r="Y17" s="362"/>
      <c r="Z17" s="362"/>
      <c r="AA17" s="362"/>
      <c r="AB17" s="362"/>
      <c r="AC17" s="362"/>
      <c r="AD17" s="362"/>
      <c r="AE17" s="362"/>
      <c r="AF17" s="362"/>
      <c r="AG17" s="362"/>
      <c r="AH17" s="322"/>
      <c r="AI17" s="322"/>
      <c r="AT17" s="216" t="s">
        <v>426</v>
      </c>
      <c r="AU17" s="335">
        <f t="shared" si="0"/>
        <v>0</v>
      </c>
    </row>
    <row r="18" spans="1:47" ht="30" customHeight="1">
      <c r="B18" s="589"/>
      <c r="C18" s="1251" t="s">
        <v>427</v>
      </c>
      <c r="D18" s="1252"/>
      <c r="E18" s="1252"/>
      <c r="F18" s="1252"/>
      <c r="G18" s="1252"/>
      <c r="H18" s="1252"/>
      <c r="I18" s="1252"/>
      <c r="J18" s="1252"/>
      <c r="K18" s="1252"/>
      <c r="L18" s="1252"/>
      <c r="M18" s="1766"/>
      <c r="N18" s="1767"/>
      <c r="O18" s="1767"/>
      <c r="P18" s="1767"/>
      <c r="Q18" s="1767"/>
      <c r="R18" s="1767"/>
      <c r="S18" s="1767"/>
      <c r="T18" s="1767"/>
      <c r="U18" s="1768"/>
      <c r="V18" s="1768"/>
      <c r="W18" s="1769"/>
      <c r="X18" s="468"/>
      <c r="Y18" s="362"/>
      <c r="Z18" s="362"/>
      <c r="AA18" s="362"/>
      <c r="AB18" s="362"/>
      <c r="AC18" s="362"/>
      <c r="AD18" s="362"/>
      <c r="AE18" s="362"/>
      <c r="AF18" s="362"/>
      <c r="AG18" s="362"/>
      <c r="AH18" s="322"/>
      <c r="AI18" s="322"/>
      <c r="AT18" s="592" t="s">
        <v>427</v>
      </c>
      <c r="AU18" s="335">
        <f t="shared" si="0"/>
        <v>0</v>
      </c>
    </row>
    <row r="19" spans="1:47" ht="30" customHeight="1" thickBot="1">
      <c r="B19" s="594"/>
      <c r="C19" s="1333" t="s">
        <v>428</v>
      </c>
      <c r="D19" s="1270"/>
      <c r="E19" s="1270"/>
      <c r="F19" s="1270"/>
      <c r="G19" s="1270"/>
      <c r="H19" s="1270"/>
      <c r="I19" s="1270"/>
      <c r="J19" s="1270"/>
      <c r="K19" s="1270"/>
      <c r="L19" s="1270"/>
      <c r="M19" s="1780"/>
      <c r="N19" s="1781"/>
      <c r="O19" s="1781"/>
      <c r="P19" s="1781"/>
      <c r="Q19" s="1781"/>
      <c r="R19" s="1781"/>
      <c r="S19" s="1781"/>
      <c r="T19" s="1781"/>
      <c r="U19" s="1782"/>
      <c r="V19" s="1782"/>
      <c r="W19" s="1783"/>
      <c r="X19" s="468"/>
      <c r="Y19" s="362"/>
      <c r="Z19" s="362"/>
      <c r="AA19" s="362"/>
      <c r="AB19" s="362"/>
      <c r="AC19" s="362"/>
      <c r="AD19" s="362"/>
      <c r="AE19" s="362"/>
      <c r="AF19" s="362"/>
      <c r="AG19" s="362"/>
      <c r="AH19" s="322"/>
      <c r="AI19" s="322"/>
      <c r="AT19" s="216" t="s">
        <v>428</v>
      </c>
      <c r="AU19" s="335">
        <f t="shared" si="0"/>
        <v>0</v>
      </c>
    </row>
    <row r="20" spans="1:47" ht="30" customHeight="1">
      <c r="B20" s="1784" t="s">
        <v>429</v>
      </c>
      <c r="C20" s="1784"/>
      <c r="D20" s="1784"/>
      <c r="E20" s="1784"/>
      <c r="F20" s="1784"/>
      <c r="G20" s="1784"/>
      <c r="H20" s="1784"/>
      <c r="I20" s="1784"/>
      <c r="J20" s="1784"/>
      <c r="K20" s="1784"/>
      <c r="L20" s="1784"/>
      <c r="M20" s="1784"/>
      <c r="N20" s="1784"/>
      <c r="O20" s="1784"/>
      <c r="P20" s="1784"/>
      <c r="Q20" s="1784"/>
      <c r="R20" s="1784"/>
      <c r="S20" s="1784"/>
      <c r="T20" s="1784"/>
      <c r="U20" s="1784"/>
      <c r="V20" s="1784"/>
      <c r="W20" s="1784"/>
      <c r="X20" s="1784"/>
      <c r="Y20" s="1784"/>
      <c r="Z20" s="322"/>
      <c r="AA20" s="322"/>
      <c r="AB20" s="322"/>
      <c r="AC20" s="322"/>
      <c r="AD20" s="322"/>
      <c r="AE20" s="322"/>
      <c r="AF20" s="322"/>
      <c r="AG20" s="322"/>
      <c r="AH20" s="322"/>
      <c r="AI20" s="322"/>
      <c r="AT20" s="216" t="s">
        <v>430</v>
      </c>
      <c r="AU20" s="335">
        <f>【８】自動車!AU17+【９】農業機械!AW14</f>
        <v>0</v>
      </c>
    </row>
    <row r="21" spans="1:47" ht="30" customHeight="1">
      <c r="B21" s="186"/>
      <c r="C21" s="146"/>
      <c r="D21" s="146"/>
      <c r="E21" s="146"/>
      <c r="F21" s="146"/>
      <c r="G21" s="146"/>
      <c r="H21" s="146"/>
      <c r="I21" s="146"/>
      <c r="J21" s="146"/>
      <c r="K21" s="146"/>
      <c r="L21" s="147"/>
      <c r="M21" s="208"/>
      <c r="N21" s="208"/>
      <c r="O21" s="208"/>
      <c r="P21" s="208"/>
      <c r="Q21" s="208"/>
      <c r="R21" s="208"/>
      <c r="S21" s="208"/>
      <c r="T21" s="208"/>
      <c r="U21" s="208"/>
      <c r="V21" s="208"/>
      <c r="W21" s="208"/>
      <c r="X21" s="322"/>
      <c r="Y21" s="322"/>
      <c r="Z21" s="322"/>
      <c r="AA21" s="322"/>
      <c r="AB21" s="322"/>
      <c r="AC21" s="322"/>
      <c r="AD21" s="322"/>
      <c r="AE21" s="322"/>
      <c r="AF21" s="322"/>
      <c r="AG21" s="322"/>
      <c r="AH21" s="322"/>
      <c r="AI21" s="322"/>
      <c r="AT21" s="216" t="s">
        <v>431</v>
      </c>
      <c r="AU21" s="335">
        <f>【８】自動車!AS17</f>
        <v>0</v>
      </c>
    </row>
    <row r="22" spans="1:47" ht="30" customHeight="1">
      <c r="B22" s="186"/>
      <c r="C22" s="146"/>
      <c r="D22" s="146"/>
      <c r="E22" s="146"/>
      <c r="F22" s="146"/>
      <c r="G22" s="146"/>
      <c r="H22" s="146"/>
      <c r="I22" s="146"/>
      <c r="J22" s="146"/>
      <c r="K22" s="146"/>
      <c r="L22" s="147"/>
      <c r="M22" s="208"/>
      <c r="N22" s="208"/>
      <c r="O22" s="208"/>
      <c r="P22" s="208"/>
      <c r="Q22" s="208"/>
      <c r="R22" s="208"/>
      <c r="S22" s="208"/>
      <c r="T22" s="208"/>
      <c r="U22" s="208"/>
      <c r="V22" s="208"/>
      <c r="W22" s="208"/>
      <c r="X22" s="322"/>
      <c r="Y22" s="322"/>
      <c r="Z22" s="322"/>
      <c r="AA22" s="322"/>
      <c r="AB22" s="322"/>
      <c r="AC22" s="322"/>
      <c r="AD22" s="322"/>
      <c r="AE22" s="322"/>
      <c r="AF22" s="322"/>
      <c r="AG22" s="322"/>
      <c r="AH22" s="322"/>
      <c r="AI22" s="322"/>
      <c r="AP22" s="173"/>
      <c r="AQ22" s="173"/>
      <c r="AR22" s="173"/>
      <c r="AS22" s="173"/>
      <c r="AT22" s="216" t="s">
        <v>432</v>
      </c>
      <c r="AU22" s="335">
        <f>【８】自動車!AT17+【９】農業機械!AV14</f>
        <v>0</v>
      </c>
    </row>
    <row r="23" spans="1:47" ht="30" customHeight="1">
      <c r="B23" s="186"/>
      <c r="C23" s="146"/>
      <c r="D23" s="146"/>
      <c r="E23" s="146"/>
      <c r="F23" s="146"/>
      <c r="G23" s="146"/>
      <c r="H23" s="146"/>
      <c r="I23" s="146"/>
      <c r="J23" s="146"/>
      <c r="K23" s="146"/>
      <c r="L23" s="147"/>
      <c r="M23" s="208"/>
      <c r="N23" s="208"/>
      <c r="O23" s="208"/>
      <c r="P23" s="208"/>
      <c r="Q23" s="208"/>
      <c r="R23" s="208"/>
      <c r="S23" s="208"/>
      <c r="T23" s="208"/>
      <c r="U23" s="208"/>
      <c r="V23" s="208"/>
      <c r="W23" s="208"/>
      <c r="X23" s="322"/>
      <c r="Y23" s="322"/>
      <c r="Z23" s="322"/>
      <c r="AA23" s="322"/>
      <c r="AB23" s="322"/>
      <c r="AC23" s="322"/>
      <c r="AD23" s="322"/>
      <c r="AE23" s="322"/>
      <c r="AF23" s="322"/>
      <c r="AG23" s="322"/>
      <c r="AH23" s="322"/>
      <c r="AI23" s="322"/>
      <c r="AP23" s="173"/>
      <c r="AQ23" s="173"/>
      <c r="AR23" s="173"/>
      <c r="AS23" s="173"/>
    </row>
    <row r="24" spans="1:47" ht="14.25" customHeight="1">
      <c r="B24" s="108" t="s">
        <v>433</v>
      </c>
      <c r="C24" s="595"/>
      <c r="D24" s="46"/>
      <c r="AC24" s="322"/>
      <c r="AD24" s="322"/>
      <c r="AE24" s="322"/>
      <c r="AF24" s="322"/>
      <c r="AG24" s="322"/>
      <c r="AH24" s="322"/>
      <c r="AI24" s="322"/>
      <c r="AP24" s="173"/>
      <c r="AQ24" s="173"/>
      <c r="AR24" s="173"/>
      <c r="AS24" s="173"/>
      <c r="AT24" s="108" t="s">
        <v>433</v>
      </c>
    </row>
    <row r="25" spans="1:47" ht="18" customHeight="1">
      <c r="B25" s="51" t="s">
        <v>434</v>
      </c>
      <c r="C25" s="46"/>
      <c r="D25" s="46"/>
      <c r="E25" s="46"/>
      <c r="F25" s="46"/>
      <c r="G25" s="46"/>
      <c r="H25" s="46"/>
      <c r="I25" s="46"/>
      <c r="J25" s="46"/>
      <c r="K25" s="48"/>
      <c r="L25" s="48"/>
      <c r="M25" s="48"/>
      <c r="N25" s="48"/>
      <c r="O25" s="48"/>
      <c r="P25" s="48"/>
      <c r="Q25" s="48"/>
      <c r="R25" s="48"/>
      <c r="U25" s="48"/>
      <c r="V25" s="48"/>
      <c r="W25" s="48"/>
      <c r="AC25" s="322"/>
      <c r="AD25" s="322"/>
      <c r="AE25" s="322"/>
      <c r="AF25" s="322"/>
      <c r="AG25" s="322"/>
      <c r="AH25" s="322"/>
      <c r="AI25" s="322"/>
      <c r="AP25" s="173"/>
      <c r="AQ25" s="173"/>
      <c r="AR25" s="173"/>
      <c r="AS25" s="173"/>
      <c r="AT25" s="173"/>
    </row>
    <row r="26" spans="1:47" ht="18" customHeight="1">
      <c r="B26" s="51" t="s">
        <v>435</v>
      </c>
      <c r="C26" s="46"/>
      <c r="D26" s="46"/>
      <c r="E26" s="46"/>
      <c r="F26" s="46"/>
      <c r="G26" s="46"/>
      <c r="H26" s="46"/>
      <c r="I26" s="46"/>
      <c r="J26" s="46"/>
      <c r="K26" s="48"/>
      <c r="L26" s="48"/>
      <c r="M26" s="48"/>
      <c r="N26" s="48"/>
      <c r="O26" s="48"/>
      <c r="P26" s="48"/>
      <c r="Q26" s="48"/>
      <c r="R26" s="48"/>
      <c r="U26" s="48"/>
      <c r="V26" s="48"/>
      <c r="W26" s="48"/>
      <c r="AC26" s="322"/>
      <c r="AD26" s="322"/>
      <c r="AE26" s="322"/>
      <c r="AF26" s="322"/>
      <c r="AG26" s="322"/>
      <c r="AH26" s="322"/>
      <c r="AI26" s="322"/>
      <c r="AP26" s="173"/>
      <c r="AQ26" s="173"/>
      <c r="AR26" s="173"/>
      <c r="AS26" s="173"/>
      <c r="AT26" s="173"/>
    </row>
    <row r="27" spans="1:47" ht="18" customHeight="1">
      <c r="B27" s="51" t="s">
        <v>436</v>
      </c>
      <c r="C27" s="46"/>
      <c r="D27" s="46"/>
      <c r="E27" s="46"/>
      <c r="F27" s="46"/>
      <c r="G27" s="46"/>
      <c r="H27" s="46"/>
      <c r="I27" s="46"/>
      <c r="J27" s="46"/>
      <c r="K27" s="48"/>
      <c r="L27" s="48"/>
      <c r="M27" s="48"/>
      <c r="N27" s="48"/>
      <c r="O27" s="48"/>
      <c r="P27" s="48"/>
      <c r="Q27" s="48"/>
      <c r="R27" s="48"/>
      <c r="U27" s="48"/>
      <c r="V27" s="48"/>
      <c r="W27" s="48"/>
      <c r="AC27" s="322"/>
      <c r="AD27" s="322"/>
      <c r="AE27" s="322"/>
      <c r="AF27" s="322"/>
      <c r="AG27" s="322"/>
      <c r="AH27" s="322"/>
      <c r="AI27" s="322"/>
      <c r="AP27" s="173"/>
      <c r="AQ27" s="173"/>
      <c r="AR27" s="173"/>
      <c r="AS27" s="173"/>
      <c r="AT27" s="173"/>
    </row>
    <row r="28" spans="1:47" ht="14.25" customHeight="1" thickBot="1">
      <c r="B28" s="186"/>
      <c r="C28" s="146"/>
      <c r="D28" s="146"/>
      <c r="E28" s="146"/>
      <c r="F28" s="146"/>
      <c r="G28" s="146"/>
      <c r="H28" s="146"/>
      <c r="I28" s="146"/>
      <c r="J28" s="146"/>
      <c r="K28" s="146"/>
      <c r="L28" s="147"/>
      <c r="M28" s="208"/>
      <c r="N28" s="208"/>
      <c r="O28" s="208"/>
      <c r="P28" s="208"/>
      <c r="Q28" s="208"/>
      <c r="R28" s="208"/>
      <c r="S28" s="208"/>
      <c r="T28" s="208"/>
      <c r="U28" s="208"/>
      <c r="V28" s="208"/>
      <c r="W28" s="208"/>
      <c r="X28" s="322"/>
      <c r="Y28" s="322"/>
      <c r="Z28" s="322"/>
      <c r="AA28" s="322"/>
      <c r="AB28" s="322"/>
      <c r="AC28" s="322"/>
      <c r="AD28" s="322"/>
      <c r="AE28" s="322"/>
      <c r="AF28" s="322"/>
      <c r="AG28" s="322"/>
      <c r="AH28" s="322"/>
      <c r="AI28" s="322"/>
      <c r="AP28" s="173"/>
      <c r="AQ28" s="173"/>
      <c r="AR28" s="173"/>
      <c r="AS28" s="173"/>
      <c r="AT28" s="173"/>
    </row>
    <row r="29" spans="1:47" ht="12.75" customHeight="1">
      <c r="B29" s="1236" t="s">
        <v>55</v>
      </c>
      <c r="C29" s="1237"/>
      <c r="D29" s="1237"/>
      <c r="E29" s="1237"/>
      <c r="F29" s="1237"/>
      <c r="G29" s="1237"/>
      <c r="H29" s="1237"/>
      <c r="I29" s="1237"/>
      <c r="J29" s="1237"/>
      <c r="K29" s="1237"/>
      <c r="L29" s="1260"/>
      <c r="M29" s="1170" t="s">
        <v>259</v>
      </c>
      <c r="N29" s="1170"/>
      <c r="O29" s="1170"/>
      <c r="P29" s="1170"/>
      <c r="Q29" s="1170"/>
      <c r="R29" s="1170"/>
      <c r="S29" s="1170"/>
      <c r="T29" s="1170"/>
      <c r="U29" s="1175" t="s">
        <v>290</v>
      </c>
      <c r="V29" s="1541"/>
      <c r="W29" s="1542"/>
      <c r="AP29" s="173"/>
      <c r="AQ29" s="173"/>
      <c r="AR29" s="173"/>
      <c r="AS29" s="173"/>
      <c r="AT29" s="1507" t="s">
        <v>55</v>
      </c>
      <c r="AU29" s="1524" t="s">
        <v>349</v>
      </c>
    </row>
    <row r="30" spans="1:47" ht="12.75" customHeight="1">
      <c r="A30" s="128" t="s">
        <v>437</v>
      </c>
      <c r="B30" s="1405"/>
      <c r="C30" s="1406"/>
      <c r="D30" s="1406"/>
      <c r="E30" s="1406"/>
      <c r="F30" s="1406"/>
      <c r="G30" s="1406"/>
      <c r="H30" s="1406"/>
      <c r="I30" s="1406"/>
      <c r="J30" s="1406"/>
      <c r="K30" s="1406"/>
      <c r="L30" s="1407"/>
      <c r="M30" s="1340"/>
      <c r="N30" s="1340"/>
      <c r="O30" s="1340"/>
      <c r="P30" s="1340"/>
      <c r="Q30" s="1340"/>
      <c r="R30" s="1340"/>
      <c r="S30" s="1340"/>
      <c r="T30" s="1340"/>
      <c r="U30" s="1543"/>
      <c r="V30" s="1544"/>
      <c r="W30" s="1545"/>
      <c r="X30" s="48"/>
      <c r="Y30" s="48"/>
      <c r="Z30" s="48"/>
      <c r="AP30" s="173"/>
      <c r="AQ30" s="173"/>
      <c r="AR30" s="173"/>
      <c r="AS30" s="173"/>
      <c r="AT30" s="1507"/>
      <c r="AU30" s="1525"/>
    </row>
    <row r="31" spans="1:47" ht="12.75" customHeight="1" thickBot="1">
      <c r="B31" s="1239"/>
      <c r="C31" s="1240"/>
      <c r="D31" s="1240"/>
      <c r="E31" s="1240"/>
      <c r="F31" s="1240"/>
      <c r="G31" s="1240"/>
      <c r="H31" s="1240"/>
      <c r="I31" s="1240"/>
      <c r="J31" s="1240"/>
      <c r="K31" s="1240"/>
      <c r="L31" s="1392"/>
      <c r="M31" s="1340"/>
      <c r="N31" s="1340"/>
      <c r="O31" s="1340"/>
      <c r="P31" s="1340"/>
      <c r="Q31" s="1340"/>
      <c r="R31" s="1340"/>
      <c r="S31" s="1340"/>
      <c r="T31" s="1340"/>
      <c r="U31" s="1546"/>
      <c r="V31" s="1544"/>
      <c r="W31" s="1545"/>
      <c r="AT31" s="1507"/>
      <c r="AU31" s="1526"/>
    </row>
    <row r="32" spans="1:47" ht="30.75" customHeight="1" thickTop="1" thickBot="1">
      <c r="B32" s="1785" t="s">
        <v>295</v>
      </c>
      <c r="C32" s="1786"/>
      <c r="D32" s="1786"/>
      <c r="E32" s="1786"/>
      <c r="F32" s="1786"/>
      <c r="G32" s="1786"/>
      <c r="H32" s="1786"/>
      <c r="I32" s="1786"/>
      <c r="J32" s="1786"/>
      <c r="K32" s="1786"/>
      <c r="L32" s="1786"/>
      <c r="M32" s="1787"/>
      <c r="N32" s="1788"/>
      <c r="O32" s="1788"/>
      <c r="P32" s="1788"/>
      <c r="Q32" s="1788"/>
      <c r="R32" s="1788"/>
      <c r="S32" s="1788"/>
      <c r="T32" s="1789"/>
      <c r="U32" s="1790"/>
      <c r="V32" s="1634"/>
      <c r="W32" s="1791"/>
      <c r="AT32" s="588" t="s">
        <v>438</v>
      </c>
      <c r="AU32" s="432">
        <f>IF(M32&gt;0,SUM(ROUND(M32*U32%,),AU37),SUM(AU33:AU37))</f>
        <v>0</v>
      </c>
    </row>
    <row r="33" spans="2:47" ht="30" customHeight="1" thickTop="1">
      <c r="B33" s="596"/>
      <c r="C33" s="1774" t="s">
        <v>439</v>
      </c>
      <c r="D33" s="1775"/>
      <c r="E33" s="1775"/>
      <c r="F33" s="1775"/>
      <c r="G33" s="1775"/>
      <c r="H33" s="1775"/>
      <c r="I33" s="1775"/>
      <c r="J33" s="1775"/>
      <c r="K33" s="1775"/>
      <c r="L33" s="597"/>
      <c r="M33" s="1776"/>
      <c r="N33" s="1777"/>
      <c r="O33" s="1777"/>
      <c r="P33" s="1777"/>
      <c r="Q33" s="1777"/>
      <c r="R33" s="1777"/>
      <c r="S33" s="1777"/>
      <c r="T33" s="1777"/>
      <c r="U33" s="1778"/>
      <c r="V33" s="1778"/>
      <c r="W33" s="1779"/>
      <c r="X33" s="468"/>
      <c r="Y33" s="586"/>
      <c r="Z33" s="173"/>
      <c r="AA33" s="173"/>
      <c r="AB33" s="173"/>
      <c r="AC33" s="173"/>
      <c r="AD33" s="173"/>
      <c r="AE33" s="173"/>
      <c r="AF33" s="173"/>
      <c r="AG33" s="173"/>
      <c r="AT33" s="592" t="s">
        <v>440</v>
      </c>
      <c r="AU33" s="335">
        <f>ROUND(M33*U33%,)</f>
        <v>0</v>
      </c>
    </row>
    <row r="34" spans="2:47" ht="30" customHeight="1">
      <c r="B34" s="598"/>
      <c r="C34" s="1475" t="s">
        <v>441</v>
      </c>
      <c r="D34" s="1475"/>
      <c r="E34" s="1475"/>
      <c r="F34" s="1475"/>
      <c r="G34" s="1475"/>
      <c r="H34" s="1475"/>
      <c r="I34" s="1475"/>
      <c r="J34" s="1475"/>
      <c r="K34" s="1475"/>
      <c r="L34" s="597"/>
      <c r="M34" s="1766"/>
      <c r="N34" s="1767"/>
      <c r="O34" s="1767"/>
      <c r="P34" s="1767"/>
      <c r="Q34" s="1767"/>
      <c r="R34" s="1767"/>
      <c r="S34" s="1767"/>
      <c r="T34" s="1767"/>
      <c r="U34" s="1768"/>
      <c r="V34" s="1768"/>
      <c r="W34" s="1769"/>
      <c r="X34" s="468"/>
      <c r="Y34" s="586"/>
      <c r="Z34" s="173"/>
      <c r="AA34" s="173"/>
      <c r="AB34" s="173"/>
      <c r="AC34" s="173"/>
      <c r="AD34" s="173"/>
      <c r="AE34" s="173"/>
      <c r="AF34" s="173"/>
      <c r="AG34" s="173"/>
      <c r="AT34" s="216" t="s">
        <v>441</v>
      </c>
      <c r="AU34" s="335">
        <f>ROUND(M34*U34%,)</f>
        <v>0</v>
      </c>
    </row>
    <row r="35" spans="2:47" ht="30" customHeight="1">
      <c r="B35" s="598"/>
      <c r="C35" s="1775" t="s">
        <v>442</v>
      </c>
      <c r="D35" s="1775"/>
      <c r="E35" s="1775"/>
      <c r="F35" s="1775"/>
      <c r="G35" s="1775"/>
      <c r="H35" s="1775"/>
      <c r="I35" s="1775"/>
      <c r="J35" s="1775"/>
      <c r="K35" s="1775"/>
      <c r="L35" s="597"/>
      <c r="M35" s="1766"/>
      <c r="N35" s="1767"/>
      <c r="O35" s="1767"/>
      <c r="P35" s="1767"/>
      <c r="Q35" s="1767"/>
      <c r="R35" s="1767"/>
      <c r="S35" s="1767"/>
      <c r="T35" s="1767"/>
      <c r="U35" s="1768"/>
      <c r="V35" s="1768"/>
      <c r="W35" s="1769"/>
      <c r="X35" s="468"/>
      <c r="Y35" s="599"/>
      <c r="Z35" s="173"/>
      <c r="AA35" s="173"/>
      <c r="AB35" s="173"/>
      <c r="AC35" s="173"/>
      <c r="AD35" s="173"/>
      <c r="AE35" s="173"/>
      <c r="AF35" s="173"/>
      <c r="AG35" s="173"/>
      <c r="AT35" s="592" t="s">
        <v>443</v>
      </c>
      <c r="AU35" s="335">
        <f>ROUND(M35*U35%,)</f>
        <v>0</v>
      </c>
    </row>
    <row r="36" spans="2:47" ht="30" customHeight="1" thickBot="1">
      <c r="B36" s="600"/>
      <c r="C36" s="1508" t="s">
        <v>444</v>
      </c>
      <c r="D36" s="1508"/>
      <c r="E36" s="1508"/>
      <c r="F36" s="1508"/>
      <c r="G36" s="1508"/>
      <c r="H36" s="1508"/>
      <c r="I36" s="1508"/>
      <c r="J36" s="1508"/>
      <c r="K36" s="1508"/>
      <c r="L36" s="601"/>
      <c r="M36" s="1780"/>
      <c r="N36" s="1781"/>
      <c r="O36" s="1781"/>
      <c r="P36" s="1781"/>
      <c r="Q36" s="1781"/>
      <c r="R36" s="1781"/>
      <c r="S36" s="1781"/>
      <c r="T36" s="1781"/>
      <c r="U36" s="1782"/>
      <c r="V36" s="1782"/>
      <c r="W36" s="1783"/>
      <c r="X36" s="468"/>
      <c r="Y36" s="599"/>
      <c r="Z36" s="173"/>
      <c r="AA36" s="173"/>
      <c r="AB36" s="173"/>
      <c r="AC36" s="173"/>
      <c r="AD36" s="173"/>
      <c r="AE36" s="173"/>
      <c r="AF36" s="173"/>
      <c r="AG36" s="173"/>
      <c r="AT36" s="216" t="s">
        <v>444</v>
      </c>
      <c r="AU36" s="335">
        <f>ROUND(M36*U36%,)</f>
        <v>0</v>
      </c>
    </row>
    <row r="37" spans="2:47" ht="30" customHeight="1">
      <c r="B37" s="602"/>
      <c r="C37" s="146"/>
      <c r="D37" s="146"/>
      <c r="E37" s="146"/>
      <c r="F37" s="146"/>
      <c r="G37" s="146"/>
      <c r="H37" s="146"/>
      <c r="I37" s="146"/>
      <c r="J37" s="146"/>
      <c r="K37" s="146"/>
      <c r="L37" s="120"/>
      <c r="M37" s="208"/>
      <c r="N37" s="208"/>
      <c r="O37" s="208"/>
      <c r="P37" s="208"/>
      <c r="Q37" s="208"/>
      <c r="R37" s="208"/>
      <c r="S37" s="208"/>
      <c r="T37" s="208"/>
      <c r="U37" s="208"/>
      <c r="V37" s="208"/>
      <c r="W37" s="208"/>
      <c r="X37" s="599"/>
      <c r="Y37" s="599"/>
      <c r="Z37" s="173"/>
      <c r="AA37" s="173"/>
      <c r="AB37" s="173"/>
      <c r="AC37" s="173"/>
      <c r="AD37" s="173"/>
      <c r="AE37" s="173"/>
      <c r="AF37" s="173"/>
      <c r="AG37" s="173"/>
      <c r="AT37" s="216" t="s">
        <v>445</v>
      </c>
      <c r="AU37" s="335">
        <f>【８】自動車!AV17+【９】農業機械!AX14</f>
        <v>0</v>
      </c>
    </row>
    <row r="38" spans="2:47" ht="30" customHeight="1">
      <c r="B38" s="166"/>
      <c r="C38" s="146"/>
      <c r="D38" s="146"/>
      <c r="E38" s="146"/>
      <c r="F38" s="146"/>
      <c r="G38" s="146"/>
      <c r="H38" s="146"/>
      <c r="I38" s="146"/>
      <c r="J38" s="146"/>
      <c r="K38" s="146"/>
      <c r="L38" s="20"/>
      <c r="M38" s="208"/>
      <c r="N38" s="208"/>
      <c r="O38" s="208"/>
      <c r="P38" s="208"/>
      <c r="Q38" s="208"/>
      <c r="R38" s="208"/>
      <c r="S38" s="208"/>
      <c r="T38" s="208"/>
      <c r="U38" s="208"/>
      <c r="V38" s="208"/>
      <c r="W38" s="208"/>
      <c r="X38" s="603"/>
      <c r="Y38" s="603"/>
      <c r="Z38" s="603"/>
      <c r="AA38" s="603"/>
      <c r="AB38" s="603"/>
      <c r="AC38" s="603"/>
      <c r="AD38" s="603"/>
      <c r="AE38" s="173"/>
      <c r="AF38" s="173"/>
      <c r="AG38" s="173"/>
    </row>
    <row r="39" spans="2:47" ht="18" customHeight="1">
      <c r="B39" s="166"/>
      <c r="X39" s="173"/>
      <c r="Y39" s="173"/>
      <c r="Z39" s="173"/>
      <c r="AA39" s="173"/>
      <c r="AB39" s="173"/>
      <c r="AC39" s="173"/>
      <c r="AD39" s="173"/>
      <c r="AE39" s="173"/>
      <c r="AF39" s="173"/>
      <c r="AG39" s="173"/>
    </row>
    <row r="40" spans="2:47" ht="14.25" customHeight="1">
      <c r="B40" s="166"/>
      <c r="X40" s="173"/>
      <c r="Y40" s="173"/>
      <c r="Z40" s="173"/>
      <c r="AA40" s="173"/>
      <c r="AB40" s="173"/>
      <c r="AC40" s="173"/>
      <c r="AD40" s="173"/>
      <c r="AE40" s="173"/>
      <c r="AF40" s="173"/>
      <c r="AG40" s="173"/>
      <c r="AT40" s="1507" t="s">
        <v>55</v>
      </c>
      <c r="AU40" s="1524" t="s">
        <v>420</v>
      </c>
    </row>
    <row r="41" spans="2:47" ht="14.25" customHeight="1">
      <c r="B41" s="166"/>
      <c r="X41" s="173"/>
      <c r="Y41" s="173"/>
      <c r="Z41" s="173"/>
      <c r="AA41" s="173"/>
      <c r="AB41" s="173"/>
      <c r="AC41" s="173"/>
      <c r="AD41" s="173"/>
      <c r="AE41" s="173"/>
      <c r="AF41" s="173"/>
      <c r="AG41" s="173"/>
      <c r="AT41" s="1507"/>
      <c r="AU41" s="1525"/>
    </row>
    <row r="42" spans="2:47" ht="14.25" customHeight="1">
      <c r="B42" s="166"/>
      <c r="X42" s="173"/>
      <c r="Y42" s="173"/>
      <c r="Z42" s="173"/>
      <c r="AA42" s="173"/>
      <c r="AB42" s="173"/>
      <c r="AC42" s="173"/>
      <c r="AD42" s="173"/>
      <c r="AE42" s="173"/>
      <c r="AF42" s="173"/>
      <c r="AG42" s="173"/>
      <c r="AT42" s="1507"/>
      <c r="AU42" s="1526"/>
    </row>
    <row r="43" spans="2:47" ht="30" customHeight="1">
      <c r="B43" s="166"/>
      <c r="X43" s="173"/>
      <c r="Y43" s="173"/>
      <c r="Z43" s="173"/>
      <c r="AA43" s="173"/>
      <c r="AB43" s="173"/>
      <c r="AC43" s="173"/>
      <c r="AD43" s="173"/>
      <c r="AE43" s="173"/>
      <c r="AF43" s="173"/>
      <c r="AG43" s="173"/>
      <c r="AT43" s="604" t="s">
        <v>446</v>
      </c>
      <c r="AU43" s="335">
        <f>SUM(AU12,AU32)</f>
        <v>0</v>
      </c>
    </row>
    <row r="44" spans="2:47" ht="18" customHeight="1"/>
    <row r="45" spans="2:47" ht="18" customHeight="1">
      <c r="B45" s="166"/>
    </row>
    <row r="46" spans="2:47" ht="18" customHeight="1">
      <c r="B46" s="166"/>
    </row>
    <row r="47" spans="2:47" ht="18" customHeight="1">
      <c r="B47" s="166"/>
    </row>
    <row r="48" spans="2:47" ht="18" customHeight="1"/>
    <row r="49" ht="18" customHeight="1"/>
    <row r="50" ht="14.1" customHeight="1"/>
    <row r="51" ht="14.1" customHeight="1"/>
    <row r="52" ht="14.1" customHeight="1"/>
    <row r="53" ht="14.1" customHeight="1"/>
  </sheetData>
  <sheetProtection sheet="1" objects="1" scenarios="1" selectLockedCells="1"/>
  <mergeCells count="52">
    <mergeCell ref="C36:K36"/>
    <mergeCell ref="M36:T36"/>
    <mergeCell ref="U36:W36"/>
    <mergeCell ref="AT40:AT42"/>
    <mergeCell ref="AU40:AU42"/>
    <mergeCell ref="C34:K34"/>
    <mergeCell ref="M34:T34"/>
    <mergeCell ref="U34:W34"/>
    <mergeCell ref="C35:K35"/>
    <mergeCell ref="M35:T35"/>
    <mergeCell ref="U35:W35"/>
    <mergeCell ref="AT29:AT31"/>
    <mergeCell ref="AU29:AU31"/>
    <mergeCell ref="B32:L32"/>
    <mergeCell ref="M32:T32"/>
    <mergeCell ref="U32:W32"/>
    <mergeCell ref="C18:L18"/>
    <mergeCell ref="M18:T18"/>
    <mergeCell ref="U18:W18"/>
    <mergeCell ref="C33:K33"/>
    <mergeCell ref="M33:T33"/>
    <mergeCell ref="U33:W33"/>
    <mergeCell ref="C19:L19"/>
    <mergeCell ref="M19:T19"/>
    <mergeCell ref="U19:W19"/>
    <mergeCell ref="B20:Y20"/>
    <mergeCell ref="B29:L31"/>
    <mergeCell ref="M29:T31"/>
    <mergeCell ref="U29:W31"/>
    <mergeCell ref="C16:L16"/>
    <mergeCell ref="M16:T16"/>
    <mergeCell ref="U16:W16"/>
    <mergeCell ref="C17:L17"/>
    <mergeCell ref="M17:T17"/>
    <mergeCell ref="U17:W17"/>
    <mergeCell ref="C14:L14"/>
    <mergeCell ref="M14:T14"/>
    <mergeCell ref="U14:W14"/>
    <mergeCell ref="C15:L15"/>
    <mergeCell ref="M15:T15"/>
    <mergeCell ref="U15:W15"/>
    <mergeCell ref="AT9:AT11"/>
    <mergeCell ref="AU9:AU11"/>
    <mergeCell ref="C13:L13"/>
    <mergeCell ref="M13:T13"/>
    <mergeCell ref="U13:W13"/>
    <mergeCell ref="B12:L12"/>
    <mergeCell ref="M12:T12"/>
    <mergeCell ref="U12:W12"/>
    <mergeCell ref="B9:L11"/>
    <mergeCell ref="M9:T11"/>
    <mergeCell ref="U9:W11"/>
  </mergeCells>
  <phoneticPr fontId="5"/>
  <dataValidations count="2">
    <dataValidation type="whole" operator="greaterThan" allowBlank="1" showInputMessage="1" showErrorMessage="1" error="0より大きい数値を整数で入力してください。" sqref="M12:T19 M32:T36" xr:uid="{00000000-0002-0000-0D00-000000000000}">
      <formula1>0</formula1>
    </dataValidation>
    <dataValidation type="custom" allowBlank="1" showInputMessage="1" showErrorMessage="1" error="0.001~100の範囲で小数点第３位までの数値を入力してください。" sqref="U12:W19 U32:W36" xr:uid="{00000000-0002-0000-0D00-000001000000}">
      <formula1>AND(AND(U12*1000=INT(U12*1000)),(U12&gt;0),(U12&lt;=100))</formula1>
    </dataValidation>
  </dataValidations>
  <pageMargins left="0.59055118110236227" right="0.59055118110236227" top="0.59055118110236227" bottom="0.59055118110236227" header="0" footer="0"/>
  <pageSetup paperSize="9" scale="59" orientation="portrait" cellComments="asDisplayed" r:id="rId1"/>
  <headerFooter alignWithMargins="0"/>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4">
    <outlinePr summaryBelow="0"/>
    <pageSetUpPr fitToPage="1"/>
  </sheetPr>
  <dimension ref="A1:AJ105"/>
  <sheetViews>
    <sheetView showGridLines="0" zoomScale="85" zoomScaleNormal="85" zoomScaleSheetLayoutView="80" workbookViewId="0">
      <selection activeCell="F12" sqref="F12"/>
    </sheetView>
  </sheetViews>
  <sheetFormatPr defaultColWidth="2.625" defaultRowHeight="14.25" customHeight="1" outlineLevelRow="1" outlineLevelCol="1"/>
  <cols>
    <col min="1" max="3" width="2.625" style="2" customWidth="1"/>
    <col min="4" max="4" width="4.625" style="2" customWidth="1"/>
    <col min="5" max="5" width="21" style="2" customWidth="1"/>
    <col min="6" max="8" width="17.375" style="2" customWidth="1"/>
    <col min="9" max="9" width="2.625" style="2" customWidth="1"/>
    <col min="10" max="10" width="2.625" style="173" customWidth="1"/>
    <col min="11" max="19" width="2.625" style="2" customWidth="1"/>
    <col min="20" max="28" width="2.625" style="2" customWidth="1" outlineLevel="1"/>
    <col min="29" max="29" width="3.125" style="2" customWidth="1" outlineLevel="1"/>
    <col min="30" max="30" width="4.625" style="2" customWidth="1" outlineLevel="1"/>
    <col min="31" max="31" width="25" style="2" customWidth="1" outlineLevel="1"/>
    <col min="32" max="33" width="17.375" style="2" customWidth="1" outlineLevel="1"/>
    <col min="34" max="34" width="3.25" style="2" customWidth="1" outlineLevel="1"/>
    <col min="35" max="36" width="17.5" style="2" customWidth="1" outlineLevel="1"/>
    <col min="37" max="16384" width="2.625" style="2"/>
  </cols>
  <sheetData>
    <row r="1" spans="1:36" ht="14.25" customHeight="1">
      <c r="AA1" s="2" t="s">
        <v>372</v>
      </c>
    </row>
    <row r="2" spans="1:36" s="30" customFormat="1" ht="18" customHeight="1">
      <c r="B2" s="152" t="s">
        <v>447</v>
      </c>
      <c r="J2" s="184"/>
      <c r="AA2" s="152" t="s">
        <v>447</v>
      </c>
      <c r="AG2" s="2"/>
      <c r="AH2" s="2"/>
      <c r="AI2" s="2"/>
      <c r="AJ2" s="2"/>
    </row>
    <row r="3" spans="1:36" ht="18" customHeight="1">
      <c r="A3" s="585"/>
      <c r="C3" s="605" t="s">
        <v>448</v>
      </c>
      <c r="D3" s="606"/>
      <c r="E3" s="607"/>
      <c r="F3" s="607"/>
      <c r="G3" s="607"/>
      <c r="H3" s="607"/>
      <c r="I3" s="607"/>
      <c r="J3" s="608"/>
      <c r="K3" s="607"/>
      <c r="L3" s="607"/>
      <c r="M3" s="607"/>
      <c r="N3" s="607"/>
      <c r="O3" s="607"/>
      <c r="P3" s="607"/>
      <c r="Q3" s="585"/>
      <c r="R3" s="585"/>
      <c r="S3" s="585"/>
      <c r="T3" s="585"/>
      <c r="U3" s="585"/>
      <c r="V3" s="585"/>
      <c r="W3" s="585"/>
      <c r="X3" s="585"/>
      <c r="Y3" s="585"/>
      <c r="Z3" s="585"/>
    </row>
    <row r="4" spans="1:36" ht="18" customHeight="1">
      <c r="C4" s="606" t="s">
        <v>449</v>
      </c>
      <c r="D4" s="606"/>
      <c r="E4" s="607"/>
      <c r="F4" s="607"/>
      <c r="G4" s="607"/>
      <c r="H4" s="607"/>
      <c r="I4" s="607"/>
      <c r="J4" s="608"/>
      <c r="K4" s="607"/>
      <c r="L4" s="607"/>
      <c r="M4" s="607"/>
      <c r="N4" s="607"/>
      <c r="O4" s="607"/>
      <c r="P4" s="607"/>
    </row>
    <row r="5" spans="1:36" ht="18" customHeight="1">
      <c r="C5" s="606" t="s">
        <v>450</v>
      </c>
      <c r="D5" s="606"/>
      <c r="E5" s="607"/>
      <c r="F5" s="607"/>
      <c r="G5" s="607"/>
      <c r="H5" s="607"/>
      <c r="I5" s="607"/>
      <c r="J5" s="608"/>
      <c r="K5" s="607"/>
      <c r="L5" s="607"/>
      <c r="M5" s="607"/>
      <c r="N5" s="607"/>
      <c r="O5" s="607"/>
      <c r="P5" s="607"/>
    </row>
    <row r="6" spans="1:36" ht="18" customHeight="1">
      <c r="C6" s="606"/>
      <c r="D6" s="606"/>
      <c r="E6" s="607"/>
      <c r="F6" s="607"/>
      <c r="G6" s="607"/>
      <c r="H6" s="607"/>
      <c r="I6" s="607"/>
      <c r="J6" s="608"/>
      <c r="K6" s="607"/>
      <c r="L6" s="607"/>
      <c r="M6" s="607"/>
      <c r="N6" s="607"/>
      <c r="O6" s="607"/>
      <c r="P6" s="607"/>
    </row>
    <row r="7" spans="1:36" ht="18" customHeight="1" thickBot="1">
      <c r="C7" s="108" t="s">
        <v>451</v>
      </c>
      <c r="D7" s="108"/>
      <c r="E7" s="110"/>
      <c r="F7" s="110"/>
      <c r="G7" s="110"/>
      <c r="H7" s="30"/>
      <c r="I7" s="30"/>
      <c r="J7" s="184"/>
      <c r="K7" s="30"/>
      <c r="L7" s="30"/>
      <c r="M7" s="30"/>
      <c r="N7" s="30"/>
      <c r="O7" s="30"/>
      <c r="P7" s="30"/>
      <c r="AC7" s="108" t="s">
        <v>451</v>
      </c>
      <c r="AD7" s="108"/>
    </row>
    <row r="8" spans="1:36" ht="12.95" customHeight="1">
      <c r="C8" s="1236" t="s">
        <v>452</v>
      </c>
      <c r="D8" s="1237"/>
      <c r="E8" s="1260"/>
      <c r="F8" s="1448" t="s">
        <v>453</v>
      </c>
      <c r="G8" s="1448"/>
      <c r="H8" s="1793" t="s">
        <v>290</v>
      </c>
      <c r="AC8" s="1535" t="s">
        <v>452</v>
      </c>
      <c r="AD8" s="1536"/>
      <c r="AE8" s="1537"/>
      <c r="AF8" s="1507" t="s">
        <v>454</v>
      </c>
      <c r="AG8" s="1507"/>
    </row>
    <row r="9" spans="1:36" ht="12.95" customHeight="1">
      <c r="C9" s="1405"/>
      <c r="D9" s="1406"/>
      <c r="E9" s="1407"/>
      <c r="F9" s="1792"/>
      <c r="G9" s="1792"/>
      <c r="H9" s="1794"/>
      <c r="AC9" s="1796"/>
      <c r="AD9" s="1797"/>
      <c r="AE9" s="1798"/>
      <c r="AF9" s="1507"/>
      <c r="AG9" s="1507"/>
    </row>
    <row r="10" spans="1:36" ht="14.25" customHeight="1">
      <c r="C10" s="1405"/>
      <c r="D10" s="1406"/>
      <c r="E10" s="1407"/>
      <c r="F10" s="1802" t="s">
        <v>455</v>
      </c>
      <c r="G10" s="1803" t="s">
        <v>456</v>
      </c>
      <c r="H10" s="1794"/>
      <c r="AC10" s="1796"/>
      <c r="AD10" s="1797"/>
      <c r="AE10" s="1798"/>
      <c r="AF10" s="1507" t="s">
        <v>455</v>
      </c>
      <c r="AG10" s="1507" t="s">
        <v>456</v>
      </c>
    </row>
    <row r="11" spans="1:36" ht="13.7" customHeight="1" thickBot="1">
      <c r="C11" s="1239"/>
      <c r="D11" s="1240"/>
      <c r="E11" s="1392"/>
      <c r="F11" s="1802"/>
      <c r="G11" s="1803"/>
      <c r="H11" s="1795"/>
      <c r="AC11" s="1799"/>
      <c r="AD11" s="1800"/>
      <c r="AE11" s="1801"/>
      <c r="AF11" s="1507"/>
      <c r="AG11" s="1507"/>
    </row>
    <row r="12" spans="1:36" ht="30" customHeight="1" thickTop="1">
      <c r="C12" s="1804" t="s">
        <v>457</v>
      </c>
      <c r="D12" s="1805"/>
      <c r="E12" s="1490"/>
      <c r="F12" s="609"/>
      <c r="G12" s="112"/>
      <c r="H12" s="1084"/>
      <c r="J12" s="468"/>
      <c r="AC12" s="1436" t="s">
        <v>457</v>
      </c>
      <c r="AD12" s="1554"/>
      <c r="AE12" s="1364"/>
      <c r="AF12" s="335">
        <f>ROUND(F12*60%*H12%,)</f>
        <v>0</v>
      </c>
      <c r="AG12" s="335">
        <f>ROUND(G12*60%*H12%,)</f>
        <v>0</v>
      </c>
    </row>
    <row r="13" spans="1:36" ht="30" customHeight="1">
      <c r="C13" s="1806" t="s">
        <v>458</v>
      </c>
      <c r="D13" s="1807"/>
      <c r="E13" s="1808"/>
      <c r="F13" s="426"/>
      <c r="G13" s="126"/>
      <c r="H13" s="1085"/>
      <c r="J13" s="468"/>
      <c r="AC13" s="1436" t="s">
        <v>458</v>
      </c>
      <c r="AD13" s="1554"/>
      <c r="AE13" s="1364"/>
      <c r="AF13" s="335">
        <f>ROUND(F13*20%*H13%,)</f>
        <v>0</v>
      </c>
      <c r="AG13" s="335">
        <f>ROUND(G13*20%*H13%,)</f>
        <v>0</v>
      </c>
    </row>
    <row r="14" spans="1:36" ht="30" customHeight="1">
      <c r="C14" s="1809" t="s">
        <v>459</v>
      </c>
      <c r="D14" s="1552"/>
      <c r="E14" s="1493"/>
      <c r="F14" s="610"/>
      <c r="G14" s="611"/>
      <c r="H14" s="1085"/>
      <c r="J14" s="468"/>
      <c r="AC14" s="1436" t="s">
        <v>459</v>
      </c>
      <c r="AD14" s="1554"/>
      <c r="AE14" s="1364"/>
      <c r="AF14" s="335">
        <f>ROUND(F14*50%*H14%,)</f>
        <v>0</v>
      </c>
      <c r="AG14" s="335">
        <f>ROUND(G14*50%*H14%,)</f>
        <v>0</v>
      </c>
    </row>
    <row r="15" spans="1:36" ht="30" customHeight="1">
      <c r="C15" s="1809" t="s">
        <v>460</v>
      </c>
      <c r="D15" s="1552"/>
      <c r="E15" s="1493"/>
      <c r="F15" s="612"/>
      <c r="G15" s="613"/>
      <c r="H15" s="1085"/>
      <c r="J15" s="468"/>
      <c r="AC15" s="1436" t="s">
        <v>460</v>
      </c>
      <c r="AD15" s="1554"/>
      <c r="AE15" s="1364"/>
      <c r="AF15" s="335">
        <f>ROUND(F15*H15%,)</f>
        <v>0</v>
      </c>
      <c r="AG15" s="335">
        <f>ROUND(G15*H15%,)</f>
        <v>0</v>
      </c>
    </row>
    <row r="16" spans="1:36" ht="30" customHeight="1" thickBot="1">
      <c r="C16" s="1812" t="s">
        <v>461</v>
      </c>
      <c r="D16" s="1813"/>
      <c r="E16" s="1495"/>
      <c r="F16" s="614"/>
      <c r="G16" s="615"/>
      <c r="H16" s="1103"/>
      <c r="J16" s="468"/>
      <c r="AC16" s="1814" t="s">
        <v>461</v>
      </c>
      <c r="AD16" s="1815"/>
      <c r="AE16" s="1816"/>
      <c r="AF16" s="335">
        <f>ROUND(F16*H16%,)</f>
        <v>0</v>
      </c>
      <c r="AG16" s="335">
        <f>ROUND(G16*H16%,)</f>
        <v>0</v>
      </c>
    </row>
    <row r="17" spans="2:36" ht="30" customHeight="1">
      <c r="E17" s="616"/>
      <c r="F17" s="230"/>
      <c r="G17" s="617"/>
      <c r="H17" s="583"/>
      <c r="I17" s="230"/>
      <c r="J17" s="618"/>
      <c r="K17" s="230"/>
      <c r="L17" s="230"/>
      <c r="M17" s="230"/>
      <c r="N17" s="230"/>
      <c r="O17" s="120"/>
      <c r="P17" s="199"/>
      <c r="AC17" s="1436" t="s">
        <v>295</v>
      </c>
      <c r="AD17" s="1554"/>
      <c r="AE17" s="1364"/>
      <c r="AF17" s="335">
        <f>SUM(AF12:AF16)</f>
        <v>0</v>
      </c>
      <c r="AG17" s="335">
        <f>SUM(AG12:AG16)</f>
        <v>0</v>
      </c>
    </row>
    <row r="18" spans="2:36" ht="14.1" customHeight="1">
      <c r="E18" s="616"/>
      <c r="F18" s="230"/>
      <c r="G18" s="617"/>
      <c r="H18" s="583"/>
      <c r="I18" s="230"/>
      <c r="J18" s="618"/>
      <c r="K18" s="230"/>
      <c r="L18" s="230"/>
      <c r="M18" s="230"/>
      <c r="N18" s="230"/>
      <c r="O18" s="120"/>
      <c r="P18" s="199"/>
    </row>
    <row r="19" spans="2:36" ht="18" customHeight="1" thickBot="1">
      <c r="C19" s="108" t="s">
        <v>462</v>
      </c>
      <c r="D19" s="108"/>
      <c r="E19" s="110"/>
      <c r="F19" s="110"/>
      <c r="G19" s="110"/>
      <c r="H19" s="30"/>
      <c r="I19" s="30"/>
      <c r="J19" s="184"/>
      <c r="K19" s="30"/>
      <c r="L19" s="30"/>
      <c r="M19" s="30"/>
      <c r="N19" s="30"/>
      <c r="O19" s="30"/>
      <c r="P19" s="30"/>
      <c r="AC19" s="108" t="s">
        <v>462</v>
      </c>
      <c r="AD19" s="108"/>
    </row>
    <row r="20" spans="2:36" ht="14.1" customHeight="1">
      <c r="C20" s="1236" t="s">
        <v>463</v>
      </c>
      <c r="D20" s="1237"/>
      <c r="E20" s="1237"/>
      <c r="F20" s="1817" t="s">
        <v>464</v>
      </c>
      <c r="G20" s="1496" t="s">
        <v>290</v>
      </c>
      <c r="N20" s="275"/>
      <c r="O20" s="275"/>
      <c r="AC20" s="1507" t="s">
        <v>463</v>
      </c>
      <c r="AD20" s="1507"/>
      <c r="AE20" s="1507"/>
      <c r="AF20" s="1524" t="s">
        <v>277</v>
      </c>
      <c r="AI20" s="1797"/>
      <c r="AJ20" s="1797"/>
    </row>
    <row r="21" spans="2:36" ht="14.25" customHeight="1">
      <c r="C21" s="1405"/>
      <c r="D21" s="1406"/>
      <c r="E21" s="1406"/>
      <c r="F21" s="1818"/>
      <c r="G21" s="1497"/>
      <c r="N21" s="275"/>
      <c r="O21" s="275"/>
      <c r="AC21" s="1507"/>
      <c r="AD21" s="1507"/>
      <c r="AE21" s="1507"/>
      <c r="AF21" s="1525"/>
      <c r="AI21" s="1797"/>
      <c r="AJ21" s="1797"/>
    </row>
    <row r="22" spans="2:36" ht="14.1" customHeight="1" thickBot="1">
      <c r="C22" s="1239"/>
      <c r="D22" s="1240"/>
      <c r="E22" s="1240"/>
      <c r="F22" s="1819"/>
      <c r="G22" s="1820"/>
      <c r="H22" s="173"/>
      <c r="I22" s="173"/>
      <c r="K22" s="173"/>
      <c r="L22" s="173"/>
      <c r="M22" s="173"/>
      <c r="N22" s="302"/>
      <c r="O22" s="302"/>
      <c r="P22" s="173"/>
      <c r="Q22" s="173"/>
      <c r="R22" s="173"/>
      <c r="S22" s="173"/>
      <c r="T22" s="173"/>
      <c r="U22" s="173"/>
      <c r="V22" s="173"/>
      <c r="W22" s="173"/>
      <c r="X22" s="173"/>
      <c r="Y22" s="173"/>
      <c r="Z22" s="173"/>
      <c r="AA22" s="173"/>
      <c r="AC22" s="1507"/>
      <c r="AD22" s="1507"/>
      <c r="AE22" s="1507"/>
      <c r="AF22" s="1526"/>
      <c r="AI22" s="1797"/>
      <c r="AJ22" s="1797"/>
    </row>
    <row r="23" spans="2:36" ht="30" customHeight="1" thickTop="1" thickBot="1">
      <c r="C23" s="1821" t="s">
        <v>465</v>
      </c>
      <c r="D23" s="1822"/>
      <c r="E23" s="1823"/>
      <c r="F23" s="609"/>
      <c r="G23" s="1086"/>
      <c r="H23" s="173"/>
      <c r="I23" s="173"/>
      <c r="K23" s="173"/>
      <c r="L23" s="173"/>
      <c r="M23" s="173"/>
      <c r="N23" s="302"/>
      <c r="O23" s="302"/>
      <c r="P23" s="173"/>
      <c r="Q23" s="173"/>
      <c r="R23" s="173"/>
      <c r="S23" s="173"/>
      <c r="T23" s="173"/>
      <c r="U23" s="173"/>
      <c r="V23" s="173"/>
      <c r="W23" s="173"/>
      <c r="X23" s="173"/>
      <c r="Y23" s="173"/>
      <c r="Z23" s="173"/>
      <c r="AA23" s="173"/>
      <c r="AC23" s="1397" t="s">
        <v>465</v>
      </c>
      <c r="AD23" s="1397"/>
      <c r="AE23" s="1397"/>
      <c r="AF23" s="335">
        <f>IF(F23&gt;0,ROUND(F23*G23%,),SUM(AF24:AF26))</f>
        <v>0</v>
      </c>
      <c r="AI23" s="619"/>
      <c r="AJ23" s="517"/>
    </row>
    <row r="24" spans="2:36" ht="30" customHeight="1" thickTop="1">
      <c r="C24" s="620"/>
      <c r="D24" s="1810" t="s">
        <v>466</v>
      </c>
      <c r="E24" s="1811"/>
      <c r="F24" s="621"/>
      <c r="G24" s="1087"/>
      <c r="H24" s="173"/>
      <c r="I24" s="173"/>
      <c r="K24" s="173"/>
      <c r="L24" s="173"/>
      <c r="M24" s="173"/>
      <c r="N24" s="302"/>
      <c r="O24" s="173"/>
      <c r="P24" s="173"/>
      <c r="Q24" s="173"/>
      <c r="R24" s="173"/>
      <c r="S24" s="173"/>
      <c r="T24" s="173"/>
      <c r="U24" s="173"/>
      <c r="V24" s="173"/>
      <c r="W24" s="173"/>
      <c r="X24" s="173"/>
      <c r="Y24" s="173"/>
      <c r="Z24" s="173"/>
      <c r="AA24" s="173"/>
      <c r="AC24" s="1422" t="s">
        <v>466</v>
      </c>
      <c r="AD24" s="1422"/>
      <c r="AE24" s="1422"/>
      <c r="AF24" s="335">
        <f>0</f>
        <v>0</v>
      </c>
      <c r="AI24" s="622" t="s">
        <v>463</v>
      </c>
      <c r="AJ24" s="622" t="s">
        <v>349</v>
      </c>
    </row>
    <row r="25" spans="2:36" ht="30" customHeight="1">
      <c r="C25" s="623"/>
      <c r="D25" s="1492" t="s">
        <v>467</v>
      </c>
      <c r="E25" s="1552"/>
      <c r="F25" s="624"/>
      <c r="G25" s="1088"/>
      <c r="H25" s="173"/>
      <c r="I25" s="173"/>
      <c r="K25" s="173"/>
      <c r="L25" s="173"/>
      <c r="M25" s="173"/>
      <c r="N25" s="302"/>
      <c r="O25" s="173"/>
      <c r="P25" s="173"/>
      <c r="Q25" s="173"/>
      <c r="R25" s="173"/>
      <c r="S25" s="173"/>
      <c r="T25" s="173"/>
      <c r="U25" s="173"/>
      <c r="V25" s="173"/>
      <c r="W25" s="173"/>
      <c r="X25" s="173"/>
      <c r="Y25" s="173"/>
      <c r="Z25" s="173"/>
      <c r="AA25" s="173"/>
      <c r="AC25" s="1422" t="s">
        <v>467</v>
      </c>
      <c r="AD25" s="1422"/>
      <c r="AE25" s="1422"/>
      <c r="AF25" s="335">
        <f>0</f>
        <v>0</v>
      </c>
      <c r="AI25" s="217" t="s">
        <v>468</v>
      </c>
      <c r="AJ25" s="335">
        <f>SUM(AF17,AG17,AF23)</f>
        <v>0</v>
      </c>
    </row>
    <row r="26" spans="2:36" ht="30" customHeight="1" thickBot="1">
      <c r="C26" s="625"/>
      <c r="D26" s="1824" t="s">
        <v>219</v>
      </c>
      <c r="E26" s="1825"/>
      <c r="F26" s="454"/>
      <c r="G26" s="1089"/>
      <c r="H26" s="173"/>
      <c r="I26" s="173"/>
      <c r="K26" s="173"/>
      <c r="L26" s="173"/>
      <c r="M26" s="173"/>
      <c r="N26" s="302"/>
      <c r="O26" s="173"/>
      <c r="P26" s="173"/>
      <c r="Q26" s="173"/>
      <c r="R26" s="173"/>
      <c r="S26" s="173"/>
      <c r="T26" s="173"/>
      <c r="U26" s="173"/>
      <c r="V26" s="173"/>
      <c r="W26" s="173"/>
      <c r="X26" s="173"/>
      <c r="Y26" s="173"/>
      <c r="Z26" s="173"/>
      <c r="AA26" s="173"/>
      <c r="AC26" s="1422" t="s">
        <v>219</v>
      </c>
      <c r="AD26" s="1422"/>
      <c r="AE26" s="1422"/>
      <c r="AF26" s="335">
        <f>ROUND(F26*G26%,)</f>
        <v>0</v>
      </c>
    </row>
    <row r="27" spans="2:36" ht="13.5" customHeight="1"/>
    <row r="29" spans="2:36" ht="18" customHeight="1">
      <c r="B29" s="152" t="s">
        <v>469</v>
      </c>
      <c r="C29" s="30"/>
      <c r="D29" s="30"/>
      <c r="AA29" s="152" t="s">
        <v>469</v>
      </c>
    </row>
    <row r="30" spans="2:36" ht="18" customHeight="1">
      <c r="B30" s="30"/>
      <c r="C30" s="51" t="s">
        <v>470</v>
      </c>
      <c r="D30" s="51"/>
    </row>
    <row r="31" spans="2:36" ht="14.1" customHeight="1">
      <c r="C31" s="51" t="s">
        <v>471</v>
      </c>
      <c r="D31" s="51"/>
      <c r="H31" s="607"/>
      <c r="I31" s="607"/>
      <c r="J31" s="608"/>
      <c r="K31" s="607"/>
      <c r="L31" s="607"/>
      <c r="M31" s="607"/>
      <c r="N31" s="607"/>
      <c r="O31" s="607"/>
      <c r="P31" s="607"/>
    </row>
    <row r="32" spans="2:36" ht="14.1" customHeight="1">
      <c r="B32" s="30"/>
      <c r="C32" s="58" t="s">
        <v>472</v>
      </c>
      <c r="D32" s="58"/>
      <c r="H32" s="607"/>
      <c r="I32" s="607"/>
      <c r="J32" s="608"/>
      <c r="K32" s="607"/>
      <c r="L32" s="607"/>
      <c r="M32" s="607"/>
      <c r="N32" s="607"/>
      <c r="O32" s="607"/>
      <c r="P32" s="607"/>
    </row>
    <row r="33" spans="2:33" ht="14.1" customHeight="1" thickBot="1">
      <c r="B33" s="30"/>
      <c r="C33" s="58" t="s">
        <v>473</v>
      </c>
      <c r="D33" s="58"/>
      <c r="E33" s="607"/>
      <c r="F33" s="607"/>
      <c r="G33" s="607"/>
      <c r="H33" s="607"/>
      <c r="I33" s="607"/>
      <c r="J33" s="608"/>
      <c r="K33" s="607"/>
      <c r="L33" s="607"/>
      <c r="M33" s="607"/>
      <c r="N33" s="607"/>
      <c r="O33" s="607"/>
      <c r="P33" s="607"/>
    </row>
    <row r="34" spans="2:33" ht="14.1" customHeight="1">
      <c r="C34" s="1826" t="s">
        <v>474</v>
      </c>
      <c r="D34" s="1827"/>
      <c r="E34" s="1828"/>
      <c r="F34" s="1653" t="s">
        <v>475</v>
      </c>
      <c r="G34" s="1393" t="s">
        <v>476</v>
      </c>
      <c r="H34" s="1496" t="s">
        <v>290</v>
      </c>
    </row>
    <row r="35" spans="2:33" ht="14.25" customHeight="1">
      <c r="C35" s="1829"/>
      <c r="D35" s="1830"/>
      <c r="E35" s="1831"/>
      <c r="F35" s="1654"/>
      <c r="G35" s="1835"/>
      <c r="H35" s="1497"/>
    </row>
    <row r="36" spans="2:33" ht="14.25" customHeight="1" thickBot="1">
      <c r="C36" s="1832"/>
      <c r="D36" s="1833"/>
      <c r="E36" s="1834"/>
      <c r="F36" s="1655"/>
      <c r="G36" s="1836"/>
      <c r="H36" s="1837"/>
      <c r="AC36" s="1568" t="s">
        <v>474</v>
      </c>
      <c r="AD36" s="1569"/>
      <c r="AE36" s="1570"/>
      <c r="AF36" s="1844" t="s">
        <v>475</v>
      </c>
      <c r="AG36" s="1846" t="s">
        <v>476</v>
      </c>
    </row>
    <row r="37" spans="2:33" ht="30" customHeight="1" thickTop="1" thickBot="1">
      <c r="C37" s="1848" t="s">
        <v>295</v>
      </c>
      <c r="D37" s="1849"/>
      <c r="E37" s="1850"/>
      <c r="F37" s="436"/>
      <c r="G37" s="626"/>
      <c r="H37" s="1073"/>
      <c r="AC37" s="1838"/>
      <c r="AD37" s="1839"/>
      <c r="AE37" s="1840"/>
      <c r="AF37" s="1845"/>
      <c r="AG37" s="1847"/>
    </row>
    <row r="38" spans="2:33" ht="29.25" customHeight="1" thickTop="1">
      <c r="C38" s="627"/>
      <c r="D38" s="1841" t="s">
        <v>477</v>
      </c>
      <c r="E38" s="561"/>
      <c r="F38" s="1852"/>
      <c r="G38" s="1853"/>
      <c r="H38" s="1854"/>
      <c r="I38" s="468"/>
      <c r="K38" s="173"/>
      <c r="L38" s="173"/>
      <c r="M38" s="173"/>
      <c r="N38" s="173"/>
      <c r="O38" s="173"/>
      <c r="P38" s="173"/>
      <c r="Q38" s="173"/>
      <c r="R38" s="173"/>
      <c r="S38" s="173"/>
      <c r="T38" s="173"/>
      <c r="AC38" s="1568" t="s">
        <v>295</v>
      </c>
      <c r="AD38" s="1569"/>
      <c r="AE38" s="1570"/>
      <c r="AF38" s="335">
        <f>IF(F37&gt;0,ROUND(F37*H37%,),SUM(AF39:AF41))</f>
        <v>0</v>
      </c>
      <c r="AG38" s="335">
        <f>IF(G37&gt;0,ROUND(G37*H37%,),SUM(AG39:AG41))</f>
        <v>0</v>
      </c>
    </row>
    <row r="39" spans="2:33" ht="29.25" customHeight="1">
      <c r="C39" s="627"/>
      <c r="D39" s="1851"/>
      <c r="E39" s="628"/>
      <c r="F39" s="444"/>
      <c r="G39" s="629"/>
      <c r="H39" s="1090"/>
      <c r="I39" s="468"/>
      <c r="K39" s="173"/>
      <c r="L39" s="173"/>
      <c r="M39" s="173"/>
      <c r="N39" s="173"/>
      <c r="O39" s="173"/>
      <c r="P39" s="173"/>
      <c r="Q39" s="173"/>
      <c r="R39" s="173"/>
      <c r="S39" s="173"/>
      <c r="T39" s="173"/>
      <c r="AC39" s="1855" t="s">
        <v>477</v>
      </c>
      <c r="AD39" s="1856"/>
      <c r="AE39" s="1857"/>
      <c r="AF39" s="630">
        <f>SUMPRODUCT(ROUND((F39:F68)*(H39:H68)/100,))</f>
        <v>0</v>
      </c>
      <c r="AG39" s="630">
        <f>SUMPRODUCT(ROUND((G39:G68)*(H39:H68)/100,))</f>
        <v>0</v>
      </c>
    </row>
    <row r="40" spans="2:33" ht="29.25" customHeight="1">
      <c r="C40" s="627"/>
      <c r="D40" s="1851"/>
      <c r="E40" s="628"/>
      <c r="F40" s="336"/>
      <c r="G40" s="226"/>
      <c r="H40" s="1091"/>
      <c r="I40" s="468"/>
      <c r="K40" s="173"/>
      <c r="L40" s="173"/>
      <c r="M40" s="173"/>
      <c r="N40" s="173"/>
      <c r="O40" s="173"/>
      <c r="P40" s="173"/>
      <c r="Q40" s="173"/>
      <c r="R40" s="173"/>
      <c r="S40" s="173"/>
      <c r="T40" s="173"/>
      <c r="AC40" s="1855" t="s">
        <v>478</v>
      </c>
      <c r="AD40" s="1856"/>
      <c r="AE40" s="1857"/>
      <c r="AF40" s="630">
        <f>SUMPRODUCT(ROUND((F70:F99)*(H70:H99)/100,))</f>
        <v>0</v>
      </c>
      <c r="AG40" s="630">
        <f>SUMPRODUCT(ROUND((G70:G99)*(H70:H99)/100,))</f>
        <v>0</v>
      </c>
    </row>
    <row r="41" spans="2:33" ht="29.25" customHeight="1">
      <c r="C41" s="627"/>
      <c r="D41" s="1851"/>
      <c r="E41" s="628"/>
      <c r="F41" s="444"/>
      <c r="G41" s="629"/>
      <c r="H41" s="1090"/>
      <c r="I41" s="468"/>
      <c r="K41" s="173"/>
      <c r="L41" s="173"/>
      <c r="M41" s="173"/>
      <c r="N41" s="173"/>
      <c r="O41" s="173"/>
      <c r="P41" s="173"/>
      <c r="Q41" s="173"/>
      <c r="R41" s="173"/>
      <c r="S41" s="173"/>
      <c r="T41" s="173"/>
      <c r="AC41" s="1855" t="s">
        <v>479</v>
      </c>
      <c r="AD41" s="1856"/>
      <c r="AE41" s="1857"/>
      <c r="AF41" s="630">
        <f>ROUND(F100*H100%,)</f>
        <v>0</v>
      </c>
      <c r="AG41" s="630">
        <f>ROUND(G100*H100%,)</f>
        <v>0</v>
      </c>
    </row>
    <row r="42" spans="2:33" ht="29.25" customHeight="1" collapsed="1">
      <c r="C42" s="627"/>
      <c r="D42" s="1851"/>
      <c r="E42" s="628"/>
      <c r="F42" s="403"/>
      <c r="G42" s="631"/>
      <c r="H42" s="1088"/>
      <c r="I42" s="468"/>
      <c r="K42" s="173"/>
      <c r="L42" s="173"/>
      <c r="M42" s="173"/>
      <c r="N42" s="173"/>
      <c r="O42" s="173"/>
      <c r="P42" s="173"/>
      <c r="Q42" s="173"/>
      <c r="R42" s="173"/>
      <c r="S42" s="173"/>
      <c r="T42" s="173"/>
    </row>
    <row r="43" spans="2:33" ht="29.25" hidden="1" customHeight="1" outlineLevel="1">
      <c r="C43" s="627"/>
      <c r="D43" s="1851"/>
      <c r="E43" s="628"/>
      <c r="F43" s="403"/>
      <c r="G43" s="631"/>
      <c r="H43" s="1088"/>
      <c r="I43" s="468"/>
      <c r="K43" s="173"/>
      <c r="L43" s="173"/>
      <c r="M43" s="173"/>
      <c r="N43" s="173"/>
      <c r="O43" s="173"/>
      <c r="P43" s="173"/>
      <c r="Q43" s="173"/>
      <c r="R43" s="173"/>
      <c r="S43" s="173"/>
      <c r="T43" s="173"/>
    </row>
    <row r="44" spans="2:33" ht="29.25" hidden="1" customHeight="1" outlineLevel="1">
      <c r="C44" s="627"/>
      <c r="D44" s="1851"/>
      <c r="E44" s="628"/>
      <c r="F44" s="403"/>
      <c r="G44" s="631"/>
      <c r="H44" s="1088"/>
      <c r="I44" s="468"/>
      <c r="K44" s="173"/>
      <c r="L44" s="173"/>
      <c r="M44" s="173"/>
      <c r="N44" s="173"/>
      <c r="O44" s="173"/>
      <c r="P44" s="173"/>
      <c r="Q44" s="173"/>
      <c r="R44" s="173"/>
      <c r="S44" s="173"/>
      <c r="T44" s="173"/>
    </row>
    <row r="45" spans="2:33" ht="29.25" hidden="1" customHeight="1" outlineLevel="1">
      <c r="C45" s="627"/>
      <c r="D45" s="1851"/>
      <c r="E45" s="628"/>
      <c r="F45" s="403"/>
      <c r="G45" s="631"/>
      <c r="H45" s="1088"/>
      <c r="I45" s="468"/>
      <c r="K45" s="173"/>
      <c r="L45" s="173"/>
      <c r="M45" s="173"/>
      <c r="N45" s="173"/>
      <c r="O45" s="173"/>
      <c r="P45" s="173"/>
      <c r="Q45" s="173"/>
      <c r="R45" s="173"/>
      <c r="S45" s="173"/>
      <c r="T45" s="173"/>
    </row>
    <row r="46" spans="2:33" ht="29.25" hidden="1" customHeight="1" outlineLevel="1">
      <c r="C46" s="627"/>
      <c r="D46" s="1851"/>
      <c r="E46" s="628"/>
      <c r="F46" s="403"/>
      <c r="G46" s="631"/>
      <c r="H46" s="1088"/>
      <c r="I46" s="468"/>
      <c r="K46" s="173"/>
      <c r="L46" s="173"/>
      <c r="M46" s="173"/>
      <c r="N46" s="173"/>
      <c r="O46" s="173"/>
      <c r="P46" s="173"/>
      <c r="Q46" s="173"/>
      <c r="R46" s="173"/>
      <c r="S46" s="173"/>
      <c r="T46" s="173"/>
    </row>
    <row r="47" spans="2:33" ht="29.25" hidden="1" customHeight="1" outlineLevel="1">
      <c r="C47" s="627"/>
      <c r="D47" s="1851"/>
      <c r="E47" s="628"/>
      <c r="F47" s="403"/>
      <c r="G47" s="631"/>
      <c r="H47" s="1088"/>
      <c r="I47" s="468"/>
      <c r="K47" s="173"/>
      <c r="L47" s="173"/>
      <c r="M47" s="173"/>
      <c r="N47" s="173"/>
      <c r="O47" s="173"/>
      <c r="P47" s="173"/>
      <c r="Q47" s="173"/>
      <c r="R47" s="173"/>
      <c r="S47" s="173"/>
      <c r="T47" s="173"/>
    </row>
    <row r="48" spans="2:33" ht="29.25" hidden="1" customHeight="1" outlineLevel="1">
      <c r="C48" s="627"/>
      <c r="D48" s="1851"/>
      <c r="E48" s="628"/>
      <c r="F48" s="403"/>
      <c r="G48" s="631"/>
      <c r="H48" s="1088"/>
      <c r="I48" s="468"/>
      <c r="K48" s="173"/>
      <c r="L48" s="173"/>
      <c r="M48" s="173"/>
      <c r="N48" s="173"/>
      <c r="O48" s="173"/>
      <c r="P48" s="173"/>
      <c r="Q48" s="173"/>
      <c r="R48" s="173"/>
      <c r="S48" s="173"/>
      <c r="T48" s="173"/>
    </row>
    <row r="49" spans="3:20" ht="29.25" hidden="1" customHeight="1" outlineLevel="1">
      <c r="C49" s="627"/>
      <c r="D49" s="1851"/>
      <c r="E49" s="628"/>
      <c r="F49" s="403"/>
      <c r="G49" s="631"/>
      <c r="H49" s="1088"/>
      <c r="I49" s="468"/>
      <c r="K49" s="173"/>
      <c r="L49" s="173"/>
      <c r="M49" s="173"/>
      <c r="N49" s="173"/>
      <c r="O49" s="173"/>
      <c r="P49" s="173"/>
      <c r="Q49" s="173"/>
      <c r="R49" s="173"/>
      <c r="S49" s="173"/>
      <c r="T49" s="173"/>
    </row>
    <row r="50" spans="3:20" ht="29.25" hidden="1" customHeight="1" outlineLevel="1">
      <c r="C50" s="627"/>
      <c r="D50" s="1851"/>
      <c r="E50" s="628"/>
      <c r="F50" s="403"/>
      <c r="G50" s="631"/>
      <c r="H50" s="1088"/>
      <c r="I50" s="468"/>
      <c r="K50" s="173"/>
      <c r="L50" s="173"/>
      <c r="M50" s="173"/>
      <c r="N50" s="173"/>
      <c r="O50" s="173"/>
      <c r="P50" s="173"/>
      <c r="Q50" s="173"/>
      <c r="R50" s="173"/>
      <c r="S50" s="173"/>
      <c r="T50" s="173"/>
    </row>
    <row r="51" spans="3:20" ht="29.25" hidden="1" customHeight="1" outlineLevel="1">
      <c r="C51" s="627"/>
      <c r="D51" s="1851"/>
      <c r="E51" s="628"/>
      <c r="F51" s="403"/>
      <c r="G51" s="631"/>
      <c r="H51" s="1088"/>
      <c r="I51" s="468"/>
      <c r="K51" s="173"/>
      <c r="L51" s="173"/>
      <c r="M51" s="173"/>
      <c r="N51" s="173"/>
      <c r="O51" s="173"/>
      <c r="P51" s="173"/>
      <c r="Q51" s="173"/>
      <c r="R51" s="173"/>
      <c r="S51" s="173"/>
      <c r="T51" s="173"/>
    </row>
    <row r="52" spans="3:20" ht="29.25" hidden="1" customHeight="1" outlineLevel="1">
      <c r="C52" s="627"/>
      <c r="D52" s="1851"/>
      <c r="E52" s="628"/>
      <c r="F52" s="403"/>
      <c r="G52" s="631"/>
      <c r="H52" s="1088"/>
      <c r="I52" s="468"/>
      <c r="K52" s="173"/>
      <c r="L52" s="173"/>
      <c r="M52" s="173"/>
      <c r="N52" s="173"/>
      <c r="O52" s="173"/>
      <c r="P52" s="173"/>
      <c r="Q52" s="173"/>
      <c r="R52" s="173"/>
      <c r="S52" s="173"/>
      <c r="T52" s="173"/>
    </row>
    <row r="53" spans="3:20" ht="29.25" hidden="1" customHeight="1" outlineLevel="1">
      <c r="C53" s="627"/>
      <c r="D53" s="1851"/>
      <c r="E53" s="628"/>
      <c r="F53" s="403"/>
      <c r="G53" s="631"/>
      <c r="H53" s="1088"/>
      <c r="I53" s="468"/>
      <c r="K53" s="173"/>
      <c r="L53" s="173"/>
      <c r="M53" s="173"/>
      <c r="N53" s="173"/>
      <c r="O53" s="173"/>
      <c r="P53" s="173"/>
      <c r="Q53" s="173"/>
      <c r="R53" s="173"/>
      <c r="S53" s="173"/>
      <c r="T53" s="173"/>
    </row>
    <row r="54" spans="3:20" ht="29.25" hidden="1" customHeight="1" outlineLevel="1">
      <c r="C54" s="627"/>
      <c r="D54" s="1851"/>
      <c r="E54" s="628"/>
      <c r="F54" s="403"/>
      <c r="G54" s="631"/>
      <c r="H54" s="1088"/>
      <c r="I54" s="468"/>
      <c r="K54" s="173"/>
      <c r="L54" s="173"/>
      <c r="M54" s="173"/>
      <c r="N54" s="173"/>
      <c r="O54" s="173"/>
      <c r="P54" s="173"/>
      <c r="Q54" s="173"/>
      <c r="R54" s="173"/>
      <c r="S54" s="173"/>
      <c r="T54" s="173"/>
    </row>
    <row r="55" spans="3:20" ht="29.25" hidden="1" customHeight="1" outlineLevel="1">
      <c r="C55" s="627"/>
      <c r="D55" s="1851"/>
      <c r="E55" s="628"/>
      <c r="F55" s="403"/>
      <c r="G55" s="631"/>
      <c r="H55" s="1088"/>
      <c r="I55" s="468"/>
      <c r="K55" s="173"/>
      <c r="L55" s="173"/>
      <c r="M55" s="173"/>
      <c r="N55" s="173"/>
      <c r="O55" s="173"/>
      <c r="P55" s="173"/>
      <c r="Q55" s="173"/>
      <c r="R55" s="173"/>
      <c r="S55" s="173"/>
      <c r="T55" s="173"/>
    </row>
    <row r="56" spans="3:20" ht="29.25" hidden="1" customHeight="1" outlineLevel="1">
      <c r="C56" s="627"/>
      <c r="D56" s="1851"/>
      <c r="E56" s="628"/>
      <c r="F56" s="403"/>
      <c r="G56" s="631"/>
      <c r="H56" s="1088"/>
      <c r="I56" s="468"/>
      <c r="K56" s="173"/>
      <c r="L56" s="173"/>
      <c r="M56" s="173"/>
      <c r="N56" s="173"/>
      <c r="O56" s="173"/>
      <c r="P56" s="173"/>
      <c r="Q56" s="173"/>
      <c r="R56" s="173"/>
      <c r="S56" s="173"/>
      <c r="T56" s="173"/>
    </row>
    <row r="57" spans="3:20" ht="29.25" hidden="1" customHeight="1" outlineLevel="1">
      <c r="C57" s="627"/>
      <c r="D57" s="1851"/>
      <c r="E57" s="628"/>
      <c r="F57" s="403"/>
      <c r="G57" s="631"/>
      <c r="H57" s="1088"/>
      <c r="I57" s="468"/>
      <c r="K57" s="173"/>
      <c r="L57" s="173"/>
      <c r="M57" s="173"/>
      <c r="N57" s="173"/>
      <c r="O57" s="173"/>
      <c r="P57" s="173"/>
      <c r="Q57" s="173"/>
      <c r="R57" s="173"/>
      <c r="S57" s="173"/>
      <c r="T57" s="173"/>
    </row>
    <row r="58" spans="3:20" ht="29.25" hidden="1" customHeight="1" outlineLevel="1">
      <c r="C58" s="627"/>
      <c r="D58" s="1851"/>
      <c r="E58" s="628"/>
      <c r="F58" s="403"/>
      <c r="G58" s="631"/>
      <c r="H58" s="1088"/>
      <c r="I58" s="468"/>
      <c r="K58" s="173"/>
      <c r="L58" s="173"/>
      <c r="M58" s="173"/>
      <c r="N58" s="173"/>
      <c r="O58" s="173"/>
      <c r="P58" s="173"/>
      <c r="Q58" s="173"/>
      <c r="R58" s="173"/>
      <c r="S58" s="173"/>
      <c r="T58" s="173"/>
    </row>
    <row r="59" spans="3:20" ht="29.25" hidden="1" customHeight="1" outlineLevel="1">
      <c r="C59" s="627"/>
      <c r="D59" s="1851"/>
      <c r="E59" s="628"/>
      <c r="F59" s="403"/>
      <c r="G59" s="631"/>
      <c r="H59" s="1088"/>
      <c r="I59" s="468"/>
      <c r="K59" s="173"/>
      <c r="L59" s="173"/>
      <c r="M59" s="173"/>
      <c r="N59" s="173"/>
      <c r="O59" s="173"/>
      <c r="P59" s="173"/>
      <c r="Q59" s="173"/>
      <c r="R59" s="173"/>
      <c r="S59" s="173"/>
      <c r="T59" s="173"/>
    </row>
    <row r="60" spans="3:20" ht="29.25" hidden="1" customHeight="1" outlineLevel="1">
      <c r="C60" s="627"/>
      <c r="D60" s="1851"/>
      <c r="E60" s="628"/>
      <c r="F60" s="403"/>
      <c r="G60" s="631"/>
      <c r="H60" s="1088"/>
      <c r="I60" s="468"/>
      <c r="K60" s="173"/>
      <c r="L60" s="173"/>
      <c r="M60" s="173"/>
      <c r="N60" s="173"/>
      <c r="O60" s="173"/>
      <c r="P60" s="173"/>
      <c r="Q60" s="173"/>
      <c r="R60" s="173"/>
      <c r="S60" s="173"/>
      <c r="T60" s="173"/>
    </row>
    <row r="61" spans="3:20" ht="29.25" hidden="1" customHeight="1" outlineLevel="1">
      <c r="C61" s="627"/>
      <c r="D61" s="1851"/>
      <c r="E61" s="628"/>
      <c r="F61" s="403"/>
      <c r="G61" s="631"/>
      <c r="H61" s="1088"/>
      <c r="I61" s="468"/>
      <c r="K61" s="173"/>
      <c r="L61" s="173"/>
      <c r="M61" s="173"/>
      <c r="N61" s="173"/>
      <c r="O61" s="173"/>
      <c r="P61" s="173"/>
      <c r="Q61" s="173"/>
      <c r="R61" s="173"/>
      <c r="S61" s="173"/>
      <c r="T61" s="173"/>
    </row>
    <row r="62" spans="3:20" ht="29.25" hidden="1" customHeight="1" outlineLevel="1">
      <c r="C62" s="627"/>
      <c r="D62" s="1851"/>
      <c r="E62" s="628"/>
      <c r="F62" s="403"/>
      <c r="G62" s="631"/>
      <c r="H62" s="1088"/>
      <c r="I62" s="468"/>
      <c r="K62" s="173"/>
      <c r="L62" s="173"/>
      <c r="M62" s="173"/>
      <c r="N62" s="173"/>
      <c r="O62" s="173"/>
      <c r="P62" s="173"/>
      <c r="Q62" s="173"/>
      <c r="R62" s="173"/>
      <c r="S62" s="173"/>
      <c r="T62" s="173"/>
    </row>
    <row r="63" spans="3:20" ht="29.25" hidden="1" customHeight="1" outlineLevel="1">
      <c r="C63" s="627"/>
      <c r="D63" s="1851"/>
      <c r="E63" s="628"/>
      <c r="F63" s="403"/>
      <c r="G63" s="631"/>
      <c r="H63" s="1088"/>
      <c r="I63" s="468"/>
      <c r="K63" s="173"/>
      <c r="L63" s="173"/>
      <c r="M63" s="173"/>
      <c r="N63" s="173"/>
      <c r="O63" s="173"/>
      <c r="P63" s="173"/>
      <c r="Q63" s="173"/>
      <c r="R63" s="173"/>
      <c r="S63" s="173"/>
      <c r="T63" s="173"/>
    </row>
    <row r="64" spans="3:20" ht="29.25" hidden="1" customHeight="1" outlineLevel="1">
      <c r="C64" s="627"/>
      <c r="D64" s="1851"/>
      <c r="E64" s="628"/>
      <c r="F64" s="403"/>
      <c r="G64" s="631"/>
      <c r="H64" s="1088"/>
      <c r="I64" s="468"/>
      <c r="K64" s="173"/>
      <c r="L64" s="173"/>
      <c r="M64" s="173"/>
      <c r="N64" s="173"/>
      <c r="O64" s="173"/>
      <c r="P64" s="173"/>
      <c r="Q64" s="173"/>
      <c r="R64" s="173"/>
      <c r="S64" s="173"/>
      <c r="T64" s="173"/>
    </row>
    <row r="65" spans="3:20" ht="29.25" hidden="1" customHeight="1" outlineLevel="1">
      <c r="C65" s="627"/>
      <c r="D65" s="1851"/>
      <c r="E65" s="628"/>
      <c r="F65" s="403"/>
      <c r="G65" s="631"/>
      <c r="H65" s="1088"/>
      <c r="I65" s="468"/>
      <c r="K65" s="173"/>
      <c r="L65" s="173"/>
      <c r="M65" s="173"/>
      <c r="N65" s="173"/>
      <c r="O65" s="173"/>
      <c r="P65" s="173"/>
      <c r="Q65" s="173"/>
      <c r="R65" s="173"/>
      <c r="S65" s="173"/>
      <c r="T65" s="173"/>
    </row>
    <row r="66" spans="3:20" ht="29.25" hidden="1" customHeight="1" outlineLevel="1">
      <c r="C66" s="627"/>
      <c r="D66" s="1851"/>
      <c r="E66" s="628"/>
      <c r="F66" s="403"/>
      <c r="G66" s="631"/>
      <c r="H66" s="1088"/>
      <c r="I66" s="468"/>
      <c r="K66" s="173"/>
      <c r="L66" s="173"/>
      <c r="M66" s="173"/>
      <c r="N66" s="173"/>
      <c r="O66" s="173"/>
      <c r="P66" s="173"/>
      <c r="Q66" s="173"/>
      <c r="R66" s="173"/>
      <c r="S66" s="173"/>
      <c r="T66" s="173"/>
    </row>
    <row r="67" spans="3:20" ht="29.25" hidden="1" customHeight="1" outlineLevel="1">
      <c r="C67" s="627"/>
      <c r="D67" s="1851"/>
      <c r="E67" s="628"/>
      <c r="F67" s="403"/>
      <c r="G67" s="631"/>
      <c r="H67" s="1088"/>
      <c r="I67" s="468"/>
      <c r="K67" s="173"/>
      <c r="L67" s="173"/>
      <c r="M67" s="173"/>
      <c r="N67" s="173"/>
      <c r="O67" s="173"/>
      <c r="P67" s="173"/>
      <c r="Q67" s="173"/>
      <c r="R67" s="173"/>
      <c r="S67" s="173"/>
      <c r="T67" s="173"/>
    </row>
    <row r="68" spans="3:20" ht="29.25" hidden="1" customHeight="1" outlineLevel="1">
      <c r="C68" s="627"/>
      <c r="D68" s="1851"/>
      <c r="E68" s="628"/>
      <c r="F68" s="401"/>
      <c r="G68" s="631"/>
      <c r="H68" s="1088"/>
      <c r="I68" s="468"/>
      <c r="K68" s="173"/>
      <c r="L68" s="173"/>
      <c r="M68" s="173"/>
      <c r="N68" s="173"/>
      <c r="O68" s="173"/>
      <c r="P68" s="173"/>
      <c r="Q68" s="173"/>
      <c r="R68" s="173"/>
      <c r="S68" s="173"/>
      <c r="T68" s="173"/>
    </row>
    <row r="69" spans="3:20" ht="29.25" customHeight="1">
      <c r="C69" s="627"/>
      <c r="D69" s="1841" t="s">
        <v>480</v>
      </c>
      <c r="E69" s="632"/>
      <c r="F69" s="1611"/>
      <c r="G69" s="1612"/>
      <c r="H69" s="1613"/>
      <c r="I69" s="468"/>
      <c r="K69" s="173"/>
      <c r="L69" s="173"/>
      <c r="M69" s="173"/>
      <c r="N69" s="173"/>
      <c r="O69" s="173"/>
      <c r="P69" s="173"/>
      <c r="Q69" s="173"/>
      <c r="R69" s="173"/>
      <c r="S69" s="173"/>
      <c r="T69" s="173"/>
    </row>
    <row r="70" spans="3:20" ht="29.25" customHeight="1">
      <c r="C70" s="627"/>
      <c r="D70" s="1842"/>
      <c r="E70" s="628"/>
      <c r="F70" s="444"/>
      <c r="G70" s="629"/>
      <c r="H70" s="1090"/>
      <c r="I70" s="468"/>
      <c r="K70" s="173"/>
      <c r="L70" s="173"/>
      <c r="M70" s="173"/>
      <c r="N70" s="173"/>
      <c r="O70" s="173"/>
      <c r="P70" s="173"/>
      <c r="Q70" s="173"/>
      <c r="R70" s="173"/>
      <c r="S70" s="173"/>
      <c r="T70" s="173"/>
    </row>
    <row r="71" spans="3:20" ht="29.25" customHeight="1">
      <c r="C71" s="627"/>
      <c r="D71" s="1842"/>
      <c r="E71" s="628"/>
      <c r="F71" s="444"/>
      <c r="G71" s="631"/>
      <c r="H71" s="1088"/>
      <c r="I71" s="468"/>
      <c r="K71" s="173"/>
      <c r="L71" s="173"/>
      <c r="M71" s="173"/>
      <c r="N71" s="173"/>
      <c r="O71" s="173"/>
      <c r="P71" s="173"/>
      <c r="Q71" s="173"/>
      <c r="R71" s="173"/>
      <c r="S71" s="173"/>
      <c r="T71" s="173"/>
    </row>
    <row r="72" spans="3:20" ht="29.25" customHeight="1">
      <c r="C72" s="627"/>
      <c r="D72" s="1842"/>
      <c r="E72" s="628"/>
      <c r="F72" s="336"/>
      <c r="G72" s="226"/>
      <c r="H72" s="1091"/>
      <c r="I72" s="468"/>
      <c r="K72" s="173"/>
      <c r="L72" s="173"/>
      <c r="M72" s="173"/>
      <c r="N72" s="173"/>
      <c r="O72" s="173"/>
      <c r="P72" s="173"/>
      <c r="Q72" s="173"/>
      <c r="R72" s="173"/>
      <c r="S72" s="173"/>
      <c r="T72" s="173"/>
    </row>
    <row r="73" spans="3:20" ht="29.25" customHeight="1" collapsed="1">
      <c r="C73" s="627"/>
      <c r="D73" s="1842"/>
      <c r="E73" s="628"/>
      <c r="F73" s="444"/>
      <c r="G73" s="631"/>
      <c r="H73" s="1088"/>
      <c r="I73" s="468"/>
      <c r="K73" s="173"/>
      <c r="L73" s="173"/>
      <c r="M73" s="173"/>
      <c r="N73" s="173"/>
      <c r="O73" s="173"/>
      <c r="P73" s="173"/>
      <c r="Q73" s="173"/>
      <c r="R73" s="173"/>
      <c r="S73" s="173"/>
      <c r="T73" s="173"/>
    </row>
    <row r="74" spans="3:20" ht="29.25" hidden="1" customHeight="1" outlineLevel="1">
      <c r="C74" s="627"/>
      <c r="D74" s="1842"/>
      <c r="E74" s="628"/>
      <c r="F74" s="336"/>
      <c r="G74" s="226"/>
      <c r="H74" s="1091"/>
      <c r="I74" s="468"/>
      <c r="K74" s="173"/>
      <c r="L74" s="173"/>
      <c r="M74" s="173"/>
      <c r="N74" s="173"/>
      <c r="O74" s="173"/>
      <c r="P74" s="173"/>
      <c r="Q74" s="173"/>
      <c r="R74" s="173"/>
      <c r="S74" s="173"/>
      <c r="T74" s="173"/>
    </row>
    <row r="75" spans="3:20" ht="29.25" hidden="1" customHeight="1" outlineLevel="1">
      <c r="C75" s="627"/>
      <c r="D75" s="1842"/>
      <c r="E75" s="628"/>
      <c r="F75" s="444"/>
      <c r="G75" s="631"/>
      <c r="H75" s="1088"/>
      <c r="I75" s="468"/>
      <c r="K75" s="173"/>
      <c r="L75" s="173"/>
      <c r="M75" s="173"/>
      <c r="N75" s="173"/>
      <c r="O75" s="173"/>
      <c r="P75" s="173"/>
      <c r="Q75" s="173"/>
      <c r="R75" s="173"/>
      <c r="S75" s="173"/>
      <c r="T75" s="173"/>
    </row>
    <row r="76" spans="3:20" ht="29.25" hidden="1" customHeight="1" outlineLevel="1">
      <c r="C76" s="627"/>
      <c r="D76" s="1842"/>
      <c r="E76" s="628"/>
      <c r="F76" s="336"/>
      <c r="G76" s="226"/>
      <c r="H76" s="1091"/>
      <c r="I76" s="468"/>
      <c r="K76" s="173"/>
      <c r="L76" s="173"/>
      <c r="M76" s="173"/>
      <c r="N76" s="173"/>
      <c r="O76" s="173"/>
      <c r="P76" s="173"/>
      <c r="Q76" s="173"/>
      <c r="R76" s="173"/>
      <c r="S76" s="173"/>
      <c r="T76" s="173"/>
    </row>
    <row r="77" spans="3:20" ht="29.25" hidden="1" customHeight="1" outlineLevel="1">
      <c r="C77" s="627"/>
      <c r="D77" s="1842"/>
      <c r="E77" s="628"/>
      <c r="F77" s="444"/>
      <c r="G77" s="631"/>
      <c r="H77" s="1088"/>
      <c r="I77" s="468"/>
      <c r="K77" s="173"/>
      <c r="L77" s="173"/>
      <c r="M77" s="173"/>
      <c r="N77" s="173"/>
      <c r="O77" s="173"/>
      <c r="P77" s="173"/>
      <c r="Q77" s="173"/>
      <c r="R77" s="173"/>
      <c r="S77" s="173"/>
      <c r="T77" s="173"/>
    </row>
    <row r="78" spans="3:20" ht="29.25" hidden="1" customHeight="1" outlineLevel="1">
      <c r="C78" s="627"/>
      <c r="D78" s="1842"/>
      <c r="E78" s="628"/>
      <c r="F78" s="336"/>
      <c r="G78" s="226"/>
      <c r="H78" s="1091"/>
      <c r="I78" s="468"/>
      <c r="K78" s="173"/>
      <c r="L78" s="173"/>
      <c r="M78" s="173"/>
      <c r="N78" s="173"/>
      <c r="O78" s="173"/>
      <c r="P78" s="173"/>
      <c r="Q78" s="173"/>
      <c r="R78" s="173"/>
      <c r="S78" s="173"/>
      <c r="T78" s="173"/>
    </row>
    <row r="79" spans="3:20" ht="29.25" hidden="1" customHeight="1" outlineLevel="1">
      <c r="C79" s="627"/>
      <c r="D79" s="1842"/>
      <c r="E79" s="628"/>
      <c r="F79" s="444"/>
      <c r="G79" s="631"/>
      <c r="H79" s="1088"/>
      <c r="I79" s="468"/>
      <c r="K79" s="173"/>
      <c r="L79" s="173"/>
      <c r="M79" s="173"/>
      <c r="N79" s="173"/>
      <c r="O79" s="173"/>
      <c r="P79" s="173"/>
      <c r="Q79" s="173"/>
      <c r="R79" s="173"/>
      <c r="S79" s="173"/>
      <c r="T79" s="173"/>
    </row>
    <row r="80" spans="3:20" ht="29.25" hidden="1" customHeight="1" outlineLevel="1">
      <c r="C80" s="627"/>
      <c r="D80" s="1842"/>
      <c r="E80" s="628"/>
      <c r="F80" s="336"/>
      <c r="G80" s="226"/>
      <c r="H80" s="1091"/>
      <c r="I80" s="468"/>
      <c r="K80" s="173"/>
      <c r="L80" s="173"/>
      <c r="M80" s="173"/>
      <c r="N80" s="173"/>
      <c r="O80" s="173"/>
      <c r="P80" s="173"/>
      <c r="Q80" s="173"/>
      <c r="R80" s="173"/>
      <c r="S80" s="173"/>
      <c r="T80" s="173"/>
    </row>
    <row r="81" spans="3:20" ht="29.25" hidden="1" customHeight="1" outlineLevel="1">
      <c r="C81" s="627"/>
      <c r="D81" s="1842"/>
      <c r="E81" s="628"/>
      <c r="F81" s="444"/>
      <c r="G81" s="631"/>
      <c r="H81" s="1088"/>
      <c r="I81" s="468"/>
      <c r="K81" s="173"/>
      <c r="L81" s="173"/>
      <c r="M81" s="173"/>
      <c r="N81" s="173"/>
      <c r="O81" s="173"/>
      <c r="P81" s="173"/>
      <c r="Q81" s="173"/>
      <c r="R81" s="173"/>
      <c r="S81" s="173"/>
      <c r="T81" s="173"/>
    </row>
    <row r="82" spans="3:20" ht="29.25" hidden="1" customHeight="1" outlineLevel="1">
      <c r="C82" s="627"/>
      <c r="D82" s="1842"/>
      <c r="E82" s="628"/>
      <c r="F82" s="336"/>
      <c r="G82" s="226"/>
      <c r="H82" s="1091"/>
      <c r="I82" s="468"/>
      <c r="K82" s="173"/>
      <c r="L82" s="173"/>
      <c r="M82" s="173"/>
      <c r="N82" s="173"/>
      <c r="O82" s="173"/>
      <c r="P82" s="173"/>
      <c r="Q82" s="173"/>
      <c r="R82" s="173"/>
      <c r="S82" s="173"/>
      <c r="T82" s="173"/>
    </row>
    <row r="83" spans="3:20" ht="29.25" hidden="1" customHeight="1" outlineLevel="1">
      <c r="C83" s="627"/>
      <c r="D83" s="1842"/>
      <c r="E83" s="628"/>
      <c r="F83" s="444"/>
      <c r="G83" s="631"/>
      <c r="H83" s="1088"/>
      <c r="I83" s="468"/>
      <c r="K83" s="173"/>
      <c r="L83" s="173"/>
      <c r="M83" s="173"/>
      <c r="N83" s="173"/>
      <c r="O83" s="173"/>
      <c r="P83" s="173"/>
      <c r="Q83" s="173"/>
      <c r="R83" s="173"/>
      <c r="S83" s="173"/>
      <c r="T83" s="173"/>
    </row>
    <row r="84" spans="3:20" ht="29.25" hidden="1" customHeight="1" outlineLevel="1">
      <c r="C84" s="627"/>
      <c r="D84" s="1842"/>
      <c r="E84" s="628"/>
      <c r="F84" s="336"/>
      <c r="G84" s="226"/>
      <c r="H84" s="1091"/>
      <c r="I84" s="468"/>
      <c r="K84" s="173"/>
      <c r="L84" s="173"/>
      <c r="M84" s="173"/>
      <c r="N84" s="173"/>
      <c r="O84" s="173"/>
      <c r="P84" s="173"/>
      <c r="Q84" s="173"/>
      <c r="R84" s="173"/>
      <c r="S84" s="173"/>
      <c r="T84" s="173"/>
    </row>
    <row r="85" spans="3:20" ht="29.25" hidden="1" customHeight="1" outlineLevel="1">
      <c r="C85" s="627"/>
      <c r="D85" s="1842"/>
      <c r="E85" s="628"/>
      <c r="F85" s="444"/>
      <c r="G85" s="631"/>
      <c r="H85" s="1088"/>
      <c r="I85" s="468"/>
      <c r="K85" s="173"/>
      <c r="L85" s="173"/>
      <c r="M85" s="173"/>
      <c r="N85" s="173"/>
      <c r="O85" s="173"/>
      <c r="P85" s="173"/>
      <c r="Q85" s="173"/>
      <c r="R85" s="173"/>
      <c r="S85" s="173"/>
      <c r="T85" s="173"/>
    </row>
    <row r="86" spans="3:20" ht="29.25" hidden="1" customHeight="1" outlineLevel="1">
      <c r="C86" s="627"/>
      <c r="D86" s="1842"/>
      <c r="E86" s="628"/>
      <c r="F86" s="336"/>
      <c r="G86" s="226"/>
      <c r="H86" s="1091"/>
      <c r="I86" s="468"/>
      <c r="K86" s="173"/>
      <c r="L86" s="173"/>
      <c r="M86" s="173"/>
      <c r="N86" s="173"/>
      <c r="O86" s="173"/>
      <c r="P86" s="173"/>
      <c r="Q86" s="173"/>
      <c r="R86" s="173"/>
      <c r="S86" s="173"/>
      <c r="T86" s="173"/>
    </row>
    <row r="87" spans="3:20" ht="29.25" hidden="1" customHeight="1" outlineLevel="1">
      <c r="C87" s="627"/>
      <c r="D87" s="1842"/>
      <c r="E87" s="628"/>
      <c r="F87" s="444"/>
      <c r="G87" s="631"/>
      <c r="H87" s="1088"/>
      <c r="I87" s="468"/>
      <c r="K87" s="173"/>
      <c r="L87" s="173"/>
      <c r="M87" s="173"/>
      <c r="N87" s="173"/>
      <c r="O87" s="173"/>
      <c r="P87" s="173"/>
      <c r="Q87" s="173"/>
      <c r="R87" s="173"/>
      <c r="S87" s="173"/>
      <c r="T87" s="173"/>
    </row>
    <row r="88" spans="3:20" ht="29.25" hidden="1" customHeight="1" outlineLevel="1">
      <c r="C88" s="627"/>
      <c r="D88" s="1842"/>
      <c r="E88" s="628"/>
      <c r="F88" s="336"/>
      <c r="G88" s="226"/>
      <c r="H88" s="1091"/>
      <c r="I88" s="468"/>
      <c r="K88" s="173"/>
      <c r="L88" s="173"/>
      <c r="M88" s="173"/>
      <c r="N88" s="173"/>
      <c r="O88" s="173"/>
      <c r="P88" s="173"/>
      <c r="Q88" s="173"/>
      <c r="R88" s="173"/>
      <c r="S88" s="173"/>
      <c r="T88" s="173"/>
    </row>
    <row r="89" spans="3:20" ht="29.25" hidden="1" customHeight="1" outlineLevel="1">
      <c r="C89" s="627"/>
      <c r="D89" s="1842"/>
      <c r="E89" s="628"/>
      <c r="F89" s="444"/>
      <c r="G89" s="631"/>
      <c r="H89" s="1088"/>
      <c r="I89" s="468"/>
      <c r="K89" s="173"/>
      <c r="L89" s="173"/>
      <c r="M89" s="173"/>
      <c r="N89" s="173"/>
      <c r="O89" s="173"/>
      <c r="P89" s="173"/>
      <c r="Q89" s="173"/>
      <c r="R89" s="173"/>
      <c r="S89" s="173"/>
      <c r="T89" s="173"/>
    </row>
    <row r="90" spans="3:20" ht="29.25" hidden="1" customHeight="1" outlineLevel="1">
      <c r="C90" s="627"/>
      <c r="D90" s="1842"/>
      <c r="E90" s="628"/>
      <c r="F90" s="336"/>
      <c r="G90" s="226"/>
      <c r="H90" s="1091"/>
      <c r="I90" s="468"/>
      <c r="K90" s="173"/>
      <c r="L90" s="173"/>
      <c r="M90" s="173"/>
      <c r="N90" s="173"/>
      <c r="O90" s="173"/>
      <c r="P90" s="173"/>
      <c r="Q90" s="173"/>
      <c r="R90" s="173"/>
      <c r="S90" s="173"/>
      <c r="T90" s="173"/>
    </row>
    <row r="91" spans="3:20" ht="29.25" hidden="1" customHeight="1" outlineLevel="1">
      <c r="C91" s="627"/>
      <c r="D91" s="1842"/>
      <c r="E91" s="628"/>
      <c r="F91" s="444"/>
      <c r="G91" s="631"/>
      <c r="H91" s="1088"/>
      <c r="I91" s="468"/>
      <c r="K91" s="173"/>
      <c r="L91" s="173"/>
      <c r="M91" s="173"/>
      <c r="N91" s="173"/>
      <c r="O91" s="173"/>
      <c r="P91" s="173"/>
      <c r="Q91" s="173"/>
      <c r="R91" s="173"/>
      <c r="S91" s="173"/>
      <c r="T91" s="173"/>
    </row>
    <row r="92" spans="3:20" ht="29.25" hidden="1" customHeight="1" outlineLevel="1">
      <c r="C92" s="627"/>
      <c r="D92" s="1842"/>
      <c r="E92" s="628"/>
      <c r="F92" s="336"/>
      <c r="G92" s="226"/>
      <c r="H92" s="1091"/>
      <c r="I92" s="468"/>
      <c r="K92" s="173"/>
      <c r="L92" s="173"/>
      <c r="M92" s="173"/>
      <c r="N92" s="173"/>
      <c r="O92" s="173"/>
      <c r="P92" s="173"/>
      <c r="Q92" s="173"/>
      <c r="R92" s="173"/>
      <c r="S92" s="173"/>
      <c r="T92" s="173"/>
    </row>
    <row r="93" spans="3:20" ht="29.25" hidden="1" customHeight="1" outlineLevel="1">
      <c r="C93" s="627"/>
      <c r="D93" s="1842"/>
      <c r="E93" s="628"/>
      <c r="F93" s="444"/>
      <c r="G93" s="631"/>
      <c r="H93" s="1088"/>
      <c r="I93" s="468"/>
      <c r="K93" s="173"/>
      <c r="L93" s="173"/>
      <c r="M93" s="173"/>
      <c r="N93" s="173"/>
      <c r="O93" s="173"/>
      <c r="P93" s="173"/>
      <c r="Q93" s="173"/>
      <c r="R93" s="173"/>
      <c r="S93" s="173"/>
      <c r="T93" s="173"/>
    </row>
    <row r="94" spans="3:20" ht="29.25" hidden="1" customHeight="1" outlineLevel="1">
      <c r="C94" s="627"/>
      <c r="D94" s="1842"/>
      <c r="E94" s="628"/>
      <c r="F94" s="336"/>
      <c r="G94" s="226"/>
      <c r="H94" s="1091"/>
      <c r="I94" s="468"/>
      <c r="K94" s="173"/>
      <c r="L94" s="173"/>
      <c r="M94" s="173"/>
      <c r="N94" s="173"/>
      <c r="O94" s="173"/>
      <c r="P94" s="173"/>
      <c r="Q94" s="173"/>
      <c r="R94" s="173"/>
      <c r="S94" s="173"/>
      <c r="T94" s="173"/>
    </row>
    <row r="95" spans="3:20" ht="29.25" hidden="1" customHeight="1" outlineLevel="1">
      <c r="C95" s="627"/>
      <c r="D95" s="1842"/>
      <c r="E95" s="628"/>
      <c r="F95" s="444"/>
      <c r="G95" s="631"/>
      <c r="H95" s="1088"/>
      <c r="I95" s="468"/>
      <c r="K95" s="173"/>
      <c r="L95" s="173"/>
      <c r="M95" s="173"/>
      <c r="N95" s="173"/>
      <c r="O95" s="173"/>
      <c r="P95" s="173"/>
      <c r="Q95" s="173"/>
      <c r="R95" s="173"/>
      <c r="S95" s="173"/>
      <c r="T95" s="173"/>
    </row>
    <row r="96" spans="3:20" ht="29.25" hidden="1" customHeight="1" outlineLevel="1">
      <c r="C96" s="627"/>
      <c r="D96" s="1842"/>
      <c r="E96" s="628"/>
      <c r="F96" s="336"/>
      <c r="G96" s="226"/>
      <c r="H96" s="1091"/>
      <c r="I96" s="468"/>
      <c r="K96" s="173"/>
      <c r="L96" s="173"/>
      <c r="M96" s="173"/>
      <c r="N96" s="173"/>
      <c r="O96" s="173"/>
      <c r="P96" s="173"/>
      <c r="Q96" s="173"/>
      <c r="R96" s="173"/>
      <c r="S96" s="173"/>
      <c r="T96" s="173"/>
    </row>
    <row r="97" spans="3:20" ht="29.25" hidden="1" customHeight="1" outlineLevel="1">
      <c r="C97" s="627"/>
      <c r="D97" s="1842"/>
      <c r="E97" s="628"/>
      <c r="F97" s="444"/>
      <c r="G97" s="631"/>
      <c r="H97" s="1088"/>
      <c r="I97" s="468"/>
      <c r="K97" s="173"/>
      <c r="L97" s="173"/>
      <c r="M97" s="173"/>
      <c r="N97" s="173"/>
      <c r="O97" s="173"/>
      <c r="P97" s="173"/>
      <c r="Q97" s="173"/>
      <c r="R97" s="173"/>
      <c r="S97" s="173"/>
      <c r="T97" s="173"/>
    </row>
    <row r="98" spans="3:20" ht="29.25" hidden="1" customHeight="1" outlineLevel="1">
      <c r="C98" s="627"/>
      <c r="D98" s="1842"/>
      <c r="E98" s="628"/>
      <c r="F98" s="336"/>
      <c r="G98" s="226"/>
      <c r="H98" s="1091"/>
      <c r="I98" s="468"/>
      <c r="K98" s="173"/>
      <c r="L98" s="173"/>
      <c r="M98" s="173"/>
      <c r="N98" s="173"/>
      <c r="O98" s="173"/>
      <c r="P98" s="173"/>
      <c r="Q98" s="173"/>
      <c r="R98" s="173"/>
      <c r="S98" s="173"/>
      <c r="T98" s="173"/>
    </row>
    <row r="99" spans="3:20" ht="29.25" hidden="1" customHeight="1" outlineLevel="1">
      <c r="C99" s="627"/>
      <c r="D99" s="1843"/>
      <c r="E99" s="628"/>
      <c r="F99" s="331"/>
      <c r="G99" s="631"/>
      <c r="H99" s="1088"/>
      <c r="I99" s="468"/>
      <c r="K99" s="173"/>
      <c r="L99" s="173"/>
      <c r="M99" s="173"/>
      <c r="N99" s="173"/>
      <c r="O99" s="173"/>
      <c r="P99" s="173"/>
      <c r="Q99" s="173"/>
      <c r="R99" s="173"/>
      <c r="S99" s="173"/>
      <c r="T99" s="173"/>
    </row>
    <row r="100" spans="3:20" ht="29.25" customHeight="1" thickBot="1">
      <c r="C100" s="633"/>
      <c r="D100" s="1494" t="s">
        <v>479</v>
      </c>
      <c r="E100" s="1813"/>
      <c r="F100" s="634"/>
      <c r="G100" s="635"/>
      <c r="H100" s="1092"/>
      <c r="I100" s="468"/>
      <c r="K100" s="173"/>
      <c r="L100" s="173"/>
      <c r="M100" s="173"/>
      <c r="N100" s="173"/>
      <c r="O100" s="173"/>
      <c r="P100" s="173"/>
      <c r="Q100" s="173"/>
      <c r="R100" s="173"/>
      <c r="S100" s="173"/>
      <c r="T100" s="173"/>
    </row>
    <row r="101" spans="3:20" ht="18" customHeight="1">
      <c r="C101" s="186" t="s">
        <v>481</v>
      </c>
      <c r="D101" s="186"/>
      <c r="E101" s="197"/>
      <c r="F101" s="20"/>
      <c r="G101" s="20"/>
      <c r="H101" s="74"/>
      <c r="I101" s="74"/>
      <c r="J101" s="636"/>
      <c r="K101" s="199"/>
      <c r="L101" s="197"/>
      <c r="M101" s="74"/>
      <c r="N101" s="199"/>
      <c r="O101" s="197"/>
      <c r="P101" s="74"/>
    </row>
    <row r="102" spans="3:20" ht="30" customHeight="1"/>
    <row r="103" spans="3:20" ht="14.1" customHeight="1"/>
    <row r="104" spans="3:20" ht="14.1" customHeight="1"/>
    <row r="105" spans="3:20" ht="14.1" customHeight="1"/>
  </sheetData>
  <sheetProtection sheet="1" objects="1" scenarios="1" selectLockedCells="1"/>
  <mergeCells count="52">
    <mergeCell ref="D69:D99"/>
    <mergeCell ref="F69:H69"/>
    <mergeCell ref="D100:E100"/>
    <mergeCell ref="AF36:AF37"/>
    <mergeCell ref="AG36:AG37"/>
    <mergeCell ref="C37:E37"/>
    <mergeCell ref="D38:D68"/>
    <mergeCell ref="F38:H38"/>
    <mergeCell ref="AC38:AE38"/>
    <mergeCell ref="AC39:AE39"/>
    <mergeCell ref="AC40:AE40"/>
    <mergeCell ref="AC41:AE41"/>
    <mergeCell ref="D25:E25"/>
    <mergeCell ref="AC25:AE25"/>
    <mergeCell ref="D26:E26"/>
    <mergeCell ref="AC26:AE26"/>
    <mergeCell ref="C34:E36"/>
    <mergeCell ref="F34:F36"/>
    <mergeCell ref="G34:G36"/>
    <mergeCell ref="H34:H36"/>
    <mergeCell ref="AC36:AE37"/>
    <mergeCell ref="AF20:AF22"/>
    <mergeCell ref="AI20:AI22"/>
    <mergeCell ref="AJ20:AJ22"/>
    <mergeCell ref="C23:E23"/>
    <mergeCell ref="AC23:AE23"/>
    <mergeCell ref="D24:E24"/>
    <mergeCell ref="AC24:AE24"/>
    <mergeCell ref="C15:E15"/>
    <mergeCell ref="AC15:AE15"/>
    <mergeCell ref="C16:E16"/>
    <mergeCell ref="AC16:AE16"/>
    <mergeCell ref="AC17:AE17"/>
    <mergeCell ref="C20:E22"/>
    <mergeCell ref="F20:F22"/>
    <mergeCell ref="G20:G22"/>
    <mergeCell ref="AC20:AE22"/>
    <mergeCell ref="C12:E12"/>
    <mergeCell ref="AC12:AE12"/>
    <mergeCell ref="C13:E13"/>
    <mergeCell ref="AC13:AE13"/>
    <mergeCell ref="C14:E14"/>
    <mergeCell ref="AC14:AE14"/>
    <mergeCell ref="C8:E11"/>
    <mergeCell ref="F8:G9"/>
    <mergeCell ref="H8:H11"/>
    <mergeCell ref="AC8:AE11"/>
    <mergeCell ref="AF8:AG9"/>
    <mergeCell ref="F10:F11"/>
    <mergeCell ref="G10:G11"/>
    <mergeCell ref="AF10:AF11"/>
    <mergeCell ref="AG10:AG11"/>
  </mergeCells>
  <phoneticPr fontId="5"/>
  <dataValidations count="3">
    <dataValidation type="textLength" imeMode="hiragana" operator="greaterThanOrEqual" allowBlank="1" showInputMessage="1" showErrorMessage="1" sqref="E39:E68 E70:E99" xr:uid="{00000000-0002-0000-0E00-000000000000}">
      <formula1>1</formula1>
    </dataValidation>
    <dataValidation type="whole" operator="greaterThan" allowBlank="1" showInputMessage="1" showErrorMessage="1" error="0より大きい数値を整数で入力してください。" sqref="F12:G16 F23:F26 F37:G37 F39:G68 F70:G100" xr:uid="{00000000-0002-0000-0E00-000001000000}">
      <formula1>0</formula1>
    </dataValidation>
    <dataValidation type="custom" allowBlank="1" showInputMessage="1" showErrorMessage="1" error="0.001~100の範囲で小数点第３位までの数値を入力してください。" sqref="H12:H16 G23:G26 H37 H39:H68 H70:H100" xr:uid="{00000000-0002-0000-0E00-000002000000}">
      <formula1>AND(AND(G12*1000=INT(G12*1000)),(G12&gt;0),(G12&lt;=100))</formula1>
    </dataValidation>
  </dataValidations>
  <pageMargins left="0.59055118110236227" right="0.59055118110236227" top="0.59055118110236227" bottom="0.59055118110236227" header="0" footer="0"/>
  <pageSetup paperSize="9" scale="37" orientation="portrait" cellComments="asDisplayed" r:id="rId1"/>
  <headerFooter alignWithMargins="0"/>
  <drawing r:id="rId2"/>
  <legacyDrawing r:id="rId3"/>
  <controls>
    <mc:AlternateContent xmlns:mc="http://schemas.openxmlformats.org/markup-compatibility/2006">
      <mc:Choice Requires="x14">
        <control shapeId="12289" r:id="rId4" name="Label1">
          <controlPr defaultSize="0" print="0" autoLine="0" r:id="rId5">
            <anchor moveWithCells="1">
              <from>
                <xdr:col>9</xdr:col>
                <xdr:colOff>19050</xdr:colOff>
                <xdr:row>35</xdr:row>
                <xdr:rowOff>161925</xdr:rowOff>
              </from>
              <to>
                <xdr:col>12</xdr:col>
                <xdr:colOff>142875</xdr:colOff>
                <xdr:row>36</xdr:row>
                <xdr:rowOff>333375</xdr:rowOff>
              </to>
            </anchor>
          </controlPr>
        </control>
      </mc:Choice>
      <mc:Fallback>
        <control shapeId="12289" r:id="rId4" name="Label1"/>
      </mc:Fallback>
    </mc:AlternateContent>
    <mc:AlternateContent xmlns:mc="http://schemas.openxmlformats.org/markup-compatibility/2006">
      <mc:Choice Requires="x14">
        <control shapeId="12290" r:id="rId6" name="Label2">
          <controlPr defaultSize="0" print="0" autoLine="0" r:id="rId7">
            <anchor moveWithCells="1">
              <from>
                <xdr:col>9</xdr:col>
                <xdr:colOff>57150</xdr:colOff>
                <xdr:row>36</xdr:row>
                <xdr:rowOff>95250</xdr:rowOff>
              </from>
              <to>
                <xdr:col>12</xdr:col>
                <xdr:colOff>95250</xdr:colOff>
                <xdr:row>36</xdr:row>
                <xdr:rowOff>228600</xdr:rowOff>
              </to>
            </anchor>
          </controlPr>
        </control>
      </mc:Choice>
      <mc:Fallback>
        <control shapeId="12290" r:id="rId6" name="Label2"/>
      </mc:Fallback>
    </mc:AlternateContent>
    <mc:AlternateContent xmlns:mc="http://schemas.openxmlformats.org/markup-compatibility/2006">
      <mc:Choice Requires="x14">
        <control shapeId="12291" r:id="rId8" name="Label3">
          <controlPr defaultSize="0" print="0" autoLine="0" r:id="rId9">
            <anchor moveWithCells="1">
              <from>
                <xdr:col>12</xdr:col>
                <xdr:colOff>133350</xdr:colOff>
                <xdr:row>35</xdr:row>
                <xdr:rowOff>161925</xdr:rowOff>
              </from>
              <to>
                <xdr:col>15</xdr:col>
                <xdr:colOff>66675</xdr:colOff>
                <xdr:row>36</xdr:row>
                <xdr:rowOff>161925</xdr:rowOff>
              </to>
            </anchor>
          </controlPr>
        </control>
      </mc:Choice>
      <mc:Fallback>
        <control shapeId="12291" r:id="rId8" name="Label3"/>
      </mc:Fallback>
    </mc:AlternateContent>
    <mc:AlternateContent xmlns:mc="http://schemas.openxmlformats.org/markup-compatibility/2006">
      <mc:Choice Requires="x14">
        <control shapeId="12292" r:id="rId10" name="txt_tanki">
          <controlPr locked="0" defaultSize="0" print="0" autoLine="0" r:id="rId11">
            <anchor moveWithCells="1">
              <from>
                <xdr:col>12</xdr:col>
                <xdr:colOff>133350</xdr:colOff>
                <xdr:row>36</xdr:row>
                <xdr:rowOff>161925</xdr:rowOff>
              </from>
              <to>
                <xdr:col>15</xdr:col>
                <xdr:colOff>66675</xdr:colOff>
                <xdr:row>36</xdr:row>
                <xdr:rowOff>333375</xdr:rowOff>
              </to>
            </anchor>
          </controlPr>
        </control>
      </mc:Choice>
      <mc:Fallback>
        <control shapeId="12292" r:id="rId10" name="txt_tanki"/>
      </mc:Fallback>
    </mc:AlternateContent>
    <mc:AlternateContent xmlns:mc="http://schemas.openxmlformats.org/markup-compatibility/2006">
      <mc:Choice Requires="x14">
        <control shapeId="12293" r:id="rId12" name="btnKoushin1">
          <controlPr defaultSize="0" print="0" autoLine="0" r:id="rId13">
            <anchor moveWithCells="1">
              <from>
                <xdr:col>9</xdr:col>
                <xdr:colOff>19050</xdr:colOff>
                <xdr:row>36</xdr:row>
                <xdr:rowOff>342900</xdr:rowOff>
              </from>
              <to>
                <xdr:col>18</xdr:col>
                <xdr:colOff>9525</xdr:colOff>
                <xdr:row>37</xdr:row>
                <xdr:rowOff>304800</xdr:rowOff>
              </to>
            </anchor>
          </controlPr>
        </control>
      </mc:Choice>
      <mc:Fallback>
        <control shapeId="12293" r:id="rId12" name="btnKoushin1"/>
      </mc:Fallback>
    </mc:AlternateContent>
    <mc:AlternateContent xmlns:mc="http://schemas.openxmlformats.org/markup-compatibility/2006">
      <mc:Choice Requires="x14">
        <control shapeId="12294" r:id="rId14" name="Label4">
          <controlPr defaultSize="0" print="0" autoLine="0" r:id="rId15">
            <anchor moveWithCells="1">
              <from>
                <xdr:col>15</xdr:col>
                <xdr:colOff>57150</xdr:colOff>
                <xdr:row>35</xdr:row>
                <xdr:rowOff>161925</xdr:rowOff>
              </from>
              <to>
                <xdr:col>18</xdr:col>
                <xdr:colOff>0</xdr:colOff>
                <xdr:row>36</xdr:row>
                <xdr:rowOff>161925</xdr:rowOff>
              </to>
            </anchor>
          </controlPr>
        </control>
      </mc:Choice>
      <mc:Fallback>
        <control shapeId="12294" r:id="rId14" name="Label4"/>
      </mc:Fallback>
    </mc:AlternateContent>
    <mc:AlternateContent xmlns:mc="http://schemas.openxmlformats.org/markup-compatibility/2006">
      <mc:Choice Requires="x14">
        <control shapeId="12295" r:id="rId16" name="txt_chouki">
          <controlPr locked="0" defaultSize="0" print="0" autoLine="0" r:id="rId17">
            <anchor moveWithCells="1">
              <from>
                <xdr:col>15</xdr:col>
                <xdr:colOff>57150</xdr:colOff>
                <xdr:row>36</xdr:row>
                <xdr:rowOff>161925</xdr:rowOff>
              </from>
              <to>
                <xdr:col>18</xdr:col>
                <xdr:colOff>0</xdr:colOff>
                <xdr:row>36</xdr:row>
                <xdr:rowOff>333375</xdr:rowOff>
              </to>
            </anchor>
          </controlPr>
        </control>
      </mc:Choice>
      <mc:Fallback>
        <control shapeId="12295" r:id="rId16" name="txt_chouki"/>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outlinePr summaryBelow="0"/>
    <pageSetUpPr fitToPage="1"/>
  </sheetPr>
  <dimension ref="A1:BB124"/>
  <sheetViews>
    <sheetView showGridLines="0" zoomScale="70" zoomScaleNormal="70" zoomScaleSheetLayoutView="70" workbookViewId="0">
      <pane xSplit="2" ySplit="15" topLeftCell="C16" activePane="bottomRight" state="frozen"/>
      <selection pane="topRight"/>
      <selection pane="bottomLeft"/>
      <selection pane="bottomRight" activeCell="D16" sqref="D16"/>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26.375" style="2" customWidth="1"/>
    <col min="5" max="5" width="15.125" style="2" customWidth="1"/>
    <col min="6" max="6" width="21.625" style="2" bestFit="1" customWidth="1"/>
    <col min="7" max="8" width="4.125" style="2" customWidth="1"/>
    <col min="9" max="9" width="5.125" style="2" customWidth="1"/>
    <col min="10" max="10" width="10.75" style="2" customWidth="1"/>
    <col min="11" max="11" width="5.375" style="2" customWidth="1"/>
    <col min="12" max="13" width="24.125" style="2" customWidth="1"/>
    <col min="14" max="14" width="21.375" style="2" customWidth="1"/>
    <col min="15" max="15" width="18.75" style="2" customWidth="1"/>
    <col min="16" max="16" width="7.875" style="2" customWidth="1"/>
    <col min="17" max="17" width="12.125" style="2" hidden="1" customWidth="1"/>
    <col min="18" max="18" width="9" style="2" customWidth="1"/>
    <col min="19" max="19" width="21.25" style="2" customWidth="1"/>
    <col min="20" max="20" width="2.625" style="2" customWidth="1"/>
    <col min="21" max="21" width="2.75" style="2" customWidth="1"/>
    <col min="22" max="22" width="8.375" style="2" customWidth="1" outlineLevel="1"/>
    <col min="23" max="23" width="2.625" style="173" outlineLevel="1"/>
    <col min="24" max="24" width="2.625" style="144" customWidth="1" outlineLevel="1"/>
    <col min="25" max="32" width="10.625" style="637" customWidth="1" outlineLevel="1"/>
    <col min="33" max="33" width="14.625" style="637" customWidth="1" outlineLevel="1"/>
    <col min="34" max="36" width="14.5" style="637" customWidth="1" outlineLevel="1"/>
    <col min="37" max="37" width="10.625" style="637" customWidth="1" outlineLevel="1"/>
    <col min="38" max="38" width="14.5" style="637" customWidth="1" outlineLevel="1"/>
    <col min="39" max="40" width="10.625" style="637" customWidth="1" outlineLevel="1"/>
    <col min="41" max="44" width="14.5" style="637" customWidth="1" outlineLevel="1"/>
    <col min="45" max="47" width="10.625" style="637" customWidth="1" outlineLevel="1"/>
    <col min="48" max="52" width="2.625" style="173"/>
    <col min="53" max="16384" width="2.625" style="2"/>
  </cols>
  <sheetData>
    <row r="1" spans="1:54" ht="14.25" customHeight="1">
      <c r="T1" s="46"/>
      <c r="V1" s="2" t="s">
        <v>118</v>
      </c>
      <c r="W1" s="2"/>
      <c r="Y1" s="144"/>
      <c r="Z1" s="144"/>
      <c r="AA1" s="144"/>
      <c r="AB1" s="144"/>
      <c r="AC1" s="144"/>
      <c r="AD1" s="144"/>
      <c r="AE1" s="144"/>
      <c r="AF1" s="144"/>
      <c r="AG1" s="144"/>
      <c r="AH1" s="144"/>
      <c r="AI1" s="144"/>
      <c r="AJ1" s="144"/>
      <c r="AK1" s="144"/>
      <c r="AL1" s="144"/>
      <c r="AM1" s="144"/>
      <c r="AN1" s="144"/>
      <c r="AO1" s="144"/>
      <c r="AP1" s="144"/>
      <c r="AQ1" s="144"/>
      <c r="AR1" s="144"/>
      <c r="AS1" s="144"/>
      <c r="AT1" s="144"/>
      <c r="AU1" s="144"/>
    </row>
    <row r="2" spans="1:54" ht="14.25" customHeight="1">
      <c r="A2" s="107" t="s">
        <v>482</v>
      </c>
      <c r="V2" s="107" t="s">
        <v>482</v>
      </c>
    </row>
    <row r="3" spans="1:54" ht="14.25" customHeight="1">
      <c r="A3" s="107"/>
    </row>
    <row r="4" spans="1:54" ht="14.25" customHeight="1">
      <c r="A4" s="107" t="s">
        <v>483</v>
      </c>
      <c r="C4" s="606" t="s">
        <v>484</v>
      </c>
    </row>
    <row r="5" spans="1:54" ht="14.25" customHeight="1">
      <c r="A5" s="107"/>
      <c r="C5" s="46" t="s">
        <v>485</v>
      </c>
      <c r="D5" s="606"/>
    </row>
    <row r="6" spans="1:54" ht="14.25" customHeight="1">
      <c r="A6" s="107"/>
      <c r="C6" s="46" t="s">
        <v>486</v>
      </c>
    </row>
    <row r="7" spans="1:54" ht="14.25" customHeight="1">
      <c r="A7" s="107"/>
      <c r="C7" s="46"/>
      <c r="D7" s="638"/>
      <c r="E7" s="639"/>
      <c r="F7" s="640"/>
      <c r="G7" s="638"/>
      <c r="H7" s="638"/>
      <c r="I7" s="638"/>
      <c r="J7" s="638"/>
      <c r="K7" s="638"/>
      <c r="L7" s="638"/>
      <c r="V7" s="2" t="s">
        <v>487</v>
      </c>
      <c r="X7" s="223"/>
    </row>
    <row r="8" spans="1:54" ht="14.25" customHeight="1" thickBot="1">
      <c r="A8" s="107"/>
      <c r="C8" s="46"/>
      <c r="D8" s="640"/>
      <c r="E8" s="638"/>
      <c r="F8" s="640"/>
      <c r="G8" s="638"/>
      <c r="H8" s="638"/>
      <c r="I8" s="638"/>
      <c r="J8" s="638"/>
      <c r="K8" s="638"/>
      <c r="L8" s="638"/>
      <c r="V8" s="1885" t="s">
        <v>488</v>
      </c>
      <c r="W8" s="2"/>
      <c r="X8" s="2"/>
      <c r="Y8" s="1399" t="s">
        <v>489</v>
      </c>
      <c r="Z8" s="1399"/>
      <c r="AA8" s="1399"/>
      <c r="AB8" s="1399"/>
      <c r="AC8" s="1399"/>
      <c r="AD8" s="1399"/>
      <c r="AE8" s="1399"/>
      <c r="AF8" s="1399"/>
      <c r="AG8" s="1365" t="s">
        <v>490</v>
      </c>
      <c r="AH8" s="1366"/>
      <c r="AI8" s="1395"/>
      <c r="AJ8" s="1888" t="s">
        <v>491</v>
      </c>
      <c r="AK8" s="1889"/>
      <c r="AL8" s="1568" t="s">
        <v>492</v>
      </c>
      <c r="AM8" s="1570"/>
      <c r="AN8" s="1892"/>
      <c r="AO8" s="1365" t="s">
        <v>493</v>
      </c>
      <c r="AP8" s="1366"/>
      <c r="AQ8" s="1366"/>
      <c r="AR8" s="1366"/>
      <c r="AS8" s="1366"/>
      <c r="AT8" s="1366"/>
      <c r="AU8" s="1395"/>
      <c r="AV8" s="2"/>
      <c r="AW8" s="2"/>
      <c r="BA8" s="173"/>
      <c r="BB8" s="173"/>
    </row>
    <row r="9" spans="1:54" s="46" customFormat="1" ht="14.25" customHeight="1">
      <c r="C9" s="1858" t="s">
        <v>494</v>
      </c>
      <c r="D9" s="1861" t="s">
        <v>495</v>
      </c>
      <c r="E9" s="1864" t="s">
        <v>496</v>
      </c>
      <c r="F9" s="1867" t="s">
        <v>497</v>
      </c>
      <c r="G9" s="1870" t="s">
        <v>498</v>
      </c>
      <c r="H9" s="1871"/>
      <c r="I9" s="1874" t="s">
        <v>499</v>
      </c>
      <c r="J9" s="1877" t="s">
        <v>500</v>
      </c>
      <c r="K9" s="1878"/>
      <c r="L9" s="1881" t="s">
        <v>501</v>
      </c>
      <c r="M9" s="1883" t="s">
        <v>502</v>
      </c>
      <c r="N9" s="1901" t="s">
        <v>503</v>
      </c>
      <c r="O9" s="1901" t="s">
        <v>504</v>
      </c>
      <c r="P9" s="1903" t="s">
        <v>505</v>
      </c>
      <c r="Q9" s="1906" t="s">
        <v>506</v>
      </c>
      <c r="R9" s="1908" t="s">
        <v>507</v>
      </c>
      <c r="S9" s="1909"/>
      <c r="U9" s="2"/>
      <c r="V9" s="1886"/>
      <c r="X9" s="2"/>
      <c r="Y9" s="1400"/>
      <c r="Z9" s="1400"/>
      <c r="AA9" s="1400"/>
      <c r="AB9" s="1400"/>
      <c r="AC9" s="1400"/>
      <c r="AD9" s="1400"/>
      <c r="AE9" s="1400"/>
      <c r="AF9" s="1400"/>
      <c r="AG9" s="1367"/>
      <c r="AH9" s="1368"/>
      <c r="AI9" s="1396"/>
      <c r="AJ9" s="1890"/>
      <c r="AK9" s="1891"/>
      <c r="AL9" s="1838"/>
      <c r="AM9" s="1840"/>
      <c r="AN9" s="1893"/>
      <c r="AO9" s="1367"/>
      <c r="AP9" s="1368"/>
      <c r="AQ9" s="1368"/>
      <c r="AR9" s="1368"/>
      <c r="AS9" s="1368"/>
      <c r="AT9" s="1368"/>
      <c r="AU9" s="1396"/>
      <c r="AV9" s="2"/>
      <c r="AW9" s="2"/>
      <c r="AX9" s="173"/>
    </row>
    <row r="10" spans="1:54" s="46" customFormat="1" ht="18.75" customHeight="1">
      <c r="C10" s="1859"/>
      <c r="D10" s="1862"/>
      <c r="E10" s="1865"/>
      <c r="F10" s="1868"/>
      <c r="G10" s="1872"/>
      <c r="H10" s="1873"/>
      <c r="I10" s="1875"/>
      <c r="J10" s="1879"/>
      <c r="K10" s="1880"/>
      <c r="L10" s="1882"/>
      <c r="M10" s="1884"/>
      <c r="N10" s="1902"/>
      <c r="O10" s="1902"/>
      <c r="P10" s="1904"/>
      <c r="Q10" s="1556"/>
      <c r="R10" s="1910"/>
      <c r="S10" s="1911"/>
      <c r="U10" s="2"/>
      <c r="V10" s="1886"/>
      <c r="X10" s="2"/>
      <c r="Y10" s="1895" t="s">
        <v>508</v>
      </c>
      <c r="Z10" s="1895" t="s">
        <v>509</v>
      </c>
      <c r="AA10" s="1895" t="s">
        <v>510</v>
      </c>
      <c r="AB10" s="1895" t="s">
        <v>511</v>
      </c>
      <c r="AC10" s="1895" t="s">
        <v>512</v>
      </c>
      <c r="AD10" s="1895" t="s">
        <v>513</v>
      </c>
      <c r="AE10" s="1895" t="s">
        <v>514</v>
      </c>
      <c r="AF10" s="1895" t="s">
        <v>515</v>
      </c>
      <c r="AG10" s="1895" t="s">
        <v>516</v>
      </c>
      <c r="AH10" s="1898" t="s">
        <v>517</v>
      </c>
      <c r="AI10" s="641"/>
      <c r="AJ10" s="1895" t="s">
        <v>518</v>
      </c>
      <c r="AK10" s="1895" t="s">
        <v>519</v>
      </c>
      <c r="AL10" s="1895" t="s">
        <v>520</v>
      </c>
      <c r="AM10" s="1895" t="s">
        <v>521</v>
      </c>
      <c r="AN10" s="1893"/>
      <c r="AO10" s="1914" t="s">
        <v>518</v>
      </c>
      <c r="AP10" s="1930" t="s">
        <v>522</v>
      </c>
      <c r="AQ10" s="642"/>
      <c r="AR10" s="1914" t="s">
        <v>523</v>
      </c>
      <c r="AS10" s="1914" t="s">
        <v>524</v>
      </c>
      <c r="AT10" s="1914" t="s">
        <v>504</v>
      </c>
      <c r="AU10" s="1914" t="s">
        <v>525</v>
      </c>
      <c r="AV10" s="2"/>
      <c r="AW10" s="2"/>
      <c r="AX10" s="173"/>
    </row>
    <row r="11" spans="1:54" s="46" customFormat="1" ht="18.75" customHeight="1">
      <c r="C11" s="1859"/>
      <c r="D11" s="1862"/>
      <c r="E11" s="1865"/>
      <c r="F11" s="1868"/>
      <c r="G11" s="1916" t="s">
        <v>526</v>
      </c>
      <c r="H11" s="1916" t="s">
        <v>527</v>
      </c>
      <c r="I11" s="1875"/>
      <c r="J11" s="1918" t="s">
        <v>528</v>
      </c>
      <c r="K11" s="1921" t="s">
        <v>529</v>
      </c>
      <c r="L11" s="643" t="s">
        <v>530</v>
      </c>
      <c r="M11" s="644" t="s">
        <v>530</v>
      </c>
      <c r="N11" s="643" t="s">
        <v>530</v>
      </c>
      <c r="O11" s="643" t="s">
        <v>530</v>
      </c>
      <c r="P11" s="1904"/>
      <c r="Q11" s="1556"/>
      <c r="R11" s="1923" t="s">
        <v>531</v>
      </c>
      <c r="S11" s="1927" t="s">
        <v>532</v>
      </c>
      <c r="U11" s="2"/>
      <c r="V11" s="1886"/>
      <c r="X11" s="2"/>
      <c r="Y11" s="1896"/>
      <c r="Z11" s="1896"/>
      <c r="AA11" s="1896"/>
      <c r="AB11" s="1896"/>
      <c r="AC11" s="1896"/>
      <c r="AD11" s="1896"/>
      <c r="AE11" s="1896" t="s">
        <v>533</v>
      </c>
      <c r="AF11" s="1896"/>
      <c r="AG11" s="1896" t="s">
        <v>534</v>
      </c>
      <c r="AH11" s="1896" t="s">
        <v>533</v>
      </c>
      <c r="AI11" s="1895" t="s">
        <v>535</v>
      </c>
      <c r="AJ11" s="1896" t="s">
        <v>536</v>
      </c>
      <c r="AK11" s="1896" t="s">
        <v>534</v>
      </c>
      <c r="AL11" s="1896"/>
      <c r="AM11" s="1896"/>
      <c r="AN11" s="1893"/>
      <c r="AO11" s="1904"/>
      <c r="AP11" s="1904" t="s">
        <v>533</v>
      </c>
      <c r="AQ11" s="1914" t="s">
        <v>535</v>
      </c>
      <c r="AR11" s="1904" t="s">
        <v>534</v>
      </c>
      <c r="AS11" s="1904"/>
      <c r="AT11" s="1904"/>
      <c r="AU11" s="1904"/>
      <c r="AV11" s="2"/>
      <c r="AW11" s="2"/>
      <c r="AX11" s="173"/>
    </row>
    <row r="12" spans="1:54" s="46" customFormat="1" ht="18.75" customHeight="1">
      <c r="C12" s="1859"/>
      <c r="D12" s="1862"/>
      <c r="E12" s="1865"/>
      <c r="F12" s="1868"/>
      <c r="G12" s="1917"/>
      <c r="H12" s="1917"/>
      <c r="I12" s="1875"/>
      <c r="J12" s="1919"/>
      <c r="K12" s="1922"/>
      <c r="L12" s="645"/>
      <c r="M12" s="646"/>
      <c r="N12" s="647"/>
      <c r="O12" s="648"/>
      <c r="P12" s="1904"/>
      <c r="Q12" s="1556"/>
      <c r="R12" s="1924"/>
      <c r="S12" s="1928"/>
      <c r="U12" s="2"/>
      <c r="V12" s="1886"/>
      <c r="X12" s="2"/>
      <c r="Y12" s="1896"/>
      <c r="Z12" s="1896"/>
      <c r="AA12" s="1896"/>
      <c r="AB12" s="1896"/>
      <c r="AC12" s="1896"/>
      <c r="AD12" s="1896"/>
      <c r="AE12" s="1896"/>
      <c r="AF12" s="1896"/>
      <c r="AG12" s="1896"/>
      <c r="AH12" s="1896"/>
      <c r="AI12" s="1896"/>
      <c r="AJ12" s="1896"/>
      <c r="AK12" s="1896"/>
      <c r="AL12" s="1896"/>
      <c r="AM12" s="1896"/>
      <c r="AN12" s="1894"/>
      <c r="AO12" s="1915"/>
      <c r="AP12" s="1915"/>
      <c r="AQ12" s="1915"/>
      <c r="AR12" s="1915"/>
      <c r="AS12" s="1915"/>
      <c r="AT12" s="1915"/>
      <c r="AU12" s="1915"/>
      <c r="AV12" s="2"/>
      <c r="AW12" s="2"/>
      <c r="AX12" s="173"/>
    </row>
    <row r="13" spans="1:54" s="46" customFormat="1" ht="28.5" customHeight="1">
      <c r="C13" s="1859"/>
      <c r="D13" s="1862"/>
      <c r="E13" s="1865"/>
      <c r="F13" s="1868"/>
      <c r="G13" s="1917"/>
      <c r="H13" s="1917"/>
      <c r="I13" s="1875"/>
      <c r="J13" s="1919"/>
      <c r="K13" s="1922"/>
      <c r="L13" s="645"/>
      <c r="M13" s="646"/>
      <c r="N13" s="647"/>
      <c r="O13" s="648"/>
      <c r="P13" s="1904"/>
      <c r="Q13" s="1556"/>
      <c r="R13" s="1924"/>
      <c r="S13" s="1928"/>
      <c r="U13" s="2"/>
      <c r="V13" s="1886"/>
      <c r="X13" s="2"/>
      <c r="Y13" s="1896"/>
      <c r="Z13" s="1896"/>
      <c r="AA13" s="1896"/>
      <c r="AB13" s="1896"/>
      <c r="AC13" s="1896"/>
      <c r="AD13" s="1896"/>
      <c r="AE13" s="1896"/>
      <c r="AF13" s="1896"/>
      <c r="AG13" s="1896"/>
      <c r="AH13" s="1896"/>
      <c r="AI13" s="1896"/>
      <c r="AJ13" s="1896"/>
      <c r="AK13" s="1896"/>
      <c r="AL13" s="1896"/>
      <c r="AM13" s="1896"/>
      <c r="AN13" s="217" t="s">
        <v>295</v>
      </c>
      <c r="AO13" s="385">
        <f t="shared" ref="AO13:AT13" si="0">SUM(AO14:AO15)</f>
        <v>0</v>
      </c>
      <c r="AP13" s="385">
        <f t="shared" si="0"/>
        <v>0</v>
      </c>
      <c r="AQ13" s="385">
        <f>SUM(AQ14:AQ15)</f>
        <v>0</v>
      </c>
      <c r="AR13" s="385">
        <f t="shared" si="0"/>
        <v>0</v>
      </c>
      <c r="AS13" s="385">
        <f t="shared" si="0"/>
        <v>0</v>
      </c>
      <c r="AT13" s="385">
        <f t="shared" si="0"/>
        <v>0</v>
      </c>
      <c r="AU13" s="649">
        <f>ROUND(SUM(AS13:AT13),)</f>
        <v>0</v>
      </c>
      <c r="AV13" s="2"/>
      <c r="AW13" s="2"/>
      <c r="AX13" s="173"/>
    </row>
    <row r="14" spans="1:54" s="46" customFormat="1" ht="28.5" customHeight="1">
      <c r="C14" s="1859"/>
      <c r="D14" s="1862"/>
      <c r="E14" s="1865"/>
      <c r="F14" s="1868"/>
      <c r="G14" s="1917"/>
      <c r="H14" s="1917"/>
      <c r="I14" s="1875"/>
      <c r="J14" s="1920"/>
      <c r="K14" s="1922"/>
      <c r="L14" s="645"/>
      <c r="M14" s="646"/>
      <c r="N14" s="647"/>
      <c r="O14" s="648"/>
      <c r="P14" s="1904"/>
      <c r="Q14" s="1556"/>
      <c r="R14" s="1925"/>
      <c r="S14" s="1928"/>
      <c r="U14" s="2"/>
      <c r="V14" s="1886"/>
      <c r="X14" s="2"/>
      <c r="Y14" s="1897"/>
      <c r="Z14" s="1897"/>
      <c r="AA14" s="1897"/>
      <c r="AB14" s="1897"/>
      <c r="AC14" s="1897"/>
      <c r="AD14" s="1897"/>
      <c r="AE14" s="1897"/>
      <c r="AF14" s="1897"/>
      <c r="AG14" s="1897"/>
      <c r="AH14" s="1897"/>
      <c r="AI14" s="1897"/>
      <c r="AJ14" s="1897"/>
      <c r="AK14" s="1897"/>
      <c r="AL14" s="1897"/>
      <c r="AM14" s="1897"/>
      <c r="AN14" s="650" t="s">
        <v>537</v>
      </c>
      <c r="AO14" s="649">
        <f>SUM(SUMIFS(AO16:AO115,$E$16:$E$115,"&lt;&gt;",$E$16:$E$115,"&lt;&gt;[15]コンクリートけい畔",$E$16:$E$115,"&lt;&gt;[16]暗きょ排水施設",$E$16:$E$115,"&lt;&gt;[17]客土",$E$16:$E$115,"&lt;&gt;[19]用水路"))</f>
        <v>0</v>
      </c>
      <c r="AP14" s="649">
        <f>SUM(SUMIFS(AP16:AP115,$E$16:$E$115,"&lt;&gt;",$E$16:$E$115,"&lt;&gt;[15]コンクリートけい畔",$E$16:$E$115,"&lt;&gt;[16]暗きょ排水施設",$E$16:$E$115,"&lt;&gt;[17]客土",$E$16:$E$115,"&lt;&gt;[19]用水路"))</f>
        <v>0</v>
      </c>
      <c r="AQ14" s="649">
        <f>SUM(SUMIFS(AQ16:AQ115,$E$16:$E$115,"&lt;&gt;",$E$16:$E$115,"&lt;&gt;[15]コンクリートけい畔",$E$16:$E$115,"&lt;&gt;[16]暗きょ排水施設",$E$16:$E$115,"&lt;&gt;[17]客土",$E$16:$E$115,"&lt;&gt;[19]用水路"))</f>
        <v>0</v>
      </c>
      <c r="AR14" s="649">
        <f>ROUND(SUM(SUMIFS(AR16:AR115,$E$16:$E$115,"&lt;&gt;",$E$16:$E$115,"&lt;&gt;[15]コンクリートけい畔",$E$16:$E$115,"&lt;&gt;[16]暗きょ排水施設",$E$16:$E$115,"&lt;&gt;[17]客土",$E$16:$E$115,"&lt;&gt;[19]用水路")),)</f>
        <v>0</v>
      </c>
      <c r="AS14" s="649">
        <f>SUM(SUMIFS(AS16:AS115,$E$16:$E$115,"&lt;&gt;",$E$16:$E$115,"&lt;&gt;[15]コンクリートけい畔",$E$16:$E$115,"&lt;&gt;[16]暗きょ排水施設",$E$16:$E$115,"&lt;&gt;[17]客土",$E$16:$E$115,"&lt;&gt;[19]用水路"))</f>
        <v>0</v>
      </c>
      <c r="AT14" s="649">
        <f>SUM(SUMIFS(AT16:AT115,$E$16:$E$115,"&lt;&gt;",$E$16:$E$115,"&lt;&gt;[15]コンクリートけい畔",$E$16:$E$115,"&lt;&gt;[16]暗きょ排水施設",$E$16:$E$115,"&lt;&gt;[17]客土",$E$16:$E$115,"&lt;&gt;[19]用水路"))</f>
        <v>0</v>
      </c>
      <c r="AU14" s="651"/>
      <c r="AV14" s="2"/>
      <c r="AW14" s="2"/>
      <c r="AX14" s="173"/>
    </row>
    <row r="15" spans="1:54" s="46" customFormat="1" ht="29.25" customHeight="1" thickBot="1">
      <c r="C15" s="1860"/>
      <c r="D15" s="1863"/>
      <c r="E15" s="1866"/>
      <c r="F15" s="1869"/>
      <c r="G15" s="1917"/>
      <c r="H15" s="1917"/>
      <c r="I15" s="1876"/>
      <c r="J15" s="1920"/>
      <c r="K15" s="1922"/>
      <c r="L15" s="645"/>
      <c r="M15" s="646"/>
      <c r="N15" s="647"/>
      <c r="O15" s="648"/>
      <c r="P15" s="1905"/>
      <c r="Q15" s="1907"/>
      <c r="R15" s="1926"/>
      <c r="S15" s="1929"/>
      <c r="U15" s="2"/>
      <c r="V15" s="1887"/>
      <c r="X15" s="2"/>
      <c r="Y15" s="652"/>
      <c r="Z15" s="652"/>
      <c r="AA15" s="652"/>
      <c r="AB15" s="652"/>
      <c r="AC15" s="652"/>
      <c r="AD15" s="652"/>
      <c r="AE15" s="652"/>
      <c r="AF15" s="652"/>
      <c r="AG15" s="652"/>
      <c r="AH15" s="652"/>
      <c r="AI15" s="652"/>
      <c r="AJ15" s="652"/>
      <c r="AK15" s="652"/>
      <c r="AL15" s="652"/>
      <c r="AM15" s="652"/>
      <c r="AN15" s="653" t="s">
        <v>538</v>
      </c>
      <c r="AO15" s="654">
        <f>SUM(SUMIFS(AO16:AO115,$E$16:$E$115,{"[15]コンクリートけい畔","[16]暗きょ排水施設","[17]客土","[19]用水路"}))</f>
        <v>0</v>
      </c>
      <c r="AP15" s="654">
        <f>SUM(SUMIFS(AP16:AP115,$E$16:$E$115,{"[15]コンクリートけい畔","[16]暗きょ排水施設","[17]客土","[19]用水路"}))</f>
        <v>0</v>
      </c>
      <c r="AQ15" s="654">
        <f>SUM(SUMIFS(AQ16:AQ115,$E$16:$E$115,{"[15]コンクリートけい畔","[16]暗きょ排水施設","[17]客土","[19]用水路"}))</f>
        <v>0</v>
      </c>
      <c r="AR15" s="654">
        <f>ROUND(SUM(SUMIFS(AR16:AR115,$E$16:$E$115,{"[15]コンクリートけい畔","[16]暗きょ排水施設","[17]客土","[19]用水路"})),)</f>
        <v>0</v>
      </c>
      <c r="AS15" s="654">
        <f>SUM(SUMIFS(AS16:AS115,$E$16:$E$115,{"[15]コンクリートけい畔","[16]暗きょ排水施設","[17]客土","[19]用水路"}))</f>
        <v>0</v>
      </c>
      <c r="AT15" s="654">
        <f>SUM(SUMIFS(AT16:AT115,$E$16:$E$115,{"[15]コンクリートけい畔","[16]暗きょ排水施設","[17]客土","[19]用水路"}))</f>
        <v>0</v>
      </c>
      <c r="AU15" s="655"/>
      <c r="AV15" s="2"/>
      <c r="AW15" s="2"/>
      <c r="AX15" s="173"/>
    </row>
    <row r="16" spans="1:54" s="46" customFormat="1" ht="30" customHeight="1" thickTop="1">
      <c r="C16" s="656">
        <v>1</v>
      </c>
      <c r="D16" s="657"/>
      <c r="E16" s="658"/>
      <c r="F16" s="659"/>
      <c r="G16" s="1912"/>
      <c r="H16" s="1913"/>
      <c r="I16" s="660"/>
      <c r="J16" s="661"/>
      <c r="K16" s="662"/>
      <c r="L16" s="663"/>
      <c r="M16" s="664"/>
      <c r="N16" s="665"/>
      <c r="O16" s="665"/>
      <c r="P16" s="1093"/>
      <c r="Q16" s="666"/>
      <c r="R16" s="667"/>
      <c r="S16" s="665"/>
      <c r="T16" s="668"/>
      <c r="U16" s="2"/>
      <c r="V16" s="1104"/>
      <c r="W16" s="669"/>
      <c r="X16" s="2"/>
      <c r="Y16" s="1072">
        <f>IF(AND(E16&gt;0,F16&gt;0),"["&amp;RIGHT(LEFT(E16,3),2)&amp;RIGHT(LEFT(F16,FIND("]",F16)-1),IF(FIND("]",F16)-1&gt;2,2,1))&amp;"]",)</f>
        <v>0</v>
      </c>
      <c r="Z16" s="670">
        <f>IF(Y16=0,,IF(L16+M16&lt;100000,1,0))</f>
        <v>0</v>
      </c>
      <c r="AA16" s="670">
        <f>IF(Y16=0,,IF(AND(Z16=0,L16+M16&lt;200000),1,))</f>
        <v>0</v>
      </c>
      <c r="AB16" s="670">
        <f>IF(Y16=0,,VLOOKUP(Y16,リスト!CX:CY,2,0))</f>
        <v>0</v>
      </c>
      <c r="AC16" s="670">
        <f t="shared" ref="AC16:AC79" si="1">IF(AA16=1,3,
IF(OR(G16="[2]中古",
F16="[8]その他",
E16="[13]その他の建築物",
AND(OR(E16="[14]稲架",E16="[15]コンクリートけい畔",E16="[16]暗きょ排水施設",E16="[19]用水路",E16="[25]たい肥盤"),F16="[7]その他")),
MIN(AB16,I16),AB16))</f>
        <v>0</v>
      </c>
      <c r="AD16" s="671">
        <f>IF(AC16=0,,VLOOKUP(AC16,リスト!DK:DL,2,0))</f>
        <v>0</v>
      </c>
      <c r="AE16" s="670">
        <f>IF(Y16=0,,
IF(OR(リスト!$C$21="小麦",リスト!$C$21="二条大麦",リスト!$C$21="六条大麦",リスト!$C$21="はだか麦",リスト!$C$21="なたね"),IF(K16&lt;9,調査年-J16,調査年-J16-1),
IF(リスト!$C$21="さとうきび",IF(K16&gt;=4,調査年-J16,調査年-J16+1),
調査年-J16)))</f>
        <v>0</v>
      </c>
      <c r="AF16" s="385">
        <f t="shared" ref="AF16:AF47" si="2">IF(OR(Y16=0,Z16=1),,
IF(AND(AC16&gt;0,AE16&lt;AC16,AG16&lt;=ROUND((L16-1)*AD16,0)),ROUND(AG16*IF(R16="[2]部分取り壊し",IFERROR(1-(V16%),1),1),0),
IF(AND(AC16&gt;0,AE16&lt;AC16),ROUND((L16-1)*AD16*IF(R16="[2]部分取り壊し",IFERROR(1-(V16%),1),1),0),)))</f>
        <v>0</v>
      </c>
      <c r="AG16" s="672">
        <f t="shared" ref="AG16:AG79" si="3">IF(OR(Y16=0,Z16=1),,
IF(AND(AC16&gt;0,AE16&lt;AC16),L16-ROUND((L16-1)*AD16*AE16,0),1
))</f>
        <v>0</v>
      </c>
      <c r="AH16" s="672">
        <f t="shared" ref="AH16:AH79" si="4">IF(OR(Y16=0,Z16=1),,
IF(R16=0,AF16,
IF(R16="[1]取り壊し",SUM(AG16,S16),
IF(R16="[3]売　却",AG16-S16,
IF(AND(R16="[2]部分取り壊し",AG16&gt;1),SUM(ROUND(AG16*(V16%),0),S16,AF16),
IF(AND(S16=0,AF16=0),,SUM(S16,AF16)))))))</f>
        <v>0</v>
      </c>
      <c r="AI16" s="672">
        <f t="shared" ref="AI16:AI79" si="5">IF(AND(AH16=0,AF16=0),,
IF(OR(R16="[1]取り壊し",R16="[2]部分取り壊し",R16="[3]売　却"),SUM(AH16)-SUM(AF16),))</f>
        <v>0</v>
      </c>
      <c r="AJ16" s="672">
        <f t="shared" ref="AJ16:AJ79" si="6">IF(OR(Z16=1,M16=0),,
IF(AND(AC16&gt;0,M16&gt;0,AE16&lt;AC16),M16-ROUND(M16*AD16*AE16,0),))</f>
        <v>0</v>
      </c>
      <c r="AK16" s="672">
        <f>IF(OR(Y16=0,Z16=1),IF(AND(Z16=1,AE16=0),M16,),
IF(AND(AC16&gt;0,AE16&lt;AC16,SUM(AJ16)&gt;0,AJ16&lt;=ROUND(M16*AD16,0)),ROUND(AJ16*IF(R16="[2]部分取り壊し",IFERROR(1-(V16%),1),1),),
IF(AND(AC16&gt;0,AE16&lt;AC16,SUM(M16)&gt;0),ROUND(M16*AD16*IF(R16="[2]部分取り壊し",IFERROR(1-(V16%),1),1),0),)))</f>
        <v>0</v>
      </c>
      <c r="AL16" s="672">
        <f t="shared" ref="AL16:AL79" si="7">IF(AND(L16&gt;0,R16="[2]部分取り壊し"),ROUND(L16*(1-V16%),0),)</f>
        <v>0</v>
      </c>
      <c r="AM16" s="672">
        <f t="shared" ref="AM16:AM79" si="8">IF(AND(M16&gt;0,R16="[2]部分取り壊し"),ROUND(M16*(1-V16%),0),)</f>
        <v>0</v>
      </c>
      <c r="AN16" s="673"/>
      <c r="AO16" s="672">
        <f>IF(OR(P16=0,AG16=0),,
IF(OR(リスト!$C$21="小麦",リスト!$C$21="二条大麦",リスト!$C$21="六条大麦",リスト!$C$21="はだか麦",リスト!$C$21="なたね"),IF(OR(AND(K16&lt;9,J16=調査年),AND(K16&gt;=9,J16=調査年-1)),,ROUND(AG16*P16%,0)),
IF(リスト!$C$21="さとうきび",IF(OR(AND(K16&gt;=4,J16=調査年),AND(K16&lt;4,J16=調査年+1)),,ROUND(AG16*P16%,0)),
IF(J16=調査年,,ROUND(AG16*P16%,0)))))</f>
        <v>0</v>
      </c>
      <c r="AP16" s="672">
        <f t="shared" ref="AP16:AP79" si="9">IF(P16=0,,IF(AH16=0,,ROUND(AH16*P16%,0)))</f>
        <v>0</v>
      </c>
      <c r="AQ16" s="672">
        <f t="shared" ref="AQ16:AQ79" si="10">IF(P16=0,,IF(AI16=0,,ROUND(AI16*P16%,0)))</f>
        <v>0</v>
      </c>
      <c r="AR16" s="672">
        <f t="shared" ref="AR16:AR79" si="11">IF(P16=0,,IF(AG16=0,,ROUND(AG16*P16%,0)))</f>
        <v>0</v>
      </c>
      <c r="AS16" s="385">
        <f>IF(P16=0,,
SUM(
IF(OR(リスト!$C$21="小麦",リスト!$C$21="二条大麦",リスト!$C$21="六条大麦",リスト!$C$21="はだか麦",リスト!$C$21="なたね"),IF(OR(AND(Z16=1,K16&lt;9,J16=調査年),AND(Z16=1,K16&gt;=9,J16=調査年-1)),ROUND(L16*P16%,0),),
IF(リスト!$C$21="さとうきび",IF(OR(AND(Z16=1,K16&gt;=4,J16=調査年),AND(Z16=1,K16&lt;4,J16=調査年+1)),ROUND(L16*P16%,0),),
IF(AND(Z16=1,J16=調査年),ROUND(L16*P16%,0),))),
ROUND(N16*P16%,0),
ROUND(SUM(AK16)*P16%,0)
))</f>
        <v>0</v>
      </c>
      <c r="AT16" s="385">
        <f t="shared" ref="AT16:AT79" si="12">IF(P16=0,,IF(O16=0,,ROUND(O16*P16%,0)))</f>
        <v>0</v>
      </c>
      <c r="AU16" s="672" t="str">
        <f t="shared" ref="AU16:AU79" si="13">IF(OR(AS16&gt;0,AT16&gt;0),SUM(AS16:AT16),"")</f>
        <v/>
      </c>
      <c r="AV16" s="173"/>
      <c r="AW16" s="173"/>
      <c r="AX16" s="173"/>
      <c r="AY16" s="173"/>
      <c r="AZ16" s="173"/>
      <c r="BA16" s="2"/>
    </row>
    <row r="17" spans="3:52" s="46" customFormat="1" ht="30" customHeight="1">
      <c r="C17" s="674">
        <v>2</v>
      </c>
      <c r="D17" s="675"/>
      <c r="E17" s="676"/>
      <c r="F17" s="677"/>
      <c r="G17" s="1899"/>
      <c r="H17" s="1900"/>
      <c r="I17" s="678"/>
      <c r="J17" s="679"/>
      <c r="K17" s="680"/>
      <c r="L17" s="681"/>
      <c r="M17" s="681"/>
      <c r="N17" s="681"/>
      <c r="O17" s="681"/>
      <c r="P17" s="1094"/>
      <c r="Q17" s="682"/>
      <c r="R17" s="683"/>
      <c r="S17" s="681"/>
      <c r="T17" s="668"/>
      <c r="U17" s="2"/>
      <c r="V17" s="1105"/>
      <c r="W17" s="669"/>
      <c r="X17" s="2"/>
      <c r="Y17" s="684">
        <f>IF(AND(E17&gt;0,F17&gt;0),"["&amp;RIGHT(LEFT(E17,3),2)&amp;RIGHT(LEFT(F17,FIND("]",F17)-1),IF(FIND("]",F17)-1&gt;2,2,1))&amp;"]",)</f>
        <v>0</v>
      </c>
      <c r="Z17" s="670">
        <f>IF(Y17=0,,IF(L17+M17&lt;100000,1,0))</f>
        <v>0</v>
      </c>
      <c r="AA17" s="670">
        <f>IF(Y17=0,,IF(AND(Z17=0,L17+M17&lt;200000),1,))</f>
        <v>0</v>
      </c>
      <c r="AB17" s="684">
        <f>IF(Y17=0,,VLOOKUP(Y17,リスト!CX:CY,2,0))</f>
        <v>0</v>
      </c>
      <c r="AC17" s="684">
        <f t="shared" si="1"/>
        <v>0</v>
      </c>
      <c r="AD17" s="685">
        <f>IF(AC17=0,,VLOOKUP(AC17,リスト!DK:DL,2,0))</f>
        <v>0</v>
      </c>
      <c r="AE17" s="670">
        <f>IF(Y17=0,,
IF(OR(リスト!$C$21="小麦",リスト!$C$21="二条大麦",リスト!$C$21="六条大麦",リスト!$C$21="はだか麦",リスト!$C$21="なたね"),IF(K17&lt;9,調査年-J17,調査年-J17-1),
IF(リスト!$C$21="さとうきび",IF(K17&gt;=4,調査年-J17,調査年-J17+1),
調査年-J17)))</f>
        <v>0</v>
      </c>
      <c r="AF17" s="385">
        <f t="shared" si="2"/>
        <v>0</v>
      </c>
      <c r="AG17" s="385">
        <f t="shared" si="3"/>
        <v>0</v>
      </c>
      <c r="AH17" s="385">
        <f t="shared" si="4"/>
        <v>0</v>
      </c>
      <c r="AI17" s="385">
        <f t="shared" si="5"/>
        <v>0</v>
      </c>
      <c r="AJ17" s="385">
        <f t="shared" si="6"/>
        <v>0</v>
      </c>
      <c r="AK17" s="385">
        <f t="shared" ref="AK17:AK80" si="14">IF(OR(Y17=0,Z17=1),IF(AND(Z17=1,AE17=0),M17,),
IF(AND(AC17&gt;0,AE17&lt;AC17,SUM(AJ17)&gt;0,AJ17&lt;=ROUND(M17*AD17,0)),ROUND(AJ17*IF(R17="[2]部分取り壊し",IFERROR(1-(V17%),1),1),),
IF(AND(AC17&gt;0,AE17&lt;AC17,SUM(M17)&gt;0),ROUND(M17*AD17*IF(R17="[2]部分取り壊し",IFERROR(1-(V17%),1),1),0),)))</f>
        <v>0</v>
      </c>
      <c r="AL17" s="385">
        <f t="shared" si="7"/>
        <v>0</v>
      </c>
      <c r="AM17" s="385">
        <f t="shared" si="8"/>
        <v>0</v>
      </c>
      <c r="AN17" s="394"/>
      <c r="AO17" s="672">
        <f>IF(OR(P17=0,AG17=0),,
IF(OR(リスト!$C$21="小麦",リスト!$C$21="二条大麦",リスト!$C$21="六条大麦",リスト!$C$21="はだか麦",リスト!$C$21="なたね"),IF(OR(AND(K17&lt;9,J17=調査年),AND(K17&gt;=9,J17=調査年-1)),,ROUND(AG17*P17%,0)),
IF(リスト!$C$21="さとうきび",IF(OR(AND(K17&gt;=4,J17=調査年),AND(K17&lt;4,J17=調査年+1)),,ROUND(AG17*P17%,0)),
IF(J17=調査年,,ROUND(AG17*P17%,0)))))</f>
        <v>0</v>
      </c>
      <c r="AP17" s="672">
        <f t="shared" si="9"/>
        <v>0</v>
      </c>
      <c r="AQ17" s="385">
        <f t="shared" si="10"/>
        <v>0</v>
      </c>
      <c r="AR17" s="672">
        <f t="shared" si="11"/>
        <v>0</v>
      </c>
      <c r="AS17" s="385">
        <f>IF(P17=0,,
SUM(
IF(OR(リスト!$C$21="小麦",リスト!$C$21="二条大麦",リスト!$C$21="六条大麦",リスト!$C$21="はだか麦",リスト!$C$21="なたね"),IF(OR(AND(Z17=1,K17&lt;9,J17=調査年),AND(Z17=1,K17&gt;=9,J17=調査年-1)),ROUND(L17*P17%,0),),
IF(リスト!$C$21="さとうきび",IF(OR(AND(Z17=1,K17&gt;=4,J17=調査年),AND(Z17=1,K17&lt;4,J17=調査年+1)),ROUND(L17*P17%,0),),
IF(AND(Z17=1,J17=調査年),ROUND(L17*P17%,0),))),
ROUND(N17*P17%,0),
ROUND(SUM(AK17)*P17%,0)
))</f>
        <v>0</v>
      </c>
      <c r="AT17" s="385">
        <f t="shared" si="12"/>
        <v>0</v>
      </c>
      <c r="AU17" s="385" t="str">
        <f t="shared" si="13"/>
        <v/>
      </c>
      <c r="AV17" s="686"/>
      <c r="AW17" s="686"/>
      <c r="AX17" s="686"/>
      <c r="AY17" s="686"/>
      <c r="AZ17" s="686"/>
    </row>
    <row r="18" spans="3:52" s="46" customFormat="1" ht="30" customHeight="1">
      <c r="C18" s="674">
        <v>3</v>
      </c>
      <c r="D18" s="687"/>
      <c r="E18" s="676"/>
      <c r="F18" s="677"/>
      <c r="G18" s="1899"/>
      <c r="H18" s="1900"/>
      <c r="I18" s="678"/>
      <c r="J18" s="679"/>
      <c r="K18" s="680"/>
      <c r="L18" s="681"/>
      <c r="M18" s="681"/>
      <c r="N18" s="681"/>
      <c r="O18" s="681"/>
      <c r="P18" s="1094"/>
      <c r="Q18" s="682"/>
      <c r="R18" s="683"/>
      <c r="S18" s="681"/>
      <c r="T18" s="668"/>
      <c r="U18" s="2"/>
      <c r="V18" s="1105"/>
      <c r="W18" s="669"/>
      <c r="X18" s="2"/>
      <c r="Y18" s="684">
        <f t="shared" ref="Y18:Y81" si="15">IF(AND(E18&gt;0,F18&gt;0),"["&amp;RIGHT(LEFT(E18,3),2)&amp;RIGHT(LEFT(F18,FIND("]",F18)-1),IF(FIND("]",F18)-1&gt;2,2,1))&amp;"]",)</f>
        <v>0</v>
      </c>
      <c r="Z18" s="670">
        <f t="shared" ref="Z18:Z81" si="16">IF(Y18=0,,IF(L18+M18&lt;100000,1,0))</f>
        <v>0</v>
      </c>
      <c r="AA18" s="670">
        <f t="shared" ref="AA18:AA81" si="17">IF(Y18=0,,IF(AND(Z18=0,L18+M18&lt;200000),1,))</f>
        <v>0</v>
      </c>
      <c r="AB18" s="684">
        <f>IF(Y18=0,,VLOOKUP(Y18,リスト!CX:CY,2,0))</f>
        <v>0</v>
      </c>
      <c r="AC18" s="684">
        <f t="shared" si="1"/>
        <v>0</v>
      </c>
      <c r="AD18" s="685">
        <f>IF(AC18=0,,VLOOKUP(AC18,リスト!DK:DL,2,0))</f>
        <v>0</v>
      </c>
      <c r="AE18" s="670">
        <f>IF(Y18=0,,
IF(OR(リスト!$C$21="小麦",リスト!$C$21="二条大麦",リスト!$C$21="六条大麦",リスト!$C$21="はだか麦",リスト!$C$21="なたね"),IF(K18&lt;9,調査年-J18,調査年-J18-1),
IF(リスト!$C$21="さとうきび",IF(K18&gt;=4,調査年-J18,調査年-J18+1),
調査年-J18)))</f>
        <v>0</v>
      </c>
      <c r="AF18" s="385">
        <f t="shared" si="2"/>
        <v>0</v>
      </c>
      <c r="AG18" s="385">
        <f t="shared" si="3"/>
        <v>0</v>
      </c>
      <c r="AH18" s="385">
        <f t="shared" si="4"/>
        <v>0</v>
      </c>
      <c r="AI18" s="385">
        <f t="shared" si="5"/>
        <v>0</v>
      </c>
      <c r="AJ18" s="385">
        <f t="shared" si="6"/>
        <v>0</v>
      </c>
      <c r="AK18" s="385">
        <f t="shared" si="14"/>
        <v>0</v>
      </c>
      <c r="AL18" s="385">
        <f t="shared" si="7"/>
        <v>0</v>
      </c>
      <c r="AM18" s="385">
        <f t="shared" si="8"/>
        <v>0</v>
      </c>
      <c r="AN18" s="394"/>
      <c r="AO18" s="672">
        <f>IF(OR(P18=0,AG18=0),,
IF(OR(リスト!$C$21="小麦",リスト!$C$21="二条大麦",リスト!$C$21="六条大麦",リスト!$C$21="はだか麦",リスト!$C$21="なたね"),IF(OR(AND(K18&lt;9,J18=調査年),AND(K18&gt;=9,J18=調査年-1)),,ROUND(AG18*P18%,0)),
IF(リスト!$C$21="さとうきび",IF(OR(AND(K18&gt;=4,J18=調査年),AND(K18&lt;4,J18=調査年+1)),,ROUND(AG18*P18%,0)),
IF(J18=調査年,,ROUND(AG18*P18%,0)))))</f>
        <v>0</v>
      </c>
      <c r="AP18" s="672">
        <f t="shared" si="9"/>
        <v>0</v>
      </c>
      <c r="AQ18" s="385">
        <f t="shared" si="10"/>
        <v>0</v>
      </c>
      <c r="AR18" s="672">
        <f t="shared" si="11"/>
        <v>0</v>
      </c>
      <c r="AS18" s="385">
        <f>IF(P18=0,,
SUM(
IF(OR(リスト!$C$21="小麦",リスト!$C$21="二条大麦",リスト!$C$21="六条大麦",リスト!$C$21="はだか麦",リスト!$C$21="なたね"),IF(OR(AND(Z18=1,K18&lt;9,J18=調査年),AND(Z18=1,K18&gt;=9,J18=調査年-1)),ROUND(L18*P18%,0),),
IF(リスト!$C$21="さとうきび",IF(OR(AND(Z18=1,K18&gt;=4,J18=調査年),AND(Z18=1,K18&lt;4,J18=調査年+1)),ROUND(L18*P18%,0),),
IF(AND(Z18=1,J18=調査年),ROUND(L18*P18%,0),))),
ROUND(N18*P18%,0),
ROUND(SUM(AK18)*P18%,0)
))</f>
        <v>0</v>
      </c>
      <c r="AT18" s="385">
        <f t="shared" si="12"/>
        <v>0</v>
      </c>
      <c r="AU18" s="385" t="str">
        <f t="shared" si="13"/>
        <v/>
      </c>
      <c r="AV18" s="686"/>
      <c r="AW18" s="686"/>
      <c r="AX18" s="686"/>
      <c r="AY18" s="686"/>
      <c r="AZ18" s="686"/>
    </row>
    <row r="19" spans="3:52" s="46" customFormat="1" ht="30" customHeight="1">
      <c r="C19" s="674">
        <v>4</v>
      </c>
      <c r="D19" s="687"/>
      <c r="E19" s="676"/>
      <c r="F19" s="677"/>
      <c r="G19" s="1899"/>
      <c r="H19" s="1900"/>
      <c r="I19" s="678"/>
      <c r="J19" s="679"/>
      <c r="K19" s="680"/>
      <c r="L19" s="681"/>
      <c r="M19" s="681"/>
      <c r="N19" s="681"/>
      <c r="O19" s="681"/>
      <c r="P19" s="1094"/>
      <c r="Q19" s="682"/>
      <c r="R19" s="683"/>
      <c r="S19" s="681"/>
      <c r="T19" s="668"/>
      <c r="U19" s="2"/>
      <c r="V19" s="1105"/>
      <c r="W19" s="669"/>
      <c r="X19" s="2"/>
      <c r="Y19" s="684">
        <f t="shared" si="15"/>
        <v>0</v>
      </c>
      <c r="Z19" s="670">
        <f t="shared" si="16"/>
        <v>0</v>
      </c>
      <c r="AA19" s="670">
        <f t="shared" si="17"/>
        <v>0</v>
      </c>
      <c r="AB19" s="684">
        <f>IF(Y19=0,,VLOOKUP(Y19,リスト!CX:CY,2,0))</f>
        <v>0</v>
      </c>
      <c r="AC19" s="684">
        <f t="shared" si="1"/>
        <v>0</v>
      </c>
      <c r="AD19" s="685">
        <f>IF(AC19=0,,VLOOKUP(AC19,リスト!DK:DL,2,0))</f>
        <v>0</v>
      </c>
      <c r="AE19" s="670">
        <f>IF(Y19=0,,
IF(OR(リスト!$C$21="小麦",リスト!$C$21="二条大麦",リスト!$C$21="六条大麦",リスト!$C$21="はだか麦",リスト!$C$21="なたね"),IF(K19&lt;9,調査年-J19,調査年-J19-1),
IF(リスト!$C$21="さとうきび",IF(K19&gt;=4,調査年-J19,調査年-J19+1),
調査年-J19)))</f>
        <v>0</v>
      </c>
      <c r="AF19" s="385">
        <f t="shared" si="2"/>
        <v>0</v>
      </c>
      <c r="AG19" s="385">
        <f t="shared" si="3"/>
        <v>0</v>
      </c>
      <c r="AH19" s="385">
        <f t="shared" si="4"/>
        <v>0</v>
      </c>
      <c r="AI19" s="385">
        <f t="shared" si="5"/>
        <v>0</v>
      </c>
      <c r="AJ19" s="385">
        <f t="shared" si="6"/>
        <v>0</v>
      </c>
      <c r="AK19" s="385">
        <f t="shared" si="14"/>
        <v>0</v>
      </c>
      <c r="AL19" s="385">
        <f t="shared" si="7"/>
        <v>0</v>
      </c>
      <c r="AM19" s="385">
        <f t="shared" si="8"/>
        <v>0</v>
      </c>
      <c r="AN19" s="394"/>
      <c r="AO19" s="672">
        <f>IF(OR(P19=0,AG19=0),,
IF(OR(リスト!$C$21="小麦",リスト!$C$21="二条大麦",リスト!$C$21="六条大麦",リスト!$C$21="はだか麦",リスト!$C$21="なたね"),IF(OR(AND(K19&lt;9,J19=調査年),AND(K19&gt;=9,J19=調査年-1)),,ROUND(AG19*P19%,0)),
IF(リスト!$C$21="さとうきび",IF(OR(AND(K19&gt;=4,J19=調査年),AND(K19&lt;4,J19=調査年+1)),,ROUND(AG19*P19%,0)),
IF(J19=調査年,,ROUND(AG19*P19%,0)))))</f>
        <v>0</v>
      </c>
      <c r="AP19" s="672">
        <f t="shared" si="9"/>
        <v>0</v>
      </c>
      <c r="AQ19" s="385">
        <f t="shared" si="10"/>
        <v>0</v>
      </c>
      <c r="AR19" s="672">
        <f t="shared" si="11"/>
        <v>0</v>
      </c>
      <c r="AS19" s="385">
        <f>IF(P19=0,,
SUM(
IF(OR(リスト!$C$21="小麦",リスト!$C$21="二条大麦",リスト!$C$21="六条大麦",リスト!$C$21="はだか麦",リスト!$C$21="なたね"),IF(OR(AND(Z19=1,K19&lt;9,J19=調査年),AND(Z19=1,K19&gt;=9,J19=調査年-1)),ROUND(L19*P19%,0),),
IF(リスト!$C$21="さとうきび",IF(OR(AND(Z19=1,K19&gt;=4,J19=調査年),AND(Z19=1,K19&lt;4,J19=調査年+1)),ROUND(L19*P19%,0),),
IF(AND(Z19=1,J19=調査年),ROUND(L19*P19%,0),))),
ROUND(N19*P19%,0),
ROUND(SUM(AK19)*P19%,0)
))</f>
        <v>0</v>
      </c>
      <c r="AT19" s="385">
        <f t="shared" si="12"/>
        <v>0</v>
      </c>
      <c r="AU19" s="385" t="str">
        <f t="shared" si="13"/>
        <v/>
      </c>
      <c r="AV19" s="686"/>
      <c r="AW19" s="686"/>
      <c r="AX19" s="686"/>
      <c r="AY19" s="686"/>
      <c r="AZ19" s="686"/>
    </row>
    <row r="20" spans="3:52" s="46" customFormat="1" ht="30" customHeight="1">
      <c r="C20" s="674">
        <v>5</v>
      </c>
      <c r="D20" s="687"/>
      <c r="E20" s="676"/>
      <c r="F20" s="677"/>
      <c r="G20" s="1899"/>
      <c r="H20" s="1900"/>
      <c r="I20" s="678"/>
      <c r="J20" s="679"/>
      <c r="K20" s="680"/>
      <c r="L20" s="681"/>
      <c r="M20" s="681"/>
      <c r="N20" s="681"/>
      <c r="O20" s="681"/>
      <c r="P20" s="1094"/>
      <c r="Q20" s="682"/>
      <c r="R20" s="683"/>
      <c r="S20" s="681"/>
      <c r="T20" s="668"/>
      <c r="U20" s="2"/>
      <c r="V20" s="1105"/>
      <c r="W20" s="669"/>
      <c r="X20" s="2"/>
      <c r="Y20" s="684">
        <f t="shared" si="15"/>
        <v>0</v>
      </c>
      <c r="Z20" s="670">
        <f t="shared" si="16"/>
        <v>0</v>
      </c>
      <c r="AA20" s="670">
        <f t="shared" si="17"/>
        <v>0</v>
      </c>
      <c r="AB20" s="684">
        <f>IF(Y20=0,,VLOOKUP(Y20,リスト!CX:CY,2,0))</f>
        <v>0</v>
      </c>
      <c r="AC20" s="684">
        <f t="shared" si="1"/>
        <v>0</v>
      </c>
      <c r="AD20" s="685">
        <f>IF(AC20=0,,VLOOKUP(AC20,リスト!DK:DL,2,0))</f>
        <v>0</v>
      </c>
      <c r="AE20" s="670">
        <f>IF(Y20=0,,
IF(OR(リスト!$C$21="小麦",リスト!$C$21="二条大麦",リスト!$C$21="六条大麦",リスト!$C$21="はだか麦",リスト!$C$21="なたね"),IF(K20&lt;9,調査年-J20,調査年-J20-1),
IF(リスト!$C$21="さとうきび",IF(K20&gt;=4,調査年-J20,調査年-J20+1),
調査年-J20)))</f>
        <v>0</v>
      </c>
      <c r="AF20" s="385">
        <f t="shared" si="2"/>
        <v>0</v>
      </c>
      <c r="AG20" s="385">
        <f t="shared" si="3"/>
        <v>0</v>
      </c>
      <c r="AH20" s="385">
        <f t="shared" si="4"/>
        <v>0</v>
      </c>
      <c r="AI20" s="385">
        <f t="shared" si="5"/>
        <v>0</v>
      </c>
      <c r="AJ20" s="385">
        <f t="shared" si="6"/>
        <v>0</v>
      </c>
      <c r="AK20" s="385">
        <f t="shared" si="14"/>
        <v>0</v>
      </c>
      <c r="AL20" s="385">
        <f t="shared" si="7"/>
        <v>0</v>
      </c>
      <c r="AM20" s="385">
        <f t="shared" si="8"/>
        <v>0</v>
      </c>
      <c r="AN20" s="394"/>
      <c r="AO20" s="672">
        <f>IF(OR(P20=0,AG20=0),,
IF(OR(リスト!$C$21="小麦",リスト!$C$21="二条大麦",リスト!$C$21="六条大麦",リスト!$C$21="はだか麦",リスト!$C$21="なたね"),IF(OR(AND(K20&lt;9,J20=調査年),AND(K20&gt;=9,J20=調査年-1)),,ROUND(AG20*P20%,0)),
IF(リスト!$C$21="さとうきび",IF(OR(AND(K20&gt;=4,J20=調査年),AND(K20&lt;4,J20=調査年+1)),,ROUND(AG20*P20%,0)),
IF(J20=調査年,,ROUND(AG20*P20%,0)))))</f>
        <v>0</v>
      </c>
      <c r="AP20" s="672">
        <f t="shared" si="9"/>
        <v>0</v>
      </c>
      <c r="AQ20" s="385">
        <f t="shared" si="10"/>
        <v>0</v>
      </c>
      <c r="AR20" s="672">
        <f t="shared" si="11"/>
        <v>0</v>
      </c>
      <c r="AS20" s="385">
        <f>IF(P20=0,,
SUM(
IF(OR(リスト!$C$21="小麦",リスト!$C$21="二条大麦",リスト!$C$21="六条大麦",リスト!$C$21="はだか麦",リスト!$C$21="なたね"),IF(OR(AND(Z20=1,K20&lt;9,J20=調査年),AND(Z20=1,K20&gt;=9,J20=調査年-1)),ROUND(L20*P20%,0),),
IF(リスト!$C$21="さとうきび",IF(OR(AND(Z20=1,K20&gt;=4,J20=調査年),AND(Z20=1,K20&lt;4,J20=調査年+1)),ROUND(L20*P20%,0),),
IF(AND(Z20=1,J20=調査年),ROUND(L20*P20%,0),))),
ROUND(N20*P20%,0),
ROUND(SUM(AK20)*P20%,0)
))</f>
        <v>0</v>
      </c>
      <c r="AT20" s="385">
        <f t="shared" si="12"/>
        <v>0</v>
      </c>
      <c r="AU20" s="385" t="str">
        <f t="shared" si="13"/>
        <v/>
      </c>
      <c r="AV20" s="686"/>
      <c r="AW20" s="686"/>
      <c r="AX20" s="686"/>
      <c r="AY20" s="686"/>
      <c r="AZ20" s="686"/>
    </row>
    <row r="21" spans="3:52" s="46" customFormat="1" ht="30" customHeight="1">
      <c r="C21" s="674">
        <v>6</v>
      </c>
      <c r="D21" s="687"/>
      <c r="E21" s="676"/>
      <c r="F21" s="677"/>
      <c r="G21" s="1899"/>
      <c r="H21" s="1900"/>
      <c r="I21" s="678"/>
      <c r="J21" s="679"/>
      <c r="K21" s="680"/>
      <c r="L21" s="681"/>
      <c r="M21" s="681"/>
      <c r="N21" s="681"/>
      <c r="O21" s="681"/>
      <c r="P21" s="1094"/>
      <c r="Q21" s="682"/>
      <c r="R21" s="683"/>
      <c r="S21" s="681"/>
      <c r="T21" s="668"/>
      <c r="U21" s="2"/>
      <c r="V21" s="1105"/>
      <c r="W21" s="669"/>
      <c r="X21" s="2"/>
      <c r="Y21" s="684">
        <f t="shared" si="15"/>
        <v>0</v>
      </c>
      <c r="Z21" s="670">
        <f t="shared" si="16"/>
        <v>0</v>
      </c>
      <c r="AA21" s="670">
        <f t="shared" si="17"/>
        <v>0</v>
      </c>
      <c r="AB21" s="684">
        <f>IF(Y21=0,,VLOOKUP(Y21,リスト!CX:CY,2,0))</f>
        <v>0</v>
      </c>
      <c r="AC21" s="684">
        <f t="shared" si="1"/>
        <v>0</v>
      </c>
      <c r="AD21" s="685">
        <f>IF(AC21=0,,VLOOKUP(AC21,リスト!DK:DL,2,0))</f>
        <v>0</v>
      </c>
      <c r="AE21" s="670">
        <f>IF(Y21=0,,
IF(OR(リスト!$C$21="小麦",リスト!$C$21="二条大麦",リスト!$C$21="六条大麦",リスト!$C$21="はだか麦",リスト!$C$21="なたね"),IF(K21&lt;9,調査年-J21,調査年-J21-1),
IF(リスト!$C$21="さとうきび",IF(K21&gt;=4,調査年-J21,調査年-J21+1),
調査年-J21)))</f>
        <v>0</v>
      </c>
      <c r="AF21" s="385">
        <f t="shared" si="2"/>
        <v>0</v>
      </c>
      <c r="AG21" s="385">
        <f t="shared" si="3"/>
        <v>0</v>
      </c>
      <c r="AH21" s="385">
        <f t="shared" si="4"/>
        <v>0</v>
      </c>
      <c r="AI21" s="385">
        <f t="shared" si="5"/>
        <v>0</v>
      </c>
      <c r="AJ21" s="385">
        <f t="shared" si="6"/>
        <v>0</v>
      </c>
      <c r="AK21" s="385">
        <f t="shared" si="14"/>
        <v>0</v>
      </c>
      <c r="AL21" s="385">
        <f t="shared" si="7"/>
        <v>0</v>
      </c>
      <c r="AM21" s="385">
        <f t="shared" si="8"/>
        <v>0</v>
      </c>
      <c r="AN21" s="394"/>
      <c r="AO21" s="672">
        <f>IF(OR(P21=0,AG21=0),,
IF(OR(リスト!$C$21="小麦",リスト!$C$21="二条大麦",リスト!$C$21="六条大麦",リスト!$C$21="はだか麦",リスト!$C$21="なたね"),IF(OR(AND(K21&lt;9,J21=調査年),AND(K21&gt;=9,J21=調査年-1)),,ROUND(AG21*P21%,0)),
IF(リスト!$C$21="さとうきび",IF(OR(AND(K21&gt;=4,J21=調査年),AND(K21&lt;4,J21=調査年+1)),,ROUND(AG21*P21%,0)),
IF(J21=調査年,,ROUND(AG21*P21%,0)))))</f>
        <v>0</v>
      </c>
      <c r="AP21" s="672">
        <f t="shared" si="9"/>
        <v>0</v>
      </c>
      <c r="AQ21" s="385">
        <f t="shared" si="10"/>
        <v>0</v>
      </c>
      <c r="AR21" s="672">
        <f t="shared" si="11"/>
        <v>0</v>
      </c>
      <c r="AS21" s="385">
        <f>IF(P21=0,,
SUM(
IF(OR(リスト!$C$21="小麦",リスト!$C$21="二条大麦",リスト!$C$21="六条大麦",リスト!$C$21="はだか麦",リスト!$C$21="なたね"),IF(OR(AND(Z21=1,K21&lt;9,J21=調査年),AND(Z21=1,K21&gt;=9,J21=調査年-1)),ROUND(L21*P21%,0),),
IF(リスト!$C$21="さとうきび",IF(OR(AND(Z21=1,K21&gt;=4,J21=調査年),AND(Z21=1,K21&lt;4,J21=調査年+1)),ROUND(L21*P21%,0),),
IF(AND(Z21=1,J21=調査年),ROUND(L21*P21%,0),))),
ROUND(N21*P21%,0),
ROUND(SUM(AK21)*P21%,0)
))</f>
        <v>0</v>
      </c>
      <c r="AT21" s="385">
        <f t="shared" si="12"/>
        <v>0</v>
      </c>
      <c r="AU21" s="385" t="str">
        <f t="shared" si="13"/>
        <v/>
      </c>
      <c r="AV21" s="686"/>
      <c r="AW21" s="686"/>
      <c r="AX21" s="686"/>
      <c r="AY21" s="686"/>
      <c r="AZ21" s="686"/>
    </row>
    <row r="22" spans="3:52" s="46" customFormat="1" ht="30" customHeight="1">
      <c r="C22" s="674">
        <v>7</v>
      </c>
      <c r="D22" s="687"/>
      <c r="E22" s="676"/>
      <c r="F22" s="677"/>
      <c r="G22" s="1899"/>
      <c r="H22" s="1900"/>
      <c r="I22" s="678"/>
      <c r="J22" s="679"/>
      <c r="K22" s="680"/>
      <c r="L22" s="681"/>
      <c r="M22" s="681"/>
      <c r="N22" s="681"/>
      <c r="O22" s="681"/>
      <c r="P22" s="1094"/>
      <c r="Q22" s="682"/>
      <c r="R22" s="683"/>
      <c r="S22" s="681"/>
      <c r="T22" s="668"/>
      <c r="U22" s="2"/>
      <c r="V22" s="1105"/>
      <c r="W22" s="669"/>
      <c r="X22" s="2"/>
      <c r="Y22" s="684">
        <f t="shared" si="15"/>
        <v>0</v>
      </c>
      <c r="Z22" s="670">
        <f t="shared" si="16"/>
        <v>0</v>
      </c>
      <c r="AA22" s="670">
        <f t="shared" si="17"/>
        <v>0</v>
      </c>
      <c r="AB22" s="684">
        <f>IF(Y22=0,,VLOOKUP(Y22,リスト!CX:CY,2,0))</f>
        <v>0</v>
      </c>
      <c r="AC22" s="684">
        <f t="shared" si="1"/>
        <v>0</v>
      </c>
      <c r="AD22" s="685">
        <f>IF(AC22=0,,VLOOKUP(AC22,リスト!DK:DL,2,0))</f>
        <v>0</v>
      </c>
      <c r="AE22" s="670">
        <f>IF(Y22=0,,
IF(OR(リスト!$C$21="小麦",リスト!$C$21="二条大麦",リスト!$C$21="六条大麦",リスト!$C$21="はだか麦",リスト!$C$21="なたね"),IF(K22&lt;9,調査年-J22,調査年-J22-1),
IF(リスト!$C$21="さとうきび",IF(K22&gt;=4,調査年-J22,調査年-J22+1),
調査年-J22)))</f>
        <v>0</v>
      </c>
      <c r="AF22" s="385">
        <f t="shared" si="2"/>
        <v>0</v>
      </c>
      <c r="AG22" s="385">
        <f t="shared" si="3"/>
        <v>0</v>
      </c>
      <c r="AH22" s="385">
        <f t="shared" si="4"/>
        <v>0</v>
      </c>
      <c r="AI22" s="385">
        <f t="shared" si="5"/>
        <v>0</v>
      </c>
      <c r="AJ22" s="385">
        <f t="shared" si="6"/>
        <v>0</v>
      </c>
      <c r="AK22" s="385">
        <f t="shared" si="14"/>
        <v>0</v>
      </c>
      <c r="AL22" s="385">
        <f t="shared" si="7"/>
        <v>0</v>
      </c>
      <c r="AM22" s="385">
        <f t="shared" si="8"/>
        <v>0</v>
      </c>
      <c r="AN22" s="394"/>
      <c r="AO22" s="672">
        <f>IF(OR(P22=0,AG22=0),,
IF(OR(リスト!$C$21="小麦",リスト!$C$21="二条大麦",リスト!$C$21="六条大麦",リスト!$C$21="はだか麦",リスト!$C$21="なたね"),IF(OR(AND(K22&lt;9,J22=調査年),AND(K22&gt;=9,J22=調査年-1)),,ROUND(AG22*P22%,0)),
IF(リスト!$C$21="さとうきび",IF(OR(AND(K22&gt;=4,J22=調査年),AND(K22&lt;4,J22=調査年+1)),,ROUND(AG22*P22%,0)),
IF(J22=調査年,,ROUND(AG22*P22%,0)))))</f>
        <v>0</v>
      </c>
      <c r="AP22" s="672">
        <f t="shared" si="9"/>
        <v>0</v>
      </c>
      <c r="AQ22" s="385">
        <f t="shared" si="10"/>
        <v>0</v>
      </c>
      <c r="AR22" s="672">
        <f t="shared" si="11"/>
        <v>0</v>
      </c>
      <c r="AS22" s="385">
        <f>IF(P22=0,,
SUM(
IF(OR(リスト!$C$21="小麦",リスト!$C$21="二条大麦",リスト!$C$21="六条大麦",リスト!$C$21="はだか麦",リスト!$C$21="なたね"),IF(OR(AND(Z22=1,K22&lt;9,J22=調査年),AND(Z22=1,K22&gt;=9,J22=調査年-1)),ROUND(L22*P22%,0),),
IF(リスト!$C$21="さとうきび",IF(OR(AND(Z22=1,K22&gt;=4,J22=調査年),AND(Z22=1,K22&lt;4,J22=調査年+1)),ROUND(L22*P22%,0),),
IF(AND(Z22=1,J22=調査年),ROUND(L22*P22%,0),))),
ROUND(N22*P22%,0),
ROUND(SUM(AK22)*P22%,0)
))</f>
        <v>0</v>
      </c>
      <c r="AT22" s="385">
        <f t="shared" si="12"/>
        <v>0</v>
      </c>
      <c r="AU22" s="385" t="str">
        <f t="shared" si="13"/>
        <v/>
      </c>
      <c r="AV22" s="686"/>
      <c r="AW22" s="686"/>
      <c r="AX22" s="686"/>
      <c r="AY22" s="686"/>
      <c r="AZ22" s="686"/>
    </row>
    <row r="23" spans="3:52" s="46" customFormat="1" ht="30" customHeight="1">
      <c r="C23" s="674">
        <v>8</v>
      </c>
      <c r="D23" s="687"/>
      <c r="E23" s="676"/>
      <c r="F23" s="677"/>
      <c r="G23" s="1899"/>
      <c r="H23" s="1900"/>
      <c r="I23" s="678"/>
      <c r="J23" s="679"/>
      <c r="K23" s="680"/>
      <c r="L23" s="681"/>
      <c r="M23" s="681"/>
      <c r="N23" s="681"/>
      <c r="O23" s="681"/>
      <c r="P23" s="1094"/>
      <c r="Q23" s="682"/>
      <c r="R23" s="683"/>
      <c r="S23" s="681"/>
      <c r="T23" s="668"/>
      <c r="U23" s="2"/>
      <c r="V23" s="1105"/>
      <c r="W23" s="669"/>
      <c r="X23" s="2"/>
      <c r="Y23" s="684">
        <f t="shared" si="15"/>
        <v>0</v>
      </c>
      <c r="Z23" s="670">
        <f t="shared" si="16"/>
        <v>0</v>
      </c>
      <c r="AA23" s="670">
        <f t="shared" si="17"/>
        <v>0</v>
      </c>
      <c r="AB23" s="684">
        <f>IF(Y23=0,,VLOOKUP(Y23,リスト!CX:CY,2,0))</f>
        <v>0</v>
      </c>
      <c r="AC23" s="684">
        <f t="shared" si="1"/>
        <v>0</v>
      </c>
      <c r="AD23" s="685">
        <f>IF(AC23=0,,VLOOKUP(AC23,リスト!DK:DL,2,0))</f>
        <v>0</v>
      </c>
      <c r="AE23" s="670">
        <f>IF(Y23=0,,
IF(OR(リスト!$C$21="小麦",リスト!$C$21="二条大麦",リスト!$C$21="六条大麦",リスト!$C$21="はだか麦",リスト!$C$21="なたね"),IF(K23&lt;9,調査年-J23,調査年-J23-1),
IF(リスト!$C$21="さとうきび",IF(K23&gt;=4,調査年-J23,調査年-J23+1),
調査年-J23)))</f>
        <v>0</v>
      </c>
      <c r="AF23" s="385">
        <f t="shared" si="2"/>
        <v>0</v>
      </c>
      <c r="AG23" s="385">
        <f t="shared" si="3"/>
        <v>0</v>
      </c>
      <c r="AH23" s="385">
        <f t="shared" si="4"/>
        <v>0</v>
      </c>
      <c r="AI23" s="385">
        <f t="shared" si="5"/>
        <v>0</v>
      </c>
      <c r="AJ23" s="385">
        <f t="shared" si="6"/>
        <v>0</v>
      </c>
      <c r="AK23" s="385">
        <f t="shared" si="14"/>
        <v>0</v>
      </c>
      <c r="AL23" s="385">
        <f t="shared" si="7"/>
        <v>0</v>
      </c>
      <c r="AM23" s="385">
        <f t="shared" si="8"/>
        <v>0</v>
      </c>
      <c r="AN23" s="394"/>
      <c r="AO23" s="672">
        <f>IF(OR(P23=0,AG23=0),,
IF(OR(リスト!$C$21="小麦",リスト!$C$21="二条大麦",リスト!$C$21="六条大麦",リスト!$C$21="はだか麦",リスト!$C$21="なたね"),IF(OR(AND(K23&lt;9,J23=調査年),AND(K23&gt;=9,J23=調査年-1)),,ROUND(AG23*P23%,0)),
IF(リスト!$C$21="さとうきび",IF(OR(AND(K23&gt;=4,J23=調査年),AND(K23&lt;4,J23=調査年+1)),,ROUND(AG23*P23%,0)),
IF(J23=調査年,,ROUND(AG23*P23%,0)))))</f>
        <v>0</v>
      </c>
      <c r="AP23" s="672">
        <f t="shared" si="9"/>
        <v>0</v>
      </c>
      <c r="AQ23" s="385">
        <f t="shared" si="10"/>
        <v>0</v>
      </c>
      <c r="AR23" s="672">
        <f t="shared" si="11"/>
        <v>0</v>
      </c>
      <c r="AS23" s="385">
        <f>IF(P23=0,,
SUM(
IF(OR(リスト!$C$21="小麦",リスト!$C$21="二条大麦",リスト!$C$21="六条大麦",リスト!$C$21="はだか麦",リスト!$C$21="なたね"),IF(OR(AND(Z23=1,K23&lt;9,J23=調査年),AND(Z23=1,K23&gt;=9,J23=調査年-1)),ROUND(L23*P23%,0),),
IF(リスト!$C$21="さとうきび",IF(OR(AND(Z23=1,K23&gt;=4,J23=調査年),AND(Z23=1,K23&lt;4,J23=調査年+1)),ROUND(L23*P23%,0),),
IF(AND(Z23=1,J23=調査年),ROUND(L23*P23%,0),))),
ROUND(N23*P23%,0),
ROUND(SUM(AK23)*P23%,0)
))</f>
        <v>0</v>
      </c>
      <c r="AT23" s="385">
        <f t="shared" si="12"/>
        <v>0</v>
      </c>
      <c r="AU23" s="385" t="str">
        <f t="shared" si="13"/>
        <v/>
      </c>
      <c r="AV23" s="686"/>
      <c r="AW23" s="686"/>
      <c r="AX23" s="686"/>
      <c r="AY23" s="686"/>
      <c r="AZ23" s="686"/>
    </row>
    <row r="24" spans="3:52" s="46" customFormat="1" ht="30" customHeight="1">
      <c r="C24" s="674">
        <v>9</v>
      </c>
      <c r="D24" s="687"/>
      <c r="E24" s="676"/>
      <c r="F24" s="677"/>
      <c r="G24" s="1899"/>
      <c r="H24" s="1900"/>
      <c r="I24" s="678"/>
      <c r="J24" s="679"/>
      <c r="K24" s="680"/>
      <c r="L24" s="681"/>
      <c r="M24" s="681"/>
      <c r="N24" s="681"/>
      <c r="O24" s="681"/>
      <c r="P24" s="1094"/>
      <c r="Q24" s="682"/>
      <c r="R24" s="683"/>
      <c r="S24" s="681"/>
      <c r="T24" s="668"/>
      <c r="U24" s="2"/>
      <c r="V24" s="1105"/>
      <c r="W24" s="669"/>
      <c r="X24" s="2"/>
      <c r="Y24" s="684">
        <f t="shared" si="15"/>
        <v>0</v>
      </c>
      <c r="Z24" s="670">
        <f t="shared" si="16"/>
        <v>0</v>
      </c>
      <c r="AA24" s="670">
        <f t="shared" si="17"/>
        <v>0</v>
      </c>
      <c r="AB24" s="684">
        <f>IF(Y24=0,,VLOOKUP(Y24,リスト!CX:CY,2,0))</f>
        <v>0</v>
      </c>
      <c r="AC24" s="684">
        <f t="shared" si="1"/>
        <v>0</v>
      </c>
      <c r="AD24" s="685">
        <f>IF(AC24=0,,VLOOKUP(AC24,リスト!DK:DL,2,0))</f>
        <v>0</v>
      </c>
      <c r="AE24" s="670">
        <f>IF(Y24=0,,
IF(OR(リスト!$C$21="小麦",リスト!$C$21="二条大麦",リスト!$C$21="六条大麦",リスト!$C$21="はだか麦",リスト!$C$21="なたね"),IF(K24&lt;9,調査年-J24,調査年-J24-1),
IF(リスト!$C$21="さとうきび",IF(K24&gt;=4,調査年-J24,調査年-J24+1),
調査年-J24)))</f>
        <v>0</v>
      </c>
      <c r="AF24" s="385">
        <f t="shared" si="2"/>
        <v>0</v>
      </c>
      <c r="AG24" s="385">
        <f t="shared" si="3"/>
        <v>0</v>
      </c>
      <c r="AH24" s="385">
        <f t="shared" si="4"/>
        <v>0</v>
      </c>
      <c r="AI24" s="385">
        <f t="shared" si="5"/>
        <v>0</v>
      </c>
      <c r="AJ24" s="385">
        <f t="shared" si="6"/>
        <v>0</v>
      </c>
      <c r="AK24" s="385">
        <f t="shared" si="14"/>
        <v>0</v>
      </c>
      <c r="AL24" s="385">
        <f t="shared" si="7"/>
        <v>0</v>
      </c>
      <c r="AM24" s="385">
        <f t="shared" si="8"/>
        <v>0</v>
      </c>
      <c r="AN24" s="394"/>
      <c r="AO24" s="672">
        <f>IF(OR(P24=0,AG24=0),,
IF(OR(リスト!$C$21="小麦",リスト!$C$21="二条大麦",リスト!$C$21="六条大麦",リスト!$C$21="はだか麦",リスト!$C$21="なたね"),IF(OR(AND(K24&lt;9,J24=調査年),AND(K24&gt;=9,J24=調査年-1)),,ROUND(AG24*P24%,0)),
IF(リスト!$C$21="さとうきび",IF(OR(AND(K24&gt;=4,J24=調査年),AND(K24&lt;4,J24=調査年+1)),,ROUND(AG24*P24%,0)),
IF(J24=調査年,,ROUND(AG24*P24%,0)))))</f>
        <v>0</v>
      </c>
      <c r="AP24" s="672">
        <f t="shared" si="9"/>
        <v>0</v>
      </c>
      <c r="AQ24" s="385">
        <f t="shared" si="10"/>
        <v>0</v>
      </c>
      <c r="AR24" s="672">
        <f t="shared" si="11"/>
        <v>0</v>
      </c>
      <c r="AS24" s="385">
        <f>IF(P24=0,,
SUM(
IF(OR(リスト!$C$21="小麦",リスト!$C$21="二条大麦",リスト!$C$21="六条大麦",リスト!$C$21="はだか麦",リスト!$C$21="なたね"),IF(OR(AND(Z24=1,K24&lt;9,J24=調査年),AND(Z24=1,K24&gt;=9,J24=調査年-1)),ROUND(L24*P24%,0),),
IF(リスト!$C$21="さとうきび",IF(OR(AND(Z24=1,K24&gt;=4,J24=調査年),AND(Z24=1,K24&lt;4,J24=調査年+1)),ROUND(L24*P24%,0),),
IF(AND(Z24=1,J24=調査年),ROUND(L24*P24%,0),))),
ROUND(N24*P24%,0),
ROUND(SUM(AK24)*P24%,0)
))</f>
        <v>0</v>
      </c>
      <c r="AT24" s="385">
        <f t="shared" si="12"/>
        <v>0</v>
      </c>
      <c r="AU24" s="385" t="str">
        <f t="shared" si="13"/>
        <v/>
      </c>
      <c r="AV24" s="686"/>
      <c r="AW24" s="686"/>
      <c r="AX24" s="686"/>
      <c r="AY24" s="686"/>
      <c r="AZ24" s="686"/>
    </row>
    <row r="25" spans="3:52" s="46" customFormat="1" ht="30" customHeight="1">
      <c r="C25" s="674">
        <v>10</v>
      </c>
      <c r="D25" s="687"/>
      <c r="E25" s="676"/>
      <c r="F25" s="677"/>
      <c r="G25" s="1899"/>
      <c r="H25" s="1900"/>
      <c r="I25" s="678"/>
      <c r="J25" s="679"/>
      <c r="K25" s="680"/>
      <c r="L25" s="681"/>
      <c r="M25" s="681"/>
      <c r="N25" s="681"/>
      <c r="O25" s="681"/>
      <c r="P25" s="1094"/>
      <c r="Q25" s="682"/>
      <c r="R25" s="683"/>
      <c r="S25" s="681"/>
      <c r="T25" s="668"/>
      <c r="U25" s="2"/>
      <c r="V25" s="1105"/>
      <c r="W25" s="669"/>
      <c r="X25" s="2"/>
      <c r="Y25" s="684">
        <f t="shared" si="15"/>
        <v>0</v>
      </c>
      <c r="Z25" s="670">
        <f t="shared" si="16"/>
        <v>0</v>
      </c>
      <c r="AA25" s="670">
        <f t="shared" si="17"/>
        <v>0</v>
      </c>
      <c r="AB25" s="684">
        <f>IF(Y25=0,,VLOOKUP(Y25,リスト!CX:CY,2,0))</f>
        <v>0</v>
      </c>
      <c r="AC25" s="684">
        <f t="shared" si="1"/>
        <v>0</v>
      </c>
      <c r="AD25" s="685">
        <f>IF(AC25=0,,VLOOKUP(AC25,リスト!DK:DL,2,0))</f>
        <v>0</v>
      </c>
      <c r="AE25" s="670">
        <f>IF(Y25=0,,
IF(OR(リスト!$C$21="小麦",リスト!$C$21="二条大麦",リスト!$C$21="六条大麦",リスト!$C$21="はだか麦",リスト!$C$21="なたね"),IF(K25&lt;9,調査年-J25,調査年-J25-1),
IF(リスト!$C$21="さとうきび",IF(K25&gt;=4,調査年-J25,調査年-J25+1),
調査年-J25)))</f>
        <v>0</v>
      </c>
      <c r="AF25" s="385">
        <f t="shared" si="2"/>
        <v>0</v>
      </c>
      <c r="AG25" s="385">
        <f t="shared" si="3"/>
        <v>0</v>
      </c>
      <c r="AH25" s="385">
        <f t="shared" si="4"/>
        <v>0</v>
      </c>
      <c r="AI25" s="385">
        <f t="shared" si="5"/>
        <v>0</v>
      </c>
      <c r="AJ25" s="385">
        <f t="shared" si="6"/>
        <v>0</v>
      </c>
      <c r="AK25" s="385">
        <f t="shared" si="14"/>
        <v>0</v>
      </c>
      <c r="AL25" s="385">
        <f t="shared" si="7"/>
        <v>0</v>
      </c>
      <c r="AM25" s="385">
        <f t="shared" si="8"/>
        <v>0</v>
      </c>
      <c r="AN25" s="394"/>
      <c r="AO25" s="672">
        <f>IF(OR(P25=0,AG25=0),,
IF(OR(リスト!$C$21="小麦",リスト!$C$21="二条大麦",リスト!$C$21="六条大麦",リスト!$C$21="はだか麦",リスト!$C$21="なたね"),IF(OR(AND(K25&lt;9,J25=調査年),AND(K25&gt;=9,J25=調査年-1)),,ROUND(AG25*P25%,0)),
IF(リスト!$C$21="さとうきび",IF(OR(AND(K25&gt;=4,J25=調査年),AND(K25&lt;4,J25=調査年+1)),,ROUND(AG25*P25%,0)),
IF(J25=調査年,,ROUND(AG25*P25%,0)))))</f>
        <v>0</v>
      </c>
      <c r="AP25" s="672">
        <f t="shared" si="9"/>
        <v>0</v>
      </c>
      <c r="AQ25" s="385">
        <f t="shared" si="10"/>
        <v>0</v>
      </c>
      <c r="AR25" s="672">
        <f t="shared" si="11"/>
        <v>0</v>
      </c>
      <c r="AS25" s="385">
        <f>IF(P25=0,,
SUM(
IF(OR(リスト!$C$21="小麦",リスト!$C$21="二条大麦",リスト!$C$21="六条大麦",リスト!$C$21="はだか麦",リスト!$C$21="なたね"),IF(OR(AND(Z25=1,K25&lt;9,J25=調査年),AND(Z25=1,K25&gt;=9,J25=調査年-1)),ROUND(L25*P25%,0),),
IF(リスト!$C$21="さとうきび",IF(OR(AND(Z25=1,K25&gt;=4,J25=調査年),AND(Z25=1,K25&lt;4,J25=調査年+1)),ROUND(L25*P25%,0),),
IF(AND(Z25=1,J25=調査年),ROUND(L25*P25%,0),))),
ROUND(N25*P25%,0),
ROUND(SUM(AK25)*P25%,0)
))</f>
        <v>0</v>
      </c>
      <c r="AT25" s="385">
        <f t="shared" si="12"/>
        <v>0</v>
      </c>
      <c r="AU25" s="385" t="str">
        <f t="shared" si="13"/>
        <v/>
      </c>
      <c r="AV25" s="686"/>
      <c r="AW25" s="686"/>
      <c r="AX25" s="686"/>
      <c r="AY25" s="686"/>
      <c r="AZ25" s="686"/>
    </row>
    <row r="26" spans="3:52" s="46" customFormat="1" ht="30" customHeight="1">
      <c r="C26" s="674">
        <v>11</v>
      </c>
      <c r="D26" s="687"/>
      <c r="E26" s="676"/>
      <c r="F26" s="677"/>
      <c r="G26" s="1899"/>
      <c r="H26" s="1900"/>
      <c r="I26" s="678"/>
      <c r="J26" s="679"/>
      <c r="K26" s="680"/>
      <c r="L26" s="681"/>
      <c r="M26" s="681"/>
      <c r="N26" s="681"/>
      <c r="O26" s="681"/>
      <c r="P26" s="1094"/>
      <c r="Q26" s="682"/>
      <c r="R26" s="683"/>
      <c r="S26" s="681"/>
      <c r="T26" s="668"/>
      <c r="U26" s="2"/>
      <c r="V26" s="1105"/>
      <c r="W26" s="669"/>
      <c r="X26" s="2"/>
      <c r="Y26" s="684">
        <f t="shared" si="15"/>
        <v>0</v>
      </c>
      <c r="Z26" s="670">
        <f t="shared" si="16"/>
        <v>0</v>
      </c>
      <c r="AA26" s="670">
        <f t="shared" si="17"/>
        <v>0</v>
      </c>
      <c r="AB26" s="684">
        <f>IF(Y26=0,,VLOOKUP(Y26,リスト!CX:CY,2,0))</f>
        <v>0</v>
      </c>
      <c r="AC26" s="684">
        <f t="shared" si="1"/>
        <v>0</v>
      </c>
      <c r="AD26" s="685">
        <f>IF(AC26=0,,VLOOKUP(AC26,リスト!DK:DL,2,0))</f>
        <v>0</v>
      </c>
      <c r="AE26" s="670">
        <f>IF(Y26=0,,
IF(OR(リスト!$C$21="小麦",リスト!$C$21="二条大麦",リスト!$C$21="六条大麦",リスト!$C$21="はだか麦",リスト!$C$21="なたね"),IF(K26&lt;9,調査年-J26,調査年-J26-1),
IF(リスト!$C$21="さとうきび",IF(K26&gt;=4,調査年-J26,調査年-J26+1),
調査年-J26)))</f>
        <v>0</v>
      </c>
      <c r="AF26" s="385">
        <f t="shared" si="2"/>
        <v>0</v>
      </c>
      <c r="AG26" s="385">
        <f t="shared" si="3"/>
        <v>0</v>
      </c>
      <c r="AH26" s="385">
        <f t="shared" si="4"/>
        <v>0</v>
      </c>
      <c r="AI26" s="385">
        <f t="shared" si="5"/>
        <v>0</v>
      </c>
      <c r="AJ26" s="385">
        <f t="shared" si="6"/>
        <v>0</v>
      </c>
      <c r="AK26" s="385">
        <f t="shared" si="14"/>
        <v>0</v>
      </c>
      <c r="AL26" s="385">
        <f t="shared" si="7"/>
        <v>0</v>
      </c>
      <c r="AM26" s="385">
        <f t="shared" si="8"/>
        <v>0</v>
      </c>
      <c r="AN26" s="394"/>
      <c r="AO26" s="672">
        <f>IF(OR(P26=0,AG26=0),,
IF(OR(リスト!$C$21="小麦",リスト!$C$21="二条大麦",リスト!$C$21="六条大麦",リスト!$C$21="はだか麦",リスト!$C$21="なたね"),IF(OR(AND(K26&lt;9,J26=調査年),AND(K26&gt;=9,J26=調査年-1)),,ROUND(AG26*P26%,0)),
IF(リスト!$C$21="さとうきび",IF(OR(AND(K26&gt;=4,J26=調査年),AND(K26&lt;4,J26=調査年+1)),,ROUND(AG26*P26%,0)),
IF(J26=調査年,,ROUND(AG26*P26%,0)))))</f>
        <v>0</v>
      </c>
      <c r="AP26" s="672">
        <f t="shared" si="9"/>
        <v>0</v>
      </c>
      <c r="AQ26" s="385">
        <f t="shared" si="10"/>
        <v>0</v>
      </c>
      <c r="AR26" s="672">
        <f t="shared" si="11"/>
        <v>0</v>
      </c>
      <c r="AS26" s="385">
        <f>IF(P26=0,,
SUM(
IF(OR(リスト!$C$21="小麦",リスト!$C$21="二条大麦",リスト!$C$21="六条大麦",リスト!$C$21="はだか麦",リスト!$C$21="なたね"),IF(OR(AND(Z26=1,K26&lt;9,J26=調査年),AND(Z26=1,K26&gt;=9,J26=調査年-1)),ROUND(L26*P26%,0),),
IF(リスト!$C$21="さとうきび",IF(OR(AND(Z26=1,K26&gt;=4,J26=調査年),AND(Z26=1,K26&lt;4,J26=調査年+1)),ROUND(L26*P26%,0),),
IF(AND(Z26=1,J26=調査年),ROUND(L26*P26%,0),))),
ROUND(N26*P26%,0),
ROUND(SUM(AK26)*P26%,0)
))</f>
        <v>0</v>
      </c>
      <c r="AT26" s="385">
        <f t="shared" si="12"/>
        <v>0</v>
      </c>
      <c r="AU26" s="385" t="str">
        <f t="shared" si="13"/>
        <v/>
      </c>
      <c r="AV26" s="686"/>
      <c r="AW26" s="686"/>
      <c r="AX26" s="686"/>
      <c r="AY26" s="686"/>
      <c r="AZ26" s="686"/>
    </row>
    <row r="27" spans="3:52" s="46" customFormat="1" ht="30" customHeight="1">
      <c r="C27" s="674">
        <v>12</v>
      </c>
      <c r="D27" s="687"/>
      <c r="E27" s="676"/>
      <c r="F27" s="677"/>
      <c r="G27" s="1899"/>
      <c r="H27" s="1900"/>
      <c r="I27" s="678"/>
      <c r="J27" s="679"/>
      <c r="K27" s="680"/>
      <c r="L27" s="681"/>
      <c r="M27" s="681"/>
      <c r="N27" s="681"/>
      <c r="O27" s="681"/>
      <c r="P27" s="1094"/>
      <c r="Q27" s="682"/>
      <c r="R27" s="683"/>
      <c r="S27" s="681"/>
      <c r="T27" s="668"/>
      <c r="U27" s="2"/>
      <c r="V27" s="1105"/>
      <c r="W27" s="669"/>
      <c r="X27" s="2"/>
      <c r="Y27" s="684">
        <f t="shared" si="15"/>
        <v>0</v>
      </c>
      <c r="Z27" s="670">
        <f t="shared" si="16"/>
        <v>0</v>
      </c>
      <c r="AA27" s="670">
        <f t="shared" si="17"/>
        <v>0</v>
      </c>
      <c r="AB27" s="684">
        <f>IF(Y27=0,,VLOOKUP(Y27,リスト!CX:CY,2,0))</f>
        <v>0</v>
      </c>
      <c r="AC27" s="684">
        <f t="shared" si="1"/>
        <v>0</v>
      </c>
      <c r="AD27" s="685">
        <f>IF(AC27=0,,VLOOKUP(AC27,リスト!DK:DL,2,0))</f>
        <v>0</v>
      </c>
      <c r="AE27" s="670">
        <f>IF(Y27=0,,
IF(OR(リスト!$C$21="小麦",リスト!$C$21="二条大麦",リスト!$C$21="六条大麦",リスト!$C$21="はだか麦",リスト!$C$21="なたね"),IF(K27&lt;9,調査年-J27,調査年-J27-1),
IF(リスト!$C$21="さとうきび",IF(K27&gt;=4,調査年-J27,調査年-J27+1),
調査年-J27)))</f>
        <v>0</v>
      </c>
      <c r="AF27" s="385">
        <f t="shared" si="2"/>
        <v>0</v>
      </c>
      <c r="AG27" s="385">
        <f t="shared" si="3"/>
        <v>0</v>
      </c>
      <c r="AH27" s="385">
        <f t="shared" si="4"/>
        <v>0</v>
      </c>
      <c r="AI27" s="385">
        <f t="shared" si="5"/>
        <v>0</v>
      </c>
      <c r="AJ27" s="385">
        <f t="shared" si="6"/>
        <v>0</v>
      </c>
      <c r="AK27" s="385">
        <f t="shared" si="14"/>
        <v>0</v>
      </c>
      <c r="AL27" s="385">
        <f t="shared" si="7"/>
        <v>0</v>
      </c>
      <c r="AM27" s="385">
        <f t="shared" si="8"/>
        <v>0</v>
      </c>
      <c r="AN27" s="394"/>
      <c r="AO27" s="672">
        <f>IF(OR(P27=0,AG27=0),,
IF(OR(リスト!$C$21="小麦",リスト!$C$21="二条大麦",リスト!$C$21="六条大麦",リスト!$C$21="はだか麦",リスト!$C$21="なたね"),IF(OR(AND(K27&lt;9,J27=調査年),AND(K27&gt;=9,J27=調査年-1)),,ROUND(AG27*P27%,0)),
IF(リスト!$C$21="さとうきび",IF(OR(AND(K27&gt;=4,J27=調査年),AND(K27&lt;4,J27=調査年+1)),,ROUND(AG27*P27%,0)),
IF(J27=調査年,,ROUND(AG27*P27%,0)))))</f>
        <v>0</v>
      </c>
      <c r="AP27" s="672">
        <f t="shared" si="9"/>
        <v>0</v>
      </c>
      <c r="AQ27" s="385">
        <f t="shared" si="10"/>
        <v>0</v>
      </c>
      <c r="AR27" s="672">
        <f t="shared" si="11"/>
        <v>0</v>
      </c>
      <c r="AS27" s="385">
        <f>IF(P27=0,,
SUM(
IF(OR(リスト!$C$21="小麦",リスト!$C$21="二条大麦",リスト!$C$21="六条大麦",リスト!$C$21="はだか麦",リスト!$C$21="なたね"),IF(OR(AND(Z27=1,K27&lt;9,J27=調査年),AND(Z27=1,K27&gt;=9,J27=調査年-1)),ROUND(L27*P27%,0),),
IF(リスト!$C$21="さとうきび",IF(OR(AND(Z27=1,K27&gt;=4,J27=調査年),AND(Z27=1,K27&lt;4,J27=調査年+1)),ROUND(L27*P27%,0),),
IF(AND(Z27=1,J27=調査年),ROUND(L27*P27%,0),))),
ROUND(N27*P27%,0),
ROUND(SUM(AK27)*P27%,0)
))</f>
        <v>0</v>
      </c>
      <c r="AT27" s="385">
        <f t="shared" si="12"/>
        <v>0</v>
      </c>
      <c r="AU27" s="385" t="str">
        <f t="shared" si="13"/>
        <v/>
      </c>
      <c r="AV27" s="686"/>
      <c r="AW27" s="686"/>
      <c r="AX27" s="686"/>
      <c r="AY27" s="686"/>
      <c r="AZ27" s="686"/>
    </row>
    <row r="28" spans="3:52" s="46" customFormat="1" ht="30" customHeight="1">
      <c r="C28" s="674">
        <v>13</v>
      </c>
      <c r="D28" s="687"/>
      <c r="E28" s="676"/>
      <c r="F28" s="677"/>
      <c r="G28" s="1899"/>
      <c r="H28" s="1900"/>
      <c r="I28" s="678"/>
      <c r="J28" s="679"/>
      <c r="K28" s="680"/>
      <c r="L28" s="681"/>
      <c r="M28" s="681"/>
      <c r="N28" s="681"/>
      <c r="O28" s="681"/>
      <c r="P28" s="1094"/>
      <c r="Q28" s="682"/>
      <c r="R28" s="683"/>
      <c r="S28" s="681"/>
      <c r="T28" s="668"/>
      <c r="U28" s="2"/>
      <c r="V28" s="1105"/>
      <c r="W28" s="669"/>
      <c r="X28" s="2"/>
      <c r="Y28" s="684">
        <f t="shared" si="15"/>
        <v>0</v>
      </c>
      <c r="Z28" s="670">
        <f t="shared" si="16"/>
        <v>0</v>
      </c>
      <c r="AA28" s="670">
        <f t="shared" si="17"/>
        <v>0</v>
      </c>
      <c r="AB28" s="684">
        <f>IF(Y28=0,,VLOOKUP(Y28,リスト!CX:CY,2,0))</f>
        <v>0</v>
      </c>
      <c r="AC28" s="684">
        <f t="shared" si="1"/>
        <v>0</v>
      </c>
      <c r="AD28" s="685">
        <f>IF(AC28=0,,VLOOKUP(AC28,リスト!DK:DL,2,0))</f>
        <v>0</v>
      </c>
      <c r="AE28" s="670">
        <f>IF(Y28=0,,
IF(OR(リスト!$C$21="小麦",リスト!$C$21="二条大麦",リスト!$C$21="六条大麦",リスト!$C$21="はだか麦",リスト!$C$21="なたね"),IF(K28&lt;9,調査年-J28,調査年-J28-1),
IF(リスト!$C$21="さとうきび",IF(K28&gt;=4,調査年-J28,調査年-J28+1),
調査年-J28)))</f>
        <v>0</v>
      </c>
      <c r="AF28" s="385">
        <f t="shared" si="2"/>
        <v>0</v>
      </c>
      <c r="AG28" s="385">
        <f t="shared" si="3"/>
        <v>0</v>
      </c>
      <c r="AH28" s="385">
        <f t="shared" si="4"/>
        <v>0</v>
      </c>
      <c r="AI28" s="385">
        <f t="shared" si="5"/>
        <v>0</v>
      </c>
      <c r="AJ28" s="385">
        <f t="shared" si="6"/>
        <v>0</v>
      </c>
      <c r="AK28" s="385">
        <f t="shared" si="14"/>
        <v>0</v>
      </c>
      <c r="AL28" s="385">
        <f t="shared" si="7"/>
        <v>0</v>
      </c>
      <c r="AM28" s="385">
        <f t="shared" si="8"/>
        <v>0</v>
      </c>
      <c r="AN28" s="394"/>
      <c r="AO28" s="672">
        <f>IF(OR(P28=0,AG28=0),,
IF(OR(リスト!$C$21="小麦",リスト!$C$21="二条大麦",リスト!$C$21="六条大麦",リスト!$C$21="はだか麦",リスト!$C$21="なたね"),IF(OR(AND(K28&lt;9,J28=調査年),AND(K28&gt;=9,J28=調査年-1)),,ROUND(AG28*P28%,0)),
IF(リスト!$C$21="さとうきび",IF(OR(AND(K28&gt;=4,J28=調査年),AND(K28&lt;4,J28=調査年+1)),,ROUND(AG28*P28%,0)),
IF(J28=調査年,,ROUND(AG28*P28%,0)))))</f>
        <v>0</v>
      </c>
      <c r="AP28" s="672">
        <f t="shared" si="9"/>
        <v>0</v>
      </c>
      <c r="AQ28" s="385">
        <f t="shared" si="10"/>
        <v>0</v>
      </c>
      <c r="AR28" s="672">
        <f t="shared" si="11"/>
        <v>0</v>
      </c>
      <c r="AS28" s="385">
        <f>IF(P28=0,,
SUM(
IF(OR(リスト!$C$21="小麦",リスト!$C$21="二条大麦",リスト!$C$21="六条大麦",リスト!$C$21="はだか麦",リスト!$C$21="なたね"),IF(OR(AND(Z28=1,K28&lt;9,J28=調査年),AND(Z28=1,K28&gt;=9,J28=調査年-1)),ROUND(L28*P28%,0),),
IF(リスト!$C$21="さとうきび",IF(OR(AND(Z28=1,K28&gt;=4,J28=調査年),AND(Z28=1,K28&lt;4,J28=調査年+1)),ROUND(L28*P28%,0),),
IF(AND(Z28=1,J28=調査年),ROUND(L28*P28%,0),))),
ROUND(N28*P28%,0),
ROUND(SUM(AK28)*P28%,0)
))</f>
        <v>0</v>
      </c>
      <c r="AT28" s="385">
        <f t="shared" si="12"/>
        <v>0</v>
      </c>
      <c r="AU28" s="385" t="str">
        <f t="shared" si="13"/>
        <v/>
      </c>
      <c r="AV28" s="686"/>
      <c r="AW28" s="686"/>
      <c r="AX28" s="686"/>
      <c r="AY28" s="686"/>
      <c r="AZ28" s="686"/>
    </row>
    <row r="29" spans="3:52" s="46" customFormat="1" ht="30" customHeight="1">
      <c r="C29" s="674">
        <v>14</v>
      </c>
      <c r="D29" s="687"/>
      <c r="E29" s="676"/>
      <c r="F29" s="677"/>
      <c r="G29" s="1899"/>
      <c r="H29" s="1900"/>
      <c r="I29" s="678"/>
      <c r="J29" s="679"/>
      <c r="K29" s="680"/>
      <c r="L29" s="681"/>
      <c r="M29" s="681"/>
      <c r="N29" s="681"/>
      <c r="O29" s="681"/>
      <c r="P29" s="1094"/>
      <c r="Q29" s="682"/>
      <c r="R29" s="683"/>
      <c r="S29" s="681"/>
      <c r="T29" s="668"/>
      <c r="U29" s="2"/>
      <c r="V29" s="1105"/>
      <c r="W29" s="669"/>
      <c r="X29" s="2"/>
      <c r="Y29" s="684">
        <f t="shared" si="15"/>
        <v>0</v>
      </c>
      <c r="Z29" s="670">
        <f t="shared" si="16"/>
        <v>0</v>
      </c>
      <c r="AA29" s="670">
        <f t="shared" si="17"/>
        <v>0</v>
      </c>
      <c r="AB29" s="684">
        <f>IF(Y29=0,,VLOOKUP(Y29,リスト!CX:CY,2,0))</f>
        <v>0</v>
      </c>
      <c r="AC29" s="684">
        <f t="shared" si="1"/>
        <v>0</v>
      </c>
      <c r="AD29" s="685">
        <f>IF(AC29=0,,VLOOKUP(AC29,リスト!DK:DL,2,0))</f>
        <v>0</v>
      </c>
      <c r="AE29" s="670">
        <f>IF(Y29=0,,
IF(OR(リスト!$C$21="小麦",リスト!$C$21="二条大麦",リスト!$C$21="六条大麦",リスト!$C$21="はだか麦",リスト!$C$21="なたね"),IF(K29&lt;9,調査年-J29,調査年-J29-1),
IF(リスト!$C$21="さとうきび",IF(K29&gt;=4,調査年-J29,調査年-J29+1),
調査年-J29)))</f>
        <v>0</v>
      </c>
      <c r="AF29" s="385">
        <f t="shared" si="2"/>
        <v>0</v>
      </c>
      <c r="AG29" s="385">
        <f t="shared" si="3"/>
        <v>0</v>
      </c>
      <c r="AH29" s="385">
        <f t="shared" si="4"/>
        <v>0</v>
      </c>
      <c r="AI29" s="385">
        <f t="shared" si="5"/>
        <v>0</v>
      </c>
      <c r="AJ29" s="385">
        <f t="shared" si="6"/>
        <v>0</v>
      </c>
      <c r="AK29" s="385">
        <f t="shared" si="14"/>
        <v>0</v>
      </c>
      <c r="AL29" s="385">
        <f t="shared" si="7"/>
        <v>0</v>
      </c>
      <c r="AM29" s="385">
        <f t="shared" si="8"/>
        <v>0</v>
      </c>
      <c r="AN29" s="394"/>
      <c r="AO29" s="672">
        <f>IF(OR(P29=0,AG29=0),,
IF(OR(リスト!$C$21="小麦",リスト!$C$21="二条大麦",リスト!$C$21="六条大麦",リスト!$C$21="はだか麦",リスト!$C$21="なたね"),IF(OR(AND(K29&lt;9,J29=調査年),AND(K29&gt;=9,J29=調査年-1)),,ROUND(AG29*P29%,0)),
IF(リスト!$C$21="さとうきび",IF(OR(AND(K29&gt;=4,J29=調査年),AND(K29&lt;4,J29=調査年+1)),,ROUND(AG29*P29%,0)),
IF(J29=調査年,,ROUND(AG29*P29%,0)))))</f>
        <v>0</v>
      </c>
      <c r="AP29" s="672">
        <f t="shared" si="9"/>
        <v>0</v>
      </c>
      <c r="AQ29" s="385">
        <f t="shared" si="10"/>
        <v>0</v>
      </c>
      <c r="AR29" s="672">
        <f t="shared" si="11"/>
        <v>0</v>
      </c>
      <c r="AS29" s="385">
        <f>IF(P29=0,,
SUM(
IF(OR(リスト!$C$21="小麦",リスト!$C$21="二条大麦",リスト!$C$21="六条大麦",リスト!$C$21="はだか麦",リスト!$C$21="なたね"),IF(OR(AND(Z29=1,K29&lt;9,J29=調査年),AND(Z29=1,K29&gt;=9,J29=調査年-1)),ROUND(L29*P29%,0),),
IF(リスト!$C$21="さとうきび",IF(OR(AND(Z29=1,K29&gt;=4,J29=調査年),AND(Z29=1,K29&lt;4,J29=調査年+1)),ROUND(L29*P29%,0),),
IF(AND(Z29=1,J29=調査年),ROUND(L29*P29%,0),))),
ROUND(N29*P29%,0),
ROUND(SUM(AK29)*P29%,0)
))</f>
        <v>0</v>
      </c>
      <c r="AT29" s="385">
        <f t="shared" si="12"/>
        <v>0</v>
      </c>
      <c r="AU29" s="385" t="str">
        <f t="shared" si="13"/>
        <v/>
      </c>
      <c r="AV29" s="686"/>
      <c r="AW29" s="686"/>
      <c r="AX29" s="686"/>
      <c r="AY29" s="686"/>
      <c r="AZ29" s="686"/>
    </row>
    <row r="30" spans="3:52" s="46" customFormat="1" ht="30" customHeight="1" collapsed="1" thickBot="1">
      <c r="C30" s="688">
        <v>15</v>
      </c>
      <c r="D30" s="687"/>
      <c r="E30" s="676"/>
      <c r="F30" s="677"/>
      <c r="G30" s="1899"/>
      <c r="H30" s="1900"/>
      <c r="I30" s="678"/>
      <c r="J30" s="679"/>
      <c r="K30" s="680"/>
      <c r="L30" s="681"/>
      <c r="M30" s="681"/>
      <c r="N30" s="681"/>
      <c r="O30" s="681"/>
      <c r="P30" s="1094"/>
      <c r="Q30" s="682"/>
      <c r="R30" s="683"/>
      <c r="S30" s="681"/>
      <c r="T30" s="668"/>
      <c r="U30" s="2"/>
      <c r="V30" s="1105"/>
      <c r="W30" s="669"/>
      <c r="X30" s="2"/>
      <c r="Y30" s="684">
        <f t="shared" si="15"/>
        <v>0</v>
      </c>
      <c r="Z30" s="670">
        <f t="shared" si="16"/>
        <v>0</v>
      </c>
      <c r="AA30" s="670">
        <f t="shared" si="17"/>
        <v>0</v>
      </c>
      <c r="AB30" s="684">
        <f>IF(Y30=0,,VLOOKUP(Y30,リスト!CX:CY,2,0))</f>
        <v>0</v>
      </c>
      <c r="AC30" s="684">
        <f t="shared" si="1"/>
        <v>0</v>
      </c>
      <c r="AD30" s="685">
        <f>IF(AC30=0,,VLOOKUP(AC30,リスト!DK:DL,2,0))</f>
        <v>0</v>
      </c>
      <c r="AE30" s="670">
        <f>IF(Y30=0,,
IF(OR(リスト!$C$21="小麦",リスト!$C$21="二条大麦",リスト!$C$21="六条大麦",リスト!$C$21="はだか麦",リスト!$C$21="なたね"),IF(K30&lt;9,調査年-J30,調査年-J30-1),
IF(リスト!$C$21="さとうきび",IF(K30&gt;=4,調査年-J30,調査年-J30+1),
調査年-J30)))</f>
        <v>0</v>
      </c>
      <c r="AF30" s="385">
        <f t="shared" si="2"/>
        <v>0</v>
      </c>
      <c r="AG30" s="385">
        <f t="shared" si="3"/>
        <v>0</v>
      </c>
      <c r="AH30" s="385">
        <f t="shared" si="4"/>
        <v>0</v>
      </c>
      <c r="AI30" s="385">
        <f t="shared" si="5"/>
        <v>0</v>
      </c>
      <c r="AJ30" s="385">
        <f t="shared" si="6"/>
        <v>0</v>
      </c>
      <c r="AK30" s="385">
        <f t="shared" si="14"/>
        <v>0</v>
      </c>
      <c r="AL30" s="385">
        <f t="shared" si="7"/>
        <v>0</v>
      </c>
      <c r="AM30" s="385">
        <f t="shared" si="8"/>
        <v>0</v>
      </c>
      <c r="AN30" s="394"/>
      <c r="AO30" s="672">
        <f>IF(OR(P30=0,AG30=0),,
IF(OR(リスト!$C$21="小麦",リスト!$C$21="二条大麦",リスト!$C$21="六条大麦",リスト!$C$21="はだか麦",リスト!$C$21="なたね"),IF(OR(AND(K30&lt;9,J30=調査年),AND(K30&gt;=9,J30=調査年-1)),,ROUND(AG30*P30%,0)),
IF(リスト!$C$21="さとうきび",IF(OR(AND(K30&gt;=4,J30=調査年),AND(K30&lt;4,J30=調査年+1)),,ROUND(AG30*P30%,0)),
IF(J30=調査年,,ROUND(AG30*P30%,0)))))</f>
        <v>0</v>
      </c>
      <c r="AP30" s="672">
        <f t="shared" si="9"/>
        <v>0</v>
      </c>
      <c r="AQ30" s="385">
        <f t="shared" si="10"/>
        <v>0</v>
      </c>
      <c r="AR30" s="672">
        <f t="shared" si="11"/>
        <v>0</v>
      </c>
      <c r="AS30" s="385">
        <f>IF(P30=0,,
SUM(
IF(OR(リスト!$C$21="小麦",リスト!$C$21="二条大麦",リスト!$C$21="六条大麦",リスト!$C$21="はだか麦",リスト!$C$21="なたね"),IF(OR(AND(Z30=1,K30&lt;9,J30=調査年),AND(Z30=1,K30&gt;=9,J30=調査年-1)),ROUND(L30*P30%,0),),
IF(リスト!$C$21="さとうきび",IF(OR(AND(Z30=1,K30&gt;=4,J30=調査年),AND(Z30=1,K30&lt;4,J30=調査年+1)),ROUND(L30*P30%,0),),
IF(AND(Z30=1,J30=調査年),ROUND(L30*P30%,0),))),
ROUND(N30*P30%,0),
ROUND(SUM(AK30)*P30%,0)
))</f>
        <v>0</v>
      </c>
      <c r="AT30" s="385">
        <f t="shared" si="12"/>
        <v>0</v>
      </c>
      <c r="AU30" s="385" t="str">
        <f t="shared" si="13"/>
        <v/>
      </c>
      <c r="AV30" s="686"/>
      <c r="AW30" s="686"/>
      <c r="AX30" s="686"/>
      <c r="AY30" s="686"/>
      <c r="AZ30" s="686"/>
    </row>
    <row r="31" spans="3:52" s="46" customFormat="1" ht="30" hidden="1" customHeight="1" outlineLevel="1">
      <c r="C31" s="674">
        <v>16</v>
      </c>
      <c r="D31" s="687"/>
      <c r="E31" s="676"/>
      <c r="F31" s="677"/>
      <c r="G31" s="1899"/>
      <c r="H31" s="1900"/>
      <c r="I31" s="678"/>
      <c r="J31" s="679"/>
      <c r="K31" s="680"/>
      <c r="L31" s="681"/>
      <c r="M31" s="681"/>
      <c r="N31" s="681"/>
      <c r="O31" s="681"/>
      <c r="P31" s="1094"/>
      <c r="Q31" s="682"/>
      <c r="R31" s="683"/>
      <c r="S31" s="681"/>
      <c r="T31" s="668"/>
      <c r="U31" s="2"/>
      <c r="V31" s="1105"/>
      <c r="W31" s="669"/>
      <c r="X31" s="2"/>
      <c r="Y31" s="684">
        <f t="shared" si="15"/>
        <v>0</v>
      </c>
      <c r="Z31" s="670">
        <f t="shared" si="16"/>
        <v>0</v>
      </c>
      <c r="AA31" s="670">
        <f t="shared" si="17"/>
        <v>0</v>
      </c>
      <c r="AB31" s="684">
        <f>IF(Y31=0,,VLOOKUP(Y31,リスト!CX:CY,2,0))</f>
        <v>0</v>
      </c>
      <c r="AC31" s="684">
        <f t="shared" si="1"/>
        <v>0</v>
      </c>
      <c r="AD31" s="685">
        <f>IF(AC31=0,,VLOOKUP(AC31,リスト!DK:DL,2,0))</f>
        <v>0</v>
      </c>
      <c r="AE31" s="670">
        <f>IF(Y31=0,,
IF(OR(リスト!$C$21="小麦",リスト!$C$21="二条大麦",リスト!$C$21="六条大麦",リスト!$C$21="はだか麦",リスト!$C$21="なたね"),IF(K31&lt;9,調査年-J31,調査年-J31-1),
IF(リスト!$C$21="さとうきび",IF(K31&gt;=4,調査年-J31,調査年-J31+1),
調査年-J31)))</f>
        <v>0</v>
      </c>
      <c r="AF31" s="385">
        <f t="shared" si="2"/>
        <v>0</v>
      </c>
      <c r="AG31" s="385">
        <f t="shared" si="3"/>
        <v>0</v>
      </c>
      <c r="AH31" s="385">
        <f t="shared" si="4"/>
        <v>0</v>
      </c>
      <c r="AI31" s="385">
        <f t="shared" si="5"/>
        <v>0</v>
      </c>
      <c r="AJ31" s="385">
        <f t="shared" si="6"/>
        <v>0</v>
      </c>
      <c r="AK31" s="385">
        <f t="shared" si="14"/>
        <v>0</v>
      </c>
      <c r="AL31" s="385">
        <f t="shared" si="7"/>
        <v>0</v>
      </c>
      <c r="AM31" s="385">
        <f t="shared" si="8"/>
        <v>0</v>
      </c>
      <c r="AN31" s="394"/>
      <c r="AO31" s="672">
        <f>IF(OR(P31=0,AG31=0),,
IF(OR(リスト!$C$21="小麦",リスト!$C$21="二条大麦",リスト!$C$21="六条大麦",リスト!$C$21="はだか麦",リスト!$C$21="なたね"),IF(OR(AND(K31&lt;9,J31=調査年),AND(K31&gt;=9,J31=調査年-1)),,ROUND(AG31*P31%,0)),
IF(リスト!$C$21="さとうきび",IF(OR(AND(K31&gt;=4,J31=調査年),AND(K31&lt;4,J31=調査年+1)),,ROUND(AG31*P31%,0)),
IF(J31=調査年,,ROUND(AG31*P31%,0)))))</f>
        <v>0</v>
      </c>
      <c r="AP31" s="672">
        <f t="shared" si="9"/>
        <v>0</v>
      </c>
      <c r="AQ31" s="385">
        <f t="shared" si="10"/>
        <v>0</v>
      </c>
      <c r="AR31" s="672">
        <f t="shared" si="11"/>
        <v>0</v>
      </c>
      <c r="AS31" s="385">
        <f>IF(P31=0,,
SUM(
IF(OR(リスト!$C$21="小麦",リスト!$C$21="二条大麦",リスト!$C$21="六条大麦",リスト!$C$21="はだか麦",リスト!$C$21="なたね"),IF(OR(AND(Z31=1,K31&lt;9,J31=調査年),AND(Z31=1,K31&gt;=9,J31=調査年-1)),ROUND(L31*P31%,0),),
IF(リスト!$C$21="さとうきび",IF(OR(AND(Z31=1,K31&gt;=4,J31=調査年),AND(Z31=1,K31&lt;4,J31=調査年+1)),ROUND(L31*P31%,0),),
IF(AND(Z31=1,J31=調査年),ROUND(L31*P31%,0),))),
ROUND(N31*P31%,0),
ROUND(SUM(AK31)*P31%,0)
))</f>
        <v>0</v>
      </c>
      <c r="AT31" s="385">
        <f t="shared" si="12"/>
        <v>0</v>
      </c>
      <c r="AU31" s="385" t="str">
        <f t="shared" si="13"/>
        <v/>
      </c>
      <c r="AV31" s="686"/>
      <c r="AW31" s="686"/>
      <c r="AX31" s="686"/>
      <c r="AY31" s="686"/>
      <c r="AZ31" s="686"/>
    </row>
    <row r="32" spans="3:52" s="46" customFormat="1" ht="30" hidden="1" customHeight="1" outlineLevel="1">
      <c r="C32" s="674">
        <v>17</v>
      </c>
      <c r="D32" s="687"/>
      <c r="E32" s="676"/>
      <c r="F32" s="677"/>
      <c r="G32" s="1899"/>
      <c r="H32" s="1900"/>
      <c r="I32" s="678"/>
      <c r="J32" s="679"/>
      <c r="K32" s="680"/>
      <c r="L32" s="681"/>
      <c r="M32" s="681"/>
      <c r="N32" s="681"/>
      <c r="O32" s="681"/>
      <c r="P32" s="1094"/>
      <c r="Q32" s="682"/>
      <c r="R32" s="683"/>
      <c r="S32" s="681"/>
      <c r="T32" s="668"/>
      <c r="U32" s="2"/>
      <c r="V32" s="1105"/>
      <c r="W32" s="669"/>
      <c r="X32" s="2"/>
      <c r="Y32" s="684">
        <f t="shared" si="15"/>
        <v>0</v>
      </c>
      <c r="Z32" s="670">
        <f t="shared" si="16"/>
        <v>0</v>
      </c>
      <c r="AA32" s="670">
        <f t="shared" si="17"/>
        <v>0</v>
      </c>
      <c r="AB32" s="684">
        <f>IF(Y32=0,,VLOOKUP(Y32,リスト!CX:CY,2,0))</f>
        <v>0</v>
      </c>
      <c r="AC32" s="684">
        <f t="shared" si="1"/>
        <v>0</v>
      </c>
      <c r="AD32" s="685">
        <f>IF(AC32=0,,VLOOKUP(AC32,リスト!DK:DL,2,0))</f>
        <v>0</v>
      </c>
      <c r="AE32" s="670">
        <f>IF(Y32=0,,
IF(OR(リスト!$C$21="小麦",リスト!$C$21="二条大麦",リスト!$C$21="六条大麦",リスト!$C$21="はだか麦",リスト!$C$21="なたね"),IF(K32&lt;9,調査年-J32,調査年-J32-1),
IF(リスト!$C$21="さとうきび",IF(K32&gt;=4,調査年-J32,調査年-J32+1),
調査年-J32)))</f>
        <v>0</v>
      </c>
      <c r="AF32" s="385">
        <f t="shared" si="2"/>
        <v>0</v>
      </c>
      <c r="AG32" s="385">
        <f t="shared" si="3"/>
        <v>0</v>
      </c>
      <c r="AH32" s="385">
        <f t="shared" si="4"/>
        <v>0</v>
      </c>
      <c r="AI32" s="385">
        <f t="shared" si="5"/>
        <v>0</v>
      </c>
      <c r="AJ32" s="385">
        <f t="shared" si="6"/>
        <v>0</v>
      </c>
      <c r="AK32" s="385">
        <f t="shared" si="14"/>
        <v>0</v>
      </c>
      <c r="AL32" s="385">
        <f t="shared" si="7"/>
        <v>0</v>
      </c>
      <c r="AM32" s="385">
        <f t="shared" si="8"/>
        <v>0</v>
      </c>
      <c r="AN32" s="394"/>
      <c r="AO32" s="672">
        <f>IF(OR(P32=0,AG32=0),,
IF(OR(リスト!$C$21="小麦",リスト!$C$21="二条大麦",リスト!$C$21="六条大麦",リスト!$C$21="はだか麦",リスト!$C$21="なたね"),IF(OR(AND(K32&lt;9,J32=調査年),AND(K32&gt;=9,J32=調査年-1)),,ROUND(AG32*P32%,0)),
IF(リスト!$C$21="さとうきび",IF(OR(AND(K32&gt;=4,J32=調査年),AND(K32&lt;4,J32=調査年+1)),,ROUND(AG32*P32%,0)),
IF(J32=調査年,,ROUND(AG32*P32%,0)))))</f>
        <v>0</v>
      </c>
      <c r="AP32" s="672">
        <f t="shared" si="9"/>
        <v>0</v>
      </c>
      <c r="AQ32" s="385">
        <f t="shared" si="10"/>
        <v>0</v>
      </c>
      <c r="AR32" s="672">
        <f t="shared" si="11"/>
        <v>0</v>
      </c>
      <c r="AS32" s="385">
        <f>IF(P32=0,,
SUM(
IF(OR(リスト!$C$21="小麦",リスト!$C$21="二条大麦",リスト!$C$21="六条大麦",リスト!$C$21="はだか麦",リスト!$C$21="なたね"),IF(OR(AND(Z32=1,K32&lt;9,J32=調査年),AND(Z32=1,K32&gt;=9,J32=調査年-1)),ROUND(L32*P32%,0),),
IF(リスト!$C$21="さとうきび",IF(OR(AND(Z32=1,K32&gt;=4,J32=調査年),AND(Z32=1,K32&lt;4,J32=調査年+1)),ROUND(L32*P32%,0),),
IF(AND(Z32=1,J32=調査年),ROUND(L32*P32%,0),))),
ROUND(N32*P32%,0),
ROUND(SUM(AK32)*P32%,0)
))</f>
        <v>0</v>
      </c>
      <c r="AT32" s="385">
        <f t="shared" si="12"/>
        <v>0</v>
      </c>
      <c r="AU32" s="385" t="str">
        <f t="shared" si="13"/>
        <v/>
      </c>
      <c r="AV32" s="686"/>
      <c r="AW32" s="686"/>
      <c r="AX32" s="686"/>
      <c r="AY32" s="686"/>
      <c r="AZ32" s="686"/>
    </row>
    <row r="33" spans="3:52" s="46" customFormat="1" ht="30" hidden="1" customHeight="1" outlineLevel="1">
      <c r="C33" s="674">
        <v>18</v>
      </c>
      <c r="D33" s="687"/>
      <c r="E33" s="676"/>
      <c r="F33" s="677"/>
      <c r="G33" s="1899"/>
      <c r="H33" s="1900"/>
      <c r="I33" s="678"/>
      <c r="J33" s="679"/>
      <c r="K33" s="680"/>
      <c r="L33" s="681"/>
      <c r="M33" s="681"/>
      <c r="N33" s="681"/>
      <c r="O33" s="681"/>
      <c r="P33" s="1094"/>
      <c r="Q33" s="682"/>
      <c r="R33" s="683"/>
      <c r="S33" s="681"/>
      <c r="T33" s="668"/>
      <c r="U33" s="2"/>
      <c r="V33" s="1105"/>
      <c r="W33" s="669"/>
      <c r="X33" s="2"/>
      <c r="Y33" s="684">
        <f t="shared" si="15"/>
        <v>0</v>
      </c>
      <c r="Z33" s="670">
        <f t="shared" si="16"/>
        <v>0</v>
      </c>
      <c r="AA33" s="670">
        <f t="shared" si="17"/>
        <v>0</v>
      </c>
      <c r="AB33" s="684">
        <f>IF(Y33=0,,VLOOKUP(Y33,リスト!CX:CY,2,0))</f>
        <v>0</v>
      </c>
      <c r="AC33" s="684">
        <f t="shared" si="1"/>
        <v>0</v>
      </c>
      <c r="AD33" s="685">
        <f>IF(AC33=0,,VLOOKUP(AC33,リスト!DK:DL,2,0))</f>
        <v>0</v>
      </c>
      <c r="AE33" s="670">
        <f>IF(Y33=0,,
IF(OR(リスト!$C$21="小麦",リスト!$C$21="二条大麦",リスト!$C$21="六条大麦",リスト!$C$21="はだか麦",リスト!$C$21="なたね"),IF(K33&lt;9,調査年-J33,調査年-J33-1),
IF(リスト!$C$21="さとうきび",IF(K33&gt;=4,調査年-J33,調査年-J33+1),
調査年-J33)))</f>
        <v>0</v>
      </c>
      <c r="AF33" s="385">
        <f t="shared" si="2"/>
        <v>0</v>
      </c>
      <c r="AG33" s="385">
        <f t="shared" si="3"/>
        <v>0</v>
      </c>
      <c r="AH33" s="385">
        <f t="shared" si="4"/>
        <v>0</v>
      </c>
      <c r="AI33" s="385">
        <f t="shared" si="5"/>
        <v>0</v>
      </c>
      <c r="AJ33" s="385">
        <f t="shared" si="6"/>
        <v>0</v>
      </c>
      <c r="AK33" s="385">
        <f t="shared" si="14"/>
        <v>0</v>
      </c>
      <c r="AL33" s="385">
        <f t="shared" si="7"/>
        <v>0</v>
      </c>
      <c r="AM33" s="385">
        <f t="shared" si="8"/>
        <v>0</v>
      </c>
      <c r="AN33" s="394"/>
      <c r="AO33" s="672">
        <f>IF(OR(P33=0,AG33=0),,
IF(OR(リスト!$C$21="小麦",リスト!$C$21="二条大麦",リスト!$C$21="六条大麦",リスト!$C$21="はだか麦",リスト!$C$21="なたね"),IF(OR(AND(K33&lt;9,J33=調査年),AND(K33&gt;=9,J33=調査年-1)),,ROUND(AG33*P33%,0)),
IF(リスト!$C$21="さとうきび",IF(OR(AND(K33&gt;=4,J33=調査年),AND(K33&lt;4,J33=調査年+1)),,ROUND(AG33*P33%,0)),
IF(J33=調査年,,ROUND(AG33*P33%,0)))))</f>
        <v>0</v>
      </c>
      <c r="AP33" s="672">
        <f t="shared" si="9"/>
        <v>0</v>
      </c>
      <c r="AQ33" s="385">
        <f t="shared" si="10"/>
        <v>0</v>
      </c>
      <c r="AR33" s="672">
        <f t="shared" si="11"/>
        <v>0</v>
      </c>
      <c r="AS33" s="385">
        <f>IF(P33=0,,
SUM(
IF(OR(リスト!$C$21="小麦",リスト!$C$21="二条大麦",リスト!$C$21="六条大麦",リスト!$C$21="はだか麦",リスト!$C$21="なたね"),IF(OR(AND(Z33=1,K33&lt;9,J33=調査年),AND(Z33=1,K33&gt;=9,J33=調査年-1)),ROUND(L33*P33%,0),),
IF(リスト!$C$21="さとうきび",IF(OR(AND(Z33=1,K33&gt;=4,J33=調査年),AND(Z33=1,K33&lt;4,J33=調査年+1)),ROUND(L33*P33%,0),),
IF(AND(Z33=1,J33=調査年),ROUND(L33*P33%,0),))),
ROUND(N33*P33%,0),
ROUND(SUM(AK33)*P33%,0)
))</f>
        <v>0</v>
      </c>
      <c r="AT33" s="385">
        <f t="shared" si="12"/>
        <v>0</v>
      </c>
      <c r="AU33" s="385" t="str">
        <f t="shared" si="13"/>
        <v/>
      </c>
      <c r="AV33" s="686"/>
      <c r="AW33" s="686"/>
      <c r="AX33" s="686"/>
      <c r="AY33" s="686"/>
      <c r="AZ33" s="686"/>
    </row>
    <row r="34" spans="3:52" s="46" customFormat="1" ht="30" hidden="1" customHeight="1" outlineLevel="1">
      <c r="C34" s="674">
        <v>19</v>
      </c>
      <c r="D34" s="687"/>
      <c r="E34" s="676"/>
      <c r="F34" s="677"/>
      <c r="G34" s="1899"/>
      <c r="H34" s="1900"/>
      <c r="I34" s="678"/>
      <c r="J34" s="679"/>
      <c r="K34" s="680"/>
      <c r="L34" s="681"/>
      <c r="M34" s="681"/>
      <c r="N34" s="681"/>
      <c r="O34" s="681"/>
      <c r="P34" s="1094"/>
      <c r="Q34" s="682"/>
      <c r="R34" s="683"/>
      <c r="S34" s="681"/>
      <c r="T34" s="668"/>
      <c r="U34" s="2"/>
      <c r="V34" s="1105"/>
      <c r="W34" s="669"/>
      <c r="X34" s="2"/>
      <c r="Y34" s="684">
        <f t="shared" si="15"/>
        <v>0</v>
      </c>
      <c r="Z34" s="670">
        <f t="shared" si="16"/>
        <v>0</v>
      </c>
      <c r="AA34" s="670">
        <f t="shared" si="17"/>
        <v>0</v>
      </c>
      <c r="AB34" s="684">
        <f>IF(Y34=0,,VLOOKUP(Y34,リスト!CX:CY,2,0))</f>
        <v>0</v>
      </c>
      <c r="AC34" s="684">
        <f t="shared" si="1"/>
        <v>0</v>
      </c>
      <c r="AD34" s="685">
        <f>IF(AC34=0,,VLOOKUP(AC34,リスト!DK:DL,2,0))</f>
        <v>0</v>
      </c>
      <c r="AE34" s="670">
        <f>IF(Y34=0,,
IF(OR(リスト!$C$21="小麦",リスト!$C$21="二条大麦",リスト!$C$21="六条大麦",リスト!$C$21="はだか麦",リスト!$C$21="なたね"),IF(K34&lt;9,調査年-J34,調査年-J34-1),
IF(リスト!$C$21="さとうきび",IF(K34&gt;=4,調査年-J34,調査年-J34+1),
調査年-J34)))</f>
        <v>0</v>
      </c>
      <c r="AF34" s="385">
        <f t="shared" si="2"/>
        <v>0</v>
      </c>
      <c r="AG34" s="385">
        <f t="shared" si="3"/>
        <v>0</v>
      </c>
      <c r="AH34" s="385">
        <f t="shared" si="4"/>
        <v>0</v>
      </c>
      <c r="AI34" s="385">
        <f t="shared" si="5"/>
        <v>0</v>
      </c>
      <c r="AJ34" s="385">
        <f t="shared" si="6"/>
        <v>0</v>
      </c>
      <c r="AK34" s="385">
        <f t="shared" si="14"/>
        <v>0</v>
      </c>
      <c r="AL34" s="385">
        <f t="shared" si="7"/>
        <v>0</v>
      </c>
      <c r="AM34" s="385">
        <f t="shared" si="8"/>
        <v>0</v>
      </c>
      <c r="AN34" s="394"/>
      <c r="AO34" s="672">
        <f>IF(OR(P34=0,AG34=0),,
IF(OR(リスト!$C$21="小麦",リスト!$C$21="二条大麦",リスト!$C$21="六条大麦",リスト!$C$21="はだか麦",リスト!$C$21="なたね"),IF(OR(AND(K34&lt;9,J34=調査年),AND(K34&gt;=9,J34=調査年-1)),,ROUND(AG34*P34%,0)),
IF(リスト!$C$21="さとうきび",IF(OR(AND(K34&gt;=4,J34=調査年),AND(K34&lt;4,J34=調査年+1)),,ROUND(AG34*P34%,0)),
IF(J34=調査年,,ROUND(AG34*P34%,0)))))</f>
        <v>0</v>
      </c>
      <c r="AP34" s="672">
        <f t="shared" si="9"/>
        <v>0</v>
      </c>
      <c r="AQ34" s="385">
        <f t="shared" si="10"/>
        <v>0</v>
      </c>
      <c r="AR34" s="672">
        <f t="shared" si="11"/>
        <v>0</v>
      </c>
      <c r="AS34" s="385">
        <f>IF(P34=0,,
SUM(
IF(OR(リスト!$C$21="小麦",リスト!$C$21="二条大麦",リスト!$C$21="六条大麦",リスト!$C$21="はだか麦",リスト!$C$21="なたね"),IF(OR(AND(Z34=1,K34&lt;9,J34=調査年),AND(Z34=1,K34&gt;=9,J34=調査年-1)),ROUND(L34*P34%,0),),
IF(リスト!$C$21="さとうきび",IF(OR(AND(Z34=1,K34&gt;=4,J34=調査年),AND(Z34=1,K34&lt;4,J34=調査年+1)),ROUND(L34*P34%,0),),
IF(AND(Z34=1,J34=調査年),ROUND(L34*P34%,0),))),
ROUND(N34*P34%,0),
ROUND(SUM(AK34)*P34%,0)
))</f>
        <v>0</v>
      </c>
      <c r="AT34" s="385">
        <f t="shared" si="12"/>
        <v>0</v>
      </c>
      <c r="AU34" s="385" t="str">
        <f t="shared" si="13"/>
        <v/>
      </c>
      <c r="AV34" s="686"/>
      <c r="AW34" s="686"/>
      <c r="AX34" s="686"/>
      <c r="AY34" s="686"/>
      <c r="AZ34" s="686"/>
    </row>
    <row r="35" spans="3:52" s="46" customFormat="1" ht="30" hidden="1" customHeight="1" outlineLevel="1">
      <c r="C35" s="674">
        <v>20</v>
      </c>
      <c r="D35" s="687"/>
      <c r="E35" s="676"/>
      <c r="F35" s="677"/>
      <c r="G35" s="1899"/>
      <c r="H35" s="1900"/>
      <c r="I35" s="678"/>
      <c r="J35" s="679"/>
      <c r="K35" s="680"/>
      <c r="L35" s="681"/>
      <c r="M35" s="681"/>
      <c r="N35" s="681"/>
      <c r="O35" s="681"/>
      <c r="P35" s="1094"/>
      <c r="Q35" s="682"/>
      <c r="R35" s="683"/>
      <c r="S35" s="681"/>
      <c r="T35" s="668"/>
      <c r="U35" s="2"/>
      <c r="V35" s="1105"/>
      <c r="W35" s="669"/>
      <c r="X35" s="2"/>
      <c r="Y35" s="684">
        <f t="shared" si="15"/>
        <v>0</v>
      </c>
      <c r="Z35" s="670">
        <f t="shared" si="16"/>
        <v>0</v>
      </c>
      <c r="AA35" s="670">
        <f t="shared" si="17"/>
        <v>0</v>
      </c>
      <c r="AB35" s="684">
        <f>IF(Y35=0,,VLOOKUP(Y35,リスト!CX:CY,2,0))</f>
        <v>0</v>
      </c>
      <c r="AC35" s="684">
        <f t="shared" si="1"/>
        <v>0</v>
      </c>
      <c r="AD35" s="685">
        <f>IF(AC35=0,,VLOOKUP(AC35,リスト!DK:DL,2,0))</f>
        <v>0</v>
      </c>
      <c r="AE35" s="670">
        <f>IF(Y35=0,,
IF(OR(リスト!$C$21="小麦",リスト!$C$21="二条大麦",リスト!$C$21="六条大麦",リスト!$C$21="はだか麦",リスト!$C$21="なたね"),IF(K35&lt;9,調査年-J35,調査年-J35-1),
IF(リスト!$C$21="さとうきび",IF(K35&gt;=4,調査年-J35,調査年-J35+1),
調査年-J35)))</f>
        <v>0</v>
      </c>
      <c r="AF35" s="385">
        <f t="shared" si="2"/>
        <v>0</v>
      </c>
      <c r="AG35" s="385">
        <f t="shared" si="3"/>
        <v>0</v>
      </c>
      <c r="AH35" s="385">
        <f t="shared" si="4"/>
        <v>0</v>
      </c>
      <c r="AI35" s="385">
        <f t="shared" si="5"/>
        <v>0</v>
      </c>
      <c r="AJ35" s="385">
        <f t="shared" si="6"/>
        <v>0</v>
      </c>
      <c r="AK35" s="385">
        <f t="shared" si="14"/>
        <v>0</v>
      </c>
      <c r="AL35" s="385">
        <f t="shared" si="7"/>
        <v>0</v>
      </c>
      <c r="AM35" s="385">
        <f t="shared" si="8"/>
        <v>0</v>
      </c>
      <c r="AN35" s="394"/>
      <c r="AO35" s="672">
        <f>IF(OR(P35=0,AG35=0),,
IF(OR(リスト!$C$21="小麦",リスト!$C$21="二条大麦",リスト!$C$21="六条大麦",リスト!$C$21="はだか麦",リスト!$C$21="なたね"),IF(OR(AND(K35&lt;9,J35=調査年),AND(K35&gt;=9,J35=調査年-1)),,ROUND(AG35*P35%,0)),
IF(リスト!$C$21="さとうきび",IF(OR(AND(K35&gt;=4,J35=調査年),AND(K35&lt;4,J35=調査年+1)),,ROUND(AG35*P35%,0)),
IF(J35=調査年,,ROUND(AG35*P35%,0)))))</f>
        <v>0</v>
      </c>
      <c r="AP35" s="672">
        <f t="shared" si="9"/>
        <v>0</v>
      </c>
      <c r="AQ35" s="385">
        <f t="shared" si="10"/>
        <v>0</v>
      </c>
      <c r="AR35" s="672">
        <f t="shared" si="11"/>
        <v>0</v>
      </c>
      <c r="AS35" s="385">
        <f>IF(P35=0,,
SUM(
IF(OR(リスト!$C$21="小麦",リスト!$C$21="二条大麦",リスト!$C$21="六条大麦",リスト!$C$21="はだか麦",リスト!$C$21="なたね"),IF(OR(AND(Z35=1,K35&lt;9,J35=調査年),AND(Z35=1,K35&gt;=9,J35=調査年-1)),ROUND(L35*P35%,0),),
IF(リスト!$C$21="さとうきび",IF(OR(AND(Z35=1,K35&gt;=4,J35=調査年),AND(Z35=1,K35&lt;4,J35=調査年+1)),ROUND(L35*P35%,0),),
IF(AND(Z35=1,J35=調査年),ROUND(L35*P35%,0),))),
ROUND(N35*P35%,0),
ROUND(SUM(AK35)*P35%,0)
))</f>
        <v>0</v>
      </c>
      <c r="AT35" s="385">
        <f t="shared" si="12"/>
        <v>0</v>
      </c>
      <c r="AU35" s="385" t="str">
        <f t="shared" si="13"/>
        <v/>
      </c>
      <c r="AV35" s="686"/>
      <c r="AW35" s="686"/>
      <c r="AX35" s="686"/>
      <c r="AY35" s="686"/>
      <c r="AZ35" s="686"/>
    </row>
    <row r="36" spans="3:52" s="46" customFormat="1" ht="30" hidden="1" customHeight="1" outlineLevel="1">
      <c r="C36" s="674">
        <v>21</v>
      </c>
      <c r="D36" s="687"/>
      <c r="E36" s="676"/>
      <c r="F36" s="677"/>
      <c r="G36" s="1899"/>
      <c r="H36" s="1900"/>
      <c r="I36" s="678"/>
      <c r="J36" s="679"/>
      <c r="K36" s="680"/>
      <c r="L36" s="681"/>
      <c r="M36" s="681"/>
      <c r="N36" s="681"/>
      <c r="O36" s="681"/>
      <c r="P36" s="1094"/>
      <c r="Q36" s="682"/>
      <c r="R36" s="683"/>
      <c r="S36" s="681"/>
      <c r="T36" s="668"/>
      <c r="U36" s="2"/>
      <c r="V36" s="1105"/>
      <c r="W36" s="669"/>
      <c r="X36" s="2"/>
      <c r="Y36" s="684">
        <f t="shared" si="15"/>
        <v>0</v>
      </c>
      <c r="Z36" s="670">
        <f t="shared" si="16"/>
        <v>0</v>
      </c>
      <c r="AA36" s="670">
        <f t="shared" si="17"/>
        <v>0</v>
      </c>
      <c r="AB36" s="684">
        <f>IF(Y36=0,,VLOOKUP(Y36,リスト!CX:CY,2,0))</f>
        <v>0</v>
      </c>
      <c r="AC36" s="684">
        <f t="shared" si="1"/>
        <v>0</v>
      </c>
      <c r="AD36" s="685">
        <f>IF(AC36=0,,VLOOKUP(AC36,リスト!DK:DL,2,0))</f>
        <v>0</v>
      </c>
      <c r="AE36" s="670">
        <f>IF(Y36=0,,
IF(OR(リスト!$C$21="小麦",リスト!$C$21="二条大麦",リスト!$C$21="六条大麦",リスト!$C$21="はだか麦",リスト!$C$21="なたね"),IF(K36&lt;9,調査年-J36,調査年-J36-1),
IF(リスト!$C$21="さとうきび",IF(K36&gt;=4,調査年-J36,調査年-J36+1),
調査年-J36)))</f>
        <v>0</v>
      </c>
      <c r="AF36" s="385">
        <f t="shared" si="2"/>
        <v>0</v>
      </c>
      <c r="AG36" s="385">
        <f t="shared" si="3"/>
        <v>0</v>
      </c>
      <c r="AH36" s="385">
        <f t="shared" si="4"/>
        <v>0</v>
      </c>
      <c r="AI36" s="385">
        <f t="shared" si="5"/>
        <v>0</v>
      </c>
      <c r="AJ36" s="385">
        <f t="shared" si="6"/>
        <v>0</v>
      </c>
      <c r="AK36" s="385">
        <f t="shared" si="14"/>
        <v>0</v>
      </c>
      <c r="AL36" s="385">
        <f t="shared" si="7"/>
        <v>0</v>
      </c>
      <c r="AM36" s="385">
        <f t="shared" si="8"/>
        <v>0</v>
      </c>
      <c r="AN36" s="394"/>
      <c r="AO36" s="672">
        <f>IF(OR(P36=0,AG36=0),,
IF(OR(リスト!$C$21="小麦",リスト!$C$21="二条大麦",リスト!$C$21="六条大麦",リスト!$C$21="はだか麦",リスト!$C$21="なたね"),IF(OR(AND(K36&lt;9,J36=調査年),AND(K36&gt;=9,J36=調査年-1)),,ROUND(AG36*P36%,0)),
IF(リスト!$C$21="さとうきび",IF(OR(AND(K36&gt;=4,J36=調査年),AND(K36&lt;4,J36=調査年+1)),,ROUND(AG36*P36%,0)),
IF(J36=調査年,,ROUND(AG36*P36%,0)))))</f>
        <v>0</v>
      </c>
      <c r="AP36" s="672">
        <f t="shared" si="9"/>
        <v>0</v>
      </c>
      <c r="AQ36" s="385">
        <f t="shared" si="10"/>
        <v>0</v>
      </c>
      <c r="AR36" s="672">
        <f t="shared" si="11"/>
        <v>0</v>
      </c>
      <c r="AS36" s="385">
        <f>IF(P36=0,,
SUM(
IF(OR(リスト!$C$21="小麦",リスト!$C$21="二条大麦",リスト!$C$21="六条大麦",リスト!$C$21="はだか麦",リスト!$C$21="なたね"),IF(OR(AND(Z36=1,K36&lt;9,J36=調査年),AND(Z36=1,K36&gt;=9,J36=調査年-1)),ROUND(L36*P36%,0),),
IF(リスト!$C$21="さとうきび",IF(OR(AND(Z36=1,K36&gt;=4,J36=調査年),AND(Z36=1,K36&lt;4,J36=調査年+1)),ROUND(L36*P36%,0),),
IF(AND(Z36=1,J36=調査年),ROUND(L36*P36%,0),))),
ROUND(N36*P36%,0),
ROUND(SUM(AK36)*P36%,0)
))</f>
        <v>0</v>
      </c>
      <c r="AT36" s="385">
        <f t="shared" si="12"/>
        <v>0</v>
      </c>
      <c r="AU36" s="385" t="str">
        <f t="shared" si="13"/>
        <v/>
      </c>
      <c r="AV36" s="686"/>
      <c r="AW36" s="686"/>
      <c r="AX36" s="686"/>
      <c r="AY36" s="686"/>
      <c r="AZ36" s="686"/>
    </row>
    <row r="37" spans="3:52" s="46" customFormat="1" ht="30" hidden="1" customHeight="1" outlineLevel="1">
      <c r="C37" s="674">
        <v>22</v>
      </c>
      <c r="D37" s="687"/>
      <c r="E37" s="676"/>
      <c r="F37" s="677"/>
      <c r="G37" s="1899"/>
      <c r="H37" s="1900"/>
      <c r="I37" s="678"/>
      <c r="J37" s="679"/>
      <c r="K37" s="680"/>
      <c r="L37" s="681"/>
      <c r="M37" s="681"/>
      <c r="N37" s="681"/>
      <c r="O37" s="681"/>
      <c r="P37" s="1094"/>
      <c r="Q37" s="682"/>
      <c r="R37" s="683"/>
      <c r="S37" s="681"/>
      <c r="T37" s="668"/>
      <c r="U37" s="2"/>
      <c r="V37" s="1105"/>
      <c r="W37" s="669"/>
      <c r="X37" s="2"/>
      <c r="Y37" s="684">
        <f t="shared" si="15"/>
        <v>0</v>
      </c>
      <c r="Z37" s="670">
        <f t="shared" si="16"/>
        <v>0</v>
      </c>
      <c r="AA37" s="670">
        <f t="shared" si="17"/>
        <v>0</v>
      </c>
      <c r="AB37" s="684">
        <f>IF(Y37=0,,VLOOKUP(Y37,リスト!CX:CY,2,0))</f>
        <v>0</v>
      </c>
      <c r="AC37" s="684">
        <f t="shared" si="1"/>
        <v>0</v>
      </c>
      <c r="AD37" s="685">
        <f>IF(AC37=0,,VLOOKUP(AC37,リスト!DK:DL,2,0))</f>
        <v>0</v>
      </c>
      <c r="AE37" s="670">
        <f>IF(Y37=0,,
IF(OR(リスト!$C$21="小麦",リスト!$C$21="二条大麦",リスト!$C$21="六条大麦",リスト!$C$21="はだか麦",リスト!$C$21="なたね"),IF(K37&lt;9,調査年-J37,調査年-J37-1),
IF(リスト!$C$21="さとうきび",IF(K37&gt;=4,調査年-J37,調査年-J37+1),
調査年-J37)))</f>
        <v>0</v>
      </c>
      <c r="AF37" s="385">
        <f t="shared" si="2"/>
        <v>0</v>
      </c>
      <c r="AG37" s="385">
        <f t="shared" si="3"/>
        <v>0</v>
      </c>
      <c r="AH37" s="385">
        <f t="shared" si="4"/>
        <v>0</v>
      </c>
      <c r="AI37" s="385">
        <f t="shared" si="5"/>
        <v>0</v>
      </c>
      <c r="AJ37" s="385">
        <f t="shared" si="6"/>
        <v>0</v>
      </c>
      <c r="AK37" s="385">
        <f t="shared" si="14"/>
        <v>0</v>
      </c>
      <c r="AL37" s="385">
        <f t="shared" si="7"/>
        <v>0</v>
      </c>
      <c r="AM37" s="385">
        <f t="shared" si="8"/>
        <v>0</v>
      </c>
      <c r="AN37" s="394"/>
      <c r="AO37" s="672">
        <f>IF(OR(P37=0,AG37=0),,
IF(OR(リスト!$C$21="小麦",リスト!$C$21="二条大麦",リスト!$C$21="六条大麦",リスト!$C$21="はだか麦",リスト!$C$21="なたね"),IF(OR(AND(K37&lt;9,J37=調査年),AND(K37&gt;=9,J37=調査年-1)),,ROUND(AG37*P37%,0)),
IF(リスト!$C$21="さとうきび",IF(OR(AND(K37&gt;=4,J37=調査年),AND(K37&lt;4,J37=調査年+1)),,ROUND(AG37*P37%,0)),
IF(J37=調査年,,ROUND(AG37*P37%,0)))))</f>
        <v>0</v>
      </c>
      <c r="AP37" s="672">
        <f t="shared" si="9"/>
        <v>0</v>
      </c>
      <c r="AQ37" s="385">
        <f t="shared" si="10"/>
        <v>0</v>
      </c>
      <c r="AR37" s="672">
        <f t="shared" si="11"/>
        <v>0</v>
      </c>
      <c r="AS37" s="385">
        <f>IF(P37=0,,
SUM(
IF(OR(リスト!$C$21="小麦",リスト!$C$21="二条大麦",リスト!$C$21="六条大麦",リスト!$C$21="はだか麦",リスト!$C$21="なたね"),IF(OR(AND(Z37=1,K37&lt;9,J37=調査年),AND(Z37=1,K37&gt;=9,J37=調査年-1)),ROUND(L37*P37%,0),),
IF(リスト!$C$21="さとうきび",IF(OR(AND(Z37=1,K37&gt;=4,J37=調査年),AND(Z37=1,K37&lt;4,J37=調査年+1)),ROUND(L37*P37%,0),),
IF(AND(Z37=1,J37=調査年),ROUND(L37*P37%,0),))),
ROUND(N37*P37%,0),
ROUND(SUM(AK37)*P37%,0)
))</f>
        <v>0</v>
      </c>
      <c r="AT37" s="385">
        <f t="shared" si="12"/>
        <v>0</v>
      </c>
      <c r="AU37" s="385" t="str">
        <f t="shared" si="13"/>
        <v/>
      </c>
      <c r="AV37" s="686"/>
      <c r="AW37" s="686"/>
      <c r="AX37" s="686"/>
      <c r="AY37" s="686"/>
      <c r="AZ37" s="686"/>
    </row>
    <row r="38" spans="3:52" s="46" customFormat="1" ht="30" hidden="1" customHeight="1" outlineLevel="1">
      <c r="C38" s="674">
        <v>23</v>
      </c>
      <c r="D38" s="687"/>
      <c r="E38" s="676"/>
      <c r="F38" s="677"/>
      <c r="G38" s="1899"/>
      <c r="H38" s="1900"/>
      <c r="I38" s="678"/>
      <c r="J38" s="679"/>
      <c r="K38" s="680"/>
      <c r="L38" s="681"/>
      <c r="M38" s="681"/>
      <c r="N38" s="681"/>
      <c r="O38" s="681"/>
      <c r="P38" s="1094"/>
      <c r="Q38" s="682"/>
      <c r="R38" s="683"/>
      <c r="S38" s="681"/>
      <c r="T38" s="668"/>
      <c r="U38" s="2"/>
      <c r="V38" s="1105"/>
      <c r="W38" s="669"/>
      <c r="X38" s="2"/>
      <c r="Y38" s="684">
        <f t="shared" si="15"/>
        <v>0</v>
      </c>
      <c r="Z38" s="670">
        <f t="shared" si="16"/>
        <v>0</v>
      </c>
      <c r="AA38" s="670">
        <f t="shared" si="17"/>
        <v>0</v>
      </c>
      <c r="AB38" s="684">
        <f>IF(Y38=0,,VLOOKUP(Y38,リスト!CX:CY,2,0))</f>
        <v>0</v>
      </c>
      <c r="AC38" s="684">
        <f t="shared" si="1"/>
        <v>0</v>
      </c>
      <c r="AD38" s="685">
        <f>IF(AC38=0,,VLOOKUP(AC38,リスト!DK:DL,2,0))</f>
        <v>0</v>
      </c>
      <c r="AE38" s="670">
        <f>IF(Y38=0,,
IF(OR(リスト!$C$21="小麦",リスト!$C$21="二条大麦",リスト!$C$21="六条大麦",リスト!$C$21="はだか麦",リスト!$C$21="なたね"),IF(K38&lt;9,調査年-J38,調査年-J38-1),
IF(リスト!$C$21="さとうきび",IF(K38&gt;=4,調査年-J38,調査年-J38+1),
調査年-J38)))</f>
        <v>0</v>
      </c>
      <c r="AF38" s="385">
        <f t="shared" si="2"/>
        <v>0</v>
      </c>
      <c r="AG38" s="385">
        <f t="shared" si="3"/>
        <v>0</v>
      </c>
      <c r="AH38" s="385">
        <f t="shared" si="4"/>
        <v>0</v>
      </c>
      <c r="AI38" s="385">
        <f t="shared" si="5"/>
        <v>0</v>
      </c>
      <c r="AJ38" s="385">
        <f t="shared" si="6"/>
        <v>0</v>
      </c>
      <c r="AK38" s="385">
        <f t="shared" si="14"/>
        <v>0</v>
      </c>
      <c r="AL38" s="385">
        <f t="shared" si="7"/>
        <v>0</v>
      </c>
      <c r="AM38" s="385">
        <f t="shared" si="8"/>
        <v>0</v>
      </c>
      <c r="AN38" s="394"/>
      <c r="AO38" s="672">
        <f>IF(OR(P38=0,AG38=0),,
IF(OR(リスト!$C$21="小麦",リスト!$C$21="二条大麦",リスト!$C$21="六条大麦",リスト!$C$21="はだか麦",リスト!$C$21="なたね"),IF(OR(AND(K38&lt;9,J38=調査年),AND(K38&gt;=9,J38=調査年-1)),,ROUND(AG38*P38%,0)),
IF(リスト!$C$21="さとうきび",IF(OR(AND(K38&gt;=4,J38=調査年),AND(K38&lt;4,J38=調査年+1)),,ROUND(AG38*P38%,0)),
IF(J38=調査年,,ROUND(AG38*P38%,0)))))</f>
        <v>0</v>
      </c>
      <c r="AP38" s="672">
        <f t="shared" si="9"/>
        <v>0</v>
      </c>
      <c r="AQ38" s="385">
        <f t="shared" si="10"/>
        <v>0</v>
      </c>
      <c r="AR38" s="672">
        <f t="shared" si="11"/>
        <v>0</v>
      </c>
      <c r="AS38" s="385">
        <f>IF(P38=0,,
SUM(
IF(OR(リスト!$C$21="小麦",リスト!$C$21="二条大麦",リスト!$C$21="六条大麦",リスト!$C$21="はだか麦",リスト!$C$21="なたね"),IF(OR(AND(Z38=1,K38&lt;9,J38=調査年),AND(Z38=1,K38&gt;=9,J38=調査年-1)),ROUND(L38*P38%,0),),
IF(リスト!$C$21="さとうきび",IF(OR(AND(Z38=1,K38&gt;=4,J38=調査年),AND(Z38=1,K38&lt;4,J38=調査年+1)),ROUND(L38*P38%,0),),
IF(AND(Z38=1,J38=調査年),ROUND(L38*P38%,0),))),
ROUND(N38*P38%,0),
ROUND(SUM(AK38)*P38%,0)
))</f>
        <v>0</v>
      </c>
      <c r="AT38" s="385">
        <f t="shared" si="12"/>
        <v>0</v>
      </c>
      <c r="AU38" s="385" t="str">
        <f t="shared" si="13"/>
        <v/>
      </c>
      <c r="AV38" s="686"/>
      <c r="AW38" s="686"/>
      <c r="AX38" s="686"/>
      <c r="AY38" s="686"/>
      <c r="AZ38" s="686"/>
    </row>
    <row r="39" spans="3:52" s="46" customFormat="1" ht="30" hidden="1" customHeight="1" outlineLevel="1">
      <c r="C39" s="674">
        <v>24</v>
      </c>
      <c r="D39" s="687"/>
      <c r="E39" s="676"/>
      <c r="F39" s="677"/>
      <c r="G39" s="1899"/>
      <c r="H39" s="1900"/>
      <c r="I39" s="678"/>
      <c r="J39" s="679"/>
      <c r="K39" s="680"/>
      <c r="L39" s="681"/>
      <c r="M39" s="681"/>
      <c r="N39" s="681"/>
      <c r="O39" s="681"/>
      <c r="P39" s="1094"/>
      <c r="Q39" s="682"/>
      <c r="R39" s="683"/>
      <c r="S39" s="681"/>
      <c r="T39" s="668"/>
      <c r="U39" s="2"/>
      <c r="V39" s="1105"/>
      <c r="W39" s="669"/>
      <c r="X39" s="2"/>
      <c r="Y39" s="684">
        <f t="shared" si="15"/>
        <v>0</v>
      </c>
      <c r="Z39" s="670">
        <f t="shared" si="16"/>
        <v>0</v>
      </c>
      <c r="AA39" s="670">
        <f t="shared" si="17"/>
        <v>0</v>
      </c>
      <c r="AB39" s="684">
        <f>IF(Y39=0,,VLOOKUP(Y39,リスト!CX:CY,2,0))</f>
        <v>0</v>
      </c>
      <c r="AC39" s="684">
        <f t="shared" si="1"/>
        <v>0</v>
      </c>
      <c r="AD39" s="685">
        <f>IF(AC39=0,,VLOOKUP(AC39,リスト!DK:DL,2,0))</f>
        <v>0</v>
      </c>
      <c r="AE39" s="670">
        <f>IF(Y39=0,,
IF(OR(リスト!$C$21="小麦",リスト!$C$21="二条大麦",リスト!$C$21="六条大麦",リスト!$C$21="はだか麦",リスト!$C$21="なたね"),IF(K39&lt;9,調査年-J39,調査年-J39-1),
IF(リスト!$C$21="さとうきび",IF(K39&gt;=4,調査年-J39,調査年-J39+1),
調査年-J39)))</f>
        <v>0</v>
      </c>
      <c r="AF39" s="385">
        <f t="shared" si="2"/>
        <v>0</v>
      </c>
      <c r="AG39" s="385">
        <f t="shared" si="3"/>
        <v>0</v>
      </c>
      <c r="AH39" s="385">
        <f t="shared" si="4"/>
        <v>0</v>
      </c>
      <c r="AI39" s="385">
        <f t="shared" si="5"/>
        <v>0</v>
      </c>
      <c r="AJ39" s="385">
        <f t="shared" si="6"/>
        <v>0</v>
      </c>
      <c r="AK39" s="385">
        <f t="shared" si="14"/>
        <v>0</v>
      </c>
      <c r="AL39" s="385">
        <f t="shared" si="7"/>
        <v>0</v>
      </c>
      <c r="AM39" s="385">
        <f t="shared" si="8"/>
        <v>0</v>
      </c>
      <c r="AN39" s="394"/>
      <c r="AO39" s="672">
        <f>IF(OR(P39=0,AG39=0),,
IF(OR(リスト!$C$21="小麦",リスト!$C$21="二条大麦",リスト!$C$21="六条大麦",リスト!$C$21="はだか麦",リスト!$C$21="なたね"),IF(OR(AND(K39&lt;9,J39=調査年),AND(K39&gt;=9,J39=調査年-1)),,ROUND(AG39*P39%,0)),
IF(リスト!$C$21="さとうきび",IF(OR(AND(K39&gt;=4,J39=調査年),AND(K39&lt;4,J39=調査年+1)),,ROUND(AG39*P39%,0)),
IF(J39=調査年,,ROUND(AG39*P39%,0)))))</f>
        <v>0</v>
      </c>
      <c r="AP39" s="672">
        <f t="shared" si="9"/>
        <v>0</v>
      </c>
      <c r="AQ39" s="385">
        <f t="shared" si="10"/>
        <v>0</v>
      </c>
      <c r="AR39" s="672">
        <f t="shared" si="11"/>
        <v>0</v>
      </c>
      <c r="AS39" s="385">
        <f>IF(P39=0,,
SUM(
IF(OR(リスト!$C$21="小麦",リスト!$C$21="二条大麦",リスト!$C$21="六条大麦",リスト!$C$21="はだか麦",リスト!$C$21="なたね"),IF(OR(AND(Z39=1,K39&lt;9,J39=調査年),AND(Z39=1,K39&gt;=9,J39=調査年-1)),ROUND(L39*P39%,0),),
IF(リスト!$C$21="さとうきび",IF(OR(AND(Z39=1,K39&gt;=4,J39=調査年),AND(Z39=1,K39&lt;4,J39=調査年+1)),ROUND(L39*P39%,0),),
IF(AND(Z39=1,J39=調査年),ROUND(L39*P39%,0),))),
ROUND(N39*P39%,0),
ROUND(SUM(AK39)*P39%,0)
))</f>
        <v>0</v>
      </c>
      <c r="AT39" s="385">
        <f t="shared" si="12"/>
        <v>0</v>
      </c>
      <c r="AU39" s="385" t="str">
        <f t="shared" si="13"/>
        <v/>
      </c>
      <c r="AV39" s="686"/>
      <c r="AW39" s="686"/>
      <c r="AX39" s="686"/>
      <c r="AY39" s="686"/>
      <c r="AZ39" s="686"/>
    </row>
    <row r="40" spans="3:52" s="46" customFormat="1" ht="30" hidden="1" customHeight="1" outlineLevel="1">
      <c r="C40" s="674">
        <v>25</v>
      </c>
      <c r="D40" s="687"/>
      <c r="E40" s="676"/>
      <c r="F40" s="677"/>
      <c r="G40" s="1899"/>
      <c r="H40" s="1900"/>
      <c r="I40" s="678"/>
      <c r="J40" s="679"/>
      <c r="K40" s="680"/>
      <c r="L40" s="681"/>
      <c r="M40" s="681"/>
      <c r="N40" s="681"/>
      <c r="O40" s="681"/>
      <c r="P40" s="1094"/>
      <c r="Q40" s="682"/>
      <c r="R40" s="683"/>
      <c r="S40" s="681"/>
      <c r="T40" s="668"/>
      <c r="U40" s="2"/>
      <c r="V40" s="1105"/>
      <c r="W40" s="669"/>
      <c r="X40" s="2"/>
      <c r="Y40" s="684">
        <f t="shared" si="15"/>
        <v>0</v>
      </c>
      <c r="Z40" s="670">
        <f t="shared" si="16"/>
        <v>0</v>
      </c>
      <c r="AA40" s="670">
        <f t="shared" si="17"/>
        <v>0</v>
      </c>
      <c r="AB40" s="684">
        <f>IF(Y40=0,,VLOOKUP(Y40,リスト!CX:CY,2,0))</f>
        <v>0</v>
      </c>
      <c r="AC40" s="684">
        <f t="shared" si="1"/>
        <v>0</v>
      </c>
      <c r="AD40" s="685">
        <f>IF(AC40=0,,VLOOKUP(AC40,リスト!DK:DL,2,0))</f>
        <v>0</v>
      </c>
      <c r="AE40" s="670">
        <f>IF(Y40=0,,
IF(OR(リスト!$C$21="小麦",リスト!$C$21="二条大麦",リスト!$C$21="六条大麦",リスト!$C$21="はだか麦",リスト!$C$21="なたね"),IF(K40&lt;9,調査年-J40,調査年-J40-1),
IF(リスト!$C$21="さとうきび",IF(K40&gt;=4,調査年-J40,調査年-J40+1),
調査年-J40)))</f>
        <v>0</v>
      </c>
      <c r="AF40" s="385">
        <f t="shared" si="2"/>
        <v>0</v>
      </c>
      <c r="AG40" s="385">
        <f t="shared" si="3"/>
        <v>0</v>
      </c>
      <c r="AH40" s="385">
        <f t="shared" si="4"/>
        <v>0</v>
      </c>
      <c r="AI40" s="385">
        <f t="shared" si="5"/>
        <v>0</v>
      </c>
      <c r="AJ40" s="385">
        <f t="shared" si="6"/>
        <v>0</v>
      </c>
      <c r="AK40" s="385">
        <f t="shared" si="14"/>
        <v>0</v>
      </c>
      <c r="AL40" s="385">
        <f t="shared" si="7"/>
        <v>0</v>
      </c>
      <c r="AM40" s="385">
        <f t="shared" si="8"/>
        <v>0</v>
      </c>
      <c r="AN40" s="394"/>
      <c r="AO40" s="672">
        <f>IF(OR(P40=0,AG40=0),,
IF(OR(リスト!$C$21="小麦",リスト!$C$21="二条大麦",リスト!$C$21="六条大麦",リスト!$C$21="はだか麦",リスト!$C$21="なたね"),IF(OR(AND(K40&lt;9,J40=調査年),AND(K40&gt;=9,J40=調査年-1)),,ROUND(AG40*P40%,0)),
IF(リスト!$C$21="さとうきび",IF(OR(AND(K40&gt;=4,J40=調査年),AND(K40&lt;4,J40=調査年+1)),,ROUND(AG40*P40%,0)),
IF(J40=調査年,,ROUND(AG40*P40%,0)))))</f>
        <v>0</v>
      </c>
      <c r="AP40" s="672">
        <f t="shared" si="9"/>
        <v>0</v>
      </c>
      <c r="AQ40" s="385">
        <f t="shared" si="10"/>
        <v>0</v>
      </c>
      <c r="AR40" s="672">
        <f t="shared" si="11"/>
        <v>0</v>
      </c>
      <c r="AS40" s="385">
        <f>IF(P40=0,,
SUM(
IF(OR(リスト!$C$21="小麦",リスト!$C$21="二条大麦",リスト!$C$21="六条大麦",リスト!$C$21="はだか麦",リスト!$C$21="なたね"),IF(OR(AND(Z40=1,K40&lt;9,J40=調査年),AND(Z40=1,K40&gt;=9,J40=調査年-1)),ROUND(L40*P40%,0),),
IF(リスト!$C$21="さとうきび",IF(OR(AND(Z40=1,K40&gt;=4,J40=調査年),AND(Z40=1,K40&lt;4,J40=調査年+1)),ROUND(L40*P40%,0),),
IF(AND(Z40=1,J40=調査年),ROUND(L40*P40%,0),))),
ROUND(N40*P40%,0),
ROUND(SUM(AK40)*P40%,0)
))</f>
        <v>0</v>
      </c>
      <c r="AT40" s="385">
        <f t="shared" si="12"/>
        <v>0</v>
      </c>
      <c r="AU40" s="385" t="str">
        <f t="shared" si="13"/>
        <v/>
      </c>
      <c r="AV40" s="686"/>
      <c r="AW40" s="686"/>
      <c r="AX40" s="686"/>
      <c r="AY40" s="686"/>
      <c r="AZ40" s="686"/>
    </row>
    <row r="41" spans="3:52" s="46" customFormat="1" ht="30" hidden="1" customHeight="1" outlineLevel="1">
      <c r="C41" s="674">
        <v>26</v>
      </c>
      <c r="D41" s="687"/>
      <c r="E41" s="676"/>
      <c r="F41" s="677"/>
      <c r="G41" s="1899"/>
      <c r="H41" s="1900"/>
      <c r="I41" s="678"/>
      <c r="J41" s="679"/>
      <c r="K41" s="680"/>
      <c r="L41" s="681"/>
      <c r="M41" s="681"/>
      <c r="N41" s="681"/>
      <c r="O41" s="681"/>
      <c r="P41" s="1094"/>
      <c r="Q41" s="682"/>
      <c r="R41" s="683"/>
      <c r="S41" s="681"/>
      <c r="T41" s="668"/>
      <c r="U41" s="2"/>
      <c r="V41" s="1105"/>
      <c r="W41" s="669"/>
      <c r="X41" s="2"/>
      <c r="Y41" s="684">
        <f t="shared" si="15"/>
        <v>0</v>
      </c>
      <c r="Z41" s="670">
        <f t="shared" si="16"/>
        <v>0</v>
      </c>
      <c r="AA41" s="670">
        <f t="shared" si="17"/>
        <v>0</v>
      </c>
      <c r="AB41" s="684">
        <f>IF(Y41=0,,VLOOKUP(Y41,リスト!CX:CY,2,0))</f>
        <v>0</v>
      </c>
      <c r="AC41" s="684">
        <f t="shared" si="1"/>
        <v>0</v>
      </c>
      <c r="AD41" s="685">
        <f>IF(AC41=0,,VLOOKUP(AC41,リスト!DK:DL,2,0))</f>
        <v>0</v>
      </c>
      <c r="AE41" s="670">
        <f>IF(Y41=0,,
IF(OR(リスト!$C$21="小麦",リスト!$C$21="二条大麦",リスト!$C$21="六条大麦",リスト!$C$21="はだか麦",リスト!$C$21="なたね"),IF(K41&lt;9,調査年-J41,調査年-J41-1),
IF(リスト!$C$21="さとうきび",IF(K41&gt;=4,調査年-J41,調査年-J41+1),
調査年-J41)))</f>
        <v>0</v>
      </c>
      <c r="AF41" s="385">
        <f t="shared" si="2"/>
        <v>0</v>
      </c>
      <c r="AG41" s="385">
        <f t="shared" si="3"/>
        <v>0</v>
      </c>
      <c r="AH41" s="385">
        <f t="shared" si="4"/>
        <v>0</v>
      </c>
      <c r="AI41" s="385">
        <f t="shared" si="5"/>
        <v>0</v>
      </c>
      <c r="AJ41" s="385">
        <f t="shared" si="6"/>
        <v>0</v>
      </c>
      <c r="AK41" s="385">
        <f t="shared" si="14"/>
        <v>0</v>
      </c>
      <c r="AL41" s="385">
        <f t="shared" si="7"/>
        <v>0</v>
      </c>
      <c r="AM41" s="385">
        <f t="shared" si="8"/>
        <v>0</v>
      </c>
      <c r="AN41" s="394"/>
      <c r="AO41" s="672">
        <f>IF(OR(P41=0,AG41=0),,
IF(OR(リスト!$C$21="小麦",リスト!$C$21="二条大麦",リスト!$C$21="六条大麦",リスト!$C$21="はだか麦",リスト!$C$21="なたね"),IF(OR(AND(K41&lt;9,J41=調査年),AND(K41&gt;=9,J41=調査年-1)),,ROUND(AG41*P41%,0)),
IF(リスト!$C$21="さとうきび",IF(OR(AND(K41&gt;=4,J41=調査年),AND(K41&lt;4,J41=調査年+1)),,ROUND(AG41*P41%,0)),
IF(J41=調査年,,ROUND(AG41*P41%,0)))))</f>
        <v>0</v>
      </c>
      <c r="AP41" s="672">
        <f t="shared" si="9"/>
        <v>0</v>
      </c>
      <c r="AQ41" s="385">
        <f t="shared" si="10"/>
        <v>0</v>
      </c>
      <c r="AR41" s="672">
        <f t="shared" si="11"/>
        <v>0</v>
      </c>
      <c r="AS41" s="385">
        <f>IF(P41=0,,
SUM(
IF(OR(リスト!$C$21="小麦",リスト!$C$21="二条大麦",リスト!$C$21="六条大麦",リスト!$C$21="はだか麦",リスト!$C$21="なたね"),IF(OR(AND(Z41=1,K41&lt;9,J41=調査年),AND(Z41=1,K41&gt;=9,J41=調査年-1)),ROUND(L41*P41%,0),),
IF(リスト!$C$21="さとうきび",IF(OR(AND(Z41=1,K41&gt;=4,J41=調査年),AND(Z41=1,K41&lt;4,J41=調査年+1)),ROUND(L41*P41%,0),),
IF(AND(Z41=1,J41=調査年),ROUND(L41*P41%,0),))),
ROUND(N41*P41%,0),
ROUND(SUM(AK41)*P41%,0)
))</f>
        <v>0</v>
      </c>
      <c r="AT41" s="385">
        <f t="shared" si="12"/>
        <v>0</v>
      </c>
      <c r="AU41" s="385" t="str">
        <f t="shared" si="13"/>
        <v/>
      </c>
      <c r="AV41" s="686"/>
      <c r="AW41" s="686"/>
      <c r="AX41" s="686"/>
      <c r="AY41" s="686"/>
      <c r="AZ41" s="686"/>
    </row>
    <row r="42" spans="3:52" s="46" customFormat="1" ht="30" hidden="1" customHeight="1" outlineLevel="1">
      <c r="C42" s="674">
        <v>27</v>
      </c>
      <c r="D42" s="687"/>
      <c r="E42" s="676"/>
      <c r="F42" s="677"/>
      <c r="G42" s="1899"/>
      <c r="H42" s="1900"/>
      <c r="I42" s="678"/>
      <c r="J42" s="679"/>
      <c r="K42" s="680"/>
      <c r="L42" s="681"/>
      <c r="M42" s="681"/>
      <c r="N42" s="681"/>
      <c r="O42" s="681"/>
      <c r="P42" s="1094"/>
      <c r="Q42" s="682"/>
      <c r="R42" s="683"/>
      <c r="S42" s="681"/>
      <c r="T42" s="668"/>
      <c r="U42" s="2"/>
      <c r="V42" s="1105"/>
      <c r="W42" s="669"/>
      <c r="X42" s="2"/>
      <c r="Y42" s="684">
        <f t="shared" si="15"/>
        <v>0</v>
      </c>
      <c r="Z42" s="670">
        <f t="shared" si="16"/>
        <v>0</v>
      </c>
      <c r="AA42" s="670">
        <f t="shared" si="17"/>
        <v>0</v>
      </c>
      <c r="AB42" s="684">
        <f>IF(Y42=0,,VLOOKUP(Y42,リスト!CX:CY,2,0))</f>
        <v>0</v>
      </c>
      <c r="AC42" s="684">
        <f t="shared" si="1"/>
        <v>0</v>
      </c>
      <c r="AD42" s="685">
        <f>IF(AC42=0,,VLOOKUP(AC42,リスト!DK:DL,2,0))</f>
        <v>0</v>
      </c>
      <c r="AE42" s="670">
        <f>IF(Y42=0,,
IF(OR(リスト!$C$21="小麦",リスト!$C$21="二条大麦",リスト!$C$21="六条大麦",リスト!$C$21="はだか麦",リスト!$C$21="なたね"),IF(K42&lt;9,調査年-J42,調査年-J42-1),
IF(リスト!$C$21="さとうきび",IF(K42&gt;=4,調査年-J42,調査年-J42+1),
調査年-J42)))</f>
        <v>0</v>
      </c>
      <c r="AF42" s="385">
        <f t="shared" si="2"/>
        <v>0</v>
      </c>
      <c r="AG42" s="385">
        <f t="shared" si="3"/>
        <v>0</v>
      </c>
      <c r="AH42" s="385">
        <f t="shared" si="4"/>
        <v>0</v>
      </c>
      <c r="AI42" s="385">
        <f t="shared" si="5"/>
        <v>0</v>
      </c>
      <c r="AJ42" s="385">
        <f t="shared" si="6"/>
        <v>0</v>
      </c>
      <c r="AK42" s="385">
        <f t="shared" si="14"/>
        <v>0</v>
      </c>
      <c r="AL42" s="385">
        <f t="shared" si="7"/>
        <v>0</v>
      </c>
      <c r="AM42" s="385">
        <f t="shared" si="8"/>
        <v>0</v>
      </c>
      <c r="AN42" s="394"/>
      <c r="AO42" s="672">
        <f>IF(OR(P42=0,AG42=0),,
IF(OR(リスト!$C$21="小麦",リスト!$C$21="二条大麦",リスト!$C$21="六条大麦",リスト!$C$21="はだか麦",リスト!$C$21="なたね"),IF(OR(AND(K42&lt;9,J42=調査年),AND(K42&gt;=9,J42=調査年-1)),,ROUND(AG42*P42%,0)),
IF(リスト!$C$21="さとうきび",IF(OR(AND(K42&gt;=4,J42=調査年),AND(K42&lt;4,J42=調査年+1)),,ROUND(AG42*P42%,0)),
IF(J42=調査年,,ROUND(AG42*P42%,0)))))</f>
        <v>0</v>
      </c>
      <c r="AP42" s="672">
        <f t="shared" si="9"/>
        <v>0</v>
      </c>
      <c r="AQ42" s="385">
        <f t="shared" si="10"/>
        <v>0</v>
      </c>
      <c r="AR42" s="672">
        <f t="shared" si="11"/>
        <v>0</v>
      </c>
      <c r="AS42" s="385">
        <f>IF(P42=0,,
SUM(
IF(OR(リスト!$C$21="小麦",リスト!$C$21="二条大麦",リスト!$C$21="六条大麦",リスト!$C$21="はだか麦",リスト!$C$21="なたね"),IF(OR(AND(Z42=1,K42&lt;9,J42=調査年),AND(Z42=1,K42&gt;=9,J42=調査年-1)),ROUND(L42*P42%,0),),
IF(リスト!$C$21="さとうきび",IF(OR(AND(Z42=1,K42&gt;=4,J42=調査年),AND(Z42=1,K42&lt;4,J42=調査年+1)),ROUND(L42*P42%,0),),
IF(AND(Z42=1,J42=調査年),ROUND(L42*P42%,0),))),
ROUND(N42*P42%,0),
ROUND(SUM(AK42)*P42%,0)
))</f>
        <v>0</v>
      </c>
      <c r="AT42" s="385">
        <f t="shared" si="12"/>
        <v>0</v>
      </c>
      <c r="AU42" s="385" t="str">
        <f t="shared" si="13"/>
        <v/>
      </c>
      <c r="AV42" s="686"/>
      <c r="AW42" s="686"/>
      <c r="AX42" s="686"/>
      <c r="AY42" s="686"/>
      <c r="AZ42" s="686"/>
    </row>
    <row r="43" spans="3:52" s="46" customFormat="1" ht="30" hidden="1" customHeight="1" outlineLevel="1">
      <c r="C43" s="674">
        <v>28</v>
      </c>
      <c r="D43" s="687"/>
      <c r="E43" s="676"/>
      <c r="F43" s="677"/>
      <c r="G43" s="1899"/>
      <c r="H43" s="1900"/>
      <c r="I43" s="678"/>
      <c r="J43" s="679"/>
      <c r="K43" s="680"/>
      <c r="L43" s="681"/>
      <c r="M43" s="681"/>
      <c r="N43" s="681"/>
      <c r="O43" s="681"/>
      <c r="P43" s="1094"/>
      <c r="Q43" s="682"/>
      <c r="R43" s="683"/>
      <c r="S43" s="681"/>
      <c r="T43" s="668"/>
      <c r="U43" s="2"/>
      <c r="V43" s="1105"/>
      <c r="W43" s="669"/>
      <c r="X43" s="2"/>
      <c r="Y43" s="684">
        <f t="shared" si="15"/>
        <v>0</v>
      </c>
      <c r="Z43" s="670">
        <f t="shared" si="16"/>
        <v>0</v>
      </c>
      <c r="AA43" s="670">
        <f t="shared" si="17"/>
        <v>0</v>
      </c>
      <c r="AB43" s="684">
        <f>IF(Y43=0,,VLOOKUP(Y43,リスト!CX:CY,2,0))</f>
        <v>0</v>
      </c>
      <c r="AC43" s="684">
        <f t="shared" si="1"/>
        <v>0</v>
      </c>
      <c r="AD43" s="685">
        <f>IF(AC43=0,,VLOOKUP(AC43,リスト!DK:DL,2,0))</f>
        <v>0</v>
      </c>
      <c r="AE43" s="670">
        <f>IF(Y43=0,,
IF(OR(リスト!$C$21="小麦",リスト!$C$21="二条大麦",リスト!$C$21="六条大麦",リスト!$C$21="はだか麦",リスト!$C$21="なたね"),IF(K43&lt;9,調査年-J43,調査年-J43-1),
IF(リスト!$C$21="さとうきび",IF(K43&gt;=4,調査年-J43,調査年-J43+1),
調査年-J43)))</f>
        <v>0</v>
      </c>
      <c r="AF43" s="385">
        <f t="shared" si="2"/>
        <v>0</v>
      </c>
      <c r="AG43" s="385">
        <f t="shared" si="3"/>
        <v>0</v>
      </c>
      <c r="AH43" s="385">
        <f t="shared" si="4"/>
        <v>0</v>
      </c>
      <c r="AI43" s="385">
        <f t="shared" si="5"/>
        <v>0</v>
      </c>
      <c r="AJ43" s="385">
        <f t="shared" si="6"/>
        <v>0</v>
      </c>
      <c r="AK43" s="385">
        <f t="shared" si="14"/>
        <v>0</v>
      </c>
      <c r="AL43" s="385">
        <f t="shared" si="7"/>
        <v>0</v>
      </c>
      <c r="AM43" s="385">
        <f t="shared" si="8"/>
        <v>0</v>
      </c>
      <c r="AN43" s="394"/>
      <c r="AO43" s="672">
        <f>IF(OR(P43=0,AG43=0),,
IF(OR(リスト!$C$21="小麦",リスト!$C$21="二条大麦",リスト!$C$21="六条大麦",リスト!$C$21="はだか麦",リスト!$C$21="なたね"),IF(OR(AND(K43&lt;9,J43=調査年),AND(K43&gt;=9,J43=調査年-1)),,ROUND(AG43*P43%,0)),
IF(リスト!$C$21="さとうきび",IF(OR(AND(K43&gt;=4,J43=調査年),AND(K43&lt;4,J43=調査年+1)),,ROUND(AG43*P43%,0)),
IF(J43=調査年,,ROUND(AG43*P43%,0)))))</f>
        <v>0</v>
      </c>
      <c r="AP43" s="672">
        <f t="shared" si="9"/>
        <v>0</v>
      </c>
      <c r="AQ43" s="385">
        <f t="shared" si="10"/>
        <v>0</v>
      </c>
      <c r="AR43" s="672">
        <f t="shared" si="11"/>
        <v>0</v>
      </c>
      <c r="AS43" s="385">
        <f>IF(P43=0,,
SUM(
IF(OR(リスト!$C$21="小麦",リスト!$C$21="二条大麦",リスト!$C$21="六条大麦",リスト!$C$21="はだか麦",リスト!$C$21="なたね"),IF(OR(AND(Z43=1,K43&lt;9,J43=調査年),AND(Z43=1,K43&gt;=9,J43=調査年-1)),ROUND(L43*P43%,0),),
IF(リスト!$C$21="さとうきび",IF(OR(AND(Z43=1,K43&gt;=4,J43=調査年),AND(Z43=1,K43&lt;4,J43=調査年+1)),ROUND(L43*P43%,0),),
IF(AND(Z43=1,J43=調査年),ROUND(L43*P43%,0),))),
ROUND(N43*P43%,0),
ROUND(SUM(AK43)*P43%,0)
))</f>
        <v>0</v>
      </c>
      <c r="AT43" s="385">
        <f t="shared" si="12"/>
        <v>0</v>
      </c>
      <c r="AU43" s="385" t="str">
        <f t="shared" si="13"/>
        <v/>
      </c>
      <c r="AV43" s="686"/>
      <c r="AW43" s="686"/>
      <c r="AX43" s="686"/>
      <c r="AY43" s="686"/>
      <c r="AZ43" s="686"/>
    </row>
    <row r="44" spans="3:52" s="46" customFormat="1" ht="30" hidden="1" customHeight="1" outlineLevel="1">
      <c r="C44" s="674">
        <v>29</v>
      </c>
      <c r="D44" s="687"/>
      <c r="E44" s="676"/>
      <c r="F44" s="677"/>
      <c r="G44" s="1899"/>
      <c r="H44" s="1900"/>
      <c r="I44" s="678"/>
      <c r="J44" s="679"/>
      <c r="K44" s="680"/>
      <c r="L44" s="681"/>
      <c r="M44" s="681"/>
      <c r="N44" s="681"/>
      <c r="O44" s="681"/>
      <c r="P44" s="1094"/>
      <c r="Q44" s="682"/>
      <c r="R44" s="683"/>
      <c r="S44" s="681"/>
      <c r="T44" s="668"/>
      <c r="U44" s="2"/>
      <c r="V44" s="1105"/>
      <c r="W44" s="669"/>
      <c r="X44" s="2"/>
      <c r="Y44" s="684">
        <f t="shared" si="15"/>
        <v>0</v>
      </c>
      <c r="Z44" s="670">
        <f t="shared" si="16"/>
        <v>0</v>
      </c>
      <c r="AA44" s="670">
        <f t="shared" si="17"/>
        <v>0</v>
      </c>
      <c r="AB44" s="684">
        <f>IF(Y44=0,,VLOOKUP(Y44,リスト!CX:CY,2,0))</f>
        <v>0</v>
      </c>
      <c r="AC44" s="684">
        <f t="shared" si="1"/>
        <v>0</v>
      </c>
      <c r="AD44" s="685">
        <f>IF(AC44=0,,VLOOKUP(AC44,リスト!DK:DL,2,0))</f>
        <v>0</v>
      </c>
      <c r="AE44" s="670">
        <f>IF(Y44=0,,
IF(OR(リスト!$C$21="小麦",リスト!$C$21="二条大麦",リスト!$C$21="六条大麦",リスト!$C$21="はだか麦",リスト!$C$21="なたね"),IF(K44&lt;9,調査年-J44,調査年-J44-1),
IF(リスト!$C$21="さとうきび",IF(K44&gt;=4,調査年-J44,調査年-J44+1),
調査年-J44)))</f>
        <v>0</v>
      </c>
      <c r="AF44" s="385">
        <f t="shared" si="2"/>
        <v>0</v>
      </c>
      <c r="AG44" s="385">
        <f t="shared" si="3"/>
        <v>0</v>
      </c>
      <c r="AH44" s="385">
        <f t="shared" si="4"/>
        <v>0</v>
      </c>
      <c r="AI44" s="385">
        <f t="shared" si="5"/>
        <v>0</v>
      </c>
      <c r="AJ44" s="385">
        <f t="shared" si="6"/>
        <v>0</v>
      </c>
      <c r="AK44" s="385">
        <f t="shared" si="14"/>
        <v>0</v>
      </c>
      <c r="AL44" s="385">
        <f t="shared" si="7"/>
        <v>0</v>
      </c>
      <c r="AM44" s="385">
        <f t="shared" si="8"/>
        <v>0</v>
      </c>
      <c r="AN44" s="394"/>
      <c r="AO44" s="672">
        <f>IF(OR(P44=0,AG44=0),,
IF(OR(リスト!$C$21="小麦",リスト!$C$21="二条大麦",リスト!$C$21="六条大麦",リスト!$C$21="はだか麦",リスト!$C$21="なたね"),IF(OR(AND(K44&lt;9,J44=調査年),AND(K44&gt;=9,J44=調査年-1)),,ROUND(AG44*P44%,0)),
IF(リスト!$C$21="さとうきび",IF(OR(AND(K44&gt;=4,J44=調査年),AND(K44&lt;4,J44=調査年+1)),,ROUND(AG44*P44%,0)),
IF(J44=調査年,,ROUND(AG44*P44%,0)))))</f>
        <v>0</v>
      </c>
      <c r="AP44" s="672">
        <f t="shared" si="9"/>
        <v>0</v>
      </c>
      <c r="AQ44" s="385">
        <f t="shared" si="10"/>
        <v>0</v>
      </c>
      <c r="AR44" s="672">
        <f t="shared" si="11"/>
        <v>0</v>
      </c>
      <c r="AS44" s="385">
        <f>IF(P44=0,,
SUM(
IF(OR(リスト!$C$21="小麦",リスト!$C$21="二条大麦",リスト!$C$21="六条大麦",リスト!$C$21="はだか麦",リスト!$C$21="なたね"),IF(OR(AND(Z44=1,K44&lt;9,J44=調査年),AND(Z44=1,K44&gt;=9,J44=調査年-1)),ROUND(L44*P44%,0),),
IF(リスト!$C$21="さとうきび",IF(OR(AND(Z44=1,K44&gt;=4,J44=調査年),AND(Z44=1,K44&lt;4,J44=調査年+1)),ROUND(L44*P44%,0),),
IF(AND(Z44=1,J44=調査年),ROUND(L44*P44%,0),))),
ROUND(N44*P44%,0),
ROUND(SUM(AK44)*P44%,0)
))</f>
        <v>0</v>
      </c>
      <c r="AT44" s="385">
        <f t="shared" si="12"/>
        <v>0</v>
      </c>
      <c r="AU44" s="385" t="str">
        <f t="shared" si="13"/>
        <v/>
      </c>
      <c r="AV44" s="686"/>
      <c r="AW44" s="686"/>
      <c r="AX44" s="686"/>
      <c r="AY44" s="686"/>
      <c r="AZ44" s="686"/>
    </row>
    <row r="45" spans="3:52" s="46" customFormat="1" ht="30" hidden="1" customHeight="1" outlineLevel="1">
      <c r="C45" s="674">
        <v>30</v>
      </c>
      <c r="D45" s="687"/>
      <c r="E45" s="676"/>
      <c r="F45" s="677"/>
      <c r="G45" s="1899"/>
      <c r="H45" s="1900"/>
      <c r="I45" s="678"/>
      <c r="J45" s="679"/>
      <c r="K45" s="680"/>
      <c r="L45" s="681"/>
      <c r="M45" s="681"/>
      <c r="N45" s="681"/>
      <c r="O45" s="681"/>
      <c r="P45" s="1094"/>
      <c r="Q45" s="682"/>
      <c r="R45" s="683"/>
      <c r="S45" s="681"/>
      <c r="T45" s="668"/>
      <c r="U45" s="2"/>
      <c r="V45" s="1105"/>
      <c r="W45" s="669"/>
      <c r="X45" s="2"/>
      <c r="Y45" s="684">
        <f t="shared" si="15"/>
        <v>0</v>
      </c>
      <c r="Z45" s="670">
        <f t="shared" si="16"/>
        <v>0</v>
      </c>
      <c r="AA45" s="670">
        <f t="shared" si="17"/>
        <v>0</v>
      </c>
      <c r="AB45" s="684">
        <f>IF(Y45=0,,VLOOKUP(Y45,リスト!CX:CY,2,0))</f>
        <v>0</v>
      </c>
      <c r="AC45" s="684">
        <f t="shared" si="1"/>
        <v>0</v>
      </c>
      <c r="AD45" s="685">
        <f>IF(AC45=0,,VLOOKUP(AC45,リスト!DK:DL,2,0))</f>
        <v>0</v>
      </c>
      <c r="AE45" s="670">
        <f>IF(Y45=0,,
IF(OR(リスト!$C$21="小麦",リスト!$C$21="二条大麦",リスト!$C$21="六条大麦",リスト!$C$21="はだか麦",リスト!$C$21="なたね"),IF(K45&lt;9,調査年-J45,調査年-J45-1),
IF(リスト!$C$21="さとうきび",IF(K45&gt;=4,調査年-J45,調査年-J45+1),
調査年-J45)))</f>
        <v>0</v>
      </c>
      <c r="AF45" s="385">
        <f t="shared" si="2"/>
        <v>0</v>
      </c>
      <c r="AG45" s="385">
        <f t="shared" si="3"/>
        <v>0</v>
      </c>
      <c r="AH45" s="385">
        <f t="shared" si="4"/>
        <v>0</v>
      </c>
      <c r="AI45" s="385">
        <f t="shared" si="5"/>
        <v>0</v>
      </c>
      <c r="AJ45" s="385">
        <f t="shared" si="6"/>
        <v>0</v>
      </c>
      <c r="AK45" s="385">
        <f t="shared" si="14"/>
        <v>0</v>
      </c>
      <c r="AL45" s="385">
        <f t="shared" si="7"/>
        <v>0</v>
      </c>
      <c r="AM45" s="385">
        <f t="shared" si="8"/>
        <v>0</v>
      </c>
      <c r="AN45" s="394"/>
      <c r="AO45" s="672">
        <f>IF(OR(P45=0,AG45=0),,
IF(OR(リスト!$C$21="小麦",リスト!$C$21="二条大麦",リスト!$C$21="六条大麦",リスト!$C$21="はだか麦",リスト!$C$21="なたね"),IF(OR(AND(K45&lt;9,J45=調査年),AND(K45&gt;=9,J45=調査年-1)),,ROUND(AG45*P45%,0)),
IF(リスト!$C$21="さとうきび",IF(OR(AND(K45&gt;=4,J45=調査年),AND(K45&lt;4,J45=調査年+1)),,ROUND(AG45*P45%,0)),
IF(J45=調査年,,ROUND(AG45*P45%,0)))))</f>
        <v>0</v>
      </c>
      <c r="AP45" s="672">
        <f t="shared" si="9"/>
        <v>0</v>
      </c>
      <c r="AQ45" s="385">
        <f t="shared" si="10"/>
        <v>0</v>
      </c>
      <c r="AR45" s="672">
        <f t="shared" si="11"/>
        <v>0</v>
      </c>
      <c r="AS45" s="385">
        <f>IF(P45=0,,
SUM(
IF(OR(リスト!$C$21="小麦",リスト!$C$21="二条大麦",リスト!$C$21="六条大麦",リスト!$C$21="はだか麦",リスト!$C$21="なたね"),IF(OR(AND(Z45=1,K45&lt;9,J45=調査年),AND(Z45=1,K45&gt;=9,J45=調査年-1)),ROUND(L45*P45%,0),),
IF(リスト!$C$21="さとうきび",IF(OR(AND(Z45=1,K45&gt;=4,J45=調査年),AND(Z45=1,K45&lt;4,J45=調査年+1)),ROUND(L45*P45%,0),),
IF(AND(Z45=1,J45=調査年),ROUND(L45*P45%,0),))),
ROUND(N45*P45%,0),
ROUND(SUM(AK45)*P45%,0)
))</f>
        <v>0</v>
      </c>
      <c r="AT45" s="385">
        <f t="shared" si="12"/>
        <v>0</v>
      </c>
      <c r="AU45" s="385" t="str">
        <f t="shared" si="13"/>
        <v/>
      </c>
      <c r="AV45" s="686"/>
      <c r="AW45" s="686"/>
      <c r="AX45" s="686"/>
      <c r="AY45" s="686"/>
      <c r="AZ45" s="686"/>
    </row>
    <row r="46" spans="3:52" s="46" customFormat="1" ht="30" hidden="1" customHeight="1" outlineLevel="1">
      <c r="C46" s="674">
        <v>31</v>
      </c>
      <c r="D46" s="687"/>
      <c r="E46" s="676"/>
      <c r="F46" s="677"/>
      <c r="G46" s="1899"/>
      <c r="H46" s="1900"/>
      <c r="I46" s="678"/>
      <c r="J46" s="679"/>
      <c r="K46" s="680"/>
      <c r="L46" s="681"/>
      <c r="M46" s="681"/>
      <c r="N46" s="681"/>
      <c r="O46" s="681"/>
      <c r="P46" s="1094"/>
      <c r="Q46" s="682"/>
      <c r="R46" s="683"/>
      <c r="S46" s="681"/>
      <c r="T46" s="668"/>
      <c r="U46" s="2"/>
      <c r="V46" s="1105"/>
      <c r="W46" s="669"/>
      <c r="X46" s="2"/>
      <c r="Y46" s="684">
        <f t="shared" si="15"/>
        <v>0</v>
      </c>
      <c r="Z46" s="670">
        <f t="shared" si="16"/>
        <v>0</v>
      </c>
      <c r="AA46" s="670">
        <f t="shared" si="17"/>
        <v>0</v>
      </c>
      <c r="AB46" s="684">
        <f>IF(Y46=0,,VLOOKUP(Y46,リスト!CX:CY,2,0))</f>
        <v>0</v>
      </c>
      <c r="AC46" s="684">
        <f t="shared" si="1"/>
        <v>0</v>
      </c>
      <c r="AD46" s="685">
        <f>IF(AC46=0,,VLOOKUP(AC46,リスト!DK:DL,2,0))</f>
        <v>0</v>
      </c>
      <c r="AE46" s="670">
        <f>IF(Y46=0,,
IF(OR(リスト!$C$21="小麦",リスト!$C$21="二条大麦",リスト!$C$21="六条大麦",リスト!$C$21="はだか麦",リスト!$C$21="なたね"),IF(K46&lt;9,調査年-J46,調査年-J46-1),
IF(リスト!$C$21="さとうきび",IF(K46&gt;=4,調査年-J46,調査年-J46+1),
調査年-J46)))</f>
        <v>0</v>
      </c>
      <c r="AF46" s="385">
        <f t="shared" si="2"/>
        <v>0</v>
      </c>
      <c r="AG46" s="385">
        <f t="shared" si="3"/>
        <v>0</v>
      </c>
      <c r="AH46" s="385">
        <f t="shared" si="4"/>
        <v>0</v>
      </c>
      <c r="AI46" s="385">
        <f t="shared" si="5"/>
        <v>0</v>
      </c>
      <c r="AJ46" s="385">
        <f t="shared" si="6"/>
        <v>0</v>
      </c>
      <c r="AK46" s="385">
        <f t="shared" si="14"/>
        <v>0</v>
      </c>
      <c r="AL46" s="385">
        <f t="shared" si="7"/>
        <v>0</v>
      </c>
      <c r="AM46" s="385">
        <f t="shared" si="8"/>
        <v>0</v>
      </c>
      <c r="AN46" s="394"/>
      <c r="AO46" s="672">
        <f>IF(OR(P46=0,AG46=0),,
IF(OR(リスト!$C$21="小麦",リスト!$C$21="二条大麦",リスト!$C$21="六条大麦",リスト!$C$21="はだか麦",リスト!$C$21="なたね"),IF(OR(AND(K46&lt;9,J46=調査年),AND(K46&gt;=9,J46=調査年-1)),,ROUND(AG46*P46%,0)),
IF(リスト!$C$21="さとうきび",IF(OR(AND(K46&gt;=4,J46=調査年),AND(K46&lt;4,J46=調査年+1)),,ROUND(AG46*P46%,0)),
IF(J46=調査年,,ROUND(AG46*P46%,0)))))</f>
        <v>0</v>
      </c>
      <c r="AP46" s="672">
        <f t="shared" si="9"/>
        <v>0</v>
      </c>
      <c r="AQ46" s="385">
        <f t="shared" si="10"/>
        <v>0</v>
      </c>
      <c r="AR46" s="672">
        <f t="shared" si="11"/>
        <v>0</v>
      </c>
      <c r="AS46" s="385">
        <f>IF(P46=0,,
SUM(
IF(OR(リスト!$C$21="小麦",リスト!$C$21="二条大麦",リスト!$C$21="六条大麦",リスト!$C$21="はだか麦",リスト!$C$21="なたね"),IF(OR(AND(Z46=1,K46&lt;9,J46=調査年),AND(Z46=1,K46&gt;=9,J46=調査年-1)),ROUND(L46*P46%,0),),
IF(リスト!$C$21="さとうきび",IF(OR(AND(Z46=1,K46&gt;=4,J46=調査年),AND(Z46=1,K46&lt;4,J46=調査年+1)),ROUND(L46*P46%,0),),
IF(AND(Z46=1,J46=調査年),ROUND(L46*P46%,0),))),
ROUND(N46*P46%,0),
ROUND(SUM(AK46)*P46%,0)
))</f>
        <v>0</v>
      </c>
      <c r="AT46" s="385">
        <f t="shared" si="12"/>
        <v>0</v>
      </c>
      <c r="AU46" s="385" t="str">
        <f t="shared" si="13"/>
        <v/>
      </c>
      <c r="AV46" s="686"/>
      <c r="AW46" s="686"/>
      <c r="AX46" s="686"/>
      <c r="AY46" s="686"/>
      <c r="AZ46" s="686"/>
    </row>
    <row r="47" spans="3:52" s="46" customFormat="1" ht="30" hidden="1" customHeight="1" outlineLevel="1">
      <c r="C47" s="674">
        <v>32</v>
      </c>
      <c r="D47" s="675"/>
      <c r="E47" s="676"/>
      <c r="F47" s="677"/>
      <c r="G47" s="1899"/>
      <c r="H47" s="1900"/>
      <c r="I47" s="678"/>
      <c r="J47" s="679"/>
      <c r="K47" s="680"/>
      <c r="L47" s="681"/>
      <c r="M47" s="681"/>
      <c r="N47" s="681"/>
      <c r="O47" s="681"/>
      <c r="P47" s="1094"/>
      <c r="Q47" s="682"/>
      <c r="R47" s="683"/>
      <c r="S47" s="681"/>
      <c r="T47" s="668"/>
      <c r="U47" s="2"/>
      <c r="V47" s="1105"/>
      <c r="W47" s="669"/>
      <c r="X47" s="2"/>
      <c r="Y47" s="684">
        <f t="shared" si="15"/>
        <v>0</v>
      </c>
      <c r="Z47" s="670">
        <f t="shared" si="16"/>
        <v>0</v>
      </c>
      <c r="AA47" s="670">
        <f t="shared" si="17"/>
        <v>0</v>
      </c>
      <c r="AB47" s="684">
        <f>IF(Y47=0,,VLOOKUP(Y47,リスト!CX:CY,2,0))</f>
        <v>0</v>
      </c>
      <c r="AC47" s="684">
        <f t="shared" si="1"/>
        <v>0</v>
      </c>
      <c r="AD47" s="685">
        <f>IF(AC47=0,,VLOOKUP(AC47,リスト!DK:DL,2,0))</f>
        <v>0</v>
      </c>
      <c r="AE47" s="670">
        <f>IF(Y47=0,,
IF(OR(リスト!$C$21="小麦",リスト!$C$21="二条大麦",リスト!$C$21="六条大麦",リスト!$C$21="はだか麦",リスト!$C$21="なたね"),IF(K47&lt;9,調査年-J47,調査年-J47-1),
IF(リスト!$C$21="さとうきび",IF(K47&gt;=4,調査年-J47,調査年-J47+1),
調査年-J47)))</f>
        <v>0</v>
      </c>
      <c r="AF47" s="385">
        <f t="shared" si="2"/>
        <v>0</v>
      </c>
      <c r="AG47" s="385">
        <f t="shared" si="3"/>
        <v>0</v>
      </c>
      <c r="AH47" s="385">
        <f t="shared" si="4"/>
        <v>0</v>
      </c>
      <c r="AI47" s="385">
        <f t="shared" si="5"/>
        <v>0</v>
      </c>
      <c r="AJ47" s="385">
        <f t="shared" si="6"/>
        <v>0</v>
      </c>
      <c r="AK47" s="385">
        <f t="shared" si="14"/>
        <v>0</v>
      </c>
      <c r="AL47" s="385">
        <f t="shared" si="7"/>
        <v>0</v>
      </c>
      <c r="AM47" s="385">
        <f t="shared" si="8"/>
        <v>0</v>
      </c>
      <c r="AN47" s="394"/>
      <c r="AO47" s="672">
        <f>IF(OR(P47=0,AG47=0),,
IF(OR(リスト!$C$21="小麦",リスト!$C$21="二条大麦",リスト!$C$21="六条大麦",リスト!$C$21="はだか麦",リスト!$C$21="なたね"),IF(OR(AND(K47&lt;9,J47=調査年),AND(K47&gt;=9,J47=調査年-1)),,ROUND(AG47*P47%,0)),
IF(リスト!$C$21="さとうきび",IF(OR(AND(K47&gt;=4,J47=調査年),AND(K47&lt;4,J47=調査年+1)),,ROUND(AG47*P47%,0)),
IF(J47=調査年,,ROUND(AG47*P47%,0)))))</f>
        <v>0</v>
      </c>
      <c r="AP47" s="672">
        <f t="shared" si="9"/>
        <v>0</v>
      </c>
      <c r="AQ47" s="385">
        <f t="shared" si="10"/>
        <v>0</v>
      </c>
      <c r="AR47" s="672">
        <f t="shared" si="11"/>
        <v>0</v>
      </c>
      <c r="AS47" s="385">
        <f>IF(P47=0,,
SUM(
IF(OR(リスト!$C$21="小麦",リスト!$C$21="二条大麦",リスト!$C$21="六条大麦",リスト!$C$21="はだか麦",リスト!$C$21="なたね"),IF(OR(AND(Z47=1,K47&lt;9,J47=調査年),AND(Z47=1,K47&gt;=9,J47=調査年-1)),ROUND(L47*P47%,0),),
IF(リスト!$C$21="さとうきび",IF(OR(AND(Z47=1,K47&gt;=4,J47=調査年),AND(Z47=1,K47&lt;4,J47=調査年+1)),ROUND(L47*P47%,0),),
IF(AND(Z47=1,J47=調査年),ROUND(L47*P47%,0),))),
ROUND(N47*P47%,0),
ROUND(SUM(AK47)*P47%,0)
))</f>
        <v>0</v>
      </c>
      <c r="AT47" s="385">
        <f t="shared" si="12"/>
        <v>0</v>
      </c>
      <c r="AU47" s="385" t="str">
        <f t="shared" si="13"/>
        <v/>
      </c>
      <c r="AV47" s="686"/>
      <c r="AW47" s="686"/>
      <c r="AX47" s="686"/>
      <c r="AY47" s="686"/>
      <c r="AZ47" s="686"/>
    </row>
    <row r="48" spans="3:52" s="46" customFormat="1" ht="30" hidden="1" customHeight="1" outlineLevel="1">
      <c r="C48" s="674">
        <v>33</v>
      </c>
      <c r="D48" s="687"/>
      <c r="E48" s="676"/>
      <c r="F48" s="677"/>
      <c r="G48" s="1899"/>
      <c r="H48" s="1900"/>
      <c r="I48" s="678"/>
      <c r="J48" s="679"/>
      <c r="K48" s="680"/>
      <c r="L48" s="681"/>
      <c r="M48" s="681"/>
      <c r="N48" s="681"/>
      <c r="O48" s="681"/>
      <c r="P48" s="1094"/>
      <c r="Q48" s="682"/>
      <c r="R48" s="683"/>
      <c r="S48" s="681"/>
      <c r="T48" s="668"/>
      <c r="U48" s="2"/>
      <c r="V48" s="1105"/>
      <c r="W48" s="669"/>
      <c r="X48" s="2"/>
      <c r="Y48" s="684">
        <f t="shared" si="15"/>
        <v>0</v>
      </c>
      <c r="Z48" s="670">
        <f t="shared" si="16"/>
        <v>0</v>
      </c>
      <c r="AA48" s="670">
        <f t="shared" si="17"/>
        <v>0</v>
      </c>
      <c r="AB48" s="684">
        <f>IF(Y48=0,,VLOOKUP(Y48,リスト!CX:CY,2,0))</f>
        <v>0</v>
      </c>
      <c r="AC48" s="684">
        <f t="shared" si="1"/>
        <v>0</v>
      </c>
      <c r="AD48" s="685">
        <f>IF(AC48=0,,VLOOKUP(AC48,リスト!DK:DL,2,0))</f>
        <v>0</v>
      </c>
      <c r="AE48" s="670">
        <f>IF(Y48=0,,
IF(OR(リスト!$C$21="小麦",リスト!$C$21="二条大麦",リスト!$C$21="六条大麦",リスト!$C$21="はだか麦",リスト!$C$21="なたね"),IF(K48&lt;9,調査年-J48,調査年-J48-1),
IF(リスト!$C$21="さとうきび",IF(K48&gt;=4,調査年-J48,調査年-J48+1),
調査年-J48)))</f>
        <v>0</v>
      </c>
      <c r="AF48" s="385">
        <f t="shared" ref="AF48:AF79" si="18">IF(OR(Y48=0,Z48=1),,
IF(AND(AC48&gt;0,AE48&lt;AC48,AG48&lt;=ROUND((L48-1)*AD48,0)),ROUND(AG48*IF(R48="[2]部分取り壊し",IFERROR(1-(V48%),1),1),0),
IF(AND(AC48&gt;0,AE48&lt;AC48),ROUND((L48-1)*AD48*IF(R48="[2]部分取り壊し",IFERROR(1-(V48%),1),1),0),)))</f>
        <v>0</v>
      </c>
      <c r="AG48" s="385">
        <f t="shared" si="3"/>
        <v>0</v>
      </c>
      <c r="AH48" s="385">
        <f t="shared" si="4"/>
        <v>0</v>
      </c>
      <c r="AI48" s="385">
        <f t="shared" si="5"/>
        <v>0</v>
      </c>
      <c r="AJ48" s="385">
        <f t="shared" si="6"/>
        <v>0</v>
      </c>
      <c r="AK48" s="385">
        <f t="shared" si="14"/>
        <v>0</v>
      </c>
      <c r="AL48" s="385">
        <f t="shared" si="7"/>
        <v>0</v>
      </c>
      <c r="AM48" s="385">
        <f t="shared" si="8"/>
        <v>0</v>
      </c>
      <c r="AN48" s="394"/>
      <c r="AO48" s="672">
        <f>IF(OR(P48=0,AG48=0),,
IF(OR(リスト!$C$21="小麦",リスト!$C$21="二条大麦",リスト!$C$21="六条大麦",リスト!$C$21="はだか麦",リスト!$C$21="なたね"),IF(OR(AND(K48&lt;9,J48=調査年),AND(K48&gt;=9,J48=調査年-1)),,ROUND(AG48*P48%,0)),
IF(リスト!$C$21="さとうきび",IF(OR(AND(K48&gt;=4,J48=調査年),AND(K48&lt;4,J48=調査年+1)),,ROUND(AG48*P48%,0)),
IF(J48=調査年,,ROUND(AG48*P48%,0)))))</f>
        <v>0</v>
      </c>
      <c r="AP48" s="672">
        <f t="shared" si="9"/>
        <v>0</v>
      </c>
      <c r="AQ48" s="385">
        <f t="shared" si="10"/>
        <v>0</v>
      </c>
      <c r="AR48" s="672">
        <f t="shared" si="11"/>
        <v>0</v>
      </c>
      <c r="AS48" s="385">
        <f>IF(P48=0,,
SUM(
IF(OR(リスト!$C$21="小麦",リスト!$C$21="二条大麦",リスト!$C$21="六条大麦",リスト!$C$21="はだか麦",リスト!$C$21="なたね"),IF(OR(AND(Z48=1,K48&lt;9,J48=調査年),AND(Z48=1,K48&gt;=9,J48=調査年-1)),ROUND(L48*P48%,0),),
IF(リスト!$C$21="さとうきび",IF(OR(AND(Z48=1,K48&gt;=4,J48=調査年),AND(Z48=1,K48&lt;4,J48=調査年+1)),ROUND(L48*P48%,0),),
IF(AND(Z48=1,J48=調査年),ROUND(L48*P48%,0),))),
ROUND(N48*P48%,0),
ROUND(SUM(AK48)*P48%,0)
))</f>
        <v>0</v>
      </c>
      <c r="AT48" s="385">
        <f t="shared" si="12"/>
        <v>0</v>
      </c>
      <c r="AU48" s="385" t="str">
        <f t="shared" si="13"/>
        <v/>
      </c>
      <c r="AV48" s="686"/>
      <c r="AW48" s="686"/>
      <c r="AX48" s="686"/>
      <c r="AY48" s="686"/>
      <c r="AZ48" s="686"/>
    </row>
    <row r="49" spans="3:52" s="46" customFormat="1" ht="30" hidden="1" customHeight="1" outlineLevel="1">
      <c r="C49" s="674">
        <v>34</v>
      </c>
      <c r="D49" s="687"/>
      <c r="E49" s="676"/>
      <c r="F49" s="677"/>
      <c r="G49" s="1899"/>
      <c r="H49" s="1900"/>
      <c r="I49" s="678"/>
      <c r="J49" s="679"/>
      <c r="K49" s="680"/>
      <c r="L49" s="681"/>
      <c r="M49" s="681"/>
      <c r="N49" s="681"/>
      <c r="O49" s="681"/>
      <c r="P49" s="1094"/>
      <c r="Q49" s="682"/>
      <c r="R49" s="683"/>
      <c r="S49" s="681"/>
      <c r="T49" s="668"/>
      <c r="U49" s="2"/>
      <c r="V49" s="1105"/>
      <c r="W49" s="669"/>
      <c r="X49" s="2"/>
      <c r="Y49" s="684">
        <f t="shared" si="15"/>
        <v>0</v>
      </c>
      <c r="Z49" s="670">
        <f t="shared" si="16"/>
        <v>0</v>
      </c>
      <c r="AA49" s="670">
        <f t="shared" si="17"/>
        <v>0</v>
      </c>
      <c r="AB49" s="684">
        <f>IF(Y49=0,,VLOOKUP(Y49,リスト!CX:CY,2,0))</f>
        <v>0</v>
      </c>
      <c r="AC49" s="684">
        <f t="shared" si="1"/>
        <v>0</v>
      </c>
      <c r="AD49" s="685">
        <f>IF(AC49=0,,VLOOKUP(AC49,リスト!DK:DL,2,0))</f>
        <v>0</v>
      </c>
      <c r="AE49" s="670">
        <f>IF(Y49=0,,
IF(OR(リスト!$C$21="小麦",リスト!$C$21="二条大麦",リスト!$C$21="六条大麦",リスト!$C$21="はだか麦",リスト!$C$21="なたね"),IF(K49&lt;9,調査年-J49,調査年-J49-1),
IF(リスト!$C$21="さとうきび",IF(K49&gt;=4,調査年-J49,調査年-J49+1),
調査年-J49)))</f>
        <v>0</v>
      </c>
      <c r="AF49" s="385">
        <f t="shared" si="18"/>
        <v>0</v>
      </c>
      <c r="AG49" s="385">
        <f t="shared" si="3"/>
        <v>0</v>
      </c>
      <c r="AH49" s="385">
        <f t="shared" si="4"/>
        <v>0</v>
      </c>
      <c r="AI49" s="385">
        <f t="shared" si="5"/>
        <v>0</v>
      </c>
      <c r="AJ49" s="385">
        <f t="shared" si="6"/>
        <v>0</v>
      </c>
      <c r="AK49" s="385">
        <f t="shared" si="14"/>
        <v>0</v>
      </c>
      <c r="AL49" s="385">
        <f t="shared" si="7"/>
        <v>0</v>
      </c>
      <c r="AM49" s="385">
        <f t="shared" si="8"/>
        <v>0</v>
      </c>
      <c r="AN49" s="394"/>
      <c r="AO49" s="672">
        <f>IF(OR(P49=0,AG49=0),,
IF(OR(リスト!$C$21="小麦",リスト!$C$21="二条大麦",リスト!$C$21="六条大麦",リスト!$C$21="はだか麦",リスト!$C$21="なたね"),IF(OR(AND(K49&lt;9,J49=調査年),AND(K49&gt;=9,J49=調査年-1)),,ROUND(AG49*P49%,0)),
IF(リスト!$C$21="さとうきび",IF(OR(AND(K49&gt;=4,J49=調査年),AND(K49&lt;4,J49=調査年+1)),,ROUND(AG49*P49%,0)),
IF(J49=調査年,,ROUND(AG49*P49%,0)))))</f>
        <v>0</v>
      </c>
      <c r="AP49" s="672">
        <f t="shared" si="9"/>
        <v>0</v>
      </c>
      <c r="AQ49" s="385">
        <f t="shared" si="10"/>
        <v>0</v>
      </c>
      <c r="AR49" s="672">
        <f t="shared" si="11"/>
        <v>0</v>
      </c>
      <c r="AS49" s="385">
        <f>IF(P49=0,,
SUM(
IF(OR(リスト!$C$21="小麦",リスト!$C$21="二条大麦",リスト!$C$21="六条大麦",リスト!$C$21="はだか麦",リスト!$C$21="なたね"),IF(OR(AND(Z49=1,K49&lt;9,J49=調査年),AND(Z49=1,K49&gt;=9,J49=調査年-1)),ROUND(L49*P49%,0),),
IF(リスト!$C$21="さとうきび",IF(OR(AND(Z49=1,K49&gt;=4,J49=調査年),AND(Z49=1,K49&lt;4,J49=調査年+1)),ROUND(L49*P49%,0),),
IF(AND(Z49=1,J49=調査年),ROUND(L49*P49%,0),))),
ROUND(N49*P49%,0),
ROUND(SUM(AK49)*P49%,0)
))</f>
        <v>0</v>
      </c>
      <c r="AT49" s="385">
        <f t="shared" si="12"/>
        <v>0</v>
      </c>
      <c r="AU49" s="385" t="str">
        <f t="shared" si="13"/>
        <v/>
      </c>
      <c r="AV49" s="686"/>
      <c r="AW49" s="686"/>
      <c r="AX49" s="686"/>
      <c r="AY49" s="686"/>
      <c r="AZ49" s="686"/>
    </row>
    <row r="50" spans="3:52" s="46" customFormat="1" ht="30" hidden="1" customHeight="1" outlineLevel="1">
      <c r="C50" s="674">
        <v>35</v>
      </c>
      <c r="D50" s="687"/>
      <c r="E50" s="676"/>
      <c r="F50" s="677"/>
      <c r="G50" s="1899"/>
      <c r="H50" s="1900"/>
      <c r="I50" s="678"/>
      <c r="J50" s="679"/>
      <c r="K50" s="680"/>
      <c r="L50" s="681"/>
      <c r="M50" s="681"/>
      <c r="N50" s="681"/>
      <c r="O50" s="681"/>
      <c r="P50" s="1094"/>
      <c r="Q50" s="682"/>
      <c r="R50" s="683"/>
      <c r="S50" s="681"/>
      <c r="T50" s="668"/>
      <c r="U50" s="2"/>
      <c r="V50" s="1105"/>
      <c r="W50" s="669"/>
      <c r="X50" s="2"/>
      <c r="Y50" s="684">
        <f t="shared" si="15"/>
        <v>0</v>
      </c>
      <c r="Z50" s="670">
        <f t="shared" si="16"/>
        <v>0</v>
      </c>
      <c r="AA50" s="670">
        <f t="shared" si="17"/>
        <v>0</v>
      </c>
      <c r="AB50" s="684">
        <f>IF(Y50=0,,VLOOKUP(Y50,リスト!CX:CY,2,0))</f>
        <v>0</v>
      </c>
      <c r="AC50" s="684">
        <f t="shared" si="1"/>
        <v>0</v>
      </c>
      <c r="AD50" s="685">
        <f>IF(AC50=0,,VLOOKUP(AC50,リスト!DK:DL,2,0))</f>
        <v>0</v>
      </c>
      <c r="AE50" s="670">
        <f>IF(Y50=0,,
IF(OR(リスト!$C$21="小麦",リスト!$C$21="二条大麦",リスト!$C$21="六条大麦",リスト!$C$21="はだか麦",リスト!$C$21="なたね"),IF(K50&lt;9,調査年-J50,調査年-J50-1),
IF(リスト!$C$21="さとうきび",IF(K50&gt;=4,調査年-J50,調査年-J50+1),
調査年-J50)))</f>
        <v>0</v>
      </c>
      <c r="AF50" s="385">
        <f t="shared" si="18"/>
        <v>0</v>
      </c>
      <c r="AG50" s="385">
        <f t="shared" si="3"/>
        <v>0</v>
      </c>
      <c r="AH50" s="385">
        <f t="shared" si="4"/>
        <v>0</v>
      </c>
      <c r="AI50" s="385">
        <f t="shared" si="5"/>
        <v>0</v>
      </c>
      <c r="AJ50" s="385">
        <f t="shared" si="6"/>
        <v>0</v>
      </c>
      <c r="AK50" s="385">
        <f t="shared" si="14"/>
        <v>0</v>
      </c>
      <c r="AL50" s="385">
        <f t="shared" si="7"/>
        <v>0</v>
      </c>
      <c r="AM50" s="385">
        <f t="shared" si="8"/>
        <v>0</v>
      </c>
      <c r="AN50" s="394"/>
      <c r="AO50" s="672">
        <f>IF(OR(P50=0,AG50=0),,
IF(OR(リスト!$C$21="小麦",リスト!$C$21="二条大麦",リスト!$C$21="六条大麦",リスト!$C$21="はだか麦",リスト!$C$21="なたね"),IF(OR(AND(K50&lt;9,J50=調査年),AND(K50&gt;=9,J50=調査年-1)),,ROUND(AG50*P50%,0)),
IF(リスト!$C$21="さとうきび",IF(OR(AND(K50&gt;=4,J50=調査年),AND(K50&lt;4,J50=調査年+1)),,ROUND(AG50*P50%,0)),
IF(J50=調査年,,ROUND(AG50*P50%,0)))))</f>
        <v>0</v>
      </c>
      <c r="AP50" s="672">
        <f t="shared" si="9"/>
        <v>0</v>
      </c>
      <c r="AQ50" s="385">
        <f t="shared" si="10"/>
        <v>0</v>
      </c>
      <c r="AR50" s="672">
        <f t="shared" si="11"/>
        <v>0</v>
      </c>
      <c r="AS50" s="385">
        <f>IF(P50=0,,
SUM(
IF(OR(リスト!$C$21="小麦",リスト!$C$21="二条大麦",リスト!$C$21="六条大麦",リスト!$C$21="はだか麦",リスト!$C$21="なたね"),IF(OR(AND(Z50=1,K50&lt;9,J50=調査年),AND(Z50=1,K50&gt;=9,J50=調査年-1)),ROUND(L50*P50%,0),),
IF(リスト!$C$21="さとうきび",IF(OR(AND(Z50=1,K50&gt;=4,J50=調査年),AND(Z50=1,K50&lt;4,J50=調査年+1)),ROUND(L50*P50%,0),),
IF(AND(Z50=1,J50=調査年),ROUND(L50*P50%,0),))),
ROUND(N50*P50%,0),
ROUND(SUM(AK50)*P50%,0)
))</f>
        <v>0</v>
      </c>
      <c r="AT50" s="385">
        <f t="shared" si="12"/>
        <v>0</v>
      </c>
      <c r="AU50" s="385" t="str">
        <f t="shared" si="13"/>
        <v/>
      </c>
      <c r="AV50" s="686"/>
      <c r="AW50" s="686"/>
      <c r="AX50" s="686"/>
      <c r="AY50" s="686"/>
      <c r="AZ50" s="686"/>
    </row>
    <row r="51" spans="3:52" s="46" customFormat="1" ht="30" hidden="1" customHeight="1" outlineLevel="1">
      <c r="C51" s="674">
        <v>36</v>
      </c>
      <c r="D51" s="687"/>
      <c r="E51" s="676"/>
      <c r="F51" s="677"/>
      <c r="G51" s="1899"/>
      <c r="H51" s="1900"/>
      <c r="I51" s="678"/>
      <c r="J51" s="679"/>
      <c r="K51" s="680"/>
      <c r="L51" s="681"/>
      <c r="M51" s="681"/>
      <c r="N51" s="681"/>
      <c r="O51" s="681"/>
      <c r="P51" s="1094"/>
      <c r="Q51" s="682"/>
      <c r="R51" s="683"/>
      <c r="S51" s="681"/>
      <c r="T51" s="668"/>
      <c r="U51" s="2"/>
      <c r="V51" s="1105"/>
      <c r="W51" s="669"/>
      <c r="X51" s="2"/>
      <c r="Y51" s="684">
        <f t="shared" si="15"/>
        <v>0</v>
      </c>
      <c r="Z51" s="670">
        <f t="shared" si="16"/>
        <v>0</v>
      </c>
      <c r="AA51" s="670">
        <f t="shared" si="17"/>
        <v>0</v>
      </c>
      <c r="AB51" s="684">
        <f>IF(Y51=0,,VLOOKUP(Y51,リスト!CX:CY,2,0))</f>
        <v>0</v>
      </c>
      <c r="AC51" s="684">
        <f t="shared" si="1"/>
        <v>0</v>
      </c>
      <c r="AD51" s="685">
        <f>IF(AC51=0,,VLOOKUP(AC51,リスト!DK:DL,2,0))</f>
        <v>0</v>
      </c>
      <c r="AE51" s="670">
        <f>IF(Y51=0,,
IF(OR(リスト!$C$21="小麦",リスト!$C$21="二条大麦",リスト!$C$21="六条大麦",リスト!$C$21="はだか麦",リスト!$C$21="なたね"),IF(K51&lt;9,調査年-J51,調査年-J51-1),
IF(リスト!$C$21="さとうきび",IF(K51&gt;=4,調査年-J51,調査年-J51+1),
調査年-J51)))</f>
        <v>0</v>
      </c>
      <c r="AF51" s="385">
        <f t="shared" si="18"/>
        <v>0</v>
      </c>
      <c r="AG51" s="385">
        <f t="shared" si="3"/>
        <v>0</v>
      </c>
      <c r="AH51" s="385">
        <f t="shared" si="4"/>
        <v>0</v>
      </c>
      <c r="AI51" s="385">
        <f t="shared" si="5"/>
        <v>0</v>
      </c>
      <c r="AJ51" s="385">
        <f t="shared" si="6"/>
        <v>0</v>
      </c>
      <c r="AK51" s="385">
        <f t="shared" si="14"/>
        <v>0</v>
      </c>
      <c r="AL51" s="385">
        <f t="shared" si="7"/>
        <v>0</v>
      </c>
      <c r="AM51" s="385">
        <f t="shared" si="8"/>
        <v>0</v>
      </c>
      <c r="AN51" s="394"/>
      <c r="AO51" s="672">
        <f>IF(OR(P51=0,AG51=0),,
IF(OR(リスト!$C$21="小麦",リスト!$C$21="二条大麦",リスト!$C$21="六条大麦",リスト!$C$21="はだか麦",リスト!$C$21="なたね"),IF(OR(AND(K51&lt;9,J51=調査年),AND(K51&gt;=9,J51=調査年-1)),,ROUND(AG51*P51%,0)),
IF(リスト!$C$21="さとうきび",IF(OR(AND(K51&gt;=4,J51=調査年),AND(K51&lt;4,J51=調査年+1)),,ROUND(AG51*P51%,0)),
IF(J51=調査年,,ROUND(AG51*P51%,0)))))</f>
        <v>0</v>
      </c>
      <c r="AP51" s="672">
        <f t="shared" si="9"/>
        <v>0</v>
      </c>
      <c r="AQ51" s="385">
        <f t="shared" si="10"/>
        <v>0</v>
      </c>
      <c r="AR51" s="672">
        <f t="shared" si="11"/>
        <v>0</v>
      </c>
      <c r="AS51" s="385">
        <f>IF(P51=0,,
SUM(
IF(OR(リスト!$C$21="小麦",リスト!$C$21="二条大麦",リスト!$C$21="六条大麦",リスト!$C$21="はだか麦",リスト!$C$21="なたね"),IF(OR(AND(Z51=1,K51&lt;9,J51=調査年),AND(Z51=1,K51&gt;=9,J51=調査年-1)),ROUND(L51*P51%,0),),
IF(リスト!$C$21="さとうきび",IF(OR(AND(Z51=1,K51&gt;=4,J51=調査年),AND(Z51=1,K51&lt;4,J51=調査年+1)),ROUND(L51*P51%,0),),
IF(AND(Z51=1,J51=調査年),ROUND(L51*P51%,0),))),
ROUND(N51*P51%,0),
ROUND(SUM(AK51)*P51%,0)
))</f>
        <v>0</v>
      </c>
      <c r="AT51" s="385">
        <f t="shared" si="12"/>
        <v>0</v>
      </c>
      <c r="AU51" s="385" t="str">
        <f t="shared" si="13"/>
        <v/>
      </c>
      <c r="AV51" s="686"/>
      <c r="AW51" s="686"/>
      <c r="AX51" s="686"/>
      <c r="AY51" s="686"/>
      <c r="AZ51" s="686"/>
    </row>
    <row r="52" spans="3:52" s="46" customFormat="1" ht="30" hidden="1" customHeight="1" outlineLevel="1">
      <c r="C52" s="674">
        <v>37</v>
      </c>
      <c r="D52" s="687"/>
      <c r="E52" s="676"/>
      <c r="F52" s="677"/>
      <c r="G52" s="1899"/>
      <c r="H52" s="1900"/>
      <c r="I52" s="678"/>
      <c r="J52" s="679"/>
      <c r="K52" s="680"/>
      <c r="L52" s="681"/>
      <c r="M52" s="681"/>
      <c r="N52" s="681"/>
      <c r="O52" s="681"/>
      <c r="P52" s="1094"/>
      <c r="Q52" s="682"/>
      <c r="R52" s="683"/>
      <c r="S52" s="681"/>
      <c r="T52" s="668"/>
      <c r="U52" s="2"/>
      <c r="V52" s="1105"/>
      <c r="W52" s="669"/>
      <c r="X52" s="2"/>
      <c r="Y52" s="684">
        <f t="shared" si="15"/>
        <v>0</v>
      </c>
      <c r="Z52" s="670">
        <f t="shared" si="16"/>
        <v>0</v>
      </c>
      <c r="AA52" s="670">
        <f t="shared" si="17"/>
        <v>0</v>
      </c>
      <c r="AB52" s="684">
        <f>IF(Y52=0,,VLOOKUP(Y52,リスト!CX:CY,2,0))</f>
        <v>0</v>
      </c>
      <c r="AC52" s="684">
        <f t="shared" si="1"/>
        <v>0</v>
      </c>
      <c r="AD52" s="685">
        <f>IF(AC52=0,,VLOOKUP(AC52,リスト!DK:DL,2,0))</f>
        <v>0</v>
      </c>
      <c r="AE52" s="670">
        <f>IF(Y52=0,,
IF(OR(リスト!$C$21="小麦",リスト!$C$21="二条大麦",リスト!$C$21="六条大麦",リスト!$C$21="はだか麦",リスト!$C$21="なたね"),IF(K52&lt;9,調査年-J52,調査年-J52-1),
IF(リスト!$C$21="さとうきび",IF(K52&gt;=4,調査年-J52,調査年-J52+1),
調査年-J52)))</f>
        <v>0</v>
      </c>
      <c r="AF52" s="385">
        <f t="shared" si="18"/>
        <v>0</v>
      </c>
      <c r="AG52" s="385">
        <f t="shared" si="3"/>
        <v>0</v>
      </c>
      <c r="AH52" s="385">
        <f t="shared" si="4"/>
        <v>0</v>
      </c>
      <c r="AI52" s="385">
        <f t="shared" si="5"/>
        <v>0</v>
      </c>
      <c r="AJ52" s="385">
        <f t="shared" si="6"/>
        <v>0</v>
      </c>
      <c r="AK52" s="385">
        <f t="shared" si="14"/>
        <v>0</v>
      </c>
      <c r="AL52" s="385">
        <f t="shared" si="7"/>
        <v>0</v>
      </c>
      <c r="AM52" s="385">
        <f t="shared" si="8"/>
        <v>0</v>
      </c>
      <c r="AN52" s="394"/>
      <c r="AO52" s="672">
        <f>IF(OR(P52=0,AG52=0),,
IF(OR(リスト!$C$21="小麦",リスト!$C$21="二条大麦",リスト!$C$21="六条大麦",リスト!$C$21="はだか麦",リスト!$C$21="なたね"),IF(OR(AND(K52&lt;9,J52=調査年),AND(K52&gt;=9,J52=調査年-1)),,ROUND(AG52*P52%,0)),
IF(リスト!$C$21="さとうきび",IF(OR(AND(K52&gt;=4,J52=調査年),AND(K52&lt;4,J52=調査年+1)),,ROUND(AG52*P52%,0)),
IF(J52=調査年,,ROUND(AG52*P52%,0)))))</f>
        <v>0</v>
      </c>
      <c r="AP52" s="672">
        <f t="shared" si="9"/>
        <v>0</v>
      </c>
      <c r="AQ52" s="385">
        <f t="shared" si="10"/>
        <v>0</v>
      </c>
      <c r="AR52" s="672">
        <f t="shared" si="11"/>
        <v>0</v>
      </c>
      <c r="AS52" s="385">
        <f>IF(P52=0,,
SUM(
IF(OR(リスト!$C$21="小麦",リスト!$C$21="二条大麦",リスト!$C$21="六条大麦",リスト!$C$21="はだか麦",リスト!$C$21="なたね"),IF(OR(AND(Z52=1,K52&lt;9,J52=調査年),AND(Z52=1,K52&gt;=9,J52=調査年-1)),ROUND(L52*P52%,0),),
IF(リスト!$C$21="さとうきび",IF(OR(AND(Z52=1,K52&gt;=4,J52=調査年),AND(Z52=1,K52&lt;4,J52=調査年+1)),ROUND(L52*P52%,0),),
IF(AND(Z52=1,J52=調査年),ROUND(L52*P52%,0),))),
ROUND(N52*P52%,0),
ROUND(SUM(AK52)*P52%,0)
))</f>
        <v>0</v>
      </c>
      <c r="AT52" s="385">
        <f t="shared" si="12"/>
        <v>0</v>
      </c>
      <c r="AU52" s="385" t="str">
        <f t="shared" si="13"/>
        <v/>
      </c>
      <c r="AV52" s="686"/>
      <c r="AW52" s="686"/>
      <c r="AX52" s="686"/>
      <c r="AY52" s="686"/>
      <c r="AZ52" s="686"/>
    </row>
    <row r="53" spans="3:52" s="46" customFormat="1" ht="30" hidden="1" customHeight="1" outlineLevel="1">
      <c r="C53" s="674">
        <v>38</v>
      </c>
      <c r="D53" s="687"/>
      <c r="E53" s="676"/>
      <c r="F53" s="677"/>
      <c r="G53" s="1899"/>
      <c r="H53" s="1900"/>
      <c r="I53" s="678"/>
      <c r="J53" s="679"/>
      <c r="K53" s="680"/>
      <c r="L53" s="681"/>
      <c r="M53" s="681"/>
      <c r="N53" s="681"/>
      <c r="O53" s="681"/>
      <c r="P53" s="1094"/>
      <c r="Q53" s="682"/>
      <c r="R53" s="683"/>
      <c r="S53" s="681"/>
      <c r="T53" s="668"/>
      <c r="U53" s="2"/>
      <c r="V53" s="1105"/>
      <c r="W53" s="669"/>
      <c r="X53" s="2"/>
      <c r="Y53" s="684">
        <f t="shared" si="15"/>
        <v>0</v>
      </c>
      <c r="Z53" s="670">
        <f t="shared" si="16"/>
        <v>0</v>
      </c>
      <c r="AA53" s="670">
        <f t="shared" si="17"/>
        <v>0</v>
      </c>
      <c r="AB53" s="684">
        <f>IF(Y53=0,,VLOOKUP(Y53,リスト!CX:CY,2,0))</f>
        <v>0</v>
      </c>
      <c r="AC53" s="684">
        <f t="shared" si="1"/>
        <v>0</v>
      </c>
      <c r="AD53" s="685">
        <f>IF(AC53=0,,VLOOKUP(AC53,リスト!DK:DL,2,0))</f>
        <v>0</v>
      </c>
      <c r="AE53" s="670">
        <f>IF(Y53=0,,
IF(OR(リスト!$C$21="小麦",リスト!$C$21="二条大麦",リスト!$C$21="六条大麦",リスト!$C$21="はだか麦",リスト!$C$21="なたね"),IF(K53&lt;9,調査年-J53,調査年-J53-1),
IF(リスト!$C$21="さとうきび",IF(K53&gt;=4,調査年-J53,調査年-J53+1),
調査年-J53)))</f>
        <v>0</v>
      </c>
      <c r="AF53" s="385">
        <f t="shared" si="18"/>
        <v>0</v>
      </c>
      <c r="AG53" s="385">
        <f t="shared" si="3"/>
        <v>0</v>
      </c>
      <c r="AH53" s="385">
        <f t="shared" si="4"/>
        <v>0</v>
      </c>
      <c r="AI53" s="385">
        <f t="shared" si="5"/>
        <v>0</v>
      </c>
      <c r="AJ53" s="385">
        <f t="shared" si="6"/>
        <v>0</v>
      </c>
      <c r="AK53" s="385">
        <f t="shared" si="14"/>
        <v>0</v>
      </c>
      <c r="AL53" s="385">
        <f t="shared" si="7"/>
        <v>0</v>
      </c>
      <c r="AM53" s="385">
        <f t="shared" si="8"/>
        <v>0</v>
      </c>
      <c r="AN53" s="394"/>
      <c r="AO53" s="672">
        <f>IF(OR(P53=0,AG53=0),,
IF(OR(リスト!$C$21="小麦",リスト!$C$21="二条大麦",リスト!$C$21="六条大麦",リスト!$C$21="はだか麦",リスト!$C$21="なたね"),IF(OR(AND(K53&lt;9,J53=調査年),AND(K53&gt;=9,J53=調査年-1)),,ROUND(AG53*P53%,0)),
IF(リスト!$C$21="さとうきび",IF(OR(AND(K53&gt;=4,J53=調査年),AND(K53&lt;4,J53=調査年+1)),,ROUND(AG53*P53%,0)),
IF(J53=調査年,,ROUND(AG53*P53%,0)))))</f>
        <v>0</v>
      </c>
      <c r="AP53" s="672">
        <f t="shared" si="9"/>
        <v>0</v>
      </c>
      <c r="AQ53" s="385">
        <f t="shared" si="10"/>
        <v>0</v>
      </c>
      <c r="AR53" s="672">
        <f t="shared" si="11"/>
        <v>0</v>
      </c>
      <c r="AS53" s="385">
        <f>IF(P53=0,,
SUM(
IF(OR(リスト!$C$21="小麦",リスト!$C$21="二条大麦",リスト!$C$21="六条大麦",リスト!$C$21="はだか麦",リスト!$C$21="なたね"),IF(OR(AND(Z53=1,K53&lt;9,J53=調査年),AND(Z53=1,K53&gt;=9,J53=調査年-1)),ROUND(L53*P53%,0),),
IF(リスト!$C$21="さとうきび",IF(OR(AND(Z53=1,K53&gt;=4,J53=調査年),AND(Z53=1,K53&lt;4,J53=調査年+1)),ROUND(L53*P53%,0),),
IF(AND(Z53=1,J53=調査年),ROUND(L53*P53%,0),))),
ROUND(N53*P53%,0),
ROUND(SUM(AK53)*P53%,0)
))</f>
        <v>0</v>
      </c>
      <c r="AT53" s="385">
        <f t="shared" si="12"/>
        <v>0</v>
      </c>
      <c r="AU53" s="385" t="str">
        <f t="shared" si="13"/>
        <v/>
      </c>
      <c r="AV53" s="686"/>
      <c r="AW53" s="686"/>
      <c r="AX53" s="686"/>
      <c r="AY53" s="686"/>
      <c r="AZ53" s="686"/>
    </row>
    <row r="54" spans="3:52" s="46" customFormat="1" ht="30" hidden="1" customHeight="1" outlineLevel="1">
      <c r="C54" s="674">
        <v>39</v>
      </c>
      <c r="D54" s="687"/>
      <c r="E54" s="676"/>
      <c r="F54" s="677"/>
      <c r="G54" s="1899"/>
      <c r="H54" s="1900"/>
      <c r="I54" s="678"/>
      <c r="J54" s="679"/>
      <c r="K54" s="680"/>
      <c r="L54" s="681"/>
      <c r="M54" s="681"/>
      <c r="N54" s="681"/>
      <c r="O54" s="681"/>
      <c r="P54" s="1094"/>
      <c r="Q54" s="682"/>
      <c r="R54" s="683"/>
      <c r="S54" s="681"/>
      <c r="T54" s="668"/>
      <c r="U54" s="2"/>
      <c r="V54" s="1105"/>
      <c r="W54" s="669"/>
      <c r="X54" s="2"/>
      <c r="Y54" s="684">
        <f t="shared" si="15"/>
        <v>0</v>
      </c>
      <c r="Z54" s="670">
        <f t="shared" si="16"/>
        <v>0</v>
      </c>
      <c r="AA54" s="670">
        <f t="shared" si="17"/>
        <v>0</v>
      </c>
      <c r="AB54" s="684">
        <f>IF(Y54=0,,VLOOKUP(Y54,リスト!CX:CY,2,0))</f>
        <v>0</v>
      </c>
      <c r="AC54" s="684">
        <f t="shared" si="1"/>
        <v>0</v>
      </c>
      <c r="AD54" s="685">
        <f>IF(AC54=0,,VLOOKUP(AC54,リスト!DK:DL,2,0))</f>
        <v>0</v>
      </c>
      <c r="AE54" s="670">
        <f>IF(Y54=0,,
IF(OR(リスト!$C$21="小麦",リスト!$C$21="二条大麦",リスト!$C$21="六条大麦",リスト!$C$21="はだか麦",リスト!$C$21="なたね"),IF(K54&lt;9,調査年-J54,調査年-J54-1),
IF(リスト!$C$21="さとうきび",IF(K54&gt;=4,調査年-J54,調査年-J54+1),
調査年-J54)))</f>
        <v>0</v>
      </c>
      <c r="AF54" s="385">
        <f t="shared" si="18"/>
        <v>0</v>
      </c>
      <c r="AG54" s="385">
        <f t="shared" si="3"/>
        <v>0</v>
      </c>
      <c r="AH54" s="385">
        <f t="shared" si="4"/>
        <v>0</v>
      </c>
      <c r="AI54" s="385">
        <f t="shared" si="5"/>
        <v>0</v>
      </c>
      <c r="AJ54" s="385">
        <f t="shared" si="6"/>
        <v>0</v>
      </c>
      <c r="AK54" s="385">
        <f t="shared" si="14"/>
        <v>0</v>
      </c>
      <c r="AL54" s="385">
        <f t="shared" si="7"/>
        <v>0</v>
      </c>
      <c r="AM54" s="385">
        <f t="shared" si="8"/>
        <v>0</v>
      </c>
      <c r="AN54" s="394"/>
      <c r="AO54" s="672">
        <f>IF(OR(P54=0,AG54=0),,
IF(OR(リスト!$C$21="小麦",リスト!$C$21="二条大麦",リスト!$C$21="六条大麦",リスト!$C$21="はだか麦",リスト!$C$21="なたね"),IF(OR(AND(K54&lt;9,J54=調査年),AND(K54&gt;=9,J54=調査年-1)),,ROUND(AG54*P54%,0)),
IF(リスト!$C$21="さとうきび",IF(OR(AND(K54&gt;=4,J54=調査年),AND(K54&lt;4,J54=調査年+1)),,ROUND(AG54*P54%,0)),
IF(J54=調査年,,ROUND(AG54*P54%,0)))))</f>
        <v>0</v>
      </c>
      <c r="AP54" s="672">
        <f t="shared" si="9"/>
        <v>0</v>
      </c>
      <c r="AQ54" s="385">
        <f t="shared" si="10"/>
        <v>0</v>
      </c>
      <c r="AR54" s="672">
        <f t="shared" si="11"/>
        <v>0</v>
      </c>
      <c r="AS54" s="385">
        <f>IF(P54=0,,
SUM(
IF(OR(リスト!$C$21="小麦",リスト!$C$21="二条大麦",リスト!$C$21="六条大麦",リスト!$C$21="はだか麦",リスト!$C$21="なたね"),IF(OR(AND(Z54=1,K54&lt;9,J54=調査年),AND(Z54=1,K54&gt;=9,J54=調査年-1)),ROUND(L54*P54%,0),),
IF(リスト!$C$21="さとうきび",IF(OR(AND(Z54=1,K54&gt;=4,J54=調査年),AND(Z54=1,K54&lt;4,J54=調査年+1)),ROUND(L54*P54%,0),),
IF(AND(Z54=1,J54=調査年),ROUND(L54*P54%,0),))),
ROUND(N54*P54%,0),
ROUND(SUM(AK54)*P54%,0)
))</f>
        <v>0</v>
      </c>
      <c r="AT54" s="385">
        <f t="shared" si="12"/>
        <v>0</v>
      </c>
      <c r="AU54" s="385" t="str">
        <f t="shared" si="13"/>
        <v/>
      </c>
      <c r="AV54" s="686"/>
      <c r="AW54" s="686"/>
      <c r="AX54" s="686"/>
      <c r="AY54" s="686"/>
      <c r="AZ54" s="686"/>
    </row>
    <row r="55" spans="3:52" s="46" customFormat="1" ht="30" hidden="1" customHeight="1" outlineLevel="1">
      <c r="C55" s="674">
        <v>40</v>
      </c>
      <c r="D55" s="687"/>
      <c r="E55" s="676"/>
      <c r="F55" s="677"/>
      <c r="G55" s="1899"/>
      <c r="H55" s="1900"/>
      <c r="I55" s="678"/>
      <c r="J55" s="679"/>
      <c r="K55" s="680"/>
      <c r="L55" s="681"/>
      <c r="M55" s="681"/>
      <c r="N55" s="681"/>
      <c r="O55" s="681"/>
      <c r="P55" s="1094"/>
      <c r="Q55" s="682"/>
      <c r="R55" s="683"/>
      <c r="S55" s="681"/>
      <c r="T55" s="668"/>
      <c r="U55" s="2"/>
      <c r="V55" s="1105"/>
      <c r="W55" s="669"/>
      <c r="X55" s="2"/>
      <c r="Y55" s="684">
        <f t="shared" si="15"/>
        <v>0</v>
      </c>
      <c r="Z55" s="670">
        <f t="shared" si="16"/>
        <v>0</v>
      </c>
      <c r="AA55" s="670">
        <f t="shared" si="17"/>
        <v>0</v>
      </c>
      <c r="AB55" s="684">
        <f>IF(Y55=0,,VLOOKUP(Y55,リスト!CX:CY,2,0))</f>
        <v>0</v>
      </c>
      <c r="AC55" s="684">
        <f t="shared" si="1"/>
        <v>0</v>
      </c>
      <c r="AD55" s="685">
        <f>IF(AC55=0,,VLOOKUP(AC55,リスト!DK:DL,2,0))</f>
        <v>0</v>
      </c>
      <c r="AE55" s="670">
        <f>IF(Y55=0,,
IF(OR(リスト!$C$21="小麦",リスト!$C$21="二条大麦",リスト!$C$21="六条大麦",リスト!$C$21="はだか麦",リスト!$C$21="なたね"),IF(K55&lt;9,調査年-J55,調査年-J55-1),
IF(リスト!$C$21="さとうきび",IF(K55&gt;=4,調査年-J55,調査年-J55+1),
調査年-J55)))</f>
        <v>0</v>
      </c>
      <c r="AF55" s="385">
        <f t="shared" si="18"/>
        <v>0</v>
      </c>
      <c r="AG55" s="385">
        <f t="shared" si="3"/>
        <v>0</v>
      </c>
      <c r="AH55" s="385">
        <f t="shared" si="4"/>
        <v>0</v>
      </c>
      <c r="AI55" s="385">
        <f t="shared" si="5"/>
        <v>0</v>
      </c>
      <c r="AJ55" s="385">
        <f t="shared" si="6"/>
        <v>0</v>
      </c>
      <c r="AK55" s="385">
        <f t="shared" si="14"/>
        <v>0</v>
      </c>
      <c r="AL55" s="385">
        <f t="shared" si="7"/>
        <v>0</v>
      </c>
      <c r="AM55" s="385">
        <f t="shared" si="8"/>
        <v>0</v>
      </c>
      <c r="AN55" s="394"/>
      <c r="AO55" s="672">
        <f>IF(OR(P55=0,AG55=0),,
IF(OR(リスト!$C$21="小麦",リスト!$C$21="二条大麦",リスト!$C$21="六条大麦",リスト!$C$21="はだか麦",リスト!$C$21="なたね"),IF(OR(AND(K55&lt;9,J55=調査年),AND(K55&gt;=9,J55=調査年-1)),,ROUND(AG55*P55%,0)),
IF(リスト!$C$21="さとうきび",IF(OR(AND(K55&gt;=4,J55=調査年),AND(K55&lt;4,J55=調査年+1)),,ROUND(AG55*P55%,0)),
IF(J55=調査年,,ROUND(AG55*P55%,0)))))</f>
        <v>0</v>
      </c>
      <c r="AP55" s="672">
        <f t="shared" si="9"/>
        <v>0</v>
      </c>
      <c r="AQ55" s="385">
        <f t="shared" si="10"/>
        <v>0</v>
      </c>
      <c r="AR55" s="672">
        <f t="shared" si="11"/>
        <v>0</v>
      </c>
      <c r="AS55" s="385">
        <f>IF(P55=0,,
SUM(
IF(OR(リスト!$C$21="小麦",リスト!$C$21="二条大麦",リスト!$C$21="六条大麦",リスト!$C$21="はだか麦",リスト!$C$21="なたね"),IF(OR(AND(Z55=1,K55&lt;9,J55=調査年),AND(Z55=1,K55&gt;=9,J55=調査年-1)),ROUND(L55*P55%,0),),
IF(リスト!$C$21="さとうきび",IF(OR(AND(Z55=1,K55&gt;=4,J55=調査年),AND(Z55=1,K55&lt;4,J55=調査年+1)),ROUND(L55*P55%,0),),
IF(AND(Z55=1,J55=調査年),ROUND(L55*P55%,0),))),
ROUND(N55*P55%,0),
ROUND(SUM(AK55)*P55%,0)
))</f>
        <v>0</v>
      </c>
      <c r="AT55" s="385">
        <f t="shared" si="12"/>
        <v>0</v>
      </c>
      <c r="AU55" s="385" t="str">
        <f t="shared" si="13"/>
        <v/>
      </c>
      <c r="AV55" s="686"/>
      <c r="AW55" s="686"/>
      <c r="AX55" s="686"/>
      <c r="AY55" s="686"/>
      <c r="AZ55" s="686"/>
    </row>
    <row r="56" spans="3:52" s="46" customFormat="1" ht="30" hidden="1" customHeight="1" outlineLevel="1">
      <c r="C56" s="674">
        <v>41</v>
      </c>
      <c r="D56" s="687"/>
      <c r="E56" s="676"/>
      <c r="F56" s="677"/>
      <c r="G56" s="1899"/>
      <c r="H56" s="1900"/>
      <c r="I56" s="678"/>
      <c r="J56" s="679"/>
      <c r="K56" s="680"/>
      <c r="L56" s="681"/>
      <c r="M56" s="681"/>
      <c r="N56" s="681"/>
      <c r="O56" s="681"/>
      <c r="P56" s="1094"/>
      <c r="Q56" s="682"/>
      <c r="R56" s="683"/>
      <c r="S56" s="681"/>
      <c r="T56" s="668"/>
      <c r="U56" s="2"/>
      <c r="V56" s="1105"/>
      <c r="W56" s="669"/>
      <c r="X56" s="2"/>
      <c r="Y56" s="684">
        <f t="shared" si="15"/>
        <v>0</v>
      </c>
      <c r="Z56" s="670">
        <f t="shared" si="16"/>
        <v>0</v>
      </c>
      <c r="AA56" s="670">
        <f t="shared" si="17"/>
        <v>0</v>
      </c>
      <c r="AB56" s="684">
        <f>IF(Y56=0,,VLOOKUP(Y56,リスト!CX:CY,2,0))</f>
        <v>0</v>
      </c>
      <c r="AC56" s="684">
        <f t="shared" si="1"/>
        <v>0</v>
      </c>
      <c r="AD56" s="685">
        <f>IF(AC56=0,,VLOOKUP(AC56,リスト!DK:DL,2,0))</f>
        <v>0</v>
      </c>
      <c r="AE56" s="670">
        <f>IF(Y56=0,,
IF(OR(リスト!$C$21="小麦",リスト!$C$21="二条大麦",リスト!$C$21="六条大麦",リスト!$C$21="はだか麦",リスト!$C$21="なたね"),IF(K56&lt;9,調査年-J56,調査年-J56-1),
IF(リスト!$C$21="さとうきび",IF(K56&gt;=4,調査年-J56,調査年-J56+1),
調査年-J56)))</f>
        <v>0</v>
      </c>
      <c r="AF56" s="385">
        <f t="shared" si="18"/>
        <v>0</v>
      </c>
      <c r="AG56" s="385">
        <f t="shared" si="3"/>
        <v>0</v>
      </c>
      <c r="AH56" s="385">
        <f t="shared" si="4"/>
        <v>0</v>
      </c>
      <c r="AI56" s="385">
        <f t="shared" si="5"/>
        <v>0</v>
      </c>
      <c r="AJ56" s="385">
        <f t="shared" si="6"/>
        <v>0</v>
      </c>
      <c r="AK56" s="385">
        <f t="shared" si="14"/>
        <v>0</v>
      </c>
      <c r="AL56" s="385">
        <f t="shared" si="7"/>
        <v>0</v>
      </c>
      <c r="AM56" s="385">
        <f t="shared" si="8"/>
        <v>0</v>
      </c>
      <c r="AN56" s="394"/>
      <c r="AO56" s="672">
        <f>IF(OR(P56=0,AG56=0),,
IF(OR(リスト!$C$21="小麦",リスト!$C$21="二条大麦",リスト!$C$21="六条大麦",リスト!$C$21="はだか麦",リスト!$C$21="なたね"),IF(OR(AND(K56&lt;9,J56=調査年),AND(K56&gt;=9,J56=調査年-1)),,ROUND(AG56*P56%,0)),
IF(リスト!$C$21="さとうきび",IF(OR(AND(K56&gt;=4,J56=調査年),AND(K56&lt;4,J56=調査年+1)),,ROUND(AG56*P56%,0)),
IF(J56=調査年,,ROUND(AG56*P56%,0)))))</f>
        <v>0</v>
      </c>
      <c r="AP56" s="672">
        <f t="shared" si="9"/>
        <v>0</v>
      </c>
      <c r="AQ56" s="385">
        <f t="shared" si="10"/>
        <v>0</v>
      </c>
      <c r="AR56" s="672">
        <f t="shared" si="11"/>
        <v>0</v>
      </c>
      <c r="AS56" s="385">
        <f>IF(P56=0,,
SUM(
IF(OR(リスト!$C$21="小麦",リスト!$C$21="二条大麦",リスト!$C$21="六条大麦",リスト!$C$21="はだか麦",リスト!$C$21="なたね"),IF(OR(AND(Z56=1,K56&lt;9,J56=調査年),AND(Z56=1,K56&gt;=9,J56=調査年-1)),ROUND(L56*P56%,0),),
IF(リスト!$C$21="さとうきび",IF(OR(AND(Z56=1,K56&gt;=4,J56=調査年),AND(Z56=1,K56&lt;4,J56=調査年+1)),ROUND(L56*P56%,0),),
IF(AND(Z56=1,J56=調査年),ROUND(L56*P56%,0),))),
ROUND(N56*P56%,0),
ROUND(SUM(AK56)*P56%,0)
))</f>
        <v>0</v>
      </c>
      <c r="AT56" s="385">
        <f t="shared" si="12"/>
        <v>0</v>
      </c>
      <c r="AU56" s="385" t="str">
        <f t="shared" si="13"/>
        <v/>
      </c>
      <c r="AV56" s="686"/>
      <c r="AW56" s="686"/>
      <c r="AX56" s="686"/>
      <c r="AY56" s="686"/>
      <c r="AZ56" s="686"/>
    </row>
    <row r="57" spans="3:52" s="46" customFormat="1" ht="30" hidden="1" customHeight="1" outlineLevel="1">
      <c r="C57" s="674">
        <v>42</v>
      </c>
      <c r="D57" s="687"/>
      <c r="E57" s="676"/>
      <c r="F57" s="677"/>
      <c r="G57" s="1899"/>
      <c r="H57" s="1900"/>
      <c r="I57" s="678"/>
      <c r="J57" s="679"/>
      <c r="K57" s="680"/>
      <c r="L57" s="681"/>
      <c r="M57" s="681"/>
      <c r="N57" s="681"/>
      <c r="O57" s="681"/>
      <c r="P57" s="1094"/>
      <c r="Q57" s="682"/>
      <c r="R57" s="683"/>
      <c r="S57" s="681"/>
      <c r="T57" s="668"/>
      <c r="U57" s="2"/>
      <c r="V57" s="1105"/>
      <c r="W57" s="669"/>
      <c r="X57" s="2"/>
      <c r="Y57" s="684">
        <f t="shared" si="15"/>
        <v>0</v>
      </c>
      <c r="Z57" s="670">
        <f t="shared" si="16"/>
        <v>0</v>
      </c>
      <c r="AA57" s="670">
        <f t="shared" si="17"/>
        <v>0</v>
      </c>
      <c r="AB57" s="684">
        <f>IF(Y57=0,,VLOOKUP(Y57,リスト!CX:CY,2,0))</f>
        <v>0</v>
      </c>
      <c r="AC57" s="684">
        <f t="shared" si="1"/>
        <v>0</v>
      </c>
      <c r="AD57" s="685">
        <f>IF(AC57=0,,VLOOKUP(AC57,リスト!DK:DL,2,0))</f>
        <v>0</v>
      </c>
      <c r="AE57" s="670">
        <f>IF(Y57=0,,
IF(OR(リスト!$C$21="小麦",リスト!$C$21="二条大麦",リスト!$C$21="六条大麦",リスト!$C$21="はだか麦",リスト!$C$21="なたね"),IF(K57&lt;9,調査年-J57,調査年-J57-1),
IF(リスト!$C$21="さとうきび",IF(K57&gt;=4,調査年-J57,調査年-J57+1),
調査年-J57)))</f>
        <v>0</v>
      </c>
      <c r="AF57" s="385">
        <f t="shared" si="18"/>
        <v>0</v>
      </c>
      <c r="AG57" s="385">
        <f t="shared" si="3"/>
        <v>0</v>
      </c>
      <c r="AH57" s="385">
        <f t="shared" si="4"/>
        <v>0</v>
      </c>
      <c r="AI57" s="385">
        <f t="shared" si="5"/>
        <v>0</v>
      </c>
      <c r="AJ57" s="385">
        <f t="shared" si="6"/>
        <v>0</v>
      </c>
      <c r="AK57" s="385">
        <f t="shared" si="14"/>
        <v>0</v>
      </c>
      <c r="AL57" s="385">
        <f t="shared" si="7"/>
        <v>0</v>
      </c>
      <c r="AM57" s="385">
        <f t="shared" si="8"/>
        <v>0</v>
      </c>
      <c r="AN57" s="394"/>
      <c r="AO57" s="672">
        <f>IF(OR(P57=0,AG57=0),,
IF(OR(リスト!$C$21="小麦",リスト!$C$21="二条大麦",リスト!$C$21="六条大麦",リスト!$C$21="はだか麦",リスト!$C$21="なたね"),IF(OR(AND(K57&lt;9,J57=調査年),AND(K57&gt;=9,J57=調査年-1)),,ROUND(AG57*P57%,0)),
IF(リスト!$C$21="さとうきび",IF(OR(AND(K57&gt;=4,J57=調査年),AND(K57&lt;4,J57=調査年+1)),,ROUND(AG57*P57%,0)),
IF(J57=調査年,,ROUND(AG57*P57%,0)))))</f>
        <v>0</v>
      </c>
      <c r="AP57" s="672">
        <f t="shared" si="9"/>
        <v>0</v>
      </c>
      <c r="AQ57" s="385">
        <f t="shared" si="10"/>
        <v>0</v>
      </c>
      <c r="AR57" s="672">
        <f t="shared" si="11"/>
        <v>0</v>
      </c>
      <c r="AS57" s="385">
        <f>IF(P57=0,,
SUM(
IF(OR(リスト!$C$21="小麦",リスト!$C$21="二条大麦",リスト!$C$21="六条大麦",リスト!$C$21="はだか麦",リスト!$C$21="なたね"),IF(OR(AND(Z57=1,K57&lt;9,J57=調査年),AND(Z57=1,K57&gt;=9,J57=調査年-1)),ROUND(L57*P57%,0),),
IF(リスト!$C$21="さとうきび",IF(OR(AND(Z57=1,K57&gt;=4,J57=調査年),AND(Z57=1,K57&lt;4,J57=調査年+1)),ROUND(L57*P57%,0),),
IF(AND(Z57=1,J57=調査年),ROUND(L57*P57%,0),))),
ROUND(N57*P57%,0),
ROUND(SUM(AK57)*P57%,0)
))</f>
        <v>0</v>
      </c>
      <c r="AT57" s="385">
        <f t="shared" si="12"/>
        <v>0</v>
      </c>
      <c r="AU57" s="385" t="str">
        <f t="shared" si="13"/>
        <v/>
      </c>
      <c r="AV57" s="686"/>
      <c r="AW57" s="686"/>
      <c r="AX57" s="686"/>
      <c r="AY57" s="686"/>
      <c r="AZ57" s="686"/>
    </row>
    <row r="58" spans="3:52" s="46" customFormat="1" ht="30" hidden="1" customHeight="1" outlineLevel="1">
      <c r="C58" s="674">
        <v>43</v>
      </c>
      <c r="D58" s="687"/>
      <c r="E58" s="676"/>
      <c r="F58" s="677"/>
      <c r="G58" s="1899"/>
      <c r="H58" s="1900"/>
      <c r="I58" s="678"/>
      <c r="J58" s="679"/>
      <c r="K58" s="680"/>
      <c r="L58" s="681"/>
      <c r="M58" s="681"/>
      <c r="N58" s="681"/>
      <c r="O58" s="681"/>
      <c r="P58" s="1094"/>
      <c r="Q58" s="682"/>
      <c r="R58" s="683"/>
      <c r="S58" s="681"/>
      <c r="T58" s="668"/>
      <c r="U58" s="2"/>
      <c r="V58" s="1105"/>
      <c r="W58" s="669"/>
      <c r="X58" s="2"/>
      <c r="Y58" s="684">
        <f t="shared" si="15"/>
        <v>0</v>
      </c>
      <c r="Z58" s="670">
        <f t="shared" si="16"/>
        <v>0</v>
      </c>
      <c r="AA58" s="670">
        <f t="shared" si="17"/>
        <v>0</v>
      </c>
      <c r="AB58" s="684">
        <f>IF(Y58=0,,VLOOKUP(Y58,リスト!CX:CY,2,0))</f>
        <v>0</v>
      </c>
      <c r="AC58" s="684">
        <f t="shared" si="1"/>
        <v>0</v>
      </c>
      <c r="AD58" s="685">
        <f>IF(AC58=0,,VLOOKUP(AC58,リスト!DK:DL,2,0))</f>
        <v>0</v>
      </c>
      <c r="AE58" s="670">
        <f>IF(Y58=0,,
IF(OR(リスト!$C$21="小麦",リスト!$C$21="二条大麦",リスト!$C$21="六条大麦",リスト!$C$21="はだか麦",リスト!$C$21="なたね"),IF(K58&lt;9,調査年-J58,調査年-J58-1),
IF(リスト!$C$21="さとうきび",IF(K58&gt;=4,調査年-J58,調査年-J58+1),
調査年-J58)))</f>
        <v>0</v>
      </c>
      <c r="AF58" s="385">
        <f t="shared" si="18"/>
        <v>0</v>
      </c>
      <c r="AG58" s="385">
        <f t="shared" si="3"/>
        <v>0</v>
      </c>
      <c r="AH58" s="385">
        <f t="shared" si="4"/>
        <v>0</v>
      </c>
      <c r="AI58" s="385">
        <f t="shared" si="5"/>
        <v>0</v>
      </c>
      <c r="AJ58" s="385">
        <f t="shared" si="6"/>
        <v>0</v>
      </c>
      <c r="AK58" s="385">
        <f t="shared" si="14"/>
        <v>0</v>
      </c>
      <c r="AL58" s="385">
        <f t="shared" si="7"/>
        <v>0</v>
      </c>
      <c r="AM58" s="385">
        <f t="shared" si="8"/>
        <v>0</v>
      </c>
      <c r="AN58" s="394"/>
      <c r="AO58" s="672">
        <f>IF(OR(P58=0,AG58=0),,
IF(OR(リスト!$C$21="小麦",リスト!$C$21="二条大麦",リスト!$C$21="六条大麦",リスト!$C$21="はだか麦",リスト!$C$21="なたね"),IF(OR(AND(K58&lt;9,J58=調査年),AND(K58&gt;=9,J58=調査年-1)),,ROUND(AG58*P58%,0)),
IF(リスト!$C$21="さとうきび",IF(OR(AND(K58&gt;=4,J58=調査年),AND(K58&lt;4,J58=調査年+1)),,ROUND(AG58*P58%,0)),
IF(J58=調査年,,ROUND(AG58*P58%,0)))))</f>
        <v>0</v>
      </c>
      <c r="AP58" s="672">
        <f t="shared" si="9"/>
        <v>0</v>
      </c>
      <c r="AQ58" s="385">
        <f t="shared" si="10"/>
        <v>0</v>
      </c>
      <c r="AR58" s="672">
        <f t="shared" si="11"/>
        <v>0</v>
      </c>
      <c r="AS58" s="385">
        <f>IF(P58=0,,
SUM(
IF(OR(リスト!$C$21="小麦",リスト!$C$21="二条大麦",リスト!$C$21="六条大麦",リスト!$C$21="はだか麦",リスト!$C$21="なたね"),IF(OR(AND(Z58=1,K58&lt;9,J58=調査年),AND(Z58=1,K58&gt;=9,J58=調査年-1)),ROUND(L58*P58%,0),),
IF(リスト!$C$21="さとうきび",IF(OR(AND(Z58=1,K58&gt;=4,J58=調査年),AND(Z58=1,K58&lt;4,J58=調査年+1)),ROUND(L58*P58%,0),),
IF(AND(Z58=1,J58=調査年),ROUND(L58*P58%,0),))),
ROUND(N58*P58%,0),
ROUND(SUM(AK58)*P58%,0)
))</f>
        <v>0</v>
      </c>
      <c r="AT58" s="385">
        <f t="shared" si="12"/>
        <v>0</v>
      </c>
      <c r="AU58" s="385" t="str">
        <f t="shared" si="13"/>
        <v/>
      </c>
      <c r="AV58" s="686"/>
      <c r="AW58" s="686"/>
      <c r="AX58" s="686"/>
      <c r="AY58" s="686"/>
      <c r="AZ58" s="686"/>
    </row>
    <row r="59" spans="3:52" s="46" customFormat="1" ht="30" hidden="1" customHeight="1" outlineLevel="1">
      <c r="C59" s="674">
        <v>44</v>
      </c>
      <c r="D59" s="687"/>
      <c r="E59" s="676"/>
      <c r="F59" s="677"/>
      <c r="G59" s="1899"/>
      <c r="H59" s="1900"/>
      <c r="I59" s="678"/>
      <c r="J59" s="679"/>
      <c r="K59" s="680"/>
      <c r="L59" s="681"/>
      <c r="M59" s="681"/>
      <c r="N59" s="681"/>
      <c r="O59" s="681"/>
      <c r="P59" s="1094"/>
      <c r="Q59" s="682"/>
      <c r="R59" s="683"/>
      <c r="S59" s="681"/>
      <c r="T59" s="668"/>
      <c r="U59" s="2"/>
      <c r="V59" s="1105"/>
      <c r="W59" s="669"/>
      <c r="X59" s="2"/>
      <c r="Y59" s="684">
        <f t="shared" si="15"/>
        <v>0</v>
      </c>
      <c r="Z59" s="670">
        <f t="shared" si="16"/>
        <v>0</v>
      </c>
      <c r="AA59" s="670">
        <f t="shared" si="17"/>
        <v>0</v>
      </c>
      <c r="AB59" s="684">
        <f>IF(Y59=0,,VLOOKUP(Y59,リスト!CX:CY,2,0))</f>
        <v>0</v>
      </c>
      <c r="AC59" s="684">
        <f t="shared" si="1"/>
        <v>0</v>
      </c>
      <c r="AD59" s="685">
        <f>IF(AC59=0,,VLOOKUP(AC59,リスト!DK:DL,2,0))</f>
        <v>0</v>
      </c>
      <c r="AE59" s="670">
        <f>IF(Y59=0,,
IF(OR(リスト!$C$21="小麦",リスト!$C$21="二条大麦",リスト!$C$21="六条大麦",リスト!$C$21="はだか麦",リスト!$C$21="なたね"),IF(K59&lt;9,調査年-J59,調査年-J59-1),
IF(リスト!$C$21="さとうきび",IF(K59&gt;=4,調査年-J59,調査年-J59+1),
調査年-J59)))</f>
        <v>0</v>
      </c>
      <c r="AF59" s="385">
        <f t="shared" si="18"/>
        <v>0</v>
      </c>
      <c r="AG59" s="385">
        <f t="shared" si="3"/>
        <v>0</v>
      </c>
      <c r="AH59" s="385">
        <f t="shared" si="4"/>
        <v>0</v>
      </c>
      <c r="AI59" s="385">
        <f t="shared" si="5"/>
        <v>0</v>
      </c>
      <c r="AJ59" s="385">
        <f t="shared" si="6"/>
        <v>0</v>
      </c>
      <c r="AK59" s="385">
        <f t="shared" si="14"/>
        <v>0</v>
      </c>
      <c r="AL59" s="385">
        <f t="shared" si="7"/>
        <v>0</v>
      </c>
      <c r="AM59" s="385">
        <f t="shared" si="8"/>
        <v>0</v>
      </c>
      <c r="AN59" s="394"/>
      <c r="AO59" s="672">
        <f>IF(OR(P59=0,AG59=0),,
IF(OR(リスト!$C$21="小麦",リスト!$C$21="二条大麦",リスト!$C$21="六条大麦",リスト!$C$21="はだか麦",リスト!$C$21="なたね"),IF(OR(AND(K59&lt;9,J59=調査年),AND(K59&gt;=9,J59=調査年-1)),,ROUND(AG59*P59%,0)),
IF(リスト!$C$21="さとうきび",IF(OR(AND(K59&gt;=4,J59=調査年),AND(K59&lt;4,J59=調査年+1)),,ROUND(AG59*P59%,0)),
IF(J59=調査年,,ROUND(AG59*P59%,0)))))</f>
        <v>0</v>
      </c>
      <c r="AP59" s="672">
        <f t="shared" si="9"/>
        <v>0</v>
      </c>
      <c r="AQ59" s="385">
        <f t="shared" si="10"/>
        <v>0</v>
      </c>
      <c r="AR59" s="672">
        <f t="shared" si="11"/>
        <v>0</v>
      </c>
      <c r="AS59" s="385">
        <f>IF(P59=0,,
SUM(
IF(OR(リスト!$C$21="小麦",リスト!$C$21="二条大麦",リスト!$C$21="六条大麦",リスト!$C$21="はだか麦",リスト!$C$21="なたね"),IF(OR(AND(Z59=1,K59&lt;9,J59=調査年),AND(Z59=1,K59&gt;=9,J59=調査年-1)),ROUND(L59*P59%,0),),
IF(リスト!$C$21="さとうきび",IF(OR(AND(Z59=1,K59&gt;=4,J59=調査年),AND(Z59=1,K59&lt;4,J59=調査年+1)),ROUND(L59*P59%,0),),
IF(AND(Z59=1,J59=調査年),ROUND(L59*P59%,0),))),
ROUND(N59*P59%,0),
ROUND(SUM(AK59)*P59%,0)
))</f>
        <v>0</v>
      </c>
      <c r="AT59" s="385">
        <f t="shared" si="12"/>
        <v>0</v>
      </c>
      <c r="AU59" s="385" t="str">
        <f t="shared" si="13"/>
        <v/>
      </c>
      <c r="AV59" s="686"/>
      <c r="AW59" s="686"/>
      <c r="AX59" s="686"/>
      <c r="AY59" s="686"/>
      <c r="AZ59" s="686"/>
    </row>
    <row r="60" spans="3:52" s="46" customFormat="1" ht="30" hidden="1" customHeight="1" outlineLevel="1">
      <c r="C60" s="674">
        <v>45</v>
      </c>
      <c r="D60" s="687"/>
      <c r="E60" s="676"/>
      <c r="F60" s="677"/>
      <c r="G60" s="1899"/>
      <c r="H60" s="1900"/>
      <c r="I60" s="678"/>
      <c r="J60" s="679"/>
      <c r="K60" s="680"/>
      <c r="L60" s="681"/>
      <c r="M60" s="681"/>
      <c r="N60" s="681"/>
      <c r="O60" s="681"/>
      <c r="P60" s="1094"/>
      <c r="Q60" s="682"/>
      <c r="R60" s="683"/>
      <c r="S60" s="681"/>
      <c r="T60" s="668"/>
      <c r="U60" s="2"/>
      <c r="V60" s="1105"/>
      <c r="W60" s="669"/>
      <c r="X60" s="2"/>
      <c r="Y60" s="684">
        <f t="shared" si="15"/>
        <v>0</v>
      </c>
      <c r="Z60" s="670">
        <f t="shared" si="16"/>
        <v>0</v>
      </c>
      <c r="AA60" s="670">
        <f t="shared" si="17"/>
        <v>0</v>
      </c>
      <c r="AB60" s="684">
        <f>IF(Y60=0,,VLOOKUP(Y60,リスト!CX:CY,2,0))</f>
        <v>0</v>
      </c>
      <c r="AC60" s="684">
        <f t="shared" si="1"/>
        <v>0</v>
      </c>
      <c r="AD60" s="685">
        <f>IF(AC60=0,,VLOOKUP(AC60,リスト!DK:DL,2,0))</f>
        <v>0</v>
      </c>
      <c r="AE60" s="670">
        <f>IF(Y60=0,,
IF(OR(リスト!$C$21="小麦",リスト!$C$21="二条大麦",リスト!$C$21="六条大麦",リスト!$C$21="はだか麦",リスト!$C$21="なたね"),IF(K60&lt;9,調査年-J60,調査年-J60-1),
IF(リスト!$C$21="さとうきび",IF(K60&gt;=4,調査年-J60,調査年-J60+1),
調査年-J60)))</f>
        <v>0</v>
      </c>
      <c r="AF60" s="385">
        <f t="shared" si="18"/>
        <v>0</v>
      </c>
      <c r="AG60" s="385">
        <f t="shared" si="3"/>
        <v>0</v>
      </c>
      <c r="AH60" s="385">
        <f t="shared" si="4"/>
        <v>0</v>
      </c>
      <c r="AI60" s="385">
        <f t="shared" si="5"/>
        <v>0</v>
      </c>
      <c r="AJ60" s="385">
        <f t="shared" si="6"/>
        <v>0</v>
      </c>
      <c r="AK60" s="385">
        <f t="shared" si="14"/>
        <v>0</v>
      </c>
      <c r="AL60" s="385">
        <f t="shared" si="7"/>
        <v>0</v>
      </c>
      <c r="AM60" s="385">
        <f t="shared" si="8"/>
        <v>0</v>
      </c>
      <c r="AN60" s="394"/>
      <c r="AO60" s="672">
        <f>IF(OR(P60=0,AG60=0),,
IF(OR(リスト!$C$21="小麦",リスト!$C$21="二条大麦",リスト!$C$21="六条大麦",リスト!$C$21="はだか麦",リスト!$C$21="なたね"),IF(OR(AND(K60&lt;9,J60=調査年),AND(K60&gt;=9,J60=調査年-1)),,ROUND(AG60*P60%,0)),
IF(リスト!$C$21="さとうきび",IF(OR(AND(K60&gt;=4,J60=調査年),AND(K60&lt;4,J60=調査年+1)),,ROUND(AG60*P60%,0)),
IF(J60=調査年,,ROUND(AG60*P60%,0)))))</f>
        <v>0</v>
      </c>
      <c r="AP60" s="672">
        <f t="shared" si="9"/>
        <v>0</v>
      </c>
      <c r="AQ60" s="385">
        <f t="shared" si="10"/>
        <v>0</v>
      </c>
      <c r="AR60" s="672">
        <f t="shared" si="11"/>
        <v>0</v>
      </c>
      <c r="AS60" s="385">
        <f>IF(P60=0,,
SUM(
IF(OR(リスト!$C$21="小麦",リスト!$C$21="二条大麦",リスト!$C$21="六条大麦",リスト!$C$21="はだか麦",リスト!$C$21="なたね"),IF(OR(AND(Z60=1,K60&lt;9,J60=調査年),AND(Z60=1,K60&gt;=9,J60=調査年-1)),ROUND(L60*P60%,0),),
IF(リスト!$C$21="さとうきび",IF(OR(AND(Z60=1,K60&gt;=4,J60=調査年),AND(Z60=1,K60&lt;4,J60=調査年+1)),ROUND(L60*P60%,0),),
IF(AND(Z60=1,J60=調査年),ROUND(L60*P60%,0),))),
ROUND(N60*P60%,0),
ROUND(SUM(AK60)*P60%,0)
))</f>
        <v>0</v>
      </c>
      <c r="AT60" s="385">
        <f t="shared" si="12"/>
        <v>0</v>
      </c>
      <c r="AU60" s="385" t="str">
        <f t="shared" si="13"/>
        <v/>
      </c>
      <c r="AV60" s="686"/>
      <c r="AW60" s="686"/>
      <c r="AX60" s="686"/>
      <c r="AY60" s="686"/>
      <c r="AZ60" s="686"/>
    </row>
    <row r="61" spans="3:52" s="46" customFormat="1" ht="30" hidden="1" customHeight="1" outlineLevel="1">
      <c r="C61" s="674">
        <v>46</v>
      </c>
      <c r="D61" s="687"/>
      <c r="E61" s="676"/>
      <c r="F61" s="677"/>
      <c r="G61" s="1899"/>
      <c r="H61" s="1900"/>
      <c r="I61" s="678"/>
      <c r="J61" s="679"/>
      <c r="K61" s="680"/>
      <c r="L61" s="681"/>
      <c r="M61" s="681"/>
      <c r="N61" s="681"/>
      <c r="O61" s="681"/>
      <c r="P61" s="1094"/>
      <c r="Q61" s="682"/>
      <c r="R61" s="683"/>
      <c r="S61" s="681"/>
      <c r="T61" s="668"/>
      <c r="U61" s="2"/>
      <c r="V61" s="1105"/>
      <c r="W61" s="669"/>
      <c r="X61" s="2"/>
      <c r="Y61" s="684">
        <f t="shared" si="15"/>
        <v>0</v>
      </c>
      <c r="Z61" s="670">
        <f t="shared" si="16"/>
        <v>0</v>
      </c>
      <c r="AA61" s="670">
        <f t="shared" si="17"/>
        <v>0</v>
      </c>
      <c r="AB61" s="684">
        <f>IF(Y61=0,,VLOOKUP(Y61,リスト!CX:CY,2,0))</f>
        <v>0</v>
      </c>
      <c r="AC61" s="684">
        <f t="shared" si="1"/>
        <v>0</v>
      </c>
      <c r="AD61" s="685">
        <f>IF(AC61=0,,VLOOKUP(AC61,リスト!DK:DL,2,0))</f>
        <v>0</v>
      </c>
      <c r="AE61" s="670">
        <f>IF(Y61=0,,
IF(OR(リスト!$C$21="小麦",リスト!$C$21="二条大麦",リスト!$C$21="六条大麦",リスト!$C$21="はだか麦",リスト!$C$21="なたね"),IF(K61&lt;9,調査年-J61,調査年-J61-1),
IF(リスト!$C$21="さとうきび",IF(K61&gt;=4,調査年-J61,調査年-J61+1),
調査年-J61)))</f>
        <v>0</v>
      </c>
      <c r="AF61" s="385">
        <f t="shared" si="18"/>
        <v>0</v>
      </c>
      <c r="AG61" s="385">
        <f t="shared" si="3"/>
        <v>0</v>
      </c>
      <c r="AH61" s="385">
        <f t="shared" si="4"/>
        <v>0</v>
      </c>
      <c r="AI61" s="385">
        <f t="shared" si="5"/>
        <v>0</v>
      </c>
      <c r="AJ61" s="385">
        <f t="shared" si="6"/>
        <v>0</v>
      </c>
      <c r="AK61" s="385">
        <f t="shared" si="14"/>
        <v>0</v>
      </c>
      <c r="AL61" s="385">
        <f t="shared" si="7"/>
        <v>0</v>
      </c>
      <c r="AM61" s="385">
        <f t="shared" si="8"/>
        <v>0</v>
      </c>
      <c r="AN61" s="394"/>
      <c r="AO61" s="672">
        <f>IF(OR(P61=0,AG61=0),,
IF(OR(リスト!$C$21="小麦",リスト!$C$21="二条大麦",リスト!$C$21="六条大麦",リスト!$C$21="はだか麦",リスト!$C$21="なたね"),IF(OR(AND(K61&lt;9,J61=調査年),AND(K61&gt;=9,J61=調査年-1)),,ROUND(AG61*P61%,0)),
IF(リスト!$C$21="さとうきび",IF(OR(AND(K61&gt;=4,J61=調査年),AND(K61&lt;4,J61=調査年+1)),,ROUND(AG61*P61%,0)),
IF(J61=調査年,,ROUND(AG61*P61%,0)))))</f>
        <v>0</v>
      </c>
      <c r="AP61" s="672">
        <f t="shared" si="9"/>
        <v>0</v>
      </c>
      <c r="AQ61" s="385">
        <f t="shared" si="10"/>
        <v>0</v>
      </c>
      <c r="AR61" s="672">
        <f t="shared" si="11"/>
        <v>0</v>
      </c>
      <c r="AS61" s="385">
        <f>IF(P61=0,,
SUM(
IF(OR(リスト!$C$21="小麦",リスト!$C$21="二条大麦",リスト!$C$21="六条大麦",リスト!$C$21="はだか麦",リスト!$C$21="なたね"),IF(OR(AND(Z61=1,K61&lt;9,J61=調査年),AND(Z61=1,K61&gt;=9,J61=調査年-1)),ROUND(L61*P61%,0),),
IF(リスト!$C$21="さとうきび",IF(OR(AND(Z61=1,K61&gt;=4,J61=調査年),AND(Z61=1,K61&lt;4,J61=調査年+1)),ROUND(L61*P61%,0),),
IF(AND(Z61=1,J61=調査年),ROUND(L61*P61%,0),))),
ROUND(N61*P61%,0),
ROUND(SUM(AK61)*P61%,0)
))</f>
        <v>0</v>
      </c>
      <c r="AT61" s="385">
        <f t="shared" si="12"/>
        <v>0</v>
      </c>
      <c r="AU61" s="385" t="str">
        <f t="shared" si="13"/>
        <v/>
      </c>
      <c r="AV61" s="686"/>
      <c r="AW61" s="686"/>
      <c r="AX61" s="686"/>
      <c r="AY61" s="686"/>
      <c r="AZ61" s="686"/>
    </row>
    <row r="62" spans="3:52" s="46" customFormat="1" ht="30" hidden="1" customHeight="1" outlineLevel="1">
      <c r="C62" s="674">
        <v>47</v>
      </c>
      <c r="D62" s="687"/>
      <c r="E62" s="676"/>
      <c r="F62" s="677"/>
      <c r="G62" s="1899"/>
      <c r="H62" s="1900"/>
      <c r="I62" s="678"/>
      <c r="J62" s="679"/>
      <c r="K62" s="680"/>
      <c r="L62" s="681"/>
      <c r="M62" s="681"/>
      <c r="N62" s="681"/>
      <c r="O62" s="681"/>
      <c r="P62" s="1094"/>
      <c r="Q62" s="682"/>
      <c r="R62" s="683"/>
      <c r="S62" s="681"/>
      <c r="T62" s="668"/>
      <c r="U62" s="2"/>
      <c r="V62" s="1105"/>
      <c r="W62" s="669"/>
      <c r="X62" s="2"/>
      <c r="Y62" s="684">
        <f t="shared" si="15"/>
        <v>0</v>
      </c>
      <c r="Z62" s="670">
        <f t="shared" si="16"/>
        <v>0</v>
      </c>
      <c r="AA62" s="670">
        <f t="shared" si="17"/>
        <v>0</v>
      </c>
      <c r="AB62" s="684">
        <f>IF(Y62=0,,VLOOKUP(Y62,リスト!CX:CY,2,0))</f>
        <v>0</v>
      </c>
      <c r="AC62" s="684">
        <f t="shared" si="1"/>
        <v>0</v>
      </c>
      <c r="AD62" s="685">
        <f>IF(AC62=0,,VLOOKUP(AC62,リスト!DK:DL,2,0))</f>
        <v>0</v>
      </c>
      <c r="AE62" s="670">
        <f>IF(Y62=0,,
IF(OR(リスト!$C$21="小麦",リスト!$C$21="二条大麦",リスト!$C$21="六条大麦",リスト!$C$21="はだか麦",リスト!$C$21="なたね"),IF(K62&lt;9,調査年-J62,調査年-J62-1),
IF(リスト!$C$21="さとうきび",IF(K62&gt;=4,調査年-J62,調査年-J62+1),
調査年-J62)))</f>
        <v>0</v>
      </c>
      <c r="AF62" s="385">
        <f t="shared" si="18"/>
        <v>0</v>
      </c>
      <c r="AG62" s="385">
        <f t="shared" si="3"/>
        <v>0</v>
      </c>
      <c r="AH62" s="385">
        <f t="shared" si="4"/>
        <v>0</v>
      </c>
      <c r="AI62" s="385">
        <f t="shared" si="5"/>
        <v>0</v>
      </c>
      <c r="AJ62" s="385">
        <f t="shared" si="6"/>
        <v>0</v>
      </c>
      <c r="AK62" s="385">
        <f t="shared" si="14"/>
        <v>0</v>
      </c>
      <c r="AL62" s="385">
        <f t="shared" si="7"/>
        <v>0</v>
      </c>
      <c r="AM62" s="385">
        <f t="shared" si="8"/>
        <v>0</v>
      </c>
      <c r="AN62" s="394"/>
      <c r="AO62" s="672">
        <f>IF(OR(P62=0,AG62=0),,
IF(OR(リスト!$C$21="小麦",リスト!$C$21="二条大麦",リスト!$C$21="六条大麦",リスト!$C$21="はだか麦",リスト!$C$21="なたね"),IF(OR(AND(K62&lt;9,J62=調査年),AND(K62&gt;=9,J62=調査年-1)),,ROUND(AG62*P62%,0)),
IF(リスト!$C$21="さとうきび",IF(OR(AND(K62&gt;=4,J62=調査年),AND(K62&lt;4,J62=調査年+1)),,ROUND(AG62*P62%,0)),
IF(J62=調査年,,ROUND(AG62*P62%,0)))))</f>
        <v>0</v>
      </c>
      <c r="AP62" s="672">
        <f t="shared" si="9"/>
        <v>0</v>
      </c>
      <c r="AQ62" s="385">
        <f t="shared" si="10"/>
        <v>0</v>
      </c>
      <c r="AR62" s="672">
        <f t="shared" si="11"/>
        <v>0</v>
      </c>
      <c r="AS62" s="385">
        <f>IF(P62=0,,
SUM(
IF(OR(リスト!$C$21="小麦",リスト!$C$21="二条大麦",リスト!$C$21="六条大麦",リスト!$C$21="はだか麦",リスト!$C$21="なたね"),IF(OR(AND(Z62=1,K62&lt;9,J62=調査年),AND(Z62=1,K62&gt;=9,J62=調査年-1)),ROUND(L62*P62%,0),),
IF(リスト!$C$21="さとうきび",IF(OR(AND(Z62=1,K62&gt;=4,J62=調査年),AND(Z62=1,K62&lt;4,J62=調査年+1)),ROUND(L62*P62%,0),),
IF(AND(Z62=1,J62=調査年),ROUND(L62*P62%,0),))),
ROUND(N62*P62%,0),
ROUND(SUM(AK62)*P62%,0)
))</f>
        <v>0</v>
      </c>
      <c r="AT62" s="385">
        <f t="shared" si="12"/>
        <v>0</v>
      </c>
      <c r="AU62" s="385" t="str">
        <f t="shared" si="13"/>
        <v/>
      </c>
      <c r="AV62" s="686"/>
      <c r="AW62" s="686"/>
      <c r="AX62" s="686"/>
      <c r="AY62" s="686"/>
      <c r="AZ62" s="686"/>
    </row>
    <row r="63" spans="3:52" s="46" customFormat="1" ht="30" hidden="1" customHeight="1" outlineLevel="1">
      <c r="C63" s="674">
        <v>48</v>
      </c>
      <c r="D63" s="687"/>
      <c r="E63" s="676"/>
      <c r="F63" s="677"/>
      <c r="G63" s="1899"/>
      <c r="H63" s="1900"/>
      <c r="I63" s="678"/>
      <c r="J63" s="679"/>
      <c r="K63" s="680"/>
      <c r="L63" s="681"/>
      <c r="M63" s="681"/>
      <c r="N63" s="681"/>
      <c r="O63" s="681"/>
      <c r="P63" s="1094"/>
      <c r="Q63" s="682"/>
      <c r="R63" s="683"/>
      <c r="S63" s="681"/>
      <c r="T63" s="668"/>
      <c r="U63" s="2"/>
      <c r="V63" s="1105"/>
      <c r="W63" s="669"/>
      <c r="X63" s="2"/>
      <c r="Y63" s="684">
        <f t="shared" si="15"/>
        <v>0</v>
      </c>
      <c r="Z63" s="670">
        <f t="shared" si="16"/>
        <v>0</v>
      </c>
      <c r="AA63" s="670">
        <f t="shared" si="17"/>
        <v>0</v>
      </c>
      <c r="AB63" s="684">
        <f>IF(Y63=0,,VLOOKUP(Y63,リスト!CX:CY,2,0))</f>
        <v>0</v>
      </c>
      <c r="AC63" s="684">
        <f t="shared" si="1"/>
        <v>0</v>
      </c>
      <c r="AD63" s="685">
        <f>IF(AC63=0,,VLOOKUP(AC63,リスト!DK:DL,2,0))</f>
        <v>0</v>
      </c>
      <c r="AE63" s="670">
        <f>IF(Y63=0,,
IF(OR(リスト!$C$21="小麦",リスト!$C$21="二条大麦",リスト!$C$21="六条大麦",リスト!$C$21="はだか麦",リスト!$C$21="なたね"),IF(K63&lt;9,調査年-J63,調査年-J63-1),
IF(リスト!$C$21="さとうきび",IF(K63&gt;=4,調査年-J63,調査年-J63+1),
調査年-J63)))</f>
        <v>0</v>
      </c>
      <c r="AF63" s="385">
        <f t="shared" si="18"/>
        <v>0</v>
      </c>
      <c r="AG63" s="385">
        <f t="shared" si="3"/>
        <v>0</v>
      </c>
      <c r="AH63" s="385">
        <f t="shared" si="4"/>
        <v>0</v>
      </c>
      <c r="AI63" s="385">
        <f t="shared" si="5"/>
        <v>0</v>
      </c>
      <c r="AJ63" s="385">
        <f t="shared" si="6"/>
        <v>0</v>
      </c>
      <c r="AK63" s="385">
        <f t="shared" si="14"/>
        <v>0</v>
      </c>
      <c r="AL63" s="385">
        <f t="shared" si="7"/>
        <v>0</v>
      </c>
      <c r="AM63" s="385">
        <f t="shared" si="8"/>
        <v>0</v>
      </c>
      <c r="AN63" s="394"/>
      <c r="AO63" s="672">
        <f>IF(OR(P63=0,AG63=0),,
IF(OR(リスト!$C$21="小麦",リスト!$C$21="二条大麦",リスト!$C$21="六条大麦",リスト!$C$21="はだか麦",リスト!$C$21="なたね"),IF(OR(AND(K63&lt;9,J63=調査年),AND(K63&gt;=9,J63=調査年-1)),,ROUND(AG63*P63%,0)),
IF(リスト!$C$21="さとうきび",IF(OR(AND(K63&gt;=4,J63=調査年),AND(K63&lt;4,J63=調査年+1)),,ROUND(AG63*P63%,0)),
IF(J63=調査年,,ROUND(AG63*P63%,0)))))</f>
        <v>0</v>
      </c>
      <c r="AP63" s="672">
        <f t="shared" si="9"/>
        <v>0</v>
      </c>
      <c r="AQ63" s="385">
        <f t="shared" si="10"/>
        <v>0</v>
      </c>
      <c r="AR63" s="672">
        <f t="shared" si="11"/>
        <v>0</v>
      </c>
      <c r="AS63" s="385">
        <f>IF(P63=0,,
SUM(
IF(OR(リスト!$C$21="小麦",リスト!$C$21="二条大麦",リスト!$C$21="六条大麦",リスト!$C$21="はだか麦",リスト!$C$21="なたね"),IF(OR(AND(Z63=1,K63&lt;9,J63=調査年),AND(Z63=1,K63&gt;=9,J63=調査年-1)),ROUND(L63*P63%,0),),
IF(リスト!$C$21="さとうきび",IF(OR(AND(Z63=1,K63&gt;=4,J63=調査年),AND(Z63=1,K63&lt;4,J63=調査年+1)),ROUND(L63*P63%,0),),
IF(AND(Z63=1,J63=調査年),ROUND(L63*P63%,0),))),
ROUND(N63*P63%,0),
ROUND(SUM(AK63)*P63%,0)
))</f>
        <v>0</v>
      </c>
      <c r="AT63" s="385">
        <f t="shared" si="12"/>
        <v>0</v>
      </c>
      <c r="AU63" s="385" t="str">
        <f t="shared" si="13"/>
        <v/>
      </c>
      <c r="AV63" s="686"/>
      <c r="AW63" s="686"/>
      <c r="AX63" s="686"/>
      <c r="AY63" s="686"/>
      <c r="AZ63" s="686"/>
    </row>
    <row r="64" spans="3:52" s="46" customFormat="1" ht="30" hidden="1" customHeight="1" outlineLevel="1">
      <c r="C64" s="674">
        <v>49</v>
      </c>
      <c r="D64" s="687"/>
      <c r="E64" s="676"/>
      <c r="F64" s="677"/>
      <c r="G64" s="1899"/>
      <c r="H64" s="1900"/>
      <c r="I64" s="678"/>
      <c r="J64" s="679"/>
      <c r="K64" s="680"/>
      <c r="L64" s="681"/>
      <c r="M64" s="681"/>
      <c r="N64" s="681"/>
      <c r="O64" s="681"/>
      <c r="P64" s="1094"/>
      <c r="Q64" s="682"/>
      <c r="R64" s="683"/>
      <c r="S64" s="681"/>
      <c r="T64" s="668"/>
      <c r="U64" s="2"/>
      <c r="V64" s="1105"/>
      <c r="W64" s="669"/>
      <c r="X64" s="2"/>
      <c r="Y64" s="684">
        <f t="shared" si="15"/>
        <v>0</v>
      </c>
      <c r="Z64" s="670">
        <f t="shared" si="16"/>
        <v>0</v>
      </c>
      <c r="AA64" s="670">
        <f t="shared" si="17"/>
        <v>0</v>
      </c>
      <c r="AB64" s="684">
        <f>IF(Y64=0,,VLOOKUP(Y64,リスト!CX:CY,2,0))</f>
        <v>0</v>
      </c>
      <c r="AC64" s="684">
        <f t="shared" si="1"/>
        <v>0</v>
      </c>
      <c r="AD64" s="685">
        <f>IF(AC64=0,,VLOOKUP(AC64,リスト!DK:DL,2,0))</f>
        <v>0</v>
      </c>
      <c r="AE64" s="670">
        <f>IF(Y64=0,,
IF(OR(リスト!$C$21="小麦",リスト!$C$21="二条大麦",リスト!$C$21="六条大麦",リスト!$C$21="はだか麦",リスト!$C$21="なたね"),IF(K64&lt;9,調査年-J64,調査年-J64-1),
IF(リスト!$C$21="さとうきび",IF(K64&gt;=4,調査年-J64,調査年-J64+1),
調査年-J64)))</f>
        <v>0</v>
      </c>
      <c r="AF64" s="385">
        <f t="shared" si="18"/>
        <v>0</v>
      </c>
      <c r="AG64" s="385">
        <f t="shared" si="3"/>
        <v>0</v>
      </c>
      <c r="AH64" s="385">
        <f t="shared" si="4"/>
        <v>0</v>
      </c>
      <c r="AI64" s="385">
        <f t="shared" si="5"/>
        <v>0</v>
      </c>
      <c r="AJ64" s="385">
        <f t="shared" si="6"/>
        <v>0</v>
      </c>
      <c r="AK64" s="385">
        <f t="shared" si="14"/>
        <v>0</v>
      </c>
      <c r="AL64" s="385">
        <f t="shared" si="7"/>
        <v>0</v>
      </c>
      <c r="AM64" s="385">
        <f t="shared" si="8"/>
        <v>0</v>
      </c>
      <c r="AN64" s="394"/>
      <c r="AO64" s="672">
        <f>IF(OR(P64=0,AG64=0),,
IF(OR(リスト!$C$21="小麦",リスト!$C$21="二条大麦",リスト!$C$21="六条大麦",リスト!$C$21="はだか麦",リスト!$C$21="なたね"),IF(OR(AND(K64&lt;9,J64=調査年),AND(K64&gt;=9,J64=調査年-1)),,ROUND(AG64*P64%,0)),
IF(リスト!$C$21="さとうきび",IF(OR(AND(K64&gt;=4,J64=調査年),AND(K64&lt;4,J64=調査年+1)),,ROUND(AG64*P64%,0)),
IF(J64=調査年,,ROUND(AG64*P64%,0)))))</f>
        <v>0</v>
      </c>
      <c r="AP64" s="672">
        <f t="shared" si="9"/>
        <v>0</v>
      </c>
      <c r="AQ64" s="385">
        <f t="shared" si="10"/>
        <v>0</v>
      </c>
      <c r="AR64" s="672">
        <f t="shared" si="11"/>
        <v>0</v>
      </c>
      <c r="AS64" s="385">
        <f>IF(P64=0,,
SUM(
IF(OR(リスト!$C$21="小麦",リスト!$C$21="二条大麦",リスト!$C$21="六条大麦",リスト!$C$21="はだか麦",リスト!$C$21="なたね"),IF(OR(AND(Z64=1,K64&lt;9,J64=調査年),AND(Z64=1,K64&gt;=9,J64=調査年-1)),ROUND(L64*P64%,0),),
IF(リスト!$C$21="さとうきび",IF(OR(AND(Z64=1,K64&gt;=4,J64=調査年),AND(Z64=1,K64&lt;4,J64=調査年+1)),ROUND(L64*P64%,0),),
IF(AND(Z64=1,J64=調査年),ROUND(L64*P64%,0),))),
ROUND(N64*P64%,0),
ROUND(SUM(AK64)*P64%,0)
))</f>
        <v>0</v>
      </c>
      <c r="AT64" s="385">
        <f t="shared" si="12"/>
        <v>0</v>
      </c>
      <c r="AU64" s="385" t="str">
        <f t="shared" si="13"/>
        <v/>
      </c>
      <c r="AV64" s="686"/>
      <c r="AW64" s="686"/>
      <c r="AX64" s="686"/>
      <c r="AY64" s="686"/>
      <c r="AZ64" s="686"/>
    </row>
    <row r="65" spans="3:52" s="46" customFormat="1" ht="30" hidden="1" customHeight="1" outlineLevel="1">
      <c r="C65" s="674">
        <v>50</v>
      </c>
      <c r="D65" s="687"/>
      <c r="E65" s="676"/>
      <c r="F65" s="677"/>
      <c r="G65" s="1899"/>
      <c r="H65" s="1900"/>
      <c r="I65" s="678"/>
      <c r="J65" s="679"/>
      <c r="K65" s="680"/>
      <c r="L65" s="681"/>
      <c r="M65" s="681"/>
      <c r="N65" s="681"/>
      <c r="O65" s="681"/>
      <c r="P65" s="1094"/>
      <c r="Q65" s="682"/>
      <c r="R65" s="683"/>
      <c r="S65" s="681"/>
      <c r="T65" s="668"/>
      <c r="U65" s="2"/>
      <c r="V65" s="1105"/>
      <c r="W65" s="669"/>
      <c r="X65" s="2"/>
      <c r="Y65" s="684">
        <f t="shared" si="15"/>
        <v>0</v>
      </c>
      <c r="Z65" s="670">
        <f t="shared" si="16"/>
        <v>0</v>
      </c>
      <c r="AA65" s="670">
        <f t="shared" si="17"/>
        <v>0</v>
      </c>
      <c r="AB65" s="684">
        <f>IF(Y65=0,,VLOOKUP(Y65,リスト!CX:CY,2,0))</f>
        <v>0</v>
      </c>
      <c r="AC65" s="684">
        <f t="shared" si="1"/>
        <v>0</v>
      </c>
      <c r="AD65" s="685">
        <f>IF(AC65=0,,VLOOKUP(AC65,リスト!DK:DL,2,0))</f>
        <v>0</v>
      </c>
      <c r="AE65" s="670">
        <f>IF(Y65=0,,
IF(OR(リスト!$C$21="小麦",リスト!$C$21="二条大麦",リスト!$C$21="六条大麦",リスト!$C$21="はだか麦",リスト!$C$21="なたね"),IF(K65&lt;9,調査年-J65,調査年-J65-1),
IF(リスト!$C$21="さとうきび",IF(K65&gt;=4,調査年-J65,調査年-J65+1),
調査年-J65)))</f>
        <v>0</v>
      </c>
      <c r="AF65" s="385">
        <f t="shared" si="18"/>
        <v>0</v>
      </c>
      <c r="AG65" s="385">
        <f t="shared" si="3"/>
        <v>0</v>
      </c>
      <c r="AH65" s="385">
        <f t="shared" si="4"/>
        <v>0</v>
      </c>
      <c r="AI65" s="385">
        <f t="shared" si="5"/>
        <v>0</v>
      </c>
      <c r="AJ65" s="385">
        <f t="shared" si="6"/>
        <v>0</v>
      </c>
      <c r="AK65" s="385">
        <f t="shared" si="14"/>
        <v>0</v>
      </c>
      <c r="AL65" s="385">
        <f t="shared" si="7"/>
        <v>0</v>
      </c>
      <c r="AM65" s="385">
        <f t="shared" si="8"/>
        <v>0</v>
      </c>
      <c r="AN65" s="394"/>
      <c r="AO65" s="672">
        <f>IF(OR(P65=0,AG65=0),,
IF(OR(リスト!$C$21="小麦",リスト!$C$21="二条大麦",リスト!$C$21="六条大麦",リスト!$C$21="はだか麦",リスト!$C$21="なたね"),IF(OR(AND(K65&lt;9,J65=調査年),AND(K65&gt;=9,J65=調査年-1)),,ROUND(AG65*P65%,0)),
IF(リスト!$C$21="さとうきび",IF(OR(AND(K65&gt;=4,J65=調査年),AND(K65&lt;4,J65=調査年+1)),,ROUND(AG65*P65%,0)),
IF(J65=調査年,,ROUND(AG65*P65%,0)))))</f>
        <v>0</v>
      </c>
      <c r="AP65" s="672">
        <f t="shared" si="9"/>
        <v>0</v>
      </c>
      <c r="AQ65" s="385">
        <f t="shared" si="10"/>
        <v>0</v>
      </c>
      <c r="AR65" s="672">
        <f t="shared" si="11"/>
        <v>0</v>
      </c>
      <c r="AS65" s="385">
        <f>IF(P65=0,,
SUM(
IF(OR(リスト!$C$21="小麦",リスト!$C$21="二条大麦",リスト!$C$21="六条大麦",リスト!$C$21="はだか麦",リスト!$C$21="なたね"),IF(OR(AND(Z65=1,K65&lt;9,J65=調査年),AND(Z65=1,K65&gt;=9,J65=調査年-1)),ROUND(L65*P65%,0),),
IF(リスト!$C$21="さとうきび",IF(OR(AND(Z65=1,K65&gt;=4,J65=調査年),AND(Z65=1,K65&lt;4,J65=調査年+1)),ROUND(L65*P65%,0),),
IF(AND(Z65=1,J65=調査年),ROUND(L65*P65%,0),))),
ROUND(N65*P65%,0),
ROUND(SUM(AK65)*P65%,0)
))</f>
        <v>0</v>
      </c>
      <c r="AT65" s="385">
        <f t="shared" si="12"/>
        <v>0</v>
      </c>
      <c r="AU65" s="385" t="str">
        <f t="shared" si="13"/>
        <v/>
      </c>
      <c r="AV65" s="686"/>
      <c r="AW65" s="686"/>
      <c r="AX65" s="686"/>
      <c r="AY65" s="686"/>
      <c r="AZ65" s="686"/>
    </row>
    <row r="66" spans="3:52" s="46" customFormat="1" ht="30" hidden="1" customHeight="1" outlineLevel="1">
      <c r="C66" s="674">
        <v>51</v>
      </c>
      <c r="D66" s="687"/>
      <c r="E66" s="676"/>
      <c r="F66" s="677"/>
      <c r="G66" s="1899"/>
      <c r="H66" s="1900"/>
      <c r="I66" s="678"/>
      <c r="J66" s="679"/>
      <c r="K66" s="680"/>
      <c r="L66" s="681"/>
      <c r="M66" s="681"/>
      <c r="N66" s="681"/>
      <c r="O66" s="681"/>
      <c r="P66" s="1094"/>
      <c r="Q66" s="682"/>
      <c r="R66" s="683"/>
      <c r="S66" s="681"/>
      <c r="T66" s="668"/>
      <c r="U66" s="2"/>
      <c r="V66" s="1105"/>
      <c r="W66" s="669"/>
      <c r="X66" s="2"/>
      <c r="Y66" s="684">
        <f t="shared" si="15"/>
        <v>0</v>
      </c>
      <c r="Z66" s="670">
        <f t="shared" si="16"/>
        <v>0</v>
      </c>
      <c r="AA66" s="670">
        <f t="shared" si="17"/>
        <v>0</v>
      </c>
      <c r="AB66" s="684">
        <f>IF(Y66=0,,VLOOKUP(Y66,リスト!CX:CY,2,0))</f>
        <v>0</v>
      </c>
      <c r="AC66" s="684">
        <f t="shared" si="1"/>
        <v>0</v>
      </c>
      <c r="AD66" s="685">
        <f>IF(AC66=0,,VLOOKUP(AC66,リスト!DK:DL,2,0))</f>
        <v>0</v>
      </c>
      <c r="AE66" s="670">
        <f>IF(Y66=0,,
IF(OR(リスト!$C$21="小麦",リスト!$C$21="二条大麦",リスト!$C$21="六条大麦",リスト!$C$21="はだか麦",リスト!$C$21="なたね"),IF(K66&lt;9,調査年-J66,調査年-J66-1),
IF(リスト!$C$21="さとうきび",IF(K66&gt;=4,調査年-J66,調査年-J66+1),
調査年-J66)))</f>
        <v>0</v>
      </c>
      <c r="AF66" s="385">
        <f t="shared" si="18"/>
        <v>0</v>
      </c>
      <c r="AG66" s="385">
        <f t="shared" si="3"/>
        <v>0</v>
      </c>
      <c r="AH66" s="385">
        <f t="shared" si="4"/>
        <v>0</v>
      </c>
      <c r="AI66" s="385">
        <f t="shared" si="5"/>
        <v>0</v>
      </c>
      <c r="AJ66" s="385">
        <f t="shared" si="6"/>
        <v>0</v>
      </c>
      <c r="AK66" s="385">
        <f t="shared" si="14"/>
        <v>0</v>
      </c>
      <c r="AL66" s="385">
        <f t="shared" si="7"/>
        <v>0</v>
      </c>
      <c r="AM66" s="385">
        <f t="shared" si="8"/>
        <v>0</v>
      </c>
      <c r="AN66" s="394"/>
      <c r="AO66" s="672">
        <f>IF(OR(P66=0,AG66=0),,
IF(OR(リスト!$C$21="小麦",リスト!$C$21="二条大麦",リスト!$C$21="六条大麦",リスト!$C$21="はだか麦",リスト!$C$21="なたね"),IF(OR(AND(K66&lt;9,J66=調査年),AND(K66&gt;=9,J66=調査年-1)),,ROUND(AG66*P66%,0)),
IF(リスト!$C$21="さとうきび",IF(OR(AND(K66&gt;=4,J66=調査年),AND(K66&lt;4,J66=調査年+1)),,ROUND(AG66*P66%,0)),
IF(J66=調査年,,ROUND(AG66*P66%,0)))))</f>
        <v>0</v>
      </c>
      <c r="AP66" s="672">
        <f t="shared" si="9"/>
        <v>0</v>
      </c>
      <c r="AQ66" s="385">
        <f t="shared" si="10"/>
        <v>0</v>
      </c>
      <c r="AR66" s="672">
        <f t="shared" si="11"/>
        <v>0</v>
      </c>
      <c r="AS66" s="385">
        <f>IF(P66=0,,
SUM(
IF(OR(リスト!$C$21="小麦",リスト!$C$21="二条大麦",リスト!$C$21="六条大麦",リスト!$C$21="はだか麦",リスト!$C$21="なたね"),IF(OR(AND(Z66=1,K66&lt;9,J66=調査年),AND(Z66=1,K66&gt;=9,J66=調査年-1)),ROUND(L66*P66%,0),),
IF(リスト!$C$21="さとうきび",IF(OR(AND(Z66=1,K66&gt;=4,J66=調査年),AND(Z66=1,K66&lt;4,J66=調査年+1)),ROUND(L66*P66%,0),),
IF(AND(Z66=1,J66=調査年),ROUND(L66*P66%,0),))),
ROUND(N66*P66%,0),
ROUND(SUM(AK66)*P66%,0)
))</f>
        <v>0</v>
      </c>
      <c r="AT66" s="385">
        <f t="shared" si="12"/>
        <v>0</v>
      </c>
      <c r="AU66" s="385" t="str">
        <f t="shared" si="13"/>
        <v/>
      </c>
      <c r="AV66" s="686"/>
      <c r="AW66" s="686"/>
      <c r="AX66" s="686"/>
      <c r="AY66" s="686"/>
      <c r="AZ66" s="686"/>
    </row>
    <row r="67" spans="3:52" s="46" customFormat="1" ht="30" hidden="1" customHeight="1" outlineLevel="1">
      <c r="C67" s="674">
        <v>52</v>
      </c>
      <c r="D67" s="687"/>
      <c r="E67" s="676"/>
      <c r="F67" s="677"/>
      <c r="G67" s="1899"/>
      <c r="H67" s="1900"/>
      <c r="I67" s="678"/>
      <c r="J67" s="679"/>
      <c r="K67" s="680"/>
      <c r="L67" s="681"/>
      <c r="M67" s="681"/>
      <c r="N67" s="681"/>
      <c r="O67" s="681"/>
      <c r="P67" s="1094"/>
      <c r="Q67" s="682"/>
      <c r="R67" s="683"/>
      <c r="S67" s="681"/>
      <c r="T67" s="668"/>
      <c r="U67" s="2"/>
      <c r="V67" s="1105"/>
      <c r="W67" s="669"/>
      <c r="X67" s="2"/>
      <c r="Y67" s="684">
        <f t="shared" si="15"/>
        <v>0</v>
      </c>
      <c r="Z67" s="670">
        <f t="shared" si="16"/>
        <v>0</v>
      </c>
      <c r="AA67" s="670">
        <f t="shared" si="17"/>
        <v>0</v>
      </c>
      <c r="AB67" s="684">
        <f>IF(Y67=0,,VLOOKUP(Y67,リスト!CX:CY,2,0))</f>
        <v>0</v>
      </c>
      <c r="AC67" s="684">
        <f t="shared" si="1"/>
        <v>0</v>
      </c>
      <c r="AD67" s="685">
        <f>IF(AC67=0,,VLOOKUP(AC67,リスト!DK:DL,2,0))</f>
        <v>0</v>
      </c>
      <c r="AE67" s="670">
        <f>IF(Y67=0,,
IF(OR(リスト!$C$21="小麦",リスト!$C$21="二条大麦",リスト!$C$21="六条大麦",リスト!$C$21="はだか麦",リスト!$C$21="なたね"),IF(K67&lt;9,調査年-J67,調査年-J67-1),
IF(リスト!$C$21="さとうきび",IF(K67&gt;=4,調査年-J67,調査年-J67+1),
調査年-J67)))</f>
        <v>0</v>
      </c>
      <c r="AF67" s="385">
        <f t="shared" si="18"/>
        <v>0</v>
      </c>
      <c r="AG67" s="385">
        <f t="shared" si="3"/>
        <v>0</v>
      </c>
      <c r="AH67" s="385">
        <f t="shared" si="4"/>
        <v>0</v>
      </c>
      <c r="AI67" s="385">
        <f t="shared" si="5"/>
        <v>0</v>
      </c>
      <c r="AJ67" s="385">
        <f t="shared" si="6"/>
        <v>0</v>
      </c>
      <c r="AK67" s="385">
        <f t="shared" si="14"/>
        <v>0</v>
      </c>
      <c r="AL67" s="385">
        <f t="shared" si="7"/>
        <v>0</v>
      </c>
      <c r="AM67" s="385">
        <f t="shared" si="8"/>
        <v>0</v>
      </c>
      <c r="AN67" s="394"/>
      <c r="AO67" s="672">
        <f>IF(OR(P67=0,AG67=0),,
IF(OR(リスト!$C$21="小麦",リスト!$C$21="二条大麦",リスト!$C$21="六条大麦",リスト!$C$21="はだか麦",リスト!$C$21="なたね"),IF(OR(AND(K67&lt;9,J67=調査年),AND(K67&gt;=9,J67=調査年-1)),,ROUND(AG67*P67%,0)),
IF(リスト!$C$21="さとうきび",IF(OR(AND(K67&gt;=4,J67=調査年),AND(K67&lt;4,J67=調査年+1)),,ROUND(AG67*P67%,0)),
IF(J67=調査年,,ROUND(AG67*P67%,0)))))</f>
        <v>0</v>
      </c>
      <c r="AP67" s="672">
        <f t="shared" si="9"/>
        <v>0</v>
      </c>
      <c r="AQ67" s="385">
        <f t="shared" si="10"/>
        <v>0</v>
      </c>
      <c r="AR67" s="672">
        <f t="shared" si="11"/>
        <v>0</v>
      </c>
      <c r="AS67" s="385">
        <f>IF(P67=0,,
SUM(
IF(OR(リスト!$C$21="小麦",リスト!$C$21="二条大麦",リスト!$C$21="六条大麦",リスト!$C$21="はだか麦",リスト!$C$21="なたね"),IF(OR(AND(Z67=1,K67&lt;9,J67=調査年),AND(Z67=1,K67&gt;=9,J67=調査年-1)),ROUND(L67*P67%,0),),
IF(リスト!$C$21="さとうきび",IF(OR(AND(Z67=1,K67&gt;=4,J67=調査年),AND(Z67=1,K67&lt;4,J67=調査年+1)),ROUND(L67*P67%,0),),
IF(AND(Z67=1,J67=調査年),ROUND(L67*P67%,0),))),
ROUND(N67*P67%,0),
ROUND(SUM(AK67)*P67%,0)
))</f>
        <v>0</v>
      </c>
      <c r="AT67" s="385">
        <f t="shared" si="12"/>
        <v>0</v>
      </c>
      <c r="AU67" s="385" t="str">
        <f t="shared" si="13"/>
        <v/>
      </c>
      <c r="AV67" s="686"/>
      <c r="AW67" s="686"/>
      <c r="AX67" s="686"/>
      <c r="AY67" s="686"/>
      <c r="AZ67" s="686"/>
    </row>
    <row r="68" spans="3:52" s="46" customFormat="1" ht="30" hidden="1" customHeight="1" outlineLevel="1">
      <c r="C68" s="674">
        <v>53</v>
      </c>
      <c r="D68" s="687"/>
      <c r="E68" s="676"/>
      <c r="F68" s="677"/>
      <c r="G68" s="1899"/>
      <c r="H68" s="1900"/>
      <c r="I68" s="678"/>
      <c r="J68" s="679"/>
      <c r="K68" s="680"/>
      <c r="L68" s="681"/>
      <c r="M68" s="681"/>
      <c r="N68" s="681"/>
      <c r="O68" s="681"/>
      <c r="P68" s="1094"/>
      <c r="Q68" s="682"/>
      <c r="R68" s="683"/>
      <c r="S68" s="681"/>
      <c r="T68" s="668"/>
      <c r="U68" s="2"/>
      <c r="V68" s="1105"/>
      <c r="W68" s="669"/>
      <c r="X68" s="2"/>
      <c r="Y68" s="684">
        <f t="shared" si="15"/>
        <v>0</v>
      </c>
      <c r="Z68" s="670">
        <f t="shared" si="16"/>
        <v>0</v>
      </c>
      <c r="AA68" s="670">
        <f t="shared" si="17"/>
        <v>0</v>
      </c>
      <c r="AB68" s="684">
        <f>IF(Y68=0,,VLOOKUP(Y68,リスト!CX:CY,2,0))</f>
        <v>0</v>
      </c>
      <c r="AC68" s="684">
        <f t="shared" si="1"/>
        <v>0</v>
      </c>
      <c r="AD68" s="685">
        <f>IF(AC68=0,,VLOOKUP(AC68,リスト!DK:DL,2,0))</f>
        <v>0</v>
      </c>
      <c r="AE68" s="670">
        <f>IF(Y68=0,,
IF(OR(リスト!$C$21="小麦",リスト!$C$21="二条大麦",リスト!$C$21="六条大麦",リスト!$C$21="はだか麦",リスト!$C$21="なたね"),IF(K68&lt;9,調査年-J68,調査年-J68-1),
IF(リスト!$C$21="さとうきび",IF(K68&gt;=4,調査年-J68,調査年-J68+1),
調査年-J68)))</f>
        <v>0</v>
      </c>
      <c r="AF68" s="385">
        <f t="shared" si="18"/>
        <v>0</v>
      </c>
      <c r="AG68" s="385">
        <f t="shared" si="3"/>
        <v>0</v>
      </c>
      <c r="AH68" s="385">
        <f t="shared" si="4"/>
        <v>0</v>
      </c>
      <c r="AI68" s="385">
        <f t="shared" si="5"/>
        <v>0</v>
      </c>
      <c r="AJ68" s="385">
        <f t="shared" si="6"/>
        <v>0</v>
      </c>
      <c r="AK68" s="385">
        <f t="shared" si="14"/>
        <v>0</v>
      </c>
      <c r="AL68" s="385">
        <f t="shared" si="7"/>
        <v>0</v>
      </c>
      <c r="AM68" s="385">
        <f t="shared" si="8"/>
        <v>0</v>
      </c>
      <c r="AN68" s="394"/>
      <c r="AO68" s="672">
        <f>IF(OR(P68=0,AG68=0),,
IF(OR(リスト!$C$21="小麦",リスト!$C$21="二条大麦",リスト!$C$21="六条大麦",リスト!$C$21="はだか麦",リスト!$C$21="なたね"),IF(OR(AND(K68&lt;9,J68=調査年),AND(K68&gt;=9,J68=調査年-1)),,ROUND(AG68*P68%,0)),
IF(リスト!$C$21="さとうきび",IF(OR(AND(K68&gt;=4,J68=調査年),AND(K68&lt;4,J68=調査年+1)),,ROUND(AG68*P68%,0)),
IF(J68=調査年,,ROUND(AG68*P68%,0)))))</f>
        <v>0</v>
      </c>
      <c r="AP68" s="672">
        <f t="shared" si="9"/>
        <v>0</v>
      </c>
      <c r="AQ68" s="385">
        <f t="shared" si="10"/>
        <v>0</v>
      </c>
      <c r="AR68" s="672">
        <f t="shared" si="11"/>
        <v>0</v>
      </c>
      <c r="AS68" s="385">
        <f>IF(P68=0,,
SUM(
IF(OR(リスト!$C$21="小麦",リスト!$C$21="二条大麦",リスト!$C$21="六条大麦",リスト!$C$21="はだか麦",リスト!$C$21="なたね"),IF(OR(AND(Z68=1,K68&lt;9,J68=調査年),AND(Z68=1,K68&gt;=9,J68=調査年-1)),ROUND(L68*P68%,0),),
IF(リスト!$C$21="さとうきび",IF(OR(AND(Z68=1,K68&gt;=4,J68=調査年),AND(Z68=1,K68&lt;4,J68=調査年+1)),ROUND(L68*P68%,0),),
IF(AND(Z68=1,J68=調査年),ROUND(L68*P68%,0),))),
ROUND(N68*P68%,0),
ROUND(SUM(AK68)*P68%,0)
))</f>
        <v>0</v>
      </c>
      <c r="AT68" s="385">
        <f t="shared" si="12"/>
        <v>0</v>
      </c>
      <c r="AU68" s="385" t="str">
        <f t="shared" si="13"/>
        <v/>
      </c>
      <c r="AV68" s="686"/>
      <c r="AW68" s="686"/>
      <c r="AX68" s="686"/>
      <c r="AY68" s="686"/>
      <c r="AZ68" s="686"/>
    </row>
    <row r="69" spans="3:52" s="46" customFormat="1" ht="30" hidden="1" customHeight="1" outlineLevel="1">
      <c r="C69" s="674">
        <v>54</v>
      </c>
      <c r="D69" s="687"/>
      <c r="E69" s="676"/>
      <c r="F69" s="677"/>
      <c r="G69" s="1899"/>
      <c r="H69" s="1900"/>
      <c r="I69" s="678"/>
      <c r="J69" s="679"/>
      <c r="K69" s="680"/>
      <c r="L69" s="681"/>
      <c r="M69" s="681"/>
      <c r="N69" s="681"/>
      <c r="O69" s="681"/>
      <c r="P69" s="1094"/>
      <c r="Q69" s="682"/>
      <c r="R69" s="683"/>
      <c r="S69" s="681"/>
      <c r="T69" s="668"/>
      <c r="U69" s="2"/>
      <c r="V69" s="1105"/>
      <c r="W69" s="669"/>
      <c r="X69" s="2"/>
      <c r="Y69" s="684">
        <f t="shared" si="15"/>
        <v>0</v>
      </c>
      <c r="Z69" s="670">
        <f t="shared" si="16"/>
        <v>0</v>
      </c>
      <c r="AA69" s="670">
        <f t="shared" si="17"/>
        <v>0</v>
      </c>
      <c r="AB69" s="684">
        <f>IF(Y69=0,,VLOOKUP(Y69,リスト!CX:CY,2,0))</f>
        <v>0</v>
      </c>
      <c r="AC69" s="684">
        <f t="shared" si="1"/>
        <v>0</v>
      </c>
      <c r="AD69" s="685">
        <f>IF(AC69=0,,VLOOKUP(AC69,リスト!DK:DL,2,0))</f>
        <v>0</v>
      </c>
      <c r="AE69" s="670">
        <f>IF(Y69=0,,
IF(OR(リスト!$C$21="小麦",リスト!$C$21="二条大麦",リスト!$C$21="六条大麦",リスト!$C$21="はだか麦",リスト!$C$21="なたね"),IF(K69&lt;9,調査年-J69,調査年-J69-1),
IF(リスト!$C$21="さとうきび",IF(K69&gt;=4,調査年-J69,調査年-J69+1),
調査年-J69)))</f>
        <v>0</v>
      </c>
      <c r="AF69" s="385">
        <f t="shared" si="18"/>
        <v>0</v>
      </c>
      <c r="AG69" s="385">
        <f t="shared" si="3"/>
        <v>0</v>
      </c>
      <c r="AH69" s="385">
        <f t="shared" si="4"/>
        <v>0</v>
      </c>
      <c r="AI69" s="385">
        <f t="shared" si="5"/>
        <v>0</v>
      </c>
      <c r="AJ69" s="385">
        <f t="shared" si="6"/>
        <v>0</v>
      </c>
      <c r="AK69" s="385">
        <f t="shared" si="14"/>
        <v>0</v>
      </c>
      <c r="AL69" s="385">
        <f t="shared" si="7"/>
        <v>0</v>
      </c>
      <c r="AM69" s="385">
        <f t="shared" si="8"/>
        <v>0</v>
      </c>
      <c r="AN69" s="394"/>
      <c r="AO69" s="672">
        <f>IF(OR(P69=0,AG69=0),,
IF(OR(リスト!$C$21="小麦",リスト!$C$21="二条大麦",リスト!$C$21="六条大麦",リスト!$C$21="はだか麦",リスト!$C$21="なたね"),IF(OR(AND(K69&lt;9,J69=調査年),AND(K69&gt;=9,J69=調査年-1)),,ROUND(AG69*P69%,0)),
IF(リスト!$C$21="さとうきび",IF(OR(AND(K69&gt;=4,J69=調査年),AND(K69&lt;4,J69=調査年+1)),,ROUND(AG69*P69%,0)),
IF(J69=調査年,,ROUND(AG69*P69%,0)))))</f>
        <v>0</v>
      </c>
      <c r="AP69" s="672">
        <f t="shared" si="9"/>
        <v>0</v>
      </c>
      <c r="AQ69" s="385">
        <f t="shared" si="10"/>
        <v>0</v>
      </c>
      <c r="AR69" s="672">
        <f t="shared" si="11"/>
        <v>0</v>
      </c>
      <c r="AS69" s="385">
        <f>IF(P69=0,,
SUM(
IF(OR(リスト!$C$21="小麦",リスト!$C$21="二条大麦",リスト!$C$21="六条大麦",リスト!$C$21="はだか麦",リスト!$C$21="なたね"),IF(OR(AND(Z69=1,K69&lt;9,J69=調査年),AND(Z69=1,K69&gt;=9,J69=調査年-1)),ROUND(L69*P69%,0),),
IF(リスト!$C$21="さとうきび",IF(OR(AND(Z69=1,K69&gt;=4,J69=調査年),AND(Z69=1,K69&lt;4,J69=調査年+1)),ROUND(L69*P69%,0),),
IF(AND(Z69=1,J69=調査年),ROUND(L69*P69%,0),))),
ROUND(N69*P69%,0),
ROUND(SUM(AK69)*P69%,0)
))</f>
        <v>0</v>
      </c>
      <c r="AT69" s="385">
        <f t="shared" si="12"/>
        <v>0</v>
      </c>
      <c r="AU69" s="385" t="str">
        <f t="shared" si="13"/>
        <v/>
      </c>
      <c r="AV69" s="686"/>
      <c r="AW69" s="686"/>
      <c r="AX69" s="686"/>
      <c r="AY69" s="686"/>
      <c r="AZ69" s="686"/>
    </row>
    <row r="70" spans="3:52" s="46" customFormat="1" ht="30" hidden="1" customHeight="1" outlineLevel="1">
      <c r="C70" s="674">
        <v>55</v>
      </c>
      <c r="D70" s="687"/>
      <c r="E70" s="676"/>
      <c r="F70" s="677"/>
      <c r="G70" s="1899"/>
      <c r="H70" s="1900"/>
      <c r="I70" s="678"/>
      <c r="J70" s="679"/>
      <c r="K70" s="680"/>
      <c r="L70" s="681"/>
      <c r="M70" s="681"/>
      <c r="N70" s="681"/>
      <c r="O70" s="681"/>
      <c r="P70" s="1094"/>
      <c r="Q70" s="682"/>
      <c r="R70" s="683"/>
      <c r="S70" s="681"/>
      <c r="T70" s="668"/>
      <c r="U70" s="2"/>
      <c r="V70" s="1105"/>
      <c r="W70" s="669"/>
      <c r="X70" s="2"/>
      <c r="Y70" s="684">
        <f t="shared" si="15"/>
        <v>0</v>
      </c>
      <c r="Z70" s="670">
        <f t="shared" si="16"/>
        <v>0</v>
      </c>
      <c r="AA70" s="670">
        <f t="shared" si="17"/>
        <v>0</v>
      </c>
      <c r="AB70" s="684">
        <f>IF(Y70=0,,VLOOKUP(Y70,リスト!CX:CY,2,0))</f>
        <v>0</v>
      </c>
      <c r="AC70" s="684">
        <f t="shared" si="1"/>
        <v>0</v>
      </c>
      <c r="AD70" s="685">
        <f>IF(AC70=0,,VLOOKUP(AC70,リスト!DK:DL,2,0))</f>
        <v>0</v>
      </c>
      <c r="AE70" s="670">
        <f>IF(Y70=0,,
IF(OR(リスト!$C$21="小麦",リスト!$C$21="二条大麦",リスト!$C$21="六条大麦",リスト!$C$21="はだか麦",リスト!$C$21="なたね"),IF(K70&lt;9,調査年-J70,調査年-J70-1),
IF(リスト!$C$21="さとうきび",IF(K70&gt;=4,調査年-J70,調査年-J70+1),
調査年-J70)))</f>
        <v>0</v>
      </c>
      <c r="AF70" s="385">
        <f t="shared" si="18"/>
        <v>0</v>
      </c>
      <c r="AG70" s="385">
        <f t="shared" si="3"/>
        <v>0</v>
      </c>
      <c r="AH70" s="385">
        <f t="shared" si="4"/>
        <v>0</v>
      </c>
      <c r="AI70" s="385">
        <f t="shared" si="5"/>
        <v>0</v>
      </c>
      <c r="AJ70" s="385">
        <f t="shared" si="6"/>
        <v>0</v>
      </c>
      <c r="AK70" s="385">
        <f t="shared" si="14"/>
        <v>0</v>
      </c>
      <c r="AL70" s="385">
        <f t="shared" si="7"/>
        <v>0</v>
      </c>
      <c r="AM70" s="385">
        <f t="shared" si="8"/>
        <v>0</v>
      </c>
      <c r="AN70" s="394"/>
      <c r="AO70" s="672">
        <f>IF(OR(P70=0,AG70=0),,
IF(OR(リスト!$C$21="小麦",リスト!$C$21="二条大麦",リスト!$C$21="六条大麦",リスト!$C$21="はだか麦",リスト!$C$21="なたね"),IF(OR(AND(K70&lt;9,J70=調査年),AND(K70&gt;=9,J70=調査年-1)),,ROUND(AG70*P70%,0)),
IF(リスト!$C$21="さとうきび",IF(OR(AND(K70&gt;=4,J70=調査年),AND(K70&lt;4,J70=調査年+1)),,ROUND(AG70*P70%,0)),
IF(J70=調査年,,ROUND(AG70*P70%,0)))))</f>
        <v>0</v>
      </c>
      <c r="AP70" s="672">
        <f t="shared" si="9"/>
        <v>0</v>
      </c>
      <c r="AQ70" s="385">
        <f t="shared" si="10"/>
        <v>0</v>
      </c>
      <c r="AR70" s="672">
        <f t="shared" si="11"/>
        <v>0</v>
      </c>
      <c r="AS70" s="385">
        <f>IF(P70=0,,
SUM(
IF(OR(リスト!$C$21="小麦",リスト!$C$21="二条大麦",リスト!$C$21="六条大麦",リスト!$C$21="はだか麦",リスト!$C$21="なたね"),IF(OR(AND(Z70=1,K70&lt;9,J70=調査年),AND(Z70=1,K70&gt;=9,J70=調査年-1)),ROUND(L70*P70%,0),),
IF(リスト!$C$21="さとうきび",IF(OR(AND(Z70=1,K70&gt;=4,J70=調査年),AND(Z70=1,K70&lt;4,J70=調査年+1)),ROUND(L70*P70%,0),),
IF(AND(Z70=1,J70=調査年),ROUND(L70*P70%,0),))),
ROUND(N70*P70%,0),
ROUND(SUM(AK70)*P70%,0)
))</f>
        <v>0</v>
      </c>
      <c r="AT70" s="385">
        <f t="shared" si="12"/>
        <v>0</v>
      </c>
      <c r="AU70" s="385" t="str">
        <f t="shared" si="13"/>
        <v/>
      </c>
      <c r="AV70" s="686"/>
      <c r="AW70" s="686"/>
      <c r="AX70" s="686"/>
      <c r="AY70" s="686"/>
      <c r="AZ70" s="686"/>
    </row>
    <row r="71" spans="3:52" s="46" customFormat="1" ht="30" hidden="1" customHeight="1" outlineLevel="1">
      <c r="C71" s="674">
        <v>56</v>
      </c>
      <c r="D71" s="687"/>
      <c r="E71" s="676"/>
      <c r="F71" s="677"/>
      <c r="G71" s="1899"/>
      <c r="H71" s="1900"/>
      <c r="I71" s="678"/>
      <c r="J71" s="679"/>
      <c r="K71" s="680"/>
      <c r="L71" s="681"/>
      <c r="M71" s="681"/>
      <c r="N71" s="681"/>
      <c r="O71" s="681"/>
      <c r="P71" s="1094"/>
      <c r="Q71" s="682"/>
      <c r="R71" s="683"/>
      <c r="S71" s="681"/>
      <c r="T71" s="668"/>
      <c r="U71" s="2"/>
      <c r="V71" s="1105"/>
      <c r="W71" s="669"/>
      <c r="X71" s="2"/>
      <c r="Y71" s="684">
        <f t="shared" si="15"/>
        <v>0</v>
      </c>
      <c r="Z71" s="670">
        <f t="shared" si="16"/>
        <v>0</v>
      </c>
      <c r="AA71" s="670">
        <f t="shared" si="17"/>
        <v>0</v>
      </c>
      <c r="AB71" s="684">
        <f>IF(Y71=0,,VLOOKUP(Y71,リスト!CX:CY,2,0))</f>
        <v>0</v>
      </c>
      <c r="AC71" s="684">
        <f t="shared" si="1"/>
        <v>0</v>
      </c>
      <c r="AD71" s="685">
        <f>IF(AC71=0,,VLOOKUP(AC71,リスト!DK:DL,2,0))</f>
        <v>0</v>
      </c>
      <c r="AE71" s="670">
        <f>IF(Y71=0,,
IF(OR(リスト!$C$21="小麦",リスト!$C$21="二条大麦",リスト!$C$21="六条大麦",リスト!$C$21="はだか麦",リスト!$C$21="なたね"),IF(K71&lt;9,調査年-J71,調査年-J71-1),
IF(リスト!$C$21="さとうきび",IF(K71&gt;=4,調査年-J71,調査年-J71+1),
調査年-J71)))</f>
        <v>0</v>
      </c>
      <c r="AF71" s="385">
        <f t="shared" si="18"/>
        <v>0</v>
      </c>
      <c r="AG71" s="385">
        <f t="shared" si="3"/>
        <v>0</v>
      </c>
      <c r="AH71" s="385">
        <f t="shared" si="4"/>
        <v>0</v>
      </c>
      <c r="AI71" s="385">
        <f t="shared" si="5"/>
        <v>0</v>
      </c>
      <c r="AJ71" s="385">
        <f t="shared" si="6"/>
        <v>0</v>
      </c>
      <c r="AK71" s="385">
        <f t="shared" si="14"/>
        <v>0</v>
      </c>
      <c r="AL71" s="385">
        <f t="shared" si="7"/>
        <v>0</v>
      </c>
      <c r="AM71" s="385">
        <f t="shared" si="8"/>
        <v>0</v>
      </c>
      <c r="AN71" s="394"/>
      <c r="AO71" s="672">
        <f>IF(OR(P71=0,AG71=0),,
IF(OR(リスト!$C$21="小麦",リスト!$C$21="二条大麦",リスト!$C$21="六条大麦",リスト!$C$21="はだか麦",リスト!$C$21="なたね"),IF(OR(AND(K71&lt;9,J71=調査年),AND(K71&gt;=9,J71=調査年-1)),,ROUND(AG71*P71%,0)),
IF(リスト!$C$21="さとうきび",IF(OR(AND(K71&gt;=4,J71=調査年),AND(K71&lt;4,J71=調査年+1)),,ROUND(AG71*P71%,0)),
IF(J71=調査年,,ROUND(AG71*P71%,0)))))</f>
        <v>0</v>
      </c>
      <c r="AP71" s="672">
        <f t="shared" si="9"/>
        <v>0</v>
      </c>
      <c r="AQ71" s="385">
        <f t="shared" si="10"/>
        <v>0</v>
      </c>
      <c r="AR71" s="672">
        <f t="shared" si="11"/>
        <v>0</v>
      </c>
      <c r="AS71" s="385">
        <f>IF(P71=0,,
SUM(
IF(OR(リスト!$C$21="小麦",リスト!$C$21="二条大麦",リスト!$C$21="六条大麦",リスト!$C$21="はだか麦",リスト!$C$21="なたね"),IF(OR(AND(Z71=1,K71&lt;9,J71=調査年),AND(Z71=1,K71&gt;=9,J71=調査年-1)),ROUND(L71*P71%,0),),
IF(リスト!$C$21="さとうきび",IF(OR(AND(Z71=1,K71&gt;=4,J71=調査年),AND(Z71=1,K71&lt;4,J71=調査年+1)),ROUND(L71*P71%,0),),
IF(AND(Z71=1,J71=調査年),ROUND(L71*P71%,0),))),
ROUND(N71*P71%,0),
ROUND(SUM(AK71)*P71%,0)
))</f>
        <v>0</v>
      </c>
      <c r="AT71" s="385">
        <f t="shared" si="12"/>
        <v>0</v>
      </c>
      <c r="AU71" s="385" t="str">
        <f t="shared" si="13"/>
        <v/>
      </c>
      <c r="AV71" s="686"/>
      <c r="AW71" s="686"/>
      <c r="AX71" s="686"/>
      <c r="AY71" s="686"/>
      <c r="AZ71" s="686"/>
    </row>
    <row r="72" spans="3:52" s="46" customFormat="1" ht="30" hidden="1" customHeight="1" outlineLevel="1">
      <c r="C72" s="674">
        <v>57</v>
      </c>
      <c r="D72" s="687"/>
      <c r="E72" s="676"/>
      <c r="F72" s="677"/>
      <c r="G72" s="1899"/>
      <c r="H72" s="1900"/>
      <c r="I72" s="678"/>
      <c r="J72" s="679"/>
      <c r="K72" s="680"/>
      <c r="L72" s="681"/>
      <c r="M72" s="681"/>
      <c r="N72" s="681"/>
      <c r="O72" s="681"/>
      <c r="P72" s="1094"/>
      <c r="Q72" s="682"/>
      <c r="R72" s="683"/>
      <c r="S72" s="681"/>
      <c r="T72" s="668"/>
      <c r="U72" s="2"/>
      <c r="V72" s="1105"/>
      <c r="W72" s="669"/>
      <c r="X72" s="2"/>
      <c r="Y72" s="684">
        <f t="shared" si="15"/>
        <v>0</v>
      </c>
      <c r="Z72" s="670">
        <f t="shared" si="16"/>
        <v>0</v>
      </c>
      <c r="AA72" s="670">
        <f t="shared" si="17"/>
        <v>0</v>
      </c>
      <c r="AB72" s="684">
        <f>IF(Y72=0,,VLOOKUP(Y72,リスト!CX:CY,2,0))</f>
        <v>0</v>
      </c>
      <c r="AC72" s="684">
        <f t="shared" si="1"/>
        <v>0</v>
      </c>
      <c r="AD72" s="685">
        <f>IF(AC72=0,,VLOOKUP(AC72,リスト!DK:DL,2,0))</f>
        <v>0</v>
      </c>
      <c r="AE72" s="670">
        <f>IF(Y72=0,,
IF(OR(リスト!$C$21="小麦",リスト!$C$21="二条大麦",リスト!$C$21="六条大麦",リスト!$C$21="はだか麦",リスト!$C$21="なたね"),IF(K72&lt;9,調査年-J72,調査年-J72-1),
IF(リスト!$C$21="さとうきび",IF(K72&gt;=4,調査年-J72,調査年-J72+1),
調査年-J72)))</f>
        <v>0</v>
      </c>
      <c r="AF72" s="385">
        <f t="shared" si="18"/>
        <v>0</v>
      </c>
      <c r="AG72" s="385">
        <f t="shared" si="3"/>
        <v>0</v>
      </c>
      <c r="AH72" s="385">
        <f t="shared" si="4"/>
        <v>0</v>
      </c>
      <c r="AI72" s="385">
        <f t="shared" si="5"/>
        <v>0</v>
      </c>
      <c r="AJ72" s="385">
        <f t="shared" si="6"/>
        <v>0</v>
      </c>
      <c r="AK72" s="385">
        <f t="shared" si="14"/>
        <v>0</v>
      </c>
      <c r="AL72" s="385">
        <f t="shared" si="7"/>
        <v>0</v>
      </c>
      <c r="AM72" s="385">
        <f t="shared" si="8"/>
        <v>0</v>
      </c>
      <c r="AN72" s="394"/>
      <c r="AO72" s="672">
        <f>IF(OR(P72=0,AG72=0),,
IF(OR(リスト!$C$21="小麦",リスト!$C$21="二条大麦",リスト!$C$21="六条大麦",リスト!$C$21="はだか麦",リスト!$C$21="なたね"),IF(OR(AND(K72&lt;9,J72=調査年),AND(K72&gt;=9,J72=調査年-1)),,ROUND(AG72*P72%,0)),
IF(リスト!$C$21="さとうきび",IF(OR(AND(K72&gt;=4,J72=調査年),AND(K72&lt;4,J72=調査年+1)),,ROUND(AG72*P72%,0)),
IF(J72=調査年,,ROUND(AG72*P72%,0)))))</f>
        <v>0</v>
      </c>
      <c r="AP72" s="672">
        <f t="shared" si="9"/>
        <v>0</v>
      </c>
      <c r="AQ72" s="385">
        <f t="shared" si="10"/>
        <v>0</v>
      </c>
      <c r="AR72" s="672">
        <f t="shared" si="11"/>
        <v>0</v>
      </c>
      <c r="AS72" s="385">
        <f>IF(P72=0,,
SUM(
IF(OR(リスト!$C$21="小麦",リスト!$C$21="二条大麦",リスト!$C$21="六条大麦",リスト!$C$21="はだか麦",リスト!$C$21="なたね"),IF(OR(AND(Z72=1,K72&lt;9,J72=調査年),AND(Z72=1,K72&gt;=9,J72=調査年-1)),ROUND(L72*P72%,0),),
IF(リスト!$C$21="さとうきび",IF(OR(AND(Z72=1,K72&gt;=4,J72=調査年),AND(Z72=1,K72&lt;4,J72=調査年+1)),ROUND(L72*P72%,0),),
IF(AND(Z72=1,J72=調査年),ROUND(L72*P72%,0),))),
ROUND(N72*P72%,0),
ROUND(SUM(AK72)*P72%,0)
))</f>
        <v>0</v>
      </c>
      <c r="AT72" s="385">
        <f t="shared" si="12"/>
        <v>0</v>
      </c>
      <c r="AU72" s="385" t="str">
        <f t="shared" si="13"/>
        <v/>
      </c>
      <c r="AV72" s="686"/>
      <c r="AW72" s="686"/>
      <c r="AX72" s="686"/>
      <c r="AY72" s="686"/>
      <c r="AZ72" s="686"/>
    </row>
    <row r="73" spans="3:52" s="46" customFormat="1" ht="30" hidden="1" customHeight="1" outlineLevel="1">
      <c r="C73" s="674">
        <v>58</v>
      </c>
      <c r="D73" s="687"/>
      <c r="E73" s="676"/>
      <c r="F73" s="677"/>
      <c r="G73" s="1899"/>
      <c r="H73" s="1900"/>
      <c r="I73" s="678"/>
      <c r="J73" s="679"/>
      <c r="K73" s="680"/>
      <c r="L73" s="681"/>
      <c r="M73" s="681"/>
      <c r="N73" s="681"/>
      <c r="O73" s="681"/>
      <c r="P73" s="1094"/>
      <c r="Q73" s="682"/>
      <c r="R73" s="683"/>
      <c r="S73" s="681"/>
      <c r="T73" s="668"/>
      <c r="U73" s="2"/>
      <c r="V73" s="1105"/>
      <c r="W73" s="669"/>
      <c r="X73" s="2"/>
      <c r="Y73" s="684">
        <f t="shared" si="15"/>
        <v>0</v>
      </c>
      <c r="Z73" s="670">
        <f t="shared" si="16"/>
        <v>0</v>
      </c>
      <c r="AA73" s="670">
        <f t="shared" si="17"/>
        <v>0</v>
      </c>
      <c r="AB73" s="684">
        <f>IF(Y73=0,,VLOOKUP(Y73,リスト!CX:CY,2,0))</f>
        <v>0</v>
      </c>
      <c r="AC73" s="684">
        <f t="shared" si="1"/>
        <v>0</v>
      </c>
      <c r="AD73" s="685">
        <f>IF(AC73=0,,VLOOKUP(AC73,リスト!DK:DL,2,0))</f>
        <v>0</v>
      </c>
      <c r="AE73" s="670">
        <f>IF(Y73=0,,
IF(OR(リスト!$C$21="小麦",リスト!$C$21="二条大麦",リスト!$C$21="六条大麦",リスト!$C$21="はだか麦",リスト!$C$21="なたね"),IF(K73&lt;9,調査年-J73,調査年-J73-1),
IF(リスト!$C$21="さとうきび",IF(K73&gt;=4,調査年-J73,調査年-J73+1),
調査年-J73)))</f>
        <v>0</v>
      </c>
      <c r="AF73" s="385">
        <f t="shared" si="18"/>
        <v>0</v>
      </c>
      <c r="AG73" s="385">
        <f t="shared" si="3"/>
        <v>0</v>
      </c>
      <c r="AH73" s="385">
        <f t="shared" si="4"/>
        <v>0</v>
      </c>
      <c r="AI73" s="385">
        <f t="shared" si="5"/>
        <v>0</v>
      </c>
      <c r="AJ73" s="385">
        <f t="shared" si="6"/>
        <v>0</v>
      </c>
      <c r="AK73" s="385">
        <f t="shared" si="14"/>
        <v>0</v>
      </c>
      <c r="AL73" s="385">
        <f t="shared" si="7"/>
        <v>0</v>
      </c>
      <c r="AM73" s="385">
        <f t="shared" si="8"/>
        <v>0</v>
      </c>
      <c r="AN73" s="394"/>
      <c r="AO73" s="672">
        <f>IF(OR(P73=0,AG73=0),,
IF(OR(リスト!$C$21="小麦",リスト!$C$21="二条大麦",リスト!$C$21="六条大麦",リスト!$C$21="はだか麦",リスト!$C$21="なたね"),IF(OR(AND(K73&lt;9,J73=調査年),AND(K73&gt;=9,J73=調査年-1)),,ROUND(AG73*P73%,0)),
IF(リスト!$C$21="さとうきび",IF(OR(AND(K73&gt;=4,J73=調査年),AND(K73&lt;4,J73=調査年+1)),,ROUND(AG73*P73%,0)),
IF(J73=調査年,,ROUND(AG73*P73%,0)))))</f>
        <v>0</v>
      </c>
      <c r="AP73" s="672">
        <f t="shared" si="9"/>
        <v>0</v>
      </c>
      <c r="AQ73" s="385">
        <f t="shared" si="10"/>
        <v>0</v>
      </c>
      <c r="AR73" s="672">
        <f t="shared" si="11"/>
        <v>0</v>
      </c>
      <c r="AS73" s="385">
        <f>IF(P73=0,,
SUM(
IF(OR(リスト!$C$21="小麦",リスト!$C$21="二条大麦",リスト!$C$21="六条大麦",リスト!$C$21="はだか麦",リスト!$C$21="なたね"),IF(OR(AND(Z73=1,K73&lt;9,J73=調査年),AND(Z73=1,K73&gt;=9,J73=調査年-1)),ROUND(L73*P73%,0),),
IF(リスト!$C$21="さとうきび",IF(OR(AND(Z73=1,K73&gt;=4,J73=調査年),AND(Z73=1,K73&lt;4,J73=調査年+1)),ROUND(L73*P73%,0),),
IF(AND(Z73=1,J73=調査年),ROUND(L73*P73%,0),))),
ROUND(N73*P73%,0),
ROUND(SUM(AK73)*P73%,0)
))</f>
        <v>0</v>
      </c>
      <c r="AT73" s="385">
        <f t="shared" si="12"/>
        <v>0</v>
      </c>
      <c r="AU73" s="385" t="str">
        <f t="shared" si="13"/>
        <v/>
      </c>
      <c r="AV73" s="686"/>
      <c r="AW73" s="686"/>
      <c r="AX73" s="686"/>
      <c r="AY73" s="686"/>
      <c r="AZ73" s="686"/>
    </row>
    <row r="74" spans="3:52" s="46" customFormat="1" ht="30" hidden="1" customHeight="1" outlineLevel="1">
      <c r="C74" s="674">
        <v>59</v>
      </c>
      <c r="D74" s="687"/>
      <c r="E74" s="676"/>
      <c r="F74" s="677"/>
      <c r="G74" s="1899"/>
      <c r="H74" s="1900"/>
      <c r="I74" s="678"/>
      <c r="J74" s="679"/>
      <c r="K74" s="680"/>
      <c r="L74" s="681"/>
      <c r="M74" s="681"/>
      <c r="N74" s="681"/>
      <c r="O74" s="681"/>
      <c r="P74" s="1094"/>
      <c r="Q74" s="682"/>
      <c r="R74" s="683"/>
      <c r="S74" s="681"/>
      <c r="T74" s="668"/>
      <c r="U74" s="2"/>
      <c r="V74" s="1105"/>
      <c r="W74" s="669"/>
      <c r="X74" s="2"/>
      <c r="Y74" s="684">
        <f t="shared" si="15"/>
        <v>0</v>
      </c>
      <c r="Z74" s="670">
        <f t="shared" si="16"/>
        <v>0</v>
      </c>
      <c r="AA74" s="670">
        <f t="shared" si="17"/>
        <v>0</v>
      </c>
      <c r="AB74" s="684">
        <f>IF(Y74=0,,VLOOKUP(Y74,リスト!CX:CY,2,0))</f>
        <v>0</v>
      </c>
      <c r="AC74" s="684">
        <f t="shared" si="1"/>
        <v>0</v>
      </c>
      <c r="AD74" s="685">
        <f>IF(AC74=0,,VLOOKUP(AC74,リスト!DK:DL,2,0))</f>
        <v>0</v>
      </c>
      <c r="AE74" s="670">
        <f>IF(Y74=0,,
IF(OR(リスト!$C$21="小麦",リスト!$C$21="二条大麦",リスト!$C$21="六条大麦",リスト!$C$21="はだか麦",リスト!$C$21="なたね"),IF(K74&lt;9,調査年-J74,調査年-J74-1),
IF(リスト!$C$21="さとうきび",IF(K74&gt;=4,調査年-J74,調査年-J74+1),
調査年-J74)))</f>
        <v>0</v>
      </c>
      <c r="AF74" s="385">
        <f t="shared" si="18"/>
        <v>0</v>
      </c>
      <c r="AG74" s="385">
        <f t="shared" si="3"/>
        <v>0</v>
      </c>
      <c r="AH74" s="385">
        <f t="shared" si="4"/>
        <v>0</v>
      </c>
      <c r="AI74" s="385">
        <f t="shared" si="5"/>
        <v>0</v>
      </c>
      <c r="AJ74" s="385">
        <f t="shared" si="6"/>
        <v>0</v>
      </c>
      <c r="AK74" s="385">
        <f t="shared" si="14"/>
        <v>0</v>
      </c>
      <c r="AL74" s="385">
        <f t="shared" si="7"/>
        <v>0</v>
      </c>
      <c r="AM74" s="385">
        <f t="shared" si="8"/>
        <v>0</v>
      </c>
      <c r="AN74" s="394"/>
      <c r="AO74" s="672">
        <f>IF(OR(P74=0,AG74=0),,
IF(OR(リスト!$C$21="小麦",リスト!$C$21="二条大麦",リスト!$C$21="六条大麦",リスト!$C$21="はだか麦",リスト!$C$21="なたね"),IF(OR(AND(K74&lt;9,J74=調査年),AND(K74&gt;=9,J74=調査年-1)),,ROUND(AG74*P74%,0)),
IF(リスト!$C$21="さとうきび",IF(OR(AND(K74&gt;=4,J74=調査年),AND(K74&lt;4,J74=調査年+1)),,ROUND(AG74*P74%,0)),
IF(J74=調査年,,ROUND(AG74*P74%,0)))))</f>
        <v>0</v>
      </c>
      <c r="AP74" s="672">
        <f t="shared" si="9"/>
        <v>0</v>
      </c>
      <c r="AQ74" s="385">
        <f t="shared" si="10"/>
        <v>0</v>
      </c>
      <c r="AR74" s="672">
        <f t="shared" si="11"/>
        <v>0</v>
      </c>
      <c r="AS74" s="385">
        <f>IF(P74=0,,
SUM(
IF(OR(リスト!$C$21="小麦",リスト!$C$21="二条大麦",リスト!$C$21="六条大麦",リスト!$C$21="はだか麦",リスト!$C$21="なたね"),IF(OR(AND(Z74=1,K74&lt;9,J74=調査年),AND(Z74=1,K74&gt;=9,J74=調査年-1)),ROUND(L74*P74%,0),),
IF(リスト!$C$21="さとうきび",IF(OR(AND(Z74=1,K74&gt;=4,J74=調査年),AND(Z74=1,K74&lt;4,J74=調査年+1)),ROUND(L74*P74%,0),),
IF(AND(Z74=1,J74=調査年),ROUND(L74*P74%,0),))),
ROUND(N74*P74%,0),
ROUND(SUM(AK74)*P74%,0)
))</f>
        <v>0</v>
      </c>
      <c r="AT74" s="385">
        <f t="shared" si="12"/>
        <v>0</v>
      </c>
      <c r="AU74" s="385" t="str">
        <f t="shared" si="13"/>
        <v/>
      </c>
      <c r="AV74" s="686"/>
      <c r="AW74" s="686"/>
      <c r="AX74" s="686"/>
      <c r="AY74" s="686"/>
      <c r="AZ74" s="686"/>
    </row>
    <row r="75" spans="3:52" s="46" customFormat="1" ht="30" hidden="1" customHeight="1" outlineLevel="1">
      <c r="C75" s="674">
        <v>60</v>
      </c>
      <c r="D75" s="687"/>
      <c r="E75" s="676"/>
      <c r="F75" s="677"/>
      <c r="G75" s="1899"/>
      <c r="H75" s="1900"/>
      <c r="I75" s="678"/>
      <c r="J75" s="679"/>
      <c r="K75" s="680"/>
      <c r="L75" s="681"/>
      <c r="M75" s="681"/>
      <c r="N75" s="681"/>
      <c r="O75" s="681"/>
      <c r="P75" s="1094"/>
      <c r="Q75" s="682"/>
      <c r="R75" s="683"/>
      <c r="S75" s="681"/>
      <c r="T75" s="668"/>
      <c r="U75" s="2"/>
      <c r="V75" s="1105"/>
      <c r="W75" s="669"/>
      <c r="X75" s="2"/>
      <c r="Y75" s="684">
        <f t="shared" si="15"/>
        <v>0</v>
      </c>
      <c r="Z75" s="670">
        <f t="shared" si="16"/>
        <v>0</v>
      </c>
      <c r="AA75" s="670">
        <f t="shared" si="17"/>
        <v>0</v>
      </c>
      <c r="AB75" s="684">
        <f>IF(Y75=0,,VLOOKUP(Y75,リスト!CX:CY,2,0))</f>
        <v>0</v>
      </c>
      <c r="AC75" s="684">
        <f t="shared" si="1"/>
        <v>0</v>
      </c>
      <c r="AD75" s="685">
        <f>IF(AC75=0,,VLOOKUP(AC75,リスト!DK:DL,2,0))</f>
        <v>0</v>
      </c>
      <c r="AE75" s="670">
        <f>IF(Y75=0,,
IF(OR(リスト!$C$21="小麦",リスト!$C$21="二条大麦",リスト!$C$21="六条大麦",リスト!$C$21="はだか麦",リスト!$C$21="なたね"),IF(K75&lt;9,調査年-J75,調査年-J75-1),
IF(リスト!$C$21="さとうきび",IF(K75&gt;=4,調査年-J75,調査年-J75+1),
調査年-J75)))</f>
        <v>0</v>
      </c>
      <c r="AF75" s="385">
        <f t="shared" si="18"/>
        <v>0</v>
      </c>
      <c r="AG75" s="385">
        <f t="shared" si="3"/>
        <v>0</v>
      </c>
      <c r="AH75" s="385">
        <f t="shared" si="4"/>
        <v>0</v>
      </c>
      <c r="AI75" s="385">
        <f t="shared" si="5"/>
        <v>0</v>
      </c>
      <c r="AJ75" s="385">
        <f t="shared" si="6"/>
        <v>0</v>
      </c>
      <c r="AK75" s="385">
        <f t="shared" si="14"/>
        <v>0</v>
      </c>
      <c r="AL75" s="385">
        <f t="shared" si="7"/>
        <v>0</v>
      </c>
      <c r="AM75" s="385">
        <f t="shared" si="8"/>
        <v>0</v>
      </c>
      <c r="AN75" s="394"/>
      <c r="AO75" s="672">
        <f>IF(OR(P75=0,AG75=0),,
IF(OR(リスト!$C$21="小麦",リスト!$C$21="二条大麦",リスト!$C$21="六条大麦",リスト!$C$21="はだか麦",リスト!$C$21="なたね"),IF(OR(AND(K75&lt;9,J75=調査年),AND(K75&gt;=9,J75=調査年-1)),,ROUND(AG75*P75%,0)),
IF(リスト!$C$21="さとうきび",IF(OR(AND(K75&gt;=4,J75=調査年),AND(K75&lt;4,J75=調査年+1)),,ROUND(AG75*P75%,0)),
IF(J75=調査年,,ROUND(AG75*P75%,0)))))</f>
        <v>0</v>
      </c>
      <c r="AP75" s="672">
        <f t="shared" si="9"/>
        <v>0</v>
      </c>
      <c r="AQ75" s="385">
        <f t="shared" si="10"/>
        <v>0</v>
      </c>
      <c r="AR75" s="672">
        <f t="shared" si="11"/>
        <v>0</v>
      </c>
      <c r="AS75" s="385">
        <f>IF(P75=0,,
SUM(
IF(OR(リスト!$C$21="小麦",リスト!$C$21="二条大麦",リスト!$C$21="六条大麦",リスト!$C$21="はだか麦",リスト!$C$21="なたね"),IF(OR(AND(Z75=1,K75&lt;9,J75=調査年),AND(Z75=1,K75&gt;=9,J75=調査年-1)),ROUND(L75*P75%,0),),
IF(リスト!$C$21="さとうきび",IF(OR(AND(Z75=1,K75&gt;=4,J75=調査年),AND(Z75=1,K75&lt;4,J75=調査年+1)),ROUND(L75*P75%,0),),
IF(AND(Z75=1,J75=調査年),ROUND(L75*P75%,0),))),
ROUND(N75*P75%,0),
ROUND(SUM(AK75)*P75%,0)
))</f>
        <v>0</v>
      </c>
      <c r="AT75" s="385">
        <f t="shared" si="12"/>
        <v>0</v>
      </c>
      <c r="AU75" s="385" t="str">
        <f t="shared" si="13"/>
        <v/>
      </c>
      <c r="AV75" s="686"/>
      <c r="AW75" s="686"/>
      <c r="AX75" s="686"/>
      <c r="AY75" s="686"/>
      <c r="AZ75" s="686"/>
    </row>
    <row r="76" spans="3:52" s="46" customFormat="1" ht="30" hidden="1" customHeight="1" outlineLevel="1">
      <c r="C76" s="674">
        <v>61</v>
      </c>
      <c r="D76" s="687"/>
      <c r="E76" s="676"/>
      <c r="F76" s="677"/>
      <c r="G76" s="1899"/>
      <c r="H76" s="1900"/>
      <c r="I76" s="678"/>
      <c r="J76" s="679"/>
      <c r="K76" s="680"/>
      <c r="L76" s="681"/>
      <c r="M76" s="681"/>
      <c r="N76" s="681"/>
      <c r="O76" s="681"/>
      <c r="P76" s="1094"/>
      <c r="Q76" s="682"/>
      <c r="R76" s="683"/>
      <c r="S76" s="681"/>
      <c r="T76" s="668"/>
      <c r="U76" s="2"/>
      <c r="V76" s="1105"/>
      <c r="W76" s="669"/>
      <c r="X76" s="2"/>
      <c r="Y76" s="684">
        <f t="shared" si="15"/>
        <v>0</v>
      </c>
      <c r="Z76" s="670">
        <f t="shared" si="16"/>
        <v>0</v>
      </c>
      <c r="AA76" s="670">
        <f t="shared" si="17"/>
        <v>0</v>
      </c>
      <c r="AB76" s="684">
        <f>IF(Y76=0,,VLOOKUP(Y76,リスト!CX:CY,2,0))</f>
        <v>0</v>
      </c>
      <c r="AC76" s="684">
        <f t="shared" si="1"/>
        <v>0</v>
      </c>
      <c r="AD76" s="685">
        <f>IF(AC76=0,,VLOOKUP(AC76,リスト!DK:DL,2,0))</f>
        <v>0</v>
      </c>
      <c r="AE76" s="670">
        <f>IF(Y76=0,,
IF(OR(リスト!$C$21="小麦",リスト!$C$21="二条大麦",リスト!$C$21="六条大麦",リスト!$C$21="はだか麦",リスト!$C$21="なたね"),IF(K76&lt;9,調査年-J76,調査年-J76-1),
IF(リスト!$C$21="さとうきび",IF(K76&gt;=4,調査年-J76,調査年-J76+1),
調査年-J76)))</f>
        <v>0</v>
      </c>
      <c r="AF76" s="385">
        <f t="shared" si="18"/>
        <v>0</v>
      </c>
      <c r="AG76" s="385">
        <f t="shared" si="3"/>
        <v>0</v>
      </c>
      <c r="AH76" s="385">
        <f t="shared" si="4"/>
        <v>0</v>
      </c>
      <c r="AI76" s="385">
        <f t="shared" si="5"/>
        <v>0</v>
      </c>
      <c r="AJ76" s="385">
        <f t="shared" si="6"/>
        <v>0</v>
      </c>
      <c r="AK76" s="385">
        <f t="shared" si="14"/>
        <v>0</v>
      </c>
      <c r="AL76" s="385">
        <f t="shared" si="7"/>
        <v>0</v>
      </c>
      <c r="AM76" s="385">
        <f t="shared" si="8"/>
        <v>0</v>
      </c>
      <c r="AN76" s="394"/>
      <c r="AO76" s="672">
        <f>IF(OR(P76=0,AG76=0),,
IF(OR(リスト!$C$21="小麦",リスト!$C$21="二条大麦",リスト!$C$21="六条大麦",リスト!$C$21="はだか麦",リスト!$C$21="なたね"),IF(OR(AND(K76&lt;9,J76=調査年),AND(K76&gt;=9,J76=調査年-1)),,ROUND(AG76*P76%,0)),
IF(リスト!$C$21="さとうきび",IF(OR(AND(K76&gt;=4,J76=調査年),AND(K76&lt;4,J76=調査年+1)),,ROUND(AG76*P76%,0)),
IF(J76=調査年,,ROUND(AG76*P76%,0)))))</f>
        <v>0</v>
      </c>
      <c r="AP76" s="672">
        <f t="shared" si="9"/>
        <v>0</v>
      </c>
      <c r="AQ76" s="385">
        <f t="shared" si="10"/>
        <v>0</v>
      </c>
      <c r="AR76" s="672">
        <f t="shared" si="11"/>
        <v>0</v>
      </c>
      <c r="AS76" s="385">
        <f>IF(P76=0,,
SUM(
IF(OR(リスト!$C$21="小麦",リスト!$C$21="二条大麦",リスト!$C$21="六条大麦",リスト!$C$21="はだか麦",リスト!$C$21="なたね"),IF(OR(AND(Z76=1,K76&lt;9,J76=調査年),AND(Z76=1,K76&gt;=9,J76=調査年-1)),ROUND(L76*P76%,0),),
IF(リスト!$C$21="さとうきび",IF(OR(AND(Z76=1,K76&gt;=4,J76=調査年),AND(Z76=1,K76&lt;4,J76=調査年+1)),ROUND(L76*P76%,0),),
IF(AND(Z76=1,J76=調査年),ROUND(L76*P76%,0),))),
ROUND(N76*P76%,0),
ROUND(SUM(AK76)*P76%,0)
))</f>
        <v>0</v>
      </c>
      <c r="AT76" s="385">
        <f t="shared" si="12"/>
        <v>0</v>
      </c>
      <c r="AU76" s="385" t="str">
        <f t="shared" si="13"/>
        <v/>
      </c>
      <c r="AV76" s="686"/>
      <c r="AW76" s="686"/>
      <c r="AX76" s="686"/>
      <c r="AY76" s="686"/>
      <c r="AZ76" s="686"/>
    </row>
    <row r="77" spans="3:52" s="46" customFormat="1" ht="30" hidden="1" customHeight="1" outlineLevel="1">
      <c r="C77" s="674">
        <v>62</v>
      </c>
      <c r="D77" s="675"/>
      <c r="E77" s="676"/>
      <c r="F77" s="677"/>
      <c r="G77" s="1899"/>
      <c r="H77" s="1900"/>
      <c r="I77" s="678"/>
      <c r="J77" s="679"/>
      <c r="K77" s="680"/>
      <c r="L77" s="681"/>
      <c r="M77" s="681"/>
      <c r="N77" s="681"/>
      <c r="O77" s="681"/>
      <c r="P77" s="1094"/>
      <c r="Q77" s="682"/>
      <c r="R77" s="683"/>
      <c r="S77" s="681"/>
      <c r="T77" s="668"/>
      <c r="U77" s="2"/>
      <c r="V77" s="1105"/>
      <c r="W77" s="669"/>
      <c r="X77" s="2"/>
      <c r="Y77" s="684">
        <f t="shared" si="15"/>
        <v>0</v>
      </c>
      <c r="Z77" s="670">
        <f t="shared" si="16"/>
        <v>0</v>
      </c>
      <c r="AA77" s="670">
        <f t="shared" si="17"/>
        <v>0</v>
      </c>
      <c r="AB77" s="684">
        <f>IF(Y77=0,,VLOOKUP(Y77,リスト!CX:CY,2,0))</f>
        <v>0</v>
      </c>
      <c r="AC77" s="684">
        <f t="shared" si="1"/>
        <v>0</v>
      </c>
      <c r="AD77" s="685">
        <f>IF(AC77=0,,VLOOKUP(AC77,リスト!DK:DL,2,0))</f>
        <v>0</v>
      </c>
      <c r="AE77" s="670">
        <f>IF(Y77=0,,
IF(OR(リスト!$C$21="小麦",リスト!$C$21="二条大麦",リスト!$C$21="六条大麦",リスト!$C$21="はだか麦",リスト!$C$21="なたね"),IF(K77&lt;9,調査年-J77,調査年-J77-1),
IF(リスト!$C$21="さとうきび",IF(K77&gt;=4,調査年-J77,調査年-J77+1),
調査年-J77)))</f>
        <v>0</v>
      </c>
      <c r="AF77" s="385">
        <f t="shared" si="18"/>
        <v>0</v>
      </c>
      <c r="AG77" s="385">
        <f t="shared" si="3"/>
        <v>0</v>
      </c>
      <c r="AH77" s="385">
        <f t="shared" si="4"/>
        <v>0</v>
      </c>
      <c r="AI77" s="385">
        <f t="shared" si="5"/>
        <v>0</v>
      </c>
      <c r="AJ77" s="385">
        <f t="shared" si="6"/>
        <v>0</v>
      </c>
      <c r="AK77" s="385">
        <f t="shared" si="14"/>
        <v>0</v>
      </c>
      <c r="AL77" s="385">
        <f t="shared" si="7"/>
        <v>0</v>
      </c>
      <c r="AM77" s="385">
        <f t="shared" si="8"/>
        <v>0</v>
      </c>
      <c r="AN77" s="394"/>
      <c r="AO77" s="672">
        <f>IF(OR(P77=0,AG77=0),,
IF(OR(リスト!$C$21="小麦",リスト!$C$21="二条大麦",リスト!$C$21="六条大麦",リスト!$C$21="はだか麦",リスト!$C$21="なたね"),IF(OR(AND(K77&lt;9,J77=調査年),AND(K77&gt;=9,J77=調査年-1)),,ROUND(AG77*P77%,0)),
IF(リスト!$C$21="さとうきび",IF(OR(AND(K77&gt;=4,J77=調査年),AND(K77&lt;4,J77=調査年+1)),,ROUND(AG77*P77%,0)),
IF(J77=調査年,,ROUND(AG77*P77%,0)))))</f>
        <v>0</v>
      </c>
      <c r="AP77" s="672">
        <f t="shared" si="9"/>
        <v>0</v>
      </c>
      <c r="AQ77" s="385">
        <f t="shared" si="10"/>
        <v>0</v>
      </c>
      <c r="AR77" s="672">
        <f t="shared" si="11"/>
        <v>0</v>
      </c>
      <c r="AS77" s="385">
        <f>IF(P77=0,,
SUM(
IF(OR(リスト!$C$21="小麦",リスト!$C$21="二条大麦",リスト!$C$21="六条大麦",リスト!$C$21="はだか麦",リスト!$C$21="なたね"),IF(OR(AND(Z77=1,K77&lt;9,J77=調査年),AND(Z77=1,K77&gt;=9,J77=調査年-1)),ROUND(L77*P77%,0),),
IF(リスト!$C$21="さとうきび",IF(OR(AND(Z77=1,K77&gt;=4,J77=調査年),AND(Z77=1,K77&lt;4,J77=調査年+1)),ROUND(L77*P77%,0),),
IF(AND(Z77=1,J77=調査年),ROUND(L77*P77%,0),))),
ROUND(N77*P77%,0),
ROUND(SUM(AK77)*P77%,0)
))</f>
        <v>0</v>
      </c>
      <c r="AT77" s="385">
        <f t="shared" si="12"/>
        <v>0</v>
      </c>
      <c r="AU77" s="385" t="str">
        <f t="shared" si="13"/>
        <v/>
      </c>
      <c r="AV77" s="686"/>
      <c r="AW77" s="686"/>
      <c r="AX77" s="686"/>
      <c r="AY77" s="686"/>
      <c r="AZ77" s="686"/>
    </row>
    <row r="78" spans="3:52" s="46" customFormat="1" ht="30" hidden="1" customHeight="1" outlineLevel="1">
      <c r="C78" s="674">
        <v>63</v>
      </c>
      <c r="D78" s="687"/>
      <c r="E78" s="676"/>
      <c r="F78" s="677"/>
      <c r="G78" s="1899"/>
      <c r="H78" s="1900"/>
      <c r="I78" s="678"/>
      <c r="J78" s="679"/>
      <c r="K78" s="680"/>
      <c r="L78" s="681"/>
      <c r="M78" s="681"/>
      <c r="N78" s="681"/>
      <c r="O78" s="681"/>
      <c r="P78" s="1094"/>
      <c r="Q78" s="682"/>
      <c r="R78" s="683"/>
      <c r="S78" s="681"/>
      <c r="T78" s="668"/>
      <c r="U78" s="2"/>
      <c r="V78" s="1105"/>
      <c r="W78" s="669"/>
      <c r="X78" s="2"/>
      <c r="Y78" s="684">
        <f t="shared" si="15"/>
        <v>0</v>
      </c>
      <c r="Z78" s="670">
        <f t="shared" si="16"/>
        <v>0</v>
      </c>
      <c r="AA78" s="670">
        <f t="shared" si="17"/>
        <v>0</v>
      </c>
      <c r="AB78" s="684">
        <f>IF(Y78=0,,VLOOKUP(Y78,リスト!CX:CY,2,0))</f>
        <v>0</v>
      </c>
      <c r="AC78" s="684">
        <f t="shared" si="1"/>
        <v>0</v>
      </c>
      <c r="AD78" s="685">
        <f>IF(AC78=0,,VLOOKUP(AC78,リスト!DK:DL,2,0))</f>
        <v>0</v>
      </c>
      <c r="AE78" s="670">
        <f>IF(Y78=0,,
IF(OR(リスト!$C$21="小麦",リスト!$C$21="二条大麦",リスト!$C$21="六条大麦",リスト!$C$21="はだか麦",リスト!$C$21="なたね"),IF(K78&lt;9,調査年-J78,調査年-J78-1),
IF(リスト!$C$21="さとうきび",IF(K78&gt;=4,調査年-J78,調査年-J78+1),
調査年-J78)))</f>
        <v>0</v>
      </c>
      <c r="AF78" s="385">
        <f t="shared" si="18"/>
        <v>0</v>
      </c>
      <c r="AG78" s="385">
        <f t="shared" si="3"/>
        <v>0</v>
      </c>
      <c r="AH78" s="385">
        <f t="shared" si="4"/>
        <v>0</v>
      </c>
      <c r="AI78" s="385">
        <f t="shared" si="5"/>
        <v>0</v>
      </c>
      <c r="AJ78" s="385">
        <f t="shared" si="6"/>
        <v>0</v>
      </c>
      <c r="AK78" s="385">
        <f t="shared" si="14"/>
        <v>0</v>
      </c>
      <c r="AL78" s="385">
        <f t="shared" si="7"/>
        <v>0</v>
      </c>
      <c r="AM78" s="385">
        <f t="shared" si="8"/>
        <v>0</v>
      </c>
      <c r="AN78" s="394"/>
      <c r="AO78" s="672">
        <f>IF(OR(P78=0,AG78=0),,
IF(OR(リスト!$C$21="小麦",リスト!$C$21="二条大麦",リスト!$C$21="六条大麦",リスト!$C$21="はだか麦",リスト!$C$21="なたね"),IF(OR(AND(K78&lt;9,J78=調査年),AND(K78&gt;=9,J78=調査年-1)),,ROUND(AG78*P78%,0)),
IF(リスト!$C$21="さとうきび",IF(OR(AND(K78&gt;=4,J78=調査年),AND(K78&lt;4,J78=調査年+1)),,ROUND(AG78*P78%,0)),
IF(J78=調査年,,ROUND(AG78*P78%,0)))))</f>
        <v>0</v>
      </c>
      <c r="AP78" s="672">
        <f t="shared" si="9"/>
        <v>0</v>
      </c>
      <c r="AQ78" s="385">
        <f t="shared" si="10"/>
        <v>0</v>
      </c>
      <c r="AR78" s="672">
        <f t="shared" si="11"/>
        <v>0</v>
      </c>
      <c r="AS78" s="385">
        <f>IF(P78=0,,
SUM(
IF(OR(リスト!$C$21="小麦",リスト!$C$21="二条大麦",リスト!$C$21="六条大麦",リスト!$C$21="はだか麦",リスト!$C$21="なたね"),IF(OR(AND(Z78=1,K78&lt;9,J78=調査年),AND(Z78=1,K78&gt;=9,J78=調査年-1)),ROUND(L78*P78%,0),),
IF(リスト!$C$21="さとうきび",IF(OR(AND(Z78=1,K78&gt;=4,J78=調査年),AND(Z78=1,K78&lt;4,J78=調査年+1)),ROUND(L78*P78%,0),),
IF(AND(Z78=1,J78=調査年),ROUND(L78*P78%,0),))),
ROUND(N78*P78%,0),
ROUND(SUM(AK78)*P78%,0)
))</f>
        <v>0</v>
      </c>
      <c r="AT78" s="385">
        <f t="shared" si="12"/>
        <v>0</v>
      </c>
      <c r="AU78" s="385" t="str">
        <f t="shared" si="13"/>
        <v/>
      </c>
      <c r="AV78" s="686"/>
      <c r="AW78" s="686"/>
      <c r="AX78" s="686"/>
      <c r="AY78" s="686"/>
      <c r="AZ78" s="686"/>
    </row>
    <row r="79" spans="3:52" s="46" customFormat="1" ht="30" hidden="1" customHeight="1" outlineLevel="1">
      <c r="C79" s="674">
        <v>64</v>
      </c>
      <c r="D79" s="687"/>
      <c r="E79" s="676"/>
      <c r="F79" s="677"/>
      <c r="G79" s="1899"/>
      <c r="H79" s="1900"/>
      <c r="I79" s="678"/>
      <c r="J79" s="679"/>
      <c r="K79" s="680"/>
      <c r="L79" s="681"/>
      <c r="M79" s="681"/>
      <c r="N79" s="681"/>
      <c r="O79" s="681"/>
      <c r="P79" s="1094"/>
      <c r="Q79" s="682"/>
      <c r="R79" s="683"/>
      <c r="S79" s="681"/>
      <c r="T79" s="668"/>
      <c r="U79" s="2"/>
      <c r="V79" s="1105"/>
      <c r="W79" s="669"/>
      <c r="X79" s="2"/>
      <c r="Y79" s="684">
        <f t="shared" si="15"/>
        <v>0</v>
      </c>
      <c r="Z79" s="670">
        <f t="shared" si="16"/>
        <v>0</v>
      </c>
      <c r="AA79" s="670">
        <f t="shared" si="17"/>
        <v>0</v>
      </c>
      <c r="AB79" s="684">
        <f>IF(Y79=0,,VLOOKUP(Y79,リスト!CX:CY,2,0))</f>
        <v>0</v>
      </c>
      <c r="AC79" s="684">
        <f t="shared" si="1"/>
        <v>0</v>
      </c>
      <c r="AD79" s="685">
        <f>IF(AC79=0,,VLOOKUP(AC79,リスト!DK:DL,2,0))</f>
        <v>0</v>
      </c>
      <c r="AE79" s="670">
        <f>IF(Y79=0,,
IF(OR(リスト!$C$21="小麦",リスト!$C$21="二条大麦",リスト!$C$21="六条大麦",リスト!$C$21="はだか麦",リスト!$C$21="なたね"),IF(K79&lt;9,調査年-J79,調査年-J79-1),
IF(リスト!$C$21="さとうきび",IF(K79&gt;=4,調査年-J79,調査年-J79+1),
調査年-J79)))</f>
        <v>0</v>
      </c>
      <c r="AF79" s="385">
        <f t="shared" si="18"/>
        <v>0</v>
      </c>
      <c r="AG79" s="385">
        <f t="shared" si="3"/>
        <v>0</v>
      </c>
      <c r="AH79" s="385">
        <f t="shared" si="4"/>
        <v>0</v>
      </c>
      <c r="AI79" s="385">
        <f t="shared" si="5"/>
        <v>0</v>
      </c>
      <c r="AJ79" s="385">
        <f t="shared" si="6"/>
        <v>0</v>
      </c>
      <c r="AK79" s="385">
        <f t="shared" si="14"/>
        <v>0</v>
      </c>
      <c r="AL79" s="385">
        <f t="shared" si="7"/>
        <v>0</v>
      </c>
      <c r="AM79" s="385">
        <f t="shared" si="8"/>
        <v>0</v>
      </c>
      <c r="AN79" s="394"/>
      <c r="AO79" s="672">
        <f>IF(OR(P79=0,AG79=0),,
IF(OR(リスト!$C$21="小麦",リスト!$C$21="二条大麦",リスト!$C$21="六条大麦",リスト!$C$21="はだか麦",リスト!$C$21="なたね"),IF(OR(AND(K79&lt;9,J79=調査年),AND(K79&gt;=9,J79=調査年-1)),,ROUND(AG79*P79%,0)),
IF(リスト!$C$21="さとうきび",IF(OR(AND(K79&gt;=4,J79=調査年),AND(K79&lt;4,J79=調査年+1)),,ROUND(AG79*P79%,0)),
IF(J79=調査年,,ROUND(AG79*P79%,0)))))</f>
        <v>0</v>
      </c>
      <c r="AP79" s="672">
        <f t="shared" si="9"/>
        <v>0</v>
      </c>
      <c r="AQ79" s="385">
        <f t="shared" si="10"/>
        <v>0</v>
      </c>
      <c r="AR79" s="672">
        <f t="shared" si="11"/>
        <v>0</v>
      </c>
      <c r="AS79" s="385">
        <f>IF(P79=0,,
SUM(
IF(OR(リスト!$C$21="小麦",リスト!$C$21="二条大麦",リスト!$C$21="六条大麦",リスト!$C$21="はだか麦",リスト!$C$21="なたね"),IF(OR(AND(Z79=1,K79&lt;9,J79=調査年),AND(Z79=1,K79&gt;=9,J79=調査年-1)),ROUND(L79*P79%,0),),
IF(リスト!$C$21="さとうきび",IF(OR(AND(Z79=1,K79&gt;=4,J79=調査年),AND(Z79=1,K79&lt;4,J79=調査年+1)),ROUND(L79*P79%,0),),
IF(AND(Z79=1,J79=調査年),ROUND(L79*P79%,0),))),
ROUND(N79*P79%,0),
ROUND(SUM(AK79)*P79%,0)
))</f>
        <v>0</v>
      </c>
      <c r="AT79" s="385">
        <f t="shared" si="12"/>
        <v>0</v>
      </c>
      <c r="AU79" s="385" t="str">
        <f t="shared" si="13"/>
        <v/>
      </c>
      <c r="AV79" s="686"/>
      <c r="AW79" s="686"/>
      <c r="AX79" s="686"/>
      <c r="AY79" s="686"/>
      <c r="AZ79" s="686"/>
    </row>
    <row r="80" spans="3:52" s="46" customFormat="1" ht="30" hidden="1" customHeight="1" outlineLevel="1">
      <c r="C80" s="674">
        <v>65</v>
      </c>
      <c r="D80" s="687"/>
      <c r="E80" s="676"/>
      <c r="F80" s="677"/>
      <c r="G80" s="1899"/>
      <c r="H80" s="1900"/>
      <c r="I80" s="678"/>
      <c r="J80" s="679"/>
      <c r="K80" s="680"/>
      <c r="L80" s="681"/>
      <c r="M80" s="681"/>
      <c r="N80" s="681"/>
      <c r="O80" s="681"/>
      <c r="P80" s="1094"/>
      <c r="Q80" s="682"/>
      <c r="R80" s="683"/>
      <c r="S80" s="681"/>
      <c r="T80" s="668"/>
      <c r="U80" s="2"/>
      <c r="V80" s="1105"/>
      <c r="W80" s="669"/>
      <c r="X80" s="2"/>
      <c r="Y80" s="684">
        <f t="shared" si="15"/>
        <v>0</v>
      </c>
      <c r="Z80" s="670">
        <f t="shared" si="16"/>
        <v>0</v>
      </c>
      <c r="AA80" s="670">
        <f t="shared" si="17"/>
        <v>0</v>
      </c>
      <c r="AB80" s="684">
        <f>IF(Y80=0,,VLOOKUP(Y80,リスト!CX:CY,2,0))</f>
        <v>0</v>
      </c>
      <c r="AC80" s="684">
        <f t="shared" ref="AC80:AC115" si="19">IF(AA80=1,3,
IF(OR(G80="[2]中古",
F80="[8]その他",
E80="[13]その他の建築物",
AND(OR(E80="[14]稲架",E80="[15]コンクリートけい畔",E80="[16]暗きょ排水施設",E80="[19]用水路",E80="[25]たい肥盤"),F80="[7]その他")),
MIN(AB80,I80),AB80))</f>
        <v>0</v>
      </c>
      <c r="AD80" s="685">
        <f>IF(AC80=0,,VLOOKUP(AC80,リスト!DK:DL,2,0))</f>
        <v>0</v>
      </c>
      <c r="AE80" s="670">
        <f>IF(Y80=0,,
IF(OR(リスト!$C$21="小麦",リスト!$C$21="二条大麦",リスト!$C$21="六条大麦",リスト!$C$21="はだか麦",リスト!$C$21="なたね"),IF(K80&lt;9,調査年-J80,調査年-J80-1),
IF(リスト!$C$21="さとうきび",IF(K80&gt;=4,調査年-J80,調査年-J80+1),
調査年-J80)))</f>
        <v>0</v>
      </c>
      <c r="AF80" s="385">
        <f t="shared" ref="AF80:AF111" si="20">IF(OR(Y80=0,Z80=1),,
IF(AND(AC80&gt;0,AE80&lt;AC80,AG80&lt;=ROUND((L80-1)*AD80,0)),ROUND(AG80*IF(R80="[2]部分取り壊し",IFERROR(1-(V80%),1),1),0),
IF(AND(AC80&gt;0,AE80&lt;AC80),ROUND((L80-1)*AD80*IF(R80="[2]部分取り壊し",IFERROR(1-(V80%),1),1),0),)))</f>
        <v>0</v>
      </c>
      <c r="AG80" s="385">
        <f t="shared" ref="AG80:AG115" si="21">IF(OR(Y80=0,Z80=1),,
IF(AND(AC80&gt;0,AE80&lt;AC80),L80-ROUND((L80-1)*AD80*AE80,0),1
))</f>
        <v>0</v>
      </c>
      <c r="AH80" s="385">
        <f t="shared" ref="AH80:AH115" si="22">IF(OR(Y80=0,Z80=1),,
IF(R80=0,AF80,
IF(R80="[1]取り壊し",SUM(AG80,S80),
IF(R80="[3]売　却",AG80-S80,
IF(AND(R80="[2]部分取り壊し",AG80&gt;1),SUM(ROUND(AG80*(V80%),0),S80,AF80),
IF(AND(S80=0,AF80=0),,SUM(S80,AF80)))))))</f>
        <v>0</v>
      </c>
      <c r="AI80" s="385">
        <f t="shared" ref="AI80:AI115" si="23">IF(AND(AH80=0,AF80=0),,
IF(OR(R80="[1]取り壊し",R80="[2]部分取り壊し",R80="[3]売　却"),SUM(AH80)-SUM(AF80),))</f>
        <v>0</v>
      </c>
      <c r="AJ80" s="385">
        <f t="shared" ref="AJ80:AJ115" si="24">IF(OR(Z80=1,M80=0),,
IF(AND(AC80&gt;0,M80&gt;0,AE80&lt;AC80),M80-ROUND(M80*AD80*AE80,0),))</f>
        <v>0</v>
      </c>
      <c r="AK80" s="385">
        <f t="shared" si="14"/>
        <v>0</v>
      </c>
      <c r="AL80" s="385">
        <f t="shared" ref="AL80:AL115" si="25">IF(AND(L80&gt;0,R80="[2]部分取り壊し"),ROUND(L80*(1-V80%),0),)</f>
        <v>0</v>
      </c>
      <c r="AM80" s="385">
        <f t="shared" ref="AM80:AM115" si="26">IF(AND(M80&gt;0,R80="[2]部分取り壊し"),ROUND(M80*(1-V80%),0),)</f>
        <v>0</v>
      </c>
      <c r="AN80" s="394"/>
      <c r="AO80" s="672">
        <f>IF(OR(P80=0,AG80=0),,
IF(OR(リスト!$C$21="小麦",リスト!$C$21="二条大麦",リスト!$C$21="六条大麦",リスト!$C$21="はだか麦",リスト!$C$21="なたね"),IF(OR(AND(K80&lt;9,J80=調査年),AND(K80&gt;=9,J80=調査年-1)),,ROUND(AG80*P80%,0)),
IF(リスト!$C$21="さとうきび",IF(OR(AND(K80&gt;=4,J80=調査年),AND(K80&lt;4,J80=調査年+1)),,ROUND(AG80*P80%,0)),
IF(J80=調査年,,ROUND(AG80*P80%,0)))))</f>
        <v>0</v>
      </c>
      <c r="AP80" s="672">
        <f t="shared" ref="AP80:AP115" si="27">IF(P80=0,,IF(AH80=0,,ROUND(AH80*P80%,0)))</f>
        <v>0</v>
      </c>
      <c r="AQ80" s="385">
        <f t="shared" ref="AQ80:AQ115" si="28">IF(P80=0,,IF(AI80=0,,ROUND(AI80*P80%,0)))</f>
        <v>0</v>
      </c>
      <c r="AR80" s="672">
        <f t="shared" ref="AR80:AR115" si="29">IF(P80=0,,IF(AG80=0,,ROUND(AG80*P80%,0)))</f>
        <v>0</v>
      </c>
      <c r="AS80" s="385">
        <f>IF(P80=0,,
SUM(
IF(OR(リスト!$C$21="小麦",リスト!$C$21="二条大麦",リスト!$C$21="六条大麦",リスト!$C$21="はだか麦",リスト!$C$21="なたね"),IF(OR(AND(Z80=1,K80&lt;9,J80=調査年),AND(Z80=1,K80&gt;=9,J80=調査年-1)),ROUND(L80*P80%,0),),
IF(リスト!$C$21="さとうきび",IF(OR(AND(Z80=1,K80&gt;=4,J80=調査年),AND(Z80=1,K80&lt;4,J80=調査年+1)),ROUND(L80*P80%,0),),
IF(AND(Z80=1,J80=調査年),ROUND(L80*P80%,0),))),
ROUND(N80*P80%,0),
ROUND(SUM(AK80)*P80%,0)
))</f>
        <v>0</v>
      </c>
      <c r="AT80" s="385">
        <f t="shared" ref="AT80:AT115" si="30">IF(P80=0,,IF(O80=0,,ROUND(O80*P80%,0)))</f>
        <v>0</v>
      </c>
      <c r="AU80" s="385" t="str">
        <f t="shared" ref="AU80:AU115" si="31">IF(OR(AS80&gt;0,AT80&gt;0),SUM(AS80:AT80),"")</f>
        <v/>
      </c>
      <c r="AV80" s="686"/>
      <c r="AW80" s="686"/>
      <c r="AX80" s="686"/>
      <c r="AY80" s="686"/>
      <c r="AZ80" s="686"/>
    </row>
    <row r="81" spans="3:52" s="46" customFormat="1" ht="30" hidden="1" customHeight="1" outlineLevel="1">
      <c r="C81" s="674">
        <v>66</v>
      </c>
      <c r="D81" s="687"/>
      <c r="E81" s="676"/>
      <c r="F81" s="677"/>
      <c r="G81" s="1899"/>
      <c r="H81" s="1900"/>
      <c r="I81" s="678"/>
      <c r="J81" s="679"/>
      <c r="K81" s="680"/>
      <c r="L81" s="681"/>
      <c r="M81" s="681"/>
      <c r="N81" s="681"/>
      <c r="O81" s="681"/>
      <c r="P81" s="1094"/>
      <c r="Q81" s="682"/>
      <c r="R81" s="683"/>
      <c r="S81" s="681"/>
      <c r="T81" s="668"/>
      <c r="U81" s="2"/>
      <c r="V81" s="1105"/>
      <c r="W81" s="669"/>
      <c r="X81" s="2"/>
      <c r="Y81" s="684">
        <f t="shared" si="15"/>
        <v>0</v>
      </c>
      <c r="Z81" s="670">
        <f t="shared" si="16"/>
        <v>0</v>
      </c>
      <c r="AA81" s="670">
        <f t="shared" si="17"/>
        <v>0</v>
      </c>
      <c r="AB81" s="684">
        <f>IF(Y81=0,,VLOOKUP(Y81,リスト!CX:CY,2,0))</f>
        <v>0</v>
      </c>
      <c r="AC81" s="684">
        <f t="shared" si="19"/>
        <v>0</v>
      </c>
      <c r="AD81" s="685">
        <f>IF(AC81=0,,VLOOKUP(AC81,リスト!DK:DL,2,0))</f>
        <v>0</v>
      </c>
      <c r="AE81" s="670">
        <f>IF(Y81=0,,
IF(OR(リスト!$C$21="小麦",リスト!$C$21="二条大麦",リスト!$C$21="六条大麦",リスト!$C$21="はだか麦",リスト!$C$21="なたね"),IF(K81&lt;9,調査年-J81,調査年-J81-1),
IF(リスト!$C$21="さとうきび",IF(K81&gt;=4,調査年-J81,調査年-J81+1),
調査年-J81)))</f>
        <v>0</v>
      </c>
      <c r="AF81" s="385">
        <f t="shared" si="20"/>
        <v>0</v>
      </c>
      <c r="AG81" s="385">
        <f t="shared" si="21"/>
        <v>0</v>
      </c>
      <c r="AH81" s="385">
        <f t="shared" si="22"/>
        <v>0</v>
      </c>
      <c r="AI81" s="385">
        <f t="shared" si="23"/>
        <v>0</v>
      </c>
      <c r="AJ81" s="385">
        <f t="shared" si="24"/>
        <v>0</v>
      </c>
      <c r="AK81" s="385">
        <f t="shared" ref="AK81:AK115" si="32">IF(OR(Y81=0,Z81=1),IF(AND(Z81=1,AE81=0),M81,),
IF(AND(AC81&gt;0,AE81&lt;AC81,SUM(AJ81)&gt;0,AJ81&lt;=ROUND(M81*AD81,0)),ROUND(AJ81*IF(R81="[2]部分取り壊し",IFERROR(1-(V81%),1),1),),
IF(AND(AC81&gt;0,AE81&lt;AC81,SUM(M81)&gt;0),ROUND(M81*AD81*IF(R81="[2]部分取り壊し",IFERROR(1-(V81%),1),1),0),)))</f>
        <v>0</v>
      </c>
      <c r="AL81" s="385">
        <f t="shared" si="25"/>
        <v>0</v>
      </c>
      <c r="AM81" s="385">
        <f t="shared" si="26"/>
        <v>0</v>
      </c>
      <c r="AN81" s="394"/>
      <c r="AO81" s="672">
        <f>IF(OR(P81=0,AG81=0),,
IF(OR(リスト!$C$21="小麦",リスト!$C$21="二条大麦",リスト!$C$21="六条大麦",リスト!$C$21="はだか麦",リスト!$C$21="なたね"),IF(OR(AND(K81&lt;9,J81=調査年),AND(K81&gt;=9,J81=調査年-1)),,ROUND(AG81*P81%,0)),
IF(リスト!$C$21="さとうきび",IF(OR(AND(K81&gt;=4,J81=調査年),AND(K81&lt;4,J81=調査年+1)),,ROUND(AG81*P81%,0)),
IF(J81=調査年,,ROUND(AG81*P81%,0)))))</f>
        <v>0</v>
      </c>
      <c r="AP81" s="672">
        <f t="shared" si="27"/>
        <v>0</v>
      </c>
      <c r="AQ81" s="385">
        <f t="shared" si="28"/>
        <v>0</v>
      </c>
      <c r="AR81" s="672">
        <f t="shared" si="29"/>
        <v>0</v>
      </c>
      <c r="AS81" s="385">
        <f>IF(P81=0,,
SUM(
IF(OR(リスト!$C$21="小麦",リスト!$C$21="二条大麦",リスト!$C$21="六条大麦",リスト!$C$21="はだか麦",リスト!$C$21="なたね"),IF(OR(AND(Z81=1,K81&lt;9,J81=調査年),AND(Z81=1,K81&gt;=9,J81=調査年-1)),ROUND(L81*P81%,0),),
IF(リスト!$C$21="さとうきび",IF(OR(AND(Z81=1,K81&gt;=4,J81=調査年),AND(Z81=1,K81&lt;4,J81=調査年+1)),ROUND(L81*P81%,0),),
IF(AND(Z81=1,J81=調査年),ROUND(L81*P81%,0),))),
ROUND(N81*P81%,0),
ROUND(SUM(AK81)*P81%,0)
))</f>
        <v>0</v>
      </c>
      <c r="AT81" s="385">
        <f t="shared" si="30"/>
        <v>0</v>
      </c>
      <c r="AU81" s="385" t="str">
        <f t="shared" si="31"/>
        <v/>
      </c>
      <c r="AV81" s="686"/>
      <c r="AW81" s="686"/>
      <c r="AX81" s="686"/>
      <c r="AY81" s="686"/>
      <c r="AZ81" s="686"/>
    </row>
    <row r="82" spans="3:52" s="46" customFormat="1" ht="30" hidden="1" customHeight="1" outlineLevel="1">
      <c r="C82" s="674">
        <v>67</v>
      </c>
      <c r="D82" s="687"/>
      <c r="E82" s="676"/>
      <c r="F82" s="677"/>
      <c r="G82" s="1899"/>
      <c r="H82" s="1900"/>
      <c r="I82" s="678"/>
      <c r="J82" s="679"/>
      <c r="K82" s="680"/>
      <c r="L82" s="681"/>
      <c r="M82" s="681"/>
      <c r="N82" s="681"/>
      <c r="O82" s="681"/>
      <c r="P82" s="1094"/>
      <c r="Q82" s="682"/>
      <c r="R82" s="683"/>
      <c r="S82" s="681"/>
      <c r="T82" s="668"/>
      <c r="U82" s="2"/>
      <c r="V82" s="1105"/>
      <c r="W82" s="669"/>
      <c r="X82" s="2"/>
      <c r="Y82" s="684">
        <f t="shared" ref="Y82:Y115" si="33">IF(AND(E82&gt;0,F82&gt;0),"["&amp;RIGHT(LEFT(E82,3),2)&amp;RIGHT(LEFT(F82,FIND("]",F82)-1),IF(FIND("]",F82)-1&gt;2,2,1))&amp;"]",)</f>
        <v>0</v>
      </c>
      <c r="Z82" s="670">
        <f t="shared" ref="Z82:Z115" si="34">IF(Y82=0,,IF(L82+M82&lt;100000,1,0))</f>
        <v>0</v>
      </c>
      <c r="AA82" s="670">
        <f t="shared" ref="AA82:AA115" si="35">IF(Y82=0,,IF(AND(Z82=0,L82+M82&lt;200000),1,))</f>
        <v>0</v>
      </c>
      <c r="AB82" s="684">
        <f>IF(Y82=0,,VLOOKUP(Y82,リスト!CX:CY,2,0))</f>
        <v>0</v>
      </c>
      <c r="AC82" s="684">
        <f t="shared" si="19"/>
        <v>0</v>
      </c>
      <c r="AD82" s="685">
        <f>IF(AC82=0,,VLOOKUP(AC82,リスト!DK:DL,2,0))</f>
        <v>0</v>
      </c>
      <c r="AE82" s="670">
        <f>IF(Y82=0,,
IF(OR(リスト!$C$21="小麦",リスト!$C$21="二条大麦",リスト!$C$21="六条大麦",リスト!$C$21="はだか麦",リスト!$C$21="なたね"),IF(K82&lt;9,調査年-J82,調査年-J82-1),
IF(リスト!$C$21="さとうきび",IF(K82&gt;=4,調査年-J82,調査年-J82+1),
調査年-J82)))</f>
        <v>0</v>
      </c>
      <c r="AF82" s="385">
        <f t="shared" si="20"/>
        <v>0</v>
      </c>
      <c r="AG82" s="385">
        <f t="shared" si="21"/>
        <v>0</v>
      </c>
      <c r="AH82" s="385">
        <f t="shared" si="22"/>
        <v>0</v>
      </c>
      <c r="AI82" s="385">
        <f t="shared" si="23"/>
        <v>0</v>
      </c>
      <c r="AJ82" s="385">
        <f t="shared" si="24"/>
        <v>0</v>
      </c>
      <c r="AK82" s="385">
        <f t="shared" si="32"/>
        <v>0</v>
      </c>
      <c r="AL82" s="385">
        <f t="shared" si="25"/>
        <v>0</v>
      </c>
      <c r="AM82" s="385">
        <f t="shared" si="26"/>
        <v>0</v>
      </c>
      <c r="AN82" s="394"/>
      <c r="AO82" s="672">
        <f>IF(OR(P82=0,AG82=0),,
IF(OR(リスト!$C$21="小麦",リスト!$C$21="二条大麦",リスト!$C$21="六条大麦",リスト!$C$21="はだか麦",リスト!$C$21="なたね"),IF(OR(AND(K82&lt;9,J82=調査年),AND(K82&gt;=9,J82=調査年-1)),,ROUND(AG82*P82%,0)),
IF(リスト!$C$21="さとうきび",IF(OR(AND(K82&gt;=4,J82=調査年),AND(K82&lt;4,J82=調査年+1)),,ROUND(AG82*P82%,0)),
IF(J82=調査年,,ROUND(AG82*P82%,0)))))</f>
        <v>0</v>
      </c>
      <c r="AP82" s="672">
        <f t="shared" si="27"/>
        <v>0</v>
      </c>
      <c r="AQ82" s="385">
        <f t="shared" si="28"/>
        <v>0</v>
      </c>
      <c r="AR82" s="672">
        <f t="shared" si="29"/>
        <v>0</v>
      </c>
      <c r="AS82" s="385">
        <f>IF(P82=0,,
SUM(
IF(OR(リスト!$C$21="小麦",リスト!$C$21="二条大麦",リスト!$C$21="六条大麦",リスト!$C$21="はだか麦",リスト!$C$21="なたね"),IF(OR(AND(Z82=1,K82&lt;9,J82=調査年),AND(Z82=1,K82&gt;=9,J82=調査年-1)),ROUND(L82*P82%,0),),
IF(リスト!$C$21="さとうきび",IF(OR(AND(Z82=1,K82&gt;=4,J82=調査年),AND(Z82=1,K82&lt;4,J82=調査年+1)),ROUND(L82*P82%,0),),
IF(AND(Z82=1,J82=調査年),ROUND(L82*P82%,0),))),
ROUND(N82*P82%,0),
ROUND(SUM(AK82)*P82%,0)
))</f>
        <v>0</v>
      </c>
      <c r="AT82" s="385">
        <f t="shared" si="30"/>
        <v>0</v>
      </c>
      <c r="AU82" s="385" t="str">
        <f t="shared" si="31"/>
        <v/>
      </c>
      <c r="AV82" s="686"/>
      <c r="AW82" s="686"/>
      <c r="AX82" s="686"/>
      <c r="AY82" s="686"/>
      <c r="AZ82" s="686"/>
    </row>
    <row r="83" spans="3:52" s="46" customFormat="1" ht="30" hidden="1" customHeight="1" outlineLevel="1">
      <c r="C83" s="674">
        <v>68</v>
      </c>
      <c r="D83" s="687"/>
      <c r="E83" s="676"/>
      <c r="F83" s="677"/>
      <c r="G83" s="1899"/>
      <c r="H83" s="1900"/>
      <c r="I83" s="678"/>
      <c r="J83" s="679"/>
      <c r="K83" s="680"/>
      <c r="L83" s="681"/>
      <c r="M83" s="681"/>
      <c r="N83" s="681"/>
      <c r="O83" s="681"/>
      <c r="P83" s="1094"/>
      <c r="Q83" s="682"/>
      <c r="R83" s="683"/>
      <c r="S83" s="681"/>
      <c r="T83" s="668"/>
      <c r="U83" s="2"/>
      <c r="V83" s="1105"/>
      <c r="W83" s="669"/>
      <c r="X83" s="2"/>
      <c r="Y83" s="684">
        <f t="shared" si="33"/>
        <v>0</v>
      </c>
      <c r="Z83" s="670">
        <f t="shared" si="34"/>
        <v>0</v>
      </c>
      <c r="AA83" s="670">
        <f t="shared" si="35"/>
        <v>0</v>
      </c>
      <c r="AB83" s="684">
        <f>IF(Y83=0,,VLOOKUP(Y83,リスト!CX:CY,2,0))</f>
        <v>0</v>
      </c>
      <c r="AC83" s="684">
        <f t="shared" si="19"/>
        <v>0</v>
      </c>
      <c r="AD83" s="685">
        <f>IF(AC83=0,,VLOOKUP(AC83,リスト!DK:DL,2,0))</f>
        <v>0</v>
      </c>
      <c r="AE83" s="670">
        <f>IF(Y83=0,,
IF(OR(リスト!$C$21="小麦",リスト!$C$21="二条大麦",リスト!$C$21="六条大麦",リスト!$C$21="はだか麦",リスト!$C$21="なたね"),IF(K83&lt;9,調査年-J83,調査年-J83-1),
IF(リスト!$C$21="さとうきび",IF(K83&gt;=4,調査年-J83,調査年-J83+1),
調査年-J83)))</f>
        <v>0</v>
      </c>
      <c r="AF83" s="385">
        <f t="shared" si="20"/>
        <v>0</v>
      </c>
      <c r="AG83" s="385">
        <f t="shared" si="21"/>
        <v>0</v>
      </c>
      <c r="AH83" s="385">
        <f t="shared" si="22"/>
        <v>0</v>
      </c>
      <c r="AI83" s="385">
        <f t="shared" si="23"/>
        <v>0</v>
      </c>
      <c r="AJ83" s="385">
        <f t="shared" si="24"/>
        <v>0</v>
      </c>
      <c r="AK83" s="385">
        <f t="shared" si="32"/>
        <v>0</v>
      </c>
      <c r="AL83" s="385">
        <f t="shared" si="25"/>
        <v>0</v>
      </c>
      <c r="AM83" s="385">
        <f t="shared" si="26"/>
        <v>0</v>
      </c>
      <c r="AN83" s="394"/>
      <c r="AO83" s="672">
        <f>IF(OR(P83=0,AG83=0),,
IF(OR(リスト!$C$21="小麦",リスト!$C$21="二条大麦",リスト!$C$21="六条大麦",リスト!$C$21="はだか麦",リスト!$C$21="なたね"),IF(OR(AND(K83&lt;9,J83=調査年),AND(K83&gt;=9,J83=調査年-1)),,ROUND(AG83*P83%,0)),
IF(リスト!$C$21="さとうきび",IF(OR(AND(K83&gt;=4,J83=調査年),AND(K83&lt;4,J83=調査年+1)),,ROUND(AG83*P83%,0)),
IF(J83=調査年,,ROUND(AG83*P83%,0)))))</f>
        <v>0</v>
      </c>
      <c r="AP83" s="672">
        <f t="shared" si="27"/>
        <v>0</v>
      </c>
      <c r="AQ83" s="385">
        <f t="shared" si="28"/>
        <v>0</v>
      </c>
      <c r="AR83" s="672">
        <f t="shared" si="29"/>
        <v>0</v>
      </c>
      <c r="AS83" s="385">
        <f>IF(P83=0,,
SUM(
IF(OR(リスト!$C$21="小麦",リスト!$C$21="二条大麦",リスト!$C$21="六条大麦",リスト!$C$21="はだか麦",リスト!$C$21="なたね"),IF(OR(AND(Z83=1,K83&lt;9,J83=調査年),AND(Z83=1,K83&gt;=9,J83=調査年-1)),ROUND(L83*P83%,0),),
IF(リスト!$C$21="さとうきび",IF(OR(AND(Z83=1,K83&gt;=4,J83=調査年),AND(Z83=1,K83&lt;4,J83=調査年+1)),ROUND(L83*P83%,0),),
IF(AND(Z83=1,J83=調査年),ROUND(L83*P83%,0),))),
ROUND(N83*P83%,0),
ROUND(SUM(AK83)*P83%,0)
))</f>
        <v>0</v>
      </c>
      <c r="AT83" s="385">
        <f t="shared" si="30"/>
        <v>0</v>
      </c>
      <c r="AU83" s="385" t="str">
        <f t="shared" si="31"/>
        <v/>
      </c>
      <c r="AV83" s="686"/>
      <c r="AW83" s="686"/>
      <c r="AX83" s="686"/>
      <c r="AY83" s="686"/>
      <c r="AZ83" s="686"/>
    </row>
    <row r="84" spans="3:52" s="46" customFormat="1" ht="30" hidden="1" customHeight="1" outlineLevel="1">
      <c r="C84" s="674">
        <v>69</v>
      </c>
      <c r="D84" s="687"/>
      <c r="E84" s="676"/>
      <c r="F84" s="677"/>
      <c r="G84" s="1899"/>
      <c r="H84" s="1900"/>
      <c r="I84" s="678"/>
      <c r="J84" s="679"/>
      <c r="K84" s="680"/>
      <c r="L84" s="681"/>
      <c r="M84" s="681"/>
      <c r="N84" s="681"/>
      <c r="O84" s="681"/>
      <c r="P84" s="1094"/>
      <c r="Q84" s="682"/>
      <c r="R84" s="683"/>
      <c r="S84" s="681"/>
      <c r="T84" s="668"/>
      <c r="U84" s="2"/>
      <c r="V84" s="1105"/>
      <c r="W84" s="669"/>
      <c r="X84" s="2"/>
      <c r="Y84" s="684">
        <f t="shared" si="33"/>
        <v>0</v>
      </c>
      <c r="Z84" s="670">
        <f t="shared" si="34"/>
        <v>0</v>
      </c>
      <c r="AA84" s="670">
        <f t="shared" si="35"/>
        <v>0</v>
      </c>
      <c r="AB84" s="684">
        <f>IF(Y84=0,,VLOOKUP(Y84,リスト!CX:CY,2,0))</f>
        <v>0</v>
      </c>
      <c r="AC84" s="684">
        <f t="shared" si="19"/>
        <v>0</v>
      </c>
      <c r="AD84" s="685">
        <f>IF(AC84=0,,VLOOKUP(AC84,リスト!DK:DL,2,0))</f>
        <v>0</v>
      </c>
      <c r="AE84" s="670">
        <f>IF(Y84=0,,
IF(OR(リスト!$C$21="小麦",リスト!$C$21="二条大麦",リスト!$C$21="六条大麦",リスト!$C$21="はだか麦",リスト!$C$21="なたね"),IF(K84&lt;9,調査年-J84,調査年-J84-1),
IF(リスト!$C$21="さとうきび",IF(K84&gt;=4,調査年-J84,調査年-J84+1),
調査年-J84)))</f>
        <v>0</v>
      </c>
      <c r="AF84" s="385">
        <f t="shared" si="20"/>
        <v>0</v>
      </c>
      <c r="AG84" s="385">
        <f t="shared" si="21"/>
        <v>0</v>
      </c>
      <c r="AH84" s="385">
        <f t="shared" si="22"/>
        <v>0</v>
      </c>
      <c r="AI84" s="385">
        <f t="shared" si="23"/>
        <v>0</v>
      </c>
      <c r="AJ84" s="385">
        <f t="shared" si="24"/>
        <v>0</v>
      </c>
      <c r="AK84" s="385">
        <f t="shared" si="32"/>
        <v>0</v>
      </c>
      <c r="AL84" s="385">
        <f t="shared" si="25"/>
        <v>0</v>
      </c>
      <c r="AM84" s="385">
        <f t="shared" si="26"/>
        <v>0</v>
      </c>
      <c r="AN84" s="394"/>
      <c r="AO84" s="672">
        <f>IF(OR(P84=0,AG84=0),,
IF(OR(リスト!$C$21="小麦",リスト!$C$21="二条大麦",リスト!$C$21="六条大麦",リスト!$C$21="はだか麦",リスト!$C$21="なたね"),IF(OR(AND(K84&lt;9,J84=調査年),AND(K84&gt;=9,J84=調査年-1)),,ROUND(AG84*P84%,0)),
IF(リスト!$C$21="さとうきび",IF(OR(AND(K84&gt;=4,J84=調査年),AND(K84&lt;4,J84=調査年+1)),,ROUND(AG84*P84%,0)),
IF(J84=調査年,,ROUND(AG84*P84%,0)))))</f>
        <v>0</v>
      </c>
      <c r="AP84" s="672">
        <f t="shared" si="27"/>
        <v>0</v>
      </c>
      <c r="AQ84" s="385">
        <f t="shared" si="28"/>
        <v>0</v>
      </c>
      <c r="AR84" s="672">
        <f t="shared" si="29"/>
        <v>0</v>
      </c>
      <c r="AS84" s="385">
        <f>IF(P84=0,,
SUM(
IF(OR(リスト!$C$21="小麦",リスト!$C$21="二条大麦",リスト!$C$21="六条大麦",リスト!$C$21="はだか麦",リスト!$C$21="なたね"),IF(OR(AND(Z84=1,K84&lt;9,J84=調査年),AND(Z84=1,K84&gt;=9,J84=調査年-1)),ROUND(L84*P84%,0),),
IF(リスト!$C$21="さとうきび",IF(OR(AND(Z84=1,K84&gt;=4,J84=調査年),AND(Z84=1,K84&lt;4,J84=調査年+1)),ROUND(L84*P84%,0),),
IF(AND(Z84=1,J84=調査年),ROUND(L84*P84%,0),))),
ROUND(N84*P84%,0),
ROUND(SUM(AK84)*P84%,0)
))</f>
        <v>0</v>
      </c>
      <c r="AT84" s="385">
        <f t="shared" si="30"/>
        <v>0</v>
      </c>
      <c r="AU84" s="385" t="str">
        <f t="shared" si="31"/>
        <v/>
      </c>
      <c r="AV84" s="686"/>
      <c r="AW84" s="686"/>
      <c r="AX84" s="686"/>
      <c r="AY84" s="686"/>
      <c r="AZ84" s="686"/>
    </row>
    <row r="85" spans="3:52" s="46" customFormat="1" ht="30" hidden="1" customHeight="1" outlineLevel="1">
      <c r="C85" s="674">
        <v>70</v>
      </c>
      <c r="D85" s="687"/>
      <c r="E85" s="676"/>
      <c r="F85" s="677"/>
      <c r="G85" s="1899"/>
      <c r="H85" s="1900"/>
      <c r="I85" s="678"/>
      <c r="J85" s="679"/>
      <c r="K85" s="680"/>
      <c r="L85" s="681"/>
      <c r="M85" s="681"/>
      <c r="N85" s="681"/>
      <c r="O85" s="681"/>
      <c r="P85" s="1094"/>
      <c r="Q85" s="682"/>
      <c r="R85" s="683"/>
      <c r="S85" s="681"/>
      <c r="T85" s="668"/>
      <c r="U85" s="2"/>
      <c r="V85" s="1105"/>
      <c r="W85" s="669"/>
      <c r="X85" s="2"/>
      <c r="Y85" s="684">
        <f t="shared" si="33"/>
        <v>0</v>
      </c>
      <c r="Z85" s="670">
        <f t="shared" si="34"/>
        <v>0</v>
      </c>
      <c r="AA85" s="670">
        <f t="shared" si="35"/>
        <v>0</v>
      </c>
      <c r="AB85" s="684">
        <f>IF(Y85=0,,VLOOKUP(Y85,リスト!CX:CY,2,0))</f>
        <v>0</v>
      </c>
      <c r="AC85" s="684">
        <f t="shared" si="19"/>
        <v>0</v>
      </c>
      <c r="AD85" s="685">
        <f>IF(AC85=0,,VLOOKUP(AC85,リスト!DK:DL,2,0))</f>
        <v>0</v>
      </c>
      <c r="AE85" s="670">
        <f>IF(Y85=0,,
IF(OR(リスト!$C$21="小麦",リスト!$C$21="二条大麦",リスト!$C$21="六条大麦",リスト!$C$21="はだか麦",リスト!$C$21="なたね"),IF(K85&lt;9,調査年-J85,調査年-J85-1),
IF(リスト!$C$21="さとうきび",IF(K85&gt;=4,調査年-J85,調査年-J85+1),
調査年-J85)))</f>
        <v>0</v>
      </c>
      <c r="AF85" s="385">
        <f t="shared" si="20"/>
        <v>0</v>
      </c>
      <c r="AG85" s="385">
        <f t="shared" si="21"/>
        <v>0</v>
      </c>
      <c r="AH85" s="385">
        <f t="shared" si="22"/>
        <v>0</v>
      </c>
      <c r="AI85" s="385">
        <f t="shared" si="23"/>
        <v>0</v>
      </c>
      <c r="AJ85" s="385">
        <f t="shared" si="24"/>
        <v>0</v>
      </c>
      <c r="AK85" s="385">
        <f t="shared" si="32"/>
        <v>0</v>
      </c>
      <c r="AL85" s="385">
        <f t="shared" si="25"/>
        <v>0</v>
      </c>
      <c r="AM85" s="385">
        <f t="shared" si="26"/>
        <v>0</v>
      </c>
      <c r="AN85" s="394"/>
      <c r="AO85" s="672">
        <f>IF(OR(P85=0,AG85=0),,
IF(OR(リスト!$C$21="小麦",リスト!$C$21="二条大麦",リスト!$C$21="六条大麦",リスト!$C$21="はだか麦",リスト!$C$21="なたね"),IF(OR(AND(K85&lt;9,J85=調査年),AND(K85&gt;=9,J85=調査年-1)),,ROUND(AG85*P85%,0)),
IF(リスト!$C$21="さとうきび",IF(OR(AND(K85&gt;=4,J85=調査年),AND(K85&lt;4,J85=調査年+1)),,ROUND(AG85*P85%,0)),
IF(J85=調査年,,ROUND(AG85*P85%,0)))))</f>
        <v>0</v>
      </c>
      <c r="AP85" s="672">
        <f t="shared" si="27"/>
        <v>0</v>
      </c>
      <c r="AQ85" s="385">
        <f t="shared" si="28"/>
        <v>0</v>
      </c>
      <c r="AR85" s="672">
        <f t="shared" si="29"/>
        <v>0</v>
      </c>
      <c r="AS85" s="385">
        <f>IF(P85=0,,
SUM(
IF(OR(リスト!$C$21="小麦",リスト!$C$21="二条大麦",リスト!$C$21="六条大麦",リスト!$C$21="はだか麦",リスト!$C$21="なたね"),IF(OR(AND(Z85=1,K85&lt;9,J85=調査年),AND(Z85=1,K85&gt;=9,J85=調査年-1)),ROUND(L85*P85%,0),),
IF(リスト!$C$21="さとうきび",IF(OR(AND(Z85=1,K85&gt;=4,J85=調査年),AND(Z85=1,K85&lt;4,J85=調査年+1)),ROUND(L85*P85%,0),),
IF(AND(Z85=1,J85=調査年),ROUND(L85*P85%,0),))),
ROUND(N85*P85%,0),
ROUND(SUM(AK85)*P85%,0)
))</f>
        <v>0</v>
      </c>
      <c r="AT85" s="385">
        <f t="shared" si="30"/>
        <v>0</v>
      </c>
      <c r="AU85" s="385" t="str">
        <f t="shared" si="31"/>
        <v/>
      </c>
      <c r="AV85" s="686"/>
      <c r="AW85" s="686"/>
      <c r="AX85" s="686"/>
      <c r="AY85" s="686"/>
      <c r="AZ85" s="686"/>
    </row>
    <row r="86" spans="3:52" s="46" customFormat="1" ht="30" hidden="1" customHeight="1" outlineLevel="1">
      <c r="C86" s="674">
        <v>71</v>
      </c>
      <c r="D86" s="687"/>
      <c r="E86" s="676"/>
      <c r="F86" s="677"/>
      <c r="G86" s="1899"/>
      <c r="H86" s="1900"/>
      <c r="I86" s="678"/>
      <c r="J86" s="679"/>
      <c r="K86" s="680"/>
      <c r="L86" s="681"/>
      <c r="M86" s="681"/>
      <c r="N86" s="681"/>
      <c r="O86" s="681"/>
      <c r="P86" s="1094"/>
      <c r="Q86" s="682"/>
      <c r="R86" s="683"/>
      <c r="S86" s="681"/>
      <c r="T86" s="668"/>
      <c r="U86" s="2"/>
      <c r="V86" s="1105"/>
      <c r="W86" s="669"/>
      <c r="X86" s="2"/>
      <c r="Y86" s="684">
        <f t="shared" si="33"/>
        <v>0</v>
      </c>
      <c r="Z86" s="670">
        <f t="shared" si="34"/>
        <v>0</v>
      </c>
      <c r="AA86" s="670">
        <f t="shared" si="35"/>
        <v>0</v>
      </c>
      <c r="AB86" s="684">
        <f>IF(Y86=0,,VLOOKUP(Y86,リスト!CX:CY,2,0))</f>
        <v>0</v>
      </c>
      <c r="AC86" s="684">
        <f t="shared" si="19"/>
        <v>0</v>
      </c>
      <c r="AD86" s="685">
        <f>IF(AC86=0,,VLOOKUP(AC86,リスト!DK:DL,2,0))</f>
        <v>0</v>
      </c>
      <c r="AE86" s="670">
        <f>IF(Y86=0,,
IF(OR(リスト!$C$21="小麦",リスト!$C$21="二条大麦",リスト!$C$21="六条大麦",リスト!$C$21="はだか麦",リスト!$C$21="なたね"),IF(K86&lt;9,調査年-J86,調査年-J86-1),
IF(リスト!$C$21="さとうきび",IF(K86&gt;=4,調査年-J86,調査年-J86+1),
調査年-J86)))</f>
        <v>0</v>
      </c>
      <c r="AF86" s="385">
        <f t="shared" si="20"/>
        <v>0</v>
      </c>
      <c r="AG86" s="385">
        <f t="shared" si="21"/>
        <v>0</v>
      </c>
      <c r="AH86" s="385">
        <f t="shared" si="22"/>
        <v>0</v>
      </c>
      <c r="AI86" s="385">
        <f t="shared" si="23"/>
        <v>0</v>
      </c>
      <c r="AJ86" s="385">
        <f t="shared" si="24"/>
        <v>0</v>
      </c>
      <c r="AK86" s="385">
        <f t="shared" si="32"/>
        <v>0</v>
      </c>
      <c r="AL86" s="385">
        <f t="shared" si="25"/>
        <v>0</v>
      </c>
      <c r="AM86" s="385">
        <f t="shared" si="26"/>
        <v>0</v>
      </c>
      <c r="AN86" s="394"/>
      <c r="AO86" s="672">
        <f>IF(OR(P86=0,AG86=0),,
IF(OR(リスト!$C$21="小麦",リスト!$C$21="二条大麦",リスト!$C$21="六条大麦",リスト!$C$21="はだか麦",リスト!$C$21="なたね"),IF(OR(AND(K86&lt;9,J86=調査年),AND(K86&gt;=9,J86=調査年-1)),,ROUND(AG86*P86%,0)),
IF(リスト!$C$21="さとうきび",IF(OR(AND(K86&gt;=4,J86=調査年),AND(K86&lt;4,J86=調査年+1)),,ROUND(AG86*P86%,0)),
IF(J86=調査年,,ROUND(AG86*P86%,0)))))</f>
        <v>0</v>
      </c>
      <c r="AP86" s="672">
        <f t="shared" si="27"/>
        <v>0</v>
      </c>
      <c r="AQ86" s="385">
        <f t="shared" si="28"/>
        <v>0</v>
      </c>
      <c r="AR86" s="672">
        <f t="shared" si="29"/>
        <v>0</v>
      </c>
      <c r="AS86" s="385">
        <f>IF(P86=0,,
SUM(
IF(OR(リスト!$C$21="小麦",リスト!$C$21="二条大麦",リスト!$C$21="六条大麦",リスト!$C$21="はだか麦",リスト!$C$21="なたね"),IF(OR(AND(Z86=1,K86&lt;9,J86=調査年),AND(Z86=1,K86&gt;=9,J86=調査年-1)),ROUND(L86*P86%,0),),
IF(リスト!$C$21="さとうきび",IF(OR(AND(Z86=1,K86&gt;=4,J86=調査年),AND(Z86=1,K86&lt;4,J86=調査年+1)),ROUND(L86*P86%,0),),
IF(AND(Z86=1,J86=調査年),ROUND(L86*P86%,0),))),
ROUND(N86*P86%,0),
ROUND(SUM(AK86)*P86%,0)
))</f>
        <v>0</v>
      </c>
      <c r="AT86" s="385">
        <f t="shared" si="30"/>
        <v>0</v>
      </c>
      <c r="AU86" s="385" t="str">
        <f t="shared" si="31"/>
        <v/>
      </c>
      <c r="AV86" s="686"/>
      <c r="AW86" s="686"/>
      <c r="AX86" s="686"/>
      <c r="AY86" s="686"/>
      <c r="AZ86" s="686"/>
    </row>
    <row r="87" spans="3:52" s="46" customFormat="1" ht="30" hidden="1" customHeight="1" outlineLevel="1">
      <c r="C87" s="674">
        <v>72</v>
      </c>
      <c r="D87" s="687"/>
      <c r="E87" s="676"/>
      <c r="F87" s="677"/>
      <c r="G87" s="1899"/>
      <c r="H87" s="1900"/>
      <c r="I87" s="678"/>
      <c r="J87" s="679"/>
      <c r="K87" s="680"/>
      <c r="L87" s="681"/>
      <c r="M87" s="681"/>
      <c r="N87" s="681"/>
      <c r="O87" s="681"/>
      <c r="P87" s="1094"/>
      <c r="Q87" s="682"/>
      <c r="R87" s="683"/>
      <c r="S87" s="681"/>
      <c r="T87" s="668"/>
      <c r="U87" s="2"/>
      <c r="V87" s="1105"/>
      <c r="W87" s="669"/>
      <c r="X87" s="2"/>
      <c r="Y87" s="684">
        <f t="shared" si="33"/>
        <v>0</v>
      </c>
      <c r="Z87" s="670">
        <f t="shared" si="34"/>
        <v>0</v>
      </c>
      <c r="AA87" s="670">
        <f t="shared" si="35"/>
        <v>0</v>
      </c>
      <c r="AB87" s="684">
        <f>IF(Y87=0,,VLOOKUP(Y87,リスト!CX:CY,2,0))</f>
        <v>0</v>
      </c>
      <c r="AC87" s="684">
        <f t="shared" si="19"/>
        <v>0</v>
      </c>
      <c r="AD87" s="685">
        <f>IF(AC87=0,,VLOOKUP(AC87,リスト!DK:DL,2,0))</f>
        <v>0</v>
      </c>
      <c r="AE87" s="670">
        <f>IF(Y87=0,,
IF(OR(リスト!$C$21="小麦",リスト!$C$21="二条大麦",リスト!$C$21="六条大麦",リスト!$C$21="はだか麦",リスト!$C$21="なたね"),IF(K87&lt;9,調査年-J87,調査年-J87-1),
IF(リスト!$C$21="さとうきび",IF(K87&gt;=4,調査年-J87,調査年-J87+1),
調査年-J87)))</f>
        <v>0</v>
      </c>
      <c r="AF87" s="385">
        <f t="shared" si="20"/>
        <v>0</v>
      </c>
      <c r="AG87" s="385">
        <f t="shared" si="21"/>
        <v>0</v>
      </c>
      <c r="AH87" s="385">
        <f t="shared" si="22"/>
        <v>0</v>
      </c>
      <c r="AI87" s="385">
        <f t="shared" si="23"/>
        <v>0</v>
      </c>
      <c r="AJ87" s="385">
        <f t="shared" si="24"/>
        <v>0</v>
      </c>
      <c r="AK87" s="385">
        <f t="shared" si="32"/>
        <v>0</v>
      </c>
      <c r="AL87" s="385">
        <f t="shared" si="25"/>
        <v>0</v>
      </c>
      <c r="AM87" s="385">
        <f t="shared" si="26"/>
        <v>0</v>
      </c>
      <c r="AN87" s="394"/>
      <c r="AO87" s="672">
        <f>IF(OR(P87=0,AG87=0),,
IF(OR(リスト!$C$21="小麦",リスト!$C$21="二条大麦",リスト!$C$21="六条大麦",リスト!$C$21="はだか麦",リスト!$C$21="なたね"),IF(OR(AND(K87&lt;9,J87=調査年),AND(K87&gt;=9,J87=調査年-1)),,ROUND(AG87*P87%,0)),
IF(リスト!$C$21="さとうきび",IF(OR(AND(K87&gt;=4,J87=調査年),AND(K87&lt;4,J87=調査年+1)),,ROUND(AG87*P87%,0)),
IF(J87=調査年,,ROUND(AG87*P87%,0)))))</f>
        <v>0</v>
      </c>
      <c r="AP87" s="672">
        <f t="shared" si="27"/>
        <v>0</v>
      </c>
      <c r="AQ87" s="385">
        <f t="shared" si="28"/>
        <v>0</v>
      </c>
      <c r="AR87" s="672">
        <f t="shared" si="29"/>
        <v>0</v>
      </c>
      <c r="AS87" s="385">
        <f>IF(P87=0,,
SUM(
IF(OR(リスト!$C$21="小麦",リスト!$C$21="二条大麦",リスト!$C$21="六条大麦",リスト!$C$21="はだか麦",リスト!$C$21="なたね"),IF(OR(AND(Z87=1,K87&lt;9,J87=調査年),AND(Z87=1,K87&gt;=9,J87=調査年-1)),ROUND(L87*P87%,0),),
IF(リスト!$C$21="さとうきび",IF(OR(AND(Z87=1,K87&gt;=4,J87=調査年),AND(Z87=1,K87&lt;4,J87=調査年+1)),ROUND(L87*P87%,0),),
IF(AND(Z87=1,J87=調査年),ROUND(L87*P87%,0),))),
ROUND(N87*P87%,0),
ROUND(SUM(AK87)*P87%,0)
))</f>
        <v>0</v>
      </c>
      <c r="AT87" s="385">
        <f t="shared" si="30"/>
        <v>0</v>
      </c>
      <c r="AU87" s="385" t="str">
        <f t="shared" si="31"/>
        <v/>
      </c>
      <c r="AV87" s="686"/>
      <c r="AW87" s="686"/>
      <c r="AX87" s="686"/>
      <c r="AY87" s="686"/>
      <c r="AZ87" s="686"/>
    </row>
    <row r="88" spans="3:52" s="46" customFormat="1" ht="30" hidden="1" customHeight="1" outlineLevel="1">
      <c r="C88" s="674">
        <v>73</v>
      </c>
      <c r="D88" s="687"/>
      <c r="E88" s="676"/>
      <c r="F88" s="677"/>
      <c r="G88" s="1899"/>
      <c r="H88" s="1900"/>
      <c r="I88" s="678"/>
      <c r="J88" s="679"/>
      <c r="K88" s="680"/>
      <c r="L88" s="681"/>
      <c r="M88" s="681"/>
      <c r="N88" s="681"/>
      <c r="O88" s="681"/>
      <c r="P88" s="1094"/>
      <c r="Q88" s="682"/>
      <c r="R88" s="683"/>
      <c r="S88" s="681"/>
      <c r="T88" s="668"/>
      <c r="U88" s="2"/>
      <c r="V88" s="1105"/>
      <c r="W88" s="669"/>
      <c r="X88" s="2"/>
      <c r="Y88" s="684">
        <f t="shared" si="33"/>
        <v>0</v>
      </c>
      <c r="Z88" s="670">
        <f t="shared" si="34"/>
        <v>0</v>
      </c>
      <c r="AA88" s="670">
        <f t="shared" si="35"/>
        <v>0</v>
      </c>
      <c r="AB88" s="684">
        <f>IF(Y88=0,,VLOOKUP(Y88,リスト!CX:CY,2,0))</f>
        <v>0</v>
      </c>
      <c r="AC88" s="684">
        <f t="shared" si="19"/>
        <v>0</v>
      </c>
      <c r="AD88" s="685">
        <f>IF(AC88=0,,VLOOKUP(AC88,リスト!DK:DL,2,0))</f>
        <v>0</v>
      </c>
      <c r="AE88" s="670">
        <f>IF(Y88=0,,
IF(OR(リスト!$C$21="小麦",リスト!$C$21="二条大麦",リスト!$C$21="六条大麦",リスト!$C$21="はだか麦",リスト!$C$21="なたね"),IF(K88&lt;9,調査年-J88,調査年-J88-1),
IF(リスト!$C$21="さとうきび",IF(K88&gt;=4,調査年-J88,調査年-J88+1),
調査年-J88)))</f>
        <v>0</v>
      </c>
      <c r="AF88" s="385">
        <f t="shared" si="20"/>
        <v>0</v>
      </c>
      <c r="AG88" s="385">
        <f t="shared" si="21"/>
        <v>0</v>
      </c>
      <c r="AH88" s="385">
        <f t="shared" si="22"/>
        <v>0</v>
      </c>
      <c r="AI88" s="385">
        <f t="shared" si="23"/>
        <v>0</v>
      </c>
      <c r="AJ88" s="385">
        <f t="shared" si="24"/>
        <v>0</v>
      </c>
      <c r="AK88" s="385">
        <f t="shared" si="32"/>
        <v>0</v>
      </c>
      <c r="AL88" s="385">
        <f t="shared" si="25"/>
        <v>0</v>
      </c>
      <c r="AM88" s="385">
        <f t="shared" si="26"/>
        <v>0</v>
      </c>
      <c r="AN88" s="394"/>
      <c r="AO88" s="672">
        <f>IF(OR(P88=0,AG88=0),,
IF(OR(リスト!$C$21="小麦",リスト!$C$21="二条大麦",リスト!$C$21="六条大麦",リスト!$C$21="はだか麦",リスト!$C$21="なたね"),IF(OR(AND(K88&lt;9,J88=調査年),AND(K88&gt;=9,J88=調査年-1)),,ROUND(AG88*P88%,0)),
IF(リスト!$C$21="さとうきび",IF(OR(AND(K88&gt;=4,J88=調査年),AND(K88&lt;4,J88=調査年+1)),,ROUND(AG88*P88%,0)),
IF(J88=調査年,,ROUND(AG88*P88%,0)))))</f>
        <v>0</v>
      </c>
      <c r="AP88" s="672">
        <f t="shared" si="27"/>
        <v>0</v>
      </c>
      <c r="AQ88" s="385">
        <f t="shared" si="28"/>
        <v>0</v>
      </c>
      <c r="AR88" s="672">
        <f t="shared" si="29"/>
        <v>0</v>
      </c>
      <c r="AS88" s="385">
        <f>IF(P88=0,,
SUM(
IF(OR(リスト!$C$21="小麦",リスト!$C$21="二条大麦",リスト!$C$21="六条大麦",リスト!$C$21="はだか麦",リスト!$C$21="なたね"),IF(OR(AND(Z88=1,K88&lt;9,J88=調査年),AND(Z88=1,K88&gt;=9,J88=調査年-1)),ROUND(L88*P88%,0),),
IF(リスト!$C$21="さとうきび",IF(OR(AND(Z88=1,K88&gt;=4,J88=調査年),AND(Z88=1,K88&lt;4,J88=調査年+1)),ROUND(L88*P88%,0),),
IF(AND(Z88=1,J88=調査年),ROUND(L88*P88%,0),))),
ROUND(N88*P88%,0),
ROUND(SUM(AK88)*P88%,0)
))</f>
        <v>0</v>
      </c>
      <c r="AT88" s="385">
        <f t="shared" si="30"/>
        <v>0</v>
      </c>
      <c r="AU88" s="385" t="str">
        <f t="shared" si="31"/>
        <v/>
      </c>
      <c r="AV88" s="686"/>
      <c r="AW88" s="686"/>
      <c r="AX88" s="686"/>
      <c r="AY88" s="686"/>
      <c r="AZ88" s="686"/>
    </row>
    <row r="89" spans="3:52" s="46" customFormat="1" ht="30" hidden="1" customHeight="1" outlineLevel="1">
      <c r="C89" s="674">
        <v>74</v>
      </c>
      <c r="D89" s="687"/>
      <c r="E89" s="676"/>
      <c r="F89" s="677"/>
      <c r="G89" s="1899"/>
      <c r="H89" s="1900"/>
      <c r="I89" s="678"/>
      <c r="J89" s="679"/>
      <c r="K89" s="680"/>
      <c r="L89" s="681"/>
      <c r="M89" s="681"/>
      <c r="N89" s="681"/>
      <c r="O89" s="681"/>
      <c r="P89" s="1094"/>
      <c r="Q89" s="682"/>
      <c r="R89" s="683"/>
      <c r="S89" s="681"/>
      <c r="T89" s="668"/>
      <c r="U89" s="2"/>
      <c r="V89" s="1105"/>
      <c r="W89" s="669"/>
      <c r="X89" s="2"/>
      <c r="Y89" s="684">
        <f t="shared" si="33"/>
        <v>0</v>
      </c>
      <c r="Z89" s="670">
        <f t="shared" si="34"/>
        <v>0</v>
      </c>
      <c r="AA89" s="670">
        <f t="shared" si="35"/>
        <v>0</v>
      </c>
      <c r="AB89" s="684">
        <f>IF(Y89=0,,VLOOKUP(Y89,リスト!CX:CY,2,0))</f>
        <v>0</v>
      </c>
      <c r="AC89" s="684">
        <f t="shared" si="19"/>
        <v>0</v>
      </c>
      <c r="AD89" s="685">
        <f>IF(AC89=0,,VLOOKUP(AC89,リスト!DK:DL,2,0))</f>
        <v>0</v>
      </c>
      <c r="AE89" s="670">
        <f>IF(Y89=0,,
IF(OR(リスト!$C$21="小麦",リスト!$C$21="二条大麦",リスト!$C$21="六条大麦",リスト!$C$21="はだか麦",リスト!$C$21="なたね"),IF(K89&lt;9,調査年-J89,調査年-J89-1),
IF(リスト!$C$21="さとうきび",IF(K89&gt;=4,調査年-J89,調査年-J89+1),
調査年-J89)))</f>
        <v>0</v>
      </c>
      <c r="AF89" s="385">
        <f t="shared" si="20"/>
        <v>0</v>
      </c>
      <c r="AG89" s="385">
        <f t="shared" si="21"/>
        <v>0</v>
      </c>
      <c r="AH89" s="385">
        <f t="shared" si="22"/>
        <v>0</v>
      </c>
      <c r="AI89" s="385">
        <f t="shared" si="23"/>
        <v>0</v>
      </c>
      <c r="AJ89" s="385">
        <f t="shared" si="24"/>
        <v>0</v>
      </c>
      <c r="AK89" s="385">
        <f t="shared" si="32"/>
        <v>0</v>
      </c>
      <c r="AL89" s="385">
        <f t="shared" si="25"/>
        <v>0</v>
      </c>
      <c r="AM89" s="385">
        <f t="shared" si="26"/>
        <v>0</v>
      </c>
      <c r="AN89" s="394"/>
      <c r="AO89" s="672">
        <f>IF(OR(P89=0,AG89=0),,
IF(OR(リスト!$C$21="小麦",リスト!$C$21="二条大麦",リスト!$C$21="六条大麦",リスト!$C$21="はだか麦",リスト!$C$21="なたね"),IF(OR(AND(K89&lt;9,J89=調査年),AND(K89&gt;=9,J89=調査年-1)),,ROUND(AG89*P89%,0)),
IF(リスト!$C$21="さとうきび",IF(OR(AND(K89&gt;=4,J89=調査年),AND(K89&lt;4,J89=調査年+1)),,ROUND(AG89*P89%,0)),
IF(J89=調査年,,ROUND(AG89*P89%,0)))))</f>
        <v>0</v>
      </c>
      <c r="AP89" s="672">
        <f t="shared" si="27"/>
        <v>0</v>
      </c>
      <c r="AQ89" s="385">
        <f t="shared" si="28"/>
        <v>0</v>
      </c>
      <c r="AR89" s="672">
        <f t="shared" si="29"/>
        <v>0</v>
      </c>
      <c r="AS89" s="385">
        <f>IF(P89=0,,
SUM(
IF(OR(リスト!$C$21="小麦",リスト!$C$21="二条大麦",リスト!$C$21="六条大麦",リスト!$C$21="はだか麦",リスト!$C$21="なたね"),IF(OR(AND(Z89=1,K89&lt;9,J89=調査年),AND(Z89=1,K89&gt;=9,J89=調査年-1)),ROUND(L89*P89%,0),),
IF(リスト!$C$21="さとうきび",IF(OR(AND(Z89=1,K89&gt;=4,J89=調査年),AND(Z89=1,K89&lt;4,J89=調査年+1)),ROUND(L89*P89%,0),),
IF(AND(Z89=1,J89=調査年),ROUND(L89*P89%,0),))),
ROUND(N89*P89%,0),
ROUND(SUM(AK89)*P89%,0)
))</f>
        <v>0</v>
      </c>
      <c r="AT89" s="385">
        <f t="shared" si="30"/>
        <v>0</v>
      </c>
      <c r="AU89" s="385" t="str">
        <f t="shared" si="31"/>
        <v/>
      </c>
      <c r="AV89" s="686"/>
      <c r="AW89" s="686"/>
      <c r="AX89" s="686"/>
      <c r="AY89" s="686"/>
      <c r="AZ89" s="686"/>
    </row>
    <row r="90" spans="3:52" s="46" customFormat="1" ht="30" hidden="1" customHeight="1" outlineLevel="1">
      <c r="C90" s="674">
        <v>75</v>
      </c>
      <c r="D90" s="687"/>
      <c r="E90" s="676"/>
      <c r="F90" s="677"/>
      <c r="G90" s="1899"/>
      <c r="H90" s="1900"/>
      <c r="I90" s="678"/>
      <c r="J90" s="679"/>
      <c r="K90" s="680"/>
      <c r="L90" s="681"/>
      <c r="M90" s="681"/>
      <c r="N90" s="681"/>
      <c r="O90" s="681"/>
      <c r="P90" s="1094"/>
      <c r="Q90" s="682"/>
      <c r="R90" s="683"/>
      <c r="S90" s="681"/>
      <c r="T90" s="668"/>
      <c r="U90" s="2"/>
      <c r="V90" s="1105"/>
      <c r="W90" s="669"/>
      <c r="X90" s="2"/>
      <c r="Y90" s="684">
        <f t="shared" si="33"/>
        <v>0</v>
      </c>
      <c r="Z90" s="670">
        <f t="shared" si="34"/>
        <v>0</v>
      </c>
      <c r="AA90" s="670">
        <f t="shared" si="35"/>
        <v>0</v>
      </c>
      <c r="AB90" s="684">
        <f>IF(Y90=0,,VLOOKUP(Y90,リスト!CX:CY,2,0))</f>
        <v>0</v>
      </c>
      <c r="AC90" s="684">
        <f t="shared" si="19"/>
        <v>0</v>
      </c>
      <c r="AD90" s="685">
        <f>IF(AC90=0,,VLOOKUP(AC90,リスト!DK:DL,2,0))</f>
        <v>0</v>
      </c>
      <c r="AE90" s="670">
        <f>IF(Y90=0,,
IF(OR(リスト!$C$21="小麦",リスト!$C$21="二条大麦",リスト!$C$21="六条大麦",リスト!$C$21="はだか麦",リスト!$C$21="なたね"),IF(K90&lt;9,調査年-J90,調査年-J90-1),
IF(リスト!$C$21="さとうきび",IF(K90&gt;=4,調査年-J90,調査年-J90+1),
調査年-J90)))</f>
        <v>0</v>
      </c>
      <c r="AF90" s="385">
        <f t="shared" si="20"/>
        <v>0</v>
      </c>
      <c r="AG90" s="385">
        <f t="shared" si="21"/>
        <v>0</v>
      </c>
      <c r="AH90" s="385">
        <f t="shared" si="22"/>
        <v>0</v>
      </c>
      <c r="AI90" s="385">
        <f t="shared" si="23"/>
        <v>0</v>
      </c>
      <c r="AJ90" s="385">
        <f t="shared" si="24"/>
        <v>0</v>
      </c>
      <c r="AK90" s="385">
        <f t="shared" si="32"/>
        <v>0</v>
      </c>
      <c r="AL90" s="385">
        <f t="shared" si="25"/>
        <v>0</v>
      </c>
      <c r="AM90" s="385">
        <f t="shared" si="26"/>
        <v>0</v>
      </c>
      <c r="AN90" s="394"/>
      <c r="AO90" s="672">
        <f>IF(OR(P90=0,AG90=0),,
IF(OR(リスト!$C$21="小麦",リスト!$C$21="二条大麦",リスト!$C$21="六条大麦",リスト!$C$21="はだか麦",リスト!$C$21="なたね"),IF(OR(AND(K90&lt;9,J90=調査年),AND(K90&gt;=9,J90=調査年-1)),,ROUND(AG90*P90%,0)),
IF(リスト!$C$21="さとうきび",IF(OR(AND(K90&gt;=4,J90=調査年),AND(K90&lt;4,J90=調査年+1)),,ROUND(AG90*P90%,0)),
IF(J90=調査年,,ROUND(AG90*P90%,0)))))</f>
        <v>0</v>
      </c>
      <c r="AP90" s="672">
        <f t="shared" si="27"/>
        <v>0</v>
      </c>
      <c r="AQ90" s="385">
        <f t="shared" si="28"/>
        <v>0</v>
      </c>
      <c r="AR90" s="672">
        <f t="shared" si="29"/>
        <v>0</v>
      </c>
      <c r="AS90" s="385">
        <f>IF(P90=0,,
SUM(
IF(OR(リスト!$C$21="小麦",リスト!$C$21="二条大麦",リスト!$C$21="六条大麦",リスト!$C$21="はだか麦",リスト!$C$21="なたね"),IF(OR(AND(Z90=1,K90&lt;9,J90=調査年),AND(Z90=1,K90&gt;=9,J90=調査年-1)),ROUND(L90*P90%,0),),
IF(リスト!$C$21="さとうきび",IF(OR(AND(Z90=1,K90&gt;=4,J90=調査年),AND(Z90=1,K90&lt;4,J90=調査年+1)),ROUND(L90*P90%,0),),
IF(AND(Z90=1,J90=調査年),ROUND(L90*P90%,0),))),
ROUND(N90*P90%,0),
ROUND(SUM(AK90)*P90%,0)
))</f>
        <v>0</v>
      </c>
      <c r="AT90" s="385">
        <f t="shared" si="30"/>
        <v>0</v>
      </c>
      <c r="AU90" s="385" t="str">
        <f t="shared" si="31"/>
        <v/>
      </c>
      <c r="AV90" s="686"/>
      <c r="AW90" s="686"/>
      <c r="AX90" s="686"/>
      <c r="AY90" s="686"/>
      <c r="AZ90" s="686"/>
    </row>
    <row r="91" spans="3:52" s="46" customFormat="1" ht="30" hidden="1" customHeight="1" outlineLevel="1">
      <c r="C91" s="674">
        <v>76</v>
      </c>
      <c r="D91" s="687"/>
      <c r="E91" s="676"/>
      <c r="F91" s="677"/>
      <c r="G91" s="1899"/>
      <c r="H91" s="1900"/>
      <c r="I91" s="678"/>
      <c r="J91" s="679"/>
      <c r="K91" s="680"/>
      <c r="L91" s="681"/>
      <c r="M91" s="681"/>
      <c r="N91" s="681"/>
      <c r="O91" s="681"/>
      <c r="P91" s="1094"/>
      <c r="Q91" s="682"/>
      <c r="R91" s="683"/>
      <c r="S91" s="681"/>
      <c r="T91" s="668"/>
      <c r="U91" s="2"/>
      <c r="V91" s="1105"/>
      <c r="W91" s="669"/>
      <c r="X91" s="2"/>
      <c r="Y91" s="684">
        <f t="shared" si="33"/>
        <v>0</v>
      </c>
      <c r="Z91" s="670">
        <f t="shared" si="34"/>
        <v>0</v>
      </c>
      <c r="AA91" s="670">
        <f t="shared" si="35"/>
        <v>0</v>
      </c>
      <c r="AB91" s="684">
        <f>IF(Y91=0,,VLOOKUP(Y91,リスト!CX:CY,2,0))</f>
        <v>0</v>
      </c>
      <c r="AC91" s="684">
        <f t="shared" si="19"/>
        <v>0</v>
      </c>
      <c r="AD91" s="685">
        <f>IF(AC91=0,,VLOOKUP(AC91,リスト!DK:DL,2,0))</f>
        <v>0</v>
      </c>
      <c r="AE91" s="670">
        <f>IF(Y91=0,,
IF(OR(リスト!$C$21="小麦",リスト!$C$21="二条大麦",リスト!$C$21="六条大麦",リスト!$C$21="はだか麦",リスト!$C$21="なたね"),IF(K91&lt;9,調査年-J91,調査年-J91-1),
IF(リスト!$C$21="さとうきび",IF(K91&gt;=4,調査年-J91,調査年-J91+1),
調査年-J91)))</f>
        <v>0</v>
      </c>
      <c r="AF91" s="385">
        <f t="shared" si="20"/>
        <v>0</v>
      </c>
      <c r="AG91" s="385">
        <f t="shared" si="21"/>
        <v>0</v>
      </c>
      <c r="AH91" s="385">
        <f t="shared" si="22"/>
        <v>0</v>
      </c>
      <c r="AI91" s="385">
        <f t="shared" si="23"/>
        <v>0</v>
      </c>
      <c r="AJ91" s="385">
        <f t="shared" si="24"/>
        <v>0</v>
      </c>
      <c r="AK91" s="385">
        <f t="shared" si="32"/>
        <v>0</v>
      </c>
      <c r="AL91" s="385">
        <f t="shared" si="25"/>
        <v>0</v>
      </c>
      <c r="AM91" s="385">
        <f t="shared" si="26"/>
        <v>0</v>
      </c>
      <c r="AN91" s="394"/>
      <c r="AO91" s="672">
        <f>IF(OR(P91=0,AG91=0),,
IF(OR(リスト!$C$21="小麦",リスト!$C$21="二条大麦",リスト!$C$21="六条大麦",リスト!$C$21="はだか麦",リスト!$C$21="なたね"),IF(OR(AND(K91&lt;9,J91=調査年),AND(K91&gt;=9,J91=調査年-1)),,ROUND(AG91*P91%,0)),
IF(リスト!$C$21="さとうきび",IF(OR(AND(K91&gt;=4,J91=調査年),AND(K91&lt;4,J91=調査年+1)),,ROUND(AG91*P91%,0)),
IF(J91=調査年,,ROUND(AG91*P91%,0)))))</f>
        <v>0</v>
      </c>
      <c r="AP91" s="672">
        <f t="shared" si="27"/>
        <v>0</v>
      </c>
      <c r="AQ91" s="385">
        <f t="shared" si="28"/>
        <v>0</v>
      </c>
      <c r="AR91" s="672">
        <f t="shared" si="29"/>
        <v>0</v>
      </c>
      <c r="AS91" s="385">
        <f>IF(P91=0,,
SUM(
IF(OR(リスト!$C$21="小麦",リスト!$C$21="二条大麦",リスト!$C$21="六条大麦",リスト!$C$21="はだか麦",リスト!$C$21="なたね"),IF(OR(AND(Z91=1,K91&lt;9,J91=調査年),AND(Z91=1,K91&gt;=9,J91=調査年-1)),ROUND(L91*P91%,0),),
IF(リスト!$C$21="さとうきび",IF(OR(AND(Z91=1,K91&gt;=4,J91=調査年),AND(Z91=1,K91&lt;4,J91=調査年+1)),ROUND(L91*P91%,0),),
IF(AND(Z91=1,J91=調査年),ROUND(L91*P91%,0),))),
ROUND(N91*P91%,0),
ROUND(SUM(AK91)*P91%,0)
))</f>
        <v>0</v>
      </c>
      <c r="AT91" s="385">
        <f t="shared" si="30"/>
        <v>0</v>
      </c>
      <c r="AU91" s="385" t="str">
        <f t="shared" si="31"/>
        <v/>
      </c>
      <c r="AV91" s="686"/>
      <c r="AW91" s="686"/>
      <c r="AX91" s="686"/>
      <c r="AY91" s="686"/>
      <c r="AZ91" s="686"/>
    </row>
    <row r="92" spans="3:52" s="46" customFormat="1" ht="30" hidden="1" customHeight="1" outlineLevel="1">
      <c r="C92" s="674">
        <v>77</v>
      </c>
      <c r="D92" s="687"/>
      <c r="E92" s="676"/>
      <c r="F92" s="677"/>
      <c r="G92" s="1899"/>
      <c r="H92" s="1900"/>
      <c r="I92" s="678"/>
      <c r="J92" s="679"/>
      <c r="K92" s="680"/>
      <c r="L92" s="681"/>
      <c r="M92" s="681"/>
      <c r="N92" s="681"/>
      <c r="O92" s="681"/>
      <c r="P92" s="1094"/>
      <c r="Q92" s="682"/>
      <c r="R92" s="683"/>
      <c r="S92" s="681"/>
      <c r="T92" s="668"/>
      <c r="U92" s="2"/>
      <c r="V92" s="1105"/>
      <c r="W92" s="669"/>
      <c r="X92" s="2"/>
      <c r="Y92" s="684">
        <f t="shared" si="33"/>
        <v>0</v>
      </c>
      <c r="Z92" s="670">
        <f t="shared" si="34"/>
        <v>0</v>
      </c>
      <c r="AA92" s="670">
        <f t="shared" si="35"/>
        <v>0</v>
      </c>
      <c r="AB92" s="684">
        <f>IF(Y92=0,,VLOOKUP(Y92,リスト!CX:CY,2,0))</f>
        <v>0</v>
      </c>
      <c r="AC92" s="684">
        <f t="shared" si="19"/>
        <v>0</v>
      </c>
      <c r="AD92" s="685">
        <f>IF(AC92=0,,VLOOKUP(AC92,リスト!DK:DL,2,0))</f>
        <v>0</v>
      </c>
      <c r="AE92" s="670">
        <f>IF(Y92=0,,
IF(OR(リスト!$C$21="小麦",リスト!$C$21="二条大麦",リスト!$C$21="六条大麦",リスト!$C$21="はだか麦",リスト!$C$21="なたね"),IF(K92&lt;9,調査年-J92,調査年-J92-1),
IF(リスト!$C$21="さとうきび",IF(K92&gt;=4,調査年-J92,調査年-J92+1),
調査年-J92)))</f>
        <v>0</v>
      </c>
      <c r="AF92" s="385">
        <f t="shared" si="20"/>
        <v>0</v>
      </c>
      <c r="AG92" s="385">
        <f t="shared" si="21"/>
        <v>0</v>
      </c>
      <c r="AH92" s="385">
        <f t="shared" si="22"/>
        <v>0</v>
      </c>
      <c r="AI92" s="385">
        <f t="shared" si="23"/>
        <v>0</v>
      </c>
      <c r="AJ92" s="385">
        <f t="shared" si="24"/>
        <v>0</v>
      </c>
      <c r="AK92" s="385">
        <f t="shared" si="32"/>
        <v>0</v>
      </c>
      <c r="AL92" s="385">
        <f t="shared" si="25"/>
        <v>0</v>
      </c>
      <c r="AM92" s="385">
        <f t="shared" si="26"/>
        <v>0</v>
      </c>
      <c r="AN92" s="394"/>
      <c r="AO92" s="672">
        <f>IF(OR(P92=0,AG92=0),,
IF(OR(リスト!$C$21="小麦",リスト!$C$21="二条大麦",リスト!$C$21="六条大麦",リスト!$C$21="はだか麦",リスト!$C$21="なたね"),IF(OR(AND(K92&lt;9,J92=調査年),AND(K92&gt;=9,J92=調査年-1)),,ROUND(AG92*P92%,0)),
IF(リスト!$C$21="さとうきび",IF(OR(AND(K92&gt;=4,J92=調査年),AND(K92&lt;4,J92=調査年+1)),,ROUND(AG92*P92%,0)),
IF(J92=調査年,,ROUND(AG92*P92%,0)))))</f>
        <v>0</v>
      </c>
      <c r="AP92" s="672">
        <f t="shared" si="27"/>
        <v>0</v>
      </c>
      <c r="AQ92" s="385">
        <f t="shared" si="28"/>
        <v>0</v>
      </c>
      <c r="AR92" s="672">
        <f t="shared" si="29"/>
        <v>0</v>
      </c>
      <c r="AS92" s="385">
        <f>IF(P92=0,,
SUM(
IF(OR(リスト!$C$21="小麦",リスト!$C$21="二条大麦",リスト!$C$21="六条大麦",リスト!$C$21="はだか麦",リスト!$C$21="なたね"),IF(OR(AND(Z92=1,K92&lt;9,J92=調査年),AND(Z92=1,K92&gt;=9,J92=調査年-1)),ROUND(L92*P92%,0),),
IF(リスト!$C$21="さとうきび",IF(OR(AND(Z92=1,K92&gt;=4,J92=調査年),AND(Z92=1,K92&lt;4,J92=調査年+1)),ROUND(L92*P92%,0),),
IF(AND(Z92=1,J92=調査年),ROUND(L92*P92%,0),))),
ROUND(N92*P92%,0),
ROUND(SUM(AK92)*P92%,0)
))</f>
        <v>0</v>
      </c>
      <c r="AT92" s="385">
        <f t="shared" si="30"/>
        <v>0</v>
      </c>
      <c r="AU92" s="385" t="str">
        <f t="shared" si="31"/>
        <v/>
      </c>
      <c r="AV92" s="686"/>
      <c r="AW92" s="686"/>
      <c r="AX92" s="686"/>
      <c r="AY92" s="686"/>
      <c r="AZ92" s="686"/>
    </row>
    <row r="93" spans="3:52" s="46" customFormat="1" ht="30" hidden="1" customHeight="1" outlineLevel="1">
      <c r="C93" s="674">
        <v>78</v>
      </c>
      <c r="D93" s="687"/>
      <c r="E93" s="676"/>
      <c r="F93" s="677"/>
      <c r="G93" s="1899"/>
      <c r="H93" s="1900"/>
      <c r="I93" s="678"/>
      <c r="J93" s="679"/>
      <c r="K93" s="680"/>
      <c r="L93" s="681"/>
      <c r="M93" s="681"/>
      <c r="N93" s="681"/>
      <c r="O93" s="681"/>
      <c r="P93" s="1094"/>
      <c r="Q93" s="682"/>
      <c r="R93" s="683"/>
      <c r="S93" s="681"/>
      <c r="T93" s="668"/>
      <c r="U93" s="2"/>
      <c r="V93" s="1105"/>
      <c r="W93" s="669"/>
      <c r="X93" s="2"/>
      <c r="Y93" s="684">
        <f t="shared" si="33"/>
        <v>0</v>
      </c>
      <c r="Z93" s="670">
        <f t="shared" si="34"/>
        <v>0</v>
      </c>
      <c r="AA93" s="670">
        <f t="shared" si="35"/>
        <v>0</v>
      </c>
      <c r="AB93" s="684">
        <f>IF(Y93=0,,VLOOKUP(Y93,リスト!CX:CY,2,0))</f>
        <v>0</v>
      </c>
      <c r="AC93" s="684">
        <f t="shared" si="19"/>
        <v>0</v>
      </c>
      <c r="AD93" s="685">
        <f>IF(AC93=0,,VLOOKUP(AC93,リスト!DK:DL,2,0))</f>
        <v>0</v>
      </c>
      <c r="AE93" s="670">
        <f>IF(Y93=0,,
IF(OR(リスト!$C$21="小麦",リスト!$C$21="二条大麦",リスト!$C$21="六条大麦",リスト!$C$21="はだか麦",リスト!$C$21="なたね"),IF(K93&lt;9,調査年-J93,調査年-J93-1),
IF(リスト!$C$21="さとうきび",IF(K93&gt;=4,調査年-J93,調査年-J93+1),
調査年-J93)))</f>
        <v>0</v>
      </c>
      <c r="AF93" s="385">
        <f t="shared" si="20"/>
        <v>0</v>
      </c>
      <c r="AG93" s="385">
        <f t="shared" si="21"/>
        <v>0</v>
      </c>
      <c r="AH93" s="385">
        <f t="shared" si="22"/>
        <v>0</v>
      </c>
      <c r="AI93" s="385">
        <f t="shared" si="23"/>
        <v>0</v>
      </c>
      <c r="AJ93" s="385">
        <f t="shared" si="24"/>
        <v>0</v>
      </c>
      <c r="AK93" s="385">
        <f t="shared" si="32"/>
        <v>0</v>
      </c>
      <c r="AL93" s="385">
        <f t="shared" si="25"/>
        <v>0</v>
      </c>
      <c r="AM93" s="385">
        <f t="shared" si="26"/>
        <v>0</v>
      </c>
      <c r="AN93" s="394"/>
      <c r="AO93" s="672">
        <f>IF(OR(P93=0,AG93=0),,
IF(OR(リスト!$C$21="小麦",リスト!$C$21="二条大麦",リスト!$C$21="六条大麦",リスト!$C$21="はだか麦",リスト!$C$21="なたね"),IF(OR(AND(K93&lt;9,J93=調査年),AND(K93&gt;=9,J93=調査年-1)),,ROUND(AG93*P93%,0)),
IF(リスト!$C$21="さとうきび",IF(OR(AND(K93&gt;=4,J93=調査年),AND(K93&lt;4,J93=調査年+1)),,ROUND(AG93*P93%,0)),
IF(J93=調査年,,ROUND(AG93*P93%,0)))))</f>
        <v>0</v>
      </c>
      <c r="AP93" s="672">
        <f t="shared" si="27"/>
        <v>0</v>
      </c>
      <c r="AQ93" s="385">
        <f t="shared" si="28"/>
        <v>0</v>
      </c>
      <c r="AR93" s="672">
        <f t="shared" si="29"/>
        <v>0</v>
      </c>
      <c r="AS93" s="385">
        <f>IF(P93=0,,
SUM(
IF(OR(リスト!$C$21="小麦",リスト!$C$21="二条大麦",リスト!$C$21="六条大麦",リスト!$C$21="はだか麦",リスト!$C$21="なたね"),IF(OR(AND(Z93=1,K93&lt;9,J93=調査年),AND(Z93=1,K93&gt;=9,J93=調査年-1)),ROUND(L93*P93%,0),),
IF(リスト!$C$21="さとうきび",IF(OR(AND(Z93=1,K93&gt;=4,J93=調査年),AND(Z93=1,K93&lt;4,J93=調査年+1)),ROUND(L93*P93%,0),),
IF(AND(Z93=1,J93=調査年),ROUND(L93*P93%,0),))),
ROUND(N93*P93%,0),
ROUND(SUM(AK93)*P93%,0)
))</f>
        <v>0</v>
      </c>
      <c r="AT93" s="385">
        <f t="shared" si="30"/>
        <v>0</v>
      </c>
      <c r="AU93" s="385" t="str">
        <f t="shared" si="31"/>
        <v/>
      </c>
      <c r="AV93" s="686"/>
      <c r="AW93" s="686"/>
      <c r="AX93" s="686"/>
      <c r="AY93" s="686"/>
      <c r="AZ93" s="686"/>
    </row>
    <row r="94" spans="3:52" s="46" customFormat="1" ht="30" hidden="1" customHeight="1" outlineLevel="1">
      <c r="C94" s="674">
        <v>79</v>
      </c>
      <c r="D94" s="687"/>
      <c r="E94" s="676"/>
      <c r="F94" s="677"/>
      <c r="G94" s="1899"/>
      <c r="H94" s="1900"/>
      <c r="I94" s="678"/>
      <c r="J94" s="679"/>
      <c r="K94" s="680"/>
      <c r="L94" s="681"/>
      <c r="M94" s="681"/>
      <c r="N94" s="681"/>
      <c r="O94" s="681"/>
      <c r="P94" s="1094"/>
      <c r="Q94" s="682"/>
      <c r="R94" s="683"/>
      <c r="S94" s="681"/>
      <c r="T94" s="668"/>
      <c r="U94" s="2"/>
      <c r="V94" s="1105"/>
      <c r="W94" s="669"/>
      <c r="X94" s="2"/>
      <c r="Y94" s="684">
        <f t="shared" si="33"/>
        <v>0</v>
      </c>
      <c r="Z94" s="670">
        <f t="shared" si="34"/>
        <v>0</v>
      </c>
      <c r="AA94" s="670">
        <f t="shared" si="35"/>
        <v>0</v>
      </c>
      <c r="AB94" s="684">
        <f>IF(Y94=0,,VLOOKUP(Y94,リスト!CX:CY,2,0))</f>
        <v>0</v>
      </c>
      <c r="AC94" s="684">
        <f t="shared" si="19"/>
        <v>0</v>
      </c>
      <c r="AD94" s="685">
        <f>IF(AC94=0,,VLOOKUP(AC94,リスト!DK:DL,2,0))</f>
        <v>0</v>
      </c>
      <c r="AE94" s="670">
        <f>IF(Y94=0,,
IF(OR(リスト!$C$21="小麦",リスト!$C$21="二条大麦",リスト!$C$21="六条大麦",リスト!$C$21="はだか麦",リスト!$C$21="なたね"),IF(K94&lt;9,調査年-J94,調査年-J94-1),
IF(リスト!$C$21="さとうきび",IF(K94&gt;=4,調査年-J94,調査年-J94+1),
調査年-J94)))</f>
        <v>0</v>
      </c>
      <c r="AF94" s="385">
        <f t="shared" si="20"/>
        <v>0</v>
      </c>
      <c r="AG94" s="385">
        <f t="shared" si="21"/>
        <v>0</v>
      </c>
      <c r="AH94" s="385">
        <f t="shared" si="22"/>
        <v>0</v>
      </c>
      <c r="AI94" s="385">
        <f t="shared" si="23"/>
        <v>0</v>
      </c>
      <c r="AJ94" s="385">
        <f t="shared" si="24"/>
        <v>0</v>
      </c>
      <c r="AK94" s="385">
        <f t="shared" si="32"/>
        <v>0</v>
      </c>
      <c r="AL94" s="385">
        <f t="shared" si="25"/>
        <v>0</v>
      </c>
      <c r="AM94" s="385">
        <f t="shared" si="26"/>
        <v>0</v>
      </c>
      <c r="AN94" s="394"/>
      <c r="AO94" s="672">
        <f>IF(OR(P94=0,AG94=0),,
IF(OR(リスト!$C$21="小麦",リスト!$C$21="二条大麦",リスト!$C$21="六条大麦",リスト!$C$21="はだか麦",リスト!$C$21="なたね"),IF(OR(AND(K94&lt;9,J94=調査年),AND(K94&gt;=9,J94=調査年-1)),,ROUND(AG94*P94%,0)),
IF(リスト!$C$21="さとうきび",IF(OR(AND(K94&gt;=4,J94=調査年),AND(K94&lt;4,J94=調査年+1)),,ROUND(AG94*P94%,0)),
IF(J94=調査年,,ROUND(AG94*P94%,0)))))</f>
        <v>0</v>
      </c>
      <c r="AP94" s="672">
        <f t="shared" si="27"/>
        <v>0</v>
      </c>
      <c r="AQ94" s="385">
        <f t="shared" si="28"/>
        <v>0</v>
      </c>
      <c r="AR94" s="672">
        <f t="shared" si="29"/>
        <v>0</v>
      </c>
      <c r="AS94" s="385">
        <f>IF(P94=0,,
SUM(
IF(OR(リスト!$C$21="小麦",リスト!$C$21="二条大麦",リスト!$C$21="六条大麦",リスト!$C$21="はだか麦",リスト!$C$21="なたね"),IF(OR(AND(Z94=1,K94&lt;9,J94=調査年),AND(Z94=1,K94&gt;=9,J94=調査年-1)),ROUND(L94*P94%,0),),
IF(リスト!$C$21="さとうきび",IF(OR(AND(Z94=1,K94&gt;=4,J94=調査年),AND(Z94=1,K94&lt;4,J94=調査年+1)),ROUND(L94*P94%,0),),
IF(AND(Z94=1,J94=調査年),ROUND(L94*P94%,0),))),
ROUND(N94*P94%,0),
ROUND(SUM(AK94)*P94%,0)
))</f>
        <v>0</v>
      </c>
      <c r="AT94" s="385">
        <f t="shared" si="30"/>
        <v>0</v>
      </c>
      <c r="AU94" s="385" t="str">
        <f t="shared" si="31"/>
        <v/>
      </c>
      <c r="AV94" s="686"/>
      <c r="AW94" s="686"/>
      <c r="AX94" s="686"/>
      <c r="AY94" s="686"/>
      <c r="AZ94" s="686"/>
    </row>
    <row r="95" spans="3:52" s="46" customFormat="1" ht="30" hidden="1" customHeight="1" outlineLevel="1">
      <c r="C95" s="674">
        <v>80</v>
      </c>
      <c r="D95" s="687"/>
      <c r="E95" s="676"/>
      <c r="F95" s="677"/>
      <c r="G95" s="1899"/>
      <c r="H95" s="1900"/>
      <c r="I95" s="678"/>
      <c r="J95" s="679"/>
      <c r="K95" s="680"/>
      <c r="L95" s="681"/>
      <c r="M95" s="681"/>
      <c r="N95" s="681"/>
      <c r="O95" s="681"/>
      <c r="P95" s="1094"/>
      <c r="Q95" s="682"/>
      <c r="R95" s="683"/>
      <c r="S95" s="681"/>
      <c r="T95" s="668"/>
      <c r="U95" s="2"/>
      <c r="V95" s="1105"/>
      <c r="W95" s="669"/>
      <c r="X95" s="2"/>
      <c r="Y95" s="684">
        <f t="shared" si="33"/>
        <v>0</v>
      </c>
      <c r="Z95" s="670">
        <f t="shared" si="34"/>
        <v>0</v>
      </c>
      <c r="AA95" s="670">
        <f t="shared" si="35"/>
        <v>0</v>
      </c>
      <c r="AB95" s="684">
        <f>IF(Y95=0,,VLOOKUP(Y95,リスト!CX:CY,2,0))</f>
        <v>0</v>
      </c>
      <c r="AC95" s="684">
        <f t="shared" si="19"/>
        <v>0</v>
      </c>
      <c r="AD95" s="685">
        <f>IF(AC95=0,,VLOOKUP(AC95,リスト!DK:DL,2,0))</f>
        <v>0</v>
      </c>
      <c r="AE95" s="670">
        <f>IF(Y95=0,,
IF(OR(リスト!$C$21="小麦",リスト!$C$21="二条大麦",リスト!$C$21="六条大麦",リスト!$C$21="はだか麦",リスト!$C$21="なたね"),IF(K95&lt;9,調査年-J95,調査年-J95-1),
IF(リスト!$C$21="さとうきび",IF(K95&gt;=4,調査年-J95,調査年-J95+1),
調査年-J95)))</f>
        <v>0</v>
      </c>
      <c r="AF95" s="385">
        <f t="shared" si="20"/>
        <v>0</v>
      </c>
      <c r="AG95" s="385">
        <f t="shared" si="21"/>
        <v>0</v>
      </c>
      <c r="AH95" s="385">
        <f t="shared" si="22"/>
        <v>0</v>
      </c>
      <c r="AI95" s="385">
        <f t="shared" si="23"/>
        <v>0</v>
      </c>
      <c r="AJ95" s="385">
        <f t="shared" si="24"/>
        <v>0</v>
      </c>
      <c r="AK95" s="385">
        <f t="shared" si="32"/>
        <v>0</v>
      </c>
      <c r="AL95" s="385">
        <f t="shared" si="25"/>
        <v>0</v>
      </c>
      <c r="AM95" s="385">
        <f t="shared" si="26"/>
        <v>0</v>
      </c>
      <c r="AN95" s="394"/>
      <c r="AO95" s="672">
        <f>IF(OR(P95=0,AG95=0),,
IF(OR(リスト!$C$21="小麦",リスト!$C$21="二条大麦",リスト!$C$21="六条大麦",リスト!$C$21="はだか麦",リスト!$C$21="なたね"),IF(OR(AND(K95&lt;9,J95=調査年),AND(K95&gt;=9,J95=調査年-1)),,ROUND(AG95*P95%,0)),
IF(リスト!$C$21="さとうきび",IF(OR(AND(K95&gt;=4,J95=調査年),AND(K95&lt;4,J95=調査年+1)),,ROUND(AG95*P95%,0)),
IF(J95=調査年,,ROUND(AG95*P95%,0)))))</f>
        <v>0</v>
      </c>
      <c r="AP95" s="672">
        <f t="shared" si="27"/>
        <v>0</v>
      </c>
      <c r="AQ95" s="385">
        <f t="shared" si="28"/>
        <v>0</v>
      </c>
      <c r="AR95" s="672">
        <f t="shared" si="29"/>
        <v>0</v>
      </c>
      <c r="AS95" s="385">
        <f>IF(P95=0,,
SUM(
IF(OR(リスト!$C$21="小麦",リスト!$C$21="二条大麦",リスト!$C$21="六条大麦",リスト!$C$21="はだか麦",リスト!$C$21="なたね"),IF(OR(AND(Z95=1,K95&lt;9,J95=調査年),AND(Z95=1,K95&gt;=9,J95=調査年-1)),ROUND(L95*P95%,0),),
IF(リスト!$C$21="さとうきび",IF(OR(AND(Z95=1,K95&gt;=4,J95=調査年),AND(Z95=1,K95&lt;4,J95=調査年+1)),ROUND(L95*P95%,0),),
IF(AND(Z95=1,J95=調査年),ROUND(L95*P95%,0),))),
ROUND(N95*P95%,0),
ROUND(SUM(AK95)*P95%,0)
))</f>
        <v>0</v>
      </c>
      <c r="AT95" s="385">
        <f t="shared" si="30"/>
        <v>0</v>
      </c>
      <c r="AU95" s="385" t="str">
        <f t="shared" si="31"/>
        <v/>
      </c>
      <c r="AV95" s="686"/>
      <c r="AW95" s="686"/>
      <c r="AX95" s="686"/>
      <c r="AY95" s="686"/>
      <c r="AZ95" s="686"/>
    </row>
    <row r="96" spans="3:52" s="46" customFormat="1" ht="30" hidden="1" customHeight="1" outlineLevel="1">
      <c r="C96" s="674">
        <v>81</v>
      </c>
      <c r="D96" s="687"/>
      <c r="E96" s="676"/>
      <c r="F96" s="677"/>
      <c r="G96" s="1899"/>
      <c r="H96" s="1900"/>
      <c r="I96" s="678"/>
      <c r="J96" s="679"/>
      <c r="K96" s="680"/>
      <c r="L96" s="681"/>
      <c r="M96" s="681"/>
      <c r="N96" s="681"/>
      <c r="O96" s="681"/>
      <c r="P96" s="1094"/>
      <c r="Q96" s="682"/>
      <c r="R96" s="683"/>
      <c r="S96" s="681"/>
      <c r="T96" s="668"/>
      <c r="U96" s="2"/>
      <c r="V96" s="1105"/>
      <c r="W96" s="669"/>
      <c r="X96" s="2"/>
      <c r="Y96" s="684">
        <f t="shared" si="33"/>
        <v>0</v>
      </c>
      <c r="Z96" s="670">
        <f t="shared" si="34"/>
        <v>0</v>
      </c>
      <c r="AA96" s="670">
        <f t="shared" si="35"/>
        <v>0</v>
      </c>
      <c r="AB96" s="684">
        <f>IF(Y96=0,,VLOOKUP(Y96,リスト!CX:CY,2,0))</f>
        <v>0</v>
      </c>
      <c r="AC96" s="684">
        <f t="shared" si="19"/>
        <v>0</v>
      </c>
      <c r="AD96" s="685">
        <f>IF(AC96=0,,VLOOKUP(AC96,リスト!DK:DL,2,0))</f>
        <v>0</v>
      </c>
      <c r="AE96" s="670">
        <f>IF(Y96=0,,
IF(OR(リスト!$C$21="小麦",リスト!$C$21="二条大麦",リスト!$C$21="六条大麦",リスト!$C$21="はだか麦",リスト!$C$21="なたね"),IF(K96&lt;9,調査年-J96,調査年-J96-1),
IF(リスト!$C$21="さとうきび",IF(K96&gt;=4,調査年-J96,調査年-J96+1),
調査年-J96)))</f>
        <v>0</v>
      </c>
      <c r="AF96" s="385">
        <f t="shared" si="20"/>
        <v>0</v>
      </c>
      <c r="AG96" s="385">
        <f t="shared" si="21"/>
        <v>0</v>
      </c>
      <c r="AH96" s="385">
        <f t="shared" si="22"/>
        <v>0</v>
      </c>
      <c r="AI96" s="385">
        <f t="shared" si="23"/>
        <v>0</v>
      </c>
      <c r="AJ96" s="385">
        <f t="shared" si="24"/>
        <v>0</v>
      </c>
      <c r="AK96" s="385">
        <f t="shared" si="32"/>
        <v>0</v>
      </c>
      <c r="AL96" s="385">
        <f t="shared" si="25"/>
        <v>0</v>
      </c>
      <c r="AM96" s="385">
        <f t="shared" si="26"/>
        <v>0</v>
      </c>
      <c r="AN96" s="394"/>
      <c r="AO96" s="672">
        <f>IF(OR(P96=0,AG96=0),,
IF(OR(リスト!$C$21="小麦",リスト!$C$21="二条大麦",リスト!$C$21="六条大麦",リスト!$C$21="はだか麦",リスト!$C$21="なたね"),IF(OR(AND(K96&lt;9,J96=調査年),AND(K96&gt;=9,J96=調査年-1)),,ROUND(AG96*P96%,0)),
IF(リスト!$C$21="さとうきび",IF(OR(AND(K96&gt;=4,J96=調査年),AND(K96&lt;4,J96=調査年+1)),,ROUND(AG96*P96%,0)),
IF(J96=調査年,,ROUND(AG96*P96%,0)))))</f>
        <v>0</v>
      </c>
      <c r="AP96" s="672">
        <f t="shared" si="27"/>
        <v>0</v>
      </c>
      <c r="AQ96" s="385">
        <f t="shared" si="28"/>
        <v>0</v>
      </c>
      <c r="AR96" s="672">
        <f t="shared" si="29"/>
        <v>0</v>
      </c>
      <c r="AS96" s="385">
        <f>IF(P96=0,,
SUM(
IF(OR(リスト!$C$21="小麦",リスト!$C$21="二条大麦",リスト!$C$21="六条大麦",リスト!$C$21="はだか麦",リスト!$C$21="なたね"),IF(OR(AND(Z96=1,K96&lt;9,J96=調査年),AND(Z96=1,K96&gt;=9,J96=調査年-1)),ROUND(L96*P96%,0),),
IF(リスト!$C$21="さとうきび",IF(OR(AND(Z96=1,K96&gt;=4,J96=調査年),AND(Z96=1,K96&lt;4,J96=調査年+1)),ROUND(L96*P96%,0),),
IF(AND(Z96=1,J96=調査年),ROUND(L96*P96%,0),))),
ROUND(N96*P96%,0),
ROUND(SUM(AK96)*P96%,0)
))</f>
        <v>0</v>
      </c>
      <c r="AT96" s="385">
        <f t="shared" si="30"/>
        <v>0</v>
      </c>
      <c r="AU96" s="385" t="str">
        <f t="shared" si="31"/>
        <v/>
      </c>
      <c r="AV96" s="686"/>
      <c r="AW96" s="686"/>
      <c r="AX96" s="686"/>
      <c r="AY96" s="686"/>
      <c r="AZ96" s="686"/>
    </row>
    <row r="97" spans="3:52" s="46" customFormat="1" ht="30" hidden="1" customHeight="1" outlineLevel="1">
      <c r="C97" s="674">
        <v>82</v>
      </c>
      <c r="D97" s="687"/>
      <c r="E97" s="676"/>
      <c r="F97" s="677"/>
      <c r="G97" s="1899"/>
      <c r="H97" s="1900"/>
      <c r="I97" s="678"/>
      <c r="J97" s="679"/>
      <c r="K97" s="680"/>
      <c r="L97" s="681"/>
      <c r="M97" s="681"/>
      <c r="N97" s="681"/>
      <c r="O97" s="681"/>
      <c r="P97" s="1094"/>
      <c r="Q97" s="682"/>
      <c r="R97" s="683"/>
      <c r="S97" s="681"/>
      <c r="T97" s="668"/>
      <c r="U97" s="2"/>
      <c r="V97" s="1105"/>
      <c r="W97" s="669"/>
      <c r="X97" s="2"/>
      <c r="Y97" s="684">
        <f t="shared" si="33"/>
        <v>0</v>
      </c>
      <c r="Z97" s="670">
        <f t="shared" si="34"/>
        <v>0</v>
      </c>
      <c r="AA97" s="670">
        <f t="shared" si="35"/>
        <v>0</v>
      </c>
      <c r="AB97" s="684">
        <f>IF(Y97=0,,VLOOKUP(Y97,リスト!CX:CY,2,0))</f>
        <v>0</v>
      </c>
      <c r="AC97" s="684">
        <f t="shared" si="19"/>
        <v>0</v>
      </c>
      <c r="AD97" s="685">
        <f>IF(AC97=0,,VLOOKUP(AC97,リスト!DK:DL,2,0))</f>
        <v>0</v>
      </c>
      <c r="AE97" s="670">
        <f>IF(Y97=0,,
IF(OR(リスト!$C$21="小麦",リスト!$C$21="二条大麦",リスト!$C$21="六条大麦",リスト!$C$21="はだか麦",リスト!$C$21="なたね"),IF(K97&lt;9,調査年-J97,調査年-J97-1),
IF(リスト!$C$21="さとうきび",IF(K97&gt;=4,調査年-J97,調査年-J97+1),
調査年-J97)))</f>
        <v>0</v>
      </c>
      <c r="AF97" s="385">
        <f t="shared" si="20"/>
        <v>0</v>
      </c>
      <c r="AG97" s="385">
        <f t="shared" si="21"/>
        <v>0</v>
      </c>
      <c r="AH97" s="385">
        <f t="shared" si="22"/>
        <v>0</v>
      </c>
      <c r="AI97" s="385">
        <f t="shared" si="23"/>
        <v>0</v>
      </c>
      <c r="AJ97" s="385">
        <f t="shared" si="24"/>
        <v>0</v>
      </c>
      <c r="AK97" s="385">
        <f t="shared" si="32"/>
        <v>0</v>
      </c>
      <c r="AL97" s="385">
        <f t="shared" si="25"/>
        <v>0</v>
      </c>
      <c r="AM97" s="385">
        <f t="shared" si="26"/>
        <v>0</v>
      </c>
      <c r="AN97" s="394"/>
      <c r="AO97" s="672">
        <f>IF(OR(P97=0,AG97=0),,
IF(OR(リスト!$C$21="小麦",リスト!$C$21="二条大麦",リスト!$C$21="六条大麦",リスト!$C$21="はだか麦",リスト!$C$21="なたね"),IF(OR(AND(K97&lt;9,J97=調査年),AND(K97&gt;=9,J97=調査年-1)),,ROUND(AG97*P97%,0)),
IF(リスト!$C$21="さとうきび",IF(OR(AND(K97&gt;=4,J97=調査年),AND(K97&lt;4,J97=調査年+1)),,ROUND(AG97*P97%,0)),
IF(J97=調査年,,ROUND(AG97*P97%,0)))))</f>
        <v>0</v>
      </c>
      <c r="AP97" s="672">
        <f t="shared" si="27"/>
        <v>0</v>
      </c>
      <c r="AQ97" s="385">
        <f t="shared" si="28"/>
        <v>0</v>
      </c>
      <c r="AR97" s="672">
        <f t="shared" si="29"/>
        <v>0</v>
      </c>
      <c r="AS97" s="385">
        <f>IF(P97=0,,
SUM(
IF(OR(リスト!$C$21="小麦",リスト!$C$21="二条大麦",リスト!$C$21="六条大麦",リスト!$C$21="はだか麦",リスト!$C$21="なたね"),IF(OR(AND(Z97=1,K97&lt;9,J97=調査年),AND(Z97=1,K97&gt;=9,J97=調査年-1)),ROUND(L97*P97%,0),),
IF(リスト!$C$21="さとうきび",IF(OR(AND(Z97=1,K97&gt;=4,J97=調査年),AND(Z97=1,K97&lt;4,J97=調査年+1)),ROUND(L97*P97%,0),),
IF(AND(Z97=1,J97=調査年),ROUND(L97*P97%,0),))),
ROUND(N97*P97%,0),
ROUND(SUM(AK97)*P97%,0)
))</f>
        <v>0</v>
      </c>
      <c r="AT97" s="385">
        <f t="shared" si="30"/>
        <v>0</v>
      </c>
      <c r="AU97" s="385" t="str">
        <f t="shared" si="31"/>
        <v/>
      </c>
      <c r="AV97" s="686"/>
      <c r="AW97" s="686"/>
      <c r="AX97" s="686"/>
      <c r="AY97" s="686"/>
      <c r="AZ97" s="686"/>
    </row>
    <row r="98" spans="3:52" s="46" customFormat="1" ht="30" hidden="1" customHeight="1" outlineLevel="1">
      <c r="C98" s="674">
        <v>83</v>
      </c>
      <c r="D98" s="687"/>
      <c r="E98" s="676"/>
      <c r="F98" s="677"/>
      <c r="G98" s="1899"/>
      <c r="H98" s="1900"/>
      <c r="I98" s="678"/>
      <c r="J98" s="679"/>
      <c r="K98" s="680"/>
      <c r="L98" s="681"/>
      <c r="M98" s="681"/>
      <c r="N98" s="681"/>
      <c r="O98" s="681"/>
      <c r="P98" s="1094"/>
      <c r="Q98" s="682"/>
      <c r="R98" s="683"/>
      <c r="S98" s="681"/>
      <c r="T98" s="668"/>
      <c r="U98" s="2"/>
      <c r="V98" s="1105"/>
      <c r="W98" s="669"/>
      <c r="X98" s="2"/>
      <c r="Y98" s="684">
        <f t="shared" si="33"/>
        <v>0</v>
      </c>
      <c r="Z98" s="670">
        <f t="shared" si="34"/>
        <v>0</v>
      </c>
      <c r="AA98" s="670">
        <f t="shared" si="35"/>
        <v>0</v>
      </c>
      <c r="AB98" s="684">
        <f>IF(Y98=0,,VLOOKUP(Y98,リスト!CX:CY,2,0))</f>
        <v>0</v>
      </c>
      <c r="AC98" s="684">
        <f t="shared" si="19"/>
        <v>0</v>
      </c>
      <c r="AD98" s="685">
        <f>IF(AC98=0,,VLOOKUP(AC98,リスト!DK:DL,2,0))</f>
        <v>0</v>
      </c>
      <c r="AE98" s="670">
        <f>IF(Y98=0,,
IF(OR(リスト!$C$21="小麦",リスト!$C$21="二条大麦",リスト!$C$21="六条大麦",リスト!$C$21="はだか麦",リスト!$C$21="なたね"),IF(K98&lt;9,調査年-J98,調査年-J98-1),
IF(リスト!$C$21="さとうきび",IF(K98&gt;=4,調査年-J98,調査年-J98+1),
調査年-J98)))</f>
        <v>0</v>
      </c>
      <c r="AF98" s="385">
        <f t="shared" si="20"/>
        <v>0</v>
      </c>
      <c r="AG98" s="385">
        <f t="shared" si="21"/>
        <v>0</v>
      </c>
      <c r="AH98" s="385">
        <f t="shared" si="22"/>
        <v>0</v>
      </c>
      <c r="AI98" s="385">
        <f t="shared" si="23"/>
        <v>0</v>
      </c>
      <c r="AJ98" s="385">
        <f t="shared" si="24"/>
        <v>0</v>
      </c>
      <c r="AK98" s="385">
        <f t="shared" si="32"/>
        <v>0</v>
      </c>
      <c r="AL98" s="385">
        <f t="shared" si="25"/>
        <v>0</v>
      </c>
      <c r="AM98" s="385">
        <f t="shared" si="26"/>
        <v>0</v>
      </c>
      <c r="AN98" s="394"/>
      <c r="AO98" s="672">
        <f>IF(OR(P98=0,AG98=0),,
IF(OR(リスト!$C$21="小麦",リスト!$C$21="二条大麦",リスト!$C$21="六条大麦",リスト!$C$21="はだか麦",リスト!$C$21="なたね"),IF(OR(AND(K98&lt;9,J98=調査年),AND(K98&gt;=9,J98=調査年-1)),,ROUND(AG98*P98%,0)),
IF(リスト!$C$21="さとうきび",IF(OR(AND(K98&gt;=4,J98=調査年),AND(K98&lt;4,J98=調査年+1)),,ROUND(AG98*P98%,0)),
IF(J98=調査年,,ROUND(AG98*P98%,0)))))</f>
        <v>0</v>
      </c>
      <c r="AP98" s="672">
        <f t="shared" si="27"/>
        <v>0</v>
      </c>
      <c r="AQ98" s="385">
        <f t="shared" si="28"/>
        <v>0</v>
      </c>
      <c r="AR98" s="672">
        <f t="shared" si="29"/>
        <v>0</v>
      </c>
      <c r="AS98" s="385">
        <f>IF(P98=0,,
SUM(
IF(OR(リスト!$C$21="小麦",リスト!$C$21="二条大麦",リスト!$C$21="六条大麦",リスト!$C$21="はだか麦",リスト!$C$21="なたね"),IF(OR(AND(Z98=1,K98&lt;9,J98=調査年),AND(Z98=1,K98&gt;=9,J98=調査年-1)),ROUND(L98*P98%,0),),
IF(リスト!$C$21="さとうきび",IF(OR(AND(Z98=1,K98&gt;=4,J98=調査年),AND(Z98=1,K98&lt;4,J98=調査年+1)),ROUND(L98*P98%,0),),
IF(AND(Z98=1,J98=調査年),ROUND(L98*P98%,0),))),
ROUND(N98*P98%,0),
ROUND(SUM(AK98)*P98%,0)
))</f>
        <v>0</v>
      </c>
      <c r="AT98" s="385">
        <f t="shared" si="30"/>
        <v>0</v>
      </c>
      <c r="AU98" s="385" t="str">
        <f t="shared" si="31"/>
        <v/>
      </c>
      <c r="AV98" s="686"/>
      <c r="AW98" s="686"/>
      <c r="AX98" s="686"/>
      <c r="AY98" s="686"/>
      <c r="AZ98" s="686"/>
    </row>
    <row r="99" spans="3:52" s="46" customFormat="1" ht="30" hidden="1" customHeight="1" outlineLevel="1">
      <c r="C99" s="674">
        <v>84</v>
      </c>
      <c r="D99" s="687"/>
      <c r="E99" s="676"/>
      <c r="F99" s="677"/>
      <c r="G99" s="1899"/>
      <c r="H99" s="1900"/>
      <c r="I99" s="678"/>
      <c r="J99" s="679"/>
      <c r="K99" s="680"/>
      <c r="L99" s="681"/>
      <c r="M99" s="681"/>
      <c r="N99" s="681"/>
      <c r="O99" s="681"/>
      <c r="P99" s="1094"/>
      <c r="Q99" s="682"/>
      <c r="R99" s="683"/>
      <c r="S99" s="681"/>
      <c r="T99" s="668"/>
      <c r="U99" s="2"/>
      <c r="V99" s="1105"/>
      <c r="W99" s="669"/>
      <c r="X99" s="2"/>
      <c r="Y99" s="684">
        <f t="shared" si="33"/>
        <v>0</v>
      </c>
      <c r="Z99" s="670">
        <f t="shared" si="34"/>
        <v>0</v>
      </c>
      <c r="AA99" s="670">
        <f t="shared" si="35"/>
        <v>0</v>
      </c>
      <c r="AB99" s="684">
        <f>IF(Y99=0,,VLOOKUP(Y99,リスト!CX:CY,2,0))</f>
        <v>0</v>
      </c>
      <c r="AC99" s="684">
        <f t="shared" si="19"/>
        <v>0</v>
      </c>
      <c r="AD99" s="685">
        <f>IF(AC99=0,,VLOOKUP(AC99,リスト!DK:DL,2,0))</f>
        <v>0</v>
      </c>
      <c r="AE99" s="670">
        <f>IF(Y99=0,,
IF(OR(リスト!$C$21="小麦",リスト!$C$21="二条大麦",リスト!$C$21="六条大麦",リスト!$C$21="はだか麦",リスト!$C$21="なたね"),IF(K99&lt;9,調査年-J99,調査年-J99-1),
IF(リスト!$C$21="さとうきび",IF(K99&gt;=4,調査年-J99,調査年-J99+1),
調査年-J99)))</f>
        <v>0</v>
      </c>
      <c r="AF99" s="385">
        <f t="shared" si="20"/>
        <v>0</v>
      </c>
      <c r="AG99" s="385">
        <f t="shared" si="21"/>
        <v>0</v>
      </c>
      <c r="AH99" s="385">
        <f t="shared" si="22"/>
        <v>0</v>
      </c>
      <c r="AI99" s="385">
        <f t="shared" si="23"/>
        <v>0</v>
      </c>
      <c r="AJ99" s="385">
        <f t="shared" si="24"/>
        <v>0</v>
      </c>
      <c r="AK99" s="385">
        <f t="shared" si="32"/>
        <v>0</v>
      </c>
      <c r="AL99" s="385">
        <f t="shared" si="25"/>
        <v>0</v>
      </c>
      <c r="AM99" s="385">
        <f t="shared" si="26"/>
        <v>0</v>
      </c>
      <c r="AN99" s="394"/>
      <c r="AO99" s="672">
        <f>IF(OR(P99=0,AG99=0),,
IF(OR(リスト!$C$21="小麦",リスト!$C$21="二条大麦",リスト!$C$21="六条大麦",リスト!$C$21="はだか麦",リスト!$C$21="なたね"),IF(OR(AND(K99&lt;9,J99=調査年),AND(K99&gt;=9,J99=調査年-1)),,ROUND(AG99*P99%,0)),
IF(リスト!$C$21="さとうきび",IF(OR(AND(K99&gt;=4,J99=調査年),AND(K99&lt;4,J99=調査年+1)),,ROUND(AG99*P99%,0)),
IF(J99=調査年,,ROUND(AG99*P99%,0)))))</f>
        <v>0</v>
      </c>
      <c r="AP99" s="672">
        <f t="shared" si="27"/>
        <v>0</v>
      </c>
      <c r="AQ99" s="385">
        <f t="shared" si="28"/>
        <v>0</v>
      </c>
      <c r="AR99" s="672">
        <f t="shared" si="29"/>
        <v>0</v>
      </c>
      <c r="AS99" s="385">
        <f>IF(P99=0,,
SUM(
IF(OR(リスト!$C$21="小麦",リスト!$C$21="二条大麦",リスト!$C$21="六条大麦",リスト!$C$21="はだか麦",リスト!$C$21="なたね"),IF(OR(AND(Z99=1,K99&lt;9,J99=調査年),AND(Z99=1,K99&gt;=9,J99=調査年-1)),ROUND(L99*P99%,0),),
IF(リスト!$C$21="さとうきび",IF(OR(AND(Z99=1,K99&gt;=4,J99=調査年),AND(Z99=1,K99&lt;4,J99=調査年+1)),ROUND(L99*P99%,0),),
IF(AND(Z99=1,J99=調査年),ROUND(L99*P99%,0),))),
ROUND(N99*P99%,0),
ROUND(SUM(AK99)*P99%,0)
))</f>
        <v>0</v>
      </c>
      <c r="AT99" s="385">
        <f t="shared" si="30"/>
        <v>0</v>
      </c>
      <c r="AU99" s="385" t="str">
        <f t="shared" si="31"/>
        <v/>
      </c>
      <c r="AV99" s="686"/>
      <c r="AW99" s="686"/>
      <c r="AX99" s="686"/>
      <c r="AY99" s="686"/>
      <c r="AZ99" s="686"/>
    </row>
    <row r="100" spans="3:52" s="46" customFormat="1" ht="30" hidden="1" customHeight="1" outlineLevel="1">
      <c r="C100" s="674">
        <v>85</v>
      </c>
      <c r="D100" s="687"/>
      <c r="E100" s="676"/>
      <c r="F100" s="677"/>
      <c r="G100" s="1899"/>
      <c r="H100" s="1900"/>
      <c r="I100" s="678"/>
      <c r="J100" s="679"/>
      <c r="K100" s="680"/>
      <c r="L100" s="681"/>
      <c r="M100" s="681"/>
      <c r="N100" s="681"/>
      <c r="O100" s="681"/>
      <c r="P100" s="1094"/>
      <c r="Q100" s="682"/>
      <c r="R100" s="683"/>
      <c r="S100" s="681"/>
      <c r="T100" s="668"/>
      <c r="U100" s="2"/>
      <c r="V100" s="1105"/>
      <c r="W100" s="669"/>
      <c r="X100" s="2"/>
      <c r="Y100" s="684">
        <f t="shared" si="33"/>
        <v>0</v>
      </c>
      <c r="Z100" s="670">
        <f t="shared" si="34"/>
        <v>0</v>
      </c>
      <c r="AA100" s="670">
        <f t="shared" si="35"/>
        <v>0</v>
      </c>
      <c r="AB100" s="684">
        <f>IF(Y100=0,,VLOOKUP(Y100,リスト!CX:CY,2,0))</f>
        <v>0</v>
      </c>
      <c r="AC100" s="684">
        <f t="shared" si="19"/>
        <v>0</v>
      </c>
      <c r="AD100" s="685">
        <f>IF(AC100=0,,VLOOKUP(AC100,リスト!DK:DL,2,0))</f>
        <v>0</v>
      </c>
      <c r="AE100" s="670">
        <f>IF(Y100=0,,
IF(OR(リスト!$C$21="小麦",リスト!$C$21="二条大麦",リスト!$C$21="六条大麦",リスト!$C$21="はだか麦",リスト!$C$21="なたね"),IF(K100&lt;9,調査年-J100,調査年-J100-1),
IF(リスト!$C$21="さとうきび",IF(K100&gt;=4,調査年-J100,調査年-J100+1),
調査年-J100)))</f>
        <v>0</v>
      </c>
      <c r="AF100" s="385">
        <f t="shared" si="20"/>
        <v>0</v>
      </c>
      <c r="AG100" s="385">
        <f t="shared" si="21"/>
        <v>0</v>
      </c>
      <c r="AH100" s="385">
        <f t="shared" si="22"/>
        <v>0</v>
      </c>
      <c r="AI100" s="385">
        <f t="shared" si="23"/>
        <v>0</v>
      </c>
      <c r="AJ100" s="385">
        <f t="shared" si="24"/>
        <v>0</v>
      </c>
      <c r="AK100" s="385">
        <f t="shared" si="32"/>
        <v>0</v>
      </c>
      <c r="AL100" s="385">
        <f t="shared" si="25"/>
        <v>0</v>
      </c>
      <c r="AM100" s="385">
        <f t="shared" si="26"/>
        <v>0</v>
      </c>
      <c r="AN100" s="394"/>
      <c r="AO100" s="672">
        <f>IF(OR(P100=0,AG100=0),,
IF(OR(リスト!$C$21="小麦",リスト!$C$21="二条大麦",リスト!$C$21="六条大麦",リスト!$C$21="はだか麦",リスト!$C$21="なたね"),IF(OR(AND(K100&lt;9,J100=調査年),AND(K100&gt;=9,J100=調査年-1)),,ROUND(AG100*P100%,0)),
IF(リスト!$C$21="さとうきび",IF(OR(AND(K100&gt;=4,J100=調査年),AND(K100&lt;4,J100=調査年+1)),,ROUND(AG100*P100%,0)),
IF(J100=調査年,,ROUND(AG100*P100%,0)))))</f>
        <v>0</v>
      </c>
      <c r="AP100" s="672">
        <f t="shared" si="27"/>
        <v>0</v>
      </c>
      <c r="AQ100" s="385">
        <f t="shared" si="28"/>
        <v>0</v>
      </c>
      <c r="AR100" s="672">
        <f t="shared" si="29"/>
        <v>0</v>
      </c>
      <c r="AS100" s="385">
        <f>IF(P100=0,,
SUM(
IF(OR(リスト!$C$21="小麦",リスト!$C$21="二条大麦",リスト!$C$21="六条大麦",リスト!$C$21="はだか麦",リスト!$C$21="なたね"),IF(OR(AND(Z100=1,K100&lt;9,J100=調査年),AND(Z100=1,K100&gt;=9,J100=調査年-1)),ROUND(L100*P100%,0),),
IF(リスト!$C$21="さとうきび",IF(OR(AND(Z100=1,K100&gt;=4,J100=調査年),AND(Z100=1,K100&lt;4,J100=調査年+1)),ROUND(L100*P100%,0),),
IF(AND(Z100=1,J100=調査年),ROUND(L100*P100%,0),))),
ROUND(N100*P100%,0),
ROUND(SUM(AK100)*P100%,0)
))</f>
        <v>0</v>
      </c>
      <c r="AT100" s="385">
        <f t="shared" si="30"/>
        <v>0</v>
      </c>
      <c r="AU100" s="385" t="str">
        <f t="shared" si="31"/>
        <v/>
      </c>
      <c r="AV100" s="686"/>
      <c r="AW100" s="686"/>
      <c r="AX100" s="686"/>
      <c r="AY100" s="686"/>
      <c r="AZ100" s="686"/>
    </row>
    <row r="101" spans="3:52" s="46" customFormat="1" ht="30" hidden="1" customHeight="1" outlineLevel="1">
      <c r="C101" s="674">
        <v>86</v>
      </c>
      <c r="D101" s="687"/>
      <c r="E101" s="676"/>
      <c r="F101" s="677"/>
      <c r="G101" s="1899"/>
      <c r="H101" s="1900"/>
      <c r="I101" s="678"/>
      <c r="J101" s="679"/>
      <c r="K101" s="680"/>
      <c r="L101" s="681"/>
      <c r="M101" s="681"/>
      <c r="N101" s="681"/>
      <c r="O101" s="681"/>
      <c r="P101" s="1094"/>
      <c r="Q101" s="682"/>
      <c r="R101" s="683"/>
      <c r="S101" s="681"/>
      <c r="T101" s="668"/>
      <c r="U101" s="2"/>
      <c r="V101" s="1105"/>
      <c r="W101" s="669"/>
      <c r="X101" s="2"/>
      <c r="Y101" s="684">
        <f t="shared" si="33"/>
        <v>0</v>
      </c>
      <c r="Z101" s="670">
        <f t="shared" si="34"/>
        <v>0</v>
      </c>
      <c r="AA101" s="670">
        <f t="shared" si="35"/>
        <v>0</v>
      </c>
      <c r="AB101" s="684">
        <f>IF(Y101=0,,VLOOKUP(Y101,リスト!CX:CY,2,0))</f>
        <v>0</v>
      </c>
      <c r="AC101" s="684">
        <f t="shared" si="19"/>
        <v>0</v>
      </c>
      <c r="AD101" s="685">
        <f>IF(AC101=0,,VLOOKUP(AC101,リスト!DK:DL,2,0))</f>
        <v>0</v>
      </c>
      <c r="AE101" s="670">
        <f>IF(Y101=0,,
IF(OR(リスト!$C$21="小麦",リスト!$C$21="二条大麦",リスト!$C$21="六条大麦",リスト!$C$21="はだか麦",リスト!$C$21="なたね"),IF(K101&lt;9,調査年-J101,調査年-J101-1),
IF(リスト!$C$21="さとうきび",IF(K101&gt;=4,調査年-J101,調査年-J101+1),
調査年-J101)))</f>
        <v>0</v>
      </c>
      <c r="AF101" s="385">
        <f t="shared" si="20"/>
        <v>0</v>
      </c>
      <c r="AG101" s="385">
        <f t="shared" si="21"/>
        <v>0</v>
      </c>
      <c r="AH101" s="385">
        <f t="shared" si="22"/>
        <v>0</v>
      </c>
      <c r="AI101" s="385">
        <f t="shared" si="23"/>
        <v>0</v>
      </c>
      <c r="AJ101" s="385">
        <f t="shared" si="24"/>
        <v>0</v>
      </c>
      <c r="AK101" s="385">
        <f t="shared" si="32"/>
        <v>0</v>
      </c>
      <c r="AL101" s="385">
        <f t="shared" si="25"/>
        <v>0</v>
      </c>
      <c r="AM101" s="385">
        <f t="shared" si="26"/>
        <v>0</v>
      </c>
      <c r="AN101" s="394"/>
      <c r="AO101" s="672">
        <f>IF(OR(P101=0,AG101=0),,
IF(OR(リスト!$C$21="小麦",リスト!$C$21="二条大麦",リスト!$C$21="六条大麦",リスト!$C$21="はだか麦",リスト!$C$21="なたね"),IF(OR(AND(K101&lt;9,J101=調査年),AND(K101&gt;=9,J101=調査年-1)),,ROUND(AG101*P101%,0)),
IF(リスト!$C$21="さとうきび",IF(OR(AND(K101&gt;=4,J101=調査年),AND(K101&lt;4,J101=調査年+1)),,ROUND(AG101*P101%,0)),
IF(J101=調査年,,ROUND(AG101*P101%,0)))))</f>
        <v>0</v>
      </c>
      <c r="AP101" s="672">
        <f t="shared" si="27"/>
        <v>0</v>
      </c>
      <c r="AQ101" s="385">
        <f t="shared" si="28"/>
        <v>0</v>
      </c>
      <c r="AR101" s="672">
        <f t="shared" si="29"/>
        <v>0</v>
      </c>
      <c r="AS101" s="385">
        <f>IF(P101=0,,
SUM(
IF(OR(リスト!$C$21="小麦",リスト!$C$21="二条大麦",リスト!$C$21="六条大麦",リスト!$C$21="はだか麦",リスト!$C$21="なたね"),IF(OR(AND(Z101=1,K101&lt;9,J101=調査年),AND(Z101=1,K101&gt;=9,J101=調査年-1)),ROUND(L101*P101%,0),),
IF(リスト!$C$21="さとうきび",IF(OR(AND(Z101=1,K101&gt;=4,J101=調査年),AND(Z101=1,K101&lt;4,J101=調査年+1)),ROUND(L101*P101%,0),),
IF(AND(Z101=1,J101=調査年),ROUND(L101*P101%,0),))),
ROUND(N101*P101%,0),
ROUND(SUM(AK101)*P101%,0)
))</f>
        <v>0</v>
      </c>
      <c r="AT101" s="385">
        <f t="shared" si="30"/>
        <v>0</v>
      </c>
      <c r="AU101" s="385" t="str">
        <f t="shared" si="31"/>
        <v/>
      </c>
      <c r="AV101" s="686"/>
      <c r="AW101" s="686"/>
      <c r="AX101" s="686"/>
      <c r="AY101" s="686"/>
      <c r="AZ101" s="686"/>
    </row>
    <row r="102" spans="3:52" s="46" customFormat="1" ht="30" hidden="1" customHeight="1" outlineLevel="1">
      <c r="C102" s="674">
        <v>87</v>
      </c>
      <c r="D102" s="687"/>
      <c r="E102" s="676"/>
      <c r="F102" s="677"/>
      <c r="G102" s="1899"/>
      <c r="H102" s="1900"/>
      <c r="I102" s="678"/>
      <c r="J102" s="679"/>
      <c r="K102" s="680"/>
      <c r="L102" s="681"/>
      <c r="M102" s="681"/>
      <c r="N102" s="681"/>
      <c r="O102" s="681"/>
      <c r="P102" s="1094"/>
      <c r="Q102" s="682"/>
      <c r="R102" s="683"/>
      <c r="S102" s="681"/>
      <c r="T102" s="668"/>
      <c r="U102" s="2"/>
      <c r="V102" s="1105"/>
      <c r="W102" s="669"/>
      <c r="X102" s="2"/>
      <c r="Y102" s="684">
        <f t="shared" si="33"/>
        <v>0</v>
      </c>
      <c r="Z102" s="670">
        <f t="shared" si="34"/>
        <v>0</v>
      </c>
      <c r="AA102" s="670">
        <f t="shared" si="35"/>
        <v>0</v>
      </c>
      <c r="AB102" s="684">
        <f>IF(Y102=0,,VLOOKUP(Y102,リスト!CX:CY,2,0))</f>
        <v>0</v>
      </c>
      <c r="AC102" s="684">
        <f t="shared" si="19"/>
        <v>0</v>
      </c>
      <c r="AD102" s="685">
        <f>IF(AC102=0,,VLOOKUP(AC102,リスト!DK:DL,2,0))</f>
        <v>0</v>
      </c>
      <c r="AE102" s="670">
        <f>IF(Y102=0,,
IF(OR(リスト!$C$21="小麦",リスト!$C$21="二条大麦",リスト!$C$21="六条大麦",リスト!$C$21="はだか麦",リスト!$C$21="なたね"),IF(K102&lt;9,調査年-J102,調査年-J102-1),
IF(リスト!$C$21="さとうきび",IF(K102&gt;=4,調査年-J102,調査年-J102+1),
調査年-J102)))</f>
        <v>0</v>
      </c>
      <c r="AF102" s="385">
        <f t="shared" si="20"/>
        <v>0</v>
      </c>
      <c r="AG102" s="385">
        <f t="shared" si="21"/>
        <v>0</v>
      </c>
      <c r="AH102" s="385">
        <f t="shared" si="22"/>
        <v>0</v>
      </c>
      <c r="AI102" s="385">
        <f t="shared" si="23"/>
        <v>0</v>
      </c>
      <c r="AJ102" s="385">
        <f t="shared" si="24"/>
        <v>0</v>
      </c>
      <c r="AK102" s="385">
        <f t="shared" si="32"/>
        <v>0</v>
      </c>
      <c r="AL102" s="385">
        <f t="shared" si="25"/>
        <v>0</v>
      </c>
      <c r="AM102" s="385">
        <f t="shared" si="26"/>
        <v>0</v>
      </c>
      <c r="AN102" s="394"/>
      <c r="AO102" s="672">
        <f>IF(OR(P102=0,AG102=0),,
IF(OR(リスト!$C$21="小麦",リスト!$C$21="二条大麦",リスト!$C$21="六条大麦",リスト!$C$21="はだか麦",リスト!$C$21="なたね"),IF(OR(AND(K102&lt;9,J102=調査年),AND(K102&gt;=9,J102=調査年-1)),,ROUND(AG102*P102%,0)),
IF(リスト!$C$21="さとうきび",IF(OR(AND(K102&gt;=4,J102=調査年),AND(K102&lt;4,J102=調査年+1)),,ROUND(AG102*P102%,0)),
IF(J102=調査年,,ROUND(AG102*P102%,0)))))</f>
        <v>0</v>
      </c>
      <c r="AP102" s="672">
        <f t="shared" si="27"/>
        <v>0</v>
      </c>
      <c r="AQ102" s="385">
        <f t="shared" si="28"/>
        <v>0</v>
      </c>
      <c r="AR102" s="672">
        <f t="shared" si="29"/>
        <v>0</v>
      </c>
      <c r="AS102" s="385">
        <f>IF(P102=0,,
SUM(
IF(OR(リスト!$C$21="小麦",リスト!$C$21="二条大麦",リスト!$C$21="六条大麦",リスト!$C$21="はだか麦",リスト!$C$21="なたね"),IF(OR(AND(Z102=1,K102&lt;9,J102=調査年),AND(Z102=1,K102&gt;=9,J102=調査年-1)),ROUND(L102*P102%,0),),
IF(リスト!$C$21="さとうきび",IF(OR(AND(Z102=1,K102&gt;=4,J102=調査年),AND(Z102=1,K102&lt;4,J102=調査年+1)),ROUND(L102*P102%,0),),
IF(AND(Z102=1,J102=調査年),ROUND(L102*P102%,0),))),
ROUND(N102*P102%,0),
ROUND(SUM(AK102)*P102%,0)
))</f>
        <v>0</v>
      </c>
      <c r="AT102" s="385">
        <f t="shared" si="30"/>
        <v>0</v>
      </c>
      <c r="AU102" s="385" t="str">
        <f t="shared" si="31"/>
        <v/>
      </c>
      <c r="AV102" s="686"/>
      <c r="AW102" s="686"/>
      <c r="AX102" s="686"/>
      <c r="AY102" s="686"/>
      <c r="AZ102" s="686"/>
    </row>
    <row r="103" spans="3:52" s="46" customFormat="1" ht="30" hidden="1" customHeight="1" outlineLevel="1">
      <c r="C103" s="674">
        <v>88</v>
      </c>
      <c r="D103" s="687"/>
      <c r="E103" s="676"/>
      <c r="F103" s="677"/>
      <c r="G103" s="1899"/>
      <c r="H103" s="1900"/>
      <c r="I103" s="678"/>
      <c r="J103" s="679"/>
      <c r="K103" s="680"/>
      <c r="L103" s="681"/>
      <c r="M103" s="681"/>
      <c r="N103" s="681"/>
      <c r="O103" s="681"/>
      <c r="P103" s="1094"/>
      <c r="Q103" s="682"/>
      <c r="R103" s="683"/>
      <c r="S103" s="681"/>
      <c r="T103" s="668"/>
      <c r="U103" s="2"/>
      <c r="V103" s="1105"/>
      <c r="W103" s="669"/>
      <c r="X103" s="2"/>
      <c r="Y103" s="684">
        <f t="shared" si="33"/>
        <v>0</v>
      </c>
      <c r="Z103" s="670">
        <f t="shared" si="34"/>
        <v>0</v>
      </c>
      <c r="AA103" s="670">
        <f t="shared" si="35"/>
        <v>0</v>
      </c>
      <c r="AB103" s="684">
        <f>IF(Y103=0,,VLOOKUP(Y103,リスト!CX:CY,2,0))</f>
        <v>0</v>
      </c>
      <c r="AC103" s="684">
        <f t="shared" si="19"/>
        <v>0</v>
      </c>
      <c r="AD103" s="685">
        <f>IF(AC103=0,,VLOOKUP(AC103,リスト!DK:DL,2,0))</f>
        <v>0</v>
      </c>
      <c r="AE103" s="670">
        <f>IF(Y103=0,,
IF(OR(リスト!$C$21="小麦",リスト!$C$21="二条大麦",リスト!$C$21="六条大麦",リスト!$C$21="はだか麦",リスト!$C$21="なたね"),IF(K103&lt;9,調査年-J103,調査年-J103-1),
IF(リスト!$C$21="さとうきび",IF(K103&gt;=4,調査年-J103,調査年-J103+1),
調査年-J103)))</f>
        <v>0</v>
      </c>
      <c r="AF103" s="385">
        <f t="shared" si="20"/>
        <v>0</v>
      </c>
      <c r="AG103" s="385">
        <f t="shared" si="21"/>
        <v>0</v>
      </c>
      <c r="AH103" s="385">
        <f t="shared" si="22"/>
        <v>0</v>
      </c>
      <c r="AI103" s="385">
        <f t="shared" si="23"/>
        <v>0</v>
      </c>
      <c r="AJ103" s="385">
        <f t="shared" si="24"/>
        <v>0</v>
      </c>
      <c r="AK103" s="385">
        <f t="shared" si="32"/>
        <v>0</v>
      </c>
      <c r="AL103" s="385">
        <f t="shared" si="25"/>
        <v>0</v>
      </c>
      <c r="AM103" s="385">
        <f t="shared" si="26"/>
        <v>0</v>
      </c>
      <c r="AN103" s="394"/>
      <c r="AO103" s="672">
        <f>IF(OR(P103=0,AG103=0),,
IF(OR(リスト!$C$21="小麦",リスト!$C$21="二条大麦",リスト!$C$21="六条大麦",リスト!$C$21="はだか麦",リスト!$C$21="なたね"),IF(OR(AND(K103&lt;9,J103=調査年),AND(K103&gt;=9,J103=調査年-1)),,ROUND(AG103*P103%,0)),
IF(リスト!$C$21="さとうきび",IF(OR(AND(K103&gt;=4,J103=調査年),AND(K103&lt;4,J103=調査年+1)),,ROUND(AG103*P103%,0)),
IF(J103=調査年,,ROUND(AG103*P103%,0)))))</f>
        <v>0</v>
      </c>
      <c r="AP103" s="672">
        <f t="shared" si="27"/>
        <v>0</v>
      </c>
      <c r="AQ103" s="385">
        <f t="shared" si="28"/>
        <v>0</v>
      </c>
      <c r="AR103" s="672">
        <f t="shared" si="29"/>
        <v>0</v>
      </c>
      <c r="AS103" s="385">
        <f>IF(P103=0,,
SUM(
IF(OR(リスト!$C$21="小麦",リスト!$C$21="二条大麦",リスト!$C$21="六条大麦",リスト!$C$21="はだか麦",リスト!$C$21="なたね"),IF(OR(AND(Z103=1,K103&lt;9,J103=調査年),AND(Z103=1,K103&gt;=9,J103=調査年-1)),ROUND(L103*P103%,0),),
IF(リスト!$C$21="さとうきび",IF(OR(AND(Z103=1,K103&gt;=4,J103=調査年),AND(Z103=1,K103&lt;4,J103=調査年+1)),ROUND(L103*P103%,0),),
IF(AND(Z103=1,J103=調査年),ROUND(L103*P103%,0),))),
ROUND(N103*P103%,0),
ROUND(SUM(AK103)*P103%,0)
))</f>
        <v>0</v>
      </c>
      <c r="AT103" s="385">
        <f t="shared" si="30"/>
        <v>0</v>
      </c>
      <c r="AU103" s="385" t="str">
        <f t="shared" si="31"/>
        <v/>
      </c>
      <c r="AV103" s="686"/>
      <c r="AW103" s="686"/>
      <c r="AX103" s="686"/>
      <c r="AY103" s="686"/>
      <c r="AZ103" s="686"/>
    </row>
    <row r="104" spans="3:52" s="46" customFormat="1" ht="30" hidden="1" customHeight="1" outlineLevel="1">
      <c r="C104" s="674">
        <v>89</v>
      </c>
      <c r="D104" s="687"/>
      <c r="E104" s="676"/>
      <c r="F104" s="677"/>
      <c r="G104" s="1899"/>
      <c r="H104" s="1900"/>
      <c r="I104" s="678"/>
      <c r="J104" s="679"/>
      <c r="K104" s="680"/>
      <c r="L104" s="681"/>
      <c r="M104" s="681"/>
      <c r="N104" s="681"/>
      <c r="O104" s="681"/>
      <c r="P104" s="1094"/>
      <c r="Q104" s="682"/>
      <c r="R104" s="683"/>
      <c r="S104" s="681"/>
      <c r="T104" s="668"/>
      <c r="U104" s="2"/>
      <c r="V104" s="1105"/>
      <c r="W104" s="669"/>
      <c r="X104" s="2"/>
      <c r="Y104" s="684">
        <f t="shared" si="33"/>
        <v>0</v>
      </c>
      <c r="Z104" s="670">
        <f t="shared" si="34"/>
        <v>0</v>
      </c>
      <c r="AA104" s="670">
        <f t="shared" si="35"/>
        <v>0</v>
      </c>
      <c r="AB104" s="684">
        <f>IF(Y104=0,,VLOOKUP(Y104,リスト!CX:CY,2,0))</f>
        <v>0</v>
      </c>
      <c r="AC104" s="684">
        <f t="shared" si="19"/>
        <v>0</v>
      </c>
      <c r="AD104" s="685">
        <f>IF(AC104=0,,VLOOKUP(AC104,リスト!DK:DL,2,0))</f>
        <v>0</v>
      </c>
      <c r="AE104" s="670">
        <f>IF(Y104=0,,
IF(OR(リスト!$C$21="小麦",リスト!$C$21="二条大麦",リスト!$C$21="六条大麦",リスト!$C$21="はだか麦",リスト!$C$21="なたね"),IF(K104&lt;9,調査年-J104,調査年-J104-1),
IF(リスト!$C$21="さとうきび",IF(K104&gt;=4,調査年-J104,調査年-J104+1),
調査年-J104)))</f>
        <v>0</v>
      </c>
      <c r="AF104" s="385">
        <f t="shared" si="20"/>
        <v>0</v>
      </c>
      <c r="AG104" s="385">
        <f t="shared" si="21"/>
        <v>0</v>
      </c>
      <c r="AH104" s="385">
        <f t="shared" si="22"/>
        <v>0</v>
      </c>
      <c r="AI104" s="385">
        <f t="shared" si="23"/>
        <v>0</v>
      </c>
      <c r="AJ104" s="385">
        <f t="shared" si="24"/>
        <v>0</v>
      </c>
      <c r="AK104" s="385">
        <f t="shared" si="32"/>
        <v>0</v>
      </c>
      <c r="AL104" s="385">
        <f t="shared" si="25"/>
        <v>0</v>
      </c>
      <c r="AM104" s="385">
        <f t="shared" si="26"/>
        <v>0</v>
      </c>
      <c r="AN104" s="394"/>
      <c r="AO104" s="672">
        <f>IF(OR(P104=0,AG104=0),,
IF(OR(リスト!$C$21="小麦",リスト!$C$21="二条大麦",リスト!$C$21="六条大麦",リスト!$C$21="はだか麦",リスト!$C$21="なたね"),IF(OR(AND(K104&lt;9,J104=調査年),AND(K104&gt;=9,J104=調査年-1)),,ROUND(AG104*P104%,0)),
IF(リスト!$C$21="さとうきび",IF(OR(AND(K104&gt;=4,J104=調査年),AND(K104&lt;4,J104=調査年+1)),,ROUND(AG104*P104%,0)),
IF(J104=調査年,,ROUND(AG104*P104%,0)))))</f>
        <v>0</v>
      </c>
      <c r="AP104" s="672">
        <f t="shared" si="27"/>
        <v>0</v>
      </c>
      <c r="AQ104" s="385">
        <f t="shared" si="28"/>
        <v>0</v>
      </c>
      <c r="AR104" s="672">
        <f t="shared" si="29"/>
        <v>0</v>
      </c>
      <c r="AS104" s="385">
        <f>IF(P104=0,,
SUM(
IF(OR(リスト!$C$21="小麦",リスト!$C$21="二条大麦",リスト!$C$21="六条大麦",リスト!$C$21="はだか麦",リスト!$C$21="なたね"),IF(OR(AND(Z104=1,K104&lt;9,J104=調査年),AND(Z104=1,K104&gt;=9,J104=調査年-1)),ROUND(L104*P104%,0),),
IF(リスト!$C$21="さとうきび",IF(OR(AND(Z104=1,K104&gt;=4,J104=調査年),AND(Z104=1,K104&lt;4,J104=調査年+1)),ROUND(L104*P104%,0),),
IF(AND(Z104=1,J104=調査年),ROUND(L104*P104%,0),))),
ROUND(N104*P104%,0),
ROUND(SUM(AK104)*P104%,0)
))</f>
        <v>0</v>
      </c>
      <c r="AT104" s="385">
        <f t="shared" si="30"/>
        <v>0</v>
      </c>
      <c r="AU104" s="385" t="str">
        <f t="shared" si="31"/>
        <v/>
      </c>
      <c r="AV104" s="686"/>
      <c r="AW104" s="686"/>
      <c r="AX104" s="686"/>
      <c r="AY104" s="686"/>
      <c r="AZ104" s="686"/>
    </row>
    <row r="105" spans="3:52" s="46" customFormat="1" ht="30" hidden="1" customHeight="1" outlineLevel="1">
      <c r="C105" s="674">
        <v>90</v>
      </c>
      <c r="D105" s="687"/>
      <c r="E105" s="676"/>
      <c r="F105" s="677"/>
      <c r="G105" s="1899"/>
      <c r="H105" s="1900"/>
      <c r="I105" s="678"/>
      <c r="J105" s="679"/>
      <c r="K105" s="680"/>
      <c r="L105" s="681"/>
      <c r="M105" s="681"/>
      <c r="N105" s="681"/>
      <c r="O105" s="681"/>
      <c r="P105" s="1094"/>
      <c r="Q105" s="682"/>
      <c r="R105" s="683"/>
      <c r="S105" s="681"/>
      <c r="T105" s="668"/>
      <c r="U105" s="2"/>
      <c r="V105" s="1105"/>
      <c r="W105" s="669"/>
      <c r="X105" s="2"/>
      <c r="Y105" s="684">
        <f t="shared" si="33"/>
        <v>0</v>
      </c>
      <c r="Z105" s="670">
        <f t="shared" si="34"/>
        <v>0</v>
      </c>
      <c r="AA105" s="670">
        <f t="shared" si="35"/>
        <v>0</v>
      </c>
      <c r="AB105" s="684">
        <f>IF(Y105=0,,VLOOKUP(Y105,リスト!CX:CY,2,0))</f>
        <v>0</v>
      </c>
      <c r="AC105" s="684">
        <f t="shared" si="19"/>
        <v>0</v>
      </c>
      <c r="AD105" s="685">
        <f>IF(AC105=0,,VLOOKUP(AC105,リスト!DK:DL,2,0))</f>
        <v>0</v>
      </c>
      <c r="AE105" s="670">
        <f>IF(Y105=0,,
IF(OR(リスト!$C$21="小麦",リスト!$C$21="二条大麦",リスト!$C$21="六条大麦",リスト!$C$21="はだか麦",リスト!$C$21="なたね"),IF(K105&lt;9,調査年-J105,調査年-J105-1),
IF(リスト!$C$21="さとうきび",IF(K105&gt;=4,調査年-J105,調査年-J105+1),
調査年-J105)))</f>
        <v>0</v>
      </c>
      <c r="AF105" s="385">
        <f t="shared" si="20"/>
        <v>0</v>
      </c>
      <c r="AG105" s="385">
        <f t="shared" si="21"/>
        <v>0</v>
      </c>
      <c r="AH105" s="385">
        <f t="shared" si="22"/>
        <v>0</v>
      </c>
      <c r="AI105" s="385">
        <f t="shared" si="23"/>
        <v>0</v>
      </c>
      <c r="AJ105" s="385">
        <f t="shared" si="24"/>
        <v>0</v>
      </c>
      <c r="AK105" s="385">
        <f t="shared" si="32"/>
        <v>0</v>
      </c>
      <c r="AL105" s="385">
        <f t="shared" si="25"/>
        <v>0</v>
      </c>
      <c r="AM105" s="385">
        <f t="shared" si="26"/>
        <v>0</v>
      </c>
      <c r="AN105" s="394"/>
      <c r="AO105" s="672">
        <f>IF(OR(P105=0,AG105=0),,
IF(OR(リスト!$C$21="小麦",リスト!$C$21="二条大麦",リスト!$C$21="六条大麦",リスト!$C$21="はだか麦",リスト!$C$21="なたね"),IF(OR(AND(K105&lt;9,J105=調査年),AND(K105&gt;=9,J105=調査年-1)),,ROUND(AG105*P105%,0)),
IF(リスト!$C$21="さとうきび",IF(OR(AND(K105&gt;=4,J105=調査年),AND(K105&lt;4,J105=調査年+1)),,ROUND(AG105*P105%,0)),
IF(J105=調査年,,ROUND(AG105*P105%,0)))))</f>
        <v>0</v>
      </c>
      <c r="AP105" s="672">
        <f t="shared" si="27"/>
        <v>0</v>
      </c>
      <c r="AQ105" s="385">
        <f t="shared" si="28"/>
        <v>0</v>
      </c>
      <c r="AR105" s="672">
        <f t="shared" si="29"/>
        <v>0</v>
      </c>
      <c r="AS105" s="385">
        <f>IF(P105=0,,
SUM(
IF(OR(リスト!$C$21="小麦",リスト!$C$21="二条大麦",リスト!$C$21="六条大麦",リスト!$C$21="はだか麦",リスト!$C$21="なたね"),IF(OR(AND(Z105=1,K105&lt;9,J105=調査年),AND(Z105=1,K105&gt;=9,J105=調査年-1)),ROUND(L105*P105%,0),),
IF(リスト!$C$21="さとうきび",IF(OR(AND(Z105=1,K105&gt;=4,J105=調査年),AND(Z105=1,K105&lt;4,J105=調査年+1)),ROUND(L105*P105%,0),),
IF(AND(Z105=1,J105=調査年),ROUND(L105*P105%,0),))),
ROUND(N105*P105%,0),
ROUND(SUM(AK105)*P105%,0)
))</f>
        <v>0</v>
      </c>
      <c r="AT105" s="385">
        <f t="shared" si="30"/>
        <v>0</v>
      </c>
      <c r="AU105" s="385" t="str">
        <f t="shared" si="31"/>
        <v/>
      </c>
      <c r="AV105" s="686"/>
      <c r="AW105" s="686"/>
      <c r="AX105" s="686"/>
      <c r="AY105" s="686"/>
      <c r="AZ105" s="686"/>
    </row>
    <row r="106" spans="3:52" s="46" customFormat="1" ht="30" hidden="1" customHeight="1" outlineLevel="1">
      <c r="C106" s="674">
        <v>91</v>
      </c>
      <c r="D106" s="687"/>
      <c r="E106" s="676"/>
      <c r="F106" s="677"/>
      <c r="G106" s="1899"/>
      <c r="H106" s="1900"/>
      <c r="I106" s="678"/>
      <c r="J106" s="679"/>
      <c r="K106" s="680"/>
      <c r="L106" s="681"/>
      <c r="M106" s="681"/>
      <c r="N106" s="681"/>
      <c r="O106" s="681"/>
      <c r="P106" s="1094"/>
      <c r="Q106" s="682"/>
      <c r="R106" s="683"/>
      <c r="S106" s="681"/>
      <c r="T106" s="668"/>
      <c r="U106" s="2"/>
      <c r="V106" s="1105"/>
      <c r="W106" s="669"/>
      <c r="X106" s="2"/>
      <c r="Y106" s="684">
        <f t="shared" si="33"/>
        <v>0</v>
      </c>
      <c r="Z106" s="670">
        <f t="shared" si="34"/>
        <v>0</v>
      </c>
      <c r="AA106" s="670">
        <f t="shared" si="35"/>
        <v>0</v>
      </c>
      <c r="AB106" s="684">
        <f>IF(Y106=0,,VLOOKUP(Y106,リスト!CX:CY,2,0))</f>
        <v>0</v>
      </c>
      <c r="AC106" s="684">
        <f t="shared" si="19"/>
        <v>0</v>
      </c>
      <c r="AD106" s="685">
        <f>IF(AC106=0,,VLOOKUP(AC106,リスト!DK:DL,2,0))</f>
        <v>0</v>
      </c>
      <c r="AE106" s="670">
        <f>IF(Y106=0,,
IF(OR(リスト!$C$21="小麦",リスト!$C$21="二条大麦",リスト!$C$21="六条大麦",リスト!$C$21="はだか麦",リスト!$C$21="なたね"),IF(K106&lt;9,調査年-J106,調査年-J106-1),
IF(リスト!$C$21="さとうきび",IF(K106&gt;=4,調査年-J106,調査年-J106+1),
調査年-J106)))</f>
        <v>0</v>
      </c>
      <c r="AF106" s="385">
        <f t="shared" si="20"/>
        <v>0</v>
      </c>
      <c r="AG106" s="385">
        <f t="shared" si="21"/>
        <v>0</v>
      </c>
      <c r="AH106" s="385">
        <f t="shared" si="22"/>
        <v>0</v>
      </c>
      <c r="AI106" s="385">
        <f t="shared" si="23"/>
        <v>0</v>
      </c>
      <c r="AJ106" s="385">
        <f t="shared" si="24"/>
        <v>0</v>
      </c>
      <c r="AK106" s="385">
        <f t="shared" si="32"/>
        <v>0</v>
      </c>
      <c r="AL106" s="385">
        <f t="shared" si="25"/>
        <v>0</v>
      </c>
      <c r="AM106" s="385">
        <f t="shared" si="26"/>
        <v>0</v>
      </c>
      <c r="AN106" s="394"/>
      <c r="AO106" s="672">
        <f>IF(OR(P106=0,AG106=0),,
IF(OR(リスト!$C$21="小麦",リスト!$C$21="二条大麦",リスト!$C$21="六条大麦",リスト!$C$21="はだか麦",リスト!$C$21="なたね"),IF(OR(AND(K106&lt;9,J106=調査年),AND(K106&gt;=9,J106=調査年-1)),,ROUND(AG106*P106%,0)),
IF(リスト!$C$21="さとうきび",IF(OR(AND(K106&gt;=4,J106=調査年),AND(K106&lt;4,J106=調査年+1)),,ROUND(AG106*P106%,0)),
IF(J106=調査年,,ROUND(AG106*P106%,0)))))</f>
        <v>0</v>
      </c>
      <c r="AP106" s="672">
        <f t="shared" si="27"/>
        <v>0</v>
      </c>
      <c r="AQ106" s="385">
        <f t="shared" si="28"/>
        <v>0</v>
      </c>
      <c r="AR106" s="672">
        <f t="shared" si="29"/>
        <v>0</v>
      </c>
      <c r="AS106" s="385">
        <f>IF(P106=0,,
SUM(
IF(OR(リスト!$C$21="小麦",リスト!$C$21="二条大麦",リスト!$C$21="六条大麦",リスト!$C$21="はだか麦",リスト!$C$21="なたね"),IF(OR(AND(Z106=1,K106&lt;9,J106=調査年),AND(Z106=1,K106&gt;=9,J106=調査年-1)),ROUND(L106*P106%,0),),
IF(リスト!$C$21="さとうきび",IF(OR(AND(Z106=1,K106&gt;=4,J106=調査年),AND(Z106=1,K106&lt;4,J106=調査年+1)),ROUND(L106*P106%,0),),
IF(AND(Z106=1,J106=調査年),ROUND(L106*P106%,0),))),
ROUND(N106*P106%,0),
ROUND(SUM(AK106)*P106%,0)
))</f>
        <v>0</v>
      </c>
      <c r="AT106" s="385">
        <f t="shared" si="30"/>
        <v>0</v>
      </c>
      <c r="AU106" s="385" t="str">
        <f t="shared" si="31"/>
        <v/>
      </c>
      <c r="AV106" s="686"/>
      <c r="AW106" s="686"/>
      <c r="AX106" s="686"/>
      <c r="AY106" s="686"/>
      <c r="AZ106" s="686"/>
    </row>
    <row r="107" spans="3:52" s="46" customFormat="1" ht="30" hidden="1" customHeight="1" outlineLevel="1">
      <c r="C107" s="674">
        <v>92</v>
      </c>
      <c r="D107" s="687"/>
      <c r="E107" s="676"/>
      <c r="F107" s="677"/>
      <c r="G107" s="1899"/>
      <c r="H107" s="1900"/>
      <c r="I107" s="678"/>
      <c r="J107" s="679"/>
      <c r="K107" s="680"/>
      <c r="L107" s="681"/>
      <c r="M107" s="681"/>
      <c r="N107" s="681"/>
      <c r="O107" s="681"/>
      <c r="P107" s="1094"/>
      <c r="Q107" s="682"/>
      <c r="R107" s="683"/>
      <c r="S107" s="681"/>
      <c r="T107" s="668"/>
      <c r="U107" s="2"/>
      <c r="V107" s="1105"/>
      <c r="W107" s="669"/>
      <c r="X107" s="2"/>
      <c r="Y107" s="684">
        <f t="shared" si="33"/>
        <v>0</v>
      </c>
      <c r="Z107" s="670">
        <f t="shared" si="34"/>
        <v>0</v>
      </c>
      <c r="AA107" s="670">
        <f t="shared" si="35"/>
        <v>0</v>
      </c>
      <c r="AB107" s="684">
        <f>IF(Y107=0,,VLOOKUP(Y107,リスト!CX:CY,2,0))</f>
        <v>0</v>
      </c>
      <c r="AC107" s="684">
        <f t="shared" si="19"/>
        <v>0</v>
      </c>
      <c r="AD107" s="685">
        <f>IF(AC107=0,,VLOOKUP(AC107,リスト!DK:DL,2,0))</f>
        <v>0</v>
      </c>
      <c r="AE107" s="670">
        <f>IF(Y107=0,,
IF(OR(リスト!$C$21="小麦",リスト!$C$21="二条大麦",リスト!$C$21="六条大麦",リスト!$C$21="はだか麦",リスト!$C$21="なたね"),IF(K107&lt;9,調査年-J107,調査年-J107-1),
IF(リスト!$C$21="さとうきび",IF(K107&gt;=4,調査年-J107,調査年-J107+1),
調査年-J107)))</f>
        <v>0</v>
      </c>
      <c r="AF107" s="385">
        <f t="shared" si="20"/>
        <v>0</v>
      </c>
      <c r="AG107" s="385">
        <f t="shared" si="21"/>
        <v>0</v>
      </c>
      <c r="AH107" s="385">
        <f t="shared" si="22"/>
        <v>0</v>
      </c>
      <c r="AI107" s="385">
        <f t="shared" si="23"/>
        <v>0</v>
      </c>
      <c r="AJ107" s="385">
        <f t="shared" si="24"/>
        <v>0</v>
      </c>
      <c r="AK107" s="385">
        <f t="shared" si="32"/>
        <v>0</v>
      </c>
      <c r="AL107" s="385">
        <f t="shared" si="25"/>
        <v>0</v>
      </c>
      <c r="AM107" s="385">
        <f t="shared" si="26"/>
        <v>0</v>
      </c>
      <c r="AN107" s="394"/>
      <c r="AO107" s="672">
        <f>IF(OR(P107=0,AG107=0),,
IF(OR(リスト!$C$21="小麦",リスト!$C$21="二条大麦",リスト!$C$21="六条大麦",リスト!$C$21="はだか麦",リスト!$C$21="なたね"),IF(OR(AND(K107&lt;9,J107=調査年),AND(K107&gt;=9,J107=調査年-1)),,ROUND(AG107*P107%,0)),
IF(リスト!$C$21="さとうきび",IF(OR(AND(K107&gt;=4,J107=調査年),AND(K107&lt;4,J107=調査年+1)),,ROUND(AG107*P107%,0)),
IF(J107=調査年,,ROUND(AG107*P107%,0)))))</f>
        <v>0</v>
      </c>
      <c r="AP107" s="672">
        <f t="shared" si="27"/>
        <v>0</v>
      </c>
      <c r="AQ107" s="385">
        <f t="shared" si="28"/>
        <v>0</v>
      </c>
      <c r="AR107" s="672">
        <f t="shared" si="29"/>
        <v>0</v>
      </c>
      <c r="AS107" s="385">
        <f>IF(P107=0,,
SUM(
IF(OR(リスト!$C$21="小麦",リスト!$C$21="二条大麦",リスト!$C$21="六条大麦",リスト!$C$21="はだか麦",リスト!$C$21="なたね"),IF(OR(AND(Z107=1,K107&lt;9,J107=調査年),AND(Z107=1,K107&gt;=9,J107=調査年-1)),ROUND(L107*P107%,0),),
IF(リスト!$C$21="さとうきび",IF(OR(AND(Z107=1,K107&gt;=4,J107=調査年),AND(Z107=1,K107&lt;4,J107=調査年+1)),ROUND(L107*P107%,0),),
IF(AND(Z107=1,J107=調査年),ROUND(L107*P107%,0),))),
ROUND(N107*P107%,0),
ROUND(SUM(AK107)*P107%,0)
))</f>
        <v>0</v>
      </c>
      <c r="AT107" s="385">
        <f t="shared" si="30"/>
        <v>0</v>
      </c>
      <c r="AU107" s="385" t="str">
        <f t="shared" si="31"/>
        <v/>
      </c>
      <c r="AV107" s="686"/>
      <c r="AW107" s="686"/>
      <c r="AX107" s="686"/>
      <c r="AY107" s="686"/>
      <c r="AZ107" s="686"/>
    </row>
    <row r="108" spans="3:52" s="46" customFormat="1" ht="30" hidden="1" customHeight="1" outlineLevel="1">
      <c r="C108" s="674">
        <v>93</v>
      </c>
      <c r="D108" s="687"/>
      <c r="E108" s="676"/>
      <c r="F108" s="677"/>
      <c r="G108" s="1899"/>
      <c r="H108" s="1900"/>
      <c r="I108" s="678"/>
      <c r="J108" s="679"/>
      <c r="K108" s="680"/>
      <c r="L108" s="681"/>
      <c r="M108" s="681"/>
      <c r="N108" s="681"/>
      <c r="O108" s="681"/>
      <c r="P108" s="1094"/>
      <c r="Q108" s="682"/>
      <c r="R108" s="683"/>
      <c r="S108" s="681"/>
      <c r="T108" s="668"/>
      <c r="U108" s="2"/>
      <c r="V108" s="1105"/>
      <c r="W108" s="669"/>
      <c r="X108" s="2"/>
      <c r="Y108" s="684">
        <f t="shared" si="33"/>
        <v>0</v>
      </c>
      <c r="Z108" s="670">
        <f t="shared" si="34"/>
        <v>0</v>
      </c>
      <c r="AA108" s="670">
        <f t="shared" si="35"/>
        <v>0</v>
      </c>
      <c r="AB108" s="684">
        <f>IF(Y108=0,,VLOOKUP(Y108,リスト!CX:CY,2,0))</f>
        <v>0</v>
      </c>
      <c r="AC108" s="684">
        <f t="shared" si="19"/>
        <v>0</v>
      </c>
      <c r="AD108" s="685">
        <f>IF(AC108=0,,VLOOKUP(AC108,リスト!DK:DL,2,0))</f>
        <v>0</v>
      </c>
      <c r="AE108" s="670">
        <f>IF(Y108=0,,
IF(OR(リスト!$C$21="小麦",リスト!$C$21="二条大麦",リスト!$C$21="六条大麦",リスト!$C$21="はだか麦",リスト!$C$21="なたね"),IF(K108&lt;9,調査年-J108,調査年-J108-1),
IF(リスト!$C$21="さとうきび",IF(K108&gt;=4,調査年-J108,調査年-J108+1),
調査年-J108)))</f>
        <v>0</v>
      </c>
      <c r="AF108" s="385">
        <f t="shared" si="20"/>
        <v>0</v>
      </c>
      <c r="AG108" s="385">
        <f t="shared" si="21"/>
        <v>0</v>
      </c>
      <c r="AH108" s="385">
        <f t="shared" si="22"/>
        <v>0</v>
      </c>
      <c r="AI108" s="385">
        <f t="shared" si="23"/>
        <v>0</v>
      </c>
      <c r="AJ108" s="385">
        <f t="shared" si="24"/>
        <v>0</v>
      </c>
      <c r="AK108" s="385">
        <f t="shared" si="32"/>
        <v>0</v>
      </c>
      <c r="AL108" s="385">
        <f t="shared" si="25"/>
        <v>0</v>
      </c>
      <c r="AM108" s="385">
        <f t="shared" si="26"/>
        <v>0</v>
      </c>
      <c r="AN108" s="394"/>
      <c r="AO108" s="672">
        <f>IF(OR(P108=0,AG108=0),,
IF(OR(リスト!$C$21="小麦",リスト!$C$21="二条大麦",リスト!$C$21="六条大麦",リスト!$C$21="はだか麦",リスト!$C$21="なたね"),IF(OR(AND(K108&lt;9,J108=調査年),AND(K108&gt;=9,J108=調査年-1)),,ROUND(AG108*P108%,0)),
IF(リスト!$C$21="さとうきび",IF(OR(AND(K108&gt;=4,J108=調査年),AND(K108&lt;4,J108=調査年+1)),,ROUND(AG108*P108%,0)),
IF(J108=調査年,,ROUND(AG108*P108%,0)))))</f>
        <v>0</v>
      </c>
      <c r="AP108" s="672">
        <f t="shared" si="27"/>
        <v>0</v>
      </c>
      <c r="AQ108" s="385">
        <f t="shared" si="28"/>
        <v>0</v>
      </c>
      <c r="AR108" s="672">
        <f t="shared" si="29"/>
        <v>0</v>
      </c>
      <c r="AS108" s="385">
        <f>IF(P108=0,,
SUM(
IF(OR(リスト!$C$21="小麦",リスト!$C$21="二条大麦",リスト!$C$21="六条大麦",リスト!$C$21="はだか麦",リスト!$C$21="なたね"),IF(OR(AND(Z108=1,K108&lt;9,J108=調査年),AND(Z108=1,K108&gt;=9,J108=調査年-1)),ROUND(L108*P108%,0),),
IF(リスト!$C$21="さとうきび",IF(OR(AND(Z108=1,K108&gt;=4,J108=調査年),AND(Z108=1,K108&lt;4,J108=調査年+1)),ROUND(L108*P108%,0),),
IF(AND(Z108=1,J108=調査年),ROUND(L108*P108%,0),))),
ROUND(N108*P108%,0),
ROUND(SUM(AK108)*P108%,0)
))</f>
        <v>0</v>
      </c>
      <c r="AT108" s="385">
        <f t="shared" si="30"/>
        <v>0</v>
      </c>
      <c r="AU108" s="385" t="str">
        <f t="shared" si="31"/>
        <v/>
      </c>
      <c r="AV108" s="686"/>
      <c r="AW108" s="686"/>
      <c r="AX108" s="686"/>
      <c r="AY108" s="686"/>
      <c r="AZ108" s="686"/>
    </row>
    <row r="109" spans="3:52" s="46" customFormat="1" ht="30" hidden="1" customHeight="1" outlineLevel="1">
      <c r="C109" s="674">
        <v>94</v>
      </c>
      <c r="D109" s="687"/>
      <c r="E109" s="676"/>
      <c r="F109" s="677"/>
      <c r="G109" s="1899"/>
      <c r="H109" s="1900"/>
      <c r="I109" s="678"/>
      <c r="J109" s="679"/>
      <c r="K109" s="680"/>
      <c r="L109" s="681"/>
      <c r="M109" s="681"/>
      <c r="N109" s="681"/>
      <c r="O109" s="681"/>
      <c r="P109" s="1094"/>
      <c r="Q109" s="682"/>
      <c r="R109" s="683"/>
      <c r="S109" s="681"/>
      <c r="T109" s="668"/>
      <c r="U109" s="2"/>
      <c r="V109" s="1105"/>
      <c r="W109" s="669"/>
      <c r="X109" s="2"/>
      <c r="Y109" s="684">
        <f t="shared" si="33"/>
        <v>0</v>
      </c>
      <c r="Z109" s="670">
        <f t="shared" si="34"/>
        <v>0</v>
      </c>
      <c r="AA109" s="670">
        <f t="shared" si="35"/>
        <v>0</v>
      </c>
      <c r="AB109" s="684">
        <f>IF(Y109=0,,VLOOKUP(Y109,リスト!CX:CY,2,0))</f>
        <v>0</v>
      </c>
      <c r="AC109" s="684">
        <f t="shared" si="19"/>
        <v>0</v>
      </c>
      <c r="AD109" s="685">
        <f>IF(AC109=0,,VLOOKUP(AC109,リスト!DK:DL,2,0))</f>
        <v>0</v>
      </c>
      <c r="AE109" s="670">
        <f>IF(Y109=0,,
IF(OR(リスト!$C$21="小麦",リスト!$C$21="二条大麦",リスト!$C$21="六条大麦",リスト!$C$21="はだか麦",リスト!$C$21="なたね"),IF(K109&lt;9,調査年-J109,調査年-J109-1),
IF(リスト!$C$21="さとうきび",IF(K109&gt;=4,調査年-J109,調査年-J109+1),
調査年-J109)))</f>
        <v>0</v>
      </c>
      <c r="AF109" s="385">
        <f t="shared" si="20"/>
        <v>0</v>
      </c>
      <c r="AG109" s="385">
        <f t="shared" si="21"/>
        <v>0</v>
      </c>
      <c r="AH109" s="385">
        <f t="shared" si="22"/>
        <v>0</v>
      </c>
      <c r="AI109" s="385">
        <f t="shared" si="23"/>
        <v>0</v>
      </c>
      <c r="AJ109" s="385">
        <f t="shared" si="24"/>
        <v>0</v>
      </c>
      <c r="AK109" s="385">
        <f t="shared" si="32"/>
        <v>0</v>
      </c>
      <c r="AL109" s="385">
        <f t="shared" si="25"/>
        <v>0</v>
      </c>
      <c r="AM109" s="385">
        <f t="shared" si="26"/>
        <v>0</v>
      </c>
      <c r="AN109" s="394"/>
      <c r="AO109" s="672">
        <f>IF(OR(P109=0,AG109=0),,
IF(OR(リスト!$C$21="小麦",リスト!$C$21="二条大麦",リスト!$C$21="六条大麦",リスト!$C$21="はだか麦",リスト!$C$21="なたね"),IF(OR(AND(K109&lt;9,J109=調査年),AND(K109&gt;=9,J109=調査年-1)),,ROUND(AG109*P109%,0)),
IF(リスト!$C$21="さとうきび",IF(OR(AND(K109&gt;=4,J109=調査年),AND(K109&lt;4,J109=調査年+1)),,ROUND(AG109*P109%,0)),
IF(J109=調査年,,ROUND(AG109*P109%,0)))))</f>
        <v>0</v>
      </c>
      <c r="AP109" s="672">
        <f t="shared" si="27"/>
        <v>0</v>
      </c>
      <c r="AQ109" s="385">
        <f t="shared" si="28"/>
        <v>0</v>
      </c>
      <c r="AR109" s="672">
        <f t="shared" si="29"/>
        <v>0</v>
      </c>
      <c r="AS109" s="385">
        <f>IF(P109=0,,
SUM(
IF(OR(リスト!$C$21="小麦",リスト!$C$21="二条大麦",リスト!$C$21="六条大麦",リスト!$C$21="はだか麦",リスト!$C$21="なたね"),IF(OR(AND(Z109=1,K109&lt;9,J109=調査年),AND(Z109=1,K109&gt;=9,J109=調査年-1)),ROUND(L109*P109%,0),),
IF(リスト!$C$21="さとうきび",IF(OR(AND(Z109=1,K109&gt;=4,J109=調査年),AND(Z109=1,K109&lt;4,J109=調査年+1)),ROUND(L109*P109%,0),),
IF(AND(Z109=1,J109=調査年),ROUND(L109*P109%,0),))),
ROUND(N109*P109%,0),
ROUND(SUM(AK109)*P109%,0)
))</f>
        <v>0</v>
      </c>
      <c r="AT109" s="385">
        <f t="shared" si="30"/>
        <v>0</v>
      </c>
      <c r="AU109" s="385" t="str">
        <f t="shared" si="31"/>
        <v/>
      </c>
      <c r="AV109" s="686"/>
      <c r="AW109" s="686"/>
      <c r="AX109" s="686"/>
      <c r="AY109" s="686"/>
      <c r="AZ109" s="686"/>
    </row>
    <row r="110" spans="3:52" s="46" customFormat="1" ht="30" hidden="1" customHeight="1" outlineLevel="1">
      <c r="C110" s="674">
        <v>95</v>
      </c>
      <c r="D110" s="687"/>
      <c r="E110" s="676"/>
      <c r="F110" s="677"/>
      <c r="G110" s="1899"/>
      <c r="H110" s="1900"/>
      <c r="I110" s="678"/>
      <c r="J110" s="679"/>
      <c r="K110" s="680"/>
      <c r="L110" s="681"/>
      <c r="M110" s="681"/>
      <c r="N110" s="681"/>
      <c r="O110" s="681"/>
      <c r="P110" s="1094"/>
      <c r="Q110" s="682"/>
      <c r="R110" s="683"/>
      <c r="S110" s="681"/>
      <c r="T110" s="668"/>
      <c r="U110" s="2"/>
      <c r="V110" s="1105"/>
      <c r="W110" s="669"/>
      <c r="X110" s="2"/>
      <c r="Y110" s="684">
        <f t="shared" si="33"/>
        <v>0</v>
      </c>
      <c r="Z110" s="670">
        <f t="shared" si="34"/>
        <v>0</v>
      </c>
      <c r="AA110" s="670">
        <f t="shared" si="35"/>
        <v>0</v>
      </c>
      <c r="AB110" s="684">
        <f>IF(Y110=0,,VLOOKUP(Y110,リスト!CX:CY,2,0))</f>
        <v>0</v>
      </c>
      <c r="AC110" s="684">
        <f t="shared" si="19"/>
        <v>0</v>
      </c>
      <c r="AD110" s="685">
        <f>IF(AC110=0,,VLOOKUP(AC110,リスト!DK:DL,2,0))</f>
        <v>0</v>
      </c>
      <c r="AE110" s="670">
        <f>IF(Y110=0,,
IF(OR(リスト!$C$21="小麦",リスト!$C$21="二条大麦",リスト!$C$21="六条大麦",リスト!$C$21="はだか麦",リスト!$C$21="なたね"),IF(K110&lt;9,調査年-J110,調査年-J110-1),
IF(リスト!$C$21="さとうきび",IF(K110&gt;=4,調査年-J110,調査年-J110+1),
調査年-J110)))</f>
        <v>0</v>
      </c>
      <c r="AF110" s="385">
        <f t="shared" si="20"/>
        <v>0</v>
      </c>
      <c r="AG110" s="385">
        <f t="shared" si="21"/>
        <v>0</v>
      </c>
      <c r="AH110" s="385">
        <f t="shared" si="22"/>
        <v>0</v>
      </c>
      <c r="AI110" s="385">
        <f t="shared" si="23"/>
        <v>0</v>
      </c>
      <c r="AJ110" s="385">
        <f t="shared" si="24"/>
        <v>0</v>
      </c>
      <c r="AK110" s="385">
        <f t="shared" si="32"/>
        <v>0</v>
      </c>
      <c r="AL110" s="385">
        <f t="shared" si="25"/>
        <v>0</v>
      </c>
      <c r="AM110" s="385">
        <f t="shared" si="26"/>
        <v>0</v>
      </c>
      <c r="AN110" s="394"/>
      <c r="AO110" s="672">
        <f>IF(OR(P110=0,AG110=0),,
IF(OR(リスト!$C$21="小麦",リスト!$C$21="二条大麦",リスト!$C$21="六条大麦",リスト!$C$21="はだか麦",リスト!$C$21="なたね"),IF(OR(AND(K110&lt;9,J110=調査年),AND(K110&gt;=9,J110=調査年-1)),,ROUND(AG110*P110%,0)),
IF(リスト!$C$21="さとうきび",IF(OR(AND(K110&gt;=4,J110=調査年),AND(K110&lt;4,J110=調査年+1)),,ROUND(AG110*P110%,0)),
IF(J110=調査年,,ROUND(AG110*P110%,0)))))</f>
        <v>0</v>
      </c>
      <c r="AP110" s="672">
        <f t="shared" si="27"/>
        <v>0</v>
      </c>
      <c r="AQ110" s="385">
        <f t="shared" si="28"/>
        <v>0</v>
      </c>
      <c r="AR110" s="672">
        <f t="shared" si="29"/>
        <v>0</v>
      </c>
      <c r="AS110" s="385">
        <f>IF(P110=0,,
SUM(
IF(OR(リスト!$C$21="小麦",リスト!$C$21="二条大麦",リスト!$C$21="六条大麦",リスト!$C$21="はだか麦",リスト!$C$21="なたね"),IF(OR(AND(Z110=1,K110&lt;9,J110=調査年),AND(Z110=1,K110&gt;=9,J110=調査年-1)),ROUND(L110*P110%,0),),
IF(リスト!$C$21="さとうきび",IF(OR(AND(Z110=1,K110&gt;=4,J110=調査年),AND(Z110=1,K110&lt;4,J110=調査年+1)),ROUND(L110*P110%,0),),
IF(AND(Z110=1,J110=調査年),ROUND(L110*P110%,0),))),
ROUND(N110*P110%,0),
ROUND(SUM(AK110)*P110%,0)
))</f>
        <v>0</v>
      </c>
      <c r="AT110" s="385">
        <f t="shared" si="30"/>
        <v>0</v>
      </c>
      <c r="AU110" s="385" t="str">
        <f t="shared" si="31"/>
        <v/>
      </c>
      <c r="AV110" s="686"/>
      <c r="AW110" s="686"/>
      <c r="AX110" s="686"/>
      <c r="AY110" s="686"/>
      <c r="AZ110" s="686"/>
    </row>
    <row r="111" spans="3:52" s="46" customFormat="1" ht="30" hidden="1" customHeight="1" outlineLevel="1">
      <c r="C111" s="674">
        <v>96</v>
      </c>
      <c r="D111" s="687"/>
      <c r="E111" s="676"/>
      <c r="F111" s="677"/>
      <c r="G111" s="1899"/>
      <c r="H111" s="1900"/>
      <c r="I111" s="678"/>
      <c r="J111" s="679"/>
      <c r="K111" s="680"/>
      <c r="L111" s="681"/>
      <c r="M111" s="681"/>
      <c r="N111" s="681"/>
      <c r="O111" s="681"/>
      <c r="P111" s="1094"/>
      <c r="Q111" s="682"/>
      <c r="R111" s="683"/>
      <c r="S111" s="681"/>
      <c r="T111" s="668"/>
      <c r="U111" s="2"/>
      <c r="V111" s="1105"/>
      <c r="W111" s="669"/>
      <c r="X111" s="2"/>
      <c r="Y111" s="684">
        <f t="shared" si="33"/>
        <v>0</v>
      </c>
      <c r="Z111" s="670">
        <f t="shared" si="34"/>
        <v>0</v>
      </c>
      <c r="AA111" s="670">
        <f t="shared" si="35"/>
        <v>0</v>
      </c>
      <c r="AB111" s="684">
        <f>IF(Y111=0,,VLOOKUP(Y111,リスト!CX:CY,2,0))</f>
        <v>0</v>
      </c>
      <c r="AC111" s="684">
        <f t="shared" si="19"/>
        <v>0</v>
      </c>
      <c r="AD111" s="685">
        <f>IF(AC111=0,,VLOOKUP(AC111,リスト!DK:DL,2,0))</f>
        <v>0</v>
      </c>
      <c r="AE111" s="670">
        <f>IF(Y111=0,,
IF(OR(リスト!$C$21="小麦",リスト!$C$21="二条大麦",リスト!$C$21="六条大麦",リスト!$C$21="はだか麦",リスト!$C$21="なたね"),IF(K111&lt;9,調査年-J111,調査年-J111-1),
IF(リスト!$C$21="さとうきび",IF(K111&gt;=4,調査年-J111,調査年-J111+1),
調査年-J111)))</f>
        <v>0</v>
      </c>
      <c r="AF111" s="385">
        <f t="shared" si="20"/>
        <v>0</v>
      </c>
      <c r="AG111" s="385">
        <f t="shared" si="21"/>
        <v>0</v>
      </c>
      <c r="AH111" s="385">
        <f t="shared" si="22"/>
        <v>0</v>
      </c>
      <c r="AI111" s="385">
        <f t="shared" si="23"/>
        <v>0</v>
      </c>
      <c r="AJ111" s="385">
        <f t="shared" si="24"/>
        <v>0</v>
      </c>
      <c r="AK111" s="385">
        <f t="shared" si="32"/>
        <v>0</v>
      </c>
      <c r="AL111" s="385">
        <f t="shared" si="25"/>
        <v>0</v>
      </c>
      <c r="AM111" s="385">
        <f t="shared" si="26"/>
        <v>0</v>
      </c>
      <c r="AN111" s="394"/>
      <c r="AO111" s="672">
        <f>IF(OR(P111=0,AG111=0),,
IF(OR(リスト!$C$21="小麦",リスト!$C$21="二条大麦",リスト!$C$21="六条大麦",リスト!$C$21="はだか麦",リスト!$C$21="なたね"),IF(OR(AND(K111&lt;9,J111=調査年),AND(K111&gt;=9,J111=調査年-1)),,ROUND(AG111*P111%,0)),
IF(リスト!$C$21="さとうきび",IF(OR(AND(K111&gt;=4,J111=調査年),AND(K111&lt;4,J111=調査年+1)),,ROUND(AG111*P111%,0)),
IF(J111=調査年,,ROUND(AG111*P111%,0)))))</f>
        <v>0</v>
      </c>
      <c r="AP111" s="672">
        <f t="shared" si="27"/>
        <v>0</v>
      </c>
      <c r="AQ111" s="385">
        <f t="shared" si="28"/>
        <v>0</v>
      </c>
      <c r="AR111" s="672">
        <f t="shared" si="29"/>
        <v>0</v>
      </c>
      <c r="AS111" s="385">
        <f>IF(P111=0,,
SUM(
IF(OR(リスト!$C$21="小麦",リスト!$C$21="二条大麦",リスト!$C$21="六条大麦",リスト!$C$21="はだか麦",リスト!$C$21="なたね"),IF(OR(AND(Z111=1,K111&lt;9,J111=調査年),AND(Z111=1,K111&gt;=9,J111=調査年-1)),ROUND(L111*P111%,0),),
IF(リスト!$C$21="さとうきび",IF(OR(AND(Z111=1,K111&gt;=4,J111=調査年),AND(Z111=1,K111&lt;4,J111=調査年+1)),ROUND(L111*P111%,0),),
IF(AND(Z111=1,J111=調査年),ROUND(L111*P111%,0),))),
ROUND(N111*P111%,0),
ROUND(SUM(AK111)*P111%,0)
))</f>
        <v>0</v>
      </c>
      <c r="AT111" s="385">
        <f t="shared" si="30"/>
        <v>0</v>
      </c>
      <c r="AU111" s="385" t="str">
        <f t="shared" si="31"/>
        <v/>
      </c>
      <c r="AV111" s="686"/>
      <c r="AW111" s="686"/>
      <c r="AX111" s="686"/>
      <c r="AY111" s="686"/>
      <c r="AZ111" s="686"/>
    </row>
    <row r="112" spans="3:52" s="46" customFormat="1" ht="30" hidden="1" customHeight="1" outlineLevel="1">
      <c r="C112" s="674">
        <v>97</v>
      </c>
      <c r="D112" s="687"/>
      <c r="E112" s="676"/>
      <c r="F112" s="677"/>
      <c r="G112" s="1899"/>
      <c r="H112" s="1900"/>
      <c r="I112" s="678"/>
      <c r="J112" s="679"/>
      <c r="K112" s="680"/>
      <c r="L112" s="681"/>
      <c r="M112" s="681"/>
      <c r="N112" s="681"/>
      <c r="O112" s="681"/>
      <c r="P112" s="1094"/>
      <c r="Q112" s="682"/>
      <c r="R112" s="683"/>
      <c r="S112" s="681"/>
      <c r="T112" s="668"/>
      <c r="U112" s="2"/>
      <c r="V112" s="1105"/>
      <c r="W112" s="669"/>
      <c r="X112" s="2"/>
      <c r="Y112" s="684">
        <f t="shared" si="33"/>
        <v>0</v>
      </c>
      <c r="Z112" s="670">
        <f t="shared" si="34"/>
        <v>0</v>
      </c>
      <c r="AA112" s="670">
        <f t="shared" si="35"/>
        <v>0</v>
      </c>
      <c r="AB112" s="684">
        <f>IF(Y112=0,,VLOOKUP(Y112,リスト!CX:CY,2,0))</f>
        <v>0</v>
      </c>
      <c r="AC112" s="684">
        <f t="shared" si="19"/>
        <v>0</v>
      </c>
      <c r="AD112" s="685">
        <f>IF(AC112=0,,VLOOKUP(AC112,リスト!DK:DL,2,0))</f>
        <v>0</v>
      </c>
      <c r="AE112" s="670">
        <f>IF(Y112=0,,
IF(OR(リスト!$C$21="小麦",リスト!$C$21="二条大麦",リスト!$C$21="六条大麦",リスト!$C$21="はだか麦",リスト!$C$21="なたね"),IF(K112&lt;9,調査年-J112,調査年-J112-1),
IF(リスト!$C$21="さとうきび",IF(K112&gt;=4,調査年-J112,調査年-J112+1),
調査年-J112)))</f>
        <v>0</v>
      </c>
      <c r="AF112" s="385">
        <f t="shared" ref="AF112:AF115" si="36">IF(OR(Y112=0,Z112=1),,
IF(AND(AC112&gt;0,AE112&lt;AC112,AG112&lt;=ROUND((L112-1)*AD112,0)),ROUND(AG112*IF(R112="[2]部分取り壊し",IFERROR(1-(V112%),1),1),0),
IF(AND(AC112&gt;0,AE112&lt;AC112),ROUND((L112-1)*AD112*IF(R112="[2]部分取り壊し",IFERROR(1-(V112%),1),1),0),)))</f>
        <v>0</v>
      </c>
      <c r="AG112" s="385">
        <f t="shared" si="21"/>
        <v>0</v>
      </c>
      <c r="AH112" s="385">
        <f t="shared" si="22"/>
        <v>0</v>
      </c>
      <c r="AI112" s="385">
        <f t="shared" si="23"/>
        <v>0</v>
      </c>
      <c r="AJ112" s="385">
        <f t="shared" si="24"/>
        <v>0</v>
      </c>
      <c r="AK112" s="385">
        <f t="shared" si="32"/>
        <v>0</v>
      </c>
      <c r="AL112" s="385">
        <f t="shared" si="25"/>
        <v>0</v>
      </c>
      <c r="AM112" s="385">
        <f t="shared" si="26"/>
        <v>0</v>
      </c>
      <c r="AN112" s="394"/>
      <c r="AO112" s="672">
        <f>IF(OR(P112=0,AG112=0),,
IF(OR(リスト!$C$21="小麦",リスト!$C$21="二条大麦",リスト!$C$21="六条大麦",リスト!$C$21="はだか麦",リスト!$C$21="なたね"),IF(OR(AND(K112&lt;9,J112=調査年),AND(K112&gt;=9,J112=調査年-1)),,ROUND(AG112*P112%,0)),
IF(リスト!$C$21="さとうきび",IF(OR(AND(K112&gt;=4,J112=調査年),AND(K112&lt;4,J112=調査年+1)),,ROUND(AG112*P112%,0)),
IF(J112=調査年,,ROUND(AG112*P112%,0)))))</f>
        <v>0</v>
      </c>
      <c r="AP112" s="672">
        <f t="shared" si="27"/>
        <v>0</v>
      </c>
      <c r="AQ112" s="385">
        <f t="shared" si="28"/>
        <v>0</v>
      </c>
      <c r="AR112" s="672">
        <f t="shared" si="29"/>
        <v>0</v>
      </c>
      <c r="AS112" s="385">
        <f>IF(P112=0,,
SUM(
IF(OR(リスト!$C$21="小麦",リスト!$C$21="二条大麦",リスト!$C$21="六条大麦",リスト!$C$21="はだか麦",リスト!$C$21="なたね"),IF(OR(AND(Z112=1,K112&lt;9,J112=調査年),AND(Z112=1,K112&gt;=9,J112=調査年-1)),ROUND(L112*P112%,0),),
IF(リスト!$C$21="さとうきび",IF(OR(AND(Z112=1,K112&gt;=4,J112=調査年),AND(Z112=1,K112&lt;4,J112=調査年+1)),ROUND(L112*P112%,0),),
IF(AND(Z112=1,J112=調査年),ROUND(L112*P112%,0),))),
ROUND(N112*P112%,0),
ROUND(SUM(AK112)*P112%,0)
))</f>
        <v>0</v>
      </c>
      <c r="AT112" s="385">
        <f t="shared" si="30"/>
        <v>0</v>
      </c>
      <c r="AU112" s="385" t="str">
        <f t="shared" si="31"/>
        <v/>
      </c>
      <c r="AV112" s="686"/>
      <c r="AW112" s="686"/>
      <c r="AX112" s="686"/>
      <c r="AY112" s="686"/>
      <c r="AZ112" s="686"/>
    </row>
    <row r="113" spans="3:52" s="46" customFormat="1" ht="30" hidden="1" customHeight="1" outlineLevel="1">
      <c r="C113" s="674">
        <v>98</v>
      </c>
      <c r="D113" s="687"/>
      <c r="E113" s="676"/>
      <c r="F113" s="677"/>
      <c r="G113" s="1899"/>
      <c r="H113" s="1900"/>
      <c r="I113" s="678"/>
      <c r="J113" s="679"/>
      <c r="K113" s="680"/>
      <c r="L113" s="681"/>
      <c r="M113" s="681"/>
      <c r="N113" s="681"/>
      <c r="O113" s="681"/>
      <c r="P113" s="1094"/>
      <c r="Q113" s="682"/>
      <c r="R113" s="683"/>
      <c r="S113" s="681"/>
      <c r="T113" s="668"/>
      <c r="U113" s="2"/>
      <c r="V113" s="1105"/>
      <c r="W113" s="669"/>
      <c r="X113" s="2"/>
      <c r="Y113" s="684">
        <f t="shared" si="33"/>
        <v>0</v>
      </c>
      <c r="Z113" s="670">
        <f t="shared" si="34"/>
        <v>0</v>
      </c>
      <c r="AA113" s="670">
        <f t="shared" si="35"/>
        <v>0</v>
      </c>
      <c r="AB113" s="684">
        <f>IF(Y113=0,,VLOOKUP(Y113,リスト!CX:CY,2,0))</f>
        <v>0</v>
      </c>
      <c r="AC113" s="684">
        <f t="shared" si="19"/>
        <v>0</v>
      </c>
      <c r="AD113" s="685">
        <f>IF(AC113=0,,VLOOKUP(AC113,リスト!DK:DL,2,0))</f>
        <v>0</v>
      </c>
      <c r="AE113" s="670">
        <f>IF(Y113=0,,
IF(OR(リスト!$C$21="小麦",リスト!$C$21="二条大麦",リスト!$C$21="六条大麦",リスト!$C$21="はだか麦",リスト!$C$21="なたね"),IF(K113&lt;9,調査年-J113,調査年-J113-1),
IF(リスト!$C$21="さとうきび",IF(K113&gt;=4,調査年-J113,調査年-J113+1),
調査年-J113)))</f>
        <v>0</v>
      </c>
      <c r="AF113" s="385">
        <f t="shared" si="36"/>
        <v>0</v>
      </c>
      <c r="AG113" s="385">
        <f t="shared" si="21"/>
        <v>0</v>
      </c>
      <c r="AH113" s="385">
        <f t="shared" si="22"/>
        <v>0</v>
      </c>
      <c r="AI113" s="385">
        <f t="shared" si="23"/>
        <v>0</v>
      </c>
      <c r="AJ113" s="385">
        <f t="shared" si="24"/>
        <v>0</v>
      </c>
      <c r="AK113" s="385">
        <f t="shared" si="32"/>
        <v>0</v>
      </c>
      <c r="AL113" s="385">
        <f t="shared" si="25"/>
        <v>0</v>
      </c>
      <c r="AM113" s="385">
        <f t="shared" si="26"/>
        <v>0</v>
      </c>
      <c r="AN113" s="394"/>
      <c r="AO113" s="672">
        <f>IF(OR(P113=0,AG113=0),,
IF(OR(リスト!$C$21="小麦",リスト!$C$21="二条大麦",リスト!$C$21="六条大麦",リスト!$C$21="はだか麦",リスト!$C$21="なたね"),IF(OR(AND(K113&lt;9,J113=調査年),AND(K113&gt;=9,J113=調査年-1)),,ROUND(AG113*P113%,0)),
IF(リスト!$C$21="さとうきび",IF(OR(AND(K113&gt;=4,J113=調査年),AND(K113&lt;4,J113=調査年+1)),,ROUND(AG113*P113%,0)),
IF(J113=調査年,,ROUND(AG113*P113%,0)))))</f>
        <v>0</v>
      </c>
      <c r="AP113" s="672">
        <f t="shared" si="27"/>
        <v>0</v>
      </c>
      <c r="AQ113" s="385">
        <f t="shared" si="28"/>
        <v>0</v>
      </c>
      <c r="AR113" s="672">
        <f t="shared" si="29"/>
        <v>0</v>
      </c>
      <c r="AS113" s="385">
        <f>IF(P113=0,,
SUM(
IF(OR(リスト!$C$21="小麦",リスト!$C$21="二条大麦",リスト!$C$21="六条大麦",リスト!$C$21="はだか麦",リスト!$C$21="なたね"),IF(OR(AND(Z113=1,K113&lt;9,J113=調査年),AND(Z113=1,K113&gt;=9,J113=調査年-1)),ROUND(L113*P113%,0),),
IF(リスト!$C$21="さとうきび",IF(OR(AND(Z113=1,K113&gt;=4,J113=調査年),AND(Z113=1,K113&lt;4,J113=調査年+1)),ROUND(L113*P113%,0),),
IF(AND(Z113=1,J113=調査年),ROUND(L113*P113%,0),))),
ROUND(N113*P113%,0),
ROUND(SUM(AK113)*P113%,0)
))</f>
        <v>0</v>
      </c>
      <c r="AT113" s="385">
        <f t="shared" si="30"/>
        <v>0</v>
      </c>
      <c r="AU113" s="385" t="str">
        <f t="shared" si="31"/>
        <v/>
      </c>
      <c r="AV113" s="686"/>
      <c r="AW113" s="686"/>
      <c r="AX113" s="686"/>
      <c r="AY113" s="686"/>
      <c r="AZ113" s="686"/>
    </row>
    <row r="114" spans="3:52" s="46" customFormat="1" ht="30" hidden="1" customHeight="1" outlineLevel="1">
      <c r="C114" s="674">
        <v>99</v>
      </c>
      <c r="D114" s="687"/>
      <c r="E114" s="676"/>
      <c r="F114" s="677"/>
      <c r="G114" s="1899"/>
      <c r="H114" s="1900"/>
      <c r="I114" s="678"/>
      <c r="J114" s="679"/>
      <c r="K114" s="680"/>
      <c r="L114" s="681"/>
      <c r="M114" s="681"/>
      <c r="N114" s="681"/>
      <c r="O114" s="681"/>
      <c r="P114" s="1094"/>
      <c r="Q114" s="682"/>
      <c r="R114" s="683"/>
      <c r="S114" s="681"/>
      <c r="T114" s="668"/>
      <c r="U114" s="2"/>
      <c r="V114" s="1105"/>
      <c r="W114" s="669"/>
      <c r="X114" s="2"/>
      <c r="Y114" s="684">
        <f t="shared" si="33"/>
        <v>0</v>
      </c>
      <c r="Z114" s="670">
        <f t="shared" si="34"/>
        <v>0</v>
      </c>
      <c r="AA114" s="670">
        <f t="shared" si="35"/>
        <v>0</v>
      </c>
      <c r="AB114" s="684">
        <f>IF(Y114=0,,VLOOKUP(Y114,リスト!CX:CY,2,0))</f>
        <v>0</v>
      </c>
      <c r="AC114" s="684">
        <f t="shared" si="19"/>
        <v>0</v>
      </c>
      <c r="AD114" s="685">
        <f>IF(AC114=0,,VLOOKUP(AC114,リスト!DK:DL,2,0))</f>
        <v>0</v>
      </c>
      <c r="AE114" s="670">
        <f>IF(Y114=0,,
IF(OR(リスト!$C$21="小麦",リスト!$C$21="二条大麦",リスト!$C$21="六条大麦",リスト!$C$21="はだか麦",リスト!$C$21="なたね"),IF(K114&lt;9,調査年-J114,調査年-J114-1),
IF(リスト!$C$21="さとうきび",IF(K114&gt;=4,調査年-J114,調査年-J114+1),
調査年-J114)))</f>
        <v>0</v>
      </c>
      <c r="AF114" s="385">
        <f t="shared" si="36"/>
        <v>0</v>
      </c>
      <c r="AG114" s="385">
        <f t="shared" si="21"/>
        <v>0</v>
      </c>
      <c r="AH114" s="385">
        <f t="shared" si="22"/>
        <v>0</v>
      </c>
      <c r="AI114" s="385">
        <f t="shared" si="23"/>
        <v>0</v>
      </c>
      <c r="AJ114" s="385">
        <f t="shared" si="24"/>
        <v>0</v>
      </c>
      <c r="AK114" s="385">
        <f t="shared" si="32"/>
        <v>0</v>
      </c>
      <c r="AL114" s="385">
        <f t="shared" si="25"/>
        <v>0</v>
      </c>
      <c r="AM114" s="385">
        <f t="shared" si="26"/>
        <v>0</v>
      </c>
      <c r="AN114" s="394"/>
      <c r="AO114" s="672">
        <f>IF(OR(P114=0,AG114=0),,
IF(OR(リスト!$C$21="小麦",リスト!$C$21="二条大麦",リスト!$C$21="六条大麦",リスト!$C$21="はだか麦",リスト!$C$21="なたね"),IF(OR(AND(K114&lt;9,J114=調査年),AND(K114&gt;=9,J114=調査年-1)),,ROUND(AG114*P114%,0)),
IF(リスト!$C$21="さとうきび",IF(OR(AND(K114&gt;=4,J114=調査年),AND(K114&lt;4,J114=調査年+1)),,ROUND(AG114*P114%,0)),
IF(J114=調査年,,ROUND(AG114*P114%,0)))))</f>
        <v>0</v>
      </c>
      <c r="AP114" s="672">
        <f t="shared" si="27"/>
        <v>0</v>
      </c>
      <c r="AQ114" s="385">
        <f t="shared" si="28"/>
        <v>0</v>
      </c>
      <c r="AR114" s="672">
        <f t="shared" si="29"/>
        <v>0</v>
      </c>
      <c r="AS114" s="385">
        <f>IF(P114=0,,
SUM(
IF(OR(リスト!$C$21="小麦",リスト!$C$21="二条大麦",リスト!$C$21="六条大麦",リスト!$C$21="はだか麦",リスト!$C$21="なたね"),IF(OR(AND(Z114=1,K114&lt;9,J114=調査年),AND(Z114=1,K114&gt;=9,J114=調査年-1)),ROUND(L114*P114%,0),),
IF(リスト!$C$21="さとうきび",IF(OR(AND(Z114=1,K114&gt;=4,J114=調査年),AND(Z114=1,K114&lt;4,J114=調査年+1)),ROUND(L114*P114%,0),),
IF(AND(Z114=1,J114=調査年),ROUND(L114*P114%,0),))),
ROUND(N114*P114%,0),
ROUND(SUM(AK114)*P114%,0)
))</f>
        <v>0</v>
      </c>
      <c r="AT114" s="385">
        <f t="shared" si="30"/>
        <v>0</v>
      </c>
      <c r="AU114" s="385" t="str">
        <f t="shared" si="31"/>
        <v/>
      </c>
      <c r="AV114" s="686"/>
      <c r="AW114" s="686"/>
      <c r="AX114" s="686"/>
      <c r="AY114" s="686"/>
      <c r="AZ114" s="686"/>
    </row>
    <row r="115" spans="3:52" s="46" customFormat="1" ht="30" hidden="1" customHeight="1" outlineLevel="1" thickBot="1">
      <c r="C115" s="674">
        <v>100</v>
      </c>
      <c r="D115" s="689"/>
      <c r="E115" s="690"/>
      <c r="F115" s="691"/>
      <c r="G115" s="1931"/>
      <c r="H115" s="1932"/>
      <c r="I115" s="692"/>
      <c r="J115" s="693"/>
      <c r="K115" s="694"/>
      <c r="L115" s="695"/>
      <c r="M115" s="695"/>
      <c r="N115" s="695"/>
      <c r="O115" s="695"/>
      <c r="P115" s="1095"/>
      <c r="Q115" s="696"/>
      <c r="R115" s="697"/>
      <c r="S115" s="698"/>
      <c r="T115" s="668"/>
      <c r="U115" s="2"/>
      <c r="V115" s="1106"/>
      <c r="W115" s="669"/>
      <c r="X115" s="2"/>
      <c r="Y115" s="684">
        <f t="shared" si="33"/>
        <v>0</v>
      </c>
      <c r="Z115" s="670">
        <f t="shared" si="34"/>
        <v>0</v>
      </c>
      <c r="AA115" s="670">
        <f t="shared" si="35"/>
        <v>0</v>
      </c>
      <c r="AB115" s="684">
        <f>IF(Y115=0,,VLOOKUP(Y115,リスト!CX:CY,2,0))</f>
        <v>0</v>
      </c>
      <c r="AC115" s="684">
        <f t="shared" si="19"/>
        <v>0</v>
      </c>
      <c r="AD115" s="685">
        <f>IF(AC115=0,,VLOOKUP(AC115,リスト!DK:DL,2,0))</f>
        <v>0</v>
      </c>
      <c r="AE115" s="670">
        <f>IF(Y115=0,,
IF(OR(リスト!$C$21="小麦",リスト!$C$21="二条大麦",リスト!$C$21="六条大麦",リスト!$C$21="はだか麦",リスト!$C$21="なたね"),IF(K115&lt;9,調査年-J115,調査年-J115-1),
IF(リスト!$C$21="さとうきび",IF(K115&gt;=4,調査年-J115,調査年-J115+1),
調査年-J115)))</f>
        <v>0</v>
      </c>
      <c r="AF115" s="385">
        <f t="shared" si="36"/>
        <v>0</v>
      </c>
      <c r="AG115" s="385">
        <f t="shared" si="21"/>
        <v>0</v>
      </c>
      <c r="AH115" s="385">
        <f t="shared" si="22"/>
        <v>0</v>
      </c>
      <c r="AI115" s="385">
        <f t="shared" si="23"/>
        <v>0</v>
      </c>
      <c r="AJ115" s="385">
        <f t="shared" si="24"/>
        <v>0</v>
      </c>
      <c r="AK115" s="385">
        <f t="shared" si="32"/>
        <v>0</v>
      </c>
      <c r="AL115" s="385">
        <f t="shared" si="25"/>
        <v>0</v>
      </c>
      <c r="AM115" s="385">
        <f t="shared" si="26"/>
        <v>0</v>
      </c>
      <c r="AN115" s="394"/>
      <c r="AO115" s="672">
        <f>IF(OR(P115=0,AG115=0),,
IF(OR(リスト!$C$21="小麦",リスト!$C$21="二条大麦",リスト!$C$21="六条大麦",リスト!$C$21="はだか麦",リスト!$C$21="なたね"),IF(OR(AND(K115&lt;9,J115=調査年),AND(K115&gt;=9,J115=調査年-1)),,ROUND(AG115*P115%,0)),
IF(リスト!$C$21="さとうきび",IF(OR(AND(K115&gt;=4,J115=調査年),AND(K115&lt;4,J115=調査年+1)),,ROUND(AG115*P115%,0)),
IF(J115=調査年,,ROUND(AG115*P115%,0)))))</f>
        <v>0</v>
      </c>
      <c r="AP115" s="672">
        <f t="shared" si="27"/>
        <v>0</v>
      </c>
      <c r="AQ115" s="385">
        <f t="shared" si="28"/>
        <v>0</v>
      </c>
      <c r="AR115" s="672">
        <f t="shared" si="29"/>
        <v>0</v>
      </c>
      <c r="AS115" s="385">
        <f>IF(P115=0,,
SUM(
IF(OR(リスト!$C$21="小麦",リスト!$C$21="二条大麦",リスト!$C$21="六条大麦",リスト!$C$21="はだか麦",リスト!$C$21="なたね"),IF(OR(AND(Z115=1,K115&lt;9,J115=調査年),AND(Z115=1,K115&gt;=9,J115=調査年-1)),ROUND(L115*P115%,0),),
IF(リスト!$C$21="さとうきび",IF(OR(AND(Z115=1,K115&gt;=4,J115=調査年),AND(Z115=1,K115&lt;4,J115=調査年+1)),ROUND(L115*P115%,0),),
IF(AND(Z115=1,J115=調査年),ROUND(L115*P115%,0),))),
ROUND(N115*P115%,0),
ROUND(SUM(AK115)*P115%,0)
))</f>
        <v>0</v>
      </c>
      <c r="AT115" s="385">
        <f t="shared" si="30"/>
        <v>0</v>
      </c>
      <c r="AU115" s="385" t="str">
        <f t="shared" si="31"/>
        <v/>
      </c>
      <c r="AV115" s="686"/>
      <c r="AW115" s="686"/>
      <c r="AX115" s="686"/>
      <c r="AY115" s="686"/>
      <c r="AZ115" s="686"/>
    </row>
    <row r="116" spans="3:52" ht="14.25" customHeight="1" collapsed="1" thickTop="1">
      <c r="C116" s="380"/>
      <c r="D116" s="380"/>
      <c r="E116" s="381"/>
      <c r="F116" s="381"/>
      <c r="G116" s="381"/>
      <c r="H116" s="381"/>
      <c r="I116" s="381"/>
      <c r="J116" s="381"/>
      <c r="K116" s="381"/>
      <c r="L116" s="381"/>
      <c r="M116" s="381"/>
      <c r="N116" s="381"/>
      <c r="O116" s="381"/>
      <c r="P116" s="381"/>
      <c r="Q116" s="381"/>
      <c r="R116" s="381"/>
      <c r="S116" s="381"/>
      <c r="V116" s="699"/>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row>
    <row r="117" spans="3:52" ht="14.25" customHeight="1">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row>
    <row r="118" spans="3:52" ht="14.25" customHeight="1">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row>
    <row r="119" spans="3:52" ht="14.25" customHeight="1">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row>
    <row r="120" spans="3:52" ht="14.25" customHeight="1">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row>
    <row r="121" spans="3:52" ht="14.25" customHeight="1">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row>
    <row r="122" spans="3:52" ht="14.25" customHeight="1">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row>
    <row r="123" spans="3:52" ht="14.25" customHeight="1">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row>
    <row r="124" spans="3:52" ht="14.25" customHeight="1">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row>
  </sheetData>
  <sheetProtection sheet="1" objects="1" scenarios="1" selectLockedCells="1"/>
  <mergeCells count="149">
    <mergeCell ref="G112:H112"/>
    <mergeCell ref="G113:H113"/>
    <mergeCell ref="G114:H114"/>
    <mergeCell ref="G115:H115"/>
    <mergeCell ref="G106:H106"/>
    <mergeCell ref="G107:H107"/>
    <mergeCell ref="G108:H108"/>
    <mergeCell ref="G109:H109"/>
    <mergeCell ref="G110:H110"/>
    <mergeCell ref="G111:H111"/>
    <mergeCell ref="G100:H100"/>
    <mergeCell ref="G101:H101"/>
    <mergeCell ref="G102:H102"/>
    <mergeCell ref="G103:H103"/>
    <mergeCell ref="G104:H104"/>
    <mergeCell ref="G105:H105"/>
    <mergeCell ref="G94:H94"/>
    <mergeCell ref="G95:H95"/>
    <mergeCell ref="G96:H96"/>
    <mergeCell ref="G97:H97"/>
    <mergeCell ref="G98:H98"/>
    <mergeCell ref="G99:H99"/>
    <mergeCell ref="G88:H88"/>
    <mergeCell ref="G89:H89"/>
    <mergeCell ref="G90:H90"/>
    <mergeCell ref="G91:H91"/>
    <mergeCell ref="G92:H92"/>
    <mergeCell ref="G93:H93"/>
    <mergeCell ref="G82:H82"/>
    <mergeCell ref="G83:H83"/>
    <mergeCell ref="G84:H84"/>
    <mergeCell ref="G85:H85"/>
    <mergeCell ref="G86:H86"/>
    <mergeCell ref="G87:H87"/>
    <mergeCell ref="G76:H76"/>
    <mergeCell ref="G77:H77"/>
    <mergeCell ref="G78:H78"/>
    <mergeCell ref="G79:H79"/>
    <mergeCell ref="G80:H80"/>
    <mergeCell ref="G81:H81"/>
    <mergeCell ref="G70:H70"/>
    <mergeCell ref="G71:H71"/>
    <mergeCell ref="G72:H72"/>
    <mergeCell ref="G73:H73"/>
    <mergeCell ref="G74:H74"/>
    <mergeCell ref="G75:H75"/>
    <mergeCell ref="G64:H64"/>
    <mergeCell ref="G65:H65"/>
    <mergeCell ref="G66:H66"/>
    <mergeCell ref="G67:H67"/>
    <mergeCell ref="G68:H68"/>
    <mergeCell ref="G69:H69"/>
    <mergeCell ref="G58:H58"/>
    <mergeCell ref="G59:H59"/>
    <mergeCell ref="G60:H60"/>
    <mergeCell ref="G61:H61"/>
    <mergeCell ref="G62:H62"/>
    <mergeCell ref="G63:H63"/>
    <mergeCell ref="G52:H52"/>
    <mergeCell ref="G53:H53"/>
    <mergeCell ref="G54:H54"/>
    <mergeCell ref="G55:H55"/>
    <mergeCell ref="G56:H56"/>
    <mergeCell ref="G57:H57"/>
    <mergeCell ref="G46:H46"/>
    <mergeCell ref="G47:H47"/>
    <mergeCell ref="G48:H48"/>
    <mergeCell ref="G49:H49"/>
    <mergeCell ref="G50:H50"/>
    <mergeCell ref="G51:H51"/>
    <mergeCell ref="G40:H40"/>
    <mergeCell ref="G41:H41"/>
    <mergeCell ref="G42:H42"/>
    <mergeCell ref="G43:H43"/>
    <mergeCell ref="G44:H44"/>
    <mergeCell ref="G45:H45"/>
    <mergeCell ref="G34:H34"/>
    <mergeCell ref="G35:H35"/>
    <mergeCell ref="G36:H36"/>
    <mergeCell ref="G37:H37"/>
    <mergeCell ref="G38:H38"/>
    <mergeCell ref="G39:H39"/>
    <mergeCell ref="G28:H28"/>
    <mergeCell ref="G29:H29"/>
    <mergeCell ref="G30:H30"/>
    <mergeCell ref="G31:H31"/>
    <mergeCell ref="G32:H32"/>
    <mergeCell ref="G33:H33"/>
    <mergeCell ref="G22:H22"/>
    <mergeCell ref="G23:H23"/>
    <mergeCell ref="G24:H24"/>
    <mergeCell ref="G25:H25"/>
    <mergeCell ref="G26:H26"/>
    <mergeCell ref="G27:H27"/>
    <mergeCell ref="G20:H20"/>
    <mergeCell ref="G21:H21"/>
    <mergeCell ref="AS10:AS12"/>
    <mergeCell ref="AT10:AT12"/>
    <mergeCell ref="AU10:AU12"/>
    <mergeCell ref="G11:G15"/>
    <mergeCell ref="H11:H15"/>
    <mergeCell ref="J11:J15"/>
    <mergeCell ref="K11:K15"/>
    <mergeCell ref="R11:R15"/>
    <mergeCell ref="S11:S15"/>
    <mergeCell ref="AI11:AI14"/>
    <mergeCell ref="AK10:AK14"/>
    <mergeCell ref="AL10:AL14"/>
    <mergeCell ref="AM10:AM14"/>
    <mergeCell ref="AO10:AO12"/>
    <mergeCell ref="AP10:AP12"/>
    <mergeCell ref="AR10:AR12"/>
    <mergeCell ref="AQ11:AQ12"/>
    <mergeCell ref="AD10:AD14"/>
    <mergeCell ref="AJ10:AJ14"/>
    <mergeCell ref="N9:N10"/>
    <mergeCell ref="AA10:AA14"/>
    <mergeCell ref="AB10:AB14"/>
    <mergeCell ref="G18:H18"/>
    <mergeCell ref="G19:H19"/>
    <mergeCell ref="O9:O10"/>
    <mergeCell ref="P9:P15"/>
    <mergeCell ref="Q9:Q15"/>
    <mergeCell ref="R9:S10"/>
    <mergeCell ref="Y10:Y14"/>
    <mergeCell ref="G16:H16"/>
    <mergeCell ref="G17:H17"/>
    <mergeCell ref="AO8:AU9"/>
    <mergeCell ref="C9:C15"/>
    <mergeCell ref="D9:D15"/>
    <mergeCell ref="E9:E15"/>
    <mergeCell ref="F9:F15"/>
    <mergeCell ref="G9:H10"/>
    <mergeCell ref="I9:I15"/>
    <mergeCell ref="J9:K10"/>
    <mergeCell ref="L9:L10"/>
    <mergeCell ref="M9:M10"/>
    <mergeCell ref="V8:V15"/>
    <mergeCell ref="Y8:AF9"/>
    <mergeCell ref="AG8:AI9"/>
    <mergeCell ref="AJ8:AK9"/>
    <mergeCell ref="AL8:AM9"/>
    <mergeCell ref="AN8:AN12"/>
    <mergeCell ref="Z10:Z14"/>
    <mergeCell ref="AC10:AC14"/>
    <mergeCell ref="AE10:AE14"/>
    <mergeCell ref="AF10:AF14"/>
    <mergeCell ref="AG10:AG14"/>
    <mergeCell ref="AH10:AH14"/>
  </mergeCells>
  <phoneticPr fontId="5"/>
  <dataValidations count="7">
    <dataValidation type="whole" allowBlank="1" showInputMessage="1" showErrorMessage="1" sqref="J16:J115" xr:uid="{00000000-0002-0000-0F00-000000000000}">
      <formula1>1700</formula1>
      <formula2>9999</formula2>
    </dataValidation>
    <dataValidation type="whole" operator="greaterThan" allowBlank="1" showInputMessage="1" showErrorMessage="1" error="0より大きい数値を整数で入力してください。" sqref="L16:O115 S16:S115" xr:uid="{00000000-0002-0000-0F00-000001000000}">
      <formula1>0</formula1>
    </dataValidation>
    <dataValidation type="custom" allowBlank="1" showInputMessage="1" showErrorMessage="1" error="0.001~100の範囲で小数点第３位までの数値を入力してください。" sqref="P16:P115 V16:V115" xr:uid="{00000000-0002-0000-0F00-000002000000}">
      <formula1>AND(AND(P16*1000=INT(P16*1000)),(P16&gt;0),(P16&lt;=100))</formula1>
    </dataValidation>
    <dataValidation type="whole" allowBlank="1" showInputMessage="1" showErrorMessage="1" error="1～12の値を入力してください。" sqref="K16:K115" xr:uid="{00000000-0002-0000-0F00-000003000000}">
      <formula1>1</formula1>
      <formula2>12</formula2>
    </dataValidation>
    <dataValidation type="whole" operator="greaterThanOrEqual" allowBlank="1" showInputMessage="1" showErrorMessage="1" error="2以上の値を入力してください。" sqref="I16:I115" xr:uid="{00000000-0002-0000-0F00-000004000000}">
      <formula1>2</formula1>
    </dataValidation>
    <dataValidation type="textLength" imeMode="hiragana" operator="greaterThanOrEqual" allowBlank="1" showInputMessage="1" showErrorMessage="1" sqref="D16:D115" xr:uid="{00000000-0002-0000-0F00-000005000000}">
      <formula1>1</formula1>
    </dataValidation>
    <dataValidation type="list" showInputMessage="1" showErrorMessage="1" sqref="F16:F115" xr:uid="{00000000-0002-0000-0F00-000006000000}">
      <formula1>INDIRECT($E16)</formula1>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3313" r:id="rId5" name="Label1">
          <controlPr defaultSize="0" print="0" autoLine="0" r:id="rId6">
            <anchor moveWithCells="1">
              <from>
                <xdr:col>10</xdr:col>
                <xdr:colOff>0</xdr:colOff>
                <xdr:row>0</xdr:row>
                <xdr:rowOff>123825</xdr:rowOff>
              </from>
              <to>
                <xdr:col>11</xdr:col>
                <xdr:colOff>476250</xdr:colOff>
                <xdr:row>1</xdr:row>
                <xdr:rowOff>152400</xdr:rowOff>
              </to>
            </anchor>
          </controlPr>
        </control>
      </mc:Choice>
      <mc:Fallback>
        <control shapeId="13313" r:id="rId5" name="Label1"/>
      </mc:Fallback>
    </mc:AlternateContent>
    <mc:AlternateContent xmlns:mc="http://schemas.openxmlformats.org/markup-compatibility/2006">
      <mc:Choice Requires="x14">
        <control shapeId="13314" r:id="rId7" name="txt_hyouji">
          <controlPr locked="0" defaultSize="0" print="0" autoLine="0" r:id="rId8">
            <anchor moveWithCells="1">
              <from>
                <xdr:col>10</xdr:col>
                <xdr:colOff>0</xdr:colOff>
                <xdr:row>1</xdr:row>
                <xdr:rowOff>152400</xdr:rowOff>
              </from>
              <to>
                <xdr:col>11</xdr:col>
                <xdr:colOff>476250</xdr:colOff>
                <xdr:row>3</xdr:row>
                <xdr:rowOff>9525</xdr:rowOff>
              </to>
            </anchor>
          </controlPr>
        </control>
      </mc:Choice>
      <mc:Fallback>
        <control shapeId="13314" r:id="rId7" name="txt_hyouji"/>
      </mc:Fallback>
    </mc:AlternateContent>
    <mc:AlternateContent xmlns:mc="http://schemas.openxmlformats.org/markup-compatibility/2006">
      <mc:Choice Requires="x14">
        <control shapeId="13315" r:id="rId9" name="btnKoushin1">
          <controlPr defaultSize="0" print="0" autoLine="0" r:id="rId10">
            <anchor moveWithCells="1">
              <from>
                <xdr:col>11</xdr:col>
                <xdr:colOff>476250</xdr:colOff>
                <xdr:row>0</xdr:row>
                <xdr:rowOff>123825</xdr:rowOff>
              </from>
              <to>
                <xdr:col>11</xdr:col>
                <xdr:colOff>1743075</xdr:colOff>
                <xdr:row>3</xdr:row>
                <xdr:rowOff>9525</xdr:rowOff>
              </to>
            </anchor>
          </controlPr>
        </control>
      </mc:Choice>
      <mc:Fallback>
        <control shapeId="13315" r:id="rId9"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F00-000007000000}">
          <x14:formula1>
            <xm:f>リスト!$AZ$5:$AZ$7</xm:f>
          </x14:formula1>
          <xm:sqref>R16:R115</xm:sqref>
        </x14:dataValidation>
        <x14:dataValidation type="list" allowBlank="1" showInputMessage="1" showErrorMessage="1" xr:uid="{00000000-0002-0000-0F00-000008000000}">
          <x14:formula1>
            <xm:f>リスト!$AX$5:$AX$6</xm:f>
          </x14:formula1>
          <xm:sqref>G16:H115</xm:sqref>
        </x14:dataValidation>
        <x14:dataValidation type="list" allowBlank="1" showInputMessage="1" showErrorMessage="1" xr:uid="{00000000-0002-0000-0F00-000009000000}">
          <x14:formula1>
            <xm:f>リスト!$AS$5:$AS$20</xm:f>
          </x14:formula1>
          <xm:sqref>E16:E115</xm:sqref>
        </x14:dataValidation>
        <x14:dataValidation type="list" allowBlank="1" showInputMessage="1" showErrorMessage="1" xr:uid="{00000000-0002-0000-0F00-00000A000000}">
          <x14:formula1>
            <xm:f>リスト!$BB$5:$BB$6</xm:f>
          </x14:formula1>
          <xm:sqref>Q16:Q115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6">
    <outlinePr summaryBelow="0"/>
    <pageSetUpPr fitToPage="1"/>
  </sheetPr>
  <dimension ref="A1:AY122"/>
  <sheetViews>
    <sheetView showGridLines="0" zoomScale="70" zoomScaleNormal="70" zoomScaleSheetLayoutView="70" workbookViewId="0">
      <pane xSplit="2" ySplit="17" topLeftCell="C18" activePane="bottomRight" state="frozen"/>
      <selection pane="topRight"/>
      <selection pane="bottomLeft"/>
      <selection pane="bottomRight" activeCell="D18" sqref="D18"/>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24.625" style="2" customWidth="1"/>
    <col min="5" max="5" width="11.375" style="2" customWidth="1"/>
    <col min="6" max="6" width="18.75" style="2" customWidth="1"/>
    <col min="7" max="8" width="3.625" style="2" customWidth="1"/>
    <col min="9" max="9" width="5.25" style="2" customWidth="1"/>
    <col min="10" max="10" width="10.375" style="2" customWidth="1"/>
    <col min="11" max="11" width="5.25" style="2" customWidth="1"/>
    <col min="12" max="12" width="21.125" style="2" customWidth="1"/>
    <col min="13" max="13" width="18.375" style="2" customWidth="1"/>
    <col min="14" max="14" width="16.125" style="2" customWidth="1"/>
    <col min="15" max="15" width="15.75" style="2" customWidth="1"/>
    <col min="16" max="16" width="13.25" style="2" customWidth="1"/>
    <col min="17" max="17" width="13.375" style="2" customWidth="1"/>
    <col min="18" max="18" width="8.125" style="2" customWidth="1"/>
    <col min="19" max="19" width="12.125" style="2" hidden="1" customWidth="1"/>
    <col min="20" max="20" width="12.125" style="2" bestFit="1" customWidth="1"/>
    <col min="21" max="21" width="21.125" style="2" customWidth="1"/>
    <col min="22" max="22" width="2.625" style="173" customWidth="1"/>
    <col min="23" max="24" width="8.125" style="2" customWidth="1" outlineLevel="1"/>
    <col min="25" max="25" width="2.625" style="2" outlineLevel="1"/>
    <col min="26" max="33" width="10.625" style="2" customWidth="1" outlineLevel="1"/>
    <col min="34" max="36" width="13.625" style="2" customWidth="1" outlineLevel="1"/>
    <col min="37" max="37" width="10.625" style="2" customWidth="1" outlineLevel="1"/>
    <col min="38" max="41" width="13.625" style="2" customWidth="1" outlineLevel="1"/>
    <col min="42" max="48" width="10.625" style="2" customWidth="1" outlineLevel="1"/>
    <col min="49" max="49" width="10.625" style="637" customWidth="1" outlineLevel="1"/>
    <col min="50" max="16384" width="2.625" style="2"/>
  </cols>
  <sheetData>
    <row r="1" spans="1:49" ht="14.25" customHeight="1">
      <c r="W1" s="2" t="s">
        <v>372</v>
      </c>
      <c r="Y1" s="173"/>
      <c r="AC1" s="46"/>
      <c r="AD1" s="46"/>
      <c r="AQ1" s="46"/>
      <c r="AR1" s="46"/>
      <c r="AW1" s="144"/>
    </row>
    <row r="2" spans="1:49" ht="14.25" customHeight="1">
      <c r="A2" s="107" t="s">
        <v>539</v>
      </c>
      <c r="W2" s="407" t="s">
        <v>539</v>
      </c>
      <c r="X2" s="407"/>
    </row>
    <row r="3" spans="1:49" ht="14.25" customHeight="1">
      <c r="A3" s="107"/>
    </row>
    <row r="4" spans="1:49" ht="14.25" customHeight="1">
      <c r="A4" s="107" t="s">
        <v>540</v>
      </c>
      <c r="C4" s="606" t="s">
        <v>541</v>
      </c>
    </row>
    <row r="5" spans="1:49" ht="14.25" customHeight="1">
      <c r="A5" s="107"/>
      <c r="C5" s="46" t="s">
        <v>542</v>
      </c>
    </row>
    <row r="6" spans="1:49" ht="14.25" customHeight="1">
      <c r="B6" s="584"/>
      <c r="C6" s="46" t="s">
        <v>543</v>
      </c>
      <c r="D6" s="584"/>
      <c r="E6" s="584"/>
      <c r="F6" s="584"/>
      <c r="G6" s="584"/>
      <c r="H6" s="584"/>
      <c r="I6" s="584"/>
      <c r="J6" s="584"/>
      <c r="K6" s="584"/>
      <c r="L6" s="584"/>
    </row>
    <row r="7" spans="1:49" ht="14.25" customHeight="1">
      <c r="B7" s="584"/>
      <c r="C7" s="46" t="s">
        <v>544</v>
      </c>
      <c r="D7" s="584"/>
      <c r="E7" s="584"/>
      <c r="F7" s="584"/>
      <c r="G7" s="584"/>
      <c r="H7" s="584"/>
      <c r="I7" s="584"/>
      <c r="J7" s="584"/>
      <c r="K7" s="584"/>
      <c r="L7" s="584"/>
    </row>
    <row r="8" spans="1:49" ht="14.25" customHeight="1">
      <c r="B8" s="584"/>
      <c r="C8" s="46"/>
      <c r="D8" s="584"/>
      <c r="E8" s="584"/>
      <c r="F8" s="584"/>
      <c r="G8" s="584"/>
      <c r="H8" s="584"/>
      <c r="I8" s="584"/>
      <c r="J8" s="584"/>
      <c r="K8" s="584"/>
      <c r="L8" s="584"/>
      <c r="W8" s="39" t="s">
        <v>545</v>
      </c>
      <c r="X8" s="39"/>
      <c r="AW8" s="2"/>
    </row>
    <row r="9" spans="1:49" ht="14.25" customHeight="1">
      <c r="B9" s="584"/>
      <c r="C9" s="46"/>
      <c r="D9" s="584"/>
      <c r="E9" s="584"/>
      <c r="F9" s="584"/>
      <c r="G9" s="584"/>
      <c r="H9" s="584"/>
      <c r="I9" s="584"/>
      <c r="J9" s="584"/>
      <c r="K9" s="584"/>
      <c r="L9" s="584"/>
      <c r="W9" s="39" t="s">
        <v>546</v>
      </c>
      <c r="X9" s="39"/>
      <c r="AW9" s="2"/>
    </row>
    <row r="10" spans="1:49" ht="14.25" customHeight="1" thickBot="1">
      <c r="B10" s="584"/>
      <c r="C10" s="46"/>
      <c r="D10" s="584"/>
      <c r="E10" s="584"/>
      <c r="F10" s="584"/>
      <c r="G10" s="584"/>
      <c r="H10" s="584"/>
      <c r="I10" s="584"/>
      <c r="J10" s="584"/>
      <c r="K10" s="584"/>
      <c r="L10" s="584"/>
      <c r="W10" s="1885" t="s">
        <v>547</v>
      </c>
      <c r="X10" s="1885" t="s">
        <v>548</v>
      </c>
      <c r="Z10" s="1399" t="s">
        <v>489</v>
      </c>
      <c r="AA10" s="1399"/>
      <c r="AB10" s="1399"/>
      <c r="AC10" s="1399"/>
      <c r="AD10" s="1399"/>
      <c r="AE10" s="1399"/>
      <c r="AF10" s="1399"/>
      <c r="AG10" s="1399"/>
      <c r="AH10" s="1365" t="s">
        <v>490</v>
      </c>
      <c r="AI10" s="1366"/>
      <c r="AJ10" s="1395"/>
      <c r="AK10" s="1892"/>
      <c r="AL10" s="1365" t="s">
        <v>493</v>
      </c>
      <c r="AM10" s="1366"/>
      <c r="AN10" s="1366"/>
      <c r="AO10" s="1366"/>
      <c r="AP10" s="1366"/>
      <c r="AQ10" s="1366"/>
      <c r="AR10" s="1366"/>
      <c r="AS10" s="1366"/>
      <c r="AT10" s="1366"/>
      <c r="AU10" s="1366"/>
      <c r="AV10" s="1366"/>
      <c r="AW10" s="1395"/>
    </row>
    <row r="11" spans="1:49" s="46" customFormat="1" ht="14.25" customHeight="1">
      <c r="C11" s="1858" t="s">
        <v>494</v>
      </c>
      <c r="D11" s="1933" t="s">
        <v>495</v>
      </c>
      <c r="E11" s="1936" t="s">
        <v>549</v>
      </c>
      <c r="F11" s="1939" t="s">
        <v>550</v>
      </c>
      <c r="G11" s="1870" t="s">
        <v>498</v>
      </c>
      <c r="H11" s="1871"/>
      <c r="I11" s="1874" t="s">
        <v>499</v>
      </c>
      <c r="J11" s="1948" t="s">
        <v>500</v>
      </c>
      <c r="K11" s="1949"/>
      <c r="L11" s="1901" t="s">
        <v>501</v>
      </c>
      <c r="M11" s="1870" t="s">
        <v>503</v>
      </c>
      <c r="N11" s="1870" t="s">
        <v>551</v>
      </c>
      <c r="O11" s="1870" t="s">
        <v>552</v>
      </c>
      <c r="P11" s="1952" t="s">
        <v>553</v>
      </c>
      <c r="Q11" s="1953"/>
      <c r="R11" s="1903" t="s">
        <v>554</v>
      </c>
      <c r="S11" s="1906" t="s">
        <v>506</v>
      </c>
      <c r="T11" s="1908" t="s">
        <v>507</v>
      </c>
      <c r="U11" s="1909"/>
      <c r="V11" s="686"/>
      <c r="W11" s="1886"/>
      <c r="X11" s="1886"/>
      <c r="Z11" s="1400"/>
      <c r="AA11" s="1400"/>
      <c r="AB11" s="1400"/>
      <c r="AC11" s="1400"/>
      <c r="AD11" s="1400"/>
      <c r="AE11" s="1400"/>
      <c r="AF11" s="1400"/>
      <c r="AG11" s="1400"/>
      <c r="AH11" s="1367"/>
      <c r="AI11" s="1368"/>
      <c r="AJ11" s="1396"/>
      <c r="AK11" s="1893"/>
      <c r="AL11" s="1367"/>
      <c r="AM11" s="1368"/>
      <c r="AN11" s="1368"/>
      <c r="AO11" s="1368"/>
      <c r="AP11" s="1368"/>
      <c r="AQ11" s="1368"/>
      <c r="AR11" s="1368"/>
      <c r="AS11" s="1368"/>
      <c r="AT11" s="1368"/>
      <c r="AU11" s="1368"/>
      <c r="AV11" s="1368"/>
      <c r="AW11" s="1396"/>
    </row>
    <row r="12" spans="1:49" s="46" customFormat="1" ht="14.25" customHeight="1">
      <c r="C12" s="1859"/>
      <c r="D12" s="1934"/>
      <c r="E12" s="1937"/>
      <c r="F12" s="1940"/>
      <c r="G12" s="1872"/>
      <c r="H12" s="1873"/>
      <c r="I12" s="1875"/>
      <c r="J12" s="1950"/>
      <c r="K12" s="1951"/>
      <c r="L12" s="1902"/>
      <c r="M12" s="1943"/>
      <c r="N12" s="1943"/>
      <c r="O12" s="1943"/>
      <c r="P12" s="1954"/>
      <c r="Q12" s="1955"/>
      <c r="R12" s="1904"/>
      <c r="S12" s="1556"/>
      <c r="T12" s="1910"/>
      <c r="U12" s="1911"/>
      <c r="V12" s="686"/>
      <c r="W12" s="1886"/>
      <c r="X12" s="1886"/>
      <c r="Z12" s="1895" t="s">
        <v>508</v>
      </c>
      <c r="AA12" s="1895" t="s">
        <v>509</v>
      </c>
      <c r="AB12" s="1895" t="s">
        <v>510</v>
      </c>
      <c r="AC12" s="1895" t="s">
        <v>511</v>
      </c>
      <c r="AD12" s="1895" t="s">
        <v>512</v>
      </c>
      <c r="AE12" s="1895" t="s">
        <v>513</v>
      </c>
      <c r="AF12" s="1895" t="s">
        <v>514</v>
      </c>
      <c r="AG12" s="1895" t="s">
        <v>515</v>
      </c>
      <c r="AH12" s="1895" t="s">
        <v>516</v>
      </c>
      <c r="AI12" s="1898" t="s">
        <v>517</v>
      </c>
      <c r="AJ12" s="641"/>
      <c r="AK12" s="1893"/>
      <c r="AL12" s="1914" t="s">
        <v>518</v>
      </c>
      <c r="AM12" s="1930" t="s">
        <v>522</v>
      </c>
      <c r="AN12" s="642"/>
      <c r="AO12" s="1914" t="s">
        <v>523</v>
      </c>
      <c r="AP12" s="1914" t="s">
        <v>524</v>
      </c>
      <c r="AQ12" s="1914" t="s">
        <v>555</v>
      </c>
      <c r="AR12" s="1914" t="s">
        <v>556</v>
      </c>
      <c r="AS12" s="1914" t="s">
        <v>557</v>
      </c>
      <c r="AT12" s="1914" t="s">
        <v>558</v>
      </c>
      <c r="AU12" s="1914" t="s">
        <v>559</v>
      </c>
      <c r="AV12" s="1914" t="s">
        <v>445</v>
      </c>
      <c r="AW12" s="1914" t="s">
        <v>560</v>
      </c>
    </row>
    <row r="13" spans="1:49" s="46" customFormat="1" ht="14.25" customHeight="1">
      <c r="C13" s="1859"/>
      <c r="D13" s="1934"/>
      <c r="E13" s="1937"/>
      <c r="F13" s="1940"/>
      <c r="G13" s="1916" t="s">
        <v>561</v>
      </c>
      <c r="H13" s="1916" t="s">
        <v>527</v>
      </c>
      <c r="I13" s="1875"/>
      <c r="J13" s="1921" t="s">
        <v>528</v>
      </c>
      <c r="K13" s="1921" t="s">
        <v>529</v>
      </c>
      <c r="L13" s="700" t="s">
        <v>530</v>
      </c>
      <c r="M13" s="701" t="s">
        <v>530</v>
      </c>
      <c r="N13" s="702" t="s">
        <v>530</v>
      </c>
      <c r="O13" s="702" t="s">
        <v>530</v>
      </c>
      <c r="P13" s="1956"/>
      <c r="Q13" s="1957"/>
      <c r="R13" s="1904"/>
      <c r="S13" s="1556"/>
      <c r="T13" s="1923" t="s">
        <v>531</v>
      </c>
      <c r="U13" s="1927" t="s">
        <v>562</v>
      </c>
      <c r="V13" s="686"/>
      <c r="W13" s="1886"/>
      <c r="X13" s="1886"/>
      <c r="Z13" s="1896"/>
      <c r="AA13" s="1896"/>
      <c r="AB13" s="1896"/>
      <c r="AC13" s="1896"/>
      <c r="AD13" s="1896"/>
      <c r="AE13" s="1896"/>
      <c r="AF13" s="1896" t="s">
        <v>533</v>
      </c>
      <c r="AG13" s="1896"/>
      <c r="AH13" s="1896" t="s">
        <v>533</v>
      </c>
      <c r="AI13" s="1896" t="s">
        <v>533</v>
      </c>
      <c r="AJ13" s="1895" t="s">
        <v>535</v>
      </c>
      <c r="AK13" s="1893"/>
      <c r="AL13" s="1904"/>
      <c r="AM13" s="1963"/>
      <c r="AN13" s="1914" t="s">
        <v>535</v>
      </c>
      <c r="AO13" s="1904" t="s">
        <v>536</v>
      </c>
      <c r="AP13" s="1904"/>
      <c r="AQ13" s="1904"/>
      <c r="AR13" s="1904"/>
      <c r="AS13" s="1904"/>
      <c r="AT13" s="1904"/>
      <c r="AU13" s="1904"/>
      <c r="AV13" s="1904"/>
      <c r="AW13" s="1904"/>
    </row>
    <row r="14" spans="1:49" s="46" customFormat="1" ht="14.25" customHeight="1">
      <c r="C14" s="1859"/>
      <c r="D14" s="1934"/>
      <c r="E14" s="1937"/>
      <c r="F14" s="1940"/>
      <c r="G14" s="1917"/>
      <c r="H14" s="1917"/>
      <c r="I14" s="1875"/>
      <c r="J14" s="1922"/>
      <c r="K14" s="1922"/>
      <c r="L14" s="703"/>
      <c r="M14" s="704"/>
      <c r="N14" s="647"/>
      <c r="O14" s="705"/>
      <c r="P14" s="1942" t="s">
        <v>563</v>
      </c>
      <c r="Q14" s="1942" t="s">
        <v>445</v>
      </c>
      <c r="R14" s="1904"/>
      <c r="S14" s="1556"/>
      <c r="T14" s="1924"/>
      <c r="U14" s="1928"/>
      <c r="V14" s="686"/>
      <c r="W14" s="1886"/>
      <c r="X14" s="1886"/>
      <c r="Z14" s="1896"/>
      <c r="AA14" s="1896"/>
      <c r="AB14" s="1896"/>
      <c r="AC14" s="1896"/>
      <c r="AD14" s="1896"/>
      <c r="AE14" s="1896"/>
      <c r="AF14" s="1896"/>
      <c r="AG14" s="1896"/>
      <c r="AH14" s="1896"/>
      <c r="AI14" s="1896"/>
      <c r="AJ14" s="1896"/>
      <c r="AK14" s="1893"/>
      <c r="AL14" s="1904"/>
      <c r="AM14" s="1963"/>
      <c r="AN14" s="1904"/>
      <c r="AO14" s="1904"/>
      <c r="AP14" s="1904"/>
      <c r="AQ14" s="1904"/>
      <c r="AR14" s="1904"/>
      <c r="AS14" s="1904"/>
      <c r="AT14" s="1904"/>
      <c r="AU14" s="1904"/>
      <c r="AV14" s="1904"/>
      <c r="AW14" s="1904"/>
    </row>
    <row r="15" spans="1:49" s="46" customFormat="1" ht="14.25" customHeight="1">
      <c r="C15" s="1859"/>
      <c r="D15" s="1934"/>
      <c r="E15" s="1937"/>
      <c r="F15" s="1940"/>
      <c r="G15" s="1917"/>
      <c r="H15" s="1917"/>
      <c r="I15" s="1875"/>
      <c r="J15" s="1922"/>
      <c r="K15" s="1922"/>
      <c r="L15" s="703"/>
      <c r="M15" s="704"/>
      <c r="N15" s="647"/>
      <c r="O15" s="705"/>
      <c r="P15" s="1943"/>
      <c r="Q15" s="1943"/>
      <c r="R15" s="1904"/>
      <c r="S15" s="1556"/>
      <c r="T15" s="1924"/>
      <c r="U15" s="706"/>
      <c r="V15" s="686"/>
      <c r="W15" s="1886"/>
      <c r="X15" s="1886"/>
      <c r="Z15" s="1896"/>
      <c r="AA15" s="1896"/>
      <c r="AB15" s="1896"/>
      <c r="AC15" s="1896"/>
      <c r="AD15" s="1896"/>
      <c r="AE15" s="1896"/>
      <c r="AF15" s="1896"/>
      <c r="AG15" s="1896"/>
      <c r="AH15" s="1896"/>
      <c r="AI15" s="1896"/>
      <c r="AJ15" s="1896"/>
      <c r="AK15" s="1893"/>
      <c r="AL15" s="1904"/>
      <c r="AM15" s="1963"/>
      <c r="AN15" s="1904"/>
      <c r="AO15" s="1904"/>
      <c r="AP15" s="1904"/>
      <c r="AQ15" s="1904"/>
      <c r="AR15" s="1904"/>
      <c r="AS15" s="1904"/>
      <c r="AT15" s="1904"/>
      <c r="AU15" s="1904"/>
      <c r="AV15" s="1904"/>
      <c r="AW15" s="1904"/>
    </row>
    <row r="16" spans="1:49" s="46" customFormat="1" ht="14.25" customHeight="1">
      <c r="C16" s="1859"/>
      <c r="D16" s="1934"/>
      <c r="E16" s="1937"/>
      <c r="F16" s="1940"/>
      <c r="G16" s="1917"/>
      <c r="H16" s="1917"/>
      <c r="I16" s="1875"/>
      <c r="J16" s="1922"/>
      <c r="K16" s="1922"/>
      <c r="L16" s="703"/>
      <c r="M16" s="704"/>
      <c r="N16" s="647"/>
      <c r="O16" s="705"/>
      <c r="P16" s="1944" t="s">
        <v>530</v>
      </c>
      <c r="Q16" s="1946" t="s">
        <v>530</v>
      </c>
      <c r="R16" s="1904"/>
      <c r="S16" s="1556"/>
      <c r="T16" s="1925"/>
      <c r="U16" s="706"/>
      <c r="V16" s="686"/>
      <c r="W16" s="1886"/>
      <c r="X16" s="1886"/>
      <c r="Z16" s="1897"/>
      <c r="AA16" s="1897"/>
      <c r="AB16" s="1897"/>
      <c r="AC16" s="1897"/>
      <c r="AD16" s="1897"/>
      <c r="AE16" s="1897"/>
      <c r="AF16" s="1897"/>
      <c r="AG16" s="1897"/>
      <c r="AH16" s="1897"/>
      <c r="AI16" s="1897"/>
      <c r="AJ16" s="1897"/>
      <c r="AK16" s="1894"/>
      <c r="AL16" s="1915"/>
      <c r="AM16" s="1964"/>
      <c r="AN16" s="1915"/>
      <c r="AO16" s="1915"/>
      <c r="AP16" s="1915"/>
      <c r="AQ16" s="1915"/>
      <c r="AR16" s="1915"/>
      <c r="AS16" s="1915"/>
      <c r="AT16" s="1915"/>
      <c r="AU16" s="1915"/>
      <c r="AV16" s="1915"/>
      <c r="AW16" s="1915"/>
    </row>
    <row r="17" spans="3:51" s="46" customFormat="1" ht="30" customHeight="1" thickBot="1">
      <c r="C17" s="1860"/>
      <c r="D17" s="1935"/>
      <c r="E17" s="1938"/>
      <c r="F17" s="1941"/>
      <c r="G17" s="1917"/>
      <c r="H17" s="1917"/>
      <c r="I17" s="1876"/>
      <c r="J17" s="1922"/>
      <c r="K17" s="1922"/>
      <c r="L17" s="707"/>
      <c r="M17" s="704"/>
      <c r="N17" s="647"/>
      <c r="O17" s="708"/>
      <c r="P17" s="1945"/>
      <c r="Q17" s="1947"/>
      <c r="R17" s="1958"/>
      <c r="S17" s="1907"/>
      <c r="T17" s="1926"/>
      <c r="U17" s="709"/>
      <c r="V17" s="686"/>
      <c r="W17" s="1887"/>
      <c r="X17" s="1887"/>
      <c r="Z17" s="652"/>
      <c r="AA17" s="652"/>
      <c r="AB17" s="652"/>
      <c r="AC17" s="652"/>
      <c r="AD17" s="652"/>
      <c r="AE17" s="652"/>
      <c r="AF17" s="652"/>
      <c r="AG17" s="652"/>
      <c r="AH17" s="652"/>
      <c r="AI17" s="652"/>
      <c r="AJ17" s="652"/>
      <c r="AK17" s="710" t="s">
        <v>564</v>
      </c>
      <c r="AL17" s="711">
        <f t="shared" ref="AL17:AQ17" si="0">SUM(AL18:AL117)</f>
        <v>0</v>
      </c>
      <c r="AM17" s="711">
        <f t="shared" si="0"/>
        <v>0</v>
      </c>
      <c r="AN17" s="711">
        <f t="shared" si="0"/>
        <v>0</v>
      </c>
      <c r="AO17" s="711">
        <f>ROUND(SUM(AO18:AO117),)</f>
        <v>0</v>
      </c>
      <c r="AP17" s="711">
        <f t="shared" si="0"/>
        <v>0</v>
      </c>
      <c r="AQ17" s="711">
        <f t="shared" si="0"/>
        <v>0</v>
      </c>
      <c r="AR17" s="711">
        <f>ROUND(SUM(AP17:AQ17),)</f>
        <v>0</v>
      </c>
      <c r="AS17" s="711">
        <f t="shared" ref="AS17:AU17" si="1">SUM(AS18:AS117)</f>
        <v>0</v>
      </c>
      <c r="AT17" s="711">
        <f t="shared" si="1"/>
        <v>0</v>
      </c>
      <c r="AU17" s="711">
        <f t="shared" si="1"/>
        <v>0</v>
      </c>
      <c r="AV17" s="711">
        <f>SUM(AV18:AV117)</f>
        <v>0</v>
      </c>
      <c r="AW17" s="652"/>
    </row>
    <row r="18" spans="3:51" s="46" customFormat="1" ht="30.75" customHeight="1" thickTop="1">
      <c r="C18" s="712">
        <v>1</v>
      </c>
      <c r="D18" s="657"/>
      <c r="E18" s="713"/>
      <c r="F18" s="714"/>
      <c r="G18" s="1959"/>
      <c r="H18" s="1960"/>
      <c r="I18" s="660"/>
      <c r="J18" s="661"/>
      <c r="K18" s="662"/>
      <c r="L18" s="665"/>
      <c r="M18" s="665"/>
      <c r="N18" s="665"/>
      <c r="O18" s="665"/>
      <c r="P18" s="664"/>
      <c r="Q18" s="664"/>
      <c r="R18" s="1096"/>
      <c r="S18" s="666"/>
      <c r="T18" s="715"/>
      <c r="U18" s="716"/>
      <c r="V18" s="717"/>
      <c r="W18" s="718"/>
      <c r="X18" s="719"/>
      <c r="Z18" s="670">
        <f t="shared" ref="Z18:Z81" si="2">IF(AND(E18&gt;0,F18&gt;0),"["&amp;RIGHT(LEFT(E18,2),1)&amp;RIGHT(LEFT(F18,2),1)&amp;"]",)</f>
        <v>0</v>
      </c>
      <c r="AA18" s="670">
        <f>IF(Z18=0,,IF(L18&lt;100000,1,0))</f>
        <v>0</v>
      </c>
      <c r="AB18" s="670">
        <f t="shared" ref="AB18:AB81" si="3">IF(Z18=0,,IF(AND(AA18=0,L18&lt;200000),1,))</f>
        <v>0</v>
      </c>
      <c r="AC18" s="670">
        <f>IF(Z18=0,,VLOOKUP(Z18,リスト!DC:DD,2,0))</f>
        <v>0</v>
      </c>
      <c r="AD18" s="670">
        <f t="shared" ref="AD18:AD81" si="4">IF(AB18=1,3,IF(G18="[2]中古",MIN(AC18,I18),AC18))</f>
        <v>0</v>
      </c>
      <c r="AE18" s="671">
        <f>IF(AD18=0,,VLOOKUP(AD18,リスト!DK:DL,2,0))</f>
        <v>0</v>
      </c>
      <c r="AF18" s="670">
        <f>IF(Z18=0,,
IF(OR(リスト!$C$21="小麦",リスト!$C$21="二条大麦",リスト!$C$21="六条大麦",リスト!$C$21="はだか麦",リスト!$C$21="なたね"),IF(K18&lt;9,調査年-J18,調査年-J18-1),
IF(リスト!$C$21="さとうきび",IF(K18&gt;=4,調査年-J18,調査年-J18+1),
調査年-J18)))</f>
        <v>0</v>
      </c>
      <c r="AG18" s="672">
        <f t="shared" ref="AG18:AG49" si="5">IF(OR(Z18=0,AA18=1),,
IF(AND(AD18&gt;0,AF18&lt;AD18,AH18&lt;=ROUND((L18-1)*AE18,0)),ROUND(AH18,0),
IF(AND(AD18&gt;0,AF18&lt;AD18),ROUND((L18-1)*AE18,0),)))</f>
        <v>0</v>
      </c>
      <c r="AH18" s="672">
        <f t="shared" ref="AH18:AH81" si="6">IF(OR(Z18=0,AA18=1),,
IF(AND(AD18&gt;0,AF18&lt;AD18),L18-ROUND((L18-1)*AE18*AF18,0),1
))</f>
        <v>0</v>
      </c>
      <c r="AI18" s="672">
        <f t="shared" ref="AI18:AI81" si="7">IF(OR(Z18=0,AA18=1),,
IF(T18=0,AG18,
IF(T18="[2]廃棄等",SUM(AH18,U18),
IF(T18="[1]売却",AH18-U18,))))</f>
        <v>0</v>
      </c>
      <c r="AJ18" s="672">
        <f t="shared" ref="AJ18:AJ81" si="8">IF(AND(AI18=0,AG18=0),,
IF(OR(T18="[1]売却",T18="[2]廃棄等"),SUM(AI18)-SUM(AG18),))</f>
        <v>0</v>
      </c>
      <c r="AK18" s="720"/>
      <c r="AL18" s="672">
        <f>IF(OR(R18=0,AH18=""),,
IF(OR(リスト!$C$21="小麦",リスト!$C$21="二条大麦",リスト!$C$21="六条大麦",リスト!$C$21="はだか麦",リスト!$C$21="なたね"),IF(OR(AND(K18&lt;9,J18=調査年),AND(K18&gt;=9,J18=調査年-1)),,ROUND(AH18*R18%,0)),
IF(リスト!$C$21="さとうきび",IF(OR(AND(K18&gt;=4,J18=調査年),AND(K18&lt;4,J18=調査年+1)),,ROUND(AH18*R18%,0)),
IF(J18=調査年,,ROUND(AH18*R18%,0)))))</f>
        <v>0</v>
      </c>
      <c r="AM18" s="672">
        <f t="shared" ref="AM18:AM81" si="9">IF(R18=0,,IF(AI18=0,,ROUND(AI18*R18%,0)))</f>
        <v>0</v>
      </c>
      <c r="AN18" s="672">
        <f t="shared" ref="AN18:AN81" si="10">IF(R18=0,,IF(AJ18=0,,ROUND(AJ18*R18%,0)))</f>
        <v>0</v>
      </c>
      <c r="AO18" s="672">
        <f t="shared" ref="AO18:AO81" si="11">IF(R18=0,,IF(AH18=0,,ROUND(AH18*R18%,0)))</f>
        <v>0</v>
      </c>
      <c r="AP18" s="672">
        <f>IF(R18=0,,
SUM(
IF(OR(リスト!$C$21="小麦",リスト!$C$21="二条大麦",リスト!$C$21="六条大麦",リスト!$C$21="はだか麦",リスト!$C$21="なたね"),IF(OR(AND(AA18=1,K18&lt;9,J18=調査年),AND(AA18=1,K18&gt;=9,J18=調査年-1)),ROUND(L18*R18%,0),),
IF(リスト!$C$21="さとうきび",IF(OR(AND(AA18=1,K18&gt;=4,J18=調査年),AND(AA18=1,K18&lt;4,J18=調査年+1)),ROUND(L18*R18%,0),),
IF(AND(AA18=1,J18=調査年),ROUND(L18*R18%,0),))),
ROUND(M18*R18%,0)
))</f>
        <v>0</v>
      </c>
      <c r="AQ18" s="672">
        <f t="shared" ref="AQ18:AQ81" si="12">IF(R18=0,,IF(N18=0,,ROUND(N18*R18%,0)))</f>
        <v>0</v>
      </c>
      <c r="AR18" s="672">
        <f t="shared" ref="AR18:AR81" si="13">IF(OR(AP18&gt;0,AQ18&gt;0),SUM(AP18:AQ18),)</f>
        <v>0</v>
      </c>
      <c r="AS18" s="672">
        <f>IF(O18&gt;0,IF(AND(F18&lt;&gt;"[1]軽自動車",F18&lt;&gt;"[3]自動二輪・三輪"),ROUND(O18*R18%,),),)</f>
        <v>0</v>
      </c>
      <c r="AT18" s="672">
        <f>IF(O18&gt;0,IF(OR(F18="[1]軽自動車",F18="[3]自動二輪・三輪"),ROUND(O18*R18%,),),)</f>
        <v>0</v>
      </c>
      <c r="AU18" s="672">
        <f t="shared" ref="AU18:AU81" si="14">IF(P18&gt;0,ROUND(P18*R18%,),)</f>
        <v>0</v>
      </c>
      <c r="AV18" s="672">
        <f t="shared" ref="AV18:AV81" si="15">IF(Q18&gt;0,ROUND(Q18*$R18%,),)</f>
        <v>0</v>
      </c>
      <c r="AW18" s="721">
        <f t="shared" ref="AW18:AW81" si="16">IF(X18="○",,IF(AND(W18&gt;0,R18&gt;0),ROUND(1/W18,1),IF(R18&gt;0,ROUND(1,1),)))</f>
        <v>0</v>
      </c>
      <c r="AX18" s="686"/>
      <c r="AY18" s="686"/>
    </row>
    <row r="19" spans="3:51" s="46" customFormat="1" ht="30.75" customHeight="1">
      <c r="C19" s="722">
        <v>2</v>
      </c>
      <c r="D19" s="675"/>
      <c r="E19" s="723"/>
      <c r="F19" s="724"/>
      <c r="G19" s="1961"/>
      <c r="H19" s="1962"/>
      <c r="I19" s="678"/>
      <c r="J19" s="725"/>
      <c r="K19" s="680"/>
      <c r="L19" s="681"/>
      <c r="M19" s="681"/>
      <c r="N19" s="681"/>
      <c r="O19" s="681"/>
      <c r="P19" s="681"/>
      <c r="Q19" s="681"/>
      <c r="R19" s="1094"/>
      <c r="S19" s="682"/>
      <c r="T19" s="726"/>
      <c r="U19" s="727"/>
      <c r="V19" s="717"/>
      <c r="W19" s="728"/>
      <c r="X19" s="729"/>
      <c r="Y19" s="638"/>
      <c r="Z19" s="670">
        <f t="shared" si="2"/>
        <v>0</v>
      </c>
      <c r="AA19" s="670">
        <f t="shared" ref="AA19:AA81" si="17">IF(Z19=0,,IF(L19&lt;100000,1,0))</f>
        <v>0</v>
      </c>
      <c r="AB19" s="670">
        <f t="shared" si="3"/>
        <v>0</v>
      </c>
      <c r="AC19" s="670">
        <f>IF(Z19=0,,VLOOKUP(Z19,リスト!DC:DD,2,0))</f>
        <v>0</v>
      </c>
      <c r="AD19" s="670">
        <f t="shared" si="4"/>
        <v>0</v>
      </c>
      <c r="AE19" s="671">
        <f>IF(AD19=0,,VLOOKUP(AD19,リスト!DK:DL,2,0))</f>
        <v>0</v>
      </c>
      <c r="AF19" s="670">
        <f>IF(Z19=0,,
IF(OR(リスト!$C$21="小麦",リスト!$C$21="二条大麦",リスト!$C$21="六条大麦",リスト!$C$21="はだか麦",リスト!$C$21="なたね"),IF(K19&lt;9,調査年-J19,調査年-J19-1),
IF(リスト!$C$21="さとうきび",IF(K19&gt;=4,調査年-J19,調査年-J19+1),
調査年-J19)))</f>
        <v>0</v>
      </c>
      <c r="AG19" s="672">
        <f t="shared" si="5"/>
        <v>0</v>
      </c>
      <c r="AH19" s="672">
        <f t="shared" si="6"/>
        <v>0</v>
      </c>
      <c r="AI19" s="672">
        <f t="shared" si="7"/>
        <v>0</v>
      </c>
      <c r="AJ19" s="672">
        <f t="shared" si="8"/>
        <v>0</v>
      </c>
      <c r="AK19" s="394"/>
      <c r="AL19" s="672">
        <f>IF(OR(R19=0,AH19=""),,
IF(OR(リスト!$C$21="小麦",リスト!$C$21="二条大麦",リスト!$C$21="六条大麦",リスト!$C$21="はだか麦",リスト!$C$21="なたね"),IF(OR(AND(K19&lt;9,J19=調査年),AND(K19&gt;=9,J19=調査年-1)),,ROUND(AH19*R19%,0)),
IF(リスト!$C$21="さとうきび",IF(OR(AND(K19&gt;=4,J19=調査年),AND(K19&lt;4,J19=調査年+1)),,ROUND(AH19*R19%,0)),
IF(J19=調査年,,ROUND(AH19*R19%,0)))))</f>
        <v>0</v>
      </c>
      <c r="AM19" s="672">
        <f t="shared" si="9"/>
        <v>0</v>
      </c>
      <c r="AN19" s="672">
        <f t="shared" si="10"/>
        <v>0</v>
      </c>
      <c r="AO19" s="672">
        <f t="shared" si="11"/>
        <v>0</v>
      </c>
      <c r="AP19" s="672">
        <f>IF(R19=0,,
SUM(
IF(OR(リスト!$C$21="小麦",リスト!$C$21="二条大麦",リスト!$C$21="六条大麦",リスト!$C$21="はだか麦",リスト!$C$21="なたね"),IF(OR(AND(AA19=1,K19&lt;9,J19=調査年),AND(AA19=1,K19&gt;=9,J19=調査年-1)),ROUND(L19*R19%,0),),
IF(リスト!$C$21="さとうきび",IF(OR(AND(AA19=1,K19&gt;=4,J19=調査年),AND(AA19=1,K19&lt;4,J19=調査年+1)),ROUND(L19*R19%,0),),
IF(AND(AA19=1,J19=調査年),ROUND(L19*R19%,0),))),
ROUND(M19*R19%,0)
))</f>
        <v>0</v>
      </c>
      <c r="AQ19" s="672">
        <f t="shared" si="12"/>
        <v>0</v>
      </c>
      <c r="AR19" s="672">
        <f t="shared" si="13"/>
        <v>0</v>
      </c>
      <c r="AS19" s="672">
        <f>IF(O19&gt;0,IF(AND(F19&lt;&gt;"[1]軽自動車",F19&lt;&gt;"[3]自動二輪・三輪"),ROUND(O19*R19%,),),)</f>
        <v>0</v>
      </c>
      <c r="AT19" s="672">
        <f>IF(O19&gt;0,IF(OR(F19="[1]軽自動車",F19="[3]自動二輪・三輪"),ROUND(O19*R19%,),),)</f>
        <v>0</v>
      </c>
      <c r="AU19" s="672">
        <f t="shared" si="14"/>
        <v>0</v>
      </c>
      <c r="AV19" s="672">
        <f t="shared" si="15"/>
        <v>0</v>
      </c>
      <c r="AW19" s="721">
        <f t="shared" si="16"/>
        <v>0</v>
      </c>
      <c r="AX19" s="686"/>
      <c r="AY19" s="686"/>
    </row>
    <row r="20" spans="3:51" s="46" customFormat="1" ht="30.75" customHeight="1">
      <c r="C20" s="722">
        <v>3</v>
      </c>
      <c r="D20" s="687"/>
      <c r="E20" s="723"/>
      <c r="F20" s="724"/>
      <c r="G20" s="1961"/>
      <c r="H20" s="1962"/>
      <c r="I20" s="678"/>
      <c r="J20" s="725"/>
      <c r="K20" s="680"/>
      <c r="L20" s="681"/>
      <c r="M20" s="681"/>
      <c r="N20" s="681"/>
      <c r="O20" s="681"/>
      <c r="P20" s="681"/>
      <c r="Q20" s="681"/>
      <c r="R20" s="1094"/>
      <c r="S20" s="682"/>
      <c r="T20" s="726"/>
      <c r="U20" s="727"/>
      <c r="V20" s="717"/>
      <c r="W20" s="728"/>
      <c r="X20" s="729"/>
      <c r="Y20" s="638"/>
      <c r="Z20" s="670">
        <f t="shared" si="2"/>
        <v>0</v>
      </c>
      <c r="AA20" s="670">
        <f t="shared" si="17"/>
        <v>0</v>
      </c>
      <c r="AB20" s="670">
        <f t="shared" si="3"/>
        <v>0</v>
      </c>
      <c r="AC20" s="670">
        <f>IF(Z20=0,,VLOOKUP(Z20,リスト!DC:DD,2,0))</f>
        <v>0</v>
      </c>
      <c r="AD20" s="670">
        <f t="shared" si="4"/>
        <v>0</v>
      </c>
      <c r="AE20" s="671">
        <f>IF(AD20=0,,VLOOKUP(AD20,リスト!DK:DL,2,0))</f>
        <v>0</v>
      </c>
      <c r="AF20" s="670">
        <f>IF(Z20=0,,
IF(OR(リスト!$C$21="小麦",リスト!$C$21="二条大麦",リスト!$C$21="六条大麦",リスト!$C$21="はだか麦",リスト!$C$21="なたね"),IF(K20&lt;9,調査年-J20,調査年-J20-1),
IF(リスト!$C$21="さとうきび",IF(K20&gt;=4,調査年-J20,調査年-J20+1),
調査年-J20)))</f>
        <v>0</v>
      </c>
      <c r="AG20" s="672">
        <f t="shared" si="5"/>
        <v>0</v>
      </c>
      <c r="AH20" s="672">
        <f t="shared" si="6"/>
        <v>0</v>
      </c>
      <c r="AI20" s="672">
        <f t="shared" si="7"/>
        <v>0</v>
      </c>
      <c r="AJ20" s="672">
        <f t="shared" si="8"/>
        <v>0</v>
      </c>
      <c r="AK20" s="394"/>
      <c r="AL20" s="672">
        <f>IF(OR(R20=0,AH20=""),,
IF(OR(リスト!$C$21="小麦",リスト!$C$21="二条大麦",リスト!$C$21="六条大麦",リスト!$C$21="はだか麦",リスト!$C$21="なたね"),IF(OR(AND(K20&lt;9,J20=調査年),AND(K20&gt;=9,J20=調査年-1)),,ROUND(AH20*R20%,0)),
IF(リスト!$C$21="さとうきび",IF(OR(AND(K20&gt;=4,J20=調査年),AND(K20&lt;4,J20=調査年+1)),,ROUND(AH20*R20%,0)),
IF(J20=調査年,,ROUND(AH20*R20%,0)))))</f>
        <v>0</v>
      </c>
      <c r="AM20" s="672">
        <f t="shared" si="9"/>
        <v>0</v>
      </c>
      <c r="AN20" s="672">
        <f t="shared" si="10"/>
        <v>0</v>
      </c>
      <c r="AO20" s="672">
        <f t="shared" si="11"/>
        <v>0</v>
      </c>
      <c r="AP20" s="672">
        <f>IF(R20=0,,
SUM(
IF(OR(リスト!$C$21="小麦",リスト!$C$21="二条大麦",リスト!$C$21="六条大麦",リスト!$C$21="はだか麦",リスト!$C$21="なたね"),IF(OR(AND(AA20=1,K20&lt;9,J20=調査年),AND(AA20=1,K20&gt;=9,J20=調査年-1)),ROUND(L20*R20%,0),),
IF(リスト!$C$21="さとうきび",IF(OR(AND(AA20=1,K20&gt;=4,J20=調査年),AND(AA20=1,K20&lt;4,J20=調査年+1)),ROUND(L20*R20%,0),),
IF(AND(AA20=1,J20=調査年),ROUND(L20*R20%,0),))),
ROUND(M20*R20%,0)
))</f>
        <v>0</v>
      </c>
      <c r="AQ20" s="672">
        <f t="shared" si="12"/>
        <v>0</v>
      </c>
      <c r="AR20" s="672">
        <f t="shared" si="13"/>
        <v>0</v>
      </c>
      <c r="AS20" s="672">
        <f t="shared" ref="AS20:AS83" si="18">IF(O20&gt;0,IF(AND(F20&lt;&gt;"[1]軽自動車",F20&lt;&gt;"[3]自動二輪・三輪"),ROUND(O20*R20%,),),)</f>
        <v>0</v>
      </c>
      <c r="AT20" s="672">
        <f t="shared" ref="AT20:AT83" si="19">IF(O20&gt;0,IF(OR(F20="[1]軽自動車",F20="[3]自動二輪・三輪"),ROUND(O20*R20%,),),)</f>
        <v>0</v>
      </c>
      <c r="AU20" s="672">
        <f t="shared" si="14"/>
        <v>0</v>
      </c>
      <c r="AV20" s="672">
        <f t="shared" si="15"/>
        <v>0</v>
      </c>
      <c r="AW20" s="721">
        <f t="shared" si="16"/>
        <v>0</v>
      </c>
      <c r="AX20" s="686"/>
      <c r="AY20" s="686"/>
    </row>
    <row r="21" spans="3:51" s="46" customFormat="1" ht="30.75" customHeight="1">
      <c r="C21" s="722">
        <v>4</v>
      </c>
      <c r="D21" s="687"/>
      <c r="E21" s="723"/>
      <c r="F21" s="724"/>
      <c r="G21" s="1961"/>
      <c r="H21" s="1962"/>
      <c r="I21" s="679"/>
      <c r="J21" s="725"/>
      <c r="K21" s="680"/>
      <c r="L21" s="681"/>
      <c r="M21" s="681"/>
      <c r="N21" s="681"/>
      <c r="O21" s="681"/>
      <c r="P21" s="681"/>
      <c r="Q21" s="681"/>
      <c r="R21" s="1094"/>
      <c r="S21" s="682"/>
      <c r="T21" s="726"/>
      <c r="U21" s="727"/>
      <c r="V21" s="717"/>
      <c r="W21" s="728"/>
      <c r="X21" s="729"/>
      <c r="Y21" s="638"/>
      <c r="Z21" s="670">
        <f t="shared" si="2"/>
        <v>0</v>
      </c>
      <c r="AA21" s="670">
        <f t="shared" si="17"/>
        <v>0</v>
      </c>
      <c r="AB21" s="670">
        <f t="shared" si="3"/>
        <v>0</v>
      </c>
      <c r="AC21" s="670">
        <f>IF(Z21=0,,VLOOKUP(Z21,リスト!DC:DD,2,0))</f>
        <v>0</v>
      </c>
      <c r="AD21" s="670">
        <f t="shared" si="4"/>
        <v>0</v>
      </c>
      <c r="AE21" s="671">
        <f>IF(AD21=0,,VLOOKUP(AD21,リスト!DK:DL,2,0))</f>
        <v>0</v>
      </c>
      <c r="AF21" s="670">
        <f>IF(Z21=0,,
IF(OR(リスト!$C$21="小麦",リスト!$C$21="二条大麦",リスト!$C$21="六条大麦",リスト!$C$21="はだか麦",リスト!$C$21="なたね"),IF(K21&lt;9,調査年-J21,調査年-J21-1),
IF(リスト!$C$21="さとうきび",IF(K21&gt;=4,調査年-J21,調査年-J21+1),
調査年-J21)))</f>
        <v>0</v>
      </c>
      <c r="AG21" s="672">
        <f t="shared" si="5"/>
        <v>0</v>
      </c>
      <c r="AH21" s="672">
        <f t="shared" si="6"/>
        <v>0</v>
      </c>
      <c r="AI21" s="672">
        <f t="shared" si="7"/>
        <v>0</v>
      </c>
      <c r="AJ21" s="672">
        <f t="shared" si="8"/>
        <v>0</v>
      </c>
      <c r="AK21" s="394"/>
      <c r="AL21" s="672">
        <f>IF(OR(R21=0,AH21=""),,
IF(OR(リスト!$C$21="小麦",リスト!$C$21="二条大麦",リスト!$C$21="六条大麦",リスト!$C$21="はだか麦",リスト!$C$21="なたね"),IF(OR(AND(K21&lt;9,J21=調査年),AND(K21&gt;=9,J21=調査年-1)),,ROUND(AH21*R21%,0)),
IF(リスト!$C$21="さとうきび",IF(OR(AND(K21&gt;=4,J21=調査年),AND(K21&lt;4,J21=調査年+1)),,ROUND(AH21*R21%,0)),
IF(J21=調査年,,ROUND(AH21*R21%,0)))))</f>
        <v>0</v>
      </c>
      <c r="AM21" s="672">
        <f t="shared" si="9"/>
        <v>0</v>
      </c>
      <c r="AN21" s="672">
        <f t="shared" si="10"/>
        <v>0</v>
      </c>
      <c r="AO21" s="672">
        <f t="shared" si="11"/>
        <v>0</v>
      </c>
      <c r="AP21" s="672">
        <f>IF(R21=0,,
SUM(
IF(OR(リスト!$C$21="小麦",リスト!$C$21="二条大麦",リスト!$C$21="六条大麦",リスト!$C$21="はだか麦",リスト!$C$21="なたね"),IF(OR(AND(AA21=1,K21&lt;9,J21=調査年),AND(AA21=1,K21&gt;=9,J21=調査年-1)),ROUND(L21*R21%,0),),
IF(リスト!$C$21="さとうきび",IF(OR(AND(AA21=1,K21&gt;=4,J21=調査年),AND(AA21=1,K21&lt;4,J21=調査年+1)),ROUND(L21*R21%,0),),
IF(AND(AA21=1,J21=調査年),ROUND(L21*R21%,0),))),
ROUND(M21*R21%,0)
))</f>
        <v>0</v>
      </c>
      <c r="AQ21" s="672">
        <f t="shared" si="12"/>
        <v>0</v>
      </c>
      <c r="AR21" s="672">
        <f t="shared" si="13"/>
        <v>0</v>
      </c>
      <c r="AS21" s="672">
        <f t="shared" si="18"/>
        <v>0</v>
      </c>
      <c r="AT21" s="672">
        <f t="shared" si="19"/>
        <v>0</v>
      </c>
      <c r="AU21" s="672">
        <f t="shared" si="14"/>
        <v>0</v>
      </c>
      <c r="AV21" s="672">
        <f t="shared" si="15"/>
        <v>0</v>
      </c>
      <c r="AW21" s="721">
        <f t="shared" si="16"/>
        <v>0</v>
      </c>
      <c r="AX21" s="686"/>
      <c r="AY21" s="686"/>
    </row>
    <row r="22" spans="3:51" s="46" customFormat="1" ht="30.75" customHeight="1">
      <c r="C22" s="722">
        <v>5</v>
      </c>
      <c r="D22" s="687"/>
      <c r="E22" s="723"/>
      <c r="F22" s="724"/>
      <c r="G22" s="1961"/>
      <c r="H22" s="1962"/>
      <c r="I22" s="679"/>
      <c r="J22" s="725"/>
      <c r="K22" s="680"/>
      <c r="L22" s="681"/>
      <c r="M22" s="681"/>
      <c r="N22" s="681"/>
      <c r="O22" s="681"/>
      <c r="P22" s="681"/>
      <c r="Q22" s="681"/>
      <c r="R22" s="1094"/>
      <c r="S22" s="682"/>
      <c r="T22" s="726"/>
      <c r="U22" s="727"/>
      <c r="V22" s="717"/>
      <c r="W22" s="728"/>
      <c r="X22" s="729"/>
      <c r="Z22" s="670">
        <f t="shared" si="2"/>
        <v>0</v>
      </c>
      <c r="AA22" s="670">
        <f t="shared" si="17"/>
        <v>0</v>
      </c>
      <c r="AB22" s="670">
        <f t="shared" si="3"/>
        <v>0</v>
      </c>
      <c r="AC22" s="670">
        <f>IF(Z22=0,,VLOOKUP(Z22,リスト!DC:DD,2,0))</f>
        <v>0</v>
      </c>
      <c r="AD22" s="670">
        <f t="shared" si="4"/>
        <v>0</v>
      </c>
      <c r="AE22" s="671">
        <f>IF(AD22=0,,VLOOKUP(AD22,リスト!DK:DL,2,0))</f>
        <v>0</v>
      </c>
      <c r="AF22" s="670">
        <f>IF(Z22=0,,
IF(OR(リスト!$C$21="小麦",リスト!$C$21="二条大麦",リスト!$C$21="六条大麦",リスト!$C$21="はだか麦",リスト!$C$21="なたね"),IF(K22&lt;9,調査年-J22,調査年-J22-1),
IF(リスト!$C$21="さとうきび",IF(K22&gt;=4,調査年-J22,調査年-J22+1),
調査年-J22)))</f>
        <v>0</v>
      </c>
      <c r="AG22" s="672">
        <f t="shared" si="5"/>
        <v>0</v>
      </c>
      <c r="AH22" s="672">
        <f t="shared" si="6"/>
        <v>0</v>
      </c>
      <c r="AI22" s="672">
        <f t="shared" si="7"/>
        <v>0</v>
      </c>
      <c r="AJ22" s="672">
        <f t="shared" si="8"/>
        <v>0</v>
      </c>
      <c r="AK22" s="394"/>
      <c r="AL22" s="672">
        <f>IF(OR(R22=0,AH22=""),,
IF(OR(リスト!$C$21="小麦",リスト!$C$21="二条大麦",リスト!$C$21="六条大麦",リスト!$C$21="はだか麦",リスト!$C$21="なたね"),IF(OR(AND(K22&lt;9,J22=調査年),AND(K22&gt;=9,J22=調査年-1)),,ROUND(AH22*R22%,0)),
IF(リスト!$C$21="さとうきび",IF(OR(AND(K22&gt;=4,J22=調査年),AND(K22&lt;4,J22=調査年+1)),,ROUND(AH22*R22%,0)),
IF(J22=調査年,,ROUND(AH22*R22%,0)))))</f>
        <v>0</v>
      </c>
      <c r="AM22" s="672">
        <f t="shared" si="9"/>
        <v>0</v>
      </c>
      <c r="AN22" s="672">
        <f t="shared" si="10"/>
        <v>0</v>
      </c>
      <c r="AO22" s="672">
        <f t="shared" si="11"/>
        <v>0</v>
      </c>
      <c r="AP22" s="672">
        <f>IF(R22=0,,
SUM(
IF(OR(リスト!$C$21="小麦",リスト!$C$21="二条大麦",リスト!$C$21="六条大麦",リスト!$C$21="はだか麦",リスト!$C$21="なたね"),IF(OR(AND(AA22=1,K22&lt;9,J22=調査年),AND(AA22=1,K22&gt;=9,J22=調査年-1)),ROUND(L22*R22%,0),),
IF(リスト!$C$21="さとうきび",IF(OR(AND(AA22=1,K22&gt;=4,J22=調査年),AND(AA22=1,K22&lt;4,J22=調査年+1)),ROUND(L22*R22%,0),),
IF(AND(AA22=1,J22=調査年),ROUND(L22*R22%,0),))),
ROUND(M22*R22%,0)
))</f>
        <v>0</v>
      </c>
      <c r="AQ22" s="672">
        <f t="shared" si="12"/>
        <v>0</v>
      </c>
      <c r="AR22" s="672">
        <f t="shared" si="13"/>
        <v>0</v>
      </c>
      <c r="AS22" s="672">
        <f t="shared" si="18"/>
        <v>0</v>
      </c>
      <c r="AT22" s="672">
        <f t="shared" si="19"/>
        <v>0</v>
      </c>
      <c r="AU22" s="672">
        <f t="shared" si="14"/>
        <v>0</v>
      </c>
      <c r="AV22" s="672">
        <f t="shared" si="15"/>
        <v>0</v>
      </c>
      <c r="AW22" s="721">
        <f t="shared" si="16"/>
        <v>0</v>
      </c>
      <c r="AX22" s="686"/>
      <c r="AY22" s="686"/>
    </row>
    <row r="23" spans="3:51" s="46" customFormat="1" ht="30.75" customHeight="1">
      <c r="C23" s="722">
        <v>6</v>
      </c>
      <c r="D23" s="687"/>
      <c r="E23" s="723"/>
      <c r="F23" s="724"/>
      <c r="G23" s="1961"/>
      <c r="H23" s="1962"/>
      <c r="I23" s="679"/>
      <c r="J23" s="725"/>
      <c r="K23" s="680"/>
      <c r="L23" s="681"/>
      <c r="M23" s="681"/>
      <c r="N23" s="681"/>
      <c r="O23" s="681"/>
      <c r="P23" s="681"/>
      <c r="Q23" s="681"/>
      <c r="R23" s="1094"/>
      <c r="S23" s="682"/>
      <c r="T23" s="726"/>
      <c r="U23" s="727"/>
      <c r="V23" s="717"/>
      <c r="W23" s="728"/>
      <c r="X23" s="729"/>
      <c r="Y23" s="638"/>
      <c r="Z23" s="670">
        <f t="shared" si="2"/>
        <v>0</v>
      </c>
      <c r="AA23" s="670">
        <f t="shared" si="17"/>
        <v>0</v>
      </c>
      <c r="AB23" s="670">
        <f t="shared" si="3"/>
        <v>0</v>
      </c>
      <c r="AC23" s="670">
        <f>IF(Z23=0,,VLOOKUP(Z23,リスト!DC:DD,2,0))</f>
        <v>0</v>
      </c>
      <c r="AD23" s="670">
        <f t="shared" si="4"/>
        <v>0</v>
      </c>
      <c r="AE23" s="671">
        <f>IF(AD23=0,,VLOOKUP(AD23,リスト!DK:DL,2,0))</f>
        <v>0</v>
      </c>
      <c r="AF23" s="670">
        <f>IF(Z23=0,,
IF(OR(リスト!$C$21="小麦",リスト!$C$21="二条大麦",リスト!$C$21="六条大麦",リスト!$C$21="はだか麦",リスト!$C$21="なたね"),IF(K23&lt;9,調査年-J23,調査年-J23-1),
IF(リスト!$C$21="さとうきび",IF(K23&gt;=4,調査年-J23,調査年-J23+1),
調査年-J23)))</f>
        <v>0</v>
      </c>
      <c r="AG23" s="672">
        <f t="shared" si="5"/>
        <v>0</v>
      </c>
      <c r="AH23" s="672">
        <f t="shared" si="6"/>
        <v>0</v>
      </c>
      <c r="AI23" s="672">
        <f t="shared" si="7"/>
        <v>0</v>
      </c>
      <c r="AJ23" s="672">
        <f t="shared" si="8"/>
        <v>0</v>
      </c>
      <c r="AK23" s="394"/>
      <c r="AL23" s="672">
        <f>IF(OR(R23=0,AH23=""),,
IF(OR(リスト!$C$21="小麦",リスト!$C$21="二条大麦",リスト!$C$21="六条大麦",リスト!$C$21="はだか麦",リスト!$C$21="なたね"),IF(OR(AND(K23&lt;9,J23=調査年),AND(K23&gt;=9,J23=調査年-1)),,ROUND(AH23*R23%,0)),
IF(リスト!$C$21="さとうきび",IF(OR(AND(K23&gt;=4,J23=調査年),AND(K23&lt;4,J23=調査年+1)),,ROUND(AH23*R23%,0)),
IF(J23=調査年,,ROUND(AH23*R23%,0)))))</f>
        <v>0</v>
      </c>
      <c r="AM23" s="672">
        <f t="shared" si="9"/>
        <v>0</v>
      </c>
      <c r="AN23" s="672">
        <f t="shared" si="10"/>
        <v>0</v>
      </c>
      <c r="AO23" s="672">
        <f t="shared" si="11"/>
        <v>0</v>
      </c>
      <c r="AP23" s="672">
        <f>IF(R23=0,,
SUM(
IF(OR(リスト!$C$21="小麦",リスト!$C$21="二条大麦",リスト!$C$21="六条大麦",リスト!$C$21="はだか麦",リスト!$C$21="なたね"),IF(OR(AND(AA23=1,K23&lt;9,J23=調査年),AND(AA23=1,K23&gt;=9,J23=調査年-1)),ROUND(L23*R23%,0),),
IF(リスト!$C$21="さとうきび",IF(OR(AND(AA23=1,K23&gt;=4,J23=調査年),AND(AA23=1,K23&lt;4,J23=調査年+1)),ROUND(L23*R23%,0),),
IF(AND(AA23=1,J23=調査年),ROUND(L23*R23%,0),))),
ROUND(M23*R23%,0)
))</f>
        <v>0</v>
      </c>
      <c r="AQ23" s="672">
        <f t="shared" si="12"/>
        <v>0</v>
      </c>
      <c r="AR23" s="672">
        <f t="shared" si="13"/>
        <v>0</v>
      </c>
      <c r="AS23" s="672">
        <f t="shared" si="18"/>
        <v>0</v>
      </c>
      <c r="AT23" s="672">
        <f t="shared" si="19"/>
        <v>0</v>
      </c>
      <c r="AU23" s="672">
        <f t="shared" si="14"/>
        <v>0</v>
      </c>
      <c r="AV23" s="672">
        <f t="shared" si="15"/>
        <v>0</v>
      </c>
      <c r="AW23" s="721">
        <f t="shared" si="16"/>
        <v>0</v>
      </c>
      <c r="AX23" s="686"/>
      <c r="AY23" s="686"/>
    </row>
    <row r="24" spans="3:51" s="46" customFormat="1" ht="30.75" customHeight="1">
      <c r="C24" s="722">
        <v>7</v>
      </c>
      <c r="D24" s="687"/>
      <c r="E24" s="723"/>
      <c r="F24" s="724"/>
      <c r="G24" s="1961"/>
      <c r="H24" s="1962"/>
      <c r="I24" s="679"/>
      <c r="J24" s="725"/>
      <c r="K24" s="680"/>
      <c r="L24" s="681"/>
      <c r="M24" s="681"/>
      <c r="N24" s="681"/>
      <c r="O24" s="681"/>
      <c r="P24" s="681"/>
      <c r="Q24" s="681"/>
      <c r="R24" s="1094"/>
      <c r="S24" s="682"/>
      <c r="T24" s="726"/>
      <c r="U24" s="727"/>
      <c r="V24" s="717"/>
      <c r="W24" s="728"/>
      <c r="X24" s="729"/>
      <c r="Y24" s="638"/>
      <c r="Z24" s="670">
        <f t="shared" si="2"/>
        <v>0</v>
      </c>
      <c r="AA24" s="670">
        <f t="shared" si="17"/>
        <v>0</v>
      </c>
      <c r="AB24" s="670">
        <f t="shared" si="3"/>
        <v>0</v>
      </c>
      <c r="AC24" s="670">
        <f>IF(Z24=0,,VLOOKUP(Z24,リスト!DC:DD,2,0))</f>
        <v>0</v>
      </c>
      <c r="AD24" s="670">
        <f t="shared" si="4"/>
        <v>0</v>
      </c>
      <c r="AE24" s="671">
        <f>IF(AD24=0,,VLOOKUP(AD24,リスト!DK:DL,2,0))</f>
        <v>0</v>
      </c>
      <c r="AF24" s="670">
        <f>IF(Z24=0,,
IF(OR(リスト!$C$21="小麦",リスト!$C$21="二条大麦",リスト!$C$21="六条大麦",リスト!$C$21="はだか麦",リスト!$C$21="なたね"),IF(K24&lt;9,調査年-J24,調査年-J24-1),
IF(リスト!$C$21="さとうきび",IF(K24&gt;=4,調査年-J24,調査年-J24+1),
調査年-J24)))</f>
        <v>0</v>
      </c>
      <c r="AG24" s="672">
        <f t="shared" si="5"/>
        <v>0</v>
      </c>
      <c r="AH24" s="672">
        <f t="shared" si="6"/>
        <v>0</v>
      </c>
      <c r="AI24" s="672">
        <f t="shared" si="7"/>
        <v>0</v>
      </c>
      <c r="AJ24" s="672">
        <f t="shared" si="8"/>
        <v>0</v>
      </c>
      <c r="AK24" s="394"/>
      <c r="AL24" s="672">
        <f>IF(OR(R24=0,AH24=""),,
IF(OR(リスト!$C$21="小麦",リスト!$C$21="二条大麦",リスト!$C$21="六条大麦",リスト!$C$21="はだか麦",リスト!$C$21="なたね"),IF(OR(AND(K24&lt;9,J24=調査年),AND(K24&gt;=9,J24=調査年-1)),,ROUND(AH24*R24%,0)),
IF(リスト!$C$21="さとうきび",IF(OR(AND(K24&gt;=4,J24=調査年),AND(K24&lt;4,J24=調査年+1)),,ROUND(AH24*R24%,0)),
IF(J24=調査年,,ROUND(AH24*R24%,0)))))</f>
        <v>0</v>
      </c>
      <c r="AM24" s="672">
        <f t="shared" si="9"/>
        <v>0</v>
      </c>
      <c r="AN24" s="672">
        <f t="shared" si="10"/>
        <v>0</v>
      </c>
      <c r="AO24" s="672">
        <f t="shared" si="11"/>
        <v>0</v>
      </c>
      <c r="AP24" s="672">
        <f>IF(R24=0,,
SUM(
IF(OR(リスト!$C$21="小麦",リスト!$C$21="二条大麦",リスト!$C$21="六条大麦",リスト!$C$21="はだか麦",リスト!$C$21="なたね"),IF(OR(AND(AA24=1,K24&lt;9,J24=調査年),AND(AA24=1,K24&gt;=9,J24=調査年-1)),ROUND(L24*R24%,0),),
IF(リスト!$C$21="さとうきび",IF(OR(AND(AA24=1,K24&gt;=4,J24=調査年),AND(AA24=1,K24&lt;4,J24=調査年+1)),ROUND(L24*R24%,0),),
IF(AND(AA24=1,J24=調査年),ROUND(L24*R24%,0),))),
ROUND(M24*R24%,0)
))</f>
        <v>0</v>
      </c>
      <c r="AQ24" s="672">
        <f t="shared" si="12"/>
        <v>0</v>
      </c>
      <c r="AR24" s="672">
        <f t="shared" si="13"/>
        <v>0</v>
      </c>
      <c r="AS24" s="672">
        <f t="shared" si="18"/>
        <v>0</v>
      </c>
      <c r="AT24" s="672">
        <f t="shared" si="19"/>
        <v>0</v>
      </c>
      <c r="AU24" s="672">
        <f t="shared" si="14"/>
        <v>0</v>
      </c>
      <c r="AV24" s="672">
        <f t="shared" si="15"/>
        <v>0</v>
      </c>
      <c r="AW24" s="721">
        <f t="shared" si="16"/>
        <v>0</v>
      </c>
      <c r="AX24" s="686"/>
      <c r="AY24" s="686"/>
    </row>
    <row r="25" spans="3:51" s="46" customFormat="1" ht="30.75" customHeight="1">
      <c r="C25" s="722">
        <v>8</v>
      </c>
      <c r="D25" s="687"/>
      <c r="E25" s="723"/>
      <c r="F25" s="724"/>
      <c r="G25" s="1961"/>
      <c r="H25" s="1962"/>
      <c r="I25" s="679"/>
      <c r="J25" s="725"/>
      <c r="K25" s="680"/>
      <c r="L25" s="681"/>
      <c r="M25" s="681"/>
      <c r="N25" s="681"/>
      <c r="O25" s="681"/>
      <c r="P25" s="681"/>
      <c r="Q25" s="681"/>
      <c r="R25" s="1094"/>
      <c r="S25" s="682"/>
      <c r="T25" s="726"/>
      <c r="U25" s="727"/>
      <c r="V25" s="717"/>
      <c r="W25" s="728"/>
      <c r="X25" s="729"/>
      <c r="Y25" s="51"/>
      <c r="Z25" s="670">
        <f t="shared" si="2"/>
        <v>0</v>
      </c>
      <c r="AA25" s="670">
        <f t="shared" si="17"/>
        <v>0</v>
      </c>
      <c r="AB25" s="670">
        <f t="shared" si="3"/>
        <v>0</v>
      </c>
      <c r="AC25" s="670">
        <f>IF(Z25=0,,VLOOKUP(Z25,リスト!DC:DD,2,0))</f>
        <v>0</v>
      </c>
      <c r="AD25" s="670">
        <f t="shared" si="4"/>
        <v>0</v>
      </c>
      <c r="AE25" s="671">
        <f>IF(AD25=0,,VLOOKUP(AD25,リスト!DK:DL,2,0))</f>
        <v>0</v>
      </c>
      <c r="AF25" s="670">
        <f>IF(Z25=0,,
IF(OR(リスト!$C$21="小麦",リスト!$C$21="二条大麦",リスト!$C$21="六条大麦",リスト!$C$21="はだか麦",リスト!$C$21="なたね"),IF(K25&lt;9,調査年-J25,調査年-J25-1),
IF(リスト!$C$21="さとうきび",IF(K25&gt;=4,調査年-J25,調査年-J25+1),
調査年-J25)))</f>
        <v>0</v>
      </c>
      <c r="AG25" s="672">
        <f t="shared" si="5"/>
        <v>0</v>
      </c>
      <c r="AH25" s="672">
        <f t="shared" si="6"/>
        <v>0</v>
      </c>
      <c r="AI25" s="672">
        <f t="shared" si="7"/>
        <v>0</v>
      </c>
      <c r="AJ25" s="672">
        <f t="shared" si="8"/>
        <v>0</v>
      </c>
      <c r="AK25" s="394"/>
      <c r="AL25" s="672">
        <f>IF(OR(R25=0,AH25=""),,
IF(OR(リスト!$C$21="小麦",リスト!$C$21="二条大麦",リスト!$C$21="六条大麦",リスト!$C$21="はだか麦",リスト!$C$21="なたね"),IF(OR(AND(K25&lt;9,J25=調査年),AND(K25&gt;=9,J25=調査年-1)),,ROUND(AH25*R25%,0)),
IF(リスト!$C$21="さとうきび",IF(OR(AND(K25&gt;=4,J25=調査年),AND(K25&lt;4,J25=調査年+1)),,ROUND(AH25*R25%,0)),
IF(J25=調査年,,ROUND(AH25*R25%,0)))))</f>
        <v>0</v>
      </c>
      <c r="AM25" s="672">
        <f t="shared" si="9"/>
        <v>0</v>
      </c>
      <c r="AN25" s="672">
        <f t="shared" si="10"/>
        <v>0</v>
      </c>
      <c r="AO25" s="672">
        <f t="shared" si="11"/>
        <v>0</v>
      </c>
      <c r="AP25" s="672">
        <f>IF(R25=0,,
SUM(
IF(OR(リスト!$C$21="小麦",リスト!$C$21="二条大麦",リスト!$C$21="六条大麦",リスト!$C$21="はだか麦",リスト!$C$21="なたね"),IF(OR(AND(AA25=1,K25&lt;9,J25=調査年),AND(AA25=1,K25&gt;=9,J25=調査年-1)),ROUND(L25*R25%,0),),
IF(リスト!$C$21="さとうきび",IF(OR(AND(AA25=1,K25&gt;=4,J25=調査年),AND(AA25=1,K25&lt;4,J25=調査年+1)),ROUND(L25*R25%,0),),
IF(AND(AA25=1,J25=調査年),ROUND(L25*R25%,0),))),
ROUND(M25*R25%,0)
))</f>
        <v>0</v>
      </c>
      <c r="AQ25" s="672">
        <f t="shared" si="12"/>
        <v>0</v>
      </c>
      <c r="AR25" s="672">
        <f t="shared" si="13"/>
        <v>0</v>
      </c>
      <c r="AS25" s="672">
        <f t="shared" si="18"/>
        <v>0</v>
      </c>
      <c r="AT25" s="672">
        <f t="shared" si="19"/>
        <v>0</v>
      </c>
      <c r="AU25" s="672">
        <f t="shared" si="14"/>
        <v>0</v>
      </c>
      <c r="AV25" s="672">
        <f t="shared" si="15"/>
        <v>0</v>
      </c>
      <c r="AW25" s="721">
        <f t="shared" si="16"/>
        <v>0</v>
      </c>
      <c r="AX25" s="686"/>
      <c r="AY25" s="686"/>
    </row>
    <row r="26" spans="3:51" s="46" customFormat="1" ht="30.75" customHeight="1">
      <c r="C26" s="722">
        <v>9</v>
      </c>
      <c r="D26" s="687"/>
      <c r="E26" s="723"/>
      <c r="F26" s="724"/>
      <c r="G26" s="1961"/>
      <c r="H26" s="1962"/>
      <c r="I26" s="679"/>
      <c r="J26" s="725"/>
      <c r="K26" s="680"/>
      <c r="L26" s="681"/>
      <c r="M26" s="681"/>
      <c r="N26" s="681"/>
      <c r="O26" s="681"/>
      <c r="P26" s="681"/>
      <c r="Q26" s="681"/>
      <c r="R26" s="1094"/>
      <c r="S26" s="682"/>
      <c r="T26" s="726"/>
      <c r="U26" s="727"/>
      <c r="V26" s="717"/>
      <c r="W26" s="728"/>
      <c r="X26" s="729"/>
      <c r="Y26" s="51"/>
      <c r="Z26" s="670">
        <f t="shared" si="2"/>
        <v>0</v>
      </c>
      <c r="AA26" s="670">
        <f t="shared" si="17"/>
        <v>0</v>
      </c>
      <c r="AB26" s="670">
        <f t="shared" si="3"/>
        <v>0</v>
      </c>
      <c r="AC26" s="670">
        <f>IF(Z26=0,,VLOOKUP(Z26,リスト!DC:DD,2,0))</f>
        <v>0</v>
      </c>
      <c r="AD26" s="670">
        <f t="shared" si="4"/>
        <v>0</v>
      </c>
      <c r="AE26" s="671">
        <f>IF(AD26=0,,VLOOKUP(AD26,リスト!DK:DL,2,0))</f>
        <v>0</v>
      </c>
      <c r="AF26" s="670">
        <f>IF(Z26=0,,
IF(OR(リスト!$C$21="小麦",リスト!$C$21="二条大麦",リスト!$C$21="六条大麦",リスト!$C$21="はだか麦",リスト!$C$21="なたね"),IF(K26&lt;9,調査年-J26,調査年-J26-1),
IF(リスト!$C$21="さとうきび",IF(K26&gt;=4,調査年-J26,調査年-J26+1),
調査年-J26)))</f>
        <v>0</v>
      </c>
      <c r="AG26" s="672">
        <f t="shared" si="5"/>
        <v>0</v>
      </c>
      <c r="AH26" s="672">
        <f t="shared" si="6"/>
        <v>0</v>
      </c>
      <c r="AI26" s="672">
        <f t="shared" si="7"/>
        <v>0</v>
      </c>
      <c r="AJ26" s="672">
        <f t="shared" si="8"/>
        <v>0</v>
      </c>
      <c r="AK26" s="394"/>
      <c r="AL26" s="672">
        <f>IF(OR(R26=0,AH26=""),,
IF(OR(リスト!$C$21="小麦",リスト!$C$21="二条大麦",リスト!$C$21="六条大麦",リスト!$C$21="はだか麦",リスト!$C$21="なたね"),IF(OR(AND(K26&lt;9,J26=調査年),AND(K26&gt;=9,J26=調査年-1)),,ROUND(AH26*R26%,0)),
IF(リスト!$C$21="さとうきび",IF(OR(AND(K26&gt;=4,J26=調査年),AND(K26&lt;4,J26=調査年+1)),,ROUND(AH26*R26%,0)),
IF(J26=調査年,,ROUND(AH26*R26%,0)))))</f>
        <v>0</v>
      </c>
      <c r="AM26" s="672">
        <f t="shared" si="9"/>
        <v>0</v>
      </c>
      <c r="AN26" s="672">
        <f t="shared" si="10"/>
        <v>0</v>
      </c>
      <c r="AO26" s="672">
        <f t="shared" si="11"/>
        <v>0</v>
      </c>
      <c r="AP26" s="672">
        <f>IF(R26=0,,
SUM(
IF(OR(リスト!$C$21="小麦",リスト!$C$21="二条大麦",リスト!$C$21="六条大麦",リスト!$C$21="はだか麦",リスト!$C$21="なたね"),IF(OR(AND(AA26=1,K26&lt;9,J26=調査年),AND(AA26=1,K26&gt;=9,J26=調査年-1)),ROUND(L26*R26%,0),),
IF(リスト!$C$21="さとうきび",IF(OR(AND(AA26=1,K26&gt;=4,J26=調査年),AND(AA26=1,K26&lt;4,J26=調査年+1)),ROUND(L26*R26%,0),),
IF(AND(AA26=1,J26=調査年),ROUND(L26*R26%,0),))),
ROUND(M26*R26%,0)
))</f>
        <v>0</v>
      </c>
      <c r="AQ26" s="672">
        <f t="shared" si="12"/>
        <v>0</v>
      </c>
      <c r="AR26" s="672">
        <f t="shared" si="13"/>
        <v>0</v>
      </c>
      <c r="AS26" s="672">
        <f t="shared" si="18"/>
        <v>0</v>
      </c>
      <c r="AT26" s="672">
        <f t="shared" si="19"/>
        <v>0</v>
      </c>
      <c r="AU26" s="672">
        <f t="shared" si="14"/>
        <v>0</v>
      </c>
      <c r="AV26" s="672">
        <f t="shared" si="15"/>
        <v>0</v>
      </c>
      <c r="AW26" s="721">
        <f t="shared" si="16"/>
        <v>0</v>
      </c>
      <c r="AX26" s="686"/>
      <c r="AY26" s="686"/>
    </row>
    <row r="27" spans="3:51" s="46" customFormat="1" ht="30.75" customHeight="1">
      <c r="C27" s="722">
        <v>10</v>
      </c>
      <c r="D27" s="687"/>
      <c r="E27" s="723"/>
      <c r="F27" s="724"/>
      <c r="G27" s="1961"/>
      <c r="H27" s="1962"/>
      <c r="I27" s="679"/>
      <c r="J27" s="725"/>
      <c r="K27" s="680"/>
      <c r="L27" s="681"/>
      <c r="M27" s="681"/>
      <c r="N27" s="681"/>
      <c r="O27" s="681"/>
      <c r="P27" s="681"/>
      <c r="Q27" s="681"/>
      <c r="R27" s="1094"/>
      <c r="S27" s="682"/>
      <c r="T27" s="726"/>
      <c r="U27" s="727"/>
      <c r="V27" s="717"/>
      <c r="W27" s="728"/>
      <c r="X27" s="729"/>
      <c r="Y27" s="51"/>
      <c r="Z27" s="670">
        <f t="shared" si="2"/>
        <v>0</v>
      </c>
      <c r="AA27" s="670">
        <f t="shared" si="17"/>
        <v>0</v>
      </c>
      <c r="AB27" s="670">
        <f t="shared" si="3"/>
        <v>0</v>
      </c>
      <c r="AC27" s="670">
        <f>IF(Z27=0,,VLOOKUP(Z27,リスト!DC:DD,2,0))</f>
        <v>0</v>
      </c>
      <c r="AD27" s="670">
        <f t="shared" si="4"/>
        <v>0</v>
      </c>
      <c r="AE27" s="671">
        <f>IF(AD27=0,,VLOOKUP(AD27,リスト!DK:DL,2,0))</f>
        <v>0</v>
      </c>
      <c r="AF27" s="670">
        <f>IF(Z27=0,,
IF(OR(リスト!$C$21="小麦",リスト!$C$21="二条大麦",リスト!$C$21="六条大麦",リスト!$C$21="はだか麦",リスト!$C$21="なたね"),IF(K27&lt;9,調査年-J27,調査年-J27-1),
IF(リスト!$C$21="さとうきび",IF(K27&gt;=4,調査年-J27,調査年-J27+1),
調査年-J27)))</f>
        <v>0</v>
      </c>
      <c r="AG27" s="672">
        <f t="shared" si="5"/>
        <v>0</v>
      </c>
      <c r="AH27" s="672">
        <f t="shared" si="6"/>
        <v>0</v>
      </c>
      <c r="AI27" s="672">
        <f t="shared" si="7"/>
        <v>0</v>
      </c>
      <c r="AJ27" s="672">
        <f t="shared" si="8"/>
        <v>0</v>
      </c>
      <c r="AK27" s="394"/>
      <c r="AL27" s="672">
        <f>IF(OR(R27=0,AH27=""),,
IF(OR(リスト!$C$21="小麦",リスト!$C$21="二条大麦",リスト!$C$21="六条大麦",リスト!$C$21="はだか麦",リスト!$C$21="なたね"),IF(OR(AND(K27&lt;9,J27=調査年),AND(K27&gt;=9,J27=調査年-1)),,ROUND(AH27*R27%,0)),
IF(リスト!$C$21="さとうきび",IF(OR(AND(K27&gt;=4,J27=調査年),AND(K27&lt;4,J27=調査年+1)),,ROUND(AH27*R27%,0)),
IF(J27=調査年,,ROUND(AH27*R27%,0)))))</f>
        <v>0</v>
      </c>
      <c r="AM27" s="672">
        <f t="shared" si="9"/>
        <v>0</v>
      </c>
      <c r="AN27" s="672">
        <f t="shared" si="10"/>
        <v>0</v>
      </c>
      <c r="AO27" s="672">
        <f t="shared" si="11"/>
        <v>0</v>
      </c>
      <c r="AP27" s="672">
        <f>IF(R27=0,,
SUM(
IF(OR(リスト!$C$21="小麦",リスト!$C$21="二条大麦",リスト!$C$21="六条大麦",リスト!$C$21="はだか麦",リスト!$C$21="なたね"),IF(OR(AND(AA27=1,K27&lt;9,J27=調査年),AND(AA27=1,K27&gt;=9,J27=調査年-1)),ROUND(L27*R27%,0),),
IF(リスト!$C$21="さとうきび",IF(OR(AND(AA27=1,K27&gt;=4,J27=調査年),AND(AA27=1,K27&lt;4,J27=調査年+1)),ROUND(L27*R27%,0),),
IF(AND(AA27=1,J27=調査年),ROUND(L27*R27%,0),))),
ROUND(M27*R27%,0)
))</f>
        <v>0</v>
      </c>
      <c r="AQ27" s="672">
        <f t="shared" si="12"/>
        <v>0</v>
      </c>
      <c r="AR27" s="672">
        <f t="shared" si="13"/>
        <v>0</v>
      </c>
      <c r="AS27" s="672">
        <f t="shared" si="18"/>
        <v>0</v>
      </c>
      <c r="AT27" s="672">
        <f t="shared" si="19"/>
        <v>0</v>
      </c>
      <c r="AU27" s="672">
        <f t="shared" si="14"/>
        <v>0</v>
      </c>
      <c r="AV27" s="672">
        <f t="shared" si="15"/>
        <v>0</v>
      </c>
      <c r="AW27" s="721">
        <f t="shared" si="16"/>
        <v>0</v>
      </c>
      <c r="AX27" s="686"/>
      <c r="AY27" s="686"/>
    </row>
    <row r="28" spans="3:51" s="46" customFormat="1" ht="30.75" customHeight="1">
      <c r="C28" s="722">
        <v>11</v>
      </c>
      <c r="D28" s="687"/>
      <c r="E28" s="723"/>
      <c r="F28" s="724"/>
      <c r="G28" s="1961"/>
      <c r="H28" s="1962"/>
      <c r="I28" s="679"/>
      <c r="J28" s="725"/>
      <c r="K28" s="680"/>
      <c r="L28" s="681"/>
      <c r="M28" s="681"/>
      <c r="N28" s="681"/>
      <c r="O28" s="681"/>
      <c r="P28" s="681"/>
      <c r="Q28" s="681"/>
      <c r="R28" s="1094"/>
      <c r="S28" s="682"/>
      <c r="T28" s="726"/>
      <c r="U28" s="727"/>
      <c r="V28" s="717"/>
      <c r="W28" s="728"/>
      <c r="X28" s="729"/>
      <c r="Y28" s="51"/>
      <c r="Z28" s="670">
        <f t="shared" si="2"/>
        <v>0</v>
      </c>
      <c r="AA28" s="670">
        <f t="shared" si="17"/>
        <v>0</v>
      </c>
      <c r="AB28" s="670">
        <f t="shared" si="3"/>
        <v>0</v>
      </c>
      <c r="AC28" s="670">
        <f>IF(Z28=0,,VLOOKUP(Z28,リスト!DC:DD,2,0))</f>
        <v>0</v>
      </c>
      <c r="AD28" s="670">
        <f t="shared" si="4"/>
        <v>0</v>
      </c>
      <c r="AE28" s="671">
        <f>IF(AD28=0,,VLOOKUP(AD28,リスト!DK:DL,2,0))</f>
        <v>0</v>
      </c>
      <c r="AF28" s="670">
        <f>IF(Z28=0,,
IF(OR(リスト!$C$21="小麦",リスト!$C$21="二条大麦",リスト!$C$21="六条大麦",リスト!$C$21="はだか麦",リスト!$C$21="なたね"),IF(K28&lt;9,調査年-J28,調査年-J28-1),
IF(リスト!$C$21="さとうきび",IF(K28&gt;=4,調査年-J28,調査年-J28+1),
調査年-J28)))</f>
        <v>0</v>
      </c>
      <c r="AG28" s="672">
        <f t="shared" si="5"/>
        <v>0</v>
      </c>
      <c r="AH28" s="672">
        <f t="shared" si="6"/>
        <v>0</v>
      </c>
      <c r="AI28" s="672">
        <f t="shared" si="7"/>
        <v>0</v>
      </c>
      <c r="AJ28" s="672">
        <f t="shared" si="8"/>
        <v>0</v>
      </c>
      <c r="AK28" s="394"/>
      <c r="AL28" s="672">
        <f>IF(OR(R28=0,AH28=""),,
IF(OR(リスト!$C$21="小麦",リスト!$C$21="二条大麦",リスト!$C$21="六条大麦",リスト!$C$21="はだか麦",リスト!$C$21="なたね"),IF(OR(AND(K28&lt;9,J28=調査年),AND(K28&gt;=9,J28=調査年-1)),,ROUND(AH28*R28%,0)),
IF(リスト!$C$21="さとうきび",IF(OR(AND(K28&gt;=4,J28=調査年),AND(K28&lt;4,J28=調査年+1)),,ROUND(AH28*R28%,0)),
IF(J28=調査年,,ROUND(AH28*R28%,0)))))</f>
        <v>0</v>
      </c>
      <c r="AM28" s="672">
        <f t="shared" si="9"/>
        <v>0</v>
      </c>
      <c r="AN28" s="672">
        <f t="shared" si="10"/>
        <v>0</v>
      </c>
      <c r="AO28" s="672">
        <f t="shared" si="11"/>
        <v>0</v>
      </c>
      <c r="AP28" s="672">
        <f>IF(R28=0,,
SUM(
IF(OR(リスト!$C$21="小麦",リスト!$C$21="二条大麦",リスト!$C$21="六条大麦",リスト!$C$21="はだか麦",リスト!$C$21="なたね"),IF(OR(AND(AA28=1,K28&lt;9,J28=調査年),AND(AA28=1,K28&gt;=9,J28=調査年-1)),ROUND(L28*R28%,0),),
IF(リスト!$C$21="さとうきび",IF(OR(AND(AA28=1,K28&gt;=4,J28=調査年),AND(AA28=1,K28&lt;4,J28=調査年+1)),ROUND(L28*R28%,0),),
IF(AND(AA28=1,J28=調査年),ROUND(L28*R28%,0),))),
ROUND(M28*R28%,0)
))</f>
        <v>0</v>
      </c>
      <c r="AQ28" s="672">
        <f t="shared" si="12"/>
        <v>0</v>
      </c>
      <c r="AR28" s="672">
        <f t="shared" si="13"/>
        <v>0</v>
      </c>
      <c r="AS28" s="672">
        <f t="shared" si="18"/>
        <v>0</v>
      </c>
      <c r="AT28" s="672">
        <f t="shared" si="19"/>
        <v>0</v>
      </c>
      <c r="AU28" s="672">
        <f t="shared" si="14"/>
        <v>0</v>
      </c>
      <c r="AV28" s="672">
        <f t="shared" si="15"/>
        <v>0</v>
      </c>
      <c r="AW28" s="721">
        <f t="shared" si="16"/>
        <v>0</v>
      </c>
      <c r="AX28" s="686"/>
      <c r="AY28" s="686"/>
    </row>
    <row r="29" spans="3:51" s="46" customFormat="1" ht="30.75" customHeight="1">
      <c r="C29" s="722">
        <v>12</v>
      </c>
      <c r="D29" s="687"/>
      <c r="E29" s="723"/>
      <c r="F29" s="724"/>
      <c r="G29" s="1961"/>
      <c r="H29" s="1962"/>
      <c r="I29" s="679"/>
      <c r="J29" s="725"/>
      <c r="K29" s="680"/>
      <c r="L29" s="681"/>
      <c r="M29" s="681"/>
      <c r="N29" s="681"/>
      <c r="O29" s="681"/>
      <c r="P29" s="681"/>
      <c r="Q29" s="681"/>
      <c r="R29" s="1094"/>
      <c r="S29" s="682"/>
      <c r="T29" s="726"/>
      <c r="U29" s="727"/>
      <c r="V29" s="717"/>
      <c r="W29" s="728"/>
      <c r="X29" s="729"/>
      <c r="Y29" s="51"/>
      <c r="Z29" s="670">
        <f t="shared" si="2"/>
        <v>0</v>
      </c>
      <c r="AA29" s="670">
        <f t="shared" si="17"/>
        <v>0</v>
      </c>
      <c r="AB29" s="670">
        <f t="shared" si="3"/>
        <v>0</v>
      </c>
      <c r="AC29" s="670">
        <f>IF(Z29=0,,VLOOKUP(Z29,リスト!DC:DD,2,0))</f>
        <v>0</v>
      </c>
      <c r="AD29" s="670">
        <f t="shared" si="4"/>
        <v>0</v>
      </c>
      <c r="AE29" s="671">
        <f>IF(AD29=0,,VLOOKUP(AD29,リスト!DK:DL,2,0))</f>
        <v>0</v>
      </c>
      <c r="AF29" s="670">
        <f>IF(Z29=0,,
IF(OR(リスト!$C$21="小麦",リスト!$C$21="二条大麦",リスト!$C$21="六条大麦",リスト!$C$21="はだか麦",リスト!$C$21="なたね"),IF(K29&lt;9,調査年-J29,調査年-J29-1),
IF(リスト!$C$21="さとうきび",IF(K29&gt;=4,調査年-J29,調査年-J29+1),
調査年-J29)))</f>
        <v>0</v>
      </c>
      <c r="AG29" s="672">
        <f t="shared" si="5"/>
        <v>0</v>
      </c>
      <c r="AH29" s="672">
        <f t="shared" si="6"/>
        <v>0</v>
      </c>
      <c r="AI29" s="672">
        <f t="shared" si="7"/>
        <v>0</v>
      </c>
      <c r="AJ29" s="672">
        <f t="shared" si="8"/>
        <v>0</v>
      </c>
      <c r="AK29" s="394"/>
      <c r="AL29" s="672">
        <f>IF(OR(R29=0,AH29=""),,
IF(OR(リスト!$C$21="小麦",リスト!$C$21="二条大麦",リスト!$C$21="六条大麦",リスト!$C$21="はだか麦",リスト!$C$21="なたね"),IF(OR(AND(K29&lt;9,J29=調査年),AND(K29&gt;=9,J29=調査年-1)),,ROUND(AH29*R29%,0)),
IF(リスト!$C$21="さとうきび",IF(OR(AND(K29&gt;=4,J29=調査年),AND(K29&lt;4,J29=調査年+1)),,ROUND(AH29*R29%,0)),
IF(J29=調査年,,ROUND(AH29*R29%,0)))))</f>
        <v>0</v>
      </c>
      <c r="AM29" s="672">
        <f t="shared" si="9"/>
        <v>0</v>
      </c>
      <c r="AN29" s="672">
        <f t="shared" si="10"/>
        <v>0</v>
      </c>
      <c r="AO29" s="672">
        <f t="shared" si="11"/>
        <v>0</v>
      </c>
      <c r="AP29" s="672">
        <f>IF(R29=0,,
SUM(
IF(OR(リスト!$C$21="小麦",リスト!$C$21="二条大麦",リスト!$C$21="六条大麦",リスト!$C$21="はだか麦",リスト!$C$21="なたね"),IF(OR(AND(AA29=1,K29&lt;9,J29=調査年),AND(AA29=1,K29&gt;=9,J29=調査年-1)),ROUND(L29*R29%,0),),
IF(リスト!$C$21="さとうきび",IF(OR(AND(AA29=1,K29&gt;=4,J29=調査年),AND(AA29=1,K29&lt;4,J29=調査年+1)),ROUND(L29*R29%,0),),
IF(AND(AA29=1,J29=調査年),ROUND(L29*R29%,0),))),
ROUND(M29*R29%,0)
))</f>
        <v>0</v>
      </c>
      <c r="AQ29" s="672">
        <f t="shared" si="12"/>
        <v>0</v>
      </c>
      <c r="AR29" s="672">
        <f t="shared" si="13"/>
        <v>0</v>
      </c>
      <c r="AS29" s="672">
        <f t="shared" si="18"/>
        <v>0</v>
      </c>
      <c r="AT29" s="672">
        <f t="shared" si="19"/>
        <v>0</v>
      </c>
      <c r="AU29" s="672">
        <f t="shared" si="14"/>
        <v>0</v>
      </c>
      <c r="AV29" s="672">
        <f t="shared" si="15"/>
        <v>0</v>
      </c>
      <c r="AW29" s="721">
        <f t="shared" si="16"/>
        <v>0</v>
      </c>
      <c r="AX29" s="686"/>
      <c r="AY29" s="686"/>
    </row>
    <row r="30" spans="3:51" s="46" customFormat="1" ht="30.75" customHeight="1">
      <c r="C30" s="722">
        <v>13</v>
      </c>
      <c r="D30" s="687"/>
      <c r="E30" s="723"/>
      <c r="F30" s="724"/>
      <c r="G30" s="1961"/>
      <c r="H30" s="1962"/>
      <c r="I30" s="679"/>
      <c r="J30" s="725"/>
      <c r="K30" s="680"/>
      <c r="L30" s="681"/>
      <c r="M30" s="681"/>
      <c r="N30" s="681"/>
      <c r="O30" s="681"/>
      <c r="P30" s="681"/>
      <c r="Q30" s="681"/>
      <c r="R30" s="1094"/>
      <c r="S30" s="682"/>
      <c r="T30" s="726"/>
      <c r="U30" s="727"/>
      <c r="V30" s="717"/>
      <c r="W30" s="728"/>
      <c r="X30" s="729"/>
      <c r="Y30" s="51"/>
      <c r="Z30" s="670">
        <f t="shared" si="2"/>
        <v>0</v>
      </c>
      <c r="AA30" s="670">
        <f t="shared" si="17"/>
        <v>0</v>
      </c>
      <c r="AB30" s="670">
        <f t="shared" si="3"/>
        <v>0</v>
      </c>
      <c r="AC30" s="670">
        <f>IF(Z30=0,,VLOOKUP(Z30,リスト!DC:DD,2,0))</f>
        <v>0</v>
      </c>
      <c r="AD30" s="670">
        <f t="shared" si="4"/>
        <v>0</v>
      </c>
      <c r="AE30" s="671">
        <f>IF(AD30=0,,VLOOKUP(AD30,リスト!DK:DL,2,0))</f>
        <v>0</v>
      </c>
      <c r="AF30" s="670">
        <f>IF(Z30=0,,
IF(OR(リスト!$C$21="小麦",リスト!$C$21="二条大麦",リスト!$C$21="六条大麦",リスト!$C$21="はだか麦",リスト!$C$21="なたね"),IF(K30&lt;9,調査年-J30,調査年-J30-1),
IF(リスト!$C$21="さとうきび",IF(K30&gt;=4,調査年-J30,調査年-J30+1),
調査年-J30)))</f>
        <v>0</v>
      </c>
      <c r="AG30" s="672">
        <f t="shared" si="5"/>
        <v>0</v>
      </c>
      <c r="AH30" s="672">
        <f t="shared" si="6"/>
        <v>0</v>
      </c>
      <c r="AI30" s="672">
        <f t="shared" si="7"/>
        <v>0</v>
      </c>
      <c r="AJ30" s="672">
        <f t="shared" si="8"/>
        <v>0</v>
      </c>
      <c r="AK30" s="394"/>
      <c r="AL30" s="672">
        <f>IF(OR(R30=0,AH30=""),,
IF(OR(リスト!$C$21="小麦",リスト!$C$21="二条大麦",リスト!$C$21="六条大麦",リスト!$C$21="はだか麦",リスト!$C$21="なたね"),IF(OR(AND(K30&lt;9,J30=調査年),AND(K30&gt;=9,J30=調査年-1)),,ROUND(AH30*R30%,0)),
IF(リスト!$C$21="さとうきび",IF(OR(AND(K30&gt;=4,J30=調査年),AND(K30&lt;4,J30=調査年+1)),,ROUND(AH30*R30%,0)),
IF(J30=調査年,,ROUND(AH30*R30%,0)))))</f>
        <v>0</v>
      </c>
      <c r="AM30" s="672">
        <f t="shared" si="9"/>
        <v>0</v>
      </c>
      <c r="AN30" s="672">
        <f t="shared" si="10"/>
        <v>0</v>
      </c>
      <c r="AO30" s="672">
        <f t="shared" si="11"/>
        <v>0</v>
      </c>
      <c r="AP30" s="672">
        <f>IF(R30=0,,
SUM(
IF(OR(リスト!$C$21="小麦",リスト!$C$21="二条大麦",リスト!$C$21="六条大麦",リスト!$C$21="はだか麦",リスト!$C$21="なたね"),IF(OR(AND(AA30=1,K30&lt;9,J30=調査年),AND(AA30=1,K30&gt;=9,J30=調査年-1)),ROUND(L30*R30%,0),),
IF(リスト!$C$21="さとうきび",IF(OR(AND(AA30=1,K30&gt;=4,J30=調査年),AND(AA30=1,K30&lt;4,J30=調査年+1)),ROUND(L30*R30%,0),),
IF(AND(AA30=1,J30=調査年),ROUND(L30*R30%,0),))),
ROUND(M30*R30%,0)
))</f>
        <v>0</v>
      </c>
      <c r="AQ30" s="672">
        <f t="shared" si="12"/>
        <v>0</v>
      </c>
      <c r="AR30" s="672">
        <f t="shared" si="13"/>
        <v>0</v>
      </c>
      <c r="AS30" s="672">
        <f t="shared" si="18"/>
        <v>0</v>
      </c>
      <c r="AT30" s="672">
        <f t="shared" si="19"/>
        <v>0</v>
      </c>
      <c r="AU30" s="672">
        <f t="shared" si="14"/>
        <v>0</v>
      </c>
      <c r="AV30" s="672">
        <f t="shared" si="15"/>
        <v>0</v>
      </c>
      <c r="AW30" s="721">
        <f t="shared" si="16"/>
        <v>0</v>
      </c>
      <c r="AX30" s="686"/>
      <c r="AY30" s="686"/>
    </row>
    <row r="31" spans="3:51" s="46" customFormat="1" ht="30.75" customHeight="1">
      <c r="C31" s="722">
        <v>14</v>
      </c>
      <c r="D31" s="687"/>
      <c r="E31" s="723"/>
      <c r="F31" s="724"/>
      <c r="G31" s="1961"/>
      <c r="H31" s="1962"/>
      <c r="I31" s="679"/>
      <c r="J31" s="725"/>
      <c r="K31" s="680"/>
      <c r="L31" s="681"/>
      <c r="M31" s="681"/>
      <c r="N31" s="681"/>
      <c r="O31" s="681"/>
      <c r="P31" s="681"/>
      <c r="Q31" s="681"/>
      <c r="R31" s="1094"/>
      <c r="S31" s="682"/>
      <c r="T31" s="726"/>
      <c r="U31" s="727"/>
      <c r="V31" s="717"/>
      <c r="W31" s="728"/>
      <c r="X31" s="729"/>
      <c r="Y31" s="51"/>
      <c r="Z31" s="670">
        <f t="shared" si="2"/>
        <v>0</v>
      </c>
      <c r="AA31" s="670">
        <f t="shared" si="17"/>
        <v>0</v>
      </c>
      <c r="AB31" s="670">
        <f t="shared" si="3"/>
        <v>0</v>
      </c>
      <c r="AC31" s="670">
        <f>IF(Z31=0,,VLOOKUP(Z31,リスト!DC:DD,2,0))</f>
        <v>0</v>
      </c>
      <c r="AD31" s="670">
        <f t="shared" si="4"/>
        <v>0</v>
      </c>
      <c r="AE31" s="671">
        <f>IF(AD31=0,,VLOOKUP(AD31,リスト!DK:DL,2,0))</f>
        <v>0</v>
      </c>
      <c r="AF31" s="670">
        <f>IF(Z31=0,,
IF(OR(リスト!$C$21="小麦",リスト!$C$21="二条大麦",リスト!$C$21="六条大麦",リスト!$C$21="はだか麦",リスト!$C$21="なたね"),IF(K31&lt;9,調査年-J31,調査年-J31-1),
IF(リスト!$C$21="さとうきび",IF(K31&gt;=4,調査年-J31,調査年-J31+1),
調査年-J31)))</f>
        <v>0</v>
      </c>
      <c r="AG31" s="672">
        <f t="shared" si="5"/>
        <v>0</v>
      </c>
      <c r="AH31" s="672">
        <f t="shared" si="6"/>
        <v>0</v>
      </c>
      <c r="AI31" s="672">
        <f t="shared" si="7"/>
        <v>0</v>
      </c>
      <c r="AJ31" s="672">
        <f t="shared" si="8"/>
        <v>0</v>
      </c>
      <c r="AK31" s="394"/>
      <c r="AL31" s="672">
        <f>IF(OR(R31=0,AH31=""),,
IF(OR(リスト!$C$21="小麦",リスト!$C$21="二条大麦",リスト!$C$21="六条大麦",リスト!$C$21="はだか麦",リスト!$C$21="なたね"),IF(OR(AND(K31&lt;9,J31=調査年),AND(K31&gt;=9,J31=調査年-1)),,ROUND(AH31*R31%,0)),
IF(リスト!$C$21="さとうきび",IF(OR(AND(K31&gt;=4,J31=調査年),AND(K31&lt;4,J31=調査年+1)),,ROUND(AH31*R31%,0)),
IF(J31=調査年,,ROUND(AH31*R31%,0)))))</f>
        <v>0</v>
      </c>
      <c r="AM31" s="672">
        <f t="shared" si="9"/>
        <v>0</v>
      </c>
      <c r="AN31" s="672">
        <f t="shared" si="10"/>
        <v>0</v>
      </c>
      <c r="AO31" s="672">
        <f t="shared" si="11"/>
        <v>0</v>
      </c>
      <c r="AP31" s="672">
        <f>IF(R31=0,,
SUM(
IF(OR(リスト!$C$21="小麦",リスト!$C$21="二条大麦",リスト!$C$21="六条大麦",リスト!$C$21="はだか麦",リスト!$C$21="なたね"),IF(OR(AND(AA31=1,K31&lt;9,J31=調査年),AND(AA31=1,K31&gt;=9,J31=調査年-1)),ROUND(L31*R31%,0),),
IF(リスト!$C$21="さとうきび",IF(OR(AND(AA31=1,K31&gt;=4,J31=調査年),AND(AA31=1,K31&lt;4,J31=調査年+1)),ROUND(L31*R31%,0),),
IF(AND(AA31=1,J31=調査年),ROUND(L31*R31%,0),))),
ROUND(M31*R31%,0)
))</f>
        <v>0</v>
      </c>
      <c r="AQ31" s="672">
        <f t="shared" si="12"/>
        <v>0</v>
      </c>
      <c r="AR31" s="672">
        <f t="shared" si="13"/>
        <v>0</v>
      </c>
      <c r="AS31" s="672">
        <f t="shared" si="18"/>
        <v>0</v>
      </c>
      <c r="AT31" s="672">
        <f t="shared" si="19"/>
        <v>0</v>
      </c>
      <c r="AU31" s="672">
        <f t="shared" si="14"/>
        <v>0</v>
      </c>
      <c r="AV31" s="672">
        <f t="shared" si="15"/>
        <v>0</v>
      </c>
      <c r="AW31" s="721">
        <f t="shared" si="16"/>
        <v>0</v>
      </c>
      <c r="AX31" s="686"/>
      <c r="AY31" s="686"/>
    </row>
    <row r="32" spans="3:51" s="46" customFormat="1" ht="30.75" customHeight="1" collapsed="1" thickBot="1">
      <c r="C32" s="730">
        <v>15</v>
      </c>
      <c r="D32" s="687"/>
      <c r="E32" s="723"/>
      <c r="F32" s="724"/>
      <c r="G32" s="1961"/>
      <c r="H32" s="1962"/>
      <c r="I32" s="679"/>
      <c r="J32" s="725"/>
      <c r="K32" s="680"/>
      <c r="L32" s="681"/>
      <c r="M32" s="681"/>
      <c r="N32" s="681"/>
      <c r="O32" s="681"/>
      <c r="P32" s="681"/>
      <c r="Q32" s="681"/>
      <c r="R32" s="1094"/>
      <c r="S32" s="682"/>
      <c r="T32" s="726"/>
      <c r="U32" s="727"/>
      <c r="V32" s="717"/>
      <c r="W32" s="728"/>
      <c r="X32" s="729"/>
      <c r="Z32" s="670">
        <f t="shared" si="2"/>
        <v>0</v>
      </c>
      <c r="AA32" s="670">
        <f t="shared" si="17"/>
        <v>0</v>
      </c>
      <c r="AB32" s="670">
        <f t="shared" si="3"/>
        <v>0</v>
      </c>
      <c r="AC32" s="670">
        <f>IF(Z32=0,,VLOOKUP(Z32,リスト!DC:DD,2,0))</f>
        <v>0</v>
      </c>
      <c r="AD32" s="670">
        <f t="shared" si="4"/>
        <v>0</v>
      </c>
      <c r="AE32" s="671">
        <f>IF(AD32=0,,VLOOKUP(AD32,リスト!DK:DL,2,0))</f>
        <v>0</v>
      </c>
      <c r="AF32" s="670">
        <f>IF(Z32=0,,
IF(OR(リスト!$C$21="小麦",リスト!$C$21="二条大麦",リスト!$C$21="六条大麦",リスト!$C$21="はだか麦",リスト!$C$21="なたね"),IF(K32&lt;9,調査年-J32,調査年-J32-1),
IF(リスト!$C$21="さとうきび",IF(K32&gt;=4,調査年-J32,調査年-J32+1),
調査年-J32)))</f>
        <v>0</v>
      </c>
      <c r="AG32" s="672">
        <f t="shared" si="5"/>
        <v>0</v>
      </c>
      <c r="AH32" s="672">
        <f t="shared" si="6"/>
        <v>0</v>
      </c>
      <c r="AI32" s="672">
        <f t="shared" si="7"/>
        <v>0</v>
      </c>
      <c r="AJ32" s="672">
        <f t="shared" si="8"/>
        <v>0</v>
      </c>
      <c r="AK32" s="394"/>
      <c r="AL32" s="672">
        <f>IF(OR(R32=0,AH32=""),,
IF(OR(リスト!$C$21="小麦",リスト!$C$21="二条大麦",リスト!$C$21="六条大麦",リスト!$C$21="はだか麦",リスト!$C$21="なたね"),IF(OR(AND(K32&lt;9,J32=調査年),AND(K32&gt;=9,J32=調査年-1)),,ROUND(AH32*R32%,0)),
IF(リスト!$C$21="さとうきび",IF(OR(AND(K32&gt;=4,J32=調査年),AND(K32&lt;4,J32=調査年+1)),,ROUND(AH32*R32%,0)),
IF(J32=調査年,,ROUND(AH32*R32%,0)))))</f>
        <v>0</v>
      </c>
      <c r="AM32" s="672">
        <f t="shared" si="9"/>
        <v>0</v>
      </c>
      <c r="AN32" s="672">
        <f t="shared" si="10"/>
        <v>0</v>
      </c>
      <c r="AO32" s="672">
        <f t="shared" si="11"/>
        <v>0</v>
      </c>
      <c r="AP32" s="672">
        <f>IF(R32=0,,
SUM(
IF(OR(リスト!$C$21="小麦",リスト!$C$21="二条大麦",リスト!$C$21="六条大麦",リスト!$C$21="はだか麦",リスト!$C$21="なたね"),IF(OR(AND(AA32=1,K32&lt;9,J32=調査年),AND(AA32=1,K32&gt;=9,J32=調査年-1)),ROUND(L32*R32%,0),),
IF(リスト!$C$21="さとうきび",IF(OR(AND(AA32=1,K32&gt;=4,J32=調査年),AND(AA32=1,K32&lt;4,J32=調査年+1)),ROUND(L32*R32%,0),),
IF(AND(AA32=1,J32=調査年),ROUND(L32*R32%,0),))),
ROUND(M32*R32%,0)
))</f>
        <v>0</v>
      </c>
      <c r="AQ32" s="672">
        <f t="shared" si="12"/>
        <v>0</v>
      </c>
      <c r="AR32" s="672">
        <f t="shared" si="13"/>
        <v>0</v>
      </c>
      <c r="AS32" s="672">
        <f t="shared" si="18"/>
        <v>0</v>
      </c>
      <c r="AT32" s="672">
        <f t="shared" si="19"/>
        <v>0</v>
      </c>
      <c r="AU32" s="672">
        <f t="shared" si="14"/>
        <v>0</v>
      </c>
      <c r="AV32" s="672">
        <f t="shared" si="15"/>
        <v>0</v>
      </c>
      <c r="AW32" s="721">
        <f t="shared" si="16"/>
        <v>0</v>
      </c>
      <c r="AX32" s="686"/>
      <c r="AY32" s="686"/>
    </row>
    <row r="33" spans="3:51" s="46" customFormat="1" ht="30.75" hidden="1" customHeight="1" outlineLevel="1">
      <c r="C33" s="722">
        <v>16</v>
      </c>
      <c r="D33" s="687"/>
      <c r="E33" s="723"/>
      <c r="F33" s="724"/>
      <c r="G33" s="1961"/>
      <c r="H33" s="1962"/>
      <c r="I33" s="679"/>
      <c r="J33" s="725"/>
      <c r="K33" s="680"/>
      <c r="L33" s="681"/>
      <c r="M33" s="681"/>
      <c r="N33" s="681"/>
      <c r="O33" s="681"/>
      <c r="P33" s="681"/>
      <c r="Q33" s="681"/>
      <c r="R33" s="1094"/>
      <c r="S33" s="682"/>
      <c r="T33" s="726"/>
      <c r="U33" s="727"/>
      <c r="V33" s="717"/>
      <c r="W33" s="728"/>
      <c r="X33" s="729"/>
      <c r="Z33" s="670">
        <f t="shared" si="2"/>
        <v>0</v>
      </c>
      <c r="AA33" s="670">
        <f t="shared" si="17"/>
        <v>0</v>
      </c>
      <c r="AB33" s="670">
        <f t="shared" si="3"/>
        <v>0</v>
      </c>
      <c r="AC33" s="670">
        <f>IF(Z33=0,,VLOOKUP(Z33,リスト!DC:DD,2,0))</f>
        <v>0</v>
      </c>
      <c r="AD33" s="670">
        <f t="shared" si="4"/>
        <v>0</v>
      </c>
      <c r="AE33" s="671">
        <f>IF(AD33=0,,VLOOKUP(AD33,リスト!DK:DL,2,0))</f>
        <v>0</v>
      </c>
      <c r="AF33" s="670">
        <f>IF(Z33=0,,
IF(OR(リスト!$C$21="小麦",リスト!$C$21="二条大麦",リスト!$C$21="六条大麦",リスト!$C$21="はだか麦",リスト!$C$21="なたね"),IF(K33&lt;9,調査年-J33,調査年-J33-1),
IF(リスト!$C$21="さとうきび",IF(K33&gt;=4,調査年-J33,調査年-J33+1),
調査年-J33)))</f>
        <v>0</v>
      </c>
      <c r="AG33" s="672">
        <f t="shared" si="5"/>
        <v>0</v>
      </c>
      <c r="AH33" s="672">
        <f t="shared" si="6"/>
        <v>0</v>
      </c>
      <c r="AI33" s="672">
        <f t="shared" si="7"/>
        <v>0</v>
      </c>
      <c r="AJ33" s="672">
        <f t="shared" si="8"/>
        <v>0</v>
      </c>
      <c r="AK33" s="394"/>
      <c r="AL33" s="672">
        <f>IF(OR(R33=0,AH33=""),,
IF(OR(リスト!$C$21="小麦",リスト!$C$21="二条大麦",リスト!$C$21="六条大麦",リスト!$C$21="はだか麦",リスト!$C$21="なたね"),IF(OR(AND(K33&lt;9,J33=調査年),AND(K33&gt;=9,J33=調査年-1)),,ROUND(AH33*R33%,0)),
IF(リスト!$C$21="さとうきび",IF(OR(AND(K33&gt;=4,J33=調査年),AND(K33&lt;4,J33=調査年+1)),,ROUND(AH33*R33%,0)),
IF(J33=調査年,,ROUND(AH33*R33%,0)))))</f>
        <v>0</v>
      </c>
      <c r="AM33" s="672">
        <f t="shared" si="9"/>
        <v>0</v>
      </c>
      <c r="AN33" s="672">
        <f t="shared" si="10"/>
        <v>0</v>
      </c>
      <c r="AO33" s="672">
        <f t="shared" si="11"/>
        <v>0</v>
      </c>
      <c r="AP33" s="672">
        <f>IF(R33=0,,
SUM(
IF(OR(リスト!$C$21="小麦",リスト!$C$21="二条大麦",リスト!$C$21="六条大麦",リスト!$C$21="はだか麦",リスト!$C$21="なたね"),IF(OR(AND(AA33=1,K33&lt;9,J33=調査年),AND(AA33=1,K33&gt;=9,J33=調査年-1)),ROUND(L33*R33%,0),),
IF(リスト!$C$21="さとうきび",IF(OR(AND(AA33=1,K33&gt;=4,J33=調査年),AND(AA33=1,K33&lt;4,J33=調査年+1)),ROUND(L33*R33%,0),),
IF(AND(AA33=1,J33=調査年),ROUND(L33*R33%,0),))),
ROUND(M33*R33%,0)
))</f>
        <v>0</v>
      </c>
      <c r="AQ33" s="672">
        <f t="shared" si="12"/>
        <v>0</v>
      </c>
      <c r="AR33" s="672">
        <f t="shared" si="13"/>
        <v>0</v>
      </c>
      <c r="AS33" s="672">
        <f t="shared" si="18"/>
        <v>0</v>
      </c>
      <c r="AT33" s="672">
        <f t="shared" si="19"/>
        <v>0</v>
      </c>
      <c r="AU33" s="672">
        <f t="shared" si="14"/>
        <v>0</v>
      </c>
      <c r="AV33" s="672">
        <f t="shared" si="15"/>
        <v>0</v>
      </c>
      <c r="AW33" s="721">
        <f t="shared" si="16"/>
        <v>0</v>
      </c>
      <c r="AX33" s="686"/>
      <c r="AY33" s="686"/>
    </row>
    <row r="34" spans="3:51" s="46" customFormat="1" ht="30.75" hidden="1" customHeight="1" outlineLevel="1">
      <c r="C34" s="722">
        <v>17</v>
      </c>
      <c r="D34" s="687"/>
      <c r="E34" s="723"/>
      <c r="F34" s="724"/>
      <c r="G34" s="1961"/>
      <c r="H34" s="1962"/>
      <c r="I34" s="679"/>
      <c r="J34" s="725"/>
      <c r="K34" s="680"/>
      <c r="L34" s="681"/>
      <c r="M34" s="681"/>
      <c r="N34" s="681"/>
      <c r="O34" s="681"/>
      <c r="P34" s="681"/>
      <c r="Q34" s="681"/>
      <c r="R34" s="1094"/>
      <c r="S34" s="682"/>
      <c r="T34" s="726"/>
      <c r="U34" s="727"/>
      <c r="V34" s="717"/>
      <c r="W34" s="728"/>
      <c r="X34" s="729"/>
      <c r="Z34" s="670">
        <f t="shared" si="2"/>
        <v>0</v>
      </c>
      <c r="AA34" s="670">
        <f t="shared" si="17"/>
        <v>0</v>
      </c>
      <c r="AB34" s="670">
        <f t="shared" si="3"/>
        <v>0</v>
      </c>
      <c r="AC34" s="670">
        <f>IF(Z34=0,,VLOOKUP(Z34,リスト!DC:DD,2,0))</f>
        <v>0</v>
      </c>
      <c r="AD34" s="670">
        <f t="shared" si="4"/>
        <v>0</v>
      </c>
      <c r="AE34" s="671">
        <f>IF(AD34=0,,VLOOKUP(AD34,リスト!DK:DL,2,0))</f>
        <v>0</v>
      </c>
      <c r="AF34" s="670">
        <f>IF(Z34=0,,
IF(OR(リスト!$C$21="小麦",リスト!$C$21="二条大麦",リスト!$C$21="六条大麦",リスト!$C$21="はだか麦",リスト!$C$21="なたね"),IF(K34&lt;9,調査年-J34,調査年-J34-1),
IF(リスト!$C$21="さとうきび",IF(K34&gt;=4,調査年-J34,調査年-J34+1),
調査年-J34)))</f>
        <v>0</v>
      </c>
      <c r="AG34" s="672">
        <f t="shared" si="5"/>
        <v>0</v>
      </c>
      <c r="AH34" s="672">
        <f t="shared" si="6"/>
        <v>0</v>
      </c>
      <c r="AI34" s="672">
        <f t="shared" si="7"/>
        <v>0</v>
      </c>
      <c r="AJ34" s="672">
        <f t="shared" si="8"/>
        <v>0</v>
      </c>
      <c r="AK34" s="394"/>
      <c r="AL34" s="672">
        <f>IF(OR(R34=0,AH34=""),,
IF(OR(リスト!$C$21="小麦",リスト!$C$21="二条大麦",リスト!$C$21="六条大麦",リスト!$C$21="はだか麦",リスト!$C$21="なたね"),IF(OR(AND(K34&lt;9,J34=調査年),AND(K34&gt;=9,J34=調査年-1)),,ROUND(AH34*R34%,0)),
IF(リスト!$C$21="さとうきび",IF(OR(AND(K34&gt;=4,J34=調査年),AND(K34&lt;4,J34=調査年+1)),,ROUND(AH34*R34%,0)),
IF(J34=調査年,,ROUND(AH34*R34%,0)))))</f>
        <v>0</v>
      </c>
      <c r="AM34" s="672">
        <f t="shared" si="9"/>
        <v>0</v>
      </c>
      <c r="AN34" s="672">
        <f t="shared" si="10"/>
        <v>0</v>
      </c>
      <c r="AO34" s="672">
        <f t="shared" si="11"/>
        <v>0</v>
      </c>
      <c r="AP34" s="672">
        <f>IF(R34=0,,
SUM(
IF(OR(リスト!$C$21="小麦",リスト!$C$21="二条大麦",リスト!$C$21="六条大麦",リスト!$C$21="はだか麦",リスト!$C$21="なたね"),IF(OR(AND(AA34=1,K34&lt;9,J34=調査年),AND(AA34=1,K34&gt;=9,J34=調査年-1)),ROUND(L34*R34%,0),),
IF(リスト!$C$21="さとうきび",IF(OR(AND(AA34=1,K34&gt;=4,J34=調査年),AND(AA34=1,K34&lt;4,J34=調査年+1)),ROUND(L34*R34%,0),),
IF(AND(AA34=1,J34=調査年),ROUND(L34*R34%,0),))),
ROUND(M34*R34%,0)
))</f>
        <v>0</v>
      </c>
      <c r="AQ34" s="672">
        <f t="shared" si="12"/>
        <v>0</v>
      </c>
      <c r="AR34" s="672">
        <f t="shared" si="13"/>
        <v>0</v>
      </c>
      <c r="AS34" s="672">
        <f t="shared" si="18"/>
        <v>0</v>
      </c>
      <c r="AT34" s="672">
        <f t="shared" si="19"/>
        <v>0</v>
      </c>
      <c r="AU34" s="672">
        <f t="shared" si="14"/>
        <v>0</v>
      </c>
      <c r="AV34" s="672">
        <f t="shared" si="15"/>
        <v>0</v>
      </c>
      <c r="AW34" s="721">
        <f t="shared" si="16"/>
        <v>0</v>
      </c>
      <c r="AX34" s="686"/>
      <c r="AY34" s="686"/>
    </row>
    <row r="35" spans="3:51" s="46" customFormat="1" ht="30.75" hidden="1" customHeight="1" outlineLevel="1">
      <c r="C35" s="722">
        <v>18</v>
      </c>
      <c r="D35" s="687"/>
      <c r="E35" s="723"/>
      <c r="F35" s="724"/>
      <c r="G35" s="1961"/>
      <c r="H35" s="1962"/>
      <c r="I35" s="679"/>
      <c r="J35" s="725"/>
      <c r="K35" s="680"/>
      <c r="L35" s="681"/>
      <c r="M35" s="681"/>
      <c r="N35" s="681"/>
      <c r="O35" s="681"/>
      <c r="P35" s="681"/>
      <c r="Q35" s="681"/>
      <c r="R35" s="1094"/>
      <c r="S35" s="682"/>
      <c r="T35" s="726"/>
      <c r="U35" s="727"/>
      <c r="V35" s="717"/>
      <c r="W35" s="728"/>
      <c r="X35" s="729"/>
      <c r="Z35" s="670">
        <f t="shared" si="2"/>
        <v>0</v>
      </c>
      <c r="AA35" s="670">
        <f t="shared" si="17"/>
        <v>0</v>
      </c>
      <c r="AB35" s="670">
        <f t="shared" si="3"/>
        <v>0</v>
      </c>
      <c r="AC35" s="670">
        <f>IF(Z35=0,,VLOOKUP(Z35,リスト!DC:DD,2,0))</f>
        <v>0</v>
      </c>
      <c r="AD35" s="670">
        <f t="shared" si="4"/>
        <v>0</v>
      </c>
      <c r="AE35" s="671">
        <f>IF(AD35=0,,VLOOKUP(AD35,リスト!DK:DL,2,0))</f>
        <v>0</v>
      </c>
      <c r="AF35" s="670">
        <f>IF(Z35=0,,
IF(OR(リスト!$C$21="小麦",リスト!$C$21="二条大麦",リスト!$C$21="六条大麦",リスト!$C$21="はだか麦",リスト!$C$21="なたね"),IF(K35&lt;9,調査年-J35,調査年-J35-1),
IF(リスト!$C$21="さとうきび",IF(K35&gt;=4,調査年-J35,調査年-J35+1),
調査年-J35)))</f>
        <v>0</v>
      </c>
      <c r="AG35" s="672">
        <f t="shared" si="5"/>
        <v>0</v>
      </c>
      <c r="AH35" s="672">
        <f t="shared" si="6"/>
        <v>0</v>
      </c>
      <c r="AI35" s="672">
        <f t="shared" si="7"/>
        <v>0</v>
      </c>
      <c r="AJ35" s="672">
        <f t="shared" si="8"/>
        <v>0</v>
      </c>
      <c r="AK35" s="394"/>
      <c r="AL35" s="672">
        <f>IF(OR(R35=0,AH35=""),,
IF(OR(リスト!$C$21="小麦",リスト!$C$21="二条大麦",リスト!$C$21="六条大麦",リスト!$C$21="はだか麦",リスト!$C$21="なたね"),IF(OR(AND(K35&lt;9,J35=調査年),AND(K35&gt;=9,J35=調査年-1)),,ROUND(AH35*R35%,0)),
IF(リスト!$C$21="さとうきび",IF(OR(AND(K35&gt;=4,J35=調査年),AND(K35&lt;4,J35=調査年+1)),,ROUND(AH35*R35%,0)),
IF(J35=調査年,,ROUND(AH35*R35%,0)))))</f>
        <v>0</v>
      </c>
      <c r="AM35" s="672">
        <f t="shared" si="9"/>
        <v>0</v>
      </c>
      <c r="AN35" s="672">
        <f t="shared" si="10"/>
        <v>0</v>
      </c>
      <c r="AO35" s="672">
        <f t="shared" si="11"/>
        <v>0</v>
      </c>
      <c r="AP35" s="672">
        <f>IF(R35=0,,
SUM(
IF(OR(リスト!$C$21="小麦",リスト!$C$21="二条大麦",リスト!$C$21="六条大麦",リスト!$C$21="はだか麦",リスト!$C$21="なたね"),IF(OR(AND(AA35=1,K35&lt;9,J35=調査年),AND(AA35=1,K35&gt;=9,J35=調査年-1)),ROUND(L35*R35%,0),),
IF(リスト!$C$21="さとうきび",IF(OR(AND(AA35=1,K35&gt;=4,J35=調査年),AND(AA35=1,K35&lt;4,J35=調査年+1)),ROUND(L35*R35%,0),),
IF(AND(AA35=1,J35=調査年),ROUND(L35*R35%,0),))),
ROUND(M35*R35%,0)
))</f>
        <v>0</v>
      </c>
      <c r="AQ35" s="672">
        <f t="shared" si="12"/>
        <v>0</v>
      </c>
      <c r="AR35" s="672">
        <f t="shared" si="13"/>
        <v>0</v>
      </c>
      <c r="AS35" s="672">
        <f t="shared" si="18"/>
        <v>0</v>
      </c>
      <c r="AT35" s="672">
        <f t="shared" si="19"/>
        <v>0</v>
      </c>
      <c r="AU35" s="672">
        <f t="shared" si="14"/>
        <v>0</v>
      </c>
      <c r="AV35" s="672">
        <f t="shared" si="15"/>
        <v>0</v>
      </c>
      <c r="AW35" s="721">
        <f t="shared" si="16"/>
        <v>0</v>
      </c>
      <c r="AX35" s="686"/>
      <c r="AY35" s="686"/>
    </row>
    <row r="36" spans="3:51" s="46" customFormat="1" ht="30.75" hidden="1" customHeight="1" outlineLevel="1">
      <c r="C36" s="722">
        <v>19</v>
      </c>
      <c r="D36" s="687"/>
      <c r="E36" s="723"/>
      <c r="F36" s="724"/>
      <c r="G36" s="1961"/>
      <c r="H36" s="1962"/>
      <c r="I36" s="679"/>
      <c r="J36" s="725"/>
      <c r="K36" s="680"/>
      <c r="L36" s="681"/>
      <c r="M36" s="681"/>
      <c r="N36" s="681"/>
      <c r="O36" s="681"/>
      <c r="P36" s="681"/>
      <c r="Q36" s="681"/>
      <c r="R36" s="1094"/>
      <c r="S36" s="682"/>
      <c r="T36" s="726"/>
      <c r="U36" s="727"/>
      <c r="V36" s="717"/>
      <c r="W36" s="728"/>
      <c r="X36" s="729"/>
      <c r="Z36" s="670">
        <f t="shared" si="2"/>
        <v>0</v>
      </c>
      <c r="AA36" s="670">
        <f t="shared" si="17"/>
        <v>0</v>
      </c>
      <c r="AB36" s="670">
        <f t="shared" si="3"/>
        <v>0</v>
      </c>
      <c r="AC36" s="670">
        <f>IF(Z36=0,,VLOOKUP(Z36,リスト!DC:DD,2,0))</f>
        <v>0</v>
      </c>
      <c r="AD36" s="670">
        <f t="shared" si="4"/>
        <v>0</v>
      </c>
      <c r="AE36" s="671">
        <f>IF(AD36=0,,VLOOKUP(AD36,リスト!DK:DL,2,0))</f>
        <v>0</v>
      </c>
      <c r="AF36" s="670">
        <f>IF(Z36=0,,
IF(OR(リスト!$C$21="小麦",リスト!$C$21="二条大麦",リスト!$C$21="六条大麦",リスト!$C$21="はだか麦",リスト!$C$21="なたね"),IF(K36&lt;9,調査年-J36,調査年-J36-1),
IF(リスト!$C$21="さとうきび",IF(K36&gt;=4,調査年-J36,調査年-J36+1),
調査年-J36)))</f>
        <v>0</v>
      </c>
      <c r="AG36" s="672">
        <f t="shared" si="5"/>
        <v>0</v>
      </c>
      <c r="AH36" s="672">
        <f t="shared" si="6"/>
        <v>0</v>
      </c>
      <c r="AI36" s="672">
        <f t="shared" si="7"/>
        <v>0</v>
      </c>
      <c r="AJ36" s="672">
        <f t="shared" si="8"/>
        <v>0</v>
      </c>
      <c r="AK36" s="394"/>
      <c r="AL36" s="672">
        <f>IF(OR(R36=0,AH36=""),,
IF(OR(リスト!$C$21="小麦",リスト!$C$21="二条大麦",リスト!$C$21="六条大麦",リスト!$C$21="はだか麦",リスト!$C$21="なたね"),IF(OR(AND(K36&lt;9,J36=調査年),AND(K36&gt;=9,J36=調査年-1)),,ROUND(AH36*R36%,0)),
IF(リスト!$C$21="さとうきび",IF(OR(AND(K36&gt;=4,J36=調査年),AND(K36&lt;4,J36=調査年+1)),,ROUND(AH36*R36%,0)),
IF(J36=調査年,,ROUND(AH36*R36%,0)))))</f>
        <v>0</v>
      </c>
      <c r="AM36" s="672">
        <f t="shared" si="9"/>
        <v>0</v>
      </c>
      <c r="AN36" s="672">
        <f t="shared" si="10"/>
        <v>0</v>
      </c>
      <c r="AO36" s="672">
        <f t="shared" si="11"/>
        <v>0</v>
      </c>
      <c r="AP36" s="672">
        <f>IF(R36=0,,
SUM(
IF(OR(リスト!$C$21="小麦",リスト!$C$21="二条大麦",リスト!$C$21="六条大麦",リスト!$C$21="はだか麦",リスト!$C$21="なたね"),IF(OR(AND(AA36=1,K36&lt;9,J36=調査年),AND(AA36=1,K36&gt;=9,J36=調査年-1)),ROUND(L36*R36%,0),),
IF(リスト!$C$21="さとうきび",IF(OR(AND(AA36=1,K36&gt;=4,J36=調査年),AND(AA36=1,K36&lt;4,J36=調査年+1)),ROUND(L36*R36%,0),),
IF(AND(AA36=1,J36=調査年),ROUND(L36*R36%,0),))),
ROUND(M36*R36%,0)
))</f>
        <v>0</v>
      </c>
      <c r="AQ36" s="672">
        <f t="shared" si="12"/>
        <v>0</v>
      </c>
      <c r="AR36" s="672">
        <f t="shared" si="13"/>
        <v>0</v>
      </c>
      <c r="AS36" s="672">
        <f t="shared" si="18"/>
        <v>0</v>
      </c>
      <c r="AT36" s="672">
        <f t="shared" si="19"/>
        <v>0</v>
      </c>
      <c r="AU36" s="672">
        <f t="shared" si="14"/>
        <v>0</v>
      </c>
      <c r="AV36" s="672">
        <f t="shared" si="15"/>
        <v>0</v>
      </c>
      <c r="AW36" s="721">
        <f t="shared" si="16"/>
        <v>0</v>
      </c>
      <c r="AX36" s="686"/>
      <c r="AY36" s="686"/>
    </row>
    <row r="37" spans="3:51" s="46" customFormat="1" ht="30.75" hidden="1" customHeight="1" outlineLevel="1">
      <c r="C37" s="722">
        <v>20</v>
      </c>
      <c r="D37" s="687"/>
      <c r="E37" s="723"/>
      <c r="F37" s="724"/>
      <c r="G37" s="1961"/>
      <c r="H37" s="1962"/>
      <c r="I37" s="679"/>
      <c r="J37" s="725"/>
      <c r="K37" s="680"/>
      <c r="L37" s="681"/>
      <c r="M37" s="681"/>
      <c r="N37" s="681"/>
      <c r="O37" s="681"/>
      <c r="P37" s="681"/>
      <c r="Q37" s="681"/>
      <c r="R37" s="1094"/>
      <c r="S37" s="682"/>
      <c r="T37" s="726"/>
      <c r="U37" s="727"/>
      <c r="V37" s="717"/>
      <c r="W37" s="728"/>
      <c r="X37" s="729"/>
      <c r="Z37" s="670">
        <f t="shared" si="2"/>
        <v>0</v>
      </c>
      <c r="AA37" s="670">
        <f t="shared" si="17"/>
        <v>0</v>
      </c>
      <c r="AB37" s="670">
        <f t="shared" si="3"/>
        <v>0</v>
      </c>
      <c r="AC37" s="670">
        <f>IF(Z37=0,,VLOOKUP(Z37,リスト!DC:DD,2,0))</f>
        <v>0</v>
      </c>
      <c r="AD37" s="670">
        <f t="shared" si="4"/>
        <v>0</v>
      </c>
      <c r="AE37" s="671">
        <f>IF(AD37=0,,VLOOKUP(AD37,リスト!DK:DL,2,0))</f>
        <v>0</v>
      </c>
      <c r="AF37" s="670">
        <f>IF(Z37=0,,
IF(OR(リスト!$C$21="小麦",リスト!$C$21="二条大麦",リスト!$C$21="六条大麦",リスト!$C$21="はだか麦",リスト!$C$21="なたね"),IF(K37&lt;9,調査年-J37,調査年-J37-1),
IF(リスト!$C$21="さとうきび",IF(K37&gt;=4,調査年-J37,調査年-J37+1),
調査年-J37)))</f>
        <v>0</v>
      </c>
      <c r="AG37" s="672">
        <f t="shared" si="5"/>
        <v>0</v>
      </c>
      <c r="AH37" s="672">
        <f t="shared" si="6"/>
        <v>0</v>
      </c>
      <c r="AI37" s="672">
        <f t="shared" si="7"/>
        <v>0</v>
      </c>
      <c r="AJ37" s="672">
        <f t="shared" si="8"/>
        <v>0</v>
      </c>
      <c r="AK37" s="394"/>
      <c r="AL37" s="672">
        <f>IF(OR(R37=0,AH37=""),,
IF(OR(リスト!$C$21="小麦",リスト!$C$21="二条大麦",リスト!$C$21="六条大麦",リスト!$C$21="はだか麦",リスト!$C$21="なたね"),IF(OR(AND(K37&lt;9,J37=調査年),AND(K37&gt;=9,J37=調査年-1)),,ROUND(AH37*R37%,0)),
IF(リスト!$C$21="さとうきび",IF(OR(AND(K37&gt;=4,J37=調査年),AND(K37&lt;4,J37=調査年+1)),,ROUND(AH37*R37%,0)),
IF(J37=調査年,,ROUND(AH37*R37%,0)))))</f>
        <v>0</v>
      </c>
      <c r="AM37" s="672">
        <f t="shared" si="9"/>
        <v>0</v>
      </c>
      <c r="AN37" s="672">
        <f t="shared" si="10"/>
        <v>0</v>
      </c>
      <c r="AO37" s="672">
        <f t="shared" si="11"/>
        <v>0</v>
      </c>
      <c r="AP37" s="672">
        <f>IF(R37=0,,
SUM(
IF(OR(リスト!$C$21="小麦",リスト!$C$21="二条大麦",リスト!$C$21="六条大麦",リスト!$C$21="はだか麦",リスト!$C$21="なたね"),IF(OR(AND(AA37=1,K37&lt;9,J37=調査年),AND(AA37=1,K37&gt;=9,J37=調査年-1)),ROUND(L37*R37%,0),),
IF(リスト!$C$21="さとうきび",IF(OR(AND(AA37=1,K37&gt;=4,J37=調査年),AND(AA37=1,K37&lt;4,J37=調査年+1)),ROUND(L37*R37%,0),),
IF(AND(AA37=1,J37=調査年),ROUND(L37*R37%,0),))),
ROUND(M37*R37%,0)
))</f>
        <v>0</v>
      </c>
      <c r="AQ37" s="672">
        <f t="shared" si="12"/>
        <v>0</v>
      </c>
      <c r="AR37" s="672">
        <f t="shared" si="13"/>
        <v>0</v>
      </c>
      <c r="AS37" s="672">
        <f t="shared" si="18"/>
        <v>0</v>
      </c>
      <c r="AT37" s="672">
        <f t="shared" si="19"/>
        <v>0</v>
      </c>
      <c r="AU37" s="672">
        <f t="shared" si="14"/>
        <v>0</v>
      </c>
      <c r="AV37" s="672">
        <f t="shared" si="15"/>
        <v>0</v>
      </c>
      <c r="AW37" s="721">
        <f t="shared" si="16"/>
        <v>0</v>
      </c>
      <c r="AX37" s="686"/>
      <c r="AY37" s="686"/>
    </row>
    <row r="38" spans="3:51" s="46" customFormat="1" ht="30.75" hidden="1" customHeight="1" outlineLevel="1">
      <c r="C38" s="722">
        <v>21</v>
      </c>
      <c r="D38" s="687"/>
      <c r="E38" s="723"/>
      <c r="F38" s="724"/>
      <c r="G38" s="1961"/>
      <c r="H38" s="1962"/>
      <c r="I38" s="679"/>
      <c r="J38" s="725"/>
      <c r="K38" s="680"/>
      <c r="L38" s="681"/>
      <c r="M38" s="681"/>
      <c r="N38" s="681"/>
      <c r="O38" s="681"/>
      <c r="P38" s="681"/>
      <c r="Q38" s="681"/>
      <c r="R38" s="1094"/>
      <c r="S38" s="682"/>
      <c r="T38" s="726"/>
      <c r="U38" s="727"/>
      <c r="V38" s="717"/>
      <c r="W38" s="728"/>
      <c r="X38" s="729"/>
      <c r="Z38" s="670">
        <f t="shared" si="2"/>
        <v>0</v>
      </c>
      <c r="AA38" s="670">
        <f t="shared" si="17"/>
        <v>0</v>
      </c>
      <c r="AB38" s="670">
        <f t="shared" si="3"/>
        <v>0</v>
      </c>
      <c r="AC38" s="670">
        <f>IF(Z38=0,,VLOOKUP(Z38,リスト!DC:DD,2,0))</f>
        <v>0</v>
      </c>
      <c r="AD38" s="670">
        <f t="shared" si="4"/>
        <v>0</v>
      </c>
      <c r="AE38" s="671">
        <f>IF(AD38=0,,VLOOKUP(AD38,リスト!DK:DL,2,0))</f>
        <v>0</v>
      </c>
      <c r="AF38" s="670">
        <f>IF(Z38=0,,
IF(OR(リスト!$C$21="小麦",リスト!$C$21="二条大麦",リスト!$C$21="六条大麦",リスト!$C$21="はだか麦",リスト!$C$21="なたね"),IF(K38&lt;9,調査年-J38,調査年-J38-1),
IF(リスト!$C$21="さとうきび",IF(K38&gt;=4,調査年-J38,調査年-J38+1),
調査年-J38)))</f>
        <v>0</v>
      </c>
      <c r="AG38" s="672">
        <f t="shared" si="5"/>
        <v>0</v>
      </c>
      <c r="AH38" s="672">
        <f t="shared" si="6"/>
        <v>0</v>
      </c>
      <c r="AI38" s="672">
        <f t="shared" si="7"/>
        <v>0</v>
      </c>
      <c r="AJ38" s="672">
        <f t="shared" si="8"/>
        <v>0</v>
      </c>
      <c r="AK38" s="394"/>
      <c r="AL38" s="672">
        <f>IF(OR(R38=0,AH38=""),,
IF(OR(リスト!$C$21="小麦",リスト!$C$21="二条大麦",リスト!$C$21="六条大麦",リスト!$C$21="はだか麦",リスト!$C$21="なたね"),IF(OR(AND(K38&lt;9,J38=調査年),AND(K38&gt;=9,J38=調査年-1)),,ROUND(AH38*R38%,0)),
IF(リスト!$C$21="さとうきび",IF(OR(AND(K38&gt;=4,J38=調査年),AND(K38&lt;4,J38=調査年+1)),,ROUND(AH38*R38%,0)),
IF(J38=調査年,,ROUND(AH38*R38%,0)))))</f>
        <v>0</v>
      </c>
      <c r="AM38" s="672">
        <f t="shared" si="9"/>
        <v>0</v>
      </c>
      <c r="AN38" s="672">
        <f t="shared" si="10"/>
        <v>0</v>
      </c>
      <c r="AO38" s="672">
        <f t="shared" si="11"/>
        <v>0</v>
      </c>
      <c r="AP38" s="672">
        <f>IF(R38=0,,
SUM(
IF(OR(リスト!$C$21="小麦",リスト!$C$21="二条大麦",リスト!$C$21="六条大麦",リスト!$C$21="はだか麦",リスト!$C$21="なたね"),IF(OR(AND(AA38=1,K38&lt;9,J38=調査年),AND(AA38=1,K38&gt;=9,J38=調査年-1)),ROUND(L38*R38%,0),),
IF(リスト!$C$21="さとうきび",IF(OR(AND(AA38=1,K38&gt;=4,J38=調査年),AND(AA38=1,K38&lt;4,J38=調査年+1)),ROUND(L38*R38%,0),),
IF(AND(AA38=1,J38=調査年),ROUND(L38*R38%,0),))),
ROUND(M38*R38%,0)
))</f>
        <v>0</v>
      </c>
      <c r="AQ38" s="672">
        <f t="shared" si="12"/>
        <v>0</v>
      </c>
      <c r="AR38" s="672">
        <f t="shared" si="13"/>
        <v>0</v>
      </c>
      <c r="AS38" s="672">
        <f t="shared" si="18"/>
        <v>0</v>
      </c>
      <c r="AT38" s="672">
        <f t="shared" si="19"/>
        <v>0</v>
      </c>
      <c r="AU38" s="672">
        <f t="shared" si="14"/>
        <v>0</v>
      </c>
      <c r="AV38" s="672">
        <f t="shared" si="15"/>
        <v>0</v>
      </c>
      <c r="AW38" s="721">
        <f t="shared" si="16"/>
        <v>0</v>
      </c>
      <c r="AX38" s="686"/>
      <c r="AY38" s="686"/>
    </row>
    <row r="39" spans="3:51" s="46" customFormat="1" ht="30.75" hidden="1" customHeight="1" outlineLevel="1">
      <c r="C39" s="722">
        <v>22</v>
      </c>
      <c r="D39" s="687"/>
      <c r="E39" s="723"/>
      <c r="F39" s="724"/>
      <c r="G39" s="1961"/>
      <c r="H39" s="1962"/>
      <c r="I39" s="679"/>
      <c r="J39" s="725"/>
      <c r="K39" s="680"/>
      <c r="L39" s="681"/>
      <c r="M39" s="681"/>
      <c r="N39" s="681"/>
      <c r="O39" s="681"/>
      <c r="P39" s="681"/>
      <c r="Q39" s="681"/>
      <c r="R39" s="1094"/>
      <c r="S39" s="682"/>
      <c r="T39" s="726"/>
      <c r="U39" s="727"/>
      <c r="V39" s="717"/>
      <c r="W39" s="728"/>
      <c r="X39" s="729"/>
      <c r="Z39" s="670">
        <f t="shared" si="2"/>
        <v>0</v>
      </c>
      <c r="AA39" s="670">
        <f t="shared" si="17"/>
        <v>0</v>
      </c>
      <c r="AB39" s="670">
        <f t="shared" si="3"/>
        <v>0</v>
      </c>
      <c r="AC39" s="670">
        <f>IF(Z39=0,,VLOOKUP(Z39,リスト!DC:DD,2,0))</f>
        <v>0</v>
      </c>
      <c r="AD39" s="670">
        <f t="shared" si="4"/>
        <v>0</v>
      </c>
      <c r="AE39" s="671">
        <f>IF(AD39=0,,VLOOKUP(AD39,リスト!DK:DL,2,0))</f>
        <v>0</v>
      </c>
      <c r="AF39" s="670">
        <f>IF(Z39=0,,
IF(OR(リスト!$C$21="小麦",リスト!$C$21="二条大麦",リスト!$C$21="六条大麦",リスト!$C$21="はだか麦",リスト!$C$21="なたね"),IF(K39&lt;9,調査年-J39,調査年-J39-1),
IF(リスト!$C$21="さとうきび",IF(K39&gt;=4,調査年-J39,調査年-J39+1),
調査年-J39)))</f>
        <v>0</v>
      </c>
      <c r="AG39" s="672">
        <f t="shared" si="5"/>
        <v>0</v>
      </c>
      <c r="AH39" s="672">
        <f t="shared" si="6"/>
        <v>0</v>
      </c>
      <c r="AI39" s="672">
        <f t="shared" si="7"/>
        <v>0</v>
      </c>
      <c r="AJ39" s="672">
        <f t="shared" si="8"/>
        <v>0</v>
      </c>
      <c r="AK39" s="394"/>
      <c r="AL39" s="672">
        <f>IF(OR(R39=0,AH39=""),,
IF(OR(リスト!$C$21="小麦",リスト!$C$21="二条大麦",リスト!$C$21="六条大麦",リスト!$C$21="はだか麦",リスト!$C$21="なたね"),IF(OR(AND(K39&lt;9,J39=調査年),AND(K39&gt;=9,J39=調査年-1)),,ROUND(AH39*R39%,0)),
IF(リスト!$C$21="さとうきび",IF(OR(AND(K39&gt;=4,J39=調査年),AND(K39&lt;4,J39=調査年+1)),,ROUND(AH39*R39%,0)),
IF(J39=調査年,,ROUND(AH39*R39%,0)))))</f>
        <v>0</v>
      </c>
      <c r="AM39" s="672">
        <f t="shared" si="9"/>
        <v>0</v>
      </c>
      <c r="AN39" s="672">
        <f t="shared" si="10"/>
        <v>0</v>
      </c>
      <c r="AO39" s="672">
        <f t="shared" si="11"/>
        <v>0</v>
      </c>
      <c r="AP39" s="672">
        <f>IF(R39=0,,
SUM(
IF(OR(リスト!$C$21="小麦",リスト!$C$21="二条大麦",リスト!$C$21="六条大麦",リスト!$C$21="はだか麦",リスト!$C$21="なたね"),IF(OR(AND(AA39=1,K39&lt;9,J39=調査年),AND(AA39=1,K39&gt;=9,J39=調査年-1)),ROUND(L39*R39%,0),),
IF(リスト!$C$21="さとうきび",IF(OR(AND(AA39=1,K39&gt;=4,J39=調査年),AND(AA39=1,K39&lt;4,J39=調査年+1)),ROUND(L39*R39%,0),),
IF(AND(AA39=1,J39=調査年),ROUND(L39*R39%,0),))),
ROUND(M39*R39%,0)
))</f>
        <v>0</v>
      </c>
      <c r="AQ39" s="672">
        <f t="shared" si="12"/>
        <v>0</v>
      </c>
      <c r="AR39" s="672">
        <f t="shared" si="13"/>
        <v>0</v>
      </c>
      <c r="AS39" s="672">
        <f t="shared" si="18"/>
        <v>0</v>
      </c>
      <c r="AT39" s="672">
        <f t="shared" si="19"/>
        <v>0</v>
      </c>
      <c r="AU39" s="672">
        <f t="shared" si="14"/>
        <v>0</v>
      </c>
      <c r="AV39" s="672">
        <f t="shared" si="15"/>
        <v>0</v>
      </c>
      <c r="AW39" s="721">
        <f t="shared" si="16"/>
        <v>0</v>
      </c>
      <c r="AX39" s="686"/>
      <c r="AY39" s="686"/>
    </row>
    <row r="40" spans="3:51" s="46" customFormat="1" ht="30.75" hidden="1" customHeight="1" outlineLevel="1">
      <c r="C40" s="722">
        <v>23</v>
      </c>
      <c r="D40" s="687"/>
      <c r="E40" s="723"/>
      <c r="F40" s="724"/>
      <c r="G40" s="1961"/>
      <c r="H40" s="1962"/>
      <c r="I40" s="679"/>
      <c r="J40" s="725"/>
      <c r="K40" s="680"/>
      <c r="L40" s="681"/>
      <c r="M40" s="681"/>
      <c r="N40" s="681"/>
      <c r="O40" s="681"/>
      <c r="P40" s="681"/>
      <c r="Q40" s="681"/>
      <c r="R40" s="1094"/>
      <c r="S40" s="682"/>
      <c r="T40" s="726"/>
      <c r="U40" s="727"/>
      <c r="V40" s="717"/>
      <c r="W40" s="728"/>
      <c r="X40" s="729"/>
      <c r="Z40" s="670">
        <f t="shared" si="2"/>
        <v>0</v>
      </c>
      <c r="AA40" s="670">
        <f t="shared" si="17"/>
        <v>0</v>
      </c>
      <c r="AB40" s="670">
        <f t="shared" si="3"/>
        <v>0</v>
      </c>
      <c r="AC40" s="670">
        <f>IF(Z40=0,,VLOOKUP(Z40,リスト!DC:DD,2,0))</f>
        <v>0</v>
      </c>
      <c r="AD40" s="670">
        <f t="shared" si="4"/>
        <v>0</v>
      </c>
      <c r="AE40" s="671">
        <f>IF(AD40=0,,VLOOKUP(AD40,リスト!DK:DL,2,0))</f>
        <v>0</v>
      </c>
      <c r="AF40" s="670">
        <f>IF(Z40=0,,
IF(OR(リスト!$C$21="小麦",リスト!$C$21="二条大麦",リスト!$C$21="六条大麦",リスト!$C$21="はだか麦",リスト!$C$21="なたね"),IF(K40&lt;9,調査年-J40,調査年-J40-1),
IF(リスト!$C$21="さとうきび",IF(K40&gt;=4,調査年-J40,調査年-J40+1),
調査年-J40)))</f>
        <v>0</v>
      </c>
      <c r="AG40" s="672">
        <f t="shared" si="5"/>
        <v>0</v>
      </c>
      <c r="AH40" s="672">
        <f t="shared" si="6"/>
        <v>0</v>
      </c>
      <c r="AI40" s="672">
        <f t="shared" si="7"/>
        <v>0</v>
      </c>
      <c r="AJ40" s="672">
        <f t="shared" si="8"/>
        <v>0</v>
      </c>
      <c r="AK40" s="394"/>
      <c r="AL40" s="672">
        <f>IF(OR(R40=0,AH40=""),,
IF(OR(リスト!$C$21="小麦",リスト!$C$21="二条大麦",リスト!$C$21="六条大麦",リスト!$C$21="はだか麦",リスト!$C$21="なたね"),IF(OR(AND(K40&lt;9,J40=調査年),AND(K40&gt;=9,J40=調査年-1)),,ROUND(AH40*R40%,0)),
IF(リスト!$C$21="さとうきび",IF(OR(AND(K40&gt;=4,J40=調査年),AND(K40&lt;4,J40=調査年+1)),,ROUND(AH40*R40%,0)),
IF(J40=調査年,,ROUND(AH40*R40%,0)))))</f>
        <v>0</v>
      </c>
      <c r="AM40" s="672">
        <f t="shared" si="9"/>
        <v>0</v>
      </c>
      <c r="AN40" s="672">
        <f t="shared" si="10"/>
        <v>0</v>
      </c>
      <c r="AO40" s="672">
        <f t="shared" si="11"/>
        <v>0</v>
      </c>
      <c r="AP40" s="672">
        <f>IF(R40=0,,
SUM(
IF(OR(リスト!$C$21="小麦",リスト!$C$21="二条大麦",リスト!$C$21="六条大麦",リスト!$C$21="はだか麦",リスト!$C$21="なたね"),IF(OR(AND(AA40=1,K40&lt;9,J40=調査年),AND(AA40=1,K40&gt;=9,J40=調査年-1)),ROUND(L40*R40%,0),),
IF(リスト!$C$21="さとうきび",IF(OR(AND(AA40=1,K40&gt;=4,J40=調査年),AND(AA40=1,K40&lt;4,J40=調査年+1)),ROUND(L40*R40%,0),),
IF(AND(AA40=1,J40=調査年),ROUND(L40*R40%,0),))),
ROUND(M40*R40%,0)
))</f>
        <v>0</v>
      </c>
      <c r="AQ40" s="672">
        <f t="shared" si="12"/>
        <v>0</v>
      </c>
      <c r="AR40" s="672">
        <f t="shared" si="13"/>
        <v>0</v>
      </c>
      <c r="AS40" s="672">
        <f t="shared" si="18"/>
        <v>0</v>
      </c>
      <c r="AT40" s="672">
        <f t="shared" si="19"/>
        <v>0</v>
      </c>
      <c r="AU40" s="672">
        <f t="shared" si="14"/>
        <v>0</v>
      </c>
      <c r="AV40" s="672">
        <f t="shared" si="15"/>
        <v>0</v>
      </c>
      <c r="AW40" s="721">
        <f t="shared" si="16"/>
        <v>0</v>
      </c>
      <c r="AX40" s="686"/>
      <c r="AY40" s="686"/>
    </row>
    <row r="41" spans="3:51" s="46" customFormat="1" ht="30.75" hidden="1" customHeight="1" outlineLevel="1">
      <c r="C41" s="722">
        <v>24</v>
      </c>
      <c r="D41" s="687"/>
      <c r="E41" s="723"/>
      <c r="F41" s="724"/>
      <c r="G41" s="1961"/>
      <c r="H41" s="1962"/>
      <c r="I41" s="679"/>
      <c r="J41" s="725"/>
      <c r="K41" s="680"/>
      <c r="L41" s="681"/>
      <c r="M41" s="681"/>
      <c r="N41" s="681"/>
      <c r="O41" s="681"/>
      <c r="P41" s="681"/>
      <c r="Q41" s="681"/>
      <c r="R41" s="1094"/>
      <c r="S41" s="682"/>
      <c r="T41" s="726"/>
      <c r="U41" s="727"/>
      <c r="V41" s="717"/>
      <c r="W41" s="728"/>
      <c r="X41" s="729"/>
      <c r="Z41" s="670">
        <f t="shared" si="2"/>
        <v>0</v>
      </c>
      <c r="AA41" s="670">
        <f t="shared" si="17"/>
        <v>0</v>
      </c>
      <c r="AB41" s="670">
        <f t="shared" si="3"/>
        <v>0</v>
      </c>
      <c r="AC41" s="670">
        <f>IF(Z41=0,,VLOOKUP(Z41,リスト!DC:DD,2,0))</f>
        <v>0</v>
      </c>
      <c r="AD41" s="670">
        <f t="shared" si="4"/>
        <v>0</v>
      </c>
      <c r="AE41" s="671">
        <f>IF(AD41=0,,VLOOKUP(AD41,リスト!DK:DL,2,0))</f>
        <v>0</v>
      </c>
      <c r="AF41" s="670">
        <f>IF(Z41=0,,
IF(OR(リスト!$C$21="小麦",リスト!$C$21="二条大麦",リスト!$C$21="六条大麦",リスト!$C$21="はだか麦",リスト!$C$21="なたね"),IF(K41&lt;9,調査年-J41,調査年-J41-1),
IF(リスト!$C$21="さとうきび",IF(K41&gt;=4,調査年-J41,調査年-J41+1),
調査年-J41)))</f>
        <v>0</v>
      </c>
      <c r="AG41" s="672">
        <f t="shared" si="5"/>
        <v>0</v>
      </c>
      <c r="AH41" s="672">
        <f t="shared" si="6"/>
        <v>0</v>
      </c>
      <c r="AI41" s="672">
        <f t="shared" si="7"/>
        <v>0</v>
      </c>
      <c r="AJ41" s="672">
        <f t="shared" si="8"/>
        <v>0</v>
      </c>
      <c r="AK41" s="394"/>
      <c r="AL41" s="672">
        <f>IF(OR(R41=0,AH41=""),,
IF(OR(リスト!$C$21="小麦",リスト!$C$21="二条大麦",リスト!$C$21="六条大麦",リスト!$C$21="はだか麦",リスト!$C$21="なたね"),IF(OR(AND(K41&lt;9,J41=調査年),AND(K41&gt;=9,J41=調査年-1)),,ROUND(AH41*R41%,0)),
IF(リスト!$C$21="さとうきび",IF(OR(AND(K41&gt;=4,J41=調査年),AND(K41&lt;4,J41=調査年+1)),,ROUND(AH41*R41%,0)),
IF(J41=調査年,,ROUND(AH41*R41%,0)))))</f>
        <v>0</v>
      </c>
      <c r="AM41" s="672">
        <f t="shared" si="9"/>
        <v>0</v>
      </c>
      <c r="AN41" s="672">
        <f t="shared" si="10"/>
        <v>0</v>
      </c>
      <c r="AO41" s="672">
        <f t="shared" si="11"/>
        <v>0</v>
      </c>
      <c r="AP41" s="672">
        <f>IF(R41=0,,
SUM(
IF(OR(リスト!$C$21="小麦",リスト!$C$21="二条大麦",リスト!$C$21="六条大麦",リスト!$C$21="はだか麦",リスト!$C$21="なたね"),IF(OR(AND(AA41=1,K41&lt;9,J41=調査年),AND(AA41=1,K41&gt;=9,J41=調査年-1)),ROUND(L41*R41%,0),),
IF(リスト!$C$21="さとうきび",IF(OR(AND(AA41=1,K41&gt;=4,J41=調査年),AND(AA41=1,K41&lt;4,J41=調査年+1)),ROUND(L41*R41%,0),),
IF(AND(AA41=1,J41=調査年),ROUND(L41*R41%,0),))),
ROUND(M41*R41%,0)
))</f>
        <v>0</v>
      </c>
      <c r="AQ41" s="672">
        <f t="shared" si="12"/>
        <v>0</v>
      </c>
      <c r="AR41" s="672">
        <f t="shared" si="13"/>
        <v>0</v>
      </c>
      <c r="AS41" s="672">
        <f t="shared" si="18"/>
        <v>0</v>
      </c>
      <c r="AT41" s="672">
        <f t="shared" si="19"/>
        <v>0</v>
      </c>
      <c r="AU41" s="672">
        <f t="shared" si="14"/>
        <v>0</v>
      </c>
      <c r="AV41" s="672">
        <f t="shared" si="15"/>
        <v>0</v>
      </c>
      <c r="AW41" s="721">
        <f t="shared" si="16"/>
        <v>0</v>
      </c>
      <c r="AX41" s="686"/>
      <c r="AY41" s="686"/>
    </row>
    <row r="42" spans="3:51" s="46" customFormat="1" ht="30.75" hidden="1" customHeight="1" outlineLevel="1">
      <c r="C42" s="722">
        <v>25</v>
      </c>
      <c r="D42" s="687"/>
      <c r="E42" s="723"/>
      <c r="F42" s="724"/>
      <c r="G42" s="1961"/>
      <c r="H42" s="1962"/>
      <c r="I42" s="679"/>
      <c r="J42" s="725"/>
      <c r="K42" s="680"/>
      <c r="L42" s="681"/>
      <c r="M42" s="681"/>
      <c r="N42" s="681"/>
      <c r="O42" s="681"/>
      <c r="P42" s="681"/>
      <c r="Q42" s="681"/>
      <c r="R42" s="1094"/>
      <c r="S42" s="682"/>
      <c r="T42" s="726"/>
      <c r="U42" s="727"/>
      <c r="V42" s="717"/>
      <c r="W42" s="728"/>
      <c r="X42" s="729"/>
      <c r="Z42" s="670">
        <f t="shared" si="2"/>
        <v>0</v>
      </c>
      <c r="AA42" s="670">
        <f t="shared" si="17"/>
        <v>0</v>
      </c>
      <c r="AB42" s="670">
        <f t="shared" si="3"/>
        <v>0</v>
      </c>
      <c r="AC42" s="670">
        <f>IF(Z42=0,,VLOOKUP(Z42,リスト!DC:DD,2,0))</f>
        <v>0</v>
      </c>
      <c r="AD42" s="670">
        <f t="shared" si="4"/>
        <v>0</v>
      </c>
      <c r="AE42" s="671">
        <f>IF(AD42=0,,VLOOKUP(AD42,リスト!DK:DL,2,0))</f>
        <v>0</v>
      </c>
      <c r="AF42" s="670">
        <f>IF(Z42=0,,
IF(OR(リスト!$C$21="小麦",リスト!$C$21="二条大麦",リスト!$C$21="六条大麦",リスト!$C$21="はだか麦",リスト!$C$21="なたね"),IF(K42&lt;9,調査年-J42,調査年-J42-1),
IF(リスト!$C$21="さとうきび",IF(K42&gt;=4,調査年-J42,調査年-J42+1),
調査年-J42)))</f>
        <v>0</v>
      </c>
      <c r="AG42" s="672">
        <f t="shared" si="5"/>
        <v>0</v>
      </c>
      <c r="AH42" s="672">
        <f t="shared" si="6"/>
        <v>0</v>
      </c>
      <c r="AI42" s="672">
        <f t="shared" si="7"/>
        <v>0</v>
      </c>
      <c r="AJ42" s="672">
        <f t="shared" si="8"/>
        <v>0</v>
      </c>
      <c r="AK42" s="394"/>
      <c r="AL42" s="672">
        <f>IF(OR(R42=0,AH42=""),,
IF(OR(リスト!$C$21="小麦",リスト!$C$21="二条大麦",リスト!$C$21="六条大麦",リスト!$C$21="はだか麦",リスト!$C$21="なたね"),IF(OR(AND(K42&lt;9,J42=調査年),AND(K42&gt;=9,J42=調査年-1)),,ROUND(AH42*R42%,0)),
IF(リスト!$C$21="さとうきび",IF(OR(AND(K42&gt;=4,J42=調査年),AND(K42&lt;4,J42=調査年+1)),,ROUND(AH42*R42%,0)),
IF(J42=調査年,,ROUND(AH42*R42%,0)))))</f>
        <v>0</v>
      </c>
      <c r="AM42" s="672">
        <f t="shared" si="9"/>
        <v>0</v>
      </c>
      <c r="AN42" s="672">
        <f t="shared" si="10"/>
        <v>0</v>
      </c>
      <c r="AO42" s="672">
        <f t="shared" si="11"/>
        <v>0</v>
      </c>
      <c r="AP42" s="672">
        <f>IF(R42=0,,
SUM(
IF(OR(リスト!$C$21="小麦",リスト!$C$21="二条大麦",リスト!$C$21="六条大麦",リスト!$C$21="はだか麦",リスト!$C$21="なたね"),IF(OR(AND(AA42=1,K42&lt;9,J42=調査年),AND(AA42=1,K42&gt;=9,J42=調査年-1)),ROUND(L42*R42%,0),),
IF(リスト!$C$21="さとうきび",IF(OR(AND(AA42=1,K42&gt;=4,J42=調査年),AND(AA42=1,K42&lt;4,J42=調査年+1)),ROUND(L42*R42%,0),),
IF(AND(AA42=1,J42=調査年),ROUND(L42*R42%,0),))),
ROUND(M42*R42%,0)
))</f>
        <v>0</v>
      </c>
      <c r="AQ42" s="672">
        <f t="shared" si="12"/>
        <v>0</v>
      </c>
      <c r="AR42" s="672">
        <f t="shared" si="13"/>
        <v>0</v>
      </c>
      <c r="AS42" s="672">
        <f t="shared" si="18"/>
        <v>0</v>
      </c>
      <c r="AT42" s="672">
        <f t="shared" si="19"/>
        <v>0</v>
      </c>
      <c r="AU42" s="672">
        <f t="shared" si="14"/>
        <v>0</v>
      </c>
      <c r="AV42" s="672">
        <f t="shared" si="15"/>
        <v>0</v>
      </c>
      <c r="AW42" s="721">
        <f t="shared" si="16"/>
        <v>0</v>
      </c>
      <c r="AX42" s="686"/>
      <c r="AY42" s="686"/>
    </row>
    <row r="43" spans="3:51" s="46" customFormat="1" ht="30.75" hidden="1" customHeight="1" outlineLevel="1">
      <c r="C43" s="722">
        <v>26</v>
      </c>
      <c r="D43" s="687"/>
      <c r="E43" s="731"/>
      <c r="F43" s="732"/>
      <c r="G43" s="1965"/>
      <c r="H43" s="1966"/>
      <c r="I43" s="733"/>
      <c r="J43" s="734"/>
      <c r="K43" s="735"/>
      <c r="L43" s="736"/>
      <c r="M43" s="736"/>
      <c r="N43" s="736"/>
      <c r="O43" s="736"/>
      <c r="P43" s="736"/>
      <c r="Q43" s="736"/>
      <c r="R43" s="1094"/>
      <c r="S43" s="737"/>
      <c r="T43" s="738"/>
      <c r="U43" s="739"/>
      <c r="V43" s="717"/>
      <c r="W43" s="728"/>
      <c r="X43" s="729"/>
      <c r="Z43" s="670">
        <f t="shared" si="2"/>
        <v>0</v>
      </c>
      <c r="AA43" s="670">
        <f t="shared" si="17"/>
        <v>0</v>
      </c>
      <c r="AB43" s="670">
        <f t="shared" si="3"/>
        <v>0</v>
      </c>
      <c r="AC43" s="670">
        <f>IF(Z43=0,,VLOOKUP(Z43,リスト!DC:DD,2,0))</f>
        <v>0</v>
      </c>
      <c r="AD43" s="670">
        <f t="shared" si="4"/>
        <v>0</v>
      </c>
      <c r="AE43" s="671">
        <f>IF(AD43=0,,VLOOKUP(AD43,リスト!DK:DL,2,0))</f>
        <v>0</v>
      </c>
      <c r="AF43" s="670">
        <f>IF(Z43=0,,
IF(OR(リスト!$C$21="小麦",リスト!$C$21="二条大麦",リスト!$C$21="六条大麦",リスト!$C$21="はだか麦",リスト!$C$21="なたね"),IF(K43&lt;9,調査年-J43,調査年-J43-1),
IF(リスト!$C$21="さとうきび",IF(K43&gt;=4,調査年-J43,調査年-J43+1),
調査年-J43)))</f>
        <v>0</v>
      </c>
      <c r="AG43" s="672">
        <f t="shared" si="5"/>
        <v>0</v>
      </c>
      <c r="AH43" s="672">
        <f t="shared" si="6"/>
        <v>0</v>
      </c>
      <c r="AI43" s="672">
        <f t="shared" si="7"/>
        <v>0</v>
      </c>
      <c r="AJ43" s="672">
        <f t="shared" si="8"/>
        <v>0</v>
      </c>
      <c r="AK43" s="394"/>
      <c r="AL43" s="672">
        <f>IF(OR(R43=0,AH43=""),,
IF(OR(リスト!$C$21="小麦",リスト!$C$21="二条大麦",リスト!$C$21="六条大麦",リスト!$C$21="はだか麦",リスト!$C$21="なたね"),IF(OR(AND(K43&lt;9,J43=調査年),AND(K43&gt;=9,J43=調査年-1)),,ROUND(AH43*R43%,0)),
IF(リスト!$C$21="さとうきび",IF(OR(AND(K43&gt;=4,J43=調査年),AND(K43&lt;4,J43=調査年+1)),,ROUND(AH43*R43%,0)),
IF(J43=調査年,,ROUND(AH43*R43%,0)))))</f>
        <v>0</v>
      </c>
      <c r="AM43" s="672">
        <f t="shared" si="9"/>
        <v>0</v>
      </c>
      <c r="AN43" s="672">
        <f t="shared" si="10"/>
        <v>0</v>
      </c>
      <c r="AO43" s="672">
        <f t="shared" si="11"/>
        <v>0</v>
      </c>
      <c r="AP43" s="672">
        <f>IF(R43=0,,
SUM(
IF(OR(リスト!$C$21="小麦",リスト!$C$21="二条大麦",リスト!$C$21="六条大麦",リスト!$C$21="はだか麦",リスト!$C$21="なたね"),IF(OR(AND(AA43=1,K43&lt;9,J43=調査年),AND(AA43=1,K43&gt;=9,J43=調査年-1)),ROUND(L43*R43%,0),),
IF(リスト!$C$21="さとうきび",IF(OR(AND(AA43=1,K43&gt;=4,J43=調査年),AND(AA43=1,K43&lt;4,J43=調査年+1)),ROUND(L43*R43%,0),),
IF(AND(AA43=1,J43=調査年),ROUND(L43*R43%,0),))),
ROUND(M43*R43%,0)
))</f>
        <v>0</v>
      </c>
      <c r="AQ43" s="672">
        <f t="shared" si="12"/>
        <v>0</v>
      </c>
      <c r="AR43" s="672">
        <f t="shared" si="13"/>
        <v>0</v>
      </c>
      <c r="AS43" s="672">
        <f t="shared" si="18"/>
        <v>0</v>
      </c>
      <c r="AT43" s="672">
        <f t="shared" si="19"/>
        <v>0</v>
      </c>
      <c r="AU43" s="672">
        <f t="shared" si="14"/>
        <v>0</v>
      </c>
      <c r="AV43" s="672">
        <f t="shared" si="15"/>
        <v>0</v>
      </c>
      <c r="AW43" s="721">
        <f t="shared" si="16"/>
        <v>0</v>
      </c>
      <c r="AX43" s="686"/>
      <c r="AY43" s="686"/>
    </row>
    <row r="44" spans="3:51" s="46" customFormat="1" ht="30.75" hidden="1" customHeight="1" outlineLevel="1">
      <c r="C44" s="722">
        <v>27</v>
      </c>
      <c r="D44" s="687"/>
      <c r="E44" s="723"/>
      <c r="F44" s="724"/>
      <c r="G44" s="1961"/>
      <c r="H44" s="1962"/>
      <c r="I44" s="679"/>
      <c r="J44" s="725"/>
      <c r="K44" s="680"/>
      <c r="L44" s="681"/>
      <c r="M44" s="681"/>
      <c r="N44" s="681"/>
      <c r="O44" s="681"/>
      <c r="P44" s="681"/>
      <c r="Q44" s="681"/>
      <c r="R44" s="1094"/>
      <c r="S44" s="682"/>
      <c r="T44" s="726"/>
      <c r="U44" s="727"/>
      <c r="V44" s="717"/>
      <c r="W44" s="728"/>
      <c r="X44" s="729"/>
      <c r="Z44" s="670">
        <f t="shared" si="2"/>
        <v>0</v>
      </c>
      <c r="AA44" s="670">
        <f t="shared" si="17"/>
        <v>0</v>
      </c>
      <c r="AB44" s="670">
        <f t="shared" si="3"/>
        <v>0</v>
      </c>
      <c r="AC44" s="670">
        <f>IF(Z44=0,,VLOOKUP(Z44,リスト!DC:DD,2,0))</f>
        <v>0</v>
      </c>
      <c r="AD44" s="670">
        <f t="shared" si="4"/>
        <v>0</v>
      </c>
      <c r="AE44" s="671">
        <f>IF(AD44=0,,VLOOKUP(AD44,リスト!DK:DL,2,0))</f>
        <v>0</v>
      </c>
      <c r="AF44" s="670">
        <f>IF(Z44=0,,
IF(OR(リスト!$C$21="小麦",リスト!$C$21="二条大麦",リスト!$C$21="六条大麦",リスト!$C$21="はだか麦",リスト!$C$21="なたね"),IF(K44&lt;9,調査年-J44,調査年-J44-1),
IF(リスト!$C$21="さとうきび",IF(K44&gt;=4,調査年-J44,調査年-J44+1),
調査年-J44)))</f>
        <v>0</v>
      </c>
      <c r="AG44" s="672">
        <f t="shared" si="5"/>
        <v>0</v>
      </c>
      <c r="AH44" s="672">
        <f t="shared" si="6"/>
        <v>0</v>
      </c>
      <c r="AI44" s="672">
        <f t="shared" si="7"/>
        <v>0</v>
      </c>
      <c r="AJ44" s="672">
        <f t="shared" si="8"/>
        <v>0</v>
      </c>
      <c r="AK44" s="394"/>
      <c r="AL44" s="672">
        <f>IF(OR(R44=0,AH44=""),,
IF(OR(リスト!$C$21="小麦",リスト!$C$21="二条大麦",リスト!$C$21="六条大麦",リスト!$C$21="はだか麦",リスト!$C$21="なたね"),IF(OR(AND(K44&lt;9,J44=調査年),AND(K44&gt;=9,J44=調査年-1)),,ROUND(AH44*R44%,0)),
IF(リスト!$C$21="さとうきび",IF(OR(AND(K44&gt;=4,J44=調査年),AND(K44&lt;4,J44=調査年+1)),,ROUND(AH44*R44%,0)),
IF(J44=調査年,,ROUND(AH44*R44%,0)))))</f>
        <v>0</v>
      </c>
      <c r="AM44" s="672">
        <f t="shared" si="9"/>
        <v>0</v>
      </c>
      <c r="AN44" s="672">
        <f t="shared" si="10"/>
        <v>0</v>
      </c>
      <c r="AO44" s="672">
        <f t="shared" si="11"/>
        <v>0</v>
      </c>
      <c r="AP44" s="672">
        <f>IF(R44=0,,
SUM(
IF(OR(リスト!$C$21="小麦",リスト!$C$21="二条大麦",リスト!$C$21="六条大麦",リスト!$C$21="はだか麦",リスト!$C$21="なたね"),IF(OR(AND(AA44=1,K44&lt;9,J44=調査年),AND(AA44=1,K44&gt;=9,J44=調査年-1)),ROUND(L44*R44%,0),),
IF(リスト!$C$21="さとうきび",IF(OR(AND(AA44=1,K44&gt;=4,J44=調査年),AND(AA44=1,K44&lt;4,J44=調査年+1)),ROUND(L44*R44%,0),),
IF(AND(AA44=1,J44=調査年),ROUND(L44*R44%,0),))),
ROUND(M44*R44%,0)
))</f>
        <v>0</v>
      </c>
      <c r="AQ44" s="672">
        <f t="shared" si="12"/>
        <v>0</v>
      </c>
      <c r="AR44" s="672">
        <f t="shared" si="13"/>
        <v>0</v>
      </c>
      <c r="AS44" s="672">
        <f t="shared" si="18"/>
        <v>0</v>
      </c>
      <c r="AT44" s="672">
        <f t="shared" si="19"/>
        <v>0</v>
      </c>
      <c r="AU44" s="672">
        <f t="shared" si="14"/>
        <v>0</v>
      </c>
      <c r="AV44" s="672">
        <f t="shared" si="15"/>
        <v>0</v>
      </c>
      <c r="AW44" s="721">
        <f t="shared" si="16"/>
        <v>0</v>
      </c>
      <c r="AX44" s="686"/>
      <c r="AY44" s="686"/>
    </row>
    <row r="45" spans="3:51" s="46" customFormat="1" ht="30.75" hidden="1" customHeight="1" outlineLevel="1">
      <c r="C45" s="722">
        <v>28</v>
      </c>
      <c r="D45" s="687"/>
      <c r="E45" s="723"/>
      <c r="F45" s="724"/>
      <c r="G45" s="1961"/>
      <c r="H45" s="1962"/>
      <c r="I45" s="679"/>
      <c r="J45" s="725"/>
      <c r="K45" s="680"/>
      <c r="L45" s="681"/>
      <c r="M45" s="681"/>
      <c r="N45" s="681"/>
      <c r="O45" s="681"/>
      <c r="P45" s="681"/>
      <c r="Q45" s="681"/>
      <c r="R45" s="1094"/>
      <c r="S45" s="682"/>
      <c r="T45" s="726"/>
      <c r="U45" s="727"/>
      <c r="V45" s="717"/>
      <c r="W45" s="728"/>
      <c r="X45" s="729"/>
      <c r="Z45" s="670">
        <f t="shared" si="2"/>
        <v>0</v>
      </c>
      <c r="AA45" s="670">
        <f t="shared" si="17"/>
        <v>0</v>
      </c>
      <c r="AB45" s="670">
        <f t="shared" si="3"/>
        <v>0</v>
      </c>
      <c r="AC45" s="670">
        <f>IF(Z45=0,,VLOOKUP(Z45,リスト!DC:DD,2,0))</f>
        <v>0</v>
      </c>
      <c r="AD45" s="670">
        <f t="shared" si="4"/>
        <v>0</v>
      </c>
      <c r="AE45" s="671">
        <f>IF(AD45=0,,VLOOKUP(AD45,リスト!DK:DL,2,0))</f>
        <v>0</v>
      </c>
      <c r="AF45" s="670">
        <f>IF(Z45=0,,
IF(OR(リスト!$C$21="小麦",リスト!$C$21="二条大麦",リスト!$C$21="六条大麦",リスト!$C$21="はだか麦",リスト!$C$21="なたね"),IF(K45&lt;9,調査年-J45,調査年-J45-1),
IF(リスト!$C$21="さとうきび",IF(K45&gt;=4,調査年-J45,調査年-J45+1),
調査年-J45)))</f>
        <v>0</v>
      </c>
      <c r="AG45" s="672">
        <f t="shared" si="5"/>
        <v>0</v>
      </c>
      <c r="AH45" s="672">
        <f t="shared" si="6"/>
        <v>0</v>
      </c>
      <c r="AI45" s="672">
        <f t="shared" si="7"/>
        <v>0</v>
      </c>
      <c r="AJ45" s="672">
        <f t="shared" si="8"/>
        <v>0</v>
      </c>
      <c r="AK45" s="394"/>
      <c r="AL45" s="672">
        <f>IF(OR(R45=0,AH45=""),,
IF(OR(リスト!$C$21="小麦",リスト!$C$21="二条大麦",リスト!$C$21="六条大麦",リスト!$C$21="はだか麦",リスト!$C$21="なたね"),IF(OR(AND(K45&lt;9,J45=調査年),AND(K45&gt;=9,J45=調査年-1)),,ROUND(AH45*R45%,0)),
IF(リスト!$C$21="さとうきび",IF(OR(AND(K45&gt;=4,J45=調査年),AND(K45&lt;4,J45=調査年+1)),,ROUND(AH45*R45%,0)),
IF(J45=調査年,,ROUND(AH45*R45%,0)))))</f>
        <v>0</v>
      </c>
      <c r="AM45" s="672">
        <f t="shared" si="9"/>
        <v>0</v>
      </c>
      <c r="AN45" s="672">
        <f t="shared" si="10"/>
        <v>0</v>
      </c>
      <c r="AO45" s="672">
        <f t="shared" si="11"/>
        <v>0</v>
      </c>
      <c r="AP45" s="672">
        <f>IF(R45=0,,
SUM(
IF(OR(リスト!$C$21="小麦",リスト!$C$21="二条大麦",リスト!$C$21="六条大麦",リスト!$C$21="はだか麦",リスト!$C$21="なたね"),IF(OR(AND(AA45=1,K45&lt;9,J45=調査年),AND(AA45=1,K45&gt;=9,J45=調査年-1)),ROUND(L45*R45%,0),),
IF(リスト!$C$21="さとうきび",IF(OR(AND(AA45=1,K45&gt;=4,J45=調査年),AND(AA45=1,K45&lt;4,J45=調査年+1)),ROUND(L45*R45%,0),),
IF(AND(AA45=1,J45=調査年),ROUND(L45*R45%,0),))),
ROUND(M45*R45%,0)
))</f>
        <v>0</v>
      </c>
      <c r="AQ45" s="672">
        <f t="shared" si="12"/>
        <v>0</v>
      </c>
      <c r="AR45" s="672">
        <f t="shared" si="13"/>
        <v>0</v>
      </c>
      <c r="AS45" s="672">
        <f t="shared" si="18"/>
        <v>0</v>
      </c>
      <c r="AT45" s="672">
        <f t="shared" si="19"/>
        <v>0</v>
      </c>
      <c r="AU45" s="672">
        <f t="shared" si="14"/>
        <v>0</v>
      </c>
      <c r="AV45" s="672">
        <f t="shared" si="15"/>
        <v>0</v>
      </c>
      <c r="AW45" s="721">
        <f t="shared" si="16"/>
        <v>0</v>
      </c>
      <c r="AX45" s="686"/>
      <c r="AY45" s="686"/>
    </row>
    <row r="46" spans="3:51" s="46" customFormat="1" ht="30.75" hidden="1" customHeight="1" outlineLevel="1">
      <c r="C46" s="722">
        <v>29</v>
      </c>
      <c r="D46" s="687"/>
      <c r="E46" s="723"/>
      <c r="F46" s="724"/>
      <c r="G46" s="1961"/>
      <c r="H46" s="1962"/>
      <c r="I46" s="679"/>
      <c r="J46" s="725"/>
      <c r="K46" s="680"/>
      <c r="L46" s="681"/>
      <c r="M46" s="681"/>
      <c r="N46" s="681"/>
      <c r="O46" s="681"/>
      <c r="P46" s="681"/>
      <c r="Q46" s="681"/>
      <c r="R46" s="1094"/>
      <c r="S46" s="682"/>
      <c r="T46" s="726"/>
      <c r="U46" s="727"/>
      <c r="V46" s="717"/>
      <c r="W46" s="728"/>
      <c r="X46" s="729"/>
      <c r="Z46" s="670">
        <f t="shared" si="2"/>
        <v>0</v>
      </c>
      <c r="AA46" s="670">
        <f t="shared" si="17"/>
        <v>0</v>
      </c>
      <c r="AB46" s="670">
        <f t="shared" si="3"/>
        <v>0</v>
      </c>
      <c r="AC46" s="670">
        <f>IF(Z46=0,,VLOOKUP(Z46,リスト!DC:DD,2,0))</f>
        <v>0</v>
      </c>
      <c r="AD46" s="670">
        <f t="shared" si="4"/>
        <v>0</v>
      </c>
      <c r="AE46" s="671">
        <f>IF(AD46=0,,VLOOKUP(AD46,リスト!DK:DL,2,0))</f>
        <v>0</v>
      </c>
      <c r="AF46" s="670">
        <f>IF(Z46=0,,
IF(OR(リスト!$C$21="小麦",リスト!$C$21="二条大麦",リスト!$C$21="六条大麦",リスト!$C$21="はだか麦",リスト!$C$21="なたね"),IF(K46&lt;9,調査年-J46,調査年-J46-1),
IF(リスト!$C$21="さとうきび",IF(K46&gt;=4,調査年-J46,調査年-J46+1),
調査年-J46)))</f>
        <v>0</v>
      </c>
      <c r="AG46" s="672">
        <f t="shared" si="5"/>
        <v>0</v>
      </c>
      <c r="AH46" s="672">
        <f t="shared" si="6"/>
        <v>0</v>
      </c>
      <c r="AI46" s="672">
        <f t="shared" si="7"/>
        <v>0</v>
      </c>
      <c r="AJ46" s="672">
        <f t="shared" si="8"/>
        <v>0</v>
      </c>
      <c r="AK46" s="394"/>
      <c r="AL46" s="672">
        <f>IF(OR(R46=0,AH46=""),,
IF(OR(リスト!$C$21="小麦",リスト!$C$21="二条大麦",リスト!$C$21="六条大麦",リスト!$C$21="はだか麦",リスト!$C$21="なたね"),IF(OR(AND(K46&lt;9,J46=調査年),AND(K46&gt;=9,J46=調査年-1)),,ROUND(AH46*R46%,0)),
IF(リスト!$C$21="さとうきび",IF(OR(AND(K46&gt;=4,J46=調査年),AND(K46&lt;4,J46=調査年+1)),,ROUND(AH46*R46%,0)),
IF(J46=調査年,,ROUND(AH46*R46%,0)))))</f>
        <v>0</v>
      </c>
      <c r="AM46" s="672">
        <f t="shared" si="9"/>
        <v>0</v>
      </c>
      <c r="AN46" s="672">
        <f t="shared" si="10"/>
        <v>0</v>
      </c>
      <c r="AO46" s="672">
        <f t="shared" si="11"/>
        <v>0</v>
      </c>
      <c r="AP46" s="672">
        <f>IF(R46=0,,
SUM(
IF(OR(リスト!$C$21="小麦",リスト!$C$21="二条大麦",リスト!$C$21="六条大麦",リスト!$C$21="はだか麦",リスト!$C$21="なたね"),IF(OR(AND(AA46=1,K46&lt;9,J46=調査年),AND(AA46=1,K46&gt;=9,J46=調査年-1)),ROUND(L46*R46%,0),),
IF(リスト!$C$21="さとうきび",IF(OR(AND(AA46=1,K46&gt;=4,J46=調査年),AND(AA46=1,K46&lt;4,J46=調査年+1)),ROUND(L46*R46%,0),),
IF(AND(AA46=1,J46=調査年),ROUND(L46*R46%,0),))),
ROUND(M46*R46%,0)
))</f>
        <v>0</v>
      </c>
      <c r="AQ46" s="672">
        <f t="shared" si="12"/>
        <v>0</v>
      </c>
      <c r="AR46" s="672">
        <f t="shared" si="13"/>
        <v>0</v>
      </c>
      <c r="AS46" s="672">
        <f t="shared" si="18"/>
        <v>0</v>
      </c>
      <c r="AT46" s="672">
        <f t="shared" si="19"/>
        <v>0</v>
      </c>
      <c r="AU46" s="672">
        <f t="shared" si="14"/>
        <v>0</v>
      </c>
      <c r="AV46" s="672">
        <f t="shared" si="15"/>
        <v>0</v>
      </c>
      <c r="AW46" s="721">
        <f t="shared" si="16"/>
        <v>0</v>
      </c>
      <c r="AX46" s="686"/>
      <c r="AY46" s="686"/>
    </row>
    <row r="47" spans="3:51" s="46" customFormat="1" ht="30.75" hidden="1" customHeight="1" outlineLevel="1">
      <c r="C47" s="722">
        <v>30</v>
      </c>
      <c r="D47" s="687"/>
      <c r="E47" s="723"/>
      <c r="F47" s="724"/>
      <c r="G47" s="1961"/>
      <c r="H47" s="1962"/>
      <c r="I47" s="679"/>
      <c r="J47" s="725"/>
      <c r="K47" s="680"/>
      <c r="L47" s="681"/>
      <c r="M47" s="681"/>
      <c r="N47" s="681"/>
      <c r="O47" s="681"/>
      <c r="P47" s="681"/>
      <c r="Q47" s="681"/>
      <c r="R47" s="1094"/>
      <c r="S47" s="682"/>
      <c r="T47" s="726"/>
      <c r="U47" s="727"/>
      <c r="V47" s="717"/>
      <c r="W47" s="728"/>
      <c r="X47" s="729"/>
      <c r="Z47" s="670">
        <f t="shared" si="2"/>
        <v>0</v>
      </c>
      <c r="AA47" s="670">
        <f t="shared" si="17"/>
        <v>0</v>
      </c>
      <c r="AB47" s="670">
        <f t="shared" si="3"/>
        <v>0</v>
      </c>
      <c r="AC47" s="670">
        <f>IF(Z47=0,,VLOOKUP(Z47,リスト!DC:DD,2,0))</f>
        <v>0</v>
      </c>
      <c r="AD47" s="670">
        <f t="shared" si="4"/>
        <v>0</v>
      </c>
      <c r="AE47" s="671">
        <f>IF(AD47=0,,VLOOKUP(AD47,リスト!DK:DL,2,0))</f>
        <v>0</v>
      </c>
      <c r="AF47" s="670">
        <f>IF(Z47=0,,
IF(OR(リスト!$C$21="小麦",リスト!$C$21="二条大麦",リスト!$C$21="六条大麦",リスト!$C$21="はだか麦",リスト!$C$21="なたね"),IF(K47&lt;9,調査年-J47,調査年-J47-1),
IF(リスト!$C$21="さとうきび",IF(K47&gt;=4,調査年-J47,調査年-J47+1),
調査年-J47)))</f>
        <v>0</v>
      </c>
      <c r="AG47" s="672">
        <f t="shared" si="5"/>
        <v>0</v>
      </c>
      <c r="AH47" s="672">
        <f t="shared" si="6"/>
        <v>0</v>
      </c>
      <c r="AI47" s="672">
        <f t="shared" si="7"/>
        <v>0</v>
      </c>
      <c r="AJ47" s="672">
        <f t="shared" si="8"/>
        <v>0</v>
      </c>
      <c r="AK47" s="394"/>
      <c r="AL47" s="672">
        <f>IF(OR(R47=0,AH47=""),,
IF(OR(リスト!$C$21="小麦",リスト!$C$21="二条大麦",リスト!$C$21="六条大麦",リスト!$C$21="はだか麦",リスト!$C$21="なたね"),IF(OR(AND(K47&lt;9,J47=調査年),AND(K47&gt;=9,J47=調査年-1)),,ROUND(AH47*R47%,0)),
IF(リスト!$C$21="さとうきび",IF(OR(AND(K47&gt;=4,J47=調査年),AND(K47&lt;4,J47=調査年+1)),,ROUND(AH47*R47%,0)),
IF(J47=調査年,,ROUND(AH47*R47%,0)))))</f>
        <v>0</v>
      </c>
      <c r="AM47" s="672">
        <f t="shared" si="9"/>
        <v>0</v>
      </c>
      <c r="AN47" s="672">
        <f t="shared" si="10"/>
        <v>0</v>
      </c>
      <c r="AO47" s="672">
        <f t="shared" si="11"/>
        <v>0</v>
      </c>
      <c r="AP47" s="672">
        <f>IF(R47=0,,
SUM(
IF(OR(リスト!$C$21="小麦",リスト!$C$21="二条大麦",リスト!$C$21="六条大麦",リスト!$C$21="はだか麦",リスト!$C$21="なたね"),IF(OR(AND(AA47=1,K47&lt;9,J47=調査年),AND(AA47=1,K47&gt;=9,J47=調査年-1)),ROUND(L47*R47%,0),),
IF(リスト!$C$21="さとうきび",IF(OR(AND(AA47=1,K47&gt;=4,J47=調査年),AND(AA47=1,K47&lt;4,J47=調査年+1)),ROUND(L47*R47%,0),),
IF(AND(AA47=1,J47=調査年),ROUND(L47*R47%,0),))),
ROUND(M47*R47%,0)
))</f>
        <v>0</v>
      </c>
      <c r="AQ47" s="672">
        <f t="shared" si="12"/>
        <v>0</v>
      </c>
      <c r="AR47" s="672">
        <f t="shared" si="13"/>
        <v>0</v>
      </c>
      <c r="AS47" s="672">
        <f t="shared" si="18"/>
        <v>0</v>
      </c>
      <c r="AT47" s="672">
        <f t="shared" si="19"/>
        <v>0</v>
      </c>
      <c r="AU47" s="672">
        <f t="shared" si="14"/>
        <v>0</v>
      </c>
      <c r="AV47" s="672">
        <f t="shared" si="15"/>
        <v>0</v>
      </c>
      <c r="AW47" s="721">
        <f t="shared" si="16"/>
        <v>0</v>
      </c>
      <c r="AX47" s="686"/>
      <c r="AY47" s="686"/>
    </row>
    <row r="48" spans="3:51" s="46" customFormat="1" ht="30.75" hidden="1" customHeight="1" outlineLevel="1">
      <c r="C48" s="722">
        <v>31</v>
      </c>
      <c r="D48" s="687"/>
      <c r="E48" s="723"/>
      <c r="F48" s="724"/>
      <c r="G48" s="1961"/>
      <c r="H48" s="1962"/>
      <c r="I48" s="679"/>
      <c r="J48" s="725"/>
      <c r="K48" s="680"/>
      <c r="L48" s="681"/>
      <c r="M48" s="681"/>
      <c r="N48" s="681"/>
      <c r="O48" s="681"/>
      <c r="P48" s="681"/>
      <c r="Q48" s="681"/>
      <c r="R48" s="1094"/>
      <c r="S48" s="682"/>
      <c r="T48" s="726"/>
      <c r="U48" s="727"/>
      <c r="V48" s="717"/>
      <c r="W48" s="728"/>
      <c r="X48" s="729"/>
      <c r="Z48" s="670">
        <f t="shared" si="2"/>
        <v>0</v>
      </c>
      <c r="AA48" s="670">
        <f t="shared" si="17"/>
        <v>0</v>
      </c>
      <c r="AB48" s="670">
        <f t="shared" si="3"/>
        <v>0</v>
      </c>
      <c r="AC48" s="670">
        <f>IF(Z48=0,,VLOOKUP(Z48,リスト!DC:DD,2,0))</f>
        <v>0</v>
      </c>
      <c r="AD48" s="670">
        <f t="shared" si="4"/>
        <v>0</v>
      </c>
      <c r="AE48" s="671">
        <f>IF(AD48=0,,VLOOKUP(AD48,リスト!DK:DL,2,0))</f>
        <v>0</v>
      </c>
      <c r="AF48" s="670">
        <f>IF(Z48=0,,
IF(OR(リスト!$C$21="小麦",リスト!$C$21="二条大麦",リスト!$C$21="六条大麦",リスト!$C$21="はだか麦",リスト!$C$21="なたね"),IF(K48&lt;9,調査年-J48,調査年-J48-1),
IF(リスト!$C$21="さとうきび",IF(K48&gt;=4,調査年-J48,調査年-J48+1),
調査年-J48)))</f>
        <v>0</v>
      </c>
      <c r="AG48" s="672">
        <f t="shared" si="5"/>
        <v>0</v>
      </c>
      <c r="AH48" s="672">
        <f t="shared" si="6"/>
        <v>0</v>
      </c>
      <c r="AI48" s="672">
        <f t="shared" si="7"/>
        <v>0</v>
      </c>
      <c r="AJ48" s="672">
        <f t="shared" si="8"/>
        <v>0</v>
      </c>
      <c r="AK48" s="394"/>
      <c r="AL48" s="672">
        <f>IF(OR(R48=0,AH48=""),,
IF(OR(リスト!$C$21="小麦",リスト!$C$21="二条大麦",リスト!$C$21="六条大麦",リスト!$C$21="はだか麦",リスト!$C$21="なたね"),IF(OR(AND(K48&lt;9,J48=調査年),AND(K48&gt;=9,J48=調査年-1)),,ROUND(AH48*R48%,0)),
IF(リスト!$C$21="さとうきび",IF(OR(AND(K48&gt;=4,J48=調査年),AND(K48&lt;4,J48=調査年+1)),,ROUND(AH48*R48%,0)),
IF(J48=調査年,,ROUND(AH48*R48%,0)))))</f>
        <v>0</v>
      </c>
      <c r="AM48" s="672">
        <f t="shared" si="9"/>
        <v>0</v>
      </c>
      <c r="AN48" s="672">
        <f t="shared" si="10"/>
        <v>0</v>
      </c>
      <c r="AO48" s="672">
        <f t="shared" si="11"/>
        <v>0</v>
      </c>
      <c r="AP48" s="672">
        <f>IF(R48=0,,
SUM(
IF(OR(リスト!$C$21="小麦",リスト!$C$21="二条大麦",リスト!$C$21="六条大麦",リスト!$C$21="はだか麦",リスト!$C$21="なたね"),IF(OR(AND(AA48=1,K48&lt;9,J48=調査年),AND(AA48=1,K48&gt;=9,J48=調査年-1)),ROUND(L48*R48%,0),),
IF(リスト!$C$21="さとうきび",IF(OR(AND(AA48=1,K48&gt;=4,J48=調査年),AND(AA48=1,K48&lt;4,J48=調査年+1)),ROUND(L48*R48%,0),),
IF(AND(AA48=1,J48=調査年),ROUND(L48*R48%,0),))),
ROUND(M48*R48%,0)
))</f>
        <v>0</v>
      </c>
      <c r="AQ48" s="672">
        <f t="shared" si="12"/>
        <v>0</v>
      </c>
      <c r="AR48" s="672">
        <f t="shared" si="13"/>
        <v>0</v>
      </c>
      <c r="AS48" s="672">
        <f t="shared" si="18"/>
        <v>0</v>
      </c>
      <c r="AT48" s="672">
        <f t="shared" si="19"/>
        <v>0</v>
      </c>
      <c r="AU48" s="672">
        <f t="shared" si="14"/>
        <v>0</v>
      </c>
      <c r="AV48" s="672">
        <f t="shared" si="15"/>
        <v>0</v>
      </c>
      <c r="AW48" s="721">
        <f t="shared" si="16"/>
        <v>0</v>
      </c>
      <c r="AX48" s="686"/>
      <c r="AY48" s="686"/>
    </row>
    <row r="49" spans="3:51" s="46" customFormat="1" ht="30.75" hidden="1" customHeight="1" outlineLevel="1">
      <c r="C49" s="722">
        <v>32</v>
      </c>
      <c r="D49" s="675"/>
      <c r="E49" s="723"/>
      <c r="F49" s="724"/>
      <c r="G49" s="1961"/>
      <c r="H49" s="1962"/>
      <c r="I49" s="679"/>
      <c r="J49" s="725"/>
      <c r="K49" s="680"/>
      <c r="L49" s="681"/>
      <c r="M49" s="681"/>
      <c r="N49" s="681"/>
      <c r="O49" s="681"/>
      <c r="P49" s="681"/>
      <c r="Q49" s="681"/>
      <c r="R49" s="1094"/>
      <c r="S49" s="682"/>
      <c r="T49" s="726"/>
      <c r="U49" s="727"/>
      <c r="V49" s="717"/>
      <c r="W49" s="728"/>
      <c r="X49" s="729"/>
      <c r="Z49" s="670">
        <f t="shared" si="2"/>
        <v>0</v>
      </c>
      <c r="AA49" s="670">
        <f t="shared" si="17"/>
        <v>0</v>
      </c>
      <c r="AB49" s="670">
        <f t="shared" si="3"/>
        <v>0</v>
      </c>
      <c r="AC49" s="670">
        <f>IF(Z49=0,,VLOOKUP(Z49,リスト!DC:DD,2,0))</f>
        <v>0</v>
      </c>
      <c r="AD49" s="670">
        <f t="shared" si="4"/>
        <v>0</v>
      </c>
      <c r="AE49" s="671">
        <f>IF(AD49=0,,VLOOKUP(AD49,リスト!DK:DL,2,0))</f>
        <v>0</v>
      </c>
      <c r="AF49" s="670">
        <f>IF(Z49=0,,
IF(OR(リスト!$C$21="小麦",リスト!$C$21="二条大麦",リスト!$C$21="六条大麦",リスト!$C$21="はだか麦",リスト!$C$21="なたね"),IF(K49&lt;9,調査年-J49,調査年-J49-1),
IF(リスト!$C$21="さとうきび",IF(K49&gt;=4,調査年-J49,調査年-J49+1),
調査年-J49)))</f>
        <v>0</v>
      </c>
      <c r="AG49" s="672">
        <f t="shared" si="5"/>
        <v>0</v>
      </c>
      <c r="AH49" s="672">
        <f t="shared" si="6"/>
        <v>0</v>
      </c>
      <c r="AI49" s="672">
        <f t="shared" si="7"/>
        <v>0</v>
      </c>
      <c r="AJ49" s="672">
        <f t="shared" si="8"/>
        <v>0</v>
      </c>
      <c r="AK49" s="394"/>
      <c r="AL49" s="672">
        <f>IF(OR(R49=0,AH49=""),,
IF(OR(リスト!$C$21="小麦",リスト!$C$21="二条大麦",リスト!$C$21="六条大麦",リスト!$C$21="はだか麦",リスト!$C$21="なたね"),IF(OR(AND(K49&lt;9,J49=調査年),AND(K49&gt;=9,J49=調査年-1)),,ROUND(AH49*R49%,0)),
IF(リスト!$C$21="さとうきび",IF(OR(AND(K49&gt;=4,J49=調査年),AND(K49&lt;4,J49=調査年+1)),,ROUND(AH49*R49%,0)),
IF(J49=調査年,,ROUND(AH49*R49%,0)))))</f>
        <v>0</v>
      </c>
      <c r="AM49" s="672">
        <f t="shared" si="9"/>
        <v>0</v>
      </c>
      <c r="AN49" s="672">
        <f t="shared" si="10"/>
        <v>0</v>
      </c>
      <c r="AO49" s="672">
        <f t="shared" si="11"/>
        <v>0</v>
      </c>
      <c r="AP49" s="672">
        <f>IF(R49=0,,
SUM(
IF(OR(リスト!$C$21="小麦",リスト!$C$21="二条大麦",リスト!$C$21="六条大麦",リスト!$C$21="はだか麦",リスト!$C$21="なたね"),IF(OR(AND(AA49=1,K49&lt;9,J49=調査年),AND(AA49=1,K49&gt;=9,J49=調査年-1)),ROUND(L49*R49%,0),),
IF(リスト!$C$21="さとうきび",IF(OR(AND(AA49=1,K49&gt;=4,J49=調査年),AND(AA49=1,K49&lt;4,J49=調査年+1)),ROUND(L49*R49%,0),),
IF(AND(AA49=1,J49=調査年),ROUND(L49*R49%,0),))),
ROUND(M49*R49%,0)
))</f>
        <v>0</v>
      </c>
      <c r="AQ49" s="672">
        <f t="shared" si="12"/>
        <v>0</v>
      </c>
      <c r="AR49" s="672">
        <f t="shared" si="13"/>
        <v>0</v>
      </c>
      <c r="AS49" s="672">
        <f t="shared" si="18"/>
        <v>0</v>
      </c>
      <c r="AT49" s="672">
        <f t="shared" si="19"/>
        <v>0</v>
      </c>
      <c r="AU49" s="672">
        <f t="shared" si="14"/>
        <v>0</v>
      </c>
      <c r="AV49" s="672">
        <f t="shared" si="15"/>
        <v>0</v>
      </c>
      <c r="AW49" s="721">
        <f t="shared" si="16"/>
        <v>0</v>
      </c>
      <c r="AX49" s="686"/>
      <c r="AY49" s="686"/>
    </row>
    <row r="50" spans="3:51" s="46" customFormat="1" ht="30.75" hidden="1" customHeight="1" outlineLevel="1">
      <c r="C50" s="722">
        <v>33</v>
      </c>
      <c r="D50" s="687"/>
      <c r="E50" s="723"/>
      <c r="F50" s="724"/>
      <c r="G50" s="1961"/>
      <c r="H50" s="1962"/>
      <c r="I50" s="679"/>
      <c r="J50" s="725"/>
      <c r="K50" s="680"/>
      <c r="L50" s="681"/>
      <c r="M50" s="681"/>
      <c r="N50" s="681"/>
      <c r="O50" s="681"/>
      <c r="P50" s="681"/>
      <c r="Q50" s="681"/>
      <c r="R50" s="1094"/>
      <c r="S50" s="682"/>
      <c r="T50" s="726"/>
      <c r="U50" s="727"/>
      <c r="V50" s="717"/>
      <c r="W50" s="728"/>
      <c r="X50" s="729"/>
      <c r="Z50" s="670">
        <f t="shared" si="2"/>
        <v>0</v>
      </c>
      <c r="AA50" s="670">
        <f t="shared" si="17"/>
        <v>0</v>
      </c>
      <c r="AB50" s="670">
        <f t="shared" si="3"/>
        <v>0</v>
      </c>
      <c r="AC50" s="670">
        <f>IF(Z50=0,,VLOOKUP(Z50,リスト!DC:DD,2,0))</f>
        <v>0</v>
      </c>
      <c r="AD50" s="670">
        <f t="shared" si="4"/>
        <v>0</v>
      </c>
      <c r="AE50" s="671">
        <f>IF(AD50=0,,VLOOKUP(AD50,リスト!DK:DL,2,0))</f>
        <v>0</v>
      </c>
      <c r="AF50" s="670">
        <f>IF(Z50=0,,
IF(OR(リスト!$C$21="小麦",リスト!$C$21="二条大麦",リスト!$C$21="六条大麦",リスト!$C$21="はだか麦",リスト!$C$21="なたね"),IF(K50&lt;9,調査年-J50,調査年-J50-1),
IF(リスト!$C$21="さとうきび",IF(K50&gt;=4,調査年-J50,調査年-J50+1),
調査年-J50)))</f>
        <v>0</v>
      </c>
      <c r="AG50" s="672">
        <f t="shared" ref="AG50:AG81" si="20">IF(OR(Z50=0,AA50=1),,
IF(AND(AD50&gt;0,AF50&lt;AD50,AH50&lt;=ROUND((L50-1)*AE50,0)),ROUND(AH50,0),
IF(AND(AD50&gt;0,AF50&lt;AD50),ROUND((L50-1)*AE50,0),)))</f>
        <v>0</v>
      </c>
      <c r="AH50" s="672">
        <f t="shared" si="6"/>
        <v>0</v>
      </c>
      <c r="AI50" s="672">
        <f t="shared" si="7"/>
        <v>0</v>
      </c>
      <c r="AJ50" s="672">
        <f t="shared" si="8"/>
        <v>0</v>
      </c>
      <c r="AK50" s="394"/>
      <c r="AL50" s="672">
        <f>IF(OR(R50=0,AH50=""),,
IF(OR(リスト!$C$21="小麦",リスト!$C$21="二条大麦",リスト!$C$21="六条大麦",リスト!$C$21="はだか麦",リスト!$C$21="なたね"),IF(OR(AND(K50&lt;9,J50=調査年),AND(K50&gt;=9,J50=調査年-1)),,ROUND(AH50*R50%,0)),
IF(リスト!$C$21="さとうきび",IF(OR(AND(K50&gt;=4,J50=調査年),AND(K50&lt;4,J50=調査年+1)),,ROUND(AH50*R50%,0)),
IF(J50=調査年,,ROUND(AH50*R50%,0)))))</f>
        <v>0</v>
      </c>
      <c r="AM50" s="672">
        <f t="shared" si="9"/>
        <v>0</v>
      </c>
      <c r="AN50" s="672">
        <f t="shared" si="10"/>
        <v>0</v>
      </c>
      <c r="AO50" s="672">
        <f t="shared" si="11"/>
        <v>0</v>
      </c>
      <c r="AP50" s="672">
        <f>IF(R50=0,,
SUM(
IF(OR(リスト!$C$21="小麦",リスト!$C$21="二条大麦",リスト!$C$21="六条大麦",リスト!$C$21="はだか麦",リスト!$C$21="なたね"),IF(OR(AND(AA50=1,K50&lt;9,J50=調査年),AND(AA50=1,K50&gt;=9,J50=調査年-1)),ROUND(L50*R50%,0),),
IF(リスト!$C$21="さとうきび",IF(OR(AND(AA50=1,K50&gt;=4,J50=調査年),AND(AA50=1,K50&lt;4,J50=調査年+1)),ROUND(L50*R50%,0),),
IF(AND(AA50=1,J50=調査年),ROUND(L50*R50%,0),))),
ROUND(M50*R50%,0)
))</f>
        <v>0</v>
      </c>
      <c r="AQ50" s="672">
        <f t="shared" si="12"/>
        <v>0</v>
      </c>
      <c r="AR50" s="672">
        <f t="shared" si="13"/>
        <v>0</v>
      </c>
      <c r="AS50" s="672">
        <f t="shared" si="18"/>
        <v>0</v>
      </c>
      <c r="AT50" s="672">
        <f t="shared" si="19"/>
        <v>0</v>
      </c>
      <c r="AU50" s="672">
        <f t="shared" si="14"/>
        <v>0</v>
      </c>
      <c r="AV50" s="672">
        <f t="shared" si="15"/>
        <v>0</v>
      </c>
      <c r="AW50" s="721">
        <f t="shared" si="16"/>
        <v>0</v>
      </c>
      <c r="AX50" s="686"/>
      <c r="AY50" s="686"/>
    </row>
    <row r="51" spans="3:51" s="46" customFormat="1" ht="30.75" hidden="1" customHeight="1" outlineLevel="1">
      <c r="C51" s="722">
        <v>34</v>
      </c>
      <c r="D51" s="687"/>
      <c r="E51" s="723"/>
      <c r="F51" s="724"/>
      <c r="G51" s="1961"/>
      <c r="H51" s="1962"/>
      <c r="I51" s="679"/>
      <c r="J51" s="725"/>
      <c r="K51" s="680"/>
      <c r="L51" s="681"/>
      <c r="M51" s="681"/>
      <c r="N51" s="681"/>
      <c r="O51" s="681"/>
      <c r="P51" s="681"/>
      <c r="Q51" s="681"/>
      <c r="R51" s="1094"/>
      <c r="S51" s="682"/>
      <c r="T51" s="726"/>
      <c r="U51" s="727"/>
      <c r="V51" s="717"/>
      <c r="W51" s="728"/>
      <c r="X51" s="729"/>
      <c r="Z51" s="670">
        <f t="shared" si="2"/>
        <v>0</v>
      </c>
      <c r="AA51" s="670">
        <f t="shared" si="17"/>
        <v>0</v>
      </c>
      <c r="AB51" s="670">
        <f t="shared" si="3"/>
        <v>0</v>
      </c>
      <c r="AC51" s="670">
        <f>IF(Z51=0,,VLOOKUP(Z51,リスト!DC:DD,2,0))</f>
        <v>0</v>
      </c>
      <c r="AD51" s="670">
        <f t="shared" si="4"/>
        <v>0</v>
      </c>
      <c r="AE51" s="671">
        <f>IF(AD51=0,,VLOOKUP(AD51,リスト!DK:DL,2,0))</f>
        <v>0</v>
      </c>
      <c r="AF51" s="670">
        <f>IF(Z51=0,,
IF(OR(リスト!$C$21="小麦",リスト!$C$21="二条大麦",リスト!$C$21="六条大麦",リスト!$C$21="はだか麦",リスト!$C$21="なたね"),IF(K51&lt;9,調査年-J51,調査年-J51-1),
IF(リスト!$C$21="さとうきび",IF(K51&gt;=4,調査年-J51,調査年-J51+1),
調査年-J51)))</f>
        <v>0</v>
      </c>
      <c r="AG51" s="672">
        <f t="shared" si="20"/>
        <v>0</v>
      </c>
      <c r="AH51" s="672">
        <f t="shared" si="6"/>
        <v>0</v>
      </c>
      <c r="AI51" s="672">
        <f t="shared" si="7"/>
        <v>0</v>
      </c>
      <c r="AJ51" s="672">
        <f t="shared" si="8"/>
        <v>0</v>
      </c>
      <c r="AK51" s="394"/>
      <c r="AL51" s="672">
        <f>IF(OR(R51=0,AH51=""),,
IF(OR(リスト!$C$21="小麦",リスト!$C$21="二条大麦",リスト!$C$21="六条大麦",リスト!$C$21="はだか麦",リスト!$C$21="なたね"),IF(OR(AND(K51&lt;9,J51=調査年),AND(K51&gt;=9,J51=調査年-1)),,ROUND(AH51*R51%,0)),
IF(リスト!$C$21="さとうきび",IF(OR(AND(K51&gt;=4,J51=調査年),AND(K51&lt;4,J51=調査年+1)),,ROUND(AH51*R51%,0)),
IF(J51=調査年,,ROUND(AH51*R51%,0)))))</f>
        <v>0</v>
      </c>
      <c r="AM51" s="672">
        <f t="shared" si="9"/>
        <v>0</v>
      </c>
      <c r="AN51" s="672">
        <f t="shared" si="10"/>
        <v>0</v>
      </c>
      <c r="AO51" s="672">
        <f t="shared" si="11"/>
        <v>0</v>
      </c>
      <c r="AP51" s="672">
        <f>IF(R51=0,,
SUM(
IF(OR(リスト!$C$21="小麦",リスト!$C$21="二条大麦",リスト!$C$21="六条大麦",リスト!$C$21="はだか麦",リスト!$C$21="なたね"),IF(OR(AND(AA51=1,K51&lt;9,J51=調査年),AND(AA51=1,K51&gt;=9,J51=調査年-1)),ROUND(L51*R51%,0),),
IF(リスト!$C$21="さとうきび",IF(OR(AND(AA51=1,K51&gt;=4,J51=調査年),AND(AA51=1,K51&lt;4,J51=調査年+1)),ROUND(L51*R51%,0),),
IF(AND(AA51=1,J51=調査年),ROUND(L51*R51%,0),))),
ROUND(M51*R51%,0)
))</f>
        <v>0</v>
      </c>
      <c r="AQ51" s="672">
        <f t="shared" si="12"/>
        <v>0</v>
      </c>
      <c r="AR51" s="672">
        <f t="shared" si="13"/>
        <v>0</v>
      </c>
      <c r="AS51" s="672">
        <f t="shared" si="18"/>
        <v>0</v>
      </c>
      <c r="AT51" s="672">
        <f t="shared" si="19"/>
        <v>0</v>
      </c>
      <c r="AU51" s="672">
        <f t="shared" si="14"/>
        <v>0</v>
      </c>
      <c r="AV51" s="672">
        <f t="shared" si="15"/>
        <v>0</v>
      </c>
      <c r="AW51" s="721">
        <f t="shared" si="16"/>
        <v>0</v>
      </c>
      <c r="AX51" s="686"/>
      <c r="AY51" s="686"/>
    </row>
    <row r="52" spans="3:51" s="46" customFormat="1" ht="30.75" hidden="1" customHeight="1" outlineLevel="1">
      <c r="C52" s="722">
        <v>35</v>
      </c>
      <c r="D52" s="687"/>
      <c r="E52" s="723"/>
      <c r="F52" s="724"/>
      <c r="G52" s="1961"/>
      <c r="H52" s="1962"/>
      <c r="I52" s="679"/>
      <c r="J52" s="725"/>
      <c r="K52" s="680"/>
      <c r="L52" s="681"/>
      <c r="M52" s="681"/>
      <c r="N52" s="681"/>
      <c r="O52" s="681"/>
      <c r="P52" s="681"/>
      <c r="Q52" s="681"/>
      <c r="R52" s="1094"/>
      <c r="S52" s="682"/>
      <c r="T52" s="726"/>
      <c r="U52" s="727"/>
      <c r="V52" s="717"/>
      <c r="W52" s="728"/>
      <c r="X52" s="729"/>
      <c r="Z52" s="670">
        <f t="shared" si="2"/>
        <v>0</v>
      </c>
      <c r="AA52" s="670">
        <f t="shared" si="17"/>
        <v>0</v>
      </c>
      <c r="AB52" s="670">
        <f t="shared" si="3"/>
        <v>0</v>
      </c>
      <c r="AC52" s="670">
        <f>IF(Z52=0,,VLOOKUP(Z52,リスト!DC:DD,2,0))</f>
        <v>0</v>
      </c>
      <c r="AD52" s="670">
        <f t="shared" si="4"/>
        <v>0</v>
      </c>
      <c r="AE52" s="671">
        <f>IF(AD52=0,,VLOOKUP(AD52,リスト!DK:DL,2,0))</f>
        <v>0</v>
      </c>
      <c r="AF52" s="670">
        <f>IF(Z52=0,,
IF(OR(リスト!$C$21="小麦",リスト!$C$21="二条大麦",リスト!$C$21="六条大麦",リスト!$C$21="はだか麦",リスト!$C$21="なたね"),IF(K52&lt;9,調査年-J52,調査年-J52-1),
IF(リスト!$C$21="さとうきび",IF(K52&gt;=4,調査年-J52,調査年-J52+1),
調査年-J52)))</f>
        <v>0</v>
      </c>
      <c r="AG52" s="672">
        <f t="shared" si="20"/>
        <v>0</v>
      </c>
      <c r="AH52" s="672">
        <f t="shared" si="6"/>
        <v>0</v>
      </c>
      <c r="AI52" s="672">
        <f t="shared" si="7"/>
        <v>0</v>
      </c>
      <c r="AJ52" s="672">
        <f t="shared" si="8"/>
        <v>0</v>
      </c>
      <c r="AK52" s="394"/>
      <c r="AL52" s="672">
        <f>IF(OR(R52=0,AH52=""),,
IF(OR(リスト!$C$21="小麦",リスト!$C$21="二条大麦",リスト!$C$21="六条大麦",リスト!$C$21="はだか麦",リスト!$C$21="なたね"),IF(OR(AND(K52&lt;9,J52=調査年),AND(K52&gt;=9,J52=調査年-1)),,ROUND(AH52*R52%,0)),
IF(リスト!$C$21="さとうきび",IF(OR(AND(K52&gt;=4,J52=調査年),AND(K52&lt;4,J52=調査年+1)),,ROUND(AH52*R52%,0)),
IF(J52=調査年,,ROUND(AH52*R52%,0)))))</f>
        <v>0</v>
      </c>
      <c r="AM52" s="672">
        <f t="shared" si="9"/>
        <v>0</v>
      </c>
      <c r="AN52" s="672">
        <f t="shared" si="10"/>
        <v>0</v>
      </c>
      <c r="AO52" s="672">
        <f t="shared" si="11"/>
        <v>0</v>
      </c>
      <c r="AP52" s="672">
        <f>IF(R52=0,,
SUM(
IF(OR(リスト!$C$21="小麦",リスト!$C$21="二条大麦",リスト!$C$21="六条大麦",リスト!$C$21="はだか麦",リスト!$C$21="なたね"),IF(OR(AND(AA52=1,K52&lt;9,J52=調査年),AND(AA52=1,K52&gt;=9,J52=調査年-1)),ROUND(L52*R52%,0),),
IF(リスト!$C$21="さとうきび",IF(OR(AND(AA52=1,K52&gt;=4,J52=調査年),AND(AA52=1,K52&lt;4,J52=調査年+1)),ROUND(L52*R52%,0),),
IF(AND(AA52=1,J52=調査年),ROUND(L52*R52%,0),))),
ROUND(M52*R52%,0)
))</f>
        <v>0</v>
      </c>
      <c r="AQ52" s="672">
        <f t="shared" si="12"/>
        <v>0</v>
      </c>
      <c r="AR52" s="672">
        <f t="shared" si="13"/>
        <v>0</v>
      </c>
      <c r="AS52" s="672">
        <f t="shared" si="18"/>
        <v>0</v>
      </c>
      <c r="AT52" s="672">
        <f t="shared" si="19"/>
        <v>0</v>
      </c>
      <c r="AU52" s="672">
        <f t="shared" si="14"/>
        <v>0</v>
      </c>
      <c r="AV52" s="672">
        <f t="shared" si="15"/>
        <v>0</v>
      </c>
      <c r="AW52" s="721">
        <f t="shared" si="16"/>
        <v>0</v>
      </c>
      <c r="AX52" s="686"/>
      <c r="AY52" s="686"/>
    </row>
    <row r="53" spans="3:51" s="46" customFormat="1" ht="30.75" hidden="1" customHeight="1" outlineLevel="1">
      <c r="C53" s="722">
        <v>36</v>
      </c>
      <c r="D53" s="687"/>
      <c r="E53" s="731"/>
      <c r="F53" s="732"/>
      <c r="G53" s="1965"/>
      <c r="H53" s="1966"/>
      <c r="I53" s="733"/>
      <c r="J53" s="734"/>
      <c r="K53" s="735"/>
      <c r="L53" s="736"/>
      <c r="M53" s="736"/>
      <c r="N53" s="736"/>
      <c r="O53" s="736"/>
      <c r="P53" s="736"/>
      <c r="Q53" s="736"/>
      <c r="R53" s="1094"/>
      <c r="S53" s="737"/>
      <c r="T53" s="738"/>
      <c r="U53" s="739"/>
      <c r="V53" s="717"/>
      <c r="W53" s="728"/>
      <c r="X53" s="729"/>
      <c r="Z53" s="670">
        <f t="shared" si="2"/>
        <v>0</v>
      </c>
      <c r="AA53" s="670">
        <f t="shared" si="17"/>
        <v>0</v>
      </c>
      <c r="AB53" s="670">
        <f t="shared" si="3"/>
        <v>0</v>
      </c>
      <c r="AC53" s="670">
        <f>IF(Z53=0,,VLOOKUP(Z53,リスト!DC:DD,2,0))</f>
        <v>0</v>
      </c>
      <c r="AD53" s="670">
        <f t="shared" si="4"/>
        <v>0</v>
      </c>
      <c r="AE53" s="671">
        <f>IF(AD53=0,,VLOOKUP(AD53,リスト!DK:DL,2,0))</f>
        <v>0</v>
      </c>
      <c r="AF53" s="670">
        <f>IF(Z53=0,,
IF(OR(リスト!$C$21="小麦",リスト!$C$21="二条大麦",リスト!$C$21="六条大麦",リスト!$C$21="はだか麦",リスト!$C$21="なたね"),IF(K53&lt;9,調査年-J53,調査年-J53-1),
IF(リスト!$C$21="さとうきび",IF(K53&gt;=4,調査年-J53,調査年-J53+1),
調査年-J53)))</f>
        <v>0</v>
      </c>
      <c r="AG53" s="672">
        <f t="shared" si="20"/>
        <v>0</v>
      </c>
      <c r="AH53" s="672">
        <f t="shared" si="6"/>
        <v>0</v>
      </c>
      <c r="AI53" s="672">
        <f t="shared" si="7"/>
        <v>0</v>
      </c>
      <c r="AJ53" s="672">
        <f t="shared" si="8"/>
        <v>0</v>
      </c>
      <c r="AK53" s="394"/>
      <c r="AL53" s="672">
        <f>IF(OR(R53=0,AH53=""),,
IF(OR(リスト!$C$21="小麦",リスト!$C$21="二条大麦",リスト!$C$21="六条大麦",リスト!$C$21="はだか麦",リスト!$C$21="なたね"),IF(OR(AND(K53&lt;9,J53=調査年),AND(K53&gt;=9,J53=調査年-1)),,ROUND(AH53*R53%,0)),
IF(リスト!$C$21="さとうきび",IF(OR(AND(K53&gt;=4,J53=調査年),AND(K53&lt;4,J53=調査年+1)),,ROUND(AH53*R53%,0)),
IF(J53=調査年,,ROUND(AH53*R53%,0)))))</f>
        <v>0</v>
      </c>
      <c r="AM53" s="672">
        <f t="shared" si="9"/>
        <v>0</v>
      </c>
      <c r="AN53" s="672">
        <f t="shared" si="10"/>
        <v>0</v>
      </c>
      <c r="AO53" s="672">
        <f t="shared" si="11"/>
        <v>0</v>
      </c>
      <c r="AP53" s="672">
        <f>IF(R53=0,,
SUM(
IF(OR(リスト!$C$21="小麦",リスト!$C$21="二条大麦",リスト!$C$21="六条大麦",リスト!$C$21="はだか麦",リスト!$C$21="なたね"),IF(OR(AND(AA53=1,K53&lt;9,J53=調査年),AND(AA53=1,K53&gt;=9,J53=調査年-1)),ROUND(L53*R53%,0),),
IF(リスト!$C$21="さとうきび",IF(OR(AND(AA53=1,K53&gt;=4,J53=調査年),AND(AA53=1,K53&lt;4,J53=調査年+1)),ROUND(L53*R53%,0),),
IF(AND(AA53=1,J53=調査年),ROUND(L53*R53%,0),))),
ROUND(M53*R53%,0)
))</f>
        <v>0</v>
      </c>
      <c r="AQ53" s="672">
        <f t="shared" si="12"/>
        <v>0</v>
      </c>
      <c r="AR53" s="672">
        <f t="shared" si="13"/>
        <v>0</v>
      </c>
      <c r="AS53" s="672">
        <f t="shared" si="18"/>
        <v>0</v>
      </c>
      <c r="AT53" s="672">
        <f t="shared" si="19"/>
        <v>0</v>
      </c>
      <c r="AU53" s="672">
        <f t="shared" si="14"/>
        <v>0</v>
      </c>
      <c r="AV53" s="672">
        <f t="shared" si="15"/>
        <v>0</v>
      </c>
      <c r="AW53" s="721">
        <f t="shared" si="16"/>
        <v>0</v>
      </c>
      <c r="AX53" s="686"/>
      <c r="AY53" s="686"/>
    </row>
    <row r="54" spans="3:51" s="46" customFormat="1" ht="30.75" hidden="1" customHeight="1" outlineLevel="1">
      <c r="C54" s="722">
        <v>37</v>
      </c>
      <c r="D54" s="687"/>
      <c r="E54" s="723"/>
      <c r="F54" s="724"/>
      <c r="G54" s="1961"/>
      <c r="H54" s="1962"/>
      <c r="I54" s="679"/>
      <c r="J54" s="725"/>
      <c r="K54" s="680"/>
      <c r="L54" s="681"/>
      <c r="M54" s="681"/>
      <c r="N54" s="681"/>
      <c r="O54" s="681"/>
      <c r="P54" s="681"/>
      <c r="Q54" s="681"/>
      <c r="R54" s="1094"/>
      <c r="S54" s="682"/>
      <c r="T54" s="726"/>
      <c r="U54" s="727"/>
      <c r="V54" s="717"/>
      <c r="W54" s="728"/>
      <c r="X54" s="729"/>
      <c r="Z54" s="670">
        <f t="shared" si="2"/>
        <v>0</v>
      </c>
      <c r="AA54" s="670">
        <f t="shared" si="17"/>
        <v>0</v>
      </c>
      <c r="AB54" s="670">
        <f t="shared" si="3"/>
        <v>0</v>
      </c>
      <c r="AC54" s="670">
        <f>IF(Z54=0,,VLOOKUP(Z54,リスト!DC:DD,2,0))</f>
        <v>0</v>
      </c>
      <c r="AD54" s="670">
        <f t="shared" si="4"/>
        <v>0</v>
      </c>
      <c r="AE54" s="671">
        <f>IF(AD54=0,,VLOOKUP(AD54,リスト!DK:DL,2,0))</f>
        <v>0</v>
      </c>
      <c r="AF54" s="670">
        <f>IF(Z54=0,,
IF(OR(リスト!$C$21="小麦",リスト!$C$21="二条大麦",リスト!$C$21="六条大麦",リスト!$C$21="はだか麦",リスト!$C$21="なたね"),IF(K54&lt;9,調査年-J54,調査年-J54-1),
IF(リスト!$C$21="さとうきび",IF(K54&gt;=4,調査年-J54,調査年-J54+1),
調査年-J54)))</f>
        <v>0</v>
      </c>
      <c r="AG54" s="672">
        <f t="shared" si="20"/>
        <v>0</v>
      </c>
      <c r="AH54" s="672">
        <f t="shared" si="6"/>
        <v>0</v>
      </c>
      <c r="AI54" s="672">
        <f t="shared" si="7"/>
        <v>0</v>
      </c>
      <c r="AJ54" s="672">
        <f t="shared" si="8"/>
        <v>0</v>
      </c>
      <c r="AK54" s="394"/>
      <c r="AL54" s="672">
        <f>IF(OR(R54=0,AH54=""),,
IF(OR(リスト!$C$21="小麦",リスト!$C$21="二条大麦",リスト!$C$21="六条大麦",リスト!$C$21="はだか麦",リスト!$C$21="なたね"),IF(OR(AND(K54&lt;9,J54=調査年),AND(K54&gt;=9,J54=調査年-1)),,ROUND(AH54*R54%,0)),
IF(リスト!$C$21="さとうきび",IF(OR(AND(K54&gt;=4,J54=調査年),AND(K54&lt;4,J54=調査年+1)),,ROUND(AH54*R54%,0)),
IF(J54=調査年,,ROUND(AH54*R54%,0)))))</f>
        <v>0</v>
      </c>
      <c r="AM54" s="672">
        <f t="shared" si="9"/>
        <v>0</v>
      </c>
      <c r="AN54" s="672">
        <f t="shared" si="10"/>
        <v>0</v>
      </c>
      <c r="AO54" s="672">
        <f t="shared" si="11"/>
        <v>0</v>
      </c>
      <c r="AP54" s="672">
        <f>IF(R54=0,,
SUM(
IF(OR(リスト!$C$21="小麦",リスト!$C$21="二条大麦",リスト!$C$21="六条大麦",リスト!$C$21="はだか麦",リスト!$C$21="なたね"),IF(OR(AND(AA54=1,K54&lt;9,J54=調査年),AND(AA54=1,K54&gt;=9,J54=調査年-1)),ROUND(L54*R54%,0),),
IF(リスト!$C$21="さとうきび",IF(OR(AND(AA54=1,K54&gt;=4,J54=調査年),AND(AA54=1,K54&lt;4,J54=調査年+1)),ROUND(L54*R54%,0),),
IF(AND(AA54=1,J54=調査年),ROUND(L54*R54%,0),))),
ROUND(M54*R54%,0)
))</f>
        <v>0</v>
      </c>
      <c r="AQ54" s="672">
        <f t="shared" si="12"/>
        <v>0</v>
      </c>
      <c r="AR54" s="672">
        <f t="shared" si="13"/>
        <v>0</v>
      </c>
      <c r="AS54" s="672">
        <f t="shared" si="18"/>
        <v>0</v>
      </c>
      <c r="AT54" s="672">
        <f t="shared" si="19"/>
        <v>0</v>
      </c>
      <c r="AU54" s="672">
        <f t="shared" si="14"/>
        <v>0</v>
      </c>
      <c r="AV54" s="672">
        <f t="shared" si="15"/>
        <v>0</v>
      </c>
      <c r="AW54" s="721">
        <f t="shared" si="16"/>
        <v>0</v>
      </c>
      <c r="AX54" s="686"/>
      <c r="AY54" s="686"/>
    </row>
    <row r="55" spans="3:51" s="46" customFormat="1" ht="30.75" hidden="1" customHeight="1" outlineLevel="1">
      <c r="C55" s="722">
        <v>38</v>
      </c>
      <c r="D55" s="687"/>
      <c r="E55" s="723"/>
      <c r="F55" s="724"/>
      <c r="G55" s="1961"/>
      <c r="H55" s="1962"/>
      <c r="I55" s="679"/>
      <c r="J55" s="725"/>
      <c r="K55" s="680"/>
      <c r="L55" s="681"/>
      <c r="M55" s="681"/>
      <c r="N55" s="681"/>
      <c r="O55" s="681"/>
      <c r="P55" s="681"/>
      <c r="Q55" s="681"/>
      <c r="R55" s="1094"/>
      <c r="S55" s="682"/>
      <c r="T55" s="726"/>
      <c r="U55" s="727"/>
      <c r="V55" s="717"/>
      <c r="W55" s="728"/>
      <c r="X55" s="729"/>
      <c r="Z55" s="670">
        <f t="shared" si="2"/>
        <v>0</v>
      </c>
      <c r="AA55" s="670">
        <f t="shared" si="17"/>
        <v>0</v>
      </c>
      <c r="AB55" s="670">
        <f t="shared" si="3"/>
        <v>0</v>
      </c>
      <c r="AC55" s="670">
        <f>IF(Z55=0,,VLOOKUP(Z55,リスト!DC:DD,2,0))</f>
        <v>0</v>
      </c>
      <c r="AD55" s="670">
        <f t="shared" si="4"/>
        <v>0</v>
      </c>
      <c r="AE55" s="671">
        <f>IF(AD55=0,,VLOOKUP(AD55,リスト!DK:DL,2,0))</f>
        <v>0</v>
      </c>
      <c r="AF55" s="670">
        <f>IF(Z55=0,,
IF(OR(リスト!$C$21="小麦",リスト!$C$21="二条大麦",リスト!$C$21="六条大麦",リスト!$C$21="はだか麦",リスト!$C$21="なたね"),IF(K55&lt;9,調査年-J55,調査年-J55-1),
IF(リスト!$C$21="さとうきび",IF(K55&gt;=4,調査年-J55,調査年-J55+1),
調査年-J55)))</f>
        <v>0</v>
      </c>
      <c r="AG55" s="672">
        <f t="shared" si="20"/>
        <v>0</v>
      </c>
      <c r="AH55" s="672">
        <f t="shared" si="6"/>
        <v>0</v>
      </c>
      <c r="AI55" s="672">
        <f t="shared" si="7"/>
        <v>0</v>
      </c>
      <c r="AJ55" s="672">
        <f t="shared" si="8"/>
        <v>0</v>
      </c>
      <c r="AK55" s="394"/>
      <c r="AL55" s="672">
        <f>IF(OR(R55=0,AH55=""),,
IF(OR(リスト!$C$21="小麦",リスト!$C$21="二条大麦",リスト!$C$21="六条大麦",リスト!$C$21="はだか麦",リスト!$C$21="なたね"),IF(OR(AND(K55&lt;9,J55=調査年),AND(K55&gt;=9,J55=調査年-1)),,ROUND(AH55*R55%,0)),
IF(リスト!$C$21="さとうきび",IF(OR(AND(K55&gt;=4,J55=調査年),AND(K55&lt;4,J55=調査年+1)),,ROUND(AH55*R55%,0)),
IF(J55=調査年,,ROUND(AH55*R55%,0)))))</f>
        <v>0</v>
      </c>
      <c r="AM55" s="672">
        <f t="shared" si="9"/>
        <v>0</v>
      </c>
      <c r="AN55" s="672">
        <f t="shared" si="10"/>
        <v>0</v>
      </c>
      <c r="AO55" s="672">
        <f t="shared" si="11"/>
        <v>0</v>
      </c>
      <c r="AP55" s="672">
        <f>IF(R55=0,,
SUM(
IF(OR(リスト!$C$21="小麦",リスト!$C$21="二条大麦",リスト!$C$21="六条大麦",リスト!$C$21="はだか麦",リスト!$C$21="なたね"),IF(OR(AND(AA55=1,K55&lt;9,J55=調査年),AND(AA55=1,K55&gt;=9,J55=調査年-1)),ROUND(L55*R55%,0),),
IF(リスト!$C$21="さとうきび",IF(OR(AND(AA55=1,K55&gt;=4,J55=調査年),AND(AA55=1,K55&lt;4,J55=調査年+1)),ROUND(L55*R55%,0),),
IF(AND(AA55=1,J55=調査年),ROUND(L55*R55%,0),))),
ROUND(M55*R55%,0)
))</f>
        <v>0</v>
      </c>
      <c r="AQ55" s="672">
        <f t="shared" si="12"/>
        <v>0</v>
      </c>
      <c r="AR55" s="672">
        <f t="shared" si="13"/>
        <v>0</v>
      </c>
      <c r="AS55" s="672">
        <f t="shared" si="18"/>
        <v>0</v>
      </c>
      <c r="AT55" s="672">
        <f t="shared" si="19"/>
        <v>0</v>
      </c>
      <c r="AU55" s="672">
        <f t="shared" si="14"/>
        <v>0</v>
      </c>
      <c r="AV55" s="672">
        <f t="shared" si="15"/>
        <v>0</v>
      </c>
      <c r="AW55" s="721">
        <f t="shared" si="16"/>
        <v>0</v>
      </c>
      <c r="AX55" s="686"/>
      <c r="AY55" s="686"/>
    </row>
    <row r="56" spans="3:51" s="46" customFormat="1" ht="30.75" hidden="1" customHeight="1" outlineLevel="1">
      <c r="C56" s="722">
        <v>39</v>
      </c>
      <c r="D56" s="687"/>
      <c r="E56" s="723"/>
      <c r="F56" s="724"/>
      <c r="G56" s="1961"/>
      <c r="H56" s="1962"/>
      <c r="I56" s="679"/>
      <c r="J56" s="725"/>
      <c r="K56" s="680"/>
      <c r="L56" s="681"/>
      <c r="M56" s="681"/>
      <c r="N56" s="681"/>
      <c r="O56" s="681"/>
      <c r="P56" s="681"/>
      <c r="Q56" s="681"/>
      <c r="R56" s="1094"/>
      <c r="S56" s="682"/>
      <c r="T56" s="726"/>
      <c r="U56" s="727"/>
      <c r="V56" s="717"/>
      <c r="W56" s="728"/>
      <c r="X56" s="729"/>
      <c r="Z56" s="670">
        <f t="shared" si="2"/>
        <v>0</v>
      </c>
      <c r="AA56" s="670">
        <f t="shared" si="17"/>
        <v>0</v>
      </c>
      <c r="AB56" s="670">
        <f t="shared" si="3"/>
        <v>0</v>
      </c>
      <c r="AC56" s="670">
        <f>IF(Z56=0,,VLOOKUP(Z56,リスト!DC:DD,2,0))</f>
        <v>0</v>
      </c>
      <c r="AD56" s="670">
        <f t="shared" si="4"/>
        <v>0</v>
      </c>
      <c r="AE56" s="671">
        <f>IF(AD56=0,,VLOOKUP(AD56,リスト!DK:DL,2,0))</f>
        <v>0</v>
      </c>
      <c r="AF56" s="670">
        <f>IF(Z56=0,,
IF(OR(リスト!$C$21="小麦",リスト!$C$21="二条大麦",リスト!$C$21="六条大麦",リスト!$C$21="はだか麦",リスト!$C$21="なたね"),IF(K56&lt;9,調査年-J56,調査年-J56-1),
IF(リスト!$C$21="さとうきび",IF(K56&gt;=4,調査年-J56,調査年-J56+1),
調査年-J56)))</f>
        <v>0</v>
      </c>
      <c r="AG56" s="672">
        <f t="shared" si="20"/>
        <v>0</v>
      </c>
      <c r="AH56" s="672">
        <f t="shared" si="6"/>
        <v>0</v>
      </c>
      <c r="AI56" s="672">
        <f t="shared" si="7"/>
        <v>0</v>
      </c>
      <c r="AJ56" s="672">
        <f t="shared" si="8"/>
        <v>0</v>
      </c>
      <c r="AK56" s="394"/>
      <c r="AL56" s="672">
        <f>IF(OR(R56=0,AH56=""),,
IF(OR(リスト!$C$21="小麦",リスト!$C$21="二条大麦",リスト!$C$21="六条大麦",リスト!$C$21="はだか麦",リスト!$C$21="なたね"),IF(OR(AND(K56&lt;9,J56=調査年),AND(K56&gt;=9,J56=調査年-1)),,ROUND(AH56*R56%,0)),
IF(リスト!$C$21="さとうきび",IF(OR(AND(K56&gt;=4,J56=調査年),AND(K56&lt;4,J56=調査年+1)),,ROUND(AH56*R56%,0)),
IF(J56=調査年,,ROUND(AH56*R56%,0)))))</f>
        <v>0</v>
      </c>
      <c r="AM56" s="672">
        <f t="shared" si="9"/>
        <v>0</v>
      </c>
      <c r="AN56" s="672">
        <f t="shared" si="10"/>
        <v>0</v>
      </c>
      <c r="AO56" s="672">
        <f t="shared" si="11"/>
        <v>0</v>
      </c>
      <c r="AP56" s="672">
        <f>IF(R56=0,,
SUM(
IF(OR(リスト!$C$21="小麦",リスト!$C$21="二条大麦",リスト!$C$21="六条大麦",リスト!$C$21="はだか麦",リスト!$C$21="なたね"),IF(OR(AND(AA56=1,K56&lt;9,J56=調査年),AND(AA56=1,K56&gt;=9,J56=調査年-1)),ROUND(L56*R56%,0),),
IF(リスト!$C$21="さとうきび",IF(OR(AND(AA56=1,K56&gt;=4,J56=調査年),AND(AA56=1,K56&lt;4,J56=調査年+1)),ROUND(L56*R56%,0),),
IF(AND(AA56=1,J56=調査年),ROUND(L56*R56%,0),))),
ROUND(M56*R56%,0)
))</f>
        <v>0</v>
      </c>
      <c r="AQ56" s="672">
        <f t="shared" si="12"/>
        <v>0</v>
      </c>
      <c r="AR56" s="672">
        <f t="shared" si="13"/>
        <v>0</v>
      </c>
      <c r="AS56" s="672">
        <f t="shared" si="18"/>
        <v>0</v>
      </c>
      <c r="AT56" s="672">
        <f t="shared" si="19"/>
        <v>0</v>
      </c>
      <c r="AU56" s="672">
        <f t="shared" si="14"/>
        <v>0</v>
      </c>
      <c r="AV56" s="672">
        <f t="shared" si="15"/>
        <v>0</v>
      </c>
      <c r="AW56" s="721">
        <f t="shared" si="16"/>
        <v>0</v>
      </c>
      <c r="AX56" s="686"/>
      <c r="AY56" s="686"/>
    </row>
    <row r="57" spans="3:51" s="46" customFormat="1" ht="30.75" hidden="1" customHeight="1" outlineLevel="1">
      <c r="C57" s="722">
        <v>40</v>
      </c>
      <c r="D57" s="687"/>
      <c r="E57" s="723"/>
      <c r="F57" s="724"/>
      <c r="G57" s="1961"/>
      <c r="H57" s="1962"/>
      <c r="I57" s="679"/>
      <c r="J57" s="725"/>
      <c r="K57" s="680"/>
      <c r="L57" s="681"/>
      <c r="M57" s="681"/>
      <c r="N57" s="681"/>
      <c r="O57" s="681"/>
      <c r="P57" s="681"/>
      <c r="Q57" s="681"/>
      <c r="R57" s="1094"/>
      <c r="S57" s="682"/>
      <c r="T57" s="726"/>
      <c r="U57" s="727"/>
      <c r="V57" s="717"/>
      <c r="W57" s="728"/>
      <c r="X57" s="729"/>
      <c r="Z57" s="670">
        <f t="shared" si="2"/>
        <v>0</v>
      </c>
      <c r="AA57" s="670">
        <f t="shared" si="17"/>
        <v>0</v>
      </c>
      <c r="AB57" s="670">
        <f t="shared" si="3"/>
        <v>0</v>
      </c>
      <c r="AC57" s="670">
        <f>IF(Z57=0,,VLOOKUP(Z57,リスト!DC:DD,2,0))</f>
        <v>0</v>
      </c>
      <c r="AD57" s="670">
        <f t="shared" si="4"/>
        <v>0</v>
      </c>
      <c r="AE57" s="671">
        <f>IF(AD57=0,,VLOOKUP(AD57,リスト!DK:DL,2,0))</f>
        <v>0</v>
      </c>
      <c r="AF57" s="670">
        <f>IF(Z57=0,,
IF(OR(リスト!$C$21="小麦",リスト!$C$21="二条大麦",リスト!$C$21="六条大麦",リスト!$C$21="はだか麦",リスト!$C$21="なたね"),IF(K57&lt;9,調査年-J57,調査年-J57-1),
IF(リスト!$C$21="さとうきび",IF(K57&gt;=4,調査年-J57,調査年-J57+1),
調査年-J57)))</f>
        <v>0</v>
      </c>
      <c r="AG57" s="672">
        <f t="shared" si="20"/>
        <v>0</v>
      </c>
      <c r="AH57" s="672">
        <f t="shared" si="6"/>
        <v>0</v>
      </c>
      <c r="AI57" s="672">
        <f t="shared" si="7"/>
        <v>0</v>
      </c>
      <c r="AJ57" s="672">
        <f t="shared" si="8"/>
        <v>0</v>
      </c>
      <c r="AK57" s="394"/>
      <c r="AL57" s="672">
        <f>IF(OR(R57=0,AH57=""),,
IF(OR(リスト!$C$21="小麦",リスト!$C$21="二条大麦",リスト!$C$21="六条大麦",リスト!$C$21="はだか麦",リスト!$C$21="なたね"),IF(OR(AND(K57&lt;9,J57=調査年),AND(K57&gt;=9,J57=調査年-1)),,ROUND(AH57*R57%,0)),
IF(リスト!$C$21="さとうきび",IF(OR(AND(K57&gt;=4,J57=調査年),AND(K57&lt;4,J57=調査年+1)),,ROUND(AH57*R57%,0)),
IF(J57=調査年,,ROUND(AH57*R57%,0)))))</f>
        <v>0</v>
      </c>
      <c r="AM57" s="672">
        <f t="shared" si="9"/>
        <v>0</v>
      </c>
      <c r="AN57" s="672">
        <f t="shared" si="10"/>
        <v>0</v>
      </c>
      <c r="AO57" s="672">
        <f t="shared" si="11"/>
        <v>0</v>
      </c>
      <c r="AP57" s="672">
        <f>IF(R57=0,,
SUM(
IF(OR(リスト!$C$21="小麦",リスト!$C$21="二条大麦",リスト!$C$21="六条大麦",リスト!$C$21="はだか麦",リスト!$C$21="なたね"),IF(OR(AND(AA57=1,K57&lt;9,J57=調査年),AND(AA57=1,K57&gt;=9,J57=調査年-1)),ROUND(L57*R57%,0),),
IF(リスト!$C$21="さとうきび",IF(OR(AND(AA57=1,K57&gt;=4,J57=調査年),AND(AA57=1,K57&lt;4,J57=調査年+1)),ROUND(L57*R57%,0),),
IF(AND(AA57=1,J57=調査年),ROUND(L57*R57%,0),))),
ROUND(M57*R57%,0)
))</f>
        <v>0</v>
      </c>
      <c r="AQ57" s="672">
        <f t="shared" si="12"/>
        <v>0</v>
      </c>
      <c r="AR57" s="672">
        <f t="shared" si="13"/>
        <v>0</v>
      </c>
      <c r="AS57" s="672">
        <f t="shared" si="18"/>
        <v>0</v>
      </c>
      <c r="AT57" s="672">
        <f t="shared" si="19"/>
        <v>0</v>
      </c>
      <c r="AU57" s="672">
        <f t="shared" si="14"/>
        <v>0</v>
      </c>
      <c r="AV57" s="672">
        <f t="shared" si="15"/>
        <v>0</v>
      </c>
      <c r="AW57" s="721">
        <f t="shared" si="16"/>
        <v>0</v>
      </c>
      <c r="AX57" s="686"/>
      <c r="AY57" s="686"/>
    </row>
    <row r="58" spans="3:51" s="46" customFormat="1" ht="30.75" hidden="1" customHeight="1" outlineLevel="1">
      <c r="C58" s="722">
        <v>41</v>
      </c>
      <c r="D58" s="687"/>
      <c r="E58" s="731"/>
      <c r="F58" s="732"/>
      <c r="G58" s="1965"/>
      <c r="H58" s="1966"/>
      <c r="I58" s="733"/>
      <c r="J58" s="734"/>
      <c r="K58" s="735"/>
      <c r="L58" s="736"/>
      <c r="M58" s="736"/>
      <c r="N58" s="736"/>
      <c r="O58" s="736"/>
      <c r="P58" s="736"/>
      <c r="Q58" s="736"/>
      <c r="R58" s="1094"/>
      <c r="S58" s="737"/>
      <c r="T58" s="738"/>
      <c r="U58" s="739"/>
      <c r="V58" s="717"/>
      <c r="W58" s="728"/>
      <c r="X58" s="729"/>
      <c r="Z58" s="670">
        <f t="shared" si="2"/>
        <v>0</v>
      </c>
      <c r="AA58" s="670">
        <f t="shared" si="17"/>
        <v>0</v>
      </c>
      <c r="AB58" s="670">
        <f t="shared" si="3"/>
        <v>0</v>
      </c>
      <c r="AC58" s="670">
        <f>IF(Z58=0,,VLOOKUP(Z58,リスト!DC:DD,2,0))</f>
        <v>0</v>
      </c>
      <c r="AD58" s="670">
        <f t="shared" si="4"/>
        <v>0</v>
      </c>
      <c r="AE58" s="671">
        <f>IF(AD58=0,,VLOOKUP(AD58,リスト!DK:DL,2,0))</f>
        <v>0</v>
      </c>
      <c r="AF58" s="670">
        <f>IF(Z58=0,,
IF(OR(リスト!$C$21="小麦",リスト!$C$21="二条大麦",リスト!$C$21="六条大麦",リスト!$C$21="はだか麦",リスト!$C$21="なたね"),IF(K58&lt;9,調査年-J58,調査年-J58-1),
IF(リスト!$C$21="さとうきび",IF(K58&gt;=4,調査年-J58,調査年-J58+1),
調査年-J58)))</f>
        <v>0</v>
      </c>
      <c r="AG58" s="672">
        <f t="shared" si="20"/>
        <v>0</v>
      </c>
      <c r="AH58" s="672">
        <f t="shared" si="6"/>
        <v>0</v>
      </c>
      <c r="AI58" s="672">
        <f t="shared" si="7"/>
        <v>0</v>
      </c>
      <c r="AJ58" s="672">
        <f t="shared" si="8"/>
        <v>0</v>
      </c>
      <c r="AK58" s="394"/>
      <c r="AL58" s="672">
        <f>IF(OR(R58=0,AH58=""),,
IF(OR(リスト!$C$21="小麦",リスト!$C$21="二条大麦",リスト!$C$21="六条大麦",リスト!$C$21="はだか麦",リスト!$C$21="なたね"),IF(OR(AND(K58&lt;9,J58=調査年),AND(K58&gt;=9,J58=調査年-1)),,ROUND(AH58*R58%,0)),
IF(リスト!$C$21="さとうきび",IF(OR(AND(K58&gt;=4,J58=調査年),AND(K58&lt;4,J58=調査年+1)),,ROUND(AH58*R58%,0)),
IF(J58=調査年,,ROUND(AH58*R58%,0)))))</f>
        <v>0</v>
      </c>
      <c r="AM58" s="672">
        <f t="shared" si="9"/>
        <v>0</v>
      </c>
      <c r="AN58" s="672">
        <f t="shared" si="10"/>
        <v>0</v>
      </c>
      <c r="AO58" s="672">
        <f t="shared" si="11"/>
        <v>0</v>
      </c>
      <c r="AP58" s="672">
        <f>IF(R58=0,,
SUM(
IF(OR(リスト!$C$21="小麦",リスト!$C$21="二条大麦",リスト!$C$21="六条大麦",リスト!$C$21="はだか麦",リスト!$C$21="なたね"),IF(OR(AND(AA58=1,K58&lt;9,J58=調査年),AND(AA58=1,K58&gt;=9,J58=調査年-1)),ROUND(L58*R58%,0),),
IF(リスト!$C$21="さとうきび",IF(OR(AND(AA58=1,K58&gt;=4,J58=調査年),AND(AA58=1,K58&lt;4,J58=調査年+1)),ROUND(L58*R58%,0),),
IF(AND(AA58=1,J58=調査年),ROUND(L58*R58%,0),))),
ROUND(M58*R58%,0)
))</f>
        <v>0</v>
      </c>
      <c r="AQ58" s="672">
        <f t="shared" si="12"/>
        <v>0</v>
      </c>
      <c r="AR58" s="672">
        <f t="shared" si="13"/>
        <v>0</v>
      </c>
      <c r="AS58" s="672">
        <f t="shared" si="18"/>
        <v>0</v>
      </c>
      <c r="AT58" s="672">
        <f t="shared" si="19"/>
        <v>0</v>
      </c>
      <c r="AU58" s="672">
        <f t="shared" si="14"/>
        <v>0</v>
      </c>
      <c r="AV58" s="672">
        <f t="shared" si="15"/>
        <v>0</v>
      </c>
      <c r="AW58" s="721">
        <f t="shared" si="16"/>
        <v>0</v>
      </c>
      <c r="AX58" s="686"/>
      <c r="AY58" s="686"/>
    </row>
    <row r="59" spans="3:51" s="46" customFormat="1" ht="30.75" hidden="1" customHeight="1" outlineLevel="1">
      <c r="C59" s="722">
        <v>42</v>
      </c>
      <c r="D59" s="687"/>
      <c r="E59" s="723"/>
      <c r="F59" s="724"/>
      <c r="G59" s="1961"/>
      <c r="H59" s="1962"/>
      <c r="I59" s="679"/>
      <c r="J59" s="725"/>
      <c r="K59" s="680"/>
      <c r="L59" s="681"/>
      <c r="M59" s="681"/>
      <c r="N59" s="681"/>
      <c r="O59" s="681"/>
      <c r="P59" s="681"/>
      <c r="Q59" s="681"/>
      <c r="R59" s="1094"/>
      <c r="S59" s="682"/>
      <c r="T59" s="726"/>
      <c r="U59" s="727"/>
      <c r="V59" s="717"/>
      <c r="W59" s="728"/>
      <c r="X59" s="729"/>
      <c r="Z59" s="670">
        <f t="shared" si="2"/>
        <v>0</v>
      </c>
      <c r="AA59" s="670">
        <f t="shared" si="17"/>
        <v>0</v>
      </c>
      <c r="AB59" s="670">
        <f t="shared" si="3"/>
        <v>0</v>
      </c>
      <c r="AC59" s="670">
        <f>IF(Z59=0,,VLOOKUP(Z59,リスト!DC:DD,2,0))</f>
        <v>0</v>
      </c>
      <c r="AD59" s="670">
        <f t="shared" si="4"/>
        <v>0</v>
      </c>
      <c r="AE59" s="671">
        <f>IF(AD59=0,,VLOOKUP(AD59,リスト!DK:DL,2,0))</f>
        <v>0</v>
      </c>
      <c r="AF59" s="670">
        <f>IF(Z59=0,,
IF(OR(リスト!$C$21="小麦",リスト!$C$21="二条大麦",リスト!$C$21="六条大麦",リスト!$C$21="はだか麦",リスト!$C$21="なたね"),IF(K59&lt;9,調査年-J59,調査年-J59-1),
IF(リスト!$C$21="さとうきび",IF(K59&gt;=4,調査年-J59,調査年-J59+1),
調査年-J59)))</f>
        <v>0</v>
      </c>
      <c r="AG59" s="672">
        <f t="shared" si="20"/>
        <v>0</v>
      </c>
      <c r="AH59" s="672">
        <f t="shared" si="6"/>
        <v>0</v>
      </c>
      <c r="AI59" s="672">
        <f t="shared" si="7"/>
        <v>0</v>
      </c>
      <c r="AJ59" s="672">
        <f t="shared" si="8"/>
        <v>0</v>
      </c>
      <c r="AK59" s="394"/>
      <c r="AL59" s="672">
        <f>IF(OR(R59=0,AH59=""),,
IF(OR(リスト!$C$21="小麦",リスト!$C$21="二条大麦",リスト!$C$21="六条大麦",リスト!$C$21="はだか麦",リスト!$C$21="なたね"),IF(OR(AND(K59&lt;9,J59=調査年),AND(K59&gt;=9,J59=調査年-1)),,ROUND(AH59*R59%,0)),
IF(リスト!$C$21="さとうきび",IF(OR(AND(K59&gt;=4,J59=調査年),AND(K59&lt;4,J59=調査年+1)),,ROUND(AH59*R59%,0)),
IF(J59=調査年,,ROUND(AH59*R59%,0)))))</f>
        <v>0</v>
      </c>
      <c r="AM59" s="672">
        <f t="shared" si="9"/>
        <v>0</v>
      </c>
      <c r="AN59" s="672">
        <f t="shared" si="10"/>
        <v>0</v>
      </c>
      <c r="AO59" s="672">
        <f t="shared" si="11"/>
        <v>0</v>
      </c>
      <c r="AP59" s="672">
        <f>IF(R59=0,,
SUM(
IF(OR(リスト!$C$21="小麦",リスト!$C$21="二条大麦",リスト!$C$21="六条大麦",リスト!$C$21="はだか麦",リスト!$C$21="なたね"),IF(OR(AND(AA59=1,K59&lt;9,J59=調査年),AND(AA59=1,K59&gt;=9,J59=調査年-1)),ROUND(L59*R59%,0),),
IF(リスト!$C$21="さとうきび",IF(OR(AND(AA59=1,K59&gt;=4,J59=調査年),AND(AA59=1,K59&lt;4,J59=調査年+1)),ROUND(L59*R59%,0),),
IF(AND(AA59=1,J59=調査年),ROUND(L59*R59%,0),))),
ROUND(M59*R59%,0)
))</f>
        <v>0</v>
      </c>
      <c r="AQ59" s="672">
        <f t="shared" si="12"/>
        <v>0</v>
      </c>
      <c r="AR59" s="672">
        <f t="shared" si="13"/>
        <v>0</v>
      </c>
      <c r="AS59" s="672">
        <f t="shared" si="18"/>
        <v>0</v>
      </c>
      <c r="AT59" s="672">
        <f t="shared" si="19"/>
        <v>0</v>
      </c>
      <c r="AU59" s="672">
        <f t="shared" si="14"/>
        <v>0</v>
      </c>
      <c r="AV59" s="672">
        <f t="shared" si="15"/>
        <v>0</v>
      </c>
      <c r="AW59" s="721">
        <f t="shared" si="16"/>
        <v>0</v>
      </c>
      <c r="AX59" s="686"/>
      <c r="AY59" s="686"/>
    </row>
    <row r="60" spans="3:51" s="46" customFormat="1" ht="30.75" hidden="1" customHeight="1" outlineLevel="1">
      <c r="C60" s="722">
        <v>43</v>
      </c>
      <c r="D60" s="687"/>
      <c r="E60" s="723"/>
      <c r="F60" s="724"/>
      <c r="G60" s="1961"/>
      <c r="H60" s="1962"/>
      <c r="I60" s="679"/>
      <c r="J60" s="725"/>
      <c r="K60" s="680"/>
      <c r="L60" s="681"/>
      <c r="M60" s="681"/>
      <c r="N60" s="681"/>
      <c r="O60" s="681"/>
      <c r="P60" s="681"/>
      <c r="Q60" s="681"/>
      <c r="R60" s="1094"/>
      <c r="S60" s="682"/>
      <c r="T60" s="726"/>
      <c r="U60" s="727"/>
      <c r="V60" s="717"/>
      <c r="W60" s="728"/>
      <c r="X60" s="729"/>
      <c r="Z60" s="670">
        <f t="shared" si="2"/>
        <v>0</v>
      </c>
      <c r="AA60" s="670">
        <f t="shared" si="17"/>
        <v>0</v>
      </c>
      <c r="AB60" s="670">
        <f t="shared" si="3"/>
        <v>0</v>
      </c>
      <c r="AC60" s="670">
        <f>IF(Z60=0,,VLOOKUP(Z60,リスト!DC:DD,2,0))</f>
        <v>0</v>
      </c>
      <c r="AD60" s="670">
        <f t="shared" si="4"/>
        <v>0</v>
      </c>
      <c r="AE60" s="671">
        <f>IF(AD60=0,,VLOOKUP(AD60,リスト!DK:DL,2,0))</f>
        <v>0</v>
      </c>
      <c r="AF60" s="670">
        <f>IF(Z60=0,,
IF(OR(リスト!$C$21="小麦",リスト!$C$21="二条大麦",リスト!$C$21="六条大麦",リスト!$C$21="はだか麦",リスト!$C$21="なたね"),IF(K60&lt;9,調査年-J60,調査年-J60-1),
IF(リスト!$C$21="さとうきび",IF(K60&gt;=4,調査年-J60,調査年-J60+1),
調査年-J60)))</f>
        <v>0</v>
      </c>
      <c r="AG60" s="672">
        <f t="shared" si="20"/>
        <v>0</v>
      </c>
      <c r="AH60" s="672">
        <f t="shared" si="6"/>
        <v>0</v>
      </c>
      <c r="AI60" s="672">
        <f t="shared" si="7"/>
        <v>0</v>
      </c>
      <c r="AJ60" s="672">
        <f t="shared" si="8"/>
        <v>0</v>
      </c>
      <c r="AK60" s="394"/>
      <c r="AL60" s="672">
        <f>IF(OR(R60=0,AH60=""),,
IF(OR(リスト!$C$21="小麦",リスト!$C$21="二条大麦",リスト!$C$21="六条大麦",リスト!$C$21="はだか麦",リスト!$C$21="なたね"),IF(OR(AND(K60&lt;9,J60=調査年),AND(K60&gt;=9,J60=調査年-1)),,ROUND(AH60*R60%,0)),
IF(リスト!$C$21="さとうきび",IF(OR(AND(K60&gt;=4,J60=調査年),AND(K60&lt;4,J60=調査年+1)),,ROUND(AH60*R60%,0)),
IF(J60=調査年,,ROUND(AH60*R60%,0)))))</f>
        <v>0</v>
      </c>
      <c r="AM60" s="672">
        <f t="shared" si="9"/>
        <v>0</v>
      </c>
      <c r="AN60" s="672">
        <f t="shared" si="10"/>
        <v>0</v>
      </c>
      <c r="AO60" s="672">
        <f t="shared" si="11"/>
        <v>0</v>
      </c>
      <c r="AP60" s="672">
        <f>IF(R60=0,,
SUM(
IF(OR(リスト!$C$21="小麦",リスト!$C$21="二条大麦",リスト!$C$21="六条大麦",リスト!$C$21="はだか麦",リスト!$C$21="なたね"),IF(OR(AND(AA60=1,K60&lt;9,J60=調査年),AND(AA60=1,K60&gt;=9,J60=調査年-1)),ROUND(L60*R60%,0),),
IF(リスト!$C$21="さとうきび",IF(OR(AND(AA60=1,K60&gt;=4,J60=調査年),AND(AA60=1,K60&lt;4,J60=調査年+1)),ROUND(L60*R60%,0),),
IF(AND(AA60=1,J60=調査年),ROUND(L60*R60%,0),))),
ROUND(M60*R60%,0)
))</f>
        <v>0</v>
      </c>
      <c r="AQ60" s="672">
        <f t="shared" si="12"/>
        <v>0</v>
      </c>
      <c r="AR60" s="672">
        <f t="shared" si="13"/>
        <v>0</v>
      </c>
      <c r="AS60" s="672">
        <f t="shared" si="18"/>
        <v>0</v>
      </c>
      <c r="AT60" s="672">
        <f t="shared" si="19"/>
        <v>0</v>
      </c>
      <c r="AU60" s="672">
        <f t="shared" si="14"/>
        <v>0</v>
      </c>
      <c r="AV60" s="672">
        <f t="shared" si="15"/>
        <v>0</v>
      </c>
      <c r="AW60" s="721">
        <f t="shared" si="16"/>
        <v>0</v>
      </c>
      <c r="AX60" s="686"/>
      <c r="AY60" s="686"/>
    </row>
    <row r="61" spans="3:51" s="46" customFormat="1" ht="30.75" hidden="1" customHeight="1" outlineLevel="1">
      <c r="C61" s="722">
        <v>44</v>
      </c>
      <c r="D61" s="687"/>
      <c r="E61" s="723"/>
      <c r="F61" s="724"/>
      <c r="G61" s="1961"/>
      <c r="H61" s="1962"/>
      <c r="I61" s="679"/>
      <c r="J61" s="725"/>
      <c r="K61" s="680"/>
      <c r="L61" s="681"/>
      <c r="M61" s="681"/>
      <c r="N61" s="681"/>
      <c r="O61" s="681"/>
      <c r="P61" s="681"/>
      <c r="Q61" s="681"/>
      <c r="R61" s="1094"/>
      <c r="S61" s="682"/>
      <c r="T61" s="726"/>
      <c r="U61" s="727"/>
      <c r="V61" s="717"/>
      <c r="W61" s="728"/>
      <c r="X61" s="729"/>
      <c r="Z61" s="670">
        <f t="shared" si="2"/>
        <v>0</v>
      </c>
      <c r="AA61" s="670">
        <f t="shared" si="17"/>
        <v>0</v>
      </c>
      <c r="AB61" s="670">
        <f t="shared" si="3"/>
        <v>0</v>
      </c>
      <c r="AC61" s="670">
        <f>IF(Z61=0,,VLOOKUP(Z61,リスト!DC:DD,2,0))</f>
        <v>0</v>
      </c>
      <c r="AD61" s="670">
        <f t="shared" si="4"/>
        <v>0</v>
      </c>
      <c r="AE61" s="671">
        <f>IF(AD61=0,,VLOOKUP(AD61,リスト!DK:DL,2,0))</f>
        <v>0</v>
      </c>
      <c r="AF61" s="670">
        <f>IF(Z61=0,,
IF(OR(リスト!$C$21="小麦",リスト!$C$21="二条大麦",リスト!$C$21="六条大麦",リスト!$C$21="はだか麦",リスト!$C$21="なたね"),IF(K61&lt;9,調査年-J61,調査年-J61-1),
IF(リスト!$C$21="さとうきび",IF(K61&gt;=4,調査年-J61,調査年-J61+1),
調査年-J61)))</f>
        <v>0</v>
      </c>
      <c r="AG61" s="672">
        <f t="shared" si="20"/>
        <v>0</v>
      </c>
      <c r="AH61" s="672">
        <f t="shared" si="6"/>
        <v>0</v>
      </c>
      <c r="AI61" s="672">
        <f t="shared" si="7"/>
        <v>0</v>
      </c>
      <c r="AJ61" s="672">
        <f t="shared" si="8"/>
        <v>0</v>
      </c>
      <c r="AK61" s="394"/>
      <c r="AL61" s="672">
        <f>IF(OR(R61=0,AH61=""),,
IF(OR(リスト!$C$21="小麦",リスト!$C$21="二条大麦",リスト!$C$21="六条大麦",リスト!$C$21="はだか麦",リスト!$C$21="なたね"),IF(OR(AND(K61&lt;9,J61=調査年),AND(K61&gt;=9,J61=調査年-1)),,ROUND(AH61*R61%,0)),
IF(リスト!$C$21="さとうきび",IF(OR(AND(K61&gt;=4,J61=調査年),AND(K61&lt;4,J61=調査年+1)),,ROUND(AH61*R61%,0)),
IF(J61=調査年,,ROUND(AH61*R61%,0)))))</f>
        <v>0</v>
      </c>
      <c r="AM61" s="672">
        <f t="shared" si="9"/>
        <v>0</v>
      </c>
      <c r="AN61" s="672">
        <f t="shared" si="10"/>
        <v>0</v>
      </c>
      <c r="AO61" s="672">
        <f t="shared" si="11"/>
        <v>0</v>
      </c>
      <c r="AP61" s="672">
        <f>IF(R61=0,,
SUM(
IF(OR(リスト!$C$21="小麦",リスト!$C$21="二条大麦",リスト!$C$21="六条大麦",リスト!$C$21="はだか麦",リスト!$C$21="なたね"),IF(OR(AND(AA61=1,K61&lt;9,J61=調査年),AND(AA61=1,K61&gt;=9,J61=調査年-1)),ROUND(L61*R61%,0),),
IF(リスト!$C$21="さとうきび",IF(OR(AND(AA61=1,K61&gt;=4,J61=調査年),AND(AA61=1,K61&lt;4,J61=調査年+1)),ROUND(L61*R61%,0),),
IF(AND(AA61=1,J61=調査年),ROUND(L61*R61%,0),))),
ROUND(M61*R61%,0)
))</f>
        <v>0</v>
      </c>
      <c r="AQ61" s="672">
        <f t="shared" si="12"/>
        <v>0</v>
      </c>
      <c r="AR61" s="672">
        <f t="shared" si="13"/>
        <v>0</v>
      </c>
      <c r="AS61" s="672">
        <f t="shared" si="18"/>
        <v>0</v>
      </c>
      <c r="AT61" s="672">
        <f t="shared" si="19"/>
        <v>0</v>
      </c>
      <c r="AU61" s="672">
        <f t="shared" si="14"/>
        <v>0</v>
      </c>
      <c r="AV61" s="672">
        <f t="shared" si="15"/>
        <v>0</v>
      </c>
      <c r="AW61" s="721">
        <f t="shared" si="16"/>
        <v>0</v>
      </c>
      <c r="AX61" s="686"/>
      <c r="AY61" s="686"/>
    </row>
    <row r="62" spans="3:51" s="46" customFormat="1" ht="30.75" hidden="1" customHeight="1" outlineLevel="1">
      <c r="C62" s="722">
        <v>45</v>
      </c>
      <c r="D62" s="687"/>
      <c r="E62" s="723"/>
      <c r="F62" s="724"/>
      <c r="G62" s="1961"/>
      <c r="H62" s="1962"/>
      <c r="I62" s="679"/>
      <c r="J62" s="725"/>
      <c r="K62" s="680"/>
      <c r="L62" s="681"/>
      <c r="M62" s="681"/>
      <c r="N62" s="681"/>
      <c r="O62" s="681"/>
      <c r="P62" s="681"/>
      <c r="Q62" s="681"/>
      <c r="R62" s="1094"/>
      <c r="S62" s="682"/>
      <c r="T62" s="726"/>
      <c r="U62" s="727"/>
      <c r="V62" s="717"/>
      <c r="W62" s="728"/>
      <c r="X62" s="729"/>
      <c r="Z62" s="670">
        <f t="shared" si="2"/>
        <v>0</v>
      </c>
      <c r="AA62" s="670">
        <f t="shared" si="17"/>
        <v>0</v>
      </c>
      <c r="AB62" s="670">
        <f t="shared" si="3"/>
        <v>0</v>
      </c>
      <c r="AC62" s="670">
        <f>IF(Z62=0,,VLOOKUP(Z62,リスト!DC:DD,2,0))</f>
        <v>0</v>
      </c>
      <c r="AD62" s="670">
        <f t="shared" si="4"/>
        <v>0</v>
      </c>
      <c r="AE62" s="671">
        <f>IF(AD62=0,,VLOOKUP(AD62,リスト!DK:DL,2,0))</f>
        <v>0</v>
      </c>
      <c r="AF62" s="670">
        <f>IF(Z62=0,,
IF(OR(リスト!$C$21="小麦",リスト!$C$21="二条大麦",リスト!$C$21="六条大麦",リスト!$C$21="はだか麦",リスト!$C$21="なたね"),IF(K62&lt;9,調査年-J62,調査年-J62-1),
IF(リスト!$C$21="さとうきび",IF(K62&gt;=4,調査年-J62,調査年-J62+1),
調査年-J62)))</f>
        <v>0</v>
      </c>
      <c r="AG62" s="672">
        <f t="shared" si="20"/>
        <v>0</v>
      </c>
      <c r="AH62" s="672">
        <f t="shared" si="6"/>
        <v>0</v>
      </c>
      <c r="AI62" s="672">
        <f t="shared" si="7"/>
        <v>0</v>
      </c>
      <c r="AJ62" s="672">
        <f t="shared" si="8"/>
        <v>0</v>
      </c>
      <c r="AK62" s="394"/>
      <c r="AL62" s="672">
        <f>IF(OR(R62=0,AH62=""),,
IF(OR(リスト!$C$21="小麦",リスト!$C$21="二条大麦",リスト!$C$21="六条大麦",リスト!$C$21="はだか麦",リスト!$C$21="なたね"),IF(OR(AND(K62&lt;9,J62=調査年),AND(K62&gt;=9,J62=調査年-1)),,ROUND(AH62*R62%,0)),
IF(リスト!$C$21="さとうきび",IF(OR(AND(K62&gt;=4,J62=調査年),AND(K62&lt;4,J62=調査年+1)),,ROUND(AH62*R62%,0)),
IF(J62=調査年,,ROUND(AH62*R62%,0)))))</f>
        <v>0</v>
      </c>
      <c r="AM62" s="672">
        <f t="shared" si="9"/>
        <v>0</v>
      </c>
      <c r="AN62" s="672">
        <f t="shared" si="10"/>
        <v>0</v>
      </c>
      <c r="AO62" s="672">
        <f t="shared" si="11"/>
        <v>0</v>
      </c>
      <c r="AP62" s="672">
        <f>IF(R62=0,,
SUM(
IF(OR(リスト!$C$21="小麦",リスト!$C$21="二条大麦",リスト!$C$21="六条大麦",リスト!$C$21="はだか麦",リスト!$C$21="なたね"),IF(OR(AND(AA62=1,K62&lt;9,J62=調査年),AND(AA62=1,K62&gt;=9,J62=調査年-1)),ROUND(L62*R62%,0),),
IF(リスト!$C$21="さとうきび",IF(OR(AND(AA62=1,K62&gt;=4,J62=調査年),AND(AA62=1,K62&lt;4,J62=調査年+1)),ROUND(L62*R62%,0),),
IF(AND(AA62=1,J62=調査年),ROUND(L62*R62%,0),))),
ROUND(M62*R62%,0)
))</f>
        <v>0</v>
      </c>
      <c r="AQ62" s="672">
        <f t="shared" si="12"/>
        <v>0</v>
      </c>
      <c r="AR62" s="672">
        <f t="shared" si="13"/>
        <v>0</v>
      </c>
      <c r="AS62" s="672">
        <f t="shared" si="18"/>
        <v>0</v>
      </c>
      <c r="AT62" s="672">
        <f t="shared" si="19"/>
        <v>0</v>
      </c>
      <c r="AU62" s="672">
        <f t="shared" si="14"/>
        <v>0</v>
      </c>
      <c r="AV62" s="672">
        <f t="shared" si="15"/>
        <v>0</v>
      </c>
      <c r="AW62" s="721">
        <f t="shared" si="16"/>
        <v>0</v>
      </c>
      <c r="AX62" s="686"/>
      <c r="AY62" s="686"/>
    </row>
    <row r="63" spans="3:51" s="46" customFormat="1" ht="30.75" hidden="1" customHeight="1" outlineLevel="1">
      <c r="C63" s="722">
        <v>46</v>
      </c>
      <c r="D63" s="687"/>
      <c r="E63" s="731"/>
      <c r="F63" s="732"/>
      <c r="G63" s="1965"/>
      <c r="H63" s="1966"/>
      <c r="I63" s="733"/>
      <c r="J63" s="734"/>
      <c r="K63" s="735"/>
      <c r="L63" s="736"/>
      <c r="M63" s="736"/>
      <c r="N63" s="736"/>
      <c r="O63" s="736"/>
      <c r="P63" s="736"/>
      <c r="Q63" s="736"/>
      <c r="R63" s="1094"/>
      <c r="S63" s="737"/>
      <c r="T63" s="738"/>
      <c r="U63" s="739"/>
      <c r="V63" s="717"/>
      <c r="W63" s="728"/>
      <c r="X63" s="729"/>
      <c r="Z63" s="670">
        <f t="shared" si="2"/>
        <v>0</v>
      </c>
      <c r="AA63" s="670">
        <f t="shared" si="17"/>
        <v>0</v>
      </c>
      <c r="AB63" s="670">
        <f t="shared" si="3"/>
        <v>0</v>
      </c>
      <c r="AC63" s="670">
        <f>IF(Z63=0,,VLOOKUP(Z63,リスト!DC:DD,2,0))</f>
        <v>0</v>
      </c>
      <c r="AD63" s="670">
        <f t="shared" si="4"/>
        <v>0</v>
      </c>
      <c r="AE63" s="671">
        <f>IF(AD63=0,,VLOOKUP(AD63,リスト!DK:DL,2,0))</f>
        <v>0</v>
      </c>
      <c r="AF63" s="670">
        <f>IF(Z63=0,,
IF(OR(リスト!$C$21="小麦",リスト!$C$21="二条大麦",リスト!$C$21="六条大麦",リスト!$C$21="はだか麦",リスト!$C$21="なたね"),IF(K63&lt;9,調査年-J63,調査年-J63-1),
IF(リスト!$C$21="さとうきび",IF(K63&gt;=4,調査年-J63,調査年-J63+1),
調査年-J63)))</f>
        <v>0</v>
      </c>
      <c r="AG63" s="672">
        <f t="shared" si="20"/>
        <v>0</v>
      </c>
      <c r="AH63" s="672">
        <f t="shared" si="6"/>
        <v>0</v>
      </c>
      <c r="AI63" s="672">
        <f t="shared" si="7"/>
        <v>0</v>
      </c>
      <c r="AJ63" s="672">
        <f t="shared" si="8"/>
        <v>0</v>
      </c>
      <c r="AK63" s="394"/>
      <c r="AL63" s="672">
        <f>IF(OR(R63=0,AH63=""),,
IF(OR(リスト!$C$21="小麦",リスト!$C$21="二条大麦",リスト!$C$21="六条大麦",リスト!$C$21="はだか麦",リスト!$C$21="なたね"),IF(OR(AND(K63&lt;9,J63=調査年),AND(K63&gt;=9,J63=調査年-1)),,ROUND(AH63*R63%,0)),
IF(リスト!$C$21="さとうきび",IF(OR(AND(K63&gt;=4,J63=調査年),AND(K63&lt;4,J63=調査年+1)),,ROUND(AH63*R63%,0)),
IF(J63=調査年,,ROUND(AH63*R63%,0)))))</f>
        <v>0</v>
      </c>
      <c r="AM63" s="672">
        <f t="shared" si="9"/>
        <v>0</v>
      </c>
      <c r="AN63" s="672">
        <f t="shared" si="10"/>
        <v>0</v>
      </c>
      <c r="AO63" s="672">
        <f t="shared" si="11"/>
        <v>0</v>
      </c>
      <c r="AP63" s="672">
        <f>IF(R63=0,,
SUM(
IF(OR(リスト!$C$21="小麦",リスト!$C$21="二条大麦",リスト!$C$21="六条大麦",リスト!$C$21="はだか麦",リスト!$C$21="なたね"),IF(OR(AND(AA63=1,K63&lt;9,J63=調査年),AND(AA63=1,K63&gt;=9,J63=調査年-1)),ROUND(L63*R63%,0),),
IF(リスト!$C$21="さとうきび",IF(OR(AND(AA63=1,K63&gt;=4,J63=調査年),AND(AA63=1,K63&lt;4,J63=調査年+1)),ROUND(L63*R63%,0),),
IF(AND(AA63=1,J63=調査年),ROUND(L63*R63%,0),))),
ROUND(M63*R63%,0)
))</f>
        <v>0</v>
      </c>
      <c r="AQ63" s="672">
        <f t="shared" si="12"/>
        <v>0</v>
      </c>
      <c r="AR63" s="672">
        <f t="shared" si="13"/>
        <v>0</v>
      </c>
      <c r="AS63" s="672">
        <f t="shared" si="18"/>
        <v>0</v>
      </c>
      <c r="AT63" s="672">
        <f t="shared" si="19"/>
        <v>0</v>
      </c>
      <c r="AU63" s="672">
        <f t="shared" si="14"/>
        <v>0</v>
      </c>
      <c r="AV63" s="672">
        <f t="shared" si="15"/>
        <v>0</v>
      </c>
      <c r="AW63" s="721">
        <f t="shared" si="16"/>
        <v>0</v>
      </c>
      <c r="AX63" s="686"/>
      <c r="AY63" s="686"/>
    </row>
    <row r="64" spans="3:51" s="46" customFormat="1" ht="30.75" hidden="1" customHeight="1" outlineLevel="1">
      <c r="C64" s="722">
        <v>47</v>
      </c>
      <c r="D64" s="687"/>
      <c r="E64" s="723"/>
      <c r="F64" s="724"/>
      <c r="G64" s="1961"/>
      <c r="H64" s="1962"/>
      <c r="I64" s="679"/>
      <c r="J64" s="725"/>
      <c r="K64" s="680"/>
      <c r="L64" s="681"/>
      <c r="M64" s="681"/>
      <c r="N64" s="681"/>
      <c r="O64" s="681"/>
      <c r="P64" s="681"/>
      <c r="Q64" s="681"/>
      <c r="R64" s="1094"/>
      <c r="S64" s="682"/>
      <c r="T64" s="726"/>
      <c r="U64" s="727"/>
      <c r="V64" s="717"/>
      <c r="W64" s="728"/>
      <c r="X64" s="729"/>
      <c r="Z64" s="670">
        <f t="shared" si="2"/>
        <v>0</v>
      </c>
      <c r="AA64" s="670">
        <f t="shared" si="17"/>
        <v>0</v>
      </c>
      <c r="AB64" s="670">
        <f t="shared" si="3"/>
        <v>0</v>
      </c>
      <c r="AC64" s="670">
        <f>IF(Z64=0,,VLOOKUP(Z64,リスト!DC:DD,2,0))</f>
        <v>0</v>
      </c>
      <c r="AD64" s="670">
        <f t="shared" si="4"/>
        <v>0</v>
      </c>
      <c r="AE64" s="671">
        <f>IF(AD64=0,,VLOOKUP(AD64,リスト!DK:DL,2,0))</f>
        <v>0</v>
      </c>
      <c r="AF64" s="670">
        <f>IF(Z64=0,,
IF(OR(リスト!$C$21="小麦",リスト!$C$21="二条大麦",リスト!$C$21="六条大麦",リスト!$C$21="はだか麦",リスト!$C$21="なたね"),IF(K64&lt;9,調査年-J64,調査年-J64-1),
IF(リスト!$C$21="さとうきび",IF(K64&gt;=4,調査年-J64,調査年-J64+1),
調査年-J64)))</f>
        <v>0</v>
      </c>
      <c r="AG64" s="672">
        <f t="shared" si="20"/>
        <v>0</v>
      </c>
      <c r="AH64" s="672">
        <f t="shared" si="6"/>
        <v>0</v>
      </c>
      <c r="AI64" s="672">
        <f t="shared" si="7"/>
        <v>0</v>
      </c>
      <c r="AJ64" s="672">
        <f t="shared" si="8"/>
        <v>0</v>
      </c>
      <c r="AK64" s="394"/>
      <c r="AL64" s="672">
        <f>IF(OR(R64=0,AH64=""),,
IF(OR(リスト!$C$21="小麦",リスト!$C$21="二条大麦",リスト!$C$21="六条大麦",リスト!$C$21="はだか麦",リスト!$C$21="なたね"),IF(OR(AND(K64&lt;9,J64=調査年),AND(K64&gt;=9,J64=調査年-1)),,ROUND(AH64*R64%,0)),
IF(リスト!$C$21="さとうきび",IF(OR(AND(K64&gt;=4,J64=調査年),AND(K64&lt;4,J64=調査年+1)),,ROUND(AH64*R64%,0)),
IF(J64=調査年,,ROUND(AH64*R64%,0)))))</f>
        <v>0</v>
      </c>
      <c r="AM64" s="672">
        <f t="shared" si="9"/>
        <v>0</v>
      </c>
      <c r="AN64" s="672">
        <f t="shared" si="10"/>
        <v>0</v>
      </c>
      <c r="AO64" s="672">
        <f t="shared" si="11"/>
        <v>0</v>
      </c>
      <c r="AP64" s="672">
        <f>IF(R64=0,,
SUM(
IF(OR(リスト!$C$21="小麦",リスト!$C$21="二条大麦",リスト!$C$21="六条大麦",リスト!$C$21="はだか麦",リスト!$C$21="なたね"),IF(OR(AND(AA64=1,K64&lt;9,J64=調査年),AND(AA64=1,K64&gt;=9,J64=調査年-1)),ROUND(L64*R64%,0),),
IF(リスト!$C$21="さとうきび",IF(OR(AND(AA64=1,K64&gt;=4,J64=調査年),AND(AA64=1,K64&lt;4,J64=調査年+1)),ROUND(L64*R64%,0),),
IF(AND(AA64=1,J64=調査年),ROUND(L64*R64%,0),))),
ROUND(M64*R64%,0)
))</f>
        <v>0</v>
      </c>
      <c r="AQ64" s="672">
        <f t="shared" si="12"/>
        <v>0</v>
      </c>
      <c r="AR64" s="672">
        <f t="shared" si="13"/>
        <v>0</v>
      </c>
      <c r="AS64" s="672">
        <f t="shared" si="18"/>
        <v>0</v>
      </c>
      <c r="AT64" s="672">
        <f t="shared" si="19"/>
        <v>0</v>
      </c>
      <c r="AU64" s="672">
        <f t="shared" si="14"/>
        <v>0</v>
      </c>
      <c r="AV64" s="672">
        <f t="shared" si="15"/>
        <v>0</v>
      </c>
      <c r="AW64" s="721">
        <f t="shared" si="16"/>
        <v>0</v>
      </c>
      <c r="AX64" s="686"/>
      <c r="AY64" s="686"/>
    </row>
    <row r="65" spans="3:51" s="46" customFormat="1" ht="30.75" hidden="1" customHeight="1" outlineLevel="1">
      <c r="C65" s="722">
        <v>48</v>
      </c>
      <c r="D65" s="687"/>
      <c r="E65" s="723"/>
      <c r="F65" s="724"/>
      <c r="G65" s="1961"/>
      <c r="H65" s="1962"/>
      <c r="I65" s="679"/>
      <c r="J65" s="725"/>
      <c r="K65" s="680"/>
      <c r="L65" s="681"/>
      <c r="M65" s="681"/>
      <c r="N65" s="681"/>
      <c r="O65" s="681"/>
      <c r="P65" s="681"/>
      <c r="Q65" s="681"/>
      <c r="R65" s="1094"/>
      <c r="S65" s="682"/>
      <c r="T65" s="726"/>
      <c r="U65" s="727"/>
      <c r="V65" s="717"/>
      <c r="W65" s="728"/>
      <c r="X65" s="729"/>
      <c r="Z65" s="670">
        <f t="shared" si="2"/>
        <v>0</v>
      </c>
      <c r="AA65" s="670">
        <f t="shared" si="17"/>
        <v>0</v>
      </c>
      <c r="AB65" s="670">
        <f t="shared" si="3"/>
        <v>0</v>
      </c>
      <c r="AC65" s="670">
        <f>IF(Z65=0,,VLOOKUP(Z65,リスト!DC:DD,2,0))</f>
        <v>0</v>
      </c>
      <c r="AD65" s="670">
        <f t="shared" si="4"/>
        <v>0</v>
      </c>
      <c r="AE65" s="671">
        <f>IF(AD65=0,,VLOOKUP(AD65,リスト!DK:DL,2,0))</f>
        <v>0</v>
      </c>
      <c r="AF65" s="670">
        <f>IF(Z65=0,,
IF(OR(リスト!$C$21="小麦",リスト!$C$21="二条大麦",リスト!$C$21="六条大麦",リスト!$C$21="はだか麦",リスト!$C$21="なたね"),IF(K65&lt;9,調査年-J65,調査年-J65-1),
IF(リスト!$C$21="さとうきび",IF(K65&gt;=4,調査年-J65,調査年-J65+1),
調査年-J65)))</f>
        <v>0</v>
      </c>
      <c r="AG65" s="672">
        <f t="shared" si="20"/>
        <v>0</v>
      </c>
      <c r="AH65" s="672">
        <f t="shared" si="6"/>
        <v>0</v>
      </c>
      <c r="AI65" s="672">
        <f t="shared" si="7"/>
        <v>0</v>
      </c>
      <c r="AJ65" s="672">
        <f t="shared" si="8"/>
        <v>0</v>
      </c>
      <c r="AK65" s="394"/>
      <c r="AL65" s="672">
        <f>IF(OR(R65=0,AH65=""),,
IF(OR(リスト!$C$21="小麦",リスト!$C$21="二条大麦",リスト!$C$21="六条大麦",リスト!$C$21="はだか麦",リスト!$C$21="なたね"),IF(OR(AND(K65&lt;9,J65=調査年),AND(K65&gt;=9,J65=調査年-1)),,ROUND(AH65*R65%,0)),
IF(リスト!$C$21="さとうきび",IF(OR(AND(K65&gt;=4,J65=調査年),AND(K65&lt;4,J65=調査年+1)),,ROUND(AH65*R65%,0)),
IF(J65=調査年,,ROUND(AH65*R65%,0)))))</f>
        <v>0</v>
      </c>
      <c r="AM65" s="672">
        <f t="shared" si="9"/>
        <v>0</v>
      </c>
      <c r="AN65" s="672">
        <f t="shared" si="10"/>
        <v>0</v>
      </c>
      <c r="AO65" s="672">
        <f t="shared" si="11"/>
        <v>0</v>
      </c>
      <c r="AP65" s="672">
        <f>IF(R65=0,,
SUM(
IF(OR(リスト!$C$21="小麦",リスト!$C$21="二条大麦",リスト!$C$21="六条大麦",リスト!$C$21="はだか麦",リスト!$C$21="なたね"),IF(OR(AND(AA65=1,K65&lt;9,J65=調査年),AND(AA65=1,K65&gt;=9,J65=調査年-1)),ROUND(L65*R65%,0),),
IF(リスト!$C$21="さとうきび",IF(OR(AND(AA65=1,K65&gt;=4,J65=調査年),AND(AA65=1,K65&lt;4,J65=調査年+1)),ROUND(L65*R65%,0),),
IF(AND(AA65=1,J65=調査年),ROUND(L65*R65%,0),))),
ROUND(M65*R65%,0)
))</f>
        <v>0</v>
      </c>
      <c r="AQ65" s="672">
        <f t="shared" si="12"/>
        <v>0</v>
      </c>
      <c r="AR65" s="672">
        <f t="shared" si="13"/>
        <v>0</v>
      </c>
      <c r="AS65" s="672">
        <f t="shared" si="18"/>
        <v>0</v>
      </c>
      <c r="AT65" s="672">
        <f t="shared" si="19"/>
        <v>0</v>
      </c>
      <c r="AU65" s="672">
        <f t="shared" si="14"/>
        <v>0</v>
      </c>
      <c r="AV65" s="672">
        <f t="shared" si="15"/>
        <v>0</v>
      </c>
      <c r="AW65" s="721">
        <f t="shared" si="16"/>
        <v>0</v>
      </c>
      <c r="AX65" s="686"/>
      <c r="AY65" s="686"/>
    </row>
    <row r="66" spans="3:51" s="46" customFormat="1" ht="30.75" hidden="1" customHeight="1" outlineLevel="1">
      <c r="C66" s="722">
        <v>49</v>
      </c>
      <c r="D66" s="687"/>
      <c r="E66" s="723"/>
      <c r="F66" s="724"/>
      <c r="G66" s="1961"/>
      <c r="H66" s="1962"/>
      <c r="I66" s="679"/>
      <c r="J66" s="725"/>
      <c r="K66" s="680"/>
      <c r="L66" s="681"/>
      <c r="M66" s="681"/>
      <c r="N66" s="681"/>
      <c r="O66" s="681"/>
      <c r="P66" s="681"/>
      <c r="Q66" s="681"/>
      <c r="R66" s="1094"/>
      <c r="S66" s="682"/>
      <c r="T66" s="726"/>
      <c r="U66" s="727"/>
      <c r="V66" s="717"/>
      <c r="W66" s="728"/>
      <c r="X66" s="729"/>
      <c r="Z66" s="670">
        <f t="shared" si="2"/>
        <v>0</v>
      </c>
      <c r="AA66" s="670">
        <f t="shared" si="17"/>
        <v>0</v>
      </c>
      <c r="AB66" s="670">
        <f t="shared" si="3"/>
        <v>0</v>
      </c>
      <c r="AC66" s="670">
        <f>IF(Z66=0,,VLOOKUP(Z66,リスト!DC:DD,2,0))</f>
        <v>0</v>
      </c>
      <c r="AD66" s="670">
        <f t="shared" si="4"/>
        <v>0</v>
      </c>
      <c r="AE66" s="671">
        <f>IF(AD66=0,,VLOOKUP(AD66,リスト!DK:DL,2,0))</f>
        <v>0</v>
      </c>
      <c r="AF66" s="670">
        <f>IF(Z66=0,,
IF(OR(リスト!$C$21="小麦",リスト!$C$21="二条大麦",リスト!$C$21="六条大麦",リスト!$C$21="はだか麦",リスト!$C$21="なたね"),IF(K66&lt;9,調査年-J66,調査年-J66-1),
IF(リスト!$C$21="さとうきび",IF(K66&gt;=4,調査年-J66,調査年-J66+1),
調査年-J66)))</f>
        <v>0</v>
      </c>
      <c r="AG66" s="672">
        <f t="shared" si="20"/>
        <v>0</v>
      </c>
      <c r="AH66" s="672">
        <f t="shared" si="6"/>
        <v>0</v>
      </c>
      <c r="AI66" s="672">
        <f t="shared" si="7"/>
        <v>0</v>
      </c>
      <c r="AJ66" s="672">
        <f t="shared" si="8"/>
        <v>0</v>
      </c>
      <c r="AK66" s="394"/>
      <c r="AL66" s="672">
        <f>IF(OR(R66=0,AH66=""),,
IF(OR(リスト!$C$21="小麦",リスト!$C$21="二条大麦",リスト!$C$21="六条大麦",リスト!$C$21="はだか麦",リスト!$C$21="なたね"),IF(OR(AND(K66&lt;9,J66=調査年),AND(K66&gt;=9,J66=調査年-1)),,ROUND(AH66*R66%,0)),
IF(リスト!$C$21="さとうきび",IF(OR(AND(K66&gt;=4,J66=調査年),AND(K66&lt;4,J66=調査年+1)),,ROUND(AH66*R66%,0)),
IF(J66=調査年,,ROUND(AH66*R66%,0)))))</f>
        <v>0</v>
      </c>
      <c r="AM66" s="672">
        <f t="shared" si="9"/>
        <v>0</v>
      </c>
      <c r="AN66" s="672">
        <f t="shared" si="10"/>
        <v>0</v>
      </c>
      <c r="AO66" s="672">
        <f t="shared" si="11"/>
        <v>0</v>
      </c>
      <c r="AP66" s="672">
        <f>IF(R66=0,,
SUM(
IF(OR(リスト!$C$21="小麦",リスト!$C$21="二条大麦",リスト!$C$21="六条大麦",リスト!$C$21="はだか麦",リスト!$C$21="なたね"),IF(OR(AND(AA66=1,K66&lt;9,J66=調査年),AND(AA66=1,K66&gt;=9,J66=調査年-1)),ROUND(L66*R66%,0),),
IF(リスト!$C$21="さとうきび",IF(OR(AND(AA66=1,K66&gt;=4,J66=調査年),AND(AA66=1,K66&lt;4,J66=調査年+1)),ROUND(L66*R66%,0),),
IF(AND(AA66=1,J66=調査年),ROUND(L66*R66%,0),))),
ROUND(M66*R66%,0)
))</f>
        <v>0</v>
      </c>
      <c r="AQ66" s="672">
        <f t="shared" si="12"/>
        <v>0</v>
      </c>
      <c r="AR66" s="672">
        <f t="shared" si="13"/>
        <v>0</v>
      </c>
      <c r="AS66" s="672">
        <f t="shared" si="18"/>
        <v>0</v>
      </c>
      <c r="AT66" s="672">
        <f t="shared" si="19"/>
        <v>0</v>
      </c>
      <c r="AU66" s="672">
        <f t="shared" si="14"/>
        <v>0</v>
      </c>
      <c r="AV66" s="672">
        <f t="shared" si="15"/>
        <v>0</v>
      </c>
      <c r="AW66" s="721">
        <f t="shared" si="16"/>
        <v>0</v>
      </c>
      <c r="AX66" s="686"/>
      <c r="AY66" s="686"/>
    </row>
    <row r="67" spans="3:51" s="46" customFormat="1" ht="30.75" hidden="1" customHeight="1" outlineLevel="1">
      <c r="C67" s="722">
        <v>50</v>
      </c>
      <c r="D67" s="687"/>
      <c r="E67" s="723"/>
      <c r="F67" s="724"/>
      <c r="G67" s="1961"/>
      <c r="H67" s="1962"/>
      <c r="I67" s="679"/>
      <c r="J67" s="725"/>
      <c r="K67" s="680"/>
      <c r="L67" s="681"/>
      <c r="M67" s="681"/>
      <c r="N67" s="681"/>
      <c r="O67" s="681"/>
      <c r="P67" s="681"/>
      <c r="Q67" s="681"/>
      <c r="R67" s="1094"/>
      <c r="S67" s="682"/>
      <c r="T67" s="726"/>
      <c r="U67" s="727"/>
      <c r="V67" s="717"/>
      <c r="W67" s="728"/>
      <c r="X67" s="729"/>
      <c r="Z67" s="670">
        <f t="shared" si="2"/>
        <v>0</v>
      </c>
      <c r="AA67" s="670">
        <f t="shared" si="17"/>
        <v>0</v>
      </c>
      <c r="AB67" s="670">
        <f t="shared" si="3"/>
        <v>0</v>
      </c>
      <c r="AC67" s="670">
        <f>IF(Z67=0,,VLOOKUP(Z67,リスト!DC:DD,2,0))</f>
        <v>0</v>
      </c>
      <c r="AD67" s="670">
        <f t="shared" si="4"/>
        <v>0</v>
      </c>
      <c r="AE67" s="671">
        <f>IF(AD67=0,,VLOOKUP(AD67,リスト!DK:DL,2,0))</f>
        <v>0</v>
      </c>
      <c r="AF67" s="670">
        <f>IF(Z67=0,,
IF(OR(リスト!$C$21="小麦",リスト!$C$21="二条大麦",リスト!$C$21="六条大麦",リスト!$C$21="はだか麦",リスト!$C$21="なたね"),IF(K67&lt;9,調査年-J67,調査年-J67-1),
IF(リスト!$C$21="さとうきび",IF(K67&gt;=4,調査年-J67,調査年-J67+1),
調査年-J67)))</f>
        <v>0</v>
      </c>
      <c r="AG67" s="672">
        <f t="shared" si="20"/>
        <v>0</v>
      </c>
      <c r="AH67" s="672">
        <f t="shared" si="6"/>
        <v>0</v>
      </c>
      <c r="AI67" s="672">
        <f t="shared" si="7"/>
        <v>0</v>
      </c>
      <c r="AJ67" s="672">
        <f t="shared" si="8"/>
        <v>0</v>
      </c>
      <c r="AK67" s="394"/>
      <c r="AL67" s="672">
        <f>IF(OR(R67=0,AH67=""),,
IF(OR(リスト!$C$21="小麦",リスト!$C$21="二条大麦",リスト!$C$21="六条大麦",リスト!$C$21="はだか麦",リスト!$C$21="なたね"),IF(OR(AND(K67&lt;9,J67=調査年),AND(K67&gt;=9,J67=調査年-1)),,ROUND(AH67*R67%,0)),
IF(リスト!$C$21="さとうきび",IF(OR(AND(K67&gt;=4,J67=調査年),AND(K67&lt;4,J67=調査年+1)),,ROUND(AH67*R67%,0)),
IF(J67=調査年,,ROUND(AH67*R67%,0)))))</f>
        <v>0</v>
      </c>
      <c r="AM67" s="672">
        <f t="shared" si="9"/>
        <v>0</v>
      </c>
      <c r="AN67" s="672">
        <f t="shared" si="10"/>
        <v>0</v>
      </c>
      <c r="AO67" s="672">
        <f t="shared" si="11"/>
        <v>0</v>
      </c>
      <c r="AP67" s="672">
        <f>IF(R67=0,,
SUM(
IF(OR(リスト!$C$21="小麦",リスト!$C$21="二条大麦",リスト!$C$21="六条大麦",リスト!$C$21="はだか麦",リスト!$C$21="なたね"),IF(OR(AND(AA67=1,K67&lt;9,J67=調査年),AND(AA67=1,K67&gt;=9,J67=調査年-1)),ROUND(L67*R67%,0),),
IF(リスト!$C$21="さとうきび",IF(OR(AND(AA67=1,K67&gt;=4,J67=調査年),AND(AA67=1,K67&lt;4,J67=調査年+1)),ROUND(L67*R67%,0),),
IF(AND(AA67=1,J67=調査年),ROUND(L67*R67%,0),))),
ROUND(M67*R67%,0)
))</f>
        <v>0</v>
      </c>
      <c r="AQ67" s="672">
        <f t="shared" si="12"/>
        <v>0</v>
      </c>
      <c r="AR67" s="672">
        <f t="shared" si="13"/>
        <v>0</v>
      </c>
      <c r="AS67" s="672">
        <f t="shared" si="18"/>
        <v>0</v>
      </c>
      <c r="AT67" s="672">
        <f t="shared" si="19"/>
        <v>0</v>
      </c>
      <c r="AU67" s="672">
        <f t="shared" si="14"/>
        <v>0</v>
      </c>
      <c r="AV67" s="672">
        <f t="shared" si="15"/>
        <v>0</v>
      </c>
      <c r="AW67" s="721">
        <f t="shared" si="16"/>
        <v>0</v>
      </c>
      <c r="AX67" s="686"/>
      <c r="AY67" s="686"/>
    </row>
    <row r="68" spans="3:51" s="46" customFormat="1" ht="30.75" hidden="1" customHeight="1" outlineLevel="1">
      <c r="C68" s="722">
        <v>51</v>
      </c>
      <c r="D68" s="687"/>
      <c r="E68" s="723"/>
      <c r="F68" s="724"/>
      <c r="G68" s="1961"/>
      <c r="H68" s="1962"/>
      <c r="I68" s="679"/>
      <c r="J68" s="725"/>
      <c r="K68" s="680"/>
      <c r="L68" s="681"/>
      <c r="M68" s="681"/>
      <c r="N68" s="681"/>
      <c r="O68" s="681"/>
      <c r="P68" s="681"/>
      <c r="Q68" s="681"/>
      <c r="R68" s="1094"/>
      <c r="S68" s="682"/>
      <c r="T68" s="726"/>
      <c r="U68" s="727"/>
      <c r="V68" s="717"/>
      <c r="W68" s="728"/>
      <c r="X68" s="729"/>
      <c r="Z68" s="670">
        <f t="shared" si="2"/>
        <v>0</v>
      </c>
      <c r="AA68" s="670">
        <f t="shared" si="17"/>
        <v>0</v>
      </c>
      <c r="AB68" s="670">
        <f t="shared" si="3"/>
        <v>0</v>
      </c>
      <c r="AC68" s="670">
        <f>IF(Z68=0,,VLOOKUP(Z68,リスト!DC:DD,2,0))</f>
        <v>0</v>
      </c>
      <c r="AD68" s="670">
        <f t="shared" si="4"/>
        <v>0</v>
      </c>
      <c r="AE68" s="671">
        <f>IF(AD68=0,,VLOOKUP(AD68,リスト!DK:DL,2,0))</f>
        <v>0</v>
      </c>
      <c r="AF68" s="670">
        <f>IF(Z68=0,,
IF(OR(リスト!$C$21="小麦",リスト!$C$21="二条大麦",リスト!$C$21="六条大麦",リスト!$C$21="はだか麦",リスト!$C$21="なたね"),IF(K68&lt;9,調査年-J68,調査年-J68-1),
IF(リスト!$C$21="さとうきび",IF(K68&gt;=4,調査年-J68,調査年-J68+1),
調査年-J68)))</f>
        <v>0</v>
      </c>
      <c r="AG68" s="672">
        <f t="shared" si="20"/>
        <v>0</v>
      </c>
      <c r="AH68" s="672">
        <f t="shared" si="6"/>
        <v>0</v>
      </c>
      <c r="AI68" s="672">
        <f t="shared" si="7"/>
        <v>0</v>
      </c>
      <c r="AJ68" s="672">
        <f t="shared" si="8"/>
        <v>0</v>
      </c>
      <c r="AK68" s="394"/>
      <c r="AL68" s="672">
        <f>IF(OR(R68=0,AH68=""),,
IF(OR(リスト!$C$21="小麦",リスト!$C$21="二条大麦",リスト!$C$21="六条大麦",リスト!$C$21="はだか麦",リスト!$C$21="なたね"),IF(OR(AND(K68&lt;9,J68=調査年),AND(K68&gt;=9,J68=調査年-1)),,ROUND(AH68*R68%,0)),
IF(リスト!$C$21="さとうきび",IF(OR(AND(K68&gt;=4,J68=調査年),AND(K68&lt;4,J68=調査年+1)),,ROUND(AH68*R68%,0)),
IF(J68=調査年,,ROUND(AH68*R68%,0)))))</f>
        <v>0</v>
      </c>
      <c r="AM68" s="672">
        <f t="shared" si="9"/>
        <v>0</v>
      </c>
      <c r="AN68" s="672">
        <f t="shared" si="10"/>
        <v>0</v>
      </c>
      <c r="AO68" s="672">
        <f t="shared" si="11"/>
        <v>0</v>
      </c>
      <c r="AP68" s="672">
        <f>IF(R68=0,,
SUM(
IF(OR(リスト!$C$21="小麦",リスト!$C$21="二条大麦",リスト!$C$21="六条大麦",リスト!$C$21="はだか麦",リスト!$C$21="なたね"),IF(OR(AND(AA68=1,K68&lt;9,J68=調査年),AND(AA68=1,K68&gt;=9,J68=調査年-1)),ROUND(L68*R68%,0),),
IF(リスト!$C$21="さとうきび",IF(OR(AND(AA68=1,K68&gt;=4,J68=調査年),AND(AA68=1,K68&lt;4,J68=調査年+1)),ROUND(L68*R68%,0),),
IF(AND(AA68=1,J68=調査年),ROUND(L68*R68%,0),))),
ROUND(M68*R68%,0)
))</f>
        <v>0</v>
      </c>
      <c r="AQ68" s="672">
        <f t="shared" si="12"/>
        <v>0</v>
      </c>
      <c r="AR68" s="672">
        <f t="shared" si="13"/>
        <v>0</v>
      </c>
      <c r="AS68" s="672">
        <f t="shared" si="18"/>
        <v>0</v>
      </c>
      <c r="AT68" s="672">
        <f t="shared" si="19"/>
        <v>0</v>
      </c>
      <c r="AU68" s="672">
        <f t="shared" si="14"/>
        <v>0</v>
      </c>
      <c r="AV68" s="672">
        <f t="shared" si="15"/>
        <v>0</v>
      </c>
      <c r="AW68" s="721">
        <f t="shared" si="16"/>
        <v>0</v>
      </c>
      <c r="AX68" s="686"/>
      <c r="AY68" s="686"/>
    </row>
    <row r="69" spans="3:51" s="46" customFormat="1" ht="30.75" hidden="1" customHeight="1" outlineLevel="1">
      <c r="C69" s="722">
        <v>52</v>
      </c>
      <c r="D69" s="687"/>
      <c r="E69" s="723"/>
      <c r="F69" s="724"/>
      <c r="G69" s="1961"/>
      <c r="H69" s="1962"/>
      <c r="I69" s="679"/>
      <c r="J69" s="725"/>
      <c r="K69" s="680"/>
      <c r="L69" s="681"/>
      <c r="M69" s="681"/>
      <c r="N69" s="681"/>
      <c r="O69" s="681"/>
      <c r="P69" s="681"/>
      <c r="Q69" s="681"/>
      <c r="R69" s="1094"/>
      <c r="S69" s="682"/>
      <c r="T69" s="726"/>
      <c r="U69" s="727"/>
      <c r="V69" s="717"/>
      <c r="W69" s="728"/>
      <c r="X69" s="729"/>
      <c r="Z69" s="670">
        <f t="shared" si="2"/>
        <v>0</v>
      </c>
      <c r="AA69" s="670">
        <f t="shared" si="17"/>
        <v>0</v>
      </c>
      <c r="AB69" s="670">
        <f t="shared" si="3"/>
        <v>0</v>
      </c>
      <c r="AC69" s="670">
        <f>IF(Z69=0,,VLOOKUP(Z69,リスト!DC:DD,2,0))</f>
        <v>0</v>
      </c>
      <c r="AD69" s="670">
        <f t="shared" si="4"/>
        <v>0</v>
      </c>
      <c r="AE69" s="671">
        <f>IF(AD69=0,,VLOOKUP(AD69,リスト!DK:DL,2,0))</f>
        <v>0</v>
      </c>
      <c r="AF69" s="670">
        <f>IF(Z69=0,,
IF(OR(リスト!$C$21="小麦",リスト!$C$21="二条大麦",リスト!$C$21="六条大麦",リスト!$C$21="はだか麦",リスト!$C$21="なたね"),IF(K69&lt;9,調査年-J69,調査年-J69-1),
IF(リスト!$C$21="さとうきび",IF(K69&gt;=4,調査年-J69,調査年-J69+1),
調査年-J69)))</f>
        <v>0</v>
      </c>
      <c r="AG69" s="672">
        <f t="shared" si="20"/>
        <v>0</v>
      </c>
      <c r="AH69" s="672">
        <f t="shared" si="6"/>
        <v>0</v>
      </c>
      <c r="AI69" s="672">
        <f t="shared" si="7"/>
        <v>0</v>
      </c>
      <c r="AJ69" s="672">
        <f t="shared" si="8"/>
        <v>0</v>
      </c>
      <c r="AK69" s="394"/>
      <c r="AL69" s="672">
        <f>IF(OR(R69=0,AH69=""),,
IF(OR(リスト!$C$21="小麦",リスト!$C$21="二条大麦",リスト!$C$21="六条大麦",リスト!$C$21="はだか麦",リスト!$C$21="なたね"),IF(OR(AND(K69&lt;9,J69=調査年),AND(K69&gt;=9,J69=調査年-1)),,ROUND(AH69*R69%,0)),
IF(リスト!$C$21="さとうきび",IF(OR(AND(K69&gt;=4,J69=調査年),AND(K69&lt;4,J69=調査年+1)),,ROUND(AH69*R69%,0)),
IF(J69=調査年,,ROUND(AH69*R69%,0)))))</f>
        <v>0</v>
      </c>
      <c r="AM69" s="672">
        <f t="shared" si="9"/>
        <v>0</v>
      </c>
      <c r="AN69" s="672">
        <f t="shared" si="10"/>
        <v>0</v>
      </c>
      <c r="AO69" s="672">
        <f t="shared" si="11"/>
        <v>0</v>
      </c>
      <c r="AP69" s="672">
        <f>IF(R69=0,,
SUM(
IF(OR(リスト!$C$21="小麦",リスト!$C$21="二条大麦",リスト!$C$21="六条大麦",リスト!$C$21="はだか麦",リスト!$C$21="なたね"),IF(OR(AND(AA69=1,K69&lt;9,J69=調査年),AND(AA69=1,K69&gt;=9,J69=調査年-1)),ROUND(L69*R69%,0),),
IF(リスト!$C$21="さとうきび",IF(OR(AND(AA69=1,K69&gt;=4,J69=調査年),AND(AA69=1,K69&lt;4,J69=調査年+1)),ROUND(L69*R69%,0),),
IF(AND(AA69=1,J69=調査年),ROUND(L69*R69%,0),))),
ROUND(M69*R69%,0)
))</f>
        <v>0</v>
      </c>
      <c r="AQ69" s="672">
        <f t="shared" si="12"/>
        <v>0</v>
      </c>
      <c r="AR69" s="672">
        <f t="shared" si="13"/>
        <v>0</v>
      </c>
      <c r="AS69" s="672">
        <f t="shared" si="18"/>
        <v>0</v>
      </c>
      <c r="AT69" s="672">
        <f t="shared" si="19"/>
        <v>0</v>
      </c>
      <c r="AU69" s="672">
        <f t="shared" si="14"/>
        <v>0</v>
      </c>
      <c r="AV69" s="672">
        <f t="shared" si="15"/>
        <v>0</v>
      </c>
      <c r="AW69" s="721">
        <f t="shared" si="16"/>
        <v>0</v>
      </c>
      <c r="AX69" s="686"/>
      <c r="AY69" s="686"/>
    </row>
    <row r="70" spans="3:51" s="46" customFormat="1" ht="30.75" hidden="1" customHeight="1" outlineLevel="1">
      <c r="C70" s="722">
        <v>53</v>
      </c>
      <c r="D70" s="687"/>
      <c r="E70" s="723"/>
      <c r="F70" s="724"/>
      <c r="G70" s="1961"/>
      <c r="H70" s="1962"/>
      <c r="I70" s="679"/>
      <c r="J70" s="725"/>
      <c r="K70" s="680"/>
      <c r="L70" s="681"/>
      <c r="M70" s="681"/>
      <c r="N70" s="681"/>
      <c r="O70" s="681"/>
      <c r="P70" s="681"/>
      <c r="Q70" s="681"/>
      <c r="R70" s="1094"/>
      <c r="S70" s="682"/>
      <c r="T70" s="726"/>
      <c r="U70" s="727"/>
      <c r="V70" s="717"/>
      <c r="W70" s="728"/>
      <c r="X70" s="729"/>
      <c r="Z70" s="670">
        <f t="shared" si="2"/>
        <v>0</v>
      </c>
      <c r="AA70" s="670">
        <f t="shared" si="17"/>
        <v>0</v>
      </c>
      <c r="AB70" s="670">
        <f t="shared" si="3"/>
        <v>0</v>
      </c>
      <c r="AC70" s="670">
        <f>IF(Z70=0,,VLOOKUP(Z70,リスト!DC:DD,2,0))</f>
        <v>0</v>
      </c>
      <c r="AD70" s="670">
        <f t="shared" si="4"/>
        <v>0</v>
      </c>
      <c r="AE70" s="671">
        <f>IF(AD70=0,,VLOOKUP(AD70,リスト!DK:DL,2,0))</f>
        <v>0</v>
      </c>
      <c r="AF70" s="670">
        <f>IF(Z70=0,,
IF(OR(リスト!$C$21="小麦",リスト!$C$21="二条大麦",リスト!$C$21="六条大麦",リスト!$C$21="はだか麦",リスト!$C$21="なたね"),IF(K70&lt;9,調査年-J70,調査年-J70-1),
IF(リスト!$C$21="さとうきび",IF(K70&gt;=4,調査年-J70,調査年-J70+1),
調査年-J70)))</f>
        <v>0</v>
      </c>
      <c r="AG70" s="672">
        <f t="shared" si="20"/>
        <v>0</v>
      </c>
      <c r="AH70" s="672">
        <f t="shared" si="6"/>
        <v>0</v>
      </c>
      <c r="AI70" s="672">
        <f t="shared" si="7"/>
        <v>0</v>
      </c>
      <c r="AJ70" s="672">
        <f t="shared" si="8"/>
        <v>0</v>
      </c>
      <c r="AK70" s="394"/>
      <c r="AL70" s="672">
        <f>IF(OR(R70=0,AH70=""),,
IF(OR(リスト!$C$21="小麦",リスト!$C$21="二条大麦",リスト!$C$21="六条大麦",リスト!$C$21="はだか麦",リスト!$C$21="なたね"),IF(OR(AND(K70&lt;9,J70=調査年),AND(K70&gt;=9,J70=調査年-1)),,ROUND(AH70*R70%,0)),
IF(リスト!$C$21="さとうきび",IF(OR(AND(K70&gt;=4,J70=調査年),AND(K70&lt;4,J70=調査年+1)),,ROUND(AH70*R70%,0)),
IF(J70=調査年,,ROUND(AH70*R70%,0)))))</f>
        <v>0</v>
      </c>
      <c r="AM70" s="672">
        <f t="shared" si="9"/>
        <v>0</v>
      </c>
      <c r="AN70" s="672">
        <f t="shared" si="10"/>
        <v>0</v>
      </c>
      <c r="AO70" s="672">
        <f t="shared" si="11"/>
        <v>0</v>
      </c>
      <c r="AP70" s="672">
        <f>IF(R70=0,,
SUM(
IF(OR(リスト!$C$21="小麦",リスト!$C$21="二条大麦",リスト!$C$21="六条大麦",リスト!$C$21="はだか麦",リスト!$C$21="なたね"),IF(OR(AND(AA70=1,K70&lt;9,J70=調査年),AND(AA70=1,K70&gt;=9,J70=調査年-1)),ROUND(L70*R70%,0),),
IF(リスト!$C$21="さとうきび",IF(OR(AND(AA70=1,K70&gt;=4,J70=調査年),AND(AA70=1,K70&lt;4,J70=調査年+1)),ROUND(L70*R70%,0),),
IF(AND(AA70=1,J70=調査年),ROUND(L70*R70%,0),))),
ROUND(M70*R70%,0)
))</f>
        <v>0</v>
      </c>
      <c r="AQ70" s="672">
        <f t="shared" si="12"/>
        <v>0</v>
      </c>
      <c r="AR70" s="672">
        <f t="shared" si="13"/>
        <v>0</v>
      </c>
      <c r="AS70" s="672">
        <f t="shared" si="18"/>
        <v>0</v>
      </c>
      <c r="AT70" s="672">
        <f t="shared" si="19"/>
        <v>0</v>
      </c>
      <c r="AU70" s="672">
        <f t="shared" si="14"/>
        <v>0</v>
      </c>
      <c r="AV70" s="672">
        <f t="shared" si="15"/>
        <v>0</v>
      </c>
      <c r="AW70" s="721">
        <f t="shared" si="16"/>
        <v>0</v>
      </c>
      <c r="AX70" s="686"/>
      <c r="AY70" s="686"/>
    </row>
    <row r="71" spans="3:51" s="46" customFormat="1" ht="30.75" hidden="1" customHeight="1" outlineLevel="1">
      <c r="C71" s="722">
        <v>54</v>
      </c>
      <c r="D71" s="687"/>
      <c r="E71" s="723"/>
      <c r="F71" s="724"/>
      <c r="G71" s="1961"/>
      <c r="H71" s="1962"/>
      <c r="I71" s="679"/>
      <c r="J71" s="725"/>
      <c r="K71" s="680"/>
      <c r="L71" s="681"/>
      <c r="M71" s="681"/>
      <c r="N71" s="681"/>
      <c r="O71" s="681"/>
      <c r="P71" s="681"/>
      <c r="Q71" s="681"/>
      <c r="R71" s="1094"/>
      <c r="S71" s="682"/>
      <c r="T71" s="726"/>
      <c r="U71" s="727"/>
      <c r="V71" s="717"/>
      <c r="W71" s="728"/>
      <c r="X71" s="729"/>
      <c r="Z71" s="670">
        <f t="shared" si="2"/>
        <v>0</v>
      </c>
      <c r="AA71" s="670">
        <f t="shared" si="17"/>
        <v>0</v>
      </c>
      <c r="AB71" s="670">
        <f t="shared" si="3"/>
        <v>0</v>
      </c>
      <c r="AC71" s="670">
        <f>IF(Z71=0,,VLOOKUP(Z71,リスト!DC:DD,2,0))</f>
        <v>0</v>
      </c>
      <c r="AD71" s="670">
        <f t="shared" si="4"/>
        <v>0</v>
      </c>
      <c r="AE71" s="671">
        <f>IF(AD71=0,,VLOOKUP(AD71,リスト!DK:DL,2,0))</f>
        <v>0</v>
      </c>
      <c r="AF71" s="670">
        <f>IF(Z71=0,,
IF(OR(リスト!$C$21="小麦",リスト!$C$21="二条大麦",リスト!$C$21="六条大麦",リスト!$C$21="はだか麦",リスト!$C$21="なたね"),IF(K71&lt;9,調査年-J71,調査年-J71-1),
IF(リスト!$C$21="さとうきび",IF(K71&gt;=4,調査年-J71,調査年-J71+1),
調査年-J71)))</f>
        <v>0</v>
      </c>
      <c r="AG71" s="672">
        <f t="shared" si="20"/>
        <v>0</v>
      </c>
      <c r="AH71" s="672">
        <f t="shared" si="6"/>
        <v>0</v>
      </c>
      <c r="AI71" s="672">
        <f t="shared" si="7"/>
        <v>0</v>
      </c>
      <c r="AJ71" s="672">
        <f t="shared" si="8"/>
        <v>0</v>
      </c>
      <c r="AK71" s="394"/>
      <c r="AL71" s="672">
        <f>IF(OR(R71=0,AH71=""),,
IF(OR(リスト!$C$21="小麦",リスト!$C$21="二条大麦",リスト!$C$21="六条大麦",リスト!$C$21="はだか麦",リスト!$C$21="なたね"),IF(OR(AND(K71&lt;9,J71=調査年),AND(K71&gt;=9,J71=調査年-1)),,ROUND(AH71*R71%,0)),
IF(リスト!$C$21="さとうきび",IF(OR(AND(K71&gt;=4,J71=調査年),AND(K71&lt;4,J71=調査年+1)),,ROUND(AH71*R71%,0)),
IF(J71=調査年,,ROUND(AH71*R71%,0)))))</f>
        <v>0</v>
      </c>
      <c r="AM71" s="672">
        <f t="shared" si="9"/>
        <v>0</v>
      </c>
      <c r="AN71" s="672">
        <f t="shared" si="10"/>
        <v>0</v>
      </c>
      <c r="AO71" s="672">
        <f t="shared" si="11"/>
        <v>0</v>
      </c>
      <c r="AP71" s="672">
        <f>IF(R71=0,,
SUM(
IF(OR(リスト!$C$21="小麦",リスト!$C$21="二条大麦",リスト!$C$21="六条大麦",リスト!$C$21="はだか麦",リスト!$C$21="なたね"),IF(OR(AND(AA71=1,K71&lt;9,J71=調査年),AND(AA71=1,K71&gt;=9,J71=調査年-1)),ROUND(L71*R71%,0),),
IF(リスト!$C$21="さとうきび",IF(OR(AND(AA71=1,K71&gt;=4,J71=調査年),AND(AA71=1,K71&lt;4,J71=調査年+1)),ROUND(L71*R71%,0),),
IF(AND(AA71=1,J71=調査年),ROUND(L71*R71%,0),))),
ROUND(M71*R71%,0)
))</f>
        <v>0</v>
      </c>
      <c r="AQ71" s="672">
        <f t="shared" si="12"/>
        <v>0</v>
      </c>
      <c r="AR71" s="672">
        <f t="shared" si="13"/>
        <v>0</v>
      </c>
      <c r="AS71" s="672">
        <f t="shared" si="18"/>
        <v>0</v>
      </c>
      <c r="AT71" s="672">
        <f t="shared" si="19"/>
        <v>0</v>
      </c>
      <c r="AU71" s="672">
        <f t="shared" si="14"/>
        <v>0</v>
      </c>
      <c r="AV71" s="672">
        <f t="shared" si="15"/>
        <v>0</v>
      </c>
      <c r="AW71" s="721">
        <f t="shared" si="16"/>
        <v>0</v>
      </c>
      <c r="AX71" s="686"/>
      <c r="AY71" s="686"/>
    </row>
    <row r="72" spans="3:51" s="46" customFormat="1" ht="30.75" hidden="1" customHeight="1" outlineLevel="1">
      <c r="C72" s="722">
        <v>55</v>
      </c>
      <c r="D72" s="687"/>
      <c r="E72" s="723"/>
      <c r="F72" s="724"/>
      <c r="G72" s="1961"/>
      <c r="H72" s="1962"/>
      <c r="I72" s="679"/>
      <c r="J72" s="725"/>
      <c r="K72" s="680"/>
      <c r="L72" s="681"/>
      <c r="M72" s="681"/>
      <c r="N72" s="681"/>
      <c r="O72" s="681"/>
      <c r="P72" s="681"/>
      <c r="Q72" s="681"/>
      <c r="R72" s="1094"/>
      <c r="S72" s="682"/>
      <c r="T72" s="726"/>
      <c r="U72" s="727"/>
      <c r="V72" s="717"/>
      <c r="W72" s="728"/>
      <c r="X72" s="729"/>
      <c r="Z72" s="670">
        <f t="shared" si="2"/>
        <v>0</v>
      </c>
      <c r="AA72" s="670">
        <f t="shared" si="17"/>
        <v>0</v>
      </c>
      <c r="AB72" s="670">
        <f t="shared" si="3"/>
        <v>0</v>
      </c>
      <c r="AC72" s="670">
        <f>IF(Z72=0,,VLOOKUP(Z72,リスト!DC:DD,2,0))</f>
        <v>0</v>
      </c>
      <c r="AD72" s="670">
        <f t="shared" si="4"/>
        <v>0</v>
      </c>
      <c r="AE72" s="671">
        <f>IF(AD72=0,,VLOOKUP(AD72,リスト!DK:DL,2,0))</f>
        <v>0</v>
      </c>
      <c r="AF72" s="670">
        <f>IF(Z72=0,,
IF(OR(リスト!$C$21="小麦",リスト!$C$21="二条大麦",リスト!$C$21="六条大麦",リスト!$C$21="はだか麦",リスト!$C$21="なたね"),IF(K72&lt;9,調査年-J72,調査年-J72-1),
IF(リスト!$C$21="さとうきび",IF(K72&gt;=4,調査年-J72,調査年-J72+1),
調査年-J72)))</f>
        <v>0</v>
      </c>
      <c r="AG72" s="672">
        <f t="shared" si="20"/>
        <v>0</v>
      </c>
      <c r="AH72" s="672">
        <f t="shared" si="6"/>
        <v>0</v>
      </c>
      <c r="AI72" s="672">
        <f t="shared" si="7"/>
        <v>0</v>
      </c>
      <c r="AJ72" s="672">
        <f t="shared" si="8"/>
        <v>0</v>
      </c>
      <c r="AK72" s="394"/>
      <c r="AL72" s="672">
        <f>IF(OR(R72=0,AH72=""),,
IF(OR(リスト!$C$21="小麦",リスト!$C$21="二条大麦",リスト!$C$21="六条大麦",リスト!$C$21="はだか麦",リスト!$C$21="なたね"),IF(OR(AND(K72&lt;9,J72=調査年),AND(K72&gt;=9,J72=調査年-1)),,ROUND(AH72*R72%,0)),
IF(リスト!$C$21="さとうきび",IF(OR(AND(K72&gt;=4,J72=調査年),AND(K72&lt;4,J72=調査年+1)),,ROUND(AH72*R72%,0)),
IF(J72=調査年,,ROUND(AH72*R72%,0)))))</f>
        <v>0</v>
      </c>
      <c r="AM72" s="672">
        <f t="shared" si="9"/>
        <v>0</v>
      </c>
      <c r="AN72" s="672">
        <f t="shared" si="10"/>
        <v>0</v>
      </c>
      <c r="AO72" s="672">
        <f t="shared" si="11"/>
        <v>0</v>
      </c>
      <c r="AP72" s="672">
        <f>IF(R72=0,,
SUM(
IF(OR(リスト!$C$21="小麦",リスト!$C$21="二条大麦",リスト!$C$21="六条大麦",リスト!$C$21="はだか麦",リスト!$C$21="なたね"),IF(OR(AND(AA72=1,K72&lt;9,J72=調査年),AND(AA72=1,K72&gt;=9,J72=調査年-1)),ROUND(L72*R72%,0),),
IF(リスト!$C$21="さとうきび",IF(OR(AND(AA72=1,K72&gt;=4,J72=調査年),AND(AA72=1,K72&lt;4,J72=調査年+1)),ROUND(L72*R72%,0),),
IF(AND(AA72=1,J72=調査年),ROUND(L72*R72%,0),))),
ROUND(M72*R72%,0)
))</f>
        <v>0</v>
      </c>
      <c r="AQ72" s="672">
        <f t="shared" si="12"/>
        <v>0</v>
      </c>
      <c r="AR72" s="672">
        <f t="shared" si="13"/>
        <v>0</v>
      </c>
      <c r="AS72" s="672">
        <f t="shared" si="18"/>
        <v>0</v>
      </c>
      <c r="AT72" s="672">
        <f t="shared" si="19"/>
        <v>0</v>
      </c>
      <c r="AU72" s="672">
        <f t="shared" si="14"/>
        <v>0</v>
      </c>
      <c r="AV72" s="672">
        <f t="shared" si="15"/>
        <v>0</v>
      </c>
      <c r="AW72" s="721">
        <f t="shared" si="16"/>
        <v>0</v>
      </c>
      <c r="AX72" s="686"/>
      <c r="AY72" s="686"/>
    </row>
    <row r="73" spans="3:51" s="46" customFormat="1" ht="30.75" hidden="1" customHeight="1" outlineLevel="1">
      <c r="C73" s="722">
        <v>56</v>
      </c>
      <c r="D73" s="687"/>
      <c r="E73" s="731"/>
      <c r="F73" s="732"/>
      <c r="G73" s="1965"/>
      <c r="H73" s="1966"/>
      <c r="I73" s="733"/>
      <c r="J73" s="734"/>
      <c r="K73" s="735"/>
      <c r="L73" s="736"/>
      <c r="M73" s="736"/>
      <c r="N73" s="736"/>
      <c r="O73" s="736"/>
      <c r="P73" s="736"/>
      <c r="Q73" s="736"/>
      <c r="R73" s="1094"/>
      <c r="S73" s="737"/>
      <c r="T73" s="738"/>
      <c r="U73" s="739"/>
      <c r="V73" s="717"/>
      <c r="W73" s="728"/>
      <c r="X73" s="729"/>
      <c r="Z73" s="670">
        <f t="shared" si="2"/>
        <v>0</v>
      </c>
      <c r="AA73" s="670">
        <f t="shared" si="17"/>
        <v>0</v>
      </c>
      <c r="AB73" s="670">
        <f t="shared" si="3"/>
        <v>0</v>
      </c>
      <c r="AC73" s="670">
        <f>IF(Z73=0,,VLOOKUP(Z73,リスト!DC:DD,2,0))</f>
        <v>0</v>
      </c>
      <c r="AD73" s="670">
        <f t="shared" si="4"/>
        <v>0</v>
      </c>
      <c r="AE73" s="671">
        <f>IF(AD73=0,,VLOOKUP(AD73,リスト!DK:DL,2,0))</f>
        <v>0</v>
      </c>
      <c r="AF73" s="670">
        <f>IF(Z73=0,,
IF(OR(リスト!$C$21="小麦",リスト!$C$21="二条大麦",リスト!$C$21="六条大麦",リスト!$C$21="はだか麦",リスト!$C$21="なたね"),IF(K73&lt;9,調査年-J73,調査年-J73-1),
IF(リスト!$C$21="さとうきび",IF(K73&gt;=4,調査年-J73,調査年-J73+1),
調査年-J73)))</f>
        <v>0</v>
      </c>
      <c r="AG73" s="672">
        <f t="shared" si="20"/>
        <v>0</v>
      </c>
      <c r="AH73" s="672">
        <f t="shared" si="6"/>
        <v>0</v>
      </c>
      <c r="AI73" s="672">
        <f t="shared" si="7"/>
        <v>0</v>
      </c>
      <c r="AJ73" s="672">
        <f t="shared" si="8"/>
        <v>0</v>
      </c>
      <c r="AK73" s="394"/>
      <c r="AL73" s="672">
        <f>IF(OR(R73=0,AH73=""),,
IF(OR(リスト!$C$21="小麦",リスト!$C$21="二条大麦",リスト!$C$21="六条大麦",リスト!$C$21="はだか麦",リスト!$C$21="なたね"),IF(OR(AND(K73&lt;9,J73=調査年),AND(K73&gt;=9,J73=調査年-1)),,ROUND(AH73*R73%,0)),
IF(リスト!$C$21="さとうきび",IF(OR(AND(K73&gt;=4,J73=調査年),AND(K73&lt;4,J73=調査年+1)),,ROUND(AH73*R73%,0)),
IF(J73=調査年,,ROUND(AH73*R73%,0)))))</f>
        <v>0</v>
      </c>
      <c r="AM73" s="672">
        <f t="shared" si="9"/>
        <v>0</v>
      </c>
      <c r="AN73" s="672">
        <f t="shared" si="10"/>
        <v>0</v>
      </c>
      <c r="AO73" s="672">
        <f t="shared" si="11"/>
        <v>0</v>
      </c>
      <c r="AP73" s="672">
        <f>IF(R73=0,,
SUM(
IF(OR(リスト!$C$21="小麦",リスト!$C$21="二条大麦",リスト!$C$21="六条大麦",リスト!$C$21="はだか麦",リスト!$C$21="なたね"),IF(OR(AND(AA73=1,K73&lt;9,J73=調査年),AND(AA73=1,K73&gt;=9,J73=調査年-1)),ROUND(L73*R73%,0),),
IF(リスト!$C$21="さとうきび",IF(OR(AND(AA73=1,K73&gt;=4,J73=調査年),AND(AA73=1,K73&lt;4,J73=調査年+1)),ROUND(L73*R73%,0),),
IF(AND(AA73=1,J73=調査年),ROUND(L73*R73%,0),))),
ROUND(M73*R73%,0)
))</f>
        <v>0</v>
      </c>
      <c r="AQ73" s="672">
        <f t="shared" si="12"/>
        <v>0</v>
      </c>
      <c r="AR73" s="672">
        <f t="shared" si="13"/>
        <v>0</v>
      </c>
      <c r="AS73" s="672">
        <f t="shared" si="18"/>
        <v>0</v>
      </c>
      <c r="AT73" s="672">
        <f t="shared" si="19"/>
        <v>0</v>
      </c>
      <c r="AU73" s="672">
        <f t="shared" si="14"/>
        <v>0</v>
      </c>
      <c r="AV73" s="672">
        <f t="shared" si="15"/>
        <v>0</v>
      </c>
      <c r="AW73" s="721">
        <f t="shared" si="16"/>
        <v>0</v>
      </c>
      <c r="AX73" s="686"/>
      <c r="AY73" s="686"/>
    </row>
    <row r="74" spans="3:51" s="46" customFormat="1" ht="30.75" hidden="1" customHeight="1" outlineLevel="1">
      <c r="C74" s="722">
        <v>57</v>
      </c>
      <c r="D74" s="687"/>
      <c r="E74" s="723"/>
      <c r="F74" s="724"/>
      <c r="G74" s="1961"/>
      <c r="H74" s="1962"/>
      <c r="I74" s="679"/>
      <c r="J74" s="725"/>
      <c r="K74" s="680"/>
      <c r="L74" s="681"/>
      <c r="M74" s="681"/>
      <c r="N74" s="681"/>
      <c r="O74" s="681"/>
      <c r="P74" s="681"/>
      <c r="Q74" s="681"/>
      <c r="R74" s="1094"/>
      <c r="S74" s="682"/>
      <c r="T74" s="726"/>
      <c r="U74" s="727"/>
      <c r="V74" s="717"/>
      <c r="W74" s="728"/>
      <c r="X74" s="729"/>
      <c r="Z74" s="670">
        <f t="shared" si="2"/>
        <v>0</v>
      </c>
      <c r="AA74" s="670">
        <f t="shared" si="17"/>
        <v>0</v>
      </c>
      <c r="AB74" s="670">
        <f t="shared" si="3"/>
        <v>0</v>
      </c>
      <c r="AC74" s="670">
        <f>IF(Z74=0,,VLOOKUP(Z74,リスト!DC:DD,2,0))</f>
        <v>0</v>
      </c>
      <c r="AD74" s="670">
        <f t="shared" si="4"/>
        <v>0</v>
      </c>
      <c r="AE74" s="671">
        <f>IF(AD74=0,,VLOOKUP(AD74,リスト!DK:DL,2,0))</f>
        <v>0</v>
      </c>
      <c r="AF74" s="670">
        <f>IF(Z74=0,,
IF(OR(リスト!$C$21="小麦",リスト!$C$21="二条大麦",リスト!$C$21="六条大麦",リスト!$C$21="はだか麦",リスト!$C$21="なたね"),IF(K74&lt;9,調査年-J74,調査年-J74-1),
IF(リスト!$C$21="さとうきび",IF(K74&gt;=4,調査年-J74,調査年-J74+1),
調査年-J74)))</f>
        <v>0</v>
      </c>
      <c r="AG74" s="672">
        <f t="shared" si="20"/>
        <v>0</v>
      </c>
      <c r="AH74" s="672">
        <f t="shared" si="6"/>
        <v>0</v>
      </c>
      <c r="AI74" s="672">
        <f t="shared" si="7"/>
        <v>0</v>
      </c>
      <c r="AJ74" s="672">
        <f t="shared" si="8"/>
        <v>0</v>
      </c>
      <c r="AK74" s="394"/>
      <c r="AL74" s="672">
        <f>IF(OR(R74=0,AH74=""),,
IF(OR(リスト!$C$21="小麦",リスト!$C$21="二条大麦",リスト!$C$21="六条大麦",リスト!$C$21="はだか麦",リスト!$C$21="なたね"),IF(OR(AND(K74&lt;9,J74=調査年),AND(K74&gt;=9,J74=調査年-1)),,ROUND(AH74*R74%,0)),
IF(リスト!$C$21="さとうきび",IF(OR(AND(K74&gt;=4,J74=調査年),AND(K74&lt;4,J74=調査年+1)),,ROUND(AH74*R74%,0)),
IF(J74=調査年,,ROUND(AH74*R74%,0)))))</f>
        <v>0</v>
      </c>
      <c r="AM74" s="672">
        <f t="shared" si="9"/>
        <v>0</v>
      </c>
      <c r="AN74" s="672">
        <f t="shared" si="10"/>
        <v>0</v>
      </c>
      <c r="AO74" s="672">
        <f t="shared" si="11"/>
        <v>0</v>
      </c>
      <c r="AP74" s="672">
        <f>IF(R74=0,,
SUM(
IF(OR(リスト!$C$21="小麦",リスト!$C$21="二条大麦",リスト!$C$21="六条大麦",リスト!$C$21="はだか麦",リスト!$C$21="なたね"),IF(OR(AND(AA74=1,K74&lt;9,J74=調査年),AND(AA74=1,K74&gt;=9,J74=調査年-1)),ROUND(L74*R74%,0),),
IF(リスト!$C$21="さとうきび",IF(OR(AND(AA74=1,K74&gt;=4,J74=調査年),AND(AA74=1,K74&lt;4,J74=調査年+1)),ROUND(L74*R74%,0),),
IF(AND(AA74=1,J74=調査年),ROUND(L74*R74%,0),))),
ROUND(M74*R74%,0)
))</f>
        <v>0</v>
      </c>
      <c r="AQ74" s="672">
        <f t="shared" si="12"/>
        <v>0</v>
      </c>
      <c r="AR74" s="672">
        <f t="shared" si="13"/>
        <v>0</v>
      </c>
      <c r="AS74" s="672">
        <f t="shared" si="18"/>
        <v>0</v>
      </c>
      <c r="AT74" s="672">
        <f t="shared" si="19"/>
        <v>0</v>
      </c>
      <c r="AU74" s="672">
        <f t="shared" si="14"/>
        <v>0</v>
      </c>
      <c r="AV74" s="672">
        <f t="shared" si="15"/>
        <v>0</v>
      </c>
      <c r="AW74" s="721">
        <f t="shared" si="16"/>
        <v>0</v>
      </c>
      <c r="AX74" s="686"/>
      <c r="AY74" s="686"/>
    </row>
    <row r="75" spans="3:51" s="46" customFormat="1" ht="30.75" hidden="1" customHeight="1" outlineLevel="1">
      <c r="C75" s="722">
        <v>58</v>
      </c>
      <c r="D75" s="687"/>
      <c r="E75" s="723"/>
      <c r="F75" s="724"/>
      <c r="G75" s="1961"/>
      <c r="H75" s="1962"/>
      <c r="I75" s="679"/>
      <c r="J75" s="725"/>
      <c r="K75" s="680"/>
      <c r="L75" s="681"/>
      <c r="M75" s="681"/>
      <c r="N75" s="681"/>
      <c r="O75" s="681"/>
      <c r="P75" s="681"/>
      <c r="Q75" s="681"/>
      <c r="R75" s="1094"/>
      <c r="S75" s="682"/>
      <c r="T75" s="726"/>
      <c r="U75" s="727"/>
      <c r="V75" s="717"/>
      <c r="W75" s="728"/>
      <c r="X75" s="729"/>
      <c r="Z75" s="670">
        <f t="shared" si="2"/>
        <v>0</v>
      </c>
      <c r="AA75" s="670">
        <f t="shared" si="17"/>
        <v>0</v>
      </c>
      <c r="AB75" s="670">
        <f t="shared" si="3"/>
        <v>0</v>
      </c>
      <c r="AC75" s="670">
        <f>IF(Z75=0,,VLOOKUP(Z75,リスト!DC:DD,2,0))</f>
        <v>0</v>
      </c>
      <c r="AD75" s="670">
        <f t="shared" si="4"/>
        <v>0</v>
      </c>
      <c r="AE75" s="671">
        <f>IF(AD75=0,,VLOOKUP(AD75,リスト!DK:DL,2,0))</f>
        <v>0</v>
      </c>
      <c r="AF75" s="670">
        <f>IF(Z75=0,,
IF(OR(リスト!$C$21="小麦",リスト!$C$21="二条大麦",リスト!$C$21="六条大麦",リスト!$C$21="はだか麦",リスト!$C$21="なたね"),IF(K75&lt;9,調査年-J75,調査年-J75-1),
IF(リスト!$C$21="さとうきび",IF(K75&gt;=4,調査年-J75,調査年-J75+1),
調査年-J75)))</f>
        <v>0</v>
      </c>
      <c r="AG75" s="672">
        <f t="shared" si="20"/>
        <v>0</v>
      </c>
      <c r="AH75" s="672">
        <f t="shared" si="6"/>
        <v>0</v>
      </c>
      <c r="AI75" s="672">
        <f t="shared" si="7"/>
        <v>0</v>
      </c>
      <c r="AJ75" s="672">
        <f t="shared" si="8"/>
        <v>0</v>
      </c>
      <c r="AK75" s="394"/>
      <c r="AL75" s="672">
        <f>IF(OR(R75=0,AH75=""),,
IF(OR(リスト!$C$21="小麦",リスト!$C$21="二条大麦",リスト!$C$21="六条大麦",リスト!$C$21="はだか麦",リスト!$C$21="なたね"),IF(OR(AND(K75&lt;9,J75=調査年),AND(K75&gt;=9,J75=調査年-1)),,ROUND(AH75*R75%,0)),
IF(リスト!$C$21="さとうきび",IF(OR(AND(K75&gt;=4,J75=調査年),AND(K75&lt;4,J75=調査年+1)),,ROUND(AH75*R75%,0)),
IF(J75=調査年,,ROUND(AH75*R75%,0)))))</f>
        <v>0</v>
      </c>
      <c r="AM75" s="672">
        <f t="shared" si="9"/>
        <v>0</v>
      </c>
      <c r="AN75" s="672">
        <f t="shared" si="10"/>
        <v>0</v>
      </c>
      <c r="AO75" s="672">
        <f t="shared" si="11"/>
        <v>0</v>
      </c>
      <c r="AP75" s="672">
        <f>IF(R75=0,,
SUM(
IF(OR(リスト!$C$21="小麦",リスト!$C$21="二条大麦",リスト!$C$21="六条大麦",リスト!$C$21="はだか麦",リスト!$C$21="なたね"),IF(OR(AND(AA75=1,K75&lt;9,J75=調査年),AND(AA75=1,K75&gt;=9,J75=調査年-1)),ROUND(L75*R75%,0),),
IF(リスト!$C$21="さとうきび",IF(OR(AND(AA75=1,K75&gt;=4,J75=調査年),AND(AA75=1,K75&lt;4,J75=調査年+1)),ROUND(L75*R75%,0),),
IF(AND(AA75=1,J75=調査年),ROUND(L75*R75%,0),))),
ROUND(M75*R75%,0)
))</f>
        <v>0</v>
      </c>
      <c r="AQ75" s="672">
        <f t="shared" si="12"/>
        <v>0</v>
      </c>
      <c r="AR75" s="672">
        <f t="shared" si="13"/>
        <v>0</v>
      </c>
      <c r="AS75" s="672">
        <f t="shared" si="18"/>
        <v>0</v>
      </c>
      <c r="AT75" s="672">
        <f t="shared" si="19"/>
        <v>0</v>
      </c>
      <c r="AU75" s="672">
        <f t="shared" si="14"/>
        <v>0</v>
      </c>
      <c r="AV75" s="672">
        <f t="shared" si="15"/>
        <v>0</v>
      </c>
      <c r="AW75" s="721">
        <f t="shared" si="16"/>
        <v>0</v>
      </c>
      <c r="AX75" s="686"/>
      <c r="AY75" s="686"/>
    </row>
    <row r="76" spans="3:51" s="46" customFormat="1" ht="30.75" hidden="1" customHeight="1" outlineLevel="1">
      <c r="C76" s="722">
        <v>59</v>
      </c>
      <c r="D76" s="687"/>
      <c r="E76" s="723"/>
      <c r="F76" s="724"/>
      <c r="G76" s="1961"/>
      <c r="H76" s="1962"/>
      <c r="I76" s="679"/>
      <c r="J76" s="725"/>
      <c r="K76" s="680"/>
      <c r="L76" s="681"/>
      <c r="M76" s="681"/>
      <c r="N76" s="681"/>
      <c r="O76" s="681"/>
      <c r="P76" s="681"/>
      <c r="Q76" s="681"/>
      <c r="R76" s="1094"/>
      <c r="S76" s="682"/>
      <c r="T76" s="726"/>
      <c r="U76" s="727"/>
      <c r="V76" s="717"/>
      <c r="W76" s="728"/>
      <c r="X76" s="729"/>
      <c r="Z76" s="670">
        <f t="shared" si="2"/>
        <v>0</v>
      </c>
      <c r="AA76" s="670">
        <f t="shared" si="17"/>
        <v>0</v>
      </c>
      <c r="AB76" s="670">
        <f t="shared" si="3"/>
        <v>0</v>
      </c>
      <c r="AC76" s="670">
        <f>IF(Z76=0,,VLOOKUP(Z76,リスト!DC:DD,2,0))</f>
        <v>0</v>
      </c>
      <c r="AD76" s="670">
        <f t="shared" si="4"/>
        <v>0</v>
      </c>
      <c r="AE76" s="671">
        <f>IF(AD76=0,,VLOOKUP(AD76,リスト!DK:DL,2,0))</f>
        <v>0</v>
      </c>
      <c r="AF76" s="670">
        <f>IF(Z76=0,,
IF(OR(リスト!$C$21="小麦",リスト!$C$21="二条大麦",リスト!$C$21="六条大麦",リスト!$C$21="はだか麦",リスト!$C$21="なたね"),IF(K76&lt;9,調査年-J76,調査年-J76-1),
IF(リスト!$C$21="さとうきび",IF(K76&gt;=4,調査年-J76,調査年-J76+1),
調査年-J76)))</f>
        <v>0</v>
      </c>
      <c r="AG76" s="672">
        <f t="shared" si="20"/>
        <v>0</v>
      </c>
      <c r="AH76" s="672">
        <f t="shared" si="6"/>
        <v>0</v>
      </c>
      <c r="AI76" s="672">
        <f t="shared" si="7"/>
        <v>0</v>
      </c>
      <c r="AJ76" s="672">
        <f t="shared" si="8"/>
        <v>0</v>
      </c>
      <c r="AK76" s="394"/>
      <c r="AL76" s="672">
        <f>IF(OR(R76=0,AH76=""),,
IF(OR(リスト!$C$21="小麦",リスト!$C$21="二条大麦",リスト!$C$21="六条大麦",リスト!$C$21="はだか麦",リスト!$C$21="なたね"),IF(OR(AND(K76&lt;9,J76=調査年),AND(K76&gt;=9,J76=調査年-1)),,ROUND(AH76*R76%,0)),
IF(リスト!$C$21="さとうきび",IF(OR(AND(K76&gt;=4,J76=調査年),AND(K76&lt;4,J76=調査年+1)),,ROUND(AH76*R76%,0)),
IF(J76=調査年,,ROUND(AH76*R76%,0)))))</f>
        <v>0</v>
      </c>
      <c r="AM76" s="672">
        <f t="shared" si="9"/>
        <v>0</v>
      </c>
      <c r="AN76" s="672">
        <f t="shared" si="10"/>
        <v>0</v>
      </c>
      <c r="AO76" s="672">
        <f t="shared" si="11"/>
        <v>0</v>
      </c>
      <c r="AP76" s="672">
        <f>IF(R76=0,,
SUM(
IF(OR(リスト!$C$21="小麦",リスト!$C$21="二条大麦",リスト!$C$21="六条大麦",リスト!$C$21="はだか麦",リスト!$C$21="なたね"),IF(OR(AND(AA76=1,K76&lt;9,J76=調査年),AND(AA76=1,K76&gt;=9,J76=調査年-1)),ROUND(L76*R76%,0),),
IF(リスト!$C$21="さとうきび",IF(OR(AND(AA76=1,K76&gt;=4,J76=調査年),AND(AA76=1,K76&lt;4,J76=調査年+1)),ROUND(L76*R76%,0),),
IF(AND(AA76=1,J76=調査年),ROUND(L76*R76%,0),))),
ROUND(M76*R76%,0)
))</f>
        <v>0</v>
      </c>
      <c r="AQ76" s="672">
        <f t="shared" si="12"/>
        <v>0</v>
      </c>
      <c r="AR76" s="672">
        <f t="shared" si="13"/>
        <v>0</v>
      </c>
      <c r="AS76" s="672">
        <f t="shared" si="18"/>
        <v>0</v>
      </c>
      <c r="AT76" s="672">
        <f t="shared" si="19"/>
        <v>0</v>
      </c>
      <c r="AU76" s="672">
        <f t="shared" si="14"/>
        <v>0</v>
      </c>
      <c r="AV76" s="672">
        <f t="shared" si="15"/>
        <v>0</v>
      </c>
      <c r="AW76" s="721">
        <f t="shared" si="16"/>
        <v>0</v>
      </c>
      <c r="AX76" s="686"/>
      <c r="AY76" s="686"/>
    </row>
    <row r="77" spans="3:51" s="46" customFormat="1" ht="30.75" hidden="1" customHeight="1" outlineLevel="1">
      <c r="C77" s="722">
        <v>60</v>
      </c>
      <c r="D77" s="687"/>
      <c r="E77" s="723"/>
      <c r="F77" s="724"/>
      <c r="G77" s="1961"/>
      <c r="H77" s="1962"/>
      <c r="I77" s="679"/>
      <c r="J77" s="725"/>
      <c r="K77" s="680"/>
      <c r="L77" s="681"/>
      <c r="M77" s="681"/>
      <c r="N77" s="681"/>
      <c r="O77" s="681"/>
      <c r="P77" s="681"/>
      <c r="Q77" s="681"/>
      <c r="R77" s="1094"/>
      <c r="S77" s="682"/>
      <c r="T77" s="726"/>
      <c r="U77" s="727"/>
      <c r="V77" s="717"/>
      <c r="W77" s="728"/>
      <c r="X77" s="729"/>
      <c r="Z77" s="670">
        <f t="shared" si="2"/>
        <v>0</v>
      </c>
      <c r="AA77" s="670">
        <f t="shared" si="17"/>
        <v>0</v>
      </c>
      <c r="AB77" s="670">
        <f t="shared" si="3"/>
        <v>0</v>
      </c>
      <c r="AC77" s="670">
        <f>IF(Z77=0,,VLOOKUP(Z77,リスト!DC:DD,2,0))</f>
        <v>0</v>
      </c>
      <c r="AD77" s="670">
        <f t="shared" si="4"/>
        <v>0</v>
      </c>
      <c r="AE77" s="671">
        <f>IF(AD77=0,,VLOOKUP(AD77,リスト!DK:DL,2,0))</f>
        <v>0</v>
      </c>
      <c r="AF77" s="670">
        <f>IF(Z77=0,,
IF(OR(リスト!$C$21="小麦",リスト!$C$21="二条大麦",リスト!$C$21="六条大麦",リスト!$C$21="はだか麦",リスト!$C$21="なたね"),IF(K77&lt;9,調査年-J77,調査年-J77-1),
IF(リスト!$C$21="さとうきび",IF(K77&gt;=4,調査年-J77,調査年-J77+1),
調査年-J77)))</f>
        <v>0</v>
      </c>
      <c r="AG77" s="672">
        <f t="shared" si="20"/>
        <v>0</v>
      </c>
      <c r="AH77" s="672">
        <f t="shared" si="6"/>
        <v>0</v>
      </c>
      <c r="AI77" s="672">
        <f t="shared" si="7"/>
        <v>0</v>
      </c>
      <c r="AJ77" s="672">
        <f t="shared" si="8"/>
        <v>0</v>
      </c>
      <c r="AK77" s="394"/>
      <c r="AL77" s="672">
        <f>IF(OR(R77=0,AH77=""),,
IF(OR(リスト!$C$21="小麦",リスト!$C$21="二条大麦",リスト!$C$21="六条大麦",リスト!$C$21="はだか麦",リスト!$C$21="なたね"),IF(OR(AND(K77&lt;9,J77=調査年),AND(K77&gt;=9,J77=調査年-1)),,ROUND(AH77*R77%,0)),
IF(リスト!$C$21="さとうきび",IF(OR(AND(K77&gt;=4,J77=調査年),AND(K77&lt;4,J77=調査年+1)),,ROUND(AH77*R77%,0)),
IF(J77=調査年,,ROUND(AH77*R77%,0)))))</f>
        <v>0</v>
      </c>
      <c r="AM77" s="672">
        <f t="shared" si="9"/>
        <v>0</v>
      </c>
      <c r="AN77" s="672">
        <f t="shared" si="10"/>
        <v>0</v>
      </c>
      <c r="AO77" s="672">
        <f t="shared" si="11"/>
        <v>0</v>
      </c>
      <c r="AP77" s="672">
        <f>IF(R77=0,,
SUM(
IF(OR(リスト!$C$21="小麦",リスト!$C$21="二条大麦",リスト!$C$21="六条大麦",リスト!$C$21="はだか麦",リスト!$C$21="なたね"),IF(OR(AND(AA77=1,K77&lt;9,J77=調査年),AND(AA77=1,K77&gt;=9,J77=調査年-1)),ROUND(L77*R77%,0),),
IF(リスト!$C$21="さとうきび",IF(OR(AND(AA77=1,K77&gt;=4,J77=調査年),AND(AA77=1,K77&lt;4,J77=調査年+1)),ROUND(L77*R77%,0),),
IF(AND(AA77=1,J77=調査年),ROUND(L77*R77%,0),))),
ROUND(M77*R77%,0)
))</f>
        <v>0</v>
      </c>
      <c r="AQ77" s="672">
        <f t="shared" si="12"/>
        <v>0</v>
      </c>
      <c r="AR77" s="672">
        <f t="shared" si="13"/>
        <v>0</v>
      </c>
      <c r="AS77" s="672">
        <f t="shared" si="18"/>
        <v>0</v>
      </c>
      <c r="AT77" s="672">
        <f t="shared" si="19"/>
        <v>0</v>
      </c>
      <c r="AU77" s="672">
        <f t="shared" si="14"/>
        <v>0</v>
      </c>
      <c r="AV77" s="672">
        <f t="shared" si="15"/>
        <v>0</v>
      </c>
      <c r="AW77" s="721">
        <f t="shared" si="16"/>
        <v>0</v>
      </c>
      <c r="AX77" s="686"/>
      <c r="AY77" s="686"/>
    </row>
    <row r="78" spans="3:51" s="46" customFormat="1" ht="30.75" hidden="1" customHeight="1" outlineLevel="1">
      <c r="C78" s="722">
        <v>61</v>
      </c>
      <c r="D78" s="687"/>
      <c r="E78" s="731"/>
      <c r="F78" s="732"/>
      <c r="G78" s="1965"/>
      <c r="H78" s="1966"/>
      <c r="I78" s="733"/>
      <c r="J78" s="734"/>
      <c r="K78" s="735"/>
      <c r="L78" s="736"/>
      <c r="M78" s="736"/>
      <c r="N78" s="736"/>
      <c r="O78" s="736"/>
      <c r="P78" s="736"/>
      <c r="Q78" s="736"/>
      <c r="R78" s="1094"/>
      <c r="S78" s="737"/>
      <c r="T78" s="738"/>
      <c r="U78" s="739"/>
      <c r="V78" s="717"/>
      <c r="W78" s="728"/>
      <c r="X78" s="729"/>
      <c r="Z78" s="670">
        <f t="shared" si="2"/>
        <v>0</v>
      </c>
      <c r="AA78" s="670">
        <f t="shared" si="17"/>
        <v>0</v>
      </c>
      <c r="AB78" s="670">
        <f t="shared" si="3"/>
        <v>0</v>
      </c>
      <c r="AC78" s="670">
        <f>IF(Z78=0,,VLOOKUP(Z78,リスト!DC:DD,2,0))</f>
        <v>0</v>
      </c>
      <c r="AD78" s="670">
        <f t="shared" si="4"/>
        <v>0</v>
      </c>
      <c r="AE78" s="671">
        <f>IF(AD78=0,,VLOOKUP(AD78,リスト!DK:DL,2,0))</f>
        <v>0</v>
      </c>
      <c r="AF78" s="670">
        <f>IF(Z78=0,,
IF(OR(リスト!$C$21="小麦",リスト!$C$21="二条大麦",リスト!$C$21="六条大麦",リスト!$C$21="はだか麦",リスト!$C$21="なたね"),IF(K78&lt;9,調査年-J78,調査年-J78-1),
IF(リスト!$C$21="さとうきび",IF(K78&gt;=4,調査年-J78,調査年-J78+1),
調査年-J78)))</f>
        <v>0</v>
      </c>
      <c r="AG78" s="672">
        <f t="shared" si="20"/>
        <v>0</v>
      </c>
      <c r="AH78" s="672">
        <f t="shared" si="6"/>
        <v>0</v>
      </c>
      <c r="AI78" s="672">
        <f t="shared" si="7"/>
        <v>0</v>
      </c>
      <c r="AJ78" s="672">
        <f t="shared" si="8"/>
        <v>0</v>
      </c>
      <c r="AK78" s="394"/>
      <c r="AL78" s="672">
        <f>IF(OR(R78=0,AH78=""),,
IF(OR(リスト!$C$21="小麦",リスト!$C$21="二条大麦",リスト!$C$21="六条大麦",リスト!$C$21="はだか麦",リスト!$C$21="なたね"),IF(OR(AND(K78&lt;9,J78=調査年),AND(K78&gt;=9,J78=調査年-1)),,ROUND(AH78*R78%,0)),
IF(リスト!$C$21="さとうきび",IF(OR(AND(K78&gt;=4,J78=調査年),AND(K78&lt;4,J78=調査年+1)),,ROUND(AH78*R78%,0)),
IF(J78=調査年,,ROUND(AH78*R78%,0)))))</f>
        <v>0</v>
      </c>
      <c r="AM78" s="672">
        <f t="shared" si="9"/>
        <v>0</v>
      </c>
      <c r="AN78" s="672">
        <f t="shared" si="10"/>
        <v>0</v>
      </c>
      <c r="AO78" s="672">
        <f t="shared" si="11"/>
        <v>0</v>
      </c>
      <c r="AP78" s="672">
        <f>IF(R78=0,,
SUM(
IF(OR(リスト!$C$21="小麦",リスト!$C$21="二条大麦",リスト!$C$21="六条大麦",リスト!$C$21="はだか麦",リスト!$C$21="なたね"),IF(OR(AND(AA78=1,K78&lt;9,J78=調査年),AND(AA78=1,K78&gt;=9,J78=調査年-1)),ROUND(L78*R78%,0),),
IF(リスト!$C$21="さとうきび",IF(OR(AND(AA78=1,K78&gt;=4,J78=調査年),AND(AA78=1,K78&lt;4,J78=調査年+1)),ROUND(L78*R78%,0),),
IF(AND(AA78=1,J78=調査年),ROUND(L78*R78%,0),))),
ROUND(M78*R78%,0)
))</f>
        <v>0</v>
      </c>
      <c r="AQ78" s="672">
        <f t="shared" si="12"/>
        <v>0</v>
      </c>
      <c r="AR78" s="672">
        <f t="shared" si="13"/>
        <v>0</v>
      </c>
      <c r="AS78" s="672">
        <f t="shared" si="18"/>
        <v>0</v>
      </c>
      <c r="AT78" s="672">
        <f t="shared" si="19"/>
        <v>0</v>
      </c>
      <c r="AU78" s="672">
        <f t="shared" si="14"/>
        <v>0</v>
      </c>
      <c r="AV78" s="672">
        <f t="shared" si="15"/>
        <v>0</v>
      </c>
      <c r="AW78" s="721">
        <f t="shared" si="16"/>
        <v>0</v>
      </c>
      <c r="AX78" s="686"/>
      <c r="AY78" s="686"/>
    </row>
    <row r="79" spans="3:51" s="46" customFormat="1" ht="30.75" hidden="1" customHeight="1" outlineLevel="1">
      <c r="C79" s="722">
        <v>62</v>
      </c>
      <c r="D79" s="675"/>
      <c r="E79" s="723"/>
      <c r="F79" s="724"/>
      <c r="G79" s="1961"/>
      <c r="H79" s="1962"/>
      <c r="I79" s="679"/>
      <c r="J79" s="725"/>
      <c r="K79" s="680"/>
      <c r="L79" s="681"/>
      <c r="M79" s="681"/>
      <c r="N79" s="681"/>
      <c r="O79" s="681"/>
      <c r="P79" s="681"/>
      <c r="Q79" s="681"/>
      <c r="R79" s="1094"/>
      <c r="S79" s="682"/>
      <c r="T79" s="726"/>
      <c r="U79" s="727"/>
      <c r="V79" s="717"/>
      <c r="W79" s="728"/>
      <c r="X79" s="729"/>
      <c r="Z79" s="670">
        <f t="shared" si="2"/>
        <v>0</v>
      </c>
      <c r="AA79" s="670">
        <f t="shared" si="17"/>
        <v>0</v>
      </c>
      <c r="AB79" s="670">
        <f t="shared" si="3"/>
        <v>0</v>
      </c>
      <c r="AC79" s="670">
        <f>IF(Z79=0,,VLOOKUP(Z79,リスト!DC:DD,2,0))</f>
        <v>0</v>
      </c>
      <c r="AD79" s="670">
        <f t="shared" si="4"/>
        <v>0</v>
      </c>
      <c r="AE79" s="671">
        <f>IF(AD79=0,,VLOOKUP(AD79,リスト!DK:DL,2,0))</f>
        <v>0</v>
      </c>
      <c r="AF79" s="670">
        <f>IF(Z79=0,,
IF(OR(リスト!$C$21="小麦",リスト!$C$21="二条大麦",リスト!$C$21="六条大麦",リスト!$C$21="はだか麦",リスト!$C$21="なたね"),IF(K79&lt;9,調査年-J79,調査年-J79-1),
IF(リスト!$C$21="さとうきび",IF(K79&gt;=4,調査年-J79,調査年-J79+1),
調査年-J79)))</f>
        <v>0</v>
      </c>
      <c r="AG79" s="672">
        <f t="shared" si="20"/>
        <v>0</v>
      </c>
      <c r="AH79" s="672">
        <f t="shared" si="6"/>
        <v>0</v>
      </c>
      <c r="AI79" s="672">
        <f t="shared" si="7"/>
        <v>0</v>
      </c>
      <c r="AJ79" s="672">
        <f t="shared" si="8"/>
        <v>0</v>
      </c>
      <c r="AK79" s="394"/>
      <c r="AL79" s="672">
        <f>IF(OR(R79=0,AH79=""),,
IF(OR(リスト!$C$21="小麦",リスト!$C$21="二条大麦",リスト!$C$21="六条大麦",リスト!$C$21="はだか麦",リスト!$C$21="なたね"),IF(OR(AND(K79&lt;9,J79=調査年),AND(K79&gt;=9,J79=調査年-1)),,ROUND(AH79*R79%,0)),
IF(リスト!$C$21="さとうきび",IF(OR(AND(K79&gt;=4,J79=調査年),AND(K79&lt;4,J79=調査年+1)),,ROUND(AH79*R79%,0)),
IF(J79=調査年,,ROUND(AH79*R79%,0)))))</f>
        <v>0</v>
      </c>
      <c r="AM79" s="672">
        <f t="shared" si="9"/>
        <v>0</v>
      </c>
      <c r="AN79" s="672">
        <f t="shared" si="10"/>
        <v>0</v>
      </c>
      <c r="AO79" s="672">
        <f t="shared" si="11"/>
        <v>0</v>
      </c>
      <c r="AP79" s="672">
        <f>IF(R79=0,,
SUM(
IF(OR(リスト!$C$21="小麦",リスト!$C$21="二条大麦",リスト!$C$21="六条大麦",リスト!$C$21="はだか麦",リスト!$C$21="なたね"),IF(OR(AND(AA79=1,K79&lt;9,J79=調査年),AND(AA79=1,K79&gt;=9,J79=調査年-1)),ROUND(L79*R79%,0),),
IF(リスト!$C$21="さとうきび",IF(OR(AND(AA79=1,K79&gt;=4,J79=調査年),AND(AA79=1,K79&lt;4,J79=調査年+1)),ROUND(L79*R79%,0),),
IF(AND(AA79=1,J79=調査年),ROUND(L79*R79%,0),))),
ROUND(M79*R79%,0)
))</f>
        <v>0</v>
      </c>
      <c r="AQ79" s="672">
        <f t="shared" si="12"/>
        <v>0</v>
      </c>
      <c r="AR79" s="672">
        <f t="shared" si="13"/>
        <v>0</v>
      </c>
      <c r="AS79" s="672">
        <f t="shared" si="18"/>
        <v>0</v>
      </c>
      <c r="AT79" s="672">
        <f t="shared" si="19"/>
        <v>0</v>
      </c>
      <c r="AU79" s="672">
        <f t="shared" si="14"/>
        <v>0</v>
      </c>
      <c r="AV79" s="672">
        <f t="shared" si="15"/>
        <v>0</v>
      </c>
      <c r="AW79" s="721">
        <f t="shared" si="16"/>
        <v>0</v>
      </c>
      <c r="AX79" s="686"/>
      <c r="AY79" s="686"/>
    </row>
    <row r="80" spans="3:51" s="46" customFormat="1" ht="30.75" hidden="1" customHeight="1" outlineLevel="1">
      <c r="C80" s="722">
        <v>63</v>
      </c>
      <c r="D80" s="687"/>
      <c r="E80" s="723"/>
      <c r="F80" s="724"/>
      <c r="G80" s="1961"/>
      <c r="H80" s="1962"/>
      <c r="I80" s="679"/>
      <c r="J80" s="725"/>
      <c r="K80" s="680"/>
      <c r="L80" s="681"/>
      <c r="M80" s="681"/>
      <c r="N80" s="681"/>
      <c r="O80" s="681"/>
      <c r="P80" s="681"/>
      <c r="Q80" s="681"/>
      <c r="R80" s="1094"/>
      <c r="S80" s="682"/>
      <c r="T80" s="726"/>
      <c r="U80" s="727"/>
      <c r="V80" s="717"/>
      <c r="W80" s="728"/>
      <c r="X80" s="729"/>
      <c r="Z80" s="670">
        <f t="shared" si="2"/>
        <v>0</v>
      </c>
      <c r="AA80" s="670">
        <f t="shared" si="17"/>
        <v>0</v>
      </c>
      <c r="AB80" s="670">
        <f t="shared" si="3"/>
        <v>0</v>
      </c>
      <c r="AC80" s="670">
        <f>IF(Z80=0,,VLOOKUP(Z80,リスト!DC:DD,2,0))</f>
        <v>0</v>
      </c>
      <c r="AD80" s="670">
        <f t="shared" si="4"/>
        <v>0</v>
      </c>
      <c r="AE80" s="671">
        <f>IF(AD80=0,,VLOOKUP(AD80,リスト!DK:DL,2,0))</f>
        <v>0</v>
      </c>
      <c r="AF80" s="670">
        <f>IF(Z80=0,,
IF(OR(リスト!$C$21="小麦",リスト!$C$21="二条大麦",リスト!$C$21="六条大麦",リスト!$C$21="はだか麦",リスト!$C$21="なたね"),IF(K80&lt;9,調査年-J80,調査年-J80-1),
IF(リスト!$C$21="さとうきび",IF(K80&gt;=4,調査年-J80,調査年-J80+1),
調査年-J80)))</f>
        <v>0</v>
      </c>
      <c r="AG80" s="672">
        <f t="shared" si="20"/>
        <v>0</v>
      </c>
      <c r="AH80" s="672">
        <f t="shared" si="6"/>
        <v>0</v>
      </c>
      <c r="AI80" s="672">
        <f t="shared" si="7"/>
        <v>0</v>
      </c>
      <c r="AJ80" s="672">
        <f t="shared" si="8"/>
        <v>0</v>
      </c>
      <c r="AK80" s="394"/>
      <c r="AL80" s="672">
        <f>IF(OR(R80=0,AH80=""),,
IF(OR(リスト!$C$21="小麦",リスト!$C$21="二条大麦",リスト!$C$21="六条大麦",リスト!$C$21="はだか麦",リスト!$C$21="なたね"),IF(OR(AND(K80&lt;9,J80=調査年),AND(K80&gt;=9,J80=調査年-1)),,ROUND(AH80*R80%,0)),
IF(リスト!$C$21="さとうきび",IF(OR(AND(K80&gt;=4,J80=調査年),AND(K80&lt;4,J80=調査年+1)),,ROUND(AH80*R80%,0)),
IF(J80=調査年,,ROUND(AH80*R80%,0)))))</f>
        <v>0</v>
      </c>
      <c r="AM80" s="672">
        <f t="shared" si="9"/>
        <v>0</v>
      </c>
      <c r="AN80" s="672">
        <f t="shared" si="10"/>
        <v>0</v>
      </c>
      <c r="AO80" s="672">
        <f t="shared" si="11"/>
        <v>0</v>
      </c>
      <c r="AP80" s="672">
        <f>IF(R80=0,,
SUM(
IF(OR(リスト!$C$21="小麦",リスト!$C$21="二条大麦",リスト!$C$21="六条大麦",リスト!$C$21="はだか麦",リスト!$C$21="なたね"),IF(OR(AND(AA80=1,K80&lt;9,J80=調査年),AND(AA80=1,K80&gt;=9,J80=調査年-1)),ROUND(L80*R80%,0),),
IF(リスト!$C$21="さとうきび",IF(OR(AND(AA80=1,K80&gt;=4,J80=調査年),AND(AA80=1,K80&lt;4,J80=調査年+1)),ROUND(L80*R80%,0),),
IF(AND(AA80=1,J80=調査年),ROUND(L80*R80%,0),))),
ROUND(M80*R80%,0)
))</f>
        <v>0</v>
      </c>
      <c r="AQ80" s="672">
        <f t="shared" si="12"/>
        <v>0</v>
      </c>
      <c r="AR80" s="672">
        <f t="shared" si="13"/>
        <v>0</v>
      </c>
      <c r="AS80" s="672">
        <f t="shared" si="18"/>
        <v>0</v>
      </c>
      <c r="AT80" s="672">
        <f t="shared" si="19"/>
        <v>0</v>
      </c>
      <c r="AU80" s="672">
        <f t="shared" si="14"/>
        <v>0</v>
      </c>
      <c r="AV80" s="672">
        <f t="shared" si="15"/>
        <v>0</v>
      </c>
      <c r="AW80" s="721">
        <f t="shared" si="16"/>
        <v>0</v>
      </c>
      <c r="AX80" s="686"/>
      <c r="AY80" s="686"/>
    </row>
    <row r="81" spans="3:51" s="46" customFormat="1" ht="30.75" hidden="1" customHeight="1" outlineLevel="1">
      <c r="C81" s="722">
        <v>64</v>
      </c>
      <c r="D81" s="687"/>
      <c r="E81" s="723"/>
      <c r="F81" s="724"/>
      <c r="G81" s="1961"/>
      <c r="H81" s="1962"/>
      <c r="I81" s="679"/>
      <c r="J81" s="725"/>
      <c r="K81" s="680"/>
      <c r="L81" s="681"/>
      <c r="M81" s="681"/>
      <c r="N81" s="681"/>
      <c r="O81" s="681"/>
      <c r="P81" s="681"/>
      <c r="Q81" s="681"/>
      <c r="R81" s="1094"/>
      <c r="S81" s="682"/>
      <c r="T81" s="726"/>
      <c r="U81" s="727"/>
      <c r="V81" s="717"/>
      <c r="W81" s="728"/>
      <c r="X81" s="729"/>
      <c r="Z81" s="670">
        <f t="shared" si="2"/>
        <v>0</v>
      </c>
      <c r="AA81" s="670">
        <f t="shared" si="17"/>
        <v>0</v>
      </c>
      <c r="AB81" s="670">
        <f t="shared" si="3"/>
        <v>0</v>
      </c>
      <c r="AC81" s="670">
        <f>IF(Z81=0,,VLOOKUP(Z81,リスト!DC:DD,2,0))</f>
        <v>0</v>
      </c>
      <c r="AD81" s="670">
        <f t="shared" si="4"/>
        <v>0</v>
      </c>
      <c r="AE81" s="671">
        <f>IF(AD81=0,,VLOOKUP(AD81,リスト!DK:DL,2,0))</f>
        <v>0</v>
      </c>
      <c r="AF81" s="670">
        <f>IF(Z81=0,,
IF(OR(リスト!$C$21="小麦",リスト!$C$21="二条大麦",リスト!$C$21="六条大麦",リスト!$C$21="はだか麦",リスト!$C$21="なたね"),IF(K81&lt;9,調査年-J81,調査年-J81-1),
IF(リスト!$C$21="さとうきび",IF(K81&gt;=4,調査年-J81,調査年-J81+1),
調査年-J81)))</f>
        <v>0</v>
      </c>
      <c r="AG81" s="672">
        <f t="shared" si="20"/>
        <v>0</v>
      </c>
      <c r="AH81" s="672">
        <f t="shared" si="6"/>
        <v>0</v>
      </c>
      <c r="AI81" s="672">
        <f t="shared" si="7"/>
        <v>0</v>
      </c>
      <c r="AJ81" s="672">
        <f t="shared" si="8"/>
        <v>0</v>
      </c>
      <c r="AK81" s="394"/>
      <c r="AL81" s="672">
        <f>IF(OR(R81=0,AH81=""),,
IF(OR(リスト!$C$21="小麦",リスト!$C$21="二条大麦",リスト!$C$21="六条大麦",リスト!$C$21="はだか麦",リスト!$C$21="なたね"),IF(OR(AND(K81&lt;9,J81=調査年),AND(K81&gt;=9,J81=調査年-1)),,ROUND(AH81*R81%,0)),
IF(リスト!$C$21="さとうきび",IF(OR(AND(K81&gt;=4,J81=調査年),AND(K81&lt;4,J81=調査年+1)),,ROUND(AH81*R81%,0)),
IF(J81=調査年,,ROUND(AH81*R81%,0)))))</f>
        <v>0</v>
      </c>
      <c r="AM81" s="672">
        <f t="shared" si="9"/>
        <v>0</v>
      </c>
      <c r="AN81" s="672">
        <f t="shared" si="10"/>
        <v>0</v>
      </c>
      <c r="AO81" s="672">
        <f t="shared" si="11"/>
        <v>0</v>
      </c>
      <c r="AP81" s="672">
        <f>IF(R81=0,,
SUM(
IF(OR(リスト!$C$21="小麦",リスト!$C$21="二条大麦",リスト!$C$21="六条大麦",リスト!$C$21="はだか麦",リスト!$C$21="なたね"),IF(OR(AND(AA81=1,K81&lt;9,J81=調査年),AND(AA81=1,K81&gt;=9,J81=調査年-1)),ROUND(L81*R81%,0),),
IF(リスト!$C$21="さとうきび",IF(OR(AND(AA81=1,K81&gt;=4,J81=調査年),AND(AA81=1,K81&lt;4,J81=調査年+1)),ROUND(L81*R81%,0),),
IF(AND(AA81=1,J81=調査年),ROUND(L81*R81%,0),))),
ROUND(M81*R81%,0)
))</f>
        <v>0</v>
      </c>
      <c r="AQ81" s="672">
        <f t="shared" si="12"/>
        <v>0</v>
      </c>
      <c r="AR81" s="672">
        <f t="shared" si="13"/>
        <v>0</v>
      </c>
      <c r="AS81" s="672">
        <f t="shared" si="18"/>
        <v>0</v>
      </c>
      <c r="AT81" s="672">
        <f t="shared" si="19"/>
        <v>0</v>
      </c>
      <c r="AU81" s="672">
        <f t="shared" si="14"/>
        <v>0</v>
      </c>
      <c r="AV81" s="672">
        <f t="shared" si="15"/>
        <v>0</v>
      </c>
      <c r="AW81" s="721">
        <f t="shared" si="16"/>
        <v>0</v>
      </c>
      <c r="AX81" s="686"/>
      <c r="AY81" s="686"/>
    </row>
    <row r="82" spans="3:51" s="46" customFormat="1" ht="30.75" hidden="1" customHeight="1" outlineLevel="1">
      <c r="C82" s="722">
        <v>65</v>
      </c>
      <c r="D82" s="687"/>
      <c r="E82" s="723"/>
      <c r="F82" s="724"/>
      <c r="G82" s="1961"/>
      <c r="H82" s="1962"/>
      <c r="I82" s="679"/>
      <c r="J82" s="725"/>
      <c r="K82" s="680"/>
      <c r="L82" s="681"/>
      <c r="M82" s="681"/>
      <c r="N82" s="681"/>
      <c r="O82" s="681"/>
      <c r="P82" s="681"/>
      <c r="Q82" s="681"/>
      <c r="R82" s="1094"/>
      <c r="S82" s="682"/>
      <c r="T82" s="726"/>
      <c r="U82" s="727"/>
      <c r="V82" s="717"/>
      <c r="W82" s="728"/>
      <c r="X82" s="729"/>
      <c r="Z82" s="670">
        <f t="shared" ref="Z82:Z117" si="21">IF(AND(E82&gt;0,F82&gt;0),"["&amp;RIGHT(LEFT(E82,2),1)&amp;RIGHT(LEFT(F82,2),1)&amp;"]",)</f>
        <v>0</v>
      </c>
      <c r="AA82" s="670">
        <f t="shared" ref="AA82:AA117" si="22">IF(Z82=0,,IF(L82&lt;100000,1,0))</f>
        <v>0</v>
      </c>
      <c r="AB82" s="670">
        <f t="shared" ref="AB82:AB117" si="23">IF(Z82=0,,IF(AND(AA82=0,L82&lt;200000),1,))</f>
        <v>0</v>
      </c>
      <c r="AC82" s="670">
        <f>IF(Z82=0,,VLOOKUP(Z82,リスト!DC:DD,2,0))</f>
        <v>0</v>
      </c>
      <c r="AD82" s="670">
        <f t="shared" ref="AD82:AD117" si="24">IF(AB82=1,3,IF(G82="[2]中古",MIN(AC82,I82),AC82))</f>
        <v>0</v>
      </c>
      <c r="AE82" s="671">
        <f>IF(AD82=0,,VLOOKUP(AD82,リスト!DK:DL,2,0))</f>
        <v>0</v>
      </c>
      <c r="AF82" s="670">
        <f>IF(Z82=0,,
IF(OR(リスト!$C$21="小麦",リスト!$C$21="二条大麦",リスト!$C$21="六条大麦",リスト!$C$21="はだか麦",リスト!$C$21="なたね"),IF(K82&lt;9,調査年-J82,調査年-J82-1),
IF(リスト!$C$21="さとうきび",IF(K82&gt;=4,調査年-J82,調査年-J82+1),
調査年-J82)))</f>
        <v>0</v>
      </c>
      <c r="AG82" s="672">
        <f t="shared" ref="AG82:AG113" si="25">IF(OR(Z82=0,AA82=1),,
IF(AND(AD82&gt;0,AF82&lt;AD82,AH82&lt;=ROUND((L82-1)*AE82,0)),ROUND(AH82,0),
IF(AND(AD82&gt;0,AF82&lt;AD82),ROUND((L82-1)*AE82,0),)))</f>
        <v>0</v>
      </c>
      <c r="AH82" s="672">
        <f t="shared" ref="AH82:AH117" si="26">IF(OR(Z82=0,AA82=1),,
IF(AND(AD82&gt;0,AF82&lt;AD82),L82-ROUND((L82-1)*AE82*AF82,0),1
))</f>
        <v>0</v>
      </c>
      <c r="AI82" s="672">
        <f t="shared" ref="AI82:AI117" si="27">IF(OR(Z82=0,AA82=1),,
IF(T82=0,AG82,
IF(T82="[2]廃棄等",SUM(AH82,U82),
IF(T82="[1]売却",AH82-U82,))))</f>
        <v>0</v>
      </c>
      <c r="AJ82" s="672">
        <f t="shared" ref="AJ82:AJ117" si="28">IF(AND(AI82=0,AG82=0),,
IF(OR(T82="[1]売却",T82="[2]廃棄等"),SUM(AI82)-SUM(AG82),))</f>
        <v>0</v>
      </c>
      <c r="AK82" s="394"/>
      <c r="AL82" s="672">
        <f>IF(OR(R82=0,AH82=""),,
IF(OR(リスト!$C$21="小麦",リスト!$C$21="二条大麦",リスト!$C$21="六条大麦",リスト!$C$21="はだか麦",リスト!$C$21="なたね"),IF(OR(AND(K82&lt;9,J82=調査年),AND(K82&gt;=9,J82=調査年-1)),,ROUND(AH82*R82%,0)),
IF(リスト!$C$21="さとうきび",IF(OR(AND(K82&gt;=4,J82=調査年),AND(K82&lt;4,J82=調査年+1)),,ROUND(AH82*R82%,0)),
IF(J82=調査年,,ROUND(AH82*R82%,0)))))</f>
        <v>0</v>
      </c>
      <c r="AM82" s="672">
        <f t="shared" ref="AM82:AM117" si="29">IF(R82=0,,IF(AI82=0,,ROUND(AI82*R82%,0)))</f>
        <v>0</v>
      </c>
      <c r="AN82" s="672">
        <f t="shared" ref="AN82:AN117" si="30">IF(R82=0,,IF(AJ82=0,,ROUND(AJ82*R82%,0)))</f>
        <v>0</v>
      </c>
      <c r="AO82" s="672">
        <f t="shared" ref="AO82:AO117" si="31">IF(R82=0,,IF(AH82=0,,ROUND(AH82*R82%,0)))</f>
        <v>0</v>
      </c>
      <c r="AP82" s="672">
        <f>IF(R82=0,,
SUM(
IF(OR(リスト!$C$21="小麦",リスト!$C$21="二条大麦",リスト!$C$21="六条大麦",リスト!$C$21="はだか麦",リスト!$C$21="なたね"),IF(OR(AND(AA82=1,K82&lt;9,J82=調査年),AND(AA82=1,K82&gt;=9,J82=調査年-1)),ROUND(L82*R82%,0),),
IF(リスト!$C$21="さとうきび",IF(OR(AND(AA82=1,K82&gt;=4,J82=調査年),AND(AA82=1,K82&lt;4,J82=調査年+1)),ROUND(L82*R82%,0),),
IF(AND(AA82=1,J82=調査年),ROUND(L82*R82%,0),))),
ROUND(M82*R82%,0)
))</f>
        <v>0</v>
      </c>
      <c r="AQ82" s="672">
        <f t="shared" ref="AQ82:AQ117" si="32">IF(R82=0,,IF(N82=0,,ROUND(N82*R82%,0)))</f>
        <v>0</v>
      </c>
      <c r="AR82" s="672">
        <f t="shared" ref="AR82:AR117" si="33">IF(OR(AP82&gt;0,AQ82&gt;0),SUM(AP82:AQ82),)</f>
        <v>0</v>
      </c>
      <c r="AS82" s="672">
        <f t="shared" si="18"/>
        <v>0</v>
      </c>
      <c r="AT82" s="672">
        <f t="shared" si="19"/>
        <v>0</v>
      </c>
      <c r="AU82" s="672">
        <f t="shared" ref="AU82:AU117" si="34">IF(P82&gt;0,ROUND(P82*R82%,),)</f>
        <v>0</v>
      </c>
      <c r="AV82" s="672">
        <f t="shared" ref="AV82:AV117" si="35">IF(Q82&gt;0,ROUND(Q82*$R82%,),)</f>
        <v>0</v>
      </c>
      <c r="AW82" s="721">
        <f t="shared" ref="AW82:AW117" si="36">IF(X82="○",,IF(AND(W82&gt;0,R82&gt;0),ROUND(1/W82,1),IF(R82&gt;0,ROUND(1,1),)))</f>
        <v>0</v>
      </c>
      <c r="AX82" s="686"/>
      <c r="AY82" s="686"/>
    </row>
    <row r="83" spans="3:51" s="46" customFormat="1" ht="30.75" hidden="1" customHeight="1" outlineLevel="1">
      <c r="C83" s="722">
        <v>66</v>
      </c>
      <c r="D83" s="687"/>
      <c r="E83" s="731"/>
      <c r="F83" s="732"/>
      <c r="G83" s="1965"/>
      <c r="H83" s="1966"/>
      <c r="I83" s="733"/>
      <c r="J83" s="734"/>
      <c r="K83" s="735"/>
      <c r="L83" s="736"/>
      <c r="M83" s="736"/>
      <c r="N83" s="736"/>
      <c r="O83" s="736"/>
      <c r="P83" s="736"/>
      <c r="Q83" s="736"/>
      <c r="R83" s="1094"/>
      <c r="S83" s="737"/>
      <c r="T83" s="738"/>
      <c r="U83" s="739"/>
      <c r="V83" s="717"/>
      <c r="W83" s="728"/>
      <c r="X83" s="729"/>
      <c r="Z83" s="670">
        <f t="shared" si="21"/>
        <v>0</v>
      </c>
      <c r="AA83" s="670">
        <f t="shared" si="22"/>
        <v>0</v>
      </c>
      <c r="AB83" s="670">
        <f t="shared" si="23"/>
        <v>0</v>
      </c>
      <c r="AC83" s="670">
        <f>IF(Z83=0,,VLOOKUP(Z83,リスト!DC:DD,2,0))</f>
        <v>0</v>
      </c>
      <c r="AD83" s="670">
        <f t="shared" si="24"/>
        <v>0</v>
      </c>
      <c r="AE83" s="671">
        <f>IF(AD83=0,,VLOOKUP(AD83,リスト!DK:DL,2,0))</f>
        <v>0</v>
      </c>
      <c r="AF83" s="670">
        <f>IF(Z83=0,,
IF(OR(リスト!$C$21="小麦",リスト!$C$21="二条大麦",リスト!$C$21="六条大麦",リスト!$C$21="はだか麦",リスト!$C$21="なたね"),IF(K83&lt;9,調査年-J83,調査年-J83-1),
IF(リスト!$C$21="さとうきび",IF(K83&gt;=4,調査年-J83,調査年-J83+1),
調査年-J83)))</f>
        <v>0</v>
      </c>
      <c r="AG83" s="672">
        <f t="shared" si="25"/>
        <v>0</v>
      </c>
      <c r="AH83" s="672">
        <f t="shared" si="26"/>
        <v>0</v>
      </c>
      <c r="AI83" s="672">
        <f t="shared" si="27"/>
        <v>0</v>
      </c>
      <c r="AJ83" s="672">
        <f t="shared" si="28"/>
        <v>0</v>
      </c>
      <c r="AK83" s="394"/>
      <c r="AL83" s="672">
        <f>IF(OR(R83=0,AH83=""),,
IF(OR(リスト!$C$21="小麦",リスト!$C$21="二条大麦",リスト!$C$21="六条大麦",リスト!$C$21="はだか麦",リスト!$C$21="なたね"),IF(OR(AND(K83&lt;9,J83=調査年),AND(K83&gt;=9,J83=調査年-1)),,ROUND(AH83*R83%,0)),
IF(リスト!$C$21="さとうきび",IF(OR(AND(K83&gt;=4,J83=調査年),AND(K83&lt;4,J83=調査年+1)),,ROUND(AH83*R83%,0)),
IF(J83=調査年,,ROUND(AH83*R83%,0)))))</f>
        <v>0</v>
      </c>
      <c r="AM83" s="672">
        <f t="shared" si="29"/>
        <v>0</v>
      </c>
      <c r="AN83" s="672">
        <f t="shared" si="30"/>
        <v>0</v>
      </c>
      <c r="AO83" s="672">
        <f t="shared" si="31"/>
        <v>0</v>
      </c>
      <c r="AP83" s="672">
        <f>IF(R83=0,,
SUM(
IF(OR(リスト!$C$21="小麦",リスト!$C$21="二条大麦",リスト!$C$21="六条大麦",リスト!$C$21="はだか麦",リスト!$C$21="なたね"),IF(OR(AND(AA83=1,K83&lt;9,J83=調査年),AND(AA83=1,K83&gt;=9,J83=調査年-1)),ROUND(L83*R83%,0),),
IF(リスト!$C$21="さとうきび",IF(OR(AND(AA83=1,K83&gt;=4,J83=調査年),AND(AA83=1,K83&lt;4,J83=調査年+1)),ROUND(L83*R83%,0),),
IF(AND(AA83=1,J83=調査年),ROUND(L83*R83%,0),))),
ROUND(M83*R83%,0)
))</f>
        <v>0</v>
      </c>
      <c r="AQ83" s="672">
        <f t="shared" si="32"/>
        <v>0</v>
      </c>
      <c r="AR83" s="672">
        <f t="shared" si="33"/>
        <v>0</v>
      </c>
      <c r="AS83" s="672">
        <f t="shared" si="18"/>
        <v>0</v>
      </c>
      <c r="AT83" s="672">
        <f t="shared" si="19"/>
        <v>0</v>
      </c>
      <c r="AU83" s="672">
        <f t="shared" si="34"/>
        <v>0</v>
      </c>
      <c r="AV83" s="672">
        <f t="shared" si="35"/>
        <v>0</v>
      </c>
      <c r="AW83" s="721">
        <f t="shared" si="36"/>
        <v>0</v>
      </c>
      <c r="AX83" s="686"/>
      <c r="AY83" s="686"/>
    </row>
    <row r="84" spans="3:51" s="46" customFormat="1" ht="30.75" hidden="1" customHeight="1" outlineLevel="1">
      <c r="C84" s="722">
        <v>67</v>
      </c>
      <c r="D84" s="687"/>
      <c r="E84" s="723"/>
      <c r="F84" s="724"/>
      <c r="G84" s="1961"/>
      <c r="H84" s="1962"/>
      <c r="I84" s="679"/>
      <c r="J84" s="725"/>
      <c r="K84" s="680"/>
      <c r="L84" s="681"/>
      <c r="M84" s="681"/>
      <c r="N84" s="681"/>
      <c r="O84" s="681"/>
      <c r="P84" s="681"/>
      <c r="Q84" s="681"/>
      <c r="R84" s="1094"/>
      <c r="S84" s="682"/>
      <c r="T84" s="726"/>
      <c r="U84" s="727"/>
      <c r="V84" s="717"/>
      <c r="W84" s="728"/>
      <c r="X84" s="729"/>
      <c r="Z84" s="670">
        <f t="shared" si="21"/>
        <v>0</v>
      </c>
      <c r="AA84" s="670">
        <f t="shared" si="22"/>
        <v>0</v>
      </c>
      <c r="AB84" s="670">
        <f t="shared" si="23"/>
        <v>0</v>
      </c>
      <c r="AC84" s="670">
        <f>IF(Z84=0,,VLOOKUP(Z84,リスト!DC:DD,2,0))</f>
        <v>0</v>
      </c>
      <c r="AD84" s="670">
        <f t="shared" si="24"/>
        <v>0</v>
      </c>
      <c r="AE84" s="671">
        <f>IF(AD84=0,,VLOOKUP(AD84,リスト!DK:DL,2,0))</f>
        <v>0</v>
      </c>
      <c r="AF84" s="670">
        <f>IF(Z84=0,,
IF(OR(リスト!$C$21="小麦",リスト!$C$21="二条大麦",リスト!$C$21="六条大麦",リスト!$C$21="はだか麦",リスト!$C$21="なたね"),IF(K84&lt;9,調査年-J84,調査年-J84-1),
IF(リスト!$C$21="さとうきび",IF(K84&gt;=4,調査年-J84,調査年-J84+1),
調査年-J84)))</f>
        <v>0</v>
      </c>
      <c r="AG84" s="672">
        <f t="shared" si="25"/>
        <v>0</v>
      </c>
      <c r="AH84" s="672">
        <f t="shared" si="26"/>
        <v>0</v>
      </c>
      <c r="AI84" s="672">
        <f t="shared" si="27"/>
        <v>0</v>
      </c>
      <c r="AJ84" s="672">
        <f t="shared" si="28"/>
        <v>0</v>
      </c>
      <c r="AK84" s="394"/>
      <c r="AL84" s="672">
        <f>IF(OR(R84=0,AH84=""),,
IF(OR(リスト!$C$21="小麦",リスト!$C$21="二条大麦",リスト!$C$21="六条大麦",リスト!$C$21="はだか麦",リスト!$C$21="なたね"),IF(OR(AND(K84&lt;9,J84=調査年),AND(K84&gt;=9,J84=調査年-1)),,ROUND(AH84*R84%,0)),
IF(リスト!$C$21="さとうきび",IF(OR(AND(K84&gt;=4,J84=調査年),AND(K84&lt;4,J84=調査年+1)),,ROUND(AH84*R84%,0)),
IF(J84=調査年,,ROUND(AH84*R84%,0)))))</f>
        <v>0</v>
      </c>
      <c r="AM84" s="672">
        <f t="shared" si="29"/>
        <v>0</v>
      </c>
      <c r="AN84" s="672">
        <f t="shared" si="30"/>
        <v>0</v>
      </c>
      <c r="AO84" s="672">
        <f t="shared" si="31"/>
        <v>0</v>
      </c>
      <c r="AP84" s="672">
        <f>IF(R84=0,,
SUM(
IF(OR(リスト!$C$21="小麦",リスト!$C$21="二条大麦",リスト!$C$21="六条大麦",リスト!$C$21="はだか麦",リスト!$C$21="なたね"),IF(OR(AND(AA84=1,K84&lt;9,J84=調査年),AND(AA84=1,K84&gt;=9,J84=調査年-1)),ROUND(L84*R84%,0),),
IF(リスト!$C$21="さとうきび",IF(OR(AND(AA84=1,K84&gt;=4,J84=調査年),AND(AA84=1,K84&lt;4,J84=調査年+1)),ROUND(L84*R84%,0),),
IF(AND(AA84=1,J84=調査年),ROUND(L84*R84%,0),))),
ROUND(M84*R84%,0)
))</f>
        <v>0</v>
      </c>
      <c r="AQ84" s="672">
        <f t="shared" si="32"/>
        <v>0</v>
      </c>
      <c r="AR84" s="672">
        <f t="shared" si="33"/>
        <v>0</v>
      </c>
      <c r="AS84" s="672">
        <f t="shared" ref="AS84:AS117" si="37">IF(O84&gt;0,IF(AND(F84&lt;&gt;"[1]軽自動車",F84&lt;&gt;"[3]自動二輪・三輪"),ROUND(O84*R84%,),),)</f>
        <v>0</v>
      </c>
      <c r="AT84" s="672">
        <f t="shared" ref="AT84:AT117" si="38">IF(O84&gt;0,IF(OR(F84="[1]軽自動車",F84="[3]自動二輪・三輪"),ROUND(O84*R84%,),),)</f>
        <v>0</v>
      </c>
      <c r="AU84" s="672">
        <f t="shared" si="34"/>
        <v>0</v>
      </c>
      <c r="AV84" s="672">
        <f t="shared" si="35"/>
        <v>0</v>
      </c>
      <c r="AW84" s="721">
        <f t="shared" si="36"/>
        <v>0</v>
      </c>
      <c r="AX84" s="686"/>
      <c r="AY84" s="686"/>
    </row>
    <row r="85" spans="3:51" s="46" customFormat="1" ht="30.75" hidden="1" customHeight="1" outlineLevel="1">
      <c r="C85" s="722">
        <v>68</v>
      </c>
      <c r="D85" s="687"/>
      <c r="E85" s="723"/>
      <c r="F85" s="724"/>
      <c r="G85" s="1961"/>
      <c r="H85" s="1962"/>
      <c r="I85" s="679"/>
      <c r="J85" s="725"/>
      <c r="K85" s="680"/>
      <c r="L85" s="681"/>
      <c r="M85" s="681"/>
      <c r="N85" s="681"/>
      <c r="O85" s="681"/>
      <c r="P85" s="681"/>
      <c r="Q85" s="681"/>
      <c r="R85" s="1094"/>
      <c r="S85" s="682"/>
      <c r="T85" s="726"/>
      <c r="U85" s="727"/>
      <c r="V85" s="717"/>
      <c r="W85" s="728"/>
      <c r="X85" s="729"/>
      <c r="Z85" s="670">
        <f t="shared" si="21"/>
        <v>0</v>
      </c>
      <c r="AA85" s="670">
        <f t="shared" si="22"/>
        <v>0</v>
      </c>
      <c r="AB85" s="670">
        <f t="shared" si="23"/>
        <v>0</v>
      </c>
      <c r="AC85" s="670">
        <f>IF(Z85=0,,VLOOKUP(Z85,リスト!DC:DD,2,0))</f>
        <v>0</v>
      </c>
      <c r="AD85" s="670">
        <f t="shared" si="24"/>
        <v>0</v>
      </c>
      <c r="AE85" s="671">
        <f>IF(AD85=0,,VLOOKUP(AD85,リスト!DK:DL,2,0))</f>
        <v>0</v>
      </c>
      <c r="AF85" s="670">
        <f>IF(Z85=0,,
IF(OR(リスト!$C$21="小麦",リスト!$C$21="二条大麦",リスト!$C$21="六条大麦",リスト!$C$21="はだか麦",リスト!$C$21="なたね"),IF(K85&lt;9,調査年-J85,調査年-J85-1),
IF(リスト!$C$21="さとうきび",IF(K85&gt;=4,調査年-J85,調査年-J85+1),
調査年-J85)))</f>
        <v>0</v>
      </c>
      <c r="AG85" s="672">
        <f t="shared" si="25"/>
        <v>0</v>
      </c>
      <c r="AH85" s="672">
        <f t="shared" si="26"/>
        <v>0</v>
      </c>
      <c r="AI85" s="672">
        <f t="shared" si="27"/>
        <v>0</v>
      </c>
      <c r="AJ85" s="672">
        <f t="shared" si="28"/>
        <v>0</v>
      </c>
      <c r="AK85" s="394"/>
      <c r="AL85" s="672">
        <f>IF(OR(R85=0,AH85=""),,
IF(OR(リスト!$C$21="小麦",リスト!$C$21="二条大麦",リスト!$C$21="六条大麦",リスト!$C$21="はだか麦",リスト!$C$21="なたね"),IF(OR(AND(K85&lt;9,J85=調査年),AND(K85&gt;=9,J85=調査年-1)),,ROUND(AH85*R85%,0)),
IF(リスト!$C$21="さとうきび",IF(OR(AND(K85&gt;=4,J85=調査年),AND(K85&lt;4,J85=調査年+1)),,ROUND(AH85*R85%,0)),
IF(J85=調査年,,ROUND(AH85*R85%,0)))))</f>
        <v>0</v>
      </c>
      <c r="AM85" s="672">
        <f t="shared" si="29"/>
        <v>0</v>
      </c>
      <c r="AN85" s="672">
        <f t="shared" si="30"/>
        <v>0</v>
      </c>
      <c r="AO85" s="672">
        <f t="shared" si="31"/>
        <v>0</v>
      </c>
      <c r="AP85" s="672">
        <f>IF(R85=0,,
SUM(
IF(OR(リスト!$C$21="小麦",リスト!$C$21="二条大麦",リスト!$C$21="六条大麦",リスト!$C$21="はだか麦",リスト!$C$21="なたね"),IF(OR(AND(AA85=1,K85&lt;9,J85=調査年),AND(AA85=1,K85&gt;=9,J85=調査年-1)),ROUND(L85*R85%,0),),
IF(リスト!$C$21="さとうきび",IF(OR(AND(AA85=1,K85&gt;=4,J85=調査年),AND(AA85=1,K85&lt;4,J85=調査年+1)),ROUND(L85*R85%,0),),
IF(AND(AA85=1,J85=調査年),ROUND(L85*R85%,0),))),
ROUND(M85*R85%,0)
))</f>
        <v>0</v>
      </c>
      <c r="AQ85" s="672">
        <f t="shared" si="32"/>
        <v>0</v>
      </c>
      <c r="AR85" s="672">
        <f t="shared" si="33"/>
        <v>0</v>
      </c>
      <c r="AS85" s="672">
        <f t="shared" si="37"/>
        <v>0</v>
      </c>
      <c r="AT85" s="672">
        <f t="shared" si="38"/>
        <v>0</v>
      </c>
      <c r="AU85" s="672">
        <f t="shared" si="34"/>
        <v>0</v>
      </c>
      <c r="AV85" s="672">
        <f t="shared" si="35"/>
        <v>0</v>
      </c>
      <c r="AW85" s="721">
        <f t="shared" si="36"/>
        <v>0</v>
      </c>
      <c r="AX85" s="686"/>
      <c r="AY85" s="686"/>
    </row>
    <row r="86" spans="3:51" s="46" customFormat="1" ht="30.75" hidden="1" customHeight="1" outlineLevel="1">
      <c r="C86" s="722">
        <v>69</v>
      </c>
      <c r="D86" s="687"/>
      <c r="E86" s="723"/>
      <c r="F86" s="724"/>
      <c r="G86" s="1961"/>
      <c r="H86" s="1962"/>
      <c r="I86" s="679"/>
      <c r="J86" s="725"/>
      <c r="K86" s="680"/>
      <c r="L86" s="681"/>
      <c r="M86" s="681"/>
      <c r="N86" s="681"/>
      <c r="O86" s="681"/>
      <c r="P86" s="681"/>
      <c r="Q86" s="681"/>
      <c r="R86" s="1094"/>
      <c r="S86" s="682"/>
      <c r="T86" s="726"/>
      <c r="U86" s="727"/>
      <c r="V86" s="717"/>
      <c r="W86" s="728"/>
      <c r="X86" s="729"/>
      <c r="Z86" s="670">
        <f t="shared" si="21"/>
        <v>0</v>
      </c>
      <c r="AA86" s="670">
        <f t="shared" si="22"/>
        <v>0</v>
      </c>
      <c r="AB86" s="670">
        <f t="shared" si="23"/>
        <v>0</v>
      </c>
      <c r="AC86" s="670">
        <f>IF(Z86=0,,VLOOKUP(Z86,リスト!DC:DD,2,0))</f>
        <v>0</v>
      </c>
      <c r="AD86" s="670">
        <f t="shared" si="24"/>
        <v>0</v>
      </c>
      <c r="AE86" s="671">
        <f>IF(AD86=0,,VLOOKUP(AD86,リスト!DK:DL,2,0))</f>
        <v>0</v>
      </c>
      <c r="AF86" s="670">
        <f>IF(Z86=0,,
IF(OR(リスト!$C$21="小麦",リスト!$C$21="二条大麦",リスト!$C$21="六条大麦",リスト!$C$21="はだか麦",リスト!$C$21="なたね"),IF(K86&lt;9,調査年-J86,調査年-J86-1),
IF(リスト!$C$21="さとうきび",IF(K86&gt;=4,調査年-J86,調査年-J86+1),
調査年-J86)))</f>
        <v>0</v>
      </c>
      <c r="AG86" s="672">
        <f t="shared" si="25"/>
        <v>0</v>
      </c>
      <c r="AH86" s="672">
        <f t="shared" si="26"/>
        <v>0</v>
      </c>
      <c r="AI86" s="672">
        <f t="shared" si="27"/>
        <v>0</v>
      </c>
      <c r="AJ86" s="672">
        <f t="shared" si="28"/>
        <v>0</v>
      </c>
      <c r="AK86" s="394"/>
      <c r="AL86" s="672">
        <f>IF(OR(R86=0,AH86=""),,
IF(OR(リスト!$C$21="小麦",リスト!$C$21="二条大麦",リスト!$C$21="六条大麦",リスト!$C$21="はだか麦",リスト!$C$21="なたね"),IF(OR(AND(K86&lt;9,J86=調査年),AND(K86&gt;=9,J86=調査年-1)),,ROUND(AH86*R86%,0)),
IF(リスト!$C$21="さとうきび",IF(OR(AND(K86&gt;=4,J86=調査年),AND(K86&lt;4,J86=調査年+1)),,ROUND(AH86*R86%,0)),
IF(J86=調査年,,ROUND(AH86*R86%,0)))))</f>
        <v>0</v>
      </c>
      <c r="AM86" s="672">
        <f t="shared" si="29"/>
        <v>0</v>
      </c>
      <c r="AN86" s="672">
        <f t="shared" si="30"/>
        <v>0</v>
      </c>
      <c r="AO86" s="672">
        <f t="shared" si="31"/>
        <v>0</v>
      </c>
      <c r="AP86" s="672">
        <f>IF(R86=0,,
SUM(
IF(OR(リスト!$C$21="小麦",リスト!$C$21="二条大麦",リスト!$C$21="六条大麦",リスト!$C$21="はだか麦",リスト!$C$21="なたね"),IF(OR(AND(AA86=1,K86&lt;9,J86=調査年),AND(AA86=1,K86&gt;=9,J86=調査年-1)),ROUND(L86*R86%,0),),
IF(リスト!$C$21="さとうきび",IF(OR(AND(AA86=1,K86&gt;=4,J86=調査年),AND(AA86=1,K86&lt;4,J86=調査年+1)),ROUND(L86*R86%,0),),
IF(AND(AA86=1,J86=調査年),ROUND(L86*R86%,0),))),
ROUND(M86*R86%,0)
))</f>
        <v>0</v>
      </c>
      <c r="AQ86" s="672">
        <f t="shared" si="32"/>
        <v>0</v>
      </c>
      <c r="AR86" s="672">
        <f t="shared" si="33"/>
        <v>0</v>
      </c>
      <c r="AS86" s="672">
        <f t="shared" si="37"/>
        <v>0</v>
      </c>
      <c r="AT86" s="672">
        <f t="shared" si="38"/>
        <v>0</v>
      </c>
      <c r="AU86" s="672">
        <f t="shared" si="34"/>
        <v>0</v>
      </c>
      <c r="AV86" s="672">
        <f t="shared" si="35"/>
        <v>0</v>
      </c>
      <c r="AW86" s="721">
        <f t="shared" si="36"/>
        <v>0</v>
      </c>
      <c r="AX86" s="686"/>
      <c r="AY86" s="686"/>
    </row>
    <row r="87" spans="3:51" s="46" customFormat="1" ht="30.75" hidden="1" customHeight="1" outlineLevel="1">
      <c r="C87" s="722">
        <v>70</v>
      </c>
      <c r="D87" s="687"/>
      <c r="E87" s="723"/>
      <c r="F87" s="724"/>
      <c r="G87" s="1961"/>
      <c r="H87" s="1962"/>
      <c r="I87" s="679"/>
      <c r="J87" s="725"/>
      <c r="K87" s="680"/>
      <c r="L87" s="681"/>
      <c r="M87" s="681"/>
      <c r="N87" s="681"/>
      <c r="O87" s="681"/>
      <c r="P87" s="681"/>
      <c r="Q87" s="681"/>
      <c r="R87" s="1094"/>
      <c r="S87" s="682"/>
      <c r="T87" s="726"/>
      <c r="U87" s="727"/>
      <c r="V87" s="717"/>
      <c r="W87" s="728"/>
      <c r="X87" s="729"/>
      <c r="Z87" s="670">
        <f t="shared" si="21"/>
        <v>0</v>
      </c>
      <c r="AA87" s="670">
        <f t="shared" si="22"/>
        <v>0</v>
      </c>
      <c r="AB87" s="670">
        <f t="shared" si="23"/>
        <v>0</v>
      </c>
      <c r="AC87" s="670">
        <f>IF(Z87=0,,VLOOKUP(Z87,リスト!DC:DD,2,0))</f>
        <v>0</v>
      </c>
      <c r="AD87" s="670">
        <f t="shared" si="24"/>
        <v>0</v>
      </c>
      <c r="AE87" s="671">
        <f>IF(AD87=0,,VLOOKUP(AD87,リスト!DK:DL,2,0))</f>
        <v>0</v>
      </c>
      <c r="AF87" s="670">
        <f>IF(Z87=0,,
IF(OR(リスト!$C$21="小麦",リスト!$C$21="二条大麦",リスト!$C$21="六条大麦",リスト!$C$21="はだか麦",リスト!$C$21="なたね"),IF(K87&lt;9,調査年-J87,調査年-J87-1),
IF(リスト!$C$21="さとうきび",IF(K87&gt;=4,調査年-J87,調査年-J87+1),
調査年-J87)))</f>
        <v>0</v>
      </c>
      <c r="AG87" s="672">
        <f t="shared" si="25"/>
        <v>0</v>
      </c>
      <c r="AH87" s="672">
        <f t="shared" si="26"/>
        <v>0</v>
      </c>
      <c r="AI87" s="672">
        <f t="shared" si="27"/>
        <v>0</v>
      </c>
      <c r="AJ87" s="672">
        <f t="shared" si="28"/>
        <v>0</v>
      </c>
      <c r="AK87" s="394"/>
      <c r="AL87" s="672">
        <f>IF(OR(R87=0,AH87=""),,
IF(OR(リスト!$C$21="小麦",リスト!$C$21="二条大麦",リスト!$C$21="六条大麦",リスト!$C$21="はだか麦",リスト!$C$21="なたね"),IF(OR(AND(K87&lt;9,J87=調査年),AND(K87&gt;=9,J87=調査年-1)),,ROUND(AH87*R87%,0)),
IF(リスト!$C$21="さとうきび",IF(OR(AND(K87&gt;=4,J87=調査年),AND(K87&lt;4,J87=調査年+1)),,ROUND(AH87*R87%,0)),
IF(J87=調査年,,ROUND(AH87*R87%,0)))))</f>
        <v>0</v>
      </c>
      <c r="AM87" s="672">
        <f t="shared" si="29"/>
        <v>0</v>
      </c>
      <c r="AN87" s="672">
        <f t="shared" si="30"/>
        <v>0</v>
      </c>
      <c r="AO87" s="672">
        <f t="shared" si="31"/>
        <v>0</v>
      </c>
      <c r="AP87" s="672">
        <f>IF(R87=0,,
SUM(
IF(OR(リスト!$C$21="小麦",リスト!$C$21="二条大麦",リスト!$C$21="六条大麦",リスト!$C$21="はだか麦",リスト!$C$21="なたね"),IF(OR(AND(AA87=1,K87&lt;9,J87=調査年),AND(AA87=1,K87&gt;=9,J87=調査年-1)),ROUND(L87*R87%,0),),
IF(リスト!$C$21="さとうきび",IF(OR(AND(AA87=1,K87&gt;=4,J87=調査年),AND(AA87=1,K87&lt;4,J87=調査年+1)),ROUND(L87*R87%,0),),
IF(AND(AA87=1,J87=調査年),ROUND(L87*R87%,0),))),
ROUND(M87*R87%,0)
))</f>
        <v>0</v>
      </c>
      <c r="AQ87" s="672">
        <f t="shared" si="32"/>
        <v>0</v>
      </c>
      <c r="AR87" s="672">
        <f t="shared" si="33"/>
        <v>0</v>
      </c>
      <c r="AS87" s="672">
        <f t="shared" si="37"/>
        <v>0</v>
      </c>
      <c r="AT87" s="672">
        <f t="shared" si="38"/>
        <v>0</v>
      </c>
      <c r="AU87" s="672">
        <f t="shared" si="34"/>
        <v>0</v>
      </c>
      <c r="AV87" s="672">
        <f t="shared" si="35"/>
        <v>0</v>
      </c>
      <c r="AW87" s="721">
        <f t="shared" si="36"/>
        <v>0</v>
      </c>
      <c r="AX87" s="686"/>
      <c r="AY87" s="686"/>
    </row>
    <row r="88" spans="3:51" s="46" customFormat="1" ht="30.75" hidden="1" customHeight="1" outlineLevel="1">
      <c r="C88" s="722">
        <v>71</v>
      </c>
      <c r="D88" s="687"/>
      <c r="E88" s="723"/>
      <c r="F88" s="724"/>
      <c r="G88" s="1961"/>
      <c r="H88" s="1962"/>
      <c r="I88" s="679"/>
      <c r="J88" s="725"/>
      <c r="K88" s="680"/>
      <c r="L88" s="681"/>
      <c r="M88" s="681"/>
      <c r="N88" s="681"/>
      <c r="O88" s="681"/>
      <c r="P88" s="681"/>
      <c r="Q88" s="681"/>
      <c r="R88" s="1094"/>
      <c r="S88" s="682"/>
      <c r="T88" s="726"/>
      <c r="U88" s="727"/>
      <c r="V88" s="717"/>
      <c r="W88" s="728"/>
      <c r="X88" s="729"/>
      <c r="Z88" s="670">
        <f t="shared" si="21"/>
        <v>0</v>
      </c>
      <c r="AA88" s="670">
        <f t="shared" si="22"/>
        <v>0</v>
      </c>
      <c r="AB88" s="670">
        <f t="shared" si="23"/>
        <v>0</v>
      </c>
      <c r="AC88" s="670">
        <f>IF(Z88=0,,VLOOKUP(Z88,リスト!DC:DD,2,0))</f>
        <v>0</v>
      </c>
      <c r="AD88" s="670">
        <f t="shared" si="24"/>
        <v>0</v>
      </c>
      <c r="AE88" s="671">
        <f>IF(AD88=0,,VLOOKUP(AD88,リスト!DK:DL,2,0))</f>
        <v>0</v>
      </c>
      <c r="AF88" s="670">
        <f>IF(Z88=0,,
IF(OR(リスト!$C$21="小麦",リスト!$C$21="二条大麦",リスト!$C$21="六条大麦",リスト!$C$21="はだか麦",リスト!$C$21="なたね"),IF(K88&lt;9,調査年-J88,調査年-J88-1),
IF(リスト!$C$21="さとうきび",IF(K88&gt;=4,調査年-J88,調査年-J88+1),
調査年-J88)))</f>
        <v>0</v>
      </c>
      <c r="AG88" s="672">
        <f t="shared" si="25"/>
        <v>0</v>
      </c>
      <c r="AH88" s="672">
        <f t="shared" si="26"/>
        <v>0</v>
      </c>
      <c r="AI88" s="672">
        <f t="shared" si="27"/>
        <v>0</v>
      </c>
      <c r="AJ88" s="672">
        <f t="shared" si="28"/>
        <v>0</v>
      </c>
      <c r="AK88" s="394"/>
      <c r="AL88" s="672">
        <f>IF(OR(R88=0,AH88=""),,
IF(OR(リスト!$C$21="小麦",リスト!$C$21="二条大麦",リスト!$C$21="六条大麦",リスト!$C$21="はだか麦",リスト!$C$21="なたね"),IF(OR(AND(K88&lt;9,J88=調査年),AND(K88&gt;=9,J88=調査年-1)),,ROUND(AH88*R88%,0)),
IF(リスト!$C$21="さとうきび",IF(OR(AND(K88&gt;=4,J88=調査年),AND(K88&lt;4,J88=調査年+1)),,ROUND(AH88*R88%,0)),
IF(J88=調査年,,ROUND(AH88*R88%,0)))))</f>
        <v>0</v>
      </c>
      <c r="AM88" s="672">
        <f t="shared" si="29"/>
        <v>0</v>
      </c>
      <c r="AN88" s="672">
        <f t="shared" si="30"/>
        <v>0</v>
      </c>
      <c r="AO88" s="672">
        <f t="shared" si="31"/>
        <v>0</v>
      </c>
      <c r="AP88" s="672">
        <f>IF(R88=0,,
SUM(
IF(OR(リスト!$C$21="小麦",リスト!$C$21="二条大麦",リスト!$C$21="六条大麦",リスト!$C$21="はだか麦",リスト!$C$21="なたね"),IF(OR(AND(AA88=1,K88&lt;9,J88=調査年),AND(AA88=1,K88&gt;=9,J88=調査年-1)),ROUND(L88*R88%,0),),
IF(リスト!$C$21="さとうきび",IF(OR(AND(AA88=1,K88&gt;=4,J88=調査年),AND(AA88=1,K88&lt;4,J88=調査年+1)),ROUND(L88*R88%,0),),
IF(AND(AA88=1,J88=調査年),ROUND(L88*R88%,0),))),
ROUND(M88*R88%,0)
))</f>
        <v>0</v>
      </c>
      <c r="AQ88" s="672">
        <f t="shared" si="32"/>
        <v>0</v>
      </c>
      <c r="AR88" s="672">
        <f t="shared" si="33"/>
        <v>0</v>
      </c>
      <c r="AS88" s="672">
        <f t="shared" si="37"/>
        <v>0</v>
      </c>
      <c r="AT88" s="672">
        <f t="shared" si="38"/>
        <v>0</v>
      </c>
      <c r="AU88" s="672">
        <f t="shared" si="34"/>
        <v>0</v>
      </c>
      <c r="AV88" s="672">
        <f t="shared" si="35"/>
        <v>0</v>
      </c>
      <c r="AW88" s="721">
        <f t="shared" si="36"/>
        <v>0</v>
      </c>
      <c r="AX88" s="686"/>
      <c r="AY88" s="686"/>
    </row>
    <row r="89" spans="3:51" s="46" customFormat="1" ht="30.75" hidden="1" customHeight="1" outlineLevel="1">
      <c r="C89" s="722">
        <v>72</v>
      </c>
      <c r="D89" s="687"/>
      <c r="E89" s="723"/>
      <c r="F89" s="724"/>
      <c r="G89" s="1961"/>
      <c r="H89" s="1962"/>
      <c r="I89" s="679"/>
      <c r="J89" s="725"/>
      <c r="K89" s="680"/>
      <c r="L89" s="681"/>
      <c r="M89" s="681"/>
      <c r="N89" s="681"/>
      <c r="O89" s="681"/>
      <c r="P89" s="681"/>
      <c r="Q89" s="681"/>
      <c r="R89" s="1094"/>
      <c r="S89" s="682"/>
      <c r="T89" s="726"/>
      <c r="U89" s="727"/>
      <c r="V89" s="717"/>
      <c r="W89" s="728"/>
      <c r="X89" s="729"/>
      <c r="Z89" s="670">
        <f t="shared" si="21"/>
        <v>0</v>
      </c>
      <c r="AA89" s="670">
        <f t="shared" si="22"/>
        <v>0</v>
      </c>
      <c r="AB89" s="670">
        <f t="shared" si="23"/>
        <v>0</v>
      </c>
      <c r="AC89" s="670">
        <f>IF(Z89=0,,VLOOKUP(Z89,リスト!DC:DD,2,0))</f>
        <v>0</v>
      </c>
      <c r="AD89" s="670">
        <f t="shared" si="24"/>
        <v>0</v>
      </c>
      <c r="AE89" s="671">
        <f>IF(AD89=0,,VLOOKUP(AD89,リスト!DK:DL,2,0))</f>
        <v>0</v>
      </c>
      <c r="AF89" s="670">
        <f>IF(Z89=0,,
IF(OR(リスト!$C$21="小麦",リスト!$C$21="二条大麦",リスト!$C$21="六条大麦",リスト!$C$21="はだか麦",リスト!$C$21="なたね"),IF(K89&lt;9,調査年-J89,調査年-J89-1),
IF(リスト!$C$21="さとうきび",IF(K89&gt;=4,調査年-J89,調査年-J89+1),
調査年-J89)))</f>
        <v>0</v>
      </c>
      <c r="AG89" s="672">
        <f t="shared" si="25"/>
        <v>0</v>
      </c>
      <c r="AH89" s="672">
        <f t="shared" si="26"/>
        <v>0</v>
      </c>
      <c r="AI89" s="672">
        <f t="shared" si="27"/>
        <v>0</v>
      </c>
      <c r="AJ89" s="672">
        <f t="shared" si="28"/>
        <v>0</v>
      </c>
      <c r="AK89" s="394"/>
      <c r="AL89" s="672">
        <f>IF(OR(R89=0,AH89=""),,
IF(OR(リスト!$C$21="小麦",リスト!$C$21="二条大麦",リスト!$C$21="六条大麦",リスト!$C$21="はだか麦",リスト!$C$21="なたね"),IF(OR(AND(K89&lt;9,J89=調査年),AND(K89&gt;=9,J89=調査年-1)),,ROUND(AH89*R89%,0)),
IF(リスト!$C$21="さとうきび",IF(OR(AND(K89&gt;=4,J89=調査年),AND(K89&lt;4,J89=調査年+1)),,ROUND(AH89*R89%,0)),
IF(J89=調査年,,ROUND(AH89*R89%,0)))))</f>
        <v>0</v>
      </c>
      <c r="AM89" s="672">
        <f t="shared" si="29"/>
        <v>0</v>
      </c>
      <c r="AN89" s="672">
        <f t="shared" si="30"/>
        <v>0</v>
      </c>
      <c r="AO89" s="672">
        <f t="shared" si="31"/>
        <v>0</v>
      </c>
      <c r="AP89" s="672">
        <f>IF(R89=0,,
SUM(
IF(OR(リスト!$C$21="小麦",リスト!$C$21="二条大麦",リスト!$C$21="六条大麦",リスト!$C$21="はだか麦",リスト!$C$21="なたね"),IF(OR(AND(AA89=1,K89&lt;9,J89=調査年),AND(AA89=1,K89&gt;=9,J89=調査年-1)),ROUND(L89*R89%,0),),
IF(リスト!$C$21="さとうきび",IF(OR(AND(AA89=1,K89&gt;=4,J89=調査年),AND(AA89=1,K89&lt;4,J89=調査年+1)),ROUND(L89*R89%,0),),
IF(AND(AA89=1,J89=調査年),ROUND(L89*R89%,0),))),
ROUND(M89*R89%,0)
))</f>
        <v>0</v>
      </c>
      <c r="AQ89" s="672">
        <f t="shared" si="32"/>
        <v>0</v>
      </c>
      <c r="AR89" s="672">
        <f t="shared" si="33"/>
        <v>0</v>
      </c>
      <c r="AS89" s="672">
        <f t="shared" si="37"/>
        <v>0</v>
      </c>
      <c r="AT89" s="672">
        <f t="shared" si="38"/>
        <v>0</v>
      </c>
      <c r="AU89" s="672">
        <f t="shared" si="34"/>
        <v>0</v>
      </c>
      <c r="AV89" s="672">
        <f t="shared" si="35"/>
        <v>0</v>
      </c>
      <c r="AW89" s="721">
        <f t="shared" si="36"/>
        <v>0</v>
      </c>
      <c r="AX89" s="686"/>
      <c r="AY89" s="686"/>
    </row>
    <row r="90" spans="3:51" s="46" customFormat="1" ht="30.75" hidden="1" customHeight="1" outlineLevel="1">
      <c r="C90" s="722">
        <v>73</v>
      </c>
      <c r="D90" s="687"/>
      <c r="E90" s="723"/>
      <c r="F90" s="724"/>
      <c r="G90" s="1961"/>
      <c r="H90" s="1962"/>
      <c r="I90" s="679"/>
      <c r="J90" s="725"/>
      <c r="K90" s="680"/>
      <c r="L90" s="681"/>
      <c r="M90" s="681"/>
      <c r="N90" s="681"/>
      <c r="O90" s="681"/>
      <c r="P90" s="681"/>
      <c r="Q90" s="681"/>
      <c r="R90" s="1094"/>
      <c r="S90" s="682"/>
      <c r="T90" s="726"/>
      <c r="U90" s="727"/>
      <c r="V90" s="717"/>
      <c r="W90" s="728"/>
      <c r="X90" s="729"/>
      <c r="Z90" s="670">
        <f t="shared" si="21"/>
        <v>0</v>
      </c>
      <c r="AA90" s="670">
        <f t="shared" si="22"/>
        <v>0</v>
      </c>
      <c r="AB90" s="670">
        <f t="shared" si="23"/>
        <v>0</v>
      </c>
      <c r="AC90" s="670">
        <f>IF(Z90=0,,VLOOKUP(Z90,リスト!DC:DD,2,0))</f>
        <v>0</v>
      </c>
      <c r="AD90" s="670">
        <f t="shared" si="24"/>
        <v>0</v>
      </c>
      <c r="AE90" s="671">
        <f>IF(AD90=0,,VLOOKUP(AD90,リスト!DK:DL,2,0))</f>
        <v>0</v>
      </c>
      <c r="AF90" s="670">
        <f>IF(Z90=0,,
IF(OR(リスト!$C$21="小麦",リスト!$C$21="二条大麦",リスト!$C$21="六条大麦",リスト!$C$21="はだか麦",リスト!$C$21="なたね"),IF(K90&lt;9,調査年-J90,調査年-J90-1),
IF(リスト!$C$21="さとうきび",IF(K90&gt;=4,調査年-J90,調査年-J90+1),
調査年-J90)))</f>
        <v>0</v>
      </c>
      <c r="AG90" s="672">
        <f t="shared" si="25"/>
        <v>0</v>
      </c>
      <c r="AH90" s="672">
        <f t="shared" si="26"/>
        <v>0</v>
      </c>
      <c r="AI90" s="672">
        <f t="shared" si="27"/>
        <v>0</v>
      </c>
      <c r="AJ90" s="672">
        <f t="shared" si="28"/>
        <v>0</v>
      </c>
      <c r="AK90" s="394"/>
      <c r="AL90" s="672">
        <f>IF(OR(R90=0,AH90=""),,
IF(OR(リスト!$C$21="小麦",リスト!$C$21="二条大麦",リスト!$C$21="六条大麦",リスト!$C$21="はだか麦",リスト!$C$21="なたね"),IF(OR(AND(K90&lt;9,J90=調査年),AND(K90&gt;=9,J90=調査年-1)),,ROUND(AH90*R90%,0)),
IF(リスト!$C$21="さとうきび",IF(OR(AND(K90&gt;=4,J90=調査年),AND(K90&lt;4,J90=調査年+1)),,ROUND(AH90*R90%,0)),
IF(J90=調査年,,ROUND(AH90*R90%,0)))))</f>
        <v>0</v>
      </c>
      <c r="AM90" s="672">
        <f t="shared" si="29"/>
        <v>0</v>
      </c>
      <c r="AN90" s="672">
        <f t="shared" si="30"/>
        <v>0</v>
      </c>
      <c r="AO90" s="672">
        <f t="shared" si="31"/>
        <v>0</v>
      </c>
      <c r="AP90" s="672">
        <f>IF(R90=0,,
SUM(
IF(OR(リスト!$C$21="小麦",リスト!$C$21="二条大麦",リスト!$C$21="六条大麦",リスト!$C$21="はだか麦",リスト!$C$21="なたね"),IF(OR(AND(AA90=1,K90&lt;9,J90=調査年),AND(AA90=1,K90&gt;=9,J90=調査年-1)),ROUND(L90*R90%,0),),
IF(リスト!$C$21="さとうきび",IF(OR(AND(AA90=1,K90&gt;=4,J90=調査年),AND(AA90=1,K90&lt;4,J90=調査年+1)),ROUND(L90*R90%,0),),
IF(AND(AA90=1,J90=調査年),ROUND(L90*R90%,0),))),
ROUND(M90*R90%,0)
))</f>
        <v>0</v>
      </c>
      <c r="AQ90" s="672">
        <f t="shared" si="32"/>
        <v>0</v>
      </c>
      <c r="AR90" s="672">
        <f t="shared" si="33"/>
        <v>0</v>
      </c>
      <c r="AS90" s="672">
        <f t="shared" si="37"/>
        <v>0</v>
      </c>
      <c r="AT90" s="672">
        <f t="shared" si="38"/>
        <v>0</v>
      </c>
      <c r="AU90" s="672">
        <f t="shared" si="34"/>
        <v>0</v>
      </c>
      <c r="AV90" s="672">
        <f t="shared" si="35"/>
        <v>0</v>
      </c>
      <c r="AW90" s="721">
        <f t="shared" si="36"/>
        <v>0</v>
      </c>
      <c r="AX90" s="686"/>
      <c r="AY90" s="686"/>
    </row>
    <row r="91" spans="3:51" s="46" customFormat="1" ht="30.75" hidden="1" customHeight="1" outlineLevel="1">
      <c r="C91" s="722">
        <v>74</v>
      </c>
      <c r="D91" s="687"/>
      <c r="E91" s="723"/>
      <c r="F91" s="724"/>
      <c r="G91" s="1961"/>
      <c r="H91" s="1962"/>
      <c r="I91" s="679"/>
      <c r="J91" s="725"/>
      <c r="K91" s="680"/>
      <c r="L91" s="681"/>
      <c r="M91" s="681"/>
      <c r="N91" s="681"/>
      <c r="O91" s="681"/>
      <c r="P91" s="681"/>
      <c r="Q91" s="681"/>
      <c r="R91" s="1094"/>
      <c r="S91" s="682"/>
      <c r="T91" s="726"/>
      <c r="U91" s="727"/>
      <c r="V91" s="717"/>
      <c r="W91" s="728"/>
      <c r="X91" s="729"/>
      <c r="Z91" s="670">
        <f t="shared" si="21"/>
        <v>0</v>
      </c>
      <c r="AA91" s="670">
        <f t="shared" si="22"/>
        <v>0</v>
      </c>
      <c r="AB91" s="670">
        <f t="shared" si="23"/>
        <v>0</v>
      </c>
      <c r="AC91" s="670">
        <f>IF(Z91=0,,VLOOKUP(Z91,リスト!DC:DD,2,0))</f>
        <v>0</v>
      </c>
      <c r="AD91" s="670">
        <f t="shared" si="24"/>
        <v>0</v>
      </c>
      <c r="AE91" s="671">
        <f>IF(AD91=0,,VLOOKUP(AD91,リスト!DK:DL,2,0))</f>
        <v>0</v>
      </c>
      <c r="AF91" s="670">
        <f>IF(Z91=0,,
IF(OR(リスト!$C$21="小麦",リスト!$C$21="二条大麦",リスト!$C$21="六条大麦",リスト!$C$21="はだか麦",リスト!$C$21="なたね"),IF(K91&lt;9,調査年-J91,調査年-J91-1),
IF(リスト!$C$21="さとうきび",IF(K91&gt;=4,調査年-J91,調査年-J91+1),
調査年-J91)))</f>
        <v>0</v>
      </c>
      <c r="AG91" s="672">
        <f t="shared" si="25"/>
        <v>0</v>
      </c>
      <c r="AH91" s="672">
        <f t="shared" si="26"/>
        <v>0</v>
      </c>
      <c r="AI91" s="672">
        <f t="shared" si="27"/>
        <v>0</v>
      </c>
      <c r="AJ91" s="672">
        <f t="shared" si="28"/>
        <v>0</v>
      </c>
      <c r="AK91" s="394"/>
      <c r="AL91" s="672">
        <f>IF(OR(R91=0,AH91=""),,
IF(OR(リスト!$C$21="小麦",リスト!$C$21="二条大麦",リスト!$C$21="六条大麦",リスト!$C$21="はだか麦",リスト!$C$21="なたね"),IF(OR(AND(K91&lt;9,J91=調査年),AND(K91&gt;=9,J91=調査年-1)),,ROUND(AH91*R91%,0)),
IF(リスト!$C$21="さとうきび",IF(OR(AND(K91&gt;=4,J91=調査年),AND(K91&lt;4,J91=調査年+1)),,ROUND(AH91*R91%,0)),
IF(J91=調査年,,ROUND(AH91*R91%,0)))))</f>
        <v>0</v>
      </c>
      <c r="AM91" s="672">
        <f t="shared" si="29"/>
        <v>0</v>
      </c>
      <c r="AN91" s="672">
        <f t="shared" si="30"/>
        <v>0</v>
      </c>
      <c r="AO91" s="672">
        <f t="shared" si="31"/>
        <v>0</v>
      </c>
      <c r="AP91" s="672">
        <f>IF(R91=0,,
SUM(
IF(OR(リスト!$C$21="小麦",リスト!$C$21="二条大麦",リスト!$C$21="六条大麦",リスト!$C$21="はだか麦",リスト!$C$21="なたね"),IF(OR(AND(AA91=1,K91&lt;9,J91=調査年),AND(AA91=1,K91&gt;=9,J91=調査年-1)),ROUND(L91*R91%,0),),
IF(リスト!$C$21="さとうきび",IF(OR(AND(AA91=1,K91&gt;=4,J91=調査年),AND(AA91=1,K91&lt;4,J91=調査年+1)),ROUND(L91*R91%,0),),
IF(AND(AA91=1,J91=調査年),ROUND(L91*R91%,0),))),
ROUND(M91*R91%,0)
))</f>
        <v>0</v>
      </c>
      <c r="AQ91" s="672">
        <f t="shared" si="32"/>
        <v>0</v>
      </c>
      <c r="AR91" s="672">
        <f t="shared" si="33"/>
        <v>0</v>
      </c>
      <c r="AS91" s="672">
        <f t="shared" si="37"/>
        <v>0</v>
      </c>
      <c r="AT91" s="672">
        <f t="shared" si="38"/>
        <v>0</v>
      </c>
      <c r="AU91" s="672">
        <f t="shared" si="34"/>
        <v>0</v>
      </c>
      <c r="AV91" s="672">
        <f t="shared" si="35"/>
        <v>0</v>
      </c>
      <c r="AW91" s="721">
        <f t="shared" si="36"/>
        <v>0</v>
      </c>
      <c r="AX91" s="686"/>
      <c r="AY91" s="686"/>
    </row>
    <row r="92" spans="3:51" s="46" customFormat="1" ht="30.75" hidden="1" customHeight="1" outlineLevel="1">
      <c r="C92" s="722">
        <v>75</v>
      </c>
      <c r="D92" s="687"/>
      <c r="E92" s="723"/>
      <c r="F92" s="724"/>
      <c r="G92" s="1961"/>
      <c r="H92" s="1962"/>
      <c r="I92" s="679"/>
      <c r="J92" s="725"/>
      <c r="K92" s="680"/>
      <c r="L92" s="681"/>
      <c r="M92" s="681"/>
      <c r="N92" s="681"/>
      <c r="O92" s="681"/>
      <c r="P92" s="681"/>
      <c r="Q92" s="681"/>
      <c r="R92" s="1094"/>
      <c r="S92" s="682"/>
      <c r="T92" s="726"/>
      <c r="U92" s="727"/>
      <c r="V92" s="717"/>
      <c r="W92" s="728"/>
      <c r="X92" s="729"/>
      <c r="Z92" s="670">
        <f t="shared" si="21"/>
        <v>0</v>
      </c>
      <c r="AA92" s="670">
        <f t="shared" si="22"/>
        <v>0</v>
      </c>
      <c r="AB92" s="670">
        <f t="shared" si="23"/>
        <v>0</v>
      </c>
      <c r="AC92" s="670">
        <f>IF(Z92=0,,VLOOKUP(Z92,リスト!DC:DD,2,0))</f>
        <v>0</v>
      </c>
      <c r="AD92" s="670">
        <f t="shared" si="24"/>
        <v>0</v>
      </c>
      <c r="AE92" s="671">
        <f>IF(AD92=0,,VLOOKUP(AD92,リスト!DK:DL,2,0))</f>
        <v>0</v>
      </c>
      <c r="AF92" s="670">
        <f>IF(Z92=0,,
IF(OR(リスト!$C$21="小麦",リスト!$C$21="二条大麦",リスト!$C$21="六条大麦",リスト!$C$21="はだか麦",リスト!$C$21="なたね"),IF(K92&lt;9,調査年-J92,調査年-J92-1),
IF(リスト!$C$21="さとうきび",IF(K92&gt;=4,調査年-J92,調査年-J92+1),
調査年-J92)))</f>
        <v>0</v>
      </c>
      <c r="AG92" s="672">
        <f t="shared" si="25"/>
        <v>0</v>
      </c>
      <c r="AH92" s="672">
        <f t="shared" si="26"/>
        <v>0</v>
      </c>
      <c r="AI92" s="672">
        <f t="shared" si="27"/>
        <v>0</v>
      </c>
      <c r="AJ92" s="672">
        <f t="shared" si="28"/>
        <v>0</v>
      </c>
      <c r="AK92" s="394"/>
      <c r="AL92" s="672">
        <f>IF(OR(R92=0,AH92=""),,
IF(OR(リスト!$C$21="小麦",リスト!$C$21="二条大麦",リスト!$C$21="六条大麦",リスト!$C$21="はだか麦",リスト!$C$21="なたね"),IF(OR(AND(K92&lt;9,J92=調査年),AND(K92&gt;=9,J92=調査年-1)),,ROUND(AH92*R92%,0)),
IF(リスト!$C$21="さとうきび",IF(OR(AND(K92&gt;=4,J92=調査年),AND(K92&lt;4,J92=調査年+1)),,ROUND(AH92*R92%,0)),
IF(J92=調査年,,ROUND(AH92*R92%,0)))))</f>
        <v>0</v>
      </c>
      <c r="AM92" s="672">
        <f t="shared" si="29"/>
        <v>0</v>
      </c>
      <c r="AN92" s="672">
        <f t="shared" si="30"/>
        <v>0</v>
      </c>
      <c r="AO92" s="672">
        <f t="shared" si="31"/>
        <v>0</v>
      </c>
      <c r="AP92" s="672">
        <f>IF(R92=0,,
SUM(
IF(OR(リスト!$C$21="小麦",リスト!$C$21="二条大麦",リスト!$C$21="六条大麦",リスト!$C$21="はだか麦",リスト!$C$21="なたね"),IF(OR(AND(AA92=1,K92&lt;9,J92=調査年),AND(AA92=1,K92&gt;=9,J92=調査年-1)),ROUND(L92*R92%,0),),
IF(リスト!$C$21="さとうきび",IF(OR(AND(AA92=1,K92&gt;=4,J92=調査年),AND(AA92=1,K92&lt;4,J92=調査年+1)),ROUND(L92*R92%,0),),
IF(AND(AA92=1,J92=調査年),ROUND(L92*R92%,0),))),
ROUND(M92*R92%,0)
))</f>
        <v>0</v>
      </c>
      <c r="AQ92" s="672">
        <f t="shared" si="32"/>
        <v>0</v>
      </c>
      <c r="AR92" s="672">
        <f t="shared" si="33"/>
        <v>0</v>
      </c>
      <c r="AS92" s="672">
        <f t="shared" si="37"/>
        <v>0</v>
      </c>
      <c r="AT92" s="672">
        <f t="shared" si="38"/>
        <v>0</v>
      </c>
      <c r="AU92" s="672">
        <f t="shared" si="34"/>
        <v>0</v>
      </c>
      <c r="AV92" s="672">
        <f t="shared" si="35"/>
        <v>0</v>
      </c>
      <c r="AW92" s="721">
        <f t="shared" si="36"/>
        <v>0</v>
      </c>
      <c r="AX92" s="686"/>
      <c r="AY92" s="686"/>
    </row>
    <row r="93" spans="3:51" s="46" customFormat="1" ht="30.75" hidden="1" customHeight="1" outlineLevel="1">
      <c r="C93" s="722">
        <v>76</v>
      </c>
      <c r="D93" s="687"/>
      <c r="E93" s="731"/>
      <c r="F93" s="732"/>
      <c r="G93" s="1965"/>
      <c r="H93" s="1966"/>
      <c r="I93" s="733"/>
      <c r="J93" s="734"/>
      <c r="K93" s="735"/>
      <c r="L93" s="736"/>
      <c r="M93" s="736"/>
      <c r="N93" s="736"/>
      <c r="O93" s="736"/>
      <c r="P93" s="736"/>
      <c r="Q93" s="736"/>
      <c r="R93" s="1094"/>
      <c r="S93" s="737"/>
      <c r="T93" s="738"/>
      <c r="U93" s="739"/>
      <c r="V93" s="717"/>
      <c r="W93" s="728"/>
      <c r="X93" s="729"/>
      <c r="Z93" s="670">
        <f t="shared" si="21"/>
        <v>0</v>
      </c>
      <c r="AA93" s="670">
        <f t="shared" si="22"/>
        <v>0</v>
      </c>
      <c r="AB93" s="670">
        <f t="shared" si="23"/>
        <v>0</v>
      </c>
      <c r="AC93" s="670">
        <f>IF(Z93=0,,VLOOKUP(Z93,リスト!DC:DD,2,0))</f>
        <v>0</v>
      </c>
      <c r="AD93" s="670">
        <f t="shared" si="24"/>
        <v>0</v>
      </c>
      <c r="AE93" s="671">
        <f>IF(AD93=0,,VLOOKUP(AD93,リスト!DK:DL,2,0))</f>
        <v>0</v>
      </c>
      <c r="AF93" s="670">
        <f>IF(Z93=0,,
IF(OR(リスト!$C$21="小麦",リスト!$C$21="二条大麦",リスト!$C$21="六条大麦",リスト!$C$21="はだか麦",リスト!$C$21="なたね"),IF(K93&lt;9,調査年-J93,調査年-J93-1),
IF(リスト!$C$21="さとうきび",IF(K93&gt;=4,調査年-J93,調査年-J93+1),
調査年-J93)))</f>
        <v>0</v>
      </c>
      <c r="AG93" s="672">
        <f t="shared" si="25"/>
        <v>0</v>
      </c>
      <c r="AH93" s="672">
        <f t="shared" si="26"/>
        <v>0</v>
      </c>
      <c r="AI93" s="672">
        <f t="shared" si="27"/>
        <v>0</v>
      </c>
      <c r="AJ93" s="672">
        <f t="shared" si="28"/>
        <v>0</v>
      </c>
      <c r="AK93" s="394"/>
      <c r="AL93" s="672">
        <f>IF(OR(R93=0,AH93=""),,
IF(OR(リスト!$C$21="小麦",リスト!$C$21="二条大麦",リスト!$C$21="六条大麦",リスト!$C$21="はだか麦",リスト!$C$21="なたね"),IF(OR(AND(K93&lt;9,J93=調査年),AND(K93&gt;=9,J93=調査年-1)),,ROUND(AH93*R93%,0)),
IF(リスト!$C$21="さとうきび",IF(OR(AND(K93&gt;=4,J93=調査年),AND(K93&lt;4,J93=調査年+1)),,ROUND(AH93*R93%,0)),
IF(J93=調査年,,ROUND(AH93*R93%,0)))))</f>
        <v>0</v>
      </c>
      <c r="AM93" s="672">
        <f t="shared" si="29"/>
        <v>0</v>
      </c>
      <c r="AN93" s="672">
        <f t="shared" si="30"/>
        <v>0</v>
      </c>
      <c r="AO93" s="672">
        <f t="shared" si="31"/>
        <v>0</v>
      </c>
      <c r="AP93" s="672">
        <f>IF(R93=0,,
SUM(
IF(OR(リスト!$C$21="小麦",リスト!$C$21="二条大麦",リスト!$C$21="六条大麦",リスト!$C$21="はだか麦",リスト!$C$21="なたね"),IF(OR(AND(AA93=1,K93&lt;9,J93=調査年),AND(AA93=1,K93&gt;=9,J93=調査年-1)),ROUND(L93*R93%,0),),
IF(リスト!$C$21="さとうきび",IF(OR(AND(AA93=1,K93&gt;=4,J93=調査年),AND(AA93=1,K93&lt;4,J93=調査年+1)),ROUND(L93*R93%,0),),
IF(AND(AA93=1,J93=調査年),ROUND(L93*R93%,0),))),
ROUND(M93*R93%,0)
))</f>
        <v>0</v>
      </c>
      <c r="AQ93" s="672">
        <f t="shared" si="32"/>
        <v>0</v>
      </c>
      <c r="AR93" s="672">
        <f t="shared" si="33"/>
        <v>0</v>
      </c>
      <c r="AS93" s="672">
        <f t="shared" si="37"/>
        <v>0</v>
      </c>
      <c r="AT93" s="672">
        <f t="shared" si="38"/>
        <v>0</v>
      </c>
      <c r="AU93" s="672">
        <f t="shared" si="34"/>
        <v>0</v>
      </c>
      <c r="AV93" s="672">
        <f t="shared" si="35"/>
        <v>0</v>
      </c>
      <c r="AW93" s="721">
        <f t="shared" si="36"/>
        <v>0</v>
      </c>
      <c r="AX93" s="686"/>
      <c r="AY93" s="686"/>
    </row>
    <row r="94" spans="3:51" s="46" customFormat="1" ht="30.75" hidden="1" customHeight="1" outlineLevel="1">
      <c r="C94" s="722">
        <v>77</v>
      </c>
      <c r="D94" s="687"/>
      <c r="E94" s="723"/>
      <c r="F94" s="724"/>
      <c r="G94" s="1961"/>
      <c r="H94" s="1962"/>
      <c r="I94" s="679"/>
      <c r="J94" s="725"/>
      <c r="K94" s="680"/>
      <c r="L94" s="681"/>
      <c r="M94" s="681"/>
      <c r="N94" s="681"/>
      <c r="O94" s="681"/>
      <c r="P94" s="681"/>
      <c r="Q94" s="681"/>
      <c r="R94" s="1094"/>
      <c r="S94" s="682"/>
      <c r="T94" s="726"/>
      <c r="U94" s="727"/>
      <c r="V94" s="717"/>
      <c r="W94" s="728"/>
      <c r="X94" s="729"/>
      <c r="Z94" s="670">
        <f t="shared" si="21"/>
        <v>0</v>
      </c>
      <c r="AA94" s="670">
        <f t="shared" si="22"/>
        <v>0</v>
      </c>
      <c r="AB94" s="670">
        <f t="shared" si="23"/>
        <v>0</v>
      </c>
      <c r="AC94" s="670">
        <f>IF(Z94=0,,VLOOKUP(Z94,リスト!DC:DD,2,0))</f>
        <v>0</v>
      </c>
      <c r="AD94" s="670">
        <f t="shared" si="24"/>
        <v>0</v>
      </c>
      <c r="AE94" s="671">
        <f>IF(AD94=0,,VLOOKUP(AD94,リスト!DK:DL,2,0))</f>
        <v>0</v>
      </c>
      <c r="AF94" s="670">
        <f>IF(Z94=0,,
IF(OR(リスト!$C$21="小麦",リスト!$C$21="二条大麦",リスト!$C$21="六条大麦",リスト!$C$21="はだか麦",リスト!$C$21="なたね"),IF(K94&lt;9,調査年-J94,調査年-J94-1),
IF(リスト!$C$21="さとうきび",IF(K94&gt;=4,調査年-J94,調査年-J94+1),
調査年-J94)))</f>
        <v>0</v>
      </c>
      <c r="AG94" s="672">
        <f t="shared" si="25"/>
        <v>0</v>
      </c>
      <c r="AH94" s="672">
        <f t="shared" si="26"/>
        <v>0</v>
      </c>
      <c r="AI94" s="672">
        <f t="shared" si="27"/>
        <v>0</v>
      </c>
      <c r="AJ94" s="672">
        <f t="shared" si="28"/>
        <v>0</v>
      </c>
      <c r="AK94" s="394"/>
      <c r="AL94" s="672">
        <f>IF(OR(R94=0,AH94=""),,
IF(OR(リスト!$C$21="小麦",リスト!$C$21="二条大麦",リスト!$C$21="六条大麦",リスト!$C$21="はだか麦",リスト!$C$21="なたね"),IF(OR(AND(K94&lt;9,J94=調査年),AND(K94&gt;=9,J94=調査年-1)),,ROUND(AH94*R94%,0)),
IF(リスト!$C$21="さとうきび",IF(OR(AND(K94&gt;=4,J94=調査年),AND(K94&lt;4,J94=調査年+1)),,ROUND(AH94*R94%,0)),
IF(J94=調査年,,ROUND(AH94*R94%,0)))))</f>
        <v>0</v>
      </c>
      <c r="AM94" s="672">
        <f t="shared" si="29"/>
        <v>0</v>
      </c>
      <c r="AN94" s="672">
        <f t="shared" si="30"/>
        <v>0</v>
      </c>
      <c r="AO94" s="672">
        <f t="shared" si="31"/>
        <v>0</v>
      </c>
      <c r="AP94" s="672">
        <f>IF(R94=0,,
SUM(
IF(OR(リスト!$C$21="小麦",リスト!$C$21="二条大麦",リスト!$C$21="六条大麦",リスト!$C$21="はだか麦",リスト!$C$21="なたね"),IF(OR(AND(AA94=1,K94&lt;9,J94=調査年),AND(AA94=1,K94&gt;=9,J94=調査年-1)),ROUND(L94*R94%,0),),
IF(リスト!$C$21="さとうきび",IF(OR(AND(AA94=1,K94&gt;=4,J94=調査年),AND(AA94=1,K94&lt;4,J94=調査年+1)),ROUND(L94*R94%,0),),
IF(AND(AA94=1,J94=調査年),ROUND(L94*R94%,0),))),
ROUND(M94*R94%,0)
))</f>
        <v>0</v>
      </c>
      <c r="AQ94" s="672">
        <f t="shared" si="32"/>
        <v>0</v>
      </c>
      <c r="AR94" s="672">
        <f t="shared" si="33"/>
        <v>0</v>
      </c>
      <c r="AS94" s="672">
        <f t="shared" si="37"/>
        <v>0</v>
      </c>
      <c r="AT94" s="672">
        <f t="shared" si="38"/>
        <v>0</v>
      </c>
      <c r="AU94" s="672">
        <f t="shared" si="34"/>
        <v>0</v>
      </c>
      <c r="AV94" s="672">
        <f t="shared" si="35"/>
        <v>0</v>
      </c>
      <c r="AW94" s="721">
        <f t="shared" si="36"/>
        <v>0</v>
      </c>
      <c r="AX94" s="686"/>
      <c r="AY94" s="686"/>
    </row>
    <row r="95" spans="3:51" s="46" customFormat="1" ht="30.75" hidden="1" customHeight="1" outlineLevel="1">
      <c r="C95" s="722">
        <v>78</v>
      </c>
      <c r="D95" s="687"/>
      <c r="E95" s="723"/>
      <c r="F95" s="724"/>
      <c r="G95" s="1961"/>
      <c r="H95" s="1962"/>
      <c r="I95" s="679"/>
      <c r="J95" s="725"/>
      <c r="K95" s="680"/>
      <c r="L95" s="681"/>
      <c r="M95" s="681"/>
      <c r="N95" s="681"/>
      <c r="O95" s="681"/>
      <c r="P95" s="681"/>
      <c r="Q95" s="681"/>
      <c r="R95" s="1094"/>
      <c r="S95" s="682"/>
      <c r="T95" s="726"/>
      <c r="U95" s="727"/>
      <c r="V95" s="717"/>
      <c r="W95" s="728"/>
      <c r="X95" s="729"/>
      <c r="Z95" s="670">
        <f t="shared" si="21"/>
        <v>0</v>
      </c>
      <c r="AA95" s="670">
        <f t="shared" si="22"/>
        <v>0</v>
      </c>
      <c r="AB95" s="670">
        <f t="shared" si="23"/>
        <v>0</v>
      </c>
      <c r="AC95" s="670">
        <f>IF(Z95=0,,VLOOKUP(Z95,リスト!DC:DD,2,0))</f>
        <v>0</v>
      </c>
      <c r="AD95" s="670">
        <f t="shared" si="24"/>
        <v>0</v>
      </c>
      <c r="AE95" s="671">
        <f>IF(AD95=0,,VLOOKUP(AD95,リスト!DK:DL,2,0))</f>
        <v>0</v>
      </c>
      <c r="AF95" s="670">
        <f>IF(Z95=0,,
IF(OR(リスト!$C$21="小麦",リスト!$C$21="二条大麦",リスト!$C$21="六条大麦",リスト!$C$21="はだか麦",リスト!$C$21="なたね"),IF(K95&lt;9,調査年-J95,調査年-J95-1),
IF(リスト!$C$21="さとうきび",IF(K95&gt;=4,調査年-J95,調査年-J95+1),
調査年-J95)))</f>
        <v>0</v>
      </c>
      <c r="AG95" s="672">
        <f t="shared" si="25"/>
        <v>0</v>
      </c>
      <c r="AH95" s="672">
        <f t="shared" si="26"/>
        <v>0</v>
      </c>
      <c r="AI95" s="672">
        <f t="shared" si="27"/>
        <v>0</v>
      </c>
      <c r="AJ95" s="672">
        <f t="shared" si="28"/>
        <v>0</v>
      </c>
      <c r="AK95" s="394"/>
      <c r="AL95" s="672">
        <f>IF(OR(R95=0,AH95=""),,
IF(OR(リスト!$C$21="小麦",リスト!$C$21="二条大麦",リスト!$C$21="六条大麦",リスト!$C$21="はだか麦",リスト!$C$21="なたね"),IF(OR(AND(K95&lt;9,J95=調査年),AND(K95&gt;=9,J95=調査年-1)),,ROUND(AH95*R95%,0)),
IF(リスト!$C$21="さとうきび",IF(OR(AND(K95&gt;=4,J95=調査年),AND(K95&lt;4,J95=調査年+1)),,ROUND(AH95*R95%,0)),
IF(J95=調査年,,ROUND(AH95*R95%,0)))))</f>
        <v>0</v>
      </c>
      <c r="AM95" s="672">
        <f t="shared" si="29"/>
        <v>0</v>
      </c>
      <c r="AN95" s="672">
        <f t="shared" si="30"/>
        <v>0</v>
      </c>
      <c r="AO95" s="672">
        <f t="shared" si="31"/>
        <v>0</v>
      </c>
      <c r="AP95" s="672">
        <f>IF(R95=0,,
SUM(
IF(OR(リスト!$C$21="小麦",リスト!$C$21="二条大麦",リスト!$C$21="六条大麦",リスト!$C$21="はだか麦",リスト!$C$21="なたね"),IF(OR(AND(AA95=1,K95&lt;9,J95=調査年),AND(AA95=1,K95&gt;=9,J95=調査年-1)),ROUND(L95*R95%,0),),
IF(リスト!$C$21="さとうきび",IF(OR(AND(AA95=1,K95&gt;=4,J95=調査年),AND(AA95=1,K95&lt;4,J95=調査年+1)),ROUND(L95*R95%,0),),
IF(AND(AA95=1,J95=調査年),ROUND(L95*R95%,0),))),
ROUND(M95*R95%,0)
))</f>
        <v>0</v>
      </c>
      <c r="AQ95" s="672">
        <f t="shared" si="32"/>
        <v>0</v>
      </c>
      <c r="AR95" s="672">
        <f t="shared" si="33"/>
        <v>0</v>
      </c>
      <c r="AS95" s="672">
        <f t="shared" si="37"/>
        <v>0</v>
      </c>
      <c r="AT95" s="672">
        <f t="shared" si="38"/>
        <v>0</v>
      </c>
      <c r="AU95" s="672">
        <f t="shared" si="34"/>
        <v>0</v>
      </c>
      <c r="AV95" s="672">
        <f t="shared" si="35"/>
        <v>0</v>
      </c>
      <c r="AW95" s="721">
        <f t="shared" si="36"/>
        <v>0</v>
      </c>
      <c r="AX95" s="686"/>
      <c r="AY95" s="686"/>
    </row>
    <row r="96" spans="3:51" s="46" customFormat="1" ht="30.75" hidden="1" customHeight="1" outlineLevel="1">
      <c r="C96" s="722">
        <v>79</v>
      </c>
      <c r="D96" s="687"/>
      <c r="E96" s="723"/>
      <c r="F96" s="724"/>
      <c r="G96" s="1961"/>
      <c r="H96" s="1962"/>
      <c r="I96" s="679"/>
      <c r="J96" s="725"/>
      <c r="K96" s="680"/>
      <c r="L96" s="681"/>
      <c r="M96" s="681"/>
      <c r="N96" s="681"/>
      <c r="O96" s="681"/>
      <c r="P96" s="681"/>
      <c r="Q96" s="681"/>
      <c r="R96" s="1094"/>
      <c r="S96" s="682"/>
      <c r="T96" s="726"/>
      <c r="U96" s="727"/>
      <c r="V96" s="717"/>
      <c r="W96" s="728"/>
      <c r="X96" s="729"/>
      <c r="Z96" s="670">
        <f t="shared" si="21"/>
        <v>0</v>
      </c>
      <c r="AA96" s="670">
        <f t="shared" si="22"/>
        <v>0</v>
      </c>
      <c r="AB96" s="670">
        <f t="shared" si="23"/>
        <v>0</v>
      </c>
      <c r="AC96" s="670">
        <f>IF(Z96=0,,VLOOKUP(Z96,リスト!DC:DD,2,0))</f>
        <v>0</v>
      </c>
      <c r="AD96" s="670">
        <f t="shared" si="24"/>
        <v>0</v>
      </c>
      <c r="AE96" s="671">
        <f>IF(AD96=0,,VLOOKUP(AD96,リスト!DK:DL,2,0))</f>
        <v>0</v>
      </c>
      <c r="AF96" s="670">
        <f>IF(Z96=0,,
IF(OR(リスト!$C$21="小麦",リスト!$C$21="二条大麦",リスト!$C$21="六条大麦",リスト!$C$21="はだか麦",リスト!$C$21="なたね"),IF(K96&lt;9,調査年-J96,調査年-J96-1),
IF(リスト!$C$21="さとうきび",IF(K96&gt;=4,調査年-J96,調査年-J96+1),
調査年-J96)))</f>
        <v>0</v>
      </c>
      <c r="AG96" s="672">
        <f t="shared" si="25"/>
        <v>0</v>
      </c>
      <c r="AH96" s="672">
        <f t="shared" si="26"/>
        <v>0</v>
      </c>
      <c r="AI96" s="672">
        <f t="shared" si="27"/>
        <v>0</v>
      </c>
      <c r="AJ96" s="672">
        <f t="shared" si="28"/>
        <v>0</v>
      </c>
      <c r="AK96" s="394"/>
      <c r="AL96" s="672">
        <f>IF(OR(R96=0,AH96=""),,
IF(OR(リスト!$C$21="小麦",リスト!$C$21="二条大麦",リスト!$C$21="六条大麦",リスト!$C$21="はだか麦",リスト!$C$21="なたね"),IF(OR(AND(K96&lt;9,J96=調査年),AND(K96&gt;=9,J96=調査年-1)),,ROUND(AH96*R96%,0)),
IF(リスト!$C$21="さとうきび",IF(OR(AND(K96&gt;=4,J96=調査年),AND(K96&lt;4,J96=調査年+1)),,ROUND(AH96*R96%,0)),
IF(J96=調査年,,ROUND(AH96*R96%,0)))))</f>
        <v>0</v>
      </c>
      <c r="AM96" s="672">
        <f t="shared" si="29"/>
        <v>0</v>
      </c>
      <c r="AN96" s="672">
        <f t="shared" si="30"/>
        <v>0</v>
      </c>
      <c r="AO96" s="672">
        <f t="shared" si="31"/>
        <v>0</v>
      </c>
      <c r="AP96" s="672">
        <f>IF(R96=0,,
SUM(
IF(OR(リスト!$C$21="小麦",リスト!$C$21="二条大麦",リスト!$C$21="六条大麦",リスト!$C$21="はだか麦",リスト!$C$21="なたね"),IF(OR(AND(AA96=1,K96&lt;9,J96=調査年),AND(AA96=1,K96&gt;=9,J96=調査年-1)),ROUND(L96*R96%,0),),
IF(リスト!$C$21="さとうきび",IF(OR(AND(AA96=1,K96&gt;=4,J96=調査年),AND(AA96=1,K96&lt;4,J96=調査年+1)),ROUND(L96*R96%,0),),
IF(AND(AA96=1,J96=調査年),ROUND(L96*R96%,0),))),
ROUND(M96*R96%,0)
))</f>
        <v>0</v>
      </c>
      <c r="AQ96" s="672">
        <f t="shared" si="32"/>
        <v>0</v>
      </c>
      <c r="AR96" s="672">
        <f t="shared" si="33"/>
        <v>0</v>
      </c>
      <c r="AS96" s="672">
        <f t="shared" si="37"/>
        <v>0</v>
      </c>
      <c r="AT96" s="672">
        <f t="shared" si="38"/>
        <v>0</v>
      </c>
      <c r="AU96" s="672">
        <f t="shared" si="34"/>
        <v>0</v>
      </c>
      <c r="AV96" s="672">
        <f t="shared" si="35"/>
        <v>0</v>
      </c>
      <c r="AW96" s="721">
        <f t="shared" si="36"/>
        <v>0</v>
      </c>
      <c r="AX96" s="686"/>
      <c r="AY96" s="686"/>
    </row>
    <row r="97" spans="3:51" s="46" customFormat="1" ht="30.75" hidden="1" customHeight="1" outlineLevel="1">
      <c r="C97" s="722">
        <v>80</v>
      </c>
      <c r="D97" s="687"/>
      <c r="E97" s="723"/>
      <c r="F97" s="724"/>
      <c r="G97" s="1961"/>
      <c r="H97" s="1962"/>
      <c r="I97" s="679"/>
      <c r="J97" s="725"/>
      <c r="K97" s="680"/>
      <c r="L97" s="681"/>
      <c r="M97" s="681"/>
      <c r="N97" s="681"/>
      <c r="O97" s="681"/>
      <c r="P97" s="681"/>
      <c r="Q97" s="681"/>
      <c r="R97" s="1094"/>
      <c r="S97" s="682"/>
      <c r="T97" s="726"/>
      <c r="U97" s="727"/>
      <c r="V97" s="717"/>
      <c r="W97" s="728"/>
      <c r="X97" s="729"/>
      <c r="Z97" s="670">
        <f t="shared" si="21"/>
        <v>0</v>
      </c>
      <c r="AA97" s="670">
        <f t="shared" si="22"/>
        <v>0</v>
      </c>
      <c r="AB97" s="670">
        <f t="shared" si="23"/>
        <v>0</v>
      </c>
      <c r="AC97" s="670">
        <f>IF(Z97=0,,VLOOKUP(Z97,リスト!DC:DD,2,0))</f>
        <v>0</v>
      </c>
      <c r="AD97" s="670">
        <f t="shared" si="24"/>
        <v>0</v>
      </c>
      <c r="AE97" s="671">
        <f>IF(AD97=0,,VLOOKUP(AD97,リスト!DK:DL,2,0))</f>
        <v>0</v>
      </c>
      <c r="AF97" s="670">
        <f>IF(Z97=0,,
IF(OR(リスト!$C$21="小麦",リスト!$C$21="二条大麦",リスト!$C$21="六条大麦",リスト!$C$21="はだか麦",リスト!$C$21="なたね"),IF(K97&lt;9,調査年-J97,調査年-J97-1),
IF(リスト!$C$21="さとうきび",IF(K97&gt;=4,調査年-J97,調査年-J97+1),
調査年-J97)))</f>
        <v>0</v>
      </c>
      <c r="AG97" s="672">
        <f t="shared" si="25"/>
        <v>0</v>
      </c>
      <c r="AH97" s="672">
        <f t="shared" si="26"/>
        <v>0</v>
      </c>
      <c r="AI97" s="672">
        <f t="shared" si="27"/>
        <v>0</v>
      </c>
      <c r="AJ97" s="672">
        <f t="shared" si="28"/>
        <v>0</v>
      </c>
      <c r="AK97" s="394"/>
      <c r="AL97" s="672">
        <f>IF(OR(R97=0,AH97=""),,
IF(OR(リスト!$C$21="小麦",リスト!$C$21="二条大麦",リスト!$C$21="六条大麦",リスト!$C$21="はだか麦",リスト!$C$21="なたね"),IF(OR(AND(K97&lt;9,J97=調査年),AND(K97&gt;=9,J97=調査年-1)),,ROUND(AH97*R97%,0)),
IF(リスト!$C$21="さとうきび",IF(OR(AND(K97&gt;=4,J97=調査年),AND(K97&lt;4,J97=調査年+1)),,ROUND(AH97*R97%,0)),
IF(J97=調査年,,ROUND(AH97*R97%,0)))))</f>
        <v>0</v>
      </c>
      <c r="AM97" s="672">
        <f t="shared" si="29"/>
        <v>0</v>
      </c>
      <c r="AN97" s="672">
        <f t="shared" si="30"/>
        <v>0</v>
      </c>
      <c r="AO97" s="672">
        <f t="shared" si="31"/>
        <v>0</v>
      </c>
      <c r="AP97" s="672">
        <f>IF(R97=0,,
SUM(
IF(OR(リスト!$C$21="小麦",リスト!$C$21="二条大麦",リスト!$C$21="六条大麦",リスト!$C$21="はだか麦",リスト!$C$21="なたね"),IF(OR(AND(AA97=1,K97&lt;9,J97=調査年),AND(AA97=1,K97&gt;=9,J97=調査年-1)),ROUND(L97*R97%,0),),
IF(リスト!$C$21="さとうきび",IF(OR(AND(AA97=1,K97&gt;=4,J97=調査年),AND(AA97=1,K97&lt;4,J97=調査年+1)),ROUND(L97*R97%,0),),
IF(AND(AA97=1,J97=調査年),ROUND(L97*R97%,0),))),
ROUND(M97*R97%,0)
))</f>
        <v>0</v>
      </c>
      <c r="AQ97" s="672">
        <f t="shared" si="32"/>
        <v>0</v>
      </c>
      <c r="AR97" s="672">
        <f t="shared" si="33"/>
        <v>0</v>
      </c>
      <c r="AS97" s="672">
        <f t="shared" si="37"/>
        <v>0</v>
      </c>
      <c r="AT97" s="672">
        <f t="shared" si="38"/>
        <v>0</v>
      </c>
      <c r="AU97" s="672">
        <f t="shared" si="34"/>
        <v>0</v>
      </c>
      <c r="AV97" s="672">
        <f t="shared" si="35"/>
        <v>0</v>
      </c>
      <c r="AW97" s="721">
        <f t="shared" si="36"/>
        <v>0</v>
      </c>
      <c r="AX97" s="686"/>
      <c r="AY97" s="686"/>
    </row>
    <row r="98" spans="3:51" s="46" customFormat="1" ht="30.75" hidden="1" customHeight="1" outlineLevel="1">
      <c r="C98" s="722">
        <v>81</v>
      </c>
      <c r="D98" s="687"/>
      <c r="E98" s="731"/>
      <c r="F98" s="732"/>
      <c r="G98" s="1965"/>
      <c r="H98" s="1966"/>
      <c r="I98" s="733"/>
      <c r="J98" s="734"/>
      <c r="K98" s="735"/>
      <c r="L98" s="736"/>
      <c r="M98" s="736"/>
      <c r="N98" s="736"/>
      <c r="O98" s="736"/>
      <c r="P98" s="736"/>
      <c r="Q98" s="736"/>
      <c r="R98" s="1094"/>
      <c r="S98" s="737"/>
      <c r="T98" s="738"/>
      <c r="U98" s="739"/>
      <c r="V98" s="717"/>
      <c r="W98" s="728"/>
      <c r="X98" s="729"/>
      <c r="Z98" s="670">
        <f t="shared" si="21"/>
        <v>0</v>
      </c>
      <c r="AA98" s="670">
        <f t="shared" si="22"/>
        <v>0</v>
      </c>
      <c r="AB98" s="670">
        <f t="shared" si="23"/>
        <v>0</v>
      </c>
      <c r="AC98" s="670">
        <f>IF(Z98=0,,VLOOKUP(Z98,リスト!DC:DD,2,0))</f>
        <v>0</v>
      </c>
      <c r="AD98" s="670">
        <f t="shared" si="24"/>
        <v>0</v>
      </c>
      <c r="AE98" s="671">
        <f>IF(AD98=0,,VLOOKUP(AD98,リスト!DK:DL,2,0))</f>
        <v>0</v>
      </c>
      <c r="AF98" s="670">
        <f>IF(Z98=0,,
IF(OR(リスト!$C$21="小麦",リスト!$C$21="二条大麦",リスト!$C$21="六条大麦",リスト!$C$21="はだか麦",リスト!$C$21="なたね"),IF(K98&lt;9,調査年-J98,調査年-J98-1),
IF(リスト!$C$21="さとうきび",IF(K98&gt;=4,調査年-J98,調査年-J98+1),
調査年-J98)))</f>
        <v>0</v>
      </c>
      <c r="AG98" s="672">
        <f t="shared" si="25"/>
        <v>0</v>
      </c>
      <c r="AH98" s="672">
        <f t="shared" si="26"/>
        <v>0</v>
      </c>
      <c r="AI98" s="672">
        <f t="shared" si="27"/>
        <v>0</v>
      </c>
      <c r="AJ98" s="672">
        <f t="shared" si="28"/>
        <v>0</v>
      </c>
      <c r="AK98" s="394"/>
      <c r="AL98" s="672">
        <f>IF(OR(R98=0,AH98=""),,
IF(OR(リスト!$C$21="小麦",リスト!$C$21="二条大麦",リスト!$C$21="六条大麦",リスト!$C$21="はだか麦",リスト!$C$21="なたね"),IF(OR(AND(K98&lt;9,J98=調査年),AND(K98&gt;=9,J98=調査年-1)),,ROUND(AH98*R98%,0)),
IF(リスト!$C$21="さとうきび",IF(OR(AND(K98&gt;=4,J98=調査年),AND(K98&lt;4,J98=調査年+1)),,ROUND(AH98*R98%,0)),
IF(J98=調査年,,ROUND(AH98*R98%,0)))))</f>
        <v>0</v>
      </c>
      <c r="AM98" s="672">
        <f t="shared" si="29"/>
        <v>0</v>
      </c>
      <c r="AN98" s="672">
        <f t="shared" si="30"/>
        <v>0</v>
      </c>
      <c r="AO98" s="672">
        <f t="shared" si="31"/>
        <v>0</v>
      </c>
      <c r="AP98" s="672">
        <f>IF(R98=0,,
SUM(
IF(OR(リスト!$C$21="小麦",リスト!$C$21="二条大麦",リスト!$C$21="六条大麦",リスト!$C$21="はだか麦",リスト!$C$21="なたね"),IF(OR(AND(AA98=1,K98&lt;9,J98=調査年),AND(AA98=1,K98&gt;=9,J98=調査年-1)),ROUND(L98*R98%,0),),
IF(リスト!$C$21="さとうきび",IF(OR(AND(AA98=1,K98&gt;=4,J98=調査年),AND(AA98=1,K98&lt;4,J98=調査年+1)),ROUND(L98*R98%,0),),
IF(AND(AA98=1,J98=調査年),ROUND(L98*R98%,0),))),
ROUND(M98*R98%,0)
))</f>
        <v>0</v>
      </c>
      <c r="AQ98" s="672">
        <f t="shared" si="32"/>
        <v>0</v>
      </c>
      <c r="AR98" s="672">
        <f t="shared" si="33"/>
        <v>0</v>
      </c>
      <c r="AS98" s="672">
        <f t="shared" si="37"/>
        <v>0</v>
      </c>
      <c r="AT98" s="672">
        <f t="shared" si="38"/>
        <v>0</v>
      </c>
      <c r="AU98" s="672">
        <f t="shared" si="34"/>
        <v>0</v>
      </c>
      <c r="AV98" s="672">
        <f t="shared" si="35"/>
        <v>0</v>
      </c>
      <c r="AW98" s="721">
        <f t="shared" si="36"/>
        <v>0</v>
      </c>
      <c r="AX98" s="686"/>
      <c r="AY98" s="686"/>
    </row>
    <row r="99" spans="3:51" s="46" customFormat="1" ht="30.75" hidden="1" customHeight="1" outlineLevel="1">
      <c r="C99" s="722">
        <v>82</v>
      </c>
      <c r="D99" s="687"/>
      <c r="E99" s="723"/>
      <c r="F99" s="724"/>
      <c r="G99" s="1961"/>
      <c r="H99" s="1962"/>
      <c r="I99" s="679"/>
      <c r="J99" s="725"/>
      <c r="K99" s="680"/>
      <c r="L99" s="681"/>
      <c r="M99" s="681"/>
      <c r="N99" s="681"/>
      <c r="O99" s="681"/>
      <c r="P99" s="681"/>
      <c r="Q99" s="681"/>
      <c r="R99" s="1094"/>
      <c r="S99" s="682"/>
      <c r="T99" s="726"/>
      <c r="U99" s="727"/>
      <c r="V99" s="717"/>
      <c r="W99" s="728"/>
      <c r="X99" s="729"/>
      <c r="Z99" s="670">
        <f t="shared" si="21"/>
        <v>0</v>
      </c>
      <c r="AA99" s="670">
        <f t="shared" si="22"/>
        <v>0</v>
      </c>
      <c r="AB99" s="670">
        <f t="shared" si="23"/>
        <v>0</v>
      </c>
      <c r="AC99" s="670">
        <f>IF(Z99=0,,VLOOKUP(Z99,リスト!DC:DD,2,0))</f>
        <v>0</v>
      </c>
      <c r="AD99" s="670">
        <f t="shared" si="24"/>
        <v>0</v>
      </c>
      <c r="AE99" s="671">
        <f>IF(AD99=0,,VLOOKUP(AD99,リスト!DK:DL,2,0))</f>
        <v>0</v>
      </c>
      <c r="AF99" s="670">
        <f>IF(Z99=0,,
IF(OR(リスト!$C$21="小麦",リスト!$C$21="二条大麦",リスト!$C$21="六条大麦",リスト!$C$21="はだか麦",リスト!$C$21="なたね"),IF(K99&lt;9,調査年-J99,調査年-J99-1),
IF(リスト!$C$21="さとうきび",IF(K99&gt;=4,調査年-J99,調査年-J99+1),
調査年-J99)))</f>
        <v>0</v>
      </c>
      <c r="AG99" s="672">
        <f t="shared" si="25"/>
        <v>0</v>
      </c>
      <c r="AH99" s="672">
        <f t="shared" si="26"/>
        <v>0</v>
      </c>
      <c r="AI99" s="672">
        <f t="shared" si="27"/>
        <v>0</v>
      </c>
      <c r="AJ99" s="672">
        <f t="shared" si="28"/>
        <v>0</v>
      </c>
      <c r="AK99" s="394"/>
      <c r="AL99" s="672">
        <f>IF(OR(R99=0,AH99=""),,
IF(OR(リスト!$C$21="小麦",リスト!$C$21="二条大麦",リスト!$C$21="六条大麦",リスト!$C$21="はだか麦",リスト!$C$21="なたね"),IF(OR(AND(K99&lt;9,J99=調査年),AND(K99&gt;=9,J99=調査年-1)),,ROUND(AH99*R99%,0)),
IF(リスト!$C$21="さとうきび",IF(OR(AND(K99&gt;=4,J99=調査年),AND(K99&lt;4,J99=調査年+1)),,ROUND(AH99*R99%,0)),
IF(J99=調査年,,ROUND(AH99*R99%,0)))))</f>
        <v>0</v>
      </c>
      <c r="AM99" s="672">
        <f t="shared" si="29"/>
        <v>0</v>
      </c>
      <c r="AN99" s="672">
        <f t="shared" si="30"/>
        <v>0</v>
      </c>
      <c r="AO99" s="672">
        <f t="shared" si="31"/>
        <v>0</v>
      </c>
      <c r="AP99" s="672">
        <f>IF(R99=0,,
SUM(
IF(OR(リスト!$C$21="小麦",リスト!$C$21="二条大麦",リスト!$C$21="六条大麦",リスト!$C$21="はだか麦",リスト!$C$21="なたね"),IF(OR(AND(AA99=1,K99&lt;9,J99=調査年),AND(AA99=1,K99&gt;=9,J99=調査年-1)),ROUND(L99*R99%,0),),
IF(リスト!$C$21="さとうきび",IF(OR(AND(AA99=1,K99&gt;=4,J99=調査年),AND(AA99=1,K99&lt;4,J99=調査年+1)),ROUND(L99*R99%,0),),
IF(AND(AA99=1,J99=調査年),ROUND(L99*R99%,0),))),
ROUND(M99*R99%,0)
))</f>
        <v>0</v>
      </c>
      <c r="AQ99" s="672">
        <f t="shared" si="32"/>
        <v>0</v>
      </c>
      <c r="AR99" s="672">
        <f t="shared" si="33"/>
        <v>0</v>
      </c>
      <c r="AS99" s="672">
        <f t="shared" si="37"/>
        <v>0</v>
      </c>
      <c r="AT99" s="672">
        <f t="shared" si="38"/>
        <v>0</v>
      </c>
      <c r="AU99" s="672">
        <f t="shared" si="34"/>
        <v>0</v>
      </c>
      <c r="AV99" s="672">
        <f t="shared" si="35"/>
        <v>0</v>
      </c>
      <c r="AW99" s="721">
        <f t="shared" si="36"/>
        <v>0</v>
      </c>
      <c r="AX99" s="686"/>
      <c r="AY99" s="686"/>
    </row>
    <row r="100" spans="3:51" s="46" customFormat="1" ht="30.75" hidden="1" customHeight="1" outlineLevel="1">
      <c r="C100" s="722">
        <v>83</v>
      </c>
      <c r="D100" s="687"/>
      <c r="E100" s="723"/>
      <c r="F100" s="724"/>
      <c r="G100" s="1961"/>
      <c r="H100" s="1962"/>
      <c r="I100" s="679"/>
      <c r="J100" s="725"/>
      <c r="K100" s="680"/>
      <c r="L100" s="681"/>
      <c r="M100" s="681"/>
      <c r="N100" s="681"/>
      <c r="O100" s="681"/>
      <c r="P100" s="681"/>
      <c r="Q100" s="681"/>
      <c r="R100" s="1094"/>
      <c r="S100" s="682"/>
      <c r="T100" s="726"/>
      <c r="U100" s="727"/>
      <c r="V100" s="717"/>
      <c r="W100" s="728"/>
      <c r="X100" s="729"/>
      <c r="Z100" s="670">
        <f t="shared" si="21"/>
        <v>0</v>
      </c>
      <c r="AA100" s="670">
        <f t="shared" si="22"/>
        <v>0</v>
      </c>
      <c r="AB100" s="670">
        <f t="shared" si="23"/>
        <v>0</v>
      </c>
      <c r="AC100" s="670">
        <f>IF(Z100=0,,VLOOKUP(Z100,リスト!DC:DD,2,0))</f>
        <v>0</v>
      </c>
      <c r="AD100" s="670">
        <f t="shared" si="24"/>
        <v>0</v>
      </c>
      <c r="AE100" s="671">
        <f>IF(AD100=0,,VLOOKUP(AD100,リスト!DK:DL,2,0))</f>
        <v>0</v>
      </c>
      <c r="AF100" s="670">
        <f>IF(Z100=0,,
IF(OR(リスト!$C$21="小麦",リスト!$C$21="二条大麦",リスト!$C$21="六条大麦",リスト!$C$21="はだか麦",リスト!$C$21="なたね"),IF(K100&lt;9,調査年-J100,調査年-J100-1),
IF(リスト!$C$21="さとうきび",IF(K100&gt;=4,調査年-J100,調査年-J100+1),
調査年-J100)))</f>
        <v>0</v>
      </c>
      <c r="AG100" s="672">
        <f t="shared" si="25"/>
        <v>0</v>
      </c>
      <c r="AH100" s="672">
        <f t="shared" si="26"/>
        <v>0</v>
      </c>
      <c r="AI100" s="672">
        <f t="shared" si="27"/>
        <v>0</v>
      </c>
      <c r="AJ100" s="672">
        <f t="shared" si="28"/>
        <v>0</v>
      </c>
      <c r="AK100" s="394"/>
      <c r="AL100" s="672">
        <f>IF(OR(R100=0,AH100=""),,
IF(OR(リスト!$C$21="小麦",リスト!$C$21="二条大麦",リスト!$C$21="六条大麦",リスト!$C$21="はだか麦",リスト!$C$21="なたね"),IF(OR(AND(K100&lt;9,J100=調査年),AND(K100&gt;=9,J100=調査年-1)),,ROUND(AH100*R100%,0)),
IF(リスト!$C$21="さとうきび",IF(OR(AND(K100&gt;=4,J100=調査年),AND(K100&lt;4,J100=調査年+1)),,ROUND(AH100*R100%,0)),
IF(J100=調査年,,ROUND(AH100*R100%,0)))))</f>
        <v>0</v>
      </c>
      <c r="AM100" s="672">
        <f t="shared" si="29"/>
        <v>0</v>
      </c>
      <c r="AN100" s="672">
        <f t="shared" si="30"/>
        <v>0</v>
      </c>
      <c r="AO100" s="672">
        <f t="shared" si="31"/>
        <v>0</v>
      </c>
      <c r="AP100" s="672">
        <f>IF(R100=0,,
SUM(
IF(OR(リスト!$C$21="小麦",リスト!$C$21="二条大麦",リスト!$C$21="六条大麦",リスト!$C$21="はだか麦",リスト!$C$21="なたね"),IF(OR(AND(AA100=1,K100&lt;9,J100=調査年),AND(AA100=1,K100&gt;=9,J100=調査年-1)),ROUND(L100*R100%,0),),
IF(リスト!$C$21="さとうきび",IF(OR(AND(AA100=1,K100&gt;=4,J100=調査年),AND(AA100=1,K100&lt;4,J100=調査年+1)),ROUND(L100*R100%,0),),
IF(AND(AA100=1,J100=調査年),ROUND(L100*R100%,0),))),
ROUND(M100*R100%,0)
))</f>
        <v>0</v>
      </c>
      <c r="AQ100" s="672">
        <f t="shared" si="32"/>
        <v>0</v>
      </c>
      <c r="AR100" s="672">
        <f t="shared" si="33"/>
        <v>0</v>
      </c>
      <c r="AS100" s="672">
        <f t="shared" si="37"/>
        <v>0</v>
      </c>
      <c r="AT100" s="672">
        <f t="shared" si="38"/>
        <v>0</v>
      </c>
      <c r="AU100" s="672">
        <f t="shared" si="34"/>
        <v>0</v>
      </c>
      <c r="AV100" s="672">
        <f t="shared" si="35"/>
        <v>0</v>
      </c>
      <c r="AW100" s="721">
        <f t="shared" si="36"/>
        <v>0</v>
      </c>
      <c r="AX100" s="686"/>
      <c r="AY100" s="686"/>
    </row>
    <row r="101" spans="3:51" s="46" customFormat="1" ht="30.75" hidden="1" customHeight="1" outlineLevel="1">
      <c r="C101" s="722">
        <v>84</v>
      </c>
      <c r="D101" s="687"/>
      <c r="E101" s="723"/>
      <c r="F101" s="724"/>
      <c r="G101" s="1961"/>
      <c r="H101" s="1962"/>
      <c r="I101" s="679"/>
      <c r="J101" s="725"/>
      <c r="K101" s="680"/>
      <c r="L101" s="681"/>
      <c r="M101" s="681"/>
      <c r="N101" s="681"/>
      <c r="O101" s="681"/>
      <c r="P101" s="681"/>
      <c r="Q101" s="681"/>
      <c r="R101" s="1094"/>
      <c r="S101" s="682"/>
      <c r="T101" s="726"/>
      <c r="U101" s="727"/>
      <c r="V101" s="717"/>
      <c r="W101" s="728"/>
      <c r="X101" s="729"/>
      <c r="Z101" s="670">
        <f t="shared" si="21"/>
        <v>0</v>
      </c>
      <c r="AA101" s="670">
        <f t="shared" si="22"/>
        <v>0</v>
      </c>
      <c r="AB101" s="670">
        <f t="shared" si="23"/>
        <v>0</v>
      </c>
      <c r="AC101" s="670">
        <f>IF(Z101=0,,VLOOKUP(Z101,リスト!DC:DD,2,0))</f>
        <v>0</v>
      </c>
      <c r="AD101" s="670">
        <f t="shared" si="24"/>
        <v>0</v>
      </c>
      <c r="AE101" s="671">
        <f>IF(AD101=0,,VLOOKUP(AD101,リスト!DK:DL,2,0))</f>
        <v>0</v>
      </c>
      <c r="AF101" s="670">
        <f>IF(Z101=0,,
IF(OR(リスト!$C$21="小麦",リスト!$C$21="二条大麦",リスト!$C$21="六条大麦",リスト!$C$21="はだか麦",リスト!$C$21="なたね"),IF(K101&lt;9,調査年-J101,調査年-J101-1),
IF(リスト!$C$21="さとうきび",IF(K101&gt;=4,調査年-J101,調査年-J101+1),
調査年-J101)))</f>
        <v>0</v>
      </c>
      <c r="AG101" s="672">
        <f t="shared" si="25"/>
        <v>0</v>
      </c>
      <c r="AH101" s="672">
        <f t="shared" si="26"/>
        <v>0</v>
      </c>
      <c r="AI101" s="672">
        <f t="shared" si="27"/>
        <v>0</v>
      </c>
      <c r="AJ101" s="672">
        <f t="shared" si="28"/>
        <v>0</v>
      </c>
      <c r="AK101" s="394"/>
      <c r="AL101" s="672">
        <f>IF(OR(R101=0,AH101=""),,
IF(OR(リスト!$C$21="小麦",リスト!$C$21="二条大麦",リスト!$C$21="六条大麦",リスト!$C$21="はだか麦",リスト!$C$21="なたね"),IF(OR(AND(K101&lt;9,J101=調査年),AND(K101&gt;=9,J101=調査年-1)),,ROUND(AH101*R101%,0)),
IF(リスト!$C$21="さとうきび",IF(OR(AND(K101&gt;=4,J101=調査年),AND(K101&lt;4,J101=調査年+1)),,ROUND(AH101*R101%,0)),
IF(J101=調査年,,ROUND(AH101*R101%,0)))))</f>
        <v>0</v>
      </c>
      <c r="AM101" s="672">
        <f t="shared" si="29"/>
        <v>0</v>
      </c>
      <c r="AN101" s="672">
        <f t="shared" si="30"/>
        <v>0</v>
      </c>
      <c r="AO101" s="672">
        <f t="shared" si="31"/>
        <v>0</v>
      </c>
      <c r="AP101" s="672">
        <f>IF(R101=0,,
SUM(
IF(OR(リスト!$C$21="小麦",リスト!$C$21="二条大麦",リスト!$C$21="六条大麦",リスト!$C$21="はだか麦",リスト!$C$21="なたね"),IF(OR(AND(AA101=1,K101&lt;9,J101=調査年),AND(AA101=1,K101&gt;=9,J101=調査年-1)),ROUND(L101*R101%,0),),
IF(リスト!$C$21="さとうきび",IF(OR(AND(AA101=1,K101&gt;=4,J101=調査年),AND(AA101=1,K101&lt;4,J101=調査年+1)),ROUND(L101*R101%,0),),
IF(AND(AA101=1,J101=調査年),ROUND(L101*R101%,0),))),
ROUND(M101*R101%,0)
))</f>
        <v>0</v>
      </c>
      <c r="AQ101" s="672">
        <f t="shared" si="32"/>
        <v>0</v>
      </c>
      <c r="AR101" s="672">
        <f t="shared" si="33"/>
        <v>0</v>
      </c>
      <c r="AS101" s="672">
        <f t="shared" si="37"/>
        <v>0</v>
      </c>
      <c r="AT101" s="672">
        <f t="shared" si="38"/>
        <v>0</v>
      </c>
      <c r="AU101" s="672">
        <f t="shared" si="34"/>
        <v>0</v>
      </c>
      <c r="AV101" s="672">
        <f t="shared" si="35"/>
        <v>0</v>
      </c>
      <c r="AW101" s="721">
        <f t="shared" si="36"/>
        <v>0</v>
      </c>
      <c r="AX101" s="686"/>
      <c r="AY101" s="686"/>
    </row>
    <row r="102" spans="3:51" s="46" customFormat="1" ht="30.75" hidden="1" customHeight="1" outlineLevel="1">
      <c r="C102" s="722">
        <v>85</v>
      </c>
      <c r="D102" s="687"/>
      <c r="E102" s="723"/>
      <c r="F102" s="724"/>
      <c r="G102" s="1961"/>
      <c r="H102" s="1962"/>
      <c r="I102" s="679"/>
      <c r="J102" s="725"/>
      <c r="K102" s="680"/>
      <c r="L102" s="681"/>
      <c r="M102" s="681"/>
      <c r="N102" s="681"/>
      <c r="O102" s="681"/>
      <c r="P102" s="681"/>
      <c r="Q102" s="681"/>
      <c r="R102" s="1094"/>
      <c r="S102" s="682"/>
      <c r="T102" s="726"/>
      <c r="U102" s="727"/>
      <c r="V102" s="717"/>
      <c r="W102" s="728"/>
      <c r="X102" s="729"/>
      <c r="Z102" s="670">
        <f t="shared" si="21"/>
        <v>0</v>
      </c>
      <c r="AA102" s="670">
        <f t="shared" si="22"/>
        <v>0</v>
      </c>
      <c r="AB102" s="670">
        <f t="shared" si="23"/>
        <v>0</v>
      </c>
      <c r="AC102" s="670">
        <f>IF(Z102=0,,VLOOKUP(Z102,リスト!DC:DD,2,0))</f>
        <v>0</v>
      </c>
      <c r="AD102" s="670">
        <f t="shared" si="24"/>
        <v>0</v>
      </c>
      <c r="AE102" s="671">
        <f>IF(AD102=0,,VLOOKUP(AD102,リスト!DK:DL,2,0))</f>
        <v>0</v>
      </c>
      <c r="AF102" s="670">
        <f>IF(Z102=0,,
IF(OR(リスト!$C$21="小麦",リスト!$C$21="二条大麦",リスト!$C$21="六条大麦",リスト!$C$21="はだか麦",リスト!$C$21="なたね"),IF(K102&lt;9,調査年-J102,調査年-J102-1),
IF(リスト!$C$21="さとうきび",IF(K102&gt;=4,調査年-J102,調査年-J102+1),
調査年-J102)))</f>
        <v>0</v>
      </c>
      <c r="AG102" s="672">
        <f t="shared" si="25"/>
        <v>0</v>
      </c>
      <c r="AH102" s="672">
        <f t="shared" si="26"/>
        <v>0</v>
      </c>
      <c r="AI102" s="672">
        <f t="shared" si="27"/>
        <v>0</v>
      </c>
      <c r="AJ102" s="672">
        <f t="shared" si="28"/>
        <v>0</v>
      </c>
      <c r="AK102" s="394"/>
      <c r="AL102" s="672">
        <f>IF(OR(R102=0,AH102=""),,
IF(OR(リスト!$C$21="小麦",リスト!$C$21="二条大麦",リスト!$C$21="六条大麦",リスト!$C$21="はだか麦",リスト!$C$21="なたね"),IF(OR(AND(K102&lt;9,J102=調査年),AND(K102&gt;=9,J102=調査年-1)),,ROUND(AH102*R102%,0)),
IF(リスト!$C$21="さとうきび",IF(OR(AND(K102&gt;=4,J102=調査年),AND(K102&lt;4,J102=調査年+1)),,ROUND(AH102*R102%,0)),
IF(J102=調査年,,ROUND(AH102*R102%,0)))))</f>
        <v>0</v>
      </c>
      <c r="AM102" s="672">
        <f t="shared" si="29"/>
        <v>0</v>
      </c>
      <c r="AN102" s="672">
        <f t="shared" si="30"/>
        <v>0</v>
      </c>
      <c r="AO102" s="672">
        <f t="shared" si="31"/>
        <v>0</v>
      </c>
      <c r="AP102" s="672">
        <f>IF(R102=0,,
SUM(
IF(OR(リスト!$C$21="小麦",リスト!$C$21="二条大麦",リスト!$C$21="六条大麦",リスト!$C$21="はだか麦",リスト!$C$21="なたね"),IF(OR(AND(AA102=1,K102&lt;9,J102=調査年),AND(AA102=1,K102&gt;=9,J102=調査年-1)),ROUND(L102*R102%,0),),
IF(リスト!$C$21="さとうきび",IF(OR(AND(AA102=1,K102&gt;=4,J102=調査年),AND(AA102=1,K102&lt;4,J102=調査年+1)),ROUND(L102*R102%,0),),
IF(AND(AA102=1,J102=調査年),ROUND(L102*R102%,0),))),
ROUND(M102*R102%,0)
))</f>
        <v>0</v>
      </c>
      <c r="AQ102" s="672">
        <f t="shared" si="32"/>
        <v>0</v>
      </c>
      <c r="AR102" s="672">
        <f t="shared" si="33"/>
        <v>0</v>
      </c>
      <c r="AS102" s="672">
        <f t="shared" si="37"/>
        <v>0</v>
      </c>
      <c r="AT102" s="672">
        <f t="shared" si="38"/>
        <v>0</v>
      </c>
      <c r="AU102" s="672">
        <f t="shared" si="34"/>
        <v>0</v>
      </c>
      <c r="AV102" s="672">
        <f t="shared" si="35"/>
        <v>0</v>
      </c>
      <c r="AW102" s="721">
        <f t="shared" si="36"/>
        <v>0</v>
      </c>
      <c r="AX102" s="686"/>
      <c r="AY102" s="686"/>
    </row>
    <row r="103" spans="3:51" s="46" customFormat="1" ht="30.75" hidden="1" customHeight="1" outlineLevel="1">
      <c r="C103" s="722">
        <v>86</v>
      </c>
      <c r="D103" s="687"/>
      <c r="E103" s="723"/>
      <c r="F103" s="724"/>
      <c r="G103" s="1961"/>
      <c r="H103" s="1962"/>
      <c r="I103" s="679"/>
      <c r="J103" s="725"/>
      <c r="K103" s="680"/>
      <c r="L103" s="681"/>
      <c r="M103" s="681"/>
      <c r="N103" s="681"/>
      <c r="O103" s="681"/>
      <c r="P103" s="681"/>
      <c r="Q103" s="681"/>
      <c r="R103" s="1094"/>
      <c r="S103" s="682"/>
      <c r="T103" s="726"/>
      <c r="U103" s="727"/>
      <c r="V103" s="717"/>
      <c r="W103" s="728"/>
      <c r="X103" s="729"/>
      <c r="Z103" s="670">
        <f t="shared" si="21"/>
        <v>0</v>
      </c>
      <c r="AA103" s="670">
        <f t="shared" si="22"/>
        <v>0</v>
      </c>
      <c r="AB103" s="670">
        <f t="shared" si="23"/>
        <v>0</v>
      </c>
      <c r="AC103" s="670">
        <f>IF(Z103=0,,VLOOKUP(Z103,リスト!DC:DD,2,0))</f>
        <v>0</v>
      </c>
      <c r="AD103" s="670">
        <f t="shared" si="24"/>
        <v>0</v>
      </c>
      <c r="AE103" s="671">
        <f>IF(AD103=0,,VLOOKUP(AD103,リスト!DK:DL,2,0))</f>
        <v>0</v>
      </c>
      <c r="AF103" s="670">
        <f>IF(Z103=0,,
IF(OR(リスト!$C$21="小麦",リスト!$C$21="二条大麦",リスト!$C$21="六条大麦",リスト!$C$21="はだか麦",リスト!$C$21="なたね"),IF(K103&lt;9,調査年-J103,調査年-J103-1),
IF(リスト!$C$21="さとうきび",IF(K103&gt;=4,調査年-J103,調査年-J103+1),
調査年-J103)))</f>
        <v>0</v>
      </c>
      <c r="AG103" s="672">
        <f t="shared" si="25"/>
        <v>0</v>
      </c>
      <c r="AH103" s="672">
        <f t="shared" si="26"/>
        <v>0</v>
      </c>
      <c r="AI103" s="672">
        <f t="shared" si="27"/>
        <v>0</v>
      </c>
      <c r="AJ103" s="672">
        <f t="shared" si="28"/>
        <v>0</v>
      </c>
      <c r="AK103" s="394"/>
      <c r="AL103" s="672">
        <f>IF(OR(R103=0,AH103=""),,
IF(OR(リスト!$C$21="小麦",リスト!$C$21="二条大麦",リスト!$C$21="六条大麦",リスト!$C$21="はだか麦",リスト!$C$21="なたね"),IF(OR(AND(K103&lt;9,J103=調査年),AND(K103&gt;=9,J103=調査年-1)),,ROUND(AH103*R103%,0)),
IF(リスト!$C$21="さとうきび",IF(OR(AND(K103&gt;=4,J103=調査年),AND(K103&lt;4,J103=調査年+1)),,ROUND(AH103*R103%,0)),
IF(J103=調査年,,ROUND(AH103*R103%,0)))))</f>
        <v>0</v>
      </c>
      <c r="AM103" s="672">
        <f t="shared" si="29"/>
        <v>0</v>
      </c>
      <c r="AN103" s="672">
        <f t="shared" si="30"/>
        <v>0</v>
      </c>
      <c r="AO103" s="672">
        <f t="shared" si="31"/>
        <v>0</v>
      </c>
      <c r="AP103" s="672">
        <f>IF(R103=0,,
SUM(
IF(OR(リスト!$C$21="小麦",リスト!$C$21="二条大麦",リスト!$C$21="六条大麦",リスト!$C$21="はだか麦",リスト!$C$21="なたね"),IF(OR(AND(AA103=1,K103&lt;9,J103=調査年),AND(AA103=1,K103&gt;=9,J103=調査年-1)),ROUND(L103*R103%,0),),
IF(リスト!$C$21="さとうきび",IF(OR(AND(AA103=1,K103&gt;=4,J103=調査年),AND(AA103=1,K103&lt;4,J103=調査年+1)),ROUND(L103*R103%,0),),
IF(AND(AA103=1,J103=調査年),ROUND(L103*R103%,0),))),
ROUND(M103*R103%,0)
))</f>
        <v>0</v>
      </c>
      <c r="AQ103" s="672">
        <f t="shared" si="32"/>
        <v>0</v>
      </c>
      <c r="AR103" s="672">
        <f t="shared" si="33"/>
        <v>0</v>
      </c>
      <c r="AS103" s="672">
        <f t="shared" si="37"/>
        <v>0</v>
      </c>
      <c r="AT103" s="672">
        <f t="shared" si="38"/>
        <v>0</v>
      </c>
      <c r="AU103" s="672">
        <f t="shared" si="34"/>
        <v>0</v>
      </c>
      <c r="AV103" s="672">
        <f t="shared" si="35"/>
        <v>0</v>
      </c>
      <c r="AW103" s="721">
        <f t="shared" si="36"/>
        <v>0</v>
      </c>
      <c r="AX103" s="686"/>
      <c r="AY103" s="686"/>
    </row>
    <row r="104" spans="3:51" s="46" customFormat="1" ht="30.75" hidden="1" customHeight="1" outlineLevel="1">
      <c r="C104" s="722">
        <v>87</v>
      </c>
      <c r="D104" s="687"/>
      <c r="E104" s="723"/>
      <c r="F104" s="724"/>
      <c r="G104" s="1961"/>
      <c r="H104" s="1962"/>
      <c r="I104" s="679"/>
      <c r="J104" s="725"/>
      <c r="K104" s="680"/>
      <c r="L104" s="681"/>
      <c r="M104" s="681"/>
      <c r="N104" s="681"/>
      <c r="O104" s="681"/>
      <c r="P104" s="681"/>
      <c r="Q104" s="681"/>
      <c r="R104" s="1094"/>
      <c r="S104" s="682"/>
      <c r="T104" s="726"/>
      <c r="U104" s="727"/>
      <c r="V104" s="717"/>
      <c r="W104" s="728"/>
      <c r="X104" s="729"/>
      <c r="Z104" s="670">
        <f t="shared" si="21"/>
        <v>0</v>
      </c>
      <c r="AA104" s="670">
        <f t="shared" si="22"/>
        <v>0</v>
      </c>
      <c r="AB104" s="670">
        <f t="shared" si="23"/>
        <v>0</v>
      </c>
      <c r="AC104" s="670">
        <f>IF(Z104=0,,VLOOKUP(Z104,リスト!DC:DD,2,0))</f>
        <v>0</v>
      </c>
      <c r="AD104" s="670">
        <f t="shared" si="24"/>
        <v>0</v>
      </c>
      <c r="AE104" s="671">
        <f>IF(AD104=0,,VLOOKUP(AD104,リスト!DK:DL,2,0))</f>
        <v>0</v>
      </c>
      <c r="AF104" s="670">
        <f>IF(Z104=0,,
IF(OR(リスト!$C$21="小麦",リスト!$C$21="二条大麦",リスト!$C$21="六条大麦",リスト!$C$21="はだか麦",リスト!$C$21="なたね"),IF(K104&lt;9,調査年-J104,調査年-J104-1),
IF(リスト!$C$21="さとうきび",IF(K104&gt;=4,調査年-J104,調査年-J104+1),
調査年-J104)))</f>
        <v>0</v>
      </c>
      <c r="AG104" s="672">
        <f t="shared" si="25"/>
        <v>0</v>
      </c>
      <c r="AH104" s="672">
        <f t="shared" si="26"/>
        <v>0</v>
      </c>
      <c r="AI104" s="672">
        <f t="shared" si="27"/>
        <v>0</v>
      </c>
      <c r="AJ104" s="672">
        <f t="shared" si="28"/>
        <v>0</v>
      </c>
      <c r="AK104" s="394"/>
      <c r="AL104" s="672">
        <f>IF(OR(R104=0,AH104=""),,
IF(OR(リスト!$C$21="小麦",リスト!$C$21="二条大麦",リスト!$C$21="六条大麦",リスト!$C$21="はだか麦",リスト!$C$21="なたね"),IF(OR(AND(K104&lt;9,J104=調査年),AND(K104&gt;=9,J104=調査年-1)),,ROUND(AH104*R104%,0)),
IF(リスト!$C$21="さとうきび",IF(OR(AND(K104&gt;=4,J104=調査年),AND(K104&lt;4,J104=調査年+1)),,ROUND(AH104*R104%,0)),
IF(J104=調査年,,ROUND(AH104*R104%,0)))))</f>
        <v>0</v>
      </c>
      <c r="AM104" s="672">
        <f t="shared" si="29"/>
        <v>0</v>
      </c>
      <c r="AN104" s="672">
        <f t="shared" si="30"/>
        <v>0</v>
      </c>
      <c r="AO104" s="672">
        <f t="shared" si="31"/>
        <v>0</v>
      </c>
      <c r="AP104" s="672">
        <f>IF(R104=0,,
SUM(
IF(OR(リスト!$C$21="小麦",リスト!$C$21="二条大麦",リスト!$C$21="六条大麦",リスト!$C$21="はだか麦",リスト!$C$21="なたね"),IF(OR(AND(AA104=1,K104&lt;9,J104=調査年),AND(AA104=1,K104&gt;=9,J104=調査年-1)),ROUND(L104*R104%,0),),
IF(リスト!$C$21="さとうきび",IF(OR(AND(AA104=1,K104&gt;=4,J104=調査年),AND(AA104=1,K104&lt;4,J104=調査年+1)),ROUND(L104*R104%,0),),
IF(AND(AA104=1,J104=調査年),ROUND(L104*R104%,0),))),
ROUND(M104*R104%,0)
))</f>
        <v>0</v>
      </c>
      <c r="AQ104" s="672">
        <f t="shared" si="32"/>
        <v>0</v>
      </c>
      <c r="AR104" s="672">
        <f t="shared" si="33"/>
        <v>0</v>
      </c>
      <c r="AS104" s="672">
        <f t="shared" si="37"/>
        <v>0</v>
      </c>
      <c r="AT104" s="672">
        <f t="shared" si="38"/>
        <v>0</v>
      </c>
      <c r="AU104" s="672">
        <f t="shared" si="34"/>
        <v>0</v>
      </c>
      <c r="AV104" s="672">
        <f t="shared" si="35"/>
        <v>0</v>
      </c>
      <c r="AW104" s="721">
        <f t="shared" si="36"/>
        <v>0</v>
      </c>
      <c r="AX104" s="686"/>
      <c r="AY104" s="686"/>
    </row>
    <row r="105" spans="3:51" s="46" customFormat="1" ht="30.75" hidden="1" customHeight="1" outlineLevel="1">
      <c r="C105" s="722">
        <v>88</v>
      </c>
      <c r="D105" s="687"/>
      <c r="E105" s="723"/>
      <c r="F105" s="724"/>
      <c r="G105" s="1961"/>
      <c r="H105" s="1962"/>
      <c r="I105" s="679"/>
      <c r="J105" s="725"/>
      <c r="K105" s="680"/>
      <c r="L105" s="681"/>
      <c r="M105" s="681"/>
      <c r="N105" s="681"/>
      <c r="O105" s="681"/>
      <c r="P105" s="681"/>
      <c r="Q105" s="681"/>
      <c r="R105" s="1094"/>
      <c r="S105" s="682"/>
      <c r="T105" s="726"/>
      <c r="U105" s="727"/>
      <c r="V105" s="717"/>
      <c r="W105" s="728"/>
      <c r="X105" s="729"/>
      <c r="Z105" s="670">
        <f t="shared" si="21"/>
        <v>0</v>
      </c>
      <c r="AA105" s="670">
        <f t="shared" si="22"/>
        <v>0</v>
      </c>
      <c r="AB105" s="670">
        <f t="shared" si="23"/>
        <v>0</v>
      </c>
      <c r="AC105" s="670">
        <f>IF(Z105=0,,VLOOKUP(Z105,リスト!DC:DD,2,0))</f>
        <v>0</v>
      </c>
      <c r="AD105" s="670">
        <f t="shared" si="24"/>
        <v>0</v>
      </c>
      <c r="AE105" s="671">
        <f>IF(AD105=0,,VLOOKUP(AD105,リスト!DK:DL,2,0))</f>
        <v>0</v>
      </c>
      <c r="AF105" s="670">
        <f>IF(Z105=0,,
IF(OR(リスト!$C$21="小麦",リスト!$C$21="二条大麦",リスト!$C$21="六条大麦",リスト!$C$21="はだか麦",リスト!$C$21="なたね"),IF(K105&lt;9,調査年-J105,調査年-J105-1),
IF(リスト!$C$21="さとうきび",IF(K105&gt;=4,調査年-J105,調査年-J105+1),
調査年-J105)))</f>
        <v>0</v>
      </c>
      <c r="AG105" s="672">
        <f t="shared" si="25"/>
        <v>0</v>
      </c>
      <c r="AH105" s="672">
        <f t="shared" si="26"/>
        <v>0</v>
      </c>
      <c r="AI105" s="672">
        <f t="shared" si="27"/>
        <v>0</v>
      </c>
      <c r="AJ105" s="672">
        <f t="shared" si="28"/>
        <v>0</v>
      </c>
      <c r="AK105" s="394"/>
      <c r="AL105" s="672">
        <f>IF(OR(R105=0,AH105=""),,
IF(OR(リスト!$C$21="小麦",リスト!$C$21="二条大麦",リスト!$C$21="六条大麦",リスト!$C$21="はだか麦",リスト!$C$21="なたね"),IF(OR(AND(K105&lt;9,J105=調査年),AND(K105&gt;=9,J105=調査年-1)),,ROUND(AH105*R105%,0)),
IF(リスト!$C$21="さとうきび",IF(OR(AND(K105&gt;=4,J105=調査年),AND(K105&lt;4,J105=調査年+1)),,ROUND(AH105*R105%,0)),
IF(J105=調査年,,ROUND(AH105*R105%,0)))))</f>
        <v>0</v>
      </c>
      <c r="AM105" s="672">
        <f t="shared" si="29"/>
        <v>0</v>
      </c>
      <c r="AN105" s="672">
        <f t="shared" si="30"/>
        <v>0</v>
      </c>
      <c r="AO105" s="672">
        <f t="shared" si="31"/>
        <v>0</v>
      </c>
      <c r="AP105" s="672">
        <f>IF(R105=0,,
SUM(
IF(OR(リスト!$C$21="小麦",リスト!$C$21="二条大麦",リスト!$C$21="六条大麦",リスト!$C$21="はだか麦",リスト!$C$21="なたね"),IF(OR(AND(AA105=1,K105&lt;9,J105=調査年),AND(AA105=1,K105&gt;=9,J105=調査年-1)),ROUND(L105*R105%,0),),
IF(リスト!$C$21="さとうきび",IF(OR(AND(AA105=1,K105&gt;=4,J105=調査年),AND(AA105=1,K105&lt;4,J105=調査年+1)),ROUND(L105*R105%,0),),
IF(AND(AA105=1,J105=調査年),ROUND(L105*R105%,0),))),
ROUND(M105*R105%,0)
))</f>
        <v>0</v>
      </c>
      <c r="AQ105" s="672">
        <f t="shared" si="32"/>
        <v>0</v>
      </c>
      <c r="AR105" s="672">
        <f t="shared" si="33"/>
        <v>0</v>
      </c>
      <c r="AS105" s="672">
        <f t="shared" si="37"/>
        <v>0</v>
      </c>
      <c r="AT105" s="672">
        <f t="shared" si="38"/>
        <v>0</v>
      </c>
      <c r="AU105" s="672">
        <f t="shared" si="34"/>
        <v>0</v>
      </c>
      <c r="AV105" s="672">
        <f t="shared" si="35"/>
        <v>0</v>
      </c>
      <c r="AW105" s="721">
        <f t="shared" si="36"/>
        <v>0</v>
      </c>
      <c r="AX105" s="686"/>
      <c r="AY105" s="686"/>
    </row>
    <row r="106" spans="3:51" s="46" customFormat="1" ht="30.75" hidden="1" customHeight="1" outlineLevel="1">
      <c r="C106" s="722">
        <v>89</v>
      </c>
      <c r="D106" s="687"/>
      <c r="E106" s="723"/>
      <c r="F106" s="724"/>
      <c r="G106" s="1961"/>
      <c r="H106" s="1962"/>
      <c r="I106" s="679"/>
      <c r="J106" s="725"/>
      <c r="K106" s="680"/>
      <c r="L106" s="681"/>
      <c r="M106" s="681"/>
      <c r="N106" s="681"/>
      <c r="O106" s="681"/>
      <c r="P106" s="681"/>
      <c r="Q106" s="681"/>
      <c r="R106" s="1094"/>
      <c r="S106" s="682"/>
      <c r="T106" s="726"/>
      <c r="U106" s="727"/>
      <c r="V106" s="717"/>
      <c r="W106" s="728"/>
      <c r="X106" s="729"/>
      <c r="Z106" s="670">
        <f t="shared" si="21"/>
        <v>0</v>
      </c>
      <c r="AA106" s="670">
        <f t="shared" si="22"/>
        <v>0</v>
      </c>
      <c r="AB106" s="670">
        <f t="shared" si="23"/>
        <v>0</v>
      </c>
      <c r="AC106" s="670">
        <f>IF(Z106=0,,VLOOKUP(Z106,リスト!DC:DD,2,0))</f>
        <v>0</v>
      </c>
      <c r="AD106" s="670">
        <f t="shared" si="24"/>
        <v>0</v>
      </c>
      <c r="AE106" s="671">
        <f>IF(AD106=0,,VLOOKUP(AD106,リスト!DK:DL,2,0))</f>
        <v>0</v>
      </c>
      <c r="AF106" s="670">
        <f>IF(Z106=0,,
IF(OR(リスト!$C$21="小麦",リスト!$C$21="二条大麦",リスト!$C$21="六条大麦",リスト!$C$21="はだか麦",リスト!$C$21="なたね"),IF(K106&lt;9,調査年-J106,調査年-J106-1),
IF(リスト!$C$21="さとうきび",IF(K106&gt;=4,調査年-J106,調査年-J106+1),
調査年-J106)))</f>
        <v>0</v>
      </c>
      <c r="AG106" s="672">
        <f t="shared" si="25"/>
        <v>0</v>
      </c>
      <c r="AH106" s="672">
        <f t="shared" si="26"/>
        <v>0</v>
      </c>
      <c r="AI106" s="672">
        <f t="shared" si="27"/>
        <v>0</v>
      </c>
      <c r="AJ106" s="672">
        <f t="shared" si="28"/>
        <v>0</v>
      </c>
      <c r="AK106" s="394"/>
      <c r="AL106" s="672">
        <f>IF(OR(R106=0,AH106=""),,
IF(OR(リスト!$C$21="小麦",リスト!$C$21="二条大麦",リスト!$C$21="六条大麦",リスト!$C$21="はだか麦",リスト!$C$21="なたね"),IF(OR(AND(K106&lt;9,J106=調査年),AND(K106&gt;=9,J106=調査年-1)),,ROUND(AH106*R106%,0)),
IF(リスト!$C$21="さとうきび",IF(OR(AND(K106&gt;=4,J106=調査年),AND(K106&lt;4,J106=調査年+1)),,ROUND(AH106*R106%,0)),
IF(J106=調査年,,ROUND(AH106*R106%,0)))))</f>
        <v>0</v>
      </c>
      <c r="AM106" s="672">
        <f t="shared" si="29"/>
        <v>0</v>
      </c>
      <c r="AN106" s="672">
        <f t="shared" si="30"/>
        <v>0</v>
      </c>
      <c r="AO106" s="672">
        <f t="shared" si="31"/>
        <v>0</v>
      </c>
      <c r="AP106" s="672">
        <f>IF(R106=0,,
SUM(
IF(OR(リスト!$C$21="小麦",リスト!$C$21="二条大麦",リスト!$C$21="六条大麦",リスト!$C$21="はだか麦",リスト!$C$21="なたね"),IF(OR(AND(AA106=1,K106&lt;9,J106=調査年),AND(AA106=1,K106&gt;=9,J106=調査年-1)),ROUND(L106*R106%,0),),
IF(リスト!$C$21="さとうきび",IF(OR(AND(AA106=1,K106&gt;=4,J106=調査年),AND(AA106=1,K106&lt;4,J106=調査年+1)),ROUND(L106*R106%,0),),
IF(AND(AA106=1,J106=調査年),ROUND(L106*R106%,0),))),
ROUND(M106*R106%,0)
))</f>
        <v>0</v>
      </c>
      <c r="AQ106" s="672">
        <f t="shared" si="32"/>
        <v>0</v>
      </c>
      <c r="AR106" s="672">
        <f t="shared" si="33"/>
        <v>0</v>
      </c>
      <c r="AS106" s="672">
        <f t="shared" si="37"/>
        <v>0</v>
      </c>
      <c r="AT106" s="672">
        <f t="shared" si="38"/>
        <v>0</v>
      </c>
      <c r="AU106" s="672">
        <f t="shared" si="34"/>
        <v>0</v>
      </c>
      <c r="AV106" s="672">
        <f t="shared" si="35"/>
        <v>0</v>
      </c>
      <c r="AW106" s="721">
        <f t="shared" si="36"/>
        <v>0</v>
      </c>
      <c r="AX106" s="686"/>
      <c r="AY106" s="686"/>
    </row>
    <row r="107" spans="3:51" s="46" customFormat="1" ht="30.75" hidden="1" customHeight="1" outlineLevel="1">
      <c r="C107" s="722">
        <v>90</v>
      </c>
      <c r="D107" s="687"/>
      <c r="E107" s="723"/>
      <c r="F107" s="724"/>
      <c r="G107" s="1961"/>
      <c r="H107" s="1962"/>
      <c r="I107" s="679"/>
      <c r="J107" s="725"/>
      <c r="K107" s="680"/>
      <c r="L107" s="681"/>
      <c r="M107" s="681"/>
      <c r="N107" s="681"/>
      <c r="O107" s="681"/>
      <c r="P107" s="681"/>
      <c r="Q107" s="681"/>
      <c r="R107" s="1094"/>
      <c r="S107" s="682"/>
      <c r="T107" s="726"/>
      <c r="U107" s="727"/>
      <c r="V107" s="717"/>
      <c r="W107" s="728"/>
      <c r="X107" s="729"/>
      <c r="Z107" s="670">
        <f t="shared" si="21"/>
        <v>0</v>
      </c>
      <c r="AA107" s="670">
        <f t="shared" si="22"/>
        <v>0</v>
      </c>
      <c r="AB107" s="670">
        <f t="shared" si="23"/>
        <v>0</v>
      </c>
      <c r="AC107" s="670">
        <f>IF(Z107=0,,VLOOKUP(Z107,リスト!DC:DD,2,0))</f>
        <v>0</v>
      </c>
      <c r="AD107" s="670">
        <f t="shared" si="24"/>
        <v>0</v>
      </c>
      <c r="AE107" s="671">
        <f>IF(AD107=0,,VLOOKUP(AD107,リスト!DK:DL,2,0))</f>
        <v>0</v>
      </c>
      <c r="AF107" s="670">
        <f>IF(Z107=0,,
IF(OR(リスト!$C$21="小麦",リスト!$C$21="二条大麦",リスト!$C$21="六条大麦",リスト!$C$21="はだか麦",リスト!$C$21="なたね"),IF(K107&lt;9,調査年-J107,調査年-J107-1),
IF(リスト!$C$21="さとうきび",IF(K107&gt;=4,調査年-J107,調査年-J107+1),
調査年-J107)))</f>
        <v>0</v>
      </c>
      <c r="AG107" s="672">
        <f t="shared" si="25"/>
        <v>0</v>
      </c>
      <c r="AH107" s="672">
        <f t="shared" si="26"/>
        <v>0</v>
      </c>
      <c r="AI107" s="672">
        <f t="shared" si="27"/>
        <v>0</v>
      </c>
      <c r="AJ107" s="672">
        <f t="shared" si="28"/>
        <v>0</v>
      </c>
      <c r="AK107" s="394"/>
      <c r="AL107" s="672">
        <f>IF(OR(R107=0,AH107=""),,
IF(OR(リスト!$C$21="小麦",リスト!$C$21="二条大麦",リスト!$C$21="六条大麦",リスト!$C$21="はだか麦",リスト!$C$21="なたね"),IF(OR(AND(K107&lt;9,J107=調査年),AND(K107&gt;=9,J107=調査年-1)),,ROUND(AH107*R107%,0)),
IF(リスト!$C$21="さとうきび",IF(OR(AND(K107&gt;=4,J107=調査年),AND(K107&lt;4,J107=調査年+1)),,ROUND(AH107*R107%,0)),
IF(J107=調査年,,ROUND(AH107*R107%,0)))))</f>
        <v>0</v>
      </c>
      <c r="AM107" s="672">
        <f t="shared" si="29"/>
        <v>0</v>
      </c>
      <c r="AN107" s="672">
        <f t="shared" si="30"/>
        <v>0</v>
      </c>
      <c r="AO107" s="672">
        <f t="shared" si="31"/>
        <v>0</v>
      </c>
      <c r="AP107" s="672">
        <f>IF(R107=0,,
SUM(
IF(OR(リスト!$C$21="小麦",リスト!$C$21="二条大麦",リスト!$C$21="六条大麦",リスト!$C$21="はだか麦",リスト!$C$21="なたね"),IF(OR(AND(AA107=1,K107&lt;9,J107=調査年),AND(AA107=1,K107&gt;=9,J107=調査年-1)),ROUND(L107*R107%,0),),
IF(リスト!$C$21="さとうきび",IF(OR(AND(AA107=1,K107&gt;=4,J107=調査年),AND(AA107=1,K107&lt;4,J107=調査年+1)),ROUND(L107*R107%,0),),
IF(AND(AA107=1,J107=調査年),ROUND(L107*R107%,0),))),
ROUND(M107*R107%,0)
))</f>
        <v>0</v>
      </c>
      <c r="AQ107" s="672">
        <f t="shared" si="32"/>
        <v>0</v>
      </c>
      <c r="AR107" s="672">
        <f t="shared" si="33"/>
        <v>0</v>
      </c>
      <c r="AS107" s="672">
        <f t="shared" si="37"/>
        <v>0</v>
      </c>
      <c r="AT107" s="672">
        <f t="shared" si="38"/>
        <v>0</v>
      </c>
      <c r="AU107" s="672">
        <f t="shared" si="34"/>
        <v>0</v>
      </c>
      <c r="AV107" s="672">
        <f t="shared" si="35"/>
        <v>0</v>
      </c>
      <c r="AW107" s="721">
        <f t="shared" si="36"/>
        <v>0</v>
      </c>
      <c r="AX107" s="686"/>
      <c r="AY107" s="686"/>
    </row>
    <row r="108" spans="3:51" s="46" customFormat="1" ht="30.75" hidden="1" customHeight="1" outlineLevel="1">
      <c r="C108" s="722">
        <v>91</v>
      </c>
      <c r="D108" s="687"/>
      <c r="E108" s="731"/>
      <c r="F108" s="732"/>
      <c r="G108" s="1965"/>
      <c r="H108" s="1966"/>
      <c r="I108" s="733"/>
      <c r="J108" s="734"/>
      <c r="K108" s="735"/>
      <c r="L108" s="736"/>
      <c r="M108" s="736"/>
      <c r="N108" s="736"/>
      <c r="O108" s="736"/>
      <c r="P108" s="736"/>
      <c r="Q108" s="736"/>
      <c r="R108" s="1094"/>
      <c r="S108" s="737"/>
      <c r="T108" s="738"/>
      <c r="U108" s="739"/>
      <c r="V108" s="717"/>
      <c r="W108" s="728"/>
      <c r="X108" s="729"/>
      <c r="Z108" s="670">
        <f t="shared" si="21"/>
        <v>0</v>
      </c>
      <c r="AA108" s="670">
        <f t="shared" si="22"/>
        <v>0</v>
      </c>
      <c r="AB108" s="670">
        <f t="shared" si="23"/>
        <v>0</v>
      </c>
      <c r="AC108" s="670">
        <f>IF(Z108=0,,VLOOKUP(Z108,リスト!DC:DD,2,0))</f>
        <v>0</v>
      </c>
      <c r="AD108" s="670">
        <f t="shared" si="24"/>
        <v>0</v>
      </c>
      <c r="AE108" s="671">
        <f>IF(AD108=0,,VLOOKUP(AD108,リスト!DK:DL,2,0))</f>
        <v>0</v>
      </c>
      <c r="AF108" s="670">
        <f>IF(Z108=0,,
IF(OR(リスト!$C$21="小麦",リスト!$C$21="二条大麦",リスト!$C$21="六条大麦",リスト!$C$21="はだか麦",リスト!$C$21="なたね"),IF(K108&lt;9,調査年-J108,調査年-J108-1),
IF(リスト!$C$21="さとうきび",IF(K108&gt;=4,調査年-J108,調査年-J108+1),
調査年-J108)))</f>
        <v>0</v>
      </c>
      <c r="AG108" s="672">
        <f t="shared" si="25"/>
        <v>0</v>
      </c>
      <c r="AH108" s="672">
        <f t="shared" si="26"/>
        <v>0</v>
      </c>
      <c r="AI108" s="672">
        <f t="shared" si="27"/>
        <v>0</v>
      </c>
      <c r="AJ108" s="672">
        <f t="shared" si="28"/>
        <v>0</v>
      </c>
      <c r="AK108" s="394"/>
      <c r="AL108" s="672">
        <f>IF(OR(R108=0,AH108=""),,
IF(OR(リスト!$C$21="小麦",リスト!$C$21="二条大麦",リスト!$C$21="六条大麦",リスト!$C$21="はだか麦",リスト!$C$21="なたね"),IF(OR(AND(K108&lt;9,J108=調査年),AND(K108&gt;=9,J108=調査年-1)),,ROUND(AH108*R108%,0)),
IF(リスト!$C$21="さとうきび",IF(OR(AND(K108&gt;=4,J108=調査年),AND(K108&lt;4,J108=調査年+1)),,ROUND(AH108*R108%,0)),
IF(J108=調査年,,ROUND(AH108*R108%,0)))))</f>
        <v>0</v>
      </c>
      <c r="AM108" s="672">
        <f t="shared" si="29"/>
        <v>0</v>
      </c>
      <c r="AN108" s="672">
        <f t="shared" si="30"/>
        <v>0</v>
      </c>
      <c r="AO108" s="672">
        <f t="shared" si="31"/>
        <v>0</v>
      </c>
      <c r="AP108" s="672">
        <f>IF(R108=0,,
SUM(
IF(OR(リスト!$C$21="小麦",リスト!$C$21="二条大麦",リスト!$C$21="六条大麦",リスト!$C$21="はだか麦",リスト!$C$21="なたね"),IF(OR(AND(AA108=1,K108&lt;9,J108=調査年),AND(AA108=1,K108&gt;=9,J108=調査年-1)),ROUND(L108*R108%,0),),
IF(リスト!$C$21="さとうきび",IF(OR(AND(AA108=1,K108&gt;=4,J108=調査年),AND(AA108=1,K108&lt;4,J108=調査年+1)),ROUND(L108*R108%,0),),
IF(AND(AA108=1,J108=調査年),ROUND(L108*R108%,0),))),
ROUND(M108*R108%,0)
))</f>
        <v>0</v>
      </c>
      <c r="AQ108" s="672">
        <f t="shared" si="32"/>
        <v>0</v>
      </c>
      <c r="AR108" s="672">
        <f t="shared" si="33"/>
        <v>0</v>
      </c>
      <c r="AS108" s="672">
        <f t="shared" si="37"/>
        <v>0</v>
      </c>
      <c r="AT108" s="672">
        <f t="shared" si="38"/>
        <v>0</v>
      </c>
      <c r="AU108" s="672">
        <f t="shared" si="34"/>
        <v>0</v>
      </c>
      <c r="AV108" s="672">
        <f t="shared" si="35"/>
        <v>0</v>
      </c>
      <c r="AW108" s="721">
        <f t="shared" si="36"/>
        <v>0</v>
      </c>
      <c r="AX108" s="686"/>
      <c r="AY108" s="686"/>
    </row>
    <row r="109" spans="3:51" s="46" customFormat="1" ht="30.75" hidden="1" customHeight="1" outlineLevel="1">
      <c r="C109" s="722">
        <v>92</v>
      </c>
      <c r="D109" s="687"/>
      <c r="E109" s="723"/>
      <c r="F109" s="724"/>
      <c r="G109" s="1961"/>
      <c r="H109" s="1962"/>
      <c r="I109" s="679"/>
      <c r="J109" s="725"/>
      <c r="K109" s="680"/>
      <c r="L109" s="681"/>
      <c r="M109" s="681"/>
      <c r="N109" s="681"/>
      <c r="O109" s="681"/>
      <c r="P109" s="681"/>
      <c r="Q109" s="681"/>
      <c r="R109" s="1094"/>
      <c r="S109" s="682"/>
      <c r="T109" s="726"/>
      <c r="U109" s="727"/>
      <c r="V109" s="717"/>
      <c r="W109" s="728"/>
      <c r="X109" s="729"/>
      <c r="Z109" s="670">
        <f t="shared" si="21"/>
        <v>0</v>
      </c>
      <c r="AA109" s="670">
        <f t="shared" si="22"/>
        <v>0</v>
      </c>
      <c r="AB109" s="670">
        <f t="shared" si="23"/>
        <v>0</v>
      </c>
      <c r="AC109" s="670">
        <f>IF(Z109=0,,VLOOKUP(Z109,リスト!DC:DD,2,0))</f>
        <v>0</v>
      </c>
      <c r="AD109" s="670">
        <f t="shared" si="24"/>
        <v>0</v>
      </c>
      <c r="AE109" s="671">
        <f>IF(AD109=0,,VLOOKUP(AD109,リスト!DK:DL,2,0))</f>
        <v>0</v>
      </c>
      <c r="AF109" s="670">
        <f>IF(Z109=0,,
IF(OR(リスト!$C$21="小麦",リスト!$C$21="二条大麦",リスト!$C$21="六条大麦",リスト!$C$21="はだか麦",リスト!$C$21="なたね"),IF(K109&lt;9,調査年-J109,調査年-J109-1),
IF(リスト!$C$21="さとうきび",IF(K109&gt;=4,調査年-J109,調査年-J109+1),
調査年-J109)))</f>
        <v>0</v>
      </c>
      <c r="AG109" s="672">
        <f t="shared" si="25"/>
        <v>0</v>
      </c>
      <c r="AH109" s="672">
        <f t="shared" si="26"/>
        <v>0</v>
      </c>
      <c r="AI109" s="672">
        <f t="shared" si="27"/>
        <v>0</v>
      </c>
      <c r="AJ109" s="672">
        <f t="shared" si="28"/>
        <v>0</v>
      </c>
      <c r="AK109" s="394"/>
      <c r="AL109" s="672">
        <f>IF(OR(R109=0,AH109=""),,
IF(OR(リスト!$C$21="小麦",リスト!$C$21="二条大麦",リスト!$C$21="六条大麦",リスト!$C$21="はだか麦",リスト!$C$21="なたね"),IF(OR(AND(K109&lt;9,J109=調査年),AND(K109&gt;=9,J109=調査年-1)),,ROUND(AH109*R109%,0)),
IF(リスト!$C$21="さとうきび",IF(OR(AND(K109&gt;=4,J109=調査年),AND(K109&lt;4,J109=調査年+1)),,ROUND(AH109*R109%,0)),
IF(J109=調査年,,ROUND(AH109*R109%,0)))))</f>
        <v>0</v>
      </c>
      <c r="AM109" s="672">
        <f t="shared" si="29"/>
        <v>0</v>
      </c>
      <c r="AN109" s="672">
        <f t="shared" si="30"/>
        <v>0</v>
      </c>
      <c r="AO109" s="672">
        <f t="shared" si="31"/>
        <v>0</v>
      </c>
      <c r="AP109" s="672">
        <f>IF(R109=0,,
SUM(
IF(OR(リスト!$C$21="小麦",リスト!$C$21="二条大麦",リスト!$C$21="六条大麦",リスト!$C$21="はだか麦",リスト!$C$21="なたね"),IF(OR(AND(AA109=1,K109&lt;9,J109=調査年),AND(AA109=1,K109&gt;=9,J109=調査年-1)),ROUND(L109*R109%,0),),
IF(リスト!$C$21="さとうきび",IF(OR(AND(AA109=1,K109&gt;=4,J109=調査年),AND(AA109=1,K109&lt;4,J109=調査年+1)),ROUND(L109*R109%,0),),
IF(AND(AA109=1,J109=調査年),ROUND(L109*R109%,0),))),
ROUND(M109*R109%,0)
))</f>
        <v>0</v>
      </c>
      <c r="AQ109" s="672">
        <f t="shared" si="32"/>
        <v>0</v>
      </c>
      <c r="AR109" s="672">
        <f t="shared" si="33"/>
        <v>0</v>
      </c>
      <c r="AS109" s="672">
        <f t="shared" si="37"/>
        <v>0</v>
      </c>
      <c r="AT109" s="672">
        <f t="shared" si="38"/>
        <v>0</v>
      </c>
      <c r="AU109" s="672">
        <f t="shared" si="34"/>
        <v>0</v>
      </c>
      <c r="AV109" s="672">
        <f t="shared" si="35"/>
        <v>0</v>
      </c>
      <c r="AW109" s="721">
        <f t="shared" si="36"/>
        <v>0</v>
      </c>
      <c r="AX109" s="686"/>
      <c r="AY109" s="686"/>
    </row>
    <row r="110" spans="3:51" s="46" customFormat="1" ht="30.75" hidden="1" customHeight="1" outlineLevel="1">
      <c r="C110" s="722">
        <v>93</v>
      </c>
      <c r="D110" s="687"/>
      <c r="E110" s="723"/>
      <c r="F110" s="724"/>
      <c r="G110" s="1961"/>
      <c r="H110" s="1962"/>
      <c r="I110" s="679"/>
      <c r="J110" s="725"/>
      <c r="K110" s="680"/>
      <c r="L110" s="681"/>
      <c r="M110" s="681"/>
      <c r="N110" s="681"/>
      <c r="O110" s="681"/>
      <c r="P110" s="681"/>
      <c r="Q110" s="681"/>
      <c r="R110" s="1094"/>
      <c r="S110" s="682"/>
      <c r="T110" s="726"/>
      <c r="U110" s="727"/>
      <c r="V110" s="717"/>
      <c r="W110" s="728"/>
      <c r="X110" s="729"/>
      <c r="Z110" s="670">
        <f t="shared" si="21"/>
        <v>0</v>
      </c>
      <c r="AA110" s="670">
        <f t="shared" si="22"/>
        <v>0</v>
      </c>
      <c r="AB110" s="670">
        <f t="shared" si="23"/>
        <v>0</v>
      </c>
      <c r="AC110" s="670">
        <f>IF(Z110=0,,VLOOKUP(Z110,リスト!DC:DD,2,0))</f>
        <v>0</v>
      </c>
      <c r="AD110" s="670">
        <f t="shared" si="24"/>
        <v>0</v>
      </c>
      <c r="AE110" s="671">
        <f>IF(AD110=0,,VLOOKUP(AD110,リスト!DK:DL,2,0))</f>
        <v>0</v>
      </c>
      <c r="AF110" s="670">
        <f>IF(Z110=0,,
IF(OR(リスト!$C$21="小麦",リスト!$C$21="二条大麦",リスト!$C$21="六条大麦",リスト!$C$21="はだか麦",リスト!$C$21="なたね"),IF(K110&lt;9,調査年-J110,調査年-J110-1),
IF(リスト!$C$21="さとうきび",IF(K110&gt;=4,調査年-J110,調査年-J110+1),
調査年-J110)))</f>
        <v>0</v>
      </c>
      <c r="AG110" s="672">
        <f t="shared" si="25"/>
        <v>0</v>
      </c>
      <c r="AH110" s="672">
        <f t="shared" si="26"/>
        <v>0</v>
      </c>
      <c r="AI110" s="672">
        <f t="shared" si="27"/>
        <v>0</v>
      </c>
      <c r="AJ110" s="672">
        <f t="shared" si="28"/>
        <v>0</v>
      </c>
      <c r="AK110" s="394"/>
      <c r="AL110" s="672">
        <f>IF(OR(R110=0,AH110=""),,
IF(OR(リスト!$C$21="小麦",リスト!$C$21="二条大麦",リスト!$C$21="六条大麦",リスト!$C$21="はだか麦",リスト!$C$21="なたね"),IF(OR(AND(K110&lt;9,J110=調査年),AND(K110&gt;=9,J110=調査年-1)),,ROUND(AH110*R110%,0)),
IF(リスト!$C$21="さとうきび",IF(OR(AND(K110&gt;=4,J110=調査年),AND(K110&lt;4,J110=調査年+1)),,ROUND(AH110*R110%,0)),
IF(J110=調査年,,ROUND(AH110*R110%,0)))))</f>
        <v>0</v>
      </c>
      <c r="AM110" s="672">
        <f t="shared" si="29"/>
        <v>0</v>
      </c>
      <c r="AN110" s="672">
        <f t="shared" si="30"/>
        <v>0</v>
      </c>
      <c r="AO110" s="672">
        <f t="shared" si="31"/>
        <v>0</v>
      </c>
      <c r="AP110" s="672">
        <f>IF(R110=0,,
SUM(
IF(OR(リスト!$C$21="小麦",リスト!$C$21="二条大麦",リスト!$C$21="六条大麦",リスト!$C$21="はだか麦",リスト!$C$21="なたね"),IF(OR(AND(AA110=1,K110&lt;9,J110=調査年),AND(AA110=1,K110&gt;=9,J110=調査年-1)),ROUND(L110*R110%,0),),
IF(リスト!$C$21="さとうきび",IF(OR(AND(AA110=1,K110&gt;=4,J110=調査年),AND(AA110=1,K110&lt;4,J110=調査年+1)),ROUND(L110*R110%,0),),
IF(AND(AA110=1,J110=調査年),ROUND(L110*R110%,0),))),
ROUND(M110*R110%,0)
))</f>
        <v>0</v>
      </c>
      <c r="AQ110" s="672">
        <f t="shared" si="32"/>
        <v>0</v>
      </c>
      <c r="AR110" s="672">
        <f t="shared" si="33"/>
        <v>0</v>
      </c>
      <c r="AS110" s="672">
        <f t="shared" si="37"/>
        <v>0</v>
      </c>
      <c r="AT110" s="672">
        <f t="shared" si="38"/>
        <v>0</v>
      </c>
      <c r="AU110" s="672">
        <f t="shared" si="34"/>
        <v>0</v>
      </c>
      <c r="AV110" s="672">
        <f t="shared" si="35"/>
        <v>0</v>
      </c>
      <c r="AW110" s="721">
        <f t="shared" si="36"/>
        <v>0</v>
      </c>
      <c r="AX110" s="686"/>
      <c r="AY110" s="686"/>
    </row>
    <row r="111" spans="3:51" s="46" customFormat="1" ht="30.75" hidden="1" customHeight="1" outlineLevel="1">
      <c r="C111" s="722">
        <v>94</v>
      </c>
      <c r="D111" s="687"/>
      <c r="E111" s="723"/>
      <c r="F111" s="724"/>
      <c r="G111" s="1961"/>
      <c r="H111" s="1962"/>
      <c r="I111" s="679"/>
      <c r="J111" s="725"/>
      <c r="K111" s="680"/>
      <c r="L111" s="681"/>
      <c r="M111" s="681"/>
      <c r="N111" s="681"/>
      <c r="O111" s="681"/>
      <c r="P111" s="681"/>
      <c r="Q111" s="681"/>
      <c r="R111" s="1094"/>
      <c r="S111" s="682"/>
      <c r="T111" s="726"/>
      <c r="U111" s="727"/>
      <c r="V111" s="717"/>
      <c r="W111" s="728"/>
      <c r="X111" s="729"/>
      <c r="Z111" s="670">
        <f t="shared" si="21"/>
        <v>0</v>
      </c>
      <c r="AA111" s="670">
        <f t="shared" si="22"/>
        <v>0</v>
      </c>
      <c r="AB111" s="670">
        <f t="shared" si="23"/>
        <v>0</v>
      </c>
      <c r="AC111" s="670">
        <f>IF(Z111=0,,VLOOKUP(Z111,リスト!DC:DD,2,0))</f>
        <v>0</v>
      </c>
      <c r="AD111" s="670">
        <f t="shared" si="24"/>
        <v>0</v>
      </c>
      <c r="AE111" s="671">
        <f>IF(AD111=0,,VLOOKUP(AD111,リスト!DK:DL,2,0))</f>
        <v>0</v>
      </c>
      <c r="AF111" s="670">
        <f>IF(Z111=0,,
IF(OR(リスト!$C$21="小麦",リスト!$C$21="二条大麦",リスト!$C$21="六条大麦",リスト!$C$21="はだか麦",リスト!$C$21="なたね"),IF(K111&lt;9,調査年-J111,調査年-J111-1),
IF(リスト!$C$21="さとうきび",IF(K111&gt;=4,調査年-J111,調査年-J111+1),
調査年-J111)))</f>
        <v>0</v>
      </c>
      <c r="AG111" s="672">
        <f t="shared" si="25"/>
        <v>0</v>
      </c>
      <c r="AH111" s="672">
        <f t="shared" si="26"/>
        <v>0</v>
      </c>
      <c r="AI111" s="672">
        <f t="shared" si="27"/>
        <v>0</v>
      </c>
      <c r="AJ111" s="672">
        <f t="shared" si="28"/>
        <v>0</v>
      </c>
      <c r="AK111" s="394"/>
      <c r="AL111" s="672">
        <f>IF(OR(R111=0,AH111=""),,
IF(OR(リスト!$C$21="小麦",リスト!$C$21="二条大麦",リスト!$C$21="六条大麦",リスト!$C$21="はだか麦",リスト!$C$21="なたね"),IF(OR(AND(K111&lt;9,J111=調査年),AND(K111&gt;=9,J111=調査年-1)),,ROUND(AH111*R111%,0)),
IF(リスト!$C$21="さとうきび",IF(OR(AND(K111&gt;=4,J111=調査年),AND(K111&lt;4,J111=調査年+1)),,ROUND(AH111*R111%,0)),
IF(J111=調査年,,ROUND(AH111*R111%,0)))))</f>
        <v>0</v>
      </c>
      <c r="AM111" s="672">
        <f t="shared" si="29"/>
        <v>0</v>
      </c>
      <c r="AN111" s="672">
        <f t="shared" si="30"/>
        <v>0</v>
      </c>
      <c r="AO111" s="672">
        <f t="shared" si="31"/>
        <v>0</v>
      </c>
      <c r="AP111" s="672">
        <f>IF(R111=0,,
SUM(
IF(OR(リスト!$C$21="小麦",リスト!$C$21="二条大麦",リスト!$C$21="六条大麦",リスト!$C$21="はだか麦",リスト!$C$21="なたね"),IF(OR(AND(AA111=1,K111&lt;9,J111=調査年),AND(AA111=1,K111&gt;=9,J111=調査年-1)),ROUND(L111*R111%,0),),
IF(リスト!$C$21="さとうきび",IF(OR(AND(AA111=1,K111&gt;=4,J111=調査年),AND(AA111=1,K111&lt;4,J111=調査年+1)),ROUND(L111*R111%,0),),
IF(AND(AA111=1,J111=調査年),ROUND(L111*R111%,0),))),
ROUND(M111*R111%,0)
))</f>
        <v>0</v>
      </c>
      <c r="AQ111" s="672">
        <f t="shared" si="32"/>
        <v>0</v>
      </c>
      <c r="AR111" s="672">
        <f t="shared" si="33"/>
        <v>0</v>
      </c>
      <c r="AS111" s="672">
        <f t="shared" si="37"/>
        <v>0</v>
      </c>
      <c r="AT111" s="672">
        <f t="shared" si="38"/>
        <v>0</v>
      </c>
      <c r="AU111" s="672">
        <f t="shared" si="34"/>
        <v>0</v>
      </c>
      <c r="AV111" s="672">
        <f t="shared" si="35"/>
        <v>0</v>
      </c>
      <c r="AW111" s="721">
        <f t="shared" si="36"/>
        <v>0</v>
      </c>
      <c r="AX111" s="686"/>
      <c r="AY111" s="686"/>
    </row>
    <row r="112" spans="3:51" s="46" customFormat="1" ht="30.75" hidden="1" customHeight="1" outlineLevel="1">
      <c r="C112" s="722">
        <v>95</v>
      </c>
      <c r="D112" s="687"/>
      <c r="E112" s="723"/>
      <c r="F112" s="724"/>
      <c r="G112" s="1961"/>
      <c r="H112" s="1962"/>
      <c r="I112" s="679"/>
      <c r="J112" s="725"/>
      <c r="K112" s="680"/>
      <c r="L112" s="681"/>
      <c r="M112" s="681"/>
      <c r="N112" s="681"/>
      <c r="O112" s="681"/>
      <c r="P112" s="681"/>
      <c r="Q112" s="681"/>
      <c r="R112" s="1094"/>
      <c r="S112" s="682"/>
      <c r="T112" s="726"/>
      <c r="U112" s="727"/>
      <c r="V112" s="717"/>
      <c r="W112" s="728"/>
      <c r="X112" s="729"/>
      <c r="Z112" s="670">
        <f t="shared" si="21"/>
        <v>0</v>
      </c>
      <c r="AA112" s="670">
        <f t="shared" si="22"/>
        <v>0</v>
      </c>
      <c r="AB112" s="670">
        <f t="shared" si="23"/>
        <v>0</v>
      </c>
      <c r="AC112" s="670">
        <f>IF(Z112=0,,VLOOKUP(Z112,リスト!DC:DD,2,0))</f>
        <v>0</v>
      </c>
      <c r="AD112" s="670">
        <f t="shared" si="24"/>
        <v>0</v>
      </c>
      <c r="AE112" s="671">
        <f>IF(AD112=0,,VLOOKUP(AD112,リスト!DK:DL,2,0))</f>
        <v>0</v>
      </c>
      <c r="AF112" s="670">
        <f>IF(Z112=0,,
IF(OR(リスト!$C$21="小麦",リスト!$C$21="二条大麦",リスト!$C$21="六条大麦",リスト!$C$21="はだか麦",リスト!$C$21="なたね"),IF(K112&lt;9,調査年-J112,調査年-J112-1),
IF(リスト!$C$21="さとうきび",IF(K112&gt;=4,調査年-J112,調査年-J112+1),
調査年-J112)))</f>
        <v>0</v>
      </c>
      <c r="AG112" s="672">
        <f t="shared" si="25"/>
        <v>0</v>
      </c>
      <c r="AH112" s="672">
        <f t="shared" si="26"/>
        <v>0</v>
      </c>
      <c r="AI112" s="672">
        <f t="shared" si="27"/>
        <v>0</v>
      </c>
      <c r="AJ112" s="672">
        <f t="shared" si="28"/>
        <v>0</v>
      </c>
      <c r="AK112" s="394"/>
      <c r="AL112" s="672">
        <f>IF(OR(R112=0,AH112=""),,
IF(OR(リスト!$C$21="小麦",リスト!$C$21="二条大麦",リスト!$C$21="六条大麦",リスト!$C$21="はだか麦",リスト!$C$21="なたね"),IF(OR(AND(K112&lt;9,J112=調査年),AND(K112&gt;=9,J112=調査年-1)),,ROUND(AH112*R112%,0)),
IF(リスト!$C$21="さとうきび",IF(OR(AND(K112&gt;=4,J112=調査年),AND(K112&lt;4,J112=調査年+1)),,ROUND(AH112*R112%,0)),
IF(J112=調査年,,ROUND(AH112*R112%,0)))))</f>
        <v>0</v>
      </c>
      <c r="AM112" s="672">
        <f t="shared" si="29"/>
        <v>0</v>
      </c>
      <c r="AN112" s="672">
        <f t="shared" si="30"/>
        <v>0</v>
      </c>
      <c r="AO112" s="672">
        <f t="shared" si="31"/>
        <v>0</v>
      </c>
      <c r="AP112" s="672">
        <f>IF(R112=0,,
SUM(
IF(OR(リスト!$C$21="小麦",リスト!$C$21="二条大麦",リスト!$C$21="六条大麦",リスト!$C$21="はだか麦",リスト!$C$21="なたね"),IF(OR(AND(AA112=1,K112&lt;9,J112=調査年),AND(AA112=1,K112&gt;=9,J112=調査年-1)),ROUND(L112*R112%,0),),
IF(リスト!$C$21="さとうきび",IF(OR(AND(AA112=1,K112&gt;=4,J112=調査年),AND(AA112=1,K112&lt;4,J112=調査年+1)),ROUND(L112*R112%,0),),
IF(AND(AA112=1,J112=調査年),ROUND(L112*R112%,0),))),
ROUND(M112*R112%,0)
))</f>
        <v>0</v>
      </c>
      <c r="AQ112" s="672">
        <f t="shared" si="32"/>
        <v>0</v>
      </c>
      <c r="AR112" s="672">
        <f t="shared" si="33"/>
        <v>0</v>
      </c>
      <c r="AS112" s="672">
        <f t="shared" si="37"/>
        <v>0</v>
      </c>
      <c r="AT112" s="672">
        <f t="shared" si="38"/>
        <v>0</v>
      </c>
      <c r="AU112" s="672">
        <f t="shared" si="34"/>
        <v>0</v>
      </c>
      <c r="AV112" s="672">
        <f t="shared" si="35"/>
        <v>0</v>
      </c>
      <c r="AW112" s="721">
        <f t="shared" si="36"/>
        <v>0</v>
      </c>
      <c r="AX112" s="686"/>
      <c r="AY112" s="686"/>
    </row>
    <row r="113" spans="3:51" s="46" customFormat="1" ht="30.75" hidden="1" customHeight="1" outlineLevel="1">
      <c r="C113" s="722">
        <v>96</v>
      </c>
      <c r="D113" s="687"/>
      <c r="E113" s="723"/>
      <c r="F113" s="724"/>
      <c r="G113" s="1961"/>
      <c r="H113" s="1962"/>
      <c r="I113" s="679"/>
      <c r="J113" s="725"/>
      <c r="K113" s="680"/>
      <c r="L113" s="681"/>
      <c r="M113" s="681"/>
      <c r="N113" s="681"/>
      <c r="O113" s="681"/>
      <c r="P113" s="681"/>
      <c r="Q113" s="681"/>
      <c r="R113" s="1094"/>
      <c r="S113" s="682"/>
      <c r="T113" s="726"/>
      <c r="U113" s="727"/>
      <c r="V113" s="717"/>
      <c r="W113" s="728"/>
      <c r="X113" s="729"/>
      <c r="Z113" s="670">
        <f t="shared" si="21"/>
        <v>0</v>
      </c>
      <c r="AA113" s="670">
        <f t="shared" si="22"/>
        <v>0</v>
      </c>
      <c r="AB113" s="670">
        <f t="shared" si="23"/>
        <v>0</v>
      </c>
      <c r="AC113" s="670">
        <f>IF(Z113=0,,VLOOKUP(Z113,リスト!DC:DD,2,0))</f>
        <v>0</v>
      </c>
      <c r="AD113" s="670">
        <f t="shared" si="24"/>
        <v>0</v>
      </c>
      <c r="AE113" s="671">
        <f>IF(AD113=0,,VLOOKUP(AD113,リスト!DK:DL,2,0))</f>
        <v>0</v>
      </c>
      <c r="AF113" s="670">
        <f>IF(Z113=0,,
IF(OR(リスト!$C$21="小麦",リスト!$C$21="二条大麦",リスト!$C$21="六条大麦",リスト!$C$21="はだか麦",リスト!$C$21="なたね"),IF(K113&lt;9,調査年-J113,調査年-J113-1),
IF(リスト!$C$21="さとうきび",IF(K113&gt;=4,調査年-J113,調査年-J113+1),
調査年-J113)))</f>
        <v>0</v>
      </c>
      <c r="AG113" s="672">
        <f t="shared" si="25"/>
        <v>0</v>
      </c>
      <c r="AH113" s="672">
        <f t="shared" si="26"/>
        <v>0</v>
      </c>
      <c r="AI113" s="672">
        <f t="shared" si="27"/>
        <v>0</v>
      </c>
      <c r="AJ113" s="672">
        <f t="shared" si="28"/>
        <v>0</v>
      </c>
      <c r="AK113" s="394"/>
      <c r="AL113" s="672">
        <f>IF(OR(R113=0,AH113=""),,
IF(OR(リスト!$C$21="小麦",リスト!$C$21="二条大麦",リスト!$C$21="六条大麦",リスト!$C$21="はだか麦",リスト!$C$21="なたね"),IF(OR(AND(K113&lt;9,J113=調査年),AND(K113&gt;=9,J113=調査年-1)),,ROUND(AH113*R113%,0)),
IF(リスト!$C$21="さとうきび",IF(OR(AND(K113&gt;=4,J113=調査年),AND(K113&lt;4,J113=調査年+1)),,ROUND(AH113*R113%,0)),
IF(J113=調査年,,ROUND(AH113*R113%,0)))))</f>
        <v>0</v>
      </c>
      <c r="AM113" s="672">
        <f t="shared" si="29"/>
        <v>0</v>
      </c>
      <c r="AN113" s="672">
        <f t="shared" si="30"/>
        <v>0</v>
      </c>
      <c r="AO113" s="672">
        <f t="shared" si="31"/>
        <v>0</v>
      </c>
      <c r="AP113" s="672">
        <f>IF(R113=0,,
SUM(
IF(OR(リスト!$C$21="小麦",リスト!$C$21="二条大麦",リスト!$C$21="六条大麦",リスト!$C$21="はだか麦",リスト!$C$21="なたね"),IF(OR(AND(AA113=1,K113&lt;9,J113=調査年),AND(AA113=1,K113&gt;=9,J113=調査年-1)),ROUND(L113*R113%,0),),
IF(リスト!$C$21="さとうきび",IF(OR(AND(AA113=1,K113&gt;=4,J113=調査年),AND(AA113=1,K113&lt;4,J113=調査年+1)),ROUND(L113*R113%,0),),
IF(AND(AA113=1,J113=調査年),ROUND(L113*R113%,0),))),
ROUND(M113*R113%,0)
))</f>
        <v>0</v>
      </c>
      <c r="AQ113" s="672">
        <f t="shared" si="32"/>
        <v>0</v>
      </c>
      <c r="AR113" s="672">
        <f t="shared" si="33"/>
        <v>0</v>
      </c>
      <c r="AS113" s="672">
        <f t="shared" si="37"/>
        <v>0</v>
      </c>
      <c r="AT113" s="672">
        <f t="shared" si="38"/>
        <v>0</v>
      </c>
      <c r="AU113" s="672">
        <f t="shared" si="34"/>
        <v>0</v>
      </c>
      <c r="AV113" s="672">
        <f t="shared" si="35"/>
        <v>0</v>
      </c>
      <c r="AW113" s="721">
        <f t="shared" si="36"/>
        <v>0</v>
      </c>
      <c r="AX113" s="686"/>
      <c r="AY113" s="686"/>
    </row>
    <row r="114" spans="3:51" s="46" customFormat="1" ht="30.75" hidden="1" customHeight="1" outlineLevel="1">
      <c r="C114" s="722">
        <v>97</v>
      </c>
      <c r="D114" s="687"/>
      <c r="E114" s="723"/>
      <c r="F114" s="724"/>
      <c r="G114" s="1961"/>
      <c r="H114" s="1962"/>
      <c r="I114" s="679"/>
      <c r="J114" s="725"/>
      <c r="K114" s="680"/>
      <c r="L114" s="681"/>
      <c r="M114" s="681"/>
      <c r="N114" s="681"/>
      <c r="O114" s="681"/>
      <c r="P114" s="681"/>
      <c r="Q114" s="681"/>
      <c r="R114" s="1094"/>
      <c r="S114" s="682"/>
      <c r="T114" s="726"/>
      <c r="U114" s="727"/>
      <c r="V114" s="717"/>
      <c r="W114" s="728"/>
      <c r="X114" s="729"/>
      <c r="Z114" s="670">
        <f t="shared" si="21"/>
        <v>0</v>
      </c>
      <c r="AA114" s="670">
        <f t="shared" si="22"/>
        <v>0</v>
      </c>
      <c r="AB114" s="670">
        <f t="shared" si="23"/>
        <v>0</v>
      </c>
      <c r="AC114" s="670">
        <f>IF(Z114=0,,VLOOKUP(Z114,リスト!DC:DD,2,0))</f>
        <v>0</v>
      </c>
      <c r="AD114" s="670">
        <f t="shared" si="24"/>
        <v>0</v>
      </c>
      <c r="AE114" s="671">
        <f>IF(AD114=0,,VLOOKUP(AD114,リスト!DK:DL,2,0))</f>
        <v>0</v>
      </c>
      <c r="AF114" s="670">
        <f>IF(Z114=0,,
IF(OR(リスト!$C$21="小麦",リスト!$C$21="二条大麦",リスト!$C$21="六条大麦",リスト!$C$21="はだか麦",リスト!$C$21="なたね"),IF(K114&lt;9,調査年-J114,調査年-J114-1),
IF(リスト!$C$21="さとうきび",IF(K114&gt;=4,調査年-J114,調査年-J114+1),
調査年-J114)))</f>
        <v>0</v>
      </c>
      <c r="AG114" s="672">
        <f t="shared" ref="AG114:AG117" si="39">IF(OR(Z114=0,AA114=1),,
IF(AND(AD114&gt;0,AF114&lt;AD114,AH114&lt;=ROUND((L114-1)*AE114,0)),ROUND(AH114,0),
IF(AND(AD114&gt;0,AF114&lt;AD114),ROUND((L114-1)*AE114,0),)))</f>
        <v>0</v>
      </c>
      <c r="AH114" s="672">
        <f t="shared" si="26"/>
        <v>0</v>
      </c>
      <c r="AI114" s="672">
        <f t="shared" si="27"/>
        <v>0</v>
      </c>
      <c r="AJ114" s="672">
        <f t="shared" si="28"/>
        <v>0</v>
      </c>
      <c r="AK114" s="394"/>
      <c r="AL114" s="672">
        <f>IF(OR(R114=0,AH114=""),,
IF(OR(リスト!$C$21="小麦",リスト!$C$21="二条大麦",リスト!$C$21="六条大麦",リスト!$C$21="はだか麦",リスト!$C$21="なたね"),IF(OR(AND(K114&lt;9,J114=調査年),AND(K114&gt;=9,J114=調査年-1)),,ROUND(AH114*R114%,0)),
IF(リスト!$C$21="さとうきび",IF(OR(AND(K114&gt;=4,J114=調査年),AND(K114&lt;4,J114=調査年+1)),,ROUND(AH114*R114%,0)),
IF(J114=調査年,,ROUND(AH114*R114%,0)))))</f>
        <v>0</v>
      </c>
      <c r="AM114" s="672">
        <f t="shared" si="29"/>
        <v>0</v>
      </c>
      <c r="AN114" s="672">
        <f t="shared" si="30"/>
        <v>0</v>
      </c>
      <c r="AO114" s="672">
        <f t="shared" si="31"/>
        <v>0</v>
      </c>
      <c r="AP114" s="672">
        <f>IF(R114=0,,
SUM(
IF(OR(リスト!$C$21="小麦",リスト!$C$21="二条大麦",リスト!$C$21="六条大麦",リスト!$C$21="はだか麦",リスト!$C$21="なたね"),IF(OR(AND(AA114=1,K114&lt;9,J114=調査年),AND(AA114=1,K114&gt;=9,J114=調査年-1)),ROUND(L114*R114%,0),),
IF(リスト!$C$21="さとうきび",IF(OR(AND(AA114=1,K114&gt;=4,J114=調査年),AND(AA114=1,K114&lt;4,J114=調査年+1)),ROUND(L114*R114%,0),),
IF(AND(AA114=1,J114=調査年),ROUND(L114*R114%,0),))),
ROUND(M114*R114%,0)
))</f>
        <v>0</v>
      </c>
      <c r="AQ114" s="672">
        <f t="shared" si="32"/>
        <v>0</v>
      </c>
      <c r="AR114" s="672">
        <f t="shared" si="33"/>
        <v>0</v>
      </c>
      <c r="AS114" s="672">
        <f t="shared" si="37"/>
        <v>0</v>
      </c>
      <c r="AT114" s="672">
        <f t="shared" si="38"/>
        <v>0</v>
      </c>
      <c r="AU114" s="672">
        <f t="shared" si="34"/>
        <v>0</v>
      </c>
      <c r="AV114" s="672">
        <f t="shared" si="35"/>
        <v>0</v>
      </c>
      <c r="AW114" s="721">
        <f t="shared" si="36"/>
        <v>0</v>
      </c>
      <c r="AX114" s="686"/>
      <c r="AY114" s="686"/>
    </row>
    <row r="115" spans="3:51" s="46" customFormat="1" ht="30.75" hidden="1" customHeight="1" outlineLevel="1">
      <c r="C115" s="722">
        <v>98</v>
      </c>
      <c r="D115" s="687"/>
      <c r="E115" s="723"/>
      <c r="F115" s="724"/>
      <c r="G115" s="1961"/>
      <c r="H115" s="1962"/>
      <c r="I115" s="679"/>
      <c r="J115" s="725"/>
      <c r="K115" s="680"/>
      <c r="L115" s="681"/>
      <c r="M115" s="681"/>
      <c r="N115" s="681"/>
      <c r="O115" s="681"/>
      <c r="P115" s="681"/>
      <c r="Q115" s="681"/>
      <c r="R115" s="1094"/>
      <c r="S115" s="682"/>
      <c r="T115" s="726"/>
      <c r="U115" s="727"/>
      <c r="V115" s="717"/>
      <c r="W115" s="728"/>
      <c r="X115" s="729"/>
      <c r="Z115" s="670">
        <f t="shared" si="21"/>
        <v>0</v>
      </c>
      <c r="AA115" s="670">
        <f t="shared" si="22"/>
        <v>0</v>
      </c>
      <c r="AB115" s="670">
        <f t="shared" si="23"/>
        <v>0</v>
      </c>
      <c r="AC115" s="670">
        <f>IF(Z115=0,,VLOOKUP(Z115,リスト!DC:DD,2,0))</f>
        <v>0</v>
      </c>
      <c r="AD115" s="670">
        <f t="shared" si="24"/>
        <v>0</v>
      </c>
      <c r="AE115" s="671">
        <f>IF(AD115=0,,VLOOKUP(AD115,リスト!DK:DL,2,0))</f>
        <v>0</v>
      </c>
      <c r="AF115" s="670">
        <f>IF(Z115=0,,
IF(OR(リスト!$C$21="小麦",リスト!$C$21="二条大麦",リスト!$C$21="六条大麦",リスト!$C$21="はだか麦",リスト!$C$21="なたね"),IF(K115&lt;9,調査年-J115,調査年-J115-1),
IF(リスト!$C$21="さとうきび",IF(K115&gt;=4,調査年-J115,調査年-J115+1),
調査年-J115)))</f>
        <v>0</v>
      </c>
      <c r="AG115" s="672">
        <f t="shared" si="39"/>
        <v>0</v>
      </c>
      <c r="AH115" s="672">
        <f t="shared" si="26"/>
        <v>0</v>
      </c>
      <c r="AI115" s="672">
        <f t="shared" si="27"/>
        <v>0</v>
      </c>
      <c r="AJ115" s="672">
        <f t="shared" si="28"/>
        <v>0</v>
      </c>
      <c r="AK115" s="394"/>
      <c r="AL115" s="672">
        <f>IF(OR(R115=0,AH115=""),,
IF(OR(リスト!$C$21="小麦",リスト!$C$21="二条大麦",リスト!$C$21="六条大麦",リスト!$C$21="はだか麦",リスト!$C$21="なたね"),IF(OR(AND(K115&lt;9,J115=調査年),AND(K115&gt;=9,J115=調査年-1)),,ROUND(AH115*R115%,0)),
IF(リスト!$C$21="さとうきび",IF(OR(AND(K115&gt;=4,J115=調査年),AND(K115&lt;4,J115=調査年+1)),,ROUND(AH115*R115%,0)),
IF(J115=調査年,,ROUND(AH115*R115%,0)))))</f>
        <v>0</v>
      </c>
      <c r="AM115" s="672">
        <f t="shared" si="29"/>
        <v>0</v>
      </c>
      <c r="AN115" s="672">
        <f t="shared" si="30"/>
        <v>0</v>
      </c>
      <c r="AO115" s="672">
        <f t="shared" si="31"/>
        <v>0</v>
      </c>
      <c r="AP115" s="672">
        <f>IF(R115=0,,
SUM(
IF(OR(リスト!$C$21="小麦",リスト!$C$21="二条大麦",リスト!$C$21="六条大麦",リスト!$C$21="はだか麦",リスト!$C$21="なたね"),IF(OR(AND(AA115=1,K115&lt;9,J115=調査年),AND(AA115=1,K115&gt;=9,J115=調査年-1)),ROUND(L115*R115%,0),),
IF(リスト!$C$21="さとうきび",IF(OR(AND(AA115=1,K115&gt;=4,J115=調査年),AND(AA115=1,K115&lt;4,J115=調査年+1)),ROUND(L115*R115%,0),),
IF(AND(AA115=1,J115=調査年),ROUND(L115*R115%,0),))),
ROUND(M115*R115%,0)
))</f>
        <v>0</v>
      </c>
      <c r="AQ115" s="672">
        <f t="shared" si="32"/>
        <v>0</v>
      </c>
      <c r="AR115" s="672">
        <f t="shared" si="33"/>
        <v>0</v>
      </c>
      <c r="AS115" s="672">
        <f t="shared" si="37"/>
        <v>0</v>
      </c>
      <c r="AT115" s="672">
        <f t="shared" si="38"/>
        <v>0</v>
      </c>
      <c r="AU115" s="672">
        <f t="shared" si="34"/>
        <v>0</v>
      </c>
      <c r="AV115" s="672">
        <f t="shared" si="35"/>
        <v>0</v>
      </c>
      <c r="AW115" s="721">
        <f t="shared" si="36"/>
        <v>0</v>
      </c>
      <c r="AX115" s="686"/>
      <c r="AY115" s="686"/>
    </row>
    <row r="116" spans="3:51" s="46" customFormat="1" ht="30.75" hidden="1" customHeight="1" outlineLevel="1">
      <c r="C116" s="722">
        <v>99</v>
      </c>
      <c r="D116" s="687"/>
      <c r="E116" s="723"/>
      <c r="F116" s="724"/>
      <c r="G116" s="1961"/>
      <c r="H116" s="1962"/>
      <c r="I116" s="679"/>
      <c r="J116" s="725"/>
      <c r="K116" s="680"/>
      <c r="L116" s="681"/>
      <c r="M116" s="681"/>
      <c r="N116" s="681"/>
      <c r="O116" s="681"/>
      <c r="P116" s="681"/>
      <c r="Q116" s="681"/>
      <c r="R116" s="1094"/>
      <c r="S116" s="682"/>
      <c r="T116" s="726"/>
      <c r="U116" s="727"/>
      <c r="V116" s="717"/>
      <c r="W116" s="728"/>
      <c r="X116" s="729"/>
      <c r="Z116" s="670">
        <f t="shared" si="21"/>
        <v>0</v>
      </c>
      <c r="AA116" s="670">
        <f t="shared" si="22"/>
        <v>0</v>
      </c>
      <c r="AB116" s="670">
        <f t="shared" si="23"/>
        <v>0</v>
      </c>
      <c r="AC116" s="670">
        <f>IF(Z116=0,,VLOOKUP(Z116,リスト!DC:DD,2,0))</f>
        <v>0</v>
      </c>
      <c r="AD116" s="670">
        <f t="shared" si="24"/>
        <v>0</v>
      </c>
      <c r="AE116" s="671">
        <f>IF(AD116=0,,VLOOKUP(AD116,リスト!DK:DL,2,0))</f>
        <v>0</v>
      </c>
      <c r="AF116" s="670">
        <f>IF(Z116=0,,
IF(OR(リスト!$C$21="小麦",リスト!$C$21="二条大麦",リスト!$C$21="六条大麦",リスト!$C$21="はだか麦",リスト!$C$21="なたね"),IF(K116&lt;9,調査年-J116,調査年-J116-1),
IF(リスト!$C$21="さとうきび",IF(K116&gt;=4,調査年-J116,調査年-J116+1),
調査年-J116)))</f>
        <v>0</v>
      </c>
      <c r="AG116" s="672">
        <f t="shared" si="39"/>
        <v>0</v>
      </c>
      <c r="AH116" s="672">
        <f t="shared" si="26"/>
        <v>0</v>
      </c>
      <c r="AI116" s="672">
        <f t="shared" si="27"/>
        <v>0</v>
      </c>
      <c r="AJ116" s="672">
        <f t="shared" si="28"/>
        <v>0</v>
      </c>
      <c r="AK116" s="394"/>
      <c r="AL116" s="672">
        <f>IF(OR(R116=0,AH116=""),,
IF(OR(リスト!$C$21="小麦",リスト!$C$21="二条大麦",リスト!$C$21="六条大麦",リスト!$C$21="はだか麦",リスト!$C$21="なたね"),IF(OR(AND(K116&lt;9,J116=調査年),AND(K116&gt;=9,J116=調査年-1)),,ROUND(AH116*R116%,0)),
IF(リスト!$C$21="さとうきび",IF(OR(AND(K116&gt;=4,J116=調査年),AND(K116&lt;4,J116=調査年+1)),,ROUND(AH116*R116%,0)),
IF(J116=調査年,,ROUND(AH116*R116%,0)))))</f>
        <v>0</v>
      </c>
      <c r="AM116" s="672">
        <f t="shared" si="29"/>
        <v>0</v>
      </c>
      <c r="AN116" s="672">
        <f t="shared" si="30"/>
        <v>0</v>
      </c>
      <c r="AO116" s="672">
        <f t="shared" si="31"/>
        <v>0</v>
      </c>
      <c r="AP116" s="672">
        <f>IF(R116=0,,
SUM(
IF(OR(リスト!$C$21="小麦",リスト!$C$21="二条大麦",リスト!$C$21="六条大麦",リスト!$C$21="はだか麦",リスト!$C$21="なたね"),IF(OR(AND(AA116=1,K116&lt;9,J116=調査年),AND(AA116=1,K116&gt;=9,J116=調査年-1)),ROUND(L116*R116%,0),),
IF(リスト!$C$21="さとうきび",IF(OR(AND(AA116=1,K116&gt;=4,J116=調査年),AND(AA116=1,K116&lt;4,J116=調査年+1)),ROUND(L116*R116%,0),),
IF(AND(AA116=1,J116=調査年),ROUND(L116*R116%,0),))),
ROUND(M116*R116%,0)
))</f>
        <v>0</v>
      </c>
      <c r="AQ116" s="672">
        <f t="shared" si="32"/>
        <v>0</v>
      </c>
      <c r="AR116" s="672">
        <f t="shared" si="33"/>
        <v>0</v>
      </c>
      <c r="AS116" s="672">
        <f t="shared" si="37"/>
        <v>0</v>
      </c>
      <c r="AT116" s="672">
        <f t="shared" si="38"/>
        <v>0</v>
      </c>
      <c r="AU116" s="672">
        <f t="shared" si="34"/>
        <v>0</v>
      </c>
      <c r="AV116" s="672">
        <f t="shared" si="35"/>
        <v>0</v>
      </c>
      <c r="AW116" s="721">
        <f t="shared" si="36"/>
        <v>0</v>
      </c>
      <c r="AX116" s="686"/>
      <c r="AY116" s="686"/>
    </row>
    <row r="117" spans="3:51" s="46" customFormat="1" ht="30.75" hidden="1" customHeight="1" outlineLevel="1" thickBot="1">
      <c r="C117" s="740">
        <v>100</v>
      </c>
      <c r="D117" s="689"/>
      <c r="E117" s="741"/>
      <c r="F117" s="742"/>
      <c r="G117" s="1967"/>
      <c r="H117" s="1968"/>
      <c r="I117" s="693"/>
      <c r="J117" s="743"/>
      <c r="K117" s="694"/>
      <c r="L117" s="695"/>
      <c r="M117" s="695"/>
      <c r="N117" s="695"/>
      <c r="O117" s="695"/>
      <c r="P117" s="695"/>
      <c r="Q117" s="695"/>
      <c r="R117" s="1095"/>
      <c r="S117" s="696"/>
      <c r="T117" s="744"/>
      <c r="U117" s="745"/>
      <c r="V117" s="717"/>
      <c r="W117" s="746"/>
      <c r="X117" s="747"/>
      <c r="Z117" s="670">
        <f t="shared" si="21"/>
        <v>0</v>
      </c>
      <c r="AA117" s="670">
        <f t="shared" si="22"/>
        <v>0</v>
      </c>
      <c r="AB117" s="670">
        <f t="shared" si="23"/>
        <v>0</v>
      </c>
      <c r="AC117" s="670">
        <f>IF(Z117=0,,VLOOKUP(Z117,リスト!DC:DD,2,0))</f>
        <v>0</v>
      </c>
      <c r="AD117" s="670">
        <f t="shared" si="24"/>
        <v>0</v>
      </c>
      <c r="AE117" s="671">
        <f>IF(AD117=0,,VLOOKUP(AD117,リスト!DK:DL,2,0))</f>
        <v>0</v>
      </c>
      <c r="AF117" s="670">
        <f>IF(Z117=0,,
IF(OR(リスト!$C$21="小麦",リスト!$C$21="二条大麦",リスト!$C$21="六条大麦",リスト!$C$21="はだか麦",リスト!$C$21="なたね"),IF(K117&lt;9,調査年-J117,調査年-J117-1),
IF(リスト!$C$21="さとうきび",IF(K117&gt;=4,調査年-J117,調査年-J117+1),
調査年-J117)))</f>
        <v>0</v>
      </c>
      <c r="AG117" s="672">
        <f t="shared" si="39"/>
        <v>0</v>
      </c>
      <c r="AH117" s="672">
        <f t="shared" si="26"/>
        <v>0</v>
      </c>
      <c r="AI117" s="672">
        <f t="shared" si="27"/>
        <v>0</v>
      </c>
      <c r="AJ117" s="672">
        <f t="shared" si="28"/>
        <v>0</v>
      </c>
      <c r="AK117" s="394"/>
      <c r="AL117" s="672">
        <f>IF(OR(R117=0,AH117=""),,
IF(OR(リスト!$C$21="小麦",リスト!$C$21="二条大麦",リスト!$C$21="六条大麦",リスト!$C$21="はだか麦",リスト!$C$21="なたね"),IF(OR(AND(K117&lt;9,J117=調査年),AND(K117&gt;=9,J117=調査年-1)),,ROUND(AH117*R117%,0)),
IF(リスト!$C$21="さとうきび",IF(OR(AND(K117&gt;=4,J117=調査年),AND(K117&lt;4,J117=調査年+1)),,ROUND(AH117*R117%,0)),
IF(J117=調査年,,ROUND(AH117*R117%,0)))))</f>
        <v>0</v>
      </c>
      <c r="AM117" s="672">
        <f t="shared" si="29"/>
        <v>0</v>
      </c>
      <c r="AN117" s="672">
        <f t="shared" si="30"/>
        <v>0</v>
      </c>
      <c r="AO117" s="672">
        <f t="shared" si="31"/>
        <v>0</v>
      </c>
      <c r="AP117" s="672">
        <f>IF(R117=0,,
SUM(
IF(OR(リスト!$C$21="小麦",リスト!$C$21="二条大麦",リスト!$C$21="六条大麦",リスト!$C$21="はだか麦",リスト!$C$21="なたね"),IF(OR(AND(AA117=1,K117&lt;9,J117=調査年),AND(AA117=1,K117&gt;=9,J117=調査年-1)),ROUND(L117*R117%,0),),
IF(リスト!$C$21="さとうきび",IF(OR(AND(AA117=1,K117&gt;=4,J117=調査年),AND(AA117=1,K117&lt;4,J117=調査年+1)),ROUND(L117*R117%,0),),
IF(AND(AA117=1,J117=調査年),ROUND(L117*R117%,0),))),
ROUND(M117*R117%,0)
))</f>
        <v>0</v>
      </c>
      <c r="AQ117" s="672">
        <f t="shared" si="32"/>
        <v>0</v>
      </c>
      <c r="AR117" s="672">
        <f t="shared" si="33"/>
        <v>0</v>
      </c>
      <c r="AS117" s="672">
        <f t="shared" si="37"/>
        <v>0</v>
      </c>
      <c r="AT117" s="672">
        <f t="shared" si="38"/>
        <v>0</v>
      </c>
      <c r="AU117" s="672">
        <f t="shared" si="34"/>
        <v>0</v>
      </c>
      <c r="AV117" s="672">
        <f t="shared" si="35"/>
        <v>0</v>
      </c>
      <c r="AW117" s="721">
        <f t="shared" si="36"/>
        <v>0</v>
      </c>
      <c r="AX117" s="686"/>
      <c r="AY117" s="686"/>
    </row>
    <row r="118" spans="3:51" ht="14.25" customHeight="1" thickTop="1">
      <c r="C118" s="380"/>
      <c r="D118" s="380"/>
      <c r="E118" s="381"/>
      <c r="F118" s="381"/>
      <c r="G118" s="381"/>
      <c r="H118" s="381"/>
      <c r="I118" s="381"/>
      <c r="J118" s="381"/>
      <c r="K118" s="381"/>
      <c r="L118" s="381"/>
      <c r="M118" s="381"/>
      <c r="N118" s="381"/>
      <c r="O118" s="381"/>
      <c r="P118" s="381"/>
      <c r="Q118" s="381"/>
      <c r="R118" s="381"/>
      <c r="S118" s="381"/>
      <c r="T118" s="381"/>
      <c r="U118" s="381"/>
      <c r="W118" s="699"/>
      <c r="X118" s="699"/>
      <c r="AW118" s="144"/>
    </row>
    <row r="119" spans="3:51" ht="14.25" customHeight="1">
      <c r="AW119" s="144"/>
    </row>
    <row r="120" spans="3:51" ht="14.25" customHeight="1">
      <c r="AW120" s="144"/>
    </row>
    <row r="121" spans="3:51" ht="14.25" customHeight="1">
      <c r="AW121" s="144"/>
    </row>
    <row r="122" spans="3:51" ht="14.25" customHeight="1">
      <c r="AW122" s="144"/>
    </row>
  </sheetData>
  <sheetProtection sheet="1" objects="1" scenarios="1" selectLockedCells="1"/>
  <mergeCells count="154">
    <mergeCell ref="G116:H116"/>
    <mergeCell ref="G117:H117"/>
    <mergeCell ref="G110:H110"/>
    <mergeCell ref="G111:H111"/>
    <mergeCell ref="G112:H112"/>
    <mergeCell ref="G113:H113"/>
    <mergeCell ref="G114:H114"/>
    <mergeCell ref="G115:H115"/>
    <mergeCell ref="G104:H104"/>
    <mergeCell ref="G105:H105"/>
    <mergeCell ref="G106:H106"/>
    <mergeCell ref="G107:H107"/>
    <mergeCell ref="G108:H108"/>
    <mergeCell ref="G109:H109"/>
    <mergeCell ref="G98:H98"/>
    <mergeCell ref="G99:H99"/>
    <mergeCell ref="G100:H100"/>
    <mergeCell ref="G101:H101"/>
    <mergeCell ref="G102:H102"/>
    <mergeCell ref="G103:H103"/>
    <mergeCell ref="G92:H92"/>
    <mergeCell ref="G93:H93"/>
    <mergeCell ref="G94:H94"/>
    <mergeCell ref="G95:H95"/>
    <mergeCell ref="G96:H96"/>
    <mergeCell ref="G97:H97"/>
    <mergeCell ref="G86:H86"/>
    <mergeCell ref="G87:H87"/>
    <mergeCell ref="G88:H88"/>
    <mergeCell ref="G89:H89"/>
    <mergeCell ref="G90:H90"/>
    <mergeCell ref="G91:H91"/>
    <mergeCell ref="G80:H80"/>
    <mergeCell ref="G81:H81"/>
    <mergeCell ref="G82:H82"/>
    <mergeCell ref="G83:H83"/>
    <mergeCell ref="G84:H84"/>
    <mergeCell ref="G85:H85"/>
    <mergeCell ref="G74:H74"/>
    <mergeCell ref="G75:H75"/>
    <mergeCell ref="G76:H76"/>
    <mergeCell ref="G77:H77"/>
    <mergeCell ref="G78:H78"/>
    <mergeCell ref="G79:H79"/>
    <mergeCell ref="G68:H68"/>
    <mergeCell ref="G69:H69"/>
    <mergeCell ref="G70:H70"/>
    <mergeCell ref="G71:H71"/>
    <mergeCell ref="G72:H72"/>
    <mergeCell ref="G73:H73"/>
    <mergeCell ref="G62:H62"/>
    <mergeCell ref="G63:H63"/>
    <mergeCell ref="G64:H64"/>
    <mergeCell ref="G65:H65"/>
    <mergeCell ref="G66:H66"/>
    <mergeCell ref="G67:H67"/>
    <mergeCell ref="G56:H56"/>
    <mergeCell ref="G57:H57"/>
    <mergeCell ref="G58:H58"/>
    <mergeCell ref="G59:H59"/>
    <mergeCell ref="G60:H60"/>
    <mergeCell ref="G61:H61"/>
    <mergeCell ref="G50:H50"/>
    <mergeCell ref="G51:H51"/>
    <mergeCell ref="G52:H52"/>
    <mergeCell ref="G53:H53"/>
    <mergeCell ref="G54:H54"/>
    <mergeCell ref="G55:H55"/>
    <mergeCell ref="G44:H44"/>
    <mergeCell ref="G45:H45"/>
    <mergeCell ref="G46:H46"/>
    <mergeCell ref="G47:H47"/>
    <mergeCell ref="G48:H48"/>
    <mergeCell ref="G49:H49"/>
    <mergeCell ref="G38:H38"/>
    <mergeCell ref="G39:H39"/>
    <mergeCell ref="G40:H40"/>
    <mergeCell ref="G41:H41"/>
    <mergeCell ref="G42:H42"/>
    <mergeCell ref="G43:H43"/>
    <mergeCell ref="G32:H32"/>
    <mergeCell ref="G33:H33"/>
    <mergeCell ref="G34:H34"/>
    <mergeCell ref="G35:H35"/>
    <mergeCell ref="G36:H36"/>
    <mergeCell ref="G37:H37"/>
    <mergeCell ref="G26:H26"/>
    <mergeCell ref="G27:H27"/>
    <mergeCell ref="G28:H28"/>
    <mergeCell ref="G29:H29"/>
    <mergeCell ref="G30:H30"/>
    <mergeCell ref="G31:H31"/>
    <mergeCell ref="G20:H20"/>
    <mergeCell ref="G21:H21"/>
    <mergeCell ref="G22:H22"/>
    <mergeCell ref="G23:H23"/>
    <mergeCell ref="G24:H24"/>
    <mergeCell ref="G25:H25"/>
    <mergeCell ref="G18:H18"/>
    <mergeCell ref="G19:H19"/>
    <mergeCell ref="AV12:AV16"/>
    <mergeCell ref="AW12:AW16"/>
    <mergeCell ref="G13:G17"/>
    <mergeCell ref="H13:H17"/>
    <mergeCell ref="J13:J17"/>
    <mergeCell ref="K13:K17"/>
    <mergeCell ref="T13:T17"/>
    <mergeCell ref="U13:U14"/>
    <mergeCell ref="AJ13:AJ16"/>
    <mergeCell ref="AN13:AN16"/>
    <mergeCell ref="AP12:AP16"/>
    <mergeCell ref="AQ12:AQ16"/>
    <mergeCell ref="AR12:AR16"/>
    <mergeCell ref="AS12:AS16"/>
    <mergeCell ref="AT12:AT16"/>
    <mergeCell ref="AU12:AU16"/>
    <mergeCell ref="AG12:AG16"/>
    <mergeCell ref="AH12:AH16"/>
    <mergeCell ref="AI12:AI16"/>
    <mergeCell ref="AL12:AL16"/>
    <mergeCell ref="AM12:AM16"/>
    <mergeCell ref="AO12:AO16"/>
    <mergeCell ref="AH10:AJ11"/>
    <mergeCell ref="AK10:AK16"/>
    <mergeCell ref="AL10:AW11"/>
    <mergeCell ref="AC12:AC16"/>
    <mergeCell ref="AD12:AD16"/>
    <mergeCell ref="AE12:AE16"/>
    <mergeCell ref="AF12:AF16"/>
    <mergeCell ref="J11:K12"/>
    <mergeCell ref="L11:L12"/>
    <mergeCell ref="M11:M12"/>
    <mergeCell ref="N11:N12"/>
    <mergeCell ref="O11:O12"/>
    <mergeCell ref="P11:Q13"/>
    <mergeCell ref="R11:R17"/>
    <mergeCell ref="S11:S17"/>
    <mergeCell ref="T11:U12"/>
    <mergeCell ref="Z12:Z16"/>
    <mergeCell ref="AA12:AA16"/>
    <mergeCell ref="AB12:AB16"/>
    <mergeCell ref="W10:W17"/>
    <mergeCell ref="X10:X17"/>
    <mergeCell ref="Z10:AG11"/>
    <mergeCell ref="C11:C17"/>
    <mergeCell ref="D11:D17"/>
    <mergeCell ref="E11:E17"/>
    <mergeCell ref="F11:F17"/>
    <mergeCell ref="G11:H12"/>
    <mergeCell ref="I11:I17"/>
    <mergeCell ref="P14:P15"/>
    <mergeCell ref="Q14:Q15"/>
    <mergeCell ref="P16:P17"/>
    <mergeCell ref="Q16:Q17"/>
  </mergeCells>
  <phoneticPr fontId="5"/>
  <dataValidations count="8">
    <dataValidation type="list" showInputMessage="1" showErrorMessage="1" sqref="F18:F117" xr:uid="{00000000-0002-0000-1000-000000000000}">
      <formula1>INDIRECT($E18)</formula1>
    </dataValidation>
    <dataValidation type="whole" allowBlank="1" showInputMessage="1" showErrorMessage="1" sqref="J18:J117" xr:uid="{00000000-0002-0000-1000-000001000000}">
      <formula1>1700</formula1>
      <formula2>9999</formula2>
    </dataValidation>
    <dataValidation type="whole" operator="greaterThanOrEqual" allowBlank="1" showInputMessage="1" showErrorMessage="1" error="０以上の数値を整数で入力してください。" sqref="U18:U117" xr:uid="{00000000-0002-0000-1000-000002000000}">
      <formula1>0</formula1>
    </dataValidation>
    <dataValidation type="textLength" imeMode="hiragana" operator="greaterThanOrEqual" allowBlank="1" showInputMessage="1" showErrorMessage="1" sqref="D18:D117" xr:uid="{00000000-0002-0000-1000-000003000000}">
      <formula1>1</formula1>
    </dataValidation>
    <dataValidation type="whole" operator="greaterThan" allowBlank="1" showInputMessage="1" showErrorMessage="1" error="0より大きい数値を整数で入力してください。" sqref="L18:Q117 W18:W117" xr:uid="{00000000-0002-0000-1000-000004000000}">
      <formula1>0</formula1>
    </dataValidation>
    <dataValidation type="whole" allowBlank="1" showInputMessage="1" showErrorMessage="1" error="1～12の値を入力してください。" sqref="K18:K117" xr:uid="{00000000-0002-0000-1000-000005000000}">
      <formula1>1</formula1>
      <formula2>12</formula2>
    </dataValidation>
    <dataValidation type="whole" operator="greaterThanOrEqual" allowBlank="1" showInputMessage="1" showErrorMessage="1" error="２以上の数値を入力してください。" sqref="I18:I117" xr:uid="{00000000-0002-0000-1000-000006000000}">
      <formula1>2</formula1>
    </dataValidation>
    <dataValidation type="custom" allowBlank="1" showInputMessage="1" showErrorMessage="1" error="0.001~100の範囲で小数点第３位までの数値を入力してください。" sqref="R18:R117" xr:uid="{00000000-0002-0000-1000-000007000000}">
      <formula1>AND(AND(R18*1000=INT(R18*1000)),(R18&gt;0),(R18&lt;=100))</formula1>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4340" r:id="rId5" name="Label1">
          <controlPr defaultSize="0" print="0" autoLine="0" autoPict="0" r:id="rId6">
            <anchor moveWithCells="1">
              <from>
                <xdr:col>9</xdr:col>
                <xdr:colOff>400050</xdr:colOff>
                <xdr:row>1</xdr:row>
                <xdr:rowOff>0</xdr:rowOff>
              </from>
              <to>
                <xdr:col>11</xdr:col>
                <xdr:colOff>180975</xdr:colOff>
                <xdr:row>2</xdr:row>
                <xdr:rowOff>38100</xdr:rowOff>
              </to>
            </anchor>
          </controlPr>
        </control>
      </mc:Choice>
      <mc:Fallback>
        <control shapeId="14340" r:id="rId5" name="Label1"/>
      </mc:Fallback>
    </mc:AlternateContent>
    <mc:AlternateContent xmlns:mc="http://schemas.openxmlformats.org/markup-compatibility/2006">
      <mc:Choice Requires="x14">
        <control shapeId="14341" r:id="rId7" name="txt_hyouji">
          <controlPr locked="0" defaultSize="0" print="0" autoLine="0" r:id="rId8">
            <anchor moveWithCells="1">
              <from>
                <xdr:col>9</xdr:col>
                <xdr:colOff>400050</xdr:colOff>
                <xdr:row>2</xdr:row>
                <xdr:rowOff>19050</xdr:rowOff>
              </from>
              <to>
                <xdr:col>11</xdr:col>
                <xdr:colOff>190500</xdr:colOff>
                <xdr:row>3</xdr:row>
                <xdr:rowOff>38100</xdr:rowOff>
              </to>
            </anchor>
          </controlPr>
        </control>
      </mc:Choice>
      <mc:Fallback>
        <control shapeId="14341" r:id="rId7" name="txt_hyouji"/>
      </mc:Fallback>
    </mc:AlternateContent>
    <mc:AlternateContent xmlns:mc="http://schemas.openxmlformats.org/markup-compatibility/2006">
      <mc:Choice Requires="x14">
        <control shapeId="14342" r:id="rId9" name="btnKoushin1">
          <controlPr defaultSize="0" print="0" autoLine="0" autoPict="0" r:id="rId10">
            <anchor moveWithCells="1">
              <from>
                <xdr:col>11</xdr:col>
                <xdr:colOff>200025</xdr:colOff>
                <xdr:row>1</xdr:row>
                <xdr:rowOff>0</xdr:rowOff>
              </from>
              <to>
                <xdr:col>11</xdr:col>
                <xdr:colOff>1371600</xdr:colOff>
                <xdr:row>3</xdr:row>
                <xdr:rowOff>66675</xdr:rowOff>
              </to>
            </anchor>
          </controlPr>
        </control>
      </mc:Choice>
      <mc:Fallback>
        <control shapeId="14342" r:id="rId9" name="btnKoushin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000-000008000000}">
          <x14:formula1>
            <xm:f>リスト!$DN$5</xm:f>
          </x14:formula1>
          <xm:sqref>X18:X117</xm:sqref>
        </x14:dataValidation>
        <x14:dataValidation type="list" allowBlank="1" showInputMessage="1" showErrorMessage="1" xr:uid="{00000000-0002-0000-1000-000009000000}">
          <x14:formula1>
            <xm:f>リスト!$BK$5:$BK$6</xm:f>
          </x14:formula1>
          <xm:sqref>T18:T117</xm:sqref>
        </x14:dataValidation>
        <x14:dataValidation type="list" allowBlank="1" showInputMessage="1" showErrorMessage="1" xr:uid="{00000000-0002-0000-1000-00000A000000}">
          <x14:formula1>
            <xm:f>リスト!$BI$5:$BI$6</xm:f>
          </x14:formula1>
          <xm:sqref>G18:H117</xm:sqref>
        </x14:dataValidation>
        <x14:dataValidation type="list" allowBlank="1" showInputMessage="1" showErrorMessage="1" xr:uid="{00000000-0002-0000-1000-00000B000000}">
          <x14:formula1>
            <xm:f>リスト!$BD$5:$BD$6</xm:f>
          </x14:formula1>
          <xm:sqref>E18:E117</xm:sqref>
        </x14:dataValidation>
        <x14:dataValidation type="list" allowBlank="1" showInputMessage="1" showErrorMessage="1" xr:uid="{00000000-0002-0000-1000-00000C000000}">
          <x14:formula1>
            <xm:f>リスト!$BB$5:$BB$6</xm:f>
          </x14:formula1>
          <xm:sqref>S18:S117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7">
    <outlinePr summaryBelow="0"/>
    <pageSetUpPr fitToPage="1"/>
  </sheetPr>
  <dimension ref="A1:BC133"/>
  <sheetViews>
    <sheetView showGridLines="0" zoomScale="70" zoomScaleNormal="70" zoomScaleSheetLayoutView="70" workbookViewId="0">
      <pane xSplit="2" ySplit="16" topLeftCell="C17" activePane="bottomRight" state="frozen"/>
      <selection pane="topRight"/>
      <selection pane="bottomLeft"/>
      <selection pane="bottomRight" activeCell="D17" sqref="D17"/>
    </sheetView>
  </sheetViews>
  <sheetFormatPr defaultColWidth="2.625" defaultRowHeight="14.25" customHeight="1" outlineLevelRow="1" outlineLevelCol="1"/>
  <cols>
    <col min="1" max="1" width="0.875" style="2" customWidth="1"/>
    <col min="2" max="2" width="2.625" style="2" customWidth="1"/>
    <col min="3" max="3" width="3.75" style="2" customWidth="1"/>
    <col min="4" max="4" width="26.25" style="2" customWidth="1"/>
    <col min="5" max="5" width="13.75" style="2" customWidth="1"/>
    <col min="6" max="6" width="17.125" style="2" customWidth="1"/>
    <col min="7" max="8" width="4.875" style="2" customWidth="1"/>
    <col min="9" max="9" width="5.25" style="2" customWidth="1"/>
    <col min="10" max="10" width="10.625" style="2" customWidth="1"/>
    <col min="11" max="11" width="5.125" style="2" customWidth="1"/>
    <col min="12" max="13" width="22.125" style="2" customWidth="1"/>
    <col min="14" max="14" width="18.625" style="2" customWidth="1"/>
    <col min="15" max="15" width="15.875" style="2" customWidth="1"/>
    <col min="16" max="16" width="10.625" style="2" customWidth="1"/>
    <col min="17" max="18" width="9.625" style="2" customWidth="1"/>
    <col min="19" max="19" width="7.875" style="2" customWidth="1"/>
    <col min="20" max="20" width="2.875" style="2" hidden="1" customWidth="1"/>
    <col min="21" max="21" width="12.125" style="2" bestFit="1" customWidth="1"/>
    <col min="22" max="22" width="21" style="2" customWidth="1"/>
    <col min="23" max="23" width="4.5" style="173" customWidth="1"/>
    <col min="24" max="25" width="8.125" style="2" customWidth="1" outlineLevel="1"/>
    <col min="26" max="26" width="2.625" style="2" outlineLevel="1"/>
    <col min="27" max="33" width="10.625" style="2" customWidth="1" outlineLevel="1"/>
    <col min="34" max="39" width="14.5" style="2" customWidth="1" outlineLevel="1"/>
    <col min="40" max="40" width="10.625" style="2" customWidth="1" outlineLevel="1"/>
    <col min="41" max="45" width="14.5" style="2" customWidth="1" outlineLevel="1"/>
    <col min="46" max="46" width="10.625" style="2" customWidth="1" outlineLevel="1"/>
    <col min="47" max="47" width="12.375" style="2" bestFit="1" customWidth="1" outlineLevel="1"/>
    <col min="48" max="50" width="10.625" style="2" customWidth="1" outlineLevel="1"/>
    <col min="51" max="51" width="10.625" style="637" customWidth="1" outlineLevel="1"/>
    <col min="52" max="16384" width="2.625" style="2"/>
  </cols>
  <sheetData>
    <row r="1" spans="1:51" ht="14.25" customHeight="1">
      <c r="X1" s="2" t="s">
        <v>372</v>
      </c>
      <c r="AD1" s="46"/>
      <c r="AE1" s="46"/>
      <c r="AL1" s="46"/>
      <c r="AM1" s="46"/>
      <c r="AP1" s="46"/>
      <c r="AQ1" s="46"/>
      <c r="AR1" s="46"/>
      <c r="AY1" s="144"/>
    </row>
    <row r="2" spans="1:51" ht="14.25" customHeight="1">
      <c r="A2" s="107" t="s">
        <v>565</v>
      </c>
      <c r="X2" s="107" t="s">
        <v>565</v>
      </c>
    </row>
    <row r="3" spans="1:51" ht="14.25" customHeight="1">
      <c r="A3" s="107"/>
      <c r="B3" s="748"/>
      <c r="C3" s="606"/>
      <c r="D3" s="584"/>
      <c r="E3" s="584"/>
      <c r="F3" s="584"/>
      <c r="G3" s="584"/>
      <c r="H3" s="584"/>
      <c r="I3" s="584"/>
      <c r="J3" s="584"/>
      <c r="K3" s="584"/>
      <c r="L3" s="584"/>
    </row>
    <row r="4" spans="1:51" ht="14.25" customHeight="1">
      <c r="A4" s="749"/>
      <c r="B4" s="584"/>
      <c r="C4" s="606" t="s">
        <v>566</v>
      </c>
      <c r="D4" s="584"/>
      <c r="E4" s="584"/>
      <c r="F4" s="584"/>
      <c r="G4" s="584"/>
      <c r="H4" s="584"/>
      <c r="I4" s="584"/>
      <c r="J4" s="584"/>
      <c r="K4" s="584"/>
      <c r="L4" s="584"/>
    </row>
    <row r="5" spans="1:51" ht="14.25" customHeight="1">
      <c r="B5" s="584"/>
      <c r="C5" s="46" t="s">
        <v>567</v>
      </c>
      <c r="E5" s="584"/>
      <c r="F5" s="584"/>
      <c r="G5" s="584"/>
      <c r="H5" s="584"/>
      <c r="I5" s="584"/>
      <c r="J5" s="584"/>
      <c r="K5" s="584"/>
      <c r="L5" s="584"/>
    </row>
    <row r="6" spans="1:51" ht="14.25" customHeight="1">
      <c r="B6" s="584"/>
      <c r="D6" s="584"/>
      <c r="E6" s="584"/>
      <c r="F6" s="584"/>
      <c r="G6" s="584"/>
      <c r="H6" s="584"/>
      <c r="I6" s="584"/>
      <c r="J6" s="584"/>
      <c r="K6" s="584"/>
      <c r="L6" s="584"/>
      <c r="X6" s="39" t="s">
        <v>545</v>
      </c>
    </row>
    <row r="7" spans="1:51" ht="14.25" customHeight="1">
      <c r="A7" s="2" t="s">
        <v>534</v>
      </c>
      <c r="B7" s="584"/>
      <c r="C7" s="46"/>
      <c r="D7" s="584"/>
      <c r="E7" s="584"/>
      <c r="F7" s="584"/>
      <c r="G7" s="584"/>
      <c r="H7" s="584"/>
      <c r="I7" s="584"/>
      <c r="J7" s="584"/>
      <c r="K7" s="584"/>
      <c r="L7" s="584"/>
      <c r="X7" s="39" t="s">
        <v>546</v>
      </c>
      <c r="AY7" s="2"/>
    </row>
    <row r="8" spans="1:51" ht="14.25" customHeight="1">
      <c r="B8" s="584"/>
      <c r="C8" s="46"/>
      <c r="D8" s="584"/>
      <c r="E8" s="584"/>
      <c r="F8" s="584"/>
      <c r="G8" s="584"/>
      <c r="H8" s="584"/>
      <c r="I8" s="584"/>
      <c r="J8" s="584"/>
      <c r="K8" s="584"/>
      <c r="L8" s="584"/>
      <c r="X8" s="1885" t="s">
        <v>547</v>
      </c>
      <c r="Y8" s="1885" t="s">
        <v>568</v>
      </c>
      <c r="AA8" s="1399" t="s">
        <v>489</v>
      </c>
      <c r="AB8" s="1399"/>
      <c r="AC8" s="1399"/>
      <c r="AD8" s="1399"/>
      <c r="AE8" s="1399"/>
      <c r="AF8" s="1399"/>
      <c r="AG8" s="1399"/>
      <c r="AH8" s="1399"/>
      <c r="AI8" s="1365" t="s">
        <v>490</v>
      </c>
      <c r="AJ8" s="1366"/>
      <c r="AK8" s="1395"/>
      <c r="AL8" s="1888" t="s">
        <v>491</v>
      </c>
      <c r="AM8" s="1889"/>
      <c r="AN8" s="1892"/>
      <c r="AO8" s="1365" t="s">
        <v>493</v>
      </c>
      <c r="AP8" s="1366"/>
      <c r="AQ8" s="1366"/>
      <c r="AR8" s="1366"/>
      <c r="AS8" s="1366"/>
      <c r="AT8" s="1366"/>
      <c r="AU8" s="1366"/>
      <c r="AV8" s="1366"/>
      <c r="AW8" s="1366"/>
      <c r="AX8" s="1366"/>
      <c r="AY8" s="1395"/>
    </row>
    <row r="9" spans="1:51" ht="14.25" customHeight="1" thickBot="1">
      <c r="B9" s="584"/>
      <c r="C9" s="46"/>
      <c r="D9" s="584"/>
      <c r="E9" s="584"/>
      <c r="F9" s="584"/>
      <c r="G9" s="584"/>
      <c r="H9" s="584"/>
      <c r="I9" s="584"/>
      <c r="J9" s="584"/>
      <c r="K9" s="584"/>
      <c r="L9" s="584"/>
      <c r="X9" s="1886"/>
      <c r="Y9" s="1886"/>
      <c r="Z9" s="46"/>
      <c r="AA9" s="1400"/>
      <c r="AB9" s="1400"/>
      <c r="AC9" s="1400"/>
      <c r="AD9" s="1400"/>
      <c r="AE9" s="1400"/>
      <c r="AF9" s="1400"/>
      <c r="AG9" s="1400"/>
      <c r="AH9" s="1400"/>
      <c r="AI9" s="1367"/>
      <c r="AJ9" s="1368"/>
      <c r="AK9" s="1396"/>
      <c r="AL9" s="1890"/>
      <c r="AM9" s="1891"/>
      <c r="AN9" s="1893"/>
      <c r="AO9" s="1367"/>
      <c r="AP9" s="1368"/>
      <c r="AQ9" s="1368"/>
      <c r="AR9" s="1368"/>
      <c r="AS9" s="1368"/>
      <c r="AT9" s="1368"/>
      <c r="AU9" s="1368"/>
      <c r="AV9" s="1368"/>
      <c r="AW9" s="1368"/>
      <c r="AX9" s="1368"/>
      <c r="AY9" s="1396"/>
    </row>
    <row r="10" spans="1:51" s="46" customFormat="1" ht="14.25" customHeight="1">
      <c r="C10" s="1858" t="s">
        <v>494</v>
      </c>
      <c r="D10" s="1861" t="s">
        <v>495</v>
      </c>
      <c r="E10" s="1975" t="s">
        <v>569</v>
      </c>
      <c r="F10" s="1874" t="s">
        <v>570</v>
      </c>
      <c r="G10" s="1870" t="s">
        <v>498</v>
      </c>
      <c r="H10" s="1871"/>
      <c r="I10" s="1874" t="s">
        <v>499</v>
      </c>
      <c r="J10" s="1877" t="s">
        <v>500</v>
      </c>
      <c r="K10" s="1878"/>
      <c r="L10" s="1901" t="s">
        <v>501</v>
      </c>
      <c r="M10" s="1978" t="s">
        <v>502</v>
      </c>
      <c r="N10" s="1989" t="s">
        <v>503</v>
      </c>
      <c r="O10" s="1989" t="s">
        <v>504</v>
      </c>
      <c r="P10" s="1991" t="s">
        <v>432</v>
      </c>
      <c r="Q10" s="1980" t="s">
        <v>1343</v>
      </c>
      <c r="R10" s="1981"/>
      <c r="S10" s="1903" t="s">
        <v>554</v>
      </c>
      <c r="T10" s="1906" t="s">
        <v>506</v>
      </c>
      <c r="U10" s="1908" t="s">
        <v>507</v>
      </c>
      <c r="V10" s="1909"/>
      <c r="W10" s="686"/>
      <c r="X10" s="1886"/>
      <c r="Y10" s="1886"/>
      <c r="AA10" s="1895" t="s">
        <v>508</v>
      </c>
      <c r="AB10" s="1895" t="s">
        <v>509</v>
      </c>
      <c r="AC10" s="1895" t="s">
        <v>510</v>
      </c>
      <c r="AD10" s="1895" t="s">
        <v>511</v>
      </c>
      <c r="AE10" s="1895" t="s">
        <v>512</v>
      </c>
      <c r="AF10" s="1895" t="s">
        <v>513</v>
      </c>
      <c r="AG10" s="1895" t="s">
        <v>514</v>
      </c>
      <c r="AH10" s="1895" t="s">
        <v>515</v>
      </c>
      <c r="AI10" s="1895" t="s">
        <v>516</v>
      </c>
      <c r="AJ10" s="1898" t="s">
        <v>517</v>
      </c>
      <c r="AK10" s="641"/>
      <c r="AL10" s="1895" t="s">
        <v>518</v>
      </c>
      <c r="AM10" s="1895" t="s">
        <v>519</v>
      </c>
      <c r="AN10" s="1893"/>
      <c r="AO10" s="1914" t="s">
        <v>518</v>
      </c>
      <c r="AP10" s="1930" t="s">
        <v>522</v>
      </c>
      <c r="AQ10" s="642"/>
      <c r="AR10" s="1914" t="s">
        <v>523</v>
      </c>
      <c r="AS10" s="1914" t="s">
        <v>524</v>
      </c>
      <c r="AT10" s="1914" t="s">
        <v>504</v>
      </c>
      <c r="AU10" s="1914" t="s">
        <v>525</v>
      </c>
      <c r="AV10" s="1914" t="s">
        <v>571</v>
      </c>
      <c r="AW10" s="1914" t="s">
        <v>559</v>
      </c>
      <c r="AX10" s="1914" t="s">
        <v>1344</v>
      </c>
      <c r="AY10" s="1914" t="s">
        <v>560</v>
      </c>
    </row>
    <row r="11" spans="1:51" s="46" customFormat="1" ht="14.25" customHeight="1">
      <c r="C11" s="1859"/>
      <c r="D11" s="1973"/>
      <c r="E11" s="1976"/>
      <c r="F11" s="1977"/>
      <c r="G11" s="1872"/>
      <c r="H11" s="1873"/>
      <c r="I11" s="1875"/>
      <c r="J11" s="1879"/>
      <c r="K11" s="1880"/>
      <c r="L11" s="1902"/>
      <c r="M11" s="1979"/>
      <c r="N11" s="1990"/>
      <c r="O11" s="1990"/>
      <c r="P11" s="1992"/>
      <c r="Q11" s="1982"/>
      <c r="R11" s="1983"/>
      <c r="S11" s="1904"/>
      <c r="T11" s="1556"/>
      <c r="U11" s="1910"/>
      <c r="V11" s="1911"/>
      <c r="W11" s="686"/>
      <c r="X11" s="1886"/>
      <c r="Y11" s="1886"/>
      <c r="AA11" s="1896"/>
      <c r="AB11" s="1896"/>
      <c r="AC11" s="1896"/>
      <c r="AD11" s="1896"/>
      <c r="AE11" s="1896"/>
      <c r="AF11" s="1896"/>
      <c r="AG11" s="1896" t="s">
        <v>572</v>
      </c>
      <c r="AH11" s="1896"/>
      <c r="AI11" s="1896" t="s">
        <v>534</v>
      </c>
      <c r="AJ11" s="1896" t="s">
        <v>572</v>
      </c>
      <c r="AK11" s="1895" t="s">
        <v>535</v>
      </c>
      <c r="AL11" s="1896" t="s">
        <v>573</v>
      </c>
      <c r="AM11" s="1896" t="s">
        <v>572</v>
      </c>
      <c r="AN11" s="1893"/>
      <c r="AO11" s="1904"/>
      <c r="AP11" s="1904" t="s">
        <v>572</v>
      </c>
      <c r="AQ11" s="1914" t="s">
        <v>535</v>
      </c>
      <c r="AR11" s="1904" t="s">
        <v>572</v>
      </c>
      <c r="AS11" s="1904"/>
      <c r="AT11" s="1904"/>
      <c r="AU11" s="1904"/>
      <c r="AV11" s="1904"/>
      <c r="AW11" s="1904"/>
      <c r="AX11" s="1904"/>
      <c r="AY11" s="1904"/>
    </row>
    <row r="12" spans="1:51" s="46" customFormat="1" ht="14.25" customHeight="1">
      <c r="C12" s="1859"/>
      <c r="D12" s="1973"/>
      <c r="E12" s="1976"/>
      <c r="F12" s="1977"/>
      <c r="G12" s="1916" t="s">
        <v>561</v>
      </c>
      <c r="H12" s="1916" t="s">
        <v>527</v>
      </c>
      <c r="I12" s="1875"/>
      <c r="J12" s="1918" t="s">
        <v>528</v>
      </c>
      <c r="K12" s="1921" t="s">
        <v>529</v>
      </c>
      <c r="L12" s="700" t="s">
        <v>530</v>
      </c>
      <c r="M12" s="750" t="s">
        <v>530</v>
      </c>
      <c r="N12" s="702" t="s">
        <v>530</v>
      </c>
      <c r="O12" s="751" t="s">
        <v>530</v>
      </c>
      <c r="P12" s="752" t="s">
        <v>530</v>
      </c>
      <c r="Q12" s="1984"/>
      <c r="R12" s="1985"/>
      <c r="S12" s="1904"/>
      <c r="T12" s="1556"/>
      <c r="U12" s="1986" t="s">
        <v>531</v>
      </c>
      <c r="V12" s="1927" t="s">
        <v>562</v>
      </c>
      <c r="W12" s="686"/>
      <c r="X12" s="1886"/>
      <c r="Y12" s="1886"/>
      <c r="AA12" s="1896"/>
      <c r="AB12" s="1896"/>
      <c r="AC12" s="1896"/>
      <c r="AD12" s="1896"/>
      <c r="AE12" s="1896"/>
      <c r="AF12" s="1896"/>
      <c r="AG12" s="1896"/>
      <c r="AH12" s="1896"/>
      <c r="AI12" s="1896"/>
      <c r="AJ12" s="1896"/>
      <c r="AK12" s="1896"/>
      <c r="AL12" s="1896"/>
      <c r="AM12" s="1896"/>
      <c r="AN12" s="1893"/>
      <c r="AO12" s="1904"/>
      <c r="AP12" s="1904"/>
      <c r="AQ12" s="1904"/>
      <c r="AR12" s="1904"/>
      <c r="AS12" s="1904"/>
      <c r="AT12" s="1904"/>
      <c r="AU12" s="1904"/>
      <c r="AV12" s="1904"/>
      <c r="AW12" s="1904"/>
      <c r="AX12" s="1904"/>
      <c r="AY12" s="1904"/>
    </row>
    <row r="13" spans="1:51" s="46" customFormat="1" ht="14.25" customHeight="1">
      <c r="C13" s="1859"/>
      <c r="D13" s="1973"/>
      <c r="E13" s="1976"/>
      <c r="F13" s="1977"/>
      <c r="G13" s="1917"/>
      <c r="H13" s="1917"/>
      <c r="I13" s="1875"/>
      <c r="J13" s="1919"/>
      <c r="K13" s="1922"/>
      <c r="L13" s="703"/>
      <c r="M13" s="753"/>
      <c r="N13" s="647"/>
      <c r="O13" s="754"/>
      <c r="P13" s="704"/>
      <c r="Q13" s="1969" t="s">
        <v>563</v>
      </c>
      <c r="R13" s="1969" t="s">
        <v>445</v>
      </c>
      <c r="S13" s="1904"/>
      <c r="T13" s="1556"/>
      <c r="U13" s="1875"/>
      <c r="V13" s="1928"/>
      <c r="W13" s="686"/>
      <c r="X13" s="1886"/>
      <c r="Y13" s="1886"/>
      <c r="AA13" s="1896"/>
      <c r="AB13" s="1896"/>
      <c r="AC13" s="1896"/>
      <c r="AD13" s="1896"/>
      <c r="AE13" s="1896"/>
      <c r="AF13" s="1896"/>
      <c r="AG13" s="1896"/>
      <c r="AH13" s="1896"/>
      <c r="AI13" s="1896"/>
      <c r="AJ13" s="1896"/>
      <c r="AK13" s="1896"/>
      <c r="AL13" s="1896"/>
      <c r="AM13" s="1896"/>
      <c r="AN13" s="1894"/>
      <c r="AO13" s="1915"/>
      <c r="AP13" s="1915"/>
      <c r="AQ13" s="1915"/>
      <c r="AR13" s="1915"/>
      <c r="AS13" s="1915"/>
      <c r="AT13" s="1915"/>
      <c r="AU13" s="1915"/>
      <c r="AV13" s="1915"/>
      <c r="AW13" s="1915"/>
      <c r="AX13" s="1915"/>
      <c r="AY13" s="1915"/>
    </row>
    <row r="14" spans="1:51" s="46" customFormat="1" ht="30" customHeight="1">
      <c r="C14" s="1859"/>
      <c r="D14" s="1973"/>
      <c r="E14" s="1976"/>
      <c r="F14" s="1977"/>
      <c r="G14" s="1917"/>
      <c r="H14" s="1917"/>
      <c r="I14" s="1875"/>
      <c r="J14" s="1919"/>
      <c r="K14" s="1922"/>
      <c r="L14" s="703"/>
      <c r="M14" s="753"/>
      <c r="N14" s="647"/>
      <c r="O14" s="754"/>
      <c r="P14" s="704"/>
      <c r="Q14" s="1970"/>
      <c r="R14" s="1970"/>
      <c r="S14" s="1904"/>
      <c r="T14" s="1556"/>
      <c r="U14" s="1875"/>
      <c r="V14" s="706"/>
      <c r="W14" s="686"/>
      <c r="X14" s="1886"/>
      <c r="Y14" s="1886"/>
      <c r="AA14" s="1897"/>
      <c r="AB14" s="1897"/>
      <c r="AC14" s="1897"/>
      <c r="AD14" s="1897"/>
      <c r="AE14" s="1897"/>
      <c r="AF14" s="1897"/>
      <c r="AG14" s="1897"/>
      <c r="AH14" s="1897"/>
      <c r="AI14" s="1897"/>
      <c r="AJ14" s="1897"/>
      <c r="AK14" s="1897"/>
      <c r="AL14" s="1897"/>
      <c r="AM14" s="1897"/>
      <c r="AN14" s="592" t="s">
        <v>295</v>
      </c>
      <c r="AO14" s="224">
        <f t="shared" ref="AO14:AT14" si="0">SUM(AO15:AO16)</f>
        <v>0</v>
      </c>
      <c r="AP14" s="224">
        <f t="shared" si="0"/>
        <v>0</v>
      </c>
      <c r="AQ14" s="224">
        <f t="shared" si="0"/>
        <v>0</v>
      </c>
      <c r="AR14" s="224">
        <f>ROUND(SUM(AR15:AR16),)</f>
        <v>0</v>
      </c>
      <c r="AS14" s="224">
        <f t="shared" si="0"/>
        <v>0</v>
      </c>
      <c r="AT14" s="224">
        <f t="shared" si="0"/>
        <v>0</v>
      </c>
      <c r="AU14" s="224">
        <f>SUM(AS14:AT14)</f>
        <v>0</v>
      </c>
      <c r="AV14" s="385">
        <f>SUM(AV17:AV116)</f>
        <v>0</v>
      </c>
      <c r="AW14" s="385">
        <f t="shared" ref="AW14:AX14" si="1">SUM(AW17:AW116)</f>
        <v>0</v>
      </c>
      <c r="AX14" s="385">
        <f t="shared" si="1"/>
        <v>0</v>
      </c>
      <c r="AY14" s="394"/>
    </row>
    <row r="15" spans="1:51" s="46" customFormat="1" ht="30" customHeight="1">
      <c r="C15" s="1859"/>
      <c r="D15" s="1973"/>
      <c r="E15" s="1976"/>
      <c r="F15" s="1977"/>
      <c r="G15" s="1917"/>
      <c r="H15" s="1917"/>
      <c r="I15" s="1875"/>
      <c r="J15" s="1920"/>
      <c r="K15" s="1922"/>
      <c r="L15" s="703"/>
      <c r="M15" s="753"/>
      <c r="N15" s="647"/>
      <c r="O15" s="754"/>
      <c r="P15" s="704"/>
      <c r="Q15" s="1971" t="s">
        <v>530</v>
      </c>
      <c r="R15" s="1971" t="s">
        <v>530</v>
      </c>
      <c r="S15" s="1904"/>
      <c r="T15" s="1556"/>
      <c r="U15" s="1987"/>
      <c r="V15" s="706"/>
      <c r="W15" s="686"/>
      <c r="X15" s="1886"/>
      <c r="Y15" s="1886"/>
      <c r="AA15" s="755"/>
      <c r="AB15" s="755"/>
      <c r="AC15" s="755"/>
      <c r="AD15" s="755"/>
      <c r="AE15" s="755"/>
      <c r="AF15" s="755"/>
      <c r="AG15" s="755"/>
      <c r="AH15" s="755"/>
      <c r="AI15" s="755"/>
      <c r="AJ15" s="755"/>
      <c r="AK15" s="755"/>
      <c r="AL15" s="755"/>
      <c r="AM15" s="755"/>
      <c r="AN15" s="756" t="s">
        <v>574</v>
      </c>
      <c r="AO15" s="385">
        <f t="shared" ref="AO15:AR15" si="2">SUM(SUMIFS(AO17:AO116,$E$17:$E$116,"&lt;&gt;",$E$17:$E$116,"&lt;&gt;[57]パソコン",$E$17:$E$116,"&lt;&gt;[58]その他の生産管理機器"))</f>
        <v>0</v>
      </c>
      <c r="AP15" s="385">
        <f t="shared" si="2"/>
        <v>0</v>
      </c>
      <c r="AQ15" s="385">
        <f t="shared" si="2"/>
        <v>0</v>
      </c>
      <c r="AR15" s="385">
        <f t="shared" si="2"/>
        <v>0</v>
      </c>
      <c r="AS15" s="385">
        <f>SUM(SUMIFS(AS17:AS116,$E$17:$E$116,"&lt;&gt;",$E$17:$E$116,"&lt;&gt;[57]パソコン",$E$17:$E$116,"&lt;&gt;[58]その他の生産管理機器"),【10】農具の購入費等!CC14)</f>
        <v>0</v>
      </c>
      <c r="AT15" s="385">
        <f>SUM(SUMIFS(AT17:AT116,$E$17:$E$116,"&lt;&gt;",$E$17:$E$116,"&lt;&gt;[57]パソコン",$E$17:$E$116,"&lt;&gt;[58]その他の生産管理機器"))</f>
        <v>0</v>
      </c>
      <c r="AU15" s="224">
        <f>ROUND(SUM(AS15:AT15),)</f>
        <v>0</v>
      </c>
      <c r="AV15" s="394"/>
      <c r="AW15" s="394"/>
      <c r="AX15" s="394"/>
      <c r="AY15" s="394"/>
    </row>
    <row r="16" spans="1:51" s="46" customFormat="1" ht="30" customHeight="1" thickBot="1">
      <c r="C16" s="1860"/>
      <c r="D16" s="1974"/>
      <c r="E16" s="1976"/>
      <c r="F16" s="1977"/>
      <c r="G16" s="1917"/>
      <c r="H16" s="1917"/>
      <c r="I16" s="1876"/>
      <c r="J16" s="1920"/>
      <c r="K16" s="1922"/>
      <c r="L16" s="707"/>
      <c r="M16" s="753"/>
      <c r="N16" s="647"/>
      <c r="O16" s="757"/>
      <c r="P16" s="704"/>
      <c r="Q16" s="1972"/>
      <c r="R16" s="1972"/>
      <c r="S16" s="1958"/>
      <c r="T16" s="1907"/>
      <c r="U16" s="1988"/>
      <c r="V16" s="709"/>
      <c r="W16" s="686"/>
      <c r="X16" s="1887"/>
      <c r="Y16" s="1887"/>
      <c r="AA16" s="652"/>
      <c r="AB16" s="652"/>
      <c r="AC16" s="652"/>
      <c r="AD16" s="652"/>
      <c r="AE16" s="652"/>
      <c r="AF16" s="652"/>
      <c r="AG16" s="652"/>
      <c r="AH16" s="652"/>
      <c r="AI16" s="652"/>
      <c r="AJ16" s="652"/>
      <c r="AK16" s="652"/>
      <c r="AL16" s="652"/>
      <c r="AM16" s="652"/>
      <c r="AN16" s="758" t="s">
        <v>575</v>
      </c>
      <c r="AO16" s="759">
        <f>SUM(SUMIFS(AO17:AO116,$E$17:$E$116,{"[57]パソコン","[58]その他の生産管理機器"}))</f>
        <v>0</v>
      </c>
      <c r="AP16" s="759">
        <f>SUM(SUMIFS(AP17:AP116,$E$17:$E$116,{"[57]パソコン","[58]その他の生産管理機器"}))</f>
        <v>0</v>
      </c>
      <c r="AQ16" s="759">
        <f>SUM(SUMIFS(AQ17:AQ116,$E$17:$E$116,{"[57]パソコン","[58]その他の生産管理機器"}))</f>
        <v>0</v>
      </c>
      <c r="AR16" s="759">
        <f>SUM(SUMIFS(AR17:AR116,$E$17:$E$116,{"[57]パソコン","[58]その他の生産管理機器"}))</f>
        <v>0</v>
      </c>
      <c r="AS16" s="759">
        <f>SUM(SUMIFS(AS17:AS116,$E$17:$E$116,{"[57]パソコン","[58]その他の生産管理機器"}),【10】農具の購入費等!CC15)</f>
        <v>0</v>
      </c>
      <c r="AT16" s="759">
        <f>SUM(SUMIFS(AT17:AT116,$E$17:$E$116,{"[57]パソコン","[58]その他の生産管理機器"}))</f>
        <v>0</v>
      </c>
      <c r="AU16" s="760">
        <f>ROUND(SUM(AS16:AT16),)</f>
        <v>0</v>
      </c>
      <c r="AV16" s="761"/>
      <c r="AW16" s="761"/>
      <c r="AX16" s="761"/>
      <c r="AY16" s="762"/>
    </row>
    <row r="17" spans="3:55" s="46" customFormat="1" ht="30.75" customHeight="1" thickTop="1">
      <c r="C17" s="763">
        <v>1</v>
      </c>
      <c r="D17" s="657"/>
      <c r="E17" s="764"/>
      <c r="F17" s="714"/>
      <c r="G17" s="1959"/>
      <c r="H17" s="1960"/>
      <c r="I17" s="661"/>
      <c r="J17" s="661"/>
      <c r="K17" s="662"/>
      <c r="L17" s="665"/>
      <c r="M17" s="665"/>
      <c r="N17" s="665"/>
      <c r="O17" s="665"/>
      <c r="P17" s="665"/>
      <c r="Q17" s="665"/>
      <c r="R17" s="665"/>
      <c r="S17" s="1096"/>
      <c r="T17" s="666"/>
      <c r="U17" s="715"/>
      <c r="V17" s="716"/>
      <c r="W17" s="717"/>
      <c r="X17" s="718"/>
      <c r="Y17" s="719"/>
      <c r="AA17" s="765">
        <f t="shared" ref="AA17:AA80" si="3">IF(AND(E17&gt;0,F17&gt;0),"["&amp;RIGHT(LEFT(E17,3),2)&amp;RIGHT(LEFT(F17,2),1)&amp;"]",)</f>
        <v>0</v>
      </c>
      <c r="AB17" s="765">
        <f>IF(AA17=0,,IF(L17+M17&lt;100000,1,0))</f>
        <v>0</v>
      </c>
      <c r="AC17" s="765">
        <f>IF(AA17=0,,IF(AND(AB17=0,L17+M17&lt;200000),1,))</f>
        <v>0</v>
      </c>
      <c r="AD17" s="765">
        <f>IF(AA17=0,,VLOOKUP(AA17,リスト!DH:DI,2,0))</f>
        <v>0</v>
      </c>
      <c r="AE17" s="765">
        <f t="shared" ref="AE17:AE80" si="4">IF(AC17=1,3,IF(G17="[2]中古",MIN(AD17,I17),AD17))</f>
        <v>0</v>
      </c>
      <c r="AF17" s="766">
        <f>IF(AE17=0,,VLOOKUP(AE17,リスト!DK:DL,2,0))</f>
        <v>0</v>
      </c>
      <c r="AG17" s="765">
        <f>IF(AA17=0,,
IF(OR(リスト!$C$21="小麦",リスト!$C$21="二条大麦",リスト!$C$21="六条大麦",リスト!$C$21="はだか麦",リスト!$C$21="なたね"),IF(K17&lt;9,調査年-J17,調査年-J17-1),
IF(リスト!$C$21="さとうきび",IF(K17&gt;=4,調査年-J17,調査年-J17+1),
調査年-J17)))</f>
        <v>0</v>
      </c>
      <c r="AH17" s="767">
        <f t="shared" ref="AH17:AH48" si="5">IF(OR(AA17=0,AB17=1),,
IF(AND(AE17&gt;0,AG17&lt;AE17,AI17&lt;=ROUND((L17-1)*AF17,0)),ROUND(AI17,0),
IF(AND(AE17&gt;0,AG17&lt;AE17),ROUND((L17-1)*AF17,0),)))</f>
        <v>0</v>
      </c>
      <c r="AI17" s="767">
        <f t="shared" ref="AI17:AI80" si="6">IF(OR(AA17=0,AB17=1),,
IF(AND(AE17&gt;0,AG17&lt;AE17),L17-ROUND((L17-1)*AF17*AG17,0),1
))</f>
        <v>0</v>
      </c>
      <c r="AJ17" s="767">
        <f t="shared" ref="AJ17:AJ80" si="7">IF(OR(AA17=0,AB17=1),,
IF(U17=0,AH17,
IF(U17="[2]廃棄等",SUM(AI17,V17),
IF(U17="[1]売却",AI17-V17,))))</f>
        <v>0</v>
      </c>
      <c r="AK17" s="767">
        <f t="shared" ref="AK17:AK80" si="8">IF(AND(AJ17=0,AH17=0),,
IF(OR(U17="[1]売却",U17="[2]廃棄等"),SUM(AJ17)-SUM(AH17),))</f>
        <v>0</v>
      </c>
      <c r="AL17" s="767">
        <f t="shared" ref="AL17:AL80" si="9">IF(OR(AB17=1,M17=0),,
IF(AND(AE17&gt;0,M17&gt;0,AG17&lt;AE17),M17-ROUND(M17*AF17*AG17,0),))</f>
        <v>0</v>
      </c>
      <c r="AM17" s="767">
        <f>IF(OR(AA17=0,AB17=1),IF(AND(AB17=1,AG17=0),M17,),
IF(AND(AE17&gt;0,AG17&lt;AE17,SUM(AL17)&gt;0,AL17&lt;=ROUND(M17*AF17,0)),AL17,
IF(AND(AE17&gt;0,AG17&lt;AE17,SUM(M17)&gt;0),ROUND(M17*AF17,0),)))</f>
        <v>0</v>
      </c>
      <c r="AN17" s="720"/>
      <c r="AO17" s="768">
        <f>IF(OR(S17=0,AI17=0),,
IF(OR(リスト!$C$21="小麦",リスト!$C$21="二条大麦",リスト!$C$21="六条大麦",リスト!$C$21="はだか麦",リスト!$C$21="なたね"),IF(OR(AND(K17&lt;9,J17=調査年),AND(K17&gt;=9,J17=調査年-1)),,ROUND(AI17*S17%,0)),
IF(リスト!$C$21="さとうきび",IF(OR(AND(K17&gt;=4,J17=調査年),AND(K17&lt;4,J17=調査年+1)),,ROUND(AI17*S17%,0)),
IF(J17=調査年,,ROUND(AI17*S17%,0)))))</f>
        <v>0</v>
      </c>
      <c r="AP17" s="768">
        <f t="shared" ref="AP17:AP80" si="10">IF(S17=0,,IF(AJ17=0,,ROUND(AJ17*S17%,0)))</f>
        <v>0</v>
      </c>
      <c r="AQ17" s="768">
        <f t="shared" ref="AQ17:AQ80" si="11">IF(S17=0,,IF(AK17=0,,ROUND(AK17*S17%,0)))</f>
        <v>0</v>
      </c>
      <c r="AR17" s="768">
        <f t="shared" ref="AR17:AR80" si="12">IF(S17=0,,IF(AI17=0,,ROUND(AI17*S17%,0)))</f>
        <v>0</v>
      </c>
      <c r="AS17" s="768">
        <f>IF(S17=0,,
SUM(
IF(OR(リスト!$C$21="小麦",リスト!$C$21="二条大麦",リスト!$C$21="六条大麦",リスト!$C$21="はだか麦",リスト!$C$21="なたね"),IF(OR(AND(AB17=1,K17&lt;9,J17=調査年),AND(AB17=1,K17&gt;=9,J17=調査年-1)),ROUND(L17*S17%,0),),
IF(リスト!$C$21="さとうきび",IF(OR(AND(AB17=1,K17&gt;=4,J17=調査年),AND(AB17=1,K17&lt;4,J17=調査年+1)),ROUND(L17*S17%,0),),
IF(AND(AB17=1,J17=調査年),ROUND(L17*S17%,0),))),
ROUND(N17*S17%,0),
ROUND(SUM(AM17)*S17%,0)
))</f>
        <v>0</v>
      </c>
      <c r="AT17" s="768">
        <f t="shared" ref="AT17:AT80" si="13">IF(O17&gt;0,ROUND(O17*$S17%,),)</f>
        <v>0</v>
      </c>
      <c r="AU17" s="768">
        <f t="shared" ref="AU17:AU80" si="14">IF(OR(AS17&gt;0,AT17&gt;0),SUM(AS17:AT17),)</f>
        <v>0</v>
      </c>
      <c r="AV17" s="767">
        <f t="shared" ref="AV17:AX80" si="15">IF(P17&gt;0,ROUND(P17*$S17%,),)</f>
        <v>0</v>
      </c>
      <c r="AW17" s="767">
        <f>IF(Q17&gt;0,ROUND(Q17*$S17%,),)</f>
        <v>0</v>
      </c>
      <c r="AX17" s="767">
        <f>IF(R17&gt;0,ROUND(R17*$S17%,),)</f>
        <v>0</v>
      </c>
      <c r="AY17" s="721">
        <f t="shared" ref="AY17:AY80" si="16">IF(Y17="○",,IF(AND(X17&gt;0,S17&gt;0),ROUND(1/X17,1),IF(S17&gt;0,ROUND(1,1),)))</f>
        <v>0</v>
      </c>
      <c r="AZ17" s="686"/>
      <c r="BA17" s="686"/>
      <c r="BB17" s="686"/>
      <c r="BC17" s="686"/>
    </row>
    <row r="18" spans="3:55" s="46" customFormat="1" ht="30.75" customHeight="1">
      <c r="C18" s="740">
        <v>2</v>
      </c>
      <c r="D18" s="675"/>
      <c r="E18" s="769"/>
      <c r="F18" s="770"/>
      <c r="G18" s="1961"/>
      <c r="H18" s="1962"/>
      <c r="I18" s="679"/>
      <c r="J18" s="725"/>
      <c r="K18" s="680"/>
      <c r="L18" s="681"/>
      <c r="M18" s="681"/>
      <c r="N18" s="681"/>
      <c r="O18" s="681"/>
      <c r="P18" s="681"/>
      <c r="Q18" s="856"/>
      <c r="R18" s="1071"/>
      <c r="S18" s="1094"/>
      <c r="T18" s="682"/>
      <c r="U18" s="726"/>
      <c r="V18" s="727"/>
      <c r="W18" s="717"/>
      <c r="X18" s="728"/>
      <c r="Y18" s="729"/>
      <c r="Z18" s="638"/>
      <c r="AA18" s="684">
        <f t="shared" si="3"/>
        <v>0</v>
      </c>
      <c r="AB18" s="684">
        <f>IF(AA18=0,,IF(L18+M18&lt;100000,1,0))</f>
        <v>0</v>
      </c>
      <c r="AC18" s="684">
        <f>IF(AA18=0,,IF(AND(AB18=0,L18+M18&lt;200000),1,))</f>
        <v>0</v>
      </c>
      <c r="AD18" s="684">
        <f>IF(AA18=0,,VLOOKUP(AA18,リスト!DH:DI,2,0))</f>
        <v>0</v>
      </c>
      <c r="AE18" s="684">
        <f t="shared" si="4"/>
        <v>0</v>
      </c>
      <c r="AF18" s="685">
        <f>IF(AE18=0,,VLOOKUP(AE18,リスト!DK:DL,2,0))</f>
        <v>0</v>
      </c>
      <c r="AG18" s="684">
        <f>IF(AA18=0,,
IF(OR(リスト!$C$21="小麦",リスト!$C$21="二条大麦",リスト!$C$21="六条大麦",リスト!$C$21="はだか麦",リスト!$C$21="なたね"),IF(K18&lt;9,調査年-J18,調査年-J18-1),
IF(リスト!$C$21="さとうきび",IF(K18&gt;=4,調査年-J18,調査年-J18+1),
調査年-J18)))</f>
        <v>0</v>
      </c>
      <c r="AH18" s="385">
        <f t="shared" si="5"/>
        <v>0</v>
      </c>
      <c r="AI18" s="385">
        <f t="shared" si="6"/>
        <v>0</v>
      </c>
      <c r="AJ18" s="385">
        <f t="shared" si="7"/>
        <v>0</v>
      </c>
      <c r="AK18" s="385">
        <f t="shared" si="8"/>
        <v>0</v>
      </c>
      <c r="AL18" s="385">
        <f t="shared" si="9"/>
        <v>0</v>
      </c>
      <c r="AM18" s="385">
        <f t="shared" ref="AM18:AM81" si="17">IF(OR(AA18=0,AB18=1),IF(AND(AB18=1,AG18=0),M18,),
IF(AND(AE18&gt;0,AG18&lt;AE18,SUM(AL18)&gt;0,AL18&lt;=ROUND(M18*AF18,0)),AL18,
IF(AND(AE18&gt;0,AG18&lt;AE18,SUM(M18)&gt;0),ROUND(M18*AF18,0),)))</f>
        <v>0</v>
      </c>
      <c r="AN18" s="394"/>
      <c r="AO18" s="385">
        <f>IF(OR(S18=0,AI18=0),,
IF(OR(リスト!$C$21="小麦",リスト!$C$21="二条大麦",リスト!$C$21="六条大麦",リスト!$C$21="はだか麦",リスト!$C$21="なたね"),IF(OR(AND(K18&lt;9,J18=調査年),AND(K18&gt;=9,J18=調査年-1)),,ROUND(AI18*S18%,0)),
IF(リスト!$C$21="さとうきび",IF(OR(AND(K18&gt;=4,J18=調査年),AND(K18&lt;4,J18=調査年+1)),,ROUND(AI18*S18%,0)),
IF(J18=調査年,,ROUND(AI18*S18%,0)))))</f>
        <v>0</v>
      </c>
      <c r="AP18" s="385">
        <f t="shared" si="10"/>
        <v>0</v>
      </c>
      <c r="AQ18" s="385">
        <f t="shared" si="11"/>
        <v>0</v>
      </c>
      <c r="AR18" s="385">
        <f t="shared" si="12"/>
        <v>0</v>
      </c>
      <c r="AS18" s="385">
        <f>IF(S18=0,,
SUM(
IF(OR(リスト!$C$21="小麦",リスト!$C$21="二条大麦",リスト!$C$21="六条大麦",リスト!$C$21="はだか麦",リスト!$C$21="なたね"),IF(OR(AND(AB18=1,K18&lt;9,J18=調査年),AND(AB18=1,K18&gt;=9,J18=調査年-1)),ROUND(L18*S18%,0),),
IF(リスト!$C$21="さとうきび",IF(OR(AND(AB18=1,K18&gt;=4,J18=調査年),AND(AB18=1,K18&lt;4,J18=調査年+1)),ROUND(L18*S18%,0),),
IF(AND(AB18=1,J18=調査年),ROUND(L18*S18%,0),))),
ROUND(N18*S18%,0),
ROUND(SUM(AM18)*S18%,0)
))</f>
        <v>0</v>
      </c>
      <c r="AT18" s="385">
        <f t="shared" si="13"/>
        <v>0</v>
      </c>
      <c r="AU18" s="385">
        <f t="shared" si="14"/>
        <v>0</v>
      </c>
      <c r="AV18" s="385">
        <f t="shared" si="15"/>
        <v>0</v>
      </c>
      <c r="AW18" s="385">
        <f>IF(Q18&gt;0,ROUND(Q18*$S18%,),)</f>
        <v>0</v>
      </c>
      <c r="AX18" s="385">
        <f>IF(R18&gt;0,ROUND(R18*$S18%,),)</f>
        <v>0</v>
      </c>
      <c r="AY18" s="721">
        <f t="shared" si="16"/>
        <v>0</v>
      </c>
      <c r="AZ18" s="686"/>
      <c r="BA18" s="686"/>
      <c r="BB18" s="686"/>
      <c r="BC18" s="686"/>
    </row>
    <row r="19" spans="3:55" s="46" customFormat="1" ht="30.75" customHeight="1">
      <c r="C19" s="740">
        <v>3</v>
      </c>
      <c r="D19" s="687"/>
      <c r="E19" s="771"/>
      <c r="F19" s="772"/>
      <c r="G19" s="1961"/>
      <c r="H19" s="1962"/>
      <c r="I19" s="679"/>
      <c r="J19" s="725"/>
      <c r="K19" s="680"/>
      <c r="L19" s="681"/>
      <c r="M19" s="681"/>
      <c r="N19" s="681"/>
      <c r="O19" s="681"/>
      <c r="P19" s="681"/>
      <c r="Q19" s="856"/>
      <c r="R19" s="1071"/>
      <c r="S19" s="1094"/>
      <c r="T19" s="682"/>
      <c r="U19" s="726"/>
      <c r="V19" s="727"/>
      <c r="W19" s="717"/>
      <c r="X19" s="728"/>
      <c r="Y19" s="729"/>
      <c r="Z19" s="773"/>
      <c r="AA19" s="684">
        <f t="shared" si="3"/>
        <v>0</v>
      </c>
      <c r="AB19" s="684">
        <f t="shared" ref="AB19:AB82" si="18">IF(AA19=0,,IF(L19+M19&lt;100000,1,0))</f>
        <v>0</v>
      </c>
      <c r="AC19" s="684">
        <f t="shared" ref="AC19:AC82" si="19">IF(AA19=0,,IF(AND(AB19=0,L19+M19&lt;200000),1,))</f>
        <v>0</v>
      </c>
      <c r="AD19" s="684">
        <f>IF(AA19=0,,VLOOKUP(AA19,リスト!DH:DI,2,0))</f>
        <v>0</v>
      </c>
      <c r="AE19" s="684">
        <f t="shared" si="4"/>
        <v>0</v>
      </c>
      <c r="AF19" s="685">
        <f>IF(AE19=0,,VLOOKUP(AE19,リスト!DK:DL,2,0))</f>
        <v>0</v>
      </c>
      <c r="AG19" s="684">
        <f>IF(AA19=0,,
IF(OR(リスト!$C$21="小麦",リスト!$C$21="二条大麦",リスト!$C$21="六条大麦",リスト!$C$21="はだか麦",リスト!$C$21="なたね"),IF(K19&lt;9,調査年-J19,調査年-J19-1),
IF(リスト!$C$21="さとうきび",IF(K19&gt;=4,調査年-J19,調査年-J19+1),
調査年-J19)))</f>
        <v>0</v>
      </c>
      <c r="AH19" s="385">
        <f t="shared" si="5"/>
        <v>0</v>
      </c>
      <c r="AI19" s="385">
        <f t="shared" si="6"/>
        <v>0</v>
      </c>
      <c r="AJ19" s="385">
        <f t="shared" si="7"/>
        <v>0</v>
      </c>
      <c r="AK19" s="385">
        <f t="shared" si="8"/>
        <v>0</v>
      </c>
      <c r="AL19" s="385">
        <f t="shared" si="9"/>
        <v>0</v>
      </c>
      <c r="AM19" s="385">
        <f t="shared" si="17"/>
        <v>0</v>
      </c>
      <c r="AN19" s="394"/>
      <c r="AO19" s="385">
        <f>IF(OR(S19=0,AI19=0),,
IF(OR(リスト!$C$21="小麦",リスト!$C$21="二条大麦",リスト!$C$21="六条大麦",リスト!$C$21="はだか麦",リスト!$C$21="なたね"),IF(OR(AND(K19&lt;9,J19=調査年),AND(K19&gt;=9,J19=調査年-1)),,ROUND(AI19*S19%,0)),
IF(リスト!$C$21="さとうきび",IF(OR(AND(K19&gt;=4,J19=調査年),AND(K19&lt;4,J19=調査年+1)),,ROUND(AI19*S19%,0)),
IF(J19=調査年,,ROUND(AI19*S19%,0)))))</f>
        <v>0</v>
      </c>
      <c r="AP19" s="385">
        <f t="shared" si="10"/>
        <v>0</v>
      </c>
      <c r="AQ19" s="385">
        <f t="shared" si="11"/>
        <v>0</v>
      </c>
      <c r="AR19" s="385">
        <f t="shared" si="12"/>
        <v>0</v>
      </c>
      <c r="AS19" s="385">
        <f>IF(S19=0,,
SUM(
IF(OR(リスト!$C$21="小麦",リスト!$C$21="二条大麦",リスト!$C$21="六条大麦",リスト!$C$21="はだか麦",リスト!$C$21="なたね"),IF(OR(AND(AB19=1,K19&lt;9,J19=調査年),AND(AB19=1,K19&gt;=9,J19=調査年-1)),ROUND(L19*S19%,0),),
IF(リスト!$C$21="さとうきび",IF(OR(AND(AB19=1,K19&gt;=4,J19=調査年),AND(AB19=1,K19&lt;4,J19=調査年+1)),ROUND(L19*S19%,0),),
IF(AND(AB19=1,J19=調査年),ROUND(L19*S19%,0),))),
ROUND(N19*S19%,0),
ROUND(SUM(AM19)*S19%,0)
))</f>
        <v>0</v>
      </c>
      <c r="AT19" s="385">
        <f t="shared" si="13"/>
        <v>0</v>
      </c>
      <c r="AU19" s="385">
        <f t="shared" si="14"/>
        <v>0</v>
      </c>
      <c r="AV19" s="385">
        <f t="shared" si="15"/>
        <v>0</v>
      </c>
      <c r="AW19" s="385">
        <f t="shared" si="15"/>
        <v>0</v>
      </c>
      <c r="AX19" s="385">
        <f t="shared" si="15"/>
        <v>0</v>
      </c>
      <c r="AY19" s="721">
        <f t="shared" si="16"/>
        <v>0</v>
      </c>
      <c r="AZ19" s="686"/>
      <c r="BA19" s="686"/>
      <c r="BB19" s="686"/>
      <c r="BC19" s="686"/>
    </row>
    <row r="20" spans="3:55" s="46" customFormat="1" ht="30.75" customHeight="1">
      <c r="C20" s="740">
        <v>4</v>
      </c>
      <c r="D20" s="687"/>
      <c r="E20" s="774"/>
      <c r="F20" s="770"/>
      <c r="G20" s="1961"/>
      <c r="H20" s="1962"/>
      <c r="I20" s="679"/>
      <c r="J20" s="725"/>
      <c r="K20" s="680"/>
      <c r="L20" s="681"/>
      <c r="M20" s="681"/>
      <c r="N20" s="681"/>
      <c r="O20" s="681"/>
      <c r="P20" s="681"/>
      <c r="Q20" s="856"/>
      <c r="R20" s="1071"/>
      <c r="S20" s="1094"/>
      <c r="T20" s="682"/>
      <c r="U20" s="726"/>
      <c r="V20" s="727"/>
      <c r="W20" s="717"/>
      <c r="X20" s="728"/>
      <c r="Y20" s="729"/>
      <c r="Z20" s="773"/>
      <c r="AA20" s="684">
        <f t="shared" si="3"/>
        <v>0</v>
      </c>
      <c r="AB20" s="684">
        <f t="shared" si="18"/>
        <v>0</v>
      </c>
      <c r="AC20" s="684">
        <f t="shared" si="19"/>
        <v>0</v>
      </c>
      <c r="AD20" s="684">
        <f>IF(AA20=0,,VLOOKUP(AA20,リスト!DH:DI,2,0))</f>
        <v>0</v>
      </c>
      <c r="AE20" s="684">
        <f t="shared" si="4"/>
        <v>0</v>
      </c>
      <c r="AF20" s="685">
        <f>IF(AE20=0,,VLOOKUP(AE20,リスト!DK:DL,2,0))</f>
        <v>0</v>
      </c>
      <c r="AG20" s="684">
        <f>IF(AA20=0,,
IF(OR(リスト!$C$21="小麦",リスト!$C$21="二条大麦",リスト!$C$21="六条大麦",リスト!$C$21="はだか麦",リスト!$C$21="なたね"),IF(K20&lt;9,調査年-J20,調査年-J20-1),
IF(リスト!$C$21="さとうきび",IF(K20&gt;=4,調査年-J20,調査年-J20+1),
調査年-J20)))</f>
        <v>0</v>
      </c>
      <c r="AH20" s="385">
        <f t="shared" si="5"/>
        <v>0</v>
      </c>
      <c r="AI20" s="385">
        <f t="shared" si="6"/>
        <v>0</v>
      </c>
      <c r="AJ20" s="385">
        <f t="shared" si="7"/>
        <v>0</v>
      </c>
      <c r="AK20" s="385">
        <f t="shared" si="8"/>
        <v>0</v>
      </c>
      <c r="AL20" s="385">
        <f t="shared" si="9"/>
        <v>0</v>
      </c>
      <c r="AM20" s="385">
        <f t="shared" si="17"/>
        <v>0</v>
      </c>
      <c r="AN20" s="394"/>
      <c r="AO20" s="385">
        <f>IF(OR(S20=0,AI20=0),,
IF(OR(リスト!$C$21="小麦",リスト!$C$21="二条大麦",リスト!$C$21="六条大麦",リスト!$C$21="はだか麦",リスト!$C$21="なたね"),IF(OR(AND(K20&lt;9,J20=調査年),AND(K20&gt;=9,J20=調査年-1)),,ROUND(AI20*S20%,0)),
IF(リスト!$C$21="さとうきび",IF(OR(AND(K20&gt;=4,J20=調査年),AND(K20&lt;4,J20=調査年+1)),,ROUND(AI20*S20%,0)),
IF(J20=調査年,,ROUND(AI20*S20%,0)))))</f>
        <v>0</v>
      </c>
      <c r="AP20" s="385">
        <f t="shared" si="10"/>
        <v>0</v>
      </c>
      <c r="AQ20" s="385">
        <f t="shared" si="11"/>
        <v>0</v>
      </c>
      <c r="AR20" s="385">
        <f t="shared" si="12"/>
        <v>0</v>
      </c>
      <c r="AS20" s="385">
        <f>IF(S20=0,,
SUM(
IF(OR(リスト!$C$21="小麦",リスト!$C$21="二条大麦",リスト!$C$21="六条大麦",リスト!$C$21="はだか麦",リスト!$C$21="なたね"),IF(OR(AND(AB20=1,K20&lt;9,J20=調査年),AND(AB20=1,K20&gt;=9,J20=調査年-1)),ROUND(L20*S20%,0),),
IF(リスト!$C$21="さとうきび",IF(OR(AND(AB20=1,K20&gt;=4,J20=調査年),AND(AB20=1,K20&lt;4,J20=調査年+1)),ROUND(L20*S20%,0),),
IF(AND(AB20=1,J20=調査年),ROUND(L20*S20%,0),))),
ROUND(N20*S20%,0),
ROUND(SUM(AM20)*S20%,0)
))</f>
        <v>0</v>
      </c>
      <c r="AT20" s="385">
        <f t="shared" si="13"/>
        <v>0</v>
      </c>
      <c r="AU20" s="385">
        <f t="shared" si="14"/>
        <v>0</v>
      </c>
      <c r="AV20" s="385">
        <f t="shared" si="15"/>
        <v>0</v>
      </c>
      <c r="AW20" s="385">
        <f t="shared" si="15"/>
        <v>0</v>
      </c>
      <c r="AX20" s="385">
        <f t="shared" si="15"/>
        <v>0</v>
      </c>
      <c r="AY20" s="721">
        <f t="shared" si="16"/>
        <v>0</v>
      </c>
      <c r="AZ20" s="686"/>
      <c r="BA20" s="686"/>
      <c r="BB20" s="686"/>
      <c r="BC20" s="686"/>
    </row>
    <row r="21" spans="3:55" s="46" customFormat="1" ht="30.75" customHeight="1">
      <c r="C21" s="740">
        <v>5</v>
      </c>
      <c r="D21" s="687"/>
      <c r="E21" s="774"/>
      <c r="F21" s="770"/>
      <c r="G21" s="1961"/>
      <c r="H21" s="1962"/>
      <c r="I21" s="679"/>
      <c r="J21" s="725"/>
      <c r="K21" s="680"/>
      <c r="L21" s="681"/>
      <c r="M21" s="681"/>
      <c r="N21" s="681"/>
      <c r="O21" s="681"/>
      <c r="P21" s="681"/>
      <c r="Q21" s="856"/>
      <c r="R21" s="1071"/>
      <c r="S21" s="1094"/>
      <c r="T21" s="682"/>
      <c r="U21" s="726"/>
      <c r="V21" s="727"/>
      <c r="W21" s="717"/>
      <c r="X21" s="728"/>
      <c r="Y21" s="729"/>
      <c r="Z21" s="773"/>
      <c r="AA21" s="684">
        <f t="shared" si="3"/>
        <v>0</v>
      </c>
      <c r="AB21" s="684">
        <f t="shared" si="18"/>
        <v>0</v>
      </c>
      <c r="AC21" s="684">
        <f t="shared" si="19"/>
        <v>0</v>
      </c>
      <c r="AD21" s="684">
        <f>IF(AA21=0,,VLOOKUP(AA21,リスト!DH:DI,2,0))</f>
        <v>0</v>
      </c>
      <c r="AE21" s="684">
        <f t="shared" si="4"/>
        <v>0</v>
      </c>
      <c r="AF21" s="685">
        <f>IF(AE21=0,,VLOOKUP(AE21,リスト!DK:DL,2,0))</f>
        <v>0</v>
      </c>
      <c r="AG21" s="684">
        <f>IF(AA21=0,,
IF(OR(リスト!$C$21="小麦",リスト!$C$21="二条大麦",リスト!$C$21="六条大麦",リスト!$C$21="はだか麦",リスト!$C$21="なたね"),IF(K21&lt;9,調査年-J21,調査年-J21-1),
IF(リスト!$C$21="さとうきび",IF(K21&gt;=4,調査年-J21,調査年-J21+1),
調査年-J21)))</f>
        <v>0</v>
      </c>
      <c r="AH21" s="385">
        <f t="shared" si="5"/>
        <v>0</v>
      </c>
      <c r="AI21" s="385">
        <f t="shared" si="6"/>
        <v>0</v>
      </c>
      <c r="AJ21" s="385">
        <f t="shared" si="7"/>
        <v>0</v>
      </c>
      <c r="AK21" s="385">
        <f t="shared" si="8"/>
        <v>0</v>
      </c>
      <c r="AL21" s="385">
        <f t="shared" si="9"/>
        <v>0</v>
      </c>
      <c r="AM21" s="385">
        <f t="shared" si="17"/>
        <v>0</v>
      </c>
      <c r="AN21" s="394"/>
      <c r="AO21" s="385">
        <f>IF(OR(S21=0,AI21=0),,
IF(OR(リスト!$C$21="小麦",リスト!$C$21="二条大麦",リスト!$C$21="六条大麦",リスト!$C$21="はだか麦",リスト!$C$21="なたね"),IF(OR(AND(K21&lt;9,J21=調査年),AND(K21&gt;=9,J21=調査年-1)),,ROUND(AI21*S21%,0)),
IF(リスト!$C$21="さとうきび",IF(OR(AND(K21&gt;=4,J21=調査年),AND(K21&lt;4,J21=調査年+1)),,ROUND(AI21*S21%,0)),
IF(J21=調査年,,ROUND(AI21*S21%,0)))))</f>
        <v>0</v>
      </c>
      <c r="AP21" s="385">
        <f t="shared" si="10"/>
        <v>0</v>
      </c>
      <c r="AQ21" s="385">
        <f t="shared" si="11"/>
        <v>0</v>
      </c>
      <c r="AR21" s="385">
        <f t="shared" si="12"/>
        <v>0</v>
      </c>
      <c r="AS21" s="385">
        <f>IF(S21=0,,
SUM(
IF(OR(リスト!$C$21="小麦",リスト!$C$21="二条大麦",リスト!$C$21="六条大麦",リスト!$C$21="はだか麦",リスト!$C$21="なたね"),IF(OR(AND(AB21=1,K21&lt;9,J21=調査年),AND(AB21=1,K21&gt;=9,J21=調査年-1)),ROUND(L21*S21%,0),),
IF(リスト!$C$21="さとうきび",IF(OR(AND(AB21=1,K21&gt;=4,J21=調査年),AND(AB21=1,K21&lt;4,J21=調査年+1)),ROUND(L21*S21%,0),),
IF(AND(AB21=1,J21=調査年),ROUND(L21*S21%,0),))),
ROUND(N21*S21%,0),
ROUND(SUM(AM21)*S21%,0)
))</f>
        <v>0</v>
      </c>
      <c r="AT21" s="385">
        <f t="shared" si="13"/>
        <v>0</v>
      </c>
      <c r="AU21" s="385">
        <f t="shared" si="14"/>
        <v>0</v>
      </c>
      <c r="AV21" s="385">
        <f t="shared" si="15"/>
        <v>0</v>
      </c>
      <c r="AW21" s="385">
        <f t="shared" si="15"/>
        <v>0</v>
      </c>
      <c r="AX21" s="385">
        <f t="shared" si="15"/>
        <v>0</v>
      </c>
      <c r="AY21" s="721">
        <f t="shared" si="16"/>
        <v>0</v>
      </c>
      <c r="AZ21" s="686"/>
      <c r="BA21" s="686"/>
      <c r="BB21" s="686"/>
      <c r="BC21" s="686"/>
    </row>
    <row r="22" spans="3:55" s="46" customFormat="1" ht="30.75" customHeight="1">
      <c r="C22" s="740">
        <v>6</v>
      </c>
      <c r="D22" s="687"/>
      <c r="E22" s="774"/>
      <c r="F22" s="770"/>
      <c r="G22" s="1961"/>
      <c r="H22" s="1962"/>
      <c r="I22" s="679"/>
      <c r="J22" s="725"/>
      <c r="K22" s="680"/>
      <c r="L22" s="681"/>
      <c r="M22" s="681"/>
      <c r="N22" s="681"/>
      <c r="O22" s="681"/>
      <c r="P22" s="681"/>
      <c r="Q22" s="856"/>
      <c r="R22" s="1071"/>
      <c r="S22" s="1094"/>
      <c r="T22" s="682"/>
      <c r="U22" s="726"/>
      <c r="V22" s="727"/>
      <c r="W22" s="717"/>
      <c r="X22" s="728"/>
      <c r="Y22" s="729"/>
      <c r="Z22" s="773"/>
      <c r="AA22" s="684">
        <f t="shared" si="3"/>
        <v>0</v>
      </c>
      <c r="AB22" s="684">
        <f t="shared" si="18"/>
        <v>0</v>
      </c>
      <c r="AC22" s="684">
        <f t="shared" si="19"/>
        <v>0</v>
      </c>
      <c r="AD22" s="684">
        <f>IF(AA22=0,,VLOOKUP(AA22,リスト!DH:DI,2,0))</f>
        <v>0</v>
      </c>
      <c r="AE22" s="684">
        <f t="shared" si="4"/>
        <v>0</v>
      </c>
      <c r="AF22" s="685">
        <f>IF(AE22=0,,VLOOKUP(AE22,リスト!DK:DL,2,0))</f>
        <v>0</v>
      </c>
      <c r="AG22" s="684">
        <f>IF(AA22=0,,
IF(OR(リスト!$C$21="小麦",リスト!$C$21="二条大麦",リスト!$C$21="六条大麦",リスト!$C$21="はだか麦",リスト!$C$21="なたね"),IF(K22&lt;9,調査年-J22,調査年-J22-1),
IF(リスト!$C$21="さとうきび",IF(K22&gt;=4,調査年-J22,調査年-J22+1),
調査年-J22)))</f>
        <v>0</v>
      </c>
      <c r="AH22" s="385">
        <f t="shared" si="5"/>
        <v>0</v>
      </c>
      <c r="AI22" s="385">
        <f t="shared" si="6"/>
        <v>0</v>
      </c>
      <c r="AJ22" s="385">
        <f t="shared" si="7"/>
        <v>0</v>
      </c>
      <c r="AK22" s="385">
        <f t="shared" si="8"/>
        <v>0</v>
      </c>
      <c r="AL22" s="385">
        <f t="shared" si="9"/>
        <v>0</v>
      </c>
      <c r="AM22" s="385">
        <f t="shared" si="17"/>
        <v>0</v>
      </c>
      <c r="AN22" s="394"/>
      <c r="AO22" s="385">
        <f>IF(OR(S22=0,AI22=0),,
IF(OR(リスト!$C$21="小麦",リスト!$C$21="二条大麦",リスト!$C$21="六条大麦",リスト!$C$21="はだか麦",リスト!$C$21="なたね"),IF(OR(AND(K22&lt;9,J22=調査年),AND(K22&gt;=9,J22=調査年-1)),,ROUND(AI22*S22%,0)),
IF(リスト!$C$21="さとうきび",IF(OR(AND(K22&gt;=4,J22=調査年),AND(K22&lt;4,J22=調査年+1)),,ROUND(AI22*S22%,0)),
IF(J22=調査年,,ROUND(AI22*S22%,0)))))</f>
        <v>0</v>
      </c>
      <c r="AP22" s="385">
        <f t="shared" si="10"/>
        <v>0</v>
      </c>
      <c r="AQ22" s="385">
        <f t="shared" si="11"/>
        <v>0</v>
      </c>
      <c r="AR22" s="385">
        <f t="shared" si="12"/>
        <v>0</v>
      </c>
      <c r="AS22" s="385">
        <f>IF(S22=0,,
SUM(
IF(OR(リスト!$C$21="小麦",リスト!$C$21="二条大麦",リスト!$C$21="六条大麦",リスト!$C$21="はだか麦",リスト!$C$21="なたね"),IF(OR(AND(AB22=1,K22&lt;9,J22=調査年),AND(AB22=1,K22&gt;=9,J22=調査年-1)),ROUND(L22*S22%,0),),
IF(リスト!$C$21="さとうきび",IF(OR(AND(AB22=1,K22&gt;=4,J22=調査年),AND(AB22=1,K22&lt;4,J22=調査年+1)),ROUND(L22*S22%,0),),
IF(AND(AB22=1,J22=調査年),ROUND(L22*S22%,0),))),
ROUND(N22*S22%,0),
ROUND(SUM(AM22)*S22%,0)
))</f>
        <v>0</v>
      </c>
      <c r="AT22" s="385">
        <f t="shared" si="13"/>
        <v>0</v>
      </c>
      <c r="AU22" s="385">
        <f t="shared" si="14"/>
        <v>0</v>
      </c>
      <c r="AV22" s="385">
        <f t="shared" si="15"/>
        <v>0</v>
      </c>
      <c r="AW22" s="385">
        <f t="shared" si="15"/>
        <v>0</v>
      </c>
      <c r="AX22" s="385">
        <f t="shared" si="15"/>
        <v>0</v>
      </c>
      <c r="AY22" s="721">
        <f t="shared" si="16"/>
        <v>0</v>
      </c>
      <c r="AZ22" s="686"/>
      <c r="BA22" s="686"/>
      <c r="BB22" s="686"/>
      <c r="BC22" s="686"/>
    </row>
    <row r="23" spans="3:55" s="46" customFormat="1" ht="30.75" customHeight="1">
      <c r="C23" s="740">
        <v>7</v>
      </c>
      <c r="D23" s="687"/>
      <c r="E23" s="774"/>
      <c r="F23" s="770"/>
      <c r="G23" s="1961"/>
      <c r="H23" s="1962"/>
      <c r="I23" s="679"/>
      <c r="J23" s="725"/>
      <c r="K23" s="680"/>
      <c r="L23" s="681"/>
      <c r="M23" s="681"/>
      <c r="N23" s="681"/>
      <c r="O23" s="681"/>
      <c r="P23" s="681"/>
      <c r="Q23" s="856"/>
      <c r="R23" s="1071"/>
      <c r="S23" s="1094"/>
      <c r="T23" s="682"/>
      <c r="U23" s="726"/>
      <c r="V23" s="727"/>
      <c r="W23" s="717"/>
      <c r="X23" s="728"/>
      <c r="Y23" s="729"/>
      <c r="Z23" s="773"/>
      <c r="AA23" s="684">
        <f t="shared" si="3"/>
        <v>0</v>
      </c>
      <c r="AB23" s="684">
        <f t="shared" si="18"/>
        <v>0</v>
      </c>
      <c r="AC23" s="684">
        <f t="shared" si="19"/>
        <v>0</v>
      </c>
      <c r="AD23" s="684">
        <f>IF(AA23=0,,VLOOKUP(AA23,リスト!DH:DI,2,0))</f>
        <v>0</v>
      </c>
      <c r="AE23" s="684">
        <f t="shared" si="4"/>
        <v>0</v>
      </c>
      <c r="AF23" s="685">
        <f>IF(AE23=0,,VLOOKUP(AE23,リスト!DK:DL,2,0))</f>
        <v>0</v>
      </c>
      <c r="AG23" s="684">
        <f>IF(AA23=0,,
IF(OR(リスト!$C$21="小麦",リスト!$C$21="二条大麦",リスト!$C$21="六条大麦",リスト!$C$21="はだか麦",リスト!$C$21="なたね"),IF(K23&lt;9,調査年-J23,調査年-J23-1),
IF(リスト!$C$21="さとうきび",IF(K23&gt;=4,調査年-J23,調査年-J23+1),
調査年-J23)))</f>
        <v>0</v>
      </c>
      <c r="AH23" s="385">
        <f t="shared" si="5"/>
        <v>0</v>
      </c>
      <c r="AI23" s="385">
        <f t="shared" si="6"/>
        <v>0</v>
      </c>
      <c r="AJ23" s="385">
        <f t="shared" si="7"/>
        <v>0</v>
      </c>
      <c r="AK23" s="385">
        <f t="shared" si="8"/>
        <v>0</v>
      </c>
      <c r="AL23" s="385">
        <f t="shared" si="9"/>
        <v>0</v>
      </c>
      <c r="AM23" s="385">
        <f t="shared" si="17"/>
        <v>0</v>
      </c>
      <c r="AN23" s="394"/>
      <c r="AO23" s="385">
        <f>IF(OR(S23=0,AI23=0),,
IF(OR(リスト!$C$21="小麦",リスト!$C$21="二条大麦",リスト!$C$21="六条大麦",リスト!$C$21="はだか麦",リスト!$C$21="なたね"),IF(OR(AND(K23&lt;9,J23=調査年),AND(K23&gt;=9,J23=調査年-1)),,ROUND(AI23*S23%,0)),
IF(リスト!$C$21="さとうきび",IF(OR(AND(K23&gt;=4,J23=調査年),AND(K23&lt;4,J23=調査年+1)),,ROUND(AI23*S23%,0)),
IF(J23=調査年,,ROUND(AI23*S23%,0)))))</f>
        <v>0</v>
      </c>
      <c r="AP23" s="385">
        <f t="shared" si="10"/>
        <v>0</v>
      </c>
      <c r="AQ23" s="385">
        <f t="shared" si="11"/>
        <v>0</v>
      </c>
      <c r="AR23" s="385">
        <f t="shared" si="12"/>
        <v>0</v>
      </c>
      <c r="AS23" s="385">
        <f>IF(S23=0,,
SUM(
IF(OR(リスト!$C$21="小麦",リスト!$C$21="二条大麦",リスト!$C$21="六条大麦",リスト!$C$21="はだか麦",リスト!$C$21="なたね"),IF(OR(AND(AB23=1,K23&lt;9,J23=調査年),AND(AB23=1,K23&gt;=9,J23=調査年-1)),ROUND(L23*S23%,0),),
IF(リスト!$C$21="さとうきび",IF(OR(AND(AB23=1,K23&gt;=4,J23=調査年),AND(AB23=1,K23&lt;4,J23=調査年+1)),ROUND(L23*S23%,0),),
IF(AND(AB23=1,J23=調査年),ROUND(L23*S23%,0),))),
ROUND(N23*S23%,0),
ROUND(SUM(AM23)*S23%,0)
))</f>
        <v>0</v>
      </c>
      <c r="AT23" s="385">
        <f t="shared" si="13"/>
        <v>0</v>
      </c>
      <c r="AU23" s="385">
        <f t="shared" si="14"/>
        <v>0</v>
      </c>
      <c r="AV23" s="385">
        <f t="shared" si="15"/>
        <v>0</v>
      </c>
      <c r="AW23" s="385">
        <f t="shared" si="15"/>
        <v>0</v>
      </c>
      <c r="AX23" s="385">
        <f t="shared" si="15"/>
        <v>0</v>
      </c>
      <c r="AY23" s="721">
        <f t="shared" si="16"/>
        <v>0</v>
      </c>
      <c r="AZ23" s="686"/>
      <c r="BA23" s="686"/>
      <c r="BB23" s="686"/>
      <c r="BC23" s="686"/>
    </row>
    <row r="24" spans="3:55" s="46" customFormat="1" ht="30.75" customHeight="1">
      <c r="C24" s="740">
        <v>8</v>
      </c>
      <c r="D24" s="687"/>
      <c r="E24" s="774"/>
      <c r="F24" s="770"/>
      <c r="G24" s="1961"/>
      <c r="H24" s="1962"/>
      <c r="I24" s="679"/>
      <c r="J24" s="725"/>
      <c r="K24" s="680"/>
      <c r="L24" s="681"/>
      <c r="M24" s="681"/>
      <c r="N24" s="681"/>
      <c r="O24" s="681"/>
      <c r="P24" s="681"/>
      <c r="Q24" s="856"/>
      <c r="R24" s="1071"/>
      <c r="S24" s="1094"/>
      <c r="T24" s="682"/>
      <c r="U24" s="726"/>
      <c r="V24" s="727"/>
      <c r="W24" s="717"/>
      <c r="X24" s="728"/>
      <c r="Y24" s="729"/>
      <c r="Z24" s="773"/>
      <c r="AA24" s="684">
        <f t="shared" si="3"/>
        <v>0</v>
      </c>
      <c r="AB24" s="684">
        <f t="shared" si="18"/>
        <v>0</v>
      </c>
      <c r="AC24" s="684">
        <f t="shared" si="19"/>
        <v>0</v>
      </c>
      <c r="AD24" s="684">
        <f>IF(AA24=0,,VLOOKUP(AA24,リスト!DH:DI,2,0))</f>
        <v>0</v>
      </c>
      <c r="AE24" s="684">
        <f t="shared" si="4"/>
        <v>0</v>
      </c>
      <c r="AF24" s="685">
        <f>IF(AE24=0,,VLOOKUP(AE24,リスト!DK:DL,2,0))</f>
        <v>0</v>
      </c>
      <c r="AG24" s="684">
        <f>IF(AA24=0,,
IF(OR(リスト!$C$21="小麦",リスト!$C$21="二条大麦",リスト!$C$21="六条大麦",リスト!$C$21="はだか麦",リスト!$C$21="なたね"),IF(K24&lt;9,調査年-J24,調査年-J24-1),
IF(リスト!$C$21="さとうきび",IF(K24&gt;=4,調査年-J24,調査年-J24+1),
調査年-J24)))</f>
        <v>0</v>
      </c>
      <c r="AH24" s="385">
        <f t="shared" si="5"/>
        <v>0</v>
      </c>
      <c r="AI24" s="385">
        <f t="shared" si="6"/>
        <v>0</v>
      </c>
      <c r="AJ24" s="385">
        <f t="shared" si="7"/>
        <v>0</v>
      </c>
      <c r="AK24" s="385">
        <f t="shared" si="8"/>
        <v>0</v>
      </c>
      <c r="AL24" s="385">
        <f t="shared" si="9"/>
        <v>0</v>
      </c>
      <c r="AM24" s="385">
        <f t="shared" si="17"/>
        <v>0</v>
      </c>
      <c r="AN24" s="394"/>
      <c r="AO24" s="385">
        <f>IF(OR(S24=0,AI24=0),,
IF(OR(リスト!$C$21="小麦",リスト!$C$21="二条大麦",リスト!$C$21="六条大麦",リスト!$C$21="はだか麦",リスト!$C$21="なたね"),IF(OR(AND(K24&lt;9,J24=調査年),AND(K24&gt;=9,J24=調査年-1)),,ROUND(AI24*S24%,0)),
IF(リスト!$C$21="さとうきび",IF(OR(AND(K24&gt;=4,J24=調査年),AND(K24&lt;4,J24=調査年+1)),,ROUND(AI24*S24%,0)),
IF(J24=調査年,,ROUND(AI24*S24%,0)))))</f>
        <v>0</v>
      </c>
      <c r="AP24" s="385">
        <f t="shared" si="10"/>
        <v>0</v>
      </c>
      <c r="AQ24" s="385">
        <f t="shared" si="11"/>
        <v>0</v>
      </c>
      <c r="AR24" s="385">
        <f t="shared" si="12"/>
        <v>0</v>
      </c>
      <c r="AS24" s="385">
        <f>IF(S24=0,,
SUM(
IF(OR(リスト!$C$21="小麦",リスト!$C$21="二条大麦",リスト!$C$21="六条大麦",リスト!$C$21="はだか麦",リスト!$C$21="なたね"),IF(OR(AND(AB24=1,K24&lt;9,J24=調査年),AND(AB24=1,K24&gt;=9,J24=調査年-1)),ROUND(L24*S24%,0),),
IF(リスト!$C$21="さとうきび",IF(OR(AND(AB24=1,K24&gt;=4,J24=調査年),AND(AB24=1,K24&lt;4,J24=調査年+1)),ROUND(L24*S24%,0),),
IF(AND(AB24=1,J24=調査年),ROUND(L24*S24%,0),))),
ROUND(N24*S24%,0),
ROUND(SUM(AM24)*S24%,0)
))</f>
        <v>0</v>
      </c>
      <c r="AT24" s="385">
        <f t="shared" si="13"/>
        <v>0</v>
      </c>
      <c r="AU24" s="385">
        <f t="shared" si="14"/>
        <v>0</v>
      </c>
      <c r="AV24" s="385">
        <f t="shared" si="15"/>
        <v>0</v>
      </c>
      <c r="AW24" s="385">
        <f t="shared" si="15"/>
        <v>0</v>
      </c>
      <c r="AX24" s="385">
        <f t="shared" si="15"/>
        <v>0</v>
      </c>
      <c r="AY24" s="721">
        <f t="shared" si="16"/>
        <v>0</v>
      </c>
      <c r="AZ24" s="686"/>
      <c r="BA24" s="686"/>
      <c r="BB24" s="686"/>
      <c r="BC24" s="686"/>
    </row>
    <row r="25" spans="3:55" s="46" customFormat="1" ht="30.75" customHeight="1">
      <c r="C25" s="740">
        <v>9</v>
      </c>
      <c r="D25" s="687"/>
      <c r="E25" s="774"/>
      <c r="F25" s="770"/>
      <c r="G25" s="1961"/>
      <c r="H25" s="1962"/>
      <c r="I25" s="679"/>
      <c r="J25" s="725"/>
      <c r="K25" s="680"/>
      <c r="L25" s="681"/>
      <c r="M25" s="681"/>
      <c r="N25" s="681"/>
      <c r="O25" s="681"/>
      <c r="P25" s="681"/>
      <c r="Q25" s="856"/>
      <c r="R25" s="1071"/>
      <c r="S25" s="1094"/>
      <c r="T25" s="682"/>
      <c r="U25" s="726"/>
      <c r="V25" s="727"/>
      <c r="W25" s="717"/>
      <c r="X25" s="728"/>
      <c r="Y25" s="729"/>
      <c r="Z25" s="773"/>
      <c r="AA25" s="684">
        <f t="shared" si="3"/>
        <v>0</v>
      </c>
      <c r="AB25" s="684">
        <f t="shared" si="18"/>
        <v>0</v>
      </c>
      <c r="AC25" s="684">
        <f t="shared" si="19"/>
        <v>0</v>
      </c>
      <c r="AD25" s="684">
        <f>IF(AA25=0,,VLOOKUP(AA25,リスト!DH:DI,2,0))</f>
        <v>0</v>
      </c>
      <c r="AE25" s="684">
        <f t="shared" si="4"/>
        <v>0</v>
      </c>
      <c r="AF25" s="685">
        <f>IF(AE25=0,,VLOOKUP(AE25,リスト!DK:DL,2,0))</f>
        <v>0</v>
      </c>
      <c r="AG25" s="684">
        <f>IF(AA25=0,,
IF(OR(リスト!$C$21="小麦",リスト!$C$21="二条大麦",リスト!$C$21="六条大麦",リスト!$C$21="はだか麦",リスト!$C$21="なたね"),IF(K25&lt;9,調査年-J25,調査年-J25-1),
IF(リスト!$C$21="さとうきび",IF(K25&gt;=4,調査年-J25,調査年-J25+1),
調査年-J25)))</f>
        <v>0</v>
      </c>
      <c r="AH25" s="385">
        <f t="shared" si="5"/>
        <v>0</v>
      </c>
      <c r="AI25" s="385">
        <f t="shared" si="6"/>
        <v>0</v>
      </c>
      <c r="AJ25" s="385">
        <f t="shared" si="7"/>
        <v>0</v>
      </c>
      <c r="AK25" s="385">
        <f t="shared" si="8"/>
        <v>0</v>
      </c>
      <c r="AL25" s="385">
        <f t="shared" si="9"/>
        <v>0</v>
      </c>
      <c r="AM25" s="385">
        <f t="shared" si="17"/>
        <v>0</v>
      </c>
      <c r="AN25" s="394"/>
      <c r="AO25" s="385">
        <f>IF(OR(S25=0,AI25=0),,
IF(OR(リスト!$C$21="小麦",リスト!$C$21="二条大麦",リスト!$C$21="六条大麦",リスト!$C$21="はだか麦",リスト!$C$21="なたね"),IF(OR(AND(K25&lt;9,J25=調査年),AND(K25&gt;=9,J25=調査年-1)),,ROUND(AI25*S25%,0)),
IF(リスト!$C$21="さとうきび",IF(OR(AND(K25&gt;=4,J25=調査年),AND(K25&lt;4,J25=調査年+1)),,ROUND(AI25*S25%,0)),
IF(J25=調査年,,ROUND(AI25*S25%,0)))))</f>
        <v>0</v>
      </c>
      <c r="AP25" s="385">
        <f t="shared" si="10"/>
        <v>0</v>
      </c>
      <c r="AQ25" s="385">
        <f t="shared" si="11"/>
        <v>0</v>
      </c>
      <c r="AR25" s="385">
        <f t="shared" si="12"/>
        <v>0</v>
      </c>
      <c r="AS25" s="385">
        <f>IF(S25=0,,
SUM(
IF(OR(リスト!$C$21="小麦",リスト!$C$21="二条大麦",リスト!$C$21="六条大麦",リスト!$C$21="はだか麦",リスト!$C$21="なたね"),IF(OR(AND(AB25=1,K25&lt;9,J25=調査年),AND(AB25=1,K25&gt;=9,J25=調査年-1)),ROUND(L25*S25%,0),),
IF(リスト!$C$21="さとうきび",IF(OR(AND(AB25=1,K25&gt;=4,J25=調査年),AND(AB25=1,K25&lt;4,J25=調査年+1)),ROUND(L25*S25%,0),),
IF(AND(AB25=1,J25=調査年),ROUND(L25*S25%,0),))),
ROUND(N25*S25%,0),
ROUND(SUM(AM25)*S25%,0)
))</f>
        <v>0</v>
      </c>
      <c r="AT25" s="385">
        <f t="shared" si="13"/>
        <v>0</v>
      </c>
      <c r="AU25" s="385">
        <f t="shared" si="14"/>
        <v>0</v>
      </c>
      <c r="AV25" s="385">
        <f t="shared" si="15"/>
        <v>0</v>
      </c>
      <c r="AW25" s="385">
        <f t="shared" si="15"/>
        <v>0</v>
      </c>
      <c r="AX25" s="385">
        <f t="shared" si="15"/>
        <v>0</v>
      </c>
      <c r="AY25" s="721">
        <f t="shared" si="16"/>
        <v>0</v>
      </c>
      <c r="AZ25" s="686"/>
      <c r="BA25" s="686"/>
      <c r="BB25" s="686"/>
      <c r="BC25" s="686"/>
    </row>
    <row r="26" spans="3:55" s="46" customFormat="1" ht="30.75" customHeight="1">
      <c r="C26" s="740">
        <v>10</v>
      </c>
      <c r="D26" s="687"/>
      <c r="E26" s="774"/>
      <c r="F26" s="770"/>
      <c r="G26" s="1961"/>
      <c r="H26" s="1962"/>
      <c r="I26" s="679"/>
      <c r="J26" s="725"/>
      <c r="K26" s="680"/>
      <c r="L26" s="681"/>
      <c r="M26" s="681"/>
      <c r="N26" s="681"/>
      <c r="O26" s="681"/>
      <c r="P26" s="681"/>
      <c r="Q26" s="856"/>
      <c r="R26" s="1071"/>
      <c r="S26" s="1094"/>
      <c r="T26" s="682"/>
      <c r="U26" s="726"/>
      <c r="V26" s="727"/>
      <c r="W26" s="717"/>
      <c r="X26" s="728"/>
      <c r="Y26" s="729"/>
      <c r="Z26" s="773"/>
      <c r="AA26" s="684">
        <f t="shared" si="3"/>
        <v>0</v>
      </c>
      <c r="AB26" s="684">
        <f t="shared" si="18"/>
        <v>0</v>
      </c>
      <c r="AC26" s="684">
        <f t="shared" si="19"/>
        <v>0</v>
      </c>
      <c r="AD26" s="684">
        <f>IF(AA26=0,,VLOOKUP(AA26,リスト!DH:DI,2,0))</f>
        <v>0</v>
      </c>
      <c r="AE26" s="684">
        <f t="shared" si="4"/>
        <v>0</v>
      </c>
      <c r="AF26" s="685">
        <f>IF(AE26=0,,VLOOKUP(AE26,リスト!DK:DL,2,0))</f>
        <v>0</v>
      </c>
      <c r="AG26" s="684">
        <f>IF(AA26=0,,
IF(OR(リスト!$C$21="小麦",リスト!$C$21="二条大麦",リスト!$C$21="六条大麦",リスト!$C$21="はだか麦",リスト!$C$21="なたね"),IF(K26&lt;9,調査年-J26,調査年-J26-1),
IF(リスト!$C$21="さとうきび",IF(K26&gt;=4,調査年-J26,調査年-J26+1),
調査年-J26)))</f>
        <v>0</v>
      </c>
      <c r="AH26" s="385">
        <f t="shared" si="5"/>
        <v>0</v>
      </c>
      <c r="AI26" s="385">
        <f t="shared" si="6"/>
        <v>0</v>
      </c>
      <c r="AJ26" s="385">
        <f t="shared" si="7"/>
        <v>0</v>
      </c>
      <c r="AK26" s="385">
        <f t="shared" si="8"/>
        <v>0</v>
      </c>
      <c r="AL26" s="385">
        <f t="shared" si="9"/>
        <v>0</v>
      </c>
      <c r="AM26" s="385">
        <f t="shared" si="17"/>
        <v>0</v>
      </c>
      <c r="AN26" s="394"/>
      <c r="AO26" s="385">
        <f>IF(OR(S26=0,AI26=0),,
IF(OR(リスト!$C$21="小麦",リスト!$C$21="二条大麦",リスト!$C$21="六条大麦",リスト!$C$21="はだか麦",リスト!$C$21="なたね"),IF(OR(AND(K26&lt;9,J26=調査年),AND(K26&gt;=9,J26=調査年-1)),,ROUND(AI26*S26%,0)),
IF(リスト!$C$21="さとうきび",IF(OR(AND(K26&gt;=4,J26=調査年),AND(K26&lt;4,J26=調査年+1)),,ROUND(AI26*S26%,0)),
IF(J26=調査年,,ROUND(AI26*S26%,0)))))</f>
        <v>0</v>
      </c>
      <c r="AP26" s="385">
        <f t="shared" si="10"/>
        <v>0</v>
      </c>
      <c r="AQ26" s="385">
        <f t="shared" si="11"/>
        <v>0</v>
      </c>
      <c r="AR26" s="385">
        <f t="shared" si="12"/>
        <v>0</v>
      </c>
      <c r="AS26" s="385">
        <f>IF(S26=0,,
SUM(
IF(OR(リスト!$C$21="小麦",リスト!$C$21="二条大麦",リスト!$C$21="六条大麦",リスト!$C$21="はだか麦",リスト!$C$21="なたね"),IF(OR(AND(AB26=1,K26&lt;9,J26=調査年),AND(AB26=1,K26&gt;=9,J26=調査年-1)),ROUND(L26*S26%,0),),
IF(リスト!$C$21="さとうきび",IF(OR(AND(AB26=1,K26&gt;=4,J26=調査年),AND(AB26=1,K26&lt;4,J26=調査年+1)),ROUND(L26*S26%,0),),
IF(AND(AB26=1,J26=調査年),ROUND(L26*S26%,0),))),
ROUND(N26*S26%,0),
ROUND(SUM(AM26)*S26%,0)
))</f>
        <v>0</v>
      </c>
      <c r="AT26" s="385">
        <f t="shared" si="13"/>
        <v>0</v>
      </c>
      <c r="AU26" s="385">
        <f t="shared" si="14"/>
        <v>0</v>
      </c>
      <c r="AV26" s="385">
        <f t="shared" si="15"/>
        <v>0</v>
      </c>
      <c r="AW26" s="385">
        <f t="shared" si="15"/>
        <v>0</v>
      </c>
      <c r="AX26" s="385">
        <f t="shared" si="15"/>
        <v>0</v>
      </c>
      <c r="AY26" s="721">
        <f t="shared" si="16"/>
        <v>0</v>
      </c>
      <c r="AZ26" s="686"/>
      <c r="BA26" s="686"/>
      <c r="BB26" s="686"/>
      <c r="BC26" s="686"/>
    </row>
    <row r="27" spans="3:55" s="46" customFormat="1" ht="30.75" customHeight="1">
      <c r="C27" s="740">
        <v>11</v>
      </c>
      <c r="D27" s="687"/>
      <c r="E27" s="774"/>
      <c r="F27" s="770"/>
      <c r="G27" s="1961"/>
      <c r="H27" s="1962"/>
      <c r="I27" s="679"/>
      <c r="J27" s="725"/>
      <c r="K27" s="680"/>
      <c r="L27" s="681"/>
      <c r="M27" s="681"/>
      <c r="N27" s="681"/>
      <c r="O27" s="681"/>
      <c r="P27" s="681"/>
      <c r="Q27" s="856"/>
      <c r="R27" s="1071"/>
      <c r="S27" s="1094"/>
      <c r="T27" s="682"/>
      <c r="U27" s="726"/>
      <c r="V27" s="727"/>
      <c r="W27" s="717"/>
      <c r="X27" s="728"/>
      <c r="Y27" s="729"/>
      <c r="Z27" s="773"/>
      <c r="AA27" s="684">
        <f t="shared" si="3"/>
        <v>0</v>
      </c>
      <c r="AB27" s="684">
        <f t="shared" si="18"/>
        <v>0</v>
      </c>
      <c r="AC27" s="684">
        <f t="shared" si="19"/>
        <v>0</v>
      </c>
      <c r="AD27" s="684">
        <f>IF(AA27=0,,VLOOKUP(AA27,リスト!DH:DI,2,0))</f>
        <v>0</v>
      </c>
      <c r="AE27" s="684">
        <f t="shared" si="4"/>
        <v>0</v>
      </c>
      <c r="AF27" s="685">
        <f>IF(AE27=0,,VLOOKUP(AE27,リスト!DK:DL,2,0))</f>
        <v>0</v>
      </c>
      <c r="AG27" s="684">
        <f>IF(AA27=0,,
IF(OR(リスト!$C$21="小麦",リスト!$C$21="二条大麦",リスト!$C$21="六条大麦",リスト!$C$21="はだか麦",リスト!$C$21="なたね"),IF(K27&lt;9,調査年-J27,調査年-J27-1),
IF(リスト!$C$21="さとうきび",IF(K27&gt;=4,調査年-J27,調査年-J27+1),
調査年-J27)))</f>
        <v>0</v>
      </c>
      <c r="AH27" s="385">
        <f t="shared" si="5"/>
        <v>0</v>
      </c>
      <c r="AI27" s="385">
        <f t="shared" si="6"/>
        <v>0</v>
      </c>
      <c r="AJ27" s="385">
        <f t="shared" si="7"/>
        <v>0</v>
      </c>
      <c r="AK27" s="385">
        <f t="shared" si="8"/>
        <v>0</v>
      </c>
      <c r="AL27" s="385">
        <f t="shared" si="9"/>
        <v>0</v>
      </c>
      <c r="AM27" s="385">
        <f t="shared" si="17"/>
        <v>0</v>
      </c>
      <c r="AN27" s="394"/>
      <c r="AO27" s="385">
        <f>IF(OR(S27=0,AI27=0),,
IF(OR(リスト!$C$21="小麦",リスト!$C$21="二条大麦",リスト!$C$21="六条大麦",リスト!$C$21="はだか麦",リスト!$C$21="なたね"),IF(OR(AND(K27&lt;9,J27=調査年),AND(K27&gt;=9,J27=調査年-1)),,ROUND(AI27*S27%,0)),
IF(リスト!$C$21="さとうきび",IF(OR(AND(K27&gt;=4,J27=調査年),AND(K27&lt;4,J27=調査年+1)),,ROUND(AI27*S27%,0)),
IF(J27=調査年,,ROUND(AI27*S27%,0)))))</f>
        <v>0</v>
      </c>
      <c r="AP27" s="385">
        <f t="shared" si="10"/>
        <v>0</v>
      </c>
      <c r="AQ27" s="385">
        <f t="shared" si="11"/>
        <v>0</v>
      </c>
      <c r="AR27" s="385">
        <f t="shared" si="12"/>
        <v>0</v>
      </c>
      <c r="AS27" s="385">
        <f>IF(S27=0,,
SUM(
IF(OR(リスト!$C$21="小麦",リスト!$C$21="二条大麦",リスト!$C$21="六条大麦",リスト!$C$21="はだか麦",リスト!$C$21="なたね"),IF(OR(AND(AB27=1,K27&lt;9,J27=調査年),AND(AB27=1,K27&gt;=9,J27=調査年-1)),ROUND(L27*S27%,0),),
IF(リスト!$C$21="さとうきび",IF(OR(AND(AB27=1,K27&gt;=4,J27=調査年),AND(AB27=1,K27&lt;4,J27=調査年+1)),ROUND(L27*S27%,0),),
IF(AND(AB27=1,J27=調査年),ROUND(L27*S27%,0),))),
ROUND(N27*S27%,0),
ROUND(SUM(AM27)*S27%,0)
))</f>
        <v>0</v>
      </c>
      <c r="AT27" s="385">
        <f t="shared" si="13"/>
        <v>0</v>
      </c>
      <c r="AU27" s="385">
        <f t="shared" si="14"/>
        <v>0</v>
      </c>
      <c r="AV27" s="385">
        <f t="shared" si="15"/>
        <v>0</v>
      </c>
      <c r="AW27" s="385">
        <f t="shared" si="15"/>
        <v>0</v>
      </c>
      <c r="AX27" s="385">
        <f t="shared" si="15"/>
        <v>0</v>
      </c>
      <c r="AY27" s="721">
        <f t="shared" si="16"/>
        <v>0</v>
      </c>
      <c r="AZ27" s="686"/>
      <c r="BA27" s="686"/>
      <c r="BB27" s="686"/>
      <c r="BC27" s="686"/>
    </row>
    <row r="28" spans="3:55" s="46" customFormat="1" ht="30.75" customHeight="1">
      <c r="C28" s="740">
        <v>12</v>
      </c>
      <c r="D28" s="687"/>
      <c r="E28" s="774"/>
      <c r="F28" s="770"/>
      <c r="G28" s="1961"/>
      <c r="H28" s="1962"/>
      <c r="I28" s="679"/>
      <c r="J28" s="725"/>
      <c r="K28" s="680"/>
      <c r="L28" s="681"/>
      <c r="M28" s="681"/>
      <c r="N28" s="681"/>
      <c r="O28" s="681"/>
      <c r="P28" s="681"/>
      <c r="Q28" s="856"/>
      <c r="R28" s="1071"/>
      <c r="S28" s="1094"/>
      <c r="T28" s="682"/>
      <c r="U28" s="726"/>
      <c r="V28" s="727"/>
      <c r="W28" s="717"/>
      <c r="X28" s="728"/>
      <c r="Y28" s="729"/>
      <c r="Z28" s="773"/>
      <c r="AA28" s="684">
        <f t="shared" si="3"/>
        <v>0</v>
      </c>
      <c r="AB28" s="684">
        <f t="shared" si="18"/>
        <v>0</v>
      </c>
      <c r="AC28" s="684">
        <f t="shared" si="19"/>
        <v>0</v>
      </c>
      <c r="AD28" s="684">
        <f>IF(AA28=0,,VLOOKUP(AA28,リスト!DH:DI,2,0))</f>
        <v>0</v>
      </c>
      <c r="AE28" s="684">
        <f t="shared" si="4"/>
        <v>0</v>
      </c>
      <c r="AF28" s="685">
        <f>IF(AE28=0,,VLOOKUP(AE28,リスト!DK:DL,2,0))</f>
        <v>0</v>
      </c>
      <c r="AG28" s="684">
        <f>IF(AA28=0,,
IF(OR(リスト!$C$21="小麦",リスト!$C$21="二条大麦",リスト!$C$21="六条大麦",リスト!$C$21="はだか麦",リスト!$C$21="なたね"),IF(K28&lt;9,調査年-J28,調査年-J28-1),
IF(リスト!$C$21="さとうきび",IF(K28&gt;=4,調査年-J28,調査年-J28+1),
調査年-J28)))</f>
        <v>0</v>
      </c>
      <c r="AH28" s="385">
        <f t="shared" si="5"/>
        <v>0</v>
      </c>
      <c r="AI28" s="385">
        <f t="shared" si="6"/>
        <v>0</v>
      </c>
      <c r="AJ28" s="385">
        <f t="shared" si="7"/>
        <v>0</v>
      </c>
      <c r="AK28" s="385">
        <f t="shared" si="8"/>
        <v>0</v>
      </c>
      <c r="AL28" s="385">
        <f t="shared" si="9"/>
        <v>0</v>
      </c>
      <c r="AM28" s="385">
        <f t="shared" si="17"/>
        <v>0</v>
      </c>
      <c r="AN28" s="394"/>
      <c r="AO28" s="385">
        <f>IF(OR(S28=0,AI28=0),,
IF(OR(リスト!$C$21="小麦",リスト!$C$21="二条大麦",リスト!$C$21="六条大麦",リスト!$C$21="はだか麦",リスト!$C$21="なたね"),IF(OR(AND(K28&lt;9,J28=調査年),AND(K28&gt;=9,J28=調査年-1)),,ROUND(AI28*S28%,0)),
IF(リスト!$C$21="さとうきび",IF(OR(AND(K28&gt;=4,J28=調査年),AND(K28&lt;4,J28=調査年+1)),,ROUND(AI28*S28%,0)),
IF(J28=調査年,,ROUND(AI28*S28%,0)))))</f>
        <v>0</v>
      </c>
      <c r="AP28" s="385">
        <f t="shared" si="10"/>
        <v>0</v>
      </c>
      <c r="AQ28" s="385">
        <f t="shared" si="11"/>
        <v>0</v>
      </c>
      <c r="AR28" s="385">
        <f t="shared" si="12"/>
        <v>0</v>
      </c>
      <c r="AS28" s="385">
        <f>IF(S28=0,,
SUM(
IF(OR(リスト!$C$21="小麦",リスト!$C$21="二条大麦",リスト!$C$21="六条大麦",リスト!$C$21="はだか麦",リスト!$C$21="なたね"),IF(OR(AND(AB28=1,K28&lt;9,J28=調査年),AND(AB28=1,K28&gt;=9,J28=調査年-1)),ROUND(L28*S28%,0),),
IF(リスト!$C$21="さとうきび",IF(OR(AND(AB28=1,K28&gt;=4,J28=調査年),AND(AB28=1,K28&lt;4,J28=調査年+1)),ROUND(L28*S28%,0),),
IF(AND(AB28=1,J28=調査年),ROUND(L28*S28%,0),))),
ROUND(N28*S28%,0),
ROUND(SUM(AM28)*S28%,0)
))</f>
        <v>0</v>
      </c>
      <c r="AT28" s="385">
        <f t="shared" si="13"/>
        <v>0</v>
      </c>
      <c r="AU28" s="385">
        <f t="shared" si="14"/>
        <v>0</v>
      </c>
      <c r="AV28" s="385">
        <f t="shared" si="15"/>
        <v>0</v>
      </c>
      <c r="AW28" s="385">
        <f t="shared" si="15"/>
        <v>0</v>
      </c>
      <c r="AX28" s="385">
        <f t="shared" si="15"/>
        <v>0</v>
      </c>
      <c r="AY28" s="721">
        <f t="shared" si="16"/>
        <v>0</v>
      </c>
      <c r="AZ28" s="686"/>
      <c r="BA28" s="686"/>
      <c r="BB28" s="686"/>
      <c r="BC28" s="686"/>
    </row>
    <row r="29" spans="3:55" s="46" customFormat="1" ht="30.75" customHeight="1">
      <c r="C29" s="740">
        <v>13</v>
      </c>
      <c r="D29" s="687"/>
      <c r="E29" s="774"/>
      <c r="F29" s="770"/>
      <c r="G29" s="1961"/>
      <c r="H29" s="1962"/>
      <c r="I29" s="679"/>
      <c r="J29" s="725"/>
      <c r="K29" s="680"/>
      <c r="L29" s="681"/>
      <c r="M29" s="681"/>
      <c r="N29" s="681"/>
      <c r="O29" s="681"/>
      <c r="P29" s="681"/>
      <c r="Q29" s="856"/>
      <c r="R29" s="1071"/>
      <c r="S29" s="1094"/>
      <c r="T29" s="682"/>
      <c r="U29" s="726"/>
      <c r="V29" s="727"/>
      <c r="W29" s="717"/>
      <c r="X29" s="728"/>
      <c r="Y29" s="729"/>
      <c r="Z29" s="773"/>
      <c r="AA29" s="684">
        <f t="shared" si="3"/>
        <v>0</v>
      </c>
      <c r="AB29" s="684">
        <f t="shared" si="18"/>
        <v>0</v>
      </c>
      <c r="AC29" s="684">
        <f t="shared" si="19"/>
        <v>0</v>
      </c>
      <c r="AD29" s="684">
        <f>IF(AA29=0,,VLOOKUP(AA29,リスト!DH:DI,2,0))</f>
        <v>0</v>
      </c>
      <c r="AE29" s="684">
        <f t="shared" si="4"/>
        <v>0</v>
      </c>
      <c r="AF29" s="685">
        <f>IF(AE29=0,,VLOOKUP(AE29,リスト!DK:DL,2,0))</f>
        <v>0</v>
      </c>
      <c r="AG29" s="684">
        <f>IF(AA29=0,,
IF(OR(リスト!$C$21="小麦",リスト!$C$21="二条大麦",リスト!$C$21="六条大麦",リスト!$C$21="はだか麦",リスト!$C$21="なたね"),IF(K29&lt;9,調査年-J29,調査年-J29-1),
IF(リスト!$C$21="さとうきび",IF(K29&gt;=4,調査年-J29,調査年-J29+1),
調査年-J29)))</f>
        <v>0</v>
      </c>
      <c r="AH29" s="385">
        <f t="shared" si="5"/>
        <v>0</v>
      </c>
      <c r="AI29" s="385">
        <f t="shared" si="6"/>
        <v>0</v>
      </c>
      <c r="AJ29" s="385">
        <f t="shared" si="7"/>
        <v>0</v>
      </c>
      <c r="AK29" s="385">
        <f t="shared" si="8"/>
        <v>0</v>
      </c>
      <c r="AL29" s="385">
        <f t="shared" si="9"/>
        <v>0</v>
      </c>
      <c r="AM29" s="385">
        <f t="shared" si="17"/>
        <v>0</v>
      </c>
      <c r="AN29" s="394"/>
      <c r="AO29" s="385">
        <f>IF(OR(S29=0,AI29=0),,
IF(OR(リスト!$C$21="小麦",リスト!$C$21="二条大麦",リスト!$C$21="六条大麦",リスト!$C$21="はだか麦",リスト!$C$21="なたね"),IF(OR(AND(K29&lt;9,J29=調査年),AND(K29&gt;=9,J29=調査年-1)),,ROUND(AI29*S29%,0)),
IF(リスト!$C$21="さとうきび",IF(OR(AND(K29&gt;=4,J29=調査年),AND(K29&lt;4,J29=調査年+1)),,ROUND(AI29*S29%,0)),
IF(J29=調査年,,ROUND(AI29*S29%,0)))))</f>
        <v>0</v>
      </c>
      <c r="AP29" s="385">
        <f t="shared" si="10"/>
        <v>0</v>
      </c>
      <c r="AQ29" s="385">
        <f t="shared" si="11"/>
        <v>0</v>
      </c>
      <c r="AR29" s="385">
        <f t="shared" si="12"/>
        <v>0</v>
      </c>
      <c r="AS29" s="385">
        <f>IF(S29=0,,
SUM(
IF(OR(リスト!$C$21="小麦",リスト!$C$21="二条大麦",リスト!$C$21="六条大麦",リスト!$C$21="はだか麦",リスト!$C$21="なたね"),IF(OR(AND(AB29=1,K29&lt;9,J29=調査年),AND(AB29=1,K29&gt;=9,J29=調査年-1)),ROUND(L29*S29%,0),),
IF(リスト!$C$21="さとうきび",IF(OR(AND(AB29=1,K29&gt;=4,J29=調査年),AND(AB29=1,K29&lt;4,J29=調査年+1)),ROUND(L29*S29%,0),),
IF(AND(AB29=1,J29=調査年),ROUND(L29*S29%,0),))),
ROUND(N29*S29%,0),
ROUND(SUM(AM29)*S29%,0)
))</f>
        <v>0</v>
      </c>
      <c r="AT29" s="385">
        <f t="shared" si="13"/>
        <v>0</v>
      </c>
      <c r="AU29" s="385">
        <f t="shared" si="14"/>
        <v>0</v>
      </c>
      <c r="AV29" s="385">
        <f t="shared" si="15"/>
        <v>0</v>
      </c>
      <c r="AW29" s="385">
        <f t="shared" si="15"/>
        <v>0</v>
      </c>
      <c r="AX29" s="385">
        <f t="shared" si="15"/>
        <v>0</v>
      </c>
      <c r="AY29" s="721">
        <f t="shared" si="16"/>
        <v>0</v>
      </c>
      <c r="AZ29" s="686"/>
      <c r="BA29" s="686"/>
      <c r="BB29" s="686"/>
      <c r="BC29" s="686"/>
    </row>
    <row r="30" spans="3:55" s="46" customFormat="1" ht="30.75" customHeight="1">
      <c r="C30" s="740">
        <v>14</v>
      </c>
      <c r="D30" s="687"/>
      <c r="E30" s="774"/>
      <c r="F30" s="770"/>
      <c r="G30" s="1961"/>
      <c r="H30" s="1962"/>
      <c r="I30" s="679"/>
      <c r="J30" s="725"/>
      <c r="K30" s="680"/>
      <c r="L30" s="681"/>
      <c r="M30" s="681"/>
      <c r="N30" s="681"/>
      <c r="O30" s="681"/>
      <c r="P30" s="681"/>
      <c r="Q30" s="856"/>
      <c r="R30" s="1071"/>
      <c r="S30" s="1094"/>
      <c r="T30" s="682"/>
      <c r="U30" s="726"/>
      <c r="V30" s="727"/>
      <c r="W30" s="717"/>
      <c r="X30" s="728"/>
      <c r="Y30" s="729"/>
      <c r="Z30" s="773"/>
      <c r="AA30" s="684">
        <f t="shared" si="3"/>
        <v>0</v>
      </c>
      <c r="AB30" s="684">
        <f t="shared" si="18"/>
        <v>0</v>
      </c>
      <c r="AC30" s="684">
        <f t="shared" si="19"/>
        <v>0</v>
      </c>
      <c r="AD30" s="684">
        <f>IF(AA30=0,,VLOOKUP(AA30,リスト!DH:DI,2,0))</f>
        <v>0</v>
      </c>
      <c r="AE30" s="684">
        <f t="shared" si="4"/>
        <v>0</v>
      </c>
      <c r="AF30" s="685">
        <f>IF(AE30=0,,VLOOKUP(AE30,リスト!DK:DL,2,0))</f>
        <v>0</v>
      </c>
      <c r="AG30" s="684">
        <f>IF(AA30=0,,
IF(OR(リスト!$C$21="小麦",リスト!$C$21="二条大麦",リスト!$C$21="六条大麦",リスト!$C$21="はだか麦",リスト!$C$21="なたね"),IF(K30&lt;9,調査年-J30,調査年-J30-1),
IF(リスト!$C$21="さとうきび",IF(K30&gt;=4,調査年-J30,調査年-J30+1),
調査年-J30)))</f>
        <v>0</v>
      </c>
      <c r="AH30" s="385">
        <f t="shared" si="5"/>
        <v>0</v>
      </c>
      <c r="AI30" s="385">
        <f t="shared" si="6"/>
        <v>0</v>
      </c>
      <c r="AJ30" s="385">
        <f t="shared" si="7"/>
        <v>0</v>
      </c>
      <c r="AK30" s="385">
        <f t="shared" si="8"/>
        <v>0</v>
      </c>
      <c r="AL30" s="385">
        <f t="shared" si="9"/>
        <v>0</v>
      </c>
      <c r="AM30" s="385">
        <f t="shared" si="17"/>
        <v>0</v>
      </c>
      <c r="AN30" s="394"/>
      <c r="AO30" s="385">
        <f>IF(OR(S30=0,AI30=0),,
IF(OR(リスト!$C$21="小麦",リスト!$C$21="二条大麦",リスト!$C$21="六条大麦",リスト!$C$21="はだか麦",リスト!$C$21="なたね"),IF(OR(AND(K30&lt;9,J30=調査年),AND(K30&gt;=9,J30=調査年-1)),,ROUND(AI30*S30%,0)),
IF(リスト!$C$21="さとうきび",IF(OR(AND(K30&gt;=4,J30=調査年),AND(K30&lt;4,J30=調査年+1)),,ROUND(AI30*S30%,0)),
IF(J30=調査年,,ROUND(AI30*S30%,0)))))</f>
        <v>0</v>
      </c>
      <c r="AP30" s="385">
        <f t="shared" si="10"/>
        <v>0</v>
      </c>
      <c r="AQ30" s="385">
        <f t="shared" si="11"/>
        <v>0</v>
      </c>
      <c r="AR30" s="385">
        <f t="shared" si="12"/>
        <v>0</v>
      </c>
      <c r="AS30" s="385">
        <f>IF(S30=0,,
SUM(
IF(OR(リスト!$C$21="小麦",リスト!$C$21="二条大麦",リスト!$C$21="六条大麦",リスト!$C$21="はだか麦",リスト!$C$21="なたね"),IF(OR(AND(AB30=1,K30&lt;9,J30=調査年),AND(AB30=1,K30&gt;=9,J30=調査年-1)),ROUND(L30*S30%,0),),
IF(リスト!$C$21="さとうきび",IF(OR(AND(AB30=1,K30&gt;=4,J30=調査年),AND(AB30=1,K30&lt;4,J30=調査年+1)),ROUND(L30*S30%,0),),
IF(AND(AB30=1,J30=調査年),ROUND(L30*S30%,0),))),
ROUND(N30*S30%,0),
ROUND(SUM(AM30)*S30%,0)
))</f>
        <v>0</v>
      </c>
      <c r="AT30" s="385">
        <f t="shared" si="13"/>
        <v>0</v>
      </c>
      <c r="AU30" s="385">
        <f t="shared" si="14"/>
        <v>0</v>
      </c>
      <c r="AV30" s="385">
        <f t="shared" si="15"/>
        <v>0</v>
      </c>
      <c r="AW30" s="385">
        <f t="shared" si="15"/>
        <v>0</v>
      </c>
      <c r="AX30" s="385">
        <f t="shared" si="15"/>
        <v>0</v>
      </c>
      <c r="AY30" s="721">
        <f t="shared" si="16"/>
        <v>0</v>
      </c>
      <c r="AZ30" s="686"/>
      <c r="BA30" s="686"/>
      <c r="BB30" s="686"/>
      <c r="BC30" s="686"/>
    </row>
    <row r="31" spans="3:55" s="46" customFormat="1" ht="30.75" customHeight="1" collapsed="1" thickBot="1">
      <c r="C31" s="775">
        <v>15</v>
      </c>
      <c r="D31" s="687"/>
      <c r="E31" s="774"/>
      <c r="F31" s="770"/>
      <c r="G31" s="1961"/>
      <c r="H31" s="1962"/>
      <c r="I31" s="679"/>
      <c r="J31" s="725"/>
      <c r="K31" s="680"/>
      <c r="L31" s="681"/>
      <c r="M31" s="681"/>
      <c r="N31" s="681"/>
      <c r="O31" s="681"/>
      <c r="P31" s="681"/>
      <c r="Q31" s="856"/>
      <c r="R31" s="1071"/>
      <c r="S31" s="1094"/>
      <c r="T31" s="682"/>
      <c r="U31" s="726"/>
      <c r="V31" s="727"/>
      <c r="W31" s="717"/>
      <c r="X31" s="776"/>
      <c r="Y31" s="777"/>
      <c r="Z31" s="773"/>
      <c r="AA31" s="684">
        <f t="shared" si="3"/>
        <v>0</v>
      </c>
      <c r="AB31" s="684">
        <f t="shared" si="18"/>
        <v>0</v>
      </c>
      <c r="AC31" s="684">
        <f t="shared" si="19"/>
        <v>0</v>
      </c>
      <c r="AD31" s="684">
        <f>IF(AA31=0,,VLOOKUP(AA31,リスト!DH:DI,2,0))</f>
        <v>0</v>
      </c>
      <c r="AE31" s="684">
        <f t="shared" si="4"/>
        <v>0</v>
      </c>
      <c r="AF31" s="685">
        <f>IF(AE31=0,,VLOOKUP(AE31,リスト!DK:DL,2,0))</f>
        <v>0</v>
      </c>
      <c r="AG31" s="684">
        <f>IF(AA31=0,,
IF(OR(リスト!$C$21="小麦",リスト!$C$21="二条大麦",リスト!$C$21="六条大麦",リスト!$C$21="はだか麦",リスト!$C$21="なたね"),IF(K31&lt;9,調査年-J31,調査年-J31-1),
IF(リスト!$C$21="さとうきび",IF(K31&gt;=4,調査年-J31,調査年-J31+1),
調査年-J31)))</f>
        <v>0</v>
      </c>
      <c r="AH31" s="385">
        <f t="shared" si="5"/>
        <v>0</v>
      </c>
      <c r="AI31" s="385">
        <f t="shared" si="6"/>
        <v>0</v>
      </c>
      <c r="AJ31" s="385">
        <f t="shared" si="7"/>
        <v>0</v>
      </c>
      <c r="AK31" s="385">
        <f t="shared" si="8"/>
        <v>0</v>
      </c>
      <c r="AL31" s="385">
        <f t="shared" si="9"/>
        <v>0</v>
      </c>
      <c r="AM31" s="385">
        <f t="shared" si="17"/>
        <v>0</v>
      </c>
      <c r="AN31" s="394"/>
      <c r="AO31" s="385">
        <f>IF(OR(S31=0,AI31=0),,
IF(OR(リスト!$C$21="小麦",リスト!$C$21="二条大麦",リスト!$C$21="六条大麦",リスト!$C$21="はだか麦",リスト!$C$21="なたね"),IF(OR(AND(K31&lt;9,J31=調査年),AND(K31&gt;=9,J31=調査年-1)),,ROUND(AI31*S31%,0)),
IF(リスト!$C$21="さとうきび",IF(OR(AND(K31&gt;=4,J31=調査年),AND(K31&lt;4,J31=調査年+1)),,ROUND(AI31*S31%,0)),
IF(J31=調査年,,ROUND(AI31*S31%,0)))))</f>
        <v>0</v>
      </c>
      <c r="AP31" s="385">
        <f t="shared" si="10"/>
        <v>0</v>
      </c>
      <c r="AQ31" s="385">
        <f t="shared" si="11"/>
        <v>0</v>
      </c>
      <c r="AR31" s="385">
        <f t="shared" si="12"/>
        <v>0</v>
      </c>
      <c r="AS31" s="385">
        <f>IF(S31=0,,
SUM(
IF(OR(リスト!$C$21="小麦",リスト!$C$21="二条大麦",リスト!$C$21="六条大麦",リスト!$C$21="はだか麦",リスト!$C$21="なたね"),IF(OR(AND(AB31=1,K31&lt;9,J31=調査年),AND(AB31=1,K31&gt;=9,J31=調査年-1)),ROUND(L31*S31%,0),),
IF(リスト!$C$21="さとうきび",IF(OR(AND(AB31=1,K31&gt;=4,J31=調査年),AND(AB31=1,K31&lt;4,J31=調査年+1)),ROUND(L31*S31%,0),),
IF(AND(AB31=1,J31=調査年),ROUND(L31*S31%,0),))),
ROUND(N31*S31%,0),
ROUND(SUM(AM31)*S31%,0)
))</f>
        <v>0</v>
      </c>
      <c r="AT31" s="385">
        <f t="shared" si="13"/>
        <v>0</v>
      </c>
      <c r="AU31" s="385">
        <f t="shared" si="14"/>
        <v>0</v>
      </c>
      <c r="AV31" s="385">
        <f t="shared" si="15"/>
        <v>0</v>
      </c>
      <c r="AW31" s="385">
        <f t="shared" si="15"/>
        <v>0</v>
      </c>
      <c r="AX31" s="385">
        <f t="shared" si="15"/>
        <v>0</v>
      </c>
      <c r="AY31" s="721">
        <f t="shared" si="16"/>
        <v>0</v>
      </c>
      <c r="AZ31" s="686"/>
      <c r="BA31" s="686"/>
      <c r="BB31" s="686"/>
      <c r="BC31" s="686"/>
    </row>
    <row r="32" spans="3:55" s="46" customFormat="1" ht="30.75" hidden="1" customHeight="1" outlineLevel="1">
      <c r="C32" s="775">
        <v>16</v>
      </c>
      <c r="D32" s="687"/>
      <c r="E32" s="774"/>
      <c r="F32" s="770"/>
      <c r="G32" s="1961"/>
      <c r="H32" s="1962"/>
      <c r="I32" s="679"/>
      <c r="J32" s="725"/>
      <c r="K32" s="680"/>
      <c r="L32" s="681"/>
      <c r="M32" s="681"/>
      <c r="N32" s="681"/>
      <c r="O32" s="681"/>
      <c r="P32" s="681"/>
      <c r="Q32" s="856"/>
      <c r="R32" s="1071"/>
      <c r="S32" s="1094"/>
      <c r="T32" s="682"/>
      <c r="U32" s="726"/>
      <c r="V32" s="727"/>
      <c r="W32" s="717"/>
      <c r="X32" s="776"/>
      <c r="Y32" s="777"/>
      <c r="Z32" s="773"/>
      <c r="AA32" s="684">
        <f t="shared" si="3"/>
        <v>0</v>
      </c>
      <c r="AB32" s="684">
        <f t="shared" si="18"/>
        <v>0</v>
      </c>
      <c r="AC32" s="684">
        <f t="shared" si="19"/>
        <v>0</v>
      </c>
      <c r="AD32" s="684">
        <f>IF(AA32=0,,VLOOKUP(AA32,リスト!DH:DI,2,0))</f>
        <v>0</v>
      </c>
      <c r="AE32" s="684">
        <f t="shared" si="4"/>
        <v>0</v>
      </c>
      <c r="AF32" s="685">
        <f>IF(AE32=0,,VLOOKUP(AE32,リスト!DK:DL,2,0))</f>
        <v>0</v>
      </c>
      <c r="AG32" s="684">
        <f>IF(AA32=0,,
IF(OR(リスト!$C$21="小麦",リスト!$C$21="二条大麦",リスト!$C$21="六条大麦",リスト!$C$21="はだか麦",リスト!$C$21="なたね"),IF(K32&lt;9,調査年-J32,調査年-J32-1),
IF(リスト!$C$21="さとうきび",IF(K32&gt;=4,調査年-J32,調査年-J32+1),
調査年-J32)))</f>
        <v>0</v>
      </c>
      <c r="AH32" s="385">
        <f t="shared" si="5"/>
        <v>0</v>
      </c>
      <c r="AI32" s="385">
        <f t="shared" si="6"/>
        <v>0</v>
      </c>
      <c r="AJ32" s="385">
        <f t="shared" si="7"/>
        <v>0</v>
      </c>
      <c r="AK32" s="385">
        <f t="shared" si="8"/>
        <v>0</v>
      </c>
      <c r="AL32" s="385">
        <f t="shared" si="9"/>
        <v>0</v>
      </c>
      <c r="AM32" s="385">
        <f t="shared" si="17"/>
        <v>0</v>
      </c>
      <c r="AN32" s="394"/>
      <c r="AO32" s="385">
        <f>IF(OR(S32=0,AI32=0),,
IF(OR(リスト!$C$21="小麦",リスト!$C$21="二条大麦",リスト!$C$21="六条大麦",リスト!$C$21="はだか麦",リスト!$C$21="なたね"),IF(OR(AND(K32&lt;9,J32=調査年),AND(K32&gt;=9,J32=調査年-1)),,ROUND(AI32*S32%,0)),
IF(リスト!$C$21="さとうきび",IF(OR(AND(K32&gt;=4,J32=調査年),AND(K32&lt;4,J32=調査年+1)),,ROUND(AI32*S32%,0)),
IF(J32=調査年,,ROUND(AI32*S32%,0)))))</f>
        <v>0</v>
      </c>
      <c r="AP32" s="385">
        <f t="shared" si="10"/>
        <v>0</v>
      </c>
      <c r="AQ32" s="385">
        <f t="shared" si="11"/>
        <v>0</v>
      </c>
      <c r="AR32" s="385">
        <f t="shared" si="12"/>
        <v>0</v>
      </c>
      <c r="AS32" s="385">
        <f>IF(S32=0,,
SUM(
IF(OR(リスト!$C$21="小麦",リスト!$C$21="二条大麦",リスト!$C$21="六条大麦",リスト!$C$21="はだか麦",リスト!$C$21="なたね"),IF(OR(AND(AB32=1,K32&lt;9,J32=調査年),AND(AB32=1,K32&gt;=9,J32=調査年-1)),ROUND(L32*S32%,0),),
IF(リスト!$C$21="さとうきび",IF(OR(AND(AB32=1,K32&gt;=4,J32=調査年),AND(AB32=1,K32&lt;4,J32=調査年+1)),ROUND(L32*S32%,0),),
IF(AND(AB32=1,J32=調査年),ROUND(L32*S32%,0),))),
ROUND(N32*S32%,0),
ROUND(SUM(AM32)*S32%,0)
))</f>
        <v>0</v>
      </c>
      <c r="AT32" s="385">
        <f t="shared" si="13"/>
        <v>0</v>
      </c>
      <c r="AU32" s="385">
        <f t="shared" si="14"/>
        <v>0</v>
      </c>
      <c r="AV32" s="385">
        <f t="shared" si="15"/>
        <v>0</v>
      </c>
      <c r="AW32" s="385">
        <f t="shared" si="15"/>
        <v>0</v>
      </c>
      <c r="AX32" s="385">
        <f t="shared" si="15"/>
        <v>0</v>
      </c>
      <c r="AY32" s="721">
        <f t="shared" si="16"/>
        <v>0</v>
      </c>
      <c r="AZ32" s="686"/>
      <c r="BA32" s="686"/>
      <c r="BB32" s="686"/>
      <c r="BC32" s="686"/>
    </row>
    <row r="33" spans="3:55" s="46" customFormat="1" ht="30.75" hidden="1" customHeight="1" outlineLevel="1">
      <c r="C33" s="740">
        <v>17</v>
      </c>
      <c r="D33" s="687"/>
      <c r="E33" s="774"/>
      <c r="F33" s="770"/>
      <c r="G33" s="1961"/>
      <c r="H33" s="1962"/>
      <c r="I33" s="679"/>
      <c r="J33" s="725"/>
      <c r="K33" s="680"/>
      <c r="L33" s="681"/>
      <c r="M33" s="681"/>
      <c r="N33" s="681"/>
      <c r="O33" s="681"/>
      <c r="P33" s="681"/>
      <c r="Q33" s="856"/>
      <c r="R33" s="1071"/>
      <c r="S33" s="1094"/>
      <c r="T33" s="682"/>
      <c r="U33" s="726"/>
      <c r="V33" s="727"/>
      <c r="W33" s="717"/>
      <c r="X33" s="776"/>
      <c r="Y33" s="777"/>
      <c r="Z33" s="773"/>
      <c r="AA33" s="684">
        <f t="shared" si="3"/>
        <v>0</v>
      </c>
      <c r="AB33" s="684">
        <f t="shared" si="18"/>
        <v>0</v>
      </c>
      <c r="AC33" s="684">
        <f t="shared" si="19"/>
        <v>0</v>
      </c>
      <c r="AD33" s="684">
        <f>IF(AA33=0,,VLOOKUP(AA33,リスト!DH:DI,2,0))</f>
        <v>0</v>
      </c>
      <c r="AE33" s="684">
        <f t="shared" si="4"/>
        <v>0</v>
      </c>
      <c r="AF33" s="685">
        <f>IF(AE33=0,,VLOOKUP(AE33,リスト!DK:DL,2,0))</f>
        <v>0</v>
      </c>
      <c r="AG33" s="684">
        <f>IF(AA33=0,,
IF(OR(リスト!$C$21="小麦",リスト!$C$21="二条大麦",リスト!$C$21="六条大麦",リスト!$C$21="はだか麦",リスト!$C$21="なたね"),IF(K33&lt;9,調査年-J33,調査年-J33-1),
IF(リスト!$C$21="さとうきび",IF(K33&gt;=4,調査年-J33,調査年-J33+1),
調査年-J33)))</f>
        <v>0</v>
      </c>
      <c r="AH33" s="385">
        <f t="shared" si="5"/>
        <v>0</v>
      </c>
      <c r="AI33" s="385">
        <f t="shared" si="6"/>
        <v>0</v>
      </c>
      <c r="AJ33" s="385">
        <f t="shared" si="7"/>
        <v>0</v>
      </c>
      <c r="AK33" s="385">
        <f t="shared" si="8"/>
        <v>0</v>
      </c>
      <c r="AL33" s="385">
        <f t="shared" si="9"/>
        <v>0</v>
      </c>
      <c r="AM33" s="385">
        <f t="shared" si="17"/>
        <v>0</v>
      </c>
      <c r="AN33" s="394"/>
      <c r="AO33" s="385">
        <f>IF(OR(S33=0,AI33=0),,
IF(OR(リスト!$C$21="小麦",リスト!$C$21="二条大麦",リスト!$C$21="六条大麦",リスト!$C$21="はだか麦",リスト!$C$21="なたね"),IF(OR(AND(K33&lt;9,J33=調査年),AND(K33&gt;=9,J33=調査年-1)),,ROUND(AI33*S33%,0)),
IF(リスト!$C$21="さとうきび",IF(OR(AND(K33&gt;=4,J33=調査年),AND(K33&lt;4,J33=調査年+1)),,ROUND(AI33*S33%,0)),
IF(J33=調査年,,ROUND(AI33*S33%,0)))))</f>
        <v>0</v>
      </c>
      <c r="AP33" s="385">
        <f t="shared" si="10"/>
        <v>0</v>
      </c>
      <c r="AQ33" s="385">
        <f t="shared" si="11"/>
        <v>0</v>
      </c>
      <c r="AR33" s="385">
        <f t="shared" si="12"/>
        <v>0</v>
      </c>
      <c r="AS33" s="385">
        <f>IF(S33=0,,
SUM(
IF(OR(リスト!$C$21="小麦",リスト!$C$21="二条大麦",リスト!$C$21="六条大麦",リスト!$C$21="はだか麦",リスト!$C$21="なたね"),IF(OR(AND(AB33=1,K33&lt;9,J33=調査年),AND(AB33=1,K33&gt;=9,J33=調査年-1)),ROUND(L33*S33%,0),),
IF(リスト!$C$21="さとうきび",IF(OR(AND(AB33=1,K33&gt;=4,J33=調査年),AND(AB33=1,K33&lt;4,J33=調査年+1)),ROUND(L33*S33%,0),),
IF(AND(AB33=1,J33=調査年),ROUND(L33*S33%,0),))),
ROUND(N33*S33%,0),
ROUND(SUM(AM33)*S33%,0)
))</f>
        <v>0</v>
      </c>
      <c r="AT33" s="385">
        <f t="shared" si="13"/>
        <v>0</v>
      </c>
      <c r="AU33" s="385">
        <f t="shared" si="14"/>
        <v>0</v>
      </c>
      <c r="AV33" s="385">
        <f t="shared" si="15"/>
        <v>0</v>
      </c>
      <c r="AW33" s="385">
        <f t="shared" si="15"/>
        <v>0</v>
      </c>
      <c r="AX33" s="385">
        <f t="shared" si="15"/>
        <v>0</v>
      </c>
      <c r="AY33" s="721">
        <f t="shared" si="16"/>
        <v>0</v>
      </c>
      <c r="AZ33" s="686"/>
      <c r="BA33" s="686"/>
      <c r="BB33" s="686"/>
      <c r="BC33" s="686"/>
    </row>
    <row r="34" spans="3:55" s="46" customFormat="1" ht="30.75" hidden="1" customHeight="1" outlineLevel="1">
      <c r="C34" s="740">
        <v>18</v>
      </c>
      <c r="D34" s="687"/>
      <c r="E34" s="774"/>
      <c r="F34" s="770"/>
      <c r="G34" s="1961"/>
      <c r="H34" s="1962"/>
      <c r="I34" s="679"/>
      <c r="J34" s="725"/>
      <c r="K34" s="680"/>
      <c r="L34" s="681"/>
      <c r="M34" s="681"/>
      <c r="N34" s="681"/>
      <c r="O34" s="681"/>
      <c r="P34" s="681"/>
      <c r="Q34" s="856"/>
      <c r="R34" s="1071"/>
      <c r="S34" s="1094"/>
      <c r="T34" s="682"/>
      <c r="U34" s="726"/>
      <c r="V34" s="727"/>
      <c r="W34" s="717"/>
      <c r="X34" s="776"/>
      <c r="Y34" s="777"/>
      <c r="Z34" s="773"/>
      <c r="AA34" s="684">
        <f t="shared" si="3"/>
        <v>0</v>
      </c>
      <c r="AB34" s="684">
        <f t="shared" si="18"/>
        <v>0</v>
      </c>
      <c r="AC34" s="684">
        <f t="shared" si="19"/>
        <v>0</v>
      </c>
      <c r="AD34" s="684">
        <f>IF(AA34=0,,VLOOKUP(AA34,リスト!DH:DI,2,0))</f>
        <v>0</v>
      </c>
      <c r="AE34" s="684">
        <f t="shared" si="4"/>
        <v>0</v>
      </c>
      <c r="AF34" s="685">
        <f>IF(AE34=0,,VLOOKUP(AE34,リスト!DK:DL,2,0))</f>
        <v>0</v>
      </c>
      <c r="AG34" s="684">
        <f>IF(AA34=0,,
IF(OR(リスト!$C$21="小麦",リスト!$C$21="二条大麦",リスト!$C$21="六条大麦",リスト!$C$21="はだか麦",リスト!$C$21="なたね"),IF(K34&lt;9,調査年-J34,調査年-J34-1),
IF(リスト!$C$21="さとうきび",IF(K34&gt;=4,調査年-J34,調査年-J34+1),
調査年-J34)))</f>
        <v>0</v>
      </c>
      <c r="AH34" s="385">
        <f t="shared" si="5"/>
        <v>0</v>
      </c>
      <c r="AI34" s="385">
        <f t="shared" si="6"/>
        <v>0</v>
      </c>
      <c r="AJ34" s="385">
        <f t="shared" si="7"/>
        <v>0</v>
      </c>
      <c r="AK34" s="385">
        <f t="shared" si="8"/>
        <v>0</v>
      </c>
      <c r="AL34" s="385">
        <f t="shared" si="9"/>
        <v>0</v>
      </c>
      <c r="AM34" s="385">
        <f t="shared" si="17"/>
        <v>0</v>
      </c>
      <c r="AN34" s="394"/>
      <c r="AO34" s="385">
        <f>IF(OR(S34=0,AI34=0),,
IF(OR(リスト!$C$21="小麦",リスト!$C$21="二条大麦",リスト!$C$21="六条大麦",リスト!$C$21="はだか麦",リスト!$C$21="なたね"),IF(OR(AND(K34&lt;9,J34=調査年),AND(K34&gt;=9,J34=調査年-1)),,ROUND(AI34*S34%,0)),
IF(リスト!$C$21="さとうきび",IF(OR(AND(K34&gt;=4,J34=調査年),AND(K34&lt;4,J34=調査年+1)),,ROUND(AI34*S34%,0)),
IF(J34=調査年,,ROUND(AI34*S34%,0)))))</f>
        <v>0</v>
      </c>
      <c r="AP34" s="385">
        <f t="shared" si="10"/>
        <v>0</v>
      </c>
      <c r="AQ34" s="385">
        <f t="shared" si="11"/>
        <v>0</v>
      </c>
      <c r="AR34" s="385">
        <f t="shared" si="12"/>
        <v>0</v>
      </c>
      <c r="AS34" s="385">
        <f>IF(S34=0,,
SUM(
IF(OR(リスト!$C$21="小麦",リスト!$C$21="二条大麦",リスト!$C$21="六条大麦",リスト!$C$21="はだか麦",リスト!$C$21="なたね"),IF(OR(AND(AB34=1,K34&lt;9,J34=調査年),AND(AB34=1,K34&gt;=9,J34=調査年-1)),ROUND(L34*S34%,0),),
IF(リスト!$C$21="さとうきび",IF(OR(AND(AB34=1,K34&gt;=4,J34=調査年),AND(AB34=1,K34&lt;4,J34=調査年+1)),ROUND(L34*S34%,0),),
IF(AND(AB34=1,J34=調査年),ROUND(L34*S34%,0),))),
ROUND(N34*S34%,0),
ROUND(SUM(AM34)*S34%,0)
))</f>
        <v>0</v>
      </c>
      <c r="AT34" s="385">
        <f t="shared" si="13"/>
        <v>0</v>
      </c>
      <c r="AU34" s="385">
        <f t="shared" si="14"/>
        <v>0</v>
      </c>
      <c r="AV34" s="385">
        <f t="shared" si="15"/>
        <v>0</v>
      </c>
      <c r="AW34" s="385">
        <f t="shared" si="15"/>
        <v>0</v>
      </c>
      <c r="AX34" s="385">
        <f t="shared" si="15"/>
        <v>0</v>
      </c>
      <c r="AY34" s="721">
        <f t="shared" si="16"/>
        <v>0</v>
      </c>
      <c r="AZ34" s="686"/>
      <c r="BA34" s="686"/>
      <c r="BB34" s="686"/>
      <c r="BC34" s="686"/>
    </row>
    <row r="35" spans="3:55" s="46" customFormat="1" ht="30.75" hidden="1" customHeight="1" outlineLevel="1">
      <c r="C35" s="740">
        <v>19</v>
      </c>
      <c r="D35" s="687"/>
      <c r="E35" s="774"/>
      <c r="F35" s="770"/>
      <c r="G35" s="1961"/>
      <c r="H35" s="1962"/>
      <c r="I35" s="679"/>
      <c r="J35" s="725"/>
      <c r="K35" s="680"/>
      <c r="L35" s="681"/>
      <c r="M35" s="681"/>
      <c r="N35" s="681"/>
      <c r="O35" s="681"/>
      <c r="P35" s="681"/>
      <c r="Q35" s="856"/>
      <c r="R35" s="1071"/>
      <c r="S35" s="1094"/>
      <c r="T35" s="682"/>
      <c r="U35" s="726"/>
      <c r="V35" s="727"/>
      <c r="W35" s="717"/>
      <c r="X35" s="776"/>
      <c r="Y35" s="777"/>
      <c r="Z35" s="773"/>
      <c r="AA35" s="684">
        <f t="shared" si="3"/>
        <v>0</v>
      </c>
      <c r="AB35" s="684">
        <f t="shared" si="18"/>
        <v>0</v>
      </c>
      <c r="AC35" s="684">
        <f t="shared" si="19"/>
        <v>0</v>
      </c>
      <c r="AD35" s="684">
        <f>IF(AA35=0,,VLOOKUP(AA35,リスト!DH:DI,2,0))</f>
        <v>0</v>
      </c>
      <c r="AE35" s="684">
        <f t="shared" si="4"/>
        <v>0</v>
      </c>
      <c r="AF35" s="685">
        <f>IF(AE35=0,,VLOOKUP(AE35,リスト!DK:DL,2,0))</f>
        <v>0</v>
      </c>
      <c r="AG35" s="684">
        <f>IF(AA35=0,,
IF(OR(リスト!$C$21="小麦",リスト!$C$21="二条大麦",リスト!$C$21="六条大麦",リスト!$C$21="はだか麦",リスト!$C$21="なたね"),IF(K35&lt;9,調査年-J35,調査年-J35-1),
IF(リスト!$C$21="さとうきび",IF(K35&gt;=4,調査年-J35,調査年-J35+1),
調査年-J35)))</f>
        <v>0</v>
      </c>
      <c r="AH35" s="385">
        <f t="shared" si="5"/>
        <v>0</v>
      </c>
      <c r="AI35" s="385">
        <f t="shared" si="6"/>
        <v>0</v>
      </c>
      <c r="AJ35" s="385">
        <f t="shared" si="7"/>
        <v>0</v>
      </c>
      <c r="AK35" s="385">
        <f t="shared" si="8"/>
        <v>0</v>
      </c>
      <c r="AL35" s="385">
        <f t="shared" si="9"/>
        <v>0</v>
      </c>
      <c r="AM35" s="385">
        <f t="shared" si="17"/>
        <v>0</v>
      </c>
      <c r="AN35" s="394"/>
      <c r="AO35" s="385">
        <f>IF(OR(S35=0,AI35=0),,
IF(OR(リスト!$C$21="小麦",リスト!$C$21="二条大麦",リスト!$C$21="六条大麦",リスト!$C$21="はだか麦",リスト!$C$21="なたね"),IF(OR(AND(K35&lt;9,J35=調査年),AND(K35&gt;=9,J35=調査年-1)),,ROUND(AI35*S35%,0)),
IF(リスト!$C$21="さとうきび",IF(OR(AND(K35&gt;=4,J35=調査年),AND(K35&lt;4,J35=調査年+1)),,ROUND(AI35*S35%,0)),
IF(J35=調査年,,ROUND(AI35*S35%,0)))))</f>
        <v>0</v>
      </c>
      <c r="AP35" s="385">
        <f t="shared" si="10"/>
        <v>0</v>
      </c>
      <c r="AQ35" s="385">
        <f t="shared" si="11"/>
        <v>0</v>
      </c>
      <c r="AR35" s="385">
        <f t="shared" si="12"/>
        <v>0</v>
      </c>
      <c r="AS35" s="385">
        <f>IF(S35=0,,
SUM(
IF(OR(リスト!$C$21="小麦",リスト!$C$21="二条大麦",リスト!$C$21="六条大麦",リスト!$C$21="はだか麦",リスト!$C$21="なたね"),IF(OR(AND(AB35=1,K35&lt;9,J35=調査年),AND(AB35=1,K35&gt;=9,J35=調査年-1)),ROUND(L35*S35%,0),),
IF(リスト!$C$21="さとうきび",IF(OR(AND(AB35=1,K35&gt;=4,J35=調査年),AND(AB35=1,K35&lt;4,J35=調査年+1)),ROUND(L35*S35%,0),),
IF(AND(AB35=1,J35=調査年),ROUND(L35*S35%,0),))),
ROUND(N35*S35%,0),
ROUND(SUM(AM35)*S35%,0)
))</f>
        <v>0</v>
      </c>
      <c r="AT35" s="385">
        <f t="shared" si="13"/>
        <v>0</v>
      </c>
      <c r="AU35" s="385">
        <f t="shared" si="14"/>
        <v>0</v>
      </c>
      <c r="AV35" s="385">
        <f t="shared" si="15"/>
        <v>0</v>
      </c>
      <c r="AW35" s="385">
        <f t="shared" si="15"/>
        <v>0</v>
      </c>
      <c r="AX35" s="385">
        <f t="shared" si="15"/>
        <v>0</v>
      </c>
      <c r="AY35" s="721">
        <f t="shared" si="16"/>
        <v>0</v>
      </c>
      <c r="AZ35" s="686"/>
      <c r="BA35" s="686"/>
      <c r="BB35" s="686"/>
      <c r="BC35" s="686"/>
    </row>
    <row r="36" spans="3:55" s="46" customFormat="1" ht="30.75" hidden="1" customHeight="1" outlineLevel="1">
      <c r="C36" s="740">
        <v>20</v>
      </c>
      <c r="D36" s="687"/>
      <c r="E36" s="774"/>
      <c r="F36" s="770"/>
      <c r="G36" s="1961"/>
      <c r="H36" s="1962"/>
      <c r="I36" s="679"/>
      <c r="J36" s="725"/>
      <c r="K36" s="680"/>
      <c r="L36" s="681"/>
      <c r="M36" s="681"/>
      <c r="N36" s="681"/>
      <c r="O36" s="681"/>
      <c r="P36" s="681"/>
      <c r="Q36" s="856"/>
      <c r="R36" s="1071"/>
      <c r="S36" s="1094"/>
      <c r="T36" s="682"/>
      <c r="U36" s="726"/>
      <c r="V36" s="727"/>
      <c r="W36" s="717"/>
      <c r="X36" s="776"/>
      <c r="Y36" s="777"/>
      <c r="Z36" s="773"/>
      <c r="AA36" s="684">
        <f t="shared" si="3"/>
        <v>0</v>
      </c>
      <c r="AB36" s="684">
        <f t="shared" si="18"/>
        <v>0</v>
      </c>
      <c r="AC36" s="684">
        <f t="shared" si="19"/>
        <v>0</v>
      </c>
      <c r="AD36" s="684">
        <f>IF(AA36=0,,VLOOKUP(AA36,リスト!DH:DI,2,0))</f>
        <v>0</v>
      </c>
      <c r="AE36" s="684">
        <f t="shared" si="4"/>
        <v>0</v>
      </c>
      <c r="AF36" s="685">
        <f>IF(AE36=0,,VLOOKUP(AE36,リスト!DK:DL,2,0))</f>
        <v>0</v>
      </c>
      <c r="AG36" s="684">
        <f>IF(AA36=0,,
IF(OR(リスト!$C$21="小麦",リスト!$C$21="二条大麦",リスト!$C$21="六条大麦",リスト!$C$21="はだか麦",リスト!$C$21="なたね"),IF(K36&lt;9,調査年-J36,調査年-J36-1),
IF(リスト!$C$21="さとうきび",IF(K36&gt;=4,調査年-J36,調査年-J36+1),
調査年-J36)))</f>
        <v>0</v>
      </c>
      <c r="AH36" s="385">
        <f t="shared" si="5"/>
        <v>0</v>
      </c>
      <c r="AI36" s="385">
        <f t="shared" si="6"/>
        <v>0</v>
      </c>
      <c r="AJ36" s="385">
        <f t="shared" si="7"/>
        <v>0</v>
      </c>
      <c r="AK36" s="385">
        <f t="shared" si="8"/>
        <v>0</v>
      </c>
      <c r="AL36" s="385">
        <f t="shared" si="9"/>
        <v>0</v>
      </c>
      <c r="AM36" s="385">
        <f t="shared" si="17"/>
        <v>0</v>
      </c>
      <c r="AN36" s="394"/>
      <c r="AO36" s="385">
        <f>IF(OR(S36=0,AI36=0),,
IF(OR(リスト!$C$21="小麦",リスト!$C$21="二条大麦",リスト!$C$21="六条大麦",リスト!$C$21="はだか麦",リスト!$C$21="なたね"),IF(OR(AND(K36&lt;9,J36=調査年),AND(K36&gt;=9,J36=調査年-1)),,ROUND(AI36*S36%,0)),
IF(リスト!$C$21="さとうきび",IF(OR(AND(K36&gt;=4,J36=調査年),AND(K36&lt;4,J36=調査年+1)),,ROUND(AI36*S36%,0)),
IF(J36=調査年,,ROUND(AI36*S36%,0)))))</f>
        <v>0</v>
      </c>
      <c r="AP36" s="385">
        <f t="shared" si="10"/>
        <v>0</v>
      </c>
      <c r="AQ36" s="385">
        <f t="shared" si="11"/>
        <v>0</v>
      </c>
      <c r="AR36" s="385">
        <f t="shared" si="12"/>
        <v>0</v>
      </c>
      <c r="AS36" s="385">
        <f>IF(S36=0,,
SUM(
IF(OR(リスト!$C$21="小麦",リスト!$C$21="二条大麦",リスト!$C$21="六条大麦",リスト!$C$21="はだか麦",リスト!$C$21="なたね"),IF(OR(AND(AB36=1,K36&lt;9,J36=調査年),AND(AB36=1,K36&gt;=9,J36=調査年-1)),ROUND(L36*S36%,0),),
IF(リスト!$C$21="さとうきび",IF(OR(AND(AB36=1,K36&gt;=4,J36=調査年),AND(AB36=1,K36&lt;4,J36=調査年+1)),ROUND(L36*S36%,0),),
IF(AND(AB36=1,J36=調査年),ROUND(L36*S36%,0),))),
ROUND(N36*S36%,0),
ROUND(SUM(AM36)*S36%,0)
))</f>
        <v>0</v>
      </c>
      <c r="AT36" s="385">
        <f t="shared" si="13"/>
        <v>0</v>
      </c>
      <c r="AU36" s="385">
        <f t="shared" si="14"/>
        <v>0</v>
      </c>
      <c r="AV36" s="385">
        <f t="shared" si="15"/>
        <v>0</v>
      </c>
      <c r="AW36" s="385">
        <f t="shared" si="15"/>
        <v>0</v>
      </c>
      <c r="AX36" s="385">
        <f t="shared" si="15"/>
        <v>0</v>
      </c>
      <c r="AY36" s="721">
        <f t="shared" si="16"/>
        <v>0</v>
      </c>
      <c r="AZ36" s="686"/>
      <c r="BA36" s="686"/>
      <c r="BB36" s="686"/>
      <c r="BC36" s="686"/>
    </row>
    <row r="37" spans="3:55" s="46" customFormat="1" ht="30.75" hidden="1" customHeight="1" outlineLevel="1">
      <c r="C37" s="740">
        <v>21</v>
      </c>
      <c r="D37" s="687"/>
      <c r="E37" s="774"/>
      <c r="F37" s="770"/>
      <c r="G37" s="1961"/>
      <c r="H37" s="1962"/>
      <c r="I37" s="679"/>
      <c r="J37" s="725"/>
      <c r="K37" s="680"/>
      <c r="L37" s="681"/>
      <c r="M37" s="681"/>
      <c r="N37" s="681"/>
      <c r="O37" s="681"/>
      <c r="P37" s="681"/>
      <c r="Q37" s="856"/>
      <c r="R37" s="1071"/>
      <c r="S37" s="1094"/>
      <c r="T37" s="682"/>
      <c r="U37" s="726"/>
      <c r="V37" s="727"/>
      <c r="W37" s="717"/>
      <c r="X37" s="776"/>
      <c r="Y37" s="777"/>
      <c r="Z37" s="773"/>
      <c r="AA37" s="684">
        <f t="shared" si="3"/>
        <v>0</v>
      </c>
      <c r="AB37" s="684">
        <f t="shared" si="18"/>
        <v>0</v>
      </c>
      <c r="AC37" s="684">
        <f t="shared" si="19"/>
        <v>0</v>
      </c>
      <c r="AD37" s="684">
        <f>IF(AA37=0,,VLOOKUP(AA37,リスト!DH:DI,2,0))</f>
        <v>0</v>
      </c>
      <c r="AE37" s="684">
        <f t="shared" si="4"/>
        <v>0</v>
      </c>
      <c r="AF37" s="685">
        <f>IF(AE37=0,,VLOOKUP(AE37,リスト!DK:DL,2,0))</f>
        <v>0</v>
      </c>
      <c r="AG37" s="684">
        <f>IF(AA37=0,,
IF(OR(リスト!$C$21="小麦",リスト!$C$21="二条大麦",リスト!$C$21="六条大麦",リスト!$C$21="はだか麦",リスト!$C$21="なたね"),IF(K37&lt;9,調査年-J37,調査年-J37-1),
IF(リスト!$C$21="さとうきび",IF(K37&gt;=4,調査年-J37,調査年-J37+1),
調査年-J37)))</f>
        <v>0</v>
      </c>
      <c r="AH37" s="385">
        <f t="shared" si="5"/>
        <v>0</v>
      </c>
      <c r="AI37" s="385">
        <f t="shared" si="6"/>
        <v>0</v>
      </c>
      <c r="AJ37" s="385">
        <f t="shared" si="7"/>
        <v>0</v>
      </c>
      <c r="AK37" s="385">
        <f t="shared" si="8"/>
        <v>0</v>
      </c>
      <c r="AL37" s="385">
        <f t="shared" si="9"/>
        <v>0</v>
      </c>
      <c r="AM37" s="385">
        <f t="shared" si="17"/>
        <v>0</v>
      </c>
      <c r="AN37" s="394"/>
      <c r="AO37" s="385">
        <f>IF(OR(S37=0,AI37=0),,
IF(OR(リスト!$C$21="小麦",リスト!$C$21="二条大麦",リスト!$C$21="六条大麦",リスト!$C$21="はだか麦",リスト!$C$21="なたね"),IF(OR(AND(K37&lt;9,J37=調査年),AND(K37&gt;=9,J37=調査年-1)),,ROUND(AI37*S37%,0)),
IF(リスト!$C$21="さとうきび",IF(OR(AND(K37&gt;=4,J37=調査年),AND(K37&lt;4,J37=調査年+1)),,ROUND(AI37*S37%,0)),
IF(J37=調査年,,ROUND(AI37*S37%,0)))))</f>
        <v>0</v>
      </c>
      <c r="AP37" s="385">
        <f t="shared" si="10"/>
        <v>0</v>
      </c>
      <c r="AQ37" s="385">
        <f t="shared" si="11"/>
        <v>0</v>
      </c>
      <c r="AR37" s="385">
        <f t="shared" si="12"/>
        <v>0</v>
      </c>
      <c r="AS37" s="385">
        <f>IF(S37=0,,
SUM(
IF(OR(リスト!$C$21="小麦",リスト!$C$21="二条大麦",リスト!$C$21="六条大麦",リスト!$C$21="はだか麦",リスト!$C$21="なたね"),IF(OR(AND(AB37=1,K37&lt;9,J37=調査年),AND(AB37=1,K37&gt;=9,J37=調査年-1)),ROUND(L37*S37%,0),),
IF(リスト!$C$21="さとうきび",IF(OR(AND(AB37=1,K37&gt;=4,J37=調査年),AND(AB37=1,K37&lt;4,J37=調査年+1)),ROUND(L37*S37%,0),),
IF(AND(AB37=1,J37=調査年),ROUND(L37*S37%,0),))),
ROUND(N37*S37%,0),
ROUND(SUM(AM37)*S37%,0)
))</f>
        <v>0</v>
      </c>
      <c r="AT37" s="385">
        <f t="shared" si="13"/>
        <v>0</v>
      </c>
      <c r="AU37" s="385">
        <f t="shared" si="14"/>
        <v>0</v>
      </c>
      <c r="AV37" s="385">
        <f t="shared" si="15"/>
        <v>0</v>
      </c>
      <c r="AW37" s="385">
        <f t="shared" si="15"/>
        <v>0</v>
      </c>
      <c r="AX37" s="385">
        <f t="shared" si="15"/>
        <v>0</v>
      </c>
      <c r="AY37" s="721">
        <f t="shared" si="16"/>
        <v>0</v>
      </c>
      <c r="AZ37" s="686"/>
      <c r="BA37" s="686"/>
      <c r="BB37" s="686"/>
      <c r="BC37" s="686"/>
    </row>
    <row r="38" spans="3:55" s="46" customFormat="1" ht="30.75" hidden="1" customHeight="1" outlineLevel="1">
      <c r="C38" s="740">
        <v>22</v>
      </c>
      <c r="D38" s="687"/>
      <c r="E38" s="774"/>
      <c r="F38" s="770"/>
      <c r="G38" s="1961"/>
      <c r="H38" s="1962"/>
      <c r="I38" s="679"/>
      <c r="J38" s="725"/>
      <c r="K38" s="680"/>
      <c r="L38" s="681"/>
      <c r="M38" s="681"/>
      <c r="N38" s="681"/>
      <c r="O38" s="681"/>
      <c r="P38" s="681"/>
      <c r="Q38" s="856"/>
      <c r="R38" s="1071"/>
      <c r="S38" s="1094"/>
      <c r="T38" s="682"/>
      <c r="U38" s="726"/>
      <c r="V38" s="727"/>
      <c r="W38" s="717"/>
      <c r="X38" s="776"/>
      <c r="Y38" s="777"/>
      <c r="Z38" s="773"/>
      <c r="AA38" s="684">
        <f t="shared" si="3"/>
        <v>0</v>
      </c>
      <c r="AB38" s="684">
        <f t="shared" si="18"/>
        <v>0</v>
      </c>
      <c r="AC38" s="684">
        <f t="shared" si="19"/>
        <v>0</v>
      </c>
      <c r="AD38" s="684">
        <f>IF(AA38=0,,VLOOKUP(AA38,リスト!DH:DI,2,0))</f>
        <v>0</v>
      </c>
      <c r="AE38" s="684">
        <f t="shared" si="4"/>
        <v>0</v>
      </c>
      <c r="AF38" s="685">
        <f>IF(AE38=0,,VLOOKUP(AE38,リスト!DK:DL,2,0))</f>
        <v>0</v>
      </c>
      <c r="AG38" s="684">
        <f>IF(AA38=0,,
IF(OR(リスト!$C$21="小麦",リスト!$C$21="二条大麦",リスト!$C$21="六条大麦",リスト!$C$21="はだか麦",リスト!$C$21="なたね"),IF(K38&lt;9,調査年-J38,調査年-J38-1),
IF(リスト!$C$21="さとうきび",IF(K38&gt;=4,調査年-J38,調査年-J38+1),
調査年-J38)))</f>
        <v>0</v>
      </c>
      <c r="AH38" s="385">
        <f t="shared" si="5"/>
        <v>0</v>
      </c>
      <c r="AI38" s="385">
        <f t="shared" si="6"/>
        <v>0</v>
      </c>
      <c r="AJ38" s="385">
        <f t="shared" si="7"/>
        <v>0</v>
      </c>
      <c r="AK38" s="385">
        <f t="shared" si="8"/>
        <v>0</v>
      </c>
      <c r="AL38" s="385">
        <f t="shared" si="9"/>
        <v>0</v>
      </c>
      <c r="AM38" s="385">
        <f t="shared" si="17"/>
        <v>0</v>
      </c>
      <c r="AN38" s="394"/>
      <c r="AO38" s="385">
        <f>IF(OR(S38=0,AI38=0),,
IF(OR(リスト!$C$21="小麦",リスト!$C$21="二条大麦",リスト!$C$21="六条大麦",リスト!$C$21="はだか麦",リスト!$C$21="なたね"),IF(OR(AND(K38&lt;9,J38=調査年),AND(K38&gt;=9,J38=調査年-1)),,ROUND(AI38*S38%,0)),
IF(リスト!$C$21="さとうきび",IF(OR(AND(K38&gt;=4,J38=調査年),AND(K38&lt;4,J38=調査年+1)),,ROUND(AI38*S38%,0)),
IF(J38=調査年,,ROUND(AI38*S38%,0)))))</f>
        <v>0</v>
      </c>
      <c r="AP38" s="385">
        <f t="shared" si="10"/>
        <v>0</v>
      </c>
      <c r="AQ38" s="385">
        <f t="shared" si="11"/>
        <v>0</v>
      </c>
      <c r="AR38" s="385">
        <f t="shared" si="12"/>
        <v>0</v>
      </c>
      <c r="AS38" s="385">
        <f>IF(S38=0,,
SUM(
IF(OR(リスト!$C$21="小麦",リスト!$C$21="二条大麦",リスト!$C$21="六条大麦",リスト!$C$21="はだか麦",リスト!$C$21="なたね"),IF(OR(AND(AB38=1,K38&lt;9,J38=調査年),AND(AB38=1,K38&gt;=9,J38=調査年-1)),ROUND(L38*S38%,0),),
IF(リスト!$C$21="さとうきび",IF(OR(AND(AB38=1,K38&gt;=4,J38=調査年),AND(AB38=1,K38&lt;4,J38=調査年+1)),ROUND(L38*S38%,0),),
IF(AND(AB38=1,J38=調査年),ROUND(L38*S38%,0),))),
ROUND(N38*S38%,0),
ROUND(SUM(AM38)*S38%,0)
))</f>
        <v>0</v>
      </c>
      <c r="AT38" s="385">
        <f t="shared" si="13"/>
        <v>0</v>
      </c>
      <c r="AU38" s="385">
        <f t="shared" si="14"/>
        <v>0</v>
      </c>
      <c r="AV38" s="385">
        <f t="shared" si="15"/>
        <v>0</v>
      </c>
      <c r="AW38" s="385">
        <f t="shared" si="15"/>
        <v>0</v>
      </c>
      <c r="AX38" s="385">
        <f t="shared" si="15"/>
        <v>0</v>
      </c>
      <c r="AY38" s="721">
        <f t="shared" si="16"/>
        <v>0</v>
      </c>
      <c r="AZ38" s="686"/>
      <c r="BA38" s="686"/>
      <c r="BB38" s="686"/>
      <c r="BC38" s="686"/>
    </row>
    <row r="39" spans="3:55" s="46" customFormat="1" ht="30.75" hidden="1" customHeight="1" outlineLevel="1">
      <c r="C39" s="740">
        <v>23</v>
      </c>
      <c r="D39" s="687"/>
      <c r="E39" s="774"/>
      <c r="F39" s="770"/>
      <c r="G39" s="1961"/>
      <c r="H39" s="1962"/>
      <c r="I39" s="679"/>
      <c r="J39" s="725"/>
      <c r="K39" s="680"/>
      <c r="L39" s="681"/>
      <c r="M39" s="681"/>
      <c r="N39" s="681"/>
      <c r="O39" s="681"/>
      <c r="P39" s="681"/>
      <c r="Q39" s="856"/>
      <c r="R39" s="1071"/>
      <c r="S39" s="1094"/>
      <c r="T39" s="682"/>
      <c r="U39" s="726"/>
      <c r="V39" s="727"/>
      <c r="W39" s="717"/>
      <c r="X39" s="776"/>
      <c r="Y39" s="777"/>
      <c r="Z39" s="773"/>
      <c r="AA39" s="684">
        <f t="shared" si="3"/>
        <v>0</v>
      </c>
      <c r="AB39" s="684">
        <f t="shared" si="18"/>
        <v>0</v>
      </c>
      <c r="AC39" s="684">
        <f t="shared" si="19"/>
        <v>0</v>
      </c>
      <c r="AD39" s="684">
        <f>IF(AA39=0,,VLOOKUP(AA39,リスト!DH:DI,2,0))</f>
        <v>0</v>
      </c>
      <c r="AE39" s="684">
        <f t="shared" si="4"/>
        <v>0</v>
      </c>
      <c r="AF39" s="685">
        <f>IF(AE39=0,,VLOOKUP(AE39,リスト!DK:DL,2,0))</f>
        <v>0</v>
      </c>
      <c r="AG39" s="684">
        <f>IF(AA39=0,,
IF(OR(リスト!$C$21="小麦",リスト!$C$21="二条大麦",リスト!$C$21="六条大麦",リスト!$C$21="はだか麦",リスト!$C$21="なたね"),IF(K39&lt;9,調査年-J39,調査年-J39-1),
IF(リスト!$C$21="さとうきび",IF(K39&gt;=4,調査年-J39,調査年-J39+1),
調査年-J39)))</f>
        <v>0</v>
      </c>
      <c r="AH39" s="385">
        <f t="shared" si="5"/>
        <v>0</v>
      </c>
      <c r="AI39" s="385">
        <f t="shared" si="6"/>
        <v>0</v>
      </c>
      <c r="AJ39" s="385">
        <f t="shared" si="7"/>
        <v>0</v>
      </c>
      <c r="AK39" s="385">
        <f t="shared" si="8"/>
        <v>0</v>
      </c>
      <c r="AL39" s="385">
        <f t="shared" si="9"/>
        <v>0</v>
      </c>
      <c r="AM39" s="385">
        <f t="shared" si="17"/>
        <v>0</v>
      </c>
      <c r="AN39" s="394"/>
      <c r="AO39" s="385">
        <f>IF(OR(S39=0,AI39=0),,
IF(OR(リスト!$C$21="小麦",リスト!$C$21="二条大麦",リスト!$C$21="六条大麦",リスト!$C$21="はだか麦",リスト!$C$21="なたね"),IF(OR(AND(K39&lt;9,J39=調査年),AND(K39&gt;=9,J39=調査年-1)),,ROUND(AI39*S39%,0)),
IF(リスト!$C$21="さとうきび",IF(OR(AND(K39&gt;=4,J39=調査年),AND(K39&lt;4,J39=調査年+1)),,ROUND(AI39*S39%,0)),
IF(J39=調査年,,ROUND(AI39*S39%,0)))))</f>
        <v>0</v>
      </c>
      <c r="AP39" s="385">
        <f t="shared" si="10"/>
        <v>0</v>
      </c>
      <c r="AQ39" s="385">
        <f t="shared" si="11"/>
        <v>0</v>
      </c>
      <c r="AR39" s="385">
        <f t="shared" si="12"/>
        <v>0</v>
      </c>
      <c r="AS39" s="385">
        <f>IF(S39=0,,
SUM(
IF(OR(リスト!$C$21="小麦",リスト!$C$21="二条大麦",リスト!$C$21="六条大麦",リスト!$C$21="はだか麦",リスト!$C$21="なたね"),IF(OR(AND(AB39=1,K39&lt;9,J39=調査年),AND(AB39=1,K39&gt;=9,J39=調査年-1)),ROUND(L39*S39%,0),),
IF(リスト!$C$21="さとうきび",IF(OR(AND(AB39=1,K39&gt;=4,J39=調査年),AND(AB39=1,K39&lt;4,J39=調査年+1)),ROUND(L39*S39%,0),),
IF(AND(AB39=1,J39=調査年),ROUND(L39*S39%,0),))),
ROUND(N39*S39%,0),
ROUND(SUM(AM39)*S39%,0)
))</f>
        <v>0</v>
      </c>
      <c r="AT39" s="385">
        <f t="shared" si="13"/>
        <v>0</v>
      </c>
      <c r="AU39" s="385">
        <f t="shared" si="14"/>
        <v>0</v>
      </c>
      <c r="AV39" s="385">
        <f t="shared" si="15"/>
        <v>0</v>
      </c>
      <c r="AW39" s="385">
        <f t="shared" si="15"/>
        <v>0</v>
      </c>
      <c r="AX39" s="385">
        <f t="shared" si="15"/>
        <v>0</v>
      </c>
      <c r="AY39" s="721">
        <f t="shared" si="16"/>
        <v>0</v>
      </c>
      <c r="AZ39" s="686"/>
      <c r="BA39" s="686"/>
      <c r="BB39" s="686"/>
      <c r="BC39" s="686"/>
    </row>
    <row r="40" spans="3:55" s="46" customFormat="1" ht="30.75" hidden="1" customHeight="1" outlineLevel="1">
      <c r="C40" s="740">
        <v>24</v>
      </c>
      <c r="D40" s="687"/>
      <c r="E40" s="774"/>
      <c r="F40" s="770"/>
      <c r="G40" s="1961"/>
      <c r="H40" s="1962"/>
      <c r="I40" s="679"/>
      <c r="J40" s="725"/>
      <c r="K40" s="680"/>
      <c r="L40" s="681"/>
      <c r="M40" s="681"/>
      <c r="N40" s="681"/>
      <c r="O40" s="681"/>
      <c r="P40" s="681"/>
      <c r="Q40" s="856"/>
      <c r="R40" s="1071"/>
      <c r="S40" s="1094"/>
      <c r="T40" s="682"/>
      <c r="U40" s="726"/>
      <c r="V40" s="727"/>
      <c r="W40" s="717"/>
      <c r="X40" s="776"/>
      <c r="Y40" s="777"/>
      <c r="Z40" s="773"/>
      <c r="AA40" s="684">
        <f t="shared" si="3"/>
        <v>0</v>
      </c>
      <c r="AB40" s="684">
        <f t="shared" si="18"/>
        <v>0</v>
      </c>
      <c r="AC40" s="684">
        <f t="shared" si="19"/>
        <v>0</v>
      </c>
      <c r="AD40" s="684">
        <f>IF(AA40=0,,VLOOKUP(AA40,リスト!DH:DI,2,0))</f>
        <v>0</v>
      </c>
      <c r="AE40" s="684">
        <f t="shared" si="4"/>
        <v>0</v>
      </c>
      <c r="AF40" s="685">
        <f>IF(AE40=0,,VLOOKUP(AE40,リスト!DK:DL,2,0))</f>
        <v>0</v>
      </c>
      <c r="AG40" s="684">
        <f>IF(AA40=0,,
IF(OR(リスト!$C$21="小麦",リスト!$C$21="二条大麦",リスト!$C$21="六条大麦",リスト!$C$21="はだか麦",リスト!$C$21="なたね"),IF(K40&lt;9,調査年-J40,調査年-J40-1),
IF(リスト!$C$21="さとうきび",IF(K40&gt;=4,調査年-J40,調査年-J40+1),
調査年-J40)))</f>
        <v>0</v>
      </c>
      <c r="AH40" s="385">
        <f t="shared" si="5"/>
        <v>0</v>
      </c>
      <c r="AI40" s="385">
        <f t="shared" si="6"/>
        <v>0</v>
      </c>
      <c r="AJ40" s="385">
        <f t="shared" si="7"/>
        <v>0</v>
      </c>
      <c r="AK40" s="385">
        <f t="shared" si="8"/>
        <v>0</v>
      </c>
      <c r="AL40" s="385">
        <f t="shared" si="9"/>
        <v>0</v>
      </c>
      <c r="AM40" s="385">
        <f t="shared" si="17"/>
        <v>0</v>
      </c>
      <c r="AN40" s="394"/>
      <c r="AO40" s="385">
        <f>IF(OR(S40=0,AI40=0),,
IF(OR(リスト!$C$21="小麦",リスト!$C$21="二条大麦",リスト!$C$21="六条大麦",リスト!$C$21="はだか麦",リスト!$C$21="なたね"),IF(OR(AND(K40&lt;9,J40=調査年),AND(K40&gt;=9,J40=調査年-1)),,ROUND(AI40*S40%,0)),
IF(リスト!$C$21="さとうきび",IF(OR(AND(K40&gt;=4,J40=調査年),AND(K40&lt;4,J40=調査年+1)),,ROUND(AI40*S40%,0)),
IF(J40=調査年,,ROUND(AI40*S40%,0)))))</f>
        <v>0</v>
      </c>
      <c r="AP40" s="385">
        <f t="shared" si="10"/>
        <v>0</v>
      </c>
      <c r="AQ40" s="385">
        <f t="shared" si="11"/>
        <v>0</v>
      </c>
      <c r="AR40" s="385">
        <f t="shared" si="12"/>
        <v>0</v>
      </c>
      <c r="AS40" s="385">
        <f>IF(S40=0,,
SUM(
IF(OR(リスト!$C$21="小麦",リスト!$C$21="二条大麦",リスト!$C$21="六条大麦",リスト!$C$21="はだか麦",リスト!$C$21="なたね"),IF(OR(AND(AB40=1,K40&lt;9,J40=調査年),AND(AB40=1,K40&gt;=9,J40=調査年-1)),ROUND(L40*S40%,0),),
IF(リスト!$C$21="さとうきび",IF(OR(AND(AB40=1,K40&gt;=4,J40=調査年),AND(AB40=1,K40&lt;4,J40=調査年+1)),ROUND(L40*S40%,0),),
IF(AND(AB40=1,J40=調査年),ROUND(L40*S40%,0),))),
ROUND(N40*S40%,0),
ROUND(SUM(AM40)*S40%,0)
))</f>
        <v>0</v>
      </c>
      <c r="AT40" s="385">
        <f t="shared" si="13"/>
        <v>0</v>
      </c>
      <c r="AU40" s="385">
        <f t="shared" si="14"/>
        <v>0</v>
      </c>
      <c r="AV40" s="385">
        <f t="shared" si="15"/>
        <v>0</v>
      </c>
      <c r="AW40" s="385">
        <f t="shared" si="15"/>
        <v>0</v>
      </c>
      <c r="AX40" s="385">
        <f t="shared" si="15"/>
        <v>0</v>
      </c>
      <c r="AY40" s="721">
        <f t="shared" si="16"/>
        <v>0</v>
      </c>
      <c r="AZ40" s="686"/>
      <c r="BA40" s="686"/>
      <c r="BB40" s="686"/>
      <c r="BC40" s="686"/>
    </row>
    <row r="41" spans="3:55" s="46" customFormat="1" ht="30.75" hidden="1" customHeight="1" outlineLevel="1">
      <c r="C41" s="740">
        <v>25</v>
      </c>
      <c r="D41" s="687"/>
      <c r="E41" s="774"/>
      <c r="F41" s="770"/>
      <c r="G41" s="1961"/>
      <c r="H41" s="1962"/>
      <c r="I41" s="679"/>
      <c r="J41" s="725"/>
      <c r="K41" s="680"/>
      <c r="L41" s="681"/>
      <c r="M41" s="681"/>
      <c r="N41" s="681"/>
      <c r="O41" s="681"/>
      <c r="P41" s="681"/>
      <c r="Q41" s="856"/>
      <c r="R41" s="1071"/>
      <c r="S41" s="1094"/>
      <c r="T41" s="682"/>
      <c r="U41" s="726"/>
      <c r="V41" s="727"/>
      <c r="W41" s="717"/>
      <c r="X41" s="776"/>
      <c r="Y41" s="777"/>
      <c r="Z41" s="773"/>
      <c r="AA41" s="684">
        <f t="shared" si="3"/>
        <v>0</v>
      </c>
      <c r="AB41" s="684">
        <f t="shared" si="18"/>
        <v>0</v>
      </c>
      <c r="AC41" s="684">
        <f t="shared" si="19"/>
        <v>0</v>
      </c>
      <c r="AD41" s="684">
        <f>IF(AA41=0,,VLOOKUP(AA41,リスト!DH:DI,2,0))</f>
        <v>0</v>
      </c>
      <c r="AE41" s="684">
        <f t="shared" si="4"/>
        <v>0</v>
      </c>
      <c r="AF41" s="685">
        <f>IF(AE41=0,,VLOOKUP(AE41,リスト!DK:DL,2,0))</f>
        <v>0</v>
      </c>
      <c r="AG41" s="684">
        <f>IF(AA41=0,,
IF(OR(リスト!$C$21="小麦",リスト!$C$21="二条大麦",リスト!$C$21="六条大麦",リスト!$C$21="はだか麦",リスト!$C$21="なたね"),IF(K41&lt;9,調査年-J41,調査年-J41-1),
IF(リスト!$C$21="さとうきび",IF(K41&gt;=4,調査年-J41,調査年-J41+1),
調査年-J41)))</f>
        <v>0</v>
      </c>
      <c r="AH41" s="385">
        <f t="shared" si="5"/>
        <v>0</v>
      </c>
      <c r="AI41" s="385">
        <f t="shared" si="6"/>
        <v>0</v>
      </c>
      <c r="AJ41" s="385">
        <f t="shared" si="7"/>
        <v>0</v>
      </c>
      <c r="AK41" s="385">
        <f t="shared" si="8"/>
        <v>0</v>
      </c>
      <c r="AL41" s="385">
        <f t="shared" si="9"/>
        <v>0</v>
      </c>
      <c r="AM41" s="385">
        <f t="shared" si="17"/>
        <v>0</v>
      </c>
      <c r="AN41" s="394"/>
      <c r="AO41" s="385">
        <f>IF(OR(S41=0,AI41=0),,
IF(OR(リスト!$C$21="小麦",リスト!$C$21="二条大麦",リスト!$C$21="六条大麦",リスト!$C$21="はだか麦",リスト!$C$21="なたね"),IF(OR(AND(K41&lt;9,J41=調査年),AND(K41&gt;=9,J41=調査年-1)),,ROUND(AI41*S41%,0)),
IF(リスト!$C$21="さとうきび",IF(OR(AND(K41&gt;=4,J41=調査年),AND(K41&lt;4,J41=調査年+1)),,ROUND(AI41*S41%,0)),
IF(J41=調査年,,ROUND(AI41*S41%,0)))))</f>
        <v>0</v>
      </c>
      <c r="AP41" s="385">
        <f t="shared" si="10"/>
        <v>0</v>
      </c>
      <c r="AQ41" s="385">
        <f t="shared" si="11"/>
        <v>0</v>
      </c>
      <c r="AR41" s="385">
        <f t="shared" si="12"/>
        <v>0</v>
      </c>
      <c r="AS41" s="385">
        <f>IF(S41=0,,
SUM(
IF(OR(リスト!$C$21="小麦",リスト!$C$21="二条大麦",リスト!$C$21="六条大麦",リスト!$C$21="はだか麦",リスト!$C$21="なたね"),IF(OR(AND(AB41=1,K41&lt;9,J41=調査年),AND(AB41=1,K41&gt;=9,J41=調査年-1)),ROUND(L41*S41%,0),),
IF(リスト!$C$21="さとうきび",IF(OR(AND(AB41=1,K41&gt;=4,J41=調査年),AND(AB41=1,K41&lt;4,J41=調査年+1)),ROUND(L41*S41%,0),),
IF(AND(AB41=1,J41=調査年),ROUND(L41*S41%,0),))),
ROUND(N41*S41%,0),
ROUND(SUM(AM41)*S41%,0)
))</f>
        <v>0</v>
      </c>
      <c r="AT41" s="385">
        <f t="shared" si="13"/>
        <v>0</v>
      </c>
      <c r="AU41" s="385">
        <f t="shared" si="14"/>
        <v>0</v>
      </c>
      <c r="AV41" s="385">
        <f t="shared" si="15"/>
        <v>0</v>
      </c>
      <c r="AW41" s="385">
        <f t="shared" si="15"/>
        <v>0</v>
      </c>
      <c r="AX41" s="385">
        <f t="shared" si="15"/>
        <v>0</v>
      </c>
      <c r="AY41" s="721">
        <f t="shared" si="16"/>
        <v>0</v>
      </c>
      <c r="AZ41" s="686"/>
      <c r="BA41" s="686"/>
      <c r="BB41" s="686"/>
      <c r="BC41" s="686"/>
    </row>
    <row r="42" spans="3:55" s="46" customFormat="1" ht="30.75" hidden="1" customHeight="1" outlineLevel="1">
      <c r="C42" s="740">
        <v>26</v>
      </c>
      <c r="D42" s="687"/>
      <c r="E42" s="774"/>
      <c r="F42" s="770"/>
      <c r="G42" s="1961"/>
      <c r="H42" s="1962"/>
      <c r="I42" s="679"/>
      <c r="J42" s="725"/>
      <c r="K42" s="680"/>
      <c r="L42" s="681"/>
      <c r="M42" s="681"/>
      <c r="N42" s="681"/>
      <c r="O42" s="681"/>
      <c r="P42" s="681"/>
      <c r="Q42" s="856"/>
      <c r="R42" s="1071"/>
      <c r="S42" s="1094"/>
      <c r="T42" s="682"/>
      <c r="U42" s="726"/>
      <c r="V42" s="727"/>
      <c r="W42" s="717"/>
      <c r="X42" s="776"/>
      <c r="Y42" s="777"/>
      <c r="Z42" s="773"/>
      <c r="AA42" s="684">
        <f t="shared" si="3"/>
        <v>0</v>
      </c>
      <c r="AB42" s="684">
        <f t="shared" si="18"/>
        <v>0</v>
      </c>
      <c r="AC42" s="684">
        <f t="shared" si="19"/>
        <v>0</v>
      </c>
      <c r="AD42" s="684">
        <f>IF(AA42=0,,VLOOKUP(AA42,リスト!DH:DI,2,0))</f>
        <v>0</v>
      </c>
      <c r="AE42" s="684">
        <f t="shared" si="4"/>
        <v>0</v>
      </c>
      <c r="AF42" s="685">
        <f>IF(AE42=0,,VLOOKUP(AE42,リスト!DK:DL,2,0))</f>
        <v>0</v>
      </c>
      <c r="AG42" s="684">
        <f>IF(AA42=0,,
IF(OR(リスト!$C$21="小麦",リスト!$C$21="二条大麦",リスト!$C$21="六条大麦",リスト!$C$21="はだか麦",リスト!$C$21="なたね"),IF(K42&lt;9,調査年-J42,調査年-J42-1),
IF(リスト!$C$21="さとうきび",IF(K42&gt;=4,調査年-J42,調査年-J42+1),
調査年-J42)))</f>
        <v>0</v>
      </c>
      <c r="AH42" s="385">
        <f t="shared" si="5"/>
        <v>0</v>
      </c>
      <c r="AI42" s="385">
        <f t="shared" si="6"/>
        <v>0</v>
      </c>
      <c r="AJ42" s="385">
        <f t="shared" si="7"/>
        <v>0</v>
      </c>
      <c r="AK42" s="385">
        <f t="shared" si="8"/>
        <v>0</v>
      </c>
      <c r="AL42" s="385">
        <f t="shared" si="9"/>
        <v>0</v>
      </c>
      <c r="AM42" s="385">
        <f t="shared" si="17"/>
        <v>0</v>
      </c>
      <c r="AN42" s="394"/>
      <c r="AO42" s="385">
        <f>IF(OR(S42=0,AI42=0),,
IF(OR(リスト!$C$21="小麦",リスト!$C$21="二条大麦",リスト!$C$21="六条大麦",リスト!$C$21="はだか麦",リスト!$C$21="なたね"),IF(OR(AND(K42&lt;9,J42=調査年),AND(K42&gt;=9,J42=調査年-1)),,ROUND(AI42*S42%,0)),
IF(リスト!$C$21="さとうきび",IF(OR(AND(K42&gt;=4,J42=調査年),AND(K42&lt;4,J42=調査年+1)),,ROUND(AI42*S42%,0)),
IF(J42=調査年,,ROUND(AI42*S42%,0)))))</f>
        <v>0</v>
      </c>
      <c r="AP42" s="385">
        <f t="shared" si="10"/>
        <v>0</v>
      </c>
      <c r="AQ42" s="385">
        <f t="shared" si="11"/>
        <v>0</v>
      </c>
      <c r="AR42" s="385">
        <f t="shared" si="12"/>
        <v>0</v>
      </c>
      <c r="AS42" s="385">
        <f>IF(S42=0,,
SUM(
IF(OR(リスト!$C$21="小麦",リスト!$C$21="二条大麦",リスト!$C$21="六条大麦",リスト!$C$21="はだか麦",リスト!$C$21="なたね"),IF(OR(AND(AB42=1,K42&lt;9,J42=調査年),AND(AB42=1,K42&gt;=9,J42=調査年-1)),ROUND(L42*S42%,0),),
IF(リスト!$C$21="さとうきび",IF(OR(AND(AB42=1,K42&gt;=4,J42=調査年),AND(AB42=1,K42&lt;4,J42=調査年+1)),ROUND(L42*S42%,0),),
IF(AND(AB42=1,J42=調査年),ROUND(L42*S42%,0),))),
ROUND(N42*S42%,0),
ROUND(SUM(AM42)*S42%,0)
))</f>
        <v>0</v>
      </c>
      <c r="AT42" s="385">
        <f t="shared" si="13"/>
        <v>0</v>
      </c>
      <c r="AU42" s="385">
        <f t="shared" si="14"/>
        <v>0</v>
      </c>
      <c r="AV42" s="385">
        <f t="shared" si="15"/>
        <v>0</v>
      </c>
      <c r="AW42" s="385">
        <f t="shared" si="15"/>
        <v>0</v>
      </c>
      <c r="AX42" s="385">
        <f t="shared" si="15"/>
        <v>0</v>
      </c>
      <c r="AY42" s="721">
        <f t="shared" si="16"/>
        <v>0</v>
      </c>
      <c r="AZ42" s="686"/>
      <c r="BA42" s="686"/>
      <c r="BB42" s="686"/>
      <c r="BC42" s="686"/>
    </row>
    <row r="43" spans="3:55" s="46" customFormat="1" ht="30.75" hidden="1" customHeight="1" outlineLevel="1">
      <c r="C43" s="740">
        <v>27</v>
      </c>
      <c r="D43" s="687"/>
      <c r="E43" s="774"/>
      <c r="F43" s="770"/>
      <c r="G43" s="1961"/>
      <c r="H43" s="1962"/>
      <c r="I43" s="679"/>
      <c r="J43" s="725"/>
      <c r="K43" s="680"/>
      <c r="L43" s="681"/>
      <c r="M43" s="681"/>
      <c r="N43" s="681"/>
      <c r="O43" s="681"/>
      <c r="P43" s="681"/>
      <c r="Q43" s="856"/>
      <c r="R43" s="1071"/>
      <c r="S43" s="1094"/>
      <c r="T43" s="682"/>
      <c r="U43" s="726"/>
      <c r="V43" s="727"/>
      <c r="W43" s="717"/>
      <c r="X43" s="776"/>
      <c r="Y43" s="777"/>
      <c r="Z43" s="773"/>
      <c r="AA43" s="684">
        <f t="shared" si="3"/>
        <v>0</v>
      </c>
      <c r="AB43" s="684">
        <f t="shared" si="18"/>
        <v>0</v>
      </c>
      <c r="AC43" s="684">
        <f t="shared" si="19"/>
        <v>0</v>
      </c>
      <c r="AD43" s="684">
        <f>IF(AA43=0,,VLOOKUP(AA43,リスト!DH:DI,2,0))</f>
        <v>0</v>
      </c>
      <c r="AE43" s="684">
        <f t="shared" si="4"/>
        <v>0</v>
      </c>
      <c r="AF43" s="685">
        <f>IF(AE43=0,,VLOOKUP(AE43,リスト!DK:DL,2,0))</f>
        <v>0</v>
      </c>
      <c r="AG43" s="684">
        <f>IF(AA43=0,,
IF(OR(リスト!$C$21="小麦",リスト!$C$21="二条大麦",リスト!$C$21="六条大麦",リスト!$C$21="はだか麦",リスト!$C$21="なたね"),IF(K43&lt;9,調査年-J43,調査年-J43-1),
IF(リスト!$C$21="さとうきび",IF(K43&gt;=4,調査年-J43,調査年-J43+1),
調査年-J43)))</f>
        <v>0</v>
      </c>
      <c r="AH43" s="385">
        <f t="shared" si="5"/>
        <v>0</v>
      </c>
      <c r="AI43" s="385">
        <f t="shared" si="6"/>
        <v>0</v>
      </c>
      <c r="AJ43" s="385">
        <f t="shared" si="7"/>
        <v>0</v>
      </c>
      <c r="AK43" s="385">
        <f t="shared" si="8"/>
        <v>0</v>
      </c>
      <c r="AL43" s="385">
        <f t="shared" si="9"/>
        <v>0</v>
      </c>
      <c r="AM43" s="385">
        <f t="shared" si="17"/>
        <v>0</v>
      </c>
      <c r="AN43" s="394"/>
      <c r="AO43" s="385">
        <f>IF(OR(S43=0,AI43=0),,
IF(OR(リスト!$C$21="小麦",リスト!$C$21="二条大麦",リスト!$C$21="六条大麦",リスト!$C$21="はだか麦",リスト!$C$21="なたね"),IF(OR(AND(K43&lt;9,J43=調査年),AND(K43&gt;=9,J43=調査年-1)),,ROUND(AI43*S43%,0)),
IF(リスト!$C$21="さとうきび",IF(OR(AND(K43&gt;=4,J43=調査年),AND(K43&lt;4,J43=調査年+1)),,ROUND(AI43*S43%,0)),
IF(J43=調査年,,ROUND(AI43*S43%,0)))))</f>
        <v>0</v>
      </c>
      <c r="AP43" s="385">
        <f t="shared" si="10"/>
        <v>0</v>
      </c>
      <c r="AQ43" s="385">
        <f t="shared" si="11"/>
        <v>0</v>
      </c>
      <c r="AR43" s="385">
        <f t="shared" si="12"/>
        <v>0</v>
      </c>
      <c r="AS43" s="385">
        <f>IF(S43=0,,
SUM(
IF(OR(リスト!$C$21="小麦",リスト!$C$21="二条大麦",リスト!$C$21="六条大麦",リスト!$C$21="はだか麦",リスト!$C$21="なたね"),IF(OR(AND(AB43=1,K43&lt;9,J43=調査年),AND(AB43=1,K43&gt;=9,J43=調査年-1)),ROUND(L43*S43%,0),),
IF(リスト!$C$21="さとうきび",IF(OR(AND(AB43=1,K43&gt;=4,J43=調査年),AND(AB43=1,K43&lt;4,J43=調査年+1)),ROUND(L43*S43%,0),),
IF(AND(AB43=1,J43=調査年),ROUND(L43*S43%,0),))),
ROUND(N43*S43%,0),
ROUND(SUM(AM43)*S43%,0)
))</f>
        <v>0</v>
      </c>
      <c r="AT43" s="385">
        <f t="shared" si="13"/>
        <v>0</v>
      </c>
      <c r="AU43" s="385">
        <f t="shared" si="14"/>
        <v>0</v>
      </c>
      <c r="AV43" s="385">
        <f t="shared" si="15"/>
        <v>0</v>
      </c>
      <c r="AW43" s="385">
        <f t="shared" si="15"/>
        <v>0</v>
      </c>
      <c r="AX43" s="385">
        <f t="shared" si="15"/>
        <v>0</v>
      </c>
      <c r="AY43" s="721">
        <f t="shared" si="16"/>
        <v>0</v>
      </c>
      <c r="AZ43" s="686"/>
      <c r="BA43" s="686"/>
      <c r="BB43" s="686"/>
      <c r="BC43" s="686"/>
    </row>
    <row r="44" spans="3:55" s="46" customFormat="1" ht="30.75" hidden="1" customHeight="1" outlineLevel="1">
      <c r="C44" s="740">
        <v>28</v>
      </c>
      <c r="D44" s="687"/>
      <c r="E44" s="774"/>
      <c r="F44" s="770"/>
      <c r="G44" s="1961"/>
      <c r="H44" s="1962"/>
      <c r="I44" s="679"/>
      <c r="J44" s="725"/>
      <c r="K44" s="680"/>
      <c r="L44" s="681"/>
      <c r="M44" s="681"/>
      <c r="N44" s="681"/>
      <c r="O44" s="681"/>
      <c r="P44" s="681"/>
      <c r="Q44" s="856"/>
      <c r="R44" s="1071"/>
      <c r="S44" s="1094"/>
      <c r="T44" s="682"/>
      <c r="U44" s="726"/>
      <c r="V44" s="727"/>
      <c r="W44" s="717"/>
      <c r="X44" s="776"/>
      <c r="Y44" s="777"/>
      <c r="Z44" s="773"/>
      <c r="AA44" s="684">
        <f t="shared" si="3"/>
        <v>0</v>
      </c>
      <c r="AB44" s="684">
        <f t="shared" si="18"/>
        <v>0</v>
      </c>
      <c r="AC44" s="684">
        <f t="shared" si="19"/>
        <v>0</v>
      </c>
      <c r="AD44" s="684">
        <f>IF(AA44=0,,VLOOKUP(AA44,リスト!DH:DI,2,0))</f>
        <v>0</v>
      </c>
      <c r="AE44" s="684">
        <f t="shared" si="4"/>
        <v>0</v>
      </c>
      <c r="AF44" s="685">
        <f>IF(AE44=0,,VLOOKUP(AE44,リスト!DK:DL,2,0))</f>
        <v>0</v>
      </c>
      <c r="AG44" s="684">
        <f>IF(AA44=0,,
IF(OR(リスト!$C$21="小麦",リスト!$C$21="二条大麦",リスト!$C$21="六条大麦",リスト!$C$21="はだか麦",リスト!$C$21="なたね"),IF(K44&lt;9,調査年-J44,調査年-J44-1),
IF(リスト!$C$21="さとうきび",IF(K44&gt;=4,調査年-J44,調査年-J44+1),
調査年-J44)))</f>
        <v>0</v>
      </c>
      <c r="AH44" s="385">
        <f t="shared" si="5"/>
        <v>0</v>
      </c>
      <c r="AI44" s="385">
        <f t="shared" si="6"/>
        <v>0</v>
      </c>
      <c r="AJ44" s="385">
        <f t="shared" si="7"/>
        <v>0</v>
      </c>
      <c r="AK44" s="385">
        <f t="shared" si="8"/>
        <v>0</v>
      </c>
      <c r="AL44" s="385">
        <f t="shared" si="9"/>
        <v>0</v>
      </c>
      <c r="AM44" s="385">
        <f t="shared" si="17"/>
        <v>0</v>
      </c>
      <c r="AN44" s="394"/>
      <c r="AO44" s="385">
        <f>IF(OR(S44=0,AI44=0),,
IF(OR(リスト!$C$21="小麦",リスト!$C$21="二条大麦",リスト!$C$21="六条大麦",リスト!$C$21="はだか麦",リスト!$C$21="なたね"),IF(OR(AND(K44&lt;9,J44=調査年),AND(K44&gt;=9,J44=調査年-1)),,ROUND(AI44*S44%,0)),
IF(リスト!$C$21="さとうきび",IF(OR(AND(K44&gt;=4,J44=調査年),AND(K44&lt;4,J44=調査年+1)),,ROUND(AI44*S44%,0)),
IF(J44=調査年,,ROUND(AI44*S44%,0)))))</f>
        <v>0</v>
      </c>
      <c r="AP44" s="385">
        <f t="shared" si="10"/>
        <v>0</v>
      </c>
      <c r="AQ44" s="385">
        <f t="shared" si="11"/>
        <v>0</v>
      </c>
      <c r="AR44" s="385">
        <f t="shared" si="12"/>
        <v>0</v>
      </c>
      <c r="AS44" s="385">
        <f>IF(S44=0,,
SUM(
IF(OR(リスト!$C$21="小麦",リスト!$C$21="二条大麦",リスト!$C$21="六条大麦",リスト!$C$21="はだか麦",リスト!$C$21="なたね"),IF(OR(AND(AB44=1,K44&lt;9,J44=調査年),AND(AB44=1,K44&gt;=9,J44=調査年-1)),ROUND(L44*S44%,0),),
IF(リスト!$C$21="さとうきび",IF(OR(AND(AB44=1,K44&gt;=4,J44=調査年),AND(AB44=1,K44&lt;4,J44=調査年+1)),ROUND(L44*S44%,0),),
IF(AND(AB44=1,J44=調査年),ROUND(L44*S44%,0),))),
ROUND(N44*S44%,0),
ROUND(SUM(AM44)*S44%,0)
))</f>
        <v>0</v>
      </c>
      <c r="AT44" s="385">
        <f t="shared" si="13"/>
        <v>0</v>
      </c>
      <c r="AU44" s="385">
        <f t="shared" si="14"/>
        <v>0</v>
      </c>
      <c r="AV44" s="385">
        <f t="shared" si="15"/>
        <v>0</v>
      </c>
      <c r="AW44" s="385">
        <f t="shared" si="15"/>
        <v>0</v>
      </c>
      <c r="AX44" s="385">
        <f t="shared" si="15"/>
        <v>0</v>
      </c>
      <c r="AY44" s="721">
        <f t="shared" si="16"/>
        <v>0</v>
      </c>
      <c r="AZ44" s="686"/>
      <c r="BA44" s="686"/>
      <c r="BB44" s="686"/>
      <c r="BC44" s="686"/>
    </row>
    <row r="45" spans="3:55" s="46" customFormat="1" ht="30.75" hidden="1" customHeight="1" outlineLevel="1">
      <c r="C45" s="740">
        <v>29</v>
      </c>
      <c r="D45" s="687"/>
      <c r="E45" s="774"/>
      <c r="F45" s="770"/>
      <c r="G45" s="1961"/>
      <c r="H45" s="1962"/>
      <c r="I45" s="679"/>
      <c r="J45" s="725"/>
      <c r="K45" s="680"/>
      <c r="L45" s="681"/>
      <c r="M45" s="681"/>
      <c r="N45" s="681"/>
      <c r="O45" s="681"/>
      <c r="P45" s="681"/>
      <c r="Q45" s="856"/>
      <c r="R45" s="1071"/>
      <c r="S45" s="1094"/>
      <c r="T45" s="682"/>
      <c r="U45" s="726"/>
      <c r="V45" s="727"/>
      <c r="W45" s="717"/>
      <c r="X45" s="776"/>
      <c r="Y45" s="777"/>
      <c r="Z45" s="773"/>
      <c r="AA45" s="684">
        <f t="shared" si="3"/>
        <v>0</v>
      </c>
      <c r="AB45" s="684">
        <f t="shared" si="18"/>
        <v>0</v>
      </c>
      <c r="AC45" s="684">
        <f t="shared" si="19"/>
        <v>0</v>
      </c>
      <c r="AD45" s="684">
        <f>IF(AA45=0,,VLOOKUP(AA45,リスト!DH:DI,2,0))</f>
        <v>0</v>
      </c>
      <c r="AE45" s="684">
        <f t="shared" si="4"/>
        <v>0</v>
      </c>
      <c r="AF45" s="685">
        <f>IF(AE45=0,,VLOOKUP(AE45,リスト!DK:DL,2,0))</f>
        <v>0</v>
      </c>
      <c r="AG45" s="684">
        <f>IF(AA45=0,,
IF(OR(リスト!$C$21="小麦",リスト!$C$21="二条大麦",リスト!$C$21="六条大麦",リスト!$C$21="はだか麦",リスト!$C$21="なたね"),IF(K45&lt;9,調査年-J45,調査年-J45-1),
IF(リスト!$C$21="さとうきび",IF(K45&gt;=4,調査年-J45,調査年-J45+1),
調査年-J45)))</f>
        <v>0</v>
      </c>
      <c r="AH45" s="385">
        <f t="shared" si="5"/>
        <v>0</v>
      </c>
      <c r="AI45" s="385">
        <f t="shared" si="6"/>
        <v>0</v>
      </c>
      <c r="AJ45" s="385">
        <f t="shared" si="7"/>
        <v>0</v>
      </c>
      <c r="AK45" s="385">
        <f t="shared" si="8"/>
        <v>0</v>
      </c>
      <c r="AL45" s="385">
        <f t="shared" si="9"/>
        <v>0</v>
      </c>
      <c r="AM45" s="385">
        <f t="shared" si="17"/>
        <v>0</v>
      </c>
      <c r="AN45" s="394"/>
      <c r="AO45" s="385">
        <f>IF(OR(S45=0,AI45=0),,
IF(OR(リスト!$C$21="小麦",リスト!$C$21="二条大麦",リスト!$C$21="六条大麦",リスト!$C$21="はだか麦",リスト!$C$21="なたね"),IF(OR(AND(K45&lt;9,J45=調査年),AND(K45&gt;=9,J45=調査年-1)),,ROUND(AI45*S45%,0)),
IF(リスト!$C$21="さとうきび",IF(OR(AND(K45&gt;=4,J45=調査年),AND(K45&lt;4,J45=調査年+1)),,ROUND(AI45*S45%,0)),
IF(J45=調査年,,ROUND(AI45*S45%,0)))))</f>
        <v>0</v>
      </c>
      <c r="AP45" s="385">
        <f t="shared" si="10"/>
        <v>0</v>
      </c>
      <c r="AQ45" s="385">
        <f t="shared" si="11"/>
        <v>0</v>
      </c>
      <c r="AR45" s="385">
        <f t="shared" si="12"/>
        <v>0</v>
      </c>
      <c r="AS45" s="385">
        <f>IF(S45=0,,
SUM(
IF(OR(リスト!$C$21="小麦",リスト!$C$21="二条大麦",リスト!$C$21="六条大麦",リスト!$C$21="はだか麦",リスト!$C$21="なたね"),IF(OR(AND(AB45=1,K45&lt;9,J45=調査年),AND(AB45=1,K45&gt;=9,J45=調査年-1)),ROUND(L45*S45%,0),),
IF(リスト!$C$21="さとうきび",IF(OR(AND(AB45=1,K45&gt;=4,J45=調査年),AND(AB45=1,K45&lt;4,J45=調査年+1)),ROUND(L45*S45%,0),),
IF(AND(AB45=1,J45=調査年),ROUND(L45*S45%,0),))),
ROUND(N45*S45%,0),
ROUND(SUM(AM45)*S45%,0)
))</f>
        <v>0</v>
      </c>
      <c r="AT45" s="385">
        <f t="shared" si="13"/>
        <v>0</v>
      </c>
      <c r="AU45" s="385">
        <f t="shared" si="14"/>
        <v>0</v>
      </c>
      <c r="AV45" s="385">
        <f t="shared" si="15"/>
        <v>0</v>
      </c>
      <c r="AW45" s="385">
        <f t="shared" si="15"/>
        <v>0</v>
      </c>
      <c r="AX45" s="385">
        <f t="shared" si="15"/>
        <v>0</v>
      </c>
      <c r="AY45" s="721">
        <f t="shared" si="16"/>
        <v>0</v>
      </c>
      <c r="AZ45" s="686"/>
      <c r="BA45" s="686"/>
      <c r="BB45" s="686"/>
      <c r="BC45" s="686"/>
    </row>
    <row r="46" spans="3:55" s="46" customFormat="1" ht="30.75" hidden="1" customHeight="1" outlineLevel="1">
      <c r="C46" s="740">
        <v>30</v>
      </c>
      <c r="D46" s="687"/>
      <c r="E46" s="774"/>
      <c r="F46" s="770"/>
      <c r="G46" s="1961"/>
      <c r="H46" s="1962"/>
      <c r="I46" s="679"/>
      <c r="J46" s="725"/>
      <c r="K46" s="680"/>
      <c r="L46" s="681"/>
      <c r="M46" s="681"/>
      <c r="N46" s="681"/>
      <c r="O46" s="681"/>
      <c r="P46" s="681"/>
      <c r="Q46" s="856"/>
      <c r="R46" s="1071"/>
      <c r="S46" s="1094"/>
      <c r="T46" s="682"/>
      <c r="U46" s="726"/>
      <c r="V46" s="727"/>
      <c r="W46" s="717"/>
      <c r="X46" s="776"/>
      <c r="Y46" s="777"/>
      <c r="Z46" s="773"/>
      <c r="AA46" s="684">
        <f t="shared" si="3"/>
        <v>0</v>
      </c>
      <c r="AB46" s="684">
        <f t="shared" si="18"/>
        <v>0</v>
      </c>
      <c r="AC46" s="684">
        <f t="shared" si="19"/>
        <v>0</v>
      </c>
      <c r="AD46" s="684">
        <f>IF(AA46=0,,VLOOKUP(AA46,リスト!DH:DI,2,0))</f>
        <v>0</v>
      </c>
      <c r="AE46" s="684">
        <f t="shared" si="4"/>
        <v>0</v>
      </c>
      <c r="AF46" s="685">
        <f>IF(AE46=0,,VLOOKUP(AE46,リスト!DK:DL,2,0))</f>
        <v>0</v>
      </c>
      <c r="AG46" s="684">
        <f>IF(AA46=0,,
IF(OR(リスト!$C$21="小麦",リスト!$C$21="二条大麦",リスト!$C$21="六条大麦",リスト!$C$21="はだか麦",リスト!$C$21="なたね"),IF(K46&lt;9,調査年-J46,調査年-J46-1),
IF(リスト!$C$21="さとうきび",IF(K46&gt;=4,調査年-J46,調査年-J46+1),
調査年-J46)))</f>
        <v>0</v>
      </c>
      <c r="AH46" s="385">
        <f t="shared" si="5"/>
        <v>0</v>
      </c>
      <c r="AI46" s="385">
        <f t="shared" si="6"/>
        <v>0</v>
      </c>
      <c r="AJ46" s="385">
        <f t="shared" si="7"/>
        <v>0</v>
      </c>
      <c r="AK46" s="385">
        <f t="shared" si="8"/>
        <v>0</v>
      </c>
      <c r="AL46" s="385">
        <f t="shared" si="9"/>
        <v>0</v>
      </c>
      <c r="AM46" s="385">
        <f t="shared" si="17"/>
        <v>0</v>
      </c>
      <c r="AN46" s="394"/>
      <c r="AO46" s="385">
        <f>IF(OR(S46=0,AI46=0),,
IF(OR(リスト!$C$21="小麦",リスト!$C$21="二条大麦",リスト!$C$21="六条大麦",リスト!$C$21="はだか麦",リスト!$C$21="なたね"),IF(OR(AND(K46&lt;9,J46=調査年),AND(K46&gt;=9,J46=調査年-1)),,ROUND(AI46*S46%,0)),
IF(リスト!$C$21="さとうきび",IF(OR(AND(K46&gt;=4,J46=調査年),AND(K46&lt;4,J46=調査年+1)),,ROUND(AI46*S46%,0)),
IF(J46=調査年,,ROUND(AI46*S46%,0)))))</f>
        <v>0</v>
      </c>
      <c r="AP46" s="385">
        <f t="shared" si="10"/>
        <v>0</v>
      </c>
      <c r="AQ46" s="385">
        <f t="shared" si="11"/>
        <v>0</v>
      </c>
      <c r="AR46" s="385">
        <f t="shared" si="12"/>
        <v>0</v>
      </c>
      <c r="AS46" s="385">
        <f>IF(S46=0,,
SUM(
IF(OR(リスト!$C$21="小麦",リスト!$C$21="二条大麦",リスト!$C$21="六条大麦",リスト!$C$21="はだか麦",リスト!$C$21="なたね"),IF(OR(AND(AB46=1,K46&lt;9,J46=調査年),AND(AB46=1,K46&gt;=9,J46=調査年-1)),ROUND(L46*S46%,0),),
IF(リスト!$C$21="さとうきび",IF(OR(AND(AB46=1,K46&gt;=4,J46=調査年),AND(AB46=1,K46&lt;4,J46=調査年+1)),ROUND(L46*S46%,0),),
IF(AND(AB46=1,J46=調査年),ROUND(L46*S46%,0),))),
ROUND(N46*S46%,0),
ROUND(SUM(AM46)*S46%,0)
))</f>
        <v>0</v>
      </c>
      <c r="AT46" s="385">
        <f t="shared" si="13"/>
        <v>0</v>
      </c>
      <c r="AU46" s="385">
        <f t="shared" si="14"/>
        <v>0</v>
      </c>
      <c r="AV46" s="385">
        <f t="shared" si="15"/>
        <v>0</v>
      </c>
      <c r="AW46" s="385">
        <f t="shared" si="15"/>
        <v>0</v>
      </c>
      <c r="AX46" s="385">
        <f t="shared" si="15"/>
        <v>0</v>
      </c>
      <c r="AY46" s="721">
        <f t="shared" si="16"/>
        <v>0</v>
      </c>
      <c r="AZ46" s="686"/>
      <c r="BA46" s="686"/>
      <c r="BB46" s="686"/>
      <c r="BC46" s="686"/>
    </row>
    <row r="47" spans="3:55" s="46" customFormat="1" ht="30.75" hidden="1" customHeight="1" outlineLevel="1">
      <c r="C47" s="740">
        <v>31</v>
      </c>
      <c r="D47" s="687"/>
      <c r="E47" s="774"/>
      <c r="F47" s="770"/>
      <c r="G47" s="1961"/>
      <c r="H47" s="1962"/>
      <c r="I47" s="679"/>
      <c r="J47" s="725"/>
      <c r="K47" s="680"/>
      <c r="L47" s="681"/>
      <c r="M47" s="681"/>
      <c r="N47" s="681"/>
      <c r="O47" s="681"/>
      <c r="P47" s="681"/>
      <c r="Q47" s="856"/>
      <c r="R47" s="1071"/>
      <c r="S47" s="1094"/>
      <c r="T47" s="682"/>
      <c r="U47" s="726"/>
      <c r="V47" s="727"/>
      <c r="W47" s="717"/>
      <c r="X47" s="776"/>
      <c r="Y47" s="777"/>
      <c r="Z47" s="773"/>
      <c r="AA47" s="684">
        <f t="shared" si="3"/>
        <v>0</v>
      </c>
      <c r="AB47" s="684">
        <f t="shared" si="18"/>
        <v>0</v>
      </c>
      <c r="AC47" s="684">
        <f t="shared" si="19"/>
        <v>0</v>
      </c>
      <c r="AD47" s="684">
        <f>IF(AA47=0,,VLOOKUP(AA47,リスト!DH:DI,2,0))</f>
        <v>0</v>
      </c>
      <c r="AE47" s="684">
        <f t="shared" si="4"/>
        <v>0</v>
      </c>
      <c r="AF47" s="685">
        <f>IF(AE47=0,,VLOOKUP(AE47,リスト!DK:DL,2,0))</f>
        <v>0</v>
      </c>
      <c r="AG47" s="684">
        <f>IF(AA47=0,,
IF(OR(リスト!$C$21="小麦",リスト!$C$21="二条大麦",リスト!$C$21="六条大麦",リスト!$C$21="はだか麦",リスト!$C$21="なたね"),IF(K47&lt;9,調査年-J47,調査年-J47-1),
IF(リスト!$C$21="さとうきび",IF(K47&gt;=4,調査年-J47,調査年-J47+1),
調査年-J47)))</f>
        <v>0</v>
      </c>
      <c r="AH47" s="385">
        <f t="shared" si="5"/>
        <v>0</v>
      </c>
      <c r="AI47" s="385">
        <f t="shared" si="6"/>
        <v>0</v>
      </c>
      <c r="AJ47" s="385">
        <f t="shared" si="7"/>
        <v>0</v>
      </c>
      <c r="AK47" s="385">
        <f t="shared" si="8"/>
        <v>0</v>
      </c>
      <c r="AL47" s="385">
        <f t="shared" si="9"/>
        <v>0</v>
      </c>
      <c r="AM47" s="385">
        <f t="shared" si="17"/>
        <v>0</v>
      </c>
      <c r="AN47" s="394"/>
      <c r="AO47" s="385">
        <f>IF(OR(S47=0,AI47=0),,
IF(OR(リスト!$C$21="小麦",リスト!$C$21="二条大麦",リスト!$C$21="六条大麦",リスト!$C$21="はだか麦",リスト!$C$21="なたね"),IF(OR(AND(K47&lt;9,J47=調査年),AND(K47&gt;=9,J47=調査年-1)),,ROUND(AI47*S47%,0)),
IF(リスト!$C$21="さとうきび",IF(OR(AND(K47&gt;=4,J47=調査年),AND(K47&lt;4,J47=調査年+1)),,ROUND(AI47*S47%,0)),
IF(J47=調査年,,ROUND(AI47*S47%,0)))))</f>
        <v>0</v>
      </c>
      <c r="AP47" s="385">
        <f t="shared" si="10"/>
        <v>0</v>
      </c>
      <c r="AQ47" s="385">
        <f t="shared" si="11"/>
        <v>0</v>
      </c>
      <c r="AR47" s="385">
        <f t="shared" si="12"/>
        <v>0</v>
      </c>
      <c r="AS47" s="385">
        <f>IF(S47=0,,
SUM(
IF(OR(リスト!$C$21="小麦",リスト!$C$21="二条大麦",リスト!$C$21="六条大麦",リスト!$C$21="はだか麦",リスト!$C$21="なたね"),IF(OR(AND(AB47=1,K47&lt;9,J47=調査年),AND(AB47=1,K47&gt;=9,J47=調査年-1)),ROUND(L47*S47%,0),),
IF(リスト!$C$21="さとうきび",IF(OR(AND(AB47=1,K47&gt;=4,J47=調査年),AND(AB47=1,K47&lt;4,J47=調査年+1)),ROUND(L47*S47%,0),),
IF(AND(AB47=1,J47=調査年),ROUND(L47*S47%,0),))),
ROUND(N47*S47%,0),
ROUND(SUM(AM47)*S47%,0)
))</f>
        <v>0</v>
      </c>
      <c r="AT47" s="385">
        <f t="shared" si="13"/>
        <v>0</v>
      </c>
      <c r="AU47" s="385">
        <f t="shared" si="14"/>
        <v>0</v>
      </c>
      <c r="AV47" s="385">
        <f t="shared" si="15"/>
        <v>0</v>
      </c>
      <c r="AW47" s="385">
        <f t="shared" si="15"/>
        <v>0</v>
      </c>
      <c r="AX47" s="385">
        <f t="shared" si="15"/>
        <v>0</v>
      </c>
      <c r="AY47" s="721">
        <f t="shared" si="16"/>
        <v>0</v>
      </c>
      <c r="AZ47" s="686"/>
      <c r="BA47" s="686"/>
      <c r="BB47" s="686"/>
      <c r="BC47" s="686"/>
    </row>
    <row r="48" spans="3:55" s="46" customFormat="1" ht="30.75" hidden="1" customHeight="1" outlineLevel="1">
      <c r="C48" s="740">
        <v>32</v>
      </c>
      <c r="D48" s="675"/>
      <c r="E48" s="774"/>
      <c r="F48" s="770"/>
      <c r="G48" s="1961"/>
      <c r="H48" s="1962"/>
      <c r="I48" s="679"/>
      <c r="J48" s="725"/>
      <c r="K48" s="680"/>
      <c r="L48" s="681"/>
      <c r="M48" s="681"/>
      <c r="N48" s="681"/>
      <c r="O48" s="681"/>
      <c r="P48" s="681"/>
      <c r="Q48" s="856"/>
      <c r="R48" s="1071"/>
      <c r="S48" s="1094"/>
      <c r="T48" s="682"/>
      <c r="U48" s="726"/>
      <c r="V48" s="727"/>
      <c r="W48" s="717"/>
      <c r="X48" s="776"/>
      <c r="Y48" s="777"/>
      <c r="Z48" s="773"/>
      <c r="AA48" s="684">
        <f t="shared" si="3"/>
        <v>0</v>
      </c>
      <c r="AB48" s="684">
        <f t="shared" si="18"/>
        <v>0</v>
      </c>
      <c r="AC48" s="684">
        <f t="shared" si="19"/>
        <v>0</v>
      </c>
      <c r="AD48" s="684">
        <f>IF(AA48=0,,VLOOKUP(AA48,リスト!DH:DI,2,0))</f>
        <v>0</v>
      </c>
      <c r="AE48" s="684">
        <f t="shared" si="4"/>
        <v>0</v>
      </c>
      <c r="AF48" s="685">
        <f>IF(AE48=0,,VLOOKUP(AE48,リスト!DK:DL,2,0))</f>
        <v>0</v>
      </c>
      <c r="AG48" s="684">
        <f>IF(AA48=0,,
IF(OR(リスト!$C$21="小麦",リスト!$C$21="二条大麦",リスト!$C$21="六条大麦",リスト!$C$21="はだか麦",リスト!$C$21="なたね"),IF(K48&lt;9,調査年-J48,調査年-J48-1),
IF(リスト!$C$21="さとうきび",IF(K48&gt;=4,調査年-J48,調査年-J48+1),
調査年-J48)))</f>
        <v>0</v>
      </c>
      <c r="AH48" s="385">
        <f t="shared" si="5"/>
        <v>0</v>
      </c>
      <c r="AI48" s="385">
        <f t="shared" si="6"/>
        <v>0</v>
      </c>
      <c r="AJ48" s="385">
        <f t="shared" si="7"/>
        <v>0</v>
      </c>
      <c r="AK48" s="385">
        <f t="shared" si="8"/>
        <v>0</v>
      </c>
      <c r="AL48" s="385">
        <f t="shared" si="9"/>
        <v>0</v>
      </c>
      <c r="AM48" s="385">
        <f t="shared" si="17"/>
        <v>0</v>
      </c>
      <c r="AN48" s="394"/>
      <c r="AO48" s="385">
        <f>IF(OR(S48=0,AI48=0),,
IF(OR(リスト!$C$21="小麦",リスト!$C$21="二条大麦",リスト!$C$21="六条大麦",リスト!$C$21="はだか麦",リスト!$C$21="なたね"),IF(OR(AND(K48&lt;9,J48=調査年),AND(K48&gt;=9,J48=調査年-1)),,ROUND(AI48*S48%,0)),
IF(リスト!$C$21="さとうきび",IF(OR(AND(K48&gt;=4,J48=調査年),AND(K48&lt;4,J48=調査年+1)),,ROUND(AI48*S48%,0)),
IF(J48=調査年,,ROUND(AI48*S48%,0)))))</f>
        <v>0</v>
      </c>
      <c r="AP48" s="385">
        <f t="shared" si="10"/>
        <v>0</v>
      </c>
      <c r="AQ48" s="385">
        <f t="shared" si="11"/>
        <v>0</v>
      </c>
      <c r="AR48" s="385">
        <f t="shared" si="12"/>
        <v>0</v>
      </c>
      <c r="AS48" s="385">
        <f>IF(S48=0,,
SUM(
IF(OR(リスト!$C$21="小麦",リスト!$C$21="二条大麦",リスト!$C$21="六条大麦",リスト!$C$21="はだか麦",リスト!$C$21="なたね"),IF(OR(AND(AB48=1,K48&lt;9,J48=調査年),AND(AB48=1,K48&gt;=9,J48=調査年-1)),ROUND(L48*S48%,0),),
IF(リスト!$C$21="さとうきび",IF(OR(AND(AB48=1,K48&gt;=4,J48=調査年),AND(AB48=1,K48&lt;4,J48=調査年+1)),ROUND(L48*S48%,0),),
IF(AND(AB48=1,J48=調査年),ROUND(L48*S48%,0),))),
ROUND(N48*S48%,0),
ROUND(SUM(AM48)*S48%,0)
))</f>
        <v>0</v>
      </c>
      <c r="AT48" s="385">
        <f t="shared" si="13"/>
        <v>0</v>
      </c>
      <c r="AU48" s="385">
        <f t="shared" si="14"/>
        <v>0</v>
      </c>
      <c r="AV48" s="385">
        <f t="shared" si="15"/>
        <v>0</v>
      </c>
      <c r="AW48" s="385">
        <f t="shared" si="15"/>
        <v>0</v>
      </c>
      <c r="AX48" s="385">
        <f t="shared" si="15"/>
        <v>0</v>
      </c>
      <c r="AY48" s="721">
        <f t="shared" si="16"/>
        <v>0</v>
      </c>
      <c r="AZ48" s="686"/>
      <c r="BA48" s="686"/>
      <c r="BB48" s="686"/>
      <c r="BC48" s="686"/>
    </row>
    <row r="49" spans="3:55" s="46" customFormat="1" ht="30.75" hidden="1" customHeight="1" outlineLevel="1">
      <c r="C49" s="740">
        <v>33</v>
      </c>
      <c r="D49" s="687"/>
      <c r="E49" s="774"/>
      <c r="F49" s="770"/>
      <c r="G49" s="1961"/>
      <c r="H49" s="1962"/>
      <c r="I49" s="679"/>
      <c r="J49" s="725"/>
      <c r="K49" s="680"/>
      <c r="L49" s="681"/>
      <c r="M49" s="681"/>
      <c r="N49" s="681"/>
      <c r="O49" s="681"/>
      <c r="P49" s="681"/>
      <c r="Q49" s="856"/>
      <c r="R49" s="1071"/>
      <c r="S49" s="1094"/>
      <c r="T49" s="682"/>
      <c r="U49" s="726"/>
      <c r="V49" s="727"/>
      <c r="W49" s="717"/>
      <c r="X49" s="776"/>
      <c r="Y49" s="777"/>
      <c r="Z49" s="773"/>
      <c r="AA49" s="684">
        <f t="shared" si="3"/>
        <v>0</v>
      </c>
      <c r="AB49" s="684">
        <f t="shared" si="18"/>
        <v>0</v>
      </c>
      <c r="AC49" s="684">
        <f t="shared" si="19"/>
        <v>0</v>
      </c>
      <c r="AD49" s="684">
        <f>IF(AA49=0,,VLOOKUP(AA49,リスト!DH:DI,2,0))</f>
        <v>0</v>
      </c>
      <c r="AE49" s="684">
        <f t="shared" si="4"/>
        <v>0</v>
      </c>
      <c r="AF49" s="685">
        <f>IF(AE49=0,,VLOOKUP(AE49,リスト!DK:DL,2,0))</f>
        <v>0</v>
      </c>
      <c r="AG49" s="684">
        <f>IF(AA49=0,,
IF(OR(リスト!$C$21="小麦",リスト!$C$21="二条大麦",リスト!$C$21="六条大麦",リスト!$C$21="はだか麦",リスト!$C$21="なたね"),IF(K49&lt;9,調査年-J49,調査年-J49-1),
IF(リスト!$C$21="さとうきび",IF(K49&gt;=4,調査年-J49,調査年-J49+1),
調査年-J49)))</f>
        <v>0</v>
      </c>
      <c r="AH49" s="385">
        <f t="shared" ref="AH49:AH80" si="20">IF(OR(AA49=0,AB49=1),,
IF(AND(AE49&gt;0,AG49&lt;AE49,AI49&lt;=ROUND((L49-1)*AF49,0)),ROUND(AI49,0),
IF(AND(AE49&gt;0,AG49&lt;AE49),ROUND((L49-1)*AF49,0),)))</f>
        <v>0</v>
      </c>
      <c r="AI49" s="385">
        <f t="shared" si="6"/>
        <v>0</v>
      </c>
      <c r="AJ49" s="385">
        <f t="shared" si="7"/>
        <v>0</v>
      </c>
      <c r="AK49" s="385">
        <f t="shared" si="8"/>
        <v>0</v>
      </c>
      <c r="AL49" s="385">
        <f t="shared" si="9"/>
        <v>0</v>
      </c>
      <c r="AM49" s="385">
        <f t="shared" si="17"/>
        <v>0</v>
      </c>
      <c r="AN49" s="394"/>
      <c r="AO49" s="385">
        <f>IF(OR(S49=0,AI49=0),,
IF(OR(リスト!$C$21="小麦",リスト!$C$21="二条大麦",リスト!$C$21="六条大麦",リスト!$C$21="はだか麦",リスト!$C$21="なたね"),IF(OR(AND(K49&lt;9,J49=調査年),AND(K49&gt;=9,J49=調査年-1)),,ROUND(AI49*S49%,0)),
IF(リスト!$C$21="さとうきび",IF(OR(AND(K49&gt;=4,J49=調査年),AND(K49&lt;4,J49=調査年+1)),,ROUND(AI49*S49%,0)),
IF(J49=調査年,,ROUND(AI49*S49%,0)))))</f>
        <v>0</v>
      </c>
      <c r="AP49" s="385">
        <f t="shared" si="10"/>
        <v>0</v>
      </c>
      <c r="AQ49" s="385">
        <f t="shared" si="11"/>
        <v>0</v>
      </c>
      <c r="AR49" s="385">
        <f t="shared" si="12"/>
        <v>0</v>
      </c>
      <c r="AS49" s="385">
        <f>IF(S49=0,,
SUM(
IF(OR(リスト!$C$21="小麦",リスト!$C$21="二条大麦",リスト!$C$21="六条大麦",リスト!$C$21="はだか麦",リスト!$C$21="なたね"),IF(OR(AND(AB49=1,K49&lt;9,J49=調査年),AND(AB49=1,K49&gt;=9,J49=調査年-1)),ROUND(L49*S49%,0),),
IF(リスト!$C$21="さとうきび",IF(OR(AND(AB49=1,K49&gt;=4,J49=調査年),AND(AB49=1,K49&lt;4,J49=調査年+1)),ROUND(L49*S49%,0),),
IF(AND(AB49=1,J49=調査年),ROUND(L49*S49%,0),))),
ROUND(N49*S49%,0),
ROUND(SUM(AM49)*S49%,0)
))</f>
        <v>0</v>
      </c>
      <c r="AT49" s="385">
        <f t="shared" si="13"/>
        <v>0</v>
      </c>
      <c r="AU49" s="385">
        <f t="shared" si="14"/>
        <v>0</v>
      </c>
      <c r="AV49" s="385">
        <f t="shared" si="15"/>
        <v>0</v>
      </c>
      <c r="AW49" s="385">
        <f t="shared" si="15"/>
        <v>0</v>
      </c>
      <c r="AX49" s="385">
        <f t="shared" si="15"/>
        <v>0</v>
      </c>
      <c r="AY49" s="721">
        <f t="shared" si="16"/>
        <v>0</v>
      </c>
      <c r="AZ49" s="686"/>
      <c r="BA49" s="686"/>
      <c r="BB49" s="686"/>
      <c r="BC49" s="686"/>
    </row>
    <row r="50" spans="3:55" s="46" customFormat="1" ht="30.75" hidden="1" customHeight="1" outlineLevel="1">
      <c r="C50" s="740">
        <v>34</v>
      </c>
      <c r="D50" s="687"/>
      <c r="E50" s="774"/>
      <c r="F50" s="770"/>
      <c r="G50" s="1961"/>
      <c r="H50" s="1962"/>
      <c r="I50" s="679"/>
      <c r="J50" s="725"/>
      <c r="K50" s="680"/>
      <c r="L50" s="681"/>
      <c r="M50" s="681"/>
      <c r="N50" s="681"/>
      <c r="O50" s="681"/>
      <c r="P50" s="681"/>
      <c r="Q50" s="856"/>
      <c r="R50" s="1071"/>
      <c r="S50" s="1094"/>
      <c r="T50" s="682"/>
      <c r="U50" s="726"/>
      <c r="V50" s="727"/>
      <c r="W50" s="717"/>
      <c r="X50" s="776"/>
      <c r="Y50" s="777"/>
      <c r="Z50" s="773"/>
      <c r="AA50" s="684">
        <f t="shared" si="3"/>
        <v>0</v>
      </c>
      <c r="AB50" s="684">
        <f t="shared" si="18"/>
        <v>0</v>
      </c>
      <c r="AC50" s="684">
        <f t="shared" si="19"/>
        <v>0</v>
      </c>
      <c r="AD50" s="684">
        <f>IF(AA50=0,,VLOOKUP(AA50,リスト!DH:DI,2,0))</f>
        <v>0</v>
      </c>
      <c r="AE50" s="684">
        <f t="shared" si="4"/>
        <v>0</v>
      </c>
      <c r="AF50" s="685">
        <f>IF(AE50=0,,VLOOKUP(AE50,リスト!DK:DL,2,0))</f>
        <v>0</v>
      </c>
      <c r="AG50" s="684">
        <f>IF(AA50=0,,
IF(OR(リスト!$C$21="小麦",リスト!$C$21="二条大麦",リスト!$C$21="六条大麦",リスト!$C$21="はだか麦",リスト!$C$21="なたね"),IF(K50&lt;9,調査年-J50,調査年-J50-1),
IF(リスト!$C$21="さとうきび",IF(K50&gt;=4,調査年-J50,調査年-J50+1),
調査年-J50)))</f>
        <v>0</v>
      </c>
      <c r="AH50" s="385">
        <f t="shared" si="20"/>
        <v>0</v>
      </c>
      <c r="AI50" s="385">
        <f t="shared" si="6"/>
        <v>0</v>
      </c>
      <c r="AJ50" s="385">
        <f t="shared" si="7"/>
        <v>0</v>
      </c>
      <c r="AK50" s="385">
        <f t="shared" si="8"/>
        <v>0</v>
      </c>
      <c r="AL50" s="385">
        <f t="shared" si="9"/>
        <v>0</v>
      </c>
      <c r="AM50" s="385">
        <f t="shared" si="17"/>
        <v>0</v>
      </c>
      <c r="AN50" s="394"/>
      <c r="AO50" s="385">
        <f>IF(OR(S50=0,AI50=0),,
IF(OR(リスト!$C$21="小麦",リスト!$C$21="二条大麦",リスト!$C$21="六条大麦",リスト!$C$21="はだか麦",リスト!$C$21="なたね"),IF(OR(AND(K50&lt;9,J50=調査年),AND(K50&gt;=9,J50=調査年-1)),,ROUND(AI50*S50%,0)),
IF(リスト!$C$21="さとうきび",IF(OR(AND(K50&gt;=4,J50=調査年),AND(K50&lt;4,J50=調査年+1)),,ROUND(AI50*S50%,0)),
IF(J50=調査年,,ROUND(AI50*S50%,0)))))</f>
        <v>0</v>
      </c>
      <c r="AP50" s="385">
        <f t="shared" si="10"/>
        <v>0</v>
      </c>
      <c r="AQ50" s="385">
        <f t="shared" si="11"/>
        <v>0</v>
      </c>
      <c r="AR50" s="385">
        <f t="shared" si="12"/>
        <v>0</v>
      </c>
      <c r="AS50" s="385">
        <f>IF(S50=0,,
SUM(
IF(OR(リスト!$C$21="小麦",リスト!$C$21="二条大麦",リスト!$C$21="六条大麦",リスト!$C$21="はだか麦",リスト!$C$21="なたね"),IF(OR(AND(AB50=1,K50&lt;9,J50=調査年),AND(AB50=1,K50&gt;=9,J50=調査年-1)),ROUND(L50*S50%,0),),
IF(リスト!$C$21="さとうきび",IF(OR(AND(AB50=1,K50&gt;=4,J50=調査年),AND(AB50=1,K50&lt;4,J50=調査年+1)),ROUND(L50*S50%,0),),
IF(AND(AB50=1,J50=調査年),ROUND(L50*S50%,0),))),
ROUND(N50*S50%,0),
ROUND(SUM(AM50)*S50%,0)
))</f>
        <v>0</v>
      </c>
      <c r="AT50" s="385">
        <f t="shared" si="13"/>
        <v>0</v>
      </c>
      <c r="AU50" s="385">
        <f t="shared" si="14"/>
        <v>0</v>
      </c>
      <c r="AV50" s="385">
        <f t="shared" si="15"/>
        <v>0</v>
      </c>
      <c r="AW50" s="385">
        <f t="shared" si="15"/>
        <v>0</v>
      </c>
      <c r="AX50" s="385">
        <f t="shared" si="15"/>
        <v>0</v>
      </c>
      <c r="AY50" s="721">
        <f t="shared" si="16"/>
        <v>0</v>
      </c>
      <c r="AZ50" s="686"/>
      <c r="BA50" s="686"/>
      <c r="BB50" s="686"/>
      <c r="BC50" s="686"/>
    </row>
    <row r="51" spans="3:55" s="46" customFormat="1" ht="30.75" hidden="1" customHeight="1" outlineLevel="1">
      <c r="C51" s="740">
        <v>35</v>
      </c>
      <c r="D51" s="687"/>
      <c r="E51" s="774"/>
      <c r="F51" s="770"/>
      <c r="G51" s="1961"/>
      <c r="H51" s="1962"/>
      <c r="I51" s="679"/>
      <c r="J51" s="725"/>
      <c r="K51" s="680"/>
      <c r="L51" s="681"/>
      <c r="M51" s="681"/>
      <c r="N51" s="681"/>
      <c r="O51" s="681"/>
      <c r="P51" s="681"/>
      <c r="Q51" s="856"/>
      <c r="R51" s="1071"/>
      <c r="S51" s="1094"/>
      <c r="T51" s="682"/>
      <c r="U51" s="726"/>
      <c r="V51" s="727"/>
      <c r="W51" s="717"/>
      <c r="X51" s="776"/>
      <c r="Y51" s="777"/>
      <c r="Z51" s="773"/>
      <c r="AA51" s="684">
        <f t="shared" si="3"/>
        <v>0</v>
      </c>
      <c r="AB51" s="684">
        <f t="shared" si="18"/>
        <v>0</v>
      </c>
      <c r="AC51" s="684">
        <f t="shared" si="19"/>
        <v>0</v>
      </c>
      <c r="AD51" s="684">
        <f>IF(AA51=0,,VLOOKUP(AA51,リスト!DH:DI,2,0))</f>
        <v>0</v>
      </c>
      <c r="AE51" s="684">
        <f t="shared" si="4"/>
        <v>0</v>
      </c>
      <c r="AF51" s="685">
        <f>IF(AE51=0,,VLOOKUP(AE51,リスト!DK:DL,2,0))</f>
        <v>0</v>
      </c>
      <c r="AG51" s="684">
        <f>IF(AA51=0,,
IF(OR(リスト!$C$21="小麦",リスト!$C$21="二条大麦",リスト!$C$21="六条大麦",リスト!$C$21="はだか麦",リスト!$C$21="なたね"),IF(K51&lt;9,調査年-J51,調査年-J51-1),
IF(リスト!$C$21="さとうきび",IF(K51&gt;=4,調査年-J51,調査年-J51+1),
調査年-J51)))</f>
        <v>0</v>
      </c>
      <c r="AH51" s="385">
        <f t="shared" si="20"/>
        <v>0</v>
      </c>
      <c r="AI51" s="385">
        <f t="shared" si="6"/>
        <v>0</v>
      </c>
      <c r="AJ51" s="385">
        <f t="shared" si="7"/>
        <v>0</v>
      </c>
      <c r="AK51" s="385">
        <f t="shared" si="8"/>
        <v>0</v>
      </c>
      <c r="AL51" s="385">
        <f t="shared" si="9"/>
        <v>0</v>
      </c>
      <c r="AM51" s="385">
        <f t="shared" si="17"/>
        <v>0</v>
      </c>
      <c r="AN51" s="394"/>
      <c r="AO51" s="385">
        <f>IF(OR(S51=0,AI51=0),,
IF(OR(リスト!$C$21="小麦",リスト!$C$21="二条大麦",リスト!$C$21="六条大麦",リスト!$C$21="はだか麦",リスト!$C$21="なたね"),IF(OR(AND(K51&lt;9,J51=調査年),AND(K51&gt;=9,J51=調査年-1)),,ROUND(AI51*S51%,0)),
IF(リスト!$C$21="さとうきび",IF(OR(AND(K51&gt;=4,J51=調査年),AND(K51&lt;4,J51=調査年+1)),,ROUND(AI51*S51%,0)),
IF(J51=調査年,,ROUND(AI51*S51%,0)))))</f>
        <v>0</v>
      </c>
      <c r="AP51" s="385">
        <f t="shared" si="10"/>
        <v>0</v>
      </c>
      <c r="AQ51" s="385">
        <f t="shared" si="11"/>
        <v>0</v>
      </c>
      <c r="AR51" s="385">
        <f t="shared" si="12"/>
        <v>0</v>
      </c>
      <c r="AS51" s="385">
        <f>IF(S51=0,,
SUM(
IF(OR(リスト!$C$21="小麦",リスト!$C$21="二条大麦",リスト!$C$21="六条大麦",リスト!$C$21="はだか麦",リスト!$C$21="なたね"),IF(OR(AND(AB51=1,K51&lt;9,J51=調査年),AND(AB51=1,K51&gt;=9,J51=調査年-1)),ROUND(L51*S51%,0),),
IF(リスト!$C$21="さとうきび",IF(OR(AND(AB51=1,K51&gt;=4,J51=調査年),AND(AB51=1,K51&lt;4,J51=調査年+1)),ROUND(L51*S51%,0),),
IF(AND(AB51=1,J51=調査年),ROUND(L51*S51%,0),))),
ROUND(N51*S51%,0),
ROUND(SUM(AM51)*S51%,0)
))</f>
        <v>0</v>
      </c>
      <c r="AT51" s="385">
        <f t="shared" si="13"/>
        <v>0</v>
      </c>
      <c r="AU51" s="385">
        <f t="shared" si="14"/>
        <v>0</v>
      </c>
      <c r="AV51" s="385">
        <f t="shared" si="15"/>
        <v>0</v>
      </c>
      <c r="AW51" s="385">
        <f t="shared" si="15"/>
        <v>0</v>
      </c>
      <c r="AX51" s="385">
        <f t="shared" si="15"/>
        <v>0</v>
      </c>
      <c r="AY51" s="721">
        <f t="shared" si="16"/>
        <v>0</v>
      </c>
      <c r="AZ51" s="686"/>
      <c r="BA51" s="686"/>
      <c r="BB51" s="686"/>
      <c r="BC51" s="686"/>
    </row>
    <row r="52" spans="3:55" s="46" customFormat="1" ht="30.75" hidden="1" customHeight="1" outlineLevel="1">
      <c r="C52" s="740">
        <v>36</v>
      </c>
      <c r="D52" s="687"/>
      <c r="E52" s="774"/>
      <c r="F52" s="770"/>
      <c r="G52" s="1961"/>
      <c r="H52" s="1962"/>
      <c r="I52" s="679"/>
      <c r="J52" s="725"/>
      <c r="K52" s="680"/>
      <c r="L52" s="681"/>
      <c r="M52" s="681"/>
      <c r="N52" s="681"/>
      <c r="O52" s="681"/>
      <c r="P52" s="681"/>
      <c r="Q52" s="856"/>
      <c r="R52" s="1071"/>
      <c r="S52" s="1094"/>
      <c r="T52" s="682"/>
      <c r="U52" s="726"/>
      <c r="V52" s="727"/>
      <c r="W52" s="717"/>
      <c r="X52" s="776"/>
      <c r="Y52" s="777"/>
      <c r="Z52" s="773"/>
      <c r="AA52" s="684">
        <f t="shared" si="3"/>
        <v>0</v>
      </c>
      <c r="AB52" s="684">
        <f t="shared" si="18"/>
        <v>0</v>
      </c>
      <c r="AC52" s="684">
        <f t="shared" si="19"/>
        <v>0</v>
      </c>
      <c r="AD52" s="684">
        <f>IF(AA52=0,,VLOOKUP(AA52,リスト!DH:DI,2,0))</f>
        <v>0</v>
      </c>
      <c r="AE52" s="684">
        <f t="shared" si="4"/>
        <v>0</v>
      </c>
      <c r="AF52" s="685">
        <f>IF(AE52=0,,VLOOKUP(AE52,リスト!DK:DL,2,0))</f>
        <v>0</v>
      </c>
      <c r="AG52" s="684">
        <f>IF(AA52=0,,
IF(OR(リスト!$C$21="小麦",リスト!$C$21="二条大麦",リスト!$C$21="六条大麦",リスト!$C$21="はだか麦",リスト!$C$21="なたね"),IF(K52&lt;9,調査年-J52,調査年-J52-1),
IF(リスト!$C$21="さとうきび",IF(K52&gt;=4,調査年-J52,調査年-J52+1),
調査年-J52)))</f>
        <v>0</v>
      </c>
      <c r="AH52" s="385">
        <f t="shared" si="20"/>
        <v>0</v>
      </c>
      <c r="AI52" s="385">
        <f t="shared" si="6"/>
        <v>0</v>
      </c>
      <c r="AJ52" s="385">
        <f t="shared" si="7"/>
        <v>0</v>
      </c>
      <c r="AK52" s="385">
        <f t="shared" si="8"/>
        <v>0</v>
      </c>
      <c r="AL52" s="385">
        <f t="shared" si="9"/>
        <v>0</v>
      </c>
      <c r="AM52" s="385">
        <f t="shared" si="17"/>
        <v>0</v>
      </c>
      <c r="AN52" s="394"/>
      <c r="AO52" s="385">
        <f>IF(OR(S52=0,AI52=0),,
IF(OR(リスト!$C$21="小麦",リスト!$C$21="二条大麦",リスト!$C$21="六条大麦",リスト!$C$21="はだか麦",リスト!$C$21="なたね"),IF(OR(AND(K52&lt;9,J52=調査年),AND(K52&gt;=9,J52=調査年-1)),,ROUND(AI52*S52%,0)),
IF(リスト!$C$21="さとうきび",IF(OR(AND(K52&gt;=4,J52=調査年),AND(K52&lt;4,J52=調査年+1)),,ROUND(AI52*S52%,0)),
IF(J52=調査年,,ROUND(AI52*S52%,0)))))</f>
        <v>0</v>
      </c>
      <c r="AP52" s="385">
        <f t="shared" si="10"/>
        <v>0</v>
      </c>
      <c r="AQ52" s="385">
        <f t="shared" si="11"/>
        <v>0</v>
      </c>
      <c r="AR52" s="385">
        <f t="shared" si="12"/>
        <v>0</v>
      </c>
      <c r="AS52" s="385">
        <f>IF(S52=0,,
SUM(
IF(OR(リスト!$C$21="小麦",リスト!$C$21="二条大麦",リスト!$C$21="六条大麦",リスト!$C$21="はだか麦",リスト!$C$21="なたね"),IF(OR(AND(AB52=1,K52&lt;9,J52=調査年),AND(AB52=1,K52&gt;=9,J52=調査年-1)),ROUND(L52*S52%,0),),
IF(リスト!$C$21="さとうきび",IF(OR(AND(AB52=1,K52&gt;=4,J52=調査年),AND(AB52=1,K52&lt;4,J52=調査年+1)),ROUND(L52*S52%,0),),
IF(AND(AB52=1,J52=調査年),ROUND(L52*S52%,0),))),
ROUND(N52*S52%,0),
ROUND(SUM(AM52)*S52%,0)
))</f>
        <v>0</v>
      </c>
      <c r="AT52" s="385">
        <f t="shared" si="13"/>
        <v>0</v>
      </c>
      <c r="AU52" s="385">
        <f t="shared" si="14"/>
        <v>0</v>
      </c>
      <c r="AV52" s="385">
        <f t="shared" si="15"/>
        <v>0</v>
      </c>
      <c r="AW52" s="385">
        <f t="shared" si="15"/>
        <v>0</v>
      </c>
      <c r="AX52" s="385">
        <f t="shared" si="15"/>
        <v>0</v>
      </c>
      <c r="AY52" s="721">
        <f t="shared" si="16"/>
        <v>0</v>
      </c>
      <c r="AZ52" s="686"/>
      <c r="BA52" s="686"/>
      <c r="BB52" s="686"/>
      <c r="BC52" s="686"/>
    </row>
    <row r="53" spans="3:55" s="46" customFormat="1" ht="30.75" hidden="1" customHeight="1" outlineLevel="1">
      <c r="C53" s="740">
        <v>37</v>
      </c>
      <c r="D53" s="687"/>
      <c r="E53" s="774"/>
      <c r="F53" s="770"/>
      <c r="G53" s="1961"/>
      <c r="H53" s="1962"/>
      <c r="I53" s="679"/>
      <c r="J53" s="725"/>
      <c r="K53" s="680"/>
      <c r="L53" s="681"/>
      <c r="M53" s="681"/>
      <c r="N53" s="681"/>
      <c r="O53" s="681"/>
      <c r="P53" s="681"/>
      <c r="Q53" s="856"/>
      <c r="R53" s="1071"/>
      <c r="S53" s="1094"/>
      <c r="T53" s="682"/>
      <c r="U53" s="726"/>
      <c r="V53" s="727"/>
      <c r="W53" s="717"/>
      <c r="X53" s="776"/>
      <c r="Y53" s="777"/>
      <c r="Z53" s="773"/>
      <c r="AA53" s="684">
        <f t="shared" si="3"/>
        <v>0</v>
      </c>
      <c r="AB53" s="684">
        <f t="shared" si="18"/>
        <v>0</v>
      </c>
      <c r="AC53" s="684">
        <f t="shared" si="19"/>
        <v>0</v>
      </c>
      <c r="AD53" s="684">
        <f>IF(AA53=0,,VLOOKUP(AA53,リスト!DH:DI,2,0))</f>
        <v>0</v>
      </c>
      <c r="AE53" s="684">
        <f t="shared" si="4"/>
        <v>0</v>
      </c>
      <c r="AF53" s="685">
        <f>IF(AE53=0,,VLOOKUP(AE53,リスト!DK:DL,2,0))</f>
        <v>0</v>
      </c>
      <c r="AG53" s="684">
        <f>IF(AA53=0,,
IF(OR(リスト!$C$21="小麦",リスト!$C$21="二条大麦",リスト!$C$21="六条大麦",リスト!$C$21="はだか麦",リスト!$C$21="なたね"),IF(K53&lt;9,調査年-J53,調査年-J53-1),
IF(リスト!$C$21="さとうきび",IF(K53&gt;=4,調査年-J53,調査年-J53+1),
調査年-J53)))</f>
        <v>0</v>
      </c>
      <c r="AH53" s="385">
        <f t="shared" si="20"/>
        <v>0</v>
      </c>
      <c r="AI53" s="385">
        <f t="shared" si="6"/>
        <v>0</v>
      </c>
      <c r="AJ53" s="385">
        <f t="shared" si="7"/>
        <v>0</v>
      </c>
      <c r="AK53" s="385">
        <f t="shared" si="8"/>
        <v>0</v>
      </c>
      <c r="AL53" s="385">
        <f t="shared" si="9"/>
        <v>0</v>
      </c>
      <c r="AM53" s="385">
        <f t="shared" si="17"/>
        <v>0</v>
      </c>
      <c r="AN53" s="394"/>
      <c r="AO53" s="385">
        <f>IF(OR(S53=0,AI53=0),,
IF(OR(リスト!$C$21="小麦",リスト!$C$21="二条大麦",リスト!$C$21="六条大麦",リスト!$C$21="はだか麦",リスト!$C$21="なたね"),IF(OR(AND(K53&lt;9,J53=調査年),AND(K53&gt;=9,J53=調査年-1)),,ROUND(AI53*S53%,0)),
IF(リスト!$C$21="さとうきび",IF(OR(AND(K53&gt;=4,J53=調査年),AND(K53&lt;4,J53=調査年+1)),,ROUND(AI53*S53%,0)),
IF(J53=調査年,,ROUND(AI53*S53%,0)))))</f>
        <v>0</v>
      </c>
      <c r="AP53" s="385">
        <f t="shared" si="10"/>
        <v>0</v>
      </c>
      <c r="AQ53" s="385">
        <f t="shared" si="11"/>
        <v>0</v>
      </c>
      <c r="AR53" s="385">
        <f t="shared" si="12"/>
        <v>0</v>
      </c>
      <c r="AS53" s="385">
        <f>IF(S53=0,,
SUM(
IF(OR(リスト!$C$21="小麦",リスト!$C$21="二条大麦",リスト!$C$21="六条大麦",リスト!$C$21="はだか麦",リスト!$C$21="なたね"),IF(OR(AND(AB53=1,K53&lt;9,J53=調査年),AND(AB53=1,K53&gt;=9,J53=調査年-1)),ROUND(L53*S53%,0),),
IF(リスト!$C$21="さとうきび",IF(OR(AND(AB53=1,K53&gt;=4,J53=調査年),AND(AB53=1,K53&lt;4,J53=調査年+1)),ROUND(L53*S53%,0),),
IF(AND(AB53=1,J53=調査年),ROUND(L53*S53%,0),))),
ROUND(N53*S53%,0),
ROUND(SUM(AM53)*S53%,0)
))</f>
        <v>0</v>
      </c>
      <c r="AT53" s="385">
        <f t="shared" si="13"/>
        <v>0</v>
      </c>
      <c r="AU53" s="385">
        <f t="shared" si="14"/>
        <v>0</v>
      </c>
      <c r="AV53" s="385">
        <f t="shared" si="15"/>
        <v>0</v>
      </c>
      <c r="AW53" s="385">
        <f t="shared" si="15"/>
        <v>0</v>
      </c>
      <c r="AX53" s="385">
        <f t="shared" si="15"/>
        <v>0</v>
      </c>
      <c r="AY53" s="721">
        <f t="shared" si="16"/>
        <v>0</v>
      </c>
      <c r="AZ53" s="686"/>
      <c r="BA53" s="686"/>
      <c r="BB53" s="686"/>
      <c r="BC53" s="686"/>
    </row>
    <row r="54" spans="3:55" s="46" customFormat="1" ht="30.75" hidden="1" customHeight="1" outlineLevel="1">
      <c r="C54" s="740">
        <v>38</v>
      </c>
      <c r="D54" s="687"/>
      <c r="E54" s="774"/>
      <c r="F54" s="770"/>
      <c r="G54" s="1961"/>
      <c r="H54" s="1962"/>
      <c r="I54" s="679"/>
      <c r="J54" s="725"/>
      <c r="K54" s="680"/>
      <c r="L54" s="681"/>
      <c r="M54" s="681"/>
      <c r="N54" s="681"/>
      <c r="O54" s="681"/>
      <c r="P54" s="681"/>
      <c r="Q54" s="856"/>
      <c r="R54" s="1071"/>
      <c r="S54" s="1094"/>
      <c r="T54" s="682"/>
      <c r="U54" s="726"/>
      <c r="V54" s="727"/>
      <c r="W54" s="717"/>
      <c r="X54" s="776"/>
      <c r="Y54" s="777"/>
      <c r="Z54" s="773"/>
      <c r="AA54" s="684">
        <f t="shared" si="3"/>
        <v>0</v>
      </c>
      <c r="AB54" s="684">
        <f t="shared" si="18"/>
        <v>0</v>
      </c>
      <c r="AC54" s="684">
        <f t="shared" si="19"/>
        <v>0</v>
      </c>
      <c r="AD54" s="684">
        <f>IF(AA54=0,,VLOOKUP(AA54,リスト!DH:DI,2,0))</f>
        <v>0</v>
      </c>
      <c r="AE54" s="684">
        <f t="shared" si="4"/>
        <v>0</v>
      </c>
      <c r="AF54" s="685">
        <f>IF(AE54=0,,VLOOKUP(AE54,リスト!DK:DL,2,0))</f>
        <v>0</v>
      </c>
      <c r="AG54" s="684">
        <f>IF(AA54=0,,
IF(OR(リスト!$C$21="小麦",リスト!$C$21="二条大麦",リスト!$C$21="六条大麦",リスト!$C$21="はだか麦",リスト!$C$21="なたね"),IF(K54&lt;9,調査年-J54,調査年-J54-1),
IF(リスト!$C$21="さとうきび",IF(K54&gt;=4,調査年-J54,調査年-J54+1),
調査年-J54)))</f>
        <v>0</v>
      </c>
      <c r="AH54" s="385">
        <f t="shared" si="20"/>
        <v>0</v>
      </c>
      <c r="AI54" s="385">
        <f t="shared" si="6"/>
        <v>0</v>
      </c>
      <c r="AJ54" s="385">
        <f t="shared" si="7"/>
        <v>0</v>
      </c>
      <c r="AK54" s="385">
        <f t="shared" si="8"/>
        <v>0</v>
      </c>
      <c r="AL54" s="385">
        <f t="shared" si="9"/>
        <v>0</v>
      </c>
      <c r="AM54" s="385">
        <f t="shared" si="17"/>
        <v>0</v>
      </c>
      <c r="AN54" s="394"/>
      <c r="AO54" s="385">
        <f>IF(OR(S54=0,AI54=0),,
IF(OR(リスト!$C$21="小麦",リスト!$C$21="二条大麦",リスト!$C$21="六条大麦",リスト!$C$21="はだか麦",リスト!$C$21="なたね"),IF(OR(AND(K54&lt;9,J54=調査年),AND(K54&gt;=9,J54=調査年-1)),,ROUND(AI54*S54%,0)),
IF(リスト!$C$21="さとうきび",IF(OR(AND(K54&gt;=4,J54=調査年),AND(K54&lt;4,J54=調査年+1)),,ROUND(AI54*S54%,0)),
IF(J54=調査年,,ROUND(AI54*S54%,0)))))</f>
        <v>0</v>
      </c>
      <c r="AP54" s="385">
        <f t="shared" si="10"/>
        <v>0</v>
      </c>
      <c r="AQ54" s="385">
        <f t="shared" si="11"/>
        <v>0</v>
      </c>
      <c r="AR54" s="385">
        <f t="shared" si="12"/>
        <v>0</v>
      </c>
      <c r="AS54" s="385">
        <f>IF(S54=0,,
SUM(
IF(OR(リスト!$C$21="小麦",リスト!$C$21="二条大麦",リスト!$C$21="六条大麦",リスト!$C$21="はだか麦",リスト!$C$21="なたね"),IF(OR(AND(AB54=1,K54&lt;9,J54=調査年),AND(AB54=1,K54&gt;=9,J54=調査年-1)),ROUND(L54*S54%,0),),
IF(リスト!$C$21="さとうきび",IF(OR(AND(AB54=1,K54&gt;=4,J54=調査年),AND(AB54=1,K54&lt;4,J54=調査年+1)),ROUND(L54*S54%,0),),
IF(AND(AB54=1,J54=調査年),ROUND(L54*S54%,0),))),
ROUND(N54*S54%,0),
ROUND(SUM(AM54)*S54%,0)
))</f>
        <v>0</v>
      </c>
      <c r="AT54" s="385">
        <f t="shared" si="13"/>
        <v>0</v>
      </c>
      <c r="AU54" s="385">
        <f t="shared" si="14"/>
        <v>0</v>
      </c>
      <c r="AV54" s="385">
        <f t="shared" si="15"/>
        <v>0</v>
      </c>
      <c r="AW54" s="385">
        <f t="shared" si="15"/>
        <v>0</v>
      </c>
      <c r="AX54" s="385">
        <f t="shared" si="15"/>
        <v>0</v>
      </c>
      <c r="AY54" s="721">
        <f t="shared" si="16"/>
        <v>0</v>
      </c>
      <c r="AZ54" s="686"/>
      <c r="BA54" s="686"/>
      <c r="BB54" s="686"/>
      <c r="BC54" s="686"/>
    </row>
    <row r="55" spans="3:55" s="46" customFormat="1" ht="30.75" hidden="1" customHeight="1" outlineLevel="1">
      <c r="C55" s="740">
        <v>39</v>
      </c>
      <c r="D55" s="687"/>
      <c r="E55" s="774"/>
      <c r="F55" s="770"/>
      <c r="G55" s="1961"/>
      <c r="H55" s="1962"/>
      <c r="I55" s="679"/>
      <c r="J55" s="725"/>
      <c r="K55" s="680"/>
      <c r="L55" s="681"/>
      <c r="M55" s="681"/>
      <c r="N55" s="681"/>
      <c r="O55" s="681"/>
      <c r="P55" s="681"/>
      <c r="Q55" s="856"/>
      <c r="R55" s="1071"/>
      <c r="S55" s="1094"/>
      <c r="T55" s="682"/>
      <c r="U55" s="726"/>
      <c r="V55" s="727"/>
      <c r="W55" s="717"/>
      <c r="X55" s="776"/>
      <c r="Y55" s="777"/>
      <c r="Z55" s="773"/>
      <c r="AA55" s="684">
        <f t="shared" si="3"/>
        <v>0</v>
      </c>
      <c r="AB55" s="684">
        <f t="shared" si="18"/>
        <v>0</v>
      </c>
      <c r="AC55" s="684">
        <f t="shared" si="19"/>
        <v>0</v>
      </c>
      <c r="AD55" s="684">
        <f>IF(AA55=0,,VLOOKUP(AA55,リスト!DH:DI,2,0))</f>
        <v>0</v>
      </c>
      <c r="AE55" s="684">
        <f t="shared" si="4"/>
        <v>0</v>
      </c>
      <c r="AF55" s="685">
        <f>IF(AE55=0,,VLOOKUP(AE55,リスト!DK:DL,2,0))</f>
        <v>0</v>
      </c>
      <c r="AG55" s="684">
        <f>IF(AA55=0,,
IF(OR(リスト!$C$21="小麦",リスト!$C$21="二条大麦",リスト!$C$21="六条大麦",リスト!$C$21="はだか麦",リスト!$C$21="なたね"),IF(K55&lt;9,調査年-J55,調査年-J55-1),
IF(リスト!$C$21="さとうきび",IF(K55&gt;=4,調査年-J55,調査年-J55+1),
調査年-J55)))</f>
        <v>0</v>
      </c>
      <c r="AH55" s="385">
        <f t="shared" si="20"/>
        <v>0</v>
      </c>
      <c r="AI55" s="385">
        <f t="shared" si="6"/>
        <v>0</v>
      </c>
      <c r="AJ55" s="385">
        <f t="shared" si="7"/>
        <v>0</v>
      </c>
      <c r="AK55" s="385">
        <f t="shared" si="8"/>
        <v>0</v>
      </c>
      <c r="AL55" s="385">
        <f t="shared" si="9"/>
        <v>0</v>
      </c>
      <c r="AM55" s="385">
        <f t="shared" si="17"/>
        <v>0</v>
      </c>
      <c r="AN55" s="394"/>
      <c r="AO55" s="385">
        <f>IF(OR(S55=0,AI55=0),,
IF(OR(リスト!$C$21="小麦",リスト!$C$21="二条大麦",リスト!$C$21="六条大麦",リスト!$C$21="はだか麦",リスト!$C$21="なたね"),IF(OR(AND(K55&lt;9,J55=調査年),AND(K55&gt;=9,J55=調査年-1)),,ROUND(AI55*S55%,0)),
IF(リスト!$C$21="さとうきび",IF(OR(AND(K55&gt;=4,J55=調査年),AND(K55&lt;4,J55=調査年+1)),,ROUND(AI55*S55%,0)),
IF(J55=調査年,,ROUND(AI55*S55%,0)))))</f>
        <v>0</v>
      </c>
      <c r="AP55" s="385">
        <f t="shared" si="10"/>
        <v>0</v>
      </c>
      <c r="AQ55" s="385">
        <f t="shared" si="11"/>
        <v>0</v>
      </c>
      <c r="AR55" s="385">
        <f t="shared" si="12"/>
        <v>0</v>
      </c>
      <c r="AS55" s="385">
        <f>IF(S55=0,,
SUM(
IF(OR(リスト!$C$21="小麦",リスト!$C$21="二条大麦",リスト!$C$21="六条大麦",リスト!$C$21="はだか麦",リスト!$C$21="なたね"),IF(OR(AND(AB55=1,K55&lt;9,J55=調査年),AND(AB55=1,K55&gt;=9,J55=調査年-1)),ROUND(L55*S55%,0),),
IF(リスト!$C$21="さとうきび",IF(OR(AND(AB55=1,K55&gt;=4,J55=調査年),AND(AB55=1,K55&lt;4,J55=調査年+1)),ROUND(L55*S55%,0),),
IF(AND(AB55=1,J55=調査年),ROUND(L55*S55%,0),))),
ROUND(N55*S55%,0),
ROUND(SUM(AM55)*S55%,0)
))</f>
        <v>0</v>
      </c>
      <c r="AT55" s="385">
        <f t="shared" si="13"/>
        <v>0</v>
      </c>
      <c r="AU55" s="385">
        <f t="shared" si="14"/>
        <v>0</v>
      </c>
      <c r="AV55" s="385">
        <f t="shared" si="15"/>
        <v>0</v>
      </c>
      <c r="AW55" s="385">
        <f t="shared" si="15"/>
        <v>0</v>
      </c>
      <c r="AX55" s="385">
        <f t="shared" si="15"/>
        <v>0</v>
      </c>
      <c r="AY55" s="721">
        <f t="shared" si="16"/>
        <v>0</v>
      </c>
      <c r="AZ55" s="686"/>
      <c r="BA55" s="686"/>
      <c r="BB55" s="686"/>
      <c r="BC55" s="686"/>
    </row>
    <row r="56" spans="3:55" s="46" customFormat="1" ht="30.75" hidden="1" customHeight="1" outlineLevel="1">
      <c r="C56" s="740">
        <v>40</v>
      </c>
      <c r="D56" s="687"/>
      <c r="E56" s="774"/>
      <c r="F56" s="770"/>
      <c r="G56" s="1961"/>
      <c r="H56" s="1962"/>
      <c r="I56" s="679"/>
      <c r="J56" s="725"/>
      <c r="K56" s="680"/>
      <c r="L56" s="681"/>
      <c r="M56" s="681"/>
      <c r="N56" s="681"/>
      <c r="O56" s="681"/>
      <c r="P56" s="681"/>
      <c r="Q56" s="856"/>
      <c r="R56" s="1071"/>
      <c r="S56" s="1094"/>
      <c r="T56" s="682"/>
      <c r="U56" s="726"/>
      <c r="V56" s="727"/>
      <c r="W56" s="717"/>
      <c r="X56" s="776"/>
      <c r="Y56" s="777"/>
      <c r="Z56" s="773"/>
      <c r="AA56" s="684">
        <f t="shared" si="3"/>
        <v>0</v>
      </c>
      <c r="AB56" s="684">
        <f t="shared" si="18"/>
        <v>0</v>
      </c>
      <c r="AC56" s="684">
        <f t="shared" si="19"/>
        <v>0</v>
      </c>
      <c r="AD56" s="684">
        <f>IF(AA56=0,,VLOOKUP(AA56,リスト!DH:DI,2,0))</f>
        <v>0</v>
      </c>
      <c r="AE56" s="684">
        <f t="shared" si="4"/>
        <v>0</v>
      </c>
      <c r="AF56" s="685">
        <f>IF(AE56=0,,VLOOKUP(AE56,リスト!DK:DL,2,0))</f>
        <v>0</v>
      </c>
      <c r="AG56" s="684">
        <f>IF(AA56=0,,
IF(OR(リスト!$C$21="小麦",リスト!$C$21="二条大麦",リスト!$C$21="六条大麦",リスト!$C$21="はだか麦",リスト!$C$21="なたね"),IF(K56&lt;9,調査年-J56,調査年-J56-1),
IF(リスト!$C$21="さとうきび",IF(K56&gt;=4,調査年-J56,調査年-J56+1),
調査年-J56)))</f>
        <v>0</v>
      </c>
      <c r="AH56" s="385">
        <f t="shared" si="20"/>
        <v>0</v>
      </c>
      <c r="AI56" s="385">
        <f t="shared" si="6"/>
        <v>0</v>
      </c>
      <c r="AJ56" s="385">
        <f t="shared" si="7"/>
        <v>0</v>
      </c>
      <c r="AK56" s="385">
        <f t="shared" si="8"/>
        <v>0</v>
      </c>
      <c r="AL56" s="385">
        <f t="shared" si="9"/>
        <v>0</v>
      </c>
      <c r="AM56" s="385">
        <f t="shared" si="17"/>
        <v>0</v>
      </c>
      <c r="AN56" s="394"/>
      <c r="AO56" s="385">
        <f>IF(OR(S56=0,AI56=0),,
IF(OR(リスト!$C$21="小麦",リスト!$C$21="二条大麦",リスト!$C$21="六条大麦",リスト!$C$21="はだか麦",リスト!$C$21="なたね"),IF(OR(AND(K56&lt;9,J56=調査年),AND(K56&gt;=9,J56=調査年-1)),,ROUND(AI56*S56%,0)),
IF(リスト!$C$21="さとうきび",IF(OR(AND(K56&gt;=4,J56=調査年),AND(K56&lt;4,J56=調査年+1)),,ROUND(AI56*S56%,0)),
IF(J56=調査年,,ROUND(AI56*S56%,0)))))</f>
        <v>0</v>
      </c>
      <c r="AP56" s="385">
        <f t="shared" si="10"/>
        <v>0</v>
      </c>
      <c r="AQ56" s="385">
        <f t="shared" si="11"/>
        <v>0</v>
      </c>
      <c r="AR56" s="385">
        <f t="shared" si="12"/>
        <v>0</v>
      </c>
      <c r="AS56" s="385">
        <f>IF(S56=0,,
SUM(
IF(OR(リスト!$C$21="小麦",リスト!$C$21="二条大麦",リスト!$C$21="六条大麦",リスト!$C$21="はだか麦",リスト!$C$21="なたね"),IF(OR(AND(AB56=1,K56&lt;9,J56=調査年),AND(AB56=1,K56&gt;=9,J56=調査年-1)),ROUND(L56*S56%,0),),
IF(リスト!$C$21="さとうきび",IF(OR(AND(AB56=1,K56&gt;=4,J56=調査年),AND(AB56=1,K56&lt;4,J56=調査年+1)),ROUND(L56*S56%,0),),
IF(AND(AB56=1,J56=調査年),ROUND(L56*S56%,0),))),
ROUND(N56*S56%,0),
ROUND(SUM(AM56)*S56%,0)
))</f>
        <v>0</v>
      </c>
      <c r="AT56" s="385">
        <f t="shared" si="13"/>
        <v>0</v>
      </c>
      <c r="AU56" s="385">
        <f t="shared" si="14"/>
        <v>0</v>
      </c>
      <c r="AV56" s="385">
        <f t="shared" si="15"/>
        <v>0</v>
      </c>
      <c r="AW56" s="385">
        <f t="shared" si="15"/>
        <v>0</v>
      </c>
      <c r="AX56" s="385">
        <f t="shared" si="15"/>
        <v>0</v>
      </c>
      <c r="AY56" s="721">
        <f t="shared" si="16"/>
        <v>0</v>
      </c>
      <c r="AZ56" s="686"/>
      <c r="BA56" s="686"/>
      <c r="BB56" s="686"/>
      <c r="BC56" s="686"/>
    </row>
    <row r="57" spans="3:55" s="46" customFormat="1" ht="30.75" hidden="1" customHeight="1" outlineLevel="1">
      <c r="C57" s="740">
        <v>41</v>
      </c>
      <c r="D57" s="687"/>
      <c r="E57" s="774"/>
      <c r="F57" s="770"/>
      <c r="G57" s="1961"/>
      <c r="H57" s="1962"/>
      <c r="I57" s="679"/>
      <c r="J57" s="725"/>
      <c r="K57" s="680"/>
      <c r="L57" s="681"/>
      <c r="M57" s="681"/>
      <c r="N57" s="681"/>
      <c r="O57" s="681"/>
      <c r="P57" s="681"/>
      <c r="Q57" s="856"/>
      <c r="R57" s="1071"/>
      <c r="S57" s="1094"/>
      <c r="T57" s="682"/>
      <c r="U57" s="726"/>
      <c r="V57" s="727"/>
      <c r="W57" s="717"/>
      <c r="X57" s="776"/>
      <c r="Y57" s="777"/>
      <c r="Z57" s="773"/>
      <c r="AA57" s="684">
        <f t="shared" si="3"/>
        <v>0</v>
      </c>
      <c r="AB57" s="684">
        <f t="shared" si="18"/>
        <v>0</v>
      </c>
      <c r="AC57" s="684">
        <f t="shared" si="19"/>
        <v>0</v>
      </c>
      <c r="AD57" s="684">
        <f>IF(AA57=0,,VLOOKUP(AA57,リスト!DH:DI,2,0))</f>
        <v>0</v>
      </c>
      <c r="AE57" s="684">
        <f t="shared" si="4"/>
        <v>0</v>
      </c>
      <c r="AF57" s="685">
        <f>IF(AE57=0,,VLOOKUP(AE57,リスト!DK:DL,2,0))</f>
        <v>0</v>
      </c>
      <c r="AG57" s="684">
        <f>IF(AA57=0,,
IF(OR(リスト!$C$21="小麦",リスト!$C$21="二条大麦",リスト!$C$21="六条大麦",リスト!$C$21="はだか麦",リスト!$C$21="なたね"),IF(K57&lt;9,調査年-J57,調査年-J57-1),
IF(リスト!$C$21="さとうきび",IF(K57&gt;=4,調査年-J57,調査年-J57+1),
調査年-J57)))</f>
        <v>0</v>
      </c>
      <c r="AH57" s="385">
        <f t="shared" si="20"/>
        <v>0</v>
      </c>
      <c r="AI57" s="385">
        <f t="shared" si="6"/>
        <v>0</v>
      </c>
      <c r="AJ57" s="385">
        <f t="shared" si="7"/>
        <v>0</v>
      </c>
      <c r="AK57" s="385">
        <f t="shared" si="8"/>
        <v>0</v>
      </c>
      <c r="AL57" s="385">
        <f t="shared" si="9"/>
        <v>0</v>
      </c>
      <c r="AM57" s="385">
        <f t="shared" si="17"/>
        <v>0</v>
      </c>
      <c r="AN57" s="394"/>
      <c r="AO57" s="385">
        <f>IF(OR(S57=0,AI57=0),,
IF(OR(リスト!$C$21="小麦",リスト!$C$21="二条大麦",リスト!$C$21="六条大麦",リスト!$C$21="はだか麦",リスト!$C$21="なたね"),IF(OR(AND(K57&lt;9,J57=調査年),AND(K57&gt;=9,J57=調査年-1)),,ROUND(AI57*S57%,0)),
IF(リスト!$C$21="さとうきび",IF(OR(AND(K57&gt;=4,J57=調査年),AND(K57&lt;4,J57=調査年+1)),,ROUND(AI57*S57%,0)),
IF(J57=調査年,,ROUND(AI57*S57%,0)))))</f>
        <v>0</v>
      </c>
      <c r="AP57" s="385">
        <f t="shared" si="10"/>
        <v>0</v>
      </c>
      <c r="AQ57" s="385">
        <f t="shared" si="11"/>
        <v>0</v>
      </c>
      <c r="AR57" s="385">
        <f t="shared" si="12"/>
        <v>0</v>
      </c>
      <c r="AS57" s="385">
        <f>IF(S57=0,,
SUM(
IF(OR(リスト!$C$21="小麦",リスト!$C$21="二条大麦",リスト!$C$21="六条大麦",リスト!$C$21="はだか麦",リスト!$C$21="なたね"),IF(OR(AND(AB57=1,K57&lt;9,J57=調査年),AND(AB57=1,K57&gt;=9,J57=調査年-1)),ROUND(L57*S57%,0),),
IF(リスト!$C$21="さとうきび",IF(OR(AND(AB57=1,K57&gt;=4,J57=調査年),AND(AB57=1,K57&lt;4,J57=調査年+1)),ROUND(L57*S57%,0),),
IF(AND(AB57=1,J57=調査年),ROUND(L57*S57%,0),))),
ROUND(N57*S57%,0),
ROUND(SUM(AM57)*S57%,0)
))</f>
        <v>0</v>
      </c>
      <c r="AT57" s="385">
        <f t="shared" si="13"/>
        <v>0</v>
      </c>
      <c r="AU57" s="385">
        <f t="shared" si="14"/>
        <v>0</v>
      </c>
      <c r="AV57" s="385">
        <f t="shared" si="15"/>
        <v>0</v>
      </c>
      <c r="AW57" s="385">
        <f t="shared" si="15"/>
        <v>0</v>
      </c>
      <c r="AX57" s="385">
        <f t="shared" si="15"/>
        <v>0</v>
      </c>
      <c r="AY57" s="721">
        <f t="shared" si="16"/>
        <v>0</v>
      </c>
      <c r="AZ57" s="686"/>
      <c r="BA57" s="686"/>
      <c r="BB57" s="686"/>
      <c r="BC57" s="686"/>
    </row>
    <row r="58" spans="3:55" s="46" customFormat="1" ht="30.75" hidden="1" customHeight="1" outlineLevel="1">
      <c r="C58" s="740">
        <v>42</v>
      </c>
      <c r="D58" s="687"/>
      <c r="E58" s="774"/>
      <c r="F58" s="770"/>
      <c r="G58" s="1961"/>
      <c r="H58" s="1962"/>
      <c r="I58" s="679"/>
      <c r="J58" s="725"/>
      <c r="K58" s="680"/>
      <c r="L58" s="681"/>
      <c r="M58" s="681"/>
      <c r="N58" s="681"/>
      <c r="O58" s="681"/>
      <c r="P58" s="681"/>
      <c r="Q58" s="856"/>
      <c r="R58" s="1071"/>
      <c r="S58" s="1094"/>
      <c r="T58" s="682"/>
      <c r="U58" s="726"/>
      <c r="V58" s="727"/>
      <c r="W58" s="717"/>
      <c r="X58" s="776"/>
      <c r="Y58" s="777"/>
      <c r="Z58" s="773"/>
      <c r="AA58" s="684">
        <f t="shared" si="3"/>
        <v>0</v>
      </c>
      <c r="AB58" s="684">
        <f t="shared" si="18"/>
        <v>0</v>
      </c>
      <c r="AC58" s="684">
        <f t="shared" si="19"/>
        <v>0</v>
      </c>
      <c r="AD58" s="684">
        <f>IF(AA58=0,,VLOOKUP(AA58,リスト!DH:DI,2,0))</f>
        <v>0</v>
      </c>
      <c r="AE58" s="684">
        <f t="shared" si="4"/>
        <v>0</v>
      </c>
      <c r="AF58" s="685">
        <f>IF(AE58=0,,VLOOKUP(AE58,リスト!DK:DL,2,0))</f>
        <v>0</v>
      </c>
      <c r="AG58" s="684">
        <f>IF(AA58=0,,
IF(OR(リスト!$C$21="小麦",リスト!$C$21="二条大麦",リスト!$C$21="六条大麦",リスト!$C$21="はだか麦",リスト!$C$21="なたね"),IF(K58&lt;9,調査年-J58,調査年-J58-1),
IF(リスト!$C$21="さとうきび",IF(K58&gt;=4,調査年-J58,調査年-J58+1),
調査年-J58)))</f>
        <v>0</v>
      </c>
      <c r="AH58" s="385">
        <f t="shared" si="20"/>
        <v>0</v>
      </c>
      <c r="AI58" s="385">
        <f t="shared" si="6"/>
        <v>0</v>
      </c>
      <c r="AJ58" s="385">
        <f t="shared" si="7"/>
        <v>0</v>
      </c>
      <c r="AK58" s="385">
        <f t="shared" si="8"/>
        <v>0</v>
      </c>
      <c r="AL58" s="385">
        <f t="shared" si="9"/>
        <v>0</v>
      </c>
      <c r="AM58" s="385">
        <f t="shared" si="17"/>
        <v>0</v>
      </c>
      <c r="AN58" s="394"/>
      <c r="AO58" s="385">
        <f>IF(OR(S58=0,AI58=0),,
IF(OR(リスト!$C$21="小麦",リスト!$C$21="二条大麦",リスト!$C$21="六条大麦",リスト!$C$21="はだか麦",リスト!$C$21="なたね"),IF(OR(AND(K58&lt;9,J58=調査年),AND(K58&gt;=9,J58=調査年-1)),,ROUND(AI58*S58%,0)),
IF(リスト!$C$21="さとうきび",IF(OR(AND(K58&gt;=4,J58=調査年),AND(K58&lt;4,J58=調査年+1)),,ROUND(AI58*S58%,0)),
IF(J58=調査年,,ROUND(AI58*S58%,0)))))</f>
        <v>0</v>
      </c>
      <c r="AP58" s="385">
        <f t="shared" si="10"/>
        <v>0</v>
      </c>
      <c r="AQ58" s="385">
        <f t="shared" si="11"/>
        <v>0</v>
      </c>
      <c r="AR58" s="385">
        <f t="shared" si="12"/>
        <v>0</v>
      </c>
      <c r="AS58" s="385">
        <f>IF(S58=0,,
SUM(
IF(OR(リスト!$C$21="小麦",リスト!$C$21="二条大麦",リスト!$C$21="六条大麦",リスト!$C$21="はだか麦",リスト!$C$21="なたね"),IF(OR(AND(AB58=1,K58&lt;9,J58=調査年),AND(AB58=1,K58&gt;=9,J58=調査年-1)),ROUND(L58*S58%,0),),
IF(リスト!$C$21="さとうきび",IF(OR(AND(AB58=1,K58&gt;=4,J58=調査年),AND(AB58=1,K58&lt;4,J58=調査年+1)),ROUND(L58*S58%,0),),
IF(AND(AB58=1,J58=調査年),ROUND(L58*S58%,0),))),
ROUND(N58*S58%,0),
ROUND(SUM(AM58)*S58%,0)
))</f>
        <v>0</v>
      </c>
      <c r="AT58" s="385">
        <f t="shared" si="13"/>
        <v>0</v>
      </c>
      <c r="AU58" s="385">
        <f t="shared" si="14"/>
        <v>0</v>
      </c>
      <c r="AV58" s="385">
        <f t="shared" si="15"/>
        <v>0</v>
      </c>
      <c r="AW58" s="385">
        <f t="shared" si="15"/>
        <v>0</v>
      </c>
      <c r="AX58" s="385">
        <f t="shared" si="15"/>
        <v>0</v>
      </c>
      <c r="AY58" s="721">
        <f t="shared" si="16"/>
        <v>0</v>
      </c>
      <c r="AZ58" s="686"/>
      <c r="BA58" s="686"/>
      <c r="BB58" s="686"/>
      <c r="BC58" s="686"/>
    </row>
    <row r="59" spans="3:55" s="46" customFormat="1" ht="30.75" hidden="1" customHeight="1" outlineLevel="1">
      <c r="C59" s="740">
        <v>43</v>
      </c>
      <c r="D59" s="687"/>
      <c r="E59" s="774"/>
      <c r="F59" s="770"/>
      <c r="G59" s="1961"/>
      <c r="H59" s="1962"/>
      <c r="I59" s="679"/>
      <c r="J59" s="725"/>
      <c r="K59" s="680"/>
      <c r="L59" s="681"/>
      <c r="M59" s="681"/>
      <c r="N59" s="681"/>
      <c r="O59" s="681"/>
      <c r="P59" s="681"/>
      <c r="Q59" s="856"/>
      <c r="R59" s="1071"/>
      <c r="S59" s="1094"/>
      <c r="T59" s="682"/>
      <c r="U59" s="726"/>
      <c r="V59" s="727"/>
      <c r="W59" s="717"/>
      <c r="X59" s="776"/>
      <c r="Y59" s="777"/>
      <c r="Z59" s="773"/>
      <c r="AA59" s="684">
        <f t="shared" si="3"/>
        <v>0</v>
      </c>
      <c r="AB59" s="684">
        <f t="shared" si="18"/>
        <v>0</v>
      </c>
      <c r="AC59" s="684">
        <f t="shared" si="19"/>
        <v>0</v>
      </c>
      <c r="AD59" s="684">
        <f>IF(AA59=0,,VLOOKUP(AA59,リスト!DH:DI,2,0))</f>
        <v>0</v>
      </c>
      <c r="AE59" s="684">
        <f t="shared" si="4"/>
        <v>0</v>
      </c>
      <c r="AF59" s="685">
        <f>IF(AE59=0,,VLOOKUP(AE59,リスト!DK:DL,2,0))</f>
        <v>0</v>
      </c>
      <c r="AG59" s="684">
        <f>IF(AA59=0,,
IF(OR(リスト!$C$21="小麦",リスト!$C$21="二条大麦",リスト!$C$21="六条大麦",リスト!$C$21="はだか麦",リスト!$C$21="なたね"),IF(K59&lt;9,調査年-J59,調査年-J59-1),
IF(リスト!$C$21="さとうきび",IF(K59&gt;=4,調査年-J59,調査年-J59+1),
調査年-J59)))</f>
        <v>0</v>
      </c>
      <c r="AH59" s="385">
        <f t="shared" si="20"/>
        <v>0</v>
      </c>
      <c r="AI59" s="385">
        <f t="shared" si="6"/>
        <v>0</v>
      </c>
      <c r="AJ59" s="385">
        <f t="shared" si="7"/>
        <v>0</v>
      </c>
      <c r="AK59" s="385">
        <f t="shared" si="8"/>
        <v>0</v>
      </c>
      <c r="AL59" s="385">
        <f t="shared" si="9"/>
        <v>0</v>
      </c>
      <c r="AM59" s="385">
        <f t="shared" si="17"/>
        <v>0</v>
      </c>
      <c r="AN59" s="394"/>
      <c r="AO59" s="385">
        <f>IF(OR(S59=0,AI59=0),,
IF(OR(リスト!$C$21="小麦",リスト!$C$21="二条大麦",リスト!$C$21="六条大麦",リスト!$C$21="はだか麦",リスト!$C$21="なたね"),IF(OR(AND(K59&lt;9,J59=調査年),AND(K59&gt;=9,J59=調査年-1)),,ROUND(AI59*S59%,0)),
IF(リスト!$C$21="さとうきび",IF(OR(AND(K59&gt;=4,J59=調査年),AND(K59&lt;4,J59=調査年+1)),,ROUND(AI59*S59%,0)),
IF(J59=調査年,,ROUND(AI59*S59%,0)))))</f>
        <v>0</v>
      </c>
      <c r="AP59" s="385">
        <f t="shared" si="10"/>
        <v>0</v>
      </c>
      <c r="AQ59" s="385">
        <f t="shared" si="11"/>
        <v>0</v>
      </c>
      <c r="AR59" s="385">
        <f t="shared" si="12"/>
        <v>0</v>
      </c>
      <c r="AS59" s="385">
        <f>IF(S59=0,,
SUM(
IF(OR(リスト!$C$21="小麦",リスト!$C$21="二条大麦",リスト!$C$21="六条大麦",リスト!$C$21="はだか麦",リスト!$C$21="なたね"),IF(OR(AND(AB59=1,K59&lt;9,J59=調査年),AND(AB59=1,K59&gt;=9,J59=調査年-1)),ROUND(L59*S59%,0),),
IF(リスト!$C$21="さとうきび",IF(OR(AND(AB59=1,K59&gt;=4,J59=調査年),AND(AB59=1,K59&lt;4,J59=調査年+1)),ROUND(L59*S59%,0),),
IF(AND(AB59=1,J59=調査年),ROUND(L59*S59%,0),))),
ROUND(N59*S59%,0),
ROUND(SUM(AM59)*S59%,0)
))</f>
        <v>0</v>
      </c>
      <c r="AT59" s="385">
        <f t="shared" si="13"/>
        <v>0</v>
      </c>
      <c r="AU59" s="385">
        <f t="shared" si="14"/>
        <v>0</v>
      </c>
      <c r="AV59" s="385">
        <f t="shared" si="15"/>
        <v>0</v>
      </c>
      <c r="AW59" s="385">
        <f t="shared" si="15"/>
        <v>0</v>
      </c>
      <c r="AX59" s="385">
        <f t="shared" si="15"/>
        <v>0</v>
      </c>
      <c r="AY59" s="721">
        <f t="shared" si="16"/>
        <v>0</v>
      </c>
      <c r="AZ59" s="686"/>
      <c r="BA59" s="686"/>
      <c r="BB59" s="686"/>
      <c r="BC59" s="686"/>
    </row>
    <row r="60" spans="3:55" s="46" customFormat="1" ht="30.75" hidden="1" customHeight="1" outlineLevel="1">
      <c r="C60" s="740">
        <v>44</v>
      </c>
      <c r="D60" s="687"/>
      <c r="E60" s="774"/>
      <c r="F60" s="770"/>
      <c r="G60" s="1961"/>
      <c r="H60" s="1962"/>
      <c r="I60" s="679"/>
      <c r="J60" s="725"/>
      <c r="K60" s="680"/>
      <c r="L60" s="681"/>
      <c r="M60" s="681"/>
      <c r="N60" s="681"/>
      <c r="O60" s="681"/>
      <c r="P60" s="681"/>
      <c r="Q60" s="856"/>
      <c r="R60" s="1071"/>
      <c r="S60" s="1094"/>
      <c r="T60" s="682"/>
      <c r="U60" s="726"/>
      <c r="V60" s="727"/>
      <c r="W60" s="717"/>
      <c r="X60" s="776"/>
      <c r="Y60" s="777"/>
      <c r="Z60" s="773"/>
      <c r="AA60" s="684">
        <f t="shared" si="3"/>
        <v>0</v>
      </c>
      <c r="AB60" s="684">
        <f t="shared" si="18"/>
        <v>0</v>
      </c>
      <c r="AC60" s="684">
        <f t="shared" si="19"/>
        <v>0</v>
      </c>
      <c r="AD60" s="684">
        <f>IF(AA60=0,,VLOOKUP(AA60,リスト!DH:DI,2,0))</f>
        <v>0</v>
      </c>
      <c r="AE60" s="684">
        <f t="shared" si="4"/>
        <v>0</v>
      </c>
      <c r="AF60" s="685">
        <f>IF(AE60=0,,VLOOKUP(AE60,リスト!DK:DL,2,0))</f>
        <v>0</v>
      </c>
      <c r="AG60" s="684">
        <f>IF(AA60=0,,
IF(OR(リスト!$C$21="小麦",リスト!$C$21="二条大麦",リスト!$C$21="六条大麦",リスト!$C$21="はだか麦",リスト!$C$21="なたね"),IF(K60&lt;9,調査年-J60,調査年-J60-1),
IF(リスト!$C$21="さとうきび",IF(K60&gt;=4,調査年-J60,調査年-J60+1),
調査年-J60)))</f>
        <v>0</v>
      </c>
      <c r="AH60" s="385">
        <f t="shared" si="20"/>
        <v>0</v>
      </c>
      <c r="AI60" s="385">
        <f t="shared" si="6"/>
        <v>0</v>
      </c>
      <c r="AJ60" s="385">
        <f t="shared" si="7"/>
        <v>0</v>
      </c>
      <c r="AK60" s="385">
        <f t="shared" si="8"/>
        <v>0</v>
      </c>
      <c r="AL60" s="385">
        <f t="shared" si="9"/>
        <v>0</v>
      </c>
      <c r="AM60" s="385">
        <f t="shared" si="17"/>
        <v>0</v>
      </c>
      <c r="AN60" s="394"/>
      <c r="AO60" s="385">
        <f>IF(OR(S60=0,AI60=0),,
IF(OR(リスト!$C$21="小麦",リスト!$C$21="二条大麦",リスト!$C$21="六条大麦",リスト!$C$21="はだか麦",リスト!$C$21="なたね"),IF(OR(AND(K60&lt;9,J60=調査年),AND(K60&gt;=9,J60=調査年-1)),,ROUND(AI60*S60%,0)),
IF(リスト!$C$21="さとうきび",IF(OR(AND(K60&gt;=4,J60=調査年),AND(K60&lt;4,J60=調査年+1)),,ROUND(AI60*S60%,0)),
IF(J60=調査年,,ROUND(AI60*S60%,0)))))</f>
        <v>0</v>
      </c>
      <c r="AP60" s="385">
        <f t="shared" si="10"/>
        <v>0</v>
      </c>
      <c r="AQ60" s="385">
        <f t="shared" si="11"/>
        <v>0</v>
      </c>
      <c r="AR60" s="385">
        <f t="shared" si="12"/>
        <v>0</v>
      </c>
      <c r="AS60" s="385">
        <f>IF(S60=0,,
SUM(
IF(OR(リスト!$C$21="小麦",リスト!$C$21="二条大麦",リスト!$C$21="六条大麦",リスト!$C$21="はだか麦",リスト!$C$21="なたね"),IF(OR(AND(AB60=1,K60&lt;9,J60=調査年),AND(AB60=1,K60&gt;=9,J60=調査年-1)),ROUND(L60*S60%,0),),
IF(リスト!$C$21="さとうきび",IF(OR(AND(AB60=1,K60&gt;=4,J60=調査年),AND(AB60=1,K60&lt;4,J60=調査年+1)),ROUND(L60*S60%,0),),
IF(AND(AB60=1,J60=調査年),ROUND(L60*S60%,0),))),
ROUND(N60*S60%,0),
ROUND(SUM(AM60)*S60%,0)
))</f>
        <v>0</v>
      </c>
      <c r="AT60" s="385">
        <f t="shared" si="13"/>
        <v>0</v>
      </c>
      <c r="AU60" s="385">
        <f t="shared" si="14"/>
        <v>0</v>
      </c>
      <c r="AV60" s="385">
        <f t="shared" si="15"/>
        <v>0</v>
      </c>
      <c r="AW60" s="385">
        <f t="shared" si="15"/>
        <v>0</v>
      </c>
      <c r="AX60" s="385">
        <f t="shared" si="15"/>
        <v>0</v>
      </c>
      <c r="AY60" s="721">
        <f t="shared" si="16"/>
        <v>0</v>
      </c>
      <c r="AZ60" s="686"/>
      <c r="BA60" s="686"/>
      <c r="BB60" s="686"/>
      <c r="BC60" s="686"/>
    </row>
    <row r="61" spans="3:55" s="46" customFormat="1" ht="30.75" hidden="1" customHeight="1" outlineLevel="1">
      <c r="C61" s="740">
        <v>45</v>
      </c>
      <c r="D61" s="687"/>
      <c r="E61" s="774"/>
      <c r="F61" s="770"/>
      <c r="G61" s="1961"/>
      <c r="H61" s="1962"/>
      <c r="I61" s="679"/>
      <c r="J61" s="725"/>
      <c r="K61" s="680"/>
      <c r="L61" s="681"/>
      <c r="M61" s="681"/>
      <c r="N61" s="681"/>
      <c r="O61" s="681"/>
      <c r="P61" s="681"/>
      <c r="Q61" s="856"/>
      <c r="R61" s="1071"/>
      <c r="S61" s="1094"/>
      <c r="T61" s="682"/>
      <c r="U61" s="726"/>
      <c r="V61" s="727"/>
      <c r="W61" s="717"/>
      <c r="X61" s="776"/>
      <c r="Y61" s="777"/>
      <c r="Z61" s="773"/>
      <c r="AA61" s="684">
        <f t="shared" si="3"/>
        <v>0</v>
      </c>
      <c r="AB61" s="684">
        <f t="shared" si="18"/>
        <v>0</v>
      </c>
      <c r="AC61" s="684">
        <f t="shared" si="19"/>
        <v>0</v>
      </c>
      <c r="AD61" s="684">
        <f>IF(AA61=0,,VLOOKUP(AA61,リスト!DH:DI,2,0))</f>
        <v>0</v>
      </c>
      <c r="AE61" s="684">
        <f t="shared" si="4"/>
        <v>0</v>
      </c>
      <c r="AF61" s="685">
        <f>IF(AE61=0,,VLOOKUP(AE61,リスト!DK:DL,2,0))</f>
        <v>0</v>
      </c>
      <c r="AG61" s="684">
        <f>IF(AA61=0,,
IF(OR(リスト!$C$21="小麦",リスト!$C$21="二条大麦",リスト!$C$21="六条大麦",リスト!$C$21="はだか麦",リスト!$C$21="なたね"),IF(K61&lt;9,調査年-J61,調査年-J61-1),
IF(リスト!$C$21="さとうきび",IF(K61&gt;=4,調査年-J61,調査年-J61+1),
調査年-J61)))</f>
        <v>0</v>
      </c>
      <c r="AH61" s="385">
        <f t="shared" si="20"/>
        <v>0</v>
      </c>
      <c r="AI61" s="385">
        <f t="shared" si="6"/>
        <v>0</v>
      </c>
      <c r="AJ61" s="385">
        <f t="shared" si="7"/>
        <v>0</v>
      </c>
      <c r="AK61" s="385">
        <f t="shared" si="8"/>
        <v>0</v>
      </c>
      <c r="AL61" s="385">
        <f t="shared" si="9"/>
        <v>0</v>
      </c>
      <c r="AM61" s="385">
        <f t="shared" si="17"/>
        <v>0</v>
      </c>
      <c r="AN61" s="394"/>
      <c r="AO61" s="385">
        <f>IF(OR(S61=0,AI61=0),,
IF(OR(リスト!$C$21="小麦",リスト!$C$21="二条大麦",リスト!$C$21="六条大麦",リスト!$C$21="はだか麦",リスト!$C$21="なたね"),IF(OR(AND(K61&lt;9,J61=調査年),AND(K61&gt;=9,J61=調査年-1)),,ROUND(AI61*S61%,0)),
IF(リスト!$C$21="さとうきび",IF(OR(AND(K61&gt;=4,J61=調査年),AND(K61&lt;4,J61=調査年+1)),,ROUND(AI61*S61%,0)),
IF(J61=調査年,,ROUND(AI61*S61%,0)))))</f>
        <v>0</v>
      </c>
      <c r="AP61" s="385">
        <f t="shared" si="10"/>
        <v>0</v>
      </c>
      <c r="AQ61" s="385">
        <f t="shared" si="11"/>
        <v>0</v>
      </c>
      <c r="AR61" s="385">
        <f t="shared" si="12"/>
        <v>0</v>
      </c>
      <c r="AS61" s="385">
        <f>IF(S61=0,,
SUM(
IF(OR(リスト!$C$21="小麦",リスト!$C$21="二条大麦",リスト!$C$21="六条大麦",リスト!$C$21="はだか麦",リスト!$C$21="なたね"),IF(OR(AND(AB61=1,K61&lt;9,J61=調査年),AND(AB61=1,K61&gt;=9,J61=調査年-1)),ROUND(L61*S61%,0),),
IF(リスト!$C$21="さとうきび",IF(OR(AND(AB61=1,K61&gt;=4,J61=調査年),AND(AB61=1,K61&lt;4,J61=調査年+1)),ROUND(L61*S61%,0),),
IF(AND(AB61=1,J61=調査年),ROUND(L61*S61%,0),))),
ROUND(N61*S61%,0),
ROUND(SUM(AM61)*S61%,0)
))</f>
        <v>0</v>
      </c>
      <c r="AT61" s="385">
        <f t="shared" si="13"/>
        <v>0</v>
      </c>
      <c r="AU61" s="385">
        <f t="shared" si="14"/>
        <v>0</v>
      </c>
      <c r="AV61" s="385">
        <f t="shared" si="15"/>
        <v>0</v>
      </c>
      <c r="AW61" s="385">
        <f t="shared" si="15"/>
        <v>0</v>
      </c>
      <c r="AX61" s="385">
        <f t="shared" si="15"/>
        <v>0</v>
      </c>
      <c r="AY61" s="721">
        <f t="shared" si="16"/>
        <v>0</v>
      </c>
      <c r="AZ61" s="686"/>
      <c r="BA61" s="686"/>
      <c r="BB61" s="686"/>
      <c r="BC61" s="686"/>
    </row>
    <row r="62" spans="3:55" s="46" customFormat="1" ht="30.75" hidden="1" customHeight="1" outlineLevel="1">
      <c r="C62" s="740">
        <v>46</v>
      </c>
      <c r="D62" s="687"/>
      <c r="E62" s="774"/>
      <c r="F62" s="770"/>
      <c r="G62" s="1961"/>
      <c r="H62" s="1962"/>
      <c r="I62" s="679"/>
      <c r="J62" s="725"/>
      <c r="K62" s="680"/>
      <c r="L62" s="681"/>
      <c r="M62" s="681"/>
      <c r="N62" s="681"/>
      <c r="O62" s="681"/>
      <c r="P62" s="681"/>
      <c r="Q62" s="856"/>
      <c r="R62" s="1071"/>
      <c r="S62" s="1094"/>
      <c r="T62" s="682"/>
      <c r="U62" s="726"/>
      <c r="V62" s="727"/>
      <c r="W62" s="717"/>
      <c r="X62" s="776"/>
      <c r="Y62" s="777"/>
      <c r="Z62" s="773"/>
      <c r="AA62" s="684">
        <f t="shared" si="3"/>
        <v>0</v>
      </c>
      <c r="AB62" s="684">
        <f t="shared" si="18"/>
        <v>0</v>
      </c>
      <c r="AC62" s="684">
        <f t="shared" si="19"/>
        <v>0</v>
      </c>
      <c r="AD62" s="684">
        <f>IF(AA62=0,,VLOOKUP(AA62,リスト!DH:DI,2,0))</f>
        <v>0</v>
      </c>
      <c r="AE62" s="684">
        <f t="shared" si="4"/>
        <v>0</v>
      </c>
      <c r="AF62" s="685">
        <f>IF(AE62=0,,VLOOKUP(AE62,リスト!DK:DL,2,0))</f>
        <v>0</v>
      </c>
      <c r="AG62" s="684">
        <f>IF(AA62=0,,
IF(OR(リスト!$C$21="小麦",リスト!$C$21="二条大麦",リスト!$C$21="六条大麦",リスト!$C$21="はだか麦",リスト!$C$21="なたね"),IF(K62&lt;9,調査年-J62,調査年-J62-1),
IF(リスト!$C$21="さとうきび",IF(K62&gt;=4,調査年-J62,調査年-J62+1),
調査年-J62)))</f>
        <v>0</v>
      </c>
      <c r="AH62" s="385">
        <f t="shared" si="20"/>
        <v>0</v>
      </c>
      <c r="AI62" s="385">
        <f t="shared" si="6"/>
        <v>0</v>
      </c>
      <c r="AJ62" s="385">
        <f t="shared" si="7"/>
        <v>0</v>
      </c>
      <c r="AK62" s="385">
        <f t="shared" si="8"/>
        <v>0</v>
      </c>
      <c r="AL62" s="385">
        <f t="shared" si="9"/>
        <v>0</v>
      </c>
      <c r="AM62" s="385">
        <f t="shared" si="17"/>
        <v>0</v>
      </c>
      <c r="AN62" s="394"/>
      <c r="AO62" s="385">
        <f>IF(OR(S62=0,AI62=0),,
IF(OR(リスト!$C$21="小麦",リスト!$C$21="二条大麦",リスト!$C$21="六条大麦",リスト!$C$21="はだか麦",リスト!$C$21="なたね"),IF(OR(AND(K62&lt;9,J62=調査年),AND(K62&gt;=9,J62=調査年-1)),,ROUND(AI62*S62%,0)),
IF(リスト!$C$21="さとうきび",IF(OR(AND(K62&gt;=4,J62=調査年),AND(K62&lt;4,J62=調査年+1)),,ROUND(AI62*S62%,0)),
IF(J62=調査年,,ROUND(AI62*S62%,0)))))</f>
        <v>0</v>
      </c>
      <c r="AP62" s="385">
        <f t="shared" si="10"/>
        <v>0</v>
      </c>
      <c r="AQ62" s="385">
        <f t="shared" si="11"/>
        <v>0</v>
      </c>
      <c r="AR62" s="385">
        <f t="shared" si="12"/>
        <v>0</v>
      </c>
      <c r="AS62" s="385">
        <f>IF(S62=0,,
SUM(
IF(OR(リスト!$C$21="小麦",リスト!$C$21="二条大麦",リスト!$C$21="六条大麦",リスト!$C$21="はだか麦",リスト!$C$21="なたね"),IF(OR(AND(AB62=1,K62&lt;9,J62=調査年),AND(AB62=1,K62&gt;=9,J62=調査年-1)),ROUND(L62*S62%,0),),
IF(リスト!$C$21="さとうきび",IF(OR(AND(AB62=1,K62&gt;=4,J62=調査年),AND(AB62=1,K62&lt;4,J62=調査年+1)),ROUND(L62*S62%,0),),
IF(AND(AB62=1,J62=調査年),ROUND(L62*S62%,0),))),
ROUND(N62*S62%,0),
ROUND(SUM(AM62)*S62%,0)
))</f>
        <v>0</v>
      </c>
      <c r="AT62" s="385">
        <f t="shared" si="13"/>
        <v>0</v>
      </c>
      <c r="AU62" s="385">
        <f t="shared" si="14"/>
        <v>0</v>
      </c>
      <c r="AV62" s="385">
        <f t="shared" si="15"/>
        <v>0</v>
      </c>
      <c r="AW62" s="385">
        <f t="shared" si="15"/>
        <v>0</v>
      </c>
      <c r="AX62" s="385">
        <f t="shared" si="15"/>
        <v>0</v>
      </c>
      <c r="AY62" s="721">
        <f t="shared" si="16"/>
        <v>0</v>
      </c>
      <c r="AZ62" s="686"/>
      <c r="BA62" s="686"/>
      <c r="BB62" s="686"/>
      <c r="BC62" s="686"/>
    </row>
    <row r="63" spans="3:55" s="46" customFormat="1" ht="30.75" hidden="1" customHeight="1" outlineLevel="1">
      <c r="C63" s="740">
        <v>47</v>
      </c>
      <c r="D63" s="687"/>
      <c r="E63" s="774"/>
      <c r="F63" s="770"/>
      <c r="G63" s="1961"/>
      <c r="H63" s="1962"/>
      <c r="I63" s="679"/>
      <c r="J63" s="725"/>
      <c r="K63" s="680"/>
      <c r="L63" s="681"/>
      <c r="M63" s="681"/>
      <c r="N63" s="681"/>
      <c r="O63" s="681"/>
      <c r="P63" s="681"/>
      <c r="Q63" s="856"/>
      <c r="R63" s="1071"/>
      <c r="S63" s="1094"/>
      <c r="T63" s="682"/>
      <c r="U63" s="726"/>
      <c r="V63" s="727"/>
      <c r="W63" s="717"/>
      <c r="X63" s="776"/>
      <c r="Y63" s="777"/>
      <c r="Z63" s="773"/>
      <c r="AA63" s="684">
        <f t="shared" si="3"/>
        <v>0</v>
      </c>
      <c r="AB63" s="684">
        <f t="shared" si="18"/>
        <v>0</v>
      </c>
      <c r="AC63" s="684">
        <f t="shared" si="19"/>
        <v>0</v>
      </c>
      <c r="AD63" s="684">
        <f>IF(AA63=0,,VLOOKUP(AA63,リスト!DH:DI,2,0))</f>
        <v>0</v>
      </c>
      <c r="AE63" s="684">
        <f t="shared" si="4"/>
        <v>0</v>
      </c>
      <c r="AF63" s="685">
        <f>IF(AE63=0,,VLOOKUP(AE63,リスト!DK:DL,2,0))</f>
        <v>0</v>
      </c>
      <c r="AG63" s="684">
        <f>IF(AA63=0,,
IF(OR(リスト!$C$21="小麦",リスト!$C$21="二条大麦",リスト!$C$21="六条大麦",リスト!$C$21="はだか麦",リスト!$C$21="なたね"),IF(K63&lt;9,調査年-J63,調査年-J63-1),
IF(リスト!$C$21="さとうきび",IF(K63&gt;=4,調査年-J63,調査年-J63+1),
調査年-J63)))</f>
        <v>0</v>
      </c>
      <c r="AH63" s="385">
        <f t="shared" si="20"/>
        <v>0</v>
      </c>
      <c r="AI63" s="385">
        <f t="shared" si="6"/>
        <v>0</v>
      </c>
      <c r="AJ63" s="385">
        <f t="shared" si="7"/>
        <v>0</v>
      </c>
      <c r="AK63" s="385">
        <f t="shared" si="8"/>
        <v>0</v>
      </c>
      <c r="AL63" s="385">
        <f t="shared" si="9"/>
        <v>0</v>
      </c>
      <c r="AM63" s="385">
        <f t="shared" si="17"/>
        <v>0</v>
      </c>
      <c r="AN63" s="394"/>
      <c r="AO63" s="385">
        <f>IF(OR(S63=0,AI63=0),,
IF(OR(リスト!$C$21="小麦",リスト!$C$21="二条大麦",リスト!$C$21="六条大麦",リスト!$C$21="はだか麦",リスト!$C$21="なたね"),IF(OR(AND(K63&lt;9,J63=調査年),AND(K63&gt;=9,J63=調査年-1)),,ROUND(AI63*S63%,0)),
IF(リスト!$C$21="さとうきび",IF(OR(AND(K63&gt;=4,J63=調査年),AND(K63&lt;4,J63=調査年+1)),,ROUND(AI63*S63%,0)),
IF(J63=調査年,,ROUND(AI63*S63%,0)))))</f>
        <v>0</v>
      </c>
      <c r="AP63" s="385">
        <f t="shared" si="10"/>
        <v>0</v>
      </c>
      <c r="AQ63" s="385">
        <f t="shared" si="11"/>
        <v>0</v>
      </c>
      <c r="AR63" s="385">
        <f t="shared" si="12"/>
        <v>0</v>
      </c>
      <c r="AS63" s="385">
        <f>IF(S63=0,,
SUM(
IF(OR(リスト!$C$21="小麦",リスト!$C$21="二条大麦",リスト!$C$21="六条大麦",リスト!$C$21="はだか麦",リスト!$C$21="なたね"),IF(OR(AND(AB63=1,K63&lt;9,J63=調査年),AND(AB63=1,K63&gt;=9,J63=調査年-1)),ROUND(L63*S63%,0),),
IF(リスト!$C$21="さとうきび",IF(OR(AND(AB63=1,K63&gt;=4,J63=調査年),AND(AB63=1,K63&lt;4,J63=調査年+1)),ROUND(L63*S63%,0),),
IF(AND(AB63=1,J63=調査年),ROUND(L63*S63%,0),))),
ROUND(N63*S63%,0),
ROUND(SUM(AM63)*S63%,0)
))</f>
        <v>0</v>
      </c>
      <c r="AT63" s="385">
        <f t="shared" si="13"/>
        <v>0</v>
      </c>
      <c r="AU63" s="385">
        <f t="shared" si="14"/>
        <v>0</v>
      </c>
      <c r="AV63" s="385">
        <f t="shared" si="15"/>
        <v>0</v>
      </c>
      <c r="AW63" s="385">
        <f t="shared" si="15"/>
        <v>0</v>
      </c>
      <c r="AX63" s="385">
        <f t="shared" si="15"/>
        <v>0</v>
      </c>
      <c r="AY63" s="721">
        <f t="shared" si="16"/>
        <v>0</v>
      </c>
      <c r="AZ63" s="686"/>
      <c r="BA63" s="686"/>
      <c r="BB63" s="686"/>
      <c r="BC63" s="686"/>
    </row>
    <row r="64" spans="3:55" s="46" customFormat="1" ht="30.75" hidden="1" customHeight="1" outlineLevel="1">
      <c r="C64" s="740">
        <v>48</v>
      </c>
      <c r="D64" s="687"/>
      <c r="E64" s="774"/>
      <c r="F64" s="770"/>
      <c r="G64" s="1961"/>
      <c r="H64" s="1962"/>
      <c r="I64" s="679"/>
      <c r="J64" s="725"/>
      <c r="K64" s="680"/>
      <c r="L64" s="681"/>
      <c r="M64" s="681"/>
      <c r="N64" s="681"/>
      <c r="O64" s="681"/>
      <c r="P64" s="681"/>
      <c r="Q64" s="856"/>
      <c r="R64" s="1071"/>
      <c r="S64" s="1094"/>
      <c r="T64" s="682"/>
      <c r="U64" s="726"/>
      <c r="V64" s="727"/>
      <c r="W64" s="717"/>
      <c r="X64" s="776"/>
      <c r="Y64" s="777"/>
      <c r="Z64" s="773"/>
      <c r="AA64" s="684">
        <f t="shared" si="3"/>
        <v>0</v>
      </c>
      <c r="AB64" s="684">
        <f t="shared" si="18"/>
        <v>0</v>
      </c>
      <c r="AC64" s="684">
        <f t="shared" si="19"/>
        <v>0</v>
      </c>
      <c r="AD64" s="684">
        <f>IF(AA64=0,,VLOOKUP(AA64,リスト!DH:DI,2,0))</f>
        <v>0</v>
      </c>
      <c r="AE64" s="684">
        <f t="shared" si="4"/>
        <v>0</v>
      </c>
      <c r="AF64" s="685">
        <f>IF(AE64=0,,VLOOKUP(AE64,リスト!DK:DL,2,0))</f>
        <v>0</v>
      </c>
      <c r="AG64" s="684">
        <f>IF(AA64=0,,
IF(OR(リスト!$C$21="小麦",リスト!$C$21="二条大麦",リスト!$C$21="六条大麦",リスト!$C$21="はだか麦",リスト!$C$21="なたね"),IF(K64&lt;9,調査年-J64,調査年-J64-1),
IF(リスト!$C$21="さとうきび",IF(K64&gt;=4,調査年-J64,調査年-J64+1),
調査年-J64)))</f>
        <v>0</v>
      </c>
      <c r="AH64" s="385">
        <f t="shared" si="20"/>
        <v>0</v>
      </c>
      <c r="AI64" s="385">
        <f t="shared" si="6"/>
        <v>0</v>
      </c>
      <c r="AJ64" s="385">
        <f t="shared" si="7"/>
        <v>0</v>
      </c>
      <c r="AK64" s="385">
        <f t="shared" si="8"/>
        <v>0</v>
      </c>
      <c r="AL64" s="385">
        <f t="shared" si="9"/>
        <v>0</v>
      </c>
      <c r="AM64" s="385">
        <f t="shared" si="17"/>
        <v>0</v>
      </c>
      <c r="AN64" s="394"/>
      <c r="AO64" s="385">
        <f>IF(OR(S64=0,AI64=0),,
IF(OR(リスト!$C$21="小麦",リスト!$C$21="二条大麦",リスト!$C$21="六条大麦",リスト!$C$21="はだか麦",リスト!$C$21="なたね"),IF(OR(AND(K64&lt;9,J64=調査年),AND(K64&gt;=9,J64=調査年-1)),,ROUND(AI64*S64%,0)),
IF(リスト!$C$21="さとうきび",IF(OR(AND(K64&gt;=4,J64=調査年),AND(K64&lt;4,J64=調査年+1)),,ROUND(AI64*S64%,0)),
IF(J64=調査年,,ROUND(AI64*S64%,0)))))</f>
        <v>0</v>
      </c>
      <c r="AP64" s="385">
        <f t="shared" si="10"/>
        <v>0</v>
      </c>
      <c r="AQ64" s="385">
        <f t="shared" si="11"/>
        <v>0</v>
      </c>
      <c r="AR64" s="385">
        <f t="shared" si="12"/>
        <v>0</v>
      </c>
      <c r="AS64" s="385">
        <f>IF(S64=0,,
SUM(
IF(OR(リスト!$C$21="小麦",リスト!$C$21="二条大麦",リスト!$C$21="六条大麦",リスト!$C$21="はだか麦",リスト!$C$21="なたね"),IF(OR(AND(AB64=1,K64&lt;9,J64=調査年),AND(AB64=1,K64&gt;=9,J64=調査年-1)),ROUND(L64*S64%,0),),
IF(リスト!$C$21="さとうきび",IF(OR(AND(AB64=1,K64&gt;=4,J64=調査年),AND(AB64=1,K64&lt;4,J64=調査年+1)),ROUND(L64*S64%,0),),
IF(AND(AB64=1,J64=調査年),ROUND(L64*S64%,0),))),
ROUND(N64*S64%,0),
ROUND(SUM(AM64)*S64%,0)
))</f>
        <v>0</v>
      </c>
      <c r="AT64" s="385">
        <f t="shared" si="13"/>
        <v>0</v>
      </c>
      <c r="AU64" s="385">
        <f t="shared" si="14"/>
        <v>0</v>
      </c>
      <c r="AV64" s="385">
        <f t="shared" si="15"/>
        <v>0</v>
      </c>
      <c r="AW64" s="385">
        <f t="shared" si="15"/>
        <v>0</v>
      </c>
      <c r="AX64" s="385">
        <f t="shared" si="15"/>
        <v>0</v>
      </c>
      <c r="AY64" s="721">
        <f t="shared" si="16"/>
        <v>0</v>
      </c>
      <c r="AZ64" s="686"/>
      <c r="BA64" s="686"/>
      <c r="BB64" s="686"/>
      <c r="BC64" s="686"/>
    </row>
    <row r="65" spans="3:55" s="46" customFormat="1" ht="30.75" hidden="1" customHeight="1" outlineLevel="1">
      <c r="C65" s="740">
        <v>49</v>
      </c>
      <c r="D65" s="687"/>
      <c r="E65" s="774"/>
      <c r="F65" s="770"/>
      <c r="G65" s="1961"/>
      <c r="H65" s="1962"/>
      <c r="I65" s="679"/>
      <c r="J65" s="725"/>
      <c r="K65" s="680"/>
      <c r="L65" s="681"/>
      <c r="M65" s="681"/>
      <c r="N65" s="681"/>
      <c r="O65" s="681"/>
      <c r="P65" s="681"/>
      <c r="Q65" s="856"/>
      <c r="R65" s="1071"/>
      <c r="S65" s="1094"/>
      <c r="T65" s="682"/>
      <c r="U65" s="726"/>
      <c r="V65" s="727"/>
      <c r="W65" s="717"/>
      <c r="X65" s="776"/>
      <c r="Y65" s="777"/>
      <c r="Z65" s="773"/>
      <c r="AA65" s="684">
        <f t="shared" si="3"/>
        <v>0</v>
      </c>
      <c r="AB65" s="684">
        <f t="shared" si="18"/>
        <v>0</v>
      </c>
      <c r="AC65" s="684">
        <f t="shared" si="19"/>
        <v>0</v>
      </c>
      <c r="AD65" s="684">
        <f>IF(AA65=0,,VLOOKUP(AA65,リスト!DH:DI,2,0))</f>
        <v>0</v>
      </c>
      <c r="AE65" s="684">
        <f t="shared" si="4"/>
        <v>0</v>
      </c>
      <c r="AF65" s="685">
        <f>IF(AE65=0,,VLOOKUP(AE65,リスト!DK:DL,2,0))</f>
        <v>0</v>
      </c>
      <c r="AG65" s="684">
        <f>IF(AA65=0,,
IF(OR(リスト!$C$21="小麦",リスト!$C$21="二条大麦",リスト!$C$21="六条大麦",リスト!$C$21="はだか麦",リスト!$C$21="なたね"),IF(K65&lt;9,調査年-J65,調査年-J65-1),
IF(リスト!$C$21="さとうきび",IF(K65&gt;=4,調査年-J65,調査年-J65+1),
調査年-J65)))</f>
        <v>0</v>
      </c>
      <c r="AH65" s="385">
        <f t="shared" si="20"/>
        <v>0</v>
      </c>
      <c r="AI65" s="385">
        <f t="shared" si="6"/>
        <v>0</v>
      </c>
      <c r="AJ65" s="385">
        <f t="shared" si="7"/>
        <v>0</v>
      </c>
      <c r="AK65" s="385">
        <f t="shared" si="8"/>
        <v>0</v>
      </c>
      <c r="AL65" s="385">
        <f t="shared" si="9"/>
        <v>0</v>
      </c>
      <c r="AM65" s="385">
        <f t="shared" si="17"/>
        <v>0</v>
      </c>
      <c r="AN65" s="394"/>
      <c r="AO65" s="385">
        <f>IF(OR(S65=0,AI65=0),,
IF(OR(リスト!$C$21="小麦",リスト!$C$21="二条大麦",リスト!$C$21="六条大麦",リスト!$C$21="はだか麦",リスト!$C$21="なたね"),IF(OR(AND(K65&lt;9,J65=調査年),AND(K65&gt;=9,J65=調査年-1)),,ROUND(AI65*S65%,0)),
IF(リスト!$C$21="さとうきび",IF(OR(AND(K65&gt;=4,J65=調査年),AND(K65&lt;4,J65=調査年+1)),,ROUND(AI65*S65%,0)),
IF(J65=調査年,,ROUND(AI65*S65%,0)))))</f>
        <v>0</v>
      </c>
      <c r="AP65" s="385">
        <f t="shared" si="10"/>
        <v>0</v>
      </c>
      <c r="AQ65" s="385">
        <f t="shared" si="11"/>
        <v>0</v>
      </c>
      <c r="AR65" s="385">
        <f t="shared" si="12"/>
        <v>0</v>
      </c>
      <c r="AS65" s="385">
        <f>IF(S65=0,,
SUM(
IF(OR(リスト!$C$21="小麦",リスト!$C$21="二条大麦",リスト!$C$21="六条大麦",リスト!$C$21="はだか麦",リスト!$C$21="なたね"),IF(OR(AND(AB65=1,K65&lt;9,J65=調査年),AND(AB65=1,K65&gt;=9,J65=調査年-1)),ROUND(L65*S65%,0),),
IF(リスト!$C$21="さとうきび",IF(OR(AND(AB65=1,K65&gt;=4,J65=調査年),AND(AB65=1,K65&lt;4,J65=調査年+1)),ROUND(L65*S65%,0),),
IF(AND(AB65=1,J65=調査年),ROUND(L65*S65%,0),))),
ROUND(N65*S65%,0),
ROUND(SUM(AM65)*S65%,0)
))</f>
        <v>0</v>
      </c>
      <c r="AT65" s="385">
        <f t="shared" si="13"/>
        <v>0</v>
      </c>
      <c r="AU65" s="385">
        <f t="shared" si="14"/>
        <v>0</v>
      </c>
      <c r="AV65" s="385">
        <f t="shared" si="15"/>
        <v>0</v>
      </c>
      <c r="AW65" s="385">
        <f t="shared" si="15"/>
        <v>0</v>
      </c>
      <c r="AX65" s="385">
        <f t="shared" si="15"/>
        <v>0</v>
      </c>
      <c r="AY65" s="721">
        <f t="shared" si="16"/>
        <v>0</v>
      </c>
      <c r="AZ65" s="686"/>
      <c r="BA65" s="686"/>
      <c r="BB65" s="686"/>
      <c r="BC65" s="686"/>
    </row>
    <row r="66" spans="3:55" s="46" customFormat="1" ht="30.75" hidden="1" customHeight="1" outlineLevel="1">
      <c r="C66" s="740">
        <v>50</v>
      </c>
      <c r="D66" s="687"/>
      <c r="E66" s="774"/>
      <c r="F66" s="770"/>
      <c r="G66" s="1961"/>
      <c r="H66" s="1962"/>
      <c r="I66" s="679"/>
      <c r="J66" s="725"/>
      <c r="K66" s="680"/>
      <c r="L66" s="681"/>
      <c r="M66" s="681"/>
      <c r="N66" s="681"/>
      <c r="O66" s="681"/>
      <c r="P66" s="681"/>
      <c r="Q66" s="856"/>
      <c r="R66" s="1071"/>
      <c r="S66" s="1094"/>
      <c r="T66" s="682"/>
      <c r="U66" s="726"/>
      <c r="V66" s="727"/>
      <c r="W66" s="717"/>
      <c r="X66" s="776"/>
      <c r="Y66" s="777"/>
      <c r="Z66" s="773"/>
      <c r="AA66" s="684">
        <f t="shared" si="3"/>
        <v>0</v>
      </c>
      <c r="AB66" s="684">
        <f t="shared" si="18"/>
        <v>0</v>
      </c>
      <c r="AC66" s="684">
        <f t="shared" si="19"/>
        <v>0</v>
      </c>
      <c r="AD66" s="684">
        <f>IF(AA66=0,,VLOOKUP(AA66,リスト!DH:DI,2,0))</f>
        <v>0</v>
      </c>
      <c r="AE66" s="684">
        <f t="shared" si="4"/>
        <v>0</v>
      </c>
      <c r="AF66" s="685">
        <f>IF(AE66=0,,VLOOKUP(AE66,リスト!DK:DL,2,0))</f>
        <v>0</v>
      </c>
      <c r="AG66" s="684">
        <f>IF(AA66=0,,
IF(OR(リスト!$C$21="小麦",リスト!$C$21="二条大麦",リスト!$C$21="六条大麦",リスト!$C$21="はだか麦",リスト!$C$21="なたね"),IF(K66&lt;9,調査年-J66,調査年-J66-1),
IF(リスト!$C$21="さとうきび",IF(K66&gt;=4,調査年-J66,調査年-J66+1),
調査年-J66)))</f>
        <v>0</v>
      </c>
      <c r="AH66" s="385">
        <f t="shared" si="20"/>
        <v>0</v>
      </c>
      <c r="AI66" s="385">
        <f t="shared" si="6"/>
        <v>0</v>
      </c>
      <c r="AJ66" s="385">
        <f t="shared" si="7"/>
        <v>0</v>
      </c>
      <c r="AK66" s="385">
        <f t="shared" si="8"/>
        <v>0</v>
      </c>
      <c r="AL66" s="385">
        <f t="shared" si="9"/>
        <v>0</v>
      </c>
      <c r="AM66" s="385">
        <f t="shared" si="17"/>
        <v>0</v>
      </c>
      <c r="AN66" s="394"/>
      <c r="AO66" s="385">
        <f>IF(OR(S66=0,AI66=0),,
IF(OR(リスト!$C$21="小麦",リスト!$C$21="二条大麦",リスト!$C$21="六条大麦",リスト!$C$21="はだか麦",リスト!$C$21="なたね"),IF(OR(AND(K66&lt;9,J66=調査年),AND(K66&gt;=9,J66=調査年-1)),,ROUND(AI66*S66%,0)),
IF(リスト!$C$21="さとうきび",IF(OR(AND(K66&gt;=4,J66=調査年),AND(K66&lt;4,J66=調査年+1)),,ROUND(AI66*S66%,0)),
IF(J66=調査年,,ROUND(AI66*S66%,0)))))</f>
        <v>0</v>
      </c>
      <c r="AP66" s="385">
        <f t="shared" si="10"/>
        <v>0</v>
      </c>
      <c r="AQ66" s="385">
        <f t="shared" si="11"/>
        <v>0</v>
      </c>
      <c r="AR66" s="385">
        <f t="shared" si="12"/>
        <v>0</v>
      </c>
      <c r="AS66" s="385">
        <f>IF(S66=0,,
SUM(
IF(OR(リスト!$C$21="小麦",リスト!$C$21="二条大麦",リスト!$C$21="六条大麦",リスト!$C$21="はだか麦",リスト!$C$21="なたね"),IF(OR(AND(AB66=1,K66&lt;9,J66=調査年),AND(AB66=1,K66&gt;=9,J66=調査年-1)),ROUND(L66*S66%,0),),
IF(リスト!$C$21="さとうきび",IF(OR(AND(AB66=1,K66&gt;=4,J66=調査年),AND(AB66=1,K66&lt;4,J66=調査年+1)),ROUND(L66*S66%,0),),
IF(AND(AB66=1,J66=調査年),ROUND(L66*S66%,0),))),
ROUND(N66*S66%,0),
ROUND(SUM(AM66)*S66%,0)
))</f>
        <v>0</v>
      </c>
      <c r="AT66" s="385">
        <f t="shared" si="13"/>
        <v>0</v>
      </c>
      <c r="AU66" s="385">
        <f t="shared" si="14"/>
        <v>0</v>
      </c>
      <c r="AV66" s="385">
        <f t="shared" si="15"/>
        <v>0</v>
      </c>
      <c r="AW66" s="385">
        <f t="shared" si="15"/>
        <v>0</v>
      </c>
      <c r="AX66" s="385">
        <f t="shared" si="15"/>
        <v>0</v>
      </c>
      <c r="AY66" s="721">
        <f t="shared" si="16"/>
        <v>0</v>
      </c>
      <c r="AZ66" s="686"/>
      <c r="BA66" s="686"/>
      <c r="BB66" s="686"/>
      <c r="BC66" s="686"/>
    </row>
    <row r="67" spans="3:55" s="46" customFormat="1" ht="30.75" hidden="1" customHeight="1" outlineLevel="1">
      <c r="C67" s="740">
        <v>51</v>
      </c>
      <c r="D67" s="687"/>
      <c r="E67" s="774"/>
      <c r="F67" s="770"/>
      <c r="G67" s="1961"/>
      <c r="H67" s="1962"/>
      <c r="I67" s="679"/>
      <c r="J67" s="725"/>
      <c r="K67" s="680"/>
      <c r="L67" s="681"/>
      <c r="M67" s="681"/>
      <c r="N67" s="681"/>
      <c r="O67" s="681"/>
      <c r="P67" s="681"/>
      <c r="Q67" s="856"/>
      <c r="R67" s="1071"/>
      <c r="S67" s="1094"/>
      <c r="T67" s="682"/>
      <c r="U67" s="726"/>
      <c r="V67" s="727"/>
      <c r="W67" s="717"/>
      <c r="X67" s="776"/>
      <c r="Y67" s="777"/>
      <c r="Z67" s="773"/>
      <c r="AA67" s="684">
        <f t="shared" si="3"/>
        <v>0</v>
      </c>
      <c r="AB67" s="684">
        <f t="shared" si="18"/>
        <v>0</v>
      </c>
      <c r="AC67" s="684">
        <f t="shared" si="19"/>
        <v>0</v>
      </c>
      <c r="AD67" s="684">
        <f>IF(AA67=0,,VLOOKUP(AA67,リスト!DH:DI,2,0))</f>
        <v>0</v>
      </c>
      <c r="AE67" s="684">
        <f t="shared" si="4"/>
        <v>0</v>
      </c>
      <c r="AF67" s="685">
        <f>IF(AE67=0,,VLOOKUP(AE67,リスト!DK:DL,2,0))</f>
        <v>0</v>
      </c>
      <c r="AG67" s="684">
        <f>IF(AA67=0,,
IF(OR(リスト!$C$21="小麦",リスト!$C$21="二条大麦",リスト!$C$21="六条大麦",リスト!$C$21="はだか麦",リスト!$C$21="なたね"),IF(K67&lt;9,調査年-J67,調査年-J67-1),
IF(リスト!$C$21="さとうきび",IF(K67&gt;=4,調査年-J67,調査年-J67+1),
調査年-J67)))</f>
        <v>0</v>
      </c>
      <c r="AH67" s="385">
        <f t="shared" si="20"/>
        <v>0</v>
      </c>
      <c r="AI67" s="385">
        <f t="shared" si="6"/>
        <v>0</v>
      </c>
      <c r="AJ67" s="385">
        <f t="shared" si="7"/>
        <v>0</v>
      </c>
      <c r="AK67" s="385">
        <f t="shared" si="8"/>
        <v>0</v>
      </c>
      <c r="AL67" s="385">
        <f t="shared" si="9"/>
        <v>0</v>
      </c>
      <c r="AM67" s="385">
        <f t="shared" si="17"/>
        <v>0</v>
      </c>
      <c r="AN67" s="394"/>
      <c r="AO67" s="385">
        <f>IF(OR(S67=0,AI67=0),,
IF(OR(リスト!$C$21="小麦",リスト!$C$21="二条大麦",リスト!$C$21="六条大麦",リスト!$C$21="はだか麦",リスト!$C$21="なたね"),IF(OR(AND(K67&lt;9,J67=調査年),AND(K67&gt;=9,J67=調査年-1)),,ROUND(AI67*S67%,0)),
IF(リスト!$C$21="さとうきび",IF(OR(AND(K67&gt;=4,J67=調査年),AND(K67&lt;4,J67=調査年+1)),,ROUND(AI67*S67%,0)),
IF(J67=調査年,,ROUND(AI67*S67%,0)))))</f>
        <v>0</v>
      </c>
      <c r="AP67" s="385">
        <f t="shared" si="10"/>
        <v>0</v>
      </c>
      <c r="AQ67" s="385">
        <f t="shared" si="11"/>
        <v>0</v>
      </c>
      <c r="AR67" s="385">
        <f t="shared" si="12"/>
        <v>0</v>
      </c>
      <c r="AS67" s="385">
        <f>IF(S67=0,,
SUM(
IF(OR(リスト!$C$21="小麦",リスト!$C$21="二条大麦",リスト!$C$21="六条大麦",リスト!$C$21="はだか麦",リスト!$C$21="なたね"),IF(OR(AND(AB67=1,K67&lt;9,J67=調査年),AND(AB67=1,K67&gt;=9,J67=調査年-1)),ROUND(L67*S67%,0),),
IF(リスト!$C$21="さとうきび",IF(OR(AND(AB67=1,K67&gt;=4,J67=調査年),AND(AB67=1,K67&lt;4,J67=調査年+1)),ROUND(L67*S67%,0),),
IF(AND(AB67=1,J67=調査年),ROUND(L67*S67%,0),))),
ROUND(N67*S67%,0),
ROUND(SUM(AM67)*S67%,0)
))</f>
        <v>0</v>
      </c>
      <c r="AT67" s="385">
        <f t="shared" si="13"/>
        <v>0</v>
      </c>
      <c r="AU67" s="385">
        <f t="shared" si="14"/>
        <v>0</v>
      </c>
      <c r="AV67" s="385">
        <f t="shared" si="15"/>
        <v>0</v>
      </c>
      <c r="AW67" s="385">
        <f t="shared" si="15"/>
        <v>0</v>
      </c>
      <c r="AX67" s="385">
        <f t="shared" si="15"/>
        <v>0</v>
      </c>
      <c r="AY67" s="721">
        <f t="shared" si="16"/>
        <v>0</v>
      </c>
      <c r="AZ67" s="686"/>
      <c r="BA67" s="686"/>
      <c r="BB67" s="686"/>
      <c r="BC67" s="686"/>
    </row>
    <row r="68" spans="3:55" s="46" customFormat="1" ht="30.75" hidden="1" customHeight="1" outlineLevel="1">
      <c r="C68" s="740">
        <v>52</v>
      </c>
      <c r="D68" s="687"/>
      <c r="E68" s="774"/>
      <c r="F68" s="770"/>
      <c r="G68" s="1961"/>
      <c r="H68" s="1962"/>
      <c r="I68" s="679"/>
      <c r="J68" s="725"/>
      <c r="K68" s="680"/>
      <c r="L68" s="681"/>
      <c r="M68" s="681"/>
      <c r="N68" s="681"/>
      <c r="O68" s="681"/>
      <c r="P68" s="681"/>
      <c r="Q68" s="856"/>
      <c r="R68" s="1071"/>
      <c r="S68" s="1094"/>
      <c r="T68" s="682"/>
      <c r="U68" s="726"/>
      <c r="V68" s="727"/>
      <c r="W68" s="717"/>
      <c r="X68" s="776"/>
      <c r="Y68" s="777"/>
      <c r="Z68" s="773"/>
      <c r="AA68" s="684">
        <f t="shared" si="3"/>
        <v>0</v>
      </c>
      <c r="AB68" s="684">
        <f t="shared" si="18"/>
        <v>0</v>
      </c>
      <c r="AC68" s="684">
        <f t="shared" si="19"/>
        <v>0</v>
      </c>
      <c r="AD68" s="684">
        <f>IF(AA68=0,,VLOOKUP(AA68,リスト!DH:DI,2,0))</f>
        <v>0</v>
      </c>
      <c r="AE68" s="684">
        <f t="shared" si="4"/>
        <v>0</v>
      </c>
      <c r="AF68" s="685">
        <f>IF(AE68=0,,VLOOKUP(AE68,リスト!DK:DL,2,0))</f>
        <v>0</v>
      </c>
      <c r="AG68" s="684">
        <f>IF(AA68=0,,
IF(OR(リスト!$C$21="小麦",リスト!$C$21="二条大麦",リスト!$C$21="六条大麦",リスト!$C$21="はだか麦",リスト!$C$21="なたね"),IF(K68&lt;9,調査年-J68,調査年-J68-1),
IF(リスト!$C$21="さとうきび",IF(K68&gt;=4,調査年-J68,調査年-J68+1),
調査年-J68)))</f>
        <v>0</v>
      </c>
      <c r="AH68" s="385">
        <f t="shared" si="20"/>
        <v>0</v>
      </c>
      <c r="AI68" s="385">
        <f t="shared" si="6"/>
        <v>0</v>
      </c>
      <c r="AJ68" s="385">
        <f t="shared" si="7"/>
        <v>0</v>
      </c>
      <c r="AK68" s="385">
        <f t="shared" si="8"/>
        <v>0</v>
      </c>
      <c r="AL68" s="385">
        <f t="shared" si="9"/>
        <v>0</v>
      </c>
      <c r="AM68" s="385">
        <f t="shared" si="17"/>
        <v>0</v>
      </c>
      <c r="AN68" s="394"/>
      <c r="AO68" s="385">
        <f>IF(OR(S68=0,AI68=0),,
IF(OR(リスト!$C$21="小麦",リスト!$C$21="二条大麦",リスト!$C$21="六条大麦",リスト!$C$21="はだか麦",リスト!$C$21="なたね"),IF(OR(AND(K68&lt;9,J68=調査年),AND(K68&gt;=9,J68=調査年-1)),,ROUND(AI68*S68%,0)),
IF(リスト!$C$21="さとうきび",IF(OR(AND(K68&gt;=4,J68=調査年),AND(K68&lt;4,J68=調査年+1)),,ROUND(AI68*S68%,0)),
IF(J68=調査年,,ROUND(AI68*S68%,0)))))</f>
        <v>0</v>
      </c>
      <c r="AP68" s="385">
        <f t="shared" si="10"/>
        <v>0</v>
      </c>
      <c r="AQ68" s="385">
        <f t="shared" si="11"/>
        <v>0</v>
      </c>
      <c r="AR68" s="385">
        <f t="shared" si="12"/>
        <v>0</v>
      </c>
      <c r="AS68" s="385">
        <f>IF(S68=0,,
SUM(
IF(OR(リスト!$C$21="小麦",リスト!$C$21="二条大麦",リスト!$C$21="六条大麦",リスト!$C$21="はだか麦",リスト!$C$21="なたね"),IF(OR(AND(AB68=1,K68&lt;9,J68=調査年),AND(AB68=1,K68&gt;=9,J68=調査年-1)),ROUND(L68*S68%,0),),
IF(リスト!$C$21="さとうきび",IF(OR(AND(AB68=1,K68&gt;=4,J68=調査年),AND(AB68=1,K68&lt;4,J68=調査年+1)),ROUND(L68*S68%,0),),
IF(AND(AB68=1,J68=調査年),ROUND(L68*S68%,0),))),
ROUND(N68*S68%,0),
ROUND(SUM(AM68)*S68%,0)
))</f>
        <v>0</v>
      </c>
      <c r="AT68" s="385">
        <f t="shared" si="13"/>
        <v>0</v>
      </c>
      <c r="AU68" s="385">
        <f t="shared" si="14"/>
        <v>0</v>
      </c>
      <c r="AV68" s="385">
        <f t="shared" si="15"/>
        <v>0</v>
      </c>
      <c r="AW68" s="385">
        <f t="shared" si="15"/>
        <v>0</v>
      </c>
      <c r="AX68" s="385">
        <f t="shared" si="15"/>
        <v>0</v>
      </c>
      <c r="AY68" s="721">
        <f t="shared" si="16"/>
        <v>0</v>
      </c>
      <c r="AZ68" s="686"/>
      <c r="BA68" s="686"/>
      <c r="BB68" s="686"/>
      <c r="BC68" s="686"/>
    </row>
    <row r="69" spans="3:55" s="46" customFormat="1" ht="30.75" hidden="1" customHeight="1" outlineLevel="1">
      <c r="C69" s="740">
        <v>53</v>
      </c>
      <c r="D69" s="687"/>
      <c r="E69" s="774"/>
      <c r="F69" s="770"/>
      <c r="G69" s="1961"/>
      <c r="H69" s="1962"/>
      <c r="I69" s="679"/>
      <c r="J69" s="725"/>
      <c r="K69" s="680"/>
      <c r="L69" s="681"/>
      <c r="M69" s="681"/>
      <c r="N69" s="681"/>
      <c r="O69" s="681"/>
      <c r="P69" s="681"/>
      <c r="Q69" s="856"/>
      <c r="R69" s="1071"/>
      <c r="S69" s="1094"/>
      <c r="T69" s="682"/>
      <c r="U69" s="726"/>
      <c r="V69" s="727"/>
      <c r="W69" s="717"/>
      <c r="X69" s="776"/>
      <c r="Y69" s="777"/>
      <c r="Z69" s="773"/>
      <c r="AA69" s="684">
        <f t="shared" si="3"/>
        <v>0</v>
      </c>
      <c r="AB69" s="684">
        <f t="shared" si="18"/>
        <v>0</v>
      </c>
      <c r="AC69" s="684">
        <f t="shared" si="19"/>
        <v>0</v>
      </c>
      <c r="AD69" s="684">
        <f>IF(AA69=0,,VLOOKUP(AA69,リスト!DH:DI,2,0))</f>
        <v>0</v>
      </c>
      <c r="AE69" s="684">
        <f t="shared" si="4"/>
        <v>0</v>
      </c>
      <c r="AF69" s="685">
        <f>IF(AE69=0,,VLOOKUP(AE69,リスト!DK:DL,2,0))</f>
        <v>0</v>
      </c>
      <c r="AG69" s="684">
        <f>IF(AA69=0,,
IF(OR(リスト!$C$21="小麦",リスト!$C$21="二条大麦",リスト!$C$21="六条大麦",リスト!$C$21="はだか麦",リスト!$C$21="なたね"),IF(K69&lt;9,調査年-J69,調査年-J69-1),
IF(リスト!$C$21="さとうきび",IF(K69&gt;=4,調査年-J69,調査年-J69+1),
調査年-J69)))</f>
        <v>0</v>
      </c>
      <c r="AH69" s="385">
        <f t="shared" si="20"/>
        <v>0</v>
      </c>
      <c r="AI69" s="385">
        <f t="shared" si="6"/>
        <v>0</v>
      </c>
      <c r="AJ69" s="385">
        <f t="shared" si="7"/>
        <v>0</v>
      </c>
      <c r="AK69" s="385">
        <f t="shared" si="8"/>
        <v>0</v>
      </c>
      <c r="AL69" s="385">
        <f t="shared" si="9"/>
        <v>0</v>
      </c>
      <c r="AM69" s="385">
        <f t="shared" si="17"/>
        <v>0</v>
      </c>
      <c r="AN69" s="394"/>
      <c r="AO69" s="385">
        <f>IF(OR(S69=0,AI69=0),,
IF(OR(リスト!$C$21="小麦",リスト!$C$21="二条大麦",リスト!$C$21="六条大麦",リスト!$C$21="はだか麦",リスト!$C$21="なたね"),IF(OR(AND(K69&lt;9,J69=調査年),AND(K69&gt;=9,J69=調査年-1)),,ROUND(AI69*S69%,0)),
IF(リスト!$C$21="さとうきび",IF(OR(AND(K69&gt;=4,J69=調査年),AND(K69&lt;4,J69=調査年+1)),,ROUND(AI69*S69%,0)),
IF(J69=調査年,,ROUND(AI69*S69%,0)))))</f>
        <v>0</v>
      </c>
      <c r="AP69" s="385">
        <f t="shared" si="10"/>
        <v>0</v>
      </c>
      <c r="AQ69" s="385">
        <f t="shared" si="11"/>
        <v>0</v>
      </c>
      <c r="AR69" s="385">
        <f t="shared" si="12"/>
        <v>0</v>
      </c>
      <c r="AS69" s="385">
        <f>IF(S69=0,,
SUM(
IF(OR(リスト!$C$21="小麦",リスト!$C$21="二条大麦",リスト!$C$21="六条大麦",リスト!$C$21="はだか麦",リスト!$C$21="なたね"),IF(OR(AND(AB69=1,K69&lt;9,J69=調査年),AND(AB69=1,K69&gt;=9,J69=調査年-1)),ROUND(L69*S69%,0),),
IF(リスト!$C$21="さとうきび",IF(OR(AND(AB69=1,K69&gt;=4,J69=調査年),AND(AB69=1,K69&lt;4,J69=調査年+1)),ROUND(L69*S69%,0),),
IF(AND(AB69=1,J69=調査年),ROUND(L69*S69%,0),))),
ROUND(N69*S69%,0),
ROUND(SUM(AM69)*S69%,0)
))</f>
        <v>0</v>
      </c>
      <c r="AT69" s="385">
        <f t="shared" si="13"/>
        <v>0</v>
      </c>
      <c r="AU69" s="385">
        <f t="shared" si="14"/>
        <v>0</v>
      </c>
      <c r="AV69" s="385">
        <f t="shared" si="15"/>
        <v>0</v>
      </c>
      <c r="AW69" s="385">
        <f t="shared" si="15"/>
        <v>0</v>
      </c>
      <c r="AX69" s="385">
        <f t="shared" si="15"/>
        <v>0</v>
      </c>
      <c r="AY69" s="721">
        <f t="shared" si="16"/>
        <v>0</v>
      </c>
      <c r="AZ69" s="686"/>
      <c r="BA69" s="686"/>
      <c r="BB69" s="686"/>
      <c r="BC69" s="686"/>
    </row>
    <row r="70" spans="3:55" s="46" customFormat="1" ht="30.75" hidden="1" customHeight="1" outlineLevel="1">
      <c r="C70" s="740">
        <v>54</v>
      </c>
      <c r="D70" s="687"/>
      <c r="E70" s="774"/>
      <c r="F70" s="770"/>
      <c r="G70" s="1961"/>
      <c r="H70" s="1962"/>
      <c r="I70" s="679"/>
      <c r="J70" s="725"/>
      <c r="K70" s="680"/>
      <c r="L70" s="681"/>
      <c r="M70" s="681"/>
      <c r="N70" s="681"/>
      <c r="O70" s="681"/>
      <c r="P70" s="681"/>
      <c r="Q70" s="856"/>
      <c r="R70" s="1071"/>
      <c r="S70" s="1094"/>
      <c r="T70" s="682"/>
      <c r="U70" s="726"/>
      <c r="V70" s="727"/>
      <c r="W70" s="717"/>
      <c r="X70" s="776"/>
      <c r="Y70" s="777"/>
      <c r="Z70" s="773"/>
      <c r="AA70" s="684">
        <f t="shared" si="3"/>
        <v>0</v>
      </c>
      <c r="AB70" s="684">
        <f t="shared" si="18"/>
        <v>0</v>
      </c>
      <c r="AC70" s="684">
        <f t="shared" si="19"/>
        <v>0</v>
      </c>
      <c r="AD70" s="684">
        <f>IF(AA70=0,,VLOOKUP(AA70,リスト!DH:DI,2,0))</f>
        <v>0</v>
      </c>
      <c r="AE70" s="684">
        <f t="shared" si="4"/>
        <v>0</v>
      </c>
      <c r="AF70" s="685">
        <f>IF(AE70=0,,VLOOKUP(AE70,リスト!DK:DL,2,0))</f>
        <v>0</v>
      </c>
      <c r="AG70" s="684">
        <f>IF(AA70=0,,
IF(OR(リスト!$C$21="小麦",リスト!$C$21="二条大麦",リスト!$C$21="六条大麦",リスト!$C$21="はだか麦",リスト!$C$21="なたね"),IF(K70&lt;9,調査年-J70,調査年-J70-1),
IF(リスト!$C$21="さとうきび",IF(K70&gt;=4,調査年-J70,調査年-J70+1),
調査年-J70)))</f>
        <v>0</v>
      </c>
      <c r="AH70" s="385">
        <f t="shared" si="20"/>
        <v>0</v>
      </c>
      <c r="AI70" s="385">
        <f t="shared" si="6"/>
        <v>0</v>
      </c>
      <c r="AJ70" s="385">
        <f t="shared" si="7"/>
        <v>0</v>
      </c>
      <c r="AK70" s="385">
        <f t="shared" si="8"/>
        <v>0</v>
      </c>
      <c r="AL70" s="385">
        <f t="shared" si="9"/>
        <v>0</v>
      </c>
      <c r="AM70" s="385">
        <f t="shared" si="17"/>
        <v>0</v>
      </c>
      <c r="AN70" s="394"/>
      <c r="AO70" s="385">
        <f>IF(OR(S70=0,AI70=0),,
IF(OR(リスト!$C$21="小麦",リスト!$C$21="二条大麦",リスト!$C$21="六条大麦",リスト!$C$21="はだか麦",リスト!$C$21="なたね"),IF(OR(AND(K70&lt;9,J70=調査年),AND(K70&gt;=9,J70=調査年-1)),,ROUND(AI70*S70%,0)),
IF(リスト!$C$21="さとうきび",IF(OR(AND(K70&gt;=4,J70=調査年),AND(K70&lt;4,J70=調査年+1)),,ROUND(AI70*S70%,0)),
IF(J70=調査年,,ROUND(AI70*S70%,0)))))</f>
        <v>0</v>
      </c>
      <c r="AP70" s="385">
        <f t="shared" si="10"/>
        <v>0</v>
      </c>
      <c r="AQ70" s="385">
        <f t="shared" si="11"/>
        <v>0</v>
      </c>
      <c r="AR70" s="385">
        <f t="shared" si="12"/>
        <v>0</v>
      </c>
      <c r="AS70" s="385">
        <f>IF(S70=0,,
SUM(
IF(OR(リスト!$C$21="小麦",リスト!$C$21="二条大麦",リスト!$C$21="六条大麦",リスト!$C$21="はだか麦",リスト!$C$21="なたね"),IF(OR(AND(AB70=1,K70&lt;9,J70=調査年),AND(AB70=1,K70&gt;=9,J70=調査年-1)),ROUND(L70*S70%,0),),
IF(リスト!$C$21="さとうきび",IF(OR(AND(AB70=1,K70&gt;=4,J70=調査年),AND(AB70=1,K70&lt;4,J70=調査年+1)),ROUND(L70*S70%,0),),
IF(AND(AB70=1,J70=調査年),ROUND(L70*S70%,0),))),
ROUND(N70*S70%,0),
ROUND(SUM(AM70)*S70%,0)
))</f>
        <v>0</v>
      </c>
      <c r="AT70" s="385">
        <f t="shared" si="13"/>
        <v>0</v>
      </c>
      <c r="AU70" s="385">
        <f t="shared" si="14"/>
        <v>0</v>
      </c>
      <c r="AV70" s="385">
        <f t="shared" si="15"/>
        <v>0</v>
      </c>
      <c r="AW70" s="385">
        <f t="shared" si="15"/>
        <v>0</v>
      </c>
      <c r="AX70" s="385">
        <f t="shared" si="15"/>
        <v>0</v>
      </c>
      <c r="AY70" s="721">
        <f t="shared" si="16"/>
        <v>0</v>
      </c>
      <c r="AZ70" s="686"/>
      <c r="BA70" s="686"/>
      <c r="BB70" s="686"/>
      <c r="BC70" s="686"/>
    </row>
    <row r="71" spans="3:55" s="46" customFormat="1" ht="30.75" hidden="1" customHeight="1" outlineLevel="1">
      <c r="C71" s="740">
        <v>55</v>
      </c>
      <c r="D71" s="687"/>
      <c r="E71" s="774"/>
      <c r="F71" s="770"/>
      <c r="G71" s="1961"/>
      <c r="H71" s="1962"/>
      <c r="I71" s="679"/>
      <c r="J71" s="725"/>
      <c r="K71" s="680"/>
      <c r="L71" s="681"/>
      <c r="M71" s="681"/>
      <c r="N71" s="681"/>
      <c r="O71" s="681"/>
      <c r="P71" s="681"/>
      <c r="Q71" s="856"/>
      <c r="R71" s="1071"/>
      <c r="S71" s="1094"/>
      <c r="T71" s="682"/>
      <c r="U71" s="726"/>
      <c r="V71" s="727"/>
      <c r="W71" s="717"/>
      <c r="X71" s="776"/>
      <c r="Y71" s="777"/>
      <c r="Z71" s="773"/>
      <c r="AA71" s="684">
        <f t="shared" si="3"/>
        <v>0</v>
      </c>
      <c r="AB71" s="684">
        <f t="shared" si="18"/>
        <v>0</v>
      </c>
      <c r="AC71" s="684">
        <f t="shared" si="19"/>
        <v>0</v>
      </c>
      <c r="AD71" s="684">
        <f>IF(AA71=0,,VLOOKUP(AA71,リスト!DH:DI,2,0))</f>
        <v>0</v>
      </c>
      <c r="AE71" s="684">
        <f t="shared" si="4"/>
        <v>0</v>
      </c>
      <c r="AF71" s="685">
        <f>IF(AE71=0,,VLOOKUP(AE71,リスト!DK:DL,2,0))</f>
        <v>0</v>
      </c>
      <c r="AG71" s="684">
        <f>IF(AA71=0,,
IF(OR(リスト!$C$21="小麦",リスト!$C$21="二条大麦",リスト!$C$21="六条大麦",リスト!$C$21="はだか麦",リスト!$C$21="なたね"),IF(K71&lt;9,調査年-J71,調査年-J71-1),
IF(リスト!$C$21="さとうきび",IF(K71&gt;=4,調査年-J71,調査年-J71+1),
調査年-J71)))</f>
        <v>0</v>
      </c>
      <c r="AH71" s="385">
        <f t="shared" si="20"/>
        <v>0</v>
      </c>
      <c r="AI71" s="385">
        <f t="shared" si="6"/>
        <v>0</v>
      </c>
      <c r="AJ71" s="385">
        <f t="shared" si="7"/>
        <v>0</v>
      </c>
      <c r="AK71" s="385">
        <f t="shared" si="8"/>
        <v>0</v>
      </c>
      <c r="AL71" s="385">
        <f t="shared" si="9"/>
        <v>0</v>
      </c>
      <c r="AM71" s="385">
        <f t="shared" si="17"/>
        <v>0</v>
      </c>
      <c r="AN71" s="394"/>
      <c r="AO71" s="385">
        <f>IF(OR(S71=0,AI71=0),,
IF(OR(リスト!$C$21="小麦",リスト!$C$21="二条大麦",リスト!$C$21="六条大麦",リスト!$C$21="はだか麦",リスト!$C$21="なたね"),IF(OR(AND(K71&lt;9,J71=調査年),AND(K71&gt;=9,J71=調査年-1)),,ROUND(AI71*S71%,0)),
IF(リスト!$C$21="さとうきび",IF(OR(AND(K71&gt;=4,J71=調査年),AND(K71&lt;4,J71=調査年+1)),,ROUND(AI71*S71%,0)),
IF(J71=調査年,,ROUND(AI71*S71%,0)))))</f>
        <v>0</v>
      </c>
      <c r="AP71" s="385">
        <f t="shared" si="10"/>
        <v>0</v>
      </c>
      <c r="AQ71" s="385">
        <f t="shared" si="11"/>
        <v>0</v>
      </c>
      <c r="AR71" s="385">
        <f t="shared" si="12"/>
        <v>0</v>
      </c>
      <c r="AS71" s="385">
        <f>IF(S71=0,,
SUM(
IF(OR(リスト!$C$21="小麦",リスト!$C$21="二条大麦",リスト!$C$21="六条大麦",リスト!$C$21="はだか麦",リスト!$C$21="なたね"),IF(OR(AND(AB71=1,K71&lt;9,J71=調査年),AND(AB71=1,K71&gt;=9,J71=調査年-1)),ROUND(L71*S71%,0),),
IF(リスト!$C$21="さとうきび",IF(OR(AND(AB71=1,K71&gt;=4,J71=調査年),AND(AB71=1,K71&lt;4,J71=調査年+1)),ROUND(L71*S71%,0),),
IF(AND(AB71=1,J71=調査年),ROUND(L71*S71%,0),))),
ROUND(N71*S71%,0),
ROUND(SUM(AM71)*S71%,0)
))</f>
        <v>0</v>
      </c>
      <c r="AT71" s="385">
        <f t="shared" si="13"/>
        <v>0</v>
      </c>
      <c r="AU71" s="385">
        <f t="shared" si="14"/>
        <v>0</v>
      </c>
      <c r="AV71" s="385">
        <f t="shared" si="15"/>
        <v>0</v>
      </c>
      <c r="AW71" s="385">
        <f t="shared" si="15"/>
        <v>0</v>
      </c>
      <c r="AX71" s="385">
        <f t="shared" si="15"/>
        <v>0</v>
      </c>
      <c r="AY71" s="721">
        <f t="shared" si="16"/>
        <v>0</v>
      </c>
      <c r="AZ71" s="686"/>
      <c r="BA71" s="686"/>
      <c r="BB71" s="686"/>
      <c r="BC71" s="686"/>
    </row>
    <row r="72" spans="3:55" s="46" customFormat="1" ht="30.75" hidden="1" customHeight="1" outlineLevel="1">
      <c r="C72" s="740">
        <v>56</v>
      </c>
      <c r="D72" s="687"/>
      <c r="E72" s="774"/>
      <c r="F72" s="770"/>
      <c r="G72" s="1961"/>
      <c r="H72" s="1962"/>
      <c r="I72" s="679"/>
      <c r="J72" s="725"/>
      <c r="K72" s="680"/>
      <c r="L72" s="681"/>
      <c r="M72" s="681"/>
      <c r="N72" s="681"/>
      <c r="O72" s="681"/>
      <c r="P72" s="681"/>
      <c r="Q72" s="856"/>
      <c r="R72" s="1071"/>
      <c r="S72" s="1094"/>
      <c r="T72" s="682"/>
      <c r="U72" s="726"/>
      <c r="V72" s="727"/>
      <c r="W72" s="717"/>
      <c r="X72" s="776"/>
      <c r="Y72" s="777"/>
      <c r="Z72" s="773"/>
      <c r="AA72" s="684">
        <f t="shared" si="3"/>
        <v>0</v>
      </c>
      <c r="AB72" s="684">
        <f t="shared" si="18"/>
        <v>0</v>
      </c>
      <c r="AC72" s="684">
        <f t="shared" si="19"/>
        <v>0</v>
      </c>
      <c r="AD72" s="684">
        <f>IF(AA72=0,,VLOOKUP(AA72,リスト!DH:DI,2,0))</f>
        <v>0</v>
      </c>
      <c r="AE72" s="684">
        <f t="shared" si="4"/>
        <v>0</v>
      </c>
      <c r="AF72" s="685">
        <f>IF(AE72=0,,VLOOKUP(AE72,リスト!DK:DL,2,0))</f>
        <v>0</v>
      </c>
      <c r="AG72" s="684">
        <f>IF(AA72=0,,
IF(OR(リスト!$C$21="小麦",リスト!$C$21="二条大麦",リスト!$C$21="六条大麦",リスト!$C$21="はだか麦",リスト!$C$21="なたね"),IF(K72&lt;9,調査年-J72,調査年-J72-1),
IF(リスト!$C$21="さとうきび",IF(K72&gt;=4,調査年-J72,調査年-J72+1),
調査年-J72)))</f>
        <v>0</v>
      </c>
      <c r="AH72" s="385">
        <f t="shared" si="20"/>
        <v>0</v>
      </c>
      <c r="AI72" s="385">
        <f t="shared" si="6"/>
        <v>0</v>
      </c>
      <c r="AJ72" s="385">
        <f t="shared" si="7"/>
        <v>0</v>
      </c>
      <c r="AK72" s="385">
        <f t="shared" si="8"/>
        <v>0</v>
      </c>
      <c r="AL72" s="385">
        <f t="shared" si="9"/>
        <v>0</v>
      </c>
      <c r="AM72" s="385">
        <f t="shared" si="17"/>
        <v>0</v>
      </c>
      <c r="AN72" s="394"/>
      <c r="AO72" s="385">
        <f>IF(OR(S72=0,AI72=0),,
IF(OR(リスト!$C$21="小麦",リスト!$C$21="二条大麦",リスト!$C$21="六条大麦",リスト!$C$21="はだか麦",リスト!$C$21="なたね"),IF(OR(AND(K72&lt;9,J72=調査年),AND(K72&gt;=9,J72=調査年-1)),,ROUND(AI72*S72%,0)),
IF(リスト!$C$21="さとうきび",IF(OR(AND(K72&gt;=4,J72=調査年),AND(K72&lt;4,J72=調査年+1)),,ROUND(AI72*S72%,0)),
IF(J72=調査年,,ROUND(AI72*S72%,0)))))</f>
        <v>0</v>
      </c>
      <c r="AP72" s="385">
        <f t="shared" si="10"/>
        <v>0</v>
      </c>
      <c r="AQ72" s="385">
        <f t="shared" si="11"/>
        <v>0</v>
      </c>
      <c r="AR72" s="385">
        <f t="shared" si="12"/>
        <v>0</v>
      </c>
      <c r="AS72" s="385">
        <f>IF(S72=0,,
SUM(
IF(OR(リスト!$C$21="小麦",リスト!$C$21="二条大麦",リスト!$C$21="六条大麦",リスト!$C$21="はだか麦",リスト!$C$21="なたね"),IF(OR(AND(AB72=1,K72&lt;9,J72=調査年),AND(AB72=1,K72&gt;=9,J72=調査年-1)),ROUND(L72*S72%,0),),
IF(リスト!$C$21="さとうきび",IF(OR(AND(AB72=1,K72&gt;=4,J72=調査年),AND(AB72=1,K72&lt;4,J72=調査年+1)),ROUND(L72*S72%,0),),
IF(AND(AB72=1,J72=調査年),ROUND(L72*S72%,0),))),
ROUND(N72*S72%,0),
ROUND(SUM(AM72)*S72%,0)
))</f>
        <v>0</v>
      </c>
      <c r="AT72" s="385">
        <f t="shared" si="13"/>
        <v>0</v>
      </c>
      <c r="AU72" s="385">
        <f t="shared" si="14"/>
        <v>0</v>
      </c>
      <c r="AV72" s="385">
        <f t="shared" si="15"/>
        <v>0</v>
      </c>
      <c r="AW72" s="385">
        <f t="shared" si="15"/>
        <v>0</v>
      </c>
      <c r="AX72" s="385">
        <f t="shared" si="15"/>
        <v>0</v>
      </c>
      <c r="AY72" s="721">
        <f t="shared" si="16"/>
        <v>0</v>
      </c>
      <c r="AZ72" s="686"/>
      <c r="BA72" s="686"/>
      <c r="BB72" s="686"/>
      <c r="BC72" s="686"/>
    </row>
    <row r="73" spans="3:55" s="46" customFormat="1" ht="30.75" hidden="1" customHeight="1" outlineLevel="1">
      <c r="C73" s="740">
        <v>57</v>
      </c>
      <c r="D73" s="687"/>
      <c r="E73" s="774"/>
      <c r="F73" s="770"/>
      <c r="G73" s="1961"/>
      <c r="H73" s="1962"/>
      <c r="I73" s="679"/>
      <c r="J73" s="725"/>
      <c r="K73" s="680"/>
      <c r="L73" s="681"/>
      <c r="M73" s="681"/>
      <c r="N73" s="681"/>
      <c r="O73" s="681"/>
      <c r="P73" s="681"/>
      <c r="Q73" s="856"/>
      <c r="R73" s="1071"/>
      <c r="S73" s="1094"/>
      <c r="T73" s="682"/>
      <c r="U73" s="726"/>
      <c r="V73" s="727"/>
      <c r="W73" s="717"/>
      <c r="X73" s="776"/>
      <c r="Y73" s="777"/>
      <c r="Z73" s="773"/>
      <c r="AA73" s="684">
        <f t="shared" si="3"/>
        <v>0</v>
      </c>
      <c r="AB73" s="684">
        <f t="shared" si="18"/>
        <v>0</v>
      </c>
      <c r="AC73" s="684">
        <f t="shared" si="19"/>
        <v>0</v>
      </c>
      <c r="AD73" s="684">
        <f>IF(AA73=0,,VLOOKUP(AA73,リスト!DH:DI,2,0))</f>
        <v>0</v>
      </c>
      <c r="AE73" s="684">
        <f t="shared" si="4"/>
        <v>0</v>
      </c>
      <c r="AF73" s="685">
        <f>IF(AE73=0,,VLOOKUP(AE73,リスト!DK:DL,2,0))</f>
        <v>0</v>
      </c>
      <c r="AG73" s="684">
        <f>IF(AA73=0,,
IF(OR(リスト!$C$21="小麦",リスト!$C$21="二条大麦",リスト!$C$21="六条大麦",リスト!$C$21="はだか麦",リスト!$C$21="なたね"),IF(K73&lt;9,調査年-J73,調査年-J73-1),
IF(リスト!$C$21="さとうきび",IF(K73&gt;=4,調査年-J73,調査年-J73+1),
調査年-J73)))</f>
        <v>0</v>
      </c>
      <c r="AH73" s="385">
        <f t="shared" si="20"/>
        <v>0</v>
      </c>
      <c r="AI73" s="385">
        <f t="shared" si="6"/>
        <v>0</v>
      </c>
      <c r="AJ73" s="385">
        <f t="shared" si="7"/>
        <v>0</v>
      </c>
      <c r="AK73" s="385">
        <f t="shared" si="8"/>
        <v>0</v>
      </c>
      <c r="AL73" s="385">
        <f t="shared" si="9"/>
        <v>0</v>
      </c>
      <c r="AM73" s="385">
        <f t="shared" si="17"/>
        <v>0</v>
      </c>
      <c r="AN73" s="394"/>
      <c r="AO73" s="385">
        <f>IF(OR(S73=0,AI73=0),,
IF(OR(リスト!$C$21="小麦",リスト!$C$21="二条大麦",リスト!$C$21="六条大麦",リスト!$C$21="はだか麦",リスト!$C$21="なたね"),IF(OR(AND(K73&lt;9,J73=調査年),AND(K73&gt;=9,J73=調査年-1)),,ROUND(AI73*S73%,0)),
IF(リスト!$C$21="さとうきび",IF(OR(AND(K73&gt;=4,J73=調査年),AND(K73&lt;4,J73=調査年+1)),,ROUND(AI73*S73%,0)),
IF(J73=調査年,,ROUND(AI73*S73%,0)))))</f>
        <v>0</v>
      </c>
      <c r="AP73" s="385">
        <f t="shared" si="10"/>
        <v>0</v>
      </c>
      <c r="AQ73" s="385">
        <f t="shared" si="11"/>
        <v>0</v>
      </c>
      <c r="AR73" s="385">
        <f t="shared" si="12"/>
        <v>0</v>
      </c>
      <c r="AS73" s="385">
        <f>IF(S73=0,,
SUM(
IF(OR(リスト!$C$21="小麦",リスト!$C$21="二条大麦",リスト!$C$21="六条大麦",リスト!$C$21="はだか麦",リスト!$C$21="なたね"),IF(OR(AND(AB73=1,K73&lt;9,J73=調査年),AND(AB73=1,K73&gt;=9,J73=調査年-1)),ROUND(L73*S73%,0),),
IF(リスト!$C$21="さとうきび",IF(OR(AND(AB73=1,K73&gt;=4,J73=調査年),AND(AB73=1,K73&lt;4,J73=調査年+1)),ROUND(L73*S73%,0),),
IF(AND(AB73=1,J73=調査年),ROUND(L73*S73%,0),))),
ROUND(N73*S73%,0),
ROUND(SUM(AM73)*S73%,0)
))</f>
        <v>0</v>
      </c>
      <c r="AT73" s="385">
        <f t="shared" si="13"/>
        <v>0</v>
      </c>
      <c r="AU73" s="385">
        <f t="shared" si="14"/>
        <v>0</v>
      </c>
      <c r="AV73" s="385">
        <f t="shared" si="15"/>
        <v>0</v>
      </c>
      <c r="AW73" s="385">
        <f t="shared" si="15"/>
        <v>0</v>
      </c>
      <c r="AX73" s="385">
        <f t="shared" si="15"/>
        <v>0</v>
      </c>
      <c r="AY73" s="721">
        <f t="shared" si="16"/>
        <v>0</v>
      </c>
      <c r="AZ73" s="686"/>
      <c r="BA73" s="686"/>
      <c r="BB73" s="686"/>
      <c r="BC73" s="686"/>
    </row>
    <row r="74" spans="3:55" s="46" customFormat="1" ht="30.75" hidden="1" customHeight="1" outlineLevel="1">
      <c r="C74" s="740">
        <v>58</v>
      </c>
      <c r="D74" s="687"/>
      <c r="E74" s="774"/>
      <c r="F74" s="770"/>
      <c r="G74" s="1961"/>
      <c r="H74" s="1962"/>
      <c r="I74" s="679"/>
      <c r="J74" s="725"/>
      <c r="K74" s="680"/>
      <c r="L74" s="681"/>
      <c r="M74" s="681"/>
      <c r="N74" s="681"/>
      <c r="O74" s="681"/>
      <c r="P74" s="681"/>
      <c r="Q74" s="856"/>
      <c r="R74" s="1071"/>
      <c r="S74" s="1094"/>
      <c r="T74" s="682"/>
      <c r="U74" s="726"/>
      <c r="V74" s="727"/>
      <c r="W74" s="717"/>
      <c r="X74" s="776"/>
      <c r="Y74" s="777"/>
      <c r="Z74" s="773"/>
      <c r="AA74" s="684">
        <f t="shared" si="3"/>
        <v>0</v>
      </c>
      <c r="AB74" s="684">
        <f t="shared" si="18"/>
        <v>0</v>
      </c>
      <c r="AC74" s="684">
        <f t="shared" si="19"/>
        <v>0</v>
      </c>
      <c r="AD74" s="684">
        <f>IF(AA74=0,,VLOOKUP(AA74,リスト!DH:DI,2,0))</f>
        <v>0</v>
      </c>
      <c r="AE74" s="684">
        <f t="shared" si="4"/>
        <v>0</v>
      </c>
      <c r="AF74" s="685">
        <f>IF(AE74=0,,VLOOKUP(AE74,リスト!DK:DL,2,0))</f>
        <v>0</v>
      </c>
      <c r="AG74" s="684">
        <f>IF(AA74=0,,
IF(OR(リスト!$C$21="小麦",リスト!$C$21="二条大麦",リスト!$C$21="六条大麦",リスト!$C$21="はだか麦",リスト!$C$21="なたね"),IF(K74&lt;9,調査年-J74,調査年-J74-1),
IF(リスト!$C$21="さとうきび",IF(K74&gt;=4,調査年-J74,調査年-J74+1),
調査年-J74)))</f>
        <v>0</v>
      </c>
      <c r="AH74" s="385">
        <f t="shared" si="20"/>
        <v>0</v>
      </c>
      <c r="AI74" s="385">
        <f t="shared" si="6"/>
        <v>0</v>
      </c>
      <c r="AJ74" s="385">
        <f t="shared" si="7"/>
        <v>0</v>
      </c>
      <c r="AK74" s="385">
        <f t="shared" si="8"/>
        <v>0</v>
      </c>
      <c r="AL74" s="385">
        <f t="shared" si="9"/>
        <v>0</v>
      </c>
      <c r="AM74" s="385">
        <f t="shared" si="17"/>
        <v>0</v>
      </c>
      <c r="AN74" s="394"/>
      <c r="AO74" s="385">
        <f>IF(OR(S74=0,AI74=0),,
IF(OR(リスト!$C$21="小麦",リスト!$C$21="二条大麦",リスト!$C$21="六条大麦",リスト!$C$21="はだか麦",リスト!$C$21="なたね"),IF(OR(AND(K74&lt;9,J74=調査年),AND(K74&gt;=9,J74=調査年-1)),,ROUND(AI74*S74%,0)),
IF(リスト!$C$21="さとうきび",IF(OR(AND(K74&gt;=4,J74=調査年),AND(K74&lt;4,J74=調査年+1)),,ROUND(AI74*S74%,0)),
IF(J74=調査年,,ROUND(AI74*S74%,0)))))</f>
        <v>0</v>
      </c>
      <c r="AP74" s="385">
        <f t="shared" si="10"/>
        <v>0</v>
      </c>
      <c r="AQ74" s="385">
        <f t="shared" si="11"/>
        <v>0</v>
      </c>
      <c r="AR74" s="385">
        <f t="shared" si="12"/>
        <v>0</v>
      </c>
      <c r="AS74" s="385">
        <f>IF(S74=0,,
SUM(
IF(OR(リスト!$C$21="小麦",リスト!$C$21="二条大麦",リスト!$C$21="六条大麦",リスト!$C$21="はだか麦",リスト!$C$21="なたね"),IF(OR(AND(AB74=1,K74&lt;9,J74=調査年),AND(AB74=1,K74&gt;=9,J74=調査年-1)),ROUND(L74*S74%,0),),
IF(リスト!$C$21="さとうきび",IF(OR(AND(AB74=1,K74&gt;=4,J74=調査年),AND(AB74=1,K74&lt;4,J74=調査年+1)),ROUND(L74*S74%,0),),
IF(AND(AB74=1,J74=調査年),ROUND(L74*S74%,0),))),
ROUND(N74*S74%,0),
ROUND(SUM(AM74)*S74%,0)
))</f>
        <v>0</v>
      </c>
      <c r="AT74" s="385">
        <f t="shared" si="13"/>
        <v>0</v>
      </c>
      <c r="AU74" s="385">
        <f t="shared" si="14"/>
        <v>0</v>
      </c>
      <c r="AV74" s="385">
        <f t="shared" si="15"/>
        <v>0</v>
      </c>
      <c r="AW74" s="385">
        <f t="shared" si="15"/>
        <v>0</v>
      </c>
      <c r="AX74" s="385">
        <f t="shared" si="15"/>
        <v>0</v>
      </c>
      <c r="AY74" s="721">
        <f t="shared" si="16"/>
        <v>0</v>
      </c>
      <c r="AZ74" s="686"/>
      <c r="BA74" s="686"/>
      <c r="BB74" s="686"/>
      <c r="BC74" s="686"/>
    </row>
    <row r="75" spans="3:55" s="46" customFormat="1" ht="30.75" hidden="1" customHeight="1" outlineLevel="1">
      <c r="C75" s="740">
        <v>59</v>
      </c>
      <c r="D75" s="687"/>
      <c r="E75" s="774"/>
      <c r="F75" s="770"/>
      <c r="G75" s="1961"/>
      <c r="H75" s="1962"/>
      <c r="I75" s="679"/>
      <c r="J75" s="725"/>
      <c r="K75" s="680"/>
      <c r="L75" s="681"/>
      <c r="M75" s="681"/>
      <c r="N75" s="681"/>
      <c r="O75" s="681"/>
      <c r="P75" s="681"/>
      <c r="Q75" s="856"/>
      <c r="R75" s="1071"/>
      <c r="S75" s="1094"/>
      <c r="T75" s="682"/>
      <c r="U75" s="726"/>
      <c r="V75" s="727"/>
      <c r="W75" s="717"/>
      <c r="X75" s="776"/>
      <c r="Y75" s="777"/>
      <c r="Z75" s="773"/>
      <c r="AA75" s="684">
        <f t="shared" si="3"/>
        <v>0</v>
      </c>
      <c r="AB75" s="684">
        <f t="shared" si="18"/>
        <v>0</v>
      </c>
      <c r="AC75" s="684">
        <f t="shared" si="19"/>
        <v>0</v>
      </c>
      <c r="AD75" s="684">
        <f>IF(AA75=0,,VLOOKUP(AA75,リスト!DH:DI,2,0))</f>
        <v>0</v>
      </c>
      <c r="AE75" s="684">
        <f t="shared" si="4"/>
        <v>0</v>
      </c>
      <c r="AF75" s="685">
        <f>IF(AE75=0,,VLOOKUP(AE75,リスト!DK:DL,2,0))</f>
        <v>0</v>
      </c>
      <c r="AG75" s="684">
        <f>IF(AA75=0,,
IF(OR(リスト!$C$21="小麦",リスト!$C$21="二条大麦",リスト!$C$21="六条大麦",リスト!$C$21="はだか麦",リスト!$C$21="なたね"),IF(K75&lt;9,調査年-J75,調査年-J75-1),
IF(リスト!$C$21="さとうきび",IF(K75&gt;=4,調査年-J75,調査年-J75+1),
調査年-J75)))</f>
        <v>0</v>
      </c>
      <c r="AH75" s="385">
        <f t="shared" si="20"/>
        <v>0</v>
      </c>
      <c r="AI75" s="385">
        <f t="shared" si="6"/>
        <v>0</v>
      </c>
      <c r="AJ75" s="385">
        <f t="shared" si="7"/>
        <v>0</v>
      </c>
      <c r="AK75" s="385">
        <f t="shared" si="8"/>
        <v>0</v>
      </c>
      <c r="AL75" s="385">
        <f t="shared" si="9"/>
        <v>0</v>
      </c>
      <c r="AM75" s="385">
        <f t="shared" si="17"/>
        <v>0</v>
      </c>
      <c r="AN75" s="394"/>
      <c r="AO75" s="385">
        <f>IF(OR(S75=0,AI75=0),,
IF(OR(リスト!$C$21="小麦",リスト!$C$21="二条大麦",リスト!$C$21="六条大麦",リスト!$C$21="はだか麦",リスト!$C$21="なたね"),IF(OR(AND(K75&lt;9,J75=調査年),AND(K75&gt;=9,J75=調査年-1)),,ROUND(AI75*S75%,0)),
IF(リスト!$C$21="さとうきび",IF(OR(AND(K75&gt;=4,J75=調査年),AND(K75&lt;4,J75=調査年+1)),,ROUND(AI75*S75%,0)),
IF(J75=調査年,,ROUND(AI75*S75%,0)))))</f>
        <v>0</v>
      </c>
      <c r="AP75" s="385">
        <f t="shared" si="10"/>
        <v>0</v>
      </c>
      <c r="AQ75" s="385">
        <f t="shared" si="11"/>
        <v>0</v>
      </c>
      <c r="AR75" s="385">
        <f t="shared" si="12"/>
        <v>0</v>
      </c>
      <c r="AS75" s="385">
        <f>IF(S75=0,,
SUM(
IF(OR(リスト!$C$21="小麦",リスト!$C$21="二条大麦",リスト!$C$21="六条大麦",リスト!$C$21="はだか麦",リスト!$C$21="なたね"),IF(OR(AND(AB75=1,K75&lt;9,J75=調査年),AND(AB75=1,K75&gt;=9,J75=調査年-1)),ROUND(L75*S75%,0),),
IF(リスト!$C$21="さとうきび",IF(OR(AND(AB75=1,K75&gt;=4,J75=調査年),AND(AB75=1,K75&lt;4,J75=調査年+1)),ROUND(L75*S75%,0),),
IF(AND(AB75=1,J75=調査年),ROUND(L75*S75%,0),))),
ROUND(N75*S75%,0),
ROUND(SUM(AM75)*S75%,0)
))</f>
        <v>0</v>
      </c>
      <c r="AT75" s="385">
        <f t="shared" si="13"/>
        <v>0</v>
      </c>
      <c r="AU75" s="385">
        <f t="shared" si="14"/>
        <v>0</v>
      </c>
      <c r="AV75" s="385">
        <f t="shared" si="15"/>
        <v>0</v>
      </c>
      <c r="AW75" s="385">
        <f t="shared" si="15"/>
        <v>0</v>
      </c>
      <c r="AX75" s="385">
        <f t="shared" si="15"/>
        <v>0</v>
      </c>
      <c r="AY75" s="721">
        <f t="shared" si="16"/>
        <v>0</v>
      </c>
      <c r="AZ75" s="686"/>
      <c r="BA75" s="686"/>
      <c r="BB75" s="686"/>
      <c r="BC75" s="686"/>
    </row>
    <row r="76" spans="3:55" s="46" customFormat="1" ht="30.75" hidden="1" customHeight="1" outlineLevel="1">
      <c r="C76" s="740">
        <v>60</v>
      </c>
      <c r="D76" s="687"/>
      <c r="E76" s="774"/>
      <c r="F76" s="770"/>
      <c r="G76" s="1961"/>
      <c r="H76" s="1962"/>
      <c r="I76" s="679"/>
      <c r="J76" s="725"/>
      <c r="K76" s="680"/>
      <c r="L76" s="681"/>
      <c r="M76" s="681"/>
      <c r="N76" s="681"/>
      <c r="O76" s="681"/>
      <c r="P76" s="681"/>
      <c r="Q76" s="856"/>
      <c r="R76" s="1071"/>
      <c r="S76" s="1094"/>
      <c r="T76" s="682"/>
      <c r="U76" s="726"/>
      <c r="V76" s="727"/>
      <c r="W76" s="717"/>
      <c r="X76" s="776"/>
      <c r="Y76" s="777"/>
      <c r="Z76" s="773"/>
      <c r="AA76" s="684">
        <f t="shared" si="3"/>
        <v>0</v>
      </c>
      <c r="AB76" s="684">
        <f t="shared" si="18"/>
        <v>0</v>
      </c>
      <c r="AC76" s="684">
        <f t="shared" si="19"/>
        <v>0</v>
      </c>
      <c r="AD76" s="684">
        <f>IF(AA76=0,,VLOOKUP(AA76,リスト!DH:DI,2,0))</f>
        <v>0</v>
      </c>
      <c r="AE76" s="684">
        <f t="shared" si="4"/>
        <v>0</v>
      </c>
      <c r="AF76" s="685">
        <f>IF(AE76=0,,VLOOKUP(AE76,リスト!DK:DL,2,0))</f>
        <v>0</v>
      </c>
      <c r="AG76" s="684">
        <f>IF(AA76=0,,
IF(OR(リスト!$C$21="小麦",リスト!$C$21="二条大麦",リスト!$C$21="六条大麦",リスト!$C$21="はだか麦",リスト!$C$21="なたね"),IF(K76&lt;9,調査年-J76,調査年-J76-1),
IF(リスト!$C$21="さとうきび",IF(K76&gt;=4,調査年-J76,調査年-J76+1),
調査年-J76)))</f>
        <v>0</v>
      </c>
      <c r="AH76" s="385">
        <f t="shared" si="20"/>
        <v>0</v>
      </c>
      <c r="AI76" s="385">
        <f t="shared" si="6"/>
        <v>0</v>
      </c>
      <c r="AJ76" s="385">
        <f t="shared" si="7"/>
        <v>0</v>
      </c>
      <c r="AK76" s="385">
        <f t="shared" si="8"/>
        <v>0</v>
      </c>
      <c r="AL76" s="385">
        <f t="shared" si="9"/>
        <v>0</v>
      </c>
      <c r="AM76" s="385">
        <f t="shared" si="17"/>
        <v>0</v>
      </c>
      <c r="AN76" s="394"/>
      <c r="AO76" s="385">
        <f>IF(OR(S76=0,AI76=0),,
IF(OR(リスト!$C$21="小麦",リスト!$C$21="二条大麦",リスト!$C$21="六条大麦",リスト!$C$21="はだか麦",リスト!$C$21="なたね"),IF(OR(AND(K76&lt;9,J76=調査年),AND(K76&gt;=9,J76=調査年-1)),,ROUND(AI76*S76%,0)),
IF(リスト!$C$21="さとうきび",IF(OR(AND(K76&gt;=4,J76=調査年),AND(K76&lt;4,J76=調査年+1)),,ROUND(AI76*S76%,0)),
IF(J76=調査年,,ROUND(AI76*S76%,0)))))</f>
        <v>0</v>
      </c>
      <c r="AP76" s="385">
        <f t="shared" si="10"/>
        <v>0</v>
      </c>
      <c r="AQ76" s="385">
        <f t="shared" si="11"/>
        <v>0</v>
      </c>
      <c r="AR76" s="385">
        <f t="shared" si="12"/>
        <v>0</v>
      </c>
      <c r="AS76" s="385">
        <f>IF(S76=0,,
SUM(
IF(OR(リスト!$C$21="小麦",リスト!$C$21="二条大麦",リスト!$C$21="六条大麦",リスト!$C$21="はだか麦",リスト!$C$21="なたね"),IF(OR(AND(AB76=1,K76&lt;9,J76=調査年),AND(AB76=1,K76&gt;=9,J76=調査年-1)),ROUND(L76*S76%,0),),
IF(リスト!$C$21="さとうきび",IF(OR(AND(AB76=1,K76&gt;=4,J76=調査年),AND(AB76=1,K76&lt;4,J76=調査年+1)),ROUND(L76*S76%,0),),
IF(AND(AB76=1,J76=調査年),ROUND(L76*S76%,0),))),
ROUND(N76*S76%,0),
ROUND(SUM(AM76)*S76%,0)
))</f>
        <v>0</v>
      </c>
      <c r="AT76" s="385">
        <f t="shared" si="13"/>
        <v>0</v>
      </c>
      <c r="AU76" s="385">
        <f t="shared" si="14"/>
        <v>0</v>
      </c>
      <c r="AV76" s="385">
        <f t="shared" si="15"/>
        <v>0</v>
      </c>
      <c r="AW76" s="385">
        <f t="shared" si="15"/>
        <v>0</v>
      </c>
      <c r="AX76" s="385">
        <f t="shared" si="15"/>
        <v>0</v>
      </c>
      <c r="AY76" s="721">
        <f t="shared" si="16"/>
        <v>0</v>
      </c>
      <c r="AZ76" s="686"/>
      <c r="BA76" s="686"/>
      <c r="BB76" s="686"/>
      <c r="BC76" s="686"/>
    </row>
    <row r="77" spans="3:55" s="46" customFormat="1" ht="30.75" hidden="1" customHeight="1" outlineLevel="1">
      <c r="C77" s="740">
        <v>61</v>
      </c>
      <c r="D77" s="687"/>
      <c r="E77" s="774"/>
      <c r="F77" s="770"/>
      <c r="G77" s="1961"/>
      <c r="H77" s="1962"/>
      <c r="I77" s="679"/>
      <c r="J77" s="725"/>
      <c r="K77" s="680"/>
      <c r="L77" s="681"/>
      <c r="M77" s="681"/>
      <c r="N77" s="681"/>
      <c r="O77" s="681"/>
      <c r="P77" s="681"/>
      <c r="Q77" s="856"/>
      <c r="R77" s="1071"/>
      <c r="S77" s="1094"/>
      <c r="T77" s="682"/>
      <c r="U77" s="726"/>
      <c r="V77" s="727"/>
      <c r="W77" s="717"/>
      <c r="X77" s="776"/>
      <c r="Y77" s="777"/>
      <c r="Z77" s="773"/>
      <c r="AA77" s="684">
        <f t="shared" si="3"/>
        <v>0</v>
      </c>
      <c r="AB77" s="684">
        <f t="shared" si="18"/>
        <v>0</v>
      </c>
      <c r="AC77" s="684">
        <f t="shared" si="19"/>
        <v>0</v>
      </c>
      <c r="AD77" s="684">
        <f>IF(AA77=0,,VLOOKUP(AA77,リスト!DH:DI,2,0))</f>
        <v>0</v>
      </c>
      <c r="AE77" s="684">
        <f t="shared" si="4"/>
        <v>0</v>
      </c>
      <c r="AF77" s="685">
        <f>IF(AE77=0,,VLOOKUP(AE77,リスト!DK:DL,2,0))</f>
        <v>0</v>
      </c>
      <c r="AG77" s="684">
        <f>IF(AA77=0,,
IF(OR(リスト!$C$21="小麦",リスト!$C$21="二条大麦",リスト!$C$21="六条大麦",リスト!$C$21="はだか麦",リスト!$C$21="なたね"),IF(K77&lt;9,調査年-J77,調査年-J77-1),
IF(リスト!$C$21="さとうきび",IF(K77&gt;=4,調査年-J77,調査年-J77+1),
調査年-J77)))</f>
        <v>0</v>
      </c>
      <c r="AH77" s="385">
        <f t="shared" si="20"/>
        <v>0</v>
      </c>
      <c r="AI77" s="385">
        <f t="shared" si="6"/>
        <v>0</v>
      </c>
      <c r="AJ77" s="385">
        <f t="shared" si="7"/>
        <v>0</v>
      </c>
      <c r="AK77" s="385">
        <f t="shared" si="8"/>
        <v>0</v>
      </c>
      <c r="AL77" s="385">
        <f t="shared" si="9"/>
        <v>0</v>
      </c>
      <c r="AM77" s="385">
        <f t="shared" si="17"/>
        <v>0</v>
      </c>
      <c r="AN77" s="394"/>
      <c r="AO77" s="385">
        <f>IF(OR(S77=0,AI77=0),,
IF(OR(リスト!$C$21="小麦",リスト!$C$21="二条大麦",リスト!$C$21="六条大麦",リスト!$C$21="はだか麦",リスト!$C$21="なたね"),IF(OR(AND(K77&lt;9,J77=調査年),AND(K77&gt;=9,J77=調査年-1)),,ROUND(AI77*S77%,0)),
IF(リスト!$C$21="さとうきび",IF(OR(AND(K77&gt;=4,J77=調査年),AND(K77&lt;4,J77=調査年+1)),,ROUND(AI77*S77%,0)),
IF(J77=調査年,,ROUND(AI77*S77%,0)))))</f>
        <v>0</v>
      </c>
      <c r="AP77" s="385">
        <f t="shared" si="10"/>
        <v>0</v>
      </c>
      <c r="AQ77" s="385">
        <f t="shared" si="11"/>
        <v>0</v>
      </c>
      <c r="AR77" s="385">
        <f t="shared" si="12"/>
        <v>0</v>
      </c>
      <c r="AS77" s="385">
        <f>IF(S77=0,,
SUM(
IF(OR(リスト!$C$21="小麦",リスト!$C$21="二条大麦",リスト!$C$21="六条大麦",リスト!$C$21="はだか麦",リスト!$C$21="なたね"),IF(OR(AND(AB77=1,K77&lt;9,J77=調査年),AND(AB77=1,K77&gt;=9,J77=調査年-1)),ROUND(L77*S77%,0),),
IF(リスト!$C$21="さとうきび",IF(OR(AND(AB77=1,K77&gt;=4,J77=調査年),AND(AB77=1,K77&lt;4,J77=調査年+1)),ROUND(L77*S77%,0),),
IF(AND(AB77=1,J77=調査年),ROUND(L77*S77%,0),))),
ROUND(N77*S77%,0),
ROUND(SUM(AM77)*S77%,0)
))</f>
        <v>0</v>
      </c>
      <c r="AT77" s="385">
        <f t="shared" si="13"/>
        <v>0</v>
      </c>
      <c r="AU77" s="385">
        <f t="shared" si="14"/>
        <v>0</v>
      </c>
      <c r="AV77" s="385">
        <f t="shared" si="15"/>
        <v>0</v>
      </c>
      <c r="AW77" s="385">
        <f t="shared" si="15"/>
        <v>0</v>
      </c>
      <c r="AX77" s="385">
        <f t="shared" si="15"/>
        <v>0</v>
      </c>
      <c r="AY77" s="721">
        <f t="shared" si="16"/>
        <v>0</v>
      </c>
      <c r="AZ77" s="686"/>
      <c r="BA77" s="686"/>
      <c r="BB77" s="686"/>
      <c r="BC77" s="686"/>
    </row>
    <row r="78" spans="3:55" s="46" customFormat="1" ht="30.75" hidden="1" customHeight="1" outlineLevel="1">
      <c r="C78" s="740">
        <v>62</v>
      </c>
      <c r="D78" s="675"/>
      <c r="E78" s="774"/>
      <c r="F78" s="770"/>
      <c r="G78" s="1961"/>
      <c r="H78" s="1962"/>
      <c r="I78" s="679"/>
      <c r="J78" s="725"/>
      <c r="K78" s="680"/>
      <c r="L78" s="681"/>
      <c r="M78" s="681"/>
      <c r="N78" s="681"/>
      <c r="O78" s="681"/>
      <c r="P78" s="681"/>
      <c r="Q78" s="856"/>
      <c r="R78" s="1071"/>
      <c r="S78" s="1094"/>
      <c r="T78" s="682"/>
      <c r="U78" s="726"/>
      <c r="V78" s="727"/>
      <c r="W78" s="717"/>
      <c r="X78" s="776"/>
      <c r="Y78" s="777"/>
      <c r="Z78" s="773"/>
      <c r="AA78" s="684">
        <f t="shared" si="3"/>
        <v>0</v>
      </c>
      <c r="AB78" s="684">
        <f t="shared" si="18"/>
        <v>0</v>
      </c>
      <c r="AC78" s="684">
        <f t="shared" si="19"/>
        <v>0</v>
      </c>
      <c r="AD78" s="684">
        <f>IF(AA78=0,,VLOOKUP(AA78,リスト!DH:DI,2,0))</f>
        <v>0</v>
      </c>
      <c r="AE78" s="684">
        <f t="shared" si="4"/>
        <v>0</v>
      </c>
      <c r="AF78" s="685">
        <f>IF(AE78=0,,VLOOKUP(AE78,リスト!DK:DL,2,0))</f>
        <v>0</v>
      </c>
      <c r="AG78" s="684">
        <f>IF(AA78=0,,
IF(OR(リスト!$C$21="小麦",リスト!$C$21="二条大麦",リスト!$C$21="六条大麦",リスト!$C$21="はだか麦",リスト!$C$21="なたね"),IF(K78&lt;9,調査年-J78,調査年-J78-1),
IF(リスト!$C$21="さとうきび",IF(K78&gt;=4,調査年-J78,調査年-J78+1),
調査年-J78)))</f>
        <v>0</v>
      </c>
      <c r="AH78" s="385">
        <f t="shared" si="20"/>
        <v>0</v>
      </c>
      <c r="AI78" s="385">
        <f t="shared" si="6"/>
        <v>0</v>
      </c>
      <c r="AJ78" s="385">
        <f t="shared" si="7"/>
        <v>0</v>
      </c>
      <c r="AK78" s="385">
        <f t="shared" si="8"/>
        <v>0</v>
      </c>
      <c r="AL78" s="385">
        <f t="shared" si="9"/>
        <v>0</v>
      </c>
      <c r="AM78" s="385">
        <f t="shared" si="17"/>
        <v>0</v>
      </c>
      <c r="AN78" s="394"/>
      <c r="AO78" s="385">
        <f>IF(OR(S78=0,AI78=0),,
IF(OR(リスト!$C$21="小麦",リスト!$C$21="二条大麦",リスト!$C$21="六条大麦",リスト!$C$21="はだか麦",リスト!$C$21="なたね"),IF(OR(AND(K78&lt;9,J78=調査年),AND(K78&gt;=9,J78=調査年-1)),,ROUND(AI78*S78%,0)),
IF(リスト!$C$21="さとうきび",IF(OR(AND(K78&gt;=4,J78=調査年),AND(K78&lt;4,J78=調査年+1)),,ROUND(AI78*S78%,0)),
IF(J78=調査年,,ROUND(AI78*S78%,0)))))</f>
        <v>0</v>
      </c>
      <c r="AP78" s="385">
        <f t="shared" si="10"/>
        <v>0</v>
      </c>
      <c r="AQ78" s="385">
        <f t="shared" si="11"/>
        <v>0</v>
      </c>
      <c r="AR78" s="385">
        <f t="shared" si="12"/>
        <v>0</v>
      </c>
      <c r="AS78" s="385">
        <f>IF(S78=0,,
SUM(
IF(OR(リスト!$C$21="小麦",リスト!$C$21="二条大麦",リスト!$C$21="六条大麦",リスト!$C$21="はだか麦",リスト!$C$21="なたね"),IF(OR(AND(AB78=1,K78&lt;9,J78=調査年),AND(AB78=1,K78&gt;=9,J78=調査年-1)),ROUND(L78*S78%,0),),
IF(リスト!$C$21="さとうきび",IF(OR(AND(AB78=1,K78&gt;=4,J78=調査年),AND(AB78=1,K78&lt;4,J78=調査年+1)),ROUND(L78*S78%,0),),
IF(AND(AB78=1,J78=調査年),ROUND(L78*S78%,0),))),
ROUND(N78*S78%,0),
ROUND(SUM(AM78)*S78%,0)
))</f>
        <v>0</v>
      </c>
      <c r="AT78" s="385">
        <f t="shared" si="13"/>
        <v>0</v>
      </c>
      <c r="AU78" s="385">
        <f t="shared" si="14"/>
        <v>0</v>
      </c>
      <c r="AV78" s="385">
        <f t="shared" si="15"/>
        <v>0</v>
      </c>
      <c r="AW78" s="385">
        <f t="shared" si="15"/>
        <v>0</v>
      </c>
      <c r="AX78" s="385">
        <f t="shared" si="15"/>
        <v>0</v>
      </c>
      <c r="AY78" s="721">
        <f t="shared" si="16"/>
        <v>0</v>
      </c>
      <c r="AZ78" s="686"/>
      <c r="BA78" s="686"/>
      <c r="BB78" s="686"/>
      <c r="BC78" s="686"/>
    </row>
    <row r="79" spans="3:55" s="46" customFormat="1" ht="30.75" hidden="1" customHeight="1" outlineLevel="1">
      <c r="C79" s="740">
        <v>63</v>
      </c>
      <c r="D79" s="687"/>
      <c r="E79" s="774"/>
      <c r="F79" s="770"/>
      <c r="G79" s="1961"/>
      <c r="H79" s="1962"/>
      <c r="I79" s="679"/>
      <c r="J79" s="725"/>
      <c r="K79" s="680"/>
      <c r="L79" s="681"/>
      <c r="M79" s="681"/>
      <c r="N79" s="681"/>
      <c r="O79" s="681"/>
      <c r="P79" s="681"/>
      <c r="Q79" s="856"/>
      <c r="R79" s="1071"/>
      <c r="S79" s="1094"/>
      <c r="T79" s="682"/>
      <c r="U79" s="726"/>
      <c r="V79" s="727"/>
      <c r="W79" s="717"/>
      <c r="X79" s="776"/>
      <c r="Y79" s="777"/>
      <c r="Z79" s="773"/>
      <c r="AA79" s="684">
        <f t="shared" si="3"/>
        <v>0</v>
      </c>
      <c r="AB79" s="684">
        <f t="shared" si="18"/>
        <v>0</v>
      </c>
      <c r="AC79" s="684">
        <f t="shared" si="19"/>
        <v>0</v>
      </c>
      <c r="AD79" s="684">
        <f>IF(AA79=0,,VLOOKUP(AA79,リスト!DH:DI,2,0))</f>
        <v>0</v>
      </c>
      <c r="AE79" s="684">
        <f t="shared" si="4"/>
        <v>0</v>
      </c>
      <c r="AF79" s="685">
        <f>IF(AE79=0,,VLOOKUP(AE79,リスト!DK:DL,2,0))</f>
        <v>0</v>
      </c>
      <c r="AG79" s="684">
        <f>IF(AA79=0,,
IF(OR(リスト!$C$21="小麦",リスト!$C$21="二条大麦",リスト!$C$21="六条大麦",リスト!$C$21="はだか麦",リスト!$C$21="なたね"),IF(K79&lt;9,調査年-J79,調査年-J79-1),
IF(リスト!$C$21="さとうきび",IF(K79&gt;=4,調査年-J79,調査年-J79+1),
調査年-J79)))</f>
        <v>0</v>
      </c>
      <c r="AH79" s="385">
        <f t="shared" si="20"/>
        <v>0</v>
      </c>
      <c r="AI79" s="385">
        <f t="shared" si="6"/>
        <v>0</v>
      </c>
      <c r="AJ79" s="385">
        <f t="shared" si="7"/>
        <v>0</v>
      </c>
      <c r="AK79" s="385">
        <f t="shared" si="8"/>
        <v>0</v>
      </c>
      <c r="AL79" s="385">
        <f t="shared" si="9"/>
        <v>0</v>
      </c>
      <c r="AM79" s="385">
        <f t="shared" si="17"/>
        <v>0</v>
      </c>
      <c r="AN79" s="394"/>
      <c r="AO79" s="385">
        <f>IF(OR(S79=0,AI79=0),,
IF(OR(リスト!$C$21="小麦",リスト!$C$21="二条大麦",リスト!$C$21="六条大麦",リスト!$C$21="はだか麦",リスト!$C$21="なたね"),IF(OR(AND(K79&lt;9,J79=調査年),AND(K79&gt;=9,J79=調査年-1)),,ROUND(AI79*S79%,0)),
IF(リスト!$C$21="さとうきび",IF(OR(AND(K79&gt;=4,J79=調査年),AND(K79&lt;4,J79=調査年+1)),,ROUND(AI79*S79%,0)),
IF(J79=調査年,,ROUND(AI79*S79%,0)))))</f>
        <v>0</v>
      </c>
      <c r="AP79" s="385">
        <f t="shared" si="10"/>
        <v>0</v>
      </c>
      <c r="AQ79" s="385">
        <f t="shared" si="11"/>
        <v>0</v>
      </c>
      <c r="AR79" s="385">
        <f t="shared" si="12"/>
        <v>0</v>
      </c>
      <c r="AS79" s="385">
        <f>IF(S79=0,,
SUM(
IF(OR(リスト!$C$21="小麦",リスト!$C$21="二条大麦",リスト!$C$21="六条大麦",リスト!$C$21="はだか麦",リスト!$C$21="なたね"),IF(OR(AND(AB79=1,K79&lt;9,J79=調査年),AND(AB79=1,K79&gt;=9,J79=調査年-1)),ROUND(L79*S79%,0),),
IF(リスト!$C$21="さとうきび",IF(OR(AND(AB79=1,K79&gt;=4,J79=調査年),AND(AB79=1,K79&lt;4,J79=調査年+1)),ROUND(L79*S79%,0),),
IF(AND(AB79=1,J79=調査年),ROUND(L79*S79%,0),))),
ROUND(N79*S79%,0),
ROUND(SUM(AM79)*S79%,0)
))</f>
        <v>0</v>
      </c>
      <c r="AT79" s="385">
        <f t="shared" si="13"/>
        <v>0</v>
      </c>
      <c r="AU79" s="385">
        <f t="shared" si="14"/>
        <v>0</v>
      </c>
      <c r="AV79" s="385">
        <f t="shared" si="15"/>
        <v>0</v>
      </c>
      <c r="AW79" s="385">
        <f t="shared" si="15"/>
        <v>0</v>
      </c>
      <c r="AX79" s="385">
        <f t="shared" si="15"/>
        <v>0</v>
      </c>
      <c r="AY79" s="721">
        <f t="shared" si="16"/>
        <v>0</v>
      </c>
      <c r="AZ79" s="686"/>
      <c r="BA79" s="686"/>
      <c r="BB79" s="686"/>
      <c r="BC79" s="686"/>
    </row>
    <row r="80" spans="3:55" s="46" customFormat="1" ht="30.75" hidden="1" customHeight="1" outlineLevel="1">
      <c r="C80" s="740">
        <v>64</v>
      </c>
      <c r="D80" s="687"/>
      <c r="E80" s="774"/>
      <c r="F80" s="770"/>
      <c r="G80" s="1961"/>
      <c r="H80" s="1962"/>
      <c r="I80" s="679"/>
      <c r="J80" s="725"/>
      <c r="K80" s="680"/>
      <c r="L80" s="681"/>
      <c r="M80" s="681"/>
      <c r="N80" s="681"/>
      <c r="O80" s="681"/>
      <c r="P80" s="681"/>
      <c r="Q80" s="856"/>
      <c r="R80" s="1071"/>
      <c r="S80" s="1094"/>
      <c r="T80" s="682"/>
      <c r="U80" s="726"/>
      <c r="V80" s="727"/>
      <c r="W80" s="717"/>
      <c r="X80" s="776"/>
      <c r="Y80" s="777"/>
      <c r="Z80" s="773"/>
      <c r="AA80" s="684">
        <f t="shared" si="3"/>
        <v>0</v>
      </c>
      <c r="AB80" s="684">
        <f t="shared" si="18"/>
        <v>0</v>
      </c>
      <c r="AC80" s="684">
        <f t="shared" si="19"/>
        <v>0</v>
      </c>
      <c r="AD80" s="684">
        <f>IF(AA80=0,,VLOOKUP(AA80,リスト!DH:DI,2,0))</f>
        <v>0</v>
      </c>
      <c r="AE80" s="684">
        <f t="shared" si="4"/>
        <v>0</v>
      </c>
      <c r="AF80" s="685">
        <f>IF(AE80=0,,VLOOKUP(AE80,リスト!DK:DL,2,0))</f>
        <v>0</v>
      </c>
      <c r="AG80" s="684">
        <f>IF(AA80=0,,
IF(OR(リスト!$C$21="小麦",リスト!$C$21="二条大麦",リスト!$C$21="六条大麦",リスト!$C$21="はだか麦",リスト!$C$21="なたね"),IF(K80&lt;9,調査年-J80,調査年-J80-1),
IF(リスト!$C$21="さとうきび",IF(K80&gt;=4,調査年-J80,調査年-J80+1),
調査年-J80)))</f>
        <v>0</v>
      </c>
      <c r="AH80" s="385">
        <f t="shared" si="20"/>
        <v>0</v>
      </c>
      <c r="AI80" s="385">
        <f t="shared" si="6"/>
        <v>0</v>
      </c>
      <c r="AJ80" s="385">
        <f t="shared" si="7"/>
        <v>0</v>
      </c>
      <c r="AK80" s="385">
        <f t="shared" si="8"/>
        <v>0</v>
      </c>
      <c r="AL80" s="385">
        <f t="shared" si="9"/>
        <v>0</v>
      </c>
      <c r="AM80" s="385">
        <f t="shared" si="17"/>
        <v>0</v>
      </c>
      <c r="AN80" s="394"/>
      <c r="AO80" s="385">
        <f>IF(OR(S80=0,AI80=0),,
IF(OR(リスト!$C$21="小麦",リスト!$C$21="二条大麦",リスト!$C$21="六条大麦",リスト!$C$21="はだか麦",リスト!$C$21="なたね"),IF(OR(AND(K80&lt;9,J80=調査年),AND(K80&gt;=9,J80=調査年-1)),,ROUND(AI80*S80%,0)),
IF(リスト!$C$21="さとうきび",IF(OR(AND(K80&gt;=4,J80=調査年),AND(K80&lt;4,J80=調査年+1)),,ROUND(AI80*S80%,0)),
IF(J80=調査年,,ROUND(AI80*S80%,0)))))</f>
        <v>0</v>
      </c>
      <c r="AP80" s="385">
        <f t="shared" si="10"/>
        <v>0</v>
      </c>
      <c r="AQ80" s="385">
        <f t="shared" si="11"/>
        <v>0</v>
      </c>
      <c r="AR80" s="385">
        <f t="shared" si="12"/>
        <v>0</v>
      </c>
      <c r="AS80" s="385">
        <f>IF(S80=0,,
SUM(
IF(OR(リスト!$C$21="小麦",リスト!$C$21="二条大麦",リスト!$C$21="六条大麦",リスト!$C$21="はだか麦",リスト!$C$21="なたね"),IF(OR(AND(AB80=1,K80&lt;9,J80=調査年),AND(AB80=1,K80&gt;=9,J80=調査年-1)),ROUND(L80*S80%,0),),
IF(リスト!$C$21="さとうきび",IF(OR(AND(AB80=1,K80&gt;=4,J80=調査年),AND(AB80=1,K80&lt;4,J80=調査年+1)),ROUND(L80*S80%,0),),
IF(AND(AB80=1,J80=調査年),ROUND(L80*S80%,0),))),
ROUND(N80*S80%,0),
ROUND(SUM(AM80)*S80%,0)
))</f>
        <v>0</v>
      </c>
      <c r="AT80" s="385">
        <f t="shared" si="13"/>
        <v>0</v>
      </c>
      <c r="AU80" s="385">
        <f t="shared" si="14"/>
        <v>0</v>
      </c>
      <c r="AV80" s="385">
        <f t="shared" si="15"/>
        <v>0</v>
      </c>
      <c r="AW80" s="385">
        <f t="shared" si="15"/>
        <v>0</v>
      </c>
      <c r="AX80" s="385">
        <f t="shared" si="15"/>
        <v>0</v>
      </c>
      <c r="AY80" s="721">
        <f t="shared" si="16"/>
        <v>0</v>
      </c>
      <c r="AZ80" s="686"/>
      <c r="BA80" s="686"/>
      <c r="BB80" s="686"/>
      <c r="BC80" s="686"/>
    </row>
    <row r="81" spans="3:55" s="46" customFormat="1" ht="30.75" hidden="1" customHeight="1" outlineLevel="1">
      <c r="C81" s="740">
        <v>65</v>
      </c>
      <c r="D81" s="687"/>
      <c r="E81" s="774"/>
      <c r="F81" s="770"/>
      <c r="G81" s="1961"/>
      <c r="H81" s="1962"/>
      <c r="I81" s="679"/>
      <c r="J81" s="725"/>
      <c r="K81" s="680"/>
      <c r="L81" s="681"/>
      <c r="M81" s="681"/>
      <c r="N81" s="681"/>
      <c r="O81" s="681"/>
      <c r="P81" s="681"/>
      <c r="Q81" s="856"/>
      <c r="R81" s="1071"/>
      <c r="S81" s="1094"/>
      <c r="T81" s="682"/>
      <c r="U81" s="726"/>
      <c r="V81" s="727"/>
      <c r="W81" s="717"/>
      <c r="X81" s="776"/>
      <c r="Y81" s="777"/>
      <c r="Z81" s="773"/>
      <c r="AA81" s="684">
        <f t="shared" ref="AA81:AA116" si="21">IF(AND(E81&gt;0,F81&gt;0),"["&amp;RIGHT(LEFT(E81,3),2)&amp;RIGHT(LEFT(F81,2),1)&amp;"]",)</f>
        <v>0</v>
      </c>
      <c r="AB81" s="684">
        <f t="shared" si="18"/>
        <v>0</v>
      </c>
      <c r="AC81" s="684">
        <f t="shared" si="19"/>
        <v>0</v>
      </c>
      <c r="AD81" s="684">
        <f>IF(AA81=0,,VLOOKUP(AA81,リスト!DH:DI,2,0))</f>
        <v>0</v>
      </c>
      <c r="AE81" s="684">
        <f t="shared" ref="AE81:AE116" si="22">IF(AC81=1,3,IF(G81="[2]中古",MIN(AD81,I81),AD81))</f>
        <v>0</v>
      </c>
      <c r="AF81" s="685">
        <f>IF(AE81=0,,VLOOKUP(AE81,リスト!DK:DL,2,0))</f>
        <v>0</v>
      </c>
      <c r="AG81" s="684">
        <f>IF(AA81=0,,
IF(OR(リスト!$C$21="小麦",リスト!$C$21="二条大麦",リスト!$C$21="六条大麦",リスト!$C$21="はだか麦",リスト!$C$21="なたね"),IF(K81&lt;9,調査年-J81,調査年-J81-1),
IF(リスト!$C$21="さとうきび",IF(K81&gt;=4,調査年-J81,調査年-J81+1),
調査年-J81)))</f>
        <v>0</v>
      </c>
      <c r="AH81" s="385">
        <f t="shared" ref="AH81:AH112" si="23">IF(OR(AA81=0,AB81=1),,
IF(AND(AE81&gt;0,AG81&lt;AE81,AI81&lt;=ROUND((L81-1)*AF81,0)),ROUND(AI81,0),
IF(AND(AE81&gt;0,AG81&lt;AE81),ROUND((L81-1)*AF81,0),)))</f>
        <v>0</v>
      </c>
      <c r="AI81" s="385">
        <f t="shared" ref="AI81:AI116" si="24">IF(OR(AA81=0,AB81=1),,
IF(AND(AE81&gt;0,AG81&lt;AE81),L81-ROUND((L81-1)*AF81*AG81,0),1
))</f>
        <v>0</v>
      </c>
      <c r="AJ81" s="385">
        <f t="shared" ref="AJ81:AJ116" si="25">IF(OR(AA81=0,AB81=1),,
IF(U81=0,AH81,
IF(U81="[2]廃棄等",SUM(AI81,V81),
IF(U81="[1]売却",AI81-V81,))))</f>
        <v>0</v>
      </c>
      <c r="AK81" s="385">
        <f t="shared" ref="AK81:AK116" si="26">IF(AND(AJ81=0,AH81=0),,
IF(OR(U81="[1]売却",U81="[2]廃棄等"),SUM(AJ81)-SUM(AH81),))</f>
        <v>0</v>
      </c>
      <c r="AL81" s="385">
        <f t="shared" ref="AL81:AL116" si="27">IF(OR(AB81=1,M81=0),,
IF(AND(AE81&gt;0,M81&gt;0,AG81&lt;AE81),M81-ROUND(M81*AF81*AG81,0),))</f>
        <v>0</v>
      </c>
      <c r="AM81" s="385">
        <f t="shared" si="17"/>
        <v>0</v>
      </c>
      <c r="AN81" s="394"/>
      <c r="AO81" s="385">
        <f>IF(OR(S81=0,AI81=0),,
IF(OR(リスト!$C$21="小麦",リスト!$C$21="二条大麦",リスト!$C$21="六条大麦",リスト!$C$21="はだか麦",リスト!$C$21="なたね"),IF(OR(AND(K81&lt;9,J81=調査年),AND(K81&gt;=9,J81=調査年-1)),,ROUND(AI81*S81%,0)),
IF(リスト!$C$21="さとうきび",IF(OR(AND(K81&gt;=4,J81=調査年),AND(K81&lt;4,J81=調査年+1)),,ROUND(AI81*S81%,0)),
IF(J81=調査年,,ROUND(AI81*S81%,0)))))</f>
        <v>0</v>
      </c>
      <c r="AP81" s="385">
        <f t="shared" ref="AP81:AP116" si="28">IF(S81=0,,IF(AJ81=0,,ROUND(AJ81*S81%,0)))</f>
        <v>0</v>
      </c>
      <c r="AQ81" s="385">
        <f t="shared" ref="AQ81:AQ116" si="29">IF(S81=0,,IF(AK81=0,,ROUND(AK81*S81%,0)))</f>
        <v>0</v>
      </c>
      <c r="AR81" s="385">
        <f t="shared" ref="AR81:AR116" si="30">IF(S81=0,,IF(AI81=0,,ROUND(AI81*S81%,0)))</f>
        <v>0</v>
      </c>
      <c r="AS81" s="385">
        <f>IF(S81=0,,
SUM(
IF(OR(リスト!$C$21="小麦",リスト!$C$21="二条大麦",リスト!$C$21="六条大麦",リスト!$C$21="はだか麦",リスト!$C$21="なたね"),IF(OR(AND(AB81=1,K81&lt;9,J81=調査年),AND(AB81=1,K81&gt;=9,J81=調査年-1)),ROUND(L81*S81%,0),),
IF(リスト!$C$21="さとうきび",IF(OR(AND(AB81=1,K81&gt;=4,J81=調査年),AND(AB81=1,K81&lt;4,J81=調査年+1)),ROUND(L81*S81%,0),),
IF(AND(AB81=1,J81=調査年),ROUND(L81*S81%,0),))),
ROUND(N81*S81%,0),
ROUND(SUM(AM81)*S81%,0)
))</f>
        <v>0</v>
      </c>
      <c r="AT81" s="385">
        <f t="shared" ref="AT81:AT116" si="31">IF(O81&gt;0,ROUND(O81*$S81%,),)</f>
        <v>0</v>
      </c>
      <c r="AU81" s="385">
        <f t="shared" ref="AU81:AU116" si="32">IF(OR(AS81&gt;0,AT81&gt;0),SUM(AS81:AT81),)</f>
        <v>0</v>
      </c>
      <c r="AV81" s="385">
        <f t="shared" ref="AV81:AX116" si="33">IF(P81&gt;0,ROUND(P81*$S81%,),)</f>
        <v>0</v>
      </c>
      <c r="AW81" s="385">
        <f t="shared" si="33"/>
        <v>0</v>
      </c>
      <c r="AX81" s="385">
        <f t="shared" si="33"/>
        <v>0</v>
      </c>
      <c r="AY81" s="721">
        <f t="shared" ref="AY81:AY116" si="34">IF(Y81="○",,IF(AND(X81&gt;0,S81&gt;0),ROUND(1/X81,1),IF(S81&gt;0,ROUND(1,1),)))</f>
        <v>0</v>
      </c>
      <c r="AZ81" s="686"/>
      <c r="BA81" s="686"/>
      <c r="BB81" s="686"/>
      <c r="BC81" s="686"/>
    </row>
    <row r="82" spans="3:55" s="46" customFormat="1" ht="30.75" hidden="1" customHeight="1" outlineLevel="1">
      <c r="C82" s="740">
        <v>66</v>
      </c>
      <c r="D82" s="687"/>
      <c r="E82" s="774"/>
      <c r="F82" s="770"/>
      <c r="G82" s="1961"/>
      <c r="H82" s="1962"/>
      <c r="I82" s="679"/>
      <c r="J82" s="725"/>
      <c r="K82" s="680"/>
      <c r="L82" s="681"/>
      <c r="M82" s="681"/>
      <c r="N82" s="681"/>
      <c r="O82" s="681"/>
      <c r="P82" s="681"/>
      <c r="Q82" s="856"/>
      <c r="R82" s="1071"/>
      <c r="S82" s="1094"/>
      <c r="T82" s="682"/>
      <c r="U82" s="726"/>
      <c r="V82" s="727"/>
      <c r="W82" s="717"/>
      <c r="X82" s="776"/>
      <c r="Y82" s="777"/>
      <c r="Z82" s="773"/>
      <c r="AA82" s="684">
        <f t="shared" si="21"/>
        <v>0</v>
      </c>
      <c r="AB82" s="684">
        <f t="shared" si="18"/>
        <v>0</v>
      </c>
      <c r="AC82" s="684">
        <f t="shared" si="19"/>
        <v>0</v>
      </c>
      <c r="AD82" s="684">
        <f>IF(AA82=0,,VLOOKUP(AA82,リスト!DH:DI,2,0))</f>
        <v>0</v>
      </c>
      <c r="AE82" s="684">
        <f t="shared" si="22"/>
        <v>0</v>
      </c>
      <c r="AF82" s="685">
        <f>IF(AE82=0,,VLOOKUP(AE82,リスト!DK:DL,2,0))</f>
        <v>0</v>
      </c>
      <c r="AG82" s="684">
        <f>IF(AA82=0,,
IF(OR(リスト!$C$21="小麦",リスト!$C$21="二条大麦",リスト!$C$21="六条大麦",リスト!$C$21="はだか麦",リスト!$C$21="なたね"),IF(K82&lt;9,調査年-J82,調査年-J82-1),
IF(リスト!$C$21="さとうきび",IF(K82&gt;=4,調査年-J82,調査年-J82+1),
調査年-J82)))</f>
        <v>0</v>
      </c>
      <c r="AH82" s="385">
        <f t="shared" si="23"/>
        <v>0</v>
      </c>
      <c r="AI82" s="385">
        <f t="shared" si="24"/>
        <v>0</v>
      </c>
      <c r="AJ82" s="385">
        <f t="shared" si="25"/>
        <v>0</v>
      </c>
      <c r="AK82" s="385">
        <f t="shared" si="26"/>
        <v>0</v>
      </c>
      <c r="AL82" s="385">
        <f t="shared" si="27"/>
        <v>0</v>
      </c>
      <c r="AM82" s="385">
        <f t="shared" ref="AM82:AM116" si="35">IF(OR(AA82=0,AB82=1),IF(AND(AB82=1,AG82=0),M82,),
IF(AND(AE82&gt;0,AG82&lt;AE82,SUM(AL82)&gt;0,AL82&lt;=ROUND(M82*AF82,0)),AL82,
IF(AND(AE82&gt;0,AG82&lt;AE82,SUM(M82)&gt;0),ROUND(M82*AF82,0),)))</f>
        <v>0</v>
      </c>
      <c r="AN82" s="394"/>
      <c r="AO82" s="385">
        <f>IF(OR(S82=0,AI82=0),,
IF(OR(リスト!$C$21="小麦",リスト!$C$21="二条大麦",リスト!$C$21="六条大麦",リスト!$C$21="はだか麦",リスト!$C$21="なたね"),IF(OR(AND(K82&lt;9,J82=調査年),AND(K82&gt;=9,J82=調査年-1)),,ROUND(AI82*S82%,0)),
IF(リスト!$C$21="さとうきび",IF(OR(AND(K82&gt;=4,J82=調査年),AND(K82&lt;4,J82=調査年+1)),,ROUND(AI82*S82%,0)),
IF(J82=調査年,,ROUND(AI82*S82%,0)))))</f>
        <v>0</v>
      </c>
      <c r="AP82" s="385">
        <f t="shared" si="28"/>
        <v>0</v>
      </c>
      <c r="AQ82" s="385">
        <f t="shared" si="29"/>
        <v>0</v>
      </c>
      <c r="AR82" s="385">
        <f t="shared" si="30"/>
        <v>0</v>
      </c>
      <c r="AS82" s="385">
        <f>IF(S82=0,,
SUM(
IF(OR(リスト!$C$21="小麦",リスト!$C$21="二条大麦",リスト!$C$21="六条大麦",リスト!$C$21="はだか麦",リスト!$C$21="なたね"),IF(OR(AND(AB82=1,K82&lt;9,J82=調査年),AND(AB82=1,K82&gt;=9,J82=調査年-1)),ROUND(L82*S82%,0),),
IF(リスト!$C$21="さとうきび",IF(OR(AND(AB82=1,K82&gt;=4,J82=調査年),AND(AB82=1,K82&lt;4,J82=調査年+1)),ROUND(L82*S82%,0),),
IF(AND(AB82=1,J82=調査年),ROUND(L82*S82%,0),))),
ROUND(N82*S82%,0),
ROUND(SUM(AM82)*S82%,0)
))</f>
        <v>0</v>
      </c>
      <c r="AT82" s="385">
        <f t="shared" si="31"/>
        <v>0</v>
      </c>
      <c r="AU82" s="385">
        <f t="shared" si="32"/>
        <v>0</v>
      </c>
      <c r="AV82" s="385">
        <f t="shared" si="33"/>
        <v>0</v>
      </c>
      <c r="AW82" s="385">
        <f t="shared" si="33"/>
        <v>0</v>
      </c>
      <c r="AX82" s="385">
        <f t="shared" si="33"/>
        <v>0</v>
      </c>
      <c r="AY82" s="721">
        <f t="shared" si="34"/>
        <v>0</v>
      </c>
      <c r="AZ82" s="686"/>
      <c r="BA82" s="686"/>
      <c r="BB82" s="686"/>
      <c r="BC82" s="686"/>
    </row>
    <row r="83" spans="3:55" s="46" customFormat="1" ht="30.75" hidden="1" customHeight="1" outlineLevel="1">
      <c r="C83" s="740">
        <v>67</v>
      </c>
      <c r="D83" s="687"/>
      <c r="E83" s="774"/>
      <c r="F83" s="770"/>
      <c r="G83" s="1961"/>
      <c r="H83" s="1962"/>
      <c r="I83" s="679"/>
      <c r="J83" s="725"/>
      <c r="K83" s="680"/>
      <c r="L83" s="681"/>
      <c r="M83" s="681"/>
      <c r="N83" s="681"/>
      <c r="O83" s="681"/>
      <c r="P83" s="681"/>
      <c r="Q83" s="856"/>
      <c r="R83" s="1071"/>
      <c r="S83" s="1094"/>
      <c r="T83" s="682"/>
      <c r="U83" s="726"/>
      <c r="V83" s="727"/>
      <c r="W83" s="717"/>
      <c r="X83" s="776"/>
      <c r="Y83" s="777"/>
      <c r="Z83" s="773"/>
      <c r="AA83" s="684">
        <f t="shared" si="21"/>
        <v>0</v>
      </c>
      <c r="AB83" s="684">
        <f t="shared" ref="AB83:AB116" si="36">IF(AA83=0,,IF(L83+M83&lt;100000,1,0))</f>
        <v>0</v>
      </c>
      <c r="AC83" s="684">
        <f t="shared" ref="AC83:AC116" si="37">IF(AA83=0,,IF(AND(AB83=0,L83+M83&lt;200000),1,))</f>
        <v>0</v>
      </c>
      <c r="AD83" s="684">
        <f>IF(AA83=0,,VLOOKUP(AA83,リスト!DH:DI,2,0))</f>
        <v>0</v>
      </c>
      <c r="AE83" s="684">
        <f t="shared" si="22"/>
        <v>0</v>
      </c>
      <c r="AF83" s="685">
        <f>IF(AE83=0,,VLOOKUP(AE83,リスト!DK:DL,2,0))</f>
        <v>0</v>
      </c>
      <c r="AG83" s="684">
        <f>IF(AA83=0,,
IF(OR(リスト!$C$21="小麦",リスト!$C$21="二条大麦",リスト!$C$21="六条大麦",リスト!$C$21="はだか麦",リスト!$C$21="なたね"),IF(K83&lt;9,調査年-J83,調査年-J83-1),
IF(リスト!$C$21="さとうきび",IF(K83&gt;=4,調査年-J83,調査年-J83+1),
調査年-J83)))</f>
        <v>0</v>
      </c>
      <c r="AH83" s="385">
        <f t="shared" si="23"/>
        <v>0</v>
      </c>
      <c r="AI83" s="385">
        <f t="shared" si="24"/>
        <v>0</v>
      </c>
      <c r="AJ83" s="385">
        <f t="shared" si="25"/>
        <v>0</v>
      </c>
      <c r="AK83" s="385">
        <f t="shared" si="26"/>
        <v>0</v>
      </c>
      <c r="AL83" s="385">
        <f t="shared" si="27"/>
        <v>0</v>
      </c>
      <c r="AM83" s="385">
        <f t="shared" si="35"/>
        <v>0</v>
      </c>
      <c r="AN83" s="394"/>
      <c r="AO83" s="385">
        <f>IF(OR(S83=0,AI83=0),,
IF(OR(リスト!$C$21="小麦",リスト!$C$21="二条大麦",リスト!$C$21="六条大麦",リスト!$C$21="はだか麦",リスト!$C$21="なたね"),IF(OR(AND(K83&lt;9,J83=調査年),AND(K83&gt;=9,J83=調査年-1)),,ROUND(AI83*S83%,0)),
IF(リスト!$C$21="さとうきび",IF(OR(AND(K83&gt;=4,J83=調査年),AND(K83&lt;4,J83=調査年+1)),,ROUND(AI83*S83%,0)),
IF(J83=調査年,,ROUND(AI83*S83%,0)))))</f>
        <v>0</v>
      </c>
      <c r="AP83" s="385">
        <f t="shared" si="28"/>
        <v>0</v>
      </c>
      <c r="AQ83" s="385">
        <f t="shared" si="29"/>
        <v>0</v>
      </c>
      <c r="AR83" s="385">
        <f t="shared" si="30"/>
        <v>0</v>
      </c>
      <c r="AS83" s="385">
        <f>IF(S83=0,,
SUM(
IF(OR(リスト!$C$21="小麦",リスト!$C$21="二条大麦",リスト!$C$21="六条大麦",リスト!$C$21="はだか麦",リスト!$C$21="なたね"),IF(OR(AND(AB83=1,K83&lt;9,J83=調査年),AND(AB83=1,K83&gt;=9,J83=調査年-1)),ROUND(L83*S83%,0),),
IF(リスト!$C$21="さとうきび",IF(OR(AND(AB83=1,K83&gt;=4,J83=調査年),AND(AB83=1,K83&lt;4,J83=調査年+1)),ROUND(L83*S83%,0),),
IF(AND(AB83=1,J83=調査年),ROUND(L83*S83%,0),))),
ROUND(N83*S83%,0),
ROUND(SUM(AM83)*S83%,0)
))</f>
        <v>0</v>
      </c>
      <c r="AT83" s="385">
        <f t="shared" si="31"/>
        <v>0</v>
      </c>
      <c r="AU83" s="385">
        <f t="shared" si="32"/>
        <v>0</v>
      </c>
      <c r="AV83" s="385">
        <f t="shared" si="33"/>
        <v>0</v>
      </c>
      <c r="AW83" s="385">
        <f t="shared" si="33"/>
        <v>0</v>
      </c>
      <c r="AX83" s="385">
        <f t="shared" si="33"/>
        <v>0</v>
      </c>
      <c r="AY83" s="721">
        <f t="shared" si="34"/>
        <v>0</v>
      </c>
      <c r="AZ83" s="686"/>
      <c r="BA83" s="686"/>
      <c r="BB83" s="686"/>
      <c r="BC83" s="686"/>
    </row>
    <row r="84" spans="3:55" s="46" customFormat="1" ht="30.75" hidden="1" customHeight="1" outlineLevel="1">
      <c r="C84" s="740">
        <v>68</v>
      </c>
      <c r="D84" s="687"/>
      <c r="E84" s="774"/>
      <c r="F84" s="770"/>
      <c r="G84" s="1961"/>
      <c r="H84" s="1962"/>
      <c r="I84" s="679"/>
      <c r="J84" s="725"/>
      <c r="K84" s="680"/>
      <c r="L84" s="681"/>
      <c r="M84" s="681"/>
      <c r="N84" s="681"/>
      <c r="O84" s="681"/>
      <c r="P84" s="681"/>
      <c r="Q84" s="856"/>
      <c r="R84" s="1071"/>
      <c r="S84" s="1094"/>
      <c r="T84" s="682"/>
      <c r="U84" s="726"/>
      <c r="V84" s="727"/>
      <c r="W84" s="717"/>
      <c r="X84" s="776"/>
      <c r="Y84" s="777"/>
      <c r="Z84" s="773"/>
      <c r="AA84" s="684">
        <f t="shared" si="21"/>
        <v>0</v>
      </c>
      <c r="AB84" s="684">
        <f t="shared" si="36"/>
        <v>0</v>
      </c>
      <c r="AC84" s="684">
        <f t="shared" si="37"/>
        <v>0</v>
      </c>
      <c r="AD84" s="684">
        <f>IF(AA84=0,,VLOOKUP(AA84,リスト!DH:DI,2,0))</f>
        <v>0</v>
      </c>
      <c r="AE84" s="684">
        <f t="shared" si="22"/>
        <v>0</v>
      </c>
      <c r="AF84" s="685">
        <f>IF(AE84=0,,VLOOKUP(AE84,リスト!DK:DL,2,0))</f>
        <v>0</v>
      </c>
      <c r="AG84" s="684">
        <f>IF(AA84=0,,
IF(OR(リスト!$C$21="小麦",リスト!$C$21="二条大麦",リスト!$C$21="六条大麦",リスト!$C$21="はだか麦",リスト!$C$21="なたね"),IF(K84&lt;9,調査年-J84,調査年-J84-1),
IF(リスト!$C$21="さとうきび",IF(K84&gt;=4,調査年-J84,調査年-J84+1),
調査年-J84)))</f>
        <v>0</v>
      </c>
      <c r="AH84" s="385">
        <f t="shared" si="23"/>
        <v>0</v>
      </c>
      <c r="AI84" s="385">
        <f t="shared" si="24"/>
        <v>0</v>
      </c>
      <c r="AJ84" s="385">
        <f t="shared" si="25"/>
        <v>0</v>
      </c>
      <c r="AK84" s="385">
        <f t="shared" si="26"/>
        <v>0</v>
      </c>
      <c r="AL84" s="385">
        <f t="shared" si="27"/>
        <v>0</v>
      </c>
      <c r="AM84" s="385">
        <f t="shared" si="35"/>
        <v>0</v>
      </c>
      <c r="AN84" s="394"/>
      <c r="AO84" s="385">
        <f>IF(OR(S84=0,AI84=0),,
IF(OR(リスト!$C$21="小麦",リスト!$C$21="二条大麦",リスト!$C$21="六条大麦",リスト!$C$21="はだか麦",リスト!$C$21="なたね"),IF(OR(AND(K84&lt;9,J84=調査年),AND(K84&gt;=9,J84=調査年-1)),,ROUND(AI84*S84%,0)),
IF(リスト!$C$21="さとうきび",IF(OR(AND(K84&gt;=4,J84=調査年),AND(K84&lt;4,J84=調査年+1)),,ROUND(AI84*S84%,0)),
IF(J84=調査年,,ROUND(AI84*S84%,0)))))</f>
        <v>0</v>
      </c>
      <c r="AP84" s="385">
        <f t="shared" si="28"/>
        <v>0</v>
      </c>
      <c r="AQ84" s="385">
        <f t="shared" si="29"/>
        <v>0</v>
      </c>
      <c r="AR84" s="385">
        <f t="shared" si="30"/>
        <v>0</v>
      </c>
      <c r="AS84" s="385">
        <f>IF(S84=0,,
SUM(
IF(OR(リスト!$C$21="小麦",リスト!$C$21="二条大麦",リスト!$C$21="六条大麦",リスト!$C$21="はだか麦",リスト!$C$21="なたね"),IF(OR(AND(AB84=1,K84&lt;9,J84=調査年),AND(AB84=1,K84&gt;=9,J84=調査年-1)),ROUND(L84*S84%,0),),
IF(リスト!$C$21="さとうきび",IF(OR(AND(AB84=1,K84&gt;=4,J84=調査年),AND(AB84=1,K84&lt;4,J84=調査年+1)),ROUND(L84*S84%,0),),
IF(AND(AB84=1,J84=調査年),ROUND(L84*S84%,0),))),
ROUND(N84*S84%,0),
ROUND(SUM(AM84)*S84%,0)
))</f>
        <v>0</v>
      </c>
      <c r="AT84" s="385">
        <f t="shared" si="31"/>
        <v>0</v>
      </c>
      <c r="AU84" s="385">
        <f t="shared" si="32"/>
        <v>0</v>
      </c>
      <c r="AV84" s="385">
        <f t="shared" si="33"/>
        <v>0</v>
      </c>
      <c r="AW84" s="385">
        <f t="shared" si="33"/>
        <v>0</v>
      </c>
      <c r="AX84" s="385">
        <f t="shared" si="33"/>
        <v>0</v>
      </c>
      <c r="AY84" s="721">
        <f t="shared" si="34"/>
        <v>0</v>
      </c>
      <c r="AZ84" s="686"/>
      <c r="BA84" s="686"/>
      <c r="BB84" s="686"/>
      <c r="BC84" s="686"/>
    </row>
    <row r="85" spans="3:55" s="46" customFormat="1" ht="30.75" hidden="1" customHeight="1" outlineLevel="1">
      <c r="C85" s="740">
        <v>69</v>
      </c>
      <c r="D85" s="687"/>
      <c r="E85" s="774"/>
      <c r="F85" s="770"/>
      <c r="G85" s="1961"/>
      <c r="H85" s="1962"/>
      <c r="I85" s="679"/>
      <c r="J85" s="725"/>
      <c r="K85" s="680"/>
      <c r="L85" s="681"/>
      <c r="M85" s="681"/>
      <c r="N85" s="681"/>
      <c r="O85" s="681"/>
      <c r="P85" s="681"/>
      <c r="Q85" s="856"/>
      <c r="R85" s="1071"/>
      <c r="S85" s="1094"/>
      <c r="T85" s="682"/>
      <c r="U85" s="726"/>
      <c r="V85" s="727"/>
      <c r="W85" s="717"/>
      <c r="X85" s="776"/>
      <c r="Y85" s="777"/>
      <c r="Z85" s="773"/>
      <c r="AA85" s="684">
        <f t="shared" si="21"/>
        <v>0</v>
      </c>
      <c r="AB85" s="684">
        <f t="shared" si="36"/>
        <v>0</v>
      </c>
      <c r="AC85" s="684">
        <f t="shared" si="37"/>
        <v>0</v>
      </c>
      <c r="AD85" s="684">
        <f>IF(AA85=0,,VLOOKUP(AA85,リスト!DH:DI,2,0))</f>
        <v>0</v>
      </c>
      <c r="AE85" s="684">
        <f t="shared" si="22"/>
        <v>0</v>
      </c>
      <c r="AF85" s="685">
        <f>IF(AE85=0,,VLOOKUP(AE85,リスト!DK:DL,2,0))</f>
        <v>0</v>
      </c>
      <c r="AG85" s="684">
        <f>IF(AA85=0,,
IF(OR(リスト!$C$21="小麦",リスト!$C$21="二条大麦",リスト!$C$21="六条大麦",リスト!$C$21="はだか麦",リスト!$C$21="なたね"),IF(K85&lt;9,調査年-J85,調査年-J85-1),
IF(リスト!$C$21="さとうきび",IF(K85&gt;=4,調査年-J85,調査年-J85+1),
調査年-J85)))</f>
        <v>0</v>
      </c>
      <c r="AH85" s="385">
        <f t="shared" si="23"/>
        <v>0</v>
      </c>
      <c r="AI85" s="385">
        <f t="shared" si="24"/>
        <v>0</v>
      </c>
      <c r="AJ85" s="385">
        <f t="shared" si="25"/>
        <v>0</v>
      </c>
      <c r="AK85" s="385">
        <f t="shared" si="26"/>
        <v>0</v>
      </c>
      <c r="AL85" s="385">
        <f t="shared" si="27"/>
        <v>0</v>
      </c>
      <c r="AM85" s="385">
        <f t="shared" si="35"/>
        <v>0</v>
      </c>
      <c r="AN85" s="394"/>
      <c r="AO85" s="385">
        <f>IF(OR(S85=0,AI85=0),,
IF(OR(リスト!$C$21="小麦",リスト!$C$21="二条大麦",リスト!$C$21="六条大麦",リスト!$C$21="はだか麦",リスト!$C$21="なたね"),IF(OR(AND(K85&lt;9,J85=調査年),AND(K85&gt;=9,J85=調査年-1)),,ROUND(AI85*S85%,0)),
IF(リスト!$C$21="さとうきび",IF(OR(AND(K85&gt;=4,J85=調査年),AND(K85&lt;4,J85=調査年+1)),,ROUND(AI85*S85%,0)),
IF(J85=調査年,,ROUND(AI85*S85%,0)))))</f>
        <v>0</v>
      </c>
      <c r="AP85" s="385">
        <f t="shared" si="28"/>
        <v>0</v>
      </c>
      <c r="AQ85" s="385">
        <f t="shared" si="29"/>
        <v>0</v>
      </c>
      <c r="AR85" s="385">
        <f t="shared" si="30"/>
        <v>0</v>
      </c>
      <c r="AS85" s="385">
        <f>IF(S85=0,,
SUM(
IF(OR(リスト!$C$21="小麦",リスト!$C$21="二条大麦",リスト!$C$21="六条大麦",リスト!$C$21="はだか麦",リスト!$C$21="なたね"),IF(OR(AND(AB85=1,K85&lt;9,J85=調査年),AND(AB85=1,K85&gt;=9,J85=調査年-1)),ROUND(L85*S85%,0),),
IF(リスト!$C$21="さとうきび",IF(OR(AND(AB85=1,K85&gt;=4,J85=調査年),AND(AB85=1,K85&lt;4,J85=調査年+1)),ROUND(L85*S85%,0),),
IF(AND(AB85=1,J85=調査年),ROUND(L85*S85%,0),))),
ROUND(N85*S85%,0),
ROUND(SUM(AM85)*S85%,0)
))</f>
        <v>0</v>
      </c>
      <c r="AT85" s="385">
        <f t="shared" si="31"/>
        <v>0</v>
      </c>
      <c r="AU85" s="385">
        <f t="shared" si="32"/>
        <v>0</v>
      </c>
      <c r="AV85" s="385">
        <f t="shared" si="33"/>
        <v>0</v>
      </c>
      <c r="AW85" s="385">
        <f t="shared" si="33"/>
        <v>0</v>
      </c>
      <c r="AX85" s="385">
        <f t="shared" si="33"/>
        <v>0</v>
      </c>
      <c r="AY85" s="721">
        <f t="shared" si="34"/>
        <v>0</v>
      </c>
      <c r="AZ85" s="686"/>
      <c r="BA85" s="686"/>
      <c r="BB85" s="686"/>
      <c r="BC85" s="686"/>
    </row>
    <row r="86" spans="3:55" s="46" customFormat="1" ht="30.75" hidden="1" customHeight="1" outlineLevel="1">
      <c r="C86" s="740">
        <v>70</v>
      </c>
      <c r="D86" s="687"/>
      <c r="E86" s="774"/>
      <c r="F86" s="770"/>
      <c r="G86" s="1961"/>
      <c r="H86" s="1962"/>
      <c r="I86" s="679"/>
      <c r="J86" s="725"/>
      <c r="K86" s="680"/>
      <c r="L86" s="681"/>
      <c r="M86" s="681"/>
      <c r="N86" s="681"/>
      <c r="O86" s="681"/>
      <c r="P86" s="681"/>
      <c r="Q86" s="856"/>
      <c r="R86" s="1071"/>
      <c r="S86" s="1094"/>
      <c r="T86" s="682"/>
      <c r="U86" s="726"/>
      <c r="V86" s="727"/>
      <c r="W86" s="717"/>
      <c r="X86" s="776"/>
      <c r="Y86" s="777"/>
      <c r="Z86" s="773"/>
      <c r="AA86" s="684">
        <f t="shared" si="21"/>
        <v>0</v>
      </c>
      <c r="AB86" s="684">
        <f t="shared" si="36"/>
        <v>0</v>
      </c>
      <c r="AC86" s="684">
        <f t="shared" si="37"/>
        <v>0</v>
      </c>
      <c r="AD86" s="684">
        <f>IF(AA86=0,,VLOOKUP(AA86,リスト!DH:DI,2,0))</f>
        <v>0</v>
      </c>
      <c r="AE86" s="684">
        <f t="shared" si="22"/>
        <v>0</v>
      </c>
      <c r="AF86" s="685">
        <f>IF(AE86=0,,VLOOKUP(AE86,リスト!DK:DL,2,0))</f>
        <v>0</v>
      </c>
      <c r="AG86" s="684">
        <f>IF(AA86=0,,
IF(OR(リスト!$C$21="小麦",リスト!$C$21="二条大麦",リスト!$C$21="六条大麦",リスト!$C$21="はだか麦",リスト!$C$21="なたね"),IF(K86&lt;9,調査年-J86,調査年-J86-1),
IF(リスト!$C$21="さとうきび",IF(K86&gt;=4,調査年-J86,調査年-J86+1),
調査年-J86)))</f>
        <v>0</v>
      </c>
      <c r="AH86" s="385">
        <f t="shared" si="23"/>
        <v>0</v>
      </c>
      <c r="AI86" s="385">
        <f t="shared" si="24"/>
        <v>0</v>
      </c>
      <c r="AJ86" s="385">
        <f t="shared" si="25"/>
        <v>0</v>
      </c>
      <c r="AK86" s="385">
        <f t="shared" si="26"/>
        <v>0</v>
      </c>
      <c r="AL86" s="385">
        <f t="shared" si="27"/>
        <v>0</v>
      </c>
      <c r="AM86" s="385">
        <f t="shared" si="35"/>
        <v>0</v>
      </c>
      <c r="AN86" s="394"/>
      <c r="AO86" s="385">
        <f>IF(OR(S86=0,AI86=0),,
IF(OR(リスト!$C$21="小麦",リスト!$C$21="二条大麦",リスト!$C$21="六条大麦",リスト!$C$21="はだか麦",リスト!$C$21="なたね"),IF(OR(AND(K86&lt;9,J86=調査年),AND(K86&gt;=9,J86=調査年-1)),,ROUND(AI86*S86%,0)),
IF(リスト!$C$21="さとうきび",IF(OR(AND(K86&gt;=4,J86=調査年),AND(K86&lt;4,J86=調査年+1)),,ROUND(AI86*S86%,0)),
IF(J86=調査年,,ROUND(AI86*S86%,0)))))</f>
        <v>0</v>
      </c>
      <c r="AP86" s="385">
        <f t="shared" si="28"/>
        <v>0</v>
      </c>
      <c r="AQ86" s="385">
        <f t="shared" si="29"/>
        <v>0</v>
      </c>
      <c r="AR86" s="385">
        <f t="shared" si="30"/>
        <v>0</v>
      </c>
      <c r="AS86" s="385">
        <f>IF(S86=0,,
SUM(
IF(OR(リスト!$C$21="小麦",リスト!$C$21="二条大麦",リスト!$C$21="六条大麦",リスト!$C$21="はだか麦",リスト!$C$21="なたね"),IF(OR(AND(AB86=1,K86&lt;9,J86=調査年),AND(AB86=1,K86&gt;=9,J86=調査年-1)),ROUND(L86*S86%,0),),
IF(リスト!$C$21="さとうきび",IF(OR(AND(AB86=1,K86&gt;=4,J86=調査年),AND(AB86=1,K86&lt;4,J86=調査年+1)),ROUND(L86*S86%,0),),
IF(AND(AB86=1,J86=調査年),ROUND(L86*S86%,0),))),
ROUND(N86*S86%,0),
ROUND(SUM(AM86)*S86%,0)
))</f>
        <v>0</v>
      </c>
      <c r="AT86" s="385">
        <f t="shared" si="31"/>
        <v>0</v>
      </c>
      <c r="AU86" s="385">
        <f t="shared" si="32"/>
        <v>0</v>
      </c>
      <c r="AV86" s="385">
        <f t="shared" si="33"/>
        <v>0</v>
      </c>
      <c r="AW86" s="385">
        <f t="shared" si="33"/>
        <v>0</v>
      </c>
      <c r="AX86" s="385">
        <f t="shared" si="33"/>
        <v>0</v>
      </c>
      <c r="AY86" s="721">
        <f t="shared" si="34"/>
        <v>0</v>
      </c>
      <c r="AZ86" s="686"/>
      <c r="BA86" s="686"/>
      <c r="BB86" s="686"/>
      <c r="BC86" s="686"/>
    </row>
    <row r="87" spans="3:55" s="46" customFormat="1" ht="30.75" hidden="1" customHeight="1" outlineLevel="1">
      <c r="C87" s="740">
        <v>71</v>
      </c>
      <c r="D87" s="687"/>
      <c r="E87" s="774"/>
      <c r="F87" s="770"/>
      <c r="G87" s="1961"/>
      <c r="H87" s="1962"/>
      <c r="I87" s="679"/>
      <c r="J87" s="725"/>
      <c r="K87" s="680"/>
      <c r="L87" s="681"/>
      <c r="M87" s="681"/>
      <c r="N87" s="681"/>
      <c r="O87" s="681"/>
      <c r="P87" s="681"/>
      <c r="Q87" s="856"/>
      <c r="R87" s="1071"/>
      <c r="S87" s="1094"/>
      <c r="T87" s="682"/>
      <c r="U87" s="726"/>
      <c r="V87" s="727"/>
      <c r="W87" s="717"/>
      <c r="X87" s="776"/>
      <c r="Y87" s="777"/>
      <c r="Z87" s="773"/>
      <c r="AA87" s="684">
        <f t="shared" si="21"/>
        <v>0</v>
      </c>
      <c r="AB87" s="684">
        <f t="shared" si="36"/>
        <v>0</v>
      </c>
      <c r="AC87" s="684">
        <f t="shared" si="37"/>
        <v>0</v>
      </c>
      <c r="AD87" s="684">
        <f>IF(AA87=0,,VLOOKUP(AA87,リスト!DH:DI,2,0))</f>
        <v>0</v>
      </c>
      <c r="AE87" s="684">
        <f t="shared" si="22"/>
        <v>0</v>
      </c>
      <c r="AF87" s="685">
        <f>IF(AE87=0,,VLOOKUP(AE87,リスト!DK:DL,2,0))</f>
        <v>0</v>
      </c>
      <c r="AG87" s="684">
        <f>IF(AA87=0,,
IF(OR(リスト!$C$21="小麦",リスト!$C$21="二条大麦",リスト!$C$21="六条大麦",リスト!$C$21="はだか麦",リスト!$C$21="なたね"),IF(K87&lt;9,調査年-J87,調査年-J87-1),
IF(リスト!$C$21="さとうきび",IF(K87&gt;=4,調査年-J87,調査年-J87+1),
調査年-J87)))</f>
        <v>0</v>
      </c>
      <c r="AH87" s="385">
        <f t="shared" si="23"/>
        <v>0</v>
      </c>
      <c r="AI87" s="385">
        <f t="shared" si="24"/>
        <v>0</v>
      </c>
      <c r="AJ87" s="385">
        <f t="shared" si="25"/>
        <v>0</v>
      </c>
      <c r="AK87" s="385">
        <f t="shared" si="26"/>
        <v>0</v>
      </c>
      <c r="AL87" s="385">
        <f t="shared" si="27"/>
        <v>0</v>
      </c>
      <c r="AM87" s="385">
        <f t="shared" si="35"/>
        <v>0</v>
      </c>
      <c r="AN87" s="394"/>
      <c r="AO87" s="385">
        <f>IF(OR(S87=0,AI87=0),,
IF(OR(リスト!$C$21="小麦",リスト!$C$21="二条大麦",リスト!$C$21="六条大麦",リスト!$C$21="はだか麦",リスト!$C$21="なたね"),IF(OR(AND(K87&lt;9,J87=調査年),AND(K87&gt;=9,J87=調査年-1)),,ROUND(AI87*S87%,0)),
IF(リスト!$C$21="さとうきび",IF(OR(AND(K87&gt;=4,J87=調査年),AND(K87&lt;4,J87=調査年+1)),,ROUND(AI87*S87%,0)),
IF(J87=調査年,,ROUND(AI87*S87%,0)))))</f>
        <v>0</v>
      </c>
      <c r="AP87" s="385">
        <f t="shared" si="28"/>
        <v>0</v>
      </c>
      <c r="AQ87" s="385">
        <f t="shared" si="29"/>
        <v>0</v>
      </c>
      <c r="AR87" s="385">
        <f t="shared" si="30"/>
        <v>0</v>
      </c>
      <c r="AS87" s="385">
        <f>IF(S87=0,,
SUM(
IF(OR(リスト!$C$21="小麦",リスト!$C$21="二条大麦",リスト!$C$21="六条大麦",リスト!$C$21="はだか麦",リスト!$C$21="なたね"),IF(OR(AND(AB87=1,K87&lt;9,J87=調査年),AND(AB87=1,K87&gt;=9,J87=調査年-1)),ROUND(L87*S87%,0),),
IF(リスト!$C$21="さとうきび",IF(OR(AND(AB87=1,K87&gt;=4,J87=調査年),AND(AB87=1,K87&lt;4,J87=調査年+1)),ROUND(L87*S87%,0),),
IF(AND(AB87=1,J87=調査年),ROUND(L87*S87%,0),))),
ROUND(N87*S87%,0),
ROUND(SUM(AM87)*S87%,0)
))</f>
        <v>0</v>
      </c>
      <c r="AT87" s="385">
        <f t="shared" si="31"/>
        <v>0</v>
      </c>
      <c r="AU87" s="385">
        <f t="shared" si="32"/>
        <v>0</v>
      </c>
      <c r="AV87" s="385">
        <f t="shared" si="33"/>
        <v>0</v>
      </c>
      <c r="AW87" s="385">
        <f t="shared" si="33"/>
        <v>0</v>
      </c>
      <c r="AX87" s="385">
        <f t="shared" si="33"/>
        <v>0</v>
      </c>
      <c r="AY87" s="721">
        <f t="shared" si="34"/>
        <v>0</v>
      </c>
      <c r="AZ87" s="686"/>
      <c r="BA87" s="686"/>
      <c r="BB87" s="686"/>
      <c r="BC87" s="686"/>
    </row>
    <row r="88" spans="3:55" s="46" customFormat="1" ht="30.75" hidden="1" customHeight="1" outlineLevel="1">
      <c r="C88" s="740">
        <v>72</v>
      </c>
      <c r="D88" s="687"/>
      <c r="E88" s="774"/>
      <c r="F88" s="770"/>
      <c r="G88" s="1961"/>
      <c r="H88" s="1962"/>
      <c r="I88" s="679"/>
      <c r="J88" s="725"/>
      <c r="K88" s="680"/>
      <c r="L88" s="681"/>
      <c r="M88" s="681"/>
      <c r="N88" s="681"/>
      <c r="O88" s="681"/>
      <c r="P88" s="681"/>
      <c r="Q88" s="856"/>
      <c r="R88" s="1071"/>
      <c r="S88" s="1094"/>
      <c r="T88" s="682"/>
      <c r="U88" s="726"/>
      <c r="V88" s="727"/>
      <c r="W88" s="717"/>
      <c r="X88" s="776"/>
      <c r="Y88" s="777"/>
      <c r="Z88" s="773"/>
      <c r="AA88" s="684">
        <f t="shared" si="21"/>
        <v>0</v>
      </c>
      <c r="AB88" s="684">
        <f t="shared" si="36"/>
        <v>0</v>
      </c>
      <c r="AC88" s="684">
        <f t="shared" si="37"/>
        <v>0</v>
      </c>
      <c r="AD88" s="684">
        <f>IF(AA88=0,,VLOOKUP(AA88,リスト!DH:DI,2,0))</f>
        <v>0</v>
      </c>
      <c r="AE88" s="684">
        <f t="shared" si="22"/>
        <v>0</v>
      </c>
      <c r="AF88" s="685">
        <f>IF(AE88=0,,VLOOKUP(AE88,リスト!DK:DL,2,0))</f>
        <v>0</v>
      </c>
      <c r="AG88" s="684">
        <f>IF(AA88=0,,
IF(OR(リスト!$C$21="小麦",リスト!$C$21="二条大麦",リスト!$C$21="六条大麦",リスト!$C$21="はだか麦",リスト!$C$21="なたね"),IF(K88&lt;9,調査年-J88,調査年-J88-1),
IF(リスト!$C$21="さとうきび",IF(K88&gt;=4,調査年-J88,調査年-J88+1),
調査年-J88)))</f>
        <v>0</v>
      </c>
      <c r="AH88" s="385">
        <f t="shared" si="23"/>
        <v>0</v>
      </c>
      <c r="AI88" s="385">
        <f t="shared" si="24"/>
        <v>0</v>
      </c>
      <c r="AJ88" s="385">
        <f t="shared" si="25"/>
        <v>0</v>
      </c>
      <c r="AK88" s="385">
        <f t="shared" si="26"/>
        <v>0</v>
      </c>
      <c r="AL88" s="385">
        <f t="shared" si="27"/>
        <v>0</v>
      </c>
      <c r="AM88" s="385">
        <f t="shared" si="35"/>
        <v>0</v>
      </c>
      <c r="AN88" s="394"/>
      <c r="AO88" s="385">
        <f>IF(OR(S88=0,AI88=0),,
IF(OR(リスト!$C$21="小麦",リスト!$C$21="二条大麦",リスト!$C$21="六条大麦",リスト!$C$21="はだか麦",リスト!$C$21="なたね"),IF(OR(AND(K88&lt;9,J88=調査年),AND(K88&gt;=9,J88=調査年-1)),,ROUND(AI88*S88%,0)),
IF(リスト!$C$21="さとうきび",IF(OR(AND(K88&gt;=4,J88=調査年),AND(K88&lt;4,J88=調査年+1)),,ROUND(AI88*S88%,0)),
IF(J88=調査年,,ROUND(AI88*S88%,0)))))</f>
        <v>0</v>
      </c>
      <c r="AP88" s="385">
        <f t="shared" si="28"/>
        <v>0</v>
      </c>
      <c r="AQ88" s="385">
        <f t="shared" si="29"/>
        <v>0</v>
      </c>
      <c r="AR88" s="385">
        <f t="shared" si="30"/>
        <v>0</v>
      </c>
      <c r="AS88" s="385">
        <f>IF(S88=0,,
SUM(
IF(OR(リスト!$C$21="小麦",リスト!$C$21="二条大麦",リスト!$C$21="六条大麦",リスト!$C$21="はだか麦",リスト!$C$21="なたね"),IF(OR(AND(AB88=1,K88&lt;9,J88=調査年),AND(AB88=1,K88&gt;=9,J88=調査年-1)),ROUND(L88*S88%,0),),
IF(リスト!$C$21="さとうきび",IF(OR(AND(AB88=1,K88&gt;=4,J88=調査年),AND(AB88=1,K88&lt;4,J88=調査年+1)),ROUND(L88*S88%,0),),
IF(AND(AB88=1,J88=調査年),ROUND(L88*S88%,0),))),
ROUND(N88*S88%,0),
ROUND(SUM(AM88)*S88%,0)
))</f>
        <v>0</v>
      </c>
      <c r="AT88" s="385">
        <f t="shared" si="31"/>
        <v>0</v>
      </c>
      <c r="AU88" s="385">
        <f t="shared" si="32"/>
        <v>0</v>
      </c>
      <c r="AV88" s="385">
        <f t="shared" si="33"/>
        <v>0</v>
      </c>
      <c r="AW88" s="385">
        <f t="shared" si="33"/>
        <v>0</v>
      </c>
      <c r="AX88" s="385">
        <f t="shared" si="33"/>
        <v>0</v>
      </c>
      <c r="AY88" s="721">
        <f t="shared" si="34"/>
        <v>0</v>
      </c>
      <c r="AZ88" s="686"/>
      <c r="BA88" s="686"/>
      <c r="BB88" s="686"/>
      <c r="BC88" s="686"/>
    </row>
    <row r="89" spans="3:55" s="46" customFormat="1" ht="30.75" hidden="1" customHeight="1" outlineLevel="1">
      <c r="C89" s="740">
        <v>73</v>
      </c>
      <c r="D89" s="687"/>
      <c r="E89" s="774"/>
      <c r="F89" s="770"/>
      <c r="G89" s="1961"/>
      <c r="H89" s="1962"/>
      <c r="I89" s="679"/>
      <c r="J89" s="725"/>
      <c r="K89" s="680"/>
      <c r="L89" s="681"/>
      <c r="M89" s="681"/>
      <c r="N89" s="681"/>
      <c r="O89" s="681"/>
      <c r="P89" s="681"/>
      <c r="Q89" s="856"/>
      <c r="R89" s="1071"/>
      <c r="S89" s="1094"/>
      <c r="T89" s="682"/>
      <c r="U89" s="726"/>
      <c r="V89" s="727"/>
      <c r="W89" s="717"/>
      <c r="X89" s="776"/>
      <c r="Y89" s="777"/>
      <c r="Z89" s="773"/>
      <c r="AA89" s="684">
        <f t="shared" si="21"/>
        <v>0</v>
      </c>
      <c r="AB89" s="684">
        <f t="shared" si="36"/>
        <v>0</v>
      </c>
      <c r="AC89" s="684">
        <f t="shared" si="37"/>
        <v>0</v>
      </c>
      <c r="AD89" s="684">
        <f>IF(AA89=0,,VLOOKUP(AA89,リスト!DH:DI,2,0))</f>
        <v>0</v>
      </c>
      <c r="AE89" s="684">
        <f t="shared" si="22"/>
        <v>0</v>
      </c>
      <c r="AF89" s="685">
        <f>IF(AE89=0,,VLOOKUP(AE89,リスト!DK:DL,2,0))</f>
        <v>0</v>
      </c>
      <c r="AG89" s="684">
        <f>IF(AA89=0,,
IF(OR(リスト!$C$21="小麦",リスト!$C$21="二条大麦",リスト!$C$21="六条大麦",リスト!$C$21="はだか麦",リスト!$C$21="なたね"),IF(K89&lt;9,調査年-J89,調査年-J89-1),
IF(リスト!$C$21="さとうきび",IF(K89&gt;=4,調査年-J89,調査年-J89+1),
調査年-J89)))</f>
        <v>0</v>
      </c>
      <c r="AH89" s="385">
        <f t="shared" si="23"/>
        <v>0</v>
      </c>
      <c r="AI89" s="385">
        <f t="shared" si="24"/>
        <v>0</v>
      </c>
      <c r="AJ89" s="385">
        <f t="shared" si="25"/>
        <v>0</v>
      </c>
      <c r="AK89" s="385">
        <f t="shared" si="26"/>
        <v>0</v>
      </c>
      <c r="AL89" s="385">
        <f t="shared" si="27"/>
        <v>0</v>
      </c>
      <c r="AM89" s="385">
        <f t="shared" si="35"/>
        <v>0</v>
      </c>
      <c r="AN89" s="394"/>
      <c r="AO89" s="385">
        <f>IF(OR(S89=0,AI89=0),,
IF(OR(リスト!$C$21="小麦",リスト!$C$21="二条大麦",リスト!$C$21="六条大麦",リスト!$C$21="はだか麦",リスト!$C$21="なたね"),IF(OR(AND(K89&lt;9,J89=調査年),AND(K89&gt;=9,J89=調査年-1)),,ROUND(AI89*S89%,0)),
IF(リスト!$C$21="さとうきび",IF(OR(AND(K89&gt;=4,J89=調査年),AND(K89&lt;4,J89=調査年+1)),,ROUND(AI89*S89%,0)),
IF(J89=調査年,,ROUND(AI89*S89%,0)))))</f>
        <v>0</v>
      </c>
      <c r="AP89" s="385">
        <f t="shared" si="28"/>
        <v>0</v>
      </c>
      <c r="AQ89" s="385">
        <f t="shared" si="29"/>
        <v>0</v>
      </c>
      <c r="AR89" s="385">
        <f t="shared" si="30"/>
        <v>0</v>
      </c>
      <c r="AS89" s="385">
        <f>IF(S89=0,,
SUM(
IF(OR(リスト!$C$21="小麦",リスト!$C$21="二条大麦",リスト!$C$21="六条大麦",リスト!$C$21="はだか麦",リスト!$C$21="なたね"),IF(OR(AND(AB89=1,K89&lt;9,J89=調査年),AND(AB89=1,K89&gt;=9,J89=調査年-1)),ROUND(L89*S89%,0),),
IF(リスト!$C$21="さとうきび",IF(OR(AND(AB89=1,K89&gt;=4,J89=調査年),AND(AB89=1,K89&lt;4,J89=調査年+1)),ROUND(L89*S89%,0),),
IF(AND(AB89=1,J89=調査年),ROUND(L89*S89%,0),))),
ROUND(N89*S89%,0),
ROUND(SUM(AM89)*S89%,0)
))</f>
        <v>0</v>
      </c>
      <c r="AT89" s="385">
        <f t="shared" si="31"/>
        <v>0</v>
      </c>
      <c r="AU89" s="385">
        <f t="shared" si="32"/>
        <v>0</v>
      </c>
      <c r="AV89" s="385">
        <f t="shared" si="33"/>
        <v>0</v>
      </c>
      <c r="AW89" s="385">
        <f t="shared" si="33"/>
        <v>0</v>
      </c>
      <c r="AX89" s="385">
        <f t="shared" si="33"/>
        <v>0</v>
      </c>
      <c r="AY89" s="721">
        <f t="shared" si="34"/>
        <v>0</v>
      </c>
      <c r="AZ89" s="686"/>
      <c r="BA89" s="686"/>
      <c r="BB89" s="686"/>
      <c r="BC89" s="686"/>
    </row>
    <row r="90" spans="3:55" s="46" customFormat="1" ht="30.75" hidden="1" customHeight="1" outlineLevel="1">
      <c r="C90" s="740">
        <v>74</v>
      </c>
      <c r="D90" s="687"/>
      <c r="E90" s="774"/>
      <c r="F90" s="770"/>
      <c r="G90" s="1961"/>
      <c r="H90" s="1962"/>
      <c r="I90" s="679"/>
      <c r="J90" s="725"/>
      <c r="K90" s="680"/>
      <c r="L90" s="681"/>
      <c r="M90" s="681"/>
      <c r="N90" s="681"/>
      <c r="O90" s="681"/>
      <c r="P90" s="681"/>
      <c r="Q90" s="856"/>
      <c r="R90" s="1071"/>
      <c r="S90" s="1094"/>
      <c r="T90" s="682"/>
      <c r="U90" s="726"/>
      <c r="V90" s="727"/>
      <c r="W90" s="717"/>
      <c r="X90" s="776"/>
      <c r="Y90" s="777"/>
      <c r="Z90" s="773"/>
      <c r="AA90" s="684">
        <f t="shared" si="21"/>
        <v>0</v>
      </c>
      <c r="AB90" s="684">
        <f t="shared" si="36"/>
        <v>0</v>
      </c>
      <c r="AC90" s="684">
        <f t="shared" si="37"/>
        <v>0</v>
      </c>
      <c r="AD90" s="684">
        <f>IF(AA90=0,,VLOOKUP(AA90,リスト!DH:DI,2,0))</f>
        <v>0</v>
      </c>
      <c r="AE90" s="684">
        <f t="shared" si="22"/>
        <v>0</v>
      </c>
      <c r="AF90" s="685">
        <f>IF(AE90=0,,VLOOKUP(AE90,リスト!DK:DL,2,0))</f>
        <v>0</v>
      </c>
      <c r="AG90" s="684">
        <f>IF(AA90=0,,
IF(OR(リスト!$C$21="小麦",リスト!$C$21="二条大麦",リスト!$C$21="六条大麦",リスト!$C$21="はだか麦",リスト!$C$21="なたね"),IF(K90&lt;9,調査年-J90,調査年-J90-1),
IF(リスト!$C$21="さとうきび",IF(K90&gt;=4,調査年-J90,調査年-J90+1),
調査年-J90)))</f>
        <v>0</v>
      </c>
      <c r="AH90" s="385">
        <f t="shared" si="23"/>
        <v>0</v>
      </c>
      <c r="AI90" s="385">
        <f t="shared" si="24"/>
        <v>0</v>
      </c>
      <c r="AJ90" s="385">
        <f t="shared" si="25"/>
        <v>0</v>
      </c>
      <c r="AK90" s="385">
        <f t="shared" si="26"/>
        <v>0</v>
      </c>
      <c r="AL90" s="385">
        <f t="shared" si="27"/>
        <v>0</v>
      </c>
      <c r="AM90" s="385">
        <f t="shared" si="35"/>
        <v>0</v>
      </c>
      <c r="AN90" s="394"/>
      <c r="AO90" s="385">
        <f>IF(OR(S90=0,AI90=0),,
IF(OR(リスト!$C$21="小麦",リスト!$C$21="二条大麦",リスト!$C$21="六条大麦",リスト!$C$21="はだか麦",リスト!$C$21="なたね"),IF(OR(AND(K90&lt;9,J90=調査年),AND(K90&gt;=9,J90=調査年-1)),,ROUND(AI90*S90%,0)),
IF(リスト!$C$21="さとうきび",IF(OR(AND(K90&gt;=4,J90=調査年),AND(K90&lt;4,J90=調査年+1)),,ROUND(AI90*S90%,0)),
IF(J90=調査年,,ROUND(AI90*S90%,0)))))</f>
        <v>0</v>
      </c>
      <c r="AP90" s="385">
        <f t="shared" si="28"/>
        <v>0</v>
      </c>
      <c r="AQ90" s="385">
        <f t="shared" si="29"/>
        <v>0</v>
      </c>
      <c r="AR90" s="385">
        <f t="shared" si="30"/>
        <v>0</v>
      </c>
      <c r="AS90" s="385">
        <f>IF(S90=0,,
SUM(
IF(OR(リスト!$C$21="小麦",リスト!$C$21="二条大麦",リスト!$C$21="六条大麦",リスト!$C$21="はだか麦",リスト!$C$21="なたね"),IF(OR(AND(AB90=1,K90&lt;9,J90=調査年),AND(AB90=1,K90&gt;=9,J90=調査年-1)),ROUND(L90*S90%,0),),
IF(リスト!$C$21="さとうきび",IF(OR(AND(AB90=1,K90&gt;=4,J90=調査年),AND(AB90=1,K90&lt;4,J90=調査年+1)),ROUND(L90*S90%,0),),
IF(AND(AB90=1,J90=調査年),ROUND(L90*S90%,0),))),
ROUND(N90*S90%,0),
ROUND(SUM(AM90)*S90%,0)
))</f>
        <v>0</v>
      </c>
      <c r="AT90" s="385">
        <f t="shared" si="31"/>
        <v>0</v>
      </c>
      <c r="AU90" s="385">
        <f t="shared" si="32"/>
        <v>0</v>
      </c>
      <c r="AV90" s="385">
        <f t="shared" si="33"/>
        <v>0</v>
      </c>
      <c r="AW90" s="385">
        <f t="shared" si="33"/>
        <v>0</v>
      </c>
      <c r="AX90" s="385">
        <f t="shared" si="33"/>
        <v>0</v>
      </c>
      <c r="AY90" s="721">
        <f t="shared" si="34"/>
        <v>0</v>
      </c>
      <c r="AZ90" s="686"/>
      <c r="BA90" s="686"/>
      <c r="BB90" s="686"/>
      <c r="BC90" s="686"/>
    </row>
    <row r="91" spans="3:55" s="46" customFormat="1" ht="30.75" hidden="1" customHeight="1" outlineLevel="1">
      <c r="C91" s="740">
        <v>75</v>
      </c>
      <c r="D91" s="687"/>
      <c r="E91" s="774"/>
      <c r="F91" s="770"/>
      <c r="G91" s="1961"/>
      <c r="H91" s="1962"/>
      <c r="I91" s="679"/>
      <c r="J91" s="725"/>
      <c r="K91" s="680"/>
      <c r="L91" s="681"/>
      <c r="M91" s="681"/>
      <c r="N91" s="681"/>
      <c r="O91" s="681"/>
      <c r="P91" s="681"/>
      <c r="Q91" s="856"/>
      <c r="R91" s="1071"/>
      <c r="S91" s="1094"/>
      <c r="T91" s="682"/>
      <c r="U91" s="726"/>
      <c r="V91" s="727"/>
      <c r="W91" s="717"/>
      <c r="X91" s="776"/>
      <c r="Y91" s="777"/>
      <c r="Z91" s="773"/>
      <c r="AA91" s="684">
        <f t="shared" si="21"/>
        <v>0</v>
      </c>
      <c r="AB91" s="684">
        <f t="shared" si="36"/>
        <v>0</v>
      </c>
      <c r="AC91" s="684">
        <f t="shared" si="37"/>
        <v>0</v>
      </c>
      <c r="AD91" s="684">
        <f>IF(AA91=0,,VLOOKUP(AA91,リスト!DH:DI,2,0))</f>
        <v>0</v>
      </c>
      <c r="AE91" s="684">
        <f t="shared" si="22"/>
        <v>0</v>
      </c>
      <c r="AF91" s="685">
        <f>IF(AE91=0,,VLOOKUP(AE91,リスト!DK:DL,2,0))</f>
        <v>0</v>
      </c>
      <c r="AG91" s="684">
        <f>IF(AA91=0,,
IF(OR(リスト!$C$21="小麦",リスト!$C$21="二条大麦",リスト!$C$21="六条大麦",リスト!$C$21="はだか麦",リスト!$C$21="なたね"),IF(K91&lt;9,調査年-J91,調査年-J91-1),
IF(リスト!$C$21="さとうきび",IF(K91&gt;=4,調査年-J91,調査年-J91+1),
調査年-J91)))</f>
        <v>0</v>
      </c>
      <c r="AH91" s="385">
        <f t="shared" si="23"/>
        <v>0</v>
      </c>
      <c r="AI91" s="385">
        <f t="shared" si="24"/>
        <v>0</v>
      </c>
      <c r="AJ91" s="385">
        <f t="shared" si="25"/>
        <v>0</v>
      </c>
      <c r="AK91" s="385">
        <f t="shared" si="26"/>
        <v>0</v>
      </c>
      <c r="AL91" s="385">
        <f t="shared" si="27"/>
        <v>0</v>
      </c>
      <c r="AM91" s="385">
        <f t="shared" si="35"/>
        <v>0</v>
      </c>
      <c r="AN91" s="394"/>
      <c r="AO91" s="385">
        <f>IF(OR(S91=0,AI91=0),,
IF(OR(リスト!$C$21="小麦",リスト!$C$21="二条大麦",リスト!$C$21="六条大麦",リスト!$C$21="はだか麦",リスト!$C$21="なたね"),IF(OR(AND(K91&lt;9,J91=調査年),AND(K91&gt;=9,J91=調査年-1)),,ROUND(AI91*S91%,0)),
IF(リスト!$C$21="さとうきび",IF(OR(AND(K91&gt;=4,J91=調査年),AND(K91&lt;4,J91=調査年+1)),,ROUND(AI91*S91%,0)),
IF(J91=調査年,,ROUND(AI91*S91%,0)))))</f>
        <v>0</v>
      </c>
      <c r="AP91" s="385">
        <f t="shared" si="28"/>
        <v>0</v>
      </c>
      <c r="AQ91" s="385">
        <f t="shared" si="29"/>
        <v>0</v>
      </c>
      <c r="AR91" s="385">
        <f t="shared" si="30"/>
        <v>0</v>
      </c>
      <c r="AS91" s="385">
        <f>IF(S91=0,,
SUM(
IF(OR(リスト!$C$21="小麦",リスト!$C$21="二条大麦",リスト!$C$21="六条大麦",リスト!$C$21="はだか麦",リスト!$C$21="なたね"),IF(OR(AND(AB91=1,K91&lt;9,J91=調査年),AND(AB91=1,K91&gt;=9,J91=調査年-1)),ROUND(L91*S91%,0),),
IF(リスト!$C$21="さとうきび",IF(OR(AND(AB91=1,K91&gt;=4,J91=調査年),AND(AB91=1,K91&lt;4,J91=調査年+1)),ROUND(L91*S91%,0),),
IF(AND(AB91=1,J91=調査年),ROUND(L91*S91%,0),))),
ROUND(N91*S91%,0),
ROUND(SUM(AM91)*S91%,0)
))</f>
        <v>0</v>
      </c>
      <c r="AT91" s="385">
        <f t="shared" si="31"/>
        <v>0</v>
      </c>
      <c r="AU91" s="385">
        <f t="shared" si="32"/>
        <v>0</v>
      </c>
      <c r="AV91" s="385">
        <f t="shared" si="33"/>
        <v>0</v>
      </c>
      <c r="AW91" s="385">
        <f t="shared" si="33"/>
        <v>0</v>
      </c>
      <c r="AX91" s="385">
        <f t="shared" si="33"/>
        <v>0</v>
      </c>
      <c r="AY91" s="721">
        <f t="shared" si="34"/>
        <v>0</v>
      </c>
      <c r="AZ91" s="686"/>
      <c r="BA91" s="686"/>
      <c r="BB91" s="686"/>
      <c r="BC91" s="686"/>
    </row>
    <row r="92" spans="3:55" s="46" customFormat="1" ht="30.75" hidden="1" customHeight="1" outlineLevel="1">
      <c r="C92" s="740">
        <v>76</v>
      </c>
      <c r="D92" s="687"/>
      <c r="E92" s="774"/>
      <c r="F92" s="770"/>
      <c r="G92" s="1961"/>
      <c r="H92" s="1962"/>
      <c r="I92" s="679"/>
      <c r="J92" s="725"/>
      <c r="K92" s="680"/>
      <c r="L92" s="681"/>
      <c r="M92" s="681"/>
      <c r="N92" s="681"/>
      <c r="O92" s="681"/>
      <c r="P92" s="681"/>
      <c r="Q92" s="856"/>
      <c r="R92" s="1071"/>
      <c r="S92" s="1094"/>
      <c r="T92" s="682"/>
      <c r="U92" s="726"/>
      <c r="V92" s="727"/>
      <c r="W92" s="717"/>
      <c r="X92" s="776"/>
      <c r="Y92" s="777"/>
      <c r="Z92" s="773"/>
      <c r="AA92" s="684">
        <f t="shared" si="21"/>
        <v>0</v>
      </c>
      <c r="AB92" s="684">
        <f t="shared" si="36"/>
        <v>0</v>
      </c>
      <c r="AC92" s="684">
        <f t="shared" si="37"/>
        <v>0</v>
      </c>
      <c r="AD92" s="684">
        <f>IF(AA92=0,,VLOOKUP(AA92,リスト!DH:DI,2,0))</f>
        <v>0</v>
      </c>
      <c r="AE92" s="684">
        <f t="shared" si="22"/>
        <v>0</v>
      </c>
      <c r="AF92" s="685">
        <f>IF(AE92=0,,VLOOKUP(AE92,リスト!DK:DL,2,0))</f>
        <v>0</v>
      </c>
      <c r="AG92" s="684">
        <f>IF(AA92=0,,
IF(OR(リスト!$C$21="小麦",リスト!$C$21="二条大麦",リスト!$C$21="六条大麦",リスト!$C$21="はだか麦",リスト!$C$21="なたね"),IF(K92&lt;9,調査年-J92,調査年-J92-1),
IF(リスト!$C$21="さとうきび",IF(K92&gt;=4,調査年-J92,調査年-J92+1),
調査年-J92)))</f>
        <v>0</v>
      </c>
      <c r="AH92" s="385">
        <f t="shared" si="23"/>
        <v>0</v>
      </c>
      <c r="AI92" s="385">
        <f t="shared" si="24"/>
        <v>0</v>
      </c>
      <c r="AJ92" s="385">
        <f t="shared" si="25"/>
        <v>0</v>
      </c>
      <c r="AK92" s="385">
        <f t="shared" si="26"/>
        <v>0</v>
      </c>
      <c r="AL92" s="385">
        <f t="shared" si="27"/>
        <v>0</v>
      </c>
      <c r="AM92" s="385">
        <f t="shared" si="35"/>
        <v>0</v>
      </c>
      <c r="AN92" s="394"/>
      <c r="AO92" s="385">
        <f>IF(OR(S92=0,AI92=0),,
IF(OR(リスト!$C$21="小麦",リスト!$C$21="二条大麦",リスト!$C$21="六条大麦",リスト!$C$21="はだか麦",リスト!$C$21="なたね"),IF(OR(AND(K92&lt;9,J92=調査年),AND(K92&gt;=9,J92=調査年-1)),,ROUND(AI92*S92%,0)),
IF(リスト!$C$21="さとうきび",IF(OR(AND(K92&gt;=4,J92=調査年),AND(K92&lt;4,J92=調査年+1)),,ROUND(AI92*S92%,0)),
IF(J92=調査年,,ROUND(AI92*S92%,0)))))</f>
        <v>0</v>
      </c>
      <c r="AP92" s="385">
        <f t="shared" si="28"/>
        <v>0</v>
      </c>
      <c r="AQ92" s="385">
        <f t="shared" si="29"/>
        <v>0</v>
      </c>
      <c r="AR92" s="385">
        <f t="shared" si="30"/>
        <v>0</v>
      </c>
      <c r="AS92" s="385">
        <f>IF(S92=0,,
SUM(
IF(OR(リスト!$C$21="小麦",リスト!$C$21="二条大麦",リスト!$C$21="六条大麦",リスト!$C$21="はだか麦",リスト!$C$21="なたね"),IF(OR(AND(AB92=1,K92&lt;9,J92=調査年),AND(AB92=1,K92&gt;=9,J92=調査年-1)),ROUND(L92*S92%,0),),
IF(リスト!$C$21="さとうきび",IF(OR(AND(AB92=1,K92&gt;=4,J92=調査年),AND(AB92=1,K92&lt;4,J92=調査年+1)),ROUND(L92*S92%,0),),
IF(AND(AB92=1,J92=調査年),ROUND(L92*S92%,0),))),
ROUND(N92*S92%,0),
ROUND(SUM(AM92)*S92%,0)
))</f>
        <v>0</v>
      </c>
      <c r="AT92" s="385">
        <f t="shared" si="31"/>
        <v>0</v>
      </c>
      <c r="AU92" s="385">
        <f t="shared" si="32"/>
        <v>0</v>
      </c>
      <c r="AV92" s="385">
        <f t="shared" si="33"/>
        <v>0</v>
      </c>
      <c r="AW92" s="385">
        <f t="shared" si="33"/>
        <v>0</v>
      </c>
      <c r="AX92" s="385">
        <f t="shared" si="33"/>
        <v>0</v>
      </c>
      <c r="AY92" s="721">
        <f t="shared" si="34"/>
        <v>0</v>
      </c>
      <c r="AZ92" s="686"/>
      <c r="BA92" s="686"/>
      <c r="BB92" s="686"/>
      <c r="BC92" s="686"/>
    </row>
    <row r="93" spans="3:55" s="46" customFormat="1" ht="30.75" hidden="1" customHeight="1" outlineLevel="1">
      <c r="C93" s="740">
        <v>77</v>
      </c>
      <c r="D93" s="687"/>
      <c r="E93" s="774"/>
      <c r="F93" s="770"/>
      <c r="G93" s="1961"/>
      <c r="H93" s="1962"/>
      <c r="I93" s="679"/>
      <c r="J93" s="725"/>
      <c r="K93" s="680"/>
      <c r="L93" s="681"/>
      <c r="M93" s="681"/>
      <c r="N93" s="681"/>
      <c r="O93" s="681"/>
      <c r="P93" s="681"/>
      <c r="Q93" s="856"/>
      <c r="R93" s="1071"/>
      <c r="S93" s="1094"/>
      <c r="T93" s="682"/>
      <c r="U93" s="726"/>
      <c r="V93" s="727"/>
      <c r="W93" s="717"/>
      <c r="X93" s="776"/>
      <c r="Y93" s="777"/>
      <c r="Z93" s="773"/>
      <c r="AA93" s="684">
        <f t="shared" si="21"/>
        <v>0</v>
      </c>
      <c r="AB93" s="684">
        <f t="shared" si="36"/>
        <v>0</v>
      </c>
      <c r="AC93" s="684">
        <f t="shared" si="37"/>
        <v>0</v>
      </c>
      <c r="AD93" s="684">
        <f>IF(AA93=0,,VLOOKUP(AA93,リスト!DH:DI,2,0))</f>
        <v>0</v>
      </c>
      <c r="AE93" s="684">
        <f t="shared" si="22"/>
        <v>0</v>
      </c>
      <c r="AF93" s="685">
        <f>IF(AE93=0,,VLOOKUP(AE93,リスト!DK:DL,2,0))</f>
        <v>0</v>
      </c>
      <c r="AG93" s="684">
        <f>IF(AA93=0,,
IF(OR(リスト!$C$21="小麦",リスト!$C$21="二条大麦",リスト!$C$21="六条大麦",リスト!$C$21="はだか麦",リスト!$C$21="なたね"),IF(K93&lt;9,調査年-J93,調査年-J93-1),
IF(リスト!$C$21="さとうきび",IF(K93&gt;=4,調査年-J93,調査年-J93+1),
調査年-J93)))</f>
        <v>0</v>
      </c>
      <c r="AH93" s="385">
        <f t="shared" si="23"/>
        <v>0</v>
      </c>
      <c r="AI93" s="385">
        <f t="shared" si="24"/>
        <v>0</v>
      </c>
      <c r="AJ93" s="385">
        <f t="shared" si="25"/>
        <v>0</v>
      </c>
      <c r="AK93" s="385">
        <f t="shared" si="26"/>
        <v>0</v>
      </c>
      <c r="AL93" s="385">
        <f t="shared" si="27"/>
        <v>0</v>
      </c>
      <c r="AM93" s="385">
        <f t="shared" si="35"/>
        <v>0</v>
      </c>
      <c r="AN93" s="394"/>
      <c r="AO93" s="385">
        <f>IF(OR(S93=0,AI93=0),,
IF(OR(リスト!$C$21="小麦",リスト!$C$21="二条大麦",リスト!$C$21="六条大麦",リスト!$C$21="はだか麦",リスト!$C$21="なたね"),IF(OR(AND(K93&lt;9,J93=調査年),AND(K93&gt;=9,J93=調査年-1)),,ROUND(AI93*S93%,0)),
IF(リスト!$C$21="さとうきび",IF(OR(AND(K93&gt;=4,J93=調査年),AND(K93&lt;4,J93=調査年+1)),,ROUND(AI93*S93%,0)),
IF(J93=調査年,,ROUND(AI93*S93%,0)))))</f>
        <v>0</v>
      </c>
      <c r="AP93" s="385">
        <f t="shared" si="28"/>
        <v>0</v>
      </c>
      <c r="AQ93" s="385">
        <f t="shared" si="29"/>
        <v>0</v>
      </c>
      <c r="AR93" s="385">
        <f t="shared" si="30"/>
        <v>0</v>
      </c>
      <c r="AS93" s="385">
        <f>IF(S93=0,,
SUM(
IF(OR(リスト!$C$21="小麦",リスト!$C$21="二条大麦",リスト!$C$21="六条大麦",リスト!$C$21="はだか麦",リスト!$C$21="なたね"),IF(OR(AND(AB93=1,K93&lt;9,J93=調査年),AND(AB93=1,K93&gt;=9,J93=調査年-1)),ROUND(L93*S93%,0),),
IF(リスト!$C$21="さとうきび",IF(OR(AND(AB93=1,K93&gt;=4,J93=調査年),AND(AB93=1,K93&lt;4,J93=調査年+1)),ROUND(L93*S93%,0),),
IF(AND(AB93=1,J93=調査年),ROUND(L93*S93%,0),))),
ROUND(N93*S93%,0),
ROUND(SUM(AM93)*S93%,0)
))</f>
        <v>0</v>
      </c>
      <c r="AT93" s="385">
        <f t="shared" si="31"/>
        <v>0</v>
      </c>
      <c r="AU93" s="385">
        <f t="shared" si="32"/>
        <v>0</v>
      </c>
      <c r="AV93" s="385">
        <f t="shared" si="33"/>
        <v>0</v>
      </c>
      <c r="AW93" s="385">
        <f t="shared" si="33"/>
        <v>0</v>
      </c>
      <c r="AX93" s="385">
        <f t="shared" si="33"/>
        <v>0</v>
      </c>
      <c r="AY93" s="721">
        <f t="shared" si="34"/>
        <v>0</v>
      </c>
      <c r="AZ93" s="686"/>
      <c r="BA93" s="686"/>
      <c r="BB93" s="686"/>
      <c r="BC93" s="686"/>
    </row>
    <row r="94" spans="3:55" s="46" customFormat="1" ht="30.75" hidden="1" customHeight="1" outlineLevel="1">
      <c r="C94" s="740">
        <v>78</v>
      </c>
      <c r="D94" s="687"/>
      <c r="E94" s="774"/>
      <c r="F94" s="770"/>
      <c r="G94" s="1961"/>
      <c r="H94" s="1962"/>
      <c r="I94" s="679"/>
      <c r="J94" s="725"/>
      <c r="K94" s="680"/>
      <c r="L94" s="681"/>
      <c r="M94" s="681"/>
      <c r="N94" s="681"/>
      <c r="O94" s="681"/>
      <c r="P94" s="681"/>
      <c r="Q94" s="856"/>
      <c r="R94" s="1071"/>
      <c r="S94" s="1094"/>
      <c r="T94" s="682"/>
      <c r="U94" s="726"/>
      <c r="V94" s="727"/>
      <c r="W94" s="717"/>
      <c r="X94" s="776"/>
      <c r="Y94" s="777"/>
      <c r="Z94" s="773"/>
      <c r="AA94" s="684">
        <f t="shared" si="21"/>
        <v>0</v>
      </c>
      <c r="AB94" s="684">
        <f t="shared" si="36"/>
        <v>0</v>
      </c>
      <c r="AC94" s="684">
        <f t="shared" si="37"/>
        <v>0</v>
      </c>
      <c r="AD94" s="684">
        <f>IF(AA94=0,,VLOOKUP(AA94,リスト!DH:DI,2,0))</f>
        <v>0</v>
      </c>
      <c r="AE94" s="684">
        <f t="shared" si="22"/>
        <v>0</v>
      </c>
      <c r="AF94" s="685">
        <f>IF(AE94=0,,VLOOKUP(AE94,リスト!DK:DL,2,0))</f>
        <v>0</v>
      </c>
      <c r="AG94" s="684">
        <f>IF(AA94=0,,
IF(OR(リスト!$C$21="小麦",リスト!$C$21="二条大麦",リスト!$C$21="六条大麦",リスト!$C$21="はだか麦",リスト!$C$21="なたね"),IF(K94&lt;9,調査年-J94,調査年-J94-1),
IF(リスト!$C$21="さとうきび",IF(K94&gt;=4,調査年-J94,調査年-J94+1),
調査年-J94)))</f>
        <v>0</v>
      </c>
      <c r="AH94" s="385">
        <f t="shared" si="23"/>
        <v>0</v>
      </c>
      <c r="AI94" s="385">
        <f t="shared" si="24"/>
        <v>0</v>
      </c>
      <c r="AJ94" s="385">
        <f t="shared" si="25"/>
        <v>0</v>
      </c>
      <c r="AK94" s="385">
        <f t="shared" si="26"/>
        <v>0</v>
      </c>
      <c r="AL94" s="385">
        <f t="shared" si="27"/>
        <v>0</v>
      </c>
      <c r="AM94" s="385">
        <f t="shared" si="35"/>
        <v>0</v>
      </c>
      <c r="AN94" s="394"/>
      <c r="AO94" s="385">
        <f>IF(OR(S94=0,AI94=0),,
IF(OR(リスト!$C$21="小麦",リスト!$C$21="二条大麦",リスト!$C$21="六条大麦",リスト!$C$21="はだか麦",リスト!$C$21="なたね"),IF(OR(AND(K94&lt;9,J94=調査年),AND(K94&gt;=9,J94=調査年-1)),,ROUND(AI94*S94%,0)),
IF(リスト!$C$21="さとうきび",IF(OR(AND(K94&gt;=4,J94=調査年),AND(K94&lt;4,J94=調査年+1)),,ROUND(AI94*S94%,0)),
IF(J94=調査年,,ROUND(AI94*S94%,0)))))</f>
        <v>0</v>
      </c>
      <c r="AP94" s="385">
        <f t="shared" si="28"/>
        <v>0</v>
      </c>
      <c r="AQ94" s="385">
        <f t="shared" si="29"/>
        <v>0</v>
      </c>
      <c r="AR94" s="385">
        <f t="shared" si="30"/>
        <v>0</v>
      </c>
      <c r="AS94" s="385">
        <f>IF(S94=0,,
SUM(
IF(OR(リスト!$C$21="小麦",リスト!$C$21="二条大麦",リスト!$C$21="六条大麦",リスト!$C$21="はだか麦",リスト!$C$21="なたね"),IF(OR(AND(AB94=1,K94&lt;9,J94=調査年),AND(AB94=1,K94&gt;=9,J94=調査年-1)),ROUND(L94*S94%,0),),
IF(リスト!$C$21="さとうきび",IF(OR(AND(AB94=1,K94&gt;=4,J94=調査年),AND(AB94=1,K94&lt;4,J94=調査年+1)),ROUND(L94*S94%,0),),
IF(AND(AB94=1,J94=調査年),ROUND(L94*S94%,0),))),
ROUND(N94*S94%,0),
ROUND(SUM(AM94)*S94%,0)
))</f>
        <v>0</v>
      </c>
      <c r="AT94" s="385">
        <f t="shared" si="31"/>
        <v>0</v>
      </c>
      <c r="AU94" s="385">
        <f t="shared" si="32"/>
        <v>0</v>
      </c>
      <c r="AV94" s="385">
        <f t="shared" si="33"/>
        <v>0</v>
      </c>
      <c r="AW94" s="385">
        <f t="shared" si="33"/>
        <v>0</v>
      </c>
      <c r="AX94" s="385">
        <f t="shared" si="33"/>
        <v>0</v>
      </c>
      <c r="AY94" s="721">
        <f t="shared" si="34"/>
        <v>0</v>
      </c>
      <c r="AZ94" s="686"/>
      <c r="BA94" s="686"/>
      <c r="BB94" s="686"/>
      <c r="BC94" s="686"/>
    </row>
    <row r="95" spans="3:55" s="46" customFormat="1" ht="30.75" hidden="1" customHeight="1" outlineLevel="1">
      <c r="C95" s="740">
        <v>79</v>
      </c>
      <c r="D95" s="687"/>
      <c r="E95" s="774"/>
      <c r="F95" s="770"/>
      <c r="G95" s="1961"/>
      <c r="H95" s="1962"/>
      <c r="I95" s="679"/>
      <c r="J95" s="725"/>
      <c r="K95" s="680"/>
      <c r="L95" s="681"/>
      <c r="M95" s="681"/>
      <c r="N95" s="681"/>
      <c r="O95" s="681"/>
      <c r="P95" s="681"/>
      <c r="Q95" s="856"/>
      <c r="R95" s="1071"/>
      <c r="S95" s="1094"/>
      <c r="T95" s="682"/>
      <c r="U95" s="726"/>
      <c r="V95" s="727"/>
      <c r="W95" s="717"/>
      <c r="X95" s="776"/>
      <c r="Y95" s="777"/>
      <c r="Z95" s="773"/>
      <c r="AA95" s="684">
        <f t="shared" si="21"/>
        <v>0</v>
      </c>
      <c r="AB95" s="684">
        <f t="shared" si="36"/>
        <v>0</v>
      </c>
      <c r="AC95" s="684">
        <f t="shared" si="37"/>
        <v>0</v>
      </c>
      <c r="AD95" s="684">
        <f>IF(AA95=0,,VLOOKUP(AA95,リスト!DH:DI,2,0))</f>
        <v>0</v>
      </c>
      <c r="AE95" s="684">
        <f t="shared" si="22"/>
        <v>0</v>
      </c>
      <c r="AF95" s="685">
        <f>IF(AE95=0,,VLOOKUP(AE95,リスト!DK:DL,2,0))</f>
        <v>0</v>
      </c>
      <c r="AG95" s="684">
        <f>IF(AA95=0,,
IF(OR(リスト!$C$21="小麦",リスト!$C$21="二条大麦",リスト!$C$21="六条大麦",リスト!$C$21="はだか麦",リスト!$C$21="なたね"),IF(K95&lt;9,調査年-J95,調査年-J95-1),
IF(リスト!$C$21="さとうきび",IF(K95&gt;=4,調査年-J95,調査年-J95+1),
調査年-J95)))</f>
        <v>0</v>
      </c>
      <c r="AH95" s="385">
        <f t="shared" si="23"/>
        <v>0</v>
      </c>
      <c r="AI95" s="385">
        <f t="shared" si="24"/>
        <v>0</v>
      </c>
      <c r="AJ95" s="385">
        <f t="shared" si="25"/>
        <v>0</v>
      </c>
      <c r="AK95" s="385">
        <f t="shared" si="26"/>
        <v>0</v>
      </c>
      <c r="AL95" s="385">
        <f t="shared" si="27"/>
        <v>0</v>
      </c>
      <c r="AM95" s="385">
        <f t="shared" si="35"/>
        <v>0</v>
      </c>
      <c r="AN95" s="394"/>
      <c r="AO95" s="385">
        <f>IF(OR(S95=0,AI95=0),,
IF(OR(リスト!$C$21="小麦",リスト!$C$21="二条大麦",リスト!$C$21="六条大麦",リスト!$C$21="はだか麦",リスト!$C$21="なたね"),IF(OR(AND(K95&lt;9,J95=調査年),AND(K95&gt;=9,J95=調査年-1)),,ROUND(AI95*S95%,0)),
IF(リスト!$C$21="さとうきび",IF(OR(AND(K95&gt;=4,J95=調査年),AND(K95&lt;4,J95=調査年+1)),,ROUND(AI95*S95%,0)),
IF(J95=調査年,,ROUND(AI95*S95%,0)))))</f>
        <v>0</v>
      </c>
      <c r="AP95" s="385">
        <f t="shared" si="28"/>
        <v>0</v>
      </c>
      <c r="AQ95" s="385">
        <f t="shared" si="29"/>
        <v>0</v>
      </c>
      <c r="AR95" s="385">
        <f t="shared" si="30"/>
        <v>0</v>
      </c>
      <c r="AS95" s="385">
        <f>IF(S95=0,,
SUM(
IF(OR(リスト!$C$21="小麦",リスト!$C$21="二条大麦",リスト!$C$21="六条大麦",リスト!$C$21="はだか麦",リスト!$C$21="なたね"),IF(OR(AND(AB95=1,K95&lt;9,J95=調査年),AND(AB95=1,K95&gt;=9,J95=調査年-1)),ROUND(L95*S95%,0),),
IF(リスト!$C$21="さとうきび",IF(OR(AND(AB95=1,K95&gt;=4,J95=調査年),AND(AB95=1,K95&lt;4,J95=調査年+1)),ROUND(L95*S95%,0),),
IF(AND(AB95=1,J95=調査年),ROUND(L95*S95%,0),))),
ROUND(N95*S95%,0),
ROUND(SUM(AM95)*S95%,0)
))</f>
        <v>0</v>
      </c>
      <c r="AT95" s="385">
        <f t="shared" si="31"/>
        <v>0</v>
      </c>
      <c r="AU95" s="385">
        <f t="shared" si="32"/>
        <v>0</v>
      </c>
      <c r="AV95" s="385">
        <f t="shared" si="33"/>
        <v>0</v>
      </c>
      <c r="AW95" s="385">
        <f t="shared" si="33"/>
        <v>0</v>
      </c>
      <c r="AX95" s="385">
        <f t="shared" si="33"/>
        <v>0</v>
      </c>
      <c r="AY95" s="721">
        <f t="shared" si="34"/>
        <v>0</v>
      </c>
      <c r="AZ95" s="686"/>
      <c r="BA95" s="686"/>
      <c r="BB95" s="686"/>
      <c r="BC95" s="686"/>
    </row>
    <row r="96" spans="3:55" s="46" customFormat="1" ht="30.75" hidden="1" customHeight="1" outlineLevel="1">
      <c r="C96" s="740">
        <v>80</v>
      </c>
      <c r="D96" s="687"/>
      <c r="E96" s="774"/>
      <c r="F96" s="770"/>
      <c r="G96" s="1961"/>
      <c r="H96" s="1962"/>
      <c r="I96" s="679"/>
      <c r="J96" s="725"/>
      <c r="K96" s="680"/>
      <c r="L96" s="681"/>
      <c r="M96" s="681"/>
      <c r="N96" s="681"/>
      <c r="O96" s="681"/>
      <c r="P96" s="681"/>
      <c r="Q96" s="856"/>
      <c r="R96" s="1071"/>
      <c r="S96" s="1094"/>
      <c r="T96" s="682"/>
      <c r="U96" s="726"/>
      <c r="V96" s="727"/>
      <c r="W96" s="717"/>
      <c r="X96" s="776"/>
      <c r="Y96" s="777"/>
      <c r="Z96" s="773"/>
      <c r="AA96" s="684">
        <f t="shared" si="21"/>
        <v>0</v>
      </c>
      <c r="AB96" s="684">
        <f t="shared" si="36"/>
        <v>0</v>
      </c>
      <c r="AC96" s="684">
        <f t="shared" si="37"/>
        <v>0</v>
      </c>
      <c r="AD96" s="684">
        <f>IF(AA96=0,,VLOOKUP(AA96,リスト!DH:DI,2,0))</f>
        <v>0</v>
      </c>
      <c r="AE96" s="684">
        <f t="shared" si="22"/>
        <v>0</v>
      </c>
      <c r="AF96" s="685">
        <f>IF(AE96=0,,VLOOKUP(AE96,リスト!DK:DL,2,0))</f>
        <v>0</v>
      </c>
      <c r="AG96" s="684">
        <f>IF(AA96=0,,
IF(OR(リスト!$C$21="小麦",リスト!$C$21="二条大麦",リスト!$C$21="六条大麦",リスト!$C$21="はだか麦",リスト!$C$21="なたね"),IF(K96&lt;9,調査年-J96,調査年-J96-1),
IF(リスト!$C$21="さとうきび",IF(K96&gt;=4,調査年-J96,調査年-J96+1),
調査年-J96)))</f>
        <v>0</v>
      </c>
      <c r="AH96" s="385">
        <f t="shared" si="23"/>
        <v>0</v>
      </c>
      <c r="AI96" s="385">
        <f t="shared" si="24"/>
        <v>0</v>
      </c>
      <c r="AJ96" s="385">
        <f t="shared" si="25"/>
        <v>0</v>
      </c>
      <c r="AK96" s="385">
        <f t="shared" si="26"/>
        <v>0</v>
      </c>
      <c r="AL96" s="385">
        <f t="shared" si="27"/>
        <v>0</v>
      </c>
      <c r="AM96" s="385">
        <f t="shared" si="35"/>
        <v>0</v>
      </c>
      <c r="AN96" s="394"/>
      <c r="AO96" s="385">
        <f>IF(OR(S96=0,AI96=0),,
IF(OR(リスト!$C$21="小麦",リスト!$C$21="二条大麦",リスト!$C$21="六条大麦",リスト!$C$21="はだか麦",リスト!$C$21="なたね"),IF(OR(AND(K96&lt;9,J96=調査年),AND(K96&gt;=9,J96=調査年-1)),,ROUND(AI96*S96%,0)),
IF(リスト!$C$21="さとうきび",IF(OR(AND(K96&gt;=4,J96=調査年),AND(K96&lt;4,J96=調査年+1)),,ROUND(AI96*S96%,0)),
IF(J96=調査年,,ROUND(AI96*S96%,0)))))</f>
        <v>0</v>
      </c>
      <c r="AP96" s="385">
        <f t="shared" si="28"/>
        <v>0</v>
      </c>
      <c r="AQ96" s="385">
        <f t="shared" si="29"/>
        <v>0</v>
      </c>
      <c r="AR96" s="385">
        <f t="shared" si="30"/>
        <v>0</v>
      </c>
      <c r="AS96" s="385">
        <f>IF(S96=0,,
SUM(
IF(OR(リスト!$C$21="小麦",リスト!$C$21="二条大麦",リスト!$C$21="六条大麦",リスト!$C$21="はだか麦",リスト!$C$21="なたね"),IF(OR(AND(AB96=1,K96&lt;9,J96=調査年),AND(AB96=1,K96&gt;=9,J96=調査年-1)),ROUND(L96*S96%,0),),
IF(リスト!$C$21="さとうきび",IF(OR(AND(AB96=1,K96&gt;=4,J96=調査年),AND(AB96=1,K96&lt;4,J96=調査年+1)),ROUND(L96*S96%,0),),
IF(AND(AB96=1,J96=調査年),ROUND(L96*S96%,0),))),
ROUND(N96*S96%,0),
ROUND(SUM(AM96)*S96%,0)
))</f>
        <v>0</v>
      </c>
      <c r="AT96" s="385">
        <f t="shared" si="31"/>
        <v>0</v>
      </c>
      <c r="AU96" s="385">
        <f t="shared" si="32"/>
        <v>0</v>
      </c>
      <c r="AV96" s="385">
        <f t="shared" si="33"/>
        <v>0</v>
      </c>
      <c r="AW96" s="385">
        <f t="shared" si="33"/>
        <v>0</v>
      </c>
      <c r="AX96" s="385">
        <f t="shared" si="33"/>
        <v>0</v>
      </c>
      <c r="AY96" s="721">
        <f t="shared" si="34"/>
        <v>0</v>
      </c>
      <c r="AZ96" s="686"/>
      <c r="BA96" s="686"/>
      <c r="BB96" s="686"/>
      <c r="BC96" s="686"/>
    </row>
    <row r="97" spans="3:55" s="46" customFormat="1" ht="30.75" hidden="1" customHeight="1" outlineLevel="1">
      <c r="C97" s="740">
        <v>81</v>
      </c>
      <c r="D97" s="687"/>
      <c r="E97" s="774"/>
      <c r="F97" s="770"/>
      <c r="G97" s="1961"/>
      <c r="H97" s="1962"/>
      <c r="I97" s="679"/>
      <c r="J97" s="725"/>
      <c r="K97" s="680"/>
      <c r="L97" s="681"/>
      <c r="M97" s="681"/>
      <c r="N97" s="681"/>
      <c r="O97" s="681"/>
      <c r="P97" s="681"/>
      <c r="Q97" s="856"/>
      <c r="R97" s="1071"/>
      <c r="S97" s="1094"/>
      <c r="T97" s="682"/>
      <c r="U97" s="726"/>
      <c r="V97" s="727"/>
      <c r="W97" s="717"/>
      <c r="X97" s="776"/>
      <c r="Y97" s="777"/>
      <c r="Z97" s="773"/>
      <c r="AA97" s="684">
        <f t="shared" si="21"/>
        <v>0</v>
      </c>
      <c r="AB97" s="684">
        <f t="shared" si="36"/>
        <v>0</v>
      </c>
      <c r="AC97" s="684">
        <f t="shared" si="37"/>
        <v>0</v>
      </c>
      <c r="AD97" s="684">
        <f>IF(AA97=0,,VLOOKUP(AA97,リスト!DH:DI,2,0))</f>
        <v>0</v>
      </c>
      <c r="AE97" s="684">
        <f t="shared" si="22"/>
        <v>0</v>
      </c>
      <c r="AF97" s="685">
        <f>IF(AE97=0,,VLOOKUP(AE97,リスト!DK:DL,2,0))</f>
        <v>0</v>
      </c>
      <c r="AG97" s="684">
        <f>IF(AA97=0,,
IF(OR(リスト!$C$21="小麦",リスト!$C$21="二条大麦",リスト!$C$21="六条大麦",リスト!$C$21="はだか麦",リスト!$C$21="なたね"),IF(K97&lt;9,調査年-J97,調査年-J97-1),
IF(リスト!$C$21="さとうきび",IF(K97&gt;=4,調査年-J97,調査年-J97+1),
調査年-J97)))</f>
        <v>0</v>
      </c>
      <c r="AH97" s="385">
        <f t="shared" si="23"/>
        <v>0</v>
      </c>
      <c r="AI97" s="385">
        <f t="shared" si="24"/>
        <v>0</v>
      </c>
      <c r="AJ97" s="385">
        <f t="shared" si="25"/>
        <v>0</v>
      </c>
      <c r="AK97" s="385">
        <f t="shared" si="26"/>
        <v>0</v>
      </c>
      <c r="AL97" s="385">
        <f t="shared" si="27"/>
        <v>0</v>
      </c>
      <c r="AM97" s="385">
        <f t="shared" si="35"/>
        <v>0</v>
      </c>
      <c r="AN97" s="394"/>
      <c r="AO97" s="385">
        <f>IF(OR(S97=0,AI97=0),,
IF(OR(リスト!$C$21="小麦",リスト!$C$21="二条大麦",リスト!$C$21="六条大麦",リスト!$C$21="はだか麦",リスト!$C$21="なたね"),IF(OR(AND(K97&lt;9,J97=調査年),AND(K97&gt;=9,J97=調査年-1)),,ROUND(AI97*S97%,0)),
IF(リスト!$C$21="さとうきび",IF(OR(AND(K97&gt;=4,J97=調査年),AND(K97&lt;4,J97=調査年+1)),,ROUND(AI97*S97%,0)),
IF(J97=調査年,,ROUND(AI97*S97%,0)))))</f>
        <v>0</v>
      </c>
      <c r="AP97" s="385">
        <f t="shared" si="28"/>
        <v>0</v>
      </c>
      <c r="AQ97" s="385">
        <f t="shared" si="29"/>
        <v>0</v>
      </c>
      <c r="AR97" s="385">
        <f t="shared" si="30"/>
        <v>0</v>
      </c>
      <c r="AS97" s="385">
        <f>IF(S97=0,,
SUM(
IF(OR(リスト!$C$21="小麦",リスト!$C$21="二条大麦",リスト!$C$21="六条大麦",リスト!$C$21="はだか麦",リスト!$C$21="なたね"),IF(OR(AND(AB97=1,K97&lt;9,J97=調査年),AND(AB97=1,K97&gt;=9,J97=調査年-1)),ROUND(L97*S97%,0),),
IF(リスト!$C$21="さとうきび",IF(OR(AND(AB97=1,K97&gt;=4,J97=調査年),AND(AB97=1,K97&lt;4,J97=調査年+1)),ROUND(L97*S97%,0),),
IF(AND(AB97=1,J97=調査年),ROUND(L97*S97%,0),))),
ROUND(N97*S97%,0),
ROUND(SUM(AM97)*S97%,0)
))</f>
        <v>0</v>
      </c>
      <c r="AT97" s="385">
        <f t="shared" si="31"/>
        <v>0</v>
      </c>
      <c r="AU97" s="385">
        <f t="shared" si="32"/>
        <v>0</v>
      </c>
      <c r="AV97" s="385">
        <f t="shared" si="33"/>
        <v>0</v>
      </c>
      <c r="AW97" s="385">
        <f t="shared" si="33"/>
        <v>0</v>
      </c>
      <c r="AX97" s="385">
        <f t="shared" si="33"/>
        <v>0</v>
      </c>
      <c r="AY97" s="721">
        <f t="shared" si="34"/>
        <v>0</v>
      </c>
      <c r="AZ97" s="686"/>
      <c r="BA97" s="686"/>
      <c r="BB97" s="686"/>
      <c r="BC97" s="686"/>
    </row>
    <row r="98" spans="3:55" s="46" customFormat="1" ht="30.75" hidden="1" customHeight="1" outlineLevel="1">
      <c r="C98" s="740">
        <v>82</v>
      </c>
      <c r="D98" s="687"/>
      <c r="E98" s="774"/>
      <c r="F98" s="770"/>
      <c r="G98" s="1961"/>
      <c r="H98" s="1962"/>
      <c r="I98" s="679"/>
      <c r="J98" s="725"/>
      <c r="K98" s="680"/>
      <c r="L98" s="681"/>
      <c r="M98" s="681"/>
      <c r="N98" s="681"/>
      <c r="O98" s="681"/>
      <c r="P98" s="681"/>
      <c r="Q98" s="856"/>
      <c r="R98" s="1071"/>
      <c r="S98" s="1094"/>
      <c r="T98" s="682"/>
      <c r="U98" s="726"/>
      <c r="V98" s="727"/>
      <c r="W98" s="717"/>
      <c r="X98" s="776"/>
      <c r="Y98" s="777"/>
      <c r="Z98" s="773"/>
      <c r="AA98" s="684">
        <f t="shared" si="21"/>
        <v>0</v>
      </c>
      <c r="AB98" s="684">
        <f t="shared" si="36"/>
        <v>0</v>
      </c>
      <c r="AC98" s="684">
        <f t="shared" si="37"/>
        <v>0</v>
      </c>
      <c r="AD98" s="684">
        <f>IF(AA98=0,,VLOOKUP(AA98,リスト!DH:DI,2,0))</f>
        <v>0</v>
      </c>
      <c r="AE98" s="684">
        <f t="shared" si="22"/>
        <v>0</v>
      </c>
      <c r="AF98" s="685">
        <f>IF(AE98=0,,VLOOKUP(AE98,リスト!DK:DL,2,0))</f>
        <v>0</v>
      </c>
      <c r="AG98" s="684">
        <f>IF(AA98=0,,
IF(OR(リスト!$C$21="小麦",リスト!$C$21="二条大麦",リスト!$C$21="六条大麦",リスト!$C$21="はだか麦",リスト!$C$21="なたね"),IF(K98&lt;9,調査年-J98,調査年-J98-1),
IF(リスト!$C$21="さとうきび",IF(K98&gt;=4,調査年-J98,調査年-J98+1),
調査年-J98)))</f>
        <v>0</v>
      </c>
      <c r="AH98" s="385">
        <f t="shared" si="23"/>
        <v>0</v>
      </c>
      <c r="AI98" s="385">
        <f t="shared" si="24"/>
        <v>0</v>
      </c>
      <c r="AJ98" s="385">
        <f t="shared" si="25"/>
        <v>0</v>
      </c>
      <c r="AK98" s="385">
        <f t="shared" si="26"/>
        <v>0</v>
      </c>
      <c r="AL98" s="385">
        <f t="shared" si="27"/>
        <v>0</v>
      </c>
      <c r="AM98" s="385">
        <f t="shared" si="35"/>
        <v>0</v>
      </c>
      <c r="AN98" s="394"/>
      <c r="AO98" s="385">
        <f>IF(OR(S98=0,AI98=0),,
IF(OR(リスト!$C$21="小麦",リスト!$C$21="二条大麦",リスト!$C$21="六条大麦",リスト!$C$21="はだか麦",リスト!$C$21="なたね"),IF(OR(AND(K98&lt;9,J98=調査年),AND(K98&gt;=9,J98=調査年-1)),,ROUND(AI98*S98%,0)),
IF(リスト!$C$21="さとうきび",IF(OR(AND(K98&gt;=4,J98=調査年),AND(K98&lt;4,J98=調査年+1)),,ROUND(AI98*S98%,0)),
IF(J98=調査年,,ROUND(AI98*S98%,0)))))</f>
        <v>0</v>
      </c>
      <c r="AP98" s="385">
        <f t="shared" si="28"/>
        <v>0</v>
      </c>
      <c r="AQ98" s="385">
        <f t="shared" si="29"/>
        <v>0</v>
      </c>
      <c r="AR98" s="385">
        <f t="shared" si="30"/>
        <v>0</v>
      </c>
      <c r="AS98" s="385">
        <f>IF(S98=0,,
SUM(
IF(OR(リスト!$C$21="小麦",リスト!$C$21="二条大麦",リスト!$C$21="六条大麦",リスト!$C$21="はだか麦",リスト!$C$21="なたね"),IF(OR(AND(AB98=1,K98&lt;9,J98=調査年),AND(AB98=1,K98&gt;=9,J98=調査年-1)),ROUND(L98*S98%,0),),
IF(リスト!$C$21="さとうきび",IF(OR(AND(AB98=1,K98&gt;=4,J98=調査年),AND(AB98=1,K98&lt;4,J98=調査年+1)),ROUND(L98*S98%,0),),
IF(AND(AB98=1,J98=調査年),ROUND(L98*S98%,0),))),
ROUND(N98*S98%,0),
ROUND(SUM(AM98)*S98%,0)
))</f>
        <v>0</v>
      </c>
      <c r="AT98" s="385">
        <f t="shared" si="31"/>
        <v>0</v>
      </c>
      <c r="AU98" s="385">
        <f t="shared" si="32"/>
        <v>0</v>
      </c>
      <c r="AV98" s="385">
        <f t="shared" si="33"/>
        <v>0</v>
      </c>
      <c r="AW98" s="385">
        <f t="shared" si="33"/>
        <v>0</v>
      </c>
      <c r="AX98" s="385">
        <f t="shared" si="33"/>
        <v>0</v>
      </c>
      <c r="AY98" s="721">
        <f t="shared" si="34"/>
        <v>0</v>
      </c>
      <c r="AZ98" s="686"/>
      <c r="BA98" s="686"/>
      <c r="BB98" s="686"/>
      <c r="BC98" s="686"/>
    </row>
    <row r="99" spans="3:55" s="46" customFormat="1" ht="30.75" hidden="1" customHeight="1" outlineLevel="1">
      <c r="C99" s="740">
        <v>83</v>
      </c>
      <c r="D99" s="687"/>
      <c r="E99" s="774"/>
      <c r="F99" s="770"/>
      <c r="G99" s="1961"/>
      <c r="H99" s="1962"/>
      <c r="I99" s="679"/>
      <c r="J99" s="725"/>
      <c r="K99" s="680"/>
      <c r="L99" s="681"/>
      <c r="M99" s="681"/>
      <c r="N99" s="681"/>
      <c r="O99" s="681"/>
      <c r="P99" s="681"/>
      <c r="Q99" s="856"/>
      <c r="R99" s="1071"/>
      <c r="S99" s="1094"/>
      <c r="T99" s="682"/>
      <c r="U99" s="726"/>
      <c r="V99" s="727"/>
      <c r="W99" s="717"/>
      <c r="X99" s="776"/>
      <c r="Y99" s="777"/>
      <c r="Z99" s="773"/>
      <c r="AA99" s="684">
        <f t="shared" si="21"/>
        <v>0</v>
      </c>
      <c r="AB99" s="684">
        <f t="shared" si="36"/>
        <v>0</v>
      </c>
      <c r="AC99" s="684">
        <f t="shared" si="37"/>
        <v>0</v>
      </c>
      <c r="AD99" s="684">
        <f>IF(AA99=0,,VLOOKUP(AA99,リスト!DH:DI,2,0))</f>
        <v>0</v>
      </c>
      <c r="AE99" s="684">
        <f t="shared" si="22"/>
        <v>0</v>
      </c>
      <c r="AF99" s="685">
        <f>IF(AE99=0,,VLOOKUP(AE99,リスト!DK:DL,2,0))</f>
        <v>0</v>
      </c>
      <c r="AG99" s="684">
        <f>IF(AA99=0,,
IF(OR(リスト!$C$21="小麦",リスト!$C$21="二条大麦",リスト!$C$21="六条大麦",リスト!$C$21="はだか麦",リスト!$C$21="なたね"),IF(K99&lt;9,調査年-J99,調査年-J99-1),
IF(リスト!$C$21="さとうきび",IF(K99&gt;=4,調査年-J99,調査年-J99+1),
調査年-J99)))</f>
        <v>0</v>
      </c>
      <c r="AH99" s="385">
        <f t="shared" si="23"/>
        <v>0</v>
      </c>
      <c r="AI99" s="385">
        <f t="shared" si="24"/>
        <v>0</v>
      </c>
      <c r="AJ99" s="385">
        <f t="shared" si="25"/>
        <v>0</v>
      </c>
      <c r="AK99" s="385">
        <f t="shared" si="26"/>
        <v>0</v>
      </c>
      <c r="AL99" s="385">
        <f t="shared" si="27"/>
        <v>0</v>
      </c>
      <c r="AM99" s="385">
        <f t="shared" si="35"/>
        <v>0</v>
      </c>
      <c r="AN99" s="394"/>
      <c r="AO99" s="385">
        <f>IF(OR(S99=0,AI99=0),,
IF(OR(リスト!$C$21="小麦",リスト!$C$21="二条大麦",リスト!$C$21="六条大麦",リスト!$C$21="はだか麦",リスト!$C$21="なたね"),IF(OR(AND(K99&lt;9,J99=調査年),AND(K99&gt;=9,J99=調査年-1)),,ROUND(AI99*S99%,0)),
IF(リスト!$C$21="さとうきび",IF(OR(AND(K99&gt;=4,J99=調査年),AND(K99&lt;4,J99=調査年+1)),,ROUND(AI99*S99%,0)),
IF(J99=調査年,,ROUND(AI99*S99%,0)))))</f>
        <v>0</v>
      </c>
      <c r="AP99" s="385">
        <f t="shared" si="28"/>
        <v>0</v>
      </c>
      <c r="AQ99" s="385">
        <f t="shared" si="29"/>
        <v>0</v>
      </c>
      <c r="AR99" s="385">
        <f t="shared" si="30"/>
        <v>0</v>
      </c>
      <c r="AS99" s="385">
        <f>IF(S99=0,,
SUM(
IF(OR(リスト!$C$21="小麦",リスト!$C$21="二条大麦",リスト!$C$21="六条大麦",リスト!$C$21="はだか麦",リスト!$C$21="なたね"),IF(OR(AND(AB99=1,K99&lt;9,J99=調査年),AND(AB99=1,K99&gt;=9,J99=調査年-1)),ROUND(L99*S99%,0),),
IF(リスト!$C$21="さとうきび",IF(OR(AND(AB99=1,K99&gt;=4,J99=調査年),AND(AB99=1,K99&lt;4,J99=調査年+1)),ROUND(L99*S99%,0),),
IF(AND(AB99=1,J99=調査年),ROUND(L99*S99%,0),))),
ROUND(N99*S99%,0),
ROUND(SUM(AM99)*S99%,0)
))</f>
        <v>0</v>
      </c>
      <c r="AT99" s="385">
        <f t="shared" si="31"/>
        <v>0</v>
      </c>
      <c r="AU99" s="385">
        <f t="shared" si="32"/>
        <v>0</v>
      </c>
      <c r="AV99" s="385">
        <f t="shared" si="33"/>
        <v>0</v>
      </c>
      <c r="AW99" s="385">
        <f t="shared" si="33"/>
        <v>0</v>
      </c>
      <c r="AX99" s="385">
        <f t="shared" si="33"/>
        <v>0</v>
      </c>
      <c r="AY99" s="721">
        <f t="shared" si="34"/>
        <v>0</v>
      </c>
      <c r="AZ99" s="686"/>
      <c r="BA99" s="686"/>
      <c r="BB99" s="686"/>
      <c r="BC99" s="686"/>
    </row>
    <row r="100" spans="3:55" s="46" customFormat="1" ht="30.75" hidden="1" customHeight="1" outlineLevel="1">
      <c r="C100" s="740">
        <v>84</v>
      </c>
      <c r="D100" s="687"/>
      <c r="E100" s="774"/>
      <c r="F100" s="770"/>
      <c r="G100" s="1961"/>
      <c r="H100" s="1962"/>
      <c r="I100" s="679"/>
      <c r="J100" s="725"/>
      <c r="K100" s="680"/>
      <c r="L100" s="681"/>
      <c r="M100" s="681"/>
      <c r="N100" s="681"/>
      <c r="O100" s="681"/>
      <c r="P100" s="681"/>
      <c r="Q100" s="856"/>
      <c r="R100" s="1071"/>
      <c r="S100" s="1094"/>
      <c r="T100" s="682"/>
      <c r="U100" s="726"/>
      <c r="V100" s="727"/>
      <c r="W100" s="717"/>
      <c r="X100" s="776"/>
      <c r="Y100" s="777"/>
      <c r="Z100" s="773"/>
      <c r="AA100" s="684">
        <f t="shared" si="21"/>
        <v>0</v>
      </c>
      <c r="AB100" s="684">
        <f t="shared" si="36"/>
        <v>0</v>
      </c>
      <c r="AC100" s="684">
        <f t="shared" si="37"/>
        <v>0</v>
      </c>
      <c r="AD100" s="684">
        <f>IF(AA100=0,,VLOOKUP(AA100,リスト!DH:DI,2,0))</f>
        <v>0</v>
      </c>
      <c r="AE100" s="684">
        <f t="shared" si="22"/>
        <v>0</v>
      </c>
      <c r="AF100" s="685">
        <f>IF(AE100=0,,VLOOKUP(AE100,リスト!DK:DL,2,0))</f>
        <v>0</v>
      </c>
      <c r="AG100" s="684">
        <f>IF(AA100=0,,
IF(OR(リスト!$C$21="小麦",リスト!$C$21="二条大麦",リスト!$C$21="六条大麦",リスト!$C$21="はだか麦",リスト!$C$21="なたね"),IF(K100&lt;9,調査年-J100,調査年-J100-1),
IF(リスト!$C$21="さとうきび",IF(K100&gt;=4,調査年-J100,調査年-J100+1),
調査年-J100)))</f>
        <v>0</v>
      </c>
      <c r="AH100" s="385">
        <f t="shared" si="23"/>
        <v>0</v>
      </c>
      <c r="AI100" s="385">
        <f t="shared" si="24"/>
        <v>0</v>
      </c>
      <c r="AJ100" s="385">
        <f t="shared" si="25"/>
        <v>0</v>
      </c>
      <c r="AK100" s="385">
        <f t="shared" si="26"/>
        <v>0</v>
      </c>
      <c r="AL100" s="385">
        <f t="shared" si="27"/>
        <v>0</v>
      </c>
      <c r="AM100" s="385">
        <f t="shared" si="35"/>
        <v>0</v>
      </c>
      <c r="AN100" s="394"/>
      <c r="AO100" s="385">
        <f>IF(OR(S100=0,AI100=0),,
IF(OR(リスト!$C$21="小麦",リスト!$C$21="二条大麦",リスト!$C$21="六条大麦",リスト!$C$21="はだか麦",リスト!$C$21="なたね"),IF(OR(AND(K100&lt;9,J100=調査年),AND(K100&gt;=9,J100=調査年-1)),,ROUND(AI100*S100%,0)),
IF(リスト!$C$21="さとうきび",IF(OR(AND(K100&gt;=4,J100=調査年),AND(K100&lt;4,J100=調査年+1)),,ROUND(AI100*S100%,0)),
IF(J100=調査年,,ROUND(AI100*S100%,0)))))</f>
        <v>0</v>
      </c>
      <c r="AP100" s="385">
        <f t="shared" si="28"/>
        <v>0</v>
      </c>
      <c r="AQ100" s="385">
        <f t="shared" si="29"/>
        <v>0</v>
      </c>
      <c r="AR100" s="385">
        <f t="shared" si="30"/>
        <v>0</v>
      </c>
      <c r="AS100" s="385">
        <f>IF(S100=0,,
SUM(
IF(OR(リスト!$C$21="小麦",リスト!$C$21="二条大麦",リスト!$C$21="六条大麦",リスト!$C$21="はだか麦",リスト!$C$21="なたね"),IF(OR(AND(AB100=1,K100&lt;9,J100=調査年),AND(AB100=1,K100&gt;=9,J100=調査年-1)),ROUND(L100*S100%,0),),
IF(リスト!$C$21="さとうきび",IF(OR(AND(AB100=1,K100&gt;=4,J100=調査年),AND(AB100=1,K100&lt;4,J100=調査年+1)),ROUND(L100*S100%,0),),
IF(AND(AB100=1,J100=調査年),ROUND(L100*S100%,0),))),
ROUND(N100*S100%,0),
ROUND(SUM(AM100)*S100%,0)
))</f>
        <v>0</v>
      </c>
      <c r="AT100" s="385">
        <f t="shared" si="31"/>
        <v>0</v>
      </c>
      <c r="AU100" s="385">
        <f t="shared" si="32"/>
        <v>0</v>
      </c>
      <c r="AV100" s="385">
        <f t="shared" si="33"/>
        <v>0</v>
      </c>
      <c r="AW100" s="385">
        <f t="shared" si="33"/>
        <v>0</v>
      </c>
      <c r="AX100" s="385">
        <f t="shared" si="33"/>
        <v>0</v>
      </c>
      <c r="AY100" s="721">
        <f t="shared" si="34"/>
        <v>0</v>
      </c>
      <c r="AZ100" s="686"/>
      <c r="BA100" s="686"/>
      <c r="BB100" s="686"/>
      <c r="BC100" s="686"/>
    </row>
    <row r="101" spans="3:55" s="46" customFormat="1" ht="30.75" hidden="1" customHeight="1" outlineLevel="1">
      <c r="C101" s="740">
        <v>85</v>
      </c>
      <c r="D101" s="687"/>
      <c r="E101" s="774"/>
      <c r="F101" s="770"/>
      <c r="G101" s="1961"/>
      <c r="H101" s="1962"/>
      <c r="I101" s="679"/>
      <c r="J101" s="725"/>
      <c r="K101" s="680"/>
      <c r="L101" s="681"/>
      <c r="M101" s="681"/>
      <c r="N101" s="681"/>
      <c r="O101" s="681"/>
      <c r="P101" s="681"/>
      <c r="Q101" s="856"/>
      <c r="R101" s="1071"/>
      <c r="S101" s="1094"/>
      <c r="T101" s="682"/>
      <c r="U101" s="726"/>
      <c r="V101" s="727"/>
      <c r="W101" s="717"/>
      <c r="X101" s="776"/>
      <c r="Y101" s="777"/>
      <c r="Z101" s="773"/>
      <c r="AA101" s="684">
        <f t="shared" si="21"/>
        <v>0</v>
      </c>
      <c r="AB101" s="684">
        <f t="shared" si="36"/>
        <v>0</v>
      </c>
      <c r="AC101" s="684">
        <f t="shared" si="37"/>
        <v>0</v>
      </c>
      <c r="AD101" s="684">
        <f>IF(AA101=0,,VLOOKUP(AA101,リスト!DH:DI,2,0))</f>
        <v>0</v>
      </c>
      <c r="AE101" s="684">
        <f t="shared" si="22"/>
        <v>0</v>
      </c>
      <c r="AF101" s="685">
        <f>IF(AE101=0,,VLOOKUP(AE101,リスト!DK:DL,2,0))</f>
        <v>0</v>
      </c>
      <c r="AG101" s="684">
        <f>IF(AA101=0,,
IF(OR(リスト!$C$21="小麦",リスト!$C$21="二条大麦",リスト!$C$21="六条大麦",リスト!$C$21="はだか麦",リスト!$C$21="なたね"),IF(K101&lt;9,調査年-J101,調査年-J101-1),
IF(リスト!$C$21="さとうきび",IF(K101&gt;=4,調査年-J101,調査年-J101+1),
調査年-J101)))</f>
        <v>0</v>
      </c>
      <c r="AH101" s="385">
        <f t="shared" si="23"/>
        <v>0</v>
      </c>
      <c r="AI101" s="385">
        <f t="shared" si="24"/>
        <v>0</v>
      </c>
      <c r="AJ101" s="385">
        <f t="shared" si="25"/>
        <v>0</v>
      </c>
      <c r="AK101" s="385">
        <f t="shared" si="26"/>
        <v>0</v>
      </c>
      <c r="AL101" s="385">
        <f t="shared" si="27"/>
        <v>0</v>
      </c>
      <c r="AM101" s="385">
        <f t="shared" si="35"/>
        <v>0</v>
      </c>
      <c r="AN101" s="394"/>
      <c r="AO101" s="385">
        <f>IF(OR(S101=0,AI101=0),,
IF(OR(リスト!$C$21="小麦",リスト!$C$21="二条大麦",リスト!$C$21="六条大麦",リスト!$C$21="はだか麦",リスト!$C$21="なたね"),IF(OR(AND(K101&lt;9,J101=調査年),AND(K101&gt;=9,J101=調査年-1)),,ROUND(AI101*S101%,0)),
IF(リスト!$C$21="さとうきび",IF(OR(AND(K101&gt;=4,J101=調査年),AND(K101&lt;4,J101=調査年+1)),,ROUND(AI101*S101%,0)),
IF(J101=調査年,,ROUND(AI101*S101%,0)))))</f>
        <v>0</v>
      </c>
      <c r="AP101" s="385">
        <f t="shared" si="28"/>
        <v>0</v>
      </c>
      <c r="AQ101" s="385">
        <f t="shared" si="29"/>
        <v>0</v>
      </c>
      <c r="AR101" s="385">
        <f t="shared" si="30"/>
        <v>0</v>
      </c>
      <c r="AS101" s="385">
        <f>IF(S101=0,,
SUM(
IF(OR(リスト!$C$21="小麦",リスト!$C$21="二条大麦",リスト!$C$21="六条大麦",リスト!$C$21="はだか麦",リスト!$C$21="なたね"),IF(OR(AND(AB101=1,K101&lt;9,J101=調査年),AND(AB101=1,K101&gt;=9,J101=調査年-1)),ROUND(L101*S101%,0),),
IF(リスト!$C$21="さとうきび",IF(OR(AND(AB101=1,K101&gt;=4,J101=調査年),AND(AB101=1,K101&lt;4,J101=調査年+1)),ROUND(L101*S101%,0),),
IF(AND(AB101=1,J101=調査年),ROUND(L101*S101%,0),))),
ROUND(N101*S101%,0),
ROUND(SUM(AM101)*S101%,0)
))</f>
        <v>0</v>
      </c>
      <c r="AT101" s="385">
        <f t="shared" si="31"/>
        <v>0</v>
      </c>
      <c r="AU101" s="385">
        <f t="shared" si="32"/>
        <v>0</v>
      </c>
      <c r="AV101" s="385">
        <f t="shared" si="33"/>
        <v>0</v>
      </c>
      <c r="AW101" s="385">
        <f t="shared" si="33"/>
        <v>0</v>
      </c>
      <c r="AX101" s="385">
        <f t="shared" si="33"/>
        <v>0</v>
      </c>
      <c r="AY101" s="721">
        <f t="shared" si="34"/>
        <v>0</v>
      </c>
      <c r="AZ101" s="686"/>
      <c r="BA101" s="686"/>
      <c r="BB101" s="686"/>
      <c r="BC101" s="686"/>
    </row>
    <row r="102" spans="3:55" s="46" customFormat="1" ht="30.75" hidden="1" customHeight="1" outlineLevel="1">
      <c r="C102" s="740">
        <v>86</v>
      </c>
      <c r="D102" s="687"/>
      <c r="E102" s="774"/>
      <c r="F102" s="770"/>
      <c r="G102" s="1961"/>
      <c r="H102" s="1962"/>
      <c r="I102" s="679"/>
      <c r="J102" s="725"/>
      <c r="K102" s="680"/>
      <c r="L102" s="681"/>
      <c r="M102" s="681"/>
      <c r="N102" s="681"/>
      <c r="O102" s="681"/>
      <c r="P102" s="681"/>
      <c r="Q102" s="856"/>
      <c r="R102" s="1071"/>
      <c r="S102" s="1094"/>
      <c r="T102" s="682"/>
      <c r="U102" s="726"/>
      <c r="V102" s="727"/>
      <c r="W102" s="717"/>
      <c r="X102" s="776"/>
      <c r="Y102" s="777"/>
      <c r="Z102" s="773"/>
      <c r="AA102" s="684">
        <f t="shared" si="21"/>
        <v>0</v>
      </c>
      <c r="AB102" s="684">
        <f t="shared" si="36"/>
        <v>0</v>
      </c>
      <c r="AC102" s="684">
        <f t="shared" si="37"/>
        <v>0</v>
      </c>
      <c r="AD102" s="684">
        <f>IF(AA102=0,,VLOOKUP(AA102,リスト!DH:DI,2,0))</f>
        <v>0</v>
      </c>
      <c r="AE102" s="684">
        <f t="shared" si="22"/>
        <v>0</v>
      </c>
      <c r="AF102" s="685">
        <f>IF(AE102=0,,VLOOKUP(AE102,リスト!DK:DL,2,0))</f>
        <v>0</v>
      </c>
      <c r="AG102" s="684">
        <f>IF(AA102=0,,
IF(OR(リスト!$C$21="小麦",リスト!$C$21="二条大麦",リスト!$C$21="六条大麦",リスト!$C$21="はだか麦",リスト!$C$21="なたね"),IF(K102&lt;9,調査年-J102,調査年-J102-1),
IF(リスト!$C$21="さとうきび",IF(K102&gt;=4,調査年-J102,調査年-J102+1),
調査年-J102)))</f>
        <v>0</v>
      </c>
      <c r="AH102" s="385">
        <f t="shared" si="23"/>
        <v>0</v>
      </c>
      <c r="AI102" s="385">
        <f t="shared" si="24"/>
        <v>0</v>
      </c>
      <c r="AJ102" s="385">
        <f t="shared" si="25"/>
        <v>0</v>
      </c>
      <c r="AK102" s="385">
        <f t="shared" si="26"/>
        <v>0</v>
      </c>
      <c r="AL102" s="385">
        <f t="shared" si="27"/>
        <v>0</v>
      </c>
      <c r="AM102" s="385">
        <f t="shared" si="35"/>
        <v>0</v>
      </c>
      <c r="AN102" s="394"/>
      <c r="AO102" s="385">
        <f>IF(OR(S102=0,AI102=0),,
IF(OR(リスト!$C$21="小麦",リスト!$C$21="二条大麦",リスト!$C$21="六条大麦",リスト!$C$21="はだか麦",リスト!$C$21="なたね"),IF(OR(AND(K102&lt;9,J102=調査年),AND(K102&gt;=9,J102=調査年-1)),,ROUND(AI102*S102%,0)),
IF(リスト!$C$21="さとうきび",IF(OR(AND(K102&gt;=4,J102=調査年),AND(K102&lt;4,J102=調査年+1)),,ROUND(AI102*S102%,0)),
IF(J102=調査年,,ROUND(AI102*S102%,0)))))</f>
        <v>0</v>
      </c>
      <c r="AP102" s="385">
        <f t="shared" si="28"/>
        <v>0</v>
      </c>
      <c r="AQ102" s="385">
        <f t="shared" si="29"/>
        <v>0</v>
      </c>
      <c r="AR102" s="385">
        <f t="shared" si="30"/>
        <v>0</v>
      </c>
      <c r="AS102" s="385">
        <f>IF(S102=0,,
SUM(
IF(OR(リスト!$C$21="小麦",リスト!$C$21="二条大麦",リスト!$C$21="六条大麦",リスト!$C$21="はだか麦",リスト!$C$21="なたね"),IF(OR(AND(AB102=1,K102&lt;9,J102=調査年),AND(AB102=1,K102&gt;=9,J102=調査年-1)),ROUND(L102*S102%,0),),
IF(リスト!$C$21="さとうきび",IF(OR(AND(AB102=1,K102&gt;=4,J102=調査年),AND(AB102=1,K102&lt;4,J102=調査年+1)),ROUND(L102*S102%,0),),
IF(AND(AB102=1,J102=調査年),ROUND(L102*S102%,0),))),
ROUND(N102*S102%,0),
ROUND(SUM(AM102)*S102%,0)
))</f>
        <v>0</v>
      </c>
      <c r="AT102" s="385">
        <f t="shared" si="31"/>
        <v>0</v>
      </c>
      <c r="AU102" s="385">
        <f t="shared" si="32"/>
        <v>0</v>
      </c>
      <c r="AV102" s="385">
        <f t="shared" si="33"/>
        <v>0</v>
      </c>
      <c r="AW102" s="385">
        <f t="shared" si="33"/>
        <v>0</v>
      </c>
      <c r="AX102" s="385">
        <f t="shared" si="33"/>
        <v>0</v>
      </c>
      <c r="AY102" s="721">
        <f t="shared" si="34"/>
        <v>0</v>
      </c>
      <c r="AZ102" s="686"/>
      <c r="BA102" s="686"/>
      <c r="BB102" s="686"/>
      <c r="BC102" s="686"/>
    </row>
    <row r="103" spans="3:55" s="46" customFormat="1" ht="30.75" hidden="1" customHeight="1" outlineLevel="1">
      <c r="C103" s="740">
        <v>87</v>
      </c>
      <c r="D103" s="687"/>
      <c r="E103" s="774"/>
      <c r="F103" s="770"/>
      <c r="G103" s="1961"/>
      <c r="H103" s="1962"/>
      <c r="I103" s="679"/>
      <c r="J103" s="725"/>
      <c r="K103" s="680"/>
      <c r="L103" s="681"/>
      <c r="M103" s="681"/>
      <c r="N103" s="681"/>
      <c r="O103" s="681"/>
      <c r="P103" s="681"/>
      <c r="Q103" s="856"/>
      <c r="R103" s="1071"/>
      <c r="S103" s="1094"/>
      <c r="T103" s="682"/>
      <c r="U103" s="726"/>
      <c r="V103" s="727"/>
      <c r="W103" s="717"/>
      <c r="X103" s="776"/>
      <c r="Y103" s="777"/>
      <c r="Z103" s="773"/>
      <c r="AA103" s="684">
        <f t="shared" si="21"/>
        <v>0</v>
      </c>
      <c r="AB103" s="684">
        <f t="shared" si="36"/>
        <v>0</v>
      </c>
      <c r="AC103" s="684">
        <f t="shared" si="37"/>
        <v>0</v>
      </c>
      <c r="AD103" s="684">
        <f>IF(AA103=0,,VLOOKUP(AA103,リスト!DH:DI,2,0))</f>
        <v>0</v>
      </c>
      <c r="AE103" s="684">
        <f t="shared" si="22"/>
        <v>0</v>
      </c>
      <c r="AF103" s="685">
        <f>IF(AE103=0,,VLOOKUP(AE103,リスト!DK:DL,2,0))</f>
        <v>0</v>
      </c>
      <c r="AG103" s="684">
        <f>IF(AA103=0,,
IF(OR(リスト!$C$21="小麦",リスト!$C$21="二条大麦",リスト!$C$21="六条大麦",リスト!$C$21="はだか麦",リスト!$C$21="なたね"),IF(K103&lt;9,調査年-J103,調査年-J103-1),
IF(リスト!$C$21="さとうきび",IF(K103&gt;=4,調査年-J103,調査年-J103+1),
調査年-J103)))</f>
        <v>0</v>
      </c>
      <c r="AH103" s="385">
        <f t="shared" si="23"/>
        <v>0</v>
      </c>
      <c r="AI103" s="385">
        <f t="shared" si="24"/>
        <v>0</v>
      </c>
      <c r="AJ103" s="385">
        <f t="shared" si="25"/>
        <v>0</v>
      </c>
      <c r="AK103" s="385">
        <f t="shared" si="26"/>
        <v>0</v>
      </c>
      <c r="AL103" s="385">
        <f t="shared" si="27"/>
        <v>0</v>
      </c>
      <c r="AM103" s="385">
        <f t="shared" si="35"/>
        <v>0</v>
      </c>
      <c r="AN103" s="394"/>
      <c r="AO103" s="385">
        <f>IF(OR(S103=0,AI103=0),,
IF(OR(リスト!$C$21="小麦",リスト!$C$21="二条大麦",リスト!$C$21="六条大麦",リスト!$C$21="はだか麦",リスト!$C$21="なたね"),IF(OR(AND(K103&lt;9,J103=調査年),AND(K103&gt;=9,J103=調査年-1)),,ROUND(AI103*S103%,0)),
IF(リスト!$C$21="さとうきび",IF(OR(AND(K103&gt;=4,J103=調査年),AND(K103&lt;4,J103=調査年+1)),,ROUND(AI103*S103%,0)),
IF(J103=調査年,,ROUND(AI103*S103%,0)))))</f>
        <v>0</v>
      </c>
      <c r="AP103" s="385">
        <f t="shared" si="28"/>
        <v>0</v>
      </c>
      <c r="AQ103" s="385">
        <f t="shared" si="29"/>
        <v>0</v>
      </c>
      <c r="AR103" s="385">
        <f t="shared" si="30"/>
        <v>0</v>
      </c>
      <c r="AS103" s="385">
        <f>IF(S103=0,,
SUM(
IF(OR(リスト!$C$21="小麦",リスト!$C$21="二条大麦",リスト!$C$21="六条大麦",リスト!$C$21="はだか麦",リスト!$C$21="なたね"),IF(OR(AND(AB103=1,K103&lt;9,J103=調査年),AND(AB103=1,K103&gt;=9,J103=調査年-1)),ROUND(L103*S103%,0),),
IF(リスト!$C$21="さとうきび",IF(OR(AND(AB103=1,K103&gt;=4,J103=調査年),AND(AB103=1,K103&lt;4,J103=調査年+1)),ROUND(L103*S103%,0),),
IF(AND(AB103=1,J103=調査年),ROUND(L103*S103%,0),))),
ROUND(N103*S103%,0),
ROUND(SUM(AM103)*S103%,0)
))</f>
        <v>0</v>
      </c>
      <c r="AT103" s="385">
        <f t="shared" si="31"/>
        <v>0</v>
      </c>
      <c r="AU103" s="385">
        <f t="shared" si="32"/>
        <v>0</v>
      </c>
      <c r="AV103" s="385">
        <f t="shared" si="33"/>
        <v>0</v>
      </c>
      <c r="AW103" s="385">
        <f t="shared" si="33"/>
        <v>0</v>
      </c>
      <c r="AX103" s="385">
        <f t="shared" si="33"/>
        <v>0</v>
      </c>
      <c r="AY103" s="721">
        <f t="shared" si="34"/>
        <v>0</v>
      </c>
      <c r="AZ103" s="686"/>
      <c r="BA103" s="686"/>
      <c r="BB103" s="686"/>
      <c r="BC103" s="686"/>
    </row>
    <row r="104" spans="3:55" s="46" customFormat="1" ht="30.75" hidden="1" customHeight="1" outlineLevel="1">
      <c r="C104" s="740">
        <v>88</v>
      </c>
      <c r="D104" s="687"/>
      <c r="E104" s="774"/>
      <c r="F104" s="770"/>
      <c r="G104" s="1961"/>
      <c r="H104" s="1962"/>
      <c r="I104" s="679"/>
      <c r="J104" s="725"/>
      <c r="K104" s="680"/>
      <c r="L104" s="681"/>
      <c r="M104" s="681"/>
      <c r="N104" s="681"/>
      <c r="O104" s="681"/>
      <c r="P104" s="681"/>
      <c r="Q104" s="856"/>
      <c r="R104" s="1071"/>
      <c r="S104" s="1094"/>
      <c r="T104" s="682"/>
      <c r="U104" s="726"/>
      <c r="V104" s="727"/>
      <c r="W104" s="717"/>
      <c r="X104" s="776"/>
      <c r="Y104" s="777"/>
      <c r="Z104" s="773"/>
      <c r="AA104" s="684">
        <f t="shared" si="21"/>
        <v>0</v>
      </c>
      <c r="AB104" s="684">
        <f t="shared" si="36"/>
        <v>0</v>
      </c>
      <c r="AC104" s="684">
        <f t="shared" si="37"/>
        <v>0</v>
      </c>
      <c r="AD104" s="684">
        <f>IF(AA104=0,,VLOOKUP(AA104,リスト!DH:DI,2,0))</f>
        <v>0</v>
      </c>
      <c r="AE104" s="684">
        <f t="shared" si="22"/>
        <v>0</v>
      </c>
      <c r="AF104" s="685">
        <f>IF(AE104=0,,VLOOKUP(AE104,リスト!DK:DL,2,0))</f>
        <v>0</v>
      </c>
      <c r="AG104" s="684">
        <f>IF(AA104=0,,
IF(OR(リスト!$C$21="小麦",リスト!$C$21="二条大麦",リスト!$C$21="六条大麦",リスト!$C$21="はだか麦",リスト!$C$21="なたね"),IF(K104&lt;9,調査年-J104,調査年-J104-1),
IF(リスト!$C$21="さとうきび",IF(K104&gt;=4,調査年-J104,調査年-J104+1),
調査年-J104)))</f>
        <v>0</v>
      </c>
      <c r="AH104" s="385">
        <f t="shared" si="23"/>
        <v>0</v>
      </c>
      <c r="AI104" s="385">
        <f t="shared" si="24"/>
        <v>0</v>
      </c>
      <c r="AJ104" s="385">
        <f t="shared" si="25"/>
        <v>0</v>
      </c>
      <c r="AK104" s="385">
        <f t="shared" si="26"/>
        <v>0</v>
      </c>
      <c r="AL104" s="385">
        <f t="shared" si="27"/>
        <v>0</v>
      </c>
      <c r="AM104" s="385">
        <f t="shared" si="35"/>
        <v>0</v>
      </c>
      <c r="AN104" s="394"/>
      <c r="AO104" s="385">
        <f>IF(OR(S104=0,AI104=0),,
IF(OR(リスト!$C$21="小麦",リスト!$C$21="二条大麦",リスト!$C$21="六条大麦",リスト!$C$21="はだか麦",リスト!$C$21="なたね"),IF(OR(AND(K104&lt;9,J104=調査年),AND(K104&gt;=9,J104=調査年-1)),,ROUND(AI104*S104%,0)),
IF(リスト!$C$21="さとうきび",IF(OR(AND(K104&gt;=4,J104=調査年),AND(K104&lt;4,J104=調査年+1)),,ROUND(AI104*S104%,0)),
IF(J104=調査年,,ROUND(AI104*S104%,0)))))</f>
        <v>0</v>
      </c>
      <c r="AP104" s="385">
        <f t="shared" si="28"/>
        <v>0</v>
      </c>
      <c r="AQ104" s="385">
        <f t="shared" si="29"/>
        <v>0</v>
      </c>
      <c r="AR104" s="385">
        <f t="shared" si="30"/>
        <v>0</v>
      </c>
      <c r="AS104" s="385">
        <f>IF(S104=0,,
SUM(
IF(OR(リスト!$C$21="小麦",リスト!$C$21="二条大麦",リスト!$C$21="六条大麦",リスト!$C$21="はだか麦",リスト!$C$21="なたね"),IF(OR(AND(AB104=1,K104&lt;9,J104=調査年),AND(AB104=1,K104&gt;=9,J104=調査年-1)),ROUND(L104*S104%,0),),
IF(リスト!$C$21="さとうきび",IF(OR(AND(AB104=1,K104&gt;=4,J104=調査年),AND(AB104=1,K104&lt;4,J104=調査年+1)),ROUND(L104*S104%,0),),
IF(AND(AB104=1,J104=調査年),ROUND(L104*S104%,0),))),
ROUND(N104*S104%,0),
ROUND(SUM(AM104)*S104%,0)
))</f>
        <v>0</v>
      </c>
      <c r="AT104" s="385">
        <f t="shared" si="31"/>
        <v>0</v>
      </c>
      <c r="AU104" s="385">
        <f t="shared" si="32"/>
        <v>0</v>
      </c>
      <c r="AV104" s="385">
        <f t="shared" si="33"/>
        <v>0</v>
      </c>
      <c r="AW104" s="385">
        <f t="shared" si="33"/>
        <v>0</v>
      </c>
      <c r="AX104" s="385">
        <f t="shared" si="33"/>
        <v>0</v>
      </c>
      <c r="AY104" s="721">
        <f t="shared" si="34"/>
        <v>0</v>
      </c>
      <c r="AZ104" s="686"/>
      <c r="BA104" s="686"/>
      <c r="BB104" s="686"/>
      <c r="BC104" s="686"/>
    </row>
    <row r="105" spans="3:55" s="46" customFormat="1" ht="30.75" hidden="1" customHeight="1" outlineLevel="1">
      <c r="C105" s="740">
        <v>89</v>
      </c>
      <c r="D105" s="687"/>
      <c r="E105" s="774"/>
      <c r="F105" s="770"/>
      <c r="G105" s="1961"/>
      <c r="H105" s="1962"/>
      <c r="I105" s="679"/>
      <c r="J105" s="725"/>
      <c r="K105" s="680"/>
      <c r="L105" s="681"/>
      <c r="M105" s="681"/>
      <c r="N105" s="681"/>
      <c r="O105" s="681"/>
      <c r="P105" s="681"/>
      <c r="Q105" s="856"/>
      <c r="R105" s="1071"/>
      <c r="S105" s="1094"/>
      <c r="T105" s="682"/>
      <c r="U105" s="726"/>
      <c r="V105" s="727"/>
      <c r="W105" s="717"/>
      <c r="X105" s="776"/>
      <c r="Y105" s="777"/>
      <c r="Z105" s="773"/>
      <c r="AA105" s="684">
        <f t="shared" si="21"/>
        <v>0</v>
      </c>
      <c r="AB105" s="684">
        <f t="shared" si="36"/>
        <v>0</v>
      </c>
      <c r="AC105" s="684">
        <f t="shared" si="37"/>
        <v>0</v>
      </c>
      <c r="AD105" s="684">
        <f>IF(AA105=0,,VLOOKUP(AA105,リスト!DH:DI,2,0))</f>
        <v>0</v>
      </c>
      <c r="AE105" s="684">
        <f t="shared" si="22"/>
        <v>0</v>
      </c>
      <c r="AF105" s="685">
        <f>IF(AE105=0,,VLOOKUP(AE105,リスト!DK:DL,2,0))</f>
        <v>0</v>
      </c>
      <c r="AG105" s="684">
        <f>IF(AA105=0,,
IF(OR(リスト!$C$21="小麦",リスト!$C$21="二条大麦",リスト!$C$21="六条大麦",リスト!$C$21="はだか麦",リスト!$C$21="なたね"),IF(K105&lt;9,調査年-J105,調査年-J105-1),
IF(リスト!$C$21="さとうきび",IF(K105&gt;=4,調査年-J105,調査年-J105+1),
調査年-J105)))</f>
        <v>0</v>
      </c>
      <c r="AH105" s="385">
        <f t="shared" si="23"/>
        <v>0</v>
      </c>
      <c r="AI105" s="385">
        <f t="shared" si="24"/>
        <v>0</v>
      </c>
      <c r="AJ105" s="385">
        <f t="shared" si="25"/>
        <v>0</v>
      </c>
      <c r="AK105" s="385">
        <f t="shared" si="26"/>
        <v>0</v>
      </c>
      <c r="AL105" s="385">
        <f t="shared" si="27"/>
        <v>0</v>
      </c>
      <c r="AM105" s="385">
        <f t="shared" si="35"/>
        <v>0</v>
      </c>
      <c r="AN105" s="394"/>
      <c r="AO105" s="385">
        <f>IF(OR(S105=0,AI105=0),,
IF(OR(リスト!$C$21="小麦",リスト!$C$21="二条大麦",リスト!$C$21="六条大麦",リスト!$C$21="はだか麦",リスト!$C$21="なたね"),IF(OR(AND(K105&lt;9,J105=調査年),AND(K105&gt;=9,J105=調査年-1)),,ROUND(AI105*S105%,0)),
IF(リスト!$C$21="さとうきび",IF(OR(AND(K105&gt;=4,J105=調査年),AND(K105&lt;4,J105=調査年+1)),,ROUND(AI105*S105%,0)),
IF(J105=調査年,,ROUND(AI105*S105%,0)))))</f>
        <v>0</v>
      </c>
      <c r="AP105" s="385">
        <f t="shared" si="28"/>
        <v>0</v>
      </c>
      <c r="AQ105" s="385">
        <f t="shared" si="29"/>
        <v>0</v>
      </c>
      <c r="AR105" s="385">
        <f t="shared" si="30"/>
        <v>0</v>
      </c>
      <c r="AS105" s="385">
        <f>IF(S105=0,,
SUM(
IF(OR(リスト!$C$21="小麦",リスト!$C$21="二条大麦",リスト!$C$21="六条大麦",リスト!$C$21="はだか麦",リスト!$C$21="なたね"),IF(OR(AND(AB105=1,K105&lt;9,J105=調査年),AND(AB105=1,K105&gt;=9,J105=調査年-1)),ROUND(L105*S105%,0),),
IF(リスト!$C$21="さとうきび",IF(OR(AND(AB105=1,K105&gt;=4,J105=調査年),AND(AB105=1,K105&lt;4,J105=調査年+1)),ROUND(L105*S105%,0),),
IF(AND(AB105=1,J105=調査年),ROUND(L105*S105%,0),))),
ROUND(N105*S105%,0),
ROUND(SUM(AM105)*S105%,0)
))</f>
        <v>0</v>
      </c>
      <c r="AT105" s="385">
        <f t="shared" si="31"/>
        <v>0</v>
      </c>
      <c r="AU105" s="385">
        <f t="shared" si="32"/>
        <v>0</v>
      </c>
      <c r="AV105" s="385">
        <f t="shared" si="33"/>
        <v>0</v>
      </c>
      <c r="AW105" s="385">
        <f t="shared" si="33"/>
        <v>0</v>
      </c>
      <c r="AX105" s="385">
        <f t="shared" si="33"/>
        <v>0</v>
      </c>
      <c r="AY105" s="721">
        <f t="shared" si="34"/>
        <v>0</v>
      </c>
      <c r="AZ105" s="686"/>
      <c r="BA105" s="686"/>
      <c r="BB105" s="686"/>
      <c r="BC105" s="686"/>
    </row>
    <row r="106" spans="3:55" s="46" customFormat="1" ht="30.75" hidden="1" customHeight="1" outlineLevel="1">
      <c r="C106" s="740">
        <v>90</v>
      </c>
      <c r="D106" s="687"/>
      <c r="E106" s="774"/>
      <c r="F106" s="770"/>
      <c r="G106" s="1961"/>
      <c r="H106" s="1962"/>
      <c r="I106" s="679"/>
      <c r="J106" s="725"/>
      <c r="K106" s="680"/>
      <c r="L106" s="681"/>
      <c r="M106" s="681"/>
      <c r="N106" s="681"/>
      <c r="O106" s="681"/>
      <c r="P106" s="681"/>
      <c r="Q106" s="856"/>
      <c r="R106" s="1071"/>
      <c r="S106" s="1094"/>
      <c r="T106" s="682"/>
      <c r="U106" s="726"/>
      <c r="V106" s="727"/>
      <c r="W106" s="717"/>
      <c r="X106" s="776"/>
      <c r="Y106" s="777"/>
      <c r="Z106" s="773"/>
      <c r="AA106" s="684">
        <f t="shared" si="21"/>
        <v>0</v>
      </c>
      <c r="AB106" s="684">
        <f t="shared" si="36"/>
        <v>0</v>
      </c>
      <c r="AC106" s="684">
        <f t="shared" si="37"/>
        <v>0</v>
      </c>
      <c r="AD106" s="684">
        <f>IF(AA106=0,,VLOOKUP(AA106,リスト!DH:DI,2,0))</f>
        <v>0</v>
      </c>
      <c r="AE106" s="684">
        <f t="shared" si="22"/>
        <v>0</v>
      </c>
      <c r="AF106" s="685">
        <f>IF(AE106=0,,VLOOKUP(AE106,リスト!DK:DL,2,0))</f>
        <v>0</v>
      </c>
      <c r="AG106" s="684">
        <f>IF(AA106=0,,
IF(OR(リスト!$C$21="小麦",リスト!$C$21="二条大麦",リスト!$C$21="六条大麦",リスト!$C$21="はだか麦",リスト!$C$21="なたね"),IF(K106&lt;9,調査年-J106,調査年-J106-1),
IF(リスト!$C$21="さとうきび",IF(K106&gt;=4,調査年-J106,調査年-J106+1),
調査年-J106)))</f>
        <v>0</v>
      </c>
      <c r="AH106" s="385">
        <f t="shared" si="23"/>
        <v>0</v>
      </c>
      <c r="AI106" s="385">
        <f t="shared" si="24"/>
        <v>0</v>
      </c>
      <c r="AJ106" s="385">
        <f t="shared" si="25"/>
        <v>0</v>
      </c>
      <c r="AK106" s="385">
        <f t="shared" si="26"/>
        <v>0</v>
      </c>
      <c r="AL106" s="385">
        <f t="shared" si="27"/>
        <v>0</v>
      </c>
      <c r="AM106" s="385">
        <f t="shared" si="35"/>
        <v>0</v>
      </c>
      <c r="AN106" s="394"/>
      <c r="AO106" s="385">
        <f>IF(OR(S106=0,AI106=0),,
IF(OR(リスト!$C$21="小麦",リスト!$C$21="二条大麦",リスト!$C$21="六条大麦",リスト!$C$21="はだか麦",リスト!$C$21="なたね"),IF(OR(AND(K106&lt;9,J106=調査年),AND(K106&gt;=9,J106=調査年-1)),,ROUND(AI106*S106%,0)),
IF(リスト!$C$21="さとうきび",IF(OR(AND(K106&gt;=4,J106=調査年),AND(K106&lt;4,J106=調査年+1)),,ROUND(AI106*S106%,0)),
IF(J106=調査年,,ROUND(AI106*S106%,0)))))</f>
        <v>0</v>
      </c>
      <c r="AP106" s="385">
        <f t="shared" si="28"/>
        <v>0</v>
      </c>
      <c r="AQ106" s="385">
        <f t="shared" si="29"/>
        <v>0</v>
      </c>
      <c r="AR106" s="385">
        <f t="shared" si="30"/>
        <v>0</v>
      </c>
      <c r="AS106" s="385">
        <f>IF(S106=0,,
SUM(
IF(OR(リスト!$C$21="小麦",リスト!$C$21="二条大麦",リスト!$C$21="六条大麦",リスト!$C$21="はだか麦",リスト!$C$21="なたね"),IF(OR(AND(AB106=1,K106&lt;9,J106=調査年),AND(AB106=1,K106&gt;=9,J106=調査年-1)),ROUND(L106*S106%,0),),
IF(リスト!$C$21="さとうきび",IF(OR(AND(AB106=1,K106&gt;=4,J106=調査年),AND(AB106=1,K106&lt;4,J106=調査年+1)),ROUND(L106*S106%,0),),
IF(AND(AB106=1,J106=調査年),ROUND(L106*S106%,0),))),
ROUND(N106*S106%,0),
ROUND(SUM(AM106)*S106%,0)
))</f>
        <v>0</v>
      </c>
      <c r="AT106" s="385">
        <f t="shared" si="31"/>
        <v>0</v>
      </c>
      <c r="AU106" s="385">
        <f t="shared" si="32"/>
        <v>0</v>
      </c>
      <c r="AV106" s="385">
        <f t="shared" si="33"/>
        <v>0</v>
      </c>
      <c r="AW106" s="385">
        <f t="shared" si="33"/>
        <v>0</v>
      </c>
      <c r="AX106" s="385">
        <f t="shared" si="33"/>
        <v>0</v>
      </c>
      <c r="AY106" s="721">
        <f t="shared" si="34"/>
        <v>0</v>
      </c>
      <c r="AZ106" s="686"/>
      <c r="BA106" s="686"/>
      <c r="BB106" s="686"/>
      <c r="BC106" s="686"/>
    </row>
    <row r="107" spans="3:55" s="46" customFormat="1" ht="30.75" hidden="1" customHeight="1" outlineLevel="1">
      <c r="C107" s="740">
        <v>91</v>
      </c>
      <c r="D107" s="687"/>
      <c r="E107" s="774"/>
      <c r="F107" s="770"/>
      <c r="G107" s="1961"/>
      <c r="H107" s="1962"/>
      <c r="I107" s="679"/>
      <c r="J107" s="725"/>
      <c r="K107" s="680"/>
      <c r="L107" s="681"/>
      <c r="M107" s="681"/>
      <c r="N107" s="681"/>
      <c r="O107" s="681"/>
      <c r="P107" s="681"/>
      <c r="Q107" s="856"/>
      <c r="R107" s="1071"/>
      <c r="S107" s="1094"/>
      <c r="T107" s="682"/>
      <c r="U107" s="726"/>
      <c r="V107" s="727"/>
      <c r="W107" s="717"/>
      <c r="X107" s="776"/>
      <c r="Y107" s="777"/>
      <c r="Z107" s="773"/>
      <c r="AA107" s="684">
        <f t="shared" si="21"/>
        <v>0</v>
      </c>
      <c r="AB107" s="684">
        <f t="shared" si="36"/>
        <v>0</v>
      </c>
      <c r="AC107" s="684">
        <f t="shared" si="37"/>
        <v>0</v>
      </c>
      <c r="AD107" s="684">
        <f>IF(AA107=0,,VLOOKUP(AA107,リスト!DH:DI,2,0))</f>
        <v>0</v>
      </c>
      <c r="AE107" s="684">
        <f t="shared" si="22"/>
        <v>0</v>
      </c>
      <c r="AF107" s="685">
        <f>IF(AE107=0,,VLOOKUP(AE107,リスト!DK:DL,2,0))</f>
        <v>0</v>
      </c>
      <c r="AG107" s="684">
        <f>IF(AA107=0,,
IF(OR(リスト!$C$21="小麦",リスト!$C$21="二条大麦",リスト!$C$21="六条大麦",リスト!$C$21="はだか麦",リスト!$C$21="なたね"),IF(K107&lt;9,調査年-J107,調査年-J107-1),
IF(リスト!$C$21="さとうきび",IF(K107&gt;=4,調査年-J107,調査年-J107+1),
調査年-J107)))</f>
        <v>0</v>
      </c>
      <c r="AH107" s="385">
        <f t="shared" si="23"/>
        <v>0</v>
      </c>
      <c r="AI107" s="385">
        <f t="shared" si="24"/>
        <v>0</v>
      </c>
      <c r="AJ107" s="385">
        <f t="shared" si="25"/>
        <v>0</v>
      </c>
      <c r="AK107" s="385">
        <f t="shared" si="26"/>
        <v>0</v>
      </c>
      <c r="AL107" s="385">
        <f t="shared" si="27"/>
        <v>0</v>
      </c>
      <c r="AM107" s="385">
        <f t="shared" si="35"/>
        <v>0</v>
      </c>
      <c r="AN107" s="394"/>
      <c r="AO107" s="385">
        <f>IF(OR(S107=0,AI107=0),,
IF(OR(リスト!$C$21="小麦",リスト!$C$21="二条大麦",リスト!$C$21="六条大麦",リスト!$C$21="はだか麦",リスト!$C$21="なたね"),IF(OR(AND(K107&lt;9,J107=調査年),AND(K107&gt;=9,J107=調査年-1)),,ROUND(AI107*S107%,0)),
IF(リスト!$C$21="さとうきび",IF(OR(AND(K107&gt;=4,J107=調査年),AND(K107&lt;4,J107=調査年+1)),,ROUND(AI107*S107%,0)),
IF(J107=調査年,,ROUND(AI107*S107%,0)))))</f>
        <v>0</v>
      </c>
      <c r="AP107" s="385">
        <f t="shared" si="28"/>
        <v>0</v>
      </c>
      <c r="AQ107" s="385">
        <f t="shared" si="29"/>
        <v>0</v>
      </c>
      <c r="AR107" s="385">
        <f t="shared" si="30"/>
        <v>0</v>
      </c>
      <c r="AS107" s="385">
        <f>IF(S107=0,,
SUM(
IF(OR(リスト!$C$21="小麦",リスト!$C$21="二条大麦",リスト!$C$21="六条大麦",リスト!$C$21="はだか麦",リスト!$C$21="なたね"),IF(OR(AND(AB107=1,K107&lt;9,J107=調査年),AND(AB107=1,K107&gt;=9,J107=調査年-1)),ROUND(L107*S107%,0),),
IF(リスト!$C$21="さとうきび",IF(OR(AND(AB107=1,K107&gt;=4,J107=調査年),AND(AB107=1,K107&lt;4,J107=調査年+1)),ROUND(L107*S107%,0),),
IF(AND(AB107=1,J107=調査年),ROUND(L107*S107%,0),))),
ROUND(N107*S107%,0),
ROUND(SUM(AM107)*S107%,0)
))</f>
        <v>0</v>
      </c>
      <c r="AT107" s="385">
        <f t="shared" si="31"/>
        <v>0</v>
      </c>
      <c r="AU107" s="385">
        <f t="shared" si="32"/>
        <v>0</v>
      </c>
      <c r="AV107" s="385">
        <f t="shared" si="33"/>
        <v>0</v>
      </c>
      <c r="AW107" s="385">
        <f t="shared" si="33"/>
        <v>0</v>
      </c>
      <c r="AX107" s="385">
        <f t="shared" si="33"/>
        <v>0</v>
      </c>
      <c r="AY107" s="721">
        <f t="shared" si="34"/>
        <v>0</v>
      </c>
      <c r="AZ107" s="686"/>
      <c r="BA107" s="686"/>
      <c r="BB107" s="686"/>
      <c r="BC107" s="686"/>
    </row>
    <row r="108" spans="3:55" s="46" customFormat="1" ht="30.75" hidden="1" customHeight="1" outlineLevel="1">
      <c r="C108" s="740">
        <v>92</v>
      </c>
      <c r="D108" s="687"/>
      <c r="E108" s="774"/>
      <c r="F108" s="770"/>
      <c r="G108" s="1961"/>
      <c r="H108" s="1962"/>
      <c r="I108" s="679"/>
      <c r="J108" s="725"/>
      <c r="K108" s="680"/>
      <c r="L108" s="681"/>
      <c r="M108" s="681"/>
      <c r="N108" s="681"/>
      <c r="O108" s="681"/>
      <c r="P108" s="681"/>
      <c r="Q108" s="856"/>
      <c r="R108" s="1071"/>
      <c r="S108" s="1094"/>
      <c r="T108" s="682"/>
      <c r="U108" s="726"/>
      <c r="V108" s="727"/>
      <c r="W108" s="717"/>
      <c r="X108" s="776"/>
      <c r="Y108" s="777"/>
      <c r="Z108" s="773"/>
      <c r="AA108" s="684">
        <f t="shared" si="21"/>
        <v>0</v>
      </c>
      <c r="AB108" s="684">
        <f t="shared" si="36"/>
        <v>0</v>
      </c>
      <c r="AC108" s="684">
        <f t="shared" si="37"/>
        <v>0</v>
      </c>
      <c r="AD108" s="684">
        <f>IF(AA108=0,,VLOOKUP(AA108,リスト!DH:DI,2,0))</f>
        <v>0</v>
      </c>
      <c r="AE108" s="684">
        <f t="shared" si="22"/>
        <v>0</v>
      </c>
      <c r="AF108" s="685">
        <f>IF(AE108=0,,VLOOKUP(AE108,リスト!DK:DL,2,0))</f>
        <v>0</v>
      </c>
      <c r="AG108" s="684">
        <f>IF(AA108=0,,
IF(OR(リスト!$C$21="小麦",リスト!$C$21="二条大麦",リスト!$C$21="六条大麦",リスト!$C$21="はだか麦",リスト!$C$21="なたね"),IF(K108&lt;9,調査年-J108,調査年-J108-1),
IF(リスト!$C$21="さとうきび",IF(K108&gt;=4,調査年-J108,調査年-J108+1),
調査年-J108)))</f>
        <v>0</v>
      </c>
      <c r="AH108" s="385">
        <f t="shared" si="23"/>
        <v>0</v>
      </c>
      <c r="AI108" s="385">
        <f t="shared" si="24"/>
        <v>0</v>
      </c>
      <c r="AJ108" s="385">
        <f t="shared" si="25"/>
        <v>0</v>
      </c>
      <c r="AK108" s="385">
        <f t="shared" si="26"/>
        <v>0</v>
      </c>
      <c r="AL108" s="385">
        <f t="shared" si="27"/>
        <v>0</v>
      </c>
      <c r="AM108" s="385">
        <f t="shared" si="35"/>
        <v>0</v>
      </c>
      <c r="AN108" s="394"/>
      <c r="AO108" s="385">
        <f>IF(OR(S108=0,AI108=0),,
IF(OR(リスト!$C$21="小麦",リスト!$C$21="二条大麦",リスト!$C$21="六条大麦",リスト!$C$21="はだか麦",リスト!$C$21="なたね"),IF(OR(AND(K108&lt;9,J108=調査年),AND(K108&gt;=9,J108=調査年-1)),,ROUND(AI108*S108%,0)),
IF(リスト!$C$21="さとうきび",IF(OR(AND(K108&gt;=4,J108=調査年),AND(K108&lt;4,J108=調査年+1)),,ROUND(AI108*S108%,0)),
IF(J108=調査年,,ROUND(AI108*S108%,0)))))</f>
        <v>0</v>
      </c>
      <c r="AP108" s="385">
        <f t="shared" si="28"/>
        <v>0</v>
      </c>
      <c r="AQ108" s="385">
        <f t="shared" si="29"/>
        <v>0</v>
      </c>
      <c r="AR108" s="385">
        <f t="shared" si="30"/>
        <v>0</v>
      </c>
      <c r="AS108" s="385">
        <f>IF(S108=0,,
SUM(
IF(OR(リスト!$C$21="小麦",リスト!$C$21="二条大麦",リスト!$C$21="六条大麦",リスト!$C$21="はだか麦",リスト!$C$21="なたね"),IF(OR(AND(AB108=1,K108&lt;9,J108=調査年),AND(AB108=1,K108&gt;=9,J108=調査年-1)),ROUND(L108*S108%,0),),
IF(リスト!$C$21="さとうきび",IF(OR(AND(AB108=1,K108&gt;=4,J108=調査年),AND(AB108=1,K108&lt;4,J108=調査年+1)),ROUND(L108*S108%,0),),
IF(AND(AB108=1,J108=調査年),ROUND(L108*S108%,0),))),
ROUND(N108*S108%,0),
ROUND(SUM(AM108)*S108%,0)
))</f>
        <v>0</v>
      </c>
      <c r="AT108" s="385">
        <f t="shared" si="31"/>
        <v>0</v>
      </c>
      <c r="AU108" s="385">
        <f t="shared" si="32"/>
        <v>0</v>
      </c>
      <c r="AV108" s="385">
        <f t="shared" si="33"/>
        <v>0</v>
      </c>
      <c r="AW108" s="385">
        <f t="shared" si="33"/>
        <v>0</v>
      </c>
      <c r="AX108" s="385">
        <f t="shared" si="33"/>
        <v>0</v>
      </c>
      <c r="AY108" s="721">
        <f t="shared" si="34"/>
        <v>0</v>
      </c>
      <c r="AZ108" s="686"/>
      <c r="BA108" s="686"/>
      <c r="BB108" s="686"/>
      <c r="BC108" s="686"/>
    </row>
    <row r="109" spans="3:55" s="46" customFormat="1" ht="30.75" hidden="1" customHeight="1" outlineLevel="1">
      <c r="C109" s="740">
        <v>93</v>
      </c>
      <c r="D109" s="687"/>
      <c r="E109" s="774"/>
      <c r="F109" s="770"/>
      <c r="G109" s="1961"/>
      <c r="H109" s="1962"/>
      <c r="I109" s="679"/>
      <c r="J109" s="725"/>
      <c r="K109" s="680"/>
      <c r="L109" s="681"/>
      <c r="M109" s="681"/>
      <c r="N109" s="681"/>
      <c r="O109" s="681"/>
      <c r="P109" s="681"/>
      <c r="Q109" s="856"/>
      <c r="R109" s="1071"/>
      <c r="S109" s="1094"/>
      <c r="T109" s="682"/>
      <c r="U109" s="726"/>
      <c r="V109" s="727"/>
      <c r="W109" s="717"/>
      <c r="X109" s="776"/>
      <c r="Y109" s="777"/>
      <c r="Z109" s="773"/>
      <c r="AA109" s="684">
        <f t="shared" si="21"/>
        <v>0</v>
      </c>
      <c r="AB109" s="684">
        <f t="shared" si="36"/>
        <v>0</v>
      </c>
      <c r="AC109" s="684">
        <f t="shared" si="37"/>
        <v>0</v>
      </c>
      <c r="AD109" s="684">
        <f>IF(AA109=0,,VLOOKUP(AA109,リスト!DH:DI,2,0))</f>
        <v>0</v>
      </c>
      <c r="AE109" s="684">
        <f t="shared" si="22"/>
        <v>0</v>
      </c>
      <c r="AF109" s="685">
        <f>IF(AE109=0,,VLOOKUP(AE109,リスト!DK:DL,2,0))</f>
        <v>0</v>
      </c>
      <c r="AG109" s="684">
        <f>IF(AA109=0,,
IF(OR(リスト!$C$21="小麦",リスト!$C$21="二条大麦",リスト!$C$21="六条大麦",リスト!$C$21="はだか麦",リスト!$C$21="なたね"),IF(K109&lt;9,調査年-J109,調査年-J109-1),
IF(リスト!$C$21="さとうきび",IF(K109&gt;=4,調査年-J109,調査年-J109+1),
調査年-J109)))</f>
        <v>0</v>
      </c>
      <c r="AH109" s="385">
        <f t="shared" si="23"/>
        <v>0</v>
      </c>
      <c r="AI109" s="385">
        <f t="shared" si="24"/>
        <v>0</v>
      </c>
      <c r="AJ109" s="385">
        <f t="shared" si="25"/>
        <v>0</v>
      </c>
      <c r="AK109" s="385">
        <f t="shared" si="26"/>
        <v>0</v>
      </c>
      <c r="AL109" s="385">
        <f t="shared" si="27"/>
        <v>0</v>
      </c>
      <c r="AM109" s="385">
        <f t="shared" si="35"/>
        <v>0</v>
      </c>
      <c r="AN109" s="394"/>
      <c r="AO109" s="385">
        <f>IF(OR(S109=0,AI109=0),,
IF(OR(リスト!$C$21="小麦",リスト!$C$21="二条大麦",リスト!$C$21="六条大麦",リスト!$C$21="はだか麦",リスト!$C$21="なたね"),IF(OR(AND(K109&lt;9,J109=調査年),AND(K109&gt;=9,J109=調査年-1)),,ROUND(AI109*S109%,0)),
IF(リスト!$C$21="さとうきび",IF(OR(AND(K109&gt;=4,J109=調査年),AND(K109&lt;4,J109=調査年+1)),,ROUND(AI109*S109%,0)),
IF(J109=調査年,,ROUND(AI109*S109%,0)))))</f>
        <v>0</v>
      </c>
      <c r="AP109" s="385">
        <f t="shared" si="28"/>
        <v>0</v>
      </c>
      <c r="AQ109" s="385">
        <f t="shared" si="29"/>
        <v>0</v>
      </c>
      <c r="AR109" s="385">
        <f t="shared" si="30"/>
        <v>0</v>
      </c>
      <c r="AS109" s="385">
        <f>IF(S109=0,,
SUM(
IF(OR(リスト!$C$21="小麦",リスト!$C$21="二条大麦",リスト!$C$21="六条大麦",リスト!$C$21="はだか麦",リスト!$C$21="なたね"),IF(OR(AND(AB109=1,K109&lt;9,J109=調査年),AND(AB109=1,K109&gt;=9,J109=調査年-1)),ROUND(L109*S109%,0),),
IF(リスト!$C$21="さとうきび",IF(OR(AND(AB109=1,K109&gt;=4,J109=調査年),AND(AB109=1,K109&lt;4,J109=調査年+1)),ROUND(L109*S109%,0),),
IF(AND(AB109=1,J109=調査年),ROUND(L109*S109%,0),))),
ROUND(N109*S109%,0),
ROUND(SUM(AM109)*S109%,0)
))</f>
        <v>0</v>
      </c>
      <c r="AT109" s="385">
        <f t="shared" si="31"/>
        <v>0</v>
      </c>
      <c r="AU109" s="385">
        <f t="shared" si="32"/>
        <v>0</v>
      </c>
      <c r="AV109" s="385">
        <f t="shared" si="33"/>
        <v>0</v>
      </c>
      <c r="AW109" s="385">
        <f t="shared" si="33"/>
        <v>0</v>
      </c>
      <c r="AX109" s="385">
        <f t="shared" si="33"/>
        <v>0</v>
      </c>
      <c r="AY109" s="721">
        <f t="shared" si="34"/>
        <v>0</v>
      </c>
      <c r="AZ109" s="686"/>
      <c r="BA109" s="686"/>
      <c r="BB109" s="686"/>
      <c r="BC109" s="686"/>
    </row>
    <row r="110" spans="3:55" s="46" customFormat="1" ht="30.75" hidden="1" customHeight="1" outlineLevel="1">
      <c r="C110" s="740">
        <v>94</v>
      </c>
      <c r="D110" s="687"/>
      <c r="E110" s="774"/>
      <c r="F110" s="770"/>
      <c r="G110" s="1961"/>
      <c r="H110" s="1962"/>
      <c r="I110" s="679"/>
      <c r="J110" s="725"/>
      <c r="K110" s="680"/>
      <c r="L110" s="681"/>
      <c r="M110" s="681"/>
      <c r="N110" s="681"/>
      <c r="O110" s="681"/>
      <c r="P110" s="681"/>
      <c r="Q110" s="856"/>
      <c r="R110" s="1071"/>
      <c r="S110" s="1094"/>
      <c r="T110" s="682"/>
      <c r="U110" s="726"/>
      <c r="V110" s="727"/>
      <c r="W110" s="717"/>
      <c r="X110" s="776"/>
      <c r="Y110" s="777"/>
      <c r="Z110" s="773"/>
      <c r="AA110" s="684">
        <f t="shared" si="21"/>
        <v>0</v>
      </c>
      <c r="AB110" s="684">
        <f t="shared" si="36"/>
        <v>0</v>
      </c>
      <c r="AC110" s="684">
        <f t="shared" si="37"/>
        <v>0</v>
      </c>
      <c r="AD110" s="684">
        <f>IF(AA110=0,,VLOOKUP(AA110,リスト!DH:DI,2,0))</f>
        <v>0</v>
      </c>
      <c r="AE110" s="684">
        <f t="shared" si="22"/>
        <v>0</v>
      </c>
      <c r="AF110" s="685">
        <f>IF(AE110=0,,VLOOKUP(AE110,リスト!DK:DL,2,0))</f>
        <v>0</v>
      </c>
      <c r="AG110" s="684">
        <f>IF(AA110=0,,
IF(OR(リスト!$C$21="小麦",リスト!$C$21="二条大麦",リスト!$C$21="六条大麦",リスト!$C$21="はだか麦",リスト!$C$21="なたね"),IF(K110&lt;9,調査年-J110,調査年-J110-1),
IF(リスト!$C$21="さとうきび",IF(K110&gt;=4,調査年-J110,調査年-J110+1),
調査年-J110)))</f>
        <v>0</v>
      </c>
      <c r="AH110" s="385">
        <f t="shared" si="23"/>
        <v>0</v>
      </c>
      <c r="AI110" s="385">
        <f t="shared" si="24"/>
        <v>0</v>
      </c>
      <c r="AJ110" s="385">
        <f t="shared" si="25"/>
        <v>0</v>
      </c>
      <c r="AK110" s="385">
        <f t="shared" si="26"/>
        <v>0</v>
      </c>
      <c r="AL110" s="385">
        <f t="shared" si="27"/>
        <v>0</v>
      </c>
      <c r="AM110" s="385">
        <f t="shared" si="35"/>
        <v>0</v>
      </c>
      <c r="AN110" s="394"/>
      <c r="AO110" s="385">
        <f>IF(OR(S110=0,AI110=0),,
IF(OR(リスト!$C$21="小麦",リスト!$C$21="二条大麦",リスト!$C$21="六条大麦",リスト!$C$21="はだか麦",リスト!$C$21="なたね"),IF(OR(AND(K110&lt;9,J110=調査年),AND(K110&gt;=9,J110=調査年-1)),,ROUND(AI110*S110%,0)),
IF(リスト!$C$21="さとうきび",IF(OR(AND(K110&gt;=4,J110=調査年),AND(K110&lt;4,J110=調査年+1)),,ROUND(AI110*S110%,0)),
IF(J110=調査年,,ROUND(AI110*S110%,0)))))</f>
        <v>0</v>
      </c>
      <c r="AP110" s="385">
        <f t="shared" si="28"/>
        <v>0</v>
      </c>
      <c r="AQ110" s="385">
        <f t="shared" si="29"/>
        <v>0</v>
      </c>
      <c r="AR110" s="385">
        <f t="shared" si="30"/>
        <v>0</v>
      </c>
      <c r="AS110" s="385">
        <f>IF(S110=0,,
SUM(
IF(OR(リスト!$C$21="小麦",リスト!$C$21="二条大麦",リスト!$C$21="六条大麦",リスト!$C$21="はだか麦",リスト!$C$21="なたね"),IF(OR(AND(AB110=1,K110&lt;9,J110=調査年),AND(AB110=1,K110&gt;=9,J110=調査年-1)),ROUND(L110*S110%,0),),
IF(リスト!$C$21="さとうきび",IF(OR(AND(AB110=1,K110&gt;=4,J110=調査年),AND(AB110=1,K110&lt;4,J110=調査年+1)),ROUND(L110*S110%,0),),
IF(AND(AB110=1,J110=調査年),ROUND(L110*S110%,0),))),
ROUND(N110*S110%,0),
ROUND(SUM(AM110)*S110%,0)
))</f>
        <v>0</v>
      </c>
      <c r="AT110" s="385">
        <f t="shared" si="31"/>
        <v>0</v>
      </c>
      <c r="AU110" s="385">
        <f t="shared" si="32"/>
        <v>0</v>
      </c>
      <c r="AV110" s="385">
        <f t="shared" si="33"/>
        <v>0</v>
      </c>
      <c r="AW110" s="385">
        <f t="shared" si="33"/>
        <v>0</v>
      </c>
      <c r="AX110" s="385">
        <f t="shared" si="33"/>
        <v>0</v>
      </c>
      <c r="AY110" s="721">
        <f t="shared" si="34"/>
        <v>0</v>
      </c>
      <c r="AZ110" s="686"/>
      <c r="BA110" s="686"/>
      <c r="BB110" s="686"/>
      <c r="BC110" s="686"/>
    </row>
    <row r="111" spans="3:55" s="46" customFormat="1" ht="30.75" hidden="1" customHeight="1" outlineLevel="1">
      <c r="C111" s="740">
        <v>95</v>
      </c>
      <c r="D111" s="687"/>
      <c r="E111" s="774"/>
      <c r="F111" s="770"/>
      <c r="G111" s="1961"/>
      <c r="H111" s="1962"/>
      <c r="I111" s="679"/>
      <c r="J111" s="725"/>
      <c r="K111" s="680"/>
      <c r="L111" s="681"/>
      <c r="M111" s="681"/>
      <c r="N111" s="681"/>
      <c r="O111" s="681"/>
      <c r="P111" s="681"/>
      <c r="Q111" s="856"/>
      <c r="R111" s="1071"/>
      <c r="S111" s="1094"/>
      <c r="T111" s="682"/>
      <c r="U111" s="726"/>
      <c r="V111" s="727"/>
      <c r="W111" s="717"/>
      <c r="X111" s="776"/>
      <c r="Y111" s="777"/>
      <c r="Z111" s="773"/>
      <c r="AA111" s="684">
        <f t="shared" si="21"/>
        <v>0</v>
      </c>
      <c r="AB111" s="684">
        <f t="shared" si="36"/>
        <v>0</v>
      </c>
      <c r="AC111" s="684">
        <f t="shared" si="37"/>
        <v>0</v>
      </c>
      <c r="AD111" s="684">
        <f>IF(AA111=0,,VLOOKUP(AA111,リスト!DH:DI,2,0))</f>
        <v>0</v>
      </c>
      <c r="AE111" s="684">
        <f t="shared" si="22"/>
        <v>0</v>
      </c>
      <c r="AF111" s="685">
        <f>IF(AE111=0,,VLOOKUP(AE111,リスト!DK:DL,2,0))</f>
        <v>0</v>
      </c>
      <c r="AG111" s="684">
        <f>IF(AA111=0,,
IF(OR(リスト!$C$21="小麦",リスト!$C$21="二条大麦",リスト!$C$21="六条大麦",リスト!$C$21="はだか麦",リスト!$C$21="なたね"),IF(K111&lt;9,調査年-J111,調査年-J111-1),
IF(リスト!$C$21="さとうきび",IF(K111&gt;=4,調査年-J111,調査年-J111+1),
調査年-J111)))</f>
        <v>0</v>
      </c>
      <c r="AH111" s="385">
        <f t="shared" si="23"/>
        <v>0</v>
      </c>
      <c r="AI111" s="385">
        <f t="shared" si="24"/>
        <v>0</v>
      </c>
      <c r="AJ111" s="385">
        <f t="shared" si="25"/>
        <v>0</v>
      </c>
      <c r="AK111" s="385">
        <f t="shared" si="26"/>
        <v>0</v>
      </c>
      <c r="AL111" s="385">
        <f t="shared" si="27"/>
        <v>0</v>
      </c>
      <c r="AM111" s="385">
        <f t="shared" si="35"/>
        <v>0</v>
      </c>
      <c r="AN111" s="394"/>
      <c r="AO111" s="385">
        <f>IF(OR(S111=0,AI111=0),,
IF(OR(リスト!$C$21="小麦",リスト!$C$21="二条大麦",リスト!$C$21="六条大麦",リスト!$C$21="はだか麦",リスト!$C$21="なたね"),IF(OR(AND(K111&lt;9,J111=調査年),AND(K111&gt;=9,J111=調査年-1)),,ROUND(AI111*S111%,0)),
IF(リスト!$C$21="さとうきび",IF(OR(AND(K111&gt;=4,J111=調査年),AND(K111&lt;4,J111=調査年+1)),,ROUND(AI111*S111%,0)),
IF(J111=調査年,,ROUND(AI111*S111%,0)))))</f>
        <v>0</v>
      </c>
      <c r="AP111" s="385">
        <f t="shared" si="28"/>
        <v>0</v>
      </c>
      <c r="AQ111" s="385">
        <f t="shared" si="29"/>
        <v>0</v>
      </c>
      <c r="AR111" s="385">
        <f t="shared" si="30"/>
        <v>0</v>
      </c>
      <c r="AS111" s="385">
        <f>IF(S111=0,,
SUM(
IF(OR(リスト!$C$21="小麦",リスト!$C$21="二条大麦",リスト!$C$21="六条大麦",リスト!$C$21="はだか麦",リスト!$C$21="なたね"),IF(OR(AND(AB111=1,K111&lt;9,J111=調査年),AND(AB111=1,K111&gt;=9,J111=調査年-1)),ROUND(L111*S111%,0),),
IF(リスト!$C$21="さとうきび",IF(OR(AND(AB111=1,K111&gt;=4,J111=調査年),AND(AB111=1,K111&lt;4,J111=調査年+1)),ROUND(L111*S111%,0),),
IF(AND(AB111=1,J111=調査年),ROUND(L111*S111%,0),))),
ROUND(N111*S111%,0),
ROUND(SUM(AM111)*S111%,0)
))</f>
        <v>0</v>
      </c>
      <c r="AT111" s="385">
        <f t="shared" si="31"/>
        <v>0</v>
      </c>
      <c r="AU111" s="385">
        <f t="shared" si="32"/>
        <v>0</v>
      </c>
      <c r="AV111" s="385">
        <f t="shared" si="33"/>
        <v>0</v>
      </c>
      <c r="AW111" s="385">
        <f t="shared" si="33"/>
        <v>0</v>
      </c>
      <c r="AX111" s="385">
        <f t="shared" si="33"/>
        <v>0</v>
      </c>
      <c r="AY111" s="721">
        <f t="shared" si="34"/>
        <v>0</v>
      </c>
      <c r="AZ111" s="686"/>
      <c r="BA111" s="686"/>
      <c r="BB111" s="686"/>
      <c r="BC111" s="686"/>
    </row>
    <row r="112" spans="3:55" s="46" customFormat="1" ht="30.75" hidden="1" customHeight="1" outlineLevel="1">
      <c r="C112" s="740">
        <v>96</v>
      </c>
      <c r="D112" s="687"/>
      <c r="E112" s="774"/>
      <c r="F112" s="770"/>
      <c r="G112" s="1961"/>
      <c r="H112" s="1962"/>
      <c r="I112" s="679"/>
      <c r="J112" s="725"/>
      <c r="K112" s="680"/>
      <c r="L112" s="681"/>
      <c r="M112" s="681"/>
      <c r="N112" s="681"/>
      <c r="O112" s="681"/>
      <c r="P112" s="681"/>
      <c r="Q112" s="856"/>
      <c r="R112" s="1071"/>
      <c r="S112" s="1094"/>
      <c r="T112" s="682"/>
      <c r="U112" s="726"/>
      <c r="V112" s="727"/>
      <c r="W112" s="717"/>
      <c r="X112" s="776"/>
      <c r="Y112" s="777"/>
      <c r="Z112" s="773"/>
      <c r="AA112" s="684">
        <f t="shared" si="21"/>
        <v>0</v>
      </c>
      <c r="AB112" s="684">
        <f t="shared" si="36"/>
        <v>0</v>
      </c>
      <c r="AC112" s="684">
        <f t="shared" si="37"/>
        <v>0</v>
      </c>
      <c r="AD112" s="684">
        <f>IF(AA112=0,,VLOOKUP(AA112,リスト!DH:DI,2,0))</f>
        <v>0</v>
      </c>
      <c r="AE112" s="684">
        <f t="shared" si="22"/>
        <v>0</v>
      </c>
      <c r="AF112" s="685">
        <f>IF(AE112=0,,VLOOKUP(AE112,リスト!DK:DL,2,0))</f>
        <v>0</v>
      </c>
      <c r="AG112" s="684">
        <f>IF(AA112=0,,
IF(OR(リスト!$C$21="小麦",リスト!$C$21="二条大麦",リスト!$C$21="六条大麦",リスト!$C$21="はだか麦",リスト!$C$21="なたね"),IF(K112&lt;9,調査年-J112,調査年-J112-1),
IF(リスト!$C$21="さとうきび",IF(K112&gt;=4,調査年-J112,調査年-J112+1),
調査年-J112)))</f>
        <v>0</v>
      </c>
      <c r="AH112" s="385">
        <f t="shared" si="23"/>
        <v>0</v>
      </c>
      <c r="AI112" s="385">
        <f t="shared" si="24"/>
        <v>0</v>
      </c>
      <c r="AJ112" s="385">
        <f t="shared" si="25"/>
        <v>0</v>
      </c>
      <c r="AK112" s="385">
        <f t="shared" si="26"/>
        <v>0</v>
      </c>
      <c r="AL112" s="385">
        <f t="shared" si="27"/>
        <v>0</v>
      </c>
      <c r="AM112" s="385">
        <f t="shared" si="35"/>
        <v>0</v>
      </c>
      <c r="AN112" s="394"/>
      <c r="AO112" s="385">
        <f>IF(OR(S112=0,AI112=0),,
IF(OR(リスト!$C$21="小麦",リスト!$C$21="二条大麦",リスト!$C$21="六条大麦",リスト!$C$21="はだか麦",リスト!$C$21="なたね"),IF(OR(AND(K112&lt;9,J112=調査年),AND(K112&gt;=9,J112=調査年-1)),,ROUND(AI112*S112%,0)),
IF(リスト!$C$21="さとうきび",IF(OR(AND(K112&gt;=4,J112=調査年),AND(K112&lt;4,J112=調査年+1)),,ROUND(AI112*S112%,0)),
IF(J112=調査年,,ROUND(AI112*S112%,0)))))</f>
        <v>0</v>
      </c>
      <c r="AP112" s="385">
        <f t="shared" si="28"/>
        <v>0</v>
      </c>
      <c r="AQ112" s="385">
        <f t="shared" si="29"/>
        <v>0</v>
      </c>
      <c r="AR112" s="385">
        <f t="shared" si="30"/>
        <v>0</v>
      </c>
      <c r="AS112" s="385">
        <f>IF(S112=0,,
SUM(
IF(OR(リスト!$C$21="小麦",リスト!$C$21="二条大麦",リスト!$C$21="六条大麦",リスト!$C$21="はだか麦",リスト!$C$21="なたね"),IF(OR(AND(AB112=1,K112&lt;9,J112=調査年),AND(AB112=1,K112&gt;=9,J112=調査年-1)),ROUND(L112*S112%,0),),
IF(リスト!$C$21="さとうきび",IF(OR(AND(AB112=1,K112&gt;=4,J112=調査年),AND(AB112=1,K112&lt;4,J112=調査年+1)),ROUND(L112*S112%,0),),
IF(AND(AB112=1,J112=調査年),ROUND(L112*S112%,0),))),
ROUND(N112*S112%,0),
ROUND(SUM(AM112)*S112%,0)
))</f>
        <v>0</v>
      </c>
      <c r="AT112" s="385">
        <f t="shared" si="31"/>
        <v>0</v>
      </c>
      <c r="AU112" s="385">
        <f t="shared" si="32"/>
        <v>0</v>
      </c>
      <c r="AV112" s="385">
        <f t="shared" si="33"/>
        <v>0</v>
      </c>
      <c r="AW112" s="385">
        <f t="shared" si="33"/>
        <v>0</v>
      </c>
      <c r="AX112" s="385">
        <f t="shared" si="33"/>
        <v>0</v>
      </c>
      <c r="AY112" s="721">
        <f t="shared" si="34"/>
        <v>0</v>
      </c>
      <c r="AZ112" s="686"/>
      <c r="BA112" s="686"/>
      <c r="BB112" s="686"/>
      <c r="BC112" s="686"/>
    </row>
    <row r="113" spans="3:55" s="46" customFormat="1" ht="30.75" hidden="1" customHeight="1" outlineLevel="1">
      <c r="C113" s="740">
        <v>97</v>
      </c>
      <c r="D113" s="687"/>
      <c r="E113" s="774"/>
      <c r="F113" s="770"/>
      <c r="G113" s="1961"/>
      <c r="H113" s="1962"/>
      <c r="I113" s="679"/>
      <c r="J113" s="725"/>
      <c r="K113" s="680"/>
      <c r="L113" s="681"/>
      <c r="M113" s="681"/>
      <c r="N113" s="681"/>
      <c r="O113" s="681"/>
      <c r="P113" s="681"/>
      <c r="Q113" s="856"/>
      <c r="R113" s="1071"/>
      <c r="S113" s="1094"/>
      <c r="T113" s="682"/>
      <c r="U113" s="726"/>
      <c r="V113" s="727"/>
      <c r="W113" s="717"/>
      <c r="X113" s="776"/>
      <c r="Y113" s="777"/>
      <c r="Z113" s="773"/>
      <c r="AA113" s="684">
        <f t="shared" si="21"/>
        <v>0</v>
      </c>
      <c r="AB113" s="684">
        <f t="shared" si="36"/>
        <v>0</v>
      </c>
      <c r="AC113" s="684">
        <f t="shared" si="37"/>
        <v>0</v>
      </c>
      <c r="AD113" s="684">
        <f>IF(AA113=0,,VLOOKUP(AA113,リスト!DH:DI,2,0))</f>
        <v>0</v>
      </c>
      <c r="AE113" s="684">
        <f t="shared" si="22"/>
        <v>0</v>
      </c>
      <c r="AF113" s="685">
        <f>IF(AE113=0,,VLOOKUP(AE113,リスト!DK:DL,2,0))</f>
        <v>0</v>
      </c>
      <c r="AG113" s="684">
        <f>IF(AA113=0,,
IF(OR(リスト!$C$21="小麦",リスト!$C$21="二条大麦",リスト!$C$21="六条大麦",リスト!$C$21="はだか麦",リスト!$C$21="なたね"),IF(K113&lt;9,調査年-J113,調査年-J113-1),
IF(リスト!$C$21="さとうきび",IF(K113&gt;=4,調査年-J113,調査年-J113+1),
調査年-J113)))</f>
        <v>0</v>
      </c>
      <c r="AH113" s="385">
        <f t="shared" ref="AH113:AH116" si="38">IF(OR(AA113=0,AB113=1),,
IF(AND(AE113&gt;0,AG113&lt;AE113,AI113&lt;=ROUND((L113-1)*AF113,0)),ROUND(AI113,0),
IF(AND(AE113&gt;0,AG113&lt;AE113),ROUND((L113-1)*AF113,0),)))</f>
        <v>0</v>
      </c>
      <c r="AI113" s="385">
        <f t="shared" si="24"/>
        <v>0</v>
      </c>
      <c r="AJ113" s="385">
        <f t="shared" si="25"/>
        <v>0</v>
      </c>
      <c r="AK113" s="385">
        <f t="shared" si="26"/>
        <v>0</v>
      </c>
      <c r="AL113" s="385">
        <f t="shared" si="27"/>
        <v>0</v>
      </c>
      <c r="AM113" s="385">
        <f t="shared" si="35"/>
        <v>0</v>
      </c>
      <c r="AN113" s="394"/>
      <c r="AO113" s="385">
        <f>IF(OR(S113=0,AI113=0),,
IF(OR(リスト!$C$21="小麦",リスト!$C$21="二条大麦",リスト!$C$21="六条大麦",リスト!$C$21="はだか麦",リスト!$C$21="なたね"),IF(OR(AND(K113&lt;9,J113=調査年),AND(K113&gt;=9,J113=調査年-1)),,ROUND(AI113*S113%,0)),
IF(リスト!$C$21="さとうきび",IF(OR(AND(K113&gt;=4,J113=調査年),AND(K113&lt;4,J113=調査年+1)),,ROUND(AI113*S113%,0)),
IF(J113=調査年,,ROUND(AI113*S113%,0)))))</f>
        <v>0</v>
      </c>
      <c r="AP113" s="385">
        <f t="shared" si="28"/>
        <v>0</v>
      </c>
      <c r="AQ113" s="385">
        <f t="shared" si="29"/>
        <v>0</v>
      </c>
      <c r="AR113" s="385">
        <f t="shared" si="30"/>
        <v>0</v>
      </c>
      <c r="AS113" s="385">
        <f>IF(S113=0,,
SUM(
IF(OR(リスト!$C$21="小麦",リスト!$C$21="二条大麦",リスト!$C$21="六条大麦",リスト!$C$21="はだか麦",リスト!$C$21="なたね"),IF(OR(AND(AB113=1,K113&lt;9,J113=調査年),AND(AB113=1,K113&gt;=9,J113=調査年-1)),ROUND(L113*S113%,0),),
IF(リスト!$C$21="さとうきび",IF(OR(AND(AB113=1,K113&gt;=4,J113=調査年),AND(AB113=1,K113&lt;4,J113=調査年+1)),ROUND(L113*S113%,0),),
IF(AND(AB113=1,J113=調査年),ROUND(L113*S113%,0),))),
ROUND(N113*S113%,0),
ROUND(SUM(AM113)*S113%,0)
))</f>
        <v>0</v>
      </c>
      <c r="AT113" s="385">
        <f t="shared" si="31"/>
        <v>0</v>
      </c>
      <c r="AU113" s="385">
        <f t="shared" si="32"/>
        <v>0</v>
      </c>
      <c r="AV113" s="385">
        <f t="shared" si="33"/>
        <v>0</v>
      </c>
      <c r="AW113" s="385">
        <f t="shared" si="33"/>
        <v>0</v>
      </c>
      <c r="AX113" s="385">
        <f t="shared" si="33"/>
        <v>0</v>
      </c>
      <c r="AY113" s="721">
        <f t="shared" si="34"/>
        <v>0</v>
      </c>
      <c r="AZ113" s="686"/>
      <c r="BA113" s="686"/>
      <c r="BB113" s="686"/>
      <c r="BC113" s="686"/>
    </row>
    <row r="114" spans="3:55" s="46" customFormat="1" ht="30.75" hidden="1" customHeight="1" outlineLevel="1">
      <c r="C114" s="740">
        <v>98</v>
      </c>
      <c r="D114" s="687"/>
      <c r="E114" s="774"/>
      <c r="F114" s="770"/>
      <c r="G114" s="1961"/>
      <c r="H114" s="1962"/>
      <c r="I114" s="679"/>
      <c r="J114" s="725"/>
      <c r="K114" s="680"/>
      <c r="L114" s="681"/>
      <c r="M114" s="681"/>
      <c r="N114" s="681"/>
      <c r="O114" s="681"/>
      <c r="P114" s="681"/>
      <c r="Q114" s="856"/>
      <c r="R114" s="1071"/>
      <c r="S114" s="1094"/>
      <c r="T114" s="682"/>
      <c r="U114" s="726"/>
      <c r="V114" s="727"/>
      <c r="W114" s="717"/>
      <c r="X114" s="776"/>
      <c r="Y114" s="777"/>
      <c r="Z114" s="773"/>
      <c r="AA114" s="684">
        <f t="shared" si="21"/>
        <v>0</v>
      </c>
      <c r="AB114" s="684">
        <f t="shared" si="36"/>
        <v>0</v>
      </c>
      <c r="AC114" s="684">
        <f t="shared" si="37"/>
        <v>0</v>
      </c>
      <c r="AD114" s="684">
        <f>IF(AA114=0,,VLOOKUP(AA114,リスト!DH:DI,2,0))</f>
        <v>0</v>
      </c>
      <c r="AE114" s="684">
        <f t="shared" si="22"/>
        <v>0</v>
      </c>
      <c r="AF114" s="685">
        <f>IF(AE114=0,,VLOOKUP(AE114,リスト!DK:DL,2,0))</f>
        <v>0</v>
      </c>
      <c r="AG114" s="684">
        <f>IF(AA114=0,,
IF(OR(リスト!$C$21="小麦",リスト!$C$21="二条大麦",リスト!$C$21="六条大麦",リスト!$C$21="はだか麦",リスト!$C$21="なたね"),IF(K114&lt;9,調査年-J114,調査年-J114-1),
IF(リスト!$C$21="さとうきび",IF(K114&gt;=4,調査年-J114,調査年-J114+1),
調査年-J114)))</f>
        <v>0</v>
      </c>
      <c r="AH114" s="385">
        <f t="shared" si="38"/>
        <v>0</v>
      </c>
      <c r="AI114" s="385">
        <f t="shared" si="24"/>
        <v>0</v>
      </c>
      <c r="AJ114" s="385">
        <f t="shared" si="25"/>
        <v>0</v>
      </c>
      <c r="AK114" s="385">
        <f t="shared" si="26"/>
        <v>0</v>
      </c>
      <c r="AL114" s="385">
        <f t="shared" si="27"/>
        <v>0</v>
      </c>
      <c r="AM114" s="385">
        <f>IF(OR(AA114=0,AB114=1),IF(AND(AB114=1,AG114=0),M114,),
IF(AND(AE114&gt;0,AG114&lt;AE114,SUM(AL114)&gt;0,AL114&lt;=ROUND(M114*AF114,0)),AL114,
IF(AND(AE114&gt;0,AG114&lt;AE114,SUM(M114)&gt;0),ROUND(M114*AF114,0),)))</f>
        <v>0</v>
      </c>
      <c r="AN114" s="394"/>
      <c r="AO114" s="385">
        <f>IF(OR(S114=0,AI114=0),,
IF(OR(リスト!$C$21="小麦",リスト!$C$21="二条大麦",リスト!$C$21="六条大麦",リスト!$C$21="はだか麦",リスト!$C$21="なたね"),IF(OR(AND(K114&lt;9,J114=調査年),AND(K114&gt;=9,J114=調査年-1)),,ROUND(AI114*S114%,0)),
IF(リスト!$C$21="さとうきび",IF(OR(AND(K114&gt;=4,J114=調査年),AND(K114&lt;4,J114=調査年+1)),,ROUND(AI114*S114%,0)),
IF(J114=調査年,,ROUND(AI114*S114%,0)))))</f>
        <v>0</v>
      </c>
      <c r="AP114" s="385">
        <f t="shared" si="28"/>
        <v>0</v>
      </c>
      <c r="AQ114" s="385">
        <f t="shared" si="29"/>
        <v>0</v>
      </c>
      <c r="AR114" s="385">
        <f t="shared" si="30"/>
        <v>0</v>
      </c>
      <c r="AS114" s="385">
        <f>IF(S114=0,,
SUM(
IF(OR(リスト!$C$21="小麦",リスト!$C$21="二条大麦",リスト!$C$21="六条大麦",リスト!$C$21="はだか麦",リスト!$C$21="なたね"),IF(OR(AND(AB114=1,K114&lt;9,J114=調査年),AND(AB114=1,K114&gt;=9,J114=調査年-1)),ROUND(L114*S114%,0),),
IF(リスト!$C$21="さとうきび",IF(OR(AND(AB114=1,K114&gt;=4,J114=調査年),AND(AB114=1,K114&lt;4,J114=調査年+1)),ROUND(L114*S114%,0),),
IF(AND(AB114=1,J114=調査年),ROUND(L114*S114%,0),))),
ROUND(N114*S114%,0),
ROUND(SUM(AM114)*S114%,0)
))</f>
        <v>0</v>
      </c>
      <c r="AT114" s="385">
        <f t="shared" si="31"/>
        <v>0</v>
      </c>
      <c r="AU114" s="385">
        <f t="shared" si="32"/>
        <v>0</v>
      </c>
      <c r="AV114" s="385">
        <f t="shared" si="33"/>
        <v>0</v>
      </c>
      <c r="AW114" s="385">
        <f t="shared" si="33"/>
        <v>0</v>
      </c>
      <c r="AX114" s="385">
        <f t="shared" si="33"/>
        <v>0</v>
      </c>
      <c r="AY114" s="721">
        <f t="shared" si="34"/>
        <v>0</v>
      </c>
      <c r="AZ114" s="686"/>
      <c r="BA114" s="686"/>
      <c r="BB114" s="686"/>
      <c r="BC114" s="686"/>
    </row>
    <row r="115" spans="3:55" s="46" customFormat="1" ht="30.75" hidden="1" customHeight="1" outlineLevel="1">
      <c r="C115" s="740">
        <v>99</v>
      </c>
      <c r="D115" s="687"/>
      <c r="E115" s="774"/>
      <c r="F115" s="770"/>
      <c r="G115" s="1961"/>
      <c r="H115" s="1962"/>
      <c r="I115" s="679"/>
      <c r="J115" s="725"/>
      <c r="K115" s="680"/>
      <c r="L115" s="681"/>
      <c r="M115" s="681"/>
      <c r="N115" s="681"/>
      <c r="O115" s="681"/>
      <c r="P115" s="681"/>
      <c r="Q115" s="856"/>
      <c r="R115" s="1071"/>
      <c r="S115" s="1094"/>
      <c r="T115" s="682"/>
      <c r="U115" s="726"/>
      <c r="V115" s="727"/>
      <c r="W115" s="717"/>
      <c r="X115" s="776"/>
      <c r="Y115" s="777"/>
      <c r="Z115" s="773"/>
      <c r="AA115" s="684">
        <f t="shared" si="21"/>
        <v>0</v>
      </c>
      <c r="AB115" s="684">
        <f t="shared" si="36"/>
        <v>0</v>
      </c>
      <c r="AC115" s="684">
        <f t="shared" si="37"/>
        <v>0</v>
      </c>
      <c r="AD115" s="684">
        <f>IF(AA115=0,,VLOOKUP(AA115,リスト!DH:DI,2,0))</f>
        <v>0</v>
      </c>
      <c r="AE115" s="684">
        <f t="shared" si="22"/>
        <v>0</v>
      </c>
      <c r="AF115" s="685">
        <f>IF(AE115=0,,VLOOKUP(AE115,リスト!DK:DL,2,0))</f>
        <v>0</v>
      </c>
      <c r="AG115" s="684">
        <f>IF(AA115=0,,
IF(OR(リスト!$C$21="小麦",リスト!$C$21="二条大麦",リスト!$C$21="六条大麦",リスト!$C$21="はだか麦",リスト!$C$21="なたね"),IF(K115&lt;9,調査年-J115,調査年-J115-1),
IF(リスト!$C$21="さとうきび",IF(K115&gt;=4,調査年-J115,調査年-J115+1),
調査年-J115)))</f>
        <v>0</v>
      </c>
      <c r="AH115" s="385">
        <f t="shared" si="38"/>
        <v>0</v>
      </c>
      <c r="AI115" s="385">
        <f t="shared" si="24"/>
        <v>0</v>
      </c>
      <c r="AJ115" s="385">
        <f t="shared" si="25"/>
        <v>0</v>
      </c>
      <c r="AK115" s="385">
        <f t="shared" si="26"/>
        <v>0</v>
      </c>
      <c r="AL115" s="385">
        <f t="shared" si="27"/>
        <v>0</v>
      </c>
      <c r="AM115" s="385">
        <f t="shared" si="35"/>
        <v>0</v>
      </c>
      <c r="AN115" s="394"/>
      <c r="AO115" s="385">
        <f>IF(OR(S115=0,AI115=0),,
IF(OR(リスト!$C$21="小麦",リスト!$C$21="二条大麦",リスト!$C$21="六条大麦",リスト!$C$21="はだか麦",リスト!$C$21="なたね"),IF(OR(AND(K115&lt;9,J115=調査年),AND(K115&gt;=9,J115=調査年-1)),,ROUND(AI115*S115%,0)),
IF(リスト!$C$21="さとうきび",IF(OR(AND(K115&gt;=4,J115=調査年),AND(K115&lt;4,J115=調査年+1)),,ROUND(AI115*S115%,0)),
IF(J115=調査年,,ROUND(AI115*S115%,0)))))</f>
        <v>0</v>
      </c>
      <c r="AP115" s="385">
        <f t="shared" si="28"/>
        <v>0</v>
      </c>
      <c r="AQ115" s="385">
        <f t="shared" si="29"/>
        <v>0</v>
      </c>
      <c r="AR115" s="385">
        <f t="shared" si="30"/>
        <v>0</v>
      </c>
      <c r="AS115" s="385">
        <f>IF(S115=0,,
SUM(
IF(OR(リスト!$C$21="小麦",リスト!$C$21="二条大麦",リスト!$C$21="六条大麦",リスト!$C$21="はだか麦",リスト!$C$21="なたね"),IF(OR(AND(AB115=1,K115&lt;9,J115=調査年),AND(AB115=1,K115&gt;=9,J115=調査年-1)),ROUND(L115*S115%,0),),
IF(リスト!$C$21="さとうきび",IF(OR(AND(AB115=1,K115&gt;=4,J115=調査年),AND(AB115=1,K115&lt;4,J115=調査年+1)),ROUND(L115*S115%,0),),
IF(AND(AB115=1,J115=調査年),ROUND(L115*S115%,0),))),
ROUND(N115*S115%,0),
ROUND(SUM(AM115)*S115%,0)
))</f>
        <v>0</v>
      </c>
      <c r="AT115" s="385">
        <f t="shared" si="31"/>
        <v>0</v>
      </c>
      <c r="AU115" s="385">
        <f t="shared" si="32"/>
        <v>0</v>
      </c>
      <c r="AV115" s="385">
        <f t="shared" si="33"/>
        <v>0</v>
      </c>
      <c r="AW115" s="385">
        <f t="shared" si="33"/>
        <v>0</v>
      </c>
      <c r="AX115" s="385">
        <f t="shared" si="33"/>
        <v>0</v>
      </c>
      <c r="AY115" s="721">
        <f t="shared" si="34"/>
        <v>0</v>
      </c>
      <c r="AZ115" s="686"/>
      <c r="BA115" s="686"/>
      <c r="BB115" s="686"/>
      <c r="BC115" s="686"/>
    </row>
    <row r="116" spans="3:55" s="46" customFormat="1" ht="30.75" hidden="1" customHeight="1" outlineLevel="1" thickBot="1">
      <c r="C116" s="740">
        <v>100</v>
      </c>
      <c r="D116" s="689"/>
      <c r="E116" s="778"/>
      <c r="F116" s="779"/>
      <c r="G116" s="1967"/>
      <c r="H116" s="1968"/>
      <c r="I116" s="693"/>
      <c r="J116" s="743"/>
      <c r="K116" s="694"/>
      <c r="L116" s="695"/>
      <c r="M116" s="695"/>
      <c r="N116" s="695"/>
      <c r="O116" s="695"/>
      <c r="P116" s="681"/>
      <c r="Q116" s="856"/>
      <c r="R116" s="1071"/>
      <c r="S116" s="1095"/>
      <c r="T116" s="696"/>
      <c r="U116" s="744"/>
      <c r="V116" s="745"/>
      <c r="W116" s="717"/>
      <c r="X116" s="746"/>
      <c r="Y116" s="747"/>
      <c r="Z116" s="773"/>
      <c r="AA116" s="684">
        <f t="shared" si="21"/>
        <v>0</v>
      </c>
      <c r="AB116" s="684">
        <f t="shared" si="36"/>
        <v>0</v>
      </c>
      <c r="AC116" s="684">
        <f t="shared" si="37"/>
        <v>0</v>
      </c>
      <c r="AD116" s="684">
        <f>IF(AA116=0,,VLOOKUP(AA116,リスト!DH:DI,2,0))</f>
        <v>0</v>
      </c>
      <c r="AE116" s="684">
        <f t="shared" si="22"/>
        <v>0</v>
      </c>
      <c r="AF116" s="685">
        <f>IF(AE116=0,,VLOOKUP(AE116,リスト!DK:DL,2,0))</f>
        <v>0</v>
      </c>
      <c r="AG116" s="684">
        <f>IF(AA116=0,,
IF(OR(リスト!$C$21="小麦",リスト!$C$21="二条大麦",リスト!$C$21="六条大麦",リスト!$C$21="はだか麦",リスト!$C$21="なたね"),IF(K116&lt;9,調査年-J116,調査年-J116-1),
IF(リスト!$C$21="さとうきび",IF(K116&gt;=4,調査年-J116,調査年-J116+1),
調査年-J116)))</f>
        <v>0</v>
      </c>
      <c r="AH116" s="385">
        <f t="shared" si="38"/>
        <v>0</v>
      </c>
      <c r="AI116" s="385">
        <f t="shared" si="24"/>
        <v>0</v>
      </c>
      <c r="AJ116" s="385">
        <f t="shared" si="25"/>
        <v>0</v>
      </c>
      <c r="AK116" s="385">
        <f t="shared" si="26"/>
        <v>0</v>
      </c>
      <c r="AL116" s="385">
        <f t="shared" si="27"/>
        <v>0</v>
      </c>
      <c r="AM116" s="385">
        <f t="shared" si="35"/>
        <v>0</v>
      </c>
      <c r="AN116" s="394"/>
      <c r="AO116" s="385">
        <f>IF(OR(S116=0,AI116=0),,
IF(OR(リスト!$C$21="小麦",リスト!$C$21="二条大麦",リスト!$C$21="六条大麦",リスト!$C$21="はだか麦",リスト!$C$21="なたね"),IF(OR(AND(K116&lt;9,J116=調査年),AND(K116&gt;=9,J116=調査年-1)),,ROUND(AI116*S116%,0)),
IF(リスト!$C$21="さとうきび",IF(OR(AND(K116&gt;=4,J116=調査年),AND(K116&lt;4,J116=調査年+1)),,ROUND(AI116*S116%,0)),
IF(J116=調査年,,ROUND(AI116*S116%,0)))))</f>
        <v>0</v>
      </c>
      <c r="AP116" s="385">
        <f t="shared" si="28"/>
        <v>0</v>
      </c>
      <c r="AQ116" s="385">
        <f t="shared" si="29"/>
        <v>0</v>
      </c>
      <c r="AR116" s="385">
        <f t="shared" si="30"/>
        <v>0</v>
      </c>
      <c r="AS116" s="385">
        <f>IF(S116=0,,
SUM(
IF(OR(リスト!$C$21="小麦",リスト!$C$21="二条大麦",リスト!$C$21="六条大麦",リスト!$C$21="はだか麦",リスト!$C$21="なたね"),IF(OR(AND(AB116=1,K116&lt;9,J116=調査年),AND(AB116=1,K116&gt;=9,J116=調査年-1)),ROUND(L116*S116%,0),),
IF(リスト!$C$21="さとうきび",IF(OR(AND(AB116=1,K116&gt;=4,J116=調査年),AND(AB116=1,K116&lt;4,J116=調査年+1)),ROUND(L116*S116%,0),),
IF(AND(AB116=1,J116=調査年),ROUND(L116*S116%,0),))),
ROUND(N116*S116%,0),
ROUND(SUM(AM116)*S116%,0)
))</f>
        <v>0</v>
      </c>
      <c r="AT116" s="385">
        <f t="shared" si="31"/>
        <v>0</v>
      </c>
      <c r="AU116" s="385">
        <f t="shared" si="32"/>
        <v>0</v>
      </c>
      <c r="AV116" s="385">
        <f t="shared" si="33"/>
        <v>0</v>
      </c>
      <c r="AW116" s="385">
        <f t="shared" si="33"/>
        <v>0</v>
      </c>
      <c r="AX116" s="385">
        <f t="shared" si="33"/>
        <v>0</v>
      </c>
      <c r="AY116" s="721">
        <f t="shared" si="34"/>
        <v>0</v>
      </c>
      <c r="AZ116" s="686"/>
      <c r="BA116" s="686"/>
      <c r="BB116" s="686"/>
      <c r="BC116" s="686"/>
    </row>
    <row r="117" spans="3:55" ht="14.25" customHeight="1" thickTop="1">
      <c r="C117" s="380"/>
      <c r="D117" s="380"/>
      <c r="E117" s="381"/>
      <c r="F117" s="381"/>
      <c r="G117" s="381"/>
      <c r="H117" s="381"/>
      <c r="I117" s="381"/>
      <c r="J117" s="381"/>
      <c r="K117" s="381"/>
      <c r="L117" s="381"/>
      <c r="M117" s="381"/>
      <c r="N117" s="381"/>
      <c r="O117" s="381"/>
      <c r="P117" s="381"/>
      <c r="Q117" s="381"/>
      <c r="R117" s="381"/>
      <c r="S117" s="381"/>
      <c r="T117" s="381"/>
      <c r="U117" s="381"/>
      <c r="V117" s="381"/>
      <c r="X117" s="699"/>
      <c r="Y117" s="699"/>
      <c r="AA117" s="780"/>
      <c r="AB117" s="781"/>
      <c r="AC117" s="781"/>
      <c r="AD117" s="781"/>
      <c r="AE117" s="781"/>
      <c r="AF117" s="781"/>
      <c r="AG117" s="781"/>
      <c r="AH117" s="781"/>
      <c r="AK117" s="781"/>
      <c r="AL117" s="781"/>
      <c r="AM117" s="781"/>
      <c r="AN117" s="781"/>
      <c r="AO117" s="781"/>
      <c r="AP117" s="781"/>
      <c r="AQ117" s="781"/>
      <c r="AR117" s="781"/>
      <c r="AS117" s="781"/>
      <c r="AT117" s="781"/>
      <c r="AU117" s="781"/>
      <c r="AV117" s="781"/>
      <c r="AW117" s="781"/>
      <c r="AX117" s="781"/>
      <c r="AY117" s="144"/>
    </row>
    <row r="118" spans="3:55" ht="14.25" customHeight="1">
      <c r="AA118" s="781"/>
      <c r="AB118" s="781"/>
      <c r="AC118" s="781"/>
      <c r="AD118" s="781"/>
      <c r="AE118" s="781"/>
      <c r="AF118" s="781"/>
      <c r="AG118" s="781"/>
      <c r="AH118" s="781"/>
      <c r="AK118" s="781"/>
      <c r="AL118" s="781"/>
      <c r="AM118" s="781"/>
      <c r="AN118" s="781"/>
      <c r="AO118" s="781"/>
      <c r="AP118" s="781"/>
      <c r="AQ118" s="781"/>
      <c r="AR118" s="781"/>
      <c r="AS118" s="781"/>
      <c r="AT118" s="781"/>
      <c r="AU118" s="781"/>
      <c r="AV118" s="781"/>
      <c r="AW118" s="781"/>
      <c r="AX118" s="781"/>
      <c r="AY118" s="144"/>
    </row>
    <row r="119" spans="3:55" ht="14.25" customHeight="1">
      <c r="AY119" s="144"/>
    </row>
    <row r="120" spans="3:55" ht="14.25" customHeight="1">
      <c r="AY120" s="144"/>
    </row>
    <row r="121" spans="3:55" ht="14.25" customHeight="1">
      <c r="AY121" s="144"/>
    </row>
    <row r="131" spans="51:51" ht="14.25" customHeight="1">
      <c r="AY131" s="144"/>
    </row>
    <row r="132" spans="51:51" ht="14.25" customHeight="1">
      <c r="AY132" s="144"/>
    </row>
    <row r="133" spans="51:51" ht="14.25" customHeight="1">
      <c r="AY133" s="144"/>
    </row>
  </sheetData>
  <sheetProtection sheet="1" objects="1" scenarios="1" selectLockedCells="1"/>
  <mergeCells count="157">
    <mergeCell ref="G113:H113"/>
    <mergeCell ref="G114:H114"/>
    <mergeCell ref="G115:H115"/>
    <mergeCell ref="G116:H116"/>
    <mergeCell ref="G107:H107"/>
    <mergeCell ref="G108:H108"/>
    <mergeCell ref="G109:H109"/>
    <mergeCell ref="G110:H110"/>
    <mergeCell ref="G111:H111"/>
    <mergeCell ref="G112:H112"/>
    <mergeCell ref="G101:H101"/>
    <mergeCell ref="G102:H102"/>
    <mergeCell ref="G103:H103"/>
    <mergeCell ref="G104:H104"/>
    <mergeCell ref="G105:H105"/>
    <mergeCell ref="G106:H106"/>
    <mergeCell ref="G95:H95"/>
    <mergeCell ref="G96:H96"/>
    <mergeCell ref="G97:H97"/>
    <mergeCell ref="G98:H98"/>
    <mergeCell ref="G99:H99"/>
    <mergeCell ref="G100:H100"/>
    <mergeCell ref="G89:H89"/>
    <mergeCell ref="G90:H90"/>
    <mergeCell ref="G91:H91"/>
    <mergeCell ref="G92:H92"/>
    <mergeCell ref="G93:H93"/>
    <mergeCell ref="G94:H94"/>
    <mergeCell ref="G83:H83"/>
    <mergeCell ref="G84:H84"/>
    <mergeCell ref="G85:H85"/>
    <mergeCell ref="G86:H86"/>
    <mergeCell ref="G87:H87"/>
    <mergeCell ref="G88:H88"/>
    <mergeCell ref="G77:H77"/>
    <mergeCell ref="G78:H78"/>
    <mergeCell ref="G79:H79"/>
    <mergeCell ref="G80:H80"/>
    <mergeCell ref="G81:H81"/>
    <mergeCell ref="G82:H82"/>
    <mergeCell ref="G71:H71"/>
    <mergeCell ref="G72:H72"/>
    <mergeCell ref="G73:H73"/>
    <mergeCell ref="G74:H74"/>
    <mergeCell ref="G75:H75"/>
    <mergeCell ref="G76:H76"/>
    <mergeCell ref="G65:H65"/>
    <mergeCell ref="G66:H66"/>
    <mergeCell ref="G67:H67"/>
    <mergeCell ref="G68:H68"/>
    <mergeCell ref="G69:H69"/>
    <mergeCell ref="G70:H70"/>
    <mergeCell ref="G59:H59"/>
    <mergeCell ref="G60:H60"/>
    <mergeCell ref="G61:H61"/>
    <mergeCell ref="G62:H62"/>
    <mergeCell ref="G63:H63"/>
    <mergeCell ref="G64:H64"/>
    <mergeCell ref="G53:H53"/>
    <mergeCell ref="G54:H54"/>
    <mergeCell ref="G55:H55"/>
    <mergeCell ref="G56:H56"/>
    <mergeCell ref="G57:H57"/>
    <mergeCell ref="G58:H58"/>
    <mergeCell ref="G47:H47"/>
    <mergeCell ref="G48:H48"/>
    <mergeCell ref="G49:H49"/>
    <mergeCell ref="G50:H50"/>
    <mergeCell ref="G51:H51"/>
    <mergeCell ref="G52:H52"/>
    <mergeCell ref="G41:H41"/>
    <mergeCell ref="G42:H42"/>
    <mergeCell ref="G43:H43"/>
    <mergeCell ref="G44:H44"/>
    <mergeCell ref="G45:H45"/>
    <mergeCell ref="G46:H46"/>
    <mergeCell ref="G35:H35"/>
    <mergeCell ref="G36:H36"/>
    <mergeCell ref="G37:H37"/>
    <mergeCell ref="G38:H38"/>
    <mergeCell ref="G39:H39"/>
    <mergeCell ref="G40:H40"/>
    <mergeCell ref="G29:H29"/>
    <mergeCell ref="G30:H30"/>
    <mergeCell ref="G31:H31"/>
    <mergeCell ref="G32:H32"/>
    <mergeCell ref="G33:H33"/>
    <mergeCell ref="G34:H34"/>
    <mergeCell ref="G23:H23"/>
    <mergeCell ref="G24:H24"/>
    <mergeCell ref="G25:H25"/>
    <mergeCell ref="G26:H26"/>
    <mergeCell ref="G27:H27"/>
    <mergeCell ref="G28:H28"/>
    <mergeCell ref="N10:N11"/>
    <mergeCell ref="O10:O11"/>
    <mergeCell ref="P10:P11"/>
    <mergeCell ref="G17:H17"/>
    <mergeCell ref="G18:H18"/>
    <mergeCell ref="G19:H19"/>
    <mergeCell ref="G20:H20"/>
    <mergeCell ref="G21:H21"/>
    <mergeCell ref="G22:H22"/>
    <mergeCell ref="G12:G16"/>
    <mergeCell ref="H12:H16"/>
    <mergeCell ref="J12:J16"/>
    <mergeCell ref="AY10:AY13"/>
    <mergeCell ref="AK11:AK14"/>
    <mergeCell ref="AQ11:AQ13"/>
    <mergeCell ref="AL10:AL14"/>
    <mergeCell ref="AM10:AM14"/>
    <mergeCell ref="AO10:AO13"/>
    <mergeCell ref="AP10:AP13"/>
    <mergeCell ref="AR10:AR13"/>
    <mergeCell ref="AS10:AS13"/>
    <mergeCell ref="AO8:AY9"/>
    <mergeCell ref="C10:C16"/>
    <mergeCell ref="D10:D16"/>
    <mergeCell ref="E10:E16"/>
    <mergeCell ref="F10:F16"/>
    <mergeCell ref="G10:H11"/>
    <mergeCell ref="I10:I16"/>
    <mergeCell ref="J10:K11"/>
    <mergeCell ref="L10:L11"/>
    <mergeCell ref="M10:M11"/>
    <mergeCell ref="X8:X16"/>
    <mergeCell ref="Y8:Y16"/>
    <mergeCell ref="AA8:AH9"/>
    <mergeCell ref="AI8:AK9"/>
    <mergeCell ref="AL8:AM9"/>
    <mergeCell ref="AN8:AN13"/>
    <mergeCell ref="AA10:AA14"/>
    <mergeCell ref="AB10:AB14"/>
    <mergeCell ref="AC10:AC14"/>
    <mergeCell ref="AD10:AD14"/>
    <mergeCell ref="Q10:R12"/>
    <mergeCell ref="K12:K16"/>
    <mergeCell ref="U12:U16"/>
    <mergeCell ref="V12:V13"/>
    <mergeCell ref="Q13:Q14"/>
    <mergeCell ref="R13:R14"/>
    <mergeCell ref="Q15:Q16"/>
    <mergeCell ref="R15:R16"/>
    <mergeCell ref="AW10:AW13"/>
    <mergeCell ref="AX10:AX13"/>
    <mergeCell ref="S10:S16"/>
    <mergeCell ref="T10:T16"/>
    <mergeCell ref="U10:V11"/>
    <mergeCell ref="AT10:AT13"/>
    <mergeCell ref="AU10:AU13"/>
    <mergeCell ref="AV10:AV13"/>
    <mergeCell ref="AE10:AE14"/>
    <mergeCell ref="AF10:AF14"/>
    <mergeCell ref="AG10:AG14"/>
    <mergeCell ref="AH10:AH14"/>
    <mergeCell ref="AI10:AI14"/>
    <mergeCell ref="AJ10:AJ14"/>
  </mergeCells>
  <phoneticPr fontId="5"/>
  <dataValidations count="9">
    <dataValidation type="whole" allowBlank="1" showInputMessage="1" showErrorMessage="1" sqref="J17:J116" xr:uid="{00000000-0002-0000-1100-000000000000}">
      <formula1>1700</formula1>
      <formula2>9999</formula2>
    </dataValidation>
    <dataValidation type="whole" allowBlank="1" showInputMessage="1" showErrorMessage="1" error="1～12の値を入力してください。" sqref="K17:K116" xr:uid="{00000000-0002-0000-1100-000001000000}">
      <formula1>1</formula1>
      <formula2>12</formula2>
    </dataValidation>
    <dataValidation type="whole" operator="greaterThanOrEqual" allowBlank="1" showInputMessage="1" showErrorMessage="1" error="０以上の数値を整数で入力してください。" sqref="V17:V116" xr:uid="{00000000-0002-0000-1100-000002000000}">
      <formula1>0</formula1>
    </dataValidation>
    <dataValidation type="textLength" imeMode="hiragana" operator="greaterThanOrEqual" allowBlank="1" showInputMessage="1" showErrorMessage="1" sqref="D17:D116" xr:uid="{00000000-0002-0000-1100-000003000000}">
      <formula1>1</formula1>
    </dataValidation>
    <dataValidation type="whole" operator="greaterThan" allowBlank="1" showInputMessage="1" showErrorMessage="1" error="0より大きい数値を整数で入力してください。" sqref="X17:X116 L17:R116" xr:uid="{00000000-0002-0000-1100-000004000000}">
      <formula1>0</formula1>
    </dataValidation>
    <dataValidation type="whole" operator="greaterThanOrEqual" allowBlank="1" showInputMessage="1" showErrorMessage="1" error="２以上の数値を入力してください。" sqref="I17:I116" xr:uid="{00000000-0002-0000-1100-000006000000}">
      <formula1>2</formula1>
    </dataValidation>
    <dataValidation type="list" showInputMessage="1" showErrorMessage="1" sqref="F17:F116" xr:uid="{00000000-0002-0000-1100-000007000000}">
      <formula1>INDIRECT($E17)</formula1>
    </dataValidation>
    <dataValidation type="list" allowBlank="1" showInputMessage="1" showErrorMessage="1" sqref="E17:E116" xr:uid="{00000000-0002-0000-1100-000008000000}">
      <formula1>農機具種類</formula1>
    </dataValidation>
    <dataValidation type="custom" allowBlank="1" showInputMessage="1" showErrorMessage="1" error="0.001~100の範囲で小数点第３位までの数値を入力してください。" sqref="S17:S116" xr:uid="{0A2DDCCB-A359-4297-A180-20D1FB593CA2}">
      <formula1>AND(AND(S17*1000=INT(S17*1000)),(S17&gt;0),(S17&lt;=100))</formula1>
    </dataValidation>
  </dataValidations>
  <pageMargins left="0.59055118110236227" right="0.59055118110236227" top="0.59055118110236227" bottom="0.59055118110236227" header="0" footer="0"/>
  <pageSetup paperSize="9" scale="23" orientation="landscape" cellComments="asDisplayed" r:id="rId1"/>
  <headerFooter alignWithMargins="0"/>
  <drawing r:id="rId2"/>
  <legacyDrawing r:id="rId3"/>
  <legacyDrawingHF r:id="rId4"/>
  <controls>
    <mc:AlternateContent xmlns:mc="http://schemas.openxmlformats.org/markup-compatibility/2006">
      <mc:Choice Requires="x14">
        <control shapeId="15361" r:id="rId5" name="Label1">
          <controlPr defaultSize="0" print="0" autoLine="0" r:id="rId6">
            <anchor moveWithCells="1">
              <from>
                <xdr:col>3</xdr:col>
                <xdr:colOff>1733550</xdr:colOff>
                <xdr:row>5</xdr:row>
                <xdr:rowOff>161925</xdr:rowOff>
              </from>
              <to>
                <xdr:col>4</xdr:col>
                <xdr:colOff>800100</xdr:colOff>
                <xdr:row>7</xdr:row>
                <xdr:rowOff>19050</xdr:rowOff>
              </to>
            </anchor>
          </controlPr>
        </control>
      </mc:Choice>
      <mc:Fallback>
        <control shapeId="15361" r:id="rId5" name="Label1"/>
      </mc:Fallback>
    </mc:AlternateContent>
    <mc:AlternateContent xmlns:mc="http://schemas.openxmlformats.org/markup-compatibility/2006">
      <mc:Choice Requires="x14">
        <control shapeId="15362" r:id="rId7" name="txt_hyouji">
          <controlPr locked="0" defaultSize="0" print="0" autoLine="0" r:id="rId8">
            <anchor moveWithCells="1">
              <from>
                <xdr:col>3</xdr:col>
                <xdr:colOff>1733550</xdr:colOff>
                <xdr:row>7</xdr:row>
                <xdr:rowOff>19050</xdr:rowOff>
              </from>
              <to>
                <xdr:col>4</xdr:col>
                <xdr:colOff>800100</xdr:colOff>
                <xdr:row>8</xdr:row>
                <xdr:rowOff>47625</xdr:rowOff>
              </to>
            </anchor>
          </controlPr>
        </control>
      </mc:Choice>
      <mc:Fallback>
        <control shapeId="15362" r:id="rId7" name="txt_hyouji"/>
      </mc:Fallback>
    </mc:AlternateContent>
    <mc:AlternateContent xmlns:mc="http://schemas.openxmlformats.org/markup-compatibility/2006">
      <mc:Choice Requires="x14">
        <control shapeId="15363" r:id="rId9" name="btnKoushin1">
          <controlPr defaultSize="0" print="0" autoLine="0" r:id="rId10">
            <anchor moveWithCells="1">
              <from>
                <xdr:col>5</xdr:col>
                <xdr:colOff>57150</xdr:colOff>
                <xdr:row>5</xdr:row>
                <xdr:rowOff>161925</xdr:rowOff>
              </from>
              <to>
                <xdr:col>6</xdr:col>
                <xdr:colOff>9525</xdr:colOff>
                <xdr:row>8</xdr:row>
                <xdr:rowOff>47625</xdr:rowOff>
              </to>
            </anchor>
          </controlPr>
        </control>
      </mc:Choice>
      <mc:Fallback>
        <control shapeId="15363" r:id="rId9"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100-000009000000}">
          <x14:formula1>
            <xm:f>リスト!$DN$5</xm:f>
          </x14:formula1>
          <xm:sqref>Y17:Y116</xm:sqref>
        </x14:dataValidation>
        <x14:dataValidation type="list" allowBlank="1" showInputMessage="1" showErrorMessage="1" xr:uid="{00000000-0002-0000-1100-00000A000000}">
          <x14:formula1>
            <xm:f>リスト!$CJ$5:$CJ$6</xm:f>
          </x14:formula1>
          <xm:sqref>U17:U116</xm:sqref>
        </x14:dataValidation>
        <x14:dataValidation type="list" allowBlank="1" showInputMessage="1" showErrorMessage="1" xr:uid="{00000000-0002-0000-1100-00000B000000}">
          <x14:formula1>
            <xm:f>リスト!$CH$5:$CH$6</xm:f>
          </x14:formula1>
          <xm:sqref>G17:H116</xm:sqref>
        </x14:dataValidation>
        <x14:dataValidation type="list" allowBlank="1" showInputMessage="1" showErrorMessage="1" xr:uid="{00000000-0002-0000-1100-00000C000000}">
          <x14:formula1>
            <xm:f>リスト!$BB$5:$BB$6</xm:f>
          </x14:formula1>
          <xm:sqref>T17:T116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8">
    <pageSetUpPr fitToPage="1"/>
  </sheetPr>
  <dimension ref="B1:O52"/>
  <sheetViews>
    <sheetView showGridLines="0" view="pageBreakPreview" zoomScale="90" zoomScaleNormal="100" zoomScaleSheetLayoutView="90" workbookViewId="0"/>
  </sheetViews>
  <sheetFormatPr defaultColWidth="3.25" defaultRowHeight="14.25"/>
  <cols>
    <col min="1" max="1" width="3.25" style="144"/>
    <col min="2" max="13" width="3.25" style="637"/>
    <col min="14" max="15" width="20" style="144" customWidth="1"/>
    <col min="16" max="16384" width="3.25" style="144"/>
  </cols>
  <sheetData>
    <row r="1" spans="2:15" ht="28.5" customHeight="1">
      <c r="B1" s="782" t="s">
        <v>372</v>
      </c>
    </row>
    <row r="2" spans="2:15" s="637" customFormat="1" ht="21" customHeight="1">
      <c r="B2" s="1993" t="s">
        <v>576</v>
      </c>
      <c r="C2" s="1993"/>
      <c r="D2" s="1993"/>
      <c r="E2" s="1993"/>
      <c r="F2" s="1993"/>
      <c r="G2" s="1993"/>
      <c r="H2" s="1993"/>
      <c r="I2" s="1993"/>
      <c r="J2" s="1993"/>
      <c r="K2" s="1993"/>
      <c r="L2" s="1993"/>
      <c r="M2" s="1993"/>
      <c r="N2" s="1993"/>
      <c r="O2" s="1993"/>
    </row>
    <row r="3" spans="2:15" s="637" customFormat="1" ht="21" customHeight="1">
      <c r="B3" s="1994"/>
      <c r="C3" s="1995"/>
      <c r="D3" s="1995"/>
      <c r="E3" s="1995"/>
      <c r="F3" s="1995"/>
      <c r="G3" s="1995"/>
      <c r="H3" s="1995"/>
      <c r="I3" s="1995"/>
      <c r="J3" s="1995"/>
      <c r="K3" s="1995"/>
      <c r="L3" s="1995"/>
      <c r="M3" s="1996"/>
      <c r="N3" s="783" t="s">
        <v>577</v>
      </c>
      <c r="O3" s="784" t="s">
        <v>578</v>
      </c>
    </row>
    <row r="4" spans="2:15" ht="30" customHeight="1">
      <c r="B4" s="1997" t="s">
        <v>579</v>
      </c>
      <c r="C4" s="1997"/>
      <c r="D4" s="1998" t="s">
        <v>580</v>
      </c>
      <c r="E4" s="1998"/>
      <c r="F4" s="1998"/>
      <c r="G4" s="1998"/>
      <c r="H4" s="1998"/>
      <c r="I4" s="1998"/>
      <c r="J4" s="1998"/>
      <c r="K4" s="1998"/>
      <c r="L4" s="1998"/>
      <c r="M4" s="1998"/>
      <c r="N4" s="785"/>
      <c r="O4" s="786">
        <f>SUMIFS(【７】建物及び構築物!$AP$16:$AP$115,【７】建物及び構築物!$E$16:$E$115,"[01]住宅")</f>
        <v>0</v>
      </c>
    </row>
    <row r="5" spans="2:15" ht="30" customHeight="1">
      <c r="B5" s="1997"/>
      <c r="C5" s="1997"/>
      <c r="D5" s="1998" t="s">
        <v>581</v>
      </c>
      <c r="E5" s="1998"/>
      <c r="F5" s="1998"/>
      <c r="G5" s="1998"/>
      <c r="H5" s="1998"/>
      <c r="I5" s="1998"/>
      <c r="J5" s="1998"/>
      <c r="K5" s="1998"/>
      <c r="L5" s="1998"/>
      <c r="M5" s="1998"/>
      <c r="N5" s="785"/>
      <c r="O5" s="786">
        <f>SUMIFS(【７】建物及び構築物!$AP$16:$AP$115,【７】建物及び構築物!$E$16:$E$115,"[03]納屋・倉庫")</f>
        <v>0</v>
      </c>
    </row>
    <row r="6" spans="2:15" ht="30" customHeight="1">
      <c r="B6" s="1997"/>
      <c r="C6" s="1997"/>
      <c r="D6" s="1998" t="s">
        <v>582</v>
      </c>
      <c r="E6" s="1998"/>
      <c r="F6" s="1998"/>
      <c r="G6" s="1998"/>
      <c r="H6" s="1998"/>
      <c r="I6" s="1998"/>
      <c r="J6" s="1998"/>
      <c r="K6" s="1998"/>
      <c r="L6" s="1998"/>
      <c r="M6" s="1998"/>
      <c r="N6" s="785"/>
      <c r="O6" s="786">
        <f>SUMIFS(【７】建物及び構築物!$AP$16:$AP$115,【７】建物及び構築物!$E$16:$E$115,"[19]用水路")</f>
        <v>0</v>
      </c>
    </row>
    <row r="7" spans="2:15" ht="30" customHeight="1">
      <c r="B7" s="1997"/>
      <c r="C7" s="1997"/>
      <c r="D7" s="1998" t="s">
        <v>583</v>
      </c>
      <c r="E7" s="1998"/>
      <c r="F7" s="1998"/>
      <c r="G7" s="1998"/>
      <c r="H7" s="1998"/>
      <c r="I7" s="1998"/>
      <c r="J7" s="1998"/>
      <c r="K7" s="1998"/>
      <c r="L7" s="1998"/>
      <c r="M7" s="1998"/>
      <c r="N7" s="785"/>
      <c r="O7" s="786">
        <f>SUMIFS(【７】建物及び構築物!$AP$16:$AP$115,【７】建物及び構築物!$E$16:$E$115,"[16]暗きょ排水施設")</f>
        <v>0</v>
      </c>
    </row>
    <row r="8" spans="2:15" ht="30" customHeight="1">
      <c r="B8" s="1997"/>
      <c r="C8" s="1997"/>
      <c r="D8" s="1998" t="s">
        <v>584</v>
      </c>
      <c r="E8" s="1998"/>
      <c r="F8" s="1998"/>
      <c r="G8" s="1998"/>
      <c r="H8" s="1998"/>
      <c r="I8" s="1998"/>
      <c r="J8" s="1998"/>
      <c r="K8" s="1998"/>
      <c r="L8" s="1998"/>
      <c r="M8" s="1998"/>
      <c r="N8" s="785"/>
      <c r="O8" s="786">
        <f>SUMIFS(【７】建物及び構築物!$AP$16:$AP$115,【７】建物及び構築物!$E$16:$E$115,"[15]コンクリートけい畔")</f>
        <v>0</v>
      </c>
    </row>
    <row r="9" spans="2:15" ht="30" customHeight="1">
      <c r="B9" s="1997"/>
      <c r="C9" s="1997"/>
      <c r="D9" s="1998" t="s">
        <v>585</v>
      </c>
      <c r="E9" s="1998"/>
      <c r="F9" s="1998"/>
      <c r="G9" s="1998"/>
      <c r="H9" s="1998"/>
      <c r="I9" s="1998"/>
      <c r="J9" s="1998"/>
      <c r="K9" s="1998"/>
      <c r="L9" s="1998"/>
      <c r="M9" s="1998"/>
      <c r="N9" s="785"/>
      <c r="O9" s="786">
        <f>SUMIFS(【７】建物及び構築物!$AP$16:$AP$115,【７】建物及び構築物!$E$16:$E$115,"[17]客土")</f>
        <v>0</v>
      </c>
    </row>
    <row r="10" spans="2:15" ht="30" customHeight="1">
      <c r="B10" s="1997"/>
      <c r="C10" s="1997"/>
      <c r="D10" s="1998" t="s">
        <v>586</v>
      </c>
      <c r="E10" s="1998"/>
      <c r="F10" s="1998"/>
      <c r="G10" s="1998"/>
      <c r="H10" s="1998"/>
      <c r="I10" s="1998"/>
      <c r="J10" s="1998"/>
      <c r="K10" s="1998"/>
      <c r="L10" s="1998"/>
      <c r="M10" s="1998"/>
      <c r="N10" s="785"/>
      <c r="O10" s="786">
        <f>SUMIFS(【７】建物及び構築物!$AP$16:$AP$115,【７】建物及び構築物!$E$16:$E$115,"[25]たい肥盤")</f>
        <v>0</v>
      </c>
    </row>
    <row r="11" spans="2:15" ht="30" customHeight="1">
      <c r="B11" s="1997"/>
      <c r="C11" s="1997"/>
      <c r="D11" s="1998" t="s">
        <v>587</v>
      </c>
      <c r="E11" s="1998"/>
      <c r="F11" s="1998"/>
      <c r="G11" s="1998"/>
      <c r="H11" s="1998"/>
      <c r="I11" s="1998"/>
      <c r="J11" s="1998"/>
      <c r="K11" s="1998"/>
      <c r="L11" s="1998"/>
      <c r="M11" s="1998"/>
      <c r="N11" s="785"/>
      <c r="O11" s="786">
        <f>SUM(SUMIFS(【７】建物及び構築物!$AP$16:$AP$115,【７】建物及び構築物!$E$16:$E$115,{"[02]事務所","[04]作業場","[08]車庫","[11]ライスセンター","[12]育苗ハウス","[13]その他の建築物","[14]稲架","[18]作業道","[31]その他の構築物"}))</f>
        <v>0</v>
      </c>
    </row>
    <row r="12" spans="2:15" ht="30" customHeight="1">
      <c r="B12" s="1997"/>
      <c r="C12" s="1997"/>
      <c r="D12" s="1999" t="s">
        <v>588</v>
      </c>
      <c r="E12" s="2000"/>
      <c r="F12" s="2000"/>
      <c r="G12" s="2000"/>
      <c r="H12" s="2000"/>
      <c r="I12" s="2000"/>
      <c r="J12" s="2000"/>
      <c r="K12" s="2000"/>
      <c r="L12" s="2000"/>
      <c r="M12" s="2001"/>
      <c r="N12" s="785"/>
      <c r="O12" s="786">
        <f>SUM(O4:O11)</f>
        <v>0</v>
      </c>
    </row>
    <row r="13" spans="2:15" ht="30" customHeight="1">
      <c r="B13" s="1997"/>
      <c r="C13" s="1997"/>
      <c r="D13" s="787"/>
      <c r="E13" s="787"/>
      <c r="F13" s="787"/>
      <c r="G13" s="2002" t="s">
        <v>589</v>
      </c>
      <c r="H13" s="2003"/>
      <c r="I13" s="2003"/>
      <c r="J13" s="2003"/>
      <c r="K13" s="2003"/>
      <c r="L13" s="2003"/>
      <c r="M13" s="2004"/>
      <c r="N13" s="785"/>
      <c r="O13" s="786">
        <f>【７】建物及び構築物!AQ13</f>
        <v>0</v>
      </c>
    </row>
    <row r="14" spans="2:15" ht="30" customHeight="1">
      <c r="B14" s="1997" t="s">
        <v>590</v>
      </c>
      <c r="C14" s="1997"/>
      <c r="D14" s="1998" t="s">
        <v>591</v>
      </c>
      <c r="E14" s="1998"/>
      <c r="F14" s="1998"/>
      <c r="G14" s="1998"/>
      <c r="H14" s="1998"/>
      <c r="I14" s="1998"/>
      <c r="J14" s="1998"/>
      <c r="K14" s="1998"/>
      <c r="L14" s="1998"/>
      <c r="M14" s="1998"/>
      <c r="N14" s="788">
        <f>SUMIFS(【８】自動車!$AW$18:$AW$117,【８】自動車!$E$18:$E$117,"[1]貨物自動車")</f>
        <v>0</v>
      </c>
      <c r="O14" s="786">
        <f>SUMIFS(【８】自動車!$AM$18:$AM$117,【８】自動車!$E$18:$E$117,"[1]貨物自動車")</f>
        <v>0</v>
      </c>
    </row>
    <row r="15" spans="2:15" ht="30" customHeight="1">
      <c r="B15" s="1997"/>
      <c r="C15" s="1997"/>
      <c r="D15" s="1998" t="s">
        <v>587</v>
      </c>
      <c r="E15" s="1998"/>
      <c r="F15" s="1998"/>
      <c r="G15" s="1998"/>
      <c r="H15" s="1998"/>
      <c r="I15" s="1998"/>
      <c r="J15" s="1998"/>
      <c r="K15" s="1998"/>
      <c r="L15" s="1998"/>
      <c r="M15" s="1998"/>
      <c r="N15" s="785"/>
      <c r="O15" s="786">
        <f>SUMIFS(【８】自動車!$AM$18:$AM$117,【８】自動車!$E$18:$E$117,"[2]その他の自動車")</f>
        <v>0</v>
      </c>
    </row>
    <row r="16" spans="2:15" ht="30" customHeight="1">
      <c r="B16" s="1997"/>
      <c r="C16" s="1997"/>
      <c r="D16" s="1999" t="s">
        <v>588</v>
      </c>
      <c r="E16" s="2000"/>
      <c r="F16" s="2000"/>
      <c r="G16" s="2000"/>
      <c r="H16" s="2000"/>
      <c r="I16" s="2000"/>
      <c r="J16" s="2000"/>
      <c r="K16" s="2000"/>
      <c r="L16" s="2000"/>
      <c r="M16" s="2001"/>
      <c r="N16" s="785"/>
      <c r="O16" s="786">
        <f>SUM(O14:O15)</f>
        <v>0</v>
      </c>
    </row>
    <row r="17" spans="2:15" ht="30" customHeight="1">
      <c r="B17" s="1997"/>
      <c r="C17" s="1997"/>
      <c r="D17" s="787"/>
      <c r="E17" s="787"/>
      <c r="F17" s="787"/>
      <c r="G17" s="2005" t="s">
        <v>592</v>
      </c>
      <c r="H17" s="2006"/>
      <c r="I17" s="2006"/>
      <c r="J17" s="2006"/>
      <c r="K17" s="2006"/>
      <c r="L17" s="2006"/>
      <c r="M17" s="2007"/>
      <c r="N17" s="785"/>
      <c r="O17" s="786">
        <f>【８】自動車!AN17</f>
        <v>0</v>
      </c>
    </row>
    <row r="18" spans="2:15" ht="30" hidden="1" customHeight="1">
      <c r="B18" s="1997" t="s">
        <v>593</v>
      </c>
      <c r="C18" s="1997"/>
      <c r="D18" s="1998" t="s">
        <v>594</v>
      </c>
      <c r="E18" s="1998"/>
      <c r="F18" s="1998"/>
      <c r="G18" s="1998"/>
      <c r="H18" s="1998"/>
      <c r="I18" s="1998"/>
      <c r="J18" s="1998"/>
      <c r="K18" s="1998"/>
      <c r="L18" s="1998"/>
      <c r="M18" s="1998"/>
      <c r="N18" s="788">
        <f>SUMIFS(【９】農業機械!$AY$17:$AY$116,【９】農業機械!$E$17:$E$116,"[01]電動機")</f>
        <v>0</v>
      </c>
      <c r="O18" s="786">
        <f>SUMIFS(【９】農業機械!$AP$17:$AP$116,【９】農業機械!$E$17:$E$116,"[01]電動機")</f>
        <v>0</v>
      </c>
    </row>
    <row r="19" spans="2:15" ht="30" hidden="1" customHeight="1">
      <c r="B19" s="1997"/>
      <c r="C19" s="1997"/>
      <c r="D19" s="1998" t="s">
        <v>595</v>
      </c>
      <c r="E19" s="1998"/>
      <c r="F19" s="1998"/>
      <c r="G19" s="1998"/>
      <c r="H19" s="1998"/>
      <c r="I19" s="1998"/>
      <c r="J19" s="1998"/>
      <c r="K19" s="1998"/>
      <c r="L19" s="1998"/>
      <c r="M19" s="1998"/>
      <c r="N19" s="788">
        <f>SUMIFS(【９】農業機械!$AY$17:$AY$116,【９】農業機械!$E$17:$E$116,"[02]発動機")</f>
        <v>0</v>
      </c>
      <c r="O19" s="786">
        <f>SUMIFS(【９】農業機械!$AP$17:$AP$116,【９】農業機械!$E$17:$E$116,"[02]発動機")</f>
        <v>0</v>
      </c>
    </row>
    <row r="20" spans="2:15" ht="30" hidden="1" customHeight="1">
      <c r="B20" s="1997"/>
      <c r="C20" s="1997"/>
      <c r="D20" s="1998" t="s">
        <v>596</v>
      </c>
      <c r="E20" s="1998"/>
      <c r="F20" s="1998"/>
      <c r="G20" s="1998"/>
      <c r="H20" s="1998"/>
      <c r="I20" s="1998"/>
      <c r="J20" s="1998"/>
      <c r="K20" s="1998"/>
      <c r="L20" s="1998"/>
      <c r="M20" s="1998"/>
      <c r="N20" s="788">
        <f>SUMIFS(【９】農業機械!$AY$17:$AY$116,【９】農業機械!$E$17:$E$116,"[15]揚水ポンプ")</f>
        <v>0</v>
      </c>
      <c r="O20" s="786">
        <f>SUMIFS(【９】農業機械!$AP$17:$AP$116,【９】農業機械!$E$17:$E$116,"[15]揚水ポンプ")</f>
        <v>0</v>
      </c>
    </row>
    <row r="21" spans="2:15" ht="30" customHeight="1">
      <c r="B21" s="1997"/>
      <c r="C21" s="1997"/>
      <c r="D21" s="2009" t="s">
        <v>597</v>
      </c>
      <c r="E21" s="2009"/>
      <c r="F21" s="2009"/>
      <c r="G21" s="1998" t="s">
        <v>598</v>
      </c>
      <c r="H21" s="1998"/>
      <c r="I21" s="1998"/>
      <c r="J21" s="1998"/>
      <c r="K21" s="1998"/>
      <c r="L21" s="1998"/>
      <c r="M21" s="1998"/>
      <c r="N21" s="788">
        <f>SUM(SUMIFS(【９】農業機械!$AY$17:$AY$116,【９】農業機械!$E$17:$E$116,"[04]乗用トラクター",【９】農業機械!$F$17:$F$116,"[1]２０馬力未満"))</f>
        <v>0</v>
      </c>
      <c r="O21" s="786">
        <f>SUM(SUMIFS(【９】農業機械!$AP$17:$AP$116,【９】農業機械!$E$17:$E$116,"[04]乗用トラクター",【９】農業機械!$F$17:$F$116,"[1]２０馬力未満"))</f>
        <v>0</v>
      </c>
    </row>
    <row r="22" spans="2:15" ht="30" customHeight="1">
      <c r="B22" s="1997"/>
      <c r="C22" s="1997"/>
      <c r="D22" s="2009"/>
      <c r="E22" s="2009"/>
      <c r="F22" s="2009"/>
      <c r="G22" s="1998" t="s">
        <v>599</v>
      </c>
      <c r="H22" s="1998"/>
      <c r="I22" s="1998"/>
      <c r="J22" s="1998"/>
      <c r="K22" s="1998"/>
      <c r="L22" s="1998"/>
      <c r="M22" s="1998"/>
      <c r="N22" s="788">
        <f>SUM(SUMIFS(【９】農業機械!$AY$17:$AY$116,【９】農業機械!$E$17:$E$116,"[04]乗用トラクター",【９】農業機械!$F$17:$F$116,"[2]２０～５０馬力未満"))</f>
        <v>0</v>
      </c>
      <c r="O22" s="786">
        <f>SUM(SUMIFS(【９】農業機械!$AP$17:$AP$116,【９】農業機械!$E$17:$E$116,"[04]乗用トラクター",【９】農業機械!$F$17:$F$116,"[2]２０～５０馬力未満"))</f>
        <v>0</v>
      </c>
    </row>
    <row r="23" spans="2:15" ht="30" customHeight="1">
      <c r="B23" s="1997"/>
      <c r="C23" s="1997"/>
      <c r="D23" s="2009"/>
      <c r="E23" s="2009"/>
      <c r="F23" s="2009"/>
      <c r="G23" s="1998" t="s">
        <v>600</v>
      </c>
      <c r="H23" s="1998"/>
      <c r="I23" s="1998"/>
      <c r="J23" s="1998"/>
      <c r="K23" s="1998"/>
      <c r="L23" s="1998"/>
      <c r="M23" s="1998"/>
      <c r="N23" s="788">
        <f>SUM(SUMIFS(【９】農業機械!$AY$17:$AY$116,【９】農業機械!$E$17:$E$116,"[04]乗用トラクター",【９】農業機械!$F$17:$F$116,"[3]５０馬力以上"))</f>
        <v>0</v>
      </c>
      <c r="O23" s="786">
        <f>SUM(SUMIFS(【９】農業機械!$AP$17:$AP$116,【９】農業機械!$E$17:$E$116,"[04]乗用トラクター",【９】農業機械!$F$17:$F$116,"[3]５０馬力以上"))</f>
        <v>0</v>
      </c>
    </row>
    <row r="24" spans="2:15" ht="30" customHeight="1">
      <c r="B24" s="1997"/>
      <c r="C24" s="1997"/>
      <c r="D24" s="2009" t="s">
        <v>601</v>
      </c>
      <c r="E24" s="2009"/>
      <c r="F24" s="2009"/>
      <c r="G24" s="2009"/>
      <c r="H24" s="2009"/>
      <c r="I24" s="2009"/>
      <c r="J24" s="2009"/>
      <c r="K24" s="2009"/>
      <c r="L24" s="2009"/>
      <c r="M24" s="2009"/>
      <c r="N24" s="788">
        <f>SUMIFS(【９】農業機械!$AY$17:$AY$116,【９】農業機械!$E$17:$E$116,"[03]歩行用トラクター")</f>
        <v>0</v>
      </c>
      <c r="O24" s="786">
        <f>SUMIFS(【９】農業機械!$AP$17:$AP$116,【９】農業機械!$E$17:$E$116,"[03]歩行用トラクター")</f>
        <v>0</v>
      </c>
    </row>
    <row r="25" spans="2:15" ht="30" hidden="1" customHeight="1">
      <c r="B25" s="1997"/>
      <c r="C25" s="1997"/>
      <c r="D25" s="1998" t="s">
        <v>602</v>
      </c>
      <c r="E25" s="1998"/>
      <c r="F25" s="1998"/>
      <c r="G25" s="1998"/>
      <c r="H25" s="1998"/>
      <c r="I25" s="1998"/>
      <c r="J25" s="1998"/>
      <c r="K25" s="1998"/>
      <c r="L25" s="1998"/>
      <c r="M25" s="1998"/>
      <c r="N25" s="788">
        <f>SUMIFS(【９】農業機械!$AY$17:$AY$116,【９】農業機械!$E$17:$E$116,"[12]電熱育苗機")</f>
        <v>0</v>
      </c>
      <c r="O25" s="786">
        <f>SUMIFS(【９】農業機械!$AP$17:$AP$116,【９】農業機械!$E$17:$E$116,"[12]電熱育苗機")</f>
        <v>0</v>
      </c>
    </row>
    <row r="26" spans="2:15" ht="30" hidden="1" customHeight="1">
      <c r="B26" s="1997"/>
      <c r="C26" s="1997"/>
      <c r="D26" s="1998" t="s">
        <v>603</v>
      </c>
      <c r="E26" s="1998"/>
      <c r="F26" s="1998"/>
      <c r="G26" s="1998" t="s">
        <v>604</v>
      </c>
      <c r="H26" s="1998"/>
      <c r="I26" s="1998"/>
      <c r="J26" s="1998"/>
      <c r="K26" s="1998"/>
      <c r="L26" s="1998"/>
      <c r="M26" s="1998"/>
      <c r="N26" s="788">
        <f>SUM(SUMIFS(【９】農業機械!$AY$17:$AY$116,【９】農業機械!$E$17:$E$116,"[13]田植機",【９】農業機械!$F$17:$F$116,"[1]２条植"))</f>
        <v>0</v>
      </c>
      <c r="O26" s="786">
        <f>SUM(SUMIFS(【９】農業機械!$AP$17:$AP$116,【９】農業機械!$E$17:$E$116,"[13]田植機",【９】農業機械!$F$17:$F$116,"[1]２条植"))</f>
        <v>0</v>
      </c>
    </row>
    <row r="27" spans="2:15" ht="30" hidden="1" customHeight="1">
      <c r="B27" s="1997"/>
      <c r="C27" s="1997"/>
      <c r="D27" s="1998"/>
      <c r="E27" s="1998"/>
      <c r="F27" s="1998"/>
      <c r="G27" s="1998" t="s">
        <v>605</v>
      </c>
      <c r="H27" s="1998"/>
      <c r="I27" s="1998"/>
      <c r="J27" s="1998"/>
      <c r="K27" s="1998"/>
      <c r="L27" s="1998"/>
      <c r="M27" s="1998"/>
      <c r="N27" s="788">
        <f>SUM(SUMIFS(【９】農業機械!$AY$17:$AY$116,【９】農業機械!$E$17:$E$116,"[13]田植機",【９】農業機械!$F$17:$F$116,"[2]３～５条植"))</f>
        <v>0</v>
      </c>
      <c r="O27" s="786">
        <f>SUM(SUMIFS(【９】農業機械!$AP$17:$AP$116,【９】農業機械!$E$17:$E$116,"[13]田植機",【９】農業機械!$F$17:$F$116,"[2]３～５条植"))</f>
        <v>0</v>
      </c>
    </row>
    <row r="28" spans="2:15" ht="30" hidden="1" customHeight="1">
      <c r="B28" s="1997"/>
      <c r="C28" s="1997"/>
      <c r="D28" s="1998"/>
      <c r="E28" s="1998"/>
      <c r="F28" s="1998"/>
      <c r="G28" s="1998" t="s">
        <v>606</v>
      </c>
      <c r="H28" s="1998"/>
      <c r="I28" s="1998"/>
      <c r="J28" s="1998"/>
      <c r="K28" s="1998"/>
      <c r="L28" s="1998"/>
      <c r="M28" s="1998"/>
      <c r="N28" s="788">
        <f>SUM(SUMIFS(【９】農業機械!$AY$17:$AY$116,【９】農業機械!$E$17:$E$116,"[13]田植機",【９】農業機械!$F$17:$F$116,"[3]６条植以上"))</f>
        <v>0</v>
      </c>
      <c r="O28" s="786">
        <f>SUM(SUMIFS(【９】農業機械!$AP$17:$AP$116,【９】農業機械!$E$17:$E$116,"[13]田植機",【９】農業機械!$F$17:$F$116,"[3]６条植以上"))</f>
        <v>0</v>
      </c>
    </row>
    <row r="29" spans="2:15" ht="30" customHeight="1">
      <c r="B29" s="1997"/>
      <c r="C29" s="1997"/>
      <c r="D29" s="1998" t="s">
        <v>607</v>
      </c>
      <c r="E29" s="1998"/>
      <c r="F29" s="1998"/>
      <c r="G29" s="1998"/>
      <c r="H29" s="1998"/>
      <c r="I29" s="1998"/>
      <c r="J29" s="1998"/>
      <c r="K29" s="1998"/>
      <c r="L29" s="1998"/>
      <c r="M29" s="1998"/>
      <c r="N29" s="788">
        <f>SUMIFS(【９】農業機械!$AY$17:$AY$116,【９】農業機械!$E$17:$E$116,"[08]たい肥等散布機")</f>
        <v>0</v>
      </c>
      <c r="O29" s="786">
        <f>SUMIFS(【９】農業機械!$AP$17:$AP$116,【９】農業機械!$E$17:$E$116,"[08]たい肥等散布機")</f>
        <v>0</v>
      </c>
    </row>
    <row r="30" spans="2:15" ht="30" customHeight="1">
      <c r="B30" s="1997"/>
      <c r="C30" s="1997"/>
      <c r="D30" s="1998" t="s">
        <v>608</v>
      </c>
      <c r="E30" s="1998"/>
      <c r="F30" s="1998"/>
      <c r="G30" s="1998"/>
      <c r="H30" s="1998"/>
      <c r="I30" s="1998"/>
      <c r="J30" s="1998"/>
      <c r="K30" s="1998"/>
      <c r="L30" s="1998"/>
      <c r="M30" s="1998"/>
      <c r="N30" s="788">
        <f>SUMIFS(【９】農業機械!$AY$17:$AY$116,【９】農業機械!$E$17:$E$116,"[10]総合は種機")</f>
        <v>0</v>
      </c>
      <c r="O30" s="786">
        <f>SUMIFS(【９】農業機械!$AP$17:$AP$116,【９】農業機械!$E$17:$E$116,"[10]総合は種機")</f>
        <v>0</v>
      </c>
    </row>
    <row r="31" spans="2:15" ht="30" customHeight="1">
      <c r="B31" s="1997"/>
      <c r="C31" s="1997"/>
      <c r="D31" s="1998" t="s">
        <v>609</v>
      </c>
      <c r="E31" s="1998"/>
      <c r="F31" s="1998"/>
      <c r="G31" s="1998"/>
      <c r="H31" s="1998"/>
      <c r="I31" s="1998"/>
      <c r="J31" s="1998"/>
      <c r="K31" s="1998"/>
      <c r="L31" s="1998"/>
      <c r="M31" s="1998"/>
      <c r="N31" s="788">
        <f>SUMIFS(【９】農業機械!$AY$17:$AY$116,【９】農業機械!$E$17:$E$116,"[14]移植機")</f>
        <v>0</v>
      </c>
      <c r="O31" s="786">
        <f>SUMIFS(【９】農業機械!$AP$17:$AP$116,【９】農業機械!$E$17:$E$116,"[14]移植機")</f>
        <v>0</v>
      </c>
    </row>
    <row r="32" spans="2:15" ht="30" customHeight="1">
      <c r="B32" s="1997"/>
      <c r="C32" s="1997"/>
      <c r="D32" s="1998" t="s">
        <v>610</v>
      </c>
      <c r="E32" s="1998"/>
      <c r="F32" s="1998"/>
      <c r="G32" s="1998"/>
      <c r="H32" s="1998"/>
      <c r="I32" s="1998"/>
      <c r="J32" s="1998"/>
      <c r="K32" s="1998"/>
      <c r="L32" s="1998"/>
      <c r="M32" s="1998"/>
      <c r="N32" s="788">
        <f>SUMIFS(【９】農業機械!$AY$17:$AY$116,【９】農業機械!$E$17:$E$116,"[16]中耕除草機")</f>
        <v>0</v>
      </c>
      <c r="O32" s="786">
        <f>SUMIFS(【９】農業機械!$AP$17:$AP$116,【９】農業機械!$E$17:$E$116,"[16]中耕除草機")</f>
        <v>0</v>
      </c>
    </row>
    <row r="33" spans="2:15" ht="30" customHeight="1">
      <c r="B33" s="1997"/>
      <c r="C33" s="1997"/>
      <c r="D33" s="1998" t="s">
        <v>611</v>
      </c>
      <c r="E33" s="1998"/>
      <c r="F33" s="1998"/>
      <c r="G33" s="1998"/>
      <c r="H33" s="1998"/>
      <c r="I33" s="1998"/>
      <c r="J33" s="1998"/>
      <c r="K33" s="1998"/>
      <c r="L33" s="1998"/>
      <c r="M33" s="1998"/>
      <c r="N33" s="788">
        <f>SUMIFS(【９】農業機械!$AY$17:$AY$116,【９】農業機械!$E$17:$E$116,"[09]肥料散布機")</f>
        <v>0</v>
      </c>
      <c r="O33" s="786">
        <f>SUMIFS(【９】農業機械!$AP$17:$AP$116,【９】農業機械!$E$17:$E$116,"[09]肥料散布機")</f>
        <v>0</v>
      </c>
    </row>
    <row r="34" spans="2:15" ht="30" customHeight="1">
      <c r="B34" s="1997"/>
      <c r="C34" s="1997"/>
      <c r="D34" s="1998" t="s">
        <v>612</v>
      </c>
      <c r="E34" s="1998"/>
      <c r="F34" s="1998"/>
      <c r="G34" s="1998"/>
      <c r="H34" s="1998"/>
      <c r="I34" s="1998"/>
      <c r="J34" s="1998"/>
      <c r="K34" s="1998"/>
      <c r="L34" s="1998"/>
      <c r="M34" s="1998"/>
      <c r="N34" s="788">
        <f>SUMIFS(【９】農業機械!$AY$17:$AY$116,【９】農業機械!$E$17:$E$116,"[17]動力噴霧機")</f>
        <v>0</v>
      </c>
      <c r="O34" s="786">
        <f>SUMIFS(【９】農業機械!$AP$17:$AP$116,【９】農業機械!$E$17:$E$116,"[17]動力噴霧機")</f>
        <v>0</v>
      </c>
    </row>
    <row r="35" spans="2:15" ht="30" customHeight="1">
      <c r="B35" s="1997"/>
      <c r="C35" s="1997"/>
      <c r="D35" s="1998" t="s">
        <v>613</v>
      </c>
      <c r="E35" s="1998"/>
      <c r="F35" s="1998"/>
      <c r="G35" s="1998"/>
      <c r="H35" s="1998"/>
      <c r="I35" s="1998"/>
      <c r="J35" s="1998"/>
      <c r="K35" s="1998"/>
      <c r="L35" s="1998"/>
      <c r="M35" s="1998"/>
      <c r="N35" s="788">
        <f>SUMIFS(【９】農業機械!$AY$17:$AY$116,【９】農業機械!$E$17:$E$116,"[18]動力散粉機")</f>
        <v>0</v>
      </c>
      <c r="O35" s="786">
        <f>SUMIFS(【９】農業機械!$AP$17:$AP$116,【９】農業機械!$E$17:$E$116,"[18]動力散粉機")</f>
        <v>0</v>
      </c>
    </row>
    <row r="36" spans="2:15" ht="30" hidden="1" customHeight="1">
      <c r="B36" s="1997"/>
      <c r="C36" s="1997"/>
      <c r="D36" s="1998" t="s">
        <v>614</v>
      </c>
      <c r="E36" s="1998"/>
      <c r="F36" s="1998"/>
      <c r="G36" s="1998"/>
      <c r="H36" s="1998"/>
      <c r="I36" s="1998"/>
      <c r="J36" s="1998"/>
      <c r="K36" s="1998"/>
      <c r="L36" s="1998"/>
      <c r="M36" s="1998"/>
      <c r="N36" s="788">
        <f>SUMIFS(【９】農業機械!$AY$17:$AY$116,【９】農業機械!$E$17:$E$116,"[19]バインダー")</f>
        <v>0</v>
      </c>
      <c r="O36" s="786">
        <f>SUMIFS(【９】農業機械!$AP$17:$AP$116,【９】農業機械!$E$17:$E$116,"[19]バインダー")</f>
        <v>0</v>
      </c>
    </row>
    <row r="37" spans="2:15" ht="30" customHeight="1">
      <c r="B37" s="1997"/>
      <c r="C37" s="1997"/>
      <c r="D37" s="2010" t="s">
        <v>615</v>
      </c>
      <c r="E37" s="2011"/>
      <c r="F37" s="2011"/>
      <c r="G37" s="1998" t="s">
        <v>616</v>
      </c>
      <c r="H37" s="1998"/>
      <c r="I37" s="1998"/>
      <c r="J37" s="1998"/>
      <c r="K37" s="1998"/>
      <c r="L37" s="1998"/>
      <c r="M37" s="1998"/>
      <c r="N37" s="788">
        <f>SUM(SUMIFS(【９】農業機械!$AY$17:$AY$116,【９】農業機械!$E$17:$E$116,"[20]自脱型コンバイン",【９】農業機械!$F$17:$F$116,"[1]３条刈以下"))</f>
        <v>0</v>
      </c>
      <c r="O37" s="786">
        <f>SUM(SUMIFS(【９】農業機械!$AP$17:$AP$116,【９】農業機械!$E$17:$E$116,"[20]自脱型コンバイン",【９】農業機械!$F$17:$F$116,"[1]３条刈以下"))</f>
        <v>0</v>
      </c>
    </row>
    <row r="38" spans="2:15" ht="30" customHeight="1">
      <c r="B38" s="1997"/>
      <c r="C38" s="1997"/>
      <c r="D38" s="2011"/>
      <c r="E38" s="2011"/>
      <c r="F38" s="2011"/>
      <c r="G38" s="1998" t="s">
        <v>617</v>
      </c>
      <c r="H38" s="1998"/>
      <c r="I38" s="1998"/>
      <c r="J38" s="1998"/>
      <c r="K38" s="1998"/>
      <c r="L38" s="1998"/>
      <c r="M38" s="1998"/>
      <c r="N38" s="788">
        <f>SUM(SUMIFS(【９】農業機械!$AY$17:$AY$116,【９】農業機械!$E$17:$E$116,"[20]自脱型コンバイン",【９】農業機械!$F$17:$F$116,"[2]４条刈以上"))</f>
        <v>0</v>
      </c>
      <c r="O38" s="786">
        <f>SUM(SUMIFS(【９】農業機械!$AP$17:$AP$116,【９】農業機械!$E$17:$E$116,"[20]自脱型コンバイン",【９】農業機械!$F$17:$F$116,"[2]４条刈以上"))</f>
        <v>0</v>
      </c>
    </row>
    <row r="39" spans="2:15" ht="30" customHeight="1">
      <c r="B39" s="1997"/>
      <c r="C39" s="1997"/>
      <c r="D39" s="1998" t="s">
        <v>618</v>
      </c>
      <c r="E39" s="1998"/>
      <c r="F39" s="1998"/>
      <c r="G39" s="1998"/>
      <c r="H39" s="1998"/>
      <c r="I39" s="1998"/>
      <c r="J39" s="1998"/>
      <c r="K39" s="1998"/>
      <c r="L39" s="1998"/>
      <c r="M39" s="1998"/>
      <c r="N39" s="788">
        <f>SUMIFS(【９】農業機械!$AY$17:$AY$116,【９】農業機械!$E$17:$E$116,"[21]普通型コンバイン")</f>
        <v>0</v>
      </c>
      <c r="O39" s="786">
        <f>SUMIFS(【９】農業機械!$AP$17:$AP$116,【９】農業機械!$E$17:$E$116,"[21]普通型コンバイン")</f>
        <v>0</v>
      </c>
    </row>
    <row r="40" spans="2:15" ht="30" customHeight="1">
      <c r="B40" s="1997"/>
      <c r="C40" s="1997"/>
      <c r="D40" s="1998" t="s">
        <v>619</v>
      </c>
      <c r="E40" s="1998"/>
      <c r="F40" s="1998"/>
      <c r="G40" s="1998"/>
      <c r="H40" s="1998"/>
      <c r="I40" s="1998"/>
      <c r="J40" s="1998"/>
      <c r="K40" s="1998"/>
      <c r="L40" s="1998"/>
      <c r="M40" s="1998"/>
      <c r="N40" s="788">
        <f>SUM(SUMIFS(【９】農業機械!$AY$17:$AY$116,【９】農業機械!$E$17:$E$116,{"[22]そば収穫機","[23]大豆収穫機","[24]かんしょ収穫機","[25]ばれいしょ収穫機","[26]なたね収穫機","[27]てんさい収穫機","[28]さとうきび収穫機"}))</f>
        <v>0</v>
      </c>
      <c r="O40" s="786">
        <f>SUM(SUMIFS(【９】農業機械!$AP$17:$AP$116,【９】農業機械!$E$17:$E$116,{"[22]そば収穫機","[23]大豆収穫機","[24]かんしょ収穫機","[25]ばれいしょ収穫機","[26]なたね収穫機","[27]てんさい収穫機","[28]さとうきび収穫機"}))</f>
        <v>0</v>
      </c>
    </row>
    <row r="41" spans="2:15" ht="30" customHeight="1">
      <c r="B41" s="1997"/>
      <c r="C41" s="1997"/>
      <c r="D41" s="1998" t="s">
        <v>620</v>
      </c>
      <c r="E41" s="1998"/>
      <c r="F41" s="1998"/>
      <c r="G41" s="1998"/>
      <c r="H41" s="1998"/>
      <c r="I41" s="1998"/>
      <c r="J41" s="1998"/>
      <c r="K41" s="1998"/>
      <c r="L41" s="1998"/>
      <c r="M41" s="1998"/>
      <c r="N41" s="788">
        <f>SUMIFS(【９】農業機械!$AY$17:$AY$116,【９】農業機械!$E$17:$E$116,"[29]脱穀機")</f>
        <v>0</v>
      </c>
      <c r="O41" s="786">
        <f>SUMIFS(【９】農業機械!$AP$17:$AP$116,【９】農業機械!$E$17:$E$116,"[29]脱穀機")</f>
        <v>0</v>
      </c>
    </row>
    <row r="42" spans="2:15" ht="30" customHeight="1">
      <c r="B42" s="1997"/>
      <c r="C42" s="1997"/>
      <c r="D42" s="1998" t="s">
        <v>621</v>
      </c>
      <c r="E42" s="1998"/>
      <c r="F42" s="1998"/>
      <c r="G42" s="1998"/>
      <c r="H42" s="1998"/>
      <c r="I42" s="1998"/>
      <c r="J42" s="1998"/>
      <c r="K42" s="1998"/>
      <c r="L42" s="1998"/>
      <c r="M42" s="1998"/>
      <c r="N42" s="788">
        <f>SUMIFS(【９】農業機械!$AY$17:$AY$116,【９】農業機械!$E$17:$E$116,"[30]きび脱葉機")</f>
        <v>0</v>
      </c>
      <c r="O42" s="786">
        <f>SUMIFS(【９】農業機械!$AP$17:$AP$116,【９】農業機械!$E$17:$E$116,"[30]きび脱葉機")</f>
        <v>0</v>
      </c>
    </row>
    <row r="43" spans="2:15" ht="30" hidden="1" customHeight="1">
      <c r="B43" s="1997"/>
      <c r="C43" s="1997"/>
      <c r="D43" s="1998" t="s">
        <v>622</v>
      </c>
      <c r="E43" s="1998"/>
      <c r="F43" s="1998"/>
      <c r="G43" s="1998"/>
      <c r="H43" s="1998"/>
      <c r="I43" s="1998"/>
      <c r="J43" s="1998"/>
      <c r="K43" s="1998"/>
      <c r="L43" s="1998"/>
      <c r="M43" s="1998"/>
      <c r="N43" s="788">
        <f>SUMIFS(【９】農業機械!$AY$17:$AY$116,【９】農業機械!$E$17:$E$116,"[32]もみすり機")</f>
        <v>0</v>
      </c>
      <c r="O43" s="786">
        <f>SUMIFS(【９】農業機械!$AP$17:$AP$116,【９】農業機械!$E$17:$E$116,"[32]もみすり機")</f>
        <v>0</v>
      </c>
    </row>
    <row r="44" spans="2:15" ht="30" hidden="1" customHeight="1">
      <c r="B44" s="1997"/>
      <c r="C44" s="1997"/>
      <c r="D44" s="1998" t="s">
        <v>623</v>
      </c>
      <c r="E44" s="1998"/>
      <c r="F44" s="1998"/>
      <c r="G44" s="1998" t="s">
        <v>624</v>
      </c>
      <c r="H44" s="1998"/>
      <c r="I44" s="1998"/>
      <c r="J44" s="1998"/>
      <c r="K44" s="1998"/>
      <c r="L44" s="1998"/>
      <c r="M44" s="1998"/>
      <c r="N44" s="788">
        <f>SUM(SUMIFS(【９】農業機械!$AY$17:$AY$116,【９】農業機械!$E$17:$E$116,"[31]乾燥機",【９】農業機械!$F$17:$F$116,"[1]静置式"))</f>
        <v>0</v>
      </c>
      <c r="O44" s="786">
        <f>SUM(SUMIFS(【９】農業機械!$AP$17:$AP$116,【９】農業機械!$E$17:$E$116,"[31]乾燥機",【９】農業機械!$F$17:$F$116,"[1]静置式"))</f>
        <v>0</v>
      </c>
    </row>
    <row r="45" spans="2:15" ht="30" hidden="1" customHeight="1">
      <c r="B45" s="1997"/>
      <c r="C45" s="1997"/>
      <c r="D45" s="1998"/>
      <c r="E45" s="1998"/>
      <c r="F45" s="1998"/>
      <c r="G45" s="1998" t="s">
        <v>625</v>
      </c>
      <c r="H45" s="1998"/>
      <c r="I45" s="1998"/>
      <c r="J45" s="1998"/>
      <c r="K45" s="1998"/>
      <c r="L45" s="1998"/>
      <c r="M45" s="1998"/>
      <c r="N45" s="788">
        <f>SUM(SUMIFS(【９】農業機械!$AY$17:$AY$116,【９】農業機械!$E$17:$E$116,"[31]乾燥機",【９】農業機械!$F$17:$F$116,"[2]循環式"))</f>
        <v>0</v>
      </c>
      <c r="O45" s="786">
        <f>SUM(SUMIFS(【９】農業機械!$AP$17:$AP$116,【９】農業機械!$E$17:$E$116,"[31]乾燥機",【９】農業機械!$F$17:$F$116,"[2]循環式"))</f>
        <v>0</v>
      </c>
    </row>
    <row r="46" spans="2:15" ht="30" customHeight="1">
      <c r="B46" s="1997"/>
      <c r="C46" s="1997"/>
      <c r="D46" s="1998" t="s">
        <v>623</v>
      </c>
      <c r="E46" s="1998"/>
      <c r="F46" s="1998"/>
      <c r="G46" s="1998"/>
      <c r="H46" s="1998"/>
      <c r="I46" s="1998"/>
      <c r="J46" s="1998"/>
      <c r="K46" s="1998"/>
      <c r="L46" s="1998"/>
      <c r="M46" s="1998"/>
      <c r="N46" s="788">
        <f>SUMIFS(【９】農業機械!$AY$17:$AY$116,【９】農業機械!$E$17:$E$116,"[31]乾燥機")</f>
        <v>0</v>
      </c>
      <c r="O46" s="786">
        <f>SUMIFS(【９】農業機械!$AP$17:$AP$116,【９】農業機械!$E$17:$E$116,"[31]乾燥機")</f>
        <v>0</v>
      </c>
    </row>
    <row r="47" spans="2:15" ht="30" customHeight="1">
      <c r="B47" s="1997"/>
      <c r="C47" s="1997"/>
      <c r="D47" s="1998" t="s">
        <v>626</v>
      </c>
      <c r="E47" s="1998"/>
      <c r="F47" s="1998"/>
      <c r="G47" s="1998"/>
      <c r="H47" s="1998"/>
      <c r="I47" s="1998"/>
      <c r="J47" s="1998"/>
      <c r="K47" s="1998"/>
      <c r="L47" s="1998"/>
      <c r="M47" s="1998"/>
      <c r="N47" s="788">
        <f>SUMIFS(【９】農業機械!$AY$17:$AY$116,【９】農業機械!$E$17:$E$116,"[54]トレーラー")</f>
        <v>0</v>
      </c>
      <c r="O47" s="786">
        <f>SUMIFS(【９】農業機械!$AP$17:$AP$116,【９】農業機械!$E$17:$E$116,"[54]トレーラー")</f>
        <v>0</v>
      </c>
    </row>
    <row r="48" spans="2:15" ht="30" customHeight="1">
      <c r="B48" s="1997"/>
      <c r="C48" s="1997"/>
      <c r="D48" s="1998" t="s">
        <v>587</v>
      </c>
      <c r="E48" s="1998"/>
      <c r="F48" s="1998"/>
      <c r="G48" s="1998"/>
      <c r="H48" s="1998"/>
      <c r="I48" s="1998"/>
      <c r="J48" s="1998"/>
      <c r="K48" s="1998"/>
      <c r="L48" s="1998"/>
      <c r="M48" s="1998"/>
      <c r="N48" s="785"/>
      <c r="O48" s="786">
        <f>SUM(SUMIFS(【９】農業機械!$AP$17:$AP$116,【９】農業機械!$E$17:$E$116,"[56]その他の農機具"))</f>
        <v>0</v>
      </c>
    </row>
    <row r="49" spans="2:15" ht="30" customHeight="1">
      <c r="B49" s="1997"/>
      <c r="C49" s="1997"/>
      <c r="D49" s="1999" t="s">
        <v>588</v>
      </c>
      <c r="E49" s="2000"/>
      <c r="F49" s="2000"/>
      <c r="G49" s="2000"/>
      <c r="H49" s="2000"/>
      <c r="I49" s="2000"/>
      <c r="J49" s="2000"/>
      <c r="K49" s="2000"/>
      <c r="L49" s="2000"/>
      <c r="M49" s="2001"/>
      <c r="N49" s="785"/>
      <c r="O49" s="786">
        <f>SUBTOTAL(109,O18:O48)</f>
        <v>0</v>
      </c>
    </row>
    <row r="50" spans="2:15" ht="30" customHeight="1">
      <c r="B50" s="2008"/>
      <c r="C50" s="2008"/>
      <c r="D50" s="787"/>
      <c r="E50" s="787"/>
      <c r="F50" s="787"/>
      <c r="G50" s="2002" t="s">
        <v>627</v>
      </c>
      <c r="H50" s="2003"/>
      <c r="I50" s="2003"/>
      <c r="J50" s="2003"/>
      <c r="K50" s="2003"/>
      <c r="L50" s="2003"/>
      <c r="M50" s="2012"/>
      <c r="N50" s="785"/>
      <c r="O50" s="786">
        <f>【９】農業機械!AQ15</f>
        <v>0</v>
      </c>
    </row>
    <row r="51" spans="2:15" ht="30" customHeight="1">
      <c r="B51" s="2013" t="s">
        <v>628</v>
      </c>
      <c r="C51" s="2014"/>
      <c r="D51" s="2014"/>
      <c r="E51" s="2014"/>
      <c r="F51" s="2014"/>
      <c r="G51" s="2014"/>
      <c r="H51" s="2014"/>
      <c r="I51" s="2014"/>
      <c r="J51" s="2014"/>
      <c r="K51" s="2014"/>
      <c r="L51" s="2014"/>
      <c r="M51" s="2015"/>
      <c r="N51" s="785"/>
      <c r="O51" s="786">
        <f>【９】農業機械!AP16</f>
        <v>0</v>
      </c>
    </row>
    <row r="52" spans="2:15" ht="30" customHeight="1">
      <c r="B52" s="789"/>
      <c r="C52" s="790"/>
      <c r="D52" s="2002" t="s">
        <v>627</v>
      </c>
      <c r="E52" s="2003"/>
      <c r="F52" s="2003"/>
      <c r="G52" s="2003"/>
      <c r="H52" s="2003"/>
      <c r="I52" s="2003"/>
      <c r="J52" s="2003"/>
      <c r="K52" s="2003"/>
      <c r="L52" s="2003"/>
      <c r="M52" s="2012"/>
      <c r="N52" s="785"/>
      <c r="O52" s="786">
        <f>【９】農業機械!AQ16</f>
        <v>0</v>
      </c>
    </row>
  </sheetData>
  <sheetProtection sheet="1" objects="1" scenarios="1" selectLockedCells="1"/>
  <mergeCells count="58">
    <mergeCell ref="D52:M52"/>
    <mergeCell ref="D42:M42"/>
    <mergeCell ref="D43:M43"/>
    <mergeCell ref="D44:F45"/>
    <mergeCell ref="G44:M44"/>
    <mergeCell ref="G45:M45"/>
    <mergeCell ref="D46:M46"/>
    <mergeCell ref="D47:M47"/>
    <mergeCell ref="D48:M48"/>
    <mergeCell ref="D49:M49"/>
    <mergeCell ref="G50:M50"/>
    <mergeCell ref="B51:M51"/>
    <mergeCell ref="D41:M41"/>
    <mergeCell ref="D31:M31"/>
    <mergeCell ref="D32:M32"/>
    <mergeCell ref="D33:M33"/>
    <mergeCell ref="D34:M34"/>
    <mergeCell ref="D35:M35"/>
    <mergeCell ref="D36:M36"/>
    <mergeCell ref="D37:F38"/>
    <mergeCell ref="G37:M37"/>
    <mergeCell ref="G38:M38"/>
    <mergeCell ref="D39:M39"/>
    <mergeCell ref="D40:M40"/>
    <mergeCell ref="D30:M30"/>
    <mergeCell ref="B18:C50"/>
    <mergeCell ref="D18:M18"/>
    <mergeCell ref="D19:M19"/>
    <mergeCell ref="D20:M20"/>
    <mergeCell ref="D21:F23"/>
    <mergeCell ref="G21:M21"/>
    <mergeCell ref="G22:M22"/>
    <mergeCell ref="G23:M23"/>
    <mergeCell ref="D24:M24"/>
    <mergeCell ref="D25:M25"/>
    <mergeCell ref="D26:F28"/>
    <mergeCell ref="G26:M26"/>
    <mergeCell ref="G27:M27"/>
    <mergeCell ref="G28:M28"/>
    <mergeCell ref="D29:M29"/>
    <mergeCell ref="B14:C17"/>
    <mergeCell ref="D14:M14"/>
    <mergeCell ref="D15:M15"/>
    <mergeCell ref="D16:M16"/>
    <mergeCell ref="G17:M17"/>
    <mergeCell ref="B2:O2"/>
    <mergeCell ref="B3:M3"/>
    <mergeCell ref="B4:C13"/>
    <mergeCell ref="D4:M4"/>
    <mergeCell ref="D5:M5"/>
    <mergeCell ref="D6:M6"/>
    <mergeCell ref="D7:M7"/>
    <mergeCell ref="D8:M8"/>
    <mergeCell ref="D9:M9"/>
    <mergeCell ref="D10:M10"/>
    <mergeCell ref="D11:M11"/>
    <mergeCell ref="D12:M12"/>
    <mergeCell ref="G13:M13"/>
  </mergeCells>
  <phoneticPr fontId="5"/>
  <pageMargins left="0.70866141732283472" right="0.70866141732283472" top="0.74803149606299213" bottom="0.74803149606299213" header="0.31496062992125984" footer="0.31496062992125984"/>
  <pageSetup paperSize="9" scale="67"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9">
    <outlinePr summaryBelow="0"/>
    <pageSetUpPr fitToPage="1"/>
  </sheetPr>
  <dimension ref="A1:CC117"/>
  <sheetViews>
    <sheetView showGridLines="0" zoomScale="70" zoomScaleNormal="70" zoomScaleSheetLayoutView="70" workbookViewId="0">
      <pane xSplit="1" ySplit="13" topLeftCell="B14" activePane="bottomRight" state="frozen"/>
      <selection pane="topRight"/>
      <selection pane="bottomLeft"/>
      <selection pane="bottomRight" activeCell="O14" sqref="O14:V14"/>
    </sheetView>
  </sheetViews>
  <sheetFormatPr defaultColWidth="2.625" defaultRowHeight="14.25" customHeight="1" outlineLevelRow="1" outlineLevelCol="1"/>
  <cols>
    <col min="1" max="35" width="2.625" style="2" customWidth="1"/>
    <col min="36" max="36" width="2.625" style="173" customWidth="1"/>
    <col min="37" max="75" width="2.625" style="2" customWidth="1"/>
    <col min="76" max="76" width="2.625" style="173" customWidth="1"/>
    <col min="77" max="79" width="2.625" style="2" outlineLevel="1"/>
    <col min="80" max="80" width="27" style="2" customWidth="1" outlineLevel="1"/>
    <col min="81" max="81" width="17.375" style="2" customWidth="1" outlineLevel="1"/>
    <col min="82" max="16384" width="2.625" style="2"/>
  </cols>
  <sheetData>
    <row r="1" spans="1:81" ht="14.25" customHeight="1">
      <c r="CA1" s="2" t="s">
        <v>372</v>
      </c>
    </row>
    <row r="2" spans="1:81" ht="14.25" customHeight="1">
      <c r="A2" s="107" t="s">
        <v>629</v>
      </c>
      <c r="AO2" s="107"/>
      <c r="CA2" s="107" t="s">
        <v>629</v>
      </c>
    </row>
    <row r="3" spans="1:81" s="46" customFormat="1" ht="14.25" customHeight="1">
      <c r="B3" s="46" t="s">
        <v>630</v>
      </c>
      <c r="AJ3" s="686"/>
      <c r="AO3" s="2"/>
      <c r="AP3" s="791"/>
      <c r="AQ3" s="791"/>
      <c r="AR3" s="748"/>
      <c r="AS3" s="2"/>
      <c r="AT3" s="2"/>
      <c r="AU3" s="748"/>
      <c r="AV3" s="748"/>
      <c r="AW3" s="748"/>
      <c r="AX3" s="748"/>
      <c r="AY3" s="748"/>
      <c r="AZ3" s="607"/>
      <c r="BA3" s="607"/>
      <c r="BB3" s="607"/>
      <c r="BC3" s="607"/>
      <c r="BD3" s="607"/>
      <c r="BE3" s="607"/>
      <c r="BF3" s="607"/>
      <c r="BG3" s="607"/>
      <c r="BH3" s="607"/>
      <c r="BI3" s="607"/>
      <c r="BJ3" s="607"/>
      <c r="BK3" s="607"/>
      <c r="BL3" s="607"/>
      <c r="BM3" s="607"/>
      <c r="BN3" s="607"/>
      <c r="BO3" s="607"/>
      <c r="BP3" s="607"/>
      <c r="BQ3" s="2"/>
      <c r="BR3" s="2"/>
      <c r="BS3" s="2"/>
      <c r="BT3" s="2"/>
      <c r="BU3" s="2"/>
      <c r="BV3" s="2"/>
      <c r="BW3" s="2"/>
      <c r="BX3" s="686"/>
    </row>
    <row r="4" spans="1:81" s="46" customFormat="1" ht="14.25" customHeight="1">
      <c r="B4" s="58" t="s">
        <v>631</v>
      </c>
      <c r="AJ4" s="686"/>
      <c r="AO4" s="2"/>
      <c r="AP4" s="791"/>
      <c r="AQ4" s="791"/>
      <c r="AR4" s="748"/>
      <c r="AS4" s="2"/>
      <c r="AT4" s="2"/>
      <c r="AU4" s="748"/>
      <c r="AV4" s="748"/>
      <c r="AW4" s="748"/>
      <c r="AX4" s="748"/>
      <c r="AY4" s="748"/>
      <c r="AZ4" s="607"/>
      <c r="BA4" s="607"/>
      <c r="BB4" s="607"/>
      <c r="BC4" s="607"/>
      <c r="BD4" s="607"/>
      <c r="BE4" s="607"/>
      <c r="BF4" s="607"/>
      <c r="BG4" s="607"/>
      <c r="BH4" s="607"/>
      <c r="BI4" s="607"/>
      <c r="BJ4" s="607"/>
      <c r="BK4" s="607"/>
      <c r="BL4" s="607"/>
      <c r="BM4" s="607"/>
      <c r="BN4" s="607"/>
      <c r="BO4" s="607"/>
      <c r="BP4" s="607"/>
      <c r="BQ4" s="2"/>
      <c r="BR4" s="2"/>
      <c r="BS4" s="2"/>
      <c r="BT4" s="2"/>
      <c r="BU4" s="2"/>
      <c r="BV4" s="2"/>
      <c r="BW4" s="2"/>
      <c r="BX4" s="686"/>
    </row>
    <row r="5" spans="1:81" s="46" customFormat="1" ht="14.25" customHeight="1">
      <c r="AJ5" s="686"/>
      <c r="AO5" s="2"/>
      <c r="AP5" s="791"/>
      <c r="AQ5" s="791"/>
      <c r="AR5" s="748"/>
      <c r="AS5" s="2"/>
      <c r="AT5" s="2"/>
      <c r="AU5" s="748"/>
      <c r="AV5" s="748"/>
      <c r="AW5" s="748"/>
      <c r="AX5" s="748"/>
      <c r="AY5" s="748"/>
      <c r="AZ5" s="607"/>
      <c r="BA5" s="607"/>
      <c r="BB5" s="607"/>
      <c r="BC5" s="607"/>
      <c r="BD5" s="607"/>
      <c r="BE5" s="607"/>
      <c r="BF5" s="607"/>
      <c r="BG5" s="607"/>
      <c r="BH5" s="607"/>
      <c r="BI5" s="607"/>
      <c r="BJ5" s="607"/>
      <c r="BK5" s="607"/>
      <c r="BL5" s="607"/>
      <c r="BM5" s="607"/>
      <c r="BN5" s="607"/>
      <c r="BO5" s="607"/>
      <c r="BP5" s="607"/>
      <c r="BQ5" s="2"/>
      <c r="BR5" s="2"/>
      <c r="BS5" s="2"/>
      <c r="BT5" s="2"/>
      <c r="BU5" s="2"/>
      <c r="BV5" s="2"/>
      <c r="BW5" s="2"/>
      <c r="BX5" s="686"/>
    </row>
    <row r="6" spans="1:81" s="46" customFormat="1" ht="14.25" customHeight="1">
      <c r="AJ6" s="686"/>
      <c r="AO6" s="2"/>
      <c r="AP6" s="791"/>
      <c r="AQ6" s="791"/>
      <c r="AR6" s="748"/>
      <c r="AS6" s="748"/>
      <c r="AT6" s="748"/>
      <c r="AU6" s="748"/>
      <c r="AV6" s="748"/>
      <c r="AW6" s="748"/>
      <c r="AX6" s="748"/>
      <c r="AY6" s="748"/>
      <c r="AZ6" s="607"/>
      <c r="BA6" s="607"/>
      <c r="BB6" s="607"/>
      <c r="BC6" s="607"/>
      <c r="BD6" s="607"/>
      <c r="BE6" s="607"/>
      <c r="BF6" s="607"/>
      <c r="BG6" s="607"/>
      <c r="BH6" s="607"/>
      <c r="BI6" s="607"/>
      <c r="BJ6" s="607"/>
      <c r="BK6" s="607"/>
      <c r="BL6" s="607"/>
      <c r="BM6" s="607"/>
      <c r="BN6" s="607"/>
      <c r="BO6" s="607"/>
      <c r="BP6" s="607"/>
      <c r="BQ6" s="2"/>
      <c r="BR6" s="2"/>
      <c r="BS6" s="2"/>
      <c r="BT6" s="2"/>
      <c r="BU6" s="2"/>
      <c r="BV6" s="2"/>
      <c r="BW6" s="2"/>
      <c r="BX6" s="686"/>
    </row>
    <row r="7" spans="1:81" s="46" customFormat="1" ht="14.25" customHeight="1">
      <c r="AJ7" s="686"/>
      <c r="AO7" s="2"/>
      <c r="AP7" s="791"/>
      <c r="AQ7" s="791"/>
      <c r="AR7" s="748"/>
      <c r="AS7" s="748"/>
      <c r="AT7" s="748"/>
      <c r="AU7" s="748"/>
      <c r="AV7" s="748"/>
      <c r="AW7" s="748"/>
      <c r="AX7" s="748"/>
      <c r="AY7" s="748"/>
      <c r="AZ7" s="607"/>
      <c r="BA7" s="607"/>
      <c r="BB7" s="607"/>
      <c r="BC7" s="607"/>
      <c r="BD7" s="607"/>
      <c r="BE7" s="607"/>
      <c r="BF7" s="607"/>
      <c r="BG7" s="607"/>
      <c r="BH7" s="607"/>
      <c r="BI7" s="607"/>
      <c r="BJ7" s="607"/>
      <c r="BK7" s="607"/>
      <c r="BL7" s="607"/>
      <c r="BM7" s="607"/>
      <c r="BN7" s="607"/>
      <c r="BO7" s="607"/>
      <c r="BP7" s="607"/>
      <c r="BQ7" s="2"/>
      <c r="BR7" s="2"/>
      <c r="BS7" s="2"/>
      <c r="BT7" s="2"/>
      <c r="BU7" s="2"/>
      <c r="BV7" s="2"/>
      <c r="BW7" s="2"/>
      <c r="BX7" s="686"/>
    </row>
    <row r="8" spans="1:81" s="46" customFormat="1" ht="14.25" customHeight="1">
      <c r="AJ8" s="686"/>
      <c r="AO8" s="2"/>
      <c r="AP8" s="791"/>
      <c r="AQ8" s="791"/>
      <c r="AR8" s="748"/>
      <c r="AS8" s="748"/>
      <c r="AT8" s="748"/>
      <c r="AU8" s="748"/>
      <c r="AV8" s="748"/>
      <c r="AW8" s="748"/>
      <c r="AX8" s="748"/>
      <c r="AY8" s="748"/>
      <c r="AZ8" s="607"/>
      <c r="BA8" s="607"/>
      <c r="BB8" s="607"/>
      <c r="BC8" s="607"/>
      <c r="BD8" s="607"/>
      <c r="BE8" s="607"/>
      <c r="BF8" s="607"/>
      <c r="BG8" s="607"/>
      <c r="BH8" s="607"/>
      <c r="BI8" s="607"/>
      <c r="BJ8" s="607"/>
      <c r="BK8" s="607"/>
      <c r="BL8" s="607"/>
      <c r="BM8" s="607"/>
      <c r="BN8" s="607"/>
      <c r="BO8" s="607"/>
      <c r="BP8" s="607"/>
      <c r="BQ8" s="2"/>
      <c r="BR8" s="2"/>
      <c r="BS8" s="2"/>
      <c r="BT8" s="2"/>
      <c r="BU8" s="2"/>
      <c r="BV8" s="2"/>
      <c r="BW8" s="2"/>
      <c r="BX8" s="686"/>
    </row>
    <row r="9" spans="1:81" ht="14.25" customHeight="1">
      <c r="A9" s="107"/>
      <c r="AP9" s="791"/>
      <c r="AQ9" s="791"/>
      <c r="AR9" s="748"/>
      <c r="AS9" s="748"/>
      <c r="AT9" s="748"/>
      <c r="AU9" s="748"/>
      <c r="AV9" s="748"/>
      <c r="AW9" s="748"/>
      <c r="AX9" s="748"/>
      <c r="AY9" s="748"/>
      <c r="AZ9" s="607"/>
      <c r="BA9" s="607"/>
      <c r="BB9" s="607"/>
      <c r="BC9" s="607"/>
      <c r="BD9" s="607"/>
      <c r="BE9" s="607"/>
      <c r="BF9" s="607"/>
      <c r="BG9" s="607"/>
      <c r="BH9" s="607"/>
      <c r="BI9" s="607"/>
      <c r="BJ9" s="607"/>
      <c r="BK9" s="607"/>
      <c r="BL9" s="607"/>
      <c r="BM9" s="607"/>
      <c r="BN9" s="607"/>
      <c r="BO9" s="607"/>
      <c r="BP9" s="607"/>
    </row>
    <row r="10" spans="1:81" ht="14.25" customHeight="1" thickBot="1">
      <c r="A10" s="107"/>
      <c r="AP10" s="791"/>
      <c r="AQ10" s="791"/>
      <c r="AR10" s="748"/>
      <c r="AS10" s="748"/>
      <c r="AT10" s="748"/>
      <c r="AU10" s="748"/>
      <c r="AV10" s="748"/>
      <c r="AW10" s="748"/>
      <c r="AX10" s="748"/>
      <c r="AY10" s="748"/>
      <c r="AZ10" s="607"/>
      <c r="BA10" s="607"/>
      <c r="BB10" s="607"/>
      <c r="BC10" s="607"/>
      <c r="BD10" s="607"/>
      <c r="BE10" s="607"/>
      <c r="BF10" s="607"/>
      <c r="BG10" s="607"/>
      <c r="BH10" s="607"/>
      <c r="BI10" s="607"/>
      <c r="BJ10" s="607"/>
      <c r="BK10" s="607"/>
      <c r="BL10" s="607"/>
      <c r="BM10" s="607"/>
      <c r="BN10" s="607"/>
      <c r="BO10" s="607"/>
      <c r="BP10" s="607"/>
    </row>
    <row r="11" spans="1:81" ht="14.1" customHeight="1">
      <c r="B11" s="792"/>
      <c r="C11" s="793"/>
      <c r="D11" s="1653" t="s">
        <v>632</v>
      </c>
      <c r="E11" s="1653"/>
      <c r="F11" s="1653"/>
      <c r="G11" s="1653"/>
      <c r="H11" s="1653"/>
      <c r="I11" s="1653"/>
      <c r="J11" s="1653"/>
      <c r="K11" s="1653"/>
      <c r="L11" s="1653"/>
      <c r="M11" s="1653"/>
      <c r="N11" s="794"/>
      <c r="O11" s="795"/>
      <c r="P11" s="2025" t="s">
        <v>207</v>
      </c>
      <c r="Q11" s="2025"/>
      <c r="R11" s="2025"/>
      <c r="S11" s="2025"/>
      <c r="T11" s="2025"/>
      <c r="U11" s="2025"/>
      <c r="V11" s="796"/>
      <c r="W11" s="1175" t="s">
        <v>290</v>
      </c>
      <c r="X11" s="1541"/>
      <c r="Y11" s="1542"/>
      <c r="Z11" s="1237" t="s">
        <v>206</v>
      </c>
      <c r="AA11" s="1237"/>
      <c r="AB11" s="1237"/>
      <c r="AC11" s="1237"/>
      <c r="AD11" s="1237"/>
      <c r="AE11" s="1237"/>
      <c r="AF11" s="1237"/>
      <c r="AG11" s="1237"/>
      <c r="AH11" s="1237"/>
      <c r="AI11" s="1260"/>
      <c r="AJ11" s="797"/>
      <c r="AK11" s="147"/>
      <c r="AL11" s="147"/>
      <c r="AM11" s="147"/>
      <c r="AN11" s="147"/>
      <c r="AP11" s="792"/>
      <c r="AQ11" s="793"/>
      <c r="AR11" s="1653" t="s">
        <v>632</v>
      </c>
      <c r="AS11" s="1653"/>
      <c r="AT11" s="1653"/>
      <c r="AU11" s="1653"/>
      <c r="AV11" s="1653"/>
      <c r="AW11" s="1653"/>
      <c r="AX11" s="1653"/>
      <c r="AY11" s="1653"/>
      <c r="AZ11" s="1653"/>
      <c r="BA11" s="1653"/>
      <c r="BB11" s="794"/>
      <c r="BC11" s="795"/>
      <c r="BD11" s="2025" t="s">
        <v>207</v>
      </c>
      <c r="BE11" s="2025"/>
      <c r="BF11" s="2025"/>
      <c r="BG11" s="2025"/>
      <c r="BH11" s="2025"/>
      <c r="BI11" s="2025"/>
      <c r="BJ11" s="796"/>
      <c r="BK11" s="1175" t="s">
        <v>290</v>
      </c>
      <c r="BL11" s="1541"/>
      <c r="BM11" s="1542"/>
      <c r="BN11" s="1237" t="s">
        <v>206</v>
      </c>
      <c r="BO11" s="1237"/>
      <c r="BP11" s="1237"/>
      <c r="BQ11" s="1237"/>
      <c r="BR11" s="1237"/>
      <c r="BS11" s="1237"/>
      <c r="BT11" s="1237"/>
      <c r="BU11" s="1237"/>
      <c r="BV11" s="1237"/>
      <c r="BW11" s="1260"/>
      <c r="CB11" s="2016" t="s">
        <v>632</v>
      </c>
      <c r="CC11" s="2017" t="s">
        <v>207</v>
      </c>
    </row>
    <row r="12" spans="1:81" ht="14.1" customHeight="1">
      <c r="B12" s="798"/>
      <c r="C12" s="145"/>
      <c r="D12" s="1654"/>
      <c r="E12" s="1654"/>
      <c r="F12" s="1654"/>
      <c r="G12" s="1654"/>
      <c r="H12" s="1654"/>
      <c r="I12" s="1654"/>
      <c r="J12" s="1654"/>
      <c r="K12" s="1654"/>
      <c r="L12" s="1654"/>
      <c r="M12" s="1654"/>
      <c r="N12" s="540"/>
      <c r="O12" s="146"/>
      <c r="P12" s="1119"/>
      <c r="Q12" s="1119"/>
      <c r="R12" s="1119"/>
      <c r="S12" s="1119"/>
      <c r="T12" s="1119"/>
      <c r="U12" s="1119"/>
      <c r="V12" s="799"/>
      <c r="W12" s="1543"/>
      <c r="X12" s="1544"/>
      <c r="Y12" s="1545"/>
      <c r="Z12" s="1406"/>
      <c r="AA12" s="1406"/>
      <c r="AB12" s="1406"/>
      <c r="AC12" s="1406"/>
      <c r="AD12" s="1406"/>
      <c r="AE12" s="1406"/>
      <c r="AF12" s="1406"/>
      <c r="AG12" s="1406"/>
      <c r="AH12" s="1406"/>
      <c r="AI12" s="1407"/>
      <c r="AJ12" s="797"/>
      <c r="AK12" s="147"/>
      <c r="AL12" s="147"/>
      <c r="AM12" s="147"/>
      <c r="AN12" s="147"/>
      <c r="AP12" s="798"/>
      <c r="AQ12" s="145"/>
      <c r="AR12" s="1654"/>
      <c r="AS12" s="1654"/>
      <c r="AT12" s="1654"/>
      <c r="AU12" s="1654"/>
      <c r="AV12" s="1654"/>
      <c r="AW12" s="1654"/>
      <c r="AX12" s="1654"/>
      <c r="AY12" s="1654"/>
      <c r="AZ12" s="1654"/>
      <c r="BA12" s="1654"/>
      <c r="BB12" s="540"/>
      <c r="BC12" s="146"/>
      <c r="BD12" s="1119"/>
      <c r="BE12" s="1119"/>
      <c r="BF12" s="1119"/>
      <c r="BG12" s="1119"/>
      <c r="BH12" s="1119"/>
      <c r="BI12" s="1119"/>
      <c r="BJ12" s="799"/>
      <c r="BK12" s="1543"/>
      <c r="BL12" s="1544"/>
      <c r="BM12" s="1545"/>
      <c r="BN12" s="1406"/>
      <c r="BO12" s="1406"/>
      <c r="BP12" s="1406"/>
      <c r="BQ12" s="1406"/>
      <c r="BR12" s="1406"/>
      <c r="BS12" s="1406"/>
      <c r="BT12" s="1406"/>
      <c r="BU12" s="1406"/>
      <c r="BV12" s="1406"/>
      <c r="BW12" s="1407"/>
      <c r="CB12" s="2016"/>
      <c r="CC12" s="2017"/>
    </row>
    <row r="13" spans="1:81" ht="14.1" customHeight="1" thickBot="1">
      <c r="B13" s="800"/>
      <c r="C13" s="801"/>
      <c r="D13" s="1655"/>
      <c r="E13" s="1655"/>
      <c r="F13" s="1655"/>
      <c r="G13" s="1655"/>
      <c r="H13" s="1655"/>
      <c r="I13" s="1655"/>
      <c r="J13" s="1655"/>
      <c r="K13" s="1655"/>
      <c r="L13" s="1655"/>
      <c r="M13" s="1655"/>
      <c r="N13" s="802"/>
      <c r="O13" s="146"/>
      <c r="P13" s="1119"/>
      <c r="Q13" s="1119"/>
      <c r="R13" s="1119"/>
      <c r="S13" s="1119"/>
      <c r="T13" s="1119"/>
      <c r="U13" s="1119"/>
      <c r="V13" s="799"/>
      <c r="W13" s="2026"/>
      <c r="X13" s="2027"/>
      <c r="Y13" s="2028"/>
      <c r="Z13" s="1240"/>
      <c r="AA13" s="1240"/>
      <c r="AB13" s="1240"/>
      <c r="AC13" s="1240"/>
      <c r="AD13" s="1240"/>
      <c r="AE13" s="1240"/>
      <c r="AF13" s="1240"/>
      <c r="AG13" s="1240"/>
      <c r="AH13" s="1240"/>
      <c r="AI13" s="1392"/>
      <c r="AJ13" s="797"/>
      <c r="AK13" s="147"/>
      <c r="AL13" s="147"/>
      <c r="AM13" s="147"/>
      <c r="AN13" s="147"/>
      <c r="AP13" s="800"/>
      <c r="AQ13" s="801"/>
      <c r="AR13" s="1655"/>
      <c r="AS13" s="1655"/>
      <c r="AT13" s="1655"/>
      <c r="AU13" s="1655"/>
      <c r="AV13" s="1655"/>
      <c r="AW13" s="1655"/>
      <c r="AX13" s="1655"/>
      <c r="AY13" s="1655"/>
      <c r="AZ13" s="1655"/>
      <c r="BA13" s="1655"/>
      <c r="BB13" s="802"/>
      <c r="BC13" s="146"/>
      <c r="BD13" s="1119"/>
      <c r="BE13" s="1119"/>
      <c r="BF13" s="1119"/>
      <c r="BG13" s="1119"/>
      <c r="BH13" s="1119"/>
      <c r="BI13" s="1119"/>
      <c r="BJ13" s="799"/>
      <c r="BK13" s="2026"/>
      <c r="BL13" s="2027"/>
      <c r="BM13" s="2028"/>
      <c r="BN13" s="1240"/>
      <c r="BO13" s="1240"/>
      <c r="BP13" s="1240"/>
      <c r="BQ13" s="1240"/>
      <c r="BR13" s="1240"/>
      <c r="BS13" s="1240"/>
      <c r="BT13" s="1240"/>
      <c r="BU13" s="1240"/>
      <c r="BV13" s="1240"/>
      <c r="BW13" s="1392"/>
      <c r="CB13" s="2016"/>
      <c r="CC13" s="2017"/>
    </row>
    <row r="14" spans="1:81" ht="30" customHeight="1" thickTop="1" thickBot="1">
      <c r="B14" s="1343" t="s">
        <v>633</v>
      </c>
      <c r="C14" s="2018"/>
      <c r="D14" s="803"/>
      <c r="E14" s="795"/>
      <c r="F14" s="795"/>
      <c r="G14" s="1170" t="s">
        <v>261</v>
      </c>
      <c r="H14" s="1170"/>
      <c r="I14" s="1170"/>
      <c r="J14" s="1170"/>
      <c r="K14" s="795"/>
      <c r="L14" s="795"/>
      <c r="M14" s="795"/>
      <c r="N14" s="146"/>
      <c r="O14" s="1756"/>
      <c r="P14" s="1757"/>
      <c r="Q14" s="1757"/>
      <c r="R14" s="1757"/>
      <c r="S14" s="1757"/>
      <c r="T14" s="1757"/>
      <c r="U14" s="1757"/>
      <c r="V14" s="1758"/>
      <c r="W14" s="1759"/>
      <c r="X14" s="1760"/>
      <c r="Y14" s="1761"/>
      <c r="Z14" s="2021" t="s">
        <v>634</v>
      </c>
      <c r="AA14" s="2021"/>
      <c r="AB14" s="2021"/>
      <c r="AC14" s="2021"/>
      <c r="AD14" s="2021"/>
      <c r="AE14" s="2021"/>
      <c r="AF14" s="2021"/>
      <c r="AG14" s="2021"/>
      <c r="AH14" s="2021"/>
      <c r="AI14" s="2022"/>
      <c r="AJ14" s="804"/>
      <c r="AK14" s="805"/>
      <c r="AL14" s="805"/>
      <c r="AM14" s="805"/>
      <c r="AN14" s="805"/>
      <c r="AP14" s="1343" t="s">
        <v>635</v>
      </c>
      <c r="AQ14" s="2018"/>
      <c r="AR14" s="803"/>
      <c r="AS14" s="795"/>
      <c r="AT14" s="795"/>
      <c r="AU14" s="1170" t="s">
        <v>261</v>
      </c>
      <c r="AV14" s="1170"/>
      <c r="AW14" s="1170"/>
      <c r="AX14" s="1170"/>
      <c r="AY14" s="795"/>
      <c r="AZ14" s="795"/>
      <c r="BA14" s="795"/>
      <c r="BB14" s="806"/>
      <c r="BC14" s="1756"/>
      <c r="BD14" s="1757"/>
      <c r="BE14" s="1757"/>
      <c r="BF14" s="1757"/>
      <c r="BG14" s="1757"/>
      <c r="BH14" s="1757"/>
      <c r="BI14" s="1757"/>
      <c r="BJ14" s="1758"/>
      <c r="BK14" s="1759"/>
      <c r="BL14" s="1760"/>
      <c r="BM14" s="1761"/>
      <c r="BN14" s="2021" t="s">
        <v>636</v>
      </c>
      <c r="BO14" s="2021"/>
      <c r="BP14" s="2021"/>
      <c r="BQ14" s="2021"/>
      <c r="BR14" s="2021"/>
      <c r="BS14" s="2021"/>
      <c r="BT14" s="2021"/>
      <c r="BU14" s="2021"/>
      <c r="BV14" s="2021"/>
      <c r="BW14" s="2022"/>
      <c r="BX14" s="804"/>
      <c r="CB14" s="807" t="s">
        <v>637</v>
      </c>
      <c r="CC14" s="224">
        <f>IF(OR(O14="",O14=0),SUMPRODUCT(O15:O114,W15:W114)/100,(O14*W14)/100)</f>
        <v>0</v>
      </c>
    </row>
    <row r="15" spans="1:81" ht="27.95" customHeight="1" thickTop="1">
      <c r="B15" s="1377"/>
      <c r="C15" s="2019"/>
      <c r="D15" s="1614"/>
      <c r="E15" s="1615"/>
      <c r="F15" s="1615"/>
      <c r="G15" s="1615"/>
      <c r="H15" s="1615"/>
      <c r="I15" s="1615"/>
      <c r="J15" s="1615"/>
      <c r="K15" s="1615"/>
      <c r="L15" s="1615"/>
      <c r="M15" s="1615"/>
      <c r="N15" s="1616"/>
      <c r="O15" s="2029"/>
      <c r="P15" s="2030"/>
      <c r="Q15" s="2030"/>
      <c r="R15" s="2030"/>
      <c r="S15" s="2030"/>
      <c r="T15" s="2030"/>
      <c r="U15" s="2030"/>
      <c r="V15" s="2031"/>
      <c r="W15" s="2032"/>
      <c r="X15" s="2033"/>
      <c r="Y15" s="2034"/>
      <c r="Z15" s="1538"/>
      <c r="AA15" s="1538"/>
      <c r="AB15" s="1538"/>
      <c r="AC15" s="1538"/>
      <c r="AD15" s="1538"/>
      <c r="AE15" s="1538"/>
      <c r="AF15" s="1538"/>
      <c r="AG15" s="1538"/>
      <c r="AH15" s="1538"/>
      <c r="AI15" s="2023"/>
      <c r="AJ15" s="804"/>
      <c r="AK15" s="805"/>
      <c r="AL15" s="805"/>
      <c r="AM15" s="805"/>
      <c r="AN15" s="805"/>
      <c r="AP15" s="1377"/>
      <c r="AQ15" s="2019"/>
      <c r="AR15" s="1614"/>
      <c r="AS15" s="1615"/>
      <c r="AT15" s="1615"/>
      <c r="AU15" s="1615"/>
      <c r="AV15" s="1615"/>
      <c r="AW15" s="1615"/>
      <c r="AX15" s="1615"/>
      <c r="AY15" s="1615"/>
      <c r="AZ15" s="1615"/>
      <c r="BA15" s="1615"/>
      <c r="BB15" s="1616"/>
      <c r="BC15" s="2029"/>
      <c r="BD15" s="2030"/>
      <c r="BE15" s="2030"/>
      <c r="BF15" s="2030"/>
      <c r="BG15" s="2030"/>
      <c r="BH15" s="2030"/>
      <c r="BI15" s="2030"/>
      <c r="BJ15" s="2031"/>
      <c r="BK15" s="2032"/>
      <c r="BL15" s="2033"/>
      <c r="BM15" s="2034"/>
      <c r="BN15" s="1538"/>
      <c r="BO15" s="1538"/>
      <c r="BP15" s="1538"/>
      <c r="BQ15" s="1538"/>
      <c r="BR15" s="1538"/>
      <c r="BS15" s="1538"/>
      <c r="BT15" s="1538"/>
      <c r="BU15" s="1538"/>
      <c r="BV15" s="1538"/>
      <c r="BW15" s="2023"/>
      <c r="BX15" s="804"/>
      <c r="CB15" s="807" t="s">
        <v>638</v>
      </c>
      <c r="CC15" s="224">
        <f>IF(OR(BC14="",BC14=0),SUMPRODUCT(BC15:BC114,BK15:BK114)/100,(BC14*BK14)/100)</f>
        <v>0</v>
      </c>
    </row>
    <row r="16" spans="1:81" ht="27.95" customHeight="1">
      <c r="B16" s="1377"/>
      <c r="C16" s="2019"/>
      <c r="D16" s="1614"/>
      <c r="E16" s="1615"/>
      <c r="F16" s="1615"/>
      <c r="G16" s="1615"/>
      <c r="H16" s="1615"/>
      <c r="I16" s="1615"/>
      <c r="J16" s="1615"/>
      <c r="K16" s="1615"/>
      <c r="L16" s="1615"/>
      <c r="M16" s="1615"/>
      <c r="N16" s="1616"/>
      <c r="O16" s="2035"/>
      <c r="P16" s="2036"/>
      <c r="Q16" s="2036"/>
      <c r="R16" s="2036"/>
      <c r="S16" s="2036"/>
      <c r="T16" s="2036"/>
      <c r="U16" s="2036"/>
      <c r="V16" s="2037"/>
      <c r="W16" s="1617"/>
      <c r="X16" s="1618"/>
      <c r="Y16" s="1619"/>
      <c r="Z16" s="1538"/>
      <c r="AA16" s="1538"/>
      <c r="AB16" s="1538"/>
      <c r="AC16" s="1538"/>
      <c r="AD16" s="1538"/>
      <c r="AE16" s="1538"/>
      <c r="AF16" s="1538"/>
      <c r="AG16" s="1538"/>
      <c r="AH16" s="1538"/>
      <c r="AI16" s="2023"/>
      <c r="AJ16" s="804"/>
      <c r="AK16" s="805"/>
      <c r="AL16" s="805"/>
      <c r="AM16" s="805"/>
      <c r="AN16" s="805"/>
      <c r="AP16" s="1377"/>
      <c r="AQ16" s="2019"/>
      <c r="AR16" s="1614"/>
      <c r="AS16" s="1615"/>
      <c r="AT16" s="1615"/>
      <c r="AU16" s="1615"/>
      <c r="AV16" s="1615"/>
      <c r="AW16" s="1615"/>
      <c r="AX16" s="1615"/>
      <c r="AY16" s="1615"/>
      <c r="AZ16" s="1615"/>
      <c r="BA16" s="1615"/>
      <c r="BB16" s="1616"/>
      <c r="BC16" s="2038"/>
      <c r="BD16" s="2039"/>
      <c r="BE16" s="2039"/>
      <c r="BF16" s="2039"/>
      <c r="BG16" s="2039"/>
      <c r="BH16" s="2039"/>
      <c r="BI16" s="2039"/>
      <c r="BJ16" s="2040"/>
      <c r="BK16" s="1620"/>
      <c r="BL16" s="1621"/>
      <c r="BM16" s="1622"/>
      <c r="BN16" s="1538"/>
      <c r="BO16" s="1538"/>
      <c r="BP16" s="1538"/>
      <c r="BQ16" s="1538"/>
      <c r="BR16" s="1538"/>
      <c r="BS16" s="1538"/>
      <c r="BT16" s="1538"/>
      <c r="BU16" s="1538"/>
      <c r="BV16" s="1538"/>
      <c r="BW16" s="2023"/>
      <c r="BX16" s="804"/>
    </row>
    <row r="17" spans="1:76" ht="27.95" customHeight="1">
      <c r="B17" s="1377"/>
      <c r="C17" s="2019"/>
      <c r="D17" s="1614"/>
      <c r="E17" s="1615"/>
      <c r="F17" s="1615"/>
      <c r="G17" s="1615"/>
      <c r="H17" s="1615"/>
      <c r="I17" s="1615"/>
      <c r="J17" s="1615"/>
      <c r="K17" s="1615"/>
      <c r="L17" s="1615"/>
      <c r="M17" s="1615"/>
      <c r="N17" s="1616"/>
      <c r="O17" s="2035"/>
      <c r="P17" s="2036"/>
      <c r="Q17" s="2036"/>
      <c r="R17" s="2036"/>
      <c r="S17" s="2036"/>
      <c r="T17" s="2036"/>
      <c r="U17" s="2036"/>
      <c r="V17" s="2037"/>
      <c r="W17" s="1617"/>
      <c r="X17" s="1618"/>
      <c r="Y17" s="1619"/>
      <c r="Z17" s="1538"/>
      <c r="AA17" s="1538"/>
      <c r="AB17" s="1538"/>
      <c r="AC17" s="1538"/>
      <c r="AD17" s="1538"/>
      <c r="AE17" s="1538"/>
      <c r="AF17" s="1538"/>
      <c r="AG17" s="1538"/>
      <c r="AH17" s="1538"/>
      <c r="AI17" s="2023"/>
      <c r="AJ17" s="804"/>
      <c r="AK17" s="805"/>
      <c r="AL17" s="805"/>
      <c r="AM17" s="805"/>
      <c r="AN17" s="805"/>
      <c r="AP17" s="1377"/>
      <c r="AQ17" s="2019"/>
      <c r="AR17" s="1614"/>
      <c r="AS17" s="1615"/>
      <c r="AT17" s="1615"/>
      <c r="AU17" s="1615"/>
      <c r="AV17" s="1615"/>
      <c r="AW17" s="1615"/>
      <c r="AX17" s="1615"/>
      <c r="AY17" s="1615"/>
      <c r="AZ17" s="1615"/>
      <c r="BA17" s="1615"/>
      <c r="BB17" s="1616"/>
      <c r="BC17" s="2038"/>
      <c r="BD17" s="2039"/>
      <c r="BE17" s="2039"/>
      <c r="BF17" s="2039"/>
      <c r="BG17" s="2039"/>
      <c r="BH17" s="2039"/>
      <c r="BI17" s="2039"/>
      <c r="BJ17" s="2040"/>
      <c r="BK17" s="1620"/>
      <c r="BL17" s="1621"/>
      <c r="BM17" s="1622"/>
      <c r="BN17" s="1538"/>
      <c r="BO17" s="1538"/>
      <c r="BP17" s="1538"/>
      <c r="BQ17" s="1538"/>
      <c r="BR17" s="1538"/>
      <c r="BS17" s="1538"/>
      <c r="BT17" s="1538"/>
      <c r="BU17" s="1538"/>
      <c r="BV17" s="1538"/>
      <c r="BW17" s="2023"/>
      <c r="BX17" s="804"/>
    </row>
    <row r="18" spans="1:76" ht="27.95" customHeight="1">
      <c r="B18" s="1377"/>
      <c r="C18" s="2019"/>
      <c r="D18" s="1614"/>
      <c r="E18" s="1615"/>
      <c r="F18" s="1615"/>
      <c r="G18" s="1615"/>
      <c r="H18" s="1615"/>
      <c r="I18" s="1615"/>
      <c r="J18" s="1615"/>
      <c r="K18" s="1615"/>
      <c r="L18" s="1615"/>
      <c r="M18" s="1615"/>
      <c r="N18" s="1616"/>
      <c r="O18" s="2035"/>
      <c r="P18" s="2036"/>
      <c r="Q18" s="2036"/>
      <c r="R18" s="2036"/>
      <c r="S18" s="2036"/>
      <c r="T18" s="2036"/>
      <c r="U18" s="2036"/>
      <c r="V18" s="2037"/>
      <c r="W18" s="1617"/>
      <c r="X18" s="1618"/>
      <c r="Y18" s="1619"/>
      <c r="Z18" s="1538"/>
      <c r="AA18" s="1538"/>
      <c r="AB18" s="1538"/>
      <c r="AC18" s="1538"/>
      <c r="AD18" s="1538"/>
      <c r="AE18" s="1538"/>
      <c r="AF18" s="1538"/>
      <c r="AG18" s="1538"/>
      <c r="AH18" s="1538"/>
      <c r="AI18" s="2023"/>
      <c r="AJ18" s="804"/>
      <c r="AK18" s="805"/>
      <c r="AL18" s="805"/>
      <c r="AM18" s="805"/>
      <c r="AN18" s="805"/>
      <c r="AP18" s="1377"/>
      <c r="AQ18" s="2019"/>
      <c r="AR18" s="1614"/>
      <c r="AS18" s="1615"/>
      <c r="AT18" s="1615"/>
      <c r="AU18" s="1615"/>
      <c r="AV18" s="1615"/>
      <c r="AW18" s="1615"/>
      <c r="AX18" s="1615"/>
      <c r="AY18" s="1615"/>
      <c r="AZ18" s="1615"/>
      <c r="BA18" s="1615"/>
      <c r="BB18" s="1616"/>
      <c r="BC18" s="2038"/>
      <c r="BD18" s="2039"/>
      <c r="BE18" s="2039"/>
      <c r="BF18" s="2039"/>
      <c r="BG18" s="2039"/>
      <c r="BH18" s="2039"/>
      <c r="BI18" s="2039"/>
      <c r="BJ18" s="2040"/>
      <c r="BK18" s="1620"/>
      <c r="BL18" s="1621"/>
      <c r="BM18" s="1622"/>
      <c r="BN18" s="1538"/>
      <c r="BO18" s="1538"/>
      <c r="BP18" s="1538"/>
      <c r="BQ18" s="1538"/>
      <c r="BR18" s="1538"/>
      <c r="BS18" s="1538"/>
      <c r="BT18" s="1538"/>
      <c r="BU18" s="1538"/>
      <c r="BV18" s="1538"/>
      <c r="BW18" s="2023"/>
      <c r="BX18" s="804"/>
    </row>
    <row r="19" spans="1:76" ht="27.95" customHeight="1">
      <c r="B19" s="1377"/>
      <c r="C19" s="2019"/>
      <c r="D19" s="1614"/>
      <c r="E19" s="1615"/>
      <c r="F19" s="1615"/>
      <c r="G19" s="1615"/>
      <c r="H19" s="1615"/>
      <c r="I19" s="1615"/>
      <c r="J19" s="1615"/>
      <c r="K19" s="1615"/>
      <c r="L19" s="1615"/>
      <c r="M19" s="1615"/>
      <c r="N19" s="1616"/>
      <c r="O19" s="2035"/>
      <c r="P19" s="2036"/>
      <c r="Q19" s="2036"/>
      <c r="R19" s="2036"/>
      <c r="S19" s="2036"/>
      <c r="T19" s="2036"/>
      <c r="U19" s="2036"/>
      <c r="V19" s="2037"/>
      <c r="W19" s="1617"/>
      <c r="X19" s="1618"/>
      <c r="Y19" s="1619"/>
      <c r="Z19" s="1538"/>
      <c r="AA19" s="1538"/>
      <c r="AB19" s="1538"/>
      <c r="AC19" s="1538"/>
      <c r="AD19" s="1538"/>
      <c r="AE19" s="1538"/>
      <c r="AF19" s="1538"/>
      <c r="AG19" s="1538"/>
      <c r="AH19" s="1538"/>
      <c r="AI19" s="2023"/>
      <c r="AJ19" s="804"/>
      <c r="AK19" s="805"/>
      <c r="AL19" s="805"/>
      <c r="AM19" s="805"/>
      <c r="AN19" s="805"/>
      <c r="AP19" s="1377"/>
      <c r="AQ19" s="2019"/>
      <c r="AR19" s="1614"/>
      <c r="AS19" s="1615"/>
      <c r="AT19" s="1615"/>
      <c r="AU19" s="1615"/>
      <c r="AV19" s="1615"/>
      <c r="AW19" s="1615"/>
      <c r="AX19" s="1615"/>
      <c r="AY19" s="1615"/>
      <c r="AZ19" s="1615"/>
      <c r="BA19" s="1615"/>
      <c r="BB19" s="1616"/>
      <c r="BC19" s="2038"/>
      <c r="BD19" s="2039"/>
      <c r="BE19" s="2039"/>
      <c r="BF19" s="2039"/>
      <c r="BG19" s="2039"/>
      <c r="BH19" s="2039"/>
      <c r="BI19" s="2039"/>
      <c r="BJ19" s="2040"/>
      <c r="BK19" s="1620"/>
      <c r="BL19" s="1621"/>
      <c r="BM19" s="1622"/>
      <c r="BN19" s="1538"/>
      <c r="BO19" s="1538"/>
      <c r="BP19" s="1538"/>
      <c r="BQ19" s="1538"/>
      <c r="BR19" s="1538"/>
      <c r="BS19" s="1538"/>
      <c r="BT19" s="1538"/>
      <c r="BU19" s="1538"/>
      <c r="BV19" s="1538"/>
      <c r="BW19" s="2023"/>
      <c r="BX19" s="804"/>
    </row>
    <row r="20" spans="1:76" ht="27.95" customHeight="1">
      <c r="B20" s="1377"/>
      <c r="C20" s="2019"/>
      <c r="D20" s="1614"/>
      <c r="E20" s="1615"/>
      <c r="F20" s="1615"/>
      <c r="G20" s="1615"/>
      <c r="H20" s="1615"/>
      <c r="I20" s="1615"/>
      <c r="J20" s="1615"/>
      <c r="K20" s="1615"/>
      <c r="L20" s="1615"/>
      <c r="M20" s="1615"/>
      <c r="N20" s="1616"/>
      <c r="O20" s="2035"/>
      <c r="P20" s="2036"/>
      <c r="Q20" s="2036"/>
      <c r="R20" s="2036"/>
      <c r="S20" s="2036"/>
      <c r="T20" s="2036"/>
      <c r="U20" s="2036"/>
      <c r="V20" s="2037"/>
      <c r="W20" s="1617"/>
      <c r="X20" s="1618"/>
      <c r="Y20" s="1619"/>
      <c r="Z20" s="1538"/>
      <c r="AA20" s="1538"/>
      <c r="AB20" s="1538"/>
      <c r="AC20" s="1538"/>
      <c r="AD20" s="1538"/>
      <c r="AE20" s="1538"/>
      <c r="AF20" s="1538"/>
      <c r="AG20" s="1538"/>
      <c r="AH20" s="1538"/>
      <c r="AI20" s="2023"/>
      <c r="AJ20" s="804"/>
      <c r="AK20" s="805"/>
      <c r="AL20" s="805"/>
      <c r="AM20" s="805"/>
      <c r="AN20" s="805"/>
      <c r="AP20" s="1377"/>
      <c r="AQ20" s="2019"/>
      <c r="AR20" s="1614"/>
      <c r="AS20" s="1615"/>
      <c r="AT20" s="1615"/>
      <c r="AU20" s="1615"/>
      <c r="AV20" s="1615"/>
      <c r="AW20" s="1615"/>
      <c r="AX20" s="1615"/>
      <c r="AY20" s="1615"/>
      <c r="AZ20" s="1615"/>
      <c r="BA20" s="1615"/>
      <c r="BB20" s="1616"/>
      <c r="BC20" s="2038"/>
      <c r="BD20" s="2039"/>
      <c r="BE20" s="2039"/>
      <c r="BF20" s="2039"/>
      <c r="BG20" s="2039"/>
      <c r="BH20" s="2039"/>
      <c r="BI20" s="2039"/>
      <c r="BJ20" s="2040"/>
      <c r="BK20" s="1620"/>
      <c r="BL20" s="1621"/>
      <c r="BM20" s="1622"/>
      <c r="BN20" s="1538"/>
      <c r="BO20" s="1538"/>
      <c r="BP20" s="1538"/>
      <c r="BQ20" s="1538"/>
      <c r="BR20" s="1538"/>
      <c r="BS20" s="1538"/>
      <c r="BT20" s="1538"/>
      <c r="BU20" s="1538"/>
      <c r="BV20" s="1538"/>
      <c r="BW20" s="2023"/>
      <c r="BX20" s="804"/>
    </row>
    <row r="21" spans="1:76" ht="27.95" customHeight="1">
      <c r="B21" s="1377"/>
      <c r="C21" s="2019"/>
      <c r="D21" s="1614"/>
      <c r="E21" s="1615"/>
      <c r="F21" s="1615"/>
      <c r="G21" s="1615"/>
      <c r="H21" s="1615"/>
      <c r="I21" s="1615"/>
      <c r="J21" s="1615"/>
      <c r="K21" s="1615"/>
      <c r="L21" s="1615"/>
      <c r="M21" s="1615"/>
      <c r="N21" s="1616"/>
      <c r="O21" s="2035"/>
      <c r="P21" s="2036"/>
      <c r="Q21" s="2036"/>
      <c r="R21" s="2036"/>
      <c r="S21" s="2036"/>
      <c r="T21" s="2036"/>
      <c r="U21" s="2036"/>
      <c r="V21" s="2037"/>
      <c r="W21" s="1617"/>
      <c r="X21" s="1618"/>
      <c r="Y21" s="1619"/>
      <c r="Z21" s="1538"/>
      <c r="AA21" s="1538"/>
      <c r="AB21" s="1538"/>
      <c r="AC21" s="1538"/>
      <c r="AD21" s="1538"/>
      <c r="AE21" s="1538"/>
      <c r="AF21" s="1538"/>
      <c r="AG21" s="1538"/>
      <c r="AH21" s="1538"/>
      <c r="AI21" s="2023"/>
      <c r="AJ21" s="804"/>
      <c r="AK21" s="805"/>
      <c r="AL21" s="805"/>
      <c r="AM21" s="805"/>
      <c r="AN21" s="805"/>
      <c r="AP21" s="1377"/>
      <c r="AQ21" s="2019"/>
      <c r="AR21" s="1614"/>
      <c r="AS21" s="1615"/>
      <c r="AT21" s="1615"/>
      <c r="AU21" s="1615"/>
      <c r="AV21" s="1615"/>
      <c r="AW21" s="1615"/>
      <c r="AX21" s="1615"/>
      <c r="AY21" s="1615"/>
      <c r="AZ21" s="1615"/>
      <c r="BA21" s="1615"/>
      <c r="BB21" s="1616"/>
      <c r="BC21" s="2038"/>
      <c r="BD21" s="2039"/>
      <c r="BE21" s="2039"/>
      <c r="BF21" s="2039"/>
      <c r="BG21" s="2039"/>
      <c r="BH21" s="2039"/>
      <c r="BI21" s="2039"/>
      <c r="BJ21" s="2040"/>
      <c r="BK21" s="1620"/>
      <c r="BL21" s="1621"/>
      <c r="BM21" s="1622"/>
      <c r="BN21" s="1538"/>
      <c r="BO21" s="1538"/>
      <c r="BP21" s="1538"/>
      <c r="BQ21" s="1538"/>
      <c r="BR21" s="1538"/>
      <c r="BS21" s="1538"/>
      <c r="BT21" s="1538"/>
      <c r="BU21" s="1538"/>
      <c r="BV21" s="1538"/>
      <c r="BW21" s="2023"/>
      <c r="BX21" s="804"/>
    </row>
    <row r="22" spans="1:76" ht="27.95" customHeight="1">
      <c r="B22" s="1377"/>
      <c r="C22" s="2019"/>
      <c r="D22" s="1614"/>
      <c r="E22" s="1615"/>
      <c r="F22" s="1615"/>
      <c r="G22" s="1615"/>
      <c r="H22" s="1615"/>
      <c r="I22" s="1615"/>
      <c r="J22" s="1615"/>
      <c r="K22" s="1615"/>
      <c r="L22" s="1615"/>
      <c r="M22" s="1615"/>
      <c r="N22" s="1616"/>
      <c r="O22" s="2035"/>
      <c r="P22" s="2036"/>
      <c r="Q22" s="2036"/>
      <c r="R22" s="2036"/>
      <c r="S22" s="2036"/>
      <c r="T22" s="2036"/>
      <c r="U22" s="2036"/>
      <c r="V22" s="2037"/>
      <c r="W22" s="1617"/>
      <c r="X22" s="1618"/>
      <c r="Y22" s="1619"/>
      <c r="Z22" s="1538"/>
      <c r="AA22" s="1538"/>
      <c r="AB22" s="1538"/>
      <c r="AC22" s="1538"/>
      <c r="AD22" s="1538"/>
      <c r="AE22" s="1538"/>
      <c r="AF22" s="1538"/>
      <c r="AG22" s="1538"/>
      <c r="AH22" s="1538"/>
      <c r="AI22" s="2023"/>
      <c r="AJ22" s="804"/>
      <c r="AK22" s="805"/>
      <c r="AL22" s="805"/>
      <c r="AM22" s="805"/>
      <c r="AN22" s="805"/>
      <c r="AP22" s="1377"/>
      <c r="AQ22" s="2019"/>
      <c r="AR22" s="1614"/>
      <c r="AS22" s="1615"/>
      <c r="AT22" s="1615"/>
      <c r="AU22" s="1615"/>
      <c r="AV22" s="1615"/>
      <c r="AW22" s="1615"/>
      <c r="AX22" s="1615"/>
      <c r="AY22" s="1615"/>
      <c r="AZ22" s="1615"/>
      <c r="BA22" s="1615"/>
      <c r="BB22" s="1616"/>
      <c r="BC22" s="2038"/>
      <c r="BD22" s="2039"/>
      <c r="BE22" s="2039"/>
      <c r="BF22" s="2039"/>
      <c r="BG22" s="2039"/>
      <c r="BH22" s="2039"/>
      <c r="BI22" s="2039"/>
      <c r="BJ22" s="2040"/>
      <c r="BK22" s="1620"/>
      <c r="BL22" s="1621"/>
      <c r="BM22" s="1622"/>
      <c r="BN22" s="1538"/>
      <c r="BO22" s="1538"/>
      <c r="BP22" s="1538"/>
      <c r="BQ22" s="1538"/>
      <c r="BR22" s="1538"/>
      <c r="BS22" s="1538"/>
      <c r="BT22" s="1538"/>
      <c r="BU22" s="1538"/>
      <c r="BV22" s="1538"/>
      <c r="BW22" s="2023"/>
      <c r="BX22" s="804"/>
    </row>
    <row r="23" spans="1:76" ht="27.95" customHeight="1">
      <c r="B23" s="1377"/>
      <c r="C23" s="2019"/>
      <c r="D23" s="1614"/>
      <c r="E23" s="1615"/>
      <c r="F23" s="1615"/>
      <c r="G23" s="1615"/>
      <c r="H23" s="1615"/>
      <c r="I23" s="1615"/>
      <c r="J23" s="1615"/>
      <c r="K23" s="1615"/>
      <c r="L23" s="1615"/>
      <c r="M23" s="1615"/>
      <c r="N23" s="1616"/>
      <c r="O23" s="2035"/>
      <c r="P23" s="2036"/>
      <c r="Q23" s="2036"/>
      <c r="R23" s="2036"/>
      <c r="S23" s="2036"/>
      <c r="T23" s="2036"/>
      <c r="U23" s="2036"/>
      <c r="V23" s="2037"/>
      <c r="W23" s="1617"/>
      <c r="X23" s="1618"/>
      <c r="Y23" s="1619"/>
      <c r="Z23" s="1538"/>
      <c r="AA23" s="1538"/>
      <c r="AB23" s="1538"/>
      <c r="AC23" s="1538"/>
      <c r="AD23" s="1538"/>
      <c r="AE23" s="1538"/>
      <c r="AF23" s="1538"/>
      <c r="AG23" s="1538"/>
      <c r="AH23" s="1538"/>
      <c r="AI23" s="2023"/>
      <c r="AJ23" s="804"/>
      <c r="AK23" s="805"/>
      <c r="AL23" s="805"/>
      <c r="AM23" s="805"/>
      <c r="AN23" s="805"/>
      <c r="AP23" s="1377"/>
      <c r="AQ23" s="2019"/>
      <c r="AR23" s="1614"/>
      <c r="AS23" s="1615"/>
      <c r="AT23" s="1615"/>
      <c r="AU23" s="1615"/>
      <c r="AV23" s="1615"/>
      <c r="AW23" s="1615"/>
      <c r="AX23" s="1615"/>
      <c r="AY23" s="1615"/>
      <c r="AZ23" s="1615"/>
      <c r="BA23" s="1615"/>
      <c r="BB23" s="1616"/>
      <c r="BC23" s="2038"/>
      <c r="BD23" s="2039"/>
      <c r="BE23" s="2039"/>
      <c r="BF23" s="2039"/>
      <c r="BG23" s="2039"/>
      <c r="BH23" s="2039"/>
      <c r="BI23" s="2039"/>
      <c r="BJ23" s="2040"/>
      <c r="BK23" s="1620"/>
      <c r="BL23" s="1621"/>
      <c r="BM23" s="1622"/>
      <c r="BN23" s="1538"/>
      <c r="BO23" s="1538"/>
      <c r="BP23" s="1538"/>
      <c r="BQ23" s="1538"/>
      <c r="BR23" s="1538"/>
      <c r="BS23" s="1538"/>
      <c r="BT23" s="1538"/>
      <c r="BU23" s="1538"/>
      <c r="BV23" s="1538"/>
      <c r="BW23" s="2023"/>
      <c r="BX23" s="804"/>
    </row>
    <row r="24" spans="1:76" ht="27.95" customHeight="1">
      <c r="B24" s="1377"/>
      <c r="C24" s="2019"/>
      <c r="D24" s="1614"/>
      <c r="E24" s="1615"/>
      <c r="F24" s="1615"/>
      <c r="G24" s="1615"/>
      <c r="H24" s="1615"/>
      <c r="I24" s="1615"/>
      <c r="J24" s="1615"/>
      <c r="K24" s="1615"/>
      <c r="L24" s="1615"/>
      <c r="M24" s="1615"/>
      <c r="N24" s="1616"/>
      <c r="O24" s="2035"/>
      <c r="P24" s="2036"/>
      <c r="Q24" s="2036"/>
      <c r="R24" s="2036"/>
      <c r="S24" s="2036"/>
      <c r="T24" s="2036"/>
      <c r="U24" s="2036"/>
      <c r="V24" s="2037"/>
      <c r="W24" s="1617"/>
      <c r="X24" s="1618"/>
      <c r="Y24" s="1619"/>
      <c r="Z24" s="1538"/>
      <c r="AA24" s="1538"/>
      <c r="AB24" s="1538"/>
      <c r="AC24" s="1538"/>
      <c r="AD24" s="1538"/>
      <c r="AE24" s="1538"/>
      <c r="AF24" s="1538"/>
      <c r="AG24" s="1538"/>
      <c r="AH24" s="1538"/>
      <c r="AI24" s="2023"/>
      <c r="AJ24" s="804"/>
      <c r="AK24" s="805"/>
      <c r="AL24" s="805"/>
      <c r="AM24" s="805"/>
      <c r="AN24" s="805"/>
      <c r="AP24" s="1377"/>
      <c r="AQ24" s="2019"/>
      <c r="AR24" s="1614"/>
      <c r="AS24" s="1615"/>
      <c r="AT24" s="1615"/>
      <c r="AU24" s="1615"/>
      <c r="AV24" s="1615"/>
      <c r="AW24" s="1615"/>
      <c r="AX24" s="1615"/>
      <c r="AY24" s="1615"/>
      <c r="AZ24" s="1615"/>
      <c r="BA24" s="1615"/>
      <c r="BB24" s="1616"/>
      <c r="BC24" s="2038"/>
      <c r="BD24" s="2039"/>
      <c r="BE24" s="2039"/>
      <c r="BF24" s="2039"/>
      <c r="BG24" s="2039"/>
      <c r="BH24" s="2039"/>
      <c r="BI24" s="2039"/>
      <c r="BJ24" s="2040"/>
      <c r="BK24" s="1620"/>
      <c r="BL24" s="1621"/>
      <c r="BM24" s="1622"/>
      <c r="BN24" s="1538"/>
      <c r="BO24" s="1538"/>
      <c r="BP24" s="1538"/>
      <c r="BQ24" s="1538"/>
      <c r="BR24" s="1538"/>
      <c r="BS24" s="1538"/>
      <c r="BT24" s="1538"/>
      <c r="BU24" s="1538"/>
      <c r="BV24" s="1538"/>
      <c r="BW24" s="2023"/>
      <c r="BX24" s="804"/>
    </row>
    <row r="25" spans="1:76" ht="27.95" customHeight="1">
      <c r="B25" s="1377"/>
      <c r="C25" s="2019"/>
      <c r="D25" s="1614"/>
      <c r="E25" s="1615"/>
      <c r="F25" s="1615"/>
      <c r="G25" s="1615"/>
      <c r="H25" s="1615"/>
      <c r="I25" s="1615"/>
      <c r="J25" s="1615"/>
      <c r="K25" s="1615"/>
      <c r="L25" s="1615"/>
      <c r="M25" s="1615"/>
      <c r="N25" s="1616"/>
      <c r="O25" s="2035"/>
      <c r="P25" s="2036"/>
      <c r="Q25" s="2036"/>
      <c r="R25" s="2036"/>
      <c r="S25" s="2036"/>
      <c r="T25" s="2036"/>
      <c r="U25" s="2036"/>
      <c r="V25" s="2037"/>
      <c r="W25" s="1617"/>
      <c r="X25" s="1618"/>
      <c r="Y25" s="1619"/>
      <c r="Z25" s="1538"/>
      <c r="AA25" s="1538"/>
      <c r="AB25" s="1538"/>
      <c r="AC25" s="1538"/>
      <c r="AD25" s="1538"/>
      <c r="AE25" s="1538"/>
      <c r="AF25" s="1538"/>
      <c r="AG25" s="1538"/>
      <c r="AH25" s="1538"/>
      <c r="AI25" s="2023"/>
      <c r="AJ25" s="804"/>
      <c r="AK25" s="805"/>
      <c r="AL25" s="805"/>
      <c r="AM25" s="805"/>
      <c r="AN25" s="805"/>
      <c r="AP25" s="1377"/>
      <c r="AQ25" s="2019"/>
      <c r="AR25" s="1614"/>
      <c r="AS25" s="1615"/>
      <c r="AT25" s="1615"/>
      <c r="AU25" s="1615"/>
      <c r="AV25" s="1615"/>
      <c r="AW25" s="1615"/>
      <c r="AX25" s="1615"/>
      <c r="AY25" s="1615"/>
      <c r="AZ25" s="1615"/>
      <c r="BA25" s="1615"/>
      <c r="BB25" s="1616"/>
      <c r="BC25" s="2038"/>
      <c r="BD25" s="2039"/>
      <c r="BE25" s="2039"/>
      <c r="BF25" s="2039"/>
      <c r="BG25" s="2039"/>
      <c r="BH25" s="2039"/>
      <c r="BI25" s="2039"/>
      <c r="BJ25" s="2040"/>
      <c r="BK25" s="1620"/>
      <c r="BL25" s="1621"/>
      <c r="BM25" s="1622"/>
      <c r="BN25" s="1538"/>
      <c r="BO25" s="1538"/>
      <c r="BP25" s="1538"/>
      <c r="BQ25" s="1538"/>
      <c r="BR25" s="1538"/>
      <c r="BS25" s="1538"/>
      <c r="BT25" s="1538"/>
      <c r="BU25" s="1538"/>
      <c r="BV25" s="1538"/>
      <c r="BW25" s="2023"/>
      <c r="BX25" s="804"/>
    </row>
    <row r="26" spans="1:76" ht="27.95" customHeight="1">
      <c r="A26" s="808"/>
      <c r="B26" s="1377"/>
      <c r="C26" s="2019"/>
      <c r="D26" s="1614"/>
      <c r="E26" s="1615"/>
      <c r="F26" s="1615"/>
      <c r="G26" s="1615"/>
      <c r="H26" s="1615"/>
      <c r="I26" s="1615"/>
      <c r="J26" s="1615"/>
      <c r="K26" s="1615"/>
      <c r="L26" s="1615"/>
      <c r="M26" s="1615"/>
      <c r="N26" s="1616"/>
      <c r="O26" s="2035"/>
      <c r="P26" s="2036"/>
      <c r="Q26" s="2036"/>
      <c r="R26" s="2036"/>
      <c r="S26" s="2036"/>
      <c r="T26" s="2036"/>
      <c r="U26" s="2036"/>
      <c r="V26" s="2037"/>
      <c r="W26" s="1617"/>
      <c r="X26" s="1618"/>
      <c r="Y26" s="1619"/>
      <c r="Z26" s="1538"/>
      <c r="AA26" s="1538"/>
      <c r="AB26" s="1538"/>
      <c r="AC26" s="1538"/>
      <c r="AD26" s="1538"/>
      <c r="AE26" s="1538"/>
      <c r="AF26" s="1538"/>
      <c r="AG26" s="1538"/>
      <c r="AH26" s="1538"/>
      <c r="AI26" s="2023"/>
      <c r="AJ26" s="804"/>
      <c r="AK26" s="805"/>
      <c r="AL26" s="805"/>
      <c r="AM26" s="805"/>
      <c r="AN26" s="805"/>
      <c r="AP26" s="1377"/>
      <c r="AQ26" s="2019"/>
      <c r="AR26" s="1614"/>
      <c r="AS26" s="1615"/>
      <c r="AT26" s="1615"/>
      <c r="AU26" s="1615"/>
      <c r="AV26" s="1615"/>
      <c r="AW26" s="1615"/>
      <c r="AX26" s="1615"/>
      <c r="AY26" s="1615"/>
      <c r="AZ26" s="1615"/>
      <c r="BA26" s="1615"/>
      <c r="BB26" s="1616"/>
      <c r="BC26" s="2038"/>
      <c r="BD26" s="2039"/>
      <c r="BE26" s="2039"/>
      <c r="BF26" s="2039"/>
      <c r="BG26" s="2039"/>
      <c r="BH26" s="2039"/>
      <c r="BI26" s="2039"/>
      <c r="BJ26" s="2040"/>
      <c r="BK26" s="1620"/>
      <c r="BL26" s="1621"/>
      <c r="BM26" s="1622"/>
      <c r="BN26" s="1538"/>
      <c r="BO26" s="1538"/>
      <c r="BP26" s="1538"/>
      <c r="BQ26" s="1538"/>
      <c r="BR26" s="1538"/>
      <c r="BS26" s="1538"/>
      <c r="BT26" s="1538"/>
      <c r="BU26" s="1538"/>
      <c r="BV26" s="1538"/>
      <c r="BW26" s="2023"/>
      <c r="BX26" s="804"/>
    </row>
    <row r="27" spans="1:76" ht="27.95" customHeight="1">
      <c r="B27" s="1377"/>
      <c r="C27" s="2019"/>
      <c r="D27" s="1614"/>
      <c r="E27" s="1615"/>
      <c r="F27" s="1615"/>
      <c r="G27" s="1615"/>
      <c r="H27" s="1615"/>
      <c r="I27" s="1615"/>
      <c r="J27" s="1615"/>
      <c r="K27" s="1615"/>
      <c r="L27" s="1615"/>
      <c r="M27" s="1615"/>
      <c r="N27" s="1616"/>
      <c r="O27" s="2035"/>
      <c r="P27" s="2036"/>
      <c r="Q27" s="2036"/>
      <c r="R27" s="2036"/>
      <c r="S27" s="2036"/>
      <c r="T27" s="2036"/>
      <c r="U27" s="2036"/>
      <c r="V27" s="2037"/>
      <c r="W27" s="1617"/>
      <c r="X27" s="1618"/>
      <c r="Y27" s="1619"/>
      <c r="Z27" s="1538"/>
      <c r="AA27" s="1538"/>
      <c r="AB27" s="1538"/>
      <c r="AC27" s="1538"/>
      <c r="AD27" s="1538"/>
      <c r="AE27" s="1538"/>
      <c r="AF27" s="1538"/>
      <c r="AG27" s="1538"/>
      <c r="AH27" s="1538"/>
      <c r="AI27" s="2023"/>
      <c r="AJ27" s="804"/>
      <c r="AK27" s="805"/>
      <c r="AL27" s="805"/>
      <c r="AM27" s="805"/>
      <c r="AN27" s="805"/>
      <c r="AP27" s="1377"/>
      <c r="AQ27" s="2019"/>
      <c r="AR27" s="1614"/>
      <c r="AS27" s="1615"/>
      <c r="AT27" s="1615"/>
      <c r="AU27" s="1615"/>
      <c r="AV27" s="1615"/>
      <c r="AW27" s="1615"/>
      <c r="AX27" s="1615"/>
      <c r="AY27" s="1615"/>
      <c r="AZ27" s="1615"/>
      <c r="BA27" s="1615"/>
      <c r="BB27" s="1616"/>
      <c r="BC27" s="2038"/>
      <c r="BD27" s="2039"/>
      <c r="BE27" s="2039"/>
      <c r="BF27" s="2039"/>
      <c r="BG27" s="2039"/>
      <c r="BH27" s="2039"/>
      <c r="BI27" s="2039"/>
      <c r="BJ27" s="2040"/>
      <c r="BK27" s="1620"/>
      <c r="BL27" s="1621"/>
      <c r="BM27" s="1622"/>
      <c r="BN27" s="1538"/>
      <c r="BO27" s="1538"/>
      <c r="BP27" s="1538"/>
      <c r="BQ27" s="1538"/>
      <c r="BR27" s="1538"/>
      <c r="BS27" s="1538"/>
      <c r="BT27" s="1538"/>
      <c r="BU27" s="1538"/>
      <c r="BV27" s="1538"/>
      <c r="BW27" s="2023"/>
      <c r="BX27" s="804"/>
    </row>
    <row r="28" spans="1:76" ht="27.95" customHeight="1">
      <c r="B28" s="1377"/>
      <c r="C28" s="2019"/>
      <c r="D28" s="1614"/>
      <c r="E28" s="1615"/>
      <c r="F28" s="1615"/>
      <c r="G28" s="1615"/>
      <c r="H28" s="1615"/>
      <c r="I28" s="1615"/>
      <c r="J28" s="1615"/>
      <c r="K28" s="1615"/>
      <c r="L28" s="1615"/>
      <c r="M28" s="1615"/>
      <c r="N28" s="1616"/>
      <c r="O28" s="2035"/>
      <c r="P28" s="2036"/>
      <c r="Q28" s="2036"/>
      <c r="R28" s="2036"/>
      <c r="S28" s="2036"/>
      <c r="T28" s="2036"/>
      <c r="U28" s="2036"/>
      <c r="V28" s="2037"/>
      <c r="W28" s="1617"/>
      <c r="X28" s="1618"/>
      <c r="Y28" s="1619"/>
      <c r="Z28" s="1538"/>
      <c r="AA28" s="1538"/>
      <c r="AB28" s="1538"/>
      <c r="AC28" s="1538"/>
      <c r="AD28" s="1538"/>
      <c r="AE28" s="1538"/>
      <c r="AF28" s="1538"/>
      <c r="AG28" s="1538"/>
      <c r="AH28" s="1538"/>
      <c r="AI28" s="2023"/>
      <c r="AJ28" s="804"/>
      <c r="AK28" s="805"/>
      <c r="AL28" s="805"/>
      <c r="AM28" s="805"/>
      <c r="AN28" s="805"/>
      <c r="AP28" s="1377"/>
      <c r="AQ28" s="2019"/>
      <c r="AR28" s="1614"/>
      <c r="AS28" s="1615"/>
      <c r="AT28" s="1615"/>
      <c r="AU28" s="1615"/>
      <c r="AV28" s="1615"/>
      <c r="AW28" s="1615"/>
      <c r="AX28" s="1615"/>
      <c r="AY28" s="1615"/>
      <c r="AZ28" s="1615"/>
      <c r="BA28" s="1615"/>
      <c r="BB28" s="1616"/>
      <c r="BC28" s="2038"/>
      <c r="BD28" s="2039"/>
      <c r="BE28" s="2039"/>
      <c r="BF28" s="2039"/>
      <c r="BG28" s="2039"/>
      <c r="BH28" s="2039"/>
      <c r="BI28" s="2039"/>
      <c r="BJ28" s="2040"/>
      <c r="BK28" s="1620"/>
      <c r="BL28" s="1621"/>
      <c r="BM28" s="1622"/>
      <c r="BN28" s="1538"/>
      <c r="BO28" s="1538"/>
      <c r="BP28" s="1538"/>
      <c r="BQ28" s="1538"/>
      <c r="BR28" s="1538"/>
      <c r="BS28" s="1538"/>
      <c r="BT28" s="1538"/>
      <c r="BU28" s="1538"/>
      <c r="BV28" s="1538"/>
      <c r="BW28" s="2023"/>
      <c r="BX28" s="804"/>
    </row>
    <row r="29" spans="1:76" ht="27.95" customHeight="1">
      <c r="B29" s="1377"/>
      <c r="C29" s="2019"/>
      <c r="D29" s="1614"/>
      <c r="E29" s="1615"/>
      <c r="F29" s="1615"/>
      <c r="G29" s="1615"/>
      <c r="H29" s="1615"/>
      <c r="I29" s="1615"/>
      <c r="J29" s="1615"/>
      <c r="K29" s="1615"/>
      <c r="L29" s="1615"/>
      <c r="M29" s="1615"/>
      <c r="N29" s="1616"/>
      <c r="O29" s="2035"/>
      <c r="P29" s="2036"/>
      <c r="Q29" s="2036"/>
      <c r="R29" s="2036"/>
      <c r="S29" s="2036"/>
      <c r="T29" s="2036"/>
      <c r="U29" s="2036"/>
      <c r="V29" s="2037"/>
      <c r="W29" s="1617"/>
      <c r="X29" s="1618"/>
      <c r="Y29" s="1619"/>
      <c r="Z29" s="1538"/>
      <c r="AA29" s="1538"/>
      <c r="AB29" s="1538"/>
      <c r="AC29" s="1538"/>
      <c r="AD29" s="1538"/>
      <c r="AE29" s="1538"/>
      <c r="AF29" s="1538"/>
      <c r="AG29" s="1538"/>
      <c r="AH29" s="1538"/>
      <c r="AI29" s="2023"/>
      <c r="AJ29" s="804"/>
      <c r="AK29" s="805"/>
      <c r="AL29" s="805"/>
      <c r="AM29" s="805"/>
      <c r="AN29" s="805"/>
      <c r="AP29" s="1377"/>
      <c r="AQ29" s="2019"/>
      <c r="AR29" s="1614"/>
      <c r="AS29" s="1615"/>
      <c r="AT29" s="1615"/>
      <c r="AU29" s="1615"/>
      <c r="AV29" s="1615"/>
      <c r="AW29" s="1615"/>
      <c r="AX29" s="1615"/>
      <c r="AY29" s="1615"/>
      <c r="AZ29" s="1615"/>
      <c r="BA29" s="1615"/>
      <c r="BB29" s="1616"/>
      <c r="BC29" s="2038"/>
      <c r="BD29" s="2039"/>
      <c r="BE29" s="2039"/>
      <c r="BF29" s="2039"/>
      <c r="BG29" s="2039"/>
      <c r="BH29" s="2039"/>
      <c r="BI29" s="2039"/>
      <c r="BJ29" s="2040"/>
      <c r="BK29" s="1620"/>
      <c r="BL29" s="1621"/>
      <c r="BM29" s="1622"/>
      <c r="BN29" s="1538"/>
      <c r="BO29" s="1538"/>
      <c r="BP29" s="1538"/>
      <c r="BQ29" s="1538"/>
      <c r="BR29" s="1538"/>
      <c r="BS29" s="1538"/>
      <c r="BT29" s="1538"/>
      <c r="BU29" s="1538"/>
      <c r="BV29" s="1538"/>
      <c r="BW29" s="2023"/>
      <c r="BX29" s="804"/>
    </row>
    <row r="30" spans="1:76" ht="27.95" customHeight="1">
      <c r="B30" s="1377"/>
      <c r="C30" s="2019"/>
      <c r="D30" s="1614"/>
      <c r="E30" s="1615"/>
      <c r="F30" s="1615"/>
      <c r="G30" s="1615"/>
      <c r="H30" s="1615"/>
      <c r="I30" s="1615"/>
      <c r="J30" s="1615"/>
      <c r="K30" s="1615"/>
      <c r="L30" s="1615"/>
      <c r="M30" s="1615"/>
      <c r="N30" s="1616"/>
      <c r="O30" s="2035"/>
      <c r="P30" s="2036"/>
      <c r="Q30" s="2036"/>
      <c r="R30" s="2036"/>
      <c r="S30" s="2036"/>
      <c r="T30" s="2036"/>
      <c r="U30" s="2036"/>
      <c r="V30" s="2037"/>
      <c r="W30" s="1617"/>
      <c r="X30" s="1618"/>
      <c r="Y30" s="1619"/>
      <c r="Z30" s="1538"/>
      <c r="AA30" s="1538"/>
      <c r="AB30" s="1538"/>
      <c r="AC30" s="1538"/>
      <c r="AD30" s="1538"/>
      <c r="AE30" s="1538"/>
      <c r="AF30" s="1538"/>
      <c r="AG30" s="1538"/>
      <c r="AH30" s="1538"/>
      <c r="AI30" s="2023"/>
      <c r="AJ30" s="804"/>
      <c r="AK30" s="805"/>
      <c r="AL30" s="805"/>
      <c r="AM30" s="805"/>
      <c r="AN30" s="805"/>
      <c r="AP30" s="1377"/>
      <c r="AQ30" s="2019"/>
      <c r="AR30" s="1614"/>
      <c r="AS30" s="1615"/>
      <c r="AT30" s="1615"/>
      <c r="AU30" s="1615"/>
      <c r="AV30" s="1615"/>
      <c r="AW30" s="1615"/>
      <c r="AX30" s="1615"/>
      <c r="AY30" s="1615"/>
      <c r="AZ30" s="1615"/>
      <c r="BA30" s="1615"/>
      <c r="BB30" s="1616"/>
      <c r="BC30" s="2038"/>
      <c r="BD30" s="2039"/>
      <c r="BE30" s="2039"/>
      <c r="BF30" s="2039"/>
      <c r="BG30" s="2039"/>
      <c r="BH30" s="2039"/>
      <c r="BI30" s="2039"/>
      <c r="BJ30" s="2040"/>
      <c r="BK30" s="1620"/>
      <c r="BL30" s="1621"/>
      <c r="BM30" s="1622"/>
      <c r="BN30" s="1538"/>
      <c r="BO30" s="1538"/>
      <c r="BP30" s="1538"/>
      <c r="BQ30" s="1538"/>
      <c r="BR30" s="1538"/>
      <c r="BS30" s="1538"/>
      <c r="BT30" s="1538"/>
      <c r="BU30" s="1538"/>
      <c r="BV30" s="1538"/>
      <c r="BW30" s="2023"/>
      <c r="BX30" s="804"/>
    </row>
    <row r="31" spans="1:76" ht="27.95" customHeight="1">
      <c r="B31" s="1377"/>
      <c r="C31" s="2019"/>
      <c r="D31" s="1614"/>
      <c r="E31" s="1615"/>
      <c r="F31" s="1615"/>
      <c r="G31" s="1615"/>
      <c r="H31" s="1615"/>
      <c r="I31" s="1615"/>
      <c r="J31" s="1615"/>
      <c r="K31" s="1615"/>
      <c r="L31" s="1615"/>
      <c r="M31" s="1615"/>
      <c r="N31" s="1616"/>
      <c r="O31" s="2035"/>
      <c r="P31" s="2036"/>
      <c r="Q31" s="2036"/>
      <c r="R31" s="2036"/>
      <c r="S31" s="2036"/>
      <c r="T31" s="2036"/>
      <c r="U31" s="2036"/>
      <c r="V31" s="2037"/>
      <c r="W31" s="1617"/>
      <c r="X31" s="1618"/>
      <c r="Y31" s="1619"/>
      <c r="Z31" s="1538"/>
      <c r="AA31" s="1538"/>
      <c r="AB31" s="1538"/>
      <c r="AC31" s="1538"/>
      <c r="AD31" s="1538"/>
      <c r="AE31" s="1538"/>
      <c r="AF31" s="1538"/>
      <c r="AG31" s="1538"/>
      <c r="AH31" s="1538"/>
      <c r="AI31" s="2023"/>
      <c r="AJ31" s="804"/>
      <c r="AK31" s="805"/>
      <c r="AL31" s="805"/>
      <c r="AM31" s="805"/>
      <c r="AN31" s="805"/>
      <c r="AP31" s="1377"/>
      <c r="AQ31" s="2019"/>
      <c r="AR31" s="1614"/>
      <c r="AS31" s="1615"/>
      <c r="AT31" s="1615"/>
      <c r="AU31" s="1615"/>
      <c r="AV31" s="1615"/>
      <c r="AW31" s="1615"/>
      <c r="AX31" s="1615"/>
      <c r="AY31" s="1615"/>
      <c r="AZ31" s="1615"/>
      <c r="BA31" s="1615"/>
      <c r="BB31" s="1616"/>
      <c r="BC31" s="2038"/>
      <c r="BD31" s="2039"/>
      <c r="BE31" s="2039"/>
      <c r="BF31" s="2039"/>
      <c r="BG31" s="2039"/>
      <c r="BH31" s="2039"/>
      <c r="BI31" s="2039"/>
      <c r="BJ31" s="2040"/>
      <c r="BK31" s="1620"/>
      <c r="BL31" s="1621"/>
      <c r="BM31" s="1622"/>
      <c r="BN31" s="1538"/>
      <c r="BO31" s="1538"/>
      <c r="BP31" s="1538"/>
      <c r="BQ31" s="1538"/>
      <c r="BR31" s="1538"/>
      <c r="BS31" s="1538"/>
      <c r="BT31" s="1538"/>
      <c r="BU31" s="1538"/>
      <c r="BV31" s="1538"/>
      <c r="BW31" s="2023"/>
      <c r="BX31" s="804"/>
    </row>
    <row r="32" spans="1:76" ht="27.95" customHeight="1">
      <c r="B32" s="1377"/>
      <c r="C32" s="2019"/>
      <c r="D32" s="1614"/>
      <c r="E32" s="1615"/>
      <c r="F32" s="1615"/>
      <c r="G32" s="1615"/>
      <c r="H32" s="1615"/>
      <c r="I32" s="1615"/>
      <c r="J32" s="1615"/>
      <c r="K32" s="1615"/>
      <c r="L32" s="1615"/>
      <c r="M32" s="1615"/>
      <c r="N32" s="1616"/>
      <c r="O32" s="2035"/>
      <c r="P32" s="2036"/>
      <c r="Q32" s="2036"/>
      <c r="R32" s="2036"/>
      <c r="S32" s="2036"/>
      <c r="T32" s="2036"/>
      <c r="U32" s="2036"/>
      <c r="V32" s="2037"/>
      <c r="W32" s="1617"/>
      <c r="X32" s="1618"/>
      <c r="Y32" s="1619"/>
      <c r="Z32" s="1538"/>
      <c r="AA32" s="1538"/>
      <c r="AB32" s="1538"/>
      <c r="AC32" s="1538"/>
      <c r="AD32" s="1538"/>
      <c r="AE32" s="1538"/>
      <c r="AF32" s="1538"/>
      <c r="AG32" s="1538"/>
      <c r="AH32" s="1538"/>
      <c r="AI32" s="2023"/>
      <c r="AJ32" s="804"/>
      <c r="AK32" s="805"/>
      <c r="AL32" s="805"/>
      <c r="AM32" s="805"/>
      <c r="AN32" s="805"/>
      <c r="AP32" s="1377"/>
      <c r="AQ32" s="2019"/>
      <c r="AR32" s="1614"/>
      <c r="AS32" s="1615"/>
      <c r="AT32" s="1615"/>
      <c r="AU32" s="1615"/>
      <c r="AV32" s="1615"/>
      <c r="AW32" s="1615"/>
      <c r="AX32" s="1615"/>
      <c r="AY32" s="1615"/>
      <c r="AZ32" s="1615"/>
      <c r="BA32" s="1615"/>
      <c r="BB32" s="1616"/>
      <c r="BC32" s="2038"/>
      <c r="BD32" s="2039"/>
      <c r="BE32" s="2039"/>
      <c r="BF32" s="2039"/>
      <c r="BG32" s="2039"/>
      <c r="BH32" s="2039"/>
      <c r="BI32" s="2039"/>
      <c r="BJ32" s="2040"/>
      <c r="BK32" s="1620"/>
      <c r="BL32" s="1621"/>
      <c r="BM32" s="1622"/>
      <c r="BN32" s="1538"/>
      <c r="BO32" s="1538"/>
      <c r="BP32" s="1538"/>
      <c r="BQ32" s="1538"/>
      <c r="BR32" s="1538"/>
      <c r="BS32" s="1538"/>
      <c r="BT32" s="1538"/>
      <c r="BU32" s="1538"/>
      <c r="BV32" s="1538"/>
      <c r="BW32" s="2023"/>
      <c r="BX32" s="804"/>
    </row>
    <row r="33" spans="1:76" ht="27.95" customHeight="1">
      <c r="B33" s="1377"/>
      <c r="C33" s="2019"/>
      <c r="D33" s="1614"/>
      <c r="E33" s="1615"/>
      <c r="F33" s="1615"/>
      <c r="G33" s="1615"/>
      <c r="H33" s="1615"/>
      <c r="I33" s="1615"/>
      <c r="J33" s="1615"/>
      <c r="K33" s="1615"/>
      <c r="L33" s="1615"/>
      <c r="M33" s="1615"/>
      <c r="N33" s="1616"/>
      <c r="O33" s="2035"/>
      <c r="P33" s="2036"/>
      <c r="Q33" s="2036"/>
      <c r="R33" s="2036"/>
      <c r="S33" s="2036"/>
      <c r="T33" s="2036"/>
      <c r="U33" s="2036"/>
      <c r="V33" s="2037"/>
      <c r="W33" s="1617"/>
      <c r="X33" s="1618"/>
      <c r="Y33" s="1619"/>
      <c r="Z33" s="1538"/>
      <c r="AA33" s="1538"/>
      <c r="AB33" s="1538"/>
      <c r="AC33" s="1538"/>
      <c r="AD33" s="1538"/>
      <c r="AE33" s="1538"/>
      <c r="AF33" s="1538"/>
      <c r="AG33" s="1538"/>
      <c r="AH33" s="1538"/>
      <c r="AI33" s="2023"/>
      <c r="AJ33" s="804"/>
      <c r="AK33" s="805"/>
      <c r="AL33" s="805"/>
      <c r="AM33" s="805"/>
      <c r="AN33" s="805"/>
      <c r="AP33" s="1377"/>
      <c r="AQ33" s="2019"/>
      <c r="AR33" s="1614"/>
      <c r="AS33" s="1615"/>
      <c r="AT33" s="1615"/>
      <c r="AU33" s="1615"/>
      <c r="AV33" s="1615"/>
      <c r="AW33" s="1615"/>
      <c r="AX33" s="1615"/>
      <c r="AY33" s="1615"/>
      <c r="AZ33" s="1615"/>
      <c r="BA33" s="1615"/>
      <c r="BB33" s="1616"/>
      <c r="BC33" s="2038"/>
      <c r="BD33" s="2039"/>
      <c r="BE33" s="2039"/>
      <c r="BF33" s="2039"/>
      <c r="BG33" s="2039"/>
      <c r="BH33" s="2039"/>
      <c r="BI33" s="2039"/>
      <c r="BJ33" s="2040"/>
      <c r="BK33" s="1620"/>
      <c r="BL33" s="1621"/>
      <c r="BM33" s="1622"/>
      <c r="BN33" s="1538"/>
      <c r="BO33" s="1538"/>
      <c r="BP33" s="1538"/>
      <c r="BQ33" s="1538"/>
      <c r="BR33" s="1538"/>
      <c r="BS33" s="1538"/>
      <c r="BT33" s="1538"/>
      <c r="BU33" s="1538"/>
      <c r="BV33" s="1538"/>
      <c r="BW33" s="2023"/>
      <c r="BX33" s="804"/>
    </row>
    <row r="34" spans="1:76" ht="27.95" customHeight="1">
      <c r="B34" s="1377"/>
      <c r="C34" s="2019"/>
      <c r="D34" s="1614"/>
      <c r="E34" s="1615"/>
      <c r="F34" s="1615"/>
      <c r="G34" s="1615"/>
      <c r="H34" s="1615"/>
      <c r="I34" s="1615"/>
      <c r="J34" s="1615"/>
      <c r="K34" s="1615"/>
      <c r="L34" s="1615"/>
      <c r="M34" s="1615"/>
      <c r="N34" s="1616"/>
      <c r="O34" s="2035"/>
      <c r="P34" s="2036"/>
      <c r="Q34" s="2036"/>
      <c r="R34" s="2036"/>
      <c r="S34" s="2036"/>
      <c r="T34" s="2036"/>
      <c r="U34" s="2036"/>
      <c r="V34" s="2037"/>
      <c r="W34" s="1617"/>
      <c r="X34" s="1618"/>
      <c r="Y34" s="1619"/>
      <c r="Z34" s="1538"/>
      <c r="AA34" s="1538"/>
      <c r="AB34" s="1538"/>
      <c r="AC34" s="1538"/>
      <c r="AD34" s="1538"/>
      <c r="AE34" s="1538"/>
      <c r="AF34" s="1538"/>
      <c r="AG34" s="1538"/>
      <c r="AH34" s="1538"/>
      <c r="AI34" s="2023"/>
      <c r="AJ34" s="804"/>
      <c r="AK34" s="805"/>
      <c r="AL34" s="805"/>
      <c r="AM34" s="805"/>
      <c r="AN34" s="805"/>
      <c r="AP34" s="1377"/>
      <c r="AQ34" s="2019"/>
      <c r="AR34" s="1614"/>
      <c r="AS34" s="1615"/>
      <c r="AT34" s="1615"/>
      <c r="AU34" s="1615"/>
      <c r="AV34" s="1615"/>
      <c r="AW34" s="1615"/>
      <c r="AX34" s="1615"/>
      <c r="AY34" s="1615"/>
      <c r="AZ34" s="1615"/>
      <c r="BA34" s="1615"/>
      <c r="BB34" s="1616"/>
      <c r="BC34" s="2038"/>
      <c r="BD34" s="2039"/>
      <c r="BE34" s="2039"/>
      <c r="BF34" s="2039"/>
      <c r="BG34" s="2039"/>
      <c r="BH34" s="2039"/>
      <c r="BI34" s="2039"/>
      <c r="BJ34" s="2040"/>
      <c r="BK34" s="1620"/>
      <c r="BL34" s="1621"/>
      <c r="BM34" s="1622"/>
      <c r="BN34" s="1538"/>
      <c r="BO34" s="1538"/>
      <c r="BP34" s="1538"/>
      <c r="BQ34" s="1538"/>
      <c r="BR34" s="1538"/>
      <c r="BS34" s="1538"/>
      <c r="BT34" s="1538"/>
      <c r="BU34" s="1538"/>
      <c r="BV34" s="1538"/>
      <c r="BW34" s="2023"/>
      <c r="BX34" s="804"/>
    </row>
    <row r="35" spans="1:76" ht="27.95" customHeight="1" collapsed="1" thickBot="1">
      <c r="B35" s="1377"/>
      <c r="C35" s="2019"/>
      <c r="D35" s="1614"/>
      <c r="E35" s="1615"/>
      <c r="F35" s="1615"/>
      <c r="G35" s="1615"/>
      <c r="H35" s="1615"/>
      <c r="I35" s="1615"/>
      <c r="J35" s="1615"/>
      <c r="K35" s="1615"/>
      <c r="L35" s="1615"/>
      <c r="M35" s="1615"/>
      <c r="N35" s="1616"/>
      <c r="O35" s="2035"/>
      <c r="P35" s="2036"/>
      <c r="Q35" s="2036"/>
      <c r="R35" s="2036"/>
      <c r="S35" s="2036"/>
      <c r="T35" s="2036"/>
      <c r="U35" s="2036"/>
      <c r="V35" s="2037"/>
      <c r="W35" s="1617"/>
      <c r="X35" s="1618"/>
      <c r="Y35" s="1619"/>
      <c r="Z35" s="1538"/>
      <c r="AA35" s="1538"/>
      <c r="AB35" s="1538"/>
      <c r="AC35" s="1538"/>
      <c r="AD35" s="1538"/>
      <c r="AE35" s="1538"/>
      <c r="AF35" s="1538"/>
      <c r="AG35" s="1538"/>
      <c r="AH35" s="1538"/>
      <c r="AI35" s="2023"/>
      <c r="AJ35" s="804"/>
      <c r="AK35" s="805"/>
      <c r="AL35" s="805"/>
      <c r="AM35" s="805"/>
      <c r="AN35" s="805"/>
      <c r="AP35" s="1377"/>
      <c r="AQ35" s="2019"/>
      <c r="AR35" s="1614"/>
      <c r="AS35" s="1615"/>
      <c r="AT35" s="1615"/>
      <c r="AU35" s="1615"/>
      <c r="AV35" s="1615"/>
      <c r="AW35" s="1615"/>
      <c r="AX35" s="1615"/>
      <c r="AY35" s="1615"/>
      <c r="AZ35" s="1615"/>
      <c r="BA35" s="1615"/>
      <c r="BB35" s="1616"/>
      <c r="BC35" s="2038"/>
      <c r="BD35" s="2039"/>
      <c r="BE35" s="2039"/>
      <c r="BF35" s="2039"/>
      <c r="BG35" s="2039"/>
      <c r="BH35" s="2039"/>
      <c r="BI35" s="2039"/>
      <c r="BJ35" s="2040"/>
      <c r="BK35" s="1620"/>
      <c r="BL35" s="1621"/>
      <c r="BM35" s="1622"/>
      <c r="BN35" s="1538"/>
      <c r="BO35" s="1538"/>
      <c r="BP35" s="1538"/>
      <c r="BQ35" s="1538"/>
      <c r="BR35" s="1538"/>
      <c r="BS35" s="1538"/>
      <c r="BT35" s="1538"/>
      <c r="BU35" s="1538"/>
      <c r="BV35" s="1538"/>
      <c r="BW35" s="2023"/>
      <c r="BX35" s="804"/>
    </row>
    <row r="36" spans="1:76" ht="27.95" hidden="1" customHeight="1" outlineLevel="1">
      <c r="A36" s="808"/>
      <c r="B36" s="1377"/>
      <c r="C36" s="2019"/>
      <c r="D36" s="2041"/>
      <c r="E36" s="2042"/>
      <c r="F36" s="2042"/>
      <c r="G36" s="2042"/>
      <c r="H36" s="2042"/>
      <c r="I36" s="2042"/>
      <c r="J36" s="2042"/>
      <c r="K36" s="2042"/>
      <c r="L36" s="2042"/>
      <c r="M36" s="2042"/>
      <c r="N36" s="2043"/>
      <c r="O36" s="2035"/>
      <c r="P36" s="2036"/>
      <c r="Q36" s="2036"/>
      <c r="R36" s="2036"/>
      <c r="S36" s="2036"/>
      <c r="T36" s="2036"/>
      <c r="U36" s="2036"/>
      <c r="V36" s="2037"/>
      <c r="W36" s="1617"/>
      <c r="X36" s="1618"/>
      <c r="Y36" s="1619"/>
      <c r="Z36" s="1538"/>
      <c r="AA36" s="1538"/>
      <c r="AB36" s="1538"/>
      <c r="AC36" s="1538"/>
      <c r="AD36" s="1538"/>
      <c r="AE36" s="1538"/>
      <c r="AF36" s="1538"/>
      <c r="AG36" s="1538"/>
      <c r="AH36" s="1538"/>
      <c r="AI36" s="2023"/>
      <c r="AJ36" s="804"/>
      <c r="AK36" s="805"/>
      <c r="AL36" s="805"/>
      <c r="AM36" s="805"/>
      <c r="AN36" s="805"/>
      <c r="AP36" s="1377"/>
      <c r="AQ36" s="2019"/>
      <c r="AR36" s="2041"/>
      <c r="AS36" s="2042"/>
      <c r="AT36" s="2042"/>
      <c r="AU36" s="2042"/>
      <c r="AV36" s="2042"/>
      <c r="AW36" s="2042"/>
      <c r="AX36" s="2042"/>
      <c r="AY36" s="2042"/>
      <c r="AZ36" s="2042"/>
      <c r="BA36" s="2042"/>
      <c r="BB36" s="2043"/>
      <c r="BC36" s="2038"/>
      <c r="BD36" s="2039"/>
      <c r="BE36" s="2039"/>
      <c r="BF36" s="2039"/>
      <c r="BG36" s="2039"/>
      <c r="BH36" s="2039"/>
      <c r="BI36" s="2039"/>
      <c r="BJ36" s="2040"/>
      <c r="BK36" s="1617"/>
      <c r="BL36" s="1618"/>
      <c r="BM36" s="1619"/>
      <c r="BN36" s="1538"/>
      <c r="BO36" s="1538"/>
      <c r="BP36" s="1538"/>
      <c r="BQ36" s="1538"/>
      <c r="BR36" s="1538"/>
      <c r="BS36" s="1538"/>
      <c r="BT36" s="1538"/>
      <c r="BU36" s="1538"/>
      <c r="BV36" s="1538"/>
      <c r="BW36" s="2023"/>
      <c r="BX36" s="804"/>
    </row>
    <row r="37" spans="1:76" ht="27.95" hidden="1" customHeight="1" outlineLevel="1">
      <c r="B37" s="1377"/>
      <c r="C37" s="2019"/>
      <c r="D37" s="1614"/>
      <c r="E37" s="1615"/>
      <c r="F37" s="1615"/>
      <c r="G37" s="1615"/>
      <c r="H37" s="1615"/>
      <c r="I37" s="1615"/>
      <c r="J37" s="1615"/>
      <c r="K37" s="1615"/>
      <c r="L37" s="1615"/>
      <c r="M37" s="1615"/>
      <c r="N37" s="1616"/>
      <c r="O37" s="2035"/>
      <c r="P37" s="2036"/>
      <c r="Q37" s="2036"/>
      <c r="R37" s="2036"/>
      <c r="S37" s="2036"/>
      <c r="T37" s="2036"/>
      <c r="U37" s="2036"/>
      <c r="V37" s="2037"/>
      <c r="W37" s="1617"/>
      <c r="X37" s="1618"/>
      <c r="Y37" s="1619"/>
      <c r="Z37" s="1538"/>
      <c r="AA37" s="1538"/>
      <c r="AB37" s="1538"/>
      <c r="AC37" s="1538"/>
      <c r="AD37" s="1538"/>
      <c r="AE37" s="1538"/>
      <c r="AF37" s="1538"/>
      <c r="AG37" s="1538"/>
      <c r="AH37" s="1538"/>
      <c r="AI37" s="2023"/>
      <c r="AJ37" s="804"/>
      <c r="AK37" s="805"/>
      <c r="AL37" s="805"/>
      <c r="AM37" s="805"/>
      <c r="AN37" s="805"/>
      <c r="AP37" s="1377"/>
      <c r="AQ37" s="2019"/>
      <c r="AR37" s="1614"/>
      <c r="AS37" s="1615"/>
      <c r="AT37" s="1615"/>
      <c r="AU37" s="1615"/>
      <c r="AV37" s="1615"/>
      <c r="AW37" s="1615"/>
      <c r="AX37" s="1615"/>
      <c r="AY37" s="1615"/>
      <c r="AZ37" s="1615"/>
      <c r="BA37" s="1615"/>
      <c r="BB37" s="1616"/>
      <c r="BC37" s="2038"/>
      <c r="BD37" s="2039"/>
      <c r="BE37" s="2039"/>
      <c r="BF37" s="2039"/>
      <c r="BG37" s="2039"/>
      <c r="BH37" s="2039"/>
      <c r="BI37" s="2039"/>
      <c r="BJ37" s="2040"/>
      <c r="BK37" s="1620"/>
      <c r="BL37" s="1621"/>
      <c r="BM37" s="1622"/>
      <c r="BN37" s="1538"/>
      <c r="BO37" s="1538"/>
      <c r="BP37" s="1538"/>
      <c r="BQ37" s="1538"/>
      <c r="BR37" s="1538"/>
      <c r="BS37" s="1538"/>
      <c r="BT37" s="1538"/>
      <c r="BU37" s="1538"/>
      <c r="BV37" s="1538"/>
      <c r="BW37" s="2023"/>
      <c r="BX37" s="804"/>
    </row>
    <row r="38" spans="1:76" ht="27.95" hidden="1" customHeight="1" outlineLevel="1">
      <c r="B38" s="1377"/>
      <c r="C38" s="2019"/>
      <c r="D38" s="1614"/>
      <c r="E38" s="1615"/>
      <c r="F38" s="1615"/>
      <c r="G38" s="1615"/>
      <c r="H38" s="1615"/>
      <c r="I38" s="1615"/>
      <c r="J38" s="1615"/>
      <c r="K38" s="1615"/>
      <c r="L38" s="1615"/>
      <c r="M38" s="1615"/>
      <c r="N38" s="1616"/>
      <c r="O38" s="2035"/>
      <c r="P38" s="2036"/>
      <c r="Q38" s="2036"/>
      <c r="R38" s="2036"/>
      <c r="S38" s="2036"/>
      <c r="T38" s="2036"/>
      <c r="U38" s="2036"/>
      <c r="V38" s="2037"/>
      <c r="W38" s="1617"/>
      <c r="X38" s="1618"/>
      <c r="Y38" s="1619"/>
      <c r="Z38" s="1538"/>
      <c r="AA38" s="1538"/>
      <c r="AB38" s="1538"/>
      <c r="AC38" s="1538"/>
      <c r="AD38" s="1538"/>
      <c r="AE38" s="1538"/>
      <c r="AF38" s="1538"/>
      <c r="AG38" s="1538"/>
      <c r="AH38" s="1538"/>
      <c r="AI38" s="2023"/>
      <c r="AJ38" s="804"/>
      <c r="AK38" s="805"/>
      <c r="AL38" s="805"/>
      <c r="AM38" s="805"/>
      <c r="AN38" s="805"/>
      <c r="AP38" s="1377"/>
      <c r="AQ38" s="2019"/>
      <c r="AR38" s="1614"/>
      <c r="AS38" s="1615"/>
      <c r="AT38" s="1615"/>
      <c r="AU38" s="1615"/>
      <c r="AV38" s="1615"/>
      <c r="AW38" s="1615"/>
      <c r="AX38" s="1615"/>
      <c r="AY38" s="1615"/>
      <c r="AZ38" s="1615"/>
      <c r="BA38" s="1615"/>
      <c r="BB38" s="1616"/>
      <c r="BC38" s="2038"/>
      <c r="BD38" s="2039"/>
      <c r="BE38" s="2039"/>
      <c r="BF38" s="2039"/>
      <c r="BG38" s="2039"/>
      <c r="BH38" s="2039"/>
      <c r="BI38" s="2039"/>
      <c r="BJ38" s="2040"/>
      <c r="BK38" s="1620"/>
      <c r="BL38" s="1621"/>
      <c r="BM38" s="1622"/>
      <c r="BN38" s="1538"/>
      <c r="BO38" s="1538"/>
      <c r="BP38" s="1538"/>
      <c r="BQ38" s="1538"/>
      <c r="BR38" s="1538"/>
      <c r="BS38" s="1538"/>
      <c r="BT38" s="1538"/>
      <c r="BU38" s="1538"/>
      <c r="BV38" s="1538"/>
      <c r="BW38" s="2023"/>
      <c r="BX38" s="804"/>
    </row>
    <row r="39" spans="1:76" ht="27.95" hidden="1" customHeight="1" outlineLevel="1">
      <c r="B39" s="1377"/>
      <c r="C39" s="2019"/>
      <c r="D39" s="1614"/>
      <c r="E39" s="1615"/>
      <c r="F39" s="1615"/>
      <c r="G39" s="1615"/>
      <c r="H39" s="1615"/>
      <c r="I39" s="1615"/>
      <c r="J39" s="1615"/>
      <c r="K39" s="1615"/>
      <c r="L39" s="1615"/>
      <c r="M39" s="1615"/>
      <c r="N39" s="1616"/>
      <c r="O39" s="2035"/>
      <c r="P39" s="2036"/>
      <c r="Q39" s="2036"/>
      <c r="R39" s="2036"/>
      <c r="S39" s="2036"/>
      <c r="T39" s="2036"/>
      <c r="U39" s="2036"/>
      <c r="V39" s="2037"/>
      <c r="W39" s="1617"/>
      <c r="X39" s="1618"/>
      <c r="Y39" s="1619"/>
      <c r="Z39" s="1538"/>
      <c r="AA39" s="1538"/>
      <c r="AB39" s="1538"/>
      <c r="AC39" s="1538"/>
      <c r="AD39" s="1538"/>
      <c r="AE39" s="1538"/>
      <c r="AF39" s="1538"/>
      <c r="AG39" s="1538"/>
      <c r="AH39" s="1538"/>
      <c r="AI39" s="2023"/>
      <c r="AJ39" s="804"/>
      <c r="AK39" s="805"/>
      <c r="AL39" s="805"/>
      <c r="AM39" s="805"/>
      <c r="AN39" s="805"/>
      <c r="AP39" s="1377"/>
      <c r="AQ39" s="2019"/>
      <c r="AR39" s="1614"/>
      <c r="AS39" s="1615"/>
      <c r="AT39" s="1615"/>
      <c r="AU39" s="1615"/>
      <c r="AV39" s="1615"/>
      <c r="AW39" s="1615"/>
      <c r="AX39" s="1615"/>
      <c r="AY39" s="1615"/>
      <c r="AZ39" s="1615"/>
      <c r="BA39" s="1615"/>
      <c r="BB39" s="1616"/>
      <c r="BC39" s="2038"/>
      <c r="BD39" s="2039"/>
      <c r="BE39" s="2039"/>
      <c r="BF39" s="2039"/>
      <c r="BG39" s="2039"/>
      <c r="BH39" s="2039"/>
      <c r="BI39" s="2039"/>
      <c r="BJ39" s="2040"/>
      <c r="BK39" s="1620"/>
      <c r="BL39" s="1621"/>
      <c r="BM39" s="1622"/>
      <c r="BN39" s="1538"/>
      <c r="BO39" s="1538"/>
      <c r="BP39" s="1538"/>
      <c r="BQ39" s="1538"/>
      <c r="BR39" s="1538"/>
      <c r="BS39" s="1538"/>
      <c r="BT39" s="1538"/>
      <c r="BU39" s="1538"/>
      <c r="BV39" s="1538"/>
      <c r="BW39" s="2023"/>
      <c r="BX39" s="804"/>
    </row>
    <row r="40" spans="1:76" ht="27.95" hidden="1" customHeight="1" outlineLevel="1">
      <c r="B40" s="1377"/>
      <c r="C40" s="2019"/>
      <c r="D40" s="1614"/>
      <c r="E40" s="1615"/>
      <c r="F40" s="1615"/>
      <c r="G40" s="1615"/>
      <c r="H40" s="1615"/>
      <c r="I40" s="1615"/>
      <c r="J40" s="1615"/>
      <c r="K40" s="1615"/>
      <c r="L40" s="1615"/>
      <c r="M40" s="1615"/>
      <c r="N40" s="1616"/>
      <c r="O40" s="2035"/>
      <c r="P40" s="2036"/>
      <c r="Q40" s="2036"/>
      <c r="R40" s="2036"/>
      <c r="S40" s="2036"/>
      <c r="T40" s="2036"/>
      <c r="U40" s="2036"/>
      <c r="V40" s="2037"/>
      <c r="W40" s="1617"/>
      <c r="X40" s="1618"/>
      <c r="Y40" s="1619"/>
      <c r="Z40" s="1538"/>
      <c r="AA40" s="1538"/>
      <c r="AB40" s="1538"/>
      <c r="AC40" s="1538"/>
      <c r="AD40" s="1538"/>
      <c r="AE40" s="1538"/>
      <c r="AF40" s="1538"/>
      <c r="AG40" s="1538"/>
      <c r="AH40" s="1538"/>
      <c r="AI40" s="2023"/>
      <c r="AJ40" s="804"/>
      <c r="AK40" s="805"/>
      <c r="AL40" s="805"/>
      <c r="AM40" s="805"/>
      <c r="AN40" s="805"/>
      <c r="AP40" s="1377"/>
      <c r="AQ40" s="2019"/>
      <c r="AR40" s="1614"/>
      <c r="AS40" s="1615"/>
      <c r="AT40" s="1615"/>
      <c r="AU40" s="1615"/>
      <c r="AV40" s="1615"/>
      <c r="AW40" s="1615"/>
      <c r="AX40" s="1615"/>
      <c r="AY40" s="1615"/>
      <c r="AZ40" s="1615"/>
      <c r="BA40" s="1615"/>
      <c r="BB40" s="1616"/>
      <c r="BC40" s="2038"/>
      <c r="BD40" s="2039"/>
      <c r="BE40" s="2039"/>
      <c r="BF40" s="2039"/>
      <c r="BG40" s="2039"/>
      <c r="BH40" s="2039"/>
      <c r="BI40" s="2039"/>
      <c r="BJ40" s="2040"/>
      <c r="BK40" s="1620"/>
      <c r="BL40" s="1621"/>
      <c r="BM40" s="1622"/>
      <c r="BN40" s="1538"/>
      <c r="BO40" s="1538"/>
      <c r="BP40" s="1538"/>
      <c r="BQ40" s="1538"/>
      <c r="BR40" s="1538"/>
      <c r="BS40" s="1538"/>
      <c r="BT40" s="1538"/>
      <c r="BU40" s="1538"/>
      <c r="BV40" s="1538"/>
      <c r="BW40" s="2023"/>
      <c r="BX40" s="804"/>
    </row>
    <row r="41" spans="1:76" ht="27.95" hidden="1" customHeight="1" outlineLevel="1">
      <c r="B41" s="1377"/>
      <c r="C41" s="2019"/>
      <c r="D41" s="1614"/>
      <c r="E41" s="1615"/>
      <c r="F41" s="1615"/>
      <c r="G41" s="1615"/>
      <c r="H41" s="1615"/>
      <c r="I41" s="1615"/>
      <c r="J41" s="1615"/>
      <c r="K41" s="1615"/>
      <c r="L41" s="1615"/>
      <c r="M41" s="1615"/>
      <c r="N41" s="1616"/>
      <c r="O41" s="2035"/>
      <c r="P41" s="2036"/>
      <c r="Q41" s="2036"/>
      <c r="R41" s="2036"/>
      <c r="S41" s="2036"/>
      <c r="T41" s="2036"/>
      <c r="U41" s="2036"/>
      <c r="V41" s="2037"/>
      <c r="W41" s="1617"/>
      <c r="X41" s="1618"/>
      <c r="Y41" s="1619"/>
      <c r="Z41" s="1538"/>
      <c r="AA41" s="1538"/>
      <c r="AB41" s="1538"/>
      <c r="AC41" s="1538"/>
      <c r="AD41" s="1538"/>
      <c r="AE41" s="1538"/>
      <c r="AF41" s="1538"/>
      <c r="AG41" s="1538"/>
      <c r="AH41" s="1538"/>
      <c r="AI41" s="2023"/>
      <c r="AJ41" s="804"/>
      <c r="AK41" s="805"/>
      <c r="AL41" s="805"/>
      <c r="AM41" s="805"/>
      <c r="AN41" s="805"/>
      <c r="AP41" s="1377"/>
      <c r="AQ41" s="2019"/>
      <c r="AR41" s="1614"/>
      <c r="AS41" s="1615"/>
      <c r="AT41" s="1615"/>
      <c r="AU41" s="1615"/>
      <c r="AV41" s="1615"/>
      <c r="AW41" s="1615"/>
      <c r="AX41" s="1615"/>
      <c r="AY41" s="1615"/>
      <c r="AZ41" s="1615"/>
      <c r="BA41" s="1615"/>
      <c r="BB41" s="1616"/>
      <c r="BC41" s="2038"/>
      <c r="BD41" s="2039"/>
      <c r="BE41" s="2039"/>
      <c r="BF41" s="2039"/>
      <c r="BG41" s="2039"/>
      <c r="BH41" s="2039"/>
      <c r="BI41" s="2039"/>
      <c r="BJ41" s="2040"/>
      <c r="BK41" s="1620"/>
      <c r="BL41" s="1621"/>
      <c r="BM41" s="1622"/>
      <c r="BN41" s="1538"/>
      <c r="BO41" s="1538"/>
      <c r="BP41" s="1538"/>
      <c r="BQ41" s="1538"/>
      <c r="BR41" s="1538"/>
      <c r="BS41" s="1538"/>
      <c r="BT41" s="1538"/>
      <c r="BU41" s="1538"/>
      <c r="BV41" s="1538"/>
      <c r="BW41" s="2023"/>
      <c r="BX41" s="804"/>
    </row>
    <row r="42" spans="1:76" ht="27.95" hidden="1" customHeight="1" outlineLevel="1">
      <c r="B42" s="1377"/>
      <c r="C42" s="2019"/>
      <c r="D42" s="1614"/>
      <c r="E42" s="1615"/>
      <c r="F42" s="1615"/>
      <c r="G42" s="1615"/>
      <c r="H42" s="1615"/>
      <c r="I42" s="1615"/>
      <c r="J42" s="1615"/>
      <c r="K42" s="1615"/>
      <c r="L42" s="1615"/>
      <c r="M42" s="1615"/>
      <c r="N42" s="1616"/>
      <c r="O42" s="2035"/>
      <c r="P42" s="2036"/>
      <c r="Q42" s="2036"/>
      <c r="R42" s="2036"/>
      <c r="S42" s="2036"/>
      <c r="T42" s="2036"/>
      <c r="U42" s="2036"/>
      <c r="V42" s="2037"/>
      <c r="W42" s="1617"/>
      <c r="X42" s="1618"/>
      <c r="Y42" s="1619"/>
      <c r="Z42" s="1538"/>
      <c r="AA42" s="1538"/>
      <c r="AB42" s="1538"/>
      <c r="AC42" s="1538"/>
      <c r="AD42" s="1538"/>
      <c r="AE42" s="1538"/>
      <c r="AF42" s="1538"/>
      <c r="AG42" s="1538"/>
      <c r="AH42" s="1538"/>
      <c r="AI42" s="2023"/>
      <c r="AJ42" s="804"/>
      <c r="AK42" s="805"/>
      <c r="AL42" s="805"/>
      <c r="AM42" s="805"/>
      <c r="AN42" s="805"/>
      <c r="AP42" s="1377"/>
      <c r="AQ42" s="2019"/>
      <c r="AR42" s="1614"/>
      <c r="AS42" s="1615"/>
      <c r="AT42" s="1615"/>
      <c r="AU42" s="1615"/>
      <c r="AV42" s="1615"/>
      <c r="AW42" s="1615"/>
      <c r="AX42" s="1615"/>
      <c r="AY42" s="1615"/>
      <c r="AZ42" s="1615"/>
      <c r="BA42" s="1615"/>
      <c r="BB42" s="1616"/>
      <c r="BC42" s="2038"/>
      <c r="BD42" s="2039"/>
      <c r="BE42" s="2039"/>
      <c r="BF42" s="2039"/>
      <c r="BG42" s="2039"/>
      <c r="BH42" s="2039"/>
      <c r="BI42" s="2039"/>
      <c r="BJ42" s="2040"/>
      <c r="BK42" s="1620"/>
      <c r="BL42" s="1621"/>
      <c r="BM42" s="1622"/>
      <c r="BN42" s="1538"/>
      <c r="BO42" s="1538"/>
      <c r="BP42" s="1538"/>
      <c r="BQ42" s="1538"/>
      <c r="BR42" s="1538"/>
      <c r="BS42" s="1538"/>
      <c r="BT42" s="1538"/>
      <c r="BU42" s="1538"/>
      <c r="BV42" s="1538"/>
      <c r="BW42" s="2023"/>
      <c r="BX42" s="804"/>
    </row>
    <row r="43" spans="1:76" ht="27.95" hidden="1" customHeight="1" outlineLevel="1">
      <c r="B43" s="1377"/>
      <c r="C43" s="2019"/>
      <c r="D43" s="1614"/>
      <c r="E43" s="1615"/>
      <c r="F43" s="1615"/>
      <c r="G43" s="1615"/>
      <c r="H43" s="1615"/>
      <c r="I43" s="1615"/>
      <c r="J43" s="1615"/>
      <c r="K43" s="1615"/>
      <c r="L43" s="1615"/>
      <c r="M43" s="1615"/>
      <c r="N43" s="1616"/>
      <c r="O43" s="2035"/>
      <c r="P43" s="2036"/>
      <c r="Q43" s="2036"/>
      <c r="R43" s="2036"/>
      <c r="S43" s="2036"/>
      <c r="T43" s="2036"/>
      <c r="U43" s="2036"/>
      <c r="V43" s="2037"/>
      <c r="W43" s="1617"/>
      <c r="X43" s="1618"/>
      <c r="Y43" s="1619"/>
      <c r="Z43" s="1538"/>
      <c r="AA43" s="1538"/>
      <c r="AB43" s="1538"/>
      <c r="AC43" s="1538"/>
      <c r="AD43" s="1538"/>
      <c r="AE43" s="1538"/>
      <c r="AF43" s="1538"/>
      <c r="AG43" s="1538"/>
      <c r="AH43" s="1538"/>
      <c r="AI43" s="2023"/>
      <c r="AJ43" s="804"/>
      <c r="AK43" s="805"/>
      <c r="AL43" s="805"/>
      <c r="AM43" s="805"/>
      <c r="AN43" s="805"/>
      <c r="AP43" s="1377"/>
      <c r="AQ43" s="2019"/>
      <c r="AR43" s="1614"/>
      <c r="AS43" s="1615"/>
      <c r="AT43" s="1615"/>
      <c r="AU43" s="1615"/>
      <c r="AV43" s="1615"/>
      <c r="AW43" s="1615"/>
      <c r="AX43" s="1615"/>
      <c r="AY43" s="1615"/>
      <c r="AZ43" s="1615"/>
      <c r="BA43" s="1615"/>
      <c r="BB43" s="1616"/>
      <c r="BC43" s="2038"/>
      <c r="BD43" s="2039"/>
      <c r="BE43" s="2039"/>
      <c r="BF43" s="2039"/>
      <c r="BG43" s="2039"/>
      <c r="BH43" s="2039"/>
      <c r="BI43" s="2039"/>
      <c r="BJ43" s="2040"/>
      <c r="BK43" s="1620"/>
      <c r="BL43" s="1621"/>
      <c r="BM43" s="1622"/>
      <c r="BN43" s="1538"/>
      <c r="BO43" s="1538"/>
      <c r="BP43" s="1538"/>
      <c r="BQ43" s="1538"/>
      <c r="BR43" s="1538"/>
      <c r="BS43" s="1538"/>
      <c r="BT43" s="1538"/>
      <c r="BU43" s="1538"/>
      <c r="BV43" s="1538"/>
      <c r="BW43" s="2023"/>
      <c r="BX43" s="804"/>
    </row>
    <row r="44" spans="1:76" ht="27.95" hidden="1" customHeight="1" outlineLevel="1">
      <c r="B44" s="1377"/>
      <c r="C44" s="2019"/>
      <c r="D44" s="1614"/>
      <c r="E44" s="1615"/>
      <c r="F44" s="1615"/>
      <c r="G44" s="1615"/>
      <c r="H44" s="1615"/>
      <c r="I44" s="1615"/>
      <c r="J44" s="1615"/>
      <c r="K44" s="1615"/>
      <c r="L44" s="1615"/>
      <c r="M44" s="1615"/>
      <c r="N44" s="1616"/>
      <c r="O44" s="2035"/>
      <c r="P44" s="2036"/>
      <c r="Q44" s="2036"/>
      <c r="R44" s="2036"/>
      <c r="S44" s="2036"/>
      <c r="T44" s="2036"/>
      <c r="U44" s="2036"/>
      <c r="V44" s="2037"/>
      <c r="W44" s="1617"/>
      <c r="X44" s="1618"/>
      <c r="Y44" s="1619"/>
      <c r="Z44" s="1538"/>
      <c r="AA44" s="1538"/>
      <c r="AB44" s="1538"/>
      <c r="AC44" s="1538"/>
      <c r="AD44" s="1538"/>
      <c r="AE44" s="1538"/>
      <c r="AF44" s="1538"/>
      <c r="AG44" s="1538"/>
      <c r="AH44" s="1538"/>
      <c r="AI44" s="2023"/>
      <c r="AJ44" s="804"/>
      <c r="AK44" s="805"/>
      <c r="AL44" s="805"/>
      <c r="AM44" s="805"/>
      <c r="AN44" s="805"/>
      <c r="AP44" s="1377"/>
      <c r="AQ44" s="2019"/>
      <c r="AR44" s="1614"/>
      <c r="AS44" s="1615"/>
      <c r="AT44" s="1615"/>
      <c r="AU44" s="1615"/>
      <c r="AV44" s="1615"/>
      <c r="AW44" s="1615"/>
      <c r="AX44" s="1615"/>
      <c r="AY44" s="1615"/>
      <c r="AZ44" s="1615"/>
      <c r="BA44" s="1615"/>
      <c r="BB44" s="1616"/>
      <c r="BC44" s="2038"/>
      <c r="BD44" s="2039"/>
      <c r="BE44" s="2039"/>
      <c r="BF44" s="2039"/>
      <c r="BG44" s="2039"/>
      <c r="BH44" s="2039"/>
      <c r="BI44" s="2039"/>
      <c r="BJ44" s="2040"/>
      <c r="BK44" s="1620"/>
      <c r="BL44" s="1621"/>
      <c r="BM44" s="1622"/>
      <c r="BN44" s="1538"/>
      <c r="BO44" s="1538"/>
      <c r="BP44" s="1538"/>
      <c r="BQ44" s="1538"/>
      <c r="BR44" s="1538"/>
      <c r="BS44" s="1538"/>
      <c r="BT44" s="1538"/>
      <c r="BU44" s="1538"/>
      <c r="BV44" s="1538"/>
      <c r="BW44" s="2023"/>
      <c r="BX44" s="804"/>
    </row>
    <row r="45" spans="1:76" ht="27.95" hidden="1" customHeight="1" outlineLevel="1">
      <c r="B45" s="1377"/>
      <c r="C45" s="2019"/>
      <c r="D45" s="1614"/>
      <c r="E45" s="1615"/>
      <c r="F45" s="1615"/>
      <c r="G45" s="1615"/>
      <c r="H45" s="1615"/>
      <c r="I45" s="1615"/>
      <c r="J45" s="1615"/>
      <c r="K45" s="1615"/>
      <c r="L45" s="1615"/>
      <c r="M45" s="1615"/>
      <c r="N45" s="1616"/>
      <c r="O45" s="2035"/>
      <c r="P45" s="2036"/>
      <c r="Q45" s="2036"/>
      <c r="R45" s="2036"/>
      <c r="S45" s="2036"/>
      <c r="T45" s="2036"/>
      <c r="U45" s="2036"/>
      <c r="V45" s="2037"/>
      <c r="W45" s="1617"/>
      <c r="X45" s="1618"/>
      <c r="Y45" s="1619"/>
      <c r="Z45" s="1538"/>
      <c r="AA45" s="1538"/>
      <c r="AB45" s="1538"/>
      <c r="AC45" s="1538"/>
      <c r="AD45" s="1538"/>
      <c r="AE45" s="1538"/>
      <c r="AF45" s="1538"/>
      <c r="AG45" s="1538"/>
      <c r="AH45" s="1538"/>
      <c r="AI45" s="2023"/>
      <c r="AJ45" s="804"/>
      <c r="AK45" s="805"/>
      <c r="AL45" s="805"/>
      <c r="AM45" s="805"/>
      <c r="AN45" s="805"/>
      <c r="AP45" s="1377"/>
      <c r="AQ45" s="2019"/>
      <c r="AR45" s="1614"/>
      <c r="AS45" s="1615"/>
      <c r="AT45" s="1615"/>
      <c r="AU45" s="1615"/>
      <c r="AV45" s="1615"/>
      <c r="AW45" s="1615"/>
      <c r="AX45" s="1615"/>
      <c r="AY45" s="1615"/>
      <c r="AZ45" s="1615"/>
      <c r="BA45" s="1615"/>
      <c r="BB45" s="1616"/>
      <c r="BC45" s="2038"/>
      <c r="BD45" s="2039"/>
      <c r="BE45" s="2039"/>
      <c r="BF45" s="2039"/>
      <c r="BG45" s="2039"/>
      <c r="BH45" s="2039"/>
      <c r="BI45" s="2039"/>
      <c r="BJ45" s="2040"/>
      <c r="BK45" s="1620"/>
      <c r="BL45" s="1621"/>
      <c r="BM45" s="1622"/>
      <c r="BN45" s="1538"/>
      <c r="BO45" s="1538"/>
      <c r="BP45" s="1538"/>
      <c r="BQ45" s="1538"/>
      <c r="BR45" s="1538"/>
      <c r="BS45" s="1538"/>
      <c r="BT45" s="1538"/>
      <c r="BU45" s="1538"/>
      <c r="BV45" s="1538"/>
      <c r="BW45" s="2023"/>
      <c r="BX45" s="804"/>
    </row>
    <row r="46" spans="1:76" ht="27.95" hidden="1" customHeight="1" outlineLevel="1">
      <c r="B46" s="1377"/>
      <c r="C46" s="2019"/>
      <c r="D46" s="1614"/>
      <c r="E46" s="1615"/>
      <c r="F46" s="1615"/>
      <c r="G46" s="1615"/>
      <c r="H46" s="1615"/>
      <c r="I46" s="1615"/>
      <c r="J46" s="1615"/>
      <c r="K46" s="1615"/>
      <c r="L46" s="1615"/>
      <c r="M46" s="1615"/>
      <c r="N46" s="1616"/>
      <c r="O46" s="2035"/>
      <c r="P46" s="2036"/>
      <c r="Q46" s="2036"/>
      <c r="R46" s="2036"/>
      <c r="S46" s="2036"/>
      <c r="T46" s="2036"/>
      <c r="U46" s="2036"/>
      <c r="V46" s="2037"/>
      <c r="W46" s="1617"/>
      <c r="X46" s="1618"/>
      <c r="Y46" s="1619"/>
      <c r="Z46" s="1538"/>
      <c r="AA46" s="1538"/>
      <c r="AB46" s="1538"/>
      <c r="AC46" s="1538"/>
      <c r="AD46" s="1538"/>
      <c r="AE46" s="1538"/>
      <c r="AF46" s="1538"/>
      <c r="AG46" s="1538"/>
      <c r="AH46" s="1538"/>
      <c r="AI46" s="2023"/>
      <c r="AJ46" s="804"/>
      <c r="AK46" s="805"/>
      <c r="AL46" s="805"/>
      <c r="AM46" s="805"/>
      <c r="AN46" s="805"/>
      <c r="AP46" s="1377"/>
      <c r="AQ46" s="2019"/>
      <c r="AR46" s="1614"/>
      <c r="AS46" s="1615"/>
      <c r="AT46" s="1615"/>
      <c r="AU46" s="1615"/>
      <c r="AV46" s="1615"/>
      <c r="AW46" s="1615"/>
      <c r="AX46" s="1615"/>
      <c r="AY46" s="1615"/>
      <c r="AZ46" s="1615"/>
      <c r="BA46" s="1615"/>
      <c r="BB46" s="1616"/>
      <c r="BC46" s="2038"/>
      <c r="BD46" s="2039"/>
      <c r="BE46" s="2039"/>
      <c r="BF46" s="2039"/>
      <c r="BG46" s="2039"/>
      <c r="BH46" s="2039"/>
      <c r="BI46" s="2039"/>
      <c r="BJ46" s="2040"/>
      <c r="BK46" s="1620"/>
      <c r="BL46" s="1621"/>
      <c r="BM46" s="1622"/>
      <c r="BN46" s="1538"/>
      <c r="BO46" s="1538"/>
      <c r="BP46" s="1538"/>
      <c r="BQ46" s="1538"/>
      <c r="BR46" s="1538"/>
      <c r="BS46" s="1538"/>
      <c r="BT46" s="1538"/>
      <c r="BU46" s="1538"/>
      <c r="BV46" s="1538"/>
      <c r="BW46" s="2023"/>
      <c r="BX46" s="804"/>
    </row>
    <row r="47" spans="1:76" ht="27.95" hidden="1" customHeight="1" outlineLevel="1">
      <c r="B47" s="1377"/>
      <c r="C47" s="2019"/>
      <c r="D47" s="1614"/>
      <c r="E47" s="1615"/>
      <c r="F47" s="1615"/>
      <c r="G47" s="1615"/>
      <c r="H47" s="1615"/>
      <c r="I47" s="1615"/>
      <c r="J47" s="1615"/>
      <c r="K47" s="1615"/>
      <c r="L47" s="1615"/>
      <c r="M47" s="1615"/>
      <c r="N47" s="1616"/>
      <c r="O47" s="2035"/>
      <c r="P47" s="2036"/>
      <c r="Q47" s="2036"/>
      <c r="R47" s="2036"/>
      <c r="S47" s="2036"/>
      <c r="T47" s="2036"/>
      <c r="U47" s="2036"/>
      <c r="V47" s="2037"/>
      <c r="W47" s="1617"/>
      <c r="X47" s="1618"/>
      <c r="Y47" s="1619"/>
      <c r="Z47" s="1538"/>
      <c r="AA47" s="1538"/>
      <c r="AB47" s="1538"/>
      <c r="AC47" s="1538"/>
      <c r="AD47" s="1538"/>
      <c r="AE47" s="1538"/>
      <c r="AF47" s="1538"/>
      <c r="AG47" s="1538"/>
      <c r="AH47" s="1538"/>
      <c r="AI47" s="2023"/>
      <c r="AJ47" s="804"/>
      <c r="AK47" s="805"/>
      <c r="AL47" s="805"/>
      <c r="AM47" s="805"/>
      <c r="AN47" s="805"/>
      <c r="AP47" s="1377"/>
      <c r="AQ47" s="2019"/>
      <c r="AR47" s="1614"/>
      <c r="AS47" s="1615"/>
      <c r="AT47" s="1615"/>
      <c r="AU47" s="1615"/>
      <c r="AV47" s="1615"/>
      <c r="AW47" s="1615"/>
      <c r="AX47" s="1615"/>
      <c r="AY47" s="1615"/>
      <c r="AZ47" s="1615"/>
      <c r="BA47" s="1615"/>
      <c r="BB47" s="1616"/>
      <c r="BC47" s="2038"/>
      <c r="BD47" s="2039"/>
      <c r="BE47" s="2039"/>
      <c r="BF47" s="2039"/>
      <c r="BG47" s="2039"/>
      <c r="BH47" s="2039"/>
      <c r="BI47" s="2039"/>
      <c r="BJ47" s="2040"/>
      <c r="BK47" s="1620"/>
      <c r="BL47" s="1621"/>
      <c r="BM47" s="1622"/>
      <c r="BN47" s="1538"/>
      <c r="BO47" s="1538"/>
      <c r="BP47" s="1538"/>
      <c r="BQ47" s="1538"/>
      <c r="BR47" s="1538"/>
      <c r="BS47" s="1538"/>
      <c r="BT47" s="1538"/>
      <c r="BU47" s="1538"/>
      <c r="BV47" s="1538"/>
      <c r="BW47" s="2023"/>
      <c r="BX47" s="804"/>
    </row>
    <row r="48" spans="1:76" ht="27.95" hidden="1" customHeight="1" outlineLevel="1">
      <c r="B48" s="1377"/>
      <c r="C48" s="2019"/>
      <c r="D48" s="1614"/>
      <c r="E48" s="1615"/>
      <c r="F48" s="1615"/>
      <c r="G48" s="1615"/>
      <c r="H48" s="1615"/>
      <c r="I48" s="1615"/>
      <c r="J48" s="1615"/>
      <c r="K48" s="1615"/>
      <c r="L48" s="1615"/>
      <c r="M48" s="1615"/>
      <c r="N48" s="1616"/>
      <c r="O48" s="2035"/>
      <c r="P48" s="2036"/>
      <c r="Q48" s="2036"/>
      <c r="R48" s="2036"/>
      <c r="S48" s="2036"/>
      <c r="T48" s="2036"/>
      <c r="U48" s="2036"/>
      <c r="V48" s="2037"/>
      <c r="W48" s="1617"/>
      <c r="X48" s="1618"/>
      <c r="Y48" s="1619"/>
      <c r="Z48" s="1538"/>
      <c r="AA48" s="1538"/>
      <c r="AB48" s="1538"/>
      <c r="AC48" s="1538"/>
      <c r="AD48" s="1538"/>
      <c r="AE48" s="1538"/>
      <c r="AF48" s="1538"/>
      <c r="AG48" s="1538"/>
      <c r="AH48" s="1538"/>
      <c r="AI48" s="2023"/>
      <c r="AJ48" s="804"/>
      <c r="AK48" s="805"/>
      <c r="AL48" s="805"/>
      <c r="AM48" s="805"/>
      <c r="AN48" s="805"/>
      <c r="AP48" s="1377"/>
      <c r="AQ48" s="2019"/>
      <c r="AR48" s="1614"/>
      <c r="AS48" s="1615"/>
      <c r="AT48" s="1615"/>
      <c r="AU48" s="1615"/>
      <c r="AV48" s="1615"/>
      <c r="AW48" s="1615"/>
      <c r="AX48" s="1615"/>
      <c r="AY48" s="1615"/>
      <c r="AZ48" s="1615"/>
      <c r="BA48" s="1615"/>
      <c r="BB48" s="1616"/>
      <c r="BC48" s="2038"/>
      <c r="BD48" s="2039"/>
      <c r="BE48" s="2039"/>
      <c r="BF48" s="2039"/>
      <c r="BG48" s="2039"/>
      <c r="BH48" s="2039"/>
      <c r="BI48" s="2039"/>
      <c r="BJ48" s="2040"/>
      <c r="BK48" s="1620"/>
      <c r="BL48" s="1621"/>
      <c r="BM48" s="1622"/>
      <c r="BN48" s="1538"/>
      <c r="BO48" s="1538"/>
      <c r="BP48" s="1538"/>
      <c r="BQ48" s="1538"/>
      <c r="BR48" s="1538"/>
      <c r="BS48" s="1538"/>
      <c r="BT48" s="1538"/>
      <c r="BU48" s="1538"/>
      <c r="BV48" s="1538"/>
      <c r="BW48" s="2023"/>
      <c r="BX48" s="804"/>
    </row>
    <row r="49" spans="1:76" ht="27.95" hidden="1" customHeight="1" outlineLevel="1">
      <c r="B49" s="1377"/>
      <c r="C49" s="2019"/>
      <c r="D49" s="1614"/>
      <c r="E49" s="1615"/>
      <c r="F49" s="1615"/>
      <c r="G49" s="1615"/>
      <c r="H49" s="1615"/>
      <c r="I49" s="1615"/>
      <c r="J49" s="1615"/>
      <c r="K49" s="1615"/>
      <c r="L49" s="1615"/>
      <c r="M49" s="1615"/>
      <c r="N49" s="1616"/>
      <c r="O49" s="2035"/>
      <c r="P49" s="2036"/>
      <c r="Q49" s="2036"/>
      <c r="R49" s="2036"/>
      <c r="S49" s="2036"/>
      <c r="T49" s="2036"/>
      <c r="U49" s="2036"/>
      <c r="V49" s="2037"/>
      <c r="W49" s="1617"/>
      <c r="X49" s="1618"/>
      <c r="Y49" s="1619"/>
      <c r="Z49" s="1538"/>
      <c r="AA49" s="1538"/>
      <c r="AB49" s="1538"/>
      <c r="AC49" s="1538"/>
      <c r="AD49" s="1538"/>
      <c r="AE49" s="1538"/>
      <c r="AF49" s="1538"/>
      <c r="AG49" s="1538"/>
      <c r="AH49" s="1538"/>
      <c r="AI49" s="2023"/>
      <c r="AJ49" s="804"/>
      <c r="AK49" s="805"/>
      <c r="AL49" s="805"/>
      <c r="AM49" s="805"/>
      <c r="AN49" s="805"/>
      <c r="AP49" s="1377"/>
      <c r="AQ49" s="2019"/>
      <c r="AR49" s="1614"/>
      <c r="AS49" s="1615"/>
      <c r="AT49" s="1615"/>
      <c r="AU49" s="1615"/>
      <c r="AV49" s="1615"/>
      <c r="AW49" s="1615"/>
      <c r="AX49" s="1615"/>
      <c r="AY49" s="1615"/>
      <c r="AZ49" s="1615"/>
      <c r="BA49" s="1615"/>
      <c r="BB49" s="1616"/>
      <c r="BC49" s="2038"/>
      <c r="BD49" s="2039"/>
      <c r="BE49" s="2039"/>
      <c r="BF49" s="2039"/>
      <c r="BG49" s="2039"/>
      <c r="BH49" s="2039"/>
      <c r="BI49" s="2039"/>
      <c r="BJ49" s="2040"/>
      <c r="BK49" s="1620"/>
      <c r="BL49" s="1621"/>
      <c r="BM49" s="1622"/>
      <c r="BN49" s="1538"/>
      <c r="BO49" s="1538"/>
      <c r="BP49" s="1538"/>
      <c r="BQ49" s="1538"/>
      <c r="BR49" s="1538"/>
      <c r="BS49" s="1538"/>
      <c r="BT49" s="1538"/>
      <c r="BU49" s="1538"/>
      <c r="BV49" s="1538"/>
      <c r="BW49" s="2023"/>
      <c r="BX49" s="804"/>
    </row>
    <row r="50" spans="1:76" ht="27.95" hidden="1" customHeight="1" outlineLevel="1">
      <c r="B50" s="1377"/>
      <c r="C50" s="2019"/>
      <c r="D50" s="1614"/>
      <c r="E50" s="1615"/>
      <c r="F50" s="1615"/>
      <c r="G50" s="1615"/>
      <c r="H50" s="1615"/>
      <c r="I50" s="1615"/>
      <c r="J50" s="1615"/>
      <c r="K50" s="1615"/>
      <c r="L50" s="1615"/>
      <c r="M50" s="1615"/>
      <c r="N50" s="1616"/>
      <c r="O50" s="2035"/>
      <c r="P50" s="2036"/>
      <c r="Q50" s="2036"/>
      <c r="R50" s="2036"/>
      <c r="S50" s="2036"/>
      <c r="T50" s="2036"/>
      <c r="U50" s="2036"/>
      <c r="V50" s="2037"/>
      <c r="W50" s="1617"/>
      <c r="X50" s="1618"/>
      <c r="Y50" s="1619"/>
      <c r="Z50" s="1538"/>
      <c r="AA50" s="1538"/>
      <c r="AB50" s="1538"/>
      <c r="AC50" s="1538"/>
      <c r="AD50" s="1538"/>
      <c r="AE50" s="1538"/>
      <c r="AF50" s="1538"/>
      <c r="AG50" s="1538"/>
      <c r="AH50" s="1538"/>
      <c r="AI50" s="2023"/>
      <c r="AJ50" s="804"/>
      <c r="AK50" s="805"/>
      <c r="AL50" s="805"/>
      <c r="AM50" s="805"/>
      <c r="AN50" s="805"/>
      <c r="AP50" s="1377"/>
      <c r="AQ50" s="2019"/>
      <c r="AR50" s="1614"/>
      <c r="AS50" s="1615"/>
      <c r="AT50" s="1615"/>
      <c r="AU50" s="1615"/>
      <c r="AV50" s="1615"/>
      <c r="AW50" s="1615"/>
      <c r="AX50" s="1615"/>
      <c r="AY50" s="1615"/>
      <c r="AZ50" s="1615"/>
      <c r="BA50" s="1615"/>
      <c r="BB50" s="1616"/>
      <c r="BC50" s="2038"/>
      <c r="BD50" s="2039"/>
      <c r="BE50" s="2039"/>
      <c r="BF50" s="2039"/>
      <c r="BG50" s="2039"/>
      <c r="BH50" s="2039"/>
      <c r="BI50" s="2039"/>
      <c r="BJ50" s="2040"/>
      <c r="BK50" s="1620"/>
      <c r="BL50" s="1621"/>
      <c r="BM50" s="1622"/>
      <c r="BN50" s="1538"/>
      <c r="BO50" s="1538"/>
      <c r="BP50" s="1538"/>
      <c r="BQ50" s="1538"/>
      <c r="BR50" s="1538"/>
      <c r="BS50" s="1538"/>
      <c r="BT50" s="1538"/>
      <c r="BU50" s="1538"/>
      <c r="BV50" s="1538"/>
      <c r="BW50" s="2023"/>
      <c r="BX50" s="804"/>
    </row>
    <row r="51" spans="1:76" ht="27.95" hidden="1" customHeight="1" outlineLevel="1">
      <c r="B51" s="1377"/>
      <c r="C51" s="2019"/>
      <c r="D51" s="1614"/>
      <c r="E51" s="1615"/>
      <c r="F51" s="1615"/>
      <c r="G51" s="1615"/>
      <c r="H51" s="1615"/>
      <c r="I51" s="1615"/>
      <c r="J51" s="1615"/>
      <c r="K51" s="1615"/>
      <c r="L51" s="1615"/>
      <c r="M51" s="1615"/>
      <c r="N51" s="1616"/>
      <c r="O51" s="2035"/>
      <c r="P51" s="2036"/>
      <c r="Q51" s="2036"/>
      <c r="R51" s="2036"/>
      <c r="S51" s="2036"/>
      <c r="T51" s="2036"/>
      <c r="U51" s="2036"/>
      <c r="V51" s="2037"/>
      <c r="W51" s="1617"/>
      <c r="X51" s="1618"/>
      <c r="Y51" s="1619"/>
      <c r="Z51" s="1538"/>
      <c r="AA51" s="1538"/>
      <c r="AB51" s="1538"/>
      <c r="AC51" s="1538"/>
      <c r="AD51" s="1538"/>
      <c r="AE51" s="1538"/>
      <c r="AF51" s="1538"/>
      <c r="AG51" s="1538"/>
      <c r="AH51" s="1538"/>
      <c r="AI51" s="2023"/>
      <c r="AJ51" s="804"/>
      <c r="AK51" s="805"/>
      <c r="AL51" s="805"/>
      <c r="AM51" s="805"/>
      <c r="AN51" s="805"/>
      <c r="AP51" s="1377"/>
      <c r="AQ51" s="2019"/>
      <c r="AR51" s="1614"/>
      <c r="AS51" s="1615"/>
      <c r="AT51" s="1615"/>
      <c r="AU51" s="1615"/>
      <c r="AV51" s="1615"/>
      <c r="AW51" s="1615"/>
      <c r="AX51" s="1615"/>
      <c r="AY51" s="1615"/>
      <c r="AZ51" s="1615"/>
      <c r="BA51" s="1615"/>
      <c r="BB51" s="1616"/>
      <c r="BC51" s="2038"/>
      <c r="BD51" s="2039"/>
      <c r="BE51" s="2039"/>
      <c r="BF51" s="2039"/>
      <c r="BG51" s="2039"/>
      <c r="BH51" s="2039"/>
      <c r="BI51" s="2039"/>
      <c r="BJ51" s="2040"/>
      <c r="BK51" s="1620"/>
      <c r="BL51" s="1621"/>
      <c r="BM51" s="1622"/>
      <c r="BN51" s="1538"/>
      <c r="BO51" s="1538"/>
      <c r="BP51" s="1538"/>
      <c r="BQ51" s="1538"/>
      <c r="BR51" s="1538"/>
      <c r="BS51" s="1538"/>
      <c r="BT51" s="1538"/>
      <c r="BU51" s="1538"/>
      <c r="BV51" s="1538"/>
      <c r="BW51" s="2023"/>
      <c r="BX51" s="804"/>
    </row>
    <row r="52" spans="1:76" ht="27.95" hidden="1" customHeight="1" outlineLevel="1">
      <c r="B52" s="1377"/>
      <c r="C52" s="2019"/>
      <c r="D52" s="1614"/>
      <c r="E52" s="1615"/>
      <c r="F52" s="1615"/>
      <c r="G52" s="1615"/>
      <c r="H52" s="1615"/>
      <c r="I52" s="1615"/>
      <c r="J52" s="1615"/>
      <c r="K52" s="1615"/>
      <c r="L52" s="1615"/>
      <c r="M52" s="1615"/>
      <c r="N52" s="1616"/>
      <c r="O52" s="2035"/>
      <c r="P52" s="2036"/>
      <c r="Q52" s="2036"/>
      <c r="R52" s="2036"/>
      <c r="S52" s="2036"/>
      <c r="T52" s="2036"/>
      <c r="U52" s="2036"/>
      <c r="V52" s="2037"/>
      <c r="W52" s="1617"/>
      <c r="X52" s="1618"/>
      <c r="Y52" s="1619"/>
      <c r="Z52" s="1538"/>
      <c r="AA52" s="1538"/>
      <c r="AB52" s="1538"/>
      <c r="AC52" s="1538"/>
      <c r="AD52" s="1538"/>
      <c r="AE52" s="1538"/>
      <c r="AF52" s="1538"/>
      <c r="AG52" s="1538"/>
      <c r="AH52" s="1538"/>
      <c r="AI52" s="2023"/>
      <c r="AJ52" s="804"/>
      <c r="AK52" s="805"/>
      <c r="AL52" s="805"/>
      <c r="AM52" s="805"/>
      <c r="AN52" s="805"/>
      <c r="AP52" s="1377"/>
      <c r="AQ52" s="2019"/>
      <c r="AR52" s="1614"/>
      <c r="AS52" s="1615"/>
      <c r="AT52" s="1615"/>
      <c r="AU52" s="1615"/>
      <c r="AV52" s="1615"/>
      <c r="AW52" s="1615"/>
      <c r="AX52" s="1615"/>
      <c r="AY52" s="1615"/>
      <c r="AZ52" s="1615"/>
      <c r="BA52" s="1615"/>
      <c r="BB52" s="1616"/>
      <c r="BC52" s="2038"/>
      <c r="BD52" s="2039"/>
      <c r="BE52" s="2039"/>
      <c r="BF52" s="2039"/>
      <c r="BG52" s="2039"/>
      <c r="BH52" s="2039"/>
      <c r="BI52" s="2039"/>
      <c r="BJ52" s="2040"/>
      <c r="BK52" s="1620"/>
      <c r="BL52" s="1621"/>
      <c r="BM52" s="1622"/>
      <c r="BN52" s="1538"/>
      <c r="BO52" s="1538"/>
      <c r="BP52" s="1538"/>
      <c r="BQ52" s="1538"/>
      <c r="BR52" s="1538"/>
      <c r="BS52" s="1538"/>
      <c r="BT52" s="1538"/>
      <c r="BU52" s="1538"/>
      <c r="BV52" s="1538"/>
      <c r="BW52" s="2023"/>
      <c r="BX52" s="804"/>
    </row>
    <row r="53" spans="1:76" ht="27.95" hidden="1" customHeight="1" outlineLevel="1">
      <c r="B53" s="1377"/>
      <c r="C53" s="2019"/>
      <c r="D53" s="1614"/>
      <c r="E53" s="1615"/>
      <c r="F53" s="1615"/>
      <c r="G53" s="1615"/>
      <c r="H53" s="1615"/>
      <c r="I53" s="1615"/>
      <c r="J53" s="1615"/>
      <c r="K53" s="1615"/>
      <c r="L53" s="1615"/>
      <c r="M53" s="1615"/>
      <c r="N53" s="1616"/>
      <c r="O53" s="2035"/>
      <c r="P53" s="2036"/>
      <c r="Q53" s="2036"/>
      <c r="R53" s="2036"/>
      <c r="S53" s="2036"/>
      <c r="T53" s="2036"/>
      <c r="U53" s="2036"/>
      <c r="V53" s="2037"/>
      <c r="W53" s="1617"/>
      <c r="X53" s="1618"/>
      <c r="Y53" s="1619"/>
      <c r="Z53" s="1538"/>
      <c r="AA53" s="1538"/>
      <c r="AB53" s="1538"/>
      <c r="AC53" s="1538"/>
      <c r="AD53" s="1538"/>
      <c r="AE53" s="1538"/>
      <c r="AF53" s="1538"/>
      <c r="AG53" s="1538"/>
      <c r="AH53" s="1538"/>
      <c r="AI53" s="2023"/>
      <c r="AJ53" s="804"/>
      <c r="AK53" s="805"/>
      <c r="AL53" s="805"/>
      <c r="AM53" s="805"/>
      <c r="AN53" s="805"/>
      <c r="AP53" s="1377"/>
      <c r="AQ53" s="2019"/>
      <c r="AR53" s="1614"/>
      <c r="AS53" s="1615"/>
      <c r="AT53" s="1615"/>
      <c r="AU53" s="1615"/>
      <c r="AV53" s="1615"/>
      <c r="AW53" s="1615"/>
      <c r="AX53" s="1615"/>
      <c r="AY53" s="1615"/>
      <c r="AZ53" s="1615"/>
      <c r="BA53" s="1615"/>
      <c r="BB53" s="1616"/>
      <c r="BC53" s="2038"/>
      <c r="BD53" s="2039"/>
      <c r="BE53" s="2039"/>
      <c r="BF53" s="2039"/>
      <c r="BG53" s="2039"/>
      <c r="BH53" s="2039"/>
      <c r="BI53" s="2039"/>
      <c r="BJ53" s="2040"/>
      <c r="BK53" s="1620"/>
      <c r="BL53" s="1621"/>
      <c r="BM53" s="1622"/>
      <c r="BN53" s="1538"/>
      <c r="BO53" s="1538"/>
      <c r="BP53" s="1538"/>
      <c r="BQ53" s="1538"/>
      <c r="BR53" s="1538"/>
      <c r="BS53" s="1538"/>
      <c r="BT53" s="1538"/>
      <c r="BU53" s="1538"/>
      <c r="BV53" s="1538"/>
      <c r="BW53" s="2023"/>
      <c r="BX53" s="804"/>
    </row>
    <row r="54" spans="1:76" ht="27.95" hidden="1" customHeight="1" outlineLevel="1">
      <c r="B54" s="1377"/>
      <c r="C54" s="2019"/>
      <c r="D54" s="1614"/>
      <c r="E54" s="1615"/>
      <c r="F54" s="1615"/>
      <c r="G54" s="1615"/>
      <c r="H54" s="1615"/>
      <c r="I54" s="1615"/>
      <c r="J54" s="1615"/>
      <c r="K54" s="1615"/>
      <c r="L54" s="1615"/>
      <c r="M54" s="1615"/>
      <c r="N54" s="1616"/>
      <c r="O54" s="2035"/>
      <c r="P54" s="2036"/>
      <c r="Q54" s="2036"/>
      <c r="R54" s="2036"/>
      <c r="S54" s="2036"/>
      <c r="T54" s="2036"/>
      <c r="U54" s="2036"/>
      <c r="V54" s="2037"/>
      <c r="W54" s="1617"/>
      <c r="X54" s="1618"/>
      <c r="Y54" s="1619"/>
      <c r="Z54" s="1538"/>
      <c r="AA54" s="1538"/>
      <c r="AB54" s="1538"/>
      <c r="AC54" s="1538"/>
      <c r="AD54" s="1538"/>
      <c r="AE54" s="1538"/>
      <c r="AF54" s="1538"/>
      <c r="AG54" s="1538"/>
      <c r="AH54" s="1538"/>
      <c r="AI54" s="2023"/>
      <c r="AJ54" s="804"/>
      <c r="AK54" s="805"/>
      <c r="AL54" s="805"/>
      <c r="AM54" s="805"/>
      <c r="AN54" s="805"/>
      <c r="AP54" s="1377"/>
      <c r="AQ54" s="2019"/>
      <c r="AR54" s="1614"/>
      <c r="AS54" s="1615"/>
      <c r="AT54" s="1615"/>
      <c r="AU54" s="1615"/>
      <c r="AV54" s="1615"/>
      <c r="AW54" s="1615"/>
      <c r="AX54" s="1615"/>
      <c r="AY54" s="1615"/>
      <c r="AZ54" s="1615"/>
      <c r="BA54" s="1615"/>
      <c r="BB54" s="1616"/>
      <c r="BC54" s="2038"/>
      <c r="BD54" s="2039"/>
      <c r="BE54" s="2039"/>
      <c r="BF54" s="2039"/>
      <c r="BG54" s="2039"/>
      <c r="BH54" s="2039"/>
      <c r="BI54" s="2039"/>
      <c r="BJ54" s="2040"/>
      <c r="BK54" s="1620"/>
      <c r="BL54" s="1621"/>
      <c r="BM54" s="1622"/>
      <c r="BN54" s="1538"/>
      <c r="BO54" s="1538"/>
      <c r="BP54" s="1538"/>
      <c r="BQ54" s="1538"/>
      <c r="BR54" s="1538"/>
      <c r="BS54" s="1538"/>
      <c r="BT54" s="1538"/>
      <c r="BU54" s="1538"/>
      <c r="BV54" s="1538"/>
      <c r="BW54" s="2023"/>
      <c r="BX54" s="804"/>
    </row>
    <row r="55" spans="1:76" ht="27.95" hidden="1" customHeight="1" outlineLevel="1">
      <c r="B55" s="1377"/>
      <c r="C55" s="2019"/>
      <c r="D55" s="1614"/>
      <c r="E55" s="1615"/>
      <c r="F55" s="1615"/>
      <c r="G55" s="1615"/>
      <c r="H55" s="1615"/>
      <c r="I55" s="1615"/>
      <c r="J55" s="1615"/>
      <c r="K55" s="1615"/>
      <c r="L55" s="1615"/>
      <c r="M55" s="1615"/>
      <c r="N55" s="1616"/>
      <c r="O55" s="2035"/>
      <c r="P55" s="2036"/>
      <c r="Q55" s="2036"/>
      <c r="R55" s="2036"/>
      <c r="S55" s="2036"/>
      <c r="T55" s="2036"/>
      <c r="U55" s="2036"/>
      <c r="V55" s="2037"/>
      <c r="W55" s="1617"/>
      <c r="X55" s="1618"/>
      <c r="Y55" s="1619"/>
      <c r="Z55" s="1538"/>
      <c r="AA55" s="1538"/>
      <c r="AB55" s="1538"/>
      <c r="AC55" s="1538"/>
      <c r="AD55" s="1538"/>
      <c r="AE55" s="1538"/>
      <c r="AF55" s="1538"/>
      <c r="AG55" s="1538"/>
      <c r="AH55" s="1538"/>
      <c r="AI55" s="2023"/>
      <c r="AJ55" s="804"/>
      <c r="AK55" s="805"/>
      <c r="AL55" s="805"/>
      <c r="AM55" s="805"/>
      <c r="AN55" s="805"/>
      <c r="AP55" s="1377"/>
      <c r="AQ55" s="2019"/>
      <c r="AR55" s="1614"/>
      <c r="AS55" s="1615"/>
      <c r="AT55" s="1615"/>
      <c r="AU55" s="1615"/>
      <c r="AV55" s="1615"/>
      <c r="AW55" s="1615"/>
      <c r="AX55" s="1615"/>
      <c r="AY55" s="1615"/>
      <c r="AZ55" s="1615"/>
      <c r="BA55" s="1615"/>
      <c r="BB55" s="1616"/>
      <c r="BC55" s="2038"/>
      <c r="BD55" s="2039"/>
      <c r="BE55" s="2039"/>
      <c r="BF55" s="2039"/>
      <c r="BG55" s="2039"/>
      <c r="BH55" s="2039"/>
      <c r="BI55" s="2039"/>
      <c r="BJ55" s="2040"/>
      <c r="BK55" s="1620"/>
      <c r="BL55" s="1621"/>
      <c r="BM55" s="1622"/>
      <c r="BN55" s="1538"/>
      <c r="BO55" s="1538"/>
      <c r="BP55" s="1538"/>
      <c r="BQ55" s="1538"/>
      <c r="BR55" s="1538"/>
      <c r="BS55" s="1538"/>
      <c r="BT55" s="1538"/>
      <c r="BU55" s="1538"/>
      <c r="BV55" s="1538"/>
      <c r="BW55" s="2023"/>
      <c r="BX55" s="804"/>
    </row>
    <row r="56" spans="1:76" ht="27.95" hidden="1" customHeight="1" outlineLevel="1">
      <c r="B56" s="1377"/>
      <c r="C56" s="2019"/>
      <c r="D56" s="1614"/>
      <c r="E56" s="1615"/>
      <c r="F56" s="1615"/>
      <c r="G56" s="1615"/>
      <c r="H56" s="1615"/>
      <c r="I56" s="1615"/>
      <c r="J56" s="1615"/>
      <c r="K56" s="1615"/>
      <c r="L56" s="1615"/>
      <c r="M56" s="1615"/>
      <c r="N56" s="1616"/>
      <c r="O56" s="2035"/>
      <c r="P56" s="2036"/>
      <c r="Q56" s="2036"/>
      <c r="R56" s="2036"/>
      <c r="S56" s="2036"/>
      <c r="T56" s="2036"/>
      <c r="U56" s="2036"/>
      <c r="V56" s="2037"/>
      <c r="W56" s="1617"/>
      <c r="X56" s="1618"/>
      <c r="Y56" s="1619"/>
      <c r="Z56" s="1538"/>
      <c r="AA56" s="1538"/>
      <c r="AB56" s="1538"/>
      <c r="AC56" s="1538"/>
      <c r="AD56" s="1538"/>
      <c r="AE56" s="1538"/>
      <c r="AF56" s="1538"/>
      <c r="AG56" s="1538"/>
      <c r="AH56" s="1538"/>
      <c r="AI56" s="2023"/>
      <c r="AJ56" s="804"/>
      <c r="AK56" s="805"/>
      <c r="AL56" s="805"/>
      <c r="AM56" s="805"/>
      <c r="AN56" s="805"/>
      <c r="AP56" s="1377"/>
      <c r="AQ56" s="2019"/>
      <c r="AR56" s="1614"/>
      <c r="AS56" s="1615"/>
      <c r="AT56" s="1615"/>
      <c r="AU56" s="1615"/>
      <c r="AV56" s="1615"/>
      <c r="AW56" s="1615"/>
      <c r="AX56" s="1615"/>
      <c r="AY56" s="1615"/>
      <c r="AZ56" s="1615"/>
      <c r="BA56" s="1615"/>
      <c r="BB56" s="1616"/>
      <c r="BC56" s="2038"/>
      <c r="BD56" s="2039"/>
      <c r="BE56" s="2039"/>
      <c r="BF56" s="2039"/>
      <c r="BG56" s="2039"/>
      <c r="BH56" s="2039"/>
      <c r="BI56" s="2039"/>
      <c r="BJ56" s="2040"/>
      <c r="BK56" s="1620"/>
      <c r="BL56" s="1621"/>
      <c r="BM56" s="1622"/>
      <c r="BN56" s="1538"/>
      <c r="BO56" s="1538"/>
      <c r="BP56" s="1538"/>
      <c r="BQ56" s="1538"/>
      <c r="BR56" s="1538"/>
      <c r="BS56" s="1538"/>
      <c r="BT56" s="1538"/>
      <c r="BU56" s="1538"/>
      <c r="BV56" s="1538"/>
      <c r="BW56" s="2023"/>
      <c r="BX56" s="804"/>
    </row>
    <row r="57" spans="1:76" ht="27.95" hidden="1" customHeight="1" outlineLevel="1">
      <c r="B57" s="1377"/>
      <c r="C57" s="2019"/>
      <c r="D57" s="1614"/>
      <c r="E57" s="1615"/>
      <c r="F57" s="1615"/>
      <c r="G57" s="1615"/>
      <c r="H57" s="1615"/>
      <c r="I57" s="1615"/>
      <c r="J57" s="1615"/>
      <c r="K57" s="1615"/>
      <c r="L57" s="1615"/>
      <c r="M57" s="1615"/>
      <c r="N57" s="1616"/>
      <c r="O57" s="2035"/>
      <c r="P57" s="2036"/>
      <c r="Q57" s="2036"/>
      <c r="R57" s="2036"/>
      <c r="S57" s="2036"/>
      <c r="T57" s="2036"/>
      <c r="U57" s="2036"/>
      <c r="V57" s="2037"/>
      <c r="W57" s="1617"/>
      <c r="X57" s="1618"/>
      <c r="Y57" s="1619"/>
      <c r="Z57" s="1538"/>
      <c r="AA57" s="1538"/>
      <c r="AB57" s="1538"/>
      <c r="AC57" s="1538"/>
      <c r="AD57" s="1538"/>
      <c r="AE57" s="1538"/>
      <c r="AF57" s="1538"/>
      <c r="AG57" s="1538"/>
      <c r="AH57" s="1538"/>
      <c r="AI57" s="2023"/>
      <c r="AJ57" s="804"/>
      <c r="AK57" s="805"/>
      <c r="AL57" s="805"/>
      <c r="AM57" s="805"/>
      <c r="AN57" s="805"/>
      <c r="AP57" s="1377"/>
      <c r="AQ57" s="2019"/>
      <c r="AR57" s="1614"/>
      <c r="AS57" s="1615"/>
      <c r="AT57" s="1615"/>
      <c r="AU57" s="1615"/>
      <c r="AV57" s="1615"/>
      <c r="AW57" s="1615"/>
      <c r="AX57" s="1615"/>
      <c r="AY57" s="1615"/>
      <c r="AZ57" s="1615"/>
      <c r="BA57" s="1615"/>
      <c r="BB57" s="1616"/>
      <c r="BC57" s="2038"/>
      <c r="BD57" s="2039"/>
      <c r="BE57" s="2039"/>
      <c r="BF57" s="2039"/>
      <c r="BG57" s="2039"/>
      <c r="BH57" s="2039"/>
      <c r="BI57" s="2039"/>
      <c r="BJ57" s="2040"/>
      <c r="BK57" s="1620"/>
      <c r="BL57" s="1621"/>
      <c r="BM57" s="1622"/>
      <c r="BN57" s="1538"/>
      <c r="BO57" s="1538"/>
      <c r="BP57" s="1538"/>
      <c r="BQ57" s="1538"/>
      <c r="BR57" s="1538"/>
      <c r="BS57" s="1538"/>
      <c r="BT57" s="1538"/>
      <c r="BU57" s="1538"/>
      <c r="BV57" s="1538"/>
      <c r="BW57" s="2023"/>
      <c r="BX57" s="804"/>
    </row>
    <row r="58" spans="1:76" ht="27.95" hidden="1" customHeight="1" outlineLevel="1">
      <c r="B58" s="1377"/>
      <c r="C58" s="2019"/>
      <c r="D58" s="1614"/>
      <c r="E58" s="1615"/>
      <c r="F58" s="1615"/>
      <c r="G58" s="1615"/>
      <c r="H58" s="1615"/>
      <c r="I58" s="1615"/>
      <c r="J58" s="1615"/>
      <c r="K58" s="1615"/>
      <c r="L58" s="1615"/>
      <c r="M58" s="1615"/>
      <c r="N58" s="1616"/>
      <c r="O58" s="2035"/>
      <c r="P58" s="2036"/>
      <c r="Q58" s="2036"/>
      <c r="R58" s="2036"/>
      <c r="S58" s="2036"/>
      <c r="T58" s="2036"/>
      <c r="U58" s="2036"/>
      <c r="V58" s="2037"/>
      <c r="W58" s="1617"/>
      <c r="X58" s="1618"/>
      <c r="Y58" s="1619"/>
      <c r="Z58" s="1538"/>
      <c r="AA58" s="1538"/>
      <c r="AB58" s="1538"/>
      <c r="AC58" s="1538"/>
      <c r="AD58" s="1538"/>
      <c r="AE58" s="1538"/>
      <c r="AF58" s="1538"/>
      <c r="AG58" s="1538"/>
      <c r="AH58" s="1538"/>
      <c r="AI58" s="2023"/>
      <c r="AJ58" s="804"/>
      <c r="AK58" s="805"/>
      <c r="AL58" s="805"/>
      <c r="AM58" s="805"/>
      <c r="AN58" s="805"/>
      <c r="AP58" s="1377"/>
      <c r="AQ58" s="2019"/>
      <c r="AR58" s="1614"/>
      <c r="AS58" s="1615"/>
      <c r="AT58" s="1615"/>
      <c r="AU58" s="1615"/>
      <c r="AV58" s="1615"/>
      <c r="AW58" s="1615"/>
      <c r="AX58" s="1615"/>
      <c r="AY58" s="1615"/>
      <c r="AZ58" s="1615"/>
      <c r="BA58" s="1615"/>
      <c r="BB58" s="1616"/>
      <c r="BC58" s="2038"/>
      <c r="BD58" s="2039"/>
      <c r="BE58" s="2039"/>
      <c r="BF58" s="2039"/>
      <c r="BG58" s="2039"/>
      <c r="BH58" s="2039"/>
      <c r="BI58" s="2039"/>
      <c r="BJ58" s="2040"/>
      <c r="BK58" s="1620"/>
      <c r="BL58" s="1621"/>
      <c r="BM58" s="1622"/>
      <c r="BN58" s="1538"/>
      <c r="BO58" s="1538"/>
      <c r="BP58" s="1538"/>
      <c r="BQ58" s="1538"/>
      <c r="BR58" s="1538"/>
      <c r="BS58" s="1538"/>
      <c r="BT58" s="1538"/>
      <c r="BU58" s="1538"/>
      <c r="BV58" s="1538"/>
      <c r="BW58" s="2023"/>
      <c r="BX58" s="804"/>
    </row>
    <row r="59" spans="1:76" ht="27.95" hidden="1" customHeight="1" outlineLevel="1">
      <c r="B59" s="1377"/>
      <c r="C59" s="2019"/>
      <c r="D59" s="1614"/>
      <c r="E59" s="1615"/>
      <c r="F59" s="1615"/>
      <c r="G59" s="1615"/>
      <c r="H59" s="1615"/>
      <c r="I59" s="1615"/>
      <c r="J59" s="1615"/>
      <c r="K59" s="1615"/>
      <c r="L59" s="1615"/>
      <c r="M59" s="1615"/>
      <c r="N59" s="1616"/>
      <c r="O59" s="2035"/>
      <c r="P59" s="2036"/>
      <c r="Q59" s="2036"/>
      <c r="R59" s="2036"/>
      <c r="S59" s="2036"/>
      <c r="T59" s="2036"/>
      <c r="U59" s="2036"/>
      <c r="V59" s="2037"/>
      <c r="W59" s="1617"/>
      <c r="X59" s="1618"/>
      <c r="Y59" s="1619"/>
      <c r="Z59" s="1538"/>
      <c r="AA59" s="1538"/>
      <c r="AB59" s="1538"/>
      <c r="AC59" s="1538"/>
      <c r="AD59" s="1538"/>
      <c r="AE59" s="1538"/>
      <c r="AF59" s="1538"/>
      <c r="AG59" s="1538"/>
      <c r="AH59" s="1538"/>
      <c r="AI59" s="2023"/>
      <c r="AJ59" s="804"/>
      <c r="AK59" s="805"/>
      <c r="AL59" s="805"/>
      <c r="AM59" s="805"/>
      <c r="AN59" s="805"/>
      <c r="AP59" s="1377"/>
      <c r="AQ59" s="2019"/>
      <c r="AR59" s="1614"/>
      <c r="AS59" s="1615"/>
      <c r="AT59" s="1615"/>
      <c r="AU59" s="1615"/>
      <c r="AV59" s="1615"/>
      <c r="AW59" s="1615"/>
      <c r="AX59" s="1615"/>
      <c r="AY59" s="1615"/>
      <c r="AZ59" s="1615"/>
      <c r="BA59" s="1615"/>
      <c r="BB59" s="1616"/>
      <c r="BC59" s="2038"/>
      <c r="BD59" s="2039"/>
      <c r="BE59" s="2039"/>
      <c r="BF59" s="2039"/>
      <c r="BG59" s="2039"/>
      <c r="BH59" s="2039"/>
      <c r="BI59" s="2039"/>
      <c r="BJ59" s="2040"/>
      <c r="BK59" s="1620"/>
      <c r="BL59" s="1621"/>
      <c r="BM59" s="1622"/>
      <c r="BN59" s="1538"/>
      <c r="BO59" s="1538"/>
      <c r="BP59" s="1538"/>
      <c r="BQ59" s="1538"/>
      <c r="BR59" s="1538"/>
      <c r="BS59" s="1538"/>
      <c r="BT59" s="1538"/>
      <c r="BU59" s="1538"/>
      <c r="BV59" s="1538"/>
      <c r="BW59" s="2023"/>
      <c r="BX59" s="804"/>
    </row>
    <row r="60" spans="1:76" ht="27.95" hidden="1" customHeight="1" outlineLevel="1">
      <c r="B60" s="1377"/>
      <c r="C60" s="2019"/>
      <c r="D60" s="1614"/>
      <c r="E60" s="1615"/>
      <c r="F60" s="1615"/>
      <c r="G60" s="1615"/>
      <c r="H60" s="1615"/>
      <c r="I60" s="1615"/>
      <c r="J60" s="1615"/>
      <c r="K60" s="1615"/>
      <c r="L60" s="1615"/>
      <c r="M60" s="1615"/>
      <c r="N60" s="1616"/>
      <c r="O60" s="2035"/>
      <c r="P60" s="2036"/>
      <c r="Q60" s="2036"/>
      <c r="R60" s="2036"/>
      <c r="S60" s="2036"/>
      <c r="T60" s="2036"/>
      <c r="U60" s="2036"/>
      <c r="V60" s="2037"/>
      <c r="W60" s="1617"/>
      <c r="X60" s="1618"/>
      <c r="Y60" s="1619"/>
      <c r="Z60" s="1538"/>
      <c r="AA60" s="1538"/>
      <c r="AB60" s="1538"/>
      <c r="AC60" s="1538"/>
      <c r="AD60" s="1538"/>
      <c r="AE60" s="1538"/>
      <c r="AF60" s="1538"/>
      <c r="AG60" s="1538"/>
      <c r="AH60" s="1538"/>
      <c r="AI60" s="2023"/>
      <c r="AJ60" s="804"/>
      <c r="AK60" s="805"/>
      <c r="AL60" s="805"/>
      <c r="AM60" s="805"/>
      <c r="AN60" s="805"/>
      <c r="AP60" s="1377"/>
      <c r="AQ60" s="2019"/>
      <c r="AR60" s="1614"/>
      <c r="AS60" s="1615"/>
      <c r="AT60" s="1615"/>
      <c r="AU60" s="1615"/>
      <c r="AV60" s="1615"/>
      <c r="AW60" s="1615"/>
      <c r="AX60" s="1615"/>
      <c r="AY60" s="1615"/>
      <c r="AZ60" s="1615"/>
      <c r="BA60" s="1615"/>
      <c r="BB60" s="1616"/>
      <c r="BC60" s="2038"/>
      <c r="BD60" s="2039"/>
      <c r="BE60" s="2039"/>
      <c r="BF60" s="2039"/>
      <c r="BG60" s="2039"/>
      <c r="BH60" s="2039"/>
      <c r="BI60" s="2039"/>
      <c r="BJ60" s="2040"/>
      <c r="BK60" s="1620"/>
      <c r="BL60" s="1621"/>
      <c r="BM60" s="1622"/>
      <c r="BN60" s="1538"/>
      <c r="BO60" s="1538"/>
      <c r="BP60" s="1538"/>
      <c r="BQ60" s="1538"/>
      <c r="BR60" s="1538"/>
      <c r="BS60" s="1538"/>
      <c r="BT60" s="1538"/>
      <c r="BU60" s="1538"/>
      <c r="BV60" s="1538"/>
      <c r="BW60" s="2023"/>
      <c r="BX60" s="804"/>
    </row>
    <row r="61" spans="1:76" ht="27.95" hidden="1" customHeight="1" outlineLevel="1">
      <c r="B61" s="1377"/>
      <c r="C61" s="2019"/>
      <c r="D61" s="1614"/>
      <c r="E61" s="1615"/>
      <c r="F61" s="1615"/>
      <c r="G61" s="1615"/>
      <c r="H61" s="1615"/>
      <c r="I61" s="1615"/>
      <c r="J61" s="1615"/>
      <c r="K61" s="1615"/>
      <c r="L61" s="1615"/>
      <c r="M61" s="1615"/>
      <c r="N61" s="1616"/>
      <c r="O61" s="2035"/>
      <c r="P61" s="2036"/>
      <c r="Q61" s="2036"/>
      <c r="R61" s="2036"/>
      <c r="S61" s="2036"/>
      <c r="T61" s="2036"/>
      <c r="U61" s="2036"/>
      <c r="V61" s="2037"/>
      <c r="W61" s="1617"/>
      <c r="X61" s="1618"/>
      <c r="Y61" s="1619"/>
      <c r="Z61" s="1538"/>
      <c r="AA61" s="1538"/>
      <c r="AB61" s="1538"/>
      <c r="AC61" s="1538"/>
      <c r="AD61" s="1538"/>
      <c r="AE61" s="1538"/>
      <c r="AF61" s="1538"/>
      <c r="AG61" s="1538"/>
      <c r="AH61" s="1538"/>
      <c r="AI61" s="2023"/>
      <c r="AJ61" s="804"/>
      <c r="AK61" s="805"/>
      <c r="AL61" s="805"/>
      <c r="AM61" s="805"/>
      <c r="AN61" s="805"/>
      <c r="AP61" s="1377"/>
      <c r="AQ61" s="2019"/>
      <c r="AR61" s="1614"/>
      <c r="AS61" s="1615"/>
      <c r="AT61" s="1615"/>
      <c r="AU61" s="1615"/>
      <c r="AV61" s="1615"/>
      <c r="AW61" s="1615"/>
      <c r="AX61" s="1615"/>
      <c r="AY61" s="1615"/>
      <c r="AZ61" s="1615"/>
      <c r="BA61" s="1615"/>
      <c r="BB61" s="1616"/>
      <c r="BC61" s="2038"/>
      <c r="BD61" s="2039"/>
      <c r="BE61" s="2039"/>
      <c r="BF61" s="2039"/>
      <c r="BG61" s="2039"/>
      <c r="BH61" s="2039"/>
      <c r="BI61" s="2039"/>
      <c r="BJ61" s="2040"/>
      <c r="BK61" s="1620"/>
      <c r="BL61" s="1621"/>
      <c r="BM61" s="1622"/>
      <c r="BN61" s="1538"/>
      <c r="BO61" s="1538"/>
      <c r="BP61" s="1538"/>
      <c r="BQ61" s="1538"/>
      <c r="BR61" s="1538"/>
      <c r="BS61" s="1538"/>
      <c r="BT61" s="1538"/>
      <c r="BU61" s="1538"/>
      <c r="BV61" s="1538"/>
      <c r="BW61" s="2023"/>
      <c r="BX61" s="804"/>
    </row>
    <row r="62" spans="1:76" ht="27.95" hidden="1" customHeight="1" outlineLevel="1">
      <c r="B62" s="1377"/>
      <c r="C62" s="2019"/>
      <c r="D62" s="1614"/>
      <c r="E62" s="1615"/>
      <c r="F62" s="1615"/>
      <c r="G62" s="1615"/>
      <c r="H62" s="1615"/>
      <c r="I62" s="1615"/>
      <c r="J62" s="1615"/>
      <c r="K62" s="1615"/>
      <c r="L62" s="1615"/>
      <c r="M62" s="1615"/>
      <c r="N62" s="1616"/>
      <c r="O62" s="2035"/>
      <c r="P62" s="2036"/>
      <c r="Q62" s="2036"/>
      <c r="R62" s="2036"/>
      <c r="S62" s="2036"/>
      <c r="T62" s="2036"/>
      <c r="U62" s="2036"/>
      <c r="V62" s="2037"/>
      <c r="W62" s="1617"/>
      <c r="X62" s="1618"/>
      <c r="Y62" s="1619"/>
      <c r="Z62" s="1538"/>
      <c r="AA62" s="1538"/>
      <c r="AB62" s="1538"/>
      <c r="AC62" s="1538"/>
      <c r="AD62" s="1538"/>
      <c r="AE62" s="1538"/>
      <c r="AF62" s="1538"/>
      <c r="AG62" s="1538"/>
      <c r="AH62" s="1538"/>
      <c r="AI62" s="2023"/>
      <c r="AJ62" s="804"/>
      <c r="AK62" s="805"/>
      <c r="AL62" s="805"/>
      <c r="AM62" s="805"/>
      <c r="AN62" s="805"/>
      <c r="AP62" s="1377"/>
      <c r="AQ62" s="2019"/>
      <c r="AR62" s="1614"/>
      <c r="AS62" s="1615"/>
      <c r="AT62" s="1615"/>
      <c r="AU62" s="1615"/>
      <c r="AV62" s="1615"/>
      <c r="AW62" s="1615"/>
      <c r="AX62" s="1615"/>
      <c r="AY62" s="1615"/>
      <c r="AZ62" s="1615"/>
      <c r="BA62" s="1615"/>
      <c r="BB62" s="1616"/>
      <c r="BC62" s="2038"/>
      <c r="BD62" s="2039"/>
      <c r="BE62" s="2039"/>
      <c r="BF62" s="2039"/>
      <c r="BG62" s="2039"/>
      <c r="BH62" s="2039"/>
      <c r="BI62" s="2039"/>
      <c r="BJ62" s="2040"/>
      <c r="BK62" s="1620"/>
      <c r="BL62" s="1621"/>
      <c r="BM62" s="1622"/>
      <c r="BN62" s="1538"/>
      <c r="BO62" s="1538"/>
      <c r="BP62" s="1538"/>
      <c r="BQ62" s="1538"/>
      <c r="BR62" s="1538"/>
      <c r="BS62" s="1538"/>
      <c r="BT62" s="1538"/>
      <c r="BU62" s="1538"/>
      <c r="BV62" s="1538"/>
      <c r="BW62" s="2023"/>
      <c r="BX62" s="804"/>
    </row>
    <row r="63" spans="1:76" ht="27.95" hidden="1" customHeight="1" outlineLevel="1">
      <c r="A63" s="808"/>
      <c r="B63" s="1377"/>
      <c r="C63" s="2019"/>
      <c r="D63" s="1614"/>
      <c r="E63" s="1615"/>
      <c r="F63" s="1615"/>
      <c r="G63" s="1615"/>
      <c r="H63" s="1615"/>
      <c r="I63" s="1615"/>
      <c r="J63" s="1615"/>
      <c r="K63" s="1615"/>
      <c r="L63" s="1615"/>
      <c r="M63" s="1615"/>
      <c r="N63" s="1616"/>
      <c r="O63" s="2035"/>
      <c r="P63" s="2036"/>
      <c r="Q63" s="2036"/>
      <c r="R63" s="2036"/>
      <c r="S63" s="2036"/>
      <c r="T63" s="2036"/>
      <c r="U63" s="2036"/>
      <c r="V63" s="2037"/>
      <c r="W63" s="1617"/>
      <c r="X63" s="1618"/>
      <c r="Y63" s="1619"/>
      <c r="Z63" s="1538"/>
      <c r="AA63" s="1538"/>
      <c r="AB63" s="1538"/>
      <c r="AC63" s="1538"/>
      <c r="AD63" s="1538"/>
      <c r="AE63" s="1538"/>
      <c r="AF63" s="1538"/>
      <c r="AG63" s="1538"/>
      <c r="AH63" s="1538"/>
      <c r="AI63" s="2023"/>
      <c r="AJ63" s="804"/>
      <c r="AK63" s="805"/>
      <c r="AL63" s="805"/>
      <c r="AM63" s="805"/>
      <c r="AN63" s="805"/>
      <c r="AP63" s="1377"/>
      <c r="AQ63" s="2019"/>
      <c r="AR63" s="1614"/>
      <c r="AS63" s="1615"/>
      <c r="AT63" s="1615"/>
      <c r="AU63" s="1615"/>
      <c r="AV63" s="1615"/>
      <c r="AW63" s="1615"/>
      <c r="AX63" s="1615"/>
      <c r="AY63" s="1615"/>
      <c r="AZ63" s="1615"/>
      <c r="BA63" s="1615"/>
      <c r="BB63" s="1616"/>
      <c r="BC63" s="2038"/>
      <c r="BD63" s="2039"/>
      <c r="BE63" s="2039"/>
      <c r="BF63" s="2039"/>
      <c r="BG63" s="2039"/>
      <c r="BH63" s="2039"/>
      <c r="BI63" s="2039"/>
      <c r="BJ63" s="2040"/>
      <c r="BK63" s="1620"/>
      <c r="BL63" s="1621"/>
      <c r="BM63" s="1622"/>
      <c r="BN63" s="1538"/>
      <c r="BO63" s="1538"/>
      <c r="BP63" s="1538"/>
      <c r="BQ63" s="1538"/>
      <c r="BR63" s="1538"/>
      <c r="BS63" s="1538"/>
      <c r="BT63" s="1538"/>
      <c r="BU63" s="1538"/>
      <c r="BV63" s="1538"/>
      <c r="BW63" s="2023"/>
      <c r="BX63" s="804"/>
    </row>
    <row r="64" spans="1:76" ht="27.95" hidden="1" customHeight="1" outlineLevel="1">
      <c r="B64" s="1377"/>
      <c r="C64" s="2019"/>
      <c r="D64" s="1614"/>
      <c r="E64" s="1615"/>
      <c r="F64" s="1615"/>
      <c r="G64" s="1615"/>
      <c r="H64" s="1615"/>
      <c r="I64" s="1615"/>
      <c r="J64" s="1615"/>
      <c r="K64" s="1615"/>
      <c r="L64" s="1615"/>
      <c r="M64" s="1615"/>
      <c r="N64" s="1616"/>
      <c r="O64" s="2035"/>
      <c r="P64" s="2036"/>
      <c r="Q64" s="2036"/>
      <c r="R64" s="2036"/>
      <c r="S64" s="2036"/>
      <c r="T64" s="2036"/>
      <c r="U64" s="2036"/>
      <c r="V64" s="2037"/>
      <c r="W64" s="1617"/>
      <c r="X64" s="1618"/>
      <c r="Y64" s="1619"/>
      <c r="Z64" s="1538"/>
      <c r="AA64" s="1538"/>
      <c r="AB64" s="1538"/>
      <c r="AC64" s="1538"/>
      <c r="AD64" s="1538"/>
      <c r="AE64" s="1538"/>
      <c r="AF64" s="1538"/>
      <c r="AG64" s="1538"/>
      <c r="AH64" s="1538"/>
      <c r="AI64" s="2023"/>
      <c r="AJ64" s="804"/>
      <c r="AK64" s="805"/>
      <c r="AL64" s="805"/>
      <c r="AM64" s="805"/>
      <c r="AN64" s="805"/>
      <c r="AP64" s="1377"/>
      <c r="AQ64" s="2019"/>
      <c r="AR64" s="1614"/>
      <c r="AS64" s="1615"/>
      <c r="AT64" s="1615"/>
      <c r="AU64" s="1615"/>
      <c r="AV64" s="1615"/>
      <c r="AW64" s="1615"/>
      <c r="AX64" s="1615"/>
      <c r="AY64" s="1615"/>
      <c r="AZ64" s="1615"/>
      <c r="BA64" s="1615"/>
      <c r="BB64" s="1616"/>
      <c r="BC64" s="2038"/>
      <c r="BD64" s="2039"/>
      <c r="BE64" s="2039"/>
      <c r="BF64" s="2039"/>
      <c r="BG64" s="2039"/>
      <c r="BH64" s="2039"/>
      <c r="BI64" s="2039"/>
      <c r="BJ64" s="2040"/>
      <c r="BK64" s="1620"/>
      <c r="BL64" s="1621"/>
      <c r="BM64" s="1622"/>
      <c r="BN64" s="1538"/>
      <c r="BO64" s="1538"/>
      <c r="BP64" s="1538"/>
      <c r="BQ64" s="1538"/>
      <c r="BR64" s="1538"/>
      <c r="BS64" s="1538"/>
      <c r="BT64" s="1538"/>
      <c r="BU64" s="1538"/>
      <c r="BV64" s="1538"/>
      <c r="BW64" s="2023"/>
      <c r="BX64" s="804"/>
    </row>
    <row r="65" spans="2:76" ht="27.95" hidden="1" customHeight="1" outlineLevel="1">
      <c r="B65" s="1377"/>
      <c r="C65" s="2019"/>
      <c r="D65" s="1614"/>
      <c r="E65" s="1615"/>
      <c r="F65" s="1615"/>
      <c r="G65" s="1615"/>
      <c r="H65" s="1615"/>
      <c r="I65" s="1615"/>
      <c r="J65" s="1615"/>
      <c r="K65" s="1615"/>
      <c r="L65" s="1615"/>
      <c r="M65" s="1615"/>
      <c r="N65" s="1616"/>
      <c r="O65" s="2035"/>
      <c r="P65" s="2036"/>
      <c r="Q65" s="2036"/>
      <c r="R65" s="2036"/>
      <c r="S65" s="2036"/>
      <c r="T65" s="2036"/>
      <c r="U65" s="2036"/>
      <c r="V65" s="2037"/>
      <c r="W65" s="1617"/>
      <c r="X65" s="1618"/>
      <c r="Y65" s="1619"/>
      <c r="Z65" s="1538"/>
      <c r="AA65" s="1538"/>
      <c r="AB65" s="1538"/>
      <c r="AC65" s="1538"/>
      <c r="AD65" s="1538"/>
      <c r="AE65" s="1538"/>
      <c r="AF65" s="1538"/>
      <c r="AG65" s="1538"/>
      <c r="AH65" s="1538"/>
      <c r="AI65" s="2023"/>
      <c r="AJ65" s="804"/>
      <c r="AK65" s="805"/>
      <c r="AL65" s="805"/>
      <c r="AM65" s="805"/>
      <c r="AN65" s="805"/>
      <c r="AP65" s="1377"/>
      <c r="AQ65" s="2019"/>
      <c r="AR65" s="1614"/>
      <c r="AS65" s="1615"/>
      <c r="AT65" s="1615"/>
      <c r="AU65" s="1615"/>
      <c r="AV65" s="1615"/>
      <c r="AW65" s="1615"/>
      <c r="AX65" s="1615"/>
      <c r="AY65" s="1615"/>
      <c r="AZ65" s="1615"/>
      <c r="BA65" s="1615"/>
      <c r="BB65" s="1616"/>
      <c r="BC65" s="2038"/>
      <c r="BD65" s="2039"/>
      <c r="BE65" s="2039"/>
      <c r="BF65" s="2039"/>
      <c r="BG65" s="2039"/>
      <c r="BH65" s="2039"/>
      <c r="BI65" s="2039"/>
      <c r="BJ65" s="2040"/>
      <c r="BK65" s="1620"/>
      <c r="BL65" s="1621"/>
      <c r="BM65" s="1622"/>
      <c r="BN65" s="1538"/>
      <c r="BO65" s="1538"/>
      <c r="BP65" s="1538"/>
      <c r="BQ65" s="1538"/>
      <c r="BR65" s="1538"/>
      <c r="BS65" s="1538"/>
      <c r="BT65" s="1538"/>
      <c r="BU65" s="1538"/>
      <c r="BV65" s="1538"/>
      <c r="BW65" s="2023"/>
      <c r="BX65" s="804"/>
    </row>
    <row r="66" spans="2:76" ht="27.95" hidden="1" customHeight="1" outlineLevel="1">
      <c r="B66" s="1377"/>
      <c r="C66" s="2019"/>
      <c r="D66" s="1614"/>
      <c r="E66" s="1615"/>
      <c r="F66" s="1615"/>
      <c r="G66" s="1615"/>
      <c r="H66" s="1615"/>
      <c r="I66" s="1615"/>
      <c r="J66" s="1615"/>
      <c r="K66" s="1615"/>
      <c r="L66" s="1615"/>
      <c r="M66" s="1615"/>
      <c r="N66" s="1616"/>
      <c r="O66" s="2035"/>
      <c r="P66" s="2036"/>
      <c r="Q66" s="2036"/>
      <c r="R66" s="2036"/>
      <c r="S66" s="2036"/>
      <c r="T66" s="2036"/>
      <c r="U66" s="2036"/>
      <c r="V66" s="2037"/>
      <c r="W66" s="1617"/>
      <c r="X66" s="1618"/>
      <c r="Y66" s="1619"/>
      <c r="Z66" s="1538"/>
      <c r="AA66" s="1538"/>
      <c r="AB66" s="1538"/>
      <c r="AC66" s="1538"/>
      <c r="AD66" s="1538"/>
      <c r="AE66" s="1538"/>
      <c r="AF66" s="1538"/>
      <c r="AG66" s="1538"/>
      <c r="AH66" s="1538"/>
      <c r="AI66" s="2023"/>
      <c r="AJ66" s="804"/>
      <c r="AK66" s="805"/>
      <c r="AL66" s="805"/>
      <c r="AM66" s="805"/>
      <c r="AN66" s="805"/>
      <c r="AP66" s="1377"/>
      <c r="AQ66" s="2019"/>
      <c r="AR66" s="1614"/>
      <c r="AS66" s="1615"/>
      <c r="AT66" s="1615"/>
      <c r="AU66" s="1615"/>
      <c r="AV66" s="1615"/>
      <c r="AW66" s="1615"/>
      <c r="AX66" s="1615"/>
      <c r="AY66" s="1615"/>
      <c r="AZ66" s="1615"/>
      <c r="BA66" s="1615"/>
      <c r="BB66" s="1616"/>
      <c r="BC66" s="2038"/>
      <c r="BD66" s="2039"/>
      <c r="BE66" s="2039"/>
      <c r="BF66" s="2039"/>
      <c r="BG66" s="2039"/>
      <c r="BH66" s="2039"/>
      <c r="BI66" s="2039"/>
      <c r="BJ66" s="2040"/>
      <c r="BK66" s="1620"/>
      <c r="BL66" s="1621"/>
      <c r="BM66" s="1622"/>
      <c r="BN66" s="1538"/>
      <c r="BO66" s="1538"/>
      <c r="BP66" s="1538"/>
      <c r="BQ66" s="1538"/>
      <c r="BR66" s="1538"/>
      <c r="BS66" s="1538"/>
      <c r="BT66" s="1538"/>
      <c r="BU66" s="1538"/>
      <c r="BV66" s="1538"/>
      <c r="BW66" s="2023"/>
      <c r="BX66" s="804"/>
    </row>
    <row r="67" spans="2:76" ht="27.95" hidden="1" customHeight="1" outlineLevel="1">
      <c r="B67" s="1377"/>
      <c r="C67" s="2019"/>
      <c r="D67" s="1614"/>
      <c r="E67" s="1615"/>
      <c r="F67" s="1615"/>
      <c r="G67" s="1615"/>
      <c r="H67" s="1615"/>
      <c r="I67" s="1615"/>
      <c r="J67" s="1615"/>
      <c r="K67" s="1615"/>
      <c r="L67" s="1615"/>
      <c r="M67" s="1615"/>
      <c r="N67" s="1616"/>
      <c r="O67" s="2035"/>
      <c r="P67" s="2036"/>
      <c r="Q67" s="2036"/>
      <c r="R67" s="2036"/>
      <c r="S67" s="2036"/>
      <c r="T67" s="2036"/>
      <c r="U67" s="2036"/>
      <c r="V67" s="2037"/>
      <c r="W67" s="1617"/>
      <c r="X67" s="1618"/>
      <c r="Y67" s="1619"/>
      <c r="Z67" s="1538"/>
      <c r="AA67" s="1538"/>
      <c r="AB67" s="1538"/>
      <c r="AC67" s="1538"/>
      <c r="AD67" s="1538"/>
      <c r="AE67" s="1538"/>
      <c r="AF67" s="1538"/>
      <c r="AG67" s="1538"/>
      <c r="AH67" s="1538"/>
      <c r="AI67" s="2023"/>
      <c r="AJ67" s="804"/>
      <c r="AK67" s="805"/>
      <c r="AL67" s="805"/>
      <c r="AM67" s="805"/>
      <c r="AN67" s="805"/>
      <c r="AP67" s="1377"/>
      <c r="AQ67" s="2019"/>
      <c r="AR67" s="1614"/>
      <c r="AS67" s="1615"/>
      <c r="AT67" s="1615"/>
      <c r="AU67" s="1615"/>
      <c r="AV67" s="1615"/>
      <c r="AW67" s="1615"/>
      <c r="AX67" s="1615"/>
      <c r="AY67" s="1615"/>
      <c r="AZ67" s="1615"/>
      <c r="BA67" s="1615"/>
      <c r="BB67" s="1616"/>
      <c r="BC67" s="2038"/>
      <c r="BD67" s="2039"/>
      <c r="BE67" s="2039"/>
      <c r="BF67" s="2039"/>
      <c r="BG67" s="2039"/>
      <c r="BH67" s="2039"/>
      <c r="BI67" s="2039"/>
      <c r="BJ67" s="2040"/>
      <c r="BK67" s="1620"/>
      <c r="BL67" s="1621"/>
      <c r="BM67" s="1622"/>
      <c r="BN67" s="1538"/>
      <c r="BO67" s="1538"/>
      <c r="BP67" s="1538"/>
      <c r="BQ67" s="1538"/>
      <c r="BR67" s="1538"/>
      <c r="BS67" s="1538"/>
      <c r="BT67" s="1538"/>
      <c r="BU67" s="1538"/>
      <c r="BV67" s="1538"/>
      <c r="BW67" s="2023"/>
      <c r="BX67" s="804"/>
    </row>
    <row r="68" spans="2:76" ht="27.95" hidden="1" customHeight="1" outlineLevel="1">
      <c r="B68" s="1377"/>
      <c r="C68" s="2019"/>
      <c r="D68" s="1614"/>
      <c r="E68" s="1615"/>
      <c r="F68" s="1615"/>
      <c r="G68" s="1615"/>
      <c r="H68" s="1615"/>
      <c r="I68" s="1615"/>
      <c r="J68" s="1615"/>
      <c r="K68" s="1615"/>
      <c r="L68" s="1615"/>
      <c r="M68" s="1615"/>
      <c r="N68" s="1616"/>
      <c r="O68" s="2035"/>
      <c r="P68" s="2036"/>
      <c r="Q68" s="2036"/>
      <c r="R68" s="2036"/>
      <c r="S68" s="2036"/>
      <c r="T68" s="2036"/>
      <c r="U68" s="2036"/>
      <c r="V68" s="2037"/>
      <c r="W68" s="1617"/>
      <c r="X68" s="1618"/>
      <c r="Y68" s="1619"/>
      <c r="Z68" s="1538"/>
      <c r="AA68" s="1538"/>
      <c r="AB68" s="1538"/>
      <c r="AC68" s="1538"/>
      <c r="AD68" s="1538"/>
      <c r="AE68" s="1538"/>
      <c r="AF68" s="1538"/>
      <c r="AG68" s="1538"/>
      <c r="AH68" s="1538"/>
      <c r="AI68" s="2023"/>
      <c r="AJ68" s="804"/>
      <c r="AK68" s="805"/>
      <c r="AL68" s="805"/>
      <c r="AM68" s="805"/>
      <c r="AN68" s="805"/>
      <c r="AP68" s="1377"/>
      <c r="AQ68" s="2019"/>
      <c r="AR68" s="1614"/>
      <c r="AS68" s="1615"/>
      <c r="AT68" s="1615"/>
      <c r="AU68" s="1615"/>
      <c r="AV68" s="1615"/>
      <c r="AW68" s="1615"/>
      <c r="AX68" s="1615"/>
      <c r="AY68" s="1615"/>
      <c r="AZ68" s="1615"/>
      <c r="BA68" s="1615"/>
      <c r="BB68" s="1616"/>
      <c r="BC68" s="2038"/>
      <c r="BD68" s="2039"/>
      <c r="BE68" s="2039"/>
      <c r="BF68" s="2039"/>
      <c r="BG68" s="2039"/>
      <c r="BH68" s="2039"/>
      <c r="BI68" s="2039"/>
      <c r="BJ68" s="2040"/>
      <c r="BK68" s="1620"/>
      <c r="BL68" s="1621"/>
      <c r="BM68" s="1622"/>
      <c r="BN68" s="1538"/>
      <c r="BO68" s="1538"/>
      <c r="BP68" s="1538"/>
      <c r="BQ68" s="1538"/>
      <c r="BR68" s="1538"/>
      <c r="BS68" s="1538"/>
      <c r="BT68" s="1538"/>
      <c r="BU68" s="1538"/>
      <c r="BV68" s="1538"/>
      <c r="BW68" s="2023"/>
      <c r="BX68" s="804"/>
    </row>
    <row r="69" spans="2:76" ht="27.95" hidden="1" customHeight="1" outlineLevel="1">
      <c r="B69" s="1377"/>
      <c r="C69" s="2019"/>
      <c r="D69" s="1614"/>
      <c r="E69" s="1615"/>
      <c r="F69" s="1615"/>
      <c r="G69" s="1615"/>
      <c r="H69" s="1615"/>
      <c r="I69" s="1615"/>
      <c r="J69" s="1615"/>
      <c r="K69" s="1615"/>
      <c r="L69" s="1615"/>
      <c r="M69" s="1615"/>
      <c r="N69" s="1616"/>
      <c r="O69" s="2035"/>
      <c r="P69" s="2036"/>
      <c r="Q69" s="2036"/>
      <c r="R69" s="2036"/>
      <c r="S69" s="2036"/>
      <c r="T69" s="2036"/>
      <c r="U69" s="2036"/>
      <c r="V69" s="2037"/>
      <c r="W69" s="1617"/>
      <c r="X69" s="1618"/>
      <c r="Y69" s="1619"/>
      <c r="Z69" s="1538"/>
      <c r="AA69" s="1538"/>
      <c r="AB69" s="1538"/>
      <c r="AC69" s="1538"/>
      <c r="AD69" s="1538"/>
      <c r="AE69" s="1538"/>
      <c r="AF69" s="1538"/>
      <c r="AG69" s="1538"/>
      <c r="AH69" s="1538"/>
      <c r="AI69" s="2023"/>
      <c r="AJ69" s="804"/>
      <c r="AK69" s="805"/>
      <c r="AL69" s="805"/>
      <c r="AM69" s="805"/>
      <c r="AN69" s="805"/>
      <c r="AP69" s="1377"/>
      <c r="AQ69" s="2019"/>
      <c r="AR69" s="1614"/>
      <c r="AS69" s="1615"/>
      <c r="AT69" s="1615"/>
      <c r="AU69" s="1615"/>
      <c r="AV69" s="1615"/>
      <c r="AW69" s="1615"/>
      <c r="AX69" s="1615"/>
      <c r="AY69" s="1615"/>
      <c r="AZ69" s="1615"/>
      <c r="BA69" s="1615"/>
      <c r="BB69" s="1616"/>
      <c r="BC69" s="2038"/>
      <c r="BD69" s="2039"/>
      <c r="BE69" s="2039"/>
      <c r="BF69" s="2039"/>
      <c r="BG69" s="2039"/>
      <c r="BH69" s="2039"/>
      <c r="BI69" s="2039"/>
      <c r="BJ69" s="2040"/>
      <c r="BK69" s="1620"/>
      <c r="BL69" s="1621"/>
      <c r="BM69" s="1622"/>
      <c r="BN69" s="1538"/>
      <c r="BO69" s="1538"/>
      <c r="BP69" s="1538"/>
      <c r="BQ69" s="1538"/>
      <c r="BR69" s="1538"/>
      <c r="BS69" s="1538"/>
      <c r="BT69" s="1538"/>
      <c r="BU69" s="1538"/>
      <c r="BV69" s="1538"/>
      <c r="BW69" s="2023"/>
      <c r="BX69" s="804"/>
    </row>
    <row r="70" spans="2:76" ht="27.95" hidden="1" customHeight="1" outlineLevel="1">
      <c r="B70" s="1377"/>
      <c r="C70" s="2019"/>
      <c r="D70" s="1614"/>
      <c r="E70" s="1615"/>
      <c r="F70" s="1615"/>
      <c r="G70" s="1615"/>
      <c r="H70" s="1615"/>
      <c r="I70" s="1615"/>
      <c r="J70" s="1615"/>
      <c r="K70" s="1615"/>
      <c r="L70" s="1615"/>
      <c r="M70" s="1615"/>
      <c r="N70" s="1616"/>
      <c r="O70" s="2035"/>
      <c r="P70" s="2036"/>
      <c r="Q70" s="2036"/>
      <c r="R70" s="2036"/>
      <c r="S70" s="2036"/>
      <c r="T70" s="2036"/>
      <c r="U70" s="2036"/>
      <c r="V70" s="2037"/>
      <c r="W70" s="1617"/>
      <c r="X70" s="1618"/>
      <c r="Y70" s="1619"/>
      <c r="Z70" s="1538"/>
      <c r="AA70" s="1538"/>
      <c r="AB70" s="1538"/>
      <c r="AC70" s="1538"/>
      <c r="AD70" s="1538"/>
      <c r="AE70" s="1538"/>
      <c r="AF70" s="1538"/>
      <c r="AG70" s="1538"/>
      <c r="AH70" s="1538"/>
      <c r="AI70" s="2023"/>
      <c r="AJ70" s="804"/>
      <c r="AK70" s="805"/>
      <c r="AL70" s="805"/>
      <c r="AM70" s="805"/>
      <c r="AN70" s="805"/>
      <c r="AP70" s="1377"/>
      <c r="AQ70" s="2019"/>
      <c r="AR70" s="1614"/>
      <c r="AS70" s="1615"/>
      <c r="AT70" s="1615"/>
      <c r="AU70" s="1615"/>
      <c r="AV70" s="1615"/>
      <c r="AW70" s="1615"/>
      <c r="AX70" s="1615"/>
      <c r="AY70" s="1615"/>
      <c r="AZ70" s="1615"/>
      <c r="BA70" s="1615"/>
      <c r="BB70" s="1616"/>
      <c r="BC70" s="2038"/>
      <c r="BD70" s="2039"/>
      <c r="BE70" s="2039"/>
      <c r="BF70" s="2039"/>
      <c r="BG70" s="2039"/>
      <c r="BH70" s="2039"/>
      <c r="BI70" s="2039"/>
      <c r="BJ70" s="2040"/>
      <c r="BK70" s="1620"/>
      <c r="BL70" s="1621"/>
      <c r="BM70" s="1622"/>
      <c r="BN70" s="1538"/>
      <c r="BO70" s="1538"/>
      <c r="BP70" s="1538"/>
      <c r="BQ70" s="1538"/>
      <c r="BR70" s="1538"/>
      <c r="BS70" s="1538"/>
      <c r="BT70" s="1538"/>
      <c r="BU70" s="1538"/>
      <c r="BV70" s="1538"/>
      <c r="BW70" s="2023"/>
      <c r="BX70" s="804"/>
    </row>
    <row r="71" spans="2:76" ht="27.95" hidden="1" customHeight="1" outlineLevel="1">
      <c r="B71" s="1377"/>
      <c r="C71" s="2019"/>
      <c r="D71" s="1614"/>
      <c r="E71" s="1615"/>
      <c r="F71" s="1615"/>
      <c r="G71" s="1615"/>
      <c r="H71" s="1615"/>
      <c r="I71" s="1615"/>
      <c r="J71" s="1615"/>
      <c r="K71" s="1615"/>
      <c r="L71" s="1615"/>
      <c r="M71" s="1615"/>
      <c r="N71" s="1616"/>
      <c r="O71" s="2035"/>
      <c r="P71" s="2036"/>
      <c r="Q71" s="2036"/>
      <c r="R71" s="2036"/>
      <c r="S71" s="2036"/>
      <c r="T71" s="2036"/>
      <c r="U71" s="2036"/>
      <c r="V71" s="2037"/>
      <c r="W71" s="1617"/>
      <c r="X71" s="1618"/>
      <c r="Y71" s="1619"/>
      <c r="Z71" s="1538"/>
      <c r="AA71" s="1538"/>
      <c r="AB71" s="1538"/>
      <c r="AC71" s="1538"/>
      <c r="AD71" s="1538"/>
      <c r="AE71" s="1538"/>
      <c r="AF71" s="1538"/>
      <c r="AG71" s="1538"/>
      <c r="AH71" s="1538"/>
      <c r="AI71" s="2023"/>
      <c r="AJ71" s="804"/>
      <c r="AK71" s="805"/>
      <c r="AL71" s="805"/>
      <c r="AM71" s="805"/>
      <c r="AN71" s="805"/>
      <c r="AP71" s="1377"/>
      <c r="AQ71" s="2019"/>
      <c r="AR71" s="1614"/>
      <c r="AS71" s="1615"/>
      <c r="AT71" s="1615"/>
      <c r="AU71" s="1615"/>
      <c r="AV71" s="1615"/>
      <c r="AW71" s="1615"/>
      <c r="AX71" s="1615"/>
      <c r="AY71" s="1615"/>
      <c r="AZ71" s="1615"/>
      <c r="BA71" s="1615"/>
      <c r="BB71" s="1616"/>
      <c r="BC71" s="2038"/>
      <c r="BD71" s="2039"/>
      <c r="BE71" s="2039"/>
      <c r="BF71" s="2039"/>
      <c r="BG71" s="2039"/>
      <c r="BH71" s="2039"/>
      <c r="BI71" s="2039"/>
      <c r="BJ71" s="2040"/>
      <c r="BK71" s="1620"/>
      <c r="BL71" s="1621"/>
      <c r="BM71" s="1622"/>
      <c r="BN71" s="1538"/>
      <c r="BO71" s="1538"/>
      <c r="BP71" s="1538"/>
      <c r="BQ71" s="1538"/>
      <c r="BR71" s="1538"/>
      <c r="BS71" s="1538"/>
      <c r="BT71" s="1538"/>
      <c r="BU71" s="1538"/>
      <c r="BV71" s="1538"/>
      <c r="BW71" s="2023"/>
      <c r="BX71" s="804"/>
    </row>
    <row r="72" spans="2:76" ht="27.95" hidden="1" customHeight="1" outlineLevel="1">
      <c r="B72" s="1377"/>
      <c r="C72" s="2019"/>
      <c r="D72" s="1614"/>
      <c r="E72" s="1615"/>
      <c r="F72" s="1615"/>
      <c r="G72" s="1615"/>
      <c r="H72" s="1615"/>
      <c r="I72" s="1615"/>
      <c r="J72" s="1615"/>
      <c r="K72" s="1615"/>
      <c r="L72" s="1615"/>
      <c r="M72" s="1615"/>
      <c r="N72" s="1616"/>
      <c r="O72" s="2035"/>
      <c r="P72" s="2036"/>
      <c r="Q72" s="2036"/>
      <c r="R72" s="2036"/>
      <c r="S72" s="2036"/>
      <c r="T72" s="2036"/>
      <c r="U72" s="2036"/>
      <c r="V72" s="2037"/>
      <c r="W72" s="1617"/>
      <c r="X72" s="1618"/>
      <c r="Y72" s="1619"/>
      <c r="Z72" s="1538"/>
      <c r="AA72" s="1538"/>
      <c r="AB72" s="1538"/>
      <c r="AC72" s="1538"/>
      <c r="AD72" s="1538"/>
      <c r="AE72" s="1538"/>
      <c r="AF72" s="1538"/>
      <c r="AG72" s="1538"/>
      <c r="AH72" s="1538"/>
      <c r="AI72" s="2023"/>
      <c r="AJ72" s="804"/>
      <c r="AK72" s="805"/>
      <c r="AL72" s="805"/>
      <c r="AM72" s="805"/>
      <c r="AN72" s="805"/>
      <c r="AP72" s="1377"/>
      <c r="AQ72" s="2019"/>
      <c r="AR72" s="1614"/>
      <c r="AS72" s="1615"/>
      <c r="AT72" s="1615"/>
      <c r="AU72" s="1615"/>
      <c r="AV72" s="1615"/>
      <c r="AW72" s="1615"/>
      <c r="AX72" s="1615"/>
      <c r="AY72" s="1615"/>
      <c r="AZ72" s="1615"/>
      <c r="BA72" s="1615"/>
      <c r="BB72" s="1616"/>
      <c r="BC72" s="2038"/>
      <c r="BD72" s="2039"/>
      <c r="BE72" s="2039"/>
      <c r="BF72" s="2039"/>
      <c r="BG72" s="2039"/>
      <c r="BH72" s="2039"/>
      <c r="BI72" s="2039"/>
      <c r="BJ72" s="2040"/>
      <c r="BK72" s="1620"/>
      <c r="BL72" s="1621"/>
      <c r="BM72" s="1622"/>
      <c r="BN72" s="1538"/>
      <c r="BO72" s="1538"/>
      <c r="BP72" s="1538"/>
      <c r="BQ72" s="1538"/>
      <c r="BR72" s="1538"/>
      <c r="BS72" s="1538"/>
      <c r="BT72" s="1538"/>
      <c r="BU72" s="1538"/>
      <c r="BV72" s="1538"/>
      <c r="BW72" s="2023"/>
      <c r="BX72" s="804"/>
    </row>
    <row r="73" spans="2:76" ht="27.95" hidden="1" customHeight="1" outlineLevel="1">
      <c r="B73" s="1377"/>
      <c r="C73" s="2019"/>
      <c r="D73" s="1614"/>
      <c r="E73" s="1615"/>
      <c r="F73" s="1615"/>
      <c r="G73" s="1615"/>
      <c r="H73" s="1615"/>
      <c r="I73" s="1615"/>
      <c r="J73" s="1615"/>
      <c r="K73" s="1615"/>
      <c r="L73" s="1615"/>
      <c r="M73" s="1615"/>
      <c r="N73" s="1616"/>
      <c r="O73" s="2035"/>
      <c r="P73" s="2036"/>
      <c r="Q73" s="2036"/>
      <c r="R73" s="2036"/>
      <c r="S73" s="2036"/>
      <c r="T73" s="2036"/>
      <c r="U73" s="2036"/>
      <c r="V73" s="2037"/>
      <c r="W73" s="1617"/>
      <c r="X73" s="1618"/>
      <c r="Y73" s="1619"/>
      <c r="Z73" s="1538"/>
      <c r="AA73" s="1538"/>
      <c r="AB73" s="1538"/>
      <c r="AC73" s="1538"/>
      <c r="AD73" s="1538"/>
      <c r="AE73" s="1538"/>
      <c r="AF73" s="1538"/>
      <c r="AG73" s="1538"/>
      <c r="AH73" s="1538"/>
      <c r="AI73" s="2023"/>
      <c r="AJ73" s="804"/>
      <c r="AK73" s="805"/>
      <c r="AL73" s="805"/>
      <c r="AM73" s="805"/>
      <c r="AN73" s="805"/>
      <c r="AP73" s="1377"/>
      <c r="AQ73" s="2019"/>
      <c r="AR73" s="1614"/>
      <c r="AS73" s="1615"/>
      <c r="AT73" s="1615"/>
      <c r="AU73" s="1615"/>
      <c r="AV73" s="1615"/>
      <c r="AW73" s="1615"/>
      <c r="AX73" s="1615"/>
      <c r="AY73" s="1615"/>
      <c r="AZ73" s="1615"/>
      <c r="BA73" s="1615"/>
      <c r="BB73" s="1616"/>
      <c r="BC73" s="2038"/>
      <c r="BD73" s="2039"/>
      <c r="BE73" s="2039"/>
      <c r="BF73" s="2039"/>
      <c r="BG73" s="2039"/>
      <c r="BH73" s="2039"/>
      <c r="BI73" s="2039"/>
      <c r="BJ73" s="2040"/>
      <c r="BK73" s="1620"/>
      <c r="BL73" s="1621"/>
      <c r="BM73" s="1622"/>
      <c r="BN73" s="1538"/>
      <c r="BO73" s="1538"/>
      <c r="BP73" s="1538"/>
      <c r="BQ73" s="1538"/>
      <c r="BR73" s="1538"/>
      <c r="BS73" s="1538"/>
      <c r="BT73" s="1538"/>
      <c r="BU73" s="1538"/>
      <c r="BV73" s="1538"/>
      <c r="BW73" s="2023"/>
      <c r="BX73" s="804"/>
    </row>
    <row r="74" spans="2:76" ht="27.95" hidden="1" customHeight="1" outlineLevel="1">
      <c r="B74" s="1377"/>
      <c r="C74" s="2019"/>
      <c r="D74" s="1614"/>
      <c r="E74" s="1615"/>
      <c r="F74" s="1615"/>
      <c r="G74" s="1615"/>
      <c r="H74" s="1615"/>
      <c r="I74" s="1615"/>
      <c r="J74" s="1615"/>
      <c r="K74" s="1615"/>
      <c r="L74" s="1615"/>
      <c r="M74" s="1615"/>
      <c r="N74" s="1616"/>
      <c r="O74" s="2035"/>
      <c r="P74" s="2036"/>
      <c r="Q74" s="2036"/>
      <c r="R74" s="2036"/>
      <c r="S74" s="2036"/>
      <c r="T74" s="2036"/>
      <c r="U74" s="2036"/>
      <c r="V74" s="2037"/>
      <c r="W74" s="1617"/>
      <c r="X74" s="1618"/>
      <c r="Y74" s="1619"/>
      <c r="Z74" s="1538"/>
      <c r="AA74" s="1538"/>
      <c r="AB74" s="1538"/>
      <c r="AC74" s="1538"/>
      <c r="AD74" s="1538"/>
      <c r="AE74" s="1538"/>
      <c r="AF74" s="1538"/>
      <c r="AG74" s="1538"/>
      <c r="AH74" s="1538"/>
      <c r="AI74" s="2023"/>
      <c r="AJ74" s="804"/>
      <c r="AK74" s="805"/>
      <c r="AL74" s="805"/>
      <c r="AM74" s="805"/>
      <c r="AN74" s="805"/>
      <c r="AP74" s="1377"/>
      <c r="AQ74" s="2019"/>
      <c r="AR74" s="1614"/>
      <c r="AS74" s="1615"/>
      <c r="AT74" s="1615"/>
      <c r="AU74" s="1615"/>
      <c r="AV74" s="1615"/>
      <c r="AW74" s="1615"/>
      <c r="AX74" s="1615"/>
      <c r="AY74" s="1615"/>
      <c r="AZ74" s="1615"/>
      <c r="BA74" s="1615"/>
      <c r="BB74" s="1616"/>
      <c r="BC74" s="2038"/>
      <c r="BD74" s="2039"/>
      <c r="BE74" s="2039"/>
      <c r="BF74" s="2039"/>
      <c r="BG74" s="2039"/>
      <c r="BH74" s="2039"/>
      <c r="BI74" s="2039"/>
      <c r="BJ74" s="2040"/>
      <c r="BK74" s="1620"/>
      <c r="BL74" s="1621"/>
      <c r="BM74" s="1622"/>
      <c r="BN74" s="1538"/>
      <c r="BO74" s="1538"/>
      <c r="BP74" s="1538"/>
      <c r="BQ74" s="1538"/>
      <c r="BR74" s="1538"/>
      <c r="BS74" s="1538"/>
      <c r="BT74" s="1538"/>
      <c r="BU74" s="1538"/>
      <c r="BV74" s="1538"/>
      <c r="BW74" s="2023"/>
      <c r="BX74" s="804"/>
    </row>
    <row r="75" spans="2:76" ht="27.95" hidden="1" customHeight="1" outlineLevel="1">
      <c r="B75" s="1377"/>
      <c r="C75" s="2019"/>
      <c r="D75" s="1614"/>
      <c r="E75" s="1615"/>
      <c r="F75" s="1615"/>
      <c r="G75" s="1615"/>
      <c r="H75" s="1615"/>
      <c r="I75" s="1615"/>
      <c r="J75" s="1615"/>
      <c r="K75" s="1615"/>
      <c r="L75" s="1615"/>
      <c r="M75" s="1615"/>
      <c r="N75" s="1616"/>
      <c r="O75" s="2035"/>
      <c r="P75" s="2036"/>
      <c r="Q75" s="2036"/>
      <c r="R75" s="2036"/>
      <c r="S75" s="2036"/>
      <c r="T75" s="2036"/>
      <c r="U75" s="2036"/>
      <c r="V75" s="2037"/>
      <c r="W75" s="1617"/>
      <c r="X75" s="1618"/>
      <c r="Y75" s="1619"/>
      <c r="Z75" s="1538"/>
      <c r="AA75" s="1538"/>
      <c r="AB75" s="1538"/>
      <c r="AC75" s="1538"/>
      <c r="AD75" s="1538"/>
      <c r="AE75" s="1538"/>
      <c r="AF75" s="1538"/>
      <c r="AG75" s="1538"/>
      <c r="AH75" s="1538"/>
      <c r="AI75" s="2023"/>
      <c r="AJ75" s="804"/>
      <c r="AK75" s="805"/>
      <c r="AL75" s="805"/>
      <c r="AM75" s="805"/>
      <c r="AN75" s="805"/>
      <c r="AP75" s="1377"/>
      <c r="AQ75" s="2019"/>
      <c r="AR75" s="1614"/>
      <c r="AS75" s="1615"/>
      <c r="AT75" s="1615"/>
      <c r="AU75" s="1615"/>
      <c r="AV75" s="1615"/>
      <c r="AW75" s="1615"/>
      <c r="AX75" s="1615"/>
      <c r="AY75" s="1615"/>
      <c r="AZ75" s="1615"/>
      <c r="BA75" s="1615"/>
      <c r="BB75" s="1616"/>
      <c r="BC75" s="2038"/>
      <c r="BD75" s="2039"/>
      <c r="BE75" s="2039"/>
      <c r="BF75" s="2039"/>
      <c r="BG75" s="2039"/>
      <c r="BH75" s="2039"/>
      <c r="BI75" s="2039"/>
      <c r="BJ75" s="2040"/>
      <c r="BK75" s="1620"/>
      <c r="BL75" s="1621"/>
      <c r="BM75" s="1622"/>
      <c r="BN75" s="1538"/>
      <c r="BO75" s="1538"/>
      <c r="BP75" s="1538"/>
      <c r="BQ75" s="1538"/>
      <c r="BR75" s="1538"/>
      <c r="BS75" s="1538"/>
      <c r="BT75" s="1538"/>
      <c r="BU75" s="1538"/>
      <c r="BV75" s="1538"/>
      <c r="BW75" s="2023"/>
      <c r="BX75" s="804"/>
    </row>
    <row r="76" spans="2:76" ht="27.95" hidden="1" customHeight="1" outlineLevel="1">
      <c r="B76" s="1377"/>
      <c r="C76" s="2019"/>
      <c r="D76" s="1614"/>
      <c r="E76" s="1615"/>
      <c r="F76" s="1615"/>
      <c r="G76" s="1615"/>
      <c r="H76" s="1615"/>
      <c r="I76" s="1615"/>
      <c r="J76" s="1615"/>
      <c r="K76" s="1615"/>
      <c r="L76" s="1615"/>
      <c r="M76" s="1615"/>
      <c r="N76" s="1616"/>
      <c r="O76" s="2035"/>
      <c r="P76" s="2036"/>
      <c r="Q76" s="2036"/>
      <c r="R76" s="2036"/>
      <c r="S76" s="2036"/>
      <c r="T76" s="2036"/>
      <c r="U76" s="2036"/>
      <c r="V76" s="2037"/>
      <c r="W76" s="1617"/>
      <c r="X76" s="1618"/>
      <c r="Y76" s="1619"/>
      <c r="Z76" s="1538"/>
      <c r="AA76" s="1538"/>
      <c r="AB76" s="1538"/>
      <c r="AC76" s="1538"/>
      <c r="AD76" s="1538"/>
      <c r="AE76" s="1538"/>
      <c r="AF76" s="1538"/>
      <c r="AG76" s="1538"/>
      <c r="AH76" s="1538"/>
      <c r="AI76" s="2023"/>
      <c r="AJ76" s="804"/>
      <c r="AK76" s="805"/>
      <c r="AL76" s="805"/>
      <c r="AM76" s="805"/>
      <c r="AN76" s="805"/>
      <c r="AP76" s="1377"/>
      <c r="AQ76" s="2019"/>
      <c r="AR76" s="1614"/>
      <c r="AS76" s="1615"/>
      <c r="AT76" s="1615"/>
      <c r="AU76" s="1615"/>
      <c r="AV76" s="1615"/>
      <c r="AW76" s="1615"/>
      <c r="AX76" s="1615"/>
      <c r="AY76" s="1615"/>
      <c r="AZ76" s="1615"/>
      <c r="BA76" s="1615"/>
      <c r="BB76" s="1616"/>
      <c r="BC76" s="2038"/>
      <c r="BD76" s="2039"/>
      <c r="BE76" s="2039"/>
      <c r="BF76" s="2039"/>
      <c r="BG76" s="2039"/>
      <c r="BH76" s="2039"/>
      <c r="BI76" s="2039"/>
      <c r="BJ76" s="2040"/>
      <c r="BK76" s="1620"/>
      <c r="BL76" s="1621"/>
      <c r="BM76" s="1622"/>
      <c r="BN76" s="1538"/>
      <c r="BO76" s="1538"/>
      <c r="BP76" s="1538"/>
      <c r="BQ76" s="1538"/>
      <c r="BR76" s="1538"/>
      <c r="BS76" s="1538"/>
      <c r="BT76" s="1538"/>
      <c r="BU76" s="1538"/>
      <c r="BV76" s="1538"/>
      <c r="BW76" s="2023"/>
      <c r="BX76" s="804"/>
    </row>
    <row r="77" spans="2:76" ht="27.95" hidden="1" customHeight="1" outlineLevel="1">
      <c r="B77" s="1377"/>
      <c r="C77" s="2019"/>
      <c r="D77" s="1614"/>
      <c r="E77" s="1615"/>
      <c r="F77" s="1615"/>
      <c r="G77" s="1615"/>
      <c r="H77" s="1615"/>
      <c r="I77" s="1615"/>
      <c r="J77" s="1615"/>
      <c r="K77" s="1615"/>
      <c r="L77" s="1615"/>
      <c r="M77" s="1615"/>
      <c r="N77" s="1616"/>
      <c r="O77" s="2035"/>
      <c r="P77" s="2036"/>
      <c r="Q77" s="2036"/>
      <c r="R77" s="2036"/>
      <c r="S77" s="2036"/>
      <c r="T77" s="2036"/>
      <c r="U77" s="2036"/>
      <c r="V77" s="2037"/>
      <c r="W77" s="1617"/>
      <c r="X77" s="1618"/>
      <c r="Y77" s="1619"/>
      <c r="Z77" s="1538"/>
      <c r="AA77" s="1538"/>
      <c r="AB77" s="1538"/>
      <c r="AC77" s="1538"/>
      <c r="AD77" s="1538"/>
      <c r="AE77" s="1538"/>
      <c r="AF77" s="1538"/>
      <c r="AG77" s="1538"/>
      <c r="AH77" s="1538"/>
      <c r="AI77" s="2023"/>
      <c r="AJ77" s="804"/>
      <c r="AK77" s="805"/>
      <c r="AL77" s="805"/>
      <c r="AM77" s="805"/>
      <c r="AN77" s="805"/>
      <c r="AP77" s="1377"/>
      <c r="AQ77" s="2019"/>
      <c r="AR77" s="1614"/>
      <c r="AS77" s="1615"/>
      <c r="AT77" s="1615"/>
      <c r="AU77" s="1615"/>
      <c r="AV77" s="1615"/>
      <c r="AW77" s="1615"/>
      <c r="AX77" s="1615"/>
      <c r="AY77" s="1615"/>
      <c r="AZ77" s="1615"/>
      <c r="BA77" s="1615"/>
      <c r="BB77" s="1616"/>
      <c r="BC77" s="2038"/>
      <c r="BD77" s="2039"/>
      <c r="BE77" s="2039"/>
      <c r="BF77" s="2039"/>
      <c r="BG77" s="2039"/>
      <c r="BH77" s="2039"/>
      <c r="BI77" s="2039"/>
      <c r="BJ77" s="2040"/>
      <c r="BK77" s="1620"/>
      <c r="BL77" s="1621"/>
      <c r="BM77" s="1622"/>
      <c r="BN77" s="1538"/>
      <c r="BO77" s="1538"/>
      <c r="BP77" s="1538"/>
      <c r="BQ77" s="1538"/>
      <c r="BR77" s="1538"/>
      <c r="BS77" s="1538"/>
      <c r="BT77" s="1538"/>
      <c r="BU77" s="1538"/>
      <c r="BV77" s="1538"/>
      <c r="BW77" s="2023"/>
      <c r="BX77" s="804"/>
    </row>
    <row r="78" spans="2:76" ht="27.95" hidden="1" customHeight="1" outlineLevel="1">
      <c r="B78" s="1377"/>
      <c r="C78" s="2019"/>
      <c r="D78" s="1614"/>
      <c r="E78" s="1615"/>
      <c r="F78" s="1615"/>
      <c r="G78" s="1615"/>
      <c r="H78" s="1615"/>
      <c r="I78" s="1615"/>
      <c r="J78" s="1615"/>
      <c r="K78" s="1615"/>
      <c r="L78" s="1615"/>
      <c r="M78" s="1615"/>
      <c r="N78" s="1616"/>
      <c r="O78" s="2035"/>
      <c r="P78" s="2036"/>
      <c r="Q78" s="2036"/>
      <c r="R78" s="2036"/>
      <c r="S78" s="2036"/>
      <c r="T78" s="2036"/>
      <c r="U78" s="2036"/>
      <c r="V78" s="2037"/>
      <c r="W78" s="1617"/>
      <c r="X78" s="1618"/>
      <c r="Y78" s="1619"/>
      <c r="Z78" s="1538"/>
      <c r="AA78" s="1538"/>
      <c r="AB78" s="1538"/>
      <c r="AC78" s="1538"/>
      <c r="AD78" s="1538"/>
      <c r="AE78" s="1538"/>
      <c r="AF78" s="1538"/>
      <c r="AG78" s="1538"/>
      <c r="AH78" s="1538"/>
      <c r="AI78" s="2023"/>
      <c r="AJ78" s="804"/>
      <c r="AK78" s="805"/>
      <c r="AL78" s="805"/>
      <c r="AM78" s="805"/>
      <c r="AN78" s="805"/>
      <c r="AP78" s="1377"/>
      <c r="AQ78" s="2019"/>
      <c r="AR78" s="1614"/>
      <c r="AS78" s="1615"/>
      <c r="AT78" s="1615"/>
      <c r="AU78" s="1615"/>
      <c r="AV78" s="1615"/>
      <c r="AW78" s="1615"/>
      <c r="AX78" s="1615"/>
      <c r="AY78" s="1615"/>
      <c r="AZ78" s="1615"/>
      <c r="BA78" s="1615"/>
      <c r="BB78" s="1616"/>
      <c r="BC78" s="2038"/>
      <c r="BD78" s="2039"/>
      <c r="BE78" s="2039"/>
      <c r="BF78" s="2039"/>
      <c r="BG78" s="2039"/>
      <c r="BH78" s="2039"/>
      <c r="BI78" s="2039"/>
      <c r="BJ78" s="2040"/>
      <c r="BK78" s="1620"/>
      <c r="BL78" s="1621"/>
      <c r="BM78" s="1622"/>
      <c r="BN78" s="1538"/>
      <c r="BO78" s="1538"/>
      <c r="BP78" s="1538"/>
      <c r="BQ78" s="1538"/>
      <c r="BR78" s="1538"/>
      <c r="BS78" s="1538"/>
      <c r="BT78" s="1538"/>
      <c r="BU78" s="1538"/>
      <c r="BV78" s="1538"/>
      <c r="BW78" s="2023"/>
      <c r="BX78" s="804"/>
    </row>
    <row r="79" spans="2:76" ht="27.95" hidden="1" customHeight="1" outlineLevel="1">
      <c r="B79" s="1377"/>
      <c r="C79" s="2019"/>
      <c r="D79" s="1614"/>
      <c r="E79" s="1615"/>
      <c r="F79" s="1615"/>
      <c r="G79" s="1615"/>
      <c r="H79" s="1615"/>
      <c r="I79" s="1615"/>
      <c r="J79" s="1615"/>
      <c r="K79" s="1615"/>
      <c r="L79" s="1615"/>
      <c r="M79" s="1615"/>
      <c r="N79" s="1616"/>
      <c r="O79" s="2035"/>
      <c r="P79" s="2036"/>
      <c r="Q79" s="2036"/>
      <c r="R79" s="2036"/>
      <c r="S79" s="2036"/>
      <c r="T79" s="2036"/>
      <c r="U79" s="2036"/>
      <c r="V79" s="2037"/>
      <c r="W79" s="1617"/>
      <c r="X79" s="1618"/>
      <c r="Y79" s="1619"/>
      <c r="Z79" s="1538"/>
      <c r="AA79" s="1538"/>
      <c r="AB79" s="1538"/>
      <c r="AC79" s="1538"/>
      <c r="AD79" s="1538"/>
      <c r="AE79" s="1538"/>
      <c r="AF79" s="1538"/>
      <c r="AG79" s="1538"/>
      <c r="AH79" s="1538"/>
      <c r="AI79" s="2023"/>
      <c r="AJ79" s="804"/>
      <c r="AK79" s="805"/>
      <c r="AL79" s="805"/>
      <c r="AM79" s="805"/>
      <c r="AN79" s="805"/>
      <c r="AP79" s="1377"/>
      <c r="AQ79" s="2019"/>
      <c r="AR79" s="1614"/>
      <c r="AS79" s="1615"/>
      <c r="AT79" s="1615"/>
      <c r="AU79" s="1615"/>
      <c r="AV79" s="1615"/>
      <c r="AW79" s="1615"/>
      <c r="AX79" s="1615"/>
      <c r="AY79" s="1615"/>
      <c r="AZ79" s="1615"/>
      <c r="BA79" s="1615"/>
      <c r="BB79" s="1616"/>
      <c r="BC79" s="2038"/>
      <c r="BD79" s="2039"/>
      <c r="BE79" s="2039"/>
      <c r="BF79" s="2039"/>
      <c r="BG79" s="2039"/>
      <c r="BH79" s="2039"/>
      <c r="BI79" s="2039"/>
      <c r="BJ79" s="2040"/>
      <c r="BK79" s="1620"/>
      <c r="BL79" s="1621"/>
      <c r="BM79" s="1622"/>
      <c r="BN79" s="1538"/>
      <c r="BO79" s="1538"/>
      <c r="BP79" s="1538"/>
      <c r="BQ79" s="1538"/>
      <c r="BR79" s="1538"/>
      <c r="BS79" s="1538"/>
      <c r="BT79" s="1538"/>
      <c r="BU79" s="1538"/>
      <c r="BV79" s="1538"/>
      <c r="BW79" s="2023"/>
      <c r="BX79" s="804"/>
    </row>
    <row r="80" spans="2:76" ht="27.95" hidden="1" customHeight="1" outlineLevel="1">
      <c r="B80" s="1377"/>
      <c r="C80" s="2019"/>
      <c r="D80" s="1614"/>
      <c r="E80" s="1615"/>
      <c r="F80" s="1615"/>
      <c r="G80" s="1615"/>
      <c r="H80" s="1615"/>
      <c r="I80" s="1615"/>
      <c r="J80" s="1615"/>
      <c r="K80" s="1615"/>
      <c r="L80" s="1615"/>
      <c r="M80" s="1615"/>
      <c r="N80" s="1616"/>
      <c r="O80" s="2035"/>
      <c r="P80" s="2036"/>
      <c r="Q80" s="2036"/>
      <c r="R80" s="2036"/>
      <c r="S80" s="2036"/>
      <c r="T80" s="2036"/>
      <c r="U80" s="2036"/>
      <c r="V80" s="2037"/>
      <c r="W80" s="1617"/>
      <c r="X80" s="1618"/>
      <c r="Y80" s="1619"/>
      <c r="Z80" s="1538"/>
      <c r="AA80" s="1538"/>
      <c r="AB80" s="1538"/>
      <c r="AC80" s="1538"/>
      <c r="AD80" s="1538"/>
      <c r="AE80" s="1538"/>
      <c r="AF80" s="1538"/>
      <c r="AG80" s="1538"/>
      <c r="AH80" s="1538"/>
      <c r="AI80" s="2023"/>
      <c r="AJ80" s="804"/>
      <c r="AK80" s="805"/>
      <c r="AL80" s="805"/>
      <c r="AM80" s="805"/>
      <c r="AN80" s="805"/>
      <c r="AP80" s="1377"/>
      <c r="AQ80" s="2019"/>
      <c r="AR80" s="1614"/>
      <c r="AS80" s="1615"/>
      <c r="AT80" s="1615"/>
      <c r="AU80" s="1615"/>
      <c r="AV80" s="1615"/>
      <c r="AW80" s="1615"/>
      <c r="AX80" s="1615"/>
      <c r="AY80" s="1615"/>
      <c r="AZ80" s="1615"/>
      <c r="BA80" s="1615"/>
      <c r="BB80" s="1616"/>
      <c r="BC80" s="2038"/>
      <c r="BD80" s="2039"/>
      <c r="BE80" s="2039"/>
      <c r="BF80" s="2039"/>
      <c r="BG80" s="2039"/>
      <c r="BH80" s="2039"/>
      <c r="BI80" s="2039"/>
      <c r="BJ80" s="2040"/>
      <c r="BK80" s="1620"/>
      <c r="BL80" s="1621"/>
      <c r="BM80" s="1622"/>
      <c r="BN80" s="1538"/>
      <c r="BO80" s="1538"/>
      <c r="BP80" s="1538"/>
      <c r="BQ80" s="1538"/>
      <c r="BR80" s="1538"/>
      <c r="BS80" s="1538"/>
      <c r="BT80" s="1538"/>
      <c r="BU80" s="1538"/>
      <c r="BV80" s="1538"/>
      <c r="BW80" s="2023"/>
      <c r="BX80" s="804"/>
    </row>
    <row r="81" spans="1:76" ht="27.95" hidden="1" customHeight="1" outlineLevel="1">
      <c r="B81" s="1377"/>
      <c r="C81" s="2019"/>
      <c r="D81" s="1614"/>
      <c r="E81" s="1615"/>
      <c r="F81" s="1615"/>
      <c r="G81" s="1615"/>
      <c r="H81" s="1615"/>
      <c r="I81" s="1615"/>
      <c r="J81" s="1615"/>
      <c r="K81" s="1615"/>
      <c r="L81" s="1615"/>
      <c r="M81" s="1615"/>
      <c r="N81" s="1616"/>
      <c r="O81" s="2035"/>
      <c r="P81" s="2036"/>
      <c r="Q81" s="2036"/>
      <c r="R81" s="2036"/>
      <c r="S81" s="2036"/>
      <c r="T81" s="2036"/>
      <c r="U81" s="2036"/>
      <c r="V81" s="2037"/>
      <c r="W81" s="1617"/>
      <c r="X81" s="1618"/>
      <c r="Y81" s="1619"/>
      <c r="Z81" s="1538"/>
      <c r="AA81" s="1538"/>
      <c r="AB81" s="1538"/>
      <c r="AC81" s="1538"/>
      <c r="AD81" s="1538"/>
      <c r="AE81" s="1538"/>
      <c r="AF81" s="1538"/>
      <c r="AG81" s="1538"/>
      <c r="AH81" s="1538"/>
      <c r="AI81" s="2023"/>
      <c r="AJ81" s="804"/>
      <c r="AK81" s="805"/>
      <c r="AL81" s="805"/>
      <c r="AM81" s="805"/>
      <c r="AN81" s="805"/>
      <c r="AP81" s="1377"/>
      <c r="AQ81" s="2019"/>
      <c r="AR81" s="1614"/>
      <c r="AS81" s="1615"/>
      <c r="AT81" s="1615"/>
      <c r="AU81" s="1615"/>
      <c r="AV81" s="1615"/>
      <c r="AW81" s="1615"/>
      <c r="AX81" s="1615"/>
      <c r="AY81" s="1615"/>
      <c r="AZ81" s="1615"/>
      <c r="BA81" s="1615"/>
      <c r="BB81" s="1616"/>
      <c r="BC81" s="2038"/>
      <c r="BD81" s="2039"/>
      <c r="BE81" s="2039"/>
      <c r="BF81" s="2039"/>
      <c r="BG81" s="2039"/>
      <c r="BH81" s="2039"/>
      <c r="BI81" s="2039"/>
      <c r="BJ81" s="2040"/>
      <c r="BK81" s="1620"/>
      <c r="BL81" s="1621"/>
      <c r="BM81" s="1622"/>
      <c r="BN81" s="1538"/>
      <c r="BO81" s="1538"/>
      <c r="BP81" s="1538"/>
      <c r="BQ81" s="1538"/>
      <c r="BR81" s="1538"/>
      <c r="BS81" s="1538"/>
      <c r="BT81" s="1538"/>
      <c r="BU81" s="1538"/>
      <c r="BV81" s="1538"/>
      <c r="BW81" s="2023"/>
      <c r="BX81" s="804"/>
    </row>
    <row r="82" spans="1:76" ht="27.95" hidden="1" customHeight="1" outlineLevel="1">
      <c r="B82" s="1377"/>
      <c r="C82" s="2019"/>
      <c r="D82" s="1614"/>
      <c r="E82" s="1615"/>
      <c r="F82" s="1615"/>
      <c r="G82" s="1615"/>
      <c r="H82" s="1615"/>
      <c r="I82" s="1615"/>
      <c r="J82" s="1615"/>
      <c r="K82" s="1615"/>
      <c r="L82" s="1615"/>
      <c r="M82" s="1615"/>
      <c r="N82" s="1616"/>
      <c r="O82" s="2035"/>
      <c r="P82" s="2036"/>
      <c r="Q82" s="2036"/>
      <c r="R82" s="2036"/>
      <c r="S82" s="2036"/>
      <c r="T82" s="2036"/>
      <c r="U82" s="2036"/>
      <c r="V82" s="2037"/>
      <c r="W82" s="1617"/>
      <c r="X82" s="1618"/>
      <c r="Y82" s="1619"/>
      <c r="Z82" s="1538"/>
      <c r="AA82" s="1538"/>
      <c r="AB82" s="1538"/>
      <c r="AC82" s="1538"/>
      <c r="AD82" s="1538"/>
      <c r="AE82" s="1538"/>
      <c r="AF82" s="1538"/>
      <c r="AG82" s="1538"/>
      <c r="AH82" s="1538"/>
      <c r="AI82" s="2023"/>
      <c r="AJ82" s="804"/>
      <c r="AK82" s="805"/>
      <c r="AL82" s="805"/>
      <c r="AM82" s="805"/>
      <c r="AN82" s="805"/>
      <c r="AP82" s="1377"/>
      <c r="AQ82" s="2019"/>
      <c r="AR82" s="1614"/>
      <c r="AS82" s="1615"/>
      <c r="AT82" s="1615"/>
      <c r="AU82" s="1615"/>
      <c r="AV82" s="1615"/>
      <c r="AW82" s="1615"/>
      <c r="AX82" s="1615"/>
      <c r="AY82" s="1615"/>
      <c r="AZ82" s="1615"/>
      <c r="BA82" s="1615"/>
      <c r="BB82" s="1616"/>
      <c r="BC82" s="2038"/>
      <c r="BD82" s="2039"/>
      <c r="BE82" s="2039"/>
      <c r="BF82" s="2039"/>
      <c r="BG82" s="2039"/>
      <c r="BH82" s="2039"/>
      <c r="BI82" s="2039"/>
      <c r="BJ82" s="2040"/>
      <c r="BK82" s="1620"/>
      <c r="BL82" s="1621"/>
      <c r="BM82" s="1622"/>
      <c r="BN82" s="1538"/>
      <c r="BO82" s="1538"/>
      <c r="BP82" s="1538"/>
      <c r="BQ82" s="1538"/>
      <c r="BR82" s="1538"/>
      <c r="BS82" s="1538"/>
      <c r="BT82" s="1538"/>
      <c r="BU82" s="1538"/>
      <c r="BV82" s="1538"/>
      <c r="BW82" s="2023"/>
      <c r="BX82" s="804"/>
    </row>
    <row r="83" spans="1:76" ht="27.95" hidden="1" customHeight="1" outlineLevel="1">
      <c r="B83" s="1377"/>
      <c r="C83" s="2019"/>
      <c r="D83" s="1614"/>
      <c r="E83" s="1615"/>
      <c r="F83" s="1615"/>
      <c r="G83" s="1615"/>
      <c r="H83" s="1615"/>
      <c r="I83" s="1615"/>
      <c r="J83" s="1615"/>
      <c r="K83" s="1615"/>
      <c r="L83" s="1615"/>
      <c r="M83" s="1615"/>
      <c r="N83" s="1616"/>
      <c r="O83" s="2035"/>
      <c r="P83" s="2036"/>
      <c r="Q83" s="2036"/>
      <c r="R83" s="2036"/>
      <c r="S83" s="2036"/>
      <c r="T83" s="2036"/>
      <c r="U83" s="2036"/>
      <c r="V83" s="2037"/>
      <c r="W83" s="1617"/>
      <c r="X83" s="1618"/>
      <c r="Y83" s="1619"/>
      <c r="Z83" s="1538"/>
      <c r="AA83" s="1538"/>
      <c r="AB83" s="1538"/>
      <c r="AC83" s="1538"/>
      <c r="AD83" s="1538"/>
      <c r="AE83" s="1538"/>
      <c r="AF83" s="1538"/>
      <c r="AG83" s="1538"/>
      <c r="AH83" s="1538"/>
      <c r="AI83" s="2023"/>
      <c r="AJ83" s="804"/>
      <c r="AK83" s="805"/>
      <c r="AL83" s="805"/>
      <c r="AM83" s="805"/>
      <c r="AN83" s="805"/>
      <c r="AP83" s="1377"/>
      <c r="AQ83" s="2019"/>
      <c r="AR83" s="1614"/>
      <c r="AS83" s="1615"/>
      <c r="AT83" s="1615"/>
      <c r="AU83" s="1615"/>
      <c r="AV83" s="1615"/>
      <c r="AW83" s="1615"/>
      <c r="AX83" s="1615"/>
      <c r="AY83" s="1615"/>
      <c r="AZ83" s="1615"/>
      <c r="BA83" s="1615"/>
      <c r="BB83" s="1616"/>
      <c r="BC83" s="2038"/>
      <c r="BD83" s="2039"/>
      <c r="BE83" s="2039"/>
      <c r="BF83" s="2039"/>
      <c r="BG83" s="2039"/>
      <c r="BH83" s="2039"/>
      <c r="BI83" s="2039"/>
      <c r="BJ83" s="2040"/>
      <c r="BK83" s="1620"/>
      <c r="BL83" s="1621"/>
      <c r="BM83" s="1622"/>
      <c r="BN83" s="1538"/>
      <c r="BO83" s="1538"/>
      <c r="BP83" s="1538"/>
      <c r="BQ83" s="1538"/>
      <c r="BR83" s="1538"/>
      <c r="BS83" s="1538"/>
      <c r="BT83" s="1538"/>
      <c r="BU83" s="1538"/>
      <c r="BV83" s="1538"/>
      <c r="BW83" s="2023"/>
      <c r="BX83" s="804"/>
    </row>
    <row r="84" spans="1:76" ht="27.95" hidden="1" customHeight="1" outlineLevel="1">
      <c r="B84" s="1377"/>
      <c r="C84" s="2019"/>
      <c r="D84" s="1614"/>
      <c r="E84" s="1615"/>
      <c r="F84" s="1615"/>
      <c r="G84" s="1615"/>
      <c r="H84" s="1615"/>
      <c r="I84" s="1615"/>
      <c r="J84" s="1615"/>
      <c r="K84" s="1615"/>
      <c r="L84" s="1615"/>
      <c r="M84" s="1615"/>
      <c r="N84" s="1616"/>
      <c r="O84" s="2035"/>
      <c r="P84" s="2036"/>
      <c r="Q84" s="2036"/>
      <c r="R84" s="2036"/>
      <c r="S84" s="2036"/>
      <c r="T84" s="2036"/>
      <c r="U84" s="2036"/>
      <c r="V84" s="2037"/>
      <c r="W84" s="1617"/>
      <c r="X84" s="1618"/>
      <c r="Y84" s="1619"/>
      <c r="Z84" s="1538"/>
      <c r="AA84" s="1538"/>
      <c r="AB84" s="1538"/>
      <c r="AC84" s="1538"/>
      <c r="AD84" s="1538"/>
      <c r="AE84" s="1538"/>
      <c r="AF84" s="1538"/>
      <c r="AG84" s="1538"/>
      <c r="AH84" s="1538"/>
      <c r="AI84" s="2023"/>
      <c r="AJ84" s="804"/>
      <c r="AK84" s="805"/>
      <c r="AL84" s="805"/>
      <c r="AM84" s="805"/>
      <c r="AN84" s="805"/>
      <c r="AP84" s="1377"/>
      <c r="AQ84" s="2019"/>
      <c r="AR84" s="1614"/>
      <c r="AS84" s="1615"/>
      <c r="AT84" s="1615"/>
      <c r="AU84" s="1615"/>
      <c r="AV84" s="1615"/>
      <c r="AW84" s="1615"/>
      <c r="AX84" s="1615"/>
      <c r="AY84" s="1615"/>
      <c r="AZ84" s="1615"/>
      <c r="BA84" s="1615"/>
      <c r="BB84" s="1616"/>
      <c r="BC84" s="2038"/>
      <c r="BD84" s="2039"/>
      <c r="BE84" s="2039"/>
      <c r="BF84" s="2039"/>
      <c r="BG84" s="2039"/>
      <c r="BH84" s="2039"/>
      <c r="BI84" s="2039"/>
      <c r="BJ84" s="2040"/>
      <c r="BK84" s="1620"/>
      <c r="BL84" s="1621"/>
      <c r="BM84" s="1622"/>
      <c r="BN84" s="1538"/>
      <c r="BO84" s="1538"/>
      <c r="BP84" s="1538"/>
      <c r="BQ84" s="1538"/>
      <c r="BR84" s="1538"/>
      <c r="BS84" s="1538"/>
      <c r="BT84" s="1538"/>
      <c r="BU84" s="1538"/>
      <c r="BV84" s="1538"/>
      <c r="BW84" s="2023"/>
      <c r="BX84" s="804"/>
    </row>
    <row r="85" spans="1:76" ht="27.95" hidden="1" customHeight="1" outlineLevel="1">
      <c r="B85" s="1377"/>
      <c r="C85" s="2019"/>
      <c r="D85" s="1614"/>
      <c r="E85" s="1615"/>
      <c r="F85" s="1615"/>
      <c r="G85" s="1615"/>
      <c r="H85" s="1615"/>
      <c r="I85" s="1615"/>
      <c r="J85" s="1615"/>
      <c r="K85" s="1615"/>
      <c r="L85" s="1615"/>
      <c r="M85" s="1615"/>
      <c r="N85" s="1616"/>
      <c r="O85" s="2035"/>
      <c r="P85" s="2036"/>
      <c r="Q85" s="2036"/>
      <c r="R85" s="2036"/>
      <c r="S85" s="2036"/>
      <c r="T85" s="2036"/>
      <c r="U85" s="2036"/>
      <c r="V85" s="2037"/>
      <c r="W85" s="1617"/>
      <c r="X85" s="1618"/>
      <c r="Y85" s="1619"/>
      <c r="Z85" s="1538"/>
      <c r="AA85" s="1538"/>
      <c r="AB85" s="1538"/>
      <c r="AC85" s="1538"/>
      <c r="AD85" s="1538"/>
      <c r="AE85" s="1538"/>
      <c r="AF85" s="1538"/>
      <c r="AG85" s="1538"/>
      <c r="AH85" s="1538"/>
      <c r="AI85" s="2023"/>
      <c r="AJ85" s="804"/>
      <c r="AK85" s="805"/>
      <c r="AL85" s="805"/>
      <c r="AM85" s="805"/>
      <c r="AN85" s="805"/>
      <c r="AP85" s="1377"/>
      <c r="AQ85" s="2019"/>
      <c r="AR85" s="1614"/>
      <c r="AS85" s="1615"/>
      <c r="AT85" s="1615"/>
      <c r="AU85" s="1615"/>
      <c r="AV85" s="1615"/>
      <c r="AW85" s="1615"/>
      <c r="AX85" s="1615"/>
      <c r="AY85" s="1615"/>
      <c r="AZ85" s="1615"/>
      <c r="BA85" s="1615"/>
      <c r="BB85" s="1616"/>
      <c r="BC85" s="2038"/>
      <c r="BD85" s="2039"/>
      <c r="BE85" s="2039"/>
      <c r="BF85" s="2039"/>
      <c r="BG85" s="2039"/>
      <c r="BH85" s="2039"/>
      <c r="BI85" s="2039"/>
      <c r="BJ85" s="2040"/>
      <c r="BK85" s="1620"/>
      <c r="BL85" s="1621"/>
      <c r="BM85" s="1622"/>
      <c r="BN85" s="1538"/>
      <c r="BO85" s="1538"/>
      <c r="BP85" s="1538"/>
      <c r="BQ85" s="1538"/>
      <c r="BR85" s="1538"/>
      <c r="BS85" s="1538"/>
      <c r="BT85" s="1538"/>
      <c r="BU85" s="1538"/>
      <c r="BV85" s="1538"/>
      <c r="BW85" s="2023"/>
      <c r="BX85" s="804"/>
    </row>
    <row r="86" spans="1:76" ht="27.95" hidden="1" customHeight="1" outlineLevel="1">
      <c r="B86" s="1377"/>
      <c r="C86" s="2019"/>
      <c r="D86" s="1614"/>
      <c r="E86" s="1615"/>
      <c r="F86" s="1615"/>
      <c r="G86" s="1615"/>
      <c r="H86" s="1615"/>
      <c r="I86" s="1615"/>
      <c r="J86" s="1615"/>
      <c r="K86" s="1615"/>
      <c r="L86" s="1615"/>
      <c r="M86" s="1615"/>
      <c r="N86" s="1616"/>
      <c r="O86" s="2035"/>
      <c r="P86" s="2036"/>
      <c r="Q86" s="2036"/>
      <c r="R86" s="2036"/>
      <c r="S86" s="2036"/>
      <c r="T86" s="2036"/>
      <c r="U86" s="2036"/>
      <c r="V86" s="2037"/>
      <c r="W86" s="1617"/>
      <c r="X86" s="1618"/>
      <c r="Y86" s="1619"/>
      <c r="Z86" s="1538"/>
      <c r="AA86" s="1538"/>
      <c r="AB86" s="1538"/>
      <c r="AC86" s="1538"/>
      <c r="AD86" s="1538"/>
      <c r="AE86" s="1538"/>
      <c r="AF86" s="1538"/>
      <c r="AG86" s="1538"/>
      <c r="AH86" s="1538"/>
      <c r="AI86" s="2023"/>
      <c r="AJ86" s="804"/>
      <c r="AK86" s="805"/>
      <c r="AL86" s="805"/>
      <c r="AM86" s="805"/>
      <c r="AN86" s="805"/>
      <c r="AP86" s="1377"/>
      <c r="AQ86" s="2019"/>
      <c r="AR86" s="1614"/>
      <c r="AS86" s="1615"/>
      <c r="AT86" s="1615"/>
      <c r="AU86" s="1615"/>
      <c r="AV86" s="1615"/>
      <c r="AW86" s="1615"/>
      <c r="AX86" s="1615"/>
      <c r="AY86" s="1615"/>
      <c r="AZ86" s="1615"/>
      <c r="BA86" s="1615"/>
      <c r="BB86" s="1616"/>
      <c r="BC86" s="2038"/>
      <c r="BD86" s="2039"/>
      <c r="BE86" s="2039"/>
      <c r="BF86" s="2039"/>
      <c r="BG86" s="2039"/>
      <c r="BH86" s="2039"/>
      <c r="BI86" s="2039"/>
      <c r="BJ86" s="2040"/>
      <c r="BK86" s="1620"/>
      <c r="BL86" s="1621"/>
      <c r="BM86" s="1622"/>
      <c r="BN86" s="1538"/>
      <c r="BO86" s="1538"/>
      <c r="BP86" s="1538"/>
      <c r="BQ86" s="1538"/>
      <c r="BR86" s="1538"/>
      <c r="BS86" s="1538"/>
      <c r="BT86" s="1538"/>
      <c r="BU86" s="1538"/>
      <c r="BV86" s="1538"/>
      <c r="BW86" s="2023"/>
      <c r="BX86" s="804"/>
    </row>
    <row r="87" spans="1:76" ht="27.95" hidden="1" customHeight="1" outlineLevel="1">
      <c r="B87" s="1377"/>
      <c r="C87" s="2019"/>
      <c r="D87" s="1614"/>
      <c r="E87" s="1615"/>
      <c r="F87" s="1615"/>
      <c r="G87" s="1615"/>
      <c r="H87" s="1615"/>
      <c r="I87" s="1615"/>
      <c r="J87" s="1615"/>
      <c r="K87" s="1615"/>
      <c r="L87" s="1615"/>
      <c r="M87" s="1615"/>
      <c r="N87" s="1616"/>
      <c r="O87" s="2035"/>
      <c r="P87" s="2036"/>
      <c r="Q87" s="2036"/>
      <c r="R87" s="2036"/>
      <c r="S87" s="2036"/>
      <c r="T87" s="2036"/>
      <c r="U87" s="2036"/>
      <c r="V87" s="2037"/>
      <c r="W87" s="1617"/>
      <c r="X87" s="1618"/>
      <c r="Y87" s="1619"/>
      <c r="Z87" s="1538"/>
      <c r="AA87" s="1538"/>
      <c r="AB87" s="1538"/>
      <c r="AC87" s="1538"/>
      <c r="AD87" s="1538"/>
      <c r="AE87" s="1538"/>
      <c r="AF87" s="1538"/>
      <c r="AG87" s="1538"/>
      <c r="AH87" s="1538"/>
      <c r="AI87" s="2023"/>
      <c r="AJ87" s="804"/>
      <c r="AK87" s="805"/>
      <c r="AL87" s="805"/>
      <c r="AM87" s="805"/>
      <c r="AN87" s="805"/>
      <c r="AP87" s="1377"/>
      <c r="AQ87" s="2019"/>
      <c r="AR87" s="1614"/>
      <c r="AS87" s="1615"/>
      <c r="AT87" s="1615"/>
      <c r="AU87" s="1615"/>
      <c r="AV87" s="1615"/>
      <c r="AW87" s="1615"/>
      <c r="AX87" s="1615"/>
      <c r="AY87" s="1615"/>
      <c r="AZ87" s="1615"/>
      <c r="BA87" s="1615"/>
      <c r="BB87" s="1616"/>
      <c r="BC87" s="2038"/>
      <c r="BD87" s="2039"/>
      <c r="BE87" s="2039"/>
      <c r="BF87" s="2039"/>
      <c r="BG87" s="2039"/>
      <c r="BH87" s="2039"/>
      <c r="BI87" s="2039"/>
      <c r="BJ87" s="2040"/>
      <c r="BK87" s="1620"/>
      <c r="BL87" s="1621"/>
      <c r="BM87" s="1622"/>
      <c r="BN87" s="1538"/>
      <c r="BO87" s="1538"/>
      <c r="BP87" s="1538"/>
      <c r="BQ87" s="1538"/>
      <c r="BR87" s="1538"/>
      <c r="BS87" s="1538"/>
      <c r="BT87" s="1538"/>
      <c r="BU87" s="1538"/>
      <c r="BV87" s="1538"/>
      <c r="BW87" s="2023"/>
      <c r="BX87" s="804"/>
    </row>
    <row r="88" spans="1:76" ht="27.95" hidden="1" customHeight="1" outlineLevel="1">
      <c r="B88" s="1377"/>
      <c r="C88" s="2019"/>
      <c r="D88" s="1614"/>
      <c r="E88" s="1615"/>
      <c r="F88" s="1615"/>
      <c r="G88" s="1615"/>
      <c r="H88" s="1615"/>
      <c r="I88" s="1615"/>
      <c r="J88" s="1615"/>
      <c r="K88" s="1615"/>
      <c r="L88" s="1615"/>
      <c r="M88" s="1615"/>
      <c r="N88" s="1616"/>
      <c r="O88" s="2035"/>
      <c r="P88" s="2036"/>
      <c r="Q88" s="2036"/>
      <c r="R88" s="2036"/>
      <c r="S88" s="2036"/>
      <c r="T88" s="2036"/>
      <c r="U88" s="2036"/>
      <c r="V88" s="2037"/>
      <c r="W88" s="1617"/>
      <c r="X88" s="1618"/>
      <c r="Y88" s="1619"/>
      <c r="Z88" s="1538"/>
      <c r="AA88" s="1538"/>
      <c r="AB88" s="1538"/>
      <c r="AC88" s="1538"/>
      <c r="AD88" s="1538"/>
      <c r="AE88" s="1538"/>
      <c r="AF88" s="1538"/>
      <c r="AG88" s="1538"/>
      <c r="AH88" s="1538"/>
      <c r="AI88" s="2023"/>
      <c r="AJ88" s="804"/>
      <c r="AK88" s="805"/>
      <c r="AL88" s="805"/>
      <c r="AM88" s="805"/>
      <c r="AN88" s="805"/>
      <c r="AP88" s="1377"/>
      <c r="AQ88" s="2019"/>
      <c r="AR88" s="1614"/>
      <c r="AS88" s="1615"/>
      <c r="AT88" s="1615"/>
      <c r="AU88" s="1615"/>
      <c r="AV88" s="1615"/>
      <c r="AW88" s="1615"/>
      <c r="AX88" s="1615"/>
      <c r="AY88" s="1615"/>
      <c r="AZ88" s="1615"/>
      <c r="BA88" s="1615"/>
      <c r="BB88" s="1616"/>
      <c r="BC88" s="2038"/>
      <c r="BD88" s="2039"/>
      <c r="BE88" s="2039"/>
      <c r="BF88" s="2039"/>
      <c r="BG88" s="2039"/>
      <c r="BH88" s="2039"/>
      <c r="BI88" s="2039"/>
      <c r="BJ88" s="2040"/>
      <c r="BK88" s="1620"/>
      <c r="BL88" s="1621"/>
      <c r="BM88" s="1622"/>
      <c r="BN88" s="1538"/>
      <c r="BO88" s="1538"/>
      <c r="BP88" s="1538"/>
      <c r="BQ88" s="1538"/>
      <c r="BR88" s="1538"/>
      <c r="BS88" s="1538"/>
      <c r="BT88" s="1538"/>
      <c r="BU88" s="1538"/>
      <c r="BV88" s="1538"/>
      <c r="BW88" s="2023"/>
      <c r="BX88" s="804"/>
    </row>
    <row r="89" spans="1:76" ht="27.95" hidden="1" customHeight="1" outlineLevel="1">
      <c r="B89" s="1377"/>
      <c r="C89" s="2019"/>
      <c r="D89" s="1614"/>
      <c r="E89" s="1615"/>
      <c r="F89" s="1615"/>
      <c r="G89" s="1615"/>
      <c r="H89" s="1615"/>
      <c r="I89" s="1615"/>
      <c r="J89" s="1615"/>
      <c r="K89" s="1615"/>
      <c r="L89" s="1615"/>
      <c r="M89" s="1615"/>
      <c r="N89" s="1616"/>
      <c r="O89" s="2035"/>
      <c r="P89" s="2036"/>
      <c r="Q89" s="2036"/>
      <c r="R89" s="2036"/>
      <c r="S89" s="2036"/>
      <c r="T89" s="2036"/>
      <c r="U89" s="2036"/>
      <c r="V89" s="2037"/>
      <c r="W89" s="1617"/>
      <c r="X89" s="1618"/>
      <c r="Y89" s="1619"/>
      <c r="Z89" s="1538"/>
      <c r="AA89" s="1538"/>
      <c r="AB89" s="1538"/>
      <c r="AC89" s="1538"/>
      <c r="AD89" s="1538"/>
      <c r="AE89" s="1538"/>
      <c r="AF89" s="1538"/>
      <c r="AG89" s="1538"/>
      <c r="AH89" s="1538"/>
      <c r="AI89" s="2023"/>
      <c r="AJ89" s="804"/>
      <c r="AK89" s="805"/>
      <c r="AL89" s="805"/>
      <c r="AM89" s="805"/>
      <c r="AN89" s="805"/>
      <c r="AP89" s="1377"/>
      <c r="AQ89" s="2019"/>
      <c r="AR89" s="1614"/>
      <c r="AS89" s="1615"/>
      <c r="AT89" s="1615"/>
      <c r="AU89" s="1615"/>
      <c r="AV89" s="1615"/>
      <c r="AW89" s="1615"/>
      <c r="AX89" s="1615"/>
      <c r="AY89" s="1615"/>
      <c r="AZ89" s="1615"/>
      <c r="BA89" s="1615"/>
      <c r="BB89" s="1616"/>
      <c r="BC89" s="2038"/>
      <c r="BD89" s="2039"/>
      <c r="BE89" s="2039"/>
      <c r="BF89" s="2039"/>
      <c r="BG89" s="2039"/>
      <c r="BH89" s="2039"/>
      <c r="BI89" s="2039"/>
      <c r="BJ89" s="2040"/>
      <c r="BK89" s="1620"/>
      <c r="BL89" s="1621"/>
      <c r="BM89" s="1622"/>
      <c r="BN89" s="1538"/>
      <c r="BO89" s="1538"/>
      <c r="BP89" s="1538"/>
      <c r="BQ89" s="1538"/>
      <c r="BR89" s="1538"/>
      <c r="BS89" s="1538"/>
      <c r="BT89" s="1538"/>
      <c r="BU89" s="1538"/>
      <c r="BV89" s="1538"/>
      <c r="BW89" s="2023"/>
      <c r="BX89" s="804"/>
    </row>
    <row r="90" spans="1:76" ht="27.95" hidden="1" customHeight="1" outlineLevel="1">
      <c r="A90" s="808"/>
      <c r="B90" s="1377"/>
      <c r="C90" s="2019"/>
      <c r="D90" s="1614"/>
      <c r="E90" s="1615"/>
      <c r="F90" s="1615"/>
      <c r="G90" s="1615"/>
      <c r="H90" s="1615"/>
      <c r="I90" s="1615"/>
      <c r="J90" s="1615"/>
      <c r="K90" s="1615"/>
      <c r="L90" s="1615"/>
      <c r="M90" s="1615"/>
      <c r="N90" s="1616"/>
      <c r="O90" s="2035"/>
      <c r="P90" s="2036"/>
      <c r="Q90" s="2036"/>
      <c r="R90" s="2036"/>
      <c r="S90" s="2036"/>
      <c r="T90" s="2036"/>
      <c r="U90" s="2036"/>
      <c r="V90" s="2037"/>
      <c r="W90" s="1617"/>
      <c r="X90" s="1618"/>
      <c r="Y90" s="1619"/>
      <c r="Z90" s="1538"/>
      <c r="AA90" s="1538"/>
      <c r="AB90" s="1538"/>
      <c r="AC90" s="1538"/>
      <c r="AD90" s="1538"/>
      <c r="AE90" s="1538"/>
      <c r="AF90" s="1538"/>
      <c r="AG90" s="1538"/>
      <c r="AH90" s="1538"/>
      <c r="AI90" s="2023"/>
      <c r="AJ90" s="804"/>
      <c r="AK90" s="805"/>
      <c r="AL90" s="805"/>
      <c r="AM90" s="805"/>
      <c r="AN90" s="805"/>
      <c r="AP90" s="1377"/>
      <c r="AQ90" s="2019"/>
      <c r="AR90" s="1614"/>
      <c r="AS90" s="1615"/>
      <c r="AT90" s="1615"/>
      <c r="AU90" s="1615"/>
      <c r="AV90" s="1615"/>
      <c r="AW90" s="1615"/>
      <c r="AX90" s="1615"/>
      <c r="AY90" s="1615"/>
      <c r="AZ90" s="1615"/>
      <c r="BA90" s="1615"/>
      <c r="BB90" s="1616"/>
      <c r="BC90" s="2038"/>
      <c r="BD90" s="2039"/>
      <c r="BE90" s="2039"/>
      <c r="BF90" s="2039"/>
      <c r="BG90" s="2039"/>
      <c r="BH90" s="2039"/>
      <c r="BI90" s="2039"/>
      <c r="BJ90" s="2040"/>
      <c r="BK90" s="1620"/>
      <c r="BL90" s="1621"/>
      <c r="BM90" s="1622"/>
      <c r="BN90" s="1538"/>
      <c r="BO90" s="1538"/>
      <c r="BP90" s="1538"/>
      <c r="BQ90" s="1538"/>
      <c r="BR90" s="1538"/>
      <c r="BS90" s="1538"/>
      <c r="BT90" s="1538"/>
      <c r="BU90" s="1538"/>
      <c r="BV90" s="1538"/>
      <c r="BW90" s="2023"/>
      <c r="BX90" s="804"/>
    </row>
    <row r="91" spans="1:76" ht="27.95" hidden="1" customHeight="1" outlineLevel="1">
      <c r="B91" s="1377"/>
      <c r="C91" s="2019"/>
      <c r="D91" s="1614"/>
      <c r="E91" s="1615"/>
      <c r="F91" s="1615"/>
      <c r="G91" s="1615"/>
      <c r="H91" s="1615"/>
      <c r="I91" s="1615"/>
      <c r="J91" s="1615"/>
      <c r="K91" s="1615"/>
      <c r="L91" s="1615"/>
      <c r="M91" s="1615"/>
      <c r="N91" s="1616"/>
      <c r="O91" s="2035"/>
      <c r="P91" s="2036"/>
      <c r="Q91" s="2036"/>
      <c r="R91" s="2036"/>
      <c r="S91" s="2036"/>
      <c r="T91" s="2036"/>
      <c r="U91" s="2036"/>
      <c r="V91" s="2037"/>
      <c r="W91" s="1617"/>
      <c r="X91" s="1618"/>
      <c r="Y91" s="1619"/>
      <c r="Z91" s="1538"/>
      <c r="AA91" s="1538"/>
      <c r="AB91" s="1538"/>
      <c r="AC91" s="1538"/>
      <c r="AD91" s="1538"/>
      <c r="AE91" s="1538"/>
      <c r="AF91" s="1538"/>
      <c r="AG91" s="1538"/>
      <c r="AH91" s="1538"/>
      <c r="AI91" s="2023"/>
      <c r="AJ91" s="804"/>
      <c r="AK91" s="805"/>
      <c r="AL91" s="805"/>
      <c r="AM91" s="805"/>
      <c r="AN91" s="805"/>
      <c r="AP91" s="1377"/>
      <c r="AQ91" s="2019"/>
      <c r="AR91" s="1614"/>
      <c r="AS91" s="1615"/>
      <c r="AT91" s="1615"/>
      <c r="AU91" s="1615"/>
      <c r="AV91" s="1615"/>
      <c r="AW91" s="1615"/>
      <c r="AX91" s="1615"/>
      <c r="AY91" s="1615"/>
      <c r="AZ91" s="1615"/>
      <c r="BA91" s="1615"/>
      <c r="BB91" s="1616"/>
      <c r="BC91" s="2038"/>
      <c r="BD91" s="2039"/>
      <c r="BE91" s="2039"/>
      <c r="BF91" s="2039"/>
      <c r="BG91" s="2039"/>
      <c r="BH91" s="2039"/>
      <c r="BI91" s="2039"/>
      <c r="BJ91" s="2040"/>
      <c r="BK91" s="1620"/>
      <c r="BL91" s="1621"/>
      <c r="BM91" s="1622"/>
      <c r="BN91" s="1538"/>
      <c r="BO91" s="1538"/>
      <c r="BP91" s="1538"/>
      <c r="BQ91" s="1538"/>
      <c r="BR91" s="1538"/>
      <c r="BS91" s="1538"/>
      <c r="BT91" s="1538"/>
      <c r="BU91" s="1538"/>
      <c r="BV91" s="1538"/>
      <c r="BW91" s="2023"/>
      <c r="BX91" s="804"/>
    </row>
    <row r="92" spans="1:76" ht="27.95" hidden="1" customHeight="1" outlineLevel="1">
      <c r="B92" s="1377"/>
      <c r="C92" s="2019"/>
      <c r="D92" s="1614"/>
      <c r="E92" s="1615"/>
      <c r="F92" s="1615"/>
      <c r="G92" s="1615"/>
      <c r="H92" s="1615"/>
      <c r="I92" s="1615"/>
      <c r="J92" s="1615"/>
      <c r="K92" s="1615"/>
      <c r="L92" s="1615"/>
      <c r="M92" s="1615"/>
      <c r="N92" s="1616"/>
      <c r="O92" s="2035"/>
      <c r="P92" s="2036"/>
      <c r="Q92" s="2036"/>
      <c r="R92" s="2036"/>
      <c r="S92" s="2036"/>
      <c r="T92" s="2036"/>
      <c r="U92" s="2036"/>
      <c r="V92" s="2037"/>
      <c r="W92" s="1617"/>
      <c r="X92" s="1618"/>
      <c r="Y92" s="1619"/>
      <c r="Z92" s="1538"/>
      <c r="AA92" s="1538"/>
      <c r="AB92" s="1538"/>
      <c r="AC92" s="1538"/>
      <c r="AD92" s="1538"/>
      <c r="AE92" s="1538"/>
      <c r="AF92" s="1538"/>
      <c r="AG92" s="1538"/>
      <c r="AH92" s="1538"/>
      <c r="AI92" s="2023"/>
      <c r="AJ92" s="804"/>
      <c r="AK92" s="805"/>
      <c r="AL92" s="805"/>
      <c r="AM92" s="805"/>
      <c r="AN92" s="805"/>
      <c r="AP92" s="1377"/>
      <c r="AQ92" s="2019"/>
      <c r="AR92" s="1614"/>
      <c r="AS92" s="1615"/>
      <c r="AT92" s="1615"/>
      <c r="AU92" s="1615"/>
      <c r="AV92" s="1615"/>
      <c r="AW92" s="1615"/>
      <c r="AX92" s="1615"/>
      <c r="AY92" s="1615"/>
      <c r="AZ92" s="1615"/>
      <c r="BA92" s="1615"/>
      <c r="BB92" s="1616"/>
      <c r="BC92" s="2038"/>
      <c r="BD92" s="2039"/>
      <c r="BE92" s="2039"/>
      <c r="BF92" s="2039"/>
      <c r="BG92" s="2039"/>
      <c r="BH92" s="2039"/>
      <c r="BI92" s="2039"/>
      <c r="BJ92" s="2040"/>
      <c r="BK92" s="1620"/>
      <c r="BL92" s="1621"/>
      <c r="BM92" s="1622"/>
      <c r="BN92" s="1538"/>
      <c r="BO92" s="1538"/>
      <c r="BP92" s="1538"/>
      <c r="BQ92" s="1538"/>
      <c r="BR92" s="1538"/>
      <c r="BS92" s="1538"/>
      <c r="BT92" s="1538"/>
      <c r="BU92" s="1538"/>
      <c r="BV92" s="1538"/>
      <c r="BW92" s="2023"/>
      <c r="BX92" s="804"/>
    </row>
    <row r="93" spans="1:76" ht="27.95" hidden="1" customHeight="1" outlineLevel="1">
      <c r="B93" s="1377"/>
      <c r="C93" s="2019"/>
      <c r="D93" s="1614"/>
      <c r="E93" s="1615"/>
      <c r="F93" s="1615"/>
      <c r="G93" s="1615"/>
      <c r="H93" s="1615"/>
      <c r="I93" s="1615"/>
      <c r="J93" s="1615"/>
      <c r="K93" s="1615"/>
      <c r="L93" s="1615"/>
      <c r="M93" s="1615"/>
      <c r="N93" s="1616"/>
      <c r="O93" s="2035"/>
      <c r="P93" s="2036"/>
      <c r="Q93" s="2036"/>
      <c r="R93" s="2036"/>
      <c r="S93" s="2036"/>
      <c r="T93" s="2036"/>
      <c r="U93" s="2036"/>
      <c r="V93" s="2037"/>
      <c r="W93" s="1617"/>
      <c r="X93" s="1618"/>
      <c r="Y93" s="1619"/>
      <c r="Z93" s="1538"/>
      <c r="AA93" s="1538"/>
      <c r="AB93" s="1538"/>
      <c r="AC93" s="1538"/>
      <c r="AD93" s="1538"/>
      <c r="AE93" s="1538"/>
      <c r="AF93" s="1538"/>
      <c r="AG93" s="1538"/>
      <c r="AH93" s="1538"/>
      <c r="AI93" s="2023"/>
      <c r="AJ93" s="804"/>
      <c r="AK93" s="805"/>
      <c r="AL93" s="805"/>
      <c r="AM93" s="805"/>
      <c r="AN93" s="805"/>
      <c r="AP93" s="1377"/>
      <c r="AQ93" s="2019"/>
      <c r="AR93" s="1614"/>
      <c r="AS93" s="1615"/>
      <c r="AT93" s="1615"/>
      <c r="AU93" s="1615"/>
      <c r="AV93" s="1615"/>
      <c r="AW93" s="1615"/>
      <c r="AX93" s="1615"/>
      <c r="AY93" s="1615"/>
      <c r="AZ93" s="1615"/>
      <c r="BA93" s="1615"/>
      <c r="BB93" s="1616"/>
      <c r="BC93" s="2038"/>
      <c r="BD93" s="2039"/>
      <c r="BE93" s="2039"/>
      <c r="BF93" s="2039"/>
      <c r="BG93" s="2039"/>
      <c r="BH93" s="2039"/>
      <c r="BI93" s="2039"/>
      <c r="BJ93" s="2040"/>
      <c r="BK93" s="1620"/>
      <c r="BL93" s="1621"/>
      <c r="BM93" s="1622"/>
      <c r="BN93" s="1538"/>
      <c r="BO93" s="1538"/>
      <c r="BP93" s="1538"/>
      <c r="BQ93" s="1538"/>
      <c r="BR93" s="1538"/>
      <c r="BS93" s="1538"/>
      <c r="BT93" s="1538"/>
      <c r="BU93" s="1538"/>
      <c r="BV93" s="1538"/>
      <c r="BW93" s="2023"/>
      <c r="BX93" s="804"/>
    </row>
    <row r="94" spans="1:76" ht="27.95" hidden="1" customHeight="1" outlineLevel="1">
      <c r="B94" s="1377"/>
      <c r="C94" s="2019"/>
      <c r="D94" s="1614"/>
      <c r="E94" s="1615"/>
      <c r="F94" s="1615"/>
      <c r="G94" s="1615"/>
      <c r="H94" s="1615"/>
      <c r="I94" s="1615"/>
      <c r="J94" s="1615"/>
      <c r="K94" s="1615"/>
      <c r="L94" s="1615"/>
      <c r="M94" s="1615"/>
      <c r="N94" s="1616"/>
      <c r="O94" s="2035"/>
      <c r="P94" s="2036"/>
      <c r="Q94" s="2036"/>
      <c r="R94" s="2036"/>
      <c r="S94" s="2036"/>
      <c r="T94" s="2036"/>
      <c r="U94" s="2036"/>
      <c r="V94" s="2037"/>
      <c r="W94" s="1617"/>
      <c r="X94" s="1618"/>
      <c r="Y94" s="1619"/>
      <c r="Z94" s="1538"/>
      <c r="AA94" s="1538"/>
      <c r="AB94" s="1538"/>
      <c r="AC94" s="1538"/>
      <c r="AD94" s="1538"/>
      <c r="AE94" s="1538"/>
      <c r="AF94" s="1538"/>
      <c r="AG94" s="1538"/>
      <c r="AH94" s="1538"/>
      <c r="AI94" s="2023"/>
      <c r="AJ94" s="804"/>
      <c r="AK94" s="805"/>
      <c r="AL94" s="805"/>
      <c r="AM94" s="805"/>
      <c r="AN94" s="805"/>
      <c r="AP94" s="1377"/>
      <c r="AQ94" s="2019"/>
      <c r="AR94" s="1614"/>
      <c r="AS94" s="1615"/>
      <c r="AT94" s="1615"/>
      <c r="AU94" s="1615"/>
      <c r="AV94" s="1615"/>
      <c r="AW94" s="1615"/>
      <c r="AX94" s="1615"/>
      <c r="AY94" s="1615"/>
      <c r="AZ94" s="1615"/>
      <c r="BA94" s="1615"/>
      <c r="BB94" s="1616"/>
      <c r="BC94" s="2038"/>
      <c r="BD94" s="2039"/>
      <c r="BE94" s="2039"/>
      <c r="BF94" s="2039"/>
      <c r="BG94" s="2039"/>
      <c r="BH94" s="2039"/>
      <c r="BI94" s="2039"/>
      <c r="BJ94" s="2040"/>
      <c r="BK94" s="1620"/>
      <c r="BL94" s="1621"/>
      <c r="BM94" s="1622"/>
      <c r="BN94" s="1538"/>
      <c r="BO94" s="1538"/>
      <c r="BP94" s="1538"/>
      <c r="BQ94" s="1538"/>
      <c r="BR94" s="1538"/>
      <c r="BS94" s="1538"/>
      <c r="BT94" s="1538"/>
      <c r="BU94" s="1538"/>
      <c r="BV94" s="1538"/>
      <c r="BW94" s="2023"/>
      <c r="BX94" s="804"/>
    </row>
    <row r="95" spans="1:76" ht="27.95" hidden="1" customHeight="1" outlineLevel="1">
      <c r="B95" s="1377"/>
      <c r="C95" s="2019"/>
      <c r="D95" s="1614"/>
      <c r="E95" s="1615"/>
      <c r="F95" s="1615"/>
      <c r="G95" s="1615"/>
      <c r="H95" s="1615"/>
      <c r="I95" s="1615"/>
      <c r="J95" s="1615"/>
      <c r="K95" s="1615"/>
      <c r="L95" s="1615"/>
      <c r="M95" s="1615"/>
      <c r="N95" s="1616"/>
      <c r="O95" s="2035"/>
      <c r="P95" s="2036"/>
      <c r="Q95" s="2036"/>
      <c r="R95" s="2036"/>
      <c r="S95" s="2036"/>
      <c r="T95" s="2036"/>
      <c r="U95" s="2036"/>
      <c r="V95" s="2037"/>
      <c r="W95" s="1617"/>
      <c r="X95" s="1618"/>
      <c r="Y95" s="1619"/>
      <c r="Z95" s="1538"/>
      <c r="AA95" s="1538"/>
      <c r="AB95" s="1538"/>
      <c r="AC95" s="1538"/>
      <c r="AD95" s="1538"/>
      <c r="AE95" s="1538"/>
      <c r="AF95" s="1538"/>
      <c r="AG95" s="1538"/>
      <c r="AH95" s="1538"/>
      <c r="AI95" s="2023"/>
      <c r="AJ95" s="804"/>
      <c r="AK95" s="805"/>
      <c r="AL95" s="805"/>
      <c r="AM95" s="805"/>
      <c r="AN95" s="805"/>
      <c r="AP95" s="1377"/>
      <c r="AQ95" s="2019"/>
      <c r="AR95" s="1614"/>
      <c r="AS95" s="1615"/>
      <c r="AT95" s="1615"/>
      <c r="AU95" s="1615"/>
      <c r="AV95" s="1615"/>
      <c r="AW95" s="1615"/>
      <c r="AX95" s="1615"/>
      <c r="AY95" s="1615"/>
      <c r="AZ95" s="1615"/>
      <c r="BA95" s="1615"/>
      <c r="BB95" s="1616"/>
      <c r="BC95" s="2038"/>
      <c r="BD95" s="2039"/>
      <c r="BE95" s="2039"/>
      <c r="BF95" s="2039"/>
      <c r="BG95" s="2039"/>
      <c r="BH95" s="2039"/>
      <c r="BI95" s="2039"/>
      <c r="BJ95" s="2040"/>
      <c r="BK95" s="1620"/>
      <c r="BL95" s="1621"/>
      <c r="BM95" s="1622"/>
      <c r="BN95" s="1538"/>
      <c r="BO95" s="1538"/>
      <c r="BP95" s="1538"/>
      <c r="BQ95" s="1538"/>
      <c r="BR95" s="1538"/>
      <c r="BS95" s="1538"/>
      <c r="BT95" s="1538"/>
      <c r="BU95" s="1538"/>
      <c r="BV95" s="1538"/>
      <c r="BW95" s="2023"/>
      <c r="BX95" s="804"/>
    </row>
    <row r="96" spans="1:76" ht="27.95" hidden="1" customHeight="1" outlineLevel="1">
      <c r="B96" s="1377"/>
      <c r="C96" s="2019"/>
      <c r="D96" s="1614"/>
      <c r="E96" s="1615"/>
      <c r="F96" s="1615"/>
      <c r="G96" s="1615"/>
      <c r="H96" s="1615"/>
      <c r="I96" s="1615"/>
      <c r="J96" s="1615"/>
      <c r="K96" s="1615"/>
      <c r="L96" s="1615"/>
      <c r="M96" s="1615"/>
      <c r="N96" s="1616"/>
      <c r="O96" s="2035"/>
      <c r="P96" s="2036"/>
      <c r="Q96" s="2036"/>
      <c r="R96" s="2036"/>
      <c r="S96" s="2036"/>
      <c r="T96" s="2036"/>
      <c r="U96" s="2036"/>
      <c r="V96" s="2037"/>
      <c r="W96" s="1617"/>
      <c r="X96" s="1618"/>
      <c r="Y96" s="1619"/>
      <c r="Z96" s="1538"/>
      <c r="AA96" s="1538"/>
      <c r="AB96" s="1538"/>
      <c r="AC96" s="1538"/>
      <c r="AD96" s="1538"/>
      <c r="AE96" s="1538"/>
      <c r="AF96" s="1538"/>
      <c r="AG96" s="1538"/>
      <c r="AH96" s="1538"/>
      <c r="AI96" s="2023"/>
      <c r="AJ96" s="804"/>
      <c r="AK96" s="805"/>
      <c r="AL96" s="805"/>
      <c r="AM96" s="805"/>
      <c r="AN96" s="805"/>
      <c r="AP96" s="1377"/>
      <c r="AQ96" s="2019"/>
      <c r="AR96" s="1614"/>
      <c r="AS96" s="1615"/>
      <c r="AT96" s="1615"/>
      <c r="AU96" s="1615"/>
      <c r="AV96" s="1615"/>
      <c r="AW96" s="1615"/>
      <c r="AX96" s="1615"/>
      <c r="AY96" s="1615"/>
      <c r="AZ96" s="1615"/>
      <c r="BA96" s="1615"/>
      <c r="BB96" s="1616"/>
      <c r="BC96" s="2038"/>
      <c r="BD96" s="2039"/>
      <c r="BE96" s="2039"/>
      <c r="BF96" s="2039"/>
      <c r="BG96" s="2039"/>
      <c r="BH96" s="2039"/>
      <c r="BI96" s="2039"/>
      <c r="BJ96" s="2040"/>
      <c r="BK96" s="1620"/>
      <c r="BL96" s="1621"/>
      <c r="BM96" s="1622"/>
      <c r="BN96" s="1538"/>
      <c r="BO96" s="1538"/>
      <c r="BP96" s="1538"/>
      <c r="BQ96" s="1538"/>
      <c r="BR96" s="1538"/>
      <c r="BS96" s="1538"/>
      <c r="BT96" s="1538"/>
      <c r="BU96" s="1538"/>
      <c r="BV96" s="1538"/>
      <c r="BW96" s="2023"/>
      <c r="BX96" s="804"/>
    </row>
    <row r="97" spans="2:76" ht="27.95" hidden="1" customHeight="1" outlineLevel="1">
      <c r="B97" s="1377"/>
      <c r="C97" s="2019"/>
      <c r="D97" s="1614"/>
      <c r="E97" s="1615"/>
      <c r="F97" s="1615"/>
      <c r="G97" s="1615"/>
      <c r="H97" s="1615"/>
      <c r="I97" s="1615"/>
      <c r="J97" s="1615"/>
      <c r="K97" s="1615"/>
      <c r="L97" s="1615"/>
      <c r="M97" s="1615"/>
      <c r="N97" s="1616"/>
      <c r="O97" s="2035"/>
      <c r="P97" s="2036"/>
      <c r="Q97" s="2036"/>
      <c r="R97" s="2036"/>
      <c r="S97" s="2036"/>
      <c r="T97" s="2036"/>
      <c r="U97" s="2036"/>
      <c r="V97" s="2037"/>
      <c r="W97" s="1617"/>
      <c r="X97" s="1618"/>
      <c r="Y97" s="1619"/>
      <c r="Z97" s="1538"/>
      <c r="AA97" s="1538"/>
      <c r="AB97" s="1538"/>
      <c r="AC97" s="1538"/>
      <c r="AD97" s="1538"/>
      <c r="AE97" s="1538"/>
      <c r="AF97" s="1538"/>
      <c r="AG97" s="1538"/>
      <c r="AH97" s="1538"/>
      <c r="AI97" s="2023"/>
      <c r="AJ97" s="804"/>
      <c r="AK97" s="805"/>
      <c r="AL97" s="805"/>
      <c r="AM97" s="805"/>
      <c r="AN97" s="805"/>
      <c r="AP97" s="1377"/>
      <c r="AQ97" s="2019"/>
      <c r="AR97" s="1614"/>
      <c r="AS97" s="1615"/>
      <c r="AT97" s="1615"/>
      <c r="AU97" s="1615"/>
      <c r="AV97" s="1615"/>
      <c r="AW97" s="1615"/>
      <c r="AX97" s="1615"/>
      <c r="AY97" s="1615"/>
      <c r="AZ97" s="1615"/>
      <c r="BA97" s="1615"/>
      <c r="BB97" s="1616"/>
      <c r="BC97" s="2038"/>
      <c r="BD97" s="2039"/>
      <c r="BE97" s="2039"/>
      <c r="BF97" s="2039"/>
      <c r="BG97" s="2039"/>
      <c r="BH97" s="2039"/>
      <c r="BI97" s="2039"/>
      <c r="BJ97" s="2040"/>
      <c r="BK97" s="1620"/>
      <c r="BL97" s="1621"/>
      <c r="BM97" s="1622"/>
      <c r="BN97" s="1538"/>
      <c r="BO97" s="1538"/>
      <c r="BP97" s="1538"/>
      <c r="BQ97" s="1538"/>
      <c r="BR97" s="1538"/>
      <c r="BS97" s="1538"/>
      <c r="BT97" s="1538"/>
      <c r="BU97" s="1538"/>
      <c r="BV97" s="1538"/>
      <c r="BW97" s="2023"/>
      <c r="BX97" s="804"/>
    </row>
    <row r="98" spans="2:76" ht="27.95" hidden="1" customHeight="1" outlineLevel="1">
      <c r="B98" s="1377"/>
      <c r="C98" s="2019"/>
      <c r="D98" s="1614"/>
      <c r="E98" s="1615"/>
      <c r="F98" s="1615"/>
      <c r="G98" s="1615"/>
      <c r="H98" s="1615"/>
      <c r="I98" s="1615"/>
      <c r="J98" s="1615"/>
      <c r="K98" s="1615"/>
      <c r="L98" s="1615"/>
      <c r="M98" s="1615"/>
      <c r="N98" s="1616"/>
      <c r="O98" s="2035"/>
      <c r="P98" s="2036"/>
      <c r="Q98" s="2036"/>
      <c r="R98" s="2036"/>
      <c r="S98" s="2036"/>
      <c r="T98" s="2036"/>
      <c r="U98" s="2036"/>
      <c r="V98" s="2037"/>
      <c r="W98" s="1617"/>
      <c r="X98" s="1618"/>
      <c r="Y98" s="1619"/>
      <c r="Z98" s="1538"/>
      <c r="AA98" s="1538"/>
      <c r="AB98" s="1538"/>
      <c r="AC98" s="1538"/>
      <c r="AD98" s="1538"/>
      <c r="AE98" s="1538"/>
      <c r="AF98" s="1538"/>
      <c r="AG98" s="1538"/>
      <c r="AH98" s="1538"/>
      <c r="AI98" s="2023"/>
      <c r="AJ98" s="804"/>
      <c r="AK98" s="805"/>
      <c r="AL98" s="805"/>
      <c r="AM98" s="805"/>
      <c r="AN98" s="805"/>
      <c r="AP98" s="1377"/>
      <c r="AQ98" s="2019"/>
      <c r="AR98" s="1614"/>
      <c r="AS98" s="1615"/>
      <c r="AT98" s="1615"/>
      <c r="AU98" s="1615"/>
      <c r="AV98" s="1615"/>
      <c r="AW98" s="1615"/>
      <c r="AX98" s="1615"/>
      <c r="AY98" s="1615"/>
      <c r="AZ98" s="1615"/>
      <c r="BA98" s="1615"/>
      <c r="BB98" s="1616"/>
      <c r="BC98" s="2038"/>
      <c r="BD98" s="2039"/>
      <c r="BE98" s="2039"/>
      <c r="BF98" s="2039"/>
      <c r="BG98" s="2039"/>
      <c r="BH98" s="2039"/>
      <c r="BI98" s="2039"/>
      <c r="BJ98" s="2040"/>
      <c r="BK98" s="1620"/>
      <c r="BL98" s="1621"/>
      <c r="BM98" s="1622"/>
      <c r="BN98" s="1538"/>
      <c r="BO98" s="1538"/>
      <c r="BP98" s="1538"/>
      <c r="BQ98" s="1538"/>
      <c r="BR98" s="1538"/>
      <c r="BS98" s="1538"/>
      <c r="BT98" s="1538"/>
      <c r="BU98" s="1538"/>
      <c r="BV98" s="1538"/>
      <c r="BW98" s="2023"/>
      <c r="BX98" s="804"/>
    </row>
    <row r="99" spans="2:76" ht="27.95" hidden="1" customHeight="1" outlineLevel="1">
      <c r="B99" s="1377"/>
      <c r="C99" s="2019"/>
      <c r="D99" s="1614"/>
      <c r="E99" s="1615"/>
      <c r="F99" s="1615"/>
      <c r="G99" s="1615"/>
      <c r="H99" s="1615"/>
      <c r="I99" s="1615"/>
      <c r="J99" s="1615"/>
      <c r="K99" s="1615"/>
      <c r="L99" s="1615"/>
      <c r="M99" s="1615"/>
      <c r="N99" s="1616"/>
      <c r="O99" s="2035"/>
      <c r="P99" s="2036"/>
      <c r="Q99" s="2036"/>
      <c r="R99" s="2036"/>
      <c r="S99" s="2036"/>
      <c r="T99" s="2036"/>
      <c r="U99" s="2036"/>
      <c r="V99" s="2037"/>
      <c r="W99" s="1617"/>
      <c r="X99" s="1618"/>
      <c r="Y99" s="1619"/>
      <c r="Z99" s="1538"/>
      <c r="AA99" s="1538"/>
      <c r="AB99" s="1538"/>
      <c r="AC99" s="1538"/>
      <c r="AD99" s="1538"/>
      <c r="AE99" s="1538"/>
      <c r="AF99" s="1538"/>
      <c r="AG99" s="1538"/>
      <c r="AH99" s="1538"/>
      <c r="AI99" s="2023"/>
      <c r="AJ99" s="804"/>
      <c r="AK99" s="805"/>
      <c r="AL99" s="805"/>
      <c r="AM99" s="805"/>
      <c r="AN99" s="805"/>
      <c r="AP99" s="1377"/>
      <c r="AQ99" s="2019"/>
      <c r="AR99" s="1614"/>
      <c r="AS99" s="1615"/>
      <c r="AT99" s="1615"/>
      <c r="AU99" s="1615"/>
      <c r="AV99" s="1615"/>
      <c r="AW99" s="1615"/>
      <c r="AX99" s="1615"/>
      <c r="AY99" s="1615"/>
      <c r="AZ99" s="1615"/>
      <c r="BA99" s="1615"/>
      <c r="BB99" s="1616"/>
      <c r="BC99" s="2038"/>
      <c r="BD99" s="2039"/>
      <c r="BE99" s="2039"/>
      <c r="BF99" s="2039"/>
      <c r="BG99" s="2039"/>
      <c r="BH99" s="2039"/>
      <c r="BI99" s="2039"/>
      <c r="BJ99" s="2040"/>
      <c r="BK99" s="1620"/>
      <c r="BL99" s="1621"/>
      <c r="BM99" s="1622"/>
      <c r="BN99" s="1538"/>
      <c r="BO99" s="1538"/>
      <c r="BP99" s="1538"/>
      <c r="BQ99" s="1538"/>
      <c r="BR99" s="1538"/>
      <c r="BS99" s="1538"/>
      <c r="BT99" s="1538"/>
      <c r="BU99" s="1538"/>
      <c r="BV99" s="1538"/>
      <c r="BW99" s="2023"/>
      <c r="BX99" s="804"/>
    </row>
    <row r="100" spans="2:76" ht="27.95" hidden="1" customHeight="1" outlineLevel="1">
      <c r="B100" s="1377"/>
      <c r="C100" s="2019"/>
      <c r="D100" s="1614"/>
      <c r="E100" s="1615"/>
      <c r="F100" s="1615"/>
      <c r="G100" s="1615"/>
      <c r="H100" s="1615"/>
      <c r="I100" s="1615"/>
      <c r="J100" s="1615"/>
      <c r="K100" s="1615"/>
      <c r="L100" s="1615"/>
      <c r="M100" s="1615"/>
      <c r="N100" s="1616"/>
      <c r="O100" s="2035"/>
      <c r="P100" s="2036"/>
      <c r="Q100" s="2036"/>
      <c r="R100" s="2036"/>
      <c r="S100" s="2036"/>
      <c r="T100" s="2036"/>
      <c r="U100" s="2036"/>
      <c r="V100" s="2037"/>
      <c r="W100" s="1617"/>
      <c r="X100" s="1618"/>
      <c r="Y100" s="1619"/>
      <c r="Z100" s="1538"/>
      <c r="AA100" s="1538"/>
      <c r="AB100" s="1538"/>
      <c r="AC100" s="1538"/>
      <c r="AD100" s="1538"/>
      <c r="AE100" s="1538"/>
      <c r="AF100" s="1538"/>
      <c r="AG100" s="1538"/>
      <c r="AH100" s="1538"/>
      <c r="AI100" s="2023"/>
      <c r="AJ100" s="804"/>
      <c r="AK100" s="805"/>
      <c r="AL100" s="805"/>
      <c r="AM100" s="805"/>
      <c r="AN100" s="805"/>
      <c r="AP100" s="1377"/>
      <c r="AQ100" s="2019"/>
      <c r="AR100" s="1614"/>
      <c r="AS100" s="1615"/>
      <c r="AT100" s="1615"/>
      <c r="AU100" s="1615"/>
      <c r="AV100" s="1615"/>
      <c r="AW100" s="1615"/>
      <c r="AX100" s="1615"/>
      <c r="AY100" s="1615"/>
      <c r="AZ100" s="1615"/>
      <c r="BA100" s="1615"/>
      <c r="BB100" s="1616"/>
      <c r="BC100" s="2038"/>
      <c r="BD100" s="2039"/>
      <c r="BE100" s="2039"/>
      <c r="BF100" s="2039"/>
      <c r="BG100" s="2039"/>
      <c r="BH100" s="2039"/>
      <c r="BI100" s="2039"/>
      <c r="BJ100" s="2040"/>
      <c r="BK100" s="1620"/>
      <c r="BL100" s="1621"/>
      <c r="BM100" s="1622"/>
      <c r="BN100" s="1538"/>
      <c r="BO100" s="1538"/>
      <c r="BP100" s="1538"/>
      <c r="BQ100" s="1538"/>
      <c r="BR100" s="1538"/>
      <c r="BS100" s="1538"/>
      <c r="BT100" s="1538"/>
      <c r="BU100" s="1538"/>
      <c r="BV100" s="1538"/>
      <c r="BW100" s="2023"/>
      <c r="BX100" s="804"/>
    </row>
    <row r="101" spans="2:76" ht="27.95" hidden="1" customHeight="1" outlineLevel="1">
      <c r="B101" s="1377"/>
      <c r="C101" s="2019"/>
      <c r="D101" s="1614"/>
      <c r="E101" s="1615"/>
      <c r="F101" s="1615"/>
      <c r="G101" s="1615"/>
      <c r="H101" s="1615"/>
      <c r="I101" s="1615"/>
      <c r="J101" s="1615"/>
      <c r="K101" s="1615"/>
      <c r="L101" s="1615"/>
      <c r="M101" s="1615"/>
      <c r="N101" s="1616"/>
      <c r="O101" s="2035"/>
      <c r="P101" s="2036"/>
      <c r="Q101" s="2036"/>
      <c r="R101" s="2036"/>
      <c r="S101" s="2036"/>
      <c r="T101" s="2036"/>
      <c r="U101" s="2036"/>
      <c r="V101" s="2037"/>
      <c r="W101" s="1617"/>
      <c r="X101" s="1618"/>
      <c r="Y101" s="1619"/>
      <c r="Z101" s="1538"/>
      <c r="AA101" s="1538"/>
      <c r="AB101" s="1538"/>
      <c r="AC101" s="1538"/>
      <c r="AD101" s="1538"/>
      <c r="AE101" s="1538"/>
      <c r="AF101" s="1538"/>
      <c r="AG101" s="1538"/>
      <c r="AH101" s="1538"/>
      <c r="AI101" s="2023"/>
      <c r="AJ101" s="804"/>
      <c r="AK101" s="805"/>
      <c r="AL101" s="805"/>
      <c r="AM101" s="805"/>
      <c r="AN101" s="805"/>
      <c r="AP101" s="1377"/>
      <c r="AQ101" s="2019"/>
      <c r="AR101" s="1614"/>
      <c r="AS101" s="1615"/>
      <c r="AT101" s="1615"/>
      <c r="AU101" s="1615"/>
      <c r="AV101" s="1615"/>
      <c r="AW101" s="1615"/>
      <c r="AX101" s="1615"/>
      <c r="AY101" s="1615"/>
      <c r="AZ101" s="1615"/>
      <c r="BA101" s="1615"/>
      <c r="BB101" s="1616"/>
      <c r="BC101" s="2038"/>
      <c r="BD101" s="2039"/>
      <c r="BE101" s="2039"/>
      <c r="BF101" s="2039"/>
      <c r="BG101" s="2039"/>
      <c r="BH101" s="2039"/>
      <c r="BI101" s="2039"/>
      <c r="BJ101" s="2040"/>
      <c r="BK101" s="1620"/>
      <c r="BL101" s="1621"/>
      <c r="BM101" s="1622"/>
      <c r="BN101" s="1538"/>
      <c r="BO101" s="1538"/>
      <c r="BP101" s="1538"/>
      <c r="BQ101" s="1538"/>
      <c r="BR101" s="1538"/>
      <c r="BS101" s="1538"/>
      <c r="BT101" s="1538"/>
      <c r="BU101" s="1538"/>
      <c r="BV101" s="1538"/>
      <c r="BW101" s="2023"/>
      <c r="BX101" s="804"/>
    </row>
    <row r="102" spans="2:76" ht="27.95" hidden="1" customHeight="1" outlineLevel="1">
      <c r="B102" s="1377"/>
      <c r="C102" s="2019"/>
      <c r="D102" s="1614"/>
      <c r="E102" s="1615"/>
      <c r="F102" s="1615"/>
      <c r="G102" s="1615"/>
      <c r="H102" s="1615"/>
      <c r="I102" s="1615"/>
      <c r="J102" s="1615"/>
      <c r="K102" s="1615"/>
      <c r="L102" s="1615"/>
      <c r="M102" s="1615"/>
      <c r="N102" s="1616"/>
      <c r="O102" s="2035"/>
      <c r="P102" s="2036"/>
      <c r="Q102" s="2036"/>
      <c r="R102" s="2036"/>
      <c r="S102" s="2036"/>
      <c r="T102" s="2036"/>
      <c r="U102" s="2036"/>
      <c r="V102" s="2037"/>
      <c r="W102" s="1617"/>
      <c r="X102" s="1618"/>
      <c r="Y102" s="1619"/>
      <c r="Z102" s="1538"/>
      <c r="AA102" s="1538"/>
      <c r="AB102" s="1538"/>
      <c r="AC102" s="1538"/>
      <c r="AD102" s="1538"/>
      <c r="AE102" s="1538"/>
      <c r="AF102" s="1538"/>
      <c r="AG102" s="1538"/>
      <c r="AH102" s="1538"/>
      <c r="AI102" s="2023"/>
      <c r="AJ102" s="804"/>
      <c r="AK102" s="805"/>
      <c r="AL102" s="805"/>
      <c r="AM102" s="805"/>
      <c r="AN102" s="805"/>
      <c r="AP102" s="1377"/>
      <c r="AQ102" s="2019"/>
      <c r="AR102" s="1614"/>
      <c r="AS102" s="1615"/>
      <c r="AT102" s="1615"/>
      <c r="AU102" s="1615"/>
      <c r="AV102" s="1615"/>
      <c r="AW102" s="1615"/>
      <c r="AX102" s="1615"/>
      <c r="AY102" s="1615"/>
      <c r="AZ102" s="1615"/>
      <c r="BA102" s="1615"/>
      <c r="BB102" s="1616"/>
      <c r="BC102" s="2038"/>
      <c r="BD102" s="2039"/>
      <c r="BE102" s="2039"/>
      <c r="BF102" s="2039"/>
      <c r="BG102" s="2039"/>
      <c r="BH102" s="2039"/>
      <c r="BI102" s="2039"/>
      <c r="BJ102" s="2040"/>
      <c r="BK102" s="1620"/>
      <c r="BL102" s="1621"/>
      <c r="BM102" s="1622"/>
      <c r="BN102" s="1538"/>
      <c r="BO102" s="1538"/>
      <c r="BP102" s="1538"/>
      <c r="BQ102" s="1538"/>
      <c r="BR102" s="1538"/>
      <c r="BS102" s="1538"/>
      <c r="BT102" s="1538"/>
      <c r="BU102" s="1538"/>
      <c r="BV102" s="1538"/>
      <c r="BW102" s="2023"/>
      <c r="BX102" s="804"/>
    </row>
    <row r="103" spans="2:76" ht="27.95" hidden="1" customHeight="1" outlineLevel="1">
      <c r="B103" s="1377"/>
      <c r="C103" s="2019"/>
      <c r="D103" s="1614"/>
      <c r="E103" s="1615"/>
      <c r="F103" s="1615"/>
      <c r="G103" s="1615"/>
      <c r="H103" s="1615"/>
      <c r="I103" s="1615"/>
      <c r="J103" s="1615"/>
      <c r="K103" s="1615"/>
      <c r="L103" s="1615"/>
      <c r="M103" s="1615"/>
      <c r="N103" s="1616"/>
      <c r="O103" s="2035"/>
      <c r="P103" s="2036"/>
      <c r="Q103" s="2036"/>
      <c r="R103" s="2036"/>
      <c r="S103" s="2036"/>
      <c r="T103" s="2036"/>
      <c r="U103" s="2036"/>
      <c r="V103" s="2037"/>
      <c r="W103" s="1617"/>
      <c r="X103" s="1618"/>
      <c r="Y103" s="1619"/>
      <c r="Z103" s="1538"/>
      <c r="AA103" s="1538"/>
      <c r="AB103" s="1538"/>
      <c r="AC103" s="1538"/>
      <c r="AD103" s="1538"/>
      <c r="AE103" s="1538"/>
      <c r="AF103" s="1538"/>
      <c r="AG103" s="1538"/>
      <c r="AH103" s="1538"/>
      <c r="AI103" s="2023"/>
      <c r="AJ103" s="804"/>
      <c r="AK103" s="805"/>
      <c r="AL103" s="805"/>
      <c r="AM103" s="805"/>
      <c r="AN103" s="805"/>
      <c r="AP103" s="1377"/>
      <c r="AQ103" s="2019"/>
      <c r="AR103" s="1614"/>
      <c r="AS103" s="1615"/>
      <c r="AT103" s="1615"/>
      <c r="AU103" s="1615"/>
      <c r="AV103" s="1615"/>
      <c r="AW103" s="1615"/>
      <c r="AX103" s="1615"/>
      <c r="AY103" s="1615"/>
      <c r="AZ103" s="1615"/>
      <c r="BA103" s="1615"/>
      <c r="BB103" s="1616"/>
      <c r="BC103" s="2038"/>
      <c r="BD103" s="2039"/>
      <c r="BE103" s="2039"/>
      <c r="BF103" s="2039"/>
      <c r="BG103" s="2039"/>
      <c r="BH103" s="2039"/>
      <c r="BI103" s="2039"/>
      <c r="BJ103" s="2040"/>
      <c r="BK103" s="1620"/>
      <c r="BL103" s="1621"/>
      <c r="BM103" s="1622"/>
      <c r="BN103" s="1538"/>
      <c r="BO103" s="1538"/>
      <c r="BP103" s="1538"/>
      <c r="BQ103" s="1538"/>
      <c r="BR103" s="1538"/>
      <c r="BS103" s="1538"/>
      <c r="BT103" s="1538"/>
      <c r="BU103" s="1538"/>
      <c r="BV103" s="1538"/>
      <c r="BW103" s="2023"/>
      <c r="BX103" s="804"/>
    </row>
    <row r="104" spans="2:76" ht="27.95" hidden="1" customHeight="1" outlineLevel="1">
      <c r="B104" s="1377"/>
      <c r="C104" s="2019"/>
      <c r="D104" s="1614"/>
      <c r="E104" s="1615"/>
      <c r="F104" s="1615"/>
      <c r="G104" s="1615"/>
      <c r="H104" s="1615"/>
      <c r="I104" s="1615"/>
      <c r="J104" s="1615"/>
      <c r="K104" s="1615"/>
      <c r="L104" s="1615"/>
      <c r="M104" s="1615"/>
      <c r="N104" s="1616"/>
      <c r="O104" s="2035"/>
      <c r="P104" s="2036"/>
      <c r="Q104" s="2036"/>
      <c r="R104" s="2036"/>
      <c r="S104" s="2036"/>
      <c r="T104" s="2036"/>
      <c r="U104" s="2036"/>
      <c r="V104" s="2037"/>
      <c r="W104" s="1617"/>
      <c r="X104" s="1618"/>
      <c r="Y104" s="1619"/>
      <c r="Z104" s="1538"/>
      <c r="AA104" s="1538"/>
      <c r="AB104" s="1538"/>
      <c r="AC104" s="1538"/>
      <c r="AD104" s="1538"/>
      <c r="AE104" s="1538"/>
      <c r="AF104" s="1538"/>
      <c r="AG104" s="1538"/>
      <c r="AH104" s="1538"/>
      <c r="AI104" s="2023"/>
      <c r="AJ104" s="804"/>
      <c r="AK104" s="805"/>
      <c r="AL104" s="805"/>
      <c r="AM104" s="805"/>
      <c r="AN104" s="805"/>
      <c r="AP104" s="1377"/>
      <c r="AQ104" s="2019"/>
      <c r="AR104" s="1614"/>
      <c r="AS104" s="1615"/>
      <c r="AT104" s="1615"/>
      <c r="AU104" s="1615"/>
      <c r="AV104" s="1615"/>
      <c r="AW104" s="1615"/>
      <c r="AX104" s="1615"/>
      <c r="AY104" s="1615"/>
      <c r="AZ104" s="1615"/>
      <c r="BA104" s="1615"/>
      <c r="BB104" s="1616"/>
      <c r="BC104" s="2038"/>
      <c r="BD104" s="2039"/>
      <c r="BE104" s="2039"/>
      <c r="BF104" s="2039"/>
      <c r="BG104" s="2039"/>
      <c r="BH104" s="2039"/>
      <c r="BI104" s="2039"/>
      <c r="BJ104" s="2040"/>
      <c r="BK104" s="1620"/>
      <c r="BL104" s="1621"/>
      <c r="BM104" s="1622"/>
      <c r="BN104" s="1538"/>
      <c r="BO104" s="1538"/>
      <c r="BP104" s="1538"/>
      <c r="BQ104" s="1538"/>
      <c r="BR104" s="1538"/>
      <c r="BS104" s="1538"/>
      <c r="BT104" s="1538"/>
      <c r="BU104" s="1538"/>
      <c r="BV104" s="1538"/>
      <c r="BW104" s="2023"/>
      <c r="BX104" s="804"/>
    </row>
    <row r="105" spans="2:76" ht="27.95" hidden="1" customHeight="1" outlineLevel="1">
      <c r="B105" s="1377"/>
      <c r="C105" s="2019"/>
      <c r="D105" s="1614"/>
      <c r="E105" s="1615"/>
      <c r="F105" s="1615"/>
      <c r="G105" s="1615"/>
      <c r="H105" s="1615"/>
      <c r="I105" s="1615"/>
      <c r="J105" s="1615"/>
      <c r="K105" s="1615"/>
      <c r="L105" s="1615"/>
      <c r="M105" s="1615"/>
      <c r="N105" s="1616"/>
      <c r="O105" s="2035"/>
      <c r="P105" s="2036"/>
      <c r="Q105" s="2036"/>
      <c r="R105" s="2036"/>
      <c r="S105" s="2036"/>
      <c r="T105" s="2036"/>
      <c r="U105" s="2036"/>
      <c r="V105" s="2037"/>
      <c r="W105" s="1617"/>
      <c r="X105" s="1618"/>
      <c r="Y105" s="1619"/>
      <c r="Z105" s="1538"/>
      <c r="AA105" s="1538"/>
      <c r="AB105" s="1538"/>
      <c r="AC105" s="1538"/>
      <c r="AD105" s="1538"/>
      <c r="AE105" s="1538"/>
      <c r="AF105" s="1538"/>
      <c r="AG105" s="1538"/>
      <c r="AH105" s="1538"/>
      <c r="AI105" s="2023"/>
      <c r="AJ105" s="804"/>
      <c r="AK105" s="805"/>
      <c r="AL105" s="805"/>
      <c r="AM105" s="805"/>
      <c r="AN105" s="805"/>
      <c r="AP105" s="1377"/>
      <c r="AQ105" s="2019"/>
      <c r="AR105" s="1614"/>
      <c r="AS105" s="1615"/>
      <c r="AT105" s="1615"/>
      <c r="AU105" s="1615"/>
      <c r="AV105" s="1615"/>
      <c r="AW105" s="1615"/>
      <c r="AX105" s="1615"/>
      <c r="AY105" s="1615"/>
      <c r="AZ105" s="1615"/>
      <c r="BA105" s="1615"/>
      <c r="BB105" s="1616"/>
      <c r="BC105" s="2038"/>
      <c r="BD105" s="2039"/>
      <c r="BE105" s="2039"/>
      <c r="BF105" s="2039"/>
      <c r="BG105" s="2039"/>
      <c r="BH105" s="2039"/>
      <c r="BI105" s="2039"/>
      <c r="BJ105" s="2040"/>
      <c r="BK105" s="1620"/>
      <c r="BL105" s="1621"/>
      <c r="BM105" s="1622"/>
      <c r="BN105" s="1538"/>
      <c r="BO105" s="1538"/>
      <c r="BP105" s="1538"/>
      <c r="BQ105" s="1538"/>
      <c r="BR105" s="1538"/>
      <c r="BS105" s="1538"/>
      <c r="BT105" s="1538"/>
      <c r="BU105" s="1538"/>
      <c r="BV105" s="1538"/>
      <c r="BW105" s="2023"/>
      <c r="BX105" s="804"/>
    </row>
    <row r="106" spans="2:76" ht="27.95" hidden="1" customHeight="1" outlineLevel="1">
      <c r="B106" s="1377"/>
      <c r="C106" s="2019"/>
      <c r="D106" s="1614"/>
      <c r="E106" s="1615"/>
      <c r="F106" s="1615"/>
      <c r="G106" s="1615"/>
      <c r="H106" s="1615"/>
      <c r="I106" s="1615"/>
      <c r="J106" s="1615"/>
      <c r="K106" s="1615"/>
      <c r="L106" s="1615"/>
      <c r="M106" s="1615"/>
      <c r="N106" s="1616"/>
      <c r="O106" s="2035"/>
      <c r="P106" s="2036"/>
      <c r="Q106" s="2036"/>
      <c r="R106" s="2036"/>
      <c r="S106" s="2036"/>
      <c r="T106" s="2036"/>
      <c r="U106" s="2036"/>
      <c r="V106" s="2037"/>
      <c r="W106" s="1617"/>
      <c r="X106" s="1618"/>
      <c r="Y106" s="1619"/>
      <c r="Z106" s="1538"/>
      <c r="AA106" s="1538"/>
      <c r="AB106" s="1538"/>
      <c r="AC106" s="1538"/>
      <c r="AD106" s="1538"/>
      <c r="AE106" s="1538"/>
      <c r="AF106" s="1538"/>
      <c r="AG106" s="1538"/>
      <c r="AH106" s="1538"/>
      <c r="AI106" s="2023"/>
      <c r="AJ106" s="804"/>
      <c r="AK106" s="805"/>
      <c r="AL106" s="805"/>
      <c r="AM106" s="805"/>
      <c r="AN106" s="805"/>
      <c r="AP106" s="1377"/>
      <c r="AQ106" s="2019"/>
      <c r="AR106" s="1614"/>
      <c r="AS106" s="1615"/>
      <c r="AT106" s="1615"/>
      <c r="AU106" s="1615"/>
      <c r="AV106" s="1615"/>
      <c r="AW106" s="1615"/>
      <c r="AX106" s="1615"/>
      <c r="AY106" s="1615"/>
      <c r="AZ106" s="1615"/>
      <c r="BA106" s="1615"/>
      <c r="BB106" s="1616"/>
      <c r="BC106" s="2038"/>
      <c r="BD106" s="2039"/>
      <c r="BE106" s="2039"/>
      <c r="BF106" s="2039"/>
      <c r="BG106" s="2039"/>
      <c r="BH106" s="2039"/>
      <c r="BI106" s="2039"/>
      <c r="BJ106" s="2040"/>
      <c r="BK106" s="1620"/>
      <c r="BL106" s="1621"/>
      <c r="BM106" s="1622"/>
      <c r="BN106" s="1538"/>
      <c r="BO106" s="1538"/>
      <c r="BP106" s="1538"/>
      <c r="BQ106" s="1538"/>
      <c r="BR106" s="1538"/>
      <c r="BS106" s="1538"/>
      <c r="BT106" s="1538"/>
      <c r="BU106" s="1538"/>
      <c r="BV106" s="1538"/>
      <c r="BW106" s="2023"/>
      <c r="BX106" s="804"/>
    </row>
    <row r="107" spans="2:76" ht="27.95" hidden="1" customHeight="1" outlineLevel="1">
      <c r="B107" s="1377"/>
      <c r="C107" s="2019"/>
      <c r="D107" s="1614"/>
      <c r="E107" s="1615"/>
      <c r="F107" s="1615"/>
      <c r="G107" s="1615"/>
      <c r="H107" s="1615"/>
      <c r="I107" s="1615"/>
      <c r="J107" s="1615"/>
      <c r="K107" s="1615"/>
      <c r="L107" s="1615"/>
      <c r="M107" s="1615"/>
      <c r="N107" s="1616"/>
      <c r="O107" s="2035"/>
      <c r="P107" s="2036"/>
      <c r="Q107" s="2036"/>
      <c r="R107" s="2036"/>
      <c r="S107" s="2036"/>
      <c r="T107" s="2036"/>
      <c r="U107" s="2036"/>
      <c r="V107" s="2037"/>
      <c r="W107" s="1617"/>
      <c r="X107" s="1618"/>
      <c r="Y107" s="1619"/>
      <c r="Z107" s="1538"/>
      <c r="AA107" s="1538"/>
      <c r="AB107" s="1538"/>
      <c r="AC107" s="1538"/>
      <c r="AD107" s="1538"/>
      <c r="AE107" s="1538"/>
      <c r="AF107" s="1538"/>
      <c r="AG107" s="1538"/>
      <c r="AH107" s="1538"/>
      <c r="AI107" s="2023"/>
      <c r="AJ107" s="804"/>
      <c r="AK107" s="805"/>
      <c r="AL107" s="805"/>
      <c r="AM107" s="805"/>
      <c r="AN107" s="805"/>
      <c r="AP107" s="1377"/>
      <c r="AQ107" s="2019"/>
      <c r="AR107" s="1614"/>
      <c r="AS107" s="1615"/>
      <c r="AT107" s="1615"/>
      <c r="AU107" s="1615"/>
      <c r="AV107" s="1615"/>
      <c r="AW107" s="1615"/>
      <c r="AX107" s="1615"/>
      <c r="AY107" s="1615"/>
      <c r="AZ107" s="1615"/>
      <c r="BA107" s="1615"/>
      <c r="BB107" s="1616"/>
      <c r="BC107" s="2038"/>
      <c r="BD107" s="2039"/>
      <c r="BE107" s="2039"/>
      <c r="BF107" s="2039"/>
      <c r="BG107" s="2039"/>
      <c r="BH107" s="2039"/>
      <c r="BI107" s="2039"/>
      <c r="BJ107" s="2040"/>
      <c r="BK107" s="1620"/>
      <c r="BL107" s="1621"/>
      <c r="BM107" s="1622"/>
      <c r="BN107" s="1538"/>
      <c r="BO107" s="1538"/>
      <c r="BP107" s="1538"/>
      <c r="BQ107" s="1538"/>
      <c r="BR107" s="1538"/>
      <c r="BS107" s="1538"/>
      <c r="BT107" s="1538"/>
      <c r="BU107" s="1538"/>
      <c r="BV107" s="1538"/>
      <c r="BW107" s="2023"/>
      <c r="BX107" s="804"/>
    </row>
    <row r="108" spans="2:76" ht="27.95" hidden="1" customHeight="1" outlineLevel="1">
      <c r="B108" s="1377"/>
      <c r="C108" s="2019"/>
      <c r="D108" s="1614"/>
      <c r="E108" s="1615"/>
      <c r="F108" s="1615"/>
      <c r="G108" s="1615"/>
      <c r="H108" s="1615"/>
      <c r="I108" s="1615"/>
      <c r="J108" s="1615"/>
      <c r="K108" s="1615"/>
      <c r="L108" s="1615"/>
      <c r="M108" s="1615"/>
      <c r="N108" s="1616"/>
      <c r="O108" s="2035"/>
      <c r="P108" s="2036"/>
      <c r="Q108" s="2036"/>
      <c r="R108" s="2036"/>
      <c r="S108" s="2036"/>
      <c r="T108" s="2036"/>
      <c r="U108" s="2036"/>
      <c r="V108" s="2037"/>
      <c r="W108" s="1617"/>
      <c r="X108" s="1618"/>
      <c r="Y108" s="1619"/>
      <c r="Z108" s="1538"/>
      <c r="AA108" s="1538"/>
      <c r="AB108" s="1538"/>
      <c r="AC108" s="1538"/>
      <c r="AD108" s="1538"/>
      <c r="AE108" s="1538"/>
      <c r="AF108" s="1538"/>
      <c r="AG108" s="1538"/>
      <c r="AH108" s="1538"/>
      <c r="AI108" s="2023"/>
      <c r="AJ108" s="804"/>
      <c r="AK108" s="805"/>
      <c r="AL108" s="805"/>
      <c r="AM108" s="805"/>
      <c r="AN108" s="805"/>
      <c r="AP108" s="1377"/>
      <c r="AQ108" s="2019"/>
      <c r="AR108" s="1614"/>
      <c r="AS108" s="1615"/>
      <c r="AT108" s="1615"/>
      <c r="AU108" s="1615"/>
      <c r="AV108" s="1615"/>
      <c r="AW108" s="1615"/>
      <c r="AX108" s="1615"/>
      <c r="AY108" s="1615"/>
      <c r="AZ108" s="1615"/>
      <c r="BA108" s="1615"/>
      <c r="BB108" s="1616"/>
      <c r="BC108" s="2038"/>
      <c r="BD108" s="2039"/>
      <c r="BE108" s="2039"/>
      <c r="BF108" s="2039"/>
      <c r="BG108" s="2039"/>
      <c r="BH108" s="2039"/>
      <c r="BI108" s="2039"/>
      <c r="BJ108" s="2040"/>
      <c r="BK108" s="1620"/>
      <c r="BL108" s="1621"/>
      <c r="BM108" s="1622"/>
      <c r="BN108" s="1538"/>
      <c r="BO108" s="1538"/>
      <c r="BP108" s="1538"/>
      <c r="BQ108" s="1538"/>
      <c r="BR108" s="1538"/>
      <c r="BS108" s="1538"/>
      <c r="BT108" s="1538"/>
      <c r="BU108" s="1538"/>
      <c r="BV108" s="1538"/>
      <c r="BW108" s="2023"/>
      <c r="BX108" s="804"/>
    </row>
    <row r="109" spans="2:76" ht="27.95" hidden="1" customHeight="1" outlineLevel="1">
      <c r="B109" s="1377"/>
      <c r="C109" s="2019"/>
      <c r="D109" s="1614"/>
      <c r="E109" s="1615"/>
      <c r="F109" s="1615"/>
      <c r="G109" s="1615"/>
      <c r="H109" s="1615"/>
      <c r="I109" s="1615"/>
      <c r="J109" s="1615"/>
      <c r="K109" s="1615"/>
      <c r="L109" s="1615"/>
      <c r="M109" s="1615"/>
      <c r="N109" s="1616"/>
      <c r="O109" s="2035"/>
      <c r="P109" s="2036"/>
      <c r="Q109" s="2036"/>
      <c r="R109" s="2036"/>
      <c r="S109" s="2036"/>
      <c r="T109" s="2036"/>
      <c r="U109" s="2036"/>
      <c r="V109" s="2037"/>
      <c r="W109" s="1617"/>
      <c r="X109" s="1618"/>
      <c r="Y109" s="1619"/>
      <c r="Z109" s="1538"/>
      <c r="AA109" s="1538"/>
      <c r="AB109" s="1538"/>
      <c r="AC109" s="1538"/>
      <c r="AD109" s="1538"/>
      <c r="AE109" s="1538"/>
      <c r="AF109" s="1538"/>
      <c r="AG109" s="1538"/>
      <c r="AH109" s="1538"/>
      <c r="AI109" s="2023"/>
      <c r="AJ109" s="804"/>
      <c r="AK109" s="805"/>
      <c r="AL109" s="805"/>
      <c r="AM109" s="805"/>
      <c r="AN109" s="805"/>
      <c r="AP109" s="1377"/>
      <c r="AQ109" s="2019"/>
      <c r="AR109" s="1614"/>
      <c r="AS109" s="1615"/>
      <c r="AT109" s="1615"/>
      <c r="AU109" s="1615"/>
      <c r="AV109" s="1615"/>
      <c r="AW109" s="1615"/>
      <c r="AX109" s="1615"/>
      <c r="AY109" s="1615"/>
      <c r="AZ109" s="1615"/>
      <c r="BA109" s="1615"/>
      <c r="BB109" s="1616"/>
      <c r="BC109" s="2038"/>
      <c r="BD109" s="2039"/>
      <c r="BE109" s="2039"/>
      <c r="BF109" s="2039"/>
      <c r="BG109" s="2039"/>
      <c r="BH109" s="2039"/>
      <c r="BI109" s="2039"/>
      <c r="BJ109" s="2040"/>
      <c r="BK109" s="1620"/>
      <c r="BL109" s="1621"/>
      <c r="BM109" s="1622"/>
      <c r="BN109" s="1538"/>
      <c r="BO109" s="1538"/>
      <c r="BP109" s="1538"/>
      <c r="BQ109" s="1538"/>
      <c r="BR109" s="1538"/>
      <c r="BS109" s="1538"/>
      <c r="BT109" s="1538"/>
      <c r="BU109" s="1538"/>
      <c r="BV109" s="1538"/>
      <c r="BW109" s="2023"/>
      <c r="BX109" s="804"/>
    </row>
    <row r="110" spans="2:76" ht="27.95" hidden="1" customHeight="1" outlineLevel="1">
      <c r="B110" s="1377"/>
      <c r="C110" s="2019"/>
      <c r="D110" s="1614"/>
      <c r="E110" s="1615"/>
      <c r="F110" s="1615"/>
      <c r="G110" s="1615"/>
      <c r="H110" s="1615"/>
      <c r="I110" s="1615"/>
      <c r="J110" s="1615"/>
      <c r="K110" s="1615"/>
      <c r="L110" s="1615"/>
      <c r="M110" s="1615"/>
      <c r="N110" s="1616"/>
      <c r="O110" s="2035"/>
      <c r="P110" s="2036"/>
      <c r="Q110" s="2036"/>
      <c r="R110" s="2036"/>
      <c r="S110" s="2036"/>
      <c r="T110" s="2036"/>
      <c r="U110" s="2036"/>
      <c r="V110" s="2037"/>
      <c r="W110" s="1617"/>
      <c r="X110" s="1618"/>
      <c r="Y110" s="1619"/>
      <c r="Z110" s="1538"/>
      <c r="AA110" s="1538"/>
      <c r="AB110" s="1538"/>
      <c r="AC110" s="1538"/>
      <c r="AD110" s="1538"/>
      <c r="AE110" s="1538"/>
      <c r="AF110" s="1538"/>
      <c r="AG110" s="1538"/>
      <c r="AH110" s="1538"/>
      <c r="AI110" s="2023"/>
      <c r="AJ110" s="804"/>
      <c r="AK110" s="805"/>
      <c r="AL110" s="805"/>
      <c r="AM110" s="805"/>
      <c r="AN110" s="805"/>
      <c r="AP110" s="1377"/>
      <c r="AQ110" s="2019"/>
      <c r="AR110" s="1614"/>
      <c r="AS110" s="1615"/>
      <c r="AT110" s="1615"/>
      <c r="AU110" s="1615"/>
      <c r="AV110" s="1615"/>
      <c r="AW110" s="1615"/>
      <c r="AX110" s="1615"/>
      <c r="AY110" s="1615"/>
      <c r="AZ110" s="1615"/>
      <c r="BA110" s="1615"/>
      <c r="BB110" s="1616"/>
      <c r="BC110" s="2038"/>
      <c r="BD110" s="2039"/>
      <c r="BE110" s="2039"/>
      <c r="BF110" s="2039"/>
      <c r="BG110" s="2039"/>
      <c r="BH110" s="2039"/>
      <c r="BI110" s="2039"/>
      <c r="BJ110" s="2040"/>
      <c r="BK110" s="1620"/>
      <c r="BL110" s="1621"/>
      <c r="BM110" s="1622"/>
      <c r="BN110" s="1538"/>
      <c r="BO110" s="1538"/>
      <c r="BP110" s="1538"/>
      <c r="BQ110" s="1538"/>
      <c r="BR110" s="1538"/>
      <c r="BS110" s="1538"/>
      <c r="BT110" s="1538"/>
      <c r="BU110" s="1538"/>
      <c r="BV110" s="1538"/>
      <c r="BW110" s="2023"/>
      <c r="BX110" s="804"/>
    </row>
    <row r="111" spans="2:76" ht="27.95" hidden="1" customHeight="1" outlineLevel="1">
      <c r="B111" s="1377"/>
      <c r="C111" s="2019"/>
      <c r="D111" s="1614"/>
      <c r="E111" s="1615"/>
      <c r="F111" s="1615"/>
      <c r="G111" s="1615"/>
      <c r="H111" s="1615"/>
      <c r="I111" s="1615"/>
      <c r="J111" s="1615"/>
      <c r="K111" s="1615"/>
      <c r="L111" s="1615"/>
      <c r="M111" s="1615"/>
      <c r="N111" s="1616"/>
      <c r="O111" s="2035"/>
      <c r="P111" s="2036"/>
      <c r="Q111" s="2036"/>
      <c r="R111" s="2036"/>
      <c r="S111" s="2036"/>
      <c r="T111" s="2036"/>
      <c r="U111" s="2036"/>
      <c r="V111" s="2037"/>
      <c r="W111" s="1617"/>
      <c r="X111" s="1618"/>
      <c r="Y111" s="1619"/>
      <c r="Z111" s="1538"/>
      <c r="AA111" s="1538"/>
      <c r="AB111" s="1538"/>
      <c r="AC111" s="1538"/>
      <c r="AD111" s="1538"/>
      <c r="AE111" s="1538"/>
      <c r="AF111" s="1538"/>
      <c r="AG111" s="1538"/>
      <c r="AH111" s="1538"/>
      <c r="AI111" s="2023"/>
      <c r="AJ111" s="804"/>
      <c r="AK111" s="805"/>
      <c r="AL111" s="805"/>
      <c r="AM111" s="805"/>
      <c r="AN111" s="805"/>
      <c r="AP111" s="1377"/>
      <c r="AQ111" s="2019"/>
      <c r="AR111" s="1614"/>
      <c r="AS111" s="1615"/>
      <c r="AT111" s="1615"/>
      <c r="AU111" s="1615"/>
      <c r="AV111" s="1615"/>
      <c r="AW111" s="1615"/>
      <c r="AX111" s="1615"/>
      <c r="AY111" s="1615"/>
      <c r="AZ111" s="1615"/>
      <c r="BA111" s="1615"/>
      <c r="BB111" s="1616"/>
      <c r="BC111" s="2038"/>
      <c r="BD111" s="2039"/>
      <c r="BE111" s="2039"/>
      <c r="BF111" s="2039"/>
      <c r="BG111" s="2039"/>
      <c r="BH111" s="2039"/>
      <c r="BI111" s="2039"/>
      <c r="BJ111" s="2040"/>
      <c r="BK111" s="1620"/>
      <c r="BL111" s="1621"/>
      <c r="BM111" s="1622"/>
      <c r="BN111" s="1538"/>
      <c r="BO111" s="1538"/>
      <c r="BP111" s="1538"/>
      <c r="BQ111" s="1538"/>
      <c r="BR111" s="1538"/>
      <c r="BS111" s="1538"/>
      <c r="BT111" s="1538"/>
      <c r="BU111" s="1538"/>
      <c r="BV111" s="1538"/>
      <c r="BW111" s="2023"/>
      <c r="BX111" s="804"/>
    </row>
    <row r="112" spans="2:76" ht="27.95" hidden="1" customHeight="1" outlineLevel="1">
      <c r="B112" s="1377"/>
      <c r="C112" s="2019"/>
      <c r="D112" s="1614"/>
      <c r="E112" s="1615"/>
      <c r="F112" s="1615"/>
      <c r="G112" s="1615"/>
      <c r="H112" s="1615"/>
      <c r="I112" s="1615"/>
      <c r="J112" s="1615"/>
      <c r="K112" s="1615"/>
      <c r="L112" s="1615"/>
      <c r="M112" s="1615"/>
      <c r="N112" s="1616"/>
      <c r="O112" s="2035"/>
      <c r="P112" s="2036"/>
      <c r="Q112" s="2036"/>
      <c r="R112" s="2036"/>
      <c r="S112" s="2036"/>
      <c r="T112" s="2036"/>
      <c r="U112" s="2036"/>
      <c r="V112" s="2037"/>
      <c r="W112" s="1617"/>
      <c r="X112" s="1618"/>
      <c r="Y112" s="1619"/>
      <c r="Z112" s="1538"/>
      <c r="AA112" s="1538"/>
      <c r="AB112" s="1538"/>
      <c r="AC112" s="1538"/>
      <c r="AD112" s="1538"/>
      <c r="AE112" s="1538"/>
      <c r="AF112" s="1538"/>
      <c r="AG112" s="1538"/>
      <c r="AH112" s="1538"/>
      <c r="AI112" s="2023"/>
      <c r="AJ112" s="804"/>
      <c r="AK112" s="805"/>
      <c r="AL112" s="805"/>
      <c r="AM112" s="805"/>
      <c r="AN112" s="805"/>
      <c r="AP112" s="1377"/>
      <c r="AQ112" s="2019"/>
      <c r="AR112" s="1614"/>
      <c r="AS112" s="1615"/>
      <c r="AT112" s="1615"/>
      <c r="AU112" s="1615"/>
      <c r="AV112" s="1615"/>
      <c r="AW112" s="1615"/>
      <c r="AX112" s="1615"/>
      <c r="AY112" s="1615"/>
      <c r="AZ112" s="1615"/>
      <c r="BA112" s="1615"/>
      <c r="BB112" s="1616"/>
      <c r="BC112" s="2038"/>
      <c r="BD112" s="2039"/>
      <c r="BE112" s="2039"/>
      <c r="BF112" s="2039"/>
      <c r="BG112" s="2039"/>
      <c r="BH112" s="2039"/>
      <c r="BI112" s="2039"/>
      <c r="BJ112" s="2040"/>
      <c r="BK112" s="1620"/>
      <c r="BL112" s="1621"/>
      <c r="BM112" s="1622"/>
      <c r="BN112" s="1538"/>
      <c r="BO112" s="1538"/>
      <c r="BP112" s="1538"/>
      <c r="BQ112" s="1538"/>
      <c r="BR112" s="1538"/>
      <c r="BS112" s="1538"/>
      <c r="BT112" s="1538"/>
      <c r="BU112" s="1538"/>
      <c r="BV112" s="1538"/>
      <c r="BW112" s="2023"/>
      <c r="BX112" s="804"/>
    </row>
    <row r="113" spans="2:76" ht="27.95" hidden="1" customHeight="1" outlineLevel="1">
      <c r="B113" s="1377"/>
      <c r="C113" s="2019"/>
      <c r="D113" s="1614"/>
      <c r="E113" s="1615"/>
      <c r="F113" s="1615"/>
      <c r="G113" s="1615"/>
      <c r="H113" s="1615"/>
      <c r="I113" s="1615"/>
      <c r="J113" s="1615"/>
      <c r="K113" s="1615"/>
      <c r="L113" s="1615"/>
      <c r="M113" s="1615"/>
      <c r="N113" s="1616"/>
      <c r="O113" s="2035"/>
      <c r="P113" s="2036"/>
      <c r="Q113" s="2036"/>
      <c r="R113" s="2036"/>
      <c r="S113" s="2036"/>
      <c r="T113" s="2036"/>
      <c r="U113" s="2036"/>
      <c r="V113" s="2037"/>
      <c r="W113" s="1617"/>
      <c r="X113" s="1618"/>
      <c r="Y113" s="1619"/>
      <c r="Z113" s="1538"/>
      <c r="AA113" s="1538"/>
      <c r="AB113" s="1538"/>
      <c r="AC113" s="1538"/>
      <c r="AD113" s="1538"/>
      <c r="AE113" s="1538"/>
      <c r="AF113" s="1538"/>
      <c r="AG113" s="1538"/>
      <c r="AH113" s="1538"/>
      <c r="AI113" s="2023"/>
      <c r="AJ113" s="804"/>
      <c r="AK113" s="805"/>
      <c r="AL113" s="805"/>
      <c r="AM113" s="805"/>
      <c r="AN113" s="805"/>
      <c r="AP113" s="1377"/>
      <c r="AQ113" s="2019"/>
      <c r="AR113" s="1614"/>
      <c r="AS113" s="1615"/>
      <c r="AT113" s="1615"/>
      <c r="AU113" s="1615"/>
      <c r="AV113" s="1615"/>
      <c r="AW113" s="1615"/>
      <c r="AX113" s="1615"/>
      <c r="AY113" s="1615"/>
      <c r="AZ113" s="1615"/>
      <c r="BA113" s="1615"/>
      <c r="BB113" s="1616"/>
      <c r="BC113" s="2038"/>
      <c r="BD113" s="2039"/>
      <c r="BE113" s="2039"/>
      <c r="BF113" s="2039"/>
      <c r="BG113" s="2039"/>
      <c r="BH113" s="2039"/>
      <c r="BI113" s="2039"/>
      <c r="BJ113" s="2040"/>
      <c r="BK113" s="1620"/>
      <c r="BL113" s="1621"/>
      <c r="BM113" s="1622"/>
      <c r="BN113" s="1538"/>
      <c r="BO113" s="1538"/>
      <c r="BP113" s="1538"/>
      <c r="BQ113" s="1538"/>
      <c r="BR113" s="1538"/>
      <c r="BS113" s="1538"/>
      <c r="BT113" s="1538"/>
      <c r="BU113" s="1538"/>
      <c r="BV113" s="1538"/>
      <c r="BW113" s="2023"/>
      <c r="BX113" s="804"/>
    </row>
    <row r="114" spans="2:76" ht="27.95" hidden="1" customHeight="1" outlineLevel="1" thickBot="1">
      <c r="B114" s="1379"/>
      <c r="C114" s="2020"/>
      <c r="D114" s="2044"/>
      <c r="E114" s="2045"/>
      <c r="F114" s="2045"/>
      <c r="G114" s="2045"/>
      <c r="H114" s="2045"/>
      <c r="I114" s="2045"/>
      <c r="J114" s="2045"/>
      <c r="K114" s="2045"/>
      <c r="L114" s="2045"/>
      <c r="M114" s="2045"/>
      <c r="N114" s="2046"/>
      <c r="O114" s="2047"/>
      <c r="P114" s="2048"/>
      <c r="Q114" s="2048"/>
      <c r="R114" s="2048"/>
      <c r="S114" s="2048"/>
      <c r="T114" s="2048"/>
      <c r="U114" s="2048"/>
      <c r="V114" s="2049"/>
      <c r="W114" s="2050"/>
      <c r="X114" s="2051"/>
      <c r="Y114" s="2052"/>
      <c r="Z114" s="1652"/>
      <c r="AA114" s="1652"/>
      <c r="AB114" s="1652"/>
      <c r="AC114" s="1652"/>
      <c r="AD114" s="1652"/>
      <c r="AE114" s="1652"/>
      <c r="AF114" s="1652"/>
      <c r="AG114" s="1652"/>
      <c r="AH114" s="1652"/>
      <c r="AI114" s="2024"/>
      <c r="AJ114" s="804"/>
      <c r="AK114" s="805"/>
      <c r="AL114" s="805"/>
      <c r="AM114" s="805"/>
      <c r="AN114" s="805"/>
      <c r="AP114" s="1379"/>
      <c r="AQ114" s="2020"/>
      <c r="AR114" s="2044"/>
      <c r="AS114" s="2045"/>
      <c r="AT114" s="2045"/>
      <c r="AU114" s="2045"/>
      <c r="AV114" s="2045"/>
      <c r="AW114" s="2045"/>
      <c r="AX114" s="2045"/>
      <c r="AY114" s="2045"/>
      <c r="AZ114" s="2045"/>
      <c r="BA114" s="2045"/>
      <c r="BB114" s="2046"/>
      <c r="BC114" s="2047"/>
      <c r="BD114" s="2048"/>
      <c r="BE114" s="2048"/>
      <c r="BF114" s="2048"/>
      <c r="BG114" s="2048"/>
      <c r="BH114" s="2048"/>
      <c r="BI114" s="2048"/>
      <c r="BJ114" s="2049"/>
      <c r="BK114" s="2050"/>
      <c r="BL114" s="2051"/>
      <c r="BM114" s="2052"/>
      <c r="BN114" s="1652"/>
      <c r="BO114" s="1652"/>
      <c r="BP114" s="1652"/>
      <c r="BQ114" s="1652"/>
      <c r="BR114" s="1652"/>
      <c r="BS114" s="1652"/>
      <c r="BT114" s="1652"/>
      <c r="BU114" s="1652"/>
      <c r="BV114" s="1652"/>
      <c r="BW114" s="2024"/>
      <c r="BX114" s="804"/>
    </row>
    <row r="115" spans="2:76" ht="27.95" customHeight="1">
      <c r="B115" s="809"/>
      <c r="C115" s="809"/>
      <c r="D115" s="809"/>
      <c r="E115" s="809"/>
      <c r="F115" s="809"/>
      <c r="G115" s="809"/>
      <c r="H115" s="809"/>
      <c r="I115" s="809"/>
      <c r="J115" s="809"/>
      <c r="K115" s="809"/>
      <c r="L115" s="809"/>
      <c r="M115" s="809"/>
      <c r="N115" s="810"/>
      <c r="O115" s="810"/>
      <c r="P115" s="810"/>
      <c r="Q115" s="810"/>
      <c r="R115" s="810"/>
      <c r="S115" s="810"/>
      <c r="T115" s="810"/>
      <c r="U115" s="810"/>
      <c r="V115" s="324"/>
      <c r="W115" s="811"/>
      <c r="X115" s="811"/>
      <c r="Y115" s="812"/>
      <c r="Z115" s="812"/>
      <c r="AA115" s="812"/>
      <c r="AB115" s="812"/>
      <c r="AC115" s="812"/>
      <c r="AD115" s="812"/>
      <c r="AE115" s="812"/>
      <c r="AF115" s="812"/>
      <c r="AG115" s="812"/>
      <c r="AH115" s="380"/>
      <c r="AI115" s="380"/>
      <c r="AP115" s="380"/>
      <c r="AQ115" s="380"/>
      <c r="AR115" s="380"/>
      <c r="AS115" s="380"/>
      <c r="AT115" s="380"/>
      <c r="AU115" s="380"/>
      <c r="AV115" s="380"/>
      <c r="AW115" s="380"/>
      <c r="AX115" s="380"/>
      <c r="AY115" s="380"/>
      <c r="AZ115" s="380"/>
      <c r="BA115" s="380"/>
      <c r="BB115" s="380"/>
      <c r="BC115" s="380"/>
      <c r="BD115" s="380"/>
      <c r="BE115" s="380"/>
      <c r="BF115" s="380"/>
      <c r="BG115" s="380"/>
      <c r="BH115" s="380"/>
      <c r="BI115" s="380"/>
      <c r="BJ115" s="380"/>
      <c r="BK115" s="380"/>
      <c r="BL115" s="380"/>
      <c r="BM115" s="380"/>
      <c r="BN115" s="380"/>
      <c r="BO115" s="380"/>
      <c r="BP115" s="380"/>
      <c r="BQ115" s="380"/>
      <c r="BR115" s="380"/>
      <c r="BS115" s="380"/>
      <c r="BT115" s="380"/>
      <c r="BU115" s="380"/>
      <c r="BV115" s="380"/>
      <c r="BW115" s="380"/>
    </row>
    <row r="116" spans="2:76" ht="27.95" customHeight="1">
      <c r="B116" s="294"/>
      <c r="C116" s="294"/>
      <c r="D116" s="147"/>
      <c r="E116" s="147"/>
      <c r="F116" s="147"/>
      <c r="G116" s="147"/>
      <c r="H116" s="147"/>
      <c r="I116" s="147"/>
      <c r="J116" s="147"/>
      <c r="K116" s="147"/>
      <c r="L116" s="147"/>
      <c r="M116" s="147"/>
      <c r="N116" s="211"/>
      <c r="O116" s="211"/>
      <c r="P116" s="211"/>
      <c r="Q116" s="211"/>
      <c r="R116" s="211"/>
      <c r="S116" s="211"/>
      <c r="T116" s="211"/>
      <c r="U116" s="211"/>
      <c r="V116" s="147"/>
      <c r="W116" s="229"/>
      <c r="X116" s="229"/>
      <c r="Y116" s="395"/>
      <c r="Z116" s="395"/>
      <c r="AA116" s="395"/>
      <c r="AB116" s="395"/>
      <c r="AC116" s="395"/>
      <c r="AD116" s="395"/>
      <c r="AE116" s="395"/>
      <c r="AF116" s="395"/>
      <c r="AG116" s="395"/>
    </row>
    <row r="117" spans="2:76" ht="27.95" customHeight="1">
      <c r="B117" s="294"/>
      <c r="C117" s="294"/>
      <c r="D117" s="147"/>
      <c r="E117" s="147"/>
      <c r="F117" s="147"/>
      <c r="G117" s="147"/>
      <c r="H117" s="147"/>
      <c r="I117" s="147"/>
      <c r="J117" s="147"/>
      <c r="K117" s="147"/>
      <c r="L117" s="147"/>
      <c r="M117" s="147"/>
      <c r="N117" s="211"/>
      <c r="O117" s="211"/>
      <c r="P117" s="211"/>
      <c r="Q117" s="211"/>
      <c r="R117" s="211"/>
      <c r="S117" s="211"/>
      <c r="T117" s="211"/>
      <c r="U117" s="211"/>
      <c r="V117" s="147"/>
      <c r="W117" s="229"/>
      <c r="X117" s="229"/>
      <c r="Y117" s="395"/>
      <c r="Z117" s="395"/>
      <c r="AA117" s="395"/>
      <c r="AB117" s="395"/>
      <c r="AC117" s="395"/>
      <c r="AD117" s="395"/>
      <c r="AE117" s="395"/>
      <c r="AF117" s="395"/>
      <c r="AG117" s="395"/>
    </row>
  </sheetData>
  <sheetProtection sheet="1" objects="1" scenarios="1" selectLockedCells="1"/>
  <mergeCells count="620">
    <mergeCell ref="D114:N114"/>
    <mergeCell ref="O114:V114"/>
    <mergeCell ref="W114:Y114"/>
    <mergeCell ref="AR114:BB114"/>
    <mergeCell ref="BC114:BJ114"/>
    <mergeCell ref="BK114:BM114"/>
    <mergeCell ref="D113:N113"/>
    <mergeCell ref="O113:V113"/>
    <mergeCell ref="W113:Y113"/>
    <mergeCell ref="AR113:BB113"/>
    <mergeCell ref="BC113:BJ113"/>
    <mergeCell ref="BK113:BM113"/>
    <mergeCell ref="D112:N112"/>
    <mergeCell ref="O112:V112"/>
    <mergeCell ref="W112:Y112"/>
    <mergeCell ref="AR112:BB112"/>
    <mergeCell ref="BC112:BJ112"/>
    <mergeCell ref="BK112:BM112"/>
    <mergeCell ref="D111:N111"/>
    <mergeCell ref="O111:V111"/>
    <mergeCell ref="W111:Y111"/>
    <mergeCell ref="AR111:BB111"/>
    <mergeCell ref="BC111:BJ111"/>
    <mergeCell ref="BK111:BM111"/>
    <mergeCell ref="D110:N110"/>
    <mergeCell ref="O110:V110"/>
    <mergeCell ref="W110:Y110"/>
    <mergeCell ref="AR110:BB110"/>
    <mergeCell ref="BC110:BJ110"/>
    <mergeCell ref="BK110:BM110"/>
    <mergeCell ref="D109:N109"/>
    <mergeCell ref="O109:V109"/>
    <mergeCell ref="W109:Y109"/>
    <mergeCell ref="AR109:BB109"/>
    <mergeCell ref="BC109:BJ109"/>
    <mergeCell ref="BK109:BM109"/>
    <mergeCell ref="D108:N108"/>
    <mergeCell ref="O108:V108"/>
    <mergeCell ref="W108:Y108"/>
    <mergeCell ref="AR108:BB108"/>
    <mergeCell ref="BC108:BJ108"/>
    <mergeCell ref="BK108:BM108"/>
    <mergeCell ref="D107:N107"/>
    <mergeCell ref="O107:V107"/>
    <mergeCell ref="W107:Y107"/>
    <mergeCell ref="AR107:BB107"/>
    <mergeCell ref="BC107:BJ107"/>
    <mergeCell ref="BK107:BM107"/>
    <mergeCell ref="D106:N106"/>
    <mergeCell ref="O106:V106"/>
    <mergeCell ref="W106:Y106"/>
    <mergeCell ref="AR106:BB106"/>
    <mergeCell ref="BC106:BJ106"/>
    <mergeCell ref="BK106:BM106"/>
    <mergeCell ref="D105:N105"/>
    <mergeCell ref="O105:V105"/>
    <mergeCell ref="W105:Y105"/>
    <mergeCell ref="AR105:BB105"/>
    <mergeCell ref="BC105:BJ105"/>
    <mergeCell ref="BK105:BM105"/>
    <mergeCell ref="D104:N104"/>
    <mergeCell ref="O104:V104"/>
    <mergeCell ref="W104:Y104"/>
    <mergeCell ref="AR104:BB104"/>
    <mergeCell ref="BC104:BJ104"/>
    <mergeCell ref="BK104:BM104"/>
    <mergeCell ref="D103:N103"/>
    <mergeCell ref="O103:V103"/>
    <mergeCell ref="W103:Y103"/>
    <mergeCell ref="AR103:BB103"/>
    <mergeCell ref="BC103:BJ103"/>
    <mergeCell ref="BK103:BM103"/>
    <mergeCell ref="D102:N102"/>
    <mergeCell ref="O102:V102"/>
    <mergeCell ref="W102:Y102"/>
    <mergeCell ref="AR102:BB102"/>
    <mergeCell ref="BC102:BJ102"/>
    <mergeCell ref="BK102:BM102"/>
    <mergeCell ref="D101:N101"/>
    <mergeCell ref="O101:V101"/>
    <mergeCell ref="W101:Y101"/>
    <mergeCell ref="AR101:BB101"/>
    <mergeCell ref="BC101:BJ101"/>
    <mergeCell ref="BK101:BM101"/>
    <mergeCell ref="D100:N100"/>
    <mergeCell ref="O100:V100"/>
    <mergeCell ref="W100:Y100"/>
    <mergeCell ref="AR100:BB100"/>
    <mergeCell ref="BC100:BJ100"/>
    <mergeCell ref="BK100:BM100"/>
    <mergeCell ref="D99:N99"/>
    <mergeCell ref="O99:V99"/>
    <mergeCell ref="W99:Y99"/>
    <mergeCell ref="AR99:BB99"/>
    <mergeCell ref="BC99:BJ99"/>
    <mergeCell ref="BK99:BM99"/>
    <mergeCell ref="D98:N98"/>
    <mergeCell ref="O98:V98"/>
    <mergeCell ref="W98:Y98"/>
    <mergeCell ref="AR98:BB98"/>
    <mergeCell ref="BC98:BJ98"/>
    <mergeCell ref="BK98:BM98"/>
    <mergeCell ref="D97:N97"/>
    <mergeCell ref="O97:V97"/>
    <mergeCell ref="W97:Y97"/>
    <mergeCell ref="AR97:BB97"/>
    <mergeCell ref="BC97:BJ97"/>
    <mergeCell ref="BK97:BM97"/>
    <mergeCell ref="D96:N96"/>
    <mergeCell ref="O96:V96"/>
    <mergeCell ref="W96:Y96"/>
    <mergeCell ref="AR96:BB96"/>
    <mergeCell ref="BC96:BJ96"/>
    <mergeCell ref="BK96:BM96"/>
    <mergeCell ref="D95:N95"/>
    <mergeCell ref="O95:V95"/>
    <mergeCell ref="W95:Y95"/>
    <mergeCell ref="AR95:BB95"/>
    <mergeCell ref="BC95:BJ95"/>
    <mergeCell ref="BK95:BM95"/>
    <mergeCell ref="D94:N94"/>
    <mergeCell ref="O94:V94"/>
    <mergeCell ref="W94:Y94"/>
    <mergeCell ref="AR94:BB94"/>
    <mergeCell ref="BC94:BJ94"/>
    <mergeCell ref="BK94:BM94"/>
    <mergeCell ref="D93:N93"/>
    <mergeCell ref="O93:V93"/>
    <mergeCell ref="W93:Y93"/>
    <mergeCell ref="AR93:BB93"/>
    <mergeCell ref="BC93:BJ93"/>
    <mergeCell ref="BK93:BM93"/>
    <mergeCell ref="D92:N92"/>
    <mergeCell ref="O92:V92"/>
    <mergeCell ref="W92:Y92"/>
    <mergeCell ref="AR92:BB92"/>
    <mergeCell ref="BC92:BJ92"/>
    <mergeCell ref="BK92:BM92"/>
    <mergeCell ref="D91:N91"/>
    <mergeCell ref="O91:V91"/>
    <mergeCell ref="W91:Y91"/>
    <mergeCell ref="AR91:BB91"/>
    <mergeCell ref="BC91:BJ91"/>
    <mergeCell ref="BK91:BM91"/>
    <mergeCell ref="D90:N90"/>
    <mergeCell ref="O90:V90"/>
    <mergeCell ref="W90:Y90"/>
    <mergeCell ref="AR90:BB90"/>
    <mergeCell ref="BC90:BJ90"/>
    <mergeCell ref="BK90:BM90"/>
    <mergeCell ref="D89:N89"/>
    <mergeCell ref="O89:V89"/>
    <mergeCell ref="W89:Y89"/>
    <mergeCell ref="AR89:BB89"/>
    <mergeCell ref="BC89:BJ89"/>
    <mergeCell ref="BK89:BM89"/>
    <mergeCell ref="D88:N88"/>
    <mergeCell ref="O88:V88"/>
    <mergeCell ref="W88:Y88"/>
    <mergeCell ref="AR88:BB88"/>
    <mergeCell ref="BC88:BJ88"/>
    <mergeCell ref="BK88:BM88"/>
    <mergeCell ref="D87:N87"/>
    <mergeCell ref="O87:V87"/>
    <mergeCell ref="W87:Y87"/>
    <mergeCell ref="AR87:BB87"/>
    <mergeCell ref="BC87:BJ87"/>
    <mergeCell ref="BK87:BM87"/>
    <mergeCell ref="D86:N86"/>
    <mergeCell ref="O86:V86"/>
    <mergeCell ref="W86:Y86"/>
    <mergeCell ref="AR86:BB86"/>
    <mergeCell ref="BC86:BJ86"/>
    <mergeCell ref="BK86:BM86"/>
    <mergeCell ref="D85:N85"/>
    <mergeCell ref="O85:V85"/>
    <mergeCell ref="W85:Y85"/>
    <mergeCell ref="AR85:BB85"/>
    <mergeCell ref="BC85:BJ85"/>
    <mergeCell ref="BK85:BM85"/>
    <mergeCell ref="D84:N84"/>
    <mergeCell ref="O84:V84"/>
    <mergeCell ref="W84:Y84"/>
    <mergeCell ref="AR84:BB84"/>
    <mergeCell ref="BC84:BJ84"/>
    <mergeCell ref="BK84:BM84"/>
    <mergeCell ref="D83:N83"/>
    <mergeCell ref="O83:V83"/>
    <mergeCell ref="W83:Y83"/>
    <mergeCell ref="AR83:BB83"/>
    <mergeCell ref="BC83:BJ83"/>
    <mergeCell ref="BK83:BM83"/>
    <mergeCell ref="D82:N82"/>
    <mergeCell ref="O82:V82"/>
    <mergeCell ref="W82:Y82"/>
    <mergeCell ref="AR82:BB82"/>
    <mergeCell ref="BC82:BJ82"/>
    <mergeCell ref="BK82:BM82"/>
    <mergeCell ref="D81:N81"/>
    <mergeCell ref="O81:V81"/>
    <mergeCell ref="W81:Y81"/>
    <mergeCell ref="AR81:BB81"/>
    <mergeCell ref="BC81:BJ81"/>
    <mergeCell ref="BK81:BM81"/>
    <mergeCell ref="D80:N80"/>
    <mergeCell ref="O80:V80"/>
    <mergeCell ref="W80:Y80"/>
    <mergeCell ref="AR80:BB80"/>
    <mergeCell ref="BC80:BJ80"/>
    <mergeCell ref="BK80:BM80"/>
    <mergeCell ref="D79:N79"/>
    <mergeCell ref="O79:V79"/>
    <mergeCell ref="W79:Y79"/>
    <mergeCell ref="AR79:BB79"/>
    <mergeCell ref="BC79:BJ79"/>
    <mergeCell ref="BK79:BM79"/>
    <mergeCell ref="D78:N78"/>
    <mergeCell ref="O78:V78"/>
    <mergeCell ref="W78:Y78"/>
    <mergeCell ref="AR78:BB78"/>
    <mergeCell ref="BC78:BJ78"/>
    <mergeCell ref="BK78:BM78"/>
    <mergeCell ref="D77:N77"/>
    <mergeCell ref="O77:V77"/>
    <mergeCell ref="W77:Y77"/>
    <mergeCell ref="AR77:BB77"/>
    <mergeCell ref="BC77:BJ77"/>
    <mergeCell ref="BK77:BM77"/>
    <mergeCell ref="D76:N76"/>
    <mergeCell ref="O76:V76"/>
    <mergeCell ref="W76:Y76"/>
    <mergeCell ref="AR76:BB76"/>
    <mergeCell ref="BC76:BJ76"/>
    <mergeCell ref="BK76:BM76"/>
    <mergeCell ref="D75:N75"/>
    <mergeCell ref="O75:V75"/>
    <mergeCell ref="W75:Y75"/>
    <mergeCell ref="AR75:BB75"/>
    <mergeCell ref="BC75:BJ75"/>
    <mergeCell ref="BK75:BM75"/>
    <mergeCell ref="D74:N74"/>
    <mergeCell ref="O74:V74"/>
    <mergeCell ref="W74:Y74"/>
    <mergeCell ref="AR74:BB74"/>
    <mergeCell ref="BC74:BJ74"/>
    <mergeCell ref="BK74:BM74"/>
    <mergeCell ref="D73:N73"/>
    <mergeCell ref="O73:V73"/>
    <mergeCell ref="W73:Y73"/>
    <mergeCell ref="AR73:BB73"/>
    <mergeCell ref="BC73:BJ73"/>
    <mergeCell ref="BK73:BM73"/>
    <mergeCell ref="D72:N72"/>
    <mergeCell ref="O72:V72"/>
    <mergeCell ref="W72:Y72"/>
    <mergeCell ref="AR72:BB72"/>
    <mergeCell ref="BC72:BJ72"/>
    <mergeCell ref="BK72:BM72"/>
    <mergeCell ref="D71:N71"/>
    <mergeCell ref="O71:V71"/>
    <mergeCell ref="W71:Y71"/>
    <mergeCell ref="AR71:BB71"/>
    <mergeCell ref="BC71:BJ71"/>
    <mergeCell ref="BK71:BM71"/>
    <mergeCell ref="D70:N70"/>
    <mergeCell ref="O70:V70"/>
    <mergeCell ref="W70:Y70"/>
    <mergeCell ref="AR70:BB70"/>
    <mergeCell ref="BC70:BJ70"/>
    <mergeCell ref="BK70:BM70"/>
    <mergeCell ref="D69:N69"/>
    <mergeCell ref="O69:V69"/>
    <mergeCell ref="W69:Y69"/>
    <mergeCell ref="AR69:BB69"/>
    <mergeCell ref="BC69:BJ69"/>
    <mergeCell ref="BK69:BM69"/>
    <mergeCell ref="D68:N68"/>
    <mergeCell ref="O68:V68"/>
    <mergeCell ref="W68:Y68"/>
    <mergeCell ref="AR68:BB68"/>
    <mergeCell ref="BC68:BJ68"/>
    <mergeCell ref="BK68:BM68"/>
    <mergeCell ref="D67:N67"/>
    <mergeCell ref="O67:V67"/>
    <mergeCell ref="W67:Y67"/>
    <mergeCell ref="AR67:BB67"/>
    <mergeCell ref="BC67:BJ67"/>
    <mergeCell ref="BK67:BM67"/>
    <mergeCell ref="D66:N66"/>
    <mergeCell ref="O66:V66"/>
    <mergeCell ref="W66:Y66"/>
    <mergeCell ref="AR66:BB66"/>
    <mergeCell ref="BC66:BJ66"/>
    <mergeCell ref="BK66:BM66"/>
    <mergeCell ref="D65:N65"/>
    <mergeCell ref="O65:V65"/>
    <mergeCell ref="W65:Y65"/>
    <mergeCell ref="AR65:BB65"/>
    <mergeCell ref="BC65:BJ65"/>
    <mergeCell ref="BK65:BM65"/>
    <mergeCell ref="D64:N64"/>
    <mergeCell ref="O64:V64"/>
    <mergeCell ref="W64:Y64"/>
    <mergeCell ref="AR64:BB64"/>
    <mergeCell ref="BC64:BJ64"/>
    <mergeCell ref="BK64:BM64"/>
    <mergeCell ref="D63:N63"/>
    <mergeCell ref="O63:V63"/>
    <mergeCell ref="W63:Y63"/>
    <mergeCell ref="AR63:BB63"/>
    <mergeCell ref="BC63:BJ63"/>
    <mergeCell ref="BK63:BM63"/>
    <mergeCell ref="D62:N62"/>
    <mergeCell ref="O62:V62"/>
    <mergeCell ref="W62:Y62"/>
    <mergeCell ref="AR62:BB62"/>
    <mergeCell ref="BC62:BJ62"/>
    <mergeCell ref="BK62:BM62"/>
    <mergeCell ref="D61:N61"/>
    <mergeCell ref="O61:V61"/>
    <mergeCell ref="W61:Y61"/>
    <mergeCell ref="AR61:BB61"/>
    <mergeCell ref="BC61:BJ61"/>
    <mergeCell ref="BK61:BM61"/>
    <mergeCell ref="D60:N60"/>
    <mergeCell ref="O60:V60"/>
    <mergeCell ref="W60:Y60"/>
    <mergeCell ref="AR60:BB60"/>
    <mergeCell ref="BC60:BJ60"/>
    <mergeCell ref="BK60:BM60"/>
    <mergeCell ref="D59:N59"/>
    <mergeCell ref="O59:V59"/>
    <mergeCell ref="W59:Y59"/>
    <mergeCell ref="AR59:BB59"/>
    <mergeCell ref="BC59:BJ59"/>
    <mergeCell ref="BK59:BM59"/>
    <mergeCell ref="D58:N58"/>
    <mergeCell ref="O58:V58"/>
    <mergeCell ref="W58:Y58"/>
    <mergeCell ref="AR58:BB58"/>
    <mergeCell ref="BC58:BJ58"/>
    <mergeCell ref="BK58:BM58"/>
    <mergeCell ref="D57:N57"/>
    <mergeCell ref="O57:V57"/>
    <mergeCell ref="W57:Y57"/>
    <mergeCell ref="AR57:BB57"/>
    <mergeCell ref="BC57:BJ57"/>
    <mergeCell ref="BK57:BM57"/>
    <mergeCell ref="D56:N56"/>
    <mergeCell ref="O56:V56"/>
    <mergeCell ref="W56:Y56"/>
    <mergeCell ref="AR56:BB56"/>
    <mergeCell ref="BC56:BJ56"/>
    <mergeCell ref="BK56:BM56"/>
    <mergeCell ref="D55:N55"/>
    <mergeCell ref="O55:V55"/>
    <mergeCell ref="W55:Y55"/>
    <mergeCell ref="AR55:BB55"/>
    <mergeCell ref="BC55:BJ55"/>
    <mergeCell ref="BK55:BM55"/>
    <mergeCell ref="D54:N54"/>
    <mergeCell ref="O54:V54"/>
    <mergeCell ref="W54:Y54"/>
    <mergeCell ref="AR54:BB54"/>
    <mergeCell ref="BC54:BJ54"/>
    <mergeCell ref="BK54:BM54"/>
    <mergeCell ref="D53:N53"/>
    <mergeCell ref="O53:V53"/>
    <mergeCell ref="W53:Y53"/>
    <mergeCell ref="AR53:BB53"/>
    <mergeCell ref="BC53:BJ53"/>
    <mergeCell ref="BK53:BM53"/>
    <mergeCell ref="D52:N52"/>
    <mergeCell ref="O52:V52"/>
    <mergeCell ref="W52:Y52"/>
    <mergeCell ref="AR52:BB52"/>
    <mergeCell ref="BC52:BJ52"/>
    <mergeCell ref="BK52:BM52"/>
    <mergeCell ref="D51:N51"/>
    <mergeCell ref="O51:V51"/>
    <mergeCell ref="W51:Y51"/>
    <mergeCell ref="AR51:BB51"/>
    <mergeCell ref="BC51:BJ51"/>
    <mergeCell ref="BK51:BM51"/>
    <mergeCell ref="D50:N50"/>
    <mergeCell ref="O50:V50"/>
    <mergeCell ref="W50:Y50"/>
    <mergeCell ref="AR50:BB50"/>
    <mergeCell ref="BC50:BJ50"/>
    <mergeCell ref="BK50:BM50"/>
    <mergeCell ref="D49:N49"/>
    <mergeCell ref="O49:V49"/>
    <mergeCell ref="W49:Y49"/>
    <mergeCell ref="AR49:BB49"/>
    <mergeCell ref="BC49:BJ49"/>
    <mergeCell ref="BK49:BM49"/>
    <mergeCell ref="D48:N48"/>
    <mergeCell ref="O48:V48"/>
    <mergeCell ref="W48:Y48"/>
    <mergeCell ref="AR48:BB48"/>
    <mergeCell ref="BC48:BJ48"/>
    <mergeCell ref="BK48:BM48"/>
    <mergeCell ref="D47:N47"/>
    <mergeCell ref="O47:V47"/>
    <mergeCell ref="W47:Y47"/>
    <mergeCell ref="AR47:BB47"/>
    <mergeCell ref="BC47:BJ47"/>
    <mergeCell ref="BK47:BM47"/>
    <mergeCell ref="D46:N46"/>
    <mergeCell ref="O46:V46"/>
    <mergeCell ref="W46:Y46"/>
    <mergeCell ref="AR46:BB46"/>
    <mergeCell ref="BC46:BJ46"/>
    <mergeCell ref="BK46:BM46"/>
    <mergeCell ref="D45:N45"/>
    <mergeCell ref="O45:V45"/>
    <mergeCell ref="W45:Y45"/>
    <mergeCell ref="AR45:BB45"/>
    <mergeCell ref="BC45:BJ45"/>
    <mergeCell ref="BK45:BM45"/>
    <mergeCell ref="D44:N44"/>
    <mergeCell ref="O44:V44"/>
    <mergeCell ref="W44:Y44"/>
    <mergeCell ref="AR44:BB44"/>
    <mergeCell ref="BC44:BJ44"/>
    <mergeCell ref="BK44:BM44"/>
    <mergeCell ref="D43:N43"/>
    <mergeCell ref="O43:V43"/>
    <mergeCell ref="W43:Y43"/>
    <mergeCell ref="AR43:BB43"/>
    <mergeCell ref="BC43:BJ43"/>
    <mergeCell ref="BK43:BM43"/>
    <mergeCell ref="D42:N42"/>
    <mergeCell ref="O42:V42"/>
    <mergeCell ref="W42:Y42"/>
    <mergeCell ref="AR42:BB42"/>
    <mergeCell ref="BC42:BJ42"/>
    <mergeCell ref="BK42:BM42"/>
    <mergeCell ref="D41:N41"/>
    <mergeCell ref="O41:V41"/>
    <mergeCell ref="W41:Y41"/>
    <mergeCell ref="AR41:BB41"/>
    <mergeCell ref="BC41:BJ41"/>
    <mergeCell ref="BK41:BM41"/>
    <mergeCell ref="D40:N40"/>
    <mergeCell ref="O40:V40"/>
    <mergeCell ref="W40:Y40"/>
    <mergeCell ref="AR40:BB40"/>
    <mergeCell ref="BC40:BJ40"/>
    <mergeCell ref="BK40:BM40"/>
    <mergeCell ref="D39:N39"/>
    <mergeCell ref="O39:V39"/>
    <mergeCell ref="W39:Y39"/>
    <mergeCell ref="AR39:BB39"/>
    <mergeCell ref="BC39:BJ39"/>
    <mergeCell ref="BK39:BM39"/>
    <mergeCell ref="D38:N38"/>
    <mergeCell ref="O38:V38"/>
    <mergeCell ref="W38:Y38"/>
    <mergeCell ref="AR38:BB38"/>
    <mergeCell ref="BC38:BJ38"/>
    <mergeCell ref="BK38:BM38"/>
    <mergeCell ref="D37:N37"/>
    <mergeCell ref="O37:V37"/>
    <mergeCell ref="W37:Y37"/>
    <mergeCell ref="AR37:BB37"/>
    <mergeCell ref="BC37:BJ37"/>
    <mergeCell ref="BK37:BM37"/>
    <mergeCell ref="D36:N36"/>
    <mergeCell ref="O36:V36"/>
    <mergeCell ref="W36:Y36"/>
    <mergeCell ref="AR36:BB36"/>
    <mergeCell ref="BC36:BJ36"/>
    <mergeCell ref="BK36:BM36"/>
    <mergeCell ref="D35:N35"/>
    <mergeCell ref="O35:V35"/>
    <mergeCell ref="W35:Y35"/>
    <mergeCell ref="AR35:BB35"/>
    <mergeCell ref="BC35:BJ35"/>
    <mergeCell ref="BK35:BM35"/>
    <mergeCell ref="D34:N34"/>
    <mergeCell ref="O34:V34"/>
    <mergeCell ref="W34:Y34"/>
    <mergeCell ref="AR34:BB34"/>
    <mergeCell ref="BC34:BJ34"/>
    <mergeCell ref="BK34:BM34"/>
    <mergeCell ref="D33:N33"/>
    <mergeCell ref="O33:V33"/>
    <mergeCell ref="W33:Y33"/>
    <mergeCell ref="AR33:BB33"/>
    <mergeCell ref="BC33:BJ33"/>
    <mergeCell ref="BK33:BM33"/>
    <mergeCell ref="D32:N32"/>
    <mergeCell ref="O32:V32"/>
    <mergeCell ref="W32:Y32"/>
    <mergeCell ref="AR32:BB32"/>
    <mergeCell ref="BC32:BJ32"/>
    <mergeCell ref="BK32:BM32"/>
    <mergeCell ref="D31:N31"/>
    <mergeCell ref="O31:V31"/>
    <mergeCell ref="W31:Y31"/>
    <mergeCell ref="AR31:BB31"/>
    <mergeCell ref="BC31:BJ31"/>
    <mergeCell ref="BK31:BM31"/>
    <mergeCell ref="D30:N30"/>
    <mergeCell ref="O30:V30"/>
    <mergeCell ref="W30:Y30"/>
    <mergeCell ref="AR30:BB30"/>
    <mergeCell ref="BC30:BJ30"/>
    <mergeCell ref="BK30:BM30"/>
    <mergeCell ref="D29:N29"/>
    <mergeCell ref="O29:V29"/>
    <mergeCell ref="W29:Y29"/>
    <mergeCell ref="AR29:BB29"/>
    <mergeCell ref="BC29:BJ29"/>
    <mergeCell ref="BK29:BM29"/>
    <mergeCell ref="D28:N28"/>
    <mergeCell ref="O28:V28"/>
    <mergeCell ref="W28:Y28"/>
    <mergeCell ref="AR28:BB28"/>
    <mergeCell ref="BC28:BJ28"/>
    <mergeCell ref="BK28:BM28"/>
    <mergeCell ref="D27:N27"/>
    <mergeCell ref="O27:V27"/>
    <mergeCell ref="W27:Y27"/>
    <mergeCell ref="AR27:BB27"/>
    <mergeCell ref="BC27:BJ27"/>
    <mergeCell ref="BK27:BM27"/>
    <mergeCell ref="D26:N26"/>
    <mergeCell ref="O26:V26"/>
    <mergeCell ref="W26:Y26"/>
    <mergeCell ref="AR26:BB26"/>
    <mergeCell ref="BC26:BJ26"/>
    <mergeCell ref="BK26:BM26"/>
    <mergeCell ref="D25:N25"/>
    <mergeCell ref="O25:V25"/>
    <mergeCell ref="W25:Y25"/>
    <mergeCell ref="AR25:BB25"/>
    <mergeCell ref="BC25:BJ25"/>
    <mergeCell ref="BK25:BM25"/>
    <mergeCell ref="D24:N24"/>
    <mergeCell ref="O24:V24"/>
    <mergeCell ref="W24:Y24"/>
    <mergeCell ref="AR24:BB24"/>
    <mergeCell ref="BC24:BJ24"/>
    <mergeCell ref="BK24:BM24"/>
    <mergeCell ref="D23:N23"/>
    <mergeCell ref="O23:V23"/>
    <mergeCell ref="W23:Y23"/>
    <mergeCell ref="AR23:BB23"/>
    <mergeCell ref="BC23:BJ23"/>
    <mergeCell ref="BK23:BM23"/>
    <mergeCell ref="D22:N22"/>
    <mergeCell ref="O22:V22"/>
    <mergeCell ref="W22:Y22"/>
    <mergeCell ref="AR22:BB22"/>
    <mergeCell ref="BC22:BJ22"/>
    <mergeCell ref="BK22:BM22"/>
    <mergeCell ref="D21:N21"/>
    <mergeCell ref="O21:V21"/>
    <mergeCell ref="W21:Y21"/>
    <mergeCell ref="AR21:BB21"/>
    <mergeCell ref="BC21:BJ21"/>
    <mergeCell ref="BK21:BM21"/>
    <mergeCell ref="D20:N20"/>
    <mergeCell ref="O20:V20"/>
    <mergeCell ref="W20:Y20"/>
    <mergeCell ref="AR20:BB20"/>
    <mergeCell ref="BC20:BJ20"/>
    <mergeCell ref="BK20:BM20"/>
    <mergeCell ref="D19:N19"/>
    <mergeCell ref="O19:V19"/>
    <mergeCell ref="W19:Y19"/>
    <mergeCell ref="AR19:BB19"/>
    <mergeCell ref="BC19:BJ19"/>
    <mergeCell ref="BK19:BM19"/>
    <mergeCell ref="O16:V16"/>
    <mergeCell ref="W16:Y16"/>
    <mergeCell ref="AR16:BB16"/>
    <mergeCell ref="BC16:BJ16"/>
    <mergeCell ref="BK16:BM16"/>
    <mergeCell ref="AU14:AX14"/>
    <mergeCell ref="BC14:BJ14"/>
    <mergeCell ref="BK14:BM14"/>
    <mergeCell ref="D18:N18"/>
    <mergeCell ref="O18:V18"/>
    <mergeCell ref="W18:Y18"/>
    <mergeCell ref="AR18:BB18"/>
    <mergeCell ref="BC18:BJ18"/>
    <mergeCell ref="BK18:BM18"/>
    <mergeCell ref="D17:N17"/>
    <mergeCell ref="O17:V17"/>
    <mergeCell ref="W17:Y17"/>
    <mergeCell ref="AR17:BB17"/>
    <mergeCell ref="BC17:BJ17"/>
    <mergeCell ref="BK17:BM17"/>
    <mergeCell ref="CB11:CB13"/>
    <mergeCell ref="CC11:CC13"/>
    <mergeCell ref="B14:C114"/>
    <mergeCell ref="G14:J14"/>
    <mergeCell ref="O14:V14"/>
    <mergeCell ref="W14:Y14"/>
    <mergeCell ref="Z14:AI114"/>
    <mergeCell ref="AP14:AQ114"/>
    <mergeCell ref="D11:M13"/>
    <mergeCell ref="P11:U13"/>
    <mergeCell ref="W11:Y13"/>
    <mergeCell ref="Z11:AI13"/>
    <mergeCell ref="AR11:BA13"/>
    <mergeCell ref="BD11:BI13"/>
    <mergeCell ref="BN14:BW114"/>
    <mergeCell ref="D15:N15"/>
    <mergeCell ref="O15:V15"/>
    <mergeCell ref="W15:Y15"/>
    <mergeCell ref="AR15:BB15"/>
    <mergeCell ref="BC15:BJ15"/>
    <mergeCell ref="BK15:BM15"/>
    <mergeCell ref="BK11:BM13"/>
    <mergeCell ref="BN11:BW13"/>
    <mergeCell ref="D16:N16"/>
  </mergeCells>
  <phoneticPr fontId="5"/>
  <dataValidations count="3">
    <dataValidation type="textLength" imeMode="hiragana" operator="greaterThanOrEqual" allowBlank="1" showInputMessage="1" showErrorMessage="1" sqref="D15:N114 AR15:BB114" xr:uid="{00000000-0002-0000-1300-000000000000}">
      <formula1>1</formula1>
    </dataValidation>
    <dataValidation type="whole" operator="greaterThan" allowBlank="1" showInputMessage="1" showErrorMessage="1" error="0より大きい数値を整数で入力してください。" sqref="BC14:BJ114 O14:V114" xr:uid="{00000000-0002-0000-1300-000001000000}">
      <formula1>0</formula1>
    </dataValidation>
    <dataValidation type="custom" allowBlank="1" showInputMessage="1" showErrorMessage="1" error="0.001~100の範囲で小数点第３位までの数値を入力してください。" sqref="BK14:BM114 W14:Y114" xr:uid="{00000000-0002-0000-1300-000002000000}">
      <formula1>AND(AND(W14*1000=INT(W14*1000)),(W14&gt;0),(W14&lt;=100))</formula1>
    </dataValidation>
  </dataValidations>
  <pageMargins left="0.59055118110236227" right="0.59055118110236227" top="0.59055118110236227" bottom="0.59055118110236227" header="0" footer="0"/>
  <pageSetup paperSize="9" scale="54" firstPageNumber="21" orientation="landscape" cellComments="asDisplayed" r:id="rId1"/>
  <headerFooter alignWithMargins="0"/>
  <drawing r:id="rId2"/>
  <legacyDrawing r:id="rId3"/>
  <controls>
    <mc:AlternateContent xmlns:mc="http://schemas.openxmlformats.org/markup-compatibility/2006">
      <mc:Choice Requires="x14">
        <control shapeId="16385" r:id="rId4" name="Label1">
          <controlPr defaultSize="0" print="0" autoLine="0" r:id="rId5">
            <anchor moveWithCells="1">
              <from>
                <xdr:col>51</xdr:col>
                <xdr:colOff>133350</xdr:colOff>
                <xdr:row>3</xdr:row>
                <xdr:rowOff>114300</xdr:rowOff>
              </from>
              <to>
                <xdr:col>57</xdr:col>
                <xdr:colOff>0</xdr:colOff>
                <xdr:row>4</xdr:row>
                <xdr:rowOff>142875</xdr:rowOff>
              </to>
            </anchor>
          </controlPr>
        </control>
      </mc:Choice>
      <mc:Fallback>
        <control shapeId="16385" r:id="rId4" name="Label1"/>
      </mc:Fallback>
    </mc:AlternateContent>
    <mc:AlternateContent xmlns:mc="http://schemas.openxmlformats.org/markup-compatibility/2006">
      <mc:Choice Requires="x14">
        <control shapeId="16386" r:id="rId6" name="txt_hyouji">
          <controlPr locked="0" defaultSize="0" print="0" autoLine="0" r:id="rId7">
            <anchor moveWithCells="1">
              <from>
                <xdr:col>51</xdr:col>
                <xdr:colOff>133350</xdr:colOff>
                <xdr:row>4</xdr:row>
                <xdr:rowOff>142875</xdr:rowOff>
              </from>
              <to>
                <xdr:col>57</xdr:col>
                <xdr:colOff>0</xdr:colOff>
                <xdr:row>5</xdr:row>
                <xdr:rowOff>171450</xdr:rowOff>
              </to>
            </anchor>
          </controlPr>
        </control>
      </mc:Choice>
      <mc:Fallback>
        <control shapeId="16386" r:id="rId6" name="txt_hyouji"/>
      </mc:Fallback>
    </mc:AlternateContent>
    <mc:AlternateContent xmlns:mc="http://schemas.openxmlformats.org/markup-compatibility/2006">
      <mc:Choice Requires="x14">
        <control shapeId="16387" r:id="rId8" name="btnKoushin1">
          <controlPr defaultSize="0" print="0" autoLine="0" r:id="rId9">
            <anchor moveWithCells="1">
              <from>
                <xdr:col>57</xdr:col>
                <xdr:colOff>104775</xdr:colOff>
                <xdr:row>3</xdr:row>
                <xdr:rowOff>114300</xdr:rowOff>
              </from>
              <to>
                <xdr:col>63</xdr:col>
                <xdr:colOff>171450</xdr:colOff>
                <xdr:row>5</xdr:row>
                <xdr:rowOff>171450</xdr:rowOff>
              </to>
            </anchor>
          </controlPr>
        </control>
      </mc:Choice>
      <mc:Fallback>
        <control shapeId="16387" r:id="rId8" name="btnKoushin1"/>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2">
    <outlinePr summaryBelow="0"/>
    <pageSetUpPr fitToPage="1"/>
  </sheetPr>
  <dimension ref="A1:BB251"/>
  <sheetViews>
    <sheetView showGridLines="0" zoomScale="80" zoomScaleNormal="80" zoomScaleSheetLayoutView="80" workbookViewId="0">
      <selection activeCell="D27" sqref="D27"/>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0" style="2" customWidth="1"/>
    <col min="8" max="8" width="8.625" style="2" customWidth="1"/>
    <col min="9" max="9" width="8.625" style="2" hidden="1" customWidth="1"/>
    <col min="10" max="10" width="8.875" style="2" customWidth="1"/>
    <col min="11" max="11" width="8.875" style="2" customWidth="1" outlineLevel="1"/>
    <col min="12" max="16" width="15" style="2" customWidth="1" outlineLevel="1"/>
    <col min="17" max="17" width="2.625" style="2" customWidth="1" outlineLevel="1"/>
    <col min="18" max="18" width="4.75" style="2" customWidth="1" outlineLevel="1"/>
    <col min="19" max="21" width="15" style="2" customWidth="1" outlineLevel="1"/>
    <col min="22" max="22" width="10" style="2" customWidth="1" outlineLevel="1"/>
    <col min="23" max="23" width="8.625" style="2" bestFit="1" customWidth="1" outlineLevel="1"/>
    <col min="24" max="24" width="5.125" style="173" customWidth="1" outlineLevel="1"/>
    <col min="25" max="29" width="15" style="2" customWidth="1" outlineLevel="1"/>
    <col min="30" max="30" width="2.375" style="2" customWidth="1" outlineLevel="1"/>
    <col min="31" max="33" width="2.625" style="2" customWidth="1"/>
    <col min="34" max="34" width="25" style="2" customWidth="1"/>
    <col min="35" max="37" width="15" style="2" customWidth="1"/>
    <col min="38" max="38" width="10" style="2" customWidth="1"/>
    <col min="39" max="39" width="8.625" style="2" bestFit="1" customWidth="1"/>
    <col min="40" max="40" width="5.125" style="173"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73" customWidth="1"/>
    <col min="54" max="57" width="15" style="2" customWidth="1"/>
    <col min="58" max="16384" width="2.625" style="2"/>
  </cols>
  <sheetData>
    <row r="1" spans="1:30" ht="14.25" customHeight="1">
      <c r="L1" s="30" t="s">
        <v>639</v>
      </c>
      <c r="Y1" s="30"/>
      <c r="AD1" s="813"/>
    </row>
    <row r="2" spans="1:30" s="30" customFormat="1" ht="18" customHeight="1">
      <c r="A2" s="152" t="s">
        <v>640</v>
      </c>
      <c r="C2" s="20"/>
      <c r="H2" s="2"/>
      <c r="I2" s="2"/>
      <c r="J2" s="2"/>
      <c r="K2" s="2"/>
      <c r="AD2" s="814"/>
    </row>
    <row r="3" spans="1:30" ht="14.25" customHeight="1">
      <c r="A3" s="128"/>
      <c r="AD3" s="813"/>
    </row>
    <row r="4" spans="1:30" ht="14.25" customHeight="1">
      <c r="A4" s="108"/>
      <c r="AD4" s="813"/>
    </row>
    <row r="5" spans="1:30" ht="14.25" customHeight="1">
      <c r="B5" s="815"/>
      <c r="C5" s="816"/>
      <c r="D5" s="607"/>
      <c r="AD5" s="813"/>
    </row>
    <row r="6" spans="1:30" ht="14.25" customHeight="1">
      <c r="B6" s="815"/>
      <c r="C6" s="816"/>
      <c r="D6" s="607"/>
      <c r="AD6" s="813"/>
    </row>
    <row r="7" spans="1:30" ht="14.25" customHeight="1">
      <c r="A7" s="108"/>
      <c r="AD7" s="813"/>
    </row>
    <row r="8" spans="1:30" ht="14.25" customHeight="1">
      <c r="A8" s="108"/>
      <c r="AD8" s="813"/>
    </row>
    <row r="9" spans="1:30" ht="14.25" customHeight="1">
      <c r="A9" s="108"/>
      <c r="AD9" s="813"/>
    </row>
    <row r="10" spans="1:30" ht="14.25" customHeight="1">
      <c r="A10" s="108"/>
      <c r="AD10" s="813"/>
    </row>
    <row r="11" spans="1:30" ht="14.25" customHeight="1">
      <c r="A11" s="108"/>
      <c r="AD11" s="813"/>
    </row>
    <row r="12" spans="1:30" ht="14.25" customHeight="1">
      <c r="A12" s="108"/>
      <c r="AD12" s="46"/>
    </row>
    <row r="13" spans="1:30" ht="14.25" customHeight="1">
      <c r="A13" s="108"/>
    </row>
    <row r="14" spans="1:30" ht="14.25" customHeight="1">
      <c r="A14" s="108"/>
    </row>
    <row r="15" spans="1:30" ht="14.25" customHeight="1">
      <c r="A15" s="108"/>
    </row>
    <row r="16" spans="1:30" ht="14.25" customHeight="1">
      <c r="A16" s="108"/>
    </row>
    <row r="17" spans="1:53" ht="14.25" customHeight="1">
      <c r="A17" s="108"/>
    </row>
    <row r="18" spans="1:53" ht="18" customHeight="1">
      <c r="B18" s="108" t="s">
        <v>641</v>
      </c>
      <c r="S18" s="229"/>
      <c r="X18" s="2"/>
    </row>
    <row r="19" spans="1:53" ht="18" customHeight="1">
      <c r="C19" s="748" t="s">
        <v>642</v>
      </c>
      <c r="H19" s="607"/>
      <c r="R19" s="2053"/>
      <c r="S19" s="817" t="s">
        <v>643</v>
      </c>
      <c r="X19" s="2"/>
    </row>
    <row r="20" spans="1:53" s="30" customFormat="1" ht="18" customHeight="1">
      <c r="B20" s="815"/>
      <c r="C20" s="20"/>
      <c r="D20" s="606" t="s">
        <v>644</v>
      </c>
      <c r="H20" s="607"/>
      <c r="I20" s="607"/>
      <c r="J20" s="2"/>
      <c r="K20" s="2"/>
      <c r="L20" s="146" t="s">
        <v>645</v>
      </c>
      <c r="R20" s="2053"/>
      <c r="S20" s="2058" t="s">
        <v>646</v>
      </c>
      <c r="T20" s="2"/>
      <c r="U20" s="2"/>
      <c r="X20" s="2"/>
      <c r="Y20" s="2"/>
      <c r="Z20" s="2"/>
      <c r="AA20" s="2"/>
      <c r="AB20" s="2"/>
      <c r="AC20" s="2"/>
    </row>
    <row r="21" spans="1:53" s="30" customFormat="1" ht="18" customHeight="1">
      <c r="B21" s="815"/>
      <c r="C21" s="20"/>
      <c r="D21" s="606" t="s">
        <v>647</v>
      </c>
      <c r="H21" s="607"/>
      <c r="I21" s="607"/>
      <c r="J21" s="2"/>
      <c r="K21" s="2"/>
      <c r="L21" s="146"/>
      <c r="R21" s="2053"/>
      <c r="S21" s="2059"/>
      <c r="T21" s="2"/>
      <c r="U21" s="2"/>
      <c r="X21" s="2"/>
      <c r="Y21" s="2"/>
      <c r="Z21" s="2"/>
      <c r="AA21" s="2"/>
      <c r="AB21" s="2"/>
      <c r="AC21" s="2"/>
    </row>
    <row r="22" spans="1:53" s="30" customFormat="1" ht="18" hidden="1" customHeight="1">
      <c r="B22" s="815"/>
      <c r="C22" s="20"/>
      <c r="D22" s="606"/>
      <c r="H22" s="607"/>
      <c r="I22" s="607"/>
      <c r="J22" s="2"/>
      <c r="K22" s="2"/>
      <c r="L22" s="146"/>
      <c r="R22" s="2053"/>
      <c r="S22" s="2059"/>
      <c r="T22" s="2"/>
      <c r="U22" s="2"/>
      <c r="X22" s="2"/>
      <c r="Y22" s="2"/>
      <c r="Z22" s="2"/>
      <c r="AA22" s="2"/>
      <c r="AB22" s="2"/>
      <c r="AC22" s="2"/>
    </row>
    <row r="23" spans="1:53" s="30" customFormat="1" ht="18.75" customHeight="1" thickBot="1">
      <c r="B23" s="815"/>
      <c r="H23" s="607"/>
      <c r="I23" s="607"/>
      <c r="J23" s="2"/>
      <c r="K23" s="2"/>
      <c r="L23" s="2061" t="s">
        <v>643</v>
      </c>
      <c r="M23" s="2061"/>
      <c r="N23" s="2061"/>
      <c r="O23" s="2061"/>
      <c r="P23" s="2061"/>
      <c r="R23" s="2053"/>
      <c r="S23" s="2060"/>
      <c r="T23" s="2"/>
      <c r="U23" s="2"/>
      <c r="X23" s="2"/>
      <c r="Y23" s="2"/>
      <c r="Z23" s="2"/>
      <c r="AA23" s="2"/>
      <c r="AB23" s="2"/>
      <c r="AC23" s="2"/>
      <c r="AD23" s="813"/>
    </row>
    <row r="24" spans="1:53" ht="30" customHeight="1">
      <c r="C24" s="2064" t="s">
        <v>648</v>
      </c>
      <c r="D24" s="1237" t="s">
        <v>649</v>
      </c>
      <c r="E24" s="1933" t="s">
        <v>650</v>
      </c>
      <c r="F24" s="1933" t="s">
        <v>651</v>
      </c>
      <c r="G24" s="1175" t="s">
        <v>290</v>
      </c>
      <c r="H24" s="1861" t="s">
        <v>652</v>
      </c>
      <c r="I24" s="2055" t="s">
        <v>653</v>
      </c>
      <c r="L24" s="2059" t="s">
        <v>654</v>
      </c>
      <c r="M24" s="2059" t="s">
        <v>655</v>
      </c>
      <c r="N24" s="2062" t="s">
        <v>656</v>
      </c>
      <c r="O24" s="2059" t="s">
        <v>657</v>
      </c>
      <c r="P24" s="2059" t="s">
        <v>658</v>
      </c>
      <c r="R24" s="622" t="s">
        <v>295</v>
      </c>
      <c r="S24" s="818">
        <f>SUM(S25:S26)</f>
        <v>0</v>
      </c>
      <c r="X24" s="2"/>
      <c r="AD24" s="813"/>
      <c r="AN24" s="2"/>
      <c r="BA24" s="2"/>
    </row>
    <row r="25" spans="1:53" ht="30" customHeight="1">
      <c r="C25" s="2065"/>
      <c r="D25" s="1406"/>
      <c r="E25" s="1963"/>
      <c r="F25" s="1963"/>
      <c r="G25" s="1543"/>
      <c r="H25" s="1862"/>
      <c r="I25" s="2056"/>
      <c r="L25" s="2060"/>
      <c r="M25" s="2060"/>
      <c r="N25" s="2063"/>
      <c r="O25" s="2060"/>
      <c r="P25" s="2060"/>
      <c r="R25" s="622" t="s">
        <v>659</v>
      </c>
      <c r="S25" s="819">
        <f>SUMIF(H27:H176,"[1]田",M27:M176)+
SUMIF(【11】土地_２借入地_米・さとうきび以外!I25:I174,"[1]田",【11】土地_２借入地_米・さとうきび以外!N25:N174)</f>
        <v>0</v>
      </c>
      <c r="X25" s="2"/>
      <c r="AD25" s="813"/>
    </row>
    <row r="26" spans="1:53" ht="30" customHeight="1" thickBot="1">
      <c r="C26" s="2066"/>
      <c r="D26" s="1406"/>
      <c r="E26" s="1963"/>
      <c r="F26" s="1454"/>
      <c r="G26" s="2026"/>
      <c r="H26" s="2054"/>
      <c r="I26" s="2057"/>
      <c r="L26" s="820">
        <f>SUM(L27:L176)</f>
        <v>0</v>
      </c>
      <c r="M26" s="820">
        <f>SUM(M27:M176)</f>
        <v>0</v>
      </c>
      <c r="N26" s="821"/>
      <c r="O26" s="822">
        <f>SUM(O27:O176)</f>
        <v>0</v>
      </c>
      <c r="P26" s="822">
        <f>SUM(P27:P176)</f>
        <v>0</v>
      </c>
      <c r="R26" s="622" t="s">
        <v>660</v>
      </c>
      <c r="S26" s="819">
        <f>SUMIF(H27:H176,"[2]畑",M27:M176)+
SUMIF(【11】土地_２借入地_米・さとうきび以外!I25:I174,"[2]畑",【11】土地_２借入地_米・さとうきび以外!N25:N174)</f>
        <v>0</v>
      </c>
      <c r="X26" s="2"/>
      <c r="AD26" s="813"/>
    </row>
    <row r="27" spans="1:53" ht="30" customHeight="1" thickTop="1">
      <c r="C27" s="823">
        <v>1</v>
      </c>
      <c r="D27" s="824"/>
      <c r="E27" s="825"/>
      <c r="F27" s="825"/>
      <c r="G27" s="1097"/>
      <c r="H27" s="826"/>
      <c r="I27" s="827"/>
      <c r="L27" s="818">
        <f>IF($G27&gt;0,E27,)</f>
        <v>0</v>
      </c>
      <c r="M27" s="818">
        <f>IF($G27&gt;0,F27,)</f>
        <v>0</v>
      </c>
      <c r="N27" s="828"/>
      <c r="O27" s="829">
        <f>ROUND(L27*N27/10,)</f>
        <v>0</v>
      </c>
      <c r="P27" s="830">
        <f>ROUND(O27*G27%,)</f>
        <v>0</v>
      </c>
      <c r="AD27" s="813"/>
    </row>
    <row r="28" spans="1:53" ht="30" customHeight="1">
      <c r="C28" s="831">
        <v>2</v>
      </c>
      <c r="D28" s="832"/>
      <c r="E28" s="833"/>
      <c r="F28" s="833"/>
      <c r="G28" s="1098"/>
      <c r="H28" s="834"/>
      <c r="I28" s="835"/>
      <c r="L28" s="819">
        <f t="shared" ref="L28:M155" si="0">IF($G28&gt;0,E28,)</f>
        <v>0</v>
      </c>
      <c r="M28" s="836">
        <f t="shared" si="0"/>
        <v>0</v>
      </c>
      <c r="N28" s="837"/>
      <c r="O28" s="838">
        <f t="shared" ref="O28:O176" si="1">ROUND(L28*N28/10,)</f>
        <v>0</v>
      </c>
      <c r="P28" s="830">
        <f t="shared" ref="P28:P91" si="2">ROUND(O28*G28%,)</f>
        <v>0</v>
      </c>
      <c r="AD28" s="813"/>
    </row>
    <row r="29" spans="1:53" ht="30" customHeight="1">
      <c r="C29" s="831">
        <v>3</v>
      </c>
      <c r="D29" s="832"/>
      <c r="E29" s="833"/>
      <c r="F29" s="833"/>
      <c r="G29" s="1098"/>
      <c r="H29" s="834"/>
      <c r="I29" s="835"/>
      <c r="L29" s="819">
        <f t="shared" si="0"/>
        <v>0</v>
      </c>
      <c r="M29" s="836">
        <f t="shared" si="0"/>
        <v>0</v>
      </c>
      <c r="N29" s="837"/>
      <c r="O29" s="838">
        <f t="shared" si="1"/>
        <v>0</v>
      </c>
      <c r="P29" s="830">
        <f t="shared" si="2"/>
        <v>0</v>
      </c>
      <c r="AD29" s="813"/>
    </row>
    <row r="30" spans="1:53" ht="30" customHeight="1">
      <c r="C30" s="831">
        <v>4</v>
      </c>
      <c r="D30" s="832"/>
      <c r="E30" s="833"/>
      <c r="F30" s="833"/>
      <c r="G30" s="1098"/>
      <c r="H30" s="834"/>
      <c r="I30" s="835"/>
      <c r="L30" s="819">
        <f t="shared" si="0"/>
        <v>0</v>
      </c>
      <c r="M30" s="836">
        <f t="shared" si="0"/>
        <v>0</v>
      </c>
      <c r="N30" s="837"/>
      <c r="O30" s="838">
        <f t="shared" si="1"/>
        <v>0</v>
      </c>
      <c r="P30" s="830">
        <f t="shared" si="2"/>
        <v>0</v>
      </c>
      <c r="AD30" s="813"/>
    </row>
    <row r="31" spans="1:53" ht="30" customHeight="1">
      <c r="C31" s="831">
        <v>5</v>
      </c>
      <c r="D31" s="832"/>
      <c r="E31" s="833"/>
      <c r="F31" s="833"/>
      <c r="G31" s="1098"/>
      <c r="H31" s="834"/>
      <c r="I31" s="835"/>
      <c r="L31" s="819">
        <f t="shared" si="0"/>
        <v>0</v>
      </c>
      <c r="M31" s="836">
        <f t="shared" si="0"/>
        <v>0</v>
      </c>
      <c r="N31" s="837"/>
      <c r="O31" s="838">
        <f t="shared" si="1"/>
        <v>0</v>
      </c>
      <c r="P31" s="830">
        <f t="shared" si="2"/>
        <v>0</v>
      </c>
      <c r="AD31" s="813"/>
    </row>
    <row r="32" spans="1:53" ht="30" customHeight="1">
      <c r="C32" s="831">
        <v>6</v>
      </c>
      <c r="D32" s="832"/>
      <c r="E32" s="833"/>
      <c r="F32" s="833"/>
      <c r="G32" s="1098"/>
      <c r="H32" s="834"/>
      <c r="I32" s="835"/>
      <c r="L32" s="819">
        <f t="shared" si="0"/>
        <v>0</v>
      </c>
      <c r="M32" s="836">
        <f t="shared" si="0"/>
        <v>0</v>
      </c>
      <c r="N32" s="837"/>
      <c r="O32" s="838">
        <f t="shared" si="1"/>
        <v>0</v>
      </c>
      <c r="P32" s="830">
        <f t="shared" si="2"/>
        <v>0</v>
      </c>
      <c r="AD32" s="813"/>
    </row>
    <row r="33" spans="3:30" ht="30" customHeight="1">
      <c r="C33" s="831">
        <v>7</v>
      </c>
      <c r="D33" s="832"/>
      <c r="E33" s="833"/>
      <c r="F33" s="833"/>
      <c r="G33" s="1098"/>
      <c r="H33" s="834"/>
      <c r="I33" s="835"/>
      <c r="L33" s="819">
        <f t="shared" si="0"/>
        <v>0</v>
      </c>
      <c r="M33" s="836">
        <f t="shared" si="0"/>
        <v>0</v>
      </c>
      <c r="N33" s="837"/>
      <c r="O33" s="838">
        <f t="shared" si="1"/>
        <v>0</v>
      </c>
      <c r="P33" s="830">
        <f t="shared" si="2"/>
        <v>0</v>
      </c>
      <c r="AD33" s="813"/>
    </row>
    <row r="34" spans="3:30" ht="30" customHeight="1">
      <c r="C34" s="831">
        <v>8</v>
      </c>
      <c r="D34" s="832"/>
      <c r="E34" s="833"/>
      <c r="F34" s="833"/>
      <c r="G34" s="1098"/>
      <c r="H34" s="834"/>
      <c r="I34" s="835"/>
      <c r="L34" s="819">
        <f t="shared" si="0"/>
        <v>0</v>
      </c>
      <c r="M34" s="836">
        <f t="shared" si="0"/>
        <v>0</v>
      </c>
      <c r="N34" s="837"/>
      <c r="O34" s="838">
        <f t="shared" si="1"/>
        <v>0</v>
      </c>
      <c r="P34" s="830">
        <f t="shared" si="2"/>
        <v>0</v>
      </c>
      <c r="AD34" s="813"/>
    </row>
    <row r="35" spans="3:30" ht="30" customHeight="1">
      <c r="C35" s="831">
        <v>9</v>
      </c>
      <c r="D35" s="832"/>
      <c r="E35" s="833"/>
      <c r="F35" s="833"/>
      <c r="G35" s="1098"/>
      <c r="H35" s="834"/>
      <c r="I35" s="835"/>
      <c r="L35" s="819">
        <f t="shared" si="0"/>
        <v>0</v>
      </c>
      <c r="M35" s="836">
        <f t="shared" si="0"/>
        <v>0</v>
      </c>
      <c r="N35" s="837"/>
      <c r="O35" s="838">
        <f t="shared" si="1"/>
        <v>0</v>
      </c>
      <c r="P35" s="830">
        <f t="shared" si="2"/>
        <v>0</v>
      </c>
      <c r="AD35" s="813"/>
    </row>
    <row r="36" spans="3:30" ht="30" customHeight="1" collapsed="1" thickBot="1">
      <c r="C36" s="831">
        <v>10</v>
      </c>
      <c r="D36" s="832"/>
      <c r="E36" s="833"/>
      <c r="F36" s="833"/>
      <c r="G36" s="1098"/>
      <c r="H36" s="834"/>
      <c r="I36" s="835"/>
      <c r="L36" s="819">
        <f t="shared" si="0"/>
        <v>0</v>
      </c>
      <c r="M36" s="836">
        <f t="shared" si="0"/>
        <v>0</v>
      </c>
      <c r="N36" s="837"/>
      <c r="O36" s="838">
        <f t="shared" si="1"/>
        <v>0</v>
      </c>
      <c r="P36" s="830">
        <f t="shared" si="2"/>
        <v>0</v>
      </c>
      <c r="AD36" s="813"/>
    </row>
    <row r="37" spans="3:30" ht="30" hidden="1" customHeight="1" outlineLevel="1">
      <c r="C37" s="831">
        <v>11</v>
      </c>
      <c r="D37" s="832"/>
      <c r="E37" s="833"/>
      <c r="F37" s="833"/>
      <c r="G37" s="1098"/>
      <c r="H37" s="834"/>
      <c r="I37" s="835"/>
      <c r="L37" s="819">
        <f t="shared" si="0"/>
        <v>0</v>
      </c>
      <c r="M37" s="836">
        <f t="shared" si="0"/>
        <v>0</v>
      </c>
      <c r="N37" s="837"/>
      <c r="O37" s="838">
        <f t="shared" si="1"/>
        <v>0</v>
      </c>
      <c r="P37" s="830">
        <f t="shared" si="2"/>
        <v>0</v>
      </c>
      <c r="AD37" s="813"/>
    </row>
    <row r="38" spans="3:30" ht="30" hidden="1" customHeight="1" outlineLevel="1">
      <c r="C38" s="831">
        <v>12</v>
      </c>
      <c r="D38" s="832"/>
      <c r="E38" s="833"/>
      <c r="F38" s="833"/>
      <c r="G38" s="1098"/>
      <c r="H38" s="834"/>
      <c r="I38" s="835"/>
      <c r="L38" s="819">
        <f t="shared" si="0"/>
        <v>0</v>
      </c>
      <c r="M38" s="836">
        <f t="shared" si="0"/>
        <v>0</v>
      </c>
      <c r="N38" s="837"/>
      <c r="O38" s="838">
        <f t="shared" si="1"/>
        <v>0</v>
      </c>
      <c r="P38" s="830">
        <f t="shared" si="2"/>
        <v>0</v>
      </c>
      <c r="AD38" s="813"/>
    </row>
    <row r="39" spans="3:30" ht="30" hidden="1" customHeight="1" outlineLevel="1">
      <c r="C39" s="831">
        <v>13</v>
      </c>
      <c r="D39" s="832"/>
      <c r="E39" s="833"/>
      <c r="F39" s="833"/>
      <c r="G39" s="1098"/>
      <c r="H39" s="834"/>
      <c r="I39" s="835"/>
      <c r="L39" s="819">
        <f t="shared" si="0"/>
        <v>0</v>
      </c>
      <c r="M39" s="836">
        <f t="shared" si="0"/>
        <v>0</v>
      </c>
      <c r="N39" s="837"/>
      <c r="O39" s="838">
        <f t="shared" si="1"/>
        <v>0</v>
      </c>
      <c r="P39" s="830">
        <f t="shared" si="2"/>
        <v>0</v>
      </c>
      <c r="AD39" s="813"/>
    </row>
    <row r="40" spans="3:30" ht="30" hidden="1" customHeight="1" outlineLevel="1">
      <c r="C40" s="831">
        <v>14</v>
      </c>
      <c r="D40" s="832"/>
      <c r="E40" s="833"/>
      <c r="F40" s="833"/>
      <c r="G40" s="1098"/>
      <c r="H40" s="834"/>
      <c r="I40" s="835"/>
      <c r="L40" s="819">
        <f t="shared" si="0"/>
        <v>0</v>
      </c>
      <c r="M40" s="836">
        <f t="shared" si="0"/>
        <v>0</v>
      </c>
      <c r="N40" s="837"/>
      <c r="O40" s="838">
        <f t="shared" si="1"/>
        <v>0</v>
      </c>
      <c r="P40" s="830">
        <f t="shared" si="2"/>
        <v>0</v>
      </c>
      <c r="AD40" s="813"/>
    </row>
    <row r="41" spans="3:30" ht="30" hidden="1" customHeight="1" outlineLevel="1">
      <c r="C41" s="831">
        <v>15</v>
      </c>
      <c r="D41" s="832"/>
      <c r="E41" s="833"/>
      <c r="F41" s="833"/>
      <c r="G41" s="1098"/>
      <c r="H41" s="834"/>
      <c r="I41" s="835"/>
      <c r="L41" s="819">
        <f t="shared" si="0"/>
        <v>0</v>
      </c>
      <c r="M41" s="836">
        <f t="shared" si="0"/>
        <v>0</v>
      </c>
      <c r="N41" s="837"/>
      <c r="O41" s="838">
        <f t="shared" si="1"/>
        <v>0</v>
      </c>
      <c r="P41" s="830">
        <f t="shared" si="2"/>
        <v>0</v>
      </c>
      <c r="AD41" s="813"/>
    </row>
    <row r="42" spans="3:30" ht="30" hidden="1" customHeight="1" outlineLevel="1">
      <c r="C42" s="831">
        <v>16</v>
      </c>
      <c r="D42" s="832"/>
      <c r="E42" s="833"/>
      <c r="F42" s="833"/>
      <c r="G42" s="1098"/>
      <c r="H42" s="834"/>
      <c r="I42" s="835"/>
      <c r="L42" s="819">
        <f t="shared" si="0"/>
        <v>0</v>
      </c>
      <c r="M42" s="836">
        <f t="shared" si="0"/>
        <v>0</v>
      </c>
      <c r="N42" s="837"/>
      <c r="O42" s="838">
        <f t="shared" si="1"/>
        <v>0</v>
      </c>
      <c r="P42" s="830">
        <f t="shared" si="2"/>
        <v>0</v>
      </c>
      <c r="AD42" s="813"/>
    </row>
    <row r="43" spans="3:30" ht="30" hidden="1" customHeight="1" outlineLevel="1">
      <c r="C43" s="831">
        <v>17</v>
      </c>
      <c r="D43" s="832"/>
      <c r="E43" s="833"/>
      <c r="F43" s="833"/>
      <c r="G43" s="1098"/>
      <c r="H43" s="834"/>
      <c r="I43" s="835"/>
      <c r="L43" s="819">
        <f t="shared" si="0"/>
        <v>0</v>
      </c>
      <c r="M43" s="836">
        <f t="shared" si="0"/>
        <v>0</v>
      </c>
      <c r="N43" s="837"/>
      <c r="O43" s="838">
        <f t="shared" si="1"/>
        <v>0</v>
      </c>
      <c r="P43" s="830">
        <f t="shared" si="2"/>
        <v>0</v>
      </c>
      <c r="AD43" s="813"/>
    </row>
    <row r="44" spans="3:30" ht="30" hidden="1" customHeight="1" outlineLevel="1">
      <c r="C44" s="831">
        <v>18</v>
      </c>
      <c r="D44" s="832"/>
      <c r="E44" s="833"/>
      <c r="F44" s="833"/>
      <c r="G44" s="1098"/>
      <c r="H44" s="834"/>
      <c r="I44" s="835"/>
      <c r="L44" s="819">
        <f t="shared" si="0"/>
        <v>0</v>
      </c>
      <c r="M44" s="836">
        <f t="shared" si="0"/>
        <v>0</v>
      </c>
      <c r="N44" s="837"/>
      <c r="O44" s="838">
        <f t="shared" si="1"/>
        <v>0</v>
      </c>
      <c r="P44" s="830">
        <f t="shared" si="2"/>
        <v>0</v>
      </c>
      <c r="AD44" s="813"/>
    </row>
    <row r="45" spans="3:30" ht="30" hidden="1" customHeight="1" outlineLevel="1">
      <c r="C45" s="831">
        <v>19</v>
      </c>
      <c r="D45" s="832"/>
      <c r="E45" s="833"/>
      <c r="F45" s="833"/>
      <c r="G45" s="1098"/>
      <c r="H45" s="834"/>
      <c r="I45" s="835"/>
      <c r="L45" s="819">
        <f t="shared" si="0"/>
        <v>0</v>
      </c>
      <c r="M45" s="836">
        <f t="shared" si="0"/>
        <v>0</v>
      </c>
      <c r="N45" s="837"/>
      <c r="O45" s="838">
        <f t="shared" si="1"/>
        <v>0</v>
      </c>
      <c r="P45" s="830">
        <f t="shared" si="2"/>
        <v>0</v>
      </c>
      <c r="AD45" s="813"/>
    </row>
    <row r="46" spans="3:30" ht="30" hidden="1" customHeight="1" outlineLevel="1">
      <c r="C46" s="831">
        <v>20</v>
      </c>
      <c r="D46" s="832"/>
      <c r="E46" s="833"/>
      <c r="F46" s="833"/>
      <c r="G46" s="1098"/>
      <c r="H46" s="834"/>
      <c r="I46" s="835"/>
      <c r="L46" s="819">
        <f t="shared" si="0"/>
        <v>0</v>
      </c>
      <c r="M46" s="836">
        <f t="shared" si="0"/>
        <v>0</v>
      </c>
      <c r="N46" s="837"/>
      <c r="O46" s="838">
        <f t="shared" si="1"/>
        <v>0</v>
      </c>
      <c r="P46" s="830">
        <f t="shared" si="2"/>
        <v>0</v>
      </c>
      <c r="AD46" s="813"/>
    </row>
    <row r="47" spans="3:30" ht="30" hidden="1" customHeight="1" outlineLevel="1">
      <c r="C47" s="831">
        <v>21</v>
      </c>
      <c r="D47" s="832"/>
      <c r="E47" s="833"/>
      <c r="F47" s="833"/>
      <c r="G47" s="1098"/>
      <c r="H47" s="834"/>
      <c r="I47" s="835"/>
      <c r="L47" s="819">
        <f t="shared" si="0"/>
        <v>0</v>
      </c>
      <c r="M47" s="836">
        <f t="shared" si="0"/>
        <v>0</v>
      </c>
      <c r="N47" s="837"/>
      <c r="O47" s="838">
        <f t="shared" si="1"/>
        <v>0</v>
      </c>
      <c r="P47" s="830">
        <f t="shared" si="2"/>
        <v>0</v>
      </c>
      <c r="AD47" s="813"/>
    </row>
    <row r="48" spans="3:30" ht="30" hidden="1" customHeight="1" outlineLevel="1">
      <c r="C48" s="831">
        <v>22</v>
      </c>
      <c r="D48" s="832"/>
      <c r="E48" s="833"/>
      <c r="F48" s="833"/>
      <c r="G48" s="1098"/>
      <c r="H48" s="834"/>
      <c r="I48" s="835"/>
      <c r="L48" s="819">
        <f t="shared" si="0"/>
        <v>0</v>
      </c>
      <c r="M48" s="836">
        <f t="shared" si="0"/>
        <v>0</v>
      </c>
      <c r="N48" s="837"/>
      <c r="O48" s="838">
        <f t="shared" si="1"/>
        <v>0</v>
      </c>
      <c r="P48" s="830">
        <f t="shared" si="2"/>
        <v>0</v>
      </c>
      <c r="AD48" s="813"/>
    </row>
    <row r="49" spans="3:30" ht="30" hidden="1" customHeight="1" outlineLevel="1">
      <c r="C49" s="831">
        <v>23</v>
      </c>
      <c r="D49" s="832"/>
      <c r="E49" s="833"/>
      <c r="F49" s="833"/>
      <c r="G49" s="1098"/>
      <c r="H49" s="834"/>
      <c r="I49" s="835"/>
      <c r="L49" s="819">
        <f t="shared" si="0"/>
        <v>0</v>
      </c>
      <c r="M49" s="836">
        <f t="shared" si="0"/>
        <v>0</v>
      </c>
      <c r="N49" s="837"/>
      <c r="O49" s="838">
        <f t="shared" si="1"/>
        <v>0</v>
      </c>
      <c r="P49" s="830">
        <f t="shared" si="2"/>
        <v>0</v>
      </c>
      <c r="AD49" s="813"/>
    </row>
    <row r="50" spans="3:30" ht="30" hidden="1" customHeight="1" outlineLevel="1">
      <c r="C50" s="831">
        <v>24</v>
      </c>
      <c r="D50" s="832"/>
      <c r="E50" s="833"/>
      <c r="F50" s="833"/>
      <c r="G50" s="1098"/>
      <c r="H50" s="834"/>
      <c r="I50" s="835"/>
      <c r="L50" s="819">
        <f t="shared" si="0"/>
        <v>0</v>
      </c>
      <c r="M50" s="836">
        <f t="shared" si="0"/>
        <v>0</v>
      </c>
      <c r="N50" s="837"/>
      <c r="O50" s="838">
        <f t="shared" si="1"/>
        <v>0</v>
      </c>
      <c r="P50" s="830">
        <f t="shared" si="2"/>
        <v>0</v>
      </c>
      <c r="AD50" s="813"/>
    </row>
    <row r="51" spans="3:30" ht="30" hidden="1" customHeight="1" outlineLevel="1">
      <c r="C51" s="831">
        <v>25</v>
      </c>
      <c r="D51" s="832"/>
      <c r="E51" s="833"/>
      <c r="F51" s="833"/>
      <c r="G51" s="1098"/>
      <c r="H51" s="834"/>
      <c r="I51" s="835"/>
      <c r="L51" s="819">
        <f t="shared" si="0"/>
        <v>0</v>
      </c>
      <c r="M51" s="836">
        <f t="shared" si="0"/>
        <v>0</v>
      </c>
      <c r="N51" s="837"/>
      <c r="O51" s="838">
        <f t="shared" si="1"/>
        <v>0</v>
      </c>
      <c r="P51" s="830">
        <f t="shared" si="2"/>
        <v>0</v>
      </c>
      <c r="AD51" s="813"/>
    </row>
    <row r="52" spans="3:30" ht="30" hidden="1" customHeight="1" outlineLevel="1">
      <c r="C52" s="831">
        <v>26</v>
      </c>
      <c r="D52" s="832"/>
      <c r="E52" s="833"/>
      <c r="F52" s="833"/>
      <c r="G52" s="1098"/>
      <c r="H52" s="834"/>
      <c r="I52" s="835"/>
      <c r="L52" s="819">
        <f t="shared" si="0"/>
        <v>0</v>
      </c>
      <c r="M52" s="836">
        <f t="shared" si="0"/>
        <v>0</v>
      </c>
      <c r="N52" s="837"/>
      <c r="O52" s="838">
        <f t="shared" si="1"/>
        <v>0</v>
      </c>
      <c r="P52" s="830">
        <f t="shared" si="2"/>
        <v>0</v>
      </c>
      <c r="AD52" s="813"/>
    </row>
    <row r="53" spans="3:30" ht="30" hidden="1" customHeight="1" outlineLevel="1">
      <c r="C53" s="831">
        <v>27</v>
      </c>
      <c r="D53" s="832"/>
      <c r="E53" s="833"/>
      <c r="F53" s="833"/>
      <c r="G53" s="1098"/>
      <c r="H53" s="834"/>
      <c r="I53" s="835"/>
      <c r="L53" s="819">
        <f t="shared" si="0"/>
        <v>0</v>
      </c>
      <c r="M53" s="836">
        <f t="shared" si="0"/>
        <v>0</v>
      </c>
      <c r="N53" s="837"/>
      <c r="O53" s="838">
        <f t="shared" si="1"/>
        <v>0</v>
      </c>
      <c r="P53" s="830">
        <f t="shared" si="2"/>
        <v>0</v>
      </c>
      <c r="AD53" s="813"/>
    </row>
    <row r="54" spans="3:30" ht="30" hidden="1" customHeight="1" outlineLevel="1">
      <c r="C54" s="831">
        <v>28</v>
      </c>
      <c r="D54" s="832"/>
      <c r="E54" s="833"/>
      <c r="F54" s="833"/>
      <c r="G54" s="1098"/>
      <c r="H54" s="834"/>
      <c r="I54" s="835"/>
      <c r="L54" s="819">
        <f t="shared" si="0"/>
        <v>0</v>
      </c>
      <c r="M54" s="836">
        <f t="shared" si="0"/>
        <v>0</v>
      </c>
      <c r="N54" s="837"/>
      <c r="O54" s="838">
        <f t="shared" si="1"/>
        <v>0</v>
      </c>
      <c r="P54" s="830">
        <f t="shared" si="2"/>
        <v>0</v>
      </c>
      <c r="AD54" s="813"/>
    </row>
    <row r="55" spans="3:30" ht="30" hidden="1" customHeight="1" outlineLevel="1">
      <c r="C55" s="831">
        <v>29</v>
      </c>
      <c r="D55" s="832"/>
      <c r="E55" s="833"/>
      <c r="F55" s="833"/>
      <c r="G55" s="1098"/>
      <c r="H55" s="834"/>
      <c r="I55" s="835"/>
      <c r="L55" s="819">
        <f t="shared" si="0"/>
        <v>0</v>
      </c>
      <c r="M55" s="836">
        <f t="shared" si="0"/>
        <v>0</v>
      </c>
      <c r="N55" s="837"/>
      <c r="O55" s="838">
        <f t="shared" si="1"/>
        <v>0</v>
      </c>
      <c r="P55" s="830">
        <f t="shared" si="2"/>
        <v>0</v>
      </c>
      <c r="AD55" s="813"/>
    </row>
    <row r="56" spans="3:30" ht="30" hidden="1" customHeight="1" outlineLevel="1">
      <c r="C56" s="831">
        <v>30</v>
      </c>
      <c r="D56" s="832"/>
      <c r="E56" s="833"/>
      <c r="F56" s="833"/>
      <c r="G56" s="1098"/>
      <c r="H56" s="834"/>
      <c r="I56" s="835"/>
      <c r="L56" s="819">
        <f t="shared" si="0"/>
        <v>0</v>
      </c>
      <c r="M56" s="836">
        <f t="shared" si="0"/>
        <v>0</v>
      </c>
      <c r="N56" s="837"/>
      <c r="O56" s="838">
        <f t="shared" si="1"/>
        <v>0</v>
      </c>
      <c r="P56" s="830">
        <f t="shared" si="2"/>
        <v>0</v>
      </c>
      <c r="AD56" s="813"/>
    </row>
    <row r="57" spans="3:30" ht="30" hidden="1" customHeight="1" outlineLevel="1">
      <c r="C57" s="831">
        <v>31</v>
      </c>
      <c r="D57" s="832"/>
      <c r="E57" s="833"/>
      <c r="F57" s="833"/>
      <c r="G57" s="1098"/>
      <c r="H57" s="834"/>
      <c r="I57" s="835"/>
      <c r="L57" s="819">
        <f t="shared" si="0"/>
        <v>0</v>
      </c>
      <c r="M57" s="836">
        <f t="shared" si="0"/>
        <v>0</v>
      </c>
      <c r="N57" s="837"/>
      <c r="O57" s="838">
        <f t="shared" si="1"/>
        <v>0</v>
      </c>
      <c r="P57" s="830">
        <f t="shared" si="2"/>
        <v>0</v>
      </c>
      <c r="AD57" s="813"/>
    </row>
    <row r="58" spans="3:30" ht="30" hidden="1" customHeight="1" outlineLevel="1">
      <c r="C58" s="831">
        <v>32</v>
      </c>
      <c r="D58" s="832"/>
      <c r="E58" s="833"/>
      <c r="F58" s="833"/>
      <c r="G58" s="1098"/>
      <c r="H58" s="834"/>
      <c r="I58" s="835"/>
      <c r="L58" s="819">
        <f t="shared" si="0"/>
        <v>0</v>
      </c>
      <c r="M58" s="836">
        <f t="shared" si="0"/>
        <v>0</v>
      </c>
      <c r="N58" s="837"/>
      <c r="O58" s="838">
        <f t="shared" si="1"/>
        <v>0</v>
      </c>
      <c r="P58" s="830">
        <f t="shared" si="2"/>
        <v>0</v>
      </c>
      <c r="AD58" s="813"/>
    </row>
    <row r="59" spans="3:30" ht="30" hidden="1" customHeight="1" outlineLevel="1">
      <c r="C59" s="831">
        <v>33</v>
      </c>
      <c r="D59" s="832"/>
      <c r="E59" s="833"/>
      <c r="F59" s="833"/>
      <c r="G59" s="1098"/>
      <c r="H59" s="834"/>
      <c r="I59" s="835"/>
      <c r="L59" s="819">
        <f t="shared" si="0"/>
        <v>0</v>
      </c>
      <c r="M59" s="836">
        <f t="shared" si="0"/>
        <v>0</v>
      </c>
      <c r="N59" s="837"/>
      <c r="O59" s="838">
        <f t="shared" si="1"/>
        <v>0</v>
      </c>
      <c r="P59" s="830">
        <f t="shared" si="2"/>
        <v>0</v>
      </c>
      <c r="AD59" s="813"/>
    </row>
    <row r="60" spans="3:30" ht="30" hidden="1" customHeight="1" outlineLevel="1">
      <c r="C60" s="831">
        <v>34</v>
      </c>
      <c r="D60" s="832"/>
      <c r="E60" s="833"/>
      <c r="F60" s="833"/>
      <c r="G60" s="1098"/>
      <c r="H60" s="834"/>
      <c r="I60" s="835"/>
      <c r="L60" s="819">
        <f t="shared" si="0"/>
        <v>0</v>
      </c>
      <c r="M60" s="836">
        <f t="shared" si="0"/>
        <v>0</v>
      </c>
      <c r="N60" s="837"/>
      <c r="O60" s="838">
        <f t="shared" si="1"/>
        <v>0</v>
      </c>
      <c r="P60" s="830">
        <f t="shared" si="2"/>
        <v>0</v>
      </c>
      <c r="AD60" s="813"/>
    </row>
    <row r="61" spans="3:30" ht="30" hidden="1" customHeight="1" outlineLevel="1">
      <c r="C61" s="831">
        <v>35</v>
      </c>
      <c r="D61" s="832"/>
      <c r="E61" s="833"/>
      <c r="F61" s="833"/>
      <c r="G61" s="1098"/>
      <c r="H61" s="834"/>
      <c r="I61" s="835"/>
      <c r="L61" s="819">
        <f t="shared" si="0"/>
        <v>0</v>
      </c>
      <c r="M61" s="836">
        <f t="shared" si="0"/>
        <v>0</v>
      </c>
      <c r="N61" s="837"/>
      <c r="O61" s="838">
        <f t="shared" si="1"/>
        <v>0</v>
      </c>
      <c r="P61" s="830">
        <f t="shared" si="2"/>
        <v>0</v>
      </c>
      <c r="AD61" s="813"/>
    </row>
    <row r="62" spans="3:30" ht="30" hidden="1" customHeight="1" outlineLevel="1">
      <c r="C62" s="831">
        <v>36</v>
      </c>
      <c r="D62" s="832"/>
      <c r="E62" s="833"/>
      <c r="F62" s="833"/>
      <c r="G62" s="1098"/>
      <c r="H62" s="834"/>
      <c r="I62" s="835"/>
      <c r="L62" s="819">
        <f t="shared" si="0"/>
        <v>0</v>
      </c>
      <c r="M62" s="836">
        <f t="shared" si="0"/>
        <v>0</v>
      </c>
      <c r="N62" s="837"/>
      <c r="O62" s="838">
        <f t="shared" si="1"/>
        <v>0</v>
      </c>
      <c r="P62" s="830">
        <f t="shared" si="2"/>
        <v>0</v>
      </c>
      <c r="AD62" s="813"/>
    </row>
    <row r="63" spans="3:30" ht="30" hidden="1" customHeight="1" outlineLevel="1">
      <c r="C63" s="831">
        <v>37</v>
      </c>
      <c r="D63" s="832"/>
      <c r="E63" s="833"/>
      <c r="F63" s="833"/>
      <c r="G63" s="1098"/>
      <c r="H63" s="834"/>
      <c r="I63" s="835"/>
      <c r="L63" s="819">
        <f t="shared" si="0"/>
        <v>0</v>
      </c>
      <c r="M63" s="836">
        <f t="shared" si="0"/>
        <v>0</v>
      </c>
      <c r="N63" s="837"/>
      <c r="O63" s="838">
        <f t="shared" si="1"/>
        <v>0</v>
      </c>
      <c r="P63" s="830">
        <f t="shared" si="2"/>
        <v>0</v>
      </c>
      <c r="AD63" s="813"/>
    </row>
    <row r="64" spans="3:30" ht="30" hidden="1" customHeight="1" outlineLevel="1">
      <c r="C64" s="831">
        <v>38</v>
      </c>
      <c r="D64" s="832"/>
      <c r="E64" s="833"/>
      <c r="F64" s="833"/>
      <c r="G64" s="1098"/>
      <c r="H64" s="834"/>
      <c r="I64" s="835"/>
      <c r="L64" s="819">
        <f t="shared" si="0"/>
        <v>0</v>
      </c>
      <c r="M64" s="836">
        <f t="shared" si="0"/>
        <v>0</v>
      </c>
      <c r="N64" s="837"/>
      <c r="O64" s="838">
        <f t="shared" si="1"/>
        <v>0</v>
      </c>
      <c r="P64" s="830">
        <f t="shared" si="2"/>
        <v>0</v>
      </c>
      <c r="AD64" s="813"/>
    </row>
    <row r="65" spans="3:30" ht="30" hidden="1" customHeight="1" outlineLevel="1">
      <c r="C65" s="831">
        <v>39</v>
      </c>
      <c r="D65" s="832"/>
      <c r="E65" s="833"/>
      <c r="F65" s="833"/>
      <c r="G65" s="1098"/>
      <c r="H65" s="834"/>
      <c r="I65" s="835"/>
      <c r="L65" s="819">
        <f t="shared" si="0"/>
        <v>0</v>
      </c>
      <c r="M65" s="836">
        <f t="shared" si="0"/>
        <v>0</v>
      </c>
      <c r="N65" s="837"/>
      <c r="O65" s="838">
        <f t="shared" si="1"/>
        <v>0</v>
      </c>
      <c r="P65" s="830">
        <f t="shared" si="2"/>
        <v>0</v>
      </c>
      <c r="AD65" s="813"/>
    </row>
    <row r="66" spans="3:30" ht="30" hidden="1" customHeight="1" outlineLevel="1">
      <c r="C66" s="831">
        <v>40</v>
      </c>
      <c r="D66" s="832"/>
      <c r="E66" s="833"/>
      <c r="F66" s="833"/>
      <c r="G66" s="1098"/>
      <c r="H66" s="834"/>
      <c r="I66" s="835"/>
      <c r="L66" s="819">
        <f t="shared" si="0"/>
        <v>0</v>
      </c>
      <c r="M66" s="836">
        <f t="shared" si="0"/>
        <v>0</v>
      </c>
      <c r="N66" s="837"/>
      <c r="O66" s="838">
        <f t="shared" si="1"/>
        <v>0</v>
      </c>
      <c r="P66" s="830">
        <f t="shared" si="2"/>
        <v>0</v>
      </c>
      <c r="AD66" s="813"/>
    </row>
    <row r="67" spans="3:30" ht="30" hidden="1" customHeight="1" outlineLevel="1">
      <c r="C67" s="831">
        <v>41</v>
      </c>
      <c r="D67" s="832"/>
      <c r="E67" s="833"/>
      <c r="F67" s="833"/>
      <c r="G67" s="1098"/>
      <c r="H67" s="834"/>
      <c r="I67" s="835"/>
      <c r="L67" s="819">
        <f t="shared" si="0"/>
        <v>0</v>
      </c>
      <c r="M67" s="836">
        <f t="shared" si="0"/>
        <v>0</v>
      </c>
      <c r="N67" s="837"/>
      <c r="O67" s="838">
        <f t="shared" si="1"/>
        <v>0</v>
      </c>
      <c r="P67" s="830">
        <f t="shared" si="2"/>
        <v>0</v>
      </c>
      <c r="AD67" s="813"/>
    </row>
    <row r="68" spans="3:30" ht="30" hidden="1" customHeight="1" outlineLevel="1">
      <c r="C68" s="831">
        <v>42</v>
      </c>
      <c r="D68" s="832"/>
      <c r="E68" s="833"/>
      <c r="F68" s="833"/>
      <c r="G68" s="1098"/>
      <c r="H68" s="834"/>
      <c r="I68" s="835"/>
      <c r="L68" s="819">
        <f t="shared" si="0"/>
        <v>0</v>
      </c>
      <c r="M68" s="836">
        <f t="shared" si="0"/>
        <v>0</v>
      </c>
      <c r="N68" s="837"/>
      <c r="O68" s="838">
        <f t="shared" si="1"/>
        <v>0</v>
      </c>
      <c r="P68" s="830">
        <f t="shared" si="2"/>
        <v>0</v>
      </c>
      <c r="AD68" s="813"/>
    </row>
    <row r="69" spans="3:30" ht="30" hidden="1" customHeight="1" outlineLevel="1">
      <c r="C69" s="831">
        <v>43</v>
      </c>
      <c r="D69" s="832"/>
      <c r="E69" s="833"/>
      <c r="F69" s="833"/>
      <c r="G69" s="1098"/>
      <c r="H69" s="834"/>
      <c r="I69" s="835"/>
      <c r="L69" s="819">
        <f t="shared" si="0"/>
        <v>0</v>
      </c>
      <c r="M69" s="836">
        <f t="shared" si="0"/>
        <v>0</v>
      </c>
      <c r="N69" s="837"/>
      <c r="O69" s="838">
        <f t="shared" si="1"/>
        <v>0</v>
      </c>
      <c r="P69" s="830">
        <f t="shared" si="2"/>
        <v>0</v>
      </c>
      <c r="AD69" s="813"/>
    </row>
    <row r="70" spans="3:30" ht="30" hidden="1" customHeight="1" outlineLevel="1">
      <c r="C70" s="831">
        <v>44</v>
      </c>
      <c r="D70" s="832"/>
      <c r="E70" s="833"/>
      <c r="F70" s="833"/>
      <c r="G70" s="1098"/>
      <c r="H70" s="834"/>
      <c r="I70" s="835"/>
      <c r="L70" s="819">
        <f t="shared" si="0"/>
        <v>0</v>
      </c>
      <c r="M70" s="836">
        <f t="shared" si="0"/>
        <v>0</v>
      </c>
      <c r="N70" s="837"/>
      <c r="O70" s="838">
        <f t="shared" si="1"/>
        <v>0</v>
      </c>
      <c r="P70" s="830">
        <f t="shared" si="2"/>
        <v>0</v>
      </c>
      <c r="AD70" s="813"/>
    </row>
    <row r="71" spans="3:30" ht="30" hidden="1" customHeight="1" outlineLevel="1">
      <c r="C71" s="831">
        <v>45</v>
      </c>
      <c r="D71" s="832"/>
      <c r="E71" s="833"/>
      <c r="F71" s="833"/>
      <c r="G71" s="1098"/>
      <c r="H71" s="834"/>
      <c r="I71" s="835"/>
      <c r="L71" s="819">
        <f t="shared" si="0"/>
        <v>0</v>
      </c>
      <c r="M71" s="836">
        <f t="shared" si="0"/>
        <v>0</v>
      </c>
      <c r="N71" s="837"/>
      <c r="O71" s="838">
        <f t="shared" si="1"/>
        <v>0</v>
      </c>
      <c r="P71" s="830">
        <f t="shared" si="2"/>
        <v>0</v>
      </c>
      <c r="AD71" s="813"/>
    </row>
    <row r="72" spans="3:30" ht="30" hidden="1" customHeight="1" outlineLevel="1">
      <c r="C72" s="831">
        <v>46</v>
      </c>
      <c r="D72" s="832"/>
      <c r="E72" s="833"/>
      <c r="F72" s="833"/>
      <c r="G72" s="1098"/>
      <c r="H72" s="834"/>
      <c r="I72" s="835"/>
      <c r="L72" s="819">
        <f t="shared" si="0"/>
        <v>0</v>
      </c>
      <c r="M72" s="836">
        <f t="shared" si="0"/>
        <v>0</v>
      </c>
      <c r="N72" s="837"/>
      <c r="O72" s="838">
        <f t="shared" si="1"/>
        <v>0</v>
      </c>
      <c r="P72" s="830">
        <f t="shared" si="2"/>
        <v>0</v>
      </c>
      <c r="AD72" s="813"/>
    </row>
    <row r="73" spans="3:30" ht="30" hidden="1" customHeight="1" outlineLevel="1">
      <c r="C73" s="831">
        <v>47</v>
      </c>
      <c r="D73" s="832"/>
      <c r="E73" s="833"/>
      <c r="F73" s="833"/>
      <c r="G73" s="1098"/>
      <c r="H73" s="834"/>
      <c r="I73" s="835"/>
      <c r="L73" s="819">
        <f t="shared" si="0"/>
        <v>0</v>
      </c>
      <c r="M73" s="836">
        <f t="shared" si="0"/>
        <v>0</v>
      </c>
      <c r="N73" s="837"/>
      <c r="O73" s="838">
        <f t="shared" si="1"/>
        <v>0</v>
      </c>
      <c r="P73" s="830">
        <f t="shared" si="2"/>
        <v>0</v>
      </c>
      <c r="AD73" s="813"/>
    </row>
    <row r="74" spans="3:30" ht="30" hidden="1" customHeight="1" outlineLevel="1">
      <c r="C74" s="831">
        <v>48</v>
      </c>
      <c r="D74" s="832"/>
      <c r="E74" s="833"/>
      <c r="F74" s="833"/>
      <c r="G74" s="1098"/>
      <c r="H74" s="834"/>
      <c r="I74" s="835"/>
      <c r="L74" s="819">
        <f t="shared" si="0"/>
        <v>0</v>
      </c>
      <c r="M74" s="836">
        <f t="shared" si="0"/>
        <v>0</v>
      </c>
      <c r="N74" s="837"/>
      <c r="O74" s="838">
        <f t="shared" si="1"/>
        <v>0</v>
      </c>
      <c r="P74" s="830">
        <f t="shared" si="2"/>
        <v>0</v>
      </c>
      <c r="AD74" s="813"/>
    </row>
    <row r="75" spans="3:30" ht="30" hidden="1" customHeight="1" outlineLevel="1">
      <c r="C75" s="831">
        <v>49</v>
      </c>
      <c r="D75" s="832"/>
      <c r="E75" s="833"/>
      <c r="F75" s="833"/>
      <c r="G75" s="1098"/>
      <c r="H75" s="834"/>
      <c r="I75" s="835"/>
      <c r="L75" s="819">
        <f t="shared" si="0"/>
        <v>0</v>
      </c>
      <c r="M75" s="836">
        <f t="shared" si="0"/>
        <v>0</v>
      </c>
      <c r="N75" s="837"/>
      <c r="O75" s="838">
        <f t="shared" si="1"/>
        <v>0</v>
      </c>
      <c r="P75" s="830">
        <f t="shared" si="2"/>
        <v>0</v>
      </c>
      <c r="AD75" s="813"/>
    </row>
    <row r="76" spans="3:30" ht="30" hidden="1" customHeight="1" outlineLevel="1">
      <c r="C76" s="831">
        <v>50</v>
      </c>
      <c r="D76" s="832"/>
      <c r="E76" s="833"/>
      <c r="F76" s="833"/>
      <c r="G76" s="1098"/>
      <c r="H76" s="834"/>
      <c r="I76" s="835"/>
      <c r="L76" s="819">
        <f t="shared" si="0"/>
        <v>0</v>
      </c>
      <c r="M76" s="836">
        <f t="shared" si="0"/>
        <v>0</v>
      </c>
      <c r="N76" s="837"/>
      <c r="O76" s="838">
        <f t="shared" si="1"/>
        <v>0</v>
      </c>
      <c r="P76" s="830">
        <f t="shared" si="2"/>
        <v>0</v>
      </c>
      <c r="AD76" s="813"/>
    </row>
    <row r="77" spans="3:30" ht="30" hidden="1" customHeight="1" outlineLevel="1">
      <c r="C77" s="831">
        <v>51</v>
      </c>
      <c r="D77" s="832"/>
      <c r="E77" s="833"/>
      <c r="F77" s="833"/>
      <c r="G77" s="1098"/>
      <c r="H77" s="834"/>
      <c r="I77" s="835"/>
      <c r="L77" s="819">
        <f t="shared" si="0"/>
        <v>0</v>
      </c>
      <c r="M77" s="836">
        <f t="shared" si="0"/>
        <v>0</v>
      </c>
      <c r="N77" s="837"/>
      <c r="O77" s="838">
        <f t="shared" si="1"/>
        <v>0</v>
      </c>
      <c r="P77" s="830">
        <f t="shared" si="2"/>
        <v>0</v>
      </c>
      <c r="AD77" s="813"/>
    </row>
    <row r="78" spans="3:30" ht="30" hidden="1" customHeight="1" outlineLevel="1">
      <c r="C78" s="831">
        <v>52</v>
      </c>
      <c r="D78" s="832"/>
      <c r="E78" s="833"/>
      <c r="F78" s="833"/>
      <c r="G78" s="1098"/>
      <c r="H78" s="834"/>
      <c r="I78" s="835"/>
      <c r="L78" s="819">
        <f t="shared" si="0"/>
        <v>0</v>
      </c>
      <c r="M78" s="836">
        <f t="shared" si="0"/>
        <v>0</v>
      </c>
      <c r="N78" s="837"/>
      <c r="O78" s="838">
        <f t="shared" si="1"/>
        <v>0</v>
      </c>
      <c r="P78" s="830">
        <f t="shared" si="2"/>
        <v>0</v>
      </c>
      <c r="AD78" s="813"/>
    </row>
    <row r="79" spans="3:30" ht="30" hidden="1" customHeight="1" outlineLevel="1">
      <c r="C79" s="831">
        <v>53</v>
      </c>
      <c r="D79" s="832"/>
      <c r="E79" s="833"/>
      <c r="F79" s="833"/>
      <c r="G79" s="1098"/>
      <c r="H79" s="834"/>
      <c r="I79" s="835"/>
      <c r="L79" s="819">
        <f t="shared" si="0"/>
        <v>0</v>
      </c>
      <c r="M79" s="836">
        <f t="shared" si="0"/>
        <v>0</v>
      </c>
      <c r="N79" s="837"/>
      <c r="O79" s="838">
        <f t="shared" si="1"/>
        <v>0</v>
      </c>
      <c r="P79" s="830">
        <f t="shared" si="2"/>
        <v>0</v>
      </c>
      <c r="AD79" s="813"/>
    </row>
    <row r="80" spans="3:30" ht="30" hidden="1" customHeight="1" outlineLevel="1">
      <c r="C80" s="831">
        <v>54</v>
      </c>
      <c r="D80" s="832"/>
      <c r="E80" s="833"/>
      <c r="F80" s="833"/>
      <c r="G80" s="1098"/>
      <c r="H80" s="834"/>
      <c r="I80" s="835"/>
      <c r="L80" s="819">
        <f t="shared" si="0"/>
        <v>0</v>
      </c>
      <c r="M80" s="836">
        <f t="shared" si="0"/>
        <v>0</v>
      </c>
      <c r="N80" s="837"/>
      <c r="O80" s="838">
        <f t="shared" si="1"/>
        <v>0</v>
      </c>
      <c r="P80" s="830">
        <f t="shared" si="2"/>
        <v>0</v>
      </c>
      <c r="AD80" s="813"/>
    </row>
    <row r="81" spans="3:30" ht="30" hidden="1" customHeight="1" outlineLevel="1">
      <c r="C81" s="831">
        <v>55</v>
      </c>
      <c r="D81" s="832"/>
      <c r="E81" s="833"/>
      <c r="F81" s="833"/>
      <c r="G81" s="1098"/>
      <c r="H81" s="834"/>
      <c r="I81" s="835"/>
      <c r="L81" s="819">
        <f t="shared" si="0"/>
        <v>0</v>
      </c>
      <c r="M81" s="836">
        <f t="shared" si="0"/>
        <v>0</v>
      </c>
      <c r="N81" s="837"/>
      <c r="O81" s="838">
        <f t="shared" si="1"/>
        <v>0</v>
      </c>
      <c r="P81" s="830">
        <f t="shared" si="2"/>
        <v>0</v>
      </c>
      <c r="AD81" s="813"/>
    </row>
    <row r="82" spans="3:30" ht="30" hidden="1" customHeight="1" outlineLevel="1">
      <c r="C82" s="831">
        <v>56</v>
      </c>
      <c r="D82" s="832"/>
      <c r="E82" s="833"/>
      <c r="F82" s="833"/>
      <c r="G82" s="1098"/>
      <c r="H82" s="834"/>
      <c r="I82" s="835"/>
      <c r="L82" s="819">
        <f t="shared" si="0"/>
        <v>0</v>
      </c>
      <c r="M82" s="836">
        <f t="shared" si="0"/>
        <v>0</v>
      </c>
      <c r="N82" s="837"/>
      <c r="O82" s="838">
        <f t="shared" si="1"/>
        <v>0</v>
      </c>
      <c r="P82" s="830">
        <f t="shared" si="2"/>
        <v>0</v>
      </c>
      <c r="AD82" s="813"/>
    </row>
    <row r="83" spans="3:30" ht="30" hidden="1" customHeight="1" outlineLevel="1">
      <c r="C83" s="831">
        <v>57</v>
      </c>
      <c r="D83" s="832"/>
      <c r="E83" s="833"/>
      <c r="F83" s="833"/>
      <c r="G83" s="1098"/>
      <c r="H83" s="834"/>
      <c r="I83" s="835"/>
      <c r="L83" s="819">
        <f t="shared" si="0"/>
        <v>0</v>
      </c>
      <c r="M83" s="836">
        <f t="shared" si="0"/>
        <v>0</v>
      </c>
      <c r="N83" s="837"/>
      <c r="O83" s="838">
        <f t="shared" si="1"/>
        <v>0</v>
      </c>
      <c r="P83" s="830">
        <f t="shared" si="2"/>
        <v>0</v>
      </c>
      <c r="AD83" s="813"/>
    </row>
    <row r="84" spans="3:30" ht="30" hidden="1" customHeight="1" outlineLevel="1">
      <c r="C84" s="831">
        <v>58</v>
      </c>
      <c r="D84" s="832"/>
      <c r="E84" s="833"/>
      <c r="F84" s="833"/>
      <c r="G84" s="1098"/>
      <c r="H84" s="834"/>
      <c r="I84" s="835"/>
      <c r="L84" s="819">
        <f t="shared" si="0"/>
        <v>0</v>
      </c>
      <c r="M84" s="836">
        <f t="shared" si="0"/>
        <v>0</v>
      </c>
      <c r="N84" s="837"/>
      <c r="O84" s="838">
        <f t="shared" si="1"/>
        <v>0</v>
      </c>
      <c r="P84" s="830">
        <f t="shared" si="2"/>
        <v>0</v>
      </c>
      <c r="AD84" s="813"/>
    </row>
    <row r="85" spans="3:30" ht="30" hidden="1" customHeight="1" outlineLevel="1">
      <c r="C85" s="831">
        <v>59</v>
      </c>
      <c r="D85" s="832"/>
      <c r="E85" s="833"/>
      <c r="F85" s="833"/>
      <c r="G85" s="1098"/>
      <c r="H85" s="834"/>
      <c r="I85" s="835"/>
      <c r="L85" s="819">
        <f t="shared" si="0"/>
        <v>0</v>
      </c>
      <c r="M85" s="836">
        <f t="shared" si="0"/>
        <v>0</v>
      </c>
      <c r="N85" s="837"/>
      <c r="O85" s="838">
        <f t="shared" si="1"/>
        <v>0</v>
      </c>
      <c r="P85" s="830">
        <f t="shared" si="2"/>
        <v>0</v>
      </c>
      <c r="AD85" s="813"/>
    </row>
    <row r="86" spans="3:30" ht="30" hidden="1" customHeight="1" outlineLevel="1">
      <c r="C86" s="831">
        <v>60</v>
      </c>
      <c r="D86" s="832"/>
      <c r="E86" s="833"/>
      <c r="F86" s="833"/>
      <c r="G86" s="1098"/>
      <c r="H86" s="834"/>
      <c r="I86" s="835"/>
      <c r="L86" s="819">
        <f t="shared" si="0"/>
        <v>0</v>
      </c>
      <c r="M86" s="836">
        <f t="shared" si="0"/>
        <v>0</v>
      </c>
      <c r="N86" s="837"/>
      <c r="O86" s="838">
        <f t="shared" si="1"/>
        <v>0</v>
      </c>
      <c r="P86" s="830">
        <f t="shared" si="2"/>
        <v>0</v>
      </c>
      <c r="AD86" s="813"/>
    </row>
    <row r="87" spans="3:30" ht="30" hidden="1" customHeight="1" outlineLevel="1">
      <c r="C87" s="831">
        <v>61</v>
      </c>
      <c r="D87" s="832"/>
      <c r="E87" s="833"/>
      <c r="F87" s="833"/>
      <c r="G87" s="1098"/>
      <c r="H87" s="834"/>
      <c r="I87" s="835"/>
      <c r="L87" s="819">
        <f t="shared" si="0"/>
        <v>0</v>
      </c>
      <c r="M87" s="836">
        <f t="shared" si="0"/>
        <v>0</v>
      </c>
      <c r="N87" s="837"/>
      <c r="O87" s="838">
        <f t="shared" si="1"/>
        <v>0</v>
      </c>
      <c r="P87" s="830">
        <f t="shared" si="2"/>
        <v>0</v>
      </c>
      <c r="AD87" s="813"/>
    </row>
    <row r="88" spans="3:30" ht="30" hidden="1" customHeight="1" outlineLevel="1">
      <c r="C88" s="831">
        <v>62</v>
      </c>
      <c r="D88" s="832"/>
      <c r="E88" s="833"/>
      <c r="F88" s="833"/>
      <c r="G88" s="1098"/>
      <c r="H88" s="834"/>
      <c r="I88" s="835"/>
      <c r="L88" s="819">
        <f t="shared" si="0"/>
        <v>0</v>
      </c>
      <c r="M88" s="836">
        <f t="shared" si="0"/>
        <v>0</v>
      </c>
      <c r="N88" s="837"/>
      <c r="O88" s="838">
        <f t="shared" si="1"/>
        <v>0</v>
      </c>
      <c r="P88" s="830">
        <f t="shared" si="2"/>
        <v>0</v>
      </c>
      <c r="AD88" s="813"/>
    </row>
    <row r="89" spans="3:30" ht="30" hidden="1" customHeight="1" outlineLevel="1">
      <c r="C89" s="831">
        <v>63</v>
      </c>
      <c r="D89" s="832"/>
      <c r="E89" s="833"/>
      <c r="F89" s="833"/>
      <c r="G89" s="1098"/>
      <c r="H89" s="834"/>
      <c r="I89" s="835"/>
      <c r="L89" s="819">
        <f t="shared" si="0"/>
        <v>0</v>
      </c>
      <c r="M89" s="836">
        <f t="shared" si="0"/>
        <v>0</v>
      </c>
      <c r="N89" s="837"/>
      <c r="O89" s="838">
        <f t="shared" si="1"/>
        <v>0</v>
      </c>
      <c r="P89" s="830">
        <f t="shared" si="2"/>
        <v>0</v>
      </c>
      <c r="AD89" s="813"/>
    </row>
    <row r="90" spans="3:30" ht="30" hidden="1" customHeight="1" outlineLevel="1">
      <c r="C90" s="831">
        <v>64</v>
      </c>
      <c r="D90" s="832"/>
      <c r="E90" s="833"/>
      <c r="F90" s="833"/>
      <c r="G90" s="1098"/>
      <c r="H90" s="834"/>
      <c r="I90" s="835"/>
      <c r="L90" s="819">
        <f t="shared" si="0"/>
        <v>0</v>
      </c>
      <c r="M90" s="836">
        <f t="shared" si="0"/>
        <v>0</v>
      </c>
      <c r="N90" s="837"/>
      <c r="O90" s="838">
        <f t="shared" si="1"/>
        <v>0</v>
      </c>
      <c r="P90" s="830">
        <f t="shared" si="2"/>
        <v>0</v>
      </c>
      <c r="AD90" s="813"/>
    </row>
    <row r="91" spans="3:30" ht="30" hidden="1" customHeight="1" outlineLevel="1">
      <c r="C91" s="831">
        <v>65</v>
      </c>
      <c r="D91" s="832"/>
      <c r="E91" s="833"/>
      <c r="F91" s="833"/>
      <c r="G91" s="1098"/>
      <c r="H91" s="834"/>
      <c r="I91" s="835"/>
      <c r="L91" s="819">
        <f t="shared" si="0"/>
        <v>0</v>
      </c>
      <c r="M91" s="836">
        <f t="shared" si="0"/>
        <v>0</v>
      </c>
      <c r="N91" s="837"/>
      <c r="O91" s="838">
        <f t="shared" si="1"/>
        <v>0</v>
      </c>
      <c r="P91" s="830">
        <f t="shared" si="2"/>
        <v>0</v>
      </c>
      <c r="AD91" s="813"/>
    </row>
    <row r="92" spans="3:30" ht="30" hidden="1" customHeight="1" outlineLevel="1">
      <c r="C92" s="831">
        <v>66</v>
      </c>
      <c r="D92" s="832"/>
      <c r="E92" s="833"/>
      <c r="F92" s="833"/>
      <c r="G92" s="1098"/>
      <c r="H92" s="834"/>
      <c r="I92" s="835"/>
      <c r="L92" s="819">
        <f t="shared" si="0"/>
        <v>0</v>
      </c>
      <c r="M92" s="836">
        <f t="shared" si="0"/>
        <v>0</v>
      </c>
      <c r="N92" s="837"/>
      <c r="O92" s="838">
        <f t="shared" si="1"/>
        <v>0</v>
      </c>
      <c r="P92" s="830">
        <f t="shared" ref="P92:P155" si="3">ROUND(O92*G92%,)</f>
        <v>0</v>
      </c>
      <c r="AD92" s="813"/>
    </row>
    <row r="93" spans="3:30" ht="30" hidden="1" customHeight="1" outlineLevel="1">
      <c r="C93" s="831">
        <v>67</v>
      </c>
      <c r="D93" s="832"/>
      <c r="E93" s="833"/>
      <c r="F93" s="833"/>
      <c r="G93" s="1098"/>
      <c r="H93" s="834"/>
      <c r="I93" s="835"/>
      <c r="L93" s="819">
        <f t="shared" si="0"/>
        <v>0</v>
      </c>
      <c r="M93" s="836">
        <f t="shared" si="0"/>
        <v>0</v>
      </c>
      <c r="N93" s="837"/>
      <c r="O93" s="838">
        <f t="shared" si="1"/>
        <v>0</v>
      </c>
      <c r="P93" s="830">
        <f t="shared" si="3"/>
        <v>0</v>
      </c>
      <c r="AD93" s="813"/>
    </row>
    <row r="94" spans="3:30" ht="30" hidden="1" customHeight="1" outlineLevel="1">
      <c r="C94" s="831">
        <v>68</v>
      </c>
      <c r="D94" s="832"/>
      <c r="E94" s="833"/>
      <c r="F94" s="833"/>
      <c r="G94" s="1098"/>
      <c r="H94" s="834"/>
      <c r="I94" s="835"/>
      <c r="L94" s="819">
        <f t="shared" si="0"/>
        <v>0</v>
      </c>
      <c r="M94" s="836">
        <f t="shared" si="0"/>
        <v>0</v>
      </c>
      <c r="N94" s="837"/>
      <c r="O94" s="838">
        <f t="shared" si="1"/>
        <v>0</v>
      </c>
      <c r="P94" s="830">
        <f t="shared" si="3"/>
        <v>0</v>
      </c>
      <c r="AD94" s="813"/>
    </row>
    <row r="95" spans="3:30" ht="30" hidden="1" customHeight="1" outlineLevel="1">
      <c r="C95" s="831">
        <v>69</v>
      </c>
      <c r="D95" s="832"/>
      <c r="E95" s="833"/>
      <c r="F95" s="833"/>
      <c r="G95" s="1098"/>
      <c r="H95" s="834"/>
      <c r="I95" s="835"/>
      <c r="L95" s="819">
        <f t="shared" si="0"/>
        <v>0</v>
      </c>
      <c r="M95" s="836">
        <f t="shared" si="0"/>
        <v>0</v>
      </c>
      <c r="N95" s="837"/>
      <c r="O95" s="838">
        <f t="shared" si="1"/>
        <v>0</v>
      </c>
      <c r="P95" s="830">
        <f t="shared" si="3"/>
        <v>0</v>
      </c>
      <c r="AD95" s="813"/>
    </row>
    <row r="96" spans="3:30" ht="30" hidden="1" customHeight="1" outlineLevel="1">
      <c r="C96" s="831">
        <v>70</v>
      </c>
      <c r="D96" s="832"/>
      <c r="E96" s="833"/>
      <c r="F96" s="833"/>
      <c r="G96" s="1098"/>
      <c r="H96" s="834"/>
      <c r="I96" s="835"/>
      <c r="L96" s="819">
        <f t="shared" si="0"/>
        <v>0</v>
      </c>
      <c r="M96" s="836">
        <f t="shared" si="0"/>
        <v>0</v>
      </c>
      <c r="N96" s="837"/>
      <c r="O96" s="838">
        <f t="shared" si="1"/>
        <v>0</v>
      </c>
      <c r="P96" s="830">
        <f t="shared" si="3"/>
        <v>0</v>
      </c>
      <c r="AD96" s="813"/>
    </row>
    <row r="97" spans="3:30" ht="30" hidden="1" customHeight="1" outlineLevel="1">
      <c r="C97" s="831">
        <v>71</v>
      </c>
      <c r="D97" s="832"/>
      <c r="E97" s="833"/>
      <c r="F97" s="833"/>
      <c r="G97" s="1098"/>
      <c r="H97" s="834"/>
      <c r="I97" s="835"/>
      <c r="L97" s="819">
        <f t="shared" si="0"/>
        <v>0</v>
      </c>
      <c r="M97" s="836">
        <f t="shared" si="0"/>
        <v>0</v>
      </c>
      <c r="N97" s="837"/>
      <c r="O97" s="838">
        <f t="shared" si="1"/>
        <v>0</v>
      </c>
      <c r="P97" s="830">
        <f t="shared" si="3"/>
        <v>0</v>
      </c>
      <c r="AD97" s="813"/>
    </row>
    <row r="98" spans="3:30" ht="30" hidden="1" customHeight="1" outlineLevel="1">
      <c r="C98" s="831">
        <v>72</v>
      </c>
      <c r="D98" s="832"/>
      <c r="E98" s="833"/>
      <c r="F98" s="833"/>
      <c r="G98" s="1098"/>
      <c r="H98" s="834"/>
      <c r="I98" s="835"/>
      <c r="L98" s="819">
        <f t="shared" si="0"/>
        <v>0</v>
      </c>
      <c r="M98" s="836">
        <f t="shared" si="0"/>
        <v>0</v>
      </c>
      <c r="N98" s="837"/>
      <c r="O98" s="838">
        <f t="shared" si="1"/>
        <v>0</v>
      </c>
      <c r="P98" s="830">
        <f t="shared" si="3"/>
        <v>0</v>
      </c>
      <c r="AD98" s="813"/>
    </row>
    <row r="99" spans="3:30" ht="30" hidden="1" customHeight="1" outlineLevel="1">
      <c r="C99" s="831">
        <v>73</v>
      </c>
      <c r="D99" s="832"/>
      <c r="E99" s="833"/>
      <c r="F99" s="833"/>
      <c r="G99" s="1098"/>
      <c r="H99" s="834"/>
      <c r="I99" s="835"/>
      <c r="L99" s="819">
        <f t="shared" si="0"/>
        <v>0</v>
      </c>
      <c r="M99" s="836">
        <f t="shared" si="0"/>
        <v>0</v>
      </c>
      <c r="N99" s="837"/>
      <c r="O99" s="838">
        <f t="shared" si="1"/>
        <v>0</v>
      </c>
      <c r="P99" s="830">
        <f t="shared" si="3"/>
        <v>0</v>
      </c>
      <c r="AD99" s="813"/>
    </row>
    <row r="100" spans="3:30" ht="30" hidden="1" customHeight="1" outlineLevel="1">
      <c r="C100" s="831">
        <v>74</v>
      </c>
      <c r="D100" s="832"/>
      <c r="E100" s="833"/>
      <c r="F100" s="833"/>
      <c r="G100" s="1098"/>
      <c r="H100" s="834"/>
      <c r="I100" s="835"/>
      <c r="L100" s="819">
        <f t="shared" si="0"/>
        <v>0</v>
      </c>
      <c r="M100" s="836">
        <f t="shared" si="0"/>
        <v>0</v>
      </c>
      <c r="N100" s="837"/>
      <c r="O100" s="838">
        <f t="shared" si="1"/>
        <v>0</v>
      </c>
      <c r="P100" s="830">
        <f t="shared" si="3"/>
        <v>0</v>
      </c>
      <c r="AD100" s="813"/>
    </row>
    <row r="101" spans="3:30" ht="30" hidden="1" customHeight="1" outlineLevel="1">
      <c r="C101" s="831">
        <v>75</v>
      </c>
      <c r="D101" s="832"/>
      <c r="E101" s="833"/>
      <c r="F101" s="833"/>
      <c r="G101" s="1098"/>
      <c r="H101" s="834"/>
      <c r="I101" s="835"/>
      <c r="L101" s="819">
        <f t="shared" si="0"/>
        <v>0</v>
      </c>
      <c r="M101" s="836">
        <f t="shared" si="0"/>
        <v>0</v>
      </c>
      <c r="N101" s="837"/>
      <c r="O101" s="838">
        <f t="shared" si="1"/>
        <v>0</v>
      </c>
      <c r="P101" s="830">
        <f t="shared" si="3"/>
        <v>0</v>
      </c>
      <c r="AD101" s="813"/>
    </row>
    <row r="102" spans="3:30" ht="30" hidden="1" customHeight="1" outlineLevel="1">
      <c r="C102" s="831">
        <v>76</v>
      </c>
      <c r="D102" s="832"/>
      <c r="E102" s="833"/>
      <c r="F102" s="833"/>
      <c r="G102" s="1098"/>
      <c r="H102" s="834"/>
      <c r="I102" s="835"/>
      <c r="L102" s="819">
        <f t="shared" si="0"/>
        <v>0</v>
      </c>
      <c r="M102" s="836">
        <f t="shared" si="0"/>
        <v>0</v>
      </c>
      <c r="N102" s="837"/>
      <c r="O102" s="838">
        <f t="shared" si="1"/>
        <v>0</v>
      </c>
      <c r="P102" s="830">
        <f t="shared" si="3"/>
        <v>0</v>
      </c>
      <c r="AD102" s="813"/>
    </row>
    <row r="103" spans="3:30" ht="30" hidden="1" customHeight="1" outlineLevel="1">
      <c r="C103" s="831">
        <v>77</v>
      </c>
      <c r="D103" s="832"/>
      <c r="E103" s="833"/>
      <c r="F103" s="833"/>
      <c r="G103" s="1098"/>
      <c r="H103" s="834"/>
      <c r="I103" s="835"/>
      <c r="L103" s="819">
        <f t="shared" si="0"/>
        <v>0</v>
      </c>
      <c r="M103" s="836">
        <f t="shared" si="0"/>
        <v>0</v>
      </c>
      <c r="N103" s="837"/>
      <c r="O103" s="838">
        <f t="shared" si="1"/>
        <v>0</v>
      </c>
      <c r="P103" s="830">
        <f t="shared" si="3"/>
        <v>0</v>
      </c>
      <c r="AD103" s="813"/>
    </row>
    <row r="104" spans="3:30" ht="30" hidden="1" customHeight="1" outlineLevel="1">
      <c r="C104" s="831">
        <v>78</v>
      </c>
      <c r="D104" s="832"/>
      <c r="E104" s="833"/>
      <c r="F104" s="833"/>
      <c r="G104" s="1098"/>
      <c r="H104" s="834"/>
      <c r="I104" s="835"/>
      <c r="L104" s="819">
        <f t="shared" si="0"/>
        <v>0</v>
      </c>
      <c r="M104" s="836">
        <f t="shared" si="0"/>
        <v>0</v>
      </c>
      <c r="N104" s="837"/>
      <c r="O104" s="838">
        <f t="shared" si="1"/>
        <v>0</v>
      </c>
      <c r="P104" s="830">
        <f t="shared" si="3"/>
        <v>0</v>
      </c>
      <c r="AD104" s="813"/>
    </row>
    <row r="105" spans="3:30" ht="30" hidden="1" customHeight="1" outlineLevel="1">
      <c r="C105" s="831">
        <v>79</v>
      </c>
      <c r="D105" s="832"/>
      <c r="E105" s="833"/>
      <c r="F105" s="833"/>
      <c r="G105" s="1098"/>
      <c r="H105" s="834"/>
      <c r="I105" s="835"/>
      <c r="L105" s="819">
        <f t="shared" si="0"/>
        <v>0</v>
      </c>
      <c r="M105" s="836">
        <f t="shared" si="0"/>
        <v>0</v>
      </c>
      <c r="N105" s="837"/>
      <c r="O105" s="838">
        <f t="shared" si="1"/>
        <v>0</v>
      </c>
      <c r="P105" s="830">
        <f t="shared" si="3"/>
        <v>0</v>
      </c>
      <c r="AD105" s="813"/>
    </row>
    <row r="106" spans="3:30" ht="30" hidden="1" customHeight="1" outlineLevel="1">
      <c r="C106" s="831">
        <v>80</v>
      </c>
      <c r="D106" s="832"/>
      <c r="E106" s="833"/>
      <c r="F106" s="833"/>
      <c r="G106" s="1098"/>
      <c r="H106" s="834"/>
      <c r="I106" s="835"/>
      <c r="L106" s="819">
        <f t="shared" si="0"/>
        <v>0</v>
      </c>
      <c r="M106" s="836">
        <f t="shared" si="0"/>
        <v>0</v>
      </c>
      <c r="N106" s="837"/>
      <c r="O106" s="838">
        <f t="shared" si="1"/>
        <v>0</v>
      </c>
      <c r="P106" s="830">
        <f t="shared" si="3"/>
        <v>0</v>
      </c>
      <c r="AD106" s="813"/>
    </row>
    <row r="107" spans="3:30" ht="30" hidden="1" customHeight="1" outlineLevel="1">
      <c r="C107" s="831">
        <v>81</v>
      </c>
      <c r="D107" s="832"/>
      <c r="E107" s="833"/>
      <c r="F107" s="833"/>
      <c r="G107" s="1098"/>
      <c r="H107" s="834"/>
      <c r="I107" s="835"/>
      <c r="L107" s="819">
        <f t="shared" si="0"/>
        <v>0</v>
      </c>
      <c r="M107" s="836">
        <f t="shared" si="0"/>
        <v>0</v>
      </c>
      <c r="N107" s="837"/>
      <c r="O107" s="838">
        <f t="shared" si="1"/>
        <v>0</v>
      </c>
      <c r="P107" s="830">
        <f t="shared" si="3"/>
        <v>0</v>
      </c>
      <c r="AD107" s="813"/>
    </row>
    <row r="108" spans="3:30" ht="30" hidden="1" customHeight="1" outlineLevel="1">
      <c r="C108" s="831">
        <v>82</v>
      </c>
      <c r="D108" s="832"/>
      <c r="E108" s="833"/>
      <c r="F108" s="833"/>
      <c r="G108" s="1098"/>
      <c r="H108" s="834"/>
      <c r="I108" s="835"/>
      <c r="L108" s="819">
        <f t="shared" si="0"/>
        <v>0</v>
      </c>
      <c r="M108" s="836">
        <f t="shared" si="0"/>
        <v>0</v>
      </c>
      <c r="N108" s="837"/>
      <c r="O108" s="838">
        <f t="shared" si="1"/>
        <v>0</v>
      </c>
      <c r="P108" s="830">
        <f t="shared" si="3"/>
        <v>0</v>
      </c>
      <c r="AD108" s="813"/>
    </row>
    <row r="109" spans="3:30" ht="30" hidden="1" customHeight="1" outlineLevel="1">
      <c r="C109" s="831">
        <v>83</v>
      </c>
      <c r="D109" s="832"/>
      <c r="E109" s="833"/>
      <c r="F109" s="833"/>
      <c r="G109" s="1098"/>
      <c r="H109" s="834"/>
      <c r="I109" s="835"/>
      <c r="L109" s="819">
        <f t="shared" si="0"/>
        <v>0</v>
      </c>
      <c r="M109" s="836">
        <f t="shared" si="0"/>
        <v>0</v>
      </c>
      <c r="N109" s="837"/>
      <c r="O109" s="838">
        <f t="shared" si="1"/>
        <v>0</v>
      </c>
      <c r="P109" s="830">
        <f t="shared" si="3"/>
        <v>0</v>
      </c>
      <c r="AD109" s="813"/>
    </row>
    <row r="110" spans="3:30" ht="30" hidden="1" customHeight="1" outlineLevel="1">
      <c r="C110" s="831">
        <v>84</v>
      </c>
      <c r="D110" s="832"/>
      <c r="E110" s="833"/>
      <c r="F110" s="833"/>
      <c r="G110" s="1098"/>
      <c r="H110" s="834"/>
      <c r="I110" s="835"/>
      <c r="L110" s="819">
        <f t="shared" si="0"/>
        <v>0</v>
      </c>
      <c r="M110" s="836">
        <f t="shared" si="0"/>
        <v>0</v>
      </c>
      <c r="N110" s="837"/>
      <c r="O110" s="838">
        <f t="shared" si="1"/>
        <v>0</v>
      </c>
      <c r="P110" s="830">
        <f t="shared" si="3"/>
        <v>0</v>
      </c>
      <c r="AD110" s="813"/>
    </row>
    <row r="111" spans="3:30" ht="30" hidden="1" customHeight="1" outlineLevel="1">
      <c r="C111" s="831">
        <v>85</v>
      </c>
      <c r="D111" s="832"/>
      <c r="E111" s="833"/>
      <c r="F111" s="833"/>
      <c r="G111" s="1098"/>
      <c r="H111" s="834"/>
      <c r="I111" s="835"/>
      <c r="L111" s="819">
        <f t="shared" si="0"/>
        <v>0</v>
      </c>
      <c r="M111" s="836">
        <f t="shared" si="0"/>
        <v>0</v>
      </c>
      <c r="N111" s="837"/>
      <c r="O111" s="838">
        <f t="shared" si="1"/>
        <v>0</v>
      </c>
      <c r="P111" s="830">
        <f t="shared" si="3"/>
        <v>0</v>
      </c>
      <c r="AD111" s="813"/>
    </row>
    <row r="112" spans="3:30" ht="30" hidden="1" customHeight="1" outlineLevel="1">
      <c r="C112" s="831">
        <v>86</v>
      </c>
      <c r="D112" s="832"/>
      <c r="E112" s="833"/>
      <c r="F112" s="833"/>
      <c r="G112" s="1098"/>
      <c r="H112" s="834"/>
      <c r="I112" s="835"/>
      <c r="L112" s="819">
        <f t="shared" si="0"/>
        <v>0</v>
      </c>
      <c r="M112" s="836">
        <f t="shared" si="0"/>
        <v>0</v>
      </c>
      <c r="N112" s="837"/>
      <c r="O112" s="838">
        <f t="shared" si="1"/>
        <v>0</v>
      </c>
      <c r="P112" s="830">
        <f t="shared" si="3"/>
        <v>0</v>
      </c>
      <c r="AD112" s="813"/>
    </row>
    <row r="113" spans="3:30" ht="30" hidden="1" customHeight="1" outlineLevel="1">
      <c r="C113" s="831">
        <v>87</v>
      </c>
      <c r="D113" s="832"/>
      <c r="E113" s="833"/>
      <c r="F113" s="833"/>
      <c r="G113" s="1098"/>
      <c r="H113" s="834"/>
      <c r="I113" s="835"/>
      <c r="L113" s="819">
        <f t="shared" si="0"/>
        <v>0</v>
      </c>
      <c r="M113" s="836">
        <f t="shared" si="0"/>
        <v>0</v>
      </c>
      <c r="N113" s="837"/>
      <c r="O113" s="838">
        <f t="shared" si="1"/>
        <v>0</v>
      </c>
      <c r="P113" s="830">
        <f t="shared" si="3"/>
        <v>0</v>
      </c>
      <c r="AD113" s="813"/>
    </row>
    <row r="114" spans="3:30" ht="30" hidden="1" customHeight="1" outlineLevel="1">
      <c r="C114" s="831">
        <v>88</v>
      </c>
      <c r="D114" s="832"/>
      <c r="E114" s="833"/>
      <c r="F114" s="833"/>
      <c r="G114" s="1098"/>
      <c r="H114" s="834"/>
      <c r="I114" s="835"/>
      <c r="L114" s="819">
        <f t="shared" si="0"/>
        <v>0</v>
      </c>
      <c r="M114" s="836">
        <f t="shared" si="0"/>
        <v>0</v>
      </c>
      <c r="N114" s="837"/>
      <c r="O114" s="838">
        <f t="shared" si="1"/>
        <v>0</v>
      </c>
      <c r="P114" s="830">
        <f t="shared" si="3"/>
        <v>0</v>
      </c>
      <c r="AD114" s="813"/>
    </row>
    <row r="115" spans="3:30" ht="30" hidden="1" customHeight="1" outlineLevel="1">
      <c r="C115" s="831">
        <v>89</v>
      </c>
      <c r="D115" s="832"/>
      <c r="E115" s="833"/>
      <c r="F115" s="833"/>
      <c r="G115" s="1098"/>
      <c r="H115" s="834"/>
      <c r="I115" s="835"/>
      <c r="L115" s="819">
        <f t="shared" si="0"/>
        <v>0</v>
      </c>
      <c r="M115" s="836">
        <f t="shared" si="0"/>
        <v>0</v>
      </c>
      <c r="N115" s="837"/>
      <c r="O115" s="838">
        <f t="shared" si="1"/>
        <v>0</v>
      </c>
      <c r="P115" s="830">
        <f t="shared" si="3"/>
        <v>0</v>
      </c>
      <c r="AD115" s="813"/>
    </row>
    <row r="116" spans="3:30" ht="30" hidden="1" customHeight="1" outlineLevel="1">
      <c r="C116" s="831">
        <v>90</v>
      </c>
      <c r="D116" s="832"/>
      <c r="E116" s="833"/>
      <c r="F116" s="833"/>
      <c r="G116" s="1098"/>
      <c r="H116" s="834"/>
      <c r="I116" s="835"/>
      <c r="L116" s="819">
        <f t="shared" si="0"/>
        <v>0</v>
      </c>
      <c r="M116" s="836">
        <f t="shared" si="0"/>
        <v>0</v>
      </c>
      <c r="N116" s="837"/>
      <c r="O116" s="838">
        <f t="shared" si="1"/>
        <v>0</v>
      </c>
      <c r="P116" s="830">
        <f t="shared" si="3"/>
        <v>0</v>
      </c>
      <c r="AD116" s="813"/>
    </row>
    <row r="117" spans="3:30" ht="30" hidden="1" customHeight="1" outlineLevel="1">
      <c r="C117" s="831">
        <v>91</v>
      </c>
      <c r="D117" s="832"/>
      <c r="E117" s="833"/>
      <c r="F117" s="833"/>
      <c r="G117" s="1098"/>
      <c r="H117" s="834"/>
      <c r="I117" s="835"/>
      <c r="L117" s="819">
        <f t="shared" si="0"/>
        <v>0</v>
      </c>
      <c r="M117" s="836">
        <f t="shared" si="0"/>
        <v>0</v>
      </c>
      <c r="N117" s="837"/>
      <c r="O117" s="838">
        <f t="shared" si="1"/>
        <v>0</v>
      </c>
      <c r="P117" s="830">
        <f t="shared" si="3"/>
        <v>0</v>
      </c>
      <c r="AD117" s="813"/>
    </row>
    <row r="118" spans="3:30" ht="30" hidden="1" customHeight="1" outlineLevel="1">
      <c r="C118" s="831">
        <v>92</v>
      </c>
      <c r="D118" s="832"/>
      <c r="E118" s="833"/>
      <c r="F118" s="833"/>
      <c r="G118" s="1098"/>
      <c r="H118" s="834"/>
      <c r="I118" s="835"/>
      <c r="L118" s="819">
        <f t="shared" si="0"/>
        <v>0</v>
      </c>
      <c r="M118" s="836">
        <f t="shared" si="0"/>
        <v>0</v>
      </c>
      <c r="N118" s="837"/>
      <c r="O118" s="838">
        <f t="shared" si="1"/>
        <v>0</v>
      </c>
      <c r="P118" s="830">
        <f t="shared" si="3"/>
        <v>0</v>
      </c>
      <c r="AD118" s="813"/>
    </row>
    <row r="119" spans="3:30" ht="30" hidden="1" customHeight="1" outlineLevel="1">
      <c r="C119" s="831">
        <v>93</v>
      </c>
      <c r="D119" s="832"/>
      <c r="E119" s="833"/>
      <c r="F119" s="833"/>
      <c r="G119" s="1098"/>
      <c r="H119" s="834"/>
      <c r="I119" s="835"/>
      <c r="L119" s="819">
        <f t="shared" si="0"/>
        <v>0</v>
      </c>
      <c r="M119" s="836">
        <f t="shared" si="0"/>
        <v>0</v>
      </c>
      <c r="N119" s="837"/>
      <c r="O119" s="838">
        <f t="shared" si="1"/>
        <v>0</v>
      </c>
      <c r="P119" s="830">
        <f t="shared" si="3"/>
        <v>0</v>
      </c>
      <c r="AD119" s="813"/>
    </row>
    <row r="120" spans="3:30" ht="30" hidden="1" customHeight="1" outlineLevel="1">
      <c r="C120" s="831">
        <v>94</v>
      </c>
      <c r="D120" s="832"/>
      <c r="E120" s="833"/>
      <c r="F120" s="833"/>
      <c r="G120" s="1098"/>
      <c r="H120" s="834"/>
      <c r="I120" s="835"/>
      <c r="L120" s="819">
        <f t="shared" si="0"/>
        <v>0</v>
      </c>
      <c r="M120" s="836">
        <f t="shared" si="0"/>
        <v>0</v>
      </c>
      <c r="N120" s="837"/>
      <c r="O120" s="838">
        <f t="shared" si="1"/>
        <v>0</v>
      </c>
      <c r="P120" s="830">
        <f t="shared" si="3"/>
        <v>0</v>
      </c>
      <c r="AD120" s="813"/>
    </row>
    <row r="121" spans="3:30" ht="30" hidden="1" customHeight="1" outlineLevel="1">
      <c r="C121" s="831">
        <v>95</v>
      </c>
      <c r="D121" s="832"/>
      <c r="E121" s="833"/>
      <c r="F121" s="833"/>
      <c r="G121" s="1098"/>
      <c r="H121" s="834"/>
      <c r="I121" s="835"/>
      <c r="L121" s="819">
        <f t="shared" si="0"/>
        <v>0</v>
      </c>
      <c r="M121" s="836">
        <f t="shared" si="0"/>
        <v>0</v>
      </c>
      <c r="N121" s="837"/>
      <c r="O121" s="838">
        <f t="shared" si="1"/>
        <v>0</v>
      </c>
      <c r="P121" s="830">
        <f t="shared" si="3"/>
        <v>0</v>
      </c>
      <c r="AD121" s="813"/>
    </row>
    <row r="122" spans="3:30" ht="30" hidden="1" customHeight="1" outlineLevel="1">
      <c r="C122" s="831">
        <v>96</v>
      </c>
      <c r="D122" s="832"/>
      <c r="E122" s="833"/>
      <c r="F122" s="833"/>
      <c r="G122" s="1098"/>
      <c r="H122" s="834"/>
      <c r="I122" s="835"/>
      <c r="L122" s="819">
        <f t="shared" si="0"/>
        <v>0</v>
      </c>
      <c r="M122" s="836">
        <f t="shared" si="0"/>
        <v>0</v>
      </c>
      <c r="N122" s="837"/>
      <c r="O122" s="838">
        <f t="shared" si="1"/>
        <v>0</v>
      </c>
      <c r="P122" s="830">
        <f t="shared" si="3"/>
        <v>0</v>
      </c>
      <c r="AD122" s="813"/>
    </row>
    <row r="123" spans="3:30" ht="30" hidden="1" customHeight="1" outlineLevel="1">
      <c r="C123" s="831">
        <v>97</v>
      </c>
      <c r="D123" s="832"/>
      <c r="E123" s="833"/>
      <c r="F123" s="833"/>
      <c r="G123" s="1098"/>
      <c r="H123" s="834"/>
      <c r="I123" s="835"/>
      <c r="L123" s="819">
        <f t="shared" si="0"/>
        <v>0</v>
      </c>
      <c r="M123" s="836">
        <f t="shared" si="0"/>
        <v>0</v>
      </c>
      <c r="N123" s="837"/>
      <c r="O123" s="838">
        <f t="shared" si="1"/>
        <v>0</v>
      </c>
      <c r="P123" s="830">
        <f t="shared" si="3"/>
        <v>0</v>
      </c>
      <c r="AD123" s="813"/>
    </row>
    <row r="124" spans="3:30" ht="30" hidden="1" customHeight="1" outlineLevel="1">
      <c r="C124" s="831">
        <v>98</v>
      </c>
      <c r="D124" s="832"/>
      <c r="E124" s="833"/>
      <c r="F124" s="833"/>
      <c r="G124" s="1098"/>
      <c r="H124" s="834"/>
      <c r="I124" s="835"/>
      <c r="L124" s="819">
        <f t="shared" si="0"/>
        <v>0</v>
      </c>
      <c r="M124" s="836">
        <f t="shared" si="0"/>
        <v>0</v>
      </c>
      <c r="N124" s="837"/>
      <c r="O124" s="838">
        <f t="shared" si="1"/>
        <v>0</v>
      </c>
      <c r="P124" s="830">
        <f t="shared" si="3"/>
        <v>0</v>
      </c>
      <c r="AD124" s="813"/>
    </row>
    <row r="125" spans="3:30" ht="30" hidden="1" customHeight="1" outlineLevel="1">
      <c r="C125" s="831">
        <v>99</v>
      </c>
      <c r="D125" s="832"/>
      <c r="E125" s="833"/>
      <c r="F125" s="833"/>
      <c r="G125" s="1098"/>
      <c r="H125" s="834"/>
      <c r="I125" s="835"/>
      <c r="L125" s="819">
        <f t="shared" si="0"/>
        <v>0</v>
      </c>
      <c r="M125" s="836">
        <f t="shared" si="0"/>
        <v>0</v>
      </c>
      <c r="N125" s="837"/>
      <c r="O125" s="838">
        <f t="shared" si="1"/>
        <v>0</v>
      </c>
      <c r="P125" s="830">
        <f t="shared" si="3"/>
        <v>0</v>
      </c>
      <c r="AD125" s="813"/>
    </row>
    <row r="126" spans="3:30" ht="30" hidden="1" customHeight="1" outlineLevel="1">
      <c r="C126" s="831">
        <v>100</v>
      </c>
      <c r="D126" s="832"/>
      <c r="E126" s="833"/>
      <c r="F126" s="833"/>
      <c r="G126" s="1098"/>
      <c r="H126" s="834"/>
      <c r="I126" s="835"/>
      <c r="L126" s="819">
        <f t="shared" si="0"/>
        <v>0</v>
      </c>
      <c r="M126" s="836">
        <f t="shared" si="0"/>
        <v>0</v>
      </c>
      <c r="N126" s="837"/>
      <c r="O126" s="838">
        <f t="shared" si="1"/>
        <v>0</v>
      </c>
      <c r="P126" s="830">
        <f t="shared" si="3"/>
        <v>0</v>
      </c>
      <c r="AD126" s="813"/>
    </row>
    <row r="127" spans="3:30" ht="30" hidden="1" customHeight="1" outlineLevel="1">
      <c r="C127" s="831">
        <v>101</v>
      </c>
      <c r="D127" s="832"/>
      <c r="E127" s="833"/>
      <c r="F127" s="833"/>
      <c r="G127" s="1098"/>
      <c r="H127" s="834"/>
      <c r="I127" s="835"/>
      <c r="L127" s="819">
        <f t="shared" si="0"/>
        <v>0</v>
      </c>
      <c r="M127" s="836">
        <f t="shared" si="0"/>
        <v>0</v>
      </c>
      <c r="N127" s="837"/>
      <c r="O127" s="838">
        <f t="shared" si="1"/>
        <v>0</v>
      </c>
      <c r="P127" s="830">
        <f t="shared" si="3"/>
        <v>0</v>
      </c>
      <c r="AD127" s="813"/>
    </row>
    <row r="128" spans="3:30" ht="30" hidden="1" customHeight="1" outlineLevel="1">
      <c r="C128" s="831">
        <v>102</v>
      </c>
      <c r="D128" s="832"/>
      <c r="E128" s="833"/>
      <c r="F128" s="833"/>
      <c r="G128" s="1098"/>
      <c r="H128" s="834"/>
      <c r="I128" s="835"/>
      <c r="L128" s="819">
        <f t="shared" si="0"/>
        <v>0</v>
      </c>
      <c r="M128" s="836">
        <f t="shared" si="0"/>
        <v>0</v>
      </c>
      <c r="N128" s="837"/>
      <c r="O128" s="838">
        <f t="shared" si="1"/>
        <v>0</v>
      </c>
      <c r="P128" s="830">
        <f t="shared" si="3"/>
        <v>0</v>
      </c>
      <c r="AD128" s="813"/>
    </row>
    <row r="129" spans="3:30" ht="30" hidden="1" customHeight="1" outlineLevel="1">
      <c r="C129" s="831">
        <v>103</v>
      </c>
      <c r="D129" s="832"/>
      <c r="E129" s="833"/>
      <c r="F129" s="833"/>
      <c r="G129" s="1098"/>
      <c r="H129" s="834"/>
      <c r="I129" s="835"/>
      <c r="L129" s="819">
        <f t="shared" si="0"/>
        <v>0</v>
      </c>
      <c r="M129" s="836">
        <f t="shared" si="0"/>
        <v>0</v>
      </c>
      <c r="N129" s="837"/>
      <c r="O129" s="838">
        <f t="shared" si="1"/>
        <v>0</v>
      </c>
      <c r="P129" s="830">
        <f t="shared" si="3"/>
        <v>0</v>
      </c>
      <c r="AD129" s="813"/>
    </row>
    <row r="130" spans="3:30" ht="30" hidden="1" customHeight="1" outlineLevel="1">
      <c r="C130" s="831">
        <v>104</v>
      </c>
      <c r="D130" s="832"/>
      <c r="E130" s="833"/>
      <c r="F130" s="833"/>
      <c r="G130" s="1098"/>
      <c r="H130" s="834"/>
      <c r="I130" s="835"/>
      <c r="L130" s="819">
        <f t="shared" si="0"/>
        <v>0</v>
      </c>
      <c r="M130" s="836">
        <f t="shared" si="0"/>
        <v>0</v>
      </c>
      <c r="N130" s="837"/>
      <c r="O130" s="838">
        <f t="shared" si="1"/>
        <v>0</v>
      </c>
      <c r="P130" s="830">
        <f t="shared" si="3"/>
        <v>0</v>
      </c>
      <c r="AD130" s="813"/>
    </row>
    <row r="131" spans="3:30" ht="30" hidden="1" customHeight="1" outlineLevel="1">
      <c r="C131" s="831">
        <v>105</v>
      </c>
      <c r="D131" s="832"/>
      <c r="E131" s="833"/>
      <c r="F131" s="833"/>
      <c r="G131" s="1098"/>
      <c r="H131" s="834"/>
      <c r="I131" s="835"/>
      <c r="L131" s="819">
        <f t="shared" si="0"/>
        <v>0</v>
      </c>
      <c r="M131" s="836">
        <f t="shared" si="0"/>
        <v>0</v>
      </c>
      <c r="N131" s="837"/>
      <c r="O131" s="838">
        <f t="shared" si="1"/>
        <v>0</v>
      </c>
      <c r="P131" s="830">
        <f t="shared" si="3"/>
        <v>0</v>
      </c>
      <c r="AD131" s="813"/>
    </row>
    <row r="132" spans="3:30" ht="30" hidden="1" customHeight="1" outlineLevel="1">
      <c r="C132" s="831">
        <v>106</v>
      </c>
      <c r="D132" s="832"/>
      <c r="E132" s="833"/>
      <c r="F132" s="833"/>
      <c r="G132" s="1098"/>
      <c r="H132" s="834"/>
      <c r="I132" s="835"/>
      <c r="L132" s="819">
        <f t="shared" si="0"/>
        <v>0</v>
      </c>
      <c r="M132" s="836">
        <f t="shared" si="0"/>
        <v>0</v>
      </c>
      <c r="N132" s="837"/>
      <c r="O132" s="838">
        <f t="shared" si="1"/>
        <v>0</v>
      </c>
      <c r="P132" s="830">
        <f t="shared" si="3"/>
        <v>0</v>
      </c>
      <c r="AD132" s="813"/>
    </row>
    <row r="133" spans="3:30" ht="30" hidden="1" customHeight="1" outlineLevel="1">
      <c r="C133" s="831">
        <v>107</v>
      </c>
      <c r="D133" s="832"/>
      <c r="E133" s="833"/>
      <c r="F133" s="833"/>
      <c r="G133" s="1098"/>
      <c r="H133" s="834"/>
      <c r="I133" s="835"/>
      <c r="L133" s="819">
        <f t="shared" si="0"/>
        <v>0</v>
      </c>
      <c r="M133" s="836">
        <f t="shared" si="0"/>
        <v>0</v>
      </c>
      <c r="N133" s="837"/>
      <c r="O133" s="838">
        <f t="shared" si="1"/>
        <v>0</v>
      </c>
      <c r="P133" s="830">
        <f t="shared" si="3"/>
        <v>0</v>
      </c>
      <c r="AD133" s="813"/>
    </row>
    <row r="134" spans="3:30" ht="30" hidden="1" customHeight="1" outlineLevel="1">
      <c r="C134" s="831">
        <v>108</v>
      </c>
      <c r="D134" s="832"/>
      <c r="E134" s="833"/>
      <c r="F134" s="833"/>
      <c r="G134" s="1098"/>
      <c r="H134" s="834"/>
      <c r="I134" s="835"/>
      <c r="L134" s="819">
        <f t="shared" si="0"/>
        <v>0</v>
      </c>
      <c r="M134" s="836">
        <f t="shared" si="0"/>
        <v>0</v>
      </c>
      <c r="N134" s="837"/>
      <c r="O134" s="838">
        <f t="shared" si="1"/>
        <v>0</v>
      </c>
      <c r="P134" s="830">
        <f t="shared" si="3"/>
        <v>0</v>
      </c>
      <c r="AD134" s="813"/>
    </row>
    <row r="135" spans="3:30" ht="30" hidden="1" customHeight="1" outlineLevel="1">
      <c r="C135" s="831">
        <v>109</v>
      </c>
      <c r="D135" s="832"/>
      <c r="E135" s="833"/>
      <c r="F135" s="833"/>
      <c r="G135" s="1098"/>
      <c r="H135" s="834"/>
      <c r="I135" s="835"/>
      <c r="L135" s="819">
        <f t="shared" si="0"/>
        <v>0</v>
      </c>
      <c r="M135" s="836">
        <f t="shared" si="0"/>
        <v>0</v>
      </c>
      <c r="N135" s="837"/>
      <c r="O135" s="838">
        <f t="shared" si="1"/>
        <v>0</v>
      </c>
      <c r="P135" s="830">
        <f t="shared" si="3"/>
        <v>0</v>
      </c>
      <c r="AD135" s="813"/>
    </row>
    <row r="136" spans="3:30" ht="30" hidden="1" customHeight="1" outlineLevel="1">
      <c r="C136" s="831">
        <v>110</v>
      </c>
      <c r="D136" s="832"/>
      <c r="E136" s="833"/>
      <c r="F136" s="833"/>
      <c r="G136" s="1098"/>
      <c r="H136" s="834"/>
      <c r="I136" s="835"/>
      <c r="L136" s="819">
        <f t="shared" si="0"/>
        <v>0</v>
      </c>
      <c r="M136" s="836">
        <f t="shared" si="0"/>
        <v>0</v>
      </c>
      <c r="N136" s="837"/>
      <c r="O136" s="838">
        <f t="shared" si="1"/>
        <v>0</v>
      </c>
      <c r="P136" s="830">
        <f t="shared" si="3"/>
        <v>0</v>
      </c>
      <c r="AD136" s="813"/>
    </row>
    <row r="137" spans="3:30" ht="30" hidden="1" customHeight="1" outlineLevel="1">
      <c r="C137" s="831">
        <v>111</v>
      </c>
      <c r="D137" s="832"/>
      <c r="E137" s="833"/>
      <c r="F137" s="833"/>
      <c r="G137" s="1098"/>
      <c r="H137" s="834"/>
      <c r="I137" s="835"/>
      <c r="L137" s="819">
        <f t="shared" si="0"/>
        <v>0</v>
      </c>
      <c r="M137" s="836">
        <f t="shared" si="0"/>
        <v>0</v>
      </c>
      <c r="N137" s="837"/>
      <c r="O137" s="838">
        <f t="shared" si="1"/>
        <v>0</v>
      </c>
      <c r="P137" s="830">
        <f t="shared" si="3"/>
        <v>0</v>
      </c>
      <c r="AD137" s="813"/>
    </row>
    <row r="138" spans="3:30" ht="30" hidden="1" customHeight="1" outlineLevel="1">
      <c r="C138" s="831">
        <v>112</v>
      </c>
      <c r="D138" s="832"/>
      <c r="E138" s="833"/>
      <c r="F138" s="833"/>
      <c r="G138" s="1098"/>
      <c r="H138" s="834"/>
      <c r="I138" s="835"/>
      <c r="L138" s="819">
        <f t="shared" si="0"/>
        <v>0</v>
      </c>
      <c r="M138" s="836">
        <f t="shared" si="0"/>
        <v>0</v>
      </c>
      <c r="N138" s="837"/>
      <c r="O138" s="838">
        <f t="shared" si="1"/>
        <v>0</v>
      </c>
      <c r="P138" s="830">
        <f t="shared" si="3"/>
        <v>0</v>
      </c>
      <c r="AD138" s="813"/>
    </row>
    <row r="139" spans="3:30" ht="30" hidden="1" customHeight="1" outlineLevel="1">
      <c r="C139" s="831">
        <v>113</v>
      </c>
      <c r="D139" s="832"/>
      <c r="E139" s="833"/>
      <c r="F139" s="833"/>
      <c r="G139" s="1098"/>
      <c r="H139" s="834"/>
      <c r="I139" s="835"/>
      <c r="L139" s="819">
        <f t="shared" si="0"/>
        <v>0</v>
      </c>
      <c r="M139" s="836">
        <f t="shared" si="0"/>
        <v>0</v>
      </c>
      <c r="N139" s="837"/>
      <c r="O139" s="838">
        <f t="shared" si="1"/>
        <v>0</v>
      </c>
      <c r="P139" s="830">
        <f t="shared" si="3"/>
        <v>0</v>
      </c>
      <c r="AD139" s="813"/>
    </row>
    <row r="140" spans="3:30" ht="30" hidden="1" customHeight="1" outlineLevel="1">
      <c r="C140" s="831">
        <v>114</v>
      </c>
      <c r="D140" s="832"/>
      <c r="E140" s="833"/>
      <c r="F140" s="833"/>
      <c r="G140" s="1098"/>
      <c r="H140" s="834"/>
      <c r="I140" s="835"/>
      <c r="L140" s="819">
        <f t="shared" si="0"/>
        <v>0</v>
      </c>
      <c r="M140" s="836">
        <f t="shared" si="0"/>
        <v>0</v>
      </c>
      <c r="N140" s="837"/>
      <c r="O140" s="838">
        <f t="shared" si="1"/>
        <v>0</v>
      </c>
      <c r="P140" s="830">
        <f t="shared" si="3"/>
        <v>0</v>
      </c>
      <c r="AD140" s="813"/>
    </row>
    <row r="141" spans="3:30" ht="30" hidden="1" customHeight="1" outlineLevel="1">
      <c r="C141" s="831">
        <v>115</v>
      </c>
      <c r="D141" s="832"/>
      <c r="E141" s="833"/>
      <c r="F141" s="833"/>
      <c r="G141" s="1098"/>
      <c r="H141" s="834"/>
      <c r="I141" s="835"/>
      <c r="L141" s="819">
        <f t="shared" si="0"/>
        <v>0</v>
      </c>
      <c r="M141" s="836">
        <f t="shared" si="0"/>
        <v>0</v>
      </c>
      <c r="N141" s="837"/>
      <c r="O141" s="838">
        <f t="shared" si="1"/>
        <v>0</v>
      </c>
      <c r="P141" s="830">
        <f t="shared" si="3"/>
        <v>0</v>
      </c>
      <c r="AD141" s="813"/>
    </row>
    <row r="142" spans="3:30" ht="30" hidden="1" customHeight="1" outlineLevel="1">
      <c r="C142" s="831">
        <v>116</v>
      </c>
      <c r="D142" s="832"/>
      <c r="E142" s="833"/>
      <c r="F142" s="833"/>
      <c r="G142" s="1098"/>
      <c r="H142" s="834"/>
      <c r="I142" s="835"/>
      <c r="L142" s="819">
        <f t="shared" si="0"/>
        <v>0</v>
      </c>
      <c r="M142" s="836">
        <f t="shared" si="0"/>
        <v>0</v>
      </c>
      <c r="N142" s="837"/>
      <c r="O142" s="838">
        <f t="shared" si="1"/>
        <v>0</v>
      </c>
      <c r="P142" s="830">
        <f t="shared" si="3"/>
        <v>0</v>
      </c>
      <c r="AD142" s="813"/>
    </row>
    <row r="143" spans="3:30" ht="30" hidden="1" customHeight="1" outlineLevel="1">
      <c r="C143" s="831">
        <v>117</v>
      </c>
      <c r="D143" s="832"/>
      <c r="E143" s="833"/>
      <c r="F143" s="833"/>
      <c r="G143" s="1098"/>
      <c r="H143" s="834"/>
      <c r="I143" s="835"/>
      <c r="L143" s="819">
        <f t="shared" si="0"/>
        <v>0</v>
      </c>
      <c r="M143" s="836">
        <f t="shared" si="0"/>
        <v>0</v>
      </c>
      <c r="N143" s="837"/>
      <c r="O143" s="838">
        <f t="shared" si="1"/>
        <v>0</v>
      </c>
      <c r="P143" s="830">
        <f t="shared" si="3"/>
        <v>0</v>
      </c>
      <c r="AD143" s="813"/>
    </row>
    <row r="144" spans="3:30" ht="30" hidden="1" customHeight="1" outlineLevel="1">
      <c r="C144" s="831">
        <v>118</v>
      </c>
      <c r="D144" s="832"/>
      <c r="E144" s="833"/>
      <c r="F144" s="833"/>
      <c r="G144" s="1098"/>
      <c r="H144" s="834"/>
      <c r="I144" s="835"/>
      <c r="L144" s="819">
        <f t="shared" si="0"/>
        <v>0</v>
      </c>
      <c r="M144" s="836">
        <f t="shared" si="0"/>
        <v>0</v>
      </c>
      <c r="N144" s="837"/>
      <c r="O144" s="838">
        <f t="shared" si="1"/>
        <v>0</v>
      </c>
      <c r="P144" s="830">
        <f t="shared" si="3"/>
        <v>0</v>
      </c>
      <c r="AD144" s="813"/>
    </row>
    <row r="145" spans="3:30" ht="30" hidden="1" customHeight="1" outlineLevel="1">
      <c r="C145" s="831">
        <v>119</v>
      </c>
      <c r="D145" s="832"/>
      <c r="E145" s="833"/>
      <c r="F145" s="833"/>
      <c r="G145" s="1098"/>
      <c r="H145" s="834"/>
      <c r="I145" s="835"/>
      <c r="L145" s="819">
        <f t="shared" si="0"/>
        <v>0</v>
      </c>
      <c r="M145" s="836">
        <f t="shared" si="0"/>
        <v>0</v>
      </c>
      <c r="N145" s="837"/>
      <c r="O145" s="838">
        <f t="shared" si="1"/>
        <v>0</v>
      </c>
      <c r="P145" s="830">
        <f t="shared" si="3"/>
        <v>0</v>
      </c>
      <c r="AD145" s="813"/>
    </row>
    <row r="146" spans="3:30" ht="30" hidden="1" customHeight="1" outlineLevel="1">
      <c r="C146" s="831">
        <v>120</v>
      </c>
      <c r="D146" s="832"/>
      <c r="E146" s="833"/>
      <c r="F146" s="833"/>
      <c r="G146" s="1098"/>
      <c r="H146" s="834"/>
      <c r="I146" s="835"/>
      <c r="L146" s="819">
        <f t="shared" si="0"/>
        <v>0</v>
      </c>
      <c r="M146" s="836">
        <f t="shared" si="0"/>
        <v>0</v>
      </c>
      <c r="N146" s="837"/>
      <c r="O146" s="838">
        <f t="shared" si="1"/>
        <v>0</v>
      </c>
      <c r="P146" s="830">
        <f t="shared" si="3"/>
        <v>0</v>
      </c>
      <c r="AD146" s="813"/>
    </row>
    <row r="147" spans="3:30" ht="30" hidden="1" customHeight="1" outlineLevel="1">
      <c r="C147" s="831">
        <v>121</v>
      </c>
      <c r="D147" s="832"/>
      <c r="E147" s="833"/>
      <c r="F147" s="833"/>
      <c r="G147" s="1098"/>
      <c r="H147" s="834"/>
      <c r="I147" s="835"/>
      <c r="L147" s="819">
        <f t="shared" si="0"/>
        <v>0</v>
      </c>
      <c r="M147" s="836">
        <f t="shared" si="0"/>
        <v>0</v>
      </c>
      <c r="N147" s="837"/>
      <c r="O147" s="838">
        <f t="shared" si="1"/>
        <v>0</v>
      </c>
      <c r="P147" s="830">
        <f t="shared" si="3"/>
        <v>0</v>
      </c>
      <c r="AD147" s="813"/>
    </row>
    <row r="148" spans="3:30" ht="30" hidden="1" customHeight="1" outlineLevel="1">
      <c r="C148" s="831">
        <v>122</v>
      </c>
      <c r="D148" s="832"/>
      <c r="E148" s="833"/>
      <c r="F148" s="833"/>
      <c r="G148" s="1098"/>
      <c r="H148" s="834"/>
      <c r="I148" s="835"/>
      <c r="L148" s="819">
        <f t="shared" si="0"/>
        <v>0</v>
      </c>
      <c r="M148" s="836">
        <f t="shared" si="0"/>
        <v>0</v>
      </c>
      <c r="N148" s="837"/>
      <c r="O148" s="838">
        <f t="shared" si="1"/>
        <v>0</v>
      </c>
      <c r="P148" s="830">
        <f t="shared" si="3"/>
        <v>0</v>
      </c>
      <c r="AD148" s="813"/>
    </row>
    <row r="149" spans="3:30" ht="30" hidden="1" customHeight="1" outlineLevel="1">
      <c r="C149" s="831">
        <v>123</v>
      </c>
      <c r="D149" s="832"/>
      <c r="E149" s="833"/>
      <c r="F149" s="833"/>
      <c r="G149" s="1098"/>
      <c r="H149" s="834"/>
      <c r="I149" s="835"/>
      <c r="L149" s="819">
        <f t="shared" si="0"/>
        <v>0</v>
      </c>
      <c r="M149" s="836">
        <f t="shared" si="0"/>
        <v>0</v>
      </c>
      <c r="N149" s="837"/>
      <c r="O149" s="838">
        <f t="shared" si="1"/>
        <v>0</v>
      </c>
      <c r="P149" s="830">
        <f t="shared" si="3"/>
        <v>0</v>
      </c>
      <c r="AD149" s="813"/>
    </row>
    <row r="150" spans="3:30" ht="30" hidden="1" customHeight="1" outlineLevel="1">
      <c r="C150" s="831">
        <v>124</v>
      </c>
      <c r="D150" s="832"/>
      <c r="E150" s="833"/>
      <c r="F150" s="833"/>
      <c r="G150" s="1098"/>
      <c r="H150" s="834"/>
      <c r="I150" s="835"/>
      <c r="L150" s="819">
        <f t="shared" si="0"/>
        <v>0</v>
      </c>
      <c r="M150" s="836">
        <f t="shared" si="0"/>
        <v>0</v>
      </c>
      <c r="N150" s="837"/>
      <c r="O150" s="838">
        <f t="shared" si="1"/>
        <v>0</v>
      </c>
      <c r="P150" s="830">
        <f t="shared" si="3"/>
        <v>0</v>
      </c>
      <c r="AD150" s="813"/>
    </row>
    <row r="151" spans="3:30" ht="30" hidden="1" customHeight="1" outlineLevel="1">
      <c r="C151" s="831">
        <v>125</v>
      </c>
      <c r="D151" s="832"/>
      <c r="E151" s="833"/>
      <c r="F151" s="833"/>
      <c r="G151" s="1098"/>
      <c r="H151" s="834"/>
      <c r="I151" s="835"/>
      <c r="L151" s="819">
        <f t="shared" si="0"/>
        <v>0</v>
      </c>
      <c r="M151" s="836">
        <f t="shared" si="0"/>
        <v>0</v>
      </c>
      <c r="N151" s="837"/>
      <c r="O151" s="838">
        <f t="shared" si="1"/>
        <v>0</v>
      </c>
      <c r="P151" s="830">
        <f t="shared" si="3"/>
        <v>0</v>
      </c>
      <c r="AD151" s="813"/>
    </row>
    <row r="152" spans="3:30" ht="30" hidden="1" customHeight="1" outlineLevel="1">
      <c r="C152" s="831">
        <v>126</v>
      </c>
      <c r="D152" s="832"/>
      <c r="E152" s="833"/>
      <c r="F152" s="833"/>
      <c r="G152" s="1098"/>
      <c r="H152" s="834"/>
      <c r="I152" s="835"/>
      <c r="L152" s="819">
        <f t="shared" si="0"/>
        <v>0</v>
      </c>
      <c r="M152" s="836">
        <f t="shared" si="0"/>
        <v>0</v>
      </c>
      <c r="N152" s="837"/>
      <c r="O152" s="838">
        <f t="shared" si="1"/>
        <v>0</v>
      </c>
      <c r="P152" s="830">
        <f t="shared" si="3"/>
        <v>0</v>
      </c>
      <c r="AD152" s="813"/>
    </row>
    <row r="153" spans="3:30" ht="30" hidden="1" customHeight="1" outlineLevel="1">
      <c r="C153" s="831">
        <v>127</v>
      </c>
      <c r="D153" s="832"/>
      <c r="E153" s="833"/>
      <c r="F153" s="833"/>
      <c r="G153" s="1098"/>
      <c r="H153" s="834"/>
      <c r="I153" s="835"/>
      <c r="L153" s="819">
        <f t="shared" si="0"/>
        <v>0</v>
      </c>
      <c r="M153" s="836">
        <f t="shared" si="0"/>
        <v>0</v>
      </c>
      <c r="N153" s="837"/>
      <c r="O153" s="838">
        <f t="shared" si="1"/>
        <v>0</v>
      </c>
      <c r="P153" s="830">
        <f t="shared" si="3"/>
        <v>0</v>
      </c>
      <c r="AD153" s="813"/>
    </row>
    <row r="154" spans="3:30" ht="30" hidden="1" customHeight="1" outlineLevel="1">
      <c r="C154" s="831">
        <v>128</v>
      </c>
      <c r="D154" s="832"/>
      <c r="E154" s="833"/>
      <c r="F154" s="833"/>
      <c r="G154" s="1098"/>
      <c r="H154" s="834"/>
      <c r="I154" s="835"/>
      <c r="L154" s="819">
        <f t="shared" si="0"/>
        <v>0</v>
      </c>
      <c r="M154" s="836">
        <f t="shared" si="0"/>
        <v>0</v>
      </c>
      <c r="N154" s="837"/>
      <c r="O154" s="838">
        <f t="shared" si="1"/>
        <v>0</v>
      </c>
      <c r="P154" s="830">
        <f t="shared" si="3"/>
        <v>0</v>
      </c>
      <c r="AD154" s="813"/>
    </row>
    <row r="155" spans="3:30" ht="30" hidden="1" customHeight="1" outlineLevel="1">
      <c r="C155" s="831">
        <v>129</v>
      </c>
      <c r="D155" s="832"/>
      <c r="E155" s="833"/>
      <c r="F155" s="833"/>
      <c r="G155" s="1098"/>
      <c r="H155" s="834"/>
      <c r="I155" s="835"/>
      <c r="L155" s="819">
        <f t="shared" si="0"/>
        <v>0</v>
      </c>
      <c r="M155" s="836">
        <f t="shared" ref="M155:M170" si="4">IF($G155&gt;0,F155,)</f>
        <v>0</v>
      </c>
      <c r="N155" s="837"/>
      <c r="O155" s="838">
        <f t="shared" si="1"/>
        <v>0</v>
      </c>
      <c r="P155" s="830">
        <f t="shared" si="3"/>
        <v>0</v>
      </c>
      <c r="AD155" s="813"/>
    </row>
    <row r="156" spans="3:30" ht="30" hidden="1" customHeight="1" outlineLevel="1">
      <c r="C156" s="831">
        <v>130</v>
      </c>
      <c r="D156" s="832"/>
      <c r="E156" s="833"/>
      <c r="F156" s="833"/>
      <c r="G156" s="1098"/>
      <c r="H156" s="834"/>
      <c r="I156" s="835"/>
      <c r="L156" s="819">
        <f t="shared" ref="L156:M175" si="5">IF($G156&gt;0,E156,)</f>
        <v>0</v>
      </c>
      <c r="M156" s="836">
        <f t="shared" si="4"/>
        <v>0</v>
      </c>
      <c r="N156" s="837"/>
      <c r="O156" s="838">
        <f t="shared" si="1"/>
        <v>0</v>
      </c>
      <c r="P156" s="830">
        <f t="shared" ref="P156:P176" si="6">ROUND(O156*G156%,)</f>
        <v>0</v>
      </c>
      <c r="AD156" s="813"/>
    </row>
    <row r="157" spans="3:30" ht="30" hidden="1" customHeight="1" outlineLevel="1">
      <c r="C157" s="831">
        <v>131</v>
      </c>
      <c r="D157" s="832"/>
      <c r="E157" s="833"/>
      <c r="F157" s="833"/>
      <c r="G157" s="1098"/>
      <c r="H157" s="834"/>
      <c r="I157" s="835"/>
      <c r="L157" s="819">
        <f t="shared" si="5"/>
        <v>0</v>
      </c>
      <c r="M157" s="836">
        <f t="shared" si="4"/>
        <v>0</v>
      </c>
      <c r="N157" s="837"/>
      <c r="O157" s="838">
        <f t="shared" si="1"/>
        <v>0</v>
      </c>
      <c r="P157" s="830">
        <f t="shared" si="6"/>
        <v>0</v>
      </c>
      <c r="AD157" s="813"/>
    </row>
    <row r="158" spans="3:30" ht="30" hidden="1" customHeight="1" outlineLevel="1">
      <c r="C158" s="831">
        <v>132</v>
      </c>
      <c r="D158" s="832"/>
      <c r="E158" s="833"/>
      <c r="F158" s="833"/>
      <c r="G158" s="1098"/>
      <c r="H158" s="834"/>
      <c r="I158" s="835"/>
      <c r="L158" s="819">
        <f t="shared" si="5"/>
        <v>0</v>
      </c>
      <c r="M158" s="836">
        <f t="shared" si="4"/>
        <v>0</v>
      </c>
      <c r="N158" s="837"/>
      <c r="O158" s="838">
        <f t="shared" si="1"/>
        <v>0</v>
      </c>
      <c r="P158" s="830">
        <f t="shared" si="6"/>
        <v>0</v>
      </c>
      <c r="AD158" s="813"/>
    </row>
    <row r="159" spans="3:30" ht="30" hidden="1" customHeight="1" outlineLevel="1">
      <c r="C159" s="831">
        <v>133</v>
      </c>
      <c r="D159" s="832"/>
      <c r="E159" s="833"/>
      <c r="F159" s="833"/>
      <c r="G159" s="1098"/>
      <c r="H159" s="834"/>
      <c r="I159" s="835"/>
      <c r="L159" s="819">
        <f t="shared" si="5"/>
        <v>0</v>
      </c>
      <c r="M159" s="836">
        <f t="shared" si="4"/>
        <v>0</v>
      </c>
      <c r="N159" s="837"/>
      <c r="O159" s="838">
        <f t="shared" si="1"/>
        <v>0</v>
      </c>
      <c r="P159" s="830">
        <f t="shared" si="6"/>
        <v>0</v>
      </c>
      <c r="AD159" s="813"/>
    </row>
    <row r="160" spans="3:30" ht="30" hidden="1" customHeight="1" outlineLevel="1">
      <c r="C160" s="831">
        <v>134</v>
      </c>
      <c r="D160" s="832"/>
      <c r="E160" s="833"/>
      <c r="F160" s="833"/>
      <c r="G160" s="1098"/>
      <c r="H160" s="834"/>
      <c r="I160" s="835"/>
      <c r="L160" s="819">
        <f t="shared" si="5"/>
        <v>0</v>
      </c>
      <c r="M160" s="836">
        <f t="shared" si="4"/>
        <v>0</v>
      </c>
      <c r="N160" s="837"/>
      <c r="O160" s="838">
        <f t="shared" si="1"/>
        <v>0</v>
      </c>
      <c r="P160" s="830">
        <f t="shared" si="6"/>
        <v>0</v>
      </c>
      <c r="AD160" s="813"/>
    </row>
    <row r="161" spans="3:30" ht="30" hidden="1" customHeight="1" outlineLevel="1">
      <c r="C161" s="831">
        <v>135</v>
      </c>
      <c r="D161" s="832"/>
      <c r="E161" s="833"/>
      <c r="F161" s="833"/>
      <c r="G161" s="1098"/>
      <c r="H161" s="834"/>
      <c r="I161" s="835"/>
      <c r="L161" s="819">
        <f t="shared" si="5"/>
        <v>0</v>
      </c>
      <c r="M161" s="836">
        <f t="shared" si="4"/>
        <v>0</v>
      </c>
      <c r="N161" s="837"/>
      <c r="O161" s="838">
        <f t="shared" si="1"/>
        <v>0</v>
      </c>
      <c r="P161" s="830">
        <f t="shared" si="6"/>
        <v>0</v>
      </c>
      <c r="AD161" s="813"/>
    </row>
    <row r="162" spans="3:30" ht="30" hidden="1" customHeight="1" outlineLevel="1">
      <c r="C162" s="831">
        <v>136</v>
      </c>
      <c r="D162" s="832"/>
      <c r="E162" s="833"/>
      <c r="F162" s="833"/>
      <c r="G162" s="1098"/>
      <c r="H162" s="834"/>
      <c r="I162" s="835"/>
      <c r="L162" s="819">
        <f t="shared" si="5"/>
        <v>0</v>
      </c>
      <c r="M162" s="836">
        <f t="shared" si="4"/>
        <v>0</v>
      </c>
      <c r="N162" s="837"/>
      <c r="O162" s="838">
        <f t="shared" si="1"/>
        <v>0</v>
      </c>
      <c r="P162" s="830">
        <f t="shared" si="6"/>
        <v>0</v>
      </c>
      <c r="AD162" s="813"/>
    </row>
    <row r="163" spans="3:30" ht="30" hidden="1" customHeight="1" outlineLevel="1">
      <c r="C163" s="831">
        <v>137</v>
      </c>
      <c r="D163" s="832"/>
      <c r="E163" s="833"/>
      <c r="F163" s="833"/>
      <c r="G163" s="1098"/>
      <c r="H163" s="834"/>
      <c r="I163" s="835"/>
      <c r="L163" s="819">
        <f t="shared" si="5"/>
        <v>0</v>
      </c>
      <c r="M163" s="836">
        <f t="shared" si="4"/>
        <v>0</v>
      </c>
      <c r="N163" s="837"/>
      <c r="O163" s="838">
        <f t="shared" si="1"/>
        <v>0</v>
      </c>
      <c r="P163" s="830">
        <f t="shared" si="6"/>
        <v>0</v>
      </c>
      <c r="AD163" s="813"/>
    </row>
    <row r="164" spans="3:30" ht="30" hidden="1" customHeight="1" outlineLevel="1">
      <c r="C164" s="831">
        <v>138</v>
      </c>
      <c r="D164" s="832"/>
      <c r="E164" s="833"/>
      <c r="F164" s="833"/>
      <c r="G164" s="1098"/>
      <c r="H164" s="834"/>
      <c r="I164" s="835"/>
      <c r="L164" s="819">
        <f t="shared" si="5"/>
        <v>0</v>
      </c>
      <c r="M164" s="836">
        <f t="shared" si="4"/>
        <v>0</v>
      </c>
      <c r="N164" s="837"/>
      <c r="O164" s="838">
        <f t="shared" si="1"/>
        <v>0</v>
      </c>
      <c r="P164" s="830">
        <f t="shared" si="6"/>
        <v>0</v>
      </c>
      <c r="AD164" s="813"/>
    </row>
    <row r="165" spans="3:30" ht="30" hidden="1" customHeight="1" outlineLevel="1">
      <c r="C165" s="831">
        <v>139</v>
      </c>
      <c r="D165" s="832"/>
      <c r="E165" s="833"/>
      <c r="F165" s="833"/>
      <c r="G165" s="1098"/>
      <c r="H165" s="834"/>
      <c r="I165" s="835"/>
      <c r="L165" s="819">
        <f t="shared" si="5"/>
        <v>0</v>
      </c>
      <c r="M165" s="836">
        <f t="shared" si="4"/>
        <v>0</v>
      </c>
      <c r="N165" s="837"/>
      <c r="O165" s="838">
        <f t="shared" si="1"/>
        <v>0</v>
      </c>
      <c r="P165" s="830">
        <f t="shared" si="6"/>
        <v>0</v>
      </c>
      <c r="AD165" s="813"/>
    </row>
    <row r="166" spans="3:30" ht="30" hidden="1" customHeight="1" outlineLevel="1">
      <c r="C166" s="831">
        <v>140</v>
      </c>
      <c r="D166" s="832"/>
      <c r="E166" s="833"/>
      <c r="F166" s="833"/>
      <c r="G166" s="1098"/>
      <c r="H166" s="834"/>
      <c r="I166" s="835"/>
      <c r="L166" s="819">
        <f t="shared" si="5"/>
        <v>0</v>
      </c>
      <c r="M166" s="836">
        <f t="shared" si="4"/>
        <v>0</v>
      </c>
      <c r="N166" s="837"/>
      <c r="O166" s="838">
        <f t="shared" si="1"/>
        <v>0</v>
      </c>
      <c r="P166" s="830">
        <f t="shared" si="6"/>
        <v>0</v>
      </c>
      <c r="AD166" s="813"/>
    </row>
    <row r="167" spans="3:30" ht="30" hidden="1" customHeight="1" outlineLevel="1">
      <c r="C167" s="831">
        <v>141</v>
      </c>
      <c r="D167" s="832"/>
      <c r="E167" s="833"/>
      <c r="F167" s="833"/>
      <c r="G167" s="1098"/>
      <c r="H167" s="834"/>
      <c r="I167" s="835"/>
      <c r="L167" s="819">
        <f t="shared" si="5"/>
        <v>0</v>
      </c>
      <c r="M167" s="836">
        <f t="shared" si="4"/>
        <v>0</v>
      </c>
      <c r="N167" s="837"/>
      <c r="O167" s="838">
        <f t="shared" si="1"/>
        <v>0</v>
      </c>
      <c r="P167" s="830">
        <f t="shared" si="6"/>
        <v>0</v>
      </c>
      <c r="AD167" s="813"/>
    </row>
    <row r="168" spans="3:30" ht="30" hidden="1" customHeight="1" outlineLevel="1">
      <c r="C168" s="831">
        <v>142</v>
      </c>
      <c r="D168" s="832"/>
      <c r="E168" s="833"/>
      <c r="F168" s="833"/>
      <c r="G168" s="1098"/>
      <c r="H168" s="834"/>
      <c r="I168" s="835"/>
      <c r="L168" s="819">
        <f t="shared" si="5"/>
        <v>0</v>
      </c>
      <c r="M168" s="836">
        <f t="shared" si="4"/>
        <v>0</v>
      </c>
      <c r="N168" s="837"/>
      <c r="O168" s="838">
        <f t="shared" si="1"/>
        <v>0</v>
      </c>
      <c r="P168" s="830">
        <f t="shared" si="6"/>
        <v>0</v>
      </c>
      <c r="AD168" s="813"/>
    </row>
    <row r="169" spans="3:30" ht="30" hidden="1" customHeight="1" outlineLevel="1">
      <c r="C169" s="831">
        <v>143</v>
      </c>
      <c r="D169" s="832"/>
      <c r="E169" s="833"/>
      <c r="F169" s="833"/>
      <c r="G169" s="1098"/>
      <c r="H169" s="834"/>
      <c r="I169" s="835"/>
      <c r="L169" s="819">
        <f t="shared" si="5"/>
        <v>0</v>
      </c>
      <c r="M169" s="836">
        <f t="shared" si="4"/>
        <v>0</v>
      </c>
      <c r="N169" s="837"/>
      <c r="O169" s="838">
        <f t="shared" si="1"/>
        <v>0</v>
      </c>
      <c r="P169" s="830">
        <f t="shared" si="6"/>
        <v>0</v>
      </c>
      <c r="AD169" s="813"/>
    </row>
    <row r="170" spans="3:30" ht="30" hidden="1" customHeight="1" outlineLevel="1">
      <c r="C170" s="831">
        <v>144</v>
      </c>
      <c r="D170" s="832"/>
      <c r="E170" s="833"/>
      <c r="F170" s="833"/>
      <c r="G170" s="1098"/>
      <c r="H170" s="834"/>
      <c r="I170" s="835"/>
      <c r="L170" s="819">
        <f t="shared" si="5"/>
        <v>0</v>
      </c>
      <c r="M170" s="836">
        <f t="shared" si="4"/>
        <v>0</v>
      </c>
      <c r="N170" s="837"/>
      <c r="O170" s="838">
        <f t="shared" si="1"/>
        <v>0</v>
      </c>
      <c r="P170" s="830">
        <f t="shared" si="6"/>
        <v>0</v>
      </c>
      <c r="AD170" s="813"/>
    </row>
    <row r="171" spans="3:30" ht="30" hidden="1" customHeight="1" outlineLevel="1">
      <c r="C171" s="831">
        <v>145</v>
      </c>
      <c r="D171" s="832"/>
      <c r="E171" s="833"/>
      <c r="F171" s="833"/>
      <c r="G171" s="1098"/>
      <c r="H171" s="834"/>
      <c r="I171" s="835"/>
      <c r="L171" s="819">
        <f t="shared" si="5"/>
        <v>0</v>
      </c>
      <c r="M171" s="836">
        <f t="shared" si="5"/>
        <v>0</v>
      </c>
      <c r="N171" s="837"/>
      <c r="O171" s="838">
        <f t="shared" si="1"/>
        <v>0</v>
      </c>
      <c r="P171" s="830">
        <f t="shared" si="6"/>
        <v>0</v>
      </c>
      <c r="AD171" s="813"/>
    </row>
    <row r="172" spans="3:30" ht="30" hidden="1" customHeight="1" outlineLevel="1">
      <c r="C172" s="831">
        <v>146</v>
      </c>
      <c r="D172" s="832"/>
      <c r="E172" s="833"/>
      <c r="F172" s="833"/>
      <c r="G172" s="1098"/>
      <c r="H172" s="834"/>
      <c r="I172" s="835"/>
      <c r="L172" s="819">
        <f t="shared" si="5"/>
        <v>0</v>
      </c>
      <c r="M172" s="836">
        <f t="shared" si="5"/>
        <v>0</v>
      </c>
      <c r="N172" s="837"/>
      <c r="O172" s="838">
        <f t="shared" si="1"/>
        <v>0</v>
      </c>
      <c r="P172" s="830">
        <f t="shared" si="6"/>
        <v>0</v>
      </c>
      <c r="AD172" s="813"/>
    </row>
    <row r="173" spans="3:30" ht="30" hidden="1" customHeight="1" outlineLevel="1">
      <c r="C173" s="831">
        <v>147</v>
      </c>
      <c r="D173" s="832"/>
      <c r="E173" s="833"/>
      <c r="F173" s="833"/>
      <c r="G173" s="1098"/>
      <c r="H173" s="834"/>
      <c r="I173" s="835"/>
      <c r="L173" s="819">
        <f t="shared" si="5"/>
        <v>0</v>
      </c>
      <c r="M173" s="836">
        <f t="shared" si="5"/>
        <v>0</v>
      </c>
      <c r="N173" s="837"/>
      <c r="O173" s="838">
        <f t="shared" si="1"/>
        <v>0</v>
      </c>
      <c r="P173" s="830">
        <f t="shared" si="6"/>
        <v>0</v>
      </c>
      <c r="AD173" s="813"/>
    </row>
    <row r="174" spans="3:30" ht="30" hidden="1" customHeight="1" outlineLevel="1">
      <c r="C174" s="831">
        <v>148</v>
      </c>
      <c r="D174" s="832"/>
      <c r="E174" s="833"/>
      <c r="F174" s="833"/>
      <c r="G174" s="1098"/>
      <c r="H174" s="834"/>
      <c r="I174" s="835"/>
      <c r="L174" s="819">
        <f t="shared" si="5"/>
        <v>0</v>
      </c>
      <c r="M174" s="836">
        <f t="shared" si="5"/>
        <v>0</v>
      </c>
      <c r="N174" s="837"/>
      <c r="O174" s="838">
        <f t="shared" si="1"/>
        <v>0</v>
      </c>
      <c r="P174" s="830">
        <f t="shared" si="6"/>
        <v>0</v>
      </c>
      <c r="AD174" s="813"/>
    </row>
    <row r="175" spans="3:30" ht="30" hidden="1" customHeight="1" outlineLevel="1">
      <c r="C175" s="831">
        <v>149</v>
      </c>
      <c r="D175" s="832"/>
      <c r="E175" s="833"/>
      <c r="F175" s="833"/>
      <c r="G175" s="1098"/>
      <c r="H175" s="834"/>
      <c r="I175" s="835"/>
      <c r="L175" s="819">
        <f t="shared" si="5"/>
        <v>0</v>
      </c>
      <c r="M175" s="836">
        <f t="shared" si="5"/>
        <v>0</v>
      </c>
      <c r="N175" s="837"/>
      <c r="O175" s="838">
        <f t="shared" si="1"/>
        <v>0</v>
      </c>
      <c r="P175" s="830">
        <f t="shared" si="6"/>
        <v>0</v>
      </c>
      <c r="AD175" s="813"/>
    </row>
    <row r="176" spans="3:30" ht="30" hidden="1" customHeight="1" outlineLevel="1" thickBot="1">
      <c r="C176" s="839">
        <v>150</v>
      </c>
      <c r="D176" s="840"/>
      <c r="E176" s="841"/>
      <c r="F176" s="841"/>
      <c r="G176" s="1099"/>
      <c r="H176" s="842"/>
      <c r="I176" s="843"/>
      <c r="L176" s="819">
        <f>IF($G176&gt;0,E176,)</f>
        <v>0</v>
      </c>
      <c r="M176" s="836">
        <f>IF($G176&gt;0,F176,)</f>
        <v>0</v>
      </c>
      <c r="N176" s="844"/>
      <c r="O176" s="838">
        <f t="shared" si="1"/>
        <v>0</v>
      </c>
      <c r="P176" s="830">
        <f t="shared" si="6"/>
        <v>0</v>
      </c>
      <c r="AD176" s="813"/>
    </row>
    <row r="177" spans="3:54" ht="15.75" customHeight="1" thickTop="1">
      <c r="C177" s="845" t="s">
        <v>661</v>
      </c>
      <c r="D177" s="846"/>
      <c r="E177" s="846"/>
      <c r="F177" s="846"/>
      <c r="G177" s="846"/>
      <c r="H177" s="381"/>
      <c r="I177" s="229"/>
      <c r="L177" s="847"/>
      <c r="M177" s="847"/>
      <c r="N177" s="848"/>
      <c r="O177" s="847"/>
      <c r="P177" s="847"/>
      <c r="Q177" s="847"/>
      <c r="W177" s="229"/>
      <c r="Y177" s="847"/>
      <c r="Z177" s="847"/>
      <c r="AA177" s="847"/>
      <c r="AB177" s="847"/>
      <c r="AC177" s="847"/>
      <c r="AD177" s="849"/>
      <c r="AN177" s="2"/>
      <c r="BA177" s="2"/>
    </row>
    <row r="178" spans="3:54" ht="15.75" customHeight="1">
      <c r="C178" s="2"/>
      <c r="I178" s="173"/>
      <c r="Q178" s="120"/>
    </row>
    <row r="179" spans="3:54" ht="15.75" customHeight="1">
      <c r="C179" s="2"/>
      <c r="I179" s="173"/>
      <c r="Q179" s="120"/>
    </row>
    <row r="180" spans="3:54" ht="14.1" customHeight="1">
      <c r="C180" s="2"/>
      <c r="I180" s="173"/>
    </row>
    <row r="181" spans="3:54" ht="14.1" customHeight="1">
      <c r="C181" s="2"/>
      <c r="I181" s="173"/>
    </row>
    <row r="182" spans="3:54" ht="14.1" customHeight="1">
      <c r="C182" s="2"/>
      <c r="I182" s="173"/>
    </row>
    <row r="183" spans="3:54" ht="14.25" customHeight="1">
      <c r="C183" s="2"/>
      <c r="I183" s="173"/>
    </row>
    <row r="184" spans="3:54" ht="14.25" customHeight="1">
      <c r="C184" s="2"/>
      <c r="I184" s="173"/>
    </row>
    <row r="185" spans="3:54" ht="18" customHeight="1">
      <c r="C185" s="108" t="s">
        <v>662</v>
      </c>
      <c r="J185" s="173"/>
      <c r="X185" s="2"/>
      <c r="Y185" s="173"/>
      <c r="AN185" s="2"/>
      <c r="AO185" s="173"/>
      <c r="BA185" s="2"/>
      <c r="BB185" s="173"/>
    </row>
    <row r="186" spans="3:54" ht="18" customHeight="1">
      <c r="C186" s="30"/>
      <c r="D186" s="605" t="s">
        <v>663</v>
      </c>
      <c r="E186" s="30"/>
      <c r="F186" s="30"/>
      <c r="G186" s="30"/>
      <c r="I186" s="607"/>
      <c r="J186" s="184"/>
      <c r="L186" s="146" t="s">
        <v>664</v>
      </c>
      <c r="AA186" s="30"/>
      <c r="AB186" s="30"/>
      <c r="AC186" s="30"/>
    </row>
    <row r="187" spans="3:54" ht="18" customHeight="1" thickBot="1">
      <c r="C187" s="850" t="s">
        <v>665</v>
      </c>
      <c r="D187" s="605"/>
      <c r="E187" s="30"/>
      <c r="F187" s="30"/>
      <c r="G187" s="30"/>
      <c r="I187" s="607"/>
      <c r="J187" s="184"/>
      <c r="L187" s="2061" t="s">
        <v>643</v>
      </c>
      <c r="M187" s="2061"/>
      <c r="N187" s="2061"/>
      <c r="O187" s="2061"/>
      <c r="P187" s="2061"/>
    </row>
    <row r="188" spans="3:54" ht="18" hidden="1" customHeight="1">
      <c r="C188" s="850"/>
      <c r="D188" s="605"/>
      <c r="E188" s="30"/>
      <c r="F188" s="30"/>
      <c r="G188" s="30"/>
      <c r="I188" s="607"/>
      <c r="J188" s="184"/>
      <c r="L188" s="851"/>
      <c r="M188" s="851"/>
      <c r="N188" s="851"/>
      <c r="O188" s="851"/>
      <c r="P188" s="852"/>
    </row>
    <row r="189" spans="3:54" ht="18" hidden="1" customHeight="1" thickBot="1">
      <c r="C189" s="850"/>
      <c r="D189" s="605"/>
      <c r="E189" s="30"/>
      <c r="F189" s="30"/>
      <c r="G189" s="30"/>
      <c r="I189" s="607"/>
      <c r="J189" s="184"/>
      <c r="L189" s="851"/>
      <c r="M189" s="851"/>
      <c r="N189" s="851"/>
      <c r="O189" s="851"/>
      <c r="P189" s="852"/>
    </row>
    <row r="190" spans="3:54" ht="30" customHeight="1">
      <c r="C190" s="2064" t="s">
        <v>648</v>
      </c>
      <c r="D190" s="1237" t="s">
        <v>666</v>
      </c>
      <c r="E190" s="1933" t="s">
        <v>667</v>
      </c>
      <c r="F190" s="1933" t="s">
        <v>668</v>
      </c>
      <c r="G190" s="1496" t="s">
        <v>290</v>
      </c>
      <c r="H190" s="2070"/>
      <c r="J190" s="198"/>
      <c r="L190" s="2059" t="s">
        <v>669</v>
      </c>
      <c r="M190" s="2059" t="s">
        <v>670</v>
      </c>
      <c r="N190" s="2062" t="s">
        <v>671</v>
      </c>
      <c r="O190" s="2062" t="s">
        <v>672</v>
      </c>
      <c r="P190" s="2067" t="s">
        <v>673</v>
      </c>
    </row>
    <row r="191" spans="3:54" ht="30" customHeight="1">
      <c r="C191" s="2065"/>
      <c r="D191" s="1406"/>
      <c r="E191" s="1963"/>
      <c r="F191" s="1454"/>
      <c r="G191" s="1497"/>
      <c r="H191" s="2070"/>
      <c r="J191" s="198"/>
      <c r="L191" s="2060"/>
      <c r="M191" s="2060"/>
      <c r="N191" s="2063"/>
      <c r="O191" s="2063"/>
      <c r="P191" s="2063"/>
    </row>
    <row r="192" spans="3:54" ht="30" customHeight="1" thickBot="1">
      <c r="C192" s="2066"/>
      <c r="D192" s="1406"/>
      <c r="E192" s="2068"/>
      <c r="F192" s="1540"/>
      <c r="G192" s="2069"/>
      <c r="H192" s="2070"/>
      <c r="J192" s="121"/>
      <c r="L192" s="820">
        <f>SUM(L193:L242)</f>
        <v>0</v>
      </c>
      <c r="M192" s="820">
        <f>SUM(M193:M242)</f>
        <v>0</v>
      </c>
      <c r="N192" s="853"/>
      <c r="O192" s="822">
        <f>SUM(O193:O242)</f>
        <v>0</v>
      </c>
      <c r="P192" s="822">
        <f>SUM(P193:P242)</f>
        <v>0</v>
      </c>
    </row>
    <row r="193" spans="3:16" ht="30" customHeight="1" thickTop="1">
      <c r="C193" s="823">
        <v>1</v>
      </c>
      <c r="D193" s="824"/>
      <c r="E193" s="825"/>
      <c r="F193" s="825"/>
      <c r="G193" s="1086"/>
      <c r="K193" s="468"/>
      <c r="L193" s="818">
        <f t="shared" ref="L193:M242" si="7">IF($G193&gt;0,E193,)</f>
        <v>0</v>
      </c>
      <c r="M193" s="818">
        <f t="shared" si="7"/>
        <v>0</v>
      </c>
      <c r="N193" s="828"/>
      <c r="O193" s="829">
        <f>ROUND(L193*N193/10,)</f>
        <v>0</v>
      </c>
      <c r="P193" s="830">
        <f t="shared" ref="P193:P242" si="8">ROUND(O193*G193%,)</f>
        <v>0</v>
      </c>
    </row>
    <row r="194" spans="3:16" ht="30" customHeight="1">
      <c r="C194" s="831">
        <v>2</v>
      </c>
      <c r="D194" s="832"/>
      <c r="E194" s="833"/>
      <c r="F194" s="833"/>
      <c r="G194" s="1085"/>
      <c r="K194" s="468"/>
      <c r="L194" s="819">
        <f t="shared" si="7"/>
        <v>0</v>
      </c>
      <c r="M194" s="836">
        <f t="shared" si="7"/>
        <v>0</v>
      </c>
      <c r="N194" s="837"/>
      <c r="O194" s="838">
        <f t="shared" ref="O194:O242" si="9">ROUND(L194*N194/10,)</f>
        <v>0</v>
      </c>
      <c r="P194" s="830">
        <f t="shared" si="8"/>
        <v>0</v>
      </c>
    </row>
    <row r="195" spans="3:16" ht="30" customHeight="1" collapsed="1" thickBot="1">
      <c r="C195" s="831">
        <v>3</v>
      </c>
      <c r="D195" s="832"/>
      <c r="E195" s="833"/>
      <c r="F195" s="833"/>
      <c r="G195" s="1085"/>
      <c r="K195" s="468"/>
      <c r="L195" s="819">
        <f t="shared" si="7"/>
        <v>0</v>
      </c>
      <c r="M195" s="836">
        <f t="shared" si="7"/>
        <v>0</v>
      </c>
      <c r="N195" s="837"/>
      <c r="O195" s="838">
        <f t="shared" si="9"/>
        <v>0</v>
      </c>
      <c r="P195" s="830">
        <f t="shared" si="8"/>
        <v>0</v>
      </c>
    </row>
    <row r="196" spans="3:16" ht="30" hidden="1" customHeight="1" outlineLevel="1">
      <c r="C196" s="831">
        <v>4</v>
      </c>
      <c r="D196" s="832"/>
      <c r="E196" s="833"/>
      <c r="F196" s="833"/>
      <c r="G196" s="1085"/>
      <c r="K196" s="468"/>
      <c r="L196" s="819">
        <f t="shared" si="7"/>
        <v>0</v>
      </c>
      <c r="M196" s="836">
        <f t="shared" si="7"/>
        <v>0</v>
      </c>
      <c r="N196" s="837"/>
      <c r="O196" s="838">
        <f t="shared" si="9"/>
        <v>0</v>
      </c>
      <c r="P196" s="830">
        <f t="shared" si="8"/>
        <v>0</v>
      </c>
    </row>
    <row r="197" spans="3:16" ht="30" hidden="1" customHeight="1" outlineLevel="1">
      <c r="C197" s="831">
        <v>5</v>
      </c>
      <c r="D197" s="832"/>
      <c r="E197" s="833"/>
      <c r="F197" s="833"/>
      <c r="G197" s="1085"/>
      <c r="K197" s="468"/>
      <c r="L197" s="819">
        <f t="shared" si="7"/>
        <v>0</v>
      </c>
      <c r="M197" s="836">
        <f t="shared" si="7"/>
        <v>0</v>
      </c>
      <c r="N197" s="837"/>
      <c r="O197" s="838">
        <f t="shared" si="9"/>
        <v>0</v>
      </c>
      <c r="P197" s="830">
        <f t="shared" si="8"/>
        <v>0</v>
      </c>
    </row>
    <row r="198" spans="3:16" ht="30" hidden="1" customHeight="1" outlineLevel="1">
      <c r="C198" s="831">
        <v>6</v>
      </c>
      <c r="D198" s="832"/>
      <c r="E198" s="833"/>
      <c r="F198" s="833"/>
      <c r="G198" s="1085"/>
      <c r="K198" s="468"/>
      <c r="L198" s="819">
        <f t="shared" si="7"/>
        <v>0</v>
      </c>
      <c r="M198" s="836">
        <f t="shared" si="7"/>
        <v>0</v>
      </c>
      <c r="N198" s="837"/>
      <c r="O198" s="838">
        <f t="shared" si="9"/>
        <v>0</v>
      </c>
      <c r="P198" s="830">
        <f t="shared" si="8"/>
        <v>0</v>
      </c>
    </row>
    <row r="199" spans="3:16" ht="30" hidden="1" customHeight="1" outlineLevel="1">
      <c r="C199" s="831">
        <v>7</v>
      </c>
      <c r="D199" s="832"/>
      <c r="E199" s="833"/>
      <c r="F199" s="833"/>
      <c r="G199" s="1085"/>
      <c r="K199" s="468"/>
      <c r="L199" s="819">
        <f t="shared" si="7"/>
        <v>0</v>
      </c>
      <c r="M199" s="836">
        <f t="shared" si="7"/>
        <v>0</v>
      </c>
      <c r="N199" s="837"/>
      <c r="O199" s="838">
        <f t="shared" si="9"/>
        <v>0</v>
      </c>
      <c r="P199" s="830">
        <f t="shared" si="8"/>
        <v>0</v>
      </c>
    </row>
    <row r="200" spans="3:16" ht="30" hidden="1" customHeight="1" outlineLevel="1">
      <c r="C200" s="831">
        <v>8</v>
      </c>
      <c r="D200" s="832"/>
      <c r="E200" s="833"/>
      <c r="F200" s="833"/>
      <c r="G200" s="1085"/>
      <c r="K200" s="468"/>
      <c r="L200" s="819">
        <f t="shared" si="7"/>
        <v>0</v>
      </c>
      <c r="M200" s="836">
        <f t="shared" si="7"/>
        <v>0</v>
      </c>
      <c r="N200" s="837"/>
      <c r="O200" s="838">
        <f t="shared" si="9"/>
        <v>0</v>
      </c>
      <c r="P200" s="830">
        <f t="shared" si="8"/>
        <v>0</v>
      </c>
    </row>
    <row r="201" spans="3:16" ht="30" hidden="1" customHeight="1" outlineLevel="1">
      <c r="C201" s="831">
        <v>9</v>
      </c>
      <c r="D201" s="832"/>
      <c r="E201" s="833"/>
      <c r="F201" s="833"/>
      <c r="G201" s="1085"/>
      <c r="K201" s="468"/>
      <c r="L201" s="819">
        <f t="shared" si="7"/>
        <v>0</v>
      </c>
      <c r="M201" s="836">
        <f t="shared" si="7"/>
        <v>0</v>
      </c>
      <c r="N201" s="837"/>
      <c r="O201" s="838">
        <f t="shared" si="9"/>
        <v>0</v>
      </c>
      <c r="P201" s="830">
        <f t="shared" si="8"/>
        <v>0</v>
      </c>
    </row>
    <row r="202" spans="3:16" ht="30" hidden="1" customHeight="1" outlineLevel="1">
      <c r="C202" s="831">
        <v>10</v>
      </c>
      <c r="D202" s="832"/>
      <c r="E202" s="833"/>
      <c r="F202" s="833"/>
      <c r="G202" s="1085"/>
      <c r="K202" s="468"/>
      <c r="L202" s="819">
        <f t="shared" si="7"/>
        <v>0</v>
      </c>
      <c r="M202" s="836">
        <f t="shared" si="7"/>
        <v>0</v>
      </c>
      <c r="N202" s="837"/>
      <c r="O202" s="838">
        <f t="shared" si="9"/>
        <v>0</v>
      </c>
      <c r="P202" s="830">
        <f t="shared" si="8"/>
        <v>0</v>
      </c>
    </row>
    <row r="203" spans="3:16" ht="30" hidden="1" customHeight="1" outlineLevel="1">
      <c r="C203" s="831">
        <v>11</v>
      </c>
      <c r="D203" s="832"/>
      <c r="E203" s="833"/>
      <c r="F203" s="833"/>
      <c r="G203" s="1085"/>
      <c r="K203" s="468"/>
      <c r="L203" s="819">
        <f t="shared" si="7"/>
        <v>0</v>
      </c>
      <c r="M203" s="836">
        <f t="shared" si="7"/>
        <v>0</v>
      </c>
      <c r="N203" s="837"/>
      <c r="O203" s="838">
        <f t="shared" si="9"/>
        <v>0</v>
      </c>
      <c r="P203" s="830">
        <f t="shared" si="8"/>
        <v>0</v>
      </c>
    </row>
    <row r="204" spans="3:16" ht="30" hidden="1" customHeight="1" outlineLevel="1">
      <c r="C204" s="831">
        <v>12</v>
      </c>
      <c r="D204" s="832"/>
      <c r="E204" s="833"/>
      <c r="F204" s="833"/>
      <c r="G204" s="1085"/>
      <c r="K204" s="468"/>
      <c r="L204" s="819">
        <f t="shared" si="7"/>
        <v>0</v>
      </c>
      <c r="M204" s="836">
        <f t="shared" si="7"/>
        <v>0</v>
      </c>
      <c r="N204" s="837"/>
      <c r="O204" s="838">
        <f t="shared" si="9"/>
        <v>0</v>
      </c>
      <c r="P204" s="830">
        <f t="shared" si="8"/>
        <v>0</v>
      </c>
    </row>
    <row r="205" spans="3:16" ht="30" hidden="1" customHeight="1" outlineLevel="1">
      <c r="C205" s="831">
        <v>13</v>
      </c>
      <c r="D205" s="832"/>
      <c r="E205" s="833"/>
      <c r="F205" s="833"/>
      <c r="G205" s="1085"/>
      <c r="K205" s="468"/>
      <c r="L205" s="819">
        <f t="shared" si="7"/>
        <v>0</v>
      </c>
      <c r="M205" s="836">
        <f t="shared" si="7"/>
        <v>0</v>
      </c>
      <c r="N205" s="837"/>
      <c r="O205" s="838">
        <f t="shared" si="9"/>
        <v>0</v>
      </c>
      <c r="P205" s="830">
        <f t="shared" si="8"/>
        <v>0</v>
      </c>
    </row>
    <row r="206" spans="3:16" ht="30" hidden="1" customHeight="1" outlineLevel="1">
      <c r="C206" s="831">
        <v>14</v>
      </c>
      <c r="D206" s="832"/>
      <c r="E206" s="833"/>
      <c r="F206" s="833"/>
      <c r="G206" s="1085"/>
      <c r="K206" s="468"/>
      <c r="L206" s="819">
        <f t="shared" si="7"/>
        <v>0</v>
      </c>
      <c r="M206" s="836">
        <f t="shared" si="7"/>
        <v>0</v>
      </c>
      <c r="N206" s="837"/>
      <c r="O206" s="838">
        <f t="shared" si="9"/>
        <v>0</v>
      </c>
      <c r="P206" s="830">
        <f t="shared" si="8"/>
        <v>0</v>
      </c>
    </row>
    <row r="207" spans="3:16" ht="30" hidden="1" customHeight="1" outlineLevel="1">
      <c r="C207" s="831">
        <v>15</v>
      </c>
      <c r="D207" s="832"/>
      <c r="E207" s="833"/>
      <c r="F207" s="833"/>
      <c r="G207" s="1085"/>
      <c r="K207" s="468"/>
      <c r="L207" s="819">
        <f t="shared" si="7"/>
        <v>0</v>
      </c>
      <c r="M207" s="836">
        <f t="shared" si="7"/>
        <v>0</v>
      </c>
      <c r="N207" s="837"/>
      <c r="O207" s="838">
        <f t="shared" si="9"/>
        <v>0</v>
      </c>
      <c r="P207" s="830">
        <f t="shared" si="8"/>
        <v>0</v>
      </c>
    </row>
    <row r="208" spans="3:16" ht="30" hidden="1" customHeight="1" outlineLevel="1">
      <c r="C208" s="831">
        <v>16</v>
      </c>
      <c r="D208" s="832"/>
      <c r="E208" s="833"/>
      <c r="F208" s="833"/>
      <c r="G208" s="1085"/>
      <c r="K208" s="468"/>
      <c r="L208" s="819">
        <f t="shared" si="7"/>
        <v>0</v>
      </c>
      <c r="M208" s="836">
        <f t="shared" si="7"/>
        <v>0</v>
      </c>
      <c r="N208" s="837"/>
      <c r="O208" s="838">
        <f t="shared" si="9"/>
        <v>0</v>
      </c>
      <c r="P208" s="830">
        <f t="shared" si="8"/>
        <v>0</v>
      </c>
    </row>
    <row r="209" spans="3:16" ht="30" hidden="1" customHeight="1" outlineLevel="1">
      <c r="C209" s="831">
        <v>17</v>
      </c>
      <c r="D209" s="832"/>
      <c r="E209" s="833"/>
      <c r="F209" s="833"/>
      <c r="G209" s="1085"/>
      <c r="K209" s="468"/>
      <c r="L209" s="819">
        <f t="shared" si="7"/>
        <v>0</v>
      </c>
      <c r="M209" s="836">
        <f t="shared" si="7"/>
        <v>0</v>
      </c>
      <c r="N209" s="837"/>
      <c r="O209" s="838">
        <f t="shared" si="9"/>
        <v>0</v>
      </c>
      <c r="P209" s="830">
        <f t="shared" si="8"/>
        <v>0</v>
      </c>
    </row>
    <row r="210" spans="3:16" ht="30" hidden="1" customHeight="1" outlineLevel="1">
      <c r="C210" s="831">
        <v>18</v>
      </c>
      <c r="D210" s="832"/>
      <c r="E210" s="833"/>
      <c r="F210" s="833"/>
      <c r="G210" s="1085"/>
      <c r="K210" s="468"/>
      <c r="L210" s="819">
        <f t="shared" si="7"/>
        <v>0</v>
      </c>
      <c r="M210" s="836">
        <f t="shared" si="7"/>
        <v>0</v>
      </c>
      <c r="N210" s="837"/>
      <c r="O210" s="838">
        <f t="shared" si="9"/>
        <v>0</v>
      </c>
      <c r="P210" s="830">
        <f t="shared" si="8"/>
        <v>0</v>
      </c>
    </row>
    <row r="211" spans="3:16" ht="30" hidden="1" customHeight="1" outlineLevel="1">
      <c r="C211" s="831">
        <v>19</v>
      </c>
      <c r="D211" s="832"/>
      <c r="E211" s="833"/>
      <c r="F211" s="833"/>
      <c r="G211" s="1085"/>
      <c r="K211" s="468"/>
      <c r="L211" s="819">
        <f t="shared" si="7"/>
        <v>0</v>
      </c>
      <c r="M211" s="836">
        <f t="shared" si="7"/>
        <v>0</v>
      </c>
      <c r="N211" s="837"/>
      <c r="O211" s="838">
        <f t="shared" si="9"/>
        <v>0</v>
      </c>
      <c r="P211" s="830">
        <f t="shared" si="8"/>
        <v>0</v>
      </c>
    </row>
    <row r="212" spans="3:16" ht="30" hidden="1" customHeight="1" outlineLevel="1">
      <c r="C212" s="831">
        <v>20</v>
      </c>
      <c r="D212" s="832"/>
      <c r="E212" s="833"/>
      <c r="F212" s="833"/>
      <c r="G212" s="1085"/>
      <c r="K212" s="468"/>
      <c r="L212" s="819">
        <f t="shared" si="7"/>
        <v>0</v>
      </c>
      <c r="M212" s="836">
        <f t="shared" si="7"/>
        <v>0</v>
      </c>
      <c r="N212" s="837"/>
      <c r="O212" s="838">
        <f t="shared" si="9"/>
        <v>0</v>
      </c>
      <c r="P212" s="830">
        <f t="shared" si="8"/>
        <v>0</v>
      </c>
    </row>
    <row r="213" spans="3:16" ht="30" hidden="1" customHeight="1" outlineLevel="1">
      <c r="C213" s="831">
        <v>21</v>
      </c>
      <c r="D213" s="832"/>
      <c r="E213" s="833"/>
      <c r="F213" s="833"/>
      <c r="G213" s="1085"/>
      <c r="K213" s="468"/>
      <c r="L213" s="819">
        <f t="shared" si="7"/>
        <v>0</v>
      </c>
      <c r="M213" s="836">
        <f t="shared" si="7"/>
        <v>0</v>
      </c>
      <c r="N213" s="837"/>
      <c r="O213" s="838">
        <f t="shared" si="9"/>
        <v>0</v>
      </c>
      <c r="P213" s="830">
        <f t="shared" si="8"/>
        <v>0</v>
      </c>
    </row>
    <row r="214" spans="3:16" ht="30" hidden="1" customHeight="1" outlineLevel="1">
      <c r="C214" s="831">
        <v>22</v>
      </c>
      <c r="D214" s="832"/>
      <c r="E214" s="833"/>
      <c r="F214" s="833"/>
      <c r="G214" s="1085"/>
      <c r="K214" s="468"/>
      <c r="L214" s="819">
        <f t="shared" si="7"/>
        <v>0</v>
      </c>
      <c r="M214" s="836">
        <f t="shared" si="7"/>
        <v>0</v>
      </c>
      <c r="N214" s="837"/>
      <c r="O214" s="838">
        <f t="shared" si="9"/>
        <v>0</v>
      </c>
      <c r="P214" s="830">
        <f t="shared" si="8"/>
        <v>0</v>
      </c>
    </row>
    <row r="215" spans="3:16" ht="30" hidden="1" customHeight="1" outlineLevel="1">
      <c r="C215" s="831">
        <v>23</v>
      </c>
      <c r="D215" s="832"/>
      <c r="E215" s="833"/>
      <c r="F215" s="833"/>
      <c r="G215" s="1085"/>
      <c r="K215" s="468"/>
      <c r="L215" s="819">
        <f t="shared" si="7"/>
        <v>0</v>
      </c>
      <c r="M215" s="836">
        <f t="shared" si="7"/>
        <v>0</v>
      </c>
      <c r="N215" s="837"/>
      <c r="O215" s="838">
        <f t="shared" si="9"/>
        <v>0</v>
      </c>
      <c r="P215" s="830">
        <f t="shared" si="8"/>
        <v>0</v>
      </c>
    </row>
    <row r="216" spans="3:16" ht="30" hidden="1" customHeight="1" outlineLevel="1">
      <c r="C216" s="831">
        <v>24</v>
      </c>
      <c r="D216" s="832"/>
      <c r="E216" s="833"/>
      <c r="F216" s="833"/>
      <c r="G216" s="1085"/>
      <c r="K216" s="468"/>
      <c r="L216" s="819">
        <f t="shared" si="7"/>
        <v>0</v>
      </c>
      <c r="M216" s="836">
        <f t="shared" si="7"/>
        <v>0</v>
      </c>
      <c r="N216" s="837"/>
      <c r="O216" s="838">
        <f t="shared" si="9"/>
        <v>0</v>
      </c>
      <c r="P216" s="830">
        <f t="shared" si="8"/>
        <v>0</v>
      </c>
    </row>
    <row r="217" spans="3:16" ht="30" hidden="1" customHeight="1" outlineLevel="1">
      <c r="C217" s="831">
        <v>25</v>
      </c>
      <c r="D217" s="832"/>
      <c r="E217" s="833"/>
      <c r="F217" s="833"/>
      <c r="G217" s="1085"/>
      <c r="K217" s="468"/>
      <c r="L217" s="819">
        <f t="shared" si="7"/>
        <v>0</v>
      </c>
      <c r="M217" s="836">
        <f t="shared" si="7"/>
        <v>0</v>
      </c>
      <c r="N217" s="837"/>
      <c r="O217" s="838">
        <f t="shared" si="9"/>
        <v>0</v>
      </c>
      <c r="P217" s="830">
        <f t="shared" si="8"/>
        <v>0</v>
      </c>
    </row>
    <row r="218" spans="3:16" ht="30" hidden="1" customHeight="1" outlineLevel="1">
      <c r="C218" s="831">
        <v>26</v>
      </c>
      <c r="D218" s="832"/>
      <c r="E218" s="833"/>
      <c r="F218" s="833"/>
      <c r="G218" s="1085"/>
      <c r="K218" s="468"/>
      <c r="L218" s="819">
        <f t="shared" si="7"/>
        <v>0</v>
      </c>
      <c r="M218" s="836">
        <f t="shared" si="7"/>
        <v>0</v>
      </c>
      <c r="N218" s="837"/>
      <c r="O218" s="838">
        <f t="shared" si="9"/>
        <v>0</v>
      </c>
      <c r="P218" s="830">
        <f t="shared" si="8"/>
        <v>0</v>
      </c>
    </row>
    <row r="219" spans="3:16" ht="30" hidden="1" customHeight="1" outlineLevel="1">
      <c r="C219" s="831">
        <v>27</v>
      </c>
      <c r="D219" s="832"/>
      <c r="E219" s="833"/>
      <c r="F219" s="833"/>
      <c r="G219" s="1085"/>
      <c r="K219" s="468"/>
      <c r="L219" s="819">
        <f t="shared" si="7"/>
        <v>0</v>
      </c>
      <c r="M219" s="836">
        <f t="shared" si="7"/>
        <v>0</v>
      </c>
      <c r="N219" s="837"/>
      <c r="O219" s="838">
        <f t="shared" si="9"/>
        <v>0</v>
      </c>
      <c r="P219" s="830">
        <f t="shared" si="8"/>
        <v>0</v>
      </c>
    </row>
    <row r="220" spans="3:16" ht="30" hidden="1" customHeight="1" outlineLevel="1">
      <c r="C220" s="831">
        <v>28</v>
      </c>
      <c r="D220" s="832"/>
      <c r="E220" s="833"/>
      <c r="F220" s="833"/>
      <c r="G220" s="1085"/>
      <c r="K220" s="468"/>
      <c r="L220" s="819">
        <f t="shared" si="7"/>
        <v>0</v>
      </c>
      <c r="M220" s="836">
        <f t="shared" si="7"/>
        <v>0</v>
      </c>
      <c r="N220" s="837"/>
      <c r="O220" s="838">
        <f t="shared" si="9"/>
        <v>0</v>
      </c>
      <c r="P220" s="830">
        <f t="shared" si="8"/>
        <v>0</v>
      </c>
    </row>
    <row r="221" spans="3:16" ht="30" hidden="1" customHeight="1" outlineLevel="1">
      <c r="C221" s="831">
        <v>29</v>
      </c>
      <c r="D221" s="832"/>
      <c r="E221" s="833"/>
      <c r="F221" s="833"/>
      <c r="G221" s="1085"/>
      <c r="K221" s="468"/>
      <c r="L221" s="819">
        <f t="shared" si="7"/>
        <v>0</v>
      </c>
      <c r="M221" s="836">
        <f t="shared" si="7"/>
        <v>0</v>
      </c>
      <c r="N221" s="837"/>
      <c r="O221" s="838">
        <f t="shared" si="9"/>
        <v>0</v>
      </c>
      <c r="P221" s="830">
        <f t="shared" si="8"/>
        <v>0</v>
      </c>
    </row>
    <row r="222" spans="3:16" ht="30" hidden="1" customHeight="1" outlineLevel="1">
      <c r="C222" s="831">
        <v>30</v>
      </c>
      <c r="D222" s="832"/>
      <c r="E222" s="833"/>
      <c r="F222" s="833"/>
      <c r="G222" s="1085"/>
      <c r="K222" s="468"/>
      <c r="L222" s="819">
        <f t="shared" si="7"/>
        <v>0</v>
      </c>
      <c r="M222" s="836">
        <f t="shared" si="7"/>
        <v>0</v>
      </c>
      <c r="N222" s="837"/>
      <c r="O222" s="838">
        <f t="shared" si="9"/>
        <v>0</v>
      </c>
      <c r="P222" s="830">
        <f t="shared" si="8"/>
        <v>0</v>
      </c>
    </row>
    <row r="223" spans="3:16" ht="30" hidden="1" customHeight="1" outlineLevel="1">
      <c r="C223" s="831">
        <v>31</v>
      </c>
      <c r="D223" s="832"/>
      <c r="E223" s="833"/>
      <c r="F223" s="833"/>
      <c r="G223" s="1085"/>
      <c r="K223" s="468"/>
      <c r="L223" s="819">
        <f t="shared" si="7"/>
        <v>0</v>
      </c>
      <c r="M223" s="836">
        <f t="shared" si="7"/>
        <v>0</v>
      </c>
      <c r="N223" s="837"/>
      <c r="O223" s="838">
        <f t="shared" si="9"/>
        <v>0</v>
      </c>
      <c r="P223" s="830">
        <f t="shared" si="8"/>
        <v>0</v>
      </c>
    </row>
    <row r="224" spans="3:16" ht="30" hidden="1" customHeight="1" outlineLevel="1">
      <c r="C224" s="831">
        <v>32</v>
      </c>
      <c r="D224" s="832"/>
      <c r="E224" s="833"/>
      <c r="F224" s="833"/>
      <c r="G224" s="1085"/>
      <c r="K224" s="468"/>
      <c r="L224" s="819">
        <f t="shared" si="7"/>
        <v>0</v>
      </c>
      <c r="M224" s="836">
        <f t="shared" si="7"/>
        <v>0</v>
      </c>
      <c r="N224" s="837"/>
      <c r="O224" s="838">
        <f t="shared" si="9"/>
        <v>0</v>
      </c>
      <c r="P224" s="830">
        <f t="shared" si="8"/>
        <v>0</v>
      </c>
    </row>
    <row r="225" spans="3:16" ht="30" hidden="1" customHeight="1" outlineLevel="1">
      <c r="C225" s="831">
        <v>33</v>
      </c>
      <c r="D225" s="832"/>
      <c r="E225" s="833"/>
      <c r="F225" s="833"/>
      <c r="G225" s="1085"/>
      <c r="K225" s="468"/>
      <c r="L225" s="819">
        <f t="shared" si="7"/>
        <v>0</v>
      </c>
      <c r="M225" s="836">
        <f t="shared" si="7"/>
        <v>0</v>
      </c>
      <c r="N225" s="837"/>
      <c r="O225" s="838">
        <f t="shared" si="9"/>
        <v>0</v>
      </c>
      <c r="P225" s="830">
        <f t="shared" si="8"/>
        <v>0</v>
      </c>
    </row>
    <row r="226" spans="3:16" ht="30" hidden="1" customHeight="1" outlineLevel="1">
      <c r="C226" s="831">
        <v>34</v>
      </c>
      <c r="D226" s="832"/>
      <c r="E226" s="833"/>
      <c r="F226" s="833"/>
      <c r="G226" s="1085"/>
      <c r="K226" s="468"/>
      <c r="L226" s="819">
        <f t="shared" si="7"/>
        <v>0</v>
      </c>
      <c r="M226" s="836">
        <f t="shared" si="7"/>
        <v>0</v>
      </c>
      <c r="N226" s="837"/>
      <c r="O226" s="838">
        <f t="shared" si="9"/>
        <v>0</v>
      </c>
      <c r="P226" s="830">
        <f t="shared" si="8"/>
        <v>0</v>
      </c>
    </row>
    <row r="227" spans="3:16" ht="30" hidden="1" customHeight="1" outlineLevel="1">
      <c r="C227" s="831">
        <v>35</v>
      </c>
      <c r="D227" s="832"/>
      <c r="E227" s="833"/>
      <c r="F227" s="833"/>
      <c r="G227" s="1085"/>
      <c r="K227" s="468"/>
      <c r="L227" s="819">
        <f t="shared" si="7"/>
        <v>0</v>
      </c>
      <c r="M227" s="836">
        <f t="shared" si="7"/>
        <v>0</v>
      </c>
      <c r="N227" s="837"/>
      <c r="O227" s="838">
        <f t="shared" si="9"/>
        <v>0</v>
      </c>
      <c r="P227" s="830">
        <f t="shared" si="8"/>
        <v>0</v>
      </c>
    </row>
    <row r="228" spans="3:16" ht="30" hidden="1" customHeight="1" outlineLevel="1">
      <c r="C228" s="831">
        <v>36</v>
      </c>
      <c r="D228" s="832"/>
      <c r="E228" s="833"/>
      <c r="F228" s="833"/>
      <c r="G228" s="1085"/>
      <c r="K228" s="468"/>
      <c r="L228" s="819">
        <f t="shared" si="7"/>
        <v>0</v>
      </c>
      <c r="M228" s="836">
        <f t="shared" si="7"/>
        <v>0</v>
      </c>
      <c r="N228" s="837"/>
      <c r="O228" s="838">
        <f t="shared" si="9"/>
        <v>0</v>
      </c>
      <c r="P228" s="830">
        <f t="shared" si="8"/>
        <v>0</v>
      </c>
    </row>
    <row r="229" spans="3:16" ht="30" hidden="1" customHeight="1" outlineLevel="1">
      <c r="C229" s="831">
        <v>37</v>
      </c>
      <c r="D229" s="832"/>
      <c r="E229" s="833"/>
      <c r="F229" s="833"/>
      <c r="G229" s="1085"/>
      <c r="K229" s="468"/>
      <c r="L229" s="819">
        <f t="shared" si="7"/>
        <v>0</v>
      </c>
      <c r="M229" s="836">
        <f t="shared" si="7"/>
        <v>0</v>
      </c>
      <c r="N229" s="837"/>
      <c r="O229" s="838">
        <f t="shared" si="9"/>
        <v>0</v>
      </c>
      <c r="P229" s="830">
        <f t="shared" si="8"/>
        <v>0</v>
      </c>
    </row>
    <row r="230" spans="3:16" ht="30" hidden="1" customHeight="1" outlineLevel="1">
      <c r="C230" s="831">
        <v>38</v>
      </c>
      <c r="D230" s="832"/>
      <c r="E230" s="833"/>
      <c r="F230" s="833"/>
      <c r="G230" s="1085"/>
      <c r="K230" s="468"/>
      <c r="L230" s="819">
        <f t="shared" si="7"/>
        <v>0</v>
      </c>
      <c r="M230" s="836">
        <f t="shared" si="7"/>
        <v>0</v>
      </c>
      <c r="N230" s="837"/>
      <c r="O230" s="838">
        <f t="shared" si="9"/>
        <v>0</v>
      </c>
      <c r="P230" s="830">
        <f t="shared" si="8"/>
        <v>0</v>
      </c>
    </row>
    <row r="231" spans="3:16" ht="30" hidden="1" customHeight="1" outlineLevel="1">
      <c r="C231" s="831">
        <v>39</v>
      </c>
      <c r="D231" s="832"/>
      <c r="E231" s="833"/>
      <c r="F231" s="833"/>
      <c r="G231" s="1085"/>
      <c r="K231" s="468"/>
      <c r="L231" s="819">
        <f t="shared" si="7"/>
        <v>0</v>
      </c>
      <c r="M231" s="836">
        <f t="shared" si="7"/>
        <v>0</v>
      </c>
      <c r="N231" s="837"/>
      <c r="O231" s="838">
        <f t="shared" si="9"/>
        <v>0</v>
      </c>
      <c r="P231" s="830">
        <f t="shared" si="8"/>
        <v>0</v>
      </c>
    </row>
    <row r="232" spans="3:16" ht="30" hidden="1" customHeight="1" outlineLevel="1">
      <c r="C232" s="831">
        <v>40</v>
      </c>
      <c r="D232" s="832"/>
      <c r="E232" s="833"/>
      <c r="F232" s="833"/>
      <c r="G232" s="1085"/>
      <c r="K232" s="468"/>
      <c r="L232" s="819">
        <f t="shared" si="7"/>
        <v>0</v>
      </c>
      <c r="M232" s="836">
        <f t="shared" si="7"/>
        <v>0</v>
      </c>
      <c r="N232" s="837"/>
      <c r="O232" s="838">
        <f t="shared" si="9"/>
        <v>0</v>
      </c>
      <c r="P232" s="830">
        <f t="shared" si="8"/>
        <v>0</v>
      </c>
    </row>
    <row r="233" spans="3:16" ht="30" hidden="1" customHeight="1" outlineLevel="1">
      <c r="C233" s="831">
        <v>41</v>
      </c>
      <c r="D233" s="832"/>
      <c r="E233" s="833"/>
      <c r="F233" s="833"/>
      <c r="G233" s="1085"/>
      <c r="K233" s="468"/>
      <c r="L233" s="819">
        <f t="shared" si="7"/>
        <v>0</v>
      </c>
      <c r="M233" s="836">
        <f t="shared" si="7"/>
        <v>0</v>
      </c>
      <c r="N233" s="837"/>
      <c r="O233" s="838">
        <f t="shared" si="9"/>
        <v>0</v>
      </c>
      <c r="P233" s="830">
        <f t="shared" si="8"/>
        <v>0</v>
      </c>
    </row>
    <row r="234" spans="3:16" ht="30" hidden="1" customHeight="1" outlineLevel="1">
      <c r="C234" s="831">
        <v>42</v>
      </c>
      <c r="D234" s="832"/>
      <c r="E234" s="833"/>
      <c r="F234" s="833"/>
      <c r="G234" s="1085"/>
      <c r="K234" s="468"/>
      <c r="L234" s="819">
        <f t="shared" si="7"/>
        <v>0</v>
      </c>
      <c r="M234" s="836">
        <f t="shared" si="7"/>
        <v>0</v>
      </c>
      <c r="N234" s="837"/>
      <c r="O234" s="838">
        <f t="shared" si="9"/>
        <v>0</v>
      </c>
      <c r="P234" s="830">
        <f t="shared" si="8"/>
        <v>0</v>
      </c>
    </row>
    <row r="235" spans="3:16" ht="30" hidden="1" customHeight="1" outlineLevel="1">
      <c r="C235" s="831">
        <v>43</v>
      </c>
      <c r="D235" s="832"/>
      <c r="E235" s="833"/>
      <c r="F235" s="833"/>
      <c r="G235" s="1085"/>
      <c r="K235" s="468"/>
      <c r="L235" s="819">
        <f t="shared" si="7"/>
        <v>0</v>
      </c>
      <c r="M235" s="836">
        <f t="shared" si="7"/>
        <v>0</v>
      </c>
      <c r="N235" s="837"/>
      <c r="O235" s="838">
        <f t="shared" si="9"/>
        <v>0</v>
      </c>
      <c r="P235" s="830">
        <f t="shared" si="8"/>
        <v>0</v>
      </c>
    </row>
    <row r="236" spans="3:16" ht="30" hidden="1" customHeight="1" outlineLevel="1">
      <c r="C236" s="831">
        <v>44</v>
      </c>
      <c r="D236" s="832"/>
      <c r="E236" s="833"/>
      <c r="F236" s="833"/>
      <c r="G236" s="1085"/>
      <c r="K236" s="468"/>
      <c r="L236" s="819">
        <f t="shared" si="7"/>
        <v>0</v>
      </c>
      <c r="M236" s="836">
        <f t="shared" si="7"/>
        <v>0</v>
      </c>
      <c r="N236" s="837"/>
      <c r="O236" s="838">
        <f t="shared" si="9"/>
        <v>0</v>
      </c>
      <c r="P236" s="830">
        <f t="shared" si="8"/>
        <v>0</v>
      </c>
    </row>
    <row r="237" spans="3:16" ht="30" hidden="1" customHeight="1" outlineLevel="1">
      <c r="C237" s="831">
        <v>45</v>
      </c>
      <c r="D237" s="832"/>
      <c r="E237" s="833"/>
      <c r="F237" s="833"/>
      <c r="G237" s="1085"/>
      <c r="K237" s="468"/>
      <c r="L237" s="819">
        <f t="shared" si="7"/>
        <v>0</v>
      </c>
      <c r="M237" s="836">
        <f t="shared" si="7"/>
        <v>0</v>
      </c>
      <c r="N237" s="837"/>
      <c r="O237" s="838">
        <f t="shared" si="9"/>
        <v>0</v>
      </c>
      <c r="P237" s="830">
        <f t="shared" si="8"/>
        <v>0</v>
      </c>
    </row>
    <row r="238" spans="3:16" ht="30" hidden="1" customHeight="1" outlineLevel="1">
      <c r="C238" s="831">
        <v>46</v>
      </c>
      <c r="D238" s="832"/>
      <c r="E238" s="833"/>
      <c r="F238" s="833"/>
      <c r="G238" s="1085"/>
      <c r="K238" s="468"/>
      <c r="L238" s="819">
        <f t="shared" si="7"/>
        <v>0</v>
      </c>
      <c r="M238" s="836">
        <f t="shared" si="7"/>
        <v>0</v>
      </c>
      <c r="N238" s="837"/>
      <c r="O238" s="838">
        <f t="shared" si="9"/>
        <v>0</v>
      </c>
      <c r="P238" s="830">
        <f t="shared" si="8"/>
        <v>0</v>
      </c>
    </row>
    <row r="239" spans="3:16" ht="30" hidden="1" customHeight="1" outlineLevel="1">
      <c r="C239" s="831">
        <v>47</v>
      </c>
      <c r="D239" s="832"/>
      <c r="E239" s="833"/>
      <c r="F239" s="833"/>
      <c r="G239" s="1085"/>
      <c r="K239" s="468"/>
      <c r="L239" s="819">
        <f t="shared" si="7"/>
        <v>0</v>
      </c>
      <c r="M239" s="836">
        <f t="shared" si="7"/>
        <v>0</v>
      </c>
      <c r="N239" s="837"/>
      <c r="O239" s="838">
        <f t="shared" si="9"/>
        <v>0</v>
      </c>
      <c r="P239" s="830">
        <f t="shared" si="8"/>
        <v>0</v>
      </c>
    </row>
    <row r="240" spans="3:16" ht="30" hidden="1" customHeight="1" outlineLevel="1">
      <c r="C240" s="831">
        <v>48</v>
      </c>
      <c r="D240" s="832"/>
      <c r="E240" s="833"/>
      <c r="F240" s="833"/>
      <c r="G240" s="1085"/>
      <c r="K240" s="468"/>
      <c r="L240" s="819">
        <f t="shared" si="7"/>
        <v>0</v>
      </c>
      <c r="M240" s="836">
        <f t="shared" si="7"/>
        <v>0</v>
      </c>
      <c r="N240" s="837"/>
      <c r="O240" s="838">
        <f t="shared" si="9"/>
        <v>0</v>
      </c>
      <c r="P240" s="830">
        <f t="shared" si="8"/>
        <v>0</v>
      </c>
    </row>
    <row r="241" spans="2:16" ht="30" hidden="1" customHeight="1" outlineLevel="1">
      <c r="C241" s="831">
        <v>49</v>
      </c>
      <c r="D241" s="832"/>
      <c r="E241" s="833"/>
      <c r="F241" s="833"/>
      <c r="G241" s="1085"/>
      <c r="K241" s="468"/>
      <c r="L241" s="819">
        <f t="shared" si="7"/>
        <v>0</v>
      </c>
      <c r="M241" s="836">
        <f t="shared" si="7"/>
        <v>0</v>
      </c>
      <c r="N241" s="837"/>
      <c r="O241" s="838">
        <f t="shared" si="9"/>
        <v>0</v>
      </c>
      <c r="P241" s="830">
        <f t="shared" si="8"/>
        <v>0</v>
      </c>
    </row>
    <row r="242" spans="2:16" ht="30" hidden="1" customHeight="1" outlineLevel="1" thickBot="1">
      <c r="C242" s="839">
        <v>50</v>
      </c>
      <c r="D242" s="840"/>
      <c r="E242" s="841"/>
      <c r="F242" s="841"/>
      <c r="G242" s="1100"/>
      <c r="K242" s="468"/>
      <c r="L242" s="819">
        <f t="shared" si="7"/>
        <v>0</v>
      </c>
      <c r="M242" s="836">
        <f t="shared" si="7"/>
        <v>0</v>
      </c>
      <c r="N242" s="844"/>
      <c r="O242" s="838">
        <f t="shared" si="9"/>
        <v>0</v>
      </c>
      <c r="P242" s="830">
        <f t="shared" si="8"/>
        <v>0</v>
      </c>
    </row>
    <row r="243" spans="2:16" ht="14.25" customHeight="1" thickTop="1">
      <c r="C243" s="167"/>
      <c r="D243" s="381"/>
      <c r="E243" s="381"/>
      <c r="F243" s="381"/>
      <c r="G243" s="381"/>
      <c r="I243" s="229"/>
      <c r="N243" s="699"/>
    </row>
    <row r="244" spans="2:16" ht="14.25" customHeight="1">
      <c r="B244" s="108"/>
    </row>
    <row r="246" spans="2:16" ht="18" customHeight="1"/>
    <row r="247" spans="2:16" ht="18" customHeight="1"/>
    <row r="248" spans="2:16" ht="18" customHeight="1"/>
    <row r="249" spans="2:16" ht="30" customHeight="1"/>
    <row r="250" spans="2:16" ht="30" customHeight="1"/>
    <row r="251" spans="2:16" ht="30" customHeight="1"/>
  </sheetData>
  <sheetProtection sheet="1" objects="1" scenarios="1" selectLockedCells="1"/>
  <mergeCells count="27">
    <mergeCell ref="L187:P187"/>
    <mergeCell ref="C24:C26"/>
    <mergeCell ref="P190:P191"/>
    <mergeCell ref="C190:C192"/>
    <mergeCell ref="D190:D192"/>
    <mergeCell ref="E190:E192"/>
    <mergeCell ref="F190:F192"/>
    <mergeCell ref="G190:G192"/>
    <mergeCell ref="H190:H192"/>
    <mergeCell ref="L190:L191"/>
    <mergeCell ref="M190:M191"/>
    <mergeCell ref="N190:N191"/>
    <mergeCell ref="O190:O191"/>
    <mergeCell ref="D24:D26"/>
    <mergeCell ref="E24:E26"/>
    <mergeCell ref="F24:F26"/>
    <mergeCell ref="G24:G26"/>
    <mergeCell ref="R19:R23"/>
    <mergeCell ref="H24:H26"/>
    <mergeCell ref="I24:I26"/>
    <mergeCell ref="S20:S23"/>
    <mergeCell ref="L23:P23"/>
    <mergeCell ref="L24:L25"/>
    <mergeCell ref="M24:M25"/>
    <mergeCell ref="N24:N25"/>
    <mergeCell ref="O24:O25"/>
    <mergeCell ref="P24:P25"/>
  </mergeCells>
  <phoneticPr fontId="5"/>
  <dataValidations count="4">
    <dataValidation type="whole" operator="greaterThan" allowBlank="1" showInputMessage="1" showErrorMessage="1" error="0より大きい数値を整数で入力してください。" sqref="N27:N176 N193:N242" xr:uid="{00000000-0002-0000-1400-000000000000}">
      <formula1>0</formula1>
    </dataValidation>
    <dataValidation type="custom" operator="greaterThan" allowBlank="1" showInputMessage="1" showErrorMessage="1" error="0より大きい小数点第１位までの数値を入力してください。" sqref="E27:F176 E193:F242" xr:uid="{00000000-0002-0000-1400-000001000000}">
      <formula1>AND(AND(E27*10=INT(E27*10)),(E27&gt;0))</formula1>
    </dataValidation>
    <dataValidation type="textLength" imeMode="hiragana" operator="greaterThanOrEqual" allowBlank="1" showInputMessage="1" showErrorMessage="1" sqref="D27:D176 D193:D242" xr:uid="{00000000-0002-0000-1400-000002000000}">
      <formula1>1</formula1>
    </dataValidation>
    <dataValidation type="custom" allowBlank="1" showInputMessage="1" showErrorMessage="1" error="0.001~100の範囲で小数点第３位までの数値を入力してください。" sqref="G27:G176 G193:G242" xr:uid="{00000000-0002-0000-1400-000003000000}">
      <formula1>AND(AND(G27*1000=INT(G27*1000)),(G27&gt;0),(G27&lt;=100))</formula1>
    </dataValidation>
  </dataValidations>
  <pageMargins left="0.19685039370078741" right="0.19685039370078741" top="0.59055118110236227" bottom="0.59055118110236227" header="0" footer="0"/>
  <pageSetup paperSize="9" scale="31"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7409" r:id="rId5" name="Label1">
          <controlPr defaultSize="0" print="0" autoLine="0" autoPict="0" r:id="rId6">
            <anchor moveWithCells="1">
              <from>
                <xdr:col>4</xdr:col>
                <xdr:colOff>9525</xdr:colOff>
                <xdr:row>17</xdr:row>
                <xdr:rowOff>47625</xdr:rowOff>
              </from>
              <to>
                <xdr:col>5</xdr:col>
                <xdr:colOff>0</xdr:colOff>
                <xdr:row>18</xdr:row>
                <xdr:rowOff>19050</xdr:rowOff>
              </to>
            </anchor>
          </controlPr>
        </control>
      </mc:Choice>
      <mc:Fallback>
        <control shapeId="17409" r:id="rId5" name="Label1"/>
      </mc:Fallback>
    </mc:AlternateContent>
    <mc:AlternateContent xmlns:mc="http://schemas.openxmlformats.org/markup-compatibility/2006">
      <mc:Choice Requires="x14">
        <control shapeId="17410" r:id="rId7" name="txt_hyouji1">
          <controlPr locked="0" defaultSize="0" print="0" autoLine="0" autoPict="0" r:id="rId8">
            <anchor moveWithCells="1">
              <from>
                <xdr:col>4</xdr:col>
                <xdr:colOff>9525</xdr:colOff>
                <xdr:row>18</xdr:row>
                <xdr:rowOff>28575</xdr:rowOff>
              </from>
              <to>
                <xdr:col>5</xdr:col>
                <xdr:colOff>0</xdr:colOff>
                <xdr:row>19</xdr:row>
                <xdr:rowOff>9525</xdr:rowOff>
              </to>
            </anchor>
          </controlPr>
        </control>
      </mc:Choice>
      <mc:Fallback>
        <control shapeId="17410" r:id="rId7" name="txt_hyouji1"/>
      </mc:Fallback>
    </mc:AlternateContent>
    <mc:AlternateContent xmlns:mc="http://schemas.openxmlformats.org/markup-compatibility/2006">
      <mc:Choice Requires="x14">
        <control shapeId="17411" r:id="rId9" name="btnKoushin1">
          <controlPr defaultSize="0" print="0" autoLine="0" r:id="rId10">
            <anchor moveWithCells="1">
              <from>
                <xdr:col>5</xdr:col>
                <xdr:colOff>0</xdr:colOff>
                <xdr:row>17</xdr:row>
                <xdr:rowOff>47625</xdr:rowOff>
              </from>
              <to>
                <xdr:col>6</xdr:col>
                <xdr:colOff>123825</xdr:colOff>
                <xdr:row>19</xdr:row>
                <xdr:rowOff>9525</xdr:rowOff>
              </to>
            </anchor>
          </controlPr>
        </control>
      </mc:Choice>
      <mc:Fallback>
        <control shapeId="17411" r:id="rId9" name="btnKoushin1"/>
      </mc:Fallback>
    </mc:AlternateContent>
    <mc:AlternateContent xmlns:mc="http://schemas.openxmlformats.org/markup-compatibility/2006">
      <mc:Choice Requires="x14">
        <control shapeId="17412" r:id="rId11" name="Label2">
          <controlPr defaultSize="0" print="0" autoLine="0" r:id="rId12">
            <anchor moveWithCells="1">
              <from>
                <xdr:col>3</xdr:col>
                <xdr:colOff>1676400</xdr:colOff>
                <xdr:row>183</xdr:row>
                <xdr:rowOff>9525</xdr:rowOff>
              </from>
              <to>
                <xdr:col>4</xdr:col>
                <xdr:colOff>838200</xdr:colOff>
                <xdr:row>184</xdr:row>
                <xdr:rowOff>38100</xdr:rowOff>
              </to>
            </anchor>
          </controlPr>
        </control>
      </mc:Choice>
      <mc:Fallback>
        <control shapeId="17412" r:id="rId11" name="Label2"/>
      </mc:Fallback>
    </mc:AlternateContent>
    <mc:AlternateContent xmlns:mc="http://schemas.openxmlformats.org/markup-compatibility/2006">
      <mc:Choice Requires="x14">
        <control shapeId="17413" r:id="rId13" name="txt_hyouji2">
          <controlPr locked="0" defaultSize="0" print="0" autoLine="0" r:id="rId14">
            <anchor moveWithCells="1">
              <from>
                <xdr:col>3</xdr:col>
                <xdr:colOff>1676400</xdr:colOff>
                <xdr:row>184</xdr:row>
                <xdr:rowOff>38100</xdr:rowOff>
              </from>
              <to>
                <xdr:col>4</xdr:col>
                <xdr:colOff>838200</xdr:colOff>
                <xdr:row>185</xdr:row>
                <xdr:rowOff>19050</xdr:rowOff>
              </to>
            </anchor>
          </controlPr>
        </control>
      </mc:Choice>
      <mc:Fallback>
        <control shapeId="17413" r:id="rId13" name="txt_hyouji2"/>
      </mc:Fallback>
    </mc:AlternateContent>
    <mc:AlternateContent xmlns:mc="http://schemas.openxmlformats.org/markup-compatibility/2006">
      <mc:Choice Requires="x14">
        <control shapeId="17414" r:id="rId15" name="btnKoushin2">
          <controlPr defaultSize="0" print="0" autoLine="0" r:id="rId16">
            <anchor moveWithCells="1">
              <from>
                <xdr:col>5</xdr:col>
                <xdr:colOff>0</xdr:colOff>
                <xdr:row>183</xdr:row>
                <xdr:rowOff>9525</xdr:rowOff>
              </from>
              <to>
                <xdr:col>6</xdr:col>
                <xdr:colOff>123825</xdr:colOff>
                <xdr:row>185</xdr:row>
                <xdr:rowOff>19050</xdr:rowOff>
              </to>
            </anchor>
          </controlPr>
        </control>
      </mc:Choice>
      <mc:Fallback>
        <control shapeId="17414" r:id="rId15" name="btnKoushi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400-000004000000}">
          <x14:formula1>
            <xm:f>リスト!$CL$5:$CL$6</xm:f>
          </x14:formula1>
          <xm:sqref>H27:H176</xm:sqref>
        </x14:dataValidation>
        <x14:dataValidation type="list" allowBlank="1" showInputMessage="1" showErrorMessage="1" xr:uid="{00000000-0002-0000-1400-000005000000}">
          <x14:formula1>
            <xm:f>リスト!$BB$5:$BB$6</xm:f>
          </x14:formula1>
          <xm:sqref>I27:I176</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5">
    <outlinePr summaryBelow="0"/>
    <pageSetUpPr fitToPage="1"/>
  </sheetPr>
  <dimension ref="A1:BA241"/>
  <sheetViews>
    <sheetView showGridLines="0" zoomScale="80" zoomScaleNormal="80" zoomScaleSheetLayoutView="80" workbookViewId="0">
      <selection activeCell="D25" sqref="D25"/>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7.5" style="2" customWidth="1"/>
    <col min="8" max="8" width="8.625" style="2" bestFit="1" customWidth="1"/>
    <col min="9" max="9" width="8.625" style="2" customWidth="1"/>
    <col min="10" max="10" width="8.625" style="2" hidden="1" customWidth="1"/>
    <col min="11" max="11" width="8.875" style="2" customWidth="1"/>
    <col min="12" max="12" width="8.875" style="2" customWidth="1" outlineLevel="1"/>
    <col min="13" max="14" width="15" style="2" customWidth="1" outlineLevel="1"/>
    <col min="15" max="16" width="17.5" style="2" customWidth="1" outlineLevel="1"/>
    <col min="17" max="18" width="2.625" style="2" customWidth="1"/>
    <col min="19" max="19" width="6.75" style="2" customWidth="1"/>
    <col min="20" max="21" width="15" style="2" customWidth="1"/>
    <col min="22" max="22" width="10" style="2" customWidth="1"/>
    <col min="23" max="23" width="8.625" style="2" bestFit="1" customWidth="1"/>
    <col min="24" max="24" width="5.125" style="173" customWidth="1"/>
    <col min="25" max="29" width="15" style="2" customWidth="1"/>
    <col min="30" max="30" width="2.375" style="2" customWidth="1"/>
    <col min="31" max="33" width="2.625" style="2" customWidth="1"/>
    <col min="34" max="34" width="25" style="2" customWidth="1"/>
    <col min="35" max="37" width="15" style="2" customWidth="1"/>
    <col min="38" max="38" width="10" style="2" customWidth="1"/>
    <col min="39" max="39" width="8.625" style="2" bestFit="1" customWidth="1"/>
    <col min="40" max="40" width="5.125" style="173"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73" customWidth="1"/>
    <col min="54" max="57" width="15" style="2" customWidth="1"/>
    <col min="58" max="16384" width="2.625" style="2"/>
  </cols>
  <sheetData>
    <row r="1" spans="1:16" ht="14.25" customHeight="1">
      <c r="C1" s="2"/>
      <c r="K1" s="173"/>
      <c r="L1" s="173"/>
      <c r="M1" s="30" t="s">
        <v>0</v>
      </c>
    </row>
    <row r="2" spans="1:16" ht="14.25" customHeight="1">
      <c r="A2" s="30"/>
      <c r="B2" s="30"/>
      <c r="C2" s="30"/>
      <c r="D2" s="30"/>
      <c r="E2" s="30"/>
      <c r="F2" s="30"/>
      <c r="G2" s="30"/>
      <c r="H2" s="30"/>
      <c r="I2" s="30"/>
      <c r="K2" s="184"/>
      <c r="L2" s="184"/>
      <c r="M2" s="30"/>
      <c r="N2" s="30"/>
      <c r="O2" s="30"/>
      <c r="P2" s="30"/>
    </row>
    <row r="3" spans="1:16" ht="14.25" customHeight="1">
      <c r="B3" s="128"/>
      <c r="C3" s="2"/>
      <c r="K3" s="173"/>
      <c r="L3" s="173"/>
    </row>
    <row r="4" spans="1:16" ht="14.25" customHeight="1">
      <c r="B4" s="108"/>
      <c r="C4" s="2"/>
      <c r="K4" s="173"/>
      <c r="L4" s="173"/>
    </row>
    <row r="5" spans="1:16" ht="14.25" customHeight="1">
      <c r="C5" s="606"/>
      <c r="K5" s="173"/>
      <c r="L5" s="173"/>
    </row>
    <row r="6" spans="1:16" ht="14.25" customHeight="1">
      <c r="C6" s="2"/>
      <c r="K6" s="173"/>
      <c r="L6" s="173"/>
    </row>
    <row r="7" spans="1:16" ht="14.25" customHeight="1">
      <c r="C7" s="2"/>
      <c r="K7" s="173"/>
      <c r="L7" s="173"/>
    </row>
    <row r="8" spans="1:16" ht="14.25" customHeight="1">
      <c r="C8" s="2"/>
      <c r="K8" s="173"/>
      <c r="L8" s="173"/>
    </row>
    <row r="9" spans="1:16" ht="14.25" customHeight="1">
      <c r="C9" s="2"/>
      <c r="K9" s="173"/>
      <c r="L9" s="173"/>
    </row>
    <row r="10" spans="1:16" ht="14.25" customHeight="1">
      <c r="C10" s="2"/>
      <c r="K10" s="173"/>
      <c r="L10" s="173"/>
    </row>
    <row r="11" spans="1:16" ht="14.25" customHeight="1">
      <c r="C11" s="2"/>
      <c r="K11" s="173"/>
      <c r="L11" s="173"/>
    </row>
    <row r="12" spans="1:16" ht="14.25" customHeight="1">
      <c r="C12" s="2"/>
      <c r="K12" s="173"/>
      <c r="L12" s="173"/>
    </row>
    <row r="13" spans="1:16" ht="14.25" customHeight="1">
      <c r="C13" s="2"/>
      <c r="K13" s="173"/>
      <c r="L13" s="173"/>
    </row>
    <row r="14" spans="1:16" ht="14.25" customHeight="1">
      <c r="C14" s="2"/>
      <c r="K14" s="173"/>
      <c r="L14" s="173"/>
    </row>
    <row r="15" spans="1:16" ht="14.25" customHeight="1">
      <c r="C15" s="2"/>
      <c r="K15" s="173"/>
      <c r="L15" s="173"/>
    </row>
    <row r="16" spans="1:16" ht="14.25" customHeight="1">
      <c r="B16" s="108" t="s">
        <v>674</v>
      </c>
      <c r="C16" s="2"/>
      <c r="K16" s="173"/>
      <c r="L16" s="173"/>
    </row>
    <row r="17" spans="1:16" ht="14.25" customHeight="1">
      <c r="C17" s="108" t="s">
        <v>642</v>
      </c>
      <c r="K17" s="173"/>
      <c r="L17" s="173"/>
      <c r="M17" s="44"/>
      <c r="N17" s="44"/>
      <c r="O17" s="44"/>
      <c r="P17" s="44"/>
    </row>
    <row r="18" spans="1:16" ht="14.25" customHeight="1">
      <c r="A18" s="30"/>
      <c r="B18" s="30"/>
      <c r="C18" s="30"/>
      <c r="D18" s="606" t="s">
        <v>675</v>
      </c>
      <c r="E18" s="30"/>
      <c r="F18" s="30"/>
      <c r="G18" s="30"/>
      <c r="H18" s="30"/>
      <c r="I18" s="30"/>
      <c r="J18" s="607"/>
      <c r="K18" s="184"/>
      <c r="L18" s="184"/>
      <c r="M18" s="44"/>
      <c r="N18" s="44"/>
      <c r="O18" s="44"/>
      <c r="P18" s="44"/>
    </row>
    <row r="19" spans="1:16" ht="14.25" customHeight="1">
      <c r="A19" s="30"/>
      <c r="B19" s="30"/>
      <c r="C19" s="30"/>
      <c r="D19" s="606" t="s">
        <v>676</v>
      </c>
      <c r="E19" s="30"/>
      <c r="F19" s="30"/>
      <c r="G19" s="30"/>
      <c r="H19" s="30"/>
      <c r="I19" s="30"/>
      <c r="J19" s="607"/>
      <c r="K19" s="184"/>
      <c r="L19" s="184"/>
      <c r="M19" s="44"/>
      <c r="N19" s="44"/>
      <c r="O19" s="44"/>
      <c r="P19" s="44"/>
    </row>
    <row r="20" spans="1:16" ht="14.25" hidden="1" customHeight="1">
      <c r="A20" s="30"/>
      <c r="B20" s="30"/>
      <c r="C20" s="30"/>
      <c r="D20" s="606"/>
      <c r="E20" s="30"/>
      <c r="F20" s="30"/>
      <c r="G20" s="30"/>
      <c r="H20" s="30"/>
      <c r="I20" s="30"/>
      <c r="J20" s="607"/>
      <c r="K20" s="184"/>
      <c r="L20" s="184"/>
      <c r="M20" s="854"/>
      <c r="N20" s="854"/>
      <c r="O20" s="854"/>
      <c r="P20" s="854"/>
    </row>
    <row r="21" spans="1:16" ht="18" customHeight="1" thickBot="1">
      <c r="A21" s="30"/>
      <c r="B21" s="30"/>
      <c r="C21" s="30"/>
      <c r="E21" s="30"/>
      <c r="F21" s="30"/>
      <c r="G21" s="30"/>
      <c r="H21" s="30"/>
      <c r="I21" s="30"/>
      <c r="J21" s="607"/>
      <c r="K21" s="184"/>
      <c r="L21" s="184"/>
      <c r="M21" s="2071" t="s">
        <v>643</v>
      </c>
      <c r="N21" s="2071"/>
      <c r="O21" s="2071"/>
      <c r="P21" s="2071"/>
    </row>
    <row r="22" spans="1:16" ht="21.75" customHeight="1">
      <c r="A22" s="20"/>
      <c r="B22" s="20"/>
      <c r="C22" s="2064" t="s">
        <v>648</v>
      </c>
      <c r="D22" s="1237" t="s">
        <v>649</v>
      </c>
      <c r="E22" s="1933" t="s">
        <v>650</v>
      </c>
      <c r="F22" s="1933" t="s">
        <v>677</v>
      </c>
      <c r="G22" s="1933" t="s">
        <v>678</v>
      </c>
      <c r="H22" s="1456" t="s">
        <v>290</v>
      </c>
      <c r="I22" s="1861" t="s">
        <v>652</v>
      </c>
      <c r="J22" s="2055" t="s">
        <v>653</v>
      </c>
      <c r="K22" s="173"/>
      <c r="L22" s="173"/>
      <c r="M22" s="2059" t="s">
        <v>679</v>
      </c>
      <c r="N22" s="2059" t="s">
        <v>680</v>
      </c>
      <c r="O22" s="2059" t="s">
        <v>681</v>
      </c>
      <c r="P22" s="2059" t="s">
        <v>682</v>
      </c>
    </row>
    <row r="23" spans="1:16" ht="21.75" customHeight="1">
      <c r="A23" s="20"/>
      <c r="B23" s="20"/>
      <c r="C23" s="2065"/>
      <c r="D23" s="1406"/>
      <c r="E23" s="1963"/>
      <c r="F23" s="1963"/>
      <c r="G23" s="1963"/>
      <c r="H23" s="1457"/>
      <c r="I23" s="1862"/>
      <c r="J23" s="2056"/>
      <c r="K23" s="173"/>
      <c r="L23" s="173"/>
      <c r="M23" s="2060"/>
      <c r="N23" s="2060"/>
      <c r="O23" s="2060"/>
      <c r="P23" s="2060"/>
    </row>
    <row r="24" spans="1:16" ht="30" customHeight="1" thickBot="1">
      <c r="A24" s="20"/>
      <c r="B24" s="20"/>
      <c r="C24" s="2066"/>
      <c r="D24" s="1406"/>
      <c r="E24" s="1963"/>
      <c r="F24" s="1454"/>
      <c r="G24" s="1540"/>
      <c r="H24" s="2072"/>
      <c r="I24" s="2054"/>
      <c r="J24" s="2056"/>
      <c r="K24" s="173"/>
      <c r="L24" s="173"/>
      <c r="M24" s="820">
        <f>SUM(M25:M174)</f>
        <v>0</v>
      </c>
      <c r="N24" s="820">
        <f>SUM(N25:N174)</f>
        <v>0</v>
      </c>
      <c r="O24" s="822">
        <f>SUM(O25:O174)</f>
        <v>0</v>
      </c>
      <c r="P24" s="822">
        <f>SUM(P25:P174)</f>
        <v>0</v>
      </c>
    </row>
    <row r="25" spans="1:16" ht="30" customHeight="1" thickTop="1">
      <c r="A25" s="120"/>
      <c r="B25" s="120"/>
      <c r="C25" s="823">
        <v>1</v>
      </c>
      <c r="D25" s="824"/>
      <c r="E25" s="825"/>
      <c r="F25" s="825"/>
      <c r="G25" s="665"/>
      <c r="H25" s="1097"/>
      <c r="I25" s="826"/>
      <c r="J25" s="855"/>
      <c r="K25" s="804"/>
      <c r="L25" s="468"/>
      <c r="M25" s="818">
        <f>IF($H25&gt;0,E25,)</f>
        <v>0</v>
      </c>
      <c r="N25" s="818">
        <f>IF($H25&gt;0,F25,)</f>
        <v>0</v>
      </c>
      <c r="O25" s="830">
        <f>IF(H25&gt;0,ROUND(G25,),)</f>
        <v>0</v>
      </c>
      <c r="P25" s="830">
        <f>ROUND(O25*H25%,)</f>
        <v>0</v>
      </c>
    </row>
    <row r="26" spans="1:16" ht="30" customHeight="1">
      <c r="A26" s="120"/>
      <c r="B26" s="120"/>
      <c r="C26" s="831">
        <v>2</v>
      </c>
      <c r="D26" s="832"/>
      <c r="E26" s="833"/>
      <c r="F26" s="833"/>
      <c r="G26" s="856"/>
      <c r="H26" s="1098"/>
      <c r="I26" s="834"/>
      <c r="J26" s="857"/>
      <c r="K26" s="804"/>
      <c r="L26" s="468"/>
      <c r="M26" s="819">
        <f t="shared" ref="M26:N153" si="0">IF($H26&gt;0,E26,)</f>
        <v>0</v>
      </c>
      <c r="N26" s="836">
        <f t="shared" si="0"/>
        <v>0</v>
      </c>
      <c r="O26" s="858">
        <f t="shared" ref="O26:O174" si="1">IF(H26&gt;0,ROUND(G26,),)</f>
        <v>0</v>
      </c>
      <c r="P26" s="830">
        <f t="shared" ref="P26:P89" si="2">ROUND(O26*H26%,)</f>
        <v>0</v>
      </c>
    </row>
    <row r="27" spans="1:16" ht="30" customHeight="1">
      <c r="A27" s="120"/>
      <c r="B27" s="120"/>
      <c r="C27" s="831">
        <v>3</v>
      </c>
      <c r="D27" s="832"/>
      <c r="E27" s="833"/>
      <c r="F27" s="833"/>
      <c r="G27" s="856"/>
      <c r="H27" s="1098"/>
      <c r="I27" s="834"/>
      <c r="J27" s="857"/>
      <c r="K27" s="804"/>
      <c r="L27" s="468"/>
      <c r="M27" s="819">
        <f t="shared" si="0"/>
        <v>0</v>
      </c>
      <c r="N27" s="836">
        <f t="shared" si="0"/>
        <v>0</v>
      </c>
      <c r="O27" s="858">
        <f t="shared" si="1"/>
        <v>0</v>
      </c>
      <c r="P27" s="830">
        <f t="shared" si="2"/>
        <v>0</v>
      </c>
    </row>
    <row r="28" spans="1:16" ht="30" customHeight="1">
      <c r="A28" s="120"/>
      <c r="B28" s="120"/>
      <c r="C28" s="831">
        <v>4</v>
      </c>
      <c r="D28" s="832"/>
      <c r="E28" s="833"/>
      <c r="F28" s="833"/>
      <c r="G28" s="856"/>
      <c r="H28" s="1098"/>
      <c r="I28" s="834"/>
      <c r="J28" s="857"/>
      <c r="K28" s="804"/>
      <c r="L28" s="468"/>
      <c r="M28" s="819">
        <f t="shared" si="0"/>
        <v>0</v>
      </c>
      <c r="N28" s="836">
        <f t="shared" si="0"/>
        <v>0</v>
      </c>
      <c r="O28" s="858">
        <f t="shared" si="1"/>
        <v>0</v>
      </c>
      <c r="P28" s="830">
        <f t="shared" si="2"/>
        <v>0</v>
      </c>
    </row>
    <row r="29" spans="1:16" ht="30" customHeight="1">
      <c r="A29" s="120"/>
      <c r="B29" s="120"/>
      <c r="C29" s="831">
        <v>5</v>
      </c>
      <c r="D29" s="832"/>
      <c r="E29" s="833"/>
      <c r="F29" s="833"/>
      <c r="G29" s="856"/>
      <c r="H29" s="1098"/>
      <c r="I29" s="834"/>
      <c r="J29" s="857"/>
      <c r="K29" s="804"/>
      <c r="L29" s="468"/>
      <c r="M29" s="819">
        <f t="shared" si="0"/>
        <v>0</v>
      </c>
      <c r="N29" s="836">
        <f t="shared" si="0"/>
        <v>0</v>
      </c>
      <c r="O29" s="858">
        <f t="shared" si="1"/>
        <v>0</v>
      </c>
      <c r="P29" s="830">
        <f t="shared" si="2"/>
        <v>0</v>
      </c>
    </row>
    <row r="30" spans="1:16" ht="30" customHeight="1">
      <c r="A30" s="120"/>
      <c r="B30" s="120"/>
      <c r="C30" s="831">
        <v>6</v>
      </c>
      <c r="D30" s="832"/>
      <c r="E30" s="833"/>
      <c r="F30" s="833"/>
      <c r="G30" s="856"/>
      <c r="H30" s="1098"/>
      <c r="I30" s="834"/>
      <c r="J30" s="857"/>
      <c r="K30" s="804"/>
      <c r="L30" s="468"/>
      <c r="M30" s="819">
        <f t="shared" si="0"/>
        <v>0</v>
      </c>
      <c r="N30" s="836">
        <f t="shared" si="0"/>
        <v>0</v>
      </c>
      <c r="O30" s="858">
        <f t="shared" si="1"/>
        <v>0</v>
      </c>
      <c r="P30" s="830">
        <f t="shared" si="2"/>
        <v>0</v>
      </c>
    </row>
    <row r="31" spans="1:16" ht="30" customHeight="1">
      <c r="A31" s="120"/>
      <c r="B31" s="120"/>
      <c r="C31" s="831">
        <v>7</v>
      </c>
      <c r="D31" s="832"/>
      <c r="E31" s="833"/>
      <c r="F31" s="833"/>
      <c r="G31" s="856"/>
      <c r="H31" s="1098"/>
      <c r="I31" s="834"/>
      <c r="J31" s="857"/>
      <c r="K31" s="804"/>
      <c r="L31" s="468"/>
      <c r="M31" s="819">
        <f t="shared" si="0"/>
        <v>0</v>
      </c>
      <c r="N31" s="836">
        <f t="shared" si="0"/>
        <v>0</v>
      </c>
      <c r="O31" s="858">
        <f t="shared" si="1"/>
        <v>0</v>
      </c>
      <c r="P31" s="830">
        <f t="shared" si="2"/>
        <v>0</v>
      </c>
    </row>
    <row r="32" spans="1:16" ht="30" customHeight="1">
      <c r="A32" s="120"/>
      <c r="B32" s="120"/>
      <c r="C32" s="831">
        <v>8</v>
      </c>
      <c r="D32" s="832"/>
      <c r="E32" s="833"/>
      <c r="F32" s="833"/>
      <c r="G32" s="856"/>
      <c r="H32" s="1098"/>
      <c r="I32" s="834"/>
      <c r="J32" s="857"/>
      <c r="K32" s="804"/>
      <c r="L32" s="468"/>
      <c r="M32" s="819">
        <f t="shared" si="0"/>
        <v>0</v>
      </c>
      <c r="N32" s="836">
        <f t="shared" si="0"/>
        <v>0</v>
      </c>
      <c r="O32" s="858">
        <f t="shared" si="1"/>
        <v>0</v>
      </c>
      <c r="P32" s="830">
        <f t="shared" si="2"/>
        <v>0</v>
      </c>
    </row>
    <row r="33" spans="1:16" ht="30" customHeight="1">
      <c r="A33" s="120"/>
      <c r="B33" s="120"/>
      <c r="C33" s="831">
        <v>9</v>
      </c>
      <c r="D33" s="832"/>
      <c r="E33" s="833"/>
      <c r="F33" s="833"/>
      <c r="G33" s="856"/>
      <c r="H33" s="1098"/>
      <c r="I33" s="834"/>
      <c r="J33" s="857"/>
      <c r="K33" s="804"/>
      <c r="L33" s="468"/>
      <c r="M33" s="819">
        <f t="shared" si="0"/>
        <v>0</v>
      </c>
      <c r="N33" s="836">
        <f t="shared" si="0"/>
        <v>0</v>
      </c>
      <c r="O33" s="858">
        <f t="shared" si="1"/>
        <v>0</v>
      </c>
      <c r="P33" s="830">
        <f t="shared" si="2"/>
        <v>0</v>
      </c>
    </row>
    <row r="34" spans="1:16" ht="30" customHeight="1" collapsed="1" thickBot="1">
      <c r="A34" s="120"/>
      <c r="B34" s="120"/>
      <c r="C34" s="831">
        <v>10</v>
      </c>
      <c r="D34" s="832"/>
      <c r="E34" s="833"/>
      <c r="F34" s="833"/>
      <c r="G34" s="856"/>
      <c r="H34" s="1098"/>
      <c r="I34" s="834"/>
      <c r="J34" s="857"/>
      <c r="K34" s="804"/>
      <c r="L34" s="468"/>
      <c r="M34" s="819">
        <f t="shared" si="0"/>
        <v>0</v>
      </c>
      <c r="N34" s="836">
        <f t="shared" si="0"/>
        <v>0</v>
      </c>
      <c r="O34" s="858">
        <f t="shared" si="1"/>
        <v>0</v>
      </c>
      <c r="P34" s="830">
        <f t="shared" si="2"/>
        <v>0</v>
      </c>
    </row>
    <row r="35" spans="1:16" ht="30" hidden="1" customHeight="1" outlineLevel="1">
      <c r="A35" s="120"/>
      <c r="B35" s="120"/>
      <c r="C35" s="831">
        <v>11</v>
      </c>
      <c r="D35" s="832"/>
      <c r="E35" s="833"/>
      <c r="F35" s="833"/>
      <c r="G35" s="856"/>
      <c r="H35" s="1098"/>
      <c r="I35" s="859"/>
      <c r="J35" s="860"/>
      <c r="K35" s="861"/>
      <c r="L35" s="468"/>
      <c r="M35" s="819">
        <f t="shared" si="0"/>
        <v>0</v>
      </c>
      <c r="N35" s="836">
        <f t="shared" si="0"/>
        <v>0</v>
      </c>
      <c r="O35" s="858">
        <f t="shared" si="1"/>
        <v>0</v>
      </c>
      <c r="P35" s="830">
        <f t="shared" si="2"/>
        <v>0</v>
      </c>
    </row>
    <row r="36" spans="1:16" ht="30" hidden="1" customHeight="1" outlineLevel="1">
      <c r="A36" s="120"/>
      <c r="B36" s="120"/>
      <c r="C36" s="831">
        <v>12</v>
      </c>
      <c r="D36" s="832"/>
      <c r="E36" s="833"/>
      <c r="F36" s="833"/>
      <c r="G36" s="856"/>
      <c r="H36" s="1098"/>
      <c r="I36" s="859"/>
      <c r="J36" s="860"/>
      <c r="K36" s="861"/>
      <c r="L36" s="468"/>
      <c r="M36" s="819">
        <f t="shared" si="0"/>
        <v>0</v>
      </c>
      <c r="N36" s="836">
        <f t="shared" si="0"/>
        <v>0</v>
      </c>
      <c r="O36" s="858">
        <f t="shared" si="1"/>
        <v>0</v>
      </c>
      <c r="P36" s="830">
        <f t="shared" si="2"/>
        <v>0</v>
      </c>
    </row>
    <row r="37" spans="1:16" ht="30" hidden="1" customHeight="1" outlineLevel="1">
      <c r="A37" s="120"/>
      <c r="B37" s="120"/>
      <c r="C37" s="831">
        <v>13</v>
      </c>
      <c r="D37" s="832"/>
      <c r="E37" s="833"/>
      <c r="F37" s="833"/>
      <c r="G37" s="856"/>
      <c r="H37" s="1098"/>
      <c r="I37" s="859"/>
      <c r="J37" s="860"/>
      <c r="K37" s="861"/>
      <c r="L37" s="468"/>
      <c r="M37" s="819">
        <f t="shared" si="0"/>
        <v>0</v>
      </c>
      <c r="N37" s="836">
        <f t="shared" si="0"/>
        <v>0</v>
      </c>
      <c r="O37" s="858">
        <f t="shared" si="1"/>
        <v>0</v>
      </c>
      <c r="P37" s="830">
        <f t="shared" si="2"/>
        <v>0</v>
      </c>
    </row>
    <row r="38" spans="1:16" ht="30" hidden="1" customHeight="1" outlineLevel="1">
      <c r="A38" s="120"/>
      <c r="B38" s="120"/>
      <c r="C38" s="831">
        <v>14</v>
      </c>
      <c r="D38" s="832"/>
      <c r="E38" s="833"/>
      <c r="F38" s="833"/>
      <c r="G38" s="856"/>
      <c r="H38" s="1098"/>
      <c r="I38" s="859"/>
      <c r="J38" s="860"/>
      <c r="K38" s="861"/>
      <c r="L38" s="468"/>
      <c r="M38" s="819">
        <f t="shared" si="0"/>
        <v>0</v>
      </c>
      <c r="N38" s="836">
        <f t="shared" si="0"/>
        <v>0</v>
      </c>
      <c r="O38" s="858">
        <f t="shared" si="1"/>
        <v>0</v>
      </c>
      <c r="P38" s="830">
        <f t="shared" si="2"/>
        <v>0</v>
      </c>
    </row>
    <row r="39" spans="1:16" ht="30" hidden="1" customHeight="1" outlineLevel="1">
      <c r="A39" s="120"/>
      <c r="B39" s="120"/>
      <c r="C39" s="831">
        <v>15</v>
      </c>
      <c r="D39" s="832"/>
      <c r="E39" s="833"/>
      <c r="F39" s="833"/>
      <c r="G39" s="856"/>
      <c r="H39" s="1098"/>
      <c r="I39" s="859"/>
      <c r="J39" s="860"/>
      <c r="K39" s="861"/>
      <c r="L39" s="468"/>
      <c r="M39" s="819">
        <f t="shared" si="0"/>
        <v>0</v>
      </c>
      <c r="N39" s="836">
        <f t="shared" si="0"/>
        <v>0</v>
      </c>
      <c r="O39" s="858">
        <f t="shared" si="1"/>
        <v>0</v>
      </c>
      <c r="P39" s="830">
        <f t="shared" si="2"/>
        <v>0</v>
      </c>
    </row>
    <row r="40" spans="1:16" ht="30" hidden="1" customHeight="1" outlineLevel="1">
      <c r="A40" s="120"/>
      <c r="B40" s="120"/>
      <c r="C40" s="831">
        <v>16</v>
      </c>
      <c r="D40" s="832"/>
      <c r="E40" s="833"/>
      <c r="F40" s="833"/>
      <c r="G40" s="856"/>
      <c r="H40" s="1098"/>
      <c r="I40" s="859"/>
      <c r="J40" s="860"/>
      <c r="K40" s="861"/>
      <c r="L40" s="468"/>
      <c r="M40" s="819">
        <f t="shared" si="0"/>
        <v>0</v>
      </c>
      <c r="N40" s="836">
        <f t="shared" si="0"/>
        <v>0</v>
      </c>
      <c r="O40" s="858">
        <f t="shared" si="1"/>
        <v>0</v>
      </c>
      <c r="P40" s="830">
        <f t="shared" si="2"/>
        <v>0</v>
      </c>
    </row>
    <row r="41" spans="1:16" ht="30" hidden="1" customHeight="1" outlineLevel="1">
      <c r="A41" s="120"/>
      <c r="B41" s="120"/>
      <c r="C41" s="831">
        <v>17</v>
      </c>
      <c r="D41" s="832"/>
      <c r="E41" s="833"/>
      <c r="F41" s="833"/>
      <c r="G41" s="856"/>
      <c r="H41" s="1098"/>
      <c r="I41" s="859"/>
      <c r="J41" s="860"/>
      <c r="K41" s="861"/>
      <c r="L41" s="468"/>
      <c r="M41" s="819">
        <f t="shared" si="0"/>
        <v>0</v>
      </c>
      <c r="N41" s="836">
        <f t="shared" si="0"/>
        <v>0</v>
      </c>
      <c r="O41" s="858">
        <f t="shared" si="1"/>
        <v>0</v>
      </c>
      <c r="P41" s="830">
        <f t="shared" si="2"/>
        <v>0</v>
      </c>
    </row>
    <row r="42" spans="1:16" ht="30" hidden="1" customHeight="1" outlineLevel="1">
      <c r="A42" s="120"/>
      <c r="B42" s="120"/>
      <c r="C42" s="831">
        <v>18</v>
      </c>
      <c r="D42" s="832"/>
      <c r="E42" s="833"/>
      <c r="F42" s="833"/>
      <c r="G42" s="856"/>
      <c r="H42" s="1098"/>
      <c r="I42" s="859"/>
      <c r="J42" s="860"/>
      <c r="K42" s="861"/>
      <c r="L42" s="468"/>
      <c r="M42" s="819">
        <f t="shared" si="0"/>
        <v>0</v>
      </c>
      <c r="N42" s="836">
        <f t="shared" si="0"/>
        <v>0</v>
      </c>
      <c r="O42" s="858">
        <f t="shared" si="1"/>
        <v>0</v>
      </c>
      <c r="P42" s="830">
        <f t="shared" si="2"/>
        <v>0</v>
      </c>
    </row>
    <row r="43" spans="1:16" ht="30" hidden="1" customHeight="1" outlineLevel="1">
      <c r="A43" s="120"/>
      <c r="B43" s="120"/>
      <c r="C43" s="831">
        <v>19</v>
      </c>
      <c r="D43" s="832"/>
      <c r="E43" s="833"/>
      <c r="F43" s="833"/>
      <c r="G43" s="856"/>
      <c r="H43" s="1098"/>
      <c r="I43" s="859"/>
      <c r="J43" s="860"/>
      <c r="K43" s="861"/>
      <c r="L43" s="468"/>
      <c r="M43" s="819">
        <f t="shared" si="0"/>
        <v>0</v>
      </c>
      <c r="N43" s="836">
        <f t="shared" si="0"/>
        <v>0</v>
      </c>
      <c r="O43" s="858">
        <f t="shared" si="1"/>
        <v>0</v>
      </c>
      <c r="P43" s="830">
        <f t="shared" si="2"/>
        <v>0</v>
      </c>
    </row>
    <row r="44" spans="1:16" ht="30" hidden="1" customHeight="1" outlineLevel="1">
      <c r="A44" s="120"/>
      <c r="B44" s="120"/>
      <c r="C44" s="831">
        <v>20</v>
      </c>
      <c r="D44" s="832"/>
      <c r="E44" s="833"/>
      <c r="F44" s="833"/>
      <c r="G44" s="856"/>
      <c r="H44" s="1098"/>
      <c r="I44" s="859"/>
      <c r="J44" s="860"/>
      <c r="K44" s="861"/>
      <c r="L44" s="468"/>
      <c r="M44" s="819">
        <f t="shared" si="0"/>
        <v>0</v>
      </c>
      <c r="N44" s="836">
        <f t="shared" si="0"/>
        <v>0</v>
      </c>
      <c r="O44" s="858">
        <f t="shared" si="1"/>
        <v>0</v>
      </c>
      <c r="P44" s="830">
        <f t="shared" si="2"/>
        <v>0</v>
      </c>
    </row>
    <row r="45" spans="1:16" ht="30" hidden="1" customHeight="1" outlineLevel="1">
      <c r="A45" s="120"/>
      <c r="B45" s="120"/>
      <c r="C45" s="831">
        <v>21</v>
      </c>
      <c r="D45" s="832"/>
      <c r="E45" s="833"/>
      <c r="F45" s="833"/>
      <c r="G45" s="856"/>
      <c r="H45" s="1098"/>
      <c r="I45" s="859"/>
      <c r="J45" s="860"/>
      <c r="K45" s="861"/>
      <c r="L45" s="468"/>
      <c r="M45" s="819">
        <f t="shared" si="0"/>
        <v>0</v>
      </c>
      <c r="N45" s="836">
        <f t="shared" si="0"/>
        <v>0</v>
      </c>
      <c r="O45" s="858">
        <f t="shared" si="1"/>
        <v>0</v>
      </c>
      <c r="P45" s="830">
        <f t="shared" si="2"/>
        <v>0</v>
      </c>
    </row>
    <row r="46" spans="1:16" ht="30" hidden="1" customHeight="1" outlineLevel="1">
      <c r="A46" s="120"/>
      <c r="B46" s="120"/>
      <c r="C46" s="831">
        <v>22</v>
      </c>
      <c r="D46" s="832"/>
      <c r="E46" s="833"/>
      <c r="F46" s="833"/>
      <c r="G46" s="856"/>
      <c r="H46" s="1098"/>
      <c r="I46" s="859"/>
      <c r="J46" s="860"/>
      <c r="K46" s="861"/>
      <c r="L46" s="468"/>
      <c r="M46" s="819">
        <f t="shared" si="0"/>
        <v>0</v>
      </c>
      <c r="N46" s="836">
        <f t="shared" si="0"/>
        <v>0</v>
      </c>
      <c r="O46" s="858">
        <f t="shared" si="1"/>
        <v>0</v>
      </c>
      <c r="P46" s="830">
        <f t="shared" si="2"/>
        <v>0</v>
      </c>
    </row>
    <row r="47" spans="1:16" ht="30" hidden="1" customHeight="1" outlineLevel="1">
      <c r="A47" s="120"/>
      <c r="B47" s="120"/>
      <c r="C47" s="831">
        <v>23</v>
      </c>
      <c r="D47" s="832"/>
      <c r="E47" s="833"/>
      <c r="F47" s="833"/>
      <c r="G47" s="856"/>
      <c r="H47" s="1098"/>
      <c r="I47" s="859"/>
      <c r="J47" s="860"/>
      <c r="K47" s="861"/>
      <c r="L47" s="468"/>
      <c r="M47" s="819">
        <f t="shared" si="0"/>
        <v>0</v>
      </c>
      <c r="N47" s="836">
        <f t="shared" si="0"/>
        <v>0</v>
      </c>
      <c r="O47" s="858">
        <f t="shared" si="1"/>
        <v>0</v>
      </c>
      <c r="P47" s="830">
        <f t="shared" si="2"/>
        <v>0</v>
      </c>
    </row>
    <row r="48" spans="1:16" ht="30" hidden="1" customHeight="1" outlineLevel="1">
      <c r="A48" s="120"/>
      <c r="B48" s="120"/>
      <c r="C48" s="831">
        <v>24</v>
      </c>
      <c r="D48" s="832"/>
      <c r="E48" s="833"/>
      <c r="F48" s="833"/>
      <c r="G48" s="856"/>
      <c r="H48" s="1098"/>
      <c r="I48" s="859"/>
      <c r="J48" s="860"/>
      <c r="K48" s="861"/>
      <c r="L48" s="468"/>
      <c r="M48" s="819">
        <f t="shared" si="0"/>
        <v>0</v>
      </c>
      <c r="N48" s="836">
        <f t="shared" si="0"/>
        <v>0</v>
      </c>
      <c r="O48" s="858">
        <f t="shared" si="1"/>
        <v>0</v>
      </c>
      <c r="P48" s="830">
        <f t="shared" si="2"/>
        <v>0</v>
      </c>
    </row>
    <row r="49" spans="1:16" ht="30" hidden="1" customHeight="1" outlineLevel="1">
      <c r="A49" s="120"/>
      <c r="B49" s="120"/>
      <c r="C49" s="831">
        <v>25</v>
      </c>
      <c r="D49" s="832"/>
      <c r="E49" s="833"/>
      <c r="F49" s="833"/>
      <c r="G49" s="856"/>
      <c r="H49" s="1098"/>
      <c r="I49" s="859"/>
      <c r="J49" s="860"/>
      <c r="K49" s="861"/>
      <c r="L49" s="468"/>
      <c r="M49" s="819">
        <f t="shared" si="0"/>
        <v>0</v>
      </c>
      <c r="N49" s="836">
        <f t="shared" si="0"/>
        <v>0</v>
      </c>
      <c r="O49" s="858">
        <f t="shared" si="1"/>
        <v>0</v>
      </c>
      <c r="P49" s="830">
        <f t="shared" si="2"/>
        <v>0</v>
      </c>
    </row>
    <row r="50" spans="1:16" ht="30" hidden="1" customHeight="1" outlineLevel="1">
      <c r="A50" s="120"/>
      <c r="B50" s="120"/>
      <c r="C50" s="831">
        <v>26</v>
      </c>
      <c r="D50" s="832"/>
      <c r="E50" s="833"/>
      <c r="F50" s="833"/>
      <c r="G50" s="856"/>
      <c r="H50" s="1098"/>
      <c r="I50" s="859"/>
      <c r="J50" s="860"/>
      <c r="K50" s="861"/>
      <c r="L50" s="468"/>
      <c r="M50" s="819">
        <f t="shared" si="0"/>
        <v>0</v>
      </c>
      <c r="N50" s="836">
        <f t="shared" si="0"/>
        <v>0</v>
      </c>
      <c r="O50" s="858">
        <f t="shared" si="1"/>
        <v>0</v>
      </c>
      <c r="P50" s="830">
        <f t="shared" si="2"/>
        <v>0</v>
      </c>
    </row>
    <row r="51" spans="1:16" ht="30" hidden="1" customHeight="1" outlineLevel="1">
      <c r="A51" s="120"/>
      <c r="B51" s="120"/>
      <c r="C51" s="831">
        <v>27</v>
      </c>
      <c r="D51" s="832"/>
      <c r="E51" s="833"/>
      <c r="F51" s="833"/>
      <c r="G51" s="856"/>
      <c r="H51" s="1098"/>
      <c r="I51" s="859"/>
      <c r="J51" s="860"/>
      <c r="K51" s="861"/>
      <c r="L51" s="468"/>
      <c r="M51" s="819">
        <f t="shared" si="0"/>
        <v>0</v>
      </c>
      <c r="N51" s="836">
        <f t="shared" si="0"/>
        <v>0</v>
      </c>
      <c r="O51" s="858">
        <f t="shared" si="1"/>
        <v>0</v>
      </c>
      <c r="P51" s="830">
        <f t="shared" si="2"/>
        <v>0</v>
      </c>
    </row>
    <row r="52" spans="1:16" ht="30" hidden="1" customHeight="1" outlineLevel="1">
      <c r="A52" s="120"/>
      <c r="B52" s="120"/>
      <c r="C52" s="831">
        <v>28</v>
      </c>
      <c r="D52" s="832"/>
      <c r="E52" s="833"/>
      <c r="F52" s="833"/>
      <c r="G52" s="856"/>
      <c r="H52" s="1098"/>
      <c r="I52" s="859"/>
      <c r="J52" s="860"/>
      <c r="K52" s="861"/>
      <c r="L52" s="468"/>
      <c r="M52" s="819">
        <f t="shared" si="0"/>
        <v>0</v>
      </c>
      <c r="N52" s="836">
        <f t="shared" si="0"/>
        <v>0</v>
      </c>
      <c r="O52" s="858">
        <f t="shared" si="1"/>
        <v>0</v>
      </c>
      <c r="P52" s="830">
        <f t="shared" si="2"/>
        <v>0</v>
      </c>
    </row>
    <row r="53" spans="1:16" ht="30" hidden="1" customHeight="1" outlineLevel="1">
      <c r="A53" s="120"/>
      <c r="B53" s="120"/>
      <c r="C53" s="831">
        <v>29</v>
      </c>
      <c r="D53" s="832"/>
      <c r="E53" s="833"/>
      <c r="F53" s="833"/>
      <c r="G53" s="856"/>
      <c r="H53" s="1098"/>
      <c r="I53" s="859"/>
      <c r="J53" s="860"/>
      <c r="K53" s="861"/>
      <c r="L53" s="468"/>
      <c r="M53" s="819">
        <f t="shared" si="0"/>
        <v>0</v>
      </c>
      <c r="N53" s="836">
        <f t="shared" si="0"/>
        <v>0</v>
      </c>
      <c r="O53" s="858">
        <f t="shared" si="1"/>
        <v>0</v>
      </c>
      <c r="P53" s="830">
        <f t="shared" si="2"/>
        <v>0</v>
      </c>
    </row>
    <row r="54" spans="1:16" ht="30" hidden="1" customHeight="1" outlineLevel="1">
      <c r="A54" s="120"/>
      <c r="B54" s="120"/>
      <c r="C54" s="831">
        <v>30</v>
      </c>
      <c r="D54" s="832"/>
      <c r="E54" s="833"/>
      <c r="F54" s="833"/>
      <c r="G54" s="856"/>
      <c r="H54" s="1098"/>
      <c r="I54" s="859"/>
      <c r="J54" s="860"/>
      <c r="K54" s="861"/>
      <c r="L54" s="468"/>
      <c r="M54" s="819">
        <f t="shared" si="0"/>
        <v>0</v>
      </c>
      <c r="N54" s="836">
        <f t="shared" si="0"/>
        <v>0</v>
      </c>
      <c r="O54" s="858">
        <f t="shared" si="1"/>
        <v>0</v>
      </c>
      <c r="P54" s="830">
        <f t="shared" si="2"/>
        <v>0</v>
      </c>
    </row>
    <row r="55" spans="1:16" ht="30" hidden="1" customHeight="1" outlineLevel="1">
      <c r="A55" s="120"/>
      <c r="B55" s="120"/>
      <c r="C55" s="831">
        <v>31</v>
      </c>
      <c r="D55" s="832"/>
      <c r="E55" s="833"/>
      <c r="F55" s="833"/>
      <c r="G55" s="856"/>
      <c r="H55" s="1098"/>
      <c r="I55" s="859"/>
      <c r="J55" s="860"/>
      <c r="K55" s="861"/>
      <c r="L55" s="468"/>
      <c r="M55" s="819">
        <f t="shared" si="0"/>
        <v>0</v>
      </c>
      <c r="N55" s="836">
        <f t="shared" si="0"/>
        <v>0</v>
      </c>
      <c r="O55" s="858">
        <f t="shared" si="1"/>
        <v>0</v>
      </c>
      <c r="P55" s="830">
        <f t="shared" si="2"/>
        <v>0</v>
      </c>
    </row>
    <row r="56" spans="1:16" ht="30" hidden="1" customHeight="1" outlineLevel="1">
      <c r="A56" s="120"/>
      <c r="B56" s="120"/>
      <c r="C56" s="831">
        <v>32</v>
      </c>
      <c r="D56" s="832"/>
      <c r="E56" s="833"/>
      <c r="F56" s="833"/>
      <c r="G56" s="856"/>
      <c r="H56" s="1098"/>
      <c r="I56" s="859"/>
      <c r="J56" s="860"/>
      <c r="K56" s="861"/>
      <c r="L56" s="468"/>
      <c r="M56" s="819">
        <f t="shared" si="0"/>
        <v>0</v>
      </c>
      <c r="N56" s="836">
        <f t="shared" si="0"/>
        <v>0</v>
      </c>
      <c r="O56" s="858">
        <f t="shared" si="1"/>
        <v>0</v>
      </c>
      <c r="P56" s="830">
        <f t="shared" si="2"/>
        <v>0</v>
      </c>
    </row>
    <row r="57" spans="1:16" ht="30" hidden="1" customHeight="1" outlineLevel="1">
      <c r="A57" s="120"/>
      <c r="B57" s="120"/>
      <c r="C57" s="831">
        <v>33</v>
      </c>
      <c r="D57" s="832"/>
      <c r="E57" s="833"/>
      <c r="F57" s="833"/>
      <c r="G57" s="856"/>
      <c r="H57" s="1098"/>
      <c r="I57" s="859"/>
      <c r="J57" s="860"/>
      <c r="K57" s="861"/>
      <c r="L57" s="468"/>
      <c r="M57" s="819">
        <f t="shared" si="0"/>
        <v>0</v>
      </c>
      <c r="N57" s="836">
        <f t="shared" si="0"/>
        <v>0</v>
      </c>
      <c r="O57" s="858">
        <f t="shared" si="1"/>
        <v>0</v>
      </c>
      <c r="P57" s="830">
        <f t="shared" si="2"/>
        <v>0</v>
      </c>
    </row>
    <row r="58" spans="1:16" ht="30" hidden="1" customHeight="1" outlineLevel="1">
      <c r="A58" s="120"/>
      <c r="B58" s="120"/>
      <c r="C58" s="831">
        <v>34</v>
      </c>
      <c r="D58" s="832"/>
      <c r="E58" s="833"/>
      <c r="F58" s="833"/>
      <c r="G58" s="856"/>
      <c r="H58" s="1098"/>
      <c r="I58" s="859"/>
      <c r="J58" s="860"/>
      <c r="K58" s="861"/>
      <c r="L58" s="468"/>
      <c r="M58" s="819">
        <f t="shared" si="0"/>
        <v>0</v>
      </c>
      <c r="N58" s="836">
        <f t="shared" si="0"/>
        <v>0</v>
      </c>
      <c r="O58" s="858">
        <f t="shared" si="1"/>
        <v>0</v>
      </c>
      <c r="P58" s="830">
        <f t="shared" si="2"/>
        <v>0</v>
      </c>
    </row>
    <row r="59" spans="1:16" ht="30" hidden="1" customHeight="1" outlineLevel="1">
      <c r="A59" s="120"/>
      <c r="B59" s="120"/>
      <c r="C59" s="831">
        <v>35</v>
      </c>
      <c r="D59" s="832"/>
      <c r="E59" s="833"/>
      <c r="F59" s="833"/>
      <c r="G59" s="856"/>
      <c r="H59" s="1098"/>
      <c r="I59" s="859"/>
      <c r="J59" s="860"/>
      <c r="K59" s="861"/>
      <c r="L59" s="468"/>
      <c r="M59" s="819">
        <f t="shared" si="0"/>
        <v>0</v>
      </c>
      <c r="N59" s="836">
        <f t="shared" si="0"/>
        <v>0</v>
      </c>
      <c r="O59" s="858">
        <f t="shared" si="1"/>
        <v>0</v>
      </c>
      <c r="P59" s="830">
        <f t="shared" si="2"/>
        <v>0</v>
      </c>
    </row>
    <row r="60" spans="1:16" ht="30" hidden="1" customHeight="1" outlineLevel="1">
      <c r="A60" s="120"/>
      <c r="B60" s="120"/>
      <c r="C60" s="831">
        <v>36</v>
      </c>
      <c r="D60" s="832"/>
      <c r="E60" s="833"/>
      <c r="F60" s="833"/>
      <c r="G60" s="856"/>
      <c r="H60" s="1098"/>
      <c r="I60" s="859"/>
      <c r="J60" s="860"/>
      <c r="K60" s="861"/>
      <c r="L60" s="468"/>
      <c r="M60" s="819">
        <f t="shared" si="0"/>
        <v>0</v>
      </c>
      <c r="N60" s="836">
        <f t="shared" si="0"/>
        <v>0</v>
      </c>
      <c r="O60" s="858">
        <f t="shared" si="1"/>
        <v>0</v>
      </c>
      <c r="P60" s="830">
        <f t="shared" si="2"/>
        <v>0</v>
      </c>
    </row>
    <row r="61" spans="1:16" ht="30" hidden="1" customHeight="1" outlineLevel="1">
      <c r="A61" s="120"/>
      <c r="B61" s="120"/>
      <c r="C61" s="831">
        <v>37</v>
      </c>
      <c r="D61" s="832"/>
      <c r="E61" s="833"/>
      <c r="F61" s="833"/>
      <c r="G61" s="856"/>
      <c r="H61" s="1098"/>
      <c r="I61" s="859"/>
      <c r="J61" s="860"/>
      <c r="K61" s="861"/>
      <c r="L61" s="468"/>
      <c r="M61" s="819">
        <f t="shared" si="0"/>
        <v>0</v>
      </c>
      <c r="N61" s="836">
        <f t="shared" si="0"/>
        <v>0</v>
      </c>
      <c r="O61" s="858">
        <f t="shared" si="1"/>
        <v>0</v>
      </c>
      <c r="P61" s="830">
        <f t="shared" si="2"/>
        <v>0</v>
      </c>
    </row>
    <row r="62" spans="1:16" ht="30" hidden="1" customHeight="1" outlineLevel="1">
      <c r="A62" s="120"/>
      <c r="B62" s="120"/>
      <c r="C62" s="831">
        <v>38</v>
      </c>
      <c r="D62" s="832"/>
      <c r="E62" s="833"/>
      <c r="F62" s="833"/>
      <c r="G62" s="856"/>
      <c r="H62" s="1098"/>
      <c r="I62" s="859"/>
      <c r="J62" s="860"/>
      <c r="K62" s="861"/>
      <c r="L62" s="468"/>
      <c r="M62" s="819">
        <f t="shared" si="0"/>
        <v>0</v>
      </c>
      <c r="N62" s="836">
        <f t="shared" si="0"/>
        <v>0</v>
      </c>
      <c r="O62" s="858">
        <f t="shared" si="1"/>
        <v>0</v>
      </c>
      <c r="P62" s="830">
        <f t="shared" si="2"/>
        <v>0</v>
      </c>
    </row>
    <row r="63" spans="1:16" ht="30" hidden="1" customHeight="1" outlineLevel="1">
      <c r="A63" s="120"/>
      <c r="B63" s="120"/>
      <c r="C63" s="831">
        <v>39</v>
      </c>
      <c r="D63" s="832"/>
      <c r="E63" s="833"/>
      <c r="F63" s="833"/>
      <c r="G63" s="856"/>
      <c r="H63" s="1098"/>
      <c r="I63" s="859"/>
      <c r="J63" s="860"/>
      <c r="K63" s="861"/>
      <c r="L63" s="468"/>
      <c r="M63" s="819">
        <f t="shared" si="0"/>
        <v>0</v>
      </c>
      <c r="N63" s="836">
        <f t="shared" si="0"/>
        <v>0</v>
      </c>
      <c r="O63" s="858">
        <f t="shared" si="1"/>
        <v>0</v>
      </c>
      <c r="P63" s="830">
        <f t="shared" si="2"/>
        <v>0</v>
      </c>
    </row>
    <row r="64" spans="1:16" ht="30" hidden="1" customHeight="1" outlineLevel="1">
      <c r="A64" s="120"/>
      <c r="B64" s="120"/>
      <c r="C64" s="831">
        <v>40</v>
      </c>
      <c r="D64" s="832"/>
      <c r="E64" s="833"/>
      <c r="F64" s="833"/>
      <c r="G64" s="856"/>
      <c r="H64" s="1098"/>
      <c r="I64" s="859"/>
      <c r="J64" s="860"/>
      <c r="K64" s="861"/>
      <c r="L64" s="468"/>
      <c r="M64" s="819">
        <f t="shared" si="0"/>
        <v>0</v>
      </c>
      <c r="N64" s="836">
        <f t="shared" si="0"/>
        <v>0</v>
      </c>
      <c r="O64" s="858">
        <f t="shared" si="1"/>
        <v>0</v>
      </c>
      <c r="P64" s="830">
        <f t="shared" si="2"/>
        <v>0</v>
      </c>
    </row>
    <row r="65" spans="1:16" ht="30" hidden="1" customHeight="1" outlineLevel="1">
      <c r="A65" s="120"/>
      <c r="B65" s="120"/>
      <c r="C65" s="831">
        <v>41</v>
      </c>
      <c r="D65" s="832"/>
      <c r="E65" s="833"/>
      <c r="F65" s="833"/>
      <c r="G65" s="856"/>
      <c r="H65" s="1098"/>
      <c r="I65" s="859"/>
      <c r="J65" s="860"/>
      <c r="K65" s="861"/>
      <c r="L65" s="468"/>
      <c r="M65" s="819">
        <f t="shared" si="0"/>
        <v>0</v>
      </c>
      <c r="N65" s="836">
        <f t="shared" si="0"/>
        <v>0</v>
      </c>
      <c r="O65" s="858">
        <f t="shared" si="1"/>
        <v>0</v>
      </c>
      <c r="P65" s="830">
        <f t="shared" si="2"/>
        <v>0</v>
      </c>
    </row>
    <row r="66" spans="1:16" ht="30" hidden="1" customHeight="1" outlineLevel="1">
      <c r="A66" s="120"/>
      <c r="B66" s="120"/>
      <c r="C66" s="831">
        <v>42</v>
      </c>
      <c r="D66" s="832"/>
      <c r="E66" s="833"/>
      <c r="F66" s="833"/>
      <c r="G66" s="856"/>
      <c r="H66" s="1098"/>
      <c r="I66" s="859"/>
      <c r="J66" s="860"/>
      <c r="K66" s="861"/>
      <c r="L66" s="468"/>
      <c r="M66" s="819">
        <f t="shared" si="0"/>
        <v>0</v>
      </c>
      <c r="N66" s="836">
        <f t="shared" si="0"/>
        <v>0</v>
      </c>
      <c r="O66" s="858">
        <f t="shared" si="1"/>
        <v>0</v>
      </c>
      <c r="P66" s="830">
        <f t="shared" si="2"/>
        <v>0</v>
      </c>
    </row>
    <row r="67" spans="1:16" ht="30" hidden="1" customHeight="1" outlineLevel="1">
      <c r="A67" s="120"/>
      <c r="B67" s="120"/>
      <c r="C67" s="831">
        <v>43</v>
      </c>
      <c r="D67" s="832"/>
      <c r="E67" s="833"/>
      <c r="F67" s="833"/>
      <c r="G67" s="856"/>
      <c r="H67" s="1098"/>
      <c r="I67" s="859"/>
      <c r="J67" s="860"/>
      <c r="K67" s="861"/>
      <c r="L67" s="468"/>
      <c r="M67" s="819">
        <f t="shared" si="0"/>
        <v>0</v>
      </c>
      <c r="N67" s="836">
        <f t="shared" si="0"/>
        <v>0</v>
      </c>
      <c r="O67" s="858">
        <f t="shared" si="1"/>
        <v>0</v>
      </c>
      <c r="P67" s="830">
        <f t="shared" si="2"/>
        <v>0</v>
      </c>
    </row>
    <row r="68" spans="1:16" ht="30" hidden="1" customHeight="1" outlineLevel="1">
      <c r="A68" s="120"/>
      <c r="B68" s="120"/>
      <c r="C68" s="831">
        <v>44</v>
      </c>
      <c r="D68" s="832"/>
      <c r="E68" s="833"/>
      <c r="F68" s="833"/>
      <c r="G68" s="856"/>
      <c r="H68" s="1098"/>
      <c r="I68" s="859"/>
      <c r="J68" s="860"/>
      <c r="K68" s="861"/>
      <c r="L68" s="468"/>
      <c r="M68" s="819">
        <f t="shared" si="0"/>
        <v>0</v>
      </c>
      <c r="N68" s="836">
        <f t="shared" si="0"/>
        <v>0</v>
      </c>
      <c r="O68" s="858">
        <f t="shared" si="1"/>
        <v>0</v>
      </c>
      <c r="P68" s="830">
        <f t="shared" si="2"/>
        <v>0</v>
      </c>
    </row>
    <row r="69" spans="1:16" ht="30" hidden="1" customHeight="1" outlineLevel="1">
      <c r="A69" s="120"/>
      <c r="B69" s="120"/>
      <c r="C69" s="831">
        <v>45</v>
      </c>
      <c r="D69" s="832"/>
      <c r="E69" s="833"/>
      <c r="F69" s="833"/>
      <c r="G69" s="856"/>
      <c r="H69" s="1098"/>
      <c r="I69" s="859"/>
      <c r="J69" s="860"/>
      <c r="K69" s="861"/>
      <c r="L69" s="468"/>
      <c r="M69" s="819">
        <f t="shared" si="0"/>
        <v>0</v>
      </c>
      <c r="N69" s="836">
        <f t="shared" si="0"/>
        <v>0</v>
      </c>
      <c r="O69" s="858">
        <f t="shared" si="1"/>
        <v>0</v>
      </c>
      <c r="P69" s="830">
        <f t="shared" si="2"/>
        <v>0</v>
      </c>
    </row>
    <row r="70" spans="1:16" ht="30" hidden="1" customHeight="1" outlineLevel="1">
      <c r="A70" s="120"/>
      <c r="B70" s="120"/>
      <c r="C70" s="831">
        <v>46</v>
      </c>
      <c r="D70" s="832"/>
      <c r="E70" s="833"/>
      <c r="F70" s="833"/>
      <c r="G70" s="856"/>
      <c r="H70" s="1098"/>
      <c r="I70" s="859"/>
      <c r="J70" s="860"/>
      <c r="K70" s="861"/>
      <c r="L70" s="468"/>
      <c r="M70" s="819">
        <f t="shared" si="0"/>
        <v>0</v>
      </c>
      <c r="N70" s="836">
        <f t="shared" si="0"/>
        <v>0</v>
      </c>
      <c r="O70" s="858">
        <f t="shared" si="1"/>
        <v>0</v>
      </c>
      <c r="P70" s="830">
        <f t="shared" si="2"/>
        <v>0</v>
      </c>
    </row>
    <row r="71" spans="1:16" ht="30" hidden="1" customHeight="1" outlineLevel="1">
      <c r="A71" s="120"/>
      <c r="B71" s="120"/>
      <c r="C71" s="831">
        <v>47</v>
      </c>
      <c r="D71" s="832"/>
      <c r="E71" s="833"/>
      <c r="F71" s="833"/>
      <c r="G71" s="856"/>
      <c r="H71" s="1098"/>
      <c r="I71" s="859"/>
      <c r="J71" s="860"/>
      <c r="K71" s="861"/>
      <c r="L71" s="468"/>
      <c r="M71" s="819">
        <f t="shared" si="0"/>
        <v>0</v>
      </c>
      <c r="N71" s="836">
        <f t="shared" si="0"/>
        <v>0</v>
      </c>
      <c r="O71" s="858">
        <f t="shared" si="1"/>
        <v>0</v>
      </c>
      <c r="P71" s="830">
        <f t="shared" si="2"/>
        <v>0</v>
      </c>
    </row>
    <row r="72" spans="1:16" ht="30" hidden="1" customHeight="1" outlineLevel="1">
      <c r="A72" s="120"/>
      <c r="B72" s="120"/>
      <c r="C72" s="831">
        <v>48</v>
      </c>
      <c r="D72" s="832"/>
      <c r="E72" s="833"/>
      <c r="F72" s="833"/>
      <c r="G72" s="856"/>
      <c r="H72" s="1098"/>
      <c r="I72" s="859"/>
      <c r="J72" s="860"/>
      <c r="K72" s="861"/>
      <c r="L72" s="468"/>
      <c r="M72" s="819">
        <f t="shared" si="0"/>
        <v>0</v>
      </c>
      <c r="N72" s="836">
        <f t="shared" si="0"/>
        <v>0</v>
      </c>
      <c r="O72" s="858">
        <f t="shared" si="1"/>
        <v>0</v>
      </c>
      <c r="P72" s="830">
        <f t="shared" si="2"/>
        <v>0</v>
      </c>
    </row>
    <row r="73" spans="1:16" ht="30" hidden="1" customHeight="1" outlineLevel="1">
      <c r="A73" s="120"/>
      <c r="B73" s="120"/>
      <c r="C73" s="831">
        <v>49</v>
      </c>
      <c r="D73" s="832"/>
      <c r="E73" s="833"/>
      <c r="F73" s="833"/>
      <c r="G73" s="856"/>
      <c r="H73" s="1098"/>
      <c r="I73" s="859"/>
      <c r="J73" s="860"/>
      <c r="K73" s="861"/>
      <c r="L73" s="468"/>
      <c r="M73" s="819">
        <f t="shared" si="0"/>
        <v>0</v>
      </c>
      <c r="N73" s="836">
        <f t="shared" si="0"/>
        <v>0</v>
      </c>
      <c r="O73" s="858">
        <f t="shared" si="1"/>
        <v>0</v>
      </c>
      <c r="P73" s="830">
        <f t="shared" si="2"/>
        <v>0</v>
      </c>
    </row>
    <row r="74" spans="1:16" ht="30" hidden="1" customHeight="1" outlineLevel="1">
      <c r="A74" s="120"/>
      <c r="B74" s="120"/>
      <c r="C74" s="831">
        <v>50</v>
      </c>
      <c r="D74" s="832"/>
      <c r="E74" s="833"/>
      <c r="F74" s="833"/>
      <c r="G74" s="856"/>
      <c r="H74" s="1098"/>
      <c r="I74" s="859"/>
      <c r="J74" s="860"/>
      <c r="K74" s="861"/>
      <c r="L74" s="468"/>
      <c r="M74" s="819">
        <f t="shared" si="0"/>
        <v>0</v>
      </c>
      <c r="N74" s="836">
        <f t="shared" si="0"/>
        <v>0</v>
      </c>
      <c r="O74" s="858">
        <f t="shared" si="1"/>
        <v>0</v>
      </c>
      <c r="P74" s="830">
        <f t="shared" si="2"/>
        <v>0</v>
      </c>
    </row>
    <row r="75" spans="1:16" ht="30" hidden="1" customHeight="1" outlineLevel="1">
      <c r="A75" s="120"/>
      <c r="B75" s="120"/>
      <c r="C75" s="831">
        <v>51</v>
      </c>
      <c r="D75" s="832"/>
      <c r="E75" s="833"/>
      <c r="F75" s="833"/>
      <c r="G75" s="856"/>
      <c r="H75" s="1098"/>
      <c r="I75" s="859"/>
      <c r="J75" s="860"/>
      <c r="K75" s="861"/>
      <c r="L75" s="468"/>
      <c r="M75" s="819">
        <f t="shared" si="0"/>
        <v>0</v>
      </c>
      <c r="N75" s="836">
        <f t="shared" si="0"/>
        <v>0</v>
      </c>
      <c r="O75" s="858">
        <f t="shared" si="1"/>
        <v>0</v>
      </c>
      <c r="P75" s="830">
        <f t="shared" si="2"/>
        <v>0</v>
      </c>
    </row>
    <row r="76" spans="1:16" ht="30" hidden="1" customHeight="1" outlineLevel="1">
      <c r="A76" s="120"/>
      <c r="B76" s="120"/>
      <c r="C76" s="831">
        <v>52</v>
      </c>
      <c r="D76" s="832"/>
      <c r="E76" s="833"/>
      <c r="F76" s="833"/>
      <c r="G76" s="856"/>
      <c r="H76" s="1098"/>
      <c r="I76" s="859"/>
      <c r="J76" s="860"/>
      <c r="K76" s="861"/>
      <c r="L76" s="468"/>
      <c r="M76" s="819">
        <f t="shared" si="0"/>
        <v>0</v>
      </c>
      <c r="N76" s="836">
        <f t="shared" si="0"/>
        <v>0</v>
      </c>
      <c r="O76" s="858">
        <f t="shared" si="1"/>
        <v>0</v>
      </c>
      <c r="P76" s="830">
        <f t="shared" si="2"/>
        <v>0</v>
      </c>
    </row>
    <row r="77" spans="1:16" ht="30" hidden="1" customHeight="1" outlineLevel="1">
      <c r="A77" s="120"/>
      <c r="B77" s="120"/>
      <c r="C77" s="831">
        <v>53</v>
      </c>
      <c r="D77" s="832"/>
      <c r="E77" s="833"/>
      <c r="F77" s="833"/>
      <c r="G77" s="856"/>
      <c r="H77" s="1098"/>
      <c r="I77" s="859"/>
      <c r="J77" s="860"/>
      <c r="K77" s="861"/>
      <c r="L77" s="468"/>
      <c r="M77" s="819">
        <f t="shared" si="0"/>
        <v>0</v>
      </c>
      <c r="N77" s="836">
        <f t="shared" si="0"/>
        <v>0</v>
      </c>
      <c r="O77" s="858">
        <f t="shared" si="1"/>
        <v>0</v>
      </c>
      <c r="P77" s="830">
        <f t="shared" si="2"/>
        <v>0</v>
      </c>
    </row>
    <row r="78" spans="1:16" ht="30" hidden="1" customHeight="1" outlineLevel="1">
      <c r="A78" s="120"/>
      <c r="B78" s="120"/>
      <c r="C78" s="831">
        <v>54</v>
      </c>
      <c r="D78" s="832"/>
      <c r="E78" s="833"/>
      <c r="F78" s="833"/>
      <c r="G78" s="856"/>
      <c r="H78" s="1098"/>
      <c r="I78" s="859"/>
      <c r="J78" s="860"/>
      <c r="K78" s="861"/>
      <c r="L78" s="468"/>
      <c r="M78" s="819">
        <f t="shared" si="0"/>
        <v>0</v>
      </c>
      <c r="N78" s="836">
        <f t="shared" si="0"/>
        <v>0</v>
      </c>
      <c r="O78" s="858">
        <f t="shared" si="1"/>
        <v>0</v>
      </c>
      <c r="P78" s="830">
        <f t="shared" si="2"/>
        <v>0</v>
      </c>
    </row>
    <row r="79" spans="1:16" ht="30" hidden="1" customHeight="1" outlineLevel="1">
      <c r="A79" s="120"/>
      <c r="B79" s="120"/>
      <c r="C79" s="831">
        <v>55</v>
      </c>
      <c r="D79" s="832"/>
      <c r="E79" s="833"/>
      <c r="F79" s="833"/>
      <c r="G79" s="856"/>
      <c r="H79" s="1098"/>
      <c r="I79" s="859"/>
      <c r="J79" s="860"/>
      <c r="K79" s="861"/>
      <c r="L79" s="468"/>
      <c r="M79" s="819">
        <f t="shared" si="0"/>
        <v>0</v>
      </c>
      <c r="N79" s="836">
        <f t="shared" si="0"/>
        <v>0</v>
      </c>
      <c r="O79" s="858">
        <f t="shared" si="1"/>
        <v>0</v>
      </c>
      <c r="P79" s="830">
        <f t="shared" si="2"/>
        <v>0</v>
      </c>
    </row>
    <row r="80" spans="1:16" ht="30" hidden="1" customHeight="1" outlineLevel="1">
      <c r="A80" s="120"/>
      <c r="B80" s="120"/>
      <c r="C80" s="831">
        <v>56</v>
      </c>
      <c r="D80" s="832"/>
      <c r="E80" s="833"/>
      <c r="F80" s="833"/>
      <c r="G80" s="856"/>
      <c r="H80" s="1098"/>
      <c r="I80" s="859"/>
      <c r="J80" s="860"/>
      <c r="K80" s="861"/>
      <c r="L80" s="468"/>
      <c r="M80" s="819">
        <f t="shared" si="0"/>
        <v>0</v>
      </c>
      <c r="N80" s="836">
        <f t="shared" si="0"/>
        <v>0</v>
      </c>
      <c r="O80" s="858">
        <f t="shared" si="1"/>
        <v>0</v>
      </c>
      <c r="P80" s="830">
        <f t="shared" si="2"/>
        <v>0</v>
      </c>
    </row>
    <row r="81" spans="1:16" ht="30" hidden="1" customHeight="1" outlineLevel="1">
      <c r="A81" s="120"/>
      <c r="B81" s="120"/>
      <c r="C81" s="831">
        <v>57</v>
      </c>
      <c r="D81" s="832"/>
      <c r="E81" s="833"/>
      <c r="F81" s="833"/>
      <c r="G81" s="856"/>
      <c r="H81" s="1098"/>
      <c r="I81" s="859"/>
      <c r="J81" s="860"/>
      <c r="K81" s="861"/>
      <c r="L81" s="468"/>
      <c r="M81" s="819">
        <f t="shared" si="0"/>
        <v>0</v>
      </c>
      <c r="N81" s="836">
        <f t="shared" si="0"/>
        <v>0</v>
      </c>
      <c r="O81" s="858">
        <f t="shared" si="1"/>
        <v>0</v>
      </c>
      <c r="P81" s="830">
        <f t="shared" si="2"/>
        <v>0</v>
      </c>
    </row>
    <row r="82" spans="1:16" ht="30" hidden="1" customHeight="1" outlineLevel="1">
      <c r="A82" s="120"/>
      <c r="B82" s="120"/>
      <c r="C82" s="831">
        <v>58</v>
      </c>
      <c r="D82" s="832"/>
      <c r="E82" s="833"/>
      <c r="F82" s="833"/>
      <c r="G82" s="856"/>
      <c r="H82" s="1098"/>
      <c r="I82" s="859"/>
      <c r="J82" s="860"/>
      <c r="K82" s="861"/>
      <c r="L82" s="468"/>
      <c r="M82" s="819">
        <f t="shared" si="0"/>
        <v>0</v>
      </c>
      <c r="N82" s="836">
        <f t="shared" si="0"/>
        <v>0</v>
      </c>
      <c r="O82" s="858">
        <f t="shared" si="1"/>
        <v>0</v>
      </c>
      <c r="P82" s="830">
        <f t="shared" si="2"/>
        <v>0</v>
      </c>
    </row>
    <row r="83" spans="1:16" ht="30" hidden="1" customHeight="1" outlineLevel="1">
      <c r="A83" s="120"/>
      <c r="B83" s="120"/>
      <c r="C83" s="831">
        <v>59</v>
      </c>
      <c r="D83" s="832"/>
      <c r="E83" s="833"/>
      <c r="F83" s="833"/>
      <c r="G83" s="856"/>
      <c r="H83" s="1098"/>
      <c r="I83" s="859"/>
      <c r="J83" s="860"/>
      <c r="K83" s="861"/>
      <c r="L83" s="468"/>
      <c r="M83" s="819">
        <f t="shared" si="0"/>
        <v>0</v>
      </c>
      <c r="N83" s="836">
        <f t="shared" si="0"/>
        <v>0</v>
      </c>
      <c r="O83" s="858">
        <f t="shared" si="1"/>
        <v>0</v>
      </c>
      <c r="P83" s="830">
        <f t="shared" si="2"/>
        <v>0</v>
      </c>
    </row>
    <row r="84" spans="1:16" ht="30" hidden="1" customHeight="1" outlineLevel="1">
      <c r="A84" s="120"/>
      <c r="B84" s="120"/>
      <c r="C84" s="831">
        <v>60</v>
      </c>
      <c r="D84" s="832"/>
      <c r="E84" s="833"/>
      <c r="F84" s="833"/>
      <c r="G84" s="856"/>
      <c r="H84" s="1098"/>
      <c r="I84" s="859"/>
      <c r="J84" s="860"/>
      <c r="K84" s="861"/>
      <c r="L84" s="468"/>
      <c r="M84" s="819">
        <f t="shared" si="0"/>
        <v>0</v>
      </c>
      <c r="N84" s="836">
        <f t="shared" si="0"/>
        <v>0</v>
      </c>
      <c r="O84" s="858">
        <f t="shared" si="1"/>
        <v>0</v>
      </c>
      <c r="P84" s="830">
        <f t="shared" si="2"/>
        <v>0</v>
      </c>
    </row>
    <row r="85" spans="1:16" ht="30" hidden="1" customHeight="1" outlineLevel="1">
      <c r="A85" s="120"/>
      <c r="B85" s="120"/>
      <c r="C85" s="831">
        <v>61</v>
      </c>
      <c r="D85" s="832"/>
      <c r="E85" s="833"/>
      <c r="F85" s="833"/>
      <c r="G85" s="856"/>
      <c r="H85" s="1098"/>
      <c r="I85" s="859"/>
      <c r="J85" s="860"/>
      <c r="K85" s="861"/>
      <c r="L85" s="468"/>
      <c r="M85" s="819">
        <f t="shared" si="0"/>
        <v>0</v>
      </c>
      <c r="N85" s="836">
        <f t="shared" si="0"/>
        <v>0</v>
      </c>
      <c r="O85" s="858">
        <f t="shared" si="1"/>
        <v>0</v>
      </c>
      <c r="P85" s="830">
        <f t="shared" si="2"/>
        <v>0</v>
      </c>
    </row>
    <row r="86" spans="1:16" ht="30" hidden="1" customHeight="1" outlineLevel="1">
      <c r="A86" s="120"/>
      <c r="B86" s="120"/>
      <c r="C86" s="831">
        <v>62</v>
      </c>
      <c r="D86" s="832"/>
      <c r="E86" s="833"/>
      <c r="F86" s="833"/>
      <c r="G86" s="856"/>
      <c r="H86" s="1098"/>
      <c r="I86" s="859"/>
      <c r="J86" s="860"/>
      <c r="K86" s="861"/>
      <c r="L86" s="468"/>
      <c r="M86" s="819">
        <f t="shared" si="0"/>
        <v>0</v>
      </c>
      <c r="N86" s="836">
        <f t="shared" si="0"/>
        <v>0</v>
      </c>
      <c r="O86" s="858">
        <f t="shared" si="1"/>
        <v>0</v>
      </c>
      <c r="P86" s="830">
        <f t="shared" si="2"/>
        <v>0</v>
      </c>
    </row>
    <row r="87" spans="1:16" ht="30" hidden="1" customHeight="1" outlineLevel="1">
      <c r="A87" s="120"/>
      <c r="B87" s="120"/>
      <c r="C87" s="831">
        <v>63</v>
      </c>
      <c r="D87" s="832"/>
      <c r="E87" s="833"/>
      <c r="F87" s="833"/>
      <c r="G87" s="856"/>
      <c r="H87" s="1098"/>
      <c r="I87" s="859"/>
      <c r="J87" s="860"/>
      <c r="K87" s="861"/>
      <c r="L87" s="468"/>
      <c r="M87" s="819">
        <f t="shared" si="0"/>
        <v>0</v>
      </c>
      <c r="N87" s="836">
        <f t="shared" si="0"/>
        <v>0</v>
      </c>
      <c r="O87" s="858">
        <f t="shared" si="1"/>
        <v>0</v>
      </c>
      <c r="P87" s="830">
        <f t="shared" si="2"/>
        <v>0</v>
      </c>
    </row>
    <row r="88" spans="1:16" ht="30" hidden="1" customHeight="1" outlineLevel="1">
      <c r="A88" s="120"/>
      <c r="B88" s="120"/>
      <c r="C88" s="831">
        <v>64</v>
      </c>
      <c r="D88" s="832"/>
      <c r="E88" s="833"/>
      <c r="F88" s="833"/>
      <c r="G88" s="856"/>
      <c r="H88" s="1098"/>
      <c r="I88" s="859"/>
      <c r="J88" s="860"/>
      <c r="K88" s="861"/>
      <c r="L88" s="468"/>
      <c r="M88" s="819">
        <f t="shared" si="0"/>
        <v>0</v>
      </c>
      <c r="N88" s="836">
        <f t="shared" si="0"/>
        <v>0</v>
      </c>
      <c r="O88" s="858">
        <f t="shared" si="1"/>
        <v>0</v>
      </c>
      <c r="P88" s="830">
        <f t="shared" si="2"/>
        <v>0</v>
      </c>
    </row>
    <row r="89" spans="1:16" ht="30" hidden="1" customHeight="1" outlineLevel="1">
      <c r="A89" s="120"/>
      <c r="B89" s="120"/>
      <c r="C89" s="831">
        <v>65</v>
      </c>
      <c r="D89" s="832"/>
      <c r="E89" s="833"/>
      <c r="F89" s="833"/>
      <c r="G89" s="856"/>
      <c r="H89" s="1098"/>
      <c r="I89" s="859"/>
      <c r="J89" s="860"/>
      <c r="K89" s="861"/>
      <c r="L89" s="468"/>
      <c r="M89" s="819">
        <f t="shared" si="0"/>
        <v>0</v>
      </c>
      <c r="N89" s="836">
        <f t="shared" si="0"/>
        <v>0</v>
      </c>
      <c r="O89" s="858">
        <f t="shared" si="1"/>
        <v>0</v>
      </c>
      <c r="P89" s="830">
        <f t="shared" si="2"/>
        <v>0</v>
      </c>
    </row>
    <row r="90" spans="1:16" ht="30" hidden="1" customHeight="1" outlineLevel="1">
      <c r="A90" s="120"/>
      <c r="B90" s="120"/>
      <c r="C90" s="831">
        <v>66</v>
      </c>
      <c r="D90" s="832"/>
      <c r="E90" s="833"/>
      <c r="F90" s="833"/>
      <c r="G90" s="856"/>
      <c r="H90" s="1098"/>
      <c r="I90" s="859"/>
      <c r="J90" s="860"/>
      <c r="K90" s="861"/>
      <c r="L90" s="468"/>
      <c r="M90" s="819">
        <f t="shared" si="0"/>
        <v>0</v>
      </c>
      <c r="N90" s="836">
        <f t="shared" si="0"/>
        <v>0</v>
      </c>
      <c r="O90" s="858">
        <f t="shared" si="1"/>
        <v>0</v>
      </c>
      <c r="P90" s="830">
        <f t="shared" ref="P90:P153" si="3">ROUND(O90*H90%,)</f>
        <v>0</v>
      </c>
    </row>
    <row r="91" spans="1:16" ht="30" hidden="1" customHeight="1" outlineLevel="1">
      <c r="A91" s="120"/>
      <c r="B91" s="120"/>
      <c r="C91" s="831">
        <v>67</v>
      </c>
      <c r="D91" s="832"/>
      <c r="E91" s="833"/>
      <c r="F91" s="833"/>
      <c r="G91" s="856"/>
      <c r="H91" s="1098"/>
      <c r="I91" s="859"/>
      <c r="J91" s="860"/>
      <c r="K91" s="861"/>
      <c r="L91" s="468"/>
      <c r="M91" s="819">
        <f t="shared" si="0"/>
        <v>0</v>
      </c>
      <c r="N91" s="836">
        <f t="shared" si="0"/>
        <v>0</v>
      </c>
      <c r="O91" s="858">
        <f t="shared" si="1"/>
        <v>0</v>
      </c>
      <c r="P91" s="830">
        <f t="shared" si="3"/>
        <v>0</v>
      </c>
    </row>
    <row r="92" spans="1:16" ht="30" hidden="1" customHeight="1" outlineLevel="1">
      <c r="A92" s="120"/>
      <c r="B92" s="120"/>
      <c r="C92" s="831">
        <v>68</v>
      </c>
      <c r="D92" s="832"/>
      <c r="E92" s="833"/>
      <c r="F92" s="833"/>
      <c r="G92" s="856"/>
      <c r="H92" s="1098"/>
      <c r="I92" s="859"/>
      <c r="J92" s="860"/>
      <c r="K92" s="861"/>
      <c r="L92" s="468"/>
      <c r="M92" s="819">
        <f t="shared" si="0"/>
        <v>0</v>
      </c>
      <c r="N92" s="836">
        <f t="shared" si="0"/>
        <v>0</v>
      </c>
      <c r="O92" s="858">
        <f t="shared" si="1"/>
        <v>0</v>
      </c>
      <c r="P92" s="830">
        <f t="shared" si="3"/>
        <v>0</v>
      </c>
    </row>
    <row r="93" spans="1:16" ht="30" hidden="1" customHeight="1" outlineLevel="1">
      <c r="A93" s="120"/>
      <c r="B93" s="120"/>
      <c r="C93" s="831">
        <v>69</v>
      </c>
      <c r="D93" s="832"/>
      <c r="E93" s="833"/>
      <c r="F93" s="833"/>
      <c r="G93" s="856"/>
      <c r="H93" s="1098"/>
      <c r="I93" s="859"/>
      <c r="J93" s="860"/>
      <c r="K93" s="861"/>
      <c r="L93" s="468"/>
      <c r="M93" s="819">
        <f t="shared" si="0"/>
        <v>0</v>
      </c>
      <c r="N93" s="836">
        <f t="shared" si="0"/>
        <v>0</v>
      </c>
      <c r="O93" s="858">
        <f t="shared" si="1"/>
        <v>0</v>
      </c>
      <c r="P93" s="830">
        <f t="shared" si="3"/>
        <v>0</v>
      </c>
    </row>
    <row r="94" spans="1:16" ht="30" hidden="1" customHeight="1" outlineLevel="1">
      <c r="A94" s="120"/>
      <c r="B94" s="120"/>
      <c r="C94" s="831">
        <v>70</v>
      </c>
      <c r="D94" s="832"/>
      <c r="E94" s="833"/>
      <c r="F94" s="833"/>
      <c r="G94" s="856"/>
      <c r="H94" s="1098"/>
      <c r="I94" s="859"/>
      <c r="J94" s="860"/>
      <c r="K94" s="861"/>
      <c r="L94" s="468"/>
      <c r="M94" s="819">
        <f t="shared" si="0"/>
        <v>0</v>
      </c>
      <c r="N94" s="836">
        <f t="shared" si="0"/>
        <v>0</v>
      </c>
      <c r="O94" s="858">
        <f t="shared" si="1"/>
        <v>0</v>
      </c>
      <c r="P94" s="830">
        <f t="shared" si="3"/>
        <v>0</v>
      </c>
    </row>
    <row r="95" spans="1:16" ht="30" hidden="1" customHeight="1" outlineLevel="1">
      <c r="A95" s="120"/>
      <c r="B95" s="120"/>
      <c r="C95" s="831">
        <v>71</v>
      </c>
      <c r="D95" s="832"/>
      <c r="E95" s="833"/>
      <c r="F95" s="833"/>
      <c r="G95" s="856"/>
      <c r="H95" s="1098"/>
      <c r="I95" s="859"/>
      <c r="J95" s="860"/>
      <c r="K95" s="861"/>
      <c r="L95" s="468"/>
      <c r="M95" s="819">
        <f t="shared" si="0"/>
        <v>0</v>
      </c>
      <c r="N95" s="836">
        <f t="shared" si="0"/>
        <v>0</v>
      </c>
      <c r="O95" s="858">
        <f t="shared" si="1"/>
        <v>0</v>
      </c>
      <c r="P95" s="830">
        <f t="shared" si="3"/>
        <v>0</v>
      </c>
    </row>
    <row r="96" spans="1:16" ht="30" hidden="1" customHeight="1" outlineLevel="1">
      <c r="A96" s="120"/>
      <c r="B96" s="120"/>
      <c r="C96" s="831">
        <v>72</v>
      </c>
      <c r="D96" s="832"/>
      <c r="E96" s="833"/>
      <c r="F96" s="833"/>
      <c r="G96" s="856"/>
      <c r="H96" s="1098"/>
      <c r="I96" s="859"/>
      <c r="J96" s="860"/>
      <c r="K96" s="861"/>
      <c r="L96" s="468"/>
      <c r="M96" s="819">
        <f t="shared" si="0"/>
        <v>0</v>
      </c>
      <c r="N96" s="836">
        <f t="shared" si="0"/>
        <v>0</v>
      </c>
      <c r="O96" s="858">
        <f t="shared" si="1"/>
        <v>0</v>
      </c>
      <c r="P96" s="830">
        <f t="shared" si="3"/>
        <v>0</v>
      </c>
    </row>
    <row r="97" spans="1:16" ht="30" hidden="1" customHeight="1" outlineLevel="1">
      <c r="A97" s="120"/>
      <c r="B97" s="120"/>
      <c r="C97" s="831">
        <v>73</v>
      </c>
      <c r="D97" s="832"/>
      <c r="E97" s="833"/>
      <c r="F97" s="833"/>
      <c r="G97" s="856"/>
      <c r="H97" s="1098"/>
      <c r="I97" s="859"/>
      <c r="J97" s="860"/>
      <c r="K97" s="861"/>
      <c r="L97" s="468"/>
      <c r="M97" s="819">
        <f t="shared" si="0"/>
        <v>0</v>
      </c>
      <c r="N97" s="836">
        <f t="shared" si="0"/>
        <v>0</v>
      </c>
      <c r="O97" s="858">
        <f t="shared" si="1"/>
        <v>0</v>
      </c>
      <c r="P97" s="830">
        <f t="shared" si="3"/>
        <v>0</v>
      </c>
    </row>
    <row r="98" spans="1:16" ht="30" hidden="1" customHeight="1" outlineLevel="1">
      <c r="A98" s="120"/>
      <c r="B98" s="120"/>
      <c r="C98" s="831">
        <v>74</v>
      </c>
      <c r="D98" s="832"/>
      <c r="E98" s="833"/>
      <c r="F98" s="833"/>
      <c r="G98" s="856"/>
      <c r="H98" s="1098"/>
      <c r="I98" s="859"/>
      <c r="J98" s="860"/>
      <c r="K98" s="861"/>
      <c r="L98" s="468"/>
      <c r="M98" s="819">
        <f t="shared" si="0"/>
        <v>0</v>
      </c>
      <c r="N98" s="836">
        <f t="shared" si="0"/>
        <v>0</v>
      </c>
      <c r="O98" s="858">
        <f t="shared" si="1"/>
        <v>0</v>
      </c>
      <c r="P98" s="830">
        <f t="shared" si="3"/>
        <v>0</v>
      </c>
    </row>
    <row r="99" spans="1:16" ht="30" hidden="1" customHeight="1" outlineLevel="1">
      <c r="A99" s="120"/>
      <c r="B99" s="120"/>
      <c r="C99" s="831">
        <v>75</v>
      </c>
      <c r="D99" s="832"/>
      <c r="E99" s="833"/>
      <c r="F99" s="833"/>
      <c r="G99" s="856"/>
      <c r="H99" s="1098"/>
      <c r="I99" s="859"/>
      <c r="J99" s="860"/>
      <c r="K99" s="861"/>
      <c r="L99" s="468"/>
      <c r="M99" s="819">
        <f t="shared" si="0"/>
        <v>0</v>
      </c>
      <c r="N99" s="836">
        <f t="shared" si="0"/>
        <v>0</v>
      </c>
      <c r="O99" s="858">
        <f t="shared" si="1"/>
        <v>0</v>
      </c>
      <c r="P99" s="830">
        <f t="shared" si="3"/>
        <v>0</v>
      </c>
    </row>
    <row r="100" spans="1:16" ht="30" hidden="1" customHeight="1" outlineLevel="1">
      <c r="A100" s="120"/>
      <c r="B100" s="120"/>
      <c r="C100" s="831">
        <v>76</v>
      </c>
      <c r="D100" s="832"/>
      <c r="E100" s="833"/>
      <c r="F100" s="833"/>
      <c r="G100" s="856"/>
      <c r="H100" s="1098"/>
      <c r="I100" s="859"/>
      <c r="J100" s="860"/>
      <c r="K100" s="861"/>
      <c r="L100" s="468"/>
      <c r="M100" s="819">
        <f t="shared" si="0"/>
        <v>0</v>
      </c>
      <c r="N100" s="836">
        <f t="shared" si="0"/>
        <v>0</v>
      </c>
      <c r="O100" s="858">
        <f t="shared" si="1"/>
        <v>0</v>
      </c>
      <c r="P100" s="830">
        <f t="shared" si="3"/>
        <v>0</v>
      </c>
    </row>
    <row r="101" spans="1:16" ht="30" hidden="1" customHeight="1" outlineLevel="1">
      <c r="A101" s="120"/>
      <c r="B101" s="120"/>
      <c r="C101" s="831">
        <v>77</v>
      </c>
      <c r="D101" s="832"/>
      <c r="E101" s="833"/>
      <c r="F101" s="833"/>
      <c r="G101" s="856"/>
      <c r="H101" s="1098"/>
      <c r="I101" s="859"/>
      <c r="J101" s="860"/>
      <c r="K101" s="861"/>
      <c r="L101" s="468"/>
      <c r="M101" s="819">
        <f t="shared" si="0"/>
        <v>0</v>
      </c>
      <c r="N101" s="836">
        <f t="shared" si="0"/>
        <v>0</v>
      </c>
      <c r="O101" s="858">
        <f t="shared" si="1"/>
        <v>0</v>
      </c>
      <c r="P101" s="830">
        <f t="shared" si="3"/>
        <v>0</v>
      </c>
    </row>
    <row r="102" spans="1:16" ht="30" hidden="1" customHeight="1" outlineLevel="1">
      <c r="A102" s="120"/>
      <c r="B102" s="120"/>
      <c r="C102" s="831">
        <v>78</v>
      </c>
      <c r="D102" s="832"/>
      <c r="E102" s="833"/>
      <c r="F102" s="833"/>
      <c r="G102" s="856"/>
      <c r="H102" s="1098"/>
      <c r="I102" s="859"/>
      <c r="J102" s="860"/>
      <c r="K102" s="861"/>
      <c r="L102" s="468"/>
      <c r="M102" s="819">
        <f t="shared" si="0"/>
        <v>0</v>
      </c>
      <c r="N102" s="836">
        <f t="shared" si="0"/>
        <v>0</v>
      </c>
      <c r="O102" s="858">
        <f t="shared" si="1"/>
        <v>0</v>
      </c>
      <c r="P102" s="830">
        <f t="shared" si="3"/>
        <v>0</v>
      </c>
    </row>
    <row r="103" spans="1:16" ht="30" hidden="1" customHeight="1" outlineLevel="1">
      <c r="A103" s="120"/>
      <c r="B103" s="120"/>
      <c r="C103" s="831">
        <v>79</v>
      </c>
      <c r="D103" s="832"/>
      <c r="E103" s="833"/>
      <c r="F103" s="833"/>
      <c r="G103" s="856"/>
      <c r="H103" s="1098"/>
      <c r="I103" s="859"/>
      <c r="J103" s="860"/>
      <c r="K103" s="861"/>
      <c r="L103" s="468"/>
      <c r="M103" s="819">
        <f t="shared" si="0"/>
        <v>0</v>
      </c>
      <c r="N103" s="836">
        <f t="shared" si="0"/>
        <v>0</v>
      </c>
      <c r="O103" s="858">
        <f t="shared" si="1"/>
        <v>0</v>
      </c>
      <c r="P103" s="830">
        <f t="shared" si="3"/>
        <v>0</v>
      </c>
    </row>
    <row r="104" spans="1:16" ht="30" hidden="1" customHeight="1" outlineLevel="1">
      <c r="A104" s="120"/>
      <c r="B104" s="120"/>
      <c r="C104" s="831">
        <v>80</v>
      </c>
      <c r="D104" s="832"/>
      <c r="E104" s="833"/>
      <c r="F104" s="833"/>
      <c r="G104" s="856"/>
      <c r="H104" s="1098"/>
      <c r="I104" s="859"/>
      <c r="J104" s="860"/>
      <c r="K104" s="861"/>
      <c r="L104" s="468"/>
      <c r="M104" s="819">
        <f t="shared" si="0"/>
        <v>0</v>
      </c>
      <c r="N104" s="836">
        <f t="shared" si="0"/>
        <v>0</v>
      </c>
      <c r="O104" s="858">
        <f t="shared" si="1"/>
        <v>0</v>
      </c>
      <c r="P104" s="830">
        <f t="shared" si="3"/>
        <v>0</v>
      </c>
    </row>
    <row r="105" spans="1:16" ht="30" hidden="1" customHeight="1" outlineLevel="1">
      <c r="A105" s="120"/>
      <c r="B105" s="120"/>
      <c r="C105" s="831">
        <v>81</v>
      </c>
      <c r="D105" s="832"/>
      <c r="E105" s="833"/>
      <c r="F105" s="833"/>
      <c r="G105" s="856"/>
      <c r="H105" s="1098"/>
      <c r="I105" s="859"/>
      <c r="J105" s="860"/>
      <c r="K105" s="861"/>
      <c r="L105" s="468"/>
      <c r="M105" s="819">
        <f t="shared" si="0"/>
        <v>0</v>
      </c>
      <c r="N105" s="836">
        <f t="shared" si="0"/>
        <v>0</v>
      </c>
      <c r="O105" s="858">
        <f t="shared" si="1"/>
        <v>0</v>
      </c>
      <c r="P105" s="830">
        <f t="shared" si="3"/>
        <v>0</v>
      </c>
    </row>
    <row r="106" spans="1:16" ht="30" hidden="1" customHeight="1" outlineLevel="1">
      <c r="A106" s="120"/>
      <c r="B106" s="120"/>
      <c r="C106" s="831">
        <v>82</v>
      </c>
      <c r="D106" s="832"/>
      <c r="E106" s="833"/>
      <c r="F106" s="833"/>
      <c r="G106" s="856"/>
      <c r="H106" s="1098"/>
      <c r="I106" s="859"/>
      <c r="J106" s="860"/>
      <c r="K106" s="861"/>
      <c r="L106" s="468"/>
      <c r="M106" s="819">
        <f t="shared" si="0"/>
        <v>0</v>
      </c>
      <c r="N106" s="836">
        <f t="shared" si="0"/>
        <v>0</v>
      </c>
      <c r="O106" s="858">
        <f t="shared" si="1"/>
        <v>0</v>
      </c>
      <c r="P106" s="830">
        <f t="shared" si="3"/>
        <v>0</v>
      </c>
    </row>
    <row r="107" spans="1:16" ht="30" hidden="1" customHeight="1" outlineLevel="1">
      <c r="A107" s="120"/>
      <c r="B107" s="120"/>
      <c r="C107" s="831">
        <v>83</v>
      </c>
      <c r="D107" s="832"/>
      <c r="E107" s="833"/>
      <c r="F107" s="833"/>
      <c r="G107" s="856"/>
      <c r="H107" s="1098"/>
      <c r="I107" s="859"/>
      <c r="J107" s="860"/>
      <c r="K107" s="861"/>
      <c r="L107" s="468"/>
      <c r="M107" s="819">
        <f t="shared" si="0"/>
        <v>0</v>
      </c>
      <c r="N107" s="836">
        <f t="shared" si="0"/>
        <v>0</v>
      </c>
      <c r="O107" s="858">
        <f t="shared" si="1"/>
        <v>0</v>
      </c>
      <c r="P107" s="830">
        <f t="shared" si="3"/>
        <v>0</v>
      </c>
    </row>
    <row r="108" spans="1:16" ht="30" hidden="1" customHeight="1" outlineLevel="1">
      <c r="A108" s="120"/>
      <c r="B108" s="120"/>
      <c r="C108" s="831">
        <v>84</v>
      </c>
      <c r="D108" s="832"/>
      <c r="E108" s="833"/>
      <c r="F108" s="833"/>
      <c r="G108" s="856"/>
      <c r="H108" s="1098"/>
      <c r="I108" s="859"/>
      <c r="J108" s="860"/>
      <c r="K108" s="861"/>
      <c r="L108" s="468"/>
      <c r="M108" s="819">
        <f t="shared" si="0"/>
        <v>0</v>
      </c>
      <c r="N108" s="836">
        <f t="shared" si="0"/>
        <v>0</v>
      </c>
      <c r="O108" s="858">
        <f t="shared" si="1"/>
        <v>0</v>
      </c>
      <c r="P108" s="830">
        <f t="shared" si="3"/>
        <v>0</v>
      </c>
    </row>
    <row r="109" spans="1:16" ht="30" hidden="1" customHeight="1" outlineLevel="1">
      <c r="A109" s="120"/>
      <c r="B109" s="120"/>
      <c r="C109" s="831">
        <v>85</v>
      </c>
      <c r="D109" s="832"/>
      <c r="E109" s="833"/>
      <c r="F109" s="833"/>
      <c r="G109" s="856"/>
      <c r="H109" s="1098"/>
      <c r="I109" s="859"/>
      <c r="J109" s="860"/>
      <c r="K109" s="861"/>
      <c r="L109" s="468"/>
      <c r="M109" s="819">
        <f t="shared" si="0"/>
        <v>0</v>
      </c>
      <c r="N109" s="836">
        <f t="shared" si="0"/>
        <v>0</v>
      </c>
      <c r="O109" s="858">
        <f t="shared" si="1"/>
        <v>0</v>
      </c>
      <c r="P109" s="830">
        <f t="shared" si="3"/>
        <v>0</v>
      </c>
    </row>
    <row r="110" spans="1:16" ht="30" hidden="1" customHeight="1" outlineLevel="1">
      <c r="A110" s="120"/>
      <c r="B110" s="120"/>
      <c r="C110" s="831">
        <v>86</v>
      </c>
      <c r="D110" s="832"/>
      <c r="E110" s="833"/>
      <c r="F110" s="833"/>
      <c r="G110" s="856"/>
      <c r="H110" s="1098"/>
      <c r="I110" s="859"/>
      <c r="J110" s="860"/>
      <c r="K110" s="861"/>
      <c r="L110" s="468"/>
      <c r="M110" s="819">
        <f t="shared" si="0"/>
        <v>0</v>
      </c>
      <c r="N110" s="836">
        <f t="shared" si="0"/>
        <v>0</v>
      </c>
      <c r="O110" s="858">
        <f t="shared" si="1"/>
        <v>0</v>
      </c>
      <c r="P110" s="830">
        <f t="shared" si="3"/>
        <v>0</v>
      </c>
    </row>
    <row r="111" spans="1:16" ht="30" hidden="1" customHeight="1" outlineLevel="1">
      <c r="A111" s="120"/>
      <c r="B111" s="120"/>
      <c r="C111" s="831">
        <v>87</v>
      </c>
      <c r="D111" s="832"/>
      <c r="E111" s="833"/>
      <c r="F111" s="833"/>
      <c r="G111" s="856"/>
      <c r="H111" s="1098"/>
      <c r="I111" s="859"/>
      <c r="J111" s="860"/>
      <c r="K111" s="861"/>
      <c r="L111" s="468"/>
      <c r="M111" s="819">
        <f t="shared" si="0"/>
        <v>0</v>
      </c>
      <c r="N111" s="836">
        <f t="shared" si="0"/>
        <v>0</v>
      </c>
      <c r="O111" s="858">
        <f t="shared" si="1"/>
        <v>0</v>
      </c>
      <c r="P111" s="830">
        <f t="shared" si="3"/>
        <v>0</v>
      </c>
    </row>
    <row r="112" spans="1:16" ht="30" hidden="1" customHeight="1" outlineLevel="1">
      <c r="A112" s="120"/>
      <c r="B112" s="120"/>
      <c r="C112" s="831">
        <v>88</v>
      </c>
      <c r="D112" s="832"/>
      <c r="E112" s="833"/>
      <c r="F112" s="833"/>
      <c r="G112" s="856"/>
      <c r="H112" s="1098"/>
      <c r="I112" s="859"/>
      <c r="J112" s="860"/>
      <c r="K112" s="861"/>
      <c r="L112" s="468"/>
      <c r="M112" s="819">
        <f t="shared" si="0"/>
        <v>0</v>
      </c>
      <c r="N112" s="836">
        <f t="shared" si="0"/>
        <v>0</v>
      </c>
      <c r="O112" s="858">
        <f t="shared" si="1"/>
        <v>0</v>
      </c>
      <c r="P112" s="830">
        <f t="shared" si="3"/>
        <v>0</v>
      </c>
    </row>
    <row r="113" spans="1:16" ht="30" hidden="1" customHeight="1" outlineLevel="1">
      <c r="A113" s="120"/>
      <c r="B113" s="120"/>
      <c r="C113" s="831">
        <v>89</v>
      </c>
      <c r="D113" s="832"/>
      <c r="E113" s="833"/>
      <c r="F113" s="833"/>
      <c r="G113" s="856"/>
      <c r="H113" s="1098"/>
      <c r="I113" s="859"/>
      <c r="J113" s="860"/>
      <c r="K113" s="861"/>
      <c r="L113" s="468"/>
      <c r="M113" s="819">
        <f t="shared" si="0"/>
        <v>0</v>
      </c>
      <c r="N113" s="836">
        <f t="shared" si="0"/>
        <v>0</v>
      </c>
      <c r="O113" s="858">
        <f t="shared" si="1"/>
        <v>0</v>
      </c>
      <c r="P113" s="830">
        <f t="shared" si="3"/>
        <v>0</v>
      </c>
    </row>
    <row r="114" spans="1:16" ht="30" hidden="1" customHeight="1" outlineLevel="1">
      <c r="A114" s="120"/>
      <c r="B114" s="120"/>
      <c r="C114" s="831">
        <v>90</v>
      </c>
      <c r="D114" s="832"/>
      <c r="E114" s="833"/>
      <c r="F114" s="833"/>
      <c r="G114" s="856"/>
      <c r="H114" s="1098"/>
      <c r="I114" s="859"/>
      <c r="J114" s="860"/>
      <c r="K114" s="861"/>
      <c r="L114" s="468"/>
      <c r="M114" s="819">
        <f t="shared" si="0"/>
        <v>0</v>
      </c>
      <c r="N114" s="836">
        <f t="shared" si="0"/>
        <v>0</v>
      </c>
      <c r="O114" s="858">
        <f t="shared" si="1"/>
        <v>0</v>
      </c>
      <c r="P114" s="830">
        <f t="shared" si="3"/>
        <v>0</v>
      </c>
    </row>
    <row r="115" spans="1:16" ht="30" hidden="1" customHeight="1" outlineLevel="1">
      <c r="A115" s="120"/>
      <c r="B115" s="120"/>
      <c r="C115" s="831">
        <v>91</v>
      </c>
      <c r="D115" s="832"/>
      <c r="E115" s="833"/>
      <c r="F115" s="833"/>
      <c r="G115" s="856"/>
      <c r="H115" s="1098"/>
      <c r="I115" s="859"/>
      <c r="J115" s="860"/>
      <c r="K115" s="861"/>
      <c r="L115" s="468"/>
      <c r="M115" s="819">
        <f t="shared" si="0"/>
        <v>0</v>
      </c>
      <c r="N115" s="836">
        <f t="shared" si="0"/>
        <v>0</v>
      </c>
      <c r="O115" s="858">
        <f t="shared" si="1"/>
        <v>0</v>
      </c>
      <c r="P115" s="830">
        <f t="shared" si="3"/>
        <v>0</v>
      </c>
    </row>
    <row r="116" spans="1:16" ht="30" hidden="1" customHeight="1" outlineLevel="1">
      <c r="A116" s="120"/>
      <c r="B116" s="120"/>
      <c r="C116" s="831">
        <v>92</v>
      </c>
      <c r="D116" s="832"/>
      <c r="E116" s="833"/>
      <c r="F116" s="833"/>
      <c r="G116" s="856"/>
      <c r="H116" s="1098"/>
      <c r="I116" s="859"/>
      <c r="J116" s="860"/>
      <c r="K116" s="861"/>
      <c r="L116" s="468"/>
      <c r="M116" s="819">
        <f t="shared" si="0"/>
        <v>0</v>
      </c>
      <c r="N116" s="836">
        <f t="shared" si="0"/>
        <v>0</v>
      </c>
      <c r="O116" s="858">
        <f t="shared" si="1"/>
        <v>0</v>
      </c>
      <c r="P116" s="830">
        <f t="shared" si="3"/>
        <v>0</v>
      </c>
    </row>
    <row r="117" spans="1:16" ht="30" hidden="1" customHeight="1" outlineLevel="1">
      <c r="A117" s="120"/>
      <c r="B117" s="120"/>
      <c r="C117" s="831">
        <v>93</v>
      </c>
      <c r="D117" s="832"/>
      <c r="E117" s="833"/>
      <c r="F117" s="833"/>
      <c r="G117" s="856"/>
      <c r="H117" s="1098"/>
      <c r="I117" s="859"/>
      <c r="J117" s="860"/>
      <c r="K117" s="861"/>
      <c r="L117" s="468"/>
      <c r="M117" s="819">
        <f t="shared" si="0"/>
        <v>0</v>
      </c>
      <c r="N117" s="836">
        <f t="shared" si="0"/>
        <v>0</v>
      </c>
      <c r="O117" s="858">
        <f t="shared" si="1"/>
        <v>0</v>
      </c>
      <c r="P117" s="830">
        <f t="shared" si="3"/>
        <v>0</v>
      </c>
    </row>
    <row r="118" spans="1:16" ht="30" hidden="1" customHeight="1" outlineLevel="1">
      <c r="A118" s="120"/>
      <c r="B118" s="120"/>
      <c r="C118" s="831">
        <v>94</v>
      </c>
      <c r="D118" s="832"/>
      <c r="E118" s="833"/>
      <c r="F118" s="833"/>
      <c r="G118" s="856"/>
      <c r="H118" s="1098"/>
      <c r="I118" s="859"/>
      <c r="J118" s="860"/>
      <c r="K118" s="861"/>
      <c r="L118" s="468"/>
      <c r="M118" s="819">
        <f t="shared" si="0"/>
        <v>0</v>
      </c>
      <c r="N118" s="836">
        <f t="shared" si="0"/>
        <v>0</v>
      </c>
      <c r="O118" s="858">
        <f t="shared" si="1"/>
        <v>0</v>
      </c>
      <c r="P118" s="830">
        <f t="shared" si="3"/>
        <v>0</v>
      </c>
    </row>
    <row r="119" spans="1:16" ht="30" hidden="1" customHeight="1" outlineLevel="1">
      <c r="A119" s="120"/>
      <c r="B119" s="120"/>
      <c r="C119" s="831">
        <v>95</v>
      </c>
      <c r="D119" s="832"/>
      <c r="E119" s="833"/>
      <c r="F119" s="833"/>
      <c r="G119" s="856"/>
      <c r="H119" s="1098"/>
      <c r="I119" s="859"/>
      <c r="J119" s="860"/>
      <c r="K119" s="861"/>
      <c r="L119" s="468"/>
      <c r="M119" s="819">
        <f t="shared" si="0"/>
        <v>0</v>
      </c>
      <c r="N119" s="836">
        <f t="shared" si="0"/>
        <v>0</v>
      </c>
      <c r="O119" s="858">
        <f t="shared" si="1"/>
        <v>0</v>
      </c>
      <c r="P119" s="830">
        <f t="shared" si="3"/>
        <v>0</v>
      </c>
    </row>
    <row r="120" spans="1:16" ht="30" hidden="1" customHeight="1" outlineLevel="1">
      <c r="A120" s="120"/>
      <c r="B120" s="120"/>
      <c r="C120" s="831">
        <v>96</v>
      </c>
      <c r="D120" s="832"/>
      <c r="E120" s="833"/>
      <c r="F120" s="833"/>
      <c r="G120" s="856"/>
      <c r="H120" s="1098"/>
      <c r="I120" s="859"/>
      <c r="J120" s="860"/>
      <c r="K120" s="861"/>
      <c r="L120" s="468"/>
      <c r="M120" s="819">
        <f t="shared" si="0"/>
        <v>0</v>
      </c>
      <c r="N120" s="836">
        <f t="shared" si="0"/>
        <v>0</v>
      </c>
      <c r="O120" s="858">
        <f t="shared" si="1"/>
        <v>0</v>
      </c>
      <c r="P120" s="830">
        <f t="shared" si="3"/>
        <v>0</v>
      </c>
    </row>
    <row r="121" spans="1:16" ht="30" hidden="1" customHeight="1" outlineLevel="1">
      <c r="A121" s="120"/>
      <c r="B121" s="120"/>
      <c r="C121" s="831">
        <v>97</v>
      </c>
      <c r="D121" s="832"/>
      <c r="E121" s="833"/>
      <c r="F121" s="833"/>
      <c r="G121" s="856"/>
      <c r="H121" s="1098"/>
      <c r="I121" s="859"/>
      <c r="J121" s="860"/>
      <c r="K121" s="861"/>
      <c r="L121" s="468"/>
      <c r="M121" s="819">
        <f t="shared" si="0"/>
        <v>0</v>
      </c>
      <c r="N121" s="836">
        <f t="shared" si="0"/>
        <v>0</v>
      </c>
      <c r="O121" s="858">
        <f t="shared" si="1"/>
        <v>0</v>
      </c>
      <c r="P121" s="830">
        <f t="shared" si="3"/>
        <v>0</v>
      </c>
    </row>
    <row r="122" spans="1:16" ht="30" hidden="1" customHeight="1" outlineLevel="1">
      <c r="A122" s="120"/>
      <c r="B122" s="120"/>
      <c r="C122" s="831">
        <v>98</v>
      </c>
      <c r="D122" s="832"/>
      <c r="E122" s="833"/>
      <c r="F122" s="833"/>
      <c r="G122" s="856"/>
      <c r="H122" s="1098"/>
      <c r="I122" s="859"/>
      <c r="J122" s="860"/>
      <c r="K122" s="861"/>
      <c r="L122" s="468"/>
      <c r="M122" s="819">
        <f t="shared" si="0"/>
        <v>0</v>
      </c>
      <c r="N122" s="836">
        <f t="shared" si="0"/>
        <v>0</v>
      </c>
      <c r="O122" s="858">
        <f t="shared" si="1"/>
        <v>0</v>
      </c>
      <c r="P122" s="830">
        <f t="shared" si="3"/>
        <v>0</v>
      </c>
    </row>
    <row r="123" spans="1:16" ht="30" hidden="1" customHeight="1" outlineLevel="1">
      <c r="A123" s="120"/>
      <c r="B123" s="120"/>
      <c r="C123" s="831">
        <v>99</v>
      </c>
      <c r="D123" s="832"/>
      <c r="E123" s="833"/>
      <c r="F123" s="833"/>
      <c r="G123" s="856"/>
      <c r="H123" s="1098"/>
      <c r="I123" s="859"/>
      <c r="J123" s="860"/>
      <c r="K123" s="861"/>
      <c r="L123" s="468"/>
      <c r="M123" s="819">
        <f t="shared" si="0"/>
        <v>0</v>
      </c>
      <c r="N123" s="836">
        <f t="shared" si="0"/>
        <v>0</v>
      </c>
      <c r="O123" s="858">
        <f t="shared" si="1"/>
        <v>0</v>
      </c>
      <c r="P123" s="830">
        <f t="shared" si="3"/>
        <v>0</v>
      </c>
    </row>
    <row r="124" spans="1:16" ht="30" hidden="1" customHeight="1" outlineLevel="1">
      <c r="A124" s="120"/>
      <c r="B124" s="120"/>
      <c r="C124" s="831">
        <v>100</v>
      </c>
      <c r="D124" s="832"/>
      <c r="E124" s="833"/>
      <c r="F124" s="833"/>
      <c r="G124" s="856"/>
      <c r="H124" s="1098"/>
      <c r="I124" s="859"/>
      <c r="J124" s="860"/>
      <c r="K124" s="861"/>
      <c r="L124" s="468"/>
      <c r="M124" s="819">
        <f t="shared" si="0"/>
        <v>0</v>
      </c>
      <c r="N124" s="836">
        <f t="shared" si="0"/>
        <v>0</v>
      </c>
      <c r="O124" s="858">
        <f t="shared" si="1"/>
        <v>0</v>
      </c>
      <c r="P124" s="830">
        <f t="shared" si="3"/>
        <v>0</v>
      </c>
    </row>
    <row r="125" spans="1:16" ht="30" hidden="1" customHeight="1" outlineLevel="1">
      <c r="A125" s="120"/>
      <c r="B125" s="120"/>
      <c r="C125" s="831">
        <v>101</v>
      </c>
      <c r="D125" s="832"/>
      <c r="E125" s="833"/>
      <c r="F125" s="833"/>
      <c r="G125" s="856"/>
      <c r="H125" s="1098"/>
      <c r="I125" s="859"/>
      <c r="J125" s="860"/>
      <c r="K125" s="861"/>
      <c r="L125" s="468"/>
      <c r="M125" s="819">
        <f t="shared" si="0"/>
        <v>0</v>
      </c>
      <c r="N125" s="836">
        <f t="shared" si="0"/>
        <v>0</v>
      </c>
      <c r="O125" s="858">
        <f t="shared" si="1"/>
        <v>0</v>
      </c>
      <c r="P125" s="830">
        <f t="shared" si="3"/>
        <v>0</v>
      </c>
    </row>
    <row r="126" spans="1:16" ht="30" hidden="1" customHeight="1" outlineLevel="1">
      <c r="A126" s="120"/>
      <c r="B126" s="120"/>
      <c r="C126" s="831">
        <v>102</v>
      </c>
      <c r="D126" s="832"/>
      <c r="E126" s="833"/>
      <c r="F126" s="833"/>
      <c r="G126" s="856"/>
      <c r="H126" s="1098"/>
      <c r="I126" s="859"/>
      <c r="J126" s="860"/>
      <c r="K126" s="861"/>
      <c r="L126" s="468"/>
      <c r="M126" s="819">
        <f t="shared" si="0"/>
        <v>0</v>
      </c>
      <c r="N126" s="836">
        <f t="shared" si="0"/>
        <v>0</v>
      </c>
      <c r="O126" s="858">
        <f t="shared" si="1"/>
        <v>0</v>
      </c>
      <c r="P126" s="830">
        <f t="shared" si="3"/>
        <v>0</v>
      </c>
    </row>
    <row r="127" spans="1:16" ht="30" hidden="1" customHeight="1" outlineLevel="1">
      <c r="A127" s="120"/>
      <c r="B127" s="120"/>
      <c r="C127" s="831">
        <v>103</v>
      </c>
      <c r="D127" s="832"/>
      <c r="E127" s="833"/>
      <c r="F127" s="833"/>
      <c r="G127" s="856"/>
      <c r="H127" s="1098"/>
      <c r="I127" s="859"/>
      <c r="J127" s="860"/>
      <c r="K127" s="861"/>
      <c r="L127" s="468"/>
      <c r="M127" s="819">
        <f t="shared" si="0"/>
        <v>0</v>
      </c>
      <c r="N127" s="836">
        <f t="shared" si="0"/>
        <v>0</v>
      </c>
      <c r="O127" s="858">
        <f t="shared" si="1"/>
        <v>0</v>
      </c>
      <c r="P127" s="830">
        <f t="shared" si="3"/>
        <v>0</v>
      </c>
    </row>
    <row r="128" spans="1:16" ht="30" hidden="1" customHeight="1" outlineLevel="1">
      <c r="A128" s="120"/>
      <c r="B128" s="120"/>
      <c r="C128" s="831">
        <v>104</v>
      </c>
      <c r="D128" s="832"/>
      <c r="E128" s="833"/>
      <c r="F128" s="833"/>
      <c r="G128" s="856"/>
      <c r="H128" s="1098"/>
      <c r="I128" s="859"/>
      <c r="J128" s="860"/>
      <c r="K128" s="861"/>
      <c r="L128" s="468"/>
      <c r="M128" s="819">
        <f t="shared" si="0"/>
        <v>0</v>
      </c>
      <c r="N128" s="836">
        <f t="shared" si="0"/>
        <v>0</v>
      </c>
      <c r="O128" s="858">
        <f t="shared" si="1"/>
        <v>0</v>
      </c>
      <c r="P128" s="830">
        <f t="shared" si="3"/>
        <v>0</v>
      </c>
    </row>
    <row r="129" spans="1:16" ht="30" hidden="1" customHeight="1" outlineLevel="1">
      <c r="A129" s="120"/>
      <c r="B129" s="120"/>
      <c r="C129" s="831">
        <v>105</v>
      </c>
      <c r="D129" s="832"/>
      <c r="E129" s="833"/>
      <c r="F129" s="833"/>
      <c r="G129" s="856"/>
      <c r="H129" s="1098"/>
      <c r="I129" s="859"/>
      <c r="J129" s="860"/>
      <c r="K129" s="861"/>
      <c r="L129" s="468"/>
      <c r="M129" s="819">
        <f t="shared" si="0"/>
        <v>0</v>
      </c>
      <c r="N129" s="836">
        <f t="shared" si="0"/>
        <v>0</v>
      </c>
      <c r="O129" s="858">
        <f t="shared" si="1"/>
        <v>0</v>
      </c>
      <c r="P129" s="830">
        <f t="shared" si="3"/>
        <v>0</v>
      </c>
    </row>
    <row r="130" spans="1:16" ht="30" hidden="1" customHeight="1" outlineLevel="1">
      <c r="A130" s="120"/>
      <c r="B130" s="120"/>
      <c r="C130" s="831">
        <v>106</v>
      </c>
      <c r="D130" s="832"/>
      <c r="E130" s="833"/>
      <c r="F130" s="833"/>
      <c r="G130" s="856"/>
      <c r="H130" s="1098"/>
      <c r="I130" s="859"/>
      <c r="J130" s="860"/>
      <c r="K130" s="861"/>
      <c r="L130" s="468"/>
      <c r="M130" s="819">
        <f t="shared" si="0"/>
        <v>0</v>
      </c>
      <c r="N130" s="836">
        <f t="shared" si="0"/>
        <v>0</v>
      </c>
      <c r="O130" s="858">
        <f t="shared" si="1"/>
        <v>0</v>
      </c>
      <c r="P130" s="830">
        <f t="shared" si="3"/>
        <v>0</v>
      </c>
    </row>
    <row r="131" spans="1:16" ht="30" hidden="1" customHeight="1" outlineLevel="1">
      <c r="A131" s="120"/>
      <c r="B131" s="120"/>
      <c r="C131" s="831">
        <v>107</v>
      </c>
      <c r="D131" s="832"/>
      <c r="E131" s="833"/>
      <c r="F131" s="833"/>
      <c r="G131" s="856"/>
      <c r="H131" s="1098"/>
      <c r="I131" s="859"/>
      <c r="J131" s="860"/>
      <c r="K131" s="861"/>
      <c r="L131" s="468"/>
      <c r="M131" s="819">
        <f t="shared" si="0"/>
        <v>0</v>
      </c>
      <c r="N131" s="836">
        <f t="shared" si="0"/>
        <v>0</v>
      </c>
      <c r="O131" s="858">
        <f t="shared" si="1"/>
        <v>0</v>
      </c>
      <c r="P131" s="830">
        <f t="shared" si="3"/>
        <v>0</v>
      </c>
    </row>
    <row r="132" spans="1:16" ht="30" hidden="1" customHeight="1" outlineLevel="1">
      <c r="A132" s="120"/>
      <c r="B132" s="120"/>
      <c r="C132" s="831">
        <v>108</v>
      </c>
      <c r="D132" s="832"/>
      <c r="E132" s="833"/>
      <c r="F132" s="833"/>
      <c r="G132" s="856"/>
      <c r="H132" s="1098"/>
      <c r="I132" s="859"/>
      <c r="J132" s="860"/>
      <c r="K132" s="861"/>
      <c r="L132" s="468"/>
      <c r="M132" s="819">
        <f t="shared" si="0"/>
        <v>0</v>
      </c>
      <c r="N132" s="836">
        <f t="shared" si="0"/>
        <v>0</v>
      </c>
      <c r="O132" s="858">
        <f t="shared" si="1"/>
        <v>0</v>
      </c>
      <c r="P132" s="830">
        <f t="shared" si="3"/>
        <v>0</v>
      </c>
    </row>
    <row r="133" spans="1:16" ht="30" hidden="1" customHeight="1" outlineLevel="1">
      <c r="A133" s="120"/>
      <c r="B133" s="120"/>
      <c r="C133" s="831">
        <v>109</v>
      </c>
      <c r="D133" s="832"/>
      <c r="E133" s="833"/>
      <c r="F133" s="833"/>
      <c r="G133" s="856"/>
      <c r="H133" s="1098"/>
      <c r="I133" s="859"/>
      <c r="J133" s="860"/>
      <c r="K133" s="861"/>
      <c r="L133" s="468"/>
      <c r="M133" s="819">
        <f t="shared" si="0"/>
        <v>0</v>
      </c>
      <c r="N133" s="836">
        <f t="shared" si="0"/>
        <v>0</v>
      </c>
      <c r="O133" s="858">
        <f t="shared" si="1"/>
        <v>0</v>
      </c>
      <c r="P133" s="830">
        <f t="shared" si="3"/>
        <v>0</v>
      </c>
    </row>
    <row r="134" spans="1:16" ht="30" hidden="1" customHeight="1" outlineLevel="1">
      <c r="A134" s="120"/>
      <c r="B134" s="120"/>
      <c r="C134" s="831">
        <v>110</v>
      </c>
      <c r="D134" s="832"/>
      <c r="E134" s="833"/>
      <c r="F134" s="833"/>
      <c r="G134" s="856"/>
      <c r="H134" s="1098"/>
      <c r="I134" s="859"/>
      <c r="J134" s="860"/>
      <c r="K134" s="861"/>
      <c r="L134" s="468"/>
      <c r="M134" s="819">
        <f t="shared" si="0"/>
        <v>0</v>
      </c>
      <c r="N134" s="836">
        <f t="shared" si="0"/>
        <v>0</v>
      </c>
      <c r="O134" s="858">
        <f t="shared" si="1"/>
        <v>0</v>
      </c>
      <c r="P134" s="830">
        <f t="shared" si="3"/>
        <v>0</v>
      </c>
    </row>
    <row r="135" spans="1:16" ht="30" hidden="1" customHeight="1" outlineLevel="1">
      <c r="A135" s="120"/>
      <c r="B135" s="120"/>
      <c r="C135" s="831">
        <v>111</v>
      </c>
      <c r="D135" s="832"/>
      <c r="E135" s="833"/>
      <c r="F135" s="833"/>
      <c r="G135" s="856"/>
      <c r="H135" s="1098"/>
      <c r="I135" s="859"/>
      <c r="J135" s="860"/>
      <c r="K135" s="861"/>
      <c r="L135" s="468"/>
      <c r="M135" s="819">
        <f t="shared" si="0"/>
        <v>0</v>
      </c>
      <c r="N135" s="836">
        <f t="shared" si="0"/>
        <v>0</v>
      </c>
      <c r="O135" s="858">
        <f t="shared" si="1"/>
        <v>0</v>
      </c>
      <c r="P135" s="830">
        <f t="shared" si="3"/>
        <v>0</v>
      </c>
    </row>
    <row r="136" spans="1:16" ht="30" hidden="1" customHeight="1" outlineLevel="1">
      <c r="A136" s="120"/>
      <c r="B136" s="120"/>
      <c r="C136" s="831">
        <v>112</v>
      </c>
      <c r="D136" s="832"/>
      <c r="E136" s="833"/>
      <c r="F136" s="833"/>
      <c r="G136" s="856"/>
      <c r="H136" s="1098"/>
      <c r="I136" s="859"/>
      <c r="J136" s="860"/>
      <c r="K136" s="861"/>
      <c r="L136" s="468"/>
      <c r="M136" s="819">
        <f t="shared" si="0"/>
        <v>0</v>
      </c>
      <c r="N136" s="836">
        <f t="shared" si="0"/>
        <v>0</v>
      </c>
      <c r="O136" s="858">
        <f t="shared" si="1"/>
        <v>0</v>
      </c>
      <c r="P136" s="830">
        <f t="shared" si="3"/>
        <v>0</v>
      </c>
    </row>
    <row r="137" spans="1:16" ht="30" hidden="1" customHeight="1" outlineLevel="1">
      <c r="A137" s="120"/>
      <c r="B137" s="120"/>
      <c r="C137" s="831">
        <v>113</v>
      </c>
      <c r="D137" s="832"/>
      <c r="E137" s="833"/>
      <c r="F137" s="833"/>
      <c r="G137" s="856"/>
      <c r="H137" s="1098"/>
      <c r="I137" s="859"/>
      <c r="J137" s="860"/>
      <c r="K137" s="861"/>
      <c r="L137" s="468"/>
      <c r="M137" s="819">
        <f t="shared" si="0"/>
        <v>0</v>
      </c>
      <c r="N137" s="836">
        <f t="shared" si="0"/>
        <v>0</v>
      </c>
      <c r="O137" s="858">
        <f t="shared" si="1"/>
        <v>0</v>
      </c>
      <c r="P137" s="830">
        <f t="shared" si="3"/>
        <v>0</v>
      </c>
    </row>
    <row r="138" spans="1:16" ht="30" hidden="1" customHeight="1" outlineLevel="1">
      <c r="A138" s="120"/>
      <c r="B138" s="120"/>
      <c r="C138" s="831">
        <v>114</v>
      </c>
      <c r="D138" s="832"/>
      <c r="E138" s="833"/>
      <c r="F138" s="833"/>
      <c r="G138" s="856"/>
      <c r="H138" s="1098"/>
      <c r="I138" s="859"/>
      <c r="J138" s="860"/>
      <c r="K138" s="861"/>
      <c r="L138" s="468"/>
      <c r="M138" s="819">
        <f t="shared" si="0"/>
        <v>0</v>
      </c>
      <c r="N138" s="836">
        <f t="shared" si="0"/>
        <v>0</v>
      </c>
      <c r="O138" s="858">
        <f t="shared" si="1"/>
        <v>0</v>
      </c>
      <c r="P138" s="830">
        <f t="shared" si="3"/>
        <v>0</v>
      </c>
    </row>
    <row r="139" spans="1:16" ht="30" hidden="1" customHeight="1" outlineLevel="1">
      <c r="A139" s="120"/>
      <c r="B139" s="120"/>
      <c r="C139" s="831">
        <v>115</v>
      </c>
      <c r="D139" s="832"/>
      <c r="E139" s="833"/>
      <c r="F139" s="833"/>
      <c r="G139" s="856"/>
      <c r="H139" s="1098"/>
      <c r="I139" s="859"/>
      <c r="J139" s="860"/>
      <c r="K139" s="861"/>
      <c r="L139" s="468"/>
      <c r="M139" s="819">
        <f t="shared" si="0"/>
        <v>0</v>
      </c>
      <c r="N139" s="836">
        <f t="shared" si="0"/>
        <v>0</v>
      </c>
      <c r="O139" s="858">
        <f t="shared" si="1"/>
        <v>0</v>
      </c>
      <c r="P139" s="830">
        <f t="shared" si="3"/>
        <v>0</v>
      </c>
    </row>
    <row r="140" spans="1:16" ht="30" hidden="1" customHeight="1" outlineLevel="1">
      <c r="A140" s="120"/>
      <c r="B140" s="120"/>
      <c r="C140" s="831">
        <v>116</v>
      </c>
      <c r="D140" s="832"/>
      <c r="E140" s="833"/>
      <c r="F140" s="833"/>
      <c r="G140" s="856"/>
      <c r="H140" s="1098"/>
      <c r="I140" s="859"/>
      <c r="J140" s="860"/>
      <c r="K140" s="861"/>
      <c r="L140" s="468"/>
      <c r="M140" s="819">
        <f t="shared" si="0"/>
        <v>0</v>
      </c>
      <c r="N140" s="836">
        <f t="shared" si="0"/>
        <v>0</v>
      </c>
      <c r="O140" s="858">
        <f t="shared" si="1"/>
        <v>0</v>
      </c>
      <c r="P140" s="830">
        <f t="shared" si="3"/>
        <v>0</v>
      </c>
    </row>
    <row r="141" spans="1:16" ht="30" hidden="1" customHeight="1" outlineLevel="1">
      <c r="A141" s="120"/>
      <c r="B141" s="120"/>
      <c r="C141" s="831">
        <v>117</v>
      </c>
      <c r="D141" s="832"/>
      <c r="E141" s="833"/>
      <c r="F141" s="833"/>
      <c r="G141" s="856"/>
      <c r="H141" s="1098"/>
      <c r="I141" s="859"/>
      <c r="J141" s="860"/>
      <c r="K141" s="861"/>
      <c r="L141" s="468"/>
      <c r="M141" s="819">
        <f t="shared" si="0"/>
        <v>0</v>
      </c>
      <c r="N141" s="836">
        <f t="shared" si="0"/>
        <v>0</v>
      </c>
      <c r="O141" s="858">
        <f t="shared" si="1"/>
        <v>0</v>
      </c>
      <c r="P141" s="830">
        <f t="shared" si="3"/>
        <v>0</v>
      </c>
    </row>
    <row r="142" spans="1:16" ht="30" hidden="1" customHeight="1" outlineLevel="1">
      <c r="A142" s="120"/>
      <c r="B142" s="120"/>
      <c r="C142" s="831">
        <v>118</v>
      </c>
      <c r="D142" s="832"/>
      <c r="E142" s="833"/>
      <c r="F142" s="833"/>
      <c r="G142" s="856"/>
      <c r="H142" s="1098"/>
      <c r="I142" s="859"/>
      <c r="J142" s="860"/>
      <c r="K142" s="861"/>
      <c r="L142" s="468"/>
      <c r="M142" s="819">
        <f t="shared" si="0"/>
        <v>0</v>
      </c>
      <c r="N142" s="836">
        <f t="shared" si="0"/>
        <v>0</v>
      </c>
      <c r="O142" s="858">
        <f t="shared" si="1"/>
        <v>0</v>
      </c>
      <c r="P142" s="830">
        <f t="shared" si="3"/>
        <v>0</v>
      </c>
    </row>
    <row r="143" spans="1:16" ht="30" hidden="1" customHeight="1" outlineLevel="1">
      <c r="A143" s="120"/>
      <c r="B143" s="120"/>
      <c r="C143" s="831">
        <v>119</v>
      </c>
      <c r="D143" s="832"/>
      <c r="E143" s="833"/>
      <c r="F143" s="833"/>
      <c r="G143" s="856"/>
      <c r="H143" s="1098"/>
      <c r="I143" s="859"/>
      <c r="J143" s="860"/>
      <c r="K143" s="861"/>
      <c r="L143" s="468"/>
      <c r="M143" s="819">
        <f t="shared" si="0"/>
        <v>0</v>
      </c>
      <c r="N143" s="836">
        <f t="shared" si="0"/>
        <v>0</v>
      </c>
      <c r="O143" s="858">
        <f t="shared" si="1"/>
        <v>0</v>
      </c>
      <c r="P143" s="830">
        <f t="shared" si="3"/>
        <v>0</v>
      </c>
    </row>
    <row r="144" spans="1:16" ht="30" hidden="1" customHeight="1" outlineLevel="1">
      <c r="A144" s="120"/>
      <c r="B144" s="120"/>
      <c r="C144" s="831">
        <v>120</v>
      </c>
      <c r="D144" s="832"/>
      <c r="E144" s="833"/>
      <c r="F144" s="833"/>
      <c r="G144" s="856"/>
      <c r="H144" s="1098"/>
      <c r="I144" s="859"/>
      <c r="J144" s="860"/>
      <c r="K144" s="861"/>
      <c r="L144" s="468"/>
      <c r="M144" s="819">
        <f t="shared" si="0"/>
        <v>0</v>
      </c>
      <c r="N144" s="836">
        <f t="shared" si="0"/>
        <v>0</v>
      </c>
      <c r="O144" s="858">
        <f t="shared" si="1"/>
        <v>0</v>
      </c>
      <c r="P144" s="830">
        <f t="shared" si="3"/>
        <v>0</v>
      </c>
    </row>
    <row r="145" spans="1:16" ht="30" hidden="1" customHeight="1" outlineLevel="1">
      <c r="A145" s="120"/>
      <c r="B145" s="120"/>
      <c r="C145" s="831">
        <v>121</v>
      </c>
      <c r="D145" s="832"/>
      <c r="E145" s="833"/>
      <c r="F145" s="833"/>
      <c r="G145" s="856"/>
      <c r="H145" s="1098"/>
      <c r="I145" s="859"/>
      <c r="J145" s="860"/>
      <c r="K145" s="861"/>
      <c r="L145" s="468"/>
      <c r="M145" s="819">
        <f t="shared" si="0"/>
        <v>0</v>
      </c>
      <c r="N145" s="836">
        <f t="shared" si="0"/>
        <v>0</v>
      </c>
      <c r="O145" s="858">
        <f t="shared" si="1"/>
        <v>0</v>
      </c>
      <c r="P145" s="830">
        <f t="shared" si="3"/>
        <v>0</v>
      </c>
    </row>
    <row r="146" spans="1:16" ht="30" hidden="1" customHeight="1" outlineLevel="1">
      <c r="A146" s="120"/>
      <c r="B146" s="120"/>
      <c r="C146" s="831">
        <v>122</v>
      </c>
      <c r="D146" s="832"/>
      <c r="E146" s="833"/>
      <c r="F146" s="833"/>
      <c r="G146" s="856"/>
      <c r="H146" s="1098"/>
      <c r="I146" s="859"/>
      <c r="J146" s="860"/>
      <c r="K146" s="861"/>
      <c r="L146" s="468"/>
      <c r="M146" s="819">
        <f t="shared" si="0"/>
        <v>0</v>
      </c>
      <c r="N146" s="836">
        <f t="shared" si="0"/>
        <v>0</v>
      </c>
      <c r="O146" s="858">
        <f t="shared" si="1"/>
        <v>0</v>
      </c>
      <c r="P146" s="830">
        <f t="shared" si="3"/>
        <v>0</v>
      </c>
    </row>
    <row r="147" spans="1:16" ht="30" hidden="1" customHeight="1" outlineLevel="1">
      <c r="A147" s="120"/>
      <c r="B147" s="120"/>
      <c r="C147" s="831">
        <v>123</v>
      </c>
      <c r="D147" s="832"/>
      <c r="E147" s="833"/>
      <c r="F147" s="833"/>
      <c r="G147" s="856"/>
      <c r="H147" s="1098"/>
      <c r="I147" s="859"/>
      <c r="J147" s="860"/>
      <c r="K147" s="861"/>
      <c r="L147" s="468"/>
      <c r="M147" s="819">
        <f t="shared" si="0"/>
        <v>0</v>
      </c>
      <c r="N147" s="836">
        <f t="shared" si="0"/>
        <v>0</v>
      </c>
      <c r="O147" s="858">
        <f t="shared" si="1"/>
        <v>0</v>
      </c>
      <c r="P147" s="830">
        <f t="shared" si="3"/>
        <v>0</v>
      </c>
    </row>
    <row r="148" spans="1:16" ht="30" hidden="1" customHeight="1" outlineLevel="1">
      <c r="A148" s="120"/>
      <c r="B148" s="120"/>
      <c r="C148" s="831">
        <v>124</v>
      </c>
      <c r="D148" s="832"/>
      <c r="E148" s="833"/>
      <c r="F148" s="833"/>
      <c r="G148" s="856"/>
      <c r="H148" s="1098"/>
      <c r="I148" s="859"/>
      <c r="J148" s="860"/>
      <c r="K148" s="861"/>
      <c r="L148" s="468"/>
      <c r="M148" s="819">
        <f t="shared" si="0"/>
        <v>0</v>
      </c>
      <c r="N148" s="836">
        <f t="shared" si="0"/>
        <v>0</v>
      </c>
      <c r="O148" s="858">
        <f t="shared" si="1"/>
        <v>0</v>
      </c>
      <c r="P148" s="830">
        <f t="shared" si="3"/>
        <v>0</v>
      </c>
    </row>
    <row r="149" spans="1:16" ht="30" hidden="1" customHeight="1" outlineLevel="1">
      <c r="A149" s="120"/>
      <c r="B149" s="120"/>
      <c r="C149" s="831">
        <v>125</v>
      </c>
      <c r="D149" s="832"/>
      <c r="E149" s="833"/>
      <c r="F149" s="833"/>
      <c r="G149" s="856"/>
      <c r="H149" s="1098"/>
      <c r="I149" s="859"/>
      <c r="J149" s="860"/>
      <c r="K149" s="861"/>
      <c r="L149" s="468"/>
      <c r="M149" s="819">
        <f t="shared" si="0"/>
        <v>0</v>
      </c>
      <c r="N149" s="836">
        <f t="shared" si="0"/>
        <v>0</v>
      </c>
      <c r="O149" s="858">
        <f t="shared" si="1"/>
        <v>0</v>
      </c>
      <c r="P149" s="830">
        <f t="shared" si="3"/>
        <v>0</v>
      </c>
    </row>
    <row r="150" spans="1:16" ht="30" hidden="1" customHeight="1" outlineLevel="1">
      <c r="A150" s="120"/>
      <c r="B150" s="120"/>
      <c r="C150" s="831">
        <v>126</v>
      </c>
      <c r="D150" s="832"/>
      <c r="E150" s="833"/>
      <c r="F150" s="833"/>
      <c r="G150" s="856"/>
      <c r="H150" s="1098"/>
      <c r="I150" s="859"/>
      <c r="J150" s="860"/>
      <c r="K150" s="861"/>
      <c r="L150" s="468"/>
      <c r="M150" s="819">
        <f t="shared" si="0"/>
        <v>0</v>
      </c>
      <c r="N150" s="836">
        <f t="shared" si="0"/>
        <v>0</v>
      </c>
      <c r="O150" s="858">
        <f t="shared" si="1"/>
        <v>0</v>
      </c>
      <c r="P150" s="830">
        <f t="shared" si="3"/>
        <v>0</v>
      </c>
    </row>
    <row r="151" spans="1:16" ht="30" hidden="1" customHeight="1" outlineLevel="1">
      <c r="A151" s="120"/>
      <c r="B151" s="120"/>
      <c r="C151" s="831">
        <v>127</v>
      </c>
      <c r="D151" s="832"/>
      <c r="E151" s="833"/>
      <c r="F151" s="833"/>
      <c r="G151" s="856"/>
      <c r="H151" s="1098"/>
      <c r="I151" s="859"/>
      <c r="J151" s="860"/>
      <c r="K151" s="861"/>
      <c r="L151" s="468"/>
      <c r="M151" s="819">
        <f t="shared" si="0"/>
        <v>0</v>
      </c>
      <c r="N151" s="836">
        <f t="shared" si="0"/>
        <v>0</v>
      </c>
      <c r="O151" s="858">
        <f t="shared" si="1"/>
        <v>0</v>
      </c>
      <c r="P151" s="830">
        <f t="shared" si="3"/>
        <v>0</v>
      </c>
    </row>
    <row r="152" spans="1:16" ht="30" hidden="1" customHeight="1" outlineLevel="1">
      <c r="A152" s="120"/>
      <c r="B152" s="120"/>
      <c r="C152" s="831">
        <v>128</v>
      </c>
      <c r="D152" s="832"/>
      <c r="E152" s="833"/>
      <c r="F152" s="833"/>
      <c r="G152" s="856"/>
      <c r="H152" s="1098"/>
      <c r="I152" s="859"/>
      <c r="J152" s="860"/>
      <c r="K152" s="861"/>
      <c r="L152" s="468"/>
      <c r="M152" s="819">
        <f t="shared" si="0"/>
        <v>0</v>
      </c>
      <c r="N152" s="836">
        <f t="shared" si="0"/>
        <v>0</v>
      </c>
      <c r="O152" s="858">
        <f t="shared" si="1"/>
        <v>0</v>
      </c>
      <c r="P152" s="830">
        <f t="shared" si="3"/>
        <v>0</v>
      </c>
    </row>
    <row r="153" spans="1:16" ht="30" hidden="1" customHeight="1" outlineLevel="1">
      <c r="A153" s="120"/>
      <c r="B153" s="120"/>
      <c r="C153" s="831">
        <v>129</v>
      </c>
      <c r="D153" s="832"/>
      <c r="E153" s="833"/>
      <c r="F153" s="833"/>
      <c r="G153" s="856"/>
      <c r="H153" s="1098"/>
      <c r="I153" s="859"/>
      <c r="J153" s="860"/>
      <c r="K153" s="861"/>
      <c r="L153" s="468"/>
      <c r="M153" s="819">
        <f t="shared" si="0"/>
        <v>0</v>
      </c>
      <c r="N153" s="836">
        <f>IF($H153&gt;0,F153,)</f>
        <v>0</v>
      </c>
      <c r="O153" s="858">
        <f t="shared" si="1"/>
        <v>0</v>
      </c>
      <c r="P153" s="830">
        <f t="shared" si="3"/>
        <v>0</v>
      </c>
    </row>
    <row r="154" spans="1:16" ht="30" hidden="1" customHeight="1" outlineLevel="1">
      <c r="A154" s="120"/>
      <c r="B154" s="120"/>
      <c r="C154" s="831">
        <v>130</v>
      </c>
      <c r="D154" s="832"/>
      <c r="E154" s="833"/>
      <c r="F154" s="833"/>
      <c r="G154" s="856"/>
      <c r="H154" s="1098"/>
      <c r="I154" s="859"/>
      <c r="J154" s="860"/>
      <c r="K154" s="861"/>
      <c r="L154" s="468"/>
      <c r="M154" s="819">
        <f t="shared" ref="M154:N174" si="4">IF($H154&gt;0,E154,)</f>
        <v>0</v>
      </c>
      <c r="N154" s="836">
        <f t="shared" si="4"/>
        <v>0</v>
      </c>
      <c r="O154" s="858">
        <f t="shared" si="1"/>
        <v>0</v>
      </c>
      <c r="P154" s="830">
        <f t="shared" ref="P154:P174" si="5">ROUND(O154*H154%,)</f>
        <v>0</v>
      </c>
    </row>
    <row r="155" spans="1:16" ht="30" hidden="1" customHeight="1" outlineLevel="1">
      <c r="A155" s="120"/>
      <c r="B155" s="120"/>
      <c r="C155" s="831">
        <v>131</v>
      </c>
      <c r="D155" s="832"/>
      <c r="E155" s="833"/>
      <c r="F155" s="833"/>
      <c r="G155" s="856"/>
      <c r="H155" s="1098"/>
      <c r="I155" s="859"/>
      <c r="J155" s="860"/>
      <c r="K155" s="861"/>
      <c r="L155" s="468"/>
      <c r="M155" s="819">
        <f t="shared" si="4"/>
        <v>0</v>
      </c>
      <c r="N155" s="836">
        <f t="shared" si="4"/>
        <v>0</v>
      </c>
      <c r="O155" s="858">
        <f t="shared" si="1"/>
        <v>0</v>
      </c>
      <c r="P155" s="830">
        <f t="shared" si="5"/>
        <v>0</v>
      </c>
    </row>
    <row r="156" spans="1:16" ht="30" hidden="1" customHeight="1" outlineLevel="1">
      <c r="A156" s="120"/>
      <c r="B156" s="120"/>
      <c r="C156" s="831">
        <v>132</v>
      </c>
      <c r="D156" s="832"/>
      <c r="E156" s="833"/>
      <c r="F156" s="833"/>
      <c r="G156" s="856"/>
      <c r="H156" s="1098"/>
      <c r="I156" s="859"/>
      <c r="J156" s="860"/>
      <c r="K156" s="861"/>
      <c r="L156" s="468"/>
      <c r="M156" s="819">
        <f t="shared" si="4"/>
        <v>0</v>
      </c>
      <c r="N156" s="836">
        <f t="shared" si="4"/>
        <v>0</v>
      </c>
      <c r="O156" s="858">
        <f t="shared" si="1"/>
        <v>0</v>
      </c>
      <c r="P156" s="830">
        <f t="shared" si="5"/>
        <v>0</v>
      </c>
    </row>
    <row r="157" spans="1:16" ht="30" hidden="1" customHeight="1" outlineLevel="1">
      <c r="A157" s="120"/>
      <c r="B157" s="120"/>
      <c r="C157" s="831">
        <v>133</v>
      </c>
      <c r="D157" s="832"/>
      <c r="E157" s="833"/>
      <c r="F157" s="833"/>
      <c r="G157" s="856"/>
      <c r="H157" s="1098"/>
      <c r="I157" s="859"/>
      <c r="J157" s="860"/>
      <c r="K157" s="861"/>
      <c r="L157" s="468"/>
      <c r="M157" s="819">
        <f t="shared" si="4"/>
        <v>0</v>
      </c>
      <c r="N157" s="836">
        <f t="shared" si="4"/>
        <v>0</v>
      </c>
      <c r="O157" s="858">
        <f t="shared" si="1"/>
        <v>0</v>
      </c>
      <c r="P157" s="830">
        <f t="shared" si="5"/>
        <v>0</v>
      </c>
    </row>
    <row r="158" spans="1:16" ht="30" hidden="1" customHeight="1" outlineLevel="1">
      <c r="A158" s="120"/>
      <c r="B158" s="120"/>
      <c r="C158" s="831">
        <v>134</v>
      </c>
      <c r="D158" s="832"/>
      <c r="E158" s="833"/>
      <c r="F158" s="833"/>
      <c r="G158" s="856"/>
      <c r="H158" s="1098"/>
      <c r="I158" s="859"/>
      <c r="J158" s="860"/>
      <c r="K158" s="861"/>
      <c r="L158" s="468"/>
      <c r="M158" s="819">
        <f t="shared" si="4"/>
        <v>0</v>
      </c>
      <c r="N158" s="836">
        <f t="shared" si="4"/>
        <v>0</v>
      </c>
      <c r="O158" s="858">
        <f t="shared" si="1"/>
        <v>0</v>
      </c>
      <c r="P158" s="830">
        <f t="shared" si="5"/>
        <v>0</v>
      </c>
    </row>
    <row r="159" spans="1:16" ht="30" hidden="1" customHeight="1" outlineLevel="1">
      <c r="A159" s="120"/>
      <c r="B159" s="120"/>
      <c r="C159" s="831">
        <v>135</v>
      </c>
      <c r="D159" s="832"/>
      <c r="E159" s="833"/>
      <c r="F159" s="833"/>
      <c r="G159" s="856"/>
      <c r="H159" s="1098"/>
      <c r="I159" s="859"/>
      <c r="J159" s="860"/>
      <c r="K159" s="861"/>
      <c r="L159" s="468"/>
      <c r="M159" s="819">
        <f t="shared" si="4"/>
        <v>0</v>
      </c>
      <c r="N159" s="836">
        <f t="shared" si="4"/>
        <v>0</v>
      </c>
      <c r="O159" s="858">
        <f t="shared" si="1"/>
        <v>0</v>
      </c>
      <c r="P159" s="830">
        <f t="shared" si="5"/>
        <v>0</v>
      </c>
    </row>
    <row r="160" spans="1:16" ht="30" hidden="1" customHeight="1" outlineLevel="1">
      <c r="A160" s="120"/>
      <c r="B160" s="120"/>
      <c r="C160" s="831">
        <v>136</v>
      </c>
      <c r="D160" s="832"/>
      <c r="E160" s="833"/>
      <c r="F160" s="833"/>
      <c r="G160" s="856"/>
      <c r="H160" s="1098"/>
      <c r="I160" s="859"/>
      <c r="J160" s="860"/>
      <c r="K160" s="861"/>
      <c r="L160" s="468"/>
      <c r="M160" s="819">
        <f t="shared" si="4"/>
        <v>0</v>
      </c>
      <c r="N160" s="836">
        <f t="shared" si="4"/>
        <v>0</v>
      </c>
      <c r="O160" s="858">
        <f t="shared" si="1"/>
        <v>0</v>
      </c>
      <c r="P160" s="830">
        <f t="shared" si="5"/>
        <v>0</v>
      </c>
    </row>
    <row r="161" spans="1:16" ht="30" hidden="1" customHeight="1" outlineLevel="1">
      <c r="A161" s="120"/>
      <c r="B161" s="120"/>
      <c r="C161" s="831">
        <v>137</v>
      </c>
      <c r="D161" s="832"/>
      <c r="E161" s="833"/>
      <c r="F161" s="833"/>
      <c r="G161" s="856"/>
      <c r="H161" s="1098"/>
      <c r="I161" s="859"/>
      <c r="J161" s="860"/>
      <c r="K161" s="861"/>
      <c r="L161" s="468"/>
      <c r="M161" s="819">
        <f t="shared" si="4"/>
        <v>0</v>
      </c>
      <c r="N161" s="836">
        <f t="shared" si="4"/>
        <v>0</v>
      </c>
      <c r="O161" s="858">
        <f t="shared" si="1"/>
        <v>0</v>
      </c>
      <c r="P161" s="830">
        <f t="shared" si="5"/>
        <v>0</v>
      </c>
    </row>
    <row r="162" spans="1:16" ht="30" hidden="1" customHeight="1" outlineLevel="1">
      <c r="A162" s="120"/>
      <c r="B162" s="120"/>
      <c r="C162" s="831">
        <v>138</v>
      </c>
      <c r="D162" s="832"/>
      <c r="E162" s="833"/>
      <c r="F162" s="833"/>
      <c r="G162" s="856"/>
      <c r="H162" s="1098"/>
      <c r="I162" s="859"/>
      <c r="J162" s="860"/>
      <c r="K162" s="861"/>
      <c r="L162" s="468"/>
      <c r="M162" s="819">
        <f t="shared" si="4"/>
        <v>0</v>
      </c>
      <c r="N162" s="836">
        <f t="shared" si="4"/>
        <v>0</v>
      </c>
      <c r="O162" s="858">
        <f t="shared" si="1"/>
        <v>0</v>
      </c>
      <c r="P162" s="830">
        <f t="shared" si="5"/>
        <v>0</v>
      </c>
    </row>
    <row r="163" spans="1:16" ht="30" hidden="1" customHeight="1" outlineLevel="1">
      <c r="A163" s="120"/>
      <c r="B163" s="120"/>
      <c r="C163" s="831">
        <v>139</v>
      </c>
      <c r="D163" s="832"/>
      <c r="E163" s="833"/>
      <c r="F163" s="833"/>
      <c r="G163" s="856"/>
      <c r="H163" s="1098"/>
      <c r="I163" s="859"/>
      <c r="J163" s="860"/>
      <c r="K163" s="861"/>
      <c r="L163" s="468"/>
      <c r="M163" s="819">
        <f t="shared" si="4"/>
        <v>0</v>
      </c>
      <c r="N163" s="836">
        <f t="shared" si="4"/>
        <v>0</v>
      </c>
      <c r="O163" s="858">
        <f t="shared" si="1"/>
        <v>0</v>
      </c>
      <c r="P163" s="830">
        <f t="shared" si="5"/>
        <v>0</v>
      </c>
    </row>
    <row r="164" spans="1:16" ht="30" hidden="1" customHeight="1" outlineLevel="1">
      <c r="A164" s="120"/>
      <c r="B164" s="120"/>
      <c r="C164" s="831">
        <v>140</v>
      </c>
      <c r="D164" s="832"/>
      <c r="E164" s="833"/>
      <c r="F164" s="833"/>
      <c r="G164" s="856"/>
      <c r="H164" s="1098"/>
      <c r="I164" s="859"/>
      <c r="J164" s="860"/>
      <c r="K164" s="861"/>
      <c r="L164" s="468"/>
      <c r="M164" s="819">
        <f t="shared" si="4"/>
        <v>0</v>
      </c>
      <c r="N164" s="836">
        <f t="shared" si="4"/>
        <v>0</v>
      </c>
      <c r="O164" s="858">
        <f t="shared" si="1"/>
        <v>0</v>
      </c>
      <c r="P164" s="830">
        <f t="shared" si="5"/>
        <v>0</v>
      </c>
    </row>
    <row r="165" spans="1:16" ht="30" hidden="1" customHeight="1" outlineLevel="1">
      <c r="A165" s="120"/>
      <c r="B165" s="120"/>
      <c r="C165" s="831">
        <v>141</v>
      </c>
      <c r="D165" s="832"/>
      <c r="E165" s="833"/>
      <c r="F165" s="833"/>
      <c r="G165" s="856"/>
      <c r="H165" s="1098"/>
      <c r="I165" s="859"/>
      <c r="J165" s="860"/>
      <c r="K165" s="861"/>
      <c r="L165" s="468"/>
      <c r="M165" s="819">
        <f t="shared" si="4"/>
        <v>0</v>
      </c>
      <c r="N165" s="836">
        <f t="shared" si="4"/>
        <v>0</v>
      </c>
      <c r="O165" s="858">
        <f t="shared" si="1"/>
        <v>0</v>
      </c>
      <c r="P165" s="830">
        <f t="shared" si="5"/>
        <v>0</v>
      </c>
    </row>
    <row r="166" spans="1:16" ht="30" hidden="1" customHeight="1" outlineLevel="1">
      <c r="A166" s="120"/>
      <c r="B166" s="120"/>
      <c r="C166" s="831">
        <v>142</v>
      </c>
      <c r="D166" s="832"/>
      <c r="E166" s="833"/>
      <c r="F166" s="833"/>
      <c r="G166" s="856"/>
      <c r="H166" s="1098"/>
      <c r="I166" s="859"/>
      <c r="J166" s="860"/>
      <c r="K166" s="861"/>
      <c r="L166" s="468"/>
      <c r="M166" s="819">
        <f t="shared" si="4"/>
        <v>0</v>
      </c>
      <c r="N166" s="836">
        <f t="shared" si="4"/>
        <v>0</v>
      </c>
      <c r="O166" s="858">
        <f t="shared" si="1"/>
        <v>0</v>
      </c>
      <c r="P166" s="830">
        <f t="shared" si="5"/>
        <v>0</v>
      </c>
    </row>
    <row r="167" spans="1:16" ht="30" hidden="1" customHeight="1" outlineLevel="1">
      <c r="A167" s="120"/>
      <c r="B167" s="120"/>
      <c r="C167" s="831">
        <v>143</v>
      </c>
      <c r="D167" s="832"/>
      <c r="E167" s="833"/>
      <c r="F167" s="833"/>
      <c r="G167" s="856"/>
      <c r="H167" s="1098"/>
      <c r="I167" s="859"/>
      <c r="J167" s="860"/>
      <c r="K167" s="861"/>
      <c r="L167" s="468"/>
      <c r="M167" s="819">
        <f t="shared" si="4"/>
        <v>0</v>
      </c>
      <c r="N167" s="836">
        <f t="shared" si="4"/>
        <v>0</v>
      </c>
      <c r="O167" s="858">
        <f t="shared" si="1"/>
        <v>0</v>
      </c>
      <c r="P167" s="830">
        <f t="shared" si="5"/>
        <v>0</v>
      </c>
    </row>
    <row r="168" spans="1:16" ht="30" hidden="1" customHeight="1" outlineLevel="1">
      <c r="A168" s="120"/>
      <c r="B168" s="120"/>
      <c r="C168" s="831">
        <v>144</v>
      </c>
      <c r="D168" s="832"/>
      <c r="E168" s="833"/>
      <c r="F168" s="833"/>
      <c r="G168" s="856"/>
      <c r="H168" s="1098"/>
      <c r="I168" s="859"/>
      <c r="J168" s="860"/>
      <c r="K168" s="861"/>
      <c r="L168" s="468"/>
      <c r="M168" s="819">
        <f t="shared" si="4"/>
        <v>0</v>
      </c>
      <c r="N168" s="836">
        <f t="shared" si="4"/>
        <v>0</v>
      </c>
      <c r="O168" s="858">
        <f t="shared" si="1"/>
        <v>0</v>
      </c>
      <c r="P168" s="830">
        <f t="shared" si="5"/>
        <v>0</v>
      </c>
    </row>
    <row r="169" spans="1:16" ht="30" hidden="1" customHeight="1" outlineLevel="1">
      <c r="A169" s="120"/>
      <c r="B169" s="120"/>
      <c r="C169" s="831">
        <v>145</v>
      </c>
      <c r="D169" s="832"/>
      <c r="E169" s="833"/>
      <c r="F169" s="833"/>
      <c r="G169" s="856"/>
      <c r="H169" s="1098"/>
      <c r="I169" s="859"/>
      <c r="J169" s="860"/>
      <c r="K169" s="861"/>
      <c r="L169" s="468"/>
      <c r="M169" s="819">
        <f t="shared" si="4"/>
        <v>0</v>
      </c>
      <c r="N169" s="836">
        <f t="shared" si="4"/>
        <v>0</v>
      </c>
      <c r="O169" s="858">
        <f t="shared" si="1"/>
        <v>0</v>
      </c>
      <c r="P169" s="830">
        <f t="shared" si="5"/>
        <v>0</v>
      </c>
    </row>
    <row r="170" spans="1:16" ht="30" hidden="1" customHeight="1" outlineLevel="1">
      <c r="A170" s="120"/>
      <c r="B170" s="120"/>
      <c r="C170" s="831">
        <v>146</v>
      </c>
      <c r="D170" s="832"/>
      <c r="E170" s="833"/>
      <c r="F170" s="833"/>
      <c r="G170" s="856"/>
      <c r="H170" s="1098"/>
      <c r="I170" s="859"/>
      <c r="J170" s="860"/>
      <c r="K170" s="861"/>
      <c r="L170" s="468"/>
      <c r="M170" s="819">
        <f t="shared" si="4"/>
        <v>0</v>
      </c>
      <c r="N170" s="836">
        <f t="shared" si="4"/>
        <v>0</v>
      </c>
      <c r="O170" s="858">
        <f t="shared" si="1"/>
        <v>0</v>
      </c>
      <c r="P170" s="830">
        <f t="shared" si="5"/>
        <v>0</v>
      </c>
    </row>
    <row r="171" spans="1:16" ht="30" hidden="1" customHeight="1" outlineLevel="1">
      <c r="A171" s="120"/>
      <c r="B171" s="120"/>
      <c r="C171" s="831">
        <v>147</v>
      </c>
      <c r="D171" s="832"/>
      <c r="E171" s="833"/>
      <c r="F171" s="833"/>
      <c r="G171" s="856"/>
      <c r="H171" s="1098"/>
      <c r="I171" s="859"/>
      <c r="J171" s="860"/>
      <c r="K171" s="861"/>
      <c r="L171" s="468"/>
      <c r="M171" s="819">
        <f t="shared" si="4"/>
        <v>0</v>
      </c>
      <c r="N171" s="836">
        <f t="shared" si="4"/>
        <v>0</v>
      </c>
      <c r="O171" s="858">
        <f t="shared" si="1"/>
        <v>0</v>
      </c>
      <c r="P171" s="830">
        <f t="shared" si="5"/>
        <v>0</v>
      </c>
    </row>
    <row r="172" spans="1:16" ht="30" hidden="1" customHeight="1" outlineLevel="1">
      <c r="A172" s="120"/>
      <c r="B172" s="120"/>
      <c r="C172" s="831">
        <v>148</v>
      </c>
      <c r="D172" s="832"/>
      <c r="E172" s="833"/>
      <c r="F172" s="833"/>
      <c r="G172" s="856"/>
      <c r="H172" s="1098"/>
      <c r="I172" s="859"/>
      <c r="J172" s="860"/>
      <c r="K172" s="861"/>
      <c r="L172" s="468"/>
      <c r="M172" s="819">
        <f t="shared" si="4"/>
        <v>0</v>
      </c>
      <c r="N172" s="836">
        <f t="shared" si="4"/>
        <v>0</v>
      </c>
      <c r="O172" s="858">
        <f t="shared" si="1"/>
        <v>0</v>
      </c>
      <c r="P172" s="830">
        <f t="shared" si="5"/>
        <v>0</v>
      </c>
    </row>
    <row r="173" spans="1:16" ht="30" hidden="1" customHeight="1" outlineLevel="1">
      <c r="A173" s="120"/>
      <c r="B173" s="120"/>
      <c r="C173" s="831">
        <v>149</v>
      </c>
      <c r="D173" s="832"/>
      <c r="E173" s="833"/>
      <c r="F173" s="833"/>
      <c r="G173" s="856"/>
      <c r="H173" s="1098"/>
      <c r="I173" s="859"/>
      <c r="J173" s="860"/>
      <c r="K173" s="861"/>
      <c r="L173" s="468"/>
      <c r="M173" s="819">
        <f t="shared" si="4"/>
        <v>0</v>
      </c>
      <c r="N173" s="836">
        <f t="shared" si="4"/>
        <v>0</v>
      </c>
      <c r="O173" s="858">
        <f t="shared" si="1"/>
        <v>0</v>
      </c>
      <c r="P173" s="830">
        <f t="shared" si="5"/>
        <v>0</v>
      </c>
    </row>
    <row r="174" spans="1:16" ht="30" hidden="1" customHeight="1" outlineLevel="1" thickBot="1">
      <c r="A174" s="120"/>
      <c r="B174" s="120"/>
      <c r="C174" s="839">
        <v>150</v>
      </c>
      <c r="D174" s="840"/>
      <c r="E174" s="841"/>
      <c r="F174" s="841"/>
      <c r="G174" s="862"/>
      <c r="H174" s="1099"/>
      <c r="I174" s="863"/>
      <c r="J174" s="864"/>
      <c r="K174" s="804"/>
      <c r="L174" s="468"/>
      <c r="M174" s="819">
        <f t="shared" si="4"/>
        <v>0</v>
      </c>
      <c r="N174" s="836">
        <f t="shared" si="4"/>
        <v>0</v>
      </c>
      <c r="O174" s="858">
        <f t="shared" si="1"/>
        <v>0</v>
      </c>
      <c r="P174" s="830">
        <f t="shared" si="5"/>
        <v>0</v>
      </c>
    </row>
    <row r="175" spans="1:16" ht="14.25" customHeight="1" thickTop="1">
      <c r="A175" s="120"/>
      <c r="B175" s="120"/>
      <c r="C175" s="845" t="s">
        <v>661</v>
      </c>
      <c r="D175" s="846"/>
      <c r="E175" s="846"/>
      <c r="F175" s="846"/>
      <c r="G175" s="846"/>
      <c r="H175" s="846"/>
      <c r="I175" s="846"/>
      <c r="J175" s="229"/>
      <c r="K175" s="865"/>
      <c r="L175" s="865"/>
      <c r="M175" s="847"/>
      <c r="N175" s="847"/>
      <c r="O175" s="847"/>
      <c r="P175" s="847"/>
    </row>
    <row r="176" spans="1:16" ht="14.25" customHeight="1">
      <c r="B176" s="30"/>
    </row>
    <row r="177" spans="2:17" ht="14.25" customHeight="1">
      <c r="C177" s="2"/>
      <c r="K177" s="173"/>
      <c r="L177" s="173"/>
    </row>
    <row r="178" spans="2:17" ht="14.25" customHeight="1">
      <c r="C178" s="2"/>
      <c r="K178" s="173"/>
      <c r="L178" s="173"/>
    </row>
    <row r="179" spans="2:17" ht="14.25" customHeight="1">
      <c r="C179" s="2"/>
      <c r="K179" s="173"/>
      <c r="L179" s="173"/>
    </row>
    <row r="180" spans="2:17" ht="14.25" customHeight="1">
      <c r="C180" s="2"/>
      <c r="K180" s="173"/>
      <c r="L180" s="173"/>
    </row>
    <row r="181" spans="2:17" ht="14.25" customHeight="1">
      <c r="C181" s="2"/>
      <c r="K181" s="173"/>
      <c r="L181" s="173"/>
    </row>
    <row r="182" spans="2:17" ht="14.25" customHeight="1">
      <c r="C182" s="2"/>
      <c r="K182" s="173"/>
      <c r="L182" s="173"/>
    </row>
    <row r="183" spans="2:17" ht="14.25" customHeight="1">
      <c r="C183" s="2"/>
      <c r="K183" s="173"/>
      <c r="L183" s="173"/>
    </row>
    <row r="184" spans="2:17" ht="14.25" customHeight="1">
      <c r="C184" s="108" t="s">
        <v>662</v>
      </c>
      <c r="K184" s="173"/>
      <c r="L184" s="173"/>
      <c r="M184" s="44"/>
      <c r="N184" s="44"/>
      <c r="O184" s="44"/>
      <c r="P184" s="44"/>
    </row>
    <row r="185" spans="2:17" ht="14.25" customHeight="1">
      <c r="B185" s="30"/>
      <c r="C185" s="223"/>
      <c r="D185" s="605" t="s">
        <v>683</v>
      </c>
      <c r="E185" s="30"/>
      <c r="F185" s="30"/>
      <c r="G185" s="30"/>
      <c r="H185" s="30"/>
      <c r="I185" s="30"/>
      <c r="J185" s="607"/>
      <c r="K185" s="184"/>
      <c r="L185" s="184"/>
      <c r="M185" s="854"/>
      <c r="N185" s="854"/>
      <c r="O185" s="854"/>
      <c r="P185" s="854"/>
      <c r="Q185" s="30"/>
    </row>
    <row r="186" spans="2:17" ht="18" customHeight="1" thickBot="1">
      <c r="B186" s="30"/>
      <c r="C186" s="850" t="s">
        <v>684</v>
      </c>
      <c r="D186" s="605"/>
      <c r="E186" s="30"/>
      <c r="F186" s="30"/>
      <c r="G186" s="30"/>
      <c r="H186" s="30"/>
      <c r="I186" s="30"/>
      <c r="J186" s="607"/>
      <c r="K186" s="184"/>
      <c r="L186" s="184"/>
      <c r="M186" s="2071" t="s">
        <v>643</v>
      </c>
      <c r="N186" s="2071"/>
      <c r="O186" s="2071"/>
      <c r="P186" s="2071"/>
      <c r="Q186" s="30"/>
    </row>
    <row r="187" spans="2:17" ht="18" hidden="1" customHeight="1" thickBot="1">
      <c r="B187" s="30"/>
      <c r="C187" s="850"/>
      <c r="D187" s="605"/>
      <c r="E187" s="30"/>
      <c r="F187" s="30"/>
      <c r="G187" s="30"/>
      <c r="H187" s="30"/>
      <c r="I187" s="30"/>
      <c r="J187" s="607"/>
      <c r="K187" s="184"/>
      <c r="L187" s="184"/>
      <c r="M187" s="866"/>
      <c r="N187" s="866"/>
      <c r="O187" s="866"/>
      <c r="P187" s="866"/>
      <c r="Q187" s="30"/>
    </row>
    <row r="188" spans="2:17" ht="21.75" customHeight="1">
      <c r="C188" s="2064" t="s">
        <v>648</v>
      </c>
      <c r="D188" s="1237" t="s">
        <v>666</v>
      </c>
      <c r="E188" s="1933" t="s">
        <v>667</v>
      </c>
      <c r="F188" s="1933" t="s">
        <v>685</v>
      </c>
      <c r="G188" s="1393" t="s">
        <v>686</v>
      </c>
      <c r="H188" s="1496" t="s">
        <v>290</v>
      </c>
      <c r="I188" s="2070"/>
      <c r="K188" s="173"/>
      <c r="L188" s="173"/>
      <c r="M188" s="2059" t="s">
        <v>687</v>
      </c>
      <c r="N188" s="2059" t="s">
        <v>688</v>
      </c>
      <c r="O188" s="2062" t="s">
        <v>689</v>
      </c>
      <c r="P188" s="2062" t="s">
        <v>690</v>
      </c>
    </row>
    <row r="189" spans="2:17" ht="21.75" customHeight="1">
      <c r="C189" s="2065"/>
      <c r="D189" s="1406"/>
      <c r="E189" s="1963"/>
      <c r="F189" s="1963"/>
      <c r="G189" s="1835"/>
      <c r="H189" s="1497"/>
      <c r="I189" s="2070"/>
      <c r="K189" s="173"/>
      <c r="L189" s="173"/>
      <c r="M189" s="2060"/>
      <c r="N189" s="2060"/>
      <c r="O189" s="2063"/>
      <c r="P189" s="2063"/>
    </row>
    <row r="190" spans="2:17" ht="30" customHeight="1" thickBot="1">
      <c r="C190" s="2066"/>
      <c r="D190" s="1406"/>
      <c r="E190" s="2068"/>
      <c r="F190" s="1540"/>
      <c r="G190" s="2073"/>
      <c r="H190" s="2069"/>
      <c r="I190" s="2070"/>
      <c r="L190" s="173"/>
      <c r="M190" s="820">
        <f>SUM(M191:M240)</f>
        <v>0</v>
      </c>
      <c r="N190" s="820">
        <f>SUM(N191:N240)</f>
        <v>0</v>
      </c>
      <c r="O190" s="822">
        <f>SUM(O191:O240)</f>
        <v>0</v>
      </c>
      <c r="P190" s="822">
        <f>SUM(P191:P240)</f>
        <v>0</v>
      </c>
    </row>
    <row r="191" spans="2:17" ht="30" customHeight="1" thickTop="1">
      <c r="C191" s="867">
        <v>1</v>
      </c>
      <c r="D191" s="824"/>
      <c r="E191" s="825"/>
      <c r="F191" s="825"/>
      <c r="G191" s="665"/>
      <c r="H191" s="1097"/>
      <c r="I191" s="868"/>
      <c r="L191" s="468"/>
      <c r="M191" s="818">
        <f t="shared" ref="M191:N240" si="6">IF($H191&gt;0,E191,)</f>
        <v>0</v>
      </c>
      <c r="N191" s="818">
        <f t="shared" si="6"/>
        <v>0</v>
      </c>
      <c r="O191" s="830">
        <f>IF(H191&gt;0,ROUND(G191,),)</f>
        <v>0</v>
      </c>
      <c r="P191" s="830">
        <f t="shared" ref="P191:P240" si="7">ROUND(O191*H191%,)</f>
        <v>0</v>
      </c>
    </row>
    <row r="192" spans="2:17" ht="30" customHeight="1">
      <c r="C192" s="831">
        <v>2</v>
      </c>
      <c r="D192" s="832"/>
      <c r="E192" s="833"/>
      <c r="F192" s="833"/>
      <c r="G192" s="856"/>
      <c r="H192" s="1098"/>
      <c r="I192" s="868"/>
      <c r="L192" s="468"/>
      <c r="M192" s="819">
        <f t="shared" si="6"/>
        <v>0</v>
      </c>
      <c r="N192" s="836">
        <f t="shared" si="6"/>
        <v>0</v>
      </c>
      <c r="O192" s="858">
        <f t="shared" ref="O192:O240" si="8">IF(H192&gt;0,ROUND(G192,),)</f>
        <v>0</v>
      </c>
      <c r="P192" s="830">
        <f t="shared" si="7"/>
        <v>0</v>
      </c>
    </row>
    <row r="193" spans="3:16" ht="30" customHeight="1" collapsed="1" thickBot="1">
      <c r="C193" s="831">
        <v>3</v>
      </c>
      <c r="D193" s="832"/>
      <c r="E193" s="833"/>
      <c r="F193" s="833"/>
      <c r="G193" s="856"/>
      <c r="H193" s="1098"/>
      <c r="I193" s="868"/>
      <c r="L193" s="468"/>
      <c r="M193" s="819">
        <f t="shared" si="6"/>
        <v>0</v>
      </c>
      <c r="N193" s="836">
        <f t="shared" si="6"/>
        <v>0</v>
      </c>
      <c r="O193" s="858">
        <f t="shared" si="8"/>
        <v>0</v>
      </c>
      <c r="P193" s="830">
        <f t="shared" si="7"/>
        <v>0</v>
      </c>
    </row>
    <row r="194" spans="3:16" ht="30" hidden="1" customHeight="1" outlineLevel="1">
      <c r="C194" s="831">
        <v>4</v>
      </c>
      <c r="D194" s="832"/>
      <c r="E194" s="833"/>
      <c r="F194" s="833"/>
      <c r="G194" s="856"/>
      <c r="H194" s="1098"/>
      <c r="I194" s="869"/>
      <c r="L194" s="468"/>
      <c r="M194" s="819">
        <f t="shared" si="6"/>
        <v>0</v>
      </c>
      <c r="N194" s="836">
        <f t="shared" si="6"/>
        <v>0</v>
      </c>
      <c r="O194" s="858">
        <f t="shared" si="8"/>
        <v>0</v>
      </c>
      <c r="P194" s="830">
        <f t="shared" si="7"/>
        <v>0</v>
      </c>
    </row>
    <row r="195" spans="3:16" ht="30" hidden="1" customHeight="1" outlineLevel="1">
      <c r="C195" s="831">
        <v>5</v>
      </c>
      <c r="D195" s="832"/>
      <c r="E195" s="833"/>
      <c r="F195" s="833"/>
      <c r="G195" s="856"/>
      <c r="H195" s="1098"/>
      <c r="I195" s="869"/>
      <c r="L195" s="468"/>
      <c r="M195" s="819">
        <f t="shared" si="6"/>
        <v>0</v>
      </c>
      <c r="N195" s="836">
        <f t="shared" si="6"/>
        <v>0</v>
      </c>
      <c r="O195" s="858">
        <f t="shared" si="8"/>
        <v>0</v>
      </c>
      <c r="P195" s="830">
        <f t="shared" si="7"/>
        <v>0</v>
      </c>
    </row>
    <row r="196" spans="3:16" ht="30" hidden="1" customHeight="1" outlineLevel="1">
      <c r="C196" s="831">
        <v>6</v>
      </c>
      <c r="D196" s="832"/>
      <c r="E196" s="833"/>
      <c r="F196" s="833"/>
      <c r="G196" s="856"/>
      <c r="H196" s="1098"/>
      <c r="I196" s="869"/>
      <c r="L196" s="468"/>
      <c r="M196" s="819">
        <f t="shared" si="6"/>
        <v>0</v>
      </c>
      <c r="N196" s="836">
        <f t="shared" si="6"/>
        <v>0</v>
      </c>
      <c r="O196" s="858">
        <f t="shared" si="8"/>
        <v>0</v>
      </c>
      <c r="P196" s="830">
        <f t="shared" si="7"/>
        <v>0</v>
      </c>
    </row>
    <row r="197" spans="3:16" ht="30" hidden="1" customHeight="1" outlineLevel="1">
      <c r="C197" s="831">
        <v>7</v>
      </c>
      <c r="D197" s="832"/>
      <c r="E197" s="833"/>
      <c r="F197" s="833"/>
      <c r="G197" s="856"/>
      <c r="H197" s="1098"/>
      <c r="I197" s="869"/>
      <c r="L197" s="468"/>
      <c r="M197" s="819">
        <f t="shared" si="6"/>
        <v>0</v>
      </c>
      <c r="N197" s="836">
        <f t="shared" si="6"/>
        <v>0</v>
      </c>
      <c r="O197" s="858">
        <f t="shared" si="8"/>
        <v>0</v>
      </c>
      <c r="P197" s="830">
        <f t="shared" si="7"/>
        <v>0</v>
      </c>
    </row>
    <row r="198" spans="3:16" ht="30" hidden="1" customHeight="1" outlineLevel="1">
      <c r="C198" s="831">
        <v>8</v>
      </c>
      <c r="D198" s="832"/>
      <c r="E198" s="833"/>
      <c r="F198" s="833"/>
      <c r="G198" s="856"/>
      <c r="H198" s="1098"/>
      <c r="I198" s="869"/>
      <c r="L198" s="468"/>
      <c r="M198" s="819">
        <f t="shared" si="6"/>
        <v>0</v>
      </c>
      <c r="N198" s="836">
        <f t="shared" si="6"/>
        <v>0</v>
      </c>
      <c r="O198" s="858">
        <f t="shared" si="8"/>
        <v>0</v>
      </c>
      <c r="P198" s="830">
        <f t="shared" si="7"/>
        <v>0</v>
      </c>
    </row>
    <row r="199" spans="3:16" ht="30" hidden="1" customHeight="1" outlineLevel="1">
      <c r="C199" s="831">
        <v>9</v>
      </c>
      <c r="D199" s="832"/>
      <c r="E199" s="833"/>
      <c r="F199" s="833"/>
      <c r="G199" s="856"/>
      <c r="H199" s="1098"/>
      <c r="I199" s="869"/>
      <c r="L199" s="468"/>
      <c r="M199" s="819">
        <f t="shared" si="6"/>
        <v>0</v>
      </c>
      <c r="N199" s="836">
        <f t="shared" si="6"/>
        <v>0</v>
      </c>
      <c r="O199" s="858">
        <f t="shared" si="8"/>
        <v>0</v>
      </c>
      <c r="P199" s="830">
        <f t="shared" si="7"/>
        <v>0</v>
      </c>
    </row>
    <row r="200" spans="3:16" ht="30" hidden="1" customHeight="1" outlineLevel="1">
      <c r="C200" s="831">
        <v>10</v>
      </c>
      <c r="D200" s="832"/>
      <c r="E200" s="833"/>
      <c r="F200" s="833"/>
      <c r="G200" s="856"/>
      <c r="H200" s="1098"/>
      <c r="I200" s="869"/>
      <c r="L200" s="468"/>
      <c r="M200" s="819">
        <f t="shared" si="6"/>
        <v>0</v>
      </c>
      <c r="N200" s="836">
        <f t="shared" si="6"/>
        <v>0</v>
      </c>
      <c r="O200" s="858">
        <f t="shared" si="8"/>
        <v>0</v>
      </c>
      <c r="P200" s="830">
        <f t="shared" si="7"/>
        <v>0</v>
      </c>
    </row>
    <row r="201" spans="3:16" ht="30" hidden="1" customHeight="1" outlineLevel="1">
      <c r="C201" s="831">
        <v>11</v>
      </c>
      <c r="D201" s="832"/>
      <c r="E201" s="833"/>
      <c r="F201" s="833"/>
      <c r="G201" s="856"/>
      <c r="H201" s="1098"/>
      <c r="I201" s="869"/>
      <c r="L201" s="468"/>
      <c r="M201" s="819">
        <f t="shared" si="6"/>
        <v>0</v>
      </c>
      <c r="N201" s="836">
        <f t="shared" si="6"/>
        <v>0</v>
      </c>
      <c r="O201" s="858">
        <f t="shared" si="8"/>
        <v>0</v>
      </c>
      <c r="P201" s="830">
        <f t="shared" si="7"/>
        <v>0</v>
      </c>
    </row>
    <row r="202" spans="3:16" ht="30" hidden="1" customHeight="1" outlineLevel="1">
      <c r="C202" s="831">
        <v>12</v>
      </c>
      <c r="D202" s="832"/>
      <c r="E202" s="833"/>
      <c r="F202" s="833"/>
      <c r="G202" s="856"/>
      <c r="H202" s="1098"/>
      <c r="I202" s="869"/>
      <c r="L202" s="468"/>
      <c r="M202" s="819">
        <f t="shared" si="6"/>
        <v>0</v>
      </c>
      <c r="N202" s="836">
        <f t="shared" si="6"/>
        <v>0</v>
      </c>
      <c r="O202" s="858">
        <f t="shared" si="8"/>
        <v>0</v>
      </c>
      <c r="P202" s="830">
        <f t="shared" si="7"/>
        <v>0</v>
      </c>
    </row>
    <row r="203" spans="3:16" ht="30" hidden="1" customHeight="1" outlineLevel="1">
      <c r="C203" s="831">
        <v>13</v>
      </c>
      <c r="D203" s="832"/>
      <c r="E203" s="833"/>
      <c r="F203" s="833"/>
      <c r="G203" s="856"/>
      <c r="H203" s="1098"/>
      <c r="I203" s="869"/>
      <c r="L203" s="468"/>
      <c r="M203" s="819">
        <f t="shared" si="6"/>
        <v>0</v>
      </c>
      <c r="N203" s="836">
        <f t="shared" si="6"/>
        <v>0</v>
      </c>
      <c r="O203" s="858">
        <f t="shared" si="8"/>
        <v>0</v>
      </c>
      <c r="P203" s="830">
        <f t="shared" si="7"/>
        <v>0</v>
      </c>
    </row>
    <row r="204" spans="3:16" ht="30" hidden="1" customHeight="1" outlineLevel="1">
      <c r="C204" s="831">
        <v>14</v>
      </c>
      <c r="D204" s="832"/>
      <c r="E204" s="833"/>
      <c r="F204" s="833"/>
      <c r="G204" s="856"/>
      <c r="H204" s="1098"/>
      <c r="I204" s="869"/>
      <c r="L204" s="468"/>
      <c r="M204" s="819">
        <f t="shared" si="6"/>
        <v>0</v>
      </c>
      <c r="N204" s="836">
        <f t="shared" si="6"/>
        <v>0</v>
      </c>
      <c r="O204" s="858">
        <f t="shared" si="8"/>
        <v>0</v>
      </c>
      <c r="P204" s="830">
        <f t="shared" si="7"/>
        <v>0</v>
      </c>
    </row>
    <row r="205" spans="3:16" ht="30" hidden="1" customHeight="1" outlineLevel="1">
      <c r="C205" s="831">
        <v>15</v>
      </c>
      <c r="D205" s="832"/>
      <c r="E205" s="833"/>
      <c r="F205" s="833"/>
      <c r="G205" s="856"/>
      <c r="H205" s="1098"/>
      <c r="I205" s="869"/>
      <c r="L205" s="468"/>
      <c r="M205" s="819">
        <f t="shared" si="6"/>
        <v>0</v>
      </c>
      <c r="N205" s="836">
        <f t="shared" si="6"/>
        <v>0</v>
      </c>
      <c r="O205" s="858">
        <f t="shared" si="8"/>
        <v>0</v>
      </c>
      <c r="P205" s="830">
        <f t="shared" si="7"/>
        <v>0</v>
      </c>
    </row>
    <row r="206" spans="3:16" ht="30" hidden="1" customHeight="1" outlineLevel="1">
      <c r="C206" s="831">
        <v>16</v>
      </c>
      <c r="D206" s="832"/>
      <c r="E206" s="833"/>
      <c r="F206" s="833"/>
      <c r="G206" s="856"/>
      <c r="H206" s="1098"/>
      <c r="I206" s="869"/>
      <c r="L206" s="468"/>
      <c r="M206" s="819">
        <f t="shared" si="6"/>
        <v>0</v>
      </c>
      <c r="N206" s="836">
        <f t="shared" si="6"/>
        <v>0</v>
      </c>
      <c r="O206" s="858">
        <f t="shared" si="8"/>
        <v>0</v>
      </c>
      <c r="P206" s="830">
        <f t="shared" si="7"/>
        <v>0</v>
      </c>
    </row>
    <row r="207" spans="3:16" ht="30" hidden="1" customHeight="1" outlineLevel="1">
      <c r="C207" s="831">
        <v>17</v>
      </c>
      <c r="D207" s="832"/>
      <c r="E207" s="833"/>
      <c r="F207" s="833"/>
      <c r="G207" s="856"/>
      <c r="H207" s="1098"/>
      <c r="I207" s="869"/>
      <c r="L207" s="468"/>
      <c r="M207" s="819">
        <f t="shared" si="6"/>
        <v>0</v>
      </c>
      <c r="N207" s="836">
        <f t="shared" si="6"/>
        <v>0</v>
      </c>
      <c r="O207" s="858">
        <f t="shared" si="8"/>
        <v>0</v>
      </c>
      <c r="P207" s="830">
        <f t="shared" si="7"/>
        <v>0</v>
      </c>
    </row>
    <row r="208" spans="3:16" ht="30" hidden="1" customHeight="1" outlineLevel="1">
      <c r="C208" s="831">
        <v>18</v>
      </c>
      <c r="D208" s="832"/>
      <c r="E208" s="833"/>
      <c r="F208" s="833"/>
      <c r="G208" s="856"/>
      <c r="H208" s="1098"/>
      <c r="I208" s="869"/>
      <c r="L208" s="468"/>
      <c r="M208" s="819">
        <f t="shared" si="6"/>
        <v>0</v>
      </c>
      <c r="N208" s="836">
        <f t="shared" si="6"/>
        <v>0</v>
      </c>
      <c r="O208" s="858">
        <f t="shared" si="8"/>
        <v>0</v>
      </c>
      <c r="P208" s="830">
        <f t="shared" si="7"/>
        <v>0</v>
      </c>
    </row>
    <row r="209" spans="3:16" ht="30" hidden="1" customHeight="1" outlineLevel="1">
      <c r="C209" s="831">
        <v>19</v>
      </c>
      <c r="D209" s="832"/>
      <c r="E209" s="833"/>
      <c r="F209" s="833"/>
      <c r="G209" s="856"/>
      <c r="H209" s="1098"/>
      <c r="I209" s="869"/>
      <c r="L209" s="468"/>
      <c r="M209" s="819">
        <f t="shared" si="6"/>
        <v>0</v>
      </c>
      <c r="N209" s="836">
        <f t="shared" si="6"/>
        <v>0</v>
      </c>
      <c r="O209" s="858">
        <f t="shared" si="8"/>
        <v>0</v>
      </c>
      <c r="P209" s="830">
        <f t="shared" si="7"/>
        <v>0</v>
      </c>
    </row>
    <row r="210" spans="3:16" ht="30" hidden="1" customHeight="1" outlineLevel="1">
      <c r="C210" s="831">
        <v>20</v>
      </c>
      <c r="D210" s="832"/>
      <c r="E210" s="833"/>
      <c r="F210" s="833"/>
      <c r="G210" s="856"/>
      <c r="H210" s="1098"/>
      <c r="I210" s="869"/>
      <c r="L210" s="468"/>
      <c r="M210" s="819">
        <f t="shared" si="6"/>
        <v>0</v>
      </c>
      <c r="N210" s="836">
        <f t="shared" si="6"/>
        <v>0</v>
      </c>
      <c r="O210" s="858">
        <f t="shared" si="8"/>
        <v>0</v>
      </c>
      <c r="P210" s="830">
        <f t="shared" si="7"/>
        <v>0</v>
      </c>
    </row>
    <row r="211" spans="3:16" ht="30" hidden="1" customHeight="1" outlineLevel="1">
      <c r="C211" s="831">
        <v>21</v>
      </c>
      <c r="D211" s="832"/>
      <c r="E211" s="833"/>
      <c r="F211" s="833"/>
      <c r="G211" s="856"/>
      <c r="H211" s="1098"/>
      <c r="I211" s="869"/>
      <c r="L211" s="468"/>
      <c r="M211" s="819">
        <f t="shared" si="6"/>
        <v>0</v>
      </c>
      <c r="N211" s="836">
        <f t="shared" si="6"/>
        <v>0</v>
      </c>
      <c r="O211" s="858">
        <f t="shared" si="8"/>
        <v>0</v>
      </c>
      <c r="P211" s="830">
        <f t="shared" si="7"/>
        <v>0</v>
      </c>
    </row>
    <row r="212" spans="3:16" ht="30" hidden="1" customHeight="1" outlineLevel="1">
      <c r="C212" s="831">
        <v>22</v>
      </c>
      <c r="D212" s="832"/>
      <c r="E212" s="833"/>
      <c r="F212" s="833"/>
      <c r="G212" s="856"/>
      <c r="H212" s="1098"/>
      <c r="I212" s="869"/>
      <c r="L212" s="468"/>
      <c r="M212" s="819">
        <f t="shared" si="6"/>
        <v>0</v>
      </c>
      <c r="N212" s="836">
        <f t="shared" si="6"/>
        <v>0</v>
      </c>
      <c r="O212" s="858">
        <f t="shared" si="8"/>
        <v>0</v>
      </c>
      <c r="P212" s="830">
        <f t="shared" si="7"/>
        <v>0</v>
      </c>
    </row>
    <row r="213" spans="3:16" ht="30" hidden="1" customHeight="1" outlineLevel="1">
      <c r="C213" s="831">
        <v>23</v>
      </c>
      <c r="D213" s="832"/>
      <c r="E213" s="833"/>
      <c r="F213" s="833"/>
      <c r="G213" s="856"/>
      <c r="H213" s="1098"/>
      <c r="I213" s="869"/>
      <c r="L213" s="468"/>
      <c r="M213" s="819">
        <f t="shared" si="6"/>
        <v>0</v>
      </c>
      <c r="N213" s="836">
        <f t="shared" si="6"/>
        <v>0</v>
      </c>
      <c r="O213" s="858">
        <f t="shared" si="8"/>
        <v>0</v>
      </c>
      <c r="P213" s="830">
        <f t="shared" si="7"/>
        <v>0</v>
      </c>
    </row>
    <row r="214" spans="3:16" ht="30" hidden="1" customHeight="1" outlineLevel="1">
      <c r="C214" s="831">
        <v>24</v>
      </c>
      <c r="D214" s="832"/>
      <c r="E214" s="833"/>
      <c r="F214" s="833"/>
      <c r="G214" s="856"/>
      <c r="H214" s="1098"/>
      <c r="I214" s="869"/>
      <c r="L214" s="468"/>
      <c r="M214" s="819">
        <f t="shared" si="6"/>
        <v>0</v>
      </c>
      <c r="N214" s="836">
        <f t="shared" si="6"/>
        <v>0</v>
      </c>
      <c r="O214" s="858">
        <f t="shared" si="8"/>
        <v>0</v>
      </c>
      <c r="P214" s="830">
        <f t="shared" si="7"/>
        <v>0</v>
      </c>
    </row>
    <row r="215" spans="3:16" ht="30" hidden="1" customHeight="1" outlineLevel="1">
      <c r="C215" s="831">
        <v>25</v>
      </c>
      <c r="D215" s="832"/>
      <c r="E215" s="833"/>
      <c r="F215" s="833"/>
      <c r="G215" s="856"/>
      <c r="H215" s="1098"/>
      <c r="I215" s="869"/>
      <c r="L215" s="468"/>
      <c r="M215" s="819">
        <f t="shared" si="6"/>
        <v>0</v>
      </c>
      <c r="N215" s="836">
        <f t="shared" si="6"/>
        <v>0</v>
      </c>
      <c r="O215" s="858">
        <f t="shared" si="8"/>
        <v>0</v>
      </c>
      <c r="P215" s="830">
        <f t="shared" si="7"/>
        <v>0</v>
      </c>
    </row>
    <row r="216" spans="3:16" ht="30" hidden="1" customHeight="1" outlineLevel="1">
      <c r="C216" s="831">
        <v>26</v>
      </c>
      <c r="D216" s="832"/>
      <c r="E216" s="833"/>
      <c r="F216" s="833"/>
      <c r="G216" s="856"/>
      <c r="H216" s="1098"/>
      <c r="I216" s="869"/>
      <c r="L216" s="468"/>
      <c r="M216" s="819">
        <f t="shared" si="6"/>
        <v>0</v>
      </c>
      <c r="N216" s="836">
        <f t="shared" si="6"/>
        <v>0</v>
      </c>
      <c r="O216" s="858">
        <f t="shared" si="8"/>
        <v>0</v>
      </c>
      <c r="P216" s="830">
        <f t="shared" si="7"/>
        <v>0</v>
      </c>
    </row>
    <row r="217" spans="3:16" ht="30" hidden="1" customHeight="1" outlineLevel="1">
      <c r="C217" s="831">
        <v>27</v>
      </c>
      <c r="D217" s="832"/>
      <c r="E217" s="833"/>
      <c r="F217" s="833"/>
      <c r="G217" s="856"/>
      <c r="H217" s="1098"/>
      <c r="I217" s="869"/>
      <c r="L217" s="468"/>
      <c r="M217" s="819">
        <f t="shared" si="6"/>
        <v>0</v>
      </c>
      <c r="N217" s="836">
        <f t="shared" si="6"/>
        <v>0</v>
      </c>
      <c r="O217" s="858">
        <f t="shared" si="8"/>
        <v>0</v>
      </c>
      <c r="P217" s="830">
        <f t="shared" si="7"/>
        <v>0</v>
      </c>
    </row>
    <row r="218" spans="3:16" ht="30" hidden="1" customHeight="1" outlineLevel="1">
      <c r="C218" s="831">
        <v>28</v>
      </c>
      <c r="D218" s="832"/>
      <c r="E218" s="833"/>
      <c r="F218" s="833"/>
      <c r="G218" s="856"/>
      <c r="H218" s="1098"/>
      <c r="I218" s="869"/>
      <c r="L218" s="468"/>
      <c r="M218" s="819">
        <f t="shared" si="6"/>
        <v>0</v>
      </c>
      <c r="N218" s="836">
        <f t="shared" si="6"/>
        <v>0</v>
      </c>
      <c r="O218" s="858">
        <f t="shared" si="8"/>
        <v>0</v>
      </c>
      <c r="P218" s="830">
        <f t="shared" si="7"/>
        <v>0</v>
      </c>
    </row>
    <row r="219" spans="3:16" ht="30" hidden="1" customHeight="1" outlineLevel="1">
      <c r="C219" s="831">
        <v>29</v>
      </c>
      <c r="D219" s="832"/>
      <c r="E219" s="833"/>
      <c r="F219" s="833"/>
      <c r="G219" s="856"/>
      <c r="H219" s="1098"/>
      <c r="I219" s="869"/>
      <c r="L219" s="468"/>
      <c r="M219" s="819">
        <f t="shared" si="6"/>
        <v>0</v>
      </c>
      <c r="N219" s="836">
        <f t="shared" si="6"/>
        <v>0</v>
      </c>
      <c r="O219" s="858">
        <f t="shared" si="8"/>
        <v>0</v>
      </c>
      <c r="P219" s="830">
        <f t="shared" si="7"/>
        <v>0</v>
      </c>
    </row>
    <row r="220" spans="3:16" ht="30" hidden="1" customHeight="1" outlineLevel="1">
      <c r="C220" s="831">
        <v>30</v>
      </c>
      <c r="D220" s="832"/>
      <c r="E220" s="833"/>
      <c r="F220" s="833"/>
      <c r="G220" s="856"/>
      <c r="H220" s="1098"/>
      <c r="I220" s="869"/>
      <c r="L220" s="468"/>
      <c r="M220" s="819">
        <f t="shared" si="6"/>
        <v>0</v>
      </c>
      <c r="N220" s="836">
        <f t="shared" si="6"/>
        <v>0</v>
      </c>
      <c r="O220" s="858">
        <f t="shared" si="8"/>
        <v>0</v>
      </c>
      <c r="P220" s="830">
        <f t="shared" si="7"/>
        <v>0</v>
      </c>
    </row>
    <row r="221" spans="3:16" ht="30" hidden="1" customHeight="1" outlineLevel="1">
      <c r="C221" s="831">
        <v>31</v>
      </c>
      <c r="D221" s="832"/>
      <c r="E221" s="833"/>
      <c r="F221" s="833"/>
      <c r="G221" s="856"/>
      <c r="H221" s="1098"/>
      <c r="I221" s="869"/>
      <c r="L221" s="468"/>
      <c r="M221" s="819">
        <f t="shared" si="6"/>
        <v>0</v>
      </c>
      <c r="N221" s="836">
        <f t="shared" si="6"/>
        <v>0</v>
      </c>
      <c r="O221" s="858">
        <f t="shared" si="8"/>
        <v>0</v>
      </c>
      <c r="P221" s="830">
        <f t="shared" si="7"/>
        <v>0</v>
      </c>
    </row>
    <row r="222" spans="3:16" ht="30" hidden="1" customHeight="1" outlineLevel="1">
      <c r="C222" s="831">
        <v>32</v>
      </c>
      <c r="D222" s="832"/>
      <c r="E222" s="833"/>
      <c r="F222" s="833"/>
      <c r="G222" s="856"/>
      <c r="H222" s="1098"/>
      <c r="I222" s="869"/>
      <c r="L222" s="468"/>
      <c r="M222" s="819">
        <f t="shared" si="6"/>
        <v>0</v>
      </c>
      <c r="N222" s="836">
        <f t="shared" si="6"/>
        <v>0</v>
      </c>
      <c r="O222" s="858">
        <f t="shared" si="8"/>
        <v>0</v>
      </c>
      <c r="P222" s="830">
        <f t="shared" si="7"/>
        <v>0</v>
      </c>
    </row>
    <row r="223" spans="3:16" ht="30" hidden="1" customHeight="1" outlineLevel="1">
      <c r="C223" s="831">
        <v>33</v>
      </c>
      <c r="D223" s="832"/>
      <c r="E223" s="833"/>
      <c r="F223" s="833"/>
      <c r="G223" s="856"/>
      <c r="H223" s="1098"/>
      <c r="I223" s="869"/>
      <c r="L223" s="468"/>
      <c r="M223" s="819">
        <f t="shared" si="6"/>
        <v>0</v>
      </c>
      <c r="N223" s="836">
        <f t="shared" si="6"/>
        <v>0</v>
      </c>
      <c r="O223" s="858">
        <f t="shared" si="8"/>
        <v>0</v>
      </c>
      <c r="P223" s="830">
        <f t="shared" si="7"/>
        <v>0</v>
      </c>
    </row>
    <row r="224" spans="3:16" ht="30" hidden="1" customHeight="1" outlineLevel="1">
      <c r="C224" s="831">
        <v>34</v>
      </c>
      <c r="D224" s="832"/>
      <c r="E224" s="833"/>
      <c r="F224" s="833"/>
      <c r="G224" s="856"/>
      <c r="H224" s="1098"/>
      <c r="I224" s="869"/>
      <c r="L224" s="468"/>
      <c r="M224" s="819">
        <f t="shared" si="6"/>
        <v>0</v>
      </c>
      <c r="N224" s="836">
        <f t="shared" si="6"/>
        <v>0</v>
      </c>
      <c r="O224" s="858">
        <f t="shared" si="8"/>
        <v>0</v>
      </c>
      <c r="P224" s="830">
        <f t="shared" si="7"/>
        <v>0</v>
      </c>
    </row>
    <row r="225" spans="3:16" ht="30" hidden="1" customHeight="1" outlineLevel="1">
      <c r="C225" s="831">
        <v>35</v>
      </c>
      <c r="D225" s="832"/>
      <c r="E225" s="833"/>
      <c r="F225" s="833"/>
      <c r="G225" s="856"/>
      <c r="H225" s="1098"/>
      <c r="I225" s="869"/>
      <c r="L225" s="468"/>
      <c r="M225" s="819">
        <f t="shared" si="6"/>
        <v>0</v>
      </c>
      <c r="N225" s="836">
        <f t="shared" si="6"/>
        <v>0</v>
      </c>
      <c r="O225" s="858">
        <f t="shared" si="8"/>
        <v>0</v>
      </c>
      <c r="P225" s="830">
        <f t="shared" si="7"/>
        <v>0</v>
      </c>
    </row>
    <row r="226" spans="3:16" ht="30" hidden="1" customHeight="1" outlineLevel="1">
      <c r="C226" s="831">
        <v>36</v>
      </c>
      <c r="D226" s="832"/>
      <c r="E226" s="833"/>
      <c r="F226" s="833"/>
      <c r="G226" s="856"/>
      <c r="H226" s="1098"/>
      <c r="I226" s="869"/>
      <c r="L226" s="468"/>
      <c r="M226" s="819">
        <f t="shared" si="6"/>
        <v>0</v>
      </c>
      <c r="N226" s="836">
        <f t="shared" si="6"/>
        <v>0</v>
      </c>
      <c r="O226" s="858">
        <f t="shared" si="8"/>
        <v>0</v>
      </c>
      <c r="P226" s="830">
        <f t="shared" si="7"/>
        <v>0</v>
      </c>
    </row>
    <row r="227" spans="3:16" ht="30" hidden="1" customHeight="1" outlineLevel="1">
      <c r="C227" s="831">
        <v>37</v>
      </c>
      <c r="D227" s="832"/>
      <c r="E227" s="833"/>
      <c r="F227" s="833"/>
      <c r="G227" s="856"/>
      <c r="H227" s="1098"/>
      <c r="I227" s="869"/>
      <c r="L227" s="468"/>
      <c r="M227" s="819">
        <f t="shared" si="6"/>
        <v>0</v>
      </c>
      <c r="N227" s="836">
        <f t="shared" si="6"/>
        <v>0</v>
      </c>
      <c r="O227" s="858">
        <f t="shared" si="8"/>
        <v>0</v>
      </c>
      <c r="P227" s="830">
        <f t="shared" si="7"/>
        <v>0</v>
      </c>
    </row>
    <row r="228" spans="3:16" ht="30" hidden="1" customHeight="1" outlineLevel="1">
      <c r="C228" s="831">
        <v>38</v>
      </c>
      <c r="D228" s="832"/>
      <c r="E228" s="833"/>
      <c r="F228" s="833"/>
      <c r="G228" s="856"/>
      <c r="H228" s="1098"/>
      <c r="I228" s="869"/>
      <c r="L228" s="468"/>
      <c r="M228" s="819">
        <f t="shared" si="6"/>
        <v>0</v>
      </c>
      <c r="N228" s="836">
        <f t="shared" si="6"/>
        <v>0</v>
      </c>
      <c r="O228" s="858">
        <f t="shared" si="8"/>
        <v>0</v>
      </c>
      <c r="P228" s="830">
        <f t="shared" si="7"/>
        <v>0</v>
      </c>
    </row>
    <row r="229" spans="3:16" ht="30" hidden="1" customHeight="1" outlineLevel="1">
      <c r="C229" s="831">
        <v>39</v>
      </c>
      <c r="D229" s="832"/>
      <c r="E229" s="833"/>
      <c r="F229" s="833"/>
      <c r="G229" s="856"/>
      <c r="H229" s="1098"/>
      <c r="I229" s="869"/>
      <c r="L229" s="468"/>
      <c r="M229" s="819">
        <f t="shared" si="6"/>
        <v>0</v>
      </c>
      <c r="N229" s="836">
        <f t="shared" si="6"/>
        <v>0</v>
      </c>
      <c r="O229" s="858">
        <f t="shared" si="8"/>
        <v>0</v>
      </c>
      <c r="P229" s="830">
        <f t="shared" si="7"/>
        <v>0</v>
      </c>
    </row>
    <row r="230" spans="3:16" ht="30" hidden="1" customHeight="1" outlineLevel="1">
      <c r="C230" s="831">
        <v>40</v>
      </c>
      <c r="D230" s="832"/>
      <c r="E230" s="833"/>
      <c r="F230" s="833"/>
      <c r="G230" s="856"/>
      <c r="H230" s="1098"/>
      <c r="I230" s="869"/>
      <c r="L230" s="468"/>
      <c r="M230" s="819">
        <f t="shared" si="6"/>
        <v>0</v>
      </c>
      <c r="N230" s="836">
        <f t="shared" si="6"/>
        <v>0</v>
      </c>
      <c r="O230" s="858">
        <f t="shared" si="8"/>
        <v>0</v>
      </c>
      <c r="P230" s="830">
        <f t="shared" si="7"/>
        <v>0</v>
      </c>
    </row>
    <row r="231" spans="3:16" ht="30" hidden="1" customHeight="1" outlineLevel="1">
      <c r="C231" s="831">
        <v>41</v>
      </c>
      <c r="D231" s="832"/>
      <c r="E231" s="833"/>
      <c r="F231" s="833"/>
      <c r="G231" s="856"/>
      <c r="H231" s="1098"/>
      <c r="I231" s="869"/>
      <c r="L231" s="468"/>
      <c r="M231" s="819">
        <f t="shared" si="6"/>
        <v>0</v>
      </c>
      <c r="N231" s="836">
        <f t="shared" si="6"/>
        <v>0</v>
      </c>
      <c r="O231" s="858">
        <f t="shared" si="8"/>
        <v>0</v>
      </c>
      <c r="P231" s="830">
        <f t="shared" si="7"/>
        <v>0</v>
      </c>
    </row>
    <row r="232" spans="3:16" ht="30" hidden="1" customHeight="1" outlineLevel="1">
      <c r="C232" s="831">
        <v>42</v>
      </c>
      <c r="D232" s="832"/>
      <c r="E232" s="833"/>
      <c r="F232" s="833"/>
      <c r="G232" s="856"/>
      <c r="H232" s="1098"/>
      <c r="I232" s="869"/>
      <c r="L232" s="468"/>
      <c r="M232" s="819">
        <f t="shared" si="6"/>
        <v>0</v>
      </c>
      <c r="N232" s="836">
        <f t="shared" si="6"/>
        <v>0</v>
      </c>
      <c r="O232" s="858">
        <f t="shared" si="8"/>
        <v>0</v>
      </c>
      <c r="P232" s="830">
        <f t="shared" si="7"/>
        <v>0</v>
      </c>
    </row>
    <row r="233" spans="3:16" ht="30" hidden="1" customHeight="1" outlineLevel="1">
      <c r="C233" s="831">
        <v>43</v>
      </c>
      <c r="D233" s="832"/>
      <c r="E233" s="833"/>
      <c r="F233" s="833"/>
      <c r="G233" s="856"/>
      <c r="H233" s="1098"/>
      <c r="I233" s="869"/>
      <c r="L233" s="468"/>
      <c r="M233" s="819">
        <f t="shared" si="6"/>
        <v>0</v>
      </c>
      <c r="N233" s="836">
        <f t="shared" si="6"/>
        <v>0</v>
      </c>
      <c r="O233" s="858">
        <f t="shared" si="8"/>
        <v>0</v>
      </c>
      <c r="P233" s="830">
        <f t="shared" si="7"/>
        <v>0</v>
      </c>
    </row>
    <row r="234" spans="3:16" ht="30" hidden="1" customHeight="1" outlineLevel="1">
      <c r="C234" s="831">
        <v>44</v>
      </c>
      <c r="D234" s="832"/>
      <c r="E234" s="833"/>
      <c r="F234" s="833"/>
      <c r="G234" s="856"/>
      <c r="H234" s="1098"/>
      <c r="I234" s="869"/>
      <c r="L234" s="468"/>
      <c r="M234" s="819">
        <f t="shared" si="6"/>
        <v>0</v>
      </c>
      <c r="N234" s="836">
        <f t="shared" si="6"/>
        <v>0</v>
      </c>
      <c r="O234" s="858">
        <f t="shared" si="8"/>
        <v>0</v>
      </c>
      <c r="P234" s="830">
        <f t="shared" si="7"/>
        <v>0</v>
      </c>
    </row>
    <row r="235" spans="3:16" ht="30" hidden="1" customHeight="1" outlineLevel="1">
      <c r="C235" s="831">
        <v>45</v>
      </c>
      <c r="D235" s="832"/>
      <c r="E235" s="833"/>
      <c r="F235" s="833"/>
      <c r="G235" s="856"/>
      <c r="H235" s="1098"/>
      <c r="I235" s="869"/>
      <c r="L235" s="468"/>
      <c r="M235" s="819">
        <f t="shared" si="6"/>
        <v>0</v>
      </c>
      <c r="N235" s="836">
        <f t="shared" si="6"/>
        <v>0</v>
      </c>
      <c r="O235" s="858">
        <f t="shared" si="8"/>
        <v>0</v>
      </c>
      <c r="P235" s="830">
        <f t="shared" si="7"/>
        <v>0</v>
      </c>
    </row>
    <row r="236" spans="3:16" ht="30" hidden="1" customHeight="1" outlineLevel="1">
      <c r="C236" s="831">
        <v>46</v>
      </c>
      <c r="D236" s="832"/>
      <c r="E236" s="833"/>
      <c r="F236" s="833"/>
      <c r="G236" s="856"/>
      <c r="H236" s="1098"/>
      <c r="I236" s="869"/>
      <c r="L236" s="468"/>
      <c r="M236" s="819">
        <f t="shared" si="6"/>
        <v>0</v>
      </c>
      <c r="N236" s="836">
        <f t="shared" si="6"/>
        <v>0</v>
      </c>
      <c r="O236" s="858">
        <f t="shared" si="8"/>
        <v>0</v>
      </c>
      <c r="P236" s="830">
        <f t="shared" si="7"/>
        <v>0</v>
      </c>
    </row>
    <row r="237" spans="3:16" ht="30" hidden="1" customHeight="1" outlineLevel="1">
      <c r="C237" s="831">
        <v>47</v>
      </c>
      <c r="D237" s="832"/>
      <c r="E237" s="833"/>
      <c r="F237" s="833"/>
      <c r="G237" s="856"/>
      <c r="H237" s="1098"/>
      <c r="I237" s="869"/>
      <c r="L237" s="468"/>
      <c r="M237" s="819">
        <f t="shared" si="6"/>
        <v>0</v>
      </c>
      <c r="N237" s="836">
        <f t="shared" si="6"/>
        <v>0</v>
      </c>
      <c r="O237" s="858">
        <f t="shared" si="8"/>
        <v>0</v>
      </c>
      <c r="P237" s="830">
        <f t="shared" si="7"/>
        <v>0</v>
      </c>
    </row>
    <row r="238" spans="3:16" ht="30" hidden="1" customHeight="1" outlineLevel="1">
      <c r="C238" s="831">
        <v>48</v>
      </c>
      <c r="D238" s="832"/>
      <c r="E238" s="833"/>
      <c r="F238" s="833"/>
      <c r="G238" s="856"/>
      <c r="H238" s="1098"/>
      <c r="I238" s="869"/>
      <c r="L238" s="468"/>
      <c r="M238" s="819">
        <f t="shared" si="6"/>
        <v>0</v>
      </c>
      <c r="N238" s="836">
        <f t="shared" si="6"/>
        <v>0</v>
      </c>
      <c r="O238" s="858">
        <f t="shared" si="8"/>
        <v>0</v>
      </c>
      <c r="P238" s="830">
        <f t="shared" si="7"/>
        <v>0</v>
      </c>
    </row>
    <row r="239" spans="3:16" ht="30" hidden="1" customHeight="1" outlineLevel="1">
      <c r="C239" s="831">
        <v>49</v>
      </c>
      <c r="D239" s="832"/>
      <c r="E239" s="833"/>
      <c r="F239" s="833"/>
      <c r="G239" s="856"/>
      <c r="H239" s="1098"/>
      <c r="I239" s="869"/>
      <c r="L239" s="468"/>
      <c r="M239" s="819">
        <f t="shared" si="6"/>
        <v>0</v>
      </c>
      <c r="N239" s="836">
        <f t="shared" si="6"/>
        <v>0</v>
      </c>
      <c r="O239" s="858">
        <f t="shared" si="8"/>
        <v>0</v>
      </c>
      <c r="P239" s="830">
        <f t="shared" si="7"/>
        <v>0</v>
      </c>
    </row>
    <row r="240" spans="3:16" ht="30" hidden="1" customHeight="1" outlineLevel="1" thickBot="1">
      <c r="C240" s="839">
        <v>50</v>
      </c>
      <c r="D240" s="840"/>
      <c r="E240" s="841"/>
      <c r="F240" s="841"/>
      <c r="G240" s="862"/>
      <c r="H240" s="1100"/>
      <c r="I240" s="869"/>
      <c r="L240" s="468"/>
      <c r="M240" s="819">
        <f t="shared" si="6"/>
        <v>0</v>
      </c>
      <c r="N240" s="836">
        <f t="shared" si="6"/>
        <v>0</v>
      </c>
      <c r="O240" s="858">
        <f t="shared" si="8"/>
        <v>0</v>
      </c>
      <c r="P240" s="830">
        <f t="shared" si="7"/>
        <v>0</v>
      </c>
    </row>
    <row r="241" spans="2:16" ht="14.25" customHeight="1" thickTop="1">
      <c r="B241" s="847"/>
      <c r="C241" s="380"/>
      <c r="D241" s="381"/>
      <c r="E241" s="381"/>
      <c r="F241" s="381"/>
      <c r="G241" s="381"/>
      <c r="H241" s="381"/>
      <c r="J241" s="229"/>
      <c r="K241" s="173"/>
      <c r="L241" s="173"/>
      <c r="M241" s="847"/>
      <c r="N241" s="847"/>
      <c r="O241" s="847"/>
      <c r="P241" s="847"/>
    </row>
  </sheetData>
  <sheetProtection sheet="1" objects="1" scenarios="1" selectLockedCells="1"/>
  <mergeCells count="25">
    <mergeCell ref="M186:P186"/>
    <mergeCell ref="C188:C190"/>
    <mergeCell ref="D188:D190"/>
    <mergeCell ref="E188:E190"/>
    <mergeCell ref="F188:F190"/>
    <mergeCell ref="G188:G190"/>
    <mergeCell ref="H188:H190"/>
    <mergeCell ref="I188:I190"/>
    <mergeCell ref="M188:M189"/>
    <mergeCell ref="N188:N189"/>
    <mergeCell ref="O188:O189"/>
    <mergeCell ref="P188:P189"/>
    <mergeCell ref="M21:P21"/>
    <mergeCell ref="C22:C24"/>
    <mergeCell ref="D22:D24"/>
    <mergeCell ref="E22:E24"/>
    <mergeCell ref="F22:F24"/>
    <mergeCell ref="G22:G24"/>
    <mergeCell ref="H22:H24"/>
    <mergeCell ref="I22:I24"/>
    <mergeCell ref="J22:J24"/>
    <mergeCell ref="M22:M23"/>
    <mergeCell ref="N22:N23"/>
    <mergeCell ref="O22:O23"/>
    <mergeCell ref="P22:P23"/>
  </mergeCells>
  <phoneticPr fontId="5"/>
  <dataValidations count="4">
    <dataValidation type="whole" operator="greaterThan" allowBlank="1" showInputMessage="1" showErrorMessage="1" error="0より大きい数値を整数で入力してください。" sqref="G25:G174 G191:G240" xr:uid="{00000000-0002-0000-1500-000000000000}">
      <formula1>0</formula1>
    </dataValidation>
    <dataValidation type="textLength" imeMode="hiragana" operator="greaterThanOrEqual" allowBlank="1" showInputMessage="1" showErrorMessage="1" sqref="D25:D174 D191:D240" xr:uid="{00000000-0002-0000-1500-000001000000}">
      <formula1>1</formula1>
    </dataValidation>
    <dataValidation type="custom" operator="greaterThan" allowBlank="1" showInputMessage="1" showErrorMessage="1" error="0より大きい小数点第１位までの数値を入力してください。" sqref="E25:F174 E191:F240" xr:uid="{00000000-0002-0000-1500-000002000000}">
      <formula1>AND(AND(E25*10=INT(E25*10)),(E25&gt;0))</formula1>
    </dataValidation>
    <dataValidation type="custom" allowBlank="1" showInputMessage="1" showErrorMessage="1" error="0.001~100の範囲で小数点第３位までの数値を入力してください。" sqref="H25:H174 H191:H240" xr:uid="{00000000-0002-0000-1500-000003000000}">
      <formula1>AND(AND(H25*1000=INT(H25*1000)),(H25&gt;0),(H25&lt;=100))</formula1>
    </dataValidation>
  </dataValidations>
  <pageMargins left="0.19685039370078741" right="0.19685039370078741" top="0.59055118110236227" bottom="0.59055118110236227" header="0" footer="0"/>
  <pageSetup paperSize="9" scale="56"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8433" r:id="rId5" name="btnKoushin1">
          <controlPr defaultSize="0" print="0" autoLine="0" r:id="rId6">
            <anchor moveWithCells="1">
              <from>
                <xdr:col>5</xdr:col>
                <xdr:colOff>0</xdr:colOff>
                <xdr:row>15</xdr:row>
                <xdr:rowOff>19050</xdr:rowOff>
              </from>
              <to>
                <xdr:col>6</xdr:col>
                <xdr:colOff>47625</xdr:colOff>
                <xdr:row>17</xdr:row>
                <xdr:rowOff>0</xdr:rowOff>
              </to>
            </anchor>
          </controlPr>
        </control>
      </mc:Choice>
      <mc:Fallback>
        <control shapeId="18433" r:id="rId5" name="btnKoushin1"/>
      </mc:Fallback>
    </mc:AlternateContent>
    <mc:AlternateContent xmlns:mc="http://schemas.openxmlformats.org/markup-compatibility/2006">
      <mc:Choice Requires="x14">
        <control shapeId="18434" r:id="rId7" name="Label1">
          <controlPr defaultSize="0" print="0" autoLine="0" autoPict="0" r:id="rId8">
            <anchor moveWithCells="1">
              <from>
                <xdr:col>4</xdr:col>
                <xdr:colOff>0</xdr:colOff>
                <xdr:row>15</xdr:row>
                <xdr:rowOff>19050</xdr:rowOff>
              </from>
              <to>
                <xdr:col>4</xdr:col>
                <xdr:colOff>1019175</xdr:colOff>
                <xdr:row>16</xdr:row>
                <xdr:rowOff>19050</xdr:rowOff>
              </to>
            </anchor>
          </controlPr>
        </control>
      </mc:Choice>
      <mc:Fallback>
        <control shapeId="18434" r:id="rId7" name="Label1"/>
      </mc:Fallback>
    </mc:AlternateContent>
    <mc:AlternateContent xmlns:mc="http://schemas.openxmlformats.org/markup-compatibility/2006">
      <mc:Choice Requires="x14">
        <control shapeId="18435" r:id="rId9" name="txt_hyouji1">
          <controlPr locked="0" defaultSize="0" print="0" autoLine="0" autoPict="0" r:id="rId10">
            <anchor moveWithCells="1">
              <from>
                <xdr:col>4</xdr:col>
                <xdr:colOff>0</xdr:colOff>
                <xdr:row>16</xdr:row>
                <xdr:rowOff>9525</xdr:rowOff>
              </from>
              <to>
                <xdr:col>4</xdr:col>
                <xdr:colOff>1019175</xdr:colOff>
                <xdr:row>17</xdr:row>
                <xdr:rowOff>0</xdr:rowOff>
              </to>
            </anchor>
          </controlPr>
        </control>
      </mc:Choice>
      <mc:Fallback>
        <control shapeId="18435" r:id="rId9" name="txt_hyouji1"/>
      </mc:Fallback>
    </mc:AlternateContent>
    <mc:AlternateContent xmlns:mc="http://schemas.openxmlformats.org/markup-compatibility/2006">
      <mc:Choice Requires="x14">
        <control shapeId="18436" r:id="rId11" name="btnKoushin2">
          <controlPr defaultSize="0" print="0" autoLine="0" autoPict="0" r:id="rId12">
            <anchor moveWithCells="1">
              <from>
                <xdr:col>5</xdr:col>
                <xdr:colOff>142875</xdr:colOff>
                <xdr:row>182</xdr:row>
                <xdr:rowOff>0</xdr:rowOff>
              </from>
              <to>
                <xdr:col>6</xdr:col>
                <xdr:colOff>219075</xdr:colOff>
                <xdr:row>183</xdr:row>
                <xdr:rowOff>171450</xdr:rowOff>
              </to>
            </anchor>
          </controlPr>
        </control>
      </mc:Choice>
      <mc:Fallback>
        <control shapeId="18436" r:id="rId11" name="btnKoushin2"/>
      </mc:Fallback>
    </mc:AlternateContent>
    <mc:AlternateContent xmlns:mc="http://schemas.openxmlformats.org/markup-compatibility/2006">
      <mc:Choice Requires="x14">
        <control shapeId="18437" r:id="rId13" name="Label2">
          <controlPr defaultSize="0" print="0" autoLine="0" r:id="rId14">
            <anchor moveWithCells="1">
              <from>
                <xdr:col>4</xdr:col>
                <xdr:colOff>28575</xdr:colOff>
                <xdr:row>182</xdr:row>
                <xdr:rowOff>0</xdr:rowOff>
              </from>
              <to>
                <xdr:col>5</xdr:col>
                <xdr:colOff>28575</xdr:colOff>
                <xdr:row>182</xdr:row>
                <xdr:rowOff>171450</xdr:rowOff>
              </to>
            </anchor>
          </controlPr>
        </control>
      </mc:Choice>
      <mc:Fallback>
        <control shapeId="18437" r:id="rId13" name="Label2"/>
      </mc:Fallback>
    </mc:AlternateContent>
    <mc:AlternateContent xmlns:mc="http://schemas.openxmlformats.org/markup-compatibility/2006">
      <mc:Choice Requires="x14">
        <control shapeId="18438" r:id="rId15" name="txt_hyouji2">
          <controlPr locked="0" defaultSize="0" print="0" autoLine="0" r:id="rId16">
            <anchor moveWithCells="1">
              <from>
                <xdr:col>4</xdr:col>
                <xdr:colOff>28575</xdr:colOff>
                <xdr:row>183</xdr:row>
                <xdr:rowOff>0</xdr:rowOff>
              </from>
              <to>
                <xdr:col>5</xdr:col>
                <xdr:colOff>28575</xdr:colOff>
                <xdr:row>183</xdr:row>
                <xdr:rowOff>171450</xdr:rowOff>
              </to>
            </anchor>
          </controlPr>
        </control>
      </mc:Choice>
      <mc:Fallback>
        <control shapeId="18438" r:id="rId15" name="txt_hyouji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4000000}">
          <x14:formula1>
            <xm:f>リスト!$BB$5:$BB$6</xm:f>
          </x14:formula1>
          <xm:sqref>J25:J174 I191:I193</xm:sqref>
        </x14:dataValidation>
        <x14:dataValidation type="list" allowBlank="1" showInputMessage="1" showErrorMessage="1" xr:uid="{00000000-0002-0000-1500-000005000000}">
          <x14:formula1>
            <xm:f>リスト!$CL$5:$CL$6</xm:f>
          </x14:formula1>
          <xm:sqref>I25:I174</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6">
    <outlinePr summaryRight="0"/>
    <pageSetUpPr fitToPage="1"/>
  </sheetPr>
  <dimension ref="A1:CE212427"/>
  <sheetViews>
    <sheetView showGridLines="0" zoomScale="80" zoomScaleNormal="80" zoomScaleSheetLayoutView="70" workbookViewId="0">
      <selection activeCell="P11" sqref="P11"/>
    </sheetView>
  </sheetViews>
  <sheetFormatPr defaultColWidth="2.75" defaultRowHeight="14.25" customHeight="1" outlineLevelCol="1"/>
  <cols>
    <col min="1" max="1" width="0.875" style="2" customWidth="1"/>
    <col min="2" max="2" width="2.625" style="2" customWidth="1"/>
    <col min="3" max="5" width="2.75" style="2" customWidth="1"/>
    <col min="6" max="15" width="3.125" style="2" customWidth="1"/>
    <col min="16" max="20" width="17.375" style="2" customWidth="1"/>
    <col min="21" max="21" width="17.375" style="2" customWidth="1" collapsed="1"/>
    <col min="22" max="35" width="17.375" style="2" hidden="1" customWidth="1" outlineLevel="1"/>
    <col min="36" max="37" width="17.375" style="2" customWidth="1"/>
    <col min="38" max="40" width="2.625" style="2" customWidth="1"/>
    <col min="41" max="50" width="3.125" style="2" customWidth="1"/>
    <col min="51" max="51" width="2.75" style="2"/>
    <col min="52" max="53" width="2.75" style="2" outlineLevel="1"/>
    <col min="54" max="54" width="4.625" style="2" customWidth="1" outlineLevel="1"/>
    <col min="55" max="55" width="17.75" style="2" customWidth="1" outlineLevel="1"/>
    <col min="56" max="65" width="12.625" style="20" customWidth="1" outlineLevel="1"/>
    <col min="66" max="70" width="12.625" style="2" customWidth="1" outlineLevel="1"/>
    <col min="71" max="83" width="12.375" style="2" customWidth="1"/>
    <col min="84" max="84" width="2.625" style="2" customWidth="1"/>
    <col min="85" max="96" width="12.375" style="2" customWidth="1"/>
    <col min="97" max="16384" width="2.75" style="2"/>
  </cols>
  <sheetData>
    <row r="1" spans="1:83" ht="14.25" customHeight="1">
      <c r="BB1" s="30" t="s">
        <v>0</v>
      </c>
    </row>
    <row r="2" spans="1:83" ht="17.25">
      <c r="A2" s="107" t="s">
        <v>691</v>
      </c>
      <c r="B2" s="107"/>
      <c r="C2" s="129"/>
      <c r="D2" s="130"/>
      <c r="E2" s="130"/>
      <c r="F2" s="130"/>
      <c r="G2" s="130"/>
      <c r="H2" s="130"/>
      <c r="I2" s="130"/>
      <c r="J2" s="130"/>
      <c r="K2" s="130"/>
      <c r="L2" s="130"/>
      <c r="M2" s="130"/>
      <c r="N2" s="130"/>
      <c r="O2" s="130"/>
      <c r="P2" s="130"/>
      <c r="Q2" s="130"/>
      <c r="R2" s="130"/>
      <c r="S2" s="130"/>
      <c r="T2" s="130"/>
      <c r="U2" s="130"/>
      <c r="V2" s="130"/>
      <c r="W2" s="130"/>
      <c r="X2" s="130"/>
      <c r="Y2" s="130"/>
      <c r="Z2" s="130"/>
      <c r="AA2" s="130"/>
      <c r="AB2" s="130"/>
      <c r="AC2" s="130"/>
      <c r="AD2" s="130"/>
      <c r="AE2" s="130"/>
      <c r="AF2" s="130"/>
      <c r="AG2" s="130"/>
      <c r="AH2" s="130"/>
      <c r="AI2" s="130"/>
      <c r="AJ2" s="173"/>
      <c r="AK2" s="173"/>
      <c r="AL2" s="173"/>
      <c r="AM2" s="173"/>
      <c r="AN2" s="173"/>
      <c r="AO2" s="173"/>
      <c r="AP2" s="173"/>
      <c r="AQ2" s="173"/>
      <c r="AR2" s="173"/>
      <c r="AS2" s="173"/>
      <c r="AT2" s="173"/>
      <c r="AU2" s="173"/>
      <c r="AV2" s="173"/>
      <c r="AW2" s="173"/>
      <c r="AX2" s="173"/>
      <c r="BB2" s="107" t="s">
        <v>691</v>
      </c>
    </row>
    <row r="3" spans="1:83" ht="14.1" customHeight="1">
      <c r="A3" s="107"/>
      <c r="B3" s="107"/>
      <c r="C3" s="48" t="s">
        <v>692</v>
      </c>
      <c r="E3" s="130"/>
      <c r="F3" s="130"/>
      <c r="G3" s="130"/>
      <c r="H3" s="130"/>
      <c r="I3" s="130"/>
      <c r="J3" s="130"/>
      <c r="K3" s="130"/>
      <c r="L3" s="130"/>
      <c r="M3" s="130"/>
      <c r="N3" s="130"/>
      <c r="O3" s="130"/>
      <c r="P3" s="130"/>
      <c r="Q3" s="130"/>
      <c r="R3" s="130"/>
      <c r="S3" s="130"/>
      <c r="T3" s="130"/>
      <c r="U3" s="130"/>
      <c r="V3" s="130"/>
      <c r="W3" s="130"/>
      <c r="X3" s="130"/>
      <c r="Y3" s="130"/>
      <c r="Z3" s="130"/>
      <c r="AA3" s="130"/>
      <c r="AB3" s="130"/>
      <c r="AC3" s="130"/>
      <c r="AD3" s="130"/>
      <c r="AE3" s="130"/>
      <c r="AF3" s="130"/>
      <c r="AG3" s="130"/>
      <c r="AH3" s="130"/>
      <c r="AI3" s="130"/>
      <c r="AJ3" s="173"/>
      <c r="AK3" s="2074"/>
      <c r="AL3" s="2074"/>
      <c r="AM3" s="2074"/>
      <c r="AN3" s="2074"/>
      <c r="AO3" s="2075"/>
      <c r="AP3" s="2074"/>
      <c r="AQ3" s="2074"/>
      <c r="AR3" s="2074"/>
      <c r="AS3" s="2074"/>
      <c r="AT3" s="2074"/>
      <c r="AU3" s="173"/>
      <c r="AV3" s="173"/>
      <c r="AW3" s="173"/>
      <c r="AX3" s="173"/>
    </row>
    <row r="4" spans="1:83" s="46" customFormat="1" ht="14.1" customHeight="1">
      <c r="C4" s="48" t="s">
        <v>693</v>
      </c>
      <c r="E4" s="48"/>
      <c r="F4" s="48"/>
      <c r="G4" s="48"/>
      <c r="H4" s="48"/>
      <c r="I4" s="48"/>
      <c r="J4" s="48"/>
      <c r="K4" s="48"/>
      <c r="L4" s="48"/>
      <c r="M4" s="48"/>
      <c r="N4" s="48"/>
      <c r="O4" s="48"/>
      <c r="P4" s="48"/>
      <c r="Q4" s="48"/>
      <c r="R4" s="48"/>
      <c r="S4" s="48"/>
      <c r="T4" s="48"/>
      <c r="U4" s="48"/>
      <c r="V4" s="48"/>
      <c r="W4" s="48"/>
      <c r="X4" s="48"/>
      <c r="Y4" s="48"/>
      <c r="Z4" s="48"/>
      <c r="AA4" s="48"/>
      <c r="AB4" s="48"/>
      <c r="AC4" s="48"/>
      <c r="AD4" s="48"/>
      <c r="AE4" s="48"/>
      <c r="AF4" s="48"/>
      <c r="AG4" s="48"/>
      <c r="AH4" s="48"/>
      <c r="AI4" s="48"/>
      <c r="AJ4" s="173"/>
      <c r="AK4" s="2074"/>
      <c r="AL4" s="2074"/>
      <c r="AM4" s="2074"/>
      <c r="AN4" s="2074"/>
      <c r="AO4" s="2075"/>
      <c r="AP4" s="2074"/>
      <c r="AQ4" s="2074"/>
      <c r="AR4" s="2074"/>
      <c r="AS4" s="2074"/>
      <c r="AT4" s="2074"/>
      <c r="AU4" s="686"/>
      <c r="AV4" s="686"/>
      <c r="AW4" s="686"/>
      <c r="AX4" s="686"/>
      <c r="BD4" s="62"/>
      <c r="BE4" s="62"/>
      <c r="BF4" s="62"/>
      <c r="BH4" s="62"/>
      <c r="BI4" s="62"/>
      <c r="BK4" s="62"/>
      <c r="BL4" s="62"/>
    </row>
    <row r="5" spans="1:83" s="46" customFormat="1" ht="14.1" customHeight="1">
      <c r="C5" s="48" t="s">
        <v>694</v>
      </c>
      <c r="E5" s="48"/>
      <c r="F5" s="48"/>
      <c r="G5" s="48"/>
      <c r="H5" s="48"/>
      <c r="I5" s="48"/>
      <c r="J5" s="48"/>
      <c r="K5" s="48"/>
      <c r="L5" s="48"/>
      <c r="M5" s="48"/>
      <c r="N5" s="48"/>
      <c r="O5" s="48"/>
      <c r="P5" s="48"/>
      <c r="Q5" s="48"/>
      <c r="R5" s="48"/>
      <c r="S5" s="48"/>
      <c r="T5" s="48"/>
      <c r="U5" s="48"/>
      <c r="V5" s="48"/>
      <c r="W5" s="48"/>
      <c r="X5" s="48"/>
      <c r="Y5" s="48"/>
      <c r="Z5" s="48"/>
      <c r="AA5" s="48"/>
      <c r="AB5" s="48"/>
      <c r="AC5" s="48"/>
      <c r="AD5" s="48"/>
      <c r="AE5" s="48"/>
      <c r="AF5" s="48"/>
      <c r="AG5" s="48"/>
      <c r="AH5" s="48"/>
      <c r="AI5" s="48"/>
      <c r="AJ5" s="173"/>
      <c r="AK5" s="2074"/>
      <c r="AL5" s="2074"/>
      <c r="AM5" s="2074"/>
      <c r="AN5" s="2074"/>
      <c r="AO5" s="2075"/>
      <c r="AP5" s="2074"/>
      <c r="AQ5" s="2074"/>
      <c r="AR5" s="2074"/>
      <c r="AS5" s="2074"/>
      <c r="AT5" s="2074"/>
      <c r="AU5" s="686"/>
      <c r="AV5" s="686"/>
      <c r="AW5" s="686"/>
      <c r="AX5" s="686"/>
      <c r="BD5" s="62"/>
      <c r="BE5" s="62"/>
      <c r="BF5" s="62"/>
      <c r="BH5" s="62"/>
      <c r="BI5" s="62"/>
      <c r="BK5" s="62"/>
      <c r="BL5" s="62"/>
    </row>
    <row r="6" spans="1:83">
      <c r="C6" s="48" t="s">
        <v>695</v>
      </c>
      <c r="D6" s="130"/>
      <c r="E6" s="130"/>
      <c r="F6" s="130"/>
      <c r="G6" s="130"/>
      <c r="H6" s="130"/>
      <c r="I6" s="130"/>
      <c r="J6" s="130"/>
      <c r="K6" s="130"/>
      <c r="L6" s="130"/>
      <c r="M6" s="130"/>
      <c r="N6" s="130"/>
      <c r="O6" s="130"/>
      <c r="P6" s="130"/>
      <c r="Q6" s="130"/>
      <c r="R6" s="130"/>
      <c r="S6" s="130"/>
      <c r="T6" s="130"/>
      <c r="U6" s="130"/>
      <c r="V6" s="130"/>
      <c r="W6" s="130"/>
      <c r="X6" s="130"/>
      <c r="Y6" s="130"/>
      <c r="Z6" s="130"/>
      <c r="AA6" s="130"/>
      <c r="AB6" s="130"/>
      <c r="AC6" s="130"/>
      <c r="AD6" s="130"/>
      <c r="AE6" s="130"/>
      <c r="AF6" s="130"/>
      <c r="AG6" s="130"/>
      <c r="AH6" s="130"/>
      <c r="AI6" s="130"/>
      <c r="AJ6" s="173"/>
      <c r="AK6" s="2074"/>
      <c r="AL6" s="2074"/>
      <c r="AM6" s="2074"/>
      <c r="AN6" s="2074"/>
      <c r="AO6" s="2075"/>
      <c r="AP6" s="2074"/>
      <c r="AQ6" s="2074"/>
      <c r="AR6" s="2074"/>
      <c r="AS6" s="2074"/>
      <c r="AT6" s="2074"/>
      <c r="AU6" s="173"/>
      <c r="AV6" s="173"/>
      <c r="AW6" s="173"/>
      <c r="AX6" s="173"/>
      <c r="BB6" s="205" t="s">
        <v>696</v>
      </c>
      <c r="BC6" s="205"/>
      <c r="BD6" s="870"/>
      <c r="BE6" s="870"/>
      <c r="BF6" s="870"/>
      <c r="BG6" s="870"/>
      <c r="BH6" s="870"/>
      <c r="BI6" s="870"/>
      <c r="BJ6" s="870"/>
      <c r="BK6" s="870"/>
      <c r="BL6" s="870"/>
      <c r="BM6" s="870"/>
      <c r="BN6" s="205"/>
      <c r="BO6" s="205"/>
    </row>
    <row r="7" spans="1:83" s="30" customFormat="1" ht="18" customHeight="1">
      <c r="A7" s="108" t="s">
        <v>697</v>
      </c>
      <c r="B7" s="108"/>
      <c r="D7" s="110"/>
      <c r="E7" s="110"/>
      <c r="F7" s="110"/>
      <c r="G7" s="110"/>
      <c r="H7" s="110"/>
      <c r="I7" s="110"/>
      <c r="J7" s="110"/>
      <c r="K7" s="110"/>
      <c r="L7" s="110"/>
      <c r="M7" s="110"/>
      <c r="N7" s="110"/>
      <c r="O7" s="110"/>
      <c r="P7" s="110"/>
      <c r="Q7" s="110"/>
      <c r="R7" s="110"/>
      <c r="S7" s="110"/>
      <c r="T7" s="110"/>
      <c r="U7" s="110"/>
      <c r="V7" s="110"/>
      <c r="W7" s="110"/>
      <c r="X7" s="110"/>
      <c r="Y7" s="110"/>
      <c r="Z7" s="110"/>
      <c r="AA7" s="110"/>
      <c r="AB7" s="110"/>
      <c r="AC7" s="110"/>
      <c r="AD7" s="110"/>
      <c r="AE7" s="110"/>
      <c r="AF7" s="110"/>
      <c r="AG7" s="110"/>
      <c r="AH7" s="110"/>
      <c r="AI7" s="110"/>
      <c r="AJ7" s="108" t="s">
        <v>698</v>
      </c>
      <c r="AK7" s="110"/>
      <c r="AL7" s="121"/>
      <c r="AM7" s="121"/>
      <c r="AN7" s="110"/>
      <c r="AO7" s="110"/>
      <c r="AP7" s="110"/>
      <c r="AQ7" s="110"/>
      <c r="AR7" s="110"/>
      <c r="AS7" s="110"/>
      <c r="AT7" s="110"/>
      <c r="BB7" s="108"/>
      <c r="BD7" s="20"/>
      <c r="BE7" s="20"/>
      <c r="BF7" s="20"/>
      <c r="BG7" s="20"/>
      <c r="BH7" s="20"/>
      <c r="BI7" s="20"/>
      <c r="BJ7" s="20"/>
      <c r="BK7" s="20"/>
      <c r="BL7" s="20"/>
      <c r="BM7" s="20"/>
    </row>
    <row r="8" spans="1:83" s="39" customFormat="1" ht="19.5" customHeight="1">
      <c r="A8" s="871"/>
      <c r="B8" s="871"/>
      <c r="C8" s="872" t="s">
        <v>699</v>
      </c>
      <c r="E8" s="873"/>
      <c r="F8" s="873"/>
      <c r="G8" s="873"/>
      <c r="H8" s="873"/>
      <c r="I8" s="873"/>
      <c r="J8" s="873"/>
      <c r="K8" s="873"/>
      <c r="L8" s="873"/>
      <c r="M8" s="873"/>
      <c r="N8" s="873"/>
      <c r="O8" s="873"/>
      <c r="P8" s="873"/>
      <c r="Q8" s="873"/>
      <c r="R8" s="873"/>
      <c r="S8" s="873"/>
      <c r="T8" s="873"/>
      <c r="U8" s="873"/>
      <c r="V8" s="873"/>
      <c r="W8" s="873"/>
      <c r="X8" s="873"/>
      <c r="Y8" s="873"/>
      <c r="Z8" s="873"/>
      <c r="AA8" s="873"/>
      <c r="AB8" s="873"/>
      <c r="AC8" s="873"/>
      <c r="AD8" s="873"/>
      <c r="AE8" s="873"/>
      <c r="AF8" s="873"/>
      <c r="AG8" s="873"/>
      <c r="AH8" s="873"/>
      <c r="AI8" s="873"/>
      <c r="AJ8" s="434" t="s">
        <v>700</v>
      </c>
      <c r="AK8" s="873"/>
      <c r="AL8" s="874"/>
      <c r="AM8" s="874"/>
      <c r="AN8" s="873"/>
      <c r="AO8" s="873"/>
      <c r="AP8" s="873"/>
      <c r="AQ8" s="873"/>
      <c r="AR8" s="873"/>
      <c r="AS8" s="873"/>
      <c r="AT8" s="873"/>
      <c r="BB8" s="2"/>
      <c r="BC8" s="2"/>
      <c r="BD8" s="2"/>
      <c r="BE8" s="2"/>
      <c r="BF8" s="2"/>
      <c r="BG8" s="2"/>
      <c r="BH8" s="2"/>
      <c r="BI8" s="2"/>
      <c r="BJ8" s="2"/>
      <c r="BK8" s="2"/>
      <c r="BL8" s="2"/>
      <c r="BN8" s="2"/>
      <c r="BO8" s="2"/>
      <c r="BP8" s="2"/>
    </row>
    <row r="9" spans="1:83" s="39" customFormat="1" ht="19.5" customHeight="1" thickBot="1">
      <c r="A9" s="871"/>
      <c r="B9" s="871"/>
      <c r="C9" s="872"/>
      <c r="E9" s="873"/>
      <c r="F9" s="873"/>
      <c r="G9" s="873"/>
      <c r="H9" s="873"/>
      <c r="I9" s="873"/>
      <c r="J9" s="873"/>
      <c r="K9" s="873"/>
      <c r="L9" s="873"/>
      <c r="M9" s="873"/>
      <c r="N9" s="873"/>
      <c r="O9" s="873"/>
      <c r="P9" s="873"/>
      <c r="Q9" s="873"/>
      <c r="R9" s="873"/>
      <c r="S9" s="873"/>
      <c r="T9" s="873"/>
      <c r="U9" s="874" t="s">
        <v>701</v>
      </c>
      <c r="V9" s="873"/>
      <c r="W9" s="873"/>
      <c r="X9" s="873"/>
      <c r="Y9" s="873"/>
      <c r="Z9" s="873"/>
      <c r="AA9" s="873"/>
      <c r="AB9" s="873"/>
      <c r="AC9" s="873"/>
      <c r="AD9" s="873"/>
      <c r="AE9" s="873"/>
      <c r="AF9" s="873"/>
      <c r="AG9" s="873"/>
      <c r="AH9" s="873"/>
      <c r="AI9" s="874" t="s">
        <v>701</v>
      </c>
      <c r="AJ9" s="434"/>
      <c r="AK9" s="873"/>
      <c r="AL9" s="874"/>
      <c r="AM9" s="874"/>
      <c r="AN9" s="873"/>
      <c r="AO9" s="873"/>
      <c r="AP9" s="873"/>
      <c r="AQ9" s="873"/>
      <c r="AR9" s="873"/>
      <c r="AS9" s="873"/>
      <c r="AT9" s="873"/>
      <c r="AX9" s="874" t="s">
        <v>701</v>
      </c>
      <c r="BB9" s="2"/>
      <c r="BC9" s="2"/>
      <c r="BD9" s="2"/>
      <c r="BE9" s="2"/>
      <c r="BF9" s="2"/>
      <c r="BG9" s="2"/>
      <c r="BH9" s="2"/>
      <c r="BI9" s="2"/>
      <c r="BJ9" s="2"/>
      <c r="BK9" s="2"/>
      <c r="BL9" s="2"/>
      <c r="BM9" s="874" t="s">
        <v>701</v>
      </c>
      <c r="BN9" s="2"/>
      <c r="BO9" s="2"/>
      <c r="BP9" s="2"/>
      <c r="CE9" s="874"/>
    </row>
    <row r="10" spans="1:83" ht="30.75" customHeight="1" thickBot="1">
      <c r="C10" s="1432" t="s">
        <v>702</v>
      </c>
      <c r="D10" s="1237"/>
      <c r="E10" s="1237"/>
      <c r="F10" s="1459" t="s">
        <v>206</v>
      </c>
      <c r="G10" s="1237"/>
      <c r="H10" s="1237"/>
      <c r="I10" s="1237"/>
      <c r="J10" s="1237"/>
      <c r="K10" s="1237"/>
      <c r="L10" s="1237"/>
      <c r="M10" s="875"/>
      <c r="N10" s="875"/>
      <c r="O10" s="875"/>
      <c r="P10" s="876">
        <v>1</v>
      </c>
      <c r="Q10" s="877">
        <v>2</v>
      </c>
      <c r="R10" s="877">
        <v>3</v>
      </c>
      <c r="S10" s="877">
        <v>4</v>
      </c>
      <c r="T10" s="877">
        <v>5</v>
      </c>
      <c r="U10" s="877">
        <v>6</v>
      </c>
      <c r="V10" s="877">
        <v>7</v>
      </c>
      <c r="W10" s="877">
        <v>8</v>
      </c>
      <c r="X10" s="877">
        <v>9</v>
      </c>
      <c r="Y10" s="877">
        <v>10</v>
      </c>
      <c r="Z10" s="877">
        <v>11</v>
      </c>
      <c r="AA10" s="877">
        <v>12</v>
      </c>
      <c r="AB10" s="877">
        <v>13</v>
      </c>
      <c r="AC10" s="877">
        <v>14</v>
      </c>
      <c r="AD10" s="877">
        <v>15</v>
      </c>
      <c r="AE10" s="877">
        <v>16</v>
      </c>
      <c r="AF10" s="877">
        <v>17</v>
      </c>
      <c r="AG10" s="877">
        <v>18</v>
      </c>
      <c r="AH10" s="877">
        <v>19</v>
      </c>
      <c r="AI10" s="878">
        <v>20</v>
      </c>
      <c r="AJ10" s="2084" t="s">
        <v>703</v>
      </c>
      <c r="AK10" s="1933" t="s">
        <v>704</v>
      </c>
      <c r="AL10" s="1432" t="s">
        <v>702</v>
      </c>
      <c r="AM10" s="1237"/>
      <c r="AN10" s="1237"/>
      <c r="AO10" s="1459" t="s">
        <v>206</v>
      </c>
      <c r="AP10" s="1237"/>
      <c r="AQ10" s="1237"/>
      <c r="AR10" s="1237"/>
      <c r="AS10" s="1237"/>
      <c r="AT10" s="1237"/>
      <c r="AU10" s="1237"/>
      <c r="AV10" s="1237"/>
      <c r="AW10" s="1237"/>
      <c r="AX10" s="1260"/>
      <c r="BB10" s="2095"/>
      <c r="BC10" s="2095"/>
      <c r="BD10" s="2096" t="s">
        <v>705</v>
      </c>
      <c r="BE10" s="2096"/>
      <c r="BF10" s="2097"/>
      <c r="BG10" s="2098" t="s">
        <v>706</v>
      </c>
      <c r="BH10" s="2096"/>
      <c r="BI10" s="2096"/>
      <c r="BJ10" s="2096"/>
      <c r="BK10" s="2096"/>
      <c r="BL10" s="2096"/>
      <c r="BM10" s="2097"/>
      <c r="BO10" s="879"/>
      <c r="BP10" s="879"/>
      <c r="BQ10" s="880"/>
      <c r="BR10" s="880"/>
      <c r="BS10" s="880"/>
      <c r="BT10" s="880"/>
      <c r="BU10" s="880"/>
      <c r="BV10" s="880"/>
      <c r="BW10" s="880"/>
      <c r="BX10" s="880"/>
      <c r="BY10" s="880"/>
      <c r="BZ10" s="880"/>
      <c r="CA10" s="880"/>
      <c r="CB10" s="880"/>
      <c r="CC10" s="880"/>
      <c r="CD10" s="880"/>
      <c r="CE10" s="880"/>
    </row>
    <row r="11" spans="1:83" ht="30" customHeight="1" thickTop="1">
      <c r="C11" s="1405"/>
      <c r="D11" s="1406"/>
      <c r="E11" s="1406"/>
      <c r="F11" s="1460"/>
      <c r="G11" s="1406"/>
      <c r="H11" s="1406"/>
      <c r="I11" s="1406"/>
      <c r="J11" s="1406"/>
      <c r="K11" s="1406"/>
      <c r="L11" s="1406"/>
      <c r="M11" s="2076" t="s">
        <v>707</v>
      </c>
      <c r="N11" s="2077"/>
      <c r="O11" s="2077"/>
      <c r="P11" s="881"/>
      <c r="Q11" s="882"/>
      <c r="R11" s="882"/>
      <c r="S11" s="882"/>
      <c r="T11" s="882"/>
      <c r="U11" s="882"/>
      <c r="V11" s="882"/>
      <c r="W11" s="882"/>
      <c r="X11" s="882"/>
      <c r="Y11" s="882"/>
      <c r="Z11" s="882"/>
      <c r="AA11" s="882"/>
      <c r="AB11" s="882"/>
      <c r="AC11" s="882"/>
      <c r="AD11" s="882"/>
      <c r="AE11" s="882"/>
      <c r="AF11" s="882"/>
      <c r="AG11" s="882"/>
      <c r="AH11" s="882"/>
      <c r="AI11" s="883"/>
      <c r="AJ11" s="2085"/>
      <c r="AK11" s="1454"/>
      <c r="AL11" s="1405"/>
      <c r="AM11" s="1406"/>
      <c r="AN11" s="1406"/>
      <c r="AO11" s="1460"/>
      <c r="AP11" s="1406"/>
      <c r="AQ11" s="1406"/>
      <c r="AR11" s="1406"/>
      <c r="AS11" s="1406"/>
      <c r="AT11" s="1406"/>
      <c r="AU11" s="1406"/>
      <c r="AV11" s="1406"/>
      <c r="AW11" s="1406"/>
      <c r="AX11" s="1407"/>
      <c r="BB11" s="2095"/>
      <c r="BC11" s="2095"/>
      <c r="BD11" s="2078" t="s">
        <v>708</v>
      </c>
      <c r="BE11" s="2078" t="s">
        <v>709</v>
      </c>
      <c r="BF11" s="2078" t="s">
        <v>710</v>
      </c>
      <c r="BG11" s="2081" t="s">
        <v>711</v>
      </c>
      <c r="BH11" s="2082"/>
      <c r="BI11" s="2083"/>
      <c r="BJ11" s="1436" t="s">
        <v>712</v>
      </c>
      <c r="BK11" s="1554"/>
      <c r="BL11" s="1554"/>
      <c r="BM11" s="2078" t="s">
        <v>713</v>
      </c>
      <c r="BO11" s="879"/>
      <c r="BP11" s="879"/>
      <c r="BQ11" s="880"/>
      <c r="BR11" s="880"/>
      <c r="BS11" s="880"/>
      <c r="BT11" s="880"/>
      <c r="BU11" s="880"/>
      <c r="BV11" s="880"/>
      <c r="BW11" s="880"/>
      <c r="BX11" s="880"/>
      <c r="BY11" s="880"/>
      <c r="BZ11" s="880"/>
      <c r="CA11" s="880"/>
      <c r="CB11" s="880"/>
      <c r="CC11" s="880"/>
      <c r="CD11" s="880"/>
      <c r="CE11" s="880"/>
    </row>
    <row r="12" spans="1:83" ht="30" customHeight="1">
      <c r="C12" s="1405"/>
      <c r="D12" s="1406"/>
      <c r="E12" s="1406"/>
      <c r="F12" s="1460"/>
      <c r="G12" s="1406"/>
      <c r="H12" s="1406"/>
      <c r="I12" s="1406"/>
      <c r="J12" s="1406"/>
      <c r="K12" s="1406"/>
      <c r="L12" s="1406"/>
      <c r="M12" s="2076" t="s">
        <v>714</v>
      </c>
      <c r="N12" s="2077"/>
      <c r="O12" s="2077"/>
      <c r="P12" s="884"/>
      <c r="Q12" s="885"/>
      <c r="R12" s="885"/>
      <c r="S12" s="885"/>
      <c r="T12" s="885"/>
      <c r="U12" s="885"/>
      <c r="V12" s="885"/>
      <c r="W12" s="885"/>
      <c r="X12" s="885"/>
      <c r="Y12" s="885"/>
      <c r="Z12" s="885"/>
      <c r="AA12" s="885"/>
      <c r="AB12" s="885"/>
      <c r="AC12" s="885"/>
      <c r="AD12" s="885"/>
      <c r="AE12" s="885"/>
      <c r="AF12" s="885"/>
      <c r="AG12" s="885"/>
      <c r="AH12" s="885"/>
      <c r="AI12" s="886"/>
      <c r="AJ12" s="2085"/>
      <c r="AK12" s="1454"/>
      <c r="AL12" s="1405"/>
      <c r="AM12" s="1406"/>
      <c r="AN12" s="1406"/>
      <c r="AO12" s="1460"/>
      <c r="AP12" s="1406"/>
      <c r="AQ12" s="1406"/>
      <c r="AR12" s="1406"/>
      <c r="AS12" s="1406"/>
      <c r="AT12" s="1406"/>
      <c r="AU12" s="1406"/>
      <c r="AV12" s="1406"/>
      <c r="AW12" s="1406"/>
      <c r="AX12" s="1407"/>
      <c r="BB12" s="2095"/>
      <c r="BC12" s="2095"/>
      <c r="BD12" s="2079"/>
      <c r="BE12" s="2079"/>
      <c r="BF12" s="2079"/>
      <c r="BG12" s="2078" t="s">
        <v>715</v>
      </c>
      <c r="BH12" s="2091" t="s">
        <v>716</v>
      </c>
      <c r="BI12" s="2093" t="s">
        <v>717</v>
      </c>
      <c r="BJ12" s="2078" t="s">
        <v>715</v>
      </c>
      <c r="BK12" s="2091" t="s">
        <v>718</v>
      </c>
      <c r="BL12" s="2093" t="s">
        <v>717</v>
      </c>
      <c r="BM12" s="2079"/>
      <c r="BO12" s="879"/>
      <c r="BP12" s="879"/>
      <c r="BQ12" s="880"/>
      <c r="BR12" s="880"/>
      <c r="BS12" s="880"/>
      <c r="BT12" s="880"/>
      <c r="BU12" s="880"/>
      <c r="BV12" s="880"/>
      <c r="BW12" s="880"/>
      <c r="BX12" s="880"/>
      <c r="BY12" s="880"/>
      <c r="BZ12" s="880"/>
      <c r="CA12" s="880"/>
      <c r="CB12" s="880"/>
      <c r="CC12" s="880"/>
      <c r="CD12" s="880"/>
      <c r="CE12" s="880"/>
    </row>
    <row r="13" spans="1:83" ht="30" customHeight="1" thickBot="1">
      <c r="C13" s="1239"/>
      <c r="D13" s="1240"/>
      <c r="E13" s="1240"/>
      <c r="F13" s="1461"/>
      <c r="G13" s="1240"/>
      <c r="H13" s="1240"/>
      <c r="I13" s="1240"/>
      <c r="J13" s="1240"/>
      <c r="K13" s="1240"/>
      <c r="L13" s="1240"/>
      <c r="M13" s="2088" t="s">
        <v>719</v>
      </c>
      <c r="N13" s="2089"/>
      <c r="O13" s="2090"/>
      <c r="P13" s="887"/>
      <c r="Q13" s="888"/>
      <c r="R13" s="888"/>
      <c r="S13" s="888"/>
      <c r="T13" s="888"/>
      <c r="U13" s="888"/>
      <c r="V13" s="888"/>
      <c r="W13" s="888"/>
      <c r="X13" s="888"/>
      <c r="Y13" s="888"/>
      <c r="Z13" s="888"/>
      <c r="AA13" s="888"/>
      <c r="AB13" s="888"/>
      <c r="AC13" s="888"/>
      <c r="AD13" s="888"/>
      <c r="AE13" s="888"/>
      <c r="AF13" s="888"/>
      <c r="AG13" s="888"/>
      <c r="AH13" s="888"/>
      <c r="AI13" s="889"/>
      <c r="AJ13" s="2086"/>
      <c r="AK13" s="2087"/>
      <c r="AL13" s="1239"/>
      <c r="AM13" s="1240"/>
      <c r="AN13" s="1240"/>
      <c r="AO13" s="1461"/>
      <c r="AP13" s="1240"/>
      <c r="AQ13" s="1240"/>
      <c r="AR13" s="1240"/>
      <c r="AS13" s="1240"/>
      <c r="AT13" s="1240"/>
      <c r="AU13" s="1240"/>
      <c r="AV13" s="1240"/>
      <c r="AW13" s="1240"/>
      <c r="AX13" s="1392"/>
      <c r="BB13" s="2095"/>
      <c r="BC13" s="2095"/>
      <c r="BD13" s="2080"/>
      <c r="BE13" s="2080"/>
      <c r="BF13" s="2080"/>
      <c r="BG13" s="2080"/>
      <c r="BH13" s="2092"/>
      <c r="BI13" s="2094"/>
      <c r="BJ13" s="2080"/>
      <c r="BK13" s="2092"/>
      <c r="BL13" s="2094"/>
      <c r="BM13" s="2080"/>
      <c r="BO13" s="879"/>
      <c r="BP13" s="879"/>
      <c r="BQ13" s="382"/>
      <c r="BR13" s="382"/>
      <c r="BS13" s="382"/>
      <c r="BT13" s="880"/>
      <c r="BU13" s="880"/>
      <c r="BV13" s="382"/>
      <c r="BW13" s="382"/>
      <c r="BX13" s="382"/>
      <c r="BY13" s="880"/>
      <c r="BZ13" s="880"/>
      <c r="CA13" s="382"/>
      <c r="CB13" s="382"/>
      <c r="CC13" s="382"/>
      <c r="CD13" s="880"/>
      <c r="CE13" s="880"/>
    </row>
    <row r="14" spans="1:83" ht="30" customHeight="1" thickTop="1" thickBot="1">
      <c r="A14" s="890" t="s">
        <v>118</v>
      </c>
      <c r="B14" s="891"/>
      <c r="C14" s="892"/>
      <c r="D14" s="892"/>
      <c r="E14" s="892"/>
      <c r="F14" s="2099" t="s">
        <v>720</v>
      </c>
      <c r="G14" s="2099"/>
      <c r="H14" s="2099"/>
      <c r="I14" s="2099"/>
      <c r="J14" s="2099"/>
      <c r="K14" s="2099"/>
      <c r="L14" s="2100"/>
      <c r="M14" s="2101" t="s">
        <v>721</v>
      </c>
      <c r="N14" s="2102"/>
      <c r="O14" s="2103"/>
      <c r="P14" s="893"/>
      <c r="Q14" s="894"/>
      <c r="R14" s="894"/>
      <c r="S14" s="894"/>
      <c r="T14" s="894"/>
      <c r="U14" s="894"/>
      <c r="V14" s="894"/>
      <c r="W14" s="894"/>
      <c r="X14" s="894"/>
      <c r="Y14" s="894"/>
      <c r="Z14" s="894"/>
      <c r="AA14" s="894"/>
      <c r="AB14" s="894"/>
      <c r="AC14" s="894"/>
      <c r="AD14" s="894"/>
      <c r="AE14" s="894"/>
      <c r="AF14" s="894"/>
      <c r="AG14" s="894"/>
      <c r="AH14" s="894"/>
      <c r="AI14" s="895"/>
      <c r="AJ14" s="896"/>
      <c r="AK14" s="219"/>
      <c r="AL14" s="147"/>
      <c r="AM14" s="147"/>
      <c r="AN14" s="147"/>
      <c r="AO14" s="147"/>
      <c r="AP14" s="147"/>
      <c r="AQ14" s="147"/>
      <c r="AR14" s="147"/>
      <c r="AS14" s="147"/>
      <c r="AT14" s="147"/>
      <c r="AU14" s="147"/>
      <c r="AV14" s="147"/>
      <c r="AW14" s="147"/>
      <c r="AX14" s="147"/>
      <c r="BB14" s="2104" t="s">
        <v>588</v>
      </c>
      <c r="BC14" s="2082"/>
      <c r="BD14" s="1026">
        <f>SUBTOTAL(109,BD15:BD30)</f>
        <v>0</v>
      </c>
      <c r="BE14" s="1026">
        <f>SUBTOTAL(109,BE15:BE30)</f>
        <v>0</v>
      </c>
      <c r="BF14" s="1027">
        <f>SUM(BD14:BE14)</f>
        <v>0</v>
      </c>
      <c r="BG14" s="1027">
        <f>SUBTOTAL(109,BG15:BG29)</f>
        <v>0</v>
      </c>
      <c r="BH14" s="1027">
        <f>SUBTOTAL(109,BH15:BH29)</f>
        <v>0</v>
      </c>
      <c r="BI14" s="1026">
        <f t="shared" ref="BI14:BI29" si="0">SUM(BG14:BH14)</f>
        <v>0</v>
      </c>
      <c r="BJ14" s="1027">
        <f>SUBTOTAL(109,BJ15:BJ29)</f>
        <v>0</v>
      </c>
      <c r="BK14" s="1027">
        <f>SUBTOTAL(109,BK15:BK29)</f>
        <v>0</v>
      </c>
      <c r="BL14" s="1026">
        <f t="shared" ref="BL14:BL32" si="1">SUM(BJ14:BK14)</f>
        <v>0</v>
      </c>
      <c r="BM14" s="1027">
        <f>SUM(BI14,BL14)</f>
        <v>0</v>
      </c>
      <c r="BO14" s="897"/>
      <c r="BP14" s="382"/>
      <c r="BQ14" s="898"/>
      <c r="BR14" s="898"/>
      <c r="BS14" s="898"/>
      <c r="BT14" s="898"/>
      <c r="BU14" s="898"/>
      <c r="BV14" s="898"/>
      <c r="BW14" s="898"/>
      <c r="BX14" s="898"/>
      <c r="BY14" s="898"/>
      <c r="BZ14" s="898"/>
      <c r="CA14" s="898"/>
      <c r="CB14" s="898"/>
      <c r="CC14" s="898"/>
      <c r="CD14" s="898"/>
      <c r="CE14" s="898"/>
    </row>
    <row r="15" spans="1:83" ht="31.5" hidden="1" customHeight="1" thickTop="1" thickBot="1">
      <c r="C15" s="2105" t="s">
        <v>722</v>
      </c>
      <c r="D15" s="2106"/>
      <c r="E15" s="2107"/>
      <c r="F15" s="2108" t="s">
        <v>723</v>
      </c>
      <c r="G15" s="2109"/>
      <c r="H15" s="2109"/>
      <c r="I15" s="2109"/>
      <c r="J15" s="2109"/>
      <c r="K15" s="2109"/>
      <c r="L15" s="2109"/>
      <c r="M15" s="2109"/>
      <c r="N15" s="2109"/>
      <c r="O15" s="2109"/>
      <c r="P15" s="899"/>
      <c r="Q15" s="900"/>
      <c r="R15" s="900"/>
      <c r="S15" s="900"/>
      <c r="T15" s="900"/>
      <c r="U15" s="900"/>
      <c r="V15" s="900"/>
      <c r="W15" s="900"/>
      <c r="X15" s="900"/>
      <c r="Y15" s="900"/>
      <c r="Z15" s="900"/>
      <c r="AA15" s="900"/>
      <c r="AB15" s="900"/>
      <c r="AC15" s="900"/>
      <c r="AD15" s="900"/>
      <c r="AE15" s="900"/>
      <c r="AF15" s="900"/>
      <c r="AG15" s="900"/>
      <c r="AH15" s="900"/>
      <c r="AI15" s="901"/>
      <c r="AJ15" s="902"/>
      <c r="AK15" s="903"/>
      <c r="AL15" s="1653" t="s">
        <v>722</v>
      </c>
      <c r="AM15" s="1653"/>
      <c r="AN15" s="2110"/>
      <c r="AO15" s="2111" t="s">
        <v>724</v>
      </c>
      <c r="AP15" s="2112"/>
      <c r="AQ15" s="2112"/>
      <c r="AR15" s="2112"/>
      <c r="AS15" s="2112"/>
      <c r="AT15" s="2112"/>
      <c r="AU15" s="2112"/>
      <c r="AV15" s="2112"/>
      <c r="AW15" s="2112"/>
      <c r="AX15" s="2113"/>
      <c r="BB15" s="2114" t="s">
        <v>725</v>
      </c>
      <c r="BC15" s="904" t="s">
        <v>726</v>
      </c>
      <c r="BD15" s="1028">
        <f>SUM(SUMIFS(P15:AI15,P14:AI14,{"[1]家族","[3]ゆい・手間替え受け"},P12:AI12,"[1]男"))</f>
        <v>0</v>
      </c>
      <c r="BE15" s="1029">
        <f>SUM(SUMIFS(P15:AI15,P14:AI14,{"[1]家族","[3]ゆい・手間替え受け"},P12:AI12,"[2]女"))</f>
        <v>0</v>
      </c>
      <c r="BF15" s="1030">
        <f t="shared" ref="BF15:BF32" si="2">SUM(BD15:BE15)</f>
        <v>0</v>
      </c>
      <c r="BG15" s="1027">
        <f>AJ15</f>
        <v>0</v>
      </c>
      <c r="BH15" s="1031">
        <f>SUM(SUMIFS(P15:AI15,P14:AI14,{"[2]同居人","[4]手伝い・共同作業受け"},P12:AI12,"[1]男"))</f>
        <v>0</v>
      </c>
      <c r="BI15" s="1032">
        <f t="shared" si="0"/>
        <v>0</v>
      </c>
      <c r="BJ15" s="1033">
        <f t="shared" ref="BJ15:BJ29" si="3">AK15</f>
        <v>0</v>
      </c>
      <c r="BK15" s="1031">
        <f>SUM(SUMIFS(P15:AI15,P14:AI14,{"[2]同居人","[4]手伝い・共同作業受け"},P12:AI12,"[2]女"))</f>
        <v>0</v>
      </c>
      <c r="BL15" s="1032">
        <f t="shared" si="1"/>
        <v>0</v>
      </c>
      <c r="BM15" s="1027">
        <f t="shared" ref="BM15:BM29" si="4">SUM(BI15,BL15)</f>
        <v>0</v>
      </c>
      <c r="BO15" s="897"/>
      <c r="BP15" s="382"/>
      <c r="BQ15" s="898"/>
      <c r="BR15" s="898"/>
      <c r="BS15" s="898"/>
      <c r="BT15" s="898"/>
      <c r="BU15" s="898"/>
      <c r="BV15" s="898"/>
      <c r="BW15" s="898"/>
      <c r="BX15" s="898"/>
      <c r="BY15" s="898"/>
      <c r="BZ15" s="898"/>
      <c r="CA15" s="898"/>
      <c r="CB15" s="898"/>
      <c r="CC15" s="898"/>
      <c r="CD15" s="898"/>
      <c r="CE15" s="898"/>
    </row>
    <row r="16" spans="1:83" ht="31.5" hidden="1" customHeight="1">
      <c r="C16" s="2115" t="s">
        <v>727</v>
      </c>
      <c r="D16" s="2116"/>
      <c r="E16" s="2117"/>
      <c r="F16" s="2118" t="s">
        <v>728</v>
      </c>
      <c r="G16" s="2119"/>
      <c r="H16" s="2119"/>
      <c r="I16" s="2119"/>
      <c r="J16" s="2119"/>
      <c r="K16" s="2119"/>
      <c r="L16" s="2119"/>
      <c r="M16" s="2119"/>
      <c r="N16" s="2119"/>
      <c r="O16" s="2119"/>
      <c r="P16" s="905"/>
      <c r="Q16" s="906"/>
      <c r="R16" s="906"/>
      <c r="S16" s="906"/>
      <c r="T16" s="906"/>
      <c r="U16" s="906"/>
      <c r="V16" s="906"/>
      <c r="W16" s="906"/>
      <c r="X16" s="906"/>
      <c r="Y16" s="906"/>
      <c r="Z16" s="906"/>
      <c r="AA16" s="906"/>
      <c r="AB16" s="906"/>
      <c r="AC16" s="906"/>
      <c r="AD16" s="906"/>
      <c r="AE16" s="906"/>
      <c r="AF16" s="906"/>
      <c r="AG16" s="906"/>
      <c r="AH16" s="906"/>
      <c r="AI16" s="907"/>
      <c r="AJ16" s="908"/>
      <c r="AK16" s="909"/>
      <c r="AL16" s="2120" t="s">
        <v>727</v>
      </c>
      <c r="AM16" s="1258"/>
      <c r="AN16" s="2121"/>
      <c r="AO16" s="2118" t="s">
        <v>728</v>
      </c>
      <c r="AP16" s="2119"/>
      <c r="AQ16" s="2119"/>
      <c r="AR16" s="2119"/>
      <c r="AS16" s="2119"/>
      <c r="AT16" s="2119"/>
      <c r="AU16" s="2119"/>
      <c r="AV16" s="2119"/>
      <c r="AW16" s="2119"/>
      <c r="AX16" s="2122"/>
      <c r="BB16" s="1997"/>
      <c r="BC16" s="904" t="s">
        <v>729</v>
      </c>
      <c r="BD16" s="1028">
        <f>SUM(SUMIFS(P16:AI16,P14:AI14,{"[1]家族","[3]ゆい・手間替え受け"},P12:AI12,"[1]男"))</f>
        <v>0</v>
      </c>
      <c r="BE16" s="1029">
        <f>SUM(SUMIFS(P16:AI16,P14:AI14,{"[1]家族","[3]ゆい・手間替え受け"},P12:AI12,"[2]女"))</f>
        <v>0</v>
      </c>
      <c r="BF16" s="1030">
        <f t="shared" si="2"/>
        <v>0</v>
      </c>
      <c r="BG16" s="1027">
        <f t="shared" ref="BG16:BG28" si="5">AJ16</f>
        <v>0</v>
      </c>
      <c r="BH16" s="1031">
        <f>SUM(SUMIFS(P16:AI16,P14:AI14,{"[2]同居人","[4]手伝い・共同作業受け"},P12:AI12,"[1]男"))</f>
        <v>0</v>
      </c>
      <c r="BI16" s="1034">
        <f t="shared" si="0"/>
        <v>0</v>
      </c>
      <c r="BJ16" s="1033">
        <f t="shared" si="3"/>
        <v>0</v>
      </c>
      <c r="BK16" s="1031">
        <f>SUM(SUMIFS(P16:AI16,P14:AI14,{"[2]同居人","[4]手伝い・共同作業受け"},P12:AI12,"[2]女"))</f>
        <v>0</v>
      </c>
      <c r="BL16" s="1034">
        <f t="shared" si="1"/>
        <v>0</v>
      </c>
      <c r="BM16" s="1027">
        <f t="shared" si="4"/>
        <v>0</v>
      </c>
      <c r="BO16" s="897"/>
      <c r="BP16" s="382"/>
      <c r="BQ16" s="898"/>
      <c r="BR16" s="898"/>
      <c r="BS16" s="898"/>
      <c r="BT16" s="898"/>
      <c r="BU16" s="898"/>
      <c r="BV16" s="898"/>
      <c r="BW16" s="898"/>
      <c r="BX16" s="898"/>
      <c r="BY16" s="898"/>
      <c r="BZ16" s="898"/>
      <c r="CA16" s="898"/>
      <c r="CB16" s="898"/>
      <c r="CC16" s="898"/>
      <c r="CD16" s="898"/>
      <c r="CE16" s="898"/>
    </row>
    <row r="17" spans="3:83" ht="31.5" customHeight="1">
      <c r="C17" s="2115" t="s">
        <v>730</v>
      </c>
      <c r="D17" s="2116"/>
      <c r="E17" s="2117"/>
      <c r="F17" s="2118" t="s">
        <v>731</v>
      </c>
      <c r="G17" s="2119"/>
      <c r="H17" s="2119"/>
      <c r="I17" s="2119"/>
      <c r="J17" s="2119"/>
      <c r="K17" s="2119"/>
      <c r="L17" s="2119"/>
      <c r="M17" s="2119"/>
      <c r="N17" s="2119"/>
      <c r="O17" s="2119"/>
      <c r="P17" s="1043"/>
      <c r="Q17" s="1044"/>
      <c r="R17" s="1044"/>
      <c r="S17" s="1044"/>
      <c r="T17" s="1044"/>
      <c r="U17" s="1044"/>
      <c r="V17" s="1044"/>
      <c r="W17" s="1044"/>
      <c r="X17" s="1044"/>
      <c r="Y17" s="1044"/>
      <c r="Z17" s="1044"/>
      <c r="AA17" s="1044"/>
      <c r="AB17" s="1044"/>
      <c r="AC17" s="1044"/>
      <c r="AD17" s="1044"/>
      <c r="AE17" s="1044"/>
      <c r="AF17" s="1044"/>
      <c r="AG17" s="1044"/>
      <c r="AH17" s="1044"/>
      <c r="AI17" s="1045"/>
      <c r="AJ17" s="1046"/>
      <c r="AK17" s="1047"/>
      <c r="AL17" s="2120" t="s">
        <v>730</v>
      </c>
      <c r="AM17" s="1258"/>
      <c r="AN17" s="2121"/>
      <c r="AO17" s="2118" t="s">
        <v>732</v>
      </c>
      <c r="AP17" s="2119"/>
      <c r="AQ17" s="2119"/>
      <c r="AR17" s="2119"/>
      <c r="AS17" s="2119"/>
      <c r="AT17" s="2119"/>
      <c r="AU17" s="2119"/>
      <c r="AV17" s="2119"/>
      <c r="AW17" s="2119"/>
      <c r="AX17" s="2122"/>
      <c r="BB17" s="1997"/>
      <c r="BC17" s="904" t="s">
        <v>733</v>
      </c>
      <c r="BD17" s="1035">
        <f>SUM(SUMIFS(P17:AI17,P14:AI14,{"[1]家族","[3]ゆい・手間替え受け"},P12:AI12,"[1]男"))</f>
        <v>0</v>
      </c>
      <c r="BE17" s="1036">
        <f>SUM(SUMIFS(P17:AI17,P14:AI14,{"[1]家族","[3]ゆい・手間替え受け"},P12:AI12,"[2]女"))</f>
        <v>0</v>
      </c>
      <c r="BF17" s="1030">
        <f t="shared" si="2"/>
        <v>0</v>
      </c>
      <c r="BG17" s="1027">
        <f t="shared" si="5"/>
        <v>0</v>
      </c>
      <c r="BH17" s="1031">
        <f>SUM(SUMIFS(P17:AI17,P14:AI14,{"[2]同居人","[4]手伝い・共同作業受け"},P12:AI12,"[1]男"))</f>
        <v>0</v>
      </c>
      <c r="BI17" s="1034">
        <f t="shared" si="0"/>
        <v>0</v>
      </c>
      <c r="BJ17" s="1033">
        <f t="shared" si="3"/>
        <v>0</v>
      </c>
      <c r="BK17" s="1031">
        <f>SUM(SUMIFS(P17:AI17,P14:AI14,{"[2]同居人","[4]手伝い・共同作業受け"},P12:AI12,"[2]女"))</f>
        <v>0</v>
      </c>
      <c r="BL17" s="1034">
        <f t="shared" si="1"/>
        <v>0</v>
      </c>
      <c r="BM17" s="1027">
        <f t="shared" si="4"/>
        <v>0</v>
      </c>
      <c r="BO17" s="897"/>
      <c r="BP17" s="382"/>
      <c r="BQ17" s="898"/>
      <c r="BR17" s="898"/>
      <c r="BS17" s="898"/>
      <c r="BT17" s="898"/>
      <c r="BU17" s="898"/>
      <c r="BV17" s="898"/>
      <c r="BW17" s="898"/>
      <c r="BX17" s="898"/>
      <c r="BY17" s="898"/>
      <c r="BZ17" s="898"/>
      <c r="CA17" s="898"/>
      <c r="CB17" s="898"/>
      <c r="CC17" s="898"/>
      <c r="CD17" s="898"/>
      <c r="CE17" s="898"/>
    </row>
    <row r="18" spans="3:83" ht="31.5" customHeight="1">
      <c r="C18" s="2115" t="s">
        <v>734</v>
      </c>
      <c r="D18" s="2116"/>
      <c r="E18" s="2117"/>
      <c r="F18" s="2118" t="s">
        <v>735</v>
      </c>
      <c r="G18" s="2119"/>
      <c r="H18" s="2119"/>
      <c r="I18" s="2119"/>
      <c r="J18" s="2119"/>
      <c r="K18" s="2119"/>
      <c r="L18" s="2119"/>
      <c r="M18" s="2119"/>
      <c r="N18" s="2119"/>
      <c r="O18" s="2119"/>
      <c r="P18" s="1043"/>
      <c r="Q18" s="1044"/>
      <c r="R18" s="1044"/>
      <c r="S18" s="1044"/>
      <c r="T18" s="1044"/>
      <c r="U18" s="1048"/>
      <c r="V18" s="1049"/>
      <c r="W18" s="1049"/>
      <c r="X18" s="1049"/>
      <c r="Y18" s="1049"/>
      <c r="Z18" s="1049"/>
      <c r="AA18" s="1049"/>
      <c r="AB18" s="1049"/>
      <c r="AC18" s="1049"/>
      <c r="AD18" s="1049"/>
      <c r="AE18" s="1049"/>
      <c r="AF18" s="1049"/>
      <c r="AG18" s="1049"/>
      <c r="AH18" s="1049"/>
      <c r="AI18" s="1050"/>
      <c r="AJ18" s="1051"/>
      <c r="AK18" s="1047"/>
      <c r="AL18" s="2120" t="s">
        <v>734</v>
      </c>
      <c r="AM18" s="1258"/>
      <c r="AN18" s="2121"/>
      <c r="AO18" s="2118" t="s">
        <v>735</v>
      </c>
      <c r="AP18" s="2119"/>
      <c r="AQ18" s="2119"/>
      <c r="AR18" s="2119"/>
      <c r="AS18" s="2119"/>
      <c r="AT18" s="2119"/>
      <c r="AU18" s="2119"/>
      <c r="AV18" s="2119"/>
      <c r="AW18" s="2119"/>
      <c r="AX18" s="2122"/>
      <c r="BB18" s="1997"/>
      <c r="BC18" s="904" t="s">
        <v>736</v>
      </c>
      <c r="BD18" s="1035">
        <f>SUM(SUMIFS(P18:AI18,P14:AI14,{"[1]家族","[3]ゆい・手間替え受け"},P12:AI12,"[1]男"))</f>
        <v>0</v>
      </c>
      <c r="BE18" s="1036">
        <f>SUM(SUMIFS(P18:AI18,P14:AI14,{"[1]家族","[3]ゆい・手間替え受け"},P12:AI12,"[2]女"))</f>
        <v>0</v>
      </c>
      <c r="BF18" s="1030">
        <f t="shared" si="2"/>
        <v>0</v>
      </c>
      <c r="BG18" s="1027">
        <f t="shared" si="5"/>
        <v>0</v>
      </c>
      <c r="BH18" s="1031">
        <f>SUM(SUMIFS(P18:AI18,P14:AI14,{"[2]同居人","[4]手伝い・共同作業受け"},P12:AI12,"[1]男"))</f>
        <v>0</v>
      </c>
      <c r="BI18" s="1034">
        <f t="shared" si="0"/>
        <v>0</v>
      </c>
      <c r="BJ18" s="1033">
        <f t="shared" si="3"/>
        <v>0</v>
      </c>
      <c r="BK18" s="1031">
        <f>SUM(SUMIFS(P18:AI18,P14:AI14,{"[2]同居人","[4]手伝い・共同作業受け"},P12:AI12,"[2]女"))</f>
        <v>0</v>
      </c>
      <c r="BL18" s="1034">
        <f t="shared" si="1"/>
        <v>0</v>
      </c>
      <c r="BM18" s="1027">
        <f t="shared" si="4"/>
        <v>0</v>
      </c>
      <c r="BO18" s="897"/>
      <c r="BP18" s="382"/>
      <c r="BQ18" s="898"/>
      <c r="BR18" s="898"/>
      <c r="BS18" s="898"/>
      <c r="BT18" s="898"/>
      <c r="BU18" s="898"/>
      <c r="BV18" s="898"/>
      <c r="BW18" s="898"/>
      <c r="BX18" s="898"/>
      <c r="BY18" s="898"/>
      <c r="BZ18" s="898"/>
      <c r="CA18" s="898"/>
      <c r="CB18" s="898"/>
      <c r="CC18" s="898"/>
      <c r="CD18" s="898"/>
      <c r="CE18" s="898"/>
    </row>
    <row r="19" spans="3:83" ht="31.5" customHeight="1">
      <c r="C19" s="2115" t="s">
        <v>737</v>
      </c>
      <c r="D19" s="2116"/>
      <c r="E19" s="2117"/>
      <c r="F19" s="2118" t="s">
        <v>738</v>
      </c>
      <c r="G19" s="2119"/>
      <c r="H19" s="2119"/>
      <c r="I19" s="2119"/>
      <c r="J19" s="2119"/>
      <c r="K19" s="2119"/>
      <c r="L19" s="2119"/>
      <c r="M19" s="2119"/>
      <c r="N19" s="2119"/>
      <c r="O19" s="2119"/>
      <c r="P19" s="1043"/>
      <c r="Q19" s="1044"/>
      <c r="R19" s="1044"/>
      <c r="S19" s="1044"/>
      <c r="T19" s="1044"/>
      <c r="U19" s="1048"/>
      <c r="V19" s="1049"/>
      <c r="W19" s="1049"/>
      <c r="X19" s="1049"/>
      <c r="Y19" s="1049"/>
      <c r="Z19" s="1049"/>
      <c r="AA19" s="1049"/>
      <c r="AB19" s="1049"/>
      <c r="AC19" s="1049"/>
      <c r="AD19" s="1049"/>
      <c r="AE19" s="1049"/>
      <c r="AF19" s="1049"/>
      <c r="AG19" s="1049"/>
      <c r="AH19" s="1049"/>
      <c r="AI19" s="1050"/>
      <c r="AJ19" s="1051"/>
      <c r="AK19" s="1047"/>
      <c r="AL19" s="2120" t="s">
        <v>739</v>
      </c>
      <c r="AM19" s="1258"/>
      <c r="AN19" s="2121"/>
      <c r="AO19" s="2118" t="s">
        <v>740</v>
      </c>
      <c r="AP19" s="2119"/>
      <c r="AQ19" s="2119"/>
      <c r="AR19" s="2119"/>
      <c r="AS19" s="2119"/>
      <c r="AT19" s="2119"/>
      <c r="AU19" s="2119"/>
      <c r="AV19" s="2119"/>
      <c r="AW19" s="2119"/>
      <c r="AX19" s="2122"/>
      <c r="BB19" s="1997"/>
      <c r="BC19" s="904" t="s">
        <v>741</v>
      </c>
      <c r="BD19" s="1035">
        <f>SUM(SUMIFS(P19:AI19,P14:AI14,{"[1]家族","[3]ゆい・手間替え受け"},P12:AI12,"[1]男"))</f>
        <v>0</v>
      </c>
      <c r="BE19" s="1036">
        <f>SUM(SUMIFS(P19:AI19,P14:AI14,{"[1]家族","[3]ゆい・手間替え受け"},P12:AI12,"[2]女"))</f>
        <v>0</v>
      </c>
      <c r="BF19" s="1030">
        <f t="shared" si="2"/>
        <v>0</v>
      </c>
      <c r="BG19" s="1027">
        <f t="shared" si="5"/>
        <v>0</v>
      </c>
      <c r="BH19" s="1031">
        <f>SUM(SUMIFS(P19:AI19,P14:AI14,{"[2]同居人","[4]手伝い・共同作業受け"},P12:AI12,"[1]男"))</f>
        <v>0</v>
      </c>
      <c r="BI19" s="1034">
        <f t="shared" si="0"/>
        <v>0</v>
      </c>
      <c r="BJ19" s="1033">
        <f t="shared" si="3"/>
        <v>0</v>
      </c>
      <c r="BK19" s="1031">
        <f>SUM(SUMIFS(P19:AI19,P14:AI14,{"[2]同居人","[4]手伝い・共同作業受け"},P12:AI12,"[2]女"))</f>
        <v>0</v>
      </c>
      <c r="BL19" s="1034">
        <f t="shared" si="1"/>
        <v>0</v>
      </c>
      <c r="BM19" s="1027">
        <f t="shared" si="4"/>
        <v>0</v>
      </c>
      <c r="BO19" s="897"/>
      <c r="BP19" s="382"/>
      <c r="BQ19" s="898"/>
      <c r="BR19" s="898"/>
      <c r="BS19" s="898"/>
      <c r="BT19" s="898"/>
      <c r="BU19" s="898"/>
      <c r="BV19" s="898"/>
      <c r="BW19" s="898"/>
      <c r="BX19" s="898"/>
      <c r="BY19" s="898"/>
      <c r="BZ19" s="898"/>
      <c r="CA19" s="898"/>
      <c r="CB19" s="898"/>
      <c r="CC19" s="898"/>
      <c r="CD19" s="898"/>
      <c r="CE19" s="898"/>
    </row>
    <row r="20" spans="3:83" ht="31.5" hidden="1" customHeight="1">
      <c r="C20" s="2115" t="s">
        <v>742</v>
      </c>
      <c r="D20" s="2116"/>
      <c r="E20" s="2117"/>
      <c r="F20" s="2118" t="s">
        <v>743</v>
      </c>
      <c r="G20" s="2119"/>
      <c r="H20" s="2119"/>
      <c r="I20" s="2119"/>
      <c r="J20" s="2119"/>
      <c r="K20" s="2119"/>
      <c r="L20" s="2119"/>
      <c r="M20" s="2119"/>
      <c r="N20" s="2119"/>
      <c r="O20" s="2119"/>
      <c r="P20" s="1043"/>
      <c r="Q20" s="1044"/>
      <c r="R20" s="1044"/>
      <c r="S20" s="1044"/>
      <c r="T20" s="1044"/>
      <c r="U20" s="1048"/>
      <c r="V20" s="1049"/>
      <c r="W20" s="1049"/>
      <c r="X20" s="1049"/>
      <c r="Y20" s="1049"/>
      <c r="Z20" s="1049"/>
      <c r="AA20" s="1049"/>
      <c r="AB20" s="1049"/>
      <c r="AC20" s="1049"/>
      <c r="AD20" s="1049"/>
      <c r="AE20" s="1049"/>
      <c r="AF20" s="1049"/>
      <c r="AG20" s="1049"/>
      <c r="AH20" s="1049"/>
      <c r="AI20" s="1050"/>
      <c r="AJ20" s="1051"/>
      <c r="AK20" s="1047"/>
      <c r="AL20" s="2120" t="s">
        <v>742</v>
      </c>
      <c r="AM20" s="1258"/>
      <c r="AN20" s="2121"/>
      <c r="AO20" s="2118" t="s">
        <v>744</v>
      </c>
      <c r="AP20" s="2119"/>
      <c r="AQ20" s="2119"/>
      <c r="AR20" s="2119"/>
      <c r="AS20" s="2119"/>
      <c r="AT20" s="2119"/>
      <c r="AU20" s="2119"/>
      <c r="AV20" s="2119"/>
      <c r="AW20" s="2119"/>
      <c r="AX20" s="2122"/>
      <c r="BB20" s="1997"/>
      <c r="BC20" s="904" t="s">
        <v>745</v>
      </c>
      <c r="BD20" s="1035">
        <f>SUM(SUMIFS(P20:AI20,P14:AI14,{"[1]家族","[3]ゆい・手間替え受け"},P12:AI12,"[1]男"))</f>
        <v>0</v>
      </c>
      <c r="BE20" s="1036">
        <f>SUM(SUMIFS(P20:AI20,P14:AI14,{"[1]家族","[3]ゆい・手間替え受け"},P12:AI12,"[2]女"))</f>
        <v>0</v>
      </c>
      <c r="BF20" s="1030">
        <f t="shared" si="2"/>
        <v>0</v>
      </c>
      <c r="BG20" s="1027">
        <f t="shared" si="5"/>
        <v>0</v>
      </c>
      <c r="BH20" s="1031">
        <f>SUM(SUMIFS(P20:AI20,P14:AI14,{"[2]同居人","[4]手伝い・共同作業受け"},P12:AI12,"[1]男"))</f>
        <v>0</v>
      </c>
      <c r="BI20" s="1034">
        <f t="shared" si="0"/>
        <v>0</v>
      </c>
      <c r="BJ20" s="1033">
        <f t="shared" si="3"/>
        <v>0</v>
      </c>
      <c r="BK20" s="1031">
        <f>SUM(SUMIFS(P20:AI20,P14:AI14,{"[2]同居人","[4]手伝い・共同作業受け"},P12:AI12,"[2]女"))</f>
        <v>0</v>
      </c>
      <c r="BL20" s="1034">
        <f t="shared" si="1"/>
        <v>0</v>
      </c>
      <c r="BM20" s="1027">
        <f t="shared" si="4"/>
        <v>0</v>
      </c>
    </row>
    <row r="21" spans="3:83" ht="31.5" hidden="1" customHeight="1">
      <c r="C21" s="2115" t="s">
        <v>746</v>
      </c>
      <c r="D21" s="2116"/>
      <c r="E21" s="2117"/>
      <c r="F21" s="2124" t="s">
        <v>747</v>
      </c>
      <c r="G21" s="2124"/>
      <c r="H21" s="2124"/>
      <c r="I21" s="2124"/>
      <c r="J21" s="2124"/>
      <c r="K21" s="2124"/>
      <c r="L21" s="2124"/>
      <c r="M21" s="2124"/>
      <c r="N21" s="2124"/>
      <c r="O21" s="2124"/>
      <c r="P21" s="1043"/>
      <c r="Q21" s="1044"/>
      <c r="R21" s="1044"/>
      <c r="S21" s="1044"/>
      <c r="T21" s="1044"/>
      <c r="U21" s="1048"/>
      <c r="V21" s="1049"/>
      <c r="W21" s="1049"/>
      <c r="X21" s="1049"/>
      <c r="Y21" s="1049"/>
      <c r="Z21" s="1049"/>
      <c r="AA21" s="1049"/>
      <c r="AB21" s="1049"/>
      <c r="AC21" s="1049"/>
      <c r="AD21" s="1049"/>
      <c r="AE21" s="1049"/>
      <c r="AF21" s="1049"/>
      <c r="AG21" s="1049"/>
      <c r="AH21" s="1049"/>
      <c r="AI21" s="1050"/>
      <c r="AJ21" s="1051"/>
      <c r="AK21" s="1047"/>
      <c r="AL21" s="2123" t="s">
        <v>746</v>
      </c>
      <c r="AM21" s="1258"/>
      <c r="AN21" s="2121"/>
      <c r="AO21" s="2124" t="s">
        <v>748</v>
      </c>
      <c r="AP21" s="2124"/>
      <c r="AQ21" s="2124"/>
      <c r="AR21" s="2124"/>
      <c r="AS21" s="2124"/>
      <c r="AT21" s="2124"/>
      <c r="AU21" s="2124"/>
      <c r="AV21" s="2124"/>
      <c r="AW21" s="2124"/>
      <c r="AX21" s="2125"/>
      <c r="BB21" s="1997"/>
      <c r="BC21" s="904" t="s">
        <v>749</v>
      </c>
      <c r="BD21" s="1035">
        <f>SUM(SUMIFS(P21:AI21,P14:AI14,{"[1]家族","[3]ゆい・手間替え受け"},P12:AI12,"[1]男"))</f>
        <v>0</v>
      </c>
      <c r="BE21" s="1036">
        <f>SUM(SUMIFS(P21:AI21,P14:AI14,{"[1]家族","[3]ゆい・手間替え受け"},P12:AI12,"[2]女"))</f>
        <v>0</v>
      </c>
      <c r="BF21" s="1030">
        <f t="shared" si="2"/>
        <v>0</v>
      </c>
      <c r="BG21" s="1027">
        <f t="shared" si="5"/>
        <v>0</v>
      </c>
      <c r="BH21" s="1031">
        <f>SUM(SUMIFS(P21:AI21,P14:AI14,{"[2]同居人","[4]手伝い・共同作業受け"},P12:AI12,"[1]男"))</f>
        <v>0</v>
      </c>
      <c r="BI21" s="1034">
        <f t="shared" si="0"/>
        <v>0</v>
      </c>
      <c r="BJ21" s="1033">
        <f t="shared" si="3"/>
        <v>0</v>
      </c>
      <c r="BK21" s="1031">
        <f>SUM(SUMIFS(P21:AI21,P14:AI14,{"[2]同居人","[4]手伝い・共同作業受け"},P12:AI12,"[2]女"))</f>
        <v>0</v>
      </c>
      <c r="BL21" s="1034">
        <f t="shared" si="1"/>
        <v>0</v>
      </c>
      <c r="BM21" s="1027">
        <f t="shared" si="4"/>
        <v>0</v>
      </c>
      <c r="BO21" s="879"/>
      <c r="BP21" s="879"/>
      <c r="BQ21" s="880"/>
      <c r="BR21" s="880"/>
      <c r="BS21" s="880"/>
      <c r="BT21" s="880"/>
      <c r="BU21" s="880"/>
      <c r="BV21" s="880"/>
      <c r="BW21" s="880"/>
      <c r="BX21" s="880"/>
      <c r="BY21" s="880"/>
      <c r="BZ21" s="880"/>
      <c r="CA21" s="880"/>
      <c r="CB21" s="880"/>
      <c r="CC21" s="880"/>
      <c r="CD21" s="880"/>
      <c r="CE21" s="880"/>
    </row>
    <row r="22" spans="3:83" ht="31.5" customHeight="1">
      <c r="C22" s="2123" t="s">
        <v>750</v>
      </c>
      <c r="D22" s="1258"/>
      <c r="E22" s="2121"/>
      <c r="F22" s="2118" t="s">
        <v>751</v>
      </c>
      <c r="G22" s="2119"/>
      <c r="H22" s="2119"/>
      <c r="I22" s="2119"/>
      <c r="J22" s="2119"/>
      <c r="K22" s="2119"/>
      <c r="L22" s="2119"/>
      <c r="M22" s="2119"/>
      <c r="N22" s="2119"/>
      <c r="O22" s="2119"/>
      <c r="P22" s="1043"/>
      <c r="Q22" s="1044"/>
      <c r="R22" s="1044"/>
      <c r="S22" s="1044"/>
      <c r="T22" s="1044"/>
      <c r="U22" s="1048"/>
      <c r="V22" s="1049"/>
      <c r="W22" s="1049"/>
      <c r="X22" s="1049"/>
      <c r="Y22" s="1049"/>
      <c r="Z22" s="1049"/>
      <c r="AA22" s="1049"/>
      <c r="AB22" s="1049"/>
      <c r="AC22" s="1049"/>
      <c r="AD22" s="1049"/>
      <c r="AE22" s="1049"/>
      <c r="AF22" s="1049"/>
      <c r="AG22" s="1049"/>
      <c r="AH22" s="1049"/>
      <c r="AI22" s="1050"/>
      <c r="AJ22" s="1051"/>
      <c r="AK22" s="1047"/>
      <c r="AL22" s="2120" t="s">
        <v>750</v>
      </c>
      <c r="AM22" s="1258"/>
      <c r="AN22" s="2121"/>
      <c r="AO22" s="2118" t="s">
        <v>752</v>
      </c>
      <c r="AP22" s="2119"/>
      <c r="AQ22" s="2119"/>
      <c r="AR22" s="2119"/>
      <c r="AS22" s="2119"/>
      <c r="AT22" s="2119"/>
      <c r="AU22" s="2119"/>
      <c r="AV22" s="2119"/>
      <c r="AW22" s="2119"/>
      <c r="AX22" s="2122"/>
      <c r="BB22" s="1997"/>
      <c r="BC22" s="904" t="s">
        <v>753</v>
      </c>
      <c r="BD22" s="1035">
        <f>SUM(SUMIFS(P22:AI22,P14:AI14,{"[1]家族","[3]ゆい・手間替え受け"},P12:AI12,"[1]男"))</f>
        <v>0</v>
      </c>
      <c r="BE22" s="1036">
        <f>SUM(SUMIFS(P22:AI22,P14:AI14,{"[1]家族","[3]ゆい・手間替え受け"},P12:AI12,"[2]女"))</f>
        <v>0</v>
      </c>
      <c r="BF22" s="1030">
        <f t="shared" si="2"/>
        <v>0</v>
      </c>
      <c r="BG22" s="1027">
        <f t="shared" si="5"/>
        <v>0</v>
      </c>
      <c r="BH22" s="1031">
        <f>SUM(SUMIFS(P22:AI22,P14:AI14,{"[2]同居人","[4]手伝い・共同作業受け"},P12:AI12,"[1]男"))</f>
        <v>0</v>
      </c>
      <c r="BI22" s="1034">
        <f t="shared" si="0"/>
        <v>0</v>
      </c>
      <c r="BJ22" s="1033">
        <f t="shared" si="3"/>
        <v>0</v>
      </c>
      <c r="BK22" s="1031">
        <f>SUM(SUMIFS(P22:AI22,P14:AI14,{"[2]同居人","[4]手伝い・共同作業受け"},P12:AI12,"[2]女"))</f>
        <v>0</v>
      </c>
      <c r="BL22" s="1034">
        <f t="shared" si="1"/>
        <v>0</v>
      </c>
      <c r="BM22" s="1027">
        <f t="shared" si="4"/>
        <v>0</v>
      </c>
      <c r="BO22" s="879"/>
      <c r="BP22" s="879"/>
      <c r="BQ22" s="880"/>
      <c r="BR22" s="880"/>
      <c r="BS22" s="880"/>
      <c r="BT22" s="880"/>
      <c r="BU22" s="880"/>
      <c r="BV22" s="880"/>
      <c r="BW22" s="880"/>
      <c r="BX22" s="382"/>
      <c r="BY22" s="382"/>
      <c r="BZ22" s="382"/>
      <c r="CA22" s="382"/>
      <c r="CB22" s="382"/>
      <c r="CC22" s="382"/>
      <c r="CD22" s="382"/>
      <c r="CE22" s="880"/>
    </row>
    <row r="23" spans="3:83" ht="31.5" customHeight="1">
      <c r="C23" s="2115" t="s">
        <v>754</v>
      </c>
      <c r="D23" s="2116"/>
      <c r="E23" s="2117"/>
      <c r="F23" s="2118" t="s">
        <v>755</v>
      </c>
      <c r="G23" s="2119"/>
      <c r="H23" s="2119"/>
      <c r="I23" s="2119"/>
      <c r="J23" s="2119"/>
      <c r="K23" s="2119"/>
      <c r="L23" s="2119"/>
      <c r="M23" s="2119"/>
      <c r="N23" s="2119"/>
      <c r="O23" s="2119"/>
      <c r="P23" s="1043"/>
      <c r="Q23" s="1044"/>
      <c r="R23" s="1044"/>
      <c r="S23" s="1044"/>
      <c r="T23" s="1044"/>
      <c r="U23" s="1048"/>
      <c r="V23" s="1049"/>
      <c r="W23" s="1049"/>
      <c r="X23" s="1049"/>
      <c r="Y23" s="1049"/>
      <c r="Z23" s="1049"/>
      <c r="AA23" s="1049"/>
      <c r="AB23" s="1049"/>
      <c r="AC23" s="1049"/>
      <c r="AD23" s="1049"/>
      <c r="AE23" s="1049"/>
      <c r="AF23" s="1049"/>
      <c r="AG23" s="1049"/>
      <c r="AH23" s="1049"/>
      <c r="AI23" s="1050"/>
      <c r="AJ23" s="1051"/>
      <c r="AK23" s="1047"/>
      <c r="AL23" s="2120" t="s">
        <v>754</v>
      </c>
      <c r="AM23" s="1258"/>
      <c r="AN23" s="2121"/>
      <c r="AO23" s="2118" t="s">
        <v>756</v>
      </c>
      <c r="AP23" s="2119"/>
      <c r="AQ23" s="2119"/>
      <c r="AR23" s="2119"/>
      <c r="AS23" s="2119"/>
      <c r="AT23" s="2119"/>
      <c r="AU23" s="2119"/>
      <c r="AV23" s="2119"/>
      <c r="AW23" s="2119"/>
      <c r="AX23" s="2122"/>
      <c r="BB23" s="1997"/>
      <c r="BC23" s="904" t="s">
        <v>757</v>
      </c>
      <c r="BD23" s="1035">
        <f>SUM(SUMIFS(P23:AI23,P14:AI14,{"[1]家族","[3]ゆい・手間替え受け"},P12:AI12,"[1]男"))</f>
        <v>0</v>
      </c>
      <c r="BE23" s="1036">
        <f>SUM(SUMIFS(P23:AI23,P14:AI14,{"[1]家族","[3]ゆい・手間替え受け"},P12:AI12,"[2]女"))</f>
        <v>0</v>
      </c>
      <c r="BF23" s="1030">
        <f t="shared" si="2"/>
        <v>0</v>
      </c>
      <c r="BG23" s="1027">
        <f t="shared" si="5"/>
        <v>0</v>
      </c>
      <c r="BH23" s="1031">
        <f>SUM(SUMIFS(P23:AI23,P14:AI14,{"[2]同居人","[4]手伝い・共同作業受け"},P12:AI12,"[1]男"))</f>
        <v>0</v>
      </c>
      <c r="BI23" s="1034">
        <f t="shared" si="0"/>
        <v>0</v>
      </c>
      <c r="BJ23" s="1033">
        <f t="shared" si="3"/>
        <v>0</v>
      </c>
      <c r="BK23" s="1031">
        <f>SUM(SUMIFS(P23:AI23,P14:AI14,{"[2]同居人","[4]手伝い・共同作業受け"},P12:AI12,"[2]女"))</f>
        <v>0</v>
      </c>
      <c r="BL23" s="1034">
        <f t="shared" si="1"/>
        <v>0</v>
      </c>
      <c r="BM23" s="1027">
        <f t="shared" si="4"/>
        <v>0</v>
      </c>
      <c r="BO23" s="879"/>
      <c r="BP23" s="879"/>
      <c r="BQ23" s="880"/>
      <c r="BR23" s="880"/>
      <c r="BS23" s="880"/>
      <c r="BT23" s="880"/>
      <c r="BU23" s="880"/>
      <c r="BV23" s="880"/>
      <c r="BW23" s="880"/>
      <c r="BX23" s="880"/>
      <c r="BY23" s="880"/>
      <c r="BZ23" s="880"/>
      <c r="CA23" s="880"/>
      <c r="CB23" s="880"/>
      <c r="CC23" s="880"/>
      <c r="CD23" s="880"/>
      <c r="CE23" s="880"/>
    </row>
    <row r="24" spans="3:83" ht="31.5" hidden="1" customHeight="1">
      <c r="C24" s="2123" t="s">
        <v>758</v>
      </c>
      <c r="D24" s="1258"/>
      <c r="E24" s="2121"/>
      <c r="F24" s="2118" t="s">
        <v>759</v>
      </c>
      <c r="G24" s="2119"/>
      <c r="H24" s="2119"/>
      <c r="I24" s="2119"/>
      <c r="J24" s="2119"/>
      <c r="K24" s="2119"/>
      <c r="L24" s="2119"/>
      <c r="M24" s="2119"/>
      <c r="N24" s="2119"/>
      <c r="O24" s="2119"/>
      <c r="P24" s="1043"/>
      <c r="Q24" s="1044"/>
      <c r="R24" s="1044"/>
      <c r="S24" s="1044"/>
      <c r="T24" s="1044"/>
      <c r="U24" s="1048"/>
      <c r="V24" s="1049"/>
      <c r="W24" s="1049"/>
      <c r="X24" s="1049"/>
      <c r="Y24" s="1049"/>
      <c r="Z24" s="1049"/>
      <c r="AA24" s="1049"/>
      <c r="AB24" s="1049"/>
      <c r="AC24" s="1049"/>
      <c r="AD24" s="1049"/>
      <c r="AE24" s="1049"/>
      <c r="AF24" s="1049"/>
      <c r="AG24" s="1049"/>
      <c r="AH24" s="1049"/>
      <c r="AI24" s="1050"/>
      <c r="AJ24" s="1051"/>
      <c r="AK24" s="1047"/>
      <c r="AL24" s="2123" t="s">
        <v>758</v>
      </c>
      <c r="AM24" s="1258"/>
      <c r="AN24" s="2121"/>
      <c r="AO24" s="2118" t="s">
        <v>760</v>
      </c>
      <c r="AP24" s="2119"/>
      <c r="AQ24" s="2119"/>
      <c r="AR24" s="2119"/>
      <c r="AS24" s="2119"/>
      <c r="AT24" s="2119"/>
      <c r="AU24" s="2119"/>
      <c r="AV24" s="2119"/>
      <c r="AW24" s="2119"/>
      <c r="AX24" s="2122"/>
      <c r="BB24" s="1997"/>
      <c r="BC24" s="904" t="s">
        <v>761</v>
      </c>
      <c r="BD24" s="1035">
        <f>SUM(SUMIFS(P24:AI24,P14:AI14,{"[1]家族","[3]ゆい・手間替え受け"},P12:AI12,"[1]男"))</f>
        <v>0</v>
      </c>
      <c r="BE24" s="1036">
        <f>SUM(SUMIFS(P24:AI24,P14:AI14,{"[1]家族","[3]ゆい・手間替え受け"},P12:AI12,"[2]女"))</f>
        <v>0</v>
      </c>
      <c r="BF24" s="1030">
        <f t="shared" si="2"/>
        <v>0</v>
      </c>
      <c r="BG24" s="1027">
        <f t="shared" si="5"/>
        <v>0</v>
      </c>
      <c r="BH24" s="1031">
        <f>SUM(SUMIFS(P24:AI24,P14:AI14,{"[2]同居人","[4]手伝い・共同作業受け"},P12:AI12,"[1]男"))</f>
        <v>0</v>
      </c>
      <c r="BI24" s="1034">
        <f t="shared" si="0"/>
        <v>0</v>
      </c>
      <c r="BJ24" s="1033">
        <f t="shared" si="3"/>
        <v>0</v>
      </c>
      <c r="BK24" s="1031">
        <f>SUM(SUMIFS(P24:AI24,P14:AI14,{"[2]同居人","[4]手伝い・共同作業受け"},P12:AI12,"[2]女"))</f>
        <v>0</v>
      </c>
      <c r="BL24" s="1034">
        <f t="shared" si="1"/>
        <v>0</v>
      </c>
      <c r="BM24" s="1027">
        <f t="shared" si="4"/>
        <v>0</v>
      </c>
      <c r="BO24" s="879"/>
      <c r="BP24" s="879"/>
      <c r="BQ24" s="880"/>
      <c r="BR24" s="382"/>
      <c r="BS24" s="382"/>
      <c r="BT24" s="382"/>
      <c r="BU24" s="880"/>
      <c r="BV24" s="880"/>
      <c r="BW24" s="880"/>
      <c r="BX24" s="880"/>
      <c r="BY24" s="382"/>
      <c r="BZ24" s="382"/>
      <c r="CA24" s="382"/>
      <c r="CB24" s="880"/>
      <c r="CC24" s="880"/>
      <c r="CD24" s="880"/>
      <c r="CE24" s="880"/>
    </row>
    <row r="25" spans="3:83" ht="31.5" customHeight="1">
      <c r="C25" s="2123" t="s">
        <v>762</v>
      </c>
      <c r="D25" s="2120"/>
      <c r="E25" s="2126"/>
      <c r="F25" s="2118" t="s">
        <v>763</v>
      </c>
      <c r="G25" s="2119"/>
      <c r="H25" s="2119"/>
      <c r="I25" s="2119"/>
      <c r="J25" s="2119"/>
      <c r="K25" s="2119"/>
      <c r="L25" s="2119"/>
      <c r="M25" s="2119"/>
      <c r="N25" s="2119"/>
      <c r="O25" s="2119"/>
      <c r="P25" s="1043"/>
      <c r="Q25" s="1044"/>
      <c r="R25" s="1044"/>
      <c r="S25" s="1044"/>
      <c r="T25" s="1044"/>
      <c r="U25" s="1048"/>
      <c r="V25" s="1049"/>
      <c r="W25" s="1049"/>
      <c r="X25" s="1049"/>
      <c r="Y25" s="1049"/>
      <c r="Z25" s="1049"/>
      <c r="AA25" s="1049"/>
      <c r="AB25" s="1049"/>
      <c r="AC25" s="1049"/>
      <c r="AD25" s="1049"/>
      <c r="AE25" s="1049"/>
      <c r="AF25" s="1049"/>
      <c r="AG25" s="1049"/>
      <c r="AH25" s="1049"/>
      <c r="AI25" s="1050"/>
      <c r="AJ25" s="1051"/>
      <c r="AK25" s="1047"/>
      <c r="AL25" s="2120" t="s">
        <v>762</v>
      </c>
      <c r="AM25" s="2120"/>
      <c r="AN25" s="2126"/>
      <c r="AO25" s="2118" t="s">
        <v>764</v>
      </c>
      <c r="AP25" s="2119"/>
      <c r="AQ25" s="2119"/>
      <c r="AR25" s="2119"/>
      <c r="AS25" s="2119"/>
      <c r="AT25" s="2119"/>
      <c r="AU25" s="2119"/>
      <c r="AV25" s="2119"/>
      <c r="AW25" s="2119"/>
      <c r="AX25" s="2122"/>
      <c r="BB25" s="1997"/>
      <c r="BC25" s="904" t="s">
        <v>765</v>
      </c>
      <c r="BD25" s="1035">
        <f>SUM(SUMIFS(P25:AI25,P14:AI14,{"[1]家族","[3]ゆい・手間替え受け"},P12:AI12,"[1]男"))</f>
        <v>0</v>
      </c>
      <c r="BE25" s="1036">
        <f>SUM(SUMIFS(P25:AI25,P14:AI14,{"[1]家族","[3]ゆい・手間替え受け"},P12:AI12,"[2]女"))</f>
        <v>0</v>
      </c>
      <c r="BF25" s="1030">
        <f t="shared" si="2"/>
        <v>0</v>
      </c>
      <c r="BG25" s="1027">
        <f t="shared" si="5"/>
        <v>0</v>
      </c>
      <c r="BH25" s="1031">
        <f>SUM(SUMIFS(P25:AI25,P14:AI14,{"[2]同居人","[4]手伝い・共同作業受け"},P12:AI12,"[1]男"))</f>
        <v>0</v>
      </c>
      <c r="BI25" s="1034">
        <f t="shared" si="0"/>
        <v>0</v>
      </c>
      <c r="BJ25" s="1033">
        <f t="shared" si="3"/>
        <v>0</v>
      </c>
      <c r="BK25" s="1031">
        <f>SUM(SUMIFS(P25:AI25,P14:AI14,{"[2]同居人","[4]手伝い・共同作業受け"},P12:AI12,"[2]女"))</f>
        <v>0</v>
      </c>
      <c r="BL25" s="1034">
        <f t="shared" si="1"/>
        <v>0</v>
      </c>
      <c r="BM25" s="1027">
        <f t="shared" si="4"/>
        <v>0</v>
      </c>
      <c r="BO25" s="897"/>
      <c r="BP25" s="382"/>
      <c r="BQ25" s="898"/>
      <c r="BR25" s="898"/>
      <c r="BS25" s="898"/>
      <c r="BT25" s="898"/>
      <c r="BU25" s="898"/>
      <c r="BV25" s="898"/>
      <c r="BW25" s="898"/>
      <c r="BX25" s="898"/>
      <c r="BY25" s="898"/>
      <c r="BZ25" s="898"/>
      <c r="CA25" s="898"/>
      <c r="CB25" s="898"/>
      <c r="CC25" s="898"/>
      <c r="CD25" s="898"/>
      <c r="CE25" s="898"/>
    </row>
    <row r="26" spans="3:83" ht="31.5" customHeight="1">
      <c r="C26" s="2123" t="s">
        <v>766</v>
      </c>
      <c r="D26" s="1258"/>
      <c r="E26" s="2121"/>
      <c r="F26" s="2118" t="s">
        <v>767</v>
      </c>
      <c r="G26" s="2119"/>
      <c r="H26" s="2119"/>
      <c r="I26" s="2119"/>
      <c r="J26" s="2119"/>
      <c r="K26" s="2119"/>
      <c r="L26" s="2119"/>
      <c r="M26" s="2119"/>
      <c r="N26" s="2119"/>
      <c r="O26" s="2119"/>
      <c r="P26" s="1043"/>
      <c r="Q26" s="1044"/>
      <c r="R26" s="1044"/>
      <c r="S26" s="1044"/>
      <c r="T26" s="1044"/>
      <c r="U26" s="1048"/>
      <c r="V26" s="1049"/>
      <c r="W26" s="1049"/>
      <c r="X26" s="1049"/>
      <c r="Y26" s="1049"/>
      <c r="Z26" s="1049"/>
      <c r="AA26" s="1049"/>
      <c r="AB26" s="1049"/>
      <c r="AC26" s="1049"/>
      <c r="AD26" s="1049"/>
      <c r="AE26" s="1049"/>
      <c r="AF26" s="1049"/>
      <c r="AG26" s="1049"/>
      <c r="AH26" s="1049"/>
      <c r="AI26" s="1050"/>
      <c r="AJ26" s="1051"/>
      <c r="AK26" s="1047"/>
      <c r="AL26" s="2120" t="s">
        <v>766</v>
      </c>
      <c r="AM26" s="1258"/>
      <c r="AN26" s="2121"/>
      <c r="AO26" s="2118" t="s">
        <v>768</v>
      </c>
      <c r="AP26" s="2119"/>
      <c r="AQ26" s="2119"/>
      <c r="AR26" s="2119"/>
      <c r="AS26" s="2119"/>
      <c r="AT26" s="2119"/>
      <c r="AU26" s="2119"/>
      <c r="AV26" s="2119"/>
      <c r="AW26" s="2119"/>
      <c r="AX26" s="2122"/>
      <c r="BB26" s="1997"/>
      <c r="BC26" s="904" t="s">
        <v>769</v>
      </c>
      <c r="BD26" s="1035">
        <f>SUM(SUMIFS(P26:AI26,P14:AI14,{"[1]家族","[3]ゆい・手間替え受け"},P12:AI12,"[1]男"))</f>
        <v>0</v>
      </c>
      <c r="BE26" s="1036">
        <f>SUM(SUMIFS(P26:AI26,P14:AI14,{"[1]家族","[3]ゆい・手間替え受け"},P12:AI12,"[2]女"))</f>
        <v>0</v>
      </c>
      <c r="BF26" s="1030">
        <f t="shared" si="2"/>
        <v>0</v>
      </c>
      <c r="BG26" s="1027">
        <f t="shared" si="5"/>
        <v>0</v>
      </c>
      <c r="BH26" s="1031">
        <f>SUM(SUMIFS(P26:AI26,P14:AI14,{"[2]同居人","[4]手伝い・共同作業受け"},P12:AI12,"[1]男"))</f>
        <v>0</v>
      </c>
      <c r="BI26" s="1034">
        <f t="shared" si="0"/>
        <v>0</v>
      </c>
      <c r="BJ26" s="1033">
        <f t="shared" si="3"/>
        <v>0</v>
      </c>
      <c r="BK26" s="1031">
        <f>SUM(SUMIFS(P26:AI26,P14:AI14,{"[2]同居人","[4]手伝い・共同作業受け"},P12:AI12,"[2]女"))</f>
        <v>0</v>
      </c>
      <c r="BL26" s="1034">
        <f t="shared" si="1"/>
        <v>0</v>
      </c>
      <c r="BM26" s="1027">
        <f t="shared" si="4"/>
        <v>0</v>
      </c>
      <c r="BO26" s="897"/>
      <c r="BP26" s="382"/>
      <c r="BQ26" s="898"/>
      <c r="BR26" s="898"/>
      <c r="BS26" s="898"/>
      <c r="BT26" s="898"/>
      <c r="BU26" s="898"/>
      <c r="BV26" s="898"/>
      <c r="BW26" s="898"/>
      <c r="BX26" s="898"/>
      <c r="BY26" s="898"/>
      <c r="BZ26" s="898"/>
      <c r="CA26" s="898"/>
      <c r="CB26" s="898"/>
      <c r="CC26" s="898"/>
      <c r="CD26" s="898"/>
      <c r="CE26" s="898"/>
    </row>
    <row r="27" spans="3:83" ht="31.5" hidden="1" customHeight="1">
      <c r="C27" s="2123" t="s">
        <v>770</v>
      </c>
      <c r="D27" s="1258"/>
      <c r="E27" s="2121"/>
      <c r="F27" s="2124" t="s">
        <v>771</v>
      </c>
      <c r="G27" s="2124"/>
      <c r="H27" s="2124"/>
      <c r="I27" s="2124"/>
      <c r="J27" s="2124"/>
      <c r="K27" s="2124"/>
      <c r="L27" s="2124"/>
      <c r="M27" s="2124"/>
      <c r="N27" s="2124"/>
      <c r="O27" s="2124"/>
      <c r="P27" s="1043"/>
      <c r="Q27" s="1044"/>
      <c r="R27" s="1044"/>
      <c r="S27" s="1044"/>
      <c r="T27" s="1044"/>
      <c r="U27" s="1048"/>
      <c r="V27" s="1049"/>
      <c r="W27" s="1049"/>
      <c r="X27" s="1049"/>
      <c r="Y27" s="1049"/>
      <c r="Z27" s="1049"/>
      <c r="AA27" s="1049"/>
      <c r="AB27" s="1049"/>
      <c r="AC27" s="1049"/>
      <c r="AD27" s="1049"/>
      <c r="AE27" s="1049"/>
      <c r="AF27" s="1049"/>
      <c r="AG27" s="1049"/>
      <c r="AH27" s="1049"/>
      <c r="AI27" s="1050"/>
      <c r="AJ27" s="1051"/>
      <c r="AK27" s="1047"/>
      <c r="AL27" s="2123" t="s">
        <v>770</v>
      </c>
      <c r="AM27" s="1258"/>
      <c r="AN27" s="2121"/>
      <c r="AO27" s="2124" t="s">
        <v>772</v>
      </c>
      <c r="AP27" s="2124"/>
      <c r="AQ27" s="2124"/>
      <c r="AR27" s="2124"/>
      <c r="AS27" s="2124"/>
      <c r="AT27" s="2124"/>
      <c r="AU27" s="2124"/>
      <c r="AV27" s="2124"/>
      <c r="AW27" s="2124"/>
      <c r="AX27" s="2125"/>
      <c r="BB27" s="1997"/>
      <c r="BC27" s="904" t="s">
        <v>773</v>
      </c>
      <c r="BD27" s="1035">
        <f>SUM(SUMIFS(P27:AI27,P14:AI14,{"[1]家族","[3]ゆい・手間替え受け"},P12:AI12,"[1]男"))</f>
        <v>0</v>
      </c>
      <c r="BE27" s="1036">
        <f>SUM(SUMIFS(P27:AI27,P14:AI14,{"[1]家族","[3]ゆい・手間替え受け"},P12:AI12,"[2]女"))</f>
        <v>0</v>
      </c>
      <c r="BF27" s="1030">
        <f t="shared" si="2"/>
        <v>0</v>
      </c>
      <c r="BG27" s="1027">
        <f t="shared" si="5"/>
        <v>0</v>
      </c>
      <c r="BH27" s="1031">
        <f>SUM(SUMIFS(P27:AI27,P14:AI14,{"[2]同居人","[4]手伝い・共同作業受け"},P12:AI12,"[1]男"))</f>
        <v>0</v>
      </c>
      <c r="BI27" s="1034">
        <f t="shared" si="0"/>
        <v>0</v>
      </c>
      <c r="BJ27" s="1033">
        <f t="shared" si="3"/>
        <v>0</v>
      </c>
      <c r="BK27" s="1031">
        <f>SUM(SUMIFS(P27:AI27,P14:AI14,{"[2]同居人","[4]手伝い・共同作業受け"},P12:AI12,"[2]女"))</f>
        <v>0</v>
      </c>
      <c r="BL27" s="1034">
        <f t="shared" si="1"/>
        <v>0</v>
      </c>
      <c r="BM27" s="1027">
        <f t="shared" si="4"/>
        <v>0</v>
      </c>
      <c r="BO27" s="897"/>
      <c r="BP27" s="382"/>
      <c r="BQ27" s="898"/>
      <c r="BR27" s="898"/>
      <c r="BS27" s="898"/>
      <c r="BT27" s="898"/>
      <c r="BU27" s="898"/>
      <c r="BV27" s="898"/>
      <c r="BW27" s="898"/>
      <c r="BX27" s="898"/>
      <c r="BY27" s="898"/>
      <c r="BZ27" s="898"/>
      <c r="CA27" s="898"/>
      <c r="CB27" s="898"/>
      <c r="CC27" s="898"/>
      <c r="CD27" s="898"/>
      <c r="CE27" s="898"/>
    </row>
    <row r="28" spans="3:83" ht="31.5" customHeight="1">
      <c r="C28" s="2123" t="s">
        <v>774</v>
      </c>
      <c r="D28" s="1258"/>
      <c r="E28" s="2121"/>
      <c r="F28" s="2118" t="s">
        <v>775</v>
      </c>
      <c r="G28" s="2119"/>
      <c r="H28" s="2119"/>
      <c r="I28" s="2119"/>
      <c r="J28" s="2119"/>
      <c r="K28" s="2119"/>
      <c r="L28" s="2119"/>
      <c r="M28" s="2119"/>
      <c r="N28" s="2119"/>
      <c r="O28" s="2119"/>
      <c r="P28" s="1043"/>
      <c r="Q28" s="1044"/>
      <c r="R28" s="1044"/>
      <c r="S28" s="1044"/>
      <c r="T28" s="1044"/>
      <c r="U28" s="1048"/>
      <c r="V28" s="1049"/>
      <c r="W28" s="1049"/>
      <c r="X28" s="1049"/>
      <c r="Y28" s="1049"/>
      <c r="Z28" s="1049"/>
      <c r="AA28" s="1049"/>
      <c r="AB28" s="1049"/>
      <c r="AC28" s="1049"/>
      <c r="AD28" s="1049"/>
      <c r="AE28" s="1049"/>
      <c r="AF28" s="1049"/>
      <c r="AG28" s="1049"/>
      <c r="AH28" s="1049"/>
      <c r="AI28" s="1050"/>
      <c r="AJ28" s="1051"/>
      <c r="AK28" s="1047"/>
      <c r="AL28" s="2120" t="s">
        <v>774</v>
      </c>
      <c r="AM28" s="1258"/>
      <c r="AN28" s="2121"/>
      <c r="AO28" s="2118" t="s">
        <v>775</v>
      </c>
      <c r="AP28" s="2119"/>
      <c r="AQ28" s="2119"/>
      <c r="AR28" s="2119"/>
      <c r="AS28" s="2119"/>
      <c r="AT28" s="2119"/>
      <c r="AU28" s="2119"/>
      <c r="AV28" s="2119"/>
      <c r="AW28" s="2119"/>
      <c r="AX28" s="2122"/>
      <c r="BB28" s="1997"/>
      <c r="BC28" s="904" t="s">
        <v>776</v>
      </c>
      <c r="BD28" s="1035">
        <f>SUM(SUMIFS(P28:AI28,P14:AI14,{"[1]家族","[3]ゆい・手間替え受け"},P12:AI12,"[1]男"))</f>
        <v>0</v>
      </c>
      <c r="BE28" s="1036">
        <f>SUM(SUMIFS(P28:AI28,P14:AI14,{"[1]家族","[3]ゆい・手間替え受け"},P12:AI12,"[2]女"))</f>
        <v>0</v>
      </c>
      <c r="BF28" s="1030">
        <f t="shared" si="2"/>
        <v>0</v>
      </c>
      <c r="BG28" s="1027">
        <f t="shared" si="5"/>
        <v>0</v>
      </c>
      <c r="BH28" s="1031">
        <f>SUM(SUMIFS(P28:AI28,P14:AI14,{"[2]同居人","[4]手伝い・共同作業受け"},P12:AI12,"[1]男"))</f>
        <v>0</v>
      </c>
      <c r="BI28" s="1034">
        <f t="shared" si="0"/>
        <v>0</v>
      </c>
      <c r="BJ28" s="1033">
        <f t="shared" si="3"/>
        <v>0</v>
      </c>
      <c r="BK28" s="1031">
        <f>SUM(SUMIFS(P28:AI28,P14:AI14,{"[2]同居人","[4]手伝い・共同作業受け"},P12:AI12,"[2]女"))</f>
        <v>0</v>
      </c>
      <c r="BL28" s="1034">
        <f t="shared" si="1"/>
        <v>0</v>
      </c>
      <c r="BM28" s="1027">
        <f t="shared" si="4"/>
        <v>0</v>
      </c>
      <c r="BO28" s="897"/>
      <c r="BP28" s="382"/>
      <c r="BQ28" s="898"/>
      <c r="BR28" s="898"/>
      <c r="BS28" s="898"/>
      <c r="BT28" s="898"/>
      <c r="BU28" s="898"/>
      <c r="BV28" s="898"/>
      <c r="BW28" s="898"/>
      <c r="BX28" s="898"/>
      <c r="BY28" s="898"/>
      <c r="BZ28" s="898"/>
      <c r="CA28" s="898"/>
      <c r="CB28" s="898"/>
      <c r="CC28" s="898"/>
      <c r="CD28" s="898"/>
      <c r="CE28" s="898"/>
    </row>
    <row r="29" spans="3:83" ht="31.5" customHeight="1" thickBot="1">
      <c r="C29" s="2123" t="s">
        <v>777</v>
      </c>
      <c r="D29" s="1258"/>
      <c r="E29" s="2121"/>
      <c r="F29" s="2118" t="s">
        <v>778</v>
      </c>
      <c r="G29" s="2119"/>
      <c r="H29" s="2119"/>
      <c r="I29" s="2119"/>
      <c r="J29" s="2119"/>
      <c r="K29" s="2119"/>
      <c r="L29" s="2119"/>
      <c r="M29" s="2119"/>
      <c r="N29" s="2119"/>
      <c r="O29" s="2119"/>
      <c r="P29" s="1043"/>
      <c r="Q29" s="1044"/>
      <c r="R29" s="1044"/>
      <c r="S29" s="1044"/>
      <c r="T29" s="1044"/>
      <c r="U29" s="1048"/>
      <c r="V29" s="1049"/>
      <c r="W29" s="1049"/>
      <c r="X29" s="1049"/>
      <c r="Y29" s="1049"/>
      <c r="Z29" s="1049"/>
      <c r="AA29" s="1049"/>
      <c r="AB29" s="1049"/>
      <c r="AC29" s="1049"/>
      <c r="AD29" s="1049"/>
      <c r="AE29" s="1049"/>
      <c r="AF29" s="1049"/>
      <c r="AG29" s="1049"/>
      <c r="AH29" s="1049"/>
      <c r="AI29" s="1050"/>
      <c r="AJ29" s="1052"/>
      <c r="AK29" s="1053"/>
      <c r="AL29" s="2120" t="s">
        <v>779</v>
      </c>
      <c r="AM29" s="1258"/>
      <c r="AN29" s="2121"/>
      <c r="AO29" s="2118" t="s">
        <v>778</v>
      </c>
      <c r="AP29" s="2119"/>
      <c r="AQ29" s="2119"/>
      <c r="AR29" s="2119"/>
      <c r="AS29" s="2119"/>
      <c r="AT29" s="2119"/>
      <c r="AU29" s="2119"/>
      <c r="AV29" s="2119"/>
      <c r="AW29" s="2119"/>
      <c r="AX29" s="2122"/>
      <c r="BB29" s="1997"/>
      <c r="BC29" s="904" t="s">
        <v>780</v>
      </c>
      <c r="BD29" s="1035">
        <f>SUM(SUMIFS(P29:AI29,P14:AI14,{"[1]家族","[3]ゆい・手間替え受け"},P12:AI12,"[1]男"))</f>
        <v>0</v>
      </c>
      <c r="BE29" s="1036">
        <f>SUM(SUMIFS(P29:AI29,P14:AI14,{"[1]家族","[3]ゆい・手間替え受け"},P12:AI12,"[2]女"))</f>
        <v>0</v>
      </c>
      <c r="BF29" s="1030">
        <f t="shared" si="2"/>
        <v>0</v>
      </c>
      <c r="BG29" s="1027">
        <f>AJ29</f>
        <v>0</v>
      </c>
      <c r="BH29" s="1031">
        <f>SUM(SUMIFS(P29:AI29,P14:AI14,{"[2]同居人","[4]手伝い・共同作業受け"},P12:AI12,"[1]男"))</f>
        <v>0</v>
      </c>
      <c r="BI29" s="1037">
        <f t="shared" si="0"/>
        <v>0</v>
      </c>
      <c r="BJ29" s="1033">
        <f t="shared" si="3"/>
        <v>0</v>
      </c>
      <c r="BK29" s="1031">
        <f>SUM(SUMIFS(P29:AI29,P14:AI14,{"[2]同居人","[4]手伝い・共同作業受け"},P12:AI12,"[2]女"))</f>
        <v>0</v>
      </c>
      <c r="BL29" s="1037">
        <f t="shared" si="1"/>
        <v>0</v>
      </c>
      <c r="BM29" s="1027">
        <f t="shared" si="4"/>
        <v>0</v>
      </c>
      <c r="BO29" s="897"/>
      <c r="BP29" s="382"/>
      <c r="BQ29" s="898"/>
      <c r="BR29" s="898"/>
      <c r="BS29" s="898"/>
      <c r="BT29" s="898"/>
      <c r="BU29" s="898"/>
      <c r="BV29" s="898"/>
      <c r="BW29" s="898"/>
      <c r="BX29" s="898"/>
      <c r="BY29" s="898"/>
      <c r="BZ29" s="898"/>
      <c r="CA29" s="898"/>
      <c r="CB29" s="898"/>
      <c r="CC29" s="898"/>
      <c r="CD29" s="898"/>
      <c r="CE29" s="898"/>
    </row>
    <row r="30" spans="3:83" ht="31.5" customHeight="1" thickTop="1" thickBot="1">
      <c r="C30" s="2123" t="s">
        <v>781</v>
      </c>
      <c r="D30" s="1258"/>
      <c r="E30" s="2121"/>
      <c r="F30" s="2118" t="s">
        <v>782</v>
      </c>
      <c r="G30" s="2119"/>
      <c r="H30" s="2119"/>
      <c r="I30" s="2119"/>
      <c r="J30" s="2119"/>
      <c r="K30" s="2119"/>
      <c r="L30" s="2119"/>
      <c r="M30" s="2119"/>
      <c r="N30" s="2119"/>
      <c r="O30" s="2119"/>
      <c r="P30" s="1054"/>
      <c r="Q30" s="1055"/>
      <c r="R30" s="1055"/>
      <c r="S30" s="1055"/>
      <c r="T30" s="1055"/>
      <c r="U30" s="1056"/>
      <c r="V30" s="1057"/>
      <c r="W30" s="1057"/>
      <c r="X30" s="1057"/>
      <c r="Y30" s="1057"/>
      <c r="Z30" s="1057"/>
      <c r="AA30" s="1057"/>
      <c r="AB30" s="1057"/>
      <c r="AC30" s="1057"/>
      <c r="AD30" s="1057"/>
      <c r="AE30" s="1057"/>
      <c r="AF30" s="1057"/>
      <c r="AG30" s="1057"/>
      <c r="AH30" s="1057"/>
      <c r="AI30" s="1058"/>
      <c r="AJ30" s="1059"/>
      <c r="AK30" s="1060"/>
      <c r="AL30" s="2127" t="s">
        <v>781</v>
      </c>
      <c r="AM30" s="2128"/>
      <c r="AN30" s="2129"/>
      <c r="AO30" s="2118" t="s">
        <v>782</v>
      </c>
      <c r="AP30" s="2119"/>
      <c r="AQ30" s="2119"/>
      <c r="AR30" s="2119"/>
      <c r="AS30" s="2119"/>
      <c r="AT30" s="2119"/>
      <c r="AU30" s="2119"/>
      <c r="AV30" s="2119"/>
      <c r="AW30" s="2119"/>
      <c r="AX30" s="2122"/>
      <c r="BB30" s="1997"/>
      <c r="BC30" s="904" t="s">
        <v>783</v>
      </c>
      <c r="BD30" s="1035">
        <f>SUM(SUMIFS(P30:AI30,P14:AI14,{"[1]家族"},P12:AI12,"[1]男"))</f>
        <v>0</v>
      </c>
      <c r="BE30" s="1036">
        <f>SUM(SUMIFS(P30:AI30,P14:AI14,{"[1]家族"},P12:AI12,"[2]女"))</f>
        <v>0</v>
      </c>
      <c r="BF30" s="1030">
        <f t="shared" si="2"/>
        <v>0</v>
      </c>
      <c r="BG30" s="1038"/>
      <c r="BH30" s="1038"/>
      <c r="BI30" s="1039"/>
      <c r="BJ30" s="1038"/>
      <c r="BK30" s="1038"/>
      <c r="BL30" s="1039"/>
      <c r="BM30" s="1038"/>
      <c r="BO30" s="39" t="s">
        <v>784</v>
      </c>
      <c r="BP30" s="382"/>
      <c r="BQ30" s="898"/>
      <c r="BR30" s="898"/>
      <c r="BS30" s="898"/>
      <c r="BT30" s="898"/>
      <c r="BU30" s="898"/>
      <c r="BV30" s="898"/>
      <c r="BW30" s="898"/>
      <c r="BX30" s="898"/>
      <c r="BY30" s="898"/>
      <c r="BZ30" s="898"/>
      <c r="CA30" s="898"/>
      <c r="CB30" s="898"/>
      <c r="CC30" s="898"/>
      <c r="CD30" s="898"/>
      <c r="CE30" s="898"/>
    </row>
    <row r="31" spans="3:83" ht="31.5" customHeight="1" thickTop="1" thickBot="1">
      <c r="C31" s="2130" t="s">
        <v>785</v>
      </c>
      <c r="D31" s="2131"/>
      <c r="E31" s="2132"/>
      <c r="F31" s="2133" t="s">
        <v>786</v>
      </c>
      <c r="G31" s="2134"/>
      <c r="H31" s="2134"/>
      <c r="I31" s="2134"/>
      <c r="J31" s="2134"/>
      <c r="K31" s="2134"/>
      <c r="L31" s="2134"/>
      <c r="M31" s="2134"/>
      <c r="N31" s="2134"/>
      <c r="O31" s="2134"/>
      <c r="P31" s="1061"/>
      <c r="Q31" s="1062"/>
      <c r="R31" s="1062"/>
      <c r="S31" s="1062"/>
      <c r="T31" s="1062"/>
      <c r="U31" s="1062"/>
      <c r="V31" s="1062"/>
      <c r="W31" s="1062"/>
      <c r="X31" s="1062"/>
      <c r="Y31" s="1062"/>
      <c r="Z31" s="1062"/>
      <c r="AA31" s="1062"/>
      <c r="AB31" s="1062"/>
      <c r="AC31" s="1062"/>
      <c r="AD31" s="1062"/>
      <c r="AE31" s="1062"/>
      <c r="AF31" s="1062"/>
      <c r="AG31" s="1062"/>
      <c r="AH31" s="1062"/>
      <c r="AI31" s="1063"/>
      <c r="AJ31" s="1064"/>
      <c r="AK31" s="1065"/>
      <c r="AL31" s="2135" t="s">
        <v>785</v>
      </c>
      <c r="AM31" s="2131"/>
      <c r="AN31" s="2132"/>
      <c r="AO31" s="2133" t="s">
        <v>786</v>
      </c>
      <c r="AP31" s="2134"/>
      <c r="AQ31" s="2134"/>
      <c r="AR31" s="2134"/>
      <c r="AS31" s="2134"/>
      <c r="AT31" s="2134"/>
      <c r="AU31" s="2134"/>
      <c r="AV31" s="2134"/>
      <c r="AW31" s="2134"/>
      <c r="AX31" s="2136"/>
      <c r="BB31" s="2081" t="s">
        <v>787</v>
      </c>
      <c r="BC31" s="2082"/>
      <c r="BD31" s="1040">
        <f>SUM(SUMIFS(P31:AI31,P14:AI14,{"[1]家族","[3]ゆい・手間替え受け"},P12:AI12,"[1]男"))</f>
        <v>0</v>
      </c>
      <c r="BE31" s="1041">
        <f>SUM(SUMIFS(P31:AI31,P14:AI14,{"[1]家族","[3]ゆい・手間替え受け"},P12:AI12,"[2]女"))</f>
        <v>0</v>
      </c>
      <c r="BF31" s="1030">
        <f t="shared" si="2"/>
        <v>0</v>
      </c>
      <c r="BG31" s="1027">
        <f>AJ31</f>
        <v>0</v>
      </c>
      <c r="BH31" s="1031">
        <f>SUM(SUMIFS(P31:AI31,P14:AI14,{"[2]同居人","[4]手伝い・共同作業受け"},P12:AI12,"[1]男"))</f>
        <v>0</v>
      </c>
      <c r="BI31" s="1042">
        <f>SUM(BG31:BH31)</f>
        <v>0</v>
      </c>
      <c r="BJ31" s="1033">
        <f>AK31</f>
        <v>0</v>
      </c>
      <c r="BK31" s="1031">
        <f>SUM(SUMIFS(P31:AI31,P14:AI14,{"[2]同居人","[4]手伝い・共同作業受け"},P12:AI12,"[2]女"))</f>
        <v>0</v>
      </c>
      <c r="BL31" s="1042">
        <f t="shared" si="1"/>
        <v>0</v>
      </c>
      <c r="BM31" s="1027">
        <f>SUM(BI31,BL31)</f>
        <v>0</v>
      </c>
      <c r="BO31" s="2139" t="s">
        <v>788</v>
      </c>
      <c r="BP31" s="2140"/>
    </row>
    <row r="32" spans="3:83" s="166" customFormat="1" ht="30" customHeight="1" thickTop="1" thickBot="1">
      <c r="C32" s="910"/>
      <c r="D32" s="911"/>
      <c r="E32" s="911"/>
      <c r="F32" s="911"/>
      <c r="G32" s="911"/>
      <c r="H32" s="911"/>
      <c r="I32" s="911"/>
      <c r="J32" s="911"/>
      <c r="K32" s="911"/>
      <c r="L32" s="911"/>
      <c r="M32" s="911"/>
      <c r="N32" s="911"/>
      <c r="O32" s="911"/>
      <c r="P32" s="911"/>
      <c r="Q32" s="911"/>
      <c r="R32" s="911"/>
      <c r="S32" s="911"/>
      <c r="T32" s="911"/>
      <c r="U32" s="911"/>
      <c r="V32" s="911"/>
      <c r="W32" s="911"/>
      <c r="X32" s="911"/>
      <c r="Y32" s="911"/>
      <c r="Z32" s="911"/>
      <c r="AA32" s="911"/>
      <c r="AB32" s="911"/>
      <c r="AC32" s="911"/>
      <c r="AD32" s="911"/>
      <c r="AE32" s="911"/>
      <c r="AF32" s="911"/>
      <c r="AG32" s="911"/>
      <c r="AH32" s="911"/>
      <c r="AI32" s="911"/>
      <c r="AJ32" s="911"/>
      <c r="AK32" s="911"/>
      <c r="BB32" s="2141" t="s">
        <v>789</v>
      </c>
      <c r="BC32" s="2081"/>
      <c r="BD32" s="721">
        <f>SUM(BD14,BD31)</f>
        <v>0</v>
      </c>
      <c r="BE32" s="721">
        <f>SUM(BE14,BE31)</f>
        <v>0</v>
      </c>
      <c r="BF32" s="1027">
        <f t="shared" si="2"/>
        <v>0</v>
      </c>
      <c r="BG32" s="1027">
        <f>SUM(BG14,BG31)</f>
        <v>0</v>
      </c>
      <c r="BH32" s="1027">
        <f>SUM(BH14,BH31)</f>
        <v>0</v>
      </c>
      <c r="BI32" s="721">
        <f>SUM(BG32:BH32)</f>
        <v>0</v>
      </c>
      <c r="BJ32" s="1027">
        <f>SUM(BJ14,BJ31)</f>
        <v>0</v>
      </c>
      <c r="BK32" s="1027">
        <f>SUM(BK14,BK31)</f>
        <v>0</v>
      </c>
      <c r="BL32" s="721">
        <f t="shared" si="1"/>
        <v>0</v>
      </c>
      <c r="BM32" s="1027">
        <f>SUM(BI32,BL32)</f>
        <v>0</v>
      </c>
      <c r="BO32" s="2142"/>
      <c r="BP32" s="2143"/>
    </row>
    <row r="33" spans="1:70" s="166" customFormat="1" ht="30" customHeight="1" thickTop="1">
      <c r="A33" s="748" t="s">
        <v>790</v>
      </c>
      <c r="D33" s="911"/>
      <c r="E33" s="911"/>
      <c r="F33" s="911"/>
      <c r="G33" s="911"/>
      <c r="H33" s="911"/>
      <c r="I33" s="911"/>
      <c r="J33" s="911"/>
      <c r="K33" s="911"/>
      <c r="L33" s="911"/>
      <c r="M33" s="911"/>
      <c r="N33" s="911"/>
      <c r="Q33" s="911"/>
      <c r="R33" s="911"/>
      <c r="S33" s="911"/>
      <c r="T33" s="911"/>
      <c r="U33" s="911"/>
      <c r="V33" s="911"/>
      <c r="W33" s="911"/>
      <c r="X33" s="911"/>
      <c r="Y33" s="911"/>
      <c r="Z33" s="911"/>
      <c r="AA33" s="911"/>
      <c r="AB33" s="911"/>
      <c r="AC33" s="911"/>
      <c r="AD33" s="911"/>
      <c r="AE33" s="911"/>
      <c r="AF33" s="911"/>
      <c r="AG33" s="911"/>
      <c r="AH33" s="911"/>
      <c r="BB33" s="2"/>
      <c r="BC33" s="2"/>
      <c r="BD33" s="2"/>
      <c r="BE33" s="2"/>
      <c r="BF33" s="2"/>
      <c r="BG33" s="2"/>
      <c r="BH33" s="2"/>
      <c r="BI33" s="2"/>
      <c r="BJ33" s="2"/>
      <c r="BK33" s="2"/>
      <c r="BL33" s="2"/>
      <c r="BM33" s="2"/>
    </row>
    <row r="34" spans="1:70" s="166" customFormat="1" ht="30" customHeight="1" thickBot="1">
      <c r="C34" s="51" t="s">
        <v>791</v>
      </c>
      <c r="D34" s="911"/>
      <c r="E34" s="911"/>
      <c r="F34" s="911"/>
      <c r="G34" s="911"/>
      <c r="H34" s="911"/>
      <c r="I34" s="911"/>
      <c r="J34" s="911"/>
      <c r="K34" s="911"/>
      <c r="L34" s="911"/>
      <c r="M34" s="911"/>
      <c r="N34" s="911"/>
      <c r="Q34" s="911"/>
      <c r="R34" s="911"/>
      <c r="S34" s="911"/>
      <c r="T34" s="911"/>
      <c r="U34" s="911"/>
      <c r="V34" s="911"/>
      <c r="W34" s="911"/>
      <c r="X34" s="911"/>
      <c r="Y34" s="911"/>
      <c r="Z34" s="911"/>
      <c r="AA34" s="911"/>
      <c r="AB34" s="911"/>
      <c r="AC34" s="911"/>
      <c r="AD34" s="911"/>
      <c r="AE34" s="911"/>
      <c r="AF34" s="911"/>
      <c r="AG34" s="911"/>
      <c r="AH34" s="911"/>
      <c r="BB34" s="205" t="s">
        <v>792</v>
      </c>
      <c r="BC34" s="30"/>
      <c r="BD34" s="30"/>
      <c r="BE34" s="30"/>
      <c r="BF34" s="30"/>
      <c r="BG34" s="30"/>
      <c r="BH34" s="30"/>
      <c r="BI34" s="30"/>
      <c r="BJ34" s="30"/>
      <c r="BK34" s="30"/>
      <c r="BL34" s="30"/>
      <c r="BM34" s="30"/>
      <c r="BN34" s="30"/>
      <c r="BO34" s="30"/>
      <c r="BP34" s="30"/>
      <c r="BQ34" s="30"/>
      <c r="BR34" s="30"/>
    </row>
    <row r="35" spans="1:70" ht="20.25" customHeight="1">
      <c r="C35" s="2144" t="s">
        <v>55</v>
      </c>
      <c r="D35" s="2145"/>
      <c r="E35" s="2145"/>
      <c r="F35" s="2145"/>
      <c r="G35" s="2145"/>
      <c r="H35" s="2145"/>
      <c r="I35" s="2145"/>
      <c r="J35" s="2145"/>
      <c r="K35" s="2145"/>
      <c r="L35" s="2145"/>
      <c r="M35" s="2145"/>
      <c r="N35" s="2145"/>
      <c r="O35" s="2146"/>
      <c r="P35" s="1237" t="s">
        <v>793</v>
      </c>
      <c r="Q35" s="2150" t="s">
        <v>794</v>
      </c>
      <c r="BD35" s="39"/>
      <c r="BE35" s="39"/>
      <c r="BF35" s="39"/>
      <c r="BG35" s="39"/>
      <c r="BH35" s="39"/>
      <c r="BI35" s="39"/>
      <c r="BJ35" s="39"/>
      <c r="BK35" s="39"/>
      <c r="BL35" s="39"/>
      <c r="BM35" s="39"/>
      <c r="BN35" s="39"/>
      <c r="BO35" s="39"/>
      <c r="BP35" s="39"/>
      <c r="BQ35" s="39"/>
      <c r="BR35" s="874" t="s">
        <v>795</v>
      </c>
    </row>
    <row r="36" spans="1:70" ht="20.25" customHeight="1" thickBot="1">
      <c r="C36" s="2147"/>
      <c r="D36" s="2148"/>
      <c r="E36" s="2148"/>
      <c r="F36" s="2148"/>
      <c r="G36" s="2148"/>
      <c r="H36" s="2148"/>
      <c r="I36" s="2148"/>
      <c r="J36" s="2148"/>
      <c r="K36" s="2148"/>
      <c r="L36" s="2148"/>
      <c r="M36" s="2148"/>
      <c r="N36" s="2148"/>
      <c r="O36" s="2149"/>
      <c r="P36" s="1406"/>
      <c r="Q36" s="2151"/>
      <c r="BB36" s="2152"/>
      <c r="BC36" s="2153"/>
      <c r="BD36" s="2158" t="s">
        <v>796</v>
      </c>
      <c r="BE36" s="2158"/>
      <c r="BF36" s="2158"/>
      <c r="BG36" s="2158"/>
      <c r="BH36" s="2158"/>
      <c r="BI36" s="2158"/>
      <c r="BJ36" s="2158"/>
      <c r="BK36" s="2158"/>
      <c r="BL36" s="2158"/>
      <c r="BM36" s="2158"/>
      <c r="BN36" s="2158"/>
      <c r="BO36" s="2158"/>
      <c r="BP36" s="2158"/>
      <c r="BQ36" s="2158"/>
      <c r="BR36" s="2158"/>
    </row>
    <row r="37" spans="1:70" ht="30" customHeight="1" thickTop="1">
      <c r="C37" s="2159" t="s">
        <v>797</v>
      </c>
      <c r="D37" s="2160"/>
      <c r="E37" s="2160"/>
      <c r="F37" s="2160"/>
      <c r="G37" s="2160"/>
      <c r="H37" s="2160"/>
      <c r="I37" s="2160"/>
      <c r="J37" s="2160"/>
      <c r="K37" s="2160"/>
      <c r="L37" s="2160"/>
      <c r="M37" s="2160"/>
      <c r="N37" s="2160"/>
      <c r="O37" s="2160"/>
      <c r="P37" s="912"/>
      <c r="Q37" s="1101"/>
      <c r="BB37" s="2154"/>
      <c r="BC37" s="2155"/>
      <c r="BD37" s="2081" t="s">
        <v>711</v>
      </c>
      <c r="BE37" s="1108"/>
      <c r="BF37" s="1108"/>
      <c r="BG37" s="1108"/>
      <c r="BH37" s="1109"/>
      <c r="BI37" s="2081" t="s">
        <v>798</v>
      </c>
      <c r="BJ37" s="1108"/>
      <c r="BK37" s="1108"/>
      <c r="BL37" s="1108"/>
      <c r="BM37" s="1109"/>
      <c r="BN37" s="2081" t="s">
        <v>799</v>
      </c>
      <c r="BO37" s="1108"/>
      <c r="BP37" s="1108"/>
      <c r="BQ37" s="1108"/>
      <c r="BR37" s="1109"/>
    </row>
    <row r="38" spans="1:70" ht="30" customHeight="1" thickBot="1">
      <c r="C38" s="2137" t="s">
        <v>800</v>
      </c>
      <c r="D38" s="2138"/>
      <c r="E38" s="2138"/>
      <c r="F38" s="2138"/>
      <c r="G38" s="2138"/>
      <c r="H38" s="2138"/>
      <c r="I38" s="2138"/>
      <c r="J38" s="2138"/>
      <c r="K38" s="2138"/>
      <c r="L38" s="2138"/>
      <c r="M38" s="2138"/>
      <c r="N38" s="2138"/>
      <c r="O38" s="2138"/>
      <c r="P38" s="913"/>
      <c r="Q38" s="1102"/>
      <c r="BB38" s="2156"/>
      <c r="BC38" s="2157"/>
      <c r="BD38" s="914" t="s">
        <v>801</v>
      </c>
      <c r="BE38" s="217" t="s">
        <v>802</v>
      </c>
      <c r="BF38" s="217" t="s">
        <v>803</v>
      </c>
      <c r="BG38" s="915" t="s">
        <v>804</v>
      </c>
      <c r="BH38" s="915" t="s">
        <v>717</v>
      </c>
      <c r="BI38" s="217" t="s">
        <v>801</v>
      </c>
      <c r="BJ38" s="217" t="s">
        <v>802</v>
      </c>
      <c r="BK38" s="217" t="s">
        <v>803</v>
      </c>
      <c r="BL38" s="915" t="s">
        <v>804</v>
      </c>
      <c r="BM38" s="915" t="s">
        <v>717</v>
      </c>
      <c r="BN38" s="217" t="s">
        <v>801</v>
      </c>
      <c r="BO38" s="217" t="s">
        <v>802</v>
      </c>
      <c r="BP38" s="217" t="s">
        <v>803</v>
      </c>
      <c r="BQ38" s="915" t="s">
        <v>804</v>
      </c>
      <c r="BR38" s="915" t="s">
        <v>717</v>
      </c>
    </row>
    <row r="39" spans="1:70" ht="30" customHeight="1">
      <c r="BB39" s="1491" t="s">
        <v>805</v>
      </c>
      <c r="BC39" s="916" t="s">
        <v>806</v>
      </c>
      <c r="BD39" s="819">
        <f>SUMIFS(P15:AI15,P14:AI14,"[1]家族",P12:AI12,"[1]男",P13:AI13,"&lt;65") +
SUMIFS(P16:AI16,P14:AI14,"[1]家族",P12:AI12,"[1]男",P13:AI13,"&lt;65") +
SUMIFS(P17:AI17,P14:AI14,"[1]家族",P12:AI12,"[1]男",P13:AI13,"&lt;65") +
SUMIFS(P18:AI18,P14:AI14,"[1]家族",P12:AI12,"[1]男",P13:AI13,"&lt;65") +
SUMIFS(P19:AI19,P14:AI14,"[1]家族",P12:AI12,"[1]男",P13:AI13,"&lt;65") +
SUMIFS(P20:AI20,P14:AI14,"[1]家族",P12:AI12,"[1]男",P13:AI13,"&lt;65") +
SUMIFS(P21:AI21,P14:AI14,"[1]家族",P12:AI12,"[1]男",P13:AI13,"&lt;65") +
SUMIFS(P22:AI22,P14:AI14,"[1]家族",P12:AI12,"[1]男",P13:AI13,"&lt;65") +
SUMIFS(P23:AI23,P14:AI14,"[1]家族",P12:AI12,"[1]男",P13:AI13,"&lt;65") +
SUMIFS(P24:AI24,P14:AI14,"[1]家族",P12:AI12,"[1]男",P13:AI13,"&lt;65") +
SUMIFS(P25:AI25,P14:AI14,"[1]家族",P12:AI12,"[1]男",P13:AI13,"&lt;65") +
SUMIFS(P26:AI26,P14:AI14,"[1]家族",P12:AI12,"[1]男",P13:AI13,"&lt;65") +
SUMIFS(P27:AI27,P14:AI14,"[1]家族",P12:AI12,"[1]男",P13:AI13,"&lt;65") +
SUMIFS(P28:AI28,P14:AI14,"[1]家族",P12:AI12,"[1]男",P13:AI13,"&lt;65") +
SUMIFS(P29:AI29,P14:AI14,"[1]家族",P12:AI12,"[1]男",P13:AI13,"&lt;65") +
SUMIFS(P30:AI30,P14:AI14,"[1]家族",P12:AI12,"[1]男",P13:AI13,"&lt;65") +
SUMIFS(P15:AI15,P14:AI14,"[3]ゆい・手間替え受け",P12:AI12,"[1]男") +
SUMIFS(P16:AI16,P14:AI14,"[3]ゆい・手間替え受け",P12:AI12,"[1]男") +
SUMIFS(P17:AI17,P14:AI14,"[3]ゆい・手間替え受け",P12:AI12,"[1]男") +
SUMIFS(P18:AI18,P14:AI14,"[3]ゆい・手間替え受け",P12:AI12,"[1]男") +
SUMIFS(P19:AI19,P14:AI14,"[3]ゆい・手間替え受け",P12:AI12,"[1]男") +
SUMIFS(P20:AI20,P14:AI14,"[3]ゆい・手間替え受け",P12:AI12,"[1]男") +
SUMIFS(P21:AI21,P14:AI14,"[3]ゆい・手間替え受け",P12:AI12,"[1]男") +
SUMIFS(P22:AI22,P14:AI14,"[3]ゆい・手間替え受け",P12:AI12,"[1]男") +
SUMIFS(P23:AI23,P14:AI14,"[3]ゆい・手間替え受け",P12:AI12,"[1]男") +
SUMIFS(P24:AI24,P14:AI14,"[3]ゆい・手間替え受け",P12:AI12,"[1]男") +
SUMIFS(P25:AI25,P14:AI14,"[3]ゆい・手間替え受け",P12:AI12,"[1]男") +
SUMIFS(P26:AI26,P14:AI14,"[3]ゆい・手間替え受け",P12:AI12,"[1]男") +
SUMIFS(P27:AI27,P14:AI14,"[3]ゆい・手間替え受け",P12:AI12,"[1]男") +
SUMIFS(P28:AI28,P14:AI14,"[3]ゆい・手間替え受け",P12:AI12,"[1]男") +
SUMIFS(P29:AI29,P14:AI14,"[3]ゆい・手間替え受け",P12:AI12,"[1]男")</f>
        <v>0</v>
      </c>
      <c r="BE39" s="819">
        <f>SUMIFS(P15:AI15,P14:AI14,"[1]家族",P12:AI12,"[1]男",P13:AI13,"&gt;=65",P13:AI13,"&lt;70") +
SUMIFS(P16:AI16,P14:AI14,"[1]家族",P12:AI12,"[1]男",P13:AI13,"&gt;=65",P13:AI13,"&lt;70") +
SUMIFS(P17:AI17,P14:AI14,"[1]家族",P12:AI12,"[1]男",P13:AI13,"&gt;=65",P13:AI13,"&lt;70") +
SUMIFS(P18:AI18,P14:AI14,"[1]家族",P12:AI12,"[1]男",P13:AI13,"&gt;=65",P13:AI13,"&lt;70") +
SUMIFS(P19:AI19,P14:AI14,"[1]家族",P12:AI12,"[1]男",P13:AI13,"&gt;=65",P13:AI13,"&lt;70") +
SUMIFS(P20:AI20,P14:AI14,"[1]家族",P12:AI12,"[1]男",P13:AI13,"&gt;=65",P13:AI13,"&lt;70") +
SUMIFS(P21:AI21,P14:AI14,"[1]家族",P12:AI12,"[1]男",P13:AI13,"&gt;=65",P13:AI13,"&lt;70") +
SUMIFS(P22:AI22,P14:AI14,"[1]家族",P12:AI12,"[1]男",P13:AI13,"&gt;=65",P13:AI13,"&lt;70") +
SUMIFS(P23:AI23,P14:AI14,"[1]家族",P12:AI12,"[1]男",P13:AI13,"&gt;=65",P13:AI13,"&lt;70") +
SUMIFS(P24:AI24,P14:AI14,"[1]家族",P12:AI12,"[1]男",P13:AI13,"&gt;=65",P13:AI13,"&lt;70") +
SUMIFS(P25:AI25,P14:AI14,"[1]家族",P12:AI12,"[1]男",P13:AI13,"&gt;=65",P13:AI13,"&lt;70") +
SUMIFS(P26:AI26,P14:AI14,"[1]家族",P12:AI12,"[1]男",P13:AI13,"&gt;=65",P13:AI13,"&lt;70") +
SUMIFS(P27:AI27,P14:AI14,"[1]家族",P12:AI12,"[1]男",P13:AI13,"&gt;=65",P13:AI13,"&lt;70") +
SUMIFS(P28:AI28,P14:AI14,"[1]家族",P12:AI12,"[1]男",P13:AI13,"&gt;=65",P13:AI13,"&lt;70") +
SUMIFS(P29:AI29,P14:AI14,"[1]家族",P12:AI12,"[1]男",P13:AI13,"&gt;=65",P13:AI13,"&lt;70") +
SUMIFS(P30:AI30,P14:AI14,"[1]家族",P12:AI12,"[1]男",P13:AI13,"&gt;=65",P13:AI13,"&lt;70")</f>
        <v>0</v>
      </c>
      <c r="BF39" s="819">
        <f>SUMIFS(P15:AI15,P14:AI14,"[1]家族",P12:AI12,"[1]男",P13:AI13,"&gt;=70",P13:AI13,"&lt;75") +
SUMIFS(P16:AI16,P14:AI14,"[1]家族",P12:AI12,"[1]男",P13:AI13,"&gt;=70",P13:AI13,"&lt;75") +
SUMIFS(P17:AI17,P14:AI14,"[1]家族",P12:AI12,"[1]男",P13:AI13,"&gt;=70",P13:AI13,"&lt;75") +
SUMIFS(P18:AI18,P14:AI14,"[1]家族",P12:AI12,"[1]男",P13:AI13,"&gt;=70",P13:AI13,"&lt;75") +
SUMIFS(P19:AI19,P14:AI14,"[1]家族",P12:AI12,"[1]男",P13:AI13,"&gt;=70",P13:AI13,"&lt;75") +
SUMIFS(P20:AI20,P14:AI14,"[1]家族",P12:AI12,"[1]男",P13:AI13,"&gt;=70",P13:AI13,"&lt;75") +
SUMIFS(P21:AI21,P14:AI14,"[1]家族",P12:AI12,"[1]男",P13:AI13,"&gt;=70",P13:AI13,"&lt;75") +
SUMIFS(P22:AI22,P14:AI14,"[1]家族",P12:AI12,"[1]男",P13:AI13,"&gt;=70",P13:AI13,"&lt;75") +
SUMIFS(P23:AI23,P14:AI14,"[1]家族",P12:AI12,"[1]男",P13:AI13,"&gt;=70",P13:AI13,"&lt;75") +
SUMIFS(P24:AI24,P14:AI14,"[1]家族",P12:AI12,"[1]男",P13:AI13,"&gt;=70",P13:AI13,"&lt;75") +
SUMIFS(P25:AI25,P14:AI14,"[1]家族",P12:AI12,"[1]男",P13:AI13,"&gt;=70",P13:AI13,"&lt;75") +
SUMIFS(P26:AI26,P14:AI14,"[1]家族",P12:AI12,"[1]男",P13:AI13,"&gt;=70",P13:AI13,"&lt;75") +
SUMIFS(P27:AI27,P14:AI14,"[1]家族",P12:AI12,"[1]男",P13:AI13,"&gt;=70",P13:AI13,"&lt;75") +
SUMIFS(P28:AI28,P14:AI14,"[1]家族",P12:AI12,"[1]男",P13:AI13,"&gt;=70",P13:AI13,"&lt;75") +
SUMIFS(P29:AI29,P14:AI14,"[1]家族",P12:AI12,"[1]男",P13:AI13,"&gt;=70",P13:AI13,"&lt;75") +
SUMIFS(P30:AI30,P14:AI14,"[1]家族",P12:AI12,"[1]男",P13:AI13,"&gt;=70",P13:AI13,"&lt;75")</f>
        <v>0</v>
      </c>
      <c r="BG39" s="819">
        <f>SUMIFS(P15:AI15,P14:AI14,"[1]家族",P12:AI12,"[1]男",P13:AI13,"&gt;=75") +
SUMIFS(P16:AI16,P14:AI14,"[1]家族",P12:AI12,"[1]男",P13:AI13,"&gt;=75") +
SUMIFS(P17:AI17,P14:AI14,"[1]家族",P12:AI12,"[1]男",P13:AI13,"&gt;=75") +
SUMIFS(P18:AI18,P14:AI14,"[1]家族",P12:AI12,"[1]男",P13:AI13,"&gt;=75") +
SUMIFS(P19:AI19,P14:AI14,"[1]家族",P12:AI12,"[1]男",P13:AI13,"&gt;=75") +
SUMIFS(P20:AI20,P14:AI14,"[1]家族",P12:AI12,"[1]男",P13:AI13,"&gt;=75") +
SUMIFS(P21:AI21,P14:AI14,"[1]家族",P12:AI12,"[1]男",P13:AI13,"&gt;=75") +
SUMIFS(P22:AI22,P14:AI14,"[1]家族",P12:AI12,"[1]男",P13:AI13,"&gt;=75") +
SUMIFS(P23:AI23,P14:AI14,"[1]家族",P12:AI12,"[1]男",P13:AI13,"&gt;=75") +
SUMIFS(P24:AI24,P14:AI14,"[1]家族",P12:AI12,"[1]男",P13:AI13,"&gt;=75") +
SUMIFS(P25:AI25,P14:AI14,"[1]家族",P12:AI12,"[1]男",P13:AI13,"&gt;=75") +
SUMIFS(P26:AI26,P14:AI14,"[1]家族",P12:AI12,"[1]男",P13:AI13,"&gt;=75") +
SUMIFS(P27:AI27,P14:AI14,"[1]家族",P12:AI12,"[1]男",P13:AI13,"&gt;=75") +
SUMIFS(P28:AI28,P14:AI14,"[1]家族",P12:AI12,"[1]男",P13:AI13,"&gt;=75") +
SUMIFS(P29:AI29,P14:AI14,"[1]家族",P12:AI12,"[1]男",P13:AI13,"&gt;=75") +
SUMIFS(P30:AI30,P14:AI14,"[1]家族",P12:AI12,"[1]男",P13:AI13,"&gt;=75")</f>
        <v>0</v>
      </c>
      <c r="BH39" s="819">
        <f t="shared" ref="BH39:BH44" si="6">SUM(BD39:BG39)</f>
        <v>0</v>
      </c>
      <c r="BI39" s="819">
        <f>SUMIFS(P15:AI15,P14:AI14,"[1]家族",P12:AI12,"[2]女",P13:AI13,"&lt;65") +
SUMIFS(P16:AI16,P14:AI14,"[1]家族",P12:AI12,"[2]女",P13:AI13,"&lt;65") +
SUMIFS(P17:AI17,P14:AI14,"[1]家族",P12:AI12,"[2]女",P13:AI13,"&lt;65") +
SUMIFS(P18:AI18,P14:AI14,"[1]家族",P12:AI12,"[2]女",P13:AI13,"&lt;65") +
SUMIFS(P19:AI19,P14:AI14,"[1]家族",P12:AI12,"[2]女",P13:AI13,"&lt;65") +
SUMIFS(P20:AI20,P14:AI14,"[1]家族",P12:AI12,"[2]女",P13:AI13,"&lt;65") +
SUMIFS(P21:AI21,P14:AI14,"[1]家族",P12:AI12,"[2]女",P13:AI13,"&lt;65") +
SUMIFS(P22:AI22,P14:AI14,"[1]家族",P12:AI12,"[2]女",P13:AI13,"&lt;65") +
SUMIFS(P23:AI23,P14:AI14,"[1]家族",P12:AI12,"[2]女",P13:AI13,"&lt;65") +
SUMIFS(P24:AI24,P14:AI14,"[1]家族",P12:AI12,"[2]女",P13:AI13,"&lt;65") +
SUMIFS(P25:AI25,P14:AI14,"[1]家族",P12:AI12,"[2]女",P13:AI13,"&lt;65") +
SUMIFS(P26:AI26,P14:AI14,"[1]家族",P12:AI12,"[2]女",P13:AI13,"&lt;65") +
SUMIFS(P27:AI27,P14:AI14,"[1]家族",P12:AI12,"[2]女",P13:AI13,"&lt;65") +
SUMIFS(P28:AI28,P14:AI14,"[1]家族",P12:AI12,"[2]女",P13:AI13,"&lt;65") +
SUMIFS(P29:AI29,P14:AI14,"[1]家族",P12:AI12,"[2]女",P13:AI13,"&lt;65") +
SUMIFS(P30:AI30,P14:AI14,"[1]家族",P12:AI12,"[2]女",P13:AI13,"&lt;65") +
SUMIFS(P15:AI15,P14:AI14,"[3]ゆい・手間替え受け",P12:AI12,"[2]女") +
SUMIFS(P16:AI16,P14:AI14,"[3]ゆい・手間替え受け",P12:AI12,"[2]女") +
SUMIFS(P17:AI17,P14:AI14,"[3]ゆい・手間替え受け",P12:AI12,"[2]女") +
SUMIFS(P18:AI18,P14:AI14,"[3]ゆい・手間替え受け",P12:AI12,"[2]女") +
SUMIFS(P19:AI19,P14:AI14,"[3]ゆい・手間替え受け",P12:AI12,"[2]女") +
SUMIFS(P20:AI20,P14:AI14,"[3]ゆい・手間替え受け",P12:AI12,"[2]女") +
SUMIFS(P21:AI21,P14:AI14,"[3]ゆい・手間替え受け",P12:AI12,"[2]女") +
SUMIFS(P22:AI22,P14:AI14,"[3]ゆい・手間替え受け",P12:AI12,"[2]女") +
SUMIFS(P23:AI23,P14:AI14,"[3]ゆい・手間替え受け",P12:AI12,"[2]女") +
SUMIFS(P24:AI24,P14:AI14,"[3]ゆい・手間替え受け",P12:AI12,"[2]女") +
SUMIFS(P25:AI25,P14:AI14,"[3]ゆい・手間替え受け",P12:AI12,"[2]女") +
SUMIFS(P26:AI26,P14:AI14,"[3]ゆい・手間替え受け",P12:AI12,"[2]女") +
SUMIFS(P27:AI27,P14:AI14,"[3]ゆい・手間替え受け",P12:AI12,"[2]女") +
SUMIFS(P28:AI28,P14:AI14,"[3]ゆい・手間替え受け",P12:AI12,"[2]女") +
SUMIFS(P29:AI29,P14:AI14,"[3]ゆい・手間替え受け",P12:AI12,"[2]女")</f>
        <v>0</v>
      </c>
      <c r="BJ39" s="819">
        <f>SUMIFS(P15:AI15,P14:AI14,"[1]家族",P12:AI12,"[2]女",P13:AI13,"&gt;=65",P13:AI13,"&lt;70") +
SUMIFS(P16:AI16,P14:AI14,"[1]家族",P12:AI12,"[2]女",P13:AI13,"&gt;=65",P13:AI13,"&lt;70") +
SUMIFS(P17:AI17,P14:AI14,"[1]家族",P12:AI12,"[2]女",P13:AI13,"&gt;=65",P13:AI13,"&lt;70") +
SUMIFS(P18:AI18,P14:AI14,"[1]家族",P12:AI12,"[2]女",P13:AI13,"&gt;=65",P13:AI13,"&lt;70") +
SUMIFS(P19:AI19,P14:AI14,"[1]家族",P12:AI12,"[2]女",P13:AI13,"&gt;=65",P13:AI13,"&lt;70") +
SUMIFS(P20:AI20,P14:AI14,"[1]家族",P12:AI12,"[2]女",P13:AI13,"&gt;=65",P13:AI13,"&lt;70") +
SUMIFS(P21:AI21,P14:AI14,"[1]家族",P12:AI12,"[2]女",P13:AI13,"&gt;=65",P13:AI13,"&lt;70") +
SUMIFS(P22:AI22,P14:AI14,"[1]家族",P12:AI12,"[2]女",P13:AI13,"&gt;=65",P13:AI13,"&lt;70") +
SUMIFS(P23:AI23,P14:AI14,"[1]家族",P12:AI12,"[2]女",P13:AI13,"&gt;=65",P13:AI13,"&lt;70") +
SUMIFS(P24:AI24,P14:AI14,"[1]家族",P12:AI12,"[2]女",P13:AI13,"&gt;=65",P13:AI13,"&lt;70") +
SUMIFS(P25:AI25,P14:AI14,"[1]家族",P12:AI12,"[2]女",P13:AI13,"&gt;=65",P13:AI13,"&lt;70") +
SUMIFS(P26:AI26,P14:AI14,"[1]家族",P12:AI12,"[2]女",P13:AI13,"&gt;=65",P13:AI13,"&lt;70") +
SUMIFS(P27:AI27,P14:AI14,"[1]家族",P12:AI12,"[2]女",P13:AI13,"&gt;=65",P13:AI13,"&lt;70") +
SUMIFS(P28:AI28,P14:AI14,"[1]家族",P12:AI12,"[2]女",P13:AI13,"&gt;=65",P13:AI13,"&lt;70") +
SUMIFS(P29:AI29,P14:AI14,"[1]家族",P12:AI12,"[2]女",P13:AI13,"&gt;=65",P13:AI13,"&lt;70") +
SUMIFS(P30:AI30,P14:AI14,"[1]家族",P12:AI12,"[2]女",P13:AI13,"&gt;=65",P13:AI13,"&lt;70")</f>
        <v>0</v>
      </c>
      <c r="BK39" s="819">
        <f>SUMIFS(P15:AI15,P14:AI14,"[1]家族",P12:AI12,"[2]女",P13:AI13,"&gt;=70",P13:AI13,"&lt;75") +
SUMIFS(P16:AI16,P14:AI14,"[1]家族",P12:AI12,"[2]女",P13:AI13,"&gt;=70",P13:AI13,"&lt;75") +
SUMIFS(P17:AI17,P14:AI14,"[1]家族",P12:AI12,"[2]女",P13:AI13,"&gt;=70",P13:AI13,"&lt;75") +
SUMIFS(P18:AI18,P14:AI14,"[1]家族",P12:AI12,"[2]女",P13:AI13,"&gt;=70",P13:AI13,"&lt;75") +
SUMIFS(P19:AI19,P14:AI14,"[1]家族",P12:AI12,"[2]女",P13:AI13,"&gt;=70",P13:AI13,"&lt;75") +
SUMIFS(P20:AI20,P14:AI14,"[1]家族",P12:AI12,"[2]女",P13:AI13,"&gt;=70",P13:AI13,"&lt;75") +
SUMIFS(P21:AI21,P14:AI14,"[1]家族",P12:AI12,"[2]女",P13:AI13,"&gt;=70",P13:AI13,"&lt;75") +
SUMIFS(P22:AI22,P14:AI14,"[1]家族",P12:AI12,"[2]女",P13:AI13,"&gt;=70",P13:AI13,"&lt;75") +
SUMIFS(P23:AI23,P14:AI14,"[1]家族",P12:AI12,"[2]女",P13:AI13,"&gt;=70",P13:AI13,"&lt;75") +
SUMIFS(P24:AI24,P14:AI14,"[1]家族",P12:AI12,"[2]女",P13:AI13,"&gt;=70",P13:AI13,"&lt;75") +
SUMIFS(P25:AI25,P14:AI14,"[1]家族",P12:AI12,"[2]女",P13:AI13,"&gt;=70",P13:AI13,"&lt;75") +
SUMIFS(P26:AI26,P14:AI14,"[1]家族",P12:AI12,"[2]女",P13:AI13,"&gt;=70",P13:AI13,"&lt;75") +
SUMIFS(P27:AI27,P14:AI14,"[1]家族",P12:AI12,"[2]女",P13:AI13,"&gt;=70",P13:AI13,"&lt;75") +
SUMIFS(P28:AI28,P14:AI14,"[1]家族",P12:AI12,"[2]女",P13:AI13,"&gt;=70",P13:AI13,"&lt;75") +
SUMIFS(P29:AI29,P14:AI14,"[1]家族",P12:AI12,"[2]女",P13:AI13,"&gt;=70",P13:AI13,"&lt;75") +
SUMIFS(P30:AI30,P14:AI14,"[1]家族",P12:AI12,"[2]女",P13:AI13,"&gt;=70",P13:AI13,"&lt;75")</f>
        <v>0</v>
      </c>
      <c r="BL39" s="819">
        <f>SUMIFS(P15:AI15,P14:AI14,"[1]家族",P12:AI12,"[2]女",P13:AI13,"&gt;=75") +
SUMIFS(P16:AI16,P14:AI14,"[1]家族",P12:AI12,"[2]女",P13:AI13,"&gt;=75") +
SUMIFS(P17:AI17,P14:AI14,"[1]家族",P12:AI12,"[2]女",P13:AI13,"&gt;=75") +
SUMIFS(P18:AI18,P14:AI14,"[1]家族",P12:AI12,"[2]女",P13:AI13,"&gt;=75") +
SUMIFS(P19:AI19,P14:AI14,"[1]家族",P12:AI12,"[2]女",P13:AI13,"&gt;=75") +
SUMIFS(P20:AI20,P14:AI14,"[1]家族",P12:AI12,"[2]女",P13:AI13,"&gt;=75") +
SUMIFS(P21:AI21,P14:AI14,"[1]家族",P12:AI12,"[2]女",P13:AI13,"&gt;=75") +
SUMIFS(P22:AI22,P14:AI14,"[1]家族",P12:AI12,"[2]女",P13:AI13,"&gt;=75") +
SUMIFS(P23:AI23,P14:AI14,"[1]家族",P12:AI12,"[2]女",P13:AI13,"&gt;=75") +
SUMIFS(P24:AI24,P14:AI14,"[1]家族",P12:AI12,"[2]女",P13:AI13,"&gt;=75") +
SUMIFS(P25:AI25,P14:AI14,"[1]家族",P12:AI12,"[2]女",P13:AI13,"&gt;=75") +
SUMIFS(P26:AI26,P14:AI14,"[1]家族",P12:AI12,"[2]女",P13:AI13,"&gt;=75") +
SUMIFS(P27:AI27,P14:AI14,"[1]家族",P12:AI12,"[2]女",P13:AI13,"&gt;=75") +
SUMIFS(P28:AI28,P14:AI14,"[1]家族",P12:AI12,"[2]女",P13:AI13,"&gt;=75") +
SUMIFS(P29:AI29,P14:AI14,"[1]家族",P12:AI12,"[2]女",P13:AI13,"&gt;=75") +
SUMIFS(P30:AI30,P14:AI14,"[1]家族",P12:AI12,"[2]女",P13:AI13,"&gt;=75")</f>
        <v>0</v>
      </c>
      <c r="BM39" s="819">
        <f t="shared" ref="BM39:BM44" si="7">SUM(BI39:BL39)</f>
        <v>0</v>
      </c>
      <c r="BN39" s="819">
        <f>SUM(BD39,BI39)</f>
        <v>0</v>
      </c>
      <c r="BO39" s="819">
        <f t="shared" ref="BO39:BQ40" si="8">SUM(BE39,BJ39)</f>
        <v>0</v>
      </c>
      <c r="BP39" s="819">
        <f t="shared" si="8"/>
        <v>0</v>
      </c>
      <c r="BQ39" s="819">
        <f>SUM(BG39,BL39)</f>
        <v>0</v>
      </c>
      <c r="BR39" s="819">
        <f t="shared" ref="BR39:BR44" si="9">SUM(BN39:BQ39)</f>
        <v>0</v>
      </c>
    </row>
    <row r="40" spans="1:70" ht="30" customHeight="1" thickBot="1">
      <c r="BB40" s="1491"/>
      <c r="BC40" s="423" t="s">
        <v>807</v>
      </c>
      <c r="BD40" s="1066">
        <f>SUMIFS(P31:AI31,P14:AI14,"[1]家族",P12:AI12,"[1]男",P13:AI13,"&lt;65") +
SUMIFS(P31:AI31,P14:AI14,"[3]ゆい・手間替え受け",P12:AI12,"[1]男")</f>
        <v>0</v>
      </c>
      <c r="BE40" s="1066">
        <f>SUMIFS(P31:AI31,P14:AI14,"[1]家族",P12:AI12,"[1]男",P13:AI13,"&gt;=65",P13:AI13,"&lt;70")</f>
        <v>0</v>
      </c>
      <c r="BF40" s="1066">
        <f>SUMIFS(P31:AI31,P14:AI14,"[1]家族",P12:AI12,"[1]男",P13:AI13,"&gt;=70",P13:AI13,"&lt;75")</f>
        <v>0</v>
      </c>
      <c r="BG40" s="1066">
        <f>SUMIFS(P31:AI31,P14:AI14,"[1]家族",P12:AI12,"[1]男",P13:AI13,"&gt;=75")</f>
        <v>0</v>
      </c>
      <c r="BH40" s="819">
        <f t="shared" si="6"/>
        <v>0</v>
      </c>
      <c r="BI40" s="1066">
        <f>SUMIFS(P31:AI31,P14:AI14,"[1]家族",P12:AI12,"[2]女",P13:AI13,"&lt;65") +
SUMIFS(P31:AI31,P14:AI14,"[3]ゆい・手間替え受け",P12:AI12,"[2]女")</f>
        <v>0</v>
      </c>
      <c r="BJ40" s="1066">
        <f>SUMIFS(P31:AI31,P14:AI14,"[1]家族",P12:AI12,"[2]女",P13:AI13,"&gt;=65",P13:AI13,"&lt;70")</f>
        <v>0</v>
      </c>
      <c r="BK40" s="1066">
        <f>SUMIFS(P31:AI31,P14:AI14,"[1]家族",P12:AI12,"[2]女",P13:AI13,"&gt;=70",P13:AI13,"&lt;75")</f>
        <v>0</v>
      </c>
      <c r="BL40" s="1066">
        <f>SUMIFS(P31:AI31,P14:AI14,"[1]家族",P12:AI12,"[2]女",P13:AI13,"&gt;=75")</f>
        <v>0</v>
      </c>
      <c r="BM40" s="819">
        <f t="shared" si="7"/>
        <v>0</v>
      </c>
      <c r="BN40" s="819">
        <f>SUM(BD40,BI40)</f>
        <v>0</v>
      </c>
      <c r="BO40" s="819">
        <f t="shared" si="8"/>
        <v>0</v>
      </c>
      <c r="BP40" s="819">
        <f t="shared" si="8"/>
        <v>0</v>
      </c>
      <c r="BQ40" s="819">
        <f t="shared" si="8"/>
        <v>0</v>
      </c>
      <c r="BR40" s="819">
        <f t="shared" si="9"/>
        <v>0</v>
      </c>
    </row>
    <row r="41" spans="1:70" ht="30" customHeight="1" thickBot="1">
      <c r="BB41" s="1491"/>
      <c r="BC41" s="423" t="s">
        <v>717</v>
      </c>
      <c r="BD41" s="1067">
        <f>SUM(BD39:BD40)</f>
        <v>0</v>
      </c>
      <c r="BE41" s="1068">
        <f>SUM(BE39:BE40)</f>
        <v>0</v>
      </c>
      <c r="BF41" s="1068">
        <f>SUM(BF39:BF40)</f>
        <v>0</v>
      </c>
      <c r="BG41" s="1069">
        <f>SUM(BG39:BG40)</f>
        <v>0</v>
      </c>
      <c r="BH41" s="1070">
        <f t="shared" si="6"/>
        <v>0</v>
      </c>
      <c r="BI41" s="1067">
        <f>SUM(BI39:BI40)</f>
        <v>0</v>
      </c>
      <c r="BJ41" s="1068">
        <f>SUM(BJ39:BJ40)</f>
        <v>0</v>
      </c>
      <c r="BK41" s="1068">
        <f>SUM(BK39:BK40)</f>
        <v>0</v>
      </c>
      <c r="BL41" s="1069">
        <f>SUM(BL39:BL40)</f>
        <v>0</v>
      </c>
      <c r="BM41" s="177">
        <f t="shared" si="7"/>
        <v>0</v>
      </c>
      <c r="BN41" s="819">
        <f>SUM(BN39:BN40)</f>
        <v>0</v>
      </c>
      <c r="BO41" s="819">
        <f>SUM(BO39:BO40)</f>
        <v>0</v>
      </c>
      <c r="BP41" s="819">
        <f>SUM(BP39:BP40)</f>
        <v>0</v>
      </c>
      <c r="BQ41" s="819">
        <f>SUM(BQ39:BQ40)</f>
        <v>0</v>
      </c>
      <c r="BR41" s="1066">
        <f t="shared" si="9"/>
        <v>0</v>
      </c>
    </row>
    <row r="42" spans="1:70" ht="30" customHeight="1">
      <c r="BB42" s="1491" t="s">
        <v>808</v>
      </c>
      <c r="BC42" s="916" t="s">
        <v>806</v>
      </c>
      <c r="BD42" s="830">
        <f>BD39*$BO$32</f>
        <v>0</v>
      </c>
      <c r="BE42" s="830">
        <f>ROUND(BE39*$BO$32*0.9,)</f>
        <v>0</v>
      </c>
      <c r="BF42" s="830">
        <f>ROUND(BF39*$BO$32*0.8,)</f>
        <v>0</v>
      </c>
      <c r="BG42" s="830">
        <f>ROUND(BG39*$BO$32*0.7,)</f>
        <v>0</v>
      </c>
      <c r="BH42" s="858">
        <f t="shared" si="6"/>
        <v>0</v>
      </c>
      <c r="BI42" s="830">
        <f>BI39*$BO$32</f>
        <v>0</v>
      </c>
      <c r="BJ42" s="830">
        <f>ROUND(BJ39*$BO$32*0.9,)</f>
        <v>0</v>
      </c>
      <c r="BK42" s="830">
        <f>ROUND(BK39*$BO$32*0.8,)</f>
        <v>0</v>
      </c>
      <c r="BL42" s="830">
        <f>ROUND(BL39*$BO$32*0.7,)</f>
        <v>0</v>
      </c>
      <c r="BM42" s="858">
        <f t="shared" si="7"/>
        <v>0</v>
      </c>
      <c r="BN42" s="858">
        <f>SUM(BD42,BI42)</f>
        <v>0</v>
      </c>
      <c r="BO42" s="858">
        <f t="shared" ref="BO42:BQ43" si="10">SUM(BE42,BJ42)</f>
        <v>0</v>
      </c>
      <c r="BP42" s="858">
        <f t="shared" si="10"/>
        <v>0</v>
      </c>
      <c r="BQ42" s="922">
        <f t="shared" si="10"/>
        <v>0</v>
      </c>
      <c r="BR42" s="923">
        <f>ROUND(SUM(BN42:BQ42),0)</f>
        <v>0</v>
      </c>
    </row>
    <row r="43" spans="1:70" ht="30" customHeight="1" thickBot="1">
      <c r="BB43" s="1491"/>
      <c r="BC43" s="423" t="s">
        <v>807</v>
      </c>
      <c r="BD43" s="917">
        <f>BD40*$BO$32</f>
        <v>0</v>
      </c>
      <c r="BE43" s="917">
        <f>ROUND(BE40*$BO$32*0.9,)</f>
        <v>0</v>
      </c>
      <c r="BF43" s="917">
        <f>ROUND(BF40*$BO$32*0.8,)</f>
        <v>0</v>
      </c>
      <c r="BG43" s="917">
        <f>ROUND(BG40*$BO$32*0.7,)</f>
        <v>0</v>
      </c>
      <c r="BH43" s="858">
        <f t="shared" si="6"/>
        <v>0</v>
      </c>
      <c r="BI43" s="917">
        <f>BI40*$BO$32</f>
        <v>0</v>
      </c>
      <c r="BJ43" s="917">
        <f>ROUND(BJ40*$BO$32*0.9,)</f>
        <v>0</v>
      </c>
      <c r="BK43" s="917">
        <f>ROUND(BK40*$BO$32*0.8,)</f>
        <v>0</v>
      </c>
      <c r="BL43" s="917">
        <f>ROUND(BL40*$BO$32*0.7,)</f>
        <v>0</v>
      </c>
      <c r="BM43" s="858">
        <f t="shared" si="7"/>
        <v>0</v>
      </c>
      <c r="BN43" s="858">
        <f>SUM(BD43,BI43)</f>
        <v>0</v>
      </c>
      <c r="BO43" s="858">
        <f t="shared" si="10"/>
        <v>0</v>
      </c>
      <c r="BP43" s="858">
        <f t="shared" si="10"/>
        <v>0</v>
      </c>
      <c r="BQ43" s="922">
        <f t="shared" si="10"/>
        <v>0</v>
      </c>
      <c r="BR43" s="924">
        <f>ROUND(SUM(BN43:BQ43),0)</f>
        <v>0</v>
      </c>
    </row>
    <row r="44" spans="1:70" ht="30" customHeight="1" thickBot="1">
      <c r="BB44" s="1491"/>
      <c r="BC44" s="423" t="s">
        <v>717</v>
      </c>
      <c r="BD44" s="918">
        <f>ROUND(SUM(BD42:BD43),0)</f>
        <v>0</v>
      </c>
      <c r="BE44" s="919">
        <f>ROUND(SUM(BE42:BE43),0)</f>
        <v>0</v>
      </c>
      <c r="BF44" s="919">
        <f>ROUND(SUM(BF42:BF43),0)</f>
        <v>0</v>
      </c>
      <c r="BG44" s="920">
        <f>ROUND(SUM(BG42:BG43),0)</f>
        <v>0</v>
      </c>
      <c r="BH44" s="921">
        <f t="shared" si="6"/>
        <v>0</v>
      </c>
      <c r="BI44" s="918">
        <f>ROUND(SUM(BI42:BI43),0)</f>
        <v>0</v>
      </c>
      <c r="BJ44" s="919">
        <f>ROUND(SUM(BJ42:BJ43),0)</f>
        <v>0</v>
      </c>
      <c r="BK44" s="919">
        <f>ROUND(SUM(BK42:BK43),0)</f>
        <v>0</v>
      </c>
      <c r="BL44" s="920">
        <f>ROUND(SUM(BL42:BL43),0)</f>
        <v>0</v>
      </c>
      <c r="BM44" s="838">
        <f t="shared" si="7"/>
        <v>0</v>
      </c>
      <c r="BN44" s="858">
        <f>SUM(BN42:BN43)</f>
        <v>0</v>
      </c>
      <c r="BO44" s="858">
        <f>SUM(BO42:BO43)</f>
        <v>0</v>
      </c>
      <c r="BP44" s="858">
        <f>SUM(BP42:BP43)</f>
        <v>0</v>
      </c>
      <c r="BQ44" s="858">
        <f>SUM(BQ42:BQ43)</f>
        <v>0</v>
      </c>
      <c r="BR44" s="830">
        <f t="shared" si="9"/>
        <v>0</v>
      </c>
    </row>
    <row r="45" spans="1:70" ht="30" customHeight="1"/>
    <row r="46" spans="1:70" ht="30" customHeight="1">
      <c r="BB46" s="2163"/>
      <c r="BC46" s="2163"/>
      <c r="BD46" s="2158" t="s">
        <v>706</v>
      </c>
      <c r="BE46" s="2158"/>
      <c r="BF46" s="2158"/>
      <c r="BG46" s="2158"/>
      <c r="BH46" s="2158"/>
      <c r="BI46" s="2158"/>
      <c r="BJ46" s="2158"/>
      <c r="BK46" s="2158"/>
      <c r="BL46" s="2158"/>
      <c r="BM46" s="2158"/>
      <c r="BN46" s="2158"/>
      <c r="BO46" s="2158"/>
      <c r="BP46" s="2158"/>
      <c r="BQ46" s="2158"/>
      <c r="BR46" s="2158"/>
    </row>
    <row r="47" spans="1:70" ht="30" customHeight="1">
      <c r="BB47" s="2163"/>
      <c r="BC47" s="2163"/>
      <c r="BD47" s="2141" t="s">
        <v>711</v>
      </c>
      <c r="BE47" s="2141"/>
      <c r="BF47" s="2141"/>
      <c r="BG47" s="2141"/>
      <c r="BH47" s="2141"/>
      <c r="BI47" s="2141"/>
      <c r="BJ47" s="2141"/>
      <c r="BK47" s="1362" t="s">
        <v>809</v>
      </c>
      <c r="BL47" s="1362"/>
      <c r="BM47" s="1362"/>
      <c r="BN47" s="1362"/>
      <c r="BO47" s="1362"/>
      <c r="BP47" s="1362"/>
      <c r="BQ47" s="1362"/>
      <c r="BR47" s="2078" t="s">
        <v>810</v>
      </c>
    </row>
    <row r="48" spans="1:70" ht="30" customHeight="1">
      <c r="BB48" s="2163"/>
      <c r="BC48" s="2163"/>
      <c r="BD48" s="2079" t="s">
        <v>715</v>
      </c>
      <c r="BE48" s="2080" t="s">
        <v>811</v>
      </c>
      <c r="BF48" s="2080"/>
      <c r="BG48" s="2080"/>
      <c r="BH48" s="2080"/>
      <c r="BI48" s="2080"/>
      <c r="BJ48" s="2161" t="s">
        <v>717</v>
      </c>
      <c r="BK48" s="2079" t="s">
        <v>715</v>
      </c>
      <c r="BL48" s="2080" t="s">
        <v>811</v>
      </c>
      <c r="BM48" s="2080"/>
      <c r="BN48" s="2080"/>
      <c r="BO48" s="2080"/>
      <c r="BP48" s="2080"/>
      <c r="BQ48" s="2161" t="s">
        <v>717</v>
      </c>
      <c r="BR48" s="2079"/>
    </row>
    <row r="49" spans="54:70" ht="30" customHeight="1">
      <c r="BB49" s="2163"/>
      <c r="BC49" s="2163"/>
      <c r="BD49" s="2080"/>
      <c r="BE49" s="925" t="s">
        <v>801</v>
      </c>
      <c r="BF49" s="925" t="s">
        <v>802</v>
      </c>
      <c r="BG49" s="925" t="s">
        <v>803</v>
      </c>
      <c r="BH49" s="926" t="s">
        <v>804</v>
      </c>
      <c r="BI49" s="926" t="s">
        <v>717</v>
      </c>
      <c r="BJ49" s="2162"/>
      <c r="BK49" s="2080"/>
      <c r="BL49" s="925" t="s">
        <v>801</v>
      </c>
      <c r="BM49" s="925" t="s">
        <v>802</v>
      </c>
      <c r="BN49" s="925" t="s">
        <v>803</v>
      </c>
      <c r="BO49" s="926" t="s">
        <v>804</v>
      </c>
      <c r="BP49" s="926" t="s">
        <v>717</v>
      </c>
      <c r="BQ49" s="2162"/>
      <c r="BR49" s="2080"/>
    </row>
    <row r="50" spans="54:70" ht="30" customHeight="1">
      <c r="BB50" s="1491" t="s">
        <v>805</v>
      </c>
      <c r="BC50" s="588" t="s">
        <v>806</v>
      </c>
      <c r="BD50" s="819">
        <f>BG14</f>
        <v>0</v>
      </c>
      <c r="BE50" s="819">
        <f>SUM(SUMIFS(P15:AI15,P14:AI14,{"[2]同居人"},P12:AI12,"[1]男",P13:AI13,"&lt;65")) +
SUM(SUMIFS(P16:AI16,P14:AI14,{"[2]同居人"},P12:AI12,"[1]男",P13:AI13,"&lt;65")) +
SUM(SUMIFS(P17:AI17,P14:AI14,{"[2]同居人"},P12:AI12,"[1]男",P13:AI13,"&lt;65")) +
SUM(SUMIFS(P18:AI18,P14:AI14,{"[2]同居人"},P12:AI12,"[1]男",P13:AI13,"&lt;65")) +
SUM(SUMIFS(P19:AI19,P14:AI14,{"[2]同居人"},P12:AI12,"[1]男",P13:AI13,"&lt;65")) +
SUM(SUMIFS(P20:AI20,P14:AI14,{"[2]同居人"},P12:AI12,"[1]男",P13:AI13,"&lt;65")) +
SUM(SUMIFS(P21:AI21,P14:AI14,{"[2]同居人"},P12:AI12,"[1]男",P13:AI13,"&lt;65")) +
SUM(SUMIFS(P22:AI22,P14:AI14,{"[2]同居人"},P12:AI12,"[1]男",P13:AI13,"&lt;65")) +
SUM(SUMIFS(P23:AI23,P14:AI14,{"[2]同居人"},P12:AI12,"[1]男",P13:AI13,"&lt;65")) +
SUM(SUMIFS(P24:AI24,P14:AI14,{"[2]同居人"},P12:AI12,"[1]男",P13:AI13,"&lt;65")) +
SUM(SUMIFS(P25:AI25,P14:AI14,{"[2]同居人"},P12:AI12,"[1]男",P13:AI13,"&lt;65")) +
SUM(SUMIFS(P26:AI26,P14:AI14,{"[2]同居人"},P12:AI12,"[1]男",P13:AI13,"&lt;65")) +
SUM(SUMIFS(P27:AI27,P14:AI14,{"[2]同居人"},P12:AI12,"[1]男",P13:AI13,"&lt;65")) +
SUM(SUMIFS(P28:AI28,P14:AI14,{"[2]同居人"},P12:AI12,"[1]男",P13:AI13,"&lt;65")) +
SUM(SUMIFS(P29:AI29,P14:AI14,{"[2]同居人"},P12:AI12,"[1]男",P13:AI13,"&lt;65")) +
SUM(SUMIFS(P15:AI15,P14:AI14,{"[4]手伝い・共同作業受け"},P12:AI12,"[1]男")) +
SUM(SUMIFS(P16:AI16,P14:AI14,{"[4]手伝い・共同作業受け"},P12:AI12,"[1]男")) +
SUM(SUMIFS(P17:AI17,P14:AI14,{"[4]手伝い・共同作業受け"},P12:AI12,"[1]男")) +
SUM(SUMIFS(P18:AI18,P14:AI14,{"[4]手伝い・共同作業受け"},P12:AI12,"[1]男")) +
SUM(SUMIFS(P19:AI19,P14:AI14,{"[4]手伝い・共同作業受け"},P12:AI12,"[1]男")) +
SUM(SUMIFS(P20:AI20,P14:AI14,{"[4]手伝い・共同作業受け"},P12:AI12,"[1]男")) +
SUM(SUMIFS(P21:AI21,P14:AI14,{"[4]手伝い・共同作業受け"},P12:AI12,"[1]男")) +
SUM(SUMIFS(P22:AI22,P14:AI14,{"[4]手伝い・共同作業受け"},P12:AI12,"[1]男")) +
SUM(SUMIFS(P23:AI23,P14:AI14,{"[4]手伝い・共同作業受け"},P12:AI12,"[1]男")) +
SUM(SUMIFS(P24:AI24,P14:AI14,{"[4]手伝い・共同作業受け"},P12:AI12,"[1]男")) +
SUM(SUMIFS(P25:AI25,P14:AI14,{"[4]手伝い・共同作業受け"},P12:AI12,"[1]男")) +
SUM(SUMIFS(P26:AI26,P14:AI14,{"[4]手伝い・共同作業受け"},P12:AI12,"[1]男")) +
SUM(SUMIFS(P27:AI27,P14:AI14,{"[4]手伝い・共同作業受け"},P12:AI12,"[1]男")) +
SUM(SUMIFS(P28:AI28,P14:AI14,{"[4]手伝い・共同作業受け"},P12:AI12,"[1]男")) +
SUM(SUMIFS(P29:AI29,P14:AI14,{"[4]手伝い・共同作業受け"},P12:AI12,"[1]男"))</f>
        <v>0</v>
      </c>
      <c r="BF50" s="819">
        <f>SUM(SUMIFS(P15:AI15,P14:AI14,{"[2]同居人"},P12:AI12,"[1]男",P13:AI13,"&gt;=65",P13:AI13,"&lt;70")) +
SUM(SUMIFS(P16:AI16,P14:AI14,{"[2]同居人"},P12:AI12,"[1]男",P13:AI13,"&gt;=65",P13:AI13,"&lt;70")) +
SUM(SUMIFS(P17:AI17,P14:AI14,{"[2]同居人"},P12:AI12,"[1]男",P13:AI13,"&gt;=65",P13:AI13,"&lt;70")) +
SUM(SUMIFS(P18:AI18,P14:AI14,{"[2]同居人"},P12:AI12,"[1]男",P13:AI13,"&gt;=65",P13:AI13,"&lt;70")) +
SUM(SUMIFS(P19:AI19,P14:AI14,{"[2]同居人"},P12:AI12,"[1]男",P13:AI13,"&gt;=65",P13:AI13,"&lt;70")) +
SUM(SUMIFS(P20:AI20,P14:AI14,{"[2]同居人"},P12:AI12,"[1]男",P13:AI13,"&gt;=65",P13:AI13,"&lt;70")) +
SUM(SUMIFS(P21:AI21,P14:AI14,{"[2]同居人"},P12:AI12,"[1]男",P13:AI13,"&gt;=65",P13:AI13,"&lt;70")) +
SUM(SUMIFS(P22:AI22,P14:AI14,{"[2]同居人"},P12:AI12,"[1]男",P13:AI13,"&gt;=65",P13:AI13,"&lt;70")) +
SUM(SUMIFS(P23:AI23,P14:AI14,{"[2]同居人"},P12:AI12,"[1]男",P13:AI13,"&gt;=65",P13:AI13,"&lt;70")) +
SUM(SUMIFS(P24:AI24,P14:AI14,{"[2]同居人"},P12:AI12,"[1]男",P13:AI13,"&gt;=65",P13:AI13,"&lt;70")) +
SUM(SUMIFS(P25:AI25,P14:AI14,{"[2]同居人"},P12:AI12,"[1]男",P13:AI13,"&gt;=65",P13:AI13,"&lt;70")) +
SUM(SUMIFS(P26:AI26,P14:AI14,{"[2]同居人"},P12:AI12,"[1]男",P13:AI13,"&gt;=65",P13:AI13,"&lt;70")) +
SUM(SUMIFS(P27:AI27,P14:AI14,{"[2]同居人"},P12:AI12,"[1]男",P13:AI13,"&gt;=65",P13:AI13,"&lt;70")) +
SUM(SUMIFS(P28:AI28,P14:AI14,{"[2]同居人"},P12:AI12,"[1]男",P13:AI13,"&gt;=65",P13:AI13,"&lt;70")) +
SUM(SUMIFS(P29:AI29,P14:AI14,{"[2]同居人"},P12:AI12,"[1]男",P13:AI13,"&gt;=65",P13:AI13,"&lt;70"))</f>
        <v>0</v>
      </c>
      <c r="BG50" s="819">
        <f>SUM(SUMIFS(P15:AI15,P14:AI14,{"[2]同居人"},P12:AI12,"[1]男",P13:AI13,"&gt;=70",P13:AI13,"&lt;75")) +
SUM(SUMIFS(P16:AI16,P14:AI14,{"[2]同居人"},P12:AI12,"[1]男",P13:AI13,"&gt;=70",P13:AI13,"&lt;75")) +
SUM(SUMIFS(P17:AI17,P14:AI14,{"[2]同居人"},P12:AI12,"[1]男",P13:AI13,"&gt;=70",P13:AI13,"&lt;75")) +
SUM(SUMIFS(P18:AI18,P14:AI14,{"[2]同居人"},P12:AI12,"[1]男",P13:AI13,"&gt;=70",P13:AI13,"&lt;75")) +
SUM(SUMIFS(P19:AI19,P14:AI14,{"[2]同居人"},P12:AI12,"[1]男",P13:AI13,"&gt;=70",P13:AI13,"&lt;75")) +
SUM(SUMIFS(P20:AI20,P14:AI14,{"[2]同居人"},P12:AI12,"[1]男",P13:AI13,"&gt;=70",P13:AI13,"&lt;75")) +
SUM(SUMIFS(P21:AI21,P14:AI14,{"[2]同居人"},P12:AI12,"[1]男",P13:AI13,"&gt;=70",P13:AI13,"&lt;75")) +
SUM(SUMIFS(P22:AI22,P14:AI14,{"[2]同居人"},P12:AI12,"[1]男",P13:AI13,"&gt;=70",P13:AI13,"&lt;75")) +
SUM(SUMIFS(P23:AI23,P14:AI14,{"[2]同居人"},P12:AI12,"[1]男",P13:AI13,"&gt;=70",P13:AI13,"&lt;75")) +
SUM(SUMIFS(P24:AI24,P14:AI14,{"[2]同居人"},P12:AI12,"[1]男",P13:AI13,"&gt;=70",P13:AI13,"&lt;75")) +
SUM(SUMIFS(P25:AI25,P14:AI14,{"[2]同居人"},P12:AI12,"[1]男",P13:AI13,"&gt;=70",P13:AI13,"&lt;75")) +
SUM(SUMIFS(P26:AI26,P14:AI14,{"[2]同居人"},P12:AI12,"[1]男",P13:AI13,"&gt;=70",P13:AI13,"&lt;75")) +
SUM(SUMIFS(P27:AI27,P14:AI14,{"[2]同居人"},P12:AI12,"[1]男",P13:AI13,"&gt;=70",P13:AI13,"&lt;75")) +
SUM(SUMIFS(P28:AI28,P14:AI14,{"[2]同居人"},P12:AI12,"[1]男",P13:AI13,"&gt;=70",P13:AI13,"&lt;75")) +
SUM(SUMIFS(P29:AI29,P14:AI14,{"[2]同居人"},P12:AI12,"[1]男",P13:AI13,"&gt;=70",P13:AI13,"&lt;75"))</f>
        <v>0</v>
      </c>
      <c r="BH50" s="819">
        <f>SUM(SUMIFS(P15:AI15,P14:AI14,{"[2]同居人"},P12:AI12,"[1]男",P13:AI13,"&gt;=75")) +
SUM(SUMIFS(P16:AI16,P14:AI14,{"[2]同居人"},P12:AI12,"[1]男",P13:AI13,"&gt;=75")) +
SUM(SUMIFS(P17:AI17,P14:AI14,{"[2]同居人"},P12:AI12,"[1]男",P13:AI13,"&gt;=75")) +
SUM(SUMIFS(P18:AI18,P14:AI14,{"[2]同居人"},P12:AI12,"[1]男",P13:AI13,"&gt;=75")) +
SUM(SUMIFS(P19:AI19,P14:AI14,{"[2]同居人"},P12:AI12,"[1]男",P13:AI13,"&gt;=75")) +
SUM(SUMIFS(P20:AI20,P14:AI14,{"[2]同居人"},P12:AI12,"[1]男",P13:AI13,"&gt;=75")) +
SUM(SUMIFS(P21:AI21,P14:AI14,{"[2]同居人"},P12:AI12,"[1]男",P13:AI13,"&gt;=75")) +
SUM(SUMIFS(P22:AI22,P14:AI14,{"[2]同居人"},P12:AI12,"[1]男",P13:AI13,"&gt;=75")) +
SUM(SUMIFS(P23:AI23,P14:AI14,{"[2]同居人"},P12:AI12,"[1]男",P13:AI13,"&gt;=75")) +
SUM(SUMIFS(P24:AI24,P14:AI14,{"[2]同居人"},P12:AI12,"[1]男",P13:AI13,"&gt;=75")) +
SUM(SUMIFS(P25:AI25,P14:AI14,{"[2]同居人"},P12:AI12,"[1]男",P13:AI13,"&gt;=75")) +
SUM(SUMIFS(P26:AI26,P14:AI14,{"[2]同居人"},P12:AI12,"[1]男",P13:AI13,"&gt;=75")) +
SUM(SUMIFS(P27:AI27,P14:AI14,{"[2]同居人"},P12:AI12,"[1]男",P13:AI13,"&gt;=75")) +
SUM(SUMIFS(P28:AI28,P14:AI14,{"[2]同居人"},P12:AI12,"[1]男",P13:AI13,"&gt;=75")) +
SUM(SUMIFS(P29:AI29,P14:AI14,{"[2]同居人"},P12:AI12,"[1]男",P13:AI13,"&gt;=75"))</f>
        <v>0</v>
      </c>
      <c r="BI50" s="819">
        <f>SUM(BE50:BH50)</f>
        <v>0</v>
      </c>
      <c r="BJ50" s="819">
        <f t="shared" ref="BJ50:BJ54" si="11">SUM(BD50,BI50)</f>
        <v>0</v>
      </c>
      <c r="BK50" s="819">
        <f>BJ14</f>
        <v>0</v>
      </c>
      <c r="BL50" s="819">
        <f>SUM(SUMIFS(P15:AI15,P14:AI14,{"[2]同居人"},P12:AI12,"[2]女",P13:AI13,"&lt;65")) +
SUM(SUMIFS(P16:AI16,P14:AI14,{"[2]同居人"},P12:AI12,"[2]女",P13:AI13,"&lt;65")) +
SUM(SUMIFS(P17:AI17,P14:AI14,{"[2]同居人"},P12:AI12,"[2]女",P13:AI13,"&lt;65")) +
SUM(SUMIFS(P18:AI18,P14:AI14,{"[2]同居人"},P12:AI12,"[2]女",P13:AI13,"&lt;65")) +
SUM(SUMIFS(P19:AI19,P14:AI14,{"[2]同居人"},P12:AI12,"[2]女",P13:AI13,"&lt;65")) +
SUM(SUMIFS(P20:AI20,P14:AI14,{"[2]同居人"},P12:AI12,"[2]女",P13:AI13,"&lt;65")) +
SUM(SUMIFS(P21:AI21,P14:AI14,{"[2]同居人"},P12:AI12,"[2]女",P13:AI13,"&lt;65")) +
SUM(SUMIFS(P22:AI22,P14:AI14,{"[2]同居人"},P12:AI12,"[2]女",P13:AI13,"&lt;65")) +
SUM(SUMIFS(P23:AI23,P14:AI14,{"[2]同居人"},P12:AI12,"[2]女",P13:AI13,"&lt;65")) +
SUM(SUMIFS(P24:AI24,P14:AI14,{"[2]同居人"},P12:AI12,"[2]女",P13:AI13,"&lt;65")) +
SUM(SUMIFS(P25:AI25,P14:AI14,{"[2]同居人"},P12:AI12,"[2]女",P13:AI13,"&lt;65")) +
SUM(SUMIFS(P26:AI26,P14:AI14,{"[2]同居人"},P12:AI12,"[2]女",P13:AI13,"&lt;65")) +
SUM(SUMIFS(P27:AI27,P14:AI14,{"[2]同居人"},P12:AI12,"[2]女",P13:AI13,"&lt;65")) +
SUM(SUMIFS(P28:AI28,P14:AI14,{"[2]同居人"},P12:AI12,"[2]女",P13:AI13,"&lt;65")) +
SUM(SUMIFS(P29:AI29,P14:AI14,{"[2]同居人"},P12:AI12,"[2]女",P13:AI13,"&lt;65")) +
SUM(SUMIFS(P15:AI15,P14:AI14,{"[4]手伝い・共同作業受け"},P12:AI12,"[2]女")) +
SUM(SUMIFS(P16:AI16,P14:AI14,{"[4]手伝い・共同作業受け"},P12:AI12,"[2]女")) +
SUM(SUMIFS(P17:AI17,P14:AI14,{"[4]手伝い・共同作業受け"},P12:AI12,"[2]女")) +
SUM(SUMIFS(P18:AI18,P14:AI14,{"[4]手伝い・共同作業受け"},P12:AI12,"[2]女")) +
SUM(SUMIFS(P19:AI19,P14:AI14,{"[4]手伝い・共同作業受け"},P12:AI12,"[2]女")) +
SUM(SUMIFS(P20:AI20,P14:AI14,{"[4]手伝い・共同作業受け"},P12:AI12,"[2]女")) +
SUM(SUMIFS(P21:AI21,P14:AI14,{"[4]手伝い・共同作業受け"},P12:AI12,"[2]女")) +
SUM(SUMIFS(P22:AI22,P14:AI14,{"[4]手伝い・共同作業受け"},P12:AI12,"[2]女")) +
SUM(SUMIFS(P23:AI23,P14:AI14,{"[4]手伝い・共同作業受け"},P12:AI12,"[2]女")) +
SUM(SUMIFS(P24:AI24,P14:AI14,{"[4]手伝い・共同作業受け"},P12:AI12,"[2]女")) +
SUM(SUMIFS(P25:AI25,P14:AI14,{"[4]手伝い・共同作業受け"},P12:AI12,"[2]女")) +
SUM(SUMIFS(P26:AI26,P14:AI14,{"[4]手伝い・共同作業受け"},P12:AI12,"[2]女")) +
SUM(SUMIFS(P27:AI27,P14:AI14,{"[4]手伝い・共同作業受け"},P12:AI12,"[2]女")) +
SUM(SUMIFS(P28:AI28,P14:AI14,{"[4]手伝い・共同作業受け"},P12:AI12,"[2]女")) +
SUM(SUMIFS(P29:AI29,P14:AI14,{"[4]手伝い・共同作業受け"},P12:AI12,"[2]女"))</f>
        <v>0</v>
      </c>
      <c r="BM50" s="819">
        <f>SUM(SUMIFS(P15:AI15,P14:AI14,{"[2]同居人"},P12:AI12,"[2]女",P13:AI13,"&gt;=65",P13:AI13,"&lt;70")) +
SUM(SUMIFS(P16:AI16,P14:AI14,{"[2]同居人"},P12:AI12,"[2]女",P13:AI13,"&gt;=65",P13:AI13,"&lt;70")) +
SUM(SUMIFS(P17:AI17,P14:AI14,{"[2]同居人"},P12:AI12,"[2]女",P13:AI13,"&gt;=65",P13:AI13,"&lt;70")) +
SUM(SUMIFS(P18:AI18,P14:AI14,{"[2]同居人"},P12:AI12,"[2]女",P13:AI13,"&gt;=65",P13:AI13,"&lt;70")) +
SUM(SUMIFS(P19:AI19,P14:AI14,{"[2]同居人"},P12:AI12,"[2]女",P13:AI13,"&gt;=65",P13:AI13,"&lt;70")) +
SUM(SUMIFS(P20:AI20,P14:AI14,{"[2]同居人"},P12:AI12,"[2]女",P13:AI13,"&gt;=65",P13:AI13,"&lt;70")) +
SUM(SUMIFS(P21:AI21,P14:AI14,{"[2]同居人"},P12:AI12,"[2]女",P13:AI13,"&gt;=65",P13:AI13,"&lt;70")) +
SUM(SUMIFS(P22:AI22,P14:AI14,{"[2]同居人"},P12:AI12,"[2]女",P13:AI13,"&gt;=65",P13:AI13,"&lt;70")) +
SUM(SUMIFS(P23:AI23,P14:AI14,{"[2]同居人"},P12:AI12,"[2]女",P13:AI13,"&gt;=65",P13:AI13,"&lt;70")) +
SUM(SUMIFS(P24:AI24,P14:AI14,{"[2]同居人"},P12:AI12,"[2]女",P13:AI13,"&gt;=65",P13:AI13,"&lt;70")) +
SUM(SUMIFS(P25:AI25,P14:AI14,{"[2]同居人"},P12:AI12,"[2]女",P13:AI13,"&gt;=65",P13:AI13,"&lt;70")) +
SUM(SUMIFS(P26:AI26,P14:AI14,{"[2]同居人"},P12:AI12,"[2]女",P13:AI13,"&gt;=65",P13:AI13,"&lt;70")) +
SUM(SUMIFS(P27:AI27,P14:AI14,{"[2]同居人"},P12:AI12,"[2]女",P13:AI13,"&gt;=65",P13:AI13,"&lt;70")) +
SUM(SUMIFS(P28:AI28,P14:AI14,{"[2]同居人"},P12:AI12,"[2]女",P13:AI13,"&gt;=65",P13:AI13,"&lt;70")) +
SUM(SUMIFS(P29:AI29,P14:AI14,{"[2]同居人"},P12:AI12,"[2]女",P13:AI13,"&gt;=65",P13:AI13,"&lt;70"))</f>
        <v>0</v>
      </c>
      <c r="BN50" s="819">
        <f>SUM(SUMIFS(P15:AI15,P14:AI14,{"[2]同居人"},P12:AI12,"[2]女",P13:AI13,"&gt;=70",P13:AI13,"&lt;75")) +
SUM(SUMIFS(P16:AI16,P14:AI14,{"[2]同居人"},P12:AI12,"[2]女",P13:AI13,"&gt;=70",P13:AI13,"&lt;75")) +
SUM(SUMIFS(P17:AI17,P14:AI14,{"[2]同居人"},P12:AI12,"[2]女",P13:AI13,"&gt;=70",P13:AI13,"&lt;75")) +
SUM(SUMIFS(P18:AI18,P14:AI14,{"[2]同居人"},P12:AI12,"[2]女",P13:AI13,"&gt;=70",P13:AI13,"&lt;75")) +
SUM(SUMIFS(P19:AI19,P14:AI14,{"[2]同居人"},P12:AI12,"[2]女",P13:AI13,"&gt;=70",P13:AI13,"&lt;75")) +
SUM(SUMIFS(P20:AI20,P14:AI14,{"[2]同居人"},P12:AI12,"[2]女",P13:AI13,"&gt;=70",P13:AI13,"&lt;75")) +
SUM(SUMIFS(P21:AI21,P14:AI14,{"[2]同居人"},P12:AI12,"[2]女",P13:AI13,"&gt;=70",P13:AI13,"&lt;75")) +
SUM(SUMIFS(P22:AI22,P14:AI14,{"[2]同居人"},P12:AI12,"[2]女",P13:AI13,"&gt;=70",P13:AI13,"&lt;75")) +
SUM(SUMIFS(P23:AI23,P14:AI14,{"[2]同居人"},P12:AI12,"[2]女",P13:AI13,"&gt;=70",P13:AI13,"&lt;75")) +
SUM(SUMIFS(P24:AI24,P14:AI14,{"[2]同居人"},P12:AI12,"[2]女",P13:AI13,"&gt;=70",P13:AI13,"&lt;75")) +
SUM(SUMIFS(P25:AI25,P14:AI14,{"[2]同居人"},P12:AI12,"[2]女",P13:AI13,"&gt;=70",P13:AI13,"&lt;75")) +
SUM(SUMIFS(P26:AI26,P14:AI14,{"[2]同居人"},P12:AI12,"[2]女",P13:AI13,"&gt;=70",P13:AI13,"&lt;75")) +
SUM(SUMIFS(P27:AI27,P14:AI14,{"[2]同居人"},P12:AI12,"[2]女",P13:AI13,"&gt;=70",P13:AI13,"&lt;75")) +
SUM(SUMIFS(P28:AI28,P14:AI14,{"[2]同居人"},P12:AI12,"[2]女",P13:AI13,"&gt;=70",P13:AI13,"&lt;75")) +
SUM(SUMIFS(P29:AI29,P14:AI14,{"[2]同居人"},P12:AI12,"[2]女",P13:AI13,"&gt;=70",P13:AI13,"&lt;75"))</f>
        <v>0</v>
      </c>
      <c r="BO50" s="819">
        <f>SUM(SUMIFS(P15:AI15,P14:AI14,{"[2]同居人"},P12:AI12,"[2]女",P13:AI13,"&gt;=75")) +
SUM(SUMIFS(P16:AI16,P14:AI14,{"[2]同居人"},P12:AI12,"[2]女",P13:AI13,"&gt;=75")) +
SUM(SUMIFS(P17:AI17,P14:AI14,{"[2]同居人"},P12:AI12,"[2]女",P13:AI13,"&gt;=75")) +
SUM(SUMIFS(P18:AI18,P14:AI14,{"[2]同居人"},P12:AI12,"[2]女",P13:AI13,"&gt;=75")) +
SUM(SUMIFS(P19:AI19,P14:AI14,{"[2]同居人"},P12:AI12,"[2]女",P13:AI13,"&gt;=75")) +
SUM(SUMIFS(P20:AI20,P14:AI14,{"[2]同居人"},P12:AI12,"[2]女",P13:AI13,"&gt;=75")) +
SUM(SUMIFS(P21:AI21,P14:AI14,{"[2]同居人"},P12:AI12,"[2]女",P13:AI13,"&gt;=75")) +
SUM(SUMIFS(P22:AI22,P14:AI14,{"[2]同居人"},P12:AI12,"[2]女",P13:AI13,"&gt;=75")) +
SUM(SUMIFS(P23:AI23,P14:AI14,{"[2]同居人"},P12:AI12,"[2]女",P13:AI13,"&gt;=75")) +
SUM(SUMIFS(P24:AI24,P14:AI14,{"[2]同居人"},P12:AI12,"[2]女",P13:AI13,"&gt;=75")) +
SUM(SUMIFS(P25:AI25,P14:AI14,{"[2]同居人"},P12:AI12,"[2]女",P13:AI13,"&gt;=75")) +
SUM(SUMIFS(P26:AI26,P14:AI14,{"[2]同居人"},P12:AI12,"[2]女",P13:AI13,"&gt;=75")) +
SUM(SUMIFS(P27:AI27,P14:AI14,{"[2]同居人"},P12:AI12,"[2]女",P13:AI13,"&gt;=75")) +
SUM(SUMIFS(P28:AI28,P14:AI14,{"[2]同居人"},P12:AI12,"[2]女",P13:AI13,"&gt;=75")) +
SUM(SUMIFS(P29:AI29,P14:AI14,{"[2]同居人"},P12:AI12,"[2]女",P13:AI13,"&gt;=75"))</f>
        <v>0</v>
      </c>
      <c r="BP50" s="819">
        <f t="shared" ref="BP50:BP55" si="12">SUM(BL50:BO50)</f>
        <v>0</v>
      </c>
      <c r="BQ50" s="819">
        <f t="shared" ref="BQ50:BQ52" si="13">SUM(BK50,BP50)</f>
        <v>0</v>
      </c>
      <c r="BR50" s="819">
        <f t="shared" ref="BR50:BR55" si="14">SUM(BQ50,BJ50)</f>
        <v>0</v>
      </c>
    </row>
    <row r="51" spans="54:70" ht="30" customHeight="1">
      <c r="BB51" s="1491"/>
      <c r="BC51" s="216" t="s">
        <v>807</v>
      </c>
      <c r="BD51" s="819">
        <f>BG31</f>
        <v>0</v>
      </c>
      <c r="BE51" s="819">
        <f>SUM(SUMIFS(P31:AI31,P14:AI14,{"[2]同居人"},P12:AI12,"[1]男",P13:AI13,"&lt;65"))+
SUM(SUMIFS(P31:AI31,P14:AI14,{"[4]手伝い・共同作業受け"},P12:AI12,"[1]男"))</f>
        <v>0</v>
      </c>
      <c r="BF51" s="819">
        <f>SUM(SUMIFS(P31:AI31,P14:AI14,{"[2]同居人"},P12:AI12,"[1]男",P13:AI13,"&gt;=65",P13:AI13,"&lt;70"))</f>
        <v>0</v>
      </c>
      <c r="BG51" s="819">
        <f>SUM(SUMIFS(P31:AI31,P14:AI14,{"[2]同居人"},P12:AI12,"[1]男",P13:AI13,"&gt;=70",P13:AI13,"&lt;75"))</f>
        <v>0</v>
      </c>
      <c r="BH51" s="819">
        <f>SUM(SUMIFS(P31:AI31,P14:AI14,{"[2]同居人"},P12:AI12,"[1]男",P13:AI13,"&gt;=75"))</f>
        <v>0</v>
      </c>
      <c r="BI51" s="819">
        <f>SUM(BE51:BH51)</f>
        <v>0</v>
      </c>
      <c r="BJ51" s="819">
        <f t="shared" si="11"/>
        <v>0</v>
      </c>
      <c r="BK51" s="819">
        <f>BJ31</f>
        <v>0</v>
      </c>
      <c r="BL51" s="819">
        <f>SUM(SUMIFS(P31:AI31,P14:AI14,{"[2]同居人"},P12:AI12,"[2]女",P13:AI13,"&lt;65"))+
SUM(SUMIFS(P31:AI31,P14:AI14,{"[4]手伝い・共同作業受け"},P12:AI12,"[2]女"))</f>
        <v>0</v>
      </c>
      <c r="BM51" s="819">
        <f>SUM(SUMIFS(P31:AI31,P14:AI14,{"[2]同居人"},P12:AI12,"[2]女",P13:AI13,"&gt;=65",P13:AI13,"&lt;70"))</f>
        <v>0</v>
      </c>
      <c r="BN51" s="819">
        <f>SUM(SUMIFS(P31:AI31,P14:AI14,{"[2]同居人"},P12:AI12,"[2]女",P13:AI13,"&gt;=70",P13:AI13,"&lt;75"))</f>
        <v>0</v>
      </c>
      <c r="BO51" s="819">
        <f>SUM(SUMIFS(P31:AI31,P14:AI14,{"[2]同居人"},P12:AI12,"[2]女",P13:AI13,"&gt;=75"))</f>
        <v>0</v>
      </c>
      <c r="BP51" s="819">
        <f t="shared" si="12"/>
        <v>0</v>
      </c>
      <c r="BQ51" s="819">
        <f t="shared" si="13"/>
        <v>0</v>
      </c>
      <c r="BR51" s="819">
        <f t="shared" si="14"/>
        <v>0</v>
      </c>
    </row>
    <row r="52" spans="54:70" ht="30" customHeight="1" thickBot="1">
      <c r="BB52" s="1491"/>
      <c r="BC52" s="423" t="s">
        <v>717</v>
      </c>
      <c r="BD52" s="819">
        <f>SUM(BD50:BD51)</f>
        <v>0</v>
      </c>
      <c r="BE52" s="819">
        <f>SUM(BE50:BE51)</f>
        <v>0</v>
      </c>
      <c r="BF52" s="819">
        <f>SUM(BF50:BF51)</f>
        <v>0</v>
      </c>
      <c r="BG52" s="819">
        <f>SUM(BG50:BG51)</f>
        <v>0</v>
      </c>
      <c r="BH52" s="819">
        <f>SUM(BH50:BH51)</f>
        <v>0</v>
      </c>
      <c r="BI52" s="819">
        <f t="shared" ref="BI52:BI55" si="15">SUM(BE52:BH52)</f>
        <v>0</v>
      </c>
      <c r="BJ52" s="819">
        <f t="shared" si="11"/>
        <v>0</v>
      </c>
      <c r="BK52" s="819">
        <f>SUM(BK50:BK51)</f>
        <v>0</v>
      </c>
      <c r="BL52" s="819">
        <f>SUM(BL50:BL51)</f>
        <v>0</v>
      </c>
      <c r="BM52" s="819">
        <f>SUM(BM50:BM51)</f>
        <v>0</v>
      </c>
      <c r="BN52" s="819">
        <f>SUM(BN50:BN51)</f>
        <v>0</v>
      </c>
      <c r="BO52" s="819">
        <f>SUM(BO50:BO51)</f>
        <v>0</v>
      </c>
      <c r="BP52" s="819">
        <f t="shared" si="12"/>
        <v>0</v>
      </c>
      <c r="BQ52" s="819">
        <f t="shared" si="13"/>
        <v>0</v>
      </c>
      <c r="BR52" s="1066">
        <f t="shared" si="14"/>
        <v>0</v>
      </c>
    </row>
    <row r="53" spans="54:70" ht="30" customHeight="1">
      <c r="BB53" s="1491" t="s">
        <v>808</v>
      </c>
      <c r="BC53" s="588" t="s">
        <v>806</v>
      </c>
      <c r="BD53" s="858" t="str">
        <f>IF(OR(BD52="",BD52=0),"",ROUND(P37*Q37%*BD50/BD52,))</f>
        <v/>
      </c>
      <c r="BE53" s="858">
        <f>BE50*$BO$32</f>
        <v>0</v>
      </c>
      <c r="BF53" s="858">
        <f>ROUND(BF50*$BO$32*0.9,)</f>
        <v>0</v>
      </c>
      <c r="BG53" s="858">
        <f>ROUND(BG50*$BO$32*0.8,)</f>
        <v>0</v>
      </c>
      <c r="BH53" s="858">
        <f>ROUND(BH50*$BO$32*0.7,)</f>
        <v>0</v>
      </c>
      <c r="BI53" s="858">
        <f t="shared" si="15"/>
        <v>0</v>
      </c>
      <c r="BJ53" s="858">
        <f t="shared" si="11"/>
        <v>0</v>
      </c>
      <c r="BK53" s="858" t="str">
        <f>IF(BK52&gt;0,ROUND(P38*Q38%*BK50/BK52,),"")</f>
        <v/>
      </c>
      <c r="BL53" s="858">
        <f>BL50*$BO$32</f>
        <v>0</v>
      </c>
      <c r="BM53" s="858">
        <f>ROUND(BM50*$BO$32*0.9,)</f>
        <v>0</v>
      </c>
      <c r="BN53" s="858">
        <f>ROUND(BN50*$BO$32*0.8,)</f>
        <v>0</v>
      </c>
      <c r="BO53" s="858">
        <f>ROUND(BO50*$BO$32*0.7,)</f>
        <v>0</v>
      </c>
      <c r="BP53" s="858">
        <f t="shared" si="12"/>
        <v>0</v>
      </c>
      <c r="BQ53" s="922">
        <f>SUM(BK53,BP53)</f>
        <v>0</v>
      </c>
      <c r="BR53" s="923">
        <f>ROUND(SUM(BQ53,BJ53),0)</f>
        <v>0</v>
      </c>
    </row>
    <row r="54" spans="54:70" ht="30" customHeight="1" thickBot="1">
      <c r="BB54" s="1491"/>
      <c r="BC54" s="216" t="s">
        <v>807</v>
      </c>
      <c r="BD54" s="858" t="str">
        <f>IF(OR(BD52="",BD52=0),"",ROUND(P37*Q37%*BD51/BD52,))</f>
        <v/>
      </c>
      <c r="BE54" s="858">
        <f>BE51*$BO$32</f>
        <v>0</v>
      </c>
      <c r="BF54" s="858">
        <f>ROUND(BF51*$BO$32*0.9,)</f>
        <v>0</v>
      </c>
      <c r="BG54" s="858">
        <f>ROUND(BG51*$BO$32*0.8,)</f>
        <v>0</v>
      </c>
      <c r="BH54" s="858">
        <f>ROUND(BH51*$BO$32*0.7,)</f>
        <v>0</v>
      </c>
      <c r="BI54" s="858">
        <f t="shared" si="15"/>
        <v>0</v>
      </c>
      <c r="BJ54" s="917">
        <f t="shared" si="11"/>
        <v>0</v>
      </c>
      <c r="BK54" s="858" t="str">
        <f>IF(BK52&gt;0,ROUND(P38*Q38%*BK51/BK52,),"")</f>
        <v/>
      </c>
      <c r="BL54" s="858">
        <f>BL51*$BO$32</f>
        <v>0</v>
      </c>
      <c r="BM54" s="858">
        <f>ROUND(BM51*$BO$32*0.9,)</f>
        <v>0</v>
      </c>
      <c r="BN54" s="858">
        <f>ROUND(BN51*$BO$32*0.8,)</f>
        <v>0</v>
      </c>
      <c r="BO54" s="858">
        <f>ROUND(BO51*$BO$32*0.7,)</f>
        <v>0</v>
      </c>
      <c r="BP54" s="858">
        <f t="shared" si="12"/>
        <v>0</v>
      </c>
      <c r="BQ54" s="927">
        <f t="shared" ref="BQ54" si="16">SUM(BK54,BP54)</f>
        <v>0</v>
      </c>
      <c r="BR54" s="924">
        <f>ROUND(SUM(BQ54,BJ54),0)</f>
        <v>0</v>
      </c>
    </row>
    <row r="55" spans="54:70" ht="30" customHeight="1" thickBot="1">
      <c r="BB55" s="1491"/>
      <c r="BC55" s="423" t="s">
        <v>717</v>
      </c>
      <c r="BD55" s="858">
        <f>SUM(BD53:BD54)</f>
        <v>0</v>
      </c>
      <c r="BE55" s="858">
        <f>SUM(BE53:BE54)</f>
        <v>0</v>
      </c>
      <c r="BF55" s="858">
        <f>SUM(BF53:BF54)</f>
        <v>0</v>
      </c>
      <c r="BG55" s="858">
        <f>SUM(BG53:BG54)</f>
        <v>0</v>
      </c>
      <c r="BH55" s="858">
        <f>SUM(BH53:BH54)</f>
        <v>0</v>
      </c>
      <c r="BI55" s="922">
        <f t="shared" si="15"/>
        <v>0</v>
      </c>
      <c r="BJ55" s="928">
        <f>ROUND(SUM(BD55,BI55),0)</f>
        <v>0</v>
      </c>
      <c r="BK55" s="838">
        <f>SUM(BK53:BK54)</f>
        <v>0</v>
      </c>
      <c r="BL55" s="858">
        <f>SUM(BL53:BL54)</f>
        <v>0</v>
      </c>
      <c r="BM55" s="858">
        <f>SUM(BM53:BM54)</f>
        <v>0</v>
      </c>
      <c r="BN55" s="858">
        <f>SUM(BN53:BN54)</f>
        <v>0</v>
      </c>
      <c r="BO55" s="858">
        <f>SUM(BO53:BO54)</f>
        <v>0</v>
      </c>
      <c r="BP55" s="922">
        <f t="shared" si="12"/>
        <v>0</v>
      </c>
      <c r="BQ55" s="928">
        <f>ROUND(SUM(BK55,BP55),0)</f>
        <v>0</v>
      </c>
      <c r="BR55" s="829">
        <f t="shared" si="14"/>
        <v>0</v>
      </c>
    </row>
    <row r="212427" ht="14.25" hidden="1" customHeight="1"/>
  </sheetData>
  <sheetProtection sheet="1" objects="1" scenarios="1" selectLockedCells="1"/>
  <mergeCells count="133">
    <mergeCell ref="BQ48:BQ49"/>
    <mergeCell ref="BB50:BB52"/>
    <mergeCell ref="BB53:BB55"/>
    <mergeCell ref="BB46:BC49"/>
    <mergeCell ref="BD46:BR46"/>
    <mergeCell ref="BD47:BJ47"/>
    <mergeCell ref="BK47:BQ47"/>
    <mergeCell ref="BR47:BR49"/>
    <mergeCell ref="BD48:BD49"/>
    <mergeCell ref="BE48:BI48"/>
    <mergeCell ref="BJ48:BJ49"/>
    <mergeCell ref="BK48:BK49"/>
    <mergeCell ref="BL48:BP48"/>
    <mergeCell ref="BD37:BH37"/>
    <mergeCell ref="BI37:BM37"/>
    <mergeCell ref="BN37:BR37"/>
    <mergeCell ref="C38:O38"/>
    <mergeCell ref="BB39:BB41"/>
    <mergeCell ref="BB42:BB44"/>
    <mergeCell ref="BB31:BC31"/>
    <mergeCell ref="BO31:BP31"/>
    <mergeCell ref="BB32:BC32"/>
    <mergeCell ref="BO32:BP32"/>
    <mergeCell ref="C35:O36"/>
    <mergeCell ref="P35:P36"/>
    <mergeCell ref="Q35:Q36"/>
    <mergeCell ref="BB36:BC38"/>
    <mergeCell ref="BD36:BR36"/>
    <mergeCell ref="C37:O37"/>
    <mergeCell ref="C30:E30"/>
    <mergeCell ref="F30:O30"/>
    <mergeCell ref="AL30:AN30"/>
    <mergeCell ref="AO30:AX30"/>
    <mergeCell ref="C31:E31"/>
    <mergeCell ref="F31:O31"/>
    <mergeCell ref="AL31:AN31"/>
    <mergeCell ref="AO31:AX31"/>
    <mergeCell ref="C28:E28"/>
    <mergeCell ref="F28:O28"/>
    <mergeCell ref="AL28:AN28"/>
    <mergeCell ref="AO28:AX28"/>
    <mergeCell ref="C29:E29"/>
    <mergeCell ref="F29:O29"/>
    <mergeCell ref="AL29:AN29"/>
    <mergeCell ref="AO29:AX29"/>
    <mergeCell ref="C26:E26"/>
    <mergeCell ref="F26:O26"/>
    <mergeCell ref="AL26:AN26"/>
    <mergeCell ref="AO26:AX26"/>
    <mergeCell ref="C27:E27"/>
    <mergeCell ref="F27:O27"/>
    <mergeCell ref="AL27:AN27"/>
    <mergeCell ref="AO27:AX27"/>
    <mergeCell ref="C24:E24"/>
    <mergeCell ref="F24:O24"/>
    <mergeCell ref="AL24:AN24"/>
    <mergeCell ref="AO24:AX24"/>
    <mergeCell ref="C25:E25"/>
    <mergeCell ref="F25:O25"/>
    <mergeCell ref="AL25:AN25"/>
    <mergeCell ref="AO25:AX25"/>
    <mergeCell ref="C22:E22"/>
    <mergeCell ref="F22:O22"/>
    <mergeCell ref="AL22:AN22"/>
    <mergeCell ref="AO22:AX22"/>
    <mergeCell ref="C23:E23"/>
    <mergeCell ref="F23:O23"/>
    <mergeCell ref="AL23:AN23"/>
    <mergeCell ref="AO23:AX23"/>
    <mergeCell ref="C20:E20"/>
    <mergeCell ref="F20:O20"/>
    <mergeCell ref="AL20:AN20"/>
    <mergeCell ref="AO20:AX20"/>
    <mergeCell ref="C21:E21"/>
    <mergeCell ref="F21:O21"/>
    <mergeCell ref="AL21:AN21"/>
    <mergeCell ref="AO21:AX21"/>
    <mergeCell ref="F14:L14"/>
    <mergeCell ref="M14:O14"/>
    <mergeCell ref="BB14:BC14"/>
    <mergeCell ref="C15:E15"/>
    <mergeCell ref="F15:O15"/>
    <mergeCell ref="AL15:AN15"/>
    <mergeCell ref="AO15:AX15"/>
    <mergeCell ref="BB15:BB30"/>
    <mergeCell ref="C16:E16"/>
    <mergeCell ref="F16:O16"/>
    <mergeCell ref="C18:E18"/>
    <mergeCell ref="F18:O18"/>
    <mergeCell ref="AL18:AN18"/>
    <mergeCell ref="AO18:AX18"/>
    <mergeCell ref="C19:E19"/>
    <mergeCell ref="F19:O19"/>
    <mergeCell ref="AL19:AN19"/>
    <mergeCell ref="AO19:AX19"/>
    <mergeCell ref="AL16:AN16"/>
    <mergeCell ref="AO16:AX16"/>
    <mergeCell ref="C17:E17"/>
    <mergeCell ref="F17:O17"/>
    <mergeCell ref="AL17:AN17"/>
    <mergeCell ref="AO17:AX17"/>
    <mergeCell ref="BD11:BD13"/>
    <mergeCell ref="BE11:BE13"/>
    <mergeCell ref="BF11:BF13"/>
    <mergeCell ref="BG11:BI11"/>
    <mergeCell ref="BJ11:BL11"/>
    <mergeCell ref="BM11:BM13"/>
    <mergeCell ref="C10:E13"/>
    <mergeCell ref="F10:L13"/>
    <mergeCell ref="AJ10:AJ13"/>
    <mergeCell ref="AK10:AK13"/>
    <mergeCell ref="AL10:AN13"/>
    <mergeCell ref="AO10:AX13"/>
    <mergeCell ref="M12:O12"/>
    <mergeCell ref="M13:O13"/>
    <mergeCell ref="BG12:BG13"/>
    <mergeCell ref="BH12:BH13"/>
    <mergeCell ref="BI12:BI13"/>
    <mergeCell ref="BJ12:BJ13"/>
    <mergeCell ref="BK12:BK13"/>
    <mergeCell ref="BL12:BL13"/>
    <mergeCell ref="BB10:BC13"/>
    <mergeCell ref="BD10:BF10"/>
    <mergeCell ref="BG10:BM10"/>
    <mergeCell ref="AK3:AK4"/>
    <mergeCell ref="AL3:AN4"/>
    <mergeCell ref="AO3:AO4"/>
    <mergeCell ref="AP3:AT4"/>
    <mergeCell ref="AK5:AK6"/>
    <mergeCell ref="AL5:AN6"/>
    <mergeCell ref="AO5:AO6"/>
    <mergeCell ref="AP5:AT6"/>
    <mergeCell ref="M11:O11"/>
  </mergeCells>
  <phoneticPr fontId="5"/>
  <dataValidations count="5">
    <dataValidation type="whole" operator="greaterThan" allowBlank="1" showInputMessage="1" showErrorMessage="1" error="0より大きい数値を整数で入力してください。" sqref="P13:AI13 BO32:BP32 P37:P38 P15:AK16" xr:uid="{00000000-0002-0000-1600-000000000000}">
      <formula1>0</formula1>
    </dataValidation>
    <dataValidation type="textLength" imeMode="hiragana" operator="greaterThanOrEqual" allowBlank="1" showInputMessage="1" showErrorMessage="1" sqref="P11:AI11" xr:uid="{00000000-0002-0000-1600-000001000000}">
      <formula1>1</formula1>
    </dataValidation>
    <dataValidation type="custom" allowBlank="1" showInputMessage="1" showErrorMessage="1" error="0.001~100の範囲で小数点第３位までの数値を入力してください。" sqref="Q37:Q38" xr:uid="{00000000-0002-0000-1600-000002000000}">
      <formula1>AND(AND(Q37*1000=INT(Q37*1000)),(Q37&gt;0),(Q37&lt;=100))</formula1>
    </dataValidation>
    <dataValidation type="textLength" imeMode="hiragana" allowBlank="1" showInputMessage="1" showErrorMessage="1" error="20文字まで入力できます。" sqref="AP3:AT6 AK3:AN6" xr:uid="{00000000-0002-0000-1600-000003000000}">
      <formula1>1</formula1>
      <formula2>20</formula2>
    </dataValidation>
    <dataValidation type="custom" operator="greaterThan" allowBlank="1" showInputMessage="1" showErrorMessage="1" error="0より大きい小数点第１位までの数値を入力してください。" sqref="P17:AK31" xr:uid="{9138BC73-E0F2-4832-AB33-6136E8ABE9EB}">
      <formula1>AND(AND(P17*10=INT(P17*10)),(P17&gt;0))</formula1>
    </dataValidation>
  </dataValidations>
  <pageMargins left="0.19685039370078741" right="0.19685039370078741" top="0.59055118110236227" bottom="0.59055118110236227" header="0" footer="0"/>
  <pageSetup paperSize="9" scale="33" orientation="landscape" cellComments="asDisplayed" r:id="rId1"/>
  <headerFooter alignWithMargins="0"/>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600-000004000000}">
          <x14:formula1>
            <xm:f>リスト!$CN$5:$CN$6</xm:f>
          </x14:formula1>
          <xm:sqref>P12:AI12</xm:sqref>
        </x14:dataValidation>
        <x14:dataValidation type="list" allowBlank="1" showInputMessage="1" showErrorMessage="1" xr:uid="{00000000-0002-0000-1600-000005000000}">
          <x14:formula1>
            <xm:f>リスト!$CP$5:$CP$8</xm:f>
          </x14:formula1>
          <xm:sqref>P14:AI14</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50"/>
  <dimension ref="B1:C15"/>
  <sheetViews>
    <sheetView workbookViewId="0">
      <selection activeCell="B5" sqref="B5"/>
    </sheetView>
  </sheetViews>
  <sheetFormatPr defaultColWidth="2.625" defaultRowHeight="13.5"/>
  <cols>
    <col min="1" max="1" width="2.625" style="144"/>
    <col min="2" max="2" width="25" style="144" customWidth="1"/>
    <col min="3" max="3" width="17.5" style="144" customWidth="1"/>
    <col min="4" max="16384" width="2.625" style="144"/>
  </cols>
  <sheetData>
    <row r="1" spans="2:3" ht="14.25">
      <c r="B1" s="782" t="s">
        <v>372</v>
      </c>
    </row>
    <row r="3" spans="2:3" ht="18" customHeight="1">
      <c r="B3" s="2141" t="s">
        <v>812</v>
      </c>
      <c r="C3" s="2141"/>
    </row>
    <row r="4" spans="2:3" ht="18" customHeight="1" thickBot="1">
      <c r="B4" s="929" t="s">
        <v>813</v>
      </c>
      <c r="C4" s="929" t="s">
        <v>814</v>
      </c>
    </row>
    <row r="5" spans="2:3" ht="30.75" customHeight="1" thickTop="1">
      <c r="B5" s="930"/>
      <c r="C5" s="931"/>
    </row>
    <row r="6" spans="2:3" ht="30.75" customHeight="1">
      <c r="B6" s="932"/>
      <c r="C6" s="933"/>
    </row>
    <row r="7" spans="2:3" ht="30.75" customHeight="1">
      <c r="B7" s="932"/>
      <c r="C7" s="933"/>
    </row>
    <row r="8" spans="2:3" ht="30.75" customHeight="1">
      <c r="B8" s="932"/>
      <c r="C8" s="933"/>
    </row>
    <row r="9" spans="2:3" ht="30.75" customHeight="1">
      <c r="B9" s="932"/>
      <c r="C9" s="933"/>
    </row>
    <row r="10" spans="2:3" ht="30.75" customHeight="1">
      <c r="B10" s="932"/>
      <c r="C10" s="933"/>
    </row>
    <row r="11" spans="2:3" ht="30.75" customHeight="1">
      <c r="B11" s="932"/>
      <c r="C11" s="933"/>
    </row>
    <row r="12" spans="2:3" ht="30.75" customHeight="1">
      <c r="B12" s="932"/>
      <c r="C12" s="933"/>
    </row>
    <row r="13" spans="2:3" ht="30.75" customHeight="1">
      <c r="B13" s="932"/>
      <c r="C13" s="933"/>
    </row>
    <row r="14" spans="2:3" ht="30.75" customHeight="1" thickBot="1">
      <c r="B14" s="934"/>
      <c r="C14" s="935"/>
    </row>
    <row r="15" spans="2:3" ht="14.25" thickTop="1"/>
  </sheetData>
  <sheetProtection sheet="1" objects="1" scenarios="1" selectLockedCells="1"/>
  <mergeCells count="1">
    <mergeCell ref="B3:C3"/>
  </mergeCells>
  <phoneticPr fontId="5"/>
  <dataValidations count="2">
    <dataValidation type="textLength" imeMode="on" operator="greaterThanOrEqual" allowBlank="1" showInputMessage="1" showErrorMessage="1" sqref="B5:B14" xr:uid="{00000000-0002-0000-1700-000000000000}">
      <formula1>1</formula1>
    </dataValidation>
    <dataValidation type="whole" operator="greaterThan" allowBlank="1" showInputMessage="1" showErrorMessage="1" error="0より大きい数値を整数で入力してください。" sqref="C5:C14" xr:uid="{00000000-0002-0000-1700-000001000000}">
      <formula1>0</formula1>
    </dataValidation>
  </dataValidation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
  <dimension ref="A1:DN100"/>
  <sheetViews>
    <sheetView topLeftCell="CS1" zoomScaleNormal="100" workbookViewId="0">
      <selection activeCell="CV1" sqref="CV1"/>
    </sheetView>
  </sheetViews>
  <sheetFormatPr defaultColWidth="9" defaultRowHeight="13.5"/>
  <cols>
    <col min="1" max="1" width="9.5" style="2" bestFit="1" customWidth="1"/>
    <col min="2" max="2" width="22.75" style="2" bestFit="1" customWidth="1"/>
    <col min="3" max="3" width="9.5" style="2" bestFit="1" customWidth="1"/>
    <col min="4" max="4" width="18.375" style="2" bestFit="1" customWidth="1"/>
    <col min="5" max="5" width="2.625" style="2" customWidth="1"/>
    <col min="6" max="6" width="16.125" style="2" bestFit="1" customWidth="1"/>
    <col min="7" max="7" width="2.625" style="2" customWidth="1"/>
    <col min="8" max="8" width="17.25" style="2" bestFit="1" customWidth="1"/>
    <col min="9" max="9" width="2.625" style="2" customWidth="1"/>
    <col min="10" max="10" width="26.125" style="2" bestFit="1" customWidth="1"/>
    <col min="11" max="11" width="2.625" style="2" customWidth="1"/>
    <col min="12" max="12" width="22.75" style="2" bestFit="1" customWidth="1"/>
    <col min="13" max="13" width="2.625" style="2" customWidth="1"/>
    <col min="14" max="14" width="22.75" style="2" bestFit="1" customWidth="1"/>
    <col min="15" max="15" width="2.625" style="2" customWidth="1"/>
    <col min="16" max="16" width="20.5" style="2" bestFit="1" customWidth="1"/>
    <col min="17" max="17" width="2.625" style="2" customWidth="1"/>
    <col min="18" max="18" width="18.375" style="2" bestFit="1" customWidth="1"/>
    <col min="19" max="19" width="4.25" style="977" customWidth="1"/>
    <col min="20" max="20" width="30.625" style="977" customWidth="1"/>
    <col min="21" max="21" width="4.25" style="977" customWidth="1"/>
    <col min="22" max="22" width="30.625" style="977" customWidth="1"/>
    <col min="23" max="23" width="4.25" style="977" customWidth="1"/>
    <col min="24" max="24" width="30.625" style="977" customWidth="1"/>
    <col min="25" max="25" width="4.25" style="977" customWidth="1"/>
    <col min="26" max="26" width="30.625" style="977" customWidth="1"/>
    <col min="27" max="27" width="4.25" style="977" customWidth="1"/>
    <col min="28" max="28" width="30.625" style="977" customWidth="1"/>
    <col min="29" max="29" width="4.25" style="977" customWidth="1"/>
    <col min="30" max="30" width="30.625" style="977" customWidth="1"/>
    <col min="31" max="31" width="4.25" style="977" customWidth="1"/>
    <col min="32" max="32" width="30.625" style="977" customWidth="1"/>
    <col min="33" max="33" width="4.25" style="977" customWidth="1"/>
    <col min="34" max="34" width="30.625" style="977" customWidth="1"/>
    <col min="35" max="35" width="4.25" style="977" customWidth="1"/>
    <col min="36" max="36" width="30.625" style="977" customWidth="1"/>
    <col min="37" max="37" width="4.25" style="977" customWidth="1"/>
    <col min="38" max="38" width="30.625" style="977" customWidth="1"/>
    <col min="39" max="39" width="4.25" style="977" customWidth="1"/>
    <col min="40" max="40" width="30.625" style="977" customWidth="1"/>
    <col min="41" max="41" width="4.25" style="977" customWidth="1"/>
    <col min="42" max="42" width="30.625" style="977" customWidth="1"/>
    <col min="43" max="43" width="4.25" style="977" customWidth="1"/>
    <col min="44" max="44" width="4.375" style="977" customWidth="1"/>
    <col min="45" max="45" width="30.625" style="977" customWidth="1"/>
    <col min="46" max="46" width="4.25" style="977" customWidth="1"/>
    <col min="47" max="47" width="16.125" style="977" bestFit="1" customWidth="1"/>
    <col min="48" max="48" width="30.625" style="977" customWidth="1"/>
    <col min="49" max="49" width="4.25" style="977" customWidth="1"/>
    <col min="50" max="50" width="30.625" style="977" customWidth="1"/>
    <col min="51" max="51" width="4.25" style="977" customWidth="1"/>
    <col min="52" max="52" width="30.625" style="977" customWidth="1"/>
    <col min="53" max="53" width="4" style="984" customWidth="1"/>
    <col min="54" max="54" width="30.625" style="985" customWidth="1"/>
    <col min="55" max="55" width="4.25" style="977" customWidth="1"/>
    <col min="56" max="56" width="30.625" style="977" customWidth="1"/>
    <col min="57" max="57" width="4.25" style="977" customWidth="1"/>
    <col min="58" max="58" width="8.5" style="977" customWidth="1"/>
    <col min="59" max="59" width="30.625" style="977" customWidth="1"/>
    <col min="60" max="60" width="4.25" style="977" customWidth="1"/>
    <col min="61" max="61" width="30.625" style="977" customWidth="1"/>
    <col min="62" max="62" width="4.25" style="977" customWidth="1"/>
    <col min="63" max="63" width="30.625" style="977" customWidth="1"/>
    <col min="64" max="64" width="4.25" style="2" customWidth="1"/>
    <col min="65" max="65" width="30.625" style="977" customWidth="1"/>
    <col min="66" max="66" width="4.25" style="985" customWidth="1"/>
    <col min="67" max="67" width="30.625" style="985" customWidth="1"/>
    <col min="68" max="68" width="4.25" style="977" customWidth="1"/>
    <col min="69" max="69" width="30.625" style="985" customWidth="1"/>
    <col min="70" max="70" width="4.25" style="985" customWidth="1"/>
    <col min="71" max="71" width="30.625" style="985" customWidth="1"/>
    <col min="72" max="72" width="4.25" style="985" customWidth="1"/>
    <col min="73" max="73" width="30.625" style="985" customWidth="1"/>
    <col min="74" max="74" width="4.25" style="985" customWidth="1"/>
    <col min="75" max="75" width="30.625" style="985" customWidth="1"/>
    <col min="76" max="76" width="4.25" style="985" customWidth="1"/>
    <col min="77" max="77" width="30.625" style="985" customWidth="1"/>
    <col min="78" max="78" width="4.25" style="985" customWidth="1"/>
    <col min="79" max="79" width="30.625" style="985" customWidth="1"/>
    <col min="80" max="80" width="4.25" style="985" customWidth="1"/>
    <col min="81" max="81" width="30.625" style="985" customWidth="1"/>
    <col min="82" max="82" width="4.125" style="146" customWidth="1"/>
    <col min="83" max="83" width="27.25" style="977" bestFit="1" customWidth="1"/>
    <col min="84" max="84" width="30.625" style="977" customWidth="1"/>
    <col min="85" max="85" width="4.25" style="985" customWidth="1"/>
    <col min="86" max="86" width="30.625" style="977" customWidth="1"/>
    <col min="87" max="87" width="4.25" style="30" customWidth="1"/>
    <col min="88" max="88" width="30.625" style="977" customWidth="1"/>
    <col min="89" max="89" width="4" style="977" customWidth="1"/>
    <col min="90" max="90" width="30.625" style="985" customWidth="1"/>
    <col min="91" max="91" width="4.25" style="985" customWidth="1"/>
    <col min="92" max="92" width="30.625" style="977" customWidth="1"/>
    <col min="93" max="93" width="4.25" style="977" customWidth="1"/>
    <col min="94" max="94" width="30.625" style="977" customWidth="1"/>
    <col min="95" max="95" width="4" style="977" customWidth="1"/>
    <col min="96" max="96" width="30.625" style="977" customWidth="1"/>
    <col min="97" max="97" width="4" style="977" customWidth="1"/>
    <col min="98" max="98" width="30.75" style="2" customWidth="1"/>
    <col min="99" max="99" width="4.375" style="2" customWidth="1"/>
    <col min="100" max="100" width="14.75" style="2" customWidth="1"/>
    <col min="101" max="101" width="16.625" style="146" bestFit="1" customWidth="1"/>
    <col min="102" max="102" width="6.375" style="146" bestFit="1" customWidth="1"/>
    <col min="103" max="103" width="9.375" style="2" bestFit="1" customWidth="1"/>
    <col min="104" max="104" width="4.75" style="2" customWidth="1"/>
    <col min="105" max="105" width="9" style="2"/>
    <col min="106" max="106" width="21.25" style="977" bestFit="1" customWidth="1"/>
    <col min="107" max="107" width="6.375" style="977" bestFit="1" customWidth="1"/>
    <col min="108" max="108" width="9.375" style="977" bestFit="1" customWidth="1"/>
    <col min="109" max="109" width="9" style="977"/>
    <col min="110" max="110" width="16.375" style="977" bestFit="1" customWidth="1"/>
    <col min="111" max="111" width="15" style="977" customWidth="1"/>
    <col min="112" max="112" width="6.375" style="977" bestFit="1" customWidth="1"/>
    <col min="113" max="117" width="9" style="977"/>
    <col min="118" max="118" width="19.125" style="977" customWidth="1"/>
    <col min="119" max="16384" width="9" style="2"/>
  </cols>
  <sheetData>
    <row r="1" spans="1:118">
      <c r="A1" s="960" t="s">
        <v>815</v>
      </c>
      <c r="B1" s="960" t="s">
        <v>816</v>
      </c>
      <c r="C1" s="960"/>
      <c r="D1" s="960"/>
      <c r="F1" s="960" t="s">
        <v>816</v>
      </c>
      <c r="G1" s="960"/>
      <c r="H1" s="960" t="s">
        <v>816</v>
      </c>
      <c r="I1" s="960"/>
      <c r="J1" s="960" t="s">
        <v>816</v>
      </c>
      <c r="L1" s="960" t="s">
        <v>817</v>
      </c>
      <c r="M1" s="960"/>
      <c r="N1" s="960" t="s">
        <v>818</v>
      </c>
      <c r="O1" s="960"/>
      <c r="P1" s="960" t="s">
        <v>819</v>
      </c>
      <c r="R1" s="960" t="s">
        <v>820</v>
      </c>
      <c r="S1" s="960"/>
      <c r="T1" s="960" t="s">
        <v>820</v>
      </c>
      <c r="U1" s="960"/>
      <c r="V1" s="960" t="s">
        <v>821</v>
      </c>
      <c r="W1" s="960"/>
      <c r="X1" s="960" t="s">
        <v>820</v>
      </c>
      <c r="Y1" s="960"/>
      <c r="Z1" s="960" t="s">
        <v>820</v>
      </c>
      <c r="AA1" s="960"/>
      <c r="AB1" s="960" t="s">
        <v>820</v>
      </c>
      <c r="AC1" s="960"/>
      <c r="AD1" s="960" t="s">
        <v>820</v>
      </c>
      <c r="AE1" s="960"/>
      <c r="AF1" s="960" t="s">
        <v>820</v>
      </c>
      <c r="AG1" s="960"/>
      <c r="AH1" s="960" t="s">
        <v>820</v>
      </c>
      <c r="AI1" s="960"/>
      <c r="AJ1" s="960" t="s">
        <v>820</v>
      </c>
      <c r="AK1" s="960"/>
      <c r="AL1" s="960" t="s">
        <v>820</v>
      </c>
      <c r="AM1" s="960"/>
      <c r="AN1" s="960" t="s">
        <v>820</v>
      </c>
      <c r="AO1" s="960"/>
      <c r="AP1" s="960" t="s">
        <v>820</v>
      </c>
      <c r="AQ1" s="960"/>
      <c r="AR1" s="2170" t="s">
        <v>822</v>
      </c>
      <c r="AS1" s="2170"/>
      <c r="AT1" s="960"/>
      <c r="AU1" s="2170" t="s">
        <v>823</v>
      </c>
      <c r="AV1" s="2170"/>
      <c r="AW1" s="960"/>
      <c r="AX1" s="2170" t="s">
        <v>822</v>
      </c>
      <c r="AY1" s="2170"/>
      <c r="AZ1" s="2170" t="s">
        <v>824</v>
      </c>
      <c r="BA1" s="2170"/>
      <c r="BB1" s="961" t="s">
        <v>825</v>
      </c>
      <c r="BC1" s="960"/>
      <c r="BD1" s="960" t="s">
        <v>826</v>
      </c>
      <c r="BE1" s="960"/>
      <c r="BF1" s="2170" t="s">
        <v>827</v>
      </c>
      <c r="BG1" s="2170"/>
      <c r="BH1" s="960"/>
      <c r="BI1" s="960" t="s">
        <v>828</v>
      </c>
      <c r="BJ1" s="960"/>
      <c r="BK1" s="960" t="s">
        <v>828</v>
      </c>
      <c r="BM1" s="960" t="s">
        <v>829</v>
      </c>
      <c r="BN1" s="961"/>
      <c r="BO1" s="960" t="s">
        <v>830</v>
      </c>
      <c r="BP1" s="960"/>
      <c r="BQ1" s="960" t="s">
        <v>829</v>
      </c>
      <c r="BR1" s="961"/>
      <c r="BS1" s="960" t="s">
        <v>831</v>
      </c>
      <c r="BT1" s="961"/>
      <c r="BU1" s="960" t="s">
        <v>829</v>
      </c>
      <c r="BV1" s="961"/>
      <c r="BW1" s="960" t="s">
        <v>830</v>
      </c>
      <c r="BX1" s="961"/>
      <c r="BY1" s="960" t="s">
        <v>829</v>
      </c>
      <c r="BZ1" s="961"/>
      <c r="CA1" s="960" t="s">
        <v>832</v>
      </c>
      <c r="CB1" s="961"/>
      <c r="CC1" s="960" t="s">
        <v>833</v>
      </c>
      <c r="CD1" s="223"/>
      <c r="CE1" s="2170" t="s">
        <v>834</v>
      </c>
      <c r="CF1" s="2170"/>
      <c r="CG1" s="961"/>
      <c r="CH1" s="960" t="s">
        <v>829</v>
      </c>
      <c r="CI1" s="639"/>
      <c r="CJ1" s="960" t="s">
        <v>830</v>
      </c>
      <c r="CK1" s="960"/>
      <c r="CL1" s="961" t="s">
        <v>835</v>
      </c>
      <c r="CM1" s="961"/>
      <c r="CN1" s="960" t="s">
        <v>836</v>
      </c>
      <c r="CO1" s="960"/>
      <c r="CP1" s="960" t="s">
        <v>836</v>
      </c>
      <c r="CQ1" s="960"/>
      <c r="CR1" s="960" t="s">
        <v>837</v>
      </c>
      <c r="CS1" s="960"/>
      <c r="CT1" s="960" t="s">
        <v>838</v>
      </c>
      <c r="CU1" s="962"/>
      <c r="CV1" s="639" t="s">
        <v>839</v>
      </c>
      <c r="CW1" s="639"/>
      <c r="CX1" s="963"/>
      <c r="CY1" s="639"/>
      <c r="CZ1" s="962"/>
      <c r="DA1" s="639" t="s">
        <v>839</v>
      </c>
      <c r="DB1" s="962"/>
      <c r="DC1" s="962"/>
      <c r="DD1" s="962"/>
      <c r="DE1" s="960"/>
      <c r="DF1" s="639" t="s">
        <v>839</v>
      </c>
      <c r="DG1" s="960"/>
      <c r="DH1" s="960"/>
      <c r="DI1" s="960"/>
      <c r="DJ1" s="960"/>
      <c r="DK1" s="960" t="s">
        <v>840</v>
      </c>
      <c r="DL1" s="960"/>
      <c r="DM1" s="960"/>
      <c r="DN1" s="960" t="s">
        <v>841</v>
      </c>
    </row>
    <row r="2" spans="1:118">
      <c r="A2" s="960" t="s">
        <v>842</v>
      </c>
      <c r="B2" s="960"/>
      <c r="C2" s="960"/>
      <c r="D2" s="960"/>
      <c r="F2" s="960"/>
      <c r="G2" s="960"/>
      <c r="H2" s="960"/>
      <c r="I2" s="960"/>
      <c r="J2" s="960"/>
      <c r="L2" s="960" t="s">
        <v>843</v>
      </c>
      <c r="M2" s="960"/>
      <c r="N2" s="960" t="s">
        <v>843</v>
      </c>
      <c r="O2" s="960"/>
      <c r="P2" s="960" t="s">
        <v>844</v>
      </c>
      <c r="R2" s="960" t="s">
        <v>845</v>
      </c>
      <c r="S2" s="960"/>
      <c r="T2" s="960" t="s">
        <v>845</v>
      </c>
      <c r="U2" s="960"/>
      <c r="V2" s="960" t="s">
        <v>845</v>
      </c>
      <c r="W2" s="960"/>
      <c r="X2" s="960" t="s">
        <v>845</v>
      </c>
      <c r="Y2" s="960"/>
      <c r="Z2" s="960" t="s">
        <v>845</v>
      </c>
      <c r="AA2" s="960"/>
      <c r="AB2" s="960" t="s">
        <v>845</v>
      </c>
      <c r="AC2" s="960"/>
      <c r="AD2" s="960" t="s">
        <v>845</v>
      </c>
      <c r="AE2" s="960"/>
      <c r="AF2" s="960" t="s">
        <v>845</v>
      </c>
      <c r="AG2" s="960"/>
      <c r="AH2" s="960" t="s">
        <v>845</v>
      </c>
      <c r="AI2" s="960"/>
      <c r="AJ2" s="960" t="s">
        <v>845</v>
      </c>
      <c r="AK2" s="960"/>
      <c r="AL2" s="960" t="s">
        <v>845</v>
      </c>
      <c r="AM2" s="960"/>
      <c r="AN2" s="960" t="s">
        <v>845</v>
      </c>
      <c r="AO2" s="960"/>
      <c r="AP2" s="960" t="s">
        <v>845</v>
      </c>
      <c r="AQ2" s="960"/>
      <c r="AR2" s="2170" t="s">
        <v>482</v>
      </c>
      <c r="AS2" s="2170"/>
      <c r="AT2" s="960"/>
      <c r="AU2" s="2170" t="s">
        <v>482</v>
      </c>
      <c r="AV2" s="2170"/>
      <c r="AW2" s="960"/>
      <c r="AX2" s="960" t="s">
        <v>482</v>
      </c>
      <c r="AY2" s="960"/>
      <c r="AZ2" s="960" t="s">
        <v>482</v>
      </c>
      <c r="BA2" s="964"/>
      <c r="BB2" s="961"/>
      <c r="BC2" s="960"/>
      <c r="BD2" s="960" t="s">
        <v>539</v>
      </c>
      <c r="BE2" s="960"/>
      <c r="BF2" s="2170" t="s">
        <v>539</v>
      </c>
      <c r="BG2" s="2170"/>
      <c r="BH2" s="960"/>
      <c r="BI2" s="960" t="s">
        <v>539</v>
      </c>
      <c r="BJ2" s="960"/>
      <c r="BK2" s="960" t="s">
        <v>539</v>
      </c>
      <c r="BM2" s="960" t="s">
        <v>565</v>
      </c>
      <c r="BN2" s="961"/>
      <c r="BO2" s="961" t="s">
        <v>565</v>
      </c>
      <c r="BP2" s="960"/>
      <c r="BQ2" s="961" t="s">
        <v>565</v>
      </c>
      <c r="BR2" s="961"/>
      <c r="BS2" s="961" t="s">
        <v>565</v>
      </c>
      <c r="BT2" s="961"/>
      <c r="BU2" s="961" t="s">
        <v>565</v>
      </c>
      <c r="BV2" s="961"/>
      <c r="BW2" s="961" t="s">
        <v>565</v>
      </c>
      <c r="BX2" s="961"/>
      <c r="BY2" s="961" t="s">
        <v>565</v>
      </c>
      <c r="BZ2" s="961"/>
      <c r="CA2" s="961" t="s">
        <v>565</v>
      </c>
      <c r="CB2" s="961"/>
      <c r="CC2" s="961" t="s">
        <v>565</v>
      </c>
      <c r="CD2" s="223"/>
      <c r="CE2" s="2170" t="s">
        <v>565</v>
      </c>
      <c r="CF2" s="2170"/>
      <c r="CG2" s="961"/>
      <c r="CH2" s="960" t="s">
        <v>565</v>
      </c>
      <c r="CI2" s="639"/>
      <c r="CJ2" s="960" t="s">
        <v>565</v>
      </c>
      <c r="CK2" s="960"/>
      <c r="CL2" s="961" t="s">
        <v>846</v>
      </c>
      <c r="CM2" s="961"/>
      <c r="CN2" s="960" t="s">
        <v>691</v>
      </c>
      <c r="CO2" s="960"/>
      <c r="CP2" s="960" t="s">
        <v>691</v>
      </c>
      <c r="CQ2" s="960"/>
      <c r="CR2" s="960" t="s">
        <v>847</v>
      </c>
      <c r="CS2" s="960"/>
      <c r="CT2" s="960" t="s">
        <v>847</v>
      </c>
      <c r="CU2" s="962"/>
      <c r="CV2" s="639" t="s">
        <v>537</v>
      </c>
      <c r="CW2" s="639"/>
      <c r="CX2" s="963"/>
      <c r="CY2" s="639"/>
      <c r="CZ2" s="962"/>
      <c r="DA2" s="639" t="s">
        <v>848</v>
      </c>
      <c r="DB2" s="962"/>
      <c r="DC2" s="962"/>
      <c r="DD2" s="962"/>
      <c r="DE2" s="960"/>
      <c r="DF2" s="639" t="s">
        <v>849</v>
      </c>
      <c r="DG2" s="960"/>
      <c r="DH2" s="960"/>
      <c r="DI2" s="960"/>
      <c r="DJ2" s="960"/>
      <c r="DK2" s="960"/>
      <c r="DL2" s="960"/>
      <c r="DM2" s="960"/>
      <c r="DN2" s="960"/>
    </row>
    <row r="3" spans="1:118">
      <c r="A3" s="960"/>
      <c r="B3" s="960"/>
      <c r="C3" s="960"/>
      <c r="D3" s="960"/>
      <c r="F3" s="960"/>
      <c r="G3" s="960"/>
      <c r="H3" s="960"/>
      <c r="I3" s="960"/>
      <c r="J3" s="960"/>
      <c r="L3" s="960" t="s">
        <v>850</v>
      </c>
      <c r="M3" s="960"/>
      <c r="N3" s="960" t="s">
        <v>850</v>
      </c>
      <c r="O3" s="960"/>
      <c r="P3" s="960" t="s">
        <v>851</v>
      </c>
      <c r="R3" s="960" t="s">
        <v>852</v>
      </c>
      <c r="S3" s="960"/>
      <c r="T3" s="960" t="s">
        <v>853</v>
      </c>
      <c r="U3" s="960"/>
      <c r="V3" s="960" t="s">
        <v>854</v>
      </c>
      <c r="W3" s="960"/>
      <c r="X3" s="960" t="s">
        <v>854</v>
      </c>
      <c r="Y3" s="960"/>
      <c r="Z3" s="960" t="s">
        <v>854</v>
      </c>
      <c r="AA3" s="960"/>
      <c r="AB3" s="960" t="s">
        <v>854</v>
      </c>
      <c r="AC3" s="960"/>
      <c r="AD3" s="960" t="s">
        <v>854</v>
      </c>
      <c r="AE3" s="960"/>
      <c r="AF3" s="960" t="s">
        <v>854</v>
      </c>
      <c r="AG3" s="960"/>
      <c r="AH3" s="960" t="s">
        <v>854</v>
      </c>
      <c r="AI3" s="960"/>
      <c r="AJ3" s="960" t="s">
        <v>854</v>
      </c>
      <c r="AK3" s="960"/>
      <c r="AL3" s="960" t="s">
        <v>854</v>
      </c>
      <c r="AM3" s="960"/>
      <c r="AN3" s="960" t="s">
        <v>854</v>
      </c>
      <c r="AO3" s="960"/>
      <c r="AP3" s="960" t="s">
        <v>854</v>
      </c>
      <c r="AQ3" s="960"/>
      <c r="AR3" s="960"/>
      <c r="AS3" s="960"/>
      <c r="AT3" s="960"/>
      <c r="AU3" s="960"/>
      <c r="AV3" s="960"/>
      <c r="AW3" s="960"/>
      <c r="AX3" s="960"/>
      <c r="AY3" s="960"/>
      <c r="AZ3" s="960"/>
      <c r="BA3" s="964"/>
      <c r="BB3" s="961"/>
      <c r="BC3" s="960"/>
      <c r="BD3" s="960"/>
      <c r="BE3" s="960"/>
      <c r="BF3" s="960"/>
      <c r="BG3" s="960"/>
      <c r="BH3" s="960"/>
      <c r="BI3" s="960"/>
      <c r="BJ3" s="960"/>
      <c r="BK3" s="960"/>
      <c r="BM3" s="960"/>
      <c r="BN3" s="961"/>
      <c r="BO3" s="961"/>
      <c r="BP3" s="960"/>
      <c r="BQ3" s="961"/>
      <c r="BR3" s="961"/>
      <c r="BS3" s="961"/>
      <c r="BT3" s="961"/>
      <c r="BU3" s="961"/>
      <c r="BV3" s="961"/>
      <c r="BW3" s="961"/>
      <c r="BX3" s="961"/>
      <c r="BY3" s="961"/>
      <c r="BZ3" s="961"/>
      <c r="CA3" s="961"/>
      <c r="CB3" s="961"/>
      <c r="CC3" s="961"/>
      <c r="CD3" s="223"/>
      <c r="CE3" s="960"/>
      <c r="CF3" s="960"/>
      <c r="CG3" s="961"/>
      <c r="CH3" s="960"/>
      <c r="CI3" s="639"/>
      <c r="CJ3" s="960"/>
      <c r="CK3" s="960"/>
      <c r="CL3" s="961"/>
      <c r="CM3" s="961"/>
      <c r="CN3" s="960" t="s">
        <v>855</v>
      </c>
      <c r="CO3" s="960"/>
      <c r="CP3" s="960" t="s">
        <v>855</v>
      </c>
      <c r="CQ3" s="960"/>
      <c r="CR3" s="960" t="s">
        <v>856</v>
      </c>
      <c r="CS3" s="960"/>
      <c r="CT3" s="960" t="s">
        <v>857</v>
      </c>
      <c r="CU3" s="962"/>
      <c r="CV3" s="962"/>
      <c r="CW3" s="639"/>
      <c r="CX3" s="965"/>
      <c r="CY3" s="962"/>
      <c r="CZ3" s="962"/>
      <c r="DA3" s="962"/>
      <c r="DB3" s="962"/>
      <c r="DC3" s="962"/>
      <c r="DD3" s="962"/>
      <c r="DE3" s="960"/>
      <c r="DF3" s="960"/>
      <c r="DG3" s="960"/>
      <c r="DH3" s="960"/>
      <c r="DI3" s="960"/>
      <c r="DJ3" s="960"/>
      <c r="DK3" s="960"/>
      <c r="DL3" s="960"/>
      <c r="DM3" s="960"/>
      <c r="DN3" s="960"/>
    </row>
    <row r="4" spans="1:118" ht="27" customHeight="1">
      <c r="A4" s="966" t="s">
        <v>858</v>
      </c>
      <c r="B4" s="967" t="s">
        <v>10</v>
      </c>
      <c r="C4" s="968" t="s">
        <v>859</v>
      </c>
      <c r="D4" s="968" t="s">
        <v>860</v>
      </c>
      <c r="F4" s="967" t="s">
        <v>13</v>
      </c>
      <c r="G4" s="966"/>
      <c r="H4" s="967" t="s">
        <v>17</v>
      </c>
      <c r="I4" s="966"/>
      <c r="J4" s="967" t="s">
        <v>18</v>
      </c>
      <c r="L4" s="967" t="s">
        <v>861</v>
      </c>
      <c r="M4" s="966"/>
      <c r="N4" s="967" t="s">
        <v>862</v>
      </c>
      <c r="O4" s="966"/>
      <c r="P4" s="967" t="s">
        <v>863</v>
      </c>
      <c r="R4" s="967" t="s">
        <v>864</v>
      </c>
      <c r="S4" s="969"/>
      <c r="T4" s="967" t="s">
        <v>865</v>
      </c>
      <c r="U4" s="969"/>
      <c r="V4" s="967" t="s">
        <v>866</v>
      </c>
      <c r="W4" s="969"/>
      <c r="X4" s="967" t="s">
        <v>867</v>
      </c>
      <c r="Y4" s="969"/>
      <c r="Z4" s="967" t="s">
        <v>868</v>
      </c>
      <c r="AA4" s="969"/>
      <c r="AB4" s="967" t="s">
        <v>869</v>
      </c>
      <c r="AC4" s="969"/>
      <c r="AD4" s="967" t="s">
        <v>870</v>
      </c>
      <c r="AE4" s="969"/>
      <c r="AF4" s="967" t="s">
        <v>871</v>
      </c>
      <c r="AG4" s="969"/>
      <c r="AH4" s="967" t="s">
        <v>872</v>
      </c>
      <c r="AI4" s="969"/>
      <c r="AJ4" s="967" t="s">
        <v>873</v>
      </c>
      <c r="AK4" s="969"/>
      <c r="AL4" s="967" t="s">
        <v>874</v>
      </c>
      <c r="AM4" s="969"/>
      <c r="AN4" s="967" t="s">
        <v>875</v>
      </c>
      <c r="AO4" s="969"/>
      <c r="AP4" s="967" t="s">
        <v>876</v>
      </c>
      <c r="AQ4" s="969"/>
      <c r="AR4" s="2171" t="s">
        <v>877</v>
      </c>
      <c r="AS4" s="2171"/>
      <c r="AT4" s="969"/>
      <c r="AU4" s="2171" t="s">
        <v>878</v>
      </c>
      <c r="AV4" s="2171"/>
      <c r="AW4" s="969"/>
      <c r="AX4" s="967" t="s">
        <v>879</v>
      </c>
      <c r="AY4" s="969"/>
      <c r="AZ4" s="967" t="s">
        <v>531</v>
      </c>
      <c r="BA4" s="970"/>
      <c r="BB4" s="971" t="s">
        <v>506</v>
      </c>
      <c r="BC4" s="969"/>
      <c r="BD4" s="967" t="s">
        <v>496</v>
      </c>
      <c r="BE4" s="45"/>
      <c r="BF4" s="2171" t="s">
        <v>880</v>
      </c>
      <c r="BG4" s="2171"/>
      <c r="BH4" s="969"/>
      <c r="BI4" s="967" t="s">
        <v>881</v>
      </c>
      <c r="BJ4" s="969"/>
      <c r="BK4" s="967" t="s">
        <v>531</v>
      </c>
      <c r="BM4" s="967" t="s">
        <v>882</v>
      </c>
      <c r="BN4" s="972"/>
      <c r="BO4" s="971" t="s">
        <v>883</v>
      </c>
      <c r="BP4" s="219"/>
      <c r="BQ4" s="971" t="s">
        <v>884</v>
      </c>
      <c r="BR4" s="219"/>
      <c r="BS4" s="971" t="s">
        <v>885</v>
      </c>
      <c r="BT4" s="219"/>
      <c r="BU4" s="971" t="s">
        <v>886</v>
      </c>
      <c r="BV4" s="219"/>
      <c r="BW4" s="971" t="s">
        <v>887</v>
      </c>
      <c r="BX4" s="219"/>
      <c r="BY4" s="971" t="s">
        <v>888</v>
      </c>
      <c r="BZ4" s="219"/>
      <c r="CA4" s="971" t="s">
        <v>889</v>
      </c>
      <c r="CB4" s="219"/>
      <c r="CC4" s="971" t="s">
        <v>890</v>
      </c>
      <c r="CD4" s="219"/>
      <c r="CE4" s="2171" t="s">
        <v>891</v>
      </c>
      <c r="CF4" s="2171"/>
      <c r="CG4" s="219"/>
      <c r="CH4" s="967" t="s">
        <v>881</v>
      </c>
      <c r="CI4" s="20"/>
      <c r="CJ4" s="967" t="s">
        <v>531</v>
      </c>
      <c r="CK4" s="969"/>
      <c r="CL4" s="971" t="s">
        <v>892</v>
      </c>
      <c r="CM4" s="972"/>
      <c r="CN4" s="967" t="s">
        <v>893</v>
      </c>
      <c r="CO4" s="969"/>
      <c r="CP4" s="967" t="s">
        <v>894</v>
      </c>
      <c r="CQ4" s="969"/>
      <c r="CR4" s="967" t="s">
        <v>895</v>
      </c>
      <c r="CS4" s="969"/>
      <c r="CT4" s="967" t="s">
        <v>896</v>
      </c>
      <c r="CU4" s="34"/>
      <c r="CV4" s="973"/>
      <c r="CW4" s="973"/>
      <c r="CX4" s="974" t="s">
        <v>897</v>
      </c>
      <c r="CY4" s="975" t="s">
        <v>839</v>
      </c>
      <c r="CZ4" s="34"/>
      <c r="DA4" s="2172"/>
      <c r="DB4" s="2172"/>
      <c r="DC4" s="975" t="s">
        <v>897</v>
      </c>
      <c r="DD4" s="975" t="s">
        <v>839</v>
      </c>
      <c r="DE4" s="969"/>
      <c r="DF4" s="2173"/>
      <c r="DG4" s="2173"/>
      <c r="DH4" s="975" t="s">
        <v>898</v>
      </c>
      <c r="DI4" s="975" t="s">
        <v>839</v>
      </c>
      <c r="DJ4" s="969"/>
      <c r="DK4" s="976" t="s">
        <v>899</v>
      </c>
      <c r="DL4" s="976" t="s">
        <v>900</v>
      </c>
      <c r="DM4" s="969"/>
      <c r="DN4" s="967" t="s">
        <v>901</v>
      </c>
    </row>
    <row r="5" spans="1:118" ht="27" customHeight="1">
      <c r="A5" s="977"/>
      <c r="B5" s="978" t="s">
        <v>902</v>
      </c>
      <c r="C5" s="979">
        <v>60</v>
      </c>
      <c r="D5" s="980" t="s">
        <v>903</v>
      </c>
      <c r="F5" s="981" t="s">
        <v>14</v>
      </c>
      <c r="G5" s="977"/>
      <c r="H5" s="981" t="s">
        <v>904</v>
      </c>
      <c r="I5" s="977"/>
      <c r="J5" s="981" t="s">
        <v>905</v>
      </c>
      <c r="L5" s="981" t="s">
        <v>906</v>
      </c>
      <c r="M5" s="977"/>
      <c r="N5" s="981" t="s">
        <v>907</v>
      </c>
      <c r="O5" s="977"/>
      <c r="P5" s="981" t="s">
        <v>908</v>
      </c>
      <c r="R5" s="981" t="s">
        <v>909</v>
      </c>
      <c r="T5" s="981" t="s">
        <v>910</v>
      </c>
      <c r="V5" s="981" t="s">
        <v>911</v>
      </c>
      <c r="X5" s="981" t="s">
        <v>912</v>
      </c>
      <c r="Z5" s="981" t="s">
        <v>913</v>
      </c>
      <c r="AB5" s="981" t="s">
        <v>914</v>
      </c>
      <c r="AD5" s="982" t="s">
        <v>915</v>
      </c>
      <c r="AF5" s="982" t="s">
        <v>916</v>
      </c>
      <c r="AH5" s="982" t="s">
        <v>917</v>
      </c>
      <c r="AJ5" s="982" t="s">
        <v>918</v>
      </c>
      <c r="AL5" s="983" t="s">
        <v>919</v>
      </c>
      <c r="AN5" s="982" t="s">
        <v>920</v>
      </c>
      <c r="AP5" s="982" t="s">
        <v>921</v>
      </c>
      <c r="AR5" s="2174" t="s">
        <v>922</v>
      </c>
      <c r="AS5" s="981" t="s">
        <v>923</v>
      </c>
      <c r="AU5" s="2167" t="s">
        <v>924</v>
      </c>
      <c r="AV5" s="981" t="s">
        <v>925</v>
      </c>
      <c r="AX5" s="937" t="s">
        <v>926</v>
      </c>
      <c r="AZ5" s="937" t="s">
        <v>927</v>
      </c>
      <c r="BB5" s="982" t="s">
        <v>928</v>
      </c>
      <c r="BD5" s="937" t="s">
        <v>929</v>
      </c>
      <c r="BF5" s="2175" t="s">
        <v>930</v>
      </c>
      <c r="BG5" s="936" t="s">
        <v>931</v>
      </c>
      <c r="BI5" s="937" t="s">
        <v>932</v>
      </c>
      <c r="BK5" s="937" t="s">
        <v>933</v>
      </c>
      <c r="BM5" s="937" t="s">
        <v>934</v>
      </c>
      <c r="BO5" s="986" t="s">
        <v>935</v>
      </c>
      <c r="BQ5" s="986" t="s">
        <v>935</v>
      </c>
      <c r="BS5" s="986" t="s">
        <v>935</v>
      </c>
      <c r="BU5" s="986" t="s">
        <v>935</v>
      </c>
      <c r="BW5" s="986" t="s">
        <v>935</v>
      </c>
      <c r="BY5" s="986" t="s">
        <v>935</v>
      </c>
      <c r="CA5" s="986" t="s">
        <v>935</v>
      </c>
      <c r="CC5" s="986" t="s">
        <v>935</v>
      </c>
      <c r="CE5" s="2177" t="s">
        <v>936</v>
      </c>
      <c r="CF5" s="981" t="s">
        <v>937</v>
      </c>
      <c r="CH5" s="937" t="s">
        <v>932</v>
      </c>
      <c r="CJ5" s="937" t="s">
        <v>933</v>
      </c>
      <c r="CL5" s="986" t="s">
        <v>938</v>
      </c>
      <c r="CN5" s="937" t="s">
        <v>939</v>
      </c>
      <c r="CO5" s="941"/>
      <c r="CP5" s="937" t="s">
        <v>940</v>
      </c>
      <c r="CR5" s="937" t="s">
        <v>941</v>
      </c>
      <c r="CT5" s="937" t="s">
        <v>942</v>
      </c>
      <c r="CV5" s="987" t="s">
        <v>943</v>
      </c>
      <c r="CW5" s="957" t="s">
        <v>944</v>
      </c>
      <c r="CX5" s="817" t="str">
        <f>LEFT(CV5,3)&amp;MID(CW5,2,2)</f>
        <v>[011]</v>
      </c>
      <c r="CY5" s="959">
        <v>22</v>
      </c>
      <c r="DA5" s="2175" t="s">
        <v>930</v>
      </c>
      <c r="DB5" s="938" t="s">
        <v>931</v>
      </c>
      <c r="DC5" s="939" t="s">
        <v>945</v>
      </c>
      <c r="DD5" s="622">
        <v>4</v>
      </c>
      <c r="DF5" s="988" t="s">
        <v>946</v>
      </c>
      <c r="DG5" s="989" t="s">
        <v>947</v>
      </c>
      <c r="DH5" s="990" t="str">
        <f t="shared" ref="DH5:DH47" si="0">LEFT(DF5,3)&amp;MID(DG5,2,2)</f>
        <v>[016]</v>
      </c>
      <c r="DI5" s="990">
        <v>7</v>
      </c>
      <c r="DK5" s="989">
        <v>1</v>
      </c>
      <c r="DL5" s="989">
        <v>1</v>
      </c>
      <c r="DN5" s="989" t="s">
        <v>948</v>
      </c>
    </row>
    <row r="6" spans="1:118" ht="27" customHeight="1">
      <c r="A6" s="977"/>
      <c r="B6" s="991" t="s">
        <v>949</v>
      </c>
      <c r="C6" s="992">
        <v>45</v>
      </c>
      <c r="D6" s="993" t="s">
        <v>950</v>
      </c>
      <c r="F6" s="994" t="s">
        <v>951</v>
      </c>
      <c r="G6" s="977"/>
      <c r="H6" s="994" t="s">
        <v>952</v>
      </c>
      <c r="I6" s="977"/>
      <c r="J6" s="995" t="s">
        <v>953</v>
      </c>
      <c r="L6" s="994" t="s">
        <v>954</v>
      </c>
      <c r="M6" s="977"/>
      <c r="N6" s="994" t="s">
        <v>955</v>
      </c>
      <c r="O6" s="977"/>
      <c r="P6" s="994" t="s">
        <v>956</v>
      </c>
      <c r="R6" s="995" t="s">
        <v>957</v>
      </c>
      <c r="T6" s="995" t="s">
        <v>958</v>
      </c>
      <c r="V6" s="995" t="s">
        <v>959</v>
      </c>
      <c r="X6" s="995" t="s">
        <v>960</v>
      </c>
      <c r="Z6" s="995" t="s">
        <v>961</v>
      </c>
      <c r="AB6" s="995" t="s">
        <v>962</v>
      </c>
      <c r="AD6" s="996" t="s">
        <v>963</v>
      </c>
      <c r="AF6" s="996" t="s">
        <v>964</v>
      </c>
      <c r="AH6" s="996" t="s">
        <v>965</v>
      </c>
      <c r="AJ6" s="996" t="s">
        <v>966</v>
      </c>
      <c r="AL6" s="996" t="s">
        <v>967</v>
      </c>
      <c r="AN6" s="996" t="s">
        <v>968</v>
      </c>
      <c r="AP6" s="996" t="s">
        <v>969</v>
      </c>
      <c r="AR6" s="2174"/>
      <c r="AS6" s="995" t="s">
        <v>970</v>
      </c>
      <c r="AU6" s="2168"/>
      <c r="AV6" s="995" t="s">
        <v>971</v>
      </c>
      <c r="AX6" s="943" t="s">
        <v>972</v>
      </c>
      <c r="AZ6" s="941" t="s">
        <v>973</v>
      </c>
      <c r="BB6" s="954" t="s">
        <v>974</v>
      </c>
      <c r="BD6" s="943" t="s">
        <v>975</v>
      </c>
      <c r="BF6" s="1925"/>
      <c r="BG6" s="940" t="s">
        <v>976</v>
      </c>
      <c r="BI6" s="943" t="s">
        <v>972</v>
      </c>
      <c r="BK6" s="943" t="s">
        <v>977</v>
      </c>
      <c r="BM6" s="941" t="s">
        <v>978</v>
      </c>
      <c r="BO6" s="997" t="s">
        <v>979</v>
      </c>
      <c r="BQ6" s="997" t="s">
        <v>979</v>
      </c>
      <c r="BS6" s="997" t="s">
        <v>979</v>
      </c>
      <c r="BU6" s="997" t="s">
        <v>979</v>
      </c>
      <c r="BW6" s="997" t="s">
        <v>979</v>
      </c>
      <c r="BY6" s="997" t="s">
        <v>979</v>
      </c>
      <c r="CA6" s="997" t="s">
        <v>979</v>
      </c>
      <c r="CC6" s="997" t="s">
        <v>979</v>
      </c>
      <c r="CE6" s="2178"/>
      <c r="CF6" s="995" t="s">
        <v>980</v>
      </c>
      <c r="CH6" s="943" t="s">
        <v>972</v>
      </c>
      <c r="CJ6" s="943" t="s">
        <v>977</v>
      </c>
      <c r="CL6" s="998" t="s">
        <v>981</v>
      </c>
      <c r="CN6" s="943" t="s">
        <v>982</v>
      </c>
      <c r="CO6" s="941"/>
      <c r="CP6" s="941" t="s">
        <v>983</v>
      </c>
      <c r="CR6" s="943" t="s">
        <v>984</v>
      </c>
      <c r="CT6" s="941" t="s">
        <v>985</v>
      </c>
      <c r="CV6" s="999" t="s">
        <v>943</v>
      </c>
      <c r="CW6" s="957" t="s">
        <v>986</v>
      </c>
      <c r="CX6" s="817" t="str">
        <f>LEFT(CV6,3)&amp;MID(CW6,2,2)</f>
        <v>[012]</v>
      </c>
      <c r="CY6" s="959">
        <v>22</v>
      </c>
      <c r="DA6" s="1925"/>
      <c r="DB6" s="938" t="s">
        <v>976</v>
      </c>
      <c r="DC6" s="939" t="s">
        <v>987</v>
      </c>
      <c r="DD6" s="622">
        <v>4</v>
      </c>
      <c r="DF6" s="988" t="s">
        <v>988</v>
      </c>
      <c r="DG6" s="989" t="s">
        <v>947</v>
      </c>
      <c r="DH6" s="990" t="str">
        <f t="shared" si="0"/>
        <v>[026]</v>
      </c>
      <c r="DI6" s="990">
        <v>7</v>
      </c>
      <c r="DK6" s="989">
        <v>2</v>
      </c>
      <c r="DL6" s="989">
        <v>0.5</v>
      </c>
    </row>
    <row r="7" spans="1:118" ht="27" customHeight="1">
      <c r="A7" s="977"/>
      <c r="B7" s="991" t="s">
        <v>989</v>
      </c>
      <c r="C7" s="992">
        <v>50</v>
      </c>
      <c r="D7" s="993" t="s">
        <v>990</v>
      </c>
      <c r="F7" s="977"/>
      <c r="G7" s="977"/>
      <c r="H7" s="977"/>
      <c r="I7" s="977"/>
      <c r="J7" s="995" t="s">
        <v>991</v>
      </c>
      <c r="R7" s="994" t="s">
        <v>992</v>
      </c>
      <c r="T7" s="995" t="s">
        <v>993</v>
      </c>
      <c r="V7" s="995" t="s">
        <v>994</v>
      </c>
      <c r="X7" s="995" t="s">
        <v>995</v>
      </c>
      <c r="Z7" s="995" t="s">
        <v>996</v>
      </c>
      <c r="AB7" s="995" t="s">
        <v>997</v>
      </c>
      <c r="AD7" s="996" t="s">
        <v>998</v>
      </c>
      <c r="AF7" s="996" t="s">
        <v>999</v>
      </c>
      <c r="AH7" s="996" t="s">
        <v>1000</v>
      </c>
      <c r="AJ7" s="996" t="s">
        <v>1001</v>
      </c>
      <c r="AL7" s="1000" t="s">
        <v>1002</v>
      </c>
      <c r="AN7" s="996" t="s">
        <v>1003</v>
      </c>
      <c r="AP7" s="996" t="s">
        <v>1004</v>
      </c>
      <c r="AR7" s="2174"/>
      <c r="AS7" s="995" t="s">
        <v>1005</v>
      </c>
      <c r="AU7" s="2168"/>
      <c r="AV7" s="995" t="s">
        <v>1006</v>
      </c>
      <c r="AX7" s="146"/>
      <c r="AZ7" s="943" t="s">
        <v>1007</v>
      </c>
      <c r="BB7" s="1001"/>
      <c r="BF7" s="2176"/>
      <c r="BG7" s="942" t="s">
        <v>1008</v>
      </c>
      <c r="BI7" s="146"/>
      <c r="BK7" s="146"/>
      <c r="BM7" s="941" t="s">
        <v>1009</v>
      </c>
      <c r="BO7" s="997" t="s">
        <v>1010</v>
      </c>
      <c r="BQ7" s="997" t="s">
        <v>1010</v>
      </c>
      <c r="BS7" s="997" t="s">
        <v>1010</v>
      </c>
      <c r="BU7" s="997" t="s">
        <v>1010</v>
      </c>
      <c r="BW7" s="997" t="s">
        <v>1010</v>
      </c>
      <c r="BY7" s="997" t="s">
        <v>1010</v>
      </c>
      <c r="CA7" s="997" t="s">
        <v>1010</v>
      </c>
      <c r="CC7" s="997" t="s">
        <v>1010</v>
      </c>
      <c r="CE7" s="2179"/>
      <c r="CF7" s="994" t="s">
        <v>1011</v>
      </c>
      <c r="CJ7" s="2"/>
      <c r="CL7" s="2"/>
      <c r="CN7" s="2"/>
      <c r="CO7" s="2"/>
      <c r="CP7" s="941" t="s">
        <v>1012</v>
      </c>
      <c r="CT7" s="941" t="s">
        <v>1013</v>
      </c>
      <c r="CV7" s="999" t="s">
        <v>943</v>
      </c>
      <c r="CW7" s="1002" t="s">
        <v>1014</v>
      </c>
      <c r="CX7" s="817" t="str">
        <f t="shared" ref="CX7:CX91" si="1">LEFT(CV7,3)&amp;MID(CW7,2,2)</f>
        <v>[013]</v>
      </c>
      <c r="CY7" s="959">
        <v>47</v>
      </c>
      <c r="DA7" s="2176"/>
      <c r="DB7" s="938" t="s">
        <v>1008</v>
      </c>
      <c r="DC7" s="939" t="s">
        <v>1015</v>
      </c>
      <c r="DD7" s="622">
        <v>5</v>
      </c>
      <c r="DF7" s="988" t="s">
        <v>1016</v>
      </c>
      <c r="DG7" s="989" t="s">
        <v>947</v>
      </c>
      <c r="DH7" s="990" t="str">
        <f t="shared" si="0"/>
        <v>[036]</v>
      </c>
      <c r="DI7" s="990">
        <v>7</v>
      </c>
      <c r="DK7" s="989">
        <v>3</v>
      </c>
      <c r="DL7" s="989">
        <v>0.33400000000000002</v>
      </c>
    </row>
    <row r="8" spans="1:118" ht="27" customHeight="1">
      <c r="A8" s="977"/>
      <c r="B8" s="991" t="s">
        <v>1017</v>
      </c>
      <c r="C8" s="992">
        <v>50</v>
      </c>
      <c r="D8" s="993" t="s">
        <v>1018</v>
      </c>
      <c r="F8" s="977"/>
      <c r="G8" s="977"/>
      <c r="H8" s="977"/>
      <c r="I8" s="977"/>
      <c r="J8" s="994" t="s">
        <v>1019</v>
      </c>
      <c r="T8" s="995" t="s">
        <v>1020</v>
      </c>
      <c r="V8" s="995" t="s">
        <v>1021</v>
      </c>
      <c r="X8" s="995" t="s">
        <v>1022</v>
      </c>
      <c r="Z8" s="995" t="s">
        <v>1023</v>
      </c>
      <c r="AB8" s="995" t="s">
        <v>1024</v>
      </c>
      <c r="AD8" s="996" t="s">
        <v>1025</v>
      </c>
      <c r="AF8" s="996" t="s">
        <v>1026</v>
      </c>
      <c r="AH8" s="996" t="s">
        <v>1027</v>
      </c>
      <c r="AJ8" s="996" t="s">
        <v>1028</v>
      </c>
      <c r="AL8" s="1000" t="s">
        <v>1029</v>
      </c>
      <c r="AN8" s="996" t="s">
        <v>1030</v>
      </c>
      <c r="AP8" s="996" t="s">
        <v>1031</v>
      </c>
      <c r="AR8" s="2174"/>
      <c r="AS8" s="995" t="s">
        <v>1032</v>
      </c>
      <c r="AU8" s="2168"/>
      <c r="AV8" s="995" t="s">
        <v>1033</v>
      </c>
      <c r="AX8" s="146"/>
      <c r="AZ8" s="146"/>
      <c r="BC8" s="146"/>
      <c r="BD8" s="146"/>
      <c r="BF8" s="1925" t="s">
        <v>1034</v>
      </c>
      <c r="BG8" s="940" t="s">
        <v>931</v>
      </c>
      <c r="BI8" s="146"/>
      <c r="BK8" s="146"/>
      <c r="BM8" s="941" t="s">
        <v>1035</v>
      </c>
      <c r="BO8" s="997" t="s">
        <v>1036</v>
      </c>
      <c r="BQ8" s="997" t="s">
        <v>1036</v>
      </c>
      <c r="BS8" s="997" t="s">
        <v>1036</v>
      </c>
      <c r="BU8" s="997" t="s">
        <v>1036</v>
      </c>
      <c r="BW8" s="997" t="s">
        <v>1036</v>
      </c>
      <c r="BY8" s="997" t="s">
        <v>1036</v>
      </c>
      <c r="CA8" s="997" t="s">
        <v>1036</v>
      </c>
      <c r="CC8" s="997" t="s">
        <v>1036</v>
      </c>
      <c r="CE8" s="2177" t="s">
        <v>1037</v>
      </c>
      <c r="CF8" s="981" t="s">
        <v>1038</v>
      </c>
      <c r="CJ8" s="2"/>
      <c r="CL8" s="2"/>
      <c r="CN8" s="2"/>
      <c r="CO8" s="2"/>
      <c r="CP8" s="943" t="s">
        <v>1039</v>
      </c>
      <c r="CT8" s="941" t="s">
        <v>1040</v>
      </c>
      <c r="CV8" s="999" t="s">
        <v>943</v>
      </c>
      <c r="CW8" s="1002" t="s">
        <v>1033</v>
      </c>
      <c r="CX8" s="817" t="str">
        <f t="shared" si="1"/>
        <v>[014]</v>
      </c>
      <c r="CY8" s="939">
        <v>38</v>
      </c>
      <c r="DA8" s="1925" t="s">
        <v>1041</v>
      </c>
      <c r="DB8" s="938" t="s">
        <v>931</v>
      </c>
      <c r="DC8" s="939" t="s">
        <v>1042</v>
      </c>
      <c r="DD8" s="622">
        <v>4</v>
      </c>
      <c r="DF8" s="1003" t="s">
        <v>1043</v>
      </c>
      <c r="DG8" s="988" t="s">
        <v>1044</v>
      </c>
      <c r="DH8" s="990" t="str">
        <f t="shared" si="0"/>
        <v>[041]</v>
      </c>
      <c r="DI8" s="990">
        <v>7</v>
      </c>
      <c r="DK8" s="989">
        <v>4</v>
      </c>
      <c r="DL8" s="989">
        <v>0.25</v>
      </c>
    </row>
    <row r="9" spans="1:118" ht="27" customHeight="1">
      <c r="A9" s="977"/>
      <c r="B9" s="991" t="s">
        <v>1045</v>
      </c>
      <c r="C9" s="992">
        <v>60</v>
      </c>
      <c r="D9" s="993" t="s">
        <v>1046</v>
      </c>
      <c r="T9" s="995" t="s">
        <v>1047</v>
      </c>
      <c r="V9" s="995" t="s">
        <v>1048</v>
      </c>
      <c r="X9" s="995" t="s">
        <v>1049</v>
      </c>
      <c r="Z9" s="995" t="s">
        <v>1050</v>
      </c>
      <c r="AB9" s="995" t="s">
        <v>1051</v>
      </c>
      <c r="AD9" s="996" t="s">
        <v>1052</v>
      </c>
      <c r="AF9" s="996" t="s">
        <v>1053</v>
      </c>
      <c r="AH9" s="996" t="s">
        <v>1054</v>
      </c>
      <c r="AJ9" s="996" t="s">
        <v>1055</v>
      </c>
      <c r="AL9" s="996" t="s">
        <v>1056</v>
      </c>
      <c r="AN9" s="996" t="s">
        <v>1057</v>
      </c>
      <c r="AP9" s="996" t="s">
        <v>1058</v>
      </c>
      <c r="AR9" s="2174"/>
      <c r="AS9" s="995" t="s">
        <v>1059</v>
      </c>
      <c r="AU9" s="2168"/>
      <c r="AV9" s="944" t="s">
        <v>1083</v>
      </c>
      <c r="AX9" s="2"/>
      <c r="AZ9" s="146"/>
      <c r="BC9" s="2"/>
      <c r="BD9" s="2"/>
      <c r="BF9" s="1925"/>
      <c r="BG9" s="940" t="s">
        <v>1060</v>
      </c>
      <c r="BI9" s="146"/>
      <c r="BK9" s="146"/>
      <c r="BM9" s="941" t="s">
        <v>1061</v>
      </c>
      <c r="BO9" s="997" t="s">
        <v>1062</v>
      </c>
      <c r="BQ9" s="997" t="s">
        <v>1062</v>
      </c>
      <c r="BS9" s="997" t="s">
        <v>1062</v>
      </c>
      <c r="BU9" s="997" t="s">
        <v>1063</v>
      </c>
      <c r="BW9" s="997" t="s">
        <v>1062</v>
      </c>
      <c r="BY9" s="997" t="s">
        <v>1062</v>
      </c>
      <c r="CA9" s="997" t="s">
        <v>1062</v>
      </c>
      <c r="CC9" s="997" t="s">
        <v>1062</v>
      </c>
      <c r="CE9" s="2178"/>
      <c r="CF9" s="995" t="s">
        <v>1064</v>
      </c>
      <c r="CL9" s="2"/>
      <c r="CN9" s="2"/>
      <c r="CO9" s="2"/>
      <c r="CP9" s="2"/>
      <c r="CT9" s="943" t="s">
        <v>1065</v>
      </c>
      <c r="CV9" s="999" t="s">
        <v>943</v>
      </c>
      <c r="CW9" s="957" t="s">
        <v>1351</v>
      </c>
      <c r="CX9" s="817" t="str">
        <f t="shared" si="1"/>
        <v>[015]</v>
      </c>
      <c r="CY9" s="939">
        <v>19</v>
      </c>
      <c r="DA9" s="1925"/>
      <c r="DB9" s="938" t="s">
        <v>1060</v>
      </c>
      <c r="DC9" s="939" t="s">
        <v>1066</v>
      </c>
      <c r="DD9" s="622">
        <v>6</v>
      </c>
      <c r="DF9" s="1004" t="s">
        <v>1043</v>
      </c>
      <c r="DG9" s="988" t="s">
        <v>1067</v>
      </c>
      <c r="DH9" s="990" t="str">
        <f t="shared" si="0"/>
        <v>[042]</v>
      </c>
      <c r="DI9" s="990">
        <v>7</v>
      </c>
      <c r="DK9" s="989">
        <v>5</v>
      </c>
      <c r="DL9" s="989">
        <v>0.2</v>
      </c>
    </row>
    <row r="10" spans="1:118" ht="27" customHeight="1">
      <c r="A10" s="977"/>
      <c r="B10" s="991" t="s">
        <v>1068</v>
      </c>
      <c r="C10" s="992">
        <v>60</v>
      </c>
      <c r="D10" s="993" t="s">
        <v>1069</v>
      </c>
      <c r="T10" s="944" t="s">
        <v>1070</v>
      </c>
      <c r="V10" s="944" t="s">
        <v>1071</v>
      </c>
      <c r="X10" s="944" t="s">
        <v>1072</v>
      </c>
      <c r="Z10" s="944" t="s">
        <v>1073</v>
      </c>
      <c r="AB10" s="944" t="s">
        <v>1074</v>
      </c>
      <c r="AD10" s="944" t="s">
        <v>1075</v>
      </c>
      <c r="AF10" s="944" t="s">
        <v>1076</v>
      </c>
      <c r="AH10" s="944" t="s">
        <v>1077</v>
      </c>
      <c r="AJ10" s="944" t="s">
        <v>1078</v>
      </c>
      <c r="AL10" s="996" t="s">
        <v>1079</v>
      </c>
      <c r="AN10" s="944" t="s">
        <v>1080</v>
      </c>
      <c r="AP10" s="945" t="s">
        <v>1081</v>
      </c>
      <c r="AQ10" s="146"/>
      <c r="AR10" s="2174"/>
      <c r="AS10" s="944" t="s">
        <v>1082</v>
      </c>
      <c r="AU10" s="2168"/>
      <c r="AV10" s="944" t="s">
        <v>1107</v>
      </c>
      <c r="AX10" s="146"/>
      <c r="AZ10" s="146"/>
      <c r="BC10" s="146"/>
      <c r="BD10" s="146"/>
      <c r="BF10" s="2176"/>
      <c r="BG10" s="942" t="s">
        <v>1084</v>
      </c>
      <c r="BI10" s="146"/>
      <c r="BK10" s="146"/>
      <c r="BM10" s="941" t="s">
        <v>1085</v>
      </c>
      <c r="BO10" s="997" t="s">
        <v>1086</v>
      </c>
      <c r="BQ10" s="997" t="s">
        <v>1086</v>
      </c>
      <c r="BS10" s="997" t="s">
        <v>1086</v>
      </c>
      <c r="BU10" s="997" t="s">
        <v>1086</v>
      </c>
      <c r="BW10" s="997" t="s">
        <v>1086</v>
      </c>
      <c r="BY10" s="997" t="s">
        <v>1086</v>
      </c>
      <c r="CA10" s="997" t="s">
        <v>1063</v>
      </c>
      <c r="CC10" s="997" t="s">
        <v>1087</v>
      </c>
      <c r="CE10" s="2179"/>
      <c r="CF10" s="994" t="s">
        <v>1088</v>
      </c>
      <c r="CV10" s="999" t="s">
        <v>943</v>
      </c>
      <c r="CW10" s="1002" t="s">
        <v>1089</v>
      </c>
      <c r="CX10" s="817" t="str">
        <f>LEFT(CV10,3)&amp;MID(CW10,2,2)</f>
        <v>[016]</v>
      </c>
      <c r="CY10" s="939">
        <v>20</v>
      </c>
      <c r="DA10" s="2176"/>
      <c r="DB10" s="938" t="s">
        <v>1084</v>
      </c>
      <c r="DC10" s="939" t="s">
        <v>1090</v>
      </c>
      <c r="DD10" s="622">
        <v>3</v>
      </c>
      <c r="DF10" s="1005" t="s">
        <v>1043</v>
      </c>
      <c r="DG10" s="988" t="s">
        <v>1091</v>
      </c>
      <c r="DH10" s="990" t="str">
        <f t="shared" si="0"/>
        <v>[043]</v>
      </c>
      <c r="DI10" s="990">
        <v>7</v>
      </c>
      <c r="DK10" s="989">
        <v>6</v>
      </c>
      <c r="DL10" s="989">
        <v>0.16700000000000001</v>
      </c>
    </row>
    <row r="11" spans="1:118" ht="27" customHeight="1">
      <c r="A11" s="977"/>
      <c r="B11" s="991" t="s">
        <v>1092</v>
      </c>
      <c r="C11" s="992">
        <v>60</v>
      </c>
      <c r="D11" s="993" t="s">
        <v>1093</v>
      </c>
      <c r="T11" s="944" t="s">
        <v>1094</v>
      </c>
      <c r="V11" s="944" t="s">
        <v>1095</v>
      </c>
      <c r="X11" s="944" t="s">
        <v>1096</v>
      </c>
      <c r="Z11" s="944" t="s">
        <v>1097</v>
      </c>
      <c r="AB11" s="944" t="s">
        <v>1098</v>
      </c>
      <c r="AD11" s="944" t="s">
        <v>1099</v>
      </c>
      <c r="AF11" s="944" t="s">
        <v>1100</v>
      </c>
      <c r="AH11" s="944" t="s">
        <v>1101</v>
      </c>
      <c r="AJ11" s="944" t="s">
        <v>1102</v>
      </c>
      <c r="AL11" s="996" t="s">
        <v>1103</v>
      </c>
      <c r="AN11" s="944" t="s">
        <v>1104</v>
      </c>
      <c r="AP11" s="944" t="s">
        <v>1105</v>
      </c>
      <c r="AQ11" s="146"/>
      <c r="AR11" s="2174"/>
      <c r="AS11" s="944" t="s">
        <v>1106</v>
      </c>
      <c r="AU11" s="2168"/>
      <c r="AV11" s="995" t="s">
        <v>1345</v>
      </c>
      <c r="AX11" s="146"/>
      <c r="AZ11" s="146"/>
      <c r="BC11" s="146"/>
      <c r="BD11" s="146"/>
      <c r="BF11" s="146"/>
      <c r="BG11" s="146"/>
      <c r="BI11" s="146"/>
      <c r="BK11" s="146"/>
      <c r="BM11" s="941" t="s">
        <v>1108</v>
      </c>
      <c r="BO11" s="997" t="s">
        <v>1109</v>
      </c>
      <c r="BQ11" s="997" t="s">
        <v>1109</v>
      </c>
      <c r="BS11" s="997" t="s">
        <v>1109</v>
      </c>
      <c r="BU11" s="997" t="s">
        <v>1109</v>
      </c>
      <c r="BW11" s="997" t="s">
        <v>1109</v>
      </c>
      <c r="BY11" s="997" t="s">
        <v>1109</v>
      </c>
      <c r="CA11" s="997" t="s">
        <v>1086</v>
      </c>
      <c r="CC11" s="997" t="s">
        <v>1086</v>
      </c>
      <c r="CE11" s="2177" t="s">
        <v>1110</v>
      </c>
      <c r="CF11" s="981" t="s">
        <v>1111</v>
      </c>
      <c r="CV11" s="999" t="s">
        <v>1112</v>
      </c>
      <c r="CW11" s="1002" t="s">
        <v>1113</v>
      </c>
      <c r="CX11" s="817" t="str">
        <f t="shared" ref="CX11:CX12" si="2">LEFT(CV11,3)&amp;MID(CW11,2,2)</f>
        <v>[018]</v>
      </c>
      <c r="CY11" s="939">
        <v>34</v>
      </c>
      <c r="DF11" s="988" t="s">
        <v>1353</v>
      </c>
      <c r="DG11" s="989" t="s">
        <v>947</v>
      </c>
      <c r="DH11" s="990" t="str">
        <f t="shared" si="0"/>
        <v>[086]</v>
      </c>
      <c r="DI11" s="990">
        <v>7</v>
      </c>
      <c r="DK11" s="989">
        <v>7</v>
      </c>
      <c r="DL11" s="989">
        <v>0.14299999999999999</v>
      </c>
    </row>
    <row r="12" spans="1:118" ht="27" customHeight="1">
      <c r="A12" s="977"/>
      <c r="B12" s="991" t="s">
        <v>1114</v>
      </c>
      <c r="C12" s="992">
        <v>60</v>
      </c>
      <c r="D12" s="993" t="s">
        <v>1115</v>
      </c>
      <c r="T12" s="944" t="s">
        <v>1116</v>
      </c>
      <c r="V12" s="944" t="s">
        <v>1117</v>
      </c>
      <c r="X12" s="944" t="s">
        <v>1118</v>
      </c>
      <c r="Z12" s="944" t="s">
        <v>1119</v>
      </c>
      <c r="AB12" s="944" t="s">
        <v>1120</v>
      </c>
      <c r="AD12" s="944" t="s">
        <v>1121</v>
      </c>
      <c r="AF12" s="944" t="s">
        <v>1122</v>
      </c>
      <c r="AH12" s="944" t="s">
        <v>1123</v>
      </c>
      <c r="AJ12" s="944" t="s">
        <v>1124</v>
      </c>
      <c r="AL12" s="996" t="s">
        <v>1125</v>
      </c>
      <c r="AN12" s="944" t="s">
        <v>1126</v>
      </c>
      <c r="AP12" s="944" t="s">
        <v>1127</v>
      </c>
      <c r="AQ12" s="146"/>
      <c r="AR12" s="2174"/>
      <c r="AS12" s="946" t="s">
        <v>1128</v>
      </c>
      <c r="AU12" s="2168"/>
      <c r="AV12" s="944" t="s">
        <v>1346</v>
      </c>
      <c r="AX12" s="146"/>
      <c r="AZ12" s="146"/>
      <c r="BC12" s="146"/>
      <c r="BD12" s="146"/>
      <c r="BF12" s="146"/>
      <c r="BG12" s="146"/>
      <c r="BI12" s="146"/>
      <c r="BK12" s="146"/>
      <c r="BM12" s="941" t="s">
        <v>1130</v>
      </c>
      <c r="BO12" s="997" t="s">
        <v>1131</v>
      </c>
      <c r="BQ12" s="997" t="s">
        <v>1131</v>
      </c>
      <c r="BS12" s="997" t="s">
        <v>1131</v>
      </c>
      <c r="BU12" s="997" t="s">
        <v>1131</v>
      </c>
      <c r="BW12" s="997" t="s">
        <v>1131</v>
      </c>
      <c r="BY12" s="997" t="s">
        <v>1131</v>
      </c>
      <c r="CA12" s="997" t="s">
        <v>1109</v>
      </c>
      <c r="CC12" s="997" t="s">
        <v>1109</v>
      </c>
      <c r="CE12" s="2179"/>
      <c r="CF12" s="994" t="s">
        <v>1132</v>
      </c>
      <c r="CV12" s="999" t="s">
        <v>943</v>
      </c>
      <c r="CW12" s="1006" t="s">
        <v>1348</v>
      </c>
      <c r="CX12" s="1007" t="str">
        <f t="shared" si="2"/>
        <v>[019]</v>
      </c>
      <c r="CY12" s="1008">
        <v>19</v>
      </c>
      <c r="DF12" s="988" t="s">
        <v>1354</v>
      </c>
      <c r="DG12" s="989" t="s">
        <v>947</v>
      </c>
      <c r="DH12" s="990" t="str">
        <f t="shared" si="0"/>
        <v>[096]</v>
      </c>
      <c r="DI12" s="990">
        <v>7</v>
      </c>
      <c r="DK12" s="989">
        <v>8</v>
      </c>
      <c r="DL12" s="989">
        <v>0.125</v>
      </c>
    </row>
    <row r="13" spans="1:118" ht="27" customHeight="1">
      <c r="A13" s="977"/>
      <c r="B13" s="991" t="s">
        <v>1133</v>
      </c>
      <c r="C13" s="992">
        <v>100</v>
      </c>
      <c r="D13" s="993" t="s">
        <v>1134</v>
      </c>
      <c r="T13" s="944" t="s">
        <v>1135</v>
      </c>
      <c r="V13" s="944" t="s">
        <v>1136</v>
      </c>
      <c r="X13" s="944" t="s">
        <v>1137</v>
      </c>
      <c r="Z13" s="944" t="s">
        <v>1138</v>
      </c>
      <c r="AB13" s="944" t="s">
        <v>1139</v>
      </c>
      <c r="AD13" s="944" t="s">
        <v>1140</v>
      </c>
      <c r="AF13" s="944" t="s">
        <v>1141</v>
      </c>
      <c r="AH13" s="996" t="s">
        <v>1079</v>
      </c>
      <c r="AJ13" s="944" t="s">
        <v>1142</v>
      </c>
      <c r="AL13" s="996" t="s">
        <v>1143</v>
      </c>
      <c r="AN13" s="944" t="s">
        <v>1144</v>
      </c>
      <c r="AP13" s="944" t="s">
        <v>1145</v>
      </c>
      <c r="AQ13" s="146"/>
      <c r="AR13" s="2174" t="s">
        <v>1146</v>
      </c>
      <c r="AS13" s="947" t="s">
        <v>1147</v>
      </c>
      <c r="AU13" s="2169"/>
      <c r="AV13" s="946" t="s">
        <v>1347</v>
      </c>
      <c r="AX13" s="146"/>
      <c r="BF13" s="146"/>
      <c r="BG13" s="146"/>
      <c r="BI13" s="146"/>
      <c r="BK13" s="146"/>
      <c r="BM13" s="941" t="s">
        <v>1148</v>
      </c>
      <c r="BO13" s="997" t="s">
        <v>1149</v>
      </c>
      <c r="BQ13" s="997" t="s">
        <v>1149</v>
      </c>
      <c r="BS13" s="997" t="s">
        <v>1149</v>
      </c>
      <c r="BU13" s="997" t="s">
        <v>1150</v>
      </c>
      <c r="BW13" s="997" t="s">
        <v>1151</v>
      </c>
      <c r="BY13" s="997" t="s">
        <v>1149</v>
      </c>
      <c r="CA13" s="997" t="s">
        <v>1131</v>
      </c>
      <c r="CC13" s="997" t="s">
        <v>1131</v>
      </c>
      <c r="CE13" s="2177" t="s">
        <v>1152</v>
      </c>
      <c r="CF13" s="995" t="s">
        <v>1153</v>
      </c>
      <c r="CV13" s="999" t="s">
        <v>943</v>
      </c>
      <c r="CW13" s="1006" t="s">
        <v>1349</v>
      </c>
      <c r="CX13" s="1007" t="str">
        <f>LEFT(CV13,3)&amp;MID(CW13,2,3)</f>
        <v>[0110]</v>
      </c>
      <c r="CY13" s="1008">
        <v>27</v>
      </c>
      <c r="DF13" s="988" t="s">
        <v>1355</v>
      </c>
      <c r="DG13" s="989" t="s">
        <v>947</v>
      </c>
      <c r="DH13" s="990" t="str">
        <f t="shared" si="0"/>
        <v>[106]</v>
      </c>
      <c r="DI13" s="990">
        <v>7</v>
      </c>
      <c r="DK13" s="989">
        <v>9</v>
      </c>
      <c r="DL13" s="989">
        <v>0.112</v>
      </c>
    </row>
    <row r="14" spans="1:118" ht="27" customHeight="1">
      <c r="A14" s="977"/>
      <c r="B14" s="991" t="s">
        <v>1154</v>
      </c>
      <c r="C14" s="992">
        <v>100</v>
      </c>
      <c r="D14" s="993" t="s">
        <v>1155</v>
      </c>
      <c r="T14" s="944" t="s">
        <v>1156</v>
      </c>
      <c r="V14" s="944" t="s">
        <v>1157</v>
      </c>
      <c r="X14" s="944" t="s">
        <v>1158</v>
      </c>
      <c r="Z14" s="944" t="s">
        <v>1159</v>
      </c>
      <c r="AB14" s="944" t="s">
        <v>1160</v>
      </c>
      <c r="AD14" s="944" t="s">
        <v>1161</v>
      </c>
      <c r="AF14" s="944" t="s">
        <v>1162</v>
      </c>
      <c r="AH14" s="996" t="s">
        <v>1103</v>
      </c>
      <c r="AJ14" s="944" t="s">
        <v>1163</v>
      </c>
      <c r="AL14" s="954" t="s">
        <v>1164</v>
      </c>
      <c r="AN14" s="944" t="s">
        <v>1165</v>
      </c>
      <c r="AP14" s="945" t="s">
        <v>1166</v>
      </c>
      <c r="AQ14" s="146"/>
      <c r="AR14" s="2174"/>
      <c r="AS14" s="944" t="s">
        <v>1167</v>
      </c>
      <c r="AU14" s="2167" t="s">
        <v>1129</v>
      </c>
      <c r="AV14" s="981" t="s">
        <v>925</v>
      </c>
      <c r="AX14" s="146"/>
      <c r="BF14" s="146"/>
      <c r="BG14" s="146"/>
      <c r="BI14" s="146"/>
      <c r="BK14" s="146"/>
      <c r="BM14" s="941" t="s">
        <v>1168</v>
      </c>
      <c r="BO14" s="997" t="s">
        <v>1169</v>
      </c>
      <c r="BQ14" s="997" t="s">
        <v>1169</v>
      </c>
      <c r="BS14" s="997" t="s">
        <v>1169</v>
      </c>
      <c r="BU14" s="997" t="s">
        <v>1170</v>
      </c>
      <c r="BW14" s="997" t="s">
        <v>1170</v>
      </c>
      <c r="BY14" s="997" t="s">
        <v>1169</v>
      </c>
      <c r="CA14" s="997" t="s">
        <v>1171</v>
      </c>
      <c r="CC14" s="997" t="s">
        <v>1172</v>
      </c>
      <c r="CE14" s="2179"/>
      <c r="CF14" s="994" t="s">
        <v>1173</v>
      </c>
      <c r="CV14" s="999" t="s">
        <v>1112</v>
      </c>
      <c r="CW14" s="1006" t="s">
        <v>1350</v>
      </c>
      <c r="CX14" s="1007" t="str">
        <f>LEFT(CV14,3)&amp;MID(CW14,2,3)</f>
        <v>[0111]</v>
      </c>
      <c r="CY14" s="1008">
        <v>34</v>
      </c>
      <c r="DF14" s="988" t="s">
        <v>1174</v>
      </c>
      <c r="DG14" s="989" t="s">
        <v>947</v>
      </c>
      <c r="DH14" s="990" t="str">
        <f t="shared" si="0"/>
        <v>[126]</v>
      </c>
      <c r="DI14" s="990">
        <v>7</v>
      </c>
      <c r="DK14" s="989">
        <v>10</v>
      </c>
      <c r="DL14" s="989">
        <v>0.1</v>
      </c>
    </row>
    <row r="15" spans="1:118" ht="27" customHeight="1">
      <c r="A15" s="977"/>
      <c r="B15" s="991" t="s">
        <v>1175</v>
      </c>
      <c r="C15" s="992">
        <v>1000</v>
      </c>
      <c r="D15" s="993" t="s">
        <v>1176</v>
      </c>
      <c r="T15" s="944" t="s">
        <v>1177</v>
      </c>
      <c r="V15" s="944" t="s">
        <v>1178</v>
      </c>
      <c r="X15" s="944" t="s">
        <v>1179</v>
      </c>
      <c r="Z15" s="944" t="s">
        <v>1179</v>
      </c>
      <c r="AB15" s="944" t="s">
        <v>1179</v>
      </c>
      <c r="AD15" s="996" t="s">
        <v>1079</v>
      </c>
      <c r="AF15" s="996" t="s">
        <v>1079</v>
      </c>
      <c r="AH15" s="996" t="s">
        <v>1125</v>
      </c>
      <c r="AJ15" s="944" t="s">
        <v>1180</v>
      </c>
      <c r="AL15" s="2"/>
      <c r="AN15" s="944" t="s">
        <v>1181</v>
      </c>
      <c r="AP15" s="944" t="s">
        <v>1182</v>
      </c>
      <c r="AQ15" s="146"/>
      <c r="AR15" s="2174"/>
      <c r="AS15" s="944" t="s">
        <v>1183</v>
      </c>
      <c r="AU15" s="2168"/>
      <c r="AV15" s="995" t="s">
        <v>971</v>
      </c>
      <c r="AX15" s="146"/>
      <c r="BF15" s="146"/>
      <c r="BG15" s="146"/>
      <c r="BI15" s="146"/>
      <c r="BM15" s="941" t="s">
        <v>1184</v>
      </c>
      <c r="BO15" s="997" t="s">
        <v>1185</v>
      </c>
      <c r="BQ15" s="997" t="s">
        <v>1186</v>
      </c>
      <c r="BS15" s="997" t="s">
        <v>1187</v>
      </c>
      <c r="BU15" s="997" t="s">
        <v>1188</v>
      </c>
      <c r="BW15" s="997" t="s">
        <v>1188</v>
      </c>
      <c r="BY15" s="997" t="s">
        <v>1189</v>
      </c>
      <c r="CA15" s="997" t="s">
        <v>1170</v>
      </c>
      <c r="CC15" s="997" t="s">
        <v>1190</v>
      </c>
      <c r="CE15" s="2177" t="s">
        <v>1191</v>
      </c>
      <c r="CF15" s="947" t="s">
        <v>1192</v>
      </c>
      <c r="CV15" s="987" t="s">
        <v>970</v>
      </c>
      <c r="CW15" s="958" t="s">
        <v>944</v>
      </c>
      <c r="CX15" s="817" t="str">
        <f t="shared" si="1"/>
        <v>[021]</v>
      </c>
      <c r="CY15" s="959">
        <v>24</v>
      </c>
      <c r="DF15" s="1003" t="s">
        <v>1193</v>
      </c>
      <c r="DG15" s="989" t="s">
        <v>1194</v>
      </c>
      <c r="DH15" s="990" t="str">
        <f t="shared" si="0"/>
        <v>[131]</v>
      </c>
      <c r="DI15" s="990">
        <v>7</v>
      </c>
      <c r="DK15" s="989">
        <v>11</v>
      </c>
      <c r="DL15" s="989">
        <v>9.0999999999999998E-2</v>
      </c>
    </row>
    <row r="16" spans="1:118" ht="27" customHeight="1">
      <c r="A16" s="977"/>
      <c r="B16" s="1009" t="s">
        <v>1195</v>
      </c>
      <c r="C16" s="1010">
        <v>1000</v>
      </c>
      <c r="D16" s="1011" t="s">
        <v>1196</v>
      </c>
      <c r="T16" s="944" t="s">
        <v>1197</v>
      </c>
      <c r="V16" s="944" t="s">
        <v>1198</v>
      </c>
      <c r="X16" s="944" t="s">
        <v>1199</v>
      </c>
      <c r="Z16" s="944" t="s">
        <v>1199</v>
      </c>
      <c r="AB16" s="944" t="s">
        <v>1199</v>
      </c>
      <c r="AD16" s="996" t="s">
        <v>1103</v>
      </c>
      <c r="AF16" s="996" t="s">
        <v>1103</v>
      </c>
      <c r="AH16" s="996" t="s">
        <v>1143</v>
      </c>
      <c r="AJ16" s="944" t="s">
        <v>1200</v>
      </c>
      <c r="AL16" s="2"/>
      <c r="AN16" s="944" t="s">
        <v>1201</v>
      </c>
      <c r="AP16" s="944" t="s">
        <v>1202</v>
      </c>
      <c r="AR16" s="2174"/>
      <c r="AS16" s="995" t="s">
        <v>1203</v>
      </c>
      <c r="AU16" s="2168"/>
      <c r="AV16" s="995" t="s">
        <v>1006</v>
      </c>
      <c r="AX16" s="146"/>
      <c r="AZ16" s="146"/>
      <c r="BC16" s="146"/>
      <c r="BD16" s="146"/>
      <c r="BE16" s="146"/>
      <c r="BF16" s="146"/>
      <c r="BG16" s="146"/>
      <c r="BH16" s="146"/>
      <c r="BI16" s="146"/>
      <c r="BJ16" s="146"/>
      <c r="BK16" s="146"/>
      <c r="BM16" s="941" t="s">
        <v>1204</v>
      </c>
      <c r="BO16" s="997" t="s">
        <v>1205</v>
      </c>
      <c r="BQ16" s="997" t="s">
        <v>1185</v>
      </c>
      <c r="BS16" s="997" t="s">
        <v>1185</v>
      </c>
      <c r="BU16" s="997" t="s">
        <v>1206</v>
      </c>
      <c r="BW16" s="997" t="s">
        <v>1206</v>
      </c>
      <c r="BY16" s="997" t="s">
        <v>1185</v>
      </c>
      <c r="CA16" s="997" t="s">
        <v>1188</v>
      </c>
      <c r="CC16" s="997" t="s">
        <v>1170</v>
      </c>
      <c r="CE16" s="2182"/>
      <c r="CF16" s="944" t="s">
        <v>1207</v>
      </c>
      <c r="CM16" s="146"/>
      <c r="CV16" s="999" t="s">
        <v>970</v>
      </c>
      <c r="CW16" s="958" t="s">
        <v>986</v>
      </c>
      <c r="CX16" s="817" t="str">
        <f t="shared" si="1"/>
        <v>[022]</v>
      </c>
      <c r="CY16" s="959">
        <v>24</v>
      </c>
      <c r="DF16" s="1004" t="s">
        <v>1193</v>
      </c>
      <c r="DG16" s="989" t="s">
        <v>1208</v>
      </c>
      <c r="DH16" s="990" t="str">
        <f t="shared" si="0"/>
        <v>[132]</v>
      </c>
      <c r="DI16" s="990">
        <v>7</v>
      </c>
      <c r="DK16" s="989">
        <v>12</v>
      </c>
      <c r="DL16" s="989">
        <v>8.4000000000000005E-2</v>
      </c>
    </row>
    <row r="17" spans="2:116" ht="27" customHeight="1">
      <c r="T17" s="944" t="s">
        <v>1209</v>
      </c>
      <c r="V17" s="944" t="s">
        <v>1210</v>
      </c>
      <c r="X17" s="944" t="s">
        <v>1211</v>
      </c>
      <c r="Z17" s="944" t="s">
        <v>1211</v>
      </c>
      <c r="AB17" s="944" t="s">
        <v>1211</v>
      </c>
      <c r="AD17" s="996" t="s">
        <v>1125</v>
      </c>
      <c r="AF17" s="996" t="s">
        <v>1125</v>
      </c>
      <c r="AH17" s="954" t="s">
        <v>1164</v>
      </c>
      <c r="AJ17" s="996" t="s">
        <v>1079</v>
      </c>
      <c r="AL17" s="2"/>
      <c r="AN17" s="996" t="s">
        <v>1079</v>
      </c>
      <c r="AP17" s="945" t="s">
        <v>1212</v>
      </c>
      <c r="AR17" s="2174"/>
      <c r="AS17" s="995" t="s">
        <v>1213</v>
      </c>
      <c r="AU17" s="2168"/>
      <c r="AV17" s="995" t="s">
        <v>1033</v>
      </c>
      <c r="AZ17" s="146"/>
      <c r="BC17" s="146"/>
      <c r="BD17" s="146"/>
      <c r="BE17" s="146"/>
      <c r="BF17" s="146"/>
      <c r="BG17" s="146"/>
      <c r="BH17" s="146"/>
      <c r="BI17" s="146"/>
      <c r="BJ17" s="146"/>
      <c r="BK17" s="146"/>
      <c r="BM17" s="941" t="s">
        <v>1214</v>
      </c>
      <c r="BO17" s="997" t="s">
        <v>1170</v>
      </c>
      <c r="BQ17" s="997" t="s">
        <v>1205</v>
      </c>
      <c r="BS17" s="997" t="s">
        <v>1205</v>
      </c>
      <c r="BU17" s="998" t="s">
        <v>1215</v>
      </c>
      <c r="BW17" s="998" t="s">
        <v>1215</v>
      </c>
      <c r="BY17" s="997" t="s">
        <v>1205</v>
      </c>
      <c r="CA17" s="997" t="s">
        <v>1206</v>
      </c>
      <c r="CC17" s="997" t="s">
        <v>1188</v>
      </c>
      <c r="CE17" s="2182"/>
      <c r="CF17" s="995" t="s">
        <v>1216</v>
      </c>
      <c r="CM17" s="146"/>
      <c r="CV17" s="999" t="s">
        <v>970</v>
      </c>
      <c r="CW17" s="1012" t="s">
        <v>1014</v>
      </c>
      <c r="CX17" s="817" t="str">
        <f t="shared" si="1"/>
        <v>[023]</v>
      </c>
      <c r="CY17" s="959">
        <v>50</v>
      </c>
      <c r="DF17" s="1005" t="s">
        <v>1193</v>
      </c>
      <c r="DG17" s="989" t="s">
        <v>1217</v>
      </c>
      <c r="DH17" s="990" t="str">
        <f t="shared" si="0"/>
        <v>[133]</v>
      </c>
      <c r="DI17" s="990">
        <v>7</v>
      </c>
      <c r="DK17" s="989">
        <v>13</v>
      </c>
      <c r="DL17" s="989">
        <v>7.6999999999999999E-2</v>
      </c>
    </row>
    <row r="18" spans="2:116" ht="27" customHeight="1">
      <c r="B18" s="977"/>
      <c r="C18" s="968" t="s">
        <v>10</v>
      </c>
      <c r="T18" s="944" t="s">
        <v>1218</v>
      </c>
      <c r="V18" s="944" t="s">
        <v>1219</v>
      </c>
      <c r="X18" s="944" t="s">
        <v>1220</v>
      </c>
      <c r="Z18" s="944" t="s">
        <v>1220</v>
      </c>
      <c r="AB18" s="944" t="s">
        <v>1220</v>
      </c>
      <c r="AD18" s="996" t="s">
        <v>1143</v>
      </c>
      <c r="AF18" s="996" t="s">
        <v>1143</v>
      </c>
      <c r="AH18" s="2"/>
      <c r="AJ18" s="996" t="s">
        <v>1103</v>
      </c>
      <c r="AL18" s="2"/>
      <c r="AN18" s="996" t="s">
        <v>1103</v>
      </c>
      <c r="AP18" s="996" t="s">
        <v>1079</v>
      </c>
      <c r="AR18" s="2174"/>
      <c r="AS18" s="995" t="s">
        <v>1221</v>
      </c>
      <c r="AU18" s="2168"/>
      <c r="AV18" s="944" t="s">
        <v>1083</v>
      </c>
      <c r="AZ18" s="146"/>
      <c r="BC18" s="146"/>
      <c r="BD18" s="146"/>
      <c r="BE18" s="146"/>
      <c r="BF18" s="146"/>
      <c r="BG18" s="146"/>
      <c r="BH18" s="146"/>
      <c r="BI18" s="146"/>
      <c r="BJ18" s="146"/>
      <c r="BK18" s="146"/>
      <c r="BM18" s="941" t="s">
        <v>1222</v>
      </c>
      <c r="BN18" s="146"/>
      <c r="BO18" s="997" t="s">
        <v>1188</v>
      </c>
      <c r="BQ18" s="997" t="s">
        <v>1170</v>
      </c>
      <c r="BS18" s="997" t="s">
        <v>1170</v>
      </c>
      <c r="BU18" s="2"/>
      <c r="BW18" s="2"/>
      <c r="BY18" s="997" t="s">
        <v>1170</v>
      </c>
      <c r="CA18" s="998" t="s">
        <v>1215</v>
      </c>
      <c r="CC18" s="997" t="s">
        <v>1206</v>
      </c>
      <c r="CE18" s="2182"/>
      <c r="CF18" s="995" t="s">
        <v>1223</v>
      </c>
      <c r="CM18" s="146"/>
      <c r="CV18" s="999" t="s">
        <v>970</v>
      </c>
      <c r="CW18" s="1012" t="s">
        <v>1033</v>
      </c>
      <c r="CX18" s="817" t="str">
        <f t="shared" si="1"/>
        <v>[024]</v>
      </c>
      <c r="CY18" s="939">
        <v>41</v>
      </c>
      <c r="DF18" s="988" t="s">
        <v>1356</v>
      </c>
      <c r="DG18" s="989" t="s">
        <v>947</v>
      </c>
      <c r="DH18" s="990" t="str">
        <f t="shared" si="0"/>
        <v>[146]</v>
      </c>
      <c r="DI18" s="990">
        <v>7</v>
      </c>
      <c r="DK18" s="989">
        <v>14</v>
      </c>
      <c r="DL18" s="989">
        <v>7.1999999999999995E-2</v>
      </c>
    </row>
    <row r="19" spans="2:116" ht="27" customHeight="1">
      <c r="B19" s="977"/>
      <c r="C19" s="1013" t="str">
        <f>指標部入力!B12</f>
        <v>[76]そば</v>
      </c>
      <c r="T19" s="944" t="s">
        <v>1224</v>
      </c>
      <c r="V19" s="944" t="s">
        <v>1225</v>
      </c>
      <c r="X19" s="946" t="s">
        <v>1226</v>
      </c>
      <c r="Z19" s="946" t="s">
        <v>1226</v>
      </c>
      <c r="AB19" s="946" t="s">
        <v>1226</v>
      </c>
      <c r="AD19" s="954" t="s">
        <v>1164</v>
      </c>
      <c r="AF19" s="954" t="s">
        <v>1164</v>
      </c>
      <c r="AH19" s="2"/>
      <c r="AJ19" s="996" t="s">
        <v>1125</v>
      </c>
      <c r="AL19" s="2"/>
      <c r="AN19" s="996" t="s">
        <v>1125</v>
      </c>
      <c r="AP19" s="996" t="s">
        <v>1103</v>
      </c>
      <c r="AR19" s="2174"/>
      <c r="AS19" s="995" t="s">
        <v>1227</v>
      </c>
      <c r="AU19" s="2168"/>
      <c r="AV19" s="944" t="s">
        <v>1107</v>
      </c>
      <c r="BF19" s="146"/>
      <c r="BG19" s="146"/>
      <c r="BH19" s="146"/>
      <c r="BI19" s="146"/>
      <c r="BJ19" s="146"/>
      <c r="BK19" s="146"/>
      <c r="BM19" s="941" t="s">
        <v>1229</v>
      </c>
      <c r="BN19" s="146"/>
      <c r="BO19" s="997" t="s">
        <v>1206</v>
      </c>
      <c r="BQ19" s="997" t="s">
        <v>1188</v>
      </c>
      <c r="BS19" s="997" t="s">
        <v>1188</v>
      </c>
      <c r="BU19" s="2"/>
      <c r="BW19" s="2"/>
      <c r="BY19" s="997" t="s">
        <v>1188</v>
      </c>
      <c r="CA19" s="2"/>
      <c r="CC19" s="998" t="s">
        <v>1215</v>
      </c>
      <c r="CE19" s="2183"/>
      <c r="CF19" s="994" t="s">
        <v>1230</v>
      </c>
      <c r="CM19" s="146"/>
      <c r="CV19" s="999" t="s">
        <v>970</v>
      </c>
      <c r="CW19" s="958" t="s">
        <v>1352</v>
      </c>
      <c r="CX19" s="817" t="str">
        <f t="shared" si="1"/>
        <v>[025]</v>
      </c>
      <c r="CY19" s="939">
        <v>22</v>
      </c>
      <c r="DF19" s="988" t="s">
        <v>1231</v>
      </c>
      <c r="DG19" s="989" t="s">
        <v>947</v>
      </c>
      <c r="DH19" s="990" t="str">
        <f t="shared" si="0"/>
        <v>[156]</v>
      </c>
      <c r="DI19" s="990">
        <v>7</v>
      </c>
      <c r="DK19" s="989">
        <v>15</v>
      </c>
      <c r="DL19" s="989">
        <v>6.7000000000000004E-2</v>
      </c>
    </row>
    <row r="20" spans="2:116" ht="27" customHeight="1" thickBot="1">
      <c r="B20" s="977"/>
      <c r="C20" s="977"/>
      <c r="T20" s="944" t="s">
        <v>1232</v>
      </c>
      <c r="V20" s="944" t="s">
        <v>1233</v>
      </c>
      <c r="X20" s="223"/>
      <c r="Z20" s="223"/>
      <c r="AB20" s="223"/>
      <c r="AD20" s="948"/>
      <c r="AF20" s="2"/>
      <c r="AG20" s="2"/>
      <c r="AH20" s="2"/>
      <c r="AI20" s="2"/>
      <c r="AJ20" s="996" t="s">
        <v>1143</v>
      </c>
      <c r="AK20" s="2"/>
      <c r="AL20" s="2"/>
      <c r="AM20" s="2"/>
      <c r="AN20" s="996" t="s">
        <v>1143</v>
      </c>
      <c r="AO20" s="2"/>
      <c r="AP20" s="996" t="s">
        <v>1125</v>
      </c>
      <c r="AR20" s="2174"/>
      <c r="AS20" s="994" t="s">
        <v>1234</v>
      </c>
      <c r="AU20" s="2168"/>
      <c r="AV20" s="995" t="s">
        <v>1345</v>
      </c>
      <c r="BF20" s="146"/>
      <c r="BG20" s="146"/>
      <c r="BH20" s="146"/>
      <c r="BI20" s="146"/>
      <c r="BJ20" s="146"/>
      <c r="BK20" s="146"/>
      <c r="BM20" s="941" t="s">
        <v>1235</v>
      </c>
      <c r="BN20" s="146"/>
      <c r="BO20" s="998" t="s">
        <v>1215</v>
      </c>
      <c r="BQ20" s="997" t="s">
        <v>1206</v>
      </c>
      <c r="BS20" s="997" t="s">
        <v>1206</v>
      </c>
      <c r="BU20" s="146"/>
      <c r="BW20" s="146"/>
      <c r="BY20" s="997" t="s">
        <v>1206</v>
      </c>
      <c r="CA20" s="2"/>
      <c r="CC20" s="2"/>
      <c r="CE20" s="1014" t="s">
        <v>934</v>
      </c>
      <c r="CF20" s="994" t="s">
        <v>947</v>
      </c>
      <c r="CM20" s="146"/>
      <c r="CV20" s="999" t="s">
        <v>970</v>
      </c>
      <c r="CW20" s="1012" t="s">
        <v>1089</v>
      </c>
      <c r="CX20" s="817" t="str">
        <f t="shared" ref="CX20:CX22" si="3">LEFT(CV20,3)&amp;MID(CW20,2,2)</f>
        <v>[026]</v>
      </c>
      <c r="CY20" s="939">
        <v>22</v>
      </c>
      <c r="DF20" s="988" t="s">
        <v>1357</v>
      </c>
      <c r="DG20" s="989" t="s">
        <v>947</v>
      </c>
      <c r="DH20" s="990" t="str">
        <f t="shared" si="0"/>
        <v>[166]</v>
      </c>
      <c r="DI20" s="990">
        <v>7</v>
      </c>
      <c r="DK20" s="989">
        <v>16</v>
      </c>
      <c r="DL20" s="989">
        <v>6.3E-2</v>
      </c>
    </row>
    <row r="21" spans="2:116" ht="27" customHeight="1" thickBot="1">
      <c r="B21" s="1015" t="s">
        <v>1236</v>
      </c>
      <c r="C21" s="1016" t="str">
        <f>DGET(B4:D16,"名称",C18:C19)</f>
        <v>そば</v>
      </c>
      <c r="T21" s="944" t="s">
        <v>1237</v>
      </c>
      <c r="V21" s="944" t="s">
        <v>1238</v>
      </c>
      <c r="X21" s="223"/>
      <c r="Z21" s="223"/>
      <c r="AB21" s="223"/>
      <c r="AD21" s="223"/>
      <c r="AF21" s="2"/>
      <c r="AG21" s="2"/>
      <c r="AH21" s="2"/>
      <c r="AI21" s="2"/>
      <c r="AJ21" s="954" t="s">
        <v>1164</v>
      </c>
      <c r="AK21" s="2"/>
      <c r="AL21" s="2"/>
      <c r="AM21" s="2"/>
      <c r="AN21" s="954" t="s">
        <v>1164</v>
      </c>
      <c r="AO21" s="2"/>
      <c r="AP21" s="996" t="s">
        <v>1143</v>
      </c>
      <c r="AU21" s="2168"/>
      <c r="AV21" s="944" t="s">
        <v>1346</v>
      </c>
      <c r="BM21" s="941" t="s">
        <v>1239</v>
      </c>
      <c r="BO21" s="2"/>
      <c r="BQ21" s="998" t="s">
        <v>1215</v>
      </c>
      <c r="BS21" s="998" t="s">
        <v>1215</v>
      </c>
      <c r="BU21" s="146"/>
      <c r="BW21" s="146"/>
      <c r="BY21" s="998" t="s">
        <v>1215</v>
      </c>
      <c r="CA21" s="146"/>
      <c r="CC21" s="2"/>
      <c r="CE21" s="1017" t="s">
        <v>978</v>
      </c>
      <c r="CF21" s="994" t="s">
        <v>947</v>
      </c>
      <c r="CV21" s="999" t="s">
        <v>970</v>
      </c>
      <c r="CW21" s="1002" t="s">
        <v>1113</v>
      </c>
      <c r="CX21" s="817" t="str">
        <f t="shared" si="3"/>
        <v>[028]</v>
      </c>
      <c r="CY21" s="939">
        <v>38</v>
      </c>
      <c r="DF21" s="988" t="s">
        <v>1240</v>
      </c>
      <c r="DG21" s="989" t="s">
        <v>947</v>
      </c>
      <c r="DH21" s="990" t="str">
        <f t="shared" si="0"/>
        <v>[176]</v>
      </c>
      <c r="DI21" s="990">
        <v>7</v>
      </c>
      <c r="DK21" s="989">
        <v>17</v>
      </c>
      <c r="DL21" s="989">
        <v>5.9000000000000004E-2</v>
      </c>
    </row>
    <row r="22" spans="2:116" ht="27" customHeight="1" thickBot="1">
      <c r="T22" s="944" t="s">
        <v>1241</v>
      </c>
      <c r="V22" s="944" t="s">
        <v>1242</v>
      </c>
      <c r="X22" s="223"/>
      <c r="Z22" s="223"/>
      <c r="AB22" s="223"/>
      <c r="AD22" s="223"/>
      <c r="AF22" s="2"/>
      <c r="AG22" s="2"/>
      <c r="AH22" s="2"/>
      <c r="AI22" s="2"/>
      <c r="AJ22" s="2"/>
      <c r="AK22" s="2"/>
      <c r="AL22" s="2"/>
      <c r="AM22" s="2"/>
      <c r="AN22" s="2"/>
      <c r="AO22" s="2"/>
      <c r="AP22" s="954" t="s">
        <v>1164</v>
      </c>
      <c r="AU22" s="2169"/>
      <c r="AV22" s="946" t="s">
        <v>1347</v>
      </c>
      <c r="BM22" s="943" t="s">
        <v>1243</v>
      </c>
      <c r="BO22" s="2"/>
      <c r="BQ22" s="2"/>
      <c r="BS22" s="2"/>
      <c r="BU22" s="146"/>
      <c r="BW22" s="146"/>
      <c r="BY22" s="2"/>
      <c r="CA22" s="146"/>
      <c r="CC22" s="146"/>
      <c r="CE22" s="1017" t="s">
        <v>1009</v>
      </c>
      <c r="CF22" s="994" t="s">
        <v>947</v>
      </c>
      <c r="CV22" s="999" t="s">
        <v>970</v>
      </c>
      <c r="CW22" s="1006" t="s">
        <v>1348</v>
      </c>
      <c r="CX22" s="1007" t="str">
        <f t="shared" si="3"/>
        <v>[029]</v>
      </c>
      <c r="CY22" s="1008">
        <v>22</v>
      </c>
      <c r="DF22" s="988" t="s">
        <v>1244</v>
      </c>
      <c r="DG22" s="989" t="s">
        <v>947</v>
      </c>
      <c r="DH22" s="990" t="str">
        <f t="shared" si="0"/>
        <v>[186]</v>
      </c>
      <c r="DI22" s="990">
        <v>7</v>
      </c>
      <c r="DK22" s="989">
        <v>18</v>
      </c>
      <c r="DL22" s="989">
        <v>5.6000000000000001E-2</v>
      </c>
    </row>
    <row r="23" spans="2:116" ht="27" customHeight="1" thickBot="1">
      <c r="B23" s="1015" t="s">
        <v>1245</v>
      </c>
      <c r="C23" s="1018">
        <f>DGET(リスト!B4:C16,"単位数量",リスト!C18:C19)</f>
        <v>45</v>
      </c>
      <c r="T23" s="944" t="s">
        <v>1246</v>
      </c>
      <c r="V23" s="944" t="s">
        <v>1247</v>
      </c>
      <c r="X23" s="223"/>
      <c r="Z23" s="223"/>
      <c r="AB23" s="223"/>
      <c r="AD23" s="223"/>
      <c r="AF23" s="2"/>
      <c r="AG23" s="2"/>
      <c r="AH23" s="2"/>
      <c r="AI23" s="2"/>
      <c r="AJ23" s="2"/>
      <c r="AK23" s="2"/>
      <c r="AL23" s="2"/>
      <c r="AM23" s="2"/>
      <c r="AN23" s="2"/>
      <c r="AO23" s="2"/>
      <c r="AP23" s="2"/>
      <c r="AU23" s="2167" t="s">
        <v>1228</v>
      </c>
      <c r="AV23" s="981" t="s">
        <v>925</v>
      </c>
      <c r="BM23" s="146"/>
      <c r="BO23" s="146"/>
      <c r="BQ23" s="2"/>
      <c r="BS23" s="2"/>
      <c r="BU23" s="146"/>
      <c r="BW23" s="146"/>
      <c r="BY23" s="2"/>
      <c r="CA23" s="146"/>
      <c r="CC23" s="146"/>
      <c r="CE23" s="953" t="s">
        <v>1248</v>
      </c>
      <c r="CF23" s="954" t="s">
        <v>947</v>
      </c>
      <c r="CV23" s="999" t="s">
        <v>970</v>
      </c>
      <c r="CW23" s="1006" t="s">
        <v>1349</v>
      </c>
      <c r="CX23" s="1007" t="str">
        <f>LEFT(CV23,3)&amp;MID(CW23,2,3)</f>
        <v>[0210]</v>
      </c>
      <c r="CY23" s="1008">
        <v>30</v>
      </c>
      <c r="DF23" s="988" t="s">
        <v>1249</v>
      </c>
      <c r="DG23" s="989" t="s">
        <v>947</v>
      </c>
      <c r="DH23" s="990" t="str">
        <f t="shared" si="0"/>
        <v>[196]</v>
      </c>
      <c r="DI23" s="990">
        <v>7</v>
      </c>
      <c r="DK23" s="989">
        <v>19</v>
      </c>
      <c r="DL23" s="989">
        <v>5.2999999999999999E-2</v>
      </c>
    </row>
    <row r="24" spans="2:116" ht="27" customHeight="1">
      <c r="T24" s="944" t="s">
        <v>1250</v>
      </c>
      <c r="V24" s="944" t="s">
        <v>1251</v>
      </c>
      <c r="X24" s="223"/>
      <c r="Z24" s="223"/>
      <c r="AB24" s="223"/>
      <c r="AD24" s="223"/>
      <c r="AF24" s="2"/>
      <c r="AG24" s="2"/>
      <c r="AH24" s="2"/>
      <c r="AI24" s="2"/>
      <c r="AJ24" s="2"/>
      <c r="AK24" s="2"/>
      <c r="AL24" s="2"/>
      <c r="AM24" s="2"/>
      <c r="AN24" s="2"/>
      <c r="AO24" s="2"/>
      <c r="AP24" s="2"/>
      <c r="AU24" s="2168"/>
      <c r="AV24" s="995" t="s">
        <v>971</v>
      </c>
      <c r="BM24" s="146"/>
      <c r="BO24" s="146"/>
      <c r="BQ24" s="146"/>
      <c r="BS24" s="146"/>
      <c r="BU24" s="146"/>
      <c r="BW24" s="146"/>
      <c r="BY24" s="146"/>
      <c r="CA24" s="146"/>
      <c r="CC24" s="146"/>
      <c r="CE24" s="953" t="s">
        <v>1252</v>
      </c>
      <c r="CF24" s="954" t="s">
        <v>947</v>
      </c>
      <c r="CV24" s="999" t="s">
        <v>970</v>
      </c>
      <c r="CW24" s="1006" t="s">
        <v>1350</v>
      </c>
      <c r="CX24" s="1007" t="str">
        <f>LEFT(CV24,3)&amp;MID(CW24,2,3)</f>
        <v>[0211]</v>
      </c>
      <c r="CY24" s="1008">
        <v>38</v>
      </c>
      <c r="DF24" s="1003" t="s">
        <v>1253</v>
      </c>
      <c r="DG24" s="989" t="s">
        <v>1254</v>
      </c>
      <c r="DH24" s="990" t="str">
        <f t="shared" si="0"/>
        <v>[201]</v>
      </c>
      <c r="DI24" s="990">
        <v>7</v>
      </c>
      <c r="DK24" s="989">
        <v>20</v>
      </c>
      <c r="DL24" s="989">
        <v>0.05</v>
      </c>
    </row>
    <row r="25" spans="2:116" ht="27" customHeight="1">
      <c r="T25" s="995" t="s">
        <v>1255</v>
      </c>
      <c r="V25" s="995" t="s">
        <v>1256</v>
      </c>
      <c r="X25" s="960"/>
      <c r="Z25" s="960"/>
      <c r="AB25" s="960"/>
      <c r="AD25" s="960"/>
      <c r="AF25" s="2"/>
      <c r="AG25" s="2"/>
      <c r="AH25" s="2"/>
      <c r="AI25" s="2"/>
      <c r="AJ25" s="2"/>
      <c r="AK25" s="2"/>
      <c r="AL25" s="2"/>
      <c r="AM25" s="2"/>
      <c r="AN25" s="2"/>
      <c r="AO25" s="2"/>
      <c r="AP25" s="2"/>
      <c r="AU25" s="2168"/>
      <c r="AV25" s="995" t="s">
        <v>1006</v>
      </c>
      <c r="BM25" s="146"/>
      <c r="BO25" s="146"/>
      <c r="BQ25" s="146"/>
      <c r="BS25" s="146"/>
      <c r="BU25" s="146"/>
      <c r="BW25" s="146"/>
      <c r="BY25" s="146"/>
      <c r="CA25" s="146"/>
      <c r="CC25" s="146"/>
      <c r="CE25" s="953" t="s">
        <v>1257</v>
      </c>
      <c r="CF25" s="954" t="s">
        <v>947</v>
      </c>
      <c r="CV25" s="987" t="s">
        <v>1005</v>
      </c>
      <c r="CW25" s="958" t="s">
        <v>944</v>
      </c>
      <c r="CX25" s="959" t="str">
        <f t="shared" si="1"/>
        <v>[031]</v>
      </c>
      <c r="CY25" s="959">
        <v>15</v>
      </c>
      <c r="DF25" s="1005" t="s">
        <v>1253</v>
      </c>
      <c r="DG25" s="989" t="s">
        <v>1258</v>
      </c>
      <c r="DH25" s="990" t="str">
        <f t="shared" si="0"/>
        <v>[202]</v>
      </c>
      <c r="DI25" s="990">
        <v>7</v>
      </c>
      <c r="DK25" s="989">
        <v>21</v>
      </c>
      <c r="DL25" s="989">
        <v>4.8000000000000001E-2</v>
      </c>
    </row>
    <row r="26" spans="2:116" ht="27" customHeight="1">
      <c r="T26" s="995" t="s">
        <v>1259</v>
      </c>
      <c r="V26" s="995" t="s">
        <v>1260</v>
      </c>
      <c r="X26" s="960"/>
      <c r="Z26" s="960"/>
      <c r="AB26" s="960"/>
      <c r="AD26" s="960"/>
      <c r="AF26" s="2"/>
      <c r="AG26" s="2"/>
      <c r="AH26" s="2"/>
      <c r="AI26" s="2"/>
      <c r="AJ26" s="2"/>
      <c r="AK26" s="2"/>
      <c r="AL26" s="2"/>
      <c r="AM26" s="2"/>
      <c r="AN26" s="2"/>
      <c r="AO26" s="2"/>
      <c r="AP26" s="2"/>
      <c r="AU26" s="2168"/>
      <c r="AV26" s="995" t="s">
        <v>1033</v>
      </c>
      <c r="BA26" s="146"/>
      <c r="BM26" s="146"/>
      <c r="BO26" s="146"/>
      <c r="BP26" s="146"/>
      <c r="BQ26" s="146"/>
      <c r="BR26" s="146"/>
      <c r="BS26" s="146"/>
      <c r="BT26" s="146"/>
      <c r="BU26" s="146"/>
      <c r="BV26" s="146"/>
      <c r="BW26" s="146"/>
      <c r="BX26" s="146"/>
      <c r="BY26" s="146"/>
      <c r="BZ26" s="146"/>
      <c r="CA26" s="146"/>
      <c r="CB26" s="146"/>
      <c r="CC26" s="146"/>
      <c r="CE26" s="1017" t="s">
        <v>1061</v>
      </c>
      <c r="CF26" s="994" t="s">
        <v>947</v>
      </c>
      <c r="CG26" s="146"/>
      <c r="CH26" s="146"/>
      <c r="CJ26" s="146"/>
      <c r="CK26" s="146"/>
      <c r="CL26" s="146"/>
      <c r="CN26" s="146"/>
      <c r="CO26" s="146"/>
      <c r="CP26" s="146"/>
      <c r="CQ26" s="146"/>
      <c r="CR26" s="146"/>
      <c r="CS26" s="146"/>
      <c r="CV26" s="999" t="s">
        <v>1005</v>
      </c>
      <c r="CW26" s="958" t="s">
        <v>986</v>
      </c>
      <c r="CX26" s="959" t="str">
        <f t="shared" si="1"/>
        <v>[032]</v>
      </c>
      <c r="CY26" s="959">
        <v>15</v>
      </c>
      <c r="DB26" s="146"/>
      <c r="DC26" s="146"/>
      <c r="DD26" s="146"/>
      <c r="DE26" s="146"/>
      <c r="DF26" s="988" t="s">
        <v>1262</v>
      </c>
      <c r="DG26" s="989" t="s">
        <v>947</v>
      </c>
      <c r="DH26" s="990" t="str">
        <f t="shared" si="0"/>
        <v>[216]</v>
      </c>
      <c r="DI26" s="990">
        <v>7</v>
      </c>
      <c r="DK26" s="989">
        <v>22</v>
      </c>
      <c r="DL26" s="989">
        <v>4.5999999999999999E-2</v>
      </c>
    </row>
    <row r="27" spans="2:116" ht="27" customHeight="1">
      <c r="T27" s="995" t="s">
        <v>1263</v>
      </c>
      <c r="V27" s="995" t="s">
        <v>1179</v>
      </c>
      <c r="X27" s="960"/>
      <c r="Z27" s="960"/>
      <c r="AB27" s="960"/>
      <c r="AD27" s="960"/>
      <c r="AF27" s="2"/>
      <c r="AG27" s="2"/>
      <c r="AH27" s="2"/>
      <c r="AI27" s="2"/>
      <c r="AJ27" s="2"/>
      <c r="AK27" s="2"/>
      <c r="AL27" s="2"/>
      <c r="AM27" s="2"/>
      <c r="AN27" s="2"/>
      <c r="AO27" s="2"/>
      <c r="AP27" s="2"/>
      <c r="AU27" s="2168"/>
      <c r="AV27" s="944" t="s">
        <v>1083</v>
      </c>
      <c r="BA27" s="146"/>
      <c r="BM27" s="146"/>
      <c r="BO27" s="146"/>
      <c r="BP27" s="146"/>
      <c r="BQ27" s="146"/>
      <c r="BR27" s="146"/>
      <c r="BS27" s="146"/>
      <c r="BT27" s="146"/>
      <c r="BU27" s="146"/>
      <c r="BV27" s="146"/>
      <c r="BW27" s="146"/>
      <c r="BX27" s="146"/>
      <c r="BY27" s="146"/>
      <c r="BZ27" s="146"/>
      <c r="CA27" s="146"/>
      <c r="CB27" s="146"/>
      <c r="CC27" s="146"/>
      <c r="CE27" s="1019" t="s">
        <v>1063</v>
      </c>
      <c r="CF27" s="954" t="s">
        <v>947</v>
      </c>
      <c r="CG27" s="146"/>
      <c r="CH27" s="146"/>
      <c r="CJ27" s="146"/>
      <c r="CK27" s="146"/>
      <c r="CL27" s="146"/>
      <c r="CN27" s="146"/>
      <c r="CO27" s="146"/>
      <c r="CP27" s="146"/>
      <c r="CQ27" s="146"/>
      <c r="CR27" s="146"/>
      <c r="CS27" s="146"/>
      <c r="CV27" s="999" t="s">
        <v>1005</v>
      </c>
      <c r="CW27" s="1012" t="s">
        <v>1014</v>
      </c>
      <c r="CX27" s="959" t="str">
        <f t="shared" si="1"/>
        <v>[033]</v>
      </c>
      <c r="CY27" s="959">
        <v>38</v>
      </c>
      <c r="DB27" s="146"/>
      <c r="DC27" s="146"/>
      <c r="DD27" s="146"/>
      <c r="DE27" s="146"/>
      <c r="DF27" s="988" t="s">
        <v>1358</v>
      </c>
      <c r="DG27" s="989" t="s">
        <v>947</v>
      </c>
      <c r="DH27" s="990" t="str">
        <f t="shared" si="0"/>
        <v>[226]</v>
      </c>
      <c r="DI27" s="990">
        <v>7</v>
      </c>
      <c r="DK27" s="989">
        <v>23</v>
      </c>
      <c r="DL27" s="989">
        <v>4.3999999999999997E-2</v>
      </c>
    </row>
    <row r="28" spans="2:116" ht="27" customHeight="1">
      <c r="T28" s="995" t="s">
        <v>1264</v>
      </c>
      <c r="V28" s="995" t="s">
        <v>1199</v>
      </c>
      <c r="X28" s="960"/>
      <c r="Z28" s="960"/>
      <c r="AB28" s="960"/>
      <c r="AD28" s="960"/>
      <c r="AF28" s="2"/>
      <c r="AG28" s="2"/>
      <c r="AH28" s="2"/>
      <c r="AI28" s="2"/>
      <c r="AJ28" s="2"/>
      <c r="AK28" s="2"/>
      <c r="AL28" s="2"/>
      <c r="AM28" s="2"/>
      <c r="AN28" s="2"/>
      <c r="AO28" s="2"/>
      <c r="AP28" s="2"/>
      <c r="AU28" s="2168"/>
      <c r="AV28" s="944" t="s">
        <v>1107</v>
      </c>
      <c r="BA28" s="146"/>
      <c r="BM28" s="146"/>
      <c r="BO28" s="146"/>
      <c r="BP28" s="146"/>
      <c r="BQ28" s="146"/>
      <c r="BR28" s="146"/>
      <c r="BS28" s="146"/>
      <c r="BT28" s="146"/>
      <c r="BU28" s="146"/>
      <c r="BV28" s="146"/>
      <c r="BW28" s="146"/>
      <c r="BX28" s="146"/>
      <c r="BY28" s="146"/>
      <c r="BZ28" s="146"/>
      <c r="CA28" s="146"/>
      <c r="CB28" s="146"/>
      <c r="CC28" s="146"/>
      <c r="CE28" s="1017" t="s">
        <v>1108</v>
      </c>
      <c r="CF28" s="994" t="s">
        <v>947</v>
      </c>
      <c r="CG28" s="146"/>
      <c r="CH28" s="146"/>
      <c r="CJ28" s="146"/>
      <c r="CK28" s="146"/>
      <c r="CL28" s="146"/>
      <c r="CN28" s="146"/>
      <c r="CO28" s="146"/>
      <c r="CP28" s="146"/>
      <c r="CQ28" s="146"/>
      <c r="CR28" s="146"/>
      <c r="CS28" s="146"/>
      <c r="CV28" s="999" t="s">
        <v>1005</v>
      </c>
      <c r="CW28" s="1012" t="s">
        <v>1033</v>
      </c>
      <c r="CX28" s="959" t="str">
        <f t="shared" si="1"/>
        <v>[034]</v>
      </c>
      <c r="CY28" s="939">
        <v>34</v>
      </c>
      <c r="DB28" s="146"/>
      <c r="DC28" s="146"/>
      <c r="DD28" s="146"/>
      <c r="DE28" s="146"/>
      <c r="DF28" s="988" t="s">
        <v>1265</v>
      </c>
      <c r="DG28" s="989" t="s">
        <v>947</v>
      </c>
      <c r="DH28" s="990" t="str">
        <f t="shared" si="0"/>
        <v>[236]</v>
      </c>
      <c r="DI28" s="990">
        <v>7</v>
      </c>
      <c r="DK28" s="989">
        <v>24</v>
      </c>
      <c r="DL28" s="989">
        <v>4.2000000000000003E-2</v>
      </c>
    </row>
    <row r="29" spans="2:116" ht="27" customHeight="1">
      <c r="T29" s="995" t="s">
        <v>1266</v>
      </c>
      <c r="V29" s="995" t="s">
        <v>1211</v>
      </c>
      <c r="X29" s="960"/>
      <c r="Z29" s="960"/>
      <c r="AB29" s="960"/>
      <c r="AD29" s="960"/>
      <c r="AF29" s="2"/>
      <c r="AG29" s="2"/>
      <c r="AH29" s="2"/>
      <c r="AI29" s="2"/>
      <c r="AJ29" s="2"/>
      <c r="AK29" s="2"/>
      <c r="AL29" s="2"/>
      <c r="AM29" s="2"/>
      <c r="AN29" s="2"/>
      <c r="AO29" s="2"/>
      <c r="AP29" s="2"/>
      <c r="AU29" s="2168"/>
      <c r="AV29" s="995" t="s">
        <v>1345</v>
      </c>
      <c r="BA29" s="146"/>
      <c r="BM29" s="146"/>
      <c r="BO29" s="146"/>
      <c r="BP29" s="146"/>
      <c r="BQ29" s="146"/>
      <c r="BR29" s="146"/>
      <c r="BS29" s="146"/>
      <c r="BT29" s="146"/>
      <c r="BU29" s="146"/>
      <c r="BV29" s="146"/>
      <c r="BW29" s="146"/>
      <c r="BX29" s="146"/>
      <c r="BY29" s="146"/>
      <c r="BZ29" s="146"/>
      <c r="CA29" s="146"/>
      <c r="CB29" s="146"/>
      <c r="CC29" s="146"/>
      <c r="CE29" s="953" t="s">
        <v>1267</v>
      </c>
      <c r="CF29" s="954" t="s">
        <v>947</v>
      </c>
      <c r="CG29" s="146"/>
      <c r="CH29" s="146"/>
      <c r="CJ29" s="146"/>
      <c r="CK29" s="146"/>
      <c r="CL29" s="146"/>
      <c r="CN29" s="146"/>
      <c r="CO29" s="146"/>
      <c r="CP29" s="146"/>
      <c r="CQ29" s="146"/>
      <c r="CR29" s="146"/>
      <c r="CS29" s="146"/>
      <c r="CV29" s="999" t="s">
        <v>1005</v>
      </c>
      <c r="CW29" s="958" t="s">
        <v>1351</v>
      </c>
      <c r="CX29" s="959" t="str">
        <f t="shared" si="1"/>
        <v>[035]</v>
      </c>
      <c r="CY29" s="939">
        <v>17</v>
      </c>
      <c r="DB29" s="146"/>
      <c r="DC29" s="146"/>
      <c r="DD29" s="146"/>
      <c r="DE29" s="146"/>
      <c r="DF29" s="988" t="s">
        <v>1359</v>
      </c>
      <c r="DG29" s="989" t="s">
        <v>947</v>
      </c>
      <c r="DH29" s="990" t="str">
        <f t="shared" si="0"/>
        <v>[246]</v>
      </c>
      <c r="DI29" s="990">
        <v>7</v>
      </c>
      <c r="DK29" s="989">
        <v>25</v>
      </c>
      <c r="DL29" s="989">
        <v>0.04</v>
      </c>
    </row>
    <row r="30" spans="2:116" ht="27" customHeight="1">
      <c r="T30" s="995" t="s">
        <v>1268</v>
      </c>
      <c r="V30" s="995" t="s">
        <v>1220</v>
      </c>
      <c r="X30" s="960"/>
      <c r="Z30" s="960"/>
      <c r="AB30" s="960"/>
      <c r="AD30" s="960"/>
      <c r="AF30" s="2"/>
      <c r="AG30" s="2"/>
      <c r="AH30" s="2"/>
      <c r="AI30" s="2"/>
      <c r="AJ30" s="2"/>
      <c r="AK30" s="2"/>
      <c r="AL30" s="2"/>
      <c r="AM30" s="2"/>
      <c r="AN30" s="2"/>
      <c r="AO30" s="2"/>
      <c r="AP30" s="2"/>
      <c r="AU30" s="2168"/>
      <c r="AV30" s="944" t="s">
        <v>1346</v>
      </c>
      <c r="BA30" s="146"/>
      <c r="BM30" s="146"/>
      <c r="BO30" s="146"/>
      <c r="BP30" s="146"/>
      <c r="BQ30" s="146"/>
      <c r="BR30" s="146"/>
      <c r="BS30" s="146"/>
      <c r="BT30" s="146"/>
      <c r="BU30" s="146"/>
      <c r="BV30" s="146"/>
      <c r="BW30" s="146"/>
      <c r="BX30" s="146"/>
      <c r="BY30" s="146"/>
      <c r="BZ30" s="146"/>
      <c r="CA30" s="146"/>
      <c r="CB30" s="146"/>
      <c r="CC30" s="146"/>
      <c r="CE30" s="1017" t="s">
        <v>1130</v>
      </c>
      <c r="CF30" s="994" t="s">
        <v>947</v>
      </c>
      <c r="CG30" s="146"/>
      <c r="CH30" s="146"/>
      <c r="CJ30" s="146"/>
      <c r="CK30" s="146"/>
      <c r="CL30" s="146"/>
      <c r="CN30" s="146"/>
      <c r="CO30" s="146"/>
      <c r="CP30" s="146"/>
      <c r="CQ30" s="146"/>
      <c r="CR30" s="146"/>
      <c r="CS30" s="146"/>
      <c r="CV30" s="999" t="s">
        <v>1005</v>
      </c>
      <c r="CW30" s="1012" t="s">
        <v>1089</v>
      </c>
      <c r="CX30" s="959" t="str">
        <f t="shared" ref="CX30:CX32" si="4">LEFT(CV30,3)&amp;MID(CW30,2,2)</f>
        <v>[036]</v>
      </c>
      <c r="CY30" s="939">
        <v>14</v>
      </c>
      <c r="DB30" s="146"/>
      <c r="DC30" s="146"/>
      <c r="DD30" s="146"/>
      <c r="DE30" s="146"/>
      <c r="DF30" s="949" t="s">
        <v>1360</v>
      </c>
      <c r="DG30" s="989" t="s">
        <v>947</v>
      </c>
      <c r="DH30" s="990" t="str">
        <f t="shared" si="0"/>
        <v>[256]</v>
      </c>
      <c r="DI30" s="990">
        <v>7</v>
      </c>
      <c r="DK30" s="989">
        <v>26</v>
      </c>
      <c r="DL30" s="989">
        <v>3.9E-2</v>
      </c>
    </row>
    <row r="31" spans="2:116" ht="27" customHeight="1">
      <c r="T31" s="995" t="s">
        <v>1269</v>
      </c>
      <c r="V31" s="994" t="s">
        <v>1226</v>
      </c>
      <c r="X31" s="960"/>
      <c r="Z31" s="960"/>
      <c r="AB31" s="960"/>
      <c r="AD31" s="960"/>
      <c r="AF31" s="2"/>
      <c r="AG31" s="2"/>
      <c r="AH31" s="2"/>
      <c r="AI31" s="2"/>
      <c r="AJ31" s="2"/>
      <c r="AK31" s="2"/>
      <c r="AL31" s="2"/>
      <c r="AM31" s="2"/>
      <c r="AN31" s="2"/>
      <c r="AO31" s="2"/>
      <c r="AP31" s="2"/>
      <c r="AU31" s="2169"/>
      <c r="AV31" s="946" t="s">
        <v>1347</v>
      </c>
      <c r="BA31" s="146"/>
      <c r="BM31" s="146"/>
      <c r="BO31" s="146"/>
      <c r="BP31" s="146"/>
      <c r="BQ31" s="146"/>
      <c r="BR31" s="146"/>
      <c r="BS31" s="146"/>
      <c r="BT31" s="146"/>
      <c r="BU31" s="146"/>
      <c r="BV31" s="146"/>
      <c r="BW31" s="146"/>
      <c r="BX31" s="146"/>
      <c r="BY31" s="146"/>
      <c r="BZ31" s="146"/>
      <c r="CA31" s="146"/>
      <c r="CB31" s="146"/>
      <c r="CC31" s="146"/>
      <c r="CE31" s="1017" t="s">
        <v>1148</v>
      </c>
      <c r="CF31" s="994" t="s">
        <v>947</v>
      </c>
      <c r="CG31" s="146"/>
      <c r="CH31" s="146"/>
      <c r="CJ31" s="146"/>
      <c r="CK31" s="146"/>
      <c r="CL31" s="146"/>
      <c r="CN31" s="146"/>
      <c r="CO31" s="146"/>
      <c r="CP31" s="146"/>
      <c r="CQ31" s="146"/>
      <c r="CR31" s="146"/>
      <c r="CS31" s="146"/>
      <c r="CV31" s="999" t="s">
        <v>1005</v>
      </c>
      <c r="CW31" s="1002" t="s">
        <v>1113</v>
      </c>
      <c r="CX31" s="817" t="str">
        <f t="shared" si="4"/>
        <v>[038]</v>
      </c>
      <c r="CY31" s="939">
        <v>31</v>
      </c>
      <c r="DB31" s="146"/>
      <c r="DC31" s="146"/>
      <c r="DD31" s="146"/>
      <c r="DE31" s="146"/>
      <c r="DF31" s="949" t="s">
        <v>1361</v>
      </c>
      <c r="DG31" s="989" t="s">
        <v>947</v>
      </c>
      <c r="DH31" s="990" t="str">
        <f t="shared" si="0"/>
        <v>[266]</v>
      </c>
      <c r="DI31" s="990">
        <v>7</v>
      </c>
      <c r="DK31" s="989">
        <v>27</v>
      </c>
      <c r="DL31" s="989">
        <v>3.7999999999999999E-2</v>
      </c>
    </row>
    <row r="32" spans="2:116" ht="27" customHeight="1">
      <c r="T32" s="995" t="s">
        <v>1270</v>
      </c>
      <c r="V32" s="960"/>
      <c r="X32" s="960"/>
      <c r="Z32" s="960"/>
      <c r="AB32" s="960"/>
      <c r="AD32" s="960"/>
      <c r="AF32" s="2"/>
      <c r="AG32" s="2"/>
      <c r="AH32" s="2"/>
      <c r="AI32" s="2"/>
      <c r="AJ32" s="2"/>
      <c r="AK32" s="2"/>
      <c r="AL32" s="2"/>
      <c r="AM32" s="2"/>
      <c r="AN32" s="2"/>
      <c r="AO32" s="2"/>
      <c r="AP32" s="2"/>
      <c r="AU32" s="2167" t="s">
        <v>1261</v>
      </c>
      <c r="AV32" s="981" t="s">
        <v>925</v>
      </c>
      <c r="BA32" s="146"/>
      <c r="BM32" s="146"/>
      <c r="BO32" s="146"/>
      <c r="BP32" s="146"/>
      <c r="BQ32" s="146"/>
      <c r="BR32" s="146"/>
      <c r="BS32" s="146"/>
      <c r="BT32" s="146"/>
      <c r="BU32" s="146"/>
      <c r="BV32" s="146"/>
      <c r="BW32" s="146"/>
      <c r="BX32" s="146"/>
      <c r="BY32" s="146"/>
      <c r="BZ32" s="146"/>
      <c r="CA32" s="146"/>
      <c r="CB32" s="146"/>
      <c r="CC32" s="146"/>
      <c r="CE32" s="1017" t="s">
        <v>1271</v>
      </c>
      <c r="CF32" s="994" t="s">
        <v>947</v>
      </c>
      <c r="CG32" s="146"/>
      <c r="CH32" s="146"/>
      <c r="CJ32" s="146"/>
      <c r="CK32" s="146"/>
      <c r="CL32" s="146"/>
      <c r="CN32" s="146"/>
      <c r="CO32" s="146"/>
      <c r="CP32" s="146"/>
      <c r="CQ32" s="146"/>
      <c r="CR32" s="146"/>
      <c r="CS32" s="146"/>
      <c r="CV32" s="999" t="s">
        <v>1005</v>
      </c>
      <c r="CW32" s="1006" t="s">
        <v>1348</v>
      </c>
      <c r="CX32" s="1007" t="str">
        <f t="shared" si="4"/>
        <v>[039]</v>
      </c>
      <c r="CY32" s="1008">
        <v>17</v>
      </c>
      <c r="DB32" s="146"/>
      <c r="DC32" s="146"/>
      <c r="DD32" s="146"/>
      <c r="DE32" s="146"/>
      <c r="DF32" s="949" t="s">
        <v>1362</v>
      </c>
      <c r="DG32" s="989" t="s">
        <v>947</v>
      </c>
      <c r="DH32" s="990" t="str">
        <f t="shared" si="0"/>
        <v>[276]</v>
      </c>
      <c r="DI32" s="990">
        <v>7</v>
      </c>
      <c r="DK32" s="989">
        <v>28</v>
      </c>
      <c r="DL32" s="989">
        <v>3.6000000000000004E-2</v>
      </c>
    </row>
    <row r="33" spans="20:116" ht="27" customHeight="1">
      <c r="T33" s="995" t="s">
        <v>1272</v>
      </c>
      <c r="V33" s="960"/>
      <c r="X33" s="960"/>
      <c r="Z33" s="960"/>
      <c r="AB33" s="960"/>
      <c r="AD33" s="960"/>
      <c r="AF33" s="2"/>
      <c r="AG33" s="2"/>
      <c r="AH33" s="2"/>
      <c r="AI33" s="2"/>
      <c r="AJ33" s="2"/>
      <c r="AK33" s="2"/>
      <c r="AL33" s="2"/>
      <c r="AM33" s="2"/>
      <c r="AN33" s="2"/>
      <c r="AO33" s="2"/>
      <c r="AP33" s="2"/>
      <c r="AU33" s="2168"/>
      <c r="AV33" s="995" t="s">
        <v>971</v>
      </c>
      <c r="BA33" s="146"/>
      <c r="BM33" s="146"/>
      <c r="BO33" s="146"/>
      <c r="BP33" s="146"/>
      <c r="BQ33" s="146"/>
      <c r="BR33" s="146"/>
      <c r="BS33" s="146"/>
      <c r="BT33" s="146"/>
      <c r="BU33" s="146"/>
      <c r="BV33" s="146"/>
      <c r="BW33" s="146"/>
      <c r="BX33" s="146"/>
      <c r="BY33" s="146"/>
      <c r="BZ33" s="146"/>
      <c r="CA33" s="146"/>
      <c r="CB33" s="146"/>
      <c r="CC33" s="146"/>
      <c r="CE33" s="1017" t="s">
        <v>1204</v>
      </c>
      <c r="CF33" s="994" t="s">
        <v>947</v>
      </c>
      <c r="CG33" s="146"/>
      <c r="CH33" s="146"/>
      <c r="CJ33" s="146"/>
      <c r="CK33" s="146"/>
      <c r="CL33" s="146"/>
      <c r="CN33" s="146"/>
      <c r="CO33" s="146"/>
      <c r="CP33" s="146"/>
      <c r="CQ33" s="146"/>
      <c r="CR33" s="146"/>
      <c r="CS33" s="146"/>
      <c r="CV33" s="999" t="s">
        <v>1005</v>
      </c>
      <c r="CW33" s="1006" t="s">
        <v>1349</v>
      </c>
      <c r="CX33" s="1007" t="str">
        <f>LEFT(CV33,3)&amp;MID(CW33,2,3)</f>
        <v>[0310]</v>
      </c>
      <c r="CY33" s="1008">
        <v>24</v>
      </c>
      <c r="DB33" s="146"/>
      <c r="DC33" s="146"/>
      <c r="DD33" s="146"/>
      <c r="DE33" s="146"/>
      <c r="DF33" s="949" t="s">
        <v>1363</v>
      </c>
      <c r="DG33" s="989" t="s">
        <v>947</v>
      </c>
      <c r="DH33" s="990" t="str">
        <f t="shared" si="0"/>
        <v>[286]</v>
      </c>
      <c r="DI33" s="990">
        <v>7</v>
      </c>
      <c r="DK33" s="989">
        <v>29</v>
      </c>
      <c r="DL33" s="989">
        <v>3.5000000000000003E-2</v>
      </c>
    </row>
    <row r="34" spans="20:116" ht="27" customHeight="1">
      <c r="T34" s="995" t="s">
        <v>1275</v>
      </c>
      <c r="V34" s="960"/>
      <c r="X34" s="960"/>
      <c r="Z34" s="960"/>
      <c r="AB34" s="960"/>
      <c r="AD34" s="960"/>
      <c r="AF34" s="2"/>
      <c r="AG34" s="2"/>
      <c r="AH34" s="2"/>
      <c r="AI34" s="2"/>
      <c r="AJ34" s="2"/>
      <c r="AK34" s="2"/>
      <c r="AL34" s="2"/>
      <c r="AM34" s="2"/>
      <c r="AN34" s="2"/>
      <c r="AO34" s="2"/>
      <c r="AP34" s="2"/>
      <c r="AU34" s="2168"/>
      <c r="AV34" s="995" t="s">
        <v>1006</v>
      </c>
      <c r="BA34" s="146"/>
      <c r="BM34" s="146"/>
      <c r="BO34" s="146"/>
      <c r="BP34" s="146"/>
      <c r="BQ34" s="146"/>
      <c r="BR34" s="146"/>
      <c r="BS34" s="146"/>
      <c r="BT34" s="146"/>
      <c r="BU34" s="146"/>
      <c r="BV34" s="146"/>
      <c r="BW34" s="146"/>
      <c r="BX34" s="146"/>
      <c r="BY34" s="146"/>
      <c r="BZ34" s="146"/>
      <c r="CA34" s="146"/>
      <c r="CB34" s="146"/>
      <c r="CC34" s="146"/>
      <c r="CE34" s="1019" t="s">
        <v>1186</v>
      </c>
      <c r="CF34" s="954" t="s">
        <v>947</v>
      </c>
      <c r="CG34" s="146"/>
      <c r="CH34" s="146"/>
      <c r="CJ34" s="146"/>
      <c r="CK34" s="146"/>
      <c r="CL34" s="146"/>
      <c r="CN34" s="146"/>
      <c r="CO34" s="146"/>
      <c r="CP34" s="146"/>
      <c r="CQ34" s="146"/>
      <c r="CR34" s="146"/>
      <c r="CS34" s="146"/>
      <c r="CV34" s="999" t="s">
        <v>1005</v>
      </c>
      <c r="CW34" s="1006" t="s">
        <v>1350</v>
      </c>
      <c r="CX34" s="1007" t="str">
        <f>LEFT(CV34,3)&amp;MID(CW34,2,3)</f>
        <v>[0311]</v>
      </c>
      <c r="CY34" s="1008">
        <v>31</v>
      </c>
      <c r="DB34" s="146"/>
      <c r="DC34" s="146"/>
      <c r="DD34" s="146"/>
      <c r="DE34" s="146"/>
      <c r="DF34" s="949" t="s">
        <v>1276</v>
      </c>
      <c r="DG34" s="989" t="s">
        <v>947</v>
      </c>
      <c r="DH34" s="990" t="str">
        <f t="shared" si="0"/>
        <v>[296]</v>
      </c>
      <c r="DI34" s="990">
        <v>7</v>
      </c>
      <c r="DK34" s="989">
        <v>30</v>
      </c>
      <c r="DL34" s="989">
        <v>3.4000000000000002E-2</v>
      </c>
    </row>
    <row r="35" spans="20:116" ht="27" customHeight="1">
      <c r="T35" s="995" t="s">
        <v>1277</v>
      </c>
      <c r="V35" s="960"/>
      <c r="X35" s="960"/>
      <c r="Z35" s="960"/>
      <c r="AB35" s="960"/>
      <c r="AD35" s="960"/>
      <c r="AF35" s="2"/>
      <c r="AG35" s="2"/>
      <c r="AH35" s="2"/>
      <c r="AI35" s="2"/>
      <c r="AJ35" s="2"/>
      <c r="AK35" s="2"/>
      <c r="AL35" s="2"/>
      <c r="AM35" s="2"/>
      <c r="AN35" s="2"/>
      <c r="AO35" s="2"/>
      <c r="AP35" s="2"/>
      <c r="AU35" s="2168"/>
      <c r="AV35" s="995" t="s">
        <v>1033</v>
      </c>
      <c r="BM35" s="146"/>
      <c r="BO35" s="146"/>
      <c r="BQ35" s="146"/>
      <c r="BS35" s="146"/>
      <c r="BU35" s="146"/>
      <c r="BW35" s="146"/>
      <c r="BY35" s="146"/>
      <c r="CA35" s="146"/>
      <c r="CC35" s="146"/>
      <c r="CE35" s="1019" t="s">
        <v>1187</v>
      </c>
      <c r="CF35" s="954" t="s">
        <v>947</v>
      </c>
      <c r="CV35" s="987" t="s">
        <v>1032</v>
      </c>
      <c r="CW35" s="958" t="s">
        <v>944</v>
      </c>
      <c r="CX35" s="959" t="str">
        <f t="shared" si="1"/>
        <v>[041]</v>
      </c>
      <c r="CY35" s="959">
        <v>15</v>
      </c>
      <c r="DF35" s="949" t="s">
        <v>1364</v>
      </c>
      <c r="DG35" s="989" t="s">
        <v>947</v>
      </c>
      <c r="DH35" s="990" t="str">
        <f t="shared" si="0"/>
        <v>[306]</v>
      </c>
      <c r="DI35" s="990">
        <v>7</v>
      </c>
      <c r="DK35" s="989">
        <v>31</v>
      </c>
      <c r="DL35" s="989">
        <v>3.3000000000000002E-2</v>
      </c>
    </row>
    <row r="36" spans="20:116" ht="27" customHeight="1">
      <c r="T36" s="995" t="s">
        <v>1278</v>
      </c>
      <c r="V36" s="960"/>
      <c r="X36" s="960"/>
      <c r="Z36" s="960"/>
      <c r="AB36" s="960"/>
      <c r="AD36" s="960"/>
      <c r="AF36" s="2"/>
      <c r="AG36" s="2"/>
      <c r="AH36" s="2"/>
      <c r="AI36" s="2"/>
      <c r="AJ36" s="2"/>
      <c r="AK36" s="2"/>
      <c r="AL36" s="2"/>
      <c r="AM36" s="2"/>
      <c r="AN36" s="2"/>
      <c r="AO36" s="2"/>
      <c r="AP36" s="2"/>
      <c r="AU36" s="2168"/>
      <c r="AV36" s="944" t="s">
        <v>1083</v>
      </c>
      <c r="BM36" s="146"/>
      <c r="BO36" s="146"/>
      <c r="BQ36" s="146"/>
      <c r="BS36" s="146"/>
      <c r="BU36" s="146"/>
      <c r="BW36" s="146"/>
      <c r="BY36" s="146"/>
      <c r="CA36" s="146"/>
      <c r="CC36" s="146"/>
      <c r="CE36" s="1019" t="s">
        <v>1150</v>
      </c>
      <c r="CF36" s="954" t="s">
        <v>947</v>
      </c>
      <c r="CV36" s="999" t="s">
        <v>1032</v>
      </c>
      <c r="CW36" s="958" t="s">
        <v>986</v>
      </c>
      <c r="CX36" s="959" t="str">
        <f t="shared" si="1"/>
        <v>[042]</v>
      </c>
      <c r="CY36" s="959">
        <v>15</v>
      </c>
      <c r="DF36" s="950" t="s">
        <v>1279</v>
      </c>
      <c r="DG36" s="1020" t="s">
        <v>1280</v>
      </c>
      <c r="DH36" s="990" t="str">
        <f t="shared" si="0"/>
        <v>[311]</v>
      </c>
      <c r="DI36" s="990">
        <v>7</v>
      </c>
      <c r="DK36" s="989">
        <v>32</v>
      </c>
      <c r="DL36" s="989">
        <v>3.2000000000000001E-2</v>
      </c>
    </row>
    <row r="37" spans="20:116" ht="27" customHeight="1">
      <c r="T37" s="995" t="s">
        <v>1281</v>
      </c>
      <c r="V37" s="960"/>
      <c r="X37" s="960"/>
      <c r="Z37" s="960"/>
      <c r="AB37" s="960"/>
      <c r="AD37" s="960"/>
      <c r="AF37" s="2"/>
      <c r="AG37" s="2"/>
      <c r="AH37" s="2"/>
      <c r="AI37" s="2"/>
      <c r="AJ37" s="2"/>
      <c r="AK37" s="2"/>
      <c r="AL37" s="2"/>
      <c r="AM37" s="2"/>
      <c r="AN37" s="2"/>
      <c r="AO37" s="2"/>
      <c r="AP37" s="2"/>
      <c r="AU37" s="2168"/>
      <c r="AV37" s="944" t="s">
        <v>1107</v>
      </c>
      <c r="BM37" s="146"/>
      <c r="BO37" s="146"/>
      <c r="BQ37" s="146"/>
      <c r="BS37" s="146"/>
      <c r="BY37" s="146"/>
      <c r="CA37" s="146"/>
      <c r="CC37" s="146"/>
      <c r="CE37" s="1019" t="s">
        <v>1151</v>
      </c>
      <c r="CF37" s="954" t="s">
        <v>947</v>
      </c>
      <c r="CV37" s="999" t="s">
        <v>1032</v>
      </c>
      <c r="CW37" s="1012" t="s">
        <v>1014</v>
      </c>
      <c r="CX37" s="959" t="str">
        <f t="shared" si="1"/>
        <v>[043]</v>
      </c>
      <c r="CY37" s="959">
        <v>38</v>
      </c>
      <c r="DF37" s="951" t="s">
        <v>1279</v>
      </c>
      <c r="DG37" s="1020" t="s">
        <v>1282</v>
      </c>
      <c r="DH37" s="990" t="str">
        <f t="shared" si="0"/>
        <v>[312]</v>
      </c>
      <c r="DI37" s="990">
        <v>7</v>
      </c>
      <c r="DK37" s="989">
        <v>33</v>
      </c>
      <c r="DL37" s="989">
        <v>3.1E-2</v>
      </c>
    </row>
    <row r="38" spans="20:116" ht="27" customHeight="1">
      <c r="T38" s="995" t="s">
        <v>1283</v>
      </c>
      <c r="V38" s="960"/>
      <c r="X38" s="960"/>
      <c r="Z38" s="960"/>
      <c r="AB38" s="960"/>
      <c r="AD38" s="960"/>
      <c r="AF38" s="2"/>
      <c r="AG38" s="2"/>
      <c r="AH38" s="2"/>
      <c r="AI38" s="2"/>
      <c r="AJ38" s="2"/>
      <c r="AK38" s="2"/>
      <c r="AL38" s="2"/>
      <c r="AM38" s="2"/>
      <c r="AN38" s="2"/>
      <c r="AO38" s="2"/>
      <c r="AP38" s="2"/>
      <c r="AU38" s="2168"/>
      <c r="AV38" s="995" t="s">
        <v>1345</v>
      </c>
      <c r="BM38" s="146"/>
      <c r="BO38" s="146"/>
      <c r="BQ38" s="146"/>
      <c r="BS38" s="146"/>
      <c r="BY38" s="146"/>
      <c r="CC38" s="146"/>
      <c r="CE38" s="1019" t="s">
        <v>1189</v>
      </c>
      <c r="CF38" s="954" t="s">
        <v>947</v>
      </c>
      <c r="CV38" s="999" t="s">
        <v>1032</v>
      </c>
      <c r="CW38" s="958" t="s">
        <v>1351</v>
      </c>
      <c r="CX38" s="959" t="str">
        <f t="shared" si="1"/>
        <v>[045]</v>
      </c>
      <c r="CY38" s="939">
        <v>17</v>
      </c>
      <c r="DF38" s="952" t="s">
        <v>1279</v>
      </c>
      <c r="DG38" s="1020" t="s">
        <v>947</v>
      </c>
      <c r="DH38" s="990" t="str">
        <f t="shared" si="0"/>
        <v>[316]</v>
      </c>
      <c r="DI38" s="990">
        <v>7</v>
      </c>
      <c r="DK38" s="989">
        <v>34</v>
      </c>
      <c r="DL38" s="989">
        <v>3.0000000000000002E-2</v>
      </c>
    </row>
    <row r="39" spans="20:116" ht="27" customHeight="1">
      <c r="T39" s="995" t="s">
        <v>1284</v>
      </c>
      <c r="V39" s="960"/>
      <c r="X39" s="960"/>
      <c r="Z39" s="960"/>
      <c r="AB39" s="960"/>
      <c r="AD39" s="960"/>
      <c r="AF39" s="2"/>
      <c r="AG39" s="2"/>
      <c r="AH39" s="2"/>
      <c r="AI39" s="2"/>
      <c r="AJ39" s="2"/>
      <c r="AK39" s="2"/>
      <c r="AL39" s="2"/>
      <c r="AM39" s="2"/>
      <c r="AN39" s="2"/>
      <c r="AO39" s="2"/>
      <c r="AP39" s="2"/>
      <c r="AU39" s="2168"/>
      <c r="AV39" s="944" t="s">
        <v>1346</v>
      </c>
      <c r="BM39" s="146"/>
      <c r="BO39" s="146"/>
      <c r="BQ39" s="146"/>
      <c r="BS39" s="146"/>
      <c r="BY39" s="146"/>
      <c r="CE39" s="1019" t="s">
        <v>1171</v>
      </c>
      <c r="CF39" s="954" t="s">
        <v>947</v>
      </c>
      <c r="CV39" s="999" t="s">
        <v>1032</v>
      </c>
      <c r="CW39" s="1012" t="s">
        <v>1033</v>
      </c>
      <c r="CX39" s="959" t="str">
        <f t="shared" si="1"/>
        <v>[044]</v>
      </c>
      <c r="CY39" s="939">
        <v>34</v>
      </c>
      <c r="DF39" s="949" t="s">
        <v>1285</v>
      </c>
      <c r="DG39" s="989" t="s">
        <v>947</v>
      </c>
      <c r="DH39" s="990" t="str">
        <f t="shared" si="0"/>
        <v>[326]</v>
      </c>
      <c r="DI39" s="990">
        <v>7</v>
      </c>
      <c r="DK39" s="989">
        <v>35</v>
      </c>
      <c r="DL39" s="989">
        <v>2.9000000000000001E-2</v>
      </c>
    </row>
    <row r="40" spans="20:116" ht="27" customHeight="1">
      <c r="T40" s="995" t="s">
        <v>1286</v>
      </c>
      <c r="V40" s="960"/>
      <c r="X40" s="960"/>
      <c r="Z40" s="960"/>
      <c r="AB40" s="960"/>
      <c r="AD40" s="960"/>
      <c r="AF40" s="2"/>
      <c r="AG40" s="2"/>
      <c r="AH40" s="2"/>
      <c r="AI40" s="2"/>
      <c r="AJ40" s="2"/>
      <c r="AK40" s="2"/>
      <c r="AL40" s="2"/>
      <c r="AM40" s="2"/>
      <c r="AN40" s="2"/>
      <c r="AO40" s="2"/>
      <c r="AP40" s="2"/>
      <c r="AU40" s="2169"/>
      <c r="AV40" s="946" t="s">
        <v>1347</v>
      </c>
      <c r="BQ40" s="146"/>
      <c r="BS40" s="146"/>
      <c r="BU40" s="146"/>
      <c r="BW40" s="146"/>
      <c r="BY40" s="146"/>
      <c r="CE40" s="1019" t="s">
        <v>1172</v>
      </c>
      <c r="CF40" s="954" t="s">
        <v>947</v>
      </c>
      <c r="CV40" s="999" t="s">
        <v>1032</v>
      </c>
      <c r="CW40" s="1012" t="s">
        <v>1089</v>
      </c>
      <c r="CX40" s="959" t="str">
        <f t="shared" ref="CX40:CX42" si="5">LEFT(CV40,3)&amp;MID(CW40,2,2)</f>
        <v>[046]</v>
      </c>
      <c r="CY40" s="939">
        <v>14</v>
      </c>
      <c r="DF40" s="949" t="s">
        <v>1170</v>
      </c>
      <c r="DG40" s="989" t="s">
        <v>947</v>
      </c>
      <c r="DH40" s="990" t="str">
        <f t="shared" si="0"/>
        <v>[546]</v>
      </c>
      <c r="DI40" s="990">
        <v>4</v>
      </c>
      <c r="DK40" s="989">
        <v>36</v>
      </c>
      <c r="DL40" s="989">
        <v>2.8000000000000001E-2</v>
      </c>
    </row>
    <row r="41" spans="20:116" ht="27" customHeight="1">
      <c r="T41" s="995" t="s">
        <v>1289</v>
      </c>
      <c r="V41" s="960"/>
      <c r="X41" s="960"/>
      <c r="Z41" s="960"/>
      <c r="AB41" s="960"/>
      <c r="AD41" s="960"/>
      <c r="AF41" s="2"/>
      <c r="AG41" s="2"/>
      <c r="AH41" s="2"/>
      <c r="AI41" s="2"/>
      <c r="AJ41" s="2"/>
      <c r="AK41" s="2"/>
      <c r="AL41" s="2"/>
      <c r="AM41" s="2"/>
      <c r="AN41" s="2"/>
      <c r="AO41" s="2"/>
      <c r="AP41" s="2"/>
      <c r="AU41" s="2167" t="s">
        <v>1273</v>
      </c>
      <c r="AV41" s="981" t="s">
        <v>925</v>
      </c>
      <c r="BU41" s="146"/>
      <c r="BW41" s="146"/>
      <c r="CA41" s="146"/>
      <c r="CE41" s="1017" t="s">
        <v>1214</v>
      </c>
      <c r="CF41" s="994" t="s">
        <v>947</v>
      </c>
      <c r="CV41" s="999" t="s">
        <v>1032</v>
      </c>
      <c r="CW41" s="1002" t="s">
        <v>1113</v>
      </c>
      <c r="CX41" s="817" t="str">
        <f t="shared" si="5"/>
        <v>[048]</v>
      </c>
      <c r="CY41" s="939">
        <v>31</v>
      </c>
      <c r="DF41" s="1004" t="s">
        <v>1188</v>
      </c>
      <c r="DG41" s="988" t="s">
        <v>1290</v>
      </c>
      <c r="DH41" s="990" t="str">
        <f t="shared" si="0"/>
        <v>[561]</v>
      </c>
      <c r="DI41" s="990">
        <v>3</v>
      </c>
      <c r="DK41" s="989">
        <v>37</v>
      </c>
      <c r="DL41" s="989">
        <v>2.8000000000000001E-2</v>
      </c>
    </row>
    <row r="42" spans="20:116" ht="27" customHeight="1">
      <c r="T42" s="995" t="s">
        <v>1291</v>
      </c>
      <c r="V42" s="960"/>
      <c r="X42" s="960"/>
      <c r="Z42" s="960"/>
      <c r="AB42" s="960"/>
      <c r="AD42" s="960"/>
      <c r="AF42" s="2"/>
      <c r="AG42" s="2"/>
      <c r="AH42" s="2"/>
      <c r="AI42" s="2"/>
      <c r="AJ42" s="2"/>
      <c r="AK42" s="2"/>
      <c r="AL42" s="2"/>
      <c r="AM42" s="2"/>
      <c r="AN42" s="2"/>
      <c r="AO42" s="2"/>
      <c r="AP42" s="2"/>
      <c r="AU42" s="2168"/>
      <c r="AV42" s="995" t="s">
        <v>971</v>
      </c>
      <c r="BU42" s="146"/>
      <c r="BW42" s="146"/>
      <c r="CA42" s="146"/>
      <c r="CC42" s="146"/>
      <c r="CE42" s="1019" t="s">
        <v>1190</v>
      </c>
      <c r="CF42" s="954" t="s">
        <v>947</v>
      </c>
      <c r="CV42" s="999" t="s">
        <v>1032</v>
      </c>
      <c r="CW42" s="1006" t="s">
        <v>1348</v>
      </c>
      <c r="CX42" s="1007" t="str">
        <f t="shared" si="5"/>
        <v>[049]</v>
      </c>
      <c r="CY42" s="1008">
        <v>17</v>
      </c>
      <c r="DF42" s="1004" t="s">
        <v>1188</v>
      </c>
      <c r="DG42" s="988" t="s">
        <v>1292</v>
      </c>
      <c r="DH42" s="990" t="str">
        <f t="shared" si="0"/>
        <v>[562]</v>
      </c>
      <c r="DI42" s="990">
        <v>4</v>
      </c>
      <c r="DK42" s="989">
        <v>38</v>
      </c>
      <c r="DL42" s="989">
        <v>2.7E-2</v>
      </c>
    </row>
    <row r="43" spans="20:116" ht="27" customHeight="1">
      <c r="T43" s="995" t="s">
        <v>1293</v>
      </c>
      <c r="V43" s="960"/>
      <c r="X43" s="960"/>
      <c r="Z43" s="960"/>
      <c r="AB43" s="960"/>
      <c r="AD43" s="960"/>
      <c r="AF43" s="2"/>
      <c r="AG43" s="2"/>
      <c r="AH43" s="2"/>
      <c r="AI43" s="2"/>
      <c r="AJ43" s="2"/>
      <c r="AK43" s="2"/>
      <c r="AL43" s="2"/>
      <c r="AM43" s="2"/>
      <c r="AN43" s="2"/>
      <c r="AO43" s="2"/>
      <c r="AP43" s="2"/>
      <c r="AU43" s="2168"/>
      <c r="AV43" s="995" t="s">
        <v>1006</v>
      </c>
      <c r="BA43" s="146"/>
      <c r="BM43" s="146"/>
      <c r="BO43" s="146"/>
      <c r="BP43" s="146"/>
      <c r="BR43" s="146"/>
      <c r="BT43" s="146"/>
      <c r="BU43" s="146"/>
      <c r="BV43" s="146"/>
      <c r="BW43" s="146"/>
      <c r="BX43" s="146"/>
      <c r="BZ43" s="146"/>
      <c r="CA43" s="146"/>
      <c r="CB43" s="146"/>
      <c r="CC43" s="146"/>
      <c r="CE43" s="953" t="s">
        <v>1294</v>
      </c>
      <c r="CF43" s="954" t="s">
        <v>947</v>
      </c>
      <c r="CG43" s="146"/>
      <c r="CH43" s="146"/>
      <c r="CJ43" s="146"/>
      <c r="CK43" s="146"/>
      <c r="CL43" s="146"/>
      <c r="CN43" s="146"/>
      <c r="CO43" s="146"/>
      <c r="CP43" s="146"/>
      <c r="CQ43" s="146"/>
      <c r="CR43" s="146"/>
      <c r="CV43" s="999" t="s">
        <v>1032</v>
      </c>
      <c r="CW43" s="1006" t="s">
        <v>1349</v>
      </c>
      <c r="CX43" s="1007" t="str">
        <f>LEFT(CV43,3)&amp;MID(CW43,2,3)</f>
        <v>[0410]</v>
      </c>
      <c r="CY43" s="1008">
        <v>24</v>
      </c>
      <c r="DF43" s="1004" t="s">
        <v>1188</v>
      </c>
      <c r="DG43" s="988" t="s">
        <v>1296</v>
      </c>
      <c r="DH43" s="990" t="str">
        <f t="shared" si="0"/>
        <v>[563]</v>
      </c>
      <c r="DI43" s="990">
        <v>5</v>
      </c>
      <c r="DK43" s="989">
        <v>39</v>
      </c>
      <c r="DL43" s="989">
        <v>2.6000000000000002E-2</v>
      </c>
    </row>
    <row r="44" spans="20:116" ht="27" customHeight="1">
      <c r="T44" s="995" t="s">
        <v>1297</v>
      </c>
      <c r="V44" s="960"/>
      <c r="X44" s="960"/>
      <c r="Z44" s="960"/>
      <c r="AB44" s="960"/>
      <c r="AD44" s="960"/>
      <c r="AF44" s="2"/>
      <c r="AG44" s="2"/>
      <c r="AH44" s="2"/>
      <c r="AI44" s="2"/>
      <c r="AJ44" s="2"/>
      <c r="AK44" s="2"/>
      <c r="AL44" s="2"/>
      <c r="AM44" s="2"/>
      <c r="AN44" s="2"/>
      <c r="AO44" s="2"/>
      <c r="AP44" s="2"/>
      <c r="AU44" s="2168"/>
      <c r="AV44" s="995" t="s">
        <v>1033</v>
      </c>
      <c r="BA44" s="146"/>
      <c r="BM44" s="146"/>
      <c r="BO44" s="146"/>
      <c r="BP44" s="146"/>
      <c r="BQ44" s="146"/>
      <c r="BR44" s="146"/>
      <c r="BS44" s="146"/>
      <c r="BT44" s="146"/>
      <c r="BU44" s="146"/>
      <c r="BV44" s="146"/>
      <c r="BW44" s="146"/>
      <c r="BX44" s="146"/>
      <c r="BY44" s="146"/>
      <c r="BZ44" s="146"/>
      <c r="CA44" s="146"/>
      <c r="CB44" s="146"/>
      <c r="CC44" s="146"/>
      <c r="CE44" s="1017" t="s">
        <v>1229</v>
      </c>
      <c r="CF44" s="994" t="s">
        <v>947</v>
      </c>
      <c r="CG44" s="146"/>
      <c r="CH44" s="146"/>
      <c r="CJ44" s="146"/>
      <c r="CK44" s="146"/>
      <c r="CL44" s="146"/>
      <c r="CN44" s="146"/>
      <c r="CO44" s="146"/>
      <c r="CP44" s="146"/>
      <c r="CQ44" s="146"/>
      <c r="CR44" s="146"/>
      <c r="CV44" s="999" t="s">
        <v>1032</v>
      </c>
      <c r="CW44" s="1006" t="s">
        <v>1350</v>
      </c>
      <c r="CX44" s="1007" t="str">
        <f>LEFT(CV44,3)&amp;MID(CW44,2,3)</f>
        <v>[0411]</v>
      </c>
      <c r="CY44" s="1008">
        <v>31</v>
      </c>
      <c r="DF44" s="1004" t="s">
        <v>1188</v>
      </c>
      <c r="DG44" s="988" t="s">
        <v>1298</v>
      </c>
      <c r="DH44" s="990" t="str">
        <f t="shared" si="0"/>
        <v>[564]</v>
      </c>
      <c r="DI44" s="990">
        <v>6</v>
      </c>
      <c r="DK44" s="989">
        <v>40</v>
      </c>
      <c r="DL44" s="989">
        <v>2.5000000000000001E-2</v>
      </c>
    </row>
    <row r="45" spans="20:116" ht="27" customHeight="1">
      <c r="T45" s="995" t="s">
        <v>1299</v>
      </c>
      <c r="V45" s="960"/>
      <c r="X45" s="960"/>
      <c r="Z45" s="960"/>
      <c r="AB45" s="960"/>
      <c r="AD45" s="960"/>
      <c r="AF45" s="2"/>
      <c r="AG45" s="2"/>
      <c r="AH45" s="2"/>
      <c r="AI45" s="2"/>
      <c r="AJ45" s="2"/>
      <c r="AK45" s="2"/>
      <c r="AL45" s="2"/>
      <c r="AM45" s="2"/>
      <c r="AN45" s="2"/>
      <c r="AO45" s="2"/>
      <c r="AP45" s="2"/>
      <c r="AU45" s="2168"/>
      <c r="AV45" s="944" t="s">
        <v>1083</v>
      </c>
      <c r="BA45" s="146"/>
      <c r="BM45" s="146"/>
      <c r="BO45" s="146"/>
      <c r="BP45" s="146"/>
      <c r="BQ45" s="146"/>
      <c r="BR45" s="146"/>
      <c r="BS45" s="146"/>
      <c r="BT45" s="146"/>
      <c r="BU45" s="146"/>
      <c r="BV45" s="146"/>
      <c r="BW45" s="146"/>
      <c r="BX45" s="146"/>
      <c r="BY45" s="146"/>
      <c r="BZ45" s="146"/>
      <c r="CA45" s="146"/>
      <c r="CB45" s="146"/>
      <c r="CC45" s="146"/>
      <c r="CE45" s="1019" t="s">
        <v>1170</v>
      </c>
      <c r="CF45" s="954" t="s">
        <v>947</v>
      </c>
      <c r="CG45" s="146"/>
      <c r="CH45" s="146"/>
      <c r="CJ45" s="146"/>
      <c r="CK45" s="146"/>
      <c r="CL45" s="146"/>
      <c r="CN45" s="146"/>
      <c r="CO45" s="146"/>
      <c r="CP45" s="146"/>
      <c r="CQ45" s="146"/>
      <c r="CR45" s="146"/>
      <c r="CV45" s="987" t="s">
        <v>1274</v>
      </c>
      <c r="CW45" s="958" t="s">
        <v>944</v>
      </c>
      <c r="CX45" s="959" t="str">
        <f t="shared" si="1"/>
        <v>[081]</v>
      </c>
      <c r="CY45" s="959">
        <v>17</v>
      </c>
      <c r="DF45" s="1005" t="s">
        <v>1188</v>
      </c>
      <c r="DG45" s="988" t="s">
        <v>1300</v>
      </c>
      <c r="DH45" s="990" t="str">
        <f t="shared" si="0"/>
        <v>[565]</v>
      </c>
      <c r="DI45" s="990">
        <v>7</v>
      </c>
      <c r="DK45" s="989">
        <v>41</v>
      </c>
      <c r="DL45" s="989">
        <v>2.5000000000000001E-2</v>
      </c>
    </row>
    <row r="46" spans="20:116" ht="27" customHeight="1">
      <c r="T46" s="995" t="s">
        <v>1301</v>
      </c>
      <c r="V46" s="960"/>
      <c r="X46" s="960"/>
      <c r="Z46" s="960"/>
      <c r="AB46" s="960"/>
      <c r="AD46" s="960"/>
      <c r="AF46" s="2"/>
      <c r="AG46" s="2"/>
      <c r="AH46" s="2"/>
      <c r="AI46" s="2"/>
      <c r="AJ46" s="2"/>
      <c r="AK46" s="2"/>
      <c r="AL46" s="2"/>
      <c r="AM46" s="2"/>
      <c r="AN46" s="2"/>
      <c r="AO46" s="2"/>
      <c r="AP46" s="2"/>
      <c r="AU46" s="2168"/>
      <c r="AV46" s="944" t="s">
        <v>1107</v>
      </c>
      <c r="BA46" s="146"/>
      <c r="BM46" s="146"/>
      <c r="BO46" s="146"/>
      <c r="BP46" s="146"/>
      <c r="BQ46" s="146"/>
      <c r="BR46" s="146"/>
      <c r="BS46" s="146"/>
      <c r="BT46" s="146"/>
      <c r="BU46" s="146"/>
      <c r="BV46" s="146"/>
      <c r="BW46" s="146"/>
      <c r="BX46" s="146"/>
      <c r="BY46" s="146"/>
      <c r="BZ46" s="146"/>
      <c r="CA46" s="146"/>
      <c r="CB46" s="146"/>
      <c r="CC46" s="146"/>
      <c r="CE46" s="955" t="s">
        <v>1302</v>
      </c>
      <c r="CF46" s="994" t="s">
        <v>947</v>
      </c>
      <c r="CG46" s="146"/>
      <c r="CH46" s="146"/>
      <c r="CJ46" s="146"/>
      <c r="CK46" s="146"/>
      <c r="CL46" s="146"/>
      <c r="CN46" s="146"/>
      <c r="CO46" s="146"/>
      <c r="CP46" s="146"/>
      <c r="CQ46" s="146"/>
      <c r="CR46" s="146"/>
      <c r="CV46" s="999" t="s">
        <v>1274</v>
      </c>
      <c r="CW46" s="958" t="s">
        <v>986</v>
      </c>
      <c r="CX46" s="959" t="str">
        <f t="shared" si="1"/>
        <v>[082]</v>
      </c>
      <c r="CY46" s="959">
        <v>17</v>
      </c>
      <c r="DF46" s="988" t="s">
        <v>1206</v>
      </c>
      <c r="DG46" s="989" t="s">
        <v>947</v>
      </c>
      <c r="DH46" s="990" t="str">
        <f t="shared" si="0"/>
        <v>[576]</v>
      </c>
      <c r="DI46" s="990">
        <v>4</v>
      </c>
      <c r="DK46" s="989">
        <v>42</v>
      </c>
      <c r="DL46" s="989">
        <v>2.4E-2</v>
      </c>
    </row>
    <row r="47" spans="20:116" ht="27" customHeight="1">
      <c r="T47" s="1021" t="s">
        <v>1303</v>
      </c>
      <c r="V47" s="1022"/>
      <c r="X47" s="1022"/>
      <c r="Z47" s="1022"/>
      <c r="AB47" s="1022"/>
      <c r="AD47" s="1022"/>
      <c r="AF47" s="2"/>
      <c r="AG47" s="2"/>
      <c r="AH47" s="2"/>
      <c r="AI47" s="2"/>
      <c r="AJ47" s="2"/>
      <c r="AK47" s="2"/>
      <c r="AL47" s="2"/>
      <c r="AM47" s="2"/>
      <c r="AN47" s="2"/>
      <c r="AO47" s="2"/>
      <c r="AP47" s="2"/>
      <c r="AU47" s="2168"/>
      <c r="AV47" s="995" t="s">
        <v>1345</v>
      </c>
      <c r="BA47" s="146"/>
      <c r="BM47" s="146"/>
      <c r="BO47" s="146"/>
      <c r="BP47" s="146"/>
      <c r="BQ47" s="146"/>
      <c r="BR47" s="146"/>
      <c r="BS47" s="146"/>
      <c r="BT47" s="146"/>
      <c r="BU47" s="146"/>
      <c r="BV47" s="146"/>
      <c r="BW47" s="146"/>
      <c r="BX47" s="146"/>
      <c r="BY47" s="146"/>
      <c r="BZ47" s="146"/>
      <c r="CA47" s="146"/>
      <c r="CB47" s="146"/>
      <c r="CC47" s="146"/>
      <c r="CE47" s="955" t="s">
        <v>1243</v>
      </c>
      <c r="CF47" s="994" t="s">
        <v>947</v>
      </c>
      <c r="CG47" s="146"/>
      <c r="CH47" s="146"/>
      <c r="CJ47" s="146"/>
      <c r="CK47" s="146"/>
      <c r="CL47" s="146"/>
      <c r="CN47" s="146"/>
      <c r="CO47" s="146"/>
      <c r="CP47" s="146"/>
      <c r="CQ47" s="146"/>
      <c r="CR47" s="146"/>
      <c r="CV47" s="999" t="s">
        <v>1274</v>
      </c>
      <c r="CW47" s="1012" t="s">
        <v>1014</v>
      </c>
      <c r="CX47" s="959" t="str">
        <f t="shared" si="1"/>
        <v>[083]</v>
      </c>
      <c r="CY47" s="959">
        <v>38</v>
      </c>
      <c r="DF47" s="988" t="s">
        <v>1215</v>
      </c>
      <c r="DG47" s="989" t="s">
        <v>947</v>
      </c>
      <c r="DH47" s="990" t="str">
        <f t="shared" si="0"/>
        <v>[586]</v>
      </c>
      <c r="DI47" s="990">
        <v>5</v>
      </c>
      <c r="DK47" s="989">
        <v>43</v>
      </c>
      <c r="DL47" s="989">
        <v>2.4E-2</v>
      </c>
    </row>
    <row r="48" spans="20:116" ht="27" customHeight="1">
      <c r="T48" s="995" t="s">
        <v>1305</v>
      </c>
      <c r="V48" s="960"/>
      <c r="X48" s="960"/>
      <c r="Z48" s="960"/>
      <c r="AB48" s="960"/>
      <c r="AD48" s="960"/>
      <c r="AF48" s="2"/>
      <c r="AG48" s="2"/>
      <c r="AH48" s="2"/>
      <c r="AI48" s="2"/>
      <c r="AJ48" s="2"/>
      <c r="AK48" s="2"/>
      <c r="AL48" s="2"/>
      <c r="AM48" s="2"/>
      <c r="AN48" s="2"/>
      <c r="AO48" s="2"/>
      <c r="AP48" s="2"/>
      <c r="AU48" s="2168"/>
      <c r="AV48" s="944" t="s">
        <v>1346</v>
      </c>
      <c r="BA48" s="146"/>
      <c r="BM48" s="146"/>
      <c r="BO48" s="146"/>
      <c r="BP48" s="146"/>
      <c r="BQ48" s="146"/>
      <c r="BR48" s="146"/>
      <c r="BS48" s="146"/>
      <c r="BT48" s="146"/>
      <c r="BU48" s="146"/>
      <c r="BV48" s="146"/>
      <c r="BW48" s="146"/>
      <c r="BX48" s="146"/>
      <c r="BY48" s="146"/>
      <c r="BZ48" s="146"/>
      <c r="CA48" s="146"/>
      <c r="CB48" s="146"/>
      <c r="CC48" s="146"/>
      <c r="CE48" s="146"/>
      <c r="CF48" s="146"/>
      <c r="CG48" s="146"/>
      <c r="CH48" s="146"/>
      <c r="CJ48" s="146"/>
      <c r="CK48" s="146"/>
      <c r="CL48" s="146"/>
      <c r="CN48" s="146"/>
      <c r="CO48" s="146"/>
      <c r="CP48" s="146"/>
      <c r="CQ48" s="146"/>
      <c r="CR48" s="146"/>
      <c r="CV48" s="999" t="s">
        <v>1274</v>
      </c>
      <c r="CW48" s="1012" t="s">
        <v>1033</v>
      </c>
      <c r="CX48" s="959" t="str">
        <f t="shared" si="1"/>
        <v>[084]</v>
      </c>
      <c r="CY48" s="939">
        <v>34</v>
      </c>
      <c r="DF48" s="2180" t="s">
        <v>1306</v>
      </c>
      <c r="DG48" s="2180"/>
      <c r="DH48" s="2180"/>
      <c r="DI48" s="2180"/>
      <c r="DK48" s="989">
        <v>44</v>
      </c>
      <c r="DL48" s="989">
        <v>2.3E-2</v>
      </c>
    </row>
    <row r="49" spans="20:116" ht="27" customHeight="1">
      <c r="T49" s="995" t="s">
        <v>1307</v>
      </c>
      <c r="V49" s="960"/>
      <c r="X49" s="960"/>
      <c r="Z49" s="960"/>
      <c r="AB49" s="960"/>
      <c r="AD49" s="960"/>
      <c r="AF49" s="2"/>
      <c r="AG49" s="2"/>
      <c r="AH49" s="2"/>
      <c r="AI49" s="2"/>
      <c r="AJ49" s="2"/>
      <c r="AK49" s="2"/>
      <c r="AL49" s="2"/>
      <c r="AM49" s="2"/>
      <c r="AN49" s="2"/>
      <c r="AO49" s="2"/>
      <c r="AP49" s="2"/>
      <c r="AU49" s="2169"/>
      <c r="AV49" s="946" t="s">
        <v>1347</v>
      </c>
      <c r="BA49" s="146"/>
      <c r="BM49" s="146"/>
      <c r="BO49" s="146"/>
      <c r="BP49" s="146"/>
      <c r="BQ49" s="146"/>
      <c r="BR49" s="146"/>
      <c r="BS49" s="146"/>
      <c r="BT49" s="146"/>
      <c r="BU49" s="146"/>
      <c r="BV49" s="146"/>
      <c r="BW49" s="146"/>
      <c r="BX49" s="146"/>
      <c r="BY49" s="146"/>
      <c r="BZ49" s="146"/>
      <c r="CA49" s="146"/>
      <c r="CB49" s="146"/>
      <c r="CC49" s="146"/>
      <c r="CE49" s="146"/>
      <c r="CF49" s="146"/>
      <c r="CG49" s="146"/>
      <c r="CH49" s="146"/>
      <c r="CJ49" s="146"/>
      <c r="CK49" s="146"/>
      <c r="CL49" s="146"/>
      <c r="CN49" s="146"/>
      <c r="CO49" s="146"/>
      <c r="CP49" s="146"/>
      <c r="CQ49" s="146"/>
      <c r="CR49" s="146"/>
      <c r="CV49" s="999" t="s">
        <v>1274</v>
      </c>
      <c r="CW49" s="958" t="s">
        <v>1351</v>
      </c>
      <c r="CX49" s="959" t="str">
        <f t="shared" si="1"/>
        <v>[085]</v>
      </c>
      <c r="CY49" s="939">
        <v>19</v>
      </c>
      <c r="DF49" s="2181"/>
      <c r="DG49" s="2181"/>
      <c r="DH49" s="2181"/>
      <c r="DI49" s="2181"/>
      <c r="DK49" s="989">
        <v>45</v>
      </c>
      <c r="DL49" s="989">
        <v>2.3E-2</v>
      </c>
    </row>
    <row r="50" spans="20:116" ht="27" customHeight="1">
      <c r="T50" s="995" t="s">
        <v>1079</v>
      </c>
      <c r="V50" s="960"/>
      <c r="X50" s="960"/>
      <c r="Z50" s="960"/>
      <c r="AB50" s="960"/>
      <c r="AD50" s="960"/>
      <c r="AF50" s="2"/>
      <c r="AG50" s="2"/>
      <c r="AH50" s="2"/>
      <c r="AI50" s="2"/>
      <c r="AJ50" s="2"/>
      <c r="AK50" s="2"/>
      <c r="AL50" s="2"/>
      <c r="AM50" s="2"/>
      <c r="AN50" s="2"/>
      <c r="AO50" s="2"/>
      <c r="AP50" s="2"/>
      <c r="AU50" s="2164" t="s">
        <v>1287</v>
      </c>
      <c r="AV50" s="981" t="s">
        <v>925</v>
      </c>
      <c r="BA50" s="146"/>
      <c r="BM50" s="146"/>
      <c r="BO50" s="146"/>
      <c r="BP50" s="146"/>
      <c r="BQ50" s="146"/>
      <c r="BR50" s="146"/>
      <c r="BS50" s="146"/>
      <c r="BT50" s="146"/>
      <c r="BU50" s="146"/>
      <c r="BV50" s="146"/>
      <c r="BW50" s="146"/>
      <c r="BX50" s="146"/>
      <c r="BY50" s="146"/>
      <c r="BZ50" s="146"/>
      <c r="CA50" s="146"/>
      <c r="CB50" s="146"/>
      <c r="CC50" s="146"/>
      <c r="CG50" s="146"/>
      <c r="CH50" s="146"/>
      <c r="CJ50" s="146"/>
      <c r="CK50" s="146"/>
      <c r="CL50" s="146"/>
      <c r="CN50" s="146"/>
      <c r="CO50" s="146"/>
      <c r="CP50" s="146"/>
      <c r="CQ50" s="146"/>
      <c r="CR50" s="146"/>
      <c r="CV50" s="999" t="s">
        <v>1274</v>
      </c>
      <c r="CW50" s="1012" t="s">
        <v>1089</v>
      </c>
      <c r="CX50" s="959" t="str">
        <f t="shared" ref="CX50:CX52" si="6">LEFT(CV50,3)&amp;MID(CW50,2,2)</f>
        <v>[086]</v>
      </c>
      <c r="CY50" s="939">
        <v>15</v>
      </c>
      <c r="DK50" s="989">
        <v>46</v>
      </c>
      <c r="DL50" s="989">
        <v>2.2000000000000002E-2</v>
      </c>
    </row>
    <row r="51" spans="20:116" ht="27" customHeight="1">
      <c r="T51" s="995" t="s">
        <v>1103</v>
      </c>
      <c r="V51" s="960"/>
      <c r="X51" s="960"/>
      <c r="Z51" s="960"/>
      <c r="AB51" s="960"/>
      <c r="AD51" s="960"/>
      <c r="AF51" s="2"/>
      <c r="AG51" s="2"/>
      <c r="AH51" s="2"/>
      <c r="AI51" s="2"/>
      <c r="AJ51" s="2"/>
      <c r="AK51" s="2"/>
      <c r="AL51" s="2"/>
      <c r="AM51" s="2"/>
      <c r="AN51" s="2"/>
      <c r="AO51" s="2"/>
      <c r="AP51" s="2"/>
      <c r="AU51" s="2165"/>
      <c r="AV51" s="995" t="s">
        <v>971</v>
      </c>
      <c r="BA51" s="146"/>
      <c r="BM51" s="146"/>
      <c r="BO51" s="146"/>
      <c r="BP51" s="146"/>
      <c r="BQ51" s="146"/>
      <c r="BR51" s="146"/>
      <c r="BS51" s="146"/>
      <c r="BT51" s="146"/>
      <c r="BU51" s="146"/>
      <c r="BV51" s="146"/>
      <c r="BW51" s="146"/>
      <c r="BX51" s="146"/>
      <c r="BY51" s="146"/>
      <c r="BZ51" s="146"/>
      <c r="CA51" s="146"/>
      <c r="CB51" s="146"/>
      <c r="CC51" s="146"/>
      <c r="CG51" s="146"/>
      <c r="CH51" s="146"/>
      <c r="CJ51" s="146"/>
      <c r="CK51" s="146"/>
      <c r="CL51" s="146"/>
      <c r="CN51" s="146"/>
      <c r="CO51" s="146"/>
      <c r="CP51" s="146"/>
      <c r="CQ51" s="146"/>
      <c r="CR51" s="146"/>
      <c r="CV51" s="999" t="s">
        <v>1274</v>
      </c>
      <c r="CW51" s="1002" t="s">
        <v>1113</v>
      </c>
      <c r="CX51" s="817" t="str">
        <f t="shared" si="6"/>
        <v>[088]</v>
      </c>
      <c r="CY51" s="939">
        <v>31</v>
      </c>
      <c r="DK51" s="989">
        <v>47</v>
      </c>
      <c r="DL51" s="989">
        <v>2.2000000000000002E-2</v>
      </c>
    </row>
    <row r="52" spans="20:116" ht="27" customHeight="1">
      <c r="T52" s="995" t="s">
        <v>1125</v>
      </c>
      <c r="V52" s="960"/>
      <c r="X52" s="960"/>
      <c r="Z52" s="960"/>
      <c r="AB52" s="960"/>
      <c r="AD52" s="960"/>
      <c r="AF52" s="2"/>
      <c r="AG52" s="2"/>
      <c r="AH52" s="2"/>
      <c r="AI52" s="2"/>
      <c r="AJ52" s="2"/>
      <c r="AK52" s="2"/>
      <c r="AL52" s="2"/>
      <c r="AM52" s="2"/>
      <c r="AN52" s="2"/>
      <c r="AO52" s="2"/>
      <c r="AP52" s="2"/>
      <c r="AU52" s="2165"/>
      <c r="AV52" s="995" t="s">
        <v>1006</v>
      </c>
      <c r="BA52" s="146"/>
      <c r="BM52" s="146"/>
      <c r="BO52" s="146"/>
      <c r="BP52" s="146"/>
      <c r="BQ52" s="146"/>
      <c r="BR52" s="146"/>
      <c r="BS52" s="146"/>
      <c r="BT52" s="146"/>
      <c r="BU52" s="146"/>
      <c r="BV52" s="146"/>
      <c r="BW52" s="146"/>
      <c r="BX52" s="146"/>
      <c r="BY52" s="146"/>
      <c r="BZ52" s="146"/>
      <c r="CA52" s="146"/>
      <c r="CB52" s="146"/>
      <c r="CC52" s="146"/>
      <c r="CG52" s="146"/>
      <c r="CH52" s="146"/>
      <c r="CJ52" s="146"/>
      <c r="CK52" s="146"/>
      <c r="CL52" s="146"/>
      <c r="CN52" s="146"/>
      <c r="CO52" s="146"/>
      <c r="CP52" s="146"/>
      <c r="CQ52" s="146"/>
      <c r="CR52" s="146"/>
      <c r="CV52" s="999" t="s">
        <v>1274</v>
      </c>
      <c r="CW52" s="1006" t="s">
        <v>1348</v>
      </c>
      <c r="CX52" s="1007" t="str">
        <f t="shared" si="6"/>
        <v>[089]</v>
      </c>
      <c r="CY52" s="1008">
        <v>19</v>
      </c>
      <c r="DK52" s="989">
        <v>48</v>
      </c>
      <c r="DL52" s="989">
        <v>2.1000000000000001E-2</v>
      </c>
    </row>
    <row r="53" spans="20:116" ht="27" customHeight="1">
      <c r="T53" s="995" t="s">
        <v>1143</v>
      </c>
      <c r="V53" s="960"/>
      <c r="X53" s="960"/>
      <c r="Z53" s="960"/>
      <c r="AB53" s="960"/>
      <c r="AD53" s="960"/>
      <c r="AF53" s="2"/>
      <c r="AG53" s="2"/>
      <c r="AH53" s="2"/>
      <c r="AI53" s="2"/>
      <c r="AJ53" s="2"/>
      <c r="AK53" s="2"/>
      <c r="AL53" s="2"/>
      <c r="AM53" s="2"/>
      <c r="AN53" s="2"/>
      <c r="AO53" s="2"/>
      <c r="AP53" s="2"/>
      <c r="AU53" s="2165"/>
      <c r="AV53" s="995" t="s">
        <v>1033</v>
      </c>
      <c r="BA53" s="146"/>
      <c r="BM53" s="146"/>
      <c r="BO53" s="146"/>
      <c r="BP53" s="146"/>
      <c r="BQ53" s="146"/>
      <c r="BR53" s="146"/>
      <c r="BS53" s="146"/>
      <c r="BT53" s="146"/>
      <c r="BU53" s="146"/>
      <c r="BV53" s="146"/>
      <c r="BW53" s="146"/>
      <c r="BX53" s="146"/>
      <c r="BY53" s="146"/>
      <c r="BZ53" s="146"/>
      <c r="CA53" s="146"/>
      <c r="CB53" s="146"/>
      <c r="CC53" s="146"/>
      <c r="CG53" s="146"/>
      <c r="CH53" s="146"/>
      <c r="CJ53" s="146"/>
      <c r="CK53" s="146"/>
      <c r="CL53" s="146"/>
      <c r="CN53" s="146"/>
      <c r="CO53" s="146"/>
      <c r="CP53" s="146"/>
      <c r="CQ53" s="146"/>
      <c r="CR53" s="146"/>
      <c r="CV53" s="999" t="s">
        <v>1274</v>
      </c>
      <c r="CW53" s="1006" t="s">
        <v>1349</v>
      </c>
      <c r="CX53" s="1007" t="str">
        <f>LEFT(CV53,3)&amp;MID(CW53,2,3)</f>
        <v>[0810]</v>
      </c>
      <c r="CY53" s="1008">
        <v>25</v>
      </c>
      <c r="DK53" s="989">
        <v>49</v>
      </c>
      <c r="DL53" s="989">
        <v>2.1000000000000001E-2</v>
      </c>
    </row>
    <row r="54" spans="20:116" ht="27" customHeight="1">
      <c r="T54" s="995" t="s">
        <v>1164</v>
      </c>
      <c r="V54" s="960"/>
      <c r="X54" s="960"/>
      <c r="Z54" s="960"/>
      <c r="AB54" s="960"/>
      <c r="AD54" s="960"/>
      <c r="AF54" s="2"/>
      <c r="AG54" s="2"/>
      <c r="AH54" s="2"/>
      <c r="AI54" s="2"/>
      <c r="AJ54" s="2"/>
      <c r="AK54" s="2"/>
      <c r="AL54" s="2"/>
      <c r="AM54" s="2"/>
      <c r="AN54" s="2"/>
      <c r="AO54" s="2"/>
      <c r="AP54" s="2"/>
      <c r="AU54" s="2165"/>
      <c r="AV54" s="944" t="s">
        <v>1083</v>
      </c>
      <c r="BA54" s="146"/>
      <c r="BM54" s="146"/>
      <c r="BO54" s="146"/>
      <c r="BP54" s="146"/>
      <c r="BQ54" s="146"/>
      <c r="BR54" s="146"/>
      <c r="BS54" s="146"/>
      <c r="BT54" s="146"/>
      <c r="BU54" s="146"/>
      <c r="BV54" s="146"/>
      <c r="BW54" s="146"/>
      <c r="BX54" s="146"/>
      <c r="BY54" s="146"/>
      <c r="BZ54" s="146"/>
      <c r="CA54" s="146"/>
      <c r="CB54" s="146"/>
      <c r="CC54" s="146"/>
      <c r="CG54" s="146"/>
      <c r="CH54" s="146"/>
      <c r="CJ54" s="146"/>
      <c r="CK54" s="146"/>
      <c r="CL54" s="146"/>
      <c r="CN54" s="146"/>
      <c r="CO54" s="146"/>
      <c r="CP54" s="146"/>
      <c r="CQ54" s="146"/>
      <c r="CR54" s="146"/>
      <c r="CV54" s="999" t="s">
        <v>1274</v>
      </c>
      <c r="CW54" s="1006" t="s">
        <v>1350</v>
      </c>
      <c r="CX54" s="1007" t="str">
        <f>LEFT(CV54,3)&amp;MID(CW54,2,3)</f>
        <v>[0811]</v>
      </c>
      <c r="CY54" s="1008">
        <v>31</v>
      </c>
      <c r="DK54" s="989">
        <v>50</v>
      </c>
      <c r="DL54" s="989">
        <v>0.02</v>
      </c>
    </row>
    <row r="55" spans="20:116" ht="27" customHeight="1">
      <c r="T55" s="995" t="s">
        <v>1311</v>
      </c>
      <c r="V55" s="960"/>
      <c r="X55" s="960"/>
      <c r="Z55" s="960"/>
      <c r="AB55" s="960"/>
      <c r="AD55" s="960"/>
      <c r="AF55" s="2"/>
      <c r="AG55" s="2"/>
      <c r="AH55" s="2"/>
      <c r="AI55" s="2"/>
      <c r="AJ55" s="2"/>
      <c r="AK55" s="2"/>
      <c r="AL55" s="2"/>
      <c r="AM55" s="2"/>
      <c r="AN55" s="2"/>
      <c r="AO55" s="2"/>
      <c r="AP55" s="2"/>
      <c r="AU55" s="2165"/>
      <c r="AV55" s="944" t="s">
        <v>1107</v>
      </c>
      <c r="BA55" s="146"/>
      <c r="BM55" s="146"/>
      <c r="BO55" s="146"/>
      <c r="BP55" s="146"/>
      <c r="BQ55" s="146"/>
      <c r="BR55" s="146"/>
      <c r="BS55" s="146"/>
      <c r="BT55" s="146"/>
      <c r="BU55" s="146"/>
      <c r="BV55" s="146"/>
      <c r="BW55" s="146"/>
      <c r="BX55" s="146"/>
      <c r="BY55" s="146"/>
      <c r="BZ55" s="146"/>
      <c r="CA55" s="146"/>
      <c r="CB55" s="146"/>
      <c r="CC55" s="146"/>
      <c r="CG55" s="146"/>
      <c r="CH55" s="146"/>
      <c r="CJ55" s="146"/>
      <c r="CK55" s="146"/>
      <c r="CL55" s="146"/>
      <c r="CN55" s="146"/>
      <c r="CO55" s="146"/>
      <c r="CP55" s="146"/>
      <c r="CQ55" s="146"/>
      <c r="CR55" s="146"/>
      <c r="CV55" s="987" t="s">
        <v>1288</v>
      </c>
      <c r="CW55" s="958" t="s">
        <v>944</v>
      </c>
      <c r="CX55" s="959" t="str">
        <f t="shared" si="1"/>
        <v>[111]</v>
      </c>
      <c r="CY55" s="959">
        <v>15</v>
      </c>
    </row>
    <row r="56" spans="20:116" ht="27" customHeight="1">
      <c r="T56" s="995" t="s">
        <v>1312</v>
      </c>
      <c r="V56" s="960"/>
      <c r="X56" s="960"/>
      <c r="Z56" s="960"/>
      <c r="AB56" s="960"/>
      <c r="AD56" s="960"/>
      <c r="AF56" s="2"/>
      <c r="AG56" s="2"/>
      <c r="AH56" s="2"/>
      <c r="AI56" s="2"/>
      <c r="AJ56" s="2"/>
      <c r="AK56" s="2"/>
      <c r="AL56" s="2"/>
      <c r="AM56" s="2"/>
      <c r="AN56" s="2"/>
      <c r="AO56" s="2"/>
      <c r="AP56" s="2"/>
      <c r="AU56" s="2165"/>
      <c r="AV56" s="995" t="s">
        <v>1345</v>
      </c>
      <c r="BA56" s="146"/>
      <c r="BM56" s="146"/>
      <c r="BO56" s="146"/>
      <c r="BP56" s="146"/>
      <c r="BQ56" s="146"/>
      <c r="BR56" s="146"/>
      <c r="BS56" s="146"/>
      <c r="BT56" s="146"/>
      <c r="BU56" s="146"/>
      <c r="BV56" s="146"/>
      <c r="BW56" s="146"/>
      <c r="BX56" s="146"/>
      <c r="BY56" s="146"/>
      <c r="BZ56" s="146"/>
      <c r="CA56" s="146"/>
      <c r="CB56" s="146"/>
      <c r="CC56" s="146"/>
      <c r="CG56" s="146"/>
      <c r="CH56" s="146"/>
      <c r="CJ56" s="146"/>
      <c r="CK56" s="146"/>
      <c r="CL56" s="146"/>
      <c r="CN56" s="146"/>
      <c r="CO56" s="146"/>
      <c r="CP56" s="146"/>
      <c r="CQ56" s="146"/>
      <c r="CR56" s="146"/>
      <c r="CV56" s="999" t="s">
        <v>1288</v>
      </c>
      <c r="CW56" s="958" t="s">
        <v>986</v>
      </c>
      <c r="CX56" s="959" t="str">
        <f t="shared" si="1"/>
        <v>[112]</v>
      </c>
      <c r="CY56" s="959">
        <v>15</v>
      </c>
    </row>
    <row r="57" spans="20:116" ht="27" customHeight="1">
      <c r="T57" s="995" t="s">
        <v>1313</v>
      </c>
      <c r="V57" s="960"/>
      <c r="X57" s="960"/>
      <c r="Z57" s="960"/>
      <c r="AB57" s="960"/>
      <c r="AD57" s="960"/>
      <c r="AF57" s="2"/>
      <c r="AG57" s="2"/>
      <c r="AH57" s="2"/>
      <c r="AI57" s="2"/>
      <c r="AJ57" s="2"/>
      <c r="AK57" s="2"/>
      <c r="AL57" s="2"/>
      <c r="AM57" s="2"/>
      <c r="AN57" s="2"/>
      <c r="AO57" s="2"/>
      <c r="AP57" s="2"/>
      <c r="AU57" s="2165"/>
      <c r="AV57" s="944" t="s">
        <v>1346</v>
      </c>
      <c r="BA57" s="146"/>
      <c r="BM57" s="146"/>
      <c r="BO57" s="146"/>
      <c r="BP57" s="146"/>
      <c r="BQ57" s="146"/>
      <c r="BR57" s="146"/>
      <c r="BS57" s="146"/>
      <c r="BT57" s="146"/>
      <c r="BV57" s="146"/>
      <c r="BX57" s="146"/>
      <c r="BY57" s="146"/>
      <c r="BZ57" s="146"/>
      <c r="CA57" s="146"/>
      <c r="CB57" s="146"/>
      <c r="CC57" s="146"/>
      <c r="CG57" s="146"/>
      <c r="CH57" s="146"/>
      <c r="CJ57" s="146"/>
      <c r="CK57" s="146"/>
      <c r="CL57" s="146"/>
      <c r="CN57" s="146"/>
      <c r="CO57" s="146"/>
      <c r="CP57" s="146"/>
      <c r="CQ57" s="146"/>
      <c r="CR57" s="146"/>
      <c r="CV57" s="999" t="s">
        <v>1288</v>
      </c>
      <c r="CW57" s="1012" t="s">
        <v>1014</v>
      </c>
      <c r="CX57" s="959" t="str">
        <f t="shared" si="1"/>
        <v>[113]</v>
      </c>
      <c r="CY57" s="959">
        <v>38</v>
      </c>
    </row>
    <row r="58" spans="20:116" ht="27" customHeight="1">
      <c r="T58" s="995" t="s">
        <v>1318</v>
      </c>
      <c r="V58" s="960"/>
      <c r="X58" s="960"/>
      <c r="Z58" s="960"/>
      <c r="AB58" s="960"/>
      <c r="AD58" s="960"/>
      <c r="AF58" s="2"/>
      <c r="AG58" s="2"/>
      <c r="AH58" s="2"/>
      <c r="AI58" s="2"/>
      <c r="AJ58" s="2"/>
      <c r="AK58" s="2"/>
      <c r="AL58" s="2"/>
      <c r="AM58" s="2"/>
      <c r="AN58" s="2"/>
      <c r="AO58" s="2"/>
      <c r="AP58" s="2"/>
      <c r="AU58" s="2166"/>
      <c r="AV58" s="946" t="s">
        <v>1347</v>
      </c>
      <c r="BA58" s="146"/>
      <c r="BM58" s="146"/>
      <c r="BO58" s="146"/>
      <c r="BP58" s="146"/>
      <c r="BQ58" s="146"/>
      <c r="BR58" s="146"/>
      <c r="BS58" s="146"/>
      <c r="BT58" s="146"/>
      <c r="BV58" s="146"/>
      <c r="BX58" s="146"/>
      <c r="BY58" s="146"/>
      <c r="BZ58" s="146"/>
      <c r="CB58" s="146"/>
      <c r="CC58" s="146"/>
      <c r="CE58" s="146"/>
      <c r="CF58" s="146"/>
      <c r="CG58" s="146"/>
      <c r="CH58" s="146"/>
      <c r="CJ58" s="146"/>
      <c r="CK58" s="146"/>
      <c r="CL58" s="146"/>
      <c r="CN58" s="146"/>
      <c r="CO58" s="146"/>
      <c r="CP58" s="146"/>
      <c r="CQ58" s="146"/>
      <c r="CR58" s="146"/>
      <c r="CV58" s="999" t="s">
        <v>1288</v>
      </c>
      <c r="CW58" s="1012" t="s">
        <v>1295</v>
      </c>
      <c r="CX58" s="959" t="str">
        <f t="shared" si="1"/>
        <v>[114]</v>
      </c>
      <c r="CY58" s="939">
        <v>34</v>
      </c>
    </row>
    <row r="59" spans="20:116" ht="27" customHeight="1">
      <c r="T59" s="994" t="s">
        <v>1321</v>
      </c>
      <c r="V59" s="960"/>
      <c r="X59" s="960"/>
      <c r="Z59" s="960"/>
      <c r="AB59" s="960"/>
      <c r="AD59" s="960"/>
      <c r="AF59" s="2"/>
      <c r="AG59" s="2"/>
      <c r="AH59" s="2"/>
      <c r="AI59" s="2"/>
      <c r="AJ59" s="2"/>
      <c r="AK59" s="2"/>
      <c r="AL59" s="2"/>
      <c r="AM59" s="2"/>
      <c r="AN59" s="2"/>
      <c r="AO59" s="2"/>
      <c r="AP59" s="2"/>
      <c r="AU59" s="2184" t="s">
        <v>1106</v>
      </c>
      <c r="AV59" s="981" t="s">
        <v>925</v>
      </c>
      <c r="BA59" s="146"/>
      <c r="BM59" s="146"/>
      <c r="BO59" s="146"/>
      <c r="BP59" s="146"/>
      <c r="BQ59" s="146"/>
      <c r="BR59" s="146"/>
      <c r="BS59" s="146"/>
      <c r="BT59" s="146"/>
      <c r="BV59" s="146"/>
      <c r="BX59" s="146"/>
      <c r="BY59" s="146"/>
      <c r="BZ59" s="146"/>
      <c r="CB59" s="146"/>
      <c r="CE59" s="146"/>
      <c r="CF59" s="146"/>
      <c r="CG59" s="146"/>
      <c r="CH59" s="146"/>
      <c r="CJ59" s="146"/>
      <c r="CK59" s="146"/>
      <c r="CL59" s="146"/>
      <c r="CN59" s="146"/>
      <c r="CO59" s="146"/>
      <c r="CP59" s="146"/>
      <c r="CQ59" s="146"/>
      <c r="CR59" s="146"/>
      <c r="CV59" s="999" t="s">
        <v>1288</v>
      </c>
      <c r="CW59" s="958" t="s">
        <v>1351</v>
      </c>
      <c r="CX59" s="959" t="str">
        <f t="shared" si="1"/>
        <v>[115]</v>
      </c>
      <c r="CY59" s="939">
        <v>17</v>
      </c>
    </row>
    <row r="60" spans="20:116" ht="27" customHeight="1">
      <c r="AU60" s="2184"/>
      <c r="AV60" s="995" t="s">
        <v>971</v>
      </c>
      <c r="BQ60" s="146"/>
      <c r="BS60" s="146"/>
      <c r="BY60" s="146"/>
      <c r="CE60" s="146"/>
      <c r="CF60" s="146"/>
      <c r="CV60" s="999" t="s">
        <v>1288</v>
      </c>
      <c r="CW60" s="1012" t="s">
        <v>1089</v>
      </c>
      <c r="CX60" s="959" t="str">
        <f t="shared" ref="CX60:CX62" si="7">LEFT(CV60,3)&amp;MID(CW60,2,2)</f>
        <v>[116]</v>
      </c>
      <c r="CY60" s="939">
        <v>14</v>
      </c>
    </row>
    <row r="61" spans="20:116" ht="27" customHeight="1">
      <c r="AU61" s="2184"/>
      <c r="AV61" s="943" t="s">
        <v>1308</v>
      </c>
      <c r="CE61" s="146"/>
      <c r="CF61" s="146"/>
      <c r="CV61" s="999" t="s">
        <v>1288</v>
      </c>
      <c r="CW61" s="1002" t="s">
        <v>1113</v>
      </c>
      <c r="CX61" s="817" t="str">
        <f t="shared" si="7"/>
        <v>[118]</v>
      </c>
      <c r="CY61" s="939">
        <v>31</v>
      </c>
    </row>
    <row r="62" spans="20:116" ht="27" customHeight="1">
      <c r="AU62" s="2164" t="s">
        <v>1310</v>
      </c>
      <c r="AV62" s="981" t="s">
        <v>925</v>
      </c>
      <c r="CE62" s="146"/>
      <c r="CF62" s="146"/>
      <c r="CV62" s="999" t="s">
        <v>1288</v>
      </c>
      <c r="CW62" s="1006" t="s">
        <v>1348</v>
      </c>
      <c r="CX62" s="1007" t="str">
        <f t="shared" si="7"/>
        <v>[119]</v>
      </c>
      <c r="CY62" s="1008">
        <v>17</v>
      </c>
    </row>
    <row r="63" spans="20:116" ht="27" customHeight="1">
      <c r="AU63" s="2165"/>
      <c r="AV63" s="995" t="s">
        <v>971</v>
      </c>
      <c r="CE63" s="146"/>
      <c r="CF63" s="146"/>
      <c r="CV63" s="999" t="s">
        <v>1288</v>
      </c>
      <c r="CW63" s="1006" t="s">
        <v>1349</v>
      </c>
      <c r="CX63" s="1007" t="str">
        <f>LEFT(CV63,3)&amp;MID(CW63,2,3)</f>
        <v>[1110]</v>
      </c>
      <c r="CY63" s="1008">
        <v>24</v>
      </c>
    </row>
    <row r="64" spans="20:116" ht="27" customHeight="1">
      <c r="AU64" s="2165"/>
      <c r="AV64" s="995" t="s">
        <v>1006</v>
      </c>
      <c r="CE64" s="146"/>
      <c r="CF64" s="146"/>
      <c r="CV64" s="999" t="s">
        <v>1288</v>
      </c>
      <c r="CW64" s="1006" t="s">
        <v>1350</v>
      </c>
      <c r="CX64" s="1007" t="str">
        <f>LEFT(CV64,3)&amp;MID(CW64,2,3)</f>
        <v>[1111]</v>
      </c>
      <c r="CY64" s="1008">
        <v>31</v>
      </c>
    </row>
    <row r="65" spans="47:103" ht="27" customHeight="1">
      <c r="AU65" s="2165"/>
      <c r="AV65" s="995" t="s">
        <v>1033</v>
      </c>
      <c r="CE65" s="146"/>
      <c r="CF65" s="146"/>
      <c r="CV65" s="987" t="s">
        <v>1304</v>
      </c>
      <c r="CW65" s="958" t="s">
        <v>944</v>
      </c>
      <c r="CX65" s="959" t="str">
        <f t="shared" si="1"/>
        <v>[121]</v>
      </c>
      <c r="CY65" s="959">
        <v>5</v>
      </c>
    </row>
    <row r="66" spans="47:103" ht="27" customHeight="1">
      <c r="AU66" s="2165"/>
      <c r="AV66" s="944" t="s">
        <v>1083</v>
      </c>
      <c r="CE66" s="146"/>
      <c r="CF66" s="146"/>
      <c r="CV66" s="999" t="s">
        <v>1304</v>
      </c>
      <c r="CW66" s="958" t="s">
        <v>986</v>
      </c>
      <c r="CX66" s="959" t="str">
        <f t="shared" si="1"/>
        <v>[122]</v>
      </c>
      <c r="CY66" s="959">
        <v>8</v>
      </c>
    </row>
    <row r="67" spans="47:103" ht="27" customHeight="1">
      <c r="AU67" s="2165"/>
      <c r="AV67" s="944" t="s">
        <v>1107</v>
      </c>
      <c r="CE67" s="146"/>
      <c r="CF67" s="146"/>
      <c r="CV67" s="999" t="s">
        <v>1304</v>
      </c>
      <c r="CW67" s="958" t="s">
        <v>1309</v>
      </c>
      <c r="CX67" s="959" t="str">
        <f t="shared" si="1"/>
        <v>[127]</v>
      </c>
      <c r="CY67" s="939">
        <v>14</v>
      </c>
    </row>
    <row r="68" spans="47:103" ht="27" customHeight="1">
      <c r="AU68" s="2165"/>
      <c r="AV68" s="995" t="s">
        <v>1345</v>
      </c>
      <c r="CE68" s="146"/>
      <c r="CF68" s="146"/>
      <c r="CV68" s="947" t="s">
        <v>1128</v>
      </c>
      <c r="CW68" s="958" t="s">
        <v>944</v>
      </c>
      <c r="CX68" s="939" t="str">
        <f t="shared" si="1"/>
        <v>[131]</v>
      </c>
      <c r="CY68" s="939">
        <v>24</v>
      </c>
    </row>
    <row r="69" spans="47:103" ht="27" customHeight="1">
      <c r="AU69" s="2165"/>
      <c r="AV69" s="944" t="s">
        <v>1346</v>
      </c>
      <c r="CE69" s="146"/>
      <c r="CF69" s="146"/>
      <c r="CV69" s="944" t="s">
        <v>1128</v>
      </c>
      <c r="CW69" s="958" t="s">
        <v>986</v>
      </c>
      <c r="CX69" s="939" t="str">
        <f t="shared" si="1"/>
        <v>[132]</v>
      </c>
      <c r="CY69" s="939">
        <v>24</v>
      </c>
    </row>
    <row r="70" spans="47:103" ht="27" customHeight="1">
      <c r="AU70" s="2166"/>
      <c r="AV70" s="946" t="s">
        <v>1347</v>
      </c>
      <c r="CE70" s="146"/>
      <c r="CF70" s="146"/>
      <c r="CV70" s="944" t="s">
        <v>1128</v>
      </c>
      <c r="CW70" s="1012" t="s">
        <v>1014</v>
      </c>
      <c r="CX70" s="939" t="str">
        <f t="shared" si="1"/>
        <v>[133]</v>
      </c>
      <c r="CY70" s="939">
        <v>50</v>
      </c>
    </row>
    <row r="71" spans="47:103" ht="27" customHeight="1">
      <c r="AU71" s="2167" t="s">
        <v>1314</v>
      </c>
      <c r="AV71" s="947" t="s">
        <v>1315</v>
      </c>
      <c r="CE71" s="146"/>
      <c r="CF71" s="146"/>
      <c r="CV71" s="944" t="s">
        <v>1128</v>
      </c>
      <c r="CW71" s="1012" t="s">
        <v>1033</v>
      </c>
      <c r="CX71" s="939" t="str">
        <f t="shared" si="1"/>
        <v>[134]</v>
      </c>
      <c r="CY71" s="939">
        <v>41</v>
      </c>
    </row>
    <row r="72" spans="47:103" ht="27" customHeight="1">
      <c r="AU72" s="2168"/>
      <c r="AV72" s="944" t="s">
        <v>1319</v>
      </c>
      <c r="CE72" s="146"/>
      <c r="CF72" s="146"/>
      <c r="CV72" s="944" t="s">
        <v>1128</v>
      </c>
      <c r="CW72" s="958" t="s">
        <v>1351</v>
      </c>
      <c r="CX72" s="939" t="str">
        <f t="shared" si="1"/>
        <v>[135]</v>
      </c>
      <c r="CY72" s="939">
        <v>22</v>
      </c>
    </row>
    <row r="73" spans="47:103" ht="27" customHeight="1">
      <c r="AU73" s="2169"/>
      <c r="AV73" s="994" t="s">
        <v>1322</v>
      </c>
      <c r="CE73" s="146"/>
      <c r="CF73" s="146"/>
      <c r="CV73" s="944" t="s">
        <v>1128</v>
      </c>
      <c r="CW73" s="1012" t="s">
        <v>1089</v>
      </c>
      <c r="CX73" s="939" t="str">
        <f t="shared" ref="CX73:CX75" si="8">LEFT(CV73,3)&amp;MID(CW73,2,2)</f>
        <v>[136]</v>
      </c>
      <c r="CY73" s="939">
        <v>22</v>
      </c>
    </row>
    <row r="74" spans="47:103" ht="27" customHeight="1">
      <c r="AU74" s="2185" t="s">
        <v>1324</v>
      </c>
      <c r="AV74" s="947" t="s">
        <v>1325</v>
      </c>
      <c r="CE74" s="146"/>
      <c r="CF74" s="146"/>
      <c r="CV74" s="944" t="s">
        <v>1128</v>
      </c>
      <c r="CW74" s="1002" t="s">
        <v>1113</v>
      </c>
      <c r="CX74" s="817" t="str">
        <f t="shared" si="8"/>
        <v>[138]</v>
      </c>
      <c r="CY74" s="939">
        <v>38</v>
      </c>
    </row>
    <row r="75" spans="47:103" ht="27" customHeight="1">
      <c r="AU75" s="2186"/>
      <c r="AV75" s="994" t="s">
        <v>1322</v>
      </c>
      <c r="CV75" s="944" t="s">
        <v>1128</v>
      </c>
      <c r="CW75" s="1006" t="s">
        <v>1348</v>
      </c>
      <c r="CX75" s="939" t="str">
        <f t="shared" si="8"/>
        <v>[139]</v>
      </c>
      <c r="CY75" s="1008">
        <v>22</v>
      </c>
    </row>
    <row r="76" spans="47:103" ht="27" customHeight="1">
      <c r="AU76" s="2164" t="s">
        <v>1183</v>
      </c>
      <c r="AV76" s="981" t="s">
        <v>1328</v>
      </c>
      <c r="CV76" s="944" t="s">
        <v>1128</v>
      </c>
      <c r="CW76" s="1006" t="s">
        <v>1349</v>
      </c>
      <c r="CX76" s="1007" t="str">
        <f>LEFT(CV76,3)&amp;MID(CW76,2,3)</f>
        <v>[1310]</v>
      </c>
      <c r="CY76" s="1008">
        <v>30</v>
      </c>
    </row>
    <row r="77" spans="47:103" ht="27" customHeight="1">
      <c r="AU77" s="2165"/>
      <c r="AV77" s="995" t="s">
        <v>1331</v>
      </c>
      <c r="CV77" s="946" t="s">
        <v>1128</v>
      </c>
      <c r="CW77" s="1006" t="s">
        <v>1350</v>
      </c>
      <c r="CX77" s="1007" t="str">
        <f>LEFT(CV77,3)&amp;MID(CW77,2,3)</f>
        <v>[1311]</v>
      </c>
      <c r="CY77" s="1008">
        <v>38</v>
      </c>
    </row>
    <row r="78" spans="47:103">
      <c r="AU78" s="2166"/>
      <c r="AV78" s="994" t="s">
        <v>1322</v>
      </c>
      <c r="CV78" s="944" t="s">
        <v>1316</v>
      </c>
      <c r="CW78" s="1012" t="s">
        <v>1317</v>
      </c>
      <c r="CX78" s="939" t="str">
        <f t="shared" si="1"/>
        <v>[142]</v>
      </c>
      <c r="CY78" s="939">
        <v>14</v>
      </c>
    </row>
    <row r="79" spans="47:103">
      <c r="AU79" s="990" t="s">
        <v>1203</v>
      </c>
      <c r="AV79" s="1023" t="s">
        <v>1322</v>
      </c>
      <c r="CV79" s="944" t="s">
        <v>1316</v>
      </c>
      <c r="CW79" s="1012" t="s">
        <v>1320</v>
      </c>
      <c r="CX79" s="939" t="str">
        <f t="shared" si="1"/>
        <v>[143]</v>
      </c>
      <c r="CY79" s="939">
        <v>5</v>
      </c>
    </row>
    <row r="80" spans="47:103">
      <c r="AU80" s="990" t="s">
        <v>1334</v>
      </c>
      <c r="AV80" s="1023" t="s">
        <v>1322</v>
      </c>
      <c r="CV80" s="944" t="s">
        <v>1316</v>
      </c>
      <c r="CW80" s="1012" t="s">
        <v>1323</v>
      </c>
      <c r="CX80" s="939" t="str">
        <f t="shared" si="1"/>
        <v>[147]</v>
      </c>
      <c r="CY80" s="939">
        <v>30</v>
      </c>
    </row>
    <row r="81" spans="47:103" ht="22.5">
      <c r="AU81" s="2185" t="s">
        <v>1221</v>
      </c>
      <c r="AV81" s="947" t="s">
        <v>1325</v>
      </c>
      <c r="CV81" s="947" t="s">
        <v>1326</v>
      </c>
      <c r="CW81" s="1012" t="s">
        <v>1327</v>
      </c>
      <c r="CX81" s="939" t="str">
        <f t="shared" si="1"/>
        <v>[151]</v>
      </c>
      <c r="CY81" s="939">
        <v>17</v>
      </c>
    </row>
    <row r="82" spans="47:103">
      <c r="AU82" s="2186"/>
      <c r="AV82" s="994" t="s">
        <v>1322</v>
      </c>
      <c r="CV82" s="946" t="s">
        <v>1326</v>
      </c>
      <c r="CW82" s="1012" t="s">
        <v>1323</v>
      </c>
      <c r="CX82" s="939" t="str">
        <f t="shared" si="1"/>
        <v>[157]</v>
      </c>
      <c r="CY82" s="939">
        <v>30</v>
      </c>
    </row>
    <row r="83" spans="47:103">
      <c r="AU83" s="2185" t="s">
        <v>1227</v>
      </c>
      <c r="AV83" s="947" t="s">
        <v>1325</v>
      </c>
      <c r="CV83" s="944" t="s">
        <v>1329</v>
      </c>
      <c r="CW83" s="1012" t="s">
        <v>1330</v>
      </c>
      <c r="CX83" s="939" t="str">
        <f t="shared" si="1"/>
        <v>[164]</v>
      </c>
      <c r="CY83" s="939">
        <v>10</v>
      </c>
    </row>
    <row r="84" spans="47:103">
      <c r="AU84" s="2186"/>
      <c r="AV84" s="994" t="s">
        <v>1322</v>
      </c>
      <c r="CV84" s="944" t="s">
        <v>1329</v>
      </c>
      <c r="CW84" s="1012" t="s">
        <v>1332</v>
      </c>
      <c r="CX84" s="939" t="str">
        <f t="shared" si="1"/>
        <v>[166]</v>
      </c>
      <c r="CY84" s="939">
        <v>8</v>
      </c>
    </row>
    <row r="85" spans="47:103">
      <c r="AU85" s="1914" t="s">
        <v>1338</v>
      </c>
      <c r="AV85" s="947" t="s">
        <v>1325</v>
      </c>
      <c r="CV85" s="946" t="s">
        <v>1329</v>
      </c>
      <c r="CW85" s="1012" t="s">
        <v>1323</v>
      </c>
      <c r="CX85" s="939" t="str">
        <f t="shared" si="1"/>
        <v>[167]</v>
      </c>
      <c r="CY85" s="939">
        <v>30</v>
      </c>
    </row>
    <row r="86" spans="47:103">
      <c r="AU86" s="1904"/>
      <c r="AV86" s="944" t="s">
        <v>1315</v>
      </c>
      <c r="CV86" s="956" t="s">
        <v>1333</v>
      </c>
      <c r="CW86" s="1012" t="s">
        <v>1323</v>
      </c>
      <c r="CX86" s="939" t="str">
        <f t="shared" si="1"/>
        <v>[177]</v>
      </c>
      <c r="CY86" s="939">
        <v>8</v>
      </c>
    </row>
    <row r="87" spans="47:103">
      <c r="AU87" s="1904"/>
      <c r="AV87" s="944" t="s">
        <v>1319</v>
      </c>
      <c r="CV87" s="944" t="s">
        <v>1335</v>
      </c>
      <c r="CW87" s="1012" t="s">
        <v>1323</v>
      </c>
      <c r="CX87" s="939" t="str">
        <f t="shared" si="1"/>
        <v>[187]</v>
      </c>
      <c r="CY87" s="939">
        <v>8</v>
      </c>
    </row>
    <row r="88" spans="47:103" ht="22.5">
      <c r="AU88" s="1904"/>
      <c r="AV88" s="995" t="s">
        <v>1328</v>
      </c>
      <c r="CV88" s="947" t="s">
        <v>1336</v>
      </c>
      <c r="CW88" s="1012" t="s">
        <v>1327</v>
      </c>
      <c r="CX88" s="939" t="str">
        <f t="shared" si="1"/>
        <v>[191]</v>
      </c>
      <c r="CY88" s="939">
        <v>17</v>
      </c>
    </row>
    <row r="89" spans="47:103">
      <c r="AU89" s="1904"/>
      <c r="AV89" s="995" t="s">
        <v>1340</v>
      </c>
      <c r="CV89" s="944" t="s">
        <v>1336</v>
      </c>
      <c r="CW89" s="1012" t="s">
        <v>1323</v>
      </c>
      <c r="CX89" s="939" t="str">
        <f t="shared" si="1"/>
        <v>[197]</v>
      </c>
      <c r="CY89" s="939">
        <v>30</v>
      </c>
    </row>
    <row r="90" spans="47:103" ht="22.5">
      <c r="AU90" s="1904"/>
      <c r="AV90" s="995" t="s">
        <v>1331</v>
      </c>
      <c r="CV90" s="947" t="s">
        <v>1337</v>
      </c>
      <c r="CW90" s="1012" t="s">
        <v>1327</v>
      </c>
      <c r="CX90" s="939" t="str">
        <f t="shared" si="1"/>
        <v>[251]</v>
      </c>
      <c r="CY90" s="939">
        <v>17</v>
      </c>
    </row>
    <row r="91" spans="47:103">
      <c r="AU91" s="1915"/>
      <c r="AV91" s="994" t="s">
        <v>1322</v>
      </c>
      <c r="CV91" s="946" t="s">
        <v>1337</v>
      </c>
      <c r="CW91" s="1012" t="s">
        <v>1323</v>
      </c>
      <c r="CX91" s="939" t="str">
        <f t="shared" si="1"/>
        <v>[257]</v>
      </c>
      <c r="CY91" s="939">
        <v>30</v>
      </c>
    </row>
    <row r="92" spans="47:103" ht="22.5">
      <c r="CV92" s="947" t="s">
        <v>1339</v>
      </c>
      <c r="CW92" s="1012" t="s">
        <v>1327</v>
      </c>
      <c r="CX92" s="939" t="str">
        <f t="shared" ref="CX92:CX98" si="9">LEFT(CV92,3)&amp;MID(CW92,2,2)</f>
        <v>[311]</v>
      </c>
      <c r="CY92" s="939">
        <v>17</v>
      </c>
    </row>
    <row r="93" spans="47:103">
      <c r="CV93" s="944" t="s">
        <v>1339</v>
      </c>
      <c r="CW93" s="1012" t="s">
        <v>1317</v>
      </c>
      <c r="CX93" s="939" t="str">
        <f t="shared" si="9"/>
        <v>[312]</v>
      </c>
      <c r="CY93" s="939">
        <v>14</v>
      </c>
    </row>
    <row r="94" spans="47:103">
      <c r="CV94" s="944" t="s">
        <v>1339</v>
      </c>
      <c r="CW94" s="1012" t="s">
        <v>1320</v>
      </c>
      <c r="CX94" s="939" t="str">
        <f t="shared" si="9"/>
        <v>[313]</v>
      </c>
      <c r="CY94" s="939">
        <v>5</v>
      </c>
    </row>
    <row r="95" spans="47:103">
      <c r="CV95" s="944" t="s">
        <v>1339</v>
      </c>
      <c r="CW95" s="1012" t="s">
        <v>1330</v>
      </c>
      <c r="CX95" s="939" t="str">
        <f t="shared" si="9"/>
        <v>[314]</v>
      </c>
      <c r="CY95" s="939">
        <v>10</v>
      </c>
    </row>
    <row r="96" spans="47:103">
      <c r="CV96" s="944" t="s">
        <v>1339</v>
      </c>
      <c r="CW96" s="1012" t="s">
        <v>1341</v>
      </c>
      <c r="CX96" s="939" t="str">
        <f t="shared" si="9"/>
        <v>[315]</v>
      </c>
      <c r="CY96" s="939">
        <v>8</v>
      </c>
    </row>
    <row r="97" spans="100:103">
      <c r="CV97" s="944" t="s">
        <v>1339</v>
      </c>
      <c r="CW97" s="1012" t="s">
        <v>1332</v>
      </c>
      <c r="CX97" s="939" t="str">
        <f t="shared" si="9"/>
        <v>[316]</v>
      </c>
      <c r="CY97" s="939">
        <v>8</v>
      </c>
    </row>
    <row r="98" spans="100:103">
      <c r="CV98" s="944" t="s">
        <v>1339</v>
      </c>
      <c r="CW98" s="1012" t="s">
        <v>1323</v>
      </c>
      <c r="CX98" s="939" t="str">
        <f t="shared" si="9"/>
        <v>[317]</v>
      </c>
      <c r="CY98" s="939">
        <v>8</v>
      </c>
    </row>
    <row r="99" spans="100:103">
      <c r="CV99" s="1024" t="s">
        <v>1342</v>
      </c>
      <c r="CW99" s="30"/>
      <c r="CX99" s="34"/>
    </row>
    <row r="100" spans="100:103">
      <c r="CV100" s="1025"/>
    </row>
  </sheetData>
  <sheetProtection sheet="1" objects="1" scenarios="1" selectLockedCells="1"/>
  <mergeCells count="42">
    <mergeCell ref="AU85:AU91"/>
    <mergeCell ref="AU59:AU61"/>
    <mergeCell ref="AU71:AU73"/>
    <mergeCell ref="AU74:AU75"/>
    <mergeCell ref="AU76:AU78"/>
    <mergeCell ref="AU81:AU82"/>
    <mergeCell ref="AU83:AU84"/>
    <mergeCell ref="AU62:AU70"/>
    <mergeCell ref="DF48:DI49"/>
    <mergeCell ref="CE11:CE12"/>
    <mergeCell ref="AR13:AR20"/>
    <mergeCell ref="CE13:CE14"/>
    <mergeCell ref="CE15:CE19"/>
    <mergeCell ref="DA4:DB4"/>
    <mergeCell ref="DF4:DG4"/>
    <mergeCell ref="AR5:AR12"/>
    <mergeCell ref="BF5:BF7"/>
    <mergeCell ref="CE5:CE7"/>
    <mergeCell ref="DA5:DA7"/>
    <mergeCell ref="BF8:BF10"/>
    <mergeCell ref="CE8:CE10"/>
    <mergeCell ref="DA8:DA10"/>
    <mergeCell ref="AU5:AU13"/>
    <mergeCell ref="AR2:AS2"/>
    <mergeCell ref="AU2:AV2"/>
    <mergeCell ref="BF2:BG2"/>
    <mergeCell ref="CE2:CF2"/>
    <mergeCell ref="AR4:AS4"/>
    <mergeCell ref="AU4:AV4"/>
    <mergeCell ref="BF4:BG4"/>
    <mergeCell ref="CE4:CF4"/>
    <mergeCell ref="CE1:CF1"/>
    <mergeCell ref="AR1:AS1"/>
    <mergeCell ref="AU1:AV1"/>
    <mergeCell ref="AX1:AY1"/>
    <mergeCell ref="AZ1:BA1"/>
    <mergeCell ref="BF1:BG1"/>
    <mergeCell ref="AU50:AU58"/>
    <mergeCell ref="AU41:AU49"/>
    <mergeCell ref="AU32:AU40"/>
    <mergeCell ref="AU23:AU31"/>
    <mergeCell ref="AU14:AU22"/>
  </mergeCells>
  <phoneticPr fontId="5"/>
  <pageMargins left="0.7" right="0.7" top="0.75" bottom="0.75" header="0.3" footer="0.3"/>
  <pageSetup paperSize="9" orientation="portrait" horizontalDpi="300"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9EC1F06132A4684D964F89617A1256EB" ma:contentTypeVersion="1" ma:contentTypeDescription="新しいドキュメントを作成します。" ma:contentTypeScope="" ma:versionID="434afa04958a3c3f20d3cccca31849c5">
  <xsd:schema xmlns:xsd="http://www.w3.org/2001/XMLSchema" xmlns:xs="http://www.w3.org/2001/XMLSchema" xmlns:p="http://schemas.microsoft.com/office/2006/metadata/properties" xmlns:ns2="1f80570b-921c-4f4d-b36a-d1e87defc2ad" targetNamespace="http://schemas.microsoft.com/office/2006/metadata/properties" ma:root="true" ma:fieldsID="45c07f209934e8d12aed2fdb630a4c75" ns2:_="">
    <xsd:import namespace="1f80570b-921c-4f4d-b36a-d1e87defc2ad"/>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f80570b-921c-4f4d-b36a-d1e87defc2ad" elementFormDefault="qualified">
    <xsd:import namespace="http://schemas.microsoft.com/office/2006/documentManagement/types"/>
    <xsd:import namespace="http://schemas.microsoft.com/office/infopath/2007/PartnerControls"/>
    <xsd:element name="SharedWithUsers" ma:index="8" nillable="true" ma:displayName="共有相手"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95D712E-8871-4E1E-ABE2-ECCCDD63DB48}">
  <ds:schemaRefs>
    <ds:schemaRef ds:uri="http://schemas.microsoft.com/sharepoint/v3/contenttype/forms"/>
  </ds:schemaRefs>
</ds:datastoreItem>
</file>

<file path=customXml/itemProps2.xml><?xml version="1.0" encoding="utf-8"?>
<ds:datastoreItem xmlns:ds="http://schemas.openxmlformats.org/officeDocument/2006/customXml" ds:itemID="{68CD5E94-79F7-453E-995E-F736FF1AAE0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f80570b-921c-4f4d-b36a-d1e87defc2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F779F72-1953-485F-A96F-E277F2E9B735}">
  <ds:schemaRefs>
    <ds:schemaRef ds:uri="1f80570b-921c-4f4d-b36a-d1e87defc2ad"/>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25</vt:i4>
      </vt:variant>
      <vt:variant>
        <vt:lpstr>名前付き一覧</vt:lpstr>
      </vt:variant>
      <vt:variant>
        <vt:i4>53</vt:i4>
      </vt:variant>
    </vt:vector>
  </HeadingPairs>
  <TitlesOfParts>
    <vt:vector size="78" baseType="lpstr">
      <vt:lpstr>指標部入力</vt:lpstr>
      <vt:lpstr>表紙_個別</vt:lpstr>
      <vt:lpstr>約束事項_そば</vt:lpstr>
      <vt:lpstr>目次_個別_米以外</vt:lpstr>
      <vt:lpstr>【１】経営の概況①_個別</vt:lpstr>
      <vt:lpstr>【１】経営の概況③_個別_なたね・そば</vt:lpstr>
      <vt:lpstr>【２】生産物の販売等の状況①_そば</vt:lpstr>
      <vt:lpstr>栽培の特徴</vt:lpstr>
      <vt:lpstr>【３】１種苗費_米以外</vt:lpstr>
      <vt:lpstr>【３】２肥料費_米以外</vt:lpstr>
      <vt:lpstr>【３】３農業薬剤費_米以外</vt:lpstr>
      <vt:lpstr>【３】４光熱動力費・５諸材料費_米以外</vt:lpstr>
      <vt:lpstr>【３】６賃借料及び料金_米以外</vt:lpstr>
      <vt:lpstr>【４】物件税及び公課諸負担_米以外</vt:lpstr>
      <vt:lpstr>【５】土地改良及び水利費・【６】借入金_米以外</vt:lpstr>
      <vt:lpstr>【７】建物及び構築物</vt:lpstr>
      <vt:lpstr>【８】自動車</vt:lpstr>
      <vt:lpstr>【９】農業機械</vt:lpstr>
      <vt:lpstr>減価償却費</vt:lpstr>
      <vt:lpstr>【10】農具の購入費等</vt:lpstr>
      <vt:lpstr>【11】土地_１所有地_米・さとうきび以外</vt:lpstr>
      <vt:lpstr>【11】土地_２借入地_米・さとうきび以外</vt:lpstr>
      <vt:lpstr>【12】作業別労働時間①_個別</vt:lpstr>
      <vt:lpstr>任意項目</vt:lpstr>
      <vt:lpstr>リスト</vt:lpstr>
      <vt:lpstr>[01]住宅</vt:lpstr>
      <vt:lpstr>[01]電動機</vt:lpstr>
      <vt:lpstr>[02]事務所</vt:lpstr>
      <vt:lpstr>[02]発動機</vt:lpstr>
      <vt:lpstr>[03]納屋・倉庫</vt:lpstr>
      <vt:lpstr>[03]歩行用トラクター</vt:lpstr>
      <vt:lpstr>[04]作業場</vt:lpstr>
      <vt:lpstr>[04]乗用トラクター</vt:lpstr>
      <vt:lpstr>[08]たい肥等散布機</vt:lpstr>
      <vt:lpstr>[08]車庫</vt:lpstr>
      <vt:lpstr>[09]肥料散布機</vt:lpstr>
      <vt:lpstr>[1]貨物自動車</vt:lpstr>
      <vt:lpstr>[10]総合は種機</vt:lpstr>
      <vt:lpstr>[11]ライスセンター</vt:lpstr>
      <vt:lpstr>[12]育苗ハウス</vt:lpstr>
      <vt:lpstr>[12]電熱育苗機</vt:lpstr>
      <vt:lpstr>[13]その他の建築物</vt:lpstr>
      <vt:lpstr>[13]田植機</vt:lpstr>
      <vt:lpstr>[14]移植機</vt:lpstr>
      <vt:lpstr>[14]稲架</vt:lpstr>
      <vt:lpstr>[15]コンクリートけい畔</vt:lpstr>
      <vt:lpstr>[15]揚水ポンプ</vt:lpstr>
      <vt:lpstr>[16]暗きょ排水施設</vt:lpstr>
      <vt:lpstr>[16]中耕除草機</vt:lpstr>
      <vt:lpstr>[17]客土</vt:lpstr>
      <vt:lpstr>[17]動力噴霧機</vt:lpstr>
      <vt:lpstr>[18]作業道</vt:lpstr>
      <vt:lpstr>[18]動力散粉機</vt:lpstr>
      <vt:lpstr>[19]バインダー</vt:lpstr>
      <vt:lpstr>[19]用水路</vt:lpstr>
      <vt:lpstr>[2]その他の自動車</vt:lpstr>
      <vt:lpstr>[20]自脱型コンバイン</vt:lpstr>
      <vt:lpstr>[21]普通型コンバイン</vt:lpstr>
      <vt:lpstr>[22]そば収穫機</vt:lpstr>
      <vt:lpstr>[23]大豆収穫機</vt:lpstr>
      <vt:lpstr>[24]かんしょ収穫機</vt:lpstr>
      <vt:lpstr>[25]たい肥盤</vt:lpstr>
      <vt:lpstr>[25]ばれいしょ収穫機</vt:lpstr>
      <vt:lpstr>[26]なたね収穫機</vt:lpstr>
      <vt:lpstr>[27]てんさい収穫機</vt:lpstr>
      <vt:lpstr>[28]さとうきび収穫機</vt:lpstr>
      <vt:lpstr>[29]脱穀機</vt:lpstr>
      <vt:lpstr>[30]きび脱葉機</vt:lpstr>
      <vt:lpstr>[31]その他の構築物</vt:lpstr>
      <vt:lpstr>[31]乾燥機</vt:lpstr>
      <vt:lpstr>[32]もみすり機</vt:lpstr>
      <vt:lpstr>[54]トレーラー</vt:lpstr>
      <vt:lpstr>[56]その他の農機具</vt:lpstr>
      <vt:lpstr>[57]パソコン</vt:lpstr>
      <vt:lpstr>[58]その他の生産管理機器</vt:lpstr>
      <vt:lpstr>調査年</vt:lpstr>
      <vt:lpstr>農機具種類</vt:lpstr>
      <vt:lpstr>品種名称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daikouser</dc:creator>
  <cp:lastModifiedBy>D8231</cp:lastModifiedBy>
  <dcterms:created xsi:type="dcterms:W3CDTF">2020-03-06T09:28:31Z</dcterms:created>
  <dcterms:modified xsi:type="dcterms:W3CDTF">2022-12-06T07:25:59Z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0x0101009EC1F06132A4684D964F89617A1256EB</vt:lpwstr>
  </property>
</Properties>
</file>