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kouser\Documents\農水統計\【BRA】\資材\Excel\"/>
    </mc:Choice>
  </mc:AlternateContent>
  <xr:revisionPtr revIDLastSave="0" documentId="13_ncr:1_{7EB33CFD-D32D-4264-8B3E-F7B6CDE5D8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1" sheetId="7" r:id="rId1"/>
    <sheet name="No2" sheetId="8" r:id="rId2"/>
    <sheet name="No3" sheetId="5" r:id="rId3"/>
  </sheets>
  <definedNames>
    <definedName name="_xlnm.Print_Area" localSheetId="0">'No1'!$A$1:$AZ$48</definedName>
    <definedName name="_xlnm.Print_Area" localSheetId="1">'No2'!$A$1:$DB$45</definedName>
    <definedName name="_xlnm.Print_Area" localSheetId="2">'No3'!$A$1:$DB$40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X9" i="5" l="1"/>
  <c r="BX8" i="5"/>
  <c r="BX7" i="5"/>
  <c r="BO23" i="5"/>
  <c r="BO19" i="5"/>
  <c r="BO18" i="5"/>
  <c r="BO9" i="5"/>
  <c r="BO8" i="5"/>
  <c r="BO7" i="5"/>
  <c r="AF13" i="5"/>
  <c r="W39" i="5"/>
  <c r="W38" i="5"/>
  <c r="W37" i="5"/>
  <c r="W36" i="5"/>
  <c r="W35" i="5"/>
  <c r="W34" i="5"/>
  <c r="W33" i="5"/>
  <c r="W32" i="5"/>
  <c r="W27" i="5"/>
  <c r="W26" i="5"/>
  <c r="W25" i="5"/>
  <c r="W24" i="5"/>
  <c r="W23" i="5"/>
  <c r="W21" i="5"/>
  <c r="W13" i="5"/>
  <c r="W8" i="5"/>
  <c r="W7" i="5"/>
  <c r="N39" i="5"/>
  <c r="N38" i="5"/>
  <c r="N37" i="5"/>
  <c r="N36" i="5"/>
  <c r="N35" i="5"/>
  <c r="N34" i="5"/>
  <c r="N33" i="5"/>
  <c r="N32" i="5"/>
  <c r="N27" i="5"/>
  <c r="N26" i="5"/>
  <c r="N25" i="5"/>
  <c r="N24" i="5"/>
  <c r="N23" i="5"/>
  <c r="N22" i="5"/>
  <c r="N21" i="5"/>
  <c r="N20" i="5"/>
  <c r="N13" i="5"/>
  <c r="N8" i="5"/>
  <c r="N7" i="5"/>
  <c r="CP11" i="8"/>
  <c r="CP10" i="8"/>
  <c r="CP9" i="8"/>
  <c r="CP8" i="8"/>
  <c r="CP7" i="8"/>
  <c r="CG35" i="8"/>
  <c r="CG34" i="8"/>
  <c r="CG33" i="8"/>
  <c r="CG32" i="8"/>
  <c r="CG31" i="8"/>
  <c r="CG30" i="8"/>
  <c r="BX35" i="8"/>
  <c r="BX34" i="8"/>
  <c r="BX33" i="8"/>
  <c r="BX32" i="8"/>
  <c r="BX31" i="8"/>
  <c r="BX30" i="8"/>
  <c r="BO35" i="8"/>
  <c r="BO34" i="8"/>
  <c r="BO33" i="8"/>
  <c r="BO32" i="8"/>
  <c r="BO31" i="8"/>
  <c r="BO30" i="8"/>
  <c r="BO22" i="8"/>
  <c r="BO21" i="8"/>
  <c r="BO20" i="8"/>
  <c r="BO15" i="8"/>
  <c r="BO14" i="8"/>
  <c r="BO13" i="8"/>
  <c r="BO8" i="8"/>
  <c r="BO7" i="8"/>
  <c r="AF44" i="8"/>
  <c r="AF43" i="8"/>
  <c r="AF42" i="8"/>
  <c r="W45" i="8"/>
  <c r="W44" i="8"/>
  <c r="W43" i="8"/>
  <c r="W42" i="8"/>
  <c r="N45" i="8"/>
  <c r="N44" i="8"/>
  <c r="N43" i="8"/>
  <c r="N42" i="8"/>
  <c r="N37" i="8"/>
  <c r="N36" i="8"/>
  <c r="N35" i="8"/>
  <c r="N34" i="8"/>
  <c r="N33" i="8"/>
  <c r="N32" i="8"/>
  <c r="N31" i="8"/>
  <c r="N30" i="8"/>
  <c r="N29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AO2" i="5"/>
  <c r="AO2" i="8"/>
  <c r="S27" i="7" l="1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S7" i="7"/>
  <c r="L7" i="7"/>
  <c r="H6" i="5" l="1"/>
  <c r="Q31" i="5" s="1"/>
  <c r="H5" i="8"/>
  <c r="A1" i="8" s="1"/>
  <c r="O5" i="7"/>
  <c r="A1" i="7"/>
  <c r="H18" i="5" l="1"/>
  <c r="Q12" i="5"/>
  <c r="BI17" i="5"/>
  <c r="Z41" i="8"/>
  <c r="BI5" i="8"/>
  <c r="Q41" i="8"/>
  <c r="BI11" i="8"/>
  <c r="Z12" i="5"/>
  <c r="BI22" i="5"/>
  <c r="BI6" i="5"/>
  <c r="K6" i="5"/>
  <c r="BR6" i="5"/>
  <c r="A1" i="5"/>
  <c r="H31" i="5"/>
  <c r="H41" i="8"/>
  <c r="BI18" i="8"/>
  <c r="BR28" i="8"/>
  <c r="K5" i="8"/>
  <c r="Q18" i="5"/>
  <c r="H27" i="8"/>
  <c r="CA28" i="8"/>
  <c r="Q6" i="5"/>
  <c r="H12" i="5"/>
  <c r="BI28" i="8"/>
  <c r="CJ5" i="8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7" i="7"/>
  <c r="Y48" i="7"/>
  <c r="Y7" i="7"/>
  <c r="V47" i="7"/>
  <c r="V48" i="7"/>
  <c r="T31" i="5" l="1"/>
  <c r="BL17" i="5"/>
  <c r="AC12" i="5"/>
  <c r="BL22" i="5"/>
  <c r="T18" i="5"/>
  <c r="K18" i="5"/>
  <c r="K31" i="5"/>
  <c r="T6" i="5"/>
  <c r="BU6" i="5"/>
  <c r="BL6" i="5"/>
  <c r="T12" i="5"/>
  <c r="K12" i="5"/>
  <c r="AC41" i="8"/>
  <c r="BL5" i="8"/>
  <c r="BL18" i="8"/>
  <c r="K41" i="8"/>
  <c r="K27" i="8"/>
  <c r="BU28" i="8"/>
  <c r="CD28" i="8"/>
  <c r="CM5" i="8"/>
  <c r="BL28" i="8"/>
  <c r="BL11" i="8"/>
  <c r="T41" i="8"/>
</calcChain>
</file>

<file path=xl/sharedStrings.xml><?xml version="1.0" encoding="utf-8"?>
<sst xmlns="http://schemas.openxmlformats.org/spreadsheetml/2006/main" count="277" uniqueCount="156">
  <si>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</si>
  <si>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</si>
  <si>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</si>
  <si>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</si>
  <si>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</si>
  <si>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</si>
  <si>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</si>
  <si>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</si>
  <si>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</si>
  <si>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</si>
  <si>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</si>
  <si>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</si>
  <si>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</si>
  <si>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</si>
  <si>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</si>
  <si>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</si>
  <si>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</si>
  <si>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</si>
  <si>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</si>
  <si>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</si>
  <si>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</si>
  <si>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</si>
  <si>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</si>
  <si>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</si>
  <si>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</si>
  <si>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</si>
  <si>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</si>
  <si>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</si>
  <si>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</si>
  <si>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</si>
  <si>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</si>
  <si>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</si>
  <si>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</si>
  <si>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</si>
  <si>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</si>
  <si>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</si>
  <si>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</si>
  <si>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</si>
  <si>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</si>
  <si>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販売</t>
    <rPh sb="0" eb="2">
      <t>ハンバイ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</si>
  <si>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</si>
  <si>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</si>
  <si>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</si>
  <si>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</si>
  <si>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</si>
  <si>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</si>
  <si>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</si>
  <si>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</si>
  <si>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</si>
  <si>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</si>
  <si>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</si>
  <si>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公課諸負担(円)</t>
    <rPh sb="0" eb="2">
      <t>コウカ</t>
    </rPh>
    <rPh sb="2" eb="3">
      <t>ショ</t>
    </rPh>
    <rPh sb="3" eb="5">
      <t>フタン</t>
    </rPh>
    <rPh sb="6" eb="7">
      <t>エン</t>
    </rPh>
    <phoneticPr fontId="3"/>
  </si>
  <si>
    <t>月齢</t>
    <rPh sb="0" eb="2">
      <t>ゲツレイ</t>
    </rPh>
    <phoneticPr fontId="3"/>
  </si>
  <si>
    <t>ぬか・ふすま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</si>
  <si>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</si>
  <si>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</si>
  <si>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</si>
  <si>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</si>
  <si>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</si>
  <si>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生体重</t>
    <rPh sb="0" eb="3">
      <t>セイタイジュウ</t>
    </rPh>
    <phoneticPr fontId="3"/>
  </si>
  <si>
    <t>(kg)</t>
    <phoneticPr fontId="3"/>
  </si>
  <si>
    <t>種付料</t>
    <rPh sb="0" eb="2">
      <t>タネツ</t>
    </rPh>
    <rPh sb="2" eb="3">
      <t>リョウ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</si>
  <si>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</si>
  <si>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【作業別労働時間（肥育豚１頭当たり）】</t>
    <rPh sb="1" eb="4">
      <t>サギョウベツ</t>
    </rPh>
    <rPh sb="4" eb="6">
      <t>ロウドウ</t>
    </rPh>
    <rPh sb="6" eb="8">
      <t>ジカン</t>
    </rPh>
    <rPh sb="9" eb="11">
      <t>ヒイク</t>
    </rPh>
    <rPh sb="11" eb="12">
      <t>ブタ</t>
    </rPh>
    <rPh sb="13" eb="14">
      <t>トウ</t>
    </rPh>
    <rPh sb="14" eb="15">
      <t>ア</t>
    </rPh>
    <phoneticPr fontId="3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</si>
  <si>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3"/>
  </si>
  <si>
    <t>エコフィード</t>
    <phoneticPr fontId="3"/>
  </si>
  <si>
    <t>飼料用米</t>
    <rPh sb="0" eb="3">
      <t>シリョウヨウ</t>
    </rPh>
    <rPh sb="3" eb="4">
      <t>マイ</t>
    </rPh>
    <phoneticPr fontId="3"/>
  </si>
  <si>
    <t>脱脂乳</t>
    <rPh sb="0" eb="3">
      <t>ダッシニュウ</t>
    </rPh>
    <phoneticPr fontId="3"/>
  </si>
  <si>
    <t>【流通飼料（肥育豚１頭当たり）】</t>
    <rPh sb="1" eb="3">
      <t>リュウツウ</t>
    </rPh>
    <rPh sb="3" eb="5">
      <t>シリョウ</t>
    </rPh>
    <rPh sb="6" eb="8">
      <t>ヒイク</t>
    </rPh>
    <rPh sb="8" eb="9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</si>
  <si>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</si>
  <si>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①</t>
    <phoneticPr fontId="3"/>
  </si>
  <si>
    <t>②</t>
    <phoneticPr fontId="3"/>
  </si>
  <si>
    <t>平均分べん頭数</t>
    <rPh sb="0" eb="2">
      <t>ヘイキン</t>
    </rPh>
    <rPh sb="2" eb="3">
      <t>ブン</t>
    </rPh>
    <rPh sb="5" eb="7">
      <t>トウスウ</t>
    </rPh>
    <phoneticPr fontId="3"/>
  </si>
  <si>
    <t>②÷①</t>
    <phoneticPr fontId="3"/>
  </si>
  <si>
    <t>子豚の導入頭数</t>
    <rPh sb="0" eb="2">
      <t>コブタ</t>
    </rPh>
    <rPh sb="3" eb="5">
      <t>ドウニュウ</t>
    </rPh>
    <rPh sb="5" eb="7">
      <t>トウスウ</t>
    </rPh>
    <phoneticPr fontId="3"/>
  </si>
  <si>
    <t>【子豚の分べん・導入状況】</t>
    <rPh sb="1" eb="3">
      <t>コブタ</t>
    </rPh>
    <rPh sb="4" eb="5">
      <t>ブン</t>
    </rPh>
    <rPh sb="8" eb="10">
      <t>ドウニュウ</t>
    </rPh>
    <rPh sb="10" eb="12">
      <t>ジョウキョウ</t>
    </rPh>
    <phoneticPr fontId="3"/>
  </si>
  <si>
    <t>増減率(%)</t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</si>
  <si>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</si>
  <si>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頭　　数(頭)</t>
    <rPh sb="0" eb="1">
      <t>アタマ</t>
    </rPh>
    <rPh sb="3" eb="4">
      <t>スウ</t>
    </rPh>
    <rPh sb="5" eb="6">
      <t>トウ</t>
    </rPh>
    <phoneticPr fontId="3"/>
  </si>
  <si>
    <t>穀類</t>
    <rPh sb="0" eb="1">
      <t>コク</t>
    </rPh>
    <rPh sb="1" eb="2">
      <t>タグイ</t>
    </rPh>
    <phoneticPr fontId="3"/>
  </si>
  <si>
    <t>数　　量</t>
    <rPh sb="0" eb="1">
      <t>カズ</t>
    </rPh>
    <rPh sb="3" eb="4">
      <t>リョウ</t>
    </rPh>
    <phoneticPr fontId="3"/>
  </si>
  <si>
    <t>(円)</t>
    <rPh sb="0" eb="1">
      <t>エン</t>
    </rPh>
    <rPh sb="1" eb="2">
      <t>エン</t>
    </rPh>
    <phoneticPr fontId="3"/>
  </si>
  <si>
    <t>単　　価</t>
    <rPh sb="0" eb="1">
      <t>タン</t>
    </rPh>
    <rPh sb="3" eb="4">
      <t>アタイ</t>
    </rPh>
    <phoneticPr fontId="3"/>
  </si>
  <si>
    <t>事故畜</t>
    <rPh sb="0" eb="2">
      <t>ジコ</t>
    </rPh>
    <rPh sb="2" eb="3">
      <t>チク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</si>
  <si>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</si>
  <si>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</si>
  <si>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</si>
  <si>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【副産物（きゅう肥）（肥育豚１頭当たり）】</t>
    <rPh sb="1" eb="4">
      <t>フクサンブツ</t>
    </rPh>
    <rPh sb="8" eb="9">
      <t>ヒ</t>
    </rPh>
    <rPh sb="11" eb="13">
      <t>ヒイク</t>
    </rPh>
    <rPh sb="13" eb="14">
      <t>ブタ</t>
    </rPh>
    <phoneticPr fontId="3"/>
  </si>
  <si>
    <t>【主産物（肥育豚１頭当たり）】</t>
    <rPh sb="1" eb="4">
      <t>シュサンブツ</t>
    </rPh>
    <rPh sb="5" eb="7">
      <t>ヒイク</t>
    </rPh>
    <rPh sb="7" eb="8">
      <t>ブタ</t>
    </rPh>
    <phoneticPr fontId="3"/>
  </si>
  <si>
    <t>子豚の導入月齢</t>
    <rPh sb="0" eb="2">
      <t>コブタ</t>
    </rPh>
    <rPh sb="3" eb="5">
      <t>ドウニュウ</t>
    </rPh>
    <rPh sb="5" eb="7">
      <t>ゲツレイ</t>
    </rPh>
    <phoneticPr fontId="3"/>
  </si>
  <si>
    <t>【副産物（子豚以外）（肥育豚１頭当たり）】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7" eb="9">
      <t>イガイ</t>
    </rPh>
    <rPh sb="11" eb="13">
      <t>ヒイク</t>
    </rPh>
    <rPh sb="13" eb="14">
      <t>ブタ</t>
    </rPh>
    <rPh sb="15" eb="16">
      <t>トウ</t>
    </rPh>
    <rPh sb="16" eb="17">
      <t>ア</t>
    </rPh>
    <rPh sb="17" eb="18">
      <t>タイア</t>
    </rPh>
    <phoneticPr fontId="3"/>
  </si>
  <si>
    <t>【副産物（子豚）（肥育豚１頭当たり）】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9" eb="11">
      <t>ヒイク</t>
    </rPh>
    <rPh sb="11" eb="12">
      <t>ブタ</t>
    </rPh>
    <rPh sb="13" eb="14">
      <t>トウ</t>
    </rPh>
    <rPh sb="14" eb="15">
      <t>ア</t>
    </rPh>
    <rPh sb="15" eb="16">
      <t>タイア</t>
    </rPh>
    <phoneticPr fontId="3"/>
  </si>
  <si>
    <t>販売月齢(月)</t>
    <rPh sb="0" eb="2">
      <t>ハンバイ</t>
    </rPh>
    <rPh sb="2" eb="3">
      <t>ツキ</t>
    </rPh>
    <rPh sb="3" eb="4">
      <t>トシ</t>
    </rPh>
    <rPh sb="5" eb="6">
      <t>ツキ</t>
    </rPh>
    <phoneticPr fontId="3"/>
  </si>
  <si>
    <t>【物件税及び公課諸負担（肥育豚１頭当たり）】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ヒイク</t>
    </rPh>
    <rPh sb="14" eb="15">
      <t>ブタ</t>
    </rPh>
    <phoneticPr fontId="3"/>
  </si>
  <si>
    <t>【減価償却額・資本額（肥育豚１頭当たり）】</t>
    <rPh sb="1" eb="3">
      <t>ゲンカ</t>
    </rPh>
    <rPh sb="3" eb="6">
      <t>ショウキャクガク</t>
    </rPh>
    <rPh sb="7" eb="10">
      <t>シホンガク</t>
    </rPh>
    <rPh sb="11" eb="13">
      <t>ヒイク</t>
    </rPh>
    <rPh sb="13" eb="14">
      <t>ブタ</t>
    </rPh>
    <phoneticPr fontId="3"/>
  </si>
  <si>
    <t>増減率(%)</t>
    <phoneticPr fontId="3"/>
  </si>
  <si>
    <t>物　  件  　税(円)</t>
    <rPh sb="0" eb="1">
      <t>モノ</t>
    </rPh>
    <rPh sb="4" eb="5">
      <t>ケン</t>
    </rPh>
    <rPh sb="8" eb="9">
      <t>ゼイ</t>
    </rPh>
    <rPh sb="10" eb="11">
      <t>エン</t>
    </rPh>
    <phoneticPr fontId="3"/>
  </si>
  <si>
    <r>
      <rPr>
        <sz val="7"/>
        <rFont val="ＭＳ ゴシック"/>
        <family val="3"/>
        <charset val="128"/>
      </rPr>
      <t>分べんした</t>
    </r>
    <r>
      <rPr>
        <sz val="8"/>
        <rFont val="ＭＳ ゴシック"/>
        <family val="3"/>
        <charset val="128"/>
      </rPr>
      <t>繁殖雌豚頭数</t>
    </r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</si>
  <si>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</si>
  <si>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(月)</t>
    <rPh sb="1" eb="2">
      <t>ツキ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</si>
  <si>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</si>
  <si>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</si>
  <si>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</si>
  <si>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</si>
  <si>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</si>
  <si>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</si>
  <si>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</si>
  <si>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</si>
  <si>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</si>
  <si>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</si>
  <si>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</si>
  <si>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</si>
  <si>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</si>
  <si>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</si>
  <si>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</si>
  <si>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</si>
  <si>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</si>
  <si>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</si>
  <si>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</si>
  <si>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</si>
  <si>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</si>
  <si>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</si>
  <si>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</si>
  <si>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</si>
  <si>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</si>
  <si>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</si>
  <si>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</si>
  <si>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</si>
  <si>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</si>
  <si>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</si>
  <si>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</si>
  <si>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</si>
  <si>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もと畜費</t>
    <rPh sb="2" eb="4">
      <t>チクヒ</t>
    </rPh>
    <phoneticPr fontId="3"/>
  </si>
  <si>
    <t>繁殖雌豚費</t>
    <rPh sb="0" eb="2">
      <t>ハンショク</t>
    </rPh>
    <rPh sb="3" eb="4">
      <t>ブタ</t>
    </rPh>
    <rPh sb="4" eb="5">
      <t>ヒ</t>
    </rPh>
    <phoneticPr fontId="3"/>
  </si>
  <si>
    <t>種雄豚費</t>
    <rPh sb="0" eb="1">
      <t>タネ</t>
    </rPh>
    <rPh sb="2" eb="3">
      <t>ブタ</t>
    </rPh>
    <rPh sb="3" eb="4">
      <t>ヒ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</si>
  <si>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</si>
  <si>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</si>
  <si>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kg</t>
    <phoneticPr fontId="3"/>
  </si>
  <si>
    <t>労賃単価</t>
    <rPh sb="0" eb="2">
      <t>ロウチン</t>
    </rPh>
    <rPh sb="2" eb="4">
      <t>タンカ</t>
    </rPh>
    <phoneticPr fontId="3"/>
  </si>
  <si>
    <t>【生産費（肥育豚１頭当たり）】</t>
    <rPh sb="1" eb="4">
      <t>セイサンヒ</t>
    </rPh>
    <rPh sb="5" eb="7">
      <t>ヒイク</t>
    </rPh>
    <rPh sb="7" eb="8">
      <t>ブタ</t>
    </rPh>
    <rPh sb="9" eb="10">
      <t>トウ</t>
    </rPh>
    <rPh sb="10" eb="11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</si>
  <si>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</si>
  <si>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</si>
  <si>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</si>
  <si>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</si>
  <si>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</si>
  <si>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</si>
  <si>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【費用合計（購入）（肥育豚１頭当たり）】</t>
    <rPh sb="1" eb="3">
      <t>ヒヨウ</t>
    </rPh>
    <rPh sb="3" eb="5">
      <t>ゴウケイ</t>
    </rPh>
    <rPh sb="6" eb="8">
      <t>コウニュウ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</si>
  <si>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【費用合計（自給）（肥育豚１頭当たり）】</t>
    <rPh sb="1" eb="3">
      <t>ヒヨウ</t>
    </rPh>
    <rPh sb="3" eb="5">
      <t>ゴウケイ</t>
    </rPh>
    <rPh sb="6" eb="8">
      <t>ジキュウ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</si>
  <si>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増減率(%)</t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</si>
  <si>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</si>
  <si>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</si>
  <si>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</si>
  <si>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肉豚飼養月平均頭数</t>
    <rPh sb="0" eb="1">
      <t>ニク</t>
    </rPh>
    <rPh sb="1" eb="2">
      <t>ブタ</t>
    </rPh>
    <rPh sb="2" eb="4">
      <t>シヨウ</t>
    </rPh>
    <rPh sb="4" eb="7">
      <t>ツキヘイキン</t>
    </rPh>
    <rPh sb="7" eb="9">
      <t>トウスウ</t>
    </rPh>
    <phoneticPr fontId="3"/>
  </si>
  <si>
    <t>【地代（経営体当たり）】</t>
    <rPh sb="1" eb="3">
      <t>チダイ</t>
    </rPh>
    <rPh sb="4" eb="7">
      <t>ケイエイタイ</t>
    </rPh>
    <rPh sb="7" eb="8">
      <t>ア</t>
    </rPh>
    <phoneticPr fontId="3"/>
  </si>
  <si>
    <t>備考欄</t>
    <rPh sb="0" eb="2">
      <t>ビコウ</t>
    </rPh>
    <rPh sb="2" eb="3">
      <t>ラン</t>
    </rPh>
    <phoneticPr fontId="3"/>
  </si>
  <si>
    <t>備考欄</t>
    <rPh sb="0" eb="3">
      <t>ビコウラン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</si>
</sst>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[Red]\-#,##0.0"/>
    <numFmt numFmtId="188" formatCode="#,##0.0"/>
    <numFmt numFmtId="189" formatCode="#,##0.0;\-??0.0;0.0"/>
  </numFmts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7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178" fontId="2" fillId="0" borderId="0" xfId="0" applyNumberFormat="1" applyFont="1" applyAlignment="1">
      <alignment horizontal="center" shrinkToFit="1"/>
    </xf>
    <xf numFmtId="179" fontId="2" fillId="0" borderId="0" xfId="0" applyNumberFormat="1" applyFont="1" applyAlignment="1">
      <alignment horizontal="center" shrinkToFit="1"/>
    </xf>
    <xf numFmtId="178" fontId="2" fillId="0" borderId="0" xfId="0" applyNumberFormat="1" applyFont="1" applyAlignment="1">
      <alignment shrinkToFit="1"/>
    </xf>
    <xf numFmtId="179" fontId="2" fillId="0" borderId="0" xfId="0" applyNumberFormat="1" applyFont="1" applyAlignment="1">
      <alignment shrinkToFit="1"/>
    </xf>
    <xf numFmtId="0" fontId="2" fillId="0" borderId="50" xfId="0" applyFont="1" applyBorder="1" applyAlignment="1">
      <alignment horizontal="distributed" vertical="center"/>
    </xf>
    <xf numFmtId="0" fontId="2" fillId="0" borderId="51" xfId="0" applyFont="1" applyBorder="1" applyAlignment="1">
      <alignment horizontal="distributed" vertical="center"/>
    </xf>
    <xf numFmtId="0" fontId="2" fillId="0" borderId="27" xfId="0" applyFont="1" applyBorder="1" applyAlignment="1">
      <alignment horizontal="distributed" vertical="center"/>
    </xf>
    <xf numFmtId="0" fontId="2" fillId="0" borderId="52" xfId="0" applyFont="1" applyBorder="1" applyAlignment="1">
      <alignment horizontal="distributed" vertical="center"/>
    </xf>
    <xf numFmtId="0" fontId="2" fillId="0" borderId="5" xfId="0" applyFont="1" applyBorder="1">
      <alignment vertical="center"/>
    </xf>
    <xf numFmtId="0" fontId="2" fillId="0" borderId="1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9" fillId="0" borderId="0" xfId="0" applyFont="1">
      <alignment vertical="center"/>
    </xf>
    <xf numFmtId="176" fontId="2" fillId="0" borderId="0" xfId="0" quotePrefix="1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vertical="center" shrinkToFit="1"/>
    </xf>
    <xf numFmtId="180" fontId="2" fillId="0" borderId="0" xfId="0" applyNumberFormat="1" applyFont="1" applyAlignment="1">
      <alignment shrinkToFit="1"/>
    </xf>
    <xf numFmtId="181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justifyLastLine="1"/>
    </xf>
    <xf numFmtId="0" fontId="6" fillId="0" borderId="50" xfId="0" applyFont="1" applyBorder="1" applyAlignment="1">
      <alignment horizontal="distributed" vertical="center" textRotation="255" shrinkToFit="1"/>
    </xf>
    <xf numFmtId="0" fontId="6" fillId="0" borderId="52" xfId="0" applyFont="1" applyBorder="1" applyAlignment="1">
      <alignment horizontal="distributed" vertical="center" textRotation="255" shrinkToFit="1"/>
    </xf>
    <xf numFmtId="0" fontId="9" fillId="0" borderId="51" xfId="0" applyFont="1" applyBorder="1">
      <alignment vertical="center"/>
    </xf>
    <xf numFmtId="0" fontId="9" fillId="0" borderId="27" xfId="0" applyFont="1" applyBorder="1" applyAlignment="1">
      <alignment vertical="center" shrinkToFit="1"/>
    </xf>
    <xf numFmtId="181" fontId="9" fillId="0" borderId="0" xfId="0" applyNumberFormat="1" applyFont="1" applyAlignment="1">
      <alignment shrinkToFit="1"/>
    </xf>
    <xf numFmtId="49" fontId="9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2" fillId="0" borderId="84" xfId="0" applyFont="1" applyBorder="1" applyAlignment="1">
      <alignment vertical="center" shrinkToFit="1"/>
    </xf>
    <xf numFmtId="0" fontId="14" fillId="0" borderId="0" xfId="0" applyFont="1">
      <alignment vertical="center"/>
    </xf>
    <xf numFmtId="0" fontId="2" fillId="0" borderId="13" xfId="0" applyFont="1" applyBorder="1">
      <alignment vertical="center"/>
    </xf>
    <xf numFmtId="178" fontId="2" fillId="0" borderId="13" xfId="0" applyNumberFormat="1" applyFont="1" applyBorder="1" applyAlignment="1">
      <alignment vertical="center" shrinkToFit="1"/>
    </xf>
    <xf numFmtId="179" fontId="2" fillId="0" borderId="13" xfId="0" applyNumberFormat="1" applyFont="1" applyBorder="1" applyAlignment="1">
      <alignment vertical="center" shrinkToFit="1"/>
    </xf>
    <xf numFmtId="180" fontId="2" fillId="0" borderId="13" xfId="0" applyNumberFormat="1" applyFont="1" applyBorder="1" applyAlignment="1">
      <alignment vertical="center" shrinkToFit="1"/>
    </xf>
    <xf numFmtId="184" fontId="2" fillId="0" borderId="13" xfId="0" applyNumberFormat="1" applyFont="1" applyBorder="1" applyAlignment="1">
      <alignment vertical="center" shrinkToFit="1"/>
    </xf>
    <xf numFmtId="0" fontId="2" fillId="0" borderId="26" xfId="0" applyFont="1" applyBorder="1">
      <alignment vertical="center"/>
    </xf>
    <xf numFmtId="0" fontId="2" fillId="0" borderId="0" xfId="0" applyFont="1" applyAlignment="1">
      <alignment horizontal="distributed" vertical="center"/>
    </xf>
    <xf numFmtId="0" fontId="11" fillId="0" borderId="67" xfId="0" applyFont="1" applyBorder="1" applyAlignment="1">
      <alignment horizontal="center" vertical="center" wrapText="1"/>
    </xf>
    <xf numFmtId="0" fontId="9" fillId="0" borderId="50" xfId="0" applyFont="1" applyBorder="1" applyAlignment="1">
      <alignment vertical="center" wrapText="1"/>
    </xf>
    <xf numFmtId="0" fontId="12" fillId="0" borderId="68" xfId="0" applyFont="1" applyBorder="1" applyAlignment="1">
      <alignment horizontal="center" wrapText="1"/>
    </xf>
    <xf numFmtId="0" fontId="11" fillId="0" borderId="68" xfId="0" applyFont="1" applyBorder="1" applyAlignment="1">
      <alignment horizontal="center" vertical="center" wrapText="1"/>
    </xf>
    <xf numFmtId="0" fontId="9" fillId="0" borderId="50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9" fillId="0" borderId="54" xfId="0" applyFont="1" applyBorder="1" applyAlignment="1">
      <alignment horizontal="distributed" vertical="center" wrapText="1"/>
    </xf>
    <xf numFmtId="0" fontId="11" fillId="0" borderId="68" xfId="0" applyFont="1" applyBorder="1" applyAlignment="1">
      <alignment horizontal="center" vertical="center"/>
    </xf>
    <xf numFmtId="0" fontId="9" fillId="0" borderId="52" xfId="0" applyFont="1" applyBorder="1" applyAlignment="1">
      <alignment horizontal="distributed" vertical="distributed" textRotation="255"/>
    </xf>
    <xf numFmtId="0" fontId="12" fillId="0" borderId="61" xfId="0" applyFont="1" applyBorder="1" applyAlignment="1">
      <alignment horizontal="center" wrapText="1"/>
    </xf>
    <xf numFmtId="0" fontId="12" fillId="0" borderId="63" xfId="0" applyFont="1" applyBorder="1" applyAlignment="1">
      <alignment horizontal="center" shrinkToFit="1"/>
    </xf>
    <xf numFmtId="0" fontId="9" fillId="0" borderId="54" xfId="0" applyFont="1" applyBorder="1" applyAlignment="1">
      <alignment horizontal="distributed" vertical="distributed" textRotation="255"/>
    </xf>
    <xf numFmtId="0" fontId="11" fillId="0" borderId="68" xfId="0" applyFont="1" applyBorder="1" applyAlignment="1">
      <alignment horizontal="center" wrapText="1"/>
    </xf>
    <xf numFmtId="0" fontId="9" fillId="0" borderId="55" xfId="0" applyFont="1" applyBorder="1" applyAlignment="1">
      <alignment horizontal="distributed" vertical="distributed" textRotation="255"/>
    </xf>
    <xf numFmtId="0" fontId="11" fillId="0" borderId="61" xfId="0" applyFont="1" applyBorder="1" applyAlignment="1">
      <alignment horizontal="center" wrapText="1"/>
    </xf>
    <xf numFmtId="0" fontId="12" fillId="0" borderId="63" xfId="0" applyFont="1" applyBorder="1" applyAlignment="1">
      <alignment horizontal="center" wrapText="1"/>
    </xf>
    <xf numFmtId="0" fontId="9" fillId="0" borderId="52" xfId="0" applyFont="1" applyBorder="1" applyAlignment="1">
      <alignment horizontal="distributed" wrapText="1"/>
    </xf>
    <xf numFmtId="0" fontId="12" fillId="0" borderId="79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/>
    </xf>
    <xf numFmtId="49" fontId="14" fillId="0" borderId="4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 shrinkToFit="1"/>
    </xf>
    <xf numFmtId="177" fontId="2" fillId="0" borderId="38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7" fontId="2" fillId="0" borderId="62" xfId="0" applyNumberFormat="1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177" fontId="2" fillId="0" borderId="40" xfId="0" applyNumberFormat="1" applyFont="1" applyBorder="1" applyAlignment="1">
      <alignment horizontal="center" vertical="center" shrinkToFit="1"/>
    </xf>
    <xf numFmtId="177" fontId="2" fillId="0" borderId="54" xfId="0" applyNumberFormat="1" applyFont="1" applyBorder="1" applyAlignment="1">
      <alignment horizontal="center" vertical="center" shrinkToFit="1"/>
    </xf>
    <xf numFmtId="0" fontId="2" fillId="0" borderId="66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64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85" fontId="2" fillId="0" borderId="36" xfId="0" applyNumberFormat="1" applyFont="1" applyBorder="1" applyAlignment="1">
      <alignment horizontal="center" vertical="center" shrinkToFit="1"/>
    </xf>
    <xf numFmtId="185" fontId="2" fillId="0" borderId="0" xfId="0" applyNumberFormat="1" applyFont="1" applyAlignment="1">
      <alignment horizontal="center" vertical="center" shrinkToFit="1"/>
    </xf>
    <xf numFmtId="185" fontId="2" fillId="0" borderId="37" xfId="0" applyNumberFormat="1" applyFont="1" applyBorder="1" applyAlignment="1">
      <alignment horizontal="center" vertical="center" shrinkToFit="1"/>
    </xf>
    <xf numFmtId="185" fontId="2" fillId="0" borderId="50" xfId="0" applyNumberFormat="1" applyFont="1" applyBorder="1" applyAlignment="1">
      <alignment horizontal="center" vertical="center" shrinkToFit="1"/>
    </xf>
    <xf numFmtId="185" fontId="2" fillId="0" borderId="5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3" fontId="5" fillId="0" borderId="14" xfId="0" applyNumberFormat="1" applyFont="1" applyBorder="1" applyAlignment="1">
      <alignment horizontal="right" vertical="center" shrinkToFit="1"/>
    </xf>
    <xf numFmtId="3" fontId="5" fillId="0" borderId="15" xfId="0" applyNumberFormat="1" applyFont="1" applyBorder="1" applyAlignment="1">
      <alignment horizontal="right" vertical="center" shrinkToFit="1"/>
    </xf>
    <xf numFmtId="188" fontId="5" fillId="0" borderId="16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34" xfId="0" applyNumberFormat="1" applyFont="1" applyBorder="1" applyAlignment="1">
      <alignment horizontal="right" vertical="center" shrinkToFit="1"/>
    </xf>
    <xf numFmtId="3" fontId="5" fillId="0" borderId="24" xfId="0" applyNumberFormat="1" applyFont="1" applyBorder="1" applyAlignment="1">
      <alignment horizontal="right" vertical="center" shrinkToFit="1"/>
    </xf>
    <xf numFmtId="182" fontId="2" fillId="0" borderId="20" xfId="0" applyNumberFormat="1" applyFont="1" applyBorder="1" applyAlignment="1">
      <alignment horizontal="left" vertical="center" shrinkToFit="1"/>
    </xf>
    <xf numFmtId="182" fontId="2" fillId="0" borderId="5" xfId="0" applyNumberFormat="1" applyFont="1" applyBorder="1" applyAlignment="1">
      <alignment horizontal="left" vertical="center" shrinkToFit="1"/>
    </xf>
    <xf numFmtId="182" fontId="2" fillId="0" borderId="19" xfId="0" applyNumberFormat="1" applyFont="1" applyBorder="1" applyAlignment="1">
      <alignment horizontal="lef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3" fontId="5" fillId="0" borderId="6" xfId="0" applyNumberFormat="1" applyFont="1" applyBorder="1" applyAlignment="1">
      <alignment horizontal="right" vertical="center" shrinkToFit="1"/>
    </xf>
    <xf numFmtId="188" fontId="5" fillId="0" borderId="4" xfId="0" applyNumberFormat="1" applyFont="1" applyBorder="1" applyAlignment="1">
      <alignment horizontal="right" vertical="center" shrinkToFit="1"/>
    </xf>
    <xf numFmtId="188" fontId="5" fillId="0" borderId="5" xfId="0" applyNumberFormat="1" applyFont="1" applyBorder="1" applyAlignment="1">
      <alignment horizontal="right" vertical="center" shrinkToFit="1"/>
    </xf>
    <xf numFmtId="188" fontId="5" fillId="0" borderId="19" xfId="0" applyNumberFormat="1" applyFont="1" applyBorder="1" applyAlignment="1">
      <alignment horizontal="right" vertical="center" shrinkToFit="1"/>
    </xf>
    <xf numFmtId="3" fontId="5" fillId="0" borderId="20" xfId="0" applyNumberFormat="1" applyFont="1" applyBorder="1" applyAlignment="1">
      <alignment horizontal="right" vertical="center" shrinkToFit="1"/>
    </xf>
    <xf numFmtId="189" fontId="15" fillId="0" borderId="20" xfId="0" applyNumberFormat="1" applyFont="1" applyBorder="1" applyAlignment="1">
      <alignment horizontal="right" vertical="center" shrinkToFit="1"/>
    </xf>
    <xf numFmtId="189" fontId="15" fillId="0" borderId="5" xfId="0" applyNumberFormat="1" applyFont="1" applyBorder="1" applyAlignment="1">
      <alignment horizontal="right" vertical="center" shrinkToFit="1"/>
    </xf>
    <xf numFmtId="189" fontId="15" fillId="0" borderId="6" xfId="0" applyNumberFormat="1" applyFont="1" applyBorder="1" applyAlignment="1">
      <alignment horizontal="right" vertical="center" shrinkToFit="1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9" xfId="0" applyNumberFormat="1" applyFont="1" applyBorder="1" applyAlignment="1">
      <alignment horizontal="right" vertical="center" shrinkToFit="1"/>
    </xf>
    <xf numFmtId="189" fontId="15" fillId="0" borderId="35" xfId="0" applyNumberFormat="1" applyFont="1" applyBorder="1" applyAlignment="1">
      <alignment horizontal="right" vertical="center" shrinkToFit="1"/>
    </xf>
    <xf numFmtId="189" fontId="15" fillId="0" borderId="33" xfId="0" applyNumberFormat="1" applyFont="1" applyBorder="1" applyAlignment="1">
      <alignment horizontal="right" vertical="center" shrinkToFit="1"/>
    </xf>
    <xf numFmtId="3" fontId="5" fillId="0" borderId="33" xfId="0" applyNumberFormat="1" applyFont="1" applyBorder="1" applyAlignment="1">
      <alignment horizontal="right" vertical="center" shrinkToFit="1"/>
    </xf>
    <xf numFmtId="3" fontId="5" fillId="0" borderId="60" xfId="0" applyNumberFormat="1" applyFont="1" applyBorder="1" applyAlignment="1">
      <alignment horizontal="right" vertical="center" shrinkToFit="1"/>
    </xf>
    <xf numFmtId="182" fontId="2" fillId="0" borderId="24" xfId="0" applyNumberFormat="1" applyFont="1" applyBorder="1" applyAlignment="1">
      <alignment horizontal="left" vertical="center" shrinkToFit="1"/>
    </xf>
    <xf numFmtId="182" fontId="2" fillId="0" borderId="14" xfId="0" applyNumberFormat="1" applyFont="1" applyBorder="1" applyAlignment="1">
      <alignment horizontal="left" vertical="center" shrinkToFit="1"/>
    </xf>
    <xf numFmtId="182" fontId="2" fillId="0" borderId="34" xfId="0" applyNumberFormat="1" applyFont="1" applyBorder="1" applyAlignment="1">
      <alignment horizontal="left" vertical="center" shrinkToFit="1"/>
    </xf>
    <xf numFmtId="186" fontId="5" fillId="0" borderId="93" xfId="0" applyNumberFormat="1" applyFont="1" applyBorder="1" applyAlignment="1">
      <alignment horizontal="right" vertical="center" shrinkToFit="1"/>
    </xf>
    <xf numFmtId="186" fontId="5" fillId="0" borderId="94" xfId="0" applyNumberFormat="1" applyFont="1" applyBorder="1" applyAlignment="1">
      <alignment horizontal="right" vertical="center" shrinkToFit="1"/>
    </xf>
    <xf numFmtId="186" fontId="5" fillId="0" borderId="95" xfId="0" applyNumberFormat="1" applyFont="1" applyBorder="1" applyAlignment="1">
      <alignment horizontal="right" vertical="center" shrinkToFit="1"/>
    </xf>
    <xf numFmtId="3" fontId="5" fillId="0" borderId="17" xfId="0" applyNumberFormat="1" applyFont="1" applyBorder="1" applyAlignment="1">
      <alignment horizontal="right" vertical="center" shrinkToFit="1"/>
    </xf>
    <xf numFmtId="3" fontId="5" fillId="0" borderId="7" xfId="0" applyNumberFormat="1" applyFont="1" applyBorder="1" applyAlignment="1">
      <alignment horizontal="right" vertical="center" shrinkToFit="1"/>
    </xf>
    <xf numFmtId="3" fontId="5" fillId="0" borderId="8" xfId="0" applyNumberFormat="1" applyFont="1" applyBorder="1" applyAlignment="1">
      <alignment horizontal="right" vertical="center" shrinkToFit="1"/>
    </xf>
    <xf numFmtId="186" fontId="5" fillId="0" borderId="96" xfId="0" applyNumberFormat="1" applyFont="1" applyBorder="1" applyAlignment="1">
      <alignment horizontal="right" vertical="center" shrinkToFit="1"/>
    </xf>
    <xf numFmtId="186" fontId="5" fillId="0" borderId="97" xfId="0" applyNumberFormat="1" applyFont="1" applyBorder="1" applyAlignment="1">
      <alignment horizontal="right" vertical="center" shrinkToFit="1"/>
    </xf>
    <xf numFmtId="186" fontId="5" fillId="0" borderId="98" xfId="0" applyNumberFormat="1" applyFont="1" applyBorder="1" applyAlignment="1">
      <alignment horizontal="right" vertical="center" shrinkToFit="1"/>
    </xf>
    <xf numFmtId="189" fontId="15" fillId="0" borderId="22" xfId="0" applyNumberFormat="1" applyFont="1" applyBorder="1" applyAlignment="1">
      <alignment horizontal="right" vertical="center" shrinkToFit="1"/>
    </xf>
    <xf numFmtId="189" fontId="15" fillId="0" borderId="10" xfId="0" applyNumberFormat="1" applyFont="1" applyBorder="1" applyAlignment="1">
      <alignment horizontal="right" vertical="center" shrinkToFit="1"/>
    </xf>
    <xf numFmtId="189" fontId="15" fillId="0" borderId="12" xfId="0" applyNumberFormat="1" applyFont="1" applyBorder="1" applyAlignment="1">
      <alignment horizontal="right" vertical="center" shrinkToFit="1"/>
    </xf>
    <xf numFmtId="4" fontId="5" fillId="0" borderId="11" xfId="0" applyNumberFormat="1" applyFont="1" applyBorder="1" applyAlignment="1">
      <alignment horizontal="right" vertical="center" shrinkToFit="1"/>
    </xf>
    <xf numFmtId="4" fontId="5" fillId="0" borderId="10" xfId="0" applyNumberFormat="1" applyFont="1" applyBorder="1" applyAlignment="1">
      <alignment horizontal="right" vertical="center" shrinkToFit="1"/>
    </xf>
    <xf numFmtId="4" fontId="5" fillId="0" borderId="21" xfId="0" applyNumberFormat="1" applyFont="1" applyBorder="1" applyAlignment="1">
      <alignment horizontal="right" vertical="center" shrinkToFit="1"/>
    </xf>
    <xf numFmtId="4" fontId="5" fillId="0" borderId="24" xfId="0" applyNumberFormat="1" applyFont="1" applyBorder="1" applyAlignment="1">
      <alignment horizontal="right" vertical="center" shrinkToFit="1"/>
    </xf>
    <xf numFmtId="4" fontId="5" fillId="0" borderId="14" xfId="0" applyNumberFormat="1" applyFont="1" applyBorder="1" applyAlignment="1">
      <alignment horizontal="right" vertical="center" shrinkToFit="1"/>
    </xf>
    <xf numFmtId="4" fontId="5" fillId="0" borderId="20" xfId="0" applyNumberFormat="1" applyFont="1" applyBorder="1" applyAlignment="1">
      <alignment horizontal="right" vertical="center" shrinkToFit="1"/>
    </xf>
    <xf numFmtId="4" fontId="5" fillId="0" borderId="5" xfId="0" applyNumberFormat="1" applyFont="1" applyBorder="1" applyAlignment="1">
      <alignment horizontal="right" vertical="center" shrinkToFit="1"/>
    </xf>
    <xf numFmtId="186" fontId="5" fillId="0" borderId="99" xfId="0" applyNumberFormat="1" applyFont="1" applyBorder="1" applyAlignment="1">
      <alignment horizontal="right" vertical="center" shrinkToFit="1"/>
    </xf>
    <xf numFmtId="186" fontId="5" fillId="0" borderId="100" xfId="0" applyNumberFormat="1" applyFont="1" applyBorder="1" applyAlignment="1">
      <alignment horizontal="right" vertical="center" shrinkToFit="1"/>
    </xf>
    <xf numFmtId="186" fontId="5" fillId="0" borderId="101" xfId="0" applyNumberFormat="1" applyFont="1" applyBorder="1" applyAlignment="1">
      <alignment horizontal="right" vertical="center" shrinkToFit="1"/>
    </xf>
    <xf numFmtId="4" fontId="5" fillId="0" borderId="15" xfId="0" applyNumberFormat="1" applyFont="1" applyBorder="1" applyAlignment="1">
      <alignment horizontal="right" vertical="center" shrinkToFit="1"/>
    </xf>
    <xf numFmtId="4" fontId="5" fillId="0" borderId="6" xfId="0" applyNumberFormat="1" applyFont="1" applyBorder="1" applyAlignment="1">
      <alignment horizontal="right" vertical="center" shrinkToFit="1"/>
    </xf>
    <xf numFmtId="4" fontId="5" fillId="0" borderId="4" xfId="0" applyNumberFormat="1" applyFont="1" applyBorder="1" applyAlignment="1">
      <alignment horizontal="right" vertical="center" shrinkToFit="1"/>
    </xf>
    <xf numFmtId="4" fontId="5" fillId="0" borderId="19" xfId="0" applyNumberFormat="1" applyFont="1" applyBorder="1" applyAlignment="1">
      <alignment horizontal="right" vertical="center" shrinkToFit="1"/>
    </xf>
    <xf numFmtId="3" fontId="5" fillId="0" borderId="11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3" fontId="5" fillId="0" borderId="21" xfId="0" applyNumberFormat="1" applyFont="1" applyBorder="1" applyAlignment="1">
      <alignment horizontal="right" vertical="center" shrinkToFit="1"/>
    </xf>
    <xf numFmtId="189" fontId="15" fillId="0" borderId="24" xfId="0" applyNumberFormat="1" applyFont="1" applyBorder="1" applyAlignment="1">
      <alignment horizontal="right" vertical="center" shrinkToFit="1"/>
    </xf>
    <xf numFmtId="189" fontId="15" fillId="0" borderId="14" xfId="0" applyNumberFormat="1" applyFont="1" applyBorder="1" applyAlignment="1">
      <alignment horizontal="right" vertical="center" shrinkToFit="1"/>
    </xf>
    <xf numFmtId="189" fontId="15" fillId="0" borderId="15" xfId="0" applyNumberFormat="1" applyFont="1" applyBorder="1" applyAlignment="1">
      <alignment horizontal="right" vertical="center" shrinkToFit="1"/>
    </xf>
    <xf numFmtId="4" fontId="5" fillId="0" borderId="16" xfId="0" applyNumberFormat="1" applyFont="1" applyBorder="1" applyAlignment="1">
      <alignment horizontal="right" vertical="center" shrinkToFit="1"/>
    </xf>
    <xf numFmtId="4" fontId="5" fillId="0" borderId="34" xfId="0" applyNumberFormat="1" applyFont="1" applyBorder="1" applyAlignment="1">
      <alignment horizontal="right" vertical="center" shrinkToFit="1"/>
    </xf>
    <xf numFmtId="188" fontId="5" fillId="0" borderId="24" xfId="0" applyNumberFormat="1" applyFont="1" applyBorder="1" applyAlignment="1">
      <alignment horizontal="right" vertical="center" shrinkToFit="1"/>
    </xf>
    <xf numFmtId="188" fontId="5" fillId="0" borderId="15" xfId="0" applyNumberFormat="1" applyFont="1" applyBorder="1" applyAlignment="1">
      <alignment horizontal="right" vertical="center" shrinkToFit="1"/>
    </xf>
    <xf numFmtId="186" fontId="5" fillId="0" borderId="69" xfId="0" applyNumberFormat="1" applyFont="1" applyBorder="1" applyAlignment="1">
      <alignment horizontal="right" vertical="center" shrinkToFit="1"/>
    </xf>
    <xf numFmtId="186" fontId="5" fillId="0" borderId="70" xfId="0" applyNumberFormat="1" applyFont="1" applyBorder="1" applyAlignment="1">
      <alignment horizontal="right" vertical="center" shrinkToFit="1"/>
    </xf>
    <xf numFmtId="186" fontId="5" fillId="0" borderId="71" xfId="0" applyNumberFormat="1" applyFont="1" applyBorder="1" applyAlignment="1">
      <alignment horizontal="right" vertical="center" shrinkToFit="1"/>
    </xf>
    <xf numFmtId="4" fontId="5" fillId="0" borderId="22" xfId="0" applyNumberFormat="1" applyFont="1" applyBorder="1" applyAlignment="1">
      <alignment horizontal="right" vertical="center" shrinkToFit="1"/>
    </xf>
    <xf numFmtId="4" fontId="5" fillId="0" borderId="12" xfId="0" applyNumberFormat="1" applyFont="1" applyBorder="1" applyAlignment="1">
      <alignment horizontal="right" vertical="center" shrinkToFit="1"/>
    </xf>
    <xf numFmtId="3" fontId="5" fillId="0" borderId="25" xfId="0" applyNumberFormat="1" applyFont="1" applyBorder="1" applyAlignment="1">
      <alignment horizontal="right" vertical="center" shrinkToFit="1"/>
    </xf>
    <xf numFmtId="3" fontId="5" fillId="0" borderId="1" xfId="0" applyNumberFormat="1" applyFont="1" applyBorder="1" applyAlignment="1">
      <alignment horizontal="right" vertical="center" shrinkToFit="1"/>
    </xf>
    <xf numFmtId="3" fontId="5" fillId="0" borderId="2" xfId="0" applyNumberFormat="1" applyFont="1" applyBorder="1" applyAlignment="1">
      <alignment horizontal="right" vertical="center" shrinkToFit="1"/>
    </xf>
    <xf numFmtId="186" fontId="5" fillId="0" borderId="102" xfId="0" applyNumberFormat="1" applyFont="1" applyBorder="1" applyAlignment="1">
      <alignment horizontal="right" vertical="center" shrinkToFit="1"/>
    </xf>
    <xf numFmtId="186" fontId="5" fillId="0" borderId="103" xfId="0" applyNumberFormat="1" applyFont="1" applyBorder="1" applyAlignment="1">
      <alignment horizontal="right" vertical="center" shrinkToFit="1"/>
    </xf>
    <xf numFmtId="186" fontId="5" fillId="0" borderId="104" xfId="0" applyNumberFormat="1" applyFont="1" applyBorder="1" applyAlignment="1">
      <alignment horizontal="right" vertical="center" shrinkToFit="1"/>
    </xf>
    <xf numFmtId="3" fontId="5" fillId="0" borderId="16" xfId="0" applyNumberFormat="1" applyFont="1" applyBorder="1" applyAlignment="1">
      <alignment horizontal="right" vertical="center" shrinkToFit="1"/>
    </xf>
    <xf numFmtId="3" fontId="5" fillId="0" borderId="34" xfId="0" applyNumberFormat="1" applyFont="1" applyBorder="1" applyAlignment="1">
      <alignment horizontal="right" vertical="center" shrinkToFit="1"/>
    </xf>
    <xf numFmtId="3" fontId="5" fillId="0" borderId="22" xfId="0" applyNumberFormat="1" applyFont="1" applyBorder="1" applyAlignment="1">
      <alignment horizontal="right" vertical="center" shrinkToFit="1"/>
    </xf>
    <xf numFmtId="3" fontId="5" fillId="0" borderId="12" xfId="0" applyNumberFormat="1" applyFont="1" applyBorder="1" applyAlignment="1">
      <alignment horizontal="right" vertical="center" shrinkToFit="1"/>
    </xf>
    <xf numFmtId="188" fontId="5" fillId="0" borderId="20" xfId="0" applyNumberFormat="1" applyFont="1" applyBorder="1" applyAlignment="1">
      <alignment horizontal="right" vertical="center" shrinkToFit="1"/>
    </xf>
    <xf numFmtId="188" fontId="5" fillId="0" borderId="6" xfId="0" applyNumberFormat="1" applyFont="1" applyBorder="1" applyAlignment="1">
      <alignment horizontal="right" vertical="center" shrinkToFit="1"/>
    </xf>
    <xf numFmtId="186" fontId="5" fillId="0" borderId="73" xfId="0" applyNumberFormat="1" applyFont="1" applyBorder="1" applyAlignment="1">
      <alignment horizontal="right" vertical="center" shrinkToFit="1"/>
    </xf>
    <xf numFmtId="3" fontId="5" fillId="0" borderId="73" xfId="0" applyNumberFormat="1" applyFont="1" applyBorder="1" applyAlignment="1">
      <alignment horizontal="right" vertical="center" shrinkToFit="1"/>
    </xf>
    <xf numFmtId="189" fontId="15" fillId="0" borderId="73" xfId="0" applyNumberFormat="1" applyFont="1" applyBorder="1" applyAlignment="1">
      <alignment horizontal="right" vertical="center" shrinkToFit="1"/>
    </xf>
    <xf numFmtId="3" fontId="5" fillId="0" borderId="74" xfId="0" applyNumberFormat="1" applyFont="1" applyBorder="1" applyAlignment="1">
      <alignment horizontal="right" vertical="center" shrinkToFit="1"/>
    </xf>
    <xf numFmtId="189" fontId="15" fillId="0" borderId="107" xfId="0" applyNumberFormat="1" applyFont="1" applyBorder="1" applyAlignment="1">
      <alignment horizontal="right" vertical="center" shrinkToFit="1"/>
    </xf>
    <xf numFmtId="189" fontId="15" fillId="0" borderId="78" xfId="0" applyNumberFormat="1" applyFont="1" applyBorder="1" applyAlignment="1">
      <alignment horizontal="right" vertical="center" shrinkToFit="1"/>
    </xf>
    <xf numFmtId="189" fontId="15" fillId="0" borderId="105" xfId="0" applyNumberFormat="1" applyFont="1" applyBorder="1" applyAlignment="1">
      <alignment horizontal="right" vertical="center" shrinkToFit="1"/>
    </xf>
    <xf numFmtId="3" fontId="5" fillId="0" borderId="77" xfId="0" applyNumberFormat="1" applyFont="1" applyBorder="1" applyAlignment="1">
      <alignment horizontal="right" vertical="center" shrinkToFit="1"/>
    </xf>
    <xf numFmtId="3" fontId="5" fillId="0" borderId="78" xfId="0" applyNumberFormat="1" applyFont="1" applyBorder="1" applyAlignment="1">
      <alignment horizontal="right" vertical="center" shrinkToFit="1"/>
    </xf>
    <xf numFmtId="3" fontId="5" fillId="0" borderId="108" xfId="0" applyNumberFormat="1" applyFont="1" applyBorder="1" applyAlignment="1">
      <alignment horizontal="right" vertical="center" shrinkToFit="1"/>
    </xf>
    <xf numFmtId="182" fontId="2" fillId="0" borderId="22" xfId="0" applyNumberFormat="1" applyFont="1" applyBorder="1" applyAlignment="1">
      <alignment horizontal="left" vertical="center" shrinkToFit="1"/>
    </xf>
    <xf numFmtId="182" fontId="2" fillId="0" borderId="10" xfId="0" applyNumberFormat="1" applyFont="1" applyBorder="1" applyAlignment="1">
      <alignment horizontal="left" vertical="center" shrinkToFit="1"/>
    </xf>
    <xf numFmtId="182" fontId="2" fillId="0" borderId="21" xfId="0" applyNumberFormat="1" applyFont="1" applyBorder="1" applyAlignment="1">
      <alignment horizontal="left" vertical="center" shrinkToFit="1"/>
    </xf>
    <xf numFmtId="0" fontId="9" fillId="0" borderId="4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9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distributed" vertical="center" wrapText="1"/>
    </xf>
    <xf numFmtId="0" fontId="10" fillId="0" borderId="1" xfId="0" applyFont="1" applyBorder="1" applyAlignment="1">
      <alignment horizontal="distributed" vertical="center" wrapText="1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horizontal="distributed" vertical="center" wrapText="1"/>
    </xf>
    <xf numFmtId="0" fontId="10" fillId="0" borderId="5" xfId="0" applyFont="1" applyBorder="1" applyAlignment="1">
      <alignment wrapText="1"/>
    </xf>
    <xf numFmtId="0" fontId="9" fillId="0" borderId="5" xfId="0" applyFont="1" applyBorder="1" applyAlignment="1">
      <alignment horizontal="distributed" vertical="center" wrapText="1"/>
    </xf>
    <xf numFmtId="0" fontId="10" fillId="0" borderId="9" xfId="0" applyFont="1" applyBorder="1" applyAlignment="1">
      <alignment horizontal="distributed" vertical="center" wrapText="1"/>
    </xf>
    <xf numFmtId="0" fontId="9" fillId="0" borderId="17" xfId="0" applyFont="1" applyBorder="1" applyAlignment="1">
      <alignment horizontal="distributed" wrapText="1"/>
    </xf>
    <xf numFmtId="0" fontId="10" fillId="0" borderId="5" xfId="0" applyFont="1" applyBorder="1" applyAlignment="1">
      <alignment horizontal="distributed" wrapText="1"/>
    </xf>
    <xf numFmtId="0" fontId="9" fillId="0" borderId="17" xfId="0" applyFont="1" applyBorder="1" applyAlignment="1">
      <alignment horizontal="distributed" vertical="center" wrapText="1"/>
    </xf>
    <xf numFmtId="0" fontId="10" fillId="0" borderId="7" xfId="0" applyFont="1" applyBorder="1" applyAlignment="1">
      <alignment horizontal="distributed" wrapText="1"/>
    </xf>
    <xf numFmtId="0" fontId="10" fillId="0" borderId="7" xfId="0" applyFont="1" applyBorder="1" applyAlignment="1">
      <alignment wrapText="1"/>
    </xf>
    <xf numFmtId="0" fontId="9" fillId="0" borderId="4" xfId="0" applyFont="1" applyBorder="1" applyAlignment="1">
      <alignment horizontal="distributed" vertical="center"/>
    </xf>
    <xf numFmtId="0" fontId="9" fillId="0" borderId="5" xfId="0" applyFont="1" applyBorder="1" applyAlignment="1">
      <alignment horizontal="distributed" vertical="center"/>
    </xf>
    <xf numFmtId="0" fontId="9" fillId="0" borderId="7" xfId="0" applyFont="1" applyBorder="1" applyAlignment="1">
      <alignment horizontal="distributed" wrapText="1"/>
    </xf>
    <xf numFmtId="0" fontId="10" fillId="0" borderId="77" xfId="0" applyFont="1" applyBorder="1" applyAlignment="1">
      <alignment horizontal="center" vertical="center" shrinkToFit="1"/>
    </xf>
    <xf numFmtId="0" fontId="10" fillId="0" borderId="78" xfId="0" applyFont="1" applyBorder="1" applyAlignment="1">
      <alignment horizontal="center" vertical="center" shrinkToFit="1"/>
    </xf>
    <xf numFmtId="0" fontId="10" fillId="0" borderId="105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distributed" vertical="center" wrapText="1"/>
    </xf>
    <xf numFmtId="0" fontId="10" fillId="0" borderId="73" xfId="0" applyFont="1" applyBorder="1" applyAlignment="1">
      <alignment horizontal="distributed" vertical="center" wrapText="1"/>
    </xf>
    <xf numFmtId="0" fontId="10" fillId="0" borderId="73" xfId="0" applyFont="1" applyBorder="1" applyAlignment="1">
      <alignment wrapText="1"/>
    </xf>
    <xf numFmtId="0" fontId="9" fillId="0" borderId="22" xfId="0" applyFont="1" applyBorder="1" applyAlignment="1">
      <alignment horizontal="distributed" wrapText="1"/>
    </xf>
    <xf numFmtId="0" fontId="10" fillId="0" borderId="10" xfId="0" applyFont="1" applyBorder="1" applyAlignment="1">
      <alignment horizontal="distributed" wrapText="1"/>
    </xf>
    <xf numFmtId="0" fontId="10" fillId="0" borderId="10" xfId="0" applyFont="1" applyBorder="1" applyAlignment="1">
      <alignment wrapText="1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distributed" wrapText="1"/>
    </xf>
    <xf numFmtId="0" fontId="9" fillId="0" borderId="10" xfId="0" applyFont="1" applyBorder="1" applyAlignment="1">
      <alignment horizontal="distributed" wrapText="1"/>
    </xf>
    <xf numFmtId="0" fontId="9" fillId="0" borderId="40" xfId="0" applyFont="1" applyBorder="1" applyAlignment="1">
      <alignment horizontal="distributed" vertical="center" wrapText="1"/>
    </xf>
    <xf numFmtId="0" fontId="9" fillId="0" borderId="13" xfId="0" applyFont="1" applyBorder="1" applyAlignment="1">
      <alignment horizontal="distributed" vertical="center" wrapText="1"/>
    </xf>
    <xf numFmtId="0" fontId="9" fillId="0" borderId="38" xfId="0" applyFont="1" applyBorder="1" applyAlignment="1">
      <alignment horizontal="distributed" vertical="center" wrapText="1"/>
    </xf>
    <xf numFmtId="0" fontId="9" fillId="0" borderId="0" xfId="0" applyFont="1" applyAlignment="1">
      <alignment horizontal="distributed" vertical="center" wrapText="1"/>
    </xf>
    <xf numFmtId="0" fontId="9" fillId="0" borderId="62" xfId="0" applyFont="1" applyBorder="1" applyAlignment="1">
      <alignment horizontal="distributed" vertical="center" wrapText="1"/>
    </xf>
    <xf numFmtId="0" fontId="9" fillId="0" borderId="55" xfId="0" applyFont="1" applyBorder="1" applyAlignment="1">
      <alignment horizontal="distributed" vertical="center" wrapText="1"/>
    </xf>
    <xf numFmtId="0" fontId="9" fillId="0" borderId="56" xfId="0" applyFont="1" applyBorder="1" applyAlignment="1">
      <alignment horizontal="distributed" vertical="center" wrapText="1"/>
    </xf>
    <xf numFmtId="0" fontId="9" fillId="0" borderId="57" xfId="0" applyFont="1" applyBorder="1" applyAlignment="1">
      <alignment horizontal="distributed" vertical="center" wrapText="1"/>
    </xf>
    <xf numFmtId="0" fontId="9" fillId="0" borderId="16" xfId="0" applyFont="1" applyBorder="1" applyAlignment="1">
      <alignment horizontal="distributed" vertical="center"/>
    </xf>
    <xf numFmtId="0" fontId="9" fillId="0" borderId="14" xfId="0" applyFont="1" applyBorder="1" applyAlignment="1">
      <alignment horizontal="distributed" vertical="center"/>
    </xf>
    <xf numFmtId="0" fontId="9" fillId="0" borderId="15" xfId="0" applyFont="1" applyBorder="1" applyAlignment="1">
      <alignment horizontal="distributed" vertical="center"/>
    </xf>
    <xf numFmtId="0" fontId="9" fillId="0" borderId="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distributed" vertical="center"/>
    </xf>
    <xf numFmtId="0" fontId="9" fillId="0" borderId="10" xfId="0" applyFont="1" applyBorder="1" applyAlignment="1">
      <alignment horizontal="distributed" vertical="center"/>
    </xf>
    <xf numFmtId="0" fontId="9" fillId="0" borderId="12" xfId="0" applyFont="1" applyBorder="1" applyAlignment="1">
      <alignment horizontal="distributed" vertical="center"/>
    </xf>
    <xf numFmtId="0" fontId="9" fillId="0" borderId="25" xfId="0" applyFont="1" applyBorder="1" applyAlignment="1">
      <alignment horizontal="distributed" wrapText="1"/>
    </xf>
    <xf numFmtId="0" fontId="10" fillId="0" borderId="1" xfId="0" applyFont="1" applyBorder="1" applyAlignment="1">
      <alignment horizontal="distributed" wrapText="1"/>
    </xf>
    <xf numFmtId="0" fontId="9" fillId="0" borderId="20" xfId="0" applyFont="1" applyBorder="1" applyAlignment="1">
      <alignment horizontal="distributed" wrapText="1"/>
    </xf>
    <xf numFmtId="0" fontId="9" fillId="0" borderId="4" xfId="0" applyFont="1" applyBorder="1" applyAlignment="1">
      <alignment horizontal="distributed" vertical="center" wrapText="1"/>
    </xf>
    <xf numFmtId="0" fontId="9" fillId="0" borderId="40" xfId="0" applyFont="1" applyBorder="1" applyAlignment="1">
      <alignment horizontal="distributed" vertical="distributed" wrapText="1"/>
    </xf>
    <xf numFmtId="0" fontId="10" fillId="0" borderId="13" xfId="0" applyFont="1" applyBorder="1" applyAlignment="1">
      <alignment horizontal="distributed" wrapText="1"/>
    </xf>
    <xf numFmtId="0" fontId="10" fillId="0" borderId="13" xfId="0" applyFont="1" applyBorder="1" applyAlignment="1">
      <alignment wrapText="1"/>
    </xf>
    <xf numFmtId="0" fontId="9" fillId="0" borderId="4" xfId="0" applyFont="1" applyBorder="1" applyAlignment="1">
      <alignment horizontal="distributed" wrapText="1"/>
    </xf>
    <xf numFmtId="0" fontId="9" fillId="0" borderId="5" xfId="0" applyFont="1" applyBorder="1" applyAlignment="1">
      <alignment horizontal="distributed" wrapText="1"/>
    </xf>
    <xf numFmtId="188" fontId="5" fillId="0" borderId="10" xfId="0" applyNumberFormat="1" applyFont="1" applyBorder="1" applyAlignment="1">
      <alignment horizontal="right" vertical="center" shrinkToFit="1"/>
    </xf>
    <xf numFmtId="188" fontId="5" fillId="0" borderId="12" xfId="0" applyNumberFormat="1" applyFont="1" applyBorder="1" applyAlignment="1">
      <alignment horizontal="right" vertical="center" shrinkToFit="1"/>
    </xf>
    <xf numFmtId="0" fontId="14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6" fontId="2" fillId="0" borderId="40" xfId="0" quotePrefix="1" applyNumberFormat="1" applyFont="1" applyBorder="1" applyAlignment="1">
      <alignment horizontal="center" vertical="center"/>
    </xf>
    <xf numFmtId="176" fontId="2" fillId="0" borderId="13" xfId="0" quotePrefix="1" applyNumberFormat="1" applyFont="1" applyBorder="1" applyAlignment="1">
      <alignment horizontal="center" vertical="center"/>
    </xf>
    <xf numFmtId="176" fontId="2" fillId="0" borderId="38" xfId="0" quotePrefix="1" applyNumberFormat="1" applyFont="1" applyBorder="1" applyAlignment="1">
      <alignment horizontal="center"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0" borderId="38" xfId="0" applyNumberFormat="1" applyFont="1" applyBorder="1" applyAlignment="1">
      <alignment horizontal="center" vertical="center"/>
    </xf>
    <xf numFmtId="38" fontId="5" fillId="0" borderId="26" xfId="4" applyFont="1" applyFill="1" applyBorder="1" applyAlignment="1">
      <alignment horizontal="right" vertical="center" shrinkToFit="1"/>
    </xf>
    <xf numFmtId="38" fontId="5" fillId="0" borderId="27" xfId="4" applyFont="1" applyFill="1" applyBorder="1" applyAlignment="1">
      <alignment horizontal="right" vertical="center" shrinkToFit="1"/>
    </xf>
    <xf numFmtId="189" fontId="5" fillId="0" borderId="27" xfId="0" applyNumberFormat="1" applyFont="1" applyBorder="1" applyAlignment="1">
      <alignment horizontal="right" vertical="center" shrinkToFit="1"/>
    </xf>
    <xf numFmtId="189" fontId="5" fillId="0" borderId="63" xfId="0" applyNumberFormat="1" applyFont="1" applyBorder="1" applyAlignment="1">
      <alignment horizontal="right" vertical="center" shrinkToFit="1"/>
    </xf>
    <xf numFmtId="0" fontId="2" fillId="0" borderId="39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53" xfId="0" applyFont="1" applyBorder="1" applyAlignment="1">
      <alignment horizontal="center" vertical="center" wrapText="1" shrinkToFit="1"/>
    </xf>
    <xf numFmtId="0" fontId="2" fillId="0" borderId="58" xfId="0" applyFont="1" applyBorder="1" applyAlignment="1">
      <alignment horizontal="center" vertical="center" wrapText="1" shrinkToFit="1"/>
    </xf>
    <xf numFmtId="0" fontId="2" fillId="0" borderId="56" xfId="0" applyFont="1" applyBorder="1" applyAlignment="1">
      <alignment horizontal="center" vertical="center" wrapText="1" shrinkToFit="1"/>
    </xf>
    <xf numFmtId="0" fontId="2" fillId="0" borderId="59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55" xfId="0" quotePrefix="1" applyNumberFormat="1" applyFont="1" applyBorder="1" applyAlignment="1">
      <alignment horizontal="right" vertical="center"/>
    </xf>
    <xf numFmtId="176" fontId="2" fillId="0" borderId="56" xfId="0" quotePrefix="1" applyNumberFormat="1" applyFont="1" applyBorder="1" applyAlignment="1">
      <alignment horizontal="right" vertical="center"/>
    </xf>
    <xf numFmtId="176" fontId="2" fillId="0" borderId="57" xfId="0" quotePrefix="1" applyNumberFormat="1" applyFont="1" applyBorder="1" applyAlignment="1">
      <alignment horizontal="right" vertical="center"/>
    </xf>
    <xf numFmtId="176" fontId="2" fillId="0" borderId="58" xfId="0" quotePrefix="1" applyNumberFormat="1" applyFont="1" applyBorder="1" applyAlignment="1">
      <alignment horizontal="right" vertical="center"/>
    </xf>
    <xf numFmtId="0" fontId="2" fillId="0" borderId="54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37" xfId="0" applyFont="1" applyBorder="1" applyAlignment="1">
      <alignment horizontal="distributed" vertical="center"/>
    </xf>
    <xf numFmtId="3" fontId="5" fillId="0" borderId="3" xfId="0" applyNumberFormat="1" applyFont="1" applyBorder="1" applyAlignment="1">
      <alignment horizontal="right" vertical="center" shrinkToFit="1"/>
    </xf>
    <xf numFmtId="189" fontId="5" fillId="0" borderId="3" xfId="0" applyNumberFormat="1" applyFont="1" applyBorder="1" applyAlignment="1">
      <alignment horizontal="right" vertical="center" shrinkToFit="1"/>
    </xf>
    <xf numFmtId="189" fontId="5" fillId="0" borderId="1" xfId="0" applyNumberFormat="1" applyFont="1" applyBorder="1" applyAlignment="1">
      <alignment horizontal="right" vertical="center" shrinkToFit="1"/>
    </xf>
    <xf numFmtId="189" fontId="5" fillId="0" borderId="23" xfId="0" applyNumberFormat="1" applyFont="1" applyBorder="1" applyAlignment="1">
      <alignment horizontal="right" vertical="center" shrinkToFit="1"/>
    </xf>
    <xf numFmtId="0" fontId="2" fillId="0" borderId="24" xfId="0" applyFont="1" applyBorder="1" applyAlignment="1">
      <alignment horizontal="distributed" vertical="center"/>
    </xf>
    <xf numFmtId="0" fontId="2" fillId="0" borderId="14" xfId="0" applyFont="1" applyBorder="1" applyAlignment="1">
      <alignment horizontal="distributed" vertical="center"/>
    </xf>
    <xf numFmtId="188" fontId="5" fillId="0" borderId="35" xfId="0" applyNumberFormat="1" applyFont="1" applyBorder="1" applyAlignment="1">
      <alignment horizontal="right" vertical="center" shrinkToFit="1"/>
    </xf>
    <xf numFmtId="188" fontId="5" fillId="0" borderId="33" xfId="0" applyNumberFormat="1" applyFont="1" applyBorder="1" applyAlignment="1">
      <alignment horizontal="right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60" xfId="0" applyNumberFormat="1" applyFont="1" applyBorder="1" applyAlignment="1">
      <alignment horizontal="right" vertical="center" shrinkToFit="1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/>
    </xf>
    <xf numFmtId="0" fontId="2" fillId="0" borderId="19" xfId="0" applyFont="1" applyBorder="1" applyAlignment="1">
      <alignment horizontal="distributed" vertical="center"/>
    </xf>
    <xf numFmtId="189" fontId="5" fillId="0" borderId="4" xfId="0" applyNumberFormat="1" applyFont="1" applyBorder="1" applyAlignment="1">
      <alignment horizontal="right" vertical="center" shrinkToFit="1"/>
    </xf>
    <xf numFmtId="189" fontId="5" fillId="0" borderId="5" xfId="0" applyNumberFormat="1" applyFont="1" applyBorder="1" applyAlignment="1">
      <alignment horizontal="right" vertical="center" shrinkToFit="1"/>
    </xf>
    <xf numFmtId="189" fontId="5" fillId="0" borderId="19" xfId="0" applyNumberFormat="1" applyFont="1" applyBorder="1" applyAlignment="1">
      <alignment horizontal="right" vertical="center" shrinkToFit="1"/>
    </xf>
    <xf numFmtId="0" fontId="2" fillId="0" borderId="7" xfId="0" applyFont="1" applyBorder="1" applyAlignment="1">
      <alignment horizontal="center" vertical="center"/>
    </xf>
    <xf numFmtId="189" fontId="5" fillId="0" borderId="11" xfId="0" applyNumberFormat="1" applyFont="1" applyBorder="1" applyAlignment="1">
      <alignment horizontal="right" vertical="center" shrinkToFit="1"/>
    </xf>
    <xf numFmtId="189" fontId="5" fillId="0" borderId="10" xfId="0" applyNumberFormat="1" applyFont="1" applyBorder="1" applyAlignment="1">
      <alignment horizontal="right" vertical="center" shrinkToFit="1"/>
    </xf>
    <xf numFmtId="189" fontId="5" fillId="0" borderId="21" xfId="0" applyNumberFormat="1" applyFont="1" applyBorder="1" applyAlignment="1">
      <alignment horizontal="right" vertical="center" shrinkToFit="1"/>
    </xf>
    <xf numFmtId="38" fontId="5" fillId="0" borderId="66" xfId="4" applyFont="1" applyFill="1" applyBorder="1" applyAlignment="1">
      <alignment horizontal="right" vertical="center" shrinkToFit="1"/>
    </xf>
    <xf numFmtId="38" fontId="5" fillId="0" borderId="41" xfId="4" applyFont="1" applyFill="1" applyBorder="1" applyAlignment="1">
      <alignment horizontal="right" vertical="center" shrinkToFit="1"/>
    </xf>
    <xf numFmtId="0" fontId="2" fillId="0" borderId="20" xfId="0" applyFont="1" applyBorder="1" applyAlignment="1">
      <alignment horizontal="distributed" vertical="center"/>
    </xf>
    <xf numFmtId="38" fontId="5" fillId="0" borderId="65" xfId="4" applyFont="1" applyFill="1" applyBorder="1" applyAlignment="1">
      <alignment horizontal="right" vertical="center" shrinkToFit="1"/>
    </xf>
    <xf numFmtId="38" fontId="5" fillId="0" borderId="32" xfId="4" applyFont="1" applyFill="1" applyBorder="1" applyAlignment="1">
      <alignment horizontal="right" vertical="center" shrinkToFit="1"/>
    </xf>
    <xf numFmtId="0" fontId="2" fillId="0" borderId="17" xfId="0" applyFont="1" applyBorder="1" applyAlignment="1">
      <alignment horizontal="distributed" vertical="center"/>
    </xf>
    <xf numFmtId="0" fontId="2" fillId="0" borderId="7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187" fontId="5" fillId="0" borderId="65" xfId="4" applyNumberFormat="1" applyFont="1" applyFill="1" applyBorder="1" applyAlignment="1">
      <alignment horizontal="right" vertical="center" shrinkToFit="1"/>
    </xf>
    <xf numFmtId="187" fontId="5" fillId="0" borderId="32" xfId="4" applyNumberFormat="1" applyFont="1" applyFill="1" applyBorder="1" applyAlignment="1">
      <alignment horizontal="right" vertical="center" shrinkToFit="1"/>
    </xf>
    <xf numFmtId="0" fontId="2" fillId="0" borderId="22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3" fontId="5" fillId="0" borderId="30" xfId="0" applyNumberFormat="1" applyFont="1" applyBorder="1" applyAlignment="1">
      <alignment horizontal="right" vertical="center" shrinkToFit="1"/>
    </xf>
    <xf numFmtId="3" fontId="5" fillId="0" borderId="31" xfId="0" applyNumberFormat="1" applyFont="1" applyBorder="1" applyAlignment="1">
      <alignment horizontal="right" vertical="center" shrinkToFit="1"/>
    </xf>
    <xf numFmtId="187" fontId="5" fillId="0" borderId="30" xfId="4" applyNumberFormat="1" applyFont="1" applyFill="1" applyBorder="1" applyAlignment="1">
      <alignment horizontal="right" vertical="center" shrinkToFit="1"/>
    </xf>
    <xf numFmtId="187" fontId="5" fillId="0" borderId="31" xfId="4" applyNumberFormat="1" applyFont="1" applyFill="1" applyBorder="1" applyAlignment="1">
      <alignment horizontal="right" vertical="center" shrinkToFit="1"/>
    </xf>
    <xf numFmtId="189" fontId="5" fillId="0" borderId="16" xfId="0" applyNumberFormat="1" applyFont="1" applyBorder="1" applyAlignment="1">
      <alignment horizontal="right" vertical="center" shrinkToFit="1"/>
    </xf>
    <xf numFmtId="189" fontId="5" fillId="0" borderId="14" xfId="0" applyNumberFormat="1" applyFont="1" applyBorder="1" applyAlignment="1">
      <alignment horizontal="right" vertical="center" shrinkToFit="1"/>
    </xf>
    <xf numFmtId="189" fontId="5" fillId="0" borderId="34" xfId="0" applyNumberFormat="1" applyFont="1" applyBorder="1" applyAlignment="1">
      <alignment horizontal="right" vertical="center" shrinkToFit="1"/>
    </xf>
    <xf numFmtId="176" fontId="2" fillId="0" borderId="55" xfId="0" quotePrefix="1" applyNumberFormat="1" applyFont="1" applyBorder="1" applyAlignment="1">
      <alignment horizontal="center" vertical="center"/>
    </xf>
    <xf numFmtId="176" fontId="2" fillId="0" borderId="56" xfId="0" quotePrefix="1" applyNumberFormat="1" applyFont="1" applyBorder="1" applyAlignment="1">
      <alignment horizontal="center" vertical="center"/>
    </xf>
    <xf numFmtId="176" fontId="2" fillId="0" borderId="57" xfId="0" quotePrefix="1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distributed" vertical="center"/>
    </xf>
    <xf numFmtId="0" fontId="2" fillId="0" borderId="38" xfId="0" applyFont="1" applyBorder="1" applyAlignment="1">
      <alignment horizontal="distributed" vertical="center"/>
    </xf>
    <xf numFmtId="0" fontId="2" fillId="0" borderId="62" xfId="0" applyFont="1" applyBorder="1" applyAlignment="1">
      <alignment horizontal="distributed" vertical="center"/>
    </xf>
    <xf numFmtId="0" fontId="2" fillId="0" borderId="55" xfId="0" applyFont="1" applyBorder="1" applyAlignment="1">
      <alignment horizontal="distributed" vertical="center"/>
    </xf>
    <xf numFmtId="0" fontId="2" fillId="0" borderId="57" xfId="0" applyFont="1" applyBorder="1" applyAlignment="1">
      <alignment horizontal="distributed" vertical="center"/>
    </xf>
    <xf numFmtId="0" fontId="2" fillId="0" borderId="16" xfId="0" applyFont="1" applyBorder="1" applyAlignment="1">
      <alignment horizontal="distributed" vertical="center"/>
    </xf>
    <xf numFmtId="0" fontId="2" fillId="0" borderId="11" xfId="0" applyFont="1" applyBorder="1" applyAlignment="1">
      <alignment horizontal="distributed" vertical="center"/>
    </xf>
    <xf numFmtId="176" fontId="2" fillId="0" borderId="7" xfId="0" quotePrefix="1" applyNumberFormat="1" applyFont="1" applyBorder="1" applyAlignment="1">
      <alignment horizontal="center" vertical="center"/>
    </xf>
    <xf numFmtId="176" fontId="2" fillId="0" borderId="8" xfId="0" quotePrefix="1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distributed" vertical="center"/>
    </xf>
    <xf numFmtId="0" fontId="2" fillId="0" borderId="9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176" fontId="2" fillId="0" borderId="17" xfId="0" quotePrefix="1" applyNumberFormat="1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14" xfId="0" applyFont="1" applyBorder="1" applyAlignment="1">
      <alignment horizontal="distributed" vertical="center" justifyLastLine="1"/>
    </xf>
    <xf numFmtId="0" fontId="2" fillId="0" borderId="34" xfId="0" applyFont="1" applyBorder="1" applyAlignment="1">
      <alignment horizontal="distributed" vertical="center" justifyLastLine="1"/>
    </xf>
    <xf numFmtId="0" fontId="2" fillId="0" borderId="24" xfId="0" applyFont="1" applyBorder="1" applyAlignment="1">
      <alignment horizontal="distributed" vertical="center" justifyLastLine="1"/>
    </xf>
    <xf numFmtId="188" fontId="5" fillId="0" borderId="22" xfId="0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distributed"/>
    </xf>
    <xf numFmtId="0" fontId="2" fillId="0" borderId="5" xfId="0" applyFont="1" applyBorder="1" applyAlignment="1">
      <alignment horizontal="distributed"/>
    </xf>
    <xf numFmtId="0" fontId="2" fillId="0" borderId="19" xfId="0" applyFont="1" applyBorder="1" applyAlignment="1">
      <alignment horizontal="distributed"/>
    </xf>
    <xf numFmtId="189" fontId="5" fillId="0" borderId="36" xfId="0" applyNumberFormat="1" applyFont="1" applyBorder="1" applyAlignment="1">
      <alignment horizontal="right" vertical="center" shrinkToFit="1"/>
    </xf>
    <xf numFmtId="189" fontId="5" fillId="0" borderId="0" xfId="0" applyNumberFormat="1" applyFont="1" applyAlignment="1">
      <alignment horizontal="right" vertical="center" shrinkToFit="1"/>
    </xf>
    <xf numFmtId="189" fontId="5" fillId="0" borderId="37" xfId="0" applyNumberFormat="1" applyFont="1" applyBorder="1" applyAlignment="1">
      <alignment horizontal="right" vertical="center" shrinkToFit="1"/>
    </xf>
    <xf numFmtId="0" fontId="6" fillId="0" borderId="54" xfId="0" applyFont="1" applyBorder="1" applyAlignment="1">
      <alignment horizontal="distributed" vertical="center"/>
    </xf>
    <xf numFmtId="0" fontId="6" fillId="0" borderId="0" xfId="0" applyFont="1" applyAlignment="1">
      <alignment horizontal="distributed" vertical="center"/>
    </xf>
    <xf numFmtId="0" fontId="6" fillId="0" borderId="37" xfId="0" applyFont="1" applyBorder="1" applyAlignment="1">
      <alignment horizontal="distributed" vertical="center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62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0" fontId="2" fillId="0" borderId="11" xfId="0" applyFont="1" applyBorder="1" applyAlignment="1">
      <alignment horizontal="distributed"/>
    </xf>
    <xf numFmtId="0" fontId="2" fillId="0" borderId="10" xfId="0" applyFont="1" applyBorder="1" applyAlignment="1">
      <alignment horizontal="distributed"/>
    </xf>
    <xf numFmtId="0" fontId="2" fillId="0" borderId="21" xfId="0" applyFont="1" applyBorder="1" applyAlignment="1">
      <alignment horizontal="distributed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0" fontId="2" fillId="0" borderId="75" xfId="0" applyFont="1" applyBorder="1" applyAlignment="1">
      <alignment horizontal="distributed" vertical="center"/>
    </xf>
    <xf numFmtId="0" fontId="2" fillId="0" borderId="76" xfId="0" applyFont="1" applyBorder="1" applyAlignment="1">
      <alignment horizontal="distributed" vertical="center"/>
    </xf>
    <xf numFmtId="189" fontId="5" fillId="0" borderId="83" xfId="0" applyNumberFormat="1" applyFont="1" applyBorder="1" applyAlignment="1">
      <alignment horizontal="right" vertical="center" shrinkToFit="1"/>
    </xf>
    <xf numFmtId="189" fontId="5" fillId="0" borderId="76" xfId="0" applyNumberFormat="1" applyFont="1" applyBorder="1" applyAlignment="1">
      <alignment horizontal="right" vertical="center" shrinkToFit="1"/>
    </xf>
    <xf numFmtId="189" fontId="5" fillId="0" borderId="84" xfId="0" applyNumberFormat="1" applyFont="1" applyBorder="1" applyAlignment="1">
      <alignment horizontal="right" vertical="center" shrinkToFit="1"/>
    </xf>
    <xf numFmtId="0" fontId="2" fillId="0" borderId="13" xfId="0" applyFont="1" applyBorder="1" applyAlignment="1">
      <alignment horizontal="distributed" vertical="center"/>
    </xf>
    <xf numFmtId="0" fontId="2" fillId="0" borderId="53" xfId="0" applyFont="1" applyBorder="1" applyAlignment="1">
      <alignment horizontal="distributed" vertical="center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3" fontId="5" fillId="0" borderId="76" xfId="4" applyNumberFormat="1" applyFont="1" applyFill="1" applyBorder="1" applyAlignment="1">
      <alignment horizontal="right" vertical="center" shrinkToFit="1"/>
    </xf>
    <xf numFmtId="3" fontId="5" fillId="0" borderId="82" xfId="4" applyNumberFormat="1" applyFont="1" applyFill="1" applyBorder="1" applyAlignment="1">
      <alignment horizontal="right" vertical="center" shrinkToFit="1"/>
    </xf>
    <xf numFmtId="3" fontId="5" fillId="0" borderId="83" xfId="4" applyNumberFormat="1" applyFont="1" applyFill="1" applyBorder="1" applyAlignment="1">
      <alignment horizontal="right" vertical="center" shrinkToFit="1"/>
    </xf>
    <xf numFmtId="0" fontId="2" fillId="0" borderId="25" xfId="0" applyFont="1" applyBorder="1" applyAlignment="1">
      <alignment horizontal="distributed" vertical="center"/>
    </xf>
    <xf numFmtId="0" fontId="2" fillId="0" borderId="1" xfId="0" applyFont="1" applyBorder="1" applyAlignment="1">
      <alignment horizontal="distributed" vertical="center"/>
    </xf>
    <xf numFmtId="0" fontId="2" fillId="0" borderId="23" xfId="0" applyFont="1" applyBorder="1" applyAlignment="1">
      <alignment horizontal="distributed" vertical="center"/>
    </xf>
    <xf numFmtId="0" fontId="2" fillId="0" borderId="84" xfId="0" applyFont="1" applyBorder="1" applyAlignment="1">
      <alignment horizontal="distributed" vertical="center"/>
    </xf>
    <xf numFmtId="3" fontId="5" fillId="0" borderId="75" xfId="0" applyNumberFormat="1" applyFont="1" applyBorder="1" applyAlignment="1">
      <alignment horizontal="right" vertical="center" shrinkToFit="1"/>
    </xf>
    <xf numFmtId="3" fontId="5" fillId="0" borderId="76" xfId="0" applyNumberFormat="1" applyFont="1" applyBorder="1" applyAlignment="1">
      <alignment horizontal="right" vertical="center" shrinkToFit="1"/>
    </xf>
    <xf numFmtId="3" fontId="5" fillId="0" borderId="82" xfId="0" applyNumberFormat="1" applyFont="1" applyBorder="1" applyAlignment="1">
      <alignment horizontal="right" vertical="center" shrinkToFit="1"/>
    </xf>
    <xf numFmtId="3" fontId="5" fillId="0" borderId="83" xfId="0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3" fontId="5" fillId="0" borderId="28" xfId="0" applyNumberFormat="1" applyFont="1" applyBorder="1" applyAlignment="1">
      <alignment horizontal="right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6" fontId="2" fillId="0" borderId="30" xfId="0" quotePrefix="1" applyNumberFormat="1" applyFont="1" applyBorder="1" applyAlignment="1">
      <alignment horizontal="center" vertical="center"/>
    </xf>
    <xf numFmtId="176" fontId="2" fillId="0" borderId="31" xfId="0" quotePrefix="1" applyNumberFormat="1" applyFont="1" applyBorder="1" applyAlignment="1">
      <alignment horizontal="center" vertical="center"/>
    </xf>
    <xf numFmtId="177" fontId="2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3" fontId="5" fillId="0" borderId="27" xfId="0" applyNumberFormat="1" applyFont="1" applyBorder="1" applyAlignment="1">
      <alignment horizontal="right" vertical="center" shrinkToFit="1"/>
    </xf>
    <xf numFmtId="176" fontId="2" fillId="0" borderId="12" xfId="0" quotePrefix="1" applyNumberFormat="1" applyFont="1" applyBorder="1" applyAlignment="1">
      <alignment horizontal="center" vertical="center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27" xfId="4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28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178" fontId="5" fillId="0" borderId="85" xfId="0" applyNumberFormat="1" applyFont="1" applyBorder="1" applyAlignment="1">
      <alignment horizontal="right" vertical="center" shrinkToFit="1"/>
    </xf>
    <xf numFmtId="183" fontId="5" fillId="0" borderId="86" xfId="0" applyNumberFormat="1" applyFont="1" applyBorder="1" applyAlignment="1">
      <alignment horizontal="right" vertical="center" shrinkToFit="1"/>
    </xf>
    <xf numFmtId="178" fontId="5" fillId="0" borderId="86" xfId="0" applyNumberFormat="1" applyFont="1" applyBorder="1" applyAlignment="1">
      <alignment horizontal="right" vertical="center" shrinkToFit="1"/>
    </xf>
    <xf numFmtId="179" fontId="5" fillId="0" borderId="69" xfId="0" applyNumberFormat="1" applyFont="1" applyBorder="1" applyAlignment="1">
      <alignment horizontal="right" vertical="center" shrinkToFit="1"/>
    </xf>
    <xf numFmtId="179" fontId="5" fillId="0" borderId="70" xfId="0" applyNumberFormat="1" applyFont="1" applyBorder="1" applyAlignment="1">
      <alignment horizontal="right" vertical="center" shrinkToFit="1"/>
    </xf>
    <xf numFmtId="179" fontId="5" fillId="0" borderId="71" xfId="0" applyNumberFormat="1" applyFont="1" applyBorder="1" applyAlignment="1">
      <alignment horizontal="right" vertical="center" shrinkToFit="1"/>
    </xf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75" xfId="0" applyFont="1" applyBorder="1">
      <alignment vertical="center"/>
    </xf>
    <xf numFmtId="0" fontId="2" fillId="0" borderId="76" xfId="0" applyFont="1" applyBorder="1">
      <alignment vertical="center"/>
    </xf>
    <xf numFmtId="0" fontId="2" fillId="0" borderId="84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34" xfId="0" applyFont="1" applyBorder="1">
      <alignment vertical="center"/>
    </xf>
    <xf numFmtId="0" fontId="2" fillId="0" borderId="55" xfId="0" applyFont="1" applyBorder="1">
      <alignment vertical="center"/>
    </xf>
    <xf numFmtId="0" fontId="2" fillId="0" borderId="56" xfId="0" applyFont="1" applyBorder="1">
      <alignment vertical="center"/>
    </xf>
    <xf numFmtId="0" fontId="2" fillId="0" borderId="59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justifyLastLine="1"/>
    </xf>
    <xf numFmtId="0" fontId="2" fillId="0" borderId="14" xfId="0" applyFont="1" applyBorder="1" applyAlignment="1">
      <alignment horizontal="center" vertical="center" justifyLastLine="1"/>
    </xf>
    <xf numFmtId="0" fontId="2" fillId="0" borderId="34" xfId="0" applyFont="1" applyBorder="1" applyAlignment="1">
      <alignment horizontal="center" vertical="center" justifyLastLine="1"/>
    </xf>
    <xf numFmtId="3" fontId="5" fillId="0" borderId="29" xfId="0" applyNumberFormat="1" applyFont="1" applyBorder="1" applyAlignment="1">
      <alignment horizontal="right" vertical="center" shrinkToFit="1"/>
    </xf>
    <xf numFmtId="180" fontId="5" fillId="0" borderId="4" xfId="0" applyNumberFormat="1" applyFont="1" applyBorder="1" applyAlignment="1">
      <alignment horizontal="right" vertical="center" shrinkToFit="1"/>
    </xf>
    <xf numFmtId="180" fontId="5" fillId="0" borderId="5" xfId="0" applyNumberFormat="1" applyFont="1" applyBorder="1" applyAlignment="1">
      <alignment horizontal="right" vertical="center" shrinkToFit="1"/>
    </xf>
    <xf numFmtId="180" fontId="5" fillId="0" borderId="6" xfId="0" applyNumberFormat="1" applyFont="1" applyBorder="1" applyAlignment="1">
      <alignment horizontal="right" vertical="center" shrinkToFit="1"/>
    </xf>
    <xf numFmtId="0" fontId="2" fillId="0" borderId="58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80" fontId="5" fillId="0" borderId="20" xfId="0" applyNumberFormat="1" applyFont="1" applyBorder="1" applyAlignment="1">
      <alignment horizontal="right" vertical="center" shrinkToFit="1"/>
    </xf>
    <xf numFmtId="188" fontId="5" fillId="0" borderId="5" xfId="4" applyNumberFormat="1" applyFont="1" applyFill="1" applyBorder="1" applyAlignment="1">
      <alignment horizontal="right" vertical="center" shrinkToFit="1"/>
    </xf>
    <xf numFmtId="188" fontId="5" fillId="0" borderId="6" xfId="4" applyNumberFormat="1" applyFont="1" applyFill="1" applyBorder="1" applyAlignment="1">
      <alignment horizontal="right" vertical="center" shrinkToFit="1"/>
    </xf>
    <xf numFmtId="188" fontId="5" fillId="0" borderId="4" xfId="4" applyNumberFormat="1" applyFont="1" applyFill="1" applyBorder="1" applyAlignment="1">
      <alignment horizontal="right" vertical="center" shrinkToFit="1"/>
    </xf>
    <xf numFmtId="188" fontId="5" fillId="0" borderId="10" xfId="4" applyNumberFormat="1" applyFont="1" applyFill="1" applyBorder="1" applyAlignment="1">
      <alignment horizontal="right" vertical="center" shrinkToFit="1"/>
    </xf>
    <xf numFmtId="188" fontId="5" fillId="0" borderId="12" xfId="4" applyNumberFormat="1" applyFont="1" applyFill="1" applyBorder="1" applyAlignment="1">
      <alignment horizontal="right" vertical="center" shrinkToFit="1"/>
    </xf>
    <xf numFmtId="188" fontId="5" fillId="0" borderId="11" xfId="4" applyNumberFormat="1" applyFont="1" applyFill="1" applyBorder="1" applyAlignment="1">
      <alignment horizontal="right" vertical="center" shrinkToFit="1"/>
    </xf>
    <xf numFmtId="180" fontId="5" fillId="0" borderId="22" xfId="0" applyNumberFormat="1" applyFont="1" applyBorder="1" applyAlignment="1">
      <alignment horizontal="right" vertical="center" shrinkToFit="1"/>
    </xf>
    <xf numFmtId="180" fontId="5" fillId="0" borderId="10" xfId="0" applyNumberFormat="1" applyFont="1" applyBorder="1" applyAlignment="1">
      <alignment horizontal="right" vertical="center" shrinkToFit="1"/>
    </xf>
    <xf numFmtId="180" fontId="5" fillId="0" borderId="12" xfId="0" applyNumberFormat="1" applyFont="1" applyBorder="1" applyAlignment="1">
      <alignment horizontal="right" vertical="center" shrinkToFit="1"/>
    </xf>
    <xf numFmtId="180" fontId="5" fillId="0" borderId="11" xfId="0" applyNumberFormat="1" applyFont="1" applyBorder="1" applyAlignment="1">
      <alignment horizontal="right" vertical="center" shrinkToFit="1"/>
    </xf>
    <xf numFmtId="180" fontId="5" fillId="0" borderId="112" xfId="0" applyNumberFormat="1" applyFont="1" applyBorder="1" applyAlignment="1">
      <alignment horizontal="right" vertical="center" shrinkToFit="1"/>
    </xf>
    <xf numFmtId="184" fontId="5" fillId="0" borderId="113" xfId="0" applyNumberFormat="1" applyFont="1" applyBorder="1" applyAlignment="1">
      <alignment horizontal="right" vertical="center" shrinkToFit="1"/>
    </xf>
    <xf numFmtId="188" fontId="5" fillId="0" borderId="3" xfId="4" applyNumberFormat="1" applyFont="1" applyFill="1" applyBorder="1" applyAlignment="1">
      <alignment horizontal="right" vertical="center" shrinkToFit="1"/>
    </xf>
    <xf numFmtId="188" fontId="5" fillId="0" borderId="1" xfId="4" applyNumberFormat="1" applyFont="1" applyFill="1" applyBorder="1" applyAlignment="1">
      <alignment horizontal="right" vertical="center" shrinkToFit="1"/>
    </xf>
    <xf numFmtId="188" fontId="5" fillId="0" borderId="2" xfId="4" applyNumberFormat="1" applyFont="1" applyFill="1" applyBorder="1" applyAlignment="1">
      <alignment horizontal="right" vertical="center" shrinkToFit="1"/>
    </xf>
    <xf numFmtId="180" fontId="5" fillId="0" borderId="110" xfId="0" applyNumberFormat="1" applyFont="1" applyBorder="1" applyAlignment="1">
      <alignment horizontal="right" vertical="center" shrinkToFit="1"/>
    </xf>
    <xf numFmtId="184" fontId="5" fillId="0" borderId="110" xfId="0" applyNumberFormat="1" applyFont="1" applyBorder="1" applyAlignment="1">
      <alignment horizontal="right" vertical="center" shrinkToFit="1"/>
    </xf>
    <xf numFmtId="0" fontId="2" fillId="0" borderId="13" xfId="0" applyFont="1" applyBorder="1" applyAlignment="1">
      <alignment horizontal="center" vertical="center" justifyLastLine="1"/>
    </xf>
    <xf numFmtId="0" fontId="2" fillId="0" borderId="53" xfId="0" applyFont="1" applyBorder="1" applyAlignment="1">
      <alignment horizontal="center" vertical="center" justifyLastLine="1"/>
    </xf>
    <xf numFmtId="181" fontId="2" fillId="0" borderId="0" xfId="0" applyNumberFormat="1" applyFont="1" applyAlignment="1">
      <alignment horizontal="right" shrinkToFit="1"/>
    </xf>
    <xf numFmtId="179" fontId="2" fillId="0" borderId="0" xfId="0" applyNumberFormat="1" applyFont="1" applyAlignment="1">
      <alignment horizontal="right" shrinkToFit="1"/>
    </xf>
    <xf numFmtId="180" fontId="2" fillId="0" borderId="0" xfId="0" applyNumberFormat="1" applyFont="1" applyAlignment="1">
      <alignment horizontal="right" shrinkToFit="1"/>
    </xf>
    <xf numFmtId="184" fontId="2" fillId="0" borderId="0" xfId="0" applyNumberFormat="1" applyFont="1" applyAlignment="1">
      <alignment horizontal="right" shrinkToFit="1"/>
    </xf>
    <xf numFmtId="0" fontId="2" fillId="0" borderId="40" xfId="0" applyFont="1" applyBorder="1" applyAlignment="1">
      <alignment horizontal="center" vertical="center" justifyLastLine="1"/>
    </xf>
    <xf numFmtId="182" fontId="2" fillId="0" borderId="0" xfId="0" applyNumberFormat="1" applyFont="1" applyAlignment="1">
      <alignment horizontal="center" shrinkToFit="1"/>
    </xf>
    <xf numFmtId="3" fontId="5" fillId="0" borderId="52" xfId="4" applyNumberFormat="1" applyFont="1" applyFill="1" applyBorder="1" applyAlignment="1">
      <alignment horizontal="right" vertical="center" shrinkToFit="1"/>
    </xf>
    <xf numFmtId="3" fontId="5" fillId="0" borderId="106" xfId="4" applyNumberFormat="1" applyFont="1" applyFill="1" applyBorder="1" applyAlignment="1">
      <alignment horizontal="right" vertical="center" shrinkToFit="1"/>
    </xf>
    <xf numFmtId="0" fontId="2" fillId="0" borderId="66" xfId="0" applyFont="1" applyBorder="1" applyAlignment="1">
      <alignment horizontal="center" vertical="center" textRotation="255"/>
    </xf>
    <xf numFmtId="0" fontId="2" fillId="0" borderId="50" xfId="0" applyFont="1" applyBorder="1" applyAlignment="1">
      <alignment horizontal="center" vertical="center" textRotation="255"/>
    </xf>
    <xf numFmtId="0" fontId="2" fillId="0" borderId="52" xfId="0" applyFont="1" applyBorder="1" applyAlignment="1">
      <alignment horizontal="center" vertical="center" textRotation="255"/>
    </xf>
    <xf numFmtId="3" fontId="5" fillId="0" borderId="35" xfId="0" applyNumberFormat="1" applyFont="1" applyBorder="1" applyAlignment="1">
      <alignment horizontal="right" vertical="center" shrinkToFit="1"/>
    </xf>
    <xf numFmtId="3" fontId="5" fillId="0" borderId="26" xfId="0" applyNumberFormat="1" applyFont="1" applyBorder="1" applyAlignment="1">
      <alignment horizontal="right" vertical="center" shrinkToFit="1"/>
    </xf>
    <xf numFmtId="0" fontId="2" fillId="0" borderId="34" xfId="0" applyFont="1" applyBorder="1" applyAlignment="1">
      <alignment horizontal="distributed" vertical="center"/>
    </xf>
    <xf numFmtId="0" fontId="2" fillId="0" borderId="3" xfId="0" applyFont="1" applyBorder="1" applyAlignment="1">
      <alignment horizontal="distributed" vertical="center"/>
    </xf>
    <xf numFmtId="189" fontId="5" fillId="0" borderId="31" xfId="0" applyNumberFormat="1" applyFont="1" applyBorder="1" applyAlignment="1">
      <alignment horizontal="right" vertical="center" shrinkToFit="1"/>
    </xf>
    <xf numFmtId="189" fontId="5" fillId="0" borderId="61" xfId="0" applyNumberFormat="1" applyFont="1" applyBorder="1" applyAlignment="1">
      <alignment horizontal="right" vertical="center" shrinkToFit="1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176" fontId="2" fillId="0" borderId="82" xfId="0" quotePrefix="1" applyNumberFormat="1" applyFont="1" applyBorder="1" applyAlignment="1">
      <alignment horizontal="center" vertical="center"/>
    </xf>
    <xf numFmtId="176" fontId="2" fillId="0" borderId="90" xfId="0" quotePrefix="1" applyNumberFormat="1" applyFont="1" applyBorder="1" applyAlignment="1">
      <alignment horizontal="center" vertical="center"/>
    </xf>
    <xf numFmtId="177" fontId="2" fillId="0" borderId="90" xfId="0" applyNumberFormat="1" applyFont="1" applyBorder="1" applyAlignment="1">
      <alignment horizontal="center" vertical="center"/>
    </xf>
    <xf numFmtId="4" fontId="5" fillId="0" borderId="26" xfId="4" applyNumberFormat="1" applyFont="1" applyFill="1" applyBorder="1" applyAlignment="1">
      <alignment horizontal="right" vertical="center" shrinkToFit="1"/>
    </xf>
    <xf numFmtId="4" fontId="5" fillId="0" borderId="27" xfId="4" applyNumberFormat="1" applyFont="1" applyFill="1" applyBorder="1" applyAlignment="1">
      <alignment horizontal="right" vertical="center" shrinkToFit="1"/>
    </xf>
    <xf numFmtId="3" fontId="5" fillId="0" borderId="26" xfId="4" applyNumberFormat="1" applyFont="1" applyFill="1" applyBorder="1" applyAlignment="1">
      <alignment horizontal="right" vertical="center" shrinkToFit="1"/>
    </xf>
    <xf numFmtId="0" fontId="2" fillId="0" borderId="56" xfId="0" applyFont="1" applyBorder="1" applyAlignment="1">
      <alignment horizontal="distributed" vertical="center"/>
    </xf>
    <xf numFmtId="0" fontId="2" fillId="0" borderId="59" xfId="0" applyFont="1" applyBorder="1" applyAlignment="1">
      <alignment horizontal="distributed" vertical="center"/>
    </xf>
    <xf numFmtId="189" fontId="5" fillId="0" borderId="58" xfId="0" applyNumberFormat="1" applyFont="1" applyBorder="1" applyAlignment="1">
      <alignment horizontal="right" vertical="center" shrinkToFit="1"/>
    </xf>
    <xf numFmtId="189" fontId="5" fillId="0" borderId="56" xfId="0" applyNumberFormat="1" applyFont="1" applyBorder="1" applyAlignment="1">
      <alignment horizontal="right" vertical="center" shrinkToFit="1"/>
    </xf>
    <xf numFmtId="189" fontId="5" fillId="0" borderId="59" xfId="0" applyNumberFormat="1" applyFont="1" applyBorder="1" applyAlignment="1">
      <alignment horizontal="right" vertical="center" shrinkToFit="1"/>
    </xf>
    <xf numFmtId="4" fontId="5" fillId="0" borderId="30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57" xfId="4" applyNumberFormat="1" applyFont="1" applyFill="1" applyBorder="1" applyAlignment="1">
      <alignment horizontal="right" vertical="center" shrinkToFit="1"/>
    </xf>
    <xf numFmtId="4" fontId="5" fillId="0" borderId="106" xfId="4" applyNumberFormat="1" applyFont="1" applyFill="1" applyBorder="1" applyAlignment="1">
      <alignment horizontal="right" vertical="center" shrinkToFit="1"/>
    </xf>
    <xf numFmtId="38" fontId="5" fillId="0" borderId="12" xfId="4" applyFont="1" applyFill="1" applyBorder="1" applyAlignment="1">
      <alignment horizontal="right" vertical="center" shrinkToFit="1"/>
    </xf>
    <xf numFmtId="38" fontId="5" fillId="0" borderId="31" xfId="4" applyFont="1" applyFill="1" applyBorder="1" applyAlignment="1">
      <alignment horizontal="right" vertical="center" shrinkToFit="1"/>
    </xf>
    <xf numFmtId="188" fontId="5" fillId="0" borderId="76" xfId="0" applyNumberFormat="1" applyFont="1" applyBorder="1" applyAlignment="1">
      <alignment horizontal="right" vertical="center" shrinkToFit="1"/>
    </xf>
    <xf numFmtId="188" fontId="5" fillId="0" borderId="82" xfId="0" applyNumberFormat="1" applyFont="1" applyBorder="1" applyAlignment="1">
      <alignment horizontal="right" vertical="center" shrinkToFit="1"/>
    </xf>
    <xf numFmtId="0" fontId="2" fillId="0" borderId="90" xfId="0" applyFont="1" applyBorder="1" applyAlignment="1">
      <alignment horizontal="center" vertical="center" shrinkToFit="1"/>
    </xf>
    <xf numFmtId="0" fontId="2" fillId="0" borderId="91" xfId="0" applyFont="1" applyBorder="1" applyAlignment="1">
      <alignment horizontal="center" vertical="center" shrinkToFit="1"/>
    </xf>
    <xf numFmtId="3" fontId="5" fillId="0" borderId="29" xfId="4" applyNumberFormat="1" applyFont="1" applyFill="1" applyBorder="1" applyAlignment="1">
      <alignment horizontal="right" vertical="center" shrinkToFit="1"/>
    </xf>
    <xf numFmtId="3" fontId="5" fillId="0" borderId="30" xfId="4" applyNumberFormat="1" applyFont="1" applyFill="1" applyBorder="1" applyAlignment="1">
      <alignment horizontal="right" vertical="center" shrinkToFit="1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188" fontId="5" fillId="0" borderId="75" xfId="0" applyNumberFormat="1" applyFont="1" applyBorder="1" applyAlignment="1">
      <alignment horizontal="right" vertical="center" shrinkToFit="1"/>
    </xf>
    <xf numFmtId="4" fontId="5" fillId="0" borderId="28" xfId="4" applyNumberFormat="1" applyFont="1" applyFill="1" applyBorder="1" applyAlignment="1">
      <alignment horizontal="right" vertical="center" shrinkToFit="1"/>
    </xf>
    <xf numFmtId="0" fontId="2" fillId="0" borderId="11" xfId="0" applyFont="1" applyBorder="1" applyAlignment="1">
      <alignment horizontal="center" vertical="center" shrinkToFit="1"/>
    </xf>
    <xf numFmtId="179" fontId="5" fillId="0" borderId="113" xfId="0" applyNumberFormat="1" applyFont="1" applyBorder="1" applyAlignment="1">
      <alignment horizontal="right" vertical="center" shrinkToFit="1"/>
    </xf>
    <xf numFmtId="179" fontId="5" fillId="0" borderId="114" xfId="0" applyNumberFormat="1" applyFont="1" applyBorder="1" applyAlignment="1">
      <alignment horizontal="right" vertical="center" shrinkToFit="1"/>
    </xf>
    <xf numFmtId="180" fontId="5" fillId="0" borderId="29" xfId="0" applyNumberFormat="1" applyFont="1" applyBorder="1" applyAlignment="1">
      <alignment horizontal="right" vertical="center" shrinkToFit="1"/>
    </xf>
    <xf numFmtId="184" fontId="5" fillId="0" borderId="28" xfId="0" applyNumberFormat="1" applyFont="1" applyBorder="1" applyAlignment="1">
      <alignment horizontal="right" vertical="center" shrinkToFit="1"/>
    </xf>
    <xf numFmtId="180" fontId="5" fillId="0" borderId="28" xfId="0" applyNumberFormat="1" applyFont="1" applyBorder="1" applyAlignment="1">
      <alignment horizontal="right" vertical="center" shrinkToFit="1"/>
    </xf>
    <xf numFmtId="180" fontId="5" fillId="0" borderId="113" xfId="0" applyNumberFormat="1" applyFont="1" applyBorder="1" applyAlignment="1">
      <alignment horizontal="right" vertical="center" shrinkToFit="1"/>
    </xf>
    <xf numFmtId="38" fontId="5" fillId="0" borderId="2" xfId="4" applyFont="1" applyFill="1" applyBorder="1" applyAlignment="1">
      <alignment horizontal="right" vertical="center" shrinkToFit="1"/>
    </xf>
    <xf numFmtId="179" fontId="5" fillId="0" borderId="110" xfId="0" applyNumberFormat="1" applyFont="1" applyBorder="1" applyAlignment="1">
      <alignment horizontal="right" vertical="center" shrinkToFit="1"/>
    </xf>
    <xf numFmtId="179" fontId="5" fillId="0" borderId="111" xfId="0" applyNumberFormat="1" applyFont="1" applyBorder="1" applyAlignment="1">
      <alignment horizontal="right" vertical="center" shrinkToFit="1"/>
    </xf>
    <xf numFmtId="180" fontId="5" fillId="0" borderId="109" xfId="0" applyNumberFormat="1" applyFont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 xr:uid="{00000000-0005-0000-0000-000002000000}"/>
    <cellStyle name="標準 3" xfId="2" xr:uid="{00000000-0005-0000-0000-000003000000}"/>
    <cellStyle name="標準 4" xfId="3" xr:uid="{00000000-0005-0000-0000-000004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4"/>
  <sheetViews>
    <sheetView showGridLines="0" tabSelected="1" view="pageBreakPreview" zoomScaleNormal="100" zoomScaleSheetLayoutView="100" workbookViewId="0">
      <selection sqref="A1:AN2"/>
    </sheetView>
  </sheetViews>
  <sheetFormatPr defaultColWidth="2.6640625" defaultRowHeight="14.1" customHeight="1"/>
  <cols>
    <col min="1" max="7" width="2.6640625" style="22" customWidth="1"/>
    <col min="8" max="65" width="2.6640625" style="1" customWidth="1"/>
    <col min="66" max="73" width="2.6640625" style="1"/>
    <col min="74" max="74" width="2.6640625" style="1" customWidth="1"/>
    <col min="75" max="16384" width="2.6640625" style="1"/>
  </cols>
  <sheetData>
    <row r="1" spans="1:75" ht="12" customHeight="1">
      <c r="A1" s="93" t="str">
        <f>IF(H5="【個】[000101]","9999",H5)&amp;"年　農業経営統計調査　肥育豚生産費統計　個別結果検討表　№１"</f>
        <v>年　農業経営統計調査　肥育豚生産費統計　個別結果検討表　№１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  <c r="AO1" s="66" t="s">
        <v>0</v>
      </c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</row>
    <row r="2" spans="1:75" ht="12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</row>
    <row r="3" spans="1:75" ht="12" customHeight="1">
      <c r="A3" s="1"/>
      <c r="B3" s="1"/>
      <c r="C3" s="1"/>
      <c r="D3" s="1"/>
      <c r="E3" s="1"/>
      <c r="F3" s="1"/>
      <c r="G3" s="1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75" ht="12" customHeight="1">
      <c r="A4" s="3" t="s">
        <v>139</v>
      </c>
      <c r="B4" s="1"/>
      <c r="C4" s="1"/>
      <c r="D4" s="1"/>
      <c r="E4" s="1"/>
      <c r="F4" s="1"/>
      <c r="AK4" s="2"/>
      <c r="AL4" s="2"/>
      <c r="AM4" s="2"/>
    </row>
    <row r="5" spans="1:75" ht="12" customHeight="1">
      <c r="A5" s="188" t="s">
        <v>100</v>
      </c>
      <c r="B5" s="189"/>
      <c r="C5" s="189"/>
      <c r="D5" s="189"/>
      <c r="E5" s="189"/>
      <c r="F5" s="189"/>
      <c r="G5" s="192" t="s">
        <v>101</v>
      </c>
      <c r="H5" s="68"/>
      <c r="I5" s="68"/>
      <c r="J5" s="68"/>
      <c r="K5" s="69"/>
      <c r="L5" s="72" t="s">
        <v>102</v>
      </c>
      <c r="M5" s="73"/>
      <c r="N5" s="74"/>
      <c r="O5" s="75" t="str">
        <f>IF(H5="","",IF(H5="【個】[000101]","年",H5-1))</f>
        <v/>
      </c>
      <c r="P5" s="68"/>
      <c r="Q5" s="68"/>
      <c r="R5" s="69"/>
      <c r="S5" s="72" t="s">
        <v>102</v>
      </c>
      <c r="T5" s="73"/>
      <c r="U5" s="73"/>
      <c r="V5" s="77" t="s">
        <v>103</v>
      </c>
      <c r="W5" s="78"/>
      <c r="X5" s="78"/>
      <c r="Y5" s="78" t="s">
        <v>104</v>
      </c>
      <c r="Z5" s="78"/>
      <c r="AA5" s="79"/>
      <c r="AB5" s="82" t="s">
        <v>105</v>
      </c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4"/>
      <c r="BA5" s="2"/>
      <c r="BC5" s="2"/>
      <c r="BF5" s="3"/>
      <c r="BU5" s="2"/>
      <c r="BW5" s="2"/>
    </row>
    <row r="6" spans="1:75" ht="12" customHeight="1">
      <c r="A6" s="190"/>
      <c r="B6" s="191"/>
      <c r="C6" s="191"/>
      <c r="D6" s="191"/>
      <c r="E6" s="191"/>
      <c r="F6" s="191"/>
      <c r="G6" s="193"/>
      <c r="H6" s="70"/>
      <c r="I6" s="70"/>
      <c r="J6" s="70"/>
      <c r="K6" s="71"/>
      <c r="L6" s="88" t="s">
        <v>106</v>
      </c>
      <c r="M6" s="89"/>
      <c r="N6" s="90"/>
      <c r="O6" s="76"/>
      <c r="P6" s="70"/>
      <c r="Q6" s="70"/>
      <c r="R6" s="71"/>
      <c r="S6" s="88" t="s">
        <v>106</v>
      </c>
      <c r="T6" s="89"/>
      <c r="U6" s="89"/>
      <c r="V6" s="91" t="s">
        <v>106</v>
      </c>
      <c r="W6" s="92"/>
      <c r="X6" s="92"/>
      <c r="Y6" s="80"/>
      <c r="Z6" s="80"/>
      <c r="AA6" s="81"/>
      <c r="AB6" s="85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7"/>
      <c r="BA6" s="2"/>
      <c r="BB6" s="25"/>
      <c r="BC6" s="25"/>
      <c r="BM6" s="23"/>
      <c r="BN6" s="23"/>
      <c r="BO6" s="23"/>
      <c r="BP6" s="24"/>
      <c r="BQ6" s="24"/>
      <c r="BR6" s="24"/>
      <c r="BS6" s="25"/>
      <c r="BT6" s="25"/>
      <c r="BU6" s="25"/>
    </row>
    <row r="7" spans="1:75" ht="12" customHeight="1">
      <c r="A7" s="194" t="s">
        <v>107</v>
      </c>
      <c r="B7" s="195"/>
      <c r="C7" s="195"/>
      <c r="D7" s="195"/>
      <c r="E7" s="195"/>
      <c r="F7" s="196"/>
      <c r="G7" s="46" t="s">
        <v>108</v>
      </c>
      <c r="H7" s="95"/>
      <c r="I7" s="95"/>
      <c r="J7" s="95"/>
      <c r="K7" s="96"/>
      <c r="L7" s="97" t="str">
        <f>IFERROR(ROUND(H7/H$27*100,1),"-")</f>
        <v>-</v>
      </c>
      <c r="M7" s="98"/>
      <c r="N7" s="99"/>
      <c r="O7" s="100"/>
      <c r="P7" s="95"/>
      <c r="Q7" s="95"/>
      <c r="R7" s="96"/>
      <c r="S7" s="97" t="str">
        <f>IFERROR(ROUND(O7/O$27*100,1),"-")</f>
        <v>-</v>
      </c>
      <c r="T7" s="98"/>
      <c r="U7" s="99"/>
      <c r="V7" s="115" t="str">
        <f>IF(H7="-", "-", IF(O7="-", "-", IF(ABS(O7)=0, "-", ROUND(100*(H7-O7)/ABS(O7),10))))</f>
        <v>-</v>
      </c>
      <c r="W7" s="116"/>
      <c r="X7" s="116"/>
      <c r="Y7" s="117">
        <f>H7-O7</f>
        <v>0</v>
      </c>
      <c r="Z7" s="117"/>
      <c r="AA7" s="118"/>
      <c r="AB7" s="119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1"/>
      <c r="BA7" s="2"/>
      <c r="BB7" s="25"/>
      <c r="BC7" s="25"/>
      <c r="BM7" s="23"/>
      <c r="BN7" s="23"/>
      <c r="BO7" s="23"/>
      <c r="BP7" s="24"/>
      <c r="BQ7" s="24"/>
      <c r="BR7" s="24"/>
      <c r="BS7" s="25"/>
      <c r="BT7" s="25"/>
      <c r="BU7" s="25"/>
    </row>
    <row r="8" spans="1:75" ht="12" customHeight="1">
      <c r="A8" s="47"/>
      <c r="B8" s="197" t="s">
        <v>61</v>
      </c>
      <c r="C8" s="197"/>
      <c r="D8" s="197"/>
      <c r="E8" s="197"/>
      <c r="F8" s="198"/>
      <c r="G8" s="48" t="s">
        <v>131</v>
      </c>
      <c r="H8" s="104"/>
      <c r="I8" s="104"/>
      <c r="J8" s="104"/>
      <c r="K8" s="105"/>
      <c r="L8" s="106" t="str">
        <f t="shared" ref="L8:L27" si="0">IFERROR(ROUND(H8/H$27*100,1),"-")</f>
        <v>-</v>
      </c>
      <c r="M8" s="107"/>
      <c r="N8" s="108"/>
      <c r="O8" s="109"/>
      <c r="P8" s="104"/>
      <c r="Q8" s="104"/>
      <c r="R8" s="105"/>
      <c r="S8" s="106" t="str">
        <f t="shared" ref="S8:S27" si="1">IFERROR(ROUND(O8/O$27*100,1),"-")</f>
        <v>-</v>
      </c>
      <c r="T8" s="107"/>
      <c r="U8" s="108"/>
      <c r="V8" s="110" t="str">
        <f t="shared" ref="V8:V45" si="2">IF(H8="-", "-", IF(O8="-", "-", IF(ABS(O8)=0, "-", ROUND(100*(H8-O8)/ABS(O8),10))))</f>
        <v>-</v>
      </c>
      <c r="W8" s="111"/>
      <c r="X8" s="112"/>
      <c r="Y8" s="113">
        <f t="shared" ref="Y8:Y48" si="3">H8-O8</f>
        <v>0</v>
      </c>
      <c r="Z8" s="104"/>
      <c r="AA8" s="114"/>
      <c r="AB8" s="101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3"/>
      <c r="BA8" s="2"/>
      <c r="BB8" s="10"/>
      <c r="BC8" s="10"/>
      <c r="BL8" s="26"/>
      <c r="BM8" s="9"/>
      <c r="BN8" s="9"/>
      <c r="BO8" s="9"/>
      <c r="BP8" s="9"/>
      <c r="BQ8" s="9"/>
      <c r="BR8" s="9"/>
      <c r="BS8" s="10"/>
      <c r="BT8" s="10"/>
      <c r="BU8" s="10"/>
    </row>
    <row r="9" spans="1:75" ht="12" customHeight="1">
      <c r="A9" s="47"/>
      <c r="B9" s="199" t="s">
        <v>132</v>
      </c>
      <c r="C9" s="199"/>
      <c r="D9" s="199"/>
      <c r="E9" s="199"/>
      <c r="F9" s="198"/>
      <c r="G9" s="48" t="s">
        <v>109</v>
      </c>
      <c r="H9" s="104"/>
      <c r="I9" s="104"/>
      <c r="J9" s="104"/>
      <c r="K9" s="105"/>
      <c r="L9" s="106" t="str">
        <f t="shared" si="0"/>
        <v>-</v>
      </c>
      <c r="M9" s="107"/>
      <c r="N9" s="108"/>
      <c r="O9" s="109"/>
      <c r="P9" s="104"/>
      <c r="Q9" s="104"/>
      <c r="R9" s="105"/>
      <c r="S9" s="106" t="str">
        <f t="shared" si="1"/>
        <v>-</v>
      </c>
      <c r="T9" s="107"/>
      <c r="U9" s="108"/>
      <c r="V9" s="110" t="str">
        <f t="shared" si="2"/>
        <v>-</v>
      </c>
      <c r="W9" s="111"/>
      <c r="X9" s="112"/>
      <c r="Y9" s="113">
        <f t="shared" si="3"/>
        <v>0</v>
      </c>
      <c r="Z9" s="104"/>
      <c r="AA9" s="114"/>
      <c r="AB9" s="101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3"/>
      <c r="BA9" s="2"/>
      <c r="BL9" s="26"/>
      <c r="BM9" s="9"/>
      <c r="BN9" s="9"/>
      <c r="BO9" s="9"/>
      <c r="BP9" s="9"/>
      <c r="BQ9" s="9"/>
      <c r="BR9" s="9"/>
      <c r="BS9" s="10"/>
      <c r="BT9" s="10"/>
      <c r="BU9" s="10"/>
    </row>
    <row r="10" spans="1:75" ht="12" customHeight="1">
      <c r="A10" s="47"/>
      <c r="B10" s="200" t="s">
        <v>110</v>
      </c>
      <c r="C10" s="197"/>
      <c r="D10" s="197"/>
      <c r="E10" s="197"/>
      <c r="F10" s="197"/>
      <c r="G10" s="49" t="s">
        <v>109</v>
      </c>
      <c r="H10" s="104"/>
      <c r="I10" s="104"/>
      <c r="J10" s="104"/>
      <c r="K10" s="105"/>
      <c r="L10" s="106" t="str">
        <f t="shared" si="0"/>
        <v>-</v>
      </c>
      <c r="M10" s="107"/>
      <c r="N10" s="108"/>
      <c r="O10" s="109"/>
      <c r="P10" s="104"/>
      <c r="Q10" s="104"/>
      <c r="R10" s="105"/>
      <c r="S10" s="106" t="str">
        <f t="shared" si="1"/>
        <v>-</v>
      </c>
      <c r="T10" s="107"/>
      <c r="U10" s="108"/>
      <c r="V10" s="110" t="str">
        <f t="shared" si="2"/>
        <v>-</v>
      </c>
      <c r="W10" s="111"/>
      <c r="X10" s="112"/>
      <c r="Y10" s="113">
        <f t="shared" si="3"/>
        <v>0</v>
      </c>
      <c r="Z10" s="104"/>
      <c r="AA10" s="114"/>
      <c r="AB10" s="101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3"/>
      <c r="BA10" s="2"/>
      <c r="BL10" s="26"/>
      <c r="BM10" s="9"/>
      <c r="BN10" s="9"/>
      <c r="BO10" s="9"/>
      <c r="BP10" s="9"/>
      <c r="BQ10" s="9"/>
      <c r="BR10" s="9"/>
      <c r="BS10" s="10"/>
      <c r="BT10" s="10"/>
      <c r="BU10" s="10"/>
    </row>
    <row r="11" spans="1:75" ht="12" customHeight="1">
      <c r="A11" s="50"/>
      <c r="B11" s="32"/>
      <c r="C11" s="206" t="s">
        <v>6</v>
      </c>
      <c r="D11" s="207"/>
      <c r="E11" s="207"/>
      <c r="F11" s="207"/>
      <c r="G11" s="49" t="s">
        <v>109</v>
      </c>
      <c r="H11" s="104"/>
      <c r="I11" s="104"/>
      <c r="J11" s="104"/>
      <c r="K11" s="105"/>
      <c r="L11" s="106" t="str">
        <f t="shared" si="0"/>
        <v>-</v>
      </c>
      <c r="M11" s="107"/>
      <c r="N11" s="108"/>
      <c r="O11" s="109"/>
      <c r="P11" s="104"/>
      <c r="Q11" s="104"/>
      <c r="R11" s="105"/>
      <c r="S11" s="106" t="str">
        <f t="shared" si="1"/>
        <v>-</v>
      </c>
      <c r="T11" s="107"/>
      <c r="U11" s="108"/>
      <c r="V11" s="110" t="str">
        <f t="shared" si="2"/>
        <v>-</v>
      </c>
      <c r="W11" s="111"/>
      <c r="X11" s="112"/>
      <c r="Y11" s="113">
        <f t="shared" si="3"/>
        <v>0</v>
      </c>
      <c r="Z11" s="104"/>
      <c r="AA11" s="114"/>
      <c r="AB11" s="101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3"/>
      <c r="BA11" s="2"/>
      <c r="BL11" s="26"/>
      <c r="BM11" s="9"/>
      <c r="BN11" s="9"/>
      <c r="BO11" s="9"/>
      <c r="BP11" s="9"/>
      <c r="BQ11" s="9"/>
      <c r="BR11" s="9"/>
      <c r="BS11" s="10"/>
      <c r="BT11" s="10"/>
      <c r="BU11" s="10"/>
    </row>
    <row r="12" spans="1:75" ht="12" customHeight="1">
      <c r="A12" s="50"/>
      <c r="B12" s="33"/>
      <c r="C12" s="218" t="s">
        <v>98</v>
      </c>
      <c r="D12" s="219"/>
      <c r="E12" s="219"/>
      <c r="F12" s="219"/>
      <c r="G12" s="49" t="s">
        <v>109</v>
      </c>
      <c r="H12" s="104"/>
      <c r="I12" s="104"/>
      <c r="J12" s="104"/>
      <c r="K12" s="105"/>
      <c r="L12" s="106" t="str">
        <f t="shared" si="0"/>
        <v>-</v>
      </c>
      <c r="M12" s="107"/>
      <c r="N12" s="108"/>
      <c r="O12" s="109"/>
      <c r="P12" s="104"/>
      <c r="Q12" s="104"/>
      <c r="R12" s="105"/>
      <c r="S12" s="106" t="str">
        <f t="shared" si="1"/>
        <v>-</v>
      </c>
      <c r="T12" s="107"/>
      <c r="U12" s="108"/>
      <c r="V12" s="110" t="str">
        <f t="shared" si="2"/>
        <v>-</v>
      </c>
      <c r="W12" s="111"/>
      <c r="X12" s="112"/>
      <c r="Y12" s="113">
        <f t="shared" si="3"/>
        <v>0</v>
      </c>
      <c r="Z12" s="104"/>
      <c r="AA12" s="114"/>
      <c r="AB12" s="101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3"/>
      <c r="BA12" s="2"/>
      <c r="BB12" s="4"/>
      <c r="BC12" s="4"/>
      <c r="BL12" s="26"/>
      <c r="BM12" s="9"/>
      <c r="BN12" s="9"/>
      <c r="BO12" s="9"/>
      <c r="BP12" s="9"/>
      <c r="BQ12" s="9"/>
      <c r="BR12" s="9"/>
      <c r="BS12" s="10"/>
      <c r="BT12" s="10"/>
      <c r="BU12" s="10"/>
    </row>
    <row r="13" spans="1:75" ht="12" customHeight="1">
      <c r="A13" s="51"/>
      <c r="B13" s="197" t="s">
        <v>7</v>
      </c>
      <c r="C13" s="197"/>
      <c r="D13" s="197"/>
      <c r="E13" s="197"/>
      <c r="F13" s="198"/>
      <c r="G13" s="48" t="s">
        <v>109</v>
      </c>
      <c r="H13" s="104"/>
      <c r="I13" s="104"/>
      <c r="J13" s="104"/>
      <c r="K13" s="105"/>
      <c r="L13" s="106" t="str">
        <f t="shared" si="0"/>
        <v>-</v>
      </c>
      <c r="M13" s="107"/>
      <c r="N13" s="108"/>
      <c r="O13" s="109"/>
      <c r="P13" s="104"/>
      <c r="Q13" s="104"/>
      <c r="R13" s="105"/>
      <c r="S13" s="106" t="str">
        <f t="shared" si="1"/>
        <v>-</v>
      </c>
      <c r="T13" s="107"/>
      <c r="U13" s="108"/>
      <c r="V13" s="110" t="str">
        <f t="shared" si="2"/>
        <v>-</v>
      </c>
      <c r="W13" s="111"/>
      <c r="X13" s="112"/>
      <c r="Y13" s="113">
        <f t="shared" si="3"/>
        <v>0</v>
      </c>
      <c r="Z13" s="104"/>
      <c r="AA13" s="114"/>
      <c r="AB13" s="101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3"/>
      <c r="BA13" s="2"/>
      <c r="BB13" s="25"/>
      <c r="BC13" s="25"/>
      <c r="BL13" s="26"/>
      <c r="BM13" s="9"/>
      <c r="BN13" s="9"/>
      <c r="BO13" s="9"/>
      <c r="BP13" s="9"/>
      <c r="BQ13" s="9"/>
      <c r="BR13" s="9"/>
      <c r="BS13" s="10"/>
      <c r="BT13" s="10"/>
      <c r="BU13" s="10"/>
    </row>
    <row r="14" spans="1:75" ht="12" customHeight="1">
      <c r="A14" s="51"/>
      <c r="B14" s="197" t="s">
        <v>111</v>
      </c>
      <c r="C14" s="197"/>
      <c r="D14" s="197"/>
      <c r="E14" s="197"/>
      <c r="F14" s="198"/>
      <c r="G14" s="48" t="s">
        <v>109</v>
      </c>
      <c r="H14" s="104"/>
      <c r="I14" s="104"/>
      <c r="J14" s="104"/>
      <c r="K14" s="105"/>
      <c r="L14" s="106" t="str">
        <f t="shared" si="0"/>
        <v>-</v>
      </c>
      <c r="M14" s="107"/>
      <c r="N14" s="108"/>
      <c r="O14" s="109"/>
      <c r="P14" s="104"/>
      <c r="Q14" s="104"/>
      <c r="R14" s="105"/>
      <c r="S14" s="106" t="str">
        <f t="shared" si="1"/>
        <v>-</v>
      </c>
      <c r="T14" s="107"/>
      <c r="U14" s="108"/>
      <c r="V14" s="110" t="str">
        <f t="shared" si="2"/>
        <v>-</v>
      </c>
      <c r="W14" s="111"/>
      <c r="X14" s="112"/>
      <c r="Y14" s="113">
        <f t="shared" si="3"/>
        <v>0</v>
      </c>
      <c r="Z14" s="104"/>
      <c r="AA14" s="114"/>
      <c r="AB14" s="101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3"/>
      <c r="BA14" s="2"/>
      <c r="BB14" s="25"/>
      <c r="BC14" s="25"/>
      <c r="BL14" s="26"/>
      <c r="BM14" s="27"/>
      <c r="BN14" s="27"/>
      <c r="BO14" s="27"/>
      <c r="BP14" s="27"/>
      <c r="BQ14" s="27"/>
      <c r="BR14" s="27"/>
      <c r="BS14" s="10"/>
      <c r="BT14" s="10"/>
      <c r="BU14" s="10"/>
    </row>
    <row r="15" spans="1:75" ht="12" customHeight="1">
      <c r="A15" s="51"/>
      <c r="B15" s="197" t="s">
        <v>112</v>
      </c>
      <c r="C15" s="197"/>
      <c r="D15" s="197"/>
      <c r="E15" s="202"/>
      <c r="F15" s="198"/>
      <c r="G15" s="48" t="s">
        <v>109</v>
      </c>
      <c r="H15" s="104"/>
      <c r="I15" s="104"/>
      <c r="J15" s="104"/>
      <c r="K15" s="105"/>
      <c r="L15" s="106" t="str">
        <f t="shared" si="0"/>
        <v>-</v>
      </c>
      <c r="M15" s="107"/>
      <c r="N15" s="108"/>
      <c r="O15" s="109"/>
      <c r="P15" s="104"/>
      <c r="Q15" s="104"/>
      <c r="R15" s="105"/>
      <c r="S15" s="106" t="str">
        <f t="shared" si="1"/>
        <v>-</v>
      </c>
      <c r="T15" s="107"/>
      <c r="U15" s="108"/>
      <c r="V15" s="110" t="str">
        <f t="shared" si="2"/>
        <v>-</v>
      </c>
      <c r="W15" s="111"/>
      <c r="X15" s="112"/>
      <c r="Y15" s="113">
        <f t="shared" si="3"/>
        <v>0</v>
      </c>
      <c r="Z15" s="104"/>
      <c r="AA15" s="114"/>
      <c r="AB15" s="101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3"/>
      <c r="BA15" s="2"/>
      <c r="BB15" s="10"/>
      <c r="BC15" s="10"/>
      <c r="BL15" s="26"/>
      <c r="BM15" s="27"/>
      <c r="BN15" s="27"/>
      <c r="BO15" s="27"/>
      <c r="BP15" s="27"/>
      <c r="BQ15" s="27"/>
      <c r="BR15" s="27"/>
      <c r="BS15" s="10"/>
      <c r="BT15" s="10"/>
      <c r="BU15" s="10"/>
    </row>
    <row r="16" spans="1:75" ht="12" customHeight="1">
      <c r="A16" s="51"/>
      <c r="B16" s="197" t="s">
        <v>113</v>
      </c>
      <c r="C16" s="197"/>
      <c r="D16" s="197"/>
      <c r="E16" s="202"/>
      <c r="F16" s="198"/>
      <c r="G16" s="48" t="s">
        <v>109</v>
      </c>
      <c r="H16" s="104"/>
      <c r="I16" s="104"/>
      <c r="J16" s="104"/>
      <c r="K16" s="105"/>
      <c r="L16" s="106" t="str">
        <f t="shared" si="0"/>
        <v>-</v>
      </c>
      <c r="M16" s="107"/>
      <c r="N16" s="108"/>
      <c r="O16" s="109"/>
      <c r="P16" s="104"/>
      <c r="Q16" s="104"/>
      <c r="R16" s="105"/>
      <c r="S16" s="106" t="str">
        <f t="shared" si="1"/>
        <v>-</v>
      </c>
      <c r="T16" s="107"/>
      <c r="U16" s="108"/>
      <c r="V16" s="110" t="str">
        <f t="shared" si="2"/>
        <v>-</v>
      </c>
      <c r="W16" s="111"/>
      <c r="X16" s="112"/>
      <c r="Y16" s="113">
        <f t="shared" si="3"/>
        <v>0</v>
      </c>
      <c r="Z16" s="104"/>
      <c r="AA16" s="114"/>
      <c r="AB16" s="101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3"/>
      <c r="BA16" s="2"/>
      <c r="BB16" s="10"/>
      <c r="BC16" s="10"/>
    </row>
    <row r="17" spans="1:75" ht="12" customHeight="1">
      <c r="A17" s="51"/>
      <c r="B17" s="197" t="s">
        <v>10</v>
      </c>
      <c r="C17" s="197"/>
      <c r="D17" s="197"/>
      <c r="E17" s="197"/>
      <c r="F17" s="198"/>
      <c r="G17" s="48" t="s">
        <v>109</v>
      </c>
      <c r="H17" s="104"/>
      <c r="I17" s="104"/>
      <c r="J17" s="104"/>
      <c r="K17" s="105"/>
      <c r="L17" s="106" t="str">
        <f t="shared" si="0"/>
        <v>-</v>
      </c>
      <c r="M17" s="107"/>
      <c r="N17" s="108"/>
      <c r="O17" s="109"/>
      <c r="P17" s="104"/>
      <c r="Q17" s="104"/>
      <c r="R17" s="105"/>
      <c r="S17" s="106" t="str">
        <f t="shared" si="1"/>
        <v>-</v>
      </c>
      <c r="T17" s="107"/>
      <c r="U17" s="108"/>
      <c r="V17" s="110" t="str">
        <f t="shared" si="2"/>
        <v>-</v>
      </c>
      <c r="W17" s="111"/>
      <c r="X17" s="112"/>
      <c r="Y17" s="113">
        <f t="shared" si="3"/>
        <v>0</v>
      </c>
      <c r="Z17" s="104"/>
      <c r="AA17" s="114"/>
      <c r="AB17" s="101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3"/>
      <c r="BA17" s="2"/>
      <c r="BB17" s="10"/>
      <c r="BC17" s="10"/>
    </row>
    <row r="18" spans="1:75" ht="12" customHeight="1">
      <c r="A18" s="51"/>
      <c r="B18" s="197" t="s">
        <v>114</v>
      </c>
      <c r="C18" s="197"/>
      <c r="D18" s="197"/>
      <c r="E18" s="197"/>
      <c r="F18" s="198"/>
      <c r="G18" s="48" t="s">
        <v>109</v>
      </c>
      <c r="H18" s="104"/>
      <c r="I18" s="104"/>
      <c r="J18" s="104"/>
      <c r="K18" s="105"/>
      <c r="L18" s="106" t="str">
        <f t="shared" si="0"/>
        <v>-</v>
      </c>
      <c r="M18" s="107"/>
      <c r="N18" s="108"/>
      <c r="O18" s="109"/>
      <c r="P18" s="104"/>
      <c r="Q18" s="104"/>
      <c r="R18" s="105"/>
      <c r="S18" s="106" t="str">
        <f t="shared" si="1"/>
        <v>-</v>
      </c>
      <c r="T18" s="107"/>
      <c r="U18" s="108"/>
      <c r="V18" s="110" t="str">
        <f t="shared" si="2"/>
        <v>-</v>
      </c>
      <c r="W18" s="111"/>
      <c r="X18" s="112"/>
      <c r="Y18" s="113">
        <f t="shared" si="3"/>
        <v>0</v>
      </c>
      <c r="Z18" s="104"/>
      <c r="AA18" s="114"/>
      <c r="AB18" s="101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3"/>
      <c r="BA18" s="2"/>
      <c r="BB18" s="10"/>
      <c r="BC18" s="10"/>
      <c r="BF18" s="3"/>
      <c r="BG18" s="3"/>
    </row>
    <row r="19" spans="1:75" ht="12" customHeight="1">
      <c r="A19" s="51"/>
      <c r="B19" s="197" t="s">
        <v>133</v>
      </c>
      <c r="C19" s="197"/>
      <c r="D19" s="197"/>
      <c r="E19" s="197"/>
      <c r="F19" s="198"/>
      <c r="G19" s="48" t="s">
        <v>109</v>
      </c>
      <c r="H19" s="104"/>
      <c r="I19" s="104"/>
      <c r="J19" s="104"/>
      <c r="K19" s="105"/>
      <c r="L19" s="106" t="str">
        <f t="shared" si="0"/>
        <v>-</v>
      </c>
      <c r="M19" s="107"/>
      <c r="N19" s="108"/>
      <c r="O19" s="109"/>
      <c r="P19" s="104"/>
      <c r="Q19" s="104"/>
      <c r="R19" s="105"/>
      <c r="S19" s="106" t="str">
        <f t="shared" si="1"/>
        <v>-</v>
      </c>
      <c r="T19" s="107"/>
      <c r="U19" s="108"/>
      <c r="V19" s="110" t="str">
        <f t="shared" si="2"/>
        <v>-</v>
      </c>
      <c r="W19" s="111"/>
      <c r="X19" s="112"/>
      <c r="Y19" s="113">
        <f t="shared" si="3"/>
        <v>0</v>
      </c>
      <c r="Z19" s="104"/>
      <c r="AA19" s="114"/>
      <c r="AB19" s="101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3"/>
      <c r="BA19" s="2"/>
      <c r="BB19" s="10"/>
      <c r="BC19" s="10"/>
      <c r="BM19" s="23"/>
      <c r="BN19" s="23"/>
      <c r="BO19" s="23"/>
      <c r="BP19" s="24"/>
      <c r="BQ19" s="24"/>
      <c r="BR19" s="24"/>
      <c r="BS19" s="25"/>
      <c r="BT19" s="25"/>
      <c r="BU19" s="25"/>
    </row>
    <row r="20" spans="1:75" ht="12" customHeight="1">
      <c r="A20" s="51"/>
      <c r="B20" s="197" t="s">
        <v>134</v>
      </c>
      <c r="C20" s="197"/>
      <c r="D20" s="197"/>
      <c r="E20" s="197"/>
      <c r="F20" s="198"/>
      <c r="G20" s="48" t="s">
        <v>109</v>
      </c>
      <c r="H20" s="104"/>
      <c r="I20" s="104"/>
      <c r="J20" s="104"/>
      <c r="K20" s="105"/>
      <c r="L20" s="106" t="str">
        <f t="shared" si="0"/>
        <v>-</v>
      </c>
      <c r="M20" s="107"/>
      <c r="N20" s="108"/>
      <c r="O20" s="109"/>
      <c r="P20" s="104"/>
      <c r="Q20" s="104"/>
      <c r="R20" s="105"/>
      <c r="S20" s="106" t="str">
        <f t="shared" si="1"/>
        <v>-</v>
      </c>
      <c r="T20" s="107"/>
      <c r="U20" s="108"/>
      <c r="V20" s="110" t="str">
        <f t="shared" si="2"/>
        <v>-</v>
      </c>
      <c r="W20" s="111"/>
      <c r="X20" s="112"/>
      <c r="Y20" s="113">
        <f t="shared" si="3"/>
        <v>0</v>
      </c>
      <c r="Z20" s="104"/>
      <c r="AA20" s="114"/>
      <c r="AB20" s="101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3"/>
      <c r="BA20" s="2"/>
      <c r="BB20" s="10"/>
      <c r="BC20" s="10"/>
      <c r="BM20" s="23"/>
      <c r="BN20" s="23"/>
      <c r="BO20" s="23"/>
      <c r="BP20" s="23"/>
      <c r="BQ20" s="23"/>
      <c r="BR20" s="23"/>
      <c r="BS20" s="25"/>
      <c r="BT20" s="25"/>
      <c r="BU20" s="25"/>
    </row>
    <row r="21" spans="1:75" ht="12" customHeight="1">
      <c r="A21" s="51"/>
      <c r="B21" s="197" t="s">
        <v>12</v>
      </c>
      <c r="C21" s="197"/>
      <c r="D21" s="197"/>
      <c r="E21" s="197"/>
      <c r="F21" s="198"/>
      <c r="G21" s="48" t="s">
        <v>109</v>
      </c>
      <c r="H21" s="104"/>
      <c r="I21" s="104"/>
      <c r="J21" s="104"/>
      <c r="K21" s="105"/>
      <c r="L21" s="106" t="str">
        <f t="shared" si="0"/>
        <v>-</v>
      </c>
      <c r="M21" s="107"/>
      <c r="N21" s="108"/>
      <c r="O21" s="109"/>
      <c r="P21" s="104"/>
      <c r="Q21" s="104"/>
      <c r="R21" s="105"/>
      <c r="S21" s="106" t="str">
        <f t="shared" si="1"/>
        <v>-</v>
      </c>
      <c r="T21" s="107"/>
      <c r="U21" s="108"/>
      <c r="V21" s="110" t="str">
        <f t="shared" si="2"/>
        <v>-</v>
      </c>
      <c r="W21" s="111"/>
      <c r="X21" s="112"/>
      <c r="Y21" s="113">
        <f t="shared" si="3"/>
        <v>0</v>
      </c>
      <c r="Z21" s="104"/>
      <c r="AA21" s="114"/>
      <c r="AB21" s="101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3"/>
      <c r="BB21" s="10"/>
      <c r="BC21" s="10"/>
      <c r="BM21" s="9"/>
      <c r="BN21" s="9"/>
      <c r="BO21" s="9"/>
      <c r="BP21" s="9"/>
      <c r="BQ21" s="9"/>
      <c r="BR21" s="9"/>
      <c r="BS21" s="10"/>
      <c r="BT21" s="10"/>
      <c r="BU21" s="10"/>
    </row>
    <row r="22" spans="1:75" ht="12" customHeight="1">
      <c r="A22" s="51"/>
      <c r="B22" s="197" t="s">
        <v>13</v>
      </c>
      <c r="C22" s="197"/>
      <c r="D22" s="197"/>
      <c r="E22" s="197"/>
      <c r="F22" s="198"/>
      <c r="G22" s="48" t="s">
        <v>109</v>
      </c>
      <c r="H22" s="104"/>
      <c r="I22" s="104"/>
      <c r="J22" s="104"/>
      <c r="K22" s="105"/>
      <c r="L22" s="106" t="str">
        <f t="shared" si="0"/>
        <v>-</v>
      </c>
      <c r="M22" s="107"/>
      <c r="N22" s="108"/>
      <c r="O22" s="109"/>
      <c r="P22" s="104"/>
      <c r="Q22" s="104"/>
      <c r="R22" s="105"/>
      <c r="S22" s="106" t="str">
        <f t="shared" si="1"/>
        <v>-</v>
      </c>
      <c r="T22" s="107"/>
      <c r="U22" s="108"/>
      <c r="V22" s="110" t="str">
        <f t="shared" si="2"/>
        <v>-</v>
      </c>
      <c r="W22" s="111"/>
      <c r="X22" s="112"/>
      <c r="Y22" s="113">
        <f t="shared" si="3"/>
        <v>0</v>
      </c>
      <c r="Z22" s="104"/>
      <c r="AA22" s="114"/>
      <c r="AB22" s="101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3"/>
      <c r="BA22" s="5"/>
    </row>
    <row r="23" spans="1:75" ht="12" customHeight="1">
      <c r="A23" s="51"/>
      <c r="B23" s="197" t="s">
        <v>14</v>
      </c>
      <c r="C23" s="197"/>
      <c r="D23" s="197"/>
      <c r="E23" s="197"/>
      <c r="F23" s="198"/>
      <c r="G23" s="48" t="s">
        <v>109</v>
      </c>
      <c r="H23" s="104"/>
      <c r="I23" s="104"/>
      <c r="J23" s="104"/>
      <c r="K23" s="105"/>
      <c r="L23" s="106" t="str">
        <f t="shared" si="0"/>
        <v>-</v>
      </c>
      <c r="M23" s="107"/>
      <c r="N23" s="108"/>
      <c r="O23" s="109"/>
      <c r="P23" s="104"/>
      <c r="Q23" s="104"/>
      <c r="R23" s="105"/>
      <c r="S23" s="106" t="str">
        <f t="shared" si="1"/>
        <v>-</v>
      </c>
      <c r="T23" s="107"/>
      <c r="U23" s="108"/>
      <c r="V23" s="110" t="str">
        <f t="shared" si="2"/>
        <v>-</v>
      </c>
      <c r="W23" s="111"/>
      <c r="X23" s="112"/>
      <c r="Y23" s="113">
        <f t="shared" si="3"/>
        <v>0</v>
      </c>
      <c r="Z23" s="104"/>
      <c r="AA23" s="114"/>
      <c r="AB23" s="101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3"/>
    </row>
    <row r="24" spans="1:75" ht="12" customHeight="1">
      <c r="A24" s="52"/>
      <c r="B24" s="197" t="s">
        <v>115</v>
      </c>
      <c r="C24" s="197"/>
      <c r="D24" s="197"/>
      <c r="E24" s="197"/>
      <c r="F24" s="198"/>
      <c r="G24" s="48" t="s">
        <v>109</v>
      </c>
      <c r="H24" s="104"/>
      <c r="I24" s="104"/>
      <c r="J24" s="104"/>
      <c r="K24" s="105"/>
      <c r="L24" s="106" t="str">
        <f t="shared" si="0"/>
        <v>-</v>
      </c>
      <c r="M24" s="107"/>
      <c r="N24" s="108"/>
      <c r="O24" s="109"/>
      <c r="P24" s="104"/>
      <c r="Q24" s="104"/>
      <c r="R24" s="105"/>
      <c r="S24" s="106" t="str">
        <f t="shared" si="1"/>
        <v>-</v>
      </c>
      <c r="T24" s="107"/>
      <c r="U24" s="108"/>
      <c r="V24" s="110" t="str">
        <f t="shared" si="2"/>
        <v>-</v>
      </c>
      <c r="W24" s="111"/>
      <c r="X24" s="112"/>
      <c r="Y24" s="113">
        <f t="shared" si="3"/>
        <v>0</v>
      </c>
      <c r="Z24" s="104"/>
      <c r="AA24" s="114"/>
      <c r="AB24" s="101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3"/>
      <c r="BF24" s="3"/>
      <c r="BW24" s="2"/>
    </row>
    <row r="25" spans="1:75" ht="12" customHeight="1">
      <c r="A25" s="203" t="s">
        <v>17</v>
      </c>
      <c r="B25" s="204"/>
      <c r="C25" s="204"/>
      <c r="D25" s="204"/>
      <c r="E25" s="204"/>
      <c r="F25" s="205"/>
      <c r="G25" s="48" t="s">
        <v>109</v>
      </c>
      <c r="H25" s="104"/>
      <c r="I25" s="104"/>
      <c r="J25" s="104"/>
      <c r="K25" s="105"/>
      <c r="L25" s="106" t="str">
        <f t="shared" si="0"/>
        <v>-</v>
      </c>
      <c r="M25" s="107"/>
      <c r="N25" s="108"/>
      <c r="O25" s="109"/>
      <c r="P25" s="104"/>
      <c r="Q25" s="104"/>
      <c r="R25" s="105"/>
      <c r="S25" s="106" t="str">
        <f t="shared" si="1"/>
        <v>-</v>
      </c>
      <c r="T25" s="107"/>
      <c r="U25" s="108"/>
      <c r="V25" s="110" t="str">
        <f t="shared" si="2"/>
        <v>-</v>
      </c>
      <c r="W25" s="111"/>
      <c r="X25" s="112"/>
      <c r="Y25" s="113">
        <f t="shared" si="3"/>
        <v>0</v>
      </c>
      <c r="Z25" s="104"/>
      <c r="AA25" s="114"/>
      <c r="AB25" s="101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3"/>
      <c r="BC25" s="2"/>
      <c r="BF25" s="3"/>
    </row>
    <row r="26" spans="1:75" ht="12" customHeight="1">
      <c r="A26" s="53"/>
      <c r="B26" s="206" t="s">
        <v>116</v>
      </c>
      <c r="C26" s="207"/>
      <c r="D26" s="207"/>
      <c r="E26" s="207"/>
      <c r="F26" s="207"/>
      <c r="G26" s="54" t="s">
        <v>109</v>
      </c>
      <c r="H26" s="104"/>
      <c r="I26" s="104"/>
      <c r="J26" s="104"/>
      <c r="K26" s="105"/>
      <c r="L26" s="106" t="str">
        <f t="shared" si="0"/>
        <v>-</v>
      </c>
      <c r="M26" s="107"/>
      <c r="N26" s="108"/>
      <c r="O26" s="109"/>
      <c r="P26" s="104"/>
      <c r="Q26" s="104"/>
      <c r="R26" s="105"/>
      <c r="S26" s="106" t="str">
        <f t="shared" si="1"/>
        <v>-</v>
      </c>
      <c r="T26" s="107"/>
      <c r="U26" s="108"/>
      <c r="V26" s="110" t="str">
        <f t="shared" si="2"/>
        <v>-</v>
      </c>
      <c r="W26" s="111"/>
      <c r="X26" s="112"/>
      <c r="Y26" s="113">
        <f t="shared" si="3"/>
        <v>0</v>
      </c>
      <c r="Z26" s="104"/>
      <c r="AA26" s="114"/>
      <c r="AB26" s="101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3"/>
      <c r="BB26" s="25"/>
      <c r="BC26" s="25"/>
      <c r="BM26" s="23"/>
      <c r="BN26" s="23"/>
      <c r="BO26" s="23"/>
      <c r="BP26" s="24"/>
      <c r="BQ26" s="24"/>
      <c r="BR26" s="24"/>
      <c r="BS26" s="25"/>
      <c r="BT26" s="25"/>
      <c r="BU26" s="25"/>
    </row>
    <row r="27" spans="1:75" ht="12" customHeight="1">
      <c r="A27" s="239" t="s">
        <v>21</v>
      </c>
      <c r="B27" s="202"/>
      <c r="C27" s="202"/>
      <c r="D27" s="202"/>
      <c r="E27" s="202"/>
      <c r="F27" s="198"/>
      <c r="G27" s="48" t="s">
        <v>109</v>
      </c>
      <c r="H27" s="104"/>
      <c r="I27" s="104"/>
      <c r="J27" s="104"/>
      <c r="K27" s="105"/>
      <c r="L27" s="106" t="str">
        <f t="shared" si="0"/>
        <v>-</v>
      </c>
      <c r="M27" s="107"/>
      <c r="N27" s="108"/>
      <c r="O27" s="109"/>
      <c r="P27" s="104"/>
      <c r="Q27" s="104"/>
      <c r="R27" s="105"/>
      <c r="S27" s="106" t="str">
        <f t="shared" si="1"/>
        <v>-</v>
      </c>
      <c r="T27" s="107"/>
      <c r="U27" s="108"/>
      <c r="V27" s="110" t="str">
        <f t="shared" si="2"/>
        <v>-</v>
      </c>
      <c r="W27" s="111"/>
      <c r="X27" s="112"/>
      <c r="Y27" s="113">
        <f t="shared" si="3"/>
        <v>0</v>
      </c>
      <c r="Z27" s="104"/>
      <c r="AA27" s="114"/>
      <c r="AB27" s="101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3"/>
      <c r="BB27" s="25"/>
      <c r="BC27" s="25"/>
      <c r="BM27" s="23"/>
      <c r="BN27" s="23"/>
      <c r="BO27" s="23"/>
      <c r="BP27" s="23"/>
      <c r="BQ27" s="23"/>
      <c r="BR27" s="23"/>
      <c r="BS27" s="25"/>
      <c r="BT27" s="25"/>
      <c r="BU27" s="25"/>
    </row>
    <row r="28" spans="1:75" ht="12" customHeight="1">
      <c r="A28" s="239" t="s">
        <v>23</v>
      </c>
      <c r="B28" s="202"/>
      <c r="C28" s="202"/>
      <c r="D28" s="202"/>
      <c r="E28" s="202"/>
      <c r="F28" s="198"/>
      <c r="G28" s="48" t="s">
        <v>109</v>
      </c>
      <c r="H28" s="104"/>
      <c r="I28" s="104"/>
      <c r="J28" s="104"/>
      <c r="K28" s="105"/>
      <c r="L28" s="122"/>
      <c r="M28" s="123"/>
      <c r="N28" s="124"/>
      <c r="O28" s="109"/>
      <c r="P28" s="104"/>
      <c r="Q28" s="104"/>
      <c r="R28" s="105"/>
      <c r="S28" s="122"/>
      <c r="T28" s="123"/>
      <c r="U28" s="124"/>
      <c r="V28" s="110" t="str">
        <f t="shared" si="2"/>
        <v>-</v>
      </c>
      <c r="W28" s="111"/>
      <c r="X28" s="112"/>
      <c r="Y28" s="113">
        <f t="shared" si="3"/>
        <v>0</v>
      </c>
      <c r="Z28" s="104"/>
      <c r="AA28" s="114"/>
      <c r="AB28" s="101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3"/>
      <c r="BB28" s="10"/>
      <c r="BC28" s="10"/>
      <c r="BM28" s="9"/>
      <c r="BN28" s="9"/>
      <c r="BO28" s="9"/>
      <c r="BP28" s="9"/>
      <c r="BQ28" s="9"/>
      <c r="BR28" s="9"/>
      <c r="BS28" s="10"/>
      <c r="BT28" s="10"/>
      <c r="BU28" s="10"/>
    </row>
    <row r="29" spans="1:75" ht="12" customHeight="1">
      <c r="A29" s="201" t="s">
        <v>24</v>
      </c>
      <c r="B29" s="202"/>
      <c r="C29" s="202"/>
      <c r="D29" s="202"/>
      <c r="E29" s="202"/>
      <c r="F29" s="198"/>
      <c r="G29" s="48" t="s">
        <v>109</v>
      </c>
      <c r="H29" s="104"/>
      <c r="I29" s="104"/>
      <c r="J29" s="104"/>
      <c r="K29" s="105"/>
      <c r="L29" s="122"/>
      <c r="M29" s="123"/>
      <c r="N29" s="124"/>
      <c r="O29" s="109"/>
      <c r="P29" s="104"/>
      <c r="Q29" s="104"/>
      <c r="R29" s="105"/>
      <c r="S29" s="122"/>
      <c r="T29" s="123"/>
      <c r="U29" s="124"/>
      <c r="V29" s="110" t="str">
        <f t="shared" si="2"/>
        <v>-</v>
      </c>
      <c r="W29" s="111"/>
      <c r="X29" s="112"/>
      <c r="Y29" s="113">
        <f t="shared" si="3"/>
        <v>0</v>
      </c>
      <c r="Z29" s="104"/>
      <c r="AA29" s="114"/>
      <c r="AB29" s="101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3"/>
      <c r="BB29" s="10"/>
      <c r="BC29" s="10"/>
      <c r="BM29" s="9"/>
      <c r="BN29" s="9"/>
      <c r="BO29" s="9"/>
      <c r="BP29" s="9"/>
      <c r="BQ29" s="9"/>
      <c r="BR29" s="9"/>
      <c r="BS29" s="10"/>
      <c r="BT29" s="10"/>
      <c r="BU29" s="10"/>
    </row>
    <row r="30" spans="1:75" ht="12" customHeight="1">
      <c r="A30" s="239" t="s">
        <v>117</v>
      </c>
      <c r="B30" s="202"/>
      <c r="C30" s="202"/>
      <c r="D30" s="202"/>
      <c r="E30" s="202"/>
      <c r="F30" s="198"/>
      <c r="G30" s="48" t="s">
        <v>109</v>
      </c>
      <c r="H30" s="104"/>
      <c r="I30" s="104"/>
      <c r="J30" s="104"/>
      <c r="K30" s="105"/>
      <c r="L30" s="122"/>
      <c r="M30" s="123"/>
      <c r="N30" s="124"/>
      <c r="O30" s="109"/>
      <c r="P30" s="104"/>
      <c r="Q30" s="104"/>
      <c r="R30" s="105"/>
      <c r="S30" s="122"/>
      <c r="T30" s="123"/>
      <c r="U30" s="124"/>
      <c r="V30" s="110" t="str">
        <f t="shared" si="2"/>
        <v>-</v>
      </c>
      <c r="W30" s="111"/>
      <c r="X30" s="112"/>
      <c r="Y30" s="113">
        <f t="shared" si="3"/>
        <v>0</v>
      </c>
      <c r="Z30" s="104"/>
      <c r="AA30" s="114"/>
      <c r="AB30" s="101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3"/>
      <c r="BB30" s="10"/>
      <c r="BC30" s="10"/>
      <c r="BM30" s="9"/>
      <c r="BN30" s="9"/>
      <c r="BO30" s="9"/>
      <c r="BP30" s="9"/>
      <c r="BQ30" s="9"/>
      <c r="BR30" s="9"/>
      <c r="BS30" s="10"/>
      <c r="BT30" s="10"/>
      <c r="BU30" s="10"/>
    </row>
    <row r="31" spans="1:75" ht="12" customHeight="1">
      <c r="A31" s="239" t="s">
        <v>25</v>
      </c>
      <c r="B31" s="202"/>
      <c r="C31" s="202"/>
      <c r="D31" s="202"/>
      <c r="E31" s="202"/>
      <c r="F31" s="198"/>
      <c r="G31" s="48" t="s">
        <v>109</v>
      </c>
      <c r="H31" s="104"/>
      <c r="I31" s="104"/>
      <c r="J31" s="104"/>
      <c r="K31" s="105"/>
      <c r="L31" s="122"/>
      <c r="M31" s="123"/>
      <c r="N31" s="124"/>
      <c r="O31" s="109"/>
      <c r="P31" s="104"/>
      <c r="Q31" s="104"/>
      <c r="R31" s="105"/>
      <c r="S31" s="122"/>
      <c r="T31" s="123"/>
      <c r="U31" s="124"/>
      <c r="V31" s="110" t="str">
        <f t="shared" si="2"/>
        <v>-</v>
      </c>
      <c r="W31" s="111"/>
      <c r="X31" s="112"/>
      <c r="Y31" s="113">
        <f t="shared" si="3"/>
        <v>0</v>
      </c>
      <c r="Z31" s="104"/>
      <c r="AA31" s="114"/>
      <c r="AB31" s="101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3"/>
      <c r="BM31" s="9"/>
      <c r="BN31" s="9"/>
      <c r="BO31" s="9"/>
      <c r="BP31" s="9"/>
      <c r="BQ31" s="9"/>
      <c r="BR31" s="9"/>
      <c r="BS31" s="10"/>
      <c r="BT31" s="10"/>
      <c r="BU31" s="10"/>
    </row>
    <row r="32" spans="1:75" ht="12" customHeight="1">
      <c r="A32" s="201" t="s">
        <v>118</v>
      </c>
      <c r="B32" s="202"/>
      <c r="C32" s="202"/>
      <c r="D32" s="202"/>
      <c r="E32" s="202"/>
      <c r="F32" s="198"/>
      <c r="G32" s="48" t="s">
        <v>109</v>
      </c>
      <c r="H32" s="104"/>
      <c r="I32" s="104"/>
      <c r="J32" s="104"/>
      <c r="K32" s="105"/>
      <c r="L32" s="122"/>
      <c r="M32" s="123"/>
      <c r="N32" s="124"/>
      <c r="O32" s="109"/>
      <c r="P32" s="104"/>
      <c r="Q32" s="104"/>
      <c r="R32" s="105"/>
      <c r="S32" s="122"/>
      <c r="T32" s="123"/>
      <c r="U32" s="124"/>
      <c r="V32" s="110" t="str">
        <f t="shared" si="2"/>
        <v>-</v>
      </c>
      <c r="W32" s="111"/>
      <c r="X32" s="112"/>
      <c r="Y32" s="113">
        <f t="shared" si="3"/>
        <v>0</v>
      </c>
      <c r="Z32" s="104"/>
      <c r="AA32" s="114"/>
      <c r="AB32" s="101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3"/>
      <c r="BM32" s="9"/>
      <c r="BN32" s="9"/>
      <c r="BO32" s="9"/>
      <c r="BP32" s="9"/>
      <c r="BQ32" s="9"/>
      <c r="BR32" s="9"/>
      <c r="BS32" s="10"/>
      <c r="BT32" s="10"/>
      <c r="BU32" s="10"/>
    </row>
    <row r="33" spans="1:73" ht="12" customHeight="1">
      <c r="A33" s="239" t="s">
        <v>26</v>
      </c>
      <c r="B33" s="202"/>
      <c r="C33" s="202"/>
      <c r="D33" s="202"/>
      <c r="E33" s="202"/>
      <c r="F33" s="198"/>
      <c r="G33" s="48" t="s">
        <v>109</v>
      </c>
      <c r="H33" s="109"/>
      <c r="I33" s="104"/>
      <c r="J33" s="104"/>
      <c r="K33" s="105"/>
      <c r="L33" s="122"/>
      <c r="M33" s="123"/>
      <c r="N33" s="124"/>
      <c r="O33" s="109"/>
      <c r="P33" s="104"/>
      <c r="Q33" s="104"/>
      <c r="R33" s="105"/>
      <c r="S33" s="122"/>
      <c r="T33" s="123"/>
      <c r="U33" s="124"/>
      <c r="V33" s="110" t="str">
        <f t="shared" si="2"/>
        <v>-</v>
      </c>
      <c r="W33" s="111"/>
      <c r="X33" s="112"/>
      <c r="Y33" s="113">
        <f t="shared" si="3"/>
        <v>0</v>
      </c>
      <c r="Z33" s="104"/>
      <c r="AA33" s="114"/>
      <c r="AB33" s="101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3"/>
      <c r="BM33" s="9"/>
      <c r="BN33" s="9"/>
      <c r="BO33" s="9"/>
      <c r="BP33" s="9"/>
      <c r="BQ33" s="9"/>
      <c r="BR33" s="9"/>
      <c r="BS33" s="10"/>
      <c r="BT33" s="10"/>
      <c r="BU33" s="10"/>
    </row>
    <row r="34" spans="1:73" ht="12" customHeight="1">
      <c r="A34" s="239" t="s">
        <v>119</v>
      </c>
      <c r="B34" s="202"/>
      <c r="C34" s="202"/>
      <c r="D34" s="202"/>
      <c r="E34" s="202"/>
      <c r="F34" s="198"/>
      <c r="G34" s="48" t="s">
        <v>109</v>
      </c>
      <c r="H34" s="109"/>
      <c r="I34" s="104"/>
      <c r="J34" s="104"/>
      <c r="K34" s="105"/>
      <c r="L34" s="122"/>
      <c r="M34" s="123"/>
      <c r="N34" s="124"/>
      <c r="O34" s="109"/>
      <c r="P34" s="104"/>
      <c r="Q34" s="104"/>
      <c r="R34" s="105"/>
      <c r="S34" s="122"/>
      <c r="T34" s="123"/>
      <c r="U34" s="124"/>
      <c r="V34" s="110" t="str">
        <f t="shared" si="2"/>
        <v>-</v>
      </c>
      <c r="W34" s="111"/>
      <c r="X34" s="112"/>
      <c r="Y34" s="113">
        <f t="shared" si="3"/>
        <v>0</v>
      </c>
      <c r="Z34" s="104"/>
      <c r="AA34" s="114"/>
      <c r="AB34" s="101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3"/>
    </row>
    <row r="35" spans="1:73" ht="12" customHeight="1">
      <c r="A35" s="201" t="s">
        <v>27</v>
      </c>
      <c r="B35" s="202"/>
      <c r="C35" s="202"/>
      <c r="D35" s="202"/>
      <c r="E35" s="202"/>
      <c r="F35" s="198"/>
      <c r="G35" s="48" t="s">
        <v>109</v>
      </c>
      <c r="H35" s="109"/>
      <c r="I35" s="104"/>
      <c r="J35" s="104"/>
      <c r="K35" s="105"/>
      <c r="L35" s="122"/>
      <c r="M35" s="123"/>
      <c r="N35" s="124"/>
      <c r="O35" s="109"/>
      <c r="P35" s="104"/>
      <c r="Q35" s="104"/>
      <c r="R35" s="105"/>
      <c r="S35" s="122"/>
      <c r="T35" s="123"/>
      <c r="U35" s="124"/>
      <c r="V35" s="110" t="str">
        <f t="shared" si="2"/>
        <v>-</v>
      </c>
      <c r="W35" s="111"/>
      <c r="X35" s="112"/>
      <c r="Y35" s="113">
        <f t="shared" si="3"/>
        <v>0</v>
      </c>
      <c r="Z35" s="104"/>
      <c r="AA35" s="114"/>
      <c r="AB35" s="101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3"/>
    </row>
    <row r="36" spans="1:73" ht="12" customHeight="1">
      <c r="A36" s="55"/>
      <c r="B36" s="240" t="s">
        <v>140</v>
      </c>
      <c r="C36" s="202"/>
      <c r="D36" s="202"/>
      <c r="E36" s="202"/>
      <c r="F36" s="198"/>
      <c r="G36" s="56" t="s">
        <v>109</v>
      </c>
      <c r="H36" s="125"/>
      <c r="I36" s="126"/>
      <c r="J36" s="126"/>
      <c r="K36" s="127"/>
      <c r="L36" s="128"/>
      <c r="M36" s="129"/>
      <c r="N36" s="130"/>
      <c r="O36" s="125"/>
      <c r="P36" s="126"/>
      <c r="Q36" s="126"/>
      <c r="R36" s="127"/>
      <c r="S36" s="128"/>
      <c r="T36" s="129"/>
      <c r="U36" s="130"/>
      <c r="V36" s="131" t="str">
        <f t="shared" si="2"/>
        <v>-</v>
      </c>
      <c r="W36" s="132"/>
      <c r="X36" s="133"/>
      <c r="Y36" s="148">
        <f t="shared" si="3"/>
        <v>0</v>
      </c>
      <c r="Z36" s="149"/>
      <c r="AA36" s="150"/>
      <c r="AB36" s="101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3"/>
      <c r="BB36" s="8"/>
      <c r="BC36" s="8"/>
      <c r="BT36" s="2"/>
      <c r="BU36" s="2"/>
    </row>
    <row r="37" spans="1:73" ht="12" customHeight="1">
      <c r="A37" s="241" t="s">
        <v>120</v>
      </c>
      <c r="B37" s="242"/>
      <c r="C37" s="242"/>
      <c r="D37" s="242"/>
      <c r="E37" s="242"/>
      <c r="F37" s="243"/>
      <c r="G37" s="57" t="s">
        <v>121</v>
      </c>
      <c r="H37" s="137"/>
      <c r="I37" s="138"/>
      <c r="J37" s="138"/>
      <c r="K37" s="138"/>
      <c r="L37" s="141"/>
      <c r="M37" s="142"/>
      <c r="N37" s="143"/>
      <c r="O37" s="137"/>
      <c r="P37" s="138"/>
      <c r="Q37" s="138"/>
      <c r="R37" s="144"/>
      <c r="S37" s="141"/>
      <c r="T37" s="142"/>
      <c r="U37" s="143"/>
      <c r="V37" s="151" t="str">
        <f t="shared" si="2"/>
        <v>-</v>
      </c>
      <c r="W37" s="152"/>
      <c r="X37" s="153"/>
      <c r="Y37" s="154">
        <f t="shared" si="3"/>
        <v>0</v>
      </c>
      <c r="Z37" s="138"/>
      <c r="AA37" s="155"/>
      <c r="AB37" s="101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3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</row>
    <row r="38" spans="1:73" ht="12" customHeight="1">
      <c r="A38" s="58"/>
      <c r="B38" s="244" t="s">
        <v>122</v>
      </c>
      <c r="C38" s="245"/>
      <c r="D38" s="245"/>
      <c r="E38" s="245"/>
      <c r="F38" s="245"/>
      <c r="G38" s="59" t="s">
        <v>109</v>
      </c>
      <c r="H38" s="139"/>
      <c r="I38" s="140"/>
      <c r="J38" s="140"/>
      <c r="K38" s="140"/>
      <c r="L38" s="122"/>
      <c r="M38" s="123"/>
      <c r="N38" s="124"/>
      <c r="O38" s="139"/>
      <c r="P38" s="140"/>
      <c r="Q38" s="140"/>
      <c r="R38" s="145"/>
      <c r="S38" s="122"/>
      <c r="T38" s="123"/>
      <c r="U38" s="124"/>
      <c r="V38" s="110" t="str">
        <f t="shared" si="2"/>
        <v>-</v>
      </c>
      <c r="W38" s="111"/>
      <c r="X38" s="112"/>
      <c r="Y38" s="146">
        <f t="shared" si="3"/>
        <v>0</v>
      </c>
      <c r="Z38" s="140"/>
      <c r="AA38" s="147"/>
      <c r="AB38" s="101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3"/>
      <c r="BB38" s="25"/>
      <c r="BC38" s="25"/>
      <c r="BD38" s="23"/>
      <c r="BE38" s="23"/>
      <c r="BF38" s="23"/>
      <c r="BG38" s="24"/>
      <c r="BH38" s="24"/>
      <c r="BI38" s="24"/>
      <c r="BJ38" s="25"/>
      <c r="BK38" s="25"/>
      <c r="BL38" s="25"/>
      <c r="BM38" s="23"/>
      <c r="BN38" s="23"/>
      <c r="BO38" s="23"/>
      <c r="BP38" s="24"/>
      <c r="BQ38" s="24"/>
      <c r="BR38" s="24"/>
      <c r="BS38" s="25"/>
      <c r="BT38" s="25"/>
      <c r="BU38" s="25"/>
    </row>
    <row r="39" spans="1:73" ht="12" customHeight="1">
      <c r="A39" s="60"/>
      <c r="B39" s="220" t="s">
        <v>124</v>
      </c>
      <c r="C39" s="221"/>
      <c r="D39" s="221"/>
      <c r="E39" s="221"/>
      <c r="F39" s="221"/>
      <c r="G39" s="61" t="s">
        <v>109</v>
      </c>
      <c r="H39" s="161"/>
      <c r="I39" s="135"/>
      <c r="J39" s="135"/>
      <c r="K39" s="135"/>
      <c r="L39" s="158"/>
      <c r="M39" s="159"/>
      <c r="N39" s="160"/>
      <c r="O39" s="161"/>
      <c r="P39" s="135"/>
      <c r="Q39" s="135"/>
      <c r="R39" s="162"/>
      <c r="S39" s="158"/>
      <c r="T39" s="159"/>
      <c r="U39" s="160"/>
      <c r="V39" s="131" t="str">
        <f t="shared" si="2"/>
        <v>-</v>
      </c>
      <c r="W39" s="132"/>
      <c r="X39" s="133"/>
      <c r="Y39" s="134">
        <f t="shared" si="3"/>
        <v>0</v>
      </c>
      <c r="Z39" s="135"/>
      <c r="AA39" s="136"/>
      <c r="AB39" s="101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3"/>
      <c r="BB39" s="25"/>
      <c r="BC39" s="25"/>
      <c r="BD39" s="23"/>
      <c r="BE39" s="23"/>
      <c r="BF39" s="23"/>
      <c r="BG39" s="23"/>
      <c r="BH39" s="23"/>
      <c r="BI39" s="23"/>
      <c r="BJ39" s="25"/>
      <c r="BK39" s="25"/>
      <c r="BL39" s="25"/>
      <c r="BM39" s="23"/>
      <c r="BN39" s="23"/>
      <c r="BO39" s="23"/>
      <c r="BP39" s="23"/>
      <c r="BQ39" s="23"/>
      <c r="BR39" s="23"/>
      <c r="BS39" s="25"/>
      <c r="BT39" s="25"/>
      <c r="BU39" s="25"/>
    </row>
    <row r="40" spans="1:73" ht="12" customHeight="1">
      <c r="A40" s="222" t="s">
        <v>135</v>
      </c>
      <c r="B40" s="223"/>
      <c r="C40" s="224"/>
      <c r="D40" s="230" t="s">
        <v>52</v>
      </c>
      <c r="E40" s="231"/>
      <c r="F40" s="232"/>
      <c r="G40" s="62" t="s">
        <v>125</v>
      </c>
      <c r="H40" s="156"/>
      <c r="I40" s="98"/>
      <c r="J40" s="98"/>
      <c r="K40" s="157"/>
      <c r="L40" s="141"/>
      <c r="M40" s="142"/>
      <c r="N40" s="143"/>
      <c r="O40" s="156"/>
      <c r="P40" s="98"/>
      <c r="Q40" s="98"/>
      <c r="R40" s="157"/>
      <c r="S40" s="141"/>
      <c r="T40" s="142"/>
      <c r="U40" s="143"/>
      <c r="V40" s="151" t="str">
        <f t="shared" si="2"/>
        <v>-</v>
      </c>
      <c r="W40" s="152"/>
      <c r="X40" s="153"/>
      <c r="Y40" s="97">
        <f t="shared" si="3"/>
        <v>0</v>
      </c>
      <c r="Z40" s="98"/>
      <c r="AA40" s="99"/>
      <c r="AB40" s="101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3"/>
      <c r="BB40" s="10"/>
      <c r="BC40" s="10"/>
      <c r="BD40" s="28"/>
      <c r="BE40" s="28"/>
      <c r="BF40" s="28"/>
      <c r="BG40" s="28"/>
      <c r="BH40" s="28"/>
      <c r="BI40" s="28"/>
      <c r="BJ40" s="10"/>
      <c r="BK40" s="10"/>
      <c r="BL40" s="10"/>
      <c r="BM40" s="28"/>
      <c r="BN40" s="28"/>
      <c r="BO40" s="28"/>
      <c r="BP40" s="28"/>
      <c r="BQ40" s="28"/>
      <c r="BR40" s="28"/>
      <c r="BS40" s="10"/>
      <c r="BT40" s="10"/>
      <c r="BU40" s="10"/>
    </row>
    <row r="41" spans="1:73" ht="12" customHeight="1">
      <c r="A41" s="194"/>
      <c r="B41" s="225"/>
      <c r="C41" s="226"/>
      <c r="D41" s="218" t="s">
        <v>136</v>
      </c>
      <c r="E41" s="219"/>
      <c r="F41" s="233"/>
      <c r="G41" s="48" t="s">
        <v>137</v>
      </c>
      <c r="H41" s="173"/>
      <c r="I41" s="107"/>
      <c r="J41" s="107"/>
      <c r="K41" s="174"/>
      <c r="L41" s="122"/>
      <c r="M41" s="123"/>
      <c r="N41" s="124"/>
      <c r="O41" s="173"/>
      <c r="P41" s="107"/>
      <c r="Q41" s="107"/>
      <c r="R41" s="174"/>
      <c r="S41" s="122"/>
      <c r="T41" s="123"/>
      <c r="U41" s="124"/>
      <c r="V41" s="110" t="str">
        <f t="shared" si="2"/>
        <v>-</v>
      </c>
      <c r="W41" s="111"/>
      <c r="X41" s="112"/>
      <c r="Y41" s="106">
        <f t="shared" si="3"/>
        <v>0</v>
      </c>
      <c r="Z41" s="107"/>
      <c r="AA41" s="108"/>
      <c r="AB41" s="101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3"/>
      <c r="BB41" s="10"/>
      <c r="BC41" s="10"/>
      <c r="BD41" s="28"/>
      <c r="BE41" s="28"/>
      <c r="BF41" s="28"/>
      <c r="BG41" s="28"/>
      <c r="BH41" s="28"/>
      <c r="BI41" s="28"/>
      <c r="BJ41" s="10"/>
      <c r="BK41" s="10"/>
      <c r="BL41" s="10"/>
      <c r="BM41" s="28"/>
      <c r="BN41" s="28"/>
      <c r="BO41" s="28"/>
      <c r="BP41" s="28"/>
      <c r="BQ41" s="28"/>
      <c r="BR41" s="28"/>
      <c r="BS41" s="10"/>
      <c r="BT41" s="10"/>
      <c r="BU41" s="10"/>
    </row>
    <row r="42" spans="1:73" ht="12" customHeight="1">
      <c r="A42" s="227"/>
      <c r="B42" s="228"/>
      <c r="C42" s="229"/>
      <c r="D42" s="234" t="s">
        <v>58</v>
      </c>
      <c r="E42" s="235"/>
      <c r="F42" s="236"/>
      <c r="G42" s="56" t="s">
        <v>108</v>
      </c>
      <c r="H42" s="171"/>
      <c r="I42" s="149"/>
      <c r="J42" s="149"/>
      <c r="K42" s="172"/>
      <c r="L42" s="158"/>
      <c r="M42" s="159"/>
      <c r="N42" s="160"/>
      <c r="O42" s="171"/>
      <c r="P42" s="149"/>
      <c r="Q42" s="149"/>
      <c r="R42" s="172"/>
      <c r="S42" s="158"/>
      <c r="T42" s="159"/>
      <c r="U42" s="160"/>
      <c r="V42" s="131" t="str">
        <f t="shared" si="2"/>
        <v>-</v>
      </c>
      <c r="W42" s="132"/>
      <c r="X42" s="133"/>
      <c r="Y42" s="148">
        <f t="shared" si="3"/>
        <v>0</v>
      </c>
      <c r="Z42" s="149"/>
      <c r="AA42" s="150"/>
      <c r="AB42" s="101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3"/>
      <c r="BB42" s="10"/>
      <c r="BC42" s="10"/>
      <c r="BD42" s="28"/>
      <c r="BE42" s="28"/>
      <c r="BF42" s="28"/>
      <c r="BG42" s="28"/>
      <c r="BH42" s="28"/>
      <c r="BI42" s="28"/>
      <c r="BJ42" s="10"/>
      <c r="BK42" s="10"/>
      <c r="BL42" s="10"/>
      <c r="BM42" s="28"/>
      <c r="BN42" s="28"/>
      <c r="BO42" s="28"/>
      <c r="BP42" s="28"/>
      <c r="BQ42" s="28"/>
      <c r="BR42" s="28"/>
      <c r="BS42" s="10"/>
      <c r="BT42" s="10"/>
      <c r="BU42" s="10"/>
    </row>
    <row r="43" spans="1:73" ht="12" customHeight="1">
      <c r="A43" s="237" t="s">
        <v>126</v>
      </c>
      <c r="B43" s="238"/>
      <c r="C43" s="238"/>
      <c r="D43" s="238"/>
      <c r="E43" s="238"/>
      <c r="F43" s="196"/>
      <c r="G43" s="62" t="s">
        <v>131</v>
      </c>
      <c r="H43" s="163"/>
      <c r="I43" s="164"/>
      <c r="J43" s="164"/>
      <c r="K43" s="165"/>
      <c r="L43" s="166"/>
      <c r="M43" s="167"/>
      <c r="N43" s="168"/>
      <c r="O43" s="163"/>
      <c r="P43" s="164"/>
      <c r="Q43" s="164"/>
      <c r="R43" s="165"/>
      <c r="S43" s="166"/>
      <c r="T43" s="167"/>
      <c r="U43" s="168"/>
      <c r="V43" s="151" t="str">
        <f t="shared" si="2"/>
        <v>-</v>
      </c>
      <c r="W43" s="152"/>
      <c r="X43" s="153"/>
      <c r="Y43" s="169">
        <f t="shared" si="3"/>
        <v>0</v>
      </c>
      <c r="Z43" s="95"/>
      <c r="AA43" s="170"/>
      <c r="AB43" s="101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3"/>
      <c r="BB43" s="10"/>
      <c r="BC43" s="10"/>
      <c r="BD43" s="28"/>
      <c r="BE43" s="28"/>
      <c r="BF43" s="28"/>
      <c r="BG43" s="28"/>
      <c r="BH43" s="28"/>
      <c r="BI43" s="28"/>
      <c r="BJ43" s="10"/>
      <c r="BK43" s="10"/>
      <c r="BL43" s="10"/>
      <c r="BM43" s="28"/>
      <c r="BN43" s="28"/>
      <c r="BO43" s="28"/>
      <c r="BP43" s="28"/>
      <c r="BQ43" s="28"/>
      <c r="BR43" s="28"/>
      <c r="BS43" s="10"/>
      <c r="BT43" s="10"/>
      <c r="BU43" s="10"/>
    </row>
    <row r="44" spans="1:73" ht="12" customHeight="1">
      <c r="A44" s="201" t="s">
        <v>127</v>
      </c>
      <c r="B44" s="208"/>
      <c r="C44" s="208"/>
      <c r="D44" s="208"/>
      <c r="E44" s="208"/>
      <c r="F44" s="208"/>
      <c r="G44" s="59" t="s">
        <v>109</v>
      </c>
      <c r="H44" s="109"/>
      <c r="I44" s="104"/>
      <c r="J44" s="104"/>
      <c r="K44" s="105"/>
      <c r="L44" s="122"/>
      <c r="M44" s="123"/>
      <c r="N44" s="124"/>
      <c r="O44" s="109"/>
      <c r="P44" s="104"/>
      <c r="Q44" s="104"/>
      <c r="R44" s="105"/>
      <c r="S44" s="122"/>
      <c r="T44" s="123"/>
      <c r="U44" s="124"/>
      <c r="V44" s="110" t="str">
        <f t="shared" si="2"/>
        <v>-</v>
      </c>
      <c r="W44" s="111"/>
      <c r="X44" s="112"/>
      <c r="Y44" s="113">
        <f t="shared" si="3"/>
        <v>0</v>
      </c>
      <c r="Z44" s="104"/>
      <c r="AA44" s="114"/>
      <c r="AB44" s="101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3"/>
      <c r="BB44" s="10"/>
      <c r="BC44" s="10"/>
      <c r="BD44" s="28"/>
      <c r="BE44" s="28"/>
      <c r="BF44" s="28"/>
      <c r="BG44" s="28"/>
      <c r="BH44" s="28"/>
      <c r="BI44" s="28"/>
      <c r="BJ44" s="10"/>
      <c r="BK44" s="10"/>
      <c r="BL44" s="10"/>
      <c r="BM44" s="28"/>
      <c r="BN44" s="28"/>
      <c r="BO44" s="28"/>
      <c r="BP44" s="28"/>
      <c r="BQ44" s="28"/>
      <c r="BR44" s="28"/>
      <c r="BS44" s="10"/>
      <c r="BT44" s="10"/>
      <c r="BU44" s="10"/>
    </row>
    <row r="45" spans="1:73" ht="12" customHeight="1" thickBot="1">
      <c r="A45" s="63"/>
      <c r="B45" s="209" t="s">
        <v>128</v>
      </c>
      <c r="C45" s="210"/>
      <c r="D45" s="210"/>
      <c r="E45" s="210"/>
      <c r="F45" s="211"/>
      <c r="G45" s="64" t="s">
        <v>109</v>
      </c>
      <c r="H45" s="125"/>
      <c r="I45" s="126"/>
      <c r="J45" s="126"/>
      <c r="K45" s="127"/>
      <c r="L45" s="128"/>
      <c r="M45" s="129"/>
      <c r="N45" s="130"/>
      <c r="O45" s="125"/>
      <c r="P45" s="126"/>
      <c r="Q45" s="126"/>
      <c r="R45" s="127"/>
      <c r="S45" s="128"/>
      <c r="T45" s="129"/>
      <c r="U45" s="130"/>
      <c r="V45" s="179" t="str">
        <f t="shared" si="2"/>
        <v>-</v>
      </c>
      <c r="W45" s="180"/>
      <c r="X45" s="181"/>
      <c r="Y45" s="182">
        <f t="shared" si="3"/>
        <v>0</v>
      </c>
      <c r="Z45" s="183"/>
      <c r="AA45" s="184"/>
      <c r="AB45" s="101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3"/>
      <c r="BB45" s="10"/>
      <c r="BC45" s="10"/>
      <c r="BD45" s="28"/>
      <c r="BE45" s="28"/>
      <c r="BF45" s="28"/>
      <c r="BG45" s="28"/>
      <c r="BH45" s="28"/>
      <c r="BI45" s="28"/>
      <c r="BJ45" s="10"/>
      <c r="BK45" s="10"/>
      <c r="BL45" s="10"/>
      <c r="BM45" s="28"/>
      <c r="BN45" s="28"/>
      <c r="BO45" s="28"/>
      <c r="BP45" s="28"/>
      <c r="BQ45" s="28"/>
      <c r="BR45" s="28"/>
      <c r="BS45" s="10"/>
      <c r="BT45" s="10"/>
      <c r="BU45" s="10"/>
    </row>
    <row r="46" spans="1:73" ht="12" customHeight="1" thickTop="1">
      <c r="A46" s="212" t="s">
        <v>129</v>
      </c>
      <c r="B46" s="213"/>
      <c r="C46" s="213"/>
      <c r="D46" s="213"/>
      <c r="E46" s="213"/>
      <c r="F46" s="214"/>
      <c r="G46" s="65"/>
      <c r="H46" s="176"/>
      <c r="I46" s="176"/>
      <c r="J46" s="176"/>
      <c r="K46" s="176"/>
      <c r="L46" s="175"/>
      <c r="M46" s="175"/>
      <c r="N46" s="175"/>
      <c r="O46" s="176"/>
      <c r="P46" s="176"/>
      <c r="Q46" s="176"/>
      <c r="R46" s="176"/>
      <c r="S46" s="175"/>
      <c r="T46" s="175"/>
      <c r="U46" s="175"/>
      <c r="V46" s="177"/>
      <c r="W46" s="177"/>
      <c r="X46" s="177"/>
      <c r="Y46" s="176"/>
      <c r="Z46" s="176"/>
      <c r="AA46" s="178"/>
      <c r="AB46" s="101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3"/>
      <c r="BB46" s="10"/>
      <c r="BC46" s="10"/>
      <c r="BD46" s="28"/>
      <c r="BE46" s="28"/>
      <c r="BF46" s="28"/>
      <c r="BG46" s="28"/>
      <c r="BH46" s="28"/>
      <c r="BI46" s="28"/>
      <c r="BJ46" s="10"/>
      <c r="BK46" s="10"/>
      <c r="BL46" s="10"/>
      <c r="BM46" s="28"/>
      <c r="BN46" s="28"/>
      <c r="BO46" s="28"/>
      <c r="BP46" s="28"/>
      <c r="BQ46" s="28"/>
      <c r="BR46" s="28"/>
      <c r="BS46" s="10"/>
      <c r="BT46" s="10"/>
      <c r="BU46" s="10"/>
    </row>
    <row r="47" spans="1:73" ht="12" customHeight="1">
      <c r="A47" s="201" t="s">
        <v>152</v>
      </c>
      <c r="B47" s="204"/>
      <c r="C47" s="204"/>
      <c r="D47" s="204"/>
      <c r="E47" s="204"/>
      <c r="F47" s="205"/>
      <c r="G47" s="48" t="s">
        <v>130</v>
      </c>
      <c r="H47" s="173"/>
      <c r="I47" s="107"/>
      <c r="J47" s="107"/>
      <c r="K47" s="174"/>
      <c r="L47" s="122"/>
      <c r="M47" s="123"/>
      <c r="N47" s="124"/>
      <c r="O47" s="173"/>
      <c r="P47" s="107"/>
      <c r="Q47" s="107"/>
      <c r="R47" s="174"/>
      <c r="S47" s="122"/>
      <c r="T47" s="123"/>
      <c r="U47" s="124"/>
      <c r="V47" s="110" t="str">
        <f t="shared" ref="V47:V48" si="4">IF(H47="-", "-", IF(O47="-", "-", IF(ABS(O47)=0, "-", ROUND(100*(H47-O47)/ABS(O47),1))))</f>
        <v>-</v>
      </c>
      <c r="W47" s="111"/>
      <c r="X47" s="112"/>
      <c r="Y47" s="106">
        <f t="shared" si="3"/>
        <v>0</v>
      </c>
      <c r="Z47" s="107"/>
      <c r="AA47" s="108"/>
      <c r="AB47" s="101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3"/>
      <c r="BB47" s="10"/>
      <c r="BC47" s="10"/>
      <c r="BD47" s="28"/>
      <c r="BE47" s="28"/>
      <c r="BF47" s="28"/>
      <c r="BG47" s="28"/>
      <c r="BH47" s="28"/>
      <c r="BI47" s="28"/>
      <c r="BJ47" s="10"/>
      <c r="BK47" s="10"/>
      <c r="BL47" s="10"/>
      <c r="BM47" s="28"/>
      <c r="BN47" s="28"/>
      <c r="BO47" s="28"/>
      <c r="BP47" s="28"/>
      <c r="BQ47" s="28"/>
      <c r="BR47" s="28"/>
      <c r="BS47" s="10"/>
      <c r="BT47" s="10"/>
      <c r="BU47" s="10"/>
    </row>
    <row r="48" spans="1:73" ht="12" customHeight="1">
      <c r="A48" s="215" t="s">
        <v>64</v>
      </c>
      <c r="B48" s="216"/>
      <c r="C48" s="216"/>
      <c r="D48" s="216"/>
      <c r="E48" s="216"/>
      <c r="F48" s="217"/>
      <c r="G48" s="56" t="s">
        <v>123</v>
      </c>
      <c r="H48" s="171"/>
      <c r="I48" s="149"/>
      <c r="J48" s="149"/>
      <c r="K48" s="172"/>
      <c r="L48" s="158"/>
      <c r="M48" s="159"/>
      <c r="N48" s="160"/>
      <c r="O48" s="171"/>
      <c r="P48" s="149"/>
      <c r="Q48" s="149"/>
      <c r="R48" s="172"/>
      <c r="S48" s="158"/>
      <c r="T48" s="159"/>
      <c r="U48" s="160"/>
      <c r="V48" s="131" t="str">
        <f t="shared" si="4"/>
        <v>-</v>
      </c>
      <c r="W48" s="132"/>
      <c r="X48" s="133"/>
      <c r="Y48" s="148">
        <f t="shared" si="3"/>
        <v>0</v>
      </c>
      <c r="Z48" s="149"/>
      <c r="AA48" s="150"/>
      <c r="AB48" s="185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87"/>
    </row>
    <row r="49" spans="1:53" ht="12.6" customHeight="1">
      <c r="A49" s="34"/>
    </row>
    <row r="50" spans="1:53" ht="14.1" customHeight="1">
      <c r="A50" s="3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2" spans="1:53" ht="14.1" customHeight="1">
      <c r="B52" s="35"/>
      <c r="C52" s="35"/>
      <c r="D52" s="35"/>
      <c r="E52" s="35"/>
      <c r="F52" s="36"/>
    </row>
    <row r="53" spans="1:53" ht="14.1" customHeight="1">
      <c r="BA53" s="4"/>
    </row>
    <row r="54" spans="1:53" ht="14.1" customHeight="1">
      <c r="A54" s="35"/>
    </row>
  </sheetData>
  <mergeCells count="352">
    <mergeCell ref="A44:F44"/>
    <mergeCell ref="B45:F45"/>
    <mergeCell ref="A46:F46"/>
    <mergeCell ref="A47:F47"/>
    <mergeCell ref="A48:F48"/>
    <mergeCell ref="C11:F11"/>
    <mergeCell ref="C12:F12"/>
    <mergeCell ref="B39:F39"/>
    <mergeCell ref="A40:C42"/>
    <mergeCell ref="D40:F40"/>
    <mergeCell ref="D41:F41"/>
    <mergeCell ref="D42:F42"/>
    <mergeCell ref="A43:F43"/>
    <mergeCell ref="A33:F33"/>
    <mergeCell ref="A34:F34"/>
    <mergeCell ref="A35:F35"/>
    <mergeCell ref="B36:F36"/>
    <mergeCell ref="A37:F37"/>
    <mergeCell ref="B38:F38"/>
    <mergeCell ref="A27:F27"/>
    <mergeCell ref="A28:F28"/>
    <mergeCell ref="A29:F29"/>
    <mergeCell ref="A30:F30"/>
    <mergeCell ref="A31:F31"/>
    <mergeCell ref="A32:F32"/>
    <mergeCell ref="B21:F21"/>
    <mergeCell ref="B22:F22"/>
    <mergeCell ref="B23:F23"/>
    <mergeCell ref="B24:F24"/>
    <mergeCell ref="A25:F25"/>
    <mergeCell ref="B26:F26"/>
    <mergeCell ref="B15:F15"/>
    <mergeCell ref="B16:F16"/>
    <mergeCell ref="B17:F17"/>
    <mergeCell ref="B18:F18"/>
    <mergeCell ref="B19:F19"/>
    <mergeCell ref="B20:F20"/>
    <mergeCell ref="Y48:AA48"/>
    <mergeCell ref="AB48:AZ48"/>
    <mergeCell ref="A5:F6"/>
    <mergeCell ref="G5:G6"/>
    <mergeCell ref="A7:F7"/>
    <mergeCell ref="B8:F8"/>
    <mergeCell ref="B9:F9"/>
    <mergeCell ref="B10:F10"/>
    <mergeCell ref="B13:F13"/>
    <mergeCell ref="B14:F14"/>
    <mergeCell ref="H48:K48"/>
    <mergeCell ref="L48:N48"/>
    <mergeCell ref="O48:R48"/>
    <mergeCell ref="S48:U48"/>
    <mergeCell ref="V48:X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Y46:AA46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AB42:AZ42"/>
    <mergeCell ref="H43:K43"/>
    <mergeCell ref="L43:N43"/>
    <mergeCell ref="O43:R43"/>
    <mergeCell ref="S43:U43"/>
    <mergeCell ref="V43:X43"/>
    <mergeCell ref="Y43:AA43"/>
    <mergeCell ref="AB43:AZ43"/>
    <mergeCell ref="V41:X41"/>
    <mergeCell ref="Y41:AA41"/>
    <mergeCell ref="AB41:AZ41"/>
    <mergeCell ref="H42:K42"/>
    <mergeCell ref="L42:N42"/>
    <mergeCell ref="O42:R42"/>
    <mergeCell ref="S42:U42"/>
    <mergeCell ref="V42:X42"/>
    <mergeCell ref="Y42:AA42"/>
    <mergeCell ref="H41:K41"/>
    <mergeCell ref="L41:N41"/>
    <mergeCell ref="O41:R41"/>
    <mergeCell ref="S41:U41"/>
    <mergeCell ref="H40:K40"/>
    <mergeCell ref="L40:N40"/>
    <mergeCell ref="O40:R40"/>
    <mergeCell ref="S40:U40"/>
    <mergeCell ref="V40:X40"/>
    <mergeCell ref="Y40:AA40"/>
    <mergeCell ref="AB40:AZ40"/>
    <mergeCell ref="S39:U39"/>
    <mergeCell ref="V39:X39"/>
    <mergeCell ref="H39:K39"/>
    <mergeCell ref="L39:N39"/>
    <mergeCell ref="O39:R39"/>
    <mergeCell ref="H36:K36"/>
    <mergeCell ref="L36:N36"/>
    <mergeCell ref="O36:R36"/>
    <mergeCell ref="S36:U36"/>
    <mergeCell ref="V36:X36"/>
    <mergeCell ref="Y39:AA39"/>
    <mergeCell ref="AB39:AZ39"/>
    <mergeCell ref="H37:K37"/>
    <mergeCell ref="H38:K38"/>
    <mergeCell ref="L37:N37"/>
    <mergeCell ref="O37:R37"/>
    <mergeCell ref="L38:N38"/>
    <mergeCell ref="O38:R38"/>
    <mergeCell ref="AB37:AZ37"/>
    <mergeCell ref="S38:U38"/>
    <mergeCell ref="V38:X38"/>
    <mergeCell ref="Y38:AA38"/>
    <mergeCell ref="AB38:AZ38"/>
    <mergeCell ref="Y36:AA36"/>
    <mergeCell ref="AB36:AZ36"/>
    <mergeCell ref="S37:U37"/>
    <mergeCell ref="V37:X37"/>
    <mergeCell ref="Y37:AA37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0:AA10"/>
    <mergeCell ref="AB10:AZ10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H7:K7"/>
    <mergeCell ref="L7:N7"/>
    <mergeCell ref="O7:R7"/>
    <mergeCell ref="S7:U7"/>
    <mergeCell ref="AB8:AZ8"/>
    <mergeCell ref="H9:K9"/>
    <mergeCell ref="L9:N9"/>
    <mergeCell ref="O9:R9"/>
    <mergeCell ref="S9:U9"/>
    <mergeCell ref="V9:X9"/>
    <mergeCell ref="Y9:AA9"/>
    <mergeCell ref="AB9:AZ9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1:AN2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51"/>
  <sheetViews>
    <sheetView showGridLines="0" view="pageBreakPreview" zoomScaleNormal="100" zoomScaleSheetLayoutView="100" workbookViewId="0">
      <selection sqref="A1:AN2"/>
    </sheetView>
  </sheetViews>
  <sheetFormatPr defaultColWidth="2.6640625" defaultRowHeight="14.1" customHeight="1"/>
  <cols>
    <col min="1" max="44" width="2.6640625" style="1" customWidth="1"/>
    <col min="45" max="52" width="2.6640625" style="1"/>
    <col min="53" max="53" width="2.6640625" style="1" customWidth="1"/>
    <col min="54" max="16384" width="2.6640625" style="1"/>
  </cols>
  <sheetData>
    <row r="1" spans="1:106" ht="12" customHeight="1">
      <c r="A1" s="93" t="str">
        <f>IF(H5="年","9999",H5)&amp;"年　農業経営統計調査　肥育豚生産費統計　個別結果検討表　№２"</f>
        <v>0年　農業経営統計調査　肥育豚生産費統計　個別結果検討表　№２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  <c r="AO1" s="66" t="s">
        <v>0</v>
      </c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</row>
    <row r="2" spans="1:106" ht="12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248" t="str">
        <f>IF('No1'!AO2="","",'No1'!AO2)</f>
        <v/>
      </c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</row>
    <row r="3" spans="1:106" ht="12.9" customHeight="1">
      <c r="P3" s="2"/>
      <c r="Q3" s="2"/>
      <c r="R3" s="2"/>
    </row>
    <row r="4" spans="1:106" ht="12.9" customHeight="1">
      <c r="A4" s="3" t="s">
        <v>146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 t="s">
        <v>1</v>
      </c>
      <c r="BQ4" s="2"/>
      <c r="CC4" s="3" t="s">
        <v>75</v>
      </c>
      <c r="CR4" s="2"/>
    </row>
    <row r="5" spans="1:106" ht="12.9" customHeight="1">
      <c r="A5" s="249"/>
      <c r="B5" s="250"/>
      <c r="C5" s="250"/>
      <c r="D5" s="250"/>
      <c r="E5" s="250"/>
      <c r="F5" s="250"/>
      <c r="G5" s="269"/>
      <c r="H5" s="253">
        <f>IF('No1'!H5="【個】[000101]","年",'No1'!H5)</f>
        <v>0</v>
      </c>
      <c r="I5" s="254"/>
      <c r="J5" s="255"/>
      <c r="K5" s="256">
        <f>IF(H5="年","年",H5-1)</f>
        <v>-1</v>
      </c>
      <c r="L5" s="257"/>
      <c r="M5" s="258"/>
      <c r="N5" s="263" t="s">
        <v>2</v>
      </c>
      <c r="O5" s="264"/>
      <c r="P5" s="265"/>
      <c r="Q5" s="400" t="s">
        <v>155</v>
      </c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8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399"/>
      <c r="BA5" s="2"/>
      <c r="BB5" s="249"/>
      <c r="BC5" s="250"/>
      <c r="BD5" s="250"/>
      <c r="BE5" s="250"/>
      <c r="BF5" s="250"/>
      <c r="BG5" s="250"/>
      <c r="BH5" s="250"/>
      <c r="BI5" s="253">
        <f>H5</f>
        <v>0</v>
      </c>
      <c r="BJ5" s="254"/>
      <c r="BK5" s="255"/>
      <c r="BL5" s="256">
        <f>K5</f>
        <v>-1</v>
      </c>
      <c r="BM5" s="257"/>
      <c r="BN5" s="258"/>
      <c r="BO5" s="263" t="s">
        <v>2</v>
      </c>
      <c r="BP5" s="264"/>
      <c r="BQ5" s="265"/>
      <c r="BR5" s="400" t="s">
        <v>155</v>
      </c>
      <c r="BS5" s="398"/>
      <c r="BT5" s="398"/>
      <c r="BU5" s="398"/>
      <c r="BV5" s="398"/>
      <c r="BW5" s="398"/>
      <c r="BX5" s="398"/>
      <c r="BY5" s="398"/>
      <c r="BZ5" s="398"/>
      <c r="CA5" s="399"/>
      <c r="CC5" s="249"/>
      <c r="CD5" s="250"/>
      <c r="CE5" s="250"/>
      <c r="CF5" s="250"/>
      <c r="CG5" s="250"/>
      <c r="CH5" s="250"/>
      <c r="CI5" s="250"/>
      <c r="CJ5" s="253">
        <f>H5</f>
        <v>0</v>
      </c>
      <c r="CK5" s="254"/>
      <c r="CL5" s="255"/>
      <c r="CM5" s="256">
        <f>K5</f>
        <v>-1</v>
      </c>
      <c r="CN5" s="257"/>
      <c r="CO5" s="258"/>
      <c r="CP5" s="263" t="s">
        <v>2</v>
      </c>
      <c r="CQ5" s="264"/>
      <c r="CR5" s="265"/>
      <c r="CS5" s="400" t="s">
        <v>155</v>
      </c>
      <c r="CT5" s="398"/>
      <c r="CU5" s="398"/>
      <c r="CV5" s="398"/>
      <c r="CW5" s="398"/>
      <c r="CX5" s="398"/>
      <c r="CY5" s="398"/>
      <c r="CZ5" s="398"/>
      <c r="DA5" s="398"/>
      <c r="DB5" s="399"/>
    </row>
    <row r="6" spans="1:106" ht="12.9" customHeight="1">
      <c r="A6" s="251"/>
      <c r="B6" s="252"/>
      <c r="C6" s="252"/>
      <c r="D6" s="252"/>
      <c r="E6" s="252"/>
      <c r="F6" s="252"/>
      <c r="G6" s="270"/>
      <c r="H6" s="271" t="s">
        <v>3</v>
      </c>
      <c r="I6" s="272"/>
      <c r="J6" s="273"/>
      <c r="K6" s="274" t="s">
        <v>3</v>
      </c>
      <c r="L6" s="272"/>
      <c r="M6" s="273"/>
      <c r="N6" s="266"/>
      <c r="O6" s="267"/>
      <c r="P6" s="268"/>
      <c r="Q6" s="429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430"/>
      <c r="BA6" s="2"/>
      <c r="BB6" s="251"/>
      <c r="BC6" s="252"/>
      <c r="BD6" s="252"/>
      <c r="BE6" s="252"/>
      <c r="BF6" s="252"/>
      <c r="BG6" s="252"/>
      <c r="BH6" s="252"/>
      <c r="BI6" s="271" t="s">
        <v>4</v>
      </c>
      <c r="BJ6" s="272"/>
      <c r="BK6" s="273"/>
      <c r="BL6" s="274" t="s">
        <v>4</v>
      </c>
      <c r="BM6" s="272"/>
      <c r="BN6" s="273"/>
      <c r="BO6" s="266"/>
      <c r="BP6" s="267"/>
      <c r="BQ6" s="268"/>
      <c r="BR6" s="437"/>
      <c r="BS6" s="438"/>
      <c r="BT6" s="438"/>
      <c r="BU6" s="438"/>
      <c r="BV6" s="438"/>
      <c r="BW6" s="438"/>
      <c r="BX6" s="438"/>
      <c r="BY6" s="438"/>
      <c r="BZ6" s="438"/>
      <c r="CA6" s="439"/>
      <c r="CC6" s="251"/>
      <c r="CD6" s="252"/>
      <c r="CE6" s="252"/>
      <c r="CF6" s="252"/>
      <c r="CG6" s="252"/>
      <c r="CH6" s="252"/>
      <c r="CI6" s="252"/>
      <c r="CJ6" s="271" t="s">
        <v>4</v>
      </c>
      <c r="CK6" s="272"/>
      <c r="CL6" s="273"/>
      <c r="CM6" s="274" t="s">
        <v>4</v>
      </c>
      <c r="CN6" s="272"/>
      <c r="CO6" s="273"/>
      <c r="CP6" s="266"/>
      <c r="CQ6" s="267"/>
      <c r="CR6" s="268"/>
      <c r="CS6" s="429"/>
      <c r="CT6" s="296"/>
      <c r="CU6" s="296"/>
      <c r="CV6" s="296"/>
      <c r="CW6" s="296"/>
      <c r="CX6" s="296"/>
      <c r="CY6" s="296"/>
      <c r="CZ6" s="296"/>
      <c r="DA6" s="296"/>
      <c r="DB6" s="430"/>
    </row>
    <row r="7" spans="1:106" ht="12.9" customHeight="1">
      <c r="A7" s="275" t="s">
        <v>5</v>
      </c>
      <c r="B7" s="276"/>
      <c r="C7" s="276"/>
      <c r="D7" s="276"/>
      <c r="E7" s="276"/>
      <c r="F7" s="276"/>
      <c r="G7" s="277"/>
      <c r="H7" s="163"/>
      <c r="I7" s="164"/>
      <c r="J7" s="165"/>
      <c r="K7" s="278"/>
      <c r="L7" s="164"/>
      <c r="M7" s="165"/>
      <c r="N7" s="279" t="str">
        <f>IF(H7="-", "-", IF(K7="-", "-", IF(ABS(K7)=0, "-", ROUND(100*(H7-K7)/ABS(K7),10))))</f>
        <v>-</v>
      </c>
      <c r="O7" s="280"/>
      <c r="P7" s="281"/>
      <c r="Q7" s="431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432"/>
      <c r="AD7" s="432"/>
      <c r="AE7" s="432"/>
      <c r="AF7" s="432"/>
      <c r="AG7" s="432"/>
      <c r="AH7" s="432"/>
      <c r="AI7" s="432"/>
      <c r="AJ7" s="432"/>
      <c r="AK7" s="432"/>
      <c r="AL7" s="432"/>
      <c r="AM7" s="432"/>
      <c r="AN7" s="432"/>
      <c r="AO7" s="432"/>
      <c r="AP7" s="432"/>
      <c r="AQ7" s="432"/>
      <c r="AR7" s="432"/>
      <c r="AS7" s="432"/>
      <c r="AT7" s="432"/>
      <c r="AU7" s="432"/>
      <c r="AV7" s="432"/>
      <c r="AW7" s="432"/>
      <c r="AX7" s="432"/>
      <c r="AY7" s="432"/>
      <c r="AZ7" s="433"/>
      <c r="BA7" s="2"/>
      <c r="BB7" s="282" t="s">
        <v>152</v>
      </c>
      <c r="BC7" s="283"/>
      <c r="BD7" s="283"/>
      <c r="BE7" s="283"/>
      <c r="BF7" s="283"/>
      <c r="BG7" s="283"/>
      <c r="BH7" s="283"/>
      <c r="BI7" s="284"/>
      <c r="BJ7" s="285"/>
      <c r="BK7" s="285"/>
      <c r="BL7" s="285"/>
      <c r="BM7" s="285"/>
      <c r="BN7" s="285"/>
      <c r="BO7" s="286" t="str">
        <f>IF(BI7="-", "-", IF(BL7="-", "-", IF(ABS(BL7)=0, "-", ROUND(100*(BI7-BL7)/ABS(BL7),10))))</f>
        <v>-</v>
      </c>
      <c r="BP7" s="286"/>
      <c r="BQ7" s="287"/>
      <c r="BR7" s="440"/>
      <c r="BS7" s="441"/>
      <c r="BT7" s="441"/>
      <c r="BU7" s="441"/>
      <c r="BV7" s="441"/>
      <c r="BW7" s="441"/>
      <c r="BX7" s="441"/>
      <c r="BY7" s="441"/>
      <c r="BZ7" s="441"/>
      <c r="CA7" s="442"/>
      <c r="CC7" s="288" t="s">
        <v>97</v>
      </c>
      <c r="CD7" s="289"/>
      <c r="CE7" s="289"/>
      <c r="CF7" s="289"/>
      <c r="CG7" s="289"/>
      <c r="CH7" s="289"/>
      <c r="CI7" s="19" t="s">
        <v>70</v>
      </c>
      <c r="CJ7" s="259"/>
      <c r="CK7" s="260"/>
      <c r="CL7" s="260"/>
      <c r="CM7" s="260"/>
      <c r="CN7" s="260"/>
      <c r="CO7" s="260"/>
      <c r="CP7" s="261" t="str">
        <f>IF(CJ7="-", "-", IF(CM7="-", "-", IF(ABS(CM7)=0, "-", ROUND(100*(CJ7-CM7)/ABS(CM7),10))))</f>
        <v>-</v>
      </c>
      <c r="CQ7" s="261"/>
      <c r="CR7" s="262"/>
      <c r="CS7" s="431"/>
      <c r="CT7" s="432"/>
      <c r="CU7" s="432"/>
      <c r="CV7" s="432"/>
      <c r="CW7" s="432"/>
      <c r="CX7" s="432"/>
      <c r="CY7" s="432"/>
      <c r="CZ7" s="432"/>
      <c r="DA7" s="432"/>
      <c r="DB7" s="433"/>
    </row>
    <row r="8" spans="1:106" ht="12.9" customHeight="1">
      <c r="A8" s="11"/>
      <c r="B8" s="290" t="s">
        <v>61</v>
      </c>
      <c r="C8" s="291"/>
      <c r="D8" s="291"/>
      <c r="E8" s="291"/>
      <c r="F8" s="291"/>
      <c r="G8" s="292"/>
      <c r="H8" s="109"/>
      <c r="I8" s="104"/>
      <c r="J8" s="105"/>
      <c r="K8" s="113"/>
      <c r="L8" s="104"/>
      <c r="M8" s="105"/>
      <c r="N8" s="293" t="str">
        <f t="shared" ref="N8:N24" si="0">IF(H8="-", "-", IF(K8="-", "-", IF(ABS(K8)=0, "-", ROUND(100*(H8-K8)/ABS(K8),10))))</f>
        <v>-</v>
      </c>
      <c r="O8" s="294"/>
      <c r="P8" s="295"/>
      <c r="Q8" s="420"/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2"/>
      <c r="BA8" s="2"/>
      <c r="BB8" s="310" t="s">
        <v>64</v>
      </c>
      <c r="BC8" s="311"/>
      <c r="BD8" s="311"/>
      <c r="BE8" s="311"/>
      <c r="BF8" s="311"/>
      <c r="BG8" s="311"/>
      <c r="BH8" s="311"/>
      <c r="BI8" s="312"/>
      <c r="BJ8" s="313"/>
      <c r="BK8" s="313"/>
      <c r="BL8" s="313"/>
      <c r="BM8" s="313"/>
      <c r="BN8" s="313"/>
      <c r="BO8" s="297" t="str">
        <f>IF(BI8="-", "-", IF(BL8="-", "-", IF(ABS(BL8)=0, "-", ROUND(100*(BI8-BL8)/ABS(BL8),10))))</f>
        <v>-</v>
      </c>
      <c r="BP8" s="298"/>
      <c r="BQ8" s="299"/>
      <c r="BR8" s="423"/>
      <c r="BS8" s="424"/>
      <c r="BT8" s="424"/>
      <c r="BU8" s="424"/>
      <c r="BV8" s="424"/>
      <c r="BW8" s="424"/>
      <c r="BX8" s="424"/>
      <c r="BY8" s="424"/>
      <c r="BZ8" s="424"/>
      <c r="CA8" s="425"/>
      <c r="CC8" s="302" t="s">
        <v>69</v>
      </c>
      <c r="CD8" s="291"/>
      <c r="CE8" s="291"/>
      <c r="CF8" s="291"/>
      <c r="CG8" s="291"/>
      <c r="CH8" s="291"/>
      <c r="CI8" s="15" t="s">
        <v>71</v>
      </c>
      <c r="CJ8" s="303"/>
      <c r="CK8" s="304"/>
      <c r="CL8" s="304"/>
      <c r="CM8" s="304"/>
      <c r="CN8" s="304"/>
      <c r="CO8" s="304"/>
      <c r="CP8" s="293" t="str">
        <f t="shared" ref="CP8:CP11" si="1">IF(CJ8="-", "-", IF(CM8="-", "-", IF(ABS(CM8)=0, "-", ROUND(100*(CJ8-CM8)/ABS(CM8),10))))</f>
        <v>-</v>
      </c>
      <c r="CQ8" s="294"/>
      <c r="CR8" s="295"/>
      <c r="CS8" s="420"/>
      <c r="CT8" s="421"/>
      <c r="CU8" s="421"/>
      <c r="CV8" s="421"/>
      <c r="CW8" s="421"/>
      <c r="CX8" s="421"/>
      <c r="CY8" s="421"/>
      <c r="CZ8" s="421"/>
      <c r="DA8" s="421"/>
      <c r="DB8" s="422"/>
    </row>
    <row r="9" spans="1:106" ht="12.9" customHeight="1">
      <c r="A9" s="11"/>
      <c r="B9" s="307" t="s">
        <v>55</v>
      </c>
      <c r="C9" s="291"/>
      <c r="D9" s="291"/>
      <c r="E9" s="291"/>
      <c r="F9" s="291"/>
      <c r="G9" s="292"/>
      <c r="H9" s="109"/>
      <c r="I9" s="104"/>
      <c r="J9" s="105"/>
      <c r="K9" s="113"/>
      <c r="L9" s="104"/>
      <c r="M9" s="105"/>
      <c r="N9" s="293" t="str">
        <f t="shared" si="0"/>
        <v>-</v>
      </c>
      <c r="O9" s="294"/>
      <c r="P9" s="295"/>
      <c r="Q9" s="420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421"/>
      <c r="AC9" s="421"/>
      <c r="AD9" s="421"/>
      <c r="AE9" s="421"/>
      <c r="AF9" s="421"/>
      <c r="AG9" s="421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2"/>
      <c r="BA9" s="2"/>
      <c r="CC9" s="305" t="s">
        <v>72</v>
      </c>
      <c r="CD9" s="306"/>
      <c r="CE9" s="306"/>
      <c r="CF9" s="306"/>
      <c r="CG9" s="306"/>
      <c r="CH9" s="296" t="s">
        <v>73</v>
      </c>
      <c r="CI9" s="296"/>
      <c r="CJ9" s="308"/>
      <c r="CK9" s="309"/>
      <c r="CL9" s="309"/>
      <c r="CM9" s="309"/>
      <c r="CN9" s="309"/>
      <c r="CO9" s="309"/>
      <c r="CP9" s="297" t="str">
        <f t="shared" si="1"/>
        <v>-</v>
      </c>
      <c r="CQ9" s="298"/>
      <c r="CR9" s="299"/>
      <c r="CS9" s="423"/>
      <c r="CT9" s="424"/>
      <c r="CU9" s="424"/>
      <c r="CV9" s="424"/>
      <c r="CW9" s="424"/>
      <c r="CX9" s="424"/>
      <c r="CY9" s="424"/>
      <c r="CZ9" s="424"/>
      <c r="DA9" s="424"/>
      <c r="DB9" s="425"/>
    </row>
    <row r="10" spans="1:106" ht="12.9" customHeight="1">
      <c r="A10" s="11"/>
      <c r="B10" s="307" t="s">
        <v>142</v>
      </c>
      <c r="C10" s="291"/>
      <c r="D10" s="291"/>
      <c r="E10" s="291"/>
      <c r="F10" s="291"/>
      <c r="G10" s="292"/>
      <c r="H10" s="109"/>
      <c r="I10" s="104"/>
      <c r="J10" s="105"/>
      <c r="K10" s="113"/>
      <c r="L10" s="104"/>
      <c r="M10" s="105"/>
      <c r="N10" s="293" t="str">
        <f t="shared" si="0"/>
        <v>-</v>
      </c>
      <c r="O10" s="294"/>
      <c r="P10" s="295"/>
      <c r="Q10" s="420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22"/>
      <c r="BA10" s="2"/>
      <c r="BB10" s="3" t="s">
        <v>88</v>
      </c>
      <c r="CC10" s="282" t="s">
        <v>74</v>
      </c>
      <c r="CD10" s="283"/>
      <c r="CE10" s="283"/>
      <c r="CF10" s="283"/>
      <c r="CG10" s="283"/>
      <c r="CH10" s="283"/>
      <c r="CI10" s="283"/>
      <c r="CJ10" s="300"/>
      <c r="CK10" s="301"/>
      <c r="CL10" s="301"/>
      <c r="CM10" s="301"/>
      <c r="CN10" s="301"/>
      <c r="CO10" s="301"/>
      <c r="CP10" s="316" t="str">
        <f t="shared" si="1"/>
        <v>-</v>
      </c>
      <c r="CQ10" s="317"/>
      <c r="CR10" s="318"/>
      <c r="CS10" s="440"/>
      <c r="CT10" s="441"/>
      <c r="CU10" s="441"/>
      <c r="CV10" s="441"/>
      <c r="CW10" s="441"/>
      <c r="CX10" s="441"/>
      <c r="CY10" s="441"/>
      <c r="CZ10" s="441"/>
      <c r="DA10" s="441"/>
      <c r="DB10" s="442"/>
    </row>
    <row r="11" spans="1:106" ht="12.9" customHeight="1">
      <c r="A11" s="11"/>
      <c r="B11" s="290" t="s">
        <v>7</v>
      </c>
      <c r="C11" s="291"/>
      <c r="D11" s="291"/>
      <c r="E11" s="291"/>
      <c r="F11" s="291"/>
      <c r="G11" s="292"/>
      <c r="H11" s="109"/>
      <c r="I11" s="104"/>
      <c r="J11" s="105"/>
      <c r="K11" s="113"/>
      <c r="L11" s="104"/>
      <c r="M11" s="105"/>
      <c r="N11" s="293" t="str">
        <f t="shared" si="0"/>
        <v>-</v>
      </c>
      <c r="O11" s="294"/>
      <c r="P11" s="295"/>
      <c r="Q11" s="420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22"/>
      <c r="BA11" s="2"/>
      <c r="BB11" s="249"/>
      <c r="BC11" s="250"/>
      <c r="BD11" s="250"/>
      <c r="BE11" s="250"/>
      <c r="BF11" s="250"/>
      <c r="BG11" s="250"/>
      <c r="BH11" s="250"/>
      <c r="BI11" s="253">
        <f>H5</f>
        <v>0</v>
      </c>
      <c r="BJ11" s="254"/>
      <c r="BK11" s="255"/>
      <c r="BL11" s="256">
        <f>K5</f>
        <v>-1</v>
      </c>
      <c r="BM11" s="257"/>
      <c r="BN11" s="258"/>
      <c r="BO11" s="263" t="s">
        <v>2</v>
      </c>
      <c r="BP11" s="264"/>
      <c r="BQ11" s="265"/>
      <c r="BR11" s="400" t="s">
        <v>155</v>
      </c>
      <c r="BS11" s="398"/>
      <c r="BT11" s="398"/>
      <c r="BU11" s="398"/>
      <c r="BV11" s="398"/>
      <c r="BW11" s="398"/>
      <c r="BX11" s="398"/>
      <c r="BY11" s="398"/>
      <c r="BZ11" s="398"/>
      <c r="CA11" s="399"/>
      <c r="CC11" s="310" t="s">
        <v>89</v>
      </c>
      <c r="CD11" s="311"/>
      <c r="CE11" s="311"/>
      <c r="CF11" s="311"/>
      <c r="CG11" s="311"/>
      <c r="CH11" s="311"/>
      <c r="CI11" s="18" t="s">
        <v>99</v>
      </c>
      <c r="CJ11" s="314"/>
      <c r="CK11" s="315"/>
      <c r="CL11" s="315"/>
      <c r="CM11" s="315"/>
      <c r="CN11" s="315"/>
      <c r="CO11" s="315"/>
      <c r="CP11" s="297" t="str">
        <f t="shared" si="1"/>
        <v>-</v>
      </c>
      <c r="CQ11" s="298"/>
      <c r="CR11" s="299"/>
      <c r="CS11" s="423"/>
      <c r="CT11" s="424"/>
      <c r="CU11" s="424"/>
      <c r="CV11" s="424"/>
      <c r="CW11" s="424"/>
      <c r="CX11" s="424"/>
      <c r="CY11" s="424"/>
      <c r="CZ11" s="424"/>
      <c r="DA11" s="424"/>
      <c r="DB11" s="425"/>
    </row>
    <row r="12" spans="1:106" ht="12.9" customHeight="1">
      <c r="A12" s="11"/>
      <c r="B12" s="290" t="s">
        <v>141</v>
      </c>
      <c r="C12" s="291"/>
      <c r="D12" s="291"/>
      <c r="E12" s="291"/>
      <c r="F12" s="291"/>
      <c r="G12" s="292"/>
      <c r="H12" s="109"/>
      <c r="I12" s="104"/>
      <c r="J12" s="105"/>
      <c r="K12" s="113"/>
      <c r="L12" s="104"/>
      <c r="M12" s="105"/>
      <c r="N12" s="293" t="str">
        <f t="shared" si="0"/>
        <v>-</v>
      </c>
      <c r="O12" s="294"/>
      <c r="P12" s="295"/>
      <c r="Q12" s="420"/>
      <c r="R12" s="421"/>
      <c r="S12" s="421"/>
      <c r="T12" s="421"/>
      <c r="U12" s="421"/>
      <c r="V12" s="421"/>
      <c r="W12" s="421"/>
      <c r="X12" s="421"/>
      <c r="Y12" s="421"/>
      <c r="Z12" s="421"/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2"/>
      <c r="BA12" s="2"/>
      <c r="BB12" s="251"/>
      <c r="BC12" s="252"/>
      <c r="BD12" s="252"/>
      <c r="BE12" s="252"/>
      <c r="BF12" s="252"/>
      <c r="BG12" s="252"/>
      <c r="BH12" s="252"/>
      <c r="BI12" s="319"/>
      <c r="BJ12" s="320"/>
      <c r="BK12" s="321"/>
      <c r="BL12" s="322"/>
      <c r="BM12" s="323"/>
      <c r="BN12" s="324"/>
      <c r="BO12" s="266"/>
      <c r="BP12" s="267"/>
      <c r="BQ12" s="268"/>
      <c r="BR12" s="437"/>
      <c r="BS12" s="438"/>
      <c r="BT12" s="438"/>
      <c r="BU12" s="438"/>
      <c r="BV12" s="438"/>
      <c r="BW12" s="438"/>
      <c r="BX12" s="438"/>
      <c r="BY12" s="438"/>
      <c r="BZ12" s="438"/>
      <c r="CA12" s="439"/>
    </row>
    <row r="13" spans="1:106" ht="12.9" customHeight="1">
      <c r="A13" s="11"/>
      <c r="B13" s="290" t="s">
        <v>8</v>
      </c>
      <c r="C13" s="291"/>
      <c r="D13" s="291"/>
      <c r="E13" s="291"/>
      <c r="F13" s="291"/>
      <c r="G13" s="292"/>
      <c r="H13" s="109"/>
      <c r="I13" s="104"/>
      <c r="J13" s="105"/>
      <c r="K13" s="113"/>
      <c r="L13" s="104"/>
      <c r="M13" s="105"/>
      <c r="N13" s="293" t="str">
        <f t="shared" si="0"/>
        <v>-</v>
      </c>
      <c r="O13" s="294"/>
      <c r="P13" s="295"/>
      <c r="Q13" s="420"/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21"/>
      <c r="AL13" s="421"/>
      <c r="AM13" s="421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22"/>
      <c r="BA13" s="2"/>
      <c r="BB13" s="325" t="s">
        <v>39</v>
      </c>
      <c r="BC13" s="326"/>
      <c r="BD13" s="330" t="s">
        <v>52</v>
      </c>
      <c r="BE13" s="283"/>
      <c r="BF13" s="283"/>
      <c r="BG13" s="283"/>
      <c r="BH13" s="16" t="s">
        <v>99</v>
      </c>
      <c r="BI13" s="156"/>
      <c r="BJ13" s="98"/>
      <c r="BK13" s="98"/>
      <c r="BL13" s="97"/>
      <c r="BM13" s="98"/>
      <c r="BN13" s="157"/>
      <c r="BO13" s="316" t="str">
        <f t="shared" ref="BO13:BO15" si="2">IF(BI13="-", "-", IF(BL13="-", "-", IF(ABS(BL13)=0, "-", ROUND(100*(BI13-BL13)/ABS(BL13),10))))</f>
        <v>-</v>
      </c>
      <c r="BP13" s="317"/>
      <c r="BQ13" s="318"/>
      <c r="BR13" s="440"/>
      <c r="BS13" s="441"/>
      <c r="BT13" s="441"/>
      <c r="BU13" s="441"/>
      <c r="BV13" s="441"/>
      <c r="BW13" s="441"/>
      <c r="BX13" s="441"/>
      <c r="BY13" s="441"/>
      <c r="BZ13" s="441"/>
      <c r="CA13" s="442"/>
    </row>
    <row r="14" spans="1:106" ht="12.9" customHeight="1">
      <c r="A14" s="11"/>
      <c r="B14" s="290" t="s">
        <v>9</v>
      </c>
      <c r="C14" s="291"/>
      <c r="D14" s="291"/>
      <c r="E14" s="291"/>
      <c r="F14" s="291"/>
      <c r="G14" s="292"/>
      <c r="H14" s="109"/>
      <c r="I14" s="104"/>
      <c r="J14" s="105"/>
      <c r="K14" s="113"/>
      <c r="L14" s="104"/>
      <c r="M14" s="105"/>
      <c r="N14" s="293" t="str">
        <f t="shared" si="0"/>
        <v>-</v>
      </c>
      <c r="O14" s="294"/>
      <c r="P14" s="295"/>
      <c r="Q14" s="420"/>
      <c r="R14" s="421"/>
      <c r="S14" s="421"/>
      <c r="T14" s="421"/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2"/>
      <c r="BA14" s="2"/>
      <c r="BB14" s="275"/>
      <c r="BC14" s="327"/>
      <c r="BD14" s="290" t="s">
        <v>59</v>
      </c>
      <c r="BE14" s="291"/>
      <c r="BF14" s="291"/>
      <c r="BG14" s="291"/>
      <c r="BH14" s="17" t="s">
        <v>60</v>
      </c>
      <c r="BI14" s="173"/>
      <c r="BJ14" s="107"/>
      <c r="BK14" s="107"/>
      <c r="BL14" s="106"/>
      <c r="BM14" s="107"/>
      <c r="BN14" s="174"/>
      <c r="BO14" s="293" t="str">
        <f t="shared" si="2"/>
        <v>-</v>
      </c>
      <c r="BP14" s="294"/>
      <c r="BQ14" s="295"/>
      <c r="BR14" s="420"/>
      <c r="BS14" s="421"/>
      <c r="BT14" s="421"/>
      <c r="BU14" s="421"/>
      <c r="BV14" s="421"/>
      <c r="BW14" s="421"/>
      <c r="BX14" s="421"/>
      <c r="BY14" s="421"/>
      <c r="BZ14" s="421"/>
      <c r="CA14" s="422"/>
    </row>
    <row r="15" spans="1:106" ht="12.9" customHeight="1">
      <c r="A15" s="11"/>
      <c r="B15" s="290" t="s">
        <v>10</v>
      </c>
      <c r="C15" s="291"/>
      <c r="D15" s="291"/>
      <c r="E15" s="291"/>
      <c r="F15" s="291"/>
      <c r="G15" s="292"/>
      <c r="H15" s="109"/>
      <c r="I15" s="104"/>
      <c r="J15" s="105"/>
      <c r="K15" s="113"/>
      <c r="L15" s="104"/>
      <c r="M15" s="105"/>
      <c r="N15" s="293" t="str">
        <f t="shared" si="0"/>
        <v>-</v>
      </c>
      <c r="O15" s="294"/>
      <c r="P15" s="295"/>
      <c r="Q15" s="420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421"/>
      <c r="AK15" s="421"/>
      <c r="AL15" s="421"/>
      <c r="AM15" s="421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22"/>
      <c r="BA15" s="2"/>
      <c r="BB15" s="328"/>
      <c r="BC15" s="329"/>
      <c r="BD15" s="331" t="s">
        <v>58</v>
      </c>
      <c r="BE15" s="311"/>
      <c r="BF15" s="311"/>
      <c r="BG15" s="311"/>
      <c r="BH15" s="18" t="s">
        <v>57</v>
      </c>
      <c r="BI15" s="171"/>
      <c r="BJ15" s="149"/>
      <c r="BK15" s="149"/>
      <c r="BL15" s="148"/>
      <c r="BM15" s="149"/>
      <c r="BN15" s="172"/>
      <c r="BO15" s="297" t="str">
        <f t="shared" si="2"/>
        <v>-</v>
      </c>
      <c r="BP15" s="298"/>
      <c r="BQ15" s="299"/>
      <c r="BR15" s="423"/>
      <c r="BS15" s="424"/>
      <c r="BT15" s="424"/>
      <c r="BU15" s="424"/>
      <c r="BV15" s="424"/>
      <c r="BW15" s="424"/>
      <c r="BX15" s="424"/>
      <c r="BY15" s="424"/>
      <c r="BZ15" s="424"/>
      <c r="CA15" s="425"/>
    </row>
    <row r="16" spans="1:106" ht="12.9" customHeight="1">
      <c r="A16" s="11"/>
      <c r="B16" s="290" t="s">
        <v>11</v>
      </c>
      <c r="C16" s="291"/>
      <c r="D16" s="291"/>
      <c r="E16" s="291"/>
      <c r="F16" s="291"/>
      <c r="G16" s="292"/>
      <c r="H16" s="109"/>
      <c r="I16" s="104"/>
      <c r="J16" s="105"/>
      <c r="K16" s="113"/>
      <c r="L16" s="104"/>
      <c r="M16" s="105"/>
      <c r="N16" s="293" t="str">
        <f t="shared" si="0"/>
        <v>-</v>
      </c>
      <c r="O16" s="294"/>
      <c r="P16" s="295"/>
      <c r="Q16" s="420"/>
      <c r="R16" s="421"/>
      <c r="S16" s="421"/>
      <c r="T16" s="421"/>
      <c r="U16" s="421"/>
      <c r="V16" s="421"/>
      <c r="W16" s="421"/>
      <c r="X16" s="421"/>
      <c r="Y16" s="421"/>
      <c r="Z16" s="421"/>
      <c r="AA16" s="421"/>
      <c r="AB16" s="421"/>
      <c r="AC16" s="421"/>
      <c r="AD16" s="421"/>
      <c r="AE16" s="421"/>
      <c r="AF16" s="421"/>
      <c r="AG16" s="421"/>
      <c r="AH16" s="421"/>
      <c r="AI16" s="421"/>
      <c r="AJ16" s="421"/>
      <c r="AK16" s="421"/>
      <c r="AL16" s="421"/>
      <c r="AM16" s="421"/>
      <c r="AN16" s="421"/>
      <c r="AO16" s="421"/>
      <c r="AP16" s="421"/>
      <c r="AQ16" s="421"/>
      <c r="AR16" s="421"/>
      <c r="AS16" s="421"/>
      <c r="AT16" s="421"/>
      <c r="AU16" s="421"/>
      <c r="AV16" s="421"/>
      <c r="AW16" s="421"/>
      <c r="AX16" s="421"/>
      <c r="AY16" s="421"/>
      <c r="AZ16" s="422"/>
    </row>
    <row r="17" spans="1:106" ht="12.9" customHeight="1">
      <c r="A17" s="11"/>
      <c r="B17" s="290" t="s">
        <v>62</v>
      </c>
      <c r="C17" s="291"/>
      <c r="D17" s="291"/>
      <c r="E17" s="291"/>
      <c r="F17" s="291"/>
      <c r="G17" s="292"/>
      <c r="H17" s="109"/>
      <c r="I17" s="104"/>
      <c r="J17" s="105"/>
      <c r="K17" s="113"/>
      <c r="L17" s="104"/>
      <c r="M17" s="105"/>
      <c r="N17" s="293" t="str">
        <f t="shared" si="0"/>
        <v>-</v>
      </c>
      <c r="O17" s="294"/>
      <c r="P17" s="295"/>
      <c r="Q17" s="420"/>
      <c r="R17" s="421"/>
      <c r="S17" s="421"/>
      <c r="T17" s="421"/>
      <c r="U17" s="421"/>
      <c r="V17" s="421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2"/>
      <c r="BA17" s="5"/>
      <c r="BB17" s="3" t="s">
        <v>56</v>
      </c>
      <c r="BQ17" s="2"/>
    </row>
    <row r="18" spans="1:106" ht="12.9" customHeight="1">
      <c r="A18" s="11"/>
      <c r="B18" s="290" t="s">
        <v>145</v>
      </c>
      <c r="C18" s="291"/>
      <c r="D18" s="291"/>
      <c r="E18" s="291"/>
      <c r="F18" s="291"/>
      <c r="G18" s="292"/>
      <c r="H18" s="109"/>
      <c r="I18" s="104"/>
      <c r="J18" s="105"/>
      <c r="K18" s="113"/>
      <c r="L18" s="104"/>
      <c r="M18" s="105"/>
      <c r="N18" s="293" t="str">
        <f t="shared" si="0"/>
        <v>-</v>
      </c>
      <c r="O18" s="294"/>
      <c r="P18" s="295"/>
      <c r="Q18" s="420"/>
      <c r="R18" s="421"/>
      <c r="S18" s="421"/>
      <c r="T18" s="421"/>
      <c r="U18" s="421"/>
      <c r="V18" s="421"/>
      <c r="W18" s="421"/>
      <c r="X18" s="421"/>
      <c r="Y18" s="421"/>
      <c r="Z18" s="421"/>
      <c r="AA18" s="421"/>
      <c r="AB18" s="421"/>
      <c r="AC18" s="421"/>
      <c r="AD18" s="421"/>
      <c r="AE18" s="421"/>
      <c r="AF18" s="421"/>
      <c r="AG18" s="421"/>
      <c r="AH18" s="421"/>
      <c r="AI18" s="421"/>
      <c r="AJ18" s="421"/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2"/>
      <c r="BB18" s="249"/>
      <c r="BC18" s="250"/>
      <c r="BD18" s="250"/>
      <c r="BE18" s="250"/>
      <c r="BF18" s="250"/>
      <c r="BG18" s="250"/>
      <c r="BH18" s="269"/>
      <c r="BI18" s="254">
        <f>H5</f>
        <v>0</v>
      </c>
      <c r="BJ18" s="254"/>
      <c r="BK18" s="255"/>
      <c r="BL18" s="256">
        <f>K5</f>
        <v>-1</v>
      </c>
      <c r="BM18" s="257"/>
      <c r="BN18" s="258"/>
      <c r="BO18" s="263" t="s">
        <v>2</v>
      </c>
      <c r="BP18" s="264"/>
      <c r="BQ18" s="265"/>
      <c r="BR18" s="400" t="s">
        <v>155</v>
      </c>
      <c r="BS18" s="398"/>
      <c r="BT18" s="398"/>
      <c r="BU18" s="398"/>
      <c r="BV18" s="398"/>
      <c r="BW18" s="398"/>
      <c r="BX18" s="398"/>
      <c r="BY18" s="398"/>
      <c r="BZ18" s="398"/>
      <c r="CA18" s="398"/>
      <c r="CB18" s="398"/>
      <c r="CC18" s="398"/>
      <c r="CD18" s="398"/>
      <c r="CE18" s="398"/>
      <c r="CF18" s="398"/>
      <c r="CG18" s="398"/>
      <c r="CH18" s="398"/>
      <c r="CI18" s="398"/>
      <c r="CJ18" s="398"/>
      <c r="CK18" s="398"/>
      <c r="CL18" s="398"/>
      <c r="CM18" s="398"/>
      <c r="CN18" s="398"/>
      <c r="CO18" s="398"/>
      <c r="CP18" s="398"/>
      <c r="CQ18" s="398"/>
      <c r="CR18" s="398"/>
      <c r="CS18" s="398"/>
      <c r="CT18" s="398"/>
      <c r="CU18" s="398"/>
      <c r="CV18" s="398"/>
      <c r="CW18" s="398"/>
      <c r="CX18" s="398"/>
      <c r="CY18" s="398"/>
      <c r="CZ18" s="398"/>
      <c r="DA18" s="398"/>
      <c r="DB18" s="399"/>
    </row>
    <row r="19" spans="1:106" ht="12.9" customHeight="1">
      <c r="A19" s="11"/>
      <c r="B19" s="290" t="s">
        <v>12</v>
      </c>
      <c r="C19" s="291"/>
      <c r="D19" s="291"/>
      <c r="E19" s="291"/>
      <c r="F19" s="291"/>
      <c r="G19" s="292"/>
      <c r="H19" s="109"/>
      <c r="I19" s="104"/>
      <c r="J19" s="105"/>
      <c r="K19" s="113"/>
      <c r="L19" s="104"/>
      <c r="M19" s="105"/>
      <c r="N19" s="293" t="str">
        <f t="shared" si="0"/>
        <v>-</v>
      </c>
      <c r="O19" s="294"/>
      <c r="P19" s="295"/>
      <c r="Q19" s="420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2"/>
      <c r="BB19" s="251"/>
      <c r="BC19" s="252"/>
      <c r="BD19" s="252"/>
      <c r="BE19" s="252"/>
      <c r="BF19" s="252"/>
      <c r="BG19" s="252"/>
      <c r="BH19" s="270"/>
      <c r="BI19" s="272" t="s">
        <v>16</v>
      </c>
      <c r="BJ19" s="272"/>
      <c r="BK19" s="273"/>
      <c r="BL19" s="274" t="s">
        <v>16</v>
      </c>
      <c r="BM19" s="272"/>
      <c r="BN19" s="273"/>
      <c r="BO19" s="266"/>
      <c r="BP19" s="267"/>
      <c r="BQ19" s="268"/>
      <c r="BR19" s="437"/>
      <c r="BS19" s="438"/>
      <c r="BT19" s="438"/>
      <c r="BU19" s="438"/>
      <c r="BV19" s="438"/>
      <c r="BW19" s="438"/>
      <c r="BX19" s="438"/>
      <c r="BY19" s="438"/>
      <c r="BZ19" s="438"/>
      <c r="CA19" s="438"/>
      <c r="CB19" s="438"/>
      <c r="CC19" s="438"/>
      <c r="CD19" s="438"/>
      <c r="CE19" s="438"/>
      <c r="CF19" s="438"/>
      <c r="CG19" s="438"/>
      <c r="CH19" s="438"/>
      <c r="CI19" s="438"/>
      <c r="CJ19" s="438"/>
      <c r="CK19" s="438"/>
      <c r="CL19" s="438"/>
      <c r="CM19" s="438"/>
      <c r="CN19" s="438"/>
      <c r="CO19" s="438"/>
      <c r="CP19" s="438"/>
      <c r="CQ19" s="438"/>
      <c r="CR19" s="438"/>
      <c r="CS19" s="438"/>
      <c r="CT19" s="438"/>
      <c r="CU19" s="438"/>
      <c r="CV19" s="438"/>
      <c r="CW19" s="438"/>
      <c r="CX19" s="438"/>
      <c r="CY19" s="438"/>
      <c r="CZ19" s="438"/>
      <c r="DA19" s="438"/>
      <c r="DB19" s="439"/>
    </row>
    <row r="20" spans="1:106" ht="12.9" customHeight="1">
      <c r="A20" s="11"/>
      <c r="B20" s="290" t="s">
        <v>13</v>
      </c>
      <c r="C20" s="291"/>
      <c r="D20" s="291"/>
      <c r="E20" s="291"/>
      <c r="F20" s="291"/>
      <c r="G20" s="292"/>
      <c r="H20" s="109"/>
      <c r="I20" s="104"/>
      <c r="J20" s="105"/>
      <c r="K20" s="113"/>
      <c r="L20" s="104"/>
      <c r="M20" s="105"/>
      <c r="N20" s="293" t="str">
        <f t="shared" si="0"/>
        <v>-</v>
      </c>
      <c r="O20" s="294"/>
      <c r="P20" s="295"/>
      <c r="Q20" s="420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421"/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2"/>
      <c r="BB20" s="386" t="s">
        <v>18</v>
      </c>
      <c r="BC20" s="387"/>
      <c r="BD20" s="387"/>
      <c r="BE20" s="387"/>
      <c r="BF20" s="387"/>
      <c r="BG20" s="387"/>
      <c r="BH20" s="388"/>
      <c r="BI20" s="156"/>
      <c r="BJ20" s="98"/>
      <c r="BK20" s="157"/>
      <c r="BL20" s="98"/>
      <c r="BM20" s="98"/>
      <c r="BN20" s="157"/>
      <c r="BO20" s="279" t="str">
        <f t="shared" ref="BO20:BO22" si="3">IF(BI20="-", "-", IF(BL20="-", "-", IF(ABS(BL20)=0, "-", ROUND(100*(BI20-BL20)/ABS(BL20),10))))</f>
        <v>-</v>
      </c>
      <c r="BP20" s="280"/>
      <c r="BQ20" s="281"/>
      <c r="BR20" s="440"/>
      <c r="BS20" s="441"/>
      <c r="BT20" s="441"/>
      <c r="BU20" s="441"/>
      <c r="BV20" s="441"/>
      <c r="BW20" s="441"/>
      <c r="BX20" s="441"/>
      <c r="BY20" s="441"/>
      <c r="BZ20" s="441"/>
      <c r="CA20" s="441"/>
      <c r="CB20" s="441"/>
      <c r="CC20" s="441"/>
      <c r="CD20" s="441"/>
      <c r="CE20" s="441"/>
      <c r="CF20" s="441"/>
      <c r="CG20" s="441"/>
      <c r="CH20" s="441"/>
      <c r="CI20" s="441"/>
      <c r="CJ20" s="441"/>
      <c r="CK20" s="441"/>
      <c r="CL20" s="441"/>
      <c r="CM20" s="441"/>
      <c r="CN20" s="441"/>
      <c r="CO20" s="441"/>
      <c r="CP20" s="441"/>
      <c r="CQ20" s="441"/>
      <c r="CR20" s="441"/>
      <c r="CS20" s="441"/>
      <c r="CT20" s="441"/>
      <c r="CU20" s="441"/>
      <c r="CV20" s="441"/>
      <c r="CW20" s="441"/>
      <c r="CX20" s="441"/>
      <c r="CY20" s="441"/>
      <c r="CZ20" s="441"/>
      <c r="DA20" s="441"/>
      <c r="DB20" s="442"/>
    </row>
    <row r="21" spans="1:106" ht="12.9" customHeight="1">
      <c r="A21" s="11"/>
      <c r="B21" s="290" t="s">
        <v>14</v>
      </c>
      <c r="C21" s="291"/>
      <c r="D21" s="291"/>
      <c r="E21" s="291"/>
      <c r="F21" s="291"/>
      <c r="G21" s="292"/>
      <c r="H21" s="109"/>
      <c r="I21" s="104"/>
      <c r="J21" s="105"/>
      <c r="K21" s="113"/>
      <c r="L21" s="104"/>
      <c r="M21" s="105"/>
      <c r="N21" s="293" t="str">
        <f t="shared" si="0"/>
        <v>-</v>
      </c>
      <c r="O21" s="294"/>
      <c r="P21" s="295"/>
      <c r="Q21" s="420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2"/>
      <c r="BB21" s="302" t="s">
        <v>20</v>
      </c>
      <c r="BC21" s="291"/>
      <c r="BD21" s="291"/>
      <c r="BE21" s="291"/>
      <c r="BF21" s="291"/>
      <c r="BG21" s="291"/>
      <c r="BH21" s="292"/>
      <c r="BI21" s="173"/>
      <c r="BJ21" s="107"/>
      <c r="BK21" s="174"/>
      <c r="BL21" s="107"/>
      <c r="BM21" s="107"/>
      <c r="BN21" s="174"/>
      <c r="BO21" s="293" t="str">
        <f t="shared" si="3"/>
        <v>-</v>
      </c>
      <c r="BP21" s="294"/>
      <c r="BQ21" s="295"/>
      <c r="BR21" s="420"/>
      <c r="BS21" s="421"/>
      <c r="BT21" s="421"/>
      <c r="BU21" s="421"/>
      <c r="BV21" s="421"/>
      <c r="BW21" s="421"/>
      <c r="BX21" s="421"/>
      <c r="BY21" s="421"/>
      <c r="BZ21" s="421"/>
      <c r="CA21" s="421"/>
      <c r="CB21" s="421"/>
      <c r="CC21" s="421"/>
      <c r="CD21" s="421"/>
      <c r="CE21" s="421"/>
      <c r="CF21" s="421"/>
      <c r="CG21" s="421"/>
      <c r="CH21" s="421"/>
      <c r="CI21" s="421"/>
      <c r="CJ21" s="421"/>
      <c r="CK21" s="421"/>
      <c r="CL21" s="421"/>
      <c r="CM21" s="421"/>
      <c r="CN21" s="421"/>
      <c r="CO21" s="421"/>
      <c r="CP21" s="421"/>
      <c r="CQ21" s="421"/>
      <c r="CR21" s="421"/>
      <c r="CS21" s="421"/>
      <c r="CT21" s="421"/>
      <c r="CU21" s="421"/>
      <c r="CV21" s="421"/>
      <c r="CW21" s="421"/>
      <c r="CX21" s="421"/>
      <c r="CY21" s="421"/>
      <c r="CZ21" s="421"/>
      <c r="DA21" s="421"/>
      <c r="DB21" s="422"/>
    </row>
    <row r="22" spans="1:106" ht="12.9" customHeight="1">
      <c r="A22" s="14"/>
      <c r="B22" s="331" t="s">
        <v>15</v>
      </c>
      <c r="C22" s="311"/>
      <c r="D22" s="311"/>
      <c r="E22" s="311"/>
      <c r="F22" s="311"/>
      <c r="G22" s="337"/>
      <c r="H22" s="171"/>
      <c r="I22" s="149"/>
      <c r="J22" s="172"/>
      <c r="K22" s="148"/>
      <c r="L22" s="149"/>
      <c r="M22" s="172"/>
      <c r="N22" s="297" t="str">
        <f t="shared" si="0"/>
        <v>-</v>
      </c>
      <c r="O22" s="298"/>
      <c r="P22" s="299"/>
      <c r="Q22" s="423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5"/>
      <c r="BB22" s="310" t="s">
        <v>22</v>
      </c>
      <c r="BC22" s="311"/>
      <c r="BD22" s="311"/>
      <c r="BE22" s="311"/>
      <c r="BF22" s="311"/>
      <c r="BG22" s="311"/>
      <c r="BH22" s="337"/>
      <c r="BI22" s="348"/>
      <c r="BJ22" s="246"/>
      <c r="BK22" s="247"/>
      <c r="BL22" s="246"/>
      <c r="BM22" s="246"/>
      <c r="BN22" s="247"/>
      <c r="BO22" s="297" t="str">
        <f t="shared" si="3"/>
        <v>-</v>
      </c>
      <c r="BP22" s="298"/>
      <c r="BQ22" s="299"/>
      <c r="BR22" s="423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5"/>
    </row>
    <row r="23" spans="1:106" ht="12.9" customHeight="1">
      <c r="A23" s="325" t="s">
        <v>143</v>
      </c>
      <c r="B23" s="378"/>
      <c r="C23" s="378"/>
      <c r="D23" s="378"/>
      <c r="E23" s="378"/>
      <c r="F23" s="378"/>
      <c r="G23" s="379"/>
      <c r="H23" s="100"/>
      <c r="I23" s="95"/>
      <c r="J23" s="96"/>
      <c r="K23" s="169"/>
      <c r="L23" s="95"/>
      <c r="M23" s="96"/>
      <c r="N23" s="375" t="str">
        <f t="shared" si="0"/>
        <v>-</v>
      </c>
      <c r="O23" s="376"/>
      <c r="P23" s="377"/>
      <c r="Q23" s="426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8"/>
    </row>
    <row r="24" spans="1:106" ht="12.9" customHeight="1">
      <c r="A24" s="373" t="s">
        <v>18</v>
      </c>
      <c r="B24" s="374"/>
      <c r="C24" s="374"/>
      <c r="D24" s="374"/>
      <c r="E24" s="374"/>
      <c r="F24" s="374"/>
      <c r="G24" s="389"/>
      <c r="H24" s="390"/>
      <c r="I24" s="391"/>
      <c r="J24" s="392"/>
      <c r="K24" s="393"/>
      <c r="L24" s="391"/>
      <c r="M24" s="392"/>
      <c r="N24" s="375" t="str">
        <f t="shared" si="0"/>
        <v>-</v>
      </c>
      <c r="O24" s="376"/>
      <c r="P24" s="377"/>
      <c r="Q24" s="434"/>
      <c r="R24" s="435"/>
      <c r="S24" s="435"/>
      <c r="T24" s="435"/>
      <c r="U24" s="435"/>
      <c r="V24" s="435"/>
      <c r="W24" s="435"/>
      <c r="X24" s="435"/>
      <c r="Y24" s="435"/>
      <c r="Z24" s="435"/>
      <c r="AA24" s="435"/>
      <c r="AB24" s="435"/>
      <c r="AC24" s="435"/>
      <c r="AD24" s="435"/>
      <c r="AE24" s="435"/>
      <c r="AF24" s="435"/>
      <c r="AG24" s="435"/>
      <c r="AH24" s="435"/>
      <c r="AI24" s="435"/>
      <c r="AJ24" s="435"/>
      <c r="AK24" s="435"/>
      <c r="AL24" s="435"/>
      <c r="AM24" s="435"/>
      <c r="AN24" s="435"/>
      <c r="AO24" s="435"/>
      <c r="AP24" s="435"/>
      <c r="AQ24" s="435"/>
      <c r="AR24" s="435"/>
      <c r="AS24" s="435"/>
      <c r="AT24" s="435"/>
      <c r="AU24" s="435"/>
      <c r="AV24" s="435"/>
      <c r="AW24" s="435"/>
      <c r="AX24" s="435"/>
      <c r="AY24" s="435"/>
      <c r="AZ24" s="436"/>
    </row>
    <row r="25" spans="1:106" ht="12.9" customHeight="1"/>
    <row r="26" spans="1:106" ht="12.9" customHeight="1">
      <c r="A26" s="3" t="s">
        <v>147</v>
      </c>
      <c r="P26" s="2"/>
      <c r="BB26" s="3" t="s">
        <v>63</v>
      </c>
      <c r="BH26" s="45"/>
      <c r="BI26" s="7"/>
      <c r="BJ26" s="7"/>
      <c r="BK26" s="7"/>
      <c r="BL26" s="7"/>
      <c r="BM26" s="7"/>
      <c r="BN26" s="7"/>
      <c r="BO26" s="8"/>
      <c r="BP26" s="8"/>
      <c r="BQ26" s="8"/>
      <c r="CH26" s="2"/>
      <c r="CI26" s="2"/>
    </row>
    <row r="27" spans="1:106" ht="12.9" customHeight="1">
      <c r="A27" s="249"/>
      <c r="B27" s="250"/>
      <c r="C27" s="250"/>
      <c r="D27" s="250"/>
      <c r="E27" s="250"/>
      <c r="F27" s="250"/>
      <c r="G27" s="269"/>
      <c r="H27" s="253">
        <f>H5</f>
        <v>0</v>
      </c>
      <c r="I27" s="254"/>
      <c r="J27" s="255"/>
      <c r="K27" s="256">
        <f>K5</f>
        <v>-1</v>
      </c>
      <c r="L27" s="257"/>
      <c r="M27" s="258"/>
      <c r="N27" s="263" t="s">
        <v>2</v>
      </c>
      <c r="O27" s="264"/>
      <c r="P27" s="265"/>
      <c r="Q27" s="400" t="s">
        <v>155</v>
      </c>
      <c r="R27" s="398"/>
      <c r="S27" s="398"/>
      <c r="T27" s="398"/>
      <c r="U27" s="398"/>
      <c r="V27" s="398"/>
      <c r="W27" s="398"/>
      <c r="X27" s="398"/>
      <c r="Y27" s="398"/>
      <c r="Z27" s="398"/>
      <c r="AA27" s="398"/>
      <c r="AB27" s="398"/>
      <c r="AC27" s="398"/>
      <c r="AD27" s="398"/>
      <c r="AE27" s="398"/>
      <c r="AF27" s="398"/>
      <c r="AG27" s="398"/>
      <c r="AH27" s="398"/>
      <c r="AI27" s="398"/>
      <c r="AJ27" s="398"/>
      <c r="AK27" s="398"/>
      <c r="AL27" s="398"/>
      <c r="AM27" s="398"/>
      <c r="AN27" s="398"/>
      <c r="AO27" s="398"/>
      <c r="AP27" s="398"/>
      <c r="AQ27" s="398"/>
      <c r="AR27" s="398"/>
      <c r="AS27" s="398"/>
      <c r="AT27" s="398"/>
      <c r="AU27" s="398"/>
      <c r="AV27" s="398"/>
      <c r="AW27" s="398"/>
      <c r="AX27" s="398"/>
      <c r="AY27" s="398"/>
      <c r="AZ27" s="399"/>
      <c r="BB27" s="249"/>
      <c r="BC27" s="250"/>
      <c r="BD27" s="250"/>
      <c r="BE27" s="250"/>
      <c r="BF27" s="250"/>
      <c r="BG27" s="250"/>
      <c r="BH27" s="269"/>
      <c r="BI27" s="345" t="s">
        <v>28</v>
      </c>
      <c r="BJ27" s="345"/>
      <c r="BK27" s="345"/>
      <c r="BL27" s="345"/>
      <c r="BM27" s="345"/>
      <c r="BN27" s="345"/>
      <c r="BO27" s="345"/>
      <c r="BP27" s="345"/>
      <c r="BQ27" s="346"/>
      <c r="BR27" s="347" t="s">
        <v>29</v>
      </c>
      <c r="BS27" s="345"/>
      <c r="BT27" s="345"/>
      <c r="BU27" s="345"/>
      <c r="BV27" s="345"/>
      <c r="BW27" s="345"/>
      <c r="BX27" s="345"/>
      <c r="BY27" s="345"/>
      <c r="BZ27" s="346"/>
      <c r="CA27" s="347" t="s">
        <v>30</v>
      </c>
      <c r="CB27" s="345"/>
      <c r="CC27" s="345"/>
      <c r="CD27" s="345"/>
      <c r="CE27" s="345"/>
      <c r="CF27" s="345"/>
      <c r="CG27" s="345"/>
      <c r="CH27" s="345"/>
      <c r="CI27" s="346"/>
      <c r="CJ27" s="400" t="s">
        <v>155</v>
      </c>
      <c r="CK27" s="398"/>
      <c r="CL27" s="398"/>
      <c r="CM27" s="398"/>
      <c r="CN27" s="398"/>
      <c r="CO27" s="398"/>
      <c r="CP27" s="398"/>
      <c r="CQ27" s="398"/>
      <c r="CR27" s="398"/>
      <c r="CS27" s="398"/>
      <c r="CT27" s="398"/>
      <c r="CU27" s="398"/>
      <c r="CV27" s="398"/>
      <c r="CW27" s="398"/>
      <c r="CX27" s="398"/>
      <c r="CY27" s="398"/>
      <c r="CZ27" s="398"/>
      <c r="DA27" s="398"/>
      <c r="DB27" s="399"/>
    </row>
    <row r="28" spans="1:106" ht="12.9" customHeight="1">
      <c r="A28" s="251"/>
      <c r="B28" s="252"/>
      <c r="C28" s="252"/>
      <c r="D28" s="252"/>
      <c r="E28" s="252"/>
      <c r="F28" s="252"/>
      <c r="G28" s="270"/>
      <c r="H28" s="271" t="s">
        <v>3</v>
      </c>
      <c r="I28" s="272"/>
      <c r="J28" s="273"/>
      <c r="K28" s="274" t="s">
        <v>3</v>
      </c>
      <c r="L28" s="272"/>
      <c r="M28" s="273"/>
      <c r="N28" s="266"/>
      <c r="O28" s="267"/>
      <c r="P28" s="268"/>
      <c r="Q28" s="429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430"/>
      <c r="BB28" s="342"/>
      <c r="BC28" s="343"/>
      <c r="BD28" s="343"/>
      <c r="BE28" s="343"/>
      <c r="BF28" s="343"/>
      <c r="BG28" s="343"/>
      <c r="BH28" s="344"/>
      <c r="BI28" s="332">
        <f>H5</f>
        <v>0</v>
      </c>
      <c r="BJ28" s="332"/>
      <c r="BK28" s="333"/>
      <c r="BL28" s="334">
        <f>K5</f>
        <v>-1</v>
      </c>
      <c r="BM28" s="335"/>
      <c r="BN28" s="336"/>
      <c r="BO28" s="338" t="s">
        <v>2</v>
      </c>
      <c r="BP28" s="339"/>
      <c r="BQ28" s="339"/>
      <c r="BR28" s="341">
        <f>H5</f>
        <v>0</v>
      </c>
      <c r="BS28" s="332"/>
      <c r="BT28" s="333"/>
      <c r="BU28" s="334">
        <f>K5</f>
        <v>-1</v>
      </c>
      <c r="BV28" s="335"/>
      <c r="BW28" s="336"/>
      <c r="BX28" s="338" t="s">
        <v>2</v>
      </c>
      <c r="BY28" s="339"/>
      <c r="BZ28" s="340"/>
      <c r="CA28" s="332">
        <f>H5</f>
        <v>0</v>
      </c>
      <c r="CB28" s="332"/>
      <c r="CC28" s="333"/>
      <c r="CD28" s="334">
        <f>K5</f>
        <v>-1</v>
      </c>
      <c r="CE28" s="335"/>
      <c r="CF28" s="336"/>
      <c r="CG28" s="338" t="s">
        <v>2</v>
      </c>
      <c r="CH28" s="339"/>
      <c r="CI28" s="340"/>
      <c r="CJ28" s="443"/>
      <c r="CK28" s="444"/>
      <c r="CL28" s="444"/>
      <c r="CM28" s="444"/>
      <c r="CN28" s="444"/>
      <c r="CO28" s="444"/>
      <c r="CP28" s="444"/>
      <c r="CQ28" s="444"/>
      <c r="CR28" s="444"/>
      <c r="CS28" s="444"/>
      <c r="CT28" s="444"/>
      <c r="CU28" s="444"/>
      <c r="CV28" s="444"/>
      <c r="CW28" s="444"/>
      <c r="CX28" s="444"/>
      <c r="CY28" s="444"/>
      <c r="CZ28" s="444"/>
      <c r="DA28" s="444"/>
      <c r="DB28" s="445"/>
    </row>
    <row r="29" spans="1:106" ht="12.9" customHeight="1">
      <c r="A29" s="275" t="s">
        <v>5</v>
      </c>
      <c r="B29" s="276"/>
      <c r="C29" s="276"/>
      <c r="D29" s="276"/>
      <c r="E29" s="276"/>
      <c r="F29" s="276"/>
      <c r="G29" s="277"/>
      <c r="H29" s="163"/>
      <c r="I29" s="164"/>
      <c r="J29" s="165"/>
      <c r="K29" s="278"/>
      <c r="L29" s="164"/>
      <c r="M29" s="165"/>
      <c r="N29" s="279" t="str">
        <f t="shared" ref="N29:N37" si="4">IF(H29="-", "-", IF(K29="-", "-", IF(ABS(K29)=0, "-", ROUND(100*(H29-K29)/ABS(K29),10))))</f>
        <v>-</v>
      </c>
      <c r="O29" s="280"/>
      <c r="P29" s="281"/>
      <c r="Q29" s="431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2"/>
      <c r="AV29" s="432"/>
      <c r="AW29" s="432"/>
      <c r="AX29" s="432"/>
      <c r="AY29" s="432"/>
      <c r="AZ29" s="433"/>
      <c r="BB29" s="251"/>
      <c r="BC29" s="252"/>
      <c r="BD29" s="252"/>
      <c r="BE29" s="252"/>
      <c r="BF29" s="252"/>
      <c r="BG29" s="252"/>
      <c r="BH29" s="270"/>
      <c r="BI29" s="272" t="s">
        <v>31</v>
      </c>
      <c r="BJ29" s="272"/>
      <c r="BK29" s="273"/>
      <c r="BL29" s="274" t="s">
        <v>31</v>
      </c>
      <c r="BM29" s="272"/>
      <c r="BN29" s="273"/>
      <c r="BO29" s="266"/>
      <c r="BP29" s="267"/>
      <c r="BQ29" s="267"/>
      <c r="BR29" s="271" t="s">
        <v>31</v>
      </c>
      <c r="BS29" s="272"/>
      <c r="BT29" s="273"/>
      <c r="BU29" s="274" t="s">
        <v>31</v>
      </c>
      <c r="BV29" s="272"/>
      <c r="BW29" s="273"/>
      <c r="BX29" s="266"/>
      <c r="BY29" s="267"/>
      <c r="BZ29" s="268"/>
      <c r="CA29" s="272" t="s">
        <v>31</v>
      </c>
      <c r="CB29" s="272"/>
      <c r="CC29" s="273"/>
      <c r="CD29" s="274" t="s">
        <v>31</v>
      </c>
      <c r="CE29" s="272"/>
      <c r="CF29" s="273"/>
      <c r="CG29" s="266"/>
      <c r="CH29" s="267"/>
      <c r="CI29" s="268"/>
      <c r="CJ29" s="429"/>
      <c r="CK29" s="296"/>
      <c r="CL29" s="296"/>
      <c r="CM29" s="296"/>
      <c r="CN29" s="296"/>
      <c r="CO29" s="296"/>
      <c r="CP29" s="296"/>
      <c r="CQ29" s="296"/>
      <c r="CR29" s="296"/>
      <c r="CS29" s="296"/>
      <c r="CT29" s="296"/>
      <c r="CU29" s="296"/>
      <c r="CV29" s="296"/>
      <c r="CW29" s="296"/>
      <c r="CX29" s="296"/>
      <c r="CY29" s="296"/>
      <c r="CZ29" s="296"/>
      <c r="DA29" s="296"/>
      <c r="DB29" s="430"/>
    </row>
    <row r="30" spans="1:106" ht="12.9" customHeight="1">
      <c r="A30" s="11"/>
      <c r="B30" s="307" t="s">
        <v>142</v>
      </c>
      <c r="C30" s="291"/>
      <c r="D30" s="291"/>
      <c r="E30" s="291"/>
      <c r="F30" s="291"/>
      <c r="G30" s="292"/>
      <c r="H30" s="109"/>
      <c r="I30" s="104"/>
      <c r="J30" s="105"/>
      <c r="K30" s="113"/>
      <c r="L30" s="104"/>
      <c r="M30" s="105"/>
      <c r="N30" s="293" t="str">
        <f t="shared" si="4"/>
        <v>-</v>
      </c>
      <c r="O30" s="294"/>
      <c r="P30" s="295"/>
      <c r="Q30" s="420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2"/>
      <c r="BB30" s="355" t="s">
        <v>32</v>
      </c>
      <c r="BC30" s="356"/>
      <c r="BD30" s="356"/>
      <c r="BE30" s="356"/>
      <c r="BF30" s="356"/>
      <c r="BG30" s="356"/>
      <c r="BH30" s="357"/>
      <c r="BI30" s="359"/>
      <c r="BJ30" s="359"/>
      <c r="BK30" s="360"/>
      <c r="BL30" s="358"/>
      <c r="BM30" s="359"/>
      <c r="BN30" s="360"/>
      <c r="BO30" s="352" t="str">
        <f t="shared" ref="BO30:BO35" si="5">IF(BI30="-", "-", IF(BL30="-", "-", IF(ABS(BL30)=0, "-", ROUND(100*(BI30-BL30)/ABS(BL30),10))))</f>
        <v>-</v>
      </c>
      <c r="BP30" s="353"/>
      <c r="BQ30" s="354"/>
      <c r="BR30" s="359"/>
      <c r="BS30" s="359"/>
      <c r="BT30" s="360"/>
      <c r="BU30" s="358"/>
      <c r="BV30" s="359"/>
      <c r="BW30" s="360"/>
      <c r="BX30" s="352" t="str">
        <f>IF(BR30="-", "-", IF(BU30="-", "-", IF(ABS(BU30)=0, "-", ROUND(100*(BR30-BU30)/ABS(BU30),10))))</f>
        <v>-</v>
      </c>
      <c r="BY30" s="353"/>
      <c r="BZ30" s="354"/>
      <c r="CA30" s="359"/>
      <c r="CB30" s="359"/>
      <c r="CC30" s="360"/>
      <c r="CD30" s="358"/>
      <c r="CE30" s="359"/>
      <c r="CF30" s="360"/>
      <c r="CG30" s="352" t="str">
        <f>IF(CA30="-", "-", IF(CD30="-", "-", IF(ABS(CD30)=0, "-", ROUND(100*(CA30-CD30)/ABS(CD30),10))))</f>
        <v>-</v>
      </c>
      <c r="CH30" s="353"/>
      <c r="CI30" s="354"/>
      <c r="CJ30" s="431"/>
      <c r="CK30" s="432"/>
      <c r="CL30" s="432"/>
      <c r="CM30" s="432"/>
      <c r="CN30" s="432"/>
      <c r="CO30" s="432"/>
      <c r="CP30" s="432"/>
      <c r="CQ30" s="432"/>
      <c r="CR30" s="432"/>
      <c r="CS30" s="432"/>
      <c r="CT30" s="432"/>
      <c r="CU30" s="432"/>
      <c r="CV30" s="432"/>
      <c r="CW30" s="432"/>
      <c r="CX30" s="432"/>
      <c r="CY30" s="432"/>
      <c r="CZ30" s="432"/>
      <c r="DA30" s="432"/>
      <c r="DB30" s="433"/>
    </row>
    <row r="31" spans="1:106" ht="12.9" customHeight="1">
      <c r="A31" s="11"/>
      <c r="B31" s="12"/>
      <c r="C31" s="290" t="s">
        <v>6</v>
      </c>
      <c r="D31" s="291"/>
      <c r="E31" s="291"/>
      <c r="F31" s="291"/>
      <c r="G31" s="292"/>
      <c r="H31" s="109"/>
      <c r="I31" s="104"/>
      <c r="J31" s="105"/>
      <c r="K31" s="113"/>
      <c r="L31" s="104"/>
      <c r="M31" s="105"/>
      <c r="N31" s="293" t="str">
        <f t="shared" si="4"/>
        <v>-</v>
      </c>
      <c r="O31" s="294"/>
      <c r="P31" s="295"/>
      <c r="Q31" s="420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2"/>
      <c r="BB31" s="30"/>
      <c r="BC31" s="349" t="s">
        <v>33</v>
      </c>
      <c r="BD31" s="350"/>
      <c r="BE31" s="350"/>
      <c r="BF31" s="350"/>
      <c r="BG31" s="350"/>
      <c r="BH31" s="351"/>
      <c r="BI31" s="361"/>
      <c r="BJ31" s="361"/>
      <c r="BK31" s="362"/>
      <c r="BL31" s="363"/>
      <c r="BM31" s="361"/>
      <c r="BN31" s="362"/>
      <c r="BO31" s="293" t="str">
        <f t="shared" si="5"/>
        <v>-</v>
      </c>
      <c r="BP31" s="294"/>
      <c r="BQ31" s="295"/>
      <c r="BR31" s="361"/>
      <c r="BS31" s="361"/>
      <c r="BT31" s="362"/>
      <c r="BU31" s="363"/>
      <c r="BV31" s="361"/>
      <c r="BW31" s="362"/>
      <c r="BX31" s="293" t="str">
        <f t="shared" ref="BX31:BX35" si="6">IF(BR31="-", "-", IF(BU31="-", "-", IF(ABS(BU31)=0, "-", ROUND(100*(BR31-BU31)/ABS(BU31),10))))</f>
        <v>-</v>
      </c>
      <c r="BY31" s="294"/>
      <c r="BZ31" s="295"/>
      <c r="CA31" s="361"/>
      <c r="CB31" s="361"/>
      <c r="CC31" s="362"/>
      <c r="CD31" s="363"/>
      <c r="CE31" s="361"/>
      <c r="CF31" s="362"/>
      <c r="CG31" s="293" t="str">
        <f t="shared" ref="CG31:CG35" si="7">IF(CA31="-", "-", IF(CD31="-", "-", IF(ABS(CD31)=0, "-", ROUND(100*(CA31-CD31)/ABS(CD31),10))))</f>
        <v>-</v>
      </c>
      <c r="CH31" s="294"/>
      <c r="CI31" s="295"/>
      <c r="CJ31" s="420"/>
      <c r="CK31" s="421"/>
      <c r="CL31" s="421"/>
      <c r="CM31" s="421"/>
      <c r="CN31" s="421"/>
      <c r="CO31" s="421"/>
      <c r="CP31" s="421"/>
      <c r="CQ31" s="421"/>
      <c r="CR31" s="421"/>
      <c r="CS31" s="421"/>
      <c r="CT31" s="421"/>
      <c r="CU31" s="421"/>
      <c r="CV31" s="421"/>
      <c r="CW31" s="421"/>
      <c r="CX31" s="421"/>
      <c r="CY31" s="421"/>
      <c r="CZ31" s="421"/>
      <c r="DA31" s="421"/>
      <c r="DB31" s="422"/>
    </row>
    <row r="32" spans="1:106" ht="12.9" customHeight="1">
      <c r="A32" s="11"/>
      <c r="B32" s="13"/>
      <c r="C32" s="394" t="s">
        <v>98</v>
      </c>
      <c r="D32" s="395"/>
      <c r="E32" s="395"/>
      <c r="F32" s="395"/>
      <c r="G32" s="396"/>
      <c r="H32" s="109"/>
      <c r="I32" s="104"/>
      <c r="J32" s="105"/>
      <c r="K32" s="113"/>
      <c r="L32" s="104"/>
      <c r="M32" s="105"/>
      <c r="N32" s="293" t="str">
        <f t="shared" si="4"/>
        <v>-</v>
      </c>
      <c r="O32" s="294"/>
      <c r="P32" s="295"/>
      <c r="Q32" s="420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2"/>
      <c r="BB32" s="30"/>
      <c r="BC32" s="367" t="s">
        <v>34</v>
      </c>
      <c r="BD32" s="368"/>
      <c r="BE32" s="368"/>
      <c r="BF32" s="368"/>
      <c r="BG32" s="368"/>
      <c r="BH32" s="369"/>
      <c r="BI32" s="361"/>
      <c r="BJ32" s="361"/>
      <c r="BK32" s="362"/>
      <c r="BL32" s="363"/>
      <c r="BM32" s="361"/>
      <c r="BN32" s="362"/>
      <c r="BO32" s="293" t="str">
        <f t="shared" si="5"/>
        <v>-</v>
      </c>
      <c r="BP32" s="294"/>
      <c r="BQ32" s="295"/>
      <c r="BR32" s="361"/>
      <c r="BS32" s="361"/>
      <c r="BT32" s="362"/>
      <c r="BU32" s="363"/>
      <c r="BV32" s="361"/>
      <c r="BW32" s="362"/>
      <c r="BX32" s="293" t="str">
        <f t="shared" si="6"/>
        <v>-</v>
      </c>
      <c r="BY32" s="294"/>
      <c r="BZ32" s="295"/>
      <c r="CA32" s="361"/>
      <c r="CB32" s="361"/>
      <c r="CC32" s="362"/>
      <c r="CD32" s="363"/>
      <c r="CE32" s="361"/>
      <c r="CF32" s="362"/>
      <c r="CG32" s="293" t="str">
        <f t="shared" si="7"/>
        <v>-</v>
      </c>
      <c r="CH32" s="294"/>
      <c r="CI32" s="295"/>
      <c r="CJ32" s="420"/>
      <c r="CK32" s="421"/>
      <c r="CL32" s="421"/>
      <c r="CM32" s="421"/>
      <c r="CN32" s="421"/>
      <c r="CO32" s="421"/>
      <c r="CP32" s="421"/>
      <c r="CQ32" s="421"/>
      <c r="CR32" s="421"/>
      <c r="CS32" s="421"/>
      <c r="CT32" s="421"/>
      <c r="CU32" s="421"/>
      <c r="CV32" s="421"/>
      <c r="CW32" s="421"/>
      <c r="CX32" s="421"/>
      <c r="CY32" s="421"/>
      <c r="CZ32" s="421"/>
      <c r="DA32" s="421"/>
      <c r="DB32" s="422"/>
    </row>
    <row r="33" spans="1:106" ht="12.9" customHeight="1">
      <c r="A33" s="11"/>
      <c r="B33" s="290" t="s">
        <v>7</v>
      </c>
      <c r="C33" s="291"/>
      <c r="D33" s="291"/>
      <c r="E33" s="291"/>
      <c r="F33" s="291"/>
      <c r="G33" s="292"/>
      <c r="H33" s="109"/>
      <c r="I33" s="104"/>
      <c r="J33" s="105"/>
      <c r="K33" s="113"/>
      <c r="L33" s="104"/>
      <c r="M33" s="105"/>
      <c r="N33" s="293" t="str">
        <f t="shared" si="4"/>
        <v>-</v>
      </c>
      <c r="O33" s="294"/>
      <c r="P33" s="295"/>
      <c r="Q33" s="420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2"/>
      <c r="BB33" s="31"/>
      <c r="BC33" s="364" t="s">
        <v>35</v>
      </c>
      <c r="BD33" s="365"/>
      <c r="BE33" s="365"/>
      <c r="BF33" s="365"/>
      <c r="BG33" s="365"/>
      <c r="BH33" s="366"/>
      <c r="BI33" s="370"/>
      <c r="BJ33" s="370"/>
      <c r="BK33" s="371"/>
      <c r="BL33" s="372"/>
      <c r="BM33" s="370"/>
      <c r="BN33" s="371"/>
      <c r="BO33" s="297" t="str">
        <f t="shared" si="5"/>
        <v>-</v>
      </c>
      <c r="BP33" s="298"/>
      <c r="BQ33" s="299"/>
      <c r="BR33" s="370"/>
      <c r="BS33" s="370"/>
      <c r="BT33" s="371"/>
      <c r="BU33" s="372"/>
      <c r="BV33" s="370"/>
      <c r="BW33" s="371"/>
      <c r="BX33" s="297" t="str">
        <f t="shared" si="6"/>
        <v>-</v>
      </c>
      <c r="BY33" s="298"/>
      <c r="BZ33" s="299"/>
      <c r="CA33" s="370"/>
      <c r="CB33" s="370"/>
      <c r="CC33" s="371"/>
      <c r="CD33" s="372"/>
      <c r="CE33" s="370"/>
      <c r="CF33" s="371"/>
      <c r="CG33" s="297" t="str">
        <f t="shared" si="7"/>
        <v>-</v>
      </c>
      <c r="CH33" s="298"/>
      <c r="CI33" s="299"/>
      <c r="CJ33" s="423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5"/>
    </row>
    <row r="34" spans="1:106" ht="12.9" customHeight="1">
      <c r="A34" s="11"/>
      <c r="B34" s="290" t="s">
        <v>141</v>
      </c>
      <c r="C34" s="291"/>
      <c r="D34" s="291"/>
      <c r="E34" s="291"/>
      <c r="F34" s="291"/>
      <c r="G34" s="292"/>
      <c r="H34" s="109"/>
      <c r="I34" s="104"/>
      <c r="J34" s="105"/>
      <c r="K34" s="113"/>
      <c r="L34" s="104"/>
      <c r="M34" s="105"/>
      <c r="N34" s="293" t="str">
        <f t="shared" si="4"/>
        <v>-</v>
      </c>
      <c r="O34" s="294"/>
      <c r="P34" s="295"/>
      <c r="Q34" s="420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2"/>
      <c r="BB34" s="325" t="s">
        <v>36</v>
      </c>
      <c r="BC34" s="378"/>
      <c r="BD34" s="378"/>
      <c r="BE34" s="378"/>
      <c r="BF34" s="378"/>
      <c r="BG34" s="378"/>
      <c r="BH34" s="379"/>
      <c r="BI34" s="380"/>
      <c r="BJ34" s="380"/>
      <c r="BK34" s="381"/>
      <c r="BL34" s="382"/>
      <c r="BM34" s="380"/>
      <c r="BN34" s="381"/>
      <c r="BO34" s="375" t="str">
        <f t="shared" si="5"/>
        <v>-</v>
      </c>
      <c r="BP34" s="376"/>
      <c r="BQ34" s="377"/>
      <c r="BR34" s="380"/>
      <c r="BS34" s="380"/>
      <c r="BT34" s="381"/>
      <c r="BU34" s="382"/>
      <c r="BV34" s="380"/>
      <c r="BW34" s="381"/>
      <c r="BX34" s="375" t="str">
        <f t="shared" si="6"/>
        <v>-</v>
      </c>
      <c r="BY34" s="376"/>
      <c r="BZ34" s="377"/>
      <c r="CA34" s="380"/>
      <c r="CB34" s="380"/>
      <c r="CC34" s="381"/>
      <c r="CD34" s="382"/>
      <c r="CE34" s="380"/>
      <c r="CF34" s="381"/>
      <c r="CG34" s="375" t="str">
        <f t="shared" si="7"/>
        <v>-</v>
      </c>
      <c r="CH34" s="376"/>
      <c r="CI34" s="377"/>
      <c r="CJ34" s="426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8"/>
    </row>
    <row r="35" spans="1:106" ht="12.9" customHeight="1">
      <c r="A35" s="11"/>
      <c r="B35" s="290" t="s">
        <v>8</v>
      </c>
      <c r="C35" s="291"/>
      <c r="D35" s="291"/>
      <c r="E35" s="291"/>
      <c r="F35" s="291"/>
      <c r="G35" s="292"/>
      <c r="H35" s="109"/>
      <c r="I35" s="104"/>
      <c r="J35" s="105"/>
      <c r="K35" s="113"/>
      <c r="L35" s="104"/>
      <c r="M35" s="105"/>
      <c r="N35" s="297" t="str">
        <f t="shared" si="4"/>
        <v>-</v>
      </c>
      <c r="O35" s="298"/>
      <c r="P35" s="299"/>
      <c r="Q35" s="423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5"/>
      <c r="BB35" s="373" t="s">
        <v>138</v>
      </c>
      <c r="BC35" s="374"/>
      <c r="BD35" s="374"/>
      <c r="BE35" s="374"/>
      <c r="BF35" s="374"/>
      <c r="BG35" s="374"/>
      <c r="BH35" s="37" t="s">
        <v>57</v>
      </c>
      <c r="BI35" s="383"/>
      <c r="BJ35" s="383"/>
      <c r="BK35" s="384"/>
      <c r="BL35" s="385"/>
      <c r="BM35" s="383"/>
      <c r="BN35" s="384"/>
      <c r="BO35" s="375" t="str">
        <f t="shared" si="5"/>
        <v>-</v>
      </c>
      <c r="BP35" s="376"/>
      <c r="BQ35" s="377"/>
      <c r="BR35" s="383"/>
      <c r="BS35" s="383"/>
      <c r="BT35" s="384"/>
      <c r="BU35" s="385"/>
      <c r="BV35" s="383"/>
      <c r="BW35" s="384"/>
      <c r="BX35" s="375" t="str">
        <f t="shared" si="6"/>
        <v>-</v>
      </c>
      <c r="BY35" s="376"/>
      <c r="BZ35" s="377"/>
      <c r="CA35" s="383"/>
      <c r="CB35" s="383"/>
      <c r="CC35" s="384"/>
      <c r="CD35" s="385"/>
      <c r="CE35" s="383"/>
      <c r="CF35" s="384"/>
      <c r="CG35" s="375" t="str">
        <f t="shared" si="7"/>
        <v>-</v>
      </c>
      <c r="CH35" s="376"/>
      <c r="CI35" s="377"/>
      <c r="CJ35" s="434"/>
      <c r="CK35" s="435"/>
      <c r="CL35" s="435"/>
      <c r="CM35" s="435"/>
      <c r="CN35" s="435"/>
      <c r="CO35" s="435"/>
      <c r="CP35" s="435"/>
      <c r="CQ35" s="435"/>
      <c r="CR35" s="435"/>
      <c r="CS35" s="435"/>
      <c r="CT35" s="435"/>
      <c r="CU35" s="435"/>
      <c r="CV35" s="435"/>
      <c r="CW35" s="435"/>
      <c r="CX35" s="435"/>
      <c r="CY35" s="435"/>
      <c r="CZ35" s="435"/>
      <c r="DA35" s="435"/>
      <c r="DB35" s="436"/>
    </row>
    <row r="36" spans="1:106" ht="12.9" customHeight="1">
      <c r="A36" s="325" t="s">
        <v>144</v>
      </c>
      <c r="B36" s="378"/>
      <c r="C36" s="378"/>
      <c r="D36" s="378"/>
      <c r="E36" s="378"/>
      <c r="F36" s="378"/>
      <c r="G36" s="379"/>
      <c r="H36" s="100"/>
      <c r="I36" s="95"/>
      <c r="J36" s="96"/>
      <c r="K36" s="169"/>
      <c r="L36" s="95"/>
      <c r="M36" s="96"/>
      <c r="N36" s="375" t="str">
        <f t="shared" si="4"/>
        <v>-</v>
      </c>
      <c r="O36" s="376"/>
      <c r="P36" s="377"/>
      <c r="Q36" s="426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8"/>
    </row>
    <row r="37" spans="1:106" ht="12.9" customHeight="1">
      <c r="A37" s="373" t="s">
        <v>18</v>
      </c>
      <c r="B37" s="374"/>
      <c r="C37" s="374"/>
      <c r="D37" s="374"/>
      <c r="E37" s="374"/>
      <c r="F37" s="374"/>
      <c r="G37" s="389"/>
      <c r="H37" s="390"/>
      <c r="I37" s="391"/>
      <c r="J37" s="392"/>
      <c r="K37" s="393"/>
      <c r="L37" s="391"/>
      <c r="M37" s="392"/>
      <c r="N37" s="375" t="str">
        <f t="shared" si="4"/>
        <v>-</v>
      </c>
      <c r="O37" s="376"/>
      <c r="P37" s="377"/>
      <c r="Q37" s="434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5"/>
      <c r="AP37" s="435"/>
      <c r="AQ37" s="435"/>
      <c r="AR37" s="435"/>
      <c r="AS37" s="435"/>
      <c r="AT37" s="435"/>
      <c r="AU37" s="435"/>
      <c r="AV37" s="435"/>
      <c r="AW37" s="435"/>
      <c r="AX37" s="435"/>
      <c r="AY37" s="435"/>
      <c r="AZ37" s="436"/>
    </row>
    <row r="38" spans="1:106" ht="12.9" customHeight="1"/>
    <row r="39" spans="1:106" ht="12.9" customHeight="1">
      <c r="A39" s="3" t="s">
        <v>94</v>
      </c>
    </row>
    <row r="40" spans="1:106" ht="12.9" customHeight="1">
      <c r="A40" s="249"/>
      <c r="B40" s="250"/>
      <c r="C40" s="250"/>
      <c r="D40" s="250"/>
      <c r="E40" s="250"/>
      <c r="F40" s="250"/>
      <c r="G40" s="269"/>
      <c r="H40" s="398" t="s">
        <v>49</v>
      </c>
      <c r="I40" s="398"/>
      <c r="J40" s="398"/>
      <c r="K40" s="398"/>
      <c r="L40" s="398"/>
      <c r="M40" s="398"/>
      <c r="N40" s="398"/>
      <c r="O40" s="398"/>
      <c r="P40" s="399"/>
      <c r="Q40" s="400" t="s">
        <v>50</v>
      </c>
      <c r="R40" s="398"/>
      <c r="S40" s="398"/>
      <c r="T40" s="398"/>
      <c r="U40" s="398"/>
      <c r="V40" s="398"/>
      <c r="W40" s="398"/>
      <c r="X40" s="398"/>
      <c r="Y40" s="399"/>
      <c r="Z40" s="400" t="s">
        <v>54</v>
      </c>
      <c r="AA40" s="398"/>
      <c r="AB40" s="398"/>
      <c r="AC40" s="398"/>
      <c r="AD40" s="398"/>
      <c r="AE40" s="398"/>
      <c r="AF40" s="398"/>
      <c r="AG40" s="398"/>
      <c r="AH40" s="399"/>
      <c r="AI40" s="400" t="s">
        <v>155</v>
      </c>
      <c r="AJ40" s="398"/>
      <c r="AK40" s="398"/>
      <c r="AL40" s="398"/>
      <c r="AM40" s="398"/>
      <c r="AN40" s="398"/>
      <c r="AO40" s="398"/>
      <c r="AP40" s="398"/>
      <c r="AQ40" s="398"/>
      <c r="AR40" s="398"/>
      <c r="AS40" s="398"/>
      <c r="AT40" s="398"/>
      <c r="AU40" s="398"/>
      <c r="AV40" s="398"/>
      <c r="AW40" s="398"/>
      <c r="AX40" s="398"/>
      <c r="AY40" s="398"/>
      <c r="AZ40" s="399"/>
    </row>
    <row r="41" spans="1:106" ht="12.9" customHeight="1">
      <c r="A41" s="251"/>
      <c r="B41" s="252"/>
      <c r="C41" s="252"/>
      <c r="D41" s="252"/>
      <c r="E41" s="252"/>
      <c r="F41" s="252"/>
      <c r="G41" s="270"/>
      <c r="H41" s="407">
        <f>H5</f>
        <v>0</v>
      </c>
      <c r="I41" s="402"/>
      <c r="J41" s="402"/>
      <c r="K41" s="403">
        <f>K5</f>
        <v>-1</v>
      </c>
      <c r="L41" s="403"/>
      <c r="M41" s="403"/>
      <c r="N41" s="404" t="s">
        <v>2</v>
      </c>
      <c r="O41" s="404"/>
      <c r="P41" s="405"/>
      <c r="Q41" s="401">
        <f>H5</f>
        <v>0</v>
      </c>
      <c r="R41" s="402"/>
      <c r="S41" s="402"/>
      <c r="T41" s="403">
        <f>K5</f>
        <v>-1</v>
      </c>
      <c r="U41" s="403"/>
      <c r="V41" s="403"/>
      <c r="W41" s="404" t="s">
        <v>2</v>
      </c>
      <c r="X41" s="404"/>
      <c r="Y41" s="405"/>
      <c r="Z41" s="401">
        <f>H5</f>
        <v>0</v>
      </c>
      <c r="AA41" s="402"/>
      <c r="AB41" s="402"/>
      <c r="AC41" s="403">
        <f>K5</f>
        <v>-1</v>
      </c>
      <c r="AD41" s="403"/>
      <c r="AE41" s="403"/>
      <c r="AF41" s="404" t="s">
        <v>2</v>
      </c>
      <c r="AG41" s="404"/>
      <c r="AH41" s="405"/>
      <c r="AI41" s="437"/>
      <c r="AJ41" s="438"/>
      <c r="AK41" s="438"/>
      <c r="AL41" s="438"/>
      <c r="AM41" s="438"/>
      <c r="AN41" s="438"/>
      <c r="AO41" s="438"/>
      <c r="AP41" s="438"/>
      <c r="AQ41" s="438"/>
      <c r="AR41" s="438"/>
      <c r="AS41" s="438"/>
      <c r="AT41" s="438"/>
      <c r="AU41" s="438"/>
      <c r="AV41" s="438"/>
      <c r="AW41" s="438"/>
      <c r="AX41" s="438"/>
      <c r="AY41" s="438"/>
      <c r="AZ41" s="439"/>
    </row>
    <row r="42" spans="1:106" ht="12.9" customHeight="1">
      <c r="A42" s="386" t="s">
        <v>12</v>
      </c>
      <c r="B42" s="387"/>
      <c r="C42" s="387"/>
      <c r="D42" s="387"/>
      <c r="E42" s="387"/>
      <c r="F42" s="387"/>
      <c r="G42" s="388"/>
      <c r="H42" s="165"/>
      <c r="I42" s="406"/>
      <c r="J42" s="406"/>
      <c r="K42" s="406"/>
      <c r="L42" s="406"/>
      <c r="M42" s="406"/>
      <c r="N42" s="352" t="str">
        <f t="shared" ref="N42:N45" si="8">IF(H42="-", "-", IF(K42="-", "-", IF(ABS(K42)=0, "-", ROUND(100*(H42-K42)/ABS(K42),10))))</f>
        <v>-</v>
      </c>
      <c r="O42" s="353"/>
      <c r="P42" s="354"/>
      <c r="Q42" s="408"/>
      <c r="R42" s="409"/>
      <c r="S42" s="409"/>
      <c r="T42" s="409"/>
      <c r="U42" s="409"/>
      <c r="V42" s="409"/>
      <c r="W42" s="352" t="str">
        <f>IF(Q42="-", "-", IF(T42="-", "-", IF(ABS(T42)=0, "-", ROUND(100*(Q42-T42)/ABS(T42),10))))</f>
        <v>-</v>
      </c>
      <c r="X42" s="353"/>
      <c r="Y42" s="354"/>
      <c r="Z42" s="408"/>
      <c r="AA42" s="409"/>
      <c r="AB42" s="409"/>
      <c r="AC42" s="409"/>
      <c r="AD42" s="409"/>
      <c r="AE42" s="409"/>
      <c r="AF42" s="352" t="str">
        <f>IF(Z42="-", "-", IF(AC42="-", "-", IF(ABS(AC42)=0, "-", ROUND(100*(Z42-AC42)/ABS(AC42),10))))</f>
        <v>-</v>
      </c>
      <c r="AG42" s="353"/>
      <c r="AH42" s="354"/>
      <c r="AI42" s="440"/>
      <c r="AJ42" s="441"/>
      <c r="AK42" s="441"/>
      <c r="AL42" s="441"/>
      <c r="AM42" s="441"/>
      <c r="AN42" s="441"/>
      <c r="AO42" s="441"/>
      <c r="AP42" s="441"/>
      <c r="AQ42" s="441"/>
      <c r="AR42" s="441"/>
      <c r="AS42" s="441"/>
      <c r="AT42" s="441"/>
      <c r="AU42" s="441"/>
      <c r="AV42" s="441"/>
      <c r="AW42" s="441"/>
      <c r="AX42" s="441"/>
      <c r="AY42" s="441"/>
      <c r="AZ42" s="442"/>
    </row>
    <row r="43" spans="1:106" ht="12.9" customHeight="1">
      <c r="A43" s="302" t="s">
        <v>13</v>
      </c>
      <c r="B43" s="291"/>
      <c r="C43" s="291"/>
      <c r="D43" s="291"/>
      <c r="E43" s="291"/>
      <c r="F43" s="291"/>
      <c r="G43" s="292"/>
      <c r="H43" s="105"/>
      <c r="I43" s="397"/>
      <c r="J43" s="397"/>
      <c r="K43" s="397"/>
      <c r="L43" s="397"/>
      <c r="M43" s="397"/>
      <c r="N43" s="293" t="str">
        <f t="shared" si="8"/>
        <v>-</v>
      </c>
      <c r="O43" s="294"/>
      <c r="P43" s="295"/>
      <c r="Q43" s="410"/>
      <c r="R43" s="411"/>
      <c r="S43" s="411"/>
      <c r="T43" s="411"/>
      <c r="U43" s="411"/>
      <c r="V43" s="411"/>
      <c r="W43" s="293" t="str">
        <f t="shared" ref="W43:W45" si="9">IF(Q43="-", "-", IF(T43="-", "-", IF(ABS(T43)=0, "-", ROUND(100*(Q43-T43)/ABS(T43),10))))</f>
        <v>-</v>
      </c>
      <c r="X43" s="294"/>
      <c r="Y43" s="295"/>
      <c r="Z43" s="410"/>
      <c r="AA43" s="411"/>
      <c r="AB43" s="411"/>
      <c r="AC43" s="411"/>
      <c r="AD43" s="411"/>
      <c r="AE43" s="411"/>
      <c r="AF43" s="293" t="str">
        <f t="shared" ref="AF43:AF44" si="10">IF(Z43="-", "-", IF(AC43="-", "-", IF(ABS(AC43)=0, "-", ROUND(100*(Z43-AC43)/ABS(AC43),10))))</f>
        <v>-</v>
      </c>
      <c r="AG43" s="294"/>
      <c r="AH43" s="295"/>
      <c r="AI43" s="420"/>
      <c r="AJ43" s="421"/>
      <c r="AK43" s="421"/>
      <c r="AL43" s="421"/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2"/>
    </row>
    <row r="44" spans="1:106" ht="12.9" customHeight="1">
      <c r="A44" s="302" t="s">
        <v>14</v>
      </c>
      <c r="B44" s="291"/>
      <c r="C44" s="291"/>
      <c r="D44" s="291"/>
      <c r="E44" s="291"/>
      <c r="F44" s="291"/>
      <c r="G44" s="292"/>
      <c r="H44" s="105"/>
      <c r="I44" s="397"/>
      <c r="J44" s="397"/>
      <c r="K44" s="397"/>
      <c r="L44" s="397"/>
      <c r="M44" s="397"/>
      <c r="N44" s="293" t="str">
        <f t="shared" si="8"/>
        <v>-</v>
      </c>
      <c r="O44" s="294"/>
      <c r="P44" s="295"/>
      <c r="Q44" s="410"/>
      <c r="R44" s="411"/>
      <c r="S44" s="411"/>
      <c r="T44" s="411"/>
      <c r="U44" s="411"/>
      <c r="V44" s="411"/>
      <c r="W44" s="293" t="str">
        <f t="shared" si="9"/>
        <v>-</v>
      </c>
      <c r="X44" s="294"/>
      <c r="Y44" s="295"/>
      <c r="Z44" s="410"/>
      <c r="AA44" s="411"/>
      <c r="AB44" s="411"/>
      <c r="AC44" s="411"/>
      <c r="AD44" s="411"/>
      <c r="AE44" s="411"/>
      <c r="AF44" s="293" t="str">
        <f t="shared" si="10"/>
        <v>-</v>
      </c>
      <c r="AG44" s="294"/>
      <c r="AH44" s="295"/>
      <c r="AI44" s="420"/>
      <c r="AJ44" s="421"/>
      <c r="AK44" s="421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2"/>
    </row>
    <row r="45" spans="1:106" ht="12.9" customHeight="1">
      <c r="A45" s="310" t="s">
        <v>15</v>
      </c>
      <c r="B45" s="311"/>
      <c r="C45" s="311"/>
      <c r="D45" s="311"/>
      <c r="E45" s="311"/>
      <c r="F45" s="311"/>
      <c r="G45" s="337"/>
      <c r="H45" s="172"/>
      <c r="I45" s="313"/>
      <c r="J45" s="313"/>
      <c r="K45" s="313"/>
      <c r="L45" s="313"/>
      <c r="M45" s="313"/>
      <c r="N45" s="297" t="str">
        <f t="shared" si="8"/>
        <v>-</v>
      </c>
      <c r="O45" s="298"/>
      <c r="P45" s="299"/>
      <c r="Q45" s="412"/>
      <c r="R45" s="413"/>
      <c r="S45" s="413"/>
      <c r="T45" s="413"/>
      <c r="U45" s="413"/>
      <c r="V45" s="413"/>
      <c r="W45" s="297" t="str">
        <f t="shared" si="9"/>
        <v>-</v>
      </c>
      <c r="X45" s="298"/>
      <c r="Y45" s="299"/>
      <c r="Z45" s="414"/>
      <c r="AA45" s="415"/>
      <c r="AB45" s="415"/>
      <c r="AC45" s="416"/>
      <c r="AD45" s="415"/>
      <c r="AE45" s="415"/>
      <c r="AF45" s="417"/>
      <c r="AG45" s="418"/>
      <c r="AH45" s="419"/>
      <c r="AI45" s="423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5"/>
    </row>
    <row r="46" spans="1:106" ht="12.9" customHeight="1"/>
    <row r="47" spans="1:106" ht="12.9" customHeight="1"/>
    <row r="50" spans="7:31" ht="14.1" customHeight="1"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/>
    </row>
    <row r="51" spans="7:31" ht="14.1" customHeight="1">
      <c r="G51" s="45"/>
      <c r="H51" s="7"/>
      <c r="I51" s="7"/>
      <c r="J51" s="7"/>
      <c r="K51" s="7"/>
      <c r="L51" s="7"/>
      <c r="M51" s="7"/>
      <c r="N51" s="8"/>
      <c r="O51" s="8"/>
      <c r="P51" s="8"/>
    </row>
  </sheetData>
  <mergeCells count="389">
    <mergeCell ref="CJ32:DB32"/>
    <mergeCell ref="CJ33:DB33"/>
    <mergeCell ref="CJ34:DB34"/>
    <mergeCell ref="CJ35:DB35"/>
    <mergeCell ref="BR18:DB19"/>
    <mergeCell ref="BR20:DB20"/>
    <mergeCell ref="BR21:DB21"/>
    <mergeCell ref="BR22:DB22"/>
    <mergeCell ref="CS5:DB6"/>
    <mergeCell ref="CS7:DB7"/>
    <mergeCell ref="CS8:DB8"/>
    <mergeCell ref="CS9:DB9"/>
    <mergeCell ref="CS10:DB10"/>
    <mergeCell ref="CS11:DB11"/>
    <mergeCell ref="CJ27:DB29"/>
    <mergeCell ref="CJ30:DB30"/>
    <mergeCell ref="CJ31:DB31"/>
    <mergeCell ref="CG35:CI35"/>
    <mergeCell ref="CG34:CI34"/>
    <mergeCell ref="CG33:CI33"/>
    <mergeCell ref="CG32:CI32"/>
    <mergeCell ref="CG31:CI31"/>
    <mergeCell ref="CG30:CI30"/>
    <mergeCell ref="CA27:CI27"/>
    <mergeCell ref="Q36:AZ36"/>
    <mergeCell ref="Q37:AZ37"/>
    <mergeCell ref="AI40:AZ41"/>
    <mergeCell ref="AI42:AZ42"/>
    <mergeCell ref="AI43:AZ43"/>
    <mergeCell ref="AI44:AZ44"/>
    <mergeCell ref="AI45:AZ45"/>
    <mergeCell ref="BR5:CA6"/>
    <mergeCell ref="BR7:CA7"/>
    <mergeCell ref="BR8:CA8"/>
    <mergeCell ref="BR13:CA13"/>
    <mergeCell ref="BR14:CA14"/>
    <mergeCell ref="BR15:CA15"/>
    <mergeCell ref="BR11:CA12"/>
    <mergeCell ref="Q24:AZ24"/>
    <mergeCell ref="Q27:AZ28"/>
    <mergeCell ref="Q29:AZ29"/>
    <mergeCell ref="Q30:AZ30"/>
    <mergeCell ref="Q31:AZ31"/>
    <mergeCell ref="Q32:AZ32"/>
    <mergeCell ref="Q33:AZ33"/>
    <mergeCell ref="Q34:AZ34"/>
    <mergeCell ref="Q35:AZ35"/>
    <mergeCell ref="Q15:AZ15"/>
    <mergeCell ref="Q16:AZ16"/>
    <mergeCell ref="Q17:AZ17"/>
    <mergeCell ref="Q18:AZ18"/>
    <mergeCell ref="Q19:AZ19"/>
    <mergeCell ref="Q20:AZ20"/>
    <mergeCell ref="Q21:AZ21"/>
    <mergeCell ref="Q22:AZ22"/>
    <mergeCell ref="Q23:AZ23"/>
    <mergeCell ref="Q5:AZ6"/>
    <mergeCell ref="Q7:AZ7"/>
    <mergeCell ref="Q8:AZ8"/>
    <mergeCell ref="Q9:AZ9"/>
    <mergeCell ref="Q10:AZ10"/>
    <mergeCell ref="Q11:AZ11"/>
    <mergeCell ref="Q12:AZ12"/>
    <mergeCell ref="Q13:AZ13"/>
    <mergeCell ref="Q14:AZ14"/>
    <mergeCell ref="AC42:AE42"/>
    <mergeCell ref="Z43:AB43"/>
    <mergeCell ref="AC43:AE43"/>
    <mergeCell ref="Z44:AB44"/>
    <mergeCell ref="AC44:AE44"/>
    <mergeCell ref="Z45:AB45"/>
    <mergeCell ref="AC45:AE45"/>
    <mergeCell ref="AF45:AH45"/>
    <mergeCell ref="AF44:AH44"/>
    <mergeCell ref="AF43:AH43"/>
    <mergeCell ref="Q42:S42"/>
    <mergeCell ref="T42:V42"/>
    <mergeCell ref="Q43:S43"/>
    <mergeCell ref="T43:V43"/>
    <mergeCell ref="Q44:S44"/>
    <mergeCell ref="T44:V44"/>
    <mergeCell ref="Q45:S45"/>
    <mergeCell ref="T45:V45"/>
    <mergeCell ref="Z42:AB42"/>
    <mergeCell ref="W44:Y44"/>
    <mergeCell ref="W45:Y45"/>
    <mergeCell ref="W43:Y43"/>
    <mergeCell ref="A42:G42"/>
    <mergeCell ref="A43:G43"/>
    <mergeCell ref="H43:J43"/>
    <mergeCell ref="A40:G41"/>
    <mergeCell ref="H40:P40"/>
    <mergeCell ref="A37:G37"/>
    <mergeCell ref="Z40:AH40"/>
    <mergeCell ref="Z41:AB41"/>
    <mergeCell ref="AC41:AE41"/>
    <mergeCell ref="AF41:AH41"/>
    <mergeCell ref="H42:J42"/>
    <mergeCell ref="H41:J41"/>
    <mergeCell ref="K41:M41"/>
    <mergeCell ref="N41:P41"/>
    <mergeCell ref="Q41:S41"/>
    <mergeCell ref="T41:V41"/>
    <mergeCell ref="K42:M42"/>
    <mergeCell ref="N42:P42"/>
    <mergeCell ref="Q40:Y40"/>
    <mergeCell ref="W41:Y41"/>
    <mergeCell ref="AF42:AH42"/>
    <mergeCell ref="W42:Y42"/>
    <mergeCell ref="H37:J37"/>
    <mergeCell ref="K37:M37"/>
    <mergeCell ref="A45:G45"/>
    <mergeCell ref="H45:J45"/>
    <mergeCell ref="K45:M45"/>
    <mergeCell ref="N45:P45"/>
    <mergeCell ref="K44:M44"/>
    <mergeCell ref="N44:P44"/>
    <mergeCell ref="A44:G44"/>
    <mergeCell ref="H44:J44"/>
    <mergeCell ref="K43:M43"/>
    <mergeCell ref="N43:P43"/>
    <mergeCell ref="N37:P37"/>
    <mergeCell ref="A36:G36"/>
    <mergeCell ref="H36:J36"/>
    <mergeCell ref="K36:M36"/>
    <mergeCell ref="B35:G35"/>
    <mergeCell ref="H35:J35"/>
    <mergeCell ref="K35:M35"/>
    <mergeCell ref="N35:P35"/>
    <mergeCell ref="N36:P36"/>
    <mergeCell ref="B33:G33"/>
    <mergeCell ref="H33:J33"/>
    <mergeCell ref="K33:M33"/>
    <mergeCell ref="N33:P33"/>
    <mergeCell ref="B34:G34"/>
    <mergeCell ref="H34:J34"/>
    <mergeCell ref="K34:M34"/>
    <mergeCell ref="N34:P34"/>
    <mergeCell ref="H29:J29"/>
    <mergeCell ref="K29:M29"/>
    <mergeCell ref="N29:P29"/>
    <mergeCell ref="A29:G29"/>
    <mergeCell ref="B30:G30"/>
    <mergeCell ref="H30:J30"/>
    <mergeCell ref="K30:M30"/>
    <mergeCell ref="N30:P30"/>
    <mergeCell ref="C31:G31"/>
    <mergeCell ref="C32:G32"/>
    <mergeCell ref="H31:J31"/>
    <mergeCell ref="H32:J32"/>
    <mergeCell ref="K31:M31"/>
    <mergeCell ref="K32:M32"/>
    <mergeCell ref="N31:P31"/>
    <mergeCell ref="N32:P32"/>
    <mergeCell ref="A24:G24"/>
    <mergeCell ref="H24:J24"/>
    <mergeCell ref="K24:M24"/>
    <mergeCell ref="N24:P24"/>
    <mergeCell ref="A27:G28"/>
    <mergeCell ref="H27:J27"/>
    <mergeCell ref="K27:M27"/>
    <mergeCell ref="N27:P28"/>
    <mergeCell ref="H28:J28"/>
    <mergeCell ref="K28:M28"/>
    <mergeCell ref="B22:G22"/>
    <mergeCell ref="H22:J22"/>
    <mergeCell ref="K22:M22"/>
    <mergeCell ref="N22:P22"/>
    <mergeCell ref="A23:G23"/>
    <mergeCell ref="H23:J23"/>
    <mergeCell ref="K23:M23"/>
    <mergeCell ref="N23:P23"/>
    <mergeCell ref="B20:G20"/>
    <mergeCell ref="H20:J20"/>
    <mergeCell ref="K20:M20"/>
    <mergeCell ref="N20:P20"/>
    <mergeCell ref="B21:G21"/>
    <mergeCell ref="H21:J21"/>
    <mergeCell ref="K21:M21"/>
    <mergeCell ref="N21:P21"/>
    <mergeCell ref="H19:J19"/>
    <mergeCell ref="K19:M19"/>
    <mergeCell ref="N19:P19"/>
    <mergeCell ref="K17:M17"/>
    <mergeCell ref="N17:P17"/>
    <mergeCell ref="B17:G17"/>
    <mergeCell ref="H17:J17"/>
    <mergeCell ref="B18:G18"/>
    <mergeCell ref="H18:J18"/>
    <mergeCell ref="K18:M18"/>
    <mergeCell ref="N18:P18"/>
    <mergeCell ref="N14:P14"/>
    <mergeCell ref="B12:G12"/>
    <mergeCell ref="H12:J12"/>
    <mergeCell ref="K12:M12"/>
    <mergeCell ref="N12:P12"/>
    <mergeCell ref="B13:G13"/>
    <mergeCell ref="H13:J13"/>
    <mergeCell ref="K13:M13"/>
    <mergeCell ref="N13:P13"/>
    <mergeCell ref="BO20:BQ20"/>
    <mergeCell ref="BI19:BK19"/>
    <mergeCell ref="BL19:BN19"/>
    <mergeCell ref="BB20:BH20"/>
    <mergeCell ref="B10:G10"/>
    <mergeCell ref="H10:J10"/>
    <mergeCell ref="K10:M10"/>
    <mergeCell ref="N10:P10"/>
    <mergeCell ref="B11:G11"/>
    <mergeCell ref="H11:J11"/>
    <mergeCell ref="K11:M11"/>
    <mergeCell ref="N11:P11"/>
    <mergeCell ref="B15:G15"/>
    <mergeCell ref="H15:J15"/>
    <mergeCell ref="K15:M15"/>
    <mergeCell ref="N15:P15"/>
    <mergeCell ref="B16:G16"/>
    <mergeCell ref="H16:J16"/>
    <mergeCell ref="K16:M16"/>
    <mergeCell ref="N16:P16"/>
    <mergeCell ref="B19:G19"/>
    <mergeCell ref="B14:G14"/>
    <mergeCell ref="H14:J14"/>
    <mergeCell ref="K14:M14"/>
    <mergeCell ref="BB35:BG35"/>
    <mergeCell ref="BO35:BQ35"/>
    <mergeCell ref="BO34:BQ34"/>
    <mergeCell ref="BX34:BZ34"/>
    <mergeCell ref="BB34:BH34"/>
    <mergeCell ref="BX35:BZ35"/>
    <mergeCell ref="CA34:CC34"/>
    <mergeCell ref="CD34:CF34"/>
    <mergeCell ref="BI34:BK34"/>
    <mergeCell ref="BL34:BN34"/>
    <mergeCell ref="BI35:BK35"/>
    <mergeCell ref="BL35:BN35"/>
    <mergeCell ref="BR34:BT34"/>
    <mergeCell ref="BU34:BW34"/>
    <mergeCell ref="BR35:BT35"/>
    <mergeCell ref="BU35:BW35"/>
    <mergeCell ref="CA35:CC35"/>
    <mergeCell ref="CD35:CF35"/>
    <mergeCell ref="BC33:BH33"/>
    <mergeCell ref="BO33:BQ33"/>
    <mergeCell ref="BO32:BQ32"/>
    <mergeCell ref="BX32:BZ32"/>
    <mergeCell ref="BC32:BH32"/>
    <mergeCell ref="BX33:BZ33"/>
    <mergeCell ref="CA32:CC32"/>
    <mergeCell ref="CD32:CF32"/>
    <mergeCell ref="CA33:CC33"/>
    <mergeCell ref="CD33:CF33"/>
    <mergeCell ref="BI32:BK32"/>
    <mergeCell ref="BL32:BN32"/>
    <mergeCell ref="BI33:BK33"/>
    <mergeCell ref="BL33:BN33"/>
    <mergeCell ref="BR32:BT32"/>
    <mergeCell ref="BU32:BW32"/>
    <mergeCell ref="BR33:BT33"/>
    <mergeCell ref="BU33:BW33"/>
    <mergeCell ref="BC31:BH31"/>
    <mergeCell ref="BO31:BQ31"/>
    <mergeCell ref="BO30:BQ30"/>
    <mergeCell ref="BX30:BZ30"/>
    <mergeCell ref="BB30:BH30"/>
    <mergeCell ref="BX31:BZ31"/>
    <mergeCell ref="CD30:CF30"/>
    <mergeCell ref="CA30:CC30"/>
    <mergeCell ref="CA31:CC31"/>
    <mergeCell ref="CD31:CF31"/>
    <mergeCell ref="BI30:BK30"/>
    <mergeCell ref="BL30:BN30"/>
    <mergeCell ref="BI31:BK31"/>
    <mergeCell ref="BL31:BN31"/>
    <mergeCell ref="BR30:BT30"/>
    <mergeCell ref="BU30:BW30"/>
    <mergeCell ref="BR31:BT31"/>
    <mergeCell ref="BU31:BW31"/>
    <mergeCell ref="BI28:BK28"/>
    <mergeCell ref="BL28:BN28"/>
    <mergeCell ref="BO21:BQ21"/>
    <mergeCell ref="BB22:BH22"/>
    <mergeCell ref="BO22:BQ22"/>
    <mergeCell ref="BB21:BH21"/>
    <mergeCell ref="CG28:CI29"/>
    <mergeCell ref="BI29:BK29"/>
    <mergeCell ref="BL29:BN29"/>
    <mergeCell ref="BR29:BT29"/>
    <mergeCell ref="BU29:BW29"/>
    <mergeCell ref="CA29:CC29"/>
    <mergeCell ref="BO28:BQ29"/>
    <mergeCell ref="BR28:BT28"/>
    <mergeCell ref="BU28:BW28"/>
    <mergeCell ref="BX28:BZ29"/>
    <mergeCell ref="CA28:CC28"/>
    <mergeCell ref="CD28:CF28"/>
    <mergeCell ref="CD29:CF29"/>
    <mergeCell ref="BB27:BH29"/>
    <mergeCell ref="BI27:BQ27"/>
    <mergeCell ref="BR27:BZ27"/>
    <mergeCell ref="BI22:BK22"/>
    <mergeCell ref="BO13:BQ13"/>
    <mergeCell ref="BD14:BG14"/>
    <mergeCell ref="BB13:BC15"/>
    <mergeCell ref="BD13:BG13"/>
    <mergeCell ref="CC11:CH11"/>
    <mergeCell ref="BL18:BN18"/>
    <mergeCell ref="BO18:BQ19"/>
    <mergeCell ref="BB18:BH19"/>
    <mergeCell ref="BI18:BK18"/>
    <mergeCell ref="BO14:BQ14"/>
    <mergeCell ref="BD15:BG15"/>
    <mergeCell ref="BO15:BQ15"/>
    <mergeCell ref="CJ11:CL11"/>
    <mergeCell ref="CM11:CO11"/>
    <mergeCell ref="CP11:CR11"/>
    <mergeCell ref="CM10:CO10"/>
    <mergeCell ref="CP10:CR10"/>
    <mergeCell ref="BB11:BH12"/>
    <mergeCell ref="BI11:BK12"/>
    <mergeCell ref="BL11:BN12"/>
    <mergeCell ref="BO11:BQ12"/>
    <mergeCell ref="B8:G8"/>
    <mergeCell ref="H8:J8"/>
    <mergeCell ref="K8:M8"/>
    <mergeCell ref="N8:P8"/>
    <mergeCell ref="CH9:CI9"/>
    <mergeCell ref="CP9:CR9"/>
    <mergeCell ref="CC10:CI10"/>
    <mergeCell ref="CJ10:CL10"/>
    <mergeCell ref="BO8:BQ8"/>
    <mergeCell ref="CC8:CH8"/>
    <mergeCell ref="CJ8:CL8"/>
    <mergeCell ref="CM8:CO8"/>
    <mergeCell ref="CP8:CR8"/>
    <mergeCell ref="CC9:CG9"/>
    <mergeCell ref="B9:G9"/>
    <mergeCell ref="H9:J9"/>
    <mergeCell ref="K9:M9"/>
    <mergeCell ref="N9:P9"/>
    <mergeCell ref="CJ9:CL9"/>
    <mergeCell ref="CM9:CO9"/>
    <mergeCell ref="BB8:BH8"/>
    <mergeCell ref="BI8:BK8"/>
    <mergeCell ref="BL8:BN8"/>
    <mergeCell ref="BO7:BQ7"/>
    <mergeCell ref="CC7:CH7"/>
    <mergeCell ref="BO5:BQ6"/>
    <mergeCell ref="CC5:CI6"/>
    <mergeCell ref="CJ5:CL5"/>
    <mergeCell ref="CM5:CO5"/>
    <mergeCell ref="BI6:BK6"/>
    <mergeCell ref="BL6:BN6"/>
    <mergeCell ref="CJ6:CL6"/>
    <mergeCell ref="A1:AN2"/>
    <mergeCell ref="AO1:AZ1"/>
    <mergeCell ref="AO2:AZ2"/>
    <mergeCell ref="BB5:BH6"/>
    <mergeCell ref="BI5:BK5"/>
    <mergeCell ref="BL5:BN5"/>
    <mergeCell ref="CJ7:CL7"/>
    <mergeCell ref="CM7:CO7"/>
    <mergeCell ref="CP7:CR7"/>
    <mergeCell ref="CP5:CR6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CM6:CO6"/>
    <mergeCell ref="BB7:BH7"/>
    <mergeCell ref="BI7:BK7"/>
    <mergeCell ref="BL7:BN7"/>
    <mergeCell ref="BI20:BK20"/>
    <mergeCell ref="BI21:BK21"/>
    <mergeCell ref="BL20:BN20"/>
    <mergeCell ref="BL21:BN21"/>
    <mergeCell ref="BL22:BN22"/>
    <mergeCell ref="BI13:BK13"/>
    <mergeCell ref="BI14:BK14"/>
    <mergeCell ref="BI15:BK15"/>
    <mergeCell ref="BL13:BN13"/>
    <mergeCell ref="BL14:BN14"/>
    <mergeCell ref="BL15:BN15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  <colBreaks count="1" manualBreakCount="1">
    <brk id="53" max="4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39"/>
  <sheetViews>
    <sheetView showGridLines="0" view="pageBreakPreview" zoomScaleNormal="100" zoomScaleSheetLayoutView="100" workbookViewId="0">
      <selection sqref="A1:AN2"/>
    </sheetView>
  </sheetViews>
  <sheetFormatPr defaultColWidth="2.6640625" defaultRowHeight="14.1" customHeight="1"/>
  <cols>
    <col min="1" max="44" width="2.6640625" style="1" customWidth="1"/>
    <col min="45" max="52" width="2.6640625" style="1"/>
    <col min="53" max="53" width="2.6640625" style="1" customWidth="1"/>
    <col min="54" max="16384" width="2.6640625" style="1"/>
  </cols>
  <sheetData>
    <row r="1" spans="1:106" ht="12" customHeight="1">
      <c r="A1" s="93" t="str">
        <f>IF(H6="年","9999",H6)&amp;"年　農業経営統計調査　肥育豚生産費統計　個別結果検討表　№３"</f>
        <v>0年　農業経営統計調査　肥育豚生産費統計　個別結果検討表　№３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  <c r="AO1" s="66" t="s">
        <v>0</v>
      </c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</row>
    <row r="2" spans="1:106" ht="12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248" t="str">
        <f>IF('No1'!AO2="","",'No1'!AO2)</f>
        <v/>
      </c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</row>
    <row r="3" spans="1:106" ht="13.5" customHeight="1">
      <c r="P3" s="2"/>
      <c r="Q3" s="2"/>
      <c r="R3" s="2"/>
    </row>
    <row r="4" spans="1:106" ht="13.5" customHeight="1">
      <c r="A4" s="3" t="s">
        <v>87</v>
      </c>
      <c r="P4" s="2"/>
      <c r="Q4" s="2"/>
      <c r="R4" s="2"/>
      <c r="BB4" s="3" t="s">
        <v>90</v>
      </c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</row>
    <row r="5" spans="1:106" ht="13.5" customHeight="1">
      <c r="A5" s="249"/>
      <c r="B5" s="250"/>
      <c r="C5" s="250"/>
      <c r="D5" s="250"/>
      <c r="E5" s="250"/>
      <c r="F5" s="250"/>
      <c r="G5" s="269"/>
      <c r="H5" s="447" t="s">
        <v>38</v>
      </c>
      <c r="I5" s="447"/>
      <c r="J5" s="447"/>
      <c r="K5" s="447"/>
      <c r="L5" s="447"/>
      <c r="M5" s="447"/>
      <c r="N5" s="447"/>
      <c r="O5" s="447"/>
      <c r="P5" s="448"/>
      <c r="Q5" s="446" t="s">
        <v>37</v>
      </c>
      <c r="R5" s="447"/>
      <c r="S5" s="447"/>
      <c r="T5" s="447"/>
      <c r="U5" s="447"/>
      <c r="V5" s="447"/>
      <c r="W5" s="447"/>
      <c r="X5" s="447"/>
      <c r="Y5" s="448"/>
      <c r="Z5" s="400" t="s">
        <v>154</v>
      </c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8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399"/>
      <c r="BB5" s="249"/>
      <c r="BC5" s="250"/>
      <c r="BD5" s="250"/>
      <c r="BE5" s="250"/>
      <c r="BF5" s="250"/>
      <c r="BG5" s="250"/>
      <c r="BH5" s="269"/>
      <c r="BI5" s="447" t="s">
        <v>78</v>
      </c>
      <c r="BJ5" s="447"/>
      <c r="BK5" s="447"/>
      <c r="BL5" s="447"/>
      <c r="BM5" s="447"/>
      <c r="BN5" s="447"/>
      <c r="BO5" s="447"/>
      <c r="BP5" s="447"/>
      <c r="BQ5" s="448"/>
      <c r="BR5" s="446" t="s">
        <v>37</v>
      </c>
      <c r="BS5" s="447"/>
      <c r="BT5" s="447"/>
      <c r="BU5" s="447"/>
      <c r="BV5" s="447"/>
      <c r="BW5" s="447"/>
      <c r="BX5" s="447"/>
      <c r="BY5" s="447"/>
      <c r="BZ5" s="448"/>
      <c r="CA5" s="519" t="s">
        <v>155</v>
      </c>
      <c r="CB5" s="520"/>
      <c r="CC5" s="520"/>
      <c r="CD5" s="520"/>
      <c r="CE5" s="520"/>
      <c r="CF5" s="520"/>
      <c r="CG5" s="520"/>
      <c r="CH5" s="520"/>
      <c r="CI5" s="520"/>
      <c r="CJ5" s="520"/>
      <c r="CK5" s="520"/>
      <c r="CL5" s="520"/>
      <c r="CM5" s="520"/>
      <c r="CN5" s="520"/>
      <c r="CO5" s="520"/>
      <c r="CP5" s="520"/>
      <c r="CQ5" s="520"/>
      <c r="CR5" s="520"/>
      <c r="CS5" s="520"/>
      <c r="CT5" s="520"/>
      <c r="CU5" s="520"/>
      <c r="CV5" s="520"/>
      <c r="CW5" s="520"/>
      <c r="CX5" s="520"/>
      <c r="CY5" s="520"/>
      <c r="CZ5" s="520"/>
      <c r="DA5" s="520"/>
      <c r="DB5" s="521"/>
    </row>
    <row r="6" spans="1:106" ht="13.5" customHeight="1">
      <c r="A6" s="251"/>
      <c r="B6" s="252"/>
      <c r="C6" s="252"/>
      <c r="D6" s="252"/>
      <c r="E6" s="252"/>
      <c r="F6" s="252"/>
      <c r="G6" s="270"/>
      <c r="H6" s="407">
        <f>IF('No1'!H5="【個】[000101]","年",'No1'!H5)</f>
        <v>0</v>
      </c>
      <c r="I6" s="402"/>
      <c r="J6" s="402"/>
      <c r="K6" s="403">
        <f>IF(H6="年","年",H6-1)</f>
        <v>-1</v>
      </c>
      <c r="L6" s="403"/>
      <c r="M6" s="403"/>
      <c r="N6" s="404" t="s">
        <v>76</v>
      </c>
      <c r="O6" s="404"/>
      <c r="P6" s="405"/>
      <c r="Q6" s="401">
        <f>H6</f>
        <v>0</v>
      </c>
      <c r="R6" s="402"/>
      <c r="S6" s="402"/>
      <c r="T6" s="403">
        <f>K6</f>
        <v>-1</v>
      </c>
      <c r="U6" s="403"/>
      <c r="V6" s="403"/>
      <c r="W6" s="404" t="s">
        <v>76</v>
      </c>
      <c r="X6" s="404"/>
      <c r="Y6" s="405"/>
      <c r="Z6" s="437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8"/>
      <c r="AY6" s="438"/>
      <c r="AZ6" s="439"/>
      <c r="BB6" s="251"/>
      <c r="BC6" s="252"/>
      <c r="BD6" s="252"/>
      <c r="BE6" s="252"/>
      <c r="BF6" s="252"/>
      <c r="BG6" s="252"/>
      <c r="BH6" s="270"/>
      <c r="BI6" s="407">
        <f>H6</f>
        <v>0</v>
      </c>
      <c r="BJ6" s="402"/>
      <c r="BK6" s="402"/>
      <c r="BL6" s="403">
        <f>K6</f>
        <v>-1</v>
      </c>
      <c r="BM6" s="403"/>
      <c r="BN6" s="403"/>
      <c r="BO6" s="404" t="s">
        <v>76</v>
      </c>
      <c r="BP6" s="404"/>
      <c r="BQ6" s="405"/>
      <c r="BR6" s="401">
        <f>H6</f>
        <v>0</v>
      </c>
      <c r="BS6" s="402"/>
      <c r="BT6" s="402"/>
      <c r="BU6" s="403">
        <f>K6</f>
        <v>-1</v>
      </c>
      <c r="BV6" s="403"/>
      <c r="BW6" s="403"/>
      <c r="BX6" s="404" t="s">
        <v>76</v>
      </c>
      <c r="BY6" s="404"/>
      <c r="BZ6" s="405"/>
      <c r="CA6" s="519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1"/>
    </row>
    <row r="7" spans="1:106" ht="13.5" customHeight="1">
      <c r="A7" s="386" t="s">
        <v>39</v>
      </c>
      <c r="B7" s="387"/>
      <c r="C7" s="387"/>
      <c r="D7" s="387"/>
      <c r="E7" s="387"/>
      <c r="F7" s="387"/>
      <c r="G7" s="388"/>
      <c r="H7" s="100"/>
      <c r="I7" s="95"/>
      <c r="J7" s="96"/>
      <c r="K7" s="169"/>
      <c r="L7" s="95"/>
      <c r="M7" s="96"/>
      <c r="N7" s="279" t="str">
        <f>IF(H7="-", "-", IF(K7="-", "-", IF(ABS(K7)=0, "-", ROUND(100*(H7-K7)/ABS(K7),10))))</f>
        <v>-</v>
      </c>
      <c r="O7" s="280"/>
      <c r="P7" s="281"/>
      <c r="Q7" s="499"/>
      <c r="R7" s="500"/>
      <c r="S7" s="500"/>
      <c r="T7" s="500"/>
      <c r="U7" s="500"/>
      <c r="V7" s="500"/>
      <c r="W7" s="279" t="str">
        <f>IF(Q7="-", "-", IF(T7="-", "-", IF(ABS(T7)=0, "-", ROUND(100*(Q7-T7)/ABS(T7),10))))</f>
        <v>-</v>
      </c>
      <c r="X7" s="280"/>
      <c r="Y7" s="281"/>
      <c r="Z7" s="440"/>
      <c r="AA7" s="441"/>
      <c r="AB7" s="441"/>
      <c r="AC7" s="441"/>
      <c r="AD7" s="441"/>
      <c r="AE7" s="441"/>
      <c r="AF7" s="441"/>
      <c r="AG7" s="441"/>
      <c r="AH7" s="441"/>
      <c r="AI7" s="441"/>
      <c r="AJ7" s="441"/>
      <c r="AK7" s="441"/>
      <c r="AL7" s="441"/>
      <c r="AM7" s="441"/>
      <c r="AN7" s="441"/>
      <c r="AO7" s="441"/>
      <c r="AP7" s="441"/>
      <c r="AQ7" s="441"/>
      <c r="AR7" s="441"/>
      <c r="AS7" s="441"/>
      <c r="AT7" s="441"/>
      <c r="AU7" s="441"/>
      <c r="AV7" s="441"/>
      <c r="AW7" s="441"/>
      <c r="AX7" s="441"/>
      <c r="AY7" s="441"/>
      <c r="AZ7" s="442"/>
      <c r="BB7" s="386" t="s">
        <v>83</v>
      </c>
      <c r="BC7" s="387"/>
      <c r="BD7" s="387"/>
      <c r="BE7" s="387"/>
      <c r="BF7" s="387"/>
      <c r="BG7" s="387"/>
      <c r="BH7" s="388"/>
      <c r="BI7" s="381"/>
      <c r="BJ7" s="500"/>
      <c r="BK7" s="500"/>
      <c r="BL7" s="500"/>
      <c r="BM7" s="500"/>
      <c r="BN7" s="500"/>
      <c r="BO7" s="279" t="str">
        <f>IF(BI7="-", "-", IF(BL7="-", "-", IF(ABS(BL7)=0, "-", ROUND(100*(BI7-BL7)/ABS(BL7),10))))</f>
        <v>-</v>
      </c>
      <c r="BP7" s="280"/>
      <c r="BQ7" s="281"/>
      <c r="BR7" s="501"/>
      <c r="BS7" s="409"/>
      <c r="BT7" s="409"/>
      <c r="BU7" s="409"/>
      <c r="BV7" s="409"/>
      <c r="BW7" s="409"/>
      <c r="BX7" s="279" t="str">
        <f>IF(BR7="-", "-", IF(BU7="-", "-", IF(ABS(BU7)=0, "-", ROUND(100*(BR7-BU7)/ABS(BU7),10))))</f>
        <v>-</v>
      </c>
      <c r="BY7" s="280"/>
      <c r="BZ7" s="281"/>
      <c r="CA7" s="431"/>
      <c r="CB7" s="432"/>
      <c r="CC7" s="432"/>
      <c r="CD7" s="432"/>
      <c r="CE7" s="432"/>
      <c r="CF7" s="432"/>
      <c r="CG7" s="432"/>
      <c r="CH7" s="432"/>
      <c r="CI7" s="432"/>
      <c r="CJ7" s="432"/>
      <c r="CK7" s="432"/>
      <c r="CL7" s="432"/>
      <c r="CM7" s="432"/>
      <c r="CN7" s="432"/>
      <c r="CO7" s="432"/>
      <c r="CP7" s="432"/>
      <c r="CQ7" s="432"/>
      <c r="CR7" s="432"/>
      <c r="CS7" s="432"/>
      <c r="CT7" s="432"/>
      <c r="CU7" s="432"/>
      <c r="CV7" s="432"/>
      <c r="CW7" s="432"/>
      <c r="CX7" s="432"/>
      <c r="CY7" s="432"/>
      <c r="CZ7" s="432"/>
      <c r="DA7" s="432"/>
      <c r="DB7" s="433"/>
    </row>
    <row r="8" spans="1:106" ht="13.5" customHeight="1">
      <c r="A8" s="310" t="s">
        <v>77</v>
      </c>
      <c r="B8" s="311"/>
      <c r="C8" s="311"/>
      <c r="D8" s="311"/>
      <c r="E8" s="311"/>
      <c r="F8" s="311"/>
      <c r="G8" s="337"/>
      <c r="H8" s="171"/>
      <c r="I8" s="149"/>
      <c r="J8" s="172"/>
      <c r="K8" s="148"/>
      <c r="L8" s="149"/>
      <c r="M8" s="172"/>
      <c r="N8" s="297" t="str">
        <f>IF(H8="-", "-", IF(K8="-", "-", IF(ABS(K8)=0, "-", ROUND(100*(H8-K8)/ABS(K8),10))))</f>
        <v>-</v>
      </c>
      <c r="O8" s="298"/>
      <c r="P8" s="299"/>
      <c r="Q8" s="507"/>
      <c r="R8" s="508"/>
      <c r="S8" s="508"/>
      <c r="T8" s="508"/>
      <c r="U8" s="508"/>
      <c r="V8" s="508"/>
      <c r="W8" s="297" t="str">
        <f>IF(Q8="-", "-", IF(T8="-", "-", IF(ABS(T8)=0, "-", ROUND(100*(Q8-T8)/ABS(T8),10))))</f>
        <v>-</v>
      </c>
      <c r="X8" s="298"/>
      <c r="Y8" s="299"/>
      <c r="Z8" s="423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5"/>
      <c r="BB8" s="302" t="s">
        <v>84</v>
      </c>
      <c r="BC8" s="291"/>
      <c r="BD8" s="291"/>
      <c r="BE8" s="291"/>
      <c r="BF8" s="291"/>
      <c r="BG8" s="291"/>
      <c r="BH8" s="292"/>
      <c r="BI8" s="362"/>
      <c r="BJ8" s="523"/>
      <c r="BK8" s="523"/>
      <c r="BL8" s="523"/>
      <c r="BM8" s="523"/>
      <c r="BN8" s="523"/>
      <c r="BO8" s="293" t="str">
        <f t="shared" ref="BO8:BO9" si="0">IF(BI8="-", "-", IF(BL8="-", "-", IF(ABS(BL8)=0, "-", ROUND(100*(BI8-BL8)/ABS(BL8),10))))</f>
        <v>-</v>
      </c>
      <c r="BP8" s="294"/>
      <c r="BQ8" s="295"/>
      <c r="BR8" s="517"/>
      <c r="BS8" s="411"/>
      <c r="BT8" s="411"/>
      <c r="BU8" s="411"/>
      <c r="BV8" s="411"/>
      <c r="BW8" s="411"/>
      <c r="BX8" s="293" t="str">
        <f t="shared" ref="BX8:BX9" si="1">IF(BR8="-", "-", IF(BU8="-", "-", IF(ABS(BU8)=0, "-", ROUND(100*(BR8-BU8)/ABS(BU8),10))))</f>
        <v>-</v>
      </c>
      <c r="BY8" s="294"/>
      <c r="BZ8" s="295"/>
      <c r="CA8" s="420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421"/>
      <c r="CO8" s="421"/>
      <c r="CP8" s="421"/>
      <c r="CQ8" s="421"/>
      <c r="CR8" s="421"/>
      <c r="CS8" s="421"/>
      <c r="CT8" s="421"/>
      <c r="CU8" s="421"/>
      <c r="CV8" s="421"/>
      <c r="CW8" s="421"/>
      <c r="CX8" s="421"/>
      <c r="CY8" s="421"/>
      <c r="CZ8" s="421"/>
      <c r="DA8" s="421"/>
      <c r="DB8" s="422"/>
    </row>
    <row r="9" spans="1:106" ht="13.5" customHeight="1">
      <c r="G9" s="45"/>
      <c r="H9" s="476"/>
      <c r="I9" s="476"/>
      <c r="J9" s="476"/>
      <c r="K9" s="476"/>
      <c r="L9" s="476"/>
      <c r="M9" s="476"/>
      <c r="N9" s="477"/>
      <c r="O9" s="477"/>
      <c r="P9" s="477"/>
      <c r="Q9" s="478"/>
      <c r="R9" s="479"/>
      <c r="S9" s="479"/>
      <c r="T9" s="478"/>
      <c r="U9" s="479"/>
      <c r="V9" s="479"/>
      <c r="W9" s="481"/>
      <c r="X9" s="481"/>
      <c r="Y9" s="481"/>
      <c r="BB9" s="310" t="s">
        <v>85</v>
      </c>
      <c r="BC9" s="311"/>
      <c r="BD9" s="311"/>
      <c r="BE9" s="311"/>
      <c r="BF9" s="311"/>
      <c r="BG9" s="311"/>
      <c r="BH9" s="337"/>
      <c r="BI9" s="371"/>
      <c r="BJ9" s="508"/>
      <c r="BK9" s="508"/>
      <c r="BL9" s="508"/>
      <c r="BM9" s="508"/>
      <c r="BN9" s="508"/>
      <c r="BO9" s="297" t="str">
        <f t="shared" si="0"/>
        <v>-</v>
      </c>
      <c r="BP9" s="298"/>
      <c r="BQ9" s="299"/>
      <c r="BR9" s="518"/>
      <c r="BS9" s="413"/>
      <c r="BT9" s="413"/>
      <c r="BU9" s="413"/>
      <c r="BV9" s="413"/>
      <c r="BW9" s="413"/>
      <c r="BX9" s="297" t="str">
        <f t="shared" si="1"/>
        <v>-</v>
      </c>
      <c r="BY9" s="298"/>
      <c r="BZ9" s="299"/>
      <c r="CA9" s="423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5"/>
    </row>
    <row r="10" spans="1:106" ht="13.5" customHeight="1">
      <c r="A10" s="3" t="s">
        <v>91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106" ht="13.5" customHeight="1">
      <c r="A11" s="249"/>
      <c r="B11" s="250"/>
      <c r="C11" s="250"/>
      <c r="D11" s="250"/>
      <c r="E11" s="250"/>
      <c r="F11" s="250"/>
      <c r="G11" s="269"/>
      <c r="H11" s="447" t="s">
        <v>78</v>
      </c>
      <c r="I11" s="447"/>
      <c r="J11" s="447"/>
      <c r="K11" s="447"/>
      <c r="L11" s="447"/>
      <c r="M11" s="447"/>
      <c r="N11" s="447"/>
      <c r="O11" s="447"/>
      <c r="P11" s="448"/>
      <c r="Q11" s="446" t="s">
        <v>37</v>
      </c>
      <c r="R11" s="447"/>
      <c r="S11" s="447"/>
      <c r="T11" s="447"/>
      <c r="U11" s="447"/>
      <c r="V11" s="447"/>
      <c r="W11" s="447"/>
      <c r="X11" s="447"/>
      <c r="Y11" s="447"/>
      <c r="Z11" s="446" t="s">
        <v>92</v>
      </c>
      <c r="AA11" s="447"/>
      <c r="AB11" s="447"/>
      <c r="AC11" s="447"/>
      <c r="AD11" s="447"/>
      <c r="AE11" s="447"/>
      <c r="AF11" s="447"/>
      <c r="AG11" s="447"/>
      <c r="AH11" s="448"/>
      <c r="AI11" s="519" t="s">
        <v>155</v>
      </c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1"/>
    </row>
    <row r="12" spans="1:106" ht="13.5" customHeight="1">
      <c r="A12" s="251"/>
      <c r="B12" s="252"/>
      <c r="C12" s="252"/>
      <c r="D12" s="252"/>
      <c r="E12" s="252"/>
      <c r="F12" s="252"/>
      <c r="G12" s="270"/>
      <c r="H12" s="407">
        <f>H6</f>
        <v>0</v>
      </c>
      <c r="I12" s="402"/>
      <c r="J12" s="402"/>
      <c r="K12" s="403">
        <f>K6</f>
        <v>-1</v>
      </c>
      <c r="L12" s="403"/>
      <c r="M12" s="403"/>
      <c r="N12" s="404" t="s">
        <v>76</v>
      </c>
      <c r="O12" s="404"/>
      <c r="P12" s="405"/>
      <c r="Q12" s="401">
        <f>H6</f>
        <v>0</v>
      </c>
      <c r="R12" s="402"/>
      <c r="S12" s="402"/>
      <c r="T12" s="403">
        <f>K6</f>
        <v>-1</v>
      </c>
      <c r="U12" s="403"/>
      <c r="V12" s="403"/>
      <c r="W12" s="404" t="s">
        <v>76</v>
      </c>
      <c r="X12" s="404"/>
      <c r="Y12" s="524"/>
      <c r="Z12" s="401">
        <f>H6</f>
        <v>0</v>
      </c>
      <c r="AA12" s="402"/>
      <c r="AB12" s="402"/>
      <c r="AC12" s="403">
        <f>K6</f>
        <v>-1</v>
      </c>
      <c r="AD12" s="403"/>
      <c r="AE12" s="403"/>
      <c r="AF12" s="404" t="s">
        <v>76</v>
      </c>
      <c r="AG12" s="404"/>
      <c r="AH12" s="405"/>
      <c r="AI12" s="519"/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1"/>
    </row>
    <row r="13" spans="1:106" ht="13.5" customHeight="1">
      <c r="A13" s="328" t="s">
        <v>86</v>
      </c>
      <c r="B13" s="502"/>
      <c r="C13" s="502"/>
      <c r="D13" s="502"/>
      <c r="E13" s="502"/>
      <c r="F13" s="502"/>
      <c r="G13" s="503"/>
      <c r="H13" s="509"/>
      <c r="I13" s="510"/>
      <c r="J13" s="510"/>
      <c r="K13" s="510"/>
      <c r="L13" s="510"/>
      <c r="M13" s="510"/>
      <c r="N13" s="504" t="str">
        <f>IF(H13="-", "-", IF(K13="-", "-", IF(ABS(K13)=0, "-", ROUND(100*(H13-K13)/ABS(K13),10))))</f>
        <v>-</v>
      </c>
      <c r="O13" s="505"/>
      <c r="P13" s="506"/>
      <c r="Q13" s="482"/>
      <c r="R13" s="483"/>
      <c r="S13" s="483"/>
      <c r="T13" s="483"/>
      <c r="U13" s="483"/>
      <c r="V13" s="483"/>
      <c r="W13" s="504" t="str">
        <f>IF(Q13="-", "-", IF(T13="-", "-", IF(ABS(T13)=0, "-", ROUND(100*(Q13-T13)/ABS(T13),10))))</f>
        <v>-</v>
      </c>
      <c r="X13" s="505"/>
      <c r="Y13" s="505"/>
      <c r="Z13" s="522"/>
      <c r="AA13" s="513"/>
      <c r="AB13" s="514"/>
      <c r="AC13" s="513"/>
      <c r="AD13" s="513"/>
      <c r="AE13" s="514"/>
      <c r="AF13" s="504" t="str">
        <f>IF(Z13="-", "-", IF(AC13="-", "-", IF(ABS(AC13)=0, "-", ROUND(100*(Z13-AC13)/ABS(AC13),10))))</f>
        <v>-</v>
      </c>
      <c r="AG13" s="505"/>
      <c r="AH13" s="506"/>
      <c r="AI13" s="426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8"/>
    </row>
    <row r="14" spans="1:106" ht="13.5" customHeight="1"/>
    <row r="15" spans="1:106" ht="13.5" customHeight="1"/>
    <row r="16" spans="1:106" ht="13.5" customHeight="1">
      <c r="A16" s="3" t="s">
        <v>68</v>
      </c>
      <c r="X16" s="2"/>
      <c r="Y16" s="2"/>
      <c r="BB16" s="3" t="s">
        <v>93</v>
      </c>
    </row>
    <row r="17" spans="1:106" ht="13.5" customHeight="1">
      <c r="A17" s="249"/>
      <c r="B17" s="250"/>
      <c r="C17" s="250"/>
      <c r="D17" s="250"/>
      <c r="E17" s="250"/>
      <c r="F17" s="250"/>
      <c r="G17" s="269"/>
      <c r="H17" s="474" t="s">
        <v>80</v>
      </c>
      <c r="I17" s="474"/>
      <c r="J17" s="474"/>
      <c r="K17" s="474"/>
      <c r="L17" s="474"/>
      <c r="M17" s="474"/>
      <c r="N17" s="474"/>
      <c r="O17" s="474"/>
      <c r="P17" s="475"/>
      <c r="Q17" s="480" t="s">
        <v>82</v>
      </c>
      <c r="R17" s="474"/>
      <c r="S17" s="474"/>
      <c r="T17" s="474"/>
      <c r="U17" s="474"/>
      <c r="V17" s="474"/>
      <c r="W17" s="474"/>
      <c r="X17" s="474"/>
      <c r="Y17" s="475"/>
      <c r="Z17" s="82" t="s">
        <v>154</v>
      </c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4"/>
      <c r="BB17" s="493"/>
      <c r="BC17" s="494"/>
      <c r="BD17" s="494"/>
      <c r="BE17" s="494"/>
      <c r="BF17" s="494"/>
      <c r="BG17" s="494"/>
      <c r="BH17" s="495"/>
      <c r="BI17" s="496">
        <f>H6</f>
        <v>0</v>
      </c>
      <c r="BJ17" s="497"/>
      <c r="BK17" s="497"/>
      <c r="BL17" s="498">
        <f>K6</f>
        <v>-1</v>
      </c>
      <c r="BM17" s="498"/>
      <c r="BN17" s="498"/>
      <c r="BO17" s="515" t="s">
        <v>95</v>
      </c>
      <c r="BP17" s="515"/>
      <c r="BQ17" s="516"/>
      <c r="BR17" s="519" t="s">
        <v>155</v>
      </c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1"/>
    </row>
    <row r="18" spans="1:106" ht="13.5" customHeight="1">
      <c r="A18" s="342"/>
      <c r="B18" s="343"/>
      <c r="C18" s="343"/>
      <c r="D18" s="343"/>
      <c r="E18" s="343"/>
      <c r="F18" s="343"/>
      <c r="G18" s="344"/>
      <c r="H18" s="254">
        <f>H6</f>
        <v>0</v>
      </c>
      <c r="I18" s="254"/>
      <c r="J18" s="255"/>
      <c r="K18" s="256">
        <f>K6</f>
        <v>-1</v>
      </c>
      <c r="L18" s="257"/>
      <c r="M18" s="258"/>
      <c r="N18" s="263" t="s">
        <v>2</v>
      </c>
      <c r="O18" s="264"/>
      <c r="P18" s="264"/>
      <c r="Q18" s="253">
        <f>H6</f>
        <v>0</v>
      </c>
      <c r="R18" s="254"/>
      <c r="S18" s="255"/>
      <c r="T18" s="256">
        <f>K6</f>
        <v>-1</v>
      </c>
      <c r="U18" s="257"/>
      <c r="V18" s="258"/>
      <c r="W18" s="263" t="s">
        <v>2</v>
      </c>
      <c r="X18" s="264"/>
      <c r="Y18" s="265"/>
      <c r="Z18" s="85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B18" s="386" t="s">
        <v>96</v>
      </c>
      <c r="BC18" s="387"/>
      <c r="BD18" s="387"/>
      <c r="BE18" s="387"/>
      <c r="BF18" s="387"/>
      <c r="BG18" s="387"/>
      <c r="BH18" s="388"/>
      <c r="BI18" s="531"/>
      <c r="BJ18" s="260"/>
      <c r="BK18" s="260"/>
      <c r="BL18" s="260"/>
      <c r="BM18" s="260"/>
      <c r="BN18" s="260"/>
      <c r="BO18" s="279" t="str">
        <f t="shared" ref="BO18:BO19" si="2">IF(BI18="-", "-", IF(BL18="-", "-", IF(ABS(BL18)=0, "-", ROUND(100*(BI18-BL18)/ABS(BL18),10))))</f>
        <v>-</v>
      </c>
      <c r="BP18" s="280"/>
      <c r="BQ18" s="281"/>
      <c r="BR18" s="431"/>
      <c r="BS18" s="432"/>
      <c r="BT18" s="432"/>
      <c r="BU18" s="432"/>
      <c r="BV18" s="432"/>
      <c r="BW18" s="432"/>
      <c r="BX18" s="432"/>
      <c r="BY18" s="432"/>
      <c r="BZ18" s="432"/>
      <c r="CA18" s="432"/>
      <c r="CB18" s="432"/>
      <c r="CC18" s="432"/>
      <c r="CD18" s="432"/>
      <c r="CE18" s="432"/>
      <c r="CF18" s="432"/>
      <c r="CG18" s="432"/>
      <c r="CH18" s="432"/>
      <c r="CI18" s="432"/>
      <c r="CJ18" s="432"/>
      <c r="CK18" s="432"/>
      <c r="CL18" s="432"/>
      <c r="CM18" s="432"/>
      <c r="CN18" s="432"/>
      <c r="CO18" s="432"/>
      <c r="CP18" s="432"/>
      <c r="CQ18" s="432"/>
      <c r="CR18" s="432"/>
      <c r="CS18" s="432"/>
      <c r="CT18" s="432"/>
      <c r="CU18" s="432"/>
      <c r="CV18" s="432"/>
      <c r="CW18" s="432"/>
      <c r="CX18" s="432"/>
      <c r="CY18" s="432"/>
      <c r="CZ18" s="432"/>
      <c r="DA18" s="432"/>
      <c r="DB18" s="433"/>
    </row>
    <row r="19" spans="1:106" ht="13.5" customHeight="1">
      <c r="A19" s="251"/>
      <c r="B19" s="252"/>
      <c r="C19" s="252"/>
      <c r="D19" s="252"/>
      <c r="E19" s="252"/>
      <c r="F19" s="252"/>
      <c r="G19" s="270"/>
      <c r="H19" s="272" t="s">
        <v>16</v>
      </c>
      <c r="I19" s="272"/>
      <c r="J19" s="273"/>
      <c r="K19" s="274" t="s">
        <v>16</v>
      </c>
      <c r="L19" s="272"/>
      <c r="M19" s="273"/>
      <c r="N19" s="266"/>
      <c r="O19" s="267"/>
      <c r="P19" s="267"/>
      <c r="Q19" s="271" t="s">
        <v>81</v>
      </c>
      <c r="R19" s="272"/>
      <c r="S19" s="273"/>
      <c r="T19" s="274" t="s">
        <v>81</v>
      </c>
      <c r="U19" s="272"/>
      <c r="V19" s="273"/>
      <c r="W19" s="266"/>
      <c r="X19" s="267"/>
      <c r="Y19" s="268"/>
      <c r="Z19" s="85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B19" s="310" t="s">
        <v>51</v>
      </c>
      <c r="BC19" s="311"/>
      <c r="BD19" s="311"/>
      <c r="BE19" s="311"/>
      <c r="BF19" s="311"/>
      <c r="BG19" s="311"/>
      <c r="BH19" s="337"/>
      <c r="BI19" s="511"/>
      <c r="BJ19" s="512"/>
      <c r="BK19" s="512"/>
      <c r="BL19" s="512"/>
      <c r="BM19" s="512"/>
      <c r="BN19" s="512"/>
      <c r="BO19" s="297" t="str">
        <f t="shared" si="2"/>
        <v>-</v>
      </c>
      <c r="BP19" s="298"/>
      <c r="BQ19" s="299"/>
      <c r="BR19" s="423"/>
      <c r="BS19" s="424"/>
      <c r="BT19" s="424"/>
      <c r="BU19" s="424"/>
      <c r="BV19" s="424"/>
      <c r="BW19" s="424"/>
      <c r="BX19" s="424"/>
      <c r="BY19" s="424"/>
      <c r="BZ19" s="424"/>
      <c r="CA19" s="424"/>
      <c r="CB19" s="424"/>
      <c r="CC19" s="424"/>
      <c r="CD19" s="424"/>
      <c r="CE19" s="424"/>
      <c r="CF19" s="424"/>
      <c r="CG19" s="424"/>
      <c r="CH19" s="424"/>
      <c r="CI19" s="424"/>
      <c r="CJ19" s="424"/>
      <c r="CK19" s="424"/>
      <c r="CL19" s="424"/>
      <c r="CM19" s="424"/>
      <c r="CN19" s="424"/>
      <c r="CO19" s="424"/>
      <c r="CP19" s="424"/>
      <c r="CQ19" s="424"/>
      <c r="CR19" s="424"/>
      <c r="CS19" s="424"/>
      <c r="CT19" s="424"/>
      <c r="CU19" s="424"/>
      <c r="CV19" s="424"/>
      <c r="CW19" s="424"/>
      <c r="CX19" s="424"/>
      <c r="CY19" s="424"/>
      <c r="CZ19" s="424"/>
      <c r="DA19" s="424"/>
      <c r="DB19" s="425"/>
    </row>
    <row r="20" spans="1:106" ht="13.5" customHeight="1">
      <c r="A20" s="275" t="s">
        <v>79</v>
      </c>
      <c r="B20" s="276"/>
      <c r="C20" s="276"/>
      <c r="D20" s="276"/>
      <c r="E20" s="276"/>
      <c r="F20" s="276"/>
      <c r="G20" s="277"/>
      <c r="H20" s="470"/>
      <c r="I20" s="470"/>
      <c r="J20" s="471"/>
      <c r="K20" s="469"/>
      <c r="L20" s="470"/>
      <c r="M20" s="471"/>
      <c r="N20" s="279" t="str">
        <f t="shared" ref="N20:N27" si="3">IF(H20="-", "-", IF(K20="-", "-", IF(ABS(K20)=0, "-", ROUND(100*(H20-K20)/ABS(K20),10))))</f>
        <v>-</v>
      </c>
      <c r="O20" s="280"/>
      <c r="P20" s="281"/>
      <c r="Q20" s="534"/>
      <c r="R20" s="473"/>
      <c r="S20" s="473"/>
      <c r="T20" s="472"/>
      <c r="U20" s="473"/>
      <c r="V20" s="473"/>
      <c r="W20" s="532"/>
      <c r="X20" s="532"/>
      <c r="Y20" s="533"/>
      <c r="Z20" s="431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432"/>
      <c r="AN20" s="432"/>
      <c r="AO20" s="432"/>
      <c r="AP20" s="432"/>
      <c r="AQ20" s="432"/>
      <c r="AR20" s="432"/>
      <c r="AS20" s="432"/>
      <c r="AT20" s="432"/>
      <c r="AU20" s="432"/>
      <c r="AV20" s="432"/>
      <c r="AW20" s="432"/>
      <c r="AX20" s="432"/>
      <c r="AY20" s="432"/>
      <c r="AZ20" s="433"/>
    </row>
    <row r="21" spans="1:106" ht="13.5" customHeight="1">
      <c r="A21" s="44"/>
      <c r="B21" s="290" t="s">
        <v>66</v>
      </c>
      <c r="C21" s="291"/>
      <c r="D21" s="291"/>
      <c r="E21" s="291"/>
      <c r="F21" s="291"/>
      <c r="G21" s="292"/>
      <c r="H21" s="457"/>
      <c r="I21" s="457"/>
      <c r="J21" s="458"/>
      <c r="K21" s="459"/>
      <c r="L21" s="457"/>
      <c r="M21" s="458"/>
      <c r="N21" s="293" t="str">
        <f t="shared" si="3"/>
        <v>-</v>
      </c>
      <c r="O21" s="294"/>
      <c r="P21" s="295"/>
      <c r="Q21" s="527"/>
      <c r="R21" s="528"/>
      <c r="S21" s="528"/>
      <c r="T21" s="529"/>
      <c r="U21" s="528"/>
      <c r="V21" s="528"/>
      <c r="W21" s="293" t="str">
        <f>IF(Q21="-", "-", IF(T21="-", "-", IF(ABS(T21)=0, "-", ROUND(100*(Q21-T21)/ABS(T21),10))))</f>
        <v>-</v>
      </c>
      <c r="X21" s="294"/>
      <c r="Y21" s="295"/>
      <c r="Z21" s="420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2"/>
      <c r="BB21" s="3" t="s">
        <v>149</v>
      </c>
    </row>
    <row r="22" spans="1:106" ht="13.5" customHeight="1">
      <c r="A22" s="305" t="s">
        <v>53</v>
      </c>
      <c r="B22" s="291"/>
      <c r="C22" s="291"/>
      <c r="D22" s="291"/>
      <c r="E22" s="291"/>
      <c r="F22" s="291"/>
      <c r="G22" s="292"/>
      <c r="H22" s="457"/>
      <c r="I22" s="457"/>
      <c r="J22" s="458"/>
      <c r="K22" s="459"/>
      <c r="L22" s="457"/>
      <c r="M22" s="458"/>
      <c r="N22" s="293" t="str">
        <f t="shared" si="3"/>
        <v>-</v>
      </c>
      <c r="O22" s="294"/>
      <c r="P22" s="295"/>
      <c r="Q22" s="467"/>
      <c r="R22" s="468"/>
      <c r="S22" s="468"/>
      <c r="T22" s="530"/>
      <c r="U22" s="468"/>
      <c r="V22" s="468"/>
      <c r="W22" s="525"/>
      <c r="X22" s="525"/>
      <c r="Y22" s="526"/>
      <c r="Z22" s="420"/>
      <c r="AA22" s="421"/>
      <c r="AB22" s="421"/>
      <c r="AC22" s="421"/>
      <c r="AD22" s="421"/>
      <c r="AE22" s="421"/>
      <c r="AF22" s="421"/>
      <c r="AG22" s="421"/>
      <c r="AH22" s="421"/>
      <c r="AI22" s="421"/>
      <c r="AJ22" s="421"/>
      <c r="AK22" s="421"/>
      <c r="AL22" s="421"/>
      <c r="AM22" s="421"/>
      <c r="AN22" s="421"/>
      <c r="AO22" s="421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22"/>
      <c r="BB22" s="249"/>
      <c r="BC22" s="250"/>
      <c r="BD22" s="250"/>
      <c r="BE22" s="250"/>
      <c r="BF22" s="250"/>
      <c r="BG22" s="250"/>
      <c r="BH22" s="269"/>
      <c r="BI22" s="253">
        <f>H6</f>
        <v>0</v>
      </c>
      <c r="BJ22" s="254"/>
      <c r="BK22" s="255"/>
      <c r="BL22" s="256">
        <f>K6</f>
        <v>-1</v>
      </c>
      <c r="BM22" s="257"/>
      <c r="BN22" s="258"/>
      <c r="BO22" s="263" t="s">
        <v>148</v>
      </c>
      <c r="BP22" s="264"/>
      <c r="BQ22" s="265"/>
      <c r="BR22" s="519" t="s">
        <v>155</v>
      </c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1"/>
    </row>
    <row r="23" spans="1:106" ht="13.5" customHeight="1">
      <c r="A23" s="302" t="s">
        <v>40</v>
      </c>
      <c r="B23" s="291"/>
      <c r="C23" s="291"/>
      <c r="D23" s="291"/>
      <c r="E23" s="291"/>
      <c r="F23" s="291"/>
      <c r="G23" s="292"/>
      <c r="H23" s="457"/>
      <c r="I23" s="457"/>
      <c r="J23" s="458"/>
      <c r="K23" s="459"/>
      <c r="L23" s="457"/>
      <c r="M23" s="458"/>
      <c r="N23" s="293" t="str">
        <f t="shared" si="3"/>
        <v>-</v>
      </c>
      <c r="O23" s="294"/>
      <c r="P23" s="295"/>
      <c r="Q23" s="456"/>
      <c r="R23" s="451"/>
      <c r="S23" s="452"/>
      <c r="T23" s="450"/>
      <c r="U23" s="451"/>
      <c r="V23" s="452"/>
      <c r="W23" s="293" t="str">
        <f t="shared" ref="W23:W27" si="4">IF(Q23="-", "-", IF(T23="-", "-", IF(ABS(T23)=0, "-", ROUND(100*(Q23-T23)/ABS(T23),10))))</f>
        <v>-</v>
      </c>
      <c r="X23" s="294"/>
      <c r="Y23" s="295"/>
      <c r="Z23" s="420"/>
      <c r="AA23" s="421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2"/>
      <c r="BB23" s="373" t="s">
        <v>19</v>
      </c>
      <c r="BC23" s="374"/>
      <c r="BD23" s="374"/>
      <c r="BE23" s="374"/>
      <c r="BF23" s="374"/>
      <c r="BG23" s="374"/>
      <c r="BH23" s="37" t="s">
        <v>57</v>
      </c>
      <c r="BI23" s="390"/>
      <c r="BJ23" s="391"/>
      <c r="BK23" s="391"/>
      <c r="BL23" s="393"/>
      <c r="BM23" s="391"/>
      <c r="BN23" s="392"/>
      <c r="BO23" s="375" t="str">
        <f>IF(BI23="-", "-", IF(BL23="-", "-", IF(ABS(BL23)=0, "-", ROUND(100*(BI23-BL23)/ABS(BL23),10))))</f>
        <v>-</v>
      </c>
      <c r="BP23" s="376"/>
      <c r="BQ23" s="377"/>
      <c r="BR23" s="423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5"/>
    </row>
    <row r="24" spans="1:106" ht="13.5" customHeight="1">
      <c r="A24" s="302" t="s">
        <v>41</v>
      </c>
      <c r="B24" s="291"/>
      <c r="C24" s="291"/>
      <c r="D24" s="291"/>
      <c r="E24" s="291"/>
      <c r="F24" s="291"/>
      <c r="G24" s="292"/>
      <c r="H24" s="457"/>
      <c r="I24" s="457"/>
      <c r="J24" s="458"/>
      <c r="K24" s="459"/>
      <c r="L24" s="457"/>
      <c r="M24" s="458"/>
      <c r="N24" s="293" t="str">
        <f t="shared" si="3"/>
        <v>-</v>
      </c>
      <c r="O24" s="294"/>
      <c r="P24" s="295"/>
      <c r="Q24" s="456"/>
      <c r="R24" s="451"/>
      <c r="S24" s="452"/>
      <c r="T24" s="450"/>
      <c r="U24" s="451"/>
      <c r="V24" s="452"/>
      <c r="W24" s="293" t="str">
        <f t="shared" si="4"/>
        <v>-</v>
      </c>
      <c r="X24" s="294"/>
      <c r="Y24" s="295"/>
      <c r="Z24" s="420"/>
      <c r="AA24" s="421"/>
      <c r="AB24" s="421"/>
      <c r="AC24" s="421"/>
      <c r="AD24" s="421"/>
      <c r="AE24" s="421"/>
      <c r="AF24" s="421"/>
      <c r="AG24" s="421"/>
      <c r="AH24" s="421"/>
      <c r="AI24" s="421"/>
      <c r="AJ24" s="421"/>
      <c r="AK24" s="421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2"/>
    </row>
    <row r="25" spans="1:106" ht="13.5" customHeight="1">
      <c r="A25" s="302" t="s">
        <v>65</v>
      </c>
      <c r="B25" s="291"/>
      <c r="C25" s="291"/>
      <c r="D25" s="291"/>
      <c r="E25" s="291"/>
      <c r="F25" s="291"/>
      <c r="G25" s="292"/>
      <c r="H25" s="457"/>
      <c r="I25" s="457"/>
      <c r="J25" s="458"/>
      <c r="K25" s="459"/>
      <c r="L25" s="457"/>
      <c r="M25" s="458"/>
      <c r="N25" s="293" t="str">
        <f t="shared" si="3"/>
        <v>-</v>
      </c>
      <c r="O25" s="294"/>
      <c r="P25" s="295"/>
      <c r="Q25" s="456"/>
      <c r="R25" s="451"/>
      <c r="S25" s="452"/>
      <c r="T25" s="450"/>
      <c r="U25" s="451"/>
      <c r="V25" s="452"/>
      <c r="W25" s="293" t="str">
        <f t="shared" si="4"/>
        <v>-</v>
      </c>
      <c r="X25" s="294"/>
      <c r="Y25" s="295"/>
      <c r="Z25" s="420"/>
      <c r="AA25" s="421"/>
      <c r="AB25" s="421"/>
      <c r="AC25" s="421"/>
      <c r="AD25" s="421"/>
      <c r="AE25" s="421"/>
      <c r="AF25" s="421"/>
      <c r="AG25" s="421"/>
      <c r="AH25" s="421"/>
      <c r="AI25" s="421"/>
      <c r="AJ25" s="421"/>
      <c r="AK25" s="421"/>
      <c r="AL25" s="421"/>
      <c r="AM25" s="421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2"/>
    </row>
    <row r="26" spans="1:106" ht="13.5" customHeight="1">
      <c r="A26" s="302" t="s">
        <v>67</v>
      </c>
      <c r="B26" s="291"/>
      <c r="C26" s="291"/>
      <c r="D26" s="291"/>
      <c r="E26" s="291"/>
      <c r="F26" s="291"/>
      <c r="G26" s="292"/>
      <c r="H26" s="457"/>
      <c r="I26" s="457"/>
      <c r="J26" s="458"/>
      <c r="K26" s="459"/>
      <c r="L26" s="457"/>
      <c r="M26" s="458"/>
      <c r="N26" s="293" t="str">
        <f t="shared" si="3"/>
        <v>-</v>
      </c>
      <c r="O26" s="294"/>
      <c r="P26" s="295"/>
      <c r="Q26" s="456"/>
      <c r="R26" s="451"/>
      <c r="S26" s="452"/>
      <c r="T26" s="450"/>
      <c r="U26" s="451"/>
      <c r="V26" s="452"/>
      <c r="W26" s="293" t="str">
        <f t="shared" si="4"/>
        <v>-</v>
      </c>
      <c r="X26" s="294"/>
      <c r="Y26" s="295"/>
      <c r="Z26" s="420"/>
      <c r="AA26" s="421"/>
      <c r="AB26" s="421"/>
      <c r="AC26" s="421"/>
      <c r="AD26" s="421"/>
      <c r="AE26" s="421"/>
      <c r="AF26" s="421"/>
      <c r="AG26" s="421"/>
      <c r="AH26" s="421"/>
      <c r="AI26" s="421"/>
      <c r="AJ26" s="421"/>
      <c r="AK26" s="421"/>
      <c r="AL26" s="421"/>
      <c r="AM26" s="421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22"/>
    </row>
    <row r="27" spans="1:106" ht="13.5" customHeight="1">
      <c r="A27" s="310" t="s">
        <v>46</v>
      </c>
      <c r="B27" s="311"/>
      <c r="C27" s="311"/>
      <c r="D27" s="311"/>
      <c r="E27" s="311"/>
      <c r="F27" s="311"/>
      <c r="G27" s="337"/>
      <c r="H27" s="460"/>
      <c r="I27" s="460"/>
      <c r="J27" s="461"/>
      <c r="K27" s="462"/>
      <c r="L27" s="460"/>
      <c r="M27" s="461"/>
      <c r="N27" s="297" t="str">
        <f t="shared" si="3"/>
        <v>-</v>
      </c>
      <c r="O27" s="298"/>
      <c r="P27" s="299"/>
      <c r="Q27" s="463"/>
      <c r="R27" s="464"/>
      <c r="S27" s="465"/>
      <c r="T27" s="466"/>
      <c r="U27" s="464"/>
      <c r="V27" s="465"/>
      <c r="W27" s="491" t="str">
        <f t="shared" si="4"/>
        <v>-</v>
      </c>
      <c r="X27" s="491"/>
      <c r="Y27" s="492"/>
      <c r="Z27" s="423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5"/>
    </row>
    <row r="28" spans="1:106" ht="13.5" customHeight="1">
      <c r="A28" s="39"/>
      <c r="B28" s="39"/>
      <c r="C28" s="39"/>
      <c r="D28" s="39"/>
      <c r="E28" s="39"/>
      <c r="F28" s="39"/>
      <c r="G28" s="39"/>
      <c r="H28" s="40"/>
      <c r="I28" s="40"/>
      <c r="J28" s="40"/>
      <c r="K28" s="40"/>
      <c r="L28" s="40"/>
      <c r="M28" s="40"/>
      <c r="N28" s="41"/>
      <c r="O28" s="41"/>
      <c r="P28" s="41"/>
      <c r="Q28" s="42"/>
      <c r="R28" s="43"/>
      <c r="S28" s="43"/>
      <c r="T28" s="42"/>
      <c r="U28" s="43"/>
      <c r="V28" s="43"/>
      <c r="W28" s="41"/>
      <c r="X28" s="41"/>
      <c r="Y28" s="41"/>
    </row>
    <row r="29" spans="1:106" ht="13.5" customHeight="1">
      <c r="A29" s="3" t="s">
        <v>153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AB29" s="3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6"/>
      <c r="AQ29" s="6"/>
    </row>
    <row r="30" spans="1:106" ht="13.5" customHeight="1">
      <c r="A30" s="249"/>
      <c r="B30" s="250"/>
      <c r="C30" s="250"/>
      <c r="D30" s="250"/>
      <c r="E30" s="250"/>
      <c r="F30" s="250"/>
      <c r="G30" s="269"/>
      <c r="H30" s="447" t="s">
        <v>42</v>
      </c>
      <c r="I30" s="447"/>
      <c r="J30" s="447"/>
      <c r="K30" s="447"/>
      <c r="L30" s="447"/>
      <c r="M30" s="447"/>
      <c r="N30" s="447"/>
      <c r="O30" s="447"/>
      <c r="P30" s="448"/>
      <c r="Q30" s="446" t="s">
        <v>43</v>
      </c>
      <c r="R30" s="447"/>
      <c r="S30" s="447"/>
      <c r="T30" s="447"/>
      <c r="U30" s="447"/>
      <c r="V30" s="447"/>
      <c r="W30" s="447"/>
      <c r="X30" s="447"/>
      <c r="Y30" s="448"/>
      <c r="Z30" s="400" t="s">
        <v>154</v>
      </c>
      <c r="AA30" s="398"/>
      <c r="AB30" s="398"/>
      <c r="AC30" s="398"/>
      <c r="AD30" s="398"/>
      <c r="AE30" s="398"/>
      <c r="AF30" s="398"/>
      <c r="AG30" s="398"/>
      <c r="AH30" s="398"/>
      <c r="AI30" s="398"/>
      <c r="AJ30" s="398"/>
      <c r="AK30" s="398"/>
      <c r="AL30" s="398"/>
      <c r="AM30" s="398"/>
      <c r="AN30" s="398"/>
      <c r="AO30" s="398"/>
      <c r="AP30" s="398"/>
      <c r="AQ30" s="398"/>
      <c r="AR30" s="398"/>
      <c r="AS30" s="398"/>
      <c r="AT30" s="398"/>
      <c r="AU30" s="398"/>
      <c r="AV30" s="398"/>
      <c r="AW30" s="398"/>
      <c r="AX30" s="398"/>
      <c r="AY30" s="398"/>
      <c r="AZ30" s="399"/>
    </row>
    <row r="31" spans="1:106" ht="13.5" customHeight="1">
      <c r="A31" s="251"/>
      <c r="B31" s="252"/>
      <c r="C31" s="252"/>
      <c r="D31" s="252"/>
      <c r="E31" s="252"/>
      <c r="F31" s="252"/>
      <c r="G31" s="270"/>
      <c r="H31" s="407">
        <f>H6</f>
        <v>0</v>
      </c>
      <c r="I31" s="402"/>
      <c r="J31" s="402"/>
      <c r="K31" s="403">
        <f>K6</f>
        <v>-1</v>
      </c>
      <c r="L31" s="403"/>
      <c r="M31" s="403"/>
      <c r="N31" s="453" t="s">
        <v>2</v>
      </c>
      <c r="O31" s="454"/>
      <c r="P31" s="455"/>
      <c r="Q31" s="401">
        <f>H6</f>
        <v>0</v>
      </c>
      <c r="R31" s="402"/>
      <c r="S31" s="402"/>
      <c r="T31" s="403">
        <f>K6</f>
        <v>-1</v>
      </c>
      <c r="U31" s="403"/>
      <c r="V31" s="403"/>
      <c r="W31" s="453" t="s">
        <v>2</v>
      </c>
      <c r="X31" s="454"/>
      <c r="Y31" s="455"/>
      <c r="Z31" s="437"/>
      <c r="AA31" s="438"/>
      <c r="AB31" s="438"/>
      <c r="AC31" s="438"/>
      <c r="AD31" s="438"/>
      <c r="AE31" s="438"/>
      <c r="AF31" s="438"/>
      <c r="AG31" s="438"/>
      <c r="AH31" s="438"/>
      <c r="AI31" s="438"/>
      <c r="AJ31" s="438"/>
      <c r="AK31" s="438"/>
      <c r="AL31" s="438"/>
      <c r="AM31" s="438"/>
      <c r="AN31" s="438"/>
      <c r="AO31" s="438"/>
      <c r="AP31" s="438"/>
      <c r="AQ31" s="438"/>
      <c r="AR31" s="438"/>
      <c r="AS31" s="438"/>
      <c r="AT31" s="438"/>
      <c r="AU31" s="438"/>
      <c r="AV31" s="438"/>
      <c r="AW31" s="438"/>
      <c r="AX31" s="438"/>
      <c r="AY31" s="438"/>
      <c r="AZ31" s="439"/>
    </row>
    <row r="32" spans="1:106" ht="13.5" customHeight="1">
      <c r="A32" s="485" t="s">
        <v>44</v>
      </c>
      <c r="B32" s="490" t="s">
        <v>45</v>
      </c>
      <c r="C32" s="387"/>
      <c r="D32" s="387"/>
      <c r="E32" s="387"/>
      <c r="F32" s="387"/>
      <c r="G32" s="388"/>
      <c r="H32" s="100"/>
      <c r="I32" s="95"/>
      <c r="J32" s="95"/>
      <c r="K32" s="169"/>
      <c r="L32" s="95"/>
      <c r="M32" s="96"/>
      <c r="N32" s="279" t="str">
        <f t="shared" ref="N32:N39" si="5">IF(H32="-", "-", IF(K32="-", "-", IF(ABS(K32)=0, "-", ROUND(100*(H32-K32)/ABS(K32),10))))</f>
        <v>-</v>
      </c>
      <c r="O32" s="280"/>
      <c r="P32" s="281"/>
      <c r="Q32" s="488"/>
      <c r="R32" s="406"/>
      <c r="S32" s="406"/>
      <c r="T32" s="406"/>
      <c r="U32" s="406"/>
      <c r="V32" s="406"/>
      <c r="W32" s="279" t="str">
        <f t="shared" ref="W32:W39" si="6">IF(Q32="-", "-", IF(T32="-", "-", IF(ABS(T32)=0, "-", ROUND(100*(Q32-T32)/ABS(T32),10))))</f>
        <v>-</v>
      </c>
      <c r="X32" s="280"/>
      <c r="Y32" s="281"/>
      <c r="Z32" s="431"/>
      <c r="AA32" s="432"/>
      <c r="AB32" s="432"/>
      <c r="AC32" s="432"/>
      <c r="AD32" s="432"/>
      <c r="AE32" s="432"/>
      <c r="AF32" s="432"/>
      <c r="AG32" s="432"/>
      <c r="AH32" s="432"/>
      <c r="AI32" s="432"/>
      <c r="AJ32" s="432"/>
      <c r="AK32" s="432"/>
      <c r="AL32" s="432"/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3"/>
    </row>
    <row r="33" spans="1:52" ht="13.5" customHeight="1">
      <c r="A33" s="485"/>
      <c r="B33" s="290" t="s">
        <v>150</v>
      </c>
      <c r="C33" s="291"/>
      <c r="D33" s="291"/>
      <c r="E33" s="291"/>
      <c r="F33" s="291"/>
      <c r="G33" s="292"/>
      <c r="H33" s="109"/>
      <c r="I33" s="104"/>
      <c r="J33" s="104"/>
      <c r="K33" s="113"/>
      <c r="L33" s="104"/>
      <c r="M33" s="105"/>
      <c r="N33" s="293" t="str">
        <f t="shared" si="5"/>
        <v>-</v>
      </c>
      <c r="O33" s="294"/>
      <c r="P33" s="295"/>
      <c r="Q33" s="449"/>
      <c r="R33" s="397"/>
      <c r="S33" s="397"/>
      <c r="T33" s="397"/>
      <c r="U33" s="397"/>
      <c r="V33" s="397"/>
      <c r="W33" s="293" t="str">
        <f t="shared" si="6"/>
        <v>-</v>
      </c>
      <c r="X33" s="294"/>
      <c r="Y33" s="295"/>
      <c r="Z33" s="420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2"/>
    </row>
    <row r="34" spans="1:52" ht="13.5" customHeight="1">
      <c r="A34" s="485"/>
      <c r="B34" s="290" t="s">
        <v>151</v>
      </c>
      <c r="C34" s="291"/>
      <c r="D34" s="291"/>
      <c r="E34" s="291"/>
      <c r="F34" s="291"/>
      <c r="G34" s="292"/>
      <c r="H34" s="109"/>
      <c r="I34" s="104"/>
      <c r="J34" s="104"/>
      <c r="K34" s="113"/>
      <c r="L34" s="104"/>
      <c r="M34" s="105"/>
      <c r="N34" s="293" t="str">
        <f t="shared" si="5"/>
        <v>-</v>
      </c>
      <c r="O34" s="294"/>
      <c r="P34" s="295"/>
      <c r="Q34" s="449"/>
      <c r="R34" s="397"/>
      <c r="S34" s="397"/>
      <c r="T34" s="397"/>
      <c r="U34" s="397"/>
      <c r="V34" s="397"/>
      <c r="W34" s="293" t="str">
        <f t="shared" si="6"/>
        <v>-</v>
      </c>
      <c r="X34" s="294"/>
      <c r="Y34" s="295"/>
      <c r="Z34" s="420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2"/>
    </row>
    <row r="35" spans="1:52" ht="13.5" customHeight="1">
      <c r="A35" s="486"/>
      <c r="B35" s="331" t="s">
        <v>47</v>
      </c>
      <c r="C35" s="311"/>
      <c r="D35" s="311"/>
      <c r="E35" s="311"/>
      <c r="F35" s="311"/>
      <c r="G35" s="337"/>
      <c r="H35" s="171"/>
      <c r="I35" s="149"/>
      <c r="J35" s="149"/>
      <c r="K35" s="148"/>
      <c r="L35" s="149"/>
      <c r="M35" s="172"/>
      <c r="N35" s="297" t="str">
        <f t="shared" si="5"/>
        <v>-</v>
      </c>
      <c r="O35" s="298"/>
      <c r="P35" s="299"/>
      <c r="Q35" s="312"/>
      <c r="R35" s="313"/>
      <c r="S35" s="313"/>
      <c r="T35" s="313"/>
      <c r="U35" s="313"/>
      <c r="V35" s="313"/>
      <c r="W35" s="297" t="str">
        <f t="shared" si="6"/>
        <v>-</v>
      </c>
      <c r="X35" s="298"/>
      <c r="Y35" s="299"/>
      <c r="Z35" s="423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5"/>
    </row>
    <row r="36" spans="1:52" ht="12.9" customHeight="1">
      <c r="A36" s="484" t="s">
        <v>48</v>
      </c>
      <c r="B36" s="330" t="s">
        <v>45</v>
      </c>
      <c r="C36" s="283"/>
      <c r="D36" s="283"/>
      <c r="E36" s="283"/>
      <c r="F36" s="283"/>
      <c r="G36" s="489"/>
      <c r="H36" s="100"/>
      <c r="I36" s="95"/>
      <c r="J36" s="95"/>
      <c r="K36" s="169"/>
      <c r="L36" s="95"/>
      <c r="M36" s="96"/>
      <c r="N36" s="316" t="str">
        <f t="shared" si="5"/>
        <v>-</v>
      </c>
      <c r="O36" s="317"/>
      <c r="P36" s="318"/>
      <c r="Q36" s="487"/>
      <c r="R36" s="117"/>
      <c r="S36" s="117"/>
      <c r="T36" s="117"/>
      <c r="U36" s="117"/>
      <c r="V36" s="117"/>
      <c r="W36" s="316" t="str">
        <f t="shared" si="6"/>
        <v>-</v>
      </c>
      <c r="X36" s="317"/>
      <c r="Y36" s="318"/>
      <c r="Z36" s="431"/>
      <c r="AA36" s="432"/>
      <c r="AB36" s="432"/>
      <c r="AC36" s="432"/>
      <c r="AD36" s="432"/>
      <c r="AE36" s="432"/>
      <c r="AF36" s="432"/>
      <c r="AG36" s="432"/>
      <c r="AH36" s="432"/>
      <c r="AI36" s="432"/>
      <c r="AJ36" s="432"/>
      <c r="AK36" s="432"/>
      <c r="AL36" s="432"/>
      <c r="AM36" s="432"/>
      <c r="AN36" s="432"/>
      <c r="AO36" s="432"/>
      <c r="AP36" s="432"/>
      <c r="AQ36" s="432"/>
      <c r="AR36" s="432"/>
      <c r="AS36" s="432"/>
      <c r="AT36" s="432"/>
      <c r="AU36" s="432"/>
      <c r="AV36" s="432"/>
      <c r="AW36" s="432"/>
      <c r="AX36" s="432"/>
      <c r="AY36" s="432"/>
      <c r="AZ36" s="433"/>
    </row>
    <row r="37" spans="1:52" ht="12.9" customHeight="1">
      <c r="A37" s="485"/>
      <c r="B37" s="290" t="s">
        <v>150</v>
      </c>
      <c r="C37" s="291"/>
      <c r="D37" s="291"/>
      <c r="E37" s="291"/>
      <c r="F37" s="291"/>
      <c r="G37" s="292"/>
      <c r="H37" s="109"/>
      <c r="I37" s="104"/>
      <c r="J37" s="104"/>
      <c r="K37" s="113"/>
      <c r="L37" s="104"/>
      <c r="M37" s="105"/>
      <c r="N37" s="293" t="str">
        <f t="shared" si="5"/>
        <v>-</v>
      </c>
      <c r="O37" s="294"/>
      <c r="P37" s="295"/>
      <c r="Q37" s="449"/>
      <c r="R37" s="397"/>
      <c r="S37" s="397"/>
      <c r="T37" s="397"/>
      <c r="U37" s="397"/>
      <c r="V37" s="397"/>
      <c r="W37" s="293" t="str">
        <f t="shared" si="6"/>
        <v>-</v>
      </c>
      <c r="X37" s="294"/>
      <c r="Y37" s="295"/>
      <c r="Z37" s="420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2"/>
    </row>
    <row r="38" spans="1:52" ht="14.1" customHeight="1">
      <c r="A38" s="485"/>
      <c r="B38" s="290" t="s">
        <v>151</v>
      </c>
      <c r="C38" s="291"/>
      <c r="D38" s="291"/>
      <c r="E38" s="291"/>
      <c r="F38" s="291"/>
      <c r="G38" s="292"/>
      <c r="H38" s="109"/>
      <c r="I38" s="104"/>
      <c r="J38" s="104"/>
      <c r="K38" s="113"/>
      <c r="L38" s="104"/>
      <c r="M38" s="105"/>
      <c r="N38" s="293" t="str">
        <f t="shared" si="5"/>
        <v>-</v>
      </c>
      <c r="O38" s="294"/>
      <c r="P38" s="295"/>
      <c r="Q38" s="449"/>
      <c r="R38" s="397"/>
      <c r="S38" s="397"/>
      <c r="T38" s="397"/>
      <c r="U38" s="397"/>
      <c r="V38" s="397"/>
      <c r="W38" s="293" t="str">
        <f t="shared" si="6"/>
        <v>-</v>
      </c>
      <c r="X38" s="294"/>
      <c r="Y38" s="295"/>
      <c r="Z38" s="420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2"/>
    </row>
    <row r="39" spans="1:52" ht="14.1" customHeight="1">
      <c r="A39" s="486"/>
      <c r="B39" s="331" t="s">
        <v>47</v>
      </c>
      <c r="C39" s="311"/>
      <c r="D39" s="311"/>
      <c r="E39" s="311"/>
      <c r="F39" s="311"/>
      <c r="G39" s="337"/>
      <c r="H39" s="171"/>
      <c r="I39" s="149"/>
      <c r="J39" s="149"/>
      <c r="K39" s="148"/>
      <c r="L39" s="149"/>
      <c r="M39" s="172"/>
      <c r="N39" s="297" t="str">
        <f t="shared" si="5"/>
        <v>-</v>
      </c>
      <c r="O39" s="298"/>
      <c r="P39" s="299"/>
      <c r="Q39" s="312"/>
      <c r="R39" s="313"/>
      <c r="S39" s="313"/>
      <c r="T39" s="313"/>
      <c r="U39" s="313"/>
      <c r="V39" s="313"/>
      <c r="W39" s="297" t="str">
        <f t="shared" si="6"/>
        <v>-</v>
      </c>
      <c r="X39" s="298"/>
      <c r="Y39" s="299"/>
      <c r="Z39" s="423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5"/>
    </row>
  </sheetData>
  <mergeCells count="273">
    <mergeCell ref="CA5:DB6"/>
    <mergeCell ref="CA7:DB7"/>
    <mergeCell ref="CA8:DB8"/>
    <mergeCell ref="CA9:DB9"/>
    <mergeCell ref="BR17:DB17"/>
    <mergeCell ref="BR18:DB18"/>
    <mergeCell ref="BR19:DB19"/>
    <mergeCell ref="BR22:DB22"/>
    <mergeCell ref="BR23:DB23"/>
    <mergeCell ref="BX9:BZ9"/>
    <mergeCell ref="Z33:AZ33"/>
    <mergeCell ref="Z34:AZ34"/>
    <mergeCell ref="Z35:AZ35"/>
    <mergeCell ref="Z36:AZ36"/>
    <mergeCell ref="Z37:AZ37"/>
    <mergeCell ref="Z38:AZ38"/>
    <mergeCell ref="Z39:AZ39"/>
    <mergeCell ref="Z32:AZ32"/>
    <mergeCell ref="Z30:AZ31"/>
    <mergeCell ref="Z20:AZ20"/>
    <mergeCell ref="Z27:AZ27"/>
    <mergeCell ref="Z17:AZ19"/>
    <mergeCell ref="Z21:AZ21"/>
    <mergeCell ref="Z22:AZ22"/>
    <mergeCell ref="Z23:AZ23"/>
    <mergeCell ref="Z24:AZ24"/>
    <mergeCell ref="Z25:AZ25"/>
    <mergeCell ref="Z26:AZ26"/>
    <mergeCell ref="N21:P21"/>
    <mergeCell ref="K18:M18"/>
    <mergeCell ref="W20:Y20"/>
    <mergeCell ref="Q18:S18"/>
    <mergeCell ref="T18:V18"/>
    <mergeCell ref="N20:P20"/>
    <mergeCell ref="Q20:S20"/>
    <mergeCell ref="T19:V19"/>
    <mergeCell ref="N18:P19"/>
    <mergeCell ref="K19:M19"/>
    <mergeCell ref="BL23:BN23"/>
    <mergeCell ref="Z13:AB13"/>
    <mergeCell ref="BI7:BK7"/>
    <mergeCell ref="BL7:BN7"/>
    <mergeCell ref="BI8:BK8"/>
    <mergeCell ref="BL8:BN8"/>
    <mergeCell ref="BI9:BK9"/>
    <mergeCell ref="BB9:BH9"/>
    <mergeCell ref="Q12:S12"/>
    <mergeCell ref="T12:V12"/>
    <mergeCell ref="W12:Y12"/>
    <mergeCell ref="W23:Y23"/>
    <mergeCell ref="W22:Y22"/>
    <mergeCell ref="Q21:S21"/>
    <mergeCell ref="T21:V21"/>
    <mergeCell ref="W21:Y21"/>
    <mergeCell ref="T22:V22"/>
    <mergeCell ref="T23:V23"/>
    <mergeCell ref="Q11:Y11"/>
    <mergeCell ref="BI22:BK22"/>
    <mergeCell ref="BL22:BN22"/>
    <mergeCell ref="W18:Y19"/>
    <mergeCell ref="BI18:BK18"/>
    <mergeCell ref="BL18:BN18"/>
    <mergeCell ref="BI19:BK19"/>
    <mergeCell ref="BL19:BN19"/>
    <mergeCell ref="Z11:AH11"/>
    <mergeCell ref="Z12:AB12"/>
    <mergeCell ref="AC12:AE12"/>
    <mergeCell ref="AF12:AH12"/>
    <mergeCell ref="AF13:AH13"/>
    <mergeCell ref="AC13:AE13"/>
    <mergeCell ref="BX7:BZ7"/>
    <mergeCell ref="BB8:BH8"/>
    <mergeCell ref="BO8:BQ8"/>
    <mergeCell ref="BX8:BZ8"/>
    <mergeCell ref="BO17:BQ17"/>
    <mergeCell ref="BO9:BQ9"/>
    <mergeCell ref="BL9:BN9"/>
    <mergeCell ref="BR8:BT8"/>
    <mergeCell ref="BU8:BW8"/>
    <mergeCell ref="BR9:BT9"/>
    <mergeCell ref="BU9:BW9"/>
    <mergeCell ref="Z7:AZ7"/>
    <mergeCell ref="Z8:AZ8"/>
    <mergeCell ref="AI11:AZ12"/>
    <mergeCell ref="AI13:AZ13"/>
    <mergeCell ref="BB22:BH22"/>
    <mergeCell ref="A1:AN2"/>
    <mergeCell ref="AO1:AZ1"/>
    <mergeCell ref="AO2:AZ2"/>
    <mergeCell ref="A5:G6"/>
    <mergeCell ref="BB5:BH6"/>
    <mergeCell ref="A11:G12"/>
    <mergeCell ref="A7:G7"/>
    <mergeCell ref="N7:P7"/>
    <mergeCell ref="W7:Y7"/>
    <mergeCell ref="A8:G8"/>
    <mergeCell ref="N8:P8"/>
    <mergeCell ref="W8:Y8"/>
    <mergeCell ref="A13:G13"/>
    <mergeCell ref="N13:P13"/>
    <mergeCell ref="W13:Y13"/>
    <mergeCell ref="Q8:S8"/>
    <mergeCell ref="T8:V8"/>
    <mergeCell ref="H13:J13"/>
    <mergeCell ref="K13:M13"/>
    <mergeCell ref="H12:J12"/>
    <mergeCell ref="K12:M12"/>
    <mergeCell ref="N12:P12"/>
    <mergeCell ref="H5:P5"/>
    <mergeCell ref="BI5:BQ5"/>
    <mergeCell ref="BR5:BZ5"/>
    <mergeCell ref="BI6:BK6"/>
    <mergeCell ref="BL6:BN6"/>
    <mergeCell ref="BO6:BQ6"/>
    <mergeCell ref="BR6:BT6"/>
    <mergeCell ref="BU6:BW6"/>
    <mergeCell ref="BX6:BZ6"/>
    <mergeCell ref="Q7:S7"/>
    <mergeCell ref="BB7:BH7"/>
    <mergeCell ref="BO7:BQ7"/>
    <mergeCell ref="T7:V7"/>
    <mergeCell ref="BR7:BT7"/>
    <mergeCell ref="BU7:BW7"/>
    <mergeCell ref="Q5:Y5"/>
    <mergeCell ref="Z5:AZ6"/>
    <mergeCell ref="B39:G39"/>
    <mergeCell ref="N39:P39"/>
    <mergeCell ref="Q39:S39"/>
    <mergeCell ref="T39:V39"/>
    <mergeCell ref="W39:Y39"/>
    <mergeCell ref="N35:P35"/>
    <mergeCell ref="T38:V38"/>
    <mergeCell ref="W38:Y38"/>
    <mergeCell ref="T37:V37"/>
    <mergeCell ref="W37:Y37"/>
    <mergeCell ref="B38:G38"/>
    <mergeCell ref="B37:G37"/>
    <mergeCell ref="W35:Y35"/>
    <mergeCell ref="W36:Y36"/>
    <mergeCell ref="N36:P36"/>
    <mergeCell ref="H35:J35"/>
    <mergeCell ref="H36:J36"/>
    <mergeCell ref="H37:J37"/>
    <mergeCell ref="H38:J38"/>
    <mergeCell ref="H39:J39"/>
    <mergeCell ref="K35:M35"/>
    <mergeCell ref="K36:M36"/>
    <mergeCell ref="A30:G31"/>
    <mergeCell ref="BO23:BQ23"/>
    <mergeCell ref="BB18:BH18"/>
    <mergeCell ref="BO18:BQ18"/>
    <mergeCell ref="BB19:BH19"/>
    <mergeCell ref="W25:Y25"/>
    <mergeCell ref="H31:J31"/>
    <mergeCell ref="BO19:BQ19"/>
    <mergeCell ref="A17:G19"/>
    <mergeCell ref="A27:G27"/>
    <mergeCell ref="N27:P27"/>
    <mergeCell ref="W27:Y27"/>
    <mergeCell ref="W26:Y26"/>
    <mergeCell ref="Q19:S19"/>
    <mergeCell ref="BO22:BQ22"/>
    <mergeCell ref="BB17:BH17"/>
    <mergeCell ref="BB23:BG23"/>
    <mergeCell ref="BI17:BK17"/>
    <mergeCell ref="BL17:BN17"/>
    <mergeCell ref="BI23:BK23"/>
    <mergeCell ref="A26:G26"/>
    <mergeCell ref="N26:P26"/>
    <mergeCell ref="H19:J19"/>
    <mergeCell ref="H18:J18"/>
    <mergeCell ref="A36:A39"/>
    <mergeCell ref="Q38:S38"/>
    <mergeCell ref="Q36:S36"/>
    <mergeCell ref="N37:P37"/>
    <mergeCell ref="Q37:S37"/>
    <mergeCell ref="A32:A35"/>
    <mergeCell ref="Q32:S32"/>
    <mergeCell ref="T32:V32"/>
    <mergeCell ref="Q35:S35"/>
    <mergeCell ref="T35:V35"/>
    <mergeCell ref="B35:G35"/>
    <mergeCell ref="B36:G36"/>
    <mergeCell ref="T36:V36"/>
    <mergeCell ref="N38:P38"/>
    <mergeCell ref="B32:G32"/>
    <mergeCell ref="N32:P32"/>
    <mergeCell ref="B34:G34"/>
    <mergeCell ref="K37:M37"/>
    <mergeCell ref="K38:M38"/>
    <mergeCell ref="K39:M39"/>
    <mergeCell ref="T34:V34"/>
    <mergeCell ref="N34:P34"/>
    <mergeCell ref="Q34:S34"/>
    <mergeCell ref="B33:G33"/>
    <mergeCell ref="H6:J6"/>
    <mergeCell ref="K6:M6"/>
    <mergeCell ref="N6:P6"/>
    <mergeCell ref="Q6:S6"/>
    <mergeCell ref="T6:V6"/>
    <mergeCell ref="W6:Y6"/>
    <mergeCell ref="H17:P17"/>
    <mergeCell ref="K9:M9"/>
    <mergeCell ref="N9:P9"/>
    <mergeCell ref="Q9:S9"/>
    <mergeCell ref="T9:V9"/>
    <mergeCell ref="H9:J9"/>
    <mergeCell ref="H7:J7"/>
    <mergeCell ref="H8:J8"/>
    <mergeCell ref="Q17:Y17"/>
    <mergeCell ref="W9:Y9"/>
    <mergeCell ref="Q13:S13"/>
    <mergeCell ref="T13:V13"/>
    <mergeCell ref="K7:M7"/>
    <mergeCell ref="K8:M8"/>
    <mergeCell ref="H11:P11"/>
    <mergeCell ref="B21:G21"/>
    <mergeCell ref="T33:V33"/>
    <mergeCell ref="A20:G20"/>
    <mergeCell ref="A25:G25"/>
    <mergeCell ref="N25:P25"/>
    <mergeCell ref="A22:G22"/>
    <mergeCell ref="N22:P22"/>
    <mergeCell ref="Q25:S25"/>
    <mergeCell ref="A24:G24"/>
    <mergeCell ref="N24:P24"/>
    <mergeCell ref="Q24:S24"/>
    <mergeCell ref="A23:G23"/>
    <mergeCell ref="N23:P23"/>
    <mergeCell ref="Q23:S23"/>
    <mergeCell ref="Q22:S22"/>
    <mergeCell ref="K20:M20"/>
    <mergeCell ref="H21:J21"/>
    <mergeCell ref="K21:M21"/>
    <mergeCell ref="H22:J22"/>
    <mergeCell ref="K22:M22"/>
    <mergeCell ref="H23:J23"/>
    <mergeCell ref="T20:V20"/>
    <mergeCell ref="K23:M23"/>
    <mergeCell ref="H20:J20"/>
    <mergeCell ref="W24:Y24"/>
    <mergeCell ref="T24:V24"/>
    <mergeCell ref="T25:V25"/>
    <mergeCell ref="T31:V31"/>
    <mergeCell ref="W31:Y31"/>
    <mergeCell ref="H30:P30"/>
    <mergeCell ref="Q26:S26"/>
    <mergeCell ref="T26:V26"/>
    <mergeCell ref="H24:J24"/>
    <mergeCell ref="K24:M24"/>
    <mergeCell ref="H25:J25"/>
    <mergeCell ref="K25:M25"/>
    <mergeCell ref="H26:J26"/>
    <mergeCell ref="K26:M26"/>
    <mergeCell ref="H27:J27"/>
    <mergeCell ref="K27:M27"/>
    <mergeCell ref="Q27:S27"/>
    <mergeCell ref="T27:V27"/>
    <mergeCell ref="N31:P31"/>
    <mergeCell ref="Q31:S31"/>
    <mergeCell ref="W33:Y33"/>
    <mergeCell ref="W34:Y34"/>
    <mergeCell ref="Q30:Y30"/>
    <mergeCell ref="K31:M31"/>
    <mergeCell ref="H32:J32"/>
    <mergeCell ref="H33:J33"/>
    <mergeCell ref="H34:J34"/>
    <mergeCell ref="W32:Y32"/>
    <mergeCell ref="K34:M34"/>
    <mergeCell ref="N33:P33"/>
    <mergeCell ref="Q33:S33"/>
    <mergeCell ref="K32:M32"/>
    <mergeCell ref="K33:M33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  <colBreaks count="1" manualBreakCount="1">
    <brk id="53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daiko_lee</cp:lastModifiedBy>
  <cp:lastPrinted>2019-12-12T12:44:04Z</cp:lastPrinted>
  <dcterms:created xsi:type="dcterms:W3CDTF">2018-08-21T10:12:17Z</dcterms:created>
  <dcterms:modified xsi:type="dcterms:W3CDTF">2022-11-21T09:36:26Z</dcterms:modified>
</cp:coreProperties>
</file>