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filterPrivacy="1" codeName="ThisWorkbook" defaultThemeVersion="124226"/>
  <xr:revisionPtr revIDLastSave="0" documentId="13_ncr:1_{3E610B40-2048-4A01-A5C9-FEC5D2512100}" xr6:coauthVersionLast="47" xr6:coauthVersionMax="47" xr10:uidLastSave="{00000000-0000-0000-0000-000000000000}"/>
  <bookViews>
    <workbookView xWindow="-15075" yWindow="405" windowWidth="15015" windowHeight="10485" tabRatio="845" xr2:uid="{00000000-000D-0000-FFFF-FFFF00000000}"/>
  </bookViews>
  <sheets>
    <sheet name="設定" sheetId="80" r:id="rId1"/>
    <sheet name="月別入力" sheetId="83" r:id="rId2"/>
    <sheet name="10_労働" sheetId="81" r:id="rId3"/>
    <sheet name="11_労働（指定品目）" sheetId="82" r:id="rId4"/>
    <sheet name="リスト " sheetId="84" state="hidden" r:id="rId5"/>
  </sheets>
  <externalReferences>
    <externalReference r:id="rId6"/>
  </externalReferences>
  <definedNames>
    <definedName name="_xlnm._FilterDatabase" localSheetId="1" hidden="1">月別入力!$B$5:$J$678</definedName>
    <definedName name="_xlnm._FilterDatabase" localSheetId="0" hidden="1">設定!$B$10:$W$111</definedName>
    <definedName name="_xlnm.Print_Area" localSheetId="2">'10_労働'!$A$1:$AN$130</definedName>
    <definedName name="_xlnm.Print_Area" localSheetId="3">'11_労働（指定品目）'!$A$1:$AF$49</definedName>
    <definedName name="_xlnm.Print_Titles" localSheetId="1">月別入力!$1:$6</definedName>
    <definedName name="_xlnm.Print_Titles" localSheetId="0">設定!$1:$10</definedName>
    <definedName name="建築物コード" localSheetId="4">#REF!</definedName>
    <definedName name="建物コード" localSheetId="4">#REF!</definedName>
    <definedName name="構造コード" localSheetId="4">#REF!</definedName>
    <definedName name="構築物コード" localSheetId="4">#REF!</definedName>
    <definedName name="残存割合" localSheetId="4">#REF!</definedName>
    <definedName name="指定品目名">設定!$F$3</definedName>
    <definedName name="自動車コード" localSheetId="4">#REF!</definedName>
    <definedName name="償却率" localSheetId="4">[1]種類・構造・型式・牛馬コード!$AH$4:$AI$103</definedName>
    <definedName name="新古_修繕区分" localSheetId="4">#REF!</definedName>
    <definedName name="生産費" localSheetId="4">#REF!</definedName>
    <definedName name="生産費区分" localSheetId="4">#REF!</definedName>
    <definedName name="税制19年" localSheetId="4">#REF!</definedName>
    <definedName name="税制20年" localSheetId="4">#REF!</definedName>
    <definedName name="耐用年数" localSheetId="4">[1]種類・構造・型式・牛馬コード!$Y$1:$AF$322</definedName>
    <definedName name="調査始期" localSheetId="4">#REF!</definedName>
    <definedName name="調査年" localSheetId="4">'[1]表紙 (新)'!$G$66</definedName>
    <definedName name="農機具コード" localSheetId="4">#REF!</definedName>
  </definedNames>
  <calcPr calcId="181029"/>
</workbook>
</file>

<file path=xl/calcChain.xml><?xml version="1.0" encoding="utf-8"?>
<calcChain xmlns="http://schemas.openxmlformats.org/spreadsheetml/2006/main">
  <c r="X123" i="81" l="1"/>
  <c r="S123" i="81"/>
  <c r="N123" i="81"/>
  <c r="I123" i="81"/>
  <c r="X122" i="81"/>
  <c r="S122" i="81"/>
  <c r="N122" i="81"/>
  <c r="I122" i="81"/>
  <c r="C114" i="81"/>
  <c r="AH114" i="81"/>
  <c r="AC114" i="81"/>
  <c r="X114" i="81"/>
  <c r="O114" i="81"/>
  <c r="L114" i="81"/>
  <c r="H114" i="81"/>
  <c r="AH113" i="81"/>
  <c r="AC113" i="81"/>
  <c r="X113" i="81"/>
  <c r="O113" i="81"/>
  <c r="L113" i="81"/>
  <c r="H113" i="81"/>
  <c r="C113" i="81"/>
  <c r="AH112" i="81"/>
  <c r="AC112" i="81"/>
  <c r="X112" i="81"/>
  <c r="O112" i="81"/>
  <c r="L112" i="81"/>
  <c r="H112" i="81"/>
  <c r="C112" i="81"/>
  <c r="AH111" i="81"/>
  <c r="AC111" i="81"/>
  <c r="X111" i="81"/>
  <c r="O111" i="81"/>
  <c r="L111" i="81"/>
  <c r="H111" i="81"/>
  <c r="C111" i="81"/>
  <c r="AH110" i="81"/>
  <c r="AC110" i="81"/>
  <c r="X110" i="81"/>
  <c r="O110" i="81"/>
  <c r="L110" i="81"/>
  <c r="H110" i="81"/>
  <c r="C110" i="81"/>
  <c r="AH109" i="81"/>
  <c r="AC109" i="81"/>
  <c r="X109" i="81"/>
  <c r="O109" i="81"/>
  <c r="L109" i="81"/>
  <c r="H109" i="81"/>
  <c r="C109" i="81"/>
  <c r="AH108" i="81"/>
  <c r="AC108" i="81"/>
  <c r="X108" i="81"/>
  <c r="O108" i="81"/>
  <c r="L108" i="81"/>
  <c r="H108" i="81"/>
  <c r="C108" i="81"/>
  <c r="AH107" i="81"/>
  <c r="AC107" i="81"/>
  <c r="X107" i="81"/>
  <c r="O107" i="81"/>
  <c r="L107" i="81"/>
  <c r="H107" i="81"/>
  <c r="C107" i="81"/>
  <c r="AH106" i="81"/>
  <c r="AC106" i="81"/>
  <c r="X106" i="81"/>
  <c r="O106" i="81"/>
  <c r="L106" i="81"/>
  <c r="H106" i="81"/>
  <c r="C106" i="81"/>
  <c r="AH105" i="81"/>
  <c r="AC105" i="81"/>
  <c r="X105" i="81"/>
  <c r="O105" i="81"/>
  <c r="L105" i="81"/>
  <c r="H105" i="81"/>
  <c r="C105" i="81"/>
  <c r="AH104" i="81"/>
  <c r="AC104" i="81"/>
  <c r="X104" i="81"/>
  <c r="O104" i="81"/>
  <c r="L104" i="81"/>
  <c r="H104" i="81"/>
  <c r="C104" i="81"/>
  <c r="AH103" i="81"/>
  <c r="AC103" i="81"/>
  <c r="X103" i="81"/>
  <c r="O103" i="81"/>
  <c r="L103" i="81"/>
  <c r="H103" i="81"/>
  <c r="C103" i="81"/>
  <c r="AH102" i="81"/>
  <c r="AC102" i="81"/>
  <c r="X102" i="81"/>
  <c r="O102" i="81"/>
  <c r="L102" i="81"/>
  <c r="H102" i="81"/>
  <c r="C102" i="81"/>
  <c r="AH101" i="81"/>
  <c r="AC101" i="81"/>
  <c r="X101" i="81"/>
  <c r="O101" i="81"/>
  <c r="L101" i="81"/>
  <c r="H101" i="81"/>
  <c r="C101" i="81"/>
  <c r="AH100" i="81"/>
  <c r="AC100" i="81"/>
  <c r="X100" i="81"/>
  <c r="O100" i="81"/>
  <c r="L100" i="81"/>
  <c r="H100" i="81"/>
  <c r="C100" i="81"/>
  <c r="AH99" i="81"/>
  <c r="AC99" i="81"/>
  <c r="X99" i="81"/>
  <c r="O99" i="81"/>
  <c r="L99" i="81"/>
  <c r="H99" i="81"/>
  <c r="C99" i="81"/>
  <c r="AH98" i="81"/>
  <c r="AC98" i="81"/>
  <c r="X98" i="81"/>
  <c r="O98" i="81"/>
  <c r="L98" i="81"/>
  <c r="H98" i="81"/>
  <c r="C98" i="81"/>
  <c r="AH97" i="81"/>
  <c r="AC97" i="81"/>
  <c r="X97" i="81"/>
  <c r="O97" i="81"/>
  <c r="L97" i="81"/>
  <c r="H97" i="81"/>
  <c r="C97" i="81"/>
  <c r="AH96" i="81"/>
  <c r="AC96" i="81"/>
  <c r="X96" i="81"/>
  <c r="O96" i="81"/>
  <c r="L96" i="81"/>
  <c r="H96" i="81"/>
  <c r="C96" i="81"/>
  <c r="AH95" i="81"/>
  <c r="AC95" i="81"/>
  <c r="X95" i="81"/>
  <c r="O95" i="81"/>
  <c r="L95" i="81"/>
  <c r="H95" i="81"/>
  <c r="C95" i="81"/>
  <c r="AH94" i="81"/>
  <c r="AC94" i="81"/>
  <c r="X94" i="81"/>
  <c r="O94" i="81"/>
  <c r="L94" i="81"/>
  <c r="H94" i="81"/>
  <c r="C94" i="81"/>
  <c r="AH93" i="81"/>
  <c r="AC93" i="81"/>
  <c r="X93" i="81"/>
  <c r="O93" i="81"/>
  <c r="L93" i="81"/>
  <c r="H93" i="81"/>
  <c r="C93" i="81"/>
  <c r="AH92" i="81"/>
  <c r="AC92" i="81"/>
  <c r="X92" i="81"/>
  <c r="O92" i="81"/>
  <c r="L92" i="81"/>
  <c r="H92" i="81"/>
  <c r="C92" i="81"/>
  <c r="AH91" i="81"/>
  <c r="AC91" i="81"/>
  <c r="X91" i="81"/>
  <c r="O91" i="81"/>
  <c r="L91" i="81"/>
  <c r="H91" i="81"/>
  <c r="C91" i="81"/>
  <c r="AH90" i="81"/>
  <c r="AC90" i="81"/>
  <c r="X90" i="81"/>
  <c r="O90" i="81"/>
  <c r="L90" i="81"/>
  <c r="H90" i="81"/>
  <c r="C90" i="81"/>
  <c r="AH89" i="81"/>
  <c r="AC89" i="81"/>
  <c r="X89" i="81"/>
  <c r="O89" i="81"/>
  <c r="L89" i="81"/>
  <c r="H89" i="81"/>
  <c r="C89" i="81"/>
  <c r="AH88" i="81"/>
  <c r="AC88" i="81"/>
  <c r="X88" i="81"/>
  <c r="O88" i="81"/>
  <c r="L88" i="81"/>
  <c r="H88" i="81"/>
  <c r="C88" i="81"/>
  <c r="AH87" i="81"/>
  <c r="AC87" i="81"/>
  <c r="X87" i="81"/>
  <c r="O87" i="81"/>
  <c r="L87" i="81"/>
  <c r="H87" i="81"/>
  <c r="C87" i="81"/>
  <c r="AH86" i="81"/>
  <c r="AC86" i="81"/>
  <c r="X86" i="81"/>
  <c r="O86" i="81"/>
  <c r="L86" i="81"/>
  <c r="H86" i="81"/>
  <c r="C86" i="81"/>
  <c r="AH85" i="81"/>
  <c r="AC85" i="81"/>
  <c r="X85" i="81"/>
  <c r="O85" i="81"/>
  <c r="L85" i="81"/>
  <c r="H85" i="81"/>
  <c r="C85" i="81"/>
  <c r="AH84" i="81"/>
  <c r="AC84" i="81"/>
  <c r="X84" i="81"/>
  <c r="O84" i="81"/>
  <c r="L84" i="81"/>
  <c r="H84" i="81"/>
  <c r="C84" i="81"/>
  <c r="AH83" i="81"/>
  <c r="AC83" i="81"/>
  <c r="X83" i="81"/>
  <c r="O83" i="81"/>
  <c r="L83" i="81"/>
  <c r="H83" i="81"/>
  <c r="C83" i="81"/>
  <c r="AH82" i="81"/>
  <c r="AC82" i="81"/>
  <c r="X82" i="81"/>
  <c r="O82" i="81"/>
  <c r="L82" i="81"/>
  <c r="H82" i="81"/>
  <c r="C82" i="81"/>
  <c r="AH81" i="81"/>
  <c r="AC81" i="81"/>
  <c r="X81" i="81"/>
  <c r="O81" i="81"/>
  <c r="L81" i="81"/>
  <c r="H81" i="81"/>
  <c r="C81" i="81"/>
  <c r="AH80" i="81"/>
  <c r="AC80" i="81"/>
  <c r="X80" i="81"/>
  <c r="O80" i="81"/>
  <c r="L80" i="81"/>
  <c r="H80" i="81"/>
  <c r="C80" i="81"/>
  <c r="AH79" i="81"/>
  <c r="AC79" i="81"/>
  <c r="X79" i="81"/>
  <c r="O79" i="81"/>
  <c r="L79" i="81"/>
  <c r="H79" i="81"/>
  <c r="C79" i="81"/>
  <c r="AH78" i="81"/>
  <c r="AC78" i="81"/>
  <c r="X78" i="81"/>
  <c r="O78" i="81"/>
  <c r="L78" i="81"/>
  <c r="H78" i="81"/>
  <c r="C78" i="81"/>
  <c r="AH77" i="81"/>
  <c r="AC77" i="81"/>
  <c r="X77" i="81"/>
  <c r="O77" i="81"/>
  <c r="L77" i="81"/>
  <c r="H77" i="81"/>
  <c r="C77" i="81"/>
  <c r="AH76" i="81"/>
  <c r="AC76" i="81"/>
  <c r="X76" i="81"/>
  <c r="O76" i="81"/>
  <c r="L76" i="81"/>
  <c r="H76" i="81"/>
  <c r="C76" i="81"/>
  <c r="AH75" i="81"/>
  <c r="AC75" i="81"/>
  <c r="X75" i="81"/>
  <c r="O75" i="81"/>
  <c r="L75" i="81"/>
  <c r="H75" i="81"/>
  <c r="C75" i="81"/>
  <c r="AH74" i="81"/>
  <c r="AC74" i="81"/>
  <c r="X74" i="81"/>
  <c r="O74" i="81"/>
  <c r="L74" i="81"/>
  <c r="H74" i="81"/>
  <c r="C74" i="81"/>
  <c r="AH73" i="81"/>
  <c r="AC73" i="81"/>
  <c r="X73" i="81"/>
  <c r="O73" i="81"/>
  <c r="L73" i="81"/>
  <c r="H73" i="81"/>
  <c r="C73" i="81"/>
  <c r="AH72" i="81"/>
  <c r="AC72" i="81"/>
  <c r="X72" i="81"/>
  <c r="O72" i="81"/>
  <c r="L72" i="81"/>
  <c r="H72" i="81"/>
  <c r="C72" i="81"/>
  <c r="AH71" i="81"/>
  <c r="AC71" i="81"/>
  <c r="X71" i="81"/>
  <c r="O71" i="81"/>
  <c r="L71" i="81"/>
  <c r="H71" i="81"/>
  <c r="C71" i="81"/>
  <c r="AH70" i="81"/>
  <c r="AC70" i="81"/>
  <c r="X70" i="81"/>
  <c r="O70" i="81"/>
  <c r="L70" i="81"/>
  <c r="H70" i="81"/>
  <c r="C70" i="81"/>
  <c r="AH69" i="81"/>
  <c r="AC69" i="81"/>
  <c r="X69" i="81"/>
  <c r="O69" i="81"/>
  <c r="L69" i="81"/>
  <c r="H69" i="81"/>
  <c r="C69" i="81"/>
  <c r="AH68" i="81"/>
  <c r="AC68" i="81"/>
  <c r="X68" i="81"/>
  <c r="O68" i="81"/>
  <c r="L68" i="81"/>
  <c r="H68" i="81"/>
  <c r="C68" i="81"/>
  <c r="AH67" i="81"/>
  <c r="AC67" i="81"/>
  <c r="X67" i="81"/>
  <c r="O67" i="81"/>
  <c r="L67" i="81"/>
  <c r="H67" i="81"/>
  <c r="C67" i="81"/>
  <c r="AH66" i="81"/>
  <c r="AC66" i="81"/>
  <c r="X66" i="81"/>
  <c r="O66" i="81"/>
  <c r="L66" i="81"/>
  <c r="H66" i="81"/>
  <c r="C66" i="81"/>
  <c r="AH65" i="81"/>
  <c r="AC65" i="81"/>
  <c r="X65" i="81"/>
  <c r="O65" i="81"/>
  <c r="L65" i="81"/>
  <c r="H65" i="81"/>
  <c r="C65" i="81"/>
  <c r="AH64" i="81"/>
  <c r="AC64" i="81"/>
  <c r="X64" i="81"/>
  <c r="O64" i="81"/>
  <c r="L64" i="81"/>
  <c r="H64" i="81"/>
  <c r="C64" i="81"/>
  <c r="AH63" i="81"/>
  <c r="AC63" i="81"/>
  <c r="X63" i="81"/>
  <c r="O63" i="81"/>
  <c r="L63" i="81"/>
  <c r="H63" i="81"/>
  <c r="C63" i="81"/>
  <c r="AH62" i="81"/>
  <c r="AC62" i="81"/>
  <c r="X62" i="81"/>
  <c r="O62" i="81"/>
  <c r="L62" i="81"/>
  <c r="H62" i="81"/>
  <c r="C62" i="81"/>
  <c r="AH61" i="81"/>
  <c r="AC61" i="81"/>
  <c r="X61" i="81"/>
  <c r="O61" i="81"/>
  <c r="L61" i="81"/>
  <c r="H61" i="81"/>
  <c r="C61" i="81"/>
  <c r="AH60" i="81"/>
  <c r="AC60" i="81"/>
  <c r="X60" i="81"/>
  <c r="O60" i="81"/>
  <c r="L60" i="81"/>
  <c r="H60" i="81"/>
  <c r="C60" i="81"/>
  <c r="AH59" i="81"/>
  <c r="AC59" i="81"/>
  <c r="X59" i="81"/>
  <c r="O59" i="81"/>
  <c r="L59" i="81"/>
  <c r="H59" i="81"/>
  <c r="C59" i="81"/>
  <c r="AH58" i="81"/>
  <c r="AC58" i="81"/>
  <c r="X58" i="81"/>
  <c r="O58" i="81"/>
  <c r="L58" i="81"/>
  <c r="H58" i="81"/>
  <c r="C58" i="81"/>
  <c r="AH57" i="81"/>
  <c r="AC57" i="81"/>
  <c r="X57" i="81"/>
  <c r="O57" i="81"/>
  <c r="L57" i="81"/>
  <c r="H57" i="81"/>
  <c r="C57" i="81"/>
  <c r="AH56" i="81"/>
  <c r="AC56" i="81"/>
  <c r="X56" i="81"/>
  <c r="O56" i="81"/>
  <c r="L56" i="81"/>
  <c r="H56" i="81"/>
  <c r="C56" i="81"/>
  <c r="AH55" i="81"/>
  <c r="AC55" i="81"/>
  <c r="X55" i="81"/>
  <c r="O55" i="81"/>
  <c r="L55" i="81"/>
  <c r="H55" i="81"/>
  <c r="C55" i="81"/>
  <c r="AH54" i="81"/>
  <c r="AC54" i="81"/>
  <c r="X54" i="81"/>
  <c r="O54" i="81"/>
  <c r="L54" i="81"/>
  <c r="H54" i="81"/>
  <c r="C54" i="81"/>
  <c r="AH53" i="81"/>
  <c r="AC53" i="81"/>
  <c r="X53" i="81"/>
  <c r="O53" i="81"/>
  <c r="L53" i="81"/>
  <c r="H53" i="81"/>
  <c r="C53" i="81"/>
  <c r="AH52" i="81"/>
  <c r="AC52" i="81"/>
  <c r="X52" i="81"/>
  <c r="O52" i="81"/>
  <c r="L52" i="81"/>
  <c r="H52" i="81"/>
  <c r="C52" i="81"/>
  <c r="AH51" i="81"/>
  <c r="AC51" i="81"/>
  <c r="X51" i="81"/>
  <c r="O51" i="81"/>
  <c r="L51" i="81"/>
  <c r="H51" i="81"/>
  <c r="C51" i="81"/>
  <c r="AH50" i="81"/>
  <c r="AC50" i="81"/>
  <c r="X50" i="81"/>
  <c r="O50" i="81"/>
  <c r="L50" i="81"/>
  <c r="H50" i="81"/>
  <c r="C50" i="81"/>
  <c r="AH49" i="81"/>
  <c r="AC49" i="81"/>
  <c r="X49" i="81"/>
  <c r="O49" i="81"/>
  <c r="L49" i="81"/>
  <c r="H49" i="81"/>
  <c r="C49" i="81"/>
  <c r="AH48" i="81"/>
  <c r="AC48" i="81"/>
  <c r="X48" i="81"/>
  <c r="O48" i="81"/>
  <c r="L48" i="81"/>
  <c r="H48" i="81"/>
  <c r="C48" i="81"/>
  <c r="AH47" i="81"/>
  <c r="AC47" i="81"/>
  <c r="X47" i="81"/>
  <c r="O47" i="81"/>
  <c r="L47" i="81"/>
  <c r="H47" i="81"/>
  <c r="C47" i="81"/>
  <c r="AH46" i="81"/>
  <c r="AC46" i="81"/>
  <c r="X46" i="81"/>
  <c r="O46" i="81"/>
  <c r="L46" i="81"/>
  <c r="H46" i="81"/>
  <c r="C46" i="81"/>
  <c r="AH45" i="81"/>
  <c r="AC45" i="81"/>
  <c r="X45" i="81"/>
  <c r="O45" i="81"/>
  <c r="L45" i="81"/>
  <c r="H45" i="81"/>
  <c r="C45" i="81"/>
  <c r="AH44" i="81"/>
  <c r="AC44" i="81"/>
  <c r="X44" i="81"/>
  <c r="O44" i="81"/>
  <c r="L44" i="81"/>
  <c r="H44" i="81"/>
  <c r="C44" i="81"/>
  <c r="AH43" i="81"/>
  <c r="AC43" i="81"/>
  <c r="X43" i="81"/>
  <c r="O43" i="81"/>
  <c r="L43" i="81"/>
  <c r="H43" i="81"/>
  <c r="C43" i="81"/>
  <c r="AH42" i="81"/>
  <c r="AC42" i="81"/>
  <c r="X42" i="81"/>
  <c r="O42" i="81"/>
  <c r="L42" i="81"/>
  <c r="H42" i="81"/>
  <c r="C42" i="81"/>
  <c r="AH41" i="81"/>
  <c r="AC41" i="81"/>
  <c r="X41" i="81"/>
  <c r="O41" i="81"/>
  <c r="L41" i="81"/>
  <c r="H41" i="81"/>
  <c r="C41" i="81"/>
  <c r="AH40" i="81"/>
  <c r="AC40" i="81"/>
  <c r="X40" i="81"/>
  <c r="O40" i="81"/>
  <c r="L40" i="81"/>
  <c r="H40" i="81"/>
  <c r="C40" i="81"/>
  <c r="AH39" i="81"/>
  <c r="AC39" i="81"/>
  <c r="X39" i="81"/>
  <c r="O39" i="81"/>
  <c r="L39" i="81"/>
  <c r="H39" i="81"/>
  <c r="C39" i="81"/>
  <c r="AH38" i="81"/>
  <c r="AC38" i="81"/>
  <c r="X38" i="81"/>
  <c r="O38" i="81"/>
  <c r="L38" i="81"/>
  <c r="H38" i="81"/>
  <c r="C38" i="81"/>
  <c r="AH37" i="81"/>
  <c r="AC37" i="81"/>
  <c r="X37" i="81"/>
  <c r="O37" i="81"/>
  <c r="L37" i="81"/>
  <c r="H37" i="81"/>
  <c r="C37" i="81"/>
  <c r="AH36" i="81"/>
  <c r="AC36" i="81"/>
  <c r="X36" i="81"/>
  <c r="O36" i="81"/>
  <c r="L36" i="81"/>
  <c r="H36" i="81"/>
  <c r="C36" i="81"/>
  <c r="AH35" i="81"/>
  <c r="AC35" i="81"/>
  <c r="X35" i="81"/>
  <c r="O35" i="81"/>
  <c r="L35" i="81"/>
  <c r="H35" i="81"/>
  <c r="C35" i="81"/>
  <c r="AH34" i="81"/>
  <c r="AC34" i="81"/>
  <c r="X34" i="81"/>
  <c r="O34" i="81"/>
  <c r="L34" i="81"/>
  <c r="H34" i="81"/>
  <c r="C34" i="81"/>
  <c r="AH33" i="81"/>
  <c r="AC33" i="81"/>
  <c r="X33" i="81"/>
  <c r="O33" i="81"/>
  <c r="L33" i="81"/>
  <c r="H33" i="81"/>
  <c r="C33" i="81"/>
  <c r="AH32" i="81"/>
  <c r="AC32" i="81"/>
  <c r="X32" i="81"/>
  <c r="O32" i="81"/>
  <c r="L32" i="81"/>
  <c r="H32" i="81"/>
  <c r="C32" i="81"/>
  <c r="AH31" i="81"/>
  <c r="AC31" i="81"/>
  <c r="X31" i="81"/>
  <c r="O31" i="81"/>
  <c r="L31" i="81"/>
  <c r="H31" i="81"/>
  <c r="C31" i="81"/>
  <c r="AH30" i="81"/>
  <c r="AC30" i="81"/>
  <c r="X30" i="81"/>
  <c r="O30" i="81"/>
  <c r="L30" i="81"/>
  <c r="H30" i="81"/>
  <c r="C30" i="81"/>
  <c r="AH29" i="81"/>
  <c r="AC29" i="81"/>
  <c r="X29" i="81"/>
  <c r="O29" i="81"/>
  <c r="L29" i="81"/>
  <c r="H29" i="81"/>
  <c r="C29" i="81"/>
  <c r="AH28" i="81"/>
  <c r="AC28" i="81"/>
  <c r="X28" i="81"/>
  <c r="O28" i="81"/>
  <c r="L28" i="81"/>
  <c r="H28" i="81"/>
  <c r="C28" i="81"/>
  <c r="AH27" i="81"/>
  <c r="AC27" i="81"/>
  <c r="X27" i="81"/>
  <c r="O27" i="81"/>
  <c r="L27" i="81"/>
  <c r="H27" i="81"/>
  <c r="C27" i="81"/>
  <c r="AH26" i="81"/>
  <c r="AC26" i="81"/>
  <c r="X26" i="81"/>
  <c r="O26" i="81"/>
  <c r="L26" i="81"/>
  <c r="H26" i="81"/>
  <c r="C26" i="81"/>
  <c r="AH25" i="81"/>
  <c r="AC25" i="81"/>
  <c r="X25" i="81"/>
  <c r="O25" i="81"/>
  <c r="L25" i="81"/>
  <c r="H25" i="81"/>
  <c r="C25" i="81"/>
  <c r="AH24" i="81"/>
  <c r="AC24" i="81"/>
  <c r="X24" i="81"/>
  <c r="O24" i="81"/>
  <c r="L24" i="81"/>
  <c r="H24" i="81"/>
  <c r="C24" i="81"/>
  <c r="AH23" i="81"/>
  <c r="AC23" i="81"/>
  <c r="X23" i="81"/>
  <c r="O23" i="81"/>
  <c r="L23" i="81"/>
  <c r="H23" i="81"/>
  <c r="C23" i="81"/>
  <c r="AH22" i="81"/>
  <c r="AC22" i="81"/>
  <c r="X22" i="81"/>
  <c r="O22" i="81"/>
  <c r="L22" i="81"/>
  <c r="H22" i="81"/>
  <c r="C22" i="81"/>
  <c r="AH21" i="81"/>
  <c r="AC21" i="81"/>
  <c r="X21" i="81"/>
  <c r="O21" i="81"/>
  <c r="L21" i="81"/>
  <c r="H21" i="81"/>
  <c r="C21" i="81"/>
  <c r="AH20" i="81"/>
  <c r="AC20" i="81"/>
  <c r="X20" i="81"/>
  <c r="O20" i="81"/>
  <c r="L20" i="81"/>
  <c r="H20" i="81"/>
  <c r="C20" i="81"/>
  <c r="AH19" i="81"/>
  <c r="AC19" i="81"/>
  <c r="X19" i="81"/>
  <c r="O19" i="81"/>
  <c r="L19" i="81"/>
  <c r="H19" i="81"/>
  <c r="C19" i="81"/>
  <c r="AH18" i="81"/>
  <c r="AC18" i="81"/>
  <c r="X18" i="81"/>
  <c r="O18" i="81"/>
  <c r="L18" i="81"/>
  <c r="H18" i="81"/>
  <c r="C18" i="81"/>
  <c r="AH17" i="81"/>
  <c r="AC17" i="81"/>
  <c r="X17" i="81"/>
  <c r="O17" i="81"/>
  <c r="L17" i="81"/>
  <c r="H17" i="81"/>
  <c r="C17" i="81"/>
  <c r="AH16" i="81"/>
  <c r="AC16" i="81"/>
  <c r="X16" i="81"/>
  <c r="O16" i="81"/>
  <c r="L16" i="81"/>
  <c r="H16" i="81"/>
  <c r="C16" i="81"/>
  <c r="AH15" i="81"/>
  <c r="AC15" i="81"/>
  <c r="X15" i="81"/>
  <c r="O15" i="81"/>
  <c r="L15" i="81"/>
  <c r="H15" i="81"/>
  <c r="C15" i="81"/>
  <c r="W109" i="80" l="1"/>
  <c r="U109" i="80"/>
  <c r="Q109" i="80"/>
  <c r="O109" i="80"/>
  <c r="M109" i="80"/>
  <c r="I109" i="80"/>
  <c r="B109" i="80"/>
  <c r="V109" i="80" s="1"/>
  <c r="B3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199" i="83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37" i="83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347" i="83"/>
  <c r="I348" i="83"/>
  <c r="I349" i="83"/>
  <c r="I350" i="83"/>
  <c r="I351" i="83"/>
  <c r="I352" i="83"/>
  <c r="I353" i="83"/>
  <c r="I354" i="83"/>
  <c r="I355" i="83"/>
  <c r="I356" i="83"/>
  <c r="I357" i="83"/>
  <c r="I358" i="83"/>
  <c r="I359" i="83"/>
  <c r="I360" i="83"/>
  <c r="I361" i="83"/>
  <c r="I362" i="83"/>
  <c r="I363" i="83"/>
  <c r="I364" i="83"/>
  <c r="I365" i="83"/>
  <c r="I366" i="83"/>
  <c r="I367" i="83"/>
  <c r="I368" i="83"/>
  <c r="I369" i="83"/>
  <c r="I370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97" i="83"/>
  <c r="I398" i="83"/>
  <c r="I399" i="83"/>
  <c r="I400" i="83"/>
  <c r="I401" i="83"/>
  <c r="I402" i="83"/>
  <c r="I403" i="83"/>
  <c r="I404" i="83"/>
  <c r="I405" i="83"/>
  <c r="I406" i="83"/>
  <c r="I407" i="83"/>
  <c r="I408" i="83"/>
  <c r="I409" i="83"/>
  <c r="I410" i="83"/>
  <c r="I411" i="83"/>
  <c r="I412" i="83"/>
  <c r="I413" i="83"/>
  <c r="I414" i="83"/>
  <c r="I415" i="83"/>
  <c r="I416" i="83"/>
  <c r="I417" i="83"/>
  <c r="I418" i="83"/>
  <c r="I419" i="83"/>
  <c r="I420" i="83"/>
  <c r="I421" i="83"/>
  <c r="I422" i="83"/>
  <c r="I423" i="83"/>
  <c r="I424" i="83"/>
  <c r="I425" i="83"/>
  <c r="I426" i="83"/>
  <c r="I427" i="83"/>
  <c r="I428" i="83"/>
  <c r="I429" i="83"/>
  <c r="I430" i="83"/>
  <c r="I431" i="83"/>
  <c r="I432" i="83"/>
  <c r="I433" i="83"/>
  <c r="I434" i="83"/>
  <c r="I435" i="83"/>
  <c r="I436" i="83"/>
  <c r="I437" i="83"/>
  <c r="I438" i="83"/>
  <c r="I439" i="83"/>
  <c r="I440" i="83"/>
  <c r="I441" i="83"/>
  <c r="I442" i="83"/>
  <c r="I443" i="83"/>
  <c r="I444" i="83"/>
  <c r="I445" i="83"/>
  <c r="I446" i="83"/>
  <c r="I447" i="83"/>
  <c r="I448" i="83"/>
  <c r="I449" i="83"/>
  <c r="I450" i="83"/>
  <c r="I451" i="83"/>
  <c r="I452" i="83"/>
  <c r="I453" i="83"/>
  <c r="I454" i="83"/>
  <c r="I455" i="83"/>
  <c r="I456" i="83"/>
  <c r="I457" i="83"/>
  <c r="I458" i="83"/>
  <c r="I459" i="83"/>
  <c r="I460" i="83"/>
  <c r="I461" i="83"/>
  <c r="I462" i="83"/>
  <c r="I463" i="83"/>
  <c r="I464" i="83"/>
  <c r="I465" i="83"/>
  <c r="I466" i="83"/>
  <c r="I467" i="83"/>
  <c r="I468" i="83"/>
  <c r="I469" i="83"/>
  <c r="I470" i="83"/>
  <c r="I471" i="83"/>
  <c r="I472" i="83"/>
  <c r="I473" i="83"/>
  <c r="I474" i="83"/>
  <c r="I475" i="83"/>
  <c r="I476" i="83"/>
  <c r="I477" i="83"/>
  <c r="I478" i="83"/>
  <c r="I479" i="83"/>
  <c r="I480" i="83"/>
  <c r="I481" i="83"/>
  <c r="I482" i="83"/>
  <c r="I483" i="83"/>
  <c r="I484" i="83"/>
  <c r="I485" i="83"/>
  <c r="I486" i="83"/>
  <c r="I487" i="83"/>
  <c r="I488" i="83"/>
  <c r="I489" i="83"/>
  <c r="I490" i="83"/>
  <c r="I491" i="83"/>
  <c r="I492" i="83"/>
  <c r="I493" i="83"/>
  <c r="I494" i="83"/>
  <c r="I495" i="83"/>
  <c r="I496" i="83"/>
  <c r="I497" i="83"/>
  <c r="I498" i="83"/>
  <c r="I499" i="83"/>
  <c r="I500" i="83"/>
  <c r="I501" i="83"/>
  <c r="I502" i="83"/>
  <c r="I503" i="83"/>
  <c r="I504" i="83"/>
  <c r="I505" i="83"/>
  <c r="I506" i="83"/>
  <c r="I507" i="83"/>
  <c r="I508" i="83"/>
  <c r="I509" i="83"/>
  <c r="I510" i="83"/>
  <c r="I511" i="83"/>
  <c r="I512" i="83"/>
  <c r="I513" i="83"/>
  <c r="I514" i="83"/>
  <c r="I515" i="83"/>
  <c r="I516" i="83"/>
  <c r="I517" i="83"/>
  <c r="I518" i="83"/>
  <c r="I519" i="83"/>
  <c r="I520" i="83"/>
  <c r="I521" i="83"/>
  <c r="I522" i="83"/>
  <c r="I523" i="83"/>
  <c r="I524" i="83"/>
  <c r="I525" i="83"/>
  <c r="I526" i="83"/>
  <c r="I527" i="83"/>
  <c r="I528" i="83"/>
  <c r="I529" i="83"/>
  <c r="I530" i="83"/>
  <c r="I531" i="83"/>
  <c r="I532" i="83"/>
  <c r="I533" i="83"/>
  <c r="I534" i="83"/>
  <c r="I535" i="83"/>
  <c r="I536" i="83"/>
  <c r="I537" i="83"/>
  <c r="I538" i="83"/>
  <c r="I539" i="83"/>
  <c r="I540" i="83"/>
  <c r="I541" i="83"/>
  <c r="I542" i="83"/>
  <c r="I543" i="83"/>
  <c r="I544" i="83"/>
  <c r="I545" i="83"/>
  <c r="I546" i="83"/>
  <c r="I547" i="83"/>
  <c r="I548" i="83"/>
  <c r="I549" i="83"/>
  <c r="I550" i="83"/>
  <c r="I551" i="83"/>
  <c r="I552" i="83"/>
  <c r="I553" i="83"/>
  <c r="I554" i="83"/>
  <c r="I555" i="83"/>
  <c r="I556" i="83"/>
  <c r="I557" i="83"/>
  <c r="I558" i="83"/>
  <c r="I559" i="83"/>
  <c r="I560" i="83"/>
  <c r="I561" i="83"/>
  <c r="I562" i="83"/>
  <c r="I563" i="83"/>
  <c r="I564" i="83"/>
  <c r="I565" i="83"/>
  <c r="I566" i="83"/>
  <c r="I567" i="83"/>
  <c r="I568" i="83"/>
  <c r="I569" i="83"/>
  <c r="I570" i="83"/>
  <c r="I571" i="83"/>
  <c r="I572" i="83"/>
  <c r="I573" i="83"/>
  <c r="I574" i="83"/>
  <c r="I575" i="83"/>
  <c r="I576" i="83"/>
  <c r="I577" i="83"/>
  <c r="I578" i="83"/>
  <c r="I579" i="83"/>
  <c r="I580" i="83"/>
  <c r="I581" i="83"/>
  <c r="I582" i="83"/>
  <c r="I583" i="83"/>
  <c r="I584" i="83"/>
  <c r="I585" i="83"/>
  <c r="I586" i="83"/>
  <c r="I587" i="83"/>
  <c r="I588" i="83"/>
  <c r="I589" i="83"/>
  <c r="I590" i="83"/>
  <c r="I591" i="83"/>
  <c r="I592" i="83"/>
  <c r="I593" i="83"/>
  <c r="I594" i="83"/>
  <c r="I595" i="83"/>
  <c r="I596" i="83"/>
  <c r="I597" i="83"/>
  <c r="I598" i="83"/>
  <c r="I599" i="83"/>
  <c r="I600" i="83"/>
  <c r="I601" i="83"/>
  <c r="I602" i="83"/>
  <c r="I603" i="83"/>
  <c r="I604" i="83"/>
  <c r="I605" i="83"/>
  <c r="I606" i="83"/>
  <c r="I607" i="83"/>
  <c r="I608" i="83"/>
  <c r="I609" i="83"/>
  <c r="I610" i="83"/>
  <c r="I611" i="83"/>
  <c r="I612" i="83"/>
  <c r="I613" i="83"/>
  <c r="I614" i="83"/>
  <c r="I615" i="83"/>
  <c r="I616" i="83"/>
  <c r="I617" i="83"/>
  <c r="I618" i="83"/>
  <c r="I619" i="83"/>
  <c r="I620" i="83"/>
  <c r="I621" i="83"/>
  <c r="I622" i="83"/>
  <c r="I623" i="83"/>
  <c r="I624" i="83"/>
  <c r="I625" i="83"/>
  <c r="I626" i="83"/>
  <c r="I627" i="83"/>
  <c r="I628" i="83"/>
  <c r="I629" i="83"/>
  <c r="I630" i="83"/>
  <c r="I631" i="83"/>
  <c r="I632" i="83"/>
  <c r="I633" i="83"/>
  <c r="I634" i="83"/>
  <c r="I635" i="83"/>
  <c r="I636" i="83"/>
  <c r="I637" i="83"/>
  <c r="I638" i="83"/>
  <c r="I639" i="83"/>
  <c r="I640" i="83"/>
  <c r="I641" i="83"/>
  <c r="I642" i="83"/>
  <c r="I643" i="83"/>
  <c r="I644" i="83"/>
  <c r="I645" i="83"/>
  <c r="I646" i="83"/>
  <c r="I647" i="83"/>
  <c r="I648" i="83"/>
  <c r="I649" i="83"/>
  <c r="I650" i="83"/>
  <c r="I651" i="83"/>
  <c r="I652" i="83"/>
  <c r="I653" i="83"/>
  <c r="I654" i="83"/>
  <c r="I655" i="83"/>
  <c r="I656" i="83"/>
  <c r="I657" i="83"/>
  <c r="I658" i="83"/>
  <c r="I659" i="83"/>
  <c r="I660" i="83"/>
  <c r="I661" i="83"/>
  <c r="I662" i="83"/>
  <c r="I663" i="83"/>
  <c r="I664" i="83"/>
  <c r="I665" i="83"/>
  <c r="I666" i="83"/>
  <c r="I667" i="83"/>
  <c r="I668" i="83"/>
  <c r="I669" i="83"/>
  <c r="I670" i="83"/>
  <c r="I671" i="83"/>
  <c r="I672" i="83"/>
  <c r="I673" i="83"/>
  <c r="I674" i="83"/>
  <c r="I675" i="83"/>
  <c r="I676" i="83"/>
  <c r="I677" i="83"/>
  <c r="I678" i="83"/>
  <c r="I679" i="83"/>
  <c r="I680" i="83"/>
  <c r="I681" i="83"/>
  <c r="I7" i="83"/>
  <c r="I8" i="83"/>
  <c r="H246" i="83"/>
  <c r="H247" i="83"/>
  <c r="H248" i="83"/>
  <c r="H249" i="83"/>
  <c r="H250" i="83"/>
  <c r="H251" i="83"/>
  <c r="H252" i="83"/>
  <c r="H253" i="83"/>
  <c r="H254" i="83"/>
  <c r="H255" i="83"/>
  <c r="H256" i="83"/>
  <c r="H257" i="83"/>
  <c r="H258" i="83"/>
  <c r="H259" i="83"/>
  <c r="H260" i="83"/>
  <c r="H261" i="83"/>
  <c r="H262" i="83"/>
  <c r="H263" i="83"/>
  <c r="H264" i="83"/>
  <c r="H265" i="83"/>
  <c r="H266" i="83"/>
  <c r="H267" i="83"/>
  <c r="H268" i="83"/>
  <c r="H269" i="83"/>
  <c r="H270" i="83"/>
  <c r="H271" i="83"/>
  <c r="H272" i="83"/>
  <c r="H273" i="83"/>
  <c r="H274" i="83"/>
  <c r="H275" i="83"/>
  <c r="H276" i="83"/>
  <c r="H277" i="83"/>
  <c r="H278" i="83"/>
  <c r="H279" i="83"/>
  <c r="H280" i="83"/>
  <c r="H281" i="83"/>
  <c r="H282" i="83"/>
  <c r="H283" i="83"/>
  <c r="H284" i="83"/>
  <c r="H285" i="83"/>
  <c r="H286" i="83"/>
  <c r="H287" i="83"/>
  <c r="H288" i="83"/>
  <c r="H289" i="83"/>
  <c r="H290" i="83"/>
  <c r="H291" i="83"/>
  <c r="H292" i="83"/>
  <c r="H293" i="83"/>
  <c r="H294" i="83"/>
  <c r="H295" i="83"/>
  <c r="H296" i="83"/>
  <c r="H297" i="83"/>
  <c r="H298" i="83"/>
  <c r="H299" i="83"/>
  <c r="H300" i="83"/>
  <c r="H301" i="83"/>
  <c r="H302" i="83"/>
  <c r="H303" i="83"/>
  <c r="H304" i="83"/>
  <c r="H305" i="83"/>
  <c r="H306" i="83"/>
  <c r="H307" i="83"/>
  <c r="H308" i="83"/>
  <c r="H309" i="83"/>
  <c r="H310" i="83"/>
  <c r="H311" i="83"/>
  <c r="H312" i="83"/>
  <c r="H313" i="83"/>
  <c r="H314" i="83"/>
  <c r="H315" i="83"/>
  <c r="H316" i="83"/>
  <c r="H317" i="83"/>
  <c r="H318" i="83"/>
  <c r="H319" i="83"/>
  <c r="H320" i="83"/>
  <c r="H321" i="83"/>
  <c r="H322" i="83"/>
  <c r="H323" i="83"/>
  <c r="H324" i="83"/>
  <c r="H325" i="83"/>
  <c r="H326" i="83"/>
  <c r="H327" i="83"/>
  <c r="H328" i="83"/>
  <c r="H329" i="83"/>
  <c r="H330" i="83"/>
  <c r="H331" i="83"/>
  <c r="H332" i="83"/>
  <c r="H333" i="83"/>
  <c r="H334" i="83"/>
  <c r="H335" i="83"/>
  <c r="H336" i="83"/>
  <c r="H337" i="83"/>
  <c r="H338" i="83"/>
  <c r="H339" i="83"/>
  <c r="H340" i="83"/>
  <c r="H341" i="83"/>
  <c r="H342" i="83"/>
  <c r="H343" i="83"/>
  <c r="H344" i="83"/>
  <c r="H345" i="83"/>
  <c r="H346" i="83"/>
  <c r="H347" i="83"/>
  <c r="H348" i="83"/>
  <c r="H349" i="83"/>
  <c r="H350" i="83"/>
  <c r="H351" i="83"/>
  <c r="H352" i="83"/>
  <c r="H353" i="83"/>
  <c r="H354" i="83"/>
  <c r="H355" i="83"/>
  <c r="H356" i="83"/>
  <c r="H357" i="83"/>
  <c r="H358" i="83"/>
  <c r="H359" i="83"/>
  <c r="H360" i="83"/>
  <c r="H361" i="83"/>
  <c r="H362" i="83"/>
  <c r="H363" i="83"/>
  <c r="H364" i="83"/>
  <c r="H365" i="83"/>
  <c r="H366" i="83"/>
  <c r="H367" i="83"/>
  <c r="H368" i="83"/>
  <c r="H369" i="83"/>
  <c r="H370" i="83"/>
  <c r="H371" i="83"/>
  <c r="H372" i="83"/>
  <c r="H373" i="83"/>
  <c r="H374" i="83"/>
  <c r="H375" i="83"/>
  <c r="H376" i="83"/>
  <c r="H377" i="83"/>
  <c r="H378" i="83"/>
  <c r="H379" i="83"/>
  <c r="H380" i="83"/>
  <c r="H381" i="83"/>
  <c r="H382" i="83"/>
  <c r="H383" i="83"/>
  <c r="H384" i="83"/>
  <c r="H385" i="83"/>
  <c r="H386" i="83"/>
  <c r="H387" i="83"/>
  <c r="H388" i="83"/>
  <c r="H389" i="83"/>
  <c r="H390" i="83"/>
  <c r="H391" i="83"/>
  <c r="H392" i="83"/>
  <c r="H393" i="83"/>
  <c r="H394" i="83"/>
  <c r="H395" i="83"/>
  <c r="H396" i="83"/>
  <c r="H397" i="83"/>
  <c r="H398" i="83"/>
  <c r="H399" i="83"/>
  <c r="H400" i="83"/>
  <c r="H401" i="83"/>
  <c r="H402" i="83"/>
  <c r="H403" i="83"/>
  <c r="H404" i="83"/>
  <c r="H405" i="83"/>
  <c r="H406" i="83"/>
  <c r="H407" i="83"/>
  <c r="H408" i="83"/>
  <c r="H409" i="83"/>
  <c r="H410" i="83"/>
  <c r="H411" i="83"/>
  <c r="H412" i="83"/>
  <c r="H413" i="83"/>
  <c r="H414" i="83"/>
  <c r="H415" i="83"/>
  <c r="H416" i="83"/>
  <c r="H417" i="83"/>
  <c r="H418" i="83"/>
  <c r="H419" i="83"/>
  <c r="H420" i="83"/>
  <c r="H421" i="83"/>
  <c r="H422" i="83"/>
  <c r="H423" i="83"/>
  <c r="H424" i="83"/>
  <c r="H425" i="83"/>
  <c r="H426" i="83"/>
  <c r="H427" i="83"/>
  <c r="H428" i="83"/>
  <c r="H429" i="83"/>
  <c r="H430" i="83"/>
  <c r="H431" i="83"/>
  <c r="H432" i="83"/>
  <c r="H433" i="83"/>
  <c r="H434" i="83"/>
  <c r="H435" i="83"/>
  <c r="H436" i="83"/>
  <c r="H437" i="83"/>
  <c r="H438" i="83"/>
  <c r="H439" i="83"/>
  <c r="H440" i="83"/>
  <c r="H441" i="83"/>
  <c r="H442" i="83"/>
  <c r="H443" i="83"/>
  <c r="H444" i="83"/>
  <c r="H445" i="83"/>
  <c r="H446" i="83"/>
  <c r="H447" i="83"/>
  <c r="H448" i="83"/>
  <c r="H449" i="83"/>
  <c r="H450" i="83"/>
  <c r="H451" i="83"/>
  <c r="H452" i="83"/>
  <c r="H453" i="83"/>
  <c r="H454" i="83"/>
  <c r="H455" i="83"/>
  <c r="H456" i="83"/>
  <c r="H457" i="83"/>
  <c r="H458" i="83"/>
  <c r="H459" i="83"/>
  <c r="H460" i="83"/>
  <c r="H461" i="83"/>
  <c r="H462" i="83"/>
  <c r="H463" i="83"/>
  <c r="H464" i="83"/>
  <c r="H465" i="83"/>
  <c r="H466" i="83"/>
  <c r="H467" i="83"/>
  <c r="H468" i="83"/>
  <c r="H469" i="83"/>
  <c r="H470" i="83"/>
  <c r="H471" i="83"/>
  <c r="H472" i="83"/>
  <c r="H473" i="83"/>
  <c r="H474" i="83"/>
  <c r="H475" i="83"/>
  <c r="H476" i="83"/>
  <c r="H477" i="83"/>
  <c r="H478" i="83"/>
  <c r="H479" i="83"/>
  <c r="H480" i="83"/>
  <c r="H481" i="83"/>
  <c r="H482" i="83"/>
  <c r="H483" i="83"/>
  <c r="H484" i="83"/>
  <c r="H485" i="83"/>
  <c r="H486" i="83"/>
  <c r="H487" i="83"/>
  <c r="H488" i="83"/>
  <c r="H489" i="83"/>
  <c r="H490" i="83"/>
  <c r="H491" i="83"/>
  <c r="H492" i="83"/>
  <c r="H493" i="83"/>
  <c r="H494" i="83"/>
  <c r="H495" i="83"/>
  <c r="H496" i="83"/>
  <c r="H497" i="83"/>
  <c r="H498" i="83"/>
  <c r="H499" i="83"/>
  <c r="H500" i="83"/>
  <c r="H501" i="83"/>
  <c r="H502" i="83"/>
  <c r="H503" i="83"/>
  <c r="H504" i="83"/>
  <c r="H505" i="83"/>
  <c r="H506" i="83"/>
  <c r="H507" i="83"/>
  <c r="H508" i="83"/>
  <c r="H509" i="83"/>
  <c r="H510" i="83"/>
  <c r="H511" i="83"/>
  <c r="H512" i="83"/>
  <c r="H513" i="83"/>
  <c r="H514" i="83"/>
  <c r="H515" i="83"/>
  <c r="H516" i="83"/>
  <c r="H517" i="83"/>
  <c r="H518" i="83"/>
  <c r="H519" i="83"/>
  <c r="H520" i="83"/>
  <c r="H521" i="83"/>
  <c r="H522" i="83"/>
  <c r="H523" i="83"/>
  <c r="H524" i="83"/>
  <c r="H525" i="83"/>
  <c r="H526" i="83"/>
  <c r="H527" i="83"/>
  <c r="H528" i="83"/>
  <c r="H529" i="83"/>
  <c r="H530" i="83"/>
  <c r="H531" i="83"/>
  <c r="H532" i="83"/>
  <c r="H533" i="83"/>
  <c r="H534" i="83"/>
  <c r="H535" i="83"/>
  <c r="H536" i="83"/>
  <c r="H537" i="83"/>
  <c r="H538" i="83"/>
  <c r="H539" i="83"/>
  <c r="H540" i="83"/>
  <c r="H541" i="83"/>
  <c r="H542" i="83"/>
  <c r="H543" i="83"/>
  <c r="H544" i="83"/>
  <c r="H545" i="83"/>
  <c r="H546" i="83"/>
  <c r="H547" i="83"/>
  <c r="H548" i="83"/>
  <c r="H549" i="83"/>
  <c r="H550" i="83"/>
  <c r="H551" i="83"/>
  <c r="H552" i="83"/>
  <c r="H553" i="83"/>
  <c r="H554" i="83"/>
  <c r="H555" i="83"/>
  <c r="H556" i="83"/>
  <c r="H557" i="83"/>
  <c r="H558" i="83"/>
  <c r="H559" i="83"/>
  <c r="H560" i="83"/>
  <c r="H561" i="83"/>
  <c r="H562" i="83"/>
  <c r="H563" i="83"/>
  <c r="H564" i="83"/>
  <c r="H565" i="83"/>
  <c r="H566" i="83"/>
  <c r="H567" i="83"/>
  <c r="H568" i="83"/>
  <c r="H569" i="83"/>
  <c r="H570" i="83"/>
  <c r="H571" i="83"/>
  <c r="H572" i="83"/>
  <c r="H573" i="83"/>
  <c r="H574" i="83"/>
  <c r="H575" i="83"/>
  <c r="H576" i="83"/>
  <c r="H577" i="83"/>
  <c r="H578" i="83"/>
  <c r="H579" i="83"/>
  <c r="H580" i="83"/>
  <c r="H581" i="83"/>
  <c r="H582" i="83"/>
  <c r="H583" i="83"/>
  <c r="H584" i="83"/>
  <c r="H585" i="83"/>
  <c r="H586" i="83"/>
  <c r="H587" i="83"/>
  <c r="H588" i="83"/>
  <c r="H589" i="83"/>
  <c r="H590" i="83"/>
  <c r="H591" i="83"/>
  <c r="H592" i="83"/>
  <c r="H593" i="83"/>
  <c r="H594" i="83"/>
  <c r="H595" i="83"/>
  <c r="H596" i="83"/>
  <c r="H597" i="83"/>
  <c r="H598" i="83"/>
  <c r="H599" i="83"/>
  <c r="H600" i="83"/>
  <c r="H601" i="83"/>
  <c r="H602" i="83"/>
  <c r="H603" i="83"/>
  <c r="H604" i="83"/>
  <c r="H605" i="83"/>
  <c r="H606" i="83"/>
  <c r="H607" i="83"/>
  <c r="H608" i="83"/>
  <c r="H609" i="83"/>
  <c r="H610" i="83"/>
  <c r="H611" i="83"/>
  <c r="H612" i="83"/>
  <c r="H613" i="83"/>
  <c r="H614" i="83"/>
  <c r="H615" i="83"/>
  <c r="H616" i="83"/>
  <c r="H617" i="83"/>
  <c r="H618" i="83"/>
  <c r="H619" i="83"/>
  <c r="H620" i="83"/>
  <c r="H621" i="83"/>
  <c r="H622" i="83"/>
  <c r="H623" i="83"/>
  <c r="H624" i="83"/>
  <c r="H625" i="83"/>
  <c r="H626" i="83"/>
  <c r="H627" i="83"/>
  <c r="H628" i="83"/>
  <c r="H629" i="83"/>
  <c r="H630" i="83"/>
  <c r="H631" i="83"/>
  <c r="H632" i="83"/>
  <c r="H633" i="83"/>
  <c r="H634" i="83"/>
  <c r="H635" i="83"/>
  <c r="H636" i="83"/>
  <c r="H637" i="83"/>
  <c r="H638" i="83"/>
  <c r="H639" i="83"/>
  <c r="H640" i="83"/>
  <c r="H641" i="83"/>
  <c r="H642" i="83"/>
  <c r="H643" i="83"/>
  <c r="H644" i="83"/>
  <c r="H645" i="83"/>
  <c r="H646" i="83"/>
  <c r="H647" i="83"/>
  <c r="H648" i="83"/>
  <c r="H649" i="83"/>
  <c r="H650" i="83"/>
  <c r="H651" i="83"/>
  <c r="H652" i="83"/>
  <c r="H653" i="83"/>
  <c r="H654" i="83"/>
  <c r="H655" i="83"/>
  <c r="H656" i="83"/>
  <c r="H657" i="83"/>
  <c r="H658" i="83"/>
  <c r="H659" i="83"/>
  <c r="H660" i="83"/>
  <c r="H661" i="83"/>
  <c r="H662" i="83"/>
  <c r="H663" i="83"/>
  <c r="H664" i="83"/>
  <c r="H665" i="83"/>
  <c r="H666" i="83"/>
  <c r="H667" i="83"/>
  <c r="H668" i="83"/>
  <c r="H669" i="83"/>
  <c r="H670" i="83"/>
  <c r="H671" i="83"/>
  <c r="H672" i="83"/>
  <c r="H673" i="83"/>
  <c r="H674" i="83"/>
  <c r="H675" i="83"/>
  <c r="H676" i="83"/>
  <c r="H677" i="83"/>
  <c r="H678" i="83"/>
  <c r="H679" i="83"/>
  <c r="H680" i="83"/>
  <c r="H681" i="83"/>
  <c r="H9" i="83"/>
  <c r="H10" i="83"/>
  <c r="H11" i="83"/>
  <c r="H12" i="83"/>
  <c r="H13" i="83"/>
  <c r="H14" i="83"/>
  <c r="H15" i="83"/>
  <c r="H16" i="83"/>
  <c r="H17" i="83"/>
  <c r="H18" i="83"/>
  <c r="H19" i="83"/>
  <c r="H20" i="83"/>
  <c r="H21" i="83"/>
  <c r="H22" i="83"/>
  <c r="H23" i="83"/>
  <c r="H24" i="83"/>
  <c r="H25" i="83"/>
  <c r="H26" i="83"/>
  <c r="H27" i="83"/>
  <c r="H28" i="83"/>
  <c r="H29" i="83"/>
  <c r="H30" i="83"/>
  <c r="H31" i="83"/>
  <c r="H32" i="83"/>
  <c r="H33" i="83"/>
  <c r="H34" i="83"/>
  <c r="H35" i="83"/>
  <c r="H36" i="83"/>
  <c r="H37" i="83"/>
  <c r="H38" i="83"/>
  <c r="H39" i="83"/>
  <c r="H40" i="83"/>
  <c r="H41" i="83"/>
  <c r="H42" i="83"/>
  <c r="H43" i="83"/>
  <c r="H44" i="83"/>
  <c r="H45" i="83"/>
  <c r="H46" i="83"/>
  <c r="H47" i="83"/>
  <c r="H48" i="83"/>
  <c r="H49" i="83"/>
  <c r="H50" i="83"/>
  <c r="H51" i="83"/>
  <c r="H52" i="83"/>
  <c r="H53" i="83"/>
  <c r="H54" i="83"/>
  <c r="H55" i="83"/>
  <c r="H56" i="83"/>
  <c r="H57" i="83"/>
  <c r="H58" i="83"/>
  <c r="H59" i="83"/>
  <c r="H60" i="83"/>
  <c r="H61" i="83"/>
  <c r="H62" i="83"/>
  <c r="H63" i="83"/>
  <c r="H64" i="83"/>
  <c r="H65" i="83"/>
  <c r="H66" i="83"/>
  <c r="H67" i="83"/>
  <c r="H68" i="83"/>
  <c r="H69" i="83"/>
  <c r="H70" i="83"/>
  <c r="H71" i="83"/>
  <c r="H72" i="83"/>
  <c r="H73" i="83"/>
  <c r="H74" i="83"/>
  <c r="H75" i="83"/>
  <c r="H76" i="83"/>
  <c r="H77" i="83"/>
  <c r="H78" i="83"/>
  <c r="H79" i="83"/>
  <c r="H80" i="83"/>
  <c r="H81" i="83"/>
  <c r="H82" i="83"/>
  <c r="H83" i="83"/>
  <c r="H84" i="83"/>
  <c r="H85" i="83"/>
  <c r="H86" i="83"/>
  <c r="H87" i="83"/>
  <c r="H88" i="83"/>
  <c r="H89" i="83"/>
  <c r="H90" i="83"/>
  <c r="H91" i="83"/>
  <c r="H92" i="83"/>
  <c r="H93" i="83"/>
  <c r="H94" i="83"/>
  <c r="H95" i="83"/>
  <c r="H96" i="83"/>
  <c r="H97" i="83"/>
  <c r="H98" i="83"/>
  <c r="H99" i="83"/>
  <c r="H100" i="83"/>
  <c r="H101" i="83"/>
  <c r="H102" i="83"/>
  <c r="H103" i="83"/>
  <c r="H104" i="83"/>
  <c r="H105" i="83"/>
  <c r="H106" i="83"/>
  <c r="H107" i="83"/>
  <c r="H108" i="83"/>
  <c r="H109" i="83"/>
  <c r="H110" i="83"/>
  <c r="H111" i="83"/>
  <c r="H112" i="83"/>
  <c r="H113" i="83"/>
  <c r="H114" i="83"/>
  <c r="H115" i="83"/>
  <c r="H116" i="83"/>
  <c r="H117" i="83"/>
  <c r="H118" i="83"/>
  <c r="H119" i="83"/>
  <c r="H120" i="83"/>
  <c r="H121" i="83"/>
  <c r="H122" i="83"/>
  <c r="H123" i="83"/>
  <c r="H124" i="83"/>
  <c r="H125" i="83"/>
  <c r="H126" i="83"/>
  <c r="H127" i="83"/>
  <c r="H128" i="83"/>
  <c r="H129" i="83"/>
  <c r="H130" i="83"/>
  <c r="H131" i="83"/>
  <c r="H132" i="83"/>
  <c r="H133" i="83"/>
  <c r="H134" i="83"/>
  <c r="H135" i="83"/>
  <c r="H136" i="83"/>
  <c r="H137" i="83"/>
  <c r="H138" i="83"/>
  <c r="H139" i="83"/>
  <c r="H140" i="83"/>
  <c r="H141" i="83"/>
  <c r="H142" i="83"/>
  <c r="H143" i="83"/>
  <c r="H144" i="83"/>
  <c r="H145" i="83"/>
  <c r="H146" i="83"/>
  <c r="H147" i="83"/>
  <c r="H148" i="83"/>
  <c r="H149" i="83"/>
  <c r="H150" i="83"/>
  <c r="H151" i="83"/>
  <c r="H152" i="83"/>
  <c r="H153" i="83"/>
  <c r="H154" i="83"/>
  <c r="H155" i="83"/>
  <c r="H156" i="83"/>
  <c r="H157" i="83"/>
  <c r="H158" i="83"/>
  <c r="H159" i="83"/>
  <c r="H160" i="83"/>
  <c r="H161" i="83"/>
  <c r="H162" i="83"/>
  <c r="H163" i="83"/>
  <c r="H164" i="83"/>
  <c r="H165" i="83"/>
  <c r="H166" i="83"/>
  <c r="H167" i="83"/>
  <c r="H168" i="83"/>
  <c r="H169" i="83"/>
  <c r="H170" i="83"/>
  <c r="H171" i="83"/>
  <c r="H172" i="83"/>
  <c r="H173" i="83"/>
  <c r="H174" i="83"/>
  <c r="H175" i="83"/>
  <c r="H176" i="83"/>
  <c r="H177" i="83"/>
  <c r="H178" i="83"/>
  <c r="H179" i="83"/>
  <c r="H180" i="83"/>
  <c r="H181" i="83"/>
  <c r="H182" i="83"/>
  <c r="H183" i="83"/>
  <c r="H184" i="83"/>
  <c r="H185" i="83"/>
  <c r="H186" i="83"/>
  <c r="H187" i="83"/>
  <c r="H188" i="83"/>
  <c r="H189" i="83"/>
  <c r="H190" i="83"/>
  <c r="H191" i="83"/>
  <c r="H192" i="83"/>
  <c r="H193" i="83"/>
  <c r="H194" i="83"/>
  <c r="H195" i="83"/>
  <c r="H196" i="83"/>
  <c r="H197" i="83"/>
  <c r="H198" i="83"/>
  <c r="H199" i="83"/>
  <c r="H200" i="83"/>
  <c r="H201" i="83"/>
  <c r="H202" i="83"/>
  <c r="H203" i="83"/>
  <c r="H204" i="83"/>
  <c r="H205" i="83"/>
  <c r="H206" i="83"/>
  <c r="H207" i="83"/>
  <c r="H208" i="83"/>
  <c r="H209" i="83"/>
  <c r="H210" i="83"/>
  <c r="H211" i="83"/>
  <c r="H212" i="83"/>
  <c r="H213" i="83"/>
  <c r="H214" i="83"/>
  <c r="H215" i="83"/>
  <c r="H216" i="83"/>
  <c r="H217" i="83"/>
  <c r="H218" i="83"/>
  <c r="H219" i="83"/>
  <c r="H220" i="83"/>
  <c r="H221" i="83"/>
  <c r="H222" i="83"/>
  <c r="H223" i="83"/>
  <c r="H224" i="83"/>
  <c r="H225" i="83"/>
  <c r="H226" i="83"/>
  <c r="H227" i="83"/>
  <c r="H228" i="83"/>
  <c r="H229" i="83"/>
  <c r="H230" i="83"/>
  <c r="H231" i="83"/>
  <c r="H232" i="83"/>
  <c r="H233" i="83"/>
  <c r="H234" i="83"/>
  <c r="H235" i="83"/>
  <c r="H236" i="83"/>
  <c r="H237" i="83"/>
  <c r="H238" i="83"/>
  <c r="H239" i="83"/>
  <c r="H240" i="83"/>
  <c r="H241" i="83"/>
  <c r="H242" i="83"/>
  <c r="H243" i="83"/>
  <c r="H244" i="83"/>
  <c r="H245" i="83"/>
  <c r="H8" i="83"/>
  <c r="H7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265" i="83"/>
  <c r="E266" i="83"/>
  <c r="E267" i="83"/>
  <c r="E268" i="83"/>
  <c r="E269" i="83"/>
  <c r="E270" i="83"/>
  <c r="E271" i="83"/>
  <c r="E272" i="83"/>
  <c r="E273" i="83"/>
  <c r="E274" i="83"/>
  <c r="E275" i="83"/>
  <c r="E276" i="83"/>
  <c r="E277" i="83"/>
  <c r="E278" i="83"/>
  <c r="E279" i="83"/>
  <c r="E280" i="83"/>
  <c r="E281" i="83"/>
  <c r="E282" i="83"/>
  <c r="E283" i="83"/>
  <c r="E284" i="83"/>
  <c r="E285" i="83"/>
  <c r="E286" i="83"/>
  <c r="E287" i="83"/>
  <c r="E288" i="83"/>
  <c r="E289" i="83"/>
  <c r="E290" i="83"/>
  <c r="E291" i="83"/>
  <c r="E292" i="83"/>
  <c r="E293" i="83"/>
  <c r="E294" i="83"/>
  <c r="E295" i="83"/>
  <c r="E296" i="83"/>
  <c r="E297" i="83"/>
  <c r="E298" i="83"/>
  <c r="E299" i="83"/>
  <c r="E300" i="83"/>
  <c r="E301" i="83"/>
  <c r="E302" i="83"/>
  <c r="E303" i="83"/>
  <c r="E304" i="83"/>
  <c r="E305" i="83"/>
  <c r="E306" i="83"/>
  <c r="E307" i="83"/>
  <c r="E308" i="83"/>
  <c r="E309" i="83"/>
  <c r="E310" i="83"/>
  <c r="E311" i="83"/>
  <c r="E312" i="83"/>
  <c r="E313" i="83"/>
  <c r="E314" i="83"/>
  <c r="E315" i="83"/>
  <c r="E316" i="83"/>
  <c r="E317" i="83"/>
  <c r="E318" i="83"/>
  <c r="E319" i="83"/>
  <c r="E320" i="83"/>
  <c r="E321" i="83"/>
  <c r="E322" i="83"/>
  <c r="E323" i="83"/>
  <c r="E324" i="83"/>
  <c r="E325" i="83"/>
  <c r="E326" i="83"/>
  <c r="E327" i="83"/>
  <c r="E328" i="83"/>
  <c r="E329" i="83"/>
  <c r="E330" i="83"/>
  <c r="E331" i="83"/>
  <c r="E332" i="83"/>
  <c r="E333" i="83"/>
  <c r="E334" i="83"/>
  <c r="E335" i="83"/>
  <c r="E336" i="83"/>
  <c r="E337" i="83"/>
  <c r="E338" i="83"/>
  <c r="E339" i="83"/>
  <c r="E340" i="83"/>
  <c r="E341" i="83"/>
  <c r="E342" i="83"/>
  <c r="E343" i="83"/>
  <c r="E344" i="83"/>
  <c r="E345" i="83"/>
  <c r="E346" i="83"/>
  <c r="E347" i="83"/>
  <c r="E348" i="83"/>
  <c r="E349" i="83"/>
  <c r="E350" i="83"/>
  <c r="E351" i="83"/>
  <c r="E352" i="83"/>
  <c r="E353" i="83"/>
  <c r="E354" i="83"/>
  <c r="E355" i="83"/>
  <c r="E356" i="83"/>
  <c r="E357" i="83"/>
  <c r="E358" i="83"/>
  <c r="E359" i="83"/>
  <c r="E360" i="83"/>
  <c r="E361" i="83"/>
  <c r="E362" i="83"/>
  <c r="E363" i="83"/>
  <c r="E364" i="83"/>
  <c r="E365" i="83"/>
  <c r="E366" i="83"/>
  <c r="E367" i="83"/>
  <c r="E368" i="83"/>
  <c r="E369" i="83"/>
  <c r="E370" i="83"/>
  <c r="E371" i="83"/>
  <c r="E372" i="83"/>
  <c r="E373" i="83"/>
  <c r="E374" i="83"/>
  <c r="E375" i="83"/>
  <c r="E376" i="83"/>
  <c r="E377" i="83"/>
  <c r="E378" i="83"/>
  <c r="E379" i="83"/>
  <c r="E380" i="83"/>
  <c r="E381" i="83"/>
  <c r="E382" i="83"/>
  <c r="E383" i="83"/>
  <c r="E384" i="83"/>
  <c r="E385" i="83"/>
  <c r="E386" i="83"/>
  <c r="E387" i="83"/>
  <c r="E388" i="83"/>
  <c r="E389" i="83"/>
  <c r="E390" i="83"/>
  <c r="E391" i="83"/>
  <c r="E392" i="83"/>
  <c r="E393" i="83"/>
  <c r="E394" i="83"/>
  <c r="E395" i="83"/>
  <c r="E396" i="83"/>
  <c r="E397" i="83"/>
  <c r="E398" i="83"/>
  <c r="E399" i="83"/>
  <c r="E400" i="83"/>
  <c r="E401" i="83"/>
  <c r="E402" i="83"/>
  <c r="E403" i="83"/>
  <c r="E404" i="83"/>
  <c r="E405" i="83"/>
  <c r="E406" i="83"/>
  <c r="E407" i="83"/>
  <c r="E408" i="83"/>
  <c r="E409" i="83"/>
  <c r="E410" i="83"/>
  <c r="E411" i="83"/>
  <c r="E412" i="83"/>
  <c r="E413" i="83"/>
  <c r="E414" i="83"/>
  <c r="E415" i="83"/>
  <c r="E416" i="83"/>
  <c r="E417" i="83"/>
  <c r="E418" i="83"/>
  <c r="E419" i="83"/>
  <c r="E420" i="83"/>
  <c r="E421" i="83"/>
  <c r="E422" i="83"/>
  <c r="E423" i="83"/>
  <c r="E424" i="83"/>
  <c r="E425" i="83"/>
  <c r="E426" i="83"/>
  <c r="E427" i="83"/>
  <c r="E428" i="83"/>
  <c r="E429" i="83"/>
  <c r="E430" i="83"/>
  <c r="E431" i="83"/>
  <c r="E432" i="83"/>
  <c r="E433" i="83"/>
  <c r="E434" i="83"/>
  <c r="E435" i="83"/>
  <c r="E436" i="83"/>
  <c r="E437" i="83"/>
  <c r="E438" i="83"/>
  <c r="E439" i="83"/>
  <c r="E440" i="83"/>
  <c r="E441" i="83"/>
  <c r="E442" i="83"/>
  <c r="E443" i="83"/>
  <c r="E444" i="83"/>
  <c r="E445" i="83"/>
  <c r="E446" i="83"/>
  <c r="E447" i="83"/>
  <c r="E448" i="83"/>
  <c r="E449" i="83"/>
  <c r="E450" i="83"/>
  <c r="E451" i="83"/>
  <c r="E452" i="83"/>
  <c r="E453" i="83"/>
  <c r="E454" i="83"/>
  <c r="E455" i="83"/>
  <c r="E456" i="83"/>
  <c r="E457" i="83"/>
  <c r="E458" i="83"/>
  <c r="E459" i="83"/>
  <c r="E460" i="83"/>
  <c r="E461" i="83"/>
  <c r="E462" i="83"/>
  <c r="E463" i="83"/>
  <c r="E464" i="83"/>
  <c r="E465" i="83"/>
  <c r="E466" i="83"/>
  <c r="E467" i="83"/>
  <c r="E468" i="83"/>
  <c r="E469" i="83"/>
  <c r="E470" i="83"/>
  <c r="E471" i="83"/>
  <c r="E472" i="83"/>
  <c r="E473" i="83"/>
  <c r="E474" i="83"/>
  <c r="E475" i="83"/>
  <c r="E476" i="83"/>
  <c r="E477" i="83"/>
  <c r="E478" i="83"/>
  <c r="E479" i="83"/>
  <c r="E480" i="83"/>
  <c r="E481" i="83"/>
  <c r="E482" i="83"/>
  <c r="E483" i="83"/>
  <c r="E484" i="83"/>
  <c r="E485" i="83"/>
  <c r="E486" i="83"/>
  <c r="E487" i="83"/>
  <c r="E488" i="83"/>
  <c r="E489" i="83"/>
  <c r="E490" i="83"/>
  <c r="E491" i="83"/>
  <c r="E492" i="83"/>
  <c r="E493" i="83"/>
  <c r="E494" i="83"/>
  <c r="E495" i="83"/>
  <c r="E496" i="83"/>
  <c r="E497" i="83"/>
  <c r="E498" i="83"/>
  <c r="E499" i="83"/>
  <c r="E500" i="83"/>
  <c r="E501" i="83"/>
  <c r="E502" i="83"/>
  <c r="E503" i="83"/>
  <c r="E504" i="83"/>
  <c r="E505" i="83"/>
  <c r="E506" i="83"/>
  <c r="E507" i="83"/>
  <c r="E508" i="83"/>
  <c r="E509" i="83"/>
  <c r="E510" i="83"/>
  <c r="E511" i="83"/>
  <c r="E512" i="83"/>
  <c r="E513" i="83"/>
  <c r="E514" i="83"/>
  <c r="E515" i="83"/>
  <c r="E516" i="83"/>
  <c r="E517" i="83"/>
  <c r="E518" i="83"/>
  <c r="E519" i="83"/>
  <c r="E520" i="83"/>
  <c r="E521" i="83"/>
  <c r="E522" i="83"/>
  <c r="E523" i="83"/>
  <c r="E524" i="83"/>
  <c r="E525" i="83"/>
  <c r="E526" i="83"/>
  <c r="E527" i="83"/>
  <c r="E528" i="83"/>
  <c r="E529" i="83"/>
  <c r="E530" i="83"/>
  <c r="E531" i="83"/>
  <c r="E532" i="83"/>
  <c r="E533" i="83"/>
  <c r="E534" i="83"/>
  <c r="E535" i="83"/>
  <c r="E536" i="83"/>
  <c r="E537" i="83"/>
  <c r="E538" i="83"/>
  <c r="E539" i="83"/>
  <c r="E540" i="83"/>
  <c r="E541" i="83"/>
  <c r="E542" i="83"/>
  <c r="E543" i="83"/>
  <c r="E544" i="83"/>
  <c r="E545" i="83"/>
  <c r="E546" i="83"/>
  <c r="E547" i="83"/>
  <c r="E548" i="83"/>
  <c r="E549" i="83"/>
  <c r="E550" i="83"/>
  <c r="E551" i="83"/>
  <c r="E552" i="83"/>
  <c r="E553" i="83"/>
  <c r="E554" i="83"/>
  <c r="E555" i="83"/>
  <c r="E556" i="83"/>
  <c r="E557" i="83"/>
  <c r="E558" i="83"/>
  <c r="E559" i="83"/>
  <c r="E560" i="83"/>
  <c r="E561" i="83"/>
  <c r="E562" i="83"/>
  <c r="E563" i="83"/>
  <c r="E564" i="83"/>
  <c r="E565" i="83"/>
  <c r="E566" i="83"/>
  <c r="E567" i="83"/>
  <c r="E568" i="83"/>
  <c r="E569" i="83"/>
  <c r="E570" i="83"/>
  <c r="E571" i="83"/>
  <c r="E572" i="83"/>
  <c r="E573" i="83"/>
  <c r="E574" i="83"/>
  <c r="E575" i="83"/>
  <c r="E576" i="83"/>
  <c r="E577" i="83"/>
  <c r="E578" i="83"/>
  <c r="E579" i="83"/>
  <c r="E580" i="83"/>
  <c r="E581" i="83"/>
  <c r="E582" i="83"/>
  <c r="E583" i="83"/>
  <c r="E584" i="83"/>
  <c r="E585" i="83"/>
  <c r="E586" i="83"/>
  <c r="E587" i="83"/>
  <c r="E588" i="83"/>
  <c r="E589" i="83"/>
  <c r="E590" i="83"/>
  <c r="E591" i="83"/>
  <c r="E592" i="83"/>
  <c r="E593" i="83"/>
  <c r="E594" i="83"/>
  <c r="E595" i="83"/>
  <c r="E596" i="83"/>
  <c r="E597" i="83"/>
  <c r="E598" i="83"/>
  <c r="E599" i="83"/>
  <c r="E600" i="83"/>
  <c r="E601" i="83"/>
  <c r="E602" i="83"/>
  <c r="E603" i="83"/>
  <c r="E604" i="83"/>
  <c r="E605" i="83"/>
  <c r="E606" i="83"/>
  <c r="E607" i="83"/>
  <c r="E608" i="83"/>
  <c r="E609" i="83"/>
  <c r="E610" i="83"/>
  <c r="E611" i="83"/>
  <c r="E612" i="83"/>
  <c r="E613" i="83"/>
  <c r="E614" i="83"/>
  <c r="E615" i="83"/>
  <c r="E616" i="83"/>
  <c r="E617" i="83"/>
  <c r="E618" i="83"/>
  <c r="E619" i="83"/>
  <c r="E620" i="83"/>
  <c r="E621" i="83"/>
  <c r="E622" i="83"/>
  <c r="E623" i="83"/>
  <c r="E624" i="83"/>
  <c r="E625" i="83"/>
  <c r="E626" i="83"/>
  <c r="E627" i="83"/>
  <c r="E628" i="83"/>
  <c r="E629" i="83"/>
  <c r="E630" i="83"/>
  <c r="E631" i="83"/>
  <c r="E632" i="83"/>
  <c r="E633" i="83"/>
  <c r="E634" i="83"/>
  <c r="E635" i="83"/>
  <c r="E636" i="83"/>
  <c r="E637" i="83"/>
  <c r="E638" i="83"/>
  <c r="E639" i="83"/>
  <c r="E640" i="83"/>
  <c r="E641" i="83"/>
  <c r="E642" i="83"/>
  <c r="E643" i="83"/>
  <c r="E644" i="83"/>
  <c r="E645" i="83"/>
  <c r="E646" i="83"/>
  <c r="E647" i="83"/>
  <c r="E648" i="83"/>
  <c r="E649" i="83"/>
  <c r="E650" i="83"/>
  <c r="E651" i="83"/>
  <c r="E652" i="83"/>
  <c r="E653" i="83"/>
  <c r="E654" i="83"/>
  <c r="E655" i="83"/>
  <c r="E656" i="83"/>
  <c r="E657" i="83"/>
  <c r="E658" i="83"/>
  <c r="E659" i="83"/>
  <c r="E660" i="83"/>
  <c r="E661" i="83"/>
  <c r="E662" i="83"/>
  <c r="E663" i="83"/>
  <c r="E664" i="83"/>
  <c r="E665" i="83"/>
  <c r="E666" i="83"/>
  <c r="E667" i="83"/>
  <c r="E668" i="83"/>
  <c r="E669" i="83"/>
  <c r="E670" i="83"/>
  <c r="E671" i="83"/>
  <c r="E672" i="83"/>
  <c r="E673" i="83"/>
  <c r="E674" i="83"/>
  <c r="E675" i="83"/>
  <c r="E676" i="83"/>
  <c r="E677" i="83"/>
  <c r="E678" i="83"/>
  <c r="E679" i="83"/>
  <c r="E680" i="83"/>
  <c r="E681" i="83"/>
  <c r="E7" i="83"/>
  <c r="E8" i="83"/>
  <c r="G9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24" i="83"/>
  <c r="G25" i="83"/>
  <c r="G26" i="83"/>
  <c r="G27" i="83"/>
  <c r="G28" i="83"/>
  <c r="G29" i="83"/>
  <c r="G30" i="83"/>
  <c r="G31" i="83"/>
  <c r="G32" i="83"/>
  <c r="G33" i="83"/>
  <c r="G34" i="83"/>
  <c r="G35" i="83"/>
  <c r="G36" i="83"/>
  <c r="G37" i="83"/>
  <c r="G38" i="83"/>
  <c r="G39" i="83"/>
  <c r="G40" i="83"/>
  <c r="G41" i="83"/>
  <c r="G42" i="83"/>
  <c r="G43" i="83"/>
  <c r="G44" i="83"/>
  <c r="G45" i="83"/>
  <c r="G46" i="83"/>
  <c r="G47" i="83"/>
  <c r="G48" i="83"/>
  <c r="G49" i="83"/>
  <c r="G50" i="83"/>
  <c r="G51" i="83"/>
  <c r="G52" i="83"/>
  <c r="G53" i="83"/>
  <c r="G54" i="83"/>
  <c r="G55" i="83"/>
  <c r="G56" i="83"/>
  <c r="G57" i="83"/>
  <c r="G58" i="83"/>
  <c r="G59" i="83"/>
  <c r="G60" i="83"/>
  <c r="G61" i="83"/>
  <c r="G62" i="83"/>
  <c r="G63" i="83"/>
  <c r="G64" i="83"/>
  <c r="G65" i="83"/>
  <c r="G66" i="83"/>
  <c r="G67" i="83"/>
  <c r="G68" i="83"/>
  <c r="G69" i="83"/>
  <c r="G70" i="83"/>
  <c r="G71" i="83"/>
  <c r="G72" i="83"/>
  <c r="G73" i="83"/>
  <c r="G74" i="83"/>
  <c r="G75" i="83"/>
  <c r="G76" i="83"/>
  <c r="G77" i="83"/>
  <c r="G78" i="83"/>
  <c r="G79" i="83"/>
  <c r="G80" i="83"/>
  <c r="G81" i="83"/>
  <c r="G82" i="83"/>
  <c r="G83" i="83"/>
  <c r="G84" i="83"/>
  <c r="G85" i="83"/>
  <c r="G86" i="83"/>
  <c r="G87" i="83"/>
  <c r="G88" i="83"/>
  <c r="G89" i="83"/>
  <c r="G90" i="83"/>
  <c r="G91" i="83"/>
  <c r="G92" i="83"/>
  <c r="G93" i="83"/>
  <c r="G94" i="83"/>
  <c r="G95" i="83"/>
  <c r="G96" i="83"/>
  <c r="G97" i="83"/>
  <c r="G98" i="83"/>
  <c r="G99" i="83"/>
  <c r="G100" i="83"/>
  <c r="G101" i="83"/>
  <c r="G102" i="83"/>
  <c r="G103" i="83"/>
  <c r="G104" i="83"/>
  <c r="G105" i="83"/>
  <c r="G106" i="83"/>
  <c r="G107" i="83"/>
  <c r="G108" i="83"/>
  <c r="G109" i="83"/>
  <c r="G110" i="83"/>
  <c r="G111" i="83"/>
  <c r="G112" i="83"/>
  <c r="G113" i="83"/>
  <c r="G114" i="83"/>
  <c r="G115" i="83"/>
  <c r="G116" i="83"/>
  <c r="G117" i="83"/>
  <c r="G118" i="83"/>
  <c r="G119" i="83"/>
  <c r="G120" i="83"/>
  <c r="G121" i="83"/>
  <c r="G122" i="83"/>
  <c r="G123" i="83"/>
  <c r="G124" i="83"/>
  <c r="G125" i="83"/>
  <c r="G126" i="83"/>
  <c r="G127" i="83"/>
  <c r="G128" i="83"/>
  <c r="G129" i="83"/>
  <c r="G130" i="83"/>
  <c r="G131" i="83"/>
  <c r="G132" i="83"/>
  <c r="G133" i="83"/>
  <c r="G134" i="83"/>
  <c r="G135" i="83"/>
  <c r="G136" i="83"/>
  <c r="G137" i="83"/>
  <c r="G138" i="83"/>
  <c r="G139" i="83"/>
  <c r="G140" i="83"/>
  <c r="G141" i="83"/>
  <c r="G142" i="83"/>
  <c r="G143" i="83"/>
  <c r="G144" i="83"/>
  <c r="G145" i="83"/>
  <c r="G146" i="83"/>
  <c r="G147" i="83"/>
  <c r="G148" i="83"/>
  <c r="G149" i="83"/>
  <c r="G150" i="83"/>
  <c r="G151" i="83"/>
  <c r="G152" i="83"/>
  <c r="G153" i="83"/>
  <c r="G154" i="83"/>
  <c r="G155" i="83"/>
  <c r="G156" i="83"/>
  <c r="G157" i="83"/>
  <c r="G158" i="83"/>
  <c r="G159" i="83"/>
  <c r="G160" i="83"/>
  <c r="G161" i="83"/>
  <c r="G162" i="83"/>
  <c r="G163" i="83"/>
  <c r="G164" i="83"/>
  <c r="G165" i="83"/>
  <c r="G166" i="83"/>
  <c r="G167" i="83"/>
  <c r="G168" i="83"/>
  <c r="G169" i="83"/>
  <c r="G170" i="83"/>
  <c r="G171" i="83"/>
  <c r="G172" i="83"/>
  <c r="G173" i="83"/>
  <c r="G174" i="83"/>
  <c r="G175" i="83"/>
  <c r="G176" i="83"/>
  <c r="G177" i="83"/>
  <c r="G178" i="83"/>
  <c r="G179" i="83"/>
  <c r="G180" i="83"/>
  <c r="G181" i="83"/>
  <c r="G182" i="83"/>
  <c r="G183" i="83"/>
  <c r="G184" i="83"/>
  <c r="G185" i="83"/>
  <c r="G186" i="83"/>
  <c r="G187" i="83"/>
  <c r="G188" i="83"/>
  <c r="G189" i="83"/>
  <c r="G190" i="83"/>
  <c r="G191" i="83"/>
  <c r="G192" i="83"/>
  <c r="G193" i="83"/>
  <c r="G194" i="83"/>
  <c r="G195" i="83"/>
  <c r="G196" i="83"/>
  <c r="G197" i="83"/>
  <c r="G198" i="83"/>
  <c r="G199" i="83"/>
  <c r="G200" i="83"/>
  <c r="G201" i="83"/>
  <c r="G202" i="83"/>
  <c r="G203" i="83"/>
  <c r="G204" i="83"/>
  <c r="G205" i="83"/>
  <c r="G206" i="83"/>
  <c r="G207" i="83"/>
  <c r="G208" i="83"/>
  <c r="G209" i="83"/>
  <c r="G210" i="83"/>
  <c r="G211" i="83"/>
  <c r="G212" i="83"/>
  <c r="G213" i="83"/>
  <c r="G214" i="83"/>
  <c r="G215" i="83"/>
  <c r="G216" i="83"/>
  <c r="G217" i="83"/>
  <c r="G218" i="83"/>
  <c r="G219" i="83"/>
  <c r="G220" i="83"/>
  <c r="G221" i="83"/>
  <c r="G222" i="83"/>
  <c r="G223" i="83"/>
  <c r="G224" i="83"/>
  <c r="G225" i="83"/>
  <c r="G226" i="83"/>
  <c r="G227" i="83"/>
  <c r="G228" i="83"/>
  <c r="G229" i="83"/>
  <c r="G230" i="83"/>
  <c r="G231" i="83"/>
  <c r="G232" i="83"/>
  <c r="G233" i="83"/>
  <c r="G234" i="83"/>
  <c r="G235" i="83"/>
  <c r="G236" i="83"/>
  <c r="G237" i="83"/>
  <c r="G238" i="83"/>
  <c r="G239" i="83"/>
  <c r="G240" i="83"/>
  <c r="G241" i="83"/>
  <c r="G242" i="83"/>
  <c r="G243" i="83"/>
  <c r="G244" i="83"/>
  <c r="G245" i="83"/>
  <c r="G246" i="83"/>
  <c r="G247" i="83"/>
  <c r="G248" i="83"/>
  <c r="G249" i="83"/>
  <c r="G250" i="83"/>
  <c r="G251" i="83"/>
  <c r="G252" i="83"/>
  <c r="G253" i="83"/>
  <c r="G254" i="83"/>
  <c r="G255" i="83"/>
  <c r="G256" i="83"/>
  <c r="G257" i="83"/>
  <c r="G258" i="83"/>
  <c r="G259" i="83"/>
  <c r="G260" i="83"/>
  <c r="G261" i="83"/>
  <c r="G262" i="83"/>
  <c r="G263" i="83"/>
  <c r="G264" i="83"/>
  <c r="G265" i="83"/>
  <c r="G266" i="83"/>
  <c r="G267" i="83"/>
  <c r="G268" i="83"/>
  <c r="G269" i="83"/>
  <c r="G270" i="83"/>
  <c r="G271" i="83"/>
  <c r="G272" i="83"/>
  <c r="G273" i="83"/>
  <c r="G274" i="83"/>
  <c r="G275" i="83"/>
  <c r="G276" i="83"/>
  <c r="G277" i="83"/>
  <c r="G278" i="83"/>
  <c r="G279" i="83"/>
  <c r="G280" i="83"/>
  <c r="G281" i="83"/>
  <c r="G282" i="83"/>
  <c r="G283" i="83"/>
  <c r="G284" i="83"/>
  <c r="G285" i="83"/>
  <c r="G286" i="83"/>
  <c r="G287" i="83"/>
  <c r="G288" i="83"/>
  <c r="G289" i="83"/>
  <c r="G290" i="83"/>
  <c r="G291" i="83"/>
  <c r="G292" i="83"/>
  <c r="G293" i="83"/>
  <c r="G294" i="83"/>
  <c r="G295" i="83"/>
  <c r="G296" i="83"/>
  <c r="G297" i="83"/>
  <c r="G298" i="83"/>
  <c r="G299" i="83"/>
  <c r="G300" i="83"/>
  <c r="G301" i="83"/>
  <c r="G302" i="83"/>
  <c r="G303" i="83"/>
  <c r="G304" i="83"/>
  <c r="G305" i="83"/>
  <c r="G306" i="83"/>
  <c r="G307" i="83"/>
  <c r="G308" i="83"/>
  <c r="G309" i="83"/>
  <c r="G310" i="83"/>
  <c r="G311" i="83"/>
  <c r="G312" i="83"/>
  <c r="G313" i="83"/>
  <c r="G314" i="83"/>
  <c r="G315" i="83"/>
  <c r="G316" i="83"/>
  <c r="G317" i="83"/>
  <c r="G318" i="83"/>
  <c r="G319" i="83"/>
  <c r="G320" i="83"/>
  <c r="G321" i="83"/>
  <c r="G322" i="83"/>
  <c r="G323" i="83"/>
  <c r="G324" i="83"/>
  <c r="G325" i="83"/>
  <c r="G326" i="83"/>
  <c r="G327" i="83"/>
  <c r="G328" i="83"/>
  <c r="G329" i="83"/>
  <c r="G330" i="83"/>
  <c r="G331" i="83"/>
  <c r="G332" i="83"/>
  <c r="G333" i="83"/>
  <c r="G334" i="83"/>
  <c r="G335" i="83"/>
  <c r="G336" i="83"/>
  <c r="G337" i="83"/>
  <c r="G338" i="83"/>
  <c r="G339" i="83"/>
  <c r="G340" i="83"/>
  <c r="G341" i="83"/>
  <c r="G342" i="83"/>
  <c r="G343" i="83"/>
  <c r="G344" i="83"/>
  <c r="G345" i="83"/>
  <c r="G346" i="83"/>
  <c r="G347" i="83"/>
  <c r="G348" i="83"/>
  <c r="G349" i="83"/>
  <c r="G350" i="83"/>
  <c r="G351" i="83"/>
  <c r="G352" i="83"/>
  <c r="G353" i="83"/>
  <c r="G354" i="83"/>
  <c r="G355" i="83"/>
  <c r="G356" i="83"/>
  <c r="G357" i="83"/>
  <c r="G358" i="83"/>
  <c r="G359" i="83"/>
  <c r="G360" i="83"/>
  <c r="G361" i="83"/>
  <c r="G362" i="83"/>
  <c r="G363" i="83"/>
  <c r="G364" i="83"/>
  <c r="G365" i="83"/>
  <c r="G366" i="83"/>
  <c r="G367" i="83"/>
  <c r="G368" i="83"/>
  <c r="G369" i="83"/>
  <c r="G370" i="83"/>
  <c r="G371" i="83"/>
  <c r="G372" i="83"/>
  <c r="G373" i="83"/>
  <c r="G374" i="83"/>
  <c r="G375" i="83"/>
  <c r="G376" i="83"/>
  <c r="G377" i="83"/>
  <c r="G378" i="83"/>
  <c r="G379" i="83"/>
  <c r="G380" i="83"/>
  <c r="G381" i="83"/>
  <c r="G382" i="83"/>
  <c r="G383" i="83"/>
  <c r="G384" i="83"/>
  <c r="G385" i="83"/>
  <c r="G386" i="83"/>
  <c r="G387" i="83"/>
  <c r="G388" i="83"/>
  <c r="G389" i="83"/>
  <c r="G390" i="83"/>
  <c r="G391" i="83"/>
  <c r="G392" i="83"/>
  <c r="G393" i="83"/>
  <c r="G394" i="83"/>
  <c r="G395" i="83"/>
  <c r="G396" i="83"/>
  <c r="G397" i="83"/>
  <c r="G398" i="83"/>
  <c r="G399" i="83"/>
  <c r="G400" i="83"/>
  <c r="G401" i="83"/>
  <c r="G402" i="83"/>
  <c r="G403" i="83"/>
  <c r="G404" i="83"/>
  <c r="G405" i="83"/>
  <c r="G406" i="83"/>
  <c r="G407" i="83"/>
  <c r="G408" i="83"/>
  <c r="G409" i="83"/>
  <c r="G410" i="83"/>
  <c r="G411" i="83"/>
  <c r="G412" i="83"/>
  <c r="G413" i="83"/>
  <c r="G414" i="83"/>
  <c r="G415" i="83"/>
  <c r="G416" i="83"/>
  <c r="G417" i="83"/>
  <c r="G418" i="83"/>
  <c r="G419" i="83"/>
  <c r="G420" i="83"/>
  <c r="G421" i="83"/>
  <c r="G422" i="83"/>
  <c r="G423" i="83"/>
  <c r="G424" i="83"/>
  <c r="G425" i="83"/>
  <c r="G426" i="83"/>
  <c r="G427" i="83"/>
  <c r="G428" i="83"/>
  <c r="G429" i="83"/>
  <c r="G430" i="83"/>
  <c r="G431" i="83"/>
  <c r="G432" i="83"/>
  <c r="G433" i="83"/>
  <c r="G434" i="83"/>
  <c r="G435" i="83"/>
  <c r="G436" i="83"/>
  <c r="G437" i="83"/>
  <c r="G438" i="83"/>
  <c r="G439" i="83"/>
  <c r="G440" i="83"/>
  <c r="G441" i="83"/>
  <c r="G442" i="83"/>
  <c r="G443" i="83"/>
  <c r="G444" i="83"/>
  <c r="G445" i="83"/>
  <c r="G446" i="83"/>
  <c r="G447" i="83"/>
  <c r="G448" i="83"/>
  <c r="G449" i="83"/>
  <c r="G450" i="83"/>
  <c r="G451" i="83"/>
  <c r="G452" i="83"/>
  <c r="G453" i="83"/>
  <c r="G454" i="83"/>
  <c r="G455" i="83"/>
  <c r="G456" i="83"/>
  <c r="G457" i="83"/>
  <c r="G458" i="83"/>
  <c r="G459" i="83"/>
  <c r="G460" i="83"/>
  <c r="G461" i="83"/>
  <c r="G462" i="83"/>
  <c r="G463" i="83"/>
  <c r="G464" i="83"/>
  <c r="G465" i="83"/>
  <c r="G466" i="83"/>
  <c r="G467" i="83"/>
  <c r="G468" i="83"/>
  <c r="G469" i="83"/>
  <c r="G470" i="83"/>
  <c r="G471" i="83"/>
  <c r="G472" i="83"/>
  <c r="G473" i="83"/>
  <c r="G474" i="83"/>
  <c r="G475" i="83"/>
  <c r="G476" i="83"/>
  <c r="G477" i="83"/>
  <c r="G478" i="83"/>
  <c r="G479" i="83"/>
  <c r="G480" i="83"/>
  <c r="G481" i="83"/>
  <c r="G482" i="83"/>
  <c r="G483" i="83"/>
  <c r="G484" i="83"/>
  <c r="G485" i="83"/>
  <c r="G486" i="83"/>
  <c r="G487" i="83"/>
  <c r="G488" i="83"/>
  <c r="G489" i="83"/>
  <c r="G490" i="83"/>
  <c r="G491" i="83"/>
  <c r="G492" i="83"/>
  <c r="G493" i="83"/>
  <c r="G494" i="83"/>
  <c r="G495" i="83"/>
  <c r="G496" i="83"/>
  <c r="G497" i="83"/>
  <c r="G498" i="83"/>
  <c r="G499" i="83"/>
  <c r="G500" i="83"/>
  <c r="G501" i="83"/>
  <c r="G502" i="83"/>
  <c r="G503" i="83"/>
  <c r="G504" i="83"/>
  <c r="G505" i="83"/>
  <c r="G506" i="83"/>
  <c r="G507" i="83"/>
  <c r="G508" i="83"/>
  <c r="G509" i="83"/>
  <c r="G510" i="83"/>
  <c r="G511" i="83"/>
  <c r="G512" i="83"/>
  <c r="G513" i="83"/>
  <c r="G514" i="83"/>
  <c r="G515" i="83"/>
  <c r="G516" i="83"/>
  <c r="G517" i="83"/>
  <c r="G518" i="83"/>
  <c r="G519" i="83"/>
  <c r="G520" i="83"/>
  <c r="G521" i="83"/>
  <c r="G522" i="83"/>
  <c r="G523" i="83"/>
  <c r="G524" i="83"/>
  <c r="G525" i="83"/>
  <c r="G526" i="83"/>
  <c r="G527" i="83"/>
  <c r="G528" i="83"/>
  <c r="G529" i="83"/>
  <c r="G530" i="83"/>
  <c r="G531" i="83"/>
  <c r="G532" i="83"/>
  <c r="G533" i="83"/>
  <c r="G534" i="83"/>
  <c r="G535" i="83"/>
  <c r="G536" i="83"/>
  <c r="G537" i="83"/>
  <c r="G538" i="83"/>
  <c r="G539" i="83"/>
  <c r="G540" i="83"/>
  <c r="G541" i="83"/>
  <c r="G542" i="83"/>
  <c r="G543" i="83"/>
  <c r="G544" i="83"/>
  <c r="G545" i="83"/>
  <c r="G546" i="83"/>
  <c r="G547" i="83"/>
  <c r="G548" i="83"/>
  <c r="G549" i="83"/>
  <c r="G550" i="83"/>
  <c r="G551" i="83"/>
  <c r="G552" i="83"/>
  <c r="G553" i="83"/>
  <c r="G554" i="83"/>
  <c r="G555" i="83"/>
  <c r="G556" i="83"/>
  <c r="G557" i="83"/>
  <c r="G558" i="83"/>
  <c r="G559" i="83"/>
  <c r="G560" i="83"/>
  <c r="G561" i="83"/>
  <c r="G562" i="83"/>
  <c r="G563" i="83"/>
  <c r="G564" i="83"/>
  <c r="G565" i="83"/>
  <c r="G566" i="83"/>
  <c r="G567" i="83"/>
  <c r="G568" i="83"/>
  <c r="G569" i="83"/>
  <c r="G570" i="83"/>
  <c r="G571" i="83"/>
  <c r="G572" i="83"/>
  <c r="G573" i="83"/>
  <c r="G574" i="83"/>
  <c r="G575" i="83"/>
  <c r="G576" i="83"/>
  <c r="G577" i="83"/>
  <c r="G578" i="83"/>
  <c r="G579" i="83"/>
  <c r="G580" i="83"/>
  <c r="G581" i="83"/>
  <c r="G582" i="83"/>
  <c r="G583" i="83"/>
  <c r="G584" i="83"/>
  <c r="G585" i="83"/>
  <c r="G586" i="83"/>
  <c r="G587" i="83"/>
  <c r="G588" i="83"/>
  <c r="G589" i="83"/>
  <c r="G590" i="83"/>
  <c r="G591" i="83"/>
  <c r="G592" i="83"/>
  <c r="G593" i="83"/>
  <c r="G594" i="83"/>
  <c r="G595" i="83"/>
  <c r="G596" i="83"/>
  <c r="G597" i="83"/>
  <c r="G598" i="83"/>
  <c r="G599" i="83"/>
  <c r="G600" i="83"/>
  <c r="G601" i="83"/>
  <c r="G602" i="83"/>
  <c r="G603" i="83"/>
  <c r="G604" i="83"/>
  <c r="G605" i="83"/>
  <c r="G606" i="83"/>
  <c r="G607" i="83"/>
  <c r="G608" i="83"/>
  <c r="G609" i="83"/>
  <c r="G610" i="83"/>
  <c r="G611" i="83"/>
  <c r="G612" i="83"/>
  <c r="G613" i="83"/>
  <c r="G614" i="83"/>
  <c r="G615" i="83"/>
  <c r="G616" i="83"/>
  <c r="G617" i="83"/>
  <c r="G618" i="83"/>
  <c r="G619" i="83"/>
  <c r="G620" i="83"/>
  <c r="G621" i="83"/>
  <c r="G622" i="83"/>
  <c r="G623" i="83"/>
  <c r="G624" i="83"/>
  <c r="G625" i="83"/>
  <c r="G626" i="83"/>
  <c r="G627" i="83"/>
  <c r="G628" i="83"/>
  <c r="G629" i="83"/>
  <c r="G630" i="83"/>
  <c r="G631" i="83"/>
  <c r="G632" i="83"/>
  <c r="G633" i="83"/>
  <c r="G634" i="83"/>
  <c r="G635" i="83"/>
  <c r="G636" i="83"/>
  <c r="G637" i="83"/>
  <c r="G638" i="83"/>
  <c r="G639" i="83"/>
  <c r="G640" i="83"/>
  <c r="G641" i="83"/>
  <c r="G642" i="83"/>
  <c r="G643" i="83"/>
  <c r="G644" i="83"/>
  <c r="G645" i="83"/>
  <c r="G646" i="83"/>
  <c r="G647" i="83"/>
  <c r="G648" i="83"/>
  <c r="G649" i="83"/>
  <c r="G650" i="83"/>
  <c r="G651" i="83"/>
  <c r="G652" i="83"/>
  <c r="G653" i="83"/>
  <c r="G654" i="83"/>
  <c r="G655" i="83"/>
  <c r="G656" i="83"/>
  <c r="G657" i="83"/>
  <c r="G658" i="83"/>
  <c r="G659" i="83"/>
  <c r="G660" i="83"/>
  <c r="G661" i="83"/>
  <c r="G662" i="83"/>
  <c r="G663" i="83"/>
  <c r="G664" i="83"/>
  <c r="G665" i="83"/>
  <c r="G666" i="83"/>
  <c r="G667" i="83"/>
  <c r="G668" i="83"/>
  <c r="G669" i="83"/>
  <c r="G670" i="83"/>
  <c r="G671" i="83"/>
  <c r="G672" i="83"/>
  <c r="G673" i="83"/>
  <c r="G674" i="83"/>
  <c r="G675" i="83"/>
  <c r="G676" i="83"/>
  <c r="G677" i="83"/>
  <c r="G678" i="83"/>
  <c r="G679" i="83"/>
  <c r="G680" i="83"/>
  <c r="G681" i="83"/>
  <c r="G8" i="83"/>
  <c r="G7" i="83"/>
  <c r="I11" i="80"/>
  <c r="Q11" i="80"/>
  <c r="W10" i="82"/>
  <c r="P109" i="80" l="1"/>
  <c r="R109" i="80"/>
  <c r="K109" i="80"/>
  <c r="S109" i="80"/>
  <c r="L109" i="80"/>
  <c r="T109" i="80"/>
  <c r="N109" i="80"/>
  <c r="V11" i="80"/>
  <c r="AC14" i="81" s="1"/>
  <c r="B111" i="80"/>
  <c r="V111" i="80" s="1"/>
  <c r="B110" i="80"/>
  <c r="B108" i="80"/>
  <c r="B107" i="80"/>
  <c r="S107" i="80" s="1"/>
  <c r="B106" i="80"/>
  <c r="Q106" i="80" s="1"/>
  <c r="B105" i="80"/>
  <c r="W105" i="80" s="1"/>
  <c r="B104" i="80"/>
  <c r="S104" i="80" s="1"/>
  <c r="B103" i="80"/>
  <c r="W103" i="80" s="1"/>
  <c r="B102" i="80"/>
  <c r="B101" i="80"/>
  <c r="B100" i="80"/>
  <c r="B99" i="80"/>
  <c r="W99" i="80" s="1"/>
  <c r="B98" i="80"/>
  <c r="U98" i="80" s="1"/>
  <c r="B97" i="80"/>
  <c r="S97" i="80" s="1"/>
  <c r="B96" i="80"/>
  <c r="S96" i="80" s="1"/>
  <c r="B95" i="80"/>
  <c r="B94" i="80"/>
  <c r="B93" i="80"/>
  <c r="B92" i="80"/>
  <c r="B91" i="80"/>
  <c r="S91" i="80" s="1"/>
  <c r="B90" i="80"/>
  <c r="Q90" i="80" s="1"/>
  <c r="B89" i="80"/>
  <c r="W89" i="80" s="1"/>
  <c r="B88" i="80"/>
  <c r="S88" i="80" s="1"/>
  <c r="B87" i="80"/>
  <c r="B86" i="80"/>
  <c r="B85" i="80"/>
  <c r="B84" i="80"/>
  <c r="B83" i="80"/>
  <c r="V83" i="80" s="1"/>
  <c r="B82" i="80"/>
  <c r="U82" i="80" s="1"/>
  <c r="B81" i="80"/>
  <c r="S81" i="80" s="1"/>
  <c r="B80" i="80"/>
  <c r="S80" i="80" s="1"/>
  <c r="B79" i="80"/>
  <c r="B78" i="80"/>
  <c r="B77" i="80"/>
  <c r="B76" i="80"/>
  <c r="B75" i="80"/>
  <c r="R75" i="80" s="1"/>
  <c r="B74" i="80"/>
  <c r="Q74" i="80" s="1"/>
  <c r="B73" i="80"/>
  <c r="W73" i="80" s="1"/>
  <c r="B72" i="80"/>
  <c r="S72" i="80" s="1"/>
  <c r="B71" i="80"/>
  <c r="B70" i="80"/>
  <c r="B69" i="80"/>
  <c r="B68" i="80"/>
  <c r="B67" i="80"/>
  <c r="B66" i="80"/>
  <c r="U66" i="80" s="1"/>
  <c r="B65" i="80"/>
  <c r="S65" i="80" s="1"/>
  <c r="B64" i="80"/>
  <c r="S64" i="80" s="1"/>
  <c r="B63" i="80"/>
  <c r="B62" i="80"/>
  <c r="B61" i="80"/>
  <c r="B60" i="80"/>
  <c r="B59" i="80"/>
  <c r="B58" i="80"/>
  <c r="Q58" i="80" s="1"/>
  <c r="B57" i="80"/>
  <c r="W57" i="80" s="1"/>
  <c r="B56" i="80"/>
  <c r="S56" i="80" s="1"/>
  <c r="B55" i="80"/>
  <c r="B54" i="80"/>
  <c r="B53" i="80"/>
  <c r="B52" i="80"/>
  <c r="B51" i="80"/>
  <c r="B50" i="80"/>
  <c r="U50" i="80" s="1"/>
  <c r="B49" i="80"/>
  <c r="S49" i="80" s="1"/>
  <c r="B48" i="80"/>
  <c r="S48" i="80" s="1"/>
  <c r="B47" i="80"/>
  <c r="B46" i="80"/>
  <c r="B45" i="80"/>
  <c r="B44" i="80"/>
  <c r="B43" i="80"/>
  <c r="B42" i="80"/>
  <c r="P42" i="80" s="1"/>
  <c r="B41" i="80"/>
  <c r="W41" i="80" s="1"/>
  <c r="B40" i="80"/>
  <c r="S40" i="80" s="1"/>
  <c r="W111" i="80"/>
  <c r="T111" i="80"/>
  <c r="L111" i="80"/>
  <c r="K111" i="80"/>
  <c r="I111" i="80"/>
  <c r="W110" i="80"/>
  <c r="V110" i="80"/>
  <c r="U110" i="80"/>
  <c r="T110" i="80"/>
  <c r="S110" i="80"/>
  <c r="R110" i="80"/>
  <c r="Q110" i="80"/>
  <c r="P110" i="80"/>
  <c r="O110" i="80"/>
  <c r="N110" i="80"/>
  <c r="M110" i="80"/>
  <c r="L110" i="80"/>
  <c r="K110" i="80"/>
  <c r="I110" i="80"/>
  <c r="W108" i="80"/>
  <c r="V108" i="80"/>
  <c r="U108" i="80"/>
  <c r="T108" i="80"/>
  <c r="S108" i="80"/>
  <c r="R108" i="80"/>
  <c r="Q108" i="80"/>
  <c r="P108" i="80"/>
  <c r="O108" i="80"/>
  <c r="N108" i="80"/>
  <c r="M108" i="80"/>
  <c r="L108" i="80"/>
  <c r="K108" i="80"/>
  <c r="I108" i="80"/>
  <c r="V107" i="80"/>
  <c r="U107" i="80"/>
  <c r="T107" i="80"/>
  <c r="N107" i="80"/>
  <c r="L107" i="80"/>
  <c r="U104" i="80"/>
  <c r="M104" i="80"/>
  <c r="S103" i="80"/>
  <c r="R103" i="80"/>
  <c r="Q103" i="80"/>
  <c r="P103" i="80"/>
  <c r="K103" i="80"/>
  <c r="I103" i="80"/>
  <c r="W102" i="80"/>
  <c r="V102" i="80"/>
  <c r="U102" i="80"/>
  <c r="T102" i="80"/>
  <c r="S102" i="80"/>
  <c r="R102" i="80"/>
  <c r="Q102" i="80"/>
  <c r="P102" i="80"/>
  <c r="O102" i="80"/>
  <c r="N102" i="80"/>
  <c r="M102" i="80"/>
  <c r="L102" i="80"/>
  <c r="K102" i="80"/>
  <c r="I102" i="80"/>
  <c r="W101" i="80"/>
  <c r="V101" i="80"/>
  <c r="U101" i="80"/>
  <c r="T101" i="80"/>
  <c r="S101" i="80"/>
  <c r="R101" i="80"/>
  <c r="Q101" i="80"/>
  <c r="P101" i="80"/>
  <c r="O101" i="80"/>
  <c r="N101" i="80"/>
  <c r="M101" i="80"/>
  <c r="L101" i="80"/>
  <c r="K101" i="80"/>
  <c r="I101" i="80"/>
  <c r="W100" i="80"/>
  <c r="V100" i="80"/>
  <c r="U100" i="80"/>
  <c r="T100" i="80"/>
  <c r="S100" i="80"/>
  <c r="R100" i="80"/>
  <c r="Q100" i="80"/>
  <c r="P100" i="80"/>
  <c r="O100" i="80"/>
  <c r="N100" i="80"/>
  <c r="M100" i="80"/>
  <c r="L100" i="80"/>
  <c r="K100" i="80"/>
  <c r="I100" i="80"/>
  <c r="R99" i="80"/>
  <c r="Q99" i="80"/>
  <c r="P99" i="80"/>
  <c r="I99" i="80"/>
  <c r="U96" i="80"/>
  <c r="M96" i="80"/>
  <c r="W95" i="80"/>
  <c r="V95" i="80"/>
  <c r="U95" i="80"/>
  <c r="T95" i="80"/>
  <c r="S95" i="80"/>
  <c r="R95" i="80"/>
  <c r="Q95" i="80"/>
  <c r="P95" i="80"/>
  <c r="O95" i="80"/>
  <c r="N95" i="80"/>
  <c r="M95" i="80"/>
  <c r="L95" i="80"/>
  <c r="K95" i="80"/>
  <c r="I95" i="80"/>
  <c r="W94" i="80"/>
  <c r="V94" i="80"/>
  <c r="U94" i="80"/>
  <c r="T94" i="80"/>
  <c r="S94" i="80"/>
  <c r="R94" i="80"/>
  <c r="Q94" i="80"/>
  <c r="P94" i="80"/>
  <c r="O94" i="80"/>
  <c r="N94" i="80"/>
  <c r="M94" i="80"/>
  <c r="L94" i="80"/>
  <c r="K94" i="80"/>
  <c r="I94" i="80"/>
  <c r="W93" i="80"/>
  <c r="V93" i="80"/>
  <c r="U93" i="80"/>
  <c r="T93" i="80"/>
  <c r="S93" i="80"/>
  <c r="R93" i="80"/>
  <c r="Q93" i="80"/>
  <c r="P93" i="80"/>
  <c r="O93" i="80"/>
  <c r="N93" i="80"/>
  <c r="M93" i="80"/>
  <c r="L93" i="80"/>
  <c r="K93" i="80"/>
  <c r="I93" i="80"/>
  <c r="W92" i="80"/>
  <c r="V92" i="80"/>
  <c r="U92" i="80"/>
  <c r="T92" i="80"/>
  <c r="S92" i="80"/>
  <c r="R92" i="80"/>
  <c r="Q92" i="80"/>
  <c r="P92" i="80"/>
  <c r="O92" i="80"/>
  <c r="N92" i="80"/>
  <c r="M92" i="80"/>
  <c r="L92" i="80"/>
  <c r="K92" i="80"/>
  <c r="I92" i="80"/>
  <c r="V91" i="80"/>
  <c r="U91" i="80"/>
  <c r="T91" i="80"/>
  <c r="N91" i="80"/>
  <c r="M91" i="80"/>
  <c r="L91" i="80"/>
  <c r="U88" i="80"/>
  <c r="M88" i="80"/>
  <c r="W87" i="80"/>
  <c r="V87" i="80"/>
  <c r="U87" i="80"/>
  <c r="T87" i="80"/>
  <c r="S87" i="80"/>
  <c r="R87" i="80"/>
  <c r="Q87" i="80"/>
  <c r="P87" i="80"/>
  <c r="O87" i="80"/>
  <c r="N87" i="80"/>
  <c r="M87" i="80"/>
  <c r="L87" i="80"/>
  <c r="K87" i="80"/>
  <c r="I87" i="80"/>
  <c r="W86" i="80"/>
  <c r="V86" i="80"/>
  <c r="U86" i="80"/>
  <c r="T86" i="80"/>
  <c r="S86" i="80"/>
  <c r="R86" i="80"/>
  <c r="Q86" i="80"/>
  <c r="P86" i="80"/>
  <c r="O86" i="80"/>
  <c r="N86" i="80"/>
  <c r="M86" i="80"/>
  <c r="L86" i="80"/>
  <c r="K86" i="80"/>
  <c r="I86" i="80"/>
  <c r="W85" i="80"/>
  <c r="V85" i="80"/>
  <c r="U85" i="80"/>
  <c r="T85" i="80"/>
  <c r="S85" i="80"/>
  <c r="R85" i="80"/>
  <c r="Q85" i="80"/>
  <c r="P85" i="80"/>
  <c r="O85" i="80"/>
  <c r="N85" i="80"/>
  <c r="M85" i="80"/>
  <c r="L85" i="80"/>
  <c r="K85" i="80"/>
  <c r="I85" i="80"/>
  <c r="W84" i="80"/>
  <c r="V84" i="80"/>
  <c r="U84" i="80"/>
  <c r="T84" i="80"/>
  <c r="S84" i="80"/>
  <c r="R84" i="80"/>
  <c r="Q84" i="80"/>
  <c r="P84" i="80"/>
  <c r="O84" i="80"/>
  <c r="N84" i="80"/>
  <c r="M84" i="80"/>
  <c r="L84" i="80"/>
  <c r="K84" i="80"/>
  <c r="I84" i="80"/>
  <c r="W83" i="80"/>
  <c r="R83" i="80"/>
  <c r="Q83" i="80"/>
  <c r="P83" i="80"/>
  <c r="O83" i="80"/>
  <c r="I83" i="80"/>
  <c r="U80" i="80"/>
  <c r="M80" i="80"/>
  <c r="W79" i="80"/>
  <c r="V79" i="80"/>
  <c r="U79" i="80"/>
  <c r="T79" i="80"/>
  <c r="S79" i="80"/>
  <c r="R79" i="80"/>
  <c r="Q79" i="80"/>
  <c r="P79" i="80"/>
  <c r="O79" i="80"/>
  <c r="N79" i="80"/>
  <c r="M79" i="80"/>
  <c r="L79" i="80"/>
  <c r="K79" i="80"/>
  <c r="I79" i="80"/>
  <c r="W78" i="80"/>
  <c r="V78" i="80"/>
  <c r="U78" i="80"/>
  <c r="T78" i="80"/>
  <c r="S78" i="80"/>
  <c r="R78" i="80"/>
  <c r="Q78" i="80"/>
  <c r="P78" i="80"/>
  <c r="O78" i="80"/>
  <c r="N78" i="80"/>
  <c r="M78" i="80"/>
  <c r="L78" i="80"/>
  <c r="K78" i="80"/>
  <c r="I78" i="80"/>
  <c r="W77" i="80"/>
  <c r="V77" i="80"/>
  <c r="U77" i="80"/>
  <c r="T77" i="80"/>
  <c r="S77" i="80"/>
  <c r="R77" i="80"/>
  <c r="Q77" i="80"/>
  <c r="P77" i="80"/>
  <c r="O77" i="80"/>
  <c r="N77" i="80"/>
  <c r="M77" i="80"/>
  <c r="L77" i="80"/>
  <c r="K77" i="80"/>
  <c r="I77" i="80"/>
  <c r="W76" i="80"/>
  <c r="V76" i="80"/>
  <c r="U76" i="80"/>
  <c r="T76" i="80"/>
  <c r="S76" i="80"/>
  <c r="R76" i="80"/>
  <c r="Q76" i="80"/>
  <c r="P76" i="80"/>
  <c r="O76" i="80"/>
  <c r="N76" i="80"/>
  <c r="M76" i="80"/>
  <c r="L76" i="80"/>
  <c r="K76" i="80"/>
  <c r="I76" i="80"/>
  <c r="V75" i="80"/>
  <c r="U75" i="80"/>
  <c r="T75" i="80"/>
  <c r="S75" i="80"/>
  <c r="Q75" i="80"/>
  <c r="P75" i="80"/>
  <c r="N75" i="80"/>
  <c r="M75" i="80"/>
  <c r="L75" i="80"/>
  <c r="K75" i="80"/>
  <c r="U72" i="80"/>
  <c r="M72" i="80"/>
  <c r="W71" i="80"/>
  <c r="V71" i="80"/>
  <c r="U71" i="80"/>
  <c r="T71" i="80"/>
  <c r="S71" i="80"/>
  <c r="R71" i="80"/>
  <c r="Q71" i="80"/>
  <c r="P71" i="80"/>
  <c r="O71" i="80"/>
  <c r="N71" i="80"/>
  <c r="M71" i="80"/>
  <c r="L71" i="80"/>
  <c r="K71" i="80"/>
  <c r="I71" i="80"/>
  <c r="W70" i="80"/>
  <c r="V70" i="80"/>
  <c r="U70" i="80"/>
  <c r="T70" i="80"/>
  <c r="S70" i="80"/>
  <c r="R70" i="80"/>
  <c r="Q70" i="80"/>
  <c r="P70" i="80"/>
  <c r="O70" i="80"/>
  <c r="N70" i="80"/>
  <c r="M70" i="80"/>
  <c r="L70" i="80"/>
  <c r="K70" i="80"/>
  <c r="I70" i="80"/>
  <c r="W69" i="80"/>
  <c r="V69" i="80"/>
  <c r="U69" i="80"/>
  <c r="T69" i="80"/>
  <c r="S69" i="80"/>
  <c r="R69" i="80"/>
  <c r="Q69" i="80"/>
  <c r="P69" i="80"/>
  <c r="O69" i="80"/>
  <c r="N69" i="80"/>
  <c r="M69" i="80"/>
  <c r="L69" i="80"/>
  <c r="K69" i="80"/>
  <c r="I69" i="80"/>
  <c r="W68" i="80"/>
  <c r="V68" i="80"/>
  <c r="U68" i="80"/>
  <c r="T68" i="80"/>
  <c r="S68" i="80"/>
  <c r="R68" i="80"/>
  <c r="Q68" i="80"/>
  <c r="P68" i="80"/>
  <c r="O68" i="80"/>
  <c r="N68" i="80"/>
  <c r="M68" i="80"/>
  <c r="L68" i="80"/>
  <c r="K68" i="80"/>
  <c r="I68" i="80"/>
  <c r="W67" i="80"/>
  <c r="V67" i="80"/>
  <c r="U67" i="80"/>
  <c r="T67" i="80"/>
  <c r="S67" i="80"/>
  <c r="R67" i="80"/>
  <c r="Q67" i="80"/>
  <c r="P67" i="80"/>
  <c r="O67" i="80"/>
  <c r="N67" i="80"/>
  <c r="M67" i="80"/>
  <c r="L67" i="80"/>
  <c r="K67" i="80"/>
  <c r="I67" i="80"/>
  <c r="U64" i="80"/>
  <c r="M64" i="80"/>
  <c r="W63" i="80"/>
  <c r="V63" i="80"/>
  <c r="U63" i="80"/>
  <c r="T63" i="80"/>
  <c r="S63" i="80"/>
  <c r="R63" i="80"/>
  <c r="Q63" i="80"/>
  <c r="P63" i="80"/>
  <c r="O63" i="80"/>
  <c r="N63" i="80"/>
  <c r="M63" i="80"/>
  <c r="L63" i="80"/>
  <c r="K63" i="80"/>
  <c r="I63" i="80"/>
  <c r="W62" i="80"/>
  <c r="V62" i="80"/>
  <c r="U62" i="80"/>
  <c r="T62" i="80"/>
  <c r="S62" i="80"/>
  <c r="R62" i="80"/>
  <c r="Q62" i="80"/>
  <c r="P62" i="80"/>
  <c r="O62" i="80"/>
  <c r="N62" i="80"/>
  <c r="M62" i="80"/>
  <c r="L62" i="80"/>
  <c r="K62" i="80"/>
  <c r="I62" i="80"/>
  <c r="W61" i="80"/>
  <c r="V61" i="80"/>
  <c r="U61" i="80"/>
  <c r="T61" i="80"/>
  <c r="S61" i="80"/>
  <c r="R61" i="80"/>
  <c r="Q61" i="80"/>
  <c r="P61" i="80"/>
  <c r="O61" i="80"/>
  <c r="N61" i="80"/>
  <c r="M61" i="80"/>
  <c r="L61" i="80"/>
  <c r="K61" i="80"/>
  <c r="I61" i="80"/>
  <c r="W60" i="80"/>
  <c r="V60" i="80"/>
  <c r="U60" i="80"/>
  <c r="T60" i="80"/>
  <c r="S60" i="80"/>
  <c r="R60" i="80"/>
  <c r="Q60" i="80"/>
  <c r="P60" i="80"/>
  <c r="O60" i="80"/>
  <c r="N60" i="80"/>
  <c r="M60" i="80"/>
  <c r="L60" i="80"/>
  <c r="K60" i="80"/>
  <c r="I60" i="80"/>
  <c r="W59" i="80"/>
  <c r="V59" i="80"/>
  <c r="U59" i="80"/>
  <c r="T59" i="80"/>
  <c r="S59" i="80"/>
  <c r="R59" i="80"/>
  <c r="Q59" i="80"/>
  <c r="P59" i="80"/>
  <c r="O59" i="80"/>
  <c r="N59" i="80"/>
  <c r="M59" i="80"/>
  <c r="L59" i="80"/>
  <c r="K59" i="80"/>
  <c r="I59" i="80"/>
  <c r="U56" i="80"/>
  <c r="M56" i="80"/>
  <c r="W55" i="80"/>
  <c r="V55" i="80"/>
  <c r="U55" i="80"/>
  <c r="T55" i="80"/>
  <c r="S55" i="80"/>
  <c r="R55" i="80"/>
  <c r="Q55" i="80"/>
  <c r="P55" i="80"/>
  <c r="O55" i="80"/>
  <c r="N55" i="80"/>
  <c r="M55" i="80"/>
  <c r="L55" i="80"/>
  <c r="K55" i="80"/>
  <c r="I55" i="80"/>
  <c r="W54" i="80"/>
  <c r="V54" i="80"/>
  <c r="U54" i="80"/>
  <c r="T54" i="80"/>
  <c r="S54" i="80"/>
  <c r="R54" i="80"/>
  <c r="Q54" i="80"/>
  <c r="P54" i="80"/>
  <c r="O54" i="80"/>
  <c r="N54" i="80"/>
  <c r="M54" i="80"/>
  <c r="L54" i="80"/>
  <c r="K54" i="80"/>
  <c r="I54" i="80"/>
  <c r="W53" i="80"/>
  <c r="V53" i="80"/>
  <c r="U53" i="80"/>
  <c r="T53" i="80"/>
  <c r="S53" i="80"/>
  <c r="R53" i="80"/>
  <c r="Q53" i="80"/>
  <c r="P53" i="80"/>
  <c r="O53" i="80"/>
  <c r="N53" i="80"/>
  <c r="M53" i="80"/>
  <c r="L53" i="80"/>
  <c r="K53" i="80"/>
  <c r="I53" i="80"/>
  <c r="W52" i="80"/>
  <c r="V52" i="80"/>
  <c r="U52" i="80"/>
  <c r="T52" i="80"/>
  <c r="S52" i="80"/>
  <c r="R52" i="80"/>
  <c r="Q52" i="80"/>
  <c r="P52" i="80"/>
  <c r="O52" i="80"/>
  <c r="N52" i="80"/>
  <c r="M52" i="80"/>
  <c r="L52" i="80"/>
  <c r="K52" i="80"/>
  <c r="I52" i="80"/>
  <c r="W51" i="80"/>
  <c r="V51" i="80"/>
  <c r="U51" i="80"/>
  <c r="T51" i="80"/>
  <c r="S51" i="80"/>
  <c r="R51" i="80"/>
  <c r="Q51" i="80"/>
  <c r="P51" i="80"/>
  <c r="O51" i="80"/>
  <c r="N51" i="80"/>
  <c r="M51" i="80"/>
  <c r="L51" i="80"/>
  <c r="K51" i="80"/>
  <c r="I51" i="80"/>
  <c r="U48" i="80"/>
  <c r="M48" i="80"/>
  <c r="W47" i="80"/>
  <c r="V47" i="80"/>
  <c r="U47" i="80"/>
  <c r="T47" i="80"/>
  <c r="S47" i="80"/>
  <c r="R47" i="80"/>
  <c r="Q47" i="80"/>
  <c r="P47" i="80"/>
  <c r="O47" i="80"/>
  <c r="N47" i="80"/>
  <c r="M47" i="80"/>
  <c r="L47" i="80"/>
  <c r="K47" i="80"/>
  <c r="I47" i="80"/>
  <c r="W46" i="80"/>
  <c r="V46" i="80"/>
  <c r="U46" i="80"/>
  <c r="T46" i="80"/>
  <c r="S46" i="80"/>
  <c r="R46" i="80"/>
  <c r="Q46" i="80"/>
  <c r="P46" i="80"/>
  <c r="O46" i="80"/>
  <c r="N46" i="80"/>
  <c r="M46" i="80"/>
  <c r="L46" i="80"/>
  <c r="K46" i="80"/>
  <c r="I46" i="80"/>
  <c r="W45" i="80"/>
  <c r="V45" i="80"/>
  <c r="U45" i="80"/>
  <c r="T45" i="80"/>
  <c r="S45" i="80"/>
  <c r="R45" i="80"/>
  <c r="Q45" i="80"/>
  <c r="P45" i="80"/>
  <c r="O45" i="80"/>
  <c r="N45" i="80"/>
  <c r="M45" i="80"/>
  <c r="L45" i="80"/>
  <c r="K45" i="80"/>
  <c r="I45" i="80"/>
  <c r="W44" i="80"/>
  <c r="V44" i="80"/>
  <c r="U44" i="80"/>
  <c r="T44" i="80"/>
  <c r="S44" i="80"/>
  <c r="R44" i="80"/>
  <c r="Q44" i="80"/>
  <c r="P44" i="80"/>
  <c r="O44" i="80"/>
  <c r="N44" i="80"/>
  <c r="M44" i="80"/>
  <c r="L44" i="80"/>
  <c r="K44" i="80"/>
  <c r="I44" i="80"/>
  <c r="W43" i="80"/>
  <c r="V43" i="80"/>
  <c r="U43" i="80"/>
  <c r="T43" i="80"/>
  <c r="S43" i="80"/>
  <c r="R43" i="80"/>
  <c r="Q43" i="80"/>
  <c r="P43" i="80"/>
  <c r="O43" i="80"/>
  <c r="N43" i="80"/>
  <c r="M43" i="80"/>
  <c r="L43" i="80"/>
  <c r="K43" i="80"/>
  <c r="I43" i="80"/>
  <c r="W40" i="80"/>
  <c r="U40" i="80"/>
  <c r="T40" i="80"/>
  <c r="Q40" i="80"/>
  <c r="P40" i="80"/>
  <c r="O40" i="80"/>
  <c r="M40" i="80"/>
  <c r="L40" i="80"/>
  <c r="L103" i="80" l="1"/>
  <c r="T103" i="80"/>
  <c r="M103" i="80"/>
  <c r="U103" i="80"/>
  <c r="N103" i="80"/>
  <c r="V103" i="80"/>
  <c r="O111" i="80"/>
  <c r="J109" i="80"/>
  <c r="H109" i="80" s="1"/>
  <c r="G109" i="80" s="1"/>
  <c r="O103" i="80"/>
  <c r="Q42" i="80"/>
  <c r="P111" i="80"/>
  <c r="Q111" i="80"/>
  <c r="T49" i="80"/>
  <c r="M107" i="80"/>
  <c r="P57" i="80"/>
  <c r="L81" i="80"/>
  <c r="L65" i="80"/>
  <c r="T81" i="80"/>
  <c r="T65" i="80"/>
  <c r="P89" i="80"/>
  <c r="P73" i="80"/>
  <c r="L97" i="80"/>
  <c r="P105" i="80"/>
  <c r="T97" i="80"/>
  <c r="P41" i="80"/>
  <c r="L49" i="80"/>
  <c r="S74" i="80"/>
  <c r="W50" i="80"/>
  <c r="S106" i="80"/>
  <c r="R111" i="80"/>
  <c r="S111" i="80"/>
  <c r="I42" i="80"/>
  <c r="K42" i="80"/>
  <c r="N66" i="80"/>
  <c r="O82" i="80"/>
  <c r="V50" i="80"/>
  <c r="R74" i="80"/>
  <c r="N82" i="80"/>
  <c r="S90" i="80"/>
  <c r="R106" i="80"/>
  <c r="R42" i="80"/>
  <c r="O66" i="80"/>
  <c r="V82" i="80"/>
  <c r="I58" i="80"/>
  <c r="V66" i="80"/>
  <c r="W82" i="80"/>
  <c r="N98" i="80"/>
  <c r="S42" i="80"/>
  <c r="K58" i="80"/>
  <c r="W66" i="80"/>
  <c r="O98" i="80"/>
  <c r="R58" i="80"/>
  <c r="I90" i="80"/>
  <c r="V98" i="80"/>
  <c r="N50" i="80"/>
  <c r="S58" i="80"/>
  <c r="I74" i="80"/>
  <c r="K90" i="80"/>
  <c r="W98" i="80"/>
  <c r="I106" i="80"/>
  <c r="O50" i="80"/>
  <c r="K74" i="80"/>
  <c r="R90" i="80"/>
  <c r="K106" i="80"/>
  <c r="M49" i="80"/>
  <c r="U49" i="80"/>
  <c r="M97" i="80"/>
  <c r="U97" i="80"/>
  <c r="N49" i="80"/>
  <c r="V49" i="80"/>
  <c r="P50" i="80"/>
  <c r="I89" i="80"/>
  <c r="R89" i="80"/>
  <c r="L90" i="80"/>
  <c r="T90" i="80"/>
  <c r="N97" i="80"/>
  <c r="V97" i="80"/>
  <c r="P98" i="80"/>
  <c r="I105" i="80"/>
  <c r="R105" i="80"/>
  <c r="L106" i="80"/>
  <c r="T106" i="80"/>
  <c r="Q41" i="80"/>
  <c r="M81" i="80"/>
  <c r="U81" i="80"/>
  <c r="Q105" i="80"/>
  <c r="I41" i="80"/>
  <c r="R41" i="80"/>
  <c r="L42" i="80"/>
  <c r="T42" i="80"/>
  <c r="N81" i="80"/>
  <c r="V81" i="80"/>
  <c r="P82" i="80"/>
  <c r="K41" i="80"/>
  <c r="S41" i="80"/>
  <c r="M42" i="80"/>
  <c r="U42" i="80"/>
  <c r="O49" i="80"/>
  <c r="W49" i="80"/>
  <c r="Q50" i="80"/>
  <c r="K57" i="80"/>
  <c r="S57" i="80"/>
  <c r="M58" i="80"/>
  <c r="U58" i="80"/>
  <c r="O65" i="80"/>
  <c r="W65" i="80"/>
  <c r="Q66" i="80"/>
  <c r="K73" i="80"/>
  <c r="S73" i="80"/>
  <c r="M74" i="80"/>
  <c r="U74" i="80"/>
  <c r="O75" i="80"/>
  <c r="J75" i="80" s="1"/>
  <c r="W75" i="80"/>
  <c r="O81" i="80"/>
  <c r="W81" i="80"/>
  <c r="Q82" i="80"/>
  <c r="K83" i="80"/>
  <c r="S83" i="80"/>
  <c r="K89" i="80"/>
  <c r="S89" i="80"/>
  <c r="M90" i="80"/>
  <c r="U90" i="80"/>
  <c r="O91" i="80"/>
  <c r="W91" i="80"/>
  <c r="O97" i="80"/>
  <c r="W97" i="80"/>
  <c r="Q98" i="80"/>
  <c r="K99" i="80"/>
  <c r="S99" i="80"/>
  <c r="K105" i="80"/>
  <c r="S105" i="80"/>
  <c r="M106" i="80"/>
  <c r="U106" i="80"/>
  <c r="O107" i="80"/>
  <c r="W107" i="80"/>
  <c r="M111" i="80"/>
  <c r="U111" i="80"/>
  <c r="Q57" i="80"/>
  <c r="N65" i="80"/>
  <c r="V65" i="80"/>
  <c r="P66" i="80"/>
  <c r="P49" i="80"/>
  <c r="I50" i="80"/>
  <c r="R50" i="80"/>
  <c r="L57" i="80"/>
  <c r="T57" i="80"/>
  <c r="N58" i="80"/>
  <c r="V58" i="80"/>
  <c r="P65" i="80"/>
  <c r="I66" i="80"/>
  <c r="R66" i="80"/>
  <c r="L73" i="80"/>
  <c r="T73" i="80"/>
  <c r="N74" i="80"/>
  <c r="V74" i="80"/>
  <c r="P81" i="80"/>
  <c r="I82" i="80"/>
  <c r="R82" i="80"/>
  <c r="L83" i="80"/>
  <c r="T83" i="80"/>
  <c r="L89" i="80"/>
  <c r="T89" i="80"/>
  <c r="N90" i="80"/>
  <c r="V90" i="80"/>
  <c r="P91" i="80"/>
  <c r="P97" i="80"/>
  <c r="I98" i="80"/>
  <c r="R98" i="80"/>
  <c r="L99" i="80"/>
  <c r="T99" i="80"/>
  <c r="L105" i="80"/>
  <c r="T105" i="80"/>
  <c r="N106" i="80"/>
  <c r="V106" i="80"/>
  <c r="P107" i="80"/>
  <c r="N111" i="80"/>
  <c r="M65" i="80"/>
  <c r="U65" i="80"/>
  <c r="I57" i="80"/>
  <c r="R57" i="80"/>
  <c r="L58" i="80"/>
  <c r="T58" i="80"/>
  <c r="L41" i="80"/>
  <c r="T41" i="80"/>
  <c r="N42" i="80"/>
  <c r="V42" i="80"/>
  <c r="Q49" i="80"/>
  <c r="K50" i="80"/>
  <c r="S50" i="80"/>
  <c r="M57" i="80"/>
  <c r="U57" i="80"/>
  <c r="O58" i="80"/>
  <c r="W58" i="80"/>
  <c r="Q65" i="80"/>
  <c r="K66" i="80"/>
  <c r="S66" i="80"/>
  <c r="M73" i="80"/>
  <c r="U73" i="80"/>
  <c r="O74" i="80"/>
  <c r="W74" i="80"/>
  <c r="Q81" i="80"/>
  <c r="K82" i="80"/>
  <c r="S82" i="80"/>
  <c r="M83" i="80"/>
  <c r="U83" i="80"/>
  <c r="M89" i="80"/>
  <c r="U89" i="80"/>
  <c r="O90" i="80"/>
  <c r="W90" i="80"/>
  <c r="Q91" i="80"/>
  <c r="Q97" i="80"/>
  <c r="K98" i="80"/>
  <c r="S98" i="80"/>
  <c r="M99" i="80"/>
  <c r="U99" i="80"/>
  <c r="M105" i="80"/>
  <c r="U105" i="80"/>
  <c r="O106" i="80"/>
  <c r="W106" i="80"/>
  <c r="Q107" i="80"/>
  <c r="Q73" i="80"/>
  <c r="I73" i="80"/>
  <c r="R73" i="80"/>
  <c r="L74" i="80"/>
  <c r="T74" i="80"/>
  <c r="M41" i="80"/>
  <c r="U41" i="80"/>
  <c r="O42" i="80"/>
  <c r="W42" i="80"/>
  <c r="N41" i="80"/>
  <c r="V41" i="80"/>
  <c r="I49" i="80"/>
  <c r="R49" i="80"/>
  <c r="L50" i="80"/>
  <c r="T50" i="80"/>
  <c r="N57" i="80"/>
  <c r="V57" i="80"/>
  <c r="P58" i="80"/>
  <c r="I65" i="80"/>
  <c r="R65" i="80"/>
  <c r="L66" i="80"/>
  <c r="T66" i="80"/>
  <c r="N73" i="80"/>
  <c r="V73" i="80"/>
  <c r="P74" i="80"/>
  <c r="I75" i="80"/>
  <c r="I81" i="80"/>
  <c r="R81" i="80"/>
  <c r="L82" i="80"/>
  <c r="T82" i="80"/>
  <c r="N83" i="80"/>
  <c r="N89" i="80"/>
  <c r="V89" i="80"/>
  <c r="P90" i="80"/>
  <c r="I91" i="80"/>
  <c r="R91" i="80"/>
  <c r="I97" i="80"/>
  <c r="R97" i="80"/>
  <c r="L98" i="80"/>
  <c r="T98" i="80"/>
  <c r="N99" i="80"/>
  <c r="V99" i="80"/>
  <c r="N105" i="80"/>
  <c r="V105" i="80"/>
  <c r="P106" i="80"/>
  <c r="I107" i="80"/>
  <c r="R107" i="80"/>
  <c r="Q89" i="80"/>
  <c r="O41" i="80"/>
  <c r="K49" i="80"/>
  <c r="M50" i="80"/>
  <c r="O57" i="80"/>
  <c r="K65" i="80"/>
  <c r="M66" i="80"/>
  <c r="O73" i="80"/>
  <c r="K81" i="80"/>
  <c r="M82" i="80"/>
  <c r="O89" i="80"/>
  <c r="K91" i="80"/>
  <c r="K97" i="80"/>
  <c r="M98" i="80"/>
  <c r="O99" i="80"/>
  <c r="O105" i="80"/>
  <c r="K107" i="80"/>
  <c r="L48" i="80"/>
  <c r="T48" i="80"/>
  <c r="L56" i="80"/>
  <c r="T56" i="80"/>
  <c r="L64" i="80"/>
  <c r="T64" i="80"/>
  <c r="L72" i="80"/>
  <c r="T72" i="80"/>
  <c r="L80" i="80"/>
  <c r="T80" i="80"/>
  <c r="L88" i="80"/>
  <c r="T88" i="80"/>
  <c r="L96" i="80"/>
  <c r="T96" i="80"/>
  <c r="L104" i="80"/>
  <c r="T104" i="80"/>
  <c r="N40" i="80"/>
  <c r="V40" i="80"/>
  <c r="N48" i="80"/>
  <c r="V48" i="80"/>
  <c r="N56" i="80"/>
  <c r="V56" i="80"/>
  <c r="N64" i="80"/>
  <c r="V64" i="80"/>
  <c r="N72" i="80"/>
  <c r="V72" i="80"/>
  <c r="N80" i="80"/>
  <c r="V80" i="80"/>
  <c r="N88" i="80"/>
  <c r="V88" i="80"/>
  <c r="N96" i="80"/>
  <c r="V96" i="80"/>
  <c r="N104" i="80"/>
  <c r="V104" i="80"/>
  <c r="O48" i="80"/>
  <c r="W48" i="80"/>
  <c r="O56" i="80"/>
  <c r="W56" i="80"/>
  <c r="O64" i="80"/>
  <c r="W64" i="80"/>
  <c r="O72" i="80"/>
  <c r="W72" i="80"/>
  <c r="O80" i="80"/>
  <c r="W80" i="80"/>
  <c r="O88" i="80"/>
  <c r="W88" i="80"/>
  <c r="O96" i="80"/>
  <c r="W96" i="80"/>
  <c r="O104" i="80"/>
  <c r="W104" i="80"/>
  <c r="P48" i="80"/>
  <c r="P56" i="80"/>
  <c r="P64" i="80"/>
  <c r="P72" i="80"/>
  <c r="P80" i="80"/>
  <c r="P88" i="80"/>
  <c r="P96" i="80"/>
  <c r="P104" i="80"/>
  <c r="Q48" i="80"/>
  <c r="Q56" i="80"/>
  <c r="Q64" i="80"/>
  <c r="Q72" i="80"/>
  <c r="Q80" i="80"/>
  <c r="Q88" i="80"/>
  <c r="Q96" i="80"/>
  <c r="Q104" i="80"/>
  <c r="I48" i="80"/>
  <c r="R48" i="80"/>
  <c r="I56" i="80"/>
  <c r="R56" i="80"/>
  <c r="I64" i="80"/>
  <c r="R64" i="80"/>
  <c r="I72" i="80"/>
  <c r="R72" i="80"/>
  <c r="I80" i="80"/>
  <c r="R80" i="80"/>
  <c r="I88" i="80"/>
  <c r="R88" i="80"/>
  <c r="I96" i="80"/>
  <c r="R96" i="80"/>
  <c r="I104" i="80"/>
  <c r="R104" i="80"/>
  <c r="I40" i="80"/>
  <c r="R40" i="80"/>
  <c r="K40" i="80"/>
  <c r="K48" i="80"/>
  <c r="K56" i="80"/>
  <c r="K64" i="80"/>
  <c r="K72" i="80"/>
  <c r="K80" i="80"/>
  <c r="K88" i="80"/>
  <c r="K96" i="80"/>
  <c r="K104" i="80"/>
  <c r="J63" i="80"/>
  <c r="J71" i="80"/>
  <c r="J77" i="80"/>
  <c r="J78" i="80"/>
  <c r="J79" i="80"/>
  <c r="J110" i="80"/>
  <c r="J103" i="80"/>
  <c r="J55" i="80"/>
  <c r="J59" i="80"/>
  <c r="J61" i="80"/>
  <c r="J62" i="80"/>
  <c r="J47" i="80"/>
  <c r="J51" i="80"/>
  <c r="J53" i="80"/>
  <c r="J54" i="80"/>
  <c r="J67" i="80"/>
  <c r="J69" i="80"/>
  <c r="J70" i="80"/>
  <c r="J95" i="80"/>
  <c r="J101" i="80"/>
  <c r="J102" i="80"/>
  <c r="J43" i="80"/>
  <c r="J45" i="80"/>
  <c r="J46" i="80"/>
  <c r="J87" i="80"/>
  <c r="J85" i="80"/>
  <c r="J86" i="80"/>
  <c r="J93" i="80"/>
  <c r="J94" i="80"/>
  <c r="J44" i="80"/>
  <c r="J52" i="80"/>
  <c r="J60" i="80"/>
  <c r="J68" i="80"/>
  <c r="J76" i="80"/>
  <c r="J84" i="80"/>
  <c r="J92" i="80"/>
  <c r="J100" i="80"/>
  <c r="J108" i="80"/>
  <c r="W11" i="80"/>
  <c r="U11" i="80"/>
  <c r="J107" i="80" l="1"/>
  <c r="J98" i="80"/>
  <c r="J73" i="80"/>
  <c r="J106" i="80"/>
  <c r="J49" i="80"/>
  <c r="J97" i="80"/>
  <c r="J81" i="80"/>
  <c r="J74" i="80"/>
  <c r="J105" i="80"/>
  <c r="J90" i="80"/>
  <c r="J50" i="80"/>
  <c r="J111" i="80"/>
  <c r="J99" i="80"/>
  <c r="J89" i="80"/>
  <c r="J42" i="80"/>
  <c r="J82" i="80"/>
  <c r="J41" i="80"/>
  <c r="J58" i="80"/>
  <c r="J91" i="80"/>
  <c r="J65" i="80"/>
  <c r="J66" i="80"/>
  <c r="J83" i="80"/>
  <c r="J57" i="80"/>
  <c r="J48" i="80"/>
  <c r="J64" i="80"/>
  <c r="J56" i="80"/>
  <c r="J104" i="80"/>
  <c r="J96" i="80"/>
  <c r="J88" i="80"/>
  <c r="J80" i="80"/>
  <c r="J72" i="80"/>
  <c r="J40" i="80"/>
  <c r="T11" i="80"/>
  <c r="S11" i="80"/>
  <c r="R11" i="80"/>
  <c r="P11" i="80"/>
  <c r="O11" i="80"/>
  <c r="N11" i="80"/>
  <c r="M11" i="80"/>
  <c r="L11" i="80"/>
  <c r="K11" i="80"/>
  <c r="J11" i="80" l="1"/>
  <c r="H11" i="80" s="1"/>
  <c r="G11" i="80" s="1"/>
  <c r="L14" i="81"/>
  <c r="H14" i="81"/>
  <c r="C14" i="81"/>
  <c r="AH14" i="81"/>
  <c r="H110" i="80" l="1"/>
  <c r="G110" i="80" s="1"/>
  <c r="H59" i="80"/>
  <c r="G59" i="80" s="1"/>
  <c r="H61" i="80"/>
  <c r="G61" i="80" s="1"/>
  <c r="H63" i="80"/>
  <c r="G63" i="80" s="1"/>
  <c r="H65" i="80"/>
  <c r="G65" i="80" s="1"/>
  <c r="H67" i="80"/>
  <c r="G67" i="80" s="1"/>
  <c r="H69" i="80"/>
  <c r="G69" i="80" s="1"/>
  <c r="H71" i="80"/>
  <c r="G71" i="80" s="1"/>
  <c r="H82" i="80"/>
  <c r="G82" i="80" s="1"/>
  <c r="H84" i="80"/>
  <c r="G84" i="80" s="1"/>
  <c r="H88" i="80"/>
  <c r="G88" i="80" s="1"/>
  <c r="H90" i="80"/>
  <c r="G90" i="80" s="1"/>
  <c r="H92" i="80"/>
  <c r="G92" i="80" s="1"/>
  <c r="H98" i="80"/>
  <c r="G98" i="80" s="1"/>
  <c r="H100" i="80"/>
  <c r="G100" i="80" s="1"/>
  <c r="H106" i="80"/>
  <c r="G106" i="80" s="1"/>
  <c r="H108" i="80"/>
  <c r="G108" i="80" s="1"/>
  <c r="H111" i="80"/>
  <c r="G111" i="80" s="1"/>
  <c r="H42" i="80"/>
  <c r="G42" i="80" s="1"/>
  <c r="H44" i="80"/>
  <c r="G44" i="80" s="1"/>
  <c r="H46" i="80"/>
  <c r="G46" i="80" s="1"/>
  <c r="H48" i="80"/>
  <c r="G48" i="80" s="1"/>
  <c r="H50" i="80"/>
  <c r="G50" i="80" s="1"/>
  <c r="H52" i="80"/>
  <c r="G52" i="80" s="1"/>
  <c r="H54" i="80"/>
  <c r="G54" i="80" s="1"/>
  <c r="H56" i="80"/>
  <c r="G56" i="80" s="1"/>
  <c r="H58" i="80"/>
  <c r="G58" i="80" s="1"/>
  <c r="H60" i="80"/>
  <c r="G60" i="80" s="1"/>
  <c r="H62" i="80"/>
  <c r="G62" i="80" s="1"/>
  <c r="H64" i="80"/>
  <c r="G64" i="80" s="1"/>
  <c r="H70" i="80"/>
  <c r="G70" i="80" s="1"/>
  <c r="H72" i="80"/>
  <c r="G72" i="80" s="1"/>
  <c r="H74" i="80"/>
  <c r="G74" i="80" s="1"/>
  <c r="H76" i="80"/>
  <c r="G76" i="80" s="1"/>
  <c r="H78" i="80"/>
  <c r="G78" i="80" s="1"/>
  <c r="H80" i="80"/>
  <c r="G80" i="80" s="1"/>
  <c r="H86" i="80"/>
  <c r="G86" i="80" s="1"/>
  <c r="H93" i="80"/>
  <c r="G93" i="80" s="1"/>
  <c r="H95" i="80"/>
  <c r="G95" i="80" s="1"/>
  <c r="H97" i="80"/>
  <c r="G97" i="80" s="1"/>
  <c r="H99" i="80"/>
  <c r="G99" i="80" s="1"/>
  <c r="H101" i="80"/>
  <c r="G101" i="80" s="1"/>
  <c r="H103" i="80"/>
  <c r="G103" i="80" s="1"/>
  <c r="H105" i="80"/>
  <c r="G105" i="80" s="1"/>
  <c r="H107" i="80"/>
  <c r="G107" i="80" s="1"/>
  <c r="H40" i="80"/>
  <c r="G40" i="80" s="1"/>
  <c r="H41" i="80"/>
  <c r="G41" i="80" s="1"/>
  <c r="H43" i="80"/>
  <c r="G43" i="80" s="1"/>
  <c r="H45" i="80"/>
  <c r="G45" i="80" s="1"/>
  <c r="H47" i="80"/>
  <c r="G47" i="80" s="1"/>
  <c r="H49" i="80"/>
  <c r="G49" i="80" s="1"/>
  <c r="H51" i="80"/>
  <c r="G51" i="80" s="1"/>
  <c r="H53" i="80"/>
  <c r="G53" i="80" s="1"/>
  <c r="H55" i="80"/>
  <c r="G55" i="80" s="1"/>
  <c r="H57" i="80"/>
  <c r="G57" i="80" s="1"/>
  <c r="H66" i="80"/>
  <c r="G66" i="80" s="1"/>
  <c r="H68" i="80"/>
  <c r="G68" i="80" s="1"/>
  <c r="H94" i="80"/>
  <c r="G94" i="80" s="1"/>
  <c r="H96" i="80"/>
  <c r="G96" i="80" s="1"/>
  <c r="H102" i="80"/>
  <c r="G102" i="80" s="1"/>
  <c r="H104" i="80"/>
  <c r="G104" i="80" s="1"/>
  <c r="H73" i="80"/>
  <c r="G73" i="80" s="1"/>
  <c r="H75" i="80"/>
  <c r="G75" i="80" s="1"/>
  <c r="H77" i="80"/>
  <c r="G77" i="80" s="1"/>
  <c r="H79" i="80"/>
  <c r="G79" i="80" s="1"/>
  <c r="H81" i="80"/>
  <c r="G81" i="80" s="1"/>
  <c r="H83" i="80"/>
  <c r="G83" i="80" s="1"/>
  <c r="H85" i="80"/>
  <c r="G85" i="80" s="1"/>
  <c r="H87" i="80"/>
  <c r="G87" i="80" s="1"/>
  <c r="H89" i="80"/>
  <c r="G89" i="80" s="1"/>
  <c r="H91" i="80"/>
  <c r="G91" i="80" s="1"/>
  <c r="B39" i="80" l="1"/>
  <c r="B38" i="80"/>
  <c r="B37" i="80"/>
  <c r="B36" i="80"/>
  <c r="B35" i="80"/>
  <c r="B34" i="80"/>
  <c r="B33" i="80"/>
  <c r="B32" i="80"/>
  <c r="B31" i="80"/>
  <c r="B30" i="80"/>
  <c r="B29" i="80"/>
  <c r="B28" i="80"/>
  <c r="B27" i="80"/>
  <c r="B26" i="80"/>
  <c r="B25" i="80"/>
  <c r="B24" i="80"/>
  <c r="B23" i="80"/>
  <c r="B22" i="80"/>
  <c r="B21" i="80"/>
  <c r="B20" i="80"/>
  <c r="B19" i="80"/>
  <c r="B18" i="80"/>
  <c r="B17" i="80"/>
  <c r="B16" i="80"/>
  <c r="B15" i="80"/>
  <c r="B14" i="80"/>
  <c r="B13" i="80"/>
  <c r="B12" i="80"/>
  <c r="W12" i="80" s="1"/>
  <c r="Q12" i="80" l="1"/>
  <c r="R12" i="80"/>
  <c r="P12" i="80"/>
  <c r="O12" i="80"/>
  <c r="L12" i="80"/>
  <c r="N12" i="80"/>
  <c r="M12" i="80"/>
  <c r="K12" i="80"/>
  <c r="S31" i="80"/>
  <c r="K31" i="80"/>
  <c r="R31" i="80"/>
  <c r="I31" i="80"/>
  <c r="W31" i="80"/>
  <c r="O31" i="80"/>
  <c r="U31" i="80"/>
  <c r="M31" i="80"/>
  <c r="T31" i="80"/>
  <c r="L31" i="80"/>
  <c r="N31" i="80"/>
  <c r="V31" i="80"/>
  <c r="Q31" i="80"/>
  <c r="P31" i="80"/>
  <c r="S39" i="80"/>
  <c r="K39" i="80"/>
  <c r="R39" i="80"/>
  <c r="I39" i="80"/>
  <c r="W39" i="80"/>
  <c r="O39" i="80"/>
  <c r="U39" i="80"/>
  <c r="M39" i="80"/>
  <c r="T39" i="80"/>
  <c r="L39" i="80"/>
  <c r="V39" i="80"/>
  <c r="P39" i="80"/>
  <c r="N39" i="80"/>
  <c r="Q39" i="80"/>
  <c r="U16" i="80"/>
  <c r="M16" i="80"/>
  <c r="T16" i="80"/>
  <c r="L16" i="80"/>
  <c r="Q16" i="80"/>
  <c r="W16" i="80"/>
  <c r="O16" i="80"/>
  <c r="V16" i="80"/>
  <c r="P16" i="80"/>
  <c r="K16" i="80"/>
  <c r="I16" i="80"/>
  <c r="S16" i="80"/>
  <c r="R16" i="80"/>
  <c r="N16" i="80"/>
  <c r="U24" i="80"/>
  <c r="M24" i="80"/>
  <c r="T24" i="80"/>
  <c r="L24" i="80"/>
  <c r="Q24" i="80"/>
  <c r="W24" i="80"/>
  <c r="O24" i="80"/>
  <c r="V24" i="80"/>
  <c r="N24" i="80"/>
  <c r="R24" i="80"/>
  <c r="K24" i="80"/>
  <c r="I24" i="80"/>
  <c r="S24" i="80"/>
  <c r="P24" i="80"/>
  <c r="U32" i="80"/>
  <c r="M32" i="80"/>
  <c r="T32" i="80"/>
  <c r="L32" i="80"/>
  <c r="Q32" i="80"/>
  <c r="W32" i="80"/>
  <c r="O32" i="80"/>
  <c r="V32" i="80"/>
  <c r="N32" i="80"/>
  <c r="S32" i="80"/>
  <c r="K32" i="80"/>
  <c r="R32" i="80"/>
  <c r="P32" i="80"/>
  <c r="I32" i="80"/>
  <c r="W25" i="80"/>
  <c r="O25" i="80"/>
  <c r="V25" i="80"/>
  <c r="N25" i="80"/>
  <c r="S25" i="80"/>
  <c r="K25" i="80"/>
  <c r="Q25" i="80"/>
  <c r="P25" i="80"/>
  <c r="L25" i="80"/>
  <c r="T25" i="80"/>
  <c r="R25" i="80"/>
  <c r="M25" i="80"/>
  <c r="I25" i="80"/>
  <c r="U25" i="80"/>
  <c r="Q18" i="80"/>
  <c r="P18" i="80"/>
  <c r="U18" i="80"/>
  <c r="M18" i="80"/>
  <c r="S18" i="80"/>
  <c r="K18" i="80"/>
  <c r="I18" i="80"/>
  <c r="T18" i="80"/>
  <c r="O18" i="80"/>
  <c r="N18" i="80"/>
  <c r="L18" i="80"/>
  <c r="W18" i="80"/>
  <c r="V18" i="80"/>
  <c r="R18" i="80"/>
  <c r="Q26" i="80"/>
  <c r="P26" i="80"/>
  <c r="U26" i="80"/>
  <c r="M26" i="80"/>
  <c r="S26" i="80"/>
  <c r="K26" i="80"/>
  <c r="R26" i="80"/>
  <c r="I26" i="80"/>
  <c r="T26" i="80"/>
  <c r="L26" i="80"/>
  <c r="W26" i="80"/>
  <c r="V26" i="80"/>
  <c r="O26" i="80"/>
  <c r="N26" i="80"/>
  <c r="Q34" i="80"/>
  <c r="P34" i="80"/>
  <c r="U34" i="80"/>
  <c r="M34" i="80"/>
  <c r="S34" i="80"/>
  <c r="K34" i="80"/>
  <c r="R34" i="80"/>
  <c r="I34" i="80"/>
  <c r="N34" i="80"/>
  <c r="V34" i="80"/>
  <c r="T34" i="80"/>
  <c r="O34" i="80"/>
  <c r="L34" i="80"/>
  <c r="W34" i="80"/>
  <c r="W17" i="80"/>
  <c r="O17" i="80"/>
  <c r="V17" i="80"/>
  <c r="N17" i="80"/>
  <c r="S17" i="80"/>
  <c r="K17" i="80"/>
  <c r="Q17" i="80"/>
  <c r="R17" i="80"/>
  <c r="M17" i="80"/>
  <c r="L17" i="80"/>
  <c r="I17" i="80"/>
  <c r="U17" i="80"/>
  <c r="P17" i="80"/>
  <c r="T17" i="80"/>
  <c r="W33" i="80"/>
  <c r="O33" i="80"/>
  <c r="V33" i="80"/>
  <c r="N33" i="80"/>
  <c r="S33" i="80"/>
  <c r="K33" i="80"/>
  <c r="Q33" i="80"/>
  <c r="P33" i="80"/>
  <c r="T33" i="80"/>
  <c r="M33" i="80"/>
  <c r="L33" i="80"/>
  <c r="I33" i="80"/>
  <c r="U33" i="80"/>
  <c r="R33" i="80"/>
  <c r="S19" i="80"/>
  <c r="K19" i="80"/>
  <c r="R19" i="80"/>
  <c r="I19" i="80"/>
  <c r="W19" i="80"/>
  <c r="O19" i="80"/>
  <c r="U19" i="80"/>
  <c r="M19" i="80"/>
  <c r="T19" i="80"/>
  <c r="L19" i="80"/>
  <c r="Q19" i="80"/>
  <c r="P19" i="80"/>
  <c r="N19" i="80"/>
  <c r="V19" i="80"/>
  <c r="S27" i="80"/>
  <c r="K27" i="80"/>
  <c r="R27" i="80"/>
  <c r="I27" i="80"/>
  <c r="W27" i="80"/>
  <c r="O27" i="80"/>
  <c r="U27" i="80"/>
  <c r="M27" i="80"/>
  <c r="T27" i="80"/>
  <c r="L27" i="80"/>
  <c r="Q27" i="80"/>
  <c r="N27" i="80"/>
  <c r="V27" i="80"/>
  <c r="P27" i="80"/>
  <c r="S35" i="80"/>
  <c r="K35" i="80"/>
  <c r="R35" i="80"/>
  <c r="I35" i="80"/>
  <c r="W35" i="80"/>
  <c r="O35" i="80"/>
  <c r="U35" i="80"/>
  <c r="M35" i="80"/>
  <c r="T35" i="80"/>
  <c r="L35" i="80"/>
  <c r="V35" i="80"/>
  <c r="N35" i="80"/>
  <c r="Q35" i="80"/>
  <c r="P35" i="80"/>
  <c r="S23" i="80"/>
  <c r="K23" i="80"/>
  <c r="R23" i="80"/>
  <c r="I23" i="80"/>
  <c r="W23" i="80"/>
  <c r="O23" i="80"/>
  <c r="U23" i="80"/>
  <c r="M23" i="80"/>
  <c r="T23" i="80"/>
  <c r="L23" i="80"/>
  <c r="Q23" i="80"/>
  <c r="V23" i="80"/>
  <c r="P23" i="80"/>
  <c r="N23" i="80"/>
  <c r="U20" i="80"/>
  <c r="M20" i="80"/>
  <c r="T20" i="80"/>
  <c r="L20" i="80"/>
  <c r="Q20" i="80"/>
  <c r="W20" i="80"/>
  <c r="O20" i="80"/>
  <c r="V20" i="80"/>
  <c r="N20" i="80"/>
  <c r="R20" i="80"/>
  <c r="I20" i="80"/>
  <c r="S20" i="80"/>
  <c r="P20" i="80"/>
  <c r="K20" i="80"/>
  <c r="U36" i="80"/>
  <c r="M36" i="80"/>
  <c r="T36" i="80"/>
  <c r="L36" i="80"/>
  <c r="Q36" i="80"/>
  <c r="W36" i="80"/>
  <c r="O36" i="80"/>
  <c r="V36" i="80"/>
  <c r="N36" i="80"/>
  <c r="S36" i="80"/>
  <c r="P36" i="80"/>
  <c r="K36" i="80"/>
  <c r="I36" i="80"/>
  <c r="R36" i="80"/>
  <c r="W21" i="80"/>
  <c r="O21" i="80"/>
  <c r="V21" i="80"/>
  <c r="N21" i="80"/>
  <c r="S21" i="80"/>
  <c r="K21" i="80"/>
  <c r="Q21" i="80"/>
  <c r="P21" i="80"/>
  <c r="R21" i="80"/>
  <c r="L21" i="80"/>
  <c r="I21" i="80"/>
  <c r="U21" i="80"/>
  <c r="T21" i="80"/>
  <c r="M21" i="80"/>
  <c r="W29" i="80"/>
  <c r="O29" i="80"/>
  <c r="V29" i="80"/>
  <c r="N29" i="80"/>
  <c r="S29" i="80"/>
  <c r="K29" i="80"/>
  <c r="Q29" i="80"/>
  <c r="P29" i="80"/>
  <c r="T29" i="80"/>
  <c r="L29" i="80"/>
  <c r="U29" i="80"/>
  <c r="R29" i="80"/>
  <c r="M29" i="80"/>
  <c r="I29" i="80"/>
  <c r="W37" i="80"/>
  <c r="O37" i="80"/>
  <c r="V37" i="80"/>
  <c r="N37" i="80"/>
  <c r="S37" i="80"/>
  <c r="K37" i="80"/>
  <c r="Q37" i="80"/>
  <c r="P37" i="80"/>
  <c r="M37" i="80"/>
  <c r="U37" i="80"/>
  <c r="T37" i="80"/>
  <c r="R37" i="80"/>
  <c r="L37" i="80"/>
  <c r="I37" i="80"/>
  <c r="S15" i="80"/>
  <c r="K15" i="80"/>
  <c r="R15" i="80"/>
  <c r="I15" i="80"/>
  <c r="W15" i="80"/>
  <c r="O15" i="80"/>
  <c r="U15" i="80"/>
  <c r="M15" i="80"/>
  <c r="T15" i="80"/>
  <c r="N15" i="80"/>
  <c r="V15" i="80"/>
  <c r="Q15" i="80"/>
  <c r="L15" i="80"/>
  <c r="P15" i="80"/>
  <c r="I12" i="80"/>
  <c r="U12" i="80"/>
  <c r="T12" i="80"/>
  <c r="S12" i="80"/>
  <c r="V12" i="80"/>
  <c r="U28" i="80"/>
  <c r="M28" i="80"/>
  <c r="T28" i="80"/>
  <c r="L28" i="80"/>
  <c r="Q28" i="80"/>
  <c r="W28" i="80"/>
  <c r="O28" i="80"/>
  <c r="V28" i="80"/>
  <c r="N28" i="80"/>
  <c r="K28" i="80"/>
  <c r="S28" i="80"/>
  <c r="R28" i="80"/>
  <c r="P28" i="80"/>
  <c r="I28" i="80"/>
  <c r="W13" i="80"/>
  <c r="O13" i="80"/>
  <c r="V13" i="80"/>
  <c r="N13" i="80"/>
  <c r="S13" i="80"/>
  <c r="K13" i="80"/>
  <c r="Q13" i="80"/>
  <c r="P13" i="80"/>
  <c r="I13" i="80"/>
  <c r="U13" i="80"/>
  <c r="T13" i="80"/>
  <c r="R13" i="80"/>
  <c r="M13" i="80"/>
  <c r="L13" i="80"/>
  <c r="Q14" i="80"/>
  <c r="P14" i="80"/>
  <c r="U14" i="80"/>
  <c r="M14" i="80"/>
  <c r="S14" i="80"/>
  <c r="K14" i="80"/>
  <c r="R14" i="80"/>
  <c r="L14" i="80"/>
  <c r="W14" i="80"/>
  <c r="V14" i="80"/>
  <c r="T14" i="80"/>
  <c r="O14" i="80"/>
  <c r="I14" i="80"/>
  <c r="N14" i="80"/>
  <c r="Q22" i="80"/>
  <c r="P22" i="80"/>
  <c r="U22" i="80"/>
  <c r="M22" i="80"/>
  <c r="S22" i="80"/>
  <c r="K22" i="80"/>
  <c r="R22" i="80"/>
  <c r="I22" i="80"/>
  <c r="L22" i="80"/>
  <c r="W22" i="80"/>
  <c r="T22" i="80"/>
  <c r="O22" i="80"/>
  <c r="N22" i="80"/>
  <c r="V22" i="80"/>
  <c r="Q30" i="80"/>
  <c r="P30" i="80"/>
  <c r="U30" i="80"/>
  <c r="M30" i="80"/>
  <c r="S30" i="80"/>
  <c r="K30" i="80"/>
  <c r="R30" i="80"/>
  <c r="I30" i="80"/>
  <c r="T30" i="80"/>
  <c r="N30" i="80"/>
  <c r="L30" i="80"/>
  <c r="W30" i="80"/>
  <c r="V30" i="80"/>
  <c r="O30" i="80"/>
  <c r="Q38" i="80"/>
  <c r="P38" i="80"/>
  <c r="U38" i="80"/>
  <c r="M38" i="80"/>
  <c r="S38" i="80"/>
  <c r="K38" i="80"/>
  <c r="R38" i="80"/>
  <c r="I38" i="80"/>
  <c r="V38" i="80"/>
  <c r="N38" i="80"/>
  <c r="W38" i="80"/>
  <c r="T38" i="80"/>
  <c r="O38" i="80"/>
  <c r="L38" i="80"/>
  <c r="J12" i="80" l="1"/>
  <c r="T18" i="82" s="1"/>
  <c r="J30" i="80"/>
  <c r="H30" i="80" s="1"/>
  <c r="G30" i="80" s="1"/>
  <c r="J38" i="80"/>
  <c r="H38" i="80" s="1"/>
  <c r="G38" i="80" s="1"/>
  <c r="J13" i="80"/>
  <c r="Z45" i="82"/>
  <c r="J37" i="80"/>
  <c r="H37" i="80" s="1"/>
  <c r="G37" i="80" s="1"/>
  <c r="J20" i="80"/>
  <c r="H20" i="80" s="1"/>
  <c r="G20" i="80" s="1"/>
  <c r="J35" i="80"/>
  <c r="H35" i="80" s="1"/>
  <c r="G35" i="80" s="1"/>
  <c r="J26" i="80"/>
  <c r="J39" i="80"/>
  <c r="H39" i="80" s="1"/>
  <c r="G39" i="80" s="1"/>
  <c r="J14" i="80"/>
  <c r="H14" i="80" s="1"/>
  <c r="G14" i="80" s="1"/>
  <c r="J28" i="80"/>
  <c r="H28" i="80" s="1"/>
  <c r="G28" i="80" s="1"/>
  <c r="Z37" i="82"/>
  <c r="J23" i="80"/>
  <c r="J34" i="80"/>
  <c r="H34" i="80" s="1"/>
  <c r="G34" i="80" s="1"/>
  <c r="J16" i="80"/>
  <c r="Z35" i="82"/>
  <c r="J24" i="80"/>
  <c r="Z43" i="82"/>
  <c r="J22" i="80"/>
  <c r="H22" i="80" s="1"/>
  <c r="G22" i="80" s="1"/>
  <c r="Z41" i="82"/>
  <c r="J21" i="80"/>
  <c r="J36" i="80"/>
  <c r="H36" i="80" s="1"/>
  <c r="G36" i="80" s="1"/>
  <c r="J19" i="80"/>
  <c r="H19" i="80" s="1"/>
  <c r="G19" i="80" s="1"/>
  <c r="J17" i="80"/>
  <c r="N18" i="82" s="1"/>
  <c r="J25" i="80"/>
  <c r="Z33" i="82"/>
  <c r="T16" i="82"/>
  <c r="Z29" i="82"/>
  <c r="Z31" i="82"/>
  <c r="J32" i="80"/>
  <c r="H32" i="80" s="1"/>
  <c r="G32" i="80" s="1"/>
  <c r="Z39" i="82"/>
  <c r="Z47" i="82"/>
  <c r="J15" i="80"/>
  <c r="H15" i="80" s="1"/>
  <c r="G15" i="80" s="1"/>
  <c r="J29" i="80"/>
  <c r="H29" i="80" s="1"/>
  <c r="G29" i="80" s="1"/>
  <c r="J27" i="80"/>
  <c r="H27" i="80" s="1"/>
  <c r="G27" i="80" s="1"/>
  <c r="J33" i="80"/>
  <c r="H33" i="80" s="1"/>
  <c r="G33" i="80" s="1"/>
  <c r="J18" i="80"/>
  <c r="J31" i="80"/>
  <c r="H31" i="80" s="1"/>
  <c r="G31" i="80" s="1"/>
  <c r="N16" i="82"/>
  <c r="Z27" i="82" l="1"/>
  <c r="H18" i="80"/>
  <c r="G18" i="80" s="1"/>
  <c r="H12" i="80"/>
  <c r="G12" i="80" s="1"/>
  <c r="X14" i="81"/>
  <c r="H17" i="80"/>
  <c r="G17" i="80" s="1"/>
  <c r="H26" i="80"/>
  <c r="G26" i="80" s="1"/>
  <c r="H13" i="80"/>
  <c r="G13" i="80" s="1"/>
  <c r="H25" i="80"/>
  <c r="G25" i="80" s="1"/>
  <c r="H21" i="80"/>
  <c r="G21" i="80" s="1"/>
  <c r="H16" i="80"/>
  <c r="G16" i="80" s="1"/>
  <c r="H24" i="80"/>
  <c r="G24" i="80" s="1"/>
  <c r="H23" i="80"/>
  <c r="G23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11" authorId="0" shapeId="0" xr:uid="{00000000-0006-0000-0000-000001000000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sharedStrings.xml><?xml version="1.0" encoding="utf-8"?>
<sst xmlns="http://schemas.openxmlformats.org/spreadsheetml/2006/main" count="183" uniqueCount="147">
  <si>
    <t>-</t>
    <phoneticPr fontId="3"/>
  </si>
  <si>
    <t>時間</t>
    <rPh sb="0" eb="2">
      <t>ジカン</t>
    </rPh>
    <phoneticPr fontId="3"/>
  </si>
  <si>
    <t>性別</t>
    <rPh sb="0" eb="2">
      <t>セイベツ</t>
    </rPh>
    <phoneticPr fontId="3"/>
  </si>
  <si>
    <t>年齢</t>
    <rPh sb="0" eb="2">
      <t>ネンレイ</t>
    </rPh>
    <phoneticPr fontId="3"/>
  </si>
  <si>
    <t>雇用形態</t>
    <rPh sb="0" eb="2">
      <t>コヨウ</t>
    </rPh>
    <rPh sb="2" eb="4">
      <t>ケイタイ</t>
    </rPh>
    <phoneticPr fontId="3"/>
  </si>
  <si>
    <t>月</t>
    <rPh sb="0" eb="1">
      <t>ツキ</t>
    </rPh>
    <phoneticPr fontId="7"/>
  </si>
  <si>
    <t>作業者</t>
    <rPh sb="0" eb="3">
      <t>サギョウシャ</t>
    </rPh>
    <phoneticPr fontId="7"/>
  </si>
  <si>
    <t>常用雇用者</t>
    <rPh sb="0" eb="2">
      <t>ジョウヨウ</t>
    </rPh>
    <rPh sb="2" eb="5">
      <t>コヨウシャ</t>
    </rPh>
    <phoneticPr fontId="7"/>
  </si>
  <si>
    <t>区　　分</t>
    <rPh sb="0" eb="1">
      <t>ク</t>
    </rPh>
    <rPh sb="3" eb="4">
      <t>ブン</t>
    </rPh>
    <phoneticPr fontId="7"/>
  </si>
  <si>
    <t>農業</t>
    <rPh sb="0" eb="2">
      <t>ノウギョウ</t>
    </rPh>
    <phoneticPr fontId="3"/>
  </si>
  <si>
    <t>&lt;入力&gt;</t>
    <rPh sb="1" eb="3">
      <t>ニュウリョク</t>
    </rPh>
    <phoneticPr fontId="3"/>
  </si>
  <si>
    <t>&lt;選択&gt;</t>
    <rPh sb="1" eb="3">
      <t>センタク</t>
    </rPh>
    <phoneticPr fontId="3"/>
  </si>
  <si>
    <t>集計月</t>
    <rPh sb="0" eb="2">
      <t>シュウケイ</t>
    </rPh>
    <rPh sb="2" eb="3">
      <t>ツキ</t>
    </rPh>
    <phoneticPr fontId="3"/>
  </si>
  <si>
    <t>&lt;=12</t>
  </si>
  <si>
    <t>&lt;選択&gt;</t>
    <phoneticPr fontId="3"/>
  </si>
  <si>
    <t>【10】労働の概要</t>
    <rPh sb="4" eb="6">
      <t>ロウドウ</t>
    </rPh>
    <rPh sb="7" eb="9">
      <t>ガイヨウ</t>
    </rPh>
    <phoneticPr fontId="7"/>
  </si>
  <si>
    <t>【11】指定品目に係る労働の概要</t>
    <rPh sb="4" eb="6">
      <t>シテイ</t>
    </rPh>
    <rPh sb="6" eb="8">
      <t>ヒンモク</t>
    </rPh>
    <rPh sb="9" eb="10">
      <t>カカ</t>
    </rPh>
    <rPh sb="11" eb="13">
      <t>ロウドウ</t>
    </rPh>
    <rPh sb="14" eb="16">
      <t>ガイヨウ</t>
    </rPh>
    <phoneticPr fontId="7"/>
  </si>
  <si>
    <t>（指定品目がある方のみ記入してください。）</t>
    <phoneticPr fontId="7"/>
  </si>
  <si>
    <t>　１　家族・雇用者別労働時間</t>
    <rPh sb="3" eb="5">
      <t>カゾク</t>
    </rPh>
    <rPh sb="6" eb="9">
      <t>コヨウシャ</t>
    </rPh>
    <rPh sb="9" eb="10">
      <t>ベツ</t>
    </rPh>
    <rPh sb="10" eb="12">
      <t>ロウドウ</t>
    </rPh>
    <rPh sb="12" eb="14">
      <t>ジカン</t>
    </rPh>
    <phoneticPr fontId="7"/>
  </si>
  <si>
    <t>　指定品目について、農作業に係る労働時間を男女別・労働区分別に記入してください。</t>
    <phoneticPr fontId="7"/>
  </si>
  <si>
    <t>区　分</t>
    <rPh sb="0" eb="1">
      <t>ク</t>
    </rPh>
    <rPh sb="2" eb="3">
      <t>ブン</t>
    </rPh>
    <phoneticPr fontId="7"/>
  </si>
  <si>
    <t>性　別</t>
    <rPh sb="0" eb="1">
      <t>セイ</t>
    </rPh>
    <rPh sb="2" eb="3">
      <t>ベツ</t>
    </rPh>
    <phoneticPr fontId="7"/>
  </si>
  <si>
    <t>年齢</t>
    <rPh sb="0" eb="2">
      <t>ネンレイ</t>
    </rPh>
    <phoneticPr fontId="7"/>
  </si>
  <si>
    <t>家族・雇用の別</t>
    <rPh sb="0" eb="2">
      <t>カゾク</t>
    </rPh>
    <rPh sb="3" eb="5">
      <t>コヨウ</t>
    </rPh>
    <rPh sb="6" eb="7">
      <t>ベツ</t>
    </rPh>
    <phoneticPr fontId="7"/>
  </si>
  <si>
    <t>農　　　業
労働時間
（時間）</t>
    <rPh sb="0" eb="1">
      <t>ノウ</t>
    </rPh>
    <rPh sb="4" eb="5">
      <t>ギョウ</t>
    </rPh>
    <rPh sb="6" eb="8">
      <t>ロウドウ</t>
    </rPh>
    <rPh sb="8" eb="10">
      <t>ジカン</t>
    </rPh>
    <rPh sb="12" eb="14">
      <t>ジカン</t>
    </rPh>
    <phoneticPr fontId="7"/>
  </si>
  <si>
    <t>農　業　生　産
関　連　事　業
労　働　時　間
（時間）</t>
    <rPh sb="0" eb="1">
      <t>ノウ</t>
    </rPh>
    <rPh sb="2" eb="3">
      <t>ギョウ</t>
    </rPh>
    <rPh sb="4" eb="5">
      <t>ショウ</t>
    </rPh>
    <rPh sb="6" eb="7">
      <t>サン</t>
    </rPh>
    <rPh sb="8" eb="9">
      <t>セキ</t>
    </rPh>
    <rPh sb="10" eb="11">
      <t>レン</t>
    </rPh>
    <rPh sb="12" eb="13">
      <t>コト</t>
    </rPh>
    <rPh sb="14" eb="15">
      <t>ギョウ</t>
    </rPh>
    <rPh sb="16" eb="17">
      <t>ロウ</t>
    </rPh>
    <rPh sb="18" eb="19">
      <t>ハタラキ</t>
    </rPh>
    <rPh sb="20" eb="21">
      <t>トキ</t>
    </rPh>
    <rPh sb="22" eb="23">
      <t>アイダ</t>
    </rPh>
    <rPh sb="25" eb="27">
      <t>ジカン</t>
    </rPh>
    <phoneticPr fontId="7"/>
  </si>
  <si>
    <t>家族</t>
    <rPh sb="0" eb="2">
      <t>カゾク</t>
    </rPh>
    <phoneticPr fontId="7"/>
  </si>
  <si>
    <t>指定品目名</t>
    <rPh sb="0" eb="2">
      <t>シテイ</t>
    </rPh>
    <rPh sb="2" eb="4">
      <t>ヒンモク</t>
    </rPh>
    <rPh sb="4" eb="5">
      <t>メイ</t>
    </rPh>
    <phoneticPr fontId="7"/>
  </si>
  <si>
    <t>７ヶ月
未満の
雇用者</t>
    <rPh sb="4" eb="6">
      <t>ミマン</t>
    </rPh>
    <rPh sb="10" eb="11">
      <t>シャ</t>
    </rPh>
    <phoneticPr fontId="7"/>
  </si>
  <si>
    <t>７ヶ月
以上の
雇用者</t>
    <rPh sb="10" eb="11">
      <t>シャ</t>
    </rPh>
    <phoneticPr fontId="7"/>
  </si>
  <si>
    <t xml:space="preserve">  うち、    
  農作業受託
     （時間）</t>
    <rPh sb="12" eb="15">
      <t>ノウサギョウ</t>
    </rPh>
    <rPh sb="15" eb="17">
      <t>ジュタク</t>
    </rPh>
    <rPh sb="24" eb="26">
      <t>ジカン</t>
    </rPh>
    <phoneticPr fontId="7"/>
  </si>
  <si>
    <t>いずれか１つに○を記入してください。</t>
    <rPh sb="9" eb="11">
      <t>キニュウ</t>
    </rPh>
    <phoneticPr fontId="7"/>
  </si>
  <si>
    <t>男
（時間）</t>
    <rPh sb="0" eb="1">
      <t>オトコ</t>
    </rPh>
    <rPh sb="3" eb="5">
      <t>ジカン</t>
    </rPh>
    <phoneticPr fontId="7"/>
  </si>
  <si>
    <t>女
（時間）</t>
    <rPh sb="0" eb="1">
      <t>オンナ</t>
    </rPh>
    <rPh sb="3" eb="5">
      <t>ジカン</t>
    </rPh>
    <phoneticPr fontId="7"/>
  </si>
  <si>
    <t>雇用者</t>
    <rPh sb="0" eb="3">
      <t>コヨウシャ</t>
    </rPh>
    <phoneticPr fontId="7"/>
  </si>
  <si>
    <t>　２　作業別労働時間</t>
    <rPh sb="3" eb="6">
      <t>サギョウベツ</t>
    </rPh>
    <rPh sb="6" eb="8">
      <t>ロウドウ</t>
    </rPh>
    <rPh sb="8" eb="10">
      <t>ジカン</t>
    </rPh>
    <phoneticPr fontId="7"/>
  </si>
  <si>
    <t>　指定品目について、次の農作業区分に従事した作業別労働時間を記入してください。</t>
    <rPh sb="1" eb="3">
      <t>シテイ</t>
    </rPh>
    <rPh sb="3" eb="5">
      <t>ヒンモク</t>
    </rPh>
    <rPh sb="10" eb="11">
      <t>ツギ</t>
    </rPh>
    <rPh sb="12" eb="15">
      <t>ノウサギョウ</t>
    </rPh>
    <rPh sb="15" eb="17">
      <t>クブン</t>
    </rPh>
    <rPh sb="18" eb="20">
      <t>ジュウジ</t>
    </rPh>
    <rPh sb="22" eb="24">
      <t>サギョウ</t>
    </rPh>
    <rPh sb="24" eb="25">
      <t>ベツ</t>
    </rPh>
    <rPh sb="25" eb="27">
      <t>ロウドウ</t>
    </rPh>
    <rPh sb="27" eb="29">
      <t>ジカン</t>
    </rPh>
    <rPh sb="30" eb="32">
      <t>キニュウ</t>
    </rPh>
    <phoneticPr fontId="7"/>
  </si>
  <si>
    <t>説　　明</t>
    <rPh sb="0" eb="1">
      <t>セツ</t>
    </rPh>
    <rPh sb="3" eb="4">
      <t>メイ</t>
    </rPh>
    <phoneticPr fontId="7"/>
  </si>
  <si>
    <t>作業別労働
（時間）</t>
    <rPh sb="0" eb="3">
      <t>サギョウベツ</t>
    </rPh>
    <rPh sb="3" eb="5">
      <t>ロウドウ</t>
    </rPh>
    <rPh sb="7" eb="9">
      <t>ジカン</t>
    </rPh>
    <phoneticPr fontId="7"/>
  </si>
  <si>
    <t>作業別労働時間　計</t>
    <rPh sb="0" eb="3">
      <t>サギョウベツ</t>
    </rPh>
    <rPh sb="3" eb="5">
      <t>ロウドウ</t>
    </rPh>
    <rPh sb="5" eb="7">
      <t>ジカン</t>
    </rPh>
    <rPh sb="8" eb="9">
      <t>ケイ</t>
    </rPh>
    <phoneticPr fontId="7"/>
  </si>
  <si>
    <t>指定品目の農作業に係る労働時間の計</t>
    <rPh sb="16" eb="17">
      <t>ケイ</t>
    </rPh>
    <phoneticPr fontId="7"/>
  </si>
  <si>
    <t>種子予措・育苗</t>
    <rPh sb="0" eb="2">
      <t>シュシ</t>
    </rPh>
    <rPh sb="2" eb="3">
      <t>ヨ</t>
    </rPh>
    <rPh sb="5" eb="7">
      <t>イクビョウ</t>
    </rPh>
    <phoneticPr fontId="7"/>
  </si>
  <si>
    <t>選種、浸種、種子消毒、催芽、育苗</t>
    <rPh sb="0" eb="2">
      <t>センシュ</t>
    </rPh>
    <rPh sb="3" eb="4">
      <t>ヒタ</t>
    </rPh>
    <rPh sb="4" eb="5">
      <t>タネ</t>
    </rPh>
    <rPh sb="6" eb="8">
      <t>シュシ</t>
    </rPh>
    <rPh sb="8" eb="10">
      <t>ショウドク</t>
    </rPh>
    <rPh sb="11" eb="12">
      <t>モヨオ</t>
    </rPh>
    <rPh sb="12" eb="13">
      <t>メ</t>
    </rPh>
    <rPh sb="14" eb="16">
      <t>イクビョウ</t>
    </rPh>
    <phoneticPr fontId="7"/>
  </si>
  <si>
    <t>耕起、整地、畝立て、マルチ、基肥の配合、施肥、追肥　など</t>
    <rPh sb="0" eb="2">
      <t>コウキ</t>
    </rPh>
    <rPh sb="3" eb="5">
      <t>セイチ</t>
    </rPh>
    <rPh sb="6" eb="7">
      <t>ウネ</t>
    </rPh>
    <rPh sb="7" eb="8">
      <t>タ</t>
    </rPh>
    <rPh sb="14" eb="16">
      <t>モトゴエ</t>
    </rPh>
    <rPh sb="17" eb="19">
      <t>ハイゴウ</t>
    </rPh>
    <rPh sb="20" eb="22">
      <t>セヒ</t>
    </rPh>
    <rPh sb="23" eb="25">
      <t>ツイヒ</t>
    </rPh>
    <phoneticPr fontId="7"/>
  </si>
  <si>
    <t>は種、定植、覆土、整枝、せん定、誘引、新梢管理　など</t>
    <rPh sb="1" eb="2">
      <t>タネ</t>
    </rPh>
    <rPh sb="3" eb="5">
      <t>テイショク</t>
    </rPh>
    <rPh sb="6" eb="8">
      <t>フクド</t>
    </rPh>
    <rPh sb="16" eb="18">
      <t>ユウイン</t>
    </rPh>
    <rPh sb="19" eb="20">
      <t>シン</t>
    </rPh>
    <rPh sb="20" eb="21">
      <t>コズエ</t>
    </rPh>
    <rPh sb="21" eb="23">
      <t>カンリ</t>
    </rPh>
    <phoneticPr fontId="7"/>
  </si>
  <si>
    <t>除草・防除</t>
    <rPh sb="0" eb="2">
      <t>ジョソウ</t>
    </rPh>
    <rPh sb="3" eb="5">
      <t>ボウジョ</t>
    </rPh>
    <phoneticPr fontId="7"/>
  </si>
  <si>
    <t>作付ほ場の中耕除草、除草剤散布、農薬散布、鳥獣害対策　など</t>
    <rPh sb="0" eb="2">
      <t>サクツケ</t>
    </rPh>
    <rPh sb="3" eb="4">
      <t>ジョウ</t>
    </rPh>
    <rPh sb="5" eb="7">
      <t>チュウコウ</t>
    </rPh>
    <rPh sb="7" eb="9">
      <t>ジョソウ</t>
    </rPh>
    <rPh sb="10" eb="13">
      <t>ジョソウザイ</t>
    </rPh>
    <rPh sb="13" eb="15">
      <t>サンプ</t>
    </rPh>
    <rPh sb="16" eb="18">
      <t>ノウヤク</t>
    </rPh>
    <rPh sb="18" eb="20">
      <t>サンプ</t>
    </rPh>
    <rPh sb="21" eb="23">
      <t>チョウジュウ</t>
    </rPh>
    <rPh sb="23" eb="24">
      <t>ガイ</t>
    </rPh>
    <rPh sb="24" eb="26">
      <t>タイサク</t>
    </rPh>
    <phoneticPr fontId="7"/>
  </si>
  <si>
    <t>授粉・摘果</t>
    <rPh sb="0" eb="2">
      <t>ジュフン</t>
    </rPh>
    <rPh sb="3" eb="5">
      <t>テキカ</t>
    </rPh>
    <phoneticPr fontId="7"/>
  </si>
  <si>
    <t>授粉、摘花、摘房、摘粒、摘果、葉つみ、ジベレリン処理　など</t>
    <rPh sb="0" eb="2">
      <t>ジュフン</t>
    </rPh>
    <rPh sb="3" eb="5">
      <t>テキカ</t>
    </rPh>
    <rPh sb="6" eb="7">
      <t>テキ</t>
    </rPh>
    <rPh sb="7" eb="8">
      <t>フサ</t>
    </rPh>
    <rPh sb="9" eb="10">
      <t>テキ</t>
    </rPh>
    <rPh sb="10" eb="11">
      <t>リュウ</t>
    </rPh>
    <rPh sb="12" eb="14">
      <t>テキカ</t>
    </rPh>
    <rPh sb="15" eb="16">
      <t>ハ</t>
    </rPh>
    <rPh sb="24" eb="26">
      <t>ショリ</t>
    </rPh>
    <phoneticPr fontId="7"/>
  </si>
  <si>
    <t>生育管理</t>
    <rPh sb="0" eb="2">
      <t>セイイク</t>
    </rPh>
    <rPh sb="2" eb="4">
      <t>カンリ</t>
    </rPh>
    <phoneticPr fontId="7"/>
  </si>
  <si>
    <t>かん排水、けい畔の草刈り・除草剤散布、ビニール張り　など</t>
    <rPh sb="2" eb="4">
      <t>ハイスイ</t>
    </rPh>
    <rPh sb="7" eb="8">
      <t>アゼ</t>
    </rPh>
    <rPh sb="9" eb="11">
      <t>クサカ</t>
    </rPh>
    <rPh sb="13" eb="16">
      <t>ジョソウザイ</t>
    </rPh>
    <rPh sb="16" eb="18">
      <t>サンプ</t>
    </rPh>
    <rPh sb="23" eb="24">
      <t>ハ</t>
    </rPh>
    <phoneticPr fontId="7"/>
  </si>
  <si>
    <t>収穫・調製</t>
    <rPh sb="0" eb="2">
      <t>シュウカク</t>
    </rPh>
    <rPh sb="3" eb="5">
      <t>チョウセイ</t>
    </rPh>
    <phoneticPr fontId="7"/>
  </si>
  <si>
    <t>収穫、結束、乾燥・調製、仮の収納場所への運搬　など</t>
    <rPh sb="0" eb="2">
      <t>シュウカク</t>
    </rPh>
    <rPh sb="3" eb="5">
      <t>ケッソク</t>
    </rPh>
    <rPh sb="6" eb="8">
      <t>カンソウ</t>
    </rPh>
    <rPh sb="9" eb="11">
      <t>チョウセイ</t>
    </rPh>
    <rPh sb="12" eb="13">
      <t>カリ</t>
    </rPh>
    <rPh sb="14" eb="16">
      <t>シュウノウ</t>
    </rPh>
    <rPh sb="16" eb="18">
      <t>バショ</t>
    </rPh>
    <phoneticPr fontId="7"/>
  </si>
  <si>
    <t>包装・荷造り</t>
    <rPh sb="0" eb="2">
      <t>ホウソウ</t>
    </rPh>
    <rPh sb="3" eb="5">
      <t>ニヅク</t>
    </rPh>
    <phoneticPr fontId="7"/>
  </si>
  <si>
    <t>包装、荷造り作業</t>
    <rPh sb="0" eb="2">
      <t>ホウソウ</t>
    </rPh>
    <rPh sb="3" eb="5">
      <t>ニヅク</t>
    </rPh>
    <rPh sb="6" eb="8">
      <t>サギョウ</t>
    </rPh>
    <phoneticPr fontId="7"/>
  </si>
  <si>
    <t>搬出・出荷・販売</t>
    <rPh sb="0" eb="2">
      <t>ハンシュツ</t>
    </rPh>
    <rPh sb="3" eb="5">
      <t>シュッカ</t>
    </rPh>
    <rPh sb="6" eb="8">
      <t>ハンバイ</t>
    </rPh>
    <phoneticPr fontId="7"/>
  </si>
  <si>
    <t>該当農産物の搬出作業、出荷作業、販売に係る労働</t>
    <rPh sb="0" eb="2">
      <t>ガイトウ</t>
    </rPh>
    <rPh sb="2" eb="5">
      <t>ノウサンブツ</t>
    </rPh>
    <rPh sb="6" eb="8">
      <t>ハンシュツ</t>
    </rPh>
    <rPh sb="8" eb="10">
      <t>サギョウ</t>
    </rPh>
    <rPh sb="11" eb="13">
      <t>シュッカ</t>
    </rPh>
    <rPh sb="13" eb="15">
      <t>サギョウ</t>
    </rPh>
    <rPh sb="16" eb="18">
      <t>ハンバイ</t>
    </rPh>
    <rPh sb="19" eb="20">
      <t>カカワ</t>
    </rPh>
    <rPh sb="21" eb="23">
      <t>ロウドウ</t>
    </rPh>
    <phoneticPr fontId="7"/>
  </si>
  <si>
    <t>農機具修繕、資材等の調達、集会出席、技術習得、簿記記帳　など</t>
    <rPh sb="0" eb="3">
      <t>ノウキグ</t>
    </rPh>
    <rPh sb="3" eb="5">
      <t>シュウゼン</t>
    </rPh>
    <rPh sb="6" eb="8">
      <t>シザイ</t>
    </rPh>
    <rPh sb="8" eb="9">
      <t>トウ</t>
    </rPh>
    <rPh sb="10" eb="12">
      <t>チョウタツ</t>
    </rPh>
    <rPh sb="13" eb="15">
      <t>シュウカイ</t>
    </rPh>
    <rPh sb="15" eb="17">
      <t>シュッセキ</t>
    </rPh>
    <rPh sb="18" eb="20">
      <t>ギジュツ</t>
    </rPh>
    <rPh sb="20" eb="22">
      <t>シュウトク</t>
    </rPh>
    <rPh sb="23" eb="25">
      <t>ボキ</t>
    </rPh>
    <rPh sb="25" eb="27">
      <t>キチョウ</t>
    </rPh>
    <phoneticPr fontId="7"/>
  </si>
  <si>
    <t>農作業受託</t>
    <rPh sb="0" eb="3">
      <t>ノウサギョウ</t>
    </rPh>
    <rPh sb="3" eb="5">
      <t>ジュタク</t>
    </rPh>
    <phoneticPr fontId="3"/>
  </si>
  <si>
    <t>指定品目</t>
    <rPh sb="0" eb="2">
      <t>シテイ</t>
    </rPh>
    <rPh sb="2" eb="4">
      <t>ヒンモク</t>
    </rPh>
    <phoneticPr fontId="3"/>
  </si>
  <si>
    <t>農業生産</t>
    <rPh sb="0" eb="2">
      <t>ノウギョウ</t>
    </rPh>
    <rPh sb="2" eb="4">
      <t>セイサン</t>
    </rPh>
    <phoneticPr fontId="3"/>
  </si>
  <si>
    <t>農業生産関連事業</t>
    <rPh sb="0" eb="4">
      <t>ノウギョウセイサン</t>
    </rPh>
    <rPh sb="4" eb="6">
      <t>カンレン</t>
    </rPh>
    <rPh sb="6" eb="8">
      <t>ジギョウ</t>
    </rPh>
    <phoneticPr fontId="3"/>
  </si>
  <si>
    <t>種子予措・育苗</t>
    <phoneticPr fontId="3"/>
  </si>
  <si>
    <t>耕うん・施肥（基肥・追肥）</t>
  </si>
  <si>
    <t>は種・定植整枝・せん定</t>
  </si>
  <si>
    <t>除草・防除</t>
  </si>
  <si>
    <t>授粉・摘果</t>
  </si>
  <si>
    <t>生育管理</t>
  </si>
  <si>
    <t>収穫・調製</t>
  </si>
  <si>
    <t>包装・荷造り</t>
  </si>
  <si>
    <t>搬出・出荷・販売</t>
  </si>
  <si>
    <t>経営管理・間接労働</t>
  </si>
  <si>
    <t>作業</t>
    <rPh sb="0" eb="2">
      <t>サギョウ</t>
    </rPh>
    <phoneticPr fontId="31"/>
  </si>
  <si>
    <t>耕うん・施肥（基肥・追肥）</t>
    <rPh sb="0" eb="1">
      <t>コウ</t>
    </rPh>
    <rPh sb="4" eb="6">
      <t>セヒ</t>
    </rPh>
    <rPh sb="7" eb="8">
      <t>モト</t>
    </rPh>
    <rPh sb="8" eb="9">
      <t>コエ</t>
    </rPh>
    <rPh sb="10" eb="12">
      <t>ツイヒ</t>
    </rPh>
    <phoneticPr fontId="7"/>
  </si>
  <si>
    <t>は種・定植整枝・せん定</t>
    <rPh sb="1" eb="2">
      <t>タネ</t>
    </rPh>
    <rPh sb="3" eb="5">
      <t>テイショク</t>
    </rPh>
    <rPh sb="5" eb="7">
      <t>セイシ</t>
    </rPh>
    <rPh sb="10" eb="11">
      <t>テイ</t>
    </rPh>
    <phoneticPr fontId="7"/>
  </si>
  <si>
    <t>経営管理・間接労働</t>
    <rPh sb="0" eb="2">
      <t>ケイエイ</t>
    </rPh>
    <rPh sb="2" eb="4">
      <t>カンリ</t>
    </rPh>
    <rPh sb="5" eb="7">
      <t>カンセツ</t>
    </rPh>
    <rPh sb="7" eb="9">
      <t>ロウドウ</t>
    </rPh>
    <phoneticPr fontId="7"/>
  </si>
  <si>
    <t>設定</t>
    <rPh sb="0" eb="2">
      <t>セッテイ</t>
    </rPh>
    <phoneticPr fontId="3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</si>
  <si>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phoneticPr fontId="7"/>
  </si>
  <si>
    <r>
      <t xml:space="preserve">指定品目
</t>
    </r>
    <r>
      <rPr>
        <sz val="6"/>
        <rFont val="ＭＳ Ｐゴシック"/>
        <family val="3"/>
        <charset val="128"/>
        <scheme val="minor"/>
      </rPr>
      <t>&lt;自動&gt;</t>
    </r>
    <rPh sb="0" eb="2">
      <t>シテイ</t>
    </rPh>
    <rPh sb="2" eb="4">
      <t>ヒンモク</t>
    </rPh>
    <phoneticPr fontId="7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</si>
  <si>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phoneticPr fontId="3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</si>
  <si>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phoneticPr fontId="3"/>
  </si>
  <si>
    <r>
      <t xml:space="preserve">雇用形態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2" eb="4">
      <t>ケイタイ</t>
    </rPh>
    <phoneticPr fontId="3"/>
  </si>
  <si>
    <r>
      <t xml:space="preserve">労働時間
</t>
    </r>
    <r>
      <rPr>
        <sz val="6"/>
        <rFont val="ＭＳ Ｐゴシック"/>
        <family val="3"/>
        <charset val="128"/>
        <scheme val="minor"/>
      </rPr>
      <t>&lt;入力&gt;</t>
    </r>
    <rPh sb="0" eb="2">
      <t>ロウドウ</t>
    </rPh>
    <rPh sb="2" eb="4">
      <t>ジカン</t>
    </rPh>
    <rPh sb="6" eb="8">
      <t>ニュウリョク</t>
    </rPh>
    <phoneticPr fontId="3"/>
  </si>
  <si>
    <r>
      <t>集計</t>
    </r>
    <r>
      <rPr>
        <sz val="6"/>
        <rFont val="ＭＳ Ｐゴシック"/>
        <family val="3"/>
        <charset val="128"/>
      </rPr>
      <t xml:space="preserve"> &lt;自動&gt;</t>
    </r>
    <rPh sb="0" eb="2">
      <t>シュウケイ</t>
    </rPh>
    <rPh sb="4" eb="6">
      <t>ジドウ</t>
    </rPh>
    <phoneticPr fontId="3"/>
  </si>
  <si>
    <t>農業労働</t>
    <rPh sb="0" eb="2">
      <t>ノウギョウ</t>
    </rPh>
    <rPh sb="2" eb="4">
      <t>ロウドウ</t>
    </rPh>
    <phoneticPr fontId="4"/>
  </si>
  <si>
    <t>指定品目以外作物の農業労働</t>
    <rPh sb="0" eb="2">
      <t>シテイ</t>
    </rPh>
    <rPh sb="2" eb="4">
      <t>ヒンモク</t>
    </rPh>
    <rPh sb="4" eb="6">
      <t>イガイ</t>
    </rPh>
    <rPh sb="6" eb="8">
      <t>サクモツ</t>
    </rPh>
    <rPh sb="9" eb="11">
      <t>ノウギョウ</t>
    </rPh>
    <rPh sb="11" eb="13">
      <t>ロウドウ</t>
    </rPh>
    <phoneticPr fontId="3"/>
  </si>
  <si>
    <t>農業労働</t>
    <rPh sb="0" eb="2">
      <t>ノウギョウ</t>
    </rPh>
    <rPh sb="2" eb="4">
      <t>ロウドウ</t>
    </rPh>
    <phoneticPr fontId="3"/>
  </si>
  <si>
    <t>指定品目以外作物の農業労働</t>
    <phoneticPr fontId="3"/>
  </si>
  <si>
    <r>
      <t xml:space="preserve">作業者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phoneticPr fontId="7"/>
  </si>
  <si>
    <t>-</t>
  </si>
  <si>
    <t>営農類型別経営統計（個人経営体）　設定シート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コジン</t>
    </rPh>
    <rPh sb="12" eb="15">
      <t>ケイエイタイ</t>
    </rPh>
    <rPh sb="17" eb="19">
      <t>セッテイ</t>
    </rPh>
    <phoneticPr fontId="3"/>
  </si>
  <si>
    <t>営農類型別経営統計（個人経営体）　入力シート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コジン</t>
    </rPh>
    <rPh sb="12" eb="15">
      <t>ケイエイタイ</t>
    </rPh>
    <rPh sb="17" eb="19">
      <t>ニュウリョク</t>
    </rPh>
    <phoneticPr fontId="3"/>
  </si>
  <si>
    <t>指定品目</t>
    <phoneticPr fontId="3"/>
  </si>
  <si>
    <t>耕うん・施肥（基肥・追肥）</t>
    <phoneticPr fontId="3"/>
  </si>
  <si>
    <t>は種・定植整枝・せん定</t>
    <phoneticPr fontId="3"/>
  </si>
  <si>
    <t>除草・防除</t>
    <phoneticPr fontId="3"/>
  </si>
  <si>
    <t>授粉・摘果</t>
    <phoneticPr fontId="3"/>
  </si>
  <si>
    <t>生育管理</t>
    <phoneticPr fontId="3"/>
  </si>
  <si>
    <t>収穫・調製</t>
    <phoneticPr fontId="3"/>
  </si>
  <si>
    <t>包装・荷造り</t>
    <phoneticPr fontId="3"/>
  </si>
  <si>
    <t>搬出・出荷・販売</t>
    <phoneticPr fontId="3"/>
  </si>
  <si>
    <t>経営管理・間接労働</t>
    <phoneticPr fontId="3"/>
  </si>
  <si>
    <r>
      <t xml:space="preserve">集計分類
</t>
    </r>
    <r>
      <rPr>
        <sz val="6"/>
        <rFont val="ＭＳ Ｐゴシック"/>
        <family val="3"/>
        <charset val="128"/>
        <scheme val="minor"/>
      </rPr>
      <t>&lt;選択&gt;</t>
    </r>
    <rPh sb="0" eb="2">
      <t>シュウケイ</t>
    </rPh>
    <rPh sb="2" eb="4">
      <t>ブンルイ</t>
    </rPh>
    <phoneticPr fontId="7"/>
  </si>
  <si>
    <t>指定品目</t>
    <rPh sb="0" eb="2">
      <t>シテイ</t>
    </rPh>
    <rPh sb="2" eb="4">
      <t>ヒンモク</t>
    </rPh>
    <phoneticPr fontId="31"/>
  </si>
  <si>
    <t>1：かんしょ作</t>
    <rPh sb="6" eb="7">
      <t>サク</t>
    </rPh>
    <phoneticPr fontId="7"/>
  </si>
  <si>
    <t>2：ばれいしょ作</t>
    <rPh sb="7" eb="8">
      <t>サク</t>
    </rPh>
    <phoneticPr fontId="7"/>
  </si>
  <si>
    <t>3：露地きゅうり作</t>
    <phoneticPr fontId="7"/>
  </si>
  <si>
    <t>4：露地大玉トマト作</t>
    <phoneticPr fontId="7"/>
  </si>
  <si>
    <t>5：露地なす作</t>
    <phoneticPr fontId="7"/>
  </si>
  <si>
    <t>6：露地キャベツ作</t>
    <phoneticPr fontId="7"/>
  </si>
  <si>
    <t>7：露地ほうれんそう作</t>
    <phoneticPr fontId="7"/>
  </si>
  <si>
    <t>8：露地たまねぎ作</t>
    <phoneticPr fontId="7"/>
  </si>
  <si>
    <t>9：露地レタス作</t>
    <phoneticPr fontId="7"/>
  </si>
  <si>
    <t>10：露地はくさい作</t>
    <phoneticPr fontId="7"/>
  </si>
  <si>
    <t>11：露地白ねぎ作</t>
    <phoneticPr fontId="7"/>
  </si>
  <si>
    <t>12：露地だいこん作</t>
    <phoneticPr fontId="7"/>
  </si>
  <si>
    <t>13：露地にんじん作</t>
    <phoneticPr fontId="7"/>
  </si>
  <si>
    <t>14：施設きゅうり作</t>
    <phoneticPr fontId="7"/>
  </si>
  <si>
    <t>15：施設大玉トマト作</t>
    <phoneticPr fontId="7"/>
  </si>
  <si>
    <t>16：施設ミニトマト作</t>
    <phoneticPr fontId="7"/>
  </si>
  <si>
    <t>17：施設なす作</t>
    <phoneticPr fontId="7"/>
  </si>
  <si>
    <t>18：りんご作</t>
    <phoneticPr fontId="7"/>
  </si>
  <si>
    <t>19：露地温州みかん作</t>
    <phoneticPr fontId="7"/>
  </si>
  <si>
    <t>20：施設温州みかん作</t>
    <phoneticPr fontId="7"/>
  </si>
  <si>
    <t>21：露地ぶどう作</t>
    <phoneticPr fontId="7"/>
  </si>
  <si>
    <t>22：施設ぶどう作</t>
    <phoneticPr fontId="7"/>
  </si>
  <si>
    <t>23：日本なし作</t>
    <phoneticPr fontId="7"/>
  </si>
  <si>
    <t>24：もも作</t>
    <phoneticPr fontId="7"/>
  </si>
  <si>
    <t>25：かき作</t>
    <phoneticPr fontId="7"/>
  </si>
  <si>
    <t>26：うめ作</t>
    <phoneticPr fontId="7"/>
  </si>
  <si>
    <t>27：おうとう作</t>
    <phoneticPr fontId="7"/>
  </si>
  <si>
    <t>28：キウイフルーツ作</t>
    <phoneticPr fontId="7"/>
  </si>
  <si>
    <t>29：すもも作</t>
    <phoneticPr fontId="7"/>
  </si>
  <si>
    <t>30：施設ばら作</t>
    <phoneticPr fontId="7"/>
  </si>
  <si>
    <t>31：茶作</t>
    <rPh sb="3" eb="4">
      <t>チャ</t>
    </rPh>
    <rPh sb="4" eb="5">
      <t>サク</t>
    </rPh>
    <phoneticPr fontId="7"/>
  </si>
  <si>
    <r>
      <t>2020センサス番号</t>
    </r>
    <r>
      <rPr>
        <sz val="6"/>
        <rFont val="ＭＳ Ｐ明朝"/>
        <family val="1"/>
        <charset val="128"/>
      </rPr>
      <t xml:space="preserve"> &lt;自動&gt;</t>
    </r>
    <rPh sb="8" eb="10">
      <t>バンゴウ</t>
    </rPh>
    <rPh sb="12" eb="14">
      <t>ジドウ</t>
    </rPh>
    <phoneticPr fontId="7"/>
  </si>
  <si>
    <r>
      <t>2020センサス番号</t>
    </r>
    <r>
      <rPr>
        <sz val="6"/>
        <rFont val="ＭＳ Ｐ明朝"/>
        <family val="1"/>
        <charset val="128"/>
      </rPr>
      <t>　&lt;入力&gt;</t>
    </r>
    <rPh sb="8" eb="10">
      <t>バンゴウ</t>
    </rPh>
    <rPh sb="12" eb="14">
      <t>ニュウリョク</t>
    </rPh>
    <phoneticPr fontId="7"/>
  </si>
  <si>
    <t>(1) 家族・常用雇用者労働時間</t>
    <rPh sb="4" eb="6">
      <t>カゾク</t>
    </rPh>
    <rPh sb="7" eb="9">
      <t>ジョウヨウ</t>
    </rPh>
    <rPh sb="9" eb="12">
      <t>コヨウシャ</t>
    </rPh>
    <rPh sb="12" eb="14">
      <t>ロウドウ</t>
    </rPh>
    <rPh sb="14" eb="16">
      <t>ジカン</t>
    </rPh>
    <phoneticPr fontId="7"/>
  </si>
  <si>
    <t>(2)　臨時雇用者労働時間</t>
  </si>
  <si>
    <t>人　数</t>
    <rPh sb="0" eb="1">
      <t>ヒト</t>
    </rPh>
    <rPh sb="2" eb="3">
      <t>スウ</t>
    </rPh>
    <phoneticPr fontId="7"/>
  </si>
  <si>
    <t>農　　業
労働時間</t>
    <rPh sb="5" eb="7">
      <t>ロウドウ</t>
    </rPh>
    <rPh sb="7" eb="9">
      <t>ジカン</t>
    </rPh>
    <phoneticPr fontId="7"/>
  </si>
  <si>
    <t>農業生産
関連事業
労働時間</t>
  </si>
  <si>
    <t>農作業受託
労働時間</t>
    <rPh sb="6" eb="8">
      <t>ロウドウ</t>
    </rPh>
    <rPh sb="8" eb="10">
      <t>ジカン</t>
    </rPh>
    <phoneticPr fontId="7"/>
  </si>
  <si>
    <t>（人）</t>
    <rPh sb="1" eb="2">
      <t>ニン</t>
    </rPh>
    <phoneticPr fontId="7"/>
  </si>
  <si>
    <t>（時間）</t>
    <rPh sb="1" eb="3">
      <t>ジカン</t>
    </rPh>
    <phoneticPr fontId="7"/>
  </si>
  <si>
    <t>男</t>
    <rPh sb="0" eb="1">
      <t>オトコ</t>
    </rPh>
    <phoneticPr fontId="7"/>
  </si>
  <si>
    <t>女</t>
    <rPh sb="0" eb="1">
      <t>オンナ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</si>
</sst>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000000"/>
  </numFmts>
  <fonts count="62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1"/>
      <name val="ＭＳ ゴシック"/>
      <family val="3"/>
      <charset val="128"/>
    </font>
    <font>
      <sz val="12"/>
      <name val="ＭＳ 明朝"/>
      <family val="1"/>
      <charset val="128"/>
    </font>
    <font>
      <sz val="11"/>
      <color indexed="8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indexed="81"/>
      <name val="ＭＳ 明朝"/>
      <family val="1"/>
      <charset val="128"/>
    </font>
    <font>
      <sz val="11.5"/>
      <name val="ＭＳ 明朝"/>
      <family val="1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7.5"/>
      <name val="ＭＳ ゴシック"/>
      <family val="3"/>
      <charset val="128"/>
    </font>
    <font>
      <sz val="9"/>
      <color rgb="FF7F878F"/>
      <name val="ＭＳ ゴシック"/>
      <family val="3"/>
      <charset val="128"/>
    </font>
    <font>
      <sz val="14"/>
      <color rgb="FF7F878F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9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0"/>
      <name val="ＭＳ 明朝"/>
      <family val="1"/>
      <charset val="128"/>
    </font>
    <font>
      <b/>
      <sz val="14"/>
      <color theme="0"/>
      <name val="ＭＳ ゴシック"/>
      <family val="3"/>
      <charset val="128"/>
    </font>
    <font>
      <sz val="12"/>
      <color theme="0"/>
      <name val="ＭＳ 明朝"/>
      <family val="1"/>
      <charset val="128"/>
    </font>
    <font>
      <sz val="11.5"/>
      <color theme="0"/>
      <name val="ＭＳ 明朝"/>
      <family val="1"/>
      <charset val="128"/>
    </font>
    <font>
      <sz val="11"/>
      <color theme="0"/>
      <name val="ＭＳ ゴシック"/>
      <family val="3"/>
      <charset val="128"/>
    </font>
    <font>
      <sz val="12"/>
      <color theme="0"/>
      <name val="ＭＳ ゴシック"/>
      <family val="3"/>
      <charset val="128"/>
    </font>
    <font>
      <sz val="9"/>
      <color theme="0"/>
      <name val="ＭＳ 明朝"/>
      <family val="1"/>
      <charset val="128"/>
    </font>
    <font>
      <b/>
      <sz val="14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rgb="FF35A16B"/>
      </right>
      <top style="medium">
        <color indexed="64"/>
      </top>
      <bottom/>
      <diagonal/>
    </border>
    <border>
      <left style="double">
        <color rgb="FF35A16B"/>
      </left>
      <right/>
      <top style="double">
        <color rgb="FF35A16B"/>
      </top>
      <bottom/>
      <diagonal/>
    </border>
    <border>
      <left/>
      <right/>
      <top style="double">
        <color rgb="FF35A16B"/>
      </top>
      <bottom/>
      <diagonal/>
    </border>
    <border>
      <left/>
      <right style="double">
        <color rgb="FF35A16B"/>
      </right>
      <top style="double">
        <color rgb="FF35A16B"/>
      </top>
      <bottom/>
      <diagonal/>
    </border>
    <border>
      <left/>
      <right style="double">
        <color rgb="FF35A16B"/>
      </right>
      <top/>
      <bottom style="medium">
        <color indexed="64"/>
      </bottom>
      <diagonal/>
    </border>
    <border>
      <left style="double">
        <color rgb="FF35A16B"/>
      </left>
      <right/>
      <top/>
      <bottom style="double">
        <color rgb="FF35A16B"/>
      </bottom>
      <diagonal/>
    </border>
    <border>
      <left/>
      <right/>
      <top/>
      <bottom style="double">
        <color rgb="FF35A16B"/>
      </bottom>
      <diagonal/>
    </border>
    <border>
      <left/>
      <right style="double">
        <color rgb="FF35A16B"/>
      </right>
      <top/>
      <bottom style="double">
        <color rgb="FF35A16B"/>
      </bottom>
      <diagonal/>
    </border>
    <border>
      <left style="thin">
        <color auto="1"/>
      </left>
      <right/>
      <top/>
      <bottom style="double">
        <color rgb="FF35A16B"/>
      </bottom>
      <diagonal/>
    </border>
    <border>
      <left/>
      <right style="thin">
        <color indexed="64"/>
      </right>
      <top/>
      <bottom style="double">
        <color rgb="FF35A16B"/>
      </bottom>
      <diagonal/>
    </border>
    <border>
      <left/>
      <right style="medium">
        <color indexed="64"/>
      </right>
      <top/>
      <bottom style="double">
        <color rgb="FF35A16B"/>
      </bottom>
      <diagonal/>
    </border>
    <border>
      <left style="double">
        <color rgb="FF35A16B"/>
      </left>
      <right/>
      <top style="double">
        <color rgb="FF35A16B"/>
      </top>
      <bottom style="thin">
        <color theme="1"/>
      </bottom>
      <diagonal/>
    </border>
    <border>
      <left/>
      <right/>
      <top style="double">
        <color rgb="FF35A16B"/>
      </top>
      <bottom style="thin">
        <color theme="1"/>
      </bottom>
      <diagonal/>
    </border>
    <border>
      <left/>
      <right style="double">
        <color rgb="FF35A16B"/>
      </right>
      <top style="double">
        <color rgb="FF35A16B"/>
      </top>
      <bottom style="thin">
        <color theme="1"/>
      </bottom>
      <diagonal/>
    </border>
    <border diagonalUp="1">
      <left style="double">
        <color rgb="FF35A16B"/>
      </left>
      <right/>
      <top style="thin">
        <color indexed="64"/>
      </top>
      <bottom style="double">
        <color rgb="FF35A16B"/>
      </bottom>
      <diagonal style="hair">
        <color rgb="FF000000"/>
      </diagonal>
    </border>
    <border diagonalUp="1">
      <left/>
      <right/>
      <top style="thin">
        <color indexed="64"/>
      </top>
      <bottom style="double">
        <color rgb="FF35A16B"/>
      </bottom>
      <diagonal style="hair">
        <color rgb="FF000000"/>
      </diagonal>
    </border>
    <border>
      <left/>
      <right style="thin">
        <color auto="1"/>
      </right>
      <top style="double">
        <color rgb="FF35A16B"/>
      </top>
      <bottom style="thin">
        <color theme="1"/>
      </bottom>
      <diagonal/>
    </border>
    <border>
      <left style="thin">
        <color indexed="64"/>
      </left>
      <right/>
      <top style="double">
        <color rgb="FF35A16B"/>
      </top>
      <bottom style="thin">
        <color theme="1"/>
      </bottom>
      <diagonal/>
    </border>
    <border>
      <left style="double">
        <color rgb="FF35A16B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double">
        <color rgb="FF35A16B"/>
      </right>
      <top style="thin">
        <color theme="1"/>
      </top>
      <bottom style="thin">
        <color indexed="64"/>
      </bottom>
      <diagonal/>
    </border>
    <border>
      <left style="double">
        <color rgb="FF35A16B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double">
        <color rgb="FF35A16B"/>
      </right>
      <top style="thin">
        <color theme="1"/>
      </top>
      <bottom style="thin">
        <color theme="1"/>
      </bottom>
      <diagonal/>
    </border>
    <border>
      <left style="double">
        <color rgb="FF35A16B"/>
      </left>
      <right/>
      <top style="double">
        <color rgb="FF35A16B"/>
      </top>
      <bottom style="thin">
        <color indexed="64"/>
      </bottom>
      <diagonal/>
    </border>
    <border>
      <left/>
      <right/>
      <top style="double">
        <color rgb="FF35A16B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rgb="FF35A16B"/>
      </bottom>
      <diagonal/>
    </border>
    <border>
      <left style="thin">
        <color indexed="64"/>
      </left>
      <right style="medium">
        <color indexed="64"/>
      </right>
      <top/>
      <bottom style="double">
        <color rgb="FF35A16B"/>
      </bottom>
      <diagonal/>
    </border>
    <border>
      <left style="double">
        <color rgb="FF35A16B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 style="thin">
        <color indexed="64"/>
      </top>
      <bottom style="thin">
        <color indexed="64"/>
      </bottom>
      <diagonal/>
    </border>
    <border>
      <left/>
      <right style="double">
        <color rgb="FF35A16B"/>
      </right>
      <top/>
      <bottom style="thin">
        <color indexed="64"/>
      </bottom>
      <diagonal/>
    </border>
    <border>
      <left/>
      <right style="thin">
        <color theme="1"/>
      </right>
      <top style="double">
        <color rgb="FF35A16B"/>
      </top>
      <bottom/>
      <diagonal/>
    </border>
    <border>
      <left style="thin">
        <color theme="1"/>
      </left>
      <right/>
      <top style="double">
        <color rgb="FF35A16B"/>
      </top>
      <bottom/>
      <diagonal/>
    </border>
    <border>
      <left/>
      <right style="thin">
        <color theme="1"/>
      </right>
      <top/>
      <bottom style="double">
        <color rgb="FF35A16B"/>
      </bottom>
      <diagonal/>
    </border>
    <border>
      <left style="thin">
        <color theme="1"/>
      </left>
      <right/>
      <top/>
      <bottom style="double">
        <color rgb="FF35A16B"/>
      </bottom>
      <diagonal/>
    </border>
    <border>
      <left/>
      <right style="double">
        <color rgb="FF35A16B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double">
        <color rgb="FF35A16B"/>
      </right>
      <top/>
      <bottom style="thin">
        <color theme="1"/>
      </bottom>
      <diagonal/>
    </border>
    <border>
      <left style="double">
        <color rgb="FF35A16B"/>
      </left>
      <right/>
      <top/>
      <bottom style="thin">
        <color indexed="64"/>
      </bottom>
      <diagonal/>
    </border>
    <border>
      <left style="double">
        <color rgb="FF35A16B"/>
      </left>
      <right/>
      <top style="thin">
        <color indexed="64"/>
      </top>
      <bottom style="double">
        <color rgb="FF35A16B"/>
      </bottom>
      <diagonal/>
    </border>
    <border>
      <left/>
      <right/>
      <top style="thin">
        <color indexed="64"/>
      </top>
      <bottom style="double">
        <color rgb="FF35A16B"/>
      </bottom>
      <diagonal/>
    </border>
    <border>
      <left style="double">
        <color rgb="FF35A16B"/>
      </left>
      <right/>
      <top style="thin">
        <color theme="1"/>
      </top>
      <bottom style="double">
        <color rgb="FF35A16B"/>
      </bottom>
      <diagonal/>
    </border>
    <border>
      <left/>
      <right/>
      <top style="thin">
        <color theme="1"/>
      </top>
      <bottom style="double">
        <color rgb="FF35A16B"/>
      </bottom>
      <diagonal/>
    </border>
    <border>
      <left/>
      <right style="double">
        <color rgb="FF35A16B"/>
      </right>
      <top style="thin">
        <color theme="1"/>
      </top>
      <bottom style="double">
        <color rgb="FF35A16B"/>
      </bottom>
      <diagonal/>
    </border>
    <border>
      <left style="double">
        <color rgb="FF35A16B"/>
      </left>
      <right/>
      <top/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double">
        <color rgb="FF35A16B"/>
      </right>
      <top style="thin">
        <color theme="1"/>
      </top>
      <bottom/>
      <diagonal/>
    </border>
    <border>
      <left style="double">
        <color rgb="FF35A16B"/>
      </left>
      <right/>
      <top style="thin">
        <color indexed="64"/>
      </top>
      <bottom/>
      <diagonal/>
    </border>
    <border>
      <left/>
      <right style="double">
        <color rgb="FF35A16B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double">
        <color rgb="FF35A16B"/>
      </right>
      <top/>
      <bottom style="medium">
        <color theme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double">
        <color rgb="FF00B050"/>
      </right>
      <top/>
      <bottom style="thin">
        <color indexed="64"/>
      </bottom>
      <diagonal/>
    </border>
    <border>
      <left/>
      <right/>
      <top/>
      <bottom style="double">
        <color rgb="FF00B050"/>
      </bottom>
      <diagonal/>
    </border>
    <border>
      <left style="thin">
        <color indexed="64"/>
      </left>
      <right style="double">
        <color rgb="FF00B050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theme="1"/>
      </top>
      <bottom style="double">
        <color rgb="FF35A16B"/>
      </bottom>
      <diagonal/>
    </border>
    <border>
      <left style="thin">
        <color indexed="64"/>
      </left>
      <right/>
      <top/>
      <bottom style="double">
        <color rgb="FF00B050"/>
      </bottom>
      <diagonal/>
    </border>
    <border>
      <left/>
      <right style="medium">
        <color auto="1"/>
      </right>
      <top/>
      <bottom style="double">
        <color rgb="FF00B050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auto="1"/>
      </right>
      <top style="double">
        <color rgb="FF35A16B"/>
      </top>
      <bottom style="double">
        <color rgb="FF00B050"/>
      </bottom>
      <diagonal/>
    </border>
    <border>
      <left style="thin">
        <color auto="1"/>
      </left>
      <right/>
      <top style="thin">
        <color theme="1"/>
      </top>
      <bottom style="double">
        <color rgb="FF35A16B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double">
        <color rgb="FF35A16B"/>
      </top>
      <bottom style="double">
        <color rgb="FF00B050"/>
      </bottom>
      <diagonal/>
    </border>
    <border>
      <left/>
      <right/>
      <top style="double">
        <color rgb="FF35A16B"/>
      </top>
      <bottom style="double">
        <color rgb="FF00B05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rgb="FF00B050"/>
      </left>
      <right/>
      <top style="double">
        <color rgb="FF00B050"/>
      </top>
      <bottom style="double">
        <color rgb="FF00B050"/>
      </bottom>
      <diagonal/>
    </border>
    <border>
      <left/>
      <right style="thin">
        <color auto="1"/>
      </right>
      <top style="double">
        <color rgb="FF00B050"/>
      </top>
      <bottom style="double">
        <color rgb="FF00B050"/>
      </bottom>
      <diagonal/>
    </border>
    <border>
      <left style="thin">
        <color auto="1"/>
      </left>
      <right/>
      <top style="double">
        <color rgb="FF00B050"/>
      </top>
      <bottom style="double">
        <color rgb="FF00B050"/>
      </bottom>
      <diagonal/>
    </border>
    <border>
      <left/>
      <right style="double">
        <color rgb="FF35A16B"/>
      </right>
      <top style="double">
        <color rgb="FF00B050"/>
      </top>
      <bottom style="double">
        <color rgb="FF00B050"/>
      </bottom>
      <diagonal/>
    </border>
    <border>
      <left style="thin">
        <color auto="1"/>
      </left>
      <right/>
      <top style="double">
        <color rgb="FF35A16B"/>
      </top>
      <bottom style="double">
        <color rgb="FF35A16B"/>
      </bottom>
      <diagonal/>
    </border>
    <border>
      <left/>
      <right/>
      <top style="double">
        <color rgb="FF35A16B"/>
      </top>
      <bottom style="double">
        <color rgb="FF35A16B"/>
      </bottom>
      <diagonal/>
    </border>
    <border>
      <left/>
      <right style="thin">
        <color auto="1"/>
      </right>
      <top style="double">
        <color rgb="FF35A16B"/>
      </top>
      <bottom style="double">
        <color rgb="FF35A16B"/>
      </bottom>
      <diagonal/>
    </border>
  </borders>
  <cellStyleXfs count="81">
    <xf numFmtId="0" fontId="0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5" fillId="0" borderId="0"/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7" borderId="123" applyNumberFormat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5" fillId="29" borderId="124" applyNumberFormat="0" applyFont="0" applyAlignment="0" applyProtection="0">
      <alignment vertical="center"/>
    </xf>
    <xf numFmtId="0" fontId="50" fillId="0" borderId="125" applyNumberFormat="0" applyFill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30" borderId="126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27" applyNumberFormat="0" applyFill="0" applyAlignment="0" applyProtection="0">
      <alignment vertical="center"/>
    </xf>
    <xf numFmtId="0" fontId="55" fillId="0" borderId="128" applyNumberFormat="0" applyFill="0" applyAlignment="0" applyProtection="0">
      <alignment vertical="center"/>
    </xf>
    <xf numFmtId="0" fontId="56" fillId="0" borderId="129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130" applyNumberFormat="0" applyFill="0" applyAlignment="0" applyProtection="0">
      <alignment vertical="center"/>
    </xf>
    <xf numFmtId="0" fontId="58" fillId="30" borderId="131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14" borderId="126" applyNumberFormat="0" applyAlignment="0" applyProtection="0">
      <alignment vertical="center"/>
    </xf>
    <xf numFmtId="0" fontId="5" fillId="0" borderId="0">
      <alignment vertical="center"/>
    </xf>
    <xf numFmtId="0" fontId="61" fillId="11" borderId="0" applyNumberFormat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9" borderId="139" applyNumberFormat="0" applyFont="0" applyAlignment="0" applyProtection="0">
      <alignment vertical="center"/>
    </xf>
    <xf numFmtId="0" fontId="52" fillId="30" borderId="140" applyNumberFormat="0" applyAlignment="0" applyProtection="0">
      <alignment vertical="center"/>
    </xf>
    <xf numFmtId="0" fontId="57" fillId="0" borderId="141" applyNumberFormat="0" applyFill="0" applyAlignment="0" applyProtection="0">
      <alignment vertical="center"/>
    </xf>
    <xf numFmtId="0" fontId="58" fillId="30" borderId="142" applyNumberFormat="0" applyAlignment="0" applyProtection="0">
      <alignment vertical="center"/>
    </xf>
    <xf numFmtId="0" fontId="60" fillId="14" borderId="14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30" borderId="140" applyNumberFormat="0" applyAlignment="0" applyProtection="0">
      <alignment vertical="center"/>
    </xf>
    <xf numFmtId="0" fontId="45" fillId="29" borderId="139" applyNumberFormat="0" applyFont="0" applyAlignment="0" applyProtection="0">
      <alignment vertical="center"/>
    </xf>
    <xf numFmtId="0" fontId="56" fillId="0" borderId="129" applyNumberFormat="0" applyFill="0" applyAlignment="0" applyProtection="0">
      <alignment vertical="center"/>
    </xf>
    <xf numFmtId="0" fontId="57" fillId="0" borderId="141" applyNumberFormat="0" applyFill="0" applyAlignment="0" applyProtection="0">
      <alignment vertical="center"/>
    </xf>
    <xf numFmtId="0" fontId="58" fillId="30" borderId="142" applyNumberFormat="0" applyAlignment="0" applyProtection="0">
      <alignment vertical="center"/>
    </xf>
    <xf numFmtId="0" fontId="60" fillId="14" borderId="140" applyNumberFormat="0" applyAlignment="0" applyProtection="0">
      <alignment vertical="center"/>
    </xf>
    <xf numFmtId="0" fontId="45" fillId="29" borderId="139" applyNumberFormat="0" applyFont="0" applyAlignment="0" applyProtection="0">
      <alignment vertical="center"/>
    </xf>
    <xf numFmtId="0" fontId="52" fillId="30" borderId="140" applyNumberFormat="0" applyAlignment="0" applyProtection="0">
      <alignment vertical="center"/>
    </xf>
    <xf numFmtId="0" fontId="56" fillId="0" borderId="145" applyNumberFormat="0" applyFill="0" applyAlignment="0" applyProtection="0">
      <alignment vertical="center"/>
    </xf>
    <xf numFmtId="0" fontId="57" fillId="0" borderId="141" applyNumberFormat="0" applyFill="0" applyAlignment="0" applyProtection="0">
      <alignment vertical="center"/>
    </xf>
    <xf numFmtId="0" fontId="58" fillId="30" borderId="142" applyNumberFormat="0" applyAlignment="0" applyProtection="0">
      <alignment vertical="center"/>
    </xf>
    <xf numFmtId="0" fontId="60" fillId="14" borderId="140" applyNumberFormat="0" applyAlignment="0" applyProtection="0">
      <alignment vertical="center"/>
    </xf>
  </cellStyleXfs>
  <cellXfs count="376">
    <xf numFmtId="0" fontId="0" fillId="0" borderId="0" xfId="0"/>
    <xf numFmtId="0" fontId="5" fillId="0" borderId="0" xfId="2">
      <alignment vertical="center"/>
    </xf>
    <xf numFmtId="0" fontId="5" fillId="0" borderId="0" xfId="2" applyAlignment="1">
      <alignment horizontal="left" vertical="center"/>
    </xf>
    <xf numFmtId="0" fontId="9" fillId="0" borderId="0" xfId="2" applyFont="1">
      <alignment vertical="center"/>
    </xf>
    <xf numFmtId="0" fontId="10" fillId="0" borderId="0" xfId="2" applyFont="1">
      <alignment vertical="center"/>
    </xf>
    <xf numFmtId="0" fontId="8" fillId="3" borderId="42" xfId="2" applyFont="1" applyFill="1" applyBorder="1">
      <alignment vertical="center"/>
    </xf>
    <xf numFmtId="0" fontId="8" fillId="3" borderId="3" xfId="2" applyFont="1" applyFill="1" applyBorder="1">
      <alignment vertical="center"/>
    </xf>
    <xf numFmtId="0" fontId="8" fillId="3" borderId="34" xfId="2" applyFont="1" applyFill="1" applyBorder="1">
      <alignment vertical="center"/>
    </xf>
    <xf numFmtId="0" fontId="8" fillId="3" borderId="6" xfId="2" applyFont="1" applyFill="1" applyBorder="1">
      <alignment vertical="center"/>
    </xf>
    <xf numFmtId="0" fontId="8" fillId="3" borderId="19" xfId="2" applyFont="1" applyFill="1" applyBorder="1">
      <alignment vertical="center"/>
    </xf>
    <xf numFmtId="0" fontId="8" fillId="3" borderId="1" xfId="2" applyFont="1" applyFill="1" applyBorder="1">
      <alignment vertical="center"/>
    </xf>
    <xf numFmtId="0" fontId="8" fillId="3" borderId="1" xfId="2" applyFont="1" applyFill="1" applyBorder="1" applyAlignment="1">
      <alignment vertical="center" shrinkToFit="1"/>
    </xf>
    <xf numFmtId="0" fontId="8" fillId="3" borderId="36" xfId="2" applyFont="1" applyFill="1" applyBorder="1">
      <alignment vertical="center"/>
    </xf>
    <xf numFmtId="0" fontId="8" fillId="3" borderId="36" xfId="2" applyFont="1" applyFill="1" applyBorder="1" applyAlignment="1">
      <alignment vertical="center" shrinkToFit="1"/>
    </xf>
    <xf numFmtId="0" fontId="8" fillId="3" borderId="48" xfId="2" applyFont="1" applyFill="1" applyBorder="1">
      <alignment vertical="center"/>
    </xf>
    <xf numFmtId="0" fontId="10" fillId="0" borderId="0" xfId="2" applyFont="1" applyAlignment="1">
      <alignment horizontal="left" vertical="center"/>
    </xf>
    <xf numFmtId="0" fontId="8" fillId="3" borderId="44" xfId="2" applyFont="1" applyFill="1" applyBorder="1" applyAlignment="1">
      <alignment vertical="center" justifyLastLine="1"/>
    </xf>
    <xf numFmtId="0" fontId="8" fillId="3" borderId="45" xfId="2" applyFont="1" applyFill="1" applyBorder="1" applyAlignment="1">
      <alignment vertical="center" justifyLastLine="1"/>
    </xf>
    <xf numFmtId="0" fontId="8" fillId="3" borderId="13" xfId="2" applyFont="1" applyFill="1" applyBorder="1" applyAlignment="1">
      <alignment vertical="center" justifyLastLine="1"/>
    </xf>
    <xf numFmtId="0" fontId="8" fillId="3" borderId="14" xfId="2" applyFont="1" applyFill="1" applyBorder="1" applyAlignment="1">
      <alignment vertical="center" justifyLastLine="1"/>
    </xf>
    <xf numFmtId="0" fontId="8" fillId="3" borderId="12" xfId="2" applyFont="1" applyFill="1" applyBorder="1" applyAlignment="1">
      <alignment vertical="center" justifyLastLine="1"/>
    </xf>
    <xf numFmtId="0" fontId="8" fillId="3" borderId="12" xfId="2" quotePrefix="1" applyFont="1" applyFill="1" applyBorder="1" applyAlignment="1">
      <alignment vertical="center" justifyLastLine="1"/>
    </xf>
    <xf numFmtId="0" fontId="8" fillId="3" borderId="52" xfId="2" applyFont="1" applyFill="1" applyBorder="1" applyAlignment="1">
      <alignment vertical="center" justifyLastLine="1"/>
    </xf>
    <xf numFmtId="0" fontId="5" fillId="0" borderId="31" xfId="2" applyBorder="1">
      <alignment vertical="center"/>
    </xf>
    <xf numFmtId="0" fontId="8" fillId="3" borderId="14" xfId="2" applyFont="1" applyFill="1" applyBorder="1">
      <alignment vertical="center"/>
    </xf>
    <xf numFmtId="0" fontId="8" fillId="3" borderId="52" xfId="2" applyFont="1" applyFill="1" applyBorder="1">
      <alignment vertical="center"/>
    </xf>
    <xf numFmtId="0" fontId="8" fillId="3" borderId="10" xfId="2" applyFont="1" applyFill="1" applyBorder="1">
      <alignment vertical="center"/>
    </xf>
    <xf numFmtId="0" fontId="8" fillId="3" borderId="50" xfId="2" applyFont="1" applyFill="1" applyBorder="1">
      <alignment vertical="center"/>
    </xf>
    <xf numFmtId="0" fontId="8" fillId="5" borderId="22" xfId="2" applyFont="1" applyFill="1" applyBorder="1" applyAlignment="1">
      <alignment horizontal="center" vertical="center" justifyLastLine="1"/>
    </xf>
    <xf numFmtId="0" fontId="8" fillId="5" borderId="23" xfId="2" applyFont="1" applyFill="1" applyBorder="1" applyAlignment="1">
      <alignment horizontal="center" vertical="center" justifyLastLine="1"/>
    </xf>
    <xf numFmtId="0" fontId="8" fillId="6" borderId="52" xfId="2" applyFont="1" applyFill="1" applyBorder="1" applyAlignment="1">
      <alignment horizontal="center" vertical="center" justifyLastLine="1"/>
    </xf>
    <xf numFmtId="0" fontId="8" fillId="6" borderId="37" xfId="2" applyFont="1" applyFill="1" applyBorder="1" applyAlignment="1">
      <alignment horizontal="center" vertical="center" justifyLastLine="1"/>
    </xf>
    <xf numFmtId="0" fontId="8" fillId="6" borderId="16" xfId="2" applyFont="1" applyFill="1" applyBorder="1" applyAlignment="1">
      <alignment horizontal="center" vertical="center" wrapText="1" justifyLastLine="1"/>
    </xf>
    <xf numFmtId="0" fontId="8" fillId="6" borderId="50" xfId="2" applyFont="1" applyFill="1" applyBorder="1" applyAlignment="1">
      <alignment horizontal="center" vertical="center" wrapText="1" justifyLastLine="1"/>
    </xf>
    <xf numFmtId="0" fontId="8" fillId="6" borderId="48" xfId="2" applyFont="1" applyFill="1" applyBorder="1" applyAlignment="1">
      <alignment horizontal="center" vertical="center" wrapText="1" justifyLastLine="1"/>
    </xf>
    <xf numFmtId="0" fontId="8" fillId="6" borderId="50" xfId="2" applyFont="1" applyFill="1" applyBorder="1" applyAlignment="1">
      <alignment horizontal="center" vertical="center" justifyLastLine="1"/>
    </xf>
    <xf numFmtId="0" fontId="8" fillId="6" borderId="47" xfId="2" applyFont="1" applyFill="1" applyBorder="1" applyAlignment="1">
      <alignment vertical="center" justifyLastLine="1"/>
    </xf>
    <xf numFmtId="0" fontId="8" fillId="6" borderId="47" xfId="2" quotePrefix="1" applyFont="1" applyFill="1" applyBorder="1" applyAlignment="1">
      <alignment vertical="center" justifyLastLine="1"/>
    </xf>
    <xf numFmtId="0" fontId="6" fillId="0" borderId="0" xfId="3" applyFont="1" applyAlignment="1">
      <alignment vertical="center"/>
    </xf>
    <xf numFmtId="0" fontId="13" fillId="0" borderId="0" xfId="3" applyFont="1"/>
    <xf numFmtId="0" fontId="19" fillId="0" borderId="0" xfId="3" applyFont="1" applyAlignment="1">
      <alignment vertical="top" wrapText="1"/>
    </xf>
    <xf numFmtId="0" fontId="14" fillId="0" borderId="0" xfId="3" applyFont="1" applyAlignment="1">
      <alignment vertical="center" wrapText="1"/>
    </xf>
    <xf numFmtId="0" fontId="19" fillId="0" borderId="0" xfId="3" applyFont="1" applyAlignment="1">
      <alignment horizontal="left" vertical="top" wrapText="1"/>
    </xf>
    <xf numFmtId="0" fontId="5" fillId="0" borderId="0" xfId="3"/>
    <xf numFmtId="0" fontId="17" fillId="0" borderId="0" xfId="3" applyFont="1" applyAlignment="1">
      <alignment vertical="center"/>
    </xf>
    <xf numFmtId="0" fontId="13" fillId="0" borderId="26" xfId="3" applyFont="1" applyBorder="1"/>
    <xf numFmtId="0" fontId="5" fillId="0" borderId="108" xfId="3" applyBorder="1"/>
    <xf numFmtId="0" fontId="13" fillId="0" borderId="13" xfId="3" applyFont="1" applyBorder="1" applyAlignment="1">
      <alignment vertical="center" wrapText="1"/>
    </xf>
    <xf numFmtId="0" fontId="12" fillId="0" borderId="0" xfId="3" applyFont="1" applyAlignment="1">
      <alignment vertical="center" wrapText="1"/>
    </xf>
    <xf numFmtId="0" fontId="13" fillId="0" borderId="13" xfId="3" applyFont="1" applyBorder="1" applyAlignment="1">
      <alignment vertical="center"/>
    </xf>
    <xf numFmtId="0" fontId="13" fillId="0" borderId="13" xfId="3" applyFont="1" applyBorder="1"/>
    <xf numFmtId="0" fontId="13" fillId="0" borderId="52" xfId="3" applyFont="1" applyBorder="1"/>
    <xf numFmtId="0" fontId="8" fillId="6" borderId="9" xfId="2" applyFont="1" applyFill="1" applyBorder="1" applyAlignment="1">
      <alignment horizontal="center" vertical="center" justifyLastLine="1"/>
    </xf>
    <xf numFmtId="0" fontId="8" fillId="6" borderId="13" xfId="2" applyFont="1" applyFill="1" applyBorder="1" applyAlignment="1">
      <alignment horizontal="center" vertical="center" justifyLastLine="1"/>
    </xf>
    <xf numFmtId="0" fontId="8" fillId="6" borderId="0" xfId="2" applyFont="1" applyFill="1" applyAlignment="1">
      <alignment horizontal="center" vertical="center" justifyLastLine="1"/>
    </xf>
    <xf numFmtId="0" fontId="8" fillId="5" borderId="44" xfId="2" applyFont="1" applyFill="1" applyBorder="1" applyAlignment="1">
      <alignment horizontal="distributed" vertical="center" indent="1"/>
    </xf>
    <xf numFmtId="0" fontId="8" fillId="5" borderId="13" xfId="2" applyFont="1" applyFill="1" applyBorder="1" applyAlignment="1">
      <alignment horizontal="distributed" vertical="center" indent="1"/>
    </xf>
    <xf numFmtId="0" fontId="8" fillId="5" borderId="41" xfId="2" applyFont="1" applyFill="1" applyBorder="1" applyAlignment="1">
      <alignment horizontal="center" vertical="center" justifyLastLine="1"/>
    </xf>
    <xf numFmtId="0" fontId="8" fillId="5" borderId="9" xfId="2" applyFont="1" applyFill="1" applyBorder="1" applyAlignment="1">
      <alignment horizontal="center" vertical="center" justifyLastLine="1"/>
    </xf>
    <xf numFmtId="0" fontId="11" fillId="3" borderId="41" xfId="2" applyFont="1" applyFill="1" applyBorder="1" applyAlignment="1">
      <alignment horizontal="right" vertical="top"/>
    </xf>
    <xf numFmtId="0" fontId="11" fillId="3" borderId="9" xfId="2" applyFont="1" applyFill="1" applyBorder="1" applyAlignment="1">
      <alignment horizontal="right" vertical="top"/>
    </xf>
    <xf numFmtId="0" fontId="8" fillId="6" borderId="39" xfId="2" applyFont="1" applyFill="1" applyBorder="1" applyAlignment="1">
      <alignment horizontal="center" vertical="center" justifyLastLine="1"/>
    </xf>
    <xf numFmtId="0" fontId="8" fillId="6" borderId="5" xfId="2" applyFont="1" applyFill="1" applyBorder="1" applyAlignment="1">
      <alignment horizontal="center" vertical="center" justifyLastLine="1"/>
    </xf>
    <xf numFmtId="0" fontId="8" fillId="6" borderId="51" xfId="2" applyFont="1" applyFill="1" applyBorder="1" applyAlignment="1">
      <alignment horizontal="center" vertical="center" justifyLastLine="1"/>
    </xf>
    <xf numFmtId="0" fontId="8" fillId="6" borderId="30" xfId="2" applyFont="1" applyFill="1" applyBorder="1" applyAlignment="1">
      <alignment horizontal="center" vertical="center" wrapText="1" justifyLastLine="1"/>
    </xf>
    <xf numFmtId="0" fontId="8" fillId="6" borderId="117" xfId="2" applyFont="1" applyFill="1" applyBorder="1" applyAlignment="1">
      <alignment horizontal="center" vertical="center" wrapText="1" justifyLastLine="1"/>
    </xf>
    <xf numFmtId="0" fontId="11" fillId="3" borderId="13" xfId="2" applyFont="1" applyFill="1" applyBorder="1" applyAlignment="1">
      <alignment horizontal="right" vertical="top"/>
    </xf>
    <xf numFmtId="0" fontId="11" fillId="3" borderId="117" xfId="2" applyFont="1" applyFill="1" applyBorder="1" applyAlignment="1">
      <alignment horizontal="right" vertical="top"/>
    </xf>
    <xf numFmtId="0" fontId="8" fillId="0" borderId="12" xfId="2" applyFont="1" applyBorder="1" applyAlignment="1">
      <alignment horizontal="distributed" vertical="center" shrinkToFit="1"/>
    </xf>
    <xf numFmtId="0" fontId="8" fillId="0" borderId="7" xfId="2" applyFont="1" applyBorder="1" applyAlignment="1">
      <alignment horizontal="center" vertical="center" shrinkToFit="1"/>
    </xf>
    <xf numFmtId="0" fontId="8" fillId="0" borderId="1" xfId="2" applyFont="1" applyBorder="1" applyAlignment="1">
      <alignment horizontal="center" vertical="center" shrinkToFit="1"/>
    </xf>
    <xf numFmtId="0" fontId="8" fillId="0" borderId="7" xfId="2" applyFont="1" applyBorder="1" applyAlignment="1">
      <alignment horizontal="center" vertical="center"/>
    </xf>
    <xf numFmtId="0" fontId="8" fillId="0" borderId="15" xfId="2" applyFont="1" applyBorder="1" applyAlignment="1">
      <alignment horizontal="distributed" vertical="center" shrinkToFit="1"/>
    </xf>
    <xf numFmtId="0" fontId="8" fillId="0" borderId="16" xfId="2" applyFont="1" applyBorder="1" applyAlignment="1">
      <alignment horizontal="center" vertical="center" shrinkToFit="1"/>
    </xf>
    <xf numFmtId="0" fontId="8" fillId="0" borderId="16" xfId="2" applyFont="1" applyBorder="1" applyAlignment="1">
      <alignment horizontal="center" vertical="center"/>
    </xf>
    <xf numFmtId="0" fontId="30" fillId="0" borderId="8" xfId="4" applyFont="1" applyBorder="1">
      <alignment vertical="center"/>
    </xf>
    <xf numFmtId="0" fontId="30" fillId="0" borderId="0" xfId="4" applyFont="1">
      <alignment vertical="center"/>
    </xf>
    <xf numFmtId="0" fontId="30" fillId="0" borderId="10" xfId="4" applyFont="1" applyBorder="1">
      <alignment vertical="center"/>
    </xf>
    <xf numFmtId="0" fontId="30" fillId="0" borderId="9" xfId="4" applyFont="1" applyBorder="1">
      <alignment vertical="center"/>
    </xf>
    <xf numFmtId="0" fontId="13" fillId="0" borderId="0" xfId="0" applyFont="1" applyAlignment="1">
      <alignment vertical="center"/>
    </xf>
    <xf numFmtId="0" fontId="8" fillId="6" borderId="41" xfId="2" applyFont="1" applyFill="1" applyBorder="1" applyAlignment="1">
      <alignment horizontal="center" vertical="center" justifyLastLine="1"/>
    </xf>
    <xf numFmtId="0" fontId="8" fillId="6" borderId="58" xfId="2" applyFont="1" applyFill="1" applyBorder="1" applyAlignment="1">
      <alignment horizontal="center" vertical="center" justifyLastLine="1"/>
    </xf>
    <xf numFmtId="0" fontId="8" fillId="6" borderId="8" xfId="2" applyFont="1" applyFill="1" applyBorder="1" applyAlignment="1">
      <alignment horizontal="center" vertical="center" wrapText="1" justifyLastLine="1"/>
    </xf>
    <xf numFmtId="0" fontId="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/>
    </xf>
    <xf numFmtId="0" fontId="24" fillId="0" borderId="0" xfId="3" applyFont="1"/>
    <xf numFmtId="0" fontId="8" fillId="0" borderId="7" xfId="2" applyFont="1" applyBorder="1" applyAlignment="1">
      <alignment vertical="center" wrapText="1"/>
    </xf>
    <xf numFmtId="0" fontId="8" fillId="0" borderId="16" xfId="2" applyFont="1" applyBorder="1" applyAlignment="1">
      <alignment vertical="center" wrapText="1"/>
    </xf>
    <xf numFmtId="0" fontId="8" fillId="6" borderId="25" xfId="2" applyFont="1" applyFill="1" applyBorder="1" applyAlignment="1">
      <alignment horizontal="center" vertical="center" justifyLastLine="1"/>
    </xf>
    <xf numFmtId="0" fontId="8" fillId="6" borderId="40" xfId="2" applyFont="1" applyFill="1" applyBorder="1" applyAlignment="1">
      <alignment horizontal="center" vertical="center" justifyLastLine="1"/>
    </xf>
    <xf numFmtId="0" fontId="30" fillId="0" borderId="7" xfId="4" applyFont="1" applyBorder="1" applyAlignment="1">
      <alignment horizontal="center" vertical="center" wrapText="1"/>
    </xf>
    <xf numFmtId="0" fontId="0" fillId="0" borderId="7" xfId="0" applyBorder="1"/>
    <xf numFmtId="0" fontId="8" fillId="5" borderId="43" xfId="2" applyFont="1" applyFill="1" applyBorder="1" applyAlignment="1">
      <alignment horizontal="center" vertical="center"/>
    </xf>
    <xf numFmtId="0" fontId="8" fillId="5" borderId="29" xfId="2" applyFont="1" applyFill="1" applyBorder="1" applyAlignment="1">
      <alignment horizontal="center" vertical="center"/>
    </xf>
    <xf numFmtId="0" fontId="11" fillId="5" borderId="46" xfId="2" applyFont="1" applyFill="1" applyBorder="1" applyAlignment="1">
      <alignment horizontal="center" vertical="center" justifyLastLine="1"/>
    </xf>
    <xf numFmtId="0" fontId="11" fillId="5" borderId="52" xfId="2" applyFont="1" applyFill="1" applyBorder="1" applyAlignment="1">
      <alignment horizontal="center" vertical="center" justifyLastLine="1"/>
    </xf>
    <xf numFmtId="0" fontId="11" fillId="5" borderId="37" xfId="2" applyFont="1" applyFill="1" applyBorder="1" applyAlignment="1">
      <alignment horizontal="center" vertical="center" justifyLastLine="1"/>
    </xf>
    <xf numFmtId="0" fontId="11" fillId="5" borderId="50" xfId="2" applyFont="1" applyFill="1" applyBorder="1" applyAlignment="1">
      <alignment horizontal="center" vertical="center" justifyLastLine="1"/>
    </xf>
    <xf numFmtId="0" fontId="8" fillId="6" borderId="2" xfId="2" applyFont="1" applyFill="1" applyBorder="1" applyAlignment="1">
      <alignment horizontal="center" vertical="center" justifyLastLine="1"/>
    </xf>
    <xf numFmtId="0" fontId="35" fillId="0" borderId="0" xfId="3" applyFont="1" applyAlignment="1">
      <alignment vertical="center"/>
    </xf>
    <xf numFmtId="0" fontId="37" fillId="0" borderId="0" xfId="3" applyFont="1" applyAlignment="1">
      <alignment horizontal="left" vertical="center"/>
    </xf>
    <xf numFmtId="0" fontId="38" fillId="0" borderId="0" xfId="3" applyFont="1" applyAlignment="1">
      <alignment vertical="top" wrapText="1"/>
    </xf>
    <xf numFmtId="0" fontId="39" fillId="0" borderId="0" xfId="3" applyFont="1"/>
    <xf numFmtId="0" fontId="40" fillId="0" borderId="0" xfId="3" applyFont="1"/>
    <xf numFmtId="0" fontId="35" fillId="0" borderId="0" xfId="3" applyFont="1"/>
    <xf numFmtId="0" fontId="37" fillId="0" borderId="0" xfId="3" applyFont="1" applyAlignment="1">
      <alignment vertical="center" wrapText="1"/>
    </xf>
    <xf numFmtId="0" fontId="37" fillId="0" borderId="0" xfId="3" applyFont="1" applyAlignment="1" applyProtection="1">
      <alignment vertical="center" wrapText="1"/>
      <protection locked="0"/>
    </xf>
    <xf numFmtId="0" fontId="14" fillId="0" borderId="0" xfId="3" applyFont="1" applyAlignment="1">
      <alignment vertical="center"/>
    </xf>
    <xf numFmtId="0" fontId="14" fillId="0" borderId="0" xfId="3" applyFont="1"/>
    <xf numFmtId="0" fontId="42" fillId="0" borderId="0" xfId="3" applyFont="1" applyAlignment="1">
      <alignment vertical="center"/>
    </xf>
    <xf numFmtId="0" fontId="17" fillId="0" borderId="0" xfId="3" applyFont="1"/>
    <xf numFmtId="0" fontId="41" fillId="0" borderId="0" xfId="3" applyFont="1" applyAlignment="1">
      <alignment vertical="top" wrapText="1"/>
    </xf>
    <xf numFmtId="0" fontId="38" fillId="0" borderId="0" xfId="3" applyFont="1" applyAlignment="1">
      <alignment vertical="center" wrapText="1"/>
    </xf>
    <xf numFmtId="0" fontId="37" fillId="0" borderId="34" xfId="3" applyFont="1" applyBorder="1" applyAlignment="1" applyProtection="1">
      <alignment vertical="center" wrapText="1"/>
      <protection locked="0"/>
    </xf>
    <xf numFmtId="0" fontId="8" fillId="6" borderId="118" xfId="2" quotePrefix="1" applyFont="1" applyFill="1" applyBorder="1" applyAlignment="1">
      <alignment vertical="center" justifyLastLine="1"/>
    </xf>
    <xf numFmtId="0" fontId="0" fillId="8" borderId="0" xfId="0" applyFill="1" applyAlignment="1">
      <alignment vertical="center"/>
    </xf>
    <xf numFmtId="0" fontId="8" fillId="0" borderId="3" xfId="2" applyFont="1" applyBorder="1" applyAlignment="1">
      <alignment horizontal="left" vertical="center" wrapText="1"/>
    </xf>
    <xf numFmtId="0" fontId="8" fillId="0" borderId="18" xfId="2" applyFont="1" applyBorder="1" applyAlignment="1">
      <alignment horizontal="left" vertical="center" wrapText="1"/>
    </xf>
    <xf numFmtId="0" fontId="5" fillId="0" borderId="0" xfId="5"/>
    <xf numFmtId="0" fontId="6" fillId="0" borderId="0" xfId="5" applyFont="1" applyAlignment="1">
      <alignment vertical="center"/>
    </xf>
    <xf numFmtId="0" fontId="13" fillId="0" borderId="26" xfId="5" applyFont="1" applyBorder="1" applyAlignment="1">
      <alignment vertical="center"/>
    </xf>
    <xf numFmtId="0" fontId="13" fillId="0" borderId="22" xfId="5" applyFont="1" applyBorder="1" applyAlignment="1">
      <alignment vertical="center"/>
    </xf>
    <xf numFmtId="0" fontId="8" fillId="0" borderId="11" xfId="2" applyFont="1" applyBorder="1" applyAlignment="1">
      <alignment vertical="center" shrinkToFit="1"/>
    </xf>
    <xf numFmtId="0" fontId="8" fillId="0" borderId="17" xfId="2" applyFont="1" applyBorder="1" applyAlignment="1">
      <alignment vertical="center" shrinkToFit="1"/>
    </xf>
    <xf numFmtId="0" fontId="13" fillId="0" borderId="25" xfId="3" applyFont="1" applyBorder="1"/>
    <xf numFmtId="0" fontId="13" fillId="0" borderId="33" xfId="3" applyFont="1" applyBorder="1"/>
    <xf numFmtId="0" fontId="13" fillId="0" borderId="22" xfId="3" applyFont="1" applyBorder="1"/>
    <xf numFmtId="0" fontId="8" fillId="5" borderId="25" xfId="0" applyFont="1" applyFill="1" applyBorder="1" applyAlignment="1">
      <alignment horizontal="center" vertical="center" shrinkToFit="1"/>
    </xf>
    <xf numFmtId="0" fontId="8" fillId="5" borderId="26" xfId="0" applyFont="1" applyFill="1" applyBorder="1" applyAlignment="1">
      <alignment horizontal="center" vertical="center" shrinkToFit="1"/>
    </xf>
    <xf numFmtId="49" fontId="32" fillId="0" borderId="20" xfId="0" applyNumberFormat="1" applyFont="1" applyBorder="1" applyAlignment="1">
      <alignment horizontal="center" vertical="center"/>
    </xf>
    <xf numFmtId="49" fontId="32" fillId="0" borderId="49" xfId="0" applyNumberFormat="1" applyFont="1" applyBorder="1" applyAlignment="1">
      <alignment horizontal="center" vertical="center"/>
    </xf>
    <xf numFmtId="0" fontId="5" fillId="3" borderId="27" xfId="2" applyFill="1" applyBorder="1" applyAlignment="1">
      <alignment horizontal="center" vertical="center"/>
    </xf>
    <xf numFmtId="0" fontId="5" fillId="3" borderId="59" xfId="2" applyFill="1" applyBorder="1" applyAlignment="1">
      <alignment horizontal="center" vertical="center"/>
    </xf>
    <xf numFmtId="0" fontId="5" fillId="0" borderId="27" xfId="2" applyBorder="1" applyAlignment="1">
      <alignment horizontal="center" vertical="center"/>
    </xf>
    <xf numFmtId="0" fontId="5" fillId="0" borderId="59" xfId="2" applyBorder="1" applyAlignment="1">
      <alignment horizontal="center" vertical="center"/>
    </xf>
    <xf numFmtId="0" fontId="5" fillId="0" borderId="28" xfId="2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 shrinkToFit="1"/>
    </xf>
    <xf numFmtId="0" fontId="8" fillId="5" borderId="33" xfId="0" applyFont="1" applyFill="1" applyBorder="1" applyAlignment="1">
      <alignment horizontal="center" vertical="center" shrinkToFit="1"/>
    </xf>
    <xf numFmtId="0" fontId="32" fillId="0" borderId="18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29" fillId="0" borderId="30" xfId="2" applyFont="1" applyBorder="1" applyAlignment="1">
      <alignment horizontal="center" vertical="center" wrapText="1" justifyLastLine="1"/>
    </xf>
    <xf numFmtId="0" fontId="29" fillId="0" borderId="48" xfId="2" applyFont="1" applyBorder="1" applyAlignment="1">
      <alignment horizontal="center" vertical="center" justifyLastLine="1"/>
    </xf>
    <xf numFmtId="0" fontId="29" fillId="0" borderId="26" xfId="2" applyFont="1" applyBorder="1" applyAlignment="1">
      <alignment horizontal="center" vertical="center" wrapText="1" justifyLastLine="1"/>
    </xf>
    <xf numFmtId="0" fontId="29" fillId="0" borderId="34" xfId="2" applyFont="1" applyBorder="1" applyAlignment="1">
      <alignment horizontal="center" vertical="center" justifyLastLine="1"/>
    </xf>
    <xf numFmtId="0" fontId="10" fillId="0" borderId="0" xfId="2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176" fontId="6" fillId="0" borderId="1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29" fillId="0" borderId="29" xfId="2" applyFont="1" applyBorder="1" applyAlignment="1">
      <alignment horizontal="distributed" vertical="center" wrapText="1" justifyLastLine="1"/>
    </xf>
    <xf numFmtId="0" fontId="29" fillId="0" borderId="52" xfId="2" applyFont="1" applyBorder="1" applyAlignment="1">
      <alignment horizontal="distributed" vertical="center" justifyLastLine="1"/>
    </xf>
    <xf numFmtId="0" fontId="29" fillId="0" borderId="23" xfId="2" applyFont="1" applyBorder="1" applyAlignment="1">
      <alignment horizontal="center" vertical="center" wrapText="1" justifyLastLine="1"/>
    </xf>
    <xf numFmtId="0" fontId="29" fillId="0" borderId="50" xfId="2" applyFont="1" applyBorder="1" applyAlignment="1">
      <alignment horizontal="center" vertical="center" justifyLastLine="1"/>
    </xf>
    <xf numFmtId="0" fontId="29" fillId="0" borderId="24" xfId="2" applyFont="1" applyBorder="1" applyAlignment="1">
      <alignment horizontal="center" vertical="center" wrapText="1" justifyLastLine="1"/>
    </xf>
    <xf numFmtId="0" fontId="29" fillId="0" borderId="36" xfId="2" applyFont="1" applyBorder="1" applyAlignment="1">
      <alignment horizontal="center" vertical="center" justifyLastLine="1"/>
    </xf>
    <xf numFmtId="0" fontId="33" fillId="0" borderId="23" xfId="0" applyFont="1" applyBorder="1" applyAlignment="1">
      <alignment horizontal="center" vertical="center" wrapText="1"/>
    </xf>
    <xf numFmtId="0" fontId="33" fillId="0" borderId="50" xfId="0" applyFont="1" applyBorder="1" applyAlignment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23" fillId="0" borderId="68" xfId="3" applyFont="1" applyBorder="1" applyAlignment="1">
      <alignment horizontal="center" vertical="center" wrapText="1"/>
    </xf>
    <xf numFmtId="0" fontId="23" fillId="0" borderId="66" xfId="3" applyFont="1" applyBorder="1" applyAlignment="1">
      <alignment horizontal="center" vertical="center" wrapText="1"/>
    </xf>
    <xf numFmtId="0" fontId="23" fillId="0" borderId="70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center" vertical="center"/>
    </xf>
    <xf numFmtId="0" fontId="21" fillId="0" borderId="42" xfId="3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5" fillId="0" borderId="3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0" fontId="21" fillId="0" borderId="39" xfId="3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7" xfId="3" applyFont="1" applyBorder="1" applyAlignment="1">
      <alignment horizontal="center" vertical="center"/>
    </xf>
    <xf numFmtId="0" fontId="24" fillId="0" borderId="8" xfId="3" applyFont="1" applyBorder="1" applyAlignment="1">
      <alignment horizontal="center" vertical="center" wrapText="1"/>
    </xf>
    <xf numFmtId="0" fontId="23" fillId="0" borderId="4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0" xfId="3" applyFont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3" fillId="0" borderId="66" xfId="3" applyFont="1" applyBorder="1" applyAlignment="1">
      <alignment horizontal="left" vertical="center" wrapText="1"/>
    </xf>
    <xf numFmtId="0" fontId="23" fillId="0" borderId="69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0" borderId="56" xfId="3" applyFont="1" applyBorder="1" applyAlignment="1">
      <alignment horizontal="center" vertical="center"/>
    </xf>
    <xf numFmtId="0" fontId="20" fillId="0" borderId="42" xfId="3" applyFont="1" applyBorder="1" applyAlignment="1">
      <alignment horizontal="center" vertical="center"/>
    </xf>
    <xf numFmtId="0" fontId="20" fillId="0" borderId="40" xfId="3" applyFont="1" applyBorder="1" applyAlignment="1">
      <alignment horizontal="center" vertical="center"/>
    </xf>
    <xf numFmtId="0" fontId="20" fillId="0" borderId="68" xfId="3" applyFont="1" applyBorder="1" applyAlignment="1">
      <alignment horizontal="center" vertical="center"/>
    </xf>
    <xf numFmtId="0" fontId="20" fillId="0" borderId="66" xfId="3" applyFont="1" applyBorder="1" applyAlignment="1">
      <alignment horizontal="center" vertical="center"/>
    </xf>
    <xf numFmtId="0" fontId="21" fillId="0" borderId="68" xfId="3" applyFont="1" applyBorder="1" applyAlignment="1">
      <alignment horizontal="center" vertical="center"/>
    </xf>
    <xf numFmtId="0" fontId="21" fillId="0" borderId="66" xfId="3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top" wrapText="1"/>
    </xf>
    <xf numFmtId="0" fontId="23" fillId="0" borderId="42" xfId="3" applyFont="1" applyBorder="1" applyAlignment="1">
      <alignment horizontal="center" vertical="top" wrapText="1"/>
    </xf>
    <xf numFmtId="0" fontId="15" fillId="0" borderId="56" xfId="3" applyFont="1" applyBorder="1" applyAlignment="1">
      <alignment horizontal="center" vertical="center"/>
    </xf>
    <xf numFmtId="0" fontId="15" fillId="0" borderId="42" xfId="3" applyFont="1" applyBorder="1" applyAlignment="1">
      <alignment horizontal="center" vertical="center"/>
    </xf>
    <xf numFmtId="0" fontId="16" fillId="4" borderId="61" xfId="3" applyFont="1" applyFill="1" applyBorder="1" applyAlignment="1">
      <alignment horizontal="center" vertical="center"/>
    </xf>
    <xf numFmtId="0" fontId="16" fillId="4" borderId="62" xfId="3" applyFont="1" applyFill="1" applyBorder="1" applyAlignment="1">
      <alignment horizontal="center" vertical="center"/>
    </xf>
    <xf numFmtId="0" fontId="16" fillId="4" borderId="63" xfId="3" applyFont="1" applyFill="1" applyBorder="1" applyAlignment="1">
      <alignment horizontal="center" vertical="center"/>
    </xf>
    <xf numFmtId="0" fontId="16" fillId="4" borderId="71" xfId="3" applyFont="1" applyFill="1" applyBorder="1" applyAlignment="1">
      <alignment horizontal="center" vertical="center"/>
    </xf>
    <xf numFmtId="0" fontId="16" fillId="4" borderId="72" xfId="3" applyFont="1" applyFill="1" applyBorder="1" applyAlignment="1">
      <alignment horizontal="center" vertical="center"/>
    </xf>
    <xf numFmtId="0" fontId="16" fillId="4" borderId="73" xfId="3" applyFont="1" applyFill="1" applyBorder="1" applyAlignment="1">
      <alignment horizontal="center" vertical="center"/>
    </xf>
    <xf numFmtId="0" fontId="26" fillId="3" borderId="74" xfId="3" applyFont="1" applyFill="1" applyBorder="1" applyAlignment="1">
      <alignment horizontal="center" vertical="center"/>
    </xf>
    <xf numFmtId="0" fontId="26" fillId="3" borderId="75" xfId="3" applyFont="1" applyFill="1" applyBorder="1" applyAlignment="1">
      <alignment horizontal="center" vertical="center"/>
    </xf>
    <xf numFmtId="0" fontId="24" fillId="7" borderId="71" xfId="3" applyFont="1" applyFill="1" applyBorder="1" applyAlignment="1">
      <alignment vertical="center"/>
    </xf>
    <xf numFmtId="0" fontId="24" fillId="7" borderId="72" xfId="3" applyFont="1" applyFill="1" applyBorder="1" applyAlignment="1">
      <alignment vertical="center"/>
    </xf>
    <xf numFmtId="0" fontId="24" fillId="7" borderId="76" xfId="3" applyFont="1" applyFill="1" applyBorder="1" applyAlignment="1">
      <alignment vertical="center"/>
    </xf>
    <xf numFmtId="0" fontId="24" fillId="7" borderId="77" xfId="3" applyFont="1" applyFill="1" applyBorder="1" applyAlignment="1">
      <alignment vertical="center"/>
    </xf>
    <xf numFmtId="0" fontId="24" fillId="7" borderId="87" xfId="3" applyFont="1" applyFill="1" applyBorder="1" applyAlignment="1">
      <alignment vertical="center"/>
    </xf>
    <xf numFmtId="0" fontId="24" fillId="7" borderId="82" xfId="3" applyFont="1" applyFill="1" applyBorder="1" applyAlignment="1">
      <alignment vertical="center"/>
    </xf>
    <xf numFmtId="0" fontId="24" fillId="7" borderId="83" xfId="3" applyFont="1" applyFill="1" applyBorder="1" applyAlignment="1">
      <alignment vertical="center"/>
    </xf>
    <xf numFmtId="0" fontId="15" fillId="0" borderId="57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6" fillId="4" borderId="78" xfId="3" applyFont="1" applyFill="1" applyBorder="1" applyAlignment="1">
      <alignment horizontal="center" vertical="center"/>
    </xf>
    <xf numFmtId="0" fontId="16" fillId="4" borderId="79" xfId="3" applyFont="1" applyFill="1" applyBorder="1" applyAlignment="1">
      <alignment horizontal="center" vertical="center"/>
    </xf>
    <xf numFmtId="0" fontId="16" fillId="4" borderId="80" xfId="3" applyFont="1" applyFill="1" applyBorder="1" applyAlignment="1">
      <alignment horizontal="center" vertical="center"/>
    </xf>
    <xf numFmtId="0" fontId="16" fillId="4" borderId="81" xfId="3" applyFont="1" applyFill="1" applyBorder="1" applyAlignment="1">
      <alignment horizontal="center" vertical="center"/>
    </xf>
    <xf numFmtId="0" fontId="16" fillId="4" borderId="82" xfId="3" applyFont="1" applyFill="1" applyBorder="1" applyAlignment="1">
      <alignment horizontal="center" vertical="center"/>
    </xf>
    <xf numFmtId="0" fontId="16" fillId="4" borderId="83" xfId="3" applyFont="1" applyFill="1" applyBorder="1" applyAlignment="1">
      <alignment horizontal="center" vertical="center"/>
    </xf>
    <xf numFmtId="0" fontId="16" fillId="4" borderId="9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4" fillId="7" borderId="81" xfId="3" applyFont="1" applyFill="1" applyBorder="1" applyAlignment="1">
      <alignment vertical="center"/>
    </xf>
    <xf numFmtId="0" fontId="24" fillId="7" borderId="86" xfId="3" applyFont="1" applyFill="1" applyBorder="1" applyAlignment="1">
      <alignment vertical="center"/>
    </xf>
    <xf numFmtId="0" fontId="24" fillId="7" borderId="73" xfId="3" applyFont="1" applyFill="1" applyBorder="1" applyAlignment="1">
      <alignment vertical="center"/>
    </xf>
    <xf numFmtId="0" fontId="16" fillId="4" borderId="84" xfId="3" applyFont="1" applyFill="1" applyBorder="1" applyAlignment="1">
      <alignment horizontal="center" vertical="center"/>
    </xf>
    <xf numFmtId="0" fontId="27" fillId="4" borderId="85" xfId="3" applyFont="1" applyFill="1" applyBorder="1" applyAlignment="1">
      <alignment horizontal="center" vertical="center"/>
    </xf>
    <xf numFmtId="0" fontId="15" fillId="0" borderId="92" xfId="3" applyFont="1" applyBorder="1" applyAlignment="1">
      <alignment horizontal="center" vertical="center"/>
    </xf>
    <xf numFmtId="0" fontId="24" fillId="7" borderId="137" xfId="3" applyFont="1" applyFill="1" applyBorder="1" applyAlignment="1">
      <alignment vertical="center"/>
    </xf>
    <xf numFmtId="0" fontId="24" fillId="7" borderId="106" xfId="3" applyFont="1" applyFill="1" applyBorder="1" applyAlignment="1">
      <alignment vertical="center"/>
    </xf>
    <xf numFmtId="0" fontId="24" fillId="7" borderId="107" xfId="3" applyFont="1" applyFill="1" applyBorder="1" applyAlignment="1">
      <alignment vertical="center"/>
    </xf>
    <xf numFmtId="0" fontId="15" fillId="0" borderId="20" xfId="3" applyFont="1" applyBorder="1" applyAlignment="1">
      <alignment horizontal="center" vertical="center"/>
    </xf>
    <xf numFmtId="0" fontId="15" fillId="0" borderId="49" xfId="3" applyFont="1" applyBorder="1" applyAlignment="1">
      <alignment horizontal="center" vertical="center"/>
    </xf>
    <xf numFmtId="0" fontId="15" fillId="0" borderId="98" xfId="3" applyFont="1" applyBorder="1" applyAlignment="1">
      <alignment horizontal="center" vertical="center"/>
    </xf>
    <xf numFmtId="0" fontId="16" fillId="4" borderId="105" xfId="3" applyFont="1" applyFill="1" applyBorder="1" applyAlignment="1">
      <alignment horizontal="center" vertical="center"/>
    </xf>
    <xf numFmtId="0" fontId="16" fillId="4" borderId="106" xfId="3" applyFont="1" applyFill="1" applyBorder="1" applyAlignment="1">
      <alignment horizontal="center" vertical="center"/>
    </xf>
    <xf numFmtId="0" fontId="16" fillId="4" borderId="107" xfId="3" applyFont="1" applyFill="1" applyBorder="1" applyAlignment="1">
      <alignment horizontal="center" vertical="center"/>
    </xf>
    <xf numFmtId="0" fontId="16" fillId="4" borderId="103" xfId="3" applyFont="1" applyFill="1" applyBorder="1" applyAlignment="1">
      <alignment horizontal="center" vertical="center"/>
    </xf>
    <xf numFmtId="0" fontId="27" fillId="4" borderId="104" xfId="3" applyFont="1" applyFill="1" applyBorder="1" applyAlignment="1">
      <alignment horizontal="center" vertical="center"/>
    </xf>
    <xf numFmtId="0" fontId="24" fillId="7" borderId="105" xfId="3" applyFont="1" applyFill="1" applyBorder="1" applyAlignment="1">
      <alignment vertical="center"/>
    </xf>
    <xf numFmtId="0" fontId="24" fillId="7" borderId="132" xfId="3" applyFont="1" applyFill="1" applyBorder="1" applyAlignment="1">
      <alignment vertical="center"/>
    </xf>
    <xf numFmtId="0" fontId="14" fillId="0" borderId="115" xfId="3" applyFont="1" applyBorder="1" applyAlignment="1">
      <alignment horizontal="left" vertical="top" wrapText="1"/>
    </xf>
    <xf numFmtId="0" fontId="13" fillId="0" borderId="14" xfId="5" applyFont="1" applyBorder="1" applyAlignment="1">
      <alignment horizontal="center" vertical="center"/>
    </xf>
    <xf numFmtId="0" fontId="13" fillId="0" borderId="10" xfId="5" applyFont="1" applyBorder="1" applyAlignment="1">
      <alignment horizontal="center" vertical="center"/>
    </xf>
    <xf numFmtId="0" fontId="13" fillId="0" borderId="119" xfId="5" applyFont="1" applyBorder="1" applyAlignment="1">
      <alignment horizontal="center" vertical="center"/>
    </xf>
    <xf numFmtId="0" fontId="21" fillId="7" borderId="149" xfId="5" applyFont="1" applyFill="1" applyBorder="1" applyAlignment="1">
      <alignment horizontal="center" vertical="center"/>
    </xf>
    <xf numFmtId="0" fontId="21" fillId="7" borderId="138" xfId="5" applyFont="1" applyFill="1" applyBorder="1" applyAlignment="1">
      <alignment horizontal="center" vertical="center"/>
    </xf>
    <xf numFmtId="0" fontId="21" fillId="7" borderId="150" xfId="5" applyFont="1" applyFill="1" applyBorder="1" applyAlignment="1">
      <alignment horizontal="center" vertical="center"/>
    </xf>
    <xf numFmtId="0" fontId="21" fillId="7" borderId="153" xfId="5" applyFont="1" applyFill="1" applyBorder="1" applyAlignment="1">
      <alignment horizontal="center" vertical="center"/>
    </xf>
    <xf numFmtId="0" fontId="21" fillId="7" borderId="154" xfId="5" applyFont="1" applyFill="1" applyBorder="1" applyAlignment="1">
      <alignment horizontal="center" vertical="center"/>
    </xf>
    <xf numFmtId="0" fontId="21" fillId="7" borderId="155" xfId="5" applyFont="1" applyFill="1" applyBorder="1" applyAlignment="1">
      <alignment horizontal="center" vertical="center"/>
    </xf>
    <xf numFmtId="0" fontId="21" fillId="7" borderId="151" xfId="5" applyFont="1" applyFill="1" applyBorder="1" applyAlignment="1">
      <alignment horizontal="center" vertical="center"/>
    </xf>
    <xf numFmtId="0" fontId="21" fillId="7" borderId="152" xfId="5" applyFont="1" applyFill="1" applyBorder="1" applyAlignment="1">
      <alignment horizontal="center" vertical="center"/>
    </xf>
    <xf numFmtId="0" fontId="13" fillId="0" borderId="15" xfId="5" applyFont="1" applyBorder="1" applyAlignment="1">
      <alignment horizontal="center" vertical="center"/>
    </xf>
    <xf numFmtId="0" fontId="13" fillId="0" borderId="16" xfId="5" applyFont="1" applyBorder="1" applyAlignment="1">
      <alignment horizontal="center" vertical="center"/>
    </xf>
    <xf numFmtId="0" fontId="13" fillId="0" borderId="121" xfId="5" applyFont="1" applyBorder="1" applyAlignment="1">
      <alignment horizontal="center" vertical="center"/>
    </xf>
    <xf numFmtId="0" fontId="21" fillId="7" borderId="143" xfId="5" applyFont="1" applyFill="1" applyBorder="1" applyAlignment="1">
      <alignment horizontal="center" vertical="center"/>
    </xf>
    <xf numFmtId="0" fontId="21" fillId="7" borderId="144" xfId="5" applyFont="1" applyFill="1" applyBorder="1" applyAlignment="1">
      <alignment horizontal="center" vertical="center"/>
    </xf>
    <xf numFmtId="0" fontId="21" fillId="7" borderId="136" xfId="5" applyFont="1" applyFill="1" applyBorder="1" applyAlignment="1">
      <alignment horizontal="center" vertical="center"/>
    </xf>
    <xf numFmtId="0" fontId="13" fillId="0" borderId="25" xfId="5" applyFont="1" applyBorder="1" applyAlignment="1">
      <alignment horizontal="center" vertical="center"/>
    </xf>
    <xf numFmtId="0" fontId="13" fillId="0" borderId="26" xfId="5" applyFont="1" applyBorder="1" applyAlignment="1">
      <alignment horizontal="center" vertical="center"/>
    </xf>
    <xf numFmtId="0" fontId="13" fillId="0" borderId="33" xfId="5" applyFont="1" applyBorder="1" applyAlignment="1">
      <alignment horizontal="center" vertical="center"/>
    </xf>
    <xf numFmtId="0" fontId="13" fillId="0" borderId="38" xfId="5" applyFont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3" fillId="0" borderId="35" xfId="5" applyFont="1" applyBorder="1" applyAlignment="1">
      <alignment horizontal="center" vertical="center"/>
    </xf>
    <xf numFmtId="0" fontId="13" fillId="0" borderId="148" xfId="5" applyFont="1" applyBorder="1" applyAlignment="1">
      <alignment horizontal="center" vertical="center"/>
    </xf>
    <xf numFmtId="0" fontId="13" fillId="0" borderId="146" xfId="5" applyFont="1" applyBorder="1" applyAlignment="1">
      <alignment horizontal="center" vertical="center"/>
    </xf>
    <xf numFmtId="0" fontId="13" fillId="0" borderId="147" xfId="5" applyFont="1" applyBorder="1" applyAlignment="1">
      <alignment horizontal="center" vertical="center"/>
    </xf>
    <xf numFmtId="0" fontId="13" fillId="0" borderId="22" xfId="5" applyFont="1" applyBorder="1" applyAlignment="1">
      <alignment horizontal="center" vertical="center"/>
    </xf>
    <xf numFmtId="0" fontId="13" fillId="0" borderId="41" xfId="5" applyFont="1" applyBorder="1" applyAlignment="1">
      <alignment horizontal="center" vertical="center"/>
    </xf>
    <xf numFmtId="0" fontId="13" fillId="0" borderId="24" xfId="5" applyFont="1" applyBorder="1" applyAlignment="1">
      <alignment horizontal="center" vertical="center" wrapText="1"/>
    </xf>
    <xf numFmtId="0" fontId="13" fillId="0" borderId="26" xfId="5" applyFont="1" applyBorder="1" applyAlignment="1">
      <alignment horizontal="center" vertical="center" wrapText="1"/>
    </xf>
    <xf numFmtId="0" fontId="13" fillId="0" borderId="40" xfId="5" applyFont="1" applyBorder="1" applyAlignment="1">
      <alignment horizontal="center" vertical="center" wrapText="1"/>
    </xf>
    <xf numFmtId="0" fontId="13" fillId="0" borderId="0" xfId="5" applyFont="1" applyAlignment="1">
      <alignment horizontal="center" vertical="center" wrapText="1"/>
    </xf>
    <xf numFmtId="0" fontId="13" fillId="0" borderId="33" xfId="5" applyFont="1" applyBorder="1" applyAlignment="1">
      <alignment horizontal="center" vertical="center" wrapText="1"/>
    </xf>
    <xf numFmtId="0" fontId="13" fillId="0" borderId="35" xfId="5" applyFont="1" applyBorder="1" applyAlignment="1">
      <alignment horizontal="center" vertical="center" wrapText="1"/>
    </xf>
    <xf numFmtId="0" fontId="13" fillId="0" borderId="122" xfId="5" applyFont="1" applyBorder="1" applyAlignment="1">
      <alignment horizontal="center" vertical="center" wrapText="1"/>
    </xf>
    <xf numFmtId="0" fontId="13" fillId="0" borderId="110" xfId="5" applyFont="1" applyBorder="1" applyAlignment="1">
      <alignment horizontal="center" vertical="center"/>
    </xf>
    <xf numFmtId="0" fontId="13" fillId="0" borderId="135" xfId="5" applyFont="1" applyBorder="1" applyAlignment="1">
      <alignment horizontal="center" vertical="center"/>
    </xf>
    <xf numFmtId="0" fontId="21" fillId="0" borderId="66" xfId="5" applyFont="1" applyBorder="1" applyAlignment="1">
      <alignment horizontal="center" vertical="center" wrapText="1"/>
    </xf>
    <xf numFmtId="0" fontId="21" fillId="0" borderId="69" xfId="5" applyFont="1" applyBorder="1" applyAlignment="1">
      <alignment horizontal="center" vertical="center" wrapText="1"/>
    </xf>
    <xf numFmtId="0" fontId="21" fillId="0" borderId="68" xfId="5" applyFont="1" applyBorder="1" applyAlignment="1">
      <alignment horizontal="center" vertical="center" wrapText="1"/>
    </xf>
    <xf numFmtId="0" fontId="21" fillId="0" borderId="133" xfId="5" applyFont="1" applyBorder="1" applyAlignment="1">
      <alignment horizontal="center" vertical="center" wrapText="1"/>
    </xf>
    <xf numFmtId="0" fontId="21" fillId="0" borderId="120" xfId="5" applyFont="1" applyBorder="1" applyAlignment="1">
      <alignment horizontal="center" vertical="center" wrapText="1"/>
    </xf>
    <xf numFmtId="0" fontId="21" fillId="0" borderId="134" xfId="5" applyFont="1" applyBorder="1" applyAlignment="1">
      <alignment horizontal="center" vertical="center" wrapText="1"/>
    </xf>
    <xf numFmtId="0" fontId="36" fillId="0" borderId="0" xfId="3" applyFont="1" applyAlignment="1">
      <alignment horizontal="left" vertical="center"/>
    </xf>
    <xf numFmtId="0" fontId="13" fillId="0" borderId="25" xfId="3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/>
    </xf>
    <xf numFmtId="0" fontId="13" fillId="0" borderId="60" xfId="3" applyFont="1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0" fontId="13" fillId="0" borderId="34" xfId="3" applyFont="1" applyBorder="1" applyAlignment="1">
      <alignment horizontal="center" vertical="center"/>
    </xf>
    <xf numFmtId="0" fontId="13" fillId="0" borderId="64" xfId="3" applyFont="1" applyBorder="1" applyAlignment="1">
      <alignment horizontal="center" vertical="center"/>
    </xf>
    <xf numFmtId="0" fontId="17" fillId="4" borderId="61" xfId="3" applyFont="1" applyFill="1" applyBorder="1" applyAlignment="1">
      <alignment horizontal="center" vertical="center" wrapText="1"/>
    </xf>
    <xf numFmtId="0" fontId="17" fillId="4" borderId="62" xfId="3" applyFont="1" applyFill="1" applyBorder="1" applyAlignment="1">
      <alignment horizontal="center" vertical="center" wrapText="1"/>
    </xf>
    <xf numFmtId="0" fontId="17" fillId="4" borderId="63" xfId="3" applyFont="1" applyFill="1" applyBorder="1" applyAlignment="1">
      <alignment horizontal="center" vertical="center" wrapText="1"/>
    </xf>
    <xf numFmtId="0" fontId="17" fillId="4" borderId="65" xfId="3" applyFont="1" applyFill="1" applyBorder="1" applyAlignment="1">
      <alignment horizontal="center" vertical="center" wrapText="1"/>
    </xf>
    <xf numFmtId="0" fontId="17" fillId="4" borderId="66" xfId="3" applyFont="1" applyFill="1" applyBorder="1" applyAlignment="1">
      <alignment horizontal="center" vertical="center" wrapText="1"/>
    </xf>
    <xf numFmtId="0" fontId="17" fillId="4" borderId="67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35" xfId="3" applyFont="1" applyBorder="1" applyAlignment="1">
      <alignment horizontal="center" vertical="center"/>
    </xf>
    <xf numFmtId="0" fontId="13" fillId="0" borderId="88" xfId="3" applyFont="1" applyBorder="1" applyAlignment="1">
      <alignment horizontal="center" vertical="center"/>
    </xf>
    <xf numFmtId="0" fontId="13" fillId="0" borderId="9" xfId="3" applyFont="1" applyBorder="1" applyAlignment="1">
      <alignment horizontal="center" vertical="center" wrapText="1"/>
    </xf>
    <xf numFmtId="0" fontId="13" fillId="0" borderId="89" xfId="3" applyFont="1" applyBorder="1" applyAlignment="1">
      <alignment horizontal="center" vertical="center" wrapText="1"/>
    </xf>
    <xf numFmtId="0" fontId="13" fillId="0" borderId="117" xfId="3" applyFont="1" applyBorder="1" applyAlignment="1">
      <alignment horizontal="center" vertical="center" wrapText="1"/>
    </xf>
    <xf numFmtId="0" fontId="13" fillId="0" borderId="90" xfId="3" applyFont="1" applyBorder="1" applyAlignment="1">
      <alignment horizontal="center" vertical="center" wrapText="1"/>
    </xf>
    <xf numFmtId="0" fontId="13" fillId="0" borderId="56" xfId="3" applyFont="1" applyBorder="1" applyAlignment="1">
      <alignment horizontal="distributed" vertical="center"/>
    </xf>
    <xf numFmtId="0" fontId="13" fillId="0" borderId="42" xfId="3" applyFont="1" applyBorder="1" applyAlignment="1">
      <alignment horizontal="distributed" vertical="center"/>
    </xf>
    <xf numFmtId="0" fontId="13" fillId="0" borderId="93" xfId="3" applyFont="1" applyBorder="1" applyAlignment="1">
      <alignment horizontal="distributed" vertical="center"/>
    </xf>
    <xf numFmtId="0" fontId="13" fillId="0" borderId="57" xfId="3" applyFont="1" applyBorder="1" applyAlignment="1">
      <alignment horizontal="distributed" vertical="center"/>
    </xf>
    <xf numFmtId="0" fontId="13" fillId="0" borderId="3" xfId="3" applyFont="1" applyBorder="1" applyAlignment="1">
      <alignment horizontal="distributed" vertical="center"/>
    </xf>
    <xf numFmtId="0" fontId="13" fillId="0" borderId="92" xfId="3" applyFont="1" applyBorder="1" applyAlignment="1">
      <alignment horizontal="distributed" vertical="center"/>
    </xf>
    <xf numFmtId="0" fontId="16" fillId="7" borderId="95" xfId="3" applyFont="1" applyFill="1" applyBorder="1" applyAlignment="1">
      <alignment vertical="center"/>
    </xf>
    <xf numFmtId="0" fontId="28" fillId="7" borderId="62" xfId="3" applyFont="1" applyFill="1" applyBorder="1" applyAlignment="1">
      <alignment vertical="center"/>
    </xf>
    <xf numFmtId="0" fontId="28" fillId="7" borderId="94" xfId="3" applyFont="1" applyFill="1" applyBorder="1" applyAlignment="1">
      <alignment vertical="center"/>
    </xf>
    <xf numFmtId="0" fontId="28" fillId="7" borderId="97" xfId="3" applyFont="1" applyFill="1" applyBorder="1" applyAlignment="1">
      <alignment vertical="center"/>
    </xf>
    <xf numFmtId="0" fontId="28" fillId="7" borderId="66" xfId="3" applyFont="1" applyFill="1" applyBorder="1" applyAlignment="1">
      <alignment vertical="center"/>
    </xf>
    <xf numFmtId="0" fontId="28" fillId="7" borderId="96" xfId="3" applyFont="1" applyFill="1" applyBorder="1" applyAlignment="1">
      <alignment vertical="center"/>
    </xf>
    <xf numFmtId="0" fontId="28" fillId="7" borderId="63" xfId="3" applyFont="1" applyFill="1" applyBorder="1" applyAlignment="1">
      <alignment vertical="center"/>
    </xf>
    <xf numFmtId="0" fontId="28" fillId="7" borderId="67" xfId="3" applyFont="1" applyFill="1" applyBorder="1" applyAlignment="1">
      <alignment vertical="center"/>
    </xf>
    <xf numFmtId="0" fontId="13" fillId="0" borderId="20" xfId="3" applyFont="1" applyBorder="1" applyAlignment="1">
      <alignment horizontal="distributed" vertical="center"/>
    </xf>
    <xf numFmtId="0" fontId="13" fillId="0" borderId="49" xfId="3" applyFont="1" applyBorder="1" applyAlignment="1">
      <alignment horizontal="distributed" vertical="center"/>
    </xf>
    <xf numFmtId="0" fontId="13" fillId="0" borderId="98" xfId="3" applyFont="1" applyBorder="1" applyAlignment="1">
      <alignment horizontal="distributed" vertical="center"/>
    </xf>
    <xf numFmtId="0" fontId="13" fillId="0" borderId="22" xfId="3" applyFont="1" applyBorder="1" applyAlignment="1">
      <alignment horizontal="center" vertical="center"/>
    </xf>
    <xf numFmtId="0" fontId="13" fillId="0" borderId="37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3" fillId="0" borderId="25" xfId="3" applyFont="1" applyBorder="1" applyAlignment="1">
      <alignment horizontal="distributed" vertical="center" wrapText="1"/>
    </xf>
    <xf numFmtId="0" fontId="13" fillId="0" borderId="26" xfId="3" applyFont="1" applyBorder="1" applyAlignment="1">
      <alignment horizontal="distributed" vertical="center" wrapText="1"/>
    </xf>
    <xf numFmtId="0" fontId="13" fillId="0" borderId="38" xfId="3" applyFont="1" applyBorder="1" applyAlignment="1">
      <alignment horizontal="distributed" vertical="center" wrapText="1"/>
    </xf>
    <xf numFmtId="0" fontId="13" fillId="0" borderId="0" xfId="3" applyFont="1" applyAlignment="1">
      <alignment horizontal="distributed" vertical="center" wrapText="1"/>
    </xf>
    <xf numFmtId="0" fontId="12" fillId="0" borderId="25" xfId="3" applyFont="1" applyBorder="1" applyAlignment="1">
      <alignment horizontal="left" vertical="center" wrapText="1"/>
    </xf>
    <xf numFmtId="0" fontId="12" fillId="0" borderId="26" xfId="3" applyFont="1" applyBorder="1" applyAlignment="1">
      <alignment horizontal="left" vertical="center" wrapText="1"/>
    </xf>
    <xf numFmtId="0" fontId="12" fillId="0" borderId="60" xfId="3" applyFont="1" applyBorder="1" applyAlignment="1">
      <alignment horizontal="left" vertical="center" wrapText="1"/>
    </xf>
    <xf numFmtId="0" fontId="12" fillId="0" borderId="99" xfId="3" applyFont="1" applyBorder="1" applyAlignment="1">
      <alignment horizontal="left" vertical="center" wrapText="1"/>
    </xf>
    <xf numFmtId="0" fontId="12" fillId="0" borderId="100" xfId="3" applyFont="1" applyBorder="1" applyAlignment="1">
      <alignment horizontal="left" vertical="center" wrapText="1"/>
    </xf>
    <xf numFmtId="0" fontId="12" fillId="0" borderId="101" xfId="3" applyFont="1" applyBorder="1" applyAlignment="1">
      <alignment horizontal="left" vertical="center" wrapText="1"/>
    </xf>
    <xf numFmtId="0" fontId="16" fillId="7" borderId="61" xfId="3" applyFont="1" applyFill="1" applyBorder="1" applyAlignment="1">
      <alignment vertical="center"/>
    </xf>
    <xf numFmtId="0" fontId="16" fillId="7" borderId="62" xfId="3" applyFont="1" applyFill="1" applyBorder="1" applyAlignment="1">
      <alignment vertical="center"/>
    </xf>
    <xf numFmtId="0" fontId="16" fillId="7" borderId="63" xfId="3" applyFont="1" applyFill="1" applyBorder="1" applyAlignment="1">
      <alignment vertical="center"/>
    </xf>
    <xf numFmtId="0" fontId="16" fillId="7" borderId="102" xfId="3" applyFont="1" applyFill="1" applyBorder="1" applyAlignment="1">
      <alignment vertical="center"/>
    </xf>
    <xf numFmtId="0" fontId="16" fillId="7" borderId="42" xfId="3" applyFont="1" applyFill="1" applyBorder="1" applyAlignment="1">
      <alignment vertical="center"/>
    </xf>
    <xf numFmtId="0" fontId="16" fillId="7" borderId="93" xfId="3" applyFont="1" applyFill="1" applyBorder="1" applyAlignment="1">
      <alignment vertical="center"/>
    </xf>
    <xf numFmtId="0" fontId="13" fillId="0" borderId="1" xfId="3" applyFont="1" applyBorder="1" applyAlignment="1">
      <alignment horizontal="distributed" vertical="center"/>
    </xf>
    <xf numFmtId="0" fontId="12" fillId="0" borderId="109" xfId="3" applyFont="1" applyBorder="1" applyAlignment="1">
      <alignment horizontal="left" vertical="center" wrapText="1"/>
    </xf>
    <xf numFmtId="0" fontId="12" fillId="0" borderId="110" xfId="3" applyFont="1" applyBorder="1" applyAlignment="1">
      <alignment horizontal="left" vertical="center" wrapText="1"/>
    </xf>
    <xf numFmtId="0" fontId="12" fillId="0" borderId="111" xfId="3" applyFont="1" applyBorder="1" applyAlignment="1">
      <alignment horizontal="left" vertical="center" wrapText="1"/>
    </xf>
    <xf numFmtId="0" fontId="24" fillId="7" borderId="112" xfId="3" applyFont="1" applyFill="1" applyBorder="1" applyAlignment="1">
      <alignment vertical="center"/>
    </xf>
    <xf numFmtId="0" fontId="24" fillId="7" borderId="39" xfId="3" applyFont="1" applyFill="1" applyBorder="1" applyAlignment="1">
      <alignment vertical="center"/>
    </xf>
    <xf numFmtId="0" fontId="24" fillId="7" borderId="113" xfId="3" applyFont="1" applyFill="1" applyBorder="1" applyAlignment="1">
      <alignment vertical="center"/>
    </xf>
    <xf numFmtId="0" fontId="24" fillId="7" borderId="102" xfId="3" applyFont="1" applyFill="1" applyBorder="1" applyAlignment="1">
      <alignment vertical="center"/>
    </xf>
    <xf numFmtId="0" fontId="24" fillId="7" borderId="42" xfId="3" applyFont="1" applyFill="1" applyBorder="1" applyAlignment="1">
      <alignment vertical="center"/>
    </xf>
    <xf numFmtId="0" fontId="24" fillId="7" borderId="93" xfId="3" applyFont="1" applyFill="1" applyBorder="1" applyAlignment="1">
      <alignment vertical="center"/>
    </xf>
    <xf numFmtId="0" fontId="13" fillId="0" borderId="1" xfId="3" applyFont="1" applyBorder="1" applyAlignment="1">
      <alignment horizontal="distributed" vertical="center" wrapText="1"/>
    </xf>
    <xf numFmtId="0" fontId="13" fillId="0" borderId="3" xfId="3" applyFont="1" applyBorder="1" applyAlignment="1">
      <alignment horizontal="distributed" vertical="center" wrapText="1"/>
    </xf>
    <xf numFmtId="0" fontId="13" fillId="0" borderId="18" xfId="3" applyFont="1" applyBorder="1" applyAlignment="1">
      <alignment horizontal="distributed" vertical="center" wrapText="1"/>
    </xf>
    <xf numFmtId="0" fontId="13" fillId="0" borderId="49" xfId="3" applyFont="1" applyBorder="1" applyAlignment="1">
      <alignment horizontal="distributed" vertical="center" wrapText="1"/>
    </xf>
    <xf numFmtId="0" fontId="12" fillId="0" borderId="114" xfId="3" applyFont="1" applyBorder="1" applyAlignment="1">
      <alignment horizontal="left" vertical="center" wrapText="1"/>
    </xf>
    <xf numFmtId="0" fontId="12" fillId="0" borderId="115" xfId="3" applyFont="1" applyBorder="1" applyAlignment="1">
      <alignment horizontal="left" vertical="center" wrapText="1"/>
    </xf>
    <xf numFmtId="0" fontId="12" fillId="0" borderId="116" xfId="3" applyFont="1" applyBorder="1" applyAlignment="1">
      <alignment horizontal="left" vertical="center" wrapText="1"/>
    </xf>
    <xf numFmtId="0" fontId="24" fillId="7" borderId="65" xfId="3" applyFont="1" applyFill="1" applyBorder="1" applyAlignment="1">
      <alignment vertical="center"/>
    </xf>
    <xf numFmtId="0" fontId="24" fillId="7" borderId="66" xfId="3" applyFont="1" applyFill="1" applyBorder="1" applyAlignment="1">
      <alignment vertical="center"/>
    </xf>
    <xf numFmtId="0" fontId="24" fillId="7" borderId="67" xfId="3" applyFont="1" applyFill="1" applyBorder="1" applyAlignment="1">
      <alignment vertical="center"/>
    </xf>
  </cellXfs>
  <cellStyles count="81">
    <cellStyle name="20% - アクセント 1 2" xfId="16" xr:uid="{52AF0103-2407-4959-AED4-FEFF63590E4D}"/>
    <cellStyle name="20% - アクセント 2 2" xfId="17" xr:uid="{A3BE332B-63C3-4FF8-B24A-63034A50AEBD}"/>
    <cellStyle name="20% - アクセント 3 2" xfId="18" xr:uid="{392DA4C6-95ED-4ED7-8023-F268619DE69F}"/>
    <cellStyle name="20% - アクセント 4 2" xfId="19" xr:uid="{5AC07283-9C90-4908-AC53-DD13049D5B59}"/>
    <cellStyle name="20% - アクセント 5 2" xfId="20" xr:uid="{42487936-EFF7-4398-A548-3C11B1E4CC96}"/>
    <cellStyle name="20% - アクセント 6 2" xfId="21" xr:uid="{0EEC9BD0-4180-4570-8E78-C330E49C278E}"/>
    <cellStyle name="40% - アクセント 1 2" xfId="22" xr:uid="{B5D9C15E-DF2A-45BA-976C-46F10651C7C1}"/>
    <cellStyle name="40% - アクセント 2 2" xfId="23" xr:uid="{91C1108F-3F45-4E40-A561-FEBF58A3E5CE}"/>
    <cellStyle name="40% - アクセント 3 2" xfId="24" xr:uid="{F5B98DC1-3D5E-4DBF-929F-04A7CAC500C0}"/>
    <cellStyle name="40% - アクセント 4 2" xfId="25" xr:uid="{31D7B568-92C6-4454-B839-69BE2F245066}"/>
    <cellStyle name="40% - アクセント 5 2" xfId="26" xr:uid="{3C6E0F29-4788-4AD0-872F-1498B0473F93}"/>
    <cellStyle name="40% - アクセント 6 2" xfId="27" xr:uid="{1D2C10E2-EDC6-45C1-A27C-7D229C203E9C}"/>
    <cellStyle name="60% - アクセント 1 2" xfId="28" xr:uid="{F2EA5DEE-B60D-42C5-B795-3B0365FB6F0D}"/>
    <cellStyle name="60% - アクセント 2 2" xfId="29" xr:uid="{C509E29C-CFDF-4790-8E70-B01BEEDA0A5D}"/>
    <cellStyle name="60% - アクセント 3 2" xfId="30" xr:uid="{90233A47-9DF0-4052-A71B-C7CF909B0F3B}"/>
    <cellStyle name="60% - アクセント 4 2" xfId="31" xr:uid="{A160FEE7-2958-4A72-98CC-1A3159988237}"/>
    <cellStyle name="60% - アクセント 5 2" xfId="32" xr:uid="{686853F6-BC96-4752-81E7-71B54D578D96}"/>
    <cellStyle name="60% - アクセント 6 2" xfId="33" xr:uid="{8B9C5D59-BAF9-43F8-89C4-0AEF8268912D}"/>
    <cellStyle name="アクセント 1 2" xfId="34" xr:uid="{058408E3-51F8-41C9-833F-BF55692A728C}"/>
    <cellStyle name="アクセント 2 2" xfId="35" xr:uid="{2046FB35-9F91-47AD-A490-6E40D86FE717}"/>
    <cellStyle name="アクセント 3 2" xfId="36" xr:uid="{D91DF787-9650-4C6C-B935-4EAA1F7F8632}"/>
    <cellStyle name="アクセント 4 2" xfId="37" xr:uid="{183D10D8-6D06-467F-9BAE-E67D5E755EA7}"/>
    <cellStyle name="アクセント 5 2" xfId="38" xr:uid="{82F71350-8338-4819-9E36-4AC4EAA02FD7}"/>
    <cellStyle name="アクセント 6 2" xfId="39" xr:uid="{FC3EE97F-8266-45B7-8DB2-D7608C8F3E6C}"/>
    <cellStyle name="タイトル 2" xfId="40" xr:uid="{C1254E3D-97A2-4713-B717-D64EA6649FF6}"/>
    <cellStyle name="チェック セル 2" xfId="41" xr:uid="{DB8DD4F7-C216-4CC0-9E4B-035FAFAF0ECD}"/>
    <cellStyle name="どちらでもない 2" xfId="42" xr:uid="{67091081-93F5-4099-B21E-3B7D33AA8965}"/>
    <cellStyle name="メモ 2" xfId="43" xr:uid="{3F844247-F7B1-4211-B0CB-F1CF3CB85434}"/>
    <cellStyle name="メモ 2 2" xfId="70" xr:uid="{7719A8F5-C7D1-46DE-B8A3-C9DB2AAD8BF9}"/>
    <cellStyle name="メモ 2 3" xfId="75" xr:uid="{35F321EF-3DCF-46A9-A678-9260C21794E2}"/>
    <cellStyle name="メモ 2 4" xfId="61" xr:uid="{44DA6A29-7669-4486-A93A-D10BA6917301}"/>
    <cellStyle name="リンク セル 2" xfId="44" xr:uid="{1E3C48CC-B34D-412A-9DE2-FFD115DCE7FA}"/>
    <cellStyle name="悪い 2" xfId="45" xr:uid="{87CCF47A-74E2-4F21-B589-06E1C8C76A80}"/>
    <cellStyle name="計算 2" xfId="46" xr:uid="{16ED34EA-64D7-47FD-A3E3-081B35F37A3A}"/>
    <cellStyle name="計算 2 2" xfId="69" xr:uid="{A2D4AAB8-4E8B-4C2E-9E3D-E9BE975633A9}"/>
    <cellStyle name="計算 2 3" xfId="76" xr:uid="{BDF1B4B8-09C2-48E9-8BED-92F0D2FC6C70}"/>
    <cellStyle name="計算 2 4" xfId="62" xr:uid="{00965AB8-86AB-4370-BC28-7AFBFB0764D3}"/>
    <cellStyle name="警告文 2" xfId="47" xr:uid="{4805CC14-4DFE-41DD-8646-7658B9061566}"/>
    <cellStyle name="桁区切り 2" xfId="58" xr:uid="{66930EAA-0757-49A0-AFCA-AFB438D06149}"/>
    <cellStyle name="桁区切り 3" xfId="12" xr:uid="{E5C0D002-ECB4-4447-9208-26511E7E56E5}"/>
    <cellStyle name="見出し 1 2" xfId="48" xr:uid="{BEDFC0F2-8963-4B28-A2E4-F08909E8281A}"/>
    <cellStyle name="見出し 2 2" xfId="49" xr:uid="{55BB1FC9-7312-4F83-B1A8-CF55B0AF570B}"/>
    <cellStyle name="見出し 3 2" xfId="50" xr:uid="{24D9DB02-9F37-415C-9BD3-00FCB6F83D81}"/>
    <cellStyle name="見出し 3 2 2" xfId="71" xr:uid="{439A2604-4EF6-4967-8FBF-1149B6EC99F0}"/>
    <cellStyle name="見出し 3 2 3" xfId="77" xr:uid="{891A3056-3131-4FE4-87F7-EAA5CE6A5D39}"/>
    <cellStyle name="見出し 4 2" xfId="51" xr:uid="{E1B027D6-D75F-4F85-BD1E-6B7ED6EBC18A}"/>
    <cellStyle name="集計 2" xfId="52" xr:uid="{95E6DD0F-5F9E-4CC9-9997-221344A85810}"/>
    <cellStyle name="集計 2 2" xfId="72" xr:uid="{5FCA7CF9-C8C8-4658-9BB9-BF8F0FDBB996}"/>
    <cellStyle name="集計 2 3" xfId="78" xr:uid="{916FF6B2-DC5D-4854-A9CD-EF77B58E6260}"/>
    <cellStyle name="集計 2 4" xfId="63" xr:uid="{C44317A3-2CB3-411D-8AEF-5BAED29A1E9F}"/>
    <cellStyle name="出力 2" xfId="53" xr:uid="{8A82088A-BB06-4ACE-BC56-DA57C9B8B1F4}"/>
    <cellStyle name="出力 2 2" xfId="73" xr:uid="{CD80BB53-010E-4875-BC47-81578F68E3DE}"/>
    <cellStyle name="出力 2 3" xfId="79" xr:uid="{AEA0F11D-383B-473D-82FB-C20B59DE6B2A}"/>
    <cellStyle name="出力 2 4" xfId="64" xr:uid="{6B101F46-154C-4B5A-815D-284FBDFA05A1}"/>
    <cellStyle name="説明文 2" xfId="54" xr:uid="{C0C2EB29-BF00-4821-BC1C-DC2D02845F36}"/>
    <cellStyle name="入力 2" xfId="55" xr:uid="{58009325-D771-4B76-8A8B-EBAC86205AD2}"/>
    <cellStyle name="入力 2 2" xfId="74" xr:uid="{24B40621-C9B5-4DCB-AE23-5196D76EB58D}"/>
    <cellStyle name="入力 2 3" xfId="80" xr:uid="{918E948D-EE37-42D7-9288-8DB72EB037BF}"/>
    <cellStyle name="入力 2 4" xfId="65" xr:uid="{21678BA7-F78B-46D5-A139-CBB62C50C1AE}"/>
    <cellStyle name="標準" xfId="0" builtinId="0"/>
    <cellStyle name="標準 2" xfId="1" xr:uid="{00000000-0005-0000-0000-000001000000}"/>
    <cellStyle name="標準 2 2" xfId="5" xr:uid="{10D0AED0-F04B-4A26-BCA5-6946E5F08208}"/>
    <cellStyle name="標準 2 8" xfId="14" xr:uid="{35599FDF-B16D-4B3A-AE01-FDE904032A6E}"/>
    <cellStyle name="標準 3" xfId="2" xr:uid="{00000000-0005-0000-0000-000002000000}"/>
    <cellStyle name="標準 3 2" xfId="6" xr:uid="{885215CC-8EDF-4DB1-B7EE-BFC286909818}"/>
    <cellStyle name="標準 4" xfId="3" xr:uid="{00000000-0005-0000-0000-000003000000}"/>
    <cellStyle name="標準 4 2" xfId="8" xr:uid="{D62CFB77-218A-4C91-B078-C9FE299DC044}"/>
    <cellStyle name="標準 4 2 2" xfId="66" xr:uid="{E478553D-685A-4B8B-8C6C-EDD057ACF858}"/>
    <cellStyle name="標準 4 3" xfId="9" xr:uid="{D7ABD669-4ACB-4860-A9F5-8DEA073FD936}"/>
    <cellStyle name="標準 4 3 2" xfId="59" xr:uid="{B315DF43-5D5D-418E-8551-039929AA13CB}"/>
    <cellStyle name="標準 4 3 3" xfId="67" xr:uid="{C9FF95B2-FD5F-46E3-B70E-FD133A2D5ED4}"/>
    <cellStyle name="標準 4 4" xfId="10" xr:uid="{C71F5AA1-370B-4C36-9820-E79E8EF10267}"/>
    <cellStyle name="標準 4 4 2" xfId="60" xr:uid="{A1685662-90E2-4317-8283-092FD1E87301}"/>
    <cellStyle name="標準 4 4 3" xfId="68" xr:uid="{E6A25F20-FC13-47DA-9645-FCAB9C67E36A}"/>
    <cellStyle name="標準 4 5" xfId="7" xr:uid="{B91B836C-A035-43D3-A950-29FC0AB4FC55}"/>
    <cellStyle name="標準 5" xfId="11" xr:uid="{7E083D55-D155-47C1-A8E2-F07827568A62}"/>
    <cellStyle name="標準 6" xfId="4" xr:uid="{00000000-0005-0000-0000-000004000000}"/>
    <cellStyle name="標準 6 2" xfId="15" xr:uid="{E73A4486-A955-47FF-9AF9-CF94A32E79EF}"/>
    <cellStyle name="標準 6 3" xfId="13" xr:uid="{21C1F60F-62EE-42B1-BFA9-36FF69F9EF42}"/>
    <cellStyle name="標準 7" xfId="56" xr:uid="{CF5A9017-7839-443C-8E59-DD6275D0AC3D}"/>
    <cellStyle name="良い 2" xfId="57" xr:uid="{D5A1898E-EA77-4472-AD22-D77F1DB4211C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00"/>
      <color rgb="FF0000CC"/>
      <color rgb="FFFFCCCC"/>
      <color rgb="FFFFCC99"/>
      <color rgb="FFFFFF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&#24180;&#65297;&#26376;&#20307;&#31995;&#20197;&#38477;&#12398;&#35211;&#30452;&#12375;&#65288;&#23558;&#26469;&#26041;&#21521;&#65289;/&#26908;&#35342;&#29992;&#36039;&#26009;&#38306;&#20418;/&#29983;&#29987;&#36027;&#12503;&#12524;&#12503;&#12522;&#12531;&#12488;&#23550;&#24540;/02&#30044;&#29983;/20_&#29275;&#20083;&#29983;&#29987;&#36027;&#32113;&#35336;_&#38651;&#23376;&#35519;&#26619;&#31080;_&#3861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(新)"/>
      <sheetName val="説明 (新)"/>
      <sheetName val="調査事項・経営概要"/>
      <sheetName val="生産物_1~12月"/>
      <sheetName val="子牛等・購入飼料"/>
      <sheetName val="自給飼料"/>
      <sheetName val="資材（種付料～光熱動力）"/>
      <sheetName val="獣医師～その他資材"/>
      <sheetName val="税~その他"/>
      <sheetName val="建物"/>
      <sheetName val="自動車"/>
      <sheetName val="農機"/>
      <sheetName val="農具購入費"/>
      <sheetName val="牛・労働時間"/>
      <sheetName val="飼養状況_2-1"/>
      <sheetName val="飼養状況_2-2"/>
      <sheetName val="地代・搾乳牛負担割合・自給牧草"/>
      <sheetName val="リスト"/>
      <sheetName val="種類・構造・型式・牛馬コード"/>
    </sheetNames>
    <sheetDataSet>
      <sheetData sheetId="0"/>
      <sheetData sheetId="1"/>
      <sheetData sheetId="2"/>
      <sheetData sheetId="3"/>
      <sheetData sheetId="4"/>
      <sheetData sheetId="5">
        <row r="52">
          <cell r="BW52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E5" t="str">
            <v>[01]住　宅</v>
          </cell>
        </row>
      </sheetData>
      <sheetData sheetId="18">
        <row r="1">
          <cell r="Z1" t="str">
            <v>法定耐用年数</v>
          </cell>
        </row>
        <row r="3">
          <cell r="AA3" t="str">
            <v>建築物</v>
          </cell>
          <cell r="AC3" t="str">
            <v>構造</v>
          </cell>
          <cell r="AE3" t="str">
            <v>税制改正前</v>
          </cell>
          <cell r="AF3" t="str">
            <v>税制改正後</v>
          </cell>
        </row>
        <row r="4">
          <cell r="Y4" t="str">
            <v>0101</v>
          </cell>
          <cell r="Z4">
            <v>1</v>
          </cell>
          <cell r="AA4" t="str">
            <v>住宅</v>
          </cell>
          <cell r="AB4">
            <v>1</v>
          </cell>
          <cell r="AC4" t="str">
            <v>木造</v>
          </cell>
          <cell r="AD4" t="str">
            <v>住宅木造</v>
          </cell>
          <cell r="AE4">
            <v>22</v>
          </cell>
          <cell r="AF4">
            <v>22</v>
          </cell>
          <cell r="AH4">
            <v>1</v>
          </cell>
          <cell r="AI4">
            <v>1</v>
          </cell>
        </row>
        <row r="5">
          <cell r="Y5" t="str">
            <v>0102</v>
          </cell>
          <cell r="Z5">
            <v>1</v>
          </cell>
          <cell r="AA5" t="str">
            <v>住宅</v>
          </cell>
          <cell r="AB5">
            <v>2</v>
          </cell>
          <cell r="AC5" t="str">
            <v>合成樹脂造</v>
          </cell>
          <cell r="AD5" t="str">
            <v>住宅合成樹脂造</v>
          </cell>
          <cell r="AE5">
            <v>22</v>
          </cell>
          <cell r="AF5">
            <v>22</v>
          </cell>
          <cell r="AH5">
            <v>2</v>
          </cell>
          <cell r="AI5">
            <v>0.5</v>
          </cell>
        </row>
        <row r="6">
          <cell r="Y6" t="str">
            <v>0103</v>
          </cell>
          <cell r="Z6">
            <v>1</v>
          </cell>
          <cell r="AA6" t="str">
            <v>住宅</v>
          </cell>
          <cell r="AB6">
            <v>3</v>
          </cell>
          <cell r="AC6" t="str">
            <v>鉄筋コンクリート</v>
          </cell>
          <cell r="AD6" t="str">
            <v>住宅鉄筋コンクリート</v>
          </cell>
          <cell r="AE6">
            <v>47</v>
          </cell>
          <cell r="AF6">
            <v>47</v>
          </cell>
          <cell r="AH6">
            <v>3</v>
          </cell>
          <cell r="AI6">
            <v>0.33400000000000002</v>
          </cell>
        </row>
        <row r="7">
          <cell r="Y7" t="str">
            <v>0104</v>
          </cell>
          <cell r="Z7">
            <v>1</v>
          </cell>
          <cell r="AA7" t="str">
            <v>住宅</v>
          </cell>
          <cell r="AB7">
            <v>4</v>
          </cell>
          <cell r="AC7" t="str">
            <v>コンクリートブロック</v>
          </cell>
          <cell r="AD7" t="str">
            <v>住宅コンクリートブロック</v>
          </cell>
          <cell r="AE7">
            <v>38</v>
          </cell>
          <cell r="AF7">
            <v>38</v>
          </cell>
          <cell r="AH7">
            <v>4</v>
          </cell>
          <cell r="AI7">
            <v>0.25</v>
          </cell>
        </row>
        <row r="8">
          <cell r="Y8" t="str">
            <v>0105</v>
          </cell>
          <cell r="Z8">
            <v>1</v>
          </cell>
          <cell r="AA8" t="str">
            <v>住宅</v>
          </cell>
          <cell r="AB8">
            <v>5</v>
          </cell>
          <cell r="AC8" t="str">
            <v>鉄骨組３㎜以下</v>
          </cell>
          <cell r="AD8" t="str">
            <v>住宅鉄骨組３㎜以下</v>
          </cell>
          <cell r="AE8">
            <v>19</v>
          </cell>
          <cell r="AF8">
            <v>19</v>
          </cell>
          <cell r="AH8">
            <v>5</v>
          </cell>
          <cell r="AI8">
            <v>0.2</v>
          </cell>
        </row>
        <row r="9">
          <cell r="Y9" t="str">
            <v>0106</v>
          </cell>
          <cell r="Z9">
            <v>1</v>
          </cell>
          <cell r="AA9" t="str">
            <v>住宅</v>
          </cell>
          <cell r="AB9">
            <v>6</v>
          </cell>
          <cell r="AC9" t="str">
            <v>鉄骨組３～４㎜以下</v>
          </cell>
          <cell r="AD9" t="str">
            <v>住宅鉄骨組３～４㎜以下</v>
          </cell>
          <cell r="AE9">
            <v>27</v>
          </cell>
          <cell r="AF9">
            <v>27</v>
          </cell>
          <cell r="AH9">
            <v>6</v>
          </cell>
          <cell r="AI9">
            <v>0.16700000000000001</v>
          </cell>
        </row>
        <row r="10">
          <cell r="Y10" t="str">
            <v>0107</v>
          </cell>
          <cell r="Z10">
            <v>1</v>
          </cell>
          <cell r="AA10" t="str">
            <v>住宅</v>
          </cell>
          <cell r="AB10">
            <v>7</v>
          </cell>
          <cell r="AC10" t="str">
            <v>鉄骨組４㎜以上</v>
          </cell>
          <cell r="AD10" t="str">
            <v>住宅鉄骨組４㎜以上</v>
          </cell>
          <cell r="AE10">
            <v>34</v>
          </cell>
          <cell r="AF10">
            <v>34</v>
          </cell>
          <cell r="AH10">
            <v>7</v>
          </cell>
          <cell r="AI10">
            <v>0.14299999999999999</v>
          </cell>
        </row>
        <row r="11">
          <cell r="Y11" t="str">
            <v>0108</v>
          </cell>
          <cell r="Z11">
            <v>1</v>
          </cell>
          <cell r="AA11" t="str">
            <v>住宅</v>
          </cell>
          <cell r="AB11">
            <v>8</v>
          </cell>
          <cell r="AC11" t="str">
            <v>木造モルタル</v>
          </cell>
          <cell r="AD11" t="str">
            <v>住宅木造モルタル</v>
          </cell>
          <cell r="AE11">
            <v>20</v>
          </cell>
          <cell r="AF11">
            <v>20</v>
          </cell>
          <cell r="AH11">
            <v>8</v>
          </cell>
          <cell r="AI11">
            <v>0.125</v>
          </cell>
        </row>
        <row r="12">
          <cell r="Y12" t="str">
            <v>0177</v>
          </cell>
          <cell r="Z12">
            <v>1</v>
          </cell>
          <cell r="AA12" t="str">
            <v>住宅</v>
          </cell>
          <cell r="AB12">
            <v>77</v>
          </cell>
          <cell r="AC12" t="str">
            <v>少額資産</v>
          </cell>
          <cell r="AD12" t="str">
            <v>住宅少額資産</v>
          </cell>
          <cell r="AE12">
            <v>3</v>
          </cell>
          <cell r="AF12">
            <v>3</v>
          </cell>
          <cell r="AH12">
            <v>9</v>
          </cell>
          <cell r="AI12">
            <v>0.112</v>
          </cell>
        </row>
        <row r="13">
          <cell r="Y13" t="str">
            <v>0201</v>
          </cell>
          <cell r="Z13">
            <v>2</v>
          </cell>
          <cell r="AA13" t="str">
            <v>事務所</v>
          </cell>
          <cell r="AB13">
            <v>1</v>
          </cell>
          <cell r="AC13" t="str">
            <v>木造</v>
          </cell>
          <cell r="AD13" t="str">
            <v>事務所木造</v>
          </cell>
          <cell r="AE13">
            <v>24</v>
          </cell>
          <cell r="AF13">
            <v>24</v>
          </cell>
          <cell r="AH13">
            <v>10</v>
          </cell>
          <cell r="AI13">
            <v>0.1</v>
          </cell>
        </row>
        <row r="14">
          <cell r="Y14" t="str">
            <v>0202</v>
          </cell>
          <cell r="Z14">
            <v>2</v>
          </cell>
          <cell r="AA14" t="str">
            <v>事務所</v>
          </cell>
          <cell r="AB14">
            <v>2</v>
          </cell>
          <cell r="AC14" t="str">
            <v>合成樹脂造</v>
          </cell>
          <cell r="AD14" t="str">
            <v>事務所合成樹脂造</v>
          </cell>
          <cell r="AE14">
            <v>24</v>
          </cell>
          <cell r="AF14">
            <v>24</v>
          </cell>
          <cell r="AH14">
            <v>11</v>
          </cell>
          <cell r="AI14">
            <v>9.0999999999999998E-2</v>
          </cell>
        </row>
        <row r="15">
          <cell r="Y15" t="str">
            <v>0203</v>
          </cell>
          <cell r="Z15">
            <v>2</v>
          </cell>
          <cell r="AA15" t="str">
            <v>事務所</v>
          </cell>
          <cell r="AB15">
            <v>3</v>
          </cell>
          <cell r="AC15" t="str">
            <v>鉄筋コンクリート</v>
          </cell>
          <cell r="AD15" t="str">
            <v>事務所鉄筋コンクリート</v>
          </cell>
          <cell r="AE15">
            <v>50</v>
          </cell>
          <cell r="AF15">
            <v>50</v>
          </cell>
          <cell r="AH15">
            <v>12</v>
          </cell>
          <cell r="AI15">
            <v>8.4000000000000005E-2</v>
          </cell>
        </row>
        <row r="16">
          <cell r="Y16" t="str">
            <v>0204</v>
          </cell>
          <cell r="Z16">
            <v>2</v>
          </cell>
          <cell r="AA16" t="str">
            <v>事務所</v>
          </cell>
          <cell r="AB16">
            <v>4</v>
          </cell>
          <cell r="AC16" t="str">
            <v>コンクリートブロック</v>
          </cell>
          <cell r="AD16" t="str">
            <v>事務所コンクリートブロック</v>
          </cell>
          <cell r="AE16">
            <v>41</v>
          </cell>
          <cell r="AF16">
            <v>41</v>
          </cell>
          <cell r="AH16">
            <v>13</v>
          </cell>
          <cell r="AI16">
            <v>7.6999999999999999E-2</v>
          </cell>
        </row>
        <row r="17">
          <cell r="Y17" t="str">
            <v>0205</v>
          </cell>
          <cell r="Z17">
            <v>2</v>
          </cell>
          <cell r="AA17" t="str">
            <v>事務所</v>
          </cell>
          <cell r="AB17">
            <v>5</v>
          </cell>
          <cell r="AC17" t="str">
            <v>鉄骨組３㎜以下</v>
          </cell>
          <cell r="AD17" t="str">
            <v>事務所鉄骨組３㎜以下</v>
          </cell>
          <cell r="AE17">
            <v>22</v>
          </cell>
          <cell r="AF17">
            <v>22</v>
          </cell>
          <cell r="AH17">
            <v>14</v>
          </cell>
          <cell r="AI17">
            <v>7.1999999999999995E-2</v>
          </cell>
        </row>
        <row r="18">
          <cell r="Y18" t="str">
            <v>0206</v>
          </cell>
          <cell r="Z18">
            <v>2</v>
          </cell>
          <cell r="AA18" t="str">
            <v>事務所</v>
          </cell>
          <cell r="AB18">
            <v>6</v>
          </cell>
          <cell r="AC18" t="str">
            <v>鉄骨組３～４㎜以下</v>
          </cell>
          <cell r="AD18" t="str">
            <v>事務所鉄骨組３～４㎜以下</v>
          </cell>
          <cell r="AE18">
            <v>30</v>
          </cell>
          <cell r="AF18">
            <v>30</v>
          </cell>
          <cell r="AH18">
            <v>15</v>
          </cell>
          <cell r="AI18">
            <v>6.7000000000000004E-2</v>
          </cell>
        </row>
        <row r="19">
          <cell r="Y19" t="str">
            <v>0207</v>
          </cell>
          <cell r="Z19">
            <v>2</v>
          </cell>
          <cell r="AA19" t="str">
            <v>事務所</v>
          </cell>
          <cell r="AB19">
            <v>7</v>
          </cell>
          <cell r="AC19" t="str">
            <v>鉄骨組４㎜以上</v>
          </cell>
          <cell r="AD19" t="str">
            <v>事務所鉄骨組４㎜以上</v>
          </cell>
          <cell r="AE19">
            <v>38</v>
          </cell>
          <cell r="AF19">
            <v>38</v>
          </cell>
          <cell r="AH19">
            <v>16</v>
          </cell>
          <cell r="AI19">
            <v>6.3E-2</v>
          </cell>
        </row>
        <row r="20">
          <cell r="Y20" t="str">
            <v>0208</v>
          </cell>
          <cell r="Z20">
            <v>2</v>
          </cell>
          <cell r="AA20" t="str">
            <v>事務所</v>
          </cell>
          <cell r="AB20">
            <v>8</v>
          </cell>
          <cell r="AC20" t="str">
            <v>木造モルタル</v>
          </cell>
          <cell r="AD20" t="str">
            <v>事務所木造モルタル</v>
          </cell>
          <cell r="AE20">
            <v>22</v>
          </cell>
          <cell r="AF20">
            <v>22</v>
          </cell>
          <cell r="AH20">
            <v>17</v>
          </cell>
          <cell r="AI20">
            <v>5.8999999999999997E-2</v>
          </cell>
        </row>
        <row r="21">
          <cell r="Y21" t="str">
            <v>0277</v>
          </cell>
          <cell r="Z21">
            <v>2</v>
          </cell>
          <cell r="AA21" t="str">
            <v>事務所</v>
          </cell>
          <cell r="AB21">
            <v>77</v>
          </cell>
          <cell r="AC21" t="str">
            <v>少額資産</v>
          </cell>
          <cell r="AD21" t="str">
            <v>事務所少額資産</v>
          </cell>
          <cell r="AE21">
            <v>3</v>
          </cell>
          <cell r="AF21">
            <v>3</v>
          </cell>
          <cell r="AH21">
            <v>18</v>
          </cell>
          <cell r="AI21">
            <v>5.6000000000000001E-2</v>
          </cell>
        </row>
        <row r="22">
          <cell r="Y22" t="str">
            <v>0301</v>
          </cell>
          <cell r="Z22">
            <v>3</v>
          </cell>
          <cell r="AA22" t="str">
            <v>倉庫</v>
          </cell>
          <cell r="AB22">
            <v>1</v>
          </cell>
          <cell r="AC22" t="str">
            <v>木造</v>
          </cell>
          <cell r="AD22" t="str">
            <v>倉庫木造</v>
          </cell>
          <cell r="AE22">
            <v>15</v>
          </cell>
          <cell r="AF22">
            <v>15</v>
          </cell>
          <cell r="AH22">
            <v>19</v>
          </cell>
          <cell r="AI22">
            <v>5.2999999999999999E-2</v>
          </cell>
        </row>
        <row r="23">
          <cell r="Y23" t="str">
            <v>0302</v>
          </cell>
          <cell r="Z23">
            <v>3</v>
          </cell>
          <cell r="AA23" t="str">
            <v>倉庫</v>
          </cell>
          <cell r="AB23">
            <v>2</v>
          </cell>
          <cell r="AC23" t="str">
            <v>合成樹脂造</v>
          </cell>
          <cell r="AD23" t="str">
            <v>倉庫合成樹脂造</v>
          </cell>
          <cell r="AE23">
            <v>15</v>
          </cell>
          <cell r="AF23">
            <v>15</v>
          </cell>
          <cell r="AH23">
            <v>20</v>
          </cell>
          <cell r="AI23">
            <v>0.05</v>
          </cell>
        </row>
        <row r="24">
          <cell r="Y24" t="str">
            <v>0303</v>
          </cell>
          <cell r="Z24">
            <v>3</v>
          </cell>
          <cell r="AA24" t="str">
            <v>倉庫</v>
          </cell>
          <cell r="AB24">
            <v>3</v>
          </cell>
          <cell r="AC24" t="str">
            <v>鉄筋コンクリート</v>
          </cell>
          <cell r="AD24" t="str">
            <v>倉庫鉄筋コンクリート</v>
          </cell>
          <cell r="AE24">
            <v>38</v>
          </cell>
          <cell r="AF24">
            <v>38</v>
          </cell>
          <cell r="AH24">
            <v>21</v>
          </cell>
          <cell r="AI24">
            <v>4.8000000000000001E-2</v>
          </cell>
        </row>
        <row r="25">
          <cell r="Y25" t="str">
            <v>0304</v>
          </cell>
          <cell r="Z25">
            <v>3</v>
          </cell>
          <cell r="AA25" t="str">
            <v>倉庫</v>
          </cell>
          <cell r="AB25">
            <v>4</v>
          </cell>
          <cell r="AC25" t="str">
            <v>コンクリートブロック</v>
          </cell>
          <cell r="AD25" t="str">
            <v>倉庫コンクリートブロック</v>
          </cell>
          <cell r="AE25">
            <v>34</v>
          </cell>
          <cell r="AF25">
            <v>34</v>
          </cell>
          <cell r="AH25">
            <v>22</v>
          </cell>
          <cell r="AI25">
            <v>4.5999999999999999E-2</v>
          </cell>
        </row>
        <row r="26">
          <cell r="Y26" t="str">
            <v>0305</v>
          </cell>
          <cell r="Z26">
            <v>3</v>
          </cell>
          <cell r="AA26" t="str">
            <v>倉庫</v>
          </cell>
          <cell r="AB26">
            <v>5</v>
          </cell>
          <cell r="AC26" t="str">
            <v>鉄骨組３㎜以下</v>
          </cell>
          <cell r="AD26" t="str">
            <v>倉庫鉄骨組３㎜以下</v>
          </cell>
          <cell r="AE26">
            <v>17</v>
          </cell>
          <cell r="AF26">
            <v>17</v>
          </cell>
          <cell r="AH26">
            <v>23</v>
          </cell>
          <cell r="AI26">
            <v>4.3999999999999997E-2</v>
          </cell>
        </row>
        <row r="27">
          <cell r="Y27" t="str">
            <v>0306</v>
          </cell>
          <cell r="Z27">
            <v>3</v>
          </cell>
          <cell r="AA27" t="str">
            <v>倉庫</v>
          </cell>
          <cell r="AB27">
            <v>6</v>
          </cell>
          <cell r="AC27" t="str">
            <v>鉄骨組３～４㎜以下</v>
          </cell>
          <cell r="AD27" t="str">
            <v>倉庫鉄骨組３～４㎜以下</v>
          </cell>
          <cell r="AE27">
            <v>24</v>
          </cell>
          <cell r="AF27">
            <v>24</v>
          </cell>
          <cell r="AH27">
            <v>24</v>
          </cell>
          <cell r="AI27">
            <v>4.2000000000000003E-2</v>
          </cell>
        </row>
        <row r="28">
          <cell r="Y28" t="str">
            <v>0307</v>
          </cell>
          <cell r="Z28">
            <v>3</v>
          </cell>
          <cell r="AA28" t="str">
            <v>倉庫</v>
          </cell>
          <cell r="AB28">
            <v>7</v>
          </cell>
          <cell r="AC28" t="str">
            <v>鉄骨組４㎜以上</v>
          </cell>
          <cell r="AD28" t="str">
            <v>倉庫鉄骨組４㎜以上</v>
          </cell>
          <cell r="AE28">
            <v>31</v>
          </cell>
          <cell r="AF28">
            <v>31</v>
          </cell>
          <cell r="AH28">
            <v>25</v>
          </cell>
          <cell r="AI28">
            <v>0.04</v>
          </cell>
        </row>
        <row r="29">
          <cell r="Y29" t="str">
            <v>0308</v>
          </cell>
          <cell r="Z29">
            <v>3</v>
          </cell>
          <cell r="AA29" t="str">
            <v>倉庫</v>
          </cell>
          <cell r="AB29">
            <v>8</v>
          </cell>
          <cell r="AC29" t="str">
            <v>木造モルタル</v>
          </cell>
          <cell r="AD29" t="str">
            <v>倉庫木造モルタル</v>
          </cell>
          <cell r="AE29">
            <v>14</v>
          </cell>
          <cell r="AF29">
            <v>14</v>
          </cell>
          <cell r="AH29">
            <v>26</v>
          </cell>
          <cell r="AI29">
            <v>3.9E-2</v>
          </cell>
        </row>
        <row r="30">
          <cell r="Y30" t="str">
            <v>0377</v>
          </cell>
          <cell r="Z30">
            <v>3</v>
          </cell>
          <cell r="AA30" t="str">
            <v>倉庫</v>
          </cell>
          <cell r="AB30">
            <v>77</v>
          </cell>
          <cell r="AC30" t="str">
            <v>少額資産</v>
          </cell>
          <cell r="AD30" t="str">
            <v>倉庫少額資産</v>
          </cell>
          <cell r="AE30">
            <v>3</v>
          </cell>
          <cell r="AF30">
            <v>3</v>
          </cell>
          <cell r="AH30">
            <v>27</v>
          </cell>
          <cell r="AI30">
            <v>3.7999999999999999E-2</v>
          </cell>
        </row>
        <row r="31">
          <cell r="Y31" t="str">
            <v>0501</v>
          </cell>
          <cell r="Z31">
            <v>5</v>
          </cell>
          <cell r="AA31" t="str">
            <v>作業場</v>
          </cell>
          <cell r="AB31">
            <v>1</v>
          </cell>
          <cell r="AC31" t="str">
            <v>木造</v>
          </cell>
          <cell r="AD31" t="str">
            <v>作業場木造</v>
          </cell>
          <cell r="AE31">
            <v>15</v>
          </cell>
          <cell r="AF31">
            <v>15</v>
          </cell>
          <cell r="AH31">
            <v>28</v>
          </cell>
          <cell r="AI31">
            <v>3.5999999999999997E-2</v>
          </cell>
        </row>
        <row r="32">
          <cell r="Y32" t="str">
            <v>0502</v>
          </cell>
          <cell r="Z32">
            <v>5</v>
          </cell>
          <cell r="AA32" t="str">
            <v>作業場</v>
          </cell>
          <cell r="AB32">
            <v>2</v>
          </cell>
          <cell r="AC32" t="str">
            <v>合成樹脂造</v>
          </cell>
          <cell r="AD32" t="str">
            <v>作業場合成樹脂造</v>
          </cell>
          <cell r="AE32">
            <v>15</v>
          </cell>
          <cell r="AF32">
            <v>15</v>
          </cell>
          <cell r="AH32">
            <v>29</v>
          </cell>
          <cell r="AI32">
            <v>3.5000000000000003E-2</v>
          </cell>
        </row>
        <row r="33">
          <cell r="Y33" t="str">
            <v>0503</v>
          </cell>
          <cell r="Z33">
            <v>5</v>
          </cell>
          <cell r="AA33" t="str">
            <v>作業場</v>
          </cell>
          <cell r="AB33">
            <v>3</v>
          </cell>
          <cell r="AC33" t="str">
            <v>鉄筋コンクリート</v>
          </cell>
          <cell r="AD33" t="str">
            <v>作業場鉄筋コンクリート</v>
          </cell>
          <cell r="AE33">
            <v>38</v>
          </cell>
          <cell r="AF33">
            <v>38</v>
          </cell>
          <cell r="AH33">
            <v>30</v>
          </cell>
          <cell r="AI33">
            <v>3.4000000000000002E-2</v>
          </cell>
        </row>
        <row r="34">
          <cell r="Y34" t="str">
            <v>0504</v>
          </cell>
          <cell r="Z34">
            <v>5</v>
          </cell>
          <cell r="AA34" t="str">
            <v>作業場</v>
          </cell>
          <cell r="AB34">
            <v>4</v>
          </cell>
          <cell r="AC34" t="str">
            <v>コンクリートブロック</v>
          </cell>
          <cell r="AD34" t="str">
            <v>作業場コンクリートブロック</v>
          </cell>
          <cell r="AE34">
            <v>34</v>
          </cell>
          <cell r="AF34">
            <v>34</v>
          </cell>
          <cell r="AH34">
            <v>31</v>
          </cell>
          <cell r="AI34">
            <v>3.3000000000000002E-2</v>
          </cell>
        </row>
        <row r="35">
          <cell r="Y35" t="str">
            <v>0505</v>
          </cell>
          <cell r="Z35">
            <v>5</v>
          </cell>
          <cell r="AA35" t="str">
            <v>作業場</v>
          </cell>
          <cell r="AB35">
            <v>5</v>
          </cell>
          <cell r="AC35" t="str">
            <v>鉄骨組３㎜以下</v>
          </cell>
          <cell r="AD35" t="str">
            <v>作業場鉄骨組３㎜以下</v>
          </cell>
          <cell r="AE35">
            <v>17</v>
          </cell>
          <cell r="AF35">
            <v>17</v>
          </cell>
          <cell r="AH35">
            <v>32</v>
          </cell>
          <cell r="AI35">
            <v>3.2000000000000001E-2</v>
          </cell>
        </row>
        <row r="36">
          <cell r="Y36" t="str">
            <v>0506</v>
          </cell>
          <cell r="Z36">
            <v>5</v>
          </cell>
          <cell r="AA36" t="str">
            <v>作業場</v>
          </cell>
          <cell r="AB36">
            <v>6</v>
          </cell>
          <cell r="AC36" t="str">
            <v>鉄骨組３～４㎜以下</v>
          </cell>
          <cell r="AD36" t="str">
            <v>作業場鉄骨組３～４㎜以下</v>
          </cell>
          <cell r="AE36">
            <v>24</v>
          </cell>
          <cell r="AF36">
            <v>24</v>
          </cell>
          <cell r="AH36">
            <v>33</v>
          </cell>
          <cell r="AI36">
            <v>3.1E-2</v>
          </cell>
        </row>
        <row r="37">
          <cell r="Y37" t="str">
            <v>0507</v>
          </cell>
          <cell r="Z37">
            <v>5</v>
          </cell>
          <cell r="AA37" t="str">
            <v>作業場</v>
          </cell>
          <cell r="AB37">
            <v>7</v>
          </cell>
          <cell r="AC37" t="str">
            <v>鉄骨組４㎜以上</v>
          </cell>
          <cell r="AD37" t="str">
            <v>作業場鉄骨組４㎜以上</v>
          </cell>
          <cell r="AE37">
            <v>31</v>
          </cell>
          <cell r="AF37">
            <v>31</v>
          </cell>
          <cell r="AH37">
            <v>34</v>
          </cell>
          <cell r="AI37">
            <v>0.03</v>
          </cell>
        </row>
        <row r="38">
          <cell r="Y38" t="str">
            <v>0508</v>
          </cell>
          <cell r="Z38">
            <v>5</v>
          </cell>
          <cell r="AA38" t="str">
            <v>作業場</v>
          </cell>
          <cell r="AB38">
            <v>8</v>
          </cell>
          <cell r="AC38" t="str">
            <v>木造モルタル</v>
          </cell>
          <cell r="AD38" t="str">
            <v>作業場木造モルタル</v>
          </cell>
          <cell r="AE38">
            <v>14</v>
          </cell>
          <cell r="AF38">
            <v>14</v>
          </cell>
          <cell r="AH38">
            <v>35</v>
          </cell>
          <cell r="AI38">
            <v>2.9000000000000001E-2</v>
          </cell>
        </row>
        <row r="39">
          <cell r="Y39" t="str">
            <v>0577</v>
          </cell>
          <cell r="Z39">
            <v>5</v>
          </cell>
          <cell r="AA39" t="str">
            <v>作業場</v>
          </cell>
          <cell r="AB39">
            <v>77</v>
          </cell>
          <cell r="AC39" t="str">
            <v>少額資産</v>
          </cell>
          <cell r="AD39" t="str">
            <v>作業場少額資産</v>
          </cell>
          <cell r="AE39">
            <v>3</v>
          </cell>
          <cell r="AF39">
            <v>3</v>
          </cell>
          <cell r="AH39">
            <v>36</v>
          </cell>
          <cell r="AI39">
            <v>2.8000000000000001E-2</v>
          </cell>
        </row>
        <row r="40">
          <cell r="Y40" t="str">
            <v>1001</v>
          </cell>
          <cell r="Z40">
            <v>10</v>
          </cell>
          <cell r="AA40" t="str">
            <v>貯蔵庫</v>
          </cell>
          <cell r="AB40">
            <v>1</v>
          </cell>
          <cell r="AC40" t="str">
            <v>木造</v>
          </cell>
          <cell r="AD40" t="str">
            <v>貯蔵庫木造</v>
          </cell>
          <cell r="AE40">
            <v>15</v>
          </cell>
          <cell r="AF40">
            <v>15</v>
          </cell>
          <cell r="AH40">
            <v>37</v>
          </cell>
          <cell r="AI40">
            <v>2.8000000000000001E-2</v>
          </cell>
        </row>
        <row r="41">
          <cell r="Y41" t="str">
            <v>1002</v>
          </cell>
          <cell r="Z41">
            <v>10</v>
          </cell>
          <cell r="AA41" t="str">
            <v>貯蔵庫</v>
          </cell>
          <cell r="AB41">
            <v>2</v>
          </cell>
          <cell r="AC41" t="str">
            <v>合成樹脂造</v>
          </cell>
          <cell r="AD41" t="str">
            <v>貯蔵庫合成樹脂造</v>
          </cell>
          <cell r="AE41">
            <v>15</v>
          </cell>
          <cell r="AF41">
            <v>15</v>
          </cell>
          <cell r="AH41">
            <v>38</v>
          </cell>
          <cell r="AI41">
            <v>2.7E-2</v>
          </cell>
        </row>
        <row r="42">
          <cell r="Y42" t="str">
            <v>1003</v>
          </cell>
          <cell r="Z42">
            <v>10</v>
          </cell>
          <cell r="AA42" t="str">
            <v>貯蔵庫</v>
          </cell>
          <cell r="AB42">
            <v>3</v>
          </cell>
          <cell r="AC42" t="str">
            <v>鉄筋コンクリート</v>
          </cell>
          <cell r="AD42" t="str">
            <v>貯蔵庫鉄筋コンクリート</v>
          </cell>
          <cell r="AE42">
            <v>38</v>
          </cell>
          <cell r="AF42">
            <v>38</v>
          </cell>
          <cell r="AH42">
            <v>39</v>
          </cell>
          <cell r="AI42">
            <v>2.5999999999999999E-2</v>
          </cell>
        </row>
        <row r="43">
          <cell r="Y43" t="str">
            <v>1004</v>
          </cell>
          <cell r="Z43">
            <v>10</v>
          </cell>
          <cell r="AA43" t="str">
            <v>貯蔵庫</v>
          </cell>
          <cell r="AB43">
            <v>4</v>
          </cell>
          <cell r="AC43" t="str">
            <v>コンクリートブロック</v>
          </cell>
          <cell r="AD43" t="str">
            <v>貯蔵庫コンクリートブロック</v>
          </cell>
          <cell r="AE43">
            <v>34</v>
          </cell>
          <cell r="AF43">
            <v>34</v>
          </cell>
          <cell r="AH43">
            <v>40</v>
          </cell>
          <cell r="AI43">
            <v>2.5000000000000001E-2</v>
          </cell>
        </row>
        <row r="44">
          <cell r="Y44" t="str">
            <v>1005</v>
          </cell>
          <cell r="Z44">
            <v>10</v>
          </cell>
          <cell r="AA44" t="str">
            <v>貯蔵庫</v>
          </cell>
          <cell r="AB44">
            <v>5</v>
          </cell>
          <cell r="AC44" t="str">
            <v>鉄骨組３㎜以下</v>
          </cell>
          <cell r="AD44" t="str">
            <v>貯蔵庫鉄骨組３㎜以下</v>
          </cell>
          <cell r="AE44">
            <v>17</v>
          </cell>
          <cell r="AF44">
            <v>17</v>
          </cell>
          <cell r="AH44">
            <v>41</v>
          </cell>
          <cell r="AI44">
            <v>2.5000000000000001E-2</v>
          </cell>
        </row>
        <row r="45">
          <cell r="Y45" t="str">
            <v>1006</v>
          </cell>
          <cell r="Z45">
            <v>10</v>
          </cell>
          <cell r="AA45" t="str">
            <v>貯蔵庫</v>
          </cell>
          <cell r="AB45">
            <v>6</v>
          </cell>
          <cell r="AC45" t="str">
            <v>鉄骨組３～４㎜以下</v>
          </cell>
          <cell r="AD45" t="str">
            <v>貯蔵庫鉄骨組３～４㎜以下</v>
          </cell>
          <cell r="AE45">
            <v>24</v>
          </cell>
          <cell r="AF45">
            <v>24</v>
          </cell>
          <cell r="AH45">
            <v>42</v>
          </cell>
          <cell r="AI45">
            <v>2.4E-2</v>
          </cell>
        </row>
        <row r="46">
          <cell r="Y46" t="str">
            <v>1007</v>
          </cell>
          <cell r="Z46">
            <v>10</v>
          </cell>
          <cell r="AA46" t="str">
            <v>貯蔵庫</v>
          </cell>
          <cell r="AB46">
            <v>7</v>
          </cell>
          <cell r="AC46" t="str">
            <v>鉄骨組４㎜以上</v>
          </cell>
          <cell r="AD46" t="str">
            <v>貯蔵庫鉄骨組４㎜以上</v>
          </cell>
          <cell r="AE46">
            <v>31</v>
          </cell>
          <cell r="AF46">
            <v>31</v>
          </cell>
          <cell r="AH46">
            <v>43</v>
          </cell>
          <cell r="AI46">
            <v>2.4E-2</v>
          </cell>
        </row>
        <row r="47">
          <cell r="Y47" t="str">
            <v>1008</v>
          </cell>
          <cell r="Z47">
            <v>10</v>
          </cell>
          <cell r="AA47" t="str">
            <v>貯蔵庫</v>
          </cell>
          <cell r="AB47">
            <v>8</v>
          </cell>
          <cell r="AC47" t="str">
            <v>木造モルタル</v>
          </cell>
          <cell r="AD47" t="str">
            <v>貯蔵庫木造モルタル</v>
          </cell>
          <cell r="AE47">
            <v>14</v>
          </cell>
          <cell r="AF47">
            <v>14</v>
          </cell>
          <cell r="AH47">
            <v>44</v>
          </cell>
          <cell r="AI47">
            <v>2.3E-2</v>
          </cell>
        </row>
        <row r="48">
          <cell r="Y48" t="str">
            <v>1077</v>
          </cell>
          <cell r="Z48">
            <v>10</v>
          </cell>
          <cell r="AA48" t="str">
            <v>貯蔵庫</v>
          </cell>
          <cell r="AB48">
            <v>77</v>
          </cell>
          <cell r="AC48" t="str">
            <v>少額資産</v>
          </cell>
          <cell r="AD48" t="str">
            <v>貯蔵庫少額資産</v>
          </cell>
          <cell r="AE48">
            <v>3</v>
          </cell>
          <cell r="AF48">
            <v>3</v>
          </cell>
          <cell r="AH48">
            <v>45</v>
          </cell>
          <cell r="AI48">
            <v>2.3E-2</v>
          </cell>
        </row>
        <row r="49">
          <cell r="Y49" t="str">
            <v>1101</v>
          </cell>
          <cell r="Z49">
            <v>11</v>
          </cell>
          <cell r="AA49" t="str">
            <v>クーラー室</v>
          </cell>
          <cell r="AB49">
            <v>1</v>
          </cell>
          <cell r="AC49" t="str">
            <v>木造</v>
          </cell>
          <cell r="AD49" t="str">
            <v>クーラー室木造</v>
          </cell>
          <cell r="AE49">
            <v>15</v>
          </cell>
          <cell r="AF49">
            <v>15</v>
          </cell>
          <cell r="AH49">
            <v>46</v>
          </cell>
          <cell r="AI49">
            <v>2.1999999999999999E-2</v>
          </cell>
        </row>
        <row r="50">
          <cell r="Y50" t="str">
            <v>1102</v>
          </cell>
          <cell r="Z50">
            <v>11</v>
          </cell>
          <cell r="AA50" t="str">
            <v>クーラー室</v>
          </cell>
          <cell r="AB50">
            <v>2</v>
          </cell>
          <cell r="AC50" t="str">
            <v>合成樹脂造</v>
          </cell>
          <cell r="AD50" t="str">
            <v>クーラー室合成樹脂造</v>
          </cell>
          <cell r="AE50">
            <v>15</v>
          </cell>
          <cell r="AF50">
            <v>15</v>
          </cell>
          <cell r="AH50">
            <v>47</v>
          </cell>
          <cell r="AI50">
            <v>2.1999999999999999E-2</v>
          </cell>
        </row>
        <row r="51">
          <cell r="Y51" t="str">
            <v>1103</v>
          </cell>
          <cell r="Z51">
            <v>11</v>
          </cell>
          <cell r="AA51" t="str">
            <v>クーラー室</v>
          </cell>
          <cell r="AB51">
            <v>3</v>
          </cell>
          <cell r="AC51" t="str">
            <v>鉄筋コンクリート</v>
          </cell>
          <cell r="AD51" t="str">
            <v>クーラー室鉄筋コンクリート</v>
          </cell>
          <cell r="AE51">
            <v>38</v>
          </cell>
          <cell r="AF51">
            <v>38</v>
          </cell>
          <cell r="AH51">
            <v>48</v>
          </cell>
          <cell r="AI51">
            <v>2.1000000000000001E-2</v>
          </cell>
        </row>
        <row r="52">
          <cell r="Y52" t="str">
            <v>1104</v>
          </cell>
          <cell r="Z52">
            <v>11</v>
          </cell>
          <cell r="AA52" t="str">
            <v>クーラー室</v>
          </cell>
          <cell r="AB52">
            <v>4</v>
          </cell>
          <cell r="AC52" t="str">
            <v>コンクリートブロック</v>
          </cell>
          <cell r="AD52" t="str">
            <v>クーラー室コンクリートブロック</v>
          </cell>
          <cell r="AE52">
            <v>34</v>
          </cell>
          <cell r="AF52">
            <v>34</v>
          </cell>
          <cell r="AH52">
            <v>49</v>
          </cell>
          <cell r="AI52">
            <v>2.1000000000000001E-2</v>
          </cell>
        </row>
        <row r="53">
          <cell r="Y53" t="str">
            <v>1105</v>
          </cell>
          <cell r="Z53">
            <v>11</v>
          </cell>
          <cell r="AA53" t="str">
            <v>クーラー室</v>
          </cell>
          <cell r="AB53">
            <v>5</v>
          </cell>
          <cell r="AC53" t="str">
            <v>鉄骨組３㎜以下</v>
          </cell>
          <cell r="AD53" t="str">
            <v>クーラー室鉄骨組３㎜以下</v>
          </cell>
          <cell r="AE53">
            <v>17</v>
          </cell>
          <cell r="AF53">
            <v>17</v>
          </cell>
          <cell r="AH53">
            <v>50</v>
          </cell>
          <cell r="AI53">
            <v>0.02</v>
          </cell>
        </row>
        <row r="54">
          <cell r="Y54" t="str">
            <v>1106</v>
          </cell>
          <cell r="Z54">
            <v>11</v>
          </cell>
          <cell r="AA54" t="str">
            <v>クーラー室</v>
          </cell>
          <cell r="AB54">
            <v>6</v>
          </cell>
          <cell r="AC54" t="str">
            <v>鉄骨組３～４㎜以下</v>
          </cell>
          <cell r="AD54" t="str">
            <v>クーラー室鉄骨組３～４㎜以下</v>
          </cell>
          <cell r="AE54">
            <v>24</v>
          </cell>
          <cell r="AF54">
            <v>24</v>
          </cell>
          <cell r="AH54">
            <v>51</v>
          </cell>
          <cell r="AI54">
            <v>0.02</v>
          </cell>
        </row>
        <row r="55">
          <cell r="Y55" t="str">
            <v>1107</v>
          </cell>
          <cell r="Z55">
            <v>11</v>
          </cell>
          <cell r="AA55" t="str">
            <v>クーラー室</v>
          </cell>
          <cell r="AB55">
            <v>7</v>
          </cell>
          <cell r="AC55" t="str">
            <v>鉄骨組４㎜以上</v>
          </cell>
          <cell r="AD55" t="str">
            <v>クーラー室鉄骨組４㎜以上</v>
          </cell>
          <cell r="AE55">
            <v>31</v>
          </cell>
          <cell r="AF55">
            <v>31</v>
          </cell>
          <cell r="AH55">
            <v>52</v>
          </cell>
          <cell r="AI55">
            <v>0.02</v>
          </cell>
        </row>
        <row r="56">
          <cell r="Y56" t="str">
            <v>1108</v>
          </cell>
          <cell r="Z56">
            <v>11</v>
          </cell>
          <cell r="AA56" t="str">
            <v>クーラー室</v>
          </cell>
          <cell r="AB56">
            <v>8</v>
          </cell>
          <cell r="AC56" t="str">
            <v>木造モルタル</v>
          </cell>
          <cell r="AD56" t="str">
            <v>クーラー室木造モルタル</v>
          </cell>
          <cell r="AE56">
            <v>14</v>
          </cell>
          <cell r="AF56">
            <v>14</v>
          </cell>
          <cell r="AH56">
            <v>53</v>
          </cell>
          <cell r="AI56">
            <v>1.9E-2</v>
          </cell>
        </row>
        <row r="57">
          <cell r="Y57" t="str">
            <v>1177</v>
          </cell>
          <cell r="Z57">
            <v>11</v>
          </cell>
          <cell r="AA57" t="str">
            <v>クーラー室</v>
          </cell>
          <cell r="AB57">
            <v>77</v>
          </cell>
          <cell r="AC57" t="str">
            <v>少額資産</v>
          </cell>
          <cell r="AD57" t="str">
            <v>クーラー室少額資産</v>
          </cell>
          <cell r="AE57">
            <v>3</v>
          </cell>
          <cell r="AF57">
            <v>3</v>
          </cell>
          <cell r="AH57">
            <v>54</v>
          </cell>
          <cell r="AI57">
            <v>1.9E-2</v>
          </cell>
        </row>
        <row r="58">
          <cell r="Y58" t="str">
            <v>1301</v>
          </cell>
          <cell r="Z58">
            <v>13</v>
          </cell>
          <cell r="AA58" t="str">
            <v>車庫</v>
          </cell>
          <cell r="AB58">
            <v>1</v>
          </cell>
          <cell r="AC58" t="str">
            <v>木造</v>
          </cell>
          <cell r="AD58" t="str">
            <v>車庫木造</v>
          </cell>
          <cell r="AE58">
            <v>17</v>
          </cell>
          <cell r="AF58">
            <v>17</v>
          </cell>
          <cell r="AH58">
            <v>55</v>
          </cell>
          <cell r="AI58">
            <v>1.9E-2</v>
          </cell>
        </row>
        <row r="59">
          <cell r="Y59" t="str">
            <v>1302</v>
          </cell>
          <cell r="Z59">
            <v>13</v>
          </cell>
          <cell r="AA59" t="str">
            <v>車庫</v>
          </cell>
          <cell r="AB59">
            <v>2</v>
          </cell>
          <cell r="AC59" t="str">
            <v>合成樹脂造</v>
          </cell>
          <cell r="AD59" t="str">
            <v>車庫合成樹脂造</v>
          </cell>
          <cell r="AE59">
            <v>17</v>
          </cell>
          <cell r="AF59">
            <v>17</v>
          </cell>
          <cell r="AH59">
            <v>56</v>
          </cell>
          <cell r="AI59">
            <v>1.7999999999999999E-2</v>
          </cell>
        </row>
        <row r="60">
          <cell r="Y60" t="str">
            <v>1303</v>
          </cell>
          <cell r="Z60">
            <v>13</v>
          </cell>
          <cell r="AA60" t="str">
            <v>車庫</v>
          </cell>
          <cell r="AB60">
            <v>3</v>
          </cell>
          <cell r="AC60" t="str">
            <v>鉄筋コンクリート</v>
          </cell>
          <cell r="AD60" t="str">
            <v>車庫鉄筋コンクリート</v>
          </cell>
          <cell r="AE60">
            <v>38</v>
          </cell>
          <cell r="AF60">
            <v>38</v>
          </cell>
          <cell r="AH60">
            <v>57</v>
          </cell>
          <cell r="AI60">
            <v>1.7999999999999999E-2</v>
          </cell>
        </row>
        <row r="61">
          <cell r="Y61" t="str">
            <v>1304</v>
          </cell>
          <cell r="Z61">
            <v>13</v>
          </cell>
          <cell r="AA61" t="str">
            <v>車庫</v>
          </cell>
          <cell r="AB61">
            <v>4</v>
          </cell>
          <cell r="AC61" t="str">
            <v>コンクリートブロック</v>
          </cell>
          <cell r="AD61" t="str">
            <v>車庫コンクリートブロック</v>
          </cell>
          <cell r="AE61">
            <v>34</v>
          </cell>
          <cell r="AF61">
            <v>34</v>
          </cell>
          <cell r="AH61">
            <v>58</v>
          </cell>
          <cell r="AI61">
            <v>1.7999999999999999E-2</v>
          </cell>
        </row>
        <row r="62">
          <cell r="Y62" t="str">
            <v>1305</v>
          </cell>
          <cell r="Z62">
            <v>13</v>
          </cell>
          <cell r="AA62" t="str">
            <v>車庫</v>
          </cell>
          <cell r="AB62">
            <v>5</v>
          </cell>
          <cell r="AC62" t="str">
            <v>鉄骨組３㎜以下</v>
          </cell>
          <cell r="AD62" t="str">
            <v>車庫鉄骨組３㎜以下</v>
          </cell>
          <cell r="AE62">
            <v>19</v>
          </cell>
          <cell r="AF62">
            <v>19</v>
          </cell>
          <cell r="AH62">
            <v>59</v>
          </cell>
          <cell r="AI62">
            <v>1.7000000000000001E-2</v>
          </cell>
        </row>
        <row r="63">
          <cell r="Y63" t="str">
            <v>1306</v>
          </cell>
          <cell r="Z63">
            <v>13</v>
          </cell>
          <cell r="AA63" t="str">
            <v>車庫</v>
          </cell>
          <cell r="AB63">
            <v>6</v>
          </cell>
          <cell r="AC63" t="str">
            <v>鉄骨組３～４㎜以下</v>
          </cell>
          <cell r="AD63" t="str">
            <v>車庫鉄骨組３～４㎜以下</v>
          </cell>
          <cell r="AE63">
            <v>25</v>
          </cell>
          <cell r="AF63">
            <v>25</v>
          </cell>
          <cell r="AH63">
            <v>60</v>
          </cell>
          <cell r="AI63">
            <v>1.7000000000000001E-2</v>
          </cell>
        </row>
        <row r="64">
          <cell r="Y64" t="str">
            <v>1307</v>
          </cell>
          <cell r="Z64">
            <v>13</v>
          </cell>
          <cell r="AA64" t="str">
            <v>車庫</v>
          </cell>
          <cell r="AB64">
            <v>7</v>
          </cell>
          <cell r="AC64" t="str">
            <v>鉄骨組４㎜以上</v>
          </cell>
          <cell r="AD64" t="str">
            <v>車庫鉄骨組４㎜以上</v>
          </cell>
          <cell r="AE64">
            <v>31</v>
          </cell>
          <cell r="AF64">
            <v>31</v>
          </cell>
          <cell r="AH64">
            <v>61</v>
          </cell>
          <cell r="AI64">
            <v>1.7000000000000001E-2</v>
          </cell>
        </row>
        <row r="65">
          <cell r="Y65" t="str">
            <v>1308</v>
          </cell>
          <cell r="Z65">
            <v>13</v>
          </cell>
          <cell r="AA65" t="str">
            <v>車庫</v>
          </cell>
          <cell r="AB65">
            <v>8</v>
          </cell>
          <cell r="AC65" t="str">
            <v>木造モルタル</v>
          </cell>
          <cell r="AD65" t="str">
            <v>車庫木造モルタル</v>
          </cell>
          <cell r="AE65">
            <v>15</v>
          </cell>
          <cell r="AF65">
            <v>15</v>
          </cell>
          <cell r="AH65">
            <v>62</v>
          </cell>
          <cell r="AI65">
            <v>1.7000000000000001E-2</v>
          </cell>
        </row>
        <row r="66">
          <cell r="Y66" t="str">
            <v>1377</v>
          </cell>
          <cell r="Z66">
            <v>13</v>
          </cell>
          <cell r="AA66" t="str">
            <v>車庫</v>
          </cell>
          <cell r="AB66">
            <v>77</v>
          </cell>
          <cell r="AC66" t="str">
            <v>少額資産</v>
          </cell>
          <cell r="AD66" t="str">
            <v>車庫少額資産</v>
          </cell>
          <cell r="AE66">
            <v>3</v>
          </cell>
          <cell r="AF66">
            <v>3</v>
          </cell>
          <cell r="AH66">
            <v>63</v>
          </cell>
          <cell r="AI66">
            <v>1.6E-2</v>
          </cell>
        </row>
        <row r="67">
          <cell r="Y67" t="str">
            <v>1401</v>
          </cell>
          <cell r="Z67">
            <v>14</v>
          </cell>
          <cell r="AA67" t="str">
            <v>たい肥舎</v>
          </cell>
          <cell r="AB67">
            <v>1</v>
          </cell>
          <cell r="AC67" t="str">
            <v>木造</v>
          </cell>
          <cell r="AD67" t="str">
            <v>たい肥舎木造</v>
          </cell>
          <cell r="AE67">
            <v>17</v>
          </cell>
          <cell r="AF67">
            <v>17</v>
          </cell>
          <cell r="AH67">
            <v>64</v>
          </cell>
          <cell r="AI67">
            <v>1.6E-2</v>
          </cell>
        </row>
        <row r="68">
          <cell r="Y68" t="str">
            <v>1402</v>
          </cell>
          <cell r="Z68">
            <v>14</v>
          </cell>
          <cell r="AA68" t="str">
            <v>たい肥舎</v>
          </cell>
          <cell r="AB68">
            <v>2</v>
          </cell>
          <cell r="AC68" t="str">
            <v>合成樹脂造</v>
          </cell>
          <cell r="AD68" t="str">
            <v>たい肥舎合成樹脂造</v>
          </cell>
          <cell r="AE68">
            <v>17</v>
          </cell>
          <cell r="AF68">
            <v>17</v>
          </cell>
          <cell r="AH68">
            <v>65</v>
          </cell>
          <cell r="AI68">
            <v>1.6E-2</v>
          </cell>
        </row>
        <row r="69">
          <cell r="Y69" t="str">
            <v>1403</v>
          </cell>
          <cell r="Z69">
            <v>14</v>
          </cell>
          <cell r="AA69" t="str">
            <v>たい肥舎</v>
          </cell>
          <cell r="AB69">
            <v>3</v>
          </cell>
          <cell r="AC69" t="str">
            <v>鉄筋コンクリート</v>
          </cell>
          <cell r="AD69" t="str">
            <v>たい肥舎鉄筋コンクリート</v>
          </cell>
          <cell r="AE69">
            <v>38</v>
          </cell>
          <cell r="AF69">
            <v>38</v>
          </cell>
          <cell r="AH69">
            <v>66</v>
          </cell>
          <cell r="AI69">
            <v>1.6E-2</v>
          </cell>
        </row>
        <row r="70">
          <cell r="Y70" t="str">
            <v>1404</v>
          </cell>
          <cell r="Z70">
            <v>14</v>
          </cell>
          <cell r="AA70" t="str">
            <v>たい肥舎</v>
          </cell>
          <cell r="AB70">
            <v>4</v>
          </cell>
          <cell r="AC70" t="str">
            <v>コンクリートブロック</v>
          </cell>
          <cell r="AD70" t="str">
            <v>たい肥舎コンクリートブロック</v>
          </cell>
          <cell r="AE70">
            <v>34</v>
          </cell>
          <cell r="AF70">
            <v>34</v>
          </cell>
          <cell r="AH70">
            <v>67</v>
          </cell>
          <cell r="AI70">
            <v>1.4999999999999999E-2</v>
          </cell>
        </row>
        <row r="71">
          <cell r="Y71" t="str">
            <v>1405</v>
          </cell>
          <cell r="Z71">
            <v>14</v>
          </cell>
          <cell r="AA71" t="str">
            <v>たい肥舎</v>
          </cell>
          <cell r="AB71">
            <v>5</v>
          </cell>
          <cell r="AC71" t="str">
            <v>鉄骨組３㎜以下</v>
          </cell>
          <cell r="AD71" t="str">
            <v>たい肥舎鉄骨組３㎜以下</v>
          </cell>
          <cell r="AE71">
            <v>19</v>
          </cell>
          <cell r="AF71">
            <v>19</v>
          </cell>
          <cell r="AH71">
            <v>68</v>
          </cell>
          <cell r="AI71">
            <v>1.4999999999999999E-2</v>
          </cell>
        </row>
        <row r="72">
          <cell r="Y72" t="str">
            <v>1406</v>
          </cell>
          <cell r="Z72">
            <v>14</v>
          </cell>
          <cell r="AA72" t="str">
            <v>たい肥舎</v>
          </cell>
          <cell r="AB72">
            <v>6</v>
          </cell>
          <cell r="AC72" t="str">
            <v>鉄骨組３～４㎜以下</v>
          </cell>
          <cell r="AD72" t="str">
            <v>たい肥舎鉄骨組３～４㎜以下</v>
          </cell>
          <cell r="AE72">
            <v>25</v>
          </cell>
          <cell r="AF72">
            <v>25</v>
          </cell>
          <cell r="AH72">
            <v>69</v>
          </cell>
          <cell r="AI72">
            <v>1.4999999999999999E-2</v>
          </cell>
        </row>
        <row r="73">
          <cell r="Y73" t="str">
            <v>1407</v>
          </cell>
          <cell r="Z73">
            <v>14</v>
          </cell>
          <cell r="AA73" t="str">
            <v>たい肥舎</v>
          </cell>
          <cell r="AB73">
            <v>7</v>
          </cell>
          <cell r="AC73" t="str">
            <v>鉄骨組４㎜以上</v>
          </cell>
          <cell r="AD73" t="str">
            <v>たい肥舎鉄骨組４㎜以上</v>
          </cell>
          <cell r="AE73">
            <v>31</v>
          </cell>
          <cell r="AF73">
            <v>31</v>
          </cell>
          <cell r="AH73">
            <v>70</v>
          </cell>
          <cell r="AI73">
            <v>1.4999999999999999E-2</v>
          </cell>
        </row>
        <row r="74">
          <cell r="Y74" t="str">
            <v>1408</v>
          </cell>
          <cell r="Z74">
            <v>14</v>
          </cell>
          <cell r="AA74" t="str">
            <v>たい肥舎</v>
          </cell>
          <cell r="AB74">
            <v>8</v>
          </cell>
          <cell r="AC74" t="str">
            <v>木造モルタル</v>
          </cell>
          <cell r="AD74" t="str">
            <v>たい肥舎木造モルタル</v>
          </cell>
          <cell r="AE74">
            <v>15</v>
          </cell>
          <cell r="AF74">
            <v>15</v>
          </cell>
          <cell r="AH74">
            <v>71</v>
          </cell>
          <cell r="AI74">
            <v>1.4999999999999999E-2</v>
          </cell>
        </row>
        <row r="75">
          <cell r="Y75" t="str">
            <v>1477</v>
          </cell>
          <cell r="Z75">
            <v>14</v>
          </cell>
          <cell r="AA75" t="str">
            <v>たい肥舎</v>
          </cell>
          <cell r="AB75">
            <v>77</v>
          </cell>
          <cell r="AC75" t="str">
            <v>少額資産</v>
          </cell>
          <cell r="AD75" t="str">
            <v>たい肥舎少額資産</v>
          </cell>
          <cell r="AE75">
            <v>3</v>
          </cell>
          <cell r="AF75">
            <v>3</v>
          </cell>
          <cell r="AH75">
            <v>72</v>
          </cell>
          <cell r="AI75">
            <v>1.4E-2</v>
          </cell>
        </row>
        <row r="76">
          <cell r="Y76" t="str">
            <v>1601</v>
          </cell>
          <cell r="Z76">
            <v>16</v>
          </cell>
          <cell r="AA76" t="str">
            <v>ライスセンター</v>
          </cell>
          <cell r="AB76">
            <v>1</v>
          </cell>
          <cell r="AC76" t="str">
            <v>木造</v>
          </cell>
          <cell r="AD76" t="str">
            <v>ライスセンター木造</v>
          </cell>
          <cell r="AE76">
            <v>15</v>
          </cell>
          <cell r="AF76">
            <v>15</v>
          </cell>
          <cell r="AH76">
            <v>73</v>
          </cell>
          <cell r="AI76">
            <v>1.4E-2</v>
          </cell>
        </row>
        <row r="77">
          <cell r="Y77" t="str">
            <v>1602</v>
          </cell>
          <cell r="Z77">
            <v>16</v>
          </cell>
          <cell r="AA77" t="str">
            <v>ライスセンター</v>
          </cell>
          <cell r="AB77">
            <v>2</v>
          </cell>
          <cell r="AC77" t="str">
            <v>合成樹脂造</v>
          </cell>
          <cell r="AD77" t="str">
            <v>ライスセンター合成樹脂造</v>
          </cell>
          <cell r="AE77">
            <v>15</v>
          </cell>
          <cell r="AF77">
            <v>15</v>
          </cell>
          <cell r="AH77">
            <v>74</v>
          </cell>
          <cell r="AI77">
            <v>1.4E-2</v>
          </cell>
        </row>
        <row r="78">
          <cell r="Y78" t="str">
            <v>1603</v>
          </cell>
          <cell r="Z78">
            <v>16</v>
          </cell>
          <cell r="AA78" t="str">
            <v>ライスセンター</v>
          </cell>
          <cell r="AB78">
            <v>3</v>
          </cell>
          <cell r="AC78" t="str">
            <v>鉄筋コンクリート</v>
          </cell>
          <cell r="AD78" t="str">
            <v>ライスセンター鉄筋コンクリート</v>
          </cell>
          <cell r="AE78">
            <v>38</v>
          </cell>
          <cell r="AF78">
            <v>38</v>
          </cell>
          <cell r="AH78">
            <v>75</v>
          </cell>
          <cell r="AI78">
            <v>1.4E-2</v>
          </cell>
        </row>
        <row r="79">
          <cell r="Y79" t="str">
            <v>1604</v>
          </cell>
          <cell r="Z79">
            <v>16</v>
          </cell>
          <cell r="AA79" t="str">
            <v>ライスセンター</v>
          </cell>
          <cell r="AB79">
            <v>4</v>
          </cell>
          <cell r="AC79" t="str">
            <v>コンクリートブロック</v>
          </cell>
          <cell r="AD79" t="str">
            <v>ライスセンターコンクリートブロック</v>
          </cell>
          <cell r="AE79">
            <v>34</v>
          </cell>
          <cell r="AF79">
            <v>34</v>
          </cell>
          <cell r="AH79">
            <v>76</v>
          </cell>
          <cell r="AI79">
            <v>1.4E-2</v>
          </cell>
        </row>
        <row r="80">
          <cell r="Y80" t="str">
            <v>1605</v>
          </cell>
          <cell r="Z80">
            <v>16</v>
          </cell>
          <cell r="AA80" t="str">
            <v>ライスセンター</v>
          </cell>
          <cell r="AB80">
            <v>5</v>
          </cell>
          <cell r="AC80" t="str">
            <v>鉄骨組３㎜以下</v>
          </cell>
          <cell r="AD80" t="str">
            <v>ライスセンター鉄骨組３㎜以下</v>
          </cell>
          <cell r="AE80">
            <v>17</v>
          </cell>
          <cell r="AF80">
            <v>17</v>
          </cell>
          <cell r="AH80">
            <v>77</v>
          </cell>
          <cell r="AI80">
            <v>1.2999999999999999E-2</v>
          </cell>
        </row>
        <row r="81">
          <cell r="Y81" t="str">
            <v>1606</v>
          </cell>
          <cell r="Z81">
            <v>16</v>
          </cell>
          <cell r="AA81" t="str">
            <v>ライスセンター</v>
          </cell>
          <cell r="AB81">
            <v>6</v>
          </cell>
          <cell r="AC81" t="str">
            <v>鉄骨組３～４㎜以下</v>
          </cell>
          <cell r="AD81" t="str">
            <v>ライスセンター鉄骨組３～４㎜以下</v>
          </cell>
          <cell r="AE81">
            <v>24</v>
          </cell>
          <cell r="AF81">
            <v>24</v>
          </cell>
          <cell r="AH81">
            <v>78</v>
          </cell>
          <cell r="AI81">
            <v>1.2999999999999999E-2</v>
          </cell>
        </row>
        <row r="82">
          <cell r="Y82" t="str">
            <v>1607</v>
          </cell>
          <cell r="Z82">
            <v>16</v>
          </cell>
          <cell r="AA82" t="str">
            <v>ライスセンター</v>
          </cell>
          <cell r="AB82">
            <v>7</v>
          </cell>
          <cell r="AC82" t="str">
            <v>鉄骨組４㎜以上</v>
          </cell>
          <cell r="AD82" t="str">
            <v>ライスセンター鉄骨組４㎜以上</v>
          </cell>
          <cell r="AE82">
            <v>31</v>
          </cell>
          <cell r="AF82">
            <v>31</v>
          </cell>
          <cell r="AH82">
            <v>79</v>
          </cell>
          <cell r="AI82">
            <v>1.2999999999999999E-2</v>
          </cell>
        </row>
        <row r="83">
          <cell r="Y83" t="str">
            <v>1608</v>
          </cell>
          <cell r="Z83">
            <v>16</v>
          </cell>
          <cell r="AA83" t="str">
            <v>ライスセンター</v>
          </cell>
          <cell r="AB83">
            <v>8</v>
          </cell>
          <cell r="AC83" t="str">
            <v>木造モルタル</v>
          </cell>
          <cell r="AD83" t="str">
            <v>ライスセンター木造モルタル</v>
          </cell>
          <cell r="AE83">
            <v>14</v>
          </cell>
          <cell r="AF83">
            <v>14</v>
          </cell>
          <cell r="AH83">
            <v>80</v>
          </cell>
          <cell r="AI83">
            <v>1.2999999999999999E-2</v>
          </cell>
        </row>
        <row r="84">
          <cell r="Y84" t="str">
            <v>1677</v>
          </cell>
          <cell r="Z84">
            <v>16</v>
          </cell>
          <cell r="AA84" t="str">
            <v>ライスセンター</v>
          </cell>
          <cell r="AB84">
            <v>77</v>
          </cell>
          <cell r="AC84" t="str">
            <v>少額資産</v>
          </cell>
          <cell r="AD84" t="str">
            <v>ライスセンター少額資産</v>
          </cell>
          <cell r="AE84">
            <v>3</v>
          </cell>
          <cell r="AF84">
            <v>3</v>
          </cell>
          <cell r="AH84">
            <v>81</v>
          </cell>
          <cell r="AI84">
            <v>1.2999999999999999E-2</v>
          </cell>
        </row>
        <row r="85">
          <cell r="Y85" t="str">
            <v>1701</v>
          </cell>
          <cell r="Z85">
            <v>17</v>
          </cell>
          <cell r="AA85" t="str">
            <v>その他の本建築物</v>
          </cell>
          <cell r="AB85">
            <v>1</v>
          </cell>
          <cell r="AC85" t="str">
            <v>木造</v>
          </cell>
          <cell r="AD85" t="str">
            <v>その他の本建築物木造</v>
          </cell>
          <cell r="AE85">
            <v>15</v>
          </cell>
          <cell r="AF85">
            <v>15</v>
          </cell>
          <cell r="AH85">
            <v>82</v>
          </cell>
          <cell r="AI85">
            <v>1.2999999999999999E-2</v>
          </cell>
        </row>
        <row r="86">
          <cell r="Y86" t="str">
            <v>1702</v>
          </cell>
          <cell r="Z86">
            <v>17</v>
          </cell>
          <cell r="AA86" t="str">
            <v>その他の本建築物</v>
          </cell>
          <cell r="AB86">
            <v>2</v>
          </cell>
          <cell r="AC86" t="str">
            <v>合成樹脂造</v>
          </cell>
          <cell r="AD86" t="str">
            <v>その他の本建築物合成樹脂造</v>
          </cell>
          <cell r="AE86">
            <v>15</v>
          </cell>
          <cell r="AF86">
            <v>15</v>
          </cell>
          <cell r="AH86">
            <v>83</v>
          </cell>
          <cell r="AI86">
            <v>1.2999999999999999E-2</v>
          </cell>
        </row>
        <row r="87">
          <cell r="Y87" t="str">
            <v>1703</v>
          </cell>
          <cell r="Z87">
            <v>17</v>
          </cell>
          <cell r="AA87" t="str">
            <v>その他の本建築物</v>
          </cell>
          <cell r="AB87">
            <v>3</v>
          </cell>
          <cell r="AC87" t="str">
            <v>鉄筋コンクリート</v>
          </cell>
          <cell r="AD87" t="str">
            <v>その他の本建築物鉄筋コンクリート</v>
          </cell>
          <cell r="AE87">
            <v>38</v>
          </cell>
          <cell r="AF87">
            <v>38</v>
          </cell>
          <cell r="AH87">
            <v>84</v>
          </cell>
          <cell r="AI87">
            <v>1.2E-2</v>
          </cell>
        </row>
        <row r="88">
          <cell r="Y88" t="str">
            <v>1704</v>
          </cell>
          <cell r="Z88">
            <v>17</v>
          </cell>
          <cell r="AA88" t="str">
            <v>その他の本建築物</v>
          </cell>
          <cell r="AB88">
            <v>4</v>
          </cell>
          <cell r="AC88" t="str">
            <v>コンクリートブロック</v>
          </cell>
          <cell r="AD88" t="str">
            <v>その他の本建築物コンクリートブロック</v>
          </cell>
          <cell r="AE88">
            <v>34</v>
          </cell>
          <cell r="AF88">
            <v>34</v>
          </cell>
          <cell r="AH88">
            <v>85</v>
          </cell>
          <cell r="AI88">
            <v>1.2E-2</v>
          </cell>
        </row>
        <row r="89">
          <cell r="Y89" t="str">
            <v>1705</v>
          </cell>
          <cell r="Z89">
            <v>17</v>
          </cell>
          <cell r="AA89" t="str">
            <v>その他の本建築物</v>
          </cell>
          <cell r="AB89">
            <v>5</v>
          </cell>
          <cell r="AC89" t="str">
            <v>鉄骨組３㎜以下</v>
          </cell>
          <cell r="AD89" t="str">
            <v>その他の本建築物鉄骨組３㎜以下</v>
          </cell>
          <cell r="AE89">
            <v>17</v>
          </cell>
          <cell r="AF89">
            <v>17</v>
          </cell>
          <cell r="AH89">
            <v>86</v>
          </cell>
          <cell r="AI89">
            <v>1.2E-2</v>
          </cell>
        </row>
        <row r="90">
          <cell r="Y90" t="str">
            <v>1706</v>
          </cell>
          <cell r="Z90">
            <v>17</v>
          </cell>
          <cell r="AA90" t="str">
            <v>その他の本建築物</v>
          </cell>
          <cell r="AB90">
            <v>6</v>
          </cell>
          <cell r="AC90" t="str">
            <v>鉄骨組３～４㎜以下</v>
          </cell>
          <cell r="AD90" t="str">
            <v>その他の本建築物鉄骨組３～４㎜以下</v>
          </cell>
          <cell r="AE90">
            <v>24</v>
          </cell>
          <cell r="AF90">
            <v>24</v>
          </cell>
          <cell r="AH90">
            <v>87</v>
          </cell>
          <cell r="AI90">
            <v>1.2E-2</v>
          </cell>
        </row>
        <row r="91">
          <cell r="Y91" t="str">
            <v>1707</v>
          </cell>
          <cell r="Z91">
            <v>17</v>
          </cell>
          <cell r="AA91" t="str">
            <v>その他の本建築物</v>
          </cell>
          <cell r="AB91">
            <v>7</v>
          </cell>
          <cell r="AC91" t="str">
            <v>鉄骨組４㎜以上</v>
          </cell>
          <cell r="AD91" t="str">
            <v>その他の本建築物鉄骨組４㎜以上</v>
          </cell>
          <cell r="AE91">
            <v>31</v>
          </cell>
          <cell r="AF91">
            <v>31</v>
          </cell>
          <cell r="AH91">
            <v>88</v>
          </cell>
          <cell r="AI91">
            <v>1.2E-2</v>
          </cell>
        </row>
        <row r="92">
          <cell r="Y92" t="str">
            <v>1708</v>
          </cell>
          <cell r="Z92">
            <v>17</v>
          </cell>
          <cell r="AA92" t="str">
            <v>その他の本建築物</v>
          </cell>
          <cell r="AB92">
            <v>8</v>
          </cell>
          <cell r="AC92" t="str">
            <v>木造モルタル</v>
          </cell>
          <cell r="AD92" t="str">
            <v>その他の本建築物木造モルタル</v>
          </cell>
          <cell r="AE92">
            <v>14</v>
          </cell>
          <cell r="AF92">
            <v>14</v>
          </cell>
          <cell r="AH92">
            <v>89</v>
          </cell>
          <cell r="AI92">
            <v>1.2E-2</v>
          </cell>
        </row>
        <row r="93">
          <cell r="Y93" t="str">
            <v>1777</v>
          </cell>
          <cell r="Z93">
            <v>17</v>
          </cell>
          <cell r="AA93" t="str">
            <v>その他の本建築物</v>
          </cell>
          <cell r="AB93">
            <v>77</v>
          </cell>
          <cell r="AC93" t="str">
            <v>少額資産</v>
          </cell>
          <cell r="AD93" t="str">
            <v>その他の本建築物少額資産</v>
          </cell>
          <cell r="AE93">
            <v>3</v>
          </cell>
          <cell r="AF93">
            <v>3</v>
          </cell>
          <cell r="AH93">
            <v>90</v>
          </cell>
          <cell r="AI93">
            <v>1.2E-2</v>
          </cell>
        </row>
        <row r="94">
          <cell r="Y94" t="str">
            <v>2101</v>
          </cell>
          <cell r="Z94">
            <v>21</v>
          </cell>
          <cell r="AA94" t="str">
            <v>簡易建物</v>
          </cell>
          <cell r="AB94">
            <v>1</v>
          </cell>
          <cell r="AC94" t="str">
            <v>木造</v>
          </cell>
          <cell r="AD94" t="str">
            <v>簡易建物木造</v>
          </cell>
          <cell r="AE94">
            <v>10</v>
          </cell>
          <cell r="AF94">
            <v>10</v>
          </cell>
          <cell r="AH94">
            <v>91</v>
          </cell>
          <cell r="AI94">
            <v>1.0999999999999999E-2</v>
          </cell>
        </row>
        <row r="95">
          <cell r="Y95" t="str">
            <v>2102</v>
          </cell>
          <cell r="Z95">
            <v>21</v>
          </cell>
          <cell r="AA95" t="str">
            <v>簡易建物</v>
          </cell>
          <cell r="AB95">
            <v>2</v>
          </cell>
          <cell r="AC95" t="str">
            <v>合成樹脂造</v>
          </cell>
          <cell r="AD95" t="str">
            <v>簡易建物合成樹脂造</v>
          </cell>
          <cell r="AE95">
            <v>10</v>
          </cell>
          <cell r="AF95">
            <v>10</v>
          </cell>
          <cell r="AH95">
            <v>92</v>
          </cell>
          <cell r="AI95">
            <v>1.0999999999999999E-2</v>
          </cell>
        </row>
        <row r="96">
          <cell r="Y96" t="str">
            <v>2177</v>
          </cell>
          <cell r="Z96">
            <v>21</v>
          </cell>
          <cell r="AA96" t="str">
            <v>簡易建物</v>
          </cell>
          <cell r="AB96">
            <v>77</v>
          </cell>
          <cell r="AC96" t="str">
            <v>少額資産</v>
          </cell>
          <cell r="AD96" t="str">
            <v>簡易建物少額資産</v>
          </cell>
          <cell r="AE96">
            <v>3</v>
          </cell>
          <cell r="AF96">
            <v>3</v>
          </cell>
          <cell r="AH96">
            <v>93</v>
          </cell>
          <cell r="AI96">
            <v>1.0999999999999999E-2</v>
          </cell>
        </row>
        <row r="97">
          <cell r="Y97" t="str">
            <v>2201</v>
          </cell>
          <cell r="Z97">
            <v>22</v>
          </cell>
          <cell r="AA97" t="str">
            <v>温室(ｶﾞﾗｽ室)・育苗施設</v>
          </cell>
          <cell r="AB97">
            <v>1</v>
          </cell>
          <cell r="AC97" t="str">
            <v>木造</v>
          </cell>
          <cell r="AD97" t="str">
            <v>温室(ｶﾞﾗｽ室)・育苗施設木造</v>
          </cell>
          <cell r="AE97">
            <v>5</v>
          </cell>
          <cell r="AF97">
            <v>5</v>
          </cell>
          <cell r="AH97">
            <v>94</v>
          </cell>
          <cell r="AI97">
            <v>1.0999999999999999E-2</v>
          </cell>
        </row>
        <row r="98">
          <cell r="Y98" t="str">
            <v>2202</v>
          </cell>
          <cell r="Z98">
            <v>22</v>
          </cell>
          <cell r="AA98" t="str">
            <v>温室(ｶﾞﾗｽ室)・育苗施設</v>
          </cell>
          <cell r="AB98">
            <v>2</v>
          </cell>
          <cell r="AC98" t="str">
            <v>合成樹脂造</v>
          </cell>
          <cell r="AD98" t="str">
            <v>温室(ｶﾞﾗｽ室)・育苗施設合成樹脂造</v>
          </cell>
          <cell r="AE98">
            <v>8</v>
          </cell>
          <cell r="AF98">
            <v>8</v>
          </cell>
          <cell r="AH98">
            <v>95</v>
          </cell>
          <cell r="AI98">
            <v>1.0999999999999999E-2</v>
          </cell>
        </row>
        <row r="99">
          <cell r="Y99" t="str">
            <v>2209</v>
          </cell>
          <cell r="Z99">
            <v>22</v>
          </cell>
          <cell r="AA99" t="str">
            <v>温室(ｶﾞﾗｽ室)・育苗施設</v>
          </cell>
          <cell r="AB99">
            <v>9</v>
          </cell>
          <cell r="AC99" t="str">
            <v>金属</v>
          </cell>
          <cell r="AD99" t="str">
            <v>温室(ｶﾞﾗｽ室)・育苗施設金属</v>
          </cell>
          <cell r="AE99">
            <v>15</v>
          </cell>
          <cell r="AF99">
            <v>14</v>
          </cell>
          <cell r="AH99">
            <v>96</v>
          </cell>
          <cell r="AI99">
            <v>1.0999999999999999E-2</v>
          </cell>
        </row>
        <row r="100">
          <cell r="Y100" t="str">
            <v>2277</v>
          </cell>
          <cell r="Z100">
            <v>22</v>
          </cell>
          <cell r="AA100" t="str">
            <v>温室(ｶﾞﾗｽ室)・育苗施設</v>
          </cell>
          <cell r="AB100">
            <v>77</v>
          </cell>
          <cell r="AC100" t="str">
            <v>少額資産</v>
          </cell>
          <cell r="AD100" t="str">
            <v>温室(ｶﾞﾗｽ室)・育苗施設少額資産</v>
          </cell>
          <cell r="AE100">
            <v>3</v>
          </cell>
          <cell r="AF100">
            <v>3</v>
          </cell>
          <cell r="AH100">
            <v>97</v>
          </cell>
          <cell r="AI100">
            <v>1.0999999999999999E-2</v>
          </cell>
        </row>
        <row r="101">
          <cell r="Y101" t="str">
            <v>2401</v>
          </cell>
          <cell r="Z101">
            <v>24</v>
          </cell>
          <cell r="AA101" t="str">
            <v>ﾌﾟﾗｽﾁｯｸﾊｳｽ・育苗施設</v>
          </cell>
          <cell r="AB101">
            <v>1</v>
          </cell>
          <cell r="AC101" t="str">
            <v>木造</v>
          </cell>
          <cell r="AD101" t="str">
            <v>ﾌﾟﾗｽﾁｯｸﾊｳｽ・育苗施設木造</v>
          </cell>
          <cell r="AE101">
            <v>5</v>
          </cell>
          <cell r="AF101">
            <v>5</v>
          </cell>
          <cell r="AH101">
            <v>98</v>
          </cell>
          <cell r="AI101">
            <v>1.0999999999999999E-2</v>
          </cell>
        </row>
        <row r="102">
          <cell r="Y102" t="str">
            <v>2402</v>
          </cell>
          <cell r="Z102">
            <v>24</v>
          </cell>
          <cell r="AA102" t="str">
            <v>ﾌﾟﾗｽﾁｯｸﾊｳｽ・育苗施設</v>
          </cell>
          <cell r="AB102">
            <v>2</v>
          </cell>
          <cell r="AC102" t="str">
            <v>合成樹脂造</v>
          </cell>
          <cell r="AD102" t="str">
            <v>ﾌﾟﾗｽﾁｯｸﾊｳｽ・育苗施設合成樹脂造</v>
          </cell>
          <cell r="AE102">
            <v>8</v>
          </cell>
          <cell r="AF102">
            <v>8</v>
          </cell>
          <cell r="AH102">
            <v>99</v>
          </cell>
          <cell r="AI102">
            <v>1.0999999999999999E-2</v>
          </cell>
        </row>
        <row r="103">
          <cell r="Y103" t="str">
            <v>2409</v>
          </cell>
          <cell r="Z103">
            <v>24</v>
          </cell>
          <cell r="AA103" t="str">
            <v>ﾌﾟﾗｽﾁｯｸﾊｳｽ・育苗施設</v>
          </cell>
          <cell r="AB103">
            <v>9</v>
          </cell>
          <cell r="AC103" t="str">
            <v>金属</v>
          </cell>
          <cell r="AD103" t="str">
            <v>ﾌﾟﾗｽﾁｯｸﾊｳｽ・育苗施設金属</v>
          </cell>
          <cell r="AE103">
            <v>15</v>
          </cell>
          <cell r="AF103">
            <v>14</v>
          </cell>
          <cell r="AH103">
            <v>100</v>
          </cell>
          <cell r="AI103">
            <v>0.01</v>
          </cell>
        </row>
        <row r="104">
          <cell r="Y104" t="str">
            <v>2477</v>
          </cell>
          <cell r="Z104">
            <v>24</v>
          </cell>
          <cell r="AA104" t="str">
            <v>ﾌﾟﾗｽﾁｯｸﾊｳｽ・育苗施設</v>
          </cell>
          <cell r="AB104">
            <v>77</v>
          </cell>
          <cell r="AC104" t="str">
            <v>少額資産</v>
          </cell>
          <cell r="AD104" t="str">
            <v>ﾌﾟﾗｽﾁｯｸﾊｳｽ・育苗施設少額資産</v>
          </cell>
          <cell r="AE104">
            <v>3</v>
          </cell>
          <cell r="AF104">
            <v>3</v>
          </cell>
        </row>
        <row r="105">
          <cell r="Y105" t="str">
            <v>2601</v>
          </cell>
          <cell r="Z105">
            <v>26</v>
          </cell>
          <cell r="AA105" t="str">
            <v>その他の建築物</v>
          </cell>
          <cell r="AB105">
            <v>1</v>
          </cell>
          <cell r="AC105" t="str">
            <v>木造</v>
          </cell>
          <cell r="AD105" t="str">
            <v>その他の建築物木造</v>
          </cell>
          <cell r="AE105">
            <v>24</v>
          </cell>
          <cell r="AF105">
            <v>24</v>
          </cell>
        </row>
        <row r="106">
          <cell r="Y106" t="str">
            <v>2602</v>
          </cell>
          <cell r="Z106">
            <v>26</v>
          </cell>
          <cell r="AA106" t="str">
            <v>その他の建築物</v>
          </cell>
          <cell r="AB106">
            <v>2</v>
          </cell>
          <cell r="AC106" t="str">
            <v>合成樹脂造</v>
          </cell>
          <cell r="AD106" t="str">
            <v>その他の建築物合成樹脂造</v>
          </cell>
          <cell r="AE106">
            <v>24</v>
          </cell>
          <cell r="AF106">
            <v>24</v>
          </cell>
        </row>
        <row r="107">
          <cell r="Y107" t="str">
            <v>2603</v>
          </cell>
          <cell r="Z107">
            <v>26</v>
          </cell>
          <cell r="AA107" t="str">
            <v>その他の建築物</v>
          </cell>
          <cell r="AB107">
            <v>3</v>
          </cell>
          <cell r="AC107" t="str">
            <v>鉄筋コンクリート</v>
          </cell>
          <cell r="AD107" t="str">
            <v>その他の建築物鉄筋コンクリート</v>
          </cell>
          <cell r="AE107">
            <v>50</v>
          </cell>
          <cell r="AF107">
            <v>50</v>
          </cell>
        </row>
        <row r="108">
          <cell r="Y108" t="str">
            <v>2604</v>
          </cell>
          <cell r="Z108">
            <v>26</v>
          </cell>
          <cell r="AA108" t="str">
            <v>その他の建築物</v>
          </cell>
          <cell r="AB108">
            <v>4</v>
          </cell>
          <cell r="AC108" t="str">
            <v>コンクリートブロック</v>
          </cell>
          <cell r="AD108" t="str">
            <v>その他の建築物コンクリートブロック</v>
          </cell>
          <cell r="AE108">
            <v>41</v>
          </cell>
          <cell r="AF108">
            <v>41</v>
          </cell>
        </row>
        <row r="109">
          <cell r="Y109" t="str">
            <v>2605</v>
          </cell>
          <cell r="Z109">
            <v>26</v>
          </cell>
          <cell r="AA109" t="str">
            <v>その他の建築物</v>
          </cell>
          <cell r="AB109">
            <v>5</v>
          </cell>
          <cell r="AC109" t="str">
            <v>鉄骨組３㎜以下</v>
          </cell>
          <cell r="AD109" t="str">
            <v>その他の建築物鉄骨組３㎜以下</v>
          </cell>
          <cell r="AE109">
            <v>22</v>
          </cell>
          <cell r="AF109">
            <v>22</v>
          </cell>
        </row>
        <row r="110">
          <cell r="Y110" t="str">
            <v>2606</v>
          </cell>
          <cell r="Z110">
            <v>26</v>
          </cell>
          <cell r="AA110" t="str">
            <v>その他の建築物</v>
          </cell>
          <cell r="AB110">
            <v>6</v>
          </cell>
          <cell r="AC110" t="str">
            <v>鉄骨組３～４㎜以下</v>
          </cell>
          <cell r="AD110" t="str">
            <v>その他の建築物鉄骨組３～４㎜以下</v>
          </cell>
          <cell r="AE110">
            <v>30</v>
          </cell>
          <cell r="AF110">
            <v>30</v>
          </cell>
        </row>
        <row r="111">
          <cell r="Y111" t="str">
            <v>2607</v>
          </cell>
          <cell r="Z111">
            <v>26</v>
          </cell>
          <cell r="AA111" t="str">
            <v>その他の建築物</v>
          </cell>
          <cell r="AB111">
            <v>7</v>
          </cell>
          <cell r="AC111" t="str">
            <v>鉄骨組４㎜以上</v>
          </cell>
          <cell r="AD111" t="str">
            <v>その他の建築物鉄骨組４㎜以上</v>
          </cell>
          <cell r="AE111">
            <v>38</v>
          </cell>
          <cell r="AF111">
            <v>38</v>
          </cell>
        </row>
        <row r="112">
          <cell r="Y112" t="str">
            <v>2608</v>
          </cell>
          <cell r="Z112">
            <v>26</v>
          </cell>
          <cell r="AA112" t="str">
            <v>その他の建築物</v>
          </cell>
          <cell r="AB112">
            <v>8</v>
          </cell>
          <cell r="AC112" t="str">
            <v>木造モルタル</v>
          </cell>
          <cell r="AD112" t="str">
            <v>その他の建築物木造モルタル</v>
          </cell>
          <cell r="AE112">
            <v>22</v>
          </cell>
          <cell r="AF112">
            <v>22</v>
          </cell>
        </row>
        <row r="113">
          <cell r="Y113" t="str">
            <v>2677</v>
          </cell>
          <cell r="Z113">
            <v>26</v>
          </cell>
          <cell r="AA113" t="str">
            <v>その他の建築物</v>
          </cell>
          <cell r="AB113">
            <v>77</v>
          </cell>
          <cell r="AC113" t="str">
            <v>少額資産</v>
          </cell>
          <cell r="AD113" t="str">
            <v>その他の建築物少額資産</v>
          </cell>
          <cell r="AE113">
            <v>3</v>
          </cell>
          <cell r="AF113">
            <v>3</v>
          </cell>
        </row>
        <row r="114">
          <cell r="Y114" t="str">
            <v>2901</v>
          </cell>
          <cell r="Z114">
            <v>29</v>
          </cell>
          <cell r="AA114" t="str">
            <v>農外専用住宅</v>
          </cell>
          <cell r="AB114">
            <v>1</v>
          </cell>
          <cell r="AC114" t="str">
            <v>木造</v>
          </cell>
          <cell r="AD114" t="str">
            <v>農外専用住宅木造</v>
          </cell>
          <cell r="AE114">
            <v>22</v>
          </cell>
          <cell r="AF114">
            <v>22</v>
          </cell>
        </row>
        <row r="115">
          <cell r="Y115" t="str">
            <v>2902</v>
          </cell>
          <cell r="Z115">
            <v>29</v>
          </cell>
          <cell r="AA115" t="str">
            <v>農外専用住宅</v>
          </cell>
          <cell r="AB115">
            <v>2</v>
          </cell>
          <cell r="AC115" t="str">
            <v>合成樹脂造</v>
          </cell>
          <cell r="AD115" t="str">
            <v>農外専用住宅合成樹脂造</v>
          </cell>
          <cell r="AE115">
            <v>22</v>
          </cell>
          <cell r="AF115">
            <v>22</v>
          </cell>
        </row>
        <row r="116">
          <cell r="Y116" t="str">
            <v>2903</v>
          </cell>
          <cell r="Z116">
            <v>29</v>
          </cell>
          <cell r="AA116" t="str">
            <v>農外専用住宅</v>
          </cell>
          <cell r="AB116">
            <v>3</v>
          </cell>
          <cell r="AC116" t="str">
            <v>鉄筋コンクリート</v>
          </cell>
          <cell r="AD116" t="str">
            <v>農外専用住宅鉄筋コンクリート</v>
          </cell>
          <cell r="AE116">
            <v>47</v>
          </cell>
          <cell r="AF116">
            <v>47</v>
          </cell>
        </row>
        <row r="117">
          <cell r="Y117" t="str">
            <v>2904</v>
          </cell>
          <cell r="Z117">
            <v>29</v>
          </cell>
          <cell r="AA117" t="str">
            <v>農外専用住宅</v>
          </cell>
          <cell r="AB117">
            <v>4</v>
          </cell>
          <cell r="AC117" t="str">
            <v>コンクリートブロック</v>
          </cell>
          <cell r="AD117" t="str">
            <v>農外専用住宅コンクリートブロック</v>
          </cell>
          <cell r="AE117">
            <v>38</v>
          </cell>
          <cell r="AF117">
            <v>38</v>
          </cell>
        </row>
        <row r="118">
          <cell r="Y118" t="str">
            <v>2905</v>
          </cell>
          <cell r="Z118">
            <v>29</v>
          </cell>
          <cell r="AA118" t="str">
            <v>農外専用住宅</v>
          </cell>
          <cell r="AB118">
            <v>5</v>
          </cell>
          <cell r="AC118" t="str">
            <v>鉄骨組３㎜以下</v>
          </cell>
          <cell r="AD118" t="str">
            <v>農外専用住宅鉄骨組３㎜以下</v>
          </cell>
          <cell r="AE118">
            <v>19</v>
          </cell>
          <cell r="AF118">
            <v>19</v>
          </cell>
        </row>
        <row r="119">
          <cell r="Y119" t="str">
            <v>2906</v>
          </cell>
          <cell r="Z119">
            <v>29</v>
          </cell>
          <cell r="AA119" t="str">
            <v>農外専用住宅</v>
          </cell>
          <cell r="AB119">
            <v>6</v>
          </cell>
          <cell r="AC119" t="str">
            <v>鉄骨組３～４㎜以下</v>
          </cell>
          <cell r="AD119" t="str">
            <v>農外専用住宅鉄骨組３～４㎜以下</v>
          </cell>
          <cell r="AE119">
            <v>27</v>
          </cell>
          <cell r="AF119">
            <v>27</v>
          </cell>
        </row>
        <row r="120">
          <cell r="Y120" t="str">
            <v>2907</v>
          </cell>
          <cell r="Z120">
            <v>29</v>
          </cell>
          <cell r="AA120" t="str">
            <v>農外専用住宅</v>
          </cell>
          <cell r="AB120">
            <v>7</v>
          </cell>
          <cell r="AC120" t="str">
            <v>鉄骨組４㎜以上</v>
          </cell>
          <cell r="AD120" t="str">
            <v>農外専用住宅鉄骨組４㎜以上</v>
          </cell>
          <cell r="AE120">
            <v>34</v>
          </cell>
          <cell r="AF120">
            <v>34</v>
          </cell>
        </row>
        <row r="121">
          <cell r="Y121" t="str">
            <v>2908</v>
          </cell>
          <cell r="Z121">
            <v>29</v>
          </cell>
          <cell r="AA121" t="str">
            <v>農外専用住宅</v>
          </cell>
          <cell r="AB121">
            <v>8</v>
          </cell>
          <cell r="AC121" t="str">
            <v>木造モルタル</v>
          </cell>
          <cell r="AD121" t="str">
            <v>農外専用住宅木造モルタル</v>
          </cell>
          <cell r="AE121">
            <v>20</v>
          </cell>
          <cell r="AF121">
            <v>20</v>
          </cell>
        </row>
        <row r="122">
          <cell r="Y122" t="str">
            <v>2977</v>
          </cell>
          <cell r="Z122">
            <v>29</v>
          </cell>
          <cell r="AA122" t="str">
            <v>農外専用住宅</v>
          </cell>
          <cell r="AB122">
            <v>77</v>
          </cell>
          <cell r="AC122" t="str">
            <v>少額資産</v>
          </cell>
          <cell r="AD122" t="str">
            <v>農外専用住宅少額資産</v>
          </cell>
          <cell r="AE122">
            <v>3</v>
          </cell>
          <cell r="AF122">
            <v>3</v>
          </cell>
        </row>
        <row r="124">
          <cell r="AA124" t="str">
            <v>構築物</v>
          </cell>
          <cell r="AC124" t="str">
            <v>構造</v>
          </cell>
          <cell r="AE124" t="str">
            <v>税制改正前</v>
          </cell>
          <cell r="AF124" t="str">
            <v>税制改正後</v>
          </cell>
        </row>
        <row r="125">
          <cell r="Y125" t="str">
            <v>4105</v>
          </cell>
          <cell r="Z125">
            <v>41</v>
          </cell>
          <cell r="AA125" t="str">
            <v>稲架</v>
          </cell>
          <cell r="AB125">
            <v>5</v>
          </cell>
          <cell r="AC125" t="str">
            <v>金属</v>
          </cell>
          <cell r="AD125" t="str">
            <v>稲架金属</v>
          </cell>
          <cell r="AE125">
            <v>15</v>
          </cell>
          <cell r="AF125">
            <v>14</v>
          </cell>
        </row>
        <row r="126">
          <cell r="Y126" t="str">
            <v>4106</v>
          </cell>
          <cell r="Z126">
            <v>41</v>
          </cell>
          <cell r="AA126" t="str">
            <v>稲架</v>
          </cell>
          <cell r="AB126">
            <v>6</v>
          </cell>
          <cell r="AC126" t="str">
            <v>木造</v>
          </cell>
          <cell r="AD126" t="str">
            <v>稲架木造</v>
          </cell>
          <cell r="AE126">
            <v>5</v>
          </cell>
          <cell r="AF126">
            <v>5</v>
          </cell>
        </row>
        <row r="127">
          <cell r="Y127" t="str">
            <v>4177</v>
          </cell>
          <cell r="Z127">
            <v>41</v>
          </cell>
          <cell r="AA127" t="str">
            <v>稲架</v>
          </cell>
          <cell r="AB127">
            <v>77</v>
          </cell>
          <cell r="AC127" t="str">
            <v>少額資産</v>
          </cell>
          <cell r="AD127" t="str">
            <v>稲架少額資産</v>
          </cell>
          <cell r="AE127">
            <v>3</v>
          </cell>
          <cell r="AF127">
            <v>3</v>
          </cell>
        </row>
        <row r="128">
          <cell r="Y128" t="str">
            <v>4199</v>
          </cell>
          <cell r="Z128">
            <v>41</v>
          </cell>
          <cell r="AA128" t="str">
            <v>稲架</v>
          </cell>
          <cell r="AB128">
            <v>99</v>
          </cell>
          <cell r="AC128" t="str">
            <v>その他</v>
          </cell>
          <cell r="AD128" t="str">
            <v>稲架その他</v>
          </cell>
          <cell r="AE128">
            <v>30</v>
          </cell>
          <cell r="AF128">
            <v>30</v>
          </cell>
        </row>
        <row r="129">
          <cell r="Y129" t="str">
            <v>4201</v>
          </cell>
          <cell r="Z129">
            <v>42</v>
          </cell>
          <cell r="AA129" t="str">
            <v>けい畔</v>
          </cell>
          <cell r="AB129">
            <v>1</v>
          </cell>
          <cell r="AC129" t="str">
            <v>コンクリート</v>
          </cell>
          <cell r="AD129" t="str">
            <v>けい畔コンクリート</v>
          </cell>
          <cell r="AE129">
            <v>20</v>
          </cell>
          <cell r="AF129">
            <v>17</v>
          </cell>
        </row>
        <row r="130">
          <cell r="Y130" t="str">
            <v>4202</v>
          </cell>
          <cell r="Z130">
            <v>42</v>
          </cell>
          <cell r="AA130" t="str">
            <v>けい畔</v>
          </cell>
          <cell r="AB130">
            <v>2</v>
          </cell>
          <cell r="AC130" t="str">
            <v>れんが</v>
          </cell>
          <cell r="AD130" t="str">
            <v>けい畔れんが</v>
          </cell>
          <cell r="AE130">
            <v>20</v>
          </cell>
          <cell r="AF130">
            <v>17</v>
          </cell>
        </row>
        <row r="131">
          <cell r="Y131" t="str">
            <v>4203</v>
          </cell>
          <cell r="Z131">
            <v>42</v>
          </cell>
          <cell r="AA131" t="str">
            <v>けい畔</v>
          </cell>
          <cell r="AB131">
            <v>3</v>
          </cell>
          <cell r="AC131" t="str">
            <v>石</v>
          </cell>
          <cell r="AD131" t="str">
            <v>けい畔石</v>
          </cell>
          <cell r="AE131">
            <v>20</v>
          </cell>
          <cell r="AF131">
            <v>17</v>
          </cell>
        </row>
        <row r="132">
          <cell r="Y132" t="str">
            <v>4204</v>
          </cell>
          <cell r="Z132">
            <v>42</v>
          </cell>
          <cell r="AA132" t="str">
            <v>けい畔</v>
          </cell>
          <cell r="AB132">
            <v>4</v>
          </cell>
          <cell r="AC132" t="str">
            <v>ブロック</v>
          </cell>
          <cell r="AD132" t="str">
            <v>けい畔ブロック</v>
          </cell>
          <cell r="AE132">
            <v>20</v>
          </cell>
          <cell r="AF132">
            <v>17</v>
          </cell>
        </row>
        <row r="133">
          <cell r="Y133" t="str">
            <v>4277</v>
          </cell>
          <cell r="Z133">
            <v>42</v>
          </cell>
          <cell r="AA133" t="str">
            <v>けい畔</v>
          </cell>
          <cell r="AB133">
            <v>77</v>
          </cell>
          <cell r="AC133" t="str">
            <v>少額資産</v>
          </cell>
          <cell r="AD133" t="str">
            <v>けい畔少額資産</v>
          </cell>
          <cell r="AE133">
            <v>3</v>
          </cell>
          <cell r="AF133">
            <v>3</v>
          </cell>
        </row>
        <row r="134">
          <cell r="Y134" t="str">
            <v>4299</v>
          </cell>
          <cell r="Z134">
            <v>42</v>
          </cell>
          <cell r="AA134" t="str">
            <v>けい畔</v>
          </cell>
          <cell r="AB134">
            <v>99</v>
          </cell>
          <cell r="AC134" t="str">
            <v>その他</v>
          </cell>
          <cell r="AD134" t="str">
            <v>けい畔その他</v>
          </cell>
          <cell r="AE134">
            <v>30</v>
          </cell>
          <cell r="AF134">
            <v>30</v>
          </cell>
        </row>
        <row r="135">
          <cell r="Y135" t="str">
            <v>4307</v>
          </cell>
          <cell r="Z135">
            <v>43</v>
          </cell>
          <cell r="AA135" t="str">
            <v>暗きょ</v>
          </cell>
          <cell r="AB135">
            <v>7</v>
          </cell>
          <cell r="AC135" t="str">
            <v>土管</v>
          </cell>
          <cell r="AD135" t="str">
            <v>暗きょ土管</v>
          </cell>
          <cell r="AE135">
            <v>10</v>
          </cell>
          <cell r="AF135">
            <v>10</v>
          </cell>
        </row>
        <row r="136">
          <cell r="Y136" t="str">
            <v>4309</v>
          </cell>
          <cell r="Z136">
            <v>43</v>
          </cell>
          <cell r="AA136" t="str">
            <v>暗きょ</v>
          </cell>
          <cell r="AB136">
            <v>9</v>
          </cell>
          <cell r="AC136" t="str">
            <v>塩化ビニール</v>
          </cell>
          <cell r="AD136" t="str">
            <v>暗きょ塩化ビニール</v>
          </cell>
          <cell r="AE136">
            <v>8</v>
          </cell>
          <cell r="AF136">
            <v>8</v>
          </cell>
        </row>
        <row r="137">
          <cell r="Y137" t="str">
            <v>4377</v>
          </cell>
          <cell r="Z137">
            <v>43</v>
          </cell>
          <cell r="AA137" t="str">
            <v>暗きょ</v>
          </cell>
          <cell r="AB137">
            <v>77</v>
          </cell>
          <cell r="AC137" t="str">
            <v>少額資産</v>
          </cell>
          <cell r="AD137" t="str">
            <v>暗きょ少額資産</v>
          </cell>
          <cell r="AE137">
            <v>3</v>
          </cell>
          <cell r="AF137">
            <v>3</v>
          </cell>
        </row>
        <row r="138">
          <cell r="Y138" t="str">
            <v>4399</v>
          </cell>
          <cell r="Z138">
            <v>43</v>
          </cell>
          <cell r="AA138" t="str">
            <v>暗きょ</v>
          </cell>
          <cell r="AB138">
            <v>99</v>
          </cell>
          <cell r="AC138" t="str">
            <v>その他</v>
          </cell>
          <cell r="AD138" t="str">
            <v>暗きょその他</v>
          </cell>
          <cell r="AE138">
            <v>30</v>
          </cell>
          <cell r="AF138">
            <v>30</v>
          </cell>
        </row>
        <row r="139">
          <cell r="Y139" t="str">
            <v>4477</v>
          </cell>
          <cell r="Z139">
            <v>44</v>
          </cell>
          <cell r="AA139" t="str">
            <v>客土</v>
          </cell>
          <cell r="AB139">
            <v>77</v>
          </cell>
          <cell r="AC139" t="str">
            <v>少額資産</v>
          </cell>
          <cell r="AD139" t="str">
            <v>客土少額資産</v>
          </cell>
          <cell r="AE139">
            <v>3</v>
          </cell>
          <cell r="AF139">
            <v>3</v>
          </cell>
        </row>
        <row r="140">
          <cell r="Y140" t="str">
            <v>4488</v>
          </cell>
          <cell r="Z140">
            <v>44</v>
          </cell>
          <cell r="AA140" t="str">
            <v>客土</v>
          </cell>
          <cell r="AB140">
            <v>88</v>
          </cell>
          <cell r="AC140" t="str">
            <v>10万円未満</v>
          </cell>
          <cell r="AD140" t="str">
            <v>客土10万円未満</v>
          </cell>
          <cell r="AE140">
            <v>1</v>
          </cell>
          <cell r="AF140">
            <v>1</v>
          </cell>
        </row>
        <row r="141">
          <cell r="Y141" t="str">
            <v>4499</v>
          </cell>
          <cell r="Z141">
            <v>44</v>
          </cell>
          <cell r="AA141" t="str">
            <v>客土</v>
          </cell>
          <cell r="AB141">
            <v>99</v>
          </cell>
          <cell r="AC141" t="str">
            <v>その他</v>
          </cell>
          <cell r="AD141" t="str">
            <v>客土その他</v>
          </cell>
          <cell r="AE141">
            <v>8</v>
          </cell>
          <cell r="AF141">
            <v>8</v>
          </cell>
        </row>
        <row r="142">
          <cell r="Y142" t="str">
            <v>4577</v>
          </cell>
          <cell r="Z142">
            <v>45</v>
          </cell>
          <cell r="AA142" t="str">
            <v>作業道</v>
          </cell>
          <cell r="AB142">
            <v>77</v>
          </cell>
          <cell r="AC142" t="str">
            <v>少額資産</v>
          </cell>
          <cell r="AD142" t="str">
            <v>作業道少額資産</v>
          </cell>
          <cell r="AE142">
            <v>3</v>
          </cell>
          <cell r="AF142">
            <v>3</v>
          </cell>
        </row>
        <row r="143">
          <cell r="Y143" t="str">
            <v>4599</v>
          </cell>
          <cell r="Z143">
            <v>45</v>
          </cell>
          <cell r="AA143" t="str">
            <v>作業道</v>
          </cell>
          <cell r="AB143">
            <v>99</v>
          </cell>
          <cell r="AC143" t="str">
            <v>その他</v>
          </cell>
          <cell r="AD143" t="str">
            <v>作業道その他</v>
          </cell>
          <cell r="AE143">
            <v>8</v>
          </cell>
          <cell r="AF143">
            <v>8</v>
          </cell>
        </row>
        <row r="144">
          <cell r="Y144" t="str">
            <v>4601</v>
          </cell>
          <cell r="Z144">
            <v>46</v>
          </cell>
          <cell r="AA144" t="str">
            <v>ひ門</v>
          </cell>
          <cell r="AB144">
            <v>1</v>
          </cell>
          <cell r="AC144" t="str">
            <v>コンクリート</v>
          </cell>
          <cell r="AD144" t="str">
            <v>ひ門コンクリート</v>
          </cell>
          <cell r="AE144">
            <v>20</v>
          </cell>
          <cell r="AF144">
            <v>17</v>
          </cell>
        </row>
        <row r="145">
          <cell r="Y145" t="str">
            <v>4602</v>
          </cell>
          <cell r="Z145">
            <v>46</v>
          </cell>
          <cell r="AA145" t="str">
            <v>ひ門</v>
          </cell>
          <cell r="AB145">
            <v>2</v>
          </cell>
          <cell r="AC145" t="str">
            <v>れんが</v>
          </cell>
          <cell r="AD145" t="str">
            <v>ひ門れんが</v>
          </cell>
          <cell r="AE145">
            <v>20</v>
          </cell>
          <cell r="AF145">
            <v>17</v>
          </cell>
        </row>
        <row r="146">
          <cell r="Y146" t="str">
            <v>4603</v>
          </cell>
          <cell r="Z146">
            <v>46</v>
          </cell>
          <cell r="AA146" t="str">
            <v>ひ門</v>
          </cell>
          <cell r="AB146">
            <v>3</v>
          </cell>
          <cell r="AC146" t="str">
            <v>石</v>
          </cell>
          <cell r="AD146" t="str">
            <v>ひ門石</v>
          </cell>
          <cell r="AE146">
            <v>20</v>
          </cell>
          <cell r="AF146">
            <v>17</v>
          </cell>
        </row>
        <row r="147">
          <cell r="Y147" t="str">
            <v>4604</v>
          </cell>
          <cell r="Z147">
            <v>46</v>
          </cell>
          <cell r="AA147" t="str">
            <v>ひ門</v>
          </cell>
          <cell r="AB147">
            <v>4</v>
          </cell>
          <cell r="AC147" t="str">
            <v>ブロック</v>
          </cell>
          <cell r="AD147" t="str">
            <v>ひ門ブロック</v>
          </cell>
          <cell r="AE147">
            <v>20</v>
          </cell>
          <cell r="AF147">
            <v>17</v>
          </cell>
        </row>
        <row r="148">
          <cell r="Y148" t="str">
            <v>4677</v>
          </cell>
          <cell r="Z148">
            <v>46</v>
          </cell>
          <cell r="AA148" t="str">
            <v>ひ門</v>
          </cell>
          <cell r="AB148">
            <v>77</v>
          </cell>
          <cell r="AC148" t="str">
            <v>少額資産</v>
          </cell>
          <cell r="AD148" t="str">
            <v>ひ門少額資産</v>
          </cell>
          <cell r="AE148">
            <v>3</v>
          </cell>
          <cell r="AF148">
            <v>3</v>
          </cell>
        </row>
        <row r="149">
          <cell r="Y149" t="str">
            <v>4699</v>
          </cell>
          <cell r="Z149">
            <v>46</v>
          </cell>
          <cell r="AA149" t="str">
            <v>ひ門</v>
          </cell>
          <cell r="AB149">
            <v>99</v>
          </cell>
          <cell r="AC149" t="str">
            <v>その他</v>
          </cell>
          <cell r="AD149" t="str">
            <v>ひ門その他</v>
          </cell>
          <cell r="AE149">
            <v>30</v>
          </cell>
          <cell r="AF149">
            <v>30</v>
          </cell>
        </row>
        <row r="150">
          <cell r="Y150" t="str">
            <v>4701</v>
          </cell>
          <cell r="Z150">
            <v>47</v>
          </cell>
          <cell r="AA150" t="str">
            <v>用水路</v>
          </cell>
          <cell r="AB150">
            <v>1</v>
          </cell>
          <cell r="AC150" t="str">
            <v>コンクリート</v>
          </cell>
          <cell r="AD150" t="str">
            <v>用水路コンクリート</v>
          </cell>
          <cell r="AE150">
            <v>20</v>
          </cell>
          <cell r="AF150">
            <v>17</v>
          </cell>
        </row>
        <row r="151">
          <cell r="Y151" t="str">
            <v>4702</v>
          </cell>
          <cell r="Z151">
            <v>47</v>
          </cell>
          <cell r="AA151" t="str">
            <v>用水路</v>
          </cell>
          <cell r="AB151">
            <v>2</v>
          </cell>
          <cell r="AC151" t="str">
            <v>れんが</v>
          </cell>
          <cell r="AD151" t="str">
            <v>用水路れんが</v>
          </cell>
          <cell r="AE151">
            <v>20</v>
          </cell>
          <cell r="AF151">
            <v>17</v>
          </cell>
        </row>
        <row r="152">
          <cell r="Y152" t="str">
            <v>4703</v>
          </cell>
          <cell r="Z152">
            <v>47</v>
          </cell>
          <cell r="AA152" t="str">
            <v>用水路</v>
          </cell>
          <cell r="AB152">
            <v>3</v>
          </cell>
          <cell r="AC152" t="str">
            <v>石</v>
          </cell>
          <cell r="AD152" t="str">
            <v>用水路石</v>
          </cell>
          <cell r="AE152">
            <v>20</v>
          </cell>
          <cell r="AF152">
            <v>17</v>
          </cell>
        </row>
        <row r="153">
          <cell r="Y153" t="str">
            <v>4704</v>
          </cell>
          <cell r="Z153">
            <v>47</v>
          </cell>
          <cell r="AA153" t="str">
            <v>用水路</v>
          </cell>
          <cell r="AB153">
            <v>4</v>
          </cell>
          <cell r="AC153" t="str">
            <v>ブロック</v>
          </cell>
          <cell r="AD153" t="str">
            <v>用水路ブロック</v>
          </cell>
          <cell r="AE153">
            <v>20</v>
          </cell>
          <cell r="AF153">
            <v>17</v>
          </cell>
        </row>
        <row r="154">
          <cell r="Y154" t="str">
            <v>4777</v>
          </cell>
          <cell r="Z154">
            <v>47</v>
          </cell>
          <cell r="AA154" t="str">
            <v>用水路</v>
          </cell>
          <cell r="AB154">
            <v>77</v>
          </cell>
          <cell r="AC154" t="str">
            <v>少額資産</v>
          </cell>
          <cell r="AD154" t="str">
            <v>用水路少額資産</v>
          </cell>
          <cell r="AE154">
            <v>3</v>
          </cell>
          <cell r="AF154">
            <v>3</v>
          </cell>
        </row>
        <row r="155">
          <cell r="Y155" t="str">
            <v>4799</v>
          </cell>
          <cell r="Z155">
            <v>47</v>
          </cell>
          <cell r="AA155" t="str">
            <v>用水路</v>
          </cell>
          <cell r="AB155">
            <v>99</v>
          </cell>
          <cell r="AC155" t="str">
            <v>その他</v>
          </cell>
          <cell r="AD155" t="str">
            <v>用水路その他</v>
          </cell>
          <cell r="AE155">
            <v>30</v>
          </cell>
          <cell r="AF155">
            <v>30</v>
          </cell>
        </row>
        <row r="156">
          <cell r="Y156" t="str">
            <v>4801</v>
          </cell>
          <cell r="Z156">
            <v>48</v>
          </cell>
          <cell r="AA156" t="str">
            <v>配管</v>
          </cell>
          <cell r="AB156">
            <v>1</v>
          </cell>
          <cell r="AC156" t="str">
            <v>コンクリート</v>
          </cell>
          <cell r="AD156" t="str">
            <v>配管コンクリート</v>
          </cell>
          <cell r="AE156">
            <v>20</v>
          </cell>
          <cell r="AF156">
            <v>17</v>
          </cell>
        </row>
        <row r="157">
          <cell r="Y157" t="str">
            <v>4802</v>
          </cell>
          <cell r="Z157">
            <v>48</v>
          </cell>
          <cell r="AA157" t="str">
            <v>配管</v>
          </cell>
          <cell r="AB157">
            <v>2</v>
          </cell>
          <cell r="AC157" t="str">
            <v>れんが</v>
          </cell>
          <cell r="AD157" t="str">
            <v>配管れんが</v>
          </cell>
          <cell r="AE157">
            <v>20</v>
          </cell>
          <cell r="AF157">
            <v>17</v>
          </cell>
        </row>
        <row r="158">
          <cell r="Y158" t="str">
            <v>4803</v>
          </cell>
          <cell r="Z158">
            <v>48</v>
          </cell>
          <cell r="AA158" t="str">
            <v>配管</v>
          </cell>
          <cell r="AB158">
            <v>3</v>
          </cell>
          <cell r="AC158" t="str">
            <v>石</v>
          </cell>
          <cell r="AD158" t="str">
            <v>配管石</v>
          </cell>
          <cell r="AE158">
            <v>20</v>
          </cell>
          <cell r="AF158">
            <v>17</v>
          </cell>
        </row>
        <row r="159">
          <cell r="Y159" t="str">
            <v>4804</v>
          </cell>
          <cell r="Z159">
            <v>48</v>
          </cell>
          <cell r="AA159" t="str">
            <v>配管</v>
          </cell>
          <cell r="AB159">
            <v>4</v>
          </cell>
          <cell r="AC159" t="str">
            <v>ブロック</v>
          </cell>
          <cell r="AD159" t="str">
            <v>配管ブロック</v>
          </cell>
          <cell r="AE159">
            <v>20</v>
          </cell>
          <cell r="AF159">
            <v>17</v>
          </cell>
        </row>
        <row r="160">
          <cell r="Y160" t="str">
            <v>4805</v>
          </cell>
          <cell r="Z160">
            <v>48</v>
          </cell>
          <cell r="AA160" t="str">
            <v>配管</v>
          </cell>
          <cell r="AB160">
            <v>5</v>
          </cell>
          <cell r="AC160" t="str">
            <v>金属</v>
          </cell>
          <cell r="AD160" t="str">
            <v>配管金属</v>
          </cell>
          <cell r="AE160">
            <v>15</v>
          </cell>
          <cell r="AF160">
            <v>14</v>
          </cell>
        </row>
        <row r="161">
          <cell r="Y161" t="str">
            <v>4807</v>
          </cell>
          <cell r="Z161">
            <v>48</v>
          </cell>
          <cell r="AA161" t="str">
            <v>配管</v>
          </cell>
          <cell r="AB161">
            <v>7</v>
          </cell>
          <cell r="AC161" t="str">
            <v>土管</v>
          </cell>
          <cell r="AD161" t="str">
            <v>配管土管</v>
          </cell>
          <cell r="AE161">
            <v>10</v>
          </cell>
          <cell r="AF161">
            <v>10</v>
          </cell>
        </row>
        <row r="162">
          <cell r="Y162" t="str">
            <v>4809</v>
          </cell>
          <cell r="Z162">
            <v>48</v>
          </cell>
          <cell r="AA162" t="str">
            <v>配管</v>
          </cell>
          <cell r="AB162">
            <v>9</v>
          </cell>
          <cell r="AC162" t="str">
            <v>塩化ビニール</v>
          </cell>
          <cell r="AD162" t="str">
            <v>配管塩化ビニール</v>
          </cell>
          <cell r="AE162">
            <v>8</v>
          </cell>
          <cell r="AF162">
            <v>8</v>
          </cell>
        </row>
        <row r="163">
          <cell r="Y163" t="str">
            <v>4877</v>
          </cell>
          <cell r="Z163">
            <v>48</v>
          </cell>
          <cell r="AA163" t="str">
            <v>配管</v>
          </cell>
          <cell r="AB163">
            <v>77</v>
          </cell>
          <cell r="AC163" t="str">
            <v>少額資産</v>
          </cell>
          <cell r="AD163" t="str">
            <v>配管少額資産</v>
          </cell>
          <cell r="AE163">
            <v>3</v>
          </cell>
          <cell r="AF163">
            <v>3</v>
          </cell>
        </row>
        <row r="164">
          <cell r="Y164" t="str">
            <v>4899</v>
          </cell>
          <cell r="Z164">
            <v>48</v>
          </cell>
          <cell r="AA164" t="str">
            <v>配管</v>
          </cell>
          <cell r="AB164">
            <v>99</v>
          </cell>
          <cell r="AC164" t="str">
            <v>その他</v>
          </cell>
          <cell r="AD164" t="str">
            <v>配管その他</v>
          </cell>
          <cell r="AE164">
            <v>30</v>
          </cell>
          <cell r="AF164">
            <v>30</v>
          </cell>
        </row>
        <row r="165">
          <cell r="Y165" t="str">
            <v>4901</v>
          </cell>
          <cell r="Z165">
            <v>49</v>
          </cell>
          <cell r="AA165" t="str">
            <v>農用井戸</v>
          </cell>
          <cell r="AB165">
            <v>1</v>
          </cell>
          <cell r="AC165" t="str">
            <v>コンクリート</v>
          </cell>
          <cell r="AD165" t="str">
            <v>農用井戸コンクリート</v>
          </cell>
          <cell r="AE165">
            <v>20</v>
          </cell>
          <cell r="AF165">
            <v>17</v>
          </cell>
        </row>
        <row r="166">
          <cell r="Y166" t="str">
            <v>4902</v>
          </cell>
          <cell r="Z166">
            <v>49</v>
          </cell>
          <cell r="AA166" t="str">
            <v>農用井戸</v>
          </cell>
          <cell r="AB166">
            <v>2</v>
          </cell>
          <cell r="AC166" t="str">
            <v>れんが</v>
          </cell>
          <cell r="AD166" t="str">
            <v>農用井戸れんが</v>
          </cell>
          <cell r="AE166">
            <v>20</v>
          </cell>
          <cell r="AF166">
            <v>17</v>
          </cell>
        </row>
        <row r="167">
          <cell r="Y167" t="str">
            <v>4903</v>
          </cell>
          <cell r="Z167">
            <v>49</v>
          </cell>
          <cell r="AA167" t="str">
            <v>農用井戸</v>
          </cell>
          <cell r="AB167">
            <v>3</v>
          </cell>
          <cell r="AC167" t="str">
            <v>石</v>
          </cell>
          <cell r="AD167" t="str">
            <v>農用井戸石</v>
          </cell>
          <cell r="AE167">
            <v>20</v>
          </cell>
          <cell r="AF167">
            <v>17</v>
          </cell>
        </row>
        <row r="168">
          <cell r="Y168" t="str">
            <v>4904</v>
          </cell>
          <cell r="Z168">
            <v>49</v>
          </cell>
          <cell r="AA168" t="str">
            <v>農用井戸</v>
          </cell>
          <cell r="AB168">
            <v>4</v>
          </cell>
          <cell r="AC168" t="str">
            <v>ブロック</v>
          </cell>
          <cell r="AD168" t="str">
            <v>農用井戸ブロック</v>
          </cell>
          <cell r="AE168">
            <v>20</v>
          </cell>
          <cell r="AF168">
            <v>17</v>
          </cell>
        </row>
        <row r="169">
          <cell r="Y169" t="str">
            <v>4905</v>
          </cell>
          <cell r="Z169">
            <v>49</v>
          </cell>
          <cell r="AA169" t="str">
            <v>農用井戸</v>
          </cell>
          <cell r="AB169">
            <v>5</v>
          </cell>
          <cell r="AC169" t="str">
            <v>金属</v>
          </cell>
          <cell r="AD169" t="str">
            <v>農用井戸金属</v>
          </cell>
          <cell r="AE169">
            <v>15</v>
          </cell>
          <cell r="AF169">
            <v>14</v>
          </cell>
        </row>
        <row r="170">
          <cell r="Y170" t="str">
            <v>4907</v>
          </cell>
          <cell r="Z170">
            <v>49</v>
          </cell>
          <cell r="AA170" t="str">
            <v>農用井戸</v>
          </cell>
          <cell r="AB170">
            <v>7</v>
          </cell>
          <cell r="AC170" t="str">
            <v>土管</v>
          </cell>
          <cell r="AD170" t="str">
            <v>農用井戸土管</v>
          </cell>
          <cell r="AE170">
            <v>10</v>
          </cell>
          <cell r="AF170">
            <v>10</v>
          </cell>
        </row>
        <row r="171">
          <cell r="Y171" t="str">
            <v>4977</v>
          </cell>
          <cell r="Z171">
            <v>49</v>
          </cell>
          <cell r="AA171" t="str">
            <v>農用井戸</v>
          </cell>
          <cell r="AB171">
            <v>77</v>
          </cell>
          <cell r="AC171" t="str">
            <v>少額資産</v>
          </cell>
          <cell r="AD171" t="str">
            <v>農用井戸少額資産</v>
          </cell>
          <cell r="AE171">
            <v>3</v>
          </cell>
          <cell r="AF171">
            <v>3</v>
          </cell>
        </row>
        <row r="172">
          <cell r="Y172" t="str">
            <v>4999</v>
          </cell>
          <cell r="Z172">
            <v>49</v>
          </cell>
          <cell r="AA172" t="str">
            <v>農用井戸</v>
          </cell>
          <cell r="AB172">
            <v>99</v>
          </cell>
          <cell r="AC172" t="str">
            <v>その他</v>
          </cell>
          <cell r="AD172" t="str">
            <v>農用井戸その他</v>
          </cell>
          <cell r="AE172">
            <v>30</v>
          </cell>
          <cell r="AF172">
            <v>30</v>
          </cell>
        </row>
        <row r="173">
          <cell r="Y173" t="str">
            <v>5001</v>
          </cell>
          <cell r="Z173">
            <v>50</v>
          </cell>
          <cell r="AA173" t="str">
            <v>貯水槽</v>
          </cell>
          <cell r="AB173">
            <v>1</v>
          </cell>
          <cell r="AC173" t="str">
            <v>コンクリート</v>
          </cell>
          <cell r="AD173" t="str">
            <v>貯水槽コンクリート</v>
          </cell>
          <cell r="AE173">
            <v>20</v>
          </cell>
          <cell r="AF173">
            <v>17</v>
          </cell>
        </row>
        <row r="174">
          <cell r="Y174" t="str">
            <v>5002</v>
          </cell>
          <cell r="Z174">
            <v>50</v>
          </cell>
          <cell r="AA174" t="str">
            <v>貯水槽</v>
          </cell>
          <cell r="AB174">
            <v>2</v>
          </cell>
          <cell r="AC174" t="str">
            <v>れんが</v>
          </cell>
          <cell r="AD174" t="str">
            <v>貯水槽れんが</v>
          </cell>
          <cell r="AE174">
            <v>20</v>
          </cell>
          <cell r="AF174">
            <v>17</v>
          </cell>
        </row>
        <row r="175">
          <cell r="Y175" t="str">
            <v>5003</v>
          </cell>
          <cell r="Z175">
            <v>50</v>
          </cell>
          <cell r="AA175" t="str">
            <v>貯水槽</v>
          </cell>
          <cell r="AB175">
            <v>3</v>
          </cell>
          <cell r="AC175" t="str">
            <v>石</v>
          </cell>
          <cell r="AD175" t="str">
            <v>貯水槽石</v>
          </cell>
          <cell r="AE175">
            <v>20</v>
          </cell>
          <cell r="AF175">
            <v>17</v>
          </cell>
        </row>
        <row r="176">
          <cell r="Y176" t="str">
            <v>5004</v>
          </cell>
          <cell r="Z176">
            <v>50</v>
          </cell>
          <cell r="AA176" t="str">
            <v>貯水槽</v>
          </cell>
          <cell r="AB176">
            <v>4</v>
          </cell>
          <cell r="AC176" t="str">
            <v>ブロック</v>
          </cell>
          <cell r="AD176" t="str">
            <v>貯水槽ブロック</v>
          </cell>
          <cell r="AE176">
            <v>20</v>
          </cell>
          <cell r="AF176">
            <v>17</v>
          </cell>
        </row>
        <row r="177">
          <cell r="Y177" t="str">
            <v>5077</v>
          </cell>
          <cell r="Z177">
            <v>50</v>
          </cell>
          <cell r="AA177" t="str">
            <v>貯水槽</v>
          </cell>
          <cell r="AB177">
            <v>77</v>
          </cell>
          <cell r="AC177" t="str">
            <v>少額資産</v>
          </cell>
          <cell r="AD177" t="str">
            <v>貯水槽少額資産</v>
          </cell>
          <cell r="AE177">
            <v>3</v>
          </cell>
          <cell r="AF177">
            <v>3</v>
          </cell>
        </row>
        <row r="178">
          <cell r="Y178" t="str">
            <v>5099</v>
          </cell>
          <cell r="Z178">
            <v>50</v>
          </cell>
          <cell r="AA178" t="str">
            <v>貯水槽</v>
          </cell>
          <cell r="AB178">
            <v>99</v>
          </cell>
          <cell r="AC178" t="str">
            <v>その他</v>
          </cell>
          <cell r="AD178" t="str">
            <v>貯水槽その他</v>
          </cell>
          <cell r="AE178">
            <v>30</v>
          </cell>
          <cell r="AF178">
            <v>30</v>
          </cell>
        </row>
        <row r="179">
          <cell r="Y179" t="str">
            <v>5101</v>
          </cell>
          <cell r="Z179">
            <v>51</v>
          </cell>
          <cell r="AA179" t="str">
            <v>肥料だめ</v>
          </cell>
          <cell r="AB179">
            <v>1</v>
          </cell>
          <cell r="AC179" t="str">
            <v>コンクリート</v>
          </cell>
          <cell r="AD179" t="str">
            <v>肥料だめコンクリート</v>
          </cell>
          <cell r="AE179">
            <v>20</v>
          </cell>
          <cell r="AF179">
            <v>17</v>
          </cell>
        </row>
        <row r="180">
          <cell r="Y180" t="str">
            <v>5102</v>
          </cell>
          <cell r="Z180">
            <v>51</v>
          </cell>
          <cell r="AA180" t="str">
            <v>肥料だめ</v>
          </cell>
          <cell r="AB180">
            <v>2</v>
          </cell>
          <cell r="AC180" t="str">
            <v>れんが</v>
          </cell>
          <cell r="AD180" t="str">
            <v>肥料だめれんが</v>
          </cell>
          <cell r="AE180">
            <v>20</v>
          </cell>
          <cell r="AF180">
            <v>17</v>
          </cell>
        </row>
        <row r="181">
          <cell r="Y181" t="str">
            <v>5103</v>
          </cell>
          <cell r="Z181">
            <v>51</v>
          </cell>
          <cell r="AA181" t="str">
            <v>肥料だめ</v>
          </cell>
          <cell r="AB181">
            <v>3</v>
          </cell>
          <cell r="AC181" t="str">
            <v>石</v>
          </cell>
          <cell r="AD181" t="str">
            <v>肥料だめ石</v>
          </cell>
          <cell r="AE181">
            <v>20</v>
          </cell>
          <cell r="AF181">
            <v>17</v>
          </cell>
        </row>
        <row r="182">
          <cell r="Y182" t="str">
            <v>5104</v>
          </cell>
          <cell r="Z182">
            <v>51</v>
          </cell>
          <cell r="AA182" t="str">
            <v>肥料だめ</v>
          </cell>
          <cell r="AB182">
            <v>4</v>
          </cell>
          <cell r="AC182" t="str">
            <v>ブロック</v>
          </cell>
          <cell r="AD182" t="str">
            <v>肥料だめブロック</v>
          </cell>
          <cell r="AE182">
            <v>20</v>
          </cell>
          <cell r="AF182">
            <v>17</v>
          </cell>
        </row>
        <row r="183">
          <cell r="Y183" t="str">
            <v>5177</v>
          </cell>
          <cell r="Z183">
            <v>51</v>
          </cell>
          <cell r="AA183" t="str">
            <v>肥料だめ</v>
          </cell>
          <cell r="AB183">
            <v>77</v>
          </cell>
          <cell r="AC183" t="str">
            <v>少額資産</v>
          </cell>
          <cell r="AD183" t="str">
            <v>肥料だめ少額資産</v>
          </cell>
          <cell r="AE183">
            <v>3</v>
          </cell>
          <cell r="AF183">
            <v>3</v>
          </cell>
        </row>
        <row r="184">
          <cell r="Y184" t="str">
            <v>5199</v>
          </cell>
          <cell r="Z184">
            <v>51</v>
          </cell>
          <cell r="AA184" t="str">
            <v>肥料だめ</v>
          </cell>
          <cell r="AB184">
            <v>99</v>
          </cell>
          <cell r="AC184" t="str">
            <v>その他</v>
          </cell>
          <cell r="AD184" t="str">
            <v>肥料だめその他</v>
          </cell>
          <cell r="AE184">
            <v>30</v>
          </cell>
          <cell r="AF184">
            <v>30</v>
          </cell>
        </row>
        <row r="185">
          <cell r="Y185" t="str">
            <v>5301</v>
          </cell>
          <cell r="Z185">
            <v>53</v>
          </cell>
          <cell r="AA185" t="str">
            <v>薬剤用調合槽</v>
          </cell>
          <cell r="AB185">
            <v>1</v>
          </cell>
          <cell r="AC185" t="str">
            <v>コンクリート</v>
          </cell>
          <cell r="AD185" t="str">
            <v>薬剤用調合槽コンクリート</v>
          </cell>
          <cell r="AE185">
            <v>20</v>
          </cell>
          <cell r="AF185">
            <v>17</v>
          </cell>
        </row>
        <row r="186">
          <cell r="Y186" t="str">
            <v>5302</v>
          </cell>
          <cell r="Z186">
            <v>53</v>
          </cell>
          <cell r="AA186" t="str">
            <v>薬剤用調合槽</v>
          </cell>
          <cell r="AB186">
            <v>2</v>
          </cell>
          <cell r="AC186" t="str">
            <v>れんが</v>
          </cell>
          <cell r="AD186" t="str">
            <v>薬剤用調合槽れんが</v>
          </cell>
          <cell r="AE186">
            <v>20</v>
          </cell>
          <cell r="AF186">
            <v>17</v>
          </cell>
        </row>
        <row r="187">
          <cell r="Y187" t="str">
            <v>5303</v>
          </cell>
          <cell r="Z187">
            <v>53</v>
          </cell>
          <cell r="AA187" t="str">
            <v>薬剤用調合槽</v>
          </cell>
          <cell r="AB187">
            <v>3</v>
          </cell>
          <cell r="AC187" t="str">
            <v>石</v>
          </cell>
          <cell r="AD187" t="str">
            <v>薬剤用調合槽石</v>
          </cell>
          <cell r="AE187">
            <v>20</v>
          </cell>
          <cell r="AF187">
            <v>17</v>
          </cell>
        </row>
        <row r="188">
          <cell r="Y188" t="str">
            <v>5304</v>
          </cell>
          <cell r="Z188">
            <v>53</v>
          </cell>
          <cell r="AA188" t="str">
            <v>薬剤用調合槽</v>
          </cell>
          <cell r="AB188">
            <v>4</v>
          </cell>
          <cell r="AC188" t="str">
            <v>ブロック</v>
          </cell>
          <cell r="AD188" t="str">
            <v>薬剤用調合槽ブロック</v>
          </cell>
          <cell r="AE188">
            <v>20</v>
          </cell>
          <cell r="AF188">
            <v>17</v>
          </cell>
        </row>
        <row r="189">
          <cell r="Y189" t="str">
            <v>5377</v>
          </cell>
          <cell r="Z189">
            <v>53</v>
          </cell>
          <cell r="AA189" t="str">
            <v>薬剤用調合槽</v>
          </cell>
          <cell r="AB189">
            <v>77</v>
          </cell>
          <cell r="AC189" t="str">
            <v>少額資産</v>
          </cell>
          <cell r="AD189" t="str">
            <v>薬剤用調合槽少額資産</v>
          </cell>
          <cell r="AE189">
            <v>3</v>
          </cell>
          <cell r="AF189">
            <v>3</v>
          </cell>
        </row>
        <row r="190">
          <cell r="Y190" t="str">
            <v>5399</v>
          </cell>
          <cell r="Z190">
            <v>53</v>
          </cell>
          <cell r="AA190" t="str">
            <v>薬剤用調合槽</v>
          </cell>
          <cell r="AB190">
            <v>99</v>
          </cell>
          <cell r="AC190" t="str">
            <v>その他</v>
          </cell>
          <cell r="AD190" t="str">
            <v>薬剤用調合槽その他</v>
          </cell>
          <cell r="AE190">
            <v>30</v>
          </cell>
          <cell r="AF190">
            <v>30</v>
          </cell>
        </row>
        <row r="191">
          <cell r="Y191" t="str">
            <v>5501</v>
          </cell>
          <cell r="Z191">
            <v>55</v>
          </cell>
          <cell r="AA191" t="str">
            <v>斜降索道設備</v>
          </cell>
          <cell r="AB191">
            <v>1</v>
          </cell>
          <cell r="AC191" t="str">
            <v>コンクリート</v>
          </cell>
          <cell r="AD191" t="str">
            <v>斜降索道設備コンクリート</v>
          </cell>
          <cell r="AE191">
            <v>17</v>
          </cell>
          <cell r="AF191">
            <v>17</v>
          </cell>
        </row>
        <row r="192">
          <cell r="Y192" t="str">
            <v>5502</v>
          </cell>
          <cell r="Z192">
            <v>55</v>
          </cell>
          <cell r="AA192" t="str">
            <v>斜降索道設備</v>
          </cell>
          <cell r="AB192">
            <v>2</v>
          </cell>
          <cell r="AC192" t="str">
            <v>れんが</v>
          </cell>
          <cell r="AD192" t="str">
            <v>斜降索道設備れんが</v>
          </cell>
          <cell r="AE192">
            <v>17</v>
          </cell>
          <cell r="AF192">
            <v>17</v>
          </cell>
        </row>
        <row r="193">
          <cell r="Y193" t="str">
            <v>5503</v>
          </cell>
          <cell r="Z193">
            <v>55</v>
          </cell>
          <cell r="AA193" t="str">
            <v>斜降索道設備</v>
          </cell>
          <cell r="AB193">
            <v>3</v>
          </cell>
          <cell r="AC193" t="str">
            <v>石</v>
          </cell>
          <cell r="AD193" t="str">
            <v>斜降索道設備石</v>
          </cell>
          <cell r="AE193">
            <v>17</v>
          </cell>
          <cell r="AF193">
            <v>17</v>
          </cell>
        </row>
        <row r="194">
          <cell r="Y194" t="str">
            <v>5504</v>
          </cell>
          <cell r="Z194">
            <v>55</v>
          </cell>
          <cell r="AA194" t="str">
            <v>斜降索道設備</v>
          </cell>
          <cell r="AB194">
            <v>4</v>
          </cell>
          <cell r="AC194" t="str">
            <v>ブロック</v>
          </cell>
          <cell r="AD194" t="str">
            <v>斜降索道設備ブロック</v>
          </cell>
          <cell r="AE194">
            <v>17</v>
          </cell>
          <cell r="AF194">
            <v>17</v>
          </cell>
        </row>
        <row r="195">
          <cell r="Y195" t="str">
            <v>5505</v>
          </cell>
          <cell r="Z195">
            <v>55</v>
          </cell>
          <cell r="AA195" t="str">
            <v>斜降索道設備</v>
          </cell>
          <cell r="AB195">
            <v>5</v>
          </cell>
          <cell r="AC195" t="str">
            <v>金属</v>
          </cell>
          <cell r="AD195" t="str">
            <v>斜降索道設備金属</v>
          </cell>
          <cell r="AE195">
            <v>13</v>
          </cell>
          <cell r="AF195">
            <v>14</v>
          </cell>
        </row>
        <row r="196">
          <cell r="Y196" t="str">
            <v>5506</v>
          </cell>
          <cell r="Z196">
            <v>55</v>
          </cell>
          <cell r="AA196" t="str">
            <v>斜降索道設備</v>
          </cell>
          <cell r="AB196">
            <v>6</v>
          </cell>
          <cell r="AC196" t="str">
            <v>木造</v>
          </cell>
          <cell r="AD196" t="str">
            <v>斜降索道設備木造</v>
          </cell>
          <cell r="AE196">
            <v>5</v>
          </cell>
          <cell r="AF196">
            <v>5</v>
          </cell>
        </row>
        <row r="197">
          <cell r="Y197" t="str">
            <v>5577</v>
          </cell>
          <cell r="Z197">
            <v>55</v>
          </cell>
          <cell r="AA197" t="str">
            <v>斜降索道設備</v>
          </cell>
          <cell r="AB197">
            <v>77</v>
          </cell>
          <cell r="AC197" t="str">
            <v>少額資産</v>
          </cell>
          <cell r="AD197" t="str">
            <v>斜降索道設備少額資産</v>
          </cell>
          <cell r="AE197">
            <v>3</v>
          </cell>
          <cell r="AF197">
            <v>3</v>
          </cell>
        </row>
        <row r="198">
          <cell r="Y198" t="str">
            <v>5599</v>
          </cell>
          <cell r="Z198">
            <v>55</v>
          </cell>
          <cell r="AA198" t="str">
            <v>斜降索道設備</v>
          </cell>
          <cell r="AB198">
            <v>99</v>
          </cell>
          <cell r="AC198" t="str">
            <v>その他</v>
          </cell>
          <cell r="AD198" t="str">
            <v>斜降索道設備その他</v>
          </cell>
          <cell r="AE198">
            <v>30</v>
          </cell>
          <cell r="AF198">
            <v>30</v>
          </cell>
        </row>
        <row r="199">
          <cell r="Y199" t="str">
            <v>5605</v>
          </cell>
          <cell r="Z199">
            <v>56</v>
          </cell>
          <cell r="AA199" t="str">
            <v>モノレール</v>
          </cell>
          <cell r="AB199">
            <v>5</v>
          </cell>
          <cell r="AC199" t="str">
            <v>金属</v>
          </cell>
          <cell r="AD199" t="str">
            <v>モノレール金属</v>
          </cell>
          <cell r="AE199">
            <v>15</v>
          </cell>
          <cell r="AF199">
            <v>14</v>
          </cell>
        </row>
        <row r="200">
          <cell r="Y200" t="str">
            <v>5677</v>
          </cell>
          <cell r="Z200">
            <v>56</v>
          </cell>
          <cell r="AA200" t="str">
            <v>モノレール</v>
          </cell>
          <cell r="AB200">
            <v>77</v>
          </cell>
          <cell r="AC200" t="str">
            <v>少額資産</v>
          </cell>
          <cell r="AD200" t="str">
            <v>モノレール少額資産</v>
          </cell>
          <cell r="AE200">
            <v>3</v>
          </cell>
          <cell r="AF200">
            <v>3</v>
          </cell>
        </row>
        <row r="201">
          <cell r="Y201" t="str">
            <v>5699</v>
          </cell>
          <cell r="Z201">
            <v>56</v>
          </cell>
          <cell r="AA201" t="str">
            <v>モノレール</v>
          </cell>
          <cell r="AB201">
            <v>99</v>
          </cell>
          <cell r="AC201" t="str">
            <v>その他</v>
          </cell>
          <cell r="AD201" t="str">
            <v>モノレールその他</v>
          </cell>
          <cell r="AE201">
            <v>30</v>
          </cell>
          <cell r="AF201">
            <v>30</v>
          </cell>
        </row>
        <row r="202">
          <cell r="Y202" t="str">
            <v>5905</v>
          </cell>
          <cell r="Z202">
            <v>59</v>
          </cell>
          <cell r="AA202" t="str">
            <v>給水配管・パイプ</v>
          </cell>
          <cell r="AB202">
            <v>5</v>
          </cell>
          <cell r="AC202" t="str">
            <v>金属</v>
          </cell>
          <cell r="AD202" t="str">
            <v>給水配管・パイプ金属</v>
          </cell>
          <cell r="AE202">
            <v>15</v>
          </cell>
          <cell r="AF202">
            <v>14</v>
          </cell>
        </row>
        <row r="203">
          <cell r="Y203" t="str">
            <v>5909</v>
          </cell>
          <cell r="Z203">
            <v>59</v>
          </cell>
          <cell r="AA203" t="str">
            <v>給水配管・パイプ</v>
          </cell>
          <cell r="AB203">
            <v>9</v>
          </cell>
          <cell r="AC203" t="str">
            <v>塩化ビニール</v>
          </cell>
          <cell r="AD203" t="str">
            <v>給水配管・パイプ塩化ビニール</v>
          </cell>
          <cell r="AE203">
            <v>8</v>
          </cell>
          <cell r="AF203">
            <v>8</v>
          </cell>
        </row>
        <row r="204">
          <cell r="Y204" t="str">
            <v>5977</v>
          </cell>
          <cell r="Z204">
            <v>59</v>
          </cell>
          <cell r="AA204" t="str">
            <v>給水配管・パイプ</v>
          </cell>
          <cell r="AB204">
            <v>77</v>
          </cell>
          <cell r="AC204" t="str">
            <v>少額資産</v>
          </cell>
          <cell r="AD204" t="str">
            <v>給水配管・パイプ少額資産</v>
          </cell>
          <cell r="AE204">
            <v>3</v>
          </cell>
          <cell r="AF204">
            <v>3</v>
          </cell>
        </row>
        <row r="205">
          <cell r="Y205" t="str">
            <v>5999</v>
          </cell>
          <cell r="Z205">
            <v>59</v>
          </cell>
          <cell r="AA205" t="str">
            <v>給水配管・パイプ</v>
          </cell>
          <cell r="AB205">
            <v>99</v>
          </cell>
          <cell r="AC205" t="str">
            <v>その他</v>
          </cell>
          <cell r="AD205" t="str">
            <v>給水配管・パイプその他</v>
          </cell>
          <cell r="AE205">
            <v>30</v>
          </cell>
          <cell r="AF205">
            <v>30</v>
          </cell>
        </row>
        <row r="206">
          <cell r="Y206" t="str">
            <v>6201</v>
          </cell>
          <cell r="Z206">
            <v>62</v>
          </cell>
          <cell r="AA206" t="str">
            <v>たい肥盤</v>
          </cell>
          <cell r="AB206">
            <v>1</v>
          </cell>
          <cell r="AC206" t="str">
            <v>コンクリート</v>
          </cell>
          <cell r="AD206" t="str">
            <v>たい肥盤コンクリート</v>
          </cell>
          <cell r="AE206">
            <v>20</v>
          </cell>
          <cell r="AF206">
            <v>17</v>
          </cell>
        </row>
        <row r="207">
          <cell r="Y207" t="str">
            <v>6202</v>
          </cell>
          <cell r="Z207">
            <v>62</v>
          </cell>
          <cell r="AA207" t="str">
            <v>たい肥盤</v>
          </cell>
          <cell r="AB207">
            <v>2</v>
          </cell>
          <cell r="AC207" t="str">
            <v>れんが</v>
          </cell>
          <cell r="AD207" t="str">
            <v>たい肥盤れんが</v>
          </cell>
          <cell r="AE207">
            <v>20</v>
          </cell>
          <cell r="AF207">
            <v>17</v>
          </cell>
        </row>
        <row r="208">
          <cell r="Y208" t="str">
            <v>6203</v>
          </cell>
          <cell r="Z208">
            <v>62</v>
          </cell>
          <cell r="AA208" t="str">
            <v>たい肥盤</v>
          </cell>
          <cell r="AB208">
            <v>3</v>
          </cell>
          <cell r="AC208" t="str">
            <v>石</v>
          </cell>
          <cell r="AD208" t="str">
            <v>たい肥盤石</v>
          </cell>
          <cell r="AE208">
            <v>20</v>
          </cell>
          <cell r="AF208">
            <v>17</v>
          </cell>
        </row>
        <row r="209">
          <cell r="Y209" t="str">
            <v>6204</v>
          </cell>
          <cell r="Z209">
            <v>62</v>
          </cell>
          <cell r="AA209" t="str">
            <v>たい肥盤</v>
          </cell>
          <cell r="AB209">
            <v>4</v>
          </cell>
          <cell r="AC209" t="str">
            <v>ブロック</v>
          </cell>
          <cell r="AD209" t="str">
            <v>たい肥盤ブロック</v>
          </cell>
          <cell r="AE209">
            <v>20</v>
          </cell>
          <cell r="AF209">
            <v>17</v>
          </cell>
        </row>
        <row r="210">
          <cell r="Y210" t="str">
            <v>6277</v>
          </cell>
          <cell r="Z210">
            <v>62</v>
          </cell>
          <cell r="AA210" t="str">
            <v>たい肥盤</v>
          </cell>
          <cell r="AB210">
            <v>77</v>
          </cell>
          <cell r="AC210" t="str">
            <v>少額資産</v>
          </cell>
          <cell r="AD210" t="str">
            <v>たい肥盤少額資産</v>
          </cell>
          <cell r="AE210">
            <v>3</v>
          </cell>
          <cell r="AF210">
            <v>3</v>
          </cell>
        </row>
        <row r="211">
          <cell r="Y211" t="str">
            <v>6299</v>
          </cell>
          <cell r="Z211">
            <v>62</v>
          </cell>
          <cell r="AA211" t="str">
            <v>たい肥盤</v>
          </cell>
          <cell r="AB211">
            <v>99</v>
          </cell>
          <cell r="AC211" t="str">
            <v>その他</v>
          </cell>
          <cell r="AD211" t="str">
            <v>たい肥盤その他</v>
          </cell>
          <cell r="AE211">
            <v>30</v>
          </cell>
          <cell r="AF211">
            <v>30</v>
          </cell>
        </row>
        <row r="212">
          <cell r="Y212" t="str">
            <v>9901</v>
          </cell>
          <cell r="Z212">
            <v>99</v>
          </cell>
          <cell r="AA212" t="str">
            <v>その他の構築物</v>
          </cell>
          <cell r="AB212">
            <v>1</v>
          </cell>
          <cell r="AC212" t="str">
            <v>コンクリート</v>
          </cell>
          <cell r="AD212" t="str">
            <v>その他の構築物コンクリート</v>
          </cell>
          <cell r="AE212">
            <v>20</v>
          </cell>
          <cell r="AF212">
            <v>17</v>
          </cell>
        </row>
        <row r="213">
          <cell r="Y213" t="str">
            <v>9902</v>
          </cell>
          <cell r="Z213">
            <v>99</v>
          </cell>
          <cell r="AA213" t="str">
            <v>その他の構築物</v>
          </cell>
          <cell r="AB213">
            <v>2</v>
          </cell>
          <cell r="AC213" t="str">
            <v>れんが</v>
          </cell>
          <cell r="AD213" t="str">
            <v>その他の構築物れんが</v>
          </cell>
          <cell r="AE213">
            <v>20</v>
          </cell>
          <cell r="AF213">
            <v>17</v>
          </cell>
        </row>
        <row r="214">
          <cell r="Y214" t="str">
            <v>9903</v>
          </cell>
          <cell r="Z214">
            <v>99</v>
          </cell>
          <cell r="AA214" t="str">
            <v>その他の構築物</v>
          </cell>
          <cell r="AB214">
            <v>3</v>
          </cell>
          <cell r="AC214" t="str">
            <v>石</v>
          </cell>
          <cell r="AD214" t="str">
            <v>その他の構築物石</v>
          </cell>
          <cell r="AE214">
            <v>20</v>
          </cell>
          <cell r="AF214">
            <v>17</v>
          </cell>
        </row>
        <row r="215">
          <cell r="Y215" t="str">
            <v>9904</v>
          </cell>
          <cell r="Z215">
            <v>99</v>
          </cell>
          <cell r="AA215" t="str">
            <v>その他の構築物</v>
          </cell>
          <cell r="AB215">
            <v>4</v>
          </cell>
          <cell r="AC215" t="str">
            <v>ブロック</v>
          </cell>
          <cell r="AD215" t="str">
            <v>その他の構築物ブロック</v>
          </cell>
          <cell r="AE215">
            <v>20</v>
          </cell>
          <cell r="AF215">
            <v>17</v>
          </cell>
        </row>
        <row r="216">
          <cell r="Y216" t="str">
            <v>9905</v>
          </cell>
          <cell r="Z216">
            <v>99</v>
          </cell>
          <cell r="AA216" t="str">
            <v>その他の構築物</v>
          </cell>
          <cell r="AB216">
            <v>5</v>
          </cell>
          <cell r="AC216" t="str">
            <v>金属</v>
          </cell>
          <cell r="AD216" t="str">
            <v>その他の構築物金属</v>
          </cell>
          <cell r="AE216">
            <v>15</v>
          </cell>
          <cell r="AF216">
            <v>14</v>
          </cell>
        </row>
        <row r="217">
          <cell r="Y217" t="str">
            <v>9906</v>
          </cell>
          <cell r="Z217">
            <v>99</v>
          </cell>
          <cell r="AA217" t="str">
            <v>その他の構築物</v>
          </cell>
          <cell r="AB217">
            <v>6</v>
          </cell>
          <cell r="AC217" t="str">
            <v>木造</v>
          </cell>
          <cell r="AD217" t="str">
            <v>その他の構築物木造</v>
          </cell>
          <cell r="AE217">
            <v>5</v>
          </cell>
          <cell r="AF217">
            <v>5</v>
          </cell>
        </row>
        <row r="218">
          <cell r="Y218" t="str">
            <v>9907</v>
          </cell>
          <cell r="Z218">
            <v>99</v>
          </cell>
          <cell r="AA218" t="str">
            <v>その他の構築物</v>
          </cell>
          <cell r="AB218">
            <v>7</v>
          </cell>
          <cell r="AC218" t="str">
            <v>土管</v>
          </cell>
          <cell r="AD218" t="str">
            <v>その他の構築物土管</v>
          </cell>
          <cell r="AE218">
            <v>10</v>
          </cell>
          <cell r="AF218">
            <v>10</v>
          </cell>
        </row>
        <row r="219">
          <cell r="Y219" t="str">
            <v>9908</v>
          </cell>
          <cell r="Z219">
            <v>99</v>
          </cell>
          <cell r="AA219" t="str">
            <v>その他の構築物</v>
          </cell>
          <cell r="AB219">
            <v>8</v>
          </cell>
          <cell r="AC219" t="str">
            <v>合成樹脂</v>
          </cell>
          <cell r="AD219" t="str">
            <v>その他の構築物合成樹脂</v>
          </cell>
          <cell r="AE219">
            <v>8</v>
          </cell>
          <cell r="AF219">
            <v>8</v>
          </cell>
        </row>
        <row r="220">
          <cell r="Y220" t="str">
            <v>9909</v>
          </cell>
          <cell r="Z220">
            <v>99</v>
          </cell>
          <cell r="AA220" t="str">
            <v>その他の構築物</v>
          </cell>
          <cell r="AB220">
            <v>9</v>
          </cell>
          <cell r="AC220" t="str">
            <v>塩化ビニール</v>
          </cell>
          <cell r="AD220" t="str">
            <v>その他の構築物塩化ビニール</v>
          </cell>
          <cell r="AE220">
            <v>8</v>
          </cell>
          <cell r="AF220">
            <v>8</v>
          </cell>
        </row>
        <row r="221">
          <cell r="Y221" t="str">
            <v>9977</v>
          </cell>
          <cell r="Z221">
            <v>99</v>
          </cell>
          <cell r="AA221" t="str">
            <v>その他の構築物</v>
          </cell>
          <cell r="AB221">
            <v>77</v>
          </cell>
          <cell r="AC221" t="str">
            <v>少額資産</v>
          </cell>
          <cell r="AD221" t="str">
            <v>その他の構築物少額資産</v>
          </cell>
          <cell r="AE221">
            <v>3</v>
          </cell>
          <cell r="AF221">
            <v>3</v>
          </cell>
        </row>
        <row r="222">
          <cell r="Y222" t="str">
            <v>9999</v>
          </cell>
          <cell r="Z222">
            <v>99</v>
          </cell>
          <cell r="AA222" t="str">
            <v>その他の構築物</v>
          </cell>
          <cell r="AB222">
            <v>99</v>
          </cell>
          <cell r="AC222" t="str">
            <v>その他</v>
          </cell>
          <cell r="AD222" t="str">
            <v>その他の構築物その他</v>
          </cell>
          <cell r="AE222">
            <v>8</v>
          </cell>
          <cell r="AF222">
            <v>8</v>
          </cell>
        </row>
        <row r="224">
          <cell r="AA224" t="str">
            <v>農機具</v>
          </cell>
          <cell r="AC224" t="str">
            <v>型式</v>
          </cell>
          <cell r="AE224" t="str">
            <v>税制改正前</v>
          </cell>
          <cell r="AF224" t="str">
            <v>税制改正後</v>
          </cell>
        </row>
        <row r="225">
          <cell r="Y225" t="str">
            <v>00177</v>
          </cell>
          <cell r="Z225">
            <v>1</v>
          </cell>
          <cell r="AA225" t="str">
            <v>電動機</v>
          </cell>
          <cell r="AB225">
            <v>77</v>
          </cell>
          <cell r="AC225" t="str">
            <v>少額資産</v>
          </cell>
          <cell r="AD225" t="str">
            <v>電動機少額資産</v>
          </cell>
          <cell r="AE225">
            <v>3</v>
          </cell>
          <cell r="AF225">
            <v>3</v>
          </cell>
        </row>
        <row r="226">
          <cell r="Y226" t="str">
            <v>00199</v>
          </cell>
          <cell r="Z226">
            <v>1</v>
          </cell>
          <cell r="AA226" t="str">
            <v>電動機</v>
          </cell>
          <cell r="AB226">
            <v>99</v>
          </cell>
          <cell r="AC226" t="str">
            <v>その他</v>
          </cell>
          <cell r="AD226" t="str">
            <v>電動機その他</v>
          </cell>
          <cell r="AE226">
            <v>10</v>
          </cell>
          <cell r="AF226">
            <v>7</v>
          </cell>
        </row>
        <row r="227">
          <cell r="Y227" t="str">
            <v>00277</v>
          </cell>
          <cell r="Z227">
            <v>2</v>
          </cell>
          <cell r="AA227" t="str">
            <v>発動機・発電機</v>
          </cell>
          <cell r="AB227">
            <v>77</v>
          </cell>
          <cell r="AC227" t="str">
            <v>少額資産</v>
          </cell>
          <cell r="AD227" t="str">
            <v>発動機・発電機少額資産</v>
          </cell>
          <cell r="AE227">
            <v>3</v>
          </cell>
          <cell r="AF227">
            <v>3</v>
          </cell>
        </row>
        <row r="228">
          <cell r="Y228" t="str">
            <v>00299</v>
          </cell>
          <cell r="Z228">
            <v>2</v>
          </cell>
          <cell r="AA228" t="str">
            <v>発動機・発電機</v>
          </cell>
          <cell r="AB228">
            <v>99</v>
          </cell>
          <cell r="AC228" t="str">
            <v>その他</v>
          </cell>
          <cell r="AD228" t="str">
            <v>発動機・発電機その他</v>
          </cell>
          <cell r="AE228">
            <v>8</v>
          </cell>
          <cell r="AF228">
            <v>7</v>
          </cell>
        </row>
        <row r="229">
          <cell r="Y229" t="str">
            <v>00577</v>
          </cell>
          <cell r="Z229">
            <v>5</v>
          </cell>
          <cell r="AA229" t="str">
            <v>歩行用トラクター</v>
          </cell>
          <cell r="AB229">
            <v>77</v>
          </cell>
          <cell r="AC229" t="str">
            <v>少額資産</v>
          </cell>
          <cell r="AD229" t="str">
            <v>歩行用トラクター少額資産</v>
          </cell>
          <cell r="AE229">
            <v>3</v>
          </cell>
          <cell r="AF229">
            <v>3</v>
          </cell>
        </row>
        <row r="230">
          <cell r="Y230" t="str">
            <v>00599</v>
          </cell>
          <cell r="Z230">
            <v>5</v>
          </cell>
          <cell r="AA230" t="str">
            <v>歩行用トラクター</v>
          </cell>
          <cell r="AB230">
            <v>99</v>
          </cell>
          <cell r="AC230" t="str">
            <v>その他</v>
          </cell>
          <cell r="AD230" t="str">
            <v>歩行用トラクターその他</v>
          </cell>
          <cell r="AE230">
            <v>5</v>
          </cell>
          <cell r="AF230">
            <v>7</v>
          </cell>
        </row>
        <row r="231">
          <cell r="Y231" t="str">
            <v>00677</v>
          </cell>
          <cell r="Z231">
            <v>6</v>
          </cell>
          <cell r="AA231" t="str">
            <v>乗用トラクター</v>
          </cell>
          <cell r="AB231">
            <v>77</v>
          </cell>
          <cell r="AC231" t="str">
            <v>少額資産</v>
          </cell>
          <cell r="AD231" t="str">
            <v>乗用トラクター少額資産</v>
          </cell>
          <cell r="AE231">
            <v>3</v>
          </cell>
          <cell r="AF231">
            <v>3</v>
          </cell>
        </row>
        <row r="232">
          <cell r="Y232" t="str">
            <v>00699</v>
          </cell>
          <cell r="Z232">
            <v>6</v>
          </cell>
          <cell r="AA232" t="str">
            <v>乗用トラクター</v>
          </cell>
          <cell r="AB232">
            <v>99</v>
          </cell>
          <cell r="AC232" t="str">
            <v>その他</v>
          </cell>
          <cell r="AD232" t="str">
            <v>乗用トラクターその他</v>
          </cell>
          <cell r="AE232">
            <v>8</v>
          </cell>
          <cell r="AF232">
            <v>7</v>
          </cell>
        </row>
        <row r="233">
          <cell r="Y233" t="str">
            <v>00777</v>
          </cell>
          <cell r="Z233">
            <v>7</v>
          </cell>
          <cell r="AA233" t="str">
            <v>耕土改良・耕うん・砕土・整地用機具</v>
          </cell>
          <cell r="AB233">
            <v>77</v>
          </cell>
          <cell r="AC233" t="str">
            <v>少額資産</v>
          </cell>
          <cell r="AD233" t="str">
            <v>耕土改良・耕うん・砕土・整地用機具少額資産</v>
          </cell>
          <cell r="AE233">
            <v>3</v>
          </cell>
          <cell r="AF233">
            <v>3</v>
          </cell>
        </row>
        <row r="234">
          <cell r="Y234" t="str">
            <v>00799</v>
          </cell>
          <cell r="Z234">
            <v>7</v>
          </cell>
          <cell r="AA234" t="str">
            <v>耕土改良・耕うん・砕土・整地用機具</v>
          </cell>
          <cell r="AB234">
            <v>99</v>
          </cell>
          <cell r="AC234" t="str">
            <v>その他</v>
          </cell>
          <cell r="AD234" t="str">
            <v>耕土改良・耕うん・砕土・整地用機具その他</v>
          </cell>
          <cell r="AE234">
            <v>5</v>
          </cell>
          <cell r="AF234">
            <v>7</v>
          </cell>
        </row>
        <row r="235">
          <cell r="Y235" t="str">
            <v>01177</v>
          </cell>
          <cell r="Z235">
            <v>11</v>
          </cell>
          <cell r="AA235" t="str">
            <v>畝立・マルチ用機具</v>
          </cell>
          <cell r="AB235">
            <v>77</v>
          </cell>
          <cell r="AC235" t="str">
            <v>少額資産</v>
          </cell>
          <cell r="AD235" t="str">
            <v>畝立・マルチ用機具少額資産</v>
          </cell>
          <cell r="AE235">
            <v>3</v>
          </cell>
          <cell r="AF235">
            <v>3</v>
          </cell>
        </row>
        <row r="236">
          <cell r="Y236" t="str">
            <v>01199</v>
          </cell>
          <cell r="Z236">
            <v>11</v>
          </cell>
          <cell r="AA236" t="str">
            <v>畝立・マルチ用機具</v>
          </cell>
          <cell r="AB236">
            <v>99</v>
          </cell>
          <cell r="AC236" t="str">
            <v>その他</v>
          </cell>
          <cell r="AD236" t="str">
            <v>畝立・マルチ用機具その他</v>
          </cell>
          <cell r="AE236">
            <v>5</v>
          </cell>
          <cell r="AF236">
            <v>7</v>
          </cell>
        </row>
        <row r="237">
          <cell r="Y237" t="str">
            <v>01277</v>
          </cell>
          <cell r="Z237">
            <v>12</v>
          </cell>
          <cell r="AA237" t="str">
            <v>施肥・は種用機具</v>
          </cell>
          <cell r="AB237">
            <v>77</v>
          </cell>
          <cell r="AC237" t="str">
            <v>少額資産</v>
          </cell>
          <cell r="AD237" t="str">
            <v>施肥・は種用機具少額資産</v>
          </cell>
          <cell r="AE237">
            <v>3</v>
          </cell>
          <cell r="AF237">
            <v>3</v>
          </cell>
        </row>
        <row r="238">
          <cell r="Y238" t="str">
            <v>01299</v>
          </cell>
          <cell r="Z238">
            <v>12</v>
          </cell>
          <cell r="AA238" t="str">
            <v>施肥・は種用機具</v>
          </cell>
          <cell r="AB238">
            <v>99</v>
          </cell>
          <cell r="AC238" t="str">
            <v>その他</v>
          </cell>
          <cell r="AD238" t="str">
            <v>施肥・は種用機具その他</v>
          </cell>
          <cell r="AE238">
            <v>5</v>
          </cell>
          <cell r="AF238">
            <v>7</v>
          </cell>
        </row>
        <row r="239">
          <cell r="Y239" t="str">
            <v>01777</v>
          </cell>
          <cell r="Z239">
            <v>17</v>
          </cell>
          <cell r="AA239" t="str">
            <v>移植・育苗用機具</v>
          </cell>
          <cell r="AB239">
            <v>77</v>
          </cell>
          <cell r="AC239" t="str">
            <v>少額資産</v>
          </cell>
          <cell r="AD239" t="str">
            <v>移植・育苗用機具少額資産</v>
          </cell>
          <cell r="AE239">
            <v>3</v>
          </cell>
          <cell r="AF239">
            <v>3</v>
          </cell>
        </row>
        <row r="240">
          <cell r="Y240" t="str">
            <v>01799</v>
          </cell>
          <cell r="Z240">
            <v>17</v>
          </cell>
          <cell r="AA240" t="str">
            <v>移植・育苗用機具</v>
          </cell>
          <cell r="AB240">
            <v>99</v>
          </cell>
          <cell r="AC240" t="str">
            <v>その他</v>
          </cell>
          <cell r="AD240" t="str">
            <v>移植・育苗用機具その他</v>
          </cell>
          <cell r="AE240">
            <v>5</v>
          </cell>
          <cell r="AF240">
            <v>7</v>
          </cell>
        </row>
        <row r="241">
          <cell r="Y241" t="str">
            <v>02177</v>
          </cell>
          <cell r="Z241">
            <v>21</v>
          </cell>
          <cell r="AA241" t="str">
            <v>管理用機具</v>
          </cell>
          <cell r="AB241">
            <v>77</v>
          </cell>
          <cell r="AC241" t="str">
            <v>少額資産</v>
          </cell>
          <cell r="AD241" t="str">
            <v>管理用機具少額資産</v>
          </cell>
          <cell r="AE241">
            <v>3</v>
          </cell>
          <cell r="AF241">
            <v>3</v>
          </cell>
        </row>
        <row r="242">
          <cell r="Y242" t="str">
            <v>02199</v>
          </cell>
          <cell r="Z242">
            <v>21</v>
          </cell>
          <cell r="AA242" t="str">
            <v>管理用機具</v>
          </cell>
          <cell r="AB242">
            <v>99</v>
          </cell>
          <cell r="AC242" t="str">
            <v>その他</v>
          </cell>
          <cell r="AD242" t="str">
            <v>管理用機具その他</v>
          </cell>
          <cell r="AE242">
            <v>5</v>
          </cell>
          <cell r="AF242">
            <v>7</v>
          </cell>
        </row>
        <row r="243">
          <cell r="Y243" t="str">
            <v>02677</v>
          </cell>
          <cell r="Z243">
            <v>26</v>
          </cell>
          <cell r="AA243" t="str">
            <v>防除用機具</v>
          </cell>
          <cell r="AB243">
            <v>77</v>
          </cell>
          <cell r="AC243" t="str">
            <v>少額資産</v>
          </cell>
          <cell r="AD243" t="str">
            <v>防除用機具少額資産</v>
          </cell>
          <cell r="AE243">
            <v>3</v>
          </cell>
          <cell r="AF243">
            <v>3</v>
          </cell>
        </row>
        <row r="244">
          <cell r="Y244" t="str">
            <v>02699</v>
          </cell>
          <cell r="Z244">
            <v>26</v>
          </cell>
          <cell r="AA244" t="str">
            <v>防除用機具</v>
          </cell>
          <cell r="AB244">
            <v>99</v>
          </cell>
          <cell r="AC244" t="str">
            <v>その他</v>
          </cell>
          <cell r="AD244" t="str">
            <v>防除用機具その他</v>
          </cell>
          <cell r="AE244">
            <v>5</v>
          </cell>
          <cell r="AF244">
            <v>7</v>
          </cell>
        </row>
        <row r="245">
          <cell r="Y245" t="str">
            <v>03277</v>
          </cell>
          <cell r="Z245">
            <v>32</v>
          </cell>
          <cell r="AA245" t="str">
            <v>収穫・乾燥・調整用機具</v>
          </cell>
          <cell r="AB245">
            <v>77</v>
          </cell>
          <cell r="AC245" t="str">
            <v>少額資産</v>
          </cell>
          <cell r="AD245" t="str">
            <v>収穫・乾燥・調整用機具少額資産</v>
          </cell>
          <cell r="AE245">
            <v>3</v>
          </cell>
          <cell r="AF245">
            <v>3</v>
          </cell>
        </row>
        <row r="246">
          <cell r="Y246" t="str">
            <v>03299</v>
          </cell>
          <cell r="Z246">
            <v>32</v>
          </cell>
          <cell r="AA246" t="str">
            <v>収穫・乾燥・調整用機具</v>
          </cell>
          <cell r="AB246">
            <v>99</v>
          </cell>
          <cell r="AC246" t="str">
            <v>その他</v>
          </cell>
          <cell r="AD246" t="str">
            <v>収穫・乾燥・調整用機具その他</v>
          </cell>
          <cell r="AE246">
            <v>5</v>
          </cell>
          <cell r="AF246">
            <v>7</v>
          </cell>
        </row>
        <row r="247">
          <cell r="Y247" t="str">
            <v>03477</v>
          </cell>
          <cell r="Z247">
            <v>34</v>
          </cell>
          <cell r="AA247" t="str">
            <v>普通型コンバイン</v>
          </cell>
          <cell r="AB247">
            <v>77</v>
          </cell>
          <cell r="AC247" t="str">
            <v>少額資産</v>
          </cell>
          <cell r="AD247" t="str">
            <v>普通型コンバイン少額資産</v>
          </cell>
          <cell r="AE247">
            <v>3</v>
          </cell>
          <cell r="AF247">
            <v>3</v>
          </cell>
        </row>
        <row r="248">
          <cell r="Y248" t="str">
            <v>03499</v>
          </cell>
          <cell r="Z248">
            <v>34</v>
          </cell>
          <cell r="AA248" t="str">
            <v>普通型コンバイン</v>
          </cell>
          <cell r="AB248">
            <v>99</v>
          </cell>
          <cell r="AC248" t="str">
            <v>その他</v>
          </cell>
          <cell r="AD248" t="str">
            <v>普通型コンバインその他</v>
          </cell>
          <cell r="AE248">
            <v>8</v>
          </cell>
          <cell r="AF248">
            <v>7</v>
          </cell>
        </row>
        <row r="249">
          <cell r="Y249" t="str">
            <v>04277</v>
          </cell>
          <cell r="Z249">
            <v>42</v>
          </cell>
          <cell r="AA249" t="str">
            <v>自動脱穀機</v>
          </cell>
          <cell r="AB249">
            <v>77</v>
          </cell>
          <cell r="AC249" t="str">
            <v>少額資産</v>
          </cell>
          <cell r="AD249" t="str">
            <v>自動脱穀機少額資産</v>
          </cell>
          <cell r="AE249">
            <v>3</v>
          </cell>
          <cell r="AF249">
            <v>3</v>
          </cell>
        </row>
        <row r="250">
          <cell r="Y250" t="str">
            <v>04299</v>
          </cell>
          <cell r="Z250">
            <v>42</v>
          </cell>
          <cell r="AA250" t="str">
            <v>自動脱穀機</v>
          </cell>
          <cell r="AB250">
            <v>99</v>
          </cell>
          <cell r="AC250" t="str">
            <v>その他</v>
          </cell>
          <cell r="AD250" t="str">
            <v>自動脱穀機その他</v>
          </cell>
          <cell r="AE250">
            <v>8</v>
          </cell>
          <cell r="AF250">
            <v>7</v>
          </cell>
        </row>
        <row r="251">
          <cell r="Y251" t="str">
            <v>04477</v>
          </cell>
          <cell r="Z251">
            <v>44</v>
          </cell>
          <cell r="AA251" t="str">
            <v>選別機</v>
          </cell>
          <cell r="AB251">
            <v>77</v>
          </cell>
          <cell r="AC251" t="str">
            <v>少額資産</v>
          </cell>
          <cell r="AD251" t="str">
            <v>選別機少額資産</v>
          </cell>
          <cell r="AE251">
            <v>3</v>
          </cell>
          <cell r="AF251">
            <v>3</v>
          </cell>
        </row>
        <row r="252">
          <cell r="Y252" t="str">
            <v>04499</v>
          </cell>
          <cell r="Z252">
            <v>44</v>
          </cell>
          <cell r="AA252" t="str">
            <v>選別機</v>
          </cell>
          <cell r="AB252">
            <v>99</v>
          </cell>
          <cell r="AC252" t="str">
            <v>その他</v>
          </cell>
          <cell r="AD252" t="str">
            <v>選別機その他</v>
          </cell>
          <cell r="AE252">
            <v>8</v>
          </cell>
          <cell r="AF252">
            <v>7</v>
          </cell>
        </row>
        <row r="253">
          <cell r="Y253" t="str">
            <v>04577</v>
          </cell>
          <cell r="Z253">
            <v>45</v>
          </cell>
          <cell r="AA253" t="str">
            <v>皮剥機</v>
          </cell>
          <cell r="AB253">
            <v>77</v>
          </cell>
          <cell r="AC253" t="str">
            <v>少額資産</v>
          </cell>
          <cell r="AD253" t="str">
            <v>皮剥機少額資産</v>
          </cell>
          <cell r="AE253">
            <v>3</v>
          </cell>
          <cell r="AF253">
            <v>3</v>
          </cell>
        </row>
        <row r="254">
          <cell r="Y254" t="str">
            <v>04599</v>
          </cell>
          <cell r="Z254">
            <v>45</v>
          </cell>
          <cell r="AA254" t="str">
            <v>皮剥機</v>
          </cell>
          <cell r="AB254">
            <v>99</v>
          </cell>
          <cell r="AC254" t="str">
            <v>その他</v>
          </cell>
          <cell r="AD254" t="str">
            <v>皮剥機その他</v>
          </cell>
          <cell r="AE254">
            <v>8</v>
          </cell>
          <cell r="AF254">
            <v>7</v>
          </cell>
        </row>
        <row r="255">
          <cell r="Y255" t="str">
            <v>04877</v>
          </cell>
          <cell r="Z255">
            <v>48</v>
          </cell>
          <cell r="AA255" t="str">
            <v>乾燥機</v>
          </cell>
          <cell r="AB255">
            <v>77</v>
          </cell>
          <cell r="AC255" t="str">
            <v>少額資産</v>
          </cell>
          <cell r="AD255" t="str">
            <v>乾燥機少額資産</v>
          </cell>
          <cell r="AE255">
            <v>3</v>
          </cell>
          <cell r="AF255">
            <v>3</v>
          </cell>
        </row>
        <row r="256">
          <cell r="Y256" t="str">
            <v>04899</v>
          </cell>
          <cell r="Z256">
            <v>48</v>
          </cell>
          <cell r="AA256" t="str">
            <v>乾燥機</v>
          </cell>
          <cell r="AB256">
            <v>99</v>
          </cell>
          <cell r="AC256" t="str">
            <v>その他</v>
          </cell>
          <cell r="AD256" t="str">
            <v>乾燥機その他</v>
          </cell>
          <cell r="AE256">
            <v>8</v>
          </cell>
          <cell r="AF256">
            <v>7</v>
          </cell>
        </row>
        <row r="257">
          <cell r="Y257" t="str">
            <v>04977</v>
          </cell>
          <cell r="Z257">
            <v>49</v>
          </cell>
          <cell r="AA257" t="str">
            <v>もみすり機</v>
          </cell>
          <cell r="AB257">
            <v>77</v>
          </cell>
          <cell r="AC257" t="str">
            <v>少額資産</v>
          </cell>
          <cell r="AD257" t="str">
            <v>もみすり機少額資産</v>
          </cell>
          <cell r="AE257">
            <v>3</v>
          </cell>
          <cell r="AF257">
            <v>3</v>
          </cell>
        </row>
        <row r="258">
          <cell r="Y258" t="str">
            <v>04999</v>
          </cell>
          <cell r="Z258">
            <v>49</v>
          </cell>
          <cell r="AA258" t="str">
            <v>もみすり機</v>
          </cell>
          <cell r="AB258">
            <v>99</v>
          </cell>
          <cell r="AC258" t="str">
            <v>その他</v>
          </cell>
          <cell r="AD258" t="str">
            <v>もみすり機その他</v>
          </cell>
          <cell r="AE258">
            <v>8</v>
          </cell>
          <cell r="AF258">
            <v>7</v>
          </cell>
        </row>
        <row r="259">
          <cell r="Y259" t="str">
            <v>08177</v>
          </cell>
          <cell r="Z259">
            <v>81</v>
          </cell>
          <cell r="AA259" t="str">
            <v>運搬用機具</v>
          </cell>
          <cell r="AB259">
            <v>77</v>
          </cell>
          <cell r="AC259" t="str">
            <v>少額資産</v>
          </cell>
          <cell r="AD259" t="str">
            <v>運搬用機具少額資産</v>
          </cell>
          <cell r="AE259">
            <v>3</v>
          </cell>
          <cell r="AF259">
            <v>3</v>
          </cell>
        </row>
        <row r="260">
          <cell r="Y260" t="str">
            <v>08199</v>
          </cell>
          <cell r="Z260">
            <v>81</v>
          </cell>
          <cell r="AA260" t="str">
            <v>運搬用機具</v>
          </cell>
          <cell r="AB260">
            <v>99</v>
          </cell>
          <cell r="AC260" t="str">
            <v>その他</v>
          </cell>
          <cell r="AD260" t="str">
            <v>運搬用機具その他</v>
          </cell>
          <cell r="AE260">
            <v>4</v>
          </cell>
          <cell r="AF260">
            <v>4</v>
          </cell>
        </row>
        <row r="261">
          <cell r="Y261" t="str">
            <v>08477</v>
          </cell>
          <cell r="Z261">
            <v>84</v>
          </cell>
          <cell r="AA261" t="str">
            <v>冷蔵庫</v>
          </cell>
          <cell r="AB261">
            <v>77</v>
          </cell>
          <cell r="AC261" t="str">
            <v>少額資産</v>
          </cell>
          <cell r="AD261" t="str">
            <v>冷蔵庫少額資産</v>
          </cell>
          <cell r="AE261">
            <v>3</v>
          </cell>
          <cell r="AF261">
            <v>3</v>
          </cell>
        </row>
        <row r="262">
          <cell r="Y262" t="str">
            <v>08499</v>
          </cell>
          <cell r="Z262">
            <v>84</v>
          </cell>
          <cell r="AA262" t="str">
            <v>冷蔵庫</v>
          </cell>
          <cell r="AB262">
            <v>99</v>
          </cell>
          <cell r="AC262" t="str">
            <v>その他</v>
          </cell>
          <cell r="AD262" t="str">
            <v>冷蔵庫その他</v>
          </cell>
          <cell r="AE262">
            <v>6</v>
          </cell>
          <cell r="AF262">
            <v>6</v>
          </cell>
        </row>
        <row r="263">
          <cell r="Y263" t="str">
            <v>08577</v>
          </cell>
          <cell r="Z263">
            <v>85</v>
          </cell>
          <cell r="AA263" t="str">
            <v>暖房機</v>
          </cell>
          <cell r="AB263">
            <v>77</v>
          </cell>
          <cell r="AC263" t="str">
            <v>少額資産</v>
          </cell>
          <cell r="AD263" t="str">
            <v>暖房機少額資産</v>
          </cell>
          <cell r="AE263">
            <v>3</v>
          </cell>
          <cell r="AF263">
            <v>3</v>
          </cell>
        </row>
        <row r="264">
          <cell r="Y264" t="str">
            <v>08599</v>
          </cell>
          <cell r="Z264">
            <v>85</v>
          </cell>
          <cell r="AA264" t="str">
            <v>暖房機</v>
          </cell>
          <cell r="AB264">
            <v>99</v>
          </cell>
          <cell r="AC264" t="str">
            <v>その他</v>
          </cell>
          <cell r="AD264" t="str">
            <v>暖房機その他</v>
          </cell>
          <cell r="AE264">
            <v>5</v>
          </cell>
          <cell r="AF264">
            <v>7</v>
          </cell>
        </row>
        <row r="265">
          <cell r="Y265" t="str">
            <v>09901</v>
          </cell>
          <cell r="Z265">
            <v>99</v>
          </cell>
          <cell r="AA265" t="str">
            <v>その他の農機具</v>
          </cell>
          <cell r="AB265">
            <v>1</v>
          </cell>
          <cell r="AC265" t="str">
            <v>その他・耐用年数３年</v>
          </cell>
          <cell r="AD265" t="str">
            <v>その他の農機具その他・耐用年数３年</v>
          </cell>
          <cell r="AE265">
            <v>3</v>
          </cell>
          <cell r="AF265">
            <v>3</v>
          </cell>
        </row>
        <row r="266">
          <cell r="Y266" t="str">
            <v>09902</v>
          </cell>
          <cell r="Z266">
            <v>99</v>
          </cell>
          <cell r="AA266" t="str">
            <v>その他の農機具</v>
          </cell>
          <cell r="AB266">
            <v>2</v>
          </cell>
          <cell r="AC266" t="str">
            <v>その他・耐用年数４年</v>
          </cell>
          <cell r="AD266" t="str">
            <v>その他の農機具その他・耐用年数４年</v>
          </cell>
          <cell r="AE266">
            <v>4</v>
          </cell>
          <cell r="AF266">
            <v>4</v>
          </cell>
        </row>
        <row r="267">
          <cell r="Y267" t="str">
            <v>09903</v>
          </cell>
          <cell r="Z267">
            <v>99</v>
          </cell>
          <cell r="AA267" t="str">
            <v>その他の農機具</v>
          </cell>
          <cell r="AB267">
            <v>3</v>
          </cell>
          <cell r="AC267" t="str">
            <v>その他・耐用年数５年</v>
          </cell>
          <cell r="AD267" t="str">
            <v>その他の農機具その他・耐用年数５年</v>
          </cell>
          <cell r="AE267">
            <v>5</v>
          </cell>
          <cell r="AF267">
            <v>5</v>
          </cell>
        </row>
        <row r="268">
          <cell r="Y268" t="str">
            <v>09904</v>
          </cell>
          <cell r="Z268">
            <v>99</v>
          </cell>
          <cell r="AA268" t="str">
            <v>その他の農機具</v>
          </cell>
          <cell r="AB268">
            <v>4</v>
          </cell>
          <cell r="AC268" t="str">
            <v>その他・耐用年数６年</v>
          </cell>
          <cell r="AD268" t="str">
            <v>その他の農機具その他・耐用年数６年</v>
          </cell>
          <cell r="AE268">
            <v>6</v>
          </cell>
          <cell r="AF268">
            <v>6</v>
          </cell>
        </row>
        <row r="269">
          <cell r="Y269" t="str">
            <v>09905</v>
          </cell>
          <cell r="Z269">
            <v>99</v>
          </cell>
          <cell r="AA269" t="str">
            <v>その他の農機具</v>
          </cell>
          <cell r="AB269">
            <v>5</v>
          </cell>
          <cell r="AC269" t="str">
            <v>その他・耐用年数７年</v>
          </cell>
          <cell r="AD269" t="str">
            <v>その他の農機具その他・耐用年数７年</v>
          </cell>
          <cell r="AE269">
            <v>7</v>
          </cell>
          <cell r="AF269">
            <v>7</v>
          </cell>
        </row>
        <row r="270">
          <cell r="Y270" t="str">
            <v>09977</v>
          </cell>
          <cell r="Z270">
            <v>99</v>
          </cell>
          <cell r="AA270" t="str">
            <v>その他の農機具</v>
          </cell>
          <cell r="AB270">
            <v>77</v>
          </cell>
          <cell r="AC270" t="str">
            <v>少額資産</v>
          </cell>
          <cell r="AD270" t="str">
            <v>その他の農機具少額資産</v>
          </cell>
          <cell r="AE270">
            <v>3</v>
          </cell>
          <cell r="AF270">
            <v>3</v>
          </cell>
        </row>
        <row r="271">
          <cell r="Y271" t="str">
            <v>10177</v>
          </cell>
          <cell r="Z271">
            <v>101</v>
          </cell>
          <cell r="AA271" t="str">
            <v>パソコン(ｻｰﾊﾞｰ用除く)</v>
          </cell>
          <cell r="AB271">
            <v>77</v>
          </cell>
          <cell r="AC271" t="str">
            <v>少額資産</v>
          </cell>
          <cell r="AD271" t="str">
            <v>パソコン(ｻｰﾊﾞｰ用除く)少額資産</v>
          </cell>
          <cell r="AE271">
            <v>3</v>
          </cell>
          <cell r="AF271">
            <v>3</v>
          </cell>
        </row>
        <row r="272">
          <cell r="Y272" t="str">
            <v>10199</v>
          </cell>
          <cell r="Z272">
            <v>101</v>
          </cell>
          <cell r="AA272" t="str">
            <v>パソコン(ｻｰﾊﾞｰ用除く)</v>
          </cell>
          <cell r="AB272">
            <v>99</v>
          </cell>
          <cell r="AC272" t="str">
            <v>その他</v>
          </cell>
          <cell r="AD272" t="str">
            <v>パソコン(ｻｰﾊﾞｰ用除く)その他</v>
          </cell>
          <cell r="AE272">
            <v>4</v>
          </cell>
          <cell r="AF272">
            <v>4</v>
          </cell>
        </row>
        <row r="273">
          <cell r="Y273" t="str">
            <v>10377</v>
          </cell>
          <cell r="Z273">
            <v>103</v>
          </cell>
          <cell r="AA273" t="str">
            <v>ソフトウェア</v>
          </cell>
          <cell r="AB273">
            <v>77</v>
          </cell>
          <cell r="AC273" t="str">
            <v>少額資産</v>
          </cell>
          <cell r="AD273" t="str">
            <v>ソフトウェア少額資産</v>
          </cell>
          <cell r="AE273">
            <v>3</v>
          </cell>
          <cell r="AF273">
            <v>3</v>
          </cell>
        </row>
        <row r="274">
          <cell r="Y274" t="str">
            <v>10399</v>
          </cell>
          <cell r="Z274">
            <v>103</v>
          </cell>
          <cell r="AA274" t="str">
            <v>ソフトウェア</v>
          </cell>
          <cell r="AB274">
            <v>99</v>
          </cell>
          <cell r="AC274" t="str">
            <v>その他</v>
          </cell>
          <cell r="AD274" t="str">
            <v>ソフトウェアその他</v>
          </cell>
          <cell r="AE274">
            <v>3</v>
          </cell>
          <cell r="AF274">
            <v>3</v>
          </cell>
        </row>
        <row r="275">
          <cell r="Y275" t="str">
            <v>11001</v>
          </cell>
          <cell r="Z275">
            <v>110</v>
          </cell>
          <cell r="AA275" t="str">
            <v>企画管理機器</v>
          </cell>
          <cell r="AB275">
            <v>1</v>
          </cell>
          <cell r="AC275" t="str">
            <v>その他・耐用年数３年</v>
          </cell>
          <cell r="AD275" t="str">
            <v>企画管理機器その他・耐用年数３年</v>
          </cell>
          <cell r="AE275">
            <v>3</v>
          </cell>
          <cell r="AF275">
            <v>3</v>
          </cell>
        </row>
        <row r="276">
          <cell r="Y276" t="str">
            <v>11002</v>
          </cell>
          <cell r="Z276">
            <v>110</v>
          </cell>
          <cell r="AA276" t="str">
            <v>企画管理機器</v>
          </cell>
          <cell r="AB276">
            <v>2</v>
          </cell>
          <cell r="AC276" t="str">
            <v>その他・耐用年数４年</v>
          </cell>
          <cell r="AD276" t="str">
            <v>企画管理機器その他・耐用年数４年</v>
          </cell>
          <cell r="AE276">
            <v>4</v>
          </cell>
          <cell r="AF276">
            <v>4</v>
          </cell>
        </row>
        <row r="277">
          <cell r="Y277" t="str">
            <v>11003</v>
          </cell>
          <cell r="Z277">
            <v>110</v>
          </cell>
          <cell r="AA277" t="str">
            <v>企画管理機器</v>
          </cell>
          <cell r="AB277">
            <v>3</v>
          </cell>
          <cell r="AC277" t="str">
            <v>その他・耐用年数５年</v>
          </cell>
          <cell r="AD277" t="str">
            <v>企画管理機器その他・耐用年数５年</v>
          </cell>
          <cell r="AE277">
            <v>5</v>
          </cell>
          <cell r="AF277">
            <v>5</v>
          </cell>
        </row>
        <row r="278">
          <cell r="Y278" t="str">
            <v>11004</v>
          </cell>
          <cell r="Z278">
            <v>110</v>
          </cell>
          <cell r="AA278" t="str">
            <v>企画管理機器</v>
          </cell>
          <cell r="AB278">
            <v>4</v>
          </cell>
          <cell r="AC278" t="str">
            <v>その他・耐用年数６年</v>
          </cell>
          <cell r="AD278" t="str">
            <v>企画管理機器その他・耐用年数６年</v>
          </cell>
          <cell r="AE278">
            <v>6</v>
          </cell>
          <cell r="AF278">
            <v>6</v>
          </cell>
        </row>
        <row r="279">
          <cell r="Y279" t="str">
            <v>11005</v>
          </cell>
          <cell r="Z279">
            <v>110</v>
          </cell>
          <cell r="AA279" t="str">
            <v>企画管理機器</v>
          </cell>
          <cell r="AB279">
            <v>5</v>
          </cell>
          <cell r="AC279" t="str">
            <v>その他・耐用年数７年</v>
          </cell>
          <cell r="AD279" t="str">
            <v>企画管理機器その他・耐用年数７年</v>
          </cell>
          <cell r="AE279">
            <v>7</v>
          </cell>
          <cell r="AF279">
            <v>7</v>
          </cell>
        </row>
        <row r="280">
          <cell r="Y280" t="str">
            <v>11077</v>
          </cell>
          <cell r="Z280">
            <v>110</v>
          </cell>
          <cell r="AA280" t="str">
            <v>企画管理機器</v>
          </cell>
          <cell r="AB280">
            <v>77</v>
          </cell>
          <cell r="AC280" t="str">
            <v>少額資産</v>
          </cell>
          <cell r="AD280" t="str">
            <v>企画管理機器少額資産</v>
          </cell>
          <cell r="AE280">
            <v>3</v>
          </cell>
          <cell r="AF280">
            <v>3</v>
          </cell>
        </row>
        <row r="282">
          <cell r="AA282" t="str">
            <v>自動車</v>
          </cell>
          <cell r="AC282" t="str">
            <v>型式</v>
          </cell>
          <cell r="AE282" t="str">
            <v>税制改正前</v>
          </cell>
          <cell r="AF282" t="str">
            <v>税制改正後</v>
          </cell>
        </row>
        <row r="283">
          <cell r="Y283" t="str">
            <v>20177</v>
          </cell>
          <cell r="Z283">
            <v>201</v>
          </cell>
          <cell r="AA283" t="str">
            <v>自動二・三輪</v>
          </cell>
          <cell r="AB283">
            <v>77</v>
          </cell>
          <cell r="AC283" t="str">
            <v>少額資産</v>
          </cell>
          <cell r="AD283" t="str">
            <v>自動二・三輪少額資産</v>
          </cell>
          <cell r="AE283">
            <v>3</v>
          </cell>
          <cell r="AF283">
            <v>3</v>
          </cell>
        </row>
        <row r="284">
          <cell r="Y284" t="str">
            <v>20199</v>
          </cell>
          <cell r="Z284">
            <v>201</v>
          </cell>
          <cell r="AA284" t="str">
            <v>自動二・三輪</v>
          </cell>
          <cell r="AB284">
            <v>99</v>
          </cell>
          <cell r="AC284" t="str">
            <v>その他</v>
          </cell>
          <cell r="AD284" t="str">
            <v>自動二・三輪その他</v>
          </cell>
          <cell r="AE284">
            <v>3</v>
          </cell>
          <cell r="AF284">
            <v>3</v>
          </cell>
        </row>
        <row r="285">
          <cell r="Y285" t="str">
            <v>20277</v>
          </cell>
          <cell r="Z285">
            <v>202</v>
          </cell>
          <cell r="AA285" t="str">
            <v>軽自動車</v>
          </cell>
          <cell r="AB285">
            <v>77</v>
          </cell>
          <cell r="AC285" t="str">
            <v>少額資産</v>
          </cell>
          <cell r="AD285" t="str">
            <v>軽自動車少額資産</v>
          </cell>
          <cell r="AE285">
            <v>3</v>
          </cell>
          <cell r="AF285">
            <v>3</v>
          </cell>
        </row>
        <row r="286">
          <cell r="Y286" t="str">
            <v>20299</v>
          </cell>
          <cell r="Z286">
            <v>202</v>
          </cell>
          <cell r="AA286" t="str">
            <v>軽自動車</v>
          </cell>
          <cell r="AB286">
            <v>99</v>
          </cell>
          <cell r="AC286" t="str">
            <v>その他</v>
          </cell>
          <cell r="AD286" t="str">
            <v>軽自動車その他</v>
          </cell>
          <cell r="AE286">
            <v>4</v>
          </cell>
          <cell r="AF286">
            <v>4</v>
          </cell>
        </row>
        <row r="287">
          <cell r="Y287" t="str">
            <v>20377</v>
          </cell>
          <cell r="Z287">
            <v>203</v>
          </cell>
          <cell r="AA287" t="str">
            <v>貨物ダンプ</v>
          </cell>
          <cell r="AB287">
            <v>77</v>
          </cell>
          <cell r="AC287" t="str">
            <v>少額資産</v>
          </cell>
          <cell r="AD287" t="str">
            <v>貨物ダンプ少額資産</v>
          </cell>
          <cell r="AE287">
            <v>3</v>
          </cell>
          <cell r="AF287">
            <v>3</v>
          </cell>
        </row>
        <row r="288">
          <cell r="Y288" t="str">
            <v>20399</v>
          </cell>
          <cell r="Z288">
            <v>203</v>
          </cell>
          <cell r="AA288" t="str">
            <v>貨物ダンプ</v>
          </cell>
          <cell r="AB288">
            <v>99</v>
          </cell>
          <cell r="AC288" t="str">
            <v>その他</v>
          </cell>
          <cell r="AD288" t="str">
            <v>貨物ダンプその他</v>
          </cell>
          <cell r="AE288">
            <v>4</v>
          </cell>
          <cell r="AF288">
            <v>4</v>
          </cell>
        </row>
        <row r="289">
          <cell r="Y289" t="str">
            <v>20477</v>
          </cell>
          <cell r="Z289">
            <v>204</v>
          </cell>
          <cell r="AA289" t="str">
            <v>貨物自動車</v>
          </cell>
          <cell r="AB289">
            <v>77</v>
          </cell>
          <cell r="AC289" t="str">
            <v>少額資産</v>
          </cell>
          <cell r="AD289" t="str">
            <v>貨物自動車少額資産</v>
          </cell>
          <cell r="AE289">
            <v>3</v>
          </cell>
          <cell r="AF289">
            <v>3</v>
          </cell>
        </row>
        <row r="290">
          <cell r="Y290" t="str">
            <v>20499</v>
          </cell>
          <cell r="Z290">
            <v>204</v>
          </cell>
          <cell r="AA290" t="str">
            <v>貨物自動車</v>
          </cell>
          <cell r="AB290">
            <v>99</v>
          </cell>
          <cell r="AC290" t="str">
            <v>その他</v>
          </cell>
          <cell r="AD290" t="str">
            <v>貨物自動車その他</v>
          </cell>
          <cell r="AE290">
            <v>5</v>
          </cell>
          <cell r="AF290">
            <v>5</v>
          </cell>
        </row>
        <row r="291">
          <cell r="Y291" t="str">
            <v>20577</v>
          </cell>
          <cell r="Z291">
            <v>205</v>
          </cell>
          <cell r="AA291" t="str">
            <v>乗用車</v>
          </cell>
          <cell r="AB291">
            <v>77</v>
          </cell>
          <cell r="AC291" t="str">
            <v>少額資産</v>
          </cell>
          <cell r="AD291" t="str">
            <v>乗用車少額資産</v>
          </cell>
          <cell r="AE291">
            <v>3</v>
          </cell>
          <cell r="AF291">
            <v>3</v>
          </cell>
        </row>
        <row r="292">
          <cell r="Y292" t="str">
            <v>20599</v>
          </cell>
          <cell r="Z292">
            <v>205</v>
          </cell>
          <cell r="AA292" t="str">
            <v>乗用車</v>
          </cell>
          <cell r="AB292">
            <v>99</v>
          </cell>
          <cell r="AC292" t="str">
            <v>その他</v>
          </cell>
          <cell r="AD292" t="str">
            <v>乗用車その他</v>
          </cell>
          <cell r="AE292">
            <v>6</v>
          </cell>
          <cell r="AF292">
            <v>6</v>
          </cell>
        </row>
        <row r="294">
          <cell r="AA294" t="str">
            <v>牛</v>
          </cell>
          <cell r="AC294" t="str">
            <v>品種</v>
          </cell>
          <cell r="AD294" t="str">
            <v>性別</v>
          </cell>
          <cell r="AE294" t="str">
            <v>税制改正前</v>
          </cell>
          <cell r="AF294" t="str">
            <v>税制改正後</v>
          </cell>
        </row>
        <row r="295">
          <cell r="Y295" t="str">
            <v>020101</v>
          </cell>
          <cell r="Z295">
            <v>2</v>
          </cell>
          <cell r="AA295" t="str">
            <v>繁殖牛</v>
          </cell>
          <cell r="AB295">
            <v>1</v>
          </cell>
          <cell r="AC295" t="str">
            <v>ホルスタイン</v>
          </cell>
          <cell r="AD295">
            <v>1</v>
          </cell>
          <cell r="AE295">
            <v>4</v>
          </cell>
          <cell r="AF295">
            <v>4</v>
          </cell>
        </row>
        <row r="296">
          <cell r="Y296" t="str">
            <v>020201</v>
          </cell>
          <cell r="Z296">
            <v>2</v>
          </cell>
          <cell r="AA296" t="str">
            <v>繁殖牛</v>
          </cell>
          <cell r="AB296">
            <v>2</v>
          </cell>
          <cell r="AC296" t="str">
            <v>ジャージー</v>
          </cell>
          <cell r="AD296">
            <v>1</v>
          </cell>
          <cell r="AE296">
            <v>4</v>
          </cell>
          <cell r="AF296">
            <v>4</v>
          </cell>
        </row>
        <row r="297">
          <cell r="Y297" t="str">
            <v>020301</v>
          </cell>
          <cell r="Z297">
            <v>2</v>
          </cell>
          <cell r="AA297" t="str">
            <v>繁殖牛</v>
          </cell>
          <cell r="AB297">
            <v>3</v>
          </cell>
          <cell r="AC297" t="str">
            <v>その他乳用種</v>
          </cell>
          <cell r="AD297">
            <v>1</v>
          </cell>
          <cell r="AE297">
            <v>4</v>
          </cell>
          <cell r="AF297">
            <v>4</v>
          </cell>
        </row>
        <row r="298">
          <cell r="Y298" t="str">
            <v>020501</v>
          </cell>
          <cell r="Z298">
            <v>2</v>
          </cell>
          <cell r="AA298" t="str">
            <v>繁殖牛</v>
          </cell>
          <cell r="AB298">
            <v>5</v>
          </cell>
          <cell r="AC298" t="str">
            <v>黒毛和種</v>
          </cell>
          <cell r="AD298">
            <v>1</v>
          </cell>
          <cell r="AE298">
            <v>4</v>
          </cell>
          <cell r="AF298">
            <v>4</v>
          </cell>
        </row>
        <row r="299">
          <cell r="Y299" t="str">
            <v>020601</v>
          </cell>
          <cell r="Z299">
            <v>2</v>
          </cell>
          <cell r="AA299" t="str">
            <v>繁殖牛</v>
          </cell>
          <cell r="AB299">
            <v>6</v>
          </cell>
          <cell r="AC299" t="str">
            <v>褐毛和種</v>
          </cell>
          <cell r="AD299">
            <v>1</v>
          </cell>
          <cell r="AE299">
            <v>4</v>
          </cell>
          <cell r="AF299">
            <v>4</v>
          </cell>
        </row>
        <row r="300">
          <cell r="Y300" t="str">
            <v>020701</v>
          </cell>
          <cell r="Z300">
            <v>2</v>
          </cell>
          <cell r="AA300" t="str">
            <v>繁殖牛</v>
          </cell>
          <cell r="AB300">
            <v>7</v>
          </cell>
          <cell r="AC300" t="str">
            <v>日本短角種</v>
          </cell>
          <cell r="AD300">
            <v>1</v>
          </cell>
          <cell r="AE300">
            <v>4</v>
          </cell>
          <cell r="AF300">
            <v>4</v>
          </cell>
        </row>
        <row r="301">
          <cell r="Y301" t="str">
            <v>020801</v>
          </cell>
          <cell r="Z301">
            <v>2</v>
          </cell>
          <cell r="AA301" t="str">
            <v>繁殖牛</v>
          </cell>
          <cell r="AB301">
            <v>8</v>
          </cell>
          <cell r="AC301" t="str">
            <v>無角和種</v>
          </cell>
          <cell r="AD301">
            <v>1</v>
          </cell>
          <cell r="AE301">
            <v>4</v>
          </cell>
          <cell r="AF301">
            <v>4</v>
          </cell>
        </row>
        <row r="302">
          <cell r="Y302" t="str">
            <v>020901</v>
          </cell>
          <cell r="Z302">
            <v>2</v>
          </cell>
          <cell r="AA302" t="str">
            <v>繁殖牛</v>
          </cell>
          <cell r="AB302">
            <v>9</v>
          </cell>
          <cell r="AC302" t="str">
            <v>外国種①</v>
          </cell>
          <cell r="AD302">
            <v>1</v>
          </cell>
          <cell r="AE302">
            <v>4</v>
          </cell>
          <cell r="AF302">
            <v>4</v>
          </cell>
        </row>
        <row r="303">
          <cell r="Y303" t="str">
            <v>021001</v>
          </cell>
          <cell r="Z303">
            <v>2</v>
          </cell>
          <cell r="AA303" t="str">
            <v>繁殖牛</v>
          </cell>
          <cell r="AB303">
            <v>10</v>
          </cell>
          <cell r="AC303" t="str">
            <v>外国種②</v>
          </cell>
          <cell r="AD303">
            <v>1</v>
          </cell>
          <cell r="AE303">
            <v>4</v>
          </cell>
          <cell r="AF303">
            <v>4</v>
          </cell>
        </row>
        <row r="304">
          <cell r="Y304" t="str">
            <v>029901</v>
          </cell>
          <cell r="Z304">
            <v>2</v>
          </cell>
          <cell r="AA304" t="str">
            <v>繁殖牛</v>
          </cell>
          <cell r="AB304">
            <v>99</v>
          </cell>
          <cell r="AC304" t="str">
            <v>その他</v>
          </cell>
          <cell r="AD304">
            <v>1</v>
          </cell>
          <cell r="AE304">
            <v>6</v>
          </cell>
          <cell r="AF304">
            <v>6</v>
          </cell>
        </row>
        <row r="305">
          <cell r="Y305" t="str">
            <v>020102</v>
          </cell>
          <cell r="Z305">
            <v>2</v>
          </cell>
          <cell r="AA305" t="str">
            <v>繁殖牛</v>
          </cell>
          <cell r="AB305">
            <v>1</v>
          </cell>
          <cell r="AC305" t="str">
            <v>ホルスタイン</v>
          </cell>
          <cell r="AD305">
            <v>2</v>
          </cell>
          <cell r="AE305">
            <v>4</v>
          </cell>
          <cell r="AF305">
            <v>4</v>
          </cell>
        </row>
        <row r="306">
          <cell r="Y306" t="str">
            <v>020202</v>
          </cell>
          <cell r="Z306">
            <v>2</v>
          </cell>
          <cell r="AA306" t="str">
            <v>繁殖牛</v>
          </cell>
          <cell r="AB306">
            <v>2</v>
          </cell>
          <cell r="AC306" t="str">
            <v>ジャージー</v>
          </cell>
          <cell r="AD306">
            <v>2</v>
          </cell>
          <cell r="AE306">
            <v>4</v>
          </cell>
          <cell r="AF306">
            <v>4</v>
          </cell>
        </row>
        <row r="307">
          <cell r="Y307" t="str">
            <v>020302</v>
          </cell>
          <cell r="Z307">
            <v>2</v>
          </cell>
          <cell r="AA307" t="str">
            <v>繁殖牛</v>
          </cell>
          <cell r="AB307">
            <v>3</v>
          </cell>
          <cell r="AC307" t="str">
            <v>その他乳用種</v>
          </cell>
          <cell r="AD307">
            <v>2</v>
          </cell>
          <cell r="AE307">
            <v>4</v>
          </cell>
          <cell r="AF307">
            <v>4</v>
          </cell>
        </row>
        <row r="308">
          <cell r="Y308" t="str">
            <v>020502</v>
          </cell>
          <cell r="Z308">
            <v>2</v>
          </cell>
          <cell r="AA308" t="str">
            <v>繁殖牛</v>
          </cell>
          <cell r="AB308">
            <v>5</v>
          </cell>
          <cell r="AC308" t="str">
            <v>黒毛和種</v>
          </cell>
          <cell r="AD308">
            <v>2</v>
          </cell>
          <cell r="AE308">
            <v>5</v>
          </cell>
          <cell r="AF308">
            <v>6</v>
          </cell>
        </row>
        <row r="309">
          <cell r="Y309" t="str">
            <v>020602</v>
          </cell>
          <cell r="Z309">
            <v>2</v>
          </cell>
          <cell r="AA309" t="str">
            <v>繁殖牛</v>
          </cell>
          <cell r="AB309">
            <v>6</v>
          </cell>
          <cell r="AC309" t="str">
            <v>褐毛和種</v>
          </cell>
          <cell r="AD309">
            <v>2</v>
          </cell>
          <cell r="AE309">
            <v>5</v>
          </cell>
          <cell r="AF309">
            <v>6</v>
          </cell>
        </row>
        <row r="310">
          <cell r="Y310" t="str">
            <v>020702</v>
          </cell>
          <cell r="Z310">
            <v>2</v>
          </cell>
          <cell r="AA310" t="str">
            <v>繁殖牛</v>
          </cell>
          <cell r="AB310">
            <v>7</v>
          </cell>
          <cell r="AC310" t="str">
            <v>日本短角種</v>
          </cell>
          <cell r="AD310">
            <v>2</v>
          </cell>
          <cell r="AE310">
            <v>5</v>
          </cell>
          <cell r="AF310">
            <v>6</v>
          </cell>
        </row>
        <row r="311">
          <cell r="Y311" t="str">
            <v>020802</v>
          </cell>
          <cell r="Z311">
            <v>2</v>
          </cell>
          <cell r="AA311" t="str">
            <v>繁殖牛</v>
          </cell>
          <cell r="AB311">
            <v>8</v>
          </cell>
          <cell r="AC311" t="str">
            <v>無角和種</v>
          </cell>
          <cell r="AD311">
            <v>2</v>
          </cell>
          <cell r="AE311">
            <v>5</v>
          </cell>
          <cell r="AF311">
            <v>6</v>
          </cell>
        </row>
        <row r="312">
          <cell r="Y312" t="str">
            <v>020902</v>
          </cell>
          <cell r="Z312">
            <v>2</v>
          </cell>
          <cell r="AA312" t="str">
            <v>繁殖牛</v>
          </cell>
          <cell r="AB312">
            <v>9</v>
          </cell>
          <cell r="AC312" t="str">
            <v>外国種①</v>
          </cell>
          <cell r="AD312">
            <v>2</v>
          </cell>
          <cell r="AE312">
            <v>5</v>
          </cell>
          <cell r="AF312">
            <v>6</v>
          </cell>
        </row>
        <row r="313">
          <cell r="Y313" t="str">
            <v>021002</v>
          </cell>
          <cell r="Z313">
            <v>2</v>
          </cell>
          <cell r="AA313" t="str">
            <v>繁殖牛</v>
          </cell>
          <cell r="AB313">
            <v>10</v>
          </cell>
          <cell r="AC313" t="str">
            <v>外国種②</v>
          </cell>
          <cell r="AD313">
            <v>2</v>
          </cell>
          <cell r="AE313">
            <v>5</v>
          </cell>
          <cell r="AF313">
            <v>6</v>
          </cell>
        </row>
        <row r="314">
          <cell r="Y314" t="str">
            <v>029902</v>
          </cell>
          <cell r="Z314">
            <v>2</v>
          </cell>
          <cell r="AA314" t="str">
            <v>繁殖牛</v>
          </cell>
          <cell r="AB314">
            <v>99</v>
          </cell>
          <cell r="AC314" t="str">
            <v>その他</v>
          </cell>
          <cell r="AD314">
            <v>2</v>
          </cell>
          <cell r="AE314">
            <v>6</v>
          </cell>
          <cell r="AF314">
            <v>6</v>
          </cell>
        </row>
        <row r="316">
          <cell r="AA316" t="str">
            <v>馬</v>
          </cell>
          <cell r="AC316" t="str">
            <v>品種</v>
          </cell>
          <cell r="AD316" t="str">
            <v>性別</v>
          </cell>
          <cell r="AE316" t="str">
            <v>税制改正前</v>
          </cell>
          <cell r="AF316" t="str">
            <v>税制改正後</v>
          </cell>
        </row>
        <row r="317">
          <cell r="Y317" t="str">
            <v>030201</v>
          </cell>
          <cell r="Z317">
            <v>3</v>
          </cell>
          <cell r="AA317" t="str">
            <v>馬</v>
          </cell>
          <cell r="AB317">
            <v>2</v>
          </cell>
          <cell r="AC317" t="str">
            <v>繁殖用</v>
          </cell>
          <cell r="AD317">
            <v>1</v>
          </cell>
          <cell r="AE317">
            <v>6</v>
          </cell>
          <cell r="AF317">
            <v>6</v>
          </cell>
        </row>
        <row r="318">
          <cell r="Y318" t="str">
            <v>030301</v>
          </cell>
          <cell r="Z318">
            <v>3</v>
          </cell>
          <cell r="AA318" t="str">
            <v>馬</v>
          </cell>
          <cell r="AB318">
            <v>3</v>
          </cell>
          <cell r="AC318" t="str">
            <v>農業使役用</v>
          </cell>
          <cell r="AD318">
            <v>1</v>
          </cell>
          <cell r="AE318">
            <v>8</v>
          </cell>
          <cell r="AF318">
            <v>8</v>
          </cell>
        </row>
        <row r="319">
          <cell r="Y319" t="str">
            <v>030401</v>
          </cell>
          <cell r="Z319">
            <v>3</v>
          </cell>
          <cell r="AA319" t="str">
            <v>馬</v>
          </cell>
          <cell r="AB319">
            <v>4</v>
          </cell>
          <cell r="AC319" t="str">
            <v>小運搬使役用</v>
          </cell>
          <cell r="AD319">
            <v>1</v>
          </cell>
          <cell r="AE319">
            <v>6</v>
          </cell>
          <cell r="AF319">
            <v>6</v>
          </cell>
        </row>
        <row r="320">
          <cell r="Y320" t="str">
            <v>030202</v>
          </cell>
          <cell r="Z320">
            <v>3</v>
          </cell>
          <cell r="AA320" t="str">
            <v>馬</v>
          </cell>
          <cell r="AB320">
            <v>2</v>
          </cell>
          <cell r="AC320" t="str">
            <v>繁殖用</v>
          </cell>
          <cell r="AD320">
            <v>2</v>
          </cell>
          <cell r="AE320">
            <v>7</v>
          </cell>
          <cell r="AF320">
            <v>7</v>
          </cell>
        </row>
        <row r="321">
          <cell r="Y321" t="str">
            <v>030302</v>
          </cell>
          <cell r="Z321">
            <v>3</v>
          </cell>
          <cell r="AA321" t="str">
            <v>馬</v>
          </cell>
          <cell r="AB321">
            <v>3</v>
          </cell>
          <cell r="AC321" t="str">
            <v>農業使役用</v>
          </cell>
          <cell r="AD321">
            <v>2</v>
          </cell>
          <cell r="AE321">
            <v>8</v>
          </cell>
          <cell r="AF321">
            <v>8</v>
          </cell>
        </row>
        <row r="322">
          <cell r="Y322" t="str">
            <v>030402</v>
          </cell>
          <cell r="Z322">
            <v>3</v>
          </cell>
          <cell r="AA322" t="str">
            <v>馬</v>
          </cell>
          <cell r="AB322">
            <v>4</v>
          </cell>
          <cell r="AC322" t="str">
            <v>小運搬使役用</v>
          </cell>
          <cell r="AD322">
            <v>2</v>
          </cell>
          <cell r="AE322">
            <v>6</v>
          </cell>
          <cell r="AF32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G573"/>
  <sheetViews>
    <sheetView showGridLines="0" tabSelected="1" zoomScaleNormal="100" workbookViewId="0">
      <pane xSplit="1" ySplit="10" topLeftCell="B11" activePane="bottomRight" state="frozen"/>
      <selection activeCell="AA14" sqref="AA14:AE14"/>
      <selection pane="topRight" activeCell="AA14" sqref="AA14:AE14"/>
      <selection pane="bottomLeft" activeCell="AA14" sqref="AA14:AE14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8.77734375" style="1" customWidth="1"/>
    <col min="4" max="5" width="4.77734375" style="1" customWidth="1"/>
    <col min="6" max="6" width="8.77734375" style="1" customWidth="1"/>
    <col min="7" max="23" width="6.77734375" style="1" customWidth="1"/>
    <col min="24" max="30" width="9.77734375" style="1" customWidth="1"/>
    <col min="31" max="33" width="1.21875" style="1" customWidth="1"/>
    <col min="34" max="16384" width="1.21875" style="1"/>
  </cols>
  <sheetData>
    <row r="1" spans="2:33" ht="22.5" customHeight="1" thickBot="1" x14ac:dyDescent="0.25">
      <c r="C1" s="4" t="s">
        <v>90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2:33" ht="22.5" customHeight="1" x14ac:dyDescent="0.2">
      <c r="C2" s="127" t="s">
        <v>136</v>
      </c>
      <c r="D2" s="128"/>
      <c r="E2" s="128"/>
      <c r="F2" s="136" t="s">
        <v>27</v>
      </c>
      <c r="G2" s="128"/>
      <c r="H2" s="13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2:33" ht="22.5" customHeight="1" thickBot="1" x14ac:dyDescent="0.25">
      <c r="C3" s="129"/>
      <c r="D3" s="130"/>
      <c r="E3" s="130"/>
      <c r="F3" s="138"/>
      <c r="G3" s="139"/>
      <c r="H3" s="140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2:33" ht="7.5" customHeight="1" thickBot="1" x14ac:dyDescent="0.25">
      <c r="F4" s="2"/>
    </row>
    <row r="5" spans="2:33" ht="15" customHeight="1" thickBot="1" x14ac:dyDescent="0.25">
      <c r="B5" s="23"/>
      <c r="C5" s="131" t="s">
        <v>76</v>
      </c>
      <c r="D5" s="132"/>
      <c r="E5" s="132"/>
      <c r="F5" s="132"/>
      <c r="G5" s="133" t="s">
        <v>83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5"/>
    </row>
    <row r="6" spans="2:33" s="3" customFormat="1" ht="15" customHeight="1" x14ac:dyDescent="0.2">
      <c r="B6" s="92" t="s">
        <v>12</v>
      </c>
      <c r="C6" s="93" t="s">
        <v>6</v>
      </c>
      <c r="D6" s="28" t="s">
        <v>2</v>
      </c>
      <c r="E6" s="29" t="s">
        <v>3</v>
      </c>
      <c r="F6" s="29" t="s">
        <v>4</v>
      </c>
      <c r="G6" s="88" t="s">
        <v>9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81"/>
      <c r="W6" s="64"/>
    </row>
    <row r="7" spans="2:33" s="3" customFormat="1" ht="15" customHeight="1" x14ac:dyDescent="0.2">
      <c r="B7" s="55"/>
      <c r="C7" s="56"/>
      <c r="D7" s="57"/>
      <c r="E7" s="58"/>
      <c r="F7" s="58"/>
      <c r="G7" s="53"/>
      <c r="H7" s="89" t="s">
        <v>60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98"/>
      <c r="V7" s="52"/>
      <c r="W7" s="65"/>
    </row>
    <row r="8" spans="2:33" s="3" customFormat="1" ht="15" customHeight="1" x14ac:dyDescent="0.2">
      <c r="B8" s="55"/>
      <c r="C8" s="56"/>
      <c r="D8" s="57"/>
      <c r="E8" s="58"/>
      <c r="F8" s="58"/>
      <c r="G8" s="53"/>
      <c r="H8" s="52"/>
      <c r="I8" s="82"/>
      <c r="J8" s="61"/>
      <c r="K8" s="61"/>
      <c r="L8" s="61"/>
      <c r="M8" s="61"/>
      <c r="N8" s="61"/>
      <c r="O8" s="61"/>
      <c r="P8" s="61"/>
      <c r="Q8" s="61"/>
      <c r="R8" s="61"/>
      <c r="S8" s="61"/>
      <c r="T8" s="62"/>
      <c r="U8" s="80"/>
      <c r="V8" s="52"/>
      <c r="W8" s="65"/>
    </row>
    <row r="9" spans="2:33" s="3" customFormat="1" ht="30" customHeight="1" thickBot="1" x14ac:dyDescent="0.25">
      <c r="B9" s="94" t="s">
        <v>14</v>
      </c>
      <c r="C9" s="95" t="s">
        <v>10</v>
      </c>
      <c r="D9" s="96" t="s">
        <v>11</v>
      </c>
      <c r="E9" s="97" t="s">
        <v>10</v>
      </c>
      <c r="F9" s="97" t="s">
        <v>11</v>
      </c>
      <c r="G9" s="30"/>
      <c r="H9" s="35"/>
      <c r="I9" s="33" t="s">
        <v>86</v>
      </c>
      <c r="J9" s="31" t="s">
        <v>92</v>
      </c>
      <c r="K9" s="32" t="s">
        <v>62</v>
      </c>
      <c r="L9" s="32" t="s">
        <v>93</v>
      </c>
      <c r="M9" s="32" t="s">
        <v>94</v>
      </c>
      <c r="N9" s="32" t="s">
        <v>95</v>
      </c>
      <c r="O9" s="32" t="s">
        <v>96</v>
      </c>
      <c r="P9" s="32" t="s">
        <v>97</v>
      </c>
      <c r="Q9" s="32" t="s">
        <v>98</v>
      </c>
      <c r="R9" s="32" t="s">
        <v>99</v>
      </c>
      <c r="S9" s="32" t="s">
        <v>100</v>
      </c>
      <c r="T9" s="32" t="s">
        <v>101</v>
      </c>
      <c r="U9" s="33" t="s">
        <v>87</v>
      </c>
      <c r="V9" s="33" t="s">
        <v>58</v>
      </c>
      <c r="W9" s="34" t="s">
        <v>61</v>
      </c>
    </row>
    <row r="10" spans="2:33" s="3" customFormat="1" ht="10.5" customHeight="1" x14ac:dyDescent="0.2">
      <c r="B10" s="16"/>
      <c r="C10" s="18"/>
      <c r="D10" s="59"/>
      <c r="E10" s="60"/>
      <c r="F10" s="60"/>
      <c r="G10" s="66" t="s">
        <v>1</v>
      </c>
      <c r="H10" s="60"/>
      <c r="I10" s="60"/>
      <c r="J10" s="59"/>
      <c r="K10" s="60" t="s">
        <v>1</v>
      </c>
      <c r="L10" s="60" t="s">
        <v>1</v>
      </c>
      <c r="M10" s="60" t="s">
        <v>1</v>
      </c>
      <c r="N10" s="60" t="s">
        <v>1</v>
      </c>
      <c r="O10" s="60" t="s">
        <v>1</v>
      </c>
      <c r="P10" s="60" t="s">
        <v>1</v>
      </c>
      <c r="Q10" s="60" t="s">
        <v>1</v>
      </c>
      <c r="R10" s="60" t="s">
        <v>1</v>
      </c>
      <c r="S10" s="60" t="s">
        <v>1</v>
      </c>
      <c r="T10" s="60" t="s">
        <v>1</v>
      </c>
      <c r="U10" s="60" t="s">
        <v>1</v>
      </c>
      <c r="V10" s="60" t="s">
        <v>1</v>
      </c>
      <c r="W10" s="67" t="s">
        <v>1</v>
      </c>
    </row>
    <row r="11" spans="2:33" s="3" customFormat="1" ht="15" customHeight="1" x14ac:dyDescent="0.2">
      <c r="B11" s="17" t="s">
        <v>13</v>
      </c>
      <c r="C11" s="19"/>
      <c r="D11" s="5"/>
      <c r="E11" s="8"/>
      <c r="F11" s="8"/>
      <c r="G11" s="24">
        <f>SUM(H11,V11)</f>
        <v>0</v>
      </c>
      <c r="H11" s="26">
        <f>SUM(I11,J11,U11)</f>
        <v>0</v>
      </c>
      <c r="I11" s="26">
        <f>ROUND(SUMIFS(月別入力!$J:$J,月別入力!$F:$F,設定!$C11,月別入力!$D:$D,設定!I$9,月別入力!$B:$B,設定!$B11),0)</f>
        <v>0</v>
      </c>
      <c r="J11" s="5">
        <f>SUM(K11:T11)</f>
        <v>0</v>
      </c>
      <c r="K11" s="26">
        <f>ROUND(SUMIFS(月別入力!$J:$J,月別入力!$F:$F,設定!$C11,月別入力!$D:$D,設定!K$9,月別入力!$B:$B,設定!$B11),0)</f>
        <v>0</v>
      </c>
      <c r="L11" s="26">
        <f>ROUND(SUMIFS(月別入力!$J:$J,月別入力!$F:$F,設定!$C11,月別入力!$D:$D,設定!L$9,月別入力!$B:$B,設定!$B11),0)</f>
        <v>0</v>
      </c>
      <c r="M11" s="26">
        <f>ROUND(SUMIFS(月別入力!$J:$J,月別入力!$F:$F,設定!$C11,月別入力!$D:$D,設定!M$9,月別入力!$B:$B,設定!$B11),0)</f>
        <v>0</v>
      </c>
      <c r="N11" s="26">
        <f>ROUND(SUMIFS(月別入力!$J:$J,月別入力!$F:$F,設定!$C11,月別入力!$D:$D,設定!N$9,月別入力!$B:$B,設定!$B11),0)</f>
        <v>0</v>
      </c>
      <c r="O11" s="26">
        <f>ROUND(SUMIFS(月別入力!$J:$J,月別入力!$F:$F,設定!$C11,月別入力!$D:$D,設定!O$9,月別入力!$B:$B,設定!$B11),0)</f>
        <v>0</v>
      </c>
      <c r="P11" s="26">
        <f>ROUND(SUMIFS(月別入力!$J:$J,月別入力!$F:$F,設定!$C11,月別入力!$D:$D,設定!P$9,月別入力!$B:$B,設定!$B11),0)</f>
        <v>0</v>
      </c>
      <c r="Q11" s="26">
        <f>ROUND(SUMIFS(月別入力!$J:$J,月別入力!$F:$F,設定!$C11,月別入力!$D:$D,設定!Q$9,月別入力!$B:$B,設定!$B11),0)</f>
        <v>0</v>
      </c>
      <c r="R11" s="26">
        <f>ROUND(SUMIFS(月別入力!$J:$J,月別入力!$F:$F,設定!$C11,月別入力!$D:$D,設定!R$9,月別入力!$B:$B,設定!$B11),0)</f>
        <v>0</v>
      </c>
      <c r="S11" s="26">
        <f>ROUND(SUMIFS(月別入力!$J:$J,月別入力!$F:$F,設定!$C11,月別入力!$D:$D,設定!S$9,月別入力!$B:$B,設定!$B11),0)</f>
        <v>0</v>
      </c>
      <c r="T11" s="26">
        <f>ROUND(SUMIFS(月別入力!$J:$J,月別入力!$F:$F,設定!$C11,月別入力!$D:$D,設定!T$9,月別入力!$B:$B,設定!$B11),0)</f>
        <v>0</v>
      </c>
      <c r="U11" s="26">
        <f>ROUND(SUMIFS(月別入力!$J:$J,月別入力!$F:$F,設定!$C11,月別入力!$D:$D,設定!U$9,月別入力!$B:$B,設定!$B11),0)</f>
        <v>0</v>
      </c>
      <c r="V11" s="8">
        <f>ROUND(SUMIFS(月別入力!$J:$J,月別入力!$F:$F,設定!$C11,月別入力!$D:$D,設定!V$9,月別入力!$B:$B,設定!$B11),0)</f>
        <v>0</v>
      </c>
      <c r="W11" s="9">
        <f>ROUND(SUMIFS(月別入力!$J:$J,月別入力!$F:$F,設定!$C11,月別入力!$D:$D,設定!W$9,月別入力!$B:$B,設定!$B11),0)</f>
        <v>0</v>
      </c>
    </row>
    <row r="12" spans="2:33" s="3" customFormat="1" ht="15" customHeight="1" x14ac:dyDescent="0.2">
      <c r="B12" s="36" t="str">
        <f>B$11</f>
        <v>&lt;=12</v>
      </c>
      <c r="C12" s="20"/>
      <c r="D12" s="6"/>
      <c r="E12" s="10"/>
      <c r="F12" s="11"/>
      <c r="G12" s="24">
        <f t="shared" ref="G12:G75" si="0">SUM(H12,V12)</f>
        <v>0</v>
      </c>
      <c r="H12" s="26">
        <f t="shared" ref="H12:H75" si="1">SUM(I12,J12,U12)</f>
        <v>0</v>
      </c>
      <c r="I12" s="26">
        <f>ROUND(SUMIFS(月別入力!$J:$J,月別入力!$F:$F,設定!$C12,月別入力!$D:$D,設定!I$9,月別入力!$B:$B,設定!$B12),0)</f>
        <v>0</v>
      </c>
      <c r="J12" s="5">
        <f>SUM(K12:T12)</f>
        <v>0</v>
      </c>
      <c r="K12" s="26">
        <f>ROUND(SUMIFS(月別入力!$J:$J,月別入力!$F:$F,設定!$C12,月別入力!$D:$D,設定!K$9,月別入力!$B:$B,設定!$B12),0)</f>
        <v>0</v>
      </c>
      <c r="L12" s="26">
        <f>ROUND(SUMIFS(月別入力!$J:$J,月別入力!$F:$F,設定!$C12,月別入力!$D:$D,設定!L$9,月別入力!$B:$B,設定!$B12),0)</f>
        <v>0</v>
      </c>
      <c r="M12" s="26">
        <f>ROUND(SUMIFS(月別入力!$J:$J,月別入力!$F:$F,設定!$C12,月別入力!$D:$D,設定!M$9,月別入力!$B:$B,設定!$B12),0)</f>
        <v>0</v>
      </c>
      <c r="N12" s="26">
        <f>ROUND(SUMIFS(月別入力!$J:$J,月別入力!$F:$F,設定!$C12,月別入力!$D:$D,設定!N$9,月別入力!$B:$B,設定!$B12),0)</f>
        <v>0</v>
      </c>
      <c r="O12" s="26">
        <f>ROUND(SUMIFS(月別入力!$J:$J,月別入力!$F:$F,設定!$C12,月別入力!$D:$D,設定!O$9,月別入力!$B:$B,設定!$B12),0)</f>
        <v>0</v>
      </c>
      <c r="P12" s="26">
        <f>ROUND(SUMIFS(月別入力!$J:$J,月別入力!$F:$F,設定!$C12,月別入力!$D:$D,設定!P$9,月別入力!$B:$B,設定!$B12),0)</f>
        <v>0</v>
      </c>
      <c r="Q12" s="26">
        <f>ROUND(SUMIFS(月別入力!$J:$J,月別入力!$F:$F,設定!$C12,月別入力!$D:$D,設定!Q$9,月別入力!$B:$B,設定!$B12),0)</f>
        <v>0</v>
      </c>
      <c r="R12" s="26">
        <f>ROUND(SUMIFS(月別入力!$J:$J,月別入力!$F:$F,設定!$C12,月別入力!$D:$D,設定!R$9,月別入力!$B:$B,設定!$B12),0)</f>
        <v>0</v>
      </c>
      <c r="S12" s="26">
        <f>ROUND(SUMIFS(月別入力!$J:$J,月別入力!$F:$F,設定!$C12,月別入力!$D:$D,設定!S$9,月別入力!$B:$B,設定!$B12),0)</f>
        <v>0</v>
      </c>
      <c r="T12" s="26">
        <f>ROUND(SUMIFS(月別入力!$J:$J,月別入力!$F:$F,設定!$C12,月別入力!$D:$D,設定!T$9,月別入力!$B:$B,設定!$B12),0)</f>
        <v>0</v>
      </c>
      <c r="U12" s="26">
        <f>ROUND(SUMIFS(月別入力!$J:$J,月別入力!$F:$F,設定!$C12,月別入力!$D:$D,設定!U$9,月別入力!$B:$B,設定!$B12),0)</f>
        <v>0</v>
      </c>
      <c r="V12" s="8">
        <f>ROUND(SUMIFS(月別入力!$J:$J,月別入力!$F:$F,設定!$C12,月別入力!$D:$D,設定!V$9,月別入力!$B:$B,設定!$B12),0)</f>
        <v>0</v>
      </c>
      <c r="W12" s="9">
        <f>ROUND(SUMIFS(月別入力!$J:$J,月別入力!$F:$F,設定!$C12,月別入力!$D:$D,設定!W$9,月別入力!$B:$B,設定!$B12),0)</f>
        <v>0</v>
      </c>
    </row>
    <row r="13" spans="2:33" s="3" customFormat="1" ht="15" customHeight="1" x14ac:dyDescent="0.2">
      <c r="B13" s="36" t="str">
        <f t="shared" ref="B13:B76" si="2">B$11</f>
        <v>&lt;=12</v>
      </c>
      <c r="C13" s="20"/>
      <c r="D13" s="5"/>
      <c r="E13" s="10"/>
      <c r="F13" s="11"/>
      <c r="G13" s="24">
        <f t="shared" si="0"/>
        <v>0</v>
      </c>
      <c r="H13" s="26">
        <f t="shared" si="1"/>
        <v>0</v>
      </c>
      <c r="I13" s="26">
        <f>ROUND(SUMIFS(月別入力!$J:$J,月別入力!$F:$F,設定!$C13,月別入力!$D:$D,設定!I$9,月別入力!$B:$B,設定!$B13),0)</f>
        <v>0</v>
      </c>
      <c r="J13" s="5">
        <f t="shared" ref="J13:J75" si="3">SUM(K13:T13)</f>
        <v>0</v>
      </c>
      <c r="K13" s="26">
        <f>ROUND(SUMIFS(月別入力!$J:$J,月別入力!$F:$F,設定!$C13,月別入力!$D:$D,設定!K$9,月別入力!$B:$B,設定!$B13),0)</f>
        <v>0</v>
      </c>
      <c r="L13" s="26">
        <f>ROUND(SUMIFS(月別入力!$J:$J,月別入力!$F:$F,設定!$C13,月別入力!$D:$D,設定!L$9,月別入力!$B:$B,設定!$B13),0)</f>
        <v>0</v>
      </c>
      <c r="M13" s="26">
        <f>ROUND(SUMIFS(月別入力!$J:$J,月別入力!$F:$F,設定!$C13,月別入力!$D:$D,設定!M$9,月別入力!$B:$B,設定!$B13),0)</f>
        <v>0</v>
      </c>
      <c r="N13" s="26">
        <f>ROUND(SUMIFS(月別入力!$J:$J,月別入力!$F:$F,設定!$C13,月別入力!$D:$D,設定!N$9,月別入力!$B:$B,設定!$B13),0)</f>
        <v>0</v>
      </c>
      <c r="O13" s="26">
        <f>ROUND(SUMIFS(月別入力!$J:$J,月別入力!$F:$F,設定!$C13,月別入力!$D:$D,設定!O$9,月別入力!$B:$B,設定!$B13),0)</f>
        <v>0</v>
      </c>
      <c r="P13" s="26">
        <f>ROUND(SUMIFS(月別入力!$J:$J,月別入力!$F:$F,設定!$C13,月別入力!$D:$D,設定!P$9,月別入力!$B:$B,設定!$B13),0)</f>
        <v>0</v>
      </c>
      <c r="Q13" s="26">
        <f>ROUND(SUMIFS(月別入力!$J:$J,月別入力!$F:$F,設定!$C13,月別入力!$D:$D,設定!Q$9,月別入力!$B:$B,設定!$B13),0)</f>
        <v>0</v>
      </c>
      <c r="R13" s="26">
        <f>ROUND(SUMIFS(月別入力!$J:$J,月別入力!$F:$F,設定!$C13,月別入力!$D:$D,設定!R$9,月別入力!$B:$B,設定!$B13),0)</f>
        <v>0</v>
      </c>
      <c r="S13" s="26">
        <f>ROUND(SUMIFS(月別入力!$J:$J,月別入力!$F:$F,設定!$C13,月別入力!$D:$D,設定!S$9,月別入力!$B:$B,設定!$B13),0)</f>
        <v>0</v>
      </c>
      <c r="T13" s="26">
        <f>ROUND(SUMIFS(月別入力!$J:$J,月別入力!$F:$F,設定!$C13,月別入力!$D:$D,設定!T$9,月別入力!$B:$B,設定!$B13),0)</f>
        <v>0</v>
      </c>
      <c r="U13" s="26">
        <f>ROUND(SUMIFS(月別入力!$J:$J,月別入力!$F:$F,設定!$C13,月別入力!$D:$D,設定!U$9,月別入力!$B:$B,設定!$B13),0)</f>
        <v>0</v>
      </c>
      <c r="V13" s="8">
        <f>ROUND(SUMIFS(月別入力!$J:$J,月別入力!$F:$F,設定!$C13,月別入力!$D:$D,設定!V$9,月別入力!$B:$B,設定!$B13),0)</f>
        <v>0</v>
      </c>
      <c r="W13" s="9">
        <f>ROUND(SUMIFS(月別入力!$J:$J,月別入力!$F:$F,設定!$C13,月別入力!$D:$D,設定!W$9,月別入力!$B:$B,設定!$B13),0)</f>
        <v>0</v>
      </c>
    </row>
    <row r="14" spans="2:33" s="3" customFormat="1" ht="15" customHeight="1" x14ac:dyDescent="0.2">
      <c r="B14" s="36" t="str">
        <f t="shared" si="2"/>
        <v>&lt;=12</v>
      </c>
      <c r="C14" s="20"/>
      <c r="D14" s="6"/>
      <c r="E14" s="10"/>
      <c r="F14" s="11"/>
      <c r="G14" s="24">
        <f t="shared" si="0"/>
        <v>0</v>
      </c>
      <c r="H14" s="26">
        <f t="shared" si="1"/>
        <v>0</v>
      </c>
      <c r="I14" s="26">
        <f>ROUND(SUMIFS(月別入力!$J:$J,月別入力!$F:$F,設定!$C14,月別入力!$D:$D,設定!I$9,月別入力!$B:$B,設定!$B14),0)</f>
        <v>0</v>
      </c>
      <c r="J14" s="5">
        <f t="shared" si="3"/>
        <v>0</v>
      </c>
      <c r="K14" s="26">
        <f>ROUND(SUMIFS(月別入力!$J:$J,月別入力!$F:$F,設定!$C14,月別入力!$D:$D,設定!K$9,月別入力!$B:$B,設定!$B14),0)</f>
        <v>0</v>
      </c>
      <c r="L14" s="26">
        <f>ROUND(SUMIFS(月別入力!$J:$J,月別入力!$F:$F,設定!$C14,月別入力!$D:$D,設定!L$9,月別入力!$B:$B,設定!$B14),0)</f>
        <v>0</v>
      </c>
      <c r="M14" s="26">
        <f>ROUND(SUMIFS(月別入力!$J:$J,月別入力!$F:$F,設定!$C14,月別入力!$D:$D,設定!M$9,月別入力!$B:$B,設定!$B14),0)</f>
        <v>0</v>
      </c>
      <c r="N14" s="26">
        <f>ROUND(SUMIFS(月別入力!$J:$J,月別入力!$F:$F,設定!$C14,月別入力!$D:$D,設定!N$9,月別入力!$B:$B,設定!$B14),0)</f>
        <v>0</v>
      </c>
      <c r="O14" s="26">
        <f>ROUND(SUMIFS(月別入力!$J:$J,月別入力!$F:$F,設定!$C14,月別入力!$D:$D,設定!O$9,月別入力!$B:$B,設定!$B14),0)</f>
        <v>0</v>
      </c>
      <c r="P14" s="26">
        <f>ROUND(SUMIFS(月別入力!$J:$J,月別入力!$F:$F,設定!$C14,月別入力!$D:$D,設定!P$9,月別入力!$B:$B,設定!$B14),0)</f>
        <v>0</v>
      </c>
      <c r="Q14" s="26">
        <f>ROUND(SUMIFS(月別入力!$J:$J,月別入力!$F:$F,設定!$C14,月別入力!$D:$D,設定!Q$9,月別入力!$B:$B,設定!$B14),0)</f>
        <v>0</v>
      </c>
      <c r="R14" s="26">
        <f>ROUND(SUMIFS(月別入力!$J:$J,月別入力!$F:$F,設定!$C14,月別入力!$D:$D,設定!R$9,月別入力!$B:$B,設定!$B14),0)</f>
        <v>0</v>
      </c>
      <c r="S14" s="26">
        <f>ROUND(SUMIFS(月別入力!$J:$J,月別入力!$F:$F,設定!$C14,月別入力!$D:$D,設定!S$9,月別入力!$B:$B,設定!$B14),0)</f>
        <v>0</v>
      </c>
      <c r="T14" s="26">
        <f>ROUND(SUMIFS(月別入力!$J:$J,月別入力!$F:$F,設定!$C14,月別入力!$D:$D,設定!T$9,月別入力!$B:$B,設定!$B14),0)</f>
        <v>0</v>
      </c>
      <c r="U14" s="26">
        <f>ROUND(SUMIFS(月別入力!$J:$J,月別入力!$F:$F,設定!$C14,月別入力!$D:$D,設定!U$9,月別入力!$B:$B,設定!$B14),0)</f>
        <v>0</v>
      </c>
      <c r="V14" s="8">
        <f>ROUND(SUMIFS(月別入力!$J:$J,月別入力!$F:$F,設定!$C14,月別入力!$D:$D,設定!V$9,月別入力!$B:$B,設定!$B14),0)</f>
        <v>0</v>
      </c>
      <c r="W14" s="9">
        <f>ROUND(SUMIFS(月別入力!$J:$J,月別入力!$F:$F,設定!$C14,月別入力!$D:$D,設定!W$9,月別入力!$B:$B,設定!$B14),0)</f>
        <v>0</v>
      </c>
    </row>
    <row r="15" spans="2:33" s="3" customFormat="1" ht="15" customHeight="1" x14ac:dyDescent="0.2">
      <c r="B15" s="36" t="str">
        <f t="shared" si="2"/>
        <v>&lt;=12</v>
      </c>
      <c r="C15" s="20"/>
      <c r="D15" s="5"/>
      <c r="E15" s="10"/>
      <c r="F15" s="11"/>
      <c r="G15" s="24">
        <f>SUM(H15,V15)</f>
        <v>0</v>
      </c>
      <c r="H15" s="26">
        <f>SUM(I15,J15,U15)</f>
        <v>0</v>
      </c>
      <c r="I15" s="26">
        <f>ROUND(SUMIFS(月別入力!$J:$J,月別入力!$F:$F,設定!$C15,月別入力!$D:$D,設定!I$9,月別入力!$B:$B,設定!$B15),0)</f>
        <v>0</v>
      </c>
      <c r="J15" s="5">
        <f t="shared" si="3"/>
        <v>0</v>
      </c>
      <c r="K15" s="26">
        <f>ROUND(SUMIFS(月別入力!$J:$J,月別入力!$F:$F,設定!$C15,月別入力!$D:$D,設定!K$9,月別入力!$B:$B,設定!$B15),0)</f>
        <v>0</v>
      </c>
      <c r="L15" s="26">
        <f>ROUND(SUMIFS(月別入力!$J:$J,月別入力!$F:$F,設定!$C15,月別入力!$D:$D,設定!L$9,月別入力!$B:$B,設定!$B15),0)</f>
        <v>0</v>
      </c>
      <c r="M15" s="26">
        <f>ROUND(SUMIFS(月別入力!$J:$J,月別入力!$F:$F,設定!$C15,月別入力!$D:$D,設定!M$9,月別入力!$B:$B,設定!$B15),0)</f>
        <v>0</v>
      </c>
      <c r="N15" s="26">
        <f>ROUND(SUMIFS(月別入力!$J:$J,月別入力!$F:$F,設定!$C15,月別入力!$D:$D,設定!N$9,月別入力!$B:$B,設定!$B15),0)</f>
        <v>0</v>
      </c>
      <c r="O15" s="26">
        <f>ROUND(SUMIFS(月別入力!$J:$J,月別入力!$F:$F,設定!$C15,月別入力!$D:$D,設定!O$9,月別入力!$B:$B,設定!$B15),0)</f>
        <v>0</v>
      </c>
      <c r="P15" s="26">
        <f>ROUND(SUMIFS(月別入力!$J:$J,月別入力!$F:$F,設定!$C15,月別入力!$D:$D,設定!P$9,月別入力!$B:$B,設定!$B15),0)</f>
        <v>0</v>
      </c>
      <c r="Q15" s="26">
        <f>ROUND(SUMIFS(月別入力!$J:$J,月別入力!$F:$F,設定!$C15,月別入力!$D:$D,設定!Q$9,月別入力!$B:$B,設定!$B15),0)</f>
        <v>0</v>
      </c>
      <c r="R15" s="26">
        <f>ROUND(SUMIFS(月別入力!$J:$J,月別入力!$F:$F,設定!$C15,月別入力!$D:$D,設定!R$9,月別入力!$B:$B,設定!$B15),0)</f>
        <v>0</v>
      </c>
      <c r="S15" s="26">
        <f>ROUND(SUMIFS(月別入力!$J:$J,月別入力!$F:$F,設定!$C15,月別入力!$D:$D,設定!S$9,月別入力!$B:$B,設定!$B15),0)</f>
        <v>0</v>
      </c>
      <c r="T15" s="26">
        <f>ROUND(SUMIFS(月別入力!$J:$J,月別入力!$F:$F,設定!$C15,月別入力!$D:$D,設定!T$9,月別入力!$B:$B,設定!$B15),0)</f>
        <v>0</v>
      </c>
      <c r="U15" s="26">
        <f>ROUND(SUMIFS(月別入力!$J:$J,月別入力!$F:$F,設定!$C15,月別入力!$D:$D,設定!U$9,月別入力!$B:$B,設定!$B15),0)</f>
        <v>0</v>
      </c>
      <c r="V15" s="8">
        <f>ROUND(SUMIFS(月別入力!$J:$J,月別入力!$F:$F,設定!$C15,月別入力!$D:$D,設定!V$9,月別入力!$B:$B,設定!$B15),0)</f>
        <v>0</v>
      </c>
      <c r="W15" s="9">
        <f>ROUND(SUMIFS(月別入力!$J:$J,月別入力!$F:$F,設定!$C15,月別入力!$D:$D,設定!W$9,月別入力!$B:$B,設定!$B15),0)</f>
        <v>0</v>
      </c>
    </row>
    <row r="16" spans="2:33" s="3" customFormat="1" ht="15" customHeight="1" x14ac:dyDescent="0.2">
      <c r="B16" s="37" t="str">
        <f t="shared" si="2"/>
        <v>&lt;=12</v>
      </c>
      <c r="C16" s="21"/>
      <c r="D16" s="6"/>
      <c r="E16" s="10"/>
      <c r="F16" s="11"/>
      <c r="G16" s="24">
        <f t="shared" si="0"/>
        <v>0</v>
      </c>
      <c r="H16" s="26">
        <f t="shared" si="1"/>
        <v>0</v>
      </c>
      <c r="I16" s="26">
        <f>ROUND(SUMIFS(月別入力!$J:$J,月別入力!$F:$F,設定!$C16,月別入力!$D:$D,設定!I$9,月別入力!$B:$B,設定!$B16),0)</f>
        <v>0</v>
      </c>
      <c r="J16" s="5">
        <f t="shared" si="3"/>
        <v>0</v>
      </c>
      <c r="K16" s="26">
        <f>ROUND(SUMIFS(月別入力!$J:$J,月別入力!$F:$F,設定!$C16,月別入力!$D:$D,設定!K$9,月別入力!$B:$B,設定!$B16),0)</f>
        <v>0</v>
      </c>
      <c r="L16" s="26">
        <f>ROUND(SUMIFS(月別入力!$J:$J,月別入力!$F:$F,設定!$C16,月別入力!$D:$D,設定!L$9,月別入力!$B:$B,設定!$B16),0)</f>
        <v>0</v>
      </c>
      <c r="M16" s="26">
        <f>ROUND(SUMIFS(月別入力!$J:$J,月別入力!$F:$F,設定!$C16,月別入力!$D:$D,設定!M$9,月別入力!$B:$B,設定!$B16),0)</f>
        <v>0</v>
      </c>
      <c r="N16" s="26">
        <f>ROUND(SUMIFS(月別入力!$J:$J,月別入力!$F:$F,設定!$C16,月別入力!$D:$D,設定!N$9,月別入力!$B:$B,設定!$B16),0)</f>
        <v>0</v>
      </c>
      <c r="O16" s="26">
        <f>ROUND(SUMIFS(月別入力!$J:$J,月別入力!$F:$F,設定!$C16,月別入力!$D:$D,設定!O$9,月別入力!$B:$B,設定!$B16),0)</f>
        <v>0</v>
      </c>
      <c r="P16" s="26">
        <f>ROUND(SUMIFS(月別入力!$J:$J,月別入力!$F:$F,設定!$C16,月別入力!$D:$D,設定!P$9,月別入力!$B:$B,設定!$B16),0)</f>
        <v>0</v>
      </c>
      <c r="Q16" s="26">
        <f>ROUND(SUMIFS(月別入力!$J:$J,月別入力!$F:$F,設定!$C16,月別入力!$D:$D,設定!Q$9,月別入力!$B:$B,設定!$B16),0)</f>
        <v>0</v>
      </c>
      <c r="R16" s="26">
        <f>ROUND(SUMIFS(月別入力!$J:$J,月別入力!$F:$F,設定!$C16,月別入力!$D:$D,設定!R$9,月別入力!$B:$B,設定!$B16),0)</f>
        <v>0</v>
      </c>
      <c r="S16" s="26">
        <f>ROUND(SUMIFS(月別入力!$J:$J,月別入力!$F:$F,設定!$C16,月別入力!$D:$D,設定!S$9,月別入力!$B:$B,設定!$B16),0)</f>
        <v>0</v>
      </c>
      <c r="T16" s="26">
        <f>ROUND(SUMIFS(月別入力!$J:$J,月別入力!$F:$F,設定!$C16,月別入力!$D:$D,設定!T$9,月別入力!$B:$B,設定!$B16),0)</f>
        <v>0</v>
      </c>
      <c r="U16" s="26">
        <f>ROUND(SUMIFS(月別入力!$J:$J,月別入力!$F:$F,設定!$C16,月別入力!$D:$D,設定!U$9,月別入力!$B:$B,設定!$B16),0)</f>
        <v>0</v>
      </c>
      <c r="V16" s="8">
        <f>ROUND(SUMIFS(月別入力!$J:$J,月別入力!$F:$F,設定!$C16,月別入力!$D:$D,設定!V$9,月別入力!$B:$B,設定!$B16),0)</f>
        <v>0</v>
      </c>
      <c r="W16" s="9">
        <f>ROUND(SUMIFS(月別入力!$J:$J,月別入力!$F:$F,設定!$C16,月別入力!$D:$D,設定!W$9,月別入力!$B:$B,設定!$B16),0)</f>
        <v>0</v>
      </c>
    </row>
    <row r="17" spans="2:23" s="3" customFormat="1" ht="15" customHeight="1" x14ac:dyDescent="0.2">
      <c r="B17" s="37" t="str">
        <f t="shared" si="2"/>
        <v>&lt;=12</v>
      </c>
      <c r="C17" s="21"/>
      <c r="D17" s="5"/>
      <c r="E17" s="10"/>
      <c r="F17" s="11"/>
      <c r="G17" s="24">
        <f t="shared" si="0"/>
        <v>0</v>
      </c>
      <c r="H17" s="26">
        <f t="shared" si="1"/>
        <v>0</v>
      </c>
      <c r="I17" s="26">
        <f>ROUND(SUMIFS(月別入力!$J:$J,月別入力!$F:$F,設定!$C17,月別入力!$D:$D,設定!I$9,月別入力!$B:$B,設定!$B17),0)</f>
        <v>0</v>
      </c>
      <c r="J17" s="5">
        <f t="shared" si="3"/>
        <v>0</v>
      </c>
      <c r="K17" s="26">
        <f>ROUND(SUMIFS(月別入力!$J:$J,月別入力!$F:$F,設定!$C17,月別入力!$D:$D,設定!K$9,月別入力!$B:$B,設定!$B17),0)</f>
        <v>0</v>
      </c>
      <c r="L17" s="26">
        <f>ROUND(SUMIFS(月別入力!$J:$J,月別入力!$F:$F,設定!$C17,月別入力!$D:$D,設定!L$9,月別入力!$B:$B,設定!$B17),0)</f>
        <v>0</v>
      </c>
      <c r="M17" s="26">
        <f>ROUND(SUMIFS(月別入力!$J:$J,月別入力!$F:$F,設定!$C17,月別入力!$D:$D,設定!M$9,月別入力!$B:$B,設定!$B17),0)</f>
        <v>0</v>
      </c>
      <c r="N17" s="26">
        <f>ROUND(SUMIFS(月別入力!$J:$J,月別入力!$F:$F,設定!$C17,月別入力!$D:$D,設定!N$9,月別入力!$B:$B,設定!$B17),0)</f>
        <v>0</v>
      </c>
      <c r="O17" s="26">
        <f>ROUND(SUMIFS(月別入力!$J:$J,月別入力!$F:$F,設定!$C17,月別入力!$D:$D,設定!O$9,月別入力!$B:$B,設定!$B17),0)</f>
        <v>0</v>
      </c>
      <c r="P17" s="26">
        <f>ROUND(SUMIFS(月別入力!$J:$J,月別入力!$F:$F,設定!$C17,月別入力!$D:$D,設定!P$9,月別入力!$B:$B,設定!$B17),0)</f>
        <v>0</v>
      </c>
      <c r="Q17" s="26">
        <f>ROUND(SUMIFS(月別入力!$J:$J,月別入力!$F:$F,設定!$C17,月別入力!$D:$D,設定!Q$9,月別入力!$B:$B,設定!$B17),0)</f>
        <v>0</v>
      </c>
      <c r="R17" s="26">
        <f>ROUND(SUMIFS(月別入力!$J:$J,月別入力!$F:$F,設定!$C17,月別入力!$D:$D,設定!R$9,月別入力!$B:$B,設定!$B17),0)</f>
        <v>0</v>
      </c>
      <c r="S17" s="26">
        <f>ROUND(SUMIFS(月別入力!$J:$J,月別入力!$F:$F,設定!$C17,月別入力!$D:$D,設定!S$9,月別入力!$B:$B,設定!$B17),0)</f>
        <v>0</v>
      </c>
      <c r="T17" s="26">
        <f>ROUND(SUMIFS(月別入力!$J:$J,月別入力!$F:$F,設定!$C17,月別入力!$D:$D,設定!T$9,月別入力!$B:$B,設定!$B17),0)</f>
        <v>0</v>
      </c>
      <c r="U17" s="26">
        <f>ROUND(SUMIFS(月別入力!$J:$J,月別入力!$F:$F,設定!$C17,月別入力!$D:$D,設定!U$9,月別入力!$B:$B,設定!$B17),0)</f>
        <v>0</v>
      </c>
      <c r="V17" s="8">
        <f>ROUND(SUMIFS(月別入力!$J:$J,月別入力!$F:$F,設定!$C17,月別入力!$D:$D,設定!V$9,月別入力!$B:$B,設定!$B17),0)</f>
        <v>0</v>
      </c>
      <c r="W17" s="9">
        <f>ROUND(SUMIFS(月別入力!$J:$J,月別入力!$F:$F,設定!$C17,月別入力!$D:$D,設定!W$9,月別入力!$B:$B,設定!$B17),0)</f>
        <v>0</v>
      </c>
    </row>
    <row r="18" spans="2:23" s="3" customFormat="1" ht="15" customHeight="1" x14ac:dyDescent="0.2">
      <c r="B18" s="37" t="str">
        <f t="shared" si="2"/>
        <v>&lt;=12</v>
      </c>
      <c r="C18" s="21"/>
      <c r="D18" s="6"/>
      <c r="E18" s="10"/>
      <c r="F18" s="11"/>
      <c r="G18" s="24">
        <f t="shared" si="0"/>
        <v>0</v>
      </c>
      <c r="H18" s="26">
        <f t="shared" si="1"/>
        <v>0</v>
      </c>
      <c r="I18" s="26">
        <f>ROUND(SUMIFS(月別入力!$J:$J,月別入力!$F:$F,設定!$C18,月別入力!$D:$D,設定!I$9,月別入力!$B:$B,設定!$B18),0)</f>
        <v>0</v>
      </c>
      <c r="J18" s="5">
        <f t="shared" si="3"/>
        <v>0</v>
      </c>
      <c r="K18" s="26">
        <f>ROUND(SUMIFS(月別入力!$J:$J,月別入力!$F:$F,設定!$C18,月別入力!$D:$D,設定!K$9,月別入力!$B:$B,設定!$B18),0)</f>
        <v>0</v>
      </c>
      <c r="L18" s="26">
        <f>ROUND(SUMIFS(月別入力!$J:$J,月別入力!$F:$F,設定!$C18,月別入力!$D:$D,設定!L$9,月別入力!$B:$B,設定!$B18),0)</f>
        <v>0</v>
      </c>
      <c r="M18" s="26">
        <f>ROUND(SUMIFS(月別入力!$J:$J,月別入力!$F:$F,設定!$C18,月別入力!$D:$D,設定!M$9,月別入力!$B:$B,設定!$B18),0)</f>
        <v>0</v>
      </c>
      <c r="N18" s="26">
        <f>ROUND(SUMIFS(月別入力!$J:$J,月別入力!$F:$F,設定!$C18,月別入力!$D:$D,設定!N$9,月別入力!$B:$B,設定!$B18),0)</f>
        <v>0</v>
      </c>
      <c r="O18" s="26">
        <f>ROUND(SUMIFS(月別入力!$J:$J,月別入力!$F:$F,設定!$C18,月別入力!$D:$D,設定!O$9,月別入力!$B:$B,設定!$B18),0)</f>
        <v>0</v>
      </c>
      <c r="P18" s="26">
        <f>ROUND(SUMIFS(月別入力!$J:$J,月別入力!$F:$F,設定!$C18,月別入力!$D:$D,設定!P$9,月別入力!$B:$B,設定!$B18),0)</f>
        <v>0</v>
      </c>
      <c r="Q18" s="26">
        <f>ROUND(SUMIFS(月別入力!$J:$J,月別入力!$F:$F,設定!$C18,月別入力!$D:$D,設定!Q$9,月別入力!$B:$B,設定!$B18),0)</f>
        <v>0</v>
      </c>
      <c r="R18" s="26">
        <f>ROUND(SUMIFS(月別入力!$J:$J,月別入力!$F:$F,設定!$C18,月別入力!$D:$D,設定!R$9,月別入力!$B:$B,設定!$B18),0)</f>
        <v>0</v>
      </c>
      <c r="S18" s="26">
        <f>ROUND(SUMIFS(月別入力!$J:$J,月別入力!$F:$F,設定!$C18,月別入力!$D:$D,設定!S$9,月別入力!$B:$B,設定!$B18),0)</f>
        <v>0</v>
      </c>
      <c r="T18" s="26">
        <f>ROUND(SUMIFS(月別入力!$J:$J,月別入力!$F:$F,設定!$C18,月別入力!$D:$D,設定!T$9,月別入力!$B:$B,設定!$B18),0)</f>
        <v>0</v>
      </c>
      <c r="U18" s="26">
        <f>ROUND(SUMIFS(月別入力!$J:$J,月別入力!$F:$F,設定!$C18,月別入力!$D:$D,設定!U$9,月別入力!$B:$B,設定!$B18),0)</f>
        <v>0</v>
      </c>
      <c r="V18" s="8">
        <f>ROUND(SUMIFS(月別入力!$J:$J,月別入力!$F:$F,設定!$C18,月別入力!$D:$D,設定!V$9,月別入力!$B:$B,設定!$B18),0)</f>
        <v>0</v>
      </c>
      <c r="W18" s="9">
        <f>ROUND(SUMIFS(月別入力!$J:$J,月別入力!$F:$F,設定!$C18,月別入力!$D:$D,設定!W$9,月別入力!$B:$B,設定!$B18),0)</f>
        <v>0</v>
      </c>
    </row>
    <row r="19" spans="2:23" s="3" customFormat="1" ht="15" customHeight="1" x14ac:dyDescent="0.2">
      <c r="B19" s="37" t="str">
        <f t="shared" si="2"/>
        <v>&lt;=12</v>
      </c>
      <c r="C19" s="21"/>
      <c r="D19" s="5"/>
      <c r="E19" s="10"/>
      <c r="F19" s="11"/>
      <c r="G19" s="24">
        <f t="shared" si="0"/>
        <v>0</v>
      </c>
      <c r="H19" s="26">
        <f t="shared" si="1"/>
        <v>0</v>
      </c>
      <c r="I19" s="26">
        <f>ROUND(SUMIFS(月別入力!$J:$J,月別入力!$F:$F,設定!$C19,月別入力!$D:$D,設定!I$9,月別入力!$B:$B,設定!$B19),0)</f>
        <v>0</v>
      </c>
      <c r="J19" s="5">
        <f t="shared" si="3"/>
        <v>0</v>
      </c>
      <c r="K19" s="26">
        <f>ROUND(SUMIFS(月別入力!$J:$J,月別入力!$F:$F,設定!$C19,月別入力!$D:$D,設定!K$9,月別入力!$B:$B,設定!$B19),0)</f>
        <v>0</v>
      </c>
      <c r="L19" s="26">
        <f>ROUND(SUMIFS(月別入力!$J:$J,月別入力!$F:$F,設定!$C19,月別入力!$D:$D,設定!L$9,月別入力!$B:$B,設定!$B19),0)</f>
        <v>0</v>
      </c>
      <c r="M19" s="26">
        <f>ROUND(SUMIFS(月別入力!$J:$J,月別入力!$F:$F,設定!$C19,月別入力!$D:$D,設定!M$9,月別入力!$B:$B,設定!$B19),0)</f>
        <v>0</v>
      </c>
      <c r="N19" s="26">
        <f>ROUND(SUMIFS(月別入力!$J:$J,月別入力!$F:$F,設定!$C19,月別入力!$D:$D,設定!N$9,月別入力!$B:$B,設定!$B19),0)</f>
        <v>0</v>
      </c>
      <c r="O19" s="26">
        <f>ROUND(SUMIFS(月別入力!$J:$J,月別入力!$F:$F,設定!$C19,月別入力!$D:$D,設定!O$9,月別入力!$B:$B,設定!$B19),0)</f>
        <v>0</v>
      </c>
      <c r="P19" s="26">
        <f>ROUND(SUMIFS(月別入力!$J:$J,月別入力!$F:$F,設定!$C19,月別入力!$D:$D,設定!P$9,月別入力!$B:$B,設定!$B19),0)</f>
        <v>0</v>
      </c>
      <c r="Q19" s="26">
        <f>ROUND(SUMIFS(月別入力!$J:$J,月別入力!$F:$F,設定!$C19,月別入力!$D:$D,設定!Q$9,月別入力!$B:$B,設定!$B19),0)</f>
        <v>0</v>
      </c>
      <c r="R19" s="26">
        <f>ROUND(SUMIFS(月別入力!$J:$J,月別入力!$F:$F,設定!$C19,月別入力!$D:$D,設定!R$9,月別入力!$B:$B,設定!$B19),0)</f>
        <v>0</v>
      </c>
      <c r="S19" s="26">
        <f>ROUND(SUMIFS(月別入力!$J:$J,月別入力!$F:$F,設定!$C19,月別入力!$D:$D,設定!S$9,月別入力!$B:$B,設定!$B19),0)</f>
        <v>0</v>
      </c>
      <c r="T19" s="26">
        <f>ROUND(SUMIFS(月別入力!$J:$J,月別入力!$F:$F,設定!$C19,月別入力!$D:$D,設定!T$9,月別入力!$B:$B,設定!$B19),0)</f>
        <v>0</v>
      </c>
      <c r="U19" s="26">
        <f>ROUND(SUMIFS(月別入力!$J:$J,月別入力!$F:$F,設定!$C19,月別入力!$D:$D,設定!U$9,月別入力!$B:$B,設定!$B19),0)</f>
        <v>0</v>
      </c>
      <c r="V19" s="8">
        <f>ROUND(SUMIFS(月別入力!$J:$J,月別入力!$F:$F,設定!$C19,月別入力!$D:$D,設定!V$9,月別入力!$B:$B,設定!$B19),0)</f>
        <v>0</v>
      </c>
      <c r="W19" s="9">
        <f>ROUND(SUMIFS(月別入力!$J:$J,月別入力!$F:$F,設定!$C19,月別入力!$D:$D,設定!W$9,月別入力!$B:$B,設定!$B19),0)</f>
        <v>0</v>
      </c>
    </row>
    <row r="20" spans="2:23" s="3" customFormat="1" ht="15" customHeight="1" x14ac:dyDescent="0.2">
      <c r="B20" s="37" t="str">
        <f t="shared" si="2"/>
        <v>&lt;=12</v>
      </c>
      <c r="C20" s="21"/>
      <c r="D20" s="6"/>
      <c r="E20" s="10"/>
      <c r="F20" s="11"/>
      <c r="G20" s="24">
        <f t="shared" si="0"/>
        <v>0</v>
      </c>
      <c r="H20" s="26">
        <f t="shared" si="1"/>
        <v>0</v>
      </c>
      <c r="I20" s="26">
        <f>ROUND(SUMIFS(月別入力!$J:$J,月別入力!$F:$F,設定!$C20,月別入力!$D:$D,設定!I$9,月別入力!$B:$B,設定!$B20),0)</f>
        <v>0</v>
      </c>
      <c r="J20" s="5">
        <f t="shared" si="3"/>
        <v>0</v>
      </c>
      <c r="K20" s="26">
        <f>ROUND(SUMIFS(月別入力!$J:$J,月別入力!$F:$F,設定!$C20,月別入力!$D:$D,設定!K$9,月別入力!$B:$B,設定!$B20),0)</f>
        <v>0</v>
      </c>
      <c r="L20" s="26">
        <f>ROUND(SUMIFS(月別入力!$J:$J,月別入力!$F:$F,設定!$C20,月別入力!$D:$D,設定!L$9,月別入力!$B:$B,設定!$B20),0)</f>
        <v>0</v>
      </c>
      <c r="M20" s="26">
        <f>ROUND(SUMIFS(月別入力!$J:$J,月別入力!$F:$F,設定!$C20,月別入力!$D:$D,設定!M$9,月別入力!$B:$B,設定!$B20),0)</f>
        <v>0</v>
      </c>
      <c r="N20" s="26">
        <f>ROUND(SUMIFS(月別入力!$J:$J,月別入力!$F:$F,設定!$C20,月別入力!$D:$D,設定!N$9,月別入力!$B:$B,設定!$B20),0)</f>
        <v>0</v>
      </c>
      <c r="O20" s="26">
        <f>ROUND(SUMIFS(月別入力!$J:$J,月別入力!$F:$F,設定!$C20,月別入力!$D:$D,設定!O$9,月別入力!$B:$B,設定!$B20),0)</f>
        <v>0</v>
      </c>
      <c r="P20" s="26">
        <f>ROUND(SUMIFS(月別入力!$J:$J,月別入力!$F:$F,設定!$C20,月別入力!$D:$D,設定!P$9,月別入力!$B:$B,設定!$B20),0)</f>
        <v>0</v>
      </c>
      <c r="Q20" s="26">
        <f>ROUND(SUMIFS(月別入力!$J:$J,月別入力!$F:$F,設定!$C20,月別入力!$D:$D,設定!Q$9,月別入力!$B:$B,設定!$B20),0)</f>
        <v>0</v>
      </c>
      <c r="R20" s="26">
        <f>ROUND(SUMIFS(月別入力!$J:$J,月別入力!$F:$F,設定!$C20,月別入力!$D:$D,設定!R$9,月別入力!$B:$B,設定!$B20),0)</f>
        <v>0</v>
      </c>
      <c r="S20" s="26">
        <f>ROUND(SUMIFS(月別入力!$J:$J,月別入力!$F:$F,設定!$C20,月別入力!$D:$D,設定!S$9,月別入力!$B:$B,設定!$B20),0)</f>
        <v>0</v>
      </c>
      <c r="T20" s="26">
        <f>ROUND(SUMIFS(月別入力!$J:$J,月別入力!$F:$F,設定!$C20,月別入力!$D:$D,設定!T$9,月別入力!$B:$B,設定!$B20),0)</f>
        <v>0</v>
      </c>
      <c r="U20" s="26">
        <f>ROUND(SUMIFS(月別入力!$J:$J,月別入力!$F:$F,設定!$C20,月別入力!$D:$D,設定!U$9,月別入力!$B:$B,設定!$B20),0)</f>
        <v>0</v>
      </c>
      <c r="V20" s="8">
        <f>ROUND(SUMIFS(月別入力!$J:$J,月別入力!$F:$F,設定!$C20,月別入力!$D:$D,設定!V$9,月別入力!$B:$B,設定!$B20),0)</f>
        <v>0</v>
      </c>
      <c r="W20" s="9">
        <f>ROUND(SUMIFS(月別入力!$J:$J,月別入力!$F:$F,設定!$C20,月別入力!$D:$D,設定!W$9,月別入力!$B:$B,設定!$B20),0)</f>
        <v>0</v>
      </c>
    </row>
    <row r="21" spans="2:23" s="3" customFormat="1" ht="15" customHeight="1" x14ac:dyDescent="0.2">
      <c r="B21" s="37" t="str">
        <f t="shared" si="2"/>
        <v>&lt;=12</v>
      </c>
      <c r="C21" s="21"/>
      <c r="D21" s="6"/>
      <c r="E21" s="10"/>
      <c r="F21" s="11"/>
      <c r="G21" s="24">
        <f t="shared" si="0"/>
        <v>0</v>
      </c>
      <c r="H21" s="26">
        <f t="shared" si="1"/>
        <v>0</v>
      </c>
      <c r="I21" s="26">
        <f>ROUND(SUMIFS(月別入力!$J:$J,月別入力!$F:$F,設定!$C21,月別入力!$D:$D,設定!I$9,月別入力!$B:$B,設定!$B21),0)</f>
        <v>0</v>
      </c>
      <c r="J21" s="5">
        <f t="shared" si="3"/>
        <v>0</v>
      </c>
      <c r="K21" s="8">
        <f>ROUND(SUMIFS(月別入力!$J:$J,月別入力!$F:$F,設定!$C21,月別入力!$D:$D,設定!K$9,月別入力!$B:$B,設定!$B21),0)</f>
        <v>0</v>
      </c>
      <c r="L21" s="8">
        <f>ROUND(SUMIFS(月別入力!$J:$J,月別入力!$F:$F,設定!$C21,月別入力!$D:$D,設定!L$9,月別入力!$B:$B,設定!$B21),0)</f>
        <v>0</v>
      </c>
      <c r="M21" s="8">
        <f>ROUND(SUMIFS(月別入力!$J:$J,月別入力!$F:$F,設定!$C21,月別入力!$D:$D,設定!M$9,月別入力!$B:$B,設定!$B21),0)</f>
        <v>0</v>
      </c>
      <c r="N21" s="8">
        <f>ROUND(SUMIFS(月別入力!$J:$J,月別入力!$F:$F,設定!$C21,月別入力!$D:$D,設定!N$9,月別入力!$B:$B,設定!$B21),0)</f>
        <v>0</v>
      </c>
      <c r="O21" s="8">
        <f>ROUND(SUMIFS(月別入力!$J:$J,月別入力!$F:$F,設定!$C21,月別入力!$D:$D,設定!O$9,月別入力!$B:$B,設定!$B21),0)</f>
        <v>0</v>
      </c>
      <c r="P21" s="8">
        <f>ROUND(SUMIFS(月別入力!$J:$J,月別入力!$F:$F,設定!$C21,月別入力!$D:$D,設定!P$9,月別入力!$B:$B,設定!$B21),0)</f>
        <v>0</v>
      </c>
      <c r="Q21" s="8">
        <f>ROUND(SUMIFS(月別入力!$J:$J,月別入力!$F:$F,設定!$C21,月別入力!$D:$D,設定!Q$9,月別入力!$B:$B,設定!$B21),0)</f>
        <v>0</v>
      </c>
      <c r="R21" s="8">
        <f>ROUND(SUMIFS(月別入力!$J:$J,月別入力!$F:$F,設定!$C21,月別入力!$D:$D,設定!R$9,月別入力!$B:$B,設定!$B21),0)</f>
        <v>0</v>
      </c>
      <c r="S21" s="8">
        <f>ROUND(SUMIFS(月別入力!$J:$J,月別入力!$F:$F,設定!$C21,月別入力!$D:$D,設定!S$9,月別入力!$B:$B,設定!$B21),0)</f>
        <v>0</v>
      </c>
      <c r="T21" s="8">
        <f>ROUND(SUMIFS(月別入力!$J:$J,月別入力!$F:$F,設定!$C21,月別入力!$D:$D,設定!T$9,月別入力!$B:$B,設定!$B21),0)</f>
        <v>0</v>
      </c>
      <c r="U21" s="8">
        <f>ROUND(SUMIFS(月別入力!$J:$J,月別入力!$F:$F,設定!$C21,月別入力!$D:$D,設定!U$9,月別入力!$B:$B,設定!$B21),0)</f>
        <v>0</v>
      </c>
      <c r="V21" s="8">
        <f>ROUND(SUMIFS(月別入力!$J:$J,月別入力!$F:$F,設定!$C21,月別入力!$D:$D,設定!V$9,月別入力!$B:$B,設定!$B21),0)</f>
        <v>0</v>
      </c>
      <c r="W21" s="9">
        <f>ROUND(SUMIFS(月別入力!$J:$J,月別入力!$F:$F,設定!$C21,月別入力!$D:$D,設定!W$9,月別入力!$B:$B,設定!$B21),0)</f>
        <v>0</v>
      </c>
    </row>
    <row r="22" spans="2:23" s="3" customFormat="1" ht="15" customHeight="1" x14ac:dyDescent="0.2">
      <c r="B22" s="37" t="str">
        <f t="shared" si="2"/>
        <v>&lt;=12</v>
      </c>
      <c r="C22" s="21"/>
      <c r="D22" s="6"/>
      <c r="E22" s="10"/>
      <c r="F22" s="11"/>
      <c r="G22" s="24">
        <f t="shared" si="0"/>
        <v>0</v>
      </c>
      <c r="H22" s="26">
        <f t="shared" si="1"/>
        <v>0</v>
      </c>
      <c r="I22" s="26">
        <f>ROUND(SUMIFS(月別入力!$J:$J,月別入力!$F:$F,設定!$C22,月別入力!$D:$D,設定!I$9,月別入力!$B:$B,設定!$B22),0)</f>
        <v>0</v>
      </c>
      <c r="J22" s="5">
        <f t="shared" si="3"/>
        <v>0</v>
      </c>
      <c r="K22" s="8">
        <f>ROUND(SUMIFS(月別入力!$J:$J,月別入力!$F:$F,設定!$C22,月別入力!$D:$D,設定!K$9,月別入力!$B:$B,設定!$B22),0)</f>
        <v>0</v>
      </c>
      <c r="L22" s="8">
        <f>ROUND(SUMIFS(月別入力!$J:$J,月別入力!$F:$F,設定!$C22,月別入力!$D:$D,設定!L$9,月別入力!$B:$B,設定!$B22),0)</f>
        <v>0</v>
      </c>
      <c r="M22" s="8">
        <f>ROUND(SUMIFS(月別入力!$J:$J,月別入力!$F:$F,設定!$C22,月別入力!$D:$D,設定!M$9,月別入力!$B:$B,設定!$B22),0)</f>
        <v>0</v>
      </c>
      <c r="N22" s="8">
        <f>ROUND(SUMIFS(月別入力!$J:$J,月別入力!$F:$F,設定!$C22,月別入力!$D:$D,設定!N$9,月別入力!$B:$B,設定!$B22),0)</f>
        <v>0</v>
      </c>
      <c r="O22" s="8">
        <f>ROUND(SUMIFS(月別入力!$J:$J,月別入力!$F:$F,設定!$C22,月別入力!$D:$D,設定!O$9,月別入力!$B:$B,設定!$B22),0)</f>
        <v>0</v>
      </c>
      <c r="P22" s="8">
        <f>ROUND(SUMIFS(月別入力!$J:$J,月別入力!$F:$F,設定!$C22,月別入力!$D:$D,設定!P$9,月別入力!$B:$B,設定!$B22),0)</f>
        <v>0</v>
      </c>
      <c r="Q22" s="8">
        <f>ROUND(SUMIFS(月別入力!$J:$J,月別入力!$F:$F,設定!$C22,月別入力!$D:$D,設定!Q$9,月別入力!$B:$B,設定!$B22),0)</f>
        <v>0</v>
      </c>
      <c r="R22" s="8">
        <f>ROUND(SUMIFS(月別入力!$J:$J,月別入力!$F:$F,設定!$C22,月別入力!$D:$D,設定!R$9,月別入力!$B:$B,設定!$B22),0)</f>
        <v>0</v>
      </c>
      <c r="S22" s="8">
        <f>ROUND(SUMIFS(月別入力!$J:$J,月別入力!$F:$F,設定!$C22,月別入力!$D:$D,設定!S$9,月別入力!$B:$B,設定!$B22),0)</f>
        <v>0</v>
      </c>
      <c r="T22" s="8">
        <f>ROUND(SUMIFS(月別入力!$J:$J,月別入力!$F:$F,設定!$C22,月別入力!$D:$D,設定!T$9,月別入力!$B:$B,設定!$B22),0)</f>
        <v>0</v>
      </c>
      <c r="U22" s="8">
        <f>ROUND(SUMIFS(月別入力!$J:$J,月別入力!$F:$F,設定!$C22,月別入力!$D:$D,設定!U$9,月別入力!$B:$B,設定!$B22),0)</f>
        <v>0</v>
      </c>
      <c r="V22" s="8">
        <f>ROUND(SUMIFS(月別入力!$J:$J,月別入力!$F:$F,設定!$C22,月別入力!$D:$D,設定!V$9,月別入力!$B:$B,設定!$B22),0)</f>
        <v>0</v>
      </c>
      <c r="W22" s="9">
        <f>ROUND(SUMIFS(月別入力!$J:$J,月別入力!$F:$F,設定!$C22,月別入力!$D:$D,設定!W$9,月別入力!$B:$B,設定!$B22),0)</f>
        <v>0</v>
      </c>
    </row>
    <row r="23" spans="2:23" s="3" customFormat="1" ht="15" customHeight="1" x14ac:dyDescent="0.2">
      <c r="B23" s="37" t="str">
        <f t="shared" si="2"/>
        <v>&lt;=12</v>
      </c>
      <c r="C23" s="21"/>
      <c r="D23" s="6"/>
      <c r="E23" s="10"/>
      <c r="F23" s="11"/>
      <c r="G23" s="24">
        <f t="shared" si="0"/>
        <v>0</v>
      </c>
      <c r="H23" s="26">
        <f t="shared" si="1"/>
        <v>0</v>
      </c>
      <c r="I23" s="26">
        <f>ROUND(SUMIFS(月別入力!$J:$J,月別入力!$F:$F,設定!$C23,月別入力!$D:$D,設定!I$9,月別入力!$B:$B,設定!$B23),0)</f>
        <v>0</v>
      </c>
      <c r="J23" s="5">
        <f t="shared" si="3"/>
        <v>0</v>
      </c>
      <c r="K23" s="8">
        <f>ROUND(SUMIFS(月別入力!$J:$J,月別入力!$F:$F,設定!$C23,月別入力!$D:$D,設定!K$9,月別入力!$B:$B,設定!$B23),0)</f>
        <v>0</v>
      </c>
      <c r="L23" s="8">
        <f>ROUND(SUMIFS(月別入力!$J:$J,月別入力!$F:$F,設定!$C23,月別入力!$D:$D,設定!L$9,月別入力!$B:$B,設定!$B23),0)</f>
        <v>0</v>
      </c>
      <c r="M23" s="8">
        <f>ROUND(SUMIFS(月別入力!$J:$J,月別入力!$F:$F,設定!$C23,月別入力!$D:$D,設定!M$9,月別入力!$B:$B,設定!$B23),0)</f>
        <v>0</v>
      </c>
      <c r="N23" s="8">
        <f>ROUND(SUMIFS(月別入力!$J:$J,月別入力!$F:$F,設定!$C23,月別入力!$D:$D,設定!N$9,月別入力!$B:$B,設定!$B23),0)</f>
        <v>0</v>
      </c>
      <c r="O23" s="8">
        <f>ROUND(SUMIFS(月別入力!$J:$J,月別入力!$F:$F,設定!$C23,月別入力!$D:$D,設定!O$9,月別入力!$B:$B,設定!$B23),0)</f>
        <v>0</v>
      </c>
      <c r="P23" s="8">
        <f>ROUND(SUMIFS(月別入力!$J:$J,月別入力!$F:$F,設定!$C23,月別入力!$D:$D,設定!P$9,月別入力!$B:$B,設定!$B23),0)</f>
        <v>0</v>
      </c>
      <c r="Q23" s="8">
        <f>ROUND(SUMIFS(月別入力!$J:$J,月別入力!$F:$F,設定!$C23,月別入力!$D:$D,設定!Q$9,月別入力!$B:$B,設定!$B23),0)</f>
        <v>0</v>
      </c>
      <c r="R23" s="8">
        <f>ROUND(SUMIFS(月別入力!$J:$J,月別入力!$F:$F,設定!$C23,月別入力!$D:$D,設定!R$9,月別入力!$B:$B,設定!$B23),0)</f>
        <v>0</v>
      </c>
      <c r="S23" s="8">
        <f>ROUND(SUMIFS(月別入力!$J:$J,月別入力!$F:$F,設定!$C23,月別入力!$D:$D,設定!S$9,月別入力!$B:$B,設定!$B23),0)</f>
        <v>0</v>
      </c>
      <c r="T23" s="8">
        <f>ROUND(SUMIFS(月別入力!$J:$J,月別入力!$F:$F,設定!$C23,月別入力!$D:$D,設定!T$9,月別入力!$B:$B,設定!$B23),0)</f>
        <v>0</v>
      </c>
      <c r="U23" s="8">
        <f>ROUND(SUMIFS(月別入力!$J:$J,月別入力!$F:$F,設定!$C23,月別入力!$D:$D,設定!U$9,月別入力!$B:$B,設定!$B23),0)</f>
        <v>0</v>
      </c>
      <c r="V23" s="8">
        <f>ROUND(SUMIFS(月別入力!$J:$J,月別入力!$F:$F,設定!$C23,月別入力!$D:$D,設定!V$9,月別入力!$B:$B,設定!$B23),0)</f>
        <v>0</v>
      </c>
      <c r="W23" s="9">
        <f>ROUND(SUMIFS(月別入力!$J:$J,月別入力!$F:$F,設定!$C23,月別入力!$D:$D,設定!W$9,月別入力!$B:$B,設定!$B23),0)</f>
        <v>0</v>
      </c>
    </row>
    <row r="24" spans="2:23" s="3" customFormat="1" ht="15" customHeight="1" x14ac:dyDescent="0.2">
      <c r="B24" s="37" t="str">
        <f t="shared" si="2"/>
        <v>&lt;=12</v>
      </c>
      <c r="C24" s="21"/>
      <c r="D24" s="6"/>
      <c r="E24" s="10"/>
      <c r="F24" s="11"/>
      <c r="G24" s="24">
        <f t="shared" si="0"/>
        <v>0</v>
      </c>
      <c r="H24" s="26">
        <f t="shared" si="1"/>
        <v>0</v>
      </c>
      <c r="I24" s="26">
        <f>ROUND(SUMIFS(月別入力!$J:$J,月別入力!$F:$F,設定!$C24,月別入力!$D:$D,設定!I$9,月別入力!$B:$B,設定!$B24),0)</f>
        <v>0</v>
      </c>
      <c r="J24" s="5">
        <f t="shared" si="3"/>
        <v>0</v>
      </c>
      <c r="K24" s="8">
        <f>ROUND(SUMIFS(月別入力!$J:$J,月別入力!$F:$F,設定!$C24,月別入力!$D:$D,設定!K$9,月別入力!$B:$B,設定!$B24),0)</f>
        <v>0</v>
      </c>
      <c r="L24" s="8">
        <f>ROUND(SUMIFS(月別入力!$J:$J,月別入力!$F:$F,設定!$C24,月別入力!$D:$D,設定!L$9,月別入力!$B:$B,設定!$B24),0)</f>
        <v>0</v>
      </c>
      <c r="M24" s="8">
        <f>ROUND(SUMIFS(月別入力!$J:$J,月別入力!$F:$F,設定!$C24,月別入力!$D:$D,設定!M$9,月別入力!$B:$B,設定!$B24),0)</f>
        <v>0</v>
      </c>
      <c r="N24" s="8">
        <f>ROUND(SUMIFS(月別入力!$J:$J,月別入力!$F:$F,設定!$C24,月別入力!$D:$D,設定!N$9,月別入力!$B:$B,設定!$B24),0)</f>
        <v>0</v>
      </c>
      <c r="O24" s="8">
        <f>ROUND(SUMIFS(月別入力!$J:$J,月別入力!$F:$F,設定!$C24,月別入力!$D:$D,設定!O$9,月別入力!$B:$B,設定!$B24),0)</f>
        <v>0</v>
      </c>
      <c r="P24" s="8">
        <f>ROUND(SUMIFS(月別入力!$J:$J,月別入力!$F:$F,設定!$C24,月別入力!$D:$D,設定!P$9,月別入力!$B:$B,設定!$B24),0)</f>
        <v>0</v>
      </c>
      <c r="Q24" s="8">
        <f>ROUND(SUMIFS(月別入力!$J:$J,月別入力!$F:$F,設定!$C24,月別入力!$D:$D,設定!Q$9,月別入力!$B:$B,設定!$B24),0)</f>
        <v>0</v>
      </c>
      <c r="R24" s="8">
        <f>ROUND(SUMIFS(月別入力!$J:$J,月別入力!$F:$F,設定!$C24,月別入力!$D:$D,設定!R$9,月別入力!$B:$B,設定!$B24),0)</f>
        <v>0</v>
      </c>
      <c r="S24" s="8">
        <f>ROUND(SUMIFS(月別入力!$J:$J,月別入力!$F:$F,設定!$C24,月別入力!$D:$D,設定!S$9,月別入力!$B:$B,設定!$B24),0)</f>
        <v>0</v>
      </c>
      <c r="T24" s="8">
        <f>ROUND(SUMIFS(月別入力!$J:$J,月別入力!$F:$F,設定!$C24,月別入力!$D:$D,設定!T$9,月別入力!$B:$B,設定!$B24),0)</f>
        <v>0</v>
      </c>
      <c r="U24" s="8">
        <f>ROUND(SUMIFS(月別入力!$J:$J,月別入力!$F:$F,設定!$C24,月別入力!$D:$D,設定!U$9,月別入力!$B:$B,設定!$B24),0)</f>
        <v>0</v>
      </c>
      <c r="V24" s="8">
        <f>ROUND(SUMIFS(月別入力!$J:$J,月別入力!$F:$F,設定!$C24,月別入力!$D:$D,設定!V$9,月別入力!$B:$B,設定!$B24),0)</f>
        <v>0</v>
      </c>
      <c r="W24" s="9">
        <f>ROUND(SUMIFS(月別入力!$J:$J,月別入力!$F:$F,設定!$C24,月別入力!$D:$D,設定!W$9,月別入力!$B:$B,設定!$B24),0)</f>
        <v>0</v>
      </c>
    </row>
    <row r="25" spans="2:23" s="3" customFormat="1" ht="15" customHeight="1" x14ac:dyDescent="0.2">
      <c r="B25" s="37" t="str">
        <f t="shared" si="2"/>
        <v>&lt;=12</v>
      </c>
      <c r="C25" s="21"/>
      <c r="D25" s="6"/>
      <c r="E25" s="10"/>
      <c r="F25" s="11"/>
      <c r="G25" s="24">
        <f t="shared" si="0"/>
        <v>0</v>
      </c>
      <c r="H25" s="26">
        <f t="shared" si="1"/>
        <v>0</v>
      </c>
      <c r="I25" s="26">
        <f>ROUND(SUMIFS(月別入力!$J:$J,月別入力!$F:$F,設定!$C25,月別入力!$D:$D,設定!I$9,月別入力!$B:$B,設定!$B25),0)</f>
        <v>0</v>
      </c>
      <c r="J25" s="5">
        <f t="shared" si="3"/>
        <v>0</v>
      </c>
      <c r="K25" s="8">
        <f>ROUND(SUMIFS(月別入力!$J:$J,月別入力!$F:$F,設定!$C25,月別入力!$D:$D,設定!K$9,月別入力!$B:$B,設定!$B25),0)</f>
        <v>0</v>
      </c>
      <c r="L25" s="8">
        <f>ROUND(SUMIFS(月別入力!$J:$J,月別入力!$F:$F,設定!$C25,月別入力!$D:$D,設定!L$9,月別入力!$B:$B,設定!$B25),0)</f>
        <v>0</v>
      </c>
      <c r="M25" s="8">
        <f>ROUND(SUMIFS(月別入力!$J:$J,月別入力!$F:$F,設定!$C25,月別入力!$D:$D,設定!M$9,月別入力!$B:$B,設定!$B25),0)</f>
        <v>0</v>
      </c>
      <c r="N25" s="8">
        <f>ROUND(SUMIFS(月別入力!$J:$J,月別入力!$F:$F,設定!$C25,月別入力!$D:$D,設定!N$9,月別入力!$B:$B,設定!$B25),0)</f>
        <v>0</v>
      </c>
      <c r="O25" s="8">
        <f>ROUND(SUMIFS(月別入力!$J:$J,月別入力!$F:$F,設定!$C25,月別入力!$D:$D,設定!O$9,月別入力!$B:$B,設定!$B25),0)</f>
        <v>0</v>
      </c>
      <c r="P25" s="8">
        <f>ROUND(SUMIFS(月別入力!$J:$J,月別入力!$F:$F,設定!$C25,月別入力!$D:$D,設定!P$9,月別入力!$B:$B,設定!$B25),0)</f>
        <v>0</v>
      </c>
      <c r="Q25" s="8">
        <f>ROUND(SUMIFS(月別入力!$J:$J,月別入力!$F:$F,設定!$C25,月別入力!$D:$D,設定!Q$9,月別入力!$B:$B,設定!$B25),0)</f>
        <v>0</v>
      </c>
      <c r="R25" s="8">
        <f>ROUND(SUMIFS(月別入力!$J:$J,月別入力!$F:$F,設定!$C25,月別入力!$D:$D,設定!R$9,月別入力!$B:$B,設定!$B25),0)</f>
        <v>0</v>
      </c>
      <c r="S25" s="8">
        <f>ROUND(SUMIFS(月別入力!$J:$J,月別入力!$F:$F,設定!$C25,月別入力!$D:$D,設定!S$9,月別入力!$B:$B,設定!$B25),0)</f>
        <v>0</v>
      </c>
      <c r="T25" s="8">
        <f>ROUND(SUMIFS(月別入力!$J:$J,月別入力!$F:$F,設定!$C25,月別入力!$D:$D,設定!T$9,月別入力!$B:$B,設定!$B25),0)</f>
        <v>0</v>
      </c>
      <c r="U25" s="8">
        <f>ROUND(SUMIFS(月別入力!$J:$J,月別入力!$F:$F,設定!$C25,月別入力!$D:$D,設定!U$9,月別入力!$B:$B,設定!$B25),0)</f>
        <v>0</v>
      </c>
      <c r="V25" s="8">
        <f>ROUND(SUMIFS(月別入力!$J:$J,月別入力!$F:$F,設定!$C25,月別入力!$D:$D,設定!V$9,月別入力!$B:$B,設定!$B25),0)</f>
        <v>0</v>
      </c>
      <c r="W25" s="9">
        <f>ROUND(SUMIFS(月別入力!$J:$J,月別入力!$F:$F,設定!$C25,月別入力!$D:$D,設定!W$9,月別入力!$B:$B,設定!$B25),0)</f>
        <v>0</v>
      </c>
    </row>
    <row r="26" spans="2:23" s="3" customFormat="1" ht="15" customHeight="1" x14ac:dyDescent="0.2">
      <c r="B26" s="37" t="str">
        <f t="shared" si="2"/>
        <v>&lt;=12</v>
      </c>
      <c r="C26" s="21"/>
      <c r="D26" s="6"/>
      <c r="E26" s="10"/>
      <c r="F26" s="11"/>
      <c r="G26" s="24">
        <f t="shared" si="0"/>
        <v>0</v>
      </c>
      <c r="H26" s="26">
        <f t="shared" si="1"/>
        <v>0</v>
      </c>
      <c r="I26" s="26">
        <f>ROUND(SUMIFS(月別入力!$J:$J,月別入力!$F:$F,設定!$C26,月別入力!$D:$D,設定!I$9,月別入力!$B:$B,設定!$B26),0)</f>
        <v>0</v>
      </c>
      <c r="J26" s="5">
        <f t="shared" si="3"/>
        <v>0</v>
      </c>
      <c r="K26" s="8">
        <f>ROUND(SUMIFS(月別入力!$J:$J,月別入力!$F:$F,設定!$C26,月別入力!$D:$D,設定!K$9,月別入力!$B:$B,設定!$B26),0)</f>
        <v>0</v>
      </c>
      <c r="L26" s="8">
        <f>ROUND(SUMIFS(月別入力!$J:$J,月別入力!$F:$F,設定!$C26,月別入力!$D:$D,設定!L$9,月別入力!$B:$B,設定!$B26),0)</f>
        <v>0</v>
      </c>
      <c r="M26" s="8">
        <f>ROUND(SUMIFS(月別入力!$J:$J,月別入力!$F:$F,設定!$C26,月別入力!$D:$D,設定!M$9,月別入力!$B:$B,設定!$B26),0)</f>
        <v>0</v>
      </c>
      <c r="N26" s="8">
        <f>ROUND(SUMIFS(月別入力!$J:$J,月別入力!$F:$F,設定!$C26,月別入力!$D:$D,設定!N$9,月別入力!$B:$B,設定!$B26),0)</f>
        <v>0</v>
      </c>
      <c r="O26" s="8">
        <f>ROUND(SUMIFS(月別入力!$J:$J,月別入力!$F:$F,設定!$C26,月別入力!$D:$D,設定!O$9,月別入力!$B:$B,設定!$B26),0)</f>
        <v>0</v>
      </c>
      <c r="P26" s="8">
        <f>ROUND(SUMIFS(月別入力!$J:$J,月別入力!$F:$F,設定!$C26,月別入力!$D:$D,設定!P$9,月別入力!$B:$B,設定!$B26),0)</f>
        <v>0</v>
      </c>
      <c r="Q26" s="8">
        <f>ROUND(SUMIFS(月別入力!$J:$J,月別入力!$F:$F,設定!$C26,月別入力!$D:$D,設定!Q$9,月別入力!$B:$B,設定!$B26),0)</f>
        <v>0</v>
      </c>
      <c r="R26" s="8">
        <f>ROUND(SUMIFS(月別入力!$J:$J,月別入力!$F:$F,設定!$C26,月別入力!$D:$D,設定!R$9,月別入力!$B:$B,設定!$B26),0)</f>
        <v>0</v>
      </c>
      <c r="S26" s="8">
        <f>ROUND(SUMIFS(月別入力!$J:$J,月別入力!$F:$F,設定!$C26,月別入力!$D:$D,設定!S$9,月別入力!$B:$B,設定!$B26),0)</f>
        <v>0</v>
      </c>
      <c r="T26" s="8">
        <f>ROUND(SUMIFS(月別入力!$J:$J,月別入力!$F:$F,設定!$C26,月別入力!$D:$D,設定!T$9,月別入力!$B:$B,設定!$B26),0)</f>
        <v>0</v>
      </c>
      <c r="U26" s="8">
        <f>ROUND(SUMIFS(月別入力!$J:$J,月別入力!$F:$F,設定!$C26,月別入力!$D:$D,設定!U$9,月別入力!$B:$B,設定!$B26),0)</f>
        <v>0</v>
      </c>
      <c r="V26" s="8">
        <f>ROUND(SUMIFS(月別入力!$J:$J,月別入力!$F:$F,設定!$C26,月別入力!$D:$D,設定!V$9,月別入力!$B:$B,設定!$B26),0)</f>
        <v>0</v>
      </c>
      <c r="W26" s="9">
        <f>ROUND(SUMIFS(月別入力!$J:$J,月別入力!$F:$F,設定!$C26,月別入力!$D:$D,設定!W$9,月別入力!$B:$B,設定!$B26),0)</f>
        <v>0</v>
      </c>
    </row>
    <row r="27" spans="2:23" s="3" customFormat="1" ht="15" customHeight="1" x14ac:dyDescent="0.2">
      <c r="B27" s="37" t="str">
        <f t="shared" si="2"/>
        <v>&lt;=12</v>
      </c>
      <c r="C27" s="21"/>
      <c r="D27" s="6"/>
      <c r="E27" s="10"/>
      <c r="F27" s="11"/>
      <c r="G27" s="24">
        <f t="shared" si="0"/>
        <v>0</v>
      </c>
      <c r="H27" s="26">
        <f t="shared" si="1"/>
        <v>0</v>
      </c>
      <c r="I27" s="26">
        <f>ROUND(SUMIFS(月別入力!$J:$J,月別入力!$F:$F,設定!$C27,月別入力!$D:$D,設定!I$9,月別入力!$B:$B,設定!$B27),0)</f>
        <v>0</v>
      </c>
      <c r="J27" s="5">
        <f t="shared" si="3"/>
        <v>0</v>
      </c>
      <c r="K27" s="8">
        <f>ROUND(SUMIFS(月別入力!$J:$J,月別入力!$F:$F,設定!$C27,月別入力!$D:$D,設定!K$9,月別入力!$B:$B,設定!$B27),0)</f>
        <v>0</v>
      </c>
      <c r="L27" s="8">
        <f>ROUND(SUMIFS(月別入力!$J:$J,月別入力!$F:$F,設定!$C27,月別入力!$D:$D,設定!L$9,月別入力!$B:$B,設定!$B27),0)</f>
        <v>0</v>
      </c>
      <c r="M27" s="8">
        <f>ROUND(SUMIFS(月別入力!$J:$J,月別入力!$F:$F,設定!$C27,月別入力!$D:$D,設定!M$9,月別入力!$B:$B,設定!$B27),0)</f>
        <v>0</v>
      </c>
      <c r="N27" s="8">
        <f>ROUND(SUMIFS(月別入力!$J:$J,月別入力!$F:$F,設定!$C27,月別入力!$D:$D,設定!N$9,月別入力!$B:$B,設定!$B27),0)</f>
        <v>0</v>
      </c>
      <c r="O27" s="8">
        <f>ROUND(SUMIFS(月別入力!$J:$J,月別入力!$F:$F,設定!$C27,月別入力!$D:$D,設定!O$9,月別入力!$B:$B,設定!$B27),0)</f>
        <v>0</v>
      </c>
      <c r="P27" s="8">
        <f>ROUND(SUMIFS(月別入力!$J:$J,月別入力!$F:$F,設定!$C27,月別入力!$D:$D,設定!P$9,月別入力!$B:$B,設定!$B27),0)</f>
        <v>0</v>
      </c>
      <c r="Q27" s="8">
        <f>ROUND(SUMIFS(月別入力!$J:$J,月別入力!$F:$F,設定!$C27,月別入力!$D:$D,設定!Q$9,月別入力!$B:$B,設定!$B27),0)</f>
        <v>0</v>
      </c>
      <c r="R27" s="8">
        <f>ROUND(SUMIFS(月別入力!$J:$J,月別入力!$F:$F,設定!$C27,月別入力!$D:$D,設定!R$9,月別入力!$B:$B,設定!$B27),0)</f>
        <v>0</v>
      </c>
      <c r="S27" s="8">
        <f>ROUND(SUMIFS(月別入力!$J:$J,月別入力!$F:$F,設定!$C27,月別入力!$D:$D,設定!S$9,月別入力!$B:$B,設定!$B27),0)</f>
        <v>0</v>
      </c>
      <c r="T27" s="8">
        <f>ROUND(SUMIFS(月別入力!$J:$J,月別入力!$F:$F,設定!$C27,月別入力!$D:$D,設定!T$9,月別入力!$B:$B,設定!$B27),0)</f>
        <v>0</v>
      </c>
      <c r="U27" s="8">
        <f>ROUND(SUMIFS(月別入力!$J:$J,月別入力!$F:$F,設定!$C27,月別入力!$D:$D,設定!U$9,月別入力!$B:$B,設定!$B27),0)</f>
        <v>0</v>
      </c>
      <c r="V27" s="8">
        <f>ROUND(SUMIFS(月別入力!$J:$J,月別入力!$F:$F,設定!$C27,月別入力!$D:$D,設定!V$9,月別入力!$B:$B,設定!$B27),0)</f>
        <v>0</v>
      </c>
      <c r="W27" s="9">
        <f>ROUND(SUMIFS(月別入力!$J:$J,月別入力!$F:$F,設定!$C27,月別入力!$D:$D,設定!W$9,月別入力!$B:$B,設定!$B27),0)</f>
        <v>0</v>
      </c>
    </row>
    <row r="28" spans="2:23" s="3" customFormat="1" ht="15" customHeight="1" x14ac:dyDescent="0.2">
      <c r="B28" s="37" t="str">
        <f t="shared" si="2"/>
        <v>&lt;=12</v>
      </c>
      <c r="C28" s="21"/>
      <c r="D28" s="6"/>
      <c r="E28" s="10"/>
      <c r="F28" s="11"/>
      <c r="G28" s="24">
        <f t="shared" si="0"/>
        <v>0</v>
      </c>
      <c r="H28" s="26">
        <f t="shared" si="1"/>
        <v>0</v>
      </c>
      <c r="I28" s="26">
        <f>ROUND(SUMIFS(月別入力!$J:$J,月別入力!$F:$F,設定!$C28,月別入力!$D:$D,設定!I$9,月別入力!$B:$B,設定!$B28),0)</f>
        <v>0</v>
      </c>
      <c r="J28" s="5">
        <f t="shared" si="3"/>
        <v>0</v>
      </c>
      <c r="K28" s="8">
        <f>ROUND(SUMIFS(月別入力!$J:$J,月別入力!$F:$F,設定!$C28,月別入力!$D:$D,設定!K$9,月別入力!$B:$B,設定!$B28),0)</f>
        <v>0</v>
      </c>
      <c r="L28" s="8">
        <f>ROUND(SUMIFS(月別入力!$J:$J,月別入力!$F:$F,設定!$C28,月別入力!$D:$D,設定!L$9,月別入力!$B:$B,設定!$B28),0)</f>
        <v>0</v>
      </c>
      <c r="M28" s="8">
        <f>ROUND(SUMIFS(月別入力!$J:$J,月別入力!$F:$F,設定!$C28,月別入力!$D:$D,設定!M$9,月別入力!$B:$B,設定!$B28),0)</f>
        <v>0</v>
      </c>
      <c r="N28" s="8">
        <f>ROUND(SUMIFS(月別入力!$J:$J,月別入力!$F:$F,設定!$C28,月別入力!$D:$D,設定!N$9,月別入力!$B:$B,設定!$B28),0)</f>
        <v>0</v>
      </c>
      <c r="O28" s="8">
        <f>ROUND(SUMIFS(月別入力!$J:$J,月別入力!$F:$F,設定!$C28,月別入力!$D:$D,設定!O$9,月別入力!$B:$B,設定!$B28),0)</f>
        <v>0</v>
      </c>
      <c r="P28" s="8">
        <f>ROUND(SUMIFS(月別入力!$J:$J,月別入力!$F:$F,設定!$C28,月別入力!$D:$D,設定!P$9,月別入力!$B:$B,設定!$B28),0)</f>
        <v>0</v>
      </c>
      <c r="Q28" s="8">
        <f>ROUND(SUMIFS(月別入力!$J:$J,月別入力!$F:$F,設定!$C28,月別入力!$D:$D,設定!Q$9,月別入力!$B:$B,設定!$B28),0)</f>
        <v>0</v>
      </c>
      <c r="R28" s="8">
        <f>ROUND(SUMIFS(月別入力!$J:$J,月別入力!$F:$F,設定!$C28,月別入力!$D:$D,設定!R$9,月別入力!$B:$B,設定!$B28),0)</f>
        <v>0</v>
      </c>
      <c r="S28" s="8">
        <f>ROUND(SUMIFS(月別入力!$J:$J,月別入力!$F:$F,設定!$C28,月別入力!$D:$D,設定!S$9,月別入力!$B:$B,設定!$B28),0)</f>
        <v>0</v>
      </c>
      <c r="T28" s="8">
        <f>ROUND(SUMIFS(月別入力!$J:$J,月別入力!$F:$F,設定!$C28,月別入力!$D:$D,設定!T$9,月別入力!$B:$B,設定!$B28),0)</f>
        <v>0</v>
      </c>
      <c r="U28" s="8">
        <f>ROUND(SUMIFS(月別入力!$J:$J,月別入力!$F:$F,設定!$C28,月別入力!$D:$D,設定!U$9,月別入力!$B:$B,設定!$B28),0)</f>
        <v>0</v>
      </c>
      <c r="V28" s="8">
        <f>ROUND(SUMIFS(月別入力!$J:$J,月別入力!$F:$F,設定!$C28,月別入力!$D:$D,設定!V$9,月別入力!$B:$B,設定!$B28),0)</f>
        <v>0</v>
      </c>
      <c r="W28" s="9">
        <f>ROUND(SUMIFS(月別入力!$J:$J,月別入力!$F:$F,設定!$C28,月別入力!$D:$D,設定!W$9,月別入力!$B:$B,設定!$B28),0)</f>
        <v>0</v>
      </c>
    </row>
    <row r="29" spans="2:23" s="3" customFormat="1" ht="15" customHeight="1" x14ac:dyDescent="0.2">
      <c r="B29" s="37" t="str">
        <f t="shared" si="2"/>
        <v>&lt;=12</v>
      </c>
      <c r="C29" s="21"/>
      <c r="D29" s="6"/>
      <c r="E29" s="10"/>
      <c r="F29" s="11"/>
      <c r="G29" s="24">
        <f t="shared" si="0"/>
        <v>0</v>
      </c>
      <c r="H29" s="26">
        <f t="shared" si="1"/>
        <v>0</v>
      </c>
      <c r="I29" s="26">
        <f>ROUND(SUMIFS(月別入力!$J:$J,月別入力!$F:$F,設定!$C29,月別入力!$D:$D,設定!I$9,月別入力!$B:$B,設定!$B29),0)</f>
        <v>0</v>
      </c>
      <c r="J29" s="5">
        <f t="shared" si="3"/>
        <v>0</v>
      </c>
      <c r="K29" s="8">
        <f>ROUND(SUMIFS(月別入力!$J:$J,月別入力!$F:$F,設定!$C29,月別入力!$D:$D,設定!K$9,月別入力!$B:$B,設定!$B29),0)</f>
        <v>0</v>
      </c>
      <c r="L29" s="8">
        <f>ROUND(SUMIFS(月別入力!$J:$J,月別入力!$F:$F,設定!$C29,月別入力!$D:$D,設定!L$9,月別入力!$B:$B,設定!$B29),0)</f>
        <v>0</v>
      </c>
      <c r="M29" s="8">
        <f>ROUND(SUMIFS(月別入力!$J:$J,月別入力!$F:$F,設定!$C29,月別入力!$D:$D,設定!M$9,月別入力!$B:$B,設定!$B29),0)</f>
        <v>0</v>
      </c>
      <c r="N29" s="8">
        <f>ROUND(SUMIFS(月別入力!$J:$J,月別入力!$F:$F,設定!$C29,月別入力!$D:$D,設定!N$9,月別入力!$B:$B,設定!$B29),0)</f>
        <v>0</v>
      </c>
      <c r="O29" s="8">
        <f>ROUND(SUMIFS(月別入力!$J:$J,月別入力!$F:$F,設定!$C29,月別入力!$D:$D,設定!O$9,月別入力!$B:$B,設定!$B29),0)</f>
        <v>0</v>
      </c>
      <c r="P29" s="8">
        <f>ROUND(SUMIFS(月別入力!$J:$J,月別入力!$F:$F,設定!$C29,月別入力!$D:$D,設定!P$9,月別入力!$B:$B,設定!$B29),0)</f>
        <v>0</v>
      </c>
      <c r="Q29" s="8">
        <f>ROUND(SUMIFS(月別入力!$J:$J,月別入力!$F:$F,設定!$C29,月別入力!$D:$D,設定!Q$9,月別入力!$B:$B,設定!$B29),0)</f>
        <v>0</v>
      </c>
      <c r="R29" s="8">
        <f>ROUND(SUMIFS(月別入力!$J:$J,月別入力!$F:$F,設定!$C29,月別入力!$D:$D,設定!R$9,月別入力!$B:$B,設定!$B29),0)</f>
        <v>0</v>
      </c>
      <c r="S29" s="8">
        <f>ROUND(SUMIFS(月別入力!$J:$J,月別入力!$F:$F,設定!$C29,月別入力!$D:$D,設定!S$9,月別入力!$B:$B,設定!$B29),0)</f>
        <v>0</v>
      </c>
      <c r="T29" s="8">
        <f>ROUND(SUMIFS(月別入力!$J:$J,月別入力!$F:$F,設定!$C29,月別入力!$D:$D,設定!T$9,月別入力!$B:$B,設定!$B29),0)</f>
        <v>0</v>
      </c>
      <c r="U29" s="8">
        <f>ROUND(SUMIFS(月別入力!$J:$J,月別入力!$F:$F,設定!$C29,月別入力!$D:$D,設定!U$9,月別入力!$B:$B,設定!$B29),0)</f>
        <v>0</v>
      </c>
      <c r="V29" s="8">
        <f>ROUND(SUMIFS(月別入力!$J:$J,月別入力!$F:$F,設定!$C29,月別入力!$D:$D,設定!V$9,月別入力!$B:$B,設定!$B29),0)</f>
        <v>0</v>
      </c>
      <c r="W29" s="9">
        <f>ROUND(SUMIFS(月別入力!$J:$J,月別入力!$F:$F,設定!$C29,月別入力!$D:$D,設定!W$9,月別入力!$B:$B,設定!$B29),0)</f>
        <v>0</v>
      </c>
    </row>
    <row r="30" spans="2:23" s="3" customFormat="1" ht="15" customHeight="1" x14ac:dyDescent="0.2">
      <c r="B30" s="37" t="str">
        <f t="shared" si="2"/>
        <v>&lt;=12</v>
      </c>
      <c r="C30" s="21"/>
      <c r="D30" s="6"/>
      <c r="E30" s="10"/>
      <c r="F30" s="11"/>
      <c r="G30" s="24">
        <f t="shared" si="0"/>
        <v>0</v>
      </c>
      <c r="H30" s="26">
        <f t="shared" si="1"/>
        <v>0</v>
      </c>
      <c r="I30" s="26">
        <f>ROUND(SUMIFS(月別入力!$J:$J,月別入力!$F:$F,設定!$C30,月別入力!$D:$D,設定!I$9,月別入力!$B:$B,設定!$B30),0)</f>
        <v>0</v>
      </c>
      <c r="J30" s="5">
        <f t="shared" si="3"/>
        <v>0</v>
      </c>
      <c r="K30" s="8">
        <f>ROUND(SUMIFS(月別入力!$J:$J,月別入力!$F:$F,設定!$C30,月別入力!$D:$D,設定!K$9,月別入力!$B:$B,設定!$B30),0)</f>
        <v>0</v>
      </c>
      <c r="L30" s="8">
        <f>ROUND(SUMIFS(月別入力!$J:$J,月別入力!$F:$F,設定!$C30,月別入力!$D:$D,設定!L$9,月別入力!$B:$B,設定!$B30),0)</f>
        <v>0</v>
      </c>
      <c r="M30" s="8">
        <f>ROUND(SUMIFS(月別入力!$J:$J,月別入力!$F:$F,設定!$C30,月別入力!$D:$D,設定!M$9,月別入力!$B:$B,設定!$B30),0)</f>
        <v>0</v>
      </c>
      <c r="N30" s="8">
        <f>ROUND(SUMIFS(月別入力!$J:$J,月別入力!$F:$F,設定!$C30,月別入力!$D:$D,設定!N$9,月別入力!$B:$B,設定!$B30),0)</f>
        <v>0</v>
      </c>
      <c r="O30" s="8">
        <f>ROUND(SUMIFS(月別入力!$J:$J,月別入力!$F:$F,設定!$C30,月別入力!$D:$D,設定!O$9,月別入力!$B:$B,設定!$B30),0)</f>
        <v>0</v>
      </c>
      <c r="P30" s="8">
        <f>ROUND(SUMIFS(月別入力!$J:$J,月別入力!$F:$F,設定!$C30,月別入力!$D:$D,設定!P$9,月別入力!$B:$B,設定!$B30),0)</f>
        <v>0</v>
      </c>
      <c r="Q30" s="8">
        <f>ROUND(SUMIFS(月別入力!$J:$J,月別入力!$F:$F,設定!$C30,月別入力!$D:$D,設定!Q$9,月別入力!$B:$B,設定!$B30),0)</f>
        <v>0</v>
      </c>
      <c r="R30" s="8">
        <f>ROUND(SUMIFS(月別入力!$J:$J,月別入力!$F:$F,設定!$C30,月別入力!$D:$D,設定!R$9,月別入力!$B:$B,設定!$B30),0)</f>
        <v>0</v>
      </c>
      <c r="S30" s="8">
        <f>ROUND(SUMIFS(月別入力!$J:$J,月別入力!$F:$F,設定!$C30,月別入力!$D:$D,設定!S$9,月別入力!$B:$B,設定!$B30),0)</f>
        <v>0</v>
      </c>
      <c r="T30" s="8">
        <f>ROUND(SUMIFS(月別入力!$J:$J,月別入力!$F:$F,設定!$C30,月別入力!$D:$D,設定!T$9,月別入力!$B:$B,設定!$B30),0)</f>
        <v>0</v>
      </c>
      <c r="U30" s="8">
        <f>ROUND(SUMIFS(月別入力!$J:$J,月別入力!$F:$F,設定!$C30,月別入力!$D:$D,設定!U$9,月別入力!$B:$B,設定!$B30),0)</f>
        <v>0</v>
      </c>
      <c r="V30" s="8">
        <f>ROUND(SUMIFS(月別入力!$J:$J,月別入力!$F:$F,設定!$C30,月別入力!$D:$D,設定!V$9,月別入力!$B:$B,設定!$B30),0)</f>
        <v>0</v>
      </c>
      <c r="W30" s="9">
        <f>ROUND(SUMIFS(月別入力!$J:$J,月別入力!$F:$F,設定!$C30,月別入力!$D:$D,設定!W$9,月別入力!$B:$B,設定!$B30),0)</f>
        <v>0</v>
      </c>
    </row>
    <row r="31" spans="2:23" s="3" customFormat="1" ht="15" customHeight="1" x14ac:dyDescent="0.2">
      <c r="B31" s="37" t="str">
        <f t="shared" si="2"/>
        <v>&lt;=12</v>
      </c>
      <c r="C31" s="21"/>
      <c r="D31" s="6"/>
      <c r="E31" s="10"/>
      <c r="F31" s="11"/>
      <c r="G31" s="24">
        <f t="shared" si="0"/>
        <v>0</v>
      </c>
      <c r="H31" s="26">
        <f t="shared" si="1"/>
        <v>0</v>
      </c>
      <c r="I31" s="26">
        <f>ROUND(SUMIFS(月別入力!$J:$J,月別入力!$F:$F,設定!$C31,月別入力!$D:$D,設定!I$9,月別入力!$B:$B,設定!$B31),0)</f>
        <v>0</v>
      </c>
      <c r="J31" s="5">
        <f t="shared" si="3"/>
        <v>0</v>
      </c>
      <c r="K31" s="8">
        <f>ROUND(SUMIFS(月別入力!$J:$J,月別入力!$F:$F,設定!$C31,月別入力!$D:$D,設定!K$9,月別入力!$B:$B,設定!$B31),0)</f>
        <v>0</v>
      </c>
      <c r="L31" s="8">
        <f>ROUND(SUMIFS(月別入力!$J:$J,月別入力!$F:$F,設定!$C31,月別入力!$D:$D,設定!L$9,月別入力!$B:$B,設定!$B31),0)</f>
        <v>0</v>
      </c>
      <c r="M31" s="8">
        <f>ROUND(SUMIFS(月別入力!$J:$J,月別入力!$F:$F,設定!$C31,月別入力!$D:$D,設定!M$9,月別入力!$B:$B,設定!$B31),0)</f>
        <v>0</v>
      </c>
      <c r="N31" s="8">
        <f>ROUND(SUMIFS(月別入力!$J:$J,月別入力!$F:$F,設定!$C31,月別入力!$D:$D,設定!N$9,月別入力!$B:$B,設定!$B31),0)</f>
        <v>0</v>
      </c>
      <c r="O31" s="8">
        <f>ROUND(SUMIFS(月別入力!$J:$J,月別入力!$F:$F,設定!$C31,月別入力!$D:$D,設定!O$9,月別入力!$B:$B,設定!$B31),0)</f>
        <v>0</v>
      </c>
      <c r="P31" s="8">
        <f>ROUND(SUMIFS(月別入力!$J:$J,月別入力!$F:$F,設定!$C31,月別入力!$D:$D,設定!P$9,月別入力!$B:$B,設定!$B31),0)</f>
        <v>0</v>
      </c>
      <c r="Q31" s="8">
        <f>ROUND(SUMIFS(月別入力!$J:$J,月別入力!$F:$F,設定!$C31,月別入力!$D:$D,設定!Q$9,月別入力!$B:$B,設定!$B31),0)</f>
        <v>0</v>
      </c>
      <c r="R31" s="8">
        <f>ROUND(SUMIFS(月別入力!$J:$J,月別入力!$F:$F,設定!$C31,月別入力!$D:$D,設定!R$9,月別入力!$B:$B,設定!$B31),0)</f>
        <v>0</v>
      </c>
      <c r="S31" s="8">
        <f>ROUND(SUMIFS(月別入力!$J:$J,月別入力!$F:$F,設定!$C31,月別入力!$D:$D,設定!S$9,月別入力!$B:$B,設定!$B31),0)</f>
        <v>0</v>
      </c>
      <c r="T31" s="8">
        <f>ROUND(SUMIFS(月別入力!$J:$J,月別入力!$F:$F,設定!$C31,月別入力!$D:$D,設定!T$9,月別入力!$B:$B,設定!$B31),0)</f>
        <v>0</v>
      </c>
      <c r="U31" s="8">
        <f>ROUND(SUMIFS(月別入力!$J:$J,月別入力!$F:$F,設定!$C31,月別入力!$D:$D,設定!U$9,月別入力!$B:$B,設定!$B31),0)</f>
        <v>0</v>
      </c>
      <c r="V31" s="8">
        <f>ROUND(SUMIFS(月別入力!$J:$J,月別入力!$F:$F,設定!$C31,月別入力!$D:$D,設定!V$9,月別入力!$B:$B,設定!$B31),0)</f>
        <v>0</v>
      </c>
      <c r="W31" s="9">
        <f>ROUND(SUMIFS(月別入力!$J:$J,月別入力!$F:$F,設定!$C31,月別入力!$D:$D,設定!W$9,月別入力!$B:$B,設定!$B31),0)</f>
        <v>0</v>
      </c>
    </row>
    <row r="32" spans="2:23" s="3" customFormat="1" ht="15" customHeight="1" x14ac:dyDescent="0.2">
      <c r="B32" s="37" t="str">
        <f t="shared" si="2"/>
        <v>&lt;=12</v>
      </c>
      <c r="C32" s="21"/>
      <c r="D32" s="6"/>
      <c r="E32" s="10"/>
      <c r="F32" s="11"/>
      <c r="G32" s="24">
        <f t="shared" si="0"/>
        <v>0</v>
      </c>
      <c r="H32" s="26">
        <f t="shared" si="1"/>
        <v>0</v>
      </c>
      <c r="I32" s="26">
        <f>ROUND(SUMIFS(月別入力!$J:$J,月別入力!$F:$F,設定!$C32,月別入力!$D:$D,設定!I$9,月別入力!$B:$B,設定!$B32),0)</f>
        <v>0</v>
      </c>
      <c r="J32" s="5">
        <f t="shared" si="3"/>
        <v>0</v>
      </c>
      <c r="K32" s="8">
        <f>ROUND(SUMIFS(月別入力!$J:$J,月別入力!$F:$F,設定!$C32,月別入力!$D:$D,設定!K$9,月別入力!$B:$B,設定!$B32),0)</f>
        <v>0</v>
      </c>
      <c r="L32" s="8">
        <f>ROUND(SUMIFS(月別入力!$J:$J,月別入力!$F:$F,設定!$C32,月別入力!$D:$D,設定!L$9,月別入力!$B:$B,設定!$B32),0)</f>
        <v>0</v>
      </c>
      <c r="M32" s="8">
        <f>ROUND(SUMIFS(月別入力!$J:$J,月別入力!$F:$F,設定!$C32,月別入力!$D:$D,設定!M$9,月別入力!$B:$B,設定!$B32),0)</f>
        <v>0</v>
      </c>
      <c r="N32" s="8">
        <f>ROUND(SUMIFS(月別入力!$J:$J,月別入力!$F:$F,設定!$C32,月別入力!$D:$D,設定!N$9,月別入力!$B:$B,設定!$B32),0)</f>
        <v>0</v>
      </c>
      <c r="O32" s="8">
        <f>ROUND(SUMIFS(月別入力!$J:$J,月別入力!$F:$F,設定!$C32,月別入力!$D:$D,設定!O$9,月別入力!$B:$B,設定!$B32),0)</f>
        <v>0</v>
      </c>
      <c r="P32" s="8">
        <f>ROUND(SUMIFS(月別入力!$J:$J,月別入力!$F:$F,設定!$C32,月別入力!$D:$D,設定!P$9,月別入力!$B:$B,設定!$B32),0)</f>
        <v>0</v>
      </c>
      <c r="Q32" s="8">
        <f>ROUND(SUMIFS(月別入力!$J:$J,月別入力!$F:$F,設定!$C32,月別入力!$D:$D,設定!Q$9,月別入力!$B:$B,設定!$B32),0)</f>
        <v>0</v>
      </c>
      <c r="R32" s="8">
        <f>ROUND(SUMIFS(月別入力!$J:$J,月別入力!$F:$F,設定!$C32,月別入力!$D:$D,設定!R$9,月別入力!$B:$B,設定!$B32),0)</f>
        <v>0</v>
      </c>
      <c r="S32" s="8">
        <f>ROUND(SUMIFS(月別入力!$J:$J,月別入力!$F:$F,設定!$C32,月別入力!$D:$D,設定!S$9,月別入力!$B:$B,設定!$B32),0)</f>
        <v>0</v>
      </c>
      <c r="T32" s="8">
        <f>ROUND(SUMIFS(月別入力!$J:$J,月別入力!$F:$F,設定!$C32,月別入力!$D:$D,設定!T$9,月別入力!$B:$B,設定!$B32),0)</f>
        <v>0</v>
      </c>
      <c r="U32" s="8">
        <f>ROUND(SUMIFS(月別入力!$J:$J,月別入力!$F:$F,設定!$C32,月別入力!$D:$D,設定!U$9,月別入力!$B:$B,設定!$B32),0)</f>
        <v>0</v>
      </c>
      <c r="V32" s="8">
        <f>ROUND(SUMIFS(月別入力!$J:$J,月別入力!$F:$F,設定!$C32,月別入力!$D:$D,設定!V$9,月別入力!$B:$B,設定!$B32),0)</f>
        <v>0</v>
      </c>
      <c r="W32" s="9">
        <f>ROUND(SUMIFS(月別入力!$J:$J,月別入力!$F:$F,設定!$C32,月別入力!$D:$D,設定!W$9,月別入力!$B:$B,設定!$B32),0)</f>
        <v>0</v>
      </c>
    </row>
    <row r="33" spans="2:23" s="3" customFormat="1" ht="15" customHeight="1" x14ac:dyDescent="0.2">
      <c r="B33" s="37" t="str">
        <f t="shared" si="2"/>
        <v>&lt;=12</v>
      </c>
      <c r="C33" s="21"/>
      <c r="D33" s="6"/>
      <c r="E33" s="10"/>
      <c r="F33" s="11"/>
      <c r="G33" s="24">
        <f t="shared" si="0"/>
        <v>0</v>
      </c>
      <c r="H33" s="26">
        <f t="shared" si="1"/>
        <v>0</v>
      </c>
      <c r="I33" s="26">
        <f>ROUND(SUMIFS(月別入力!$J:$J,月別入力!$F:$F,設定!$C33,月別入力!$D:$D,設定!I$9,月別入力!$B:$B,設定!$B33),0)</f>
        <v>0</v>
      </c>
      <c r="J33" s="5">
        <f t="shared" si="3"/>
        <v>0</v>
      </c>
      <c r="K33" s="8">
        <f>ROUND(SUMIFS(月別入力!$J:$J,月別入力!$F:$F,設定!$C33,月別入力!$D:$D,設定!K$9,月別入力!$B:$B,設定!$B33),0)</f>
        <v>0</v>
      </c>
      <c r="L33" s="8">
        <f>ROUND(SUMIFS(月別入力!$J:$J,月別入力!$F:$F,設定!$C33,月別入力!$D:$D,設定!L$9,月別入力!$B:$B,設定!$B33),0)</f>
        <v>0</v>
      </c>
      <c r="M33" s="8">
        <f>ROUND(SUMIFS(月別入力!$J:$J,月別入力!$F:$F,設定!$C33,月別入力!$D:$D,設定!M$9,月別入力!$B:$B,設定!$B33),0)</f>
        <v>0</v>
      </c>
      <c r="N33" s="8">
        <f>ROUND(SUMIFS(月別入力!$J:$J,月別入力!$F:$F,設定!$C33,月別入力!$D:$D,設定!N$9,月別入力!$B:$B,設定!$B33),0)</f>
        <v>0</v>
      </c>
      <c r="O33" s="8">
        <f>ROUND(SUMIFS(月別入力!$J:$J,月別入力!$F:$F,設定!$C33,月別入力!$D:$D,設定!O$9,月別入力!$B:$B,設定!$B33),0)</f>
        <v>0</v>
      </c>
      <c r="P33" s="8">
        <f>ROUND(SUMIFS(月別入力!$J:$J,月別入力!$F:$F,設定!$C33,月別入力!$D:$D,設定!P$9,月別入力!$B:$B,設定!$B33),0)</f>
        <v>0</v>
      </c>
      <c r="Q33" s="8">
        <f>ROUND(SUMIFS(月別入力!$J:$J,月別入力!$F:$F,設定!$C33,月別入力!$D:$D,設定!Q$9,月別入力!$B:$B,設定!$B33),0)</f>
        <v>0</v>
      </c>
      <c r="R33" s="8">
        <f>ROUND(SUMIFS(月別入力!$J:$J,月別入力!$F:$F,設定!$C33,月別入力!$D:$D,設定!R$9,月別入力!$B:$B,設定!$B33),0)</f>
        <v>0</v>
      </c>
      <c r="S33" s="8">
        <f>ROUND(SUMIFS(月別入力!$J:$J,月別入力!$F:$F,設定!$C33,月別入力!$D:$D,設定!S$9,月別入力!$B:$B,設定!$B33),0)</f>
        <v>0</v>
      </c>
      <c r="T33" s="8">
        <f>ROUND(SUMIFS(月別入力!$J:$J,月別入力!$F:$F,設定!$C33,月別入力!$D:$D,設定!T$9,月別入力!$B:$B,設定!$B33),0)</f>
        <v>0</v>
      </c>
      <c r="U33" s="8">
        <f>ROUND(SUMIFS(月別入力!$J:$J,月別入力!$F:$F,設定!$C33,月別入力!$D:$D,設定!U$9,月別入力!$B:$B,設定!$B33),0)</f>
        <v>0</v>
      </c>
      <c r="V33" s="8">
        <f>ROUND(SUMIFS(月別入力!$J:$J,月別入力!$F:$F,設定!$C33,月別入力!$D:$D,設定!V$9,月別入力!$B:$B,設定!$B33),0)</f>
        <v>0</v>
      </c>
      <c r="W33" s="9">
        <f>ROUND(SUMIFS(月別入力!$J:$J,月別入力!$F:$F,設定!$C33,月別入力!$D:$D,設定!W$9,月別入力!$B:$B,設定!$B33),0)</f>
        <v>0</v>
      </c>
    </row>
    <row r="34" spans="2:23" s="3" customFormat="1" ht="15" customHeight="1" x14ac:dyDescent="0.2">
      <c r="B34" s="37" t="str">
        <f t="shared" si="2"/>
        <v>&lt;=12</v>
      </c>
      <c r="C34" s="21"/>
      <c r="D34" s="6"/>
      <c r="E34" s="10"/>
      <c r="F34" s="11"/>
      <c r="G34" s="24">
        <f t="shared" si="0"/>
        <v>0</v>
      </c>
      <c r="H34" s="26">
        <f t="shared" si="1"/>
        <v>0</v>
      </c>
      <c r="I34" s="26">
        <f>ROUND(SUMIFS(月別入力!$J:$J,月別入力!$F:$F,設定!$C34,月別入力!$D:$D,設定!I$9,月別入力!$B:$B,設定!$B34),0)</f>
        <v>0</v>
      </c>
      <c r="J34" s="5">
        <f t="shared" si="3"/>
        <v>0</v>
      </c>
      <c r="K34" s="8">
        <f>ROUND(SUMIFS(月別入力!$J:$J,月別入力!$F:$F,設定!$C34,月別入力!$D:$D,設定!K$9,月別入力!$B:$B,設定!$B34),0)</f>
        <v>0</v>
      </c>
      <c r="L34" s="8">
        <f>ROUND(SUMIFS(月別入力!$J:$J,月別入力!$F:$F,設定!$C34,月別入力!$D:$D,設定!L$9,月別入力!$B:$B,設定!$B34),0)</f>
        <v>0</v>
      </c>
      <c r="M34" s="8">
        <f>ROUND(SUMIFS(月別入力!$J:$J,月別入力!$F:$F,設定!$C34,月別入力!$D:$D,設定!M$9,月別入力!$B:$B,設定!$B34),0)</f>
        <v>0</v>
      </c>
      <c r="N34" s="8">
        <f>ROUND(SUMIFS(月別入力!$J:$J,月別入力!$F:$F,設定!$C34,月別入力!$D:$D,設定!N$9,月別入力!$B:$B,設定!$B34),0)</f>
        <v>0</v>
      </c>
      <c r="O34" s="8">
        <f>ROUND(SUMIFS(月別入力!$J:$J,月別入力!$F:$F,設定!$C34,月別入力!$D:$D,設定!O$9,月別入力!$B:$B,設定!$B34),0)</f>
        <v>0</v>
      </c>
      <c r="P34" s="8">
        <f>ROUND(SUMIFS(月別入力!$J:$J,月別入力!$F:$F,設定!$C34,月別入力!$D:$D,設定!P$9,月別入力!$B:$B,設定!$B34),0)</f>
        <v>0</v>
      </c>
      <c r="Q34" s="8">
        <f>ROUND(SUMIFS(月別入力!$J:$J,月別入力!$F:$F,設定!$C34,月別入力!$D:$D,設定!Q$9,月別入力!$B:$B,設定!$B34),0)</f>
        <v>0</v>
      </c>
      <c r="R34" s="8">
        <f>ROUND(SUMIFS(月別入力!$J:$J,月別入力!$F:$F,設定!$C34,月別入力!$D:$D,設定!R$9,月別入力!$B:$B,設定!$B34),0)</f>
        <v>0</v>
      </c>
      <c r="S34" s="8">
        <f>ROUND(SUMIFS(月別入力!$J:$J,月別入力!$F:$F,設定!$C34,月別入力!$D:$D,設定!S$9,月別入力!$B:$B,設定!$B34),0)</f>
        <v>0</v>
      </c>
      <c r="T34" s="8">
        <f>ROUND(SUMIFS(月別入力!$J:$J,月別入力!$F:$F,設定!$C34,月別入力!$D:$D,設定!T$9,月別入力!$B:$B,設定!$B34),0)</f>
        <v>0</v>
      </c>
      <c r="U34" s="8">
        <f>ROUND(SUMIFS(月別入力!$J:$J,月別入力!$F:$F,設定!$C34,月別入力!$D:$D,設定!U$9,月別入力!$B:$B,設定!$B34),0)</f>
        <v>0</v>
      </c>
      <c r="V34" s="8">
        <f>ROUND(SUMIFS(月別入力!$J:$J,月別入力!$F:$F,設定!$C34,月別入力!$D:$D,設定!V$9,月別入力!$B:$B,設定!$B34),0)</f>
        <v>0</v>
      </c>
      <c r="W34" s="9">
        <f>ROUND(SUMIFS(月別入力!$J:$J,月別入力!$F:$F,設定!$C34,月別入力!$D:$D,設定!W$9,月別入力!$B:$B,設定!$B34),0)</f>
        <v>0</v>
      </c>
    </row>
    <row r="35" spans="2:23" s="3" customFormat="1" ht="15" customHeight="1" x14ac:dyDescent="0.2">
      <c r="B35" s="37" t="str">
        <f t="shared" si="2"/>
        <v>&lt;=12</v>
      </c>
      <c r="C35" s="21"/>
      <c r="D35" s="6"/>
      <c r="E35" s="10"/>
      <c r="F35" s="11"/>
      <c r="G35" s="24">
        <f t="shared" si="0"/>
        <v>0</v>
      </c>
      <c r="H35" s="26">
        <f t="shared" si="1"/>
        <v>0</v>
      </c>
      <c r="I35" s="26">
        <f>ROUND(SUMIFS(月別入力!$J:$J,月別入力!$F:$F,設定!$C35,月別入力!$D:$D,設定!I$9,月別入力!$B:$B,設定!$B35),0)</f>
        <v>0</v>
      </c>
      <c r="J35" s="5">
        <f t="shared" si="3"/>
        <v>0</v>
      </c>
      <c r="K35" s="8">
        <f>ROUND(SUMIFS(月別入力!$J:$J,月別入力!$F:$F,設定!$C35,月別入力!$D:$D,設定!K$9,月別入力!$B:$B,設定!$B35),0)</f>
        <v>0</v>
      </c>
      <c r="L35" s="8">
        <f>ROUND(SUMIFS(月別入力!$J:$J,月別入力!$F:$F,設定!$C35,月別入力!$D:$D,設定!L$9,月別入力!$B:$B,設定!$B35),0)</f>
        <v>0</v>
      </c>
      <c r="M35" s="8">
        <f>ROUND(SUMIFS(月別入力!$J:$J,月別入力!$F:$F,設定!$C35,月別入力!$D:$D,設定!M$9,月別入力!$B:$B,設定!$B35),0)</f>
        <v>0</v>
      </c>
      <c r="N35" s="8">
        <f>ROUND(SUMIFS(月別入力!$J:$J,月別入力!$F:$F,設定!$C35,月別入力!$D:$D,設定!N$9,月別入力!$B:$B,設定!$B35),0)</f>
        <v>0</v>
      </c>
      <c r="O35" s="8">
        <f>ROUND(SUMIFS(月別入力!$J:$J,月別入力!$F:$F,設定!$C35,月別入力!$D:$D,設定!O$9,月別入力!$B:$B,設定!$B35),0)</f>
        <v>0</v>
      </c>
      <c r="P35" s="8">
        <f>ROUND(SUMIFS(月別入力!$J:$J,月別入力!$F:$F,設定!$C35,月別入力!$D:$D,設定!P$9,月別入力!$B:$B,設定!$B35),0)</f>
        <v>0</v>
      </c>
      <c r="Q35" s="8">
        <f>ROUND(SUMIFS(月別入力!$J:$J,月別入力!$F:$F,設定!$C35,月別入力!$D:$D,設定!Q$9,月別入力!$B:$B,設定!$B35),0)</f>
        <v>0</v>
      </c>
      <c r="R35" s="8">
        <f>ROUND(SUMIFS(月別入力!$J:$J,月別入力!$F:$F,設定!$C35,月別入力!$D:$D,設定!R$9,月別入力!$B:$B,設定!$B35),0)</f>
        <v>0</v>
      </c>
      <c r="S35" s="8">
        <f>ROUND(SUMIFS(月別入力!$J:$J,月別入力!$F:$F,設定!$C35,月別入力!$D:$D,設定!S$9,月別入力!$B:$B,設定!$B35),0)</f>
        <v>0</v>
      </c>
      <c r="T35" s="8">
        <f>ROUND(SUMIFS(月別入力!$J:$J,月別入力!$F:$F,設定!$C35,月別入力!$D:$D,設定!T$9,月別入力!$B:$B,設定!$B35),0)</f>
        <v>0</v>
      </c>
      <c r="U35" s="8">
        <f>ROUND(SUMIFS(月別入力!$J:$J,月別入力!$F:$F,設定!$C35,月別入力!$D:$D,設定!U$9,月別入力!$B:$B,設定!$B35),0)</f>
        <v>0</v>
      </c>
      <c r="V35" s="8">
        <f>ROUND(SUMIFS(月別入力!$J:$J,月別入力!$F:$F,設定!$C35,月別入力!$D:$D,設定!V$9,月別入力!$B:$B,設定!$B35),0)</f>
        <v>0</v>
      </c>
      <c r="W35" s="9">
        <f>ROUND(SUMIFS(月別入力!$J:$J,月別入力!$F:$F,設定!$C35,月別入力!$D:$D,設定!W$9,月別入力!$B:$B,設定!$B35),0)</f>
        <v>0</v>
      </c>
    </row>
    <row r="36" spans="2:23" s="3" customFormat="1" ht="15" customHeight="1" x14ac:dyDescent="0.2">
      <c r="B36" s="37" t="str">
        <f t="shared" si="2"/>
        <v>&lt;=12</v>
      </c>
      <c r="C36" s="21"/>
      <c r="D36" s="6"/>
      <c r="E36" s="10"/>
      <c r="F36" s="11"/>
      <c r="G36" s="24">
        <f t="shared" si="0"/>
        <v>0</v>
      </c>
      <c r="H36" s="26">
        <f t="shared" si="1"/>
        <v>0</v>
      </c>
      <c r="I36" s="26">
        <f>ROUND(SUMIFS(月別入力!$J:$J,月別入力!$F:$F,設定!$C36,月別入力!$D:$D,設定!I$9,月別入力!$B:$B,設定!$B36),0)</f>
        <v>0</v>
      </c>
      <c r="J36" s="5">
        <f t="shared" si="3"/>
        <v>0</v>
      </c>
      <c r="K36" s="8">
        <f>ROUND(SUMIFS(月別入力!$J:$J,月別入力!$F:$F,設定!$C36,月別入力!$D:$D,設定!K$9,月別入力!$B:$B,設定!$B36),0)</f>
        <v>0</v>
      </c>
      <c r="L36" s="8">
        <f>ROUND(SUMIFS(月別入力!$J:$J,月別入力!$F:$F,設定!$C36,月別入力!$D:$D,設定!L$9,月別入力!$B:$B,設定!$B36),0)</f>
        <v>0</v>
      </c>
      <c r="M36" s="8">
        <f>ROUND(SUMIFS(月別入力!$J:$J,月別入力!$F:$F,設定!$C36,月別入力!$D:$D,設定!M$9,月別入力!$B:$B,設定!$B36),0)</f>
        <v>0</v>
      </c>
      <c r="N36" s="8">
        <f>ROUND(SUMIFS(月別入力!$J:$J,月別入力!$F:$F,設定!$C36,月別入力!$D:$D,設定!N$9,月別入力!$B:$B,設定!$B36),0)</f>
        <v>0</v>
      </c>
      <c r="O36" s="8">
        <f>ROUND(SUMIFS(月別入力!$J:$J,月別入力!$F:$F,設定!$C36,月別入力!$D:$D,設定!O$9,月別入力!$B:$B,設定!$B36),0)</f>
        <v>0</v>
      </c>
      <c r="P36" s="8">
        <f>ROUND(SUMIFS(月別入力!$J:$J,月別入力!$F:$F,設定!$C36,月別入力!$D:$D,設定!P$9,月別入力!$B:$B,設定!$B36),0)</f>
        <v>0</v>
      </c>
      <c r="Q36" s="8">
        <f>ROUND(SUMIFS(月別入力!$J:$J,月別入力!$F:$F,設定!$C36,月別入力!$D:$D,設定!Q$9,月別入力!$B:$B,設定!$B36),0)</f>
        <v>0</v>
      </c>
      <c r="R36" s="8">
        <f>ROUND(SUMIFS(月別入力!$J:$J,月別入力!$F:$F,設定!$C36,月別入力!$D:$D,設定!R$9,月別入力!$B:$B,設定!$B36),0)</f>
        <v>0</v>
      </c>
      <c r="S36" s="8">
        <f>ROUND(SUMIFS(月別入力!$J:$J,月別入力!$F:$F,設定!$C36,月別入力!$D:$D,設定!S$9,月別入力!$B:$B,設定!$B36),0)</f>
        <v>0</v>
      </c>
      <c r="T36" s="8">
        <f>ROUND(SUMIFS(月別入力!$J:$J,月別入力!$F:$F,設定!$C36,月別入力!$D:$D,設定!T$9,月別入力!$B:$B,設定!$B36),0)</f>
        <v>0</v>
      </c>
      <c r="U36" s="8">
        <f>ROUND(SUMIFS(月別入力!$J:$J,月別入力!$F:$F,設定!$C36,月別入力!$D:$D,設定!U$9,月別入力!$B:$B,設定!$B36),0)</f>
        <v>0</v>
      </c>
      <c r="V36" s="8">
        <f>ROUND(SUMIFS(月別入力!$J:$J,月別入力!$F:$F,設定!$C36,月別入力!$D:$D,設定!V$9,月別入力!$B:$B,設定!$B36),0)</f>
        <v>0</v>
      </c>
      <c r="W36" s="9">
        <f>ROUND(SUMIFS(月別入力!$J:$J,月別入力!$F:$F,設定!$C36,月別入力!$D:$D,設定!W$9,月別入力!$B:$B,設定!$B36),0)</f>
        <v>0</v>
      </c>
    </row>
    <row r="37" spans="2:23" s="3" customFormat="1" ht="15" customHeight="1" x14ac:dyDescent="0.2">
      <c r="B37" s="37" t="str">
        <f t="shared" si="2"/>
        <v>&lt;=12</v>
      </c>
      <c r="C37" s="21"/>
      <c r="D37" s="6"/>
      <c r="E37" s="10"/>
      <c r="F37" s="11"/>
      <c r="G37" s="24">
        <f t="shared" si="0"/>
        <v>0</v>
      </c>
      <c r="H37" s="26">
        <f t="shared" si="1"/>
        <v>0</v>
      </c>
      <c r="I37" s="26">
        <f>ROUND(SUMIFS(月別入力!$J:$J,月別入力!$F:$F,設定!$C37,月別入力!$D:$D,設定!I$9,月別入力!$B:$B,設定!$B37),0)</f>
        <v>0</v>
      </c>
      <c r="J37" s="5">
        <f t="shared" si="3"/>
        <v>0</v>
      </c>
      <c r="K37" s="8">
        <f>ROUND(SUMIFS(月別入力!$J:$J,月別入力!$F:$F,設定!$C37,月別入力!$D:$D,設定!K$9,月別入力!$B:$B,設定!$B37),0)</f>
        <v>0</v>
      </c>
      <c r="L37" s="8">
        <f>ROUND(SUMIFS(月別入力!$J:$J,月別入力!$F:$F,設定!$C37,月別入力!$D:$D,設定!L$9,月別入力!$B:$B,設定!$B37),0)</f>
        <v>0</v>
      </c>
      <c r="M37" s="8">
        <f>ROUND(SUMIFS(月別入力!$J:$J,月別入力!$F:$F,設定!$C37,月別入力!$D:$D,設定!M$9,月別入力!$B:$B,設定!$B37),0)</f>
        <v>0</v>
      </c>
      <c r="N37" s="8">
        <f>ROUND(SUMIFS(月別入力!$J:$J,月別入力!$F:$F,設定!$C37,月別入力!$D:$D,設定!N$9,月別入力!$B:$B,設定!$B37),0)</f>
        <v>0</v>
      </c>
      <c r="O37" s="8">
        <f>ROUND(SUMIFS(月別入力!$J:$J,月別入力!$F:$F,設定!$C37,月別入力!$D:$D,設定!O$9,月別入力!$B:$B,設定!$B37),0)</f>
        <v>0</v>
      </c>
      <c r="P37" s="8">
        <f>ROUND(SUMIFS(月別入力!$J:$J,月別入力!$F:$F,設定!$C37,月別入力!$D:$D,設定!P$9,月別入力!$B:$B,設定!$B37),0)</f>
        <v>0</v>
      </c>
      <c r="Q37" s="8">
        <f>ROUND(SUMIFS(月別入力!$J:$J,月別入力!$F:$F,設定!$C37,月別入力!$D:$D,設定!Q$9,月別入力!$B:$B,設定!$B37),0)</f>
        <v>0</v>
      </c>
      <c r="R37" s="8">
        <f>ROUND(SUMIFS(月別入力!$J:$J,月別入力!$F:$F,設定!$C37,月別入力!$D:$D,設定!R$9,月別入力!$B:$B,設定!$B37),0)</f>
        <v>0</v>
      </c>
      <c r="S37" s="8">
        <f>ROUND(SUMIFS(月別入力!$J:$J,月別入力!$F:$F,設定!$C37,月別入力!$D:$D,設定!S$9,月別入力!$B:$B,設定!$B37),0)</f>
        <v>0</v>
      </c>
      <c r="T37" s="8">
        <f>ROUND(SUMIFS(月別入力!$J:$J,月別入力!$F:$F,設定!$C37,月別入力!$D:$D,設定!T$9,月別入力!$B:$B,設定!$B37),0)</f>
        <v>0</v>
      </c>
      <c r="U37" s="8">
        <f>ROUND(SUMIFS(月別入力!$J:$J,月別入力!$F:$F,設定!$C37,月別入力!$D:$D,設定!U$9,月別入力!$B:$B,設定!$B37),0)</f>
        <v>0</v>
      </c>
      <c r="V37" s="8">
        <f>ROUND(SUMIFS(月別入力!$J:$J,月別入力!$F:$F,設定!$C37,月別入力!$D:$D,設定!V$9,月別入力!$B:$B,設定!$B37),0)</f>
        <v>0</v>
      </c>
      <c r="W37" s="9">
        <f>ROUND(SUMIFS(月別入力!$J:$J,月別入力!$F:$F,設定!$C37,月別入力!$D:$D,設定!W$9,月別入力!$B:$B,設定!$B37),0)</f>
        <v>0</v>
      </c>
    </row>
    <row r="38" spans="2:23" s="3" customFormat="1" ht="15" customHeight="1" x14ac:dyDescent="0.2">
      <c r="B38" s="37" t="str">
        <f t="shared" si="2"/>
        <v>&lt;=12</v>
      </c>
      <c r="C38" s="21"/>
      <c r="D38" s="6"/>
      <c r="E38" s="10"/>
      <c r="F38" s="11"/>
      <c r="G38" s="24">
        <f t="shared" si="0"/>
        <v>0</v>
      </c>
      <c r="H38" s="26">
        <f t="shared" si="1"/>
        <v>0</v>
      </c>
      <c r="I38" s="26">
        <f>ROUND(SUMIFS(月別入力!$J:$J,月別入力!$F:$F,設定!$C38,月別入力!$D:$D,設定!I$9,月別入力!$B:$B,設定!$B38),0)</f>
        <v>0</v>
      </c>
      <c r="J38" s="5">
        <f t="shared" si="3"/>
        <v>0</v>
      </c>
      <c r="K38" s="8">
        <f>ROUND(SUMIFS(月別入力!$J:$J,月別入力!$F:$F,設定!$C38,月別入力!$D:$D,設定!K$9,月別入力!$B:$B,設定!$B38),0)</f>
        <v>0</v>
      </c>
      <c r="L38" s="8">
        <f>ROUND(SUMIFS(月別入力!$J:$J,月別入力!$F:$F,設定!$C38,月別入力!$D:$D,設定!L$9,月別入力!$B:$B,設定!$B38),0)</f>
        <v>0</v>
      </c>
      <c r="M38" s="8">
        <f>ROUND(SUMIFS(月別入力!$J:$J,月別入力!$F:$F,設定!$C38,月別入力!$D:$D,設定!M$9,月別入力!$B:$B,設定!$B38),0)</f>
        <v>0</v>
      </c>
      <c r="N38" s="8">
        <f>ROUND(SUMIFS(月別入力!$J:$J,月別入力!$F:$F,設定!$C38,月別入力!$D:$D,設定!N$9,月別入力!$B:$B,設定!$B38),0)</f>
        <v>0</v>
      </c>
      <c r="O38" s="8">
        <f>ROUND(SUMIFS(月別入力!$J:$J,月別入力!$F:$F,設定!$C38,月別入力!$D:$D,設定!O$9,月別入力!$B:$B,設定!$B38),0)</f>
        <v>0</v>
      </c>
      <c r="P38" s="8">
        <f>ROUND(SUMIFS(月別入力!$J:$J,月別入力!$F:$F,設定!$C38,月別入力!$D:$D,設定!P$9,月別入力!$B:$B,設定!$B38),0)</f>
        <v>0</v>
      </c>
      <c r="Q38" s="8">
        <f>ROUND(SUMIFS(月別入力!$J:$J,月別入力!$F:$F,設定!$C38,月別入力!$D:$D,設定!Q$9,月別入力!$B:$B,設定!$B38),0)</f>
        <v>0</v>
      </c>
      <c r="R38" s="8">
        <f>ROUND(SUMIFS(月別入力!$J:$J,月別入力!$F:$F,設定!$C38,月別入力!$D:$D,設定!R$9,月別入力!$B:$B,設定!$B38),0)</f>
        <v>0</v>
      </c>
      <c r="S38" s="8">
        <f>ROUND(SUMIFS(月別入力!$J:$J,月別入力!$F:$F,設定!$C38,月別入力!$D:$D,設定!S$9,月別入力!$B:$B,設定!$B38),0)</f>
        <v>0</v>
      </c>
      <c r="T38" s="8">
        <f>ROUND(SUMIFS(月別入力!$J:$J,月別入力!$F:$F,設定!$C38,月別入力!$D:$D,設定!T$9,月別入力!$B:$B,設定!$B38),0)</f>
        <v>0</v>
      </c>
      <c r="U38" s="8">
        <f>ROUND(SUMIFS(月別入力!$J:$J,月別入力!$F:$F,設定!$C38,月別入力!$D:$D,設定!U$9,月別入力!$B:$B,設定!$B38),0)</f>
        <v>0</v>
      </c>
      <c r="V38" s="8">
        <f>ROUND(SUMIFS(月別入力!$J:$J,月別入力!$F:$F,設定!$C38,月別入力!$D:$D,設定!V$9,月別入力!$B:$B,設定!$B38),0)</f>
        <v>0</v>
      </c>
      <c r="W38" s="9">
        <f>ROUND(SUMIFS(月別入力!$J:$J,月別入力!$F:$F,設定!$C38,月別入力!$D:$D,設定!W$9,月別入力!$B:$B,設定!$B38),0)</f>
        <v>0</v>
      </c>
    </row>
    <row r="39" spans="2:23" s="3" customFormat="1" ht="15" customHeight="1" x14ac:dyDescent="0.2">
      <c r="B39" s="37" t="str">
        <f t="shared" si="2"/>
        <v>&lt;=12</v>
      </c>
      <c r="C39" s="21"/>
      <c r="D39" s="6"/>
      <c r="E39" s="10"/>
      <c r="F39" s="11"/>
      <c r="G39" s="24">
        <f t="shared" si="0"/>
        <v>0</v>
      </c>
      <c r="H39" s="26">
        <f t="shared" si="1"/>
        <v>0</v>
      </c>
      <c r="I39" s="26">
        <f>ROUND(SUMIFS(月別入力!$J:$J,月別入力!$F:$F,設定!$C39,月別入力!$D:$D,設定!I$9,月別入力!$B:$B,設定!$B39),0)</f>
        <v>0</v>
      </c>
      <c r="J39" s="5">
        <f t="shared" si="3"/>
        <v>0</v>
      </c>
      <c r="K39" s="8">
        <f>ROUND(SUMIFS(月別入力!$J:$J,月別入力!$F:$F,設定!$C39,月別入力!$D:$D,設定!K$9,月別入力!$B:$B,設定!$B39),0)</f>
        <v>0</v>
      </c>
      <c r="L39" s="8">
        <f>ROUND(SUMIFS(月別入力!$J:$J,月別入力!$F:$F,設定!$C39,月別入力!$D:$D,設定!L$9,月別入力!$B:$B,設定!$B39),0)</f>
        <v>0</v>
      </c>
      <c r="M39" s="8">
        <f>ROUND(SUMIFS(月別入力!$J:$J,月別入力!$F:$F,設定!$C39,月別入力!$D:$D,設定!M$9,月別入力!$B:$B,設定!$B39),0)</f>
        <v>0</v>
      </c>
      <c r="N39" s="8">
        <f>ROUND(SUMIFS(月別入力!$J:$J,月別入力!$F:$F,設定!$C39,月別入力!$D:$D,設定!N$9,月別入力!$B:$B,設定!$B39),0)</f>
        <v>0</v>
      </c>
      <c r="O39" s="8">
        <f>ROUND(SUMIFS(月別入力!$J:$J,月別入力!$F:$F,設定!$C39,月別入力!$D:$D,設定!O$9,月別入力!$B:$B,設定!$B39),0)</f>
        <v>0</v>
      </c>
      <c r="P39" s="8">
        <f>ROUND(SUMIFS(月別入力!$J:$J,月別入力!$F:$F,設定!$C39,月別入力!$D:$D,設定!P$9,月別入力!$B:$B,設定!$B39),0)</f>
        <v>0</v>
      </c>
      <c r="Q39" s="8">
        <f>ROUND(SUMIFS(月別入力!$J:$J,月別入力!$F:$F,設定!$C39,月別入力!$D:$D,設定!Q$9,月別入力!$B:$B,設定!$B39),0)</f>
        <v>0</v>
      </c>
      <c r="R39" s="8">
        <f>ROUND(SUMIFS(月別入力!$J:$J,月別入力!$F:$F,設定!$C39,月別入力!$D:$D,設定!R$9,月別入力!$B:$B,設定!$B39),0)</f>
        <v>0</v>
      </c>
      <c r="S39" s="8">
        <f>ROUND(SUMIFS(月別入力!$J:$J,月別入力!$F:$F,設定!$C39,月別入力!$D:$D,設定!S$9,月別入力!$B:$B,設定!$B39),0)</f>
        <v>0</v>
      </c>
      <c r="T39" s="8">
        <f>ROUND(SUMIFS(月別入力!$J:$J,月別入力!$F:$F,設定!$C39,月別入力!$D:$D,設定!T$9,月別入力!$B:$B,設定!$B39),0)</f>
        <v>0</v>
      </c>
      <c r="U39" s="8">
        <f>ROUND(SUMIFS(月別入力!$J:$J,月別入力!$F:$F,設定!$C39,月別入力!$D:$D,設定!U$9,月別入力!$B:$B,設定!$B39),0)</f>
        <v>0</v>
      </c>
      <c r="V39" s="8">
        <f>ROUND(SUMIFS(月別入力!$J:$J,月別入力!$F:$F,設定!$C39,月別入力!$D:$D,設定!V$9,月別入力!$B:$B,設定!$B39),0)</f>
        <v>0</v>
      </c>
      <c r="W39" s="9">
        <f>ROUND(SUMIFS(月別入力!$J:$J,月別入力!$F:$F,設定!$C39,月別入力!$D:$D,設定!W$9,月別入力!$B:$B,設定!$B39),0)</f>
        <v>0</v>
      </c>
    </row>
    <row r="40" spans="2:23" s="3" customFormat="1" ht="15" customHeight="1" x14ac:dyDescent="0.2">
      <c r="B40" s="37" t="str">
        <f t="shared" si="2"/>
        <v>&lt;=12</v>
      </c>
      <c r="C40" s="20"/>
      <c r="D40" s="6"/>
      <c r="E40" s="10"/>
      <c r="F40" s="11"/>
      <c r="G40" s="24">
        <f t="shared" si="0"/>
        <v>0</v>
      </c>
      <c r="H40" s="26">
        <f t="shared" si="1"/>
        <v>0</v>
      </c>
      <c r="I40" s="26">
        <f>ROUND(SUMIFS(月別入力!$J:$J,月別入力!$F:$F,設定!$C40,月別入力!$D:$D,設定!I$9,月別入力!$B:$B,設定!$B40),0)</f>
        <v>0</v>
      </c>
      <c r="J40" s="5">
        <f t="shared" si="3"/>
        <v>0</v>
      </c>
      <c r="K40" s="8">
        <f>ROUND(SUMIFS(月別入力!$J:$J,月別入力!$F:$F,設定!$C40,月別入力!$D:$D,設定!K$9,月別入力!$B:$B,設定!$B40),0)</f>
        <v>0</v>
      </c>
      <c r="L40" s="8">
        <f>ROUND(SUMIFS(月別入力!$J:$J,月別入力!$F:$F,設定!$C40,月別入力!$D:$D,設定!L$9,月別入力!$B:$B,設定!$B40),0)</f>
        <v>0</v>
      </c>
      <c r="M40" s="8">
        <f>ROUND(SUMIFS(月別入力!$J:$J,月別入力!$F:$F,設定!$C40,月別入力!$D:$D,設定!M$9,月別入力!$B:$B,設定!$B40),0)</f>
        <v>0</v>
      </c>
      <c r="N40" s="8">
        <f>ROUND(SUMIFS(月別入力!$J:$J,月別入力!$F:$F,設定!$C40,月別入力!$D:$D,設定!N$9,月別入力!$B:$B,設定!$B40),0)</f>
        <v>0</v>
      </c>
      <c r="O40" s="8">
        <f>ROUND(SUMIFS(月別入力!$J:$J,月別入力!$F:$F,設定!$C40,月別入力!$D:$D,設定!O$9,月別入力!$B:$B,設定!$B40),0)</f>
        <v>0</v>
      </c>
      <c r="P40" s="8">
        <f>ROUND(SUMIFS(月別入力!$J:$J,月別入力!$F:$F,設定!$C40,月別入力!$D:$D,設定!P$9,月別入力!$B:$B,設定!$B40),0)</f>
        <v>0</v>
      </c>
      <c r="Q40" s="8">
        <f>ROUND(SUMIFS(月別入力!$J:$J,月別入力!$F:$F,設定!$C40,月別入力!$D:$D,設定!Q$9,月別入力!$B:$B,設定!$B40),0)</f>
        <v>0</v>
      </c>
      <c r="R40" s="8">
        <f>ROUND(SUMIFS(月別入力!$J:$J,月別入力!$F:$F,設定!$C40,月別入力!$D:$D,設定!R$9,月別入力!$B:$B,設定!$B40),0)</f>
        <v>0</v>
      </c>
      <c r="S40" s="8">
        <f>ROUND(SUMIFS(月別入力!$J:$J,月別入力!$F:$F,設定!$C40,月別入力!$D:$D,設定!S$9,月別入力!$B:$B,設定!$B40),0)</f>
        <v>0</v>
      </c>
      <c r="T40" s="8">
        <f>ROUND(SUMIFS(月別入力!$J:$J,月別入力!$F:$F,設定!$C40,月別入力!$D:$D,設定!T$9,月別入力!$B:$B,設定!$B40),0)</f>
        <v>0</v>
      </c>
      <c r="U40" s="8">
        <f>ROUND(SUMIFS(月別入力!$J:$J,月別入力!$F:$F,設定!$C40,月別入力!$D:$D,設定!U$9,月別入力!$B:$B,設定!$B40),0)</f>
        <v>0</v>
      </c>
      <c r="V40" s="8">
        <f>ROUND(SUMIFS(月別入力!$J:$J,月別入力!$F:$F,設定!$C40,月別入力!$D:$D,設定!V$9,月別入力!$B:$B,設定!$B40),0)</f>
        <v>0</v>
      </c>
      <c r="W40" s="9">
        <f>ROUND(SUMIFS(月別入力!$J:$J,月別入力!$F:$F,設定!$C40,月別入力!$D:$D,設定!W$9,月別入力!$B:$B,設定!$B40),0)</f>
        <v>0</v>
      </c>
    </row>
    <row r="41" spans="2:23" s="3" customFormat="1" ht="15" customHeight="1" x14ac:dyDescent="0.2">
      <c r="B41" s="37" t="str">
        <f t="shared" si="2"/>
        <v>&lt;=12</v>
      </c>
      <c r="C41" s="20"/>
      <c r="D41" s="6"/>
      <c r="E41" s="10"/>
      <c r="F41" s="11"/>
      <c r="G41" s="24">
        <f t="shared" si="0"/>
        <v>0</v>
      </c>
      <c r="H41" s="26">
        <f t="shared" si="1"/>
        <v>0</v>
      </c>
      <c r="I41" s="26">
        <f>ROUND(SUMIFS(月別入力!$J:$J,月別入力!$F:$F,設定!$C41,月別入力!$D:$D,設定!I$9,月別入力!$B:$B,設定!$B41),0)</f>
        <v>0</v>
      </c>
      <c r="J41" s="5">
        <f t="shared" si="3"/>
        <v>0</v>
      </c>
      <c r="K41" s="8">
        <f>ROUND(SUMIFS(月別入力!$J:$J,月別入力!$F:$F,設定!$C41,月別入力!$D:$D,設定!K$9,月別入力!$B:$B,設定!$B41),0)</f>
        <v>0</v>
      </c>
      <c r="L41" s="8">
        <f>ROUND(SUMIFS(月別入力!$J:$J,月別入力!$F:$F,設定!$C41,月別入力!$D:$D,設定!L$9,月別入力!$B:$B,設定!$B41),0)</f>
        <v>0</v>
      </c>
      <c r="M41" s="8">
        <f>ROUND(SUMIFS(月別入力!$J:$J,月別入力!$F:$F,設定!$C41,月別入力!$D:$D,設定!M$9,月別入力!$B:$B,設定!$B41),0)</f>
        <v>0</v>
      </c>
      <c r="N41" s="8">
        <f>ROUND(SUMIFS(月別入力!$J:$J,月別入力!$F:$F,設定!$C41,月別入力!$D:$D,設定!N$9,月別入力!$B:$B,設定!$B41),0)</f>
        <v>0</v>
      </c>
      <c r="O41" s="8">
        <f>ROUND(SUMIFS(月別入力!$J:$J,月別入力!$F:$F,設定!$C41,月別入力!$D:$D,設定!O$9,月別入力!$B:$B,設定!$B41),0)</f>
        <v>0</v>
      </c>
      <c r="P41" s="8">
        <f>ROUND(SUMIFS(月別入力!$J:$J,月別入力!$F:$F,設定!$C41,月別入力!$D:$D,設定!P$9,月別入力!$B:$B,設定!$B41),0)</f>
        <v>0</v>
      </c>
      <c r="Q41" s="8">
        <f>ROUND(SUMIFS(月別入力!$J:$J,月別入力!$F:$F,設定!$C41,月別入力!$D:$D,設定!Q$9,月別入力!$B:$B,設定!$B41),0)</f>
        <v>0</v>
      </c>
      <c r="R41" s="8">
        <f>ROUND(SUMIFS(月別入力!$J:$J,月別入力!$F:$F,設定!$C41,月別入力!$D:$D,設定!R$9,月別入力!$B:$B,設定!$B41),0)</f>
        <v>0</v>
      </c>
      <c r="S41" s="8">
        <f>ROUND(SUMIFS(月別入力!$J:$J,月別入力!$F:$F,設定!$C41,月別入力!$D:$D,設定!S$9,月別入力!$B:$B,設定!$B41),0)</f>
        <v>0</v>
      </c>
      <c r="T41" s="8">
        <f>ROUND(SUMIFS(月別入力!$J:$J,月別入力!$F:$F,設定!$C41,月別入力!$D:$D,設定!T$9,月別入力!$B:$B,設定!$B41),0)</f>
        <v>0</v>
      </c>
      <c r="U41" s="8">
        <f>ROUND(SUMIFS(月別入力!$J:$J,月別入力!$F:$F,設定!$C41,月別入力!$D:$D,設定!U$9,月別入力!$B:$B,設定!$B41),0)</f>
        <v>0</v>
      </c>
      <c r="V41" s="8">
        <f>ROUND(SUMIFS(月別入力!$J:$J,月別入力!$F:$F,設定!$C41,月別入力!$D:$D,設定!V$9,月別入力!$B:$B,設定!$B41),0)</f>
        <v>0</v>
      </c>
      <c r="W41" s="9">
        <f>ROUND(SUMIFS(月別入力!$J:$J,月別入力!$F:$F,設定!$C41,月別入力!$D:$D,設定!W$9,月別入力!$B:$B,設定!$B41),0)</f>
        <v>0</v>
      </c>
    </row>
    <row r="42" spans="2:23" s="3" customFormat="1" ht="15" customHeight="1" x14ac:dyDescent="0.2">
      <c r="B42" s="37" t="str">
        <f t="shared" si="2"/>
        <v>&lt;=12</v>
      </c>
      <c r="C42" s="20"/>
      <c r="D42" s="6"/>
      <c r="E42" s="10"/>
      <c r="F42" s="11"/>
      <c r="G42" s="24">
        <f t="shared" si="0"/>
        <v>0</v>
      </c>
      <c r="H42" s="26">
        <f t="shared" si="1"/>
        <v>0</v>
      </c>
      <c r="I42" s="26">
        <f>ROUND(SUMIFS(月別入力!$J:$J,月別入力!$F:$F,設定!$C42,月別入力!$D:$D,設定!I$9,月別入力!$B:$B,設定!$B42),0)</f>
        <v>0</v>
      </c>
      <c r="J42" s="5">
        <f t="shared" si="3"/>
        <v>0</v>
      </c>
      <c r="K42" s="8">
        <f>ROUND(SUMIFS(月別入力!$J:$J,月別入力!$F:$F,設定!$C42,月別入力!$D:$D,設定!K$9,月別入力!$B:$B,設定!$B42),0)</f>
        <v>0</v>
      </c>
      <c r="L42" s="8">
        <f>ROUND(SUMIFS(月別入力!$J:$J,月別入力!$F:$F,設定!$C42,月別入力!$D:$D,設定!L$9,月別入力!$B:$B,設定!$B42),0)</f>
        <v>0</v>
      </c>
      <c r="M42" s="8">
        <f>ROUND(SUMIFS(月別入力!$J:$J,月別入力!$F:$F,設定!$C42,月別入力!$D:$D,設定!M$9,月別入力!$B:$B,設定!$B42),0)</f>
        <v>0</v>
      </c>
      <c r="N42" s="8">
        <f>ROUND(SUMIFS(月別入力!$J:$J,月別入力!$F:$F,設定!$C42,月別入力!$D:$D,設定!N$9,月別入力!$B:$B,設定!$B42),0)</f>
        <v>0</v>
      </c>
      <c r="O42" s="8">
        <f>ROUND(SUMIFS(月別入力!$J:$J,月別入力!$F:$F,設定!$C42,月別入力!$D:$D,設定!O$9,月別入力!$B:$B,設定!$B42),0)</f>
        <v>0</v>
      </c>
      <c r="P42" s="8">
        <f>ROUND(SUMIFS(月別入力!$J:$J,月別入力!$F:$F,設定!$C42,月別入力!$D:$D,設定!P$9,月別入力!$B:$B,設定!$B42),0)</f>
        <v>0</v>
      </c>
      <c r="Q42" s="8">
        <f>ROUND(SUMIFS(月別入力!$J:$J,月別入力!$F:$F,設定!$C42,月別入力!$D:$D,設定!Q$9,月別入力!$B:$B,設定!$B42),0)</f>
        <v>0</v>
      </c>
      <c r="R42" s="8">
        <f>ROUND(SUMIFS(月別入力!$J:$J,月別入力!$F:$F,設定!$C42,月別入力!$D:$D,設定!R$9,月別入力!$B:$B,設定!$B42),0)</f>
        <v>0</v>
      </c>
      <c r="S42" s="8">
        <f>ROUND(SUMIFS(月別入力!$J:$J,月別入力!$F:$F,設定!$C42,月別入力!$D:$D,設定!S$9,月別入力!$B:$B,設定!$B42),0)</f>
        <v>0</v>
      </c>
      <c r="T42" s="8">
        <f>ROUND(SUMIFS(月別入力!$J:$J,月別入力!$F:$F,設定!$C42,月別入力!$D:$D,設定!T$9,月別入力!$B:$B,設定!$B42),0)</f>
        <v>0</v>
      </c>
      <c r="U42" s="8">
        <f>ROUND(SUMIFS(月別入力!$J:$J,月別入力!$F:$F,設定!$C42,月別入力!$D:$D,設定!U$9,月別入力!$B:$B,設定!$B42),0)</f>
        <v>0</v>
      </c>
      <c r="V42" s="8">
        <f>ROUND(SUMIFS(月別入力!$J:$J,月別入力!$F:$F,設定!$C42,月別入力!$D:$D,設定!V$9,月別入力!$B:$B,設定!$B42),0)</f>
        <v>0</v>
      </c>
      <c r="W42" s="9">
        <f>ROUND(SUMIFS(月別入力!$J:$J,月別入力!$F:$F,設定!$C42,月別入力!$D:$D,設定!W$9,月別入力!$B:$B,設定!$B42),0)</f>
        <v>0</v>
      </c>
    </row>
    <row r="43" spans="2:23" s="3" customFormat="1" ht="15" customHeight="1" x14ac:dyDescent="0.2">
      <c r="B43" s="37" t="str">
        <f t="shared" si="2"/>
        <v>&lt;=12</v>
      </c>
      <c r="C43" s="20"/>
      <c r="D43" s="6"/>
      <c r="E43" s="10"/>
      <c r="F43" s="11"/>
      <c r="G43" s="24">
        <f t="shared" si="0"/>
        <v>0</v>
      </c>
      <c r="H43" s="26">
        <f t="shared" si="1"/>
        <v>0</v>
      </c>
      <c r="I43" s="26">
        <f>ROUND(SUMIFS(月別入力!$J:$J,月別入力!$F:$F,設定!$C43,月別入力!$D:$D,設定!I$9,月別入力!$B:$B,設定!$B43),0)</f>
        <v>0</v>
      </c>
      <c r="J43" s="5">
        <f t="shared" si="3"/>
        <v>0</v>
      </c>
      <c r="K43" s="8">
        <f>ROUND(SUMIFS(月別入力!$J:$J,月別入力!$F:$F,設定!$C43,月別入力!$D:$D,設定!K$9,月別入力!$B:$B,設定!$B43),0)</f>
        <v>0</v>
      </c>
      <c r="L43" s="8">
        <f>ROUND(SUMIFS(月別入力!$J:$J,月別入力!$F:$F,設定!$C43,月別入力!$D:$D,設定!L$9,月別入力!$B:$B,設定!$B43),0)</f>
        <v>0</v>
      </c>
      <c r="M43" s="8">
        <f>ROUND(SUMIFS(月別入力!$J:$J,月別入力!$F:$F,設定!$C43,月別入力!$D:$D,設定!M$9,月別入力!$B:$B,設定!$B43),0)</f>
        <v>0</v>
      </c>
      <c r="N43" s="8">
        <f>ROUND(SUMIFS(月別入力!$J:$J,月別入力!$F:$F,設定!$C43,月別入力!$D:$D,設定!N$9,月別入力!$B:$B,設定!$B43),0)</f>
        <v>0</v>
      </c>
      <c r="O43" s="8">
        <f>ROUND(SUMIFS(月別入力!$J:$J,月別入力!$F:$F,設定!$C43,月別入力!$D:$D,設定!O$9,月別入力!$B:$B,設定!$B43),0)</f>
        <v>0</v>
      </c>
      <c r="P43" s="8">
        <f>ROUND(SUMIFS(月別入力!$J:$J,月別入力!$F:$F,設定!$C43,月別入力!$D:$D,設定!P$9,月別入力!$B:$B,設定!$B43),0)</f>
        <v>0</v>
      </c>
      <c r="Q43" s="8">
        <f>ROUND(SUMIFS(月別入力!$J:$J,月別入力!$F:$F,設定!$C43,月別入力!$D:$D,設定!Q$9,月別入力!$B:$B,設定!$B43),0)</f>
        <v>0</v>
      </c>
      <c r="R43" s="8">
        <f>ROUND(SUMIFS(月別入力!$J:$J,月別入力!$F:$F,設定!$C43,月別入力!$D:$D,設定!R$9,月別入力!$B:$B,設定!$B43),0)</f>
        <v>0</v>
      </c>
      <c r="S43" s="8">
        <f>ROUND(SUMIFS(月別入力!$J:$J,月別入力!$F:$F,設定!$C43,月別入力!$D:$D,設定!S$9,月別入力!$B:$B,設定!$B43),0)</f>
        <v>0</v>
      </c>
      <c r="T43" s="8">
        <f>ROUND(SUMIFS(月別入力!$J:$J,月別入力!$F:$F,設定!$C43,月別入力!$D:$D,設定!T$9,月別入力!$B:$B,設定!$B43),0)</f>
        <v>0</v>
      </c>
      <c r="U43" s="8">
        <f>ROUND(SUMIFS(月別入力!$J:$J,月別入力!$F:$F,設定!$C43,月別入力!$D:$D,設定!U$9,月別入力!$B:$B,設定!$B43),0)</f>
        <v>0</v>
      </c>
      <c r="V43" s="8">
        <f>ROUND(SUMIFS(月別入力!$J:$J,月別入力!$F:$F,設定!$C43,月別入力!$D:$D,設定!V$9,月別入力!$B:$B,設定!$B43),0)</f>
        <v>0</v>
      </c>
      <c r="W43" s="9">
        <f>ROUND(SUMIFS(月別入力!$J:$J,月別入力!$F:$F,設定!$C43,月別入力!$D:$D,設定!W$9,月別入力!$B:$B,設定!$B43),0)</f>
        <v>0</v>
      </c>
    </row>
    <row r="44" spans="2:23" s="3" customFormat="1" ht="15" customHeight="1" x14ac:dyDescent="0.2">
      <c r="B44" s="37" t="str">
        <f t="shared" si="2"/>
        <v>&lt;=12</v>
      </c>
      <c r="C44" s="20"/>
      <c r="D44" s="6"/>
      <c r="E44" s="10"/>
      <c r="F44" s="11"/>
      <c r="G44" s="24">
        <f t="shared" si="0"/>
        <v>0</v>
      </c>
      <c r="H44" s="26">
        <f t="shared" si="1"/>
        <v>0</v>
      </c>
      <c r="I44" s="26">
        <f>ROUND(SUMIFS(月別入力!$J:$J,月別入力!$F:$F,設定!$C44,月別入力!$D:$D,設定!I$9,月別入力!$B:$B,設定!$B44),0)</f>
        <v>0</v>
      </c>
      <c r="J44" s="5">
        <f t="shared" si="3"/>
        <v>0</v>
      </c>
      <c r="K44" s="8">
        <f>ROUND(SUMIFS(月別入力!$J:$J,月別入力!$F:$F,設定!$C44,月別入力!$D:$D,設定!K$9,月別入力!$B:$B,設定!$B44),0)</f>
        <v>0</v>
      </c>
      <c r="L44" s="8">
        <f>ROUND(SUMIFS(月別入力!$J:$J,月別入力!$F:$F,設定!$C44,月別入力!$D:$D,設定!L$9,月別入力!$B:$B,設定!$B44),0)</f>
        <v>0</v>
      </c>
      <c r="M44" s="8">
        <f>ROUND(SUMIFS(月別入力!$J:$J,月別入力!$F:$F,設定!$C44,月別入力!$D:$D,設定!M$9,月別入力!$B:$B,設定!$B44),0)</f>
        <v>0</v>
      </c>
      <c r="N44" s="8">
        <f>ROUND(SUMIFS(月別入力!$J:$J,月別入力!$F:$F,設定!$C44,月別入力!$D:$D,設定!N$9,月別入力!$B:$B,設定!$B44),0)</f>
        <v>0</v>
      </c>
      <c r="O44" s="8">
        <f>ROUND(SUMIFS(月別入力!$J:$J,月別入力!$F:$F,設定!$C44,月別入力!$D:$D,設定!O$9,月別入力!$B:$B,設定!$B44),0)</f>
        <v>0</v>
      </c>
      <c r="P44" s="8">
        <f>ROUND(SUMIFS(月別入力!$J:$J,月別入力!$F:$F,設定!$C44,月別入力!$D:$D,設定!P$9,月別入力!$B:$B,設定!$B44),0)</f>
        <v>0</v>
      </c>
      <c r="Q44" s="8">
        <f>ROUND(SUMIFS(月別入力!$J:$J,月別入力!$F:$F,設定!$C44,月別入力!$D:$D,設定!Q$9,月別入力!$B:$B,設定!$B44),0)</f>
        <v>0</v>
      </c>
      <c r="R44" s="8">
        <f>ROUND(SUMIFS(月別入力!$J:$J,月別入力!$F:$F,設定!$C44,月別入力!$D:$D,設定!R$9,月別入力!$B:$B,設定!$B44),0)</f>
        <v>0</v>
      </c>
      <c r="S44" s="8">
        <f>ROUND(SUMIFS(月別入力!$J:$J,月別入力!$F:$F,設定!$C44,月別入力!$D:$D,設定!S$9,月別入力!$B:$B,設定!$B44),0)</f>
        <v>0</v>
      </c>
      <c r="T44" s="8">
        <f>ROUND(SUMIFS(月別入力!$J:$J,月別入力!$F:$F,設定!$C44,月別入力!$D:$D,設定!T$9,月別入力!$B:$B,設定!$B44),0)</f>
        <v>0</v>
      </c>
      <c r="U44" s="8">
        <f>ROUND(SUMIFS(月別入力!$J:$J,月別入力!$F:$F,設定!$C44,月別入力!$D:$D,設定!U$9,月別入力!$B:$B,設定!$B44),0)</f>
        <v>0</v>
      </c>
      <c r="V44" s="8">
        <f>ROUND(SUMIFS(月別入力!$J:$J,月別入力!$F:$F,設定!$C44,月別入力!$D:$D,設定!V$9,月別入力!$B:$B,設定!$B44),0)</f>
        <v>0</v>
      </c>
      <c r="W44" s="9">
        <f>ROUND(SUMIFS(月別入力!$J:$J,月別入力!$F:$F,設定!$C44,月別入力!$D:$D,設定!W$9,月別入力!$B:$B,設定!$B44),0)</f>
        <v>0</v>
      </c>
    </row>
    <row r="45" spans="2:23" s="3" customFormat="1" ht="15" customHeight="1" x14ac:dyDescent="0.2">
      <c r="B45" s="37" t="str">
        <f t="shared" si="2"/>
        <v>&lt;=12</v>
      </c>
      <c r="C45" s="20"/>
      <c r="D45" s="6"/>
      <c r="E45" s="10"/>
      <c r="F45" s="11"/>
      <c r="G45" s="24">
        <f t="shared" si="0"/>
        <v>0</v>
      </c>
      <c r="H45" s="26">
        <f t="shared" si="1"/>
        <v>0</v>
      </c>
      <c r="I45" s="26">
        <f>ROUND(SUMIFS(月別入力!$J:$J,月別入力!$F:$F,設定!$C45,月別入力!$D:$D,設定!I$9,月別入力!$B:$B,設定!$B45),0)</f>
        <v>0</v>
      </c>
      <c r="J45" s="5">
        <f t="shared" si="3"/>
        <v>0</v>
      </c>
      <c r="K45" s="8">
        <f>ROUND(SUMIFS(月別入力!$J:$J,月別入力!$F:$F,設定!$C45,月別入力!$D:$D,設定!K$9,月別入力!$B:$B,設定!$B45),0)</f>
        <v>0</v>
      </c>
      <c r="L45" s="8">
        <f>ROUND(SUMIFS(月別入力!$J:$J,月別入力!$F:$F,設定!$C45,月別入力!$D:$D,設定!L$9,月別入力!$B:$B,設定!$B45),0)</f>
        <v>0</v>
      </c>
      <c r="M45" s="8">
        <f>ROUND(SUMIFS(月別入力!$J:$J,月別入力!$F:$F,設定!$C45,月別入力!$D:$D,設定!M$9,月別入力!$B:$B,設定!$B45),0)</f>
        <v>0</v>
      </c>
      <c r="N45" s="8">
        <f>ROUND(SUMIFS(月別入力!$J:$J,月別入力!$F:$F,設定!$C45,月別入力!$D:$D,設定!N$9,月別入力!$B:$B,設定!$B45),0)</f>
        <v>0</v>
      </c>
      <c r="O45" s="8">
        <f>ROUND(SUMIFS(月別入力!$J:$J,月別入力!$F:$F,設定!$C45,月別入力!$D:$D,設定!O$9,月別入力!$B:$B,設定!$B45),0)</f>
        <v>0</v>
      </c>
      <c r="P45" s="8">
        <f>ROUND(SUMIFS(月別入力!$J:$J,月別入力!$F:$F,設定!$C45,月別入力!$D:$D,設定!P$9,月別入力!$B:$B,設定!$B45),0)</f>
        <v>0</v>
      </c>
      <c r="Q45" s="8">
        <f>ROUND(SUMIFS(月別入力!$J:$J,月別入力!$F:$F,設定!$C45,月別入力!$D:$D,設定!Q$9,月別入力!$B:$B,設定!$B45),0)</f>
        <v>0</v>
      </c>
      <c r="R45" s="8">
        <f>ROUND(SUMIFS(月別入力!$J:$J,月別入力!$F:$F,設定!$C45,月別入力!$D:$D,設定!R$9,月別入力!$B:$B,設定!$B45),0)</f>
        <v>0</v>
      </c>
      <c r="S45" s="8">
        <f>ROUND(SUMIFS(月別入力!$J:$J,月別入力!$F:$F,設定!$C45,月別入力!$D:$D,設定!S$9,月別入力!$B:$B,設定!$B45),0)</f>
        <v>0</v>
      </c>
      <c r="T45" s="8">
        <f>ROUND(SUMIFS(月別入力!$J:$J,月別入力!$F:$F,設定!$C45,月別入力!$D:$D,設定!T$9,月別入力!$B:$B,設定!$B45),0)</f>
        <v>0</v>
      </c>
      <c r="U45" s="8">
        <f>ROUND(SUMIFS(月別入力!$J:$J,月別入力!$F:$F,設定!$C45,月別入力!$D:$D,設定!U$9,月別入力!$B:$B,設定!$B45),0)</f>
        <v>0</v>
      </c>
      <c r="V45" s="8">
        <f>ROUND(SUMIFS(月別入力!$J:$J,月別入力!$F:$F,設定!$C45,月別入力!$D:$D,設定!V$9,月別入力!$B:$B,設定!$B45),0)</f>
        <v>0</v>
      </c>
      <c r="W45" s="9">
        <f>ROUND(SUMIFS(月別入力!$J:$J,月別入力!$F:$F,設定!$C45,月別入力!$D:$D,設定!W$9,月別入力!$B:$B,設定!$B45),0)</f>
        <v>0</v>
      </c>
    </row>
    <row r="46" spans="2:23" s="3" customFormat="1" ht="15" customHeight="1" x14ac:dyDescent="0.2">
      <c r="B46" s="37" t="str">
        <f t="shared" si="2"/>
        <v>&lt;=12</v>
      </c>
      <c r="C46" s="20"/>
      <c r="D46" s="6"/>
      <c r="E46" s="10"/>
      <c r="F46" s="11"/>
      <c r="G46" s="24">
        <f t="shared" si="0"/>
        <v>0</v>
      </c>
      <c r="H46" s="26">
        <f t="shared" si="1"/>
        <v>0</v>
      </c>
      <c r="I46" s="26">
        <f>ROUND(SUMIFS(月別入力!$J:$J,月別入力!$F:$F,設定!$C46,月別入力!$D:$D,設定!I$9,月別入力!$B:$B,設定!$B46),0)</f>
        <v>0</v>
      </c>
      <c r="J46" s="5">
        <f t="shared" si="3"/>
        <v>0</v>
      </c>
      <c r="K46" s="8">
        <f>ROUND(SUMIFS(月別入力!$J:$J,月別入力!$F:$F,設定!$C46,月別入力!$D:$D,設定!K$9,月別入力!$B:$B,設定!$B46),0)</f>
        <v>0</v>
      </c>
      <c r="L46" s="8">
        <f>ROUND(SUMIFS(月別入力!$J:$J,月別入力!$F:$F,設定!$C46,月別入力!$D:$D,設定!L$9,月別入力!$B:$B,設定!$B46),0)</f>
        <v>0</v>
      </c>
      <c r="M46" s="8">
        <f>ROUND(SUMIFS(月別入力!$J:$J,月別入力!$F:$F,設定!$C46,月別入力!$D:$D,設定!M$9,月別入力!$B:$B,設定!$B46),0)</f>
        <v>0</v>
      </c>
      <c r="N46" s="8">
        <f>ROUND(SUMIFS(月別入力!$J:$J,月別入力!$F:$F,設定!$C46,月別入力!$D:$D,設定!N$9,月別入力!$B:$B,設定!$B46),0)</f>
        <v>0</v>
      </c>
      <c r="O46" s="8">
        <f>ROUND(SUMIFS(月別入力!$J:$J,月別入力!$F:$F,設定!$C46,月別入力!$D:$D,設定!O$9,月別入力!$B:$B,設定!$B46),0)</f>
        <v>0</v>
      </c>
      <c r="P46" s="8">
        <f>ROUND(SUMIFS(月別入力!$J:$J,月別入力!$F:$F,設定!$C46,月別入力!$D:$D,設定!P$9,月別入力!$B:$B,設定!$B46),0)</f>
        <v>0</v>
      </c>
      <c r="Q46" s="8">
        <f>ROUND(SUMIFS(月別入力!$J:$J,月別入力!$F:$F,設定!$C46,月別入力!$D:$D,設定!Q$9,月別入力!$B:$B,設定!$B46),0)</f>
        <v>0</v>
      </c>
      <c r="R46" s="8">
        <f>ROUND(SUMIFS(月別入力!$J:$J,月別入力!$F:$F,設定!$C46,月別入力!$D:$D,設定!R$9,月別入力!$B:$B,設定!$B46),0)</f>
        <v>0</v>
      </c>
      <c r="S46" s="8">
        <f>ROUND(SUMIFS(月別入力!$J:$J,月別入力!$F:$F,設定!$C46,月別入力!$D:$D,設定!S$9,月別入力!$B:$B,設定!$B46),0)</f>
        <v>0</v>
      </c>
      <c r="T46" s="8">
        <f>ROUND(SUMIFS(月別入力!$J:$J,月別入力!$F:$F,設定!$C46,月別入力!$D:$D,設定!T$9,月別入力!$B:$B,設定!$B46),0)</f>
        <v>0</v>
      </c>
      <c r="U46" s="8">
        <f>ROUND(SUMIFS(月別入力!$J:$J,月別入力!$F:$F,設定!$C46,月別入力!$D:$D,設定!U$9,月別入力!$B:$B,設定!$B46),0)</f>
        <v>0</v>
      </c>
      <c r="V46" s="8">
        <f>ROUND(SUMIFS(月別入力!$J:$J,月別入力!$F:$F,設定!$C46,月別入力!$D:$D,設定!V$9,月別入力!$B:$B,設定!$B46),0)</f>
        <v>0</v>
      </c>
      <c r="W46" s="9">
        <f>ROUND(SUMIFS(月別入力!$J:$J,月別入力!$F:$F,設定!$C46,月別入力!$D:$D,設定!W$9,月別入力!$B:$B,設定!$B46),0)</f>
        <v>0</v>
      </c>
    </row>
    <row r="47" spans="2:23" s="3" customFormat="1" ht="15" customHeight="1" x14ac:dyDescent="0.2">
      <c r="B47" s="37" t="str">
        <f t="shared" si="2"/>
        <v>&lt;=12</v>
      </c>
      <c r="C47" s="20"/>
      <c r="D47" s="6"/>
      <c r="E47" s="10"/>
      <c r="F47" s="11"/>
      <c r="G47" s="24">
        <f t="shared" si="0"/>
        <v>0</v>
      </c>
      <c r="H47" s="26">
        <f t="shared" si="1"/>
        <v>0</v>
      </c>
      <c r="I47" s="26">
        <f>ROUND(SUMIFS(月別入力!$J:$J,月別入力!$F:$F,設定!$C47,月別入力!$D:$D,設定!I$9,月別入力!$B:$B,設定!$B47),0)</f>
        <v>0</v>
      </c>
      <c r="J47" s="5">
        <f t="shared" si="3"/>
        <v>0</v>
      </c>
      <c r="K47" s="8">
        <f>ROUND(SUMIFS(月別入力!$J:$J,月別入力!$F:$F,設定!$C47,月別入力!$D:$D,設定!K$9,月別入力!$B:$B,設定!$B47),0)</f>
        <v>0</v>
      </c>
      <c r="L47" s="8">
        <f>ROUND(SUMIFS(月別入力!$J:$J,月別入力!$F:$F,設定!$C47,月別入力!$D:$D,設定!L$9,月別入力!$B:$B,設定!$B47),0)</f>
        <v>0</v>
      </c>
      <c r="M47" s="8">
        <f>ROUND(SUMIFS(月別入力!$J:$J,月別入力!$F:$F,設定!$C47,月別入力!$D:$D,設定!M$9,月別入力!$B:$B,設定!$B47),0)</f>
        <v>0</v>
      </c>
      <c r="N47" s="8">
        <f>ROUND(SUMIFS(月別入力!$J:$J,月別入力!$F:$F,設定!$C47,月別入力!$D:$D,設定!N$9,月別入力!$B:$B,設定!$B47),0)</f>
        <v>0</v>
      </c>
      <c r="O47" s="8">
        <f>ROUND(SUMIFS(月別入力!$J:$J,月別入力!$F:$F,設定!$C47,月別入力!$D:$D,設定!O$9,月別入力!$B:$B,設定!$B47),0)</f>
        <v>0</v>
      </c>
      <c r="P47" s="8">
        <f>ROUND(SUMIFS(月別入力!$J:$J,月別入力!$F:$F,設定!$C47,月別入力!$D:$D,設定!P$9,月別入力!$B:$B,設定!$B47),0)</f>
        <v>0</v>
      </c>
      <c r="Q47" s="8">
        <f>ROUND(SUMIFS(月別入力!$J:$J,月別入力!$F:$F,設定!$C47,月別入力!$D:$D,設定!Q$9,月別入力!$B:$B,設定!$B47),0)</f>
        <v>0</v>
      </c>
      <c r="R47" s="8">
        <f>ROUND(SUMIFS(月別入力!$J:$J,月別入力!$F:$F,設定!$C47,月別入力!$D:$D,設定!R$9,月別入力!$B:$B,設定!$B47),0)</f>
        <v>0</v>
      </c>
      <c r="S47" s="8">
        <f>ROUND(SUMIFS(月別入力!$J:$J,月別入力!$F:$F,設定!$C47,月別入力!$D:$D,設定!S$9,月別入力!$B:$B,設定!$B47),0)</f>
        <v>0</v>
      </c>
      <c r="T47" s="8">
        <f>ROUND(SUMIFS(月別入力!$J:$J,月別入力!$F:$F,設定!$C47,月別入力!$D:$D,設定!T$9,月別入力!$B:$B,設定!$B47),0)</f>
        <v>0</v>
      </c>
      <c r="U47" s="8">
        <f>ROUND(SUMIFS(月別入力!$J:$J,月別入力!$F:$F,設定!$C47,月別入力!$D:$D,設定!U$9,月別入力!$B:$B,設定!$B47),0)</f>
        <v>0</v>
      </c>
      <c r="V47" s="8">
        <f>ROUND(SUMIFS(月別入力!$J:$J,月別入力!$F:$F,設定!$C47,月別入力!$D:$D,設定!V$9,月別入力!$B:$B,設定!$B47),0)</f>
        <v>0</v>
      </c>
      <c r="W47" s="9">
        <f>ROUND(SUMIFS(月別入力!$J:$J,月別入力!$F:$F,設定!$C47,月別入力!$D:$D,設定!W$9,月別入力!$B:$B,設定!$B47),0)</f>
        <v>0</v>
      </c>
    </row>
    <row r="48" spans="2:23" s="3" customFormat="1" ht="15" customHeight="1" x14ac:dyDescent="0.2">
      <c r="B48" s="37" t="str">
        <f t="shared" si="2"/>
        <v>&lt;=12</v>
      </c>
      <c r="C48" s="20"/>
      <c r="D48" s="6"/>
      <c r="E48" s="10"/>
      <c r="F48" s="11"/>
      <c r="G48" s="24">
        <f t="shared" si="0"/>
        <v>0</v>
      </c>
      <c r="H48" s="26">
        <f t="shared" si="1"/>
        <v>0</v>
      </c>
      <c r="I48" s="26">
        <f>ROUND(SUMIFS(月別入力!$J:$J,月別入力!$F:$F,設定!$C48,月別入力!$D:$D,設定!I$9,月別入力!$B:$B,設定!$B48),0)</f>
        <v>0</v>
      </c>
      <c r="J48" s="5">
        <f t="shared" si="3"/>
        <v>0</v>
      </c>
      <c r="K48" s="8">
        <f>ROUND(SUMIFS(月別入力!$J:$J,月別入力!$F:$F,設定!$C48,月別入力!$D:$D,設定!K$9,月別入力!$B:$B,設定!$B48),0)</f>
        <v>0</v>
      </c>
      <c r="L48" s="8">
        <f>ROUND(SUMIFS(月別入力!$J:$J,月別入力!$F:$F,設定!$C48,月別入力!$D:$D,設定!L$9,月別入力!$B:$B,設定!$B48),0)</f>
        <v>0</v>
      </c>
      <c r="M48" s="8">
        <f>ROUND(SUMIFS(月別入力!$J:$J,月別入力!$F:$F,設定!$C48,月別入力!$D:$D,設定!M$9,月別入力!$B:$B,設定!$B48),0)</f>
        <v>0</v>
      </c>
      <c r="N48" s="8">
        <f>ROUND(SUMIFS(月別入力!$J:$J,月別入力!$F:$F,設定!$C48,月別入力!$D:$D,設定!N$9,月別入力!$B:$B,設定!$B48),0)</f>
        <v>0</v>
      </c>
      <c r="O48" s="8">
        <f>ROUND(SUMIFS(月別入力!$J:$J,月別入力!$F:$F,設定!$C48,月別入力!$D:$D,設定!O$9,月別入力!$B:$B,設定!$B48),0)</f>
        <v>0</v>
      </c>
      <c r="P48" s="8">
        <f>ROUND(SUMIFS(月別入力!$J:$J,月別入力!$F:$F,設定!$C48,月別入力!$D:$D,設定!P$9,月別入力!$B:$B,設定!$B48),0)</f>
        <v>0</v>
      </c>
      <c r="Q48" s="8">
        <f>ROUND(SUMIFS(月別入力!$J:$J,月別入力!$F:$F,設定!$C48,月別入力!$D:$D,設定!Q$9,月別入力!$B:$B,設定!$B48),0)</f>
        <v>0</v>
      </c>
      <c r="R48" s="8">
        <f>ROUND(SUMIFS(月別入力!$J:$J,月別入力!$F:$F,設定!$C48,月別入力!$D:$D,設定!R$9,月別入力!$B:$B,設定!$B48),0)</f>
        <v>0</v>
      </c>
      <c r="S48" s="8">
        <f>ROUND(SUMIFS(月別入力!$J:$J,月別入力!$F:$F,設定!$C48,月別入力!$D:$D,設定!S$9,月別入力!$B:$B,設定!$B48),0)</f>
        <v>0</v>
      </c>
      <c r="T48" s="8">
        <f>ROUND(SUMIFS(月別入力!$J:$J,月別入力!$F:$F,設定!$C48,月別入力!$D:$D,設定!T$9,月別入力!$B:$B,設定!$B48),0)</f>
        <v>0</v>
      </c>
      <c r="U48" s="8">
        <f>ROUND(SUMIFS(月別入力!$J:$J,月別入力!$F:$F,設定!$C48,月別入力!$D:$D,設定!U$9,月別入力!$B:$B,設定!$B48),0)</f>
        <v>0</v>
      </c>
      <c r="V48" s="8">
        <f>ROUND(SUMIFS(月別入力!$J:$J,月別入力!$F:$F,設定!$C48,月別入力!$D:$D,設定!V$9,月別入力!$B:$B,設定!$B48),0)</f>
        <v>0</v>
      </c>
      <c r="W48" s="9">
        <f>ROUND(SUMIFS(月別入力!$J:$J,月別入力!$F:$F,設定!$C48,月別入力!$D:$D,設定!W$9,月別入力!$B:$B,設定!$B48),0)</f>
        <v>0</v>
      </c>
    </row>
    <row r="49" spans="2:23" s="3" customFormat="1" ht="15" customHeight="1" x14ac:dyDescent="0.2">
      <c r="B49" s="37" t="str">
        <f t="shared" si="2"/>
        <v>&lt;=12</v>
      </c>
      <c r="C49" s="20"/>
      <c r="D49" s="6"/>
      <c r="E49" s="10"/>
      <c r="F49" s="11"/>
      <c r="G49" s="24">
        <f t="shared" si="0"/>
        <v>0</v>
      </c>
      <c r="H49" s="26">
        <f t="shared" si="1"/>
        <v>0</v>
      </c>
      <c r="I49" s="26">
        <f>ROUND(SUMIFS(月別入力!$J:$J,月別入力!$F:$F,設定!$C49,月別入力!$D:$D,設定!I$9,月別入力!$B:$B,設定!$B49),0)</f>
        <v>0</v>
      </c>
      <c r="J49" s="5">
        <f t="shared" si="3"/>
        <v>0</v>
      </c>
      <c r="K49" s="8">
        <f>ROUND(SUMIFS(月別入力!$J:$J,月別入力!$F:$F,設定!$C49,月別入力!$D:$D,設定!K$9,月別入力!$B:$B,設定!$B49),0)</f>
        <v>0</v>
      </c>
      <c r="L49" s="8">
        <f>ROUND(SUMIFS(月別入力!$J:$J,月別入力!$F:$F,設定!$C49,月別入力!$D:$D,設定!L$9,月別入力!$B:$B,設定!$B49),0)</f>
        <v>0</v>
      </c>
      <c r="M49" s="8">
        <f>ROUND(SUMIFS(月別入力!$J:$J,月別入力!$F:$F,設定!$C49,月別入力!$D:$D,設定!M$9,月別入力!$B:$B,設定!$B49),0)</f>
        <v>0</v>
      </c>
      <c r="N49" s="8">
        <f>ROUND(SUMIFS(月別入力!$J:$J,月別入力!$F:$F,設定!$C49,月別入力!$D:$D,設定!N$9,月別入力!$B:$B,設定!$B49),0)</f>
        <v>0</v>
      </c>
      <c r="O49" s="8">
        <f>ROUND(SUMIFS(月別入力!$J:$J,月別入力!$F:$F,設定!$C49,月別入力!$D:$D,設定!O$9,月別入力!$B:$B,設定!$B49),0)</f>
        <v>0</v>
      </c>
      <c r="P49" s="8">
        <f>ROUND(SUMIFS(月別入力!$J:$J,月別入力!$F:$F,設定!$C49,月別入力!$D:$D,設定!P$9,月別入力!$B:$B,設定!$B49),0)</f>
        <v>0</v>
      </c>
      <c r="Q49" s="8">
        <f>ROUND(SUMIFS(月別入力!$J:$J,月別入力!$F:$F,設定!$C49,月別入力!$D:$D,設定!Q$9,月別入力!$B:$B,設定!$B49),0)</f>
        <v>0</v>
      </c>
      <c r="R49" s="8">
        <f>ROUND(SUMIFS(月別入力!$J:$J,月別入力!$F:$F,設定!$C49,月別入力!$D:$D,設定!R$9,月別入力!$B:$B,設定!$B49),0)</f>
        <v>0</v>
      </c>
      <c r="S49" s="8">
        <f>ROUND(SUMIFS(月別入力!$J:$J,月別入力!$F:$F,設定!$C49,月別入力!$D:$D,設定!S$9,月別入力!$B:$B,設定!$B49),0)</f>
        <v>0</v>
      </c>
      <c r="T49" s="8">
        <f>ROUND(SUMIFS(月別入力!$J:$J,月別入力!$F:$F,設定!$C49,月別入力!$D:$D,設定!T$9,月別入力!$B:$B,設定!$B49),0)</f>
        <v>0</v>
      </c>
      <c r="U49" s="8">
        <f>ROUND(SUMIFS(月別入力!$J:$J,月別入力!$F:$F,設定!$C49,月別入力!$D:$D,設定!U$9,月別入力!$B:$B,設定!$B49),0)</f>
        <v>0</v>
      </c>
      <c r="V49" s="8">
        <f>ROUND(SUMIFS(月別入力!$J:$J,月別入力!$F:$F,設定!$C49,月別入力!$D:$D,設定!V$9,月別入力!$B:$B,設定!$B49),0)</f>
        <v>0</v>
      </c>
      <c r="W49" s="9">
        <f>ROUND(SUMIFS(月別入力!$J:$J,月別入力!$F:$F,設定!$C49,月別入力!$D:$D,設定!W$9,月別入力!$B:$B,設定!$B49),0)</f>
        <v>0</v>
      </c>
    </row>
    <row r="50" spans="2:23" s="3" customFormat="1" ht="15" customHeight="1" x14ac:dyDescent="0.2">
      <c r="B50" s="37" t="str">
        <f t="shared" si="2"/>
        <v>&lt;=12</v>
      </c>
      <c r="C50" s="20"/>
      <c r="D50" s="6"/>
      <c r="E50" s="10"/>
      <c r="F50" s="11"/>
      <c r="G50" s="24">
        <f t="shared" si="0"/>
        <v>0</v>
      </c>
      <c r="H50" s="26">
        <f t="shared" si="1"/>
        <v>0</v>
      </c>
      <c r="I50" s="26">
        <f>ROUND(SUMIFS(月別入力!$J:$J,月別入力!$F:$F,設定!$C50,月別入力!$D:$D,設定!I$9,月別入力!$B:$B,設定!$B50),0)</f>
        <v>0</v>
      </c>
      <c r="J50" s="5">
        <f t="shared" si="3"/>
        <v>0</v>
      </c>
      <c r="K50" s="8">
        <f>ROUND(SUMIFS(月別入力!$J:$J,月別入力!$F:$F,設定!$C50,月別入力!$D:$D,設定!K$9,月別入力!$B:$B,設定!$B50),0)</f>
        <v>0</v>
      </c>
      <c r="L50" s="8">
        <f>ROUND(SUMIFS(月別入力!$J:$J,月別入力!$F:$F,設定!$C50,月別入力!$D:$D,設定!L$9,月別入力!$B:$B,設定!$B50),0)</f>
        <v>0</v>
      </c>
      <c r="M50" s="8">
        <f>ROUND(SUMIFS(月別入力!$J:$J,月別入力!$F:$F,設定!$C50,月別入力!$D:$D,設定!M$9,月別入力!$B:$B,設定!$B50),0)</f>
        <v>0</v>
      </c>
      <c r="N50" s="8">
        <f>ROUND(SUMIFS(月別入力!$J:$J,月別入力!$F:$F,設定!$C50,月別入力!$D:$D,設定!N$9,月別入力!$B:$B,設定!$B50),0)</f>
        <v>0</v>
      </c>
      <c r="O50" s="8">
        <f>ROUND(SUMIFS(月別入力!$J:$J,月別入力!$F:$F,設定!$C50,月別入力!$D:$D,設定!O$9,月別入力!$B:$B,設定!$B50),0)</f>
        <v>0</v>
      </c>
      <c r="P50" s="8">
        <f>ROUND(SUMIFS(月別入力!$J:$J,月別入力!$F:$F,設定!$C50,月別入力!$D:$D,設定!P$9,月別入力!$B:$B,設定!$B50),0)</f>
        <v>0</v>
      </c>
      <c r="Q50" s="8">
        <f>ROUND(SUMIFS(月別入力!$J:$J,月別入力!$F:$F,設定!$C50,月別入力!$D:$D,設定!Q$9,月別入力!$B:$B,設定!$B50),0)</f>
        <v>0</v>
      </c>
      <c r="R50" s="8">
        <f>ROUND(SUMIFS(月別入力!$J:$J,月別入力!$F:$F,設定!$C50,月別入力!$D:$D,設定!R$9,月別入力!$B:$B,設定!$B50),0)</f>
        <v>0</v>
      </c>
      <c r="S50" s="8">
        <f>ROUND(SUMIFS(月別入力!$J:$J,月別入力!$F:$F,設定!$C50,月別入力!$D:$D,設定!S$9,月別入力!$B:$B,設定!$B50),0)</f>
        <v>0</v>
      </c>
      <c r="T50" s="8">
        <f>ROUND(SUMIFS(月別入力!$J:$J,月別入力!$F:$F,設定!$C50,月別入力!$D:$D,設定!T$9,月別入力!$B:$B,設定!$B50),0)</f>
        <v>0</v>
      </c>
      <c r="U50" s="8">
        <f>ROUND(SUMIFS(月別入力!$J:$J,月別入力!$F:$F,設定!$C50,月別入力!$D:$D,設定!U$9,月別入力!$B:$B,設定!$B50),0)</f>
        <v>0</v>
      </c>
      <c r="V50" s="8">
        <f>ROUND(SUMIFS(月別入力!$J:$J,月別入力!$F:$F,設定!$C50,月別入力!$D:$D,設定!V$9,月別入力!$B:$B,設定!$B50),0)</f>
        <v>0</v>
      </c>
      <c r="W50" s="9">
        <f>ROUND(SUMIFS(月別入力!$J:$J,月別入力!$F:$F,設定!$C50,月別入力!$D:$D,設定!W$9,月別入力!$B:$B,設定!$B50),0)</f>
        <v>0</v>
      </c>
    </row>
    <row r="51" spans="2:23" s="3" customFormat="1" ht="15" customHeight="1" x14ac:dyDescent="0.2">
      <c r="B51" s="37" t="str">
        <f t="shared" si="2"/>
        <v>&lt;=12</v>
      </c>
      <c r="C51" s="20"/>
      <c r="D51" s="6"/>
      <c r="E51" s="10"/>
      <c r="F51" s="11"/>
      <c r="G51" s="24">
        <f t="shared" si="0"/>
        <v>0</v>
      </c>
      <c r="H51" s="26">
        <f t="shared" si="1"/>
        <v>0</v>
      </c>
      <c r="I51" s="26">
        <f>ROUND(SUMIFS(月別入力!$J:$J,月別入力!$F:$F,設定!$C51,月別入力!$D:$D,設定!I$9,月別入力!$B:$B,設定!$B51),0)</f>
        <v>0</v>
      </c>
      <c r="J51" s="5">
        <f t="shared" si="3"/>
        <v>0</v>
      </c>
      <c r="K51" s="8">
        <f>ROUND(SUMIFS(月別入力!$J:$J,月別入力!$F:$F,設定!$C51,月別入力!$D:$D,設定!K$9,月別入力!$B:$B,設定!$B51),0)</f>
        <v>0</v>
      </c>
      <c r="L51" s="8">
        <f>ROUND(SUMIFS(月別入力!$J:$J,月別入力!$F:$F,設定!$C51,月別入力!$D:$D,設定!L$9,月別入力!$B:$B,設定!$B51),0)</f>
        <v>0</v>
      </c>
      <c r="M51" s="8">
        <f>ROUND(SUMIFS(月別入力!$J:$J,月別入力!$F:$F,設定!$C51,月別入力!$D:$D,設定!M$9,月別入力!$B:$B,設定!$B51),0)</f>
        <v>0</v>
      </c>
      <c r="N51" s="8">
        <f>ROUND(SUMIFS(月別入力!$J:$J,月別入力!$F:$F,設定!$C51,月別入力!$D:$D,設定!N$9,月別入力!$B:$B,設定!$B51),0)</f>
        <v>0</v>
      </c>
      <c r="O51" s="8">
        <f>ROUND(SUMIFS(月別入力!$J:$J,月別入力!$F:$F,設定!$C51,月別入力!$D:$D,設定!O$9,月別入力!$B:$B,設定!$B51),0)</f>
        <v>0</v>
      </c>
      <c r="P51" s="8">
        <f>ROUND(SUMIFS(月別入力!$J:$J,月別入力!$F:$F,設定!$C51,月別入力!$D:$D,設定!P$9,月別入力!$B:$B,設定!$B51),0)</f>
        <v>0</v>
      </c>
      <c r="Q51" s="8">
        <f>ROUND(SUMIFS(月別入力!$J:$J,月別入力!$F:$F,設定!$C51,月別入力!$D:$D,設定!Q$9,月別入力!$B:$B,設定!$B51),0)</f>
        <v>0</v>
      </c>
      <c r="R51" s="8">
        <f>ROUND(SUMIFS(月別入力!$J:$J,月別入力!$F:$F,設定!$C51,月別入力!$D:$D,設定!R$9,月別入力!$B:$B,設定!$B51),0)</f>
        <v>0</v>
      </c>
      <c r="S51" s="8">
        <f>ROUND(SUMIFS(月別入力!$J:$J,月別入力!$F:$F,設定!$C51,月別入力!$D:$D,設定!S$9,月別入力!$B:$B,設定!$B51),0)</f>
        <v>0</v>
      </c>
      <c r="T51" s="8">
        <f>ROUND(SUMIFS(月別入力!$J:$J,月別入力!$F:$F,設定!$C51,月別入力!$D:$D,設定!T$9,月別入力!$B:$B,設定!$B51),0)</f>
        <v>0</v>
      </c>
      <c r="U51" s="8">
        <f>ROUND(SUMIFS(月別入力!$J:$J,月別入力!$F:$F,設定!$C51,月別入力!$D:$D,設定!U$9,月別入力!$B:$B,設定!$B51),0)</f>
        <v>0</v>
      </c>
      <c r="V51" s="8">
        <f>ROUND(SUMIFS(月別入力!$J:$J,月別入力!$F:$F,設定!$C51,月別入力!$D:$D,設定!V$9,月別入力!$B:$B,設定!$B51),0)</f>
        <v>0</v>
      </c>
      <c r="W51" s="9">
        <f>ROUND(SUMIFS(月別入力!$J:$J,月別入力!$F:$F,設定!$C51,月別入力!$D:$D,設定!W$9,月別入力!$B:$B,設定!$B51),0)</f>
        <v>0</v>
      </c>
    </row>
    <row r="52" spans="2:23" s="3" customFormat="1" ht="15" customHeight="1" x14ac:dyDescent="0.2">
      <c r="B52" s="37" t="str">
        <f t="shared" si="2"/>
        <v>&lt;=12</v>
      </c>
      <c r="C52" s="20"/>
      <c r="D52" s="6"/>
      <c r="E52" s="10"/>
      <c r="F52" s="11"/>
      <c r="G52" s="24">
        <f t="shared" si="0"/>
        <v>0</v>
      </c>
      <c r="H52" s="26">
        <f t="shared" si="1"/>
        <v>0</v>
      </c>
      <c r="I52" s="26">
        <f>ROUND(SUMIFS(月別入力!$J:$J,月別入力!$F:$F,設定!$C52,月別入力!$D:$D,設定!I$9,月別入力!$B:$B,設定!$B52),0)</f>
        <v>0</v>
      </c>
      <c r="J52" s="5">
        <f t="shared" si="3"/>
        <v>0</v>
      </c>
      <c r="K52" s="8">
        <f>ROUND(SUMIFS(月別入力!$J:$J,月別入力!$F:$F,設定!$C52,月別入力!$D:$D,設定!K$9,月別入力!$B:$B,設定!$B52),0)</f>
        <v>0</v>
      </c>
      <c r="L52" s="8">
        <f>ROUND(SUMIFS(月別入力!$J:$J,月別入力!$F:$F,設定!$C52,月別入力!$D:$D,設定!L$9,月別入力!$B:$B,設定!$B52),0)</f>
        <v>0</v>
      </c>
      <c r="M52" s="8">
        <f>ROUND(SUMIFS(月別入力!$J:$J,月別入力!$F:$F,設定!$C52,月別入力!$D:$D,設定!M$9,月別入力!$B:$B,設定!$B52),0)</f>
        <v>0</v>
      </c>
      <c r="N52" s="8">
        <f>ROUND(SUMIFS(月別入力!$J:$J,月別入力!$F:$F,設定!$C52,月別入力!$D:$D,設定!N$9,月別入力!$B:$B,設定!$B52),0)</f>
        <v>0</v>
      </c>
      <c r="O52" s="8">
        <f>ROUND(SUMIFS(月別入力!$J:$J,月別入力!$F:$F,設定!$C52,月別入力!$D:$D,設定!O$9,月別入力!$B:$B,設定!$B52),0)</f>
        <v>0</v>
      </c>
      <c r="P52" s="8">
        <f>ROUND(SUMIFS(月別入力!$J:$J,月別入力!$F:$F,設定!$C52,月別入力!$D:$D,設定!P$9,月別入力!$B:$B,設定!$B52),0)</f>
        <v>0</v>
      </c>
      <c r="Q52" s="8">
        <f>ROUND(SUMIFS(月別入力!$J:$J,月別入力!$F:$F,設定!$C52,月別入力!$D:$D,設定!Q$9,月別入力!$B:$B,設定!$B52),0)</f>
        <v>0</v>
      </c>
      <c r="R52" s="8">
        <f>ROUND(SUMIFS(月別入力!$J:$J,月別入力!$F:$F,設定!$C52,月別入力!$D:$D,設定!R$9,月別入力!$B:$B,設定!$B52),0)</f>
        <v>0</v>
      </c>
      <c r="S52" s="8">
        <f>ROUND(SUMIFS(月別入力!$J:$J,月別入力!$F:$F,設定!$C52,月別入力!$D:$D,設定!S$9,月別入力!$B:$B,設定!$B52),0)</f>
        <v>0</v>
      </c>
      <c r="T52" s="8">
        <f>ROUND(SUMIFS(月別入力!$J:$J,月別入力!$F:$F,設定!$C52,月別入力!$D:$D,設定!T$9,月別入力!$B:$B,設定!$B52),0)</f>
        <v>0</v>
      </c>
      <c r="U52" s="8">
        <f>ROUND(SUMIFS(月別入力!$J:$J,月別入力!$F:$F,設定!$C52,月別入力!$D:$D,設定!U$9,月別入力!$B:$B,設定!$B52),0)</f>
        <v>0</v>
      </c>
      <c r="V52" s="8">
        <f>ROUND(SUMIFS(月別入力!$J:$J,月別入力!$F:$F,設定!$C52,月別入力!$D:$D,設定!V$9,月別入力!$B:$B,設定!$B52),0)</f>
        <v>0</v>
      </c>
      <c r="W52" s="9">
        <f>ROUND(SUMIFS(月別入力!$J:$J,月別入力!$F:$F,設定!$C52,月別入力!$D:$D,設定!W$9,月別入力!$B:$B,設定!$B52),0)</f>
        <v>0</v>
      </c>
    </row>
    <row r="53" spans="2:23" s="3" customFormat="1" ht="15" customHeight="1" x14ac:dyDescent="0.2">
      <c r="B53" s="37" t="str">
        <f t="shared" si="2"/>
        <v>&lt;=12</v>
      </c>
      <c r="C53" s="20"/>
      <c r="D53" s="6"/>
      <c r="E53" s="10"/>
      <c r="F53" s="11"/>
      <c r="G53" s="24">
        <f t="shared" si="0"/>
        <v>0</v>
      </c>
      <c r="H53" s="26">
        <f t="shared" si="1"/>
        <v>0</v>
      </c>
      <c r="I53" s="26">
        <f>ROUND(SUMIFS(月別入力!$J:$J,月別入力!$F:$F,設定!$C53,月別入力!$D:$D,設定!I$9,月別入力!$B:$B,設定!$B53),0)</f>
        <v>0</v>
      </c>
      <c r="J53" s="5">
        <f t="shared" si="3"/>
        <v>0</v>
      </c>
      <c r="K53" s="8">
        <f>ROUND(SUMIFS(月別入力!$J:$J,月別入力!$F:$F,設定!$C53,月別入力!$D:$D,設定!K$9,月別入力!$B:$B,設定!$B53),0)</f>
        <v>0</v>
      </c>
      <c r="L53" s="8">
        <f>ROUND(SUMIFS(月別入力!$J:$J,月別入力!$F:$F,設定!$C53,月別入力!$D:$D,設定!L$9,月別入力!$B:$B,設定!$B53),0)</f>
        <v>0</v>
      </c>
      <c r="M53" s="8">
        <f>ROUND(SUMIFS(月別入力!$J:$J,月別入力!$F:$F,設定!$C53,月別入力!$D:$D,設定!M$9,月別入力!$B:$B,設定!$B53),0)</f>
        <v>0</v>
      </c>
      <c r="N53" s="8">
        <f>ROUND(SUMIFS(月別入力!$J:$J,月別入力!$F:$F,設定!$C53,月別入力!$D:$D,設定!N$9,月別入力!$B:$B,設定!$B53),0)</f>
        <v>0</v>
      </c>
      <c r="O53" s="8">
        <f>ROUND(SUMIFS(月別入力!$J:$J,月別入力!$F:$F,設定!$C53,月別入力!$D:$D,設定!O$9,月別入力!$B:$B,設定!$B53),0)</f>
        <v>0</v>
      </c>
      <c r="P53" s="8">
        <f>ROUND(SUMIFS(月別入力!$J:$J,月別入力!$F:$F,設定!$C53,月別入力!$D:$D,設定!P$9,月別入力!$B:$B,設定!$B53),0)</f>
        <v>0</v>
      </c>
      <c r="Q53" s="8">
        <f>ROUND(SUMIFS(月別入力!$J:$J,月別入力!$F:$F,設定!$C53,月別入力!$D:$D,設定!Q$9,月別入力!$B:$B,設定!$B53),0)</f>
        <v>0</v>
      </c>
      <c r="R53" s="8">
        <f>ROUND(SUMIFS(月別入力!$J:$J,月別入力!$F:$F,設定!$C53,月別入力!$D:$D,設定!R$9,月別入力!$B:$B,設定!$B53),0)</f>
        <v>0</v>
      </c>
      <c r="S53" s="8">
        <f>ROUND(SUMIFS(月別入力!$J:$J,月別入力!$F:$F,設定!$C53,月別入力!$D:$D,設定!S$9,月別入力!$B:$B,設定!$B53),0)</f>
        <v>0</v>
      </c>
      <c r="T53" s="8">
        <f>ROUND(SUMIFS(月別入力!$J:$J,月別入力!$F:$F,設定!$C53,月別入力!$D:$D,設定!T$9,月別入力!$B:$B,設定!$B53),0)</f>
        <v>0</v>
      </c>
      <c r="U53" s="8">
        <f>ROUND(SUMIFS(月別入力!$J:$J,月別入力!$F:$F,設定!$C53,月別入力!$D:$D,設定!U$9,月別入力!$B:$B,設定!$B53),0)</f>
        <v>0</v>
      </c>
      <c r="V53" s="8">
        <f>ROUND(SUMIFS(月別入力!$J:$J,月別入力!$F:$F,設定!$C53,月別入力!$D:$D,設定!V$9,月別入力!$B:$B,設定!$B53),0)</f>
        <v>0</v>
      </c>
      <c r="W53" s="9">
        <f>ROUND(SUMIFS(月別入力!$J:$J,月別入力!$F:$F,設定!$C53,月別入力!$D:$D,設定!W$9,月別入力!$B:$B,設定!$B53),0)</f>
        <v>0</v>
      </c>
    </row>
    <row r="54" spans="2:23" s="3" customFormat="1" ht="15" customHeight="1" x14ac:dyDescent="0.2">
      <c r="B54" s="37" t="str">
        <f t="shared" si="2"/>
        <v>&lt;=12</v>
      </c>
      <c r="C54" s="20"/>
      <c r="D54" s="6"/>
      <c r="E54" s="10"/>
      <c r="F54" s="11"/>
      <c r="G54" s="24">
        <f t="shared" si="0"/>
        <v>0</v>
      </c>
      <c r="H54" s="26">
        <f t="shared" si="1"/>
        <v>0</v>
      </c>
      <c r="I54" s="26">
        <f>ROUND(SUMIFS(月別入力!$J:$J,月別入力!$F:$F,設定!$C54,月別入力!$D:$D,設定!I$9,月別入力!$B:$B,設定!$B54),0)</f>
        <v>0</v>
      </c>
      <c r="J54" s="5">
        <f t="shared" si="3"/>
        <v>0</v>
      </c>
      <c r="K54" s="8">
        <f>ROUND(SUMIFS(月別入力!$J:$J,月別入力!$F:$F,設定!$C54,月別入力!$D:$D,設定!K$9,月別入力!$B:$B,設定!$B54),0)</f>
        <v>0</v>
      </c>
      <c r="L54" s="8">
        <f>ROUND(SUMIFS(月別入力!$J:$J,月別入力!$F:$F,設定!$C54,月別入力!$D:$D,設定!L$9,月別入力!$B:$B,設定!$B54),0)</f>
        <v>0</v>
      </c>
      <c r="M54" s="8">
        <f>ROUND(SUMIFS(月別入力!$J:$J,月別入力!$F:$F,設定!$C54,月別入力!$D:$D,設定!M$9,月別入力!$B:$B,設定!$B54),0)</f>
        <v>0</v>
      </c>
      <c r="N54" s="8">
        <f>ROUND(SUMIFS(月別入力!$J:$J,月別入力!$F:$F,設定!$C54,月別入力!$D:$D,設定!N$9,月別入力!$B:$B,設定!$B54),0)</f>
        <v>0</v>
      </c>
      <c r="O54" s="8">
        <f>ROUND(SUMIFS(月別入力!$J:$J,月別入力!$F:$F,設定!$C54,月別入力!$D:$D,設定!O$9,月別入力!$B:$B,設定!$B54),0)</f>
        <v>0</v>
      </c>
      <c r="P54" s="8">
        <f>ROUND(SUMIFS(月別入力!$J:$J,月別入力!$F:$F,設定!$C54,月別入力!$D:$D,設定!P$9,月別入力!$B:$B,設定!$B54),0)</f>
        <v>0</v>
      </c>
      <c r="Q54" s="8">
        <f>ROUND(SUMIFS(月別入力!$J:$J,月別入力!$F:$F,設定!$C54,月別入力!$D:$D,設定!Q$9,月別入力!$B:$B,設定!$B54),0)</f>
        <v>0</v>
      </c>
      <c r="R54" s="8">
        <f>ROUND(SUMIFS(月別入力!$J:$J,月別入力!$F:$F,設定!$C54,月別入力!$D:$D,設定!R$9,月別入力!$B:$B,設定!$B54),0)</f>
        <v>0</v>
      </c>
      <c r="S54" s="8">
        <f>ROUND(SUMIFS(月別入力!$J:$J,月別入力!$F:$F,設定!$C54,月別入力!$D:$D,設定!S$9,月別入力!$B:$B,設定!$B54),0)</f>
        <v>0</v>
      </c>
      <c r="T54" s="8">
        <f>ROUND(SUMIFS(月別入力!$J:$J,月別入力!$F:$F,設定!$C54,月別入力!$D:$D,設定!T$9,月別入力!$B:$B,設定!$B54),0)</f>
        <v>0</v>
      </c>
      <c r="U54" s="8">
        <f>ROUND(SUMIFS(月別入力!$J:$J,月別入力!$F:$F,設定!$C54,月別入力!$D:$D,設定!U$9,月別入力!$B:$B,設定!$B54),0)</f>
        <v>0</v>
      </c>
      <c r="V54" s="8">
        <f>ROUND(SUMIFS(月別入力!$J:$J,月別入力!$F:$F,設定!$C54,月別入力!$D:$D,設定!V$9,月別入力!$B:$B,設定!$B54),0)</f>
        <v>0</v>
      </c>
      <c r="W54" s="9">
        <f>ROUND(SUMIFS(月別入力!$J:$J,月別入力!$F:$F,設定!$C54,月別入力!$D:$D,設定!W$9,月別入力!$B:$B,設定!$B54),0)</f>
        <v>0</v>
      </c>
    </row>
    <row r="55" spans="2:23" s="3" customFormat="1" ht="15" customHeight="1" x14ac:dyDescent="0.2">
      <c r="B55" s="37" t="str">
        <f t="shared" si="2"/>
        <v>&lt;=12</v>
      </c>
      <c r="C55" s="20"/>
      <c r="D55" s="6"/>
      <c r="E55" s="10"/>
      <c r="F55" s="11"/>
      <c r="G55" s="24">
        <f t="shared" si="0"/>
        <v>0</v>
      </c>
      <c r="H55" s="26">
        <f t="shared" si="1"/>
        <v>0</v>
      </c>
      <c r="I55" s="26">
        <f>ROUND(SUMIFS(月別入力!$J:$J,月別入力!$F:$F,設定!$C55,月別入力!$D:$D,設定!I$9,月別入力!$B:$B,設定!$B55),0)</f>
        <v>0</v>
      </c>
      <c r="J55" s="5">
        <f t="shared" si="3"/>
        <v>0</v>
      </c>
      <c r="K55" s="8">
        <f>ROUND(SUMIFS(月別入力!$J:$J,月別入力!$F:$F,設定!$C55,月別入力!$D:$D,設定!K$9,月別入力!$B:$B,設定!$B55),0)</f>
        <v>0</v>
      </c>
      <c r="L55" s="8">
        <f>ROUND(SUMIFS(月別入力!$J:$J,月別入力!$F:$F,設定!$C55,月別入力!$D:$D,設定!L$9,月別入力!$B:$B,設定!$B55),0)</f>
        <v>0</v>
      </c>
      <c r="M55" s="8">
        <f>ROUND(SUMIFS(月別入力!$J:$J,月別入力!$F:$F,設定!$C55,月別入力!$D:$D,設定!M$9,月別入力!$B:$B,設定!$B55),0)</f>
        <v>0</v>
      </c>
      <c r="N55" s="8">
        <f>ROUND(SUMIFS(月別入力!$J:$J,月別入力!$F:$F,設定!$C55,月別入力!$D:$D,設定!N$9,月別入力!$B:$B,設定!$B55),0)</f>
        <v>0</v>
      </c>
      <c r="O55" s="8">
        <f>ROUND(SUMIFS(月別入力!$J:$J,月別入力!$F:$F,設定!$C55,月別入力!$D:$D,設定!O$9,月別入力!$B:$B,設定!$B55),0)</f>
        <v>0</v>
      </c>
      <c r="P55" s="8">
        <f>ROUND(SUMIFS(月別入力!$J:$J,月別入力!$F:$F,設定!$C55,月別入力!$D:$D,設定!P$9,月別入力!$B:$B,設定!$B55),0)</f>
        <v>0</v>
      </c>
      <c r="Q55" s="8">
        <f>ROUND(SUMIFS(月別入力!$J:$J,月別入力!$F:$F,設定!$C55,月別入力!$D:$D,設定!Q$9,月別入力!$B:$B,設定!$B55),0)</f>
        <v>0</v>
      </c>
      <c r="R55" s="8">
        <f>ROUND(SUMIFS(月別入力!$J:$J,月別入力!$F:$F,設定!$C55,月別入力!$D:$D,設定!R$9,月別入力!$B:$B,設定!$B55),0)</f>
        <v>0</v>
      </c>
      <c r="S55" s="8">
        <f>ROUND(SUMIFS(月別入力!$J:$J,月別入力!$F:$F,設定!$C55,月別入力!$D:$D,設定!S$9,月別入力!$B:$B,設定!$B55),0)</f>
        <v>0</v>
      </c>
      <c r="T55" s="8">
        <f>ROUND(SUMIFS(月別入力!$J:$J,月別入力!$F:$F,設定!$C55,月別入力!$D:$D,設定!T$9,月別入力!$B:$B,設定!$B55),0)</f>
        <v>0</v>
      </c>
      <c r="U55" s="8">
        <f>ROUND(SUMIFS(月別入力!$J:$J,月別入力!$F:$F,設定!$C55,月別入力!$D:$D,設定!U$9,月別入力!$B:$B,設定!$B55),0)</f>
        <v>0</v>
      </c>
      <c r="V55" s="8">
        <f>ROUND(SUMIFS(月別入力!$J:$J,月別入力!$F:$F,設定!$C55,月別入力!$D:$D,設定!V$9,月別入力!$B:$B,設定!$B55),0)</f>
        <v>0</v>
      </c>
      <c r="W55" s="9">
        <f>ROUND(SUMIFS(月別入力!$J:$J,月別入力!$F:$F,設定!$C55,月別入力!$D:$D,設定!W$9,月別入力!$B:$B,設定!$B55),0)</f>
        <v>0</v>
      </c>
    </row>
    <row r="56" spans="2:23" s="3" customFormat="1" ht="15" customHeight="1" x14ac:dyDescent="0.2">
      <c r="B56" s="37" t="str">
        <f t="shared" si="2"/>
        <v>&lt;=12</v>
      </c>
      <c r="C56" s="20"/>
      <c r="D56" s="6"/>
      <c r="E56" s="10"/>
      <c r="F56" s="11"/>
      <c r="G56" s="24">
        <f t="shared" si="0"/>
        <v>0</v>
      </c>
      <c r="H56" s="26">
        <f t="shared" si="1"/>
        <v>0</v>
      </c>
      <c r="I56" s="26">
        <f>ROUND(SUMIFS(月別入力!$J:$J,月別入力!$F:$F,設定!$C56,月別入力!$D:$D,設定!I$9,月別入力!$B:$B,設定!$B56),0)</f>
        <v>0</v>
      </c>
      <c r="J56" s="5">
        <f t="shared" si="3"/>
        <v>0</v>
      </c>
      <c r="K56" s="8">
        <f>ROUND(SUMIFS(月別入力!$J:$J,月別入力!$F:$F,設定!$C56,月別入力!$D:$D,設定!K$9,月別入力!$B:$B,設定!$B56),0)</f>
        <v>0</v>
      </c>
      <c r="L56" s="8">
        <f>ROUND(SUMIFS(月別入力!$J:$J,月別入力!$F:$F,設定!$C56,月別入力!$D:$D,設定!L$9,月別入力!$B:$B,設定!$B56),0)</f>
        <v>0</v>
      </c>
      <c r="M56" s="8">
        <f>ROUND(SUMIFS(月別入力!$J:$J,月別入力!$F:$F,設定!$C56,月別入力!$D:$D,設定!M$9,月別入力!$B:$B,設定!$B56),0)</f>
        <v>0</v>
      </c>
      <c r="N56" s="8">
        <f>ROUND(SUMIFS(月別入力!$J:$J,月別入力!$F:$F,設定!$C56,月別入力!$D:$D,設定!N$9,月別入力!$B:$B,設定!$B56),0)</f>
        <v>0</v>
      </c>
      <c r="O56" s="8">
        <f>ROUND(SUMIFS(月別入力!$J:$J,月別入力!$F:$F,設定!$C56,月別入力!$D:$D,設定!O$9,月別入力!$B:$B,設定!$B56),0)</f>
        <v>0</v>
      </c>
      <c r="P56" s="8">
        <f>ROUND(SUMIFS(月別入力!$J:$J,月別入力!$F:$F,設定!$C56,月別入力!$D:$D,設定!P$9,月別入力!$B:$B,設定!$B56),0)</f>
        <v>0</v>
      </c>
      <c r="Q56" s="8">
        <f>ROUND(SUMIFS(月別入力!$J:$J,月別入力!$F:$F,設定!$C56,月別入力!$D:$D,設定!Q$9,月別入力!$B:$B,設定!$B56),0)</f>
        <v>0</v>
      </c>
      <c r="R56" s="8">
        <f>ROUND(SUMIFS(月別入力!$J:$J,月別入力!$F:$F,設定!$C56,月別入力!$D:$D,設定!R$9,月別入力!$B:$B,設定!$B56),0)</f>
        <v>0</v>
      </c>
      <c r="S56" s="8">
        <f>ROUND(SUMIFS(月別入力!$J:$J,月別入力!$F:$F,設定!$C56,月別入力!$D:$D,設定!S$9,月別入力!$B:$B,設定!$B56),0)</f>
        <v>0</v>
      </c>
      <c r="T56" s="8">
        <f>ROUND(SUMIFS(月別入力!$J:$J,月別入力!$F:$F,設定!$C56,月別入力!$D:$D,設定!T$9,月別入力!$B:$B,設定!$B56),0)</f>
        <v>0</v>
      </c>
      <c r="U56" s="8">
        <f>ROUND(SUMIFS(月別入力!$J:$J,月別入力!$F:$F,設定!$C56,月別入力!$D:$D,設定!U$9,月別入力!$B:$B,設定!$B56),0)</f>
        <v>0</v>
      </c>
      <c r="V56" s="8">
        <f>ROUND(SUMIFS(月別入力!$J:$J,月別入力!$F:$F,設定!$C56,月別入力!$D:$D,設定!V$9,月別入力!$B:$B,設定!$B56),0)</f>
        <v>0</v>
      </c>
      <c r="W56" s="9">
        <f>ROUND(SUMIFS(月別入力!$J:$J,月別入力!$F:$F,設定!$C56,月別入力!$D:$D,設定!W$9,月別入力!$B:$B,設定!$B56),0)</f>
        <v>0</v>
      </c>
    </row>
    <row r="57" spans="2:23" s="3" customFormat="1" ht="15" customHeight="1" x14ac:dyDescent="0.2">
      <c r="B57" s="37" t="str">
        <f t="shared" si="2"/>
        <v>&lt;=12</v>
      </c>
      <c r="C57" s="20"/>
      <c r="D57" s="6"/>
      <c r="E57" s="10"/>
      <c r="F57" s="11"/>
      <c r="G57" s="24">
        <f t="shared" si="0"/>
        <v>0</v>
      </c>
      <c r="H57" s="26">
        <f t="shared" si="1"/>
        <v>0</v>
      </c>
      <c r="I57" s="26">
        <f>ROUND(SUMIFS(月別入力!$J:$J,月別入力!$F:$F,設定!$C57,月別入力!$D:$D,設定!I$9,月別入力!$B:$B,設定!$B57),0)</f>
        <v>0</v>
      </c>
      <c r="J57" s="5">
        <f t="shared" si="3"/>
        <v>0</v>
      </c>
      <c r="K57" s="8">
        <f>ROUND(SUMIFS(月別入力!$J:$J,月別入力!$F:$F,設定!$C57,月別入力!$D:$D,設定!K$9,月別入力!$B:$B,設定!$B57),0)</f>
        <v>0</v>
      </c>
      <c r="L57" s="8">
        <f>ROUND(SUMIFS(月別入力!$J:$J,月別入力!$F:$F,設定!$C57,月別入力!$D:$D,設定!L$9,月別入力!$B:$B,設定!$B57),0)</f>
        <v>0</v>
      </c>
      <c r="M57" s="8">
        <f>ROUND(SUMIFS(月別入力!$J:$J,月別入力!$F:$F,設定!$C57,月別入力!$D:$D,設定!M$9,月別入力!$B:$B,設定!$B57),0)</f>
        <v>0</v>
      </c>
      <c r="N57" s="8">
        <f>ROUND(SUMIFS(月別入力!$J:$J,月別入力!$F:$F,設定!$C57,月別入力!$D:$D,設定!N$9,月別入力!$B:$B,設定!$B57),0)</f>
        <v>0</v>
      </c>
      <c r="O57" s="8">
        <f>ROUND(SUMIFS(月別入力!$J:$J,月別入力!$F:$F,設定!$C57,月別入力!$D:$D,設定!O$9,月別入力!$B:$B,設定!$B57),0)</f>
        <v>0</v>
      </c>
      <c r="P57" s="8">
        <f>ROUND(SUMIFS(月別入力!$J:$J,月別入力!$F:$F,設定!$C57,月別入力!$D:$D,設定!P$9,月別入力!$B:$B,設定!$B57),0)</f>
        <v>0</v>
      </c>
      <c r="Q57" s="8">
        <f>ROUND(SUMIFS(月別入力!$J:$J,月別入力!$F:$F,設定!$C57,月別入力!$D:$D,設定!Q$9,月別入力!$B:$B,設定!$B57),0)</f>
        <v>0</v>
      </c>
      <c r="R57" s="8">
        <f>ROUND(SUMIFS(月別入力!$J:$J,月別入力!$F:$F,設定!$C57,月別入力!$D:$D,設定!R$9,月別入力!$B:$B,設定!$B57),0)</f>
        <v>0</v>
      </c>
      <c r="S57" s="8">
        <f>ROUND(SUMIFS(月別入力!$J:$J,月別入力!$F:$F,設定!$C57,月別入力!$D:$D,設定!S$9,月別入力!$B:$B,設定!$B57),0)</f>
        <v>0</v>
      </c>
      <c r="T57" s="8">
        <f>ROUND(SUMIFS(月別入力!$J:$J,月別入力!$F:$F,設定!$C57,月別入力!$D:$D,設定!T$9,月別入力!$B:$B,設定!$B57),0)</f>
        <v>0</v>
      </c>
      <c r="U57" s="8">
        <f>ROUND(SUMIFS(月別入力!$J:$J,月別入力!$F:$F,設定!$C57,月別入力!$D:$D,設定!U$9,月別入力!$B:$B,設定!$B57),0)</f>
        <v>0</v>
      </c>
      <c r="V57" s="8">
        <f>ROUND(SUMIFS(月別入力!$J:$J,月別入力!$F:$F,設定!$C57,月別入力!$D:$D,設定!V$9,月別入力!$B:$B,設定!$B57),0)</f>
        <v>0</v>
      </c>
      <c r="W57" s="9">
        <f>ROUND(SUMIFS(月別入力!$J:$J,月別入力!$F:$F,設定!$C57,月別入力!$D:$D,設定!W$9,月別入力!$B:$B,設定!$B57),0)</f>
        <v>0</v>
      </c>
    </row>
    <row r="58" spans="2:23" s="3" customFormat="1" ht="15" customHeight="1" x14ac:dyDescent="0.2">
      <c r="B58" s="37" t="str">
        <f t="shared" si="2"/>
        <v>&lt;=12</v>
      </c>
      <c r="C58" s="20"/>
      <c r="D58" s="6"/>
      <c r="E58" s="10"/>
      <c r="F58" s="11"/>
      <c r="G58" s="24">
        <f t="shared" si="0"/>
        <v>0</v>
      </c>
      <c r="H58" s="26">
        <f t="shared" si="1"/>
        <v>0</v>
      </c>
      <c r="I58" s="26">
        <f>ROUND(SUMIFS(月別入力!$J:$J,月別入力!$F:$F,設定!$C58,月別入力!$D:$D,設定!I$9,月別入力!$B:$B,設定!$B58),0)</f>
        <v>0</v>
      </c>
      <c r="J58" s="5">
        <f t="shared" si="3"/>
        <v>0</v>
      </c>
      <c r="K58" s="8">
        <f>ROUND(SUMIFS(月別入力!$J:$J,月別入力!$F:$F,設定!$C58,月別入力!$D:$D,設定!K$9,月別入力!$B:$B,設定!$B58),0)</f>
        <v>0</v>
      </c>
      <c r="L58" s="8">
        <f>ROUND(SUMIFS(月別入力!$J:$J,月別入力!$F:$F,設定!$C58,月別入力!$D:$D,設定!L$9,月別入力!$B:$B,設定!$B58),0)</f>
        <v>0</v>
      </c>
      <c r="M58" s="8">
        <f>ROUND(SUMIFS(月別入力!$J:$J,月別入力!$F:$F,設定!$C58,月別入力!$D:$D,設定!M$9,月別入力!$B:$B,設定!$B58),0)</f>
        <v>0</v>
      </c>
      <c r="N58" s="8">
        <f>ROUND(SUMIFS(月別入力!$J:$J,月別入力!$F:$F,設定!$C58,月別入力!$D:$D,設定!N$9,月別入力!$B:$B,設定!$B58),0)</f>
        <v>0</v>
      </c>
      <c r="O58" s="8">
        <f>ROUND(SUMIFS(月別入力!$J:$J,月別入力!$F:$F,設定!$C58,月別入力!$D:$D,設定!O$9,月別入力!$B:$B,設定!$B58),0)</f>
        <v>0</v>
      </c>
      <c r="P58" s="8">
        <f>ROUND(SUMIFS(月別入力!$J:$J,月別入力!$F:$F,設定!$C58,月別入力!$D:$D,設定!P$9,月別入力!$B:$B,設定!$B58),0)</f>
        <v>0</v>
      </c>
      <c r="Q58" s="8">
        <f>ROUND(SUMIFS(月別入力!$J:$J,月別入力!$F:$F,設定!$C58,月別入力!$D:$D,設定!Q$9,月別入力!$B:$B,設定!$B58),0)</f>
        <v>0</v>
      </c>
      <c r="R58" s="8">
        <f>ROUND(SUMIFS(月別入力!$J:$J,月別入力!$F:$F,設定!$C58,月別入力!$D:$D,設定!R$9,月別入力!$B:$B,設定!$B58),0)</f>
        <v>0</v>
      </c>
      <c r="S58" s="8">
        <f>ROUND(SUMIFS(月別入力!$J:$J,月別入力!$F:$F,設定!$C58,月別入力!$D:$D,設定!S$9,月別入力!$B:$B,設定!$B58),0)</f>
        <v>0</v>
      </c>
      <c r="T58" s="8">
        <f>ROUND(SUMIFS(月別入力!$J:$J,月別入力!$F:$F,設定!$C58,月別入力!$D:$D,設定!T$9,月別入力!$B:$B,設定!$B58),0)</f>
        <v>0</v>
      </c>
      <c r="U58" s="8">
        <f>ROUND(SUMIFS(月別入力!$J:$J,月別入力!$F:$F,設定!$C58,月別入力!$D:$D,設定!U$9,月別入力!$B:$B,設定!$B58),0)</f>
        <v>0</v>
      </c>
      <c r="V58" s="8">
        <f>ROUND(SUMIFS(月別入力!$J:$J,月別入力!$F:$F,設定!$C58,月別入力!$D:$D,設定!V$9,月別入力!$B:$B,設定!$B58),0)</f>
        <v>0</v>
      </c>
      <c r="W58" s="9">
        <f>ROUND(SUMIFS(月別入力!$J:$J,月別入力!$F:$F,設定!$C58,月別入力!$D:$D,設定!W$9,月別入力!$B:$B,設定!$B58),0)</f>
        <v>0</v>
      </c>
    </row>
    <row r="59" spans="2:23" s="3" customFormat="1" ht="15" customHeight="1" x14ac:dyDescent="0.2">
      <c r="B59" s="37" t="str">
        <f t="shared" si="2"/>
        <v>&lt;=12</v>
      </c>
      <c r="C59" s="20"/>
      <c r="D59" s="6"/>
      <c r="E59" s="10"/>
      <c r="F59" s="11"/>
      <c r="G59" s="24">
        <f t="shared" si="0"/>
        <v>0</v>
      </c>
      <c r="H59" s="26">
        <f t="shared" si="1"/>
        <v>0</v>
      </c>
      <c r="I59" s="26">
        <f>ROUND(SUMIFS(月別入力!$J:$J,月別入力!$F:$F,設定!$C59,月別入力!$D:$D,設定!I$9,月別入力!$B:$B,設定!$B59),0)</f>
        <v>0</v>
      </c>
      <c r="J59" s="5">
        <f t="shared" si="3"/>
        <v>0</v>
      </c>
      <c r="K59" s="8">
        <f>ROUND(SUMIFS(月別入力!$J:$J,月別入力!$F:$F,設定!$C59,月別入力!$D:$D,設定!K$9,月別入力!$B:$B,設定!$B59),0)</f>
        <v>0</v>
      </c>
      <c r="L59" s="8">
        <f>ROUND(SUMIFS(月別入力!$J:$J,月別入力!$F:$F,設定!$C59,月別入力!$D:$D,設定!L$9,月別入力!$B:$B,設定!$B59),0)</f>
        <v>0</v>
      </c>
      <c r="M59" s="8">
        <f>ROUND(SUMIFS(月別入力!$J:$J,月別入力!$F:$F,設定!$C59,月別入力!$D:$D,設定!M$9,月別入力!$B:$B,設定!$B59),0)</f>
        <v>0</v>
      </c>
      <c r="N59" s="8">
        <f>ROUND(SUMIFS(月別入力!$J:$J,月別入力!$F:$F,設定!$C59,月別入力!$D:$D,設定!N$9,月別入力!$B:$B,設定!$B59),0)</f>
        <v>0</v>
      </c>
      <c r="O59" s="8">
        <f>ROUND(SUMIFS(月別入力!$J:$J,月別入力!$F:$F,設定!$C59,月別入力!$D:$D,設定!O$9,月別入力!$B:$B,設定!$B59),0)</f>
        <v>0</v>
      </c>
      <c r="P59" s="8">
        <f>ROUND(SUMIFS(月別入力!$J:$J,月別入力!$F:$F,設定!$C59,月別入力!$D:$D,設定!P$9,月別入力!$B:$B,設定!$B59),0)</f>
        <v>0</v>
      </c>
      <c r="Q59" s="8">
        <f>ROUND(SUMIFS(月別入力!$J:$J,月別入力!$F:$F,設定!$C59,月別入力!$D:$D,設定!Q$9,月別入力!$B:$B,設定!$B59),0)</f>
        <v>0</v>
      </c>
      <c r="R59" s="8">
        <f>ROUND(SUMIFS(月別入力!$J:$J,月別入力!$F:$F,設定!$C59,月別入力!$D:$D,設定!R$9,月別入力!$B:$B,設定!$B59),0)</f>
        <v>0</v>
      </c>
      <c r="S59" s="8">
        <f>ROUND(SUMIFS(月別入力!$J:$J,月別入力!$F:$F,設定!$C59,月別入力!$D:$D,設定!S$9,月別入力!$B:$B,設定!$B59),0)</f>
        <v>0</v>
      </c>
      <c r="T59" s="8">
        <f>ROUND(SUMIFS(月別入力!$J:$J,月別入力!$F:$F,設定!$C59,月別入力!$D:$D,設定!T$9,月別入力!$B:$B,設定!$B59),0)</f>
        <v>0</v>
      </c>
      <c r="U59" s="8">
        <f>ROUND(SUMIFS(月別入力!$J:$J,月別入力!$F:$F,設定!$C59,月別入力!$D:$D,設定!U$9,月別入力!$B:$B,設定!$B59),0)</f>
        <v>0</v>
      </c>
      <c r="V59" s="8">
        <f>ROUND(SUMIFS(月別入力!$J:$J,月別入力!$F:$F,設定!$C59,月別入力!$D:$D,設定!V$9,月別入力!$B:$B,設定!$B59),0)</f>
        <v>0</v>
      </c>
      <c r="W59" s="9">
        <f>ROUND(SUMIFS(月別入力!$J:$J,月別入力!$F:$F,設定!$C59,月別入力!$D:$D,設定!W$9,月別入力!$B:$B,設定!$B59),0)</f>
        <v>0</v>
      </c>
    </row>
    <row r="60" spans="2:23" s="3" customFormat="1" ht="15" customHeight="1" x14ac:dyDescent="0.2">
      <c r="B60" s="37" t="str">
        <f t="shared" si="2"/>
        <v>&lt;=12</v>
      </c>
      <c r="C60" s="20"/>
      <c r="D60" s="6"/>
      <c r="E60" s="10"/>
      <c r="F60" s="11"/>
      <c r="G60" s="24">
        <f t="shared" si="0"/>
        <v>0</v>
      </c>
      <c r="H60" s="26">
        <f t="shared" si="1"/>
        <v>0</v>
      </c>
      <c r="I60" s="26">
        <f>ROUND(SUMIFS(月別入力!$J:$J,月別入力!$F:$F,設定!$C60,月別入力!$D:$D,設定!I$9,月別入力!$B:$B,設定!$B60),0)</f>
        <v>0</v>
      </c>
      <c r="J60" s="5">
        <f t="shared" si="3"/>
        <v>0</v>
      </c>
      <c r="K60" s="8">
        <f>ROUND(SUMIFS(月別入力!$J:$J,月別入力!$F:$F,設定!$C60,月別入力!$D:$D,設定!K$9,月別入力!$B:$B,設定!$B60),0)</f>
        <v>0</v>
      </c>
      <c r="L60" s="8">
        <f>ROUND(SUMIFS(月別入力!$J:$J,月別入力!$F:$F,設定!$C60,月別入力!$D:$D,設定!L$9,月別入力!$B:$B,設定!$B60),0)</f>
        <v>0</v>
      </c>
      <c r="M60" s="8">
        <f>ROUND(SUMIFS(月別入力!$J:$J,月別入力!$F:$F,設定!$C60,月別入力!$D:$D,設定!M$9,月別入力!$B:$B,設定!$B60),0)</f>
        <v>0</v>
      </c>
      <c r="N60" s="8">
        <f>ROUND(SUMIFS(月別入力!$J:$J,月別入力!$F:$F,設定!$C60,月別入力!$D:$D,設定!N$9,月別入力!$B:$B,設定!$B60),0)</f>
        <v>0</v>
      </c>
      <c r="O60" s="8">
        <f>ROUND(SUMIFS(月別入力!$J:$J,月別入力!$F:$F,設定!$C60,月別入力!$D:$D,設定!O$9,月別入力!$B:$B,設定!$B60),0)</f>
        <v>0</v>
      </c>
      <c r="P60" s="8">
        <f>ROUND(SUMIFS(月別入力!$J:$J,月別入力!$F:$F,設定!$C60,月別入力!$D:$D,設定!P$9,月別入力!$B:$B,設定!$B60),0)</f>
        <v>0</v>
      </c>
      <c r="Q60" s="8">
        <f>ROUND(SUMIFS(月別入力!$J:$J,月別入力!$F:$F,設定!$C60,月別入力!$D:$D,設定!Q$9,月別入力!$B:$B,設定!$B60),0)</f>
        <v>0</v>
      </c>
      <c r="R60" s="8">
        <f>ROUND(SUMIFS(月別入力!$J:$J,月別入力!$F:$F,設定!$C60,月別入力!$D:$D,設定!R$9,月別入力!$B:$B,設定!$B60),0)</f>
        <v>0</v>
      </c>
      <c r="S60" s="8">
        <f>ROUND(SUMIFS(月別入力!$J:$J,月別入力!$F:$F,設定!$C60,月別入力!$D:$D,設定!S$9,月別入力!$B:$B,設定!$B60),0)</f>
        <v>0</v>
      </c>
      <c r="T60" s="8">
        <f>ROUND(SUMIFS(月別入力!$J:$J,月別入力!$F:$F,設定!$C60,月別入力!$D:$D,設定!T$9,月別入力!$B:$B,設定!$B60),0)</f>
        <v>0</v>
      </c>
      <c r="U60" s="8">
        <f>ROUND(SUMIFS(月別入力!$J:$J,月別入力!$F:$F,設定!$C60,月別入力!$D:$D,設定!U$9,月別入力!$B:$B,設定!$B60),0)</f>
        <v>0</v>
      </c>
      <c r="V60" s="8">
        <f>ROUND(SUMIFS(月別入力!$J:$J,月別入力!$F:$F,設定!$C60,月別入力!$D:$D,設定!V$9,月別入力!$B:$B,設定!$B60),0)</f>
        <v>0</v>
      </c>
      <c r="W60" s="9">
        <f>ROUND(SUMIFS(月別入力!$J:$J,月別入力!$F:$F,設定!$C60,月別入力!$D:$D,設定!W$9,月別入力!$B:$B,設定!$B60),0)</f>
        <v>0</v>
      </c>
    </row>
    <row r="61" spans="2:23" s="3" customFormat="1" ht="15" customHeight="1" x14ac:dyDescent="0.2">
      <c r="B61" s="37" t="str">
        <f t="shared" si="2"/>
        <v>&lt;=12</v>
      </c>
      <c r="C61" s="20"/>
      <c r="D61" s="6"/>
      <c r="E61" s="10"/>
      <c r="F61" s="11"/>
      <c r="G61" s="24">
        <f t="shared" si="0"/>
        <v>0</v>
      </c>
      <c r="H61" s="26">
        <f t="shared" si="1"/>
        <v>0</v>
      </c>
      <c r="I61" s="26">
        <f>ROUND(SUMIFS(月別入力!$J:$J,月別入力!$F:$F,設定!$C61,月別入力!$D:$D,設定!I$9,月別入力!$B:$B,設定!$B61),0)</f>
        <v>0</v>
      </c>
      <c r="J61" s="5">
        <f t="shared" si="3"/>
        <v>0</v>
      </c>
      <c r="K61" s="8">
        <f>ROUND(SUMIFS(月別入力!$J:$J,月別入力!$F:$F,設定!$C61,月別入力!$D:$D,設定!K$9,月別入力!$B:$B,設定!$B61),0)</f>
        <v>0</v>
      </c>
      <c r="L61" s="8">
        <f>ROUND(SUMIFS(月別入力!$J:$J,月別入力!$F:$F,設定!$C61,月別入力!$D:$D,設定!L$9,月別入力!$B:$B,設定!$B61),0)</f>
        <v>0</v>
      </c>
      <c r="M61" s="8">
        <f>ROUND(SUMIFS(月別入力!$J:$J,月別入力!$F:$F,設定!$C61,月別入力!$D:$D,設定!M$9,月別入力!$B:$B,設定!$B61),0)</f>
        <v>0</v>
      </c>
      <c r="N61" s="8">
        <f>ROUND(SUMIFS(月別入力!$J:$J,月別入力!$F:$F,設定!$C61,月別入力!$D:$D,設定!N$9,月別入力!$B:$B,設定!$B61),0)</f>
        <v>0</v>
      </c>
      <c r="O61" s="8">
        <f>ROUND(SUMIFS(月別入力!$J:$J,月別入力!$F:$F,設定!$C61,月別入力!$D:$D,設定!O$9,月別入力!$B:$B,設定!$B61),0)</f>
        <v>0</v>
      </c>
      <c r="P61" s="8">
        <f>ROUND(SUMIFS(月別入力!$J:$J,月別入力!$F:$F,設定!$C61,月別入力!$D:$D,設定!P$9,月別入力!$B:$B,設定!$B61),0)</f>
        <v>0</v>
      </c>
      <c r="Q61" s="8">
        <f>ROUND(SUMIFS(月別入力!$J:$J,月別入力!$F:$F,設定!$C61,月別入力!$D:$D,設定!Q$9,月別入力!$B:$B,設定!$B61),0)</f>
        <v>0</v>
      </c>
      <c r="R61" s="8">
        <f>ROUND(SUMIFS(月別入力!$J:$J,月別入力!$F:$F,設定!$C61,月別入力!$D:$D,設定!R$9,月別入力!$B:$B,設定!$B61),0)</f>
        <v>0</v>
      </c>
      <c r="S61" s="8">
        <f>ROUND(SUMIFS(月別入力!$J:$J,月別入力!$F:$F,設定!$C61,月別入力!$D:$D,設定!S$9,月別入力!$B:$B,設定!$B61),0)</f>
        <v>0</v>
      </c>
      <c r="T61" s="8">
        <f>ROUND(SUMIFS(月別入力!$J:$J,月別入力!$F:$F,設定!$C61,月別入力!$D:$D,設定!T$9,月別入力!$B:$B,設定!$B61),0)</f>
        <v>0</v>
      </c>
      <c r="U61" s="8">
        <f>ROUND(SUMIFS(月別入力!$J:$J,月別入力!$F:$F,設定!$C61,月別入力!$D:$D,設定!U$9,月別入力!$B:$B,設定!$B61),0)</f>
        <v>0</v>
      </c>
      <c r="V61" s="8">
        <f>ROUND(SUMIFS(月別入力!$J:$J,月別入力!$F:$F,設定!$C61,月別入力!$D:$D,設定!V$9,月別入力!$B:$B,設定!$B61),0)</f>
        <v>0</v>
      </c>
      <c r="W61" s="9">
        <f>ROUND(SUMIFS(月別入力!$J:$J,月別入力!$F:$F,設定!$C61,月別入力!$D:$D,設定!W$9,月別入力!$B:$B,設定!$B61),0)</f>
        <v>0</v>
      </c>
    </row>
    <row r="62" spans="2:23" s="3" customFormat="1" ht="15" customHeight="1" x14ac:dyDescent="0.2">
      <c r="B62" s="37" t="str">
        <f t="shared" si="2"/>
        <v>&lt;=12</v>
      </c>
      <c r="C62" s="20"/>
      <c r="D62" s="6"/>
      <c r="E62" s="10"/>
      <c r="F62" s="11"/>
      <c r="G62" s="24">
        <f t="shared" si="0"/>
        <v>0</v>
      </c>
      <c r="H62" s="26">
        <f t="shared" si="1"/>
        <v>0</v>
      </c>
      <c r="I62" s="26">
        <f>ROUND(SUMIFS(月別入力!$J:$J,月別入力!$F:$F,設定!$C62,月別入力!$D:$D,設定!I$9,月別入力!$B:$B,設定!$B62),0)</f>
        <v>0</v>
      </c>
      <c r="J62" s="5">
        <f t="shared" si="3"/>
        <v>0</v>
      </c>
      <c r="K62" s="8">
        <f>ROUND(SUMIFS(月別入力!$J:$J,月別入力!$F:$F,設定!$C62,月別入力!$D:$D,設定!K$9,月別入力!$B:$B,設定!$B62),0)</f>
        <v>0</v>
      </c>
      <c r="L62" s="8">
        <f>ROUND(SUMIFS(月別入力!$J:$J,月別入力!$F:$F,設定!$C62,月別入力!$D:$D,設定!L$9,月別入力!$B:$B,設定!$B62),0)</f>
        <v>0</v>
      </c>
      <c r="M62" s="8">
        <f>ROUND(SUMIFS(月別入力!$J:$J,月別入力!$F:$F,設定!$C62,月別入力!$D:$D,設定!M$9,月別入力!$B:$B,設定!$B62),0)</f>
        <v>0</v>
      </c>
      <c r="N62" s="8">
        <f>ROUND(SUMIFS(月別入力!$J:$J,月別入力!$F:$F,設定!$C62,月別入力!$D:$D,設定!N$9,月別入力!$B:$B,設定!$B62),0)</f>
        <v>0</v>
      </c>
      <c r="O62" s="8">
        <f>ROUND(SUMIFS(月別入力!$J:$J,月別入力!$F:$F,設定!$C62,月別入力!$D:$D,設定!O$9,月別入力!$B:$B,設定!$B62),0)</f>
        <v>0</v>
      </c>
      <c r="P62" s="8">
        <f>ROUND(SUMIFS(月別入力!$J:$J,月別入力!$F:$F,設定!$C62,月別入力!$D:$D,設定!P$9,月別入力!$B:$B,設定!$B62),0)</f>
        <v>0</v>
      </c>
      <c r="Q62" s="8">
        <f>ROUND(SUMIFS(月別入力!$J:$J,月別入力!$F:$F,設定!$C62,月別入力!$D:$D,設定!Q$9,月別入力!$B:$B,設定!$B62),0)</f>
        <v>0</v>
      </c>
      <c r="R62" s="8">
        <f>ROUND(SUMIFS(月別入力!$J:$J,月別入力!$F:$F,設定!$C62,月別入力!$D:$D,設定!R$9,月別入力!$B:$B,設定!$B62),0)</f>
        <v>0</v>
      </c>
      <c r="S62" s="8">
        <f>ROUND(SUMIFS(月別入力!$J:$J,月別入力!$F:$F,設定!$C62,月別入力!$D:$D,設定!S$9,月別入力!$B:$B,設定!$B62),0)</f>
        <v>0</v>
      </c>
      <c r="T62" s="8">
        <f>ROUND(SUMIFS(月別入力!$J:$J,月別入力!$F:$F,設定!$C62,月別入力!$D:$D,設定!T$9,月別入力!$B:$B,設定!$B62),0)</f>
        <v>0</v>
      </c>
      <c r="U62" s="8">
        <f>ROUND(SUMIFS(月別入力!$J:$J,月別入力!$F:$F,設定!$C62,月別入力!$D:$D,設定!U$9,月別入力!$B:$B,設定!$B62),0)</f>
        <v>0</v>
      </c>
      <c r="V62" s="8">
        <f>ROUND(SUMIFS(月別入力!$J:$J,月別入力!$F:$F,設定!$C62,月別入力!$D:$D,設定!V$9,月別入力!$B:$B,設定!$B62),0)</f>
        <v>0</v>
      </c>
      <c r="W62" s="9">
        <f>ROUND(SUMIFS(月別入力!$J:$J,月別入力!$F:$F,設定!$C62,月別入力!$D:$D,設定!W$9,月別入力!$B:$B,設定!$B62),0)</f>
        <v>0</v>
      </c>
    </row>
    <row r="63" spans="2:23" s="3" customFormat="1" ht="15" customHeight="1" x14ac:dyDescent="0.2">
      <c r="B63" s="37" t="str">
        <f t="shared" si="2"/>
        <v>&lt;=12</v>
      </c>
      <c r="C63" s="20"/>
      <c r="D63" s="6"/>
      <c r="E63" s="10"/>
      <c r="F63" s="11"/>
      <c r="G63" s="24">
        <f t="shared" si="0"/>
        <v>0</v>
      </c>
      <c r="H63" s="26">
        <f t="shared" si="1"/>
        <v>0</v>
      </c>
      <c r="I63" s="26">
        <f>ROUND(SUMIFS(月別入力!$J:$J,月別入力!$F:$F,設定!$C63,月別入力!$D:$D,設定!I$9,月別入力!$B:$B,設定!$B63),0)</f>
        <v>0</v>
      </c>
      <c r="J63" s="5">
        <f t="shared" si="3"/>
        <v>0</v>
      </c>
      <c r="K63" s="8">
        <f>ROUND(SUMIFS(月別入力!$J:$J,月別入力!$F:$F,設定!$C63,月別入力!$D:$D,設定!K$9,月別入力!$B:$B,設定!$B63),0)</f>
        <v>0</v>
      </c>
      <c r="L63" s="8">
        <f>ROUND(SUMIFS(月別入力!$J:$J,月別入力!$F:$F,設定!$C63,月別入力!$D:$D,設定!L$9,月別入力!$B:$B,設定!$B63),0)</f>
        <v>0</v>
      </c>
      <c r="M63" s="8">
        <f>ROUND(SUMIFS(月別入力!$J:$J,月別入力!$F:$F,設定!$C63,月別入力!$D:$D,設定!M$9,月別入力!$B:$B,設定!$B63),0)</f>
        <v>0</v>
      </c>
      <c r="N63" s="8">
        <f>ROUND(SUMIFS(月別入力!$J:$J,月別入力!$F:$F,設定!$C63,月別入力!$D:$D,設定!N$9,月別入力!$B:$B,設定!$B63),0)</f>
        <v>0</v>
      </c>
      <c r="O63" s="8">
        <f>ROUND(SUMIFS(月別入力!$J:$J,月別入力!$F:$F,設定!$C63,月別入力!$D:$D,設定!O$9,月別入力!$B:$B,設定!$B63),0)</f>
        <v>0</v>
      </c>
      <c r="P63" s="8">
        <f>ROUND(SUMIFS(月別入力!$J:$J,月別入力!$F:$F,設定!$C63,月別入力!$D:$D,設定!P$9,月別入力!$B:$B,設定!$B63),0)</f>
        <v>0</v>
      </c>
      <c r="Q63" s="8">
        <f>ROUND(SUMIFS(月別入力!$J:$J,月別入力!$F:$F,設定!$C63,月別入力!$D:$D,設定!Q$9,月別入力!$B:$B,設定!$B63),0)</f>
        <v>0</v>
      </c>
      <c r="R63" s="8">
        <f>ROUND(SUMIFS(月別入力!$J:$J,月別入力!$F:$F,設定!$C63,月別入力!$D:$D,設定!R$9,月別入力!$B:$B,設定!$B63),0)</f>
        <v>0</v>
      </c>
      <c r="S63" s="8">
        <f>ROUND(SUMIFS(月別入力!$J:$J,月別入力!$F:$F,設定!$C63,月別入力!$D:$D,設定!S$9,月別入力!$B:$B,設定!$B63),0)</f>
        <v>0</v>
      </c>
      <c r="T63" s="8">
        <f>ROUND(SUMIFS(月別入力!$J:$J,月別入力!$F:$F,設定!$C63,月別入力!$D:$D,設定!T$9,月別入力!$B:$B,設定!$B63),0)</f>
        <v>0</v>
      </c>
      <c r="U63" s="8">
        <f>ROUND(SUMIFS(月別入力!$J:$J,月別入力!$F:$F,設定!$C63,月別入力!$D:$D,設定!U$9,月別入力!$B:$B,設定!$B63),0)</f>
        <v>0</v>
      </c>
      <c r="V63" s="8">
        <f>ROUND(SUMIFS(月別入力!$J:$J,月別入力!$F:$F,設定!$C63,月別入力!$D:$D,設定!V$9,月別入力!$B:$B,設定!$B63),0)</f>
        <v>0</v>
      </c>
      <c r="W63" s="9">
        <f>ROUND(SUMIFS(月別入力!$J:$J,月別入力!$F:$F,設定!$C63,月別入力!$D:$D,設定!W$9,月別入力!$B:$B,設定!$B63),0)</f>
        <v>0</v>
      </c>
    </row>
    <row r="64" spans="2:23" s="3" customFormat="1" ht="15" customHeight="1" x14ac:dyDescent="0.2">
      <c r="B64" s="37" t="str">
        <f t="shared" si="2"/>
        <v>&lt;=12</v>
      </c>
      <c r="C64" s="20"/>
      <c r="D64" s="6"/>
      <c r="E64" s="10"/>
      <c r="F64" s="11"/>
      <c r="G64" s="24">
        <f t="shared" si="0"/>
        <v>0</v>
      </c>
      <c r="H64" s="26">
        <f t="shared" si="1"/>
        <v>0</v>
      </c>
      <c r="I64" s="26">
        <f>ROUND(SUMIFS(月別入力!$J:$J,月別入力!$F:$F,設定!$C64,月別入力!$D:$D,設定!I$9,月別入力!$B:$B,設定!$B64),0)</f>
        <v>0</v>
      </c>
      <c r="J64" s="5">
        <f t="shared" si="3"/>
        <v>0</v>
      </c>
      <c r="K64" s="8">
        <f>ROUND(SUMIFS(月別入力!$J:$J,月別入力!$F:$F,設定!$C64,月別入力!$D:$D,設定!K$9,月別入力!$B:$B,設定!$B64),0)</f>
        <v>0</v>
      </c>
      <c r="L64" s="8">
        <f>ROUND(SUMIFS(月別入力!$J:$J,月別入力!$F:$F,設定!$C64,月別入力!$D:$D,設定!L$9,月別入力!$B:$B,設定!$B64),0)</f>
        <v>0</v>
      </c>
      <c r="M64" s="8">
        <f>ROUND(SUMIFS(月別入力!$J:$J,月別入力!$F:$F,設定!$C64,月別入力!$D:$D,設定!M$9,月別入力!$B:$B,設定!$B64),0)</f>
        <v>0</v>
      </c>
      <c r="N64" s="8">
        <f>ROUND(SUMIFS(月別入力!$J:$J,月別入力!$F:$F,設定!$C64,月別入力!$D:$D,設定!N$9,月別入力!$B:$B,設定!$B64),0)</f>
        <v>0</v>
      </c>
      <c r="O64" s="8">
        <f>ROUND(SUMIFS(月別入力!$J:$J,月別入力!$F:$F,設定!$C64,月別入力!$D:$D,設定!O$9,月別入力!$B:$B,設定!$B64),0)</f>
        <v>0</v>
      </c>
      <c r="P64" s="8">
        <f>ROUND(SUMIFS(月別入力!$J:$J,月別入力!$F:$F,設定!$C64,月別入力!$D:$D,設定!P$9,月別入力!$B:$B,設定!$B64),0)</f>
        <v>0</v>
      </c>
      <c r="Q64" s="8">
        <f>ROUND(SUMIFS(月別入力!$J:$J,月別入力!$F:$F,設定!$C64,月別入力!$D:$D,設定!Q$9,月別入力!$B:$B,設定!$B64),0)</f>
        <v>0</v>
      </c>
      <c r="R64" s="8">
        <f>ROUND(SUMIFS(月別入力!$J:$J,月別入力!$F:$F,設定!$C64,月別入力!$D:$D,設定!R$9,月別入力!$B:$B,設定!$B64),0)</f>
        <v>0</v>
      </c>
      <c r="S64" s="8">
        <f>ROUND(SUMIFS(月別入力!$J:$J,月別入力!$F:$F,設定!$C64,月別入力!$D:$D,設定!S$9,月別入力!$B:$B,設定!$B64),0)</f>
        <v>0</v>
      </c>
      <c r="T64" s="8">
        <f>ROUND(SUMIFS(月別入力!$J:$J,月別入力!$F:$F,設定!$C64,月別入力!$D:$D,設定!T$9,月別入力!$B:$B,設定!$B64),0)</f>
        <v>0</v>
      </c>
      <c r="U64" s="8">
        <f>ROUND(SUMIFS(月別入力!$J:$J,月別入力!$F:$F,設定!$C64,月別入力!$D:$D,設定!U$9,月別入力!$B:$B,設定!$B64),0)</f>
        <v>0</v>
      </c>
      <c r="V64" s="8">
        <f>ROUND(SUMIFS(月別入力!$J:$J,月別入力!$F:$F,設定!$C64,月別入力!$D:$D,設定!V$9,月別入力!$B:$B,設定!$B64),0)</f>
        <v>0</v>
      </c>
      <c r="W64" s="9">
        <f>ROUND(SUMIFS(月別入力!$J:$J,月別入力!$F:$F,設定!$C64,月別入力!$D:$D,設定!W$9,月別入力!$B:$B,設定!$B64),0)</f>
        <v>0</v>
      </c>
    </row>
    <row r="65" spans="2:23" s="3" customFormat="1" ht="15" customHeight="1" x14ac:dyDescent="0.2">
      <c r="B65" s="37" t="str">
        <f t="shared" si="2"/>
        <v>&lt;=12</v>
      </c>
      <c r="C65" s="20"/>
      <c r="D65" s="6"/>
      <c r="E65" s="10"/>
      <c r="F65" s="11"/>
      <c r="G65" s="24">
        <f t="shared" si="0"/>
        <v>0</v>
      </c>
      <c r="H65" s="26">
        <f t="shared" si="1"/>
        <v>0</v>
      </c>
      <c r="I65" s="26">
        <f>ROUND(SUMIFS(月別入力!$J:$J,月別入力!$F:$F,設定!$C65,月別入力!$D:$D,設定!I$9,月別入力!$B:$B,設定!$B65),0)</f>
        <v>0</v>
      </c>
      <c r="J65" s="5">
        <f t="shared" si="3"/>
        <v>0</v>
      </c>
      <c r="K65" s="8">
        <f>ROUND(SUMIFS(月別入力!$J:$J,月別入力!$F:$F,設定!$C65,月別入力!$D:$D,設定!K$9,月別入力!$B:$B,設定!$B65),0)</f>
        <v>0</v>
      </c>
      <c r="L65" s="8">
        <f>ROUND(SUMIFS(月別入力!$J:$J,月別入力!$F:$F,設定!$C65,月別入力!$D:$D,設定!L$9,月別入力!$B:$B,設定!$B65),0)</f>
        <v>0</v>
      </c>
      <c r="M65" s="8">
        <f>ROUND(SUMIFS(月別入力!$J:$J,月別入力!$F:$F,設定!$C65,月別入力!$D:$D,設定!M$9,月別入力!$B:$B,設定!$B65),0)</f>
        <v>0</v>
      </c>
      <c r="N65" s="8">
        <f>ROUND(SUMIFS(月別入力!$J:$J,月別入力!$F:$F,設定!$C65,月別入力!$D:$D,設定!N$9,月別入力!$B:$B,設定!$B65),0)</f>
        <v>0</v>
      </c>
      <c r="O65" s="8">
        <f>ROUND(SUMIFS(月別入力!$J:$J,月別入力!$F:$F,設定!$C65,月別入力!$D:$D,設定!O$9,月別入力!$B:$B,設定!$B65),0)</f>
        <v>0</v>
      </c>
      <c r="P65" s="8">
        <f>ROUND(SUMIFS(月別入力!$J:$J,月別入力!$F:$F,設定!$C65,月別入力!$D:$D,設定!P$9,月別入力!$B:$B,設定!$B65),0)</f>
        <v>0</v>
      </c>
      <c r="Q65" s="8">
        <f>ROUND(SUMIFS(月別入力!$J:$J,月別入力!$F:$F,設定!$C65,月別入力!$D:$D,設定!Q$9,月別入力!$B:$B,設定!$B65),0)</f>
        <v>0</v>
      </c>
      <c r="R65" s="8">
        <f>ROUND(SUMIFS(月別入力!$J:$J,月別入力!$F:$F,設定!$C65,月別入力!$D:$D,設定!R$9,月別入力!$B:$B,設定!$B65),0)</f>
        <v>0</v>
      </c>
      <c r="S65" s="8">
        <f>ROUND(SUMIFS(月別入力!$J:$J,月別入力!$F:$F,設定!$C65,月別入力!$D:$D,設定!S$9,月別入力!$B:$B,設定!$B65),0)</f>
        <v>0</v>
      </c>
      <c r="T65" s="8">
        <f>ROUND(SUMIFS(月別入力!$J:$J,月別入力!$F:$F,設定!$C65,月別入力!$D:$D,設定!T$9,月別入力!$B:$B,設定!$B65),0)</f>
        <v>0</v>
      </c>
      <c r="U65" s="8">
        <f>ROUND(SUMIFS(月別入力!$J:$J,月別入力!$F:$F,設定!$C65,月別入力!$D:$D,設定!U$9,月別入力!$B:$B,設定!$B65),0)</f>
        <v>0</v>
      </c>
      <c r="V65" s="8">
        <f>ROUND(SUMIFS(月別入力!$J:$J,月別入力!$F:$F,設定!$C65,月別入力!$D:$D,設定!V$9,月別入力!$B:$B,設定!$B65),0)</f>
        <v>0</v>
      </c>
      <c r="W65" s="9">
        <f>ROUND(SUMIFS(月別入力!$J:$J,月別入力!$F:$F,設定!$C65,月別入力!$D:$D,設定!W$9,月別入力!$B:$B,設定!$B65),0)</f>
        <v>0</v>
      </c>
    </row>
    <row r="66" spans="2:23" s="3" customFormat="1" ht="15" customHeight="1" x14ac:dyDescent="0.2">
      <c r="B66" s="37" t="str">
        <f t="shared" si="2"/>
        <v>&lt;=12</v>
      </c>
      <c r="C66" s="20"/>
      <c r="D66" s="6"/>
      <c r="E66" s="10"/>
      <c r="F66" s="11"/>
      <c r="G66" s="24">
        <f t="shared" si="0"/>
        <v>0</v>
      </c>
      <c r="H66" s="26">
        <f t="shared" si="1"/>
        <v>0</v>
      </c>
      <c r="I66" s="26">
        <f>ROUND(SUMIFS(月別入力!$J:$J,月別入力!$F:$F,設定!$C66,月別入力!$D:$D,設定!I$9,月別入力!$B:$B,設定!$B66),0)</f>
        <v>0</v>
      </c>
      <c r="J66" s="5">
        <f t="shared" si="3"/>
        <v>0</v>
      </c>
      <c r="K66" s="8">
        <f>ROUND(SUMIFS(月別入力!$J:$J,月別入力!$F:$F,設定!$C66,月別入力!$D:$D,設定!K$9,月別入力!$B:$B,設定!$B66),0)</f>
        <v>0</v>
      </c>
      <c r="L66" s="8">
        <f>ROUND(SUMIFS(月別入力!$J:$J,月別入力!$F:$F,設定!$C66,月別入力!$D:$D,設定!L$9,月別入力!$B:$B,設定!$B66),0)</f>
        <v>0</v>
      </c>
      <c r="M66" s="8">
        <f>ROUND(SUMIFS(月別入力!$J:$J,月別入力!$F:$F,設定!$C66,月別入力!$D:$D,設定!M$9,月別入力!$B:$B,設定!$B66),0)</f>
        <v>0</v>
      </c>
      <c r="N66" s="8">
        <f>ROUND(SUMIFS(月別入力!$J:$J,月別入力!$F:$F,設定!$C66,月別入力!$D:$D,設定!N$9,月別入力!$B:$B,設定!$B66),0)</f>
        <v>0</v>
      </c>
      <c r="O66" s="8">
        <f>ROUND(SUMIFS(月別入力!$J:$J,月別入力!$F:$F,設定!$C66,月別入力!$D:$D,設定!O$9,月別入力!$B:$B,設定!$B66),0)</f>
        <v>0</v>
      </c>
      <c r="P66" s="8">
        <f>ROUND(SUMIFS(月別入力!$J:$J,月別入力!$F:$F,設定!$C66,月別入力!$D:$D,設定!P$9,月別入力!$B:$B,設定!$B66),0)</f>
        <v>0</v>
      </c>
      <c r="Q66" s="8">
        <f>ROUND(SUMIFS(月別入力!$J:$J,月別入力!$F:$F,設定!$C66,月別入力!$D:$D,設定!Q$9,月別入力!$B:$B,設定!$B66),0)</f>
        <v>0</v>
      </c>
      <c r="R66" s="8">
        <f>ROUND(SUMIFS(月別入力!$J:$J,月別入力!$F:$F,設定!$C66,月別入力!$D:$D,設定!R$9,月別入力!$B:$B,設定!$B66),0)</f>
        <v>0</v>
      </c>
      <c r="S66" s="8">
        <f>ROUND(SUMIFS(月別入力!$J:$J,月別入力!$F:$F,設定!$C66,月別入力!$D:$D,設定!S$9,月別入力!$B:$B,設定!$B66),0)</f>
        <v>0</v>
      </c>
      <c r="T66" s="8">
        <f>ROUND(SUMIFS(月別入力!$J:$J,月別入力!$F:$F,設定!$C66,月別入力!$D:$D,設定!T$9,月別入力!$B:$B,設定!$B66),0)</f>
        <v>0</v>
      </c>
      <c r="U66" s="8">
        <f>ROUND(SUMIFS(月別入力!$J:$J,月別入力!$F:$F,設定!$C66,月別入力!$D:$D,設定!U$9,月別入力!$B:$B,設定!$B66),0)</f>
        <v>0</v>
      </c>
      <c r="V66" s="8">
        <f>ROUND(SUMIFS(月別入力!$J:$J,月別入力!$F:$F,設定!$C66,月別入力!$D:$D,設定!V$9,月別入力!$B:$B,設定!$B66),0)</f>
        <v>0</v>
      </c>
      <c r="W66" s="9">
        <f>ROUND(SUMIFS(月別入力!$J:$J,月別入力!$F:$F,設定!$C66,月別入力!$D:$D,設定!W$9,月別入力!$B:$B,設定!$B66),0)</f>
        <v>0</v>
      </c>
    </row>
    <row r="67" spans="2:23" s="3" customFormat="1" ht="15" customHeight="1" x14ac:dyDescent="0.2">
      <c r="B67" s="37" t="str">
        <f t="shared" si="2"/>
        <v>&lt;=12</v>
      </c>
      <c r="C67" s="20"/>
      <c r="D67" s="6"/>
      <c r="E67" s="10"/>
      <c r="F67" s="11"/>
      <c r="G67" s="24">
        <f t="shared" si="0"/>
        <v>0</v>
      </c>
      <c r="H67" s="26">
        <f t="shared" si="1"/>
        <v>0</v>
      </c>
      <c r="I67" s="26">
        <f>ROUND(SUMIFS(月別入力!$J:$J,月別入力!$F:$F,設定!$C67,月別入力!$D:$D,設定!I$9,月別入力!$B:$B,設定!$B67),0)</f>
        <v>0</v>
      </c>
      <c r="J67" s="5">
        <f t="shared" si="3"/>
        <v>0</v>
      </c>
      <c r="K67" s="8">
        <f>ROUND(SUMIFS(月別入力!$J:$J,月別入力!$F:$F,設定!$C67,月別入力!$D:$D,設定!K$9,月別入力!$B:$B,設定!$B67),0)</f>
        <v>0</v>
      </c>
      <c r="L67" s="8">
        <f>ROUND(SUMIFS(月別入力!$J:$J,月別入力!$F:$F,設定!$C67,月別入力!$D:$D,設定!L$9,月別入力!$B:$B,設定!$B67),0)</f>
        <v>0</v>
      </c>
      <c r="M67" s="8">
        <f>ROUND(SUMIFS(月別入力!$J:$J,月別入力!$F:$F,設定!$C67,月別入力!$D:$D,設定!M$9,月別入力!$B:$B,設定!$B67),0)</f>
        <v>0</v>
      </c>
      <c r="N67" s="8">
        <f>ROUND(SUMIFS(月別入力!$J:$J,月別入力!$F:$F,設定!$C67,月別入力!$D:$D,設定!N$9,月別入力!$B:$B,設定!$B67),0)</f>
        <v>0</v>
      </c>
      <c r="O67" s="8">
        <f>ROUND(SUMIFS(月別入力!$J:$J,月別入力!$F:$F,設定!$C67,月別入力!$D:$D,設定!O$9,月別入力!$B:$B,設定!$B67),0)</f>
        <v>0</v>
      </c>
      <c r="P67" s="8">
        <f>ROUND(SUMIFS(月別入力!$J:$J,月別入力!$F:$F,設定!$C67,月別入力!$D:$D,設定!P$9,月別入力!$B:$B,設定!$B67),0)</f>
        <v>0</v>
      </c>
      <c r="Q67" s="8">
        <f>ROUND(SUMIFS(月別入力!$J:$J,月別入力!$F:$F,設定!$C67,月別入力!$D:$D,設定!Q$9,月別入力!$B:$B,設定!$B67),0)</f>
        <v>0</v>
      </c>
      <c r="R67" s="8">
        <f>ROUND(SUMIFS(月別入力!$J:$J,月別入力!$F:$F,設定!$C67,月別入力!$D:$D,設定!R$9,月別入力!$B:$B,設定!$B67),0)</f>
        <v>0</v>
      </c>
      <c r="S67" s="8">
        <f>ROUND(SUMIFS(月別入力!$J:$J,月別入力!$F:$F,設定!$C67,月別入力!$D:$D,設定!S$9,月別入力!$B:$B,設定!$B67),0)</f>
        <v>0</v>
      </c>
      <c r="T67" s="8">
        <f>ROUND(SUMIFS(月別入力!$J:$J,月別入力!$F:$F,設定!$C67,月別入力!$D:$D,設定!T$9,月別入力!$B:$B,設定!$B67),0)</f>
        <v>0</v>
      </c>
      <c r="U67" s="8">
        <f>ROUND(SUMIFS(月別入力!$J:$J,月別入力!$F:$F,設定!$C67,月別入力!$D:$D,設定!U$9,月別入力!$B:$B,設定!$B67),0)</f>
        <v>0</v>
      </c>
      <c r="V67" s="8">
        <f>ROUND(SUMIFS(月別入力!$J:$J,月別入力!$F:$F,設定!$C67,月別入力!$D:$D,設定!V$9,月別入力!$B:$B,設定!$B67),0)</f>
        <v>0</v>
      </c>
      <c r="W67" s="9">
        <f>ROUND(SUMIFS(月別入力!$J:$J,月別入力!$F:$F,設定!$C67,月別入力!$D:$D,設定!W$9,月別入力!$B:$B,設定!$B67),0)</f>
        <v>0</v>
      </c>
    </row>
    <row r="68" spans="2:23" s="3" customFormat="1" ht="15" customHeight="1" x14ac:dyDescent="0.2">
      <c r="B68" s="37" t="str">
        <f t="shared" si="2"/>
        <v>&lt;=12</v>
      </c>
      <c r="C68" s="20"/>
      <c r="D68" s="6"/>
      <c r="E68" s="10"/>
      <c r="F68" s="11"/>
      <c r="G68" s="24">
        <f t="shared" si="0"/>
        <v>0</v>
      </c>
      <c r="H68" s="26">
        <f t="shared" si="1"/>
        <v>0</v>
      </c>
      <c r="I68" s="26">
        <f>ROUND(SUMIFS(月別入力!$J:$J,月別入力!$F:$F,設定!$C68,月別入力!$D:$D,設定!I$9,月別入力!$B:$B,設定!$B68),0)</f>
        <v>0</v>
      </c>
      <c r="J68" s="5">
        <f t="shared" si="3"/>
        <v>0</v>
      </c>
      <c r="K68" s="8">
        <f>ROUND(SUMIFS(月別入力!$J:$J,月別入力!$F:$F,設定!$C68,月別入力!$D:$D,設定!K$9,月別入力!$B:$B,設定!$B68),0)</f>
        <v>0</v>
      </c>
      <c r="L68" s="8">
        <f>ROUND(SUMIFS(月別入力!$J:$J,月別入力!$F:$F,設定!$C68,月別入力!$D:$D,設定!L$9,月別入力!$B:$B,設定!$B68),0)</f>
        <v>0</v>
      </c>
      <c r="M68" s="8">
        <f>ROUND(SUMIFS(月別入力!$J:$J,月別入力!$F:$F,設定!$C68,月別入力!$D:$D,設定!M$9,月別入力!$B:$B,設定!$B68),0)</f>
        <v>0</v>
      </c>
      <c r="N68" s="8">
        <f>ROUND(SUMIFS(月別入力!$J:$J,月別入力!$F:$F,設定!$C68,月別入力!$D:$D,設定!N$9,月別入力!$B:$B,設定!$B68),0)</f>
        <v>0</v>
      </c>
      <c r="O68" s="8">
        <f>ROUND(SUMIFS(月別入力!$J:$J,月別入力!$F:$F,設定!$C68,月別入力!$D:$D,設定!O$9,月別入力!$B:$B,設定!$B68),0)</f>
        <v>0</v>
      </c>
      <c r="P68" s="8">
        <f>ROUND(SUMIFS(月別入力!$J:$J,月別入力!$F:$F,設定!$C68,月別入力!$D:$D,設定!P$9,月別入力!$B:$B,設定!$B68),0)</f>
        <v>0</v>
      </c>
      <c r="Q68" s="8">
        <f>ROUND(SUMIFS(月別入力!$J:$J,月別入力!$F:$F,設定!$C68,月別入力!$D:$D,設定!Q$9,月別入力!$B:$B,設定!$B68),0)</f>
        <v>0</v>
      </c>
      <c r="R68" s="8">
        <f>ROUND(SUMIFS(月別入力!$J:$J,月別入力!$F:$F,設定!$C68,月別入力!$D:$D,設定!R$9,月別入力!$B:$B,設定!$B68),0)</f>
        <v>0</v>
      </c>
      <c r="S68" s="8">
        <f>ROUND(SUMIFS(月別入力!$J:$J,月別入力!$F:$F,設定!$C68,月別入力!$D:$D,設定!S$9,月別入力!$B:$B,設定!$B68),0)</f>
        <v>0</v>
      </c>
      <c r="T68" s="8">
        <f>ROUND(SUMIFS(月別入力!$J:$J,月別入力!$F:$F,設定!$C68,月別入力!$D:$D,設定!T$9,月別入力!$B:$B,設定!$B68),0)</f>
        <v>0</v>
      </c>
      <c r="U68" s="8">
        <f>ROUND(SUMIFS(月別入力!$J:$J,月別入力!$F:$F,設定!$C68,月別入力!$D:$D,設定!U$9,月別入力!$B:$B,設定!$B68),0)</f>
        <v>0</v>
      </c>
      <c r="V68" s="8">
        <f>ROUND(SUMIFS(月別入力!$J:$J,月別入力!$F:$F,設定!$C68,月別入力!$D:$D,設定!V$9,月別入力!$B:$B,設定!$B68),0)</f>
        <v>0</v>
      </c>
      <c r="W68" s="9">
        <f>ROUND(SUMIFS(月別入力!$J:$J,月別入力!$F:$F,設定!$C68,月別入力!$D:$D,設定!W$9,月別入力!$B:$B,設定!$B68),0)</f>
        <v>0</v>
      </c>
    </row>
    <row r="69" spans="2:23" s="3" customFormat="1" ht="15" customHeight="1" x14ac:dyDescent="0.2">
      <c r="B69" s="37" t="str">
        <f t="shared" si="2"/>
        <v>&lt;=12</v>
      </c>
      <c r="C69" s="20"/>
      <c r="D69" s="6"/>
      <c r="E69" s="10"/>
      <c r="F69" s="11"/>
      <c r="G69" s="24">
        <f t="shared" si="0"/>
        <v>0</v>
      </c>
      <c r="H69" s="26">
        <f t="shared" si="1"/>
        <v>0</v>
      </c>
      <c r="I69" s="26">
        <f>ROUND(SUMIFS(月別入力!$J:$J,月別入力!$F:$F,設定!$C69,月別入力!$D:$D,設定!I$9,月別入力!$B:$B,設定!$B69),0)</f>
        <v>0</v>
      </c>
      <c r="J69" s="5">
        <f t="shared" si="3"/>
        <v>0</v>
      </c>
      <c r="K69" s="8">
        <f>ROUND(SUMIFS(月別入力!$J:$J,月別入力!$F:$F,設定!$C69,月別入力!$D:$D,設定!K$9,月別入力!$B:$B,設定!$B69),0)</f>
        <v>0</v>
      </c>
      <c r="L69" s="8">
        <f>ROUND(SUMIFS(月別入力!$J:$J,月別入力!$F:$F,設定!$C69,月別入力!$D:$D,設定!L$9,月別入力!$B:$B,設定!$B69),0)</f>
        <v>0</v>
      </c>
      <c r="M69" s="8">
        <f>ROUND(SUMIFS(月別入力!$J:$J,月別入力!$F:$F,設定!$C69,月別入力!$D:$D,設定!M$9,月別入力!$B:$B,設定!$B69),0)</f>
        <v>0</v>
      </c>
      <c r="N69" s="8">
        <f>ROUND(SUMIFS(月別入力!$J:$J,月別入力!$F:$F,設定!$C69,月別入力!$D:$D,設定!N$9,月別入力!$B:$B,設定!$B69),0)</f>
        <v>0</v>
      </c>
      <c r="O69" s="8">
        <f>ROUND(SUMIFS(月別入力!$J:$J,月別入力!$F:$F,設定!$C69,月別入力!$D:$D,設定!O$9,月別入力!$B:$B,設定!$B69),0)</f>
        <v>0</v>
      </c>
      <c r="P69" s="8">
        <f>ROUND(SUMIFS(月別入力!$J:$J,月別入力!$F:$F,設定!$C69,月別入力!$D:$D,設定!P$9,月別入力!$B:$B,設定!$B69),0)</f>
        <v>0</v>
      </c>
      <c r="Q69" s="8">
        <f>ROUND(SUMIFS(月別入力!$J:$J,月別入力!$F:$F,設定!$C69,月別入力!$D:$D,設定!Q$9,月別入力!$B:$B,設定!$B69),0)</f>
        <v>0</v>
      </c>
      <c r="R69" s="8">
        <f>ROUND(SUMIFS(月別入力!$J:$J,月別入力!$F:$F,設定!$C69,月別入力!$D:$D,設定!R$9,月別入力!$B:$B,設定!$B69),0)</f>
        <v>0</v>
      </c>
      <c r="S69" s="8">
        <f>ROUND(SUMIFS(月別入力!$J:$J,月別入力!$F:$F,設定!$C69,月別入力!$D:$D,設定!S$9,月別入力!$B:$B,設定!$B69),0)</f>
        <v>0</v>
      </c>
      <c r="T69" s="8">
        <f>ROUND(SUMIFS(月別入力!$J:$J,月別入力!$F:$F,設定!$C69,月別入力!$D:$D,設定!T$9,月別入力!$B:$B,設定!$B69),0)</f>
        <v>0</v>
      </c>
      <c r="U69" s="8">
        <f>ROUND(SUMIFS(月別入力!$J:$J,月別入力!$F:$F,設定!$C69,月別入力!$D:$D,設定!U$9,月別入力!$B:$B,設定!$B69),0)</f>
        <v>0</v>
      </c>
      <c r="V69" s="8">
        <f>ROUND(SUMIFS(月別入力!$J:$J,月別入力!$F:$F,設定!$C69,月別入力!$D:$D,設定!V$9,月別入力!$B:$B,設定!$B69),0)</f>
        <v>0</v>
      </c>
      <c r="W69" s="9">
        <f>ROUND(SUMIFS(月別入力!$J:$J,月別入力!$F:$F,設定!$C69,月別入力!$D:$D,設定!W$9,月別入力!$B:$B,設定!$B69),0)</f>
        <v>0</v>
      </c>
    </row>
    <row r="70" spans="2:23" s="3" customFormat="1" ht="15" customHeight="1" x14ac:dyDescent="0.2">
      <c r="B70" s="37" t="str">
        <f t="shared" si="2"/>
        <v>&lt;=12</v>
      </c>
      <c r="C70" s="20"/>
      <c r="D70" s="6"/>
      <c r="E70" s="10"/>
      <c r="F70" s="11"/>
      <c r="G70" s="24">
        <f t="shared" si="0"/>
        <v>0</v>
      </c>
      <c r="H70" s="26">
        <f t="shared" si="1"/>
        <v>0</v>
      </c>
      <c r="I70" s="26">
        <f>ROUND(SUMIFS(月別入力!$J:$J,月別入力!$F:$F,設定!$C70,月別入力!$D:$D,設定!I$9,月別入力!$B:$B,設定!$B70),0)</f>
        <v>0</v>
      </c>
      <c r="J70" s="5">
        <f t="shared" si="3"/>
        <v>0</v>
      </c>
      <c r="K70" s="8">
        <f>ROUND(SUMIFS(月別入力!$J:$J,月別入力!$F:$F,設定!$C70,月別入力!$D:$D,設定!K$9,月別入力!$B:$B,設定!$B70),0)</f>
        <v>0</v>
      </c>
      <c r="L70" s="8">
        <f>ROUND(SUMIFS(月別入力!$J:$J,月別入力!$F:$F,設定!$C70,月別入力!$D:$D,設定!L$9,月別入力!$B:$B,設定!$B70),0)</f>
        <v>0</v>
      </c>
      <c r="M70" s="8">
        <f>ROUND(SUMIFS(月別入力!$J:$J,月別入力!$F:$F,設定!$C70,月別入力!$D:$D,設定!M$9,月別入力!$B:$B,設定!$B70),0)</f>
        <v>0</v>
      </c>
      <c r="N70" s="8">
        <f>ROUND(SUMIFS(月別入力!$J:$J,月別入力!$F:$F,設定!$C70,月別入力!$D:$D,設定!N$9,月別入力!$B:$B,設定!$B70),0)</f>
        <v>0</v>
      </c>
      <c r="O70" s="8">
        <f>ROUND(SUMIFS(月別入力!$J:$J,月別入力!$F:$F,設定!$C70,月別入力!$D:$D,設定!O$9,月別入力!$B:$B,設定!$B70),0)</f>
        <v>0</v>
      </c>
      <c r="P70" s="8">
        <f>ROUND(SUMIFS(月別入力!$J:$J,月別入力!$F:$F,設定!$C70,月別入力!$D:$D,設定!P$9,月別入力!$B:$B,設定!$B70),0)</f>
        <v>0</v>
      </c>
      <c r="Q70" s="8">
        <f>ROUND(SUMIFS(月別入力!$J:$J,月別入力!$F:$F,設定!$C70,月別入力!$D:$D,設定!Q$9,月別入力!$B:$B,設定!$B70),0)</f>
        <v>0</v>
      </c>
      <c r="R70" s="8">
        <f>ROUND(SUMIFS(月別入力!$J:$J,月別入力!$F:$F,設定!$C70,月別入力!$D:$D,設定!R$9,月別入力!$B:$B,設定!$B70),0)</f>
        <v>0</v>
      </c>
      <c r="S70" s="8">
        <f>ROUND(SUMIFS(月別入力!$J:$J,月別入力!$F:$F,設定!$C70,月別入力!$D:$D,設定!S$9,月別入力!$B:$B,設定!$B70),0)</f>
        <v>0</v>
      </c>
      <c r="T70" s="8">
        <f>ROUND(SUMIFS(月別入力!$J:$J,月別入力!$F:$F,設定!$C70,月別入力!$D:$D,設定!T$9,月別入力!$B:$B,設定!$B70),0)</f>
        <v>0</v>
      </c>
      <c r="U70" s="8">
        <f>ROUND(SUMIFS(月別入力!$J:$J,月別入力!$F:$F,設定!$C70,月別入力!$D:$D,設定!U$9,月別入力!$B:$B,設定!$B70),0)</f>
        <v>0</v>
      </c>
      <c r="V70" s="8">
        <f>ROUND(SUMIFS(月別入力!$J:$J,月別入力!$F:$F,設定!$C70,月別入力!$D:$D,設定!V$9,月別入力!$B:$B,設定!$B70),0)</f>
        <v>0</v>
      </c>
      <c r="W70" s="9">
        <f>ROUND(SUMIFS(月別入力!$J:$J,月別入力!$F:$F,設定!$C70,月別入力!$D:$D,設定!W$9,月別入力!$B:$B,設定!$B70),0)</f>
        <v>0</v>
      </c>
    </row>
    <row r="71" spans="2:23" s="3" customFormat="1" ht="15" customHeight="1" x14ac:dyDescent="0.2">
      <c r="B71" s="37" t="str">
        <f t="shared" si="2"/>
        <v>&lt;=12</v>
      </c>
      <c r="C71" s="20"/>
      <c r="D71" s="6"/>
      <c r="E71" s="10"/>
      <c r="F71" s="11"/>
      <c r="G71" s="24">
        <f t="shared" si="0"/>
        <v>0</v>
      </c>
      <c r="H71" s="26">
        <f t="shared" si="1"/>
        <v>0</v>
      </c>
      <c r="I71" s="26">
        <f>ROUND(SUMIFS(月別入力!$J:$J,月別入力!$F:$F,設定!$C71,月別入力!$D:$D,設定!I$9,月別入力!$B:$B,設定!$B71),0)</f>
        <v>0</v>
      </c>
      <c r="J71" s="5">
        <f t="shared" si="3"/>
        <v>0</v>
      </c>
      <c r="K71" s="8">
        <f>ROUND(SUMIFS(月別入力!$J:$J,月別入力!$F:$F,設定!$C71,月別入力!$D:$D,設定!K$9,月別入力!$B:$B,設定!$B71),0)</f>
        <v>0</v>
      </c>
      <c r="L71" s="8">
        <f>ROUND(SUMIFS(月別入力!$J:$J,月別入力!$F:$F,設定!$C71,月別入力!$D:$D,設定!L$9,月別入力!$B:$B,設定!$B71),0)</f>
        <v>0</v>
      </c>
      <c r="M71" s="8">
        <f>ROUND(SUMIFS(月別入力!$J:$J,月別入力!$F:$F,設定!$C71,月別入力!$D:$D,設定!M$9,月別入力!$B:$B,設定!$B71),0)</f>
        <v>0</v>
      </c>
      <c r="N71" s="8">
        <f>ROUND(SUMIFS(月別入力!$J:$J,月別入力!$F:$F,設定!$C71,月別入力!$D:$D,設定!N$9,月別入力!$B:$B,設定!$B71),0)</f>
        <v>0</v>
      </c>
      <c r="O71" s="8">
        <f>ROUND(SUMIFS(月別入力!$J:$J,月別入力!$F:$F,設定!$C71,月別入力!$D:$D,設定!O$9,月別入力!$B:$B,設定!$B71),0)</f>
        <v>0</v>
      </c>
      <c r="P71" s="8">
        <f>ROUND(SUMIFS(月別入力!$J:$J,月別入力!$F:$F,設定!$C71,月別入力!$D:$D,設定!P$9,月別入力!$B:$B,設定!$B71),0)</f>
        <v>0</v>
      </c>
      <c r="Q71" s="8">
        <f>ROUND(SUMIFS(月別入力!$J:$J,月別入力!$F:$F,設定!$C71,月別入力!$D:$D,設定!Q$9,月別入力!$B:$B,設定!$B71),0)</f>
        <v>0</v>
      </c>
      <c r="R71" s="8">
        <f>ROUND(SUMIFS(月別入力!$J:$J,月別入力!$F:$F,設定!$C71,月別入力!$D:$D,設定!R$9,月別入力!$B:$B,設定!$B71),0)</f>
        <v>0</v>
      </c>
      <c r="S71" s="8">
        <f>ROUND(SUMIFS(月別入力!$J:$J,月別入力!$F:$F,設定!$C71,月別入力!$D:$D,設定!S$9,月別入力!$B:$B,設定!$B71),0)</f>
        <v>0</v>
      </c>
      <c r="T71" s="8">
        <f>ROUND(SUMIFS(月別入力!$J:$J,月別入力!$F:$F,設定!$C71,月別入力!$D:$D,設定!T$9,月別入力!$B:$B,設定!$B71),0)</f>
        <v>0</v>
      </c>
      <c r="U71" s="8">
        <f>ROUND(SUMIFS(月別入力!$J:$J,月別入力!$F:$F,設定!$C71,月別入力!$D:$D,設定!U$9,月別入力!$B:$B,設定!$B71),0)</f>
        <v>0</v>
      </c>
      <c r="V71" s="8">
        <f>ROUND(SUMIFS(月別入力!$J:$J,月別入力!$F:$F,設定!$C71,月別入力!$D:$D,設定!V$9,月別入力!$B:$B,設定!$B71),0)</f>
        <v>0</v>
      </c>
      <c r="W71" s="9">
        <f>ROUND(SUMIFS(月別入力!$J:$J,月別入力!$F:$F,設定!$C71,月別入力!$D:$D,設定!W$9,月別入力!$B:$B,設定!$B71),0)</f>
        <v>0</v>
      </c>
    </row>
    <row r="72" spans="2:23" s="3" customFormat="1" ht="15" customHeight="1" x14ac:dyDescent="0.2">
      <c r="B72" s="37" t="str">
        <f t="shared" si="2"/>
        <v>&lt;=12</v>
      </c>
      <c r="C72" s="20"/>
      <c r="D72" s="6"/>
      <c r="E72" s="10"/>
      <c r="F72" s="11"/>
      <c r="G72" s="24">
        <f t="shared" si="0"/>
        <v>0</v>
      </c>
      <c r="H72" s="26">
        <f t="shared" si="1"/>
        <v>0</v>
      </c>
      <c r="I72" s="26">
        <f>ROUND(SUMIFS(月別入力!$J:$J,月別入力!$F:$F,設定!$C72,月別入力!$D:$D,設定!I$9,月別入力!$B:$B,設定!$B72),0)</f>
        <v>0</v>
      </c>
      <c r="J72" s="5">
        <f t="shared" si="3"/>
        <v>0</v>
      </c>
      <c r="K72" s="8">
        <f>ROUND(SUMIFS(月別入力!$J:$J,月別入力!$F:$F,設定!$C72,月別入力!$D:$D,設定!K$9,月別入力!$B:$B,設定!$B72),0)</f>
        <v>0</v>
      </c>
      <c r="L72" s="8">
        <f>ROUND(SUMIFS(月別入力!$J:$J,月別入力!$F:$F,設定!$C72,月別入力!$D:$D,設定!L$9,月別入力!$B:$B,設定!$B72),0)</f>
        <v>0</v>
      </c>
      <c r="M72" s="8">
        <f>ROUND(SUMIFS(月別入力!$J:$J,月別入力!$F:$F,設定!$C72,月別入力!$D:$D,設定!M$9,月別入力!$B:$B,設定!$B72),0)</f>
        <v>0</v>
      </c>
      <c r="N72" s="8">
        <f>ROUND(SUMIFS(月別入力!$J:$J,月別入力!$F:$F,設定!$C72,月別入力!$D:$D,設定!N$9,月別入力!$B:$B,設定!$B72),0)</f>
        <v>0</v>
      </c>
      <c r="O72" s="8">
        <f>ROUND(SUMIFS(月別入力!$J:$J,月別入力!$F:$F,設定!$C72,月別入力!$D:$D,設定!O$9,月別入力!$B:$B,設定!$B72),0)</f>
        <v>0</v>
      </c>
      <c r="P72" s="8">
        <f>ROUND(SUMIFS(月別入力!$J:$J,月別入力!$F:$F,設定!$C72,月別入力!$D:$D,設定!P$9,月別入力!$B:$B,設定!$B72),0)</f>
        <v>0</v>
      </c>
      <c r="Q72" s="8">
        <f>ROUND(SUMIFS(月別入力!$J:$J,月別入力!$F:$F,設定!$C72,月別入力!$D:$D,設定!Q$9,月別入力!$B:$B,設定!$B72),0)</f>
        <v>0</v>
      </c>
      <c r="R72" s="8">
        <f>ROUND(SUMIFS(月別入力!$J:$J,月別入力!$F:$F,設定!$C72,月別入力!$D:$D,設定!R$9,月別入力!$B:$B,設定!$B72),0)</f>
        <v>0</v>
      </c>
      <c r="S72" s="8">
        <f>ROUND(SUMIFS(月別入力!$J:$J,月別入力!$F:$F,設定!$C72,月別入力!$D:$D,設定!S$9,月別入力!$B:$B,設定!$B72),0)</f>
        <v>0</v>
      </c>
      <c r="T72" s="8">
        <f>ROUND(SUMIFS(月別入力!$J:$J,月別入力!$F:$F,設定!$C72,月別入力!$D:$D,設定!T$9,月別入力!$B:$B,設定!$B72),0)</f>
        <v>0</v>
      </c>
      <c r="U72" s="8">
        <f>ROUND(SUMIFS(月別入力!$J:$J,月別入力!$F:$F,設定!$C72,月別入力!$D:$D,設定!U$9,月別入力!$B:$B,設定!$B72),0)</f>
        <v>0</v>
      </c>
      <c r="V72" s="8">
        <f>ROUND(SUMIFS(月別入力!$J:$J,月別入力!$F:$F,設定!$C72,月別入力!$D:$D,設定!V$9,月別入力!$B:$B,設定!$B72),0)</f>
        <v>0</v>
      </c>
      <c r="W72" s="9">
        <f>ROUND(SUMIFS(月別入力!$J:$J,月別入力!$F:$F,設定!$C72,月別入力!$D:$D,設定!W$9,月別入力!$B:$B,設定!$B72),0)</f>
        <v>0</v>
      </c>
    </row>
    <row r="73" spans="2:23" s="3" customFormat="1" ht="15" customHeight="1" x14ac:dyDescent="0.2">
      <c r="B73" s="37" t="str">
        <f t="shared" si="2"/>
        <v>&lt;=12</v>
      </c>
      <c r="C73" s="20"/>
      <c r="D73" s="6"/>
      <c r="E73" s="10"/>
      <c r="F73" s="11"/>
      <c r="G73" s="24">
        <f t="shared" si="0"/>
        <v>0</v>
      </c>
      <c r="H73" s="26">
        <f t="shared" si="1"/>
        <v>0</v>
      </c>
      <c r="I73" s="26">
        <f>ROUND(SUMIFS(月別入力!$J:$J,月別入力!$F:$F,設定!$C73,月別入力!$D:$D,設定!I$9,月別入力!$B:$B,設定!$B73),0)</f>
        <v>0</v>
      </c>
      <c r="J73" s="5">
        <f t="shared" si="3"/>
        <v>0</v>
      </c>
      <c r="K73" s="8">
        <f>ROUND(SUMIFS(月別入力!$J:$J,月別入力!$F:$F,設定!$C73,月別入力!$D:$D,設定!K$9,月別入力!$B:$B,設定!$B73),0)</f>
        <v>0</v>
      </c>
      <c r="L73" s="8">
        <f>ROUND(SUMIFS(月別入力!$J:$J,月別入力!$F:$F,設定!$C73,月別入力!$D:$D,設定!L$9,月別入力!$B:$B,設定!$B73),0)</f>
        <v>0</v>
      </c>
      <c r="M73" s="8">
        <f>ROUND(SUMIFS(月別入力!$J:$J,月別入力!$F:$F,設定!$C73,月別入力!$D:$D,設定!M$9,月別入力!$B:$B,設定!$B73),0)</f>
        <v>0</v>
      </c>
      <c r="N73" s="8">
        <f>ROUND(SUMIFS(月別入力!$J:$J,月別入力!$F:$F,設定!$C73,月別入力!$D:$D,設定!N$9,月別入力!$B:$B,設定!$B73),0)</f>
        <v>0</v>
      </c>
      <c r="O73" s="8">
        <f>ROUND(SUMIFS(月別入力!$J:$J,月別入力!$F:$F,設定!$C73,月別入力!$D:$D,設定!O$9,月別入力!$B:$B,設定!$B73),0)</f>
        <v>0</v>
      </c>
      <c r="P73" s="8">
        <f>ROUND(SUMIFS(月別入力!$J:$J,月別入力!$F:$F,設定!$C73,月別入力!$D:$D,設定!P$9,月別入力!$B:$B,設定!$B73),0)</f>
        <v>0</v>
      </c>
      <c r="Q73" s="8">
        <f>ROUND(SUMIFS(月別入力!$J:$J,月別入力!$F:$F,設定!$C73,月別入力!$D:$D,設定!Q$9,月別入力!$B:$B,設定!$B73),0)</f>
        <v>0</v>
      </c>
      <c r="R73" s="8">
        <f>ROUND(SUMIFS(月別入力!$J:$J,月別入力!$F:$F,設定!$C73,月別入力!$D:$D,設定!R$9,月別入力!$B:$B,設定!$B73),0)</f>
        <v>0</v>
      </c>
      <c r="S73" s="8">
        <f>ROUND(SUMIFS(月別入力!$J:$J,月別入力!$F:$F,設定!$C73,月別入力!$D:$D,設定!S$9,月別入力!$B:$B,設定!$B73),0)</f>
        <v>0</v>
      </c>
      <c r="T73" s="8">
        <f>ROUND(SUMIFS(月別入力!$J:$J,月別入力!$F:$F,設定!$C73,月別入力!$D:$D,設定!T$9,月別入力!$B:$B,設定!$B73),0)</f>
        <v>0</v>
      </c>
      <c r="U73" s="8">
        <f>ROUND(SUMIFS(月別入力!$J:$J,月別入力!$F:$F,設定!$C73,月別入力!$D:$D,設定!U$9,月別入力!$B:$B,設定!$B73),0)</f>
        <v>0</v>
      </c>
      <c r="V73" s="8">
        <f>ROUND(SUMIFS(月別入力!$J:$J,月別入力!$F:$F,設定!$C73,月別入力!$D:$D,設定!V$9,月別入力!$B:$B,設定!$B73),0)</f>
        <v>0</v>
      </c>
      <c r="W73" s="9">
        <f>ROUND(SUMIFS(月別入力!$J:$J,月別入力!$F:$F,設定!$C73,月別入力!$D:$D,設定!W$9,月別入力!$B:$B,設定!$B73),0)</f>
        <v>0</v>
      </c>
    </row>
    <row r="74" spans="2:23" s="3" customFormat="1" ht="15" customHeight="1" x14ac:dyDescent="0.2">
      <c r="B74" s="37" t="str">
        <f t="shared" si="2"/>
        <v>&lt;=12</v>
      </c>
      <c r="C74" s="20"/>
      <c r="D74" s="6"/>
      <c r="E74" s="10"/>
      <c r="F74" s="11"/>
      <c r="G74" s="24">
        <f t="shared" si="0"/>
        <v>0</v>
      </c>
      <c r="H74" s="26">
        <f t="shared" si="1"/>
        <v>0</v>
      </c>
      <c r="I74" s="26">
        <f>ROUND(SUMIFS(月別入力!$J:$J,月別入力!$F:$F,設定!$C74,月別入力!$D:$D,設定!I$9,月別入力!$B:$B,設定!$B74),0)</f>
        <v>0</v>
      </c>
      <c r="J74" s="5">
        <f t="shared" si="3"/>
        <v>0</v>
      </c>
      <c r="K74" s="8">
        <f>ROUND(SUMIFS(月別入力!$J:$J,月別入力!$F:$F,設定!$C74,月別入力!$D:$D,設定!K$9,月別入力!$B:$B,設定!$B74),0)</f>
        <v>0</v>
      </c>
      <c r="L74" s="8">
        <f>ROUND(SUMIFS(月別入力!$J:$J,月別入力!$F:$F,設定!$C74,月別入力!$D:$D,設定!L$9,月別入力!$B:$B,設定!$B74),0)</f>
        <v>0</v>
      </c>
      <c r="M74" s="8">
        <f>ROUND(SUMIFS(月別入力!$J:$J,月別入力!$F:$F,設定!$C74,月別入力!$D:$D,設定!M$9,月別入力!$B:$B,設定!$B74),0)</f>
        <v>0</v>
      </c>
      <c r="N74" s="8">
        <f>ROUND(SUMIFS(月別入力!$J:$J,月別入力!$F:$F,設定!$C74,月別入力!$D:$D,設定!N$9,月別入力!$B:$B,設定!$B74),0)</f>
        <v>0</v>
      </c>
      <c r="O74" s="8">
        <f>ROUND(SUMIFS(月別入力!$J:$J,月別入力!$F:$F,設定!$C74,月別入力!$D:$D,設定!O$9,月別入力!$B:$B,設定!$B74),0)</f>
        <v>0</v>
      </c>
      <c r="P74" s="8">
        <f>ROUND(SUMIFS(月別入力!$J:$J,月別入力!$F:$F,設定!$C74,月別入力!$D:$D,設定!P$9,月別入力!$B:$B,設定!$B74),0)</f>
        <v>0</v>
      </c>
      <c r="Q74" s="8">
        <f>ROUND(SUMIFS(月別入力!$J:$J,月別入力!$F:$F,設定!$C74,月別入力!$D:$D,設定!Q$9,月別入力!$B:$B,設定!$B74),0)</f>
        <v>0</v>
      </c>
      <c r="R74" s="8">
        <f>ROUND(SUMIFS(月別入力!$J:$J,月別入力!$F:$F,設定!$C74,月別入力!$D:$D,設定!R$9,月別入力!$B:$B,設定!$B74),0)</f>
        <v>0</v>
      </c>
      <c r="S74" s="8">
        <f>ROUND(SUMIFS(月別入力!$J:$J,月別入力!$F:$F,設定!$C74,月別入力!$D:$D,設定!S$9,月別入力!$B:$B,設定!$B74),0)</f>
        <v>0</v>
      </c>
      <c r="T74" s="8">
        <f>ROUND(SUMIFS(月別入力!$J:$J,月別入力!$F:$F,設定!$C74,月別入力!$D:$D,設定!T$9,月別入力!$B:$B,設定!$B74),0)</f>
        <v>0</v>
      </c>
      <c r="U74" s="8">
        <f>ROUND(SUMIFS(月別入力!$J:$J,月別入力!$F:$F,設定!$C74,月別入力!$D:$D,設定!U$9,月別入力!$B:$B,設定!$B74),0)</f>
        <v>0</v>
      </c>
      <c r="V74" s="8">
        <f>ROUND(SUMIFS(月別入力!$J:$J,月別入力!$F:$F,設定!$C74,月別入力!$D:$D,設定!V$9,月別入力!$B:$B,設定!$B74),0)</f>
        <v>0</v>
      </c>
      <c r="W74" s="9">
        <f>ROUND(SUMIFS(月別入力!$J:$J,月別入力!$F:$F,設定!$C74,月別入力!$D:$D,設定!W$9,月別入力!$B:$B,設定!$B74),0)</f>
        <v>0</v>
      </c>
    </row>
    <row r="75" spans="2:23" s="3" customFormat="1" ht="15" customHeight="1" x14ac:dyDescent="0.2">
      <c r="B75" s="37" t="str">
        <f t="shared" si="2"/>
        <v>&lt;=12</v>
      </c>
      <c r="C75" s="20"/>
      <c r="D75" s="6"/>
      <c r="E75" s="10"/>
      <c r="F75" s="11"/>
      <c r="G75" s="24">
        <f t="shared" si="0"/>
        <v>0</v>
      </c>
      <c r="H75" s="26">
        <f t="shared" si="1"/>
        <v>0</v>
      </c>
      <c r="I75" s="26">
        <f>ROUND(SUMIFS(月別入力!$J:$J,月別入力!$F:$F,設定!$C75,月別入力!$D:$D,設定!I$9,月別入力!$B:$B,設定!$B75),0)</f>
        <v>0</v>
      </c>
      <c r="J75" s="5">
        <f t="shared" si="3"/>
        <v>0</v>
      </c>
      <c r="K75" s="8">
        <f>ROUND(SUMIFS(月別入力!$J:$J,月別入力!$F:$F,設定!$C75,月別入力!$D:$D,設定!K$9,月別入力!$B:$B,設定!$B75),0)</f>
        <v>0</v>
      </c>
      <c r="L75" s="8">
        <f>ROUND(SUMIFS(月別入力!$J:$J,月別入力!$F:$F,設定!$C75,月別入力!$D:$D,設定!L$9,月別入力!$B:$B,設定!$B75),0)</f>
        <v>0</v>
      </c>
      <c r="M75" s="8">
        <f>ROUND(SUMIFS(月別入力!$J:$J,月別入力!$F:$F,設定!$C75,月別入力!$D:$D,設定!M$9,月別入力!$B:$B,設定!$B75),0)</f>
        <v>0</v>
      </c>
      <c r="N75" s="8">
        <f>ROUND(SUMIFS(月別入力!$J:$J,月別入力!$F:$F,設定!$C75,月別入力!$D:$D,設定!N$9,月別入力!$B:$B,設定!$B75),0)</f>
        <v>0</v>
      </c>
      <c r="O75" s="8">
        <f>ROUND(SUMIFS(月別入力!$J:$J,月別入力!$F:$F,設定!$C75,月別入力!$D:$D,設定!O$9,月別入力!$B:$B,設定!$B75),0)</f>
        <v>0</v>
      </c>
      <c r="P75" s="8">
        <f>ROUND(SUMIFS(月別入力!$J:$J,月別入力!$F:$F,設定!$C75,月別入力!$D:$D,設定!P$9,月別入力!$B:$B,設定!$B75),0)</f>
        <v>0</v>
      </c>
      <c r="Q75" s="8">
        <f>ROUND(SUMIFS(月別入力!$J:$J,月別入力!$F:$F,設定!$C75,月別入力!$D:$D,設定!Q$9,月別入力!$B:$B,設定!$B75),0)</f>
        <v>0</v>
      </c>
      <c r="R75" s="8">
        <f>ROUND(SUMIFS(月別入力!$J:$J,月別入力!$F:$F,設定!$C75,月別入力!$D:$D,設定!R$9,月別入力!$B:$B,設定!$B75),0)</f>
        <v>0</v>
      </c>
      <c r="S75" s="8">
        <f>ROUND(SUMIFS(月別入力!$J:$J,月別入力!$F:$F,設定!$C75,月別入力!$D:$D,設定!S$9,月別入力!$B:$B,設定!$B75),0)</f>
        <v>0</v>
      </c>
      <c r="T75" s="8">
        <f>ROUND(SUMIFS(月別入力!$J:$J,月別入力!$F:$F,設定!$C75,月別入力!$D:$D,設定!T$9,月別入力!$B:$B,設定!$B75),0)</f>
        <v>0</v>
      </c>
      <c r="U75" s="8">
        <f>ROUND(SUMIFS(月別入力!$J:$J,月別入力!$F:$F,設定!$C75,月別入力!$D:$D,設定!U$9,月別入力!$B:$B,設定!$B75),0)</f>
        <v>0</v>
      </c>
      <c r="V75" s="8">
        <f>ROUND(SUMIFS(月別入力!$J:$J,月別入力!$F:$F,設定!$C75,月別入力!$D:$D,設定!V$9,月別入力!$B:$B,設定!$B75),0)</f>
        <v>0</v>
      </c>
      <c r="W75" s="9">
        <f>ROUND(SUMIFS(月別入力!$J:$J,月別入力!$F:$F,設定!$C75,月別入力!$D:$D,設定!W$9,月別入力!$B:$B,設定!$B75),0)</f>
        <v>0</v>
      </c>
    </row>
    <row r="76" spans="2:23" s="3" customFormat="1" ht="15" customHeight="1" x14ac:dyDescent="0.2">
      <c r="B76" s="37" t="str">
        <f t="shared" si="2"/>
        <v>&lt;=12</v>
      </c>
      <c r="C76" s="20"/>
      <c r="D76" s="6"/>
      <c r="E76" s="10"/>
      <c r="F76" s="11"/>
      <c r="G76" s="24">
        <f t="shared" ref="G76:G111" si="4">SUM(H76,V76)</f>
        <v>0</v>
      </c>
      <c r="H76" s="26">
        <f t="shared" ref="H76:H111" si="5">SUM(I76,J76,U76)</f>
        <v>0</v>
      </c>
      <c r="I76" s="26">
        <f>ROUND(SUMIFS(月別入力!$J:$J,月別入力!$F:$F,設定!$C76,月別入力!$D:$D,設定!I$9,月別入力!$B:$B,設定!$B76),0)</f>
        <v>0</v>
      </c>
      <c r="J76" s="5">
        <f t="shared" ref="J76:J111" si="6">SUM(K76:T76)</f>
        <v>0</v>
      </c>
      <c r="K76" s="8">
        <f>ROUND(SUMIFS(月別入力!$J:$J,月別入力!$F:$F,設定!$C76,月別入力!$D:$D,設定!K$9,月別入力!$B:$B,設定!$B76),0)</f>
        <v>0</v>
      </c>
      <c r="L76" s="8">
        <f>ROUND(SUMIFS(月別入力!$J:$J,月別入力!$F:$F,設定!$C76,月別入力!$D:$D,設定!L$9,月別入力!$B:$B,設定!$B76),0)</f>
        <v>0</v>
      </c>
      <c r="M76" s="8">
        <f>ROUND(SUMIFS(月別入力!$J:$J,月別入力!$F:$F,設定!$C76,月別入力!$D:$D,設定!M$9,月別入力!$B:$B,設定!$B76),0)</f>
        <v>0</v>
      </c>
      <c r="N76" s="8">
        <f>ROUND(SUMIFS(月別入力!$J:$J,月別入力!$F:$F,設定!$C76,月別入力!$D:$D,設定!N$9,月別入力!$B:$B,設定!$B76),0)</f>
        <v>0</v>
      </c>
      <c r="O76" s="8">
        <f>ROUND(SUMIFS(月別入力!$J:$J,月別入力!$F:$F,設定!$C76,月別入力!$D:$D,設定!O$9,月別入力!$B:$B,設定!$B76),0)</f>
        <v>0</v>
      </c>
      <c r="P76" s="8">
        <f>ROUND(SUMIFS(月別入力!$J:$J,月別入力!$F:$F,設定!$C76,月別入力!$D:$D,設定!P$9,月別入力!$B:$B,設定!$B76),0)</f>
        <v>0</v>
      </c>
      <c r="Q76" s="8">
        <f>ROUND(SUMIFS(月別入力!$J:$J,月別入力!$F:$F,設定!$C76,月別入力!$D:$D,設定!Q$9,月別入力!$B:$B,設定!$B76),0)</f>
        <v>0</v>
      </c>
      <c r="R76" s="8">
        <f>ROUND(SUMIFS(月別入力!$J:$J,月別入力!$F:$F,設定!$C76,月別入力!$D:$D,設定!R$9,月別入力!$B:$B,設定!$B76),0)</f>
        <v>0</v>
      </c>
      <c r="S76" s="8">
        <f>ROUND(SUMIFS(月別入力!$J:$J,月別入力!$F:$F,設定!$C76,月別入力!$D:$D,設定!S$9,月別入力!$B:$B,設定!$B76),0)</f>
        <v>0</v>
      </c>
      <c r="T76" s="8">
        <f>ROUND(SUMIFS(月別入力!$J:$J,月別入力!$F:$F,設定!$C76,月別入力!$D:$D,設定!T$9,月別入力!$B:$B,設定!$B76),0)</f>
        <v>0</v>
      </c>
      <c r="U76" s="8">
        <f>ROUND(SUMIFS(月別入力!$J:$J,月別入力!$F:$F,設定!$C76,月別入力!$D:$D,設定!U$9,月別入力!$B:$B,設定!$B76),0)</f>
        <v>0</v>
      </c>
      <c r="V76" s="8">
        <f>ROUND(SUMIFS(月別入力!$J:$J,月別入力!$F:$F,設定!$C76,月別入力!$D:$D,設定!V$9,月別入力!$B:$B,設定!$B76),0)</f>
        <v>0</v>
      </c>
      <c r="W76" s="9">
        <f>ROUND(SUMIFS(月別入力!$J:$J,月別入力!$F:$F,設定!$C76,月別入力!$D:$D,設定!W$9,月別入力!$B:$B,設定!$B76),0)</f>
        <v>0</v>
      </c>
    </row>
    <row r="77" spans="2:23" s="3" customFormat="1" ht="15" customHeight="1" x14ac:dyDescent="0.2">
      <c r="B77" s="37" t="str">
        <f t="shared" ref="B77:B111" si="7">B$11</f>
        <v>&lt;=12</v>
      </c>
      <c r="C77" s="20"/>
      <c r="D77" s="6"/>
      <c r="E77" s="10"/>
      <c r="F77" s="11"/>
      <c r="G77" s="24">
        <f t="shared" si="4"/>
        <v>0</v>
      </c>
      <c r="H77" s="26">
        <f t="shared" si="5"/>
        <v>0</v>
      </c>
      <c r="I77" s="26">
        <f>ROUND(SUMIFS(月別入力!$J:$J,月別入力!$F:$F,設定!$C77,月別入力!$D:$D,設定!I$9,月別入力!$B:$B,設定!$B77),0)</f>
        <v>0</v>
      </c>
      <c r="J77" s="5">
        <f t="shared" si="6"/>
        <v>0</v>
      </c>
      <c r="K77" s="8">
        <f>ROUND(SUMIFS(月別入力!$J:$J,月別入力!$F:$F,設定!$C77,月別入力!$D:$D,設定!K$9,月別入力!$B:$B,設定!$B77),0)</f>
        <v>0</v>
      </c>
      <c r="L77" s="8">
        <f>ROUND(SUMIFS(月別入力!$J:$J,月別入力!$F:$F,設定!$C77,月別入力!$D:$D,設定!L$9,月別入力!$B:$B,設定!$B77),0)</f>
        <v>0</v>
      </c>
      <c r="M77" s="8">
        <f>ROUND(SUMIFS(月別入力!$J:$J,月別入力!$F:$F,設定!$C77,月別入力!$D:$D,設定!M$9,月別入力!$B:$B,設定!$B77),0)</f>
        <v>0</v>
      </c>
      <c r="N77" s="8">
        <f>ROUND(SUMIFS(月別入力!$J:$J,月別入力!$F:$F,設定!$C77,月別入力!$D:$D,設定!N$9,月別入力!$B:$B,設定!$B77),0)</f>
        <v>0</v>
      </c>
      <c r="O77" s="8">
        <f>ROUND(SUMIFS(月別入力!$J:$J,月別入力!$F:$F,設定!$C77,月別入力!$D:$D,設定!O$9,月別入力!$B:$B,設定!$B77),0)</f>
        <v>0</v>
      </c>
      <c r="P77" s="8">
        <f>ROUND(SUMIFS(月別入力!$J:$J,月別入力!$F:$F,設定!$C77,月別入力!$D:$D,設定!P$9,月別入力!$B:$B,設定!$B77),0)</f>
        <v>0</v>
      </c>
      <c r="Q77" s="8">
        <f>ROUND(SUMIFS(月別入力!$J:$J,月別入力!$F:$F,設定!$C77,月別入力!$D:$D,設定!Q$9,月別入力!$B:$B,設定!$B77),0)</f>
        <v>0</v>
      </c>
      <c r="R77" s="8">
        <f>ROUND(SUMIFS(月別入力!$J:$J,月別入力!$F:$F,設定!$C77,月別入力!$D:$D,設定!R$9,月別入力!$B:$B,設定!$B77),0)</f>
        <v>0</v>
      </c>
      <c r="S77" s="8">
        <f>ROUND(SUMIFS(月別入力!$J:$J,月別入力!$F:$F,設定!$C77,月別入力!$D:$D,設定!S$9,月別入力!$B:$B,設定!$B77),0)</f>
        <v>0</v>
      </c>
      <c r="T77" s="8">
        <f>ROUND(SUMIFS(月別入力!$J:$J,月別入力!$F:$F,設定!$C77,月別入力!$D:$D,設定!T$9,月別入力!$B:$B,設定!$B77),0)</f>
        <v>0</v>
      </c>
      <c r="U77" s="8">
        <f>ROUND(SUMIFS(月別入力!$J:$J,月別入力!$F:$F,設定!$C77,月別入力!$D:$D,設定!U$9,月別入力!$B:$B,設定!$B77),0)</f>
        <v>0</v>
      </c>
      <c r="V77" s="8">
        <f>ROUND(SUMIFS(月別入力!$J:$J,月別入力!$F:$F,設定!$C77,月別入力!$D:$D,設定!V$9,月別入力!$B:$B,設定!$B77),0)</f>
        <v>0</v>
      </c>
      <c r="W77" s="9">
        <f>ROUND(SUMIFS(月別入力!$J:$J,月別入力!$F:$F,設定!$C77,月別入力!$D:$D,設定!W$9,月別入力!$B:$B,設定!$B77),0)</f>
        <v>0</v>
      </c>
    </row>
    <row r="78" spans="2:23" s="3" customFormat="1" ht="15" customHeight="1" x14ac:dyDescent="0.2">
      <c r="B78" s="37" t="str">
        <f t="shared" si="7"/>
        <v>&lt;=12</v>
      </c>
      <c r="C78" s="20"/>
      <c r="D78" s="6"/>
      <c r="E78" s="10"/>
      <c r="F78" s="11"/>
      <c r="G78" s="24">
        <f t="shared" si="4"/>
        <v>0</v>
      </c>
      <c r="H78" s="26">
        <f t="shared" si="5"/>
        <v>0</v>
      </c>
      <c r="I78" s="26">
        <f>ROUND(SUMIFS(月別入力!$J:$J,月別入力!$F:$F,設定!$C78,月別入力!$D:$D,設定!I$9,月別入力!$B:$B,設定!$B78),0)</f>
        <v>0</v>
      </c>
      <c r="J78" s="5">
        <f t="shared" si="6"/>
        <v>0</v>
      </c>
      <c r="K78" s="8">
        <f>ROUND(SUMIFS(月別入力!$J:$J,月別入力!$F:$F,設定!$C78,月別入力!$D:$D,設定!K$9,月別入力!$B:$B,設定!$B78),0)</f>
        <v>0</v>
      </c>
      <c r="L78" s="8">
        <f>ROUND(SUMIFS(月別入力!$J:$J,月別入力!$F:$F,設定!$C78,月別入力!$D:$D,設定!L$9,月別入力!$B:$B,設定!$B78),0)</f>
        <v>0</v>
      </c>
      <c r="M78" s="8">
        <f>ROUND(SUMIFS(月別入力!$J:$J,月別入力!$F:$F,設定!$C78,月別入力!$D:$D,設定!M$9,月別入力!$B:$B,設定!$B78),0)</f>
        <v>0</v>
      </c>
      <c r="N78" s="8">
        <f>ROUND(SUMIFS(月別入力!$J:$J,月別入力!$F:$F,設定!$C78,月別入力!$D:$D,設定!N$9,月別入力!$B:$B,設定!$B78),0)</f>
        <v>0</v>
      </c>
      <c r="O78" s="8">
        <f>ROUND(SUMIFS(月別入力!$J:$J,月別入力!$F:$F,設定!$C78,月別入力!$D:$D,設定!O$9,月別入力!$B:$B,設定!$B78),0)</f>
        <v>0</v>
      </c>
      <c r="P78" s="8">
        <f>ROUND(SUMIFS(月別入力!$J:$J,月別入力!$F:$F,設定!$C78,月別入力!$D:$D,設定!P$9,月別入力!$B:$B,設定!$B78),0)</f>
        <v>0</v>
      </c>
      <c r="Q78" s="8">
        <f>ROUND(SUMIFS(月別入力!$J:$J,月別入力!$F:$F,設定!$C78,月別入力!$D:$D,設定!Q$9,月別入力!$B:$B,設定!$B78),0)</f>
        <v>0</v>
      </c>
      <c r="R78" s="8">
        <f>ROUND(SUMIFS(月別入力!$J:$J,月別入力!$F:$F,設定!$C78,月別入力!$D:$D,設定!R$9,月別入力!$B:$B,設定!$B78),0)</f>
        <v>0</v>
      </c>
      <c r="S78" s="8">
        <f>ROUND(SUMIFS(月別入力!$J:$J,月別入力!$F:$F,設定!$C78,月別入力!$D:$D,設定!S$9,月別入力!$B:$B,設定!$B78),0)</f>
        <v>0</v>
      </c>
      <c r="T78" s="8">
        <f>ROUND(SUMIFS(月別入力!$J:$J,月別入力!$F:$F,設定!$C78,月別入力!$D:$D,設定!T$9,月別入力!$B:$B,設定!$B78),0)</f>
        <v>0</v>
      </c>
      <c r="U78" s="8">
        <f>ROUND(SUMIFS(月別入力!$J:$J,月別入力!$F:$F,設定!$C78,月別入力!$D:$D,設定!U$9,月別入力!$B:$B,設定!$B78),0)</f>
        <v>0</v>
      </c>
      <c r="V78" s="8">
        <f>ROUND(SUMIFS(月別入力!$J:$J,月別入力!$F:$F,設定!$C78,月別入力!$D:$D,設定!V$9,月別入力!$B:$B,設定!$B78),0)</f>
        <v>0</v>
      </c>
      <c r="W78" s="9">
        <f>ROUND(SUMIFS(月別入力!$J:$J,月別入力!$F:$F,設定!$C78,月別入力!$D:$D,設定!W$9,月別入力!$B:$B,設定!$B78),0)</f>
        <v>0</v>
      </c>
    </row>
    <row r="79" spans="2:23" s="3" customFormat="1" ht="15" customHeight="1" x14ac:dyDescent="0.2">
      <c r="B79" s="37" t="str">
        <f t="shared" si="7"/>
        <v>&lt;=12</v>
      </c>
      <c r="C79" s="20"/>
      <c r="D79" s="6"/>
      <c r="E79" s="10"/>
      <c r="F79" s="11"/>
      <c r="G79" s="24">
        <f t="shared" si="4"/>
        <v>0</v>
      </c>
      <c r="H79" s="26">
        <f t="shared" si="5"/>
        <v>0</v>
      </c>
      <c r="I79" s="26">
        <f>ROUND(SUMIFS(月別入力!$J:$J,月別入力!$F:$F,設定!$C79,月別入力!$D:$D,設定!I$9,月別入力!$B:$B,設定!$B79),0)</f>
        <v>0</v>
      </c>
      <c r="J79" s="5">
        <f t="shared" si="6"/>
        <v>0</v>
      </c>
      <c r="K79" s="8">
        <f>ROUND(SUMIFS(月別入力!$J:$J,月別入力!$F:$F,設定!$C79,月別入力!$D:$D,設定!K$9,月別入力!$B:$B,設定!$B79),0)</f>
        <v>0</v>
      </c>
      <c r="L79" s="8">
        <f>ROUND(SUMIFS(月別入力!$J:$J,月別入力!$F:$F,設定!$C79,月別入力!$D:$D,設定!L$9,月別入力!$B:$B,設定!$B79),0)</f>
        <v>0</v>
      </c>
      <c r="M79" s="8">
        <f>ROUND(SUMIFS(月別入力!$J:$J,月別入力!$F:$F,設定!$C79,月別入力!$D:$D,設定!M$9,月別入力!$B:$B,設定!$B79),0)</f>
        <v>0</v>
      </c>
      <c r="N79" s="8">
        <f>ROUND(SUMIFS(月別入力!$J:$J,月別入力!$F:$F,設定!$C79,月別入力!$D:$D,設定!N$9,月別入力!$B:$B,設定!$B79),0)</f>
        <v>0</v>
      </c>
      <c r="O79" s="8">
        <f>ROUND(SUMIFS(月別入力!$J:$J,月別入力!$F:$F,設定!$C79,月別入力!$D:$D,設定!O$9,月別入力!$B:$B,設定!$B79),0)</f>
        <v>0</v>
      </c>
      <c r="P79" s="8">
        <f>ROUND(SUMIFS(月別入力!$J:$J,月別入力!$F:$F,設定!$C79,月別入力!$D:$D,設定!P$9,月別入力!$B:$B,設定!$B79),0)</f>
        <v>0</v>
      </c>
      <c r="Q79" s="8">
        <f>ROUND(SUMIFS(月別入力!$J:$J,月別入力!$F:$F,設定!$C79,月別入力!$D:$D,設定!Q$9,月別入力!$B:$B,設定!$B79),0)</f>
        <v>0</v>
      </c>
      <c r="R79" s="8">
        <f>ROUND(SUMIFS(月別入力!$J:$J,月別入力!$F:$F,設定!$C79,月別入力!$D:$D,設定!R$9,月別入力!$B:$B,設定!$B79),0)</f>
        <v>0</v>
      </c>
      <c r="S79" s="8">
        <f>ROUND(SUMIFS(月別入力!$J:$J,月別入力!$F:$F,設定!$C79,月別入力!$D:$D,設定!S$9,月別入力!$B:$B,設定!$B79),0)</f>
        <v>0</v>
      </c>
      <c r="T79" s="8">
        <f>ROUND(SUMIFS(月別入力!$J:$J,月別入力!$F:$F,設定!$C79,月別入力!$D:$D,設定!T$9,月別入力!$B:$B,設定!$B79),0)</f>
        <v>0</v>
      </c>
      <c r="U79" s="8">
        <f>ROUND(SUMIFS(月別入力!$J:$J,月別入力!$F:$F,設定!$C79,月別入力!$D:$D,設定!U$9,月別入力!$B:$B,設定!$B79),0)</f>
        <v>0</v>
      </c>
      <c r="V79" s="8">
        <f>ROUND(SUMIFS(月別入力!$J:$J,月別入力!$F:$F,設定!$C79,月別入力!$D:$D,設定!V$9,月別入力!$B:$B,設定!$B79),0)</f>
        <v>0</v>
      </c>
      <c r="W79" s="9">
        <f>ROUND(SUMIFS(月別入力!$J:$J,月別入力!$F:$F,設定!$C79,月別入力!$D:$D,設定!W$9,月別入力!$B:$B,設定!$B79),0)</f>
        <v>0</v>
      </c>
    </row>
    <row r="80" spans="2:23" s="3" customFormat="1" ht="15" customHeight="1" x14ac:dyDescent="0.2">
      <c r="B80" s="37" t="str">
        <f t="shared" si="7"/>
        <v>&lt;=12</v>
      </c>
      <c r="C80" s="20"/>
      <c r="D80" s="6"/>
      <c r="E80" s="10"/>
      <c r="F80" s="11"/>
      <c r="G80" s="24">
        <f t="shared" si="4"/>
        <v>0</v>
      </c>
      <c r="H80" s="26">
        <f t="shared" si="5"/>
        <v>0</v>
      </c>
      <c r="I80" s="26">
        <f>ROUND(SUMIFS(月別入力!$J:$J,月別入力!$F:$F,設定!$C80,月別入力!$D:$D,設定!I$9,月別入力!$B:$B,設定!$B80),0)</f>
        <v>0</v>
      </c>
      <c r="J80" s="5">
        <f t="shared" si="6"/>
        <v>0</v>
      </c>
      <c r="K80" s="8">
        <f>ROUND(SUMIFS(月別入力!$J:$J,月別入力!$F:$F,設定!$C80,月別入力!$D:$D,設定!K$9,月別入力!$B:$B,設定!$B80),0)</f>
        <v>0</v>
      </c>
      <c r="L80" s="8">
        <f>ROUND(SUMIFS(月別入力!$J:$J,月別入力!$F:$F,設定!$C80,月別入力!$D:$D,設定!L$9,月別入力!$B:$B,設定!$B80),0)</f>
        <v>0</v>
      </c>
      <c r="M80" s="8">
        <f>ROUND(SUMIFS(月別入力!$J:$J,月別入力!$F:$F,設定!$C80,月別入力!$D:$D,設定!M$9,月別入力!$B:$B,設定!$B80),0)</f>
        <v>0</v>
      </c>
      <c r="N80" s="8">
        <f>ROUND(SUMIFS(月別入力!$J:$J,月別入力!$F:$F,設定!$C80,月別入力!$D:$D,設定!N$9,月別入力!$B:$B,設定!$B80),0)</f>
        <v>0</v>
      </c>
      <c r="O80" s="8">
        <f>ROUND(SUMIFS(月別入力!$J:$J,月別入力!$F:$F,設定!$C80,月別入力!$D:$D,設定!O$9,月別入力!$B:$B,設定!$B80),0)</f>
        <v>0</v>
      </c>
      <c r="P80" s="8">
        <f>ROUND(SUMIFS(月別入力!$J:$J,月別入力!$F:$F,設定!$C80,月別入力!$D:$D,設定!P$9,月別入力!$B:$B,設定!$B80),0)</f>
        <v>0</v>
      </c>
      <c r="Q80" s="8">
        <f>ROUND(SUMIFS(月別入力!$J:$J,月別入力!$F:$F,設定!$C80,月別入力!$D:$D,設定!Q$9,月別入力!$B:$B,設定!$B80),0)</f>
        <v>0</v>
      </c>
      <c r="R80" s="8">
        <f>ROUND(SUMIFS(月別入力!$J:$J,月別入力!$F:$F,設定!$C80,月別入力!$D:$D,設定!R$9,月別入力!$B:$B,設定!$B80),0)</f>
        <v>0</v>
      </c>
      <c r="S80" s="8">
        <f>ROUND(SUMIFS(月別入力!$J:$J,月別入力!$F:$F,設定!$C80,月別入力!$D:$D,設定!S$9,月別入力!$B:$B,設定!$B80),0)</f>
        <v>0</v>
      </c>
      <c r="T80" s="8">
        <f>ROUND(SUMIFS(月別入力!$J:$J,月別入力!$F:$F,設定!$C80,月別入力!$D:$D,設定!T$9,月別入力!$B:$B,設定!$B80),0)</f>
        <v>0</v>
      </c>
      <c r="U80" s="8">
        <f>ROUND(SUMIFS(月別入力!$J:$J,月別入力!$F:$F,設定!$C80,月別入力!$D:$D,設定!U$9,月別入力!$B:$B,設定!$B80),0)</f>
        <v>0</v>
      </c>
      <c r="V80" s="8">
        <f>ROUND(SUMIFS(月別入力!$J:$J,月別入力!$F:$F,設定!$C80,月別入力!$D:$D,設定!V$9,月別入力!$B:$B,設定!$B80),0)</f>
        <v>0</v>
      </c>
      <c r="W80" s="9">
        <f>ROUND(SUMIFS(月別入力!$J:$J,月別入力!$F:$F,設定!$C80,月別入力!$D:$D,設定!W$9,月別入力!$B:$B,設定!$B80),0)</f>
        <v>0</v>
      </c>
    </row>
    <row r="81" spans="2:23" s="3" customFormat="1" ht="15" customHeight="1" x14ac:dyDescent="0.2">
      <c r="B81" s="37" t="str">
        <f t="shared" si="7"/>
        <v>&lt;=12</v>
      </c>
      <c r="C81" s="20"/>
      <c r="D81" s="6"/>
      <c r="E81" s="10"/>
      <c r="F81" s="11"/>
      <c r="G81" s="24">
        <f t="shared" si="4"/>
        <v>0</v>
      </c>
      <c r="H81" s="26">
        <f t="shared" si="5"/>
        <v>0</v>
      </c>
      <c r="I81" s="26">
        <f>ROUND(SUMIFS(月別入力!$J:$J,月別入力!$F:$F,設定!$C81,月別入力!$D:$D,設定!I$9,月別入力!$B:$B,設定!$B81),0)</f>
        <v>0</v>
      </c>
      <c r="J81" s="5">
        <f t="shared" si="6"/>
        <v>0</v>
      </c>
      <c r="K81" s="8">
        <f>ROUND(SUMIFS(月別入力!$J:$J,月別入力!$F:$F,設定!$C81,月別入力!$D:$D,設定!K$9,月別入力!$B:$B,設定!$B81),0)</f>
        <v>0</v>
      </c>
      <c r="L81" s="8">
        <f>ROUND(SUMIFS(月別入力!$J:$J,月別入力!$F:$F,設定!$C81,月別入力!$D:$D,設定!L$9,月別入力!$B:$B,設定!$B81),0)</f>
        <v>0</v>
      </c>
      <c r="M81" s="8">
        <f>ROUND(SUMIFS(月別入力!$J:$J,月別入力!$F:$F,設定!$C81,月別入力!$D:$D,設定!M$9,月別入力!$B:$B,設定!$B81),0)</f>
        <v>0</v>
      </c>
      <c r="N81" s="8">
        <f>ROUND(SUMIFS(月別入力!$J:$J,月別入力!$F:$F,設定!$C81,月別入力!$D:$D,設定!N$9,月別入力!$B:$B,設定!$B81),0)</f>
        <v>0</v>
      </c>
      <c r="O81" s="8">
        <f>ROUND(SUMIFS(月別入力!$J:$J,月別入力!$F:$F,設定!$C81,月別入力!$D:$D,設定!O$9,月別入力!$B:$B,設定!$B81),0)</f>
        <v>0</v>
      </c>
      <c r="P81" s="8">
        <f>ROUND(SUMIFS(月別入力!$J:$J,月別入力!$F:$F,設定!$C81,月別入力!$D:$D,設定!P$9,月別入力!$B:$B,設定!$B81),0)</f>
        <v>0</v>
      </c>
      <c r="Q81" s="8">
        <f>ROUND(SUMIFS(月別入力!$J:$J,月別入力!$F:$F,設定!$C81,月別入力!$D:$D,設定!Q$9,月別入力!$B:$B,設定!$B81),0)</f>
        <v>0</v>
      </c>
      <c r="R81" s="8">
        <f>ROUND(SUMIFS(月別入力!$J:$J,月別入力!$F:$F,設定!$C81,月別入力!$D:$D,設定!R$9,月別入力!$B:$B,設定!$B81),0)</f>
        <v>0</v>
      </c>
      <c r="S81" s="8">
        <f>ROUND(SUMIFS(月別入力!$J:$J,月別入力!$F:$F,設定!$C81,月別入力!$D:$D,設定!S$9,月別入力!$B:$B,設定!$B81),0)</f>
        <v>0</v>
      </c>
      <c r="T81" s="8">
        <f>ROUND(SUMIFS(月別入力!$J:$J,月別入力!$F:$F,設定!$C81,月別入力!$D:$D,設定!T$9,月別入力!$B:$B,設定!$B81),0)</f>
        <v>0</v>
      </c>
      <c r="U81" s="8">
        <f>ROUND(SUMIFS(月別入力!$J:$J,月別入力!$F:$F,設定!$C81,月別入力!$D:$D,設定!U$9,月別入力!$B:$B,設定!$B81),0)</f>
        <v>0</v>
      </c>
      <c r="V81" s="8">
        <f>ROUND(SUMIFS(月別入力!$J:$J,月別入力!$F:$F,設定!$C81,月別入力!$D:$D,設定!V$9,月別入力!$B:$B,設定!$B81),0)</f>
        <v>0</v>
      </c>
      <c r="W81" s="9">
        <f>ROUND(SUMIFS(月別入力!$J:$J,月別入力!$F:$F,設定!$C81,月別入力!$D:$D,設定!W$9,月別入力!$B:$B,設定!$B81),0)</f>
        <v>0</v>
      </c>
    </row>
    <row r="82" spans="2:23" s="3" customFormat="1" ht="15" customHeight="1" x14ac:dyDescent="0.2">
      <c r="B82" s="37" t="str">
        <f t="shared" si="7"/>
        <v>&lt;=12</v>
      </c>
      <c r="C82" s="20"/>
      <c r="D82" s="6"/>
      <c r="E82" s="10"/>
      <c r="F82" s="11"/>
      <c r="G82" s="24">
        <f t="shared" si="4"/>
        <v>0</v>
      </c>
      <c r="H82" s="26">
        <f t="shared" si="5"/>
        <v>0</v>
      </c>
      <c r="I82" s="26">
        <f>ROUND(SUMIFS(月別入力!$J:$J,月別入力!$F:$F,設定!$C82,月別入力!$D:$D,設定!I$9,月別入力!$B:$B,設定!$B82),0)</f>
        <v>0</v>
      </c>
      <c r="J82" s="5">
        <f t="shared" si="6"/>
        <v>0</v>
      </c>
      <c r="K82" s="8">
        <f>ROUND(SUMIFS(月別入力!$J:$J,月別入力!$F:$F,設定!$C82,月別入力!$D:$D,設定!K$9,月別入力!$B:$B,設定!$B82),0)</f>
        <v>0</v>
      </c>
      <c r="L82" s="8">
        <f>ROUND(SUMIFS(月別入力!$J:$J,月別入力!$F:$F,設定!$C82,月別入力!$D:$D,設定!L$9,月別入力!$B:$B,設定!$B82),0)</f>
        <v>0</v>
      </c>
      <c r="M82" s="8">
        <f>ROUND(SUMIFS(月別入力!$J:$J,月別入力!$F:$F,設定!$C82,月別入力!$D:$D,設定!M$9,月別入力!$B:$B,設定!$B82),0)</f>
        <v>0</v>
      </c>
      <c r="N82" s="8">
        <f>ROUND(SUMIFS(月別入力!$J:$J,月別入力!$F:$F,設定!$C82,月別入力!$D:$D,設定!N$9,月別入力!$B:$B,設定!$B82),0)</f>
        <v>0</v>
      </c>
      <c r="O82" s="8">
        <f>ROUND(SUMIFS(月別入力!$J:$J,月別入力!$F:$F,設定!$C82,月別入力!$D:$D,設定!O$9,月別入力!$B:$B,設定!$B82),0)</f>
        <v>0</v>
      </c>
      <c r="P82" s="8">
        <f>ROUND(SUMIFS(月別入力!$J:$J,月別入力!$F:$F,設定!$C82,月別入力!$D:$D,設定!P$9,月別入力!$B:$B,設定!$B82),0)</f>
        <v>0</v>
      </c>
      <c r="Q82" s="8">
        <f>ROUND(SUMIFS(月別入力!$J:$J,月別入力!$F:$F,設定!$C82,月別入力!$D:$D,設定!Q$9,月別入力!$B:$B,設定!$B82),0)</f>
        <v>0</v>
      </c>
      <c r="R82" s="8">
        <f>ROUND(SUMIFS(月別入力!$J:$J,月別入力!$F:$F,設定!$C82,月別入力!$D:$D,設定!R$9,月別入力!$B:$B,設定!$B82),0)</f>
        <v>0</v>
      </c>
      <c r="S82" s="8">
        <f>ROUND(SUMIFS(月別入力!$J:$J,月別入力!$F:$F,設定!$C82,月別入力!$D:$D,設定!S$9,月別入力!$B:$B,設定!$B82),0)</f>
        <v>0</v>
      </c>
      <c r="T82" s="8">
        <f>ROUND(SUMIFS(月別入力!$J:$J,月別入力!$F:$F,設定!$C82,月別入力!$D:$D,設定!T$9,月別入力!$B:$B,設定!$B82),0)</f>
        <v>0</v>
      </c>
      <c r="U82" s="8">
        <f>ROUND(SUMIFS(月別入力!$J:$J,月別入力!$F:$F,設定!$C82,月別入力!$D:$D,設定!U$9,月別入力!$B:$B,設定!$B82),0)</f>
        <v>0</v>
      </c>
      <c r="V82" s="8">
        <f>ROUND(SUMIFS(月別入力!$J:$J,月別入力!$F:$F,設定!$C82,月別入力!$D:$D,設定!V$9,月別入力!$B:$B,設定!$B82),0)</f>
        <v>0</v>
      </c>
      <c r="W82" s="9">
        <f>ROUND(SUMIFS(月別入力!$J:$J,月別入力!$F:$F,設定!$C82,月別入力!$D:$D,設定!W$9,月別入力!$B:$B,設定!$B82),0)</f>
        <v>0</v>
      </c>
    </row>
    <row r="83" spans="2:23" s="3" customFormat="1" ht="15" customHeight="1" x14ac:dyDescent="0.2">
      <c r="B83" s="37" t="str">
        <f t="shared" si="7"/>
        <v>&lt;=12</v>
      </c>
      <c r="C83" s="20"/>
      <c r="D83" s="6"/>
      <c r="E83" s="10"/>
      <c r="F83" s="11"/>
      <c r="G83" s="24">
        <f t="shared" si="4"/>
        <v>0</v>
      </c>
      <c r="H83" s="26">
        <f t="shared" si="5"/>
        <v>0</v>
      </c>
      <c r="I83" s="26">
        <f>ROUND(SUMIFS(月別入力!$J:$J,月別入力!$F:$F,設定!$C83,月別入力!$D:$D,設定!I$9,月別入力!$B:$B,設定!$B83),0)</f>
        <v>0</v>
      </c>
      <c r="J83" s="5">
        <f t="shared" si="6"/>
        <v>0</v>
      </c>
      <c r="K83" s="8">
        <f>ROUND(SUMIFS(月別入力!$J:$J,月別入力!$F:$F,設定!$C83,月別入力!$D:$D,設定!K$9,月別入力!$B:$B,設定!$B83),0)</f>
        <v>0</v>
      </c>
      <c r="L83" s="8">
        <f>ROUND(SUMIFS(月別入力!$J:$J,月別入力!$F:$F,設定!$C83,月別入力!$D:$D,設定!L$9,月別入力!$B:$B,設定!$B83),0)</f>
        <v>0</v>
      </c>
      <c r="M83" s="8">
        <f>ROUND(SUMIFS(月別入力!$J:$J,月別入力!$F:$F,設定!$C83,月別入力!$D:$D,設定!M$9,月別入力!$B:$B,設定!$B83),0)</f>
        <v>0</v>
      </c>
      <c r="N83" s="8">
        <f>ROUND(SUMIFS(月別入力!$J:$J,月別入力!$F:$F,設定!$C83,月別入力!$D:$D,設定!N$9,月別入力!$B:$B,設定!$B83),0)</f>
        <v>0</v>
      </c>
      <c r="O83" s="8">
        <f>ROUND(SUMIFS(月別入力!$J:$J,月別入力!$F:$F,設定!$C83,月別入力!$D:$D,設定!O$9,月別入力!$B:$B,設定!$B83),0)</f>
        <v>0</v>
      </c>
      <c r="P83" s="8">
        <f>ROUND(SUMIFS(月別入力!$J:$J,月別入力!$F:$F,設定!$C83,月別入力!$D:$D,設定!P$9,月別入力!$B:$B,設定!$B83),0)</f>
        <v>0</v>
      </c>
      <c r="Q83" s="8">
        <f>ROUND(SUMIFS(月別入力!$J:$J,月別入力!$F:$F,設定!$C83,月別入力!$D:$D,設定!Q$9,月別入力!$B:$B,設定!$B83),0)</f>
        <v>0</v>
      </c>
      <c r="R83" s="8">
        <f>ROUND(SUMIFS(月別入力!$J:$J,月別入力!$F:$F,設定!$C83,月別入力!$D:$D,設定!R$9,月別入力!$B:$B,設定!$B83),0)</f>
        <v>0</v>
      </c>
      <c r="S83" s="8">
        <f>ROUND(SUMIFS(月別入力!$J:$J,月別入力!$F:$F,設定!$C83,月別入力!$D:$D,設定!S$9,月別入力!$B:$B,設定!$B83),0)</f>
        <v>0</v>
      </c>
      <c r="T83" s="8">
        <f>ROUND(SUMIFS(月別入力!$J:$J,月別入力!$F:$F,設定!$C83,月別入力!$D:$D,設定!T$9,月別入力!$B:$B,設定!$B83),0)</f>
        <v>0</v>
      </c>
      <c r="U83" s="8">
        <f>ROUND(SUMIFS(月別入力!$J:$J,月別入力!$F:$F,設定!$C83,月別入力!$D:$D,設定!U$9,月別入力!$B:$B,設定!$B83),0)</f>
        <v>0</v>
      </c>
      <c r="V83" s="8">
        <f>ROUND(SUMIFS(月別入力!$J:$J,月別入力!$F:$F,設定!$C83,月別入力!$D:$D,設定!V$9,月別入力!$B:$B,設定!$B83),0)</f>
        <v>0</v>
      </c>
      <c r="W83" s="9">
        <f>ROUND(SUMIFS(月別入力!$J:$J,月別入力!$F:$F,設定!$C83,月別入力!$D:$D,設定!W$9,月別入力!$B:$B,設定!$B83),0)</f>
        <v>0</v>
      </c>
    </row>
    <row r="84" spans="2:23" s="3" customFormat="1" ht="15" customHeight="1" x14ac:dyDescent="0.2">
      <c r="B84" s="37" t="str">
        <f t="shared" si="7"/>
        <v>&lt;=12</v>
      </c>
      <c r="C84" s="20"/>
      <c r="D84" s="6"/>
      <c r="E84" s="10"/>
      <c r="F84" s="11"/>
      <c r="G84" s="24">
        <f t="shared" si="4"/>
        <v>0</v>
      </c>
      <c r="H84" s="26">
        <f t="shared" si="5"/>
        <v>0</v>
      </c>
      <c r="I84" s="26">
        <f>ROUND(SUMIFS(月別入力!$J:$J,月別入力!$F:$F,設定!$C84,月別入力!$D:$D,設定!I$9,月別入力!$B:$B,設定!$B84),0)</f>
        <v>0</v>
      </c>
      <c r="J84" s="5">
        <f t="shared" si="6"/>
        <v>0</v>
      </c>
      <c r="K84" s="8">
        <f>ROUND(SUMIFS(月別入力!$J:$J,月別入力!$F:$F,設定!$C84,月別入力!$D:$D,設定!K$9,月別入力!$B:$B,設定!$B84),0)</f>
        <v>0</v>
      </c>
      <c r="L84" s="8">
        <f>ROUND(SUMIFS(月別入力!$J:$J,月別入力!$F:$F,設定!$C84,月別入力!$D:$D,設定!L$9,月別入力!$B:$B,設定!$B84),0)</f>
        <v>0</v>
      </c>
      <c r="M84" s="8">
        <f>ROUND(SUMIFS(月別入力!$J:$J,月別入力!$F:$F,設定!$C84,月別入力!$D:$D,設定!M$9,月別入力!$B:$B,設定!$B84),0)</f>
        <v>0</v>
      </c>
      <c r="N84" s="8">
        <f>ROUND(SUMIFS(月別入力!$J:$J,月別入力!$F:$F,設定!$C84,月別入力!$D:$D,設定!N$9,月別入力!$B:$B,設定!$B84),0)</f>
        <v>0</v>
      </c>
      <c r="O84" s="8">
        <f>ROUND(SUMIFS(月別入力!$J:$J,月別入力!$F:$F,設定!$C84,月別入力!$D:$D,設定!O$9,月別入力!$B:$B,設定!$B84),0)</f>
        <v>0</v>
      </c>
      <c r="P84" s="8">
        <f>ROUND(SUMIFS(月別入力!$J:$J,月別入力!$F:$F,設定!$C84,月別入力!$D:$D,設定!P$9,月別入力!$B:$B,設定!$B84),0)</f>
        <v>0</v>
      </c>
      <c r="Q84" s="8">
        <f>ROUND(SUMIFS(月別入力!$J:$J,月別入力!$F:$F,設定!$C84,月別入力!$D:$D,設定!Q$9,月別入力!$B:$B,設定!$B84),0)</f>
        <v>0</v>
      </c>
      <c r="R84" s="8">
        <f>ROUND(SUMIFS(月別入力!$J:$J,月別入力!$F:$F,設定!$C84,月別入力!$D:$D,設定!R$9,月別入力!$B:$B,設定!$B84),0)</f>
        <v>0</v>
      </c>
      <c r="S84" s="8">
        <f>ROUND(SUMIFS(月別入力!$J:$J,月別入力!$F:$F,設定!$C84,月別入力!$D:$D,設定!S$9,月別入力!$B:$B,設定!$B84),0)</f>
        <v>0</v>
      </c>
      <c r="T84" s="8">
        <f>ROUND(SUMIFS(月別入力!$J:$J,月別入力!$F:$F,設定!$C84,月別入力!$D:$D,設定!T$9,月別入力!$B:$B,設定!$B84),0)</f>
        <v>0</v>
      </c>
      <c r="U84" s="8">
        <f>ROUND(SUMIFS(月別入力!$J:$J,月別入力!$F:$F,設定!$C84,月別入力!$D:$D,設定!U$9,月別入力!$B:$B,設定!$B84),0)</f>
        <v>0</v>
      </c>
      <c r="V84" s="8">
        <f>ROUND(SUMIFS(月別入力!$J:$J,月別入力!$F:$F,設定!$C84,月別入力!$D:$D,設定!V$9,月別入力!$B:$B,設定!$B84),0)</f>
        <v>0</v>
      </c>
      <c r="W84" s="9">
        <f>ROUND(SUMIFS(月別入力!$J:$J,月別入力!$F:$F,設定!$C84,月別入力!$D:$D,設定!W$9,月別入力!$B:$B,設定!$B84),0)</f>
        <v>0</v>
      </c>
    </row>
    <row r="85" spans="2:23" s="3" customFormat="1" ht="15" customHeight="1" x14ac:dyDescent="0.2">
      <c r="B85" s="37" t="str">
        <f t="shared" si="7"/>
        <v>&lt;=12</v>
      </c>
      <c r="C85" s="20"/>
      <c r="D85" s="6"/>
      <c r="E85" s="10"/>
      <c r="F85" s="11"/>
      <c r="G85" s="24">
        <f t="shared" si="4"/>
        <v>0</v>
      </c>
      <c r="H85" s="26">
        <f t="shared" si="5"/>
        <v>0</v>
      </c>
      <c r="I85" s="26">
        <f>ROUND(SUMIFS(月別入力!$J:$J,月別入力!$F:$F,設定!$C85,月別入力!$D:$D,設定!I$9,月別入力!$B:$B,設定!$B85),0)</f>
        <v>0</v>
      </c>
      <c r="J85" s="5">
        <f t="shared" si="6"/>
        <v>0</v>
      </c>
      <c r="K85" s="8">
        <f>ROUND(SUMIFS(月別入力!$J:$J,月別入力!$F:$F,設定!$C85,月別入力!$D:$D,設定!K$9,月別入力!$B:$B,設定!$B85),0)</f>
        <v>0</v>
      </c>
      <c r="L85" s="8">
        <f>ROUND(SUMIFS(月別入力!$J:$J,月別入力!$F:$F,設定!$C85,月別入力!$D:$D,設定!L$9,月別入力!$B:$B,設定!$B85),0)</f>
        <v>0</v>
      </c>
      <c r="M85" s="8">
        <f>ROUND(SUMIFS(月別入力!$J:$J,月別入力!$F:$F,設定!$C85,月別入力!$D:$D,設定!M$9,月別入力!$B:$B,設定!$B85),0)</f>
        <v>0</v>
      </c>
      <c r="N85" s="8">
        <f>ROUND(SUMIFS(月別入力!$J:$J,月別入力!$F:$F,設定!$C85,月別入力!$D:$D,設定!N$9,月別入力!$B:$B,設定!$B85),0)</f>
        <v>0</v>
      </c>
      <c r="O85" s="8">
        <f>ROUND(SUMIFS(月別入力!$J:$J,月別入力!$F:$F,設定!$C85,月別入力!$D:$D,設定!O$9,月別入力!$B:$B,設定!$B85),0)</f>
        <v>0</v>
      </c>
      <c r="P85" s="8">
        <f>ROUND(SUMIFS(月別入力!$J:$J,月別入力!$F:$F,設定!$C85,月別入力!$D:$D,設定!P$9,月別入力!$B:$B,設定!$B85),0)</f>
        <v>0</v>
      </c>
      <c r="Q85" s="8">
        <f>ROUND(SUMIFS(月別入力!$J:$J,月別入力!$F:$F,設定!$C85,月別入力!$D:$D,設定!Q$9,月別入力!$B:$B,設定!$B85),0)</f>
        <v>0</v>
      </c>
      <c r="R85" s="8">
        <f>ROUND(SUMIFS(月別入力!$J:$J,月別入力!$F:$F,設定!$C85,月別入力!$D:$D,設定!R$9,月別入力!$B:$B,設定!$B85),0)</f>
        <v>0</v>
      </c>
      <c r="S85" s="8">
        <f>ROUND(SUMIFS(月別入力!$J:$J,月別入力!$F:$F,設定!$C85,月別入力!$D:$D,設定!S$9,月別入力!$B:$B,設定!$B85),0)</f>
        <v>0</v>
      </c>
      <c r="T85" s="8">
        <f>ROUND(SUMIFS(月別入力!$J:$J,月別入力!$F:$F,設定!$C85,月別入力!$D:$D,設定!T$9,月別入力!$B:$B,設定!$B85),0)</f>
        <v>0</v>
      </c>
      <c r="U85" s="8">
        <f>ROUND(SUMIFS(月別入力!$J:$J,月別入力!$F:$F,設定!$C85,月別入力!$D:$D,設定!U$9,月別入力!$B:$B,設定!$B85),0)</f>
        <v>0</v>
      </c>
      <c r="V85" s="8">
        <f>ROUND(SUMIFS(月別入力!$J:$J,月別入力!$F:$F,設定!$C85,月別入力!$D:$D,設定!V$9,月別入力!$B:$B,設定!$B85),0)</f>
        <v>0</v>
      </c>
      <c r="W85" s="9">
        <f>ROUND(SUMIFS(月別入力!$J:$J,月別入力!$F:$F,設定!$C85,月別入力!$D:$D,設定!W$9,月別入力!$B:$B,設定!$B85),0)</f>
        <v>0</v>
      </c>
    </row>
    <row r="86" spans="2:23" s="3" customFormat="1" ht="15" customHeight="1" x14ac:dyDescent="0.2">
      <c r="B86" s="37" t="str">
        <f t="shared" si="7"/>
        <v>&lt;=12</v>
      </c>
      <c r="C86" s="20"/>
      <c r="D86" s="6"/>
      <c r="E86" s="10"/>
      <c r="F86" s="11"/>
      <c r="G86" s="24">
        <f t="shared" si="4"/>
        <v>0</v>
      </c>
      <c r="H86" s="26">
        <f t="shared" si="5"/>
        <v>0</v>
      </c>
      <c r="I86" s="26">
        <f>ROUND(SUMIFS(月別入力!$J:$J,月別入力!$F:$F,設定!$C86,月別入力!$D:$D,設定!I$9,月別入力!$B:$B,設定!$B86),0)</f>
        <v>0</v>
      </c>
      <c r="J86" s="5">
        <f t="shared" si="6"/>
        <v>0</v>
      </c>
      <c r="K86" s="8">
        <f>ROUND(SUMIFS(月別入力!$J:$J,月別入力!$F:$F,設定!$C86,月別入力!$D:$D,設定!K$9,月別入力!$B:$B,設定!$B86),0)</f>
        <v>0</v>
      </c>
      <c r="L86" s="8">
        <f>ROUND(SUMIFS(月別入力!$J:$J,月別入力!$F:$F,設定!$C86,月別入力!$D:$D,設定!L$9,月別入力!$B:$B,設定!$B86),0)</f>
        <v>0</v>
      </c>
      <c r="M86" s="8">
        <f>ROUND(SUMIFS(月別入力!$J:$J,月別入力!$F:$F,設定!$C86,月別入力!$D:$D,設定!M$9,月別入力!$B:$B,設定!$B86),0)</f>
        <v>0</v>
      </c>
      <c r="N86" s="8">
        <f>ROUND(SUMIFS(月別入力!$J:$J,月別入力!$F:$F,設定!$C86,月別入力!$D:$D,設定!N$9,月別入力!$B:$B,設定!$B86),0)</f>
        <v>0</v>
      </c>
      <c r="O86" s="8">
        <f>ROUND(SUMIFS(月別入力!$J:$J,月別入力!$F:$F,設定!$C86,月別入力!$D:$D,設定!O$9,月別入力!$B:$B,設定!$B86),0)</f>
        <v>0</v>
      </c>
      <c r="P86" s="8">
        <f>ROUND(SUMIFS(月別入力!$J:$J,月別入力!$F:$F,設定!$C86,月別入力!$D:$D,設定!P$9,月別入力!$B:$B,設定!$B86),0)</f>
        <v>0</v>
      </c>
      <c r="Q86" s="8">
        <f>ROUND(SUMIFS(月別入力!$J:$J,月別入力!$F:$F,設定!$C86,月別入力!$D:$D,設定!Q$9,月別入力!$B:$B,設定!$B86),0)</f>
        <v>0</v>
      </c>
      <c r="R86" s="8">
        <f>ROUND(SUMIFS(月別入力!$J:$J,月別入力!$F:$F,設定!$C86,月別入力!$D:$D,設定!R$9,月別入力!$B:$B,設定!$B86),0)</f>
        <v>0</v>
      </c>
      <c r="S86" s="8">
        <f>ROUND(SUMIFS(月別入力!$J:$J,月別入力!$F:$F,設定!$C86,月別入力!$D:$D,設定!S$9,月別入力!$B:$B,設定!$B86),0)</f>
        <v>0</v>
      </c>
      <c r="T86" s="8">
        <f>ROUND(SUMIFS(月別入力!$J:$J,月別入力!$F:$F,設定!$C86,月別入力!$D:$D,設定!T$9,月別入力!$B:$B,設定!$B86),0)</f>
        <v>0</v>
      </c>
      <c r="U86" s="8">
        <f>ROUND(SUMIFS(月別入力!$J:$J,月別入力!$F:$F,設定!$C86,月別入力!$D:$D,設定!U$9,月別入力!$B:$B,設定!$B86),0)</f>
        <v>0</v>
      </c>
      <c r="V86" s="8">
        <f>ROUND(SUMIFS(月別入力!$J:$J,月別入力!$F:$F,設定!$C86,月別入力!$D:$D,設定!V$9,月別入力!$B:$B,設定!$B86),0)</f>
        <v>0</v>
      </c>
      <c r="W86" s="9">
        <f>ROUND(SUMIFS(月別入力!$J:$J,月別入力!$F:$F,設定!$C86,月別入力!$D:$D,設定!W$9,月別入力!$B:$B,設定!$B86),0)</f>
        <v>0</v>
      </c>
    </row>
    <row r="87" spans="2:23" s="3" customFormat="1" ht="15" customHeight="1" x14ac:dyDescent="0.2">
      <c r="B87" s="37" t="str">
        <f t="shared" si="7"/>
        <v>&lt;=12</v>
      </c>
      <c r="C87" s="20"/>
      <c r="D87" s="6"/>
      <c r="E87" s="10"/>
      <c r="F87" s="11"/>
      <c r="G87" s="24">
        <f t="shared" si="4"/>
        <v>0</v>
      </c>
      <c r="H87" s="26">
        <f t="shared" si="5"/>
        <v>0</v>
      </c>
      <c r="I87" s="26">
        <f>ROUND(SUMIFS(月別入力!$J:$J,月別入力!$F:$F,設定!$C87,月別入力!$D:$D,設定!I$9,月別入力!$B:$B,設定!$B87),0)</f>
        <v>0</v>
      </c>
      <c r="J87" s="5">
        <f t="shared" si="6"/>
        <v>0</v>
      </c>
      <c r="K87" s="8">
        <f>ROUND(SUMIFS(月別入力!$J:$J,月別入力!$F:$F,設定!$C87,月別入力!$D:$D,設定!K$9,月別入力!$B:$B,設定!$B87),0)</f>
        <v>0</v>
      </c>
      <c r="L87" s="8">
        <f>ROUND(SUMIFS(月別入力!$J:$J,月別入力!$F:$F,設定!$C87,月別入力!$D:$D,設定!L$9,月別入力!$B:$B,設定!$B87),0)</f>
        <v>0</v>
      </c>
      <c r="M87" s="8">
        <f>ROUND(SUMIFS(月別入力!$J:$J,月別入力!$F:$F,設定!$C87,月別入力!$D:$D,設定!M$9,月別入力!$B:$B,設定!$B87),0)</f>
        <v>0</v>
      </c>
      <c r="N87" s="8">
        <f>ROUND(SUMIFS(月別入力!$J:$J,月別入力!$F:$F,設定!$C87,月別入力!$D:$D,設定!N$9,月別入力!$B:$B,設定!$B87),0)</f>
        <v>0</v>
      </c>
      <c r="O87" s="8">
        <f>ROUND(SUMIFS(月別入力!$J:$J,月別入力!$F:$F,設定!$C87,月別入力!$D:$D,設定!O$9,月別入力!$B:$B,設定!$B87),0)</f>
        <v>0</v>
      </c>
      <c r="P87" s="8">
        <f>ROUND(SUMIFS(月別入力!$J:$J,月別入力!$F:$F,設定!$C87,月別入力!$D:$D,設定!P$9,月別入力!$B:$B,設定!$B87),0)</f>
        <v>0</v>
      </c>
      <c r="Q87" s="8">
        <f>ROUND(SUMIFS(月別入力!$J:$J,月別入力!$F:$F,設定!$C87,月別入力!$D:$D,設定!Q$9,月別入力!$B:$B,設定!$B87),0)</f>
        <v>0</v>
      </c>
      <c r="R87" s="8">
        <f>ROUND(SUMIFS(月別入力!$J:$J,月別入力!$F:$F,設定!$C87,月別入力!$D:$D,設定!R$9,月別入力!$B:$B,設定!$B87),0)</f>
        <v>0</v>
      </c>
      <c r="S87" s="8">
        <f>ROUND(SUMIFS(月別入力!$J:$J,月別入力!$F:$F,設定!$C87,月別入力!$D:$D,設定!S$9,月別入力!$B:$B,設定!$B87),0)</f>
        <v>0</v>
      </c>
      <c r="T87" s="8">
        <f>ROUND(SUMIFS(月別入力!$J:$J,月別入力!$F:$F,設定!$C87,月別入力!$D:$D,設定!T$9,月別入力!$B:$B,設定!$B87),0)</f>
        <v>0</v>
      </c>
      <c r="U87" s="8">
        <f>ROUND(SUMIFS(月別入力!$J:$J,月別入力!$F:$F,設定!$C87,月別入力!$D:$D,設定!U$9,月別入力!$B:$B,設定!$B87),0)</f>
        <v>0</v>
      </c>
      <c r="V87" s="8">
        <f>ROUND(SUMIFS(月別入力!$J:$J,月別入力!$F:$F,設定!$C87,月別入力!$D:$D,設定!V$9,月別入力!$B:$B,設定!$B87),0)</f>
        <v>0</v>
      </c>
      <c r="W87" s="9">
        <f>ROUND(SUMIFS(月別入力!$J:$J,月別入力!$F:$F,設定!$C87,月別入力!$D:$D,設定!W$9,月別入力!$B:$B,設定!$B87),0)</f>
        <v>0</v>
      </c>
    </row>
    <row r="88" spans="2:23" s="3" customFormat="1" ht="15" customHeight="1" x14ac:dyDescent="0.2">
      <c r="B88" s="37" t="str">
        <f t="shared" si="7"/>
        <v>&lt;=12</v>
      </c>
      <c r="C88" s="20"/>
      <c r="D88" s="6"/>
      <c r="E88" s="10"/>
      <c r="F88" s="11"/>
      <c r="G88" s="24">
        <f t="shared" si="4"/>
        <v>0</v>
      </c>
      <c r="H88" s="26">
        <f t="shared" si="5"/>
        <v>0</v>
      </c>
      <c r="I88" s="26">
        <f>ROUND(SUMIFS(月別入力!$J:$J,月別入力!$F:$F,設定!$C88,月別入力!$D:$D,設定!I$9,月別入力!$B:$B,設定!$B88),0)</f>
        <v>0</v>
      </c>
      <c r="J88" s="5">
        <f t="shared" si="6"/>
        <v>0</v>
      </c>
      <c r="K88" s="8">
        <f>ROUND(SUMIFS(月別入力!$J:$J,月別入力!$F:$F,設定!$C88,月別入力!$D:$D,設定!K$9,月別入力!$B:$B,設定!$B88),0)</f>
        <v>0</v>
      </c>
      <c r="L88" s="8">
        <f>ROUND(SUMIFS(月別入力!$J:$J,月別入力!$F:$F,設定!$C88,月別入力!$D:$D,設定!L$9,月別入力!$B:$B,設定!$B88),0)</f>
        <v>0</v>
      </c>
      <c r="M88" s="8">
        <f>ROUND(SUMIFS(月別入力!$J:$J,月別入力!$F:$F,設定!$C88,月別入力!$D:$D,設定!M$9,月別入力!$B:$B,設定!$B88),0)</f>
        <v>0</v>
      </c>
      <c r="N88" s="8">
        <f>ROUND(SUMIFS(月別入力!$J:$J,月別入力!$F:$F,設定!$C88,月別入力!$D:$D,設定!N$9,月別入力!$B:$B,設定!$B88),0)</f>
        <v>0</v>
      </c>
      <c r="O88" s="8">
        <f>ROUND(SUMIFS(月別入力!$J:$J,月別入力!$F:$F,設定!$C88,月別入力!$D:$D,設定!O$9,月別入力!$B:$B,設定!$B88),0)</f>
        <v>0</v>
      </c>
      <c r="P88" s="8">
        <f>ROUND(SUMIFS(月別入力!$J:$J,月別入力!$F:$F,設定!$C88,月別入力!$D:$D,設定!P$9,月別入力!$B:$B,設定!$B88),0)</f>
        <v>0</v>
      </c>
      <c r="Q88" s="8">
        <f>ROUND(SUMIFS(月別入力!$J:$J,月別入力!$F:$F,設定!$C88,月別入力!$D:$D,設定!Q$9,月別入力!$B:$B,設定!$B88),0)</f>
        <v>0</v>
      </c>
      <c r="R88" s="8">
        <f>ROUND(SUMIFS(月別入力!$J:$J,月別入力!$F:$F,設定!$C88,月別入力!$D:$D,設定!R$9,月別入力!$B:$B,設定!$B88),0)</f>
        <v>0</v>
      </c>
      <c r="S88" s="8">
        <f>ROUND(SUMIFS(月別入力!$J:$J,月別入力!$F:$F,設定!$C88,月別入力!$D:$D,設定!S$9,月別入力!$B:$B,設定!$B88),0)</f>
        <v>0</v>
      </c>
      <c r="T88" s="8">
        <f>ROUND(SUMIFS(月別入力!$J:$J,月別入力!$F:$F,設定!$C88,月別入力!$D:$D,設定!T$9,月別入力!$B:$B,設定!$B88),0)</f>
        <v>0</v>
      </c>
      <c r="U88" s="8">
        <f>ROUND(SUMIFS(月別入力!$J:$J,月別入力!$F:$F,設定!$C88,月別入力!$D:$D,設定!U$9,月別入力!$B:$B,設定!$B88),0)</f>
        <v>0</v>
      </c>
      <c r="V88" s="8">
        <f>ROUND(SUMIFS(月別入力!$J:$J,月別入力!$F:$F,設定!$C88,月別入力!$D:$D,設定!V$9,月別入力!$B:$B,設定!$B88),0)</f>
        <v>0</v>
      </c>
      <c r="W88" s="9">
        <f>ROUND(SUMIFS(月別入力!$J:$J,月別入力!$F:$F,設定!$C88,月別入力!$D:$D,設定!W$9,月別入力!$B:$B,設定!$B88),0)</f>
        <v>0</v>
      </c>
    </row>
    <row r="89" spans="2:23" s="3" customFormat="1" ht="15" customHeight="1" x14ac:dyDescent="0.2">
      <c r="B89" s="37" t="str">
        <f t="shared" si="7"/>
        <v>&lt;=12</v>
      </c>
      <c r="C89" s="20"/>
      <c r="D89" s="6"/>
      <c r="E89" s="10"/>
      <c r="F89" s="11"/>
      <c r="G89" s="24">
        <f t="shared" si="4"/>
        <v>0</v>
      </c>
      <c r="H89" s="26">
        <f t="shared" si="5"/>
        <v>0</v>
      </c>
      <c r="I89" s="26">
        <f>ROUND(SUMIFS(月別入力!$J:$J,月別入力!$F:$F,設定!$C89,月別入力!$D:$D,設定!I$9,月別入力!$B:$B,設定!$B89),0)</f>
        <v>0</v>
      </c>
      <c r="J89" s="5">
        <f t="shared" si="6"/>
        <v>0</v>
      </c>
      <c r="K89" s="8">
        <f>ROUND(SUMIFS(月別入力!$J:$J,月別入力!$F:$F,設定!$C89,月別入力!$D:$D,設定!K$9,月別入力!$B:$B,設定!$B89),0)</f>
        <v>0</v>
      </c>
      <c r="L89" s="8">
        <f>ROUND(SUMIFS(月別入力!$J:$J,月別入力!$F:$F,設定!$C89,月別入力!$D:$D,設定!L$9,月別入力!$B:$B,設定!$B89),0)</f>
        <v>0</v>
      </c>
      <c r="M89" s="8">
        <f>ROUND(SUMIFS(月別入力!$J:$J,月別入力!$F:$F,設定!$C89,月別入力!$D:$D,設定!M$9,月別入力!$B:$B,設定!$B89),0)</f>
        <v>0</v>
      </c>
      <c r="N89" s="8">
        <f>ROUND(SUMIFS(月別入力!$J:$J,月別入力!$F:$F,設定!$C89,月別入力!$D:$D,設定!N$9,月別入力!$B:$B,設定!$B89),0)</f>
        <v>0</v>
      </c>
      <c r="O89" s="8">
        <f>ROUND(SUMIFS(月別入力!$J:$J,月別入力!$F:$F,設定!$C89,月別入力!$D:$D,設定!O$9,月別入力!$B:$B,設定!$B89),0)</f>
        <v>0</v>
      </c>
      <c r="P89" s="8">
        <f>ROUND(SUMIFS(月別入力!$J:$J,月別入力!$F:$F,設定!$C89,月別入力!$D:$D,設定!P$9,月別入力!$B:$B,設定!$B89),0)</f>
        <v>0</v>
      </c>
      <c r="Q89" s="8">
        <f>ROUND(SUMIFS(月別入力!$J:$J,月別入力!$F:$F,設定!$C89,月別入力!$D:$D,設定!Q$9,月別入力!$B:$B,設定!$B89),0)</f>
        <v>0</v>
      </c>
      <c r="R89" s="8">
        <f>ROUND(SUMIFS(月別入力!$J:$J,月別入力!$F:$F,設定!$C89,月別入力!$D:$D,設定!R$9,月別入力!$B:$B,設定!$B89),0)</f>
        <v>0</v>
      </c>
      <c r="S89" s="8">
        <f>ROUND(SUMIFS(月別入力!$J:$J,月別入力!$F:$F,設定!$C89,月別入力!$D:$D,設定!S$9,月別入力!$B:$B,設定!$B89),0)</f>
        <v>0</v>
      </c>
      <c r="T89" s="8">
        <f>ROUND(SUMIFS(月別入力!$J:$J,月別入力!$F:$F,設定!$C89,月別入力!$D:$D,設定!T$9,月別入力!$B:$B,設定!$B89),0)</f>
        <v>0</v>
      </c>
      <c r="U89" s="8">
        <f>ROUND(SUMIFS(月別入力!$J:$J,月別入力!$F:$F,設定!$C89,月別入力!$D:$D,設定!U$9,月別入力!$B:$B,設定!$B89),0)</f>
        <v>0</v>
      </c>
      <c r="V89" s="8">
        <f>ROUND(SUMIFS(月別入力!$J:$J,月別入力!$F:$F,設定!$C89,月別入力!$D:$D,設定!V$9,月別入力!$B:$B,設定!$B89),0)</f>
        <v>0</v>
      </c>
      <c r="W89" s="9">
        <f>ROUND(SUMIFS(月別入力!$J:$J,月別入力!$F:$F,設定!$C89,月別入力!$D:$D,設定!W$9,月別入力!$B:$B,設定!$B89),0)</f>
        <v>0</v>
      </c>
    </row>
    <row r="90" spans="2:23" s="3" customFormat="1" ht="15" customHeight="1" x14ac:dyDescent="0.2">
      <c r="B90" s="37" t="str">
        <f t="shared" si="7"/>
        <v>&lt;=12</v>
      </c>
      <c r="C90" s="20"/>
      <c r="D90" s="6"/>
      <c r="E90" s="10"/>
      <c r="F90" s="11"/>
      <c r="G90" s="24">
        <f t="shared" si="4"/>
        <v>0</v>
      </c>
      <c r="H90" s="26">
        <f t="shared" si="5"/>
        <v>0</v>
      </c>
      <c r="I90" s="26">
        <f>ROUND(SUMIFS(月別入力!$J:$J,月別入力!$F:$F,設定!$C90,月別入力!$D:$D,設定!I$9,月別入力!$B:$B,設定!$B90),0)</f>
        <v>0</v>
      </c>
      <c r="J90" s="5">
        <f t="shared" si="6"/>
        <v>0</v>
      </c>
      <c r="K90" s="8">
        <f>ROUND(SUMIFS(月別入力!$J:$J,月別入力!$F:$F,設定!$C90,月別入力!$D:$D,設定!K$9,月別入力!$B:$B,設定!$B90),0)</f>
        <v>0</v>
      </c>
      <c r="L90" s="8">
        <f>ROUND(SUMIFS(月別入力!$J:$J,月別入力!$F:$F,設定!$C90,月別入力!$D:$D,設定!L$9,月別入力!$B:$B,設定!$B90),0)</f>
        <v>0</v>
      </c>
      <c r="M90" s="8">
        <f>ROUND(SUMIFS(月別入力!$J:$J,月別入力!$F:$F,設定!$C90,月別入力!$D:$D,設定!M$9,月別入力!$B:$B,設定!$B90),0)</f>
        <v>0</v>
      </c>
      <c r="N90" s="8">
        <f>ROUND(SUMIFS(月別入力!$J:$J,月別入力!$F:$F,設定!$C90,月別入力!$D:$D,設定!N$9,月別入力!$B:$B,設定!$B90),0)</f>
        <v>0</v>
      </c>
      <c r="O90" s="8">
        <f>ROUND(SUMIFS(月別入力!$J:$J,月別入力!$F:$F,設定!$C90,月別入力!$D:$D,設定!O$9,月別入力!$B:$B,設定!$B90),0)</f>
        <v>0</v>
      </c>
      <c r="P90" s="8">
        <f>ROUND(SUMIFS(月別入力!$J:$J,月別入力!$F:$F,設定!$C90,月別入力!$D:$D,設定!P$9,月別入力!$B:$B,設定!$B90),0)</f>
        <v>0</v>
      </c>
      <c r="Q90" s="8">
        <f>ROUND(SUMIFS(月別入力!$J:$J,月別入力!$F:$F,設定!$C90,月別入力!$D:$D,設定!Q$9,月別入力!$B:$B,設定!$B90),0)</f>
        <v>0</v>
      </c>
      <c r="R90" s="8">
        <f>ROUND(SUMIFS(月別入力!$J:$J,月別入力!$F:$F,設定!$C90,月別入力!$D:$D,設定!R$9,月別入力!$B:$B,設定!$B90),0)</f>
        <v>0</v>
      </c>
      <c r="S90" s="8">
        <f>ROUND(SUMIFS(月別入力!$J:$J,月別入力!$F:$F,設定!$C90,月別入力!$D:$D,設定!S$9,月別入力!$B:$B,設定!$B90),0)</f>
        <v>0</v>
      </c>
      <c r="T90" s="8">
        <f>ROUND(SUMIFS(月別入力!$J:$J,月別入力!$F:$F,設定!$C90,月別入力!$D:$D,設定!T$9,月別入力!$B:$B,設定!$B90),0)</f>
        <v>0</v>
      </c>
      <c r="U90" s="8">
        <f>ROUND(SUMIFS(月別入力!$J:$J,月別入力!$F:$F,設定!$C90,月別入力!$D:$D,設定!U$9,月別入力!$B:$B,設定!$B90),0)</f>
        <v>0</v>
      </c>
      <c r="V90" s="8">
        <f>ROUND(SUMIFS(月別入力!$J:$J,月別入力!$F:$F,設定!$C90,月別入力!$D:$D,設定!V$9,月別入力!$B:$B,設定!$B90),0)</f>
        <v>0</v>
      </c>
      <c r="W90" s="9">
        <f>ROUND(SUMIFS(月別入力!$J:$J,月別入力!$F:$F,設定!$C90,月別入力!$D:$D,設定!W$9,月別入力!$B:$B,設定!$B90),0)</f>
        <v>0</v>
      </c>
    </row>
    <row r="91" spans="2:23" s="3" customFormat="1" ht="15" customHeight="1" x14ac:dyDescent="0.2">
      <c r="B91" s="37" t="str">
        <f t="shared" si="7"/>
        <v>&lt;=12</v>
      </c>
      <c r="C91" s="20"/>
      <c r="D91" s="6"/>
      <c r="E91" s="10"/>
      <c r="F91" s="11"/>
      <c r="G91" s="24">
        <f t="shared" si="4"/>
        <v>0</v>
      </c>
      <c r="H91" s="26">
        <f t="shared" si="5"/>
        <v>0</v>
      </c>
      <c r="I91" s="26">
        <f>ROUND(SUMIFS(月別入力!$J:$J,月別入力!$F:$F,設定!$C91,月別入力!$D:$D,設定!I$9,月別入力!$B:$B,設定!$B91),0)</f>
        <v>0</v>
      </c>
      <c r="J91" s="5">
        <f t="shared" si="6"/>
        <v>0</v>
      </c>
      <c r="K91" s="8">
        <f>ROUND(SUMIFS(月別入力!$J:$J,月別入力!$F:$F,設定!$C91,月別入力!$D:$D,設定!K$9,月別入力!$B:$B,設定!$B91),0)</f>
        <v>0</v>
      </c>
      <c r="L91" s="8">
        <f>ROUND(SUMIFS(月別入力!$J:$J,月別入力!$F:$F,設定!$C91,月別入力!$D:$D,設定!L$9,月別入力!$B:$B,設定!$B91),0)</f>
        <v>0</v>
      </c>
      <c r="M91" s="8">
        <f>ROUND(SUMIFS(月別入力!$J:$J,月別入力!$F:$F,設定!$C91,月別入力!$D:$D,設定!M$9,月別入力!$B:$B,設定!$B91),0)</f>
        <v>0</v>
      </c>
      <c r="N91" s="8">
        <f>ROUND(SUMIFS(月別入力!$J:$J,月別入力!$F:$F,設定!$C91,月別入力!$D:$D,設定!N$9,月別入力!$B:$B,設定!$B91),0)</f>
        <v>0</v>
      </c>
      <c r="O91" s="8">
        <f>ROUND(SUMIFS(月別入力!$J:$J,月別入力!$F:$F,設定!$C91,月別入力!$D:$D,設定!O$9,月別入力!$B:$B,設定!$B91),0)</f>
        <v>0</v>
      </c>
      <c r="P91" s="8">
        <f>ROUND(SUMIFS(月別入力!$J:$J,月別入力!$F:$F,設定!$C91,月別入力!$D:$D,設定!P$9,月別入力!$B:$B,設定!$B91),0)</f>
        <v>0</v>
      </c>
      <c r="Q91" s="8">
        <f>ROUND(SUMIFS(月別入力!$J:$J,月別入力!$F:$F,設定!$C91,月別入力!$D:$D,設定!Q$9,月別入力!$B:$B,設定!$B91),0)</f>
        <v>0</v>
      </c>
      <c r="R91" s="8">
        <f>ROUND(SUMIFS(月別入力!$J:$J,月別入力!$F:$F,設定!$C91,月別入力!$D:$D,設定!R$9,月別入力!$B:$B,設定!$B91),0)</f>
        <v>0</v>
      </c>
      <c r="S91" s="8">
        <f>ROUND(SUMIFS(月別入力!$J:$J,月別入力!$F:$F,設定!$C91,月別入力!$D:$D,設定!S$9,月別入力!$B:$B,設定!$B91),0)</f>
        <v>0</v>
      </c>
      <c r="T91" s="8">
        <f>ROUND(SUMIFS(月別入力!$J:$J,月別入力!$F:$F,設定!$C91,月別入力!$D:$D,設定!T$9,月別入力!$B:$B,設定!$B91),0)</f>
        <v>0</v>
      </c>
      <c r="U91" s="8">
        <f>ROUND(SUMIFS(月別入力!$J:$J,月別入力!$F:$F,設定!$C91,月別入力!$D:$D,設定!U$9,月別入力!$B:$B,設定!$B91),0)</f>
        <v>0</v>
      </c>
      <c r="V91" s="8">
        <f>ROUND(SUMIFS(月別入力!$J:$J,月別入力!$F:$F,設定!$C91,月別入力!$D:$D,設定!V$9,月別入力!$B:$B,設定!$B91),0)</f>
        <v>0</v>
      </c>
      <c r="W91" s="9">
        <f>ROUND(SUMIFS(月別入力!$J:$J,月別入力!$F:$F,設定!$C91,月別入力!$D:$D,設定!W$9,月別入力!$B:$B,設定!$B91),0)</f>
        <v>0</v>
      </c>
    </row>
    <row r="92" spans="2:23" s="3" customFormat="1" ht="15" customHeight="1" x14ac:dyDescent="0.2">
      <c r="B92" s="37" t="str">
        <f t="shared" si="7"/>
        <v>&lt;=12</v>
      </c>
      <c r="C92" s="20"/>
      <c r="D92" s="6"/>
      <c r="E92" s="10"/>
      <c r="F92" s="11"/>
      <c r="G92" s="24">
        <f t="shared" si="4"/>
        <v>0</v>
      </c>
      <c r="H92" s="26">
        <f t="shared" si="5"/>
        <v>0</v>
      </c>
      <c r="I92" s="26">
        <f>ROUND(SUMIFS(月別入力!$J:$J,月別入力!$F:$F,設定!$C92,月別入力!$D:$D,設定!I$9,月別入力!$B:$B,設定!$B92),0)</f>
        <v>0</v>
      </c>
      <c r="J92" s="5">
        <f t="shared" si="6"/>
        <v>0</v>
      </c>
      <c r="K92" s="8">
        <f>ROUND(SUMIFS(月別入力!$J:$J,月別入力!$F:$F,設定!$C92,月別入力!$D:$D,設定!K$9,月別入力!$B:$B,設定!$B92),0)</f>
        <v>0</v>
      </c>
      <c r="L92" s="8">
        <f>ROUND(SUMIFS(月別入力!$J:$J,月別入力!$F:$F,設定!$C92,月別入力!$D:$D,設定!L$9,月別入力!$B:$B,設定!$B92),0)</f>
        <v>0</v>
      </c>
      <c r="M92" s="8">
        <f>ROUND(SUMIFS(月別入力!$J:$J,月別入力!$F:$F,設定!$C92,月別入力!$D:$D,設定!M$9,月別入力!$B:$B,設定!$B92),0)</f>
        <v>0</v>
      </c>
      <c r="N92" s="8">
        <f>ROUND(SUMIFS(月別入力!$J:$J,月別入力!$F:$F,設定!$C92,月別入力!$D:$D,設定!N$9,月別入力!$B:$B,設定!$B92),0)</f>
        <v>0</v>
      </c>
      <c r="O92" s="8">
        <f>ROUND(SUMIFS(月別入力!$J:$J,月別入力!$F:$F,設定!$C92,月別入力!$D:$D,設定!O$9,月別入力!$B:$B,設定!$B92),0)</f>
        <v>0</v>
      </c>
      <c r="P92" s="8">
        <f>ROUND(SUMIFS(月別入力!$J:$J,月別入力!$F:$F,設定!$C92,月別入力!$D:$D,設定!P$9,月別入力!$B:$B,設定!$B92),0)</f>
        <v>0</v>
      </c>
      <c r="Q92" s="8">
        <f>ROUND(SUMIFS(月別入力!$J:$J,月別入力!$F:$F,設定!$C92,月別入力!$D:$D,設定!Q$9,月別入力!$B:$B,設定!$B92),0)</f>
        <v>0</v>
      </c>
      <c r="R92" s="8">
        <f>ROUND(SUMIFS(月別入力!$J:$J,月別入力!$F:$F,設定!$C92,月別入力!$D:$D,設定!R$9,月別入力!$B:$B,設定!$B92),0)</f>
        <v>0</v>
      </c>
      <c r="S92" s="8">
        <f>ROUND(SUMIFS(月別入力!$J:$J,月別入力!$F:$F,設定!$C92,月別入力!$D:$D,設定!S$9,月別入力!$B:$B,設定!$B92),0)</f>
        <v>0</v>
      </c>
      <c r="T92" s="8">
        <f>ROUND(SUMIFS(月別入力!$J:$J,月別入力!$F:$F,設定!$C92,月別入力!$D:$D,設定!T$9,月別入力!$B:$B,設定!$B92),0)</f>
        <v>0</v>
      </c>
      <c r="U92" s="8">
        <f>ROUND(SUMIFS(月別入力!$J:$J,月別入力!$F:$F,設定!$C92,月別入力!$D:$D,設定!U$9,月別入力!$B:$B,設定!$B92),0)</f>
        <v>0</v>
      </c>
      <c r="V92" s="8">
        <f>ROUND(SUMIFS(月別入力!$J:$J,月別入力!$F:$F,設定!$C92,月別入力!$D:$D,設定!V$9,月別入力!$B:$B,設定!$B92),0)</f>
        <v>0</v>
      </c>
      <c r="W92" s="9">
        <f>ROUND(SUMIFS(月別入力!$J:$J,月別入力!$F:$F,設定!$C92,月別入力!$D:$D,設定!W$9,月別入力!$B:$B,設定!$B92),0)</f>
        <v>0</v>
      </c>
    </row>
    <row r="93" spans="2:23" s="3" customFormat="1" ht="15" customHeight="1" x14ac:dyDescent="0.2">
      <c r="B93" s="37" t="str">
        <f t="shared" si="7"/>
        <v>&lt;=12</v>
      </c>
      <c r="C93" s="20"/>
      <c r="D93" s="6"/>
      <c r="E93" s="10"/>
      <c r="F93" s="11"/>
      <c r="G93" s="24">
        <f t="shared" si="4"/>
        <v>0</v>
      </c>
      <c r="H93" s="26">
        <f t="shared" si="5"/>
        <v>0</v>
      </c>
      <c r="I93" s="26">
        <f>ROUND(SUMIFS(月別入力!$J:$J,月別入力!$F:$F,設定!$C93,月別入力!$D:$D,設定!I$9,月別入力!$B:$B,設定!$B93),0)</f>
        <v>0</v>
      </c>
      <c r="J93" s="5">
        <f t="shared" si="6"/>
        <v>0</v>
      </c>
      <c r="K93" s="8">
        <f>ROUND(SUMIFS(月別入力!$J:$J,月別入力!$F:$F,設定!$C93,月別入力!$D:$D,設定!K$9,月別入力!$B:$B,設定!$B93),0)</f>
        <v>0</v>
      </c>
      <c r="L93" s="8">
        <f>ROUND(SUMIFS(月別入力!$J:$J,月別入力!$F:$F,設定!$C93,月別入力!$D:$D,設定!L$9,月別入力!$B:$B,設定!$B93),0)</f>
        <v>0</v>
      </c>
      <c r="M93" s="8">
        <f>ROUND(SUMIFS(月別入力!$J:$J,月別入力!$F:$F,設定!$C93,月別入力!$D:$D,設定!M$9,月別入力!$B:$B,設定!$B93),0)</f>
        <v>0</v>
      </c>
      <c r="N93" s="8">
        <f>ROUND(SUMIFS(月別入力!$J:$J,月別入力!$F:$F,設定!$C93,月別入力!$D:$D,設定!N$9,月別入力!$B:$B,設定!$B93),0)</f>
        <v>0</v>
      </c>
      <c r="O93" s="8">
        <f>ROUND(SUMIFS(月別入力!$J:$J,月別入力!$F:$F,設定!$C93,月別入力!$D:$D,設定!O$9,月別入力!$B:$B,設定!$B93),0)</f>
        <v>0</v>
      </c>
      <c r="P93" s="8">
        <f>ROUND(SUMIFS(月別入力!$J:$J,月別入力!$F:$F,設定!$C93,月別入力!$D:$D,設定!P$9,月別入力!$B:$B,設定!$B93),0)</f>
        <v>0</v>
      </c>
      <c r="Q93" s="8">
        <f>ROUND(SUMIFS(月別入力!$J:$J,月別入力!$F:$F,設定!$C93,月別入力!$D:$D,設定!Q$9,月別入力!$B:$B,設定!$B93),0)</f>
        <v>0</v>
      </c>
      <c r="R93" s="8">
        <f>ROUND(SUMIFS(月別入力!$J:$J,月別入力!$F:$F,設定!$C93,月別入力!$D:$D,設定!R$9,月別入力!$B:$B,設定!$B93),0)</f>
        <v>0</v>
      </c>
      <c r="S93" s="8">
        <f>ROUND(SUMIFS(月別入力!$J:$J,月別入力!$F:$F,設定!$C93,月別入力!$D:$D,設定!S$9,月別入力!$B:$B,設定!$B93),0)</f>
        <v>0</v>
      </c>
      <c r="T93" s="8">
        <f>ROUND(SUMIFS(月別入力!$J:$J,月別入力!$F:$F,設定!$C93,月別入力!$D:$D,設定!T$9,月別入力!$B:$B,設定!$B93),0)</f>
        <v>0</v>
      </c>
      <c r="U93" s="8">
        <f>ROUND(SUMIFS(月別入力!$J:$J,月別入力!$F:$F,設定!$C93,月別入力!$D:$D,設定!U$9,月別入力!$B:$B,設定!$B93),0)</f>
        <v>0</v>
      </c>
      <c r="V93" s="8">
        <f>ROUND(SUMIFS(月別入力!$J:$J,月別入力!$F:$F,設定!$C93,月別入力!$D:$D,設定!V$9,月別入力!$B:$B,設定!$B93),0)</f>
        <v>0</v>
      </c>
      <c r="W93" s="9">
        <f>ROUND(SUMIFS(月別入力!$J:$J,月別入力!$F:$F,設定!$C93,月別入力!$D:$D,設定!W$9,月別入力!$B:$B,設定!$B93),0)</f>
        <v>0</v>
      </c>
    </row>
    <row r="94" spans="2:23" s="3" customFormat="1" ht="15" customHeight="1" x14ac:dyDescent="0.2">
      <c r="B94" s="37" t="str">
        <f t="shared" si="7"/>
        <v>&lt;=12</v>
      </c>
      <c r="C94" s="20"/>
      <c r="D94" s="6"/>
      <c r="E94" s="10"/>
      <c r="F94" s="11"/>
      <c r="G94" s="24">
        <f t="shared" si="4"/>
        <v>0</v>
      </c>
      <c r="H94" s="26">
        <f t="shared" si="5"/>
        <v>0</v>
      </c>
      <c r="I94" s="26">
        <f>ROUND(SUMIFS(月別入力!$J:$J,月別入力!$F:$F,設定!$C94,月別入力!$D:$D,設定!I$9,月別入力!$B:$B,設定!$B94),0)</f>
        <v>0</v>
      </c>
      <c r="J94" s="5">
        <f t="shared" si="6"/>
        <v>0</v>
      </c>
      <c r="K94" s="8">
        <f>ROUND(SUMIFS(月別入力!$J:$J,月別入力!$F:$F,設定!$C94,月別入力!$D:$D,設定!K$9,月別入力!$B:$B,設定!$B94),0)</f>
        <v>0</v>
      </c>
      <c r="L94" s="8">
        <f>ROUND(SUMIFS(月別入力!$J:$J,月別入力!$F:$F,設定!$C94,月別入力!$D:$D,設定!L$9,月別入力!$B:$B,設定!$B94),0)</f>
        <v>0</v>
      </c>
      <c r="M94" s="8">
        <f>ROUND(SUMIFS(月別入力!$J:$J,月別入力!$F:$F,設定!$C94,月別入力!$D:$D,設定!M$9,月別入力!$B:$B,設定!$B94),0)</f>
        <v>0</v>
      </c>
      <c r="N94" s="8">
        <f>ROUND(SUMIFS(月別入力!$J:$J,月別入力!$F:$F,設定!$C94,月別入力!$D:$D,設定!N$9,月別入力!$B:$B,設定!$B94),0)</f>
        <v>0</v>
      </c>
      <c r="O94" s="8">
        <f>ROUND(SUMIFS(月別入力!$J:$J,月別入力!$F:$F,設定!$C94,月別入力!$D:$D,設定!O$9,月別入力!$B:$B,設定!$B94),0)</f>
        <v>0</v>
      </c>
      <c r="P94" s="8">
        <f>ROUND(SUMIFS(月別入力!$J:$J,月別入力!$F:$F,設定!$C94,月別入力!$D:$D,設定!P$9,月別入力!$B:$B,設定!$B94),0)</f>
        <v>0</v>
      </c>
      <c r="Q94" s="8">
        <f>ROUND(SUMIFS(月別入力!$J:$J,月別入力!$F:$F,設定!$C94,月別入力!$D:$D,設定!Q$9,月別入力!$B:$B,設定!$B94),0)</f>
        <v>0</v>
      </c>
      <c r="R94" s="8">
        <f>ROUND(SUMIFS(月別入力!$J:$J,月別入力!$F:$F,設定!$C94,月別入力!$D:$D,設定!R$9,月別入力!$B:$B,設定!$B94),0)</f>
        <v>0</v>
      </c>
      <c r="S94" s="8">
        <f>ROUND(SUMIFS(月別入力!$J:$J,月別入力!$F:$F,設定!$C94,月別入力!$D:$D,設定!S$9,月別入力!$B:$B,設定!$B94),0)</f>
        <v>0</v>
      </c>
      <c r="T94" s="8">
        <f>ROUND(SUMIFS(月別入力!$J:$J,月別入力!$F:$F,設定!$C94,月別入力!$D:$D,設定!T$9,月別入力!$B:$B,設定!$B94),0)</f>
        <v>0</v>
      </c>
      <c r="U94" s="8">
        <f>ROUND(SUMIFS(月別入力!$J:$J,月別入力!$F:$F,設定!$C94,月別入力!$D:$D,設定!U$9,月別入力!$B:$B,設定!$B94),0)</f>
        <v>0</v>
      </c>
      <c r="V94" s="8">
        <f>ROUND(SUMIFS(月別入力!$J:$J,月別入力!$F:$F,設定!$C94,月別入力!$D:$D,設定!V$9,月別入力!$B:$B,設定!$B94),0)</f>
        <v>0</v>
      </c>
      <c r="W94" s="9">
        <f>ROUND(SUMIFS(月別入力!$J:$J,月別入力!$F:$F,設定!$C94,月別入力!$D:$D,設定!W$9,月別入力!$B:$B,設定!$B94),0)</f>
        <v>0</v>
      </c>
    </row>
    <row r="95" spans="2:23" s="3" customFormat="1" ht="15" customHeight="1" x14ac:dyDescent="0.2">
      <c r="B95" s="37" t="str">
        <f t="shared" si="7"/>
        <v>&lt;=12</v>
      </c>
      <c r="C95" s="20"/>
      <c r="D95" s="6"/>
      <c r="E95" s="10"/>
      <c r="F95" s="11"/>
      <c r="G95" s="24">
        <f t="shared" si="4"/>
        <v>0</v>
      </c>
      <c r="H95" s="26">
        <f t="shared" si="5"/>
        <v>0</v>
      </c>
      <c r="I95" s="26">
        <f>ROUND(SUMIFS(月別入力!$J:$J,月別入力!$F:$F,設定!$C95,月別入力!$D:$D,設定!I$9,月別入力!$B:$B,設定!$B95),0)</f>
        <v>0</v>
      </c>
      <c r="J95" s="5">
        <f t="shared" si="6"/>
        <v>0</v>
      </c>
      <c r="K95" s="8">
        <f>ROUND(SUMIFS(月別入力!$J:$J,月別入力!$F:$F,設定!$C95,月別入力!$D:$D,設定!K$9,月別入力!$B:$B,設定!$B95),0)</f>
        <v>0</v>
      </c>
      <c r="L95" s="8">
        <f>ROUND(SUMIFS(月別入力!$J:$J,月別入力!$F:$F,設定!$C95,月別入力!$D:$D,設定!L$9,月別入力!$B:$B,設定!$B95),0)</f>
        <v>0</v>
      </c>
      <c r="M95" s="8">
        <f>ROUND(SUMIFS(月別入力!$J:$J,月別入力!$F:$F,設定!$C95,月別入力!$D:$D,設定!M$9,月別入力!$B:$B,設定!$B95),0)</f>
        <v>0</v>
      </c>
      <c r="N95" s="8">
        <f>ROUND(SUMIFS(月別入力!$J:$J,月別入力!$F:$F,設定!$C95,月別入力!$D:$D,設定!N$9,月別入力!$B:$B,設定!$B95),0)</f>
        <v>0</v>
      </c>
      <c r="O95" s="8">
        <f>ROUND(SUMIFS(月別入力!$J:$J,月別入力!$F:$F,設定!$C95,月別入力!$D:$D,設定!O$9,月別入力!$B:$B,設定!$B95),0)</f>
        <v>0</v>
      </c>
      <c r="P95" s="8">
        <f>ROUND(SUMIFS(月別入力!$J:$J,月別入力!$F:$F,設定!$C95,月別入力!$D:$D,設定!P$9,月別入力!$B:$B,設定!$B95),0)</f>
        <v>0</v>
      </c>
      <c r="Q95" s="8">
        <f>ROUND(SUMIFS(月別入力!$J:$J,月別入力!$F:$F,設定!$C95,月別入力!$D:$D,設定!Q$9,月別入力!$B:$B,設定!$B95),0)</f>
        <v>0</v>
      </c>
      <c r="R95" s="8">
        <f>ROUND(SUMIFS(月別入力!$J:$J,月別入力!$F:$F,設定!$C95,月別入力!$D:$D,設定!R$9,月別入力!$B:$B,設定!$B95),0)</f>
        <v>0</v>
      </c>
      <c r="S95" s="8">
        <f>ROUND(SUMIFS(月別入力!$J:$J,月別入力!$F:$F,設定!$C95,月別入力!$D:$D,設定!S$9,月別入力!$B:$B,設定!$B95),0)</f>
        <v>0</v>
      </c>
      <c r="T95" s="8">
        <f>ROUND(SUMIFS(月別入力!$J:$J,月別入力!$F:$F,設定!$C95,月別入力!$D:$D,設定!T$9,月別入力!$B:$B,設定!$B95),0)</f>
        <v>0</v>
      </c>
      <c r="U95" s="8">
        <f>ROUND(SUMIFS(月別入力!$J:$J,月別入力!$F:$F,設定!$C95,月別入力!$D:$D,設定!U$9,月別入力!$B:$B,設定!$B95),0)</f>
        <v>0</v>
      </c>
      <c r="V95" s="8">
        <f>ROUND(SUMIFS(月別入力!$J:$J,月別入力!$F:$F,設定!$C95,月別入力!$D:$D,設定!V$9,月別入力!$B:$B,設定!$B95),0)</f>
        <v>0</v>
      </c>
      <c r="W95" s="9">
        <f>ROUND(SUMIFS(月別入力!$J:$J,月別入力!$F:$F,設定!$C95,月別入力!$D:$D,設定!W$9,月別入力!$B:$B,設定!$B95),0)</f>
        <v>0</v>
      </c>
    </row>
    <row r="96" spans="2:23" s="3" customFormat="1" ht="15" customHeight="1" x14ac:dyDescent="0.2">
      <c r="B96" s="37" t="str">
        <f t="shared" si="7"/>
        <v>&lt;=12</v>
      </c>
      <c r="C96" s="20"/>
      <c r="D96" s="6"/>
      <c r="E96" s="10"/>
      <c r="F96" s="11"/>
      <c r="G96" s="24">
        <f t="shared" si="4"/>
        <v>0</v>
      </c>
      <c r="H96" s="26">
        <f t="shared" si="5"/>
        <v>0</v>
      </c>
      <c r="I96" s="26">
        <f>ROUND(SUMIFS(月別入力!$J:$J,月別入力!$F:$F,設定!$C96,月別入力!$D:$D,設定!I$9,月別入力!$B:$B,設定!$B96),0)</f>
        <v>0</v>
      </c>
      <c r="J96" s="5">
        <f t="shared" si="6"/>
        <v>0</v>
      </c>
      <c r="K96" s="8">
        <f>ROUND(SUMIFS(月別入力!$J:$J,月別入力!$F:$F,設定!$C96,月別入力!$D:$D,設定!K$9,月別入力!$B:$B,設定!$B96),0)</f>
        <v>0</v>
      </c>
      <c r="L96" s="8">
        <f>ROUND(SUMIFS(月別入力!$J:$J,月別入力!$F:$F,設定!$C96,月別入力!$D:$D,設定!L$9,月別入力!$B:$B,設定!$B96),0)</f>
        <v>0</v>
      </c>
      <c r="M96" s="8">
        <f>ROUND(SUMIFS(月別入力!$J:$J,月別入力!$F:$F,設定!$C96,月別入力!$D:$D,設定!M$9,月別入力!$B:$B,設定!$B96),0)</f>
        <v>0</v>
      </c>
      <c r="N96" s="8">
        <f>ROUND(SUMIFS(月別入力!$J:$J,月別入力!$F:$F,設定!$C96,月別入力!$D:$D,設定!N$9,月別入力!$B:$B,設定!$B96),0)</f>
        <v>0</v>
      </c>
      <c r="O96" s="8">
        <f>ROUND(SUMIFS(月別入力!$J:$J,月別入力!$F:$F,設定!$C96,月別入力!$D:$D,設定!O$9,月別入力!$B:$B,設定!$B96),0)</f>
        <v>0</v>
      </c>
      <c r="P96" s="8">
        <f>ROUND(SUMIFS(月別入力!$J:$J,月別入力!$F:$F,設定!$C96,月別入力!$D:$D,設定!P$9,月別入力!$B:$B,設定!$B96),0)</f>
        <v>0</v>
      </c>
      <c r="Q96" s="8">
        <f>ROUND(SUMIFS(月別入力!$J:$J,月別入力!$F:$F,設定!$C96,月別入力!$D:$D,設定!Q$9,月別入力!$B:$B,設定!$B96),0)</f>
        <v>0</v>
      </c>
      <c r="R96" s="8">
        <f>ROUND(SUMIFS(月別入力!$J:$J,月別入力!$F:$F,設定!$C96,月別入力!$D:$D,設定!R$9,月別入力!$B:$B,設定!$B96),0)</f>
        <v>0</v>
      </c>
      <c r="S96" s="8">
        <f>ROUND(SUMIFS(月別入力!$J:$J,月別入力!$F:$F,設定!$C96,月別入力!$D:$D,設定!S$9,月別入力!$B:$B,設定!$B96),0)</f>
        <v>0</v>
      </c>
      <c r="T96" s="8">
        <f>ROUND(SUMIFS(月別入力!$J:$J,月別入力!$F:$F,設定!$C96,月別入力!$D:$D,設定!T$9,月別入力!$B:$B,設定!$B96),0)</f>
        <v>0</v>
      </c>
      <c r="U96" s="8">
        <f>ROUND(SUMIFS(月別入力!$J:$J,月別入力!$F:$F,設定!$C96,月別入力!$D:$D,設定!U$9,月別入力!$B:$B,設定!$B96),0)</f>
        <v>0</v>
      </c>
      <c r="V96" s="8">
        <f>ROUND(SUMIFS(月別入力!$J:$J,月別入力!$F:$F,設定!$C96,月別入力!$D:$D,設定!V$9,月別入力!$B:$B,設定!$B96),0)</f>
        <v>0</v>
      </c>
      <c r="W96" s="9">
        <f>ROUND(SUMIFS(月別入力!$J:$J,月別入力!$F:$F,設定!$C96,月別入力!$D:$D,設定!W$9,月別入力!$B:$B,設定!$B96),0)</f>
        <v>0</v>
      </c>
    </row>
    <row r="97" spans="2:23" s="3" customFormat="1" ht="15" customHeight="1" x14ac:dyDescent="0.2">
      <c r="B97" s="37" t="str">
        <f t="shared" si="7"/>
        <v>&lt;=12</v>
      </c>
      <c r="C97" s="20"/>
      <c r="D97" s="6"/>
      <c r="E97" s="10"/>
      <c r="F97" s="11"/>
      <c r="G97" s="24">
        <f t="shared" si="4"/>
        <v>0</v>
      </c>
      <c r="H97" s="26">
        <f t="shared" si="5"/>
        <v>0</v>
      </c>
      <c r="I97" s="26">
        <f>ROUND(SUMIFS(月別入力!$J:$J,月別入力!$F:$F,設定!$C97,月別入力!$D:$D,設定!I$9,月別入力!$B:$B,設定!$B97),0)</f>
        <v>0</v>
      </c>
      <c r="J97" s="5">
        <f t="shared" si="6"/>
        <v>0</v>
      </c>
      <c r="K97" s="8">
        <f>ROUND(SUMIFS(月別入力!$J:$J,月別入力!$F:$F,設定!$C97,月別入力!$D:$D,設定!K$9,月別入力!$B:$B,設定!$B97),0)</f>
        <v>0</v>
      </c>
      <c r="L97" s="8">
        <f>ROUND(SUMIFS(月別入力!$J:$J,月別入力!$F:$F,設定!$C97,月別入力!$D:$D,設定!L$9,月別入力!$B:$B,設定!$B97),0)</f>
        <v>0</v>
      </c>
      <c r="M97" s="8">
        <f>ROUND(SUMIFS(月別入力!$J:$J,月別入力!$F:$F,設定!$C97,月別入力!$D:$D,設定!M$9,月別入力!$B:$B,設定!$B97),0)</f>
        <v>0</v>
      </c>
      <c r="N97" s="8">
        <f>ROUND(SUMIFS(月別入力!$J:$J,月別入力!$F:$F,設定!$C97,月別入力!$D:$D,設定!N$9,月別入力!$B:$B,設定!$B97),0)</f>
        <v>0</v>
      </c>
      <c r="O97" s="8">
        <f>ROUND(SUMIFS(月別入力!$J:$J,月別入力!$F:$F,設定!$C97,月別入力!$D:$D,設定!O$9,月別入力!$B:$B,設定!$B97),0)</f>
        <v>0</v>
      </c>
      <c r="P97" s="8">
        <f>ROUND(SUMIFS(月別入力!$J:$J,月別入力!$F:$F,設定!$C97,月別入力!$D:$D,設定!P$9,月別入力!$B:$B,設定!$B97),0)</f>
        <v>0</v>
      </c>
      <c r="Q97" s="8">
        <f>ROUND(SUMIFS(月別入力!$J:$J,月別入力!$F:$F,設定!$C97,月別入力!$D:$D,設定!Q$9,月別入力!$B:$B,設定!$B97),0)</f>
        <v>0</v>
      </c>
      <c r="R97" s="8">
        <f>ROUND(SUMIFS(月別入力!$J:$J,月別入力!$F:$F,設定!$C97,月別入力!$D:$D,設定!R$9,月別入力!$B:$B,設定!$B97),0)</f>
        <v>0</v>
      </c>
      <c r="S97" s="8">
        <f>ROUND(SUMIFS(月別入力!$J:$J,月別入力!$F:$F,設定!$C97,月別入力!$D:$D,設定!S$9,月別入力!$B:$B,設定!$B97),0)</f>
        <v>0</v>
      </c>
      <c r="T97" s="8">
        <f>ROUND(SUMIFS(月別入力!$J:$J,月別入力!$F:$F,設定!$C97,月別入力!$D:$D,設定!T$9,月別入力!$B:$B,設定!$B97),0)</f>
        <v>0</v>
      </c>
      <c r="U97" s="8">
        <f>ROUND(SUMIFS(月別入力!$J:$J,月別入力!$F:$F,設定!$C97,月別入力!$D:$D,設定!U$9,月別入力!$B:$B,設定!$B97),0)</f>
        <v>0</v>
      </c>
      <c r="V97" s="8">
        <f>ROUND(SUMIFS(月別入力!$J:$J,月別入力!$F:$F,設定!$C97,月別入力!$D:$D,設定!V$9,月別入力!$B:$B,設定!$B97),0)</f>
        <v>0</v>
      </c>
      <c r="W97" s="9">
        <f>ROUND(SUMIFS(月別入力!$J:$J,月別入力!$F:$F,設定!$C97,月別入力!$D:$D,設定!W$9,月別入力!$B:$B,設定!$B97),0)</f>
        <v>0</v>
      </c>
    </row>
    <row r="98" spans="2:23" s="3" customFormat="1" ht="15" customHeight="1" x14ac:dyDescent="0.2">
      <c r="B98" s="37" t="str">
        <f t="shared" si="7"/>
        <v>&lt;=12</v>
      </c>
      <c r="C98" s="20"/>
      <c r="D98" s="6"/>
      <c r="E98" s="10"/>
      <c r="F98" s="11"/>
      <c r="G98" s="24">
        <f t="shared" si="4"/>
        <v>0</v>
      </c>
      <c r="H98" s="26">
        <f t="shared" si="5"/>
        <v>0</v>
      </c>
      <c r="I98" s="26">
        <f>ROUND(SUMIFS(月別入力!$J:$J,月別入力!$F:$F,設定!$C98,月別入力!$D:$D,設定!I$9,月別入力!$B:$B,設定!$B98),0)</f>
        <v>0</v>
      </c>
      <c r="J98" s="5">
        <f t="shared" si="6"/>
        <v>0</v>
      </c>
      <c r="K98" s="8">
        <f>ROUND(SUMIFS(月別入力!$J:$J,月別入力!$F:$F,設定!$C98,月別入力!$D:$D,設定!K$9,月別入力!$B:$B,設定!$B98),0)</f>
        <v>0</v>
      </c>
      <c r="L98" s="8">
        <f>ROUND(SUMIFS(月別入力!$J:$J,月別入力!$F:$F,設定!$C98,月別入力!$D:$D,設定!L$9,月別入力!$B:$B,設定!$B98),0)</f>
        <v>0</v>
      </c>
      <c r="M98" s="8">
        <f>ROUND(SUMIFS(月別入力!$J:$J,月別入力!$F:$F,設定!$C98,月別入力!$D:$D,設定!M$9,月別入力!$B:$B,設定!$B98),0)</f>
        <v>0</v>
      </c>
      <c r="N98" s="8">
        <f>ROUND(SUMIFS(月別入力!$J:$J,月別入力!$F:$F,設定!$C98,月別入力!$D:$D,設定!N$9,月別入力!$B:$B,設定!$B98),0)</f>
        <v>0</v>
      </c>
      <c r="O98" s="8">
        <f>ROUND(SUMIFS(月別入力!$J:$J,月別入力!$F:$F,設定!$C98,月別入力!$D:$D,設定!O$9,月別入力!$B:$B,設定!$B98),0)</f>
        <v>0</v>
      </c>
      <c r="P98" s="8">
        <f>ROUND(SUMIFS(月別入力!$J:$J,月別入力!$F:$F,設定!$C98,月別入力!$D:$D,設定!P$9,月別入力!$B:$B,設定!$B98),0)</f>
        <v>0</v>
      </c>
      <c r="Q98" s="8">
        <f>ROUND(SUMIFS(月別入力!$J:$J,月別入力!$F:$F,設定!$C98,月別入力!$D:$D,設定!Q$9,月別入力!$B:$B,設定!$B98),0)</f>
        <v>0</v>
      </c>
      <c r="R98" s="8">
        <f>ROUND(SUMIFS(月別入力!$J:$J,月別入力!$F:$F,設定!$C98,月別入力!$D:$D,設定!R$9,月別入力!$B:$B,設定!$B98),0)</f>
        <v>0</v>
      </c>
      <c r="S98" s="8">
        <f>ROUND(SUMIFS(月別入力!$J:$J,月別入力!$F:$F,設定!$C98,月別入力!$D:$D,設定!S$9,月別入力!$B:$B,設定!$B98),0)</f>
        <v>0</v>
      </c>
      <c r="T98" s="8">
        <f>ROUND(SUMIFS(月別入力!$J:$J,月別入力!$F:$F,設定!$C98,月別入力!$D:$D,設定!T$9,月別入力!$B:$B,設定!$B98),0)</f>
        <v>0</v>
      </c>
      <c r="U98" s="8">
        <f>ROUND(SUMIFS(月別入力!$J:$J,月別入力!$F:$F,設定!$C98,月別入力!$D:$D,設定!U$9,月別入力!$B:$B,設定!$B98),0)</f>
        <v>0</v>
      </c>
      <c r="V98" s="8">
        <f>ROUND(SUMIFS(月別入力!$J:$J,月別入力!$F:$F,設定!$C98,月別入力!$D:$D,設定!V$9,月別入力!$B:$B,設定!$B98),0)</f>
        <v>0</v>
      </c>
      <c r="W98" s="9">
        <f>ROUND(SUMIFS(月別入力!$J:$J,月別入力!$F:$F,設定!$C98,月別入力!$D:$D,設定!W$9,月別入力!$B:$B,設定!$B98),0)</f>
        <v>0</v>
      </c>
    </row>
    <row r="99" spans="2:23" s="3" customFormat="1" ht="15" customHeight="1" x14ac:dyDescent="0.2">
      <c r="B99" s="37" t="str">
        <f t="shared" si="7"/>
        <v>&lt;=12</v>
      </c>
      <c r="C99" s="20"/>
      <c r="D99" s="6"/>
      <c r="E99" s="10"/>
      <c r="F99" s="11"/>
      <c r="G99" s="24">
        <f t="shared" si="4"/>
        <v>0</v>
      </c>
      <c r="H99" s="26">
        <f t="shared" si="5"/>
        <v>0</v>
      </c>
      <c r="I99" s="26">
        <f>ROUND(SUMIFS(月別入力!$J:$J,月別入力!$F:$F,設定!$C99,月別入力!$D:$D,設定!I$9,月別入力!$B:$B,設定!$B99),0)</f>
        <v>0</v>
      </c>
      <c r="J99" s="5">
        <f t="shared" si="6"/>
        <v>0</v>
      </c>
      <c r="K99" s="8">
        <f>ROUND(SUMIFS(月別入力!$J:$J,月別入力!$F:$F,設定!$C99,月別入力!$D:$D,設定!K$9,月別入力!$B:$B,設定!$B99),0)</f>
        <v>0</v>
      </c>
      <c r="L99" s="8">
        <f>ROUND(SUMIFS(月別入力!$J:$J,月別入力!$F:$F,設定!$C99,月別入力!$D:$D,設定!L$9,月別入力!$B:$B,設定!$B99),0)</f>
        <v>0</v>
      </c>
      <c r="M99" s="8">
        <f>ROUND(SUMIFS(月別入力!$J:$J,月別入力!$F:$F,設定!$C99,月別入力!$D:$D,設定!M$9,月別入力!$B:$B,設定!$B99),0)</f>
        <v>0</v>
      </c>
      <c r="N99" s="8">
        <f>ROUND(SUMIFS(月別入力!$J:$J,月別入力!$F:$F,設定!$C99,月別入力!$D:$D,設定!N$9,月別入力!$B:$B,設定!$B99),0)</f>
        <v>0</v>
      </c>
      <c r="O99" s="8">
        <f>ROUND(SUMIFS(月別入力!$J:$J,月別入力!$F:$F,設定!$C99,月別入力!$D:$D,設定!O$9,月別入力!$B:$B,設定!$B99),0)</f>
        <v>0</v>
      </c>
      <c r="P99" s="8">
        <f>ROUND(SUMIFS(月別入力!$J:$J,月別入力!$F:$F,設定!$C99,月別入力!$D:$D,設定!P$9,月別入力!$B:$B,設定!$B99),0)</f>
        <v>0</v>
      </c>
      <c r="Q99" s="8">
        <f>ROUND(SUMIFS(月別入力!$J:$J,月別入力!$F:$F,設定!$C99,月別入力!$D:$D,設定!Q$9,月別入力!$B:$B,設定!$B99),0)</f>
        <v>0</v>
      </c>
      <c r="R99" s="8">
        <f>ROUND(SUMIFS(月別入力!$J:$J,月別入力!$F:$F,設定!$C99,月別入力!$D:$D,設定!R$9,月別入力!$B:$B,設定!$B99),0)</f>
        <v>0</v>
      </c>
      <c r="S99" s="8">
        <f>ROUND(SUMIFS(月別入力!$J:$J,月別入力!$F:$F,設定!$C99,月別入力!$D:$D,設定!S$9,月別入力!$B:$B,設定!$B99),0)</f>
        <v>0</v>
      </c>
      <c r="T99" s="8">
        <f>ROUND(SUMIFS(月別入力!$J:$J,月別入力!$F:$F,設定!$C99,月別入力!$D:$D,設定!T$9,月別入力!$B:$B,設定!$B99),0)</f>
        <v>0</v>
      </c>
      <c r="U99" s="8">
        <f>ROUND(SUMIFS(月別入力!$J:$J,月別入力!$F:$F,設定!$C99,月別入力!$D:$D,設定!U$9,月別入力!$B:$B,設定!$B99),0)</f>
        <v>0</v>
      </c>
      <c r="V99" s="8">
        <f>ROUND(SUMIFS(月別入力!$J:$J,月別入力!$F:$F,設定!$C99,月別入力!$D:$D,設定!V$9,月別入力!$B:$B,設定!$B99),0)</f>
        <v>0</v>
      </c>
      <c r="W99" s="9">
        <f>ROUND(SUMIFS(月別入力!$J:$J,月別入力!$F:$F,設定!$C99,月別入力!$D:$D,設定!W$9,月別入力!$B:$B,設定!$B99),0)</f>
        <v>0</v>
      </c>
    </row>
    <row r="100" spans="2:23" s="3" customFormat="1" ht="15" customHeight="1" x14ac:dyDescent="0.2">
      <c r="B100" s="37" t="str">
        <f t="shared" si="7"/>
        <v>&lt;=12</v>
      </c>
      <c r="C100" s="20"/>
      <c r="D100" s="6"/>
      <c r="E100" s="10"/>
      <c r="F100" s="11"/>
      <c r="G100" s="24">
        <f t="shared" si="4"/>
        <v>0</v>
      </c>
      <c r="H100" s="26">
        <f t="shared" si="5"/>
        <v>0</v>
      </c>
      <c r="I100" s="26">
        <f>ROUND(SUMIFS(月別入力!$J:$J,月別入力!$F:$F,設定!$C100,月別入力!$D:$D,設定!I$9,月別入力!$B:$B,設定!$B100),0)</f>
        <v>0</v>
      </c>
      <c r="J100" s="5">
        <f t="shared" si="6"/>
        <v>0</v>
      </c>
      <c r="K100" s="8">
        <f>ROUND(SUMIFS(月別入力!$J:$J,月別入力!$F:$F,設定!$C100,月別入力!$D:$D,設定!K$9,月別入力!$B:$B,設定!$B100),0)</f>
        <v>0</v>
      </c>
      <c r="L100" s="8">
        <f>ROUND(SUMIFS(月別入力!$J:$J,月別入力!$F:$F,設定!$C100,月別入力!$D:$D,設定!L$9,月別入力!$B:$B,設定!$B100),0)</f>
        <v>0</v>
      </c>
      <c r="M100" s="8">
        <f>ROUND(SUMIFS(月別入力!$J:$J,月別入力!$F:$F,設定!$C100,月別入力!$D:$D,設定!M$9,月別入力!$B:$B,設定!$B100),0)</f>
        <v>0</v>
      </c>
      <c r="N100" s="8">
        <f>ROUND(SUMIFS(月別入力!$J:$J,月別入力!$F:$F,設定!$C100,月別入力!$D:$D,設定!N$9,月別入力!$B:$B,設定!$B100),0)</f>
        <v>0</v>
      </c>
      <c r="O100" s="8">
        <f>ROUND(SUMIFS(月別入力!$J:$J,月別入力!$F:$F,設定!$C100,月別入力!$D:$D,設定!O$9,月別入力!$B:$B,設定!$B100),0)</f>
        <v>0</v>
      </c>
      <c r="P100" s="8">
        <f>ROUND(SUMIFS(月別入力!$J:$J,月別入力!$F:$F,設定!$C100,月別入力!$D:$D,設定!P$9,月別入力!$B:$B,設定!$B100),0)</f>
        <v>0</v>
      </c>
      <c r="Q100" s="8">
        <f>ROUND(SUMIFS(月別入力!$J:$J,月別入力!$F:$F,設定!$C100,月別入力!$D:$D,設定!Q$9,月別入力!$B:$B,設定!$B100),0)</f>
        <v>0</v>
      </c>
      <c r="R100" s="8">
        <f>ROUND(SUMIFS(月別入力!$J:$J,月別入力!$F:$F,設定!$C100,月別入力!$D:$D,設定!R$9,月別入力!$B:$B,設定!$B100),0)</f>
        <v>0</v>
      </c>
      <c r="S100" s="8">
        <f>ROUND(SUMIFS(月別入力!$J:$J,月別入力!$F:$F,設定!$C100,月別入力!$D:$D,設定!S$9,月別入力!$B:$B,設定!$B100),0)</f>
        <v>0</v>
      </c>
      <c r="T100" s="8">
        <f>ROUND(SUMIFS(月別入力!$J:$J,月別入力!$F:$F,設定!$C100,月別入力!$D:$D,設定!T$9,月別入力!$B:$B,設定!$B100),0)</f>
        <v>0</v>
      </c>
      <c r="U100" s="8">
        <f>ROUND(SUMIFS(月別入力!$J:$J,月別入力!$F:$F,設定!$C100,月別入力!$D:$D,設定!U$9,月別入力!$B:$B,設定!$B100),0)</f>
        <v>0</v>
      </c>
      <c r="V100" s="8">
        <f>ROUND(SUMIFS(月別入力!$J:$J,月別入力!$F:$F,設定!$C100,月別入力!$D:$D,設定!V$9,月別入力!$B:$B,設定!$B100),0)</f>
        <v>0</v>
      </c>
      <c r="W100" s="9">
        <f>ROUND(SUMIFS(月別入力!$J:$J,月別入力!$F:$F,設定!$C100,月別入力!$D:$D,設定!W$9,月別入力!$B:$B,設定!$B100),0)</f>
        <v>0</v>
      </c>
    </row>
    <row r="101" spans="2:23" s="3" customFormat="1" ht="15" customHeight="1" x14ac:dyDescent="0.2">
      <c r="B101" s="37" t="str">
        <f t="shared" si="7"/>
        <v>&lt;=12</v>
      </c>
      <c r="C101" s="20"/>
      <c r="D101" s="6"/>
      <c r="E101" s="10"/>
      <c r="F101" s="11"/>
      <c r="G101" s="24">
        <f t="shared" si="4"/>
        <v>0</v>
      </c>
      <c r="H101" s="26">
        <f t="shared" si="5"/>
        <v>0</v>
      </c>
      <c r="I101" s="26">
        <f>ROUND(SUMIFS(月別入力!$J:$J,月別入力!$F:$F,設定!$C101,月別入力!$D:$D,設定!I$9,月別入力!$B:$B,設定!$B101),0)</f>
        <v>0</v>
      </c>
      <c r="J101" s="5">
        <f t="shared" si="6"/>
        <v>0</v>
      </c>
      <c r="K101" s="8">
        <f>ROUND(SUMIFS(月別入力!$J:$J,月別入力!$F:$F,設定!$C101,月別入力!$D:$D,設定!K$9,月別入力!$B:$B,設定!$B101),0)</f>
        <v>0</v>
      </c>
      <c r="L101" s="8">
        <f>ROUND(SUMIFS(月別入力!$J:$J,月別入力!$F:$F,設定!$C101,月別入力!$D:$D,設定!L$9,月別入力!$B:$B,設定!$B101),0)</f>
        <v>0</v>
      </c>
      <c r="M101" s="8">
        <f>ROUND(SUMIFS(月別入力!$J:$J,月別入力!$F:$F,設定!$C101,月別入力!$D:$D,設定!M$9,月別入力!$B:$B,設定!$B101),0)</f>
        <v>0</v>
      </c>
      <c r="N101" s="8">
        <f>ROUND(SUMIFS(月別入力!$J:$J,月別入力!$F:$F,設定!$C101,月別入力!$D:$D,設定!N$9,月別入力!$B:$B,設定!$B101),0)</f>
        <v>0</v>
      </c>
      <c r="O101" s="8">
        <f>ROUND(SUMIFS(月別入力!$J:$J,月別入力!$F:$F,設定!$C101,月別入力!$D:$D,設定!O$9,月別入力!$B:$B,設定!$B101),0)</f>
        <v>0</v>
      </c>
      <c r="P101" s="8">
        <f>ROUND(SUMIFS(月別入力!$J:$J,月別入力!$F:$F,設定!$C101,月別入力!$D:$D,設定!P$9,月別入力!$B:$B,設定!$B101),0)</f>
        <v>0</v>
      </c>
      <c r="Q101" s="8">
        <f>ROUND(SUMIFS(月別入力!$J:$J,月別入力!$F:$F,設定!$C101,月別入力!$D:$D,設定!Q$9,月別入力!$B:$B,設定!$B101),0)</f>
        <v>0</v>
      </c>
      <c r="R101" s="8">
        <f>ROUND(SUMIFS(月別入力!$J:$J,月別入力!$F:$F,設定!$C101,月別入力!$D:$D,設定!R$9,月別入力!$B:$B,設定!$B101),0)</f>
        <v>0</v>
      </c>
      <c r="S101" s="8">
        <f>ROUND(SUMIFS(月別入力!$J:$J,月別入力!$F:$F,設定!$C101,月別入力!$D:$D,設定!S$9,月別入力!$B:$B,設定!$B101),0)</f>
        <v>0</v>
      </c>
      <c r="T101" s="8">
        <f>ROUND(SUMIFS(月別入力!$J:$J,月別入力!$F:$F,設定!$C101,月別入力!$D:$D,設定!T$9,月別入力!$B:$B,設定!$B101),0)</f>
        <v>0</v>
      </c>
      <c r="U101" s="8">
        <f>ROUND(SUMIFS(月別入力!$J:$J,月別入力!$F:$F,設定!$C101,月別入力!$D:$D,設定!U$9,月別入力!$B:$B,設定!$B101),0)</f>
        <v>0</v>
      </c>
      <c r="V101" s="8">
        <f>ROUND(SUMIFS(月別入力!$J:$J,月別入力!$F:$F,設定!$C101,月別入力!$D:$D,設定!V$9,月別入力!$B:$B,設定!$B101),0)</f>
        <v>0</v>
      </c>
      <c r="W101" s="9">
        <f>ROUND(SUMIFS(月別入力!$J:$J,月別入力!$F:$F,設定!$C101,月別入力!$D:$D,設定!W$9,月別入力!$B:$B,設定!$B101),0)</f>
        <v>0</v>
      </c>
    </row>
    <row r="102" spans="2:23" s="3" customFormat="1" ht="15" customHeight="1" x14ac:dyDescent="0.2">
      <c r="B102" s="37" t="str">
        <f t="shared" si="7"/>
        <v>&lt;=12</v>
      </c>
      <c r="C102" s="20"/>
      <c r="D102" s="6"/>
      <c r="E102" s="10"/>
      <c r="F102" s="11"/>
      <c r="G102" s="24">
        <f t="shared" si="4"/>
        <v>0</v>
      </c>
      <c r="H102" s="26">
        <f t="shared" si="5"/>
        <v>0</v>
      </c>
      <c r="I102" s="26">
        <f>ROUND(SUMIFS(月別入力!$J:$J,月別入力!$F:$F,設定!$C102,月別入力!$D:$D,設定!I$9,月別入力!$B:$B,設定!$B102),0)</f>
        <v>0</v>
      </c>
      <c r="J102" s="5">
        <f t="shared" si="6"/>
        <v>0</v>
      </c>
      <c r="K102" s="8">
        <f>ROUND(SUMIFS(月別入力!$J:$J,月別入力!$F:$F,設定!$C102,月別入力!$D:$D,設定!K$9,月別入力!$B:$B,設定!$B102),0)</f>
        <v>0</v>
      </c>
      <c r="L102" s="8">
        <f>ROUND(SUMIFS(月別入力!$J:$J,月別入力!$F:$F,設定!$C102,月別入力!$D:$D,設定!L$9,月別入力!$B:$B,設定!$B102),0)</f>
        <v>0</v>
      </c>
      <c r="M102" s="8">
        <f>ROUND(SUMIFS(月別入力!$J:$J,月別入力!$F:$F,設定!$C102,月別入力!$D:$D,設定!M$9,月別入力!$B:$B,設定!$B102),0)</f>
        <v>0</v>
      </c>
      <c r="N102" s="8">
        <f>ROUND(SUMIFS(月別入力!$J:$J,月別入力!$F:$F,設定!$C102,月別入力!$D:$D,設定!N$9,月別入力!$B:$B,設定!$B102),0)</f>
        <v>0</v>
      </c>
      <c r="O102" s="8">
        <f>ROUND(SUMIFS(月別入力!$J:$J,月別入力!$F:$F,設定!$C102,月別入力!$D:$D,設定!O$9,月別入力!$B:$B,設定!$B102),0)</f>
        <v>0</v>
      </c>
      <c r="P102" s="8">
        <f>ROUND(SUMIFS(月別入力!$J:$J,月別入力!$F:$F,設定!$C102,月別入力!$D:$D,設定!P$9,月別入力!$B:$B,設定!$B102),0)</f>
        <v>0</v>
      </c>
      <c r="Q102" s="8">
        <f>ROUND(SUMIFS(月別入力!$J:$J,月別入力!$F:$F,設定!$C102,月別入力!$D:$D,設定!Q$9,月別入力!$B:$B,設定!$B102),0)</f>
        <v>0</v>
      </c>
      <c r="R102" s="8">
        <f>ROUND(SUMIFS(月別入力!$J:$J,月別入力!$F:$F,設定!$C102,月別入力!$D:$D,設定!R$9,月別入力!$B:$B,設定!$B102),0)</f>
        <v>0</v>
      </c>
      <c r="S102" s="8">
        <f>ROUND(SUMIFS(月別入力!$J:$J,月別入力!$F:$F,設定!$C102,月別入力!$D:$D,設定!S$9,月別入力!$B:$B,設定!$B102),0)</f>
        <v>0</v>
      </c>
      <c r="T102" s="8">
        <f>ROUND(SUMIFS(月別入力!$J:$J,月別入力!$F:$F,設定!$C102,月別入力!$D:$D,設定!T$9,月別入力!$B:$B,設定!$B102),0)</f>
        <v>0</v>
      </c>
      <c r="U102" s="8">
        <f>ROUND(SUMIFS(月別入力!$J:$J,月別入力!$F:$F,設定!$C102,月別入力!$D:$D,設定!U$9,月別入力!$B:$B,設定!$B102),0)</f>
        <v>0</v>
      </c>
      <c r="V102" s="8">
        <f>ROUND(SUMIFS(月別入力!$J:$J,月別入力!$F:$F,設定!$C102,月別入力!$D:$D,設定!V$9,月別入力!$B:$B,設定!$B102),0)</f>
        <v>0</v>
      </c>
      <c r="W102" s="9">
        <f>ROUND(SUMIFS(月別入力!$J:$J,月別入力!$F:$F,設定!$C102,月別入力!$D:$D,設定!W$9,月別入力!$B:$B,設定!$B102),0)</f>
        <v>0</v>
      </c>
    </row>
    <row r="103" spans="2:23" s="3" customFormat="1" ht="15" customHeight="1" x14ac:dyDescent="0.2">
      <c r="B103" s="37" t="str">
        <f t="shared" si="7"/>
        <v>&lt;=12</v>
      </c>
      <c r="C103" s="20"/>
      <c r="D103" s="6"/>
      <c r="E103" s="10"/>
      <c r="F103" s="11"/>
      <c r="G103" s="24">
        <f t="shared" si="4"/>
        <v>0</v>
      </c>
      <c r="H103" s="26">
        <f t="shared" si="5"/>
        <v>0</v>
      </c>
      <c r="I103" s="26">
        <f>ROUND(SUMIFS(月別入力!$J:$J,月別入力!$F:$F,設定!$C103,月別入力!$D:$D,設定!I$9,月別入力!$B:$B,設定!$B103),0)</f>
        <v>0</v>
      </c>
      <c r="J103" s="5">
        <f t="shared" si="6"/>
        <v>0</v>
      </c>
      <c r="K103" s="8">
        <f>ROUND(SUMIFS(月別入力!$J:$J,月別入力!$F:$F,設定!$C103,月別入力!$D:$D,設定!K$9,月別入力!$B:$B,設定!$B103),0)</f>
        <v>0</v>
      </c>
      <c r="L103" s="8">
        <f>ROUND(SUMIFS(月別入力!$J:$J,月別入力!$F:$F,設定!$C103,月別入力!$D:$D,設定!L$9,月別入力!$B:$B,設定!$B103),0)</f>
        <v>0</v>
      </c>
      <c r="M103" s="8">
        <f>ROUND(SUMIFS(月別入力!$J:$J,月別入力!$F:$F,設定!$C103,月別入力!$D:$D,設定!M$9,月別入力!$B:$B,設定!$B103),0)</f>
        <v>0</v>
      </c>
      <c r="N103" s="8">
        <f>ROUND(SUMIFS(月別入力!$J:$J,月別入力!$F:$F,設定!$C103,月別入力!$D:$D,設定!N$9,月別入力!$B:$B,設定!$B103),0)</f>
        <v>0</v>
      </c>
      <c r="O103" s="8">
        <f>ROUND(SUMIFS(月別入力!$J:$J,月別入力!$F:$F,設定!$C103,月別入力!$D:$D,設定!O$9,月別入力!$B:$B,設定!$B103),0)</f>
        <v>0</v>
      </c>
      <c r="P103" s="8">
        <f>ROUND(SUMIFS(月別入力!$J:$J,月別入力!$F:$F,設定!$C103,月別入力!$D:$D,設定!P$9,月別入力!$B:$B,設定!$B103),0)</f>
        <v>0</v>
      </c>
      <c r="Q103" s="8">
        <f>ROUND(SUMIFS(月別入力!$J:$J,月別入力!$F:$F,設定!$C103,月別入力!$D:$D,設定!Q$9,月別入力!$B:$B,設定!$B103),0)</f>
        <v>0</v>
      </c>
      <c r="R103" s="8">
        <f>ROUND(SUMIFS(月別入力!$J:$J,月別入力!$F:$F,設定!$C103,月別入力!$D:$D,設定!R$9,月別入力!$B:$B,設定!$B103),0)</f>
        <v>0</v>
      </c>
      <c r="S103" s="8">
        <f>ROUND(SUMIFS(月別入力!$J:$J,月別入力!$F:$F,設定!$C103,月別入力!$D:$D,設定!S$9,月別入力!$B:$B,設定!$B103),0)</f>
        <v>0</v>
      </c>
      <c r="T103" s="8">
        <f>ROUND(SUMIFS(月別入力!$J:$J,月別入力!$F:$F,設定!$C103,月別入力!$D:$D,設定!T$9,月別入力!$B:$B,設定!$B103),0)</f>
        <v>0</v>
      </c>
      <c r="U103" s="8">
        <f>ROUND(SUMIFS(月別入力!$J:$J,月別入力!$F:$F,設定!$C103,月別入力!$D:$D,設定!U$9,月別入力!$B:$B,設定!$B103),0)</f>
        <v>0</v>
      </c>
      <c r="V103" s="8">
        <f>ROUND(SUMIFS(月別入力!$J:$J,月別入力!$F:$F,設定!$C103,月別入力!$D:$D,設定!V$9,月別入力!$B:$B,設定!$B103),0)</f>
        <v>0</v>
      </c>
      <c r="W103" s="9">
        <f>ROUND(SUMIFS(月別入力!$J:$J,月別入力!$F:$F,設定!$C103,月別入力!$D:$D,設定!W$9,月別入力!$B:$B,設定!$B103),0)</f>
        <v>0</v>
      </c>
    </row>
    <row r="104" spans="2:23" s="3" customFormat="1" ht="15" customHeight="1" x14ac:dyDescent="0.2">
      <c r="B104" s="37" t="str">
        <f t="shared" si="7"/>
        <v>&lt;=12</v>
      </c>
      <c r="C104" s="20"/>
      <c r="D104" s="6"/>
      <c r="E104" s="10"/>
      <c r="F104" s="11"/>
      <c r="G104" s="24">
        <f t="shared" si="4"/>
        <v>0</v>
      </c>
      <c r="H104" s="26">
        <f t="shared" si="5"/>
        <v>0</v>
      </c>
      <c r="I104" s="26">
        <f>ROUND(SUMIFS(月別入力!$J:$J,月別入力!$F:$F,設定!$C104,月別入力!$D:$D,設定!I$9,月別入力!$B:$B,設定!$B104),0)</f>
        <v>0</v>
      </c>
      <c r="J104" s="5">
        <f t="shared" si="6"/>
        <v>0</v>
      </c>
      <c r="K104" s="8">
        <f>ROUND(SUMIFS(月別入力!$J:$J,月別入力!$F:$F,設定!$C104,月別入力!$D:$D,設定!K$9,月別入力!$B:$B,設定!$B104),0)</f>
        <v>0</v>
      </c>
      <c r="L104" s="8">
        <f>ROUND(SUMIFS(月別入力!$J:$J,月別入力!$F:$F,設定!$C104,月別入力!$D:$D,設定!L$9,月別入力!$B:$B,設定!$B104),0)</f>
        <v>0</v>
      </c>
      <c r="M104" s="8">
        <f>ROUND(SUMIFS(月別入力!$J:$J,月別入力!$F:$F,設定!$C104,月別入力!$D:$D,設定!M$9,月別入力!$B:$B,設定!$B104),0)</f>
        <v>0</v>
      </c>
      <c r="N104" s="8">
        <f>ROUND(SUMIFS(月別入力!$J:$J,月別入力!$F:$F,設定!$C104,月別入力!$D:$D,設定!N$9,月別入力!$B:$B,設定!$B104),0)</f>
        <v>0</v>
      </c>
      <c r="O104" s="8">
        <f>ROUND(SUMIFS(月別入力!$J:$J,月別入力!$F:$F,設定!$C104,月別入力!$D:$D,設定!O$9,月別入力!$B:$B,設定!$B104),0)</f>
        <v>0</v>
      </c>
      <c r="P104" s="8">
        <f>ROUND(SUMIFS(月別入力!$J:$J,月別入力!$F:$F,設定!$C104,月別入力!$D:$D,設定!P$9,月別入力!$B:$B,設定!$B104),0)</f>
        <v>0</v>
      </c>
      <c r="Q104" s="8">
        <f>ROUND(SUMIFS(月別入力!$J:$J,月別入力!$F:$F,設定!$C104,月別入力!$D:$D,設定!Q$9,月別入力!$B:$B,設定!$B104),0)</f>
        <v>0</v>
      </c>
      <c r="R104" s="8">
        <f>ROUND(SUMIFS(月別入力!$J:$J,月別入力!$F:$F,設定!$C104,月別入力!$D:$D,設定!R$9,月別入力!$B:$B,設定!$B104),0)</f>
        <v>0</v>
      </c>
      <c r="S104" s="8">
        <f>ROUND(SUMIFS(月別入力!$J:$J,月別入力!$F:$F,設定!$C104,月別入力!$D:$D,設定!S$9,月別入力!$B:$B,設定!$B104),0)</f>
        <v>0</v>
      </c>
      <c r="T104" s="8">
        <f>ROUND(SUMIFS(月別入力!$J:$J,月別入力!$F:$F,設定!$C104,月別入力!$D:$D,設定!T$9,月別入力!$B:$B,設定!$B104),0)</f>
        <v>0</v>
      </c>
      <c r="U104" s="8">
        <f>ROUND(SUMIFS(月別入力!$J:$J,月別入力!$F:$F,設定!$C104,月別入力!$D:$D,設定!U$9,月別入力!$B:$B,設定!$B104),0)</f>
        <v>0</v>
      </c>
      <c r="V104" s="8">
        <f>ROUND(SUMIFS(月別入力!$J:$J,月別入力!$F:$F,設定!$C104,月別入力!$D:$D,設定!V$9,月別入力!$B:$B,設定!$B104),0)</f>
        <v>0</v>
      </c>
      <c r="W104" s="9">
        <f>ROUND(SUMIFS(月別入力!$J:$J,月別入力!$F:$F,設定!$C104,月別入力!$D:$D,設定!W$9,月別入力!$B:$B,設定!$B104),0)</f>
        <v>0</v>
      </c>
    </row>
    <row r="105" spans="2:23" s="3" customFormat="1" ht="15" customHeight="1" x14ac:dyDescent="0.2">
      <c r="B105" s="37" t="str">
        <f t="shared" si="7"/>
        <v>&lt;=12</v>
      </c>
      <c r="C105" s="20"/>
      <c r="D105" s="6"/>
      <c r="E105" s="10"/>
      <c r="F105" s="11"/>
      <c r="G105" s="24">
        <f t="shared" si="4"/>
        <v>0</v>
      </c>
      <c r="H105" s="26">
        <f t="shared" si="5"/>
        <v>0</v>
      </c>
      <c r="I105" s="26">
        <f>ROUND(SUMIFS(月別入力!$J:$J,月別入力!$F:$F,設定!$C105,月別入力!$D:$D,設定!I$9,月別入力!$B:$B,設定!$B105),0)</f>
        <v>0</v>
      </c>
      <c r="J105" s="5">
        <f t="shared" si="6"/>
        <v>0</v>
      </c>
      <c r="K105" s="8">
        <f>ROUND(SUMIFS(月別入力!$J:$J,月別入力!$F:$F,設定!$C105,月別入力!$D:$D,設定!K$9,月別入力!$B:$B,設定!$B105),0)</f>
        <v>0</v>
      </c>
      <c r="L105" s="8">
        <f>ROUND(SUMIFS(月別入力!$J:$J,月別入力!$F:$F,設定!$C105,月別入力!$D:$D,設定!L$9,月別入力!$B:$B,設定!$B105),0)</f>
        <v>0</v>
      </c>
      <c r="M105" s="8">
        <f>ROUND(SUMIFS(月別入力!$J:$J,月別入力!$F:$F,設定!$C105,月別入力!$D:$D,設定!M$9,月別入力!$B:$B,設定!$B105),0)</f>
        <v>0</v>
      </c>
      <c r="N105" s="8">
        <f>ROUND(SUMIFS(月別入力!$J:$J,月別入力!$F:$F,設定!$C105,月別入力!$D:$D,設定!N$9,月別入力!$B:$B,設定!$B105),0)</f>
        <v>0</v>
      </c>
      <c r="O105" s="8">
        <f>ROUND(SUMIFS(月別入力!$J:$J,月別入力!$F:$F,設定!$C105,月別入力!$D:$D,設定!O$9,月別入力!$B:$B,設定!$B105),0)</f>
        <v>0</v>
      </c>
      <c r="P105" s="8">
        <f>ROUND(SUMIFS(月別入力!$J:$J,月別入力!$F:$F,設定!$C105,月別入力!$D:$D,設定!P$9,月別入力!$B:$B,設定!$B105),0)</f>
        <v>0</v>
      </c>
      <c r="Q105" s="8">
        <f>ROUND(SUMIFS(月別入力!$J:$J,月別入力!$F:$F,設定!$C105,月別入力!$D:$D,設定!Q$9,月別入力!$B:$B,設定!$B105),0)</f>
        <v>0</v>
      </c>
      <c r="R105" s="8">
        <f>ROUND(SUMIFS(月別入力!$J:$J,月別入力!$F:$F,設定!$C105,月別入力!$D:$D,設定!R$9,月別入力!$B:$B,設定!$B105),0)</f>
        <v>0</v>
      </c>
      <c r="S105" s="8">
        <f>ROUND(SUMIFS(月別入力!$J:$J,月別入力!$F:$F,設定!$C105,月別入力!$D:$D,設定!S$9,月別入力!$B:$B,設定!$B105),0)</f>
        <v>0</v>
      </c>
      <c r="T105" s="8">
        <f>ROUND(SUMIFS(月別入力!$J:$J,月別入力!$F:$F,設定!$C105,月別入力!$D:$D,設定!T$9,月別入力!$B:$B,設定!$B105),0)</f>
        <v>0</v>
      </c>
      <c r="U105" s="8">
        <f>ROUND(SUMIFS(月別入力!$J:$J,月別入力!$F:$F,設定!$C105,月別入力!$D:$D,設定!U$9,月別入力!$B:$B,設定!$B105),0)</f>
        <v>0</v>
      </c>
      <c r="V105" s="8">
        <f>ROUND(SUMIFS(月別入力!$J:$J,月別入力!$F:$F,設定!$C105,月別入力!$D:$D,設定!V$9,月別入力!$B:$B,設定!$B105),0)</f>
        <v>0</v>
      </c>
      <c r="W105" s="9">
        <f>ROUND(SUMIFS(月別入力!$J:$J,月別入力!$F:$F,設定!$C105,月別入力!$D:$D,設定!W$9,月別入力!$B:$B,設定!$B105),0)</f>
        <v>0</v>
      </c>
    </row>
    <row r="106" spans="2:23" s="3" customFormat="1" ht="15" customHeight="1" x14ac:dyDescent="0.2">
      <c r="B106" s="37" t="str">
        <f t="shared" si="7"/>
        <v>&lt;=12</v>
      </c>
      <c r="C106" s="20"/>
      <c r="D106" s="6"/>
      <c r="E106" s="10"/>
      <c r="F106" s="11"/>
      <c r="G106" s="24">
        <f t="shared" si="4"/>
        <v>0</v>
      </c>
      <c r="H106" s="26">
        <f t="shared" si="5"/>
        <v>0</v>
      </c>
      <c r="I106" s="26">
        <f>ROUND(SUMIFS(月別入力!$J:$J,月別入力!$F:$F,設定!$C106,月別入力!$D:$D,設定!I$9,月別入力!$B:$B,設定!$B106),0)</f>
        <v>0</v>
      </c>
      <c r="J106" s="5">
        <f t="shared" si="6"/>
        <v>0</v>
      </c>
      <c r="K106" s="8">
        <f>ROUND(SUMIFS(月別入力!$J:$J,月別入力!$F:$F,設定!$C106,月別入力!$D:$D,設定!K$9,月別入力!$B:$B,設定!$B106),0)</f>
        <v>0</v>
      </c>
      <c r="L106" s="8">
        <f>ROUND(SUMIFS(月別入力!$J:$J,月別入力!$F:$F,設定!$C106,月別入力!$D:$D,設定!L$9,月別入力!$B:$B,設定!$B106),0)</f>
        <v>0</v>
      </c>
      <c r="M106" s="8">
        <f>ROUND(SUMIFS(月別入力!$J:$J,月別入力!$F:$F,設定!$C106,月別入力!$D:$D,設定!M$9,月別入力!$B:$B,設定!$B106),0)</f>
        <v>0</v>
      </c>
      <c r="N106" s="8">
        <f>ROUND(SUMIFS(月別入力!$J:$J,月別入力!$F:$F,設定!$C106,月別入力!$D:$D,設定!N$9,月別入力!$B:$B,設定!$B106),0)</f>
        <v>0</v>
      </c>
      <c r="O106" s="8">
        <f>ROUND(SUMIFS(月別入力!$J:$J,月別入力!$F:$F,設定!$C106,月別入力!$D:$D,設定!O$9,月別入力!$B:$B,設定!$B106),0)</f>
        <v>0</v>
      </c>
      <c r="P106" s="8">
        <f>ROUND(SUMIFS(月別入力!$J:$J,月別入力!$F:$F,設定!$C106,月別入力!$D:$D,設定!P$9,月別入力!$B:$B,設定!$B106),0)</f>
        <v>0</v>
      </c>
      <c r="Q106" s="8">
        <f>ROUND(SUMIFS(月別入力!$J:$J,月別入力!$F:$F,設定!$C106,月別入力!$D:$D,設定!Q$9,月別入力!$B:$B,設定!$B106),0)</f>
        <v>0</v>
      </c>
      <c r="R106" s="8">
        <f>ROUND(SUMIFS(月別入力!$J:$J,月別入力!$F:$F,設定!$C106,月別入力!$D:$D,設定!R$9,月別入力!$B:$B,設定!$B106),0)</f>
        <v>0</v>
      </c>
      <c r="S106" s="8">
        <f>ROUND(SUMIFS(月別入力!$J:$J,月別入力!$F:$F,設定!$C106,月別入力!$D:$D,設定!S$9,月別入力!$B:$B,設定!$B106),0)</f>
        <v>0</v>
      </c>
      <c r="T106" s="8">
        <f>ROUND(SUMIFS(月別入力!$J:$J,月別入力!$F:$F,設定!$C106,月別入力!$D:$D,設定!T$9,月別入力!$B:$B,設定!$B106),0)</f>
        <v>0</v>
      </c>
      <c r="U106" s="8">
        <f>ROUND(SUMIFS(月別入力!$J:$J,月別入力!$F:$F,設定!$C106,月別入力!$D:$D,設定!U$9,月別入力!$B:$B,設定!$B106),0)</f>
        <v>0</v>
      </c>
      <c r="V106" s="8">
        <f>ROUND(SUMIFS(月別入力!$J:$J,月別入力!$F:$F,設定!$C106,月別入力!$D:$D,設定!V$9,月別入力!$B:$B,設定!$B106),0)</f>
        <v>0</v>
      </c>
      <c r="W106" s="9">
        <f>ROUND(SUMIFS(月別入力!$J:$J,月別入力!$F:$F,設定!$C106,月別入力!$D:$D,設定!W$9,月別入力!$B:$B,設定!$B106),0)</f>
        <v>0</v>
      </c>
    </row>
    <row r="107" spans="2:23" s="3" customFormat="1" ht="15" customHeight="1" x14ac:dyDescent="0.2">
      <c r="B107" s="37" t="str">
        <f t="shared" si="7"/>
        <v>&lt;=12</v>
      </c>
      <c r="C107" s="20"/>
      <c r="D107" s="6"/>
      <c r="E107" s="10"/>
      <c r="F107" s="11"/>
      <c r="G107" s="24">
        <f t="shared" si="4"/>
        <v>0</v>
      </c>
      <c r="H107" s="26">
        <f t="shared" si="5"/>
        <v>0</v>
      </c>
      <c r="I107" s="26">
        <f>ROUND(SUMIFS(月別入力!$J:$J,月別入力!$F:$F,設定!$C107,月別入力!$D:$D,設定!I$9,月別入力!$B:$B,設定!$B107),0)</f>
        <v>0</v>
      </c>
      <c r="J107" s="5">
        <f t="shared" si="6"/>
        <v>0</v>
      </c>
      <c r="K107" s="8">
        <f>ROUND(SUMIFS(月別入力!$J:$J,月別入力!$F:$F,設定!$C107,月別入力!$D:$D,設定!K$9,月別入力!$B:$B,設定!$B107),0)</f>
        <v>0</v>
      </c>
      <c r="L107" s="8">
        <f>ROUND(SUMIFS(月別入力!$J:$J,月別入力!$F:$F,設定!$C107,月別入力!$D:$D,設定!L$9,月別入力!$B:$B,設定!$B107),0)</f>
        <v>0</v>
      </c>
      <c r="M107" s="8">
        <f>ROUND(SUMIFS(月別入力!$J:$J,月別入力!$F:$F,設定!$C107,月別入力!$D:$D,設定!M$9,月別入力!$B:$B,設定!$B107),0)</f>
        <v>0</v>
      </c>
      <c r="N107" s="8">
        <f>ROUND(SUMIFS(月別入力!$J:$J,月別入力!$F:$F,設定!$C107,月別入力!$D:$D,設定!N$9,月別入力!$B:$B,設定!$B107),0)</f>
        <v>0</v>
      </c>
      <c r="O107" s="8">
        <f>ROUND(SUMIFS(月別入力!$J:$J,月別入力!$F:$F,設定!$C107,月別入力!$D:$D,設定!O$9,月別入力!$B:$B,設定!$B107),0)</f>
        <v>0</v>
      </c>
      <c r="P107" s="8">
        <f>ROUND(SUMIFS(月別入力!$J:$J,月別入力!$F:$F,設定!$C107,月別入力!$D:$D,設定!P$9,月別入力!$B:$B,設定!$B107),0)</f>
        <v>0</v>
      </c>
      <c r="Q107" s="8">
        <f>ROUND(SUMIFS(月別入力!$J:$J,月別入力!$F:$F,設定!$C107,月別入力!$D:$D,設定!Q$9,月別入力!$B:$B,設定!$B107),0)</f>
        <v>0</v>
      </c>
      <c r="R107" s="8">
        <f>ROUND(SUMIFS(月別入力!$J:$J,月別入力!$F:$F,設定!$C107,月別入力!$D:$D,設定!R$9,月別入力!$B:$B,設定!$B107),0)</f>
        <v>0</v>
      </c>
      <c r="S107" s="8">
        <f>ROUND(SUMIFS(月別入力!$J:$J,月別入力!$F:$F,設定!$C107,月別入力!$D:$D,設定!S$9,月別入力!$B:$B,設定!$B107),0)</f>
        <v>0</v>
      </c>
      <c r="T107" s="8">
        <f>ROUND(SUMIFS(月別入力!$J:$J,月別入力!$F:$F,設定!$C107,月別入力!$D:$D,設定!T$9,月別入力!$B:$B,設定!$B107),0)</f>
        <v>0</v>
      </c>
      <c r="U107" s="8">
        <f>ROUND(SUMIFS(月別入力!$J:$J,月別入力!$F:$F,設定!$C107,月別入力!$D:$D,設定!U$9,月別入力!$B:$B,設定!$B107),0)</f>
        <v>0</v>
      </c>
      <c r="V107" s="8">
        <f>ROUND(SUMIFS(月別入力!$J:$J,月別入力!$F:$F,設定!$C107,月別入力!$D:$D,設定!V$9,月別入力!$B:$B,設定!$B107),0)</f>
        <v>0</v>
      </c>
      <c r="W107" s="9">
        <f>ROUND(SUMIFS(月別入力!$J:$J,月別入力!$F:$F,設定!$C107,月別入力!$D:$D,設定!W$9,月別入力!$B:$B,設定!$B107),0)</f>
        <v>0</v>
      </c>
    </row>
    <row r="108" spans="2:23" s="3" customFormat="1" ht="15" customHeight="1" x14ac:dyDescent="0.2">
      <c r="B108" s="37" t="str">
        <f t="shared" si="7"/>
        <v>&lt;=12</v>
      </c>
      <c r="C108" s="20"/>
      <c r="D108" s="6"/>
      <c r="E108" s="10"/>
      <c r="F108" s="11"/>
      <c r="G108" s="24">
        <f t="shared" si="4"/>
        <v>0</v>
      </c>
      <c r="H108" s="26">
        <f t="shared" si="5"/>
        <v>0</v>
      </c>
      <c r="I108" s="26">
        <f>ROUND(SUMIFS(月別入力!$J:$J,月別入力!$F:$F,設定!$C108,月別入力!$D:$D,設定!I$9,月別入力!$B:$B,設定!$B108),0)</f>
        <v>0</v>
      </c>
      <c r="J108" s="5">
        <f t="shared" si="6"/>
        <v>0</v>
      </c>
      <c r="K108" s="8">
        <f>ROUND(SUMIFS(月別入力!$J:$J,月別入力!$F:$F,設定!$C108,月別入力!$D:$D,設定!K$9,月別入力!$B:$B,設定!$B108),0)</f>
        <v>0</v>
      </c>
      <c r="L108" s="8">
        <f>ROUND(SUMIFS(月別入力!$J:$J,月別入力!$F:$F,設定!$C108,月別入力!$D:$D,設定!L$9,月別入力!$B:$B,設定!$B108),0)</f>
        <v>0</v>
      </c>
      <c r="M108" s="8">
        <f>ROUND(SUMIFS(月別入力!$J:$J,月別入力!$F:$F,設定!$C108,月別入力!$D:$D,設定!M$9,月別入力!$B:$B,設定!$B108),0)</f>
        <v>0</v>
      </c>
      <c r="N108" s="8">
        <f>ROUND(SUMIFS(月別入力!$J:$J,月別入力!$F:$F,設定!$C108,月別入力!$D:$D,設定!N$9,月別入力!$B:$B,設定!$B108),0)</f>
        <v>0</v>
      </c>
      <c r="O108" s="8">
        <f>ROUND(SUMIFS(月別入力!$J:$J,月別入力!$F:$F,設定!$C108,月別入力!$D:$D,設定!O$9,月別入力!$B:$B,設定!$B108),0)</f>
        <v>0</v>
      </c>
      <c r="P108" s="8">
        <f>ROUND(SUMIFS(月別入力!$J:$J,月別入力!$F:$F,設定!$C108,月別入力!$D:$D,設定!P$9,月別入力!$B:$B,設定!$B108),0)</f>
        <v>0</v>
      </c>
      <c r="Q108" s="8">
        <f>ROUND(SUMIFS(月別入力!$J:$J,月別入力!$F:$F,設定!$C108,月別入力!$D:$D,設定!Q$9,月別入力!$B:$B,設定!$B108),0)</f>
        <v>0</v>
      </c>
      <c r="R108" s="8">
        <f>ROUND(SUMIFS(月別入力!$J:$J,月別入力!$F:$F,設定!$C108,月別入力!$D:$D,設定!R$9,月別入力!$B:$B,設定!$B108),0)</f>
        <v>0</v>
      </c>
      <c r="S108" s="8">
        <f>ROUND(SUMIFS(月別入力!$J:$J,月別入力!$F:$F,設定!$C108,月別入力!$D:$D,設定!S$9,月別入力!$B:$B,設定!$B108),0)</f>
        <v>0</v>
      </c>
      <c r="T108" s="8">
        <f>ROUND(SUMIFS(月別入力!$J:$J,月別入力!$F:$F,設定!$C108,月別入力!$D:$D,設定!T$9,月別入力!$B:$B,設定!$B108),0)</f>
        <v>0</v>
      </c>
      <c r="U108" s="8">
        <f>ROUND(SUMIFS(月別入力!$J:$J,月別入力!$F:$F,設定!$C108,月別入力!$D:$D,設定!U$9,月別入力!$B:$B,設定!$B108),0)</f>
        <v>0</v>
      </c>
      <c r="V108" s="8">
        <f>ROUND(SUMIFS(月別入力!$J:$J,月別入力!$F:$F,設定!$C108,月別入力!$D:$D,設定!V$9,月別入力!$B:$B,設定!$B108),0)</f>
        <v>0</v>
      </c>
      <c r="W108" s="9">
        <f>ROUND(SUMIFS(月別入力!$J:$J,月別入力!$F:$F,設定!$C108,月別入力!$D:$D,設定!W$9,月別入力!$B:$B,設定!$B108),0)</f>
        <v>0</v>
      </c>
    </row>
    <row r="109" spans="2:23" s="3" customFormat="1" ht="15" customHeight="1" x14ac:dyDescent="0.2">
      <c r="B109" s="37" t="str">
        <f t="shared" si="7"/>
        <v>&lt;=12</v>
      </c>
      <c r="C109" s="20"/>
      <c r="D109" s="6"/>
      <c r="E109" s="10"/>
      <c r="F109" s="11"/>
      <c r="G109" s="24">
        <f t="shared" ref="G109" si="8">SUM(H109,V109)</f>
        <v>0</v>
      </c>
      <c r="H109" s="26">
        <f t="shared" ref="H109" si="9">SUM(I109,J109,U109)</f>
        <v>0</v>
      </c>
      <c r="I109" s="26">
        <f>ROUND(SUMIFS(月別入力!$J:$J,月別入力!$F:$F,設定!$C109,月別入力!$D:$D,設定!I$9,月別入力!$B:$B,設定!$B109),0)</f>
        <v>0</v>
      </c>
      <c r="J109" s="5">
        <f t="shared" ref="J109" si="10">SUM(K109:T109)</f>
        <v>0</v>
      </c>
      <c r="K109" s="8">
        <f>ROUND(SUMIFS(月別入力!$J:$J,月別入力!$F:$F,設定!$C109,月別入力!$D:$D,設定!K$9,月別入力!$B:$B,設定!$B109),0)</f>
        <v>0</v>
      </c>
      <c r="L109" s="8">
        <f>ROUND(SUMIFS(月別入力!$J:$J,月別入力!$F:$F,設定!$C109,月別入力!$D:$D,設定!L$9,月別入力!$B:$B,設定!$B109),0)</f>
        <v>0</v>
      </c>
      <c r="M109" s="8">
        <f>ROUND(SUMIFS(月別入力!$J:$J,月別入力!$F:$F,設定!$C109,月別入力!$D:$D,設定!M$9,月別入力!$B:$B,設定!$B109),0)</f>
        <v>0</v>
      </c>
      <c r="N109" s="8">
        <f>ROUND(SUMIFS(月別入力!$J:$J,月別入力!$F:$F,設定!$C109,月別入力!$D:$D,設定!N$9,月別入力!$B:$B,設定!$B109),0)</f>
        <v>0</v>
      </c>
      <c r="O109" s="8">
        <f>ROUND(SUMIFS(月別入力!$J:$J,月別入力!$F:$F,設定!$C109,月別入力!$D:$D,設定!O$9,月別入力!$B:$B,設定!$B109),0)</f>
        <v>0</v>
      </c>
      <c r="P109" s="8">
        <f>ROUND(SUMIFS(月別入力!$J:$J,月別入力!$F:$F,設定!$C109,月別入力!$D:$D,設定!P$9,月別入力!$B:$B,設定!$B109),0)</f>
        <v>0</v>
      </c>
      <c r="Q109" s="8">
        <f>ROUND(SUMIFS(月別入力!$J:$J,月別入力!$F:$F,設定!$C109,月別入力!$D:$D,設定!Q$9,月別入力!$B:$B,設定!$B109),0)</f>
        <v>0</v>
      </c>
      <c r="R109" s="8">
        <f>ROUND(SUMIFS(月別入力!$J:$J,月別入力!$F:$F,設定!$C109,月別入力!$D:$D,設定!R$9,月別入力!$B:$B,設定!$B109),0)</f>
        <v>0</v>
      </c>
      <c r="S109" s="8">
        <f>ROUND(SUMIFS(月別入力!$J:$J,月別入力!$F:$F,設定!$C109,月別入力!$D:$D,設定!S$9,月別入力!$B:$B,設定!$B109),0)</f>
        <v>0</v>
      </c>
      <c r="T109" s="8">
        <f>ROUND(SUMIFS(月別入力!$J:$J,月別入力!$F:$F,設定!$C109,月別入力!$D:$D,設定!T$9,月別入力!$B:$B,設定!$B109),0)</f>
        <v>0</v>
      </c>
      <c r="U109" s="8">
        <f>ROUND(SUMIFS(月別入力!$J:$J,月別入力!$F:$F,設定!$C109,月別入力!$D:$D,設定!U$9,月別入力!$B:$B,設定!$B109),0)</f>
        <v>0</v>
      </c>
      <c r="V109" s="8">
        <f>ROUND(SUMIFS(月別入力!$J:$J,月別入力!$F:$F,設定!$C109,月別入力!$D:$D,設定!V$9,月別入力!$B:$B,設定!$B109),0)</f>
        <v>0</v>
      </c>
      <c r="W109" s="9">
        <f>ROUND(SUMIFS(月別入力!$J:$J,月別入力!$F:$F,設定!$C109,月別入力!$D:$D,設定!W$9,月別入力!$B:$B,設定!$B109),0)</f>
        <v>0</v>
      </c>
    </row>
    <row r="110" spans="2:23" s="3" customFormat="1" ht="15" customHeight="1" x14ac:dyDescent="0.2">
      <c r="B110" s="37" t="str">
        <f t="shared" si="7"/>
        <v>&lt;=12</v>
      </c>
      <c r="C110" s="20"/>
      <c r="D110" s="6"/>
      <c r="E110" s="10"/>
      <c r="F110" s="11"/>
      <c r="G110" s="24">
        <f t="shared" si="4"/>
        <v>0</v>
      </c>
      <c r="H110" s="26">
        <f t="shared" si="5"/>
        <v>0</v>
      </c>
      <c r="I110" s="26">
        <f>ROUND(SUMIFS(月別入力!$J:$J,月別入力!$F:$F,設定!$C110,月別入力!$D:$D,設定!I$9,月別入力!$B:$B,設定!$B110),0)</f>
        <v>0</v>
      </c>
      <c r="J110" s="5">
        <f t="shared" si="6"/>
        <v>0</v>
      </c>
      <c r="K110" s="8">
        <f>ROUND(SUMIFS(月別入力!$J:$J,月別入力!$F:$F,設定!$C110,月別入力!$D:$D,設定!K$9,月別入力!$B:$B,設定!$B110),0)</f>
        <v>0</v>
      </c>
      <c r="L110" s="8">
        <f>ROUND(SUMIFS(月別入力!$J:$J,月別入力!$F:$F,設定!$C110,月別入力!$D:$D,設定!L$9,月別入力!$B:$B,設定!$B110),0)</f>
        <v>0</v>
      </c>
      <c r="M110" s="8">
        <f>ROUND(SUMIFS(月別入力!$J:$J,月別入力!$F:$F,設定!$C110,月別入力!$D:$D,設定!M$9,月別入力!$B:$B,設定!$B110),0)</f>
        <v>0</v>
      </c>
      <c r="N110" s="8">
        <f>ROUND(SUMIFS(月別入力!$J:$J,月別入力!$F:$F,設定!$C110,月別入力!$D:$D,設定!N$9,月別入力!$B:$B,設定!$B110),0)</f>
        <v>0</v>
      </c>
      <c r="O110" s="8">
        <f>ROUND(SUMIFS(月別入力!$J:$J,月別入力!$F:$F,設定!$C110,月別入力!$D:$D,設定!O$9,月別入力!$B:$B,設定!$B110),0)</f>
        <v>0</v>
      </c>
      <c r="P110" s="8">
        <f>ROUND(SUMIFS(月別入力!$J:$J,月別入力!$F:$F,設定!$C110,月別入力!$D:$D,設定!P$9,月別入力!$B:$B,設定!$B110),0)</f>
        <v>0</v>
      </c>
      <c r="Q110" s="8">
        <f>ROUND(SUMIFS(月別入力!$J:$J,月別入力!$F:$F,設定!$C110,月別入力!$D:$D,設定!Q$9,月別入力!$B:$B,設定!$B110),0)</f>
        <v>0</v>
      </c>
      <c r="R110" s="8">
        <f>ROUND(SUMIFS(月別入力!$J:$J,月別入力!$F:$F,設定!$C110,月別入力!$D:$D,設定!R$9,月別入力!$B:$B,設定!$B110),0)</f>
        <v>0</v>
      </c>
      <c r="S110" s="8">
        <f>ROUND(SUMIFS(月別入力!$J:$J,月別入力!$F:$F,設定!$C110,月別入力!$D:$D,設定!S$9,月別入力!$B:$B,設定!$B110),0)</f>
        <v>0</v>
      </c>
      <c r="T110" s="8">
        <f>ROUND(SUMIFS(月別入力!$J:$J,月別入力!$F:$F,設定!$C110,月別入力!$D:$D,設定!T$9,月別入力!$B:$B,設定!$B110),0)</f>
        <v>0</v>
      </c>
      <c r="U110" s="8">
        <f>ROUND(SUMIFS(月別入力!$J:$J,月別入力!$F:$F,設定!$C110,月別入力!$D:$D,設定!U$9,月別入力!$B:$B,設定!$B110),0)</f>
        <v>0</v>
      </c>
      <c r="V110" s="8">
        <f>ROUND(SUMIFS(月別入力!$J:$J,月別入力!$F:$F,設定!$C110,月別入力!$D:$D,設定!V$9,月別入力!$B:$B,設定!$B110),0)</f>
        <v>0</v>
      </c>
      <c r="W110" s="9">
        <f>ROUND(SUMIFS(月別入力!$J:$J,月別入力!$F:$F,設定!$C110,月別入力!$D:$D,設定!W$9,月別入力!$B:$B,設定!$B110),0)</f>
        <v>0</v>
      </c>
    </row>
    <row r="111" spans="2:23" s="3" customFormat="1" ht="15" customHeight="1" thickBot="1" x14ac:dyDescent="0.25">
      <c r="B111" s="114" t="str">
        <f t="shared" si="7"/>
        <v>&lt;=12</v>
      </c>
      <c r="C111" s="22"/>
      <c r="D111" s="7"/>
      <c r="E111" s="12"/>
      <c r="F111" s="13"/>
      <c r="G111" s="25">
        <f t="shared" si="4"/>
        <v>0</v>
      </c>
      <c r="H111" s="27">
        <f t="shared" si="5"/>
        <v>0</v>
      </c>
      <c r="I111" s="27">
        <f>ROUND(SUMIFS(月別入力!$J:$J,月別入力!$F:$F,設定!$C111,月別入力!$D:$D,設定!I$9,月別入力!$B:$B,設定!$B111),0)</f>
        <v>0</v>
      </c>
      <c r="J111" s="7">
        <f t="shared" si="6"/>
        <v>0</v>
      </c>
      <c r="K111" s="12">
        <f>ROUND(SUMIFS(月別入力!$J:$J,月別入力!$F:$F,設定!$C111,月別入力!$D:$D,設定!K$9,月別入力!$B:$B,設定!$B111),0)</f>
        <v>0</v>
      </c>
      <c r="L111" s="12">
        <f>ROUND(SUMIFS(月別入力!$J:$J,月別入力!$F:$F,設定!$C111,月別入力!$D:$D,設定!L$9,月別入力!$B:$B,設定!$B111),0)</f>
        <v>0</v>
      </c>
      <c r="M111" s="12">
        <f>ROUND(SUMIFS(月別入力!$J:$J,月別入力!$F:$F,設定!$C111,月別入力!$D:$D,設定!M$9,月別入力!$B:$B,設定!$B111),0)</f>
        <v>0</v>
      </c>
      <c r="N111" s="12">
        <f>ROUND(SUMIFS(月別入力!$J:$J,月別入力!$F:$F,設定!$C111,月別入力!$D:$D,設定!N$9,月別入力!$B:$B,設定!$B111),0)</f>
        <v>0</v>
      </c>
      <c r="O111" s="12">
        <f>ROUND(SUMIFS(月別入力!$J:$J,月別入力!$F:$F,設定!$C111,月別入力!$D:$D,設定!O$9,月別入力!$B:$B,設定!$B111),0)</f>
        <v>0</v>
      </c>
      <c r="P111" s="12">
        <f>ROUND(SUMIFS(月別入力!$J:$J,月別入力!$F:$F,設定!$C111,月別入力!$D:$D,設定!P$9,月別入力!$B:$B,設定!$B111),0)</f>
        <v>0</v>
      </c>
      <c r="Q111" s="12">
        <f>ROUND(SUMIFS(月別入力!$J:$J,月別入力!$F:$F,設定!$C111,月別入力!$D:$D,設定!Q$9,月別入力!$B:$B,設定!$B111),0)</f>
        <v>0</v>
      </c>
      <c r="R111" s="12">
        <f>ROUND(SUMIFS(月別入力!$J:$J,月別入力!$F:$F,設定!$C111,月別入力!$D:$D,設定!R$9,月別入力!$B:$B,設定!$B111),0)</f>
        <v>0</v>
      </c>
      <c r="S111" s="12">
        <f>ROUND(SUMIFS(月別入力!$J:$J,月別入力!$F:$F,設定!$C111,月別入力!$D:$D,設定!S$9,月別入力!$B:$B,設定!$B111),0)</f>
        <v>0</v>
      </c>
      <c r="T111" s="12">
        <f>ROUND(SUMIFS(月別入力!$J:$J,月別入力!$F:$F,設定!$C111,月別入力!$D:$D,設定!T$9,月別入力!$B:$B,設定!$B111),0)</f>
        <v>0</v>
      </c>
      <c r="U111" s="12">
        <f>ROUND(SUMIFS(月別入力!$J:$J,月別入力!$F:$F,設定!$C111,月別入力!$D:$D,設定!U$9,月別入力!$B:$B,設定!$B111),0)</f>
        <v>0</v>
      </c>
      <c r="V111" s="12">
        <f>ROUND(SUMIFS(月別入力!$J:$J,月別入力!$F:$F,設定!$C111,月別入力!$D:$D,設定!V$9,月別入力!$B:$B,設定!$B111),0)</f>
        <v>0</v>
      </c>
      <c r="W111" s="14">
        <f>ROUND(SUMIFS(月別入力!$J:$J,月別入力!$F:$F,設定!$C111,月別入力!$D:$D,設定!W$9,月別入力!$B:$B,設定!$B111),0)</f>
        <v>0</v>
      </c>
    </row>
    <row r="112" spans="2:23" ht="1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  <row r="571" ht="22.5" customHeight="1" x14ac:dyDescent="0.2"/>
    <row r="572" ht="22.5" customHeight="1" x14ac:dyDescent="0.2"/>
    <row r="573" ht="22.5" customHeight="1" x14ac:dyDescent="0.2"/>
  </sheetData>
  <mergeCells count="6">
    <mergeCell ref="C2:E2"/>
    <mergeCell ref="C3:E3"/>
    <mergeCell ref="C5:F5"/>
    <mergeCell ref="G5:W5"/>
    <mergeCell ref="F2:H2"/>
    <mergeCell ref="F3:H3"/>
  </mergeCells>
  <phoneticPr fontId="3"/>
  <conditionalFormatting sqref="AC11:AC19 AC111">
    <cfRule type="expression" dxfId="3" priority="7">
      <formula>#REF!&lt;&gt;AC32</formula>
    </cfRule>
  </conditionalFormatting>
  <conditionalFormatting sqref="AC20:AC108">
    <cfRule type="expression" dxfId="2" priority="10">
      <formula>#REF!&lt;&gt;AC111</formula>
    </cfRule>
  </conditionalFormatting>
  <conditionalFormatting sqref="AC109">
    <cfRule type="expression" dxfId="1" priority="1">
      <formula>#REF!&lt;&gt;AC200</formula>
    </cfRule>
  </conditionalFormatting>
  <conditionalFormatting sqref="AC110">
    <cfRule type="expression" dxfId="0" priority="9">
      <formula>#REF!&lt;&gt;AC200</formula>
    </cfRule>
  </conditionalFormatting>
  <dataValidations count="4">
    <dataValidation type="list" allowBlank="1" showInputMessage="1" showErrorMessage="1" sqref="B11" xr:uid="{00000000-0002-0000-0000-000000000000}">
      <formula1>"&lt;=12,1,2,3,4,5,6,7,8,9,10,11,12"</formula1>
    </dataValidation>
    <dataValidation type="list" allowBlank="1" showInputMessage="1" showErrorMessage="1" sqref="F12:F111" xr:uid="{00000000-0002-0000-0000-000001000000}">
      <formula1>"1：家族,2：７ヶ月未満の雇用者,3：７ヶ月以上の雇用者,4：臨時雇用者"</formula1>
    </dataValidation>
    <dataValidation type="list" allowBlank="1" showInputMessage="1" showErrorMessage="1" sqref="D11:D111" xr:uid="{00000000-0002-0000-0000-000002000000}">
      <formula1>"1：男,2：女"</formula1>
    </dataValidation>
    <dataValidation type="list" allowBlank="1" showInputMessage="1" showErrorMessage="1" sqref="F11" xr:uid="{00000000-0002-0000-0000-000003000000}">
      <formula1>"経営主"</formula1>
    </dataValidation>
  </dataValidations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652FC6-0D52-4295-B49A-BB70FB761547}">
          <x14:formula1>
            <xm:f>'リスト '!$D$2:$D$32</xm:f>
          </x14:formula1>
          <xm:sqref>F3:H3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J681"/>
  <sheetViews>
    <sheetView showGridLines="0" zoomScaleNormal="100" workbookViewId="0">
      <pane xSplit="9" ySplit="6" topLeftCell="J7" activePane="bottomRight" state="frozen"/>
      <selection pane="topRight"/>
      <selection pane="bottomLeft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4" width="24.77734375" style="1" customWidth="1"/>
    <col min="5" max="6" width="12.77734375" style="1" customWidth="1"/>
    <col min="7" max="8" width="6.77734375" style="1" customWidth="1"/>
    <col min="9" max="10" width="12.77734375" style="1" customWidth="1"/>
    <col min="11" max="11" width="0.88671875" style="1" customWidth="1"/>
    <col min="12" max="12" width="1.21875" style="1"/>
    <col min="13" max="13" width="3.44140625" style="1" bestFit="1" customWidth="1"/>
    <col min="14" max="16384" width="1.21875" style="1"/>
  </cols>
  <sheetData>
    <row r="1" spans="2:10" ht="24" customHeight="1" x14ac:dyDescent="0.2">
      <c r="B1" s="145" t="s">
        <v>91</v>
      </c>
      <c r="C1" s="145"/>
      <c r="D1" s="145"/>
      <c r="E1" s="145"/>
      <c r="F1" s="145"/>
      <c r="G1" s="145"/>
      <c r="H1" s="145"/>
      <c r="I1" s="145"/>
      <c r="J1" s="145"/>
    </row>
    <row r="2" spans="2:10" ht="15" customHeight="1" x14ac:dyDescent="0.2">
      <c r="B2" s="146" t="s">
        <v>135</v>
      </c>
      <c r="C2" s="147"/>
      <c r="D2" s="148"/>
      <c r="E2" s="83"/>
      <c r="J2" s="4"/>
    </row>
    <row r="3" spans="2:10" ht="24" customHeight="1" x14ac:dyDescent="0.2">
      <c r="B3" s="149">
        <f>設定!C3</f>
        <v>0</v>
      </c>
      <c r="C3" s="150"/>
      <c r="D3" s="151"/>
      <c r="E3" s="84"/>
    </row>
    <row r="4" spans="2:10" ht="7.5" customHeight="1" thickBot="1" x14ac:dyDescent="0.25"/>
    <row r="5" spans="2:10" s="3" customFormat="1" ht="15" customHeight="1" x14ac:dyDescent="0.2">
      <c r="B5" s="152" t="s">
        <v>5</v>
      </c>
      <c r="C5" s="154" t="s">
        <v>77</v>
      </c>
      <c r="D5" s="154" t="s">
        <v>102</v>
      </c>
      <c r="E5" s="143" t="s">
        <v>78</v>
      </c>
      <c r="F5" s="156" t="s">
        <v>88</v>
      </c>
      <c r="G5" s="158" t="s">
        <v>79</v>
      </c>
      <c r="H5" s="158" t="s">
        <v>80</v>
      </c>
      <c r="I5" s="158" t="s">
        <v>81</v>
      </c>
      <c r="J5" s="141" t="s">
        <v>82</v>
      </c>
    </row>
    <row r="6" spans="2:10" s="3" customFormat="1" ht="15" customHeight="1" thickBot="1" x14ac:dyDescent="0.25">
      <c r="B6" s="153"/>
      <c r="C6" s="155"/>
      <c r="D6" s="155"/>
      <c r="E6" s="144"/>
      <c r="F6" s="157"/>
      <c r="G6" s="159"/>
      <c r="H6" s="159"/>
      <c r="I6" s="159"/>
      <c r="J6" s="142"/>
    </row>
    <row r="7" spans="2:10" s="3" customFormat="1" ht="24" customHeight="1" x14ac:dyDescent="0.2">
      <c r="B7" s="68"/>
      <c r="C7" s="69"/>
      <c r="D7" s="86"/>
      <c r="E7" s="116" t="str">
        <f>IFERROR(VLOOKUP(D7,'リスト '!$A$2:$B$15,2,FALSE),"")</f>
        <v/>
      </c>
      <c r="F7" s="70"/>
      <c r="G7" s="71" t="str">
        <f>IFERROR(VLOOKUP(F7,設定!$C$11:$F$111,2,FALSE),"")</f>
        <v/>
      </c>
      <c r="H7" s="71" t="str">
        <f>IFERROR(VLOOKUP(F7,設定!$C$11:$F$111,3,FALSE),"")</f>
        <v/>
      </c>
      <c r="I7" s="71" t="str">
        <f>IFERROR(VLOOKUP(F7,設定!$C$11:$F$111,4,FALSE),"")</f>
        <v/>
      </c>
      <c r="J7" s="122"/>
    </row>
    <row r="8" spans="2:10" s="3" customFormat="1" ht="24" customHeight="1" x14ac:dyDescent="0.2">
      <c r="B8" s="68"/>
      <c r="C8" s="69"/>
      <c r="D8" s="86"/>
      <c r="E8" s="116" t="str">
        <f>IFERROR(VLOOKUP(D8,'リスト '!$A$2:$B$15,2,FALSE),"")</f>
        <v/>
      </c>
      <c r="F8" s="70"/>
      <c r="G8" s="71" t="str">
        <f>IFERROR(VLOOKUP(F8,設定!$C$11:$F$111,2,FALSE),"")</f>
        <v/>
      </c>
      <c r="H8" s="71" t="str">
        <f>IFERROR(VLOOKUP(F8,設定!$C$11:$F$111,3,FALSE),"")</f>
        <v/>
      </c>
      <c r="I8" s="71" t="str">
        <f>IFERROR(VLOOKUP(F8,設定!$C$11:$F$111,4,FALSE),"")</f>
        <v/>
      </c>
      <c r="J8" s="122"/>
    </row>
    <row r="9" spans="2:10" s="3" customFormat="1" ht="24" customHeight="1" x14ac:dyDescent="0.2">
      <c r="B9" s="68"/>
      <c r="C9" s="69"/>
      <c r="D9" s="86"/>
      <c r="E9" s="116" t="str">
        <f>IFERROR(VLOOKUP(D9,'リスト '!$A$2:$B$15,2,FALSE),"")</f>
        <v/>
      </c>
      <c r="F9" s="70"/>
      <c r="G9" s="71" t="str">
        <f>IFERROR(VLOOKUP(F9,設定!$C$11:$F$111,2,FALSE),"")</f>
        <v/>
      </c>
      <c r="H9" s="71" t="str">
        <f>IFERROR(VLOOKUP(F9,設定!$C$11:$F$111,3,FALSE),"")</f>
        <v/>
      </c>
      <c r="I9" s="71" t="str">
        <f>IFERROR(VLOOKUP(F9,設定!$C$11:$F$111,4,FALSE),"")</f>
        <v/>
      </c>
      <c r="J9" s="122"/>
    </row>
    <row r="10" spans="2:10" s="3" customFormat="1" ht="24" customHeight="1" x14ac:dyDescent="0.2">
      <c r="B10" s="68"/>
      <c r="C10" s="69"/>
      <c r="D10" s="86"/>
      <c r="E10" s="116" t="str">
        <f>IFERROR(VLOOKUP(D10,'リスト '!$A$2:$B$15,2,FALSE),"")</f>
        <v/>
      </c>
      <c r="F10" s="70"/>
      <c r="G10" s="71" t="str">
        <f>IFERROR(VLOOKUP(F10,設定!$C$11:$F$111,2,FALSE),"")</f>
        <v/>
      </c>
      <c r="H10" s="71" t="str">
        <f>IFERROR(VLOOKUP(F10,設定!$C$11:$F$111,3,FALSE),"")</f>
        <v/>
      </c>
      <c r="I10" s="71" t="str">
        <f>IFERROR(VLOOKUP(F10,設定!$C$11:$F$111,4,FALSE),"")</f>
        <v/>
      </c>
      <c r="J10" s="122"/>
    </row>
    <row r="11" spans="2:10" s="3" customFormat="1" ht="24" customHeight="1" x14ac:dyDescent="0.2">
      <c r="B11" s="68"/>
      <c r="C11" s="69"/>
      <c r="D11" s="86"/>
      <c r="E11" s="116" t="str">
        <f>IFERROR(VLOOKUP(D11,'リスト '!$A$2:$B$15,2,FALSE),"")</f>
        <v/>
      </c>
      <c r="F11" s="70"/>
      <c r="G11" s="71" t="str">
        <f>IFERROR(VLOOKUP(F11,設定!$C$11:$F$111,2,FALSE),"")</f>
        <v/>
      </c>
      <c r="H11" s="71" t="str">
        <f>IFERROR(VLOOKUP(F11,設定!$C$11:$F$111,3,FALSE),"")</f>
        <v/>
      </c>
      <c r="I11" s="71" t="str">
        <f>IFERROR(VLOOKUP(F11,設定!$C$11:$F$111,4,FALSE),"")</f>
        <v/>
      </c>
      <c r="J11" s="122"/>
    </row>
    <row r="12" spans="2:10" s="3" customFormat="1" ht="24" customHeight="1" x14ac:dyDescent="0.2">
      <c r="B12" s="68"/>
      <c r="C12" s="69"/>
      <c r="D12" s="86"/>
      <c r="E12" s="116" t="str">
        <f>IFERROR(VLOOKUP(D12,'リスト '!$A$2:$B$15,2,FALSE),"")</f>
        <v/>
      </c>
      <c r="F12" s="70"/>
      <c r="G12" s="71" t="str">
        <f>IFERROR(VLOOKUP(F12,設定!$C$11:$F$111,2,FALSE),"")</f>
        <v/>
      </c>
      <c r="H12" s="71" t="str">
        <f>IFERROR(VLOOKUP(F12,設定!$C$11:$F$111,3,FALSE),"")</f>
        <v/>
      </c>
      <c r="I12" s="71" t="str">
        <f>IFERROR(VLOOKUP(F12,設定!$C$11:$F$111,4,FALSE),"")</f>
        <v/>
      </c>
      <c r="J12" s="122"/>
    </row>
    <row r="13" spans="2:10" s="3" customFormat="1" ht="24" customHeight="1" x14ac:dyDescent="0.2">
      <c r="B13" s="68"/>
      <c r="C13" s="69"/>
      <c r="D13" s="86"/>
      <c r="E13" s="116" t="str">
        <f>IFERROR(VLOOKUP(D13,'リスト '!$A$2:$B$15,2,FALSE),"")</f>
        <v/>
      </c>
      <c r="F13" s="70"/>
      <c r="G13" s="71" t="str">
        <f>IFERROR(VLOOKUP(F13,設定!$C$11:$F$111,2,FALSE),"")</f>
        <v/>
      </c>
      <c r="H13" s="71" t="str">
        <f>IFERROR(VLOOKUP(F13,設定!$C$11:$F$111,3,FALSE),"")</f>
        <v/>
      </c>
      <c r="I13" s="71" t="str">
        <f>IFERROR(VLOOKUP(F13,設定!$C$11:$F$111,4,FALSE),"")</f>
        <v/>
      </c>
      <c r="J13" s="122"/>
    </row>
    <row r="14" spans="2:10" s="3" customFormat="1" ht="24" customHeight="1" x14ac:dyDescent="0.2">
      <c r="B14" s="68"/>
      <c r="C14" s="69"/>
      <c r="D14" s="86"/>
      <c r="E14" s="116" t="str">
        <f>IFERROR(VLOOKUP(D14,'リスト '!$A$2:$B$15,2,FALSE),"")</f>
        <v/>
      </c>
      <c r="F14" s="70"/>
      <c r="G14" s="71" t="str">
        <f>IFERROR(VLOOKUP(F14,設定!$C$11:$F$111,2,FALSE),"")</f>
        <v/>
      </c>
      <c r="H14" s="71" t="str">
        <f>IFERROR(VLOOKUP(F14,設定!$C$11:$F$111,3,FALSE),"")</f>
        <v/>
      </c>
      <c r="I14" s="71" t="str">
        <f>IFERROR(VLOOKUP(F14,設定!$C$11:$F$111,4,FALSE),"")</f>
        <v/>
      </c>
      <c r="J14" s="122"/>
    </row>
    <row r="15" spans="2:10" s="3" customFormat="1" ht="24" customHeight="1" x14ac:dyDescent="0.2">
      <c r="B15" s="68"/>
      <c r="C15" s="69"/>
      <c r="D15" s="86"/>
      <c r="E15" s="116" t="str">
        <f>IFERROR(VLOOKUP(D15,'リスト '!$A$2:$B$15,2,FALSE),"")</f>
        <v/>
      </c>
      <c r="F15" s="70"/>
      <c r="G15" s="71" t="str">
        <f>IFERROR(VLOOKUP(F15,設定!$C$11:$F$111,2,FALSE),"")</f>
        <v/>
      </c>
      <c r="H15" s="71" t="str">
        <f>IFERROR(VLOOKUP(F15,設定!$C$11:$F$111,3,FALSE),"")</f>
        <v/>
      </c>
      <c r="I15" s="71" t="str">
        <f>IFERROR(VLOOKUP(F15,設定!$C$11:$F$111,4,FALSE),"")</f>
        <v/>
      </c>
      <c r="J15" s="122"/>
    </row>
    <row r="16" spans="2:10" s="3" customFormat="1" ht="24" customHeight="1" x14ac:dyDescent="0.2">
      <c r="B16" s="68"/>
      <c r="C16" s="69"/>
      <c r="D16" s="86"/>
      <c r="E16" s="116" t="str">
        <f>IFERROR(VLOOKUP(D16,'リスト '!$A$2:$B$15,2,FALSE),"")</f>
        <v/>
      </c>
      <c r="F16" s="70"/>
      <c r="G16" s="71" t="str">
        <f>IFERROR(VLOOKUP(F16,設定!$C$11:$F$111,2,FALSE),"")</f>
        <v/>
      </c>
      <c r="H16" s="71" t="str">
        <f>IFERROR(VLOOKUP(F16,設定!$C$11:$F$111,3,FALSE),"")</f>
        <v/>
      </c>
      <c r="I16" s="71" t="str">
        <f>IFERROR(VLOOKUP(F16,設定!$C$11:$F$111,4,FALSE),"")</f>
        <v/>
      </c>
      <c r="J16" s="122"/>
    </row>
    <row r="17" spans="2:10" s="3" customFormat="1" ht="24" customHeight="1" x14ac:dyDescent="0.2">
      <c r="B17" s="68"/>
      <c r="C17" s="69"/>
      <c r="D17" s="86"/>
      <c r="E17" s="116" t="str">
        <f>IFERROR(VLOOKUP(D17,'リスト '!$A$2:$B$15,2,FALSE),"")</f>
        <v/>
      </c>
      <c r="F17" s="70"/>
      <c r="G17" s="71" t="str">
        <f>IFERROR(VLOOKUP(F17,設定!$C$11:$F$111,2,FALSE),"")</f>
        <v/>
      </c>
      <c r="H17" s="71" t="str">
        <f>IFERROR(VLOOKUP(F17,設定!$C$11:$F$111,3,FALSE),"")</f>
        <v/>
      </c>
      <c r="I17" s="71" t="str">
        <f>IFERROR(VLOOKUP(F17,設定!$C$11:$F$111,4,FALSE),"")</f>
        <v/>
      </c>
      <c r="J17" s="122"/>
    </row>
    <row r="18" spans="2:10" s="3" customFormat="1" ht="24" customHeight="1" x14ac:dyDescent="0.2">
      <c r="B18" s="68"/>
      <c r="C18" s="69"/>
      <c r="D18" s="86"/>
      <c r="E18" s="116" t="str">
        <f>IFERROR(VLOOKUP(D18,'リスト '!$A$2:$B$15,2,FALSE),"")</f>
        <v/>
      </c>
      <c r="F18" s="70"/>
      <c r="G18" s="71" t="str">
        <f>IFERROR(VLOOKUP(F18,設定!$C$11:$F$111,2,FALSE),"")</f>
        <v/>
      </c>
      <c r="H18" s="71" t="str">
        <f>IFERROR(VLOOKUP(F18,設定!$C$11:$F$111,3,FALSE),"")</f>
        <v/>
      </c>
      <c r="I18" s="71" t="str">
        <f>IFERROR(VLOOKUP(F18,設定!$C$11:$F$111,4,FALSE),"")</f>
        <v/>
      </c>
      <c r="J18" s="122"/>
    </row>
    <row r="19" spans="2:10" s="3" customFormat="1" ht="24" customHeight="1" x14ac:dyDescent="0.2">
      <c r="B19" s="68"/>
      <c r="C19" s="69"/>
      <c r="D19" s="86"/>
      <c r="E19" s="116" t="str">
        <f>IFERROR(VLOOKUP(D19,'リスト '!$A$2:$B$15,2,FALSE),"")</f>
        <v/>
      </c>
      <c r="F19" s="70"/>
      <c r="G19" s="71" t="str">
        <f>IFERROR(VLOOKUP(F19,設定!$C$11:$F$111,2,FALSE),"")</f>
        <v/>
      </c>
      <c r="H19" s="71" t="str">
        <f>IFERROR(VLOOKUP(F19,設定!$C$11:$F$111,3,FALSE),"")</f>
        <v/>
      </c>
      <c r="I19" s="71" t="str">
        <f>IFERROR(VLOOKUP(F19,設定!$C$11:$F$111,4,FALSE),"")</f>
        <v/>
      </c>
      <c r="J19" s="122"/>
    </row>
    <row r="20" spans="2:10" s="3" customFormat="1" ht="24" customHeight="1" x14ac:dyDescent="0.2">
      <c r="B20" s="68"/>
      <c r="C20" s="69"/>
      <c r="D20" s="86"/>
      <c r="E20" s="116" t="str">
        <f>IFERROR(VLOOKUP(D20,'リスト '!$A$2:$B$15,2,FALSE),"")</f>
        <v/>
      </c>
      <c r="F20" s="70"/>
      <c r="G20" s="71" t="str">
        <f>IFERROR(VLOOKUP(F20,設定!$C$11:$F$111,2,FALSE),"")</f>
        <v/>
      </c>
      <c r="H20" s="71" t="str">
        <f>IFERROR(VLOOKUP(F20,設定!$C$11:$F$111,3,FALSE),"")</f>
        <v/>
      </c>
      <c r="I20" s="71" t="str">
        <f>IFERROR(VLOOKUP(F20,設定!$C$11:$F$111,4,FALSE),"")</f>
        <v/>
      </c>
      <c r="J20" s="122"/>
    </row>
    <row r="21" spans="2:10" s="3" customFormat="1" ht="24" customHeight="1" x14ac:dyDescent="0.2">
      <c r="B21" s="68"/>
      <c r="C21" s="69"/>
      <c r="D21" s="86"/>
      <c r="E21" s="116" t="str">
        <f>IFERROR(VLOOKUP(D21,'リスト '!$A$2:$B$15,2,FALSE),"")</f>
        <v/>
      </c>
      <c r="F21" s="70"/>
      <c r="G21" s="71" t="str">
        <f>IFERROR(VLOOKUP(F21,設定!$C$11:$F$111,2,FALSE),"")</f>
        <v/>
      </c>
      <c r="H21" s="71" t="str">
        <f>IFERROR(VLOOKUP(F21,設定!$C$11:$F$111,3,FALSE),"")</f>
        <v/>
      </c>
      <c r="I21" s="71" t="str">
        <f>IFERROR(VLOOKUP(F21,設定!$C$11:$F$111,4,FALSE),"")</f>
        <v/>
      </c>
      <c r="J21" s="122"/>
    </row>
    <row r="22" spans="2:10" s="3" customFormat="1" ht="24" customHeight="1" x14ac:dyDescent="0.2">
      <c r="B22" s="68"/>
      <c r="C22" s="69"/>
      <c r="D22" s="86"/>
      <c r="E22" s="116" t="str">
        <f>IFERROR(VLOOKUP(D22,'リスト '!$A$2:$B$15,2,FALSE),"")</f>
        <v/>
      </c>
      <c r="F22" s="70"/>
      <c r="G22" s="71" t="str">
        <f>IFERROR(VLOOKUP(F22,設定!$C$11:$F$111,2,FALSE),"")</f>
        <v/>
      </c>
      <c r="H22" s="71" t="str">
        <f>IFERROR(VLOOKUP(F22,設定!$C$11:$F$111,3,FALSE),"")</f>
        <v/>
      </c>
      <c r="I22" s="71" t="str">
        <f>IFERROR(VLOOKUP(F22,設定!$C$11:$F$111,4,FALSE),"")</f>
        <v/>
      </c>
      <c r="J22" s="122"/>
    </row>
    <row r="23" spans="2:10" s="3" customFormat="1" ht="24" customHeight="1" x14ac:dyDescent="0.2">
      <c r="B23" s="68"/>
      <c r="C23" s="69"/>
      <c r="D23" s="86"/>
      <c r="E23" s="116" t="str">
        <f>IFERROR(VLOOKUP(D23,'リスト '!$A$2:$B$15,2,FALSE),"")</f>
        <v/>
      </c>
      <c r="F23" s="70"/>
      <c r="G23" s="71" t="str">
        <f>IFERROR(VLOOKUP(F23,設定!$C$11:$F$111,2,FALSE),"")</f>
        <v/>
      </c>
      <c r="H23" s="71" t="str">
        <f>IFERROR(VLOOKUP(F23,設定!$C$11:$F$111,3,FALSE),"")</f>
        <v/>
      </c>
      <c r="I23" s="71" t="str">
        <f>IFERROR(VLOOKUP(F23,設定!$C$11:$F$111,4,FALSE),"")</f>
        <v/>
      </c>
      <c r="J23" s="122"/>
    </row>
    <row r="24" spans="2:10" s="3" customFormat="1" ht="24" customHeight="1" x14ac:dyDescent="0.2">
      <c r="B24" s="68"/>
      <c r="C24" s="69"/>
      <c r="D24" s="86"/>
      <c r="E24" s="116" t="str">
        <f>IFERROR(VLOOKUP(D24,'リスト '!$A$2:$B$15,2,FALSE),"")</f>
        <v/>
      </c>
      <c r="F24" s="70"/>
      <c r="G24" s="71" t="str">
        <f>IFERROR(VLOOKUP(F24,設定!$C$11:$F$111,2,FALSE),"")</f>
        <v/>
      </c>
      <c r="H24" s="71" t="str">
        <f>IFERROR(VLOOKUP(F24,設定!$C$11:$F$111,3,FALSE),"")</f>
        <v/>
      </c>
      <c r="I24" s="71" t="str">
        <f>IFERROR(VLOOKUP(F24,設定!$C$11:$F$111,4,FALSE),"")</f>
        <v/>
      </c>
      <c r="J24" s="122"/>
    </row>
    <row r="25" spans="2:10" s="3" customFormat="1" ht="24" customHeight="1" x14ac:dyDescent="0.2">
      <c r="B25" s="68"/>
      <c r="C25" s="69"/>
      <c r="D25" s="86"/>
      <c r="E25" s="116" t="str">
        <f>IFERROR(VLOOKUP(D25,'リスト '!$A$2:$B$15,2,FALSE),"")</f>
        <v/>
      </c>
      <c r="F25" s="70"/>
      <c r="G25" s="71" t="str">
        <f>IFERROR(VLOOKUP(F25,設定!$C$11:$F$111,2,FALSE),"")</f>
        <v/>
      </c>
      <c r="H25" s="71" t="str">
        <f>IFERROR(VLOOKUP(F25,設定!$C$11:$F$111,3,FALSE),"")</f>
        <v/>
      </c>
      <c r="I25" s="71" t="str">
        <f>IFERROR(VLOOKUP(F25,設定!$C$11:$F$111,4,FALSE),"")</f>
        <v/>
      </c>
      <c r="J25" s="122"/>
    </row>
    <row r="26" spans="2:10" s="3" customFormat="1" ht="24" customHeight="1" x14ac:dyDescent="0.2">
      <c r="B26" s="68"/>
      <c r="C26" s="69"/>
      <c r="D26" s="86"/>
      <c r="E26" s="116" t="str">
        <f>IFERROR(VLOOKUP(D26,'リスト '!$A$2:$B$15,2,FALSE),"")</f>
        <v/>
      </c>
      <c r="F26" s="70"/>
      <c r="G26" s="71" t="str">
        <f>IFERROR(VLOOKUP(F26,設定!$C$11:$F$111,2,FALSE),"")</f>
        <v/>
      </c>
      <c r="H26" s="71" t="str">
        <f>IFERROR(VLOOKUP(F26,設定!$C$11:$F$111,3,FALSE),"")</f>
        <v/>
      </c>
      <c r="I26" s="71" t="str">
        <f>IFERROR(VLOOKUP(F26,設定!$C$11:$F$111,4,FALSE),"")</f>
        <v/>
      </c>
      <c r="J26" s="122"/>
    </row>
    <row r="27" spans="2:10" s="3" customFormat="1" ht="24" customHeight="1" x14ac:dyDescent="0.2">
      <c r="B27" s="68"/>
      <c r="C27" s="69"/>
      <c r="D27" s="86"/>
      <c r="E27" s="116" t="str">
        <f>IFERROR(VLOOKUP(D27,'リスト '!$A$2:$B$15,2,FALSE),"")</f>
        <v/>
      </c>
      <c r="F27" s="70"/>
      <c r="G27" s="71" t="str">
        <f>IFERROR(VLOOKUP(F27,設定!$C$11:$F$111,2,FALSE),"")</f>
        <v/>
      </c>
      <c r="H27" s="71" t="str">
        <f>IFERROR(VLOOKUP(F27,設定!$C$11:$F$111,3,FALSE),"")</f>
        <v/>
      </c>
      <c r="I27" s="71" t="str">
        <f>IFERROR(VLOOKUP(F27,設定!$C$11:$F$111,4,FALSE),"")</f>
        <v/>
      </c>
      <c r="J27" s="122"/>
    </row>
    <row r="28" spans="2:10" s="3" customFormat="1" ht="24" customHeight="1" x14ac:dyDescent="0.2">
      <c r="B28" s="68"/>
      <c r="C28" s="69"/>
      <c r="D28" s="86"/>
      <c r="E28" s="116" t="str">
        <f>IFERROR(VLOOKUP(D28,'リスト '!$A$2:$B$15,2,FALSE),"")</f>
        <v/>
      </c>
      <c r="F28" s="70"/>
      <c r="G28" s="71" t="str">
        <f>IFERROR(VLOOKUP(F28,設定!$C$11:$F$111,2,FALSE),"")</f>
        <v/>
      </c>
      <c r="H28" s="71" t="str">
        <f>IFERROR(VLOOKUP(F28,設定!$C$11:$F$111,3,FALSE),"")</f>
        <v/>
      </c>
      <c r="I28" s="71" t="str">
        <f>IFERROR(VLOOKUP(F28,設定!$C$11:$F$111,4,FALSE),"")</f>
        <v/>
      </c>
      <c r="J28" s="122"/>
    </row>
    <row r="29" spans="2:10" s="3" customFormat="1" ht="24" customHeight="1" x14ac:dyDescent="0.2">
      <c r="B29" s="68"/>
      <c r="C29" s="69"/>
      <c r="D29" s="86"/>
      <c r="E29" s="116" t="str">
        <f>IFERROR(VLOOKUP(D29,'リスト '!$A$2:$B$15,2,FALSE),"")</f>
        <v/>
      </c>
      <c r="F29" s="70"/>
      <c r="G29" s="71" t="str">
        <f>IFERROR(VLOOKUP(F29,設定!$C$11:$F$111,2,FALSE),"")</f>
        <v/>
      </c>
      <c r="H29" s="71" t="str">
        <f>IFERROR(VLOOKUP(F29,設定!$C$11:$F$111,3,FALSE),"")</f>
        <v/>
      </c>
      <c r="I29" s="71" t="str">
        <f>IFERROR(VLOOKUP(F29,設定!$C$11:$F$111,4,FALSE),"")</f>
        <v/>
      </c>
      <c r="J29" s="122"/>
    </row>
    <row r="30" spans="2:10" s="3" customFormat="1" ht="24" customHeight="1" x14ac:dyDescent="0.2">
      <c r="B30" s="68"/>
      <c r="C30" s="69"/>
      <c r="D30" s="86"/>
      <c r="E30" s="116" t="str">
        <f>IFERROR(VLOOKUP(D30,'リスト '!$A$2:$B$15,2,FALSE),"")</f>
        <v/>
      </c>
      <c r="F30" s="70"/>
      <c r="G30" s="71" t="str">
        <f>IFERROR(VLOOKUP(F30,設定!$C$11:$F$111,2,FALSE),"")</f>
        <v/>
      </c>
      <c r="H30" s="71" t="str">
        <f>IFERROR(VLOOKUP(F30,設定!$C$11:$F$111,3,FALSE),"")</f>
        <v/>
      </c>
      <c r="I30" s="71" t="str">
        <f>IFERROR(VLOOKUP(F30,設定!$C$11:$F$111,4,FALSE),"")</f>
        <v/>
      </c>
      <c r="J30" s="122"/>
    </row>
    <row r="31" spans="2:10" s="3" customFormat="1" ht="24" customHeight="1" x14ac:dyDescent="0.2">
      <c r="B31" s="68"/>
      <c r="C31" s="69"/>
      <c r="D31" s="86"/>
      <c r="E31" s="116" t="str">
        <f>IFERROR(VLOOKUP(D31,'リスト '!$A$2:$B$15,2,FALSE),"")</f>
        <v/>
      </c>
      <c r="F31" s="70"/>
      <c r="G31" s="71" t="str">
        <f>IFERROR(VLOOKUP(F31,設定!$C$11:$F$111,2,FALSE),"")</f>
        <v/>
      </c>
      <c r="H31" s="71" t="str">
        <f>IFERROR(VLOOKUP(F31,設定!$C$11:$F$111,3,FALSE),"")</f>
        <v/>
      </c>
      <c r="I31" s="71" t="str">
        <f>IFERROR(VLOOKUP(F31,設定!$C$11:$F$111,4,FALSE),"")</f>
        <v/>
      </c>
      <c r="J31" s="122"/>
    </row>
    <row r="32" spans="2:10" s="3" customFormat="1" ht="24" customHeight="1" x14ac:dyDescent="0.2">
      <c r="B32" s="68"/>
      <c r="C32" s="69"/>
      <c r="D32" s="86"/>
      <c r="E32" s="116" t="str">
        <f>IFERROR(VLOOKUP(D32,'リスト '!$A$2:$B$15,2,FALSE),"")</f>
        <v/>
      </c>
      <c r="F32" s="70"/>
      <c r="G32" s="71" t="str">
        <f>IFERROR(VLOOKUP(F32,設定!$C$11:$F$111,2,FALSE),"")</f>
        <v/>
      </c>
      <c r="H32" s="71" t="str">
        <f>IFERROR(VLOOKUP(F32,設定!$C$11:$F$111,3,FALSE),"")</f>
        <v/>
      </c>
      <c r="I32" s="71" t="str">
        <f>IFERROR(VLOOKUP(F32,設定!$C$11:$F$111,4,FALSE),"")</f>
        <v/>
      </c>
      <c r="J32" s="122"/>
    </row>
    <row r="33" spans="2:10" s="3" customFormat="1" ht="24" customHeight="1" x14ac:dyDescent="0.2">
      <c r="B33" s="68"/>
      <c r="C33" s="69"/>
      <c r="D33" s="86"/>
      <c r="E33" s="116" t="str">
        <f>IFERROR(VLOOKUP(D33,'リスト '!$A$2:$B$15,2,FALSE),"")</f>
        <v/>
      </c>
      <c r="F33" s="70"/>
      <c r="G33" s="71" t="str">
        <f>IFERROR(VLOOKUP(F33,設定!$C$11:$F$111,2,FALSE),"")</f>
        <v/>
      </c>
      <c r="H33" s="71" t="str">
        <f>IFERROR(VLOOKUP(F33,設定!$C$11:$F$111,3,FALSE),"")</f>
        <v/>
      </c>
      <c r="I33" s="71" t="str">
        <f>IFERROR(VLOOKUP(F33,設定!$C$11:$F$111,4,FALSE),"")</f>
        <v/>
      </c>
      <c r="J33" s="122"/>
    </row>
    <row r="34" spans="2:10" s="3" customFormat="1" ht="24" customHeight="1" x14ac:dyDescent="0.2">
      <c r="B34" s="68"/>
      <c r="C34" s="69"/>
      <c r="D34" s="86"/>
      <c r="E34" s="116" t="str">
        <f>IFERROR(VLOOKUP(D34,'リスト '!$A$2:$B$15,2,FALSE),"")</f>
        <v/>
      </c>
      <c r="F34" s="70"/>
      <c r="G34" s="71" t="str">
        <f>IFERROR(VLOOKUP(F34,設定!$C$11:$F$111,2,FALSE),"")</f>
        <v/>
      </c>
      <c r="H34" s="71" t="str">
        <f>IFERROR(VLOOKUP(F34,設定!$C$11:$F$111,3,FALSE),"")</f>
        <v/>
      </c>
      <c r="I34" s="71" t="str">
        <f>IFERROR(VLOOKUP(F34,設定!$C$11:$F$111,4,FALSE),"")</f>
        <v/>
      </c>
      <c r="J34" s="122"/>
    </row>
    <row r="35" spans="2:10" s="3" customFormat="1" ht="24" customHeight="1" x14ac:dyDescent="0.2">
      <c r="B35" s="68"/>
      <c r="C35" s="69"/>
      <c r="D35" s="86"/>
      <c r="E35" s="116" t="str">
        <f>IFERROR(VLOOKUP(D35,'リスト '!$A$2:$B$15,2,FALSE),"")</f>
        <v/>
      </c>
      <c r="F35" s="70"/>
      <c r="G35" s="71" t="str">
        <f>IFERROR(VLOOKUP(F35,設定!$C$11:$F$111,2,FALSE),"")</f>
        <v/>
      </c>
      <c r="H35" s="71" t="str">
        <f>IFERROR(VLOOKUP(F35,設定!$C$11:$F$111,3,FALSE),"")</f>
        <v/>
      </c>
      <c r="I35" s="71" t="str">
        <f>IFERROR(VLOOKUP(F35,設定!$C$11:$F$111,4,FALSE),"")</f>
        <v/>
      </c>
      <c r="J35" s="122"/>
    </row>
    <row r="36" spans="2:10" s="3" customFormat="1" ht="24" customHeight="1" x14ac:dyDescent="0.2">
      <c r="B36" s="68"/>
      <c r="C36" s="69"/>
      <c r="D36" s="86"/>
      <c r="E36" s="116" t="str">
        <f>IFERROR(VLOOKUP(D36,'リスト '!$A$2:$B$15,2,FALSE),"")</f>
        <v/>
      </c>
      <c r="F36" s="70"/>
      <c r="G36" s="71" t="str">
        <f>IFERROR(VLOOKUP(F36,設定!$C$11:$F$111,2,FALSE),"")</f>
        <v/>
      </c>
      <c r="H36" s="71" t="str">
        <f>IFERROR(VLOOKUP(F36,設定!$C$11:$F$111,3,FALSE),"")</f>
        <v/>
      </c>
      <c r="I36" s="71" t="str">
        <f>IFERROR(VLOOKUP(F36,設定!$C$11:$F$111,4,FALSE),"")</f>
        <v/>
      </c>
      <c r="J36" s="122"/>
    </row>
    <row r="37" spans="2:10" s="3" customFormat="1" ht="24" customHeight="1" x14ac:dyDescent="0.2">
      <c r="B37" s="68"/>
      <c r="C37" s="69"/>
      <c r="D37" s="86"/>
      <c r="E37" s="116" t="str">
        <f>IFERROR(VLOOKUP(D37,'リスト '!$A$2:$B$15,2,FALSE),"")</f>
        <v/>
      </c>
      <c r="F37" s="70"/>
      <c r="G37" s="71" t="str">
        <f>IFERROR(VLOOKUP(F37,設定!$C$11:$F$111,2,FALSE),"")</f>
        <v/>
      </c>
      <c r="H37" s="71" t="str">
        <f>IFERROR(VLOOKUP(F37,設定!$C$11:$F$111,3,FALSE),"")</f>
        <v/>
      </c>
      <c r="I37" s="71" t="str">
        <f>IFERROR(VLOOKUP(F37,設定!$C$11:$F$111,4,FALSE),"")</f>
        <v/>
      </c>
      <c r="J37" s="122"/>
    </row>
    <row r="38" spans="2:10" s="3" customFormat="1" ht="24" customHeight="1" x14ac:dyDescent="0.2">
      <c r="B38" s="68"/>
      <c r="C38" s="69"/>
      <c r="D38" s="86"/>
      <c r="E38" s="116" t="str">
        <f>IFERROR(VLOOKUP(D38,'リスト '!$A$2:$B$15,2,FALSE),"")</f>
        <v/>
      </c>
      <c r="F38" s="70"/>
      <c r="G38" s="71" t="str">
        <f>IFERROR(VLOOKUP(F38,設定!$C$11:$F$111,2,FALSE),"")</f>
        <v/>
      </c>
      <c r="H38" s="71" t="str">
        <f>IFERROR(VLOOKUP(F38,設定!$C$11:$F$111,3,FALSE),"")</f>
        <v/>
      </c>
      <c r="I38" s="71" t="str">
        <f>IFERROR(VLOOKUP(F38,設定!$C$11:$F$111,4,FALSE),"")</f>
        <v/>
      </c>
      <c r="J38" s="122"/>
    </row>
    <row r="39" spans="2:10" s="3" customFormat="1" ht="24" customHeight="1" x14ac:dyDescent="0.2">
      <c r="B39" s="68"/>
      <c r="C39" s="69"/>
      <c r="D39" s="86"/>
      <c r="E39" s="116" t="str">
        <f>IFERROR(VLOOKUP(D39,'リスト '!$A$2:$B$15,2,FALSE),"")</f>
        <v/>
      </c>
      <c r="F39" s="70"/>
      <c r="G39" s="71" t="str">
        <f>IFERROR(VLOOKUP(F39,設定!$C$11:$F$111,2,FALSE),"")</f>
        <v/>
      </c>
      <c r="H39" s="71" t="str">
        <f>IFERROR(VLOOKUP(F39,設定!$C$11:$F$111,3,FALSE),"")</f>
        <v/>
      </c>
      <c r="I39" s="71" t="str">
        <f>IFERROR(VLOOKUP(F39,設定!$C$11:$F$111,4,FALSE),"")</f>
        <v/>
      </c>
      <c r="J39" s="122"/>
    </row>
    <row r="40" spans="2:10" s="3" customFormat="1" ht="24" customHeight="1" x14ac:dyDescent="0.2">
      <c r="B40" s="68"/>
      <c r="C40" s="69"/>
      <c r="D40" s="86"/>
      <c r="E40" s="116" t="str">
        <f>IFERROR(VLOOKUP(D40,'リスト '!$A$2:$B$15,2,FALSE),"")</f>
        <v/>
      </c>
      <c r="F40" s="70"/>
      <c r="G40" s="71" t="str">
        <f>IFERROR(VLOOKUP(F40,設定!$C$11:$F$111,2,FALSE),"")</f>
        <v/>
      </c>
      <c r="H40" s="71" t="str">
        <f>IFERROR(VLOOKUP(F40,設定!$C$11:$F$111,3,FALSE),"")</f>
        <v/>
      </c>
      <c r="I40" s="71" t="str">
        <f>IFERROR(VLOOKUP(F40,設定!$C$11:$F$111,4,FALSE),"")</f>
        <v/>
      </c>
      <c r="J40" s="122"/>
    </row>
    <row r="41" spans="2:10" s="3" customFormat="1" ht="24" customHeight="1" x14ac:dyDescent="0.2">
      <c r="B41" s="68"/>
      <c r="C41" s="69"/>
      <c r="D41" s="86"/>
      <c r="E41" s="116" t="str">
        <f>IFERROR(VLOOKUP(D41,'リスト '!$A$2:$B$15,2,FALSE),"")</f>
        <v/>
      </c>
      <c r="F41" s="70"/>
      <c r="G41" s="71" t="str">
        <f>IFERROR(VLOOKUP(F41,設定!$C$11:$F$111,2,FALSE),"")</f>
        <v/>
      </c>
      <c r="H41" s="71" t="str">
        <f>IFERROR(VLOOKUP(F41,設定!$C$11:$F$111,3,FALSE),"")</f>
        <v/>
      </c>
      <c r="I41" s="71" t="str">
        <f>IFERROR(VLOOKUP(F41,設定!$C$11:$F$111,4,FALSE),"")</f>
        <v/>
      </c>
      <c r="J41" s="122"/>
    </row>
    <row r="42" spans="2:10" s="3" customFormat="1" ht="24" customHeight="1" x14ac:dyDescent="0.2">
      <c r="B42" s="68"/>
      <c r="C42" s="69"/>
      <c r="D42" s="86"/>
      <c r="E42" s="116" t="str">
        <f>IFERROR(VLOOKUP(D42,'リスト '!$A$2:$B$15,2,FALSE),"")</f>
        <v/>
      </c>
      <c r="F42" s="70"/>
      <c r="G42" s="71" t="str">
        <f>IFERROR(VLOOKUP(F42,設定!$C$11:$F$111,2,FALSE),"")</f>
        <v/>
      </c>
      <c r="H42" s="71" t="str">
        <f>IFERROR(VLOOKUP(F42,設定!$C$11:$F$111,3,FALSE),"")</f>
        <v/>
      </c>
      <c r="I42" s="71" t="str">
        <f>IFERROR(VLOOKUP(F42,設定!$C$11:$F$111,4,FALSE),"")</f>
        <v/>
      </c>
      <c r="J42" s="122"/>
    </row>
    <row r="43" spans="2:10" s="3" customFormat="1" ht="24" customHeight="1" x14ac:dyDescent="0.2">
      <c r="B43" s="68"/>
      <c r="C43" s="69"/>
      <c r="D43" s="86"/>
      <c r="E43" s="116" t="str">
        <f>IFERROR(VLOOKUP(D43,'リスト '!$A$2:$B$15,2,FALSE),"")</f>
        <v/>
      </c>
      <c r="F43" s="70"/>
      <c r="G43" s="71" t="str">
        <f>IFERROR(VLOOKUP(F43,設定!$C$11:$F$111,2,FALSE),"")</f>
        <v/>
      </c>
      <c r="H43" s="71" t="str">
        <f>IFERROR(VLOOKUP(F43,設定!$C$11:$F$111,3,FALSE),"")</f>
        <v/>
      </c>
      <c r="I43" s="71" t="str">
        <f>IFERROR(VLOOKUP(F43,設定!$C$11:$F$111,4,FALSE),"")</f>
        <v/>
      </c>
      <c r="J43" s="122"/>
    </row>
    <row r="44" spans="2:10" s="3" customFormat="1" ht="24" customHeight="1" x14ac:dyDescent="0.2">
      <c r="B44" s="68"/>
      <c r="C44" s="69"/>
      <c r="D44" s="86"/>
      <c r="E44" s="116" t="str">
        <f>IFERROR(VLOOKUP(D44,'リスト '!$A$2:$B$15,2,FALSE),"")</f>
        <v/>
      </c>
      <c r="F44" s="70"/>
      <c r="G44" s="71" t="str">
        <f>IFERROR(VLOOKUP(F44,設定!$C$11:$F$111,2,FALSE),"")</f>
        <v/>
      </c>
      <c r="H44" s="71" t="str">
        <f>IFERROR(VLOOKUP(F44,設定!$C$11:$F$111,3,FALSE),"")</f>
        <v/>
      </c>
      <c r="I44" s="71" t="str">
        <f>IFERROR(VLOOKUP(F44,設定!$C$11:$F$111,4,FALSE),"")</f>
        <v/>
      </c>
      <c r="J44" s="122"/>
    </row>
    <row r="45" spans="2:10" s="3" customFormat="1" ht="24" customHeight="1" x14ac:dyDescent="0.2">
      <c r="B45" s="68"/>
      <c r="C45" s="69"/>
      <c r="D45" s="86"/>
      <c r="E45" s="116" t="str">
        <f>IFERROR(VLOOKUP(D45,'リスト '!$A$2:$B$15,2,FALSE),"")</f>
        <v/>
      </c>
      <c r="F45" s="70"/>
      <c r="G45" s="71" t="str">
        <f>IFERROR(VLOOKUP(F45,設定!$C$11:$F$111,2,FALSE),"")</f>
        <v/>
      </c>
      <c r="H45" s="71" t="str">
        <f>IFERROR(VLOOKUP(F45,設定!$C$11:$F$111,3,FALSE),"")</f>
        <v/>
      </c>
      <c r="I45" s="71" t="str">
        <f>IFERROR(VLOOKUP(F45,設定!$C$11:$F$111,4,FALSE),"")</f>
        <v/>
      </c>
      <c r="J45" s="122"/>
    </row>
    <row r="46" spans="2:10" s="3" customFormat="1" ht="24" customHeight="1" x14ac:dyDescent="0.2">
      <c r="B46" s="68"/>
      <c r="C46" s="69"/>
      <c r="D46" s="86"/>
      <c r="E46" s="116" t="str">
        <f>IFERROR(VLOOKUP(D46,'リスト '!$A$2:$B$15,2,FALSE),"")</f>
        <v/>
      </c>
      <c r="F46" s="70"/>
      <c r="G46" s="71" t="str">
        <f>IFERROR(VLOOKUP(F46,設定!$C$11:$F$111,2,FALSE),"")</f>
        <v/>
      </c>
      <c r="H46" s="71" t="str">
        <f>IFERROR(VLOOKUP(F46,設定!$C$11:$F$111,3,FALSE),"")</f>
        <v/>
      </c>
      <c r="I46" s="71" t="str">
        <f>IFERROR(VLOOKUP(F46,設定!$C$11:$F$111,4,FALSE),"")</f>
        <v/>
      </c>
      <c r="J46" s="122"/>
    </row>
    <row r="47" spans="2:10" s="3" customFormat="1" ht="24" customHeight="1" x14ac:dyDescent="0.2">
      <c r="B47" s="68"/>
      <c r="C47" s="69"/>
      <c r="D47" s="86"/>
      <c r="E47" s="116" t="str">
        <f>IFERROR(VLOOKUP(D47,'リスト '!$A$2:$B$15,2,FALSE),"")</f>
        <v/>
      </c>
      <c r="F47" s="70"/>
      <c r="G47" s="71" t="str">
        <f>IFERROR(VLOOKUP(F47,設定!$C$11:$F$111,2,FALSE),"")</f>
        <v/>
      </c>
      <c r="H47" s="71" t="str">
        <f>IFERROR(VLOOKUP(F47,設定!$C$11:$F$111,3,FALSE),"")</f>
        <v/>
      </c>
      <c r="I47" s="71" t="str">
        <f>IFERROR(VLOOKUP(F47,設定!$C$11:$F$111,4,FALSE),"")</f>
        <v/>
      </c>
      <c r="J47" s="122"/>
    </row>
    <row r="48" spans="2:10" s="3" customFormat="1" ht="24" customHeight="1" x14ac:dyDescent="0.2">
      <c r="B48" s="68"/>
      <c r="C48" s="69"/>
      <c r="D48" s="86"/>
      <c r="E48" s="116" t="str">
        <f>IFERROR(VLOOKUP(D48,'リスト '!$A$2:$B$15,2,FALSE),"")</f>
        <v/>
      </c>
      <c r="F48" s="70"/>
      <c r="G48" s="71" t="str">
        <f>IFERROR(VLOOKUP(F48,設定!$C$11:$F$111,2,FALSE),"")</f>
        <v/>
      </c>
      <c r="H48" s="71" t="str">
        <f>IFERROR(VLOOKUP(F48,設定!$C$11:$F$111,3,FALSE),"")</f>
        <v/>
      </c>
      <c r="I48" s="71" t="str">
        <f>IFERROR(VLOOKUP(F48,設定!$C$11:$F$111,4,FALSE),"")</f>
        <v/>
      </c>
      <c r="J48" s="122"/>
    </row>
    <row r="49" spans="2:10" s="3" customFormat="1" ht="24" customHeight="1" x14ac:dyDescent="0.2">
      <c r="B49" s="68"/>
      <c r="C49" s="69"/>
      <c r="D49" s="86"/>
      <c r="E49" s="116" t="str">
        <f>IFERROR(VLOOKUP(D49,'リスト '!$A$2:$B$15,2,FALSE),"")</f>
        <v/>
      </c>
      <c r="F49" s="70"/>
      <c r="G49" s="71" t="str">
        <f>IFERROR(VLOOKUP(F49,設定!$C$11:$F$111,2,FALSE),"")</f>
        <v/>
      </c>
      <c r="H49" s="71" t="str">
        <f>IFERROR(VLOOKUP(F49,設定!$C$11:$F$111,3,FALSE),"")</f>
        <v/>
      </c>
      <c r="I49" s="71" t="str">
        <f>IFERROR(VLOOKUP(F49,設定!$C$11:$F$111,4,FALSE),"")</f>
        <v/>
      </c>
      <c r="J49" s="122"/>
    </row>
    <row r="50" spans="2:10" s="3" customFormat="1" ht="24" customHeight="1" x14ac:dyDescent="0.2">
      <c r="B50" s="68"/>
      <c r="C50" s="69"/>
      <c r="D50" s="86"/>
      <c r="E50" s="116" t="str">
        <f>IFERROR(VLOOKUP(D50,'リスト '!$A$2:$B$15,2,FALSE),"")</f>
        <v/>
      </c>
      <c r="F50" s="70"/>
      <c r="G50" s="71" t="str">
        <f>IFERROR(VLOOKUP(F50,設定!$C$11:$F$111,2,FALSE),"")</f>
        <v/>
      </c>
      <c r="H50" s="71" t="str">
        <f>IFERROR(VLOOKUP(F50,設定!$C$11:$F$111,3,FALSE),"")</f>
        <v/>
      </c>
      <c r="I50" s="71" t="str">
        <f>IFERROR(VLOOKUP(F50,設定!$C$11:$F$111,4,FALSE),"")</f>
        <v/>
      </c>
      <c r="J50" s="122"/>
    </row>
    <row r="51" spans="2:10" s="3" customFormat="1" ht="24" customHeight="1" x14ac:dyDescent="0.2">
      <c r="B51" s="68"/>
      <c r="C51" s="69"/>
      <c r="D51" s="86"/>
      <c r="E51" s="116" t="str">
        <f>IFERROR(VLOOKUP(D51,'リスト '!$A$2:$B$15,2,FALSE),"")</f>
        <v/>
      </c>
      <c r="F51" s="70"/>
      <c r="G51" s="71" t="str">
        <f>IFERROR(VLOOKUP(F51,設定!$C$11:$F$111,2,FALSE),"")</f>
        <v/>
      </c>
      <c r="H51" s="71" t="str">
        <f>IFERROR(VLOOKUP(F51,設定!$C$11:$F$111,3,FALSE),"")</f>
        <v/>
      </c>
      <c r="I51" s="71" t="str">
        <f>IFERROR(VLOOKUP(F51,設定!$C$11:$F$111,4,FALSE),"")</f>
        <v/>
      </c>
      <c r="J51" s="122"/>
    </row>
    <row r="52" spans="2:10" s="3" customFormat="1" ht="24" customHeight="1" x14ac:dyDescent="0.2">
      <c r="B52" s="68"/>
      <c r="C52" s="69"/>
      <c r="D52" s="86"/>
      <c r="E52" s="116" t="str">
        <f>IFERROR(VLOOKUP(D52,'リスト '!$A$2:$B$15,2,FALSE),"")</f>
        <v/>
      </c>
      <c r="F52" s="70"/>
      <c r="G52" s="71" t="str">
        <f>IFERROR(VLOOKUP(F52,設定!$C$11:$F$111,2,FALSE),"")</f>
        <v/>
      </c>
      <c r="H52" s="71" t="str">
        <f>IFERROR(VLOOKUP(F52,設定!$C$11:$F$111,3,FALSE),"")</f>
        <v/>
      </c>
      <c r="I52" s="71" t="str">
        <f>IFERROR(VLOOKUP(F52,設定!$C$11:$F$111,4,FALSE),"")</f>
        <v/>
      </c>
      <c r="J52" s="122"/>
    </row>
    <row r="53" spans="2:10" s="3" customFormat="1" ht="24" customHeight="1" x14ac:dyDescent="0.2">
      <c r="B53" s="68"/>
      <c r="C53" s="69"/>
      <c r="D53" s="86"/>
      <c r="E53" s="116" t="str">
        <f>IFERROR(VLOOKUP(D53,'リスト '!$A$2:$B$15,2,FALSE),"")</f>
        <v/>
      </c>
      <c r="F53" s="70"/>
      <c r="G53" s="71" t="str">
        <f>IFERROR(VLOOKUP(F53,設定!$C$11:$F$111,2,FALSE),"")</f>
        <v/>
      </c>
      <c r="H53" s="71" t="str">
        <f>IFERROR(VLOOKUP(F53,設定!$C$11:$F$111,3,FALSE),"")</f>
        <v/>
      </c>
      <c r="I53" s="71" t="str">
        <f>IFERROR(VLOOKUP(F53,設定!$C$11:$F$111,4,FALSE),"")</f>
        <v/>
      </c>
      <c r="J53" s="122"/>
    </row>
    <row r="54" spans="2:10" s="3" customFormat="1" ht="24" customHeight="1" x14ac:dyDescent="0.2">
      <c r="B54" s="68"/>
      <c r="C54" s="69"/>
      <c r="D54" s="86"/>
      <c r="E54" s="116" t="str">
        <f>IFERROR(VLOOKUP(D54,'リスト '!$A$2:$B$15,2,FALSE),"")</f>
        <v/>
      </c>
      <c r="F54" s="70"/>
      <c r="G54" s="71" t="str">
        <f>IFERROR(VLOOKUP(F54,設定!$C$11:$F$111,2,FALSE),"")</f>
        <v/>
      </c>
      <c r="H54" s="71" t="str">
        <f>IFERROR(VLOOKUP(F54,設定!$C$11:$F$111,3,FALSE),"")</f>
        <v/>
      </c>
      <c r="I54" s="71" t="str">
        <f>IFERROR(VLOOKUP(F54,設定!$C$11:$F$111,4,FALSE),"")</f>
        <v/>
      </c>
      <c r="J54" s="122"/>
    </row>
    <row r="55" spans="2:10" s="3" customFormat="1" ht="24" customHeight="1" x14ac:dyDescent="0.2">
      <c r="B55" s="68"/>
      <c r="C55" s="69"/>
      <c r="D55" s="86"/>
      <c r="E55" s="116" t="str">
        <f>IFERROR(VLOOKUP(D55,'リスト '!$A$2:$B$15,2,FALSE),"")</f>
        <v/>
      </c>
      <c r="F55" s="70"/>
      <c r="G55" s="71" t="str">
        <f>IFERROR(VLOOKUP(F55,設定!$C$11:$F$111,2,FALSE),"")</f>
        <v/>
      </c>
      <c r="H55" s="71" t="str">
        <f>IFERROR(VLOOKUP(F55,設定!$C$11:$F$111,3,FALSE),"")</f>
        <v/>
      </c>
      <c r="I55" s="71" t="str">
        <f>IFERROR(VLOOKUP(F55,設定!$C$11:$F$111,4,FALSE),"")</f>
        <v/>
      </c>
      <c r="J55" s="122"/>
    </row>
    <row r="56" spans="2:10" s="3" customFormat="1" ht="24" customHeight="1" x14ac:dyDescent="0.2">
      <c r="B56" s="68"/>
      <c r="C56" s="69"/>
      <c r="D56" s="86"/>
      <c r="E56" s="116" t="str">
        <f>IFERROR(VLOOKUP(D56,'リスト '!$A$2:$B$15,2,FALSE),"")</f>
        <v/>
      </c>
      <c r="F56" s="70"/>
      <c r="G56" s="71" t="str">
        <f>IFERROR(VLOOKUP(F56,設定!$C$11:$F$111,2,FALSE),"")</f>
        <v/>
      </c>
      <c r="H56" s="71" t="str">
        <f>IFERROR(VLOOKUP(F56,設定!$C$11:$F$111,3,FALSE),"")</f>
        <v/>
      </c>
      <c r="I56" s="71" t="str">
        <f>IFERROR(VLOOKUP(F56,設定!$C$11:$F$111,4,FALSE),"")</f>
        <v/>
      </c>
      <c r="J56" s="122"/>
    </row>
    <row r="57" spans="2:10" s="3" customFormat="1" ht="24" customHeight="1" x14ac:dyDescent="0.2">
      <c r="B57" s="68"/>
      <c r="C57" s="69"/>
      <c r="D57" s="86"/>
      <c r="E57" s="116" t="str">
        <f>IFERROR(VLOOKUP(D57,'リスト '!$A$2:$B$15,2,FALSE),"")</f>
        <v/>
      </c>
      <c r="F57" s="70"/>
      <c r="G57" s="71" t="str">
        <f>IFERROR(VLOOKUP(F57,設定!$C$11:$F$111,2,FALSE),"")</f>
        <v/>
      </c>
      <c r="H57" s="71" t="str">
        <f>IFERROR(VLOOKUP(F57,設定!$C$11:$F$111,3,FALSE),"")</f>
        <v/>
      </c>
      <c r="I57" s="71" t="str">
        <f>IFERROR(VLOOKUP(F57,設定!$C$11:$F$111,4,FALSE),"")</f>
        <v/>
      </c>
      <c r="J57" s="122"/>
    </row>
    <row r="58" spans="2:10" s="3" customFormat="1" ht="24" customHeight="1" x14ac:dyDescent="0.2">
      <c r="B58" s="68"/>
      <c r="C58" s="69"/>
      <c r="D58" s="86"/>
      <c r="E58" s="116" t="str">
        <f>IFERROR(VLOOKUP(D58,'リスト '!$A$2:$B$15,2,FALSE),"")</f>
        <v/>
      </c>
      <c r="F58" s="70"/>
      <c r="G58" s="71" t="str">
        <f>IFERROR(VLOOKUP(F58,設定!$C$11:$F$111,2,FALSE),"")</f>
        <v/>
      </c>
      <c r="H58" s="71" t="str">
        <f>IFERROR(VLOOKUP(F58,設定!$C$11:$F$111,3,FALSE),"")</f>
        <v/>
      </c>
      <c r="I58" s="71" t="str">
        <f>IFERROR(VLOOKUP(F58,設定!$C$11:$F$111,4,FALSE),"")</f>
        <v/>
      </c>
      <c r="J58" s="122"/>
    </row>
    <row r="59" spans="2:10" s="3" customFormat="1" ht="24" customHeight="1" x14ac:dyDescent="0.2">
      <c r="B59" s="68"/>
      <c r="C59" s="69"/>
      <c r="D59" s="86"/>
      <c r="E59" s="116" t="str">
        <f>IFERROR(VLOOKUP(D59,'リスト '!$A$2:$B$15,2,FALSE),"")</f>
        <v/>
      </c>
      <c r="F59" s="70"/>
      <c r="G59" s="71" t="str">
        <f>IFERROR(VLOOKUP(F59,設定!$C$11:$F$111,2,FALSE),"")</f>
        <v/>
      </c>
      <c r="H59" s="71" t="str">
        <f>IFERROR(VLOOKUP(F59,設定!$C$11:$F$111,3,FALSE),"")</f>
        <v/>
      </c>
      <c r="I59" s="71" t="str">
        <f>IFERROR(VLOOKUP(F59,設定!$C$11:$F$111,4,FALSE),"")</f>
        <v/>
      </c>
      <c r="J59" s="122"/>
    </row>
    <row r="60" spans="2:10" s="3" customFormat="1" ht="24" customHeight="1" x14ac:dyDescent="0.2">
      <c r="B60" s="68"/>
      <c r="C60" s="69"/>
      <c r="D60" s="86"/>
      <c r="E60" s="116" t="str">
        <f>IFERROR(VLOOKUP(D60,'リスト '!$A$2:$B$15,2,FALSE),"")</f>
        <v/>
      </c>
      <c r="F60" s="70"/>
      <c r="G60" s="71" t="str">
        <f>IFERROR(VLOOKUP(F60,設定!$C$11:$F$111,2,FALSE),"")</f>
        <v/>
      </c>
      <c r="H60" s="71" t="str">
        <f>IFERROR(VLOOKUP(F60,設定!$C$11:$F$111,3,FALSE),"")</f>
        <v/>
      </c>
      <c r="I60" s="71" t="str">
        <f>IFERROR(VLOOKUP(F60,設定!$C$11:$F$111,4,FALSE),"")</f>
        <v/>
      </c>
      <c r="J60" s="122"/>
    </row>
    <row r="61" spans="2:10" s="3" customFormat="1" ht="24" customHeight="1" x14ac:dyDescent="0.2">
      <c r="B61" s="68"/>
      <c r="C61" s="69"/>
      <c r="D61" s="86"/>
      <c r="E61" s="116" t="str">
        <f>IFERROR(VLOOKUP(D61,'リスト '!$A$2:$B$15,2,FALSE),"")</f>
        <v/>
      </c>
      <c r="F61" s="70"/>
      <c r="G61" s="71" t="str">
        <f>IFERROR(VLOOKUP(F61,設定!$C$11:$F$111,2,FALSE),"")</f>
        <v/>
      </c>
      <c r="H61" s="71" t="str">
        <f>IFERROR(VLOOKUP(F61,設定!$C$11:$F$111,3,FALSE),"")</f>
        <v/>
      </c>
      <c r="I61" s="71" t="str">
        <f>IFERROR(VLOOKUP(F61,設定!$C$11:$F$111,4,FALSE),"")</f>
        <v/>
      </c>
      <c r="J61" s="122"/>
    </row>
    <row r="62" spans="2:10" s="3" customFormat="1" ht="24" customHeight="1" x14ac:dyDescent="0.2">
      <c r="B62" s="68"/>
      <c r="C62" s="69"/>
      <c r="D62" s="86"/>
      <c r="E62" s="116" t="str">
        <f>IFERROR(VLOOKUP(D62,'リスト '!$A$2:$B$15,2,FALSE),"")</f>
        <v/>
      </c>
      <c r="F62" s="70"/>
      <c r="G62" s="71" t="str">
        <f>IFERROR(VLOOKUP(F62,設定!$C$11:$F$111,2,FALSE),"")</f>
        <v/>
      </c>
      <c r="H62" s="71" t="str">
        <f>IFERROR(VLOOKUP(F62,設定!$C$11:$F$111,3,FALSE),"")</f>
        <v/>
      </c>
      <c r="I62" s="71" t="str">
        <f>IFERROR(VLOOKUP(F62,設定!$C$11:$F$111,4,FALSE),"")</f>
        <v/>
      </c>
      <c r="J62" s="122"/>
    </row>
    <row r="63" spans="2:10" s="3" customFormat="1" ht="24" customHeight="1" x14ac:dyDescent="0.2">
      <c r="B63" s="68"/>
      <c r="C63" s="69"/>
      <c r="D63" s="86"/>
      <c r="E63" s="116" t="str">
        <f>IFERROR(VLOOKUP(D63,'リスト '!$A$2:$B$15,2,FALSE),"")</f>
        <v/>
      </c>
      <c r="F63" s="70"/>
      <c r="G63" s="71" t="str">
        <f>IFERROR(VLOOKUP(F63,設定!$C$11:$F$111,2,FALSE),"")</f>
        <v/>
      </c>
      <c r="H63" s="71" t="str">
        <f>IFERROR(VLOOKUP(F63,設定!$C$11:$F$111,3,FALSE),"")</f>
        <v/>
      </c>
      <c r="I63" s="71" t="str">
        <f>IFERROR(VLOOKUP(F63,設定!$C$11:$F$111,4,FALSE),"")</f>
        <v/>
      </c>
      <c r="J63" s="122"/>
    </row>
    <row r="64" spans="2:10" s="3" customFormat="1" ht="24" customHeight="1" x14ac:dyDescent="0.2">
      <c r="B64" s="68"/>
      <c r="C64" s="69"/>
      <c r="D64" s="86"/>
      <c r="E64" s="116" t="str">
        <f>IFERROR(VLOOKUP(D64,'リスト '!$A$2:$B$15,2,FALSE),"")</f>
        <v/>
      </c>
      <c r="F64" s="70"/>
      <c r="G64" s="71" t="str">
        <f>IFERROR(VLOOKUP(F64,設定!$C$11:$F$111,2,FALSE),"")</f>
        <v/>
      </c>
      <c r="H64" s="71" t="str">
        <f>IFERROR(VLOOKUP(F64,設定!$C$11:$F$111,3,FALSE),"")</f>
        <v/>
      </c>
      <c r="I64" s="71" t="str">
        <f>IFERROR(VLOOKUP(F64,設定!$C$11:$F$111,4,FALSE),"")</f>
        <v/>
      </c>
      <c r="J64" s="122"/>
    </row>
    <row r="65" spans="2:10" s="3" customFormat="1" ht="24" customHeight="1" x14ac:dyDescent="0.2">
      <c r="B65" s="68"/>
      <c r="C65" s="69"/>
      <c r="D65" s="86"/>
      <c r="E65" s="116" t="str">
        <f>IFERROR(VLOOKUP(D65,'リスト '!$A$2:$B$15,2,FALSE),"")</f>
        <v/>
      </c>
      <c r="F65" s="70"/>
      <c r="G65" s="71" t="str">
        <f>IFERROR(VLOOKUP(F65,設定!$C$11:$F$111,2,FALSE),"")</f>
        <v/>
      </c>
      <c r="H65" s="71" t="str">
        <f>IFERROR(VLOOKUP(F65,設定!$C$11:$F$111,3,FALSE),"")</f>
        <v/>
      </c>
      <c r="I65" s="71" t="str">
        <f>IFERROR(VLOOKUP(F65,設定!$C$11:$F$111,4,FALSE),"")</f>
        <v/>
      </c>
      <c r="J65" s="122"/>
    </row>
    <row r="66" spans="2:10" s="3" customFormat="1" ht="24" customHeight="1" x14ac:dyDescent="0.2">
      <c r="B66" s="68"/>
      <c r="C66" s="69"/>
      <c r="D66" s="86"/>
      <c r="E66" s="116" t="str">
        <f>IFERROR(VLOOKUP(D66,'リスト '!$A$2:$B$15,2,FALSE),"")</f>
        <v/>
      </c>
      <c r="F66" s="70"/>
      <c r="G66" s="71" t="str">
        <f>IFERROR(VLOOKUP(F66,設定!$C$11:$F$111,2,FALSE),"")</f>
        <v/>
      </c>
      <c r="H66" s="71" t="str">
        <f>IFERROR(VLOOKUP(F66,設定!$C$11:$F$111,3,FALSE),"")</f>
        <v/>
      </c>
      <c r="I66" s="71" t="str">
        <f>IFERROR(VLOOKUP(F66,設定!$C$11:$F$111,4,FALSE),"")</f>
        <v/>
      </c>
      <c r="J66" s="122"/>
    </row>
    <row r="67" spans="2:10" s="3" customFormat="1" ht="24" customHeight="1" x14ac:dyDescent="0.2">
      <c r="B67" s="68"/>
      <c r="C67" s="69"/>
      <c r="D67" s="86"/>
      <c r="E67" s="116" t="str">
        <f>IFERROR(VLOOKUP(D67,'リスト '!$A$2:$B$15,2,FALSE),"")</f>
        <v/>
      </c>
      <c r="F67" s="70"/>
      <c r="G67" s="71" t="str">
        <f>IFERROR(VLOOKUP(F67,設定!$C$11:$F$111,2,FALSE),"")</f>
        <v/>
      </c>
      <c r="H67" s="71" t="str">
        <f>IFERROR(VLOOKUP(F67,設定!$C$11:$F$111,3,FALSE),"")</f>
        <v/>
      </c>
      <c r="I67" s="71" t="str">
        <f>IFERROR(VLOOKUP(F67,設定!$C$11:$F$111,4,FALSE),"")</f>
        <v/>
      </c>
      <c r="J67" s="122"/>
    </row>
    <row r="68" spans="2:10" s="3" customFormat="1" ht="24" customHeight="1" x14ac:dyDescent="0.2">
      <c r="B68" s="68"/>
      <c r="C68" s="69"/>
      <c r="D68" s="86"/>
      <c r="E68" s="116" t="str">
        <f>IFERROR(VLOOKUP(D68,'リスト '!$A$2:$B$15,2,FALSE),"")</f>
        <v/>
      </c>
      <c r="F68" s="70"/>
      <c r="G68" s="71" t="str">
        <f>IFERROR(VLOOKUP(F68,設定!$C$11:$F$111,2,FALSE),"")</f>
        <v/>
      </c>
      <c r="H68" s="71" t="str">
        <f>IFERROR(VLOOKUP(F68,設定!$C$11:$F$111,3,FALSE),"")</f>
        <v/>
      </c>
      <c r="I68" s="71" t="str">
        <f>IFERROR(VLOOKUP(F68,設定!$C$11:$F$111,4,FALSE),"")</f>
        <v/>
      </c>
      <c r="J68" s="122"/>
    </row>
    <row r="69" spans="2:10" s="3" customFormat="1" ht="24" customHeight="1" x14ac:dyDescent="0.2">
      <c r="B69" s="68"/>
      <c r="C69" s="69"/>
      <c r="D69" s="86"/>
      <c r="E69" s="116" t="str">
        <f>IFERROR(VLOOKUP(D69,'リスト '!$A$2:$B$15,2,FALSE),"")</f>
        <v/>
      </c>
      <c r="F69" s="70"/>
      <c r="G69" s="71" t="str">
        <f>IFERROR(VLOOKUP(F69,設定!$C$11:$F$111,2,FALSE),"")</f>
        <v/>
      </c>
      <c r="H69" s="71" t="str">
        <f>IFERROR(VLOOKUP(F69,設定!$C$11:$F$111,3,FALSE),"")</f>
        <v/>
      </c>
      <c r="I69" s="71" t="str">
        <f>IFERROR(VLOOKUP(F69,設定!$C$11:$F$111,4,FALSE),"")</f>
        <v/>
      </c>
      <c r="J69" s="122"/>
    </row>
    <row r="70" spans="2:10" s="3" customFormat="1" ht="24" customHeight="1" x14ac:dyDescent="0.2">
      <c r="B70" s="68"/>
      <c r="C70" s="69"/>
      <c r="D70" s="86"/>
      <c r="E70" s="116" t="str">
        <f>IFERROR(VLOOKUP(D70,'リスト '!$A$2:$B$15,2,FALSE),"")</f>
        <v/>
      </c>
      <c r="F70" s="70"/>
      <c r="G70" s="71" t="str">
        <f>IFERROR(VLOOKUP(F70,設定!$C$11:$F$111,2,FALSE),"")</f>
        <v/>
      </c>
      <c r="H70" s="71" t="str">
        <f>IFERROR(VLOOKUP(F70,設定!$C$11:$F$111,3,FALSE),"")</f>
        <v/>
      </c>
      <c r="I70" s="71" t="str">
        <f>IFERROR(VLOOKUP(F70,設定!$C$11:$F$111,4,FALSE),"")</f>
        <v/>
      </c>
      <c r="J70" s="122"/>
    </row>
    <row r="71" spans="2:10" s="3" customFormat="1" ht="24" customHeight="1" x14ac:dyDescent="0.2">
      <c r="B71" s="68"/>
      <c r="C71" s="69"/>
      <c r="D71" s="86"/>
      <c r="E71" s="116" t="str">
        <f>IFERROR(VLOOKUP(D71,'リスト '!$A$2:$B$15,2,FALSE),"")</f>
        <v/>
      </c>
      <c r="F71" s="70"/>
      <c r="G71" s="71" t="str">
        <f>IFERROR(VLOOKUP(F71,設定!$C$11:$F$111,2,FALSE),"")</f>
        <v/>
      </c>
      <c r="H71" s="71" t="str">
        <f>IFERROR(VLOOKUP(F71,設定!$C$11:$F$111,3,FALSE),"")</f>
        <v/>
      </c>
      <c r="I71" s="71" t="str">
        <f>IFERROR(VLOOKUP(F71,設定!$C$11:$F$111,4,FALSE),"")</f>
        <v/>
      </c>
      <c r="J71" s="122"/>
    </row>
    <row r="72" spans="2:10" s="3" customFormat="1" ht="24" customHeight="1" x14ac:dyDescent="0.2">
      <c r="B72" s="68"/>
      <c r="C72" s="69"/>
      <c r="D72" s="86"/>
      <c r="E72" s="116" t="str">
        <f>IFERROR(VLOOKUP(D72,'リスト '!$A$2:$B$15,2,FALSE),"")</f>
        <v/>
      </c>
      <c r="F72" s="70"/>
      <c r="G72" s="71" t="str">
        <f>IFERROR(VLOOKUP(F72,設定!$C$11:$F$111,2,FALSE),"")</f>
        <v/>
      </c>
      <c r="H72" s="71" t="str">
        <f>IFERROR(VLOOKUP(F72,設定!$C$11:$F$111,3,FALSE),"")</f>
        <v/>
      </c>
      <c r="I72" s="71" t="str">
        <f>IFERROR(VLOOKUP(F72,設定!$C$11:$F$111,4,FALSE),"")</f>
        <v/>
      </c>
      <c r="J72" s="122"/>
    </row>
    <row r="73" spans="2:10" s="3" customFormat="1" ht="24" customHeight="1" x14ac:dyDescent="0.2">
      <c r="B73" s="68"/>
      <c r="C73" s="69"/>
      <c r="D73" s="86"/>
      <c r="E73" s="116" t="str">
        <f>IFERROR(VLOOKUP(D73,'リスト '!$A$2:$B$15,2,FALSE),"")</f>
        <v/>
      </c>
      <c r="F73" s="70"/>
      <c r="G73" s="71" t="str">
        <f>IFERROR(VLOOKUP(F73,設定!$C$11:$F$111,2,FALSE),"")</f>
        <v/>
      </c>
      <c r="H73" s="71" t="str">
        <f>IFERROR(VLOOKUP(F73,設定!$C$11:$F$111,3,FALSE),"")</f>
        <v/>
      </c>
      <c r="I73" s="71" t="str">
        <f>IFERROR(VLOOKUP(F73,設定!$C$11:$F$111,4,FALSE),"")</f>
        <v/>
      </c>
      <c r="J73" s="122"/>
    </row>
    <row r="74" spans="2:10" s="3" customFormat="1" ht="24" customHeight="1" x14ac:dyDescent="0.2">
      <c r="B74" s="68"/>
      <c r="C74" s="69"/>
      <c r="D74" s="86"/>
      <c r="E74" s="116" t="str">
        <f>IFERROR(VLOOKUP(D74,'リスト '!$A$2:$B$15,2,FALSE),"")</f>
        <v/>
      </c>
      <c r="F74" s="70"/>
      <c r="G74" s="71" t="str">
        <f>IFERROR(VLOOKUP(F74,設定!$C$11:$F$111,2,FALSE),"")</f>
        <v/>
      </c>
      <c r="H74" s="71" t="str">
        <f>IFERROR(VLOOKUP(F74,設定!$C$11:$F$111,3,FALSE),"")</f>
        <v/>
      </c>
      <c r="I74" s="71" t="str">
        <f>IFERROR(VLOOKUP(F74,設定!$C$11:$F$111,4,FALSE),"")</f>
        <v/>
      </c>
      <c r="J74" s="122"/>
    </row>
    <row r="75" spans="2:10" s="3" customFormat="1" ht="24" customHeight="1" x14ac:dyDescent="0.2">
      <c r="B75" s="68"/>
      <c r="C75" s="69"/>
      <c r="D75" s="86"/>
      <c r="E75" s="116" t="str">
        <f>IFERROR(VLOOKUP(D75,'リスト '!$A$2:$B$15,2,FALSE),"")</f>
        <v/>
      </c>
      <c r="F75" s="70"/>
      <c r="G75" s="71" t="str">
        <f>IFERROR(VLOOKUP(F75,設定!$C$11:$F$111,2,FALSE),"")</f>
        <v/>
      </c>
      <c r="H75" s="71" t="str">
        <f>IFERROR(VLOOKUP(F75,設定!$C$11:$F$111,3,FALSE),"")</f>
        <v/>
      </c>
      <c r="I75" s="71" t="str">
        <f>IFERROR(VLOOKUP(F75,設定!$C$11:$F$111,4,FALSE),"")</f>
        <v/>
      </c>
      <c r="J75" s="122"/>
    </row>
    <row r="76" spans="2:10" s="3" customFormat="1" ht="24" customHeight="1" x14ac:dyDescent="0.2">
      <c r="B76" s="68"/>
      <c r="C76" s="69"/>
      <c r="D76" s="86"/>
      <c r="E76" s="116" t="str">
        <f>IFERROR(VLOOKUP(D76,'リスト '!$A$2:$B$15,2,FALSE),"")</f>
        <v/>
      </c>
      <c r="F76" s="70"/>
      <c r="G76" s="71" t="str">
        <f>IFERROR(VLOOKUP(F76,設定!$C$11:$F$111,2,FALSE),"")</f>
        <v/>
      </c>
      <c r="H76" s="71" t="str">
        <f>IFERROR(VLOOKUP(F76,設定!$C$11:$F$111,3,FALSE),"")</f>
        <v/>
      </c>
      <c r="I76" s="71" t="str">
        <f>IFERROR(VLOOKUP(F76,設定!$C$11:$F$111,4,FALSE),"")</f>
        <v/>
      </c>
      <c r="J76" s="122"/>
    </row>
    <row r="77" spans="2:10" s="3" customFormat="1" ht="24" customHeight="1" x14ac:dyDescent="0.2">
      <c r="B77" s="68"/>
      <c r="C77" s="69"/>
      <c r="D77" s="86"/>
      <c r="E77" s="116" t="str">
        <f>IFERROR(VLOOKUP(D77,'リスト '!$A$2:$B$15,2,FALSE),"")</f>
        <v/>
      </c>
      <c r="F77" s="70"/>
      <c r="G77" s="71" t="str">
        <f>IFERROR(VLOOKUP(F77,設定!$C$11:$F$111,2,FALSE),"")</f>
        <v/>
      </c>
      <c r="H77" s="71" t="str">
        <f>IFERROR(VLOOKUP(F77,設定!$C$11:$F$111,3,FALSE),"")</f>
        <v/>
      </c>
      <c r="I77" s="71" t="str">
        <f>IFERROR(VLOOKUP(F77,設定!$C$11:$F$111,4,FALSE),"")</f>
        <v/>
      </c>
      <c r="J77" s="122"/>
    </row>
    <row r="78" spans="2:10" s="3" customFormat="1" ht="24" customHeight="1" x14ac:dyDescent="0.2">
      <c r="B78" s="68"/>
      <c r="C78" s="69"/>
      <c r="D78" s="86"/>
      <c r="E78" s="116" t="str">
        <f>IFERROR(VLOOKUP(D78,'リスト '!$A$2:$B$15,2,FALSE),"")</f>
        <v/>
      </c>
      <c r="F78" s="70"/>
      <c r="G78" s="71" t="str">
        <f>IFERROR(VLOOKUP(F78,設定!$C$11:$F$111,2,FALSE),"")</f>
        <v/>
      </c>
      <c r="H78" s="71" t="str">
        <f>IFERROR(VLOOKUP(F78,設定!$C$11:$F$111,3,FALSE),"")</f>
        <v/>
      </c>
      <c r="I78" s="71" t="str">
        <f>IFERROR(VLOOKUP(F78,設定!$C$11:$F$111,4,FALSE),"")</f>
        <v/>
      </c>
      <c r="J78" s="122"/>
    </row>
    <row r="79" spans="2:10" s="3" customFormat="1" ht="24" customHeight="1" x14ac:dyDescent="0.2">
      <c r="B79" s="68"/>
      <c r="C79" s="69"/>
      <c r="D79" s="86"/>
      <c r="E79" s="116" t="str">
        <f>IFERROR(VLOOKUP(D79,'リスト '!$A$2:$B$15,2,FALSE),"")</f>
        <v/>
      </c>
      <c r="F79" s="70"/>
      <c r="G79" s="71" t="str">
        <f>IFERROR(VLOOKUP(F79,設定!$C$11:$F$111,2,FALSE),"")</f>
        <v/>
      </c>
      <c r="H79" s="71" t="str">
        <f>IFERROR(VLOOKUP(F79,設定!$C$11:$F$111,3,FALSE),"")</f>
        <v/>
      </c>
      <c r="I79" s="71" t="str">
        <f>IFERROR(VLOOKUP(F79,設定!$C$11:$F$111,4,FALSE),"")</f>
        <v/>
      </c>
      <c r="J79" s="122"/>
    </row>
    <row r="80" spans="2:10" s="3" customFormat="1" ht="24" customHeight="1" x14ac:dyDescent="0.2">
      <c r="B80" s="68"/>
      <c r="C80" s="69"/>
      <c r="D80" s="86"/>
      <c r="E80" s="116" t="str">
        <f>IFERROR(VLOOKUP(D80,'リスト '!$A$2:$B$15,2,FALSE),"")</f>
        <v/>
      </c>
      <c r="F80" s="70"/>
      <c r="G80" s="71" t="str">
        <f>IFERROR(VLOOKUP(F80,設定!$C$11:$F$111,2,FALSE),"")</f>
        <v/>
      </c>
      <c r="H80" s="71" t="str">
        <f>IFERROR(VLOOKUP(F80,設定!$C$11:$F$111,3,FALSE),"")</f>
        <v/>
      </c>
      <c r="I80" s="71" t="str">
        <f>IFERROR(VLOOKUP(F80,設定!$C$11:$F$111,4,FALSE),"")</f>
        <v/>
      </c>
      <c r="J80" s="122"/>
    </row>
    <row r="81" spans="2:10" s="3" customFormat="1" ht="24" customHeight="1" x14ac:dyDescent="0.2">
      <c r="B81" s="68"/>
      <c r="C81" s="69"/>
      <c r="D81" s="86"/>
      <c r="E81" s="116" t="str">
        <f>IFERROR(VLOOKUP(D81,'リスト '!$A$2:$B$15,2,FALSE),"")</f>
        <v/>
      </c>
      <c r="F81" s="70"/>
      <c r="G81" s="71" t="str">
        <f>IFERROR(VLOOKUP(F81,設定!$C$11:$F$111,2,FALSE),"")</f>
        <v/>
      </c>
      <c r="H81" s="71" t="str">
        <f>IFERROR(VLOOKUP(F81,設定!$C$11:$F$111,3,FALSE),"")</f>
        <v/>
      </c>
      <c r="I81" s="71" t="str">
        <f>IFERROR(VLOOKUP(F81,設定!$C$11:$F$111,4,FALSE),"")</f>
        <v/>
      </c>
      <c r="J81" s="122"/>
    </row>
    <row r="82" spans="2:10" s="3" customFormat="1" ht="24" customHeight="1" x14ac:dyDescent="0.2">
      <c r="B82" s="68"/>
      <c r="C82" s="69"/>
      <c r="D82" s="86"/>
      <c r="E82" s="116" t="str">
        <f>IFERROR(VLOOKUP(D82,'リスト '!$A$2:$B$15,2,FALSE),"")</f>
        <v/>
      </c>
      <c r="F82" s="70"/>
      <c r="G82" s="71" t="str">
        <f>IFERROR(VLOOKUP(F82,設定!$C$11:$F$111,2,FALSE),"")</f>
        <v/>
      </c>
      <c r="H82" s="71" t="str">
        <f>IFERROR(VLOOKUP(F82,設定!$C$11:$F$111,3,FALSE),"")</f>
        <v/>
      </c>
      <c r="I82" s="71" t="str">
        <f>IFERROR(VLOOKUP(F82,設定!$C$11:$F$111,4,FALSE),"")</f>
        <v/>
      </c>
      <c r="J82" s="122"/>
    </row>
    <row r="83" spans="2:10" s="3" customFormat="1" ht="24" customHeight="1" x14ac:dyDescent="0.2">
      <c r="B83" s="68"/>
      <c r="C83" s="69"/>
      <c r="D83" s="86"/>
      <c r="E83" s="116" t="str">
        <f>IFERROR(VLOOKUP(D83,'リスト '!$A$2:$B$15,2,FALSE),"")</f>
        <v/>
      </c>
      <c r="F83" s="70"/>
      <c r="G83" s="71" t="str">
        <f>IFERROR(VLOOKUP(F83,設定!$C$11:$F$111,2,FALSE),"")</f>
        <v/>
      </c>
      <c r="H83" s="71" t="str">
        <f>IFERROR(VLOOKUP(F83,設定!$C$11:$F$111,3,FALSE),"")</f>
        <v/>
      </c>
      <c r="I83" s="71" t="str">
        <f>IFERROR(VLOOKUP(F83,設定!$C$11:$F$111,4,FALSE),"")</f>
        <v/>
      </c>
      <c r="J83" s="122"/>
    </row>
    <row r="84" spans="2:10" s="3" customFormat="1" ht="24" customHeight="1" x14ac:dyDescent="0.2">
      <c r="B84" s="68"/>
      <c r="C84" s="69"/>
      <c r="D84" s="86"/>
      <c r="E84" s="116" t="str">
        <f>IFERROR(VLOOKUP(D84,'リスト '!$A$2:$B$15,2,FALSE),"")</f>
        <v/>
      </c>
      <c r="F84" s="70"/>
      <c r="G84" s="71" t="str">
        <f>IFERROR(VLOOKUP(F84,設定!$C$11:$F$111,2,FALSE),"")</f>
        <v/>
      </c>
      <c r="H84" s="71" t="str">
        <f>IFERROR(VLOOKUP(F84,設定!$C$11:$F$111,3,FALSE),"")</f>
        <v/>
      </c>
      <c r="I84" s="71" t="str">
        <f>IFERROR(VLOOKUP(F84,設定!$C$11:$F$111,4,FALSE),"")</f>
        <v/>
      </c>
      <c r="J84" s="122"/>
    </row>
    <row r="85" spans="2:10" s="3" customFormat="1" ht="24" customHeight="1" x14ac:dyDescent="0.2">
      <c r="B85" s="68"/>
      <c r="C85" s="69"/>
      <c r="D85" s="86"/>
      <c r="E85" s="116" t="str">
        <f>IFERROR(VLOOKUP(D85,'リスト '!$A$2:$B$15,2,FALSE),"")</f>
        <v/>
      </c>
      <c r="F85" s="70"/>
      <c r="G85" s="71" t="str">
        <f>IFERROR(VLOOKUP(F85,設定!$C$11:$F$111,2,FALSE),"")</f>
        <v/>
      </c>
      <c r="H85" s="71" t="str">
        <f>IFERROR(VLOOKUP(F85,設定!$C$11:$F$111,3,FALSE),"")</f>
        <v/>
      </c>
      <c r="I85" s="71" t="str">
        <f>IFERROR(VLOOKUP(F85,設定!$C$11:$F$111,4,FALSE),"")</f>
        <v/>
      </c>
      <c r="J85" s="122"/>
    </row>
    <row r="86" spans="2:10" s="3" customFormat="1" ht="24" customHeight="1" x14ac:dyDescent="0.2">
      <c r="B86" s="68"/>
      <c r="C86" s="69"/>
      <c r="D86" s="86"/>
      <c r="E86" s="116" t="str">
        <f>IFERROR(VLOOKUP(D86,'リスト '!$A$2:$B$15,2,FALSE),"")</f>
        <v/>
      </c>
      <c r="F86" s="70"/>
      <c r="G86" s="71" t="str">
        <f>IFERROR(VLOOKUP(F86,設定!$C$11:$F$111,2,FALSE),"")</f>
        <v/>
      </c>
      <c r="H86" s="71" t="str">
        <f>IFERROR(VLOOKUP(F86,設定!$C$11:$F$111,3,FALSE),"")</f>
        <v/>
      </c>
      <c r="I86" s="71" t="str">
        <f>IFERROR(VLOOKUP(F86,設定!$C$11:$F$111,4,FALSE),"")</f>
        <v/>
      </c>
      <c r="J86" s="122"/>
    </row>
    <row r="87" spans="2:10" s="3" customFormat="1" ht="24" customHeight="1" x14ac:dyDescent="0.2">
      <c r="B87" s="68"/>
      <c r="C87" s="69"/>
      <c r="D87" s="86"/>
      <c r="E87" s="116" t="str">
        <f>IFERROR(VLOOKUP(D87,'リスト '!$A$2:$B$15,2,FALSE),"")</f>
        <v/>
      </c>
      <c r="F87" s="70"/>
      <c r="G87" s="71" t="str">
        <f>IFERROR(VLOOKUP(F87,設定!$C$11:$F$111,2,FALSE),"")</f>
        <v/>
      </c>
      <c r="H87" s="71" t="str">
        <f>IFERROR(VLOOKUP(F87,設定!$C$11:$F$111,3,FALSE),"")</f>
        <v/>
      </c>
      <c r="I87" s="71" t="str">
        <f>IFERROR(VLOOKUP(F87,設定!$C$11:$F$111,4,FALSE),"")</f>
        <v/>
      </c>
      <c r="J87" s="122"/>
    </row>
    <row r="88" spans="2:10" s="3" customFormat="1" ht="24" customHeight="1" x14ac:dyDescent="0.2">
      <c r="B88" s="68"/>
      <c r="C88" s="69"/>
      <c r="D88" s="86"/>
      <c r="E88" s="116" t="str">
        <f>IFERROR(VLOOKUP(D88,'リスト '!$A$2:$B$15,2,FALSE),"")</f>
        <v/>
      </c>
      <c r="F88" s="70"/>
      <c r="G88" s="71" t="str">
        <f>IFERROR(VLOOKUP(F88,設定!$C$11:$F$111,2,FALSE),"")</f>
        <v/>
      </c>
      <c r="H88" s="71" t="str">
        <f>IFERROR(VLOOKUP(F88,設定!$C$11:$F$111,3,FALSE),"")</f>
        <v/>
      </c>
      <c r="I88" s="71" t="str">
        <f>IFERROR(VLOOKUP(F88,設定!$C$11:$F$111,4,FALSE),"")</f>
        <v/>
      </c>
      <c r="J88" s="122"/>
    </row>
    <row r="89" spans="2:10" s="3" customFormat="1" ht="24" customHeight="1" x14ac:dyDescent="0.2">
      <c r="B89" s="68"/>
      <c r="C89" s="69"/>
      <c r="D89" s="86"/>
      <c r="E89" s="116" t="str">
        <f>IFERROR(VLOOKUP(D89,'リスト '!$A$2:$B$15,2,FALSE),"")</f>
        <v/>
      </c>
      <c r="F89" s="70"/>
      <c r="G89" s="71" t="str">
        <f>IFERROR(VLOOKUP(F89,設定!$C$11:$F$111,2,FALSE),"")</f>
        <v/>
      </c>
      <c r="H89" s="71" t="str">
        <f>IFERROR(VLOOKUP(F89,設定!$C$11:$F$111,3,FALSE),"")</f>
        <v/>
      </c>
      <c r="I89" s="71" t="str">
        <f>IFERROR(VLOOKUP(F89,設定!$C$11:$F$111,4,FALSE),"")</f>
        <v/>
      </c>
      <c r="J89" s="122"/>
    </row>
    <row r="90" spans="2:10" s="3" customFormat="1" ht="24" customHeight="1" x14ac:dyDescent="0.2">
      <c r="B90" s="68"/>
      <c r="C90" s="69"/>
      <c r="D90" s="86"/>
      <c r="E90" s="116" t="str">
        <f>IFERROR(VLOOKUP(D90,'リスト '!$A$2:$B$15,2,FALSE),"")</f>
        <v/>
      </c>
      <c r="F90" s="70"/>
      <c r="G90" s="71" t="str">
        <f>IFERROR(VLOOKUP(F90,設定!$C$11:$F$111,2,FALSE),"")</f>
        <v/>
      </c>
      <c r="H90" s="71" t="str">
        <f>IFERROR(VLOOKUP(F90,設定!$C$11:$F$111,3,FALSE),"")</f>
        <v/>
      </c>
      <c r="I90" s="71" t="str">
        <f>IFERROR(VLOOKUP(F90,設定!$C$11:$F$111,4,FALSE),"")</f>
        <v/>
      </c>
      <c r="J90" s="122"/>
    </row>
    <row r="91" spans="2:10" s="3" customFormat="1" ht="24" customHeight="1" x14ac:dyDescent="0.2">
      <c r="B91" s="68"/>
      <c r="C91" s="69"/>
      <c r="D91" s="86"/>
      <c r="E91" s="116" t="str">
        <f>IFERROR(VLOOKUP(D91,'リスト '!$A$2:$B$15,2,FALSE),"")</f>
        <v/>
      </c>
      <c r="F91" s="70"/>
      <c r="G91" s="71" t="str">
        <f>IFERROR(VLOOKUP(F91,設定!$C$11:$F$111,2,FALSE),"")</f>
        <v/>
      </c>
      <c r="H91" s="71" t="str">
        <f>IFERROR(VLOOKUP(F91,設定!$C$11:$F$111,3,FALSE),"")</f>
        <v/>
      </c>
      <c r="I91" s="71" t="str">
        <f>IFERROR(VLOOKUP(F91,設定!$C$11:$F$111,4,FALSE),"")</f>
        <v/>
      </c>
      <c r="J91" s="122"/>
    </row>
    <row r="92" spans="2:10" s="3" customFormat="1" ht="24" customHeight="1" x14ac:dyDescent="0.2">
      <c r="B92" s="68"/>
      <c r="C92" s="69"/>
      <c r="D92" s="86"/>
      <c r="E92" s="116" t="str">
        <f>IFERROR(VLOOKUP(D92,'リスト '!$A$2:$B$15,2,FALSE),"")</f>
        <v/>
      </c>
      <c r="F92" s="70"/>
      <c r="G92" s="71" t="str">
        <f>IFERROR(VLOOKUP(F92,設定!$C$11:$F$111,2,FALSE),"")</f>
        <v/>
      </c>
      <c r="H92" s="71" t="str">
        <f>IFERROR(VLOOKUP(F92,設定!$C$11:$F$111,3,FALSE),"")</f>
        <v/>
      </c>
      <c r="I92" s="71" t="str">
        <f>IFERROR(VLOOKUP(F92,設定!$C$11:$F$111,4,FALSE),"")</f>
        <v/>
      </c>
      <c r="J92" s="122"/>
    </row>
    <row r="93" spans="2:10" s="3" customFormat="1" ht="24" customHeight="1" x14ac:dyDescent="0.2">
      <c r="B93" s="68"/>
      <c r="C93" s="69"/>
      <c r="D93" s="86"/>
      <c r="E93" s="116" t="str">
        <f>IFERROR(VLOOKUP(D93,'リスト '!$A$2:$B$15,2,FALSE),"")</f>
        <v/>
      </c>
      <c r="F93" s="70"/>
      <c r="G93" s="71" t="str">
        <f>IFERROR(VLOOKUP(F93,設定!$C$11:$F$111,2,FALSE),"")</f>
        <v/>
      </c>
      <c r="H93" s="71" t="str">
        <f>IFERROR(VLOOKUP(F93,設定!$C$11:$F$111,3,FALSE),"")</f>
        <v/>
      </c>
      <c r="I93" s="71" t="str">
        <f>IFERROR(VLOOKUP(F93,設定!$C$11:$F$111,4,FALSE),"")</f>
        <v/>
      </c>
      <c r="J93" s="122"/>
    </row>
    <row r="94" spans="2:10" s="3" customFormat="1" ht="24" customHeight="1" x14ac:dyDescent="0.2">
      <c r="B94" s="68"/>
      <c r="C94" s="69"/>
      <c r="D94" s="86"/>
      <c r="E94" s="116" t="str">
        <f>IFERROR(VLOOKUP(D94,'リスト '!$A$2:$B$15,2,FALSE),"")</f>
        <v/>
      </c>
      <c r="F94" s="70"/>
      <c r="G94" s="71" t="str">
        <f>IFERROR(VLOOKUP(F94,設定!$C$11:$F$111,2,FALSE),"")</f>
        <v/>
      </c>
      <c r="H94" s="71" t="str">
        <f>IFERROR(VLOOKUP(F94,設定!$C$11:$F$111,3,FALSE),"")</f>
        <v/>
      </c>
      <c r="I94" s="71" t="str">
        <f>IFERROR(VLOOKUP(F94,設定!$C$11:$F$111,4,FALSE),"")</f>
        <v/>
      </c>
      <c r="J94" s="122"/>
    </row>
    <row r="95" spans="2:10" s="3" customFormat="1" ht="24" customHeight="1" x14ac:dyDescent="0.2">
      <c r="B95" s="68"/>
      <c r="C95" s="69"/>
      <c r="D95" s="86"/>
      <c r="E95" s="116" t="str">
        <f>IFERROR(VLOOKUP(D95,'リスト '!$A$2:$B$15,2,FALSE),"")</f>
        <v/>
      </c>
      <c r="F95" s="70"/>
      <c r="G95" s="71" t="str">
        <f>IFERROR(VLOOKUP(F95,設定!$C$11:$F$111,2,FALSE),"")</f>
        <v/>
      </c>
      <c r="H95" s="71" t="str">
        <f>IFERROR(VLOOKUP(F95,設定!$C$11:$F$111,3,FALSE),"")</f>
        <v/>
      </c>
      <c r="I95" s="71" t="str">
        <f>IFERROR(VLOOKUP(F95,設定!$C$11:$F$111,4,FALSE),"")</f>
        <v/>
      </c>
      <c r="J95" s="122"/>
    </row>
    <row r="96" spans="2:10" s="3" customFormat="1" ht="24" customHeight="1" x14ac:dyDescent="0.2">
      <c r="B96" s="68"/>
      <c r="C96" s="69"/>
      <c r="D96" s="86"/>
      <c r="E96" s="116" t="str">
        <f>IFERROR(VLOOKUP(D96,'リスト '!$A$2:$B$15,2,FALSE),"")</f>
        <v/>
      </c>
      <c r="F96" s="70"/>
      <c r="G96" s="71" t="str">
        <f>IFERROR(VLOOKUP(F96,設定!$C$11:$F$111,2,FALSE),"")</f>
        <v/>
      </c>
      <c r="H96" s="71" t="str">
        <f>IFERROR(VLOOKUP(F96,設定!$C$11:$F$111,3,FALSE),"")</f>
        <v/>
      </c>
      <c r="I96" s="71" t="str">
        <f>IFERROR(VLOOKUP(F96,設定!$C$11:$F$111,4,FALSE),"")</f>
        <v/>
      </c>
      <c r="J96" s="122"/>
    </row>
    <row r="97" spans="2:10" s="3" customFormat="1" ht="24" customHeight="1" x14ac:dyDescent="0.2">
      <c r="B97" s="68"/>
      <c r="C97" s="69"/>
      <c r="D97" s="86"/>
      <c r="E97" s="116" t="str">
        <f>IFERROR(VLOOKUP(D97,'リスト '!$A$2:$B$15,2,FALSE),"")</f>
        <v/>
      </c>
      <c r="F97" s="70"/>
      <c r="G97" s="71" t="str">
        <f>IFERROR(VLOOKUP(F97,設定!$C$11:$F$111,2,FALSE),"")</f>
        <v/>
      </c>
      <c r="H97" s="71" t="str">
        <f>IFERROR(VLOOKUP(F97,設定!$C$11:$F$111,3,FALSE),"")</f>
        <v/>
      </c>
      <c r="I97" s="71" t="str">
        <f>IFERROR(VLOOKUP(F97,設定!$C$11:$F$111,4,FALSE),"")</f>
        <v/>
      </c>
      <c r="J97" s="122"/>
    </row>
    <row r="98" spans="2:10" s="3" customFormat="1" ht="24" customHeight="1" x14ac:dyDescent="0.2">
      <c r="B98" s="68"/>
      <c r="C98" s="69"/>
      <c r="D98" s="86"/>
      <c r="E98" s="116" t="str">
        <f>IFERROR(VLOOKUP(D98,'リスト '!$A$2:$B$15,2,FALSE),"")</f>
        <v/>
      </c>
      <c r="F98" s="70"/>
      <c r="G98" s="71" t="str">
        <f>IFERROR(VLOOKUP(F98,設定!$C$11:$F$111,2,FALSE),"")</f>
        <v/>
      </c>
      <c r="H98" s="71" t="str">
        <f>IFERROR(VLOOKUP(F98,設定!$C$11:$F$111,3,FALSE),"")</f>
        <v/>
      </c>
      <c r="I98" s="71" t="str">
        <f>IFERROR(VLOOKUP(F98,設定!$C$11:$F$111,4,FALSE),"")</f>
        <v/>
      </c>
      <c r="J98" s="122"/>
    </row>
    <row r="99" spans="2:10" s="3" customFormat="1" ht="24" customHeight="1" x14ac:dyDescent="0.2">
      <c r="B99" s="68"/>
      <c r="C99" s="69"/>
      <c r="D99" s="86"/>
      <c r="E99" s="116" t="str">
        <f>IFERROR(VLOOKUP(D99,'リスト '!$A$2:$B$15,2,FALSE),"")</f>
        <v/>
      </c>
      <c r="F99" s="70"/>
      <c r="G99" s="71" t="str">
        <f>IFERROR(VLOOKUP(F99,設定!$C$11:$F$111,2,FALSE),"")</f>
        <v/>
      </c>
      <c r="H99" s="71" t="str">
        <f>IFERROR(VLOOKUP(F99,設定!$C$11:$F$111,3,FALSE),"")</f>
        <v/>
      </c>
      <c r="I99" s="71" t="str">
        <f>IFERROR(VLOOKUP(F99,設定!$C$11:$F$111,4,FALSE),"")</f>
        <v/>
      </c>
      <c r="J99" s="122"/>
    </row>
    <row r="100" spans="2:10" s="3" customFormat="1" ht="24" customHeight="1" x14ac:dyDescent="0.2">
      <c r="B100" s="68"/>
      <c r="C100" s="69"/>
      <c r="D100" s="86"/>
      <c r="E100" s="116" t="str">
        <f>IFERROR(VLOOKUP(D100,'リスト '!$A$2:$B$15,2,FALSE),"")</f>
        <v/>
      </c>
      <c r="F100" s="70"/>
      <c r="G100" s="71" t="str">
        <f>IFERROR(VLOOKUP(F100,設定!$C$11:$F$111,2,FALSE),"")</f>
        <v/>
      </c>
      <c r="H100" s="71" t="str">
        <f>IFERROR(VLOOKUP(F100,設定!$C$11:$F$111,3,FALSE),"")</f>
        <v/>
      </c>
      <c r="I100" s="71" t="str">
        <f>IFERROR(VLOOKUP(F100,設定!$C$11:$F$111,4,FALSE),"")</f>
        <v/>
      </c>
      <c r="J100" s="122"/>
    </row>
    <row r="101" spans="2:10" s="3" customFormat="1" ht="24" customHeight="1" x14ac:dyDescent="0.2">
      <c r="B101" s="68"/>
      <c r="C101" s="69"/>
      <c r="D101" s="86"/>
      <c r="E101" s="116" t="str">
        <f>IFERROR(VLOOKUP(D101,'リスト '!$A$2:$B$15,2,FALSE),"")</f>
        <v/>
      </c>
      <c r="F101" s="70"/>
      <c r="G101" s="71" t="str">
        <f>IFERROR(VLOOKUP(F101,設定!$C$11:$F$111,2,FALSE),"")</f>
        <v/>
      </c>
      <c r="H101" s="71" t="str">
        <f>IFERROR(VLOOKUP(F101,設定!$C$11:$F$111,3,FALSE),"")</f>
        <v/>
      </c>
      <c r="I101" s="71" t="str">
        <f>IFERROR(VLOOKUP(F101,設定!$C$11:$F$111,4,FALSE),"")</f>
        <v/>
      </c>
      <c r="J101" s="122"/>
    </row>
    <row r="102" spans="2:10" s="3" customFormat="1" ht="24" customHeight="1" x14ac:dyDescent="0.2">
      <c r="B102" s="68"/>
      <c r="C102" s="69"/>
      <c r="D102" s="86"/>
      <c r="E102" s="116" t="str">
        <f>IFERROR(VLOOKUP(D102,'リスト '!$A$2:$B$15,2,FALSE),"")</f>
        <v/>
      </c>
      <c r="F102" s="70"/>
      <c r="G102" s="71" t="str">
        <f>IFERROR(VLOOKUP(F102,設定!$C$11:$F$111,2,FALSE),"")</f>
        <v/>
      </c>
      <c r="H102" s="71" t="str">
        <f>IFERROR(VLOOKUP(F102,設定!$C$11:$F$111,3,FALSE),"")</f>
        <v/>
      </c>
      <c r="I102" s="71" t="str">
        <f>IFERROR(VLOOKUP(F102,設定!$C$11:$F$111,4,FALSE),"")</f>
        <v/>
      </c>
      <c r="J102" s="122"/>
    </row>
    <row r="103" spans="2:10" s="3" customFormat="1" ht="24" customHeight="1" x14ac:dyDescent="0.2">
      <c r="B103" s="68"/>
      <c r="C103" s="69"/>
      <c r="D103" s="86"/>
      <c r="E103" s="116" t="str">
        <f>IFERROR(VLOOKUP(D103,'リスト '!$A$2:$B$15,2,FALSE),"")</f>
        <v/>
      </c>
      <c r="F103" s="70"/>
      <c r="G103" s="71" t="str">
        <f>IFERROR(VLOOKUP(F103,設定!$C$11:$F$111,2,FALSE),"")</f>
        <v/>
      </c>
      <c r="H103" s="71" t="str">
        <f>IFERROR(VLOOKUP(F103,設定!$C$11:$F$111,3,FALSE),"")</f>
        <v/>
      </c>
      <c r="I103" s="71" t="str">
        <f>IFERROR(VLOOKUP(F103,設定!$C$11:$F$111,4,FALSE),"")</f>
        <v/>
      </c>
      <c r="J103" s="122"/>
    </row>
    <row r="104" spans="2:10" s="3" customFormat="1" ht="24" customHeight="1" x14ac:dyDescent="0.2">
      <c r="B104" s="68"/>
      <c r="C104" s="69"/>
      <c r="D104" s="86"/>
      <c r="E104" s="116" t="str">
        <f>IFERROR(VLOOKUP(D104,'リスト '!$A$2:$B$15,2,FALSE),"")</f>
        <v/>
      </c>
      <c r="F104" s="70"/>
      <c r="G104" s="71" t="str">
        <f>IFERROR(VLOOKUP(F104,設定!$C$11:$F$111,2,FALSE),"")</f>
        <v/>
      </c>
      <c r="H104" s="71" t="str">
        <f>IFERROR(VLOOKUP(F104,設定!$C$11:$F$111,3,FALSE),"")</f>
        <v/>
      </c>
      <c r="I104" s="71" t="str">
        <f>IFERROR(VLOOKUP(F104,設定!$C$11:$F$111,4,FALSE),"")</f>
        <v/>
      </c>
      <c r="J104" s="122"/>
    </row>
    <row r="105" spans="2:10" s="3" customFormat="1" ht="24" customHeight="1" x14ac:dyDescent="0.2">
      <c r="B105" s="68"/>
      <c r="C105" s="69"/>
      <c r="D105" s="86"/>
      <c r="E105" s="116" t="str">
        <f>IFERROR(VLOOKUP(D105,'リスト '!$A$2:$B$15,2,FALSE),"")</f>
        <v/>
      </c>
      <c r="F105" s="70"/>
      <c r="G105" s="71" t="str">
        <f>IFERROR(VLOOKUP(F105,設定!$C$11:$F$111,2,FALSE),"")</f>
        <v/>
      </c>
      <c r="H105" s="71" t="str">
        <f>IFERROR(VLOOKUP(F105,設定!$C$11:$F$111,3,FALSE),"")</f>
        <v/>
      </c>
      <c r="I105" s="71" t="str">
        <f>IFERROR(VLOOKUP(F105,設定!$C$11:$F$111,4,FALSE),"")</f>
        <v/>
      </c>
      <c r="J105" s="122"/>
    </row>
    <row r="106" spans="2:10" s="3" customFormat="1" ht="24" customHeight="1" x14ac:dyDescent="0.2">
      <c r="B106" s="68"/>
      <c r="C106" s="69"/>
      <c r="D106" s="86"/>
      <c r="E106" s="116" t="str">
        <f>IFERROR(VLOOKUP(D106,'リスト '!$A$2:$B$15,2,FALSE),"")</f>
        <v/>
      </c>
      <c r="F106" s="70"/>
      <c r="G106" s="71" t="str">
        <f>IFERROR(VLOOKUP(F106,設定!$C$11:$F$111,2,FALSE),"")</f>
        <v/>
      </c>
      <c r="H106" s="71" t="str">
        <f>IFERROR(VLOOKUP(F106,設定!$C$11:$F$111,3,FALSE),"")</f>
        <v/>
      </c>
      <c r="I106" s="71" t="str">
        <f>IFERROR(VLOOKUP(F106,設定!$C$11:$F$111,4,FALSE),"")</f>
        <v/>
      </c>
      <c r="J106" s="122"/>
    </row>
    <row r="107" spans="2:10" s="3" customFormat="1" ht="24" customHeight="1" x14ac:dyDescent="0.2">
      <c r="B107" s="68"/>
      <c r="C107" s="69"/>
      <c r="D107" s="86"/>
      <c r="E107" s="116" t="str">
        <f>IFERROR(VLOOKUP(D107,'リスト '!$A$2:$B$15,2,FALSE),"")</f>
        <v/>
      </c>
      <c r="F107" s="70"/>
      <c r="G107" s="71" t="str">
        <f>IFERROR(VLOOKUP(F107,設定!$C$11:$F$111,2,FALSE),"")</f>
        <v/>
      </c>
      <c r="H107" s="71" t="str">
        <f>IFERROR(VLOOKUP(F107,設定!$C$11:$F$111,3,FALSE),"")</f>
        <v/>
      </c>
      <c r="I107" s="71" t="str">
        <f>IFERROR(VLOOKUP(F107,設定!$C$11:$F$111,4,FALSE),"")</f>
        <v/>
      </c>
      <c r="J107" s="122"/>
    </row>
    <row r="108" spans="2:10" s="3" customFormat="1" ht="24" customHeight="1" x14ac:dyDescent="0.2">
      <c r="B108" s="68"/>
      <c r="C108" s="69"/>
      <c r="D108" s="86"/>
      <c r="E108" s="116" t="str">
        <f>IFERROR(VLOOKUP(D108,'リスト '!$A$2:$B$15,2,FALSE),"")</f>
        <v/>
      </c>
      <c r="F108" s="70"/>
      <c r="G108" s="71" t="str">
        <f>IFERROR(VLOOKUP(F108,設定!$C$11:$F$111,2,FALSE),"")</f>
        <v/>
      </c>
      <c r="H108" s="71" t="str">
        <f>IFERROR(VLOOKUP(F108,設定!$C$11:$F$111,3,FALSE),"")</f>
        <v/>
      </c>
      <c r="I108" s="71" t="str">
        <f>IFERROR(VLOOKUP(F108,設定!$C$11:$F$111,4,FALSE),"")</f>
        <v/>
      </c>
      <c r="J108" s="122"/>
    </row>
    <row r="109" spans="2:10" s="3" customFormat="1" ht="24" customHeight="1" x14ac:dyDescent="0.2">
      <c r="B109" s="68"/>
      <c r="C109" s="69"/>
      <c r="D109" s="86"/>
      <c r="E109" s="116" t="str">
        <f>IFERROR(VLOOKUP(D109,'リスト '!$A$2:$B$15,2,FALSE),"")</f>
        <v/>
      </c>
      <c r="F109" s="70"/>
      <c r="G109" s="71" t="str">
        <f>IFERROR(VLOOKUP(F109,設定!$C$11:$F$111,2,FALSE),"")</f>
        <v/>
      </c>
      <c r="H109" s="71" t="str">
        <f>IFERROR(VLOOKUP(F109,設定!$C$11:$F$111,3,FALSE),"")</f>
        <v/>
      </c>
      <c r="I109" s="71" t="str">
        <f>IFERROR(VLOOKUP(F109,設定!$C$11:$F$111,4,FALSE),"")</f>
        <v/>
      </c>
      <c r="J109" s="122"/>
    </row>
    <row r="110" spans="2:10" s="3" customFormat="1" ht="24" customHeight="1" x14ac:dyDescent="0.2">
      <c r="B110" s="68"/>
      <c r="C110" s="69"/>
      <c r="D110" s="86"/>
      <c r="E110" s="116" t="str">
        <f>IFERROR(VLOOKUP(D110,'リスト '!$A$2:$B$15,2,FALSE),"")</f>
        <v/>
      </c>
      <c r="F110" s="70"/>
      <c r="G110" s="71" t="str">
        <f>IFERROR(VLOOKUP(F110,設定!$C$11:$F$111,2,FALSE),"")</f>
        <v/>
      </c>
      <c r="H110" s="71" t="str">
        <f>IFERROR(VLOOKUP(F110,設定!$C$11:$F$111,3,FALSE),"")</f>
        <v/>
      </c>
      <c r="I110" s="71" t="str">
        <f>IFERROR(VLOOKUP(F110,設定!$C$11:$F$111,4,FALSE),"")</f>
        <v/>
      </c>
      <c r="J110" s="122"/>
    </row>
    <row r="111" spans="2:10" s="3" customFormat="1" ht="24" customHeight="1" x14ac:dyDescent="0.2">
      <c r="B111" s="68"/>
      <c r="C111" s="69"/>
      <c r="D111" s="86"/>
      <c r="E111" s="116" t="str">
        <f>IFERROR(VLOOKUP(D111,'リスト '!$A$2:$B$15,2,FALSE),"")</f>
        <v/>
      </c>
      <c r="F111" s="70"/>
      <c r="G111" s="71" t="str">
        <f>IFERROR(VLOOKUP(F111,設定!$C$11:$F$111,2,FALSE),"")</f>
        <v/>
      </c>
      <c r="H111" s="71" t="str">
        <f>IFERROR(VLOOKUP(F111,設定!$C$11:$F$111,3,FALSE),"")</f>
        <v/>
      </c>
      <c r="I111" s="71" t="str">
        <f>IFERROR(VLOOKUP(F111,設定!$C$11:$F$111,4,FALSE),"")</f>
        <v/>
      </c>
      <c r="J111" s="122"/>
    </row>
    <row r="112" spans="2:10" s="3" customFormat="1" ht="24" customHeight="1" x14ac:dyDescent="0.2">
      <c r="B112" s="68"/>
      <c r="C112" s="69"/>
      <c r="D112" s="86"/>
      <c r="E112" s="116" t="str">
        <f>IFERROR(VLOOKUP(D112,'リスト '!$A$2:$B$15,2,FALSE),"")</f>
        <v/>
      </c>
      <c r="F112" s="70"/>
      <c r="G112" s="71" t="str">
        <f>IFERROR(VLOOKUP(F112,設定!$C$11:$F$111,2,FALSE),"")</f>
        <v/>
      </c>
      <c r="H112" s="71" t="str">
        <f>IFERROR(VLOOKUP(F112,設定!$C$11:$F$111,3,FALSE),"")</f>
        <v/>
      </c>
      <c r="I112" s="71" t="str">
        <f>IFERROR(VLOOKUP(F112,設定!$C$11:$F$111,4,FALSE),"")</f>
        <v/>
      </c>
      <c r="J112" s="122"/>
    </row>
    <row r="113" spans="2:10" s="3" customFormat="1" ht="24" customHeight="1" x14ac:dyDescent="0.2">
      <c r="B113" s="68"/>
      <c r="C113" s="69"/>
      <c r="D113" s="86"/>
      <c r="E113" s="116" t="str">
        <f>IFERROR(VLOOKUP(D113,'リスト '!$A$2:$B$15,2,FALSE),"")</f>
        <v/>
      </c>
      <c r="F113" s="70"/>
      <c r="G113" s="71" t="str">
        <f>IFERROR(VLOOKUP(F113,設定!$C$11:$F$111,2,FALSE),"")</f>
        <v/>
      </c>
      <c r="H113" s="71" t="str">
        <f>IFERROR(VLOOKUP(F113,設定!$C$11:$F$111,3,FALSE),"")</f>
        <v/>
      </c>
      <c r="I113" s="71" t="str">
        <f>IFERROR(VLOOKUP(F113,設定!$C$11:$F$111,4,FALSE),"")</f>
        <v/>
      </c>
      <c r="J113" s="122"/>
    </row>
    <row r="114" spans="2:10" s="3" customFormat="1" ht="24" customHeight="1" x14ac:dyDescent="0.2">
      <c r="B114" s="68"/>
      <c r="C114" s="69"/>
      <c r="D114" s="86"/>
      <c r="E114" s="116" t="str">
        <f>IFERROR(VLOOKUP(D114,'リスト '!$A$2:$B$15,2,FALSE),"")</f>
        <v/>
      </c>
      <c r="F114" s="70"/>
      <c r="G114" s="71" t="str">
        <f>IFERROR(VLOOKUP(F114,設定!$C$11:$F$111,2,FALSE),"")</f>
        <v/>
      </c>
      <c r="H114" s="71" t="str">
        <f>IFERROR(VLOOKUP(F114,設定!$C$11:$F$111,3,FALSE),"")</f>
        <v/>
      </c>
      <c r="I114" s="71" t="str">
        <f>IFERROR(VLOOKUP(F114,設定!$C$11:$F$111,4,FALSE),"")</f>
        <v/>
      </c>
      <c r="J114" s="122"/>
    </row>
    <row r="115" spans="2:10" s="3" customFormat="1" ht="24" customHeight="1" x14ac:dyDescent="0.2">
      <c r="B115" s="68"/>
      <c r="C115" s="69"/>
      <c r="D115" s="86"/>
      <c r="E115" s="116" t="str">
        <f>IFERROR(VLOOKUP(D115,'リスト '!$A$2:$B$15,2,FALSE),"")</f>
        <v/>
      </c>
      <c r="F115" s="70"/>
      <c r="G115" s="71" t="str">
        <f>IFERROR(VLOOKUP(F115,設定!$C$11:$F$111,2,FALSE),"")</f>
        <v/>
      </c>
      <c r="H115" s="71" t="str">
        <f>IFERROR(VLOOKUP(F115,設定!$C$11:$F$111,3,FALSE),"")</f>
        <v/>
      </c>
      <c r="I115" s="71" t="str">
        <f>IFERROR(VLOOKUP(F115,設定!$C$11:$F$111,4,FALSE),"")</f>
        <v/>
      </c>
      <c r="J115" s="122"/>
    </row>
    <row r="116" spans="2:10" s="3" customFormat="1" ht="24" customHeight="1" x14ac:dyDescent="0.2">
      <c r="B116" s="68"/>
      <c r="C116" s="69"/>
      <c r="D116" s="86"/>
      <c r="E116" s="116" t="str">
        <f>IFERROR(VLOOKUP(D116,'リスト '!$A$2:$B$15,2,FALSE),"")</f>
        <v/>
      </c>
      <c r="F116" s="70"/>
      <c r="G116" s="71" t="str">
        <f>IFERROR(VLOOKUP(F116,設定!$C$11:$F$111,2,FALSE),"")</f>
        <v/>
      </c>
      <c r="H116" s="71" t="str">
        <f>IFERROR(VLOOKUP(F116,設定!$C$11:$F$111,3,FALSE),"")</f>
        <v/>
      </c>
      <c r="I116" s="71" t="str">
        <f>IFERROR(VLOOKUP(F116,設定!$C$11:$F$111,4,FALSE),"")</f>
        <v/>
      </c>
      <c r="J116" s="122"/>
    </row>
    <row r="117" spans="2:10" s="3" customFormat="1" ht="24" customHeight="1" x14ac:dyDescent="0.2">
      <c r="B117" s="68"/>
      <c r="C117" s="69"/>
      <c r="D117" s="86"/>
      <c r="E117" s="116" t="str">
        <f>IFERROR(VLOOKUP(D117,'リスト '!$A$2:$B$15,2,FALSE),"")</f>
        <v/>
      </c>
      <c r="F117" s="70"/>
      <c r="G117" s="71" t="str">
        <f>IFERROR(VLOOKUP(F117,設定!$C$11:$F$111,2,FALSE),"")</f>
        <v/>
      </c>
      <c r="H117" s="71" t="str">
        <f>IFERROR(VLOOKUP(F117,設定!$C$11:$F$111,3,FALSE),"")</f>
        <v/>
      </c>
      <c r="I117" s="71" t="str">
        <f>IFERROR(VLOOKUP(F117,設定!$C$11:$F$111,4,FALSE),"")</f>
        <v/>
      </c>
      <c r="J117" s="122"/>
    </row>
    <row r="118" spans="2:10" s="3" customFormat="1" ht="24" customHeight="1" x14ac:dyDescent="0.2">
      <c r="B118" s="68"/>
      <c r="C118" s="69"/>
      <c r="D118" s="86"/>
      <c r="E118" s="116" t="str">
        <f>IFERROR(VLOOKUP(D118,'リスト '!$A$2:$B$15,2,FALSE),"")</f>
        <v/>
      </c>
      <c r="F118" s="70"/>
      <c r="G118" s="71" t="str">
        <f>IFERROR(VLOOKUP(F118,設定!$C$11:$F$111,2,FALSE),"")</f>
        <v/>
      </c>
      <c r="H118" s="71" t="str">
        <f>IFERROR(VLOOKUP(F118,設定!$C$11:$F$111,3,FALSE),"")</f>
        <v/>
      </c>
      <c r="I118" s="71" t="str">
        <f>IFERROR(VLOOKUP(F118,設定!$C$11:$F$111,4,FALSE),"")</f>
        <v/>
      </c>
      <c r="J118" s="122"/>
    </row>
    <row r="119" spans="2:10" s="3" customFormat="1" ht="24" customHeight="1" x14ac:dyDescent="0.2">
      <c r="B119" s="68"/>
      <c r="C119" s="69"/>
      <c r="D119" s="86"/>
      <c r="E119" s="116" t="str">
        <f>IFERROR(VLOOKUP(D119,'リスト '!$A$2:$B$15,2,FALSE),"")</f>
        <v/>
      </c>
      <c r="F119" s="70"/>
      <c r="G119" s="71" t="str">
        <f>IFERROR(VLOOKUP(F119,設定!$C$11:$F$111,2,FALSE),"")</f>
        <v/>
      </c>
      <c r="H119" s="71" t="str">
        <f>IFERROR(VLOOKUP(F119,設定!$C$11:$F$111,3,FALSE),"")</f>
        <v/>
      </c>
      <c r="I119" s="71" t="str">
        <f>IFERROR(VLOOKUP(F119,設定!$C$11:$F$111,4,FALSE),"")</f>
        <v/>
      </c>
      <c r="J119" s="122"/>
    </row>
    <row r="120" spans="2:10" s="3" customFormat="1" ht="24" customHeight="1" x14ac:dyDescent="0.2">
      <c r="B120" s="68"/>
      <c r="C120" s="69"/>
      <c r="D120" s="86"/>
      <c r="E120" s="116" t="str">
        <f>IFERROR(VLOOKUP(D120,'リスト '!$A$2:$B$15,2,FALSE),"")</f>
        <v/>
      </c>
      <c r="F120" s="70"/>
      <c r="G120" s="71" t="str">
        <f>IFERROR(VLOOKUP(F120,設定!$C$11:$F$111,2,FALSE),"")</f>
        <v/>
      </c>
      <c r="H120" s="71" t="str">
        <f>IFERROR(VLOOKUP(F120,設定!$C$11:$F$111,3,FALSE),"")</f>
        <v/>
      </c>
      <c r="I120" s="71" t="str">
        <f>IFERROR(VLOOKUP(F120,設定!$C$11:$F$111,4,FALSE),"")</f>
        <v/>
      </c>
      <c r="J120" s="122"/>
    </row>
    <row r="121" spans="2:10" s="3" customFormat="1" ht="24" customHeight="1" x14ac:dyDescent="0.2">
      <c r="B121" s="68"/>
      <c r="C121" s="69"/>
      <c r="D121" s="86"/>
      <c r="E121" s="116" t="str">
        <f>IFERROR(VLOOKUP(D121,'リスト '!$A$2:$B$15,2,FALSE),"")</f>
        <v/>
      </c>
      <c r="F121" s="70"/>
      <c r="G121" s="71" t="str">
        <f>IFERROR(VLOOKUP(F121,設定!$C$11:$F$111,2,FALSE),"")</f>
        <v/>
      </c>
      <c r="H121" s="71" t="str">
        <f>IFERROR(VLOOKUP(F121,設定!$C$11:$F$111,3,FALSE),"")</f>
        <v/>
      </c>
      <c r="I121" s="71" t="str">
        <f>IFERROR(VLOOKUP(F121,設定!$C$11:$F$111,4,FALSE),"")</f>
        <v/>
      </c>
      <c r="J121" s="122"/>
    </row>
    <row r="122" spans="2:10" s="3" customFormat="1" ht="24" customHeight="1" x14ac:dyDescent="0.2">
      <c r="B122" s="68"/>
      <c r="C122" s="69"/>
      <c r="D122" s="86"/>
      <c r="E122" s="116" t="str">
        <f>IFERROR(VLOOKUP(D122,'リスト '!$A$2:$B$15,2,FALSE),"")</f>
        <v/>
      </c>
      <c r="F122" s="70"/>
      <c r="G122" s="71" t="str">
        <f>IFERROR(VLOOKUP(F122,設定!$C$11:$F$111,2,FALSE),"")</f>
        <v/>
      </c>
      <c r="H122" s="71" t="str">
        <f>IFERROR(VLOOKUP(F122,設定!$C$11:$F$111,3,FALSE),"")</f>
        <v/>
      </c>
      <c r="I122" s="71" t="str">
        <f>IFERROR(VLOOKUP(F122,設定!$C$11:$F$111,4,FALSE),"")</f>
        <v/>
      </c>
      <c r="J122" s="122"/>
    </row>
    <row r="123" spans="2:10" s="3" customFormat="1" ht="24" customHeight="1" x14ac:dyDescent="0.2">
      <c r="B123" s="68"/>
      <c r="C123" s="69"/>
      <c r="D123" s="86"/>
      <c r="E123" s="116" t="str">
        <f>IFERROR(VLOOKUP(D123,'リスト '!$A$2:$B$15,2,FALSE),"")</f>
        <v/>
      </c>
      <c r="F123" s="70"/>
      <c r="G123" s="71" t="str">
        <f>IFERROR(VLOOKUP(F123,設定!$C$11:$F$111,2,FALSE),"")</f>
        <v/>
      </c>
      <c r="H123" s="71" t="str">
        <f>IFERROR(VLOOKUP(F123,設定!$C$11:$F$111,3,FALSE),"")</f>
        <v/>
      </c>
      <c r="I123" s="71" t="str">
        <f>IFERROR(VLOOKUP(F123,設定!$C$11:$F$111,4,FALSE),"")</f>
        <v/>
      </c>
      <c r="J123" s="122"/>
    </row>
    <row r="124" spans="2:10" s="3" customFormat="1" ht="24" customHeight="1" x14ac:dyDescent="0.2">
      <c r="B124" s="68"/>
      <c r="C124" s="69"/>
      <c r="D124" s="86"/>
      <c r="E124" s="116" t="str">
        <f>IFERROR(VLOOKUP(D124,'リスト '!$A$2:$B$15,2,FALSE),"")</f>
        <v/>
      </c>
      <c r="F124" s="70"/>
      <c r="G124" s="71" t="str">
        <f>IFERROR(VLOOKUP(F124,設定!$C$11:$F$111,2,FALSE),"")</f>
        <v/>
      </c>
      <c r="H124" s="71" t="str">
        <f>IFERROR(VLOOKUP(F124,設定!$C$11:$F$111,3,FALSE),"")</f>
        <v/>
      </c>
      <c r="I124" s="71" t="str">
        <f>IFERROR(VLOOKUP(F124,設定!$C$11:$F$111,4,FALSE),"")</f>
        <v/>
      </c>
      <c r="J124" s="122"/>
    </row>
    <row r="125" spans="2:10" s="3" customFormat="1" ht="24" customHeight="1" x14ac:dyDescent="0.2">
      <c r="B125" s="68"/>
      <c r="C125" s="69"/>
      <c r="D125" s="86"/>
      <c r="E125" s="116" t="str">
        <f>IFERROR(VLOOKUP(D125,'リスト '!$A$2:$B$15,2,FALSE),"")</f>
        <v/>
      </c>
      <c r="F125" s="70"/>
      <c r="G125" s="71" t="str">
        <f>IFERROR(VLOOKUP(F125,設定!$C$11:$F$111,2,FALSE),"")</f>
        <v/>
      </c>
      <c r="H125" s="71" t="str">
        <f>IFERROR(VLOOKUP(F125,設定!$C$11:$F$111,3,FALSE),"")</f>
        <v/>
      </c>
      <c r="I125" s="71" t="str">
        <f>IFERROR(VLOOKUP(F125,設定!$C$11:$F$111,4,FALSE),"")</f>
        <v/>
      </c>
      <c r="J125" s="122"/>
    </row>
    <row r="126" spans="2:10" s="3" customFormat="1" ht="24" customHeight="1" x14ac:dyDescent="0.2">
      <c r="B126" s="68"/>
      <c r="C126" s="69"/>
      <c r="D126" s="86"/>
      <c r="E126" s="116" t="str">
        <f>IFERROR(VLOOKUP(D126,'リスト '!$A$2:$B$15,2,FALSE),"")</f>
        <v/>
      </c>
      <c r="F126" s="70"/>
      <c r="G126" s="71" t="str">
        <f>IFERROR(VLOOKUP(F126,設定!$C$11:$F$111,2,FALSE),"")</f>
        <v/>
      </c>
      <c r="H126" s="71" t="str">
        <f>IFERROR(VLOOKUP(F126,設定!$C$11:$F$111,3,FALSE),"")</f>
        <v/>
      </c>
      <c r="I126" s="71" t="str">
        <f>IFERROR(VLOOKUP(F126,設定!$C$11:$F$111,4,FALSE),"")</f>
        <v/>
      </c>
      <c r="J126" s="122"/>
    </row>
    <row r="127" spans="2:10" s="3" customFormat="1" ht="24" customHeight="1" x14ac:dyDescent="0.2">
      <c r="B127" s="68"/>
      <c r="C127" s="69"/>
      <c r="D127" s="86"/>
      <c r="E127" s="116" t="str">
        <f>IFERROR(VLOOKUP(D127,'リスト '!$A$2:$B$15,2,FALSE),"")</f>
        <v/>
      </c>
      <c r="F127" s="70"/>
      <c r="G127" s="71" t="str">
        <f>IFERROR(VLOOKUP(F127,設定!$C$11:$F$111,2,FALSE),"")</f>
        <v/>
      </c>
      <c r="H127" s="71" t="str">
        <f>IFERROR(VLOOKUP(F127,設定!$C$11:$F$111,3,FALSE),"")</f>
        <v/>
      </c>
      <c r="I127" s="71" t="str">
        <f>IFERROR(VLOOKUP(F127,設定!$C$11:$F$111,4,FALSE),"")</f>
        <v/>
      </c>
      <c r="J127" s="122"/>
    </row>
    <row r="128" spans="2:10" s="3" customFormat="1" ht="24" customHeight="1" x14ac:dyDescent="0.2">
      <c r="B128" s="68"/>
      <c r="C128" s="69"/>
      <c r="D128" s="86"/>
      <c r="E128" s="116" t="str">
        <f>IFERROR(VLOOKUP(D128,'リスト '!$A$2:$B$15,2,FALSE),"")</f>
        <v/>
      </c>
      <c r="F128" s="70"/>
      <c r="G128" s="71" t="str">
        <f>IFERROR(VLOOKUP(F128,設定!$C$11:$F$111,2,FALSE),"")</f>
        <v/>
      </c>
      <c r="H128" s="71" t="str">
        <f>IFERROR(VLOOKUP(F128,設定!$C$11:$F$111,3,FALSE),"")</f>
        <v/>
      </c>
      <c r="I128" s="71" t="str">
        <f>IFERROR(VLOOKUP(F128,設定!$C$11:$F$111,4,FALSE),"")</f>
        <v/>
      </c>
      <c r="J128" s="122"/>
    </row>
    <row r="129" spans="2:10" s="3" customFormat="1" ht="24" customHeight="1" x14ac:dyDescent="0.2">
      <c r="B129" s="68"/>
      <c r="C129" s="69"/>
      <c r="D129" s="86"/>
      <c r="E129" s="116" t="str">
        <f>IFERROR(VLOOKUP(D129,'リスト '!$A$2:$B$15,2,FALSE),"")</f>
        <v/>
      </c>
      <c r="F129" s="70"/>
      <c r="G129" s="71" t="str">
        <f>IFERROR(VLOOKUP(F129,設定!$C$11:$F$111,2,FALSE),"")</f>
        <v/>
      </c>
      <c r="H129" s="71" t="str">
        <f>IFERROR(VLOOKUP(F129,設定!$C$11:$F$111,3,FALSE),"")</f>
        <v/>
      </c>
      <c r="I129" s="71" t="str">
        <f>IFERROR(VLOOKUP(F129,設定!$C$11:$F$111,4,FALSE),"")</f>
        <v/>
      </c>
      <c r="J129" s="122"/>
    </row>
    <row r="130" spans="2:10" s="3" customFormat="1" ht="24" customHeight="1" x14ac:dyDescent="0.2">
      <c r="B130" s="68"/>
      <c r="C130" s="69"/>
      <c r="D130" s="86"/>
      <c r="E130" s="116" t="str">
        <f>IFERROR(VLOOKUP(D130,'リスト '!$A$2:$B$15,2,FALSE),"")</f>
        <v/>
      </c>
      <c r="F130" s="70"/>
      <c r="G130" s="71" t="str">
        <f>IFERROR(VLOOKUP(F130,設定!$C$11:$F$111,2,FALSE),"")</f>
        <v/>
      </c>
      <c r="H130" s="71" t="str">
        <f>IFERROR(VLOOKUP(F130,設定!$C$11:$F$111,3,FALSE),"")</f>
        <v/>
      </c>
      <c r="I130" s="71" t="str">
        <f>IFERROR(VLOOKUP(F130,設定!$C$11:$F$111,4,FALSE),"")</f>
        <v/>
      </c>
      <c r="J130" s="122"/>
    </row>
    <row r="131" spans="2:10" s="3" customFormat="1" ht="24" customHeight="1" x14ac:dyDescent="0.2">
      <c r="B131" s="68"/>
      <c r="C131" s="69"/>
      <c r="D131" s="86"/>
      <c r="E131" s="116" t="str">
        <f>IFERROR(VLOOKUP(D131,'リスト '!$A$2:$B$15,2,FALSE),"")</f>
        <v/>
      </c>
      <c r="F131" s="70"/>
      <c r="G131" s="71" t="str">
        <f>IFERROR(VLOOKUP(F131,設定!$C$11:$F$111,2,FALSE),"")</f>
        <v/>
      </c>
      <c r="H131" s="71" t="str">
        <f>IFERROR(VLOOKUP(F131,設定!$C$11:$F$111,3,FALSE),"")</f>
        <v/>
      </c>
      <c r="I131" s="71" t="str">
        <f>IFERROR(VLOOKUP(F131,設定!$C$11:$F$111,4,FALSE),"")</f>
        <v/>
      </c>
      <c r="J131" s="122"/>
    </row>
    <row r="132" spans="2:10" s="3" customFormat="1" ht="24" customHeight="1" x14ac:dyDescent="0.2">
      <c r="B132" s="68"/>
      <c r="C132" s="69"/>
      <c r="D132" s="86"/>
      <c r="E132" s="116" t="str">
        <f>IFERROR(VLOOKUP(D132,'リスト '!$A$2:$B$15,2,FALSE),"")</f>
        <v/>
      </c>
      <c r="F132" s="70"/>
      <c r="G132" s="71" t="str">
        <f>IFERROR(VLOOKUP(F132,設定!$C$11:$F$111,2,FALSE),"")</f>
        <v/>
      </c>
      <c r="H132" s="71" t="str">
        <f>IFERROR(VLOOKUP(F132,設定!$C$11:$F$111,3,FALSE),"")</f>
        <v/>
      </c>
      <c r="I132" s="71" t="str">
        <f>IFERROR(VLOOKUP(F132,設定!$C$11:$F$111,4,FALSE),"")</f>
        <v/>
      </c>
      <c r="J132" s="122"/>
    </row>
    <row r="133" spans="2:10" s="3" customFormat="1" ht="24" customHeight="1" x14ac:dyDescent="0.2">
      <c r="B133" s="68"/>
      <c r="C133" s="69"/>
      <c r="D133" s="86"/>
      <c r="E133" s="116" t="str">
        <f>IFERROR(VLOOKUP(D133,'リスト '!$A$2:$B$15,2,FALSE),"")</f>
        <v/>
      </c>
      <c r="F133" s="70"/>
      <c r="G133" s="71" t="str">
        <f>IFERROR(VLOOKUP(F133,設定!$C$11:$F$111,2,FALSE),"")</f>
        <v/>
      </c>
      <c r="H133" s="71" t="str">
        <f>IFERROR(VLOOKUP(F133,設定!$C$11:$F$111,3,FALSE),"")</f>
        <v/>
      </c>
      <c r="I133" s="71" t="str">
        <f>IFERROR(VLOOKUP(F133,設定!$C$11:$F$111,4,FALSE),"")</f>
        <v/>
      </c>
      <c r="J133" s="122"/>
    </row>
    <row r="134" spans="2:10" s="3" customFormat="1" ht="24" customHeight="1" x14ac:dyDescent="0.2">
      <c r="B134" s="68"/>
      <c r="C134" s="69"/>
      <c r="D134" s="86"/>
      <c r="E134" s="116" t="str">
        <f>IFERROR(VLOOKUP(D134,'リスト '!$A$2:$B$15,2,FALSE),"")</f>
        <v/>
      </c>
      <c r="F134" s="70"/>
      <c r="G134" s="71" t="str">
        <f>IFERROR(VLOOKUP(F134,設定!$C$11:$F$111,2,FALSE),"")</f>
        <v/>
      </c>
      <c r="H134" s="71" t="str">
        <f>IFERROR(VLOOKUP(F134,設定!$C$11:$F$111,3,FALSE),"")</f>
        <v/>
      </c>
      <c r="I134" s="71" t="str">
        <f>IFERROR(VLOOKUP(F134,設定!$C$11:$F$111,4,FALSE),"")</f>
        <v/>
      </c>
      <c r="J134" s="122"/>
    </row>
    <row r="135" spans="2:10" s="3" customFormat="1" ht="24" customHeight="1" x14ac:dyDescent="0.2">
      <c r="B135" s="68"/>
      <c r="C135" s="69"/>
      <c r="D135" s="86"/>
      <c r="E135" s="116" t="str">
        <f>IFERROR(VLOOKUP(D135,'リスト '!$A$2:$B$15,2,FALSE),"")</f>
        <v/>
      </c>
      <c r="F135" s="70"/>
      <c r="G135" s="71" t="str">
        <f>IFERROR(VLOOKUP(F135,設定!$C$11:$F$111,2,FALSE),"")</f>
        <v/>
      </c>
      <c r="H135" s="71" t="str">
        <f>IFERROR(VLOOKUP(F135,設定!$C$11:$F$111,3,FALSE),"")</f>
        <v/>
      </c>
      <c r="I135" s="71" t="str">
        <f>IFERROR(VLOOKUP(F135,設定!$C$11:$F$111,4,FALSE),"")</f>
        <v/>
      </c>
      <c r="J135" s="122"/>
    </row>
    <row r="136" spans="2:10" s="3" customFormat="1" ht="24" customHeight="1" x14ac:dyDescent="0.2">
      <c r="B136" s="68"/>
      <c r="C136" s="69"/>
      <c r="D136" s="86"/>
      <c r="E136" s="116" t="str">
        <f>IFERROR(VLOOKUP(D136,'リスト '!$A$2:$B$15,2,FALSE),"")</f>
        <v/>
      </c>
      <c r="F136" s="70"/>
      <c r="G136" s="71" t="str">
        <f>IFERROR(VLOOKUP(F136,設定!$C$11:$F$111,2,FALSE),"")</f>
        <v/>
      </c>
      <c r="H136" s="71" t="str">
        <f>IFERROR(VLOOKUP(F136,設定!$C$11:$F$111,3,FALSE),"")</f>
        <v/>
      </c>
      <c r="I136" s="71" t="str">
        <f>IFERROR(VLOOKUP(F136,設定!$C$11:$F$111,4,FALSE),"")</f>
        <v/>
      </c>
      <c r="J136" s="122"/>
    </row>
    <row r="137" spans="2:10" s="3" customFormat="1" ht="24" customHeight="1" x14ac:dyDescent="0.2">
      <c r="B137" s="68"/>
      <c r="C137" s="69"/>
      <c r="D137" s="86"/>
      <c r="E137" s="116" t="str">
        <f>IFERROR(VLOOKUP(D137,'リスト '!$A$2:$B$15,2,FALSE),"")</f>
        <v/>
      </c>
      <c r="F137" s="70"/>
      <c r="G137" s="71" t="str">
        <f>IFERROR(VLOOKUP(F137,設定!$C$11:$F$111,2,FALSE),"")</f>
        <v/>
      </c>
      <c r="H137" s="71" t="str">
        <f>IFERROR(VLOOKUP(F137,設定!$C$11:$F$111,3,FALSE),"")</f>
        <v/>
      </c>
      <c r="I137" s="71" t="str">
        <f>IFERROR(VLOOKUP(F137,設定!$C$11:$F$111,4,FALSE),"")</f>
        <v/>
      </c>
      <c r="J137" s="122"/>
    </row>
    <row r="138" spans="2:10" s="3" customFormat="1" ht="24" customHeight="1" x14ac:dyDescent="0.2">
      <c r="B138" s="68"/>
      <c r="C138" s="69"/>
      <c r="D138" s="86"/>
      <c r="E138" s="116" t="str">
        <f>IFERROR(VLOOKUP(D138,'リスト '!$A$2:$B$15,2,FALSE),"")</f>
        <v/>
      </c>
      <c r="F138" s="70"/>
      <c r="G138" s="71" t="str">
        <f>IFERROR(VLOOKUP(F138,設定!$C$11:$F$111,2,FALSE),"")</f>
        <v/>
      </c>
      <c r="H138" s="71" t="str">
        <f>IFERROR(VLOOKUP(F138,設定!$C$11:$F$111,3,FALSE),"")</f>
        <v/>
      </c>
      <c r="I138" s="71" t="str">
        <f>IFERROR(VLOOKUP(F138,設定!$C$11:$F$111,4,FALSE),"")</f>
        <v/>
      </c>
      <c r="J138" s="122"/>
    </row>
    <row r="139" spans="2:10" s="3" customFormat="1" ht="24" customHeight="1" x14ac:dyDescent="0.2">
      <c r="B139" s="68"/>
      <c r="C139" s="69"/>
      <c r="D139" s="86"/>
      <c r="E139" s="116" t="str">
        <f>IFERROR(VLOOKUP(D139,'リスト '!$A$2:$B$15,2,FALSE),"")</f>
        <v/>
      </c>
      <c r="F139" s="70"/>
      <c r="G139" s="71" t="str">
        <f>IFERROR(VLOOKUP(F139,設定!$C$11:$F$111,2,FALSE),"")</f>
        <v/>
      </c>
      <c r="H139" s="71" t="str">
        <f>IFERROR(VLOOKUP(F139,設定!$C$11:$F$111,3,FALSE),"")</f>
        <v/>
      </c>
      <c r="I139" s="71" t="str">
        <f>IFERROR(VLOOKUP(F139,設定!$C$11:$F$111,4,FALSE),"")</f>
        <v/>
      </c>
      <c r="J139" s="122"/>
    </row>
    <row r="140" spans="2:10" s="3" customFormat="1" ht="24" customHeight="1" x14ac:dyDescent="0.2">
      <c r="B140" s="68"/>
      <c r="C140" s="69"/>
      <c r="D140" s="86"/>
      <c r="E140" s="116" t="str">
        <f>IFERROR(VLOOKUP(D140,'リスト '!$A$2:$B$15,2,FALSE),"")</f>
        <v/>
      </c>
      <c r="F140" s="70"/>
      <c r="G140" s="71" t="str">
        <f>IFERROR(VLOOKUP(F140,設定!$C$11:$F$111,2,FALSE),"")</f>
        <v/>
      </c>
      <c r="H140" s="71" t="str">
        <f>IFERROR(VLOOKUP(F140,設定!$C$11:$F$111,3,FALSE),"")</f>
        <v/>
      </c>
      <c r="I140" s="71" t="str">
        <f>IFERROR(VLOOKUP(F140,設定!$C$11:$F$111,4,FALSE),"")</f>
        <v/>
      </c>
      <c r="J140" s="122"/>
    </row>
    <row r="141" spans="2:10" s="3" customFormat="1" ht="24" customHeight="1" x14ac:dyDescent="0.2">
      <c r="B141" s="68"/>
      <c r="C141" s="69"/>
      <c r="D141" s="86"/>
      <c r="E141" s="116" t="str">
        <f>IFERROR(VLOOKUP(D141,'リスト '!$A$2:$B$15,2,FALSE),"")</f>
        <v/>
      </c>
      <c r="F141" s="70"/>
      <c r="G141" s="71" t="str">
        <f>IFERROR(VLOOKUP(F141,設定!$C$11:$F$111,2,FALSE),"")</f>
        <v/>
      </c>
      <c r="H141" s="71" t="str">
        <f>IFERROR(VLOOKUP(F141,設定!$C$11:$F$111,3,FALSE),"")</f>
        <v/>
      </c>
      <c r="I141" s="71" t="str">
        <f>IFERROR(VLOOKUP(F141,設定!$C$11:$F$111,4,FALSE),"")</f>
        <v/>
      </c>
      <c r="J141" s="122"/>
    </row>
    <row r="142" spans="2:10" s="3" customFormat="1" ht="24" customHeight="1" x14ac:dyDescent="0.2">
      <c r="B142" s="68"/>
      <c r="C142" s="69"/>
      <c r="D142" s="86"/>
      <c r="E142" s="116" t="str">
        <f>IFERROR(VLOOKUP(D142,'リスト '!$A$2:$B$15,2,FALSE),"")</f>
        <v/>
      </c>
      <c r="F142" s="70"/>
      <c r="G142" s="71" t="str">
        <f>IFERROR(VLOOKUP(F142,設定!$C$11:$F$111,2,FALSE),"")</f>
        <v/>
      </c>
      <c r="H142" s="71" t="str">
        <f>IFERROR(VLOOKUP(F142,設定!$C$11:$F$111,3,FALSE),"")</f>
        <v/>
      </c>
      <c r="I142" s="71" t="str">
        <f>IFERROR(VLOOKUP(F142,設定!$C$11:$F$111,4,FALSE),"")</f>
        <v/>
      </c>
      <c r="J142" s="122"/>
    </row>
    <row r="143" spans="2:10" s="3" customFormat="1" ht="24" customHeight="1" x14ac:dyDescent="0.2">
      <c r="B143" s="68"/>
      <c r="C143" s="69"/>
      <c r="D143" s="86"/>
      <c r="E143" s="116" t="str">
        <f>IFERROR(VLOOKUP(D143,'リスト '!$A$2:$B$15,2,FALSE),"")</f>
        <v/>
      </c>
      <c r="F143" s="70"/>
      <c r="G143" s="71" t="str">
        <f>IFERROR(VLOOKUP(F143,設定!$C$11:$F$111,2,FALSE),"")</f>
        <v/>
      </c>
      <c r="H143" s="71" t="str">
        <f>IFERROR(VLOOKUP(F143,設定!$C$11:$F$111,3,FALSE),"")</f>
        <v/>
      </c>
      <c r="I143" s="71" t="str">
        <f>IFERROR(VLOOKUP(F143,設定!$C$11:$F$111,4,FALSE),"")</f>
        <v/>
      </c>
      <c r="J143" s="122"/>
    </row>
    <row r="144" spans="2:10" s="3" customFormat="1" ht="24" customHeight="1" x14ac:dyDescent="0.2">
      <c r="B144" s="68"/>
      <c r="C144" s="69"/>
      <c r="D144" s="86"/>
      <c r="E144" s="116" t="str">
        <f>IFERROR(VLOOKUP(D144,'リスト '!$A$2:$B$15,2,FALSE),"")</f>
        <v/>
      </c>
      <c r="F144" s="70"/>
      <c r="G144" s="71" t="str">
        <f>IFERROR(VLOOKUP(F144,設定!$C$11:$F$111,2,FALSE),"")</f>
        <v/>
      </c>
      <c r="H144" s="71" t="str">
        <f>IFERROR(VLOOKUP(F144,設定!$C$11:$F$111,3,FALSE),"")</f>
        <v/>
      </c>
      <c r="I144" s="71" t="str">
        <f>IFERROR(VLOOKUP(F144,設定!$C$11:$F$111,4,FALSE),"")</f>
        <v/>
      </c>
      <c r="J144" s="122"/>
    </row>
    <row r="145" spans="2:10" s="3" customFormat="1" ht="24" customHeight="1" x14ac:dyDescent="0.2">
      <c r="B145" s="68"/>
      <c r="C145" s="69"/>
      <c r="D145" s="86"/>
      <c r="E145" s="116" t="str">
        <f>IFERROR(VLOOKUP(D145,'リスト '!$A$2:$B$15,2,FALSE),"")</f>
        <v/>
      </c>
      <c r="F145" s="70"/>
      <c r="G145" s="71" t="str">
        <f>IFERROR(VLOOKUP(F145,設定!$C$11:$F$111,2,FALSE),"")</f>
        <v/>
      </c>
      <c r="H145" s="71" t="str">
        <f>IFERROR(VLOOKUP(F145,設定!$C$11:$F$111,3,FALSE),"")</f>
        <v/>
      </c>
      <c r="I145" s="71" t="str">
        <f>IFERROR(VLOOKUP(F145,設定!$C$11:$F$111,4,FALSE),"")</f>
        <v/>
      </c>
      <c r="J145" s="122"/>
    </row>
    <row r="146" spans="2:10" s="3" customFormat="1" ht="24" customHeight="1" x14ac:dyDescent="0.2">
      <c r="B146" s="68"/>
      <c r="C146" s="69"/>
      <c r="D146" s="86"/>
      <c r="E146" s="116" t="str">
        <f>IFERROR(VLOOKUP(D146,'リスト '!$A$2:$B$15,2,FALSE),"")</f>
        <v/>
      </c>
      <c r="F146" s="70"/>
      <c r="G146" s="71" t="str">
        <f>IFERROR(VLOOKUP(F146,設定!$C$11:$F$111,2,FALSE),"")</f>
        <v/>
      </c>
      <c r="H146" s="71" t="str">
        <f>IFERROR(VLOOKUP(F146,設定!$C$11:$F$111,3,FALSE),"")</f>
        <v/>
      </c>
      <c r="I146" s="71" t="str">
        <f>IFERROR(VLOOKUP(F146,設定!$C$11:$F$111,4,FALSE),"")</f>
        <v/>
      </c>
      <c r="J146" s="122"/>
    </row>
    <row r="147" spans="2:10" s="3" customFormat="1" ht="24" customHeight="1" x14ac:dyDescent="0.2">
      <c r="B147" s="68"/>
      <c r="C147" s="69"/>
      <c r="D147" s="86"/>
      <c r="E147" s="116" t="str">
        <f>IFERROR(VLOOKUP(D147,'リスト '!$A$2:$B$15,2,FALSE),"")</f>
        <v/>
      </c>
      <c r="F147" s="70"/>
      <c r="G147" s="71" t="str">
        <f>IFERROR(VLOOKUP(F147,設定!$C$11:$F$111,2,FALSE),"")</f>
        <v/>
      </c>
      <c r="H147" s="71" t="str">
        <f>IFERROR(VLOOKUP(F147,設定!$C$11:$F$111,3,FALSE),"")</f>
        <v/>
      </c>
      <c r="I147" s="71" t="str">
        <f>IFERROR(VLOOKUP(F147,設定!$C$11:$F$111,4,FALSE),"")</f>
        <v/>
      </c>
      <c r="J147" s="122"/>
    </row>
    <row r="148" spans="2:10" s="3" customFormat="1" ht="24" customHeight="1" x14ac:dyDescent="0.2">
      <c r="B148" s="68"/>
      <c r="C148" s="69"/>
      <c r="D148" s="86"/>
      <c r="E148" s="116" t="str">
        <f>IFERROR(VLOOKUP(D148,'リスト '!$A$2:$B$15,2,FALSE),"")</f>
        <v/>
      </c>
      <c r="F148" s="70"/>
      <c r="G148" s="71" t="str">
        <f>IFERROR(VLOOKUP(F148,設定!$C$11:$F$111,2,FALSE),"")</f>
        <v/>
      </c>
      <c r="H148" s="71" t="str">
        <f>IFERROR(VLOOKUP(F148,設定!$C$11:$F$111,3,FALSE),"")</f>
        <v/>
      </c>
      <c r="I148" s="71" t="str">
        <f>IFERROR(VLOOKUP(F148,設定!$C$11:$F$111,4,FALSE),"")</f>
        <v/>
      </c>
      <c r="J148" s="122"/>
    </row>
    <row r="149" spans="2:10" s="3" customFormat="1" ht="24" customHeight="1" x14ac:dyDescent="0.2">
      <c r="B149" s="68"/>
      <c r="C149" s="69"/>
      <c r="D149" s="86"/>
      <c r="E149" s="116" t="str">
        <f>IFERROR(VLOOKUP(D149,'リスト '!$A$2:$B$15,2,FALSE),"")</f>
        <v/>
      </c>
      <c r="F149" s="70"/>
      <c r="G149" s="71" t="str">
        <f>IFERROR(VLOOKUP(F149,設定!$C$11:$F$111,2,FALSE),"")</f>
        <v/>
      </c>
      <c r="H149" s="71" t="str">
        <f>IFERROR(VLOOKUP(F149,設定!$C$11:$F$111,3,FALSE),"")</f>
        <v/>
      </c>
      <c r="I149" s="71" t="str">
        <f>IFERROR(VLOOKUP(F149,設定!$C$11:$F$111,4,FALSE),"")</f>
        <v/>
      </c>
      <c r="J149" s="122"/>
    </row>
    <row r="150" spans="2:10" s="3" customFormat="1" ht="24" customHeight="1" x14ac:dyDescent="0.2">
      <c r="B150" s="68"/>
      <c r="C150" s="69"/>
      <c r="D150" s="86"/>
      <c r="E150" s="116" t="str">
        <f>IFERROR(VLOOKUP(D150,'リスト '!$A$2:$B$15,2,FALSE),"")</f>
        <v/>
      </c>
      <c r="F150" s="70"/>
      <c r="G150" s="71" t="str">
        <f>IFERROR(VLOOKUP(F150,設定!$C$11:$F$111,2,FALSE),"")</f>
        <v/>
      </c>
      <c r="H150" s="71" t="str">
        <f>IFERROR(VLOOKUP(F150,設定!$C$11:$F$111,3,FALSE),"")</f>
        <v/>
      </c>
      <c r="I150" s="71" t="str">
        <f>IFERROR(VLOOKUP(F150,設定!$C$11:$F$111,4,FALSE),"")</f>
        <v/>
      </c>
      <c r="J150" s="122"/>
    </row>
    <row r="151" spans="2:10" s="3" customFormat="1" ht="24" customHeight="1" x14ac:dyDescent="0.2">
      <c r="B151" s="68"/>
      <c r="C151" s="69"/>
      <c r="D151" s="86"/>
      <c r="E151" s="116" t="str">
        <f>IFERROR(VLOOKUP(D151,'リスト '!$A$2:$B$15,2,FALSE),"")</f>
        <v/>
      </c>
      <c r="F151" s="70"/>
      <c r="G151" s="71" t="str">
        <f>IFERROR(VLOOKUP(F151,設定!$C$11:$F$111,2,FALSE),"")</f>
        <v/>
      </c>
      <c r="H151" s="71" t="str">
        <f>IFERROR(VLOOKUP(F151,設定!$C$11:$F$111,3,FALSE),"")</f>
        <v/>
      </c>
      <c r="I151" s="71" t="str">
        <f>IFERROR(VLOOKUP(F151,設定!$C$11:$F$111,4,FALSE),"")</f>
        <v/>
      </c>
      <c r="J151" s="122"/>
    </row>
    <row r="152" spans="2:10" s="3" customFormat="1" ht="24" customHeight="1" x14ac:dyDescent="0.2">
      <c r="B152" s="68"/>
      <c r="C152" s="69"/>
      <c r="D152" s="86"/>
      <c r="E152" s="116" t="str">
        <f>IFERROR(VLOOKUP(D152,'リスト '!$A$2:$B$15,2,FALSE),"")</f>
        <v/>
      </c>
      <c r="F152" s="70"/>
      <c r="G152" s="71" t="str">
        <f>IFERROR(VLOOKUP(F152,設定!$C$11:$F$111,2,FALSE),"")</f>
        <v/>
      </c>
      <c r="H152" s="71" t="str">
        <f>IFERROR(VLOOKUP(F152,設定!$C$11:$F$111,3,FALSE),"")</f>
        <v/>
      </c>
      <c r="I152" s="71" t="str">
        <f>IFERROR(VLOOKUP(F152,設定!$C$11:$F$111,4,FALSE),"")</f>
        <v/>
      </c>
      <c r="J152" s="122"/>
    </row>
    <row r="153" spans="2:10" s="3" customFormat="1" ht="24" customHeight="1" x14ac:dyDescent="0.2">
      <c r="B153" s="68"/>
      <c r="C153" s="69"/>
      <c r="D153" s="86"/>
      <c r="E153" s="116" t="str">
        <f>IFERROR(VLOOKUP(D153,'リスト '!$A$2:$B$15,2,FALSE),"")</f>
        <v/>
      </c>
      <c r="F153" s="70"/>
      <c r="G153" s="71" t="str">
        <f>IFERROR(VLOOKUP(F153,設定!$C$11:$F$111,2,FALSE),"")</f>
        <v/>
      </c>
      <c r="H153" s="71" t="str">
        <f>IFERROR(VLOOKUP(F153,設定!$C$11:$F$111,3,FALSE),"")</f>
        <v/>
      </c>
      <c r="I153" s="71" t="str">
        <f>IFERROR(VLOOKUP(F153,設定!$C$11:$F$111,4,FALSE),"")</f>
        <v/>
      </c>
      <c r="J153" s="122"/>
    </row>
    <row r="154" spans="2:10" s="3" customFormat="1" ht="24" customHeight="1" x14ac:dyDescent="0.2">
      <c r="B154" s="68"/>
      <c r="C154" s="69"/>
      <c r="D154" s="86"/>
      <c r="E154" s="116" t="str">
        <f>IFERROR(VLOOKUP(D154,'リスト '!$A$2:$B$15,2,FALSE),"")</f>
        <v/>
      </c>
      <c r="F154" s="70"/>
      <c r="G154" s="71" t="str">
        <f>IFERROR(VLOOKUP(F154,設定!$C$11:$F$111,2,FALSE),"")</f>
        <v/>
      </c>
      <c r="H154" s="71" t="str">
        <f>IFERROR(VLOOKUP(F154,設定!$C$11:$F$111,3,FALSE),"")</f>
        <v/>
      </c>
      <c r="I154" s="71" t="str">
        <f>IFERROR(VLOOKUP(F154,設定!$C$11:$F$111,4,FALSE),"")</f>
        <v/>
      </c>
      <c r="J154" s="122"/>
    </row>
    <row r="155" spans="2:10" s="3" customFormat="1" ht="24" customHeight="1" x14ac:dyDescent="0.2">
      <c r="B155" s="68"/>
      <c r="C155" s="69"/>
      <c r="D155" s="86"/>
      <c r="E155" s="116" t="str">
        <f>IFERROR(VLOOKUP(D155,'リスト '!$A$2:$B$15,2,FALSE),"")</f>
        <v/>
      </c>
      <c r="F155" s="70"/>
      <c r="G155" s="71" t="str">
        <f>IFERROR(VLOOKUP(F155,設定!$C$11:$F$111,2,FALSE),"")</f>
        <v/>
      </c>
      <c r="H155" s="71" t="str">
        <f>IFERROR(VLOOKUP(F155,設定!$C$11:$F$111,3,FALSE),"")</f>
        <v/>
      </c>
      <c r="I155" s="71" t="str">
        <f>IFERROR(VLOOKUP(F155,設定!$C$11:$F$111,4,FALSE),"")</f>
        <v/>
      </c>
      <c r="J155" s="122"/>
    </row>
    <row r="156" spans="2:10" s="3" customFormat="1" ht="24" customHeight="1" x14ac:dyDescent="0.2">
      <c r="B156" s="68"/>
      <c r="C156" s="69"/>
      <c r="D156" s="86"/>
      <c r="E156" s="116" t="str">
        <f>IFERROR(VLOOKUP(D156,'リスト '!$A$2:$B$15,2,FALSE),"")</f>
        <v/>
      </c>
      <c r="F156" s="70"/>
      <c r="G156" s="71" t="str">
        <f>IFERROR(VLOOKUP(F156,設定!$C$11:$F$111,2,FALSE),"")</f>
        <v/>
      </c>
      <c r="H156" s="71" t="str">
        <f>IFERROR(VLOOKUP(F156,設定!$C$11:$F$111,3,FALSE),"")</f>
        <v/>
      </c>
      <c r="I156" s="71" t="str">
        <f>IFERROR(VLOOKUP(F156,設定!$C$11:$F$111,4,FALSE),"")</f>
        <v/>
      </c>
      <c r="J156" s="122"/>
    </row>
    <row r="157" spans="2:10" s="3" customFormat="1" ht="24" customHeight="1" x14ac:dyDescent="0.2">
      <c r="B157" s="68"/>
      <c r="C157" s="69"/>
      <c r="D157" s="86"/>
      <c r="E157" s="116" t="str">
        <f>IFERROR(VLOOKUP(D157,'リスト '!$A$2:$B$15,2,FALSE),"")</f>
        <v/>
      </c>
      <c r="F157" s="70"/>
      <c r="G157" s="71" t="str">
        <f>IFERROR(VLOOKUP(F157,設定!$C$11:$F$111,2,FALSE),"")</f>
        <v/>
      </c>
      <c r="H157" s="71" t="str">
        <f>IFERROR(VLOOKUP(F157,設定!$C$11:$F$111,3,FALSE),"")</f>
        <v/>
      </c>
      <c r="I157" s="71" t="str">
        <f>IFERROR(VLOOKUP(F157,設定!$C$11:$F$111,4,FALSE),"")</f>
        <v/>
      </c>
      <c r="J157" s="122"/>
    </row>
    <row r="158" spans="2:10" s="3" customFormat="1" ht="24" customHeight="1" x14ac:dyDescent="0.2">
      <c r="B158" s="68"/>
      <c r="C158" s="69"/>
      <c r="D158" s="86"/>
      <c r="E158" s="116" t="str">
        <f>IFERROR(VLOOKUP(D158,'リスト '!$A$2:$B$15,2,FALSE),"")</f>
        <v/>
      </c>
      <c r="F158" s="70"/>
      <c r="G158" s="71" t="str">
        <f>IFERROR(VLOOKUP(F158,設定!$C$11:$F$111,2,FALSE),"")</f>
        <v/>
      </c>
      <c r="H158" s="71" t="str">
        <f>IFERROR(VLOOKUP(F158,設定!$C$11:$F$111,3,FALSE),"")</f>
        <v/>
      </c>
      <c r="I158" s="71" t="str">
        <f>IFERROR(VLOOKUP(F158,設定!$C$11:$F$111,4,FALSE),"")</f>
        <v/>
      </c>
      <c r="J158" s="122"/>
    </row>
    <row r="159" spans="2:10" s="3" customFormat="1" ht="24" customHeight="1" x14ac:dyDescent="0.2">
      <c r="B159" s="68"/>
      <c r="C159" s="69"/>
      <c r="D159" s="86"/>
      <c r="E159" s="116" t="str">
        <f>IFERROR(VLOOKUP(D159,'リスト '!$A$2:$B$15,2,FALSE),"")</f>
        <v/>
      </c>
      <c r="F159" s="70"/>
      <c r="G159" s="71" t="str">
        <f>IFERROR(VLOOKUP(F159,設定!$C$11:$F$111,2,FALSE),"")</f>
        <v/>
      </c>
      <c r="H159" s="71" t="str">
        <f>IFERROR(VLOOKUP(F159,設定!$C$11:$F$111,3,FALSE),"")</f>
        <v/>
      </c>
      <c r="I159" s="71" t="str">
        <f>IFERROR(VLOOKUP(F159,設定!$C$11:$F$111,4,FALSE),"")</f>
        <v/>
      </c>
      <c r="J159" s="122"/>
    </row>
    <row r="160" spans="2:10" s="3" customFormat="1" ht="24" customHeight="1" x14ac:dyDescent="0.2">
      <c r="B160" s="68"/>
      <c r="C160" s="69"/>
      <c r="D160" s="86"/>
      <c r="E160" s="116" t="str">
        <f>IFERROR(VLOOKUP(D160,'リスト '!$A$2:$B$15,2,FALSE),"")</f>
        <v/>
      </c>
      <c r="F160" s="70"/>
      <c r="G160" s="71" t="str">
        <f>IFERROR(VLOOKUP(F160,設定!$C$11:$F$111,2,FALSE),"")</f>
        <v/>
      </c>
      <c r="H160" s="71" t="str">
        <f>IFERROR(VLOOKUP(F160,設定!$C$11:$F$111,3,FALSE),"")</f>
        <v/>
      </c>
      <c r="I160" s="71" t="str">
        <f>IFERROR(VLOOKUP(F160,設定!$C$11:$F$111,4,FALSE),"")</f>
        <v/>
      </c>
      <c r="J160" s="122"/>
    </row>
    <row r="161" spans="2:10" s="3" customFormat="1" ht="24" customHeight="1" x14ac:dyDescent="0.2">
      <c r="B161" s="68"/>
      <c r="C161" s="69"/>
      <c r="D161" s="86"/>
      <c r="E161" s="116" t="str">
        <f>IFERROR(VLOOKUP(D161,'リスト '!$A$2:$B$15,2,FALSE),"")</f>
        <v/>
      </c>
      <c r="F161" s="70"/>
      <c r="G161" s="71" t="str">
        <f>IFERROR(VLOOKUP(F161,設定!$C$11:$F$111,2,FALSE),"")</f>
        <v/>
      </c>
      <c r="H161" s="71" t="str">
        <f>IFERROR(VLOOKUP(F161,設定!$C$11:$F$111,3,FALSE),"")</f>
        <v/>
      </c>
      <c r="I161" s="71" t="str">
        <f>IFERROR(VLOOKUP(F161,設定!$C$11:$F$111,4,FALSE),"")</f>
        <v/>
      </c>
      <c r="J161" s="122"/>
    </row>
    <row r="162" spans="2:10" s="3" customFormat="1" ht="24" customHeight="1" x14ac:dyDescent="0.2">
      <c r="B162" s="68"/>
      <c r="C162" s="69"/>
      <c r="D162" s="86"/>
      <c r="E162" s="116" t="str">
        <f>IFERROR(VLOOKUP(D162,'リスト '!$A$2:$B$15,2,FALSE),"")</f>
        <v/>
      </c>
      <c r="F162" s="70"/>
      <c r="G162" s="71" t="str">
        <f>IFERROR(VLOOKUP(F162,設定!$C$11:$F$111,2,FALSE),"")</f>
        <v/>
      </c>
      <c r="H162" s="71" t="str">
        <f>IFERROR(VLOOKUP(F162,設定!$C$11:$F$111,3,FALSE),"")</f>
        <v/>
      </c>
      <c r="I162" s="71" t="str">
        <f>IFERROR(VLOOKUP(F162,設定!$C$11:$F$111,4,FALSE),"")</f>
        <v/>
      </c>
      <c r="J162" s="122"/>
    </row>
    <row r="163" spans="2:10" s="3" customFormat="1" ht="24" customHeight="1" x14ac:dyDescent="0.2">
      <c r="B163" s="68"/>
      <c r="C163" s="69"/>
      <c r="D163" s="86"/>
      <c r="E163" s="116" t="str">
        <f>IFERROR(VLOOKUP(D163,'リスト '!$A$2:$B$15,2,FALSE),"")</f>
        <v/>
      </c>
      <c r="F163" s="70"/>
      <c r="G163" s="71" t="str">
        <f>IFERROR(VLOOKUP(F163,設定!$C$11:$F$111,2,FALSE),"")</f>
        <v/>
      </c>
      <c r="H163" s="71" t="str">
        <f>IFERROR(VLOOKUP(F163,設定!$C$11:$F$111,3,FALSE),"")</f>
        <v/>
      </c>
      <c r="I163" s="71" t="str">
        <f>IFERROR(VLOOKUP(F163,設定!$C$11:$F$111,4,FALSE),"")</f>
        <v/>
      </c>
      <c r="J163" s="122"/>
    </row>
    <row r="164" spans="2:10" s="3" customFormat="1" ht="24" customHeight="1" x14ac:dyDescent="0.2">
      <c r="B164" s="68"/>
      <c r="C164" s="69"/>
      <c r="D164" s="86"/>
      <c r="E164" s="116" t="str">
        <f>IFERROR(VLOOKUP(D164,'リスト '!$A$2:$B$15,2,FALSE),"")</f>
        <v/>
      </c>
      <c r="F164" s="70"/>
      <c r="G164" s="71" t="str">
        <f>IFERROR(VLOOKUP(F164,設定!$C$11:$F$111,2,FALSE),"")</f>
        <v/>
      </c>
      <c r="H164" s="71" t="str">
        <f>IFERROR(VLOOKUP(F164,設定!$C$11:$F$111,3,FALSE),"")</f>
        <v/>
      </c>
      <c r="I164" s="71" t="str">
        <f>IFERROR(VLOOKUP(F164,設定!$C$11:$F$111,4,FALSE),"")</f>
        <v/>
      </c>
      <c r="J164" s="122"/>
    </row>
    <row r="165" spans="2:10" s="3" customFormat="1" ht="24" customHeight="1" x14ac:dyDescent="0.2">
      <c r="B165" s="68"/>
      <c r="C165" s="69"/>
      <c r="D165" s="86"/>
      <c r="E165" s="116" t="str">
        <f>IFERROR(VLOOKUP(D165,'リスト '!$A$2:$B$15,2,FALSE),"")</f>
        <v/>
      </c>
      <c r="F165" s="70"/>
      <c r="G165" s="71" t="str">
        <f>IFERROR(VLOOKUP(F165,設定!$C$11:$F$111,2,FALSE),"")</f>
        <v/>
      </c>
      <c r="H165" s="71" t="str">
        <f>IFERROR(VLOOKUP(F165,設定!$C$11:$F$111,3,FALSE),"")</f>
        <v/>
      </c>
      <c r="I165" s="71" t="str">
        <f>IFERROR(VLOOKUP(F165,設定!$C$11:$F$111,4,FALSE),"")</f>
        <v/>
      </c>
      <c r="J165" s="122"/>
    </row>
    <row r="166" spans="2:10" s="3" customFormat="1" ht="24" customHeight="1" x14ac:dyDescent="0.2">
      <c r="B166" s="68"/>
      <c r="C166" s="69"/>
      <c r="D166" s="86"/>
      <c r="E166" s="116" t="str">
        <f>IFERROR(VLOOKUP(D166,'リスト '!$A$2:$B$15,2,FALSE),"")</f>
        <v/>
      </c>
      <c r="F166" s="70"/>
      <c r="G166" s="71" t="str">
        <f>IFERROR(VLOOKUP(F166,設定!$C$11:$F$111,2,FALSE),"")</f>
        <v/>
      </c>
      <c r="H166" s="71" t="str">
        <f>IFERROR(VLOOKUP(F166,設定!$C$11:$F$111,3,FALSE),"")</f>
        <v/>
      </c>
      <c r="I166" s="71" t="str">
        <f>IFERROR(VLOOKUP(F166,設定!$C$11:$F$111,4,FALSE),"")</f>
        <v/>
      </c>
      <c r="J166" s="122"/>
    </row>
    <row r="167" spans="2:10" s="3" customFormat="1" ht="24" customHeight="1" x14ac:dyDescent="0.2">
      <c r="B167" s="68"/>
      <c r="C167" s="69"/>
      <c r="D167" s="86"/>
      <c r="E167" s="116" t="str">
        <f>IFERROR(VLOOKUP(D167,'リスト '!$A$2:$B$15,2,FALSE),"")</f>
        <v/>
      </c>
      <c r="F167" s="70"/>
      <c r="G167" s="71" t="str">
        <f>IFERROR(VLOOKUP(F167,設定!$C$11:$F$111,2,FALSE),"")</f>
        <v/>
      </c>
      <c r="H167" s="71" t="str">
        <f>IFERROR(VLOOKUP(F167,設定!$C$11:$F$111,3,FALSE),"")</f>
        <v/>
      </c>
      <c r="I167" s="71" t="str">
        <f>IFERROR(VLOOKUP(F167,設定!$C$11:$F$111,4,FALSE),"")</f>
        <v/>
      </c>
      <c r="J167" s="122"/>
    </row>
    <row r="168" spans="2:10" s="3" customFormat="1" ht="24" customHeight="1" x14ac:dyDescent="0.2">
      <c r="B168" s="68"/>
      <c r="C168" s="69"/>
      <c r="D168" s="86"/>
      <c r="E168" s="116" t="str">
        <f>IFERROR(VLOOKUP(D168,'リスト '!$A$2:$B$15,2,FALSE),"")</f>
        <v/>
      </c>
      <c r="F168" s="70"/>
      <c r="G168" s="71" t="str">
        <f>IFERROR(VLOOKUP(F168,設定!$C$11:$F$111,2,FALSE),"")</f>
        <v/>
      </c>
      <c r="H168" s="71" t="str">
        <f>IFERROR(VLOOKUP(F168,設定!$C$11:$F$111,3,FALSE),"")</f>
        <v/>
      </c>
      <c r="I168" s="71" t="str">
        <f>IFERROR(VLOOKUP(F168,設定!$C$11:$F$111,4,FALSE),"")</f>
        <v/>
      </c>
      <c r="J168" s="122"/>
    </row>
    <row r="169" spans="2:10" s="3" customFormat="1" ht="24" customHeight="1" x14ac:dyDescent="0.2">
      <c r="B169" s="68"/>
      <c r="C169" s="69"/>
      <c r="D169" s="86"/>
      <c r="E169" s="116" t="str">
        <f>IFERROR(VLOOKUP(D169,'リスト '!$A$2:$B$15,2,FALSE),"")</f>
        <v/>
      </c>
      <c r="F169" s="70"/>
      <c r="G169" s="71" t="str">
        <f>IFERROR(VLOOKUP(F169,設定!$C$11:$F$111,2,FALSE),"")</f>
        <v/>
      </c>
      <c r="H169" s="71" t="str">
        <f>IFERROR(VLOOKUP(F169,設定!$C$11:$F$111,3,FALSE),"")</f>
        <v/>
      </c>
      <c r="I169" s="71" t="str">
        <f>IFERROR(VLOOKUP(F169,設定!$C$11:$F$111,4,FALSE),"")</f>
        <v/>
      </c>
      <c r="J169" s="122"/>
    </row>
    <row r="170" spans="2:10" s="3" customFormat="1" ht="24" customHeight="1" x14ac:dyDescent="0.2">
      <c r="B170" s="68"/>
      <c r="C170" s="69"/>
      <c r="D170" s="86"/>
      <c r="E170" s="116" t="str">
        <f>IFERROR(VLOOKUP(D170,'リスト '!$A$2:$B$15,2,FALSE),"")</f>
        <v/>
      </c>
      <c r="F170" s="70"/>
      <c r="G170" s="71" t="str">
        <f>IFERROR(VLOOKUP(F170,設定!$C$11:$F$111,2,FALSE),"")</f>
        <v/>
      </c>
      <c r="H170" s="71" t="str">
        <f>IFERROR(VLOOKUP(F170,設定!$C$11:$F$111,3,FALSE),"")</f>
        <v/>
      </c>
      <c r="I170" s="71" t="str">
        <f>IFERROR(VLOOKUP(F170,設定!$C$11:$F$111,4,FALSE),"")</f>
        <v/>
      </c>
      <c r="J170" s="122"/>
    </row>
    <row r="171" spans="2:10" s="3" customFormat="1" ht="24" customHeight="1" x14ac:dyDescent="0.2">
      <c r="B171" s="68"/>
      <c r="C171" s="69"/>
      <c r="D171" s="86"/>
      <c r="E171" s="116" t="str">
        <f>IFERROR(VLOOKUP(D171,'リスト '!$A$2:$B$15,2,FALSE),"")</f>
        <v/>
      </c>
      <c r="F171" s="70"/>
      <c r="G171" s="71" t="str">
        <f>IFERROR(VLOOKUP(F171,設定!$C$11:$F$111,2,FALSE),"")</f>
        <v/>
      </c>
      <c r="H171" s="71" t="str">
        <f>IFERROR(VLOOKUP(F171,設定!$C$11:$F$111,3,FALSE),"")</f>
        <v/>
      </c>
      <c r="I171" s="71" t="str">
        <f>IFERROR(VLOOKUP(F171,設定!$C$11:$F$111,4,FALSE),"")</f>
        <v/>
      </c>
      <c r="J171" s="122"/>
    </row>
    <row r="172" spans="2:10" s="3" customFormat="1" ht="24" customHeight="1" x14ac:dyDescent="0.2">
      <c r="B172" s="68"/>
      <c r="C172" s="69"/>
      <c r="D172" s="86"/>
      <c r="E172" s="116" t="str">
        <f>IFERROR(VLOOKUP(D172,'リスト '!$A$2:$B$15,2,FALSE),"")</f>
        <v/>
      </c>
      <c r="F172" s="70"/>
      <c r="G172" s="71" t="str">
        <f>IFERROR(VLOOKUP(F172,設定!$C$11:$F$111,2,FALSE),"")</f>
        <v/>
      </c>
      <c r="H172" s="71" t="str">
        <f>IFERROR(VLOOKUP(F172,設定!$C$11:$F$111,3,FALSE),"")</f>
        <v/>
      </c>
      <c r="I172" s="71" t="str">
        <f>IFERROR(VLOOKUP(F172,設定!$C$11:$F$111,4,FALSE),"")</f>
        <v/>
      </c>
      <c r="J172" s="122"/>
    </row>
    <row r="173" spans="2:10" s="3" customFormat="1" ht="24" customHeight="1" x14ac:dyDescent="0.2">
      <c r="B173" s="68"/>
      <c r="C173" s="69"/>
      <c r="D173" s="86"/>
      <c r="E173" s="116" t="str">
        <f>IFERROR(VLOOKUP(D173,'リスト '!$A$2:$B$15,2,FALSE),"")</f>
        <v/>
      </c>
      <c r="F173" s="70"/>
      <c r="G173" s="71" t="str">
        <f>IFERROR(VLOOKUP(F173,設定!$C$11:$F$111,2,FALSE),"")</f>
        <v/>
      </c>
      <c r="H173" s="71" t="str">
        <f>IFERROR(VLOOKUP(F173,設定!$C$11:$F$111,3,FALSE),"")</f>
        <v/>
      </c>
      <c r="I173" s="71" t="str">
        <f>IFERROR(VLOOKUP(F173,設定!$C$11:$F$111,4,FALSE),"")</f>
        <v/>
      </c>
      <c r="J173" s="122"/>
    </row>
    <row r="174" spans="2:10" s="3" customFormat="1" ht="24" customHeight="1" x14ac:dyDescent="0.2">
      <c r="B174" s="68"/>
      <c r="C174" s="69"/>
      <c r="D174" s="86"/>
      <c r="E174" s="116" t="str">
        <f>IFERROR(VLOOKUP(D174,'リスト '!$A$2:$B$15,2,FALSE),"")</f>
        <v/>
      </c>
      <c r="F174" s="70"/>
      <c r="G174" s="71" t="str">
        <f>IFERROR(VLOOKUP(F174,設定!$C$11:$F$111,2,FALSE),"")</f>
        <v/>
      </c>
      <c r="H174" s="71" t="str">
        <f>IFERROR(VLOOKUP(F174,設定!$C$11:$F$111,3,FALSE),"")</f>
        <v/>
      </c>
      <c r="I174" s="71" t="str">
        <f>IFERROR(VLOOKUP(F174,設定!$C$11:$F$111,4,FALSE),"")</f>
        <v/>
      </c>
      <c r="J174" s="122"/>
    </row>
    <row r="175" spans="2:10" s="3" customFormat="1" ht="24" customHeight="1" x14ac:dyDescent="0.2">
      <c r="B175" s="68"/>
      <c r="C175" s="69"/>
      <c r="D175" s="86"/>
      <c r="E175" s="116" t="str">
        <f>IFERROR(VLOOKUP(D175,'リスト '!$A$2:$B$15,2,FALSE),"")</f>
        <v/>
      </c>
      <c r="F175" s="70"/>
      <c r="G175" s="71" t="str">
        <f>IFERROR(VLOOKUP(F175,設定!$C$11:$F$111,2,FALSE),"")</f>
        <v/>
      </c>
      <c r="H175" s="71" t="str">
        <f>IFERROR(VLOOKUP(F175,設定!$C$11:$F$111,3,FALSE),"")</f>
        <v/>
      </c>
      <c r="I175" s="71" t="str">
        <f>IFERROR(VLOOKUP(F175,設定!$C$11:$F$111,4,FALSE),"")</f>
        <v/>
      </c>
      <c r="J175" s="122"/>
    </row>
    <row r="176" spans="2:10" s="3" customFormat="1" ht="24" customHeight="1" x14ac:dyDescent="0.2">
      <c r="B176" s="68"/>
      <c r="C176" s="69"/>
      <c r="D176" s="86"/>
      <c r="E176" s="116" t="str">
        <f>IFERROR(VLOOKUP(D176,'リスト '!$A$2:$B$15,2,FALSE),"")</f>
        <v/>
      </c>
      <c r="F176" s="70"/>
      <c r="G176" s="71" t="str">
        <f>IFERROR(VLOOKUP(F176,設定!$C$11:$F$111,2,FALSE),"")</f>
        <v/>
      </c>
      <c r="H176" s="71" t="str">
        <f>IFERROR(VLOOKUP(F176,設定!$C$11:$F$111,3,FALSE),"")</f>
        <v/>
      </c>
      <c r="I176" s="71" t="str">
        <f>IFERROR(VLOOKUP(F176,設定!$C$11:$F$111,4,FALSE),"")</f>
        <v/>
      </c>
      <c r="J176" s="122"/>
    </row>
    <row r="177" spans="2:10" s="3" customFormat="1" ht="24" customHeight="1" x14ac:dyDescent="0.2">
      <c r="B177" s="68"/>
      <c r="C177" s="69"/>
      <c r="D177" s="86"/>
      <c r="E177" s="116" t="str">
        <f>IFERROR(VLOOKUP(D177,'リスト '!$A$2:$B$15,2,FALSE),"")</f>
        <v/>
      </c>
      <c r="F177" s="70"/>
      <c r="G177" s="71" t="str">
        <f>IFERROR(VLOOKUP(F177,設定!$C$11:$F$111,2,FALSE),"")</f>
        <v/>
      </c>
      <c r="H177" s="71" t="str">
        <f>IFERROR(VLOOKUP(F177,設定!$C$11:$F$111,3,FALSE),"")</f>
        <v/>
      </c>
      <c r="I177" s="71" t="str">
        <f>IFERROR(VLOOKUP(F177,設定!$C$11:$F$111,4,FALSE),"")</f>
        <v/>
      </c>
      <c r="J177" s="122"/>
    </row>
    <row r="178" spans="2:10" s="3" customFormat="1" ht="24" customHeight="1" x14ac:dyDescent="0.2">
      <c r="B178" s="68"/>
      <c r="C178" s="69"/>
      <c r="D178" s="86"/>
      <c r="E178" s="116" t="str">
        <f>IFERROR(VLOOKUP(D178,'リスト '!$A$2:$B$15,2,FALSE),"")</f>
        <v/>
      </c>
      <c r="F178" s="70"/>
      <c r="G178" s="71" t="str">
        <f>IFERROR(VLOOKUP(F178,設定!$C$11:$F$111,2,FALSE),"")</f>
        <v/>
      </c>
      <c r="H178" s="71" t="str">
        <f>IFERROR(VLOOKUP(F178,設定!$C$11:$F$111,3,FALSE),"")</f>
        <v/>
      </c>
      <c r="I178" s="71" t="str">
        <f>IFERROR(VLOOKUP(F178,設定!$C$11:$F$111,4,FALSE),"")</f>
        <v/>
      </c>
      <c r="J178" s="122"/>
    </row>
    <row r="179" spans="2:10" s="3" customFormat="1" ht="24" customHeight="1" x14ac:dyDescent="0.2">
      <c r="B179" s="68"/>
      <c r="C179" s="69"/>
      <c r="D179" s="86"/>
      <c r="E179" s="116" t="str">
        <f>IFERROR(VLOOKUP(D179,'リスト '!$A$2:$B$15,2,FALSE),"")</f>
        <v/>
      </c>
      <c r="F179" s="70"/>
      <c r="G179" s="71" t="str">
        <f>IFERROR(VLOOKUP(F179,設定!$C$11:$F$111,2,FALSE),"")</f>
        <v/>
      </c>
      <c r="H179" s="71" t="str">
        <f>IFERROR(VLOOKUP(F179,設定!$C$11:$F$111,3,FALSE),"")</f>
        <v/>
      </c>
      <c r="I179" s="71" t="str">
        <f>IFERROR(VLOOKUP(F179,設定!$C$11:$F$111,4,FALSE),"")</f>
        <v/>
      </c>
      <c r="J179" s="122"/>
    </row>
    <row r="180" spans="2:10" s="3" customFormat="1" ht="24" customHeight="1" x14ac:dyDescent="0.2">
      <c r="B180" s="68"/>
      <c r="C180" s="69"/>
      <c r="D180" s="86"/>
      <c r="E180" s="116" t="str">
        <f>IFERROR(VLOOKUP(D180,'リスト '!$A$2:$B$15,2,FALSE),"")</f>
        <v/>
      </c>
      <c r="F180" s="70"/>
      <c r="G180" s="71" t="str">
        <f>IFERROR(VLOOKUP(F180,設定!$C$11:$F$111,2,FALSE),"")</f>
        <v/>
      </c>
      <c r="H180" s="71" t="str">
        <f>IFERROR(VLOOKUP(F180,設定!$C$11:$F$111,3,FALSE),"")</f>
        <v/>
      </c>
      <c r="I180" s="71" t="str">
        <f>IFERROR(VLOOKUP(F180,設定!$C$11:$F$111,4,FALSE),"")</f>
        <v/>
      </c>
      <c r="J180" s="122"/>
    </row>
    <row r="181" spans="2:10" s="3" customFormat="1" ht="24" customHeight="1" x14ac:dyDescent="0.2">
      <c r="B181" s="68"/>
      <c r="C181" s="69"/>
      <c r="D181" s="86"/>
      <c r="E181" s="116" t="str">
        <f>IFERROR(VLOOKUP(D181,'リスト '!$A$2:$B$15,2,FALSE),"")</f>
        <v/>
      </c>
      <c r="F181" s="70"/>
      <c r="G181" s="71" t="str">
        <f>IFERROR(VLOOKUP(F181,設定!$C$11:$F$111,2,FALSE),"")</f>
        <v/>
      </c>
      <c r="H181" s="71" t="str">
        <f>IFERROR(VLOOKUP(F181,設定!$C$11:$F$111,3,FALSE),"")</f>
        <v/>
      </c>
      <c r="I181" s="71" t="str">
        <f>IFERROR(VLOOKUP(F181,設定!$C$11:$F$111,4,FALSE),"")</f>
        <v/>
      </c>
      <c r="J181" s="122"/>
    </row>
    <row r="182" spans="2:10" s="3" customFormat="1" ht="24" customHeight="1" x14ac:dyDescent="0.2">
      <c r="B182" s="68"/>
      <c r="C182" s="69"/>
      <c r="D182" s="86"/>
      <c r="E182" s="116" t="str">
        <f>IFERROR(VLOOKUP(D182,'リスト '!$A$2:$B$15,2,FALSE),"")</f>
        <v/>
      </c>
      <c r="F182" s="70"/>
      <c r="G182" s="71" t="str">
        <f>IFERROR(VLOOKUP(F182,設定!$C$11:$F$111,2,FALSE),"")</f>
        <v/>
      </c>
      <c r="H182" s="71" t="str">
        <f>IFERROR(VLOOKUP(F182,設定!$C$11:$F$111,3,FALSE),"")</f>
        <v/>
      </c>
      <c r="I182" s="71" t="str">
        <f>IFERROR(VLOOKUP(F182,設定!$C$11:$F$111,4,FALSE),"")</f>
        <v/>
      </c>
      <c r="J182" s="122"/>
    </row>
    <row r="183" spans="2:10" s="3" customFormat="1" ht="24" customHeight="1" x14ac:dyDescent="0.2">
      <c r="B183" s="68"/>
      <c r="C183" s="69"/>
      <c r="D183" s="86"/>
      <c r="E183" s="116" t="str">
        <f>IFERROR(VLOOKUP(D183,'リスト '!$A$2:$B$15,2,FALSE),"")</f>
        <v/>
      </c>
      <c r="F183" s="70"/>
      <c r="G183" s="71" t="str">
        <f>IFERROR(VLOOKUP(F183,設定!$C$11:$F$111,2,FALSE),"")</f>
        <v/>
      </c>
      <c r="H183" s="71" t="str">
        <f>IFERROR(VLOOKUP(F183,設定!$C$11:$F$111,3,FALSE),"")</f>
        <v/>
      </c>
      <c r="I183" s="71" t="str">
        <f>IFERROR(VLOOKUP(F183,設定!$C$11:$F$111,4,FALSE),"")</f>
        <v/>
      </c>
      <c r="J183" s="122"/>
    </row>
    <row r="184" spans="2:10" s="3" customFormat="1" ht="24" customHeight="1" x14ac:dyDescent="0.2">
      <c r="B184" s="68"/>
      <c r="C184" s="69"/>
      <c r="D184" s="86"/>
      <c r="E184" s="116" t="str">
        <f>IFERROR(VLOOKUP(D184,'リスト '!$A$2:$B$15,2,FALSE),"")</f>
        <v/>
      </c>
      <c r="F184" s="70"/>
      <c r="G184" s="71" t="str">
        <f>IFERROR(VLOOKUP(F184,設定!$C$11:$F$111,2,FALSE),"")</f>
        <v/>
      </c>
      <c r="H184" s="71" t="str">
        <f>IFERROR(VLOOKUP(F184,設定!$C$11:$F$111,3,FALSE),"")</f>
        <v/>
      </c>
      <c r="I184" s="71" t="str">
        <f>IFERROR(VLOOKUP(F184,設定!$C$11:$F$111,4,FALSE),"")</f>
        <v/>
      </c>
      <c r="J184" s="122"/>
    </row>
    <row r="185" spans="2:10" s="3" customFormat="1" ht="24" customHeight="1" x14ac:dyDescent="0.2">
      <c r="B185" s="68"/>
      <c r="C185" s="69"/>
      <c r="D185" s="86"/>
      <c r="E185" s="116" t="str">
        <f>IFERROR(VLOOKUP(D185,'リスト '!$A$2:$B$15,2,FALSE),"")</f>
        <v/>
      </c>
      <c r="F185" s="70"/>
      <c r="G185" s="71" t="str">
        <f>IFERROR(VLOOKUP(F185,設定!$C$11:$F$111,2,FALSE),"")</f>
        <v/>
      </c>
      <c r="H185" s="71" t="str">
        <f>IFERROR(VLOOKUP(F185,設定!$C$11:$F$111,3,FALSE),"")</f>
        <v/>
      </c>
      <c r="I185" s="71" t="str">
        <f>IFERROR(VLOOKUP(F185,設定!$C$11:$F$111,4,FALSE),"")</f>
        <v/>
      </c>
      <c r="J185" s="122"/>
    </row>
    <row r="186" spans="2:10" s="3" customFormat="1" ht="24" customHeight="1" x14ac:dyDescent="0.2">
      <c r="B186" s="68"/>
      <c r="C186" s="69"/>
      <c r="D186" s="86"/>
      <c r="E186" s="116" t="str">
        <f>IFERROR(VLOOKUP(D186,'リスト '!$A$2:$B$15,2,FALSE),"")</f>
        <v/>
      </c>
      <c r="F186" s="70"/>
      <c r="G186" s="71" t="str">
        <f>IFERROR(VLOOKUP(F186,設定!$C$11:$F$111,2,FALSE),"")</f>
        <v/>
      </c>
      <c r="H186" s="71" t="str">
        <f>IFERROR(VLOOKUP(F186,設定!$C$11:$F$111,3,FALSE),"")</f>
        <v/>
      </c>
      <c r="I186" s="71" t="str">
        <f>IFERROR(VLOOKUP(F186,設定!$C$11:$F$111,4,FALSE),"")</f>
        <v/>
      </c>
      <c r="J186" s="122"/>
    </row>
    <row r="187" spans="2:10" s="3" customFormat="1" ht="24" customHeight="1" x14ac:dyDescent="0.2">
      <c r="B187" s="68"/>
      <c r="C187" s="69"/>
      <c r="D187" s="86"/>
      <c r="E187" s="116" t="str">
        <f>IFERROR(VLOOKUP(D187,'リスト '!$A$2:$B$15,2,FALSE),"")</f>
        <v/>
      </c>
      <c r="F187" s="70"/>
      <c r="G187" s="71" t="str">
        <f>IFERROR(VLOOKUP(F187,設定!$C$11:$F$111,2,FALSE),"")</f>
        <v/>
      </c>
      <c r="H187" s="71" t="str">
        <f>IFERROR(VLOOKUP(F187,設定!$C$11:$F$111,3,FALSE),"")</f>
        <v/>
      </c>
      <c r="I187" s="71" t="str">
        <f>IFERROR(VLOOKUP(F187,設定!$C$11:$F$111,4,FALSE),"")</f>
        <v/>
      </c>
      <c r="J187" s="122"/>
    </row>
    <row r="188" spans="2:10" s="3" customFormat="1" ht="24" customHeight="1" x14ac:dyDescent="0.2">
      <c r="B188" s="68"/>
      <c r="C188" s="69"/>
      <c r="D188" s="86"/>
      <c r="E188" s="116" t="str">
        <f>IFERROR(VLOOKUP(D188,'リスト '!$A$2:$B$15,2,FALSE),"")</f>
        <v/>
      </c>
      <c r="F188" s="70"/>
      <c r="G188" s="71" t="str">
        <f>IFERROR(VLOOKUP(F188,設定!$C$11:$F$111,2,FALSE),"")</f>
        <v/>
      </c>
      <c r="H188" s="71" t="str">
        <f>IFERROR(VLOOKUP(F188,設定!$C$11:$F$111,3,FALSE),"")</f>
        <v/>
      </c>
      <c r="I188" s="71" t="str">
        <f>IFERROR(VLOOKUP(F188,設定!$C$11:$F$111,4,FALSE),"")</f>
        <v/>
      </c>
      <c r="J188" s="122"/>
    </row>
    <row r="189" spans="2:10" s="3" customFormat="1" ht="24" customHeight="1" x14ac:dyDescent="0.2">
      <c r="B189" s="68"/>
      <c r="C189" s="69"/>
      <c r="D189" s="86"/>
      <c r="E189" s="116" t="str">
        <f>IFERROR(VLOOKUP(D189,'リスト '!$A$2:$B$15,2,FALSE),"")</f>
        <v/>
      </c>
      <c r="F189" s="70"/>
      <c r="G189" s="71" t="str">
        <f>IFERROR(VLOOKUP(F189,設定!$C$11:$F$111,2,FALSE),"")</f>
        <v/>
      </c>
      <c r="H189" s="71" t="str">
        <f>IFERROR(VLOOKUP(F189,設定!$C$11:$F$111,3,FALSE),"")</f>
        <v/>
      </c>
      <c r="I189" s="71" t="str">
        <f>IFERROR(VLOOKUP(F189,設定!$C$11:$F$111,4,FALSE),"")</f>
        <v/>
      </c>
      <c r="J189" s="122"/>
    </row>
    <row r="190" spans="2:10" s="3" customFormat="1" ht="24" customHeight="1" x14ac:dyDescent="0.2">
      <c r="B190" s="68"/>
      <c r="C190" s="69"/>
      <c r="D190" s="86"/>
      <c r="E190" s="116" t="str">
        <f>IFERROR(VLOOKUP(D190,'リスト '!$A$2:$B$15,2,FALSE),"")</f>
        <v/>
      </c>
      <c r="F190" s="70"/>
      <c r="G190" s="71" t="str">
        <f>IFERROR(VLOOKUP(F190,設定!$C$11:$F$111,2,FALSE),"")</f>
        <v/>
      </c>
      <c r="H190" s="71" t="str">
        <f>IFERROR(VLOOKUP(F190,設定!$C$11:$F$111,3,FALSE),"")</f>
        <v/>
      </c>
      <c r="I190" s="71" t="str">
        <f>IFERROR(VLOOKUP(F190,設定!$C$11:$F$111,4,FALSE),"")</f>
        <v/>
      </c>
      <c r="J190" s="122"/>
    </row>
    <row r="191" spans="2:10" s="3" customFormat="1" ht="24" customHeight="1" x14ac:dyDescent="0.2">
      <c r="B191" s="68"/>
      <c r="C191" s="69"/>
      <c r="D191" s="86"/>
      <c r="E191" s="116" t="str">
        <f>IFERROR(VLOOKUP(D191,'リスト '!$A$2:$B$15,2,FALSE),"")</f>
        <v/>
      </c>
      <c r="F191" s="70"/>
      <c r="G191" s="71" t="str">
        <f>IFERROR(VLOOKUP(F191,設定!$C$11:$F$111,2,FALSE),"")</f>
        <v/>
      </c>
      <c r="H191" s="71" t="str">
        <f>IFERROR(VLOOKUP(F191,設定!$C$11:$F$111,3,FALSE),"")</f>
        <v/>
      </c>
      <c r="I191" s="71" t="str">
        <f>IFERROR(VLOOKUP(F191,設定!$C$11:$F$111,4,FALSE),"")</f>
        <v/>
      </c>
      <c r="J191" s="122"/>
    </row>
    <row r="192" spans="2:10" s="3" customFormat="1" ht="24" customHeight="1" x14ac:dyDescent="0.2">
      <c r="B192" s="68"/>
      <c r="C192" s="69"/>
      <c r="D192" s="86"/>
      <c r="E192" s="116" t="str">
        <f>IFERROR(VLOOKUP(D192,'リスト '!$A$2:$B$15,2,FALSE),"")</f>
        <v/>
      </c>
      <c r="F192" s="70"/>
      <c r="G192" s="71" t="str">
        <f>IFERROR(VLOOKUP(F192,設定!$C$11:$F$111,2,FALSE),"")</f>
        <v/>
      </c>
      <c r="H192" s="71" t="str">
        <f>IFERROR(VLOOKUP(F192,設定!$C$11:$F$111,3,FALSE),"")</f>
        <v/>
      </c>
      <c r="I192" s="71" t="str">
        <f>IFERROR(VLOOKUP(F192,設定!$C$11:$F$111,4,FALSE),"")</f>
        <v/>
      </c>
      <c r="J192" s="122"/>
    </row>
    <row r="193" spans="2:10" s="3" customFormat="1" ht="24" customHeight="1" x14ac:dyDescent="0.2">
      <c r="B193" s="68"/>
      <c r="C193" s="69"/>
      <c r="D193" s="86"/>
      <c r="E193" s="116" t="str">
        <f>IFERROR(VLOOKUP(D193,'リスト '!$A$2:$B$15,2,FALSE),"")</f>
        <v/>
      </c>
      <c r="F193" s="70"/>
      <c r="G193" s="71" t="str">
        <f>IFERROR(VLOOKUP(F193,設定!$C$11:$F$111,2,FALSE),"")</f>
        <v/>
      </c>
      <c r="H193" s="71" t="str">
        <f>IFERROR(VLOOKUP(F193,設定!$C$11:$F$111,3,FALSE),"")</f>
        <v/>
      </c>
      <c r="I193" s="71" t="str">
        <f>IFERROR(VLOOKUP(F193,設定!$C$11:$F$111,4,FALSE),"")</f>
        <v/>
      </c>
      <c r="J193" s="122"/>
    </row>
    <row r="194" spans="2:10" s="3" customFormat="1" ht="24" customHeight="1" x14ac:dyDescent="0.2">
      <c r="B194" s="68"/>
      <c r="C194" s="69"/>
      <c r="D194" s="86"/>
      <c r="E194" s="116" t="str">
        <f>IFERROR(VLOOKUP(D194,'リスト '!$A$2:$B$15,2,FALSE),"")</f>
        <v/>
      </c>
      <c r="F194" s="70"/>
      <c r="G194" s="71" t="str">
        <f>IFERROR(VLOOKUP(F194,設定!$C$11:$F$111,2,FALSE),"")</f>
        <v/>
      </c>
      <c r="H194" s="71" t="str">
        <f>IFERROR(VLOOKUP(F194,設定!$C$11:$F$111,3,FALSE),"")</f>
        <v/>
      </c>
      <c r="I194" s="71" t="str">
        <f>IFERROR(VLOOKUP(F194,設定!$C$11:$F$111,4,FALSE),"")</f>
        <v/>
      </c>
      <c r="J194" s="122"/>
    </row>
    <row r="195" spans="2:10" s="3" customFormat="1" ht="24" customHeight="1" x14ac:dyDescent="0.2">
      <c r="B195" s="68"/>
      <c r="C195" s="69"/>
      <c r="D195" s="86"/>
      <c r="E195" s="116" t="str">
        <f>IFERROR(VLOOKUP(D195,'リスト '!$A$2:$B$15,2,FALSE),"")</f>
        <v/>
      </c>
      <c r="F195" s="70"/>
      <c r="G195" s="71" t="str">
        <f>IFERROR(VLOOKUP(F195,設定!$C$11:$F$111,2,FALSE),"")</f>
        <v/>
      </c>
      <c r="H195" s="71" t="str">
        <f>IFERROR(VLOOKUP(F195,設定!$C$11:$F$111,3,FALSE),"")</f>
        <v/>
      </c>
      <c r="I195" s="71" t="str">
        <f>IFERROR(VLOOKUP(F195,設定!$C$11:$F$111,4,FALSE),"")</f>
        <v/>
      </c>
      <c r="J195" s="122"/>
    </row>
    <row r="196" spans="2:10" s="3" customFormat="1" ht="24" customHeight="1" x14ac:dyDescent="0.2">
      <c r="B196" s="68"/>
      <c r="C196" s="69"/>
      <c r="D196" s="86"/>
      <c r="E196" s="116" t="str">
        <f>IFERROR(VLOOKUP(D196,'リスト '!$A$2:$B$15,2,FALSE),"")</f>
        <v/>
      </c>
      <c r="F196" s="70"/>
      <c r="G196" s="71" t="str">
        <f>IFERROR(VLOOKUP(F196,設定!$C$11:$F$111,2,FALSE),"")</f>
        <v/>
      </c>
      <c r="H196" s="71" t="str">
        <f>IFERROR(VLOOKUP(F196,設定!$C$11:$F$111,3,FALSE),"")</f>
        <v/>
      </c>
      <c r="I196" s="71" t="str">
        <f>IFERROR(VLOOKUP(F196,設定!$C$11:$F$111,4,FALSE),"")</f>
        <v/>
      </c>
      <c r="J196" s="122"/>
    </row>
    <row r="197" spans="2:10" s="3" customFormat="1" ht="24" customHeight="1" x14ac:dyDescent="0.2">
      <c r="B197" s="68"/>
      <c r="C197" s="69"/>
      <c r="D197" s="86"/>
      <c r="E197" s="116" t="str">
        <f>IFERROR(VLOOKUP(D197,'リスト '!$A$2:$B$15,2,FALSE),"")</f>
        <v/>
      </c>
      <c r="F197" s="70"/>
      <c r="G197" s="71" t="str">
        <f>IFERROR(VLOOKUP(F197,設定!$C$11:$F$111,2,FALSE),"")</f>
        <v/>
      </c>
      <c r="H197" s="71" t="str">
        <f>IFERROR(VLOOKUP(F197,設定!$C$11:$F$111,3,FALSE),"")</f>
        <v/>
      </c>
      <c r="I197" s="71" t="str">
        <f>IFERROR(VLOOKUP(F197,設定!$C$11:$F$111,4,FALSE),"")</f>
        <v/>
      </c>
      <c r="J197" s="122"/>
    </row>
    <row r="198" spans="2:10" s="3" customFormat="1" ht="24" customHeight="1" x14ac:dyDescent="0.2">
      <c r="B198" s="68"/>
      <c r="C198" s="69"/>
      <c r="D198" s="86"/>
      <c r="E198" s="116" t="str">
        <f>IFERROR(VLOOKUP(D198,'リスト '!$A$2:$B$15,2,FALSE),"")</f>
        <v/>
      </c>
      <c r="F198" s="70"/>
      <c r="G198" s="71" t="str">
        <f>IFERROR(VLOOKUP(F198,設定!$C$11:$F$111,2,FALSE),"")</f>
        <v/>
      </c>
      <c r="H198" s="71" t="str">
        <f>IFERROR(VLOOKUP(F198,設定!$C$11:$F$111,3,FALSE),"")</f>
        <v/>
      </c>
      <c r="I198" s="71" t="str">
        <f>IFERROR(VLOOKUP(F198,設定!$C$11:$F$111,4,FALSE),"")</f>
        <v/>
      </c>
      <c r="J198" s="122"/>
    </row>
    <row r="199" spans="2:10" s="3" customFormat="1" ht="24" customHeight="1" x14ac:dyDescent="0.2">
      <c r="B199" s="68"/>
      <c r="C199" s="69"/>
      <c r="D199" s="86"/>
      <c r="E199" s="116" t="str">
        <f>IFERROR(VLOOKUP(D199,'リスト '!$A$2:$B$15,2,FALSE),"")</f>
        <v/>
      </c>
      <c r="F199" s="70"/>
      <c r="G199" s="71" t="str">
        <f>IFERROR(VLOOKUP(F199,設定!$C$11:$F$111,2,FALSE),"")</f>
        <v/>
      </c>
      <c r="H199" s="71" t="str">
        <f>IFERROR(VLOOKUP(F199,設定!$C$11:$F$111,3,FALSE),"")</f>
        <v/>
      </c>
      <c r="I199" s="71" t="str">
        <f>IFERROR(VLOOKUP(F199,設定!$C$11:$F$111,4,FALSE),"")</f>
        <v/>
      </c>
      <c r="J199" s="122"/>
    </row>
    <row r="200" spans="2:10" s="3" customFormat="1" ht="24" customHeight="1" x14ac:dyDescent="0.2">
      <c r="B200" s="68"/>
      <c r="C200" s="69"/>
      <c r="D200" s="86"/>
      <c r="E200" s="116" t="str">
        <f>IFERROR(VLOOKUP(D200,'リスト '!$A$2:$B$15,2,FALSE),"")</f>
        <v/>
      </c>
      <c r="F200" s="70"/>
      <c r="G200" s="71" t="str">
        <f>IFERROR(VLOOKUP(F200,設定!$C$11:$F$111,2,FALSE),"")</f>
        <v/>
      </c>
      <c r="H200" s="71" t="str">
        <f>IFERROR(VLOOKUP(F200,設定!$C$11:$F$111,3,FALSE),"")</f>
        <v/>
      </c>
      <c r="I200" s="71" t="str">
        <f>IFERROR(VLOOKUP(F200,設定!$C$11:$F$111,4,FALSE),"")</f>
        <v/>
      </c>
      <c r="J200" s="122"/>
    </row>
    <row r="201" spans="2:10" s="3" customFormat="1" ht="24" customHeight="1" x14ac:dyDescent="0.2">
      <c r="B201" s="68"/>
      <c r="C201" s="69"/>
      <c r="D201" s="86"/>
      <c r="E201" s="116" t="str">
        <f>IFERROR(VLOOKUP(D201,'リスト '!$A$2:$B$15,2,FALSE),"")</f>
        <v/>
      </c>
      <c r="F201" s="70"/>
      <c r="G201" s="71" t="str">
        <f>IFERROR(VLOOKUP(F201,設定!$C$11:$F$111,2,FALSE),"")</f>
        <v/>
      </c>
      <c r="H201" s="71" t="str">
        <f>IFERROR(VLOOKUP(F201,設定!$C$11:$F$111,3,FALSE),"")</f>
        <v/>
      </c>
      <c r="I201" s="71" t="str">
        <f>IFERROR(VLOOKUP(F201,設定!$C$11:$F$111,4,FALSE),"")</f>
        <v/>
      </c>
      <c r="J201" s="122"/>
    </row>
    <row r="202" spans="2:10" s="3" customFormat="1" ht="24" customHeight="1" x14ac:dyDescent="0.2">
      <c r="B202" s="68"/>
      <c r="C202" s="69"/>
      <c r="D202" s="86"/>
      <c r="E202" s="116" t="str">
        <f>IFERROR(VLOOKUP(D202,'リスト '!$A$2:$B$15,2,FALSE),"")</f>
        <v/>
      </c>
      <c r="F202" s="70"/>
      <c r="G202" s="71" t="str">
        <f>IFERROR(VLOOKUP(F202,設定!$C$11:$F$111,2,FALSE),"")</f>
        <v/>
      </c>
      <c r="H202" s="71" t="str">
        <f>IFERROR(VLOOKUP(F202,設定!$C$11:$F$111,3,FALSE),"")</f>
        <v/>
      </c>
      <c r="I202" s="71" t="str">
        <f>IFERROR(VLOOKUP(F202,設定!$C$11:$F$111,4,FALSE),"")</f>
        <v/>
      </c>
      <c r="J202" s="122"/>
    </row>
    <row r="203" spans="2:10" s="3" customFormat="1" ht="24" customHeight="1" x14ac:dyDescent="0.2">
      <c r="B203" s="68"/>
      <c r="C203" s="69"/>
      <c r="D203" s="86"/>
      <c r="E203" s="116" t="str">
        <f>IFERROR(VLOOKUP(D203,'リスト '!$A$2:$B$15,2,FALSE),"")</f>
        <v/>
      </c>
      <c r="F203" s="70"/>
      <c r="G203" s="71" t="str">
        <f>IFERROR(VLOOKUP(F203,設定!$C$11:$F$111,2,FALSE),"")</f>
        <v/>
      </c>
      <c r="H203" s="71" t="str">
        <f>IFERROR(VLOOKUP(F203,設定!$C$11:$F$111,3,FALSE),"")</f>
        <v/>
      </c>
      <c r="I203" s="71" t="str">
        <f>IFERROR(VLOOKUP(F203,設定!$C$11:$F$111,4,FALSE),"")</f>
        <v/>
      </c>
      <c r="J203" s="122"/>
    </row>
    <row r="204" spans="2:10" s="3" customFormat="1" ht="24" customHeight="1" x14ac:dyDescent="0.2">
      <c r="B204" s="68"/>
      <c r="C204" s="69"/>
      <c r="D204" s="86"/>
      <c r="E204" s="116" t="str">
        <f>IFERROR(VLOOKUP(D204,'リスト '!$A$2:$B$15,2,FALSE),"")</f>
        <v/>
      </c>
      <c r="F204" s="70"/>
      <c r="G204" s="71" t="str">
        <f>IFERROR(VLOOKUP(F204,設定!$C$11:$F$111,2,FALSE),"")</f>
        <v/>
      </c>
      <c r="H204" s="71" t="str">
        <f>IFERROR(VLOOKUP(F204,設定!$C$11:$F$111,3,FALSE),"")</f>
        <v/>
      </c>
      <c r="I204" s="71" t="str">
        <f>IFERROR(VLOOKUP(F204,設定!$C$11:$F$111,4,FALSE),"")</f>
        <v/>
      </c>
      <c r="J204" s="122"/>
    </row>
    <row r="205" spans="2:10" s="3" customFormat="1" ht="24" customHeight="1" x14ac:dyDescent="0.2">
      <c r="B205" s="68"/>
      <c r="C205" s="69"/>
      <c r="D205" s="86"/>
      <c r="E205" s="116" t="str">
        <f>IFERROR(VLOOKUP(D205,'リスト '!$A$2:$B$15,2,FALSE),"")</f>
        <v/>
      </c>
      <c r="F205" s="70"/>
      <c r="G205" s="71" t="str">
        <f>IFERROR(VLOOKUP(F205,設定!$C$11:$F$111,2,FALSE),"")</f>
        <v/>
      </c>
      <c r="H205" s="71" t="str">
        <f>IFERROR(VLOOKUP(F205,設定!$C$11:$F$111,3,FALSE),"")</f>
        <v/>
      </c>
      <c r="I205" s="71" t="str">
        <f>IFERROR(VLOOKUP(F205,設定!$C$11:$F$111,4,FALSE),"")</f>
        <v/>
      </c>
      <c r="J205" s="122"/>
    </row>
    <row r="206" spans="2:10" s="3" customFormat="1" ht="24" customHeight="1" x14ac:dyDescent="0.2">
      <c r="B206" s="68"/>
      <c r="C206" s="69"/>
      <c r="D206" s="86"/>
      <c r="E206" s="116" t="str">
        <f>IFERROR(VLOOKUP(D206,'リスト '!$A$2:$B$15,2,FALSE),"")</f>
        <v/>
      </c>
      <c r="F206" s="70"/>
      <c r="G206" s="71" t="str">
        <f>IFERROR(VLOOKUP(F206,設定!$C$11:$F$111,2,FALSE),"")</f>
        <v/>
      </c>
      <c r="H206" s="71" t="str">
        <f>IFERROR(VLOOKUP(F206,設定!$C$11:$F$111,3,FALSE),"")</f>
        <v/>
      </c>
      <c r="I206" s="71" t="str">
        <f>IFERROR(VLOOKUP(F206,設定!$C$11:$F$111,4,FALSE),"")</f>
        <v/>
      </c>
      <c r="J206" s="122"/>
    </row>
    <row r="207" spans="2:10" s="3" customFormat="1" ht="24" customHeight="1" x14ac:dyDescent="0.2">
      <c r="B207" s="68"/>
      <c r="C207" s="69"/>
      <c r="D207" s="86"/>
      <c r="E207" s="116" t="str">
        <f>IFERROR(VLOOKUP(D207,'リスト '!$A$2:$B$15,2,FALSE),"")</f>
        <v/>
      </c>
      <c r="F207" s="70"/>
      <c r="G207" s="71" t="str">
        <f>IFERROR(VLOOKUP(F207,設定!$C$11:$F$111,2,FALSE),"")</f>
        <v/>
      </c>
      <c r="H207" s="71" t="str">
        <f>IFERROR(VLOOKUP(F207,設定!$C$11:$F$111,3,FALSE),"")</f>
        <v/>
      </c>
      <c r="I207" s="71" t="str">
        <f>IFERROR(VLOOKUP(F207,設定!$C$11:$F$111,4,FALSE),"")</f>
        <v/>
      </c>
      <c r="J207" s="122"/>
    </row>
    <row r="208" spans="2:10" s="3" customFormat="1" ht="24" customHeight="1" x14ac:dyDescent="0.2">
      <c r="B208" s="68"/>
      <c r="C208" s="69"/>
      <c r="D208" s="86"/>
      <c r="E208" s="116" t="str">
        <f>IFERROR(VLOOKUP(D208,'リスト '!$A$2:$B$15,2,FALSE),"")</f>
        <v/>
      </c>
      <c r="F208" s="70"/>
      <c r="G208" s="71" t="str">
        <f>IFERROR(VLOOKUP(F208,設定!$C$11:$F$111,2,FALSE),"")</f>
        <v/>
      </c>
      <c r="H208" s="71" t="str">
        <f>IFERROR(VLOOKUP(F208,設定!$C$11:$F$111,3,FALSE),"")</f>
        <v/>
      </c>
      <c r="I208" s="71" t="str">
        <f>IFERROR(VLOOKUP(F208,設定!$C$11:$F$111,4,FALSE),"")</f>
        <v/>
      </c>
      <c r="J208" s="122"/>
    </row>
    <row r="209" spans="2:10" s="3" customFormat="1" ht="24" customHeight="1" x14ac:dyDescent="0.2">
      <c r="B209" s="68"/>
      <c r="C209" s="69"/>
      <c r="D209" s="86"/>
      <c r="E209" s="116" t="str">
        <f>IFERROR(VLOOKUP(D209,'リスト '!$A$2:$B$15,2,FALSE),"")</f>
        <v/>
      </c>
      <c r="F209" s="70"/>
      <c r="G209" s="71" t="str">
        <f>IFERROR(VLOOKUP(F209,設定!$C$11:$F$111,2,FALSE),"")</f>
        <v/>
      </c>
      <c r="H209" s="71" t="str">
        <f>IFERROR(VLOOKUP(F209,設定!$C$11:$F$111,3,FALSE),"")</f>
        <v/>
      </c>
      <c r="I209" s="71" t="str">
        <f>IFERROR(VLOOKUP(F209,設定!$C$11:$F$111,4,FALSE),"")</f>
        <v/>
      </c>
      <c r="J209" s="122"/>
    </row>
    <row r="210" spans="2:10" s="3" customFormat="1" ht="24" customHeight="1" x14ac:dyDescent="0.2">
      <c r="B210" s="68"/>
      <c r="C210" s="69"/>
      <c r="D210" s="86"/>
      <c r="E210" s="116" t="str">
        <f>IFERROR(VLOOKUP(D210,'リスト '!$A$2:$B$15,2,FALSE),"")</f>
        <v/>
      </c>
      <c r="F210" s="70"/>
      <c r="G210" s="71" t="str">
        <f>IFERROR(VLOOKUP(F210,設定!$C$11:$F$111,2,FALSE),"")</f>
        <v/>
      </c>
      <c r="H210" s="71" t="str">
        <f>IFERROR(VLOOKUP(F210,設定!$C$11:$F$111,3,FALSE),"")</f>
        <v/>
      </c>
      <c r="I210" s="71" t="str">
        <f>IFERROR(VLOOKUP(F210,設定!$C$11:$F$111,4,FALSE),"")</f>
        <v/>
      </c>
      <c r="J210" s="122"/>
    </row>
    <row r="211" spans="2:10" s="3" customFormat="1" ht="24" customHeight="1" x14ac:dyDescent="0.2">
      <c r="B211" s="68"/>
      <c r="C211" s="69"/>
      <c r="D211" s="86"/>
      <c r="E211" s="116" t="str">
        <f>IFERROR(VLOOKUP(D211,'リスト '!$A$2:$B$15,2,FALSE),"")</f>
        <v/>
      </c>
      <c r="F211" s="70"/>
      <c r="G211" s="71" t="str">
        <f>IFERROR(VLOOKUP(F211,設定!$C$11:$F$111,2,FALSE),"")</f>
        <v/>
      </c>
      <c r="H211" s="71" t="str">
        <f>IFERROR(VLOOKUP(F211,設定!$C$11:$F$111,3,FALSE),"")</f>
        <v/>
      </c>
      <c r="I211" s="71" t="str">
        <f>IFERROR(VLOOKUP(F211,設定!$C$11:$F$111,4,FALSE),"")</f>
        <v/>
      </c>
      <c r="J211" s="122"/>
    </row>
    <row r="212" spans="2:10" s="3" customFormat="1" ht="24" customHeight="1" x14ac:dyDescent="0.2">
      <c r="B212" s="68"/>
      <c r="C212" s="69"/>
      <c r="D212" s="86"/>
      <c r="E212" s="116" t="str">
        <f>IFERROR(VLOOKUP(D212,'リスト '!$A$2:$B$15,2,FALSE),"")</f>
        <v/>
      </c>
      <c r="F212" s="70"/>
      <c r="G212" s="71" t="str">
        <f>IFERROR(VLOOKUP(F212,設定!$C$11:$F$111,2,FALSE),"")</f>
        <v/>
      </c>
      <c r="H212" s="71" t="str">
        <f>IFERROR(VLOOKUP(F212,設定!$C$11:$F$111,3,FALSE),"")</f>
        <v/>
      </c>
      <c r="I212" s="71" t="str">
        <f>IFERROR(VLOOKUP(F212,設定!$C$11:$F$111,4,FALSE),"")</f>
        <v/>
      </c>
      <c r="J212" s="122"/>
    </row>
    <row r="213" spans="2:10" s="3" customFormat="1" ht="24" customHeight="1" x14ac:dyDescent="0.2">
      <c r="B213" s="68"/>
      <c r="C213" s="69"/>
      <c r="D213" s="86"/>
      <c r="E213" s="116" t="str">
        <f>IFERROR(VLOOKUP(D213,'リスト '!$A$2:$B$15,2,FALSE),"")</f>
        <v/>
      </c>
      <c r="F213" s="70"/>
      <c r="G213" s="71" t="str">
        <f>IFERROR(VLOOKUP(F213,設定!$C$11:$F$111,2,FALSE),"")</f>
        <v/>
      </c>
      <c r="H213" s="71" t="str">
        <f>IFERROR(VLOOKUP(F213,設定!$C$11:$F$111,3,FALSE),"")</f>
        <v/>
      </c>
      <c r="I213" s="71" t="str">
        <f>IFERROR(VLOOKUP(F213,設定!$C$11:$F$111,4,FALSE),"")</f>
        <v/>
      </c>
      <c r="J213" s="122"/>
    </row>
    <row r="214" spans="2:10" s="3" customFormat="1" ht="24" customHeight="1" x14ac:dyDescent="0.2">
      <c r="B214" s="68"/>
      <c r="C214" s="69"/>
      <c r="D214" s="86"/>
      <c r="E214" s="116" t="str">
        <f>IFERROR(VLOOKUP(D214,'リスト '!$A$2:$B$15,2,FALSE),"")</f>
        <v/>
      </c>
      <c r="F214" s="70"/>
      <c r="G214" s="71" t="str">
        <f>IFERROR(VLOOKUP(F214,設定!$C$11:$F$111,2,FALSE),"")</f>
        <v/>
      </c>
      <c r="H214" s="71" t="str">
        <f>IFERROR(VLOOKUP(F214,設定!$C$11:$F$111,3,FALSE),"")</f>
        <v/>
      </c>
      <c r="I214" s="71" t="str">
        <f>IFERROR(VLOOKUP(F214,設定!$C$11:$F$111,4,FALSE),"")</f>
        <v/>
      </c>
      <c r="J214" s="122"/>
    </row>
    <row r="215" spans="2:10" s="3" customFormat="1" ht="24" customHeight="1" x14ac:dyDescent="0.2">
      <c r="B215" s="68"/>
      <c r="C215" s="69"/>
      <c r="D215" s="86"/>
      <c r="E215" s="116" t="str">
        <f>IFERROR(VLOOKUP(D215,'リスト '!$A$2:$B$15,2,FALSE),"")</f>
        <v/>
      </c>
      <c r="F215" s="70"/>
      <c r="G215" s="71" t="str">
        <f>IFERROR(VLOOKUP(F215,設定!$C$11:$F$111,2,FALSE),"")</f>
        <v/>
      </c>
      <c r="H215" s="71" t="str">
        <f>IFERROR(VLOOKUP(F215,設定!$C$11:$F$111,3,FALSE),"")</f>
        <v/>
      </c>
      <c r="I215" s="71" t="str">
        <f>IFERROR(VLOOKUP(F215,設定!$C$11:$F$111,4,FALSE),"")</f>
        <v/>
      </c>
      <c r="J215" s="122"/>
    </row>
    <row r="216" spans="2:10" s="3" customFormat="1" ht="24" customHeight="1" x14ac:dyDescent="0.2">
      <c r="B216" s="68"/>
      <c r="C216" s="69"/>
      <c r="D216" s="86"/>
      <c r="E216" s="116" t="str">
        <f>IFERROR(VLOOKUP(D216,'リスト '!$A$2:$B$15,2,FALSE),"")</f>
        <v/>
      </c>
      <c r="F216" s="70"/>
      <c r="G216" s="71" t="str">
        <f>IFERROR(VLOOKUP(F216,設定!$C$11:$F$111,2,FALSE),"")</f>
        <v/>
      </c>
      <c r="H216" s="71" t="str">
        <f>IFERROR(VLOOKUP(F216,設定!$C$11:$F$111,3,FALSE),"")</f>
        <v/>
      </c>
      <c r="I216" s="71" t="str">
        <f>IFERROR(VLOOKUP(F216,設定!$C$11:$F$111,4,FALSE),"")</f>
        <v/>
      </c>
      <c r="J216" s="122"/>
    </row>
    <row r="217" spans="2:10" s="3" customFormat="1" ht="24" customHeight="1" x14ac:dyDescent="0.2">
      <c r="B217" s="68"/>
      <c r="C217" s="69"/>
      <c r="D217" s="86"/>
      <c r="E217" s="116" t="str">
        <f>IFERROR(VLOOKUP(D217,'リスト '!$A$2:$B$15,2,FALSE),"")</f>
        <v/>
      </c>
      <c r="F217" s="70"/>
      <c r="G217" s="71" t="str">
        <f>IFERROR(VLOOKUP(F217,設定!$C$11:$F$111,2,FALSE),"")</f>
        <v/>
      </c>
      <c r="H217" s="71" t="str">
        <f>IFERROR(VLOOKUP(F217,設定!$C$11:$F$111,3,FALSE),"")</f>
        <v/>
      </c>
      <c r="I217" s="71" t="str">
        <f>IFERROR(VLOOKUP(F217,設定!$C$11:$F$111,4,FALSE),"")</f>
        <v/>
      </c>
      <c r="J217" s="122"/>
    </row>
    <row r="218" spans="2:10" s="3" customFormat="1" ht="24" customHeight="1" x14ac:dyDescent="0.2">
      <c r="B218" s="68"/>
      <c r="C218" s="69"/>
      <c r="D218" s="86"/>
      <c r="E218" s="116" t="str">
        <f>IFERROR(VLOOKUP(D218,'リスト '!$A$2:$B$15,2,FALSE),"")</f>
        <v/>
      </c>
      <c r="F218" s="70"/>
      <c r="G218" s="71" t="str">
        <f>IFERROR(VLOOKUP(F218,設定!$C$11:$F$111,2,FALSE),"")</f>
        <v/>
      </c>
      <c r="H218" s="71" t="str">
        <f>IFERROR(VLOOKUP(F218,設定!$C$11:$F$111,3,FALSE),"")</f>
        <v/>
      </c>
      <c r="I218" s="71" t="str">
        <f>IFERROR(VLOOKUP(F218,設定!$C$11:$F$111,4,FALSE),"")</f>
        <v/>
      </c>
      <c r="J218" s="122"/>
    </row>
    <row r="219" spans="2:10" s="3" customFormat="1" ht="24" customHeight="1" x14ac:dyDescent="0.2">
      <c r="B219" s="68"/>
      <c r="C219" s="69"/>
      <c r="D219" s="86"/>
      <c r="E219" s="116" t="str">
        <f>IFERROR(VLOOKUP(D219,'リスト '!$A$2:$B$15,2,FALSE),"")</f>
        <v/>
      </c>
      <c r="F219" s="70"/>
      <c r="G219" s="71" t="str">
        <f>IFERROR(VLOOKUP(F219,設定!$C$11:$F$111,2,FALSE),"")</f>
        <v/>
      </c>
      <c r="H219" s="71" t="str">
        <f>IFERROR(VLOOKUP(F219,設定!$C$11:$F$111,3,FALSE),"")</f>
        <v/>
      </c>
      <c r="I219" s="71" t="str">
        <f>IFERROR(VLOOKUP(F219,設定!$C$11:$F$111,4,FALSE),"")</f>
        <v/>
      </c>
      <c r="J219" s="122"/>
    </row>
    <row r="220" spans="2:10" s="3" customFormat="1" ht="24" customHeight="1" x14ac:dyDescent="0.2">
      <c r="B220" s="68"/>
      <c r="C220" s="69"/>
      <c r="D220" s="86"/>
      <c r="E220" s="116" t="str">
        <f>IFERROR(VLOOKUP(D220,'リスト '!$A$2:$B$15,2,FALSE),"")</f>
        <v/>
      </c>
      <c r="F220" s="70"/>
      <c r="G220" s="71" t="str">
        <f>IFERROR(VLOOKUP(F220,設定!$C$11:$F$111,2,FALSE),"")</f>
        <v/>
      </c>
      <c r="H220" s="71" t="str">
        <f>IFERROR(VLOOKUP(F220,設定!$C$11:$F$111,3,FALSE),"")</f>
        <v/>
      </c>
      <c r="I220" s="71" t="str">
        <f>IFERROR(VLOOKUP(F220,設定!$C$11:$F$111,4,FALSE),"")</f>
        <v/>
      </c>
      <c r="J220" s="122"/>
    </row>
    <row r="221" spans="2:10" s="3" customFormat="1" ht="24" customHeight="1" x14ac:dyDescent="0.2">
      <c r="B221" s="68"/>
      <c r="C221" s="69"/>
      <c r="D221" s="86"/>
      <c r="E221" s="116" t="str">
        <f>IFERROR(VLOOKUP(D221,'リスト '!$A$2:$B$15,2,FALSE),"")</f>
        <v/>
      </c>
      <c r="F221" s="70"/>
      <c r="G221" s="71" t="str">
        <f>IFERROR(VLOOKUP(F221,設定!$C$11:$F$111,2,FALSE),"")</f>
        <v/>
      </c>
      <c r="H221" s="71" t="str">
        <f>IFERROR(VLOOKUP(F221,設定!$C$11:$F$111,3,FALSE),"")</f>
        <v/>
      </c>
      <c r="I221" s="71" t="str">
        <f>IFERROR(VLOOKUP(F221,設定!$C$11:$F$111,4,FALSE),"")</f>
        <v/>
      </c>
      <c r="J221" s="122"/>
    </row>
    <row r="222" spans="2:10" s="3" customFormat="1" ht="24" customHeight="1" x14ac:dyDescent="0.2">
      <c r="B222" s="68"/>
      <c r="C222" s="69"/>
      <c r="D222" s="86"/>
      <c r="E222" s="116" t="str">
        <f>IFERROR(VLOOKUP(D222,'リスト '!$A$2:$B$15,2,FALSE),"")</f>
        <v/>
      </c>
      <c r="F222" s="70"/>
      <c r="G222" s="71" t="str">
        <f>IFERROR(VLOOKUP(F222,設定!$C$11:$F$111,2,FALSE),"")</f>
        <v/>
      </c>
      <c r="H222" s="71" t="str">
        <f>IFERROR(VLOOKUP(F222,設定!$C$11:$F$111,3,FALSE),"")</f>
        <v/>
      </c>
      <c r="I222" s="71" t="str">
        <f>IFERROR(VLOOKUP(F222,設定!$C$11:$F$111,4,FALSE),"")</f>
        <v/>
      </c>
      <c r="J222" s="122"/>
    </row>
    <row r="223" spans="2:10" s="3" customFormat="1" ht="24" customHeight="1" x14ac:dyDescent="0.2">
      <c r="B223" s="68"/>
      <c r="C223" s="69"/>
      <c r="D223" s="86"/>
      <c r="E223" s="116" t="str">
        <f>IFERROR(VLOOKUP(D223,'リスト '!$A$2:$B$15,2,FALSE),"")</f>
        <v/>
      </c>
      <c r="F223" s="70"/>
      <c r="G223" s="71" t="str">
        <f>IFERROR(VLOOKUP(F223,設定!$C$11:$F$111,2,FALSE),"")</f>
        <v/>
      </c>
      <c r="H223" s="71" t="str">
        <f>IFERROR(VLOOKUP(F223,設定!$C$11:$F$111,3,FALSE),"")</f>
        <v/>
      </c>
      <c r="I223" s="71" t="str">
        <f>IFERROR(VLOOKUP(F223,設定!$C$11:$F$111,4,FALSE),"")</f>
        <v/>
      </c>
      <c r="J223" s="122"/>
    </row>
    <row r="224" spans="2:10" s="3" customFormat="1" ht="24" customHeight="1" x14ac:dyDescent="0.2">
      <c r="B224" s="68"/>
      <c r="C224" s="69"/>
      <c r="D224" s="86"/>
      <c r="E224" s="116" t="str">
        <f>IFERROR(VLOOKUP(D224,'リスト '!$A$2:$B$15,2,FALSE),"")</f>
        <v/>
      </c>
      <c r="F224" s="70"/>
      <c r="G224" s="71" t="str">
        <f>IFERROR(VLOOKUP(F224,設定!$C$11:$F$111,2,FALSE),"")</f>
        <v/>
      </c>
      <c r="H224" s="71" t="str">
        <f>IFERROR(VLOOKUP(F224,設定!$C$11:$F$111,3,FALSE),"")</f>
        <v/>
      </c>
      <c r="I224" s="71" t="str">
        <f>IFERROR(VLOOKUP(F224,設定!$C$11:$F$111,4,FALSE),"")</f>
        <v/>
      </c>
      <c r="J224" s="122"/>
    </row>
    <row r="225" spans="2:10" s="3" customFormat="1" ht="24" customHeight="1" x14ac:dyDescent="0.2">
      <c r="B225" s="68"/>
      <c r="C225" s="69"/>
      <c r="D225" s="86"/>
      <c r="E225" s="116" t="str">
        <f>IFERROR(VLOOKUP(D225,'リスト '!$A$2:$B$15,2,FALSE),"")</f>
        <v/>
      </c>
      <c r="F225" s="70"/>
      <c r="G225" s="71" t="str">
        <f>IFERROR(VLOOKUP(F225,設定!$C$11:$F$111,2,FALSE),"")</f>
        <v/>
      </c>
      <c r="H225" s="71" t="str">
        <f>IFERROR(VLOOKUP(F225,設定!$C$11:$F$111,3,FALSE),"")</f>
        <v/>
      </c>
      <c r="I225" s="71" t="str">
        <f>IFERROR(VLOOKUP(F225,設定!$C$11:$F$111,4,FALSE),"")</f>
        <v/>
      </c>
      <c r="J225" s="122"/>
    </row>
    <row r="226" spans="2:10" s="3" customFormat="1" ht="24" customHeight="1" x14ac:dyDescent="0.2">
      <c r="B226" s="68"/>
      <c r="C226" s="69"/>
      <c r="D226" s="86"/>
      <c r="E226" s="116" t="str">
        <f>IFERROR(VLOOKUP(D226,'リスト '!$A$2:$B$15,2,FALSE),"")</f>
        <v/>
      </c>
      <c r="F226" s="70"/>
      <c r="G226" s="71" t="str">
        <f>IFERROR(VLOOKUP(F226,設定!$C$11:$F$111,2,FALSE),"")</f>
        <v/>
      </c>
      <c r="H226" s="71" t="str">
        <f>IFERROR(VLOOKUP(F226,設定!$C$11:$F$111,3,FALSE),"")</f>
        <v/>
      </c>
      <c r="I226" s="71" t="str">
        <f>IFERROR(VLOOKUP(F226,設定!$C$11:$F$111,4,FALSE),"")</f>
        <v/>
      </c>
      <c r="J226" s="122"/>
    </row>
    <row r="227" spans="2:10" s="3" customFormat="1" ht="24" customHeight="1" x14ac:dyDescent="0.2">
      <c r="B227" s="68"/>
      <c r="C227" s="69"/>
      <c r="D227" s="86"/>
      <c r="E227" s="116" t="str">
        <f>IFERROR(VLOOKUP(D227,'リスト '!$A$2:$B$15,2,FALSE),"")</f>
        <v/>
      </c>
      <c r="F227" s="70"/>
      <c r="G227" s="71" t="str">
        <f>IFERROR(VLOOKUP(F227,設定!$C$11:$F$111,2,FALSE),"")</f>
        <v/>
      </c>
      <c r="H227" s="71" t="str">
        <f>IFERROR(VLOOKUP(F227,設定!$C$11:$F$111,3,FALSE),"")</f>
        <v/>
      </c>
      <c r="I227" s="71" t="str">
        <f>IFERROR(VLOOKUP(F227,設定!$C$11:$F$111,4,FALSE),"")</f>
        <v/>
      </c>
      <c r="J227" s="122"/>
    </row>
    <row r="228" spans="2:10" s="3" customFormat="1" ht="24" customHeight="1" x14ac:dyDescent="0.2">
      <c r="B228" s="68"/>
      <c r="C228" s="69"/>
      <c r="D228" s="86"/>
      <c r="E228" s="116" t="str">
        <f>IFERROR(VLOOKUP(D228,'リスト '!$A$2:$B$15,2,FALSE),"")</f>
        <v/>
      </c>
      <c r="F228" s="70"/>
      <c r="G228" s="71" t="str">
        <f>IFERROR(VLOOKUP(F228,設定!$C$11:$F$111,2,FALSE),"")</f>
        <v/>
      </c>
      <c r="H228" s="71" t="str">
        <f>IFERROR(VLOOKUP(F228,設定!$C$11:$F$111,3,FALSE),"")</f>
        <v/>
      </c>
      <c r="I228" s="71" t="str">
        <f>IFERROR(VLOOKUP(F228,設定!$C$11:$F$111,4,FALSE),"")</f>
        <v/>
      </c>
      <c r="J228" s="122"/>
    </row>
    <row r="229" spans="2:10" s="3" customFormat="1" ht="24" customHeight="1" x14ac:dyDescent="0.2">
      <c r="B229" s="68"/>
      <c r="C229" s="69"/>
      <c r="D229" s="86"/>
      <c r="E229" s="116" t="str">
        <f>IFERROR(VLOOKUP(D229,'リスト '!$A$2:$B$15,2,FALSE),"")</f>
        <v/>
      </c>
      <c r="F229" s="70"/>
      <c r="G229" s="71" t="str">
        <f>IFERROR(VLOOKUP(F229,設定!$C$11:$F$111,2,FALSE),"")</f>
        <v/>
      </c>
      <c r="H229" s="71" t="str">
        <f>IFERROR(VLOOKUP(F229,設定!$C$11:$F$111,3,FALSE),"")</f>
        <v/>
      </c>
      <c r="I229" s="71" t="str">
        <f>IFERROR(VLOOKUP(F229,設定!$C$11:$F$111,4,FALSE),"")</f>
        <v/>
      </c>
      <c r="J229" s="122"/>
    </row>
    <row r="230" spans="2:10" s="3" customFormat="1" ht="24" customHeight="1" x14ac:dyDescent="0.2">
      <c r="B230" s="68"/>
      <c r="C230" s="69"/>
      <c r="D230" s="86"/>
      <c r="E230" s="116" t="str">
        <f>IFERROR(VLOOKUP(D230,'リスト '!$A$2:$B$15,2,FALSE),"")</f>
        <v/>
      </c>
      <c r="F230" s="70"/>
      <c r="G230" s="71" t="str">
        <f>IFERROR(VLOOKUP(F230,設定!$C$11:$F$111,2,FALSE),"")</f>
        <v/>
      </c>
      <c r="H230" s="71" t="str">
        <f>IFERROR(VLOOKUP(F230,設定!$C$11:$F$111,3,FALSE),"")</f>
        <v/>
      </c>
      <c r="I230" s="71" t="str">
        <f>IFERROR(VLOOKUP(F230,設定!$C$11:$F$111,4,FALSE),"")</f>
        <v/>
      </c>
      <c r="J230" s="122"/>
    </row>
    <row r="231" spans="2:10" s="3" customFormat="1" ht="24" customHeight="1" x14ac:dyDescent="0.2">
      <c r="B231" s="68"/>
      <c r="C231" s="69"/>
      <c r="D231" s="86"/>
      <c r="E231" s="116" t="str">
        <f>IFERROR(VLOOKUP(D231,'リスト '!$A$2:$B$15,2,FALSE),"")</f>
        <v/>
      </c>
      <c r="F231" s="70"/>
      <c r="G231" s="71" t="str">
        <f>IFERROR(VLOOKUP(F231,設定!$C$11:$F$111,2,FALSE),"")</f>
        <v/>
      </c>
      <c r="H231" s="71" t="str">
        <f>IFERROR(VLOOKUP(F231,設定!$C$11:$F$111,3,FALSE),"")</f>
        <v/>
      </c>
      <c r="I231" s="71" t="str">
        <f>IFERROR(VLOOKUP(F231,設定!$C$11:$F$111,4,FALSE),"")</f>
        <v/>
      </c>
      <c r="J231" s="122"/>
    </row>
    <row r="232" spans="2:10" s="3" customFormat="1" ht="24" customHeight="1" x14ac:dyDescent="0.2">
      <c r="B232" s="68"/>
      <c r="C232" s="69"/>
      <c r="D232" s="86"/>
      <c r="E232" s="116" t="str">
        <f>IFERROR(VLOOKUP(D232,'リスト '!$A$2:$B$15,2,FALSE),"")</f>
        <v/>
      </c>
      <c r="F232" s="70"/>
      <c r="G232" s="71" t="str">
        <f>IFERROR(VLOOKUP(F232,設定!$C$11:$F$111,2,FALSE),"")</f>
        <v/>
      </c>
      <c r="H232" s="71" t="str">
        <f>IFERROR(VLOOKUP(F232,設定!$C$11:$F$111,3,FALSE),"")</f>
        <v/>
      </c>
      <c r="I232" s="71" t="str">
        <f>IFERROR(VLOOKUP(F232,設定!$C$11:$F$111,4,FALSE),"")</f>
        <v/>
      </c>
      <c r="J232" s="122"/>
    </row>
    <row r="233" spans="2:10" s="3" customFormat="1" ht="24" customHeight="1" x14ac:dyDescent="0.2">
      <c r="B233" s="68"/>
      <c r="C233" s="69"/>
      <c r="D233" s="86"/>
      <c r="E233" s="116" t="str">
        <f>IFERROR(VLOOKUP(D233,'リスト '!$A$2:$B$15,2,FALSE),"")</f>
        <v/>
      </c>
      <c r="F233" s="70"/>
      <c r="G233" s="71" t="str">
        <f>IFERROR(VLOOKUP(F233,設定!$C$11:$F$111,2,FALSE),"")</f>
        <v/>
      </c>
      <c r="H233" s="71" t="str">
        <f>IFERROR(VLOOKUP(F233,設定!$C$11:$F$111,3,FALSE),"")</f>
        <v/>
      </c>
      <c r="I233" s="71" t="str">
        <f>IFERROR(VLOOKUP(F233,設定!$C$11:$F$111,4,FALSE),"")</f>
        <v/>
      </c>
      <c r="J233" s="122"/>
    </row>
    <row r="234" spans="2:10" s="3" customFormat="1" ht="24" customHeight="1" x14ac:dyDescent="0.2">
      <c r="B234" s="68"/>
      <c r="C234" s="69"/>
      <c r="D234" s="86"/>
      <c r="E234" s="116" t="str">
        <f>IFERROR(VLOOKUP(D234,'リスト '!$A$2:$B$15,2,FALSE),"")</f>
        <v/>
      </c>
      <c r="F234" s="70"/>
      <c r="G234" s="71" t="str">
        <f>IFERROR(VLOOKUP(F234,設定!$C$11:$F$111,2,FALSE),"")</f>
        <v/>
      </c>
      <c r="H234" s="71" t="str">
        <f>IFERROR(VLOOKUP(F234,設定!$C$11:$F$111,3,FALSE),"")</f>
        <v/>
      </c>
      <c r="I234" s="71" t="str">
        <f>IFERROR(VLOOKUP(F234,設定!$C$11:$F$111,4,FALSE),"")</f>
        <v/>
      </c>
      <c r="J234" s="122"/>
    </row>
    <row r="235" spans="2:10" s="3" customFormat="1" ht="24" customHeight="1" x14ac:dyDescent="0.2">
      <c r="B235" s="68"/>
      <c r="C235" s="69"/>
      <c r="D235" s="86"/>
      <c r="E235" s="116" t="str">
        <f>IFERROR(VLOOKUP(D235,'リスト '!$A$2:$B$15,2,FALSE),"")</f>
        <v/>
      </c>
      <c r="F235" s="70"/>
      <c r="G235" s="71" t="str">
        <f>IFERROR(VLOOKUP(F235,設定!$C$11:$F$111,2,FALSE),"")</f>
        <v/>
      </c>
      <c r="H235" s="71" t="str">
        <f>IFERROR(VLOOKUP(F235,設定!$C$11:$F$111,3,FALSE),"")</f>
        <v/>
      </c>
      <c r="I235" s="71" t="str">
        <f>IFERROR(VLOOKUP(F235,設定!$C$11:$F$111,4,FALSE),"")</f>
        <v/>
      </c>
      <c r="J235" s="122"/>
    </row>
    <row r="236" spans="2:10" s="3" customFormat="1" ht="24" customHeight="1" x14ac:dyDescent="0.2">
      <c r="B236" s="68"/>
      <c r="C236" s="69"/>
      <c r="D236" s="86"/>
      <c r="E236" s="116" t="str">
        <f>IFERROR(VLOOKUP(D236,'リスト '!$A$2:$B$15,2,FALSE),"")</f>
        <v/>
      </c>
      <c r="F236" s="70"/>
      <c r="G236" s="71" t="str">
        <f>IFERROR(VLOOKUP(F236,設定!$C$11:$F$111,2,FALSE),"")</f>
        <v/>
      </c>
      <c r="H236" s="71" t="str">
        <f>IFERROR(VLOOKUP(F236,設定!$C$11:$F$111,3,FALSE),"")</f>
        <v/>
      </c>
      <c r="I236" s="71" t="str">
        <f>IFERROR(VLOOKUP(F236,設定!$C$11:$F$111,4,FALSE),"")</f>
        <v/>
      </c>
      <c r="J236" s="122"/>
    </row>
    <row r="237" spans="2:10" s="3" customFormat="1" ht="24" customHeight="1" x14ac:dyDescent="0.2">
      <c r="B237" s="68"/>
      <c r="C237" s="69"/>
      <c r="D237" s="86"/>
      <c r="E237" s="116" t="str">
        <f>IFERROR(VLOOKUP(D237,'リスト '!$A$2:$B$15,2,FALSE),"")</f>
        <v/>
      </c>
      <c r="F237" s="70"/>
      <c r="G237" s="71" t="str">
        <f>IFERROR(VLOOKUP(F237,設定!$C$11:$F$111,2,FALSE),"")</f>
        <v/>
      </c>
      <c r="H237" s="71" t="str">
        <f>IFERROR(VLOOKUP(F237,設定!$C$11:$F$111,3,FALSE),"")</f>
        <v/>
      </c>
      <c r="I237" s="71" t="str">
        <f>IFERROR(VLOOKUP(F237,設定!$C$11:$F$111,4,FALSE),"")</f>
        <v/>
      </c>
      <c r="J237" s="122"/>
    </row>
    <row r="238" spans="2:10" s="3" customFormat="1" ht="24" customHeight="1" x14ac:dyDescent="0.2">
      <c r="B238" s="68"/>
      <c r="C238" s="69"/>
      <c r="D238" s="86"/>
      <c r="E238" s="116" t="str">
        <f>IFERROR(VLOOKUP(D238,'リスト '!$A$2:$B$15,2,FALSE),"")</f>
        <v/>
      </c>
      <c r="F238" s="70"/>
      <c r="G238" s="71" t="str">
        <f>IFERROR(VLOOKUP(F238,設定!$C$11:$F$111,2,FALSE),"")</f>
        <v/>
      </c>
      <c r="H238" s="71" t="str">
        <f>IFERROR(VLOOKUP(F238,設定!$C$11:$F$111,3,FALSE),"")</f>
        <v/>
      </c>
      <c r="I238" s="71" t="str">
        <f>IFERROR(VLOOKUP(F238,設定!$C$11:$F$111,4,FALSE),"")</f>
        <v/>
      </c>
      <c r="J238" s="122"/>
    </row>
    <row r="239" spans="2:10" s="3" customFormat="1" ht="24" customHeight="1" x14ac:dyDescent="0.2">
      <c r="B239" s="68"/>
      <c r="C239" s="69"/>
      <c r="D239" s="86"/>
      <c r="E239" s="116" t="str">
        <f>IFERROR(VLOOKUP(D239,'リスト '!$A$2:$B$15,2,FALSE),"")</f>
        <v/>
      </c>
      <c r="F239" s="70"/>
      <c r="G239" s="71" t="str">
        <f>IFERROR(VLOOKUP(F239,設定!$C$11:$F$111,2,FALSE),"")</f>
        <v/>
      </c>
      <c r="H239" s="71" t="str">
        <f>IFERROR(VLOOKUP(F239,設定!$C$11:$F$111,3,FALSE),"")</f>
        <v/>
      </c>
      <c r="I239" s="71" t="str">
        <f>IFERROR(VLOOKUP(F239,設定!$C$11:$F$111,4,FALSE),"")</f>
        <v/>
      </c>
      <c r="J239" s="122"/>
    </row>
    <row r="240" spans="2:10" s="3" customFormat="1" ht="24" customHeight="1" x14ac:dyDescent="0.2">
      <c r="B240" s="68"/>
      <c r="C240" s="69"/>
      <c r="D240" s="86"/>
      <c r="E240" s="116" t="str">
        <f>IFERROR(VLOOKUP(D240,'リスト '!$A$2:$B$15,2,FALSE),"")</f>
        <v/>
      </c>
      <c r="F240" s="70"/>
      <c r="G240" s="71" t="str">
        <f>IFERROR(VLOOKUP(F240,設定!$C$11:$F$111,2,FALSE),"")</f>
        <v/>
      </c>
      <c r="H240" s="71" t="str">
        <f>IFERROR(VLOOKUP(F240,設定!$C$11:$F$111,3,FALSE),"")</f>
        <v/>
      </c>
      <c r="I240" s="71" t="str">
        <f>IFERROR(VLOOKUP(F240,設定!$C$11:$F$111,4,FALSE),"")</f>
        <v/>
      </c>
      <c r="J240" s="122"/>
    </row>
    <row r="241" spans="2:10" s="3" customFormat="1" ht="24" customHeight="1" x14ac:dyDescent="0.2">
      <c r="B241" s="68"/>
      <c r="C241" s="69"/>
      <c r="D241" s="86"/>
      <c r="E241" s="116" t="str">
        <f>IFERROR(VLOOKUP(D241,'リスト '!$A$2:$B$15,2,FALSE),"")</f>
        <v/>
      </c>
      <c r="F241" s="70"/>
      <c r="G241" s="71" t="str">
        <f>IFERROR(VLOOKUP(F241,設定!$C$11:$F$111,2,FALSE),"")</f>
        <v/>
      </c>
      <c r="H241" s="71" t="str">
        <f>IFERROR(VLOOKUP(F241,設定!$C$11:$F$111,3,FALSE),"")</f>
        <v/>
      </c>
      <c r="I241" s="71" t="str">
        <f>IFERROR(VLOOKUP(F241,設定!$C$11:$F$111,4,FALSE),"")</f>
        <v/>
      </c>
      <c r="J241" s="122"/>
    </row>
    <row r="242" spans="2:10" s="3" customFormat="1" ht="24" customHeight="1" x14ac:dyDescent="0.2">
      <c r="B242" s="68"/>
      <c r="C242" s="69"/>
      <c r="D242" s="86"/>
      <c r="E242" s="116" t="str">
        <f>IFERROR(VLOOKUP(D242,'リスト '!$A$2:$B$15,2,FALSE),"")</f>
        <v/>
      </c>
      <c r="F242" s="70"/>
      <c r="G242" s="71" t="str">
        <f>IFERROR(VLOOKUP(F242,設定!$C$11:$F$111,2,FALSE),"")</f>
        <v/>
      </c>
      <c r="H242" s="71" t="str">
        <f>IFERROR(VLOOKUP(F242,設定!$C$11:$F$111,3,FALSE),"")</f>
        <v/>
      </c>
      <c r="I242" s="71" t="str">
        <f>IFERROR(VLOOKUP(F242,設定!$C$11:$F$111,4,FALSE),"")</f>
        <v/>
      </c>
      <c r="J242" s="122"/>
    </row>
    <row r="243" spans="2:10" s="3" customFormat="1" ht="24" customHeight="1" x14ac:dyDescent="0.2">
      <c r="B243" s="68"/>
      <c r="C243" s="69"/>
      <c r="D243" s="86"/>
      <c r="E243" s="116" t="str">
        <f>IFERROR(VLOOKUP(D243,'リスト '!$A$2:$B$15,2,FALSE),"")</f>
        <v/>
      </c>
      <c r="F243" s="70"/>
      <c r="G243" s="71" t="str">
        <f>IFERROR(VLOOKUP(F243,設定!$C$11:$F$111,2,FALSE),"")</f>
        <v/>
      </c>
      <c r="H243" s="71" t="str">
        <f>IFERROR(VLOOKUP(F243,設定!$C$11:$F$111,3,FALSE),"")</f>
        <v/>
      </c>
      <c r="I243" s="71" t="str">
        <f>IFERROR(VLOOKUP(F243,設定!$C$11:$F$111,4,FALSE),"")</f>
        <v/>
      </c>
      <c r="J243" s="122"/>
    </row>
    <row r="244" spans="2:10" s="3" customFormat="1" ht="24" customHeight="1" x14ac:dyDescent="0.2">
      <c r="B244" s="68"/>
      <c r="C244" s="69"/>
      <c r="D244" s="86"/>
      <c r="E244" s="116" t="str">
        <f>IFERROR(VLOOKUP(D244,'リスト '!$A$2:$B$15,2,FALSE),"")</f>
        <v/>
      </c>
      <c r="F244" s="70"/>
      <c r="G244" s="71" t="str">
        <f>IFERROR(VLOOKUP(F244,設定!$C$11:$F$111,2,FALSE),"")</f>
        <v/>
      </c>
      <c r="H244" s="71" t="str">
        <f>IFERROR(VLOOKUP(F244,設定!$C$11:$F$111,3,FALSE),"")</f>
        <v/>
      </c>
      <c r="I244" s="71" t="str">
        <f>IFERROR(VLOOKUP(F244,設定!$C$11:$F$111,4,FALSE),"")</f>
        <v/>
      </c>
      <c r="J244" s="122"/>
    </row>
    <row r="245" spans="2:10" s="3" customFormat="1" ht="24" customHeight="1" x14ac:dyDescent="0.2">
      <c r="B245" s="68"/>
      <c r="C245" s="69"/>
      <c r="D245" s="86"/>
      <c r="E245" s="116" t="str">
        <f>IFERROR(VLOOKUP(D245,'リスト '!$A$2:$B$15,2,FALSE),"")</f>
        <v/>
      </c>
      <c r="F245" s="70"/>
      <c r="G245" s="71" t="str">
        <f>IFERROR(VLOOKUP(F245,設定!$C$11:$F$111,2,FALSE),"")</f>
        <v/>
      </c>
      <c r="H245" s="71" t="str">
        <f>IFERROR(VLOOKUP(F245,設定!$C$11:$F$111,3,FALSE),"")</f>
        <v/>
      </c>
      <c r="I245" s="71" t="str">
        <f>IFERROR(VLOOKUP(F245,設定!$C$11:$F$111,4,FALSE),"")</f>
        <v/>
      </c>
      <c r="J245" s="122"/>
    </row>
    <row r="246" spans="2:10" s="3" customFormat="1" ht="24" customHeight="1" x14ac:dyDescent="0.2">
      <c r="B246" s="68"/>
      <c r="C246" s="69"/>
      <c r="D246" s="86"/>
      <c r="E246" s="116" t="str">
        <f>IFERROR(VLOOKUP(D246,'リスト '!$A$2:$B$15,2,FALSE),"")</f>
        <v/>
      </c>
      <c r="F246" s="70"/>
      <c r="G246" s="71" t="str">
        <f>IFERROR(VLOOKUP(F246,設定!$C$11:$F$111,2,FALSE),"")</f>
        <v/>
      </c>
      <c r="H246" s="71" t="str">
        <f>IFERROR(VLOOKUP(F246,設定!$C$11:$F$111,3,FALSE),"")</f>
        <v/>
      </c>
      <c r="I246" s="71" t="str">
        <f>IFERROR(VLOOKUP(F246,設定!$C$11:$F$111,4,FALSE),"")</f>
        <v/>
      </c>
      <c r="J246" s="122"/>
    </row>
    <row r="247" spans="2:10" s="3" customFormat="1" ht="24" customHeight="1" x14ac:dyDescent="0.2">
      <c r="B247" s="68"/>
      <c r="C247" s="69"/>
      <c r="D247" s="86"/>
      <c r="E247" s="116" t="str">
        <f>IFERROR(VLOOKUP(D247,'リスト '!$A$2:$B$15,2,FALSE),"")</f>
        <v/>
      </c>
      <c r="F247" s="70"/>
      <c r="G247" s="71" t="str">
        <f>IFERROR(VLOOKUP(F247,設定!$C$11:$F$111,2,FALSE),"")</f>
        <v/>
      </c>
      <c r="H247" s="71" t="str">
        <f>IFERROR(VLOOKUP(F247,設定!$C$11:$F$111,3,FALSE),"")</f>
        <v/>
      </c>
      <c r="I247" s="71" t="str">
        <f>IFERROR(VLOOKUP(F247,設定!$C$11:$F$111,4,FALSE),"")</f>
        <v/>
      </c>
      <c r="J247" s="122"/>
    </row>
    <row r="248" spans="2:10" s="3" customFormat="1" ht="24" customHeight="1" x14ac:dyDescent="0.2">
      <c r="B248" s="68"/>
      <c r="C248" s="69"/>
      <c r="D248" s="86"/>
      <c r="E248" s="116" t="str">
        <f>IFERROR(VLOOKUP(D248,'リスト '!$A$2:$B$15,2,FALSE),"")</f>
        <v/>
      </c>
      <c r="F248" s="70"/>
      <c r="G248" s="71" t="str">
        <f>IFERROR(VLOOKUP(F248,設定!$C$11:$F$111,2,FALSE),"")</f>
        <v/>
      </c>
      <c r="H248" s="71" t="str">
        <f>IFERROR(VLOOKUP(F248,設定!$C$11:$F$111,3,FALSE),"")</f>
        <v/>
      </c>
      <c r="I248" s="71" t="str">
        <f>IFERROR(VLOOKUP(F248,設定!$C$11:$F$111,4,FALSE),"")</f>
        <v/>
      </c>
      <c r="J248" s="122"/>
    </row>
    <row r="249" spans="2:10" s="3" customFormat="1" ht="24" customHeight="1" x14ac:dyDescent="0.2">
      <c r="B249" s="68"/>
      <c r="C249" s="69"/>
      <c r="D249" s="86"/>
      <c r="E249" s="116" t="str">
        <f>IFERROR(VLOOKUP(D249,'リスト '!$A$2:$B$15,2,FALSE),"")</f>
        <v/>
      </c>
      <c r="F249" s="70"/>
      <c r="G249" s="71" t="str">
        <f>IFERROR(VLOOKUP(F249,設定!$C$11:$F$111,2,FALSE),"")</f>
        <v/>
      </c>
      <c r="H249" s="71" t="str">
        <f>IFERROR(VLOOKUP(F249,設定!$C$11:$F$111,3,FALSE),"")</f>
        <v/>
      </c>
      <c r="I249" s="71" t="str">
        <f>IFERROR(VLOOKUP(F249,設定!$C$11:$F$111,4,FALSE),"")</f>
        <v/>
      </c>
      <c r="J249" s="122"/>
    </row>
    <row r="250" spans="2:10" s="3" customFormat="1" ht="24" customHeight="1" x14ac:dyDescent="0.2">
      <c r="B250" s="68"/>
      <c r="C250" s="69"/>
      <c r="D250" s="86"/>
      <c r="E250" s="116" t="str">
        <f>IFERROR(VLOOKUP(D250,'リスト '!$A$2:$B$15,2,FALSE),"")</f>
        <v/>
      </c>
      <c r="F250" s="70"/>
      <c r="G250" s="71" t="str">
        <f>IFERROR(VLOOKUP(F250,設定!$C$11:$F$111,2,FALSE),"")</f>
        <v/>
      </c>
      <c r="H250" s="71" t="str">
        <f>IFERROR(VLOOKUP(F250,設定!$C$11:$F$111,3,FALSE),"")</f>
        <v/>
      </c>
      <c r="I250" s="71" t="str">
        <f>IFERROR(VLOOKUP(F250,設定!$C$11:$F$111,4,FALSE),"")</f>
        <v/>
      </c>
      <c r="J250" s="122"/>
    </row>
    <row r="251" spans="2:10" s="3" customFormat="1" ht="24" customHeight="1" x14ac:dyDescent="0.2">
      <c r="B251" s="68"/>
      <c r="C251" s="69"/>
      <c r="D251" s="86"/>
      <c r="E251" s="116" t="str">
        <f>IFERROR(VLOOKUP(D251,'リスト '!$A$2:$B$15,2,FALSE),"")</f>
        <v/>
      </c>
      <c r="F251" s="70"/>
      <c r="G251" s="71" t="str">
        <f>IFERROR(VLOOKUP(F251,設定!$C$11:$F$111,2,FALSE),"")</f>
        <v/>
      </c>
      <c r="H251" s="71" t="str">
        <f>IFERROR(VLOOKUP(F251,設定!$C$11:$F$111,3,FALSE),"")</f>
        <v/>
      </c>
      <c r="I251" s="71" t="str">
        <f>IFERROR(VLOOKUP(F251,設定!$C$11:$F$111,4,FALSE),"")</f>
        <v/>
      </c>
      <c r="J251" s="122"/>
    </row>
    <row r="252" spans="2:10" s="3" customFormat="1" ht="24" customHeight="1" x14ac:dyDescent="0.2">
      <c r="B252" s="68"/>
      <c r="C252" s="69"/>
      <c r="D252" s="86"/>
      <c r="E252" s="116" t="str">
        <f>IFERROR(VLOOKUP(D252,'リスト '!$A$2:$B$15,2,FALSE),"")</f>
        <v/>
      </c>
      <c r="F252" s="70"/>
      <c r="G252" s="71" t="str">
        <f>IFERROR(VLOOKUP(F252,設定!$C$11:$F$111,2,FALSE),"")</f>
        <v/>
      </c>
      <c r="H252" s="71" t="str">
        <f>IFERROR(VLOOKUP(F252,設定!$C$11:$F$111,3,FALSE),"")</f>
        <v/>
      </c>
      <c r="I252" s="71" t="str">
        <f>IFERROR(VLOOKUP(F252,設定!$C$11:$F$111,4,FALSE),"")</f>
        <v/>
      </c>
      <c r="J252" s="122"/>
    </row>
    <row r="253" spans="2:10" s="3" customFormat="1" ht="24" customHeight="1" x14ac:dyDescent="0.2">
      <c r="B253" s="68"/>
      <c r="C253" s="69"/>
      <c r="D253" s="86"/>
      <c r="E253" s="116" t="str">
        <f>IFERROR(VLOOKUP(D253,'リスト '!$A$2:$B$15,2,FALSE),"")</f>
        <v/>
      </c>
      <c r="F253" s="70"/>
      <c r="G253" s="71" t="str">
        <f>IFERROR(VLOOKUP(F253,設定!$C$11:$F$111,2,FALSE),"")</f>
        <v/>
      </c>
      <c r="H253" s="71" t="str">
        <f>IFERROR(VLOOKUP(F253,設定!$C$11:$F$111,3,FALSE),"")</f>
        <v/>
      </c>
      <c r="I253" s="71" t="str">
        <f>IFERROR(VLOOKUP(F253,設定!$C$11:$F$111,4,FALSE),"")</f>
        <v/>
      </c>
      <c r="J253" s="122"/>
    </row>
    <row r="254" spans="2:10" s="3" customFormat="1" ht="24" customHeight="1" x14ac:dyDescent="0.2">
      <c r="B254" s="68"/>
      <c r="C254" s="69"/>
      <c r="D254" s="86"/>
      <c r="E254" s="116" t="str">
        <f>IFERROR(VLOOKUP(D254,'リスト '!$A$2:$B$15,2,FALSE),"")</f>
        <v/>
      </c>
      <c r="F254" s="70"/>
      <c r="G254" s="71" t="str">
        <f>IFERROR(VLOOKUP(F254,設定!$C$11:$F$111,2,FALSE),"")</f>
        <v/>
      </c>
      <c r="H254" s="71" t="str">
        <f>IFERROR(VLOOKUP(F254,設定!$C$11:$F$111,3,FALSE),"")</f>
        <v/>
      </c>
      <c r="I254" s="71" t="str">
        <f>IFERROR(VLOOKUP(F254,設定!$C$11:$F$111,4,FALSE),"")</f>
        <v/>
      </c>
      <c r="J254" s="122"/>
    </row>
    <row r="255" spans="2:10" s="3" customFormat="1" ht="24" customHeight="1" x14ac:dyDescent="0.2">
      <c r="B255" s="68"/>
      <c r="C255" s="69"/>
      <c r="D255" s="86"/>
      <c r="E255" s="116" t="str">
        <f>IFERROR(VLOOKUP(D255,'リスト '!$A$2:$B$15,2,FALSE),"")</f>
        <v/>
      </c>
      <c r="F255" s="70"/>
      <c r="G255" s="71" t="str">
        <f>IFERROR(VLOOKUP(F255,設定!$C$11:$F$111,2,FALSE),"")</f>
        <v/>
      </c>
      <c r="H255" s="71" t="str">
        <f>IFERROR(VLOOKUP(F255,設定!$C$11:$F$111,3,FALSE),"")</f>
        <v/>
      </c>
      <c r="I255" s="71" t="str">
        <f>IFERROR(VLOOKUP(F255,設定!$C$11:$F$111,4,FALSE),"")</f>
        <v/>
      </c>
      <c r="J255" s="122"/>
    </row>
    <row r="256" spans="2:10" s="3" customFormat="1" ht="24" customHeight="1" x14ac:dyDescent="0.2">
      <c r="B256" s="68"/>
      <c r="C256" s="69"/>
      <c r="D256" s="86"/>
      <c r="E256" s="116" t="str">
        <f>IFERROR(VLOOKUP(D256,'リスト '!$A$2:$B$15,2,FALSE),"")</f>
        <v/>
      </c>
      <c r="F256" s="70"/>
      <c r="G256" s="71" t="str">
        <f>IFERROR(VLOOKUP(F256,設定!$C$11:$F$111,2,FALSE),"")</f>
        <v/>
      </c>
      <c r="H256" s="71" t="str">
        <f>IFERROR(VLOOKUP(F256,設定!$C$11:$F$111,3,FALSE),"")</f>
        <v/>
      </c>
      <c r="I256" s="71" t="str">
        <f>IFERROR(VLOOKUP(F256,設定!$C$11:$F$111,4,FALSE),"")</f>
        <v/>
      </c>
      <c r="J256" s="122"/>
    </row>
    <row r="257" spans="2:10" s="3" customFormat="1" ht="24" customHeight="1" x14ac:dyDescent="0.2">
      <c r="B257" s="68"/>
      <c r="C257" s="69"/>
      <c r="D257" s="86"/>
      <c r="E257" s="116" t="str">
        <f>IFERROR(VLOOKUP(D257,'リスト '!$A$2:$B$15,2,FALSE),"")</f>
        <v/>
      </c>
      <c r="F257" s="70"/>
      <c r="G257" s="71" t="str">
        <f>IFERROR(VLOOKUP(F257,設定!$C$11:$F$111,2,FALSE),"")</f>
        <v/>
      </c>
      <c r="H257" s="71" t="str">
        <f>IFERROR(VLOOKUP(F257,設定!$C$11:$F$111,3,FALSE),"")</f>
        <v/>
      </c>
      <c r="I257" s="71" t="str">
        <f>IFERROR(VLOOKUP(F257,設定!$C$11:$F$111,4,FALSE),"")</f>
        <v/>
      </c>
      <c r="J257" s="122"/>
    </row>
    <row r="258" spans="2:10" s="3" customFormat="1" ht="24" customHeight="1" x14ac:dyDescent="0.2">
      <c r="B258" s="68"/>
      <c r="C258" s="69"/>
      <c r="D258" s="86"/>
      <c r="E258" s="116" t="str">
        <f>IFERROR(VLOOKUP(D258,'リスト '!$A$2:$B$15,2,FALSE),"")</f>
        <v/>
      </c>
      <c r="F258" s="70"/>
      <c r="G258" s="71" t="str">
        <f>IFERROR(VLOOKUP(F258,設定!$C$11:$F$111,2,FALSE),"")</f>
        <v/>
      </c>
      <c r="H258" s="71" t="str">
        <f>IFERROR(VLOOKUP(F258,設定!$C$11:$F$111,3,FALSE),"")</f>
        <v/>
      </c>
      <c r="I258" s="71" t="str">
        <f>IFERROR(VLOOKUP(F258,設定!$C$11:$F$111,4,FALSE),"")</f>
        <v/>
      </c>
      <c r="J258" s="122"/>
    </row>
    <row r="259" spans="2:10" s="3" customFormat="1" ht="24" customHeight="1" x14ac:dyDescent="0.2">
      <c r="B259" s="68"/>
      <c r="C259" s="69"/>
      <c r="D259" s="86"/>
      <c r="E259" s="116" t="str">
        <f>IFERROR(VLOOKUP(D259,'リスト '!$A$2:$B$15,2,FALSE),"")</f>
        <v/>
      </c>
      <c r="F259" s="70"/>
      <c r="G259" s="71" t="str">
        <f>IFERROR(VLOOKUP(F259,設定!$C$11:$F$111,2,FALSE),"")</f>
        <v/>
      </c>
      <c r="H259" s="71" t="str">
        <f>IFERROR(VLOOKUP(F259,設定!$C$11:$F$111,3,FALSE),"")</f>
        <v/>
      </c>
      <c r="I259" s="71" t="str">
        <f>IFERROR(VLOOKUP(F259,設定!$C$11:$F$111,4,FALSE),"")</f>
        <v/>
      </c>
      <c r="J259" s="122"/>
    </row>
    <row r="260" spans="2:10" s="3" customFormat="1" ht="24" customHeight="1" x14ac:dyDescent="0.2">
      <c r="B260" s="68"/>
      <c r="C260" s="69"/>
      <c r="D260" s="86"/>
      <c r="E260" s="116" t="str">
        <f>IFERROR(VLOOKUP(D260,'リスト '!$A$2:$B$15,2,FALSE),"")</f>
        <v/>
      </c>
      <c r="F260" s="70"/>
      <c r="G260" s="71" t="str">
        <f>IFERROR(VLOOKUP(F260,設定!$C$11:$F$111,2,FALSE),"")</f>
        <v/>
      </c>
      <c r="H260" s="71" t="str">
        <f>IFERROR(VLOOKUP(F260,設定!$C$11:$F$111,3,FALSE),"")</f>
        <v/>
      </c>
      <c r="I260" s="71" t="str">
        <f>IFERROR(VLOOKUP(F260,設定!$C$11:$F$111,4,FALSE),"")</f>
        <v/>
      </c>
      <c r="J260" s="122"/>
    </row>
    <row r="261" spans="2:10" s="3" customFormat="1" ht="24" customHeight="1" x14ac:dyDescent="0.2">
      <c r="B261" s="68"/>
      <c r="C261" s="69"/>
      <c r="D261" s="86"/>
      <c r="E261" s="116" t="str">
        <f>IFERROR(VLOOKUP(D261,'リスト '!$A$2:$B$15,2,FALSE),"")</f>
        <v/>
      </c>
      <c r="F261" s="70"/>
      <c r="G261" s="71" t="str">
        <f>IFERROR(VLOOKUP(F261,設定!$C$11:$F$111,2,FALSE),"")</f>
        <v/>
      </c>
      <c r="H261" s="71" t="str">
        <f>IFERROR(VLOOKUP(F261,設定!$C$11:$F$111,3,FALSE),"")</f>
        <v/>
      </c>
      <c r="I261" s="71" t="str">
        <f>IFERROR(VLOOKUP(F261,設定!$C$11:$F$111,4,FALSE),"")</f>
        <v/>
      </c>
      <c r="J261" s="122"/>
    </row>
    <row r="262" spans="2:10" s="3" customFormat="1" ht="24" customHeight="1" x14ac:dyDescent="0.2">
      <c r="B262" s="68"/>
      <c r="C262" s="69"/>
      <c r="D262" s="86"/>
      <c r="E262" s="116" t="str">
        <f>IFERROR(VLOOKUP(D262,'リスト '!$A$2:$B$15,2,FALSE),"")</f>
        <v/>
      </c>
      <c r="F262" s="70"/>
      <c r="G262" s="71" t="str">
        <f>IFERROR(VLOOKUP(F262,設定!$C$11:$F$111,2,FALSE),"")</f>
        <v/>
      </c>
      <c r="H262" s="71" t="str">
        <f>IFERROR(VLOOKUP(F262,設定!$C$11:$F$111,3,FALSE),"")</f>
        <v/>
      </c>
      <c r="I262" s="71" t="str">
        <f>IFERROR(VLOOKUP(F262,設定!$C$11:$F$111,4,FALSE),"")</f>
        <v/>
      </c>
      <c r="J262" s="122"/>
    </row>
    <row r="263" spans="2:10" s="3" customFormat="1" ht="24" customHeight="1" x14ac:dyDescent="0.2">
      <c r="B263" s="68"/>
      <c r="C263" s="69"/>
      <c r="D263" s="86"/>
      <c r="E263" s="116" t="str">
        <f>IFERROR(VLOOKUP(D263,'リスト '!$A$2:$B$15,2,FALSE),"")</f>
        <v/>
      </c>
      <c r="F263" s="70"/>
      <c r="G263" s="71" t="str">
        <f>IFERROR(VLOOKUP(F263,設定!$C$11:$F$111,2,FALSE),"")</f>
        <v/>
      </c>
      <c r="H263" s="71" t="str">
        <f>IFERROR(VLOOKUP(F263,設定!$C$11:$F$111,3,FALSE),"")</f>
        <v/>
      </c>
      <c r="I263" s="71" t="str">
        <f>IFERROR(VLOOKUP(F263,設定!$C$11:$F$111,4,FALSE),"")</f>
        <v/>
      </c>
      <c r="J263" s="122"/>
    </row>
    <row r="264" spans="2:10" s="3" customFormat="1" ht="24" customHeight="1" x14ac:dyDescent="0.2">
      <c r="B264" s="68"/>
      <c r="C264" s="69"/>
      <c r="D264" s="86"/>
      <c r="E264" s="116" t="str">
        <f>IFERROR(VLOOKUP(D264,'リスト '!$A$2:$B$15,2,FALSE),"")</f>
        <v/>
      </c>
      <c r="F264" s="70"/>
      <c r="G264" s="71" t="str">
        <f>IFERROR(VLOOKUP(F264,設定!$C$11:$F$111,2,FALSE),"")</f>
        <v/>
      </c>
      <c r="H264" s="71" t="str">
        <f>IFERROR(VLOOKUP(F264,設定!$C$11:$F$111,3,FALSE),"")</f>
        <v/>
      </c>
      <c r="I264" s="71" t="str">
        <f>IFERROR(VLOOKUP(F264,設定!$C$11:$F$111,4,FALSE),"")</f>
        <v/>
      </c>
      <c r="J264" s="122"/>
    </row>
    <row r="265" spans="2:10" s="3" customFormat="1" ht="24" customHeight="1" x14ac:dyDescent="0.2">
      <c r="B265" s="68"/>
      <c r="C265" s="69"/>
      <c r="D265" s="86"/>
      <c r="E265" s="116" t="str">
        <f>IFERROR(VLOOKUP(D265,'リスト '!$A$2:$B$15,2,FALSE),"")</f>
        <v/>
      </c>
      <c r="F265" s="70"/>
      <c r="G265" s="71" t="str">
        <f>IFERROR(VLOOKUP(F265,設定!$C$11:$F$111,2,FALSE),"")</f>
        <v/>
      </c>
      <c r="H265" s="71" t="str">
        <f>IFERROR(VLOOKUP(F265,設定!$C$11:$F$111,3,FALSE),"")</f>
        <v/>
      </c>
      <c r="I265" s="71" t="str">
        <f>IFERROR(VLOOKUP(F265,設定!$C$11:$F$111,4,FALSE),"")</f>
        <v/>
      </c>
      <c r="J265" s="122"/>
    </row>
    <row r="266" spans="2:10" s="3" customFormat="1" ht="24" customHeight="1" x14ac:dyDescent="0.2">
      <c r="B266" s="68"/>
      <c r="C266" s="69"/>
      <c r="D266" s="86"/>
      <c r="E266" s="116" t="str">
        <f>IFERROR(VLOOKUP(D266,'リスト '!$A$2:$B$15,2,FALSE),"")</f>
        <v/>
      </c>
      <c r="F266" s="70"/>
      <c r="G266" s="71" t="str">
        <f>IFERROR(VLOOKUP(F266,設定!$C$11:$F$111,2,FALSE),"")</f>
        <v/>
      </c>
      <c r="H266" s="71" t="str">
        <f>IFERROR(VLOOKUP(F266,設定!$C$11:$F$111,3,FALSE),"")</f>
        <v/>
      </c>
      <c r="I266" s="71" t="str">
        <f>IFERROR(VLOOKUP(F266,設定!$C$11:$F$111,4,FALSE),"")</f>
        <v/>
      </c>
      <c r="J266" s="122"/>
    </row>
    <row r="267" spans="2:10" s="3" customFormat="1" ht="24" customHeight="1" x14ac:dyDescent="0.2">
      <c r="B267" s="68"/>
      <c r="C267" s="69"/>
      <c r="D267" s="86"/>
      <c r="E267" s="116" t="str">
        <f>IFERROR(VLOOKUP(D267,'リスト '!$A$2:$B$15,2,FALSE),"")</f>
        <v/>
      </c>
      <c r="F267" s="70"/>
      <c r="G267" s="71" t="str">
        <f>IFERROR(VLOOKUP(F267,設定!$C$11:$F$111,2,FALSE),"")</f>
        <v/>
      </c>
      <c r="H267" s="71" t="str">
        <f>IFERROR(VLOOKUP(F267,設定!$C$11:$F$111,3,FALSE),"")</f>
        <v/>
      </c>
      <c r="I267" s="71" t="str">
        <f>IFERROR(VLOOKUP(F267,設定!$C$11:$F$111,4,FALSE),"")</f>
        <v/>
      </c>
      <c r="J267" s="122"/>
    </row>
    <row r="268" spans="2:10" s="3" customFormat="1" ht="24" customHeight="1" x14ac:dyDescent="0.2">
      <c r="B268" s="68"/>
      <c r="C268" s="69"/>
      <c r="D268" s="86"/>
      <c r="E268" s="116" t="str">
        <f>IFERROR(VLOOKUP(D268,'リスト '!$A$2:$B$15,2,FALSE),"")</f>
        <v/>
      </c>
      <c r="F268" s="70"/>
      <c r="G268" s="71" t="str">
        <f>IFERROR(VLOOKUP(F268,設定!$C$11:$F$111,2,FALSE),"")</f>
        <v/>
      </c>
      <c r="H268" s="71" t="str">
        <f>IFERROR(VLOOKUP(F268,設定!$C$11:$F$111,3,FALSE),"")</f>
        <v/>
      </c>
      <c r="I268" s="71" t="str">
        <f>IFERROR(VLOOKUP(F268,設定!$C$11:$F$111,4,FALSE),"")</f>
        <v/>
      </c>
      <c r="J268" s="122"/>
    </row>
    <row r="269" spans="2:10" s="3" customFormat="1" ht="24" customHeight="1" x14ac:dyDescent="0.2">
      <c r="B269" s="68"/>
      <c r="C269" s="69"/>
      <c r="D269" s="86"/>
      <c r="E269" s="116" t="str">
        <f>IFERROR(VLOOKUP(D269,'リスト '!$A$2:$B$15,2,FALSE),"")</f>
        <v/>
      </c>
      <c r="F269" s="70"/>
      <c r="G269" s="71" t="str">
        <f>IFERROR(VLOOKUP(F269,設定!$C$11:$F$111,2,FALSE),"")</f>
        <v/>
      </c>
      <c r="H269" s="71" t="str">
        <f>IFERROR(VLOOKUP(F269,設定!$C$11:$F$111,3,FALSE),"")</f>
        <v/>
      </c>
      <c r="I269" s="71" t="str">
        <f>IFERROR(VLOOKUP(F269,設定!$C$11:$F$111,4,FALSE),"")</f>
        <v/>
      </c>
      <c r="J269" s="122"/>
    </row>
    <row r="270" spans="2:10" s="3" customFormat="1" ht="24" customHeight="1" x14ac:dyDescent="0.2">
      <c r="B270" s="68"/>
      <c r="C270" s="69"/>
      <c r="D270" s="86"/>
      <c r="E270" s="116" t="str">
        <f>IFERROR(VLOOKUP(D270,'リスト '!$A$2:$B$15,2,FALSE),"")</f>
        <v/>
      </c>
      <c r="F270" s="70"/>
      <c r="G270" s="71" t="str">
        <f>IFERROR(VLOOKUP(F270,設定!$C$11:$F$111,2,FALSE),"")</f>
        <v/>
      </c>
      <c r="H270" s="71" t="str">
        <f>IFERROR(VLOOKUP(F270,設定!$C$11:$F$111,3,FALSE),"")</f>
        <v/>
      </c>
      <c r="I270" s="71" t="str">
        <f>IFERROR(VLOOKUP(F270,設定!$C$11:$F$111,4,FALSE),"")</f>
        <v/>
      </c>
      <c r="J270" s="122"/>
    </row>
    <row r="271" spans="2:10" s="3" customFormat="1" ht="24" customHeight="1" x14ac:dyDescent="0.2">
      <c r="B271" s="68"/>
      <c r="C271" s="69"/>
      <c r="D271" s="86"/>
      <c r="E271" s="116" t="str">
        <f>IFERROR(VLOOKUP(D271,'リスト '!$A$2:$B$15,2,FALSE),"")</f>
        <v/>
      </c>
      <c r="F271" s="70"/>
      <c r="G271" s="71" t="str">
        <f>IFERROR(VLOOKUP(F271,設定!$C$11:$F$111,2,FALSE),"")</f>
        <v/>
      </c>
      <c r="H271" s="71" t="str">
        <f>IFERROR(VLOOKUP(F271,設定!$C$11:$F$111,3,FALSE),"")</f>
        <v/>
      </c>
      <c r="I271" s="71" t="str">
        <f>IFERROR(VLOOKUP(F271,設定!$C$11:$F$111,4,FALSE),"")</f>
        <v/>
      </c>
      <c r="J271" s="122"/>
    </row>
    <row r="272" spans="2:10" s="3" customFormat="1" ht="24" customHeight="1" x14ac:dyDescent="0.2">
      <c r="B272" s="68"/>
      <c r="C272" s="69"/>
      <c r="D272" s="86"/>
      <c r="E272" s="116" t="str">
        <f>IFERROR(VLOOKUP(D272,'リスト '!$A$2:$B$15,2,FALSE),"")</f>
        <v/>
      </c>
      <c r="F272" s="70"/>
      <c r="G272" s="71" t="str">
        <f>IFERROR(VLOOKUP(F272,設定!$C$11:$F$111,2,FALSE),"")</f>
        <v/>
      </c>
      <c r="H272" s="71" t="str">
        <f>IFERROR(VLOOKUP(F272,設定!$C$11:$F$111,3,FALSE),"")</f>
        <v/>
      </c>
      <c r="I272" s="71" t="str">
        <f>IFERROR(VLOOKUP(F272,設定!$C$11:$F$111,4,FALSE),"")</f>
        <v/>
      </c>
      <c r="J272" s="122"/>
    </row>
    <row r="273" spans="2:10" s="3" customFormat="1" ht="24" customHeight="1" x14ac:dyDescent="0.2">
      <c r="B273" s="68"/>
      <c r="C273" s="69"/>
      <c r="D273" s="86"/>
      <c r="E273" s="116" t="str">
        <f>IFERROR(VLOOKUP(D273,'リスト '!$A$2:$B$15,2,FALSE),"")</f>
        <v/>
      </c>
      <c r="F273" s="70"/>
      <c r="G273" s="71" t="str">
        <f>IFERROR(VLOOKUP(F273,設定!$C$11:$F$111,2,FALSE),"")</f>
        <v/>
      </c>
      <c r="H273" s="71" t="str">
        <f>IFERROR(VLOOKUP(F273,設定!$C$11:$F$111,3,FALSE),"")</f>
        <v/>
      </c>
      <c r="I273" s="71" t="str">
        <f>IFERROR(VLOOKUP(F273,設定!$C$11:$F$111,4,FALSE),"")</f>
        <v/>
      </c>
      <c r="J273" s="122"/>
    </row>
    <row r="274" spans="2:10" s="3" customFormat="1" ht="24" customHeight="1" x14ac:dyDescent="0.2">
      <c r="B274" s="68"/>
      <c r="C274" s="69"/>
      <c r="D274" s="86"/>
      <c r="E274" s="116" t="str">
        <f>IFERROR(VLOOKUP(D274,'リスト '!$A$2:$B$15,2,FALSE),"")</f>
        <v/>
      </c>
      <c r="F274" s="70"/>
      <c r="G274" s="71" t="str">
        <f>IFERROR(VLOOKUP(F274,設定!$C$11:$F$111,2,FALSE),"")</f>
        <v/>
      </c>
      <c r="H274" s="71" t="str">
        <f>IFERROR(VLOOKUP(F274,設定!$C$11:$F$111,3,FALSE),"")</f>
        <v/>
      </c>
      <c r="I274" s="71" t="str">
        <f>IFERROR(VLOOKUP(F274,設定!$C$11:$F$111,4,FALSE),"")</f>
        <v/>
      </c>
      <c r="J274" s="122"/>
    </row>
    <row r="275" spans="2:10" s="3" customFormat="1" ht="24" customHeight="1" x14ac:dyDescent="0.2">
      <c r="B275" s="68"/>
      <c r="C275" s="69"/>
      <c r="D275" s="86"/>
      <c r="E275" s="116" t="str">
        <f>IFERROR(VLOOKUP(D275,'リスト '!$A$2:$B$15,2,FALSE),"")</f>
        <v/>
      </c>
      <c r="F275" s="70"/>
      <c r="G275" s="71" t="str">
        <f>IFERROR(VLOOKUP(F275,設定!$C$11:$F$111,2,FALSE),"")</f>
        <v/>
      </c>
      <c r="H275" s="71" t="str">
        <f>IFERROR(VLOOKUP(F275,設定!$C$11:$F$111,3,FALSE),"")</f>
        <v/>
      </c>
      <c r="I275" s="71" t="str">
        <f>IFERROR(VLOOKUP(F275,設定!$C$11:$F$111,4,FALSE),"")</f>
        <v/>
      </c>
      <c r="J275" s="122"/>
    </row>
    <row r="276" spans="2:10" s="3" customFormat="1" ht="24" customHeight="1" x14ac:dyDescent="0.2">
      <c r="B276" s="68"/>
      <c r="C276" s="69"/>
      <c r="D276" s="86"/>
      <c r="E276" s="116" t="str">
        <f>IFERROR(VLOOKUP(D276,'リスト '!$A$2:$B$15,2,FALSE),"")</f>
        <v/>
      </c>
      <c r="F276" s="70"/>
      <c r="G276" s="71" t="str">
        <f>IFERROR(VLOOKUP(F276,設定!$C$11:$F$111,2,FALSE),"")</f>
        <v/>
      </c>
      <c r="H276" s="71" t="str">
        <f>IFERROR(VLOOKUP(F276,設定!$C$11:$F$111,3,FALSE),"")</f>
        <v/>
      </c>
      <c r="I276" s="71" t="str">
        <f>IFERROR(VLOOKUP(F276,設定!$C$11:$F$111,4,FALSE),"")</f>
        <v/>
      </c>
      <c r="J276" s="122"/>
    </row>
    <row r="277" spans="2:10" s="3" customFormat="1" ht="24" customHeight="1" x14ac:dyDescent="0.2">
      <c r="B277" s="68"/>
      <c r="C277" s="69"/>
      <c r="D277" s="86"/>
      <c r="E277" s="116" t="str">
        <f>IFERROR(VLOOKUP(D277,'リスト '!$A$2:$B$15,2,FALSE),"")</f>
        <v/>
      </c>
      <c r="F277" s="70"/>
      <c r="G277" s="71" t="str">
        <f>IFERROR(VLOOKUP(F277,設定!$C$11:$F$111,2,FALSE),"")</f>
        <v/>
      </c>
      <c r="H277" s="71" t="str">
        <f>IFERROR(VLOOKUP(F277,設定!$C$11:$F$111,3,FALSE),"")</f>
        <v/>
      </c>
      <c r="I277" s="71" t="str">
        <f>IFERROR(VLOOKUP(F277,設定!$C$11:$F$111,4,FALSE),"")</f>
        <v/>
      </c>
      <c r="J277" s="122"/>
    </row>
    <row r="278" spans="2:10" s="3" customFormat="1" ht="24" customHeight="1" x14ac:dyDescent="0.2">
      <c r="B278" s="68"/>
      <c r="C278" s="69"/>
      <c r="D278" s="86"/>
      <c r="E278" s="116" t="str">
        <f>IFERROR(VLOOKUP(D278,'リスト '!$A$2:$B$15,2,FALSE),"")</f>
        <v/>
      </c>
      <c r="F278" s="70"/>
      <c r="G278" s="71" t="str">
        <f>IFERROR(VLOOKUP(F278,設定!$C$11:$F$111,2,FALSE),"")</f>
        <v/>
      </c>
      <c r="H278" s="71" t="str">
        <f>IFERROR(VLOOKUP(F278,設定!$C$11:$F$111,3,FALSE),"")</f>
        <v/>
      </c>
      <c r="I278" s="71" t="str">
        <f>IFERROR(VLOOKUP(F278,設定!$C$11:$F$111,4,FALSE),"")</f>
        <v/>
      </c>
      <c r="J278" s="122"/>
    </row>
    <row r="279" spans="2:10" s="3" customFormat="1" ht="24" customHeight="1" x14ac:dyDescent="0.2">
      <c r="B279" s="68"/>
      <c r="C279" s="69"/>
      <c r="D279" s="86"/>
      <c r="E279" s="116" t="str">
        <f>IFERROR(VLOOKUP(D279,'リスト '!$A$2:$B$15,2,FALSE),"")</f>
        <v/>
      </c>
      <c r="F279" s="70"/>
      <c r="G279" s="71" t="str">
        <f>IFERROR(VLOOKUP(F279,設定!$C$11:$F$111,2,FALSE),"")</f>
        <v/>
      </c>
      <c r="H279" s="71" t="str">
        <f>IFERROR(VLOOKUP(F279,設定!$C$11:$F$111,3,FALSE),"")</f>
        <v/>
      </c>
      <c r="I279" s="71" t="str">
        <f>IFERROR(VLOOKUP(F279,設定!$C$11:$F$111,4,FALSE),"")</f>
        <v/>
      </c>
      <c r="J279" s="122"/>
    </row>
    <row r="280" spans="2:10" s="3" customFormat="1" ht="24" customHeight="1" x14ac:dyDescent="0.2">
      <c r="B280" s="68"/>
      <c r="C280" s="69"/>
      <c r="D280" s="86"/>
      <c r="E280" s="116" t="str">
        <f>IFERROR(VLOOKUP(D280,'リスト '!$A$2:$B$15,2,FALSE),"")</f>
        <v/>
      </c>
      <c r="F280" s="70"/>
      <c r="G280" s="71" t="str">
        <f>IFERROR(VLOOKUP(F280,設定!$C$11:$F$111,2,FALSE),"")</f>
        <v/>
      </c>
      <c r="H280" s="71" t="str">
        <f>IFERROR(VLOOKUP(F280,設定!$C$11:$F$111,3,FALSE),"")</f>
        <v/>
      </c>
      <c r="I280" s="71" t="str">
        <f>IFERROR(VLOOKUP(F280,設定!$C$11:$F$111,4,FALSE),"")</f>
        <v/>
      </c>
      <c r="J280" s="122"/>
    </row>
    <row r="281" spans="2:10" s="3" customFormat="1" ht="24" customHeight="1" x14ac:dyDescent="0.2">
      <c r="B281" s="68"/>
      <c r="C281" s="69"/>
      <c r="D281" s="86"/>
      <c r="E281" s="116" t="str">
        <f>IFERROR(VLOOKUP(D281,'リスト '!$A$2:$B$15,2,FALSE),"")</f>
        <v/>
      </c>
      <c r="F281" s="70"/>
      <c r="G281" s="71" t="str">
        <f>IFERROR(VLOOKUP(F281,設定!$C$11:$F$111,2,FALSE),"")</f>
        <v/>
      </c>
      <c r="H281" s="71" t="str">
        <f>IFERROR(VLOOKUP(F281,設定!$C$11:$F$111,3,FALSE),"")</f>
        <v/>
      </c>
      <c r="I281" s="71" t="str">
        <f>IFERROR(VLOOKUP(F281,設定!$C$11:$F$111,4,FALSE),"")</f>
        <v/>
      </c>
      <c r="J281" s="122"/>
    </row>
    <row r="282" spans="2:10" s="3" customFormat="1" ht="24" customHeight="1" x14ac:dyDescent="0.2">
      <c r="B282" s="68"/>
      <c r="C282" s="69"/>
      <c r="D282" s="86"/>
      <c r="E282" s="116" t="str">
        <f>IFERROR(VLOOKUP(D282,'リスト '!$A$2:$B$15,2,FALSE),"")</f>
        <v/>
      </c>
      <c r="F282" s="70"/>
      <c r="G282" s="71" t="str">
        <f>IFERROR(VLOOKUP(F282,設定!$C$11:$F$111,2,FALSE),"")</f>
        <v/>
      </c>
      <c r="H282" s="71" t="str">
        <f>IFERROR(VLOOKUP(F282,設定!$C$11:$F$111,3,FALSE),"")</f>
        <v/>
      </c>
      <c r="I282" s="71" t="str">
        <f>IFERROR(VLOOKUP(F282,設定!$C$11:$F$111,4,FALSE),"")</f>
        <v/>
      </c>
      <c r="J282" s="122"/>
    </row>
    <row r="283" spans="2:10" s="3" customFormat="1" ht="24" customHeight="1" x14ac:dyDescent="0.2">
      <c r="B283" s="68"/>
      <c r="C283" s="69"/>
      <c r="D283" s="86"/>
      <c r="E283" s="116" t="str">
        <f>IFERROR(VLOOKUP(D283,'リスト '!$A$2:$B$15,2,FALSE),"")</f>
        <v/>
      </c>
      <c r="F283" s="70"/>
      <c r="G283" s="71" t="str">
        <f>IFERROR(VLOOKUP(F283,設定!$C$11:$F$111,2,FALSE),"")</f>
        <v/>
      </c>
      <c r="H283" s="71" t="str">
        <f>IFERROR(VLOOKUP(F283,設定!$C$11:$F$111,3,FALSE),"")</f>
        <v/>
      </c>
      <c r="I283" s="71" t="str">
        <f>IFERROR(VLOOKUP(F283,設定!$C$11:$F$111,4,FALSE),"")</f>
        <v/>
      </c>
      <c r="J283" s="122"/>
    </row>
    <row r="284" spans="2:10" s="3" customFormat="1" ht="24" customHeight="1" x14ac:dyDescent="0.2">
      <c r="B284" s="68"/>
      <c r="C284" s="69"/>
      <c r="D284" s="86"/>
      <c r="E284" s="116" t="str">
        <f>IFERROR(VLOOKUP(D284,'リスト '!$A$2:$B$15,2,FALSE),"")</f>
        <v/>
      </c>
      <c r="F284" s="70"/>
      <c r="G284" s="71" t="str">
        <f>IFERROR(VLOOKUP(F284,設定!$C$11:$F$111,2,FALSE),"")</f>
        <v/>
      </c>
      <c r="H284" s="71" t="str">
        <f>IFERROR(VLOOKUP(F284,設定!$C$11:$F$111,3,FALSE),"")</f>
        <v/>
      </c>
      <c r="I284" s="71" t="str">
        <f>IFERROR(VLOOKUP(F284,設定!$C$11:$F$111,4,FALSE),"")</f>
        <v/>
      </c>
      <c r="J284" s="122"/>
    </row>
    <row r="285" spans="2:10" s="3" customFormat="1" ht="24" customHeight="1" x14ac:dyDescent="0.2">
      <c r="B285" s="68"/>
      <c r="C285" s="69"/>
      <c r="D285" s="86"/>
      <c r="E285" s="116" t="str">
        <f>IFERROR(VLOOKUP(D285,'リスト '!$A$2:$B$15,2,FALSE),"")</f>
        <v/>
      </c>
      <c r="F285" s="70"/>
      <c r="G285" s="71" t="str">
        <f>IFERROR(VLOOKUP(F285,設定!$C$11:$F$111,2,FALSE),"")</f>
        <v/>
      </c>
      <c r="H285" s="71" t="str">
        <f>IFERROR(VLOOKUP(F285,設定!$C$11:$F$111,3,FALSE),"")</f>
        <v/>
      </c>
      <c r="I285" s="71" t="str">
        <f>IFERROR(VLOOKUP(F285,設定!$C$11:$F$111,4,FALSE),"")</f>
        <v/>
      </c>
      <c r="J285" s="122"/>
    </row>
    <row r="286" spans="2:10" s="3" customFormat="1" ht="24" customHeight="1" x14ac:dyDescent="0.2">
      <c r="B286" s="68"/>
      <c r="C286" s="69"/>
      <c r="D286" s="86"/>
      <c r="E286" s="116" t="str">
        <f>IFERROR(VLOOKUP(D286,'リスト '!$A$2:$B$15,2,FALSE),"")</f>
        <v/>
      </c>
      <c r="F286" s="70"/>
      <c r="G286" s="71" t="str">
        <f>IFERROR(VLOOKUP(F286,設定!$C$11:$F$111,2,FALSE),"")</f>
        <v/>
      </c>
      <c r="H286" s="71" t="str">
        <f>IFERROR(VLOOKUP(F286,設定!$C$11:$F$111,3,FALSE),"")</f>
        <v/>
      </c>
      <c r="I286" s="71" t="str">
        <f>IFERROR(VLOOKUP(F286,設定!$C$11:$F$111,4,FALSE),"")</f>
        <v/>
      </c>
      <c r="J286" s="122"/>
    </row>
    <row r="287" spans="2:10" s="3" customFormat="1" ht="24" customHeight="1" x14ac:dyDescent="0.2">
      <c r="B287" s="68"/>
      <c r="C287" s="69"/>
      <c r="D287" s="86"/>
      <c r="E287" s="116" t="str">
        <f>IFERROR(VLOOKUP(D287,'リスト '!$A$2:$B$15,2,FALSE),"")</f>
        <v/>
      </c>
      <c r="F287" s="70"/>
      <c r="G287" s="71" t="str">
        <f>IFERROR(VLOOKUP(F287,設定!$C$11:$F$111,2,FALSE),"")</f>
        <v/>
      </c>
      <c r="H287" s="71" t="str">
        <f>IFERROR(VLOOKUP(F287,設定!$C$11:$F$111,3,FALSE),"")</f>
        <v/>
      </c>
      <c r="I287" s="71" t="str">
        <f>IFERROR(VLOOKUP(F287,設定!$C$11:$F$111,4,FALSE),"")</f>
        <v/>
      </c>
      <c r="J287" s="122"/>
    </row>
    <row r="288" spans="2:10" s="3" customFormat="1" ht="24" customHeight="1" x14ac:dyDescent="0.2">
      <c r="B288" s="68"/>
      <c r="C288" s="69"/>
      <c r="D288" s="86"/>
      <c r="E288" s="116" t="str">
        <f>IFERROR(VLOOKUP(D288,'リスト '!$A$2:$B$15,2,FALSE),"")</f>
        <v/>
      </c>
      <c r="F288" s="70"/>
      <c r="G288" s="71" t="str">
        <f>IFERROR(VLOOKUP(F288,設定!$C$11:$F$111,2,FALSE),"")</f>
        <v/>
      </c>
      <c r="H288" s="71" t="str">
        <f>IFERROR(VLOOKUP(F288,設定!$C$11:$F$111,3,FALSE),"")</f>
        <v/>
      </c>
      <c r="I288" s="71" t="str">
        <f>IFERROR(VLOOKUP(F288,設定!$C$11:$F$111,4,FALSE),"")</f>
        <v/>
      </c>
      <c r="J288" s="122"/>
    </row>
    <row r="289" spans="2:10" s="3" customFormat="1" ht="24" customHeight="1" x14ac:dyDescent="0.2">
      <c r="B289" s="68"/>
      <c r="C289" s="69"/>
      <c r="D289" s="86"/>
      <c r="E289" s="116" t="str">
        <f>IFERROR(VLOOKUP(D289,'リスト '!$A$2:$B$15,2,FALSE),"")</f>
        <v/>
      </c>
      <c r="F289" s="70"/>
      <c r="G289" s="71" t="str">
        <f>IFERROR(VLOOKUP(F289,設定!$C$11:$F$111,2,FALSE),"")</f>
        <v/>
      </c>
      <c r="H289" s="71" t="str">
        <f>IFERROR(VLOOKUP(F289,設定!$C$11:$F$111,3,FALSE),"")</f>
        <v/>
      </c>
      <c r="I289" s="71" t="str">
        <f>IFERROR(VLOOKUP(F289,設定!$C$11:$F$111,4,FALSE),"")</f>
        <v/>
      </c>
      <c r="J289" s="122"/>
    </row>
    <row r="290" spans="2:10" s="3" customFormat="1" ht="24" customHeight="1" x14ac:dyDescent="0.2">
      <c r="B290" s="68"/>
      <c r="C290" s="69"/>
      <c r="D290" s="86"/>
      <c r="E290" s="116" t="str">
        <f>IFERROR(VLOOKUP(D290,'リスト '!$A$2:$B$15,2,FALSE),"")</f>
        <v/>
      </c>
      <c r="F290" s="70"/>
      <c r="G290" s="71" t="str">
        <f>IFERROR(VLOOKUP(F290,設定!$C$11:$F$111,2,FALSE),"")</f>
        <v/>
      </c>
      <c r="H290" s="71" t="str">
        <f>IFERROR(VLOOKUP(F290,設定!$C$11:$F$111,3,FALSE),"")</f>
        <v/>
      </c>
      <c r="I290" s="71" t="str">
        <f>IFERROR(VLOOKUP(F290,設定!$C$11:$F$111,4,FALSE),"")</f>
        <v/>
      </c>
      <c r="J290" s="122"/>
    </row>
    <row r="291" spans="2:10" s="3" customFormat="1" ht="24" customHeight="1" x14ac:dyDescent="0.2">
      <c r="B291" s="68"/>
      <c r="C291" s="69"/>
      <c r="D291" s="86"/>
      <c r="E291" s="116" t="str">
        <f>IFERROR(VLOOKUP(D291,'リスト '!$A$2:$B$15,2,FALSE),"")</f>
        <v/>
      </c>
      <c r="F291" s="70"/>
      <c r="G291" s="71" t="str">
        <f>IFERROR(VLOOKUP(F291,設定!$C$11:$F$111,2,FALSE),"")</f>
        <v/>
      </c>
      <c r="H291" s="71" t="str">
        <f>IFERROR(VLOOKUP(F291,設定!$C$11:$F$111,3,FALSE),"")</f>
        <v/>
      </c>
      <c r="I291" s="71" t="str">
        <f>IFERROR(VLOOKUP(F291,設定!$C$11:$F$111,4,FALSE),"")</f>
        <v/>
      </c>
      <c r="J291" s="122"/>
    </row>
    <row r="292" spans="2:10" s="3" customFormat="1" ht="24" customHeight="1" x14ac:dyDescent="0.2">
      <c r="B292" s="68"/>
      <c r="C292" s="69"/>
      <c r="D292" s="86"/>
      <c r="E292" s="116" t="str">
        <f>IFERROR(VLOOKUP(D292,'リスト '!$A$2:$B$15,2,FALSE),"")</f>
        <v/>
      </c>
      <c r="F292" s="70"/>
      <c r="G292" s="71" t="str">
        <f>IFERROR(VLOOKUP(F292,設定!$C$11:$F$111,2,FALSE),"")</f>
        <v/>
      </c>
      <c r="H292" s="71" t="str">
        <f>IFERROR(VLOOKUP(F292,設定!$C$11:$F$111,3,FALSE),"")</f>
        <v/>
      </c>
      <c r="I292" s="71" t="str">
        <f>IFERROR(VLOOKUP(F292,設定!$C$11:$F$111,4,FALSE),"")</f>
        <v/>
      </c>
      <c r="J292" s="122"/>
    </row>
    <row r="293" spans="2:10" s="3" customFormat="1" ht="24" customHeight="1" x14ac:dyDescent="0.2">
      <c r="B293" s="68"/>
      <c r="C293" s="69"/>
      <c r="D293" s="86"/>
      <c r="E293" s="116" t="str">
        <f>IFERROR(VLOOKUP(D293,'リスト '!$A$2:$B$15,2,FALSE),"")</f>
        <v/>
      </c>
      <c r="F293" s="70"/>
      <c r="G293" s="71" t="str">
        <f>IFERROR(VLOOKUP(F293,設定!$C$11:$F$111,2,FALSE),"")</f>
        <v/>
      </c>
      <c r="H293" s="71" t="str">
        <f>IFERROR(VLOOKUP(F293,設定!$C$11:$F$111,3,FALSE),"")</f>
        <v/>
      </c>
      <c r="I293" s="71" t="str">
        <f>IFERROR(VLOOKUP(F293,設定!$C$11:$F$111,4,FALSE),"")</f>
        <v/>
      </c>
      <c r="J293" s="122"/>
    </row>
    <row r="294" spans="2:10" s="3" customFormat="1" ht="24" customHeight="1" x14ac:dyDescent="0.2">
      <c r="B294" s="68"/>
      <c r="C294" s="69"/>
      <c r="D294" s="86"/>
      <c r="E294" s="116" t="str">
        <f>IFERROR(VLOOKUP(D294,'リスト '!$A$2:$B$15,2,FALSE),"")</f>
        <v/>
      </c>
      <c r="F294" s="70"/>
      <c r="G294" s="71" t="str">
        <f>IFERROR(VLOOKUP(F294,設定!$C$11:$F$111,2,FALSE),"")</f>
        <v/>
      </c>
      <c r="H294" s="71" t="str">
        <f>IFERROR(VLOOKUP(F294,設定!$C$11:$F$111,3,FALSE),"")</f>
        <v/>
      </c>
      <c r="I294" s="71" t="str">
        <f>IFERROR(VLOOKUP(F294,設定!$C$11:$F$111,4,FALSE),"")</f>
        <v/>
      </c>
      <c r="J294" s="122"/>
    </row>
    <row r="295" spans="2:10" s="3" customFormat="1" ht="24" customHeight="1" x14ac:dyDescent="0.2">
      <c r="B295" s="68"/>
      <c r="C295" s="69"/>
      <c r="D295" s="86"/>
      <c r="E295" s="116" t="str">
        <f>IFERROR(VLOOKUP(D295,'リスト '!$A$2:$B$15,2,FALSE),"")</f>
        <v/>
      </c>
      <c r="F295" s="70"/>
      <c r="G295" s="71" t="str">
        <f>IFERROR(VLOOKUP(F295,設定!$C$11:$F$111,2,FALSE),"")</f>
        <v/>
      </c>
      <c r="H295" s="71" t="str">
        <f>IFERROR(VLOOKUP(F295,設定!$C$11:$F$111,3,FALSE),"")</f>
        <v/>
      </c>
      <c r="I295" s="71" t="str">
        <f>IFERROR(VLOOKUP(F295,設定!$C$11:$F$111,4,FALSE),"")</f>
        <v/>
      </c>
      <c r="J295" s="122"/>
    </row>
    <row r="296" spans="2:10" s="3" customFormat="1" ht="24" customHeight="1" x14ac:dyDescent="0.2">
      <c r="B296" s="68"/>
      <c r="C296" s="69"/>
      <c r="D296" s="86"/>
      <c r="E296" s="116" t="str">
        <f>IFERROR(VLOOKUP(D296,'リスト '!$A$2:$B$15,2,FALSE),"")</f>
        <v/>
      </c>
      <c r="F296" s="70"/>
      <c r="G296" s="71" t="str">
        <f>IFERROR(VLOOKUP(F296,設定!$C$11:$F$111,2,FALSE),"")</f>
        <v/>
      </c>
      <c r="H296" s="71" t="str">
        <f>IFERROR(VLOOKUP(F296,設定!$C$11:$F$111,3,FALSE),"")</f>
        <v/>
      </c>
      <c r="I296" s="71" t="str">
        <f>IFERROR(VLOOKUP(F296,設定!$C$11:$F$111,4,FALSE),"")</f>
        <v/>
      </c>
      <c r="J296" s="122"/>
    </row>
    <row r="297" spans="2:10" s="3" customFormat="1" ht="24" customHeight="1" x14ac:dyDescent="0.2">
      <c r="B297" s="68"/>
      <c r="C297" s="69"/>
      <c r="D297" s="86"/>
      <c r="E297" s="116" t="str">
        <f>IFERROR(VLOOKUP(D297,'リスト '!$A$2:$B$15,2,FALSE),"")</f>
        <v/>
      </c>
      <c r="F297" s="70"/>
      <c r="G297" s="71" t="str">
        <f>IFERROR(VLOOKUP(F297,設定!$C$11:$F$111,2,FALSE),"")</f>
        <v/>
      </c>
      <c r="H297" s="71" t="str">
        <f>IFERROR(VLOOKUP(F297,設定!$C$11:$F$111,3,FALSE),"")</f>
        <v/>
      </c>
      <c r="I297" s="71" t="str">
        <f>IFERROR(VLOOKUP(F297,設定!$C$11:$F$111,4,FALSE),"")</f>
        <v/>
      </c>
      <c r="J297" s="122"/>
    </row>
    <row r="298" spans="2:10" s="3" customFormat="1" ht="24" customHeight="1" x14ac:dyDescent="0.2">
      <c r="B298" s="68"/>
      <c r="C298" s="69"/>
      <c r="D298" s="86"/>
      <c r="E298" s="116" t="str">
        <f>IFERROR(VLOOKUP(D298,'リスト '!$A$2:$B$15,2,FALSE),"")</f>
        <v/>
      </c>
      <c r="F298" s="70"/>
      <c r="G298" s="71" t="str">
        <f>IFERROR(VLOOKUP(F298,設定!$C$11:$F$111,2,FALSE),"")</f>
        <v/>
      </c>
      <c r="H298" s="71" t="str">
        <f>IFERROR(VLOOKUP(F298,設定!$C$11:$F$111,3,FALSE),"")</f>
        <v/>
      </c>
      <c r="I298" s="71" t="str">
        <f>IFERROR(VLOOKUP(F298,設定!$C$11:$F$111,4,FALSE),"")</f>
        <v/>
      </c>
      <c r="J298" s="122"/>
    </row>
    <row r="299" spans="2:10" s="3" customFormat="1" ht="24" customHeight="1" x14ac:dyDescent="0.2">
      <c r="B299" s="68"/>
      <c r="C299" s="69"/>
      <c r="D299" s="86"/>
      <c r="E299" s="116" t="str">
        <f>IFERROR(VLOOKUP(D299,'リスト '!$A$2:$B$15,2,FALSE),"")</f>
        <v/>
      </c>
      <c r="F299" s="70"/>
      <c r="G299" s="71" t="str">
        <f>IFERROR(VLOOKUP(F299,設定!$C$11:$F$111,2,FALSE),"")</f>
        <v/>
      </c>
      <c r="H299" s="71" t="str">
        <f>IFERROR(VLOOKUP(F299,設定!$C$11:$F$111,3,FALSE),"")</f>
        <v/>
      </c>
      <c r="I299" s="71" t="str">
        <f>IFERROR(VLOOKUP(F299,設定!$C$11:$F$111,4,FALSE),"")</f>
        <v/>
      </c>
      <c r="J299" s="122"/>
    </row>
    <row r="300" spans="2:10" s="3" customFormat="1" ht="24" customHeight="1" x14ac:dyDescent="0.2">
      <c r="B300" s="68"/>
      <c r="C300" s="69"/>
      <c r="D300" s="86"/>
      <c r="E300" s="116" t="str">
        <f>IFERROR(VLOOKUP(D300,'リスト '!$A$2:$B$15,2,FALSE),"")</f>
        <v/>
      </c>
      <c r="F300" s="70"/>
      <c r="G300" s="71" t="str">
        <f>IFERROR(VLOOKUP(F300,設定!$C$11:$F$111,2,FALSE),"")</f>
        <v/>
      </c>
      <c r="H300" s="71" t="str">
        <f>IFERROR(VLOOKUP(F300,設定!$C$11:$F$111,3,FALSE),"")</f>
        <v/>
      </c>
      <c r="I300" s="71" t="str">
        <f>IFERROR(VLOOKUP(F300,設定!$C$11:$F$111,4,FALSE),"")</f>
        <v/>
      </c>
      <c r="J300" s="122"/>
    </row>
    <row r="301" spans="2:10" s="3" customFormat="1" ht="24" customHeight="1" x14ac:dyDescent="0.2">
      <c r="B301" s="68"/>
      <c r="C301" s="69"/>
      <c r="D301" s="86"/>
      <c r="E301" s="116" t="str">
        <f>IFERROR(VLOOKUP(D301,'リスト '!$A$2:$B$15,2,FALSE),"")</f>
        <v/>
      </c>
      <c r="F301" s="70"/>
      <c r="G301" s="71" t="str">
        <f>IFERROR(VLOOKUP(F301,設定!$C$11:$F$111,2,FALSE),"")</f>
        <v/>
      </c>
      <c r="H301" s="71" t="str">
        <f>IFERROR(VLOOKUP(F301,設定!$C$11:$F$111,3,FALSE),"")</f>
        <v/>
      </c>
      <c r="I301" s="71" t="str">
        <f>IFERROR(VLOOKUP(F301,設定!$C$11:$F$111,4,FALSE),"")</f>
        <v/>
      </c>
      <c r="J301" s="122"/>
    </row>
    <row r="302" spans="2:10" s="3" customFormat="1" ht="24" customHeight="1" x14ac:dyDescent="0.2">
      <c r="B302" s="68"/>
      <c r="C302" s="69"/>
      <c r="D302" s="86"/>
      <c r="E302" s="116" t="str">
        <f>IFERROR(VLOOKUP(D302,'リスト '!$A$2:$B$15,2,FALSE),"")</f>
        <v/>
      </c>
      <c r="F302" s="70"/>
      <c r="G302" s="71" t="str">
        <f>IFERROR(VLOOKUP(F302,設定!$C$11:$F$111,2,FALSE),"")</f>
        <v/>
      </c>
      <c r="H302" s="71" t="str">
        <f>IFERROR(VLOOKUP(F302,設定!$C$11:$F$111,3,FALSE),"")</f>
        <v/>
      </c>
      <c r="I302" s="71" t="str">
        <f>IFERROR(VLOOKUP(F302,設定!$C$11:$F$111,4,FALSE),"")</f>
        <v/>
      </c>
      <c r="J302" s="122"/>
    </row>
    <row r="303" spans="2:10" s="3" customFormat="1" ht="24" customHeight="1" x14ac:dyDescent="0.2">
      <c r="B303" s="68"/>
      <c r="C303" s="69"/>
      <c r="D303" s="86"/>
      <c r="E303" s="116" t="str">
        <f>IFERROR(VLOOKUP(D303,'リスト '!$A$2:$B$15,2,FALSE),"")</f>
        <v/>
      </c>
      <c r="F303" s="70"/>
      <c r="G303" s="71" t="str">
        <f>IFERROR(VLOOKUP(F303,設定!$C$11:$F$111,2,FALSE),"")</f>
        <v/>
      </c>
      <c r="H303" s="71" t="str">
        <f>IFERROR(VLOOKUP(F303,設定!$C$11:$F$111,3,FALSE),"")</f>
        <v/>
      </c>
      <c r="I303" s="71" t="str">
        <f>IFERROR(VLOOKUP(F303,設定!$C$11:$F$111,4,FALSE),"")</f>
        <v/>
      </c>
      <c r="J303" s="122"/>
    </row>
    <row r="304" spans="2:10" s="3" customFormat="1" ht="24" customHeight="1" x14ac:dyDescent="0.2">
      <c r="B304" s="68"/>
      <c r="C304" s="69"/>
      <c r="D304" s="86"/>
      <c r="E304" s="116" t="str">
        <f>IFERROR(VLOOKUP(D304,'リスト '!$A$2:$B$15,2,FALSE),"")</f>
        <v/>
      </c>
      <c r="F304" s="70"/>
      <c r="G304" s="71" t="str">
        <f>IFERROR(VLOOKUP(F304,設定!$C$11:$F$111,2,FALSE),"")</f>
        <v/>
      </c>
      <c r="H304" s="71" t="str">
        <f>IFERROR(VLOOKUP(F304,設定!$C$11:$F$111,3,FALSE),"")</f>
        <v/>
      </c>
      <c r="I304" s="71" t="str">
        <f>IFERROR(VLOOKUP(F304,設定!$C$11:$F$111,4,FALSE),"")</f>
        <v/>
      </c>
      <c r="J304" s="122"/>
    </row>
    <row r="305" spans="2:10" s="3" customFormat="1" ht="24" customHeight="1" x14ac:dyDescent="0.2">
      <c r="B305" s="68"/>
      <c r="C305" s="69"/>
      <c r="D305" s="86"/>
      <c r="E305" s="116" t="str">
        <f>IFERROR(VLOOKUP(D305,'リスト '!$A$2:$B$15,2,FALSE),"")</f>
        <v/>
      </c>
      <c r="F305" s="70"/>
      <c r="G305" s="71" t="str">
        <f>IFERROR(VLOOKUP(F305,設定!$C$11:$F$111,2,FALSE),"")</f>
        <v/>
      </c>
      <c r="H305" s="71" t="str">
        <f>IFERROR(VLOOKUP(F305,設定!$C$11:$F$111,3,FALSE),"")</f>
        <v/>
      </c>
      <c r="I305" s="71" t="str">
        <f>IFERROR(VLOOKUP(F305,設定!$C$11:$F$111,4,FALSE),"")</f>
        <v/>
      </c>
      <c r="J305" s="122"/>
    </row>
    <row r="306" spans="2:10" s="3" customFormat="1" ht="24" customHeight="1" x14ac:dyDescent="0.2">
      <c r="B306" s="68"/>
      <c r="C306" s="69"/>
      <c r="D306" s="86"/>
      <c r="E306" s="116" t="str">
        <f>IFERROR(VLOOKUP(D306,'リスト '!$A$2:$B$15,2,FALSE),"")</f>
        <v/>
      </c>
      <c r="F306" s="70"/>
      <c r="G306" s="71" t="str">
        <f>IFERROR(VLOOKUP(F306,設定!$C$11:$F$111,2,FALSE),"")</f>
        <v/>
      </c>
      <c r="H306" s="71" t="str">
        <f>IFERROR(VLOOKUP(F306,設定!$C$11:$F$111,3,FALSE),"")</f>
        <v/>
      </c>
      <c r="I306" s="71" t="str">
        <f>IFERROR(VLOOKUP(F306,設定!$C$11:$F$111,4,FALSE),"")</f>
        <v/>
      </c>
      <c r="J306" s="122"/>
    </row>
    <row r="307" spans="2:10" s="3" customFormat="1" ht="24" customHeight="1" x14ac:dyDescent="0.2">
      <c r="B307" s="68"/>
      <c r="C307" s="69"/>
      <c r="D307" s="86"/>
      <c r="E307" s="116" t="str">
        <f>IFERROR(VLOOKUP(D307,'リスト '!$A$2:$B$15,2,FALSE),"")</f>
        <v/>
      </c>
      <c r="F307" s="70"/>
      <c r="G307" s="71" t="str">
        <f>IFERROR(VLOOKUP(F307,設定!$C$11:$F$111,2,FALSE),"")</f>
        <v/>
      </c>
      <c r="H307" s="71" t="str">
        <f>IFERROR(VLOOKUP(F307,設定!$C$11:$F$111,3,FALSE),"")</f>
        <v/>
      </c>
      <c r="I307" s="71" t="str">
        <f>IFERROR(VLOOKUP(F307,設定!$C$11:$F$111,4,FALSE),"")</f>
        <v/>
      </c>
      <c r="J307" s="122"/>
    </row>
    <row r="308" spans="2:10" s="3" customFormat="1" ht="24" customHeight="1" x14ac:dyDescent="0.2">
      <c r="B308" s="68"/>
      <c r="C308" s="69"/>
      <c r="D308" s="86"/>
      <c r="E308" s="116" t="str">
        <f>IFERROR(VLOOKUP(D308,'リスト '!$A$2:$B$15,2,FALSE),"")</f>
        <v/>
      </c>
      <c r="F308" s="70"/>
      <c r="G308" s="71" t="str">
        <f>IFERROR(VLOOKUP(F308,設定!$C$11:$F$111,2,FALSE),"")</f>
        <v/>
      </c>
      <c r="H308" s="71" t="str">
        <f>IFERROR(VLOOKUP(F308,設定!$C$11:$F$111,3,FALSE),"")</f>
        <v/>
      </c>
      <c r="I308" s="71" t="str">
        <f>IFERROR(VLOOKUP(F308,設定!$C$11:$F$111,4,FALSE),"")</f>
        <v/>
      </c>
      <c r="J308" s="122"/>
    </row>
    <row r="309" spans="2:10" s="3" customFormat="1" ht="24" customHeight="1" x14ac:dyDescent="0.2">
      <c r="B309" s="68"/>
      <c r="C309" s="69"/>
      <c r="D309" s="86"/>
      <c r="E309" s="116" t="str">
        <f>IFERROR(VLOOKUP(D309,'リスト '!$A$2:$B$15,2,FALSE),"")</f>
        <v/>
      </c>
      <c r="F309" s="70"/>
      <c r="G309" s="71" t="str">
        <f>IFERROR(VLOOKUP(F309,設定!$C$11:$F$111,2,FALSE),"")</f>
        <v/>
      </c>
      <c r="H309" s="71" t="str">
        <f>IFERROR(VLOOKUP(F309,設定!$C$11:$F$111,3,FALSE),"")</f>
        <v/>
      </c>
      <c r="I309" s="71" t="str">
        <f>IFERROR(VLOOKUP(F309,設定!$C$11:$F$111,4,FALSE),"")</f>
        <v/>
      </c>
      <c r="J309" s="122"/>
    </row>
    <row r="310" spans="2:10" s="3" customFormat="1" ht="24" customHeight="1" x14ac:dyDescent="0.2">
      <c r="B310" s="68"/>
      <c r="C310" s="69"/>
      <c r="D310" s="86"/>
      <c r="E310" s="116" t="str">
        <f>IFERROR(VLOOKUP(D310,'リスト '!$A$2:$B$15,2,FALSE),"")</f>
        <v/>
      </c>
      <c r="F310" s="70"/>
      <c r="G310" s="71" t="str">
        <f>IFERROR(VLOOKUP(F310,設定!$C$11:$F$111,2,FALSE),"")</f>
        <v/>
      </c>
      <c r="H310" s="71" t="str">
        <f>IFERROR(VLOOKUP(F310,設定!$C$11:$F$111,3,FALSE),"")</f>
        <v/>
      </c>
      <c r="I310" s="71" t="str">
        <f>IFERROR(VLOOKUP(F310,設定!$C$11:$F$111,4,FALSE),"")</f>
        <v/>
      </c>
      <c r="J310" s="122"/>
    </row>
    <row r="311" spans="2:10" s="3" customFormat="1" ht="24" customHeight="1" x14ac:dyDescent="0.2">
      <c r="B311" s="68"/>
      <c r="C311" s="69"/>
      <c r="D311" s="86"/>
      <c r="E311" s="116" t="str">
        <f>IFERROR(VLOOKUP(D311,'リスト '!$A$2:$B$15,2,FALSE),"")</f>
        <v/>
      </c>
      <c r="F311" s="70"/>
      <c r="G311" s="71" t="str">
        <f>IFERROR(VLOOKUP(F311,設定!$C$11:$F$111,2,FALSE),"")</f>
        <v/>
      </c>
      <c r="H311" s="71" t="str">
        <f>IFERROR(VLOOKUP(F311,設定!$C$11:$F$111,3,FALSE),"")</f>
        <v/>
      </c>
      <c r="I311" s="71" t="str">
        <f>IFERROR(VLOOKUP(F311,設定!$C$11:$F$111,4,FALSE),"")</f>
        <v/>
      </c>
      <c r="J311" s="122"/>
    </row>
    <row r="312" spans="2:10" s="3" customFormat="1" ht="24" customHeight="1" x14ac:dyDescent="0.2">
      <c r="B312" s="68"/>
      <c r="C312" s="69"/>
      <c r="D312" s="86"/>
      <c r="E312" s="116" t="str">
        <f>IFERROR(VLOOKUP(D312,'リスト '!$A$2:$B$15,2,FALSE),"")</f>
        <v/>
      </c>
      <c r="F312" s="70"/>
      <c r="G312" s="71" t="str">
        <f>IFERROR(VLOOKUP(F312,設定!$C$11:$F$111,2,FALSE),"")</f>
        <v/>
      </c>
      <c r="H312" s="71" t="str">
        <f>IFERROR(VLOOKUP(F312,設定!$C$11:$F$111,3,FALSE),"")</f>
        <v/>
      </c>
      <c r="I312" s="71" t="str">
        <f>IFERROR(VLOOKUP(F312,設定!$C$11:$F$111,4,FALSE),"")</f>
        <v/>
      </c>
      <c r="J312" s="122"/>
    </row>
    <row r="313" spans="2:10" s="3" customFormat="1" ht="24" customHeight="1" x14ac:dyDescent="0.2">
      <c r="B313" s="68"/>
      <c r="C313" s="69"/>
      <c r="D313" s="86"/>
      <c r="E313" s="116" t="str">
        <f>IFERROR(VLOOKUP(D313,'リスト '!$A$2:$B$15,2,FALSE),"")</f>
        <v/>
      </c>
      <c r="F313" s="70"/>
      <c r="G313" s="71" t="str">
        <f>IFERROR(VLOOKUP(F313,設定!$C$11:$F$111,2,FALSE),"")</f>
        <v/>
      </c>
      <c r="H313" s="71" t="str">
        <f>IFERROR(VLOOKUP(F313,設定!$C$11:$F$111,3,FALSE),"")</f>
        <v/>
      </c>
      <c r="I313" s="71" t="str">
        <f>IFERROR(VLOOKUP(F313,設定!$C$11:$F$111,4,FALSE),"")</f>
        <v/>
      </c>
      <c r="J313" s="122"/>
    </row>
    <row r="314" spans="2:10" s="3" customFormat="1" ht="24" customHeight="1" x14ac:dyDescent="0.2">
      <c r="B314" s="68"/>
      <c r="C314" s="69"/>
      <c r="D314" s="86"/>
      <c r="E314" s="116" t="str">
        <f>IFERROR(VLOOKUP(D314,'リスト '!$A$2:$B$15,2,FALSE),"")</f>
        <v/>
      </c>
      <c r="F314" s="70"/>
      <c r="G314" s="71" t="str">
        <f>IFERROR(VLOOKUP(F314,設定!$C$11:$F$111,2,FALSE),"")</f>
        <v/>
      </c>
      <c r="H314" s="71" t="str">
        <f>IFERROR(VLOOKUP(F314,設定!$C$11:$F$111,3,FALSE),"")</f>
        <v/>
      </c>
      <c r="I314" s="71" t="str">
        <f>IFERROR(VLOOKUP(F314,設定!$C$11:$F$111,4,FALSE),"")</f>
        <v/>
      </c>
      <c r="J314" s="122"/>
    </row>
    <row r="315" spans="2:10" s="3" customFormat="1" ht="24" customHeight="1" x14ac:dyDescent="0.2">
      <c r="B315" s="68"/>
      <c r="C315" s="69"/>
      <c r="D315" s="86"/>
      <c r="E315" s="116" t="str">
        <f>IFERROR(VLOOKUP(D315,'リスト '!$A$2:$B$15,2,FALSE),"")</f>
        <v/>
      </c>
      <c r="F315" s="70"/>
      <c r="G315" s="71" t="str">
        <f>IFERROR(VLOOKUP(F315,設定!$C$11:$F$111,2,FALSE),"")</f>
        <v/>
      </c>
      <c r="H315" s="71" t="str">
        <f>IFERROR(VLOOKUP(F315,設定!$C$11:$F$111,3,FALSE),"")</f>
        <v/>
      </c>
      <c r="I315" s="71" t="str">
        <f>IFERROR(VLOOKUP(F315,設定!$C$11:$F$111,4,FALSE),"")</f>
        <v/>
      </c>
      <c r="J315" s="122"/>
    </row>
    <row r="316" spans="2:10" s="3" customFormat="1" ht="24" customHeight="1" x14ac:dyDescent="0.2">
      <c r="B316" s="68"/>
      <c r="C316" s="69"/>
      <c r="D316" s="86"/>
      <c r="E316" s="116" t="str">
        <f>IFERROR(VLOOKUP(D316,'リスト '!$A$2:$B$15,2,FALSE),"")</f>
        <v/>
      </c>
      <c r="F316" s="70"/>
      <c r="G316" s="71" t="str">
        <f>IFERROR(VLOOKUP(F316,設定!$C$11:$F$111,2,FALSE),"")</f>
        <v/>
      </c>
      <c r="H316" s="71" t="str">
        <f>IFERROR(VLOOKUP(F316,設定!$C$11:$F$111,3,FALSE),"")</f>
        <v/>
      </c>
      <c r="I316" s="71" t="str">
        <f>IFERROR(VLOOKUP(F316,設定!$C$11:$F$111,4,FALSE),"")</f>
        <v/>
      </c>
      <c r="J316" s="122"/>
    </row>
    <row r="317" spans="2:10" s="3" customFormat="1" ht="24" customHeight="1" x14ac:dyDescent="0.2">
      <c r="B317" s="68"/>
      <c r="C317" s="69"/>
      <c r="D317" s="86"/>
      <c r="E317" s="116" t="str">
        <f>IFERROR(VLOOKUP(D317,'リスト '!$A$2:$B$15,2,FALSE),"")</f>
        <v/>
      </c>
      <c r="F317" s="70"/>
      <c r="G317" s="71" t="str">
        <f>IFERROR(VLOOKUP(F317,設定!$C$11:$F$111,2,FALSE),"")</f>
        <v/>
      </c>
      <c r="H317" s="71" t="str">
        <f>IFERROR(VLOOKUP(F317,設定!$C$11:$F$111,3,FALSE),"")</f>
        <v/>
      </c>
      <c r="I317" s="71" t="str">
        <f>IFERROR(VLOOKUP(F317,設定!$C$11:$F$111,4,FALSE),"")</f>
        <v/>
      </c>
      <c r="J317" s="122"/>
    </row>
    <row r="318" spans="2:10" s="3" customFormat="1" ht="24" customHeight="1" x14ac:dyDescent="0.2">
      <c r="B318" s="68"/>
      <c r="C318" s="69"/>
      <c r="D318" s="86"/>
      <c r="E318" s="116" t="str">
        <f>IFERROR(VLOOKUP(D318,'リスト '!$A$2:$B$15,2,FALSE),"")</f>
        <v/>
      </c>
      <c r="F318" s="70"/>
      <c r="G318" s="71" t="str">
        <f>IFERROR(VLOOKUP(F318,設定!$C$11:$F$111,2,FALSE),"")</f>
        <v/>
      </c>
      <c r="H318" s="71" t="str">
        <f>IFERROR(VLOOKUP(F318,設定!$C$11:$F$111,3,FALSE),"")</f>
        <v/>
      </c>
      <c r="I318" s="71" t="str">
        <f>IFERROR(VLOOKUP(F318,設定!$C$11:$F$111,4,FALSE),"")</f>
        <v/>
      </c>
      <c r="J318" s="122"/>
    </row>
    <row r="319" spans="2:10" s="3" customFormat="1" ht="24" customHeight="1" x14ac:dyDescent="0.2">
      <c r="B319" s="68"/>
      <c r="C319" s="69"/>
      <c r="D319" s="86"/>
      <c r="E319" s="116" t="str">
        <f>IFERROR(VLOOKUP(D319,'リスト '!$A$2:$B$15,2,FALSE),"")</f>
        <v/>
      </c>
      <c r="F319" s="70"/>
      <c r="G319" s="71" t="str">
        <f>IFERROR(VLOOKUP(F319,設定!$C$11:$F$111,2,FALSE),"")</f>
        <v/>
      </c>
      <c r="H319" s="71" t="str">
        <f>IFERROR(VLOOKUP(F319,設定!$C$11:$F$111,3,FALSE),"")</f>
        <v/>
      </c>
      <c r="I319" s="71" t="str">
        <f>IFERROR(VLOOKUP(F319,設定!$C$11:$F$111,4,FALSE),"")</f>
        <v/>
      </c>
      <c r="J319" s="122"/>
    </row>
    <row r="320" spans="2:10" s="3" customFormat="1" ht="24" customHeight="1" x14ac:dyDescent="0.2">
      <c r="B320" s="68"/>
      <c r="C320" s="69"/>
      <c r="D320" s="86"/>
      <c r="E320" s="116" t="str">
        <f>IFERROR(VLOOKUP(D320,'リスト '!$A$2:$B$15,2,FALSE),"")</f>
        <v/>
      </c>
      <c r="F320" s="70"/>
      <c r="G320" s="71" t="str">
        <f>IFERROR(VLOOKUP(F320,設定!$C$11:$F$111,2,FALSE),"")</f>
        <v/>
      </c>
      <c r="H320" s="71" t="str">
        <f>IFERROR(VLOOKUP(F320,設定!$C$11:$F$111,3,FALSE),"")</f>
        <v/>
      </c>
      <c r="I320" s="71" t="str">
        <f>IFERROR(VLOOKUP(F320,設定!$C$11:$F$111,4,FALSE),"")</f>
        <v/>
      </c>
      <c r="J320" s="122"/>
    </row>
    <row r="321" spans="2:10" s="3" customFormat="1" ht="24" customHeight="1" x14ac:dyDescent="0.2">
      <c r="B321" s="68"/>
      <c r="C321" s="69"/>
      <c r="D321" s="86"/>
      <c r="E321" s="116" t="str">
        <f>IFERROR(VLOOKUP(D321,'リスト '!$A$2:$B$15,2,FALSE),"")</f>
        <v/>
      </c>
      <c r="F321" s="70"/>
      <c r="G321" s="71" t="str">
        <f>IFERROR(VLOOKUP(F321,設定!$C$11:$F$111,2,FALSE),"")</f>
        <v/>
      </c>
      <c r="H321" s="71" t="str">
        <f>IFERROR(VLOOKUP(F321,設定!$C$11:$F$111,3,FALSE),"")</f>
        <v/>
      </c>
      <c r="I321" s="71" t="str">
        <f>IFERROR(VLOOKUP(F321,設定!$C$11:$F$111,4,FALSE),"")</f>
        <v/>
      </c>
      <c r="J321" s="122"/>
    </row>
    <row r="322" spans="2:10" s="3" customFormat="1" ht="24" customHeight="1" x14ac:dyDescent="0.2">
      <c r="B322" s="68"/>
      <c r="C322" s="69"/>
      <c r="D322" s="86"/>
      <c r="E322" s="116" t="str">
        <f>IFERROR(VLOOKUP(D322,'リスト '!$A$2:$B$15,2,FALSE),"")</f>
        <v/>
      </c>
      <c r="F322" s="70"/>
      <c r="G322" s="71" t="str">
        <f>IFERROR(VLOOKUP(F322,設定!$C$11:$F$111,2,FALSE),"")</f>
        <v/>
      </c>
      <c r="H322" s="71" t="str">
        <f>IFERROR(VLOOKUP(F322,設定!$C$11:$F$111,3,FALSE),"")</f>
        <v/>
      </c>
      <c r="I322" s="71" t="str">
        <f>IFERROR(VLOOKUP(F322,設定!$C$11:$F$111,4,FALSE),"")</f>
        <v/>
      </c>
      <c r="J322" s="122"/>
    </row>
    <row r="323" spans="2:10" s="3" customFormat="1" ht="24" customHeight="1" x14ac:dyDescent="0.2">
      <c r="B323" s="68"/>
      <c r="C323" s="69"/>
      <c r="D323" s="86"/>
      <c r="E323" s="116" t="str">
        <f>IFERROR(VLOOKUP(D323,'リスト '!$A$2:$B$15,2,FALSE),"")</f>
        <v/>
      </c>
      <c r="F323" s="70"/>
      <c r="G323" s="71" t="str">
        <f>IFERROR(VLOOKUP(F323,設定!$C$11:$F$111,2,FALSE),"")</f>
        <v/>
      </c>
      <c r="H323" s="71" t="str">
        <f>IFERROR(VLOOKUP(F323,設定!$C$11:$F$111,3,FALSE),"")</f>
        <v/>
      </c>
      <c r="I323" s="71" t="str">
        <f>IFERROR(VLOOKUP(F323,設定!$C$11:$F$111,4,FALSE),"")</f>
        <v/>
      </c>
      <c r="J323" s="122"/>
    </row>
    <row r="324" spans="2:10" s="3" customFormat="1" ht="24" customHeight="1" x14ac:dyDescent="0.2">
      <c r="B324" s="68"/>
      <c r="C324" s="69"/>
      <c r="D324" s="86"/>
      <c r="E324" s="116" t="str">
        <f>IFERROR(VLOOKUP(D324,'リスト '!$A$2:$B$15,2,FALSE),"")</f>
        <v/>
      </c>
      <c r="F324" s="70"/>
      <c r="G324" s="71" t="str">
        <f>IFERROR(VLOOKUP(F324,設定!$C$11:$F$111,2,FALSE),"")</f>
        <v/>
      </c>
      <c r="H324" s="71" t="str">
        <f>IFERROR(VLOOKUP(F324,設定!$C$11:$F$111,3,FALSE),"")</f>
        <v/>
      </c>
      <c r="I324" s="71" t="str">
        <f>IFERROR(VLOOKUP(F324,設定!$C$11:$F$111,4,FALSE),"")</f>
        <v/>
      </c>
      <c r="J324" s="122"/>
    </row>
    <row r="325" spans="2:10" s="3" customFormat="1" ht="24" customHeight="1" x14ac:dyDescent="0.2">
      <c r="B325" s="68"/>
      <c r="C325" s="69"/>
      <c r="D325" s="86"/>
      <c r="E325" s="116" t="str">
        <f>IFERROR(VLOOKUP(D325,'リスト '!$A$2:$B$15,2,FALSE),"")</f>
        <v/>
      </c>
      <c r="F325" s="70"/>
      <c r="G325" s="71" t="str">
        <f>IFERROR(VLOOKUP(F325,設定!$C$11:$F$111,2,FALSE),"")</f>
        <v/>
      </c>
      <c r="H325" s="71" t="str">
        <f>IFERROR(VLOOKUP(F325,設定!$C$11:$F$111,3,FALSE),"")</f>
        <v/>
      </c>
      <c r="I325" s="71" t="str">
        <f>IFERROR(VLOOKUP(F325,設定!$C$11:$F$111,4,FALSE),"")</f>
        <v/>
      </c>
      <c r="J325" s="122"/>
    </row>
    <row r="326" spans="2:10" s="3" customFormat="1" ht="24" customHeight="1" x14ac:dyDescent="0.2">
      <c r="B326" s="68"/>
      <c r="C326" s="69"/>
      <c r="D326" s="86"/>
      <c r="E326" s="116" t="str">
        <f>IFERROR(VLOOKUP(D326,'リスト '!$A$2:$B$15,2,FALSE),"")</f>
        <v/>
      </c>
      <c r="F326" s="70"/>
      <c r="G326" s="71" t="str">
        <f>IFERROR(VLOOKUP(F326,設定!$C$11:$F$111,2,FALSE),"")</f>
        <v/>
      </c>
      <c r="H326" s="71" t="str">
        <f>IFERROR(VLOOKUP(F326,設定!$C$11:$F$111,3,FALSE),"")</f>
        <v/>
      </c>
      <c r="I326" s="71" t="str">
        <f>IFERROR(VLOOKUP(F326,設定!$C$11:$F$111,4,FALSE),"")</f>
        <v/>
      </c>
      <c r="J326" s="122"/>
    </row>
    <row r="327" spans="2:10" s="3" customFormat="1" ht="24" customHeight="1" x14ac:dyDescent="0.2">
      <c r="B327" s="68"/>
      <c r="C327" s="69"/>
      <c r="D327" s="86"/>
      <c r="E327" s="116" t="str">
        <f>IFERROR(VLOOKUP(D327,'リスト '!$A$2:$B$15,2,FALSE),"")</f>
        <v/>
      </c>
      <c r="F327" s="70"/>
      <c r="G327" s="71" t="str">
        <f>IFERROR(VLOOKUP(F327,設定!$C$11:$F$111,2,FALSE),"")</f>
        <v/>
      </c>
      <c r="H327" s="71" t="str">
        <f>IFERROR(VLOOKUP(F327,設定!$C$11:$F$111,3,FALSE),"")</f>
        <v/>
      </c>
      <c r="I327" s="71" t="str">
        <f>IFERROR(VLOOKUP(F327,設定!$C$11:$F$111,4,FALSE),"")</f>
        <v/>
      </c>
      <c r="J327" s="122"/>
    </row>
    <row r="328" spans="2:10" s="3" customFormat="1" ht="24" customHeight="1" x14ac:dyDescent="0.2">
      <c r="B328" s="68"/>
      <c r="C328" s="69"/>
      <c r="D328" s="86"/>
      <c r="E328" s="116" t="str">
        <f>IFERROR(VLOOKUP(D328,'リスト '!$A$2:$B$15,2,FALSE),"")</f>
        <v/>
      </c>
      <c r="F328" s="70"/>
      <c r="G328" s="71" t="str">
        <f>IFERROR(VLOOKUP(F328,設定!$C$11:$F$111,2,FALSE),"")</f>
        <v/>
      </c>
      <c r="H328" s="71" t="str">
        <f>IFERROR(VLOOKUP(F328,設定!$C$11:$F$111,3,FALSE),"")</f>
        <v/>
      </c>
      <c r="I328" s="71" t="str">
        <f>IFERROR(VLOOKUP(F328,設定!$C$11:$F$111,4,FALSE),"")</f>
        <v/>
      </c>
      <c r="J328" s="122"/>
    </row>
    <row r="329" spans="2:10" s="3" customFormat="1" ht="24" customHeight="1" x14ac:dyDescent="0.2">
      <c r="B329" s="68"/>
      <c r="C329" s="69"/>
      <c r="D329" s="86"/>
      <c r="E329" s="116" t="str">
        <f>IFERROR(VLOOKUP(D329,'リスト '!$A$2:$B$15,2,FALSE),"")</f>
        <v/>
      </c>
      <c r="F329" s="70"/>
      <c r="G329" s="71" t="str">
        <f>IFERROR(VLOOKUP(F329,設定!$C$11:$F$111,2,FALSE),"")</f>
        <v/>
      </c>
      <c r="H329" s="71" t="str">
        <f>IFERROR(VLOOKUP(F329,設定!$C$11:$F$111,3,FALSE),"")</f>
        <v/>
      </c>
      <c r="I329" s="71" t="str">
        <f>IFERROR(VLOOKUP(F329,設定!$C$11:$F$111,4,FALSE),"")</f>
        <v/>
      </c>
      <c r="J329" s="122"/>
    </row>
    <row r="330" spans="2:10" s="3" customFormat="1" ht="24" customHeight="1" x14ac:dyDescent="0.2">
      <c r="B330" s="68"/>
      <c r="C330" s="69"/>
      <c r="D330" s="86"/>
      <c r="E330" s="116" t="str">
        <f>IFERROR(VLOOKUP(D330,'リスト '!$A$2:$B$15,2,FALSE),"")</f>
        <v/>
      </c>
      <c r="F330" s="70"/>
      <c r="G330" s="71" t="str">
        <f>IFERROR(VLOOKUP(F330,設定!$C$11:$F$111,2,FALSE),"")</f>
        <v/>
      </c>
      <c r="H330" s="71" t="str">
        <f>IFERROR(VLOOKUP(F330,設定!$C$11:$F$111,3,FALSE),"")</f>
        <v/>
      </c>
      <c r="I330" s="71" t="str">
        <f>IFERROR(VLOOKUP(F330,設定!$C$11:$F$111,4,FALSE),"")</f>
        <v/>
      </c>
      <c r="J330" s="122"/>
    </row>
    <row r="331" spans="2:10" s="3" customFormat="1" ht="24" customHeight="1" x14ac:dyDescent="0.2">
      <c r="B331" s="68"/>
      <c r="C331" s="69"/>
      <c r="D331" s="86"/>
      <c r="E331" s="116" t="str">
        <f>IFERROR(VLOOKUP(D331,'リスト '!$A$2:$B$15,2,FALSE),"")</f>
        <v/>
      </c>
      <c r="F331" s="70"/>
      <c r="G331" s="71" t="str">
        <f>IFERROR(VLOOKUP(F331,設定!$C$11:$F$111,2,FALSE),"")</f>
        <v/>
      </c>
      <c r="H331" s="71" t="str">
        <f>IFERROR(VLOOKUP(F331,設定!$C$11:$F$111,3,FALSE),"")</f>
        <v/>
      </c>
      <c r="I331" s="71" t="str">
        <f>IFERROR(VLOOKUP(F331,設定!$C$11:$F$111,4,FALSE),"")</f>
        <v/>
      </c>
      <c r="J331" s="122"/>
    </row>
    <row r="332" spans="2:10" s="3" customFormat="1" ht="24" customHeight="1" x14ac:dyDescent="0.2">
      <c r="B332" s="68"/>
      <c r="C332" s="69"/>
      <c r="D332" s="86"/>
      <c r="E332" s="116" t="str">
        <f>IFERROR(VLOOKUP(D332,'リスト '!$A$2:$B$15,2,FALSE),"")</f>
        <v/>
      </c>
      <c r="F332" s="70"/>
      <c r="G332" s="71" t="str">
        <f>IFERROR(VLOOKUP(F332,設定!$C$11:$F$111,2,FALSE),"")</f>
        <v/>
      </c>
      <c r="H332" s="71" t="str">
        <f>IFERROR(VLOOKUP(F332,設定!$C$11:$F$111,3,FALSE),"")</f>
        <v/>
      </c>
      <c r="I332" s="71" t="str">
        <f>IFERROR(VLOOKUP(F332,設定!$C$11:$F$111,4,FALSE),"")</f>
        <v/>
      </c>
      <c r="J332" s="122"/>
    </row>
    <row r="333" spans="2:10" s="3" customFormat="1" ht="24" customHeight="1" x14ac:dyDescent="0.2">
      <c r="B333" s="68"/>
      <c r="C333" s="69"/>
      <c r="D333" s="86"/>
      <c r="E333" s="116" t="str">
        <f>IFERROR(VLOOKUP(D333,'リスト '!$A$2:$B$15,2,FALSE),"")</f>
        <v/>
      </c>
      <c r="F333" s="70"/>
      <c r="G333" s="71" t="str">
        <f>IFERROR(VLOOKUP(F333,設定!$C$11:$F$111,2,FALSE),"")</f>
        <v/>
      </c>
      <c r="H333" s="71" t="str">
        <f>IFERROR(VLOOKUP(F333,設定!$C$11:$F$111,3,FALSE),"")</f>
        <v/>
      </c>
      <c r="I333" s="71" t="str">
        <f>IFERROR(VLOOKUP(F333,設定!$C$11:$F$111,4,FALSE),"")</f>
        <v/>
      </c>
      <c r="J333" s="122"/>
    </row>
    <row r="334" spans="2:10" s="3" customFormat="1" ht="24" customHeight="1" x14ac:dyDescent="0.2">
      <c r="B334" s="68"/>
      <c r="C334" s="69"/>
      <c r="D334" s="86"/>
      <c r="E334" s="116" t="str">
        <f>IFERROR(VLOOKUP(D334,'リスト '!$A$2:$B$15,2,FALSE),"")</f>
        <v/>
      </c>
      <c r="F334" s="70"/>
      <c r="G334" s="71" t="str">
        <f>IFERROR(VLOOKUP(F334,設定!$C$11:$F$111,2,FALSE),"")</f>
        <v/>
      </c>
      <c r="H334" s="71" t="str">
        <f>IFERROR(VLOOKUP(F334,設定!$C$11:$F$111,3,FALSE),"")</f>
        <v/>
      </c>
      <c r="I334" s="71" t="str">
        <f>IFERROR(VLOOKUP(F334,設定!$C$11:$F$111,4,FALSE),"")</f>
        <v/>
      </c>
      <c r="J334" s="122"/>
    </row>
    <row r="335" spans="2:10" s="3" customFormat="1" ht="24" customHeight="1" x14ac:dyDescent="0.2">
      <c r="B335" s="68"/>
      <c r="C335" s="69"/>
      <c r="D335" s="86"/>
      <c r="E335" s="116" t="str">
        <f>IFERROR(VLOOKUP(D335,'リスト '!$A$2:$B$15,2,FALSE),"")</f>
        <v/>
      </c>
      <c r="F335" s="70"/>
      <c r="G335" s="71" t="str">
        <f>IFERROR(VLOOKUP(F335,設定!$C$11:$F$111,2,FALSE),"")</f>
        <v/>
      </c>
      <c r="H335" s="71" t="str">
        <f>IFERROR(VLOOKUP(F335,設定!$C$11:$F$111,3,FALSE),"")</f>
        <v/>
      </c>
      <c r="I335" s="71" t="str">
        <f>IFERROR(VLOOKUP(F335,設定!$C$11:$F$111,4,FALSE),"")</f>
        <v/>
      </c>
      <c r="J335" s="122"/>
    </row>
    <row r="336" spans="2:10" s="3" customFormat="1" ht="24" customHeight="1" x14ac:dyDescent="0.2">
      <c r="B336" s="68"/>
      <c r="C336" s="69"/>
      <c r="D336" s="86"/>
      <c r="E336" s="116" t="str">
        <f>IFERROR(VLOOKUP(D336,'リスト '!$A$2:$B$15,2,FALSE),"")</f>
        <v/>
      </c>
      <c r="F336" s="70"/>
      <c r="G336" s="71" t="str">
        <f>IFERROR(VLOOKUP(F336,設定!$C$11:$F$111,2,FALSE),"")</f>
        <v/>
      </c>
      <c r="H336" s="71" t="str">
        <f>IFERROR(VLOOKUP(F336,設定!$C$11:$F$111,3,FALSE),"")</f>
        <v/>
      </c>
      <c r="I336" s="71" t="str">
        <f>IFERROR(VLOOKUP(F336,設定!$C$11:$F$111,4,FALSE),"")</f>
        <v/>
      </c>
      <c r="J336" s="122"/>
    </row>
    <row r="337" spans="2:10" s="3" customFormat="1" ht="24" customHeight="1" x14ac:dyDescent="0.2">
      <c r="B337" s="68"/>
      <c r="C337" s="69"/>
      <c r="D337" s="86"/>
      <c r="E337" s="116" t="str">
        <f>IFERROR(VLOOKUP(D337,'リスト '!$A$2:$B$15,2,FALSE),"")</f>
        <v/>
      </c>
      <c r="F337" s="70"/>
      <c r="G337" s="71" t="str">
        <f>IFERROR(VLOOKUP(F337,設定!$C$11:$F$111,2,FALSE),"")</f>
        <v/>
      </c>
      <c r="H337" s="71" t="str">
        <f>IFERROR(VLOOKUP(F337,設定!$C$11:$F$111,3,FALSE),"")</f>
        <v/>
      </c>
      <c r="I337" s="71" t="str">
        <f>IFERROR(VLOOKUP(F337,設定!$C$11:$F$111,4,FALSE),"")</f>
        <v/>
      </c>
      <c r="J337" s="122"/>
    </row>
    <row r="338" spans="2:10" s="3" customFormat="1" ht="24" customHeight="1" x14ac:dyDescent="0.2">
      <c r="B338" s="68"/>
      <c r="C338" s="69"/>
      <c r="D338" s="86"/>
      <c r="E338" s="116" t="str">
        <f>IFERROR(VLOOKUP(D338,'リスト '!$A$2:$B$15,2,FALSE),"")</f>
        <v/>
      </c>
      <c r="F338" s="70"/>
      <c r="G338" s="71" t="str">
        <f>IFERROR(VLOOKUP(F338,設定!$C$11:$F$111,2,FALSE),"")</f>
        <v/>
      </c>
      <c r="H338" s="71" t="str">
        <f>IFERROR(VLOOKUP(F338,設定!$C$11:$F$111,3,FALSE),"")</f>
        <v/>
      </c>
      <c r="I338" s="71" t="str">
        <f>IFERROR(VLOOKUP(F338,設定!$C$11:$F$111,4,FALSE),"")</f>
        <v/>
      </c>
      <c r="J338" s="122"/>
    </row>
    <row r="339" spans="2:10" s="3" customFormat="1" ht="24" customHeight="1" x14ac:dyDescent="0.2">
      <c r="B339" s="68"/>
      <c r="C339" s="69"/>
      <c r="D339" s="86"/>
      <c r="E339" s="116" t="str">
        <f>IFERROR(VLOOKUP(D339,'リスト '!$A$2:$B$15,2,FALSE),"")</f>
        <v/>
      </c>
      <c r="F339" s="70"/>
      <c r="G339" s="71" t="str">
        <f>IFERROR(VLOOKUP(F339,設定!$C$11:$F$111,2,FALSE),"")</f>
        <v/>
      </c>
      <c r="H339" s="71" t="str">
        <f>IFERROR(VLOOKUP(F339,設定!$C$11:$F$111,3,FALSE),"")</f>
        <v/>
      </c>
      <c r="I339" s="71" t="str">
        <f>IFERROR(VLOOKUP(F339,設定!$C$11:$F$111,4,FALSE),"")</f>
        <v/>
      </c>
      <c r="J339" s="122"/>
    </row>
    <row r="340" spans="2:10" s="3" customFormat="1" ht="24" customHeight="1" x14ac:dyDescent="0.2">
      <c r="B340" s="68"/>
      <c r="C340" s="69"/>
      <c r="D340" s="86"/>
      <c r="E340" s="116" t="str">
        <f>IFERROR(VLOOKUP(D340,'リスト '!$A$2:$B$15,2,FALSE),"")</f>
        <v/>
      </c>
      <c r="F340" s="70"/>
      <c r="G340" s="71" t="str">
        <f>IFERROR(VLOOKUP(F340,設定!$C$11:$F$111,2,FALSE),"")</f>
        <v/>
      </c>
      <c r="H340" s="71" t="str">
        <f>IFERROR(VLOOKUP(F340,設定!$C$11:$F$111,3,FALSE),"")</f>
        <v/>
      </c>
      <c r="I340" s="71" t="str">
        <f>IFERROR(VLOOKUP(F340,設定!$C$11:$F$111,4,FALSE),"")</f>
        <v/>
      </c>
      <c r="J340" s="122"/>
    </row>
    <row r="341" spans="2:10" s="3" customFormat="1" ht="24" customHeight="1" x14ac:dyDescent="0.2">
      <c r="B341" s="68"/>
      <c r="C341" s="69"/>
      <c r="D341" s="86"/>
      <c r="E341" s="116" t="str">
        <f>IFERROR(VLOOKUP(D341,'リスト '!$A$2:$B$15,2,FALSE),"")</f>
        <v/>
      </c>
      <c r="F341" s="70"/>
      <c r="G341" s="71" t="str">
        <f>IFERROR(VLOOKUP(F341,設定!$C$11:$F$111,2,FALSE),"")</f>
        <v/>
      </c>
      <c r="H341" s="71" t="str">
        <f>IFERROR(VLOOKUP(F341,設定!$C$11:$F$111,3,FALSE),"")</f>
        <v/>
      </c>
      <c r="I341" s="71" t="str">
        <f>IFERROR(VLOOKUP(F341,設定!$C$11:$F$111,4,FALSE),"")</f>
        <v/>
      </c>
      <c r="J341" s="122"/>
    </row>
    <row r="342" spans="2:10" s="3" customFormat="1" ht="24" customHeight="1" x14ac:dyDescent="0.2">
      <c r="B342" s="68"/>
      <c r="C342" s="69"/>
      <c r="D342" s="86"/>
      <c r="E342" s="116" t="str">
        <f>IFERROR(VLOOKUP(D342,'リスト '!$A$2:$B$15,2,FALSE),"")</f>
        <v/>
      </c>
      <c r="F342" s="70"/>
      <c r="G342" s="71" t="str">
        <f>IFERROR(VLOOKUP(F342,設定!$C$11:$F$111,2,FALSE),"")</f>
        <v/>
      </c>
      <c r="H342" s="71" t="str">
        <f>IFERROR(VLOOKUP(F342,設定!$C$11:$F$111,3,FALSE),"")</f>
        <v/>
      </c>
      <c r="I342" s="71" t="str">
        <f>IFERROR(VLOOKUP(F342,設定!$C$11:$F$111,4,FALSE),"")</f>
        <v/>
      </c>
      <c r="J342" s="122"/>
    </row>
    <row r="343" spans="2:10" s="3" customFormat="1" ht="24" customHeight="1" x14ac:dyDescent="0.2">
      <c r="B343" s="68"/>
      <c r="C343" s="69"/>
      <c r="D343" s="86"/>
      <c r="E343" s="116" t="str">
        <f>IFERROR(VLOOKUP(D343,'リスト '!$A$2:$B$15,2,FALSE),"")</f>
        <v/>
      </c>
      <c r="F343" s="70"/>
      <c r="G343" s="71" t="str">
        <f>IFERROR(VLOOKUP(F343,設定!$C$11:$F$111,2,FALSE),"")</f>
        <v/>
      </c>
      <c r="H343" s="71" t="str">
        <f>IFERROR(VLOOKUP(F343,設定!$C$11:$F$111,3,FALSE),"")</f>
        <v/>
      </c>
      <c r="I343" s="71" t="str">
        <f>IFERROR(VLOOKUP(F343,設定!$C$11:$F$111,4,FALSE),"")</f>
        <v/>
      </c>
      <c r="J343" s="122"/>
    </row>
    <row r="344" spans="2:10" s="3" customFormat="1" ht="24" customHeight="1" x14ac:dyDescent="0.2">
      <c r="B344" s="68"/>
      <c r="C344" s="69"/>
      <c r="D344" s="86"/>
      <c r="E344" s="116" t="str">
        <f>IFERROR(VLOOKUP(D344,'リスト '!$A$2:$B$15,2,FALSE),"")</f>
        <v/>
      </c>
      <c r="F344" s="70"/>
      <c r="G344" s="71" t="str">
        <f>IFERROR(VLOOKUP(F344,設定!$C$11:$F$111,2,FALSE),"")</f>
        <v/>
      </c>
      <c r="H344" s="71" t="str">
        <f>IFERROR(VLOOKUP(F344,設定!$C$11:$F$111,3,FALSE),"")</f>
        <v/>
      </c>
      <c r="I344" s="71" t="str">
        <f>IFERROR(VLOOKUP(F344,設定!$C$11:$F$111,4,FALSE),"")</f>
        <v/>
      </c>
      <c r="J344" s="122"/>
    </row>
    <row r="345" spans="2:10" s="3" customFormat="1" ht="24" customHeight="1" x14ac:dyDescent="0.2">
      <c r="B345" s="68"/>
      <c r="C345" s="69"/>
      <c r="D345" s="86"/>
      <c r="E345" s="116" t="str">
        <f>IFERROR(VLOOKUP(D345,'リスト '!$A$2:$B$15,2,FALSE),"")</f>
        <v/>
      </c>
      <c r="F345" s="70"/>
      <c r="G345" s="71" t="str">
        <f>IFERROR(VLOOKUP(F345,設定!$C$11:$F$111,2,FALSE),"")</f>
        <v/>
      </c>
      <c r="H345" s="71" t="str">
        <f>IFERROR(VLOOKUP(F345,設定!$C$11:$F$111,3,FALSE),"")</f>
        <v/>
      </c>
      <c r="I345" s="71" t="str">
        <f>IFERROR(VLOOKUP(F345,設定!$C$11:$F$111,4,FALSE),"")</f>
        <v/>
      </c>
      <c r="J345" s="122"/>
    </row>
    <row r="346" spans="2:10" s="3" customFormat="1" ht="24" customHeight="1" x14ac:dyDescent="0.2">
      <c r="B346" s="68"/>
      <c r="C346" s="69"/>
      <c r="D346" s="86"/>
      <c r="E346" s="116" t="str">
        <f>IFERROR(VLOOKUP(D346,'リスト '!$A$2:$B$15,2,FALSE),"")</f>
        <v/>
      </c>
      <c r="F346" s="70"/>
      <c r="G346" s="71" t="str">
        <f>IFERROR(VLOOKUP(F346,設定!$C$11:$F$111,2,FALSE),"")</f>
        <v/>
      </c>
      <c r="H346" s="71" t="str">
        <f>IFERROR(VLOOKUP(F346,設定!$C$11:$F$111,3,FALSE),"")</f>
        <v/>
      </c>
      <c r="I346" s="71" t="str">
        <f>IFERROR(VLOOKUP(F346,設定!$C$11:$F$111,4,FALSE),"")</f>
        <v/>
      </c>
      <c r="J346" s="122"/>
    </row>
    <row r="347" spans="2:10" s="3" customFormat="1" ht="24" customHeight="1" x14ac:dyDescent="0.2">
      <c r="B347" s="68"/>
      <c r="C347" s="69"/>
      <c r="D347" s="86"/>
      <c r="E347" s="116" t="str">
        <f>IFERROR(VLOOKUP(D347,'リスト '!$A$2:$B$15,2,FALSE),"")</f>
        <v/>
      </c>
      <c r="F347" s="70"/>
      <c r="G347" s="71" t="str">
        <f>IFERROR(VLOOKUP(F347,設定!$C$11:$F$111,2,FALSE),"")</f>
        <v/>
      </c>
      <c r="H347" s="71" t="str">
        <f>IFERROR(VLOOKUP(F347,設定!$C$11:$F$111,3,FALSE),"")</f>
        <v/>
      </c>
      <c r="I347" s="71" t="str">
        <f>IFERROR(VLOOKUP(F347,設定!$C$11:$F$111,4,FALSE),"")</f>
        <v/>
      </c>
      <c r="J347" s="122"/>
    </row>
    <row r="348" spans="2:10" s="3" customFormat="1" ht="24" customHeight="1" x14ac:dyDescent="0.2">
      <c r="B348" s="68"/>
      <c r="C348" s="69"/>
      <c r="D348" s="86"/>
      <c r="E348" s="116" t="str">
        <f>IFERROR(VLOOKUP(D348,'リスト '!$A$2:$B$15,2,FALSE),"")</f>
        <v/>
      </c>
      <c r="F348" s="70"/>
      <c r="G348" s="71" t="str">
        <f>IFERROR(VLOOKUP(F348,設定!$C$11:$F$111,2,FALSE),"")</f>
        <v/>
      </c>
      <c r="H348" s="71" t="str">
        <f>IFERROR(VLOOKUP(F348,設定!$C$11:$F$111,3,FALSE),"")</f>
        <v/>
      </c>
      <c r="I348" s="71" t="str">
        <f>IFERROR(VLOOKUP(F348,設定!$C$11:$F$111,4,FALSE),"")</f>
        <v/>
      </c>
      <c r="J348" s="122"/>
    </row>
    <row r="349" spans="2:10" s="3" customFormat="1" ht="24" customHeight="1" x14ac:dyDescent="0.2">
      <c r="B349" s="68"/>
      <c r="C349" s="69"/>
      <c r="D349" s="86"/>
      <c r="E349" s="116" t="str">
        <f>IFERROR(VLOOKUP(D349,'リスト '!$A$2:$B$15,2,FALSE),"")</f>
        <v/>
      </c>
      <c r="F349" s="70"/>
      <c r="G349" s="71" t="str">
        <f>IFERROR(VLOOKUP(F349,設定!$C$11:$F$111,2,FALSE),"")</f>
        <v/>
      </c>
      <c r="H349" s="71" t="str">
        <f>IFERROR(VLOOKUP(F349,設定!$C$11:$F$111,3,FALSE),"")</f>
        <v/>
      </c>
      <c r="I349" s="71" t="str">
        <f>IFERROR(VLOOKUP(F349,設定!$C$11:$F$111,4,FALSE),"")</f>
        <v/>
      </c>
      <c r="J349" s="122"/>
    </row>
    <row r="350" spans="2:10" s="3" customFormat="1" ht="24" customHeight="1" x14ac:dyDescent="0.2">
      <c r="B350" s="68"/>
      <c r="C350" s="69"/>
      <c r="D350" s="86"/>
      <c r="E350" s="116" t="str">
        <f>IFERROR(VLOOKUP(D350,'リスト '!$A$2:$B$15,2,FALSE),"")</f>
        <v/>
      </c>
      <c r="F350" s="70"/>
      <c r="G350" s="71" t="str">
        <f>IFERROR(VLOOKUP(F350,設定!$C$11:$F$111,2,FALSE),"")</f>
        <v/>
      </c>
      <c r="H350" s="71" t="str">
        <f>IFERROR(VLOOKUP(F350,設定!$C$11:$F$111,3,FALSE),"")</f>
        <v/>
      </c>
      <c r="I350" s="71" t="str">
        <f>IFERROR(VLOOKUP(F350,設定!$C$11:$F$111,4,FALSE),"")</f>
        <v/>
      </c>
      <c r="J350" s="122"/>
    </row>
    <row r="351" spans="2:10" s="3" customFormat="1" ht="24" customHeight="1" x14ac:dyDescent="0.2">
      <c r="B351" s="68"/>
      <c r="C351" s="69"/>
      <c r="D351" s="86"/>
      <c r="E351" s="116" t="str">
        <f>IFERROR(VLOOKUP(D351,'リスト '!$A$2:$B$15,2,FALSE),"")</f>
        <v/>
      </c>
      <c r="F351" s="70"/>
      <c r="G351" s="71" t="str">
        <f>IFERROR(VLOOKUP(F351,設定!$C$11:$F$111,2,FALSE),"")</f>
        <v/>
      </c>
      <c r="H351" s="71" t="str">
        <f>IFERROR(VLOOKUP(F351,設定!$C$11:$F$111,3,FALSE),"")</f>
        <v/>
      </c>
      <c r="I351" s="71" t="str">
        <f>IFERROR(VLOOKUP(F351,設定!$C$11:$F$111,4,FALSE),"")</f>
        <v/>
      </c>
      <c r="J351" s="122"/>
    </row>
    <row r="352" spans="2:10" s="3" customFormat="1" ht="24" customHeight="1" x14ac:dyDescent="0.2">
      <c r="B352" s="68"/>
      <c r="C352" s="69"/>
      <c r="D352" s="86"/>
      <c r="E352" s="116" t="str">
        <f>IFERROR(VLOOKUP(D352,'リスト '!$A$2:$B$15,2,FALSE),"")</f>
        <v/>
      </c>
      <c r="F352" s="70"/>
      <c r="G352" s="71" t="str">
        <f>IFERROR(VLOOKUP(F352,設定!$C$11:$F$111,2,FALSE),"")</f>
        <v/>
      </c>
      <c r="H352" s="71" t="str">
        <f>IFERROR(VLOOKUP(F352,設定!$C$11:$F$111,3,FALSE),"")</f>
        <v/>
      </c>
      <c r="I352" s="71" t="str">
        <f>IFERROR(VLOOKUP(F352,設定!$C$11:$F$111,4,FALSE),"")</f>
        <v/>
      </c>
      <c r="J352" s="122"/>
    </row>
    <row r="353" spans="2:10" s="3" customFormat="1" ht="24" customHeight="1" x14ac:dyDescent="0.2">
      <c r="B353" s="68"/>
      <c r="C353" s="69"/>
      <c r="D353" s="86"/>
      <c r="E353" s="116" t="str">
        <f>IFERROR(VLOOKUP(D353,'リスト '!$A$2:$B$15,2,FALSE),"")</f>
        <v/>
      </c>
      <c r="F353" s="70"/>
      <c r="G353" s="71" t="str">
        <f>IFERROR(VLOOKUP(F353,設定!$C$11:$F$111,2,FALSE),"")</f>
        <v/>
      </c>
      <c r="H353" s="71" t="str">
        <f>IFERROR(VLOOKUP(F353,設定!$C$11:$F$111,3,FALSE),"")</f>
        <v/>
      </c>
      <c r="I353" s="71" t="str">
        <f>IFERROR(VLOOKUP(F353,設定!$C$11:$F$111,4,FALSE),"")</f>
        <v/>
      </c>
      <c r="J353" s="122"/>
    </row>
    <row r="354" spans="2:10" s="3" customFormat="1" ht="24" customHeight="1" x14ac:dyDescent="0.2">
      <c r="B354" s="68"/>
      <c r="C354" s="69"/>
      <c r="D354" s="86"/>
      <c r="E354" s="116" t="str">
        <f>IFERROR(VLOOKUP(D354,'リスト '!$A$2:$B$15,2,FALSE),"")</f>
        <v/>
      </c>
      <c r="F354" s="70"/>
      <c r="G354" s="71" t="str">
        <f>IFERROR(VLOOKUP(F354,設定!$C$11:$F$111,2,FALSE),"")</f>
        <v/>
      </c>
      <c r="H354" s="71" t="str">
        <f>IFERROR(VLOOKUP(F354,設定!$C$11:$F$111,3,FALSE),"")</f>
        <v/>
      </c>
      <c r="I354" s="71" t="str">
        <f>IFERROR(VLOOKUP(F354,設定!$C$11:$F$111,4,FALSE),"")</f>
        <v/>
      </c>
      <c r="J354" s="122"/>
    </row>
    <row r="355" spans="2:10" s="3" customFormat="1" ht="24" customHeight="1" x14ac:dyDescent="0.2">
      <c r="B355" s="68"/>
      <c r="C355" s="69"/>
      <c r="D355" s="86"/>
      <c r="E355" s="116" t="str">
        <f>IFERROR(VLOOKUP(D355,'リスト '!$A$2:$B$15,2,FALSE),"")</f>
        <v/>
      </c>
      <c r="F355" s="70"/>
      <c r="G355" s="71" t="str">
        <f>IFERROR(VLOOKUP(F355,設定!$C$11:$F$111,2,FALSE),"")</f>
        <v/>
      </c>
      <c r="H355" s="71" t="str">
        <f>IFERROR(VLOOKUP(F355,設定!$C$11:$F$111,3,FALSE),"")</f>
        <v/>
      </c>
      <c r="I355" s="71" t="str">
        <f>IFERROR(VLOOKUP(F355,設定!$C$11:$F$111,4,FALSE),"")</f>
        <v/>
      </c>
      <c r="J355" s="122"/>
    </row>
    <row r="356" spans="2:10" s="3" customFormat="1" ht="24" customHeight="1" x14ac:dyDescent="0.2">
      <c r="B356" s="68"/>
      <c r="C356" s="69"/>
      <c r="D356" s="86"/>
      <c r="E356" s="116" t="str">
        <f>IFERROR(VLOOKUP(D356,'リスト '!$A$2:$B$15,2,FALSE),"")</f>
        <v/>
      </c>
      <c r="F356" s="70"/>
      <c r="G356" s="71" t="str">
        <f>IFERROR(VLOOKUP(F356,設定!$C$11:$F$111,2,FALSE),"")</f>
        <v/>
      </c>
      <c r="H356" s="71" t="str">
        <f>IFERROR(VLOOKUP(F356,設定!$C$11:$F$111,3,FALSE),"")</f>
        <v/>
      </c>
      <c r="I356" s="71" t="str">
        <f>IFERROR(VLOOKUP(F356,設定!$C$11:$F$111,4,FALSE),"")</f>
        <v/>
      </c>
      <c r="J356" s="122"/>
    </row>
    <row r="357" spans="2:10" s="3" customFormat="1" ht="24" customHeight="1" x14ac:dyDescent="0.2">
      <c r="B357" s="68"/>
      <c r="C357" s="69"/>
      <c r="D357" s="86"/>
      <c r="E357" s="116" t="str">
        <f>IFERROR(VLOOKUP(D357,'リスト '!$A$2:$B$15,2,FALSE),"")</f>
        <v/>
      </c>
      <c r="F357" s="70"/>
      <c r="G357" s="71" t="str">
        <f>IFERROR(VLOOKUP(F357,設定!$C$11:$F$111,2,FALSE),"")</f>
        <v/>
      </c>
      <c r="H357" s="71" t="str">
        <f>IFERROR(VLOOKUP(F357,設定!$C$11:$F$111,3,FALSE),"")</f>
        <v/>
      </c>
      <c r="I357" s="71" t="str">
        <f>IFERROR(VLOOKUP(F357,設定!$C$11:$F$111,4,FALSE),"")</f>
        <v/>
      </c>
      <c r="J357" s="122"/>
    </row>
    <row r="358" spans="2:10" s="3" customFormat="1" ht="24" customHeight="1" x14ac:dyDescent="0.2">
      <c r="B358" s="68"/>
      <c r="C358" s="69"/>
      <c r="D358" s="86"/>
      <c r="E358" s="116" t="str">
        <f>IFERROR(VLOOKUP(D358,'リスト '!$A$2:$B$15,2,FALSE),"")</f>
        <v/>
      </c>
      <c r="F358" s="70"/>
      <c r="G358" s="71" t="str">
        <f>IFERROR(VLOOKUP(F358,設定!$C$11:$F$111,2,FALSE),"")</f>
        <v/>
      </c>
      <c r="H358" s="71" t="str">
        <f>IFERROR(VLOOKUP(F358,設定!$C$11:$F$111,3,FALSE),"")</f>
        <v/>
      </c>
      <c r="I358" s="71" t="str">
        <f>IFERROR(VLOOKUP(F358,設定!$C$11:$F$111,4,FALSE),"")</f>
        <v/>
      </c>
      <c r="J358" s="122"/>
    </row>
    <row r="359" spans="2:10" s="3" customFormat="1" ht="24" customHeight="1" x14ac:dyDescent="0.2">
      <c r="B359" s="68"/>
      <c r="C359" s="69"/>
      <c r="D359" s="86"/>
      <c r="E359" s="116" t="str">
        <f>IFERROR(VLOOKUP(D359,'リスト '!$A$2:$B$15,2,FALSE),"")</f>
        <v/>
      </c>
      <c r="F359" s="70"/>
      <c r="G359" s="71" t="str">
        <f>IFERROR(VLOOKUP(F359,設定!$C$11:$F$111,2,FALSE),"")</f>
        <v/>
      </c>
      <c r="H359" s="71" t="str">
        <f>IFERROR(VLOOKUP(F359,設定!$C$11:$F$111,3,FALSE),"")</f>
        <v/>
      </c>
      <c r="I359" s="71" t="str">
        <f>IFERROR(VLOOKUP(F359,設定!$C$11:$F$111,4,FALSE),"")</f>
        <v/>
      </c>
      <c r="J359" s="122"/>
    </row>
    <row r="360" spans="2:10" s="3" customFormat="1" ht="24" customHeight="1" x14ac:dyDescent="0.2">
      <c r="B360" s="68"/>
      <c r="C360" s="69"/>
      <c r="D360" s="86"/>
      <c r="E360" s="116" t="str">
        <f>IFERROR(VLOOKUP(D360,'リスト '!$A$2:$B$15,2,FALSE),"")</f>
        <v/>
      </c>
      <c r="F360" s="70"/>
      <c r="G360" s="71" t="str">
        <f>IFERROR(VLOOKUP(F360,設定!$C$11:$F$111,2,FALSE),"")</f>
        <v/>
      </c>
      <c r="H360" s="71" t="str">
        <f>IFERROR(VLOOKUP(F360,設定!$C$11:$F$111,3,FALSE),"")</f>
        <v/>
      </c>
      <c r="I360" s="71" t="str">
        <f>IFERROR(VLOOKUP(F360,設定!$C$11:$F$111,4,FALSE),"")</f>
        <v/>
      </c>
      <c r="J360" s="122"/>
    </row>
    <row r="361" spans="2:10" s="3" customFormat="1" ht="24" customHeight="1" x14ac:dyDescent="0.2">
      <c r="B361" s="68"/>
      <c r="C361" s="69"/>
      <c r="D361" s="86"/>
      <c r="E361" s="116" t="str">
        <f>IFERROR(VLOOKUP(D361,'リスト '!$A$2:$B$15,2,FALSE),"")</f>
        <v/>
      </c>
      <c r="F361" s="70"/>
      <c r="G361" s="71" t="str">
        <f>IFERROR(VLOOKUP(F361,設定!$C$11:$F$111,2,FALSE),"")</f>
        <v/>
      </c>
      <c r="H361" s="71" t="str">
        <f>IFERROR(VLOOKUP(F361,設定!$C$11:$F$111,3,FALSE),"")</f>
        <v/>
      </c>
      <c r="I361" s="71" t="str">
        <f>IFERROR(VLOOKUP(F361,設定!$C$11:$F$111,4,FALSE),"")</f>
        <v/>
      </c>
      <c r="J361" s="122"/>
    </row>
    <row r="362" spans="2:10" s="3" customFormat="1" ht="24" customHeight="1" x14ac:dyDescent="0.2">
      <c r="B362" s="68"/>
      <c r="C362" s="69"/>
      <c r="D362" s="86"/>
      <c r="E362" s="116" t="str">
        <f>IFERROR(VLOOKUP(D362,'リスト '!$A$2:$B$15,2,FALSE),"")</f>
        <v/>
      </c>
      <c r="F362" s="70"/>
      <c r="G362" s="71" t="str">
        <f>IFERROR(VLOOKUP(F362,設定!$C$11:$F$111,2,FALSE),"")</f>
        <v/>
      </c>
      <c r="H362" s="71" t="str">
        <f>IFERROR(VLOOKUP(F362,設定!$C$11:$F$111,3,FALSE),"")</f>
        <v/>
      </c>
      <c r="I362" s="71" t="str">
        <f>IFERROR(VLOOKUP(F362,設定!$C$11:$F$111,4,FALSE),"")</f>
        <v/>
      </c>
      <c r="J362" s="122"/>
    </row>
    <row r="363" spans="2:10" s="3" customFormat="1" ht="24" customHeight="1" x14ac:dyDescent="0.2">
      <c r="B363" s="68"/>
      <c r="C363" s="69"/>
      <c r="D363" s="86"/>
      <c r="E363" s="116" t="str">
        <f>IFERROR(VLOOKUP(D363,'リスト '!$A$2:$B$15,2,FALSE),"")</f>
        <v/>
      </c>
      <c r="F363" s="70"/>
      <c r="G363" s="71" t="str">
        <f>IFERROR(VLOOKUP(F363,設定!$C$11:$F$111,2,FALSE),"")</f>
        <v/>
      </c>
      <c r="H363" s="71" t="str">
        <f>IFERROR(VLOOKUP(F363,設定!$C$11:$F$111,3,FALSE),"")</f>
        <v/>
      </c>
      <c r="I363" s="71" t="str">
        <f>IFERROR(VLOOKUP(F363,設定!$C$11:$F$111,4,FALSE),"")</f>
        <v/>
      </c>
      <c r="J363" s="122"/>
    </row>
    <row r="364" spans="2:10" s="3" customFormat="1" ht="24" customHeight="1" x14ac:dyDescent="0.2">
      <c r="B364" s="68"/>
      <c r="C364" s="69"/>
      <c r="D364" s="86"/>
      <c r="E364" s="116" t="str">
        <f>IFERROR(VLOOKUP(D364,'リスト '!$A$2:$B$15,2,FALSE),"")</f>
        <v/>
      </c>
      <c r="F364" s="70"/>
      <c r="G364" s="71" t="str">
        <f>IFERROR(VLOOKUP(F364,設定!$C$11:$F$111,2,FALSE),"")</f>
        <v/>
      </c>
      <c r="H364" s="71" t="str">
        <f>IFERROR(VLOOKUP(F364,設定!$C$11:$F$111,3,FALSE),"")</f>
        <v/>
      </c>
      <c r="I364" s="71" t="str">
        <f>IFERROR(VLOOKUP(F364,設定!$C$11:$F$111,4,FALSE),"")</f>
        <v/>
      </c>
      <c r="J364" s="122"/>
    </row>
    <row r="365" spans="2:10" s="3" customFormat="1" ht="24" customHeight="1" x14ac:dyDescent="0.2">
      <c r="B365" s="68"/>
      <c r="C365" s="69"/>
      <c r="D365" s="86"/>
      <c r="E365" s="116" t="str">
        <f>IFERROR(VLOOKUP(D365,'リスト '!$A$2:$B$15,2,FALSE),"")</f>
        <v/>
      </c>
      <c r="F365" s="70"/>
      <c r="G365" s="71" t="str">
        <f>IFERROR(VLOOKUP(F365,設定!$C$11:$F$111,2,FALSE),"")</f>
        <v/>
      </c>
      <c r="H365" s="71" t="str">
        <f>IFERROR(VLOOKUP(F365,設定!$C$11:$F$111,3,FALSE),"")</f>
        <v/>
      </c>
      <c r="I365" s="71" t="str">
        <f>IFERROR(VLOOKUP(F365,設定!$C$11:$F$111,4,FALSE),"")</f>
        <v/>
      </c>
      <c r="J365" s="122"/>
    </row>
    <row r="366" spans="2:10" s="3" customFormat="1" ht="24" customHeight="1" x14ac:dyDescent="0.2">
      <c r="B366" s="68"/>
      <c r="C366" s="69"/>
      <c r="D366" s="86"/>
      <c r="E366" s="116" t="str">
        <f>IFERROR(VLOOKUP(D366,'リスト '!$A$2:$B$15,2,FALSE),"")</f>
        <v/>
      </c>
      <c r="F366" s="70"/>
      <c r="G366" s="71" t="str">
        <f>IFERROR(VLOOKUP(F366,設定!$C$11:$F$111,2,FALSE),"")</f>
        <v/>
      </c>
      <c r="H366" s="71" t="str">
        <f>IFERROR(VLOOKUP(F366,設定!$C$11:$F$111,3,FALSE),"")</f>
        <v/>
      </c>
      <c r="I366" s="71" t="str">
        <f>IFERROR(VLOOKUP(F366,設定!$C$11:$F$111,4,FALSE),"")</f>
        <v/>
      </c>
      <c r="J366" s="122"/>
    </row>
    <row r="367" spans="2:10" s="3" customFormat="1" ht="24" customHeight="1" x14ac:dyDescent="0.2">
      <c r="B367" s="68"/>
      <c r="C367" s="69"/>
      <c r="D367" s="86"/>
      <c r="E367" s="116" t="str">
        <f>IFERROR(VLOOKUP(D367,'リスト '!$A$2:$B$15,2,FALSE),"")</f>
        <v/>
      </c>
      <c r="F367" s="70"/>
      <c r="G367" s="71" t="str">
        <f>IFERROR(VLOOKUP(F367,設定!$C$11:$F$111,2,FALSE),"")</f>
        <v/>
      </c>
      <c r="H367" s="71" t="str">
        <f>IFERROR(VLOOKUP(F367,設定!$C$11:$F$111,3,FALSE),"")</f>
        <v/>
      </c>
      <c r="I367" s="71" t="str">
        <f>IFERROR(VLOOKUP(F367,設定!$C$11:$F$111,4,FALSE),"")</f>
        <v/>
      </c>
      <c r="J367" s="122"/>
    </row>
    <row r="368" spans="2:10" s="3" customFormat="1" ht="24" customHeight="1" x14ac:dyDescent="0.2">
      <c r="B368" s="68"/>
      <c r="C368" s="69"/>
      <c r="D368" s="86"/>
      <c r="E368" s="116" t="str">
        <f>IFERROR(VLOOKUP(D368,'リスト '!$A$2:$B$15,2,FALSE),"")</f>
        <v/>
      </c>
      <c r="F368" s="70"/>
      <c r="G368" s="71" t="str">
        <f>IFERROR(VLOOKUP(F368,設定!$C$11:$F$111,2,FALSE),"")</f>
        <v/>
      </c>
      <c r="H368" s="71" t="str">
        <f>IFERROR(VLOOKUP(F368,設定!$C$11:$F$111,3,FALSE),"")</f>
        <v/>
      </c>
      <c r="I368" s="71" t="str">
        <f>IFERROR(VLOOKUP(F368,設定!$C$11:$F$111,4,FALSE),"")</f>
        <v/>
      </c>
      <c r="J368" s="122"/>
    </row>
    <row r="369" spans="2:10" s="3" customFormat="1" ht="24" customHeight="1" x14ac:dyDescent="0.2">
      <c r="B369" s="68"/>
      <c r="C369" s="69"/>
      <c r="D369" s="86"/>
      <c r="E369" s="116" t="str">
        <f>IFERROR(VLOOKUP(D369,'リスト '!$A$2:$B$15,2,FALSE),"")</f>
        <v/>
      </c>
      <c r="F369" s="70"/>
      <c r="G369" s="71" t="str">
        <f>IFERROR(VLOOKUP(F369,設定!$C$11:$F$111,2,FALSE),"")</f>
        <v/>
      </c>
      <c r="H369" s="71" t="str">
        <f>IFERROR(VLOOKUP(F369,設定!$C$11:$F$111,3,FALSE),"")</f>
        <v/>
      </c>
      <c r="I369" s="71" t="str">
        <f>IFERROR(VLOOKUP(F369,設定!$C$11:$F$111,4,FALSE),"")</f>
        <v/>
      </c>
      <c r="J369" s="122"/>
    </row>
    <row r="370" spans="2:10" s="3" customFormat="1" ht="24" customHeight="1" x14ac:dyDescent="0.2">
      <c r="B370" s="68"/>
      <c r="C370" s="69"/>
      <c r="D370" s="86"/>
      <c r="E370" s="116" t="str">
        <f>IFERROR(VLOOKUP(D370,'リスト '!$A$2:$B$15,2,FALSE),"")</f>
        <v/>
      </c>
      <c r="F370" s="70"/>
      <c r="G370" s="71" t="str">
        <f>IFERROR(VLOOKUP(F370,設定!$C$11:$F$111,2,FALSE),"")</f>
        <v/>
      </c>
      <c r="H370" s="71" t="str">
        <f>IFERROR(VLOOKUP(F370,設定!$C$11:$F$111,3,FALSE),"")</f>
        <v/>
      </c>
      <c r="I370" s="71" t="str">
        <f>IFERROR(VLOOKUP(F370,設定!$C$11:$F$111,4,FALSE),"")</f>
        <v/>
      </c>
      <c r="J370" s="122"/>
    </row>
    <row r="371" spans="2:10" s="3" customFormat="1" ht="24" customHeight="1" x14ac:dyDescent="0.2">
      <c r="B371" s="68"/>
      <c r="C371" s="69"/>
      <c r="D371" s="86"/>
      <c r="E371" s="116" t="str">
        <f>IFERROR(VLOOKUP(D371,'リスト '!$A$2:$B$15,2,FALSE),"")</f>
        <v/>
      </c>
      <c r="F371" s="70"/>
      <c r="G371" s="71" t="str">
        <f>IFERROR(VLOOKUP(F371,設定!$C$11:$F$111,2,FALSE),"")</f>
        <v/>
      </c>
      <c r="H371" s="71" t="str">
        <f>IFERROR(VLOOKUP(F371,設定!$C$11:$F$111,3,FALSE),"")</f>
        <v/>
      </c>
      <c r="I371" s="71" t="str">
        <f>IFERROR(VLOOKUP(F371,設定!$C$11:$F$111,4,FALSE),"")</f>
        <v/>
      </c>
      <c r="J371" s="122"/>
    </row>
    <row r="372" spans="2:10" s="3" customFormat="1" ht="24" customHeight="1" x14ac:dyDescent="0.2">
      <c r="B372" s="68"/>
      <c r="C372" s="69"/>
      <c r="D372" s="86"/>
      <c r="E372" s="116" t="str">
        <f>IFERROR(VLOOKUP(D372,'リスト '!$A$2:$B$15,2,FALSE),"")</f>
        <v/>
      </c>
      <c r="F372" s="70"/>
      <c r="G372" s="71" t="str">
        <f>IFERROR(VLOOKUP(F372,設定!$C$11:$F$111,2,FALSE),"")</f>
        <v/>
      </c>
      <c r="H372" s="71" t="str">
        <f>IFERROR(VLOOKUP(F372,設定!$C$11:$F$111,3,FALSE),"")</f>
        <v/>
      </c>
      <c r="I372" s="71" t="str">
        <f>IFERROR(VLOOKUP(F372,設定!$C$11:$F$111,4,FALSE),"")</f>
        <v/>
      </c>
      <c r="J372" s="122"/>
    </row>
    <row r="373" spans="2:10" s="3" customFormat="1" ht="24" customHeight="1" x14ac:dyDescent="0.2">
      <c r="B373" s="68"/>
      <c r="C373" s="69"/>
      <c r="D373" s="86"/>
      <c r="E373" s="116" t="str">
        <f>IFERROR(VLOOKUP(D373,'リスト '!$A$2:$B$15,2,FALSE),"")</f>
        <v/>
      </c>
      <c r="F373" s="70"/>
      <c r="G373" s="71" t="str">
        <f>IFERROR(VLOOKUP(F373,設定!$C$11:$F$111,2,FALSE),"")</f>
        <v/>
      </c>
      <c r="H373" s="71" t="str">
        <f>IFERROR(VLOOKUP(F373,設定!$C$11:$F$111,3,FALSE),"")</f>
        <v/>
      </c>
      <c r="I373" s="71" t="str">
        <f>IFERROR(VLOOKUP(F373,設定!$C$11:$F$111,4,FALSE),"")</f>
        <v/>
      </c>
      <c r="J373" s="122"/>
    </row>
    <row r="374" spans="2:10" s="3" customFormat="1" ht="24" customHeight="1" x14ac:dyDescent="0.2">
      <c r="B374" s="68"/>
      <c r="C374" s="69"/>
      <c r="D374" s="86"/>
      <c r="E374" s="116" t="str">
        <f>IFERROR(VLOOKUP(D374,'リスト '!$A$2:$B$15,2,FALSE),"")</f>
        <v/>
      </c>
      <c r="F374" s="70"/>
      <c r="G374" s="71" t="str">
        <f>IFERROR(VLOOKUP(F374,設定!$C$11:$F$111,2,FALSE),"")</f>
        <v/>
      </c>
      <c r="H374" s="71" t="str">
        <f>IFERROR(VLOOKUP(F374,設定!$C$11:$F$111,3,FALSE),"")</f>
        <v/>
      </c>
      <c r="I374" s="71" t="str">
        <f>IFERROR(VLOOKUP(F374,設定!$C$11:$F$111,4,FALSE),"")</f>
        <v/>
      </c>
      <c r="J374" s="122"/>
    </row>
    <row r="375" spans="2:10" s="3" customFormat="1" ht="24" customHeight="1" x14ac:dyDescent="0.2">
      <c r="B375" s="68"/>
      <c r="C375" s="69"/>
      <c r="D375" s="86"/>
      <c r="E375" s="116" t="str">
        <f>IFERROR(VLOOKUP(D375,'リスト '!$A$2:$B$15,2,FALSE),"")</f>
        <v/>
      </c>
      <c r="F375" s="70"/>
      <c r="G375" s="71" t="str">
        <f>IFERROR(VLOOKUP(F375,設定!$C$11:$F$111,2,FALSE),"")</f>
        <v/>
      </c>
      <c r="H375" s="71" t="str">
        <f>IFERROR(VLOOKUP(F375,設定!$C$11:$F$111,3,FALSE),"")</f>
        <v/>
      </c>
      <c r="I375" s="71" t="str">
        <f>IFERROR(VLOOKUP(F375,設定!$C$11:$F$111,4,FALSE),"")</f>
        <v/>
      </c>
      <c r="J375" s="122"/>
    </row>
    <row r="376" spans="2:10" s="3" customFormat="1" ht="24" customHeight="1" x14ac:dyDescent="0.2">
      <c r="B376" s="68"/>
      <c r="C376" s="69"/>
      <c r="D376" s="86"/>
      <c r="E376" s="116" t="str">
        <f>IFERROR(VLOOKUP(D376,'リスト '!$A$2:$B$15,2,FALSE),"")</f>
        <v/>
      </c>
      <c r="F376" s="70"/>
      <c r="G376" s="71" t="str">
        <f>IFERROR(VLOOKUP(F376,設定!$C$11:$F$111,2,FALSE),"")</f>
        <v/>
      </c>
      <c r="H376" s="71" t="str">
        <f>IFERROR(VLOOKUP(F376,設定!$C$11:$F$111,3,FALSE),"")</f>
        <v/>
      </c>
      <c r="I376" s="71" t="str">
        <f>IFERROR(VLOOKUP(F376,設定!$C$11:$F$111,4,FALSE),"")</f>
        <v/>
      </c>
      <c r="J376" s="122"/>
    </row>
    <row r="377" spans="2:10" s="3" customFormat="1" ht="24" customHeight="1" x14ac:dyDescent="0.2">
      <c r="B377" s="68"/>
      <c r="C377" s="69"/>
      <c r="D377" s="86"/>
      <c r="E377" s="116" t="str">
        <f>IFERROR(VLOOKUP(D377,'リスト '!$A$2:$B$15,2,FALSE),"")</f>
        <v/>
      </c>
      <c r="F377" s="70"/>
      <c r="G377" s="71" t="str">
        <f>IFERROR(VLOOKUP(F377,設定!$C$11:$F$111,2,FALSE),"")</f>
        <v/>
      </c>
      <c r="H377" s="71" t="str">
        <f>IFERROR(VLOOKUP(F377,設定!$C$11:$F$111,3,FALSE),"")</f>
        <v/>
      </c>
      <c r="I377" s="71" t="str">
        <f>IFERROR(VLOOKUP(F377,設定!$C$11:$F$111,4,FALSE),"")</f>
        <v/>
      </c>
      <c r="J377" s="122"/>
    </row>
    <row r="378" spans="2:10" s="3" customFormat="1" ht="24" customHeight="1" x14ac:dyDescent="0.2">
      <c r="B378" s="68"/>
      <c r="C378" s="69"/>
      <c r="D378" s="86"/>
      <c r="E378" s="116" t="str">
        <f>IFERROR(VLOOKUP(D378,'リスト '!$A$2:$B$15,2,FALSE),"")</f>
        <v/>
      </c>
      <c r="F378" s="70"/>
      <c r="G378" s="71" t="str">
        <f>IFERROR(VLOOKUP(F378,設定!$C$11:$F$111,2,FALSE),"")</f>
        <v/>
      </c>
      <c r="H378" s="71" t="str">
        <f>IFERROR(VLOOKUP(F378,設定!$C$11:$F$111,3,FALSE),"")</f>
        <v/>
      </c>
      <c r="I378" s="71" t="str">
        <f>IFERROR(VLOOKUP(F378,設定!$C$11:$F$111,4,FALSE),"")</f>
        <v/>
      </c>
      <c r="J378" s="122"/>
    </row>
    <row r="379" spans="2:10" s="3" customFormat="1" ht="24" customHeight="1" x14ac:dyDescent="0.2">
      <c r="B379" s="68"/>
      <c r="C379" s="69"/>
      <c r="D379" s="86"/>
      <c r="E379" s="116" t="str">
        <f>IFERROR(VLOOKUP(D379,'リスト '!$A$2:$B$15,2,FALSE),"")</f>
        <v/>
      </c>
      <c r="F379" s="70"/>
      <c r="G379" s="71" t="str">
        <f>IFERROR(VLOOKUP(F379,設定!$C$11:$F$111,2,FALSE),"")</f>
        <v/>
      </c>
      <c r="H379" s="71" t="str">
        <f>IFERROR(VLOOKUP(F379,設定!$C$11:$F$111,3,FALSE),"")</f>
        <v/>
      </c>
      <c r="I379" s="71" t="str">
        <f>IFERROR(VLOOKUP(F379,設定!$C$11:$F$111,4,FALSE),"")</f>
        <v/>
      </c>
      <c r="J379" s="122"/>
    </row>
    <row r="380" spans="2:10" s="3" customFormat="1" ht="24" customHeight="1" x14ac:dyDescent="0.2">
      <c r="B380" s="68"/>
      <c r="C380" s="69"/>
      <c r="D380" s="86"/>
      <c r="E380" s="116" t="str">
        <f>IFERROR(VLOOKUP(D380,'リスト '!$A$2:$B$15,2,FALSE),"")</f>
        <v/>
      </c>
      <c r="F380" s="70"/>
      <c r="G380" s="71" t="str">
        <f>IFERROR(VLOOKUP(F380,設定!$C$11:$F$111,2,FALSE),"")</f>
        <v/>
      </c>
      <c r="H380" s="71" t="str">
        <f>IFERROR(VLOOKUP(F380,設定!$C$11:$F$111,3,FALSE),"")</f>
        <v/>
      </c>
      <c r="I380" s="71" t="str">
        <f>IFERROR(VLOOKUP(F380,設定!$C$11:$F$111,4,FALSE),"")</f>
        <v/>
      </c>
      <c r="J380" s="122"/>
    </row>
    <row r="381" spans="2:10" s="3" customFormat="1" ht="24" customHeight="1" x14ac:dyDescent="0.2">
      <c r="B381" s="68"/>
      <c r="C381" s="69"/>
      <c r="D381" s="86"/>
      <c r="E381" s="116" t="str">
        <f>IFERROR(VLOOKUP(D381,'リスト '!$A$2:$B$15,2,FALSE),"")</f>
        <v/>
      </c>
      <c r="F381" s="70"/>
      <c r="G381" s="71" t="str">
        <f>IFERROR(VLOOKUP(F381,設定!$C$11:$F$111,2,FALSE),"")</f>
        <v/>
      </c>
      <c r="H381" s="71" t="str">
        <f>IFERROR(VLOOKUP(F381,設定!$C$11:$F$111,3,FALSE),"")</f>
        <v/>
      </c>
      <c r="I381" s="71" t="str">
        <f>IFERROR(VLOOKUP(F381,設定!$C$11:$F$111,4,FALSE),"")</f>
        <v/>
      </c>
      <c r="J381" s="122"/>
    </row>
    <row r="382" spans="2:10" s="3" customFormat="1" ht="24" customHeight="1" x14ac:dyDescent="0.2">
      <c r="B382" s="68"/>
      <c r="C382" s="69"/>
      <c r="D382" s="86"/>
      <c r="E382" s="116" t="str">
        <f>IFERROR(VLOOKUP(D382,'リスト '!$A$2:$B$15,2,FALSE),"")</f>
        <v/>
      </c>
      <c r="F382" s="70"/>
      <c r="G382" s="71" t="str">
        <f>IFERROR(VLOOKUP(F382,設定!$C$11:$F$111,2,FALSE),"")</f>
        <v/>
      </c>
      <c r="H382" s="71" t="str">
        <f>IFERROR(VLOOKUP(F382,設定!$C$11:$F$111,3,FALSE),"")</f>
        <v/>
      </c>
      <c r="I382" s="71" t="str">
        <f>IFERROR(VLOOKUP(F382,設定!$C$11:$F$111,4,FALSE),"")</f>
        <v/>
      </c>
      <c r="J382" s="122"/>
    </row>
    <row r="383" spans="2:10" s="3" customFormat="1" ht="24" customHeight="1" x14ac:dyDescent="0.2">
      <c r="B383" s="68"/>
      <c r="C383" s="69"/>
      <c r="D383" s="86"/>
      <c r="E383" s="116" t="str">
        <f>IFERROR(VLOOKUP(D383,'リスト '!$A$2:$B$15,2,FALSE),"")</f>
        <v/>
      </c>
      <c r="F383" s="70"/>
      <c r="G383" s="71" t="str">
        <f>IFERROR(VLOOKUP(F383,設定!$C$11:$F$111,2,FALSE),"")</f>
        <v/>
      </c>
      <c r="H383" s="71" t="str">
        <f>IFERROR(VLOOKUP(F383,設定!$C$11:$F$111,3,FALSE),"")</f>
        <v/>
      </c>
      <c r="I383" s="71" t="str">
        <f>IFERROR(VLOOKUP(F383,設定!$C$11:$F$111,4,FALSE),"")</f>
        <v/>
      </c>
      <c r="J383" s="122"/>
    </row>
    <row r="384" spans="2:10" s="3" customFormat="1" ht="24" customHeight="1" x14ac:dyDescent="0.2">
      <c r="B384" s="68"/>
      <c r="C384" s="69"/>
      <c r="D384" s="86"/>
      <c r="E384" s="116" t="str">
        <f>IFERROR(VLOOKUP(D384,'リスト '!$A$2:$B$15,2,FALSE),"")</f>
        <v/>
      </c>
      <c r="F384" s="70"/>
      <c r="G384" s="71" t="str">
        <f>IFERROR(VLOOKUP(F384,設定!$C$11:$F$111,2,FALSE),"")</f>
        <v/>
      </c>
      <c r="H384" s="71" t="str">
        <f>IFERROR(VLOOKUP(F384,設定!$C$11:$F$111,3,FALSE),"")</f>
        <v/>
      </c>
      <c r="I384" s="71" t="str">
        <f>IFERROR(VLOOKUP(F384,設定!$C$11:$F$111,4,FALSE),"")</f>
        <v/>
      </c>
      <c r="J384" s="122"/>
    </row>
    <row r="385" spans="2:10" s="3" customFormat="1" ht="24" customHeight="1" x14ac:dyDescent="0.2">
      <c r="B385" s="68"/>
      <c r="C385" s="69"/>
      <c r="D385" s="86"/>
      <c r="E385" s="116" t="str">
        <f>IFERROR(VLOOKUP(D385,'リスト '!$A$2:$B$15,2,FALSE),"")</f>
        <v/>
      </c>
      <c r="F385" s="70"/>
      <c r="G385" s="71" t="str">
        <f>IFERROR(VLOOKUP(F385,設定!$C$11:$F$111,2,FALSE),"")</f>
        <v/>
      </c>
      <c r="H385" s="71" t="str">
        <f>IFERROR(VLOOKUP(F385,設定!$C$11:$F$111,3,FALSE),"")</f>
        <v/>
      </c>
      <c r="I385" s="71" t="str">
        <f>IFERROR(VLOOKUP(F385,設定!$C$11:$F$111,4,FALSE),"")</f>
        <v/>
      </c>
      <c r="J385" s="122"/>
    </row>
    <row r="386" spans="2:10" s="3" customFormat="1" ht="24" customHeight="1" x14ac:dyDescent="0.2">
      <c r="B386" s="68"/>
      <c r="C386" s="69"/>
      <c r="D386" s="86"/>
      <c r="E386" s="116" t="str">
        <f>IFERROR(VLOOKUP(D386,'リスト '!$A$2:$B$15,2,FALSE),"")</f>
        <v/>
      </c>
      <c r="F386" s="70"/>
      <c r="G386" s="71" t="str">
        <f>IFERROR(VLOOKUP(F386,設定!$C$11:$F$111,2,FALSE),"")</f>
        <v/>
      </c>
      <c r="H386" s="71" t="str">
        <f>IFERROR(VLOOKUP(F386,設定!$C$11:$F$111,3,FALSE),"")</f>
        <v/>
      </c>
      <c r="I386" s="71" t="str">
        <f>IFERROR(VLOOKUP(F386,設定!$C$11:$F$111,4,FALSE),"")</f>
        <v/>
      </c>
      <c r="J386" s="122"/>
    </row>
    <row r="387" spans="2:10" s="3" customFormat="1" ht="24" customHeight="1" x14ac:dyDescent="0.2">
      <c r="B387" s="68"/>
      <c r="C387" s="69"/>
      <c r="D387" s="86"/>
      <c r="E387" s="116" t="str">
        <f>IFERROR(VLOOKUP(D387,'リスト '!$A$2:$B$15,2,FALSE),"")</f>
        <v/>
      </c>
      <c r="F387" s="70"/>
      <c r="G387" s="71" t="str">
        <f>IFERROR(VLOOKUP(F387,設定!$C$11:$F$111,2,FALSE),"")</f>
        <v/>
      </c>
      <c r="H387" s="71" t="str">
        <f>IFERROR(VLOOKUP(F387,設定!$C$11:$F$111,3,FALSE),"")</f>
        <v/>
      </c>
      <c r="I387" s="71" t="str">
        <f>IFERROR(VLOOKUP(F387,設定!$C$11:$F$111,4,FALSE),"")</f>
        <v/>
      </c>
      <c r="J387" s="122"/>
    </row>
    <row r="388" spans="2:10" s="3" customFormat="1" ht="24" customHeight="1" x14ac:dyDescent="0.2">
      <c r="B388" s="68"/>
      <c r="C388" s="69"/>
      <c r="D388" s="86"/>
      <c r="E388" s="116" t="str">
        <f>IFERROR(VLOOKUP(D388,'リスト '!$A$2:$B$15,2,FALSE),"")</f>
        <v/>
      </c>
      <c r="F388" s="70"/>
      <c r="G388" s="71" t="str">
        <f>IFERROR(VLOOKUP(F388,設定!$C$11:$F$111,2,FALSE),"")</f>
        <v/>
      </c>
      <c r="H388" s="71" t="str">
        <f>IFERROR(VLOOKUP(F388,設定!$C$11:$F$111,3,FALSE),"")</f>
        <v/>
      </c>
      <c r="I388" s="71" t="str">
        <f>IFERROR(VLOOKUP(F388,設定!$C$11:$F$111,4,FALSE),"")</f>
        <v/>
      </c>
      <c r="J388" s="122"/>
    </row>
    <row r="389" spans="2:10" s="3" customFormat="1" ht="24" customHeight="1" x14ac:dyDescent="0.2">
      <c r="B389" s="68"/>
      <c r="C389" s="69"/>
      <c r="D389" s="86"/>
      <c r="E389" s="116" t="str">
        <f>IFERROR(VLOOKUP(D389,'リスト '!$A$2:$B$15,2,FALSE),"")</f>
        <v/>
      </c>
      <c r="F389" s="70"/>
      <c r="G389" s="71" t="str">
        <f>IFERROR(VLOOKUP(F389,設定!$C$11:$F$111,2,FALSE),"")</f>
        <v/>
      </c>
      <c r="H389" s="71" t="str">
        <f>IFERROR(VLOOKUP(F389,設定!$C$11:$F$111,3,FALSE),"")</f>
        <v/>
      </c>
      <c r="I389" s="71" t="str">
        <f>IFERROR(VLOOKUP(F389,設定!$C$11:$F$111,4,FALSE),"")</f>
        <v/>
      </c>
      <c r="J389" s="122"/>
    </row>
    <row r="390" spans="2:10" s="3" customFormat="1" ht="24" customHeight="1" x14ac:dyDescent="0.2">
      <c r="B390" s="68"/>
      <c r="C390" s="69"/>
      <c r="D390" s="86"/>
      <c r="E390" s="116" t="str">
        <f>IFERROR(VLOOKUP(D390,'リスト '!$A$2:$B$15,2,FALSE),"")</f>
        <v/>
      </c>
      <c r="F390" s="70"/>
      <c r="G390" s="71" t="str">
        <f>IFERROR(VLOOKUP(F390,設定!$C$11:$F$111,2,FALSE),"")</f>
        <v/>
      </c>
      <c r="H390" s="71" t="str">
        <f>IFERROR(VLOOKUP(F390,設定!$C$11:$F$111,3,FALSE),"")</f>
        <v/>
      </c>
      <c r="I390" s="71" t="str">
        <f>IFERROR(VLOOKUP(F390,設定!$C$11:$F$111,4,FALSE),"")</f>
        <v/>
      </c>
      <c r="J390" s="122"/>
    </row>
    <row r="391" spans="2:10" s="3" customFormat="1" ht="24" customHeight="1" x14ac:dyDescent="0.2">
      <c r="B391" s="68"/>
      <c r="C391" s="69"/>
      <c r="D391" s="86"/>
      <c r="E391" s="116" t="str">
        <f>IFERROR(VLOOKUP(D391,'リスト '!$A$2:$B$15,2,FALSE),"")</f>
        <v/>
      </c>
      <c r="F391" s="70"/>
      <c r="G391" s="71" t="str">
        <f>IFERROR(VLOOKUP(F391,設定!$C$11:$F$111,2,FALSE),"")</f>
        <v/>
      </c>
      <c r="H391" s="71" t="str">
        <f>IFERROR(VLOOKUP(F391,設定!$C$11:$F$111,3,FALSE),"")</f>
        <v/>
      </c>
      <c r="I391" s="71" t="str">
        <f>IFERROR(VLOOKUP(F391,設定!$C$11:$F$111,4,FALSE),"")</f>
        <v/>
      </c>
      <c r="J391" s="122"/>
    </row>
    <row r="392" spans="2:10" s="3" customFormat="1" ht="24" customHeight="1" x14ac:dyDescent="0.2">
      <c r="B392" s="68"/>
      <c r="C392" s="69"/>
      <c r="D392" s="86"/>
      <c r="E392" s="116" t="str">
        <f>IFERROR(VLOOKUP(D392,'リスト '!$A$2:$B$15,2,FALSE),"")</f>
        <v/>
      </c>
      <c r="F392" s="70"/>
      <c r="G392" s="71" t="str">
        <f>IFERROR(VLOOKUP(F392,設定!$C$11:$F$111,2,FALSE),"")</f>
        <v/>
      </c>
      <c r="H392" s="71" t="str">
        <f>IFERROR(VLOOKUP(F392,設定!$C$11:$F$111,3,FALSE),"")</f>
        <v/>
      </c>
      <c r="I392" s="71" t="str">
        <f>IFERROR(VLOOKUP(F392,設定!$C$11:$F$111,4,FALSE),"")</f>
        <v/>
      </c>
      <c r="J392" s="122"/>
    </row>
    <row r="393" spans="2:10" s="3" customFormat="1" ht="24" customHeight="1" x14ac:dyDescent="0.2">
      <c r="B393" s="68"/>
      <c r="C393" s="69"/>
      <c r="D393" s="86"/>
      <c r="E393" s="116" t="str">
        <f>IFERROR(VLOOKUP(D393,'リスト '!$A$2:$B$15,2,FALSE),"")</f>
        <v/>
      </c>
      <c r="F393" s="70"/>
      <c r="G393" s="71" t="str">
        <f>IFERROR(VLOOKUP(F393,設定!$C$11:$F$111,2,FALSE),"")</f>
        <v/>
      </c>
      <c r="H393" s="71" t="str">
        <f>IFERROR(VLOOKUP(F393,設定!$C$11:$F$111,3,FALSE),"")</f>
        <v/>
      </c>
      <c r="I393" s="71" t="str">
        <f>IFERROR(VLOOKUP(F393,設定!$C$11:$F$111,4,FALSE),"")</f>
        <v/>
      </c>
      <c r="J393" s="122"/>
    </row>
    <row r="394" spans="2:10" s="3" customFormat="1" ht="24" customHeight="1" x14ac:dyDescent="0.2">
      <c r="B394" s="68"/>
      <c r="C394" s="69"/>
      <c r="D394" s="86"/>
      <c r="E394" s="116" t="str">
        <f>IFERROR(VLOOKUP(D394,'リスト '!$A$2:$B$15,2,FALSE),"")</f>
        <v/>
      </c>
      <c r="F394" s="70"/>
      <c r="G394" s="71" t="str">
        <f>IFERROR(VLOOKUP(F394,設定!$C$11:$F$111,2,FALSE),"")</f>
        <v/>
      </c>
      <c r="H394" s="71" t="str">
        <f>IFERROR(VLOOKUP(F394,設定!$C$11:$F$111,3,FALSE),"")</f>
        <v/>
      </c>
      <c r="I394" s="71" t="str">
        <f>IFERROR(VLOOKUP(F394,設定!$C$11:$F$111,4,FALSE),"")</f>
        <v/>
      </c>
      <c r="J394" s="122"/>
    </row>
    <row r="395" spans="2:10" s="3" customFormat="1" ht="24" customHeight="1" x14ac:dyDescent="0.2">
      <c r="B395" s="68"/>
      <c r="C395" s="69"/>
      <c r="D395" s="86"/>
      <c r="E395" s="116" t="str">
        <f>IFERROR(VLOOKUP(D395,'リスト '!$A$2:$B$15,2,FALSE),"")</f>
        <v/>
      </c>
      <c r="F395" s="70"/>
      <c r="G395" s="71" t="str">
        <f>IFERROR(VLOOKUP(F395,設定!$C$11:$F$111,2,FALSE),"")</f>
        <v/>
      </c>
      <c r="H395" s="71" t="str">
        <f>IFERROR(VLOOKUP(F395,設定!$C$11:$F$111,3,FALSE),"")</f>
        <v/>
      </c>
      <c r="I395" s="71" t="str">
        <f>IFERROR(VLOOKUP(F395,設定!$C$11:$F$111,4,FALSE),"")</f>
        <v/>
      </c>
      <c r="J395" s="122"/>
    </row>
    <row r="396" spans="2:10" s="3" customFormat="1" ht="24" customHeight="1" x14ac:dyDescent="0.2">
      <c r="B396" s="68"/>
      <c r="C396" s="69"/>
      <c r="D396" s="86"/>
      <c r="E396" s="116" t="str">
        <f>IFERROR(VLOOKUP(D396,'リスト '!$A$2:$B$15,2,FALSE),"")</f>
        <v/>
      </c>
      <c r="F396" s="70"/>
      <c r="G396" s="71" t="str">
        <f>IFERROR(VLOOKUP(F396,設定!$C$11:$F$111,2,FALSE),"")</f>
        <v/>
      </c>
      <c r="H396" s="71" t="str">
        <f>IFERROR(VLOOKUP(F396,設定!$C$11:$F$111,3,FALSE),"")</f>
        <v/>
      </c>
      <c r="I396" s="71" t="str">
        <f>IFERROR(VLOOKUP(F396,設定!$C$11:$F$111,4,FALSE),"")</f>
        <v/>
      </c>
      <c r="J396" s="122"/>
    </row>
    <row r="397" spans="2:10" s="3" customFormat="1" ht="24" customHeight="1" x14ac:dyDescent="0.2">
      <c r="B397" s="68"/>
      <c r="C397" s="69"/>
      <c r="D397" s="86"/>
      <c r="E397" s="116" t="str">
        <f>IFERROR(VLOOKUP(D397,'リスト '!$A$2:$B$15,2,FALSE),"")</f>
        <v/>
      </c>
      <c r="F397" s="70"/>
      <c r="G397" s="71" t="str">
        <f>IFERROR(VLOOKUP(F397,設定!$C$11:$F$111,2,FALSE),"")</f>
        <v/>
      </c>
      <c r="H397" s="71" t="str">
        <f>IFERROR(VLOOKUP(F397,設定!$C$11:$F$111,3,FALSE),"")</f>
        <v/>
      </c>
      <c r="I397" s="71" t="str">
        <f>IFERROR(VLOOKUP(F397,設定!$C$11:$F$111,4,FALSE),"")</f>
        <v/>
      </c>
      <c r="J397" s="122"/>
    </row>
    <row r="398" spans="2:10" s="3" customFormat="1" ht="24" customHeight="1" x14ac:dyDescent="0.2">
      <c r="B398" s="68"/>
      <c r="C398" s="69"/>
      <c r="D398" s="86"/>
      <c r="E398" s="116" t="str">
        <f>IFERROR(VLOOKUP(D398,'リスト '!$A$2:$B$15,2,FALSE),"")</f>
        <v/>
      </c>
      <c r="F398" s="70"/>
      <c r="G398" s="71" t="str">
        <f>IFERROR(VLOOKUP(F398,設定!$C$11:$F$111,2,FALSE),"")</f>
        <v/>
      </c>
      <c r="H398" s="71" t="str">
        <f>IFERROR(VLOOKUP(F398,設定!$C$11:$F$111,3,FALSE),"")</f>
        <v/>
      </c>
      <c r="I398" s="71" t="str">
        <f>IFERROR(VLOOKUP(F398,設定!$C$11:$F$111,4,FALSE),"")</f>
        <v/>
      </c>
      <c r="J398" s="122"/>
    </row>
    <row r="399" spans="2:10" s="3" customFormat="1" ht="24" customHeight="1" x14ac:dyDescent="0.2">
      <c r="B399" s="68"/>
      <c r="C399" s="69"/>
      <c r="D399" s="86"/>
      <c r="E399" s="116" t="str">
        <f>IFERROR(VLOOKUP(D399,'リスト '!$A$2:$B$15,2,FALSE),"")</f>
        <v/>
      </c>
      <c r="F399" s="70"/>
      <c r="G399" s="71" t="str">
        <f>IFERROR(VLOOKUP(F399,設定!$C$11:$F$111,2,FALSE),"")</f>
        <v/>
      </c>
      <c r="H399" s="71" t="str">
        <f>IFERROR(VLOOKUP(F399,設定!$C$11:$F$111,3,FALSE),"")</f>
        <v/>
      </c>
      <c r="I399" s="71" t="str">
        <f>IFERROR(VLOOKUP(F399,設定!$C$11:$F$111,4,FALSE),"")</f>
        <v/>
      </c>
      <c r="J399" s="122"/>
    </row>
    <row r="400" spans="2:10" s="3" customFormat="1" ht="24" customHeight="1" x14ac:dyDescent="0.2">
      <c r="B400" s="68"/>
      <c r="C400" s="69"/>
      <c r="D400" s="86"/>
      <c r="E400" s="116" t="str">
        <f>IFERROR(VLOOKUP(D400,'リスト '!$A$2:$B$15,2,FALSE),"")</f>
        <v/>
      </c>
      <c r="F400" s="70"/>
      <c r="G400" s="71" t="str">
        <f>IFERROR(VLOOKUP(F400,設定!$C$11:$F$111,2,FALSE),"")</f>
        <v/>
      </c>
      <c r="H400" s="71" t="str">
        <f>IFERROR(VLOOKUP(F400,設定!$C$11:$F$111,3,FALSE),"")</f>
        <v/>
      </c>
      <c r="I400" s="71" t="str">
        <f>IFERROR(VLOOKUP(F400,設定!$C$11:$F$111,4,FALSE),"")</f>
        <v/>
      </c>
      <c r="J400" s="122"/>
    </row>
    <row r="401" spans="2:10" s="3" customFormat="1" ht="24" customHeight="1" x14ac:dyDescent="0.2">
      <c r="B401" s="68"/>
      <c r="C401" s="69"/>
      <c r="D401" s="86"/>
      <c r="E401" s="116" t="str">
        <f>IFERROR(VLOOKUP(D401,'リスト '!$A$2:$B$15,2,FALSE),"")</f>
        <v/>
      </c>
      <c r="F401" s="70"/>
      <c r="G401" s="71" t="str">
        <f>IFERROR(VLOOKUP(F401,設定!$C$11:$F$111,2,FALSE),"")</f>
        <v/>
      </c>
      <c r="H401" s="71" t="str">
        <f>IFERROR(VLOOKUP(F401,設定!$C$11:$F$111,3,FALSE),"")</f>
        <v/>
      </c>
      <c r="I401" s="71" t="str">
        <f>IFERROR(VLOOKUP(F401,設定!$C$11:$F$111,4,FALSE),"")</f>
        <v/>
      </c>
      <c r="J401" s="122"/>
    </row>
    <row r="402" spans="2:10" s="3" customFormat="1" ht="24" customHeight="1" x14ac:dyDescent="0.2">
      <c r="B402" s="68"/>
      <c r="C402" s="69"/>
      <c r="D402" s="86"/>
      <c r="E402" s="116" t="str">
        <f>IFERROR(VLOOKUP(D402,'リスト '!$A$2:$B$15,2,FALSE),"")</f>
        <v/>
      </c>
      <c r="F402" s="70"/>
      <c r="G402" s="71" t="str">
        <f>IFERROR(VLOOKUP(F402,設定!$C$11:$F$111,2,FALSE),"")</f>
        <v/>
      </c>
      <c r="H402" s="71" t="str">
        <f>IFERROR(VLOOKUP(F402,設定!$C$11:$F$111,3,FALSE),"")</f>
        <v/>
      </c>
      <c r="I402" s="71" t="str">
        <f>IFERROR(VLOOKUP(F402,設定!$C$11:$F$111,4,FALSE),"")</f>
        <v/>
      </c>
      <c r="J402" s="122"/>
    </row>
    <row r="403" spans="2:10" s="3" customFormat="1" ht="24" customHeight="1" x14ac:dyDescent="0.2">
      <c r="B403" s="68"/>
      <c r="C403" s="69"/>
      <c r="D403" s="86"/>
      <c r="E403" s="116" t="str">
        <f>IFERROR(VLOOKUP(D403,'リスト '!$A$2:$B$15,2,FALSE),"")</f>
        <v/>
      </c>
      <c r="F403" s="70"/>
      <c r="G403" s="71" t="str">
        <f>IFERROR(VLOOKUP(F403,設定!$C$11:$F$111,2,FALSE),"")</f>
        <v/>
      </c>
      <c r="H403" s="71" t="str">
        <f>IFERROR(VLOOKUP(F403,設定!$C$11:$F$111,3,FALSE),"")</f>
        <v/>
      </c>
      <c r="I403" s="71" t="str">
        <f>IFERROR(VLOOKUP(F403,設定!$C$11:$F$111,4,FALSE),"")</f>
        <v/>
      </c>
      <c r="J403" s="122"/>
    </row>
    <row r="404" spans="2:10" s="3" customFormat="1" ht="24" customHeight="1" x14ac:dyDescent="0.2">
      <c r="B404" s="68"/>
      <c r="C404" s="69"/>
      <c r="D404" s="86"/>
      <c r="E404" s="116" t="str">
        <f>IFERROR(VLOOKUP(D404,'リスト '!$A$2:$B$15,2,FALSE),"")</f>
        <v/>
      </c>
      <c r="F404" s="70"/>
      <c r="G404" s="71" t="str">
        <f>IFERROR(VLOOKUP(F404,設定!$C$11:$F$111,2,FALSE),"")</f>
        <v/>
      </c>
      <c r="H404" s="71" t="str">
        <f>IFERROR(VLOOKUP(F404,設定!$C$11:$F$111,3,FALSE),"")</f>
        <v/>
      </c>
      <c r="I404" s="71" t="str">
        <f>IFERROR(VLOOKUP(F404,設定!$C$11:$F$111,4,FALSE),"")</f>
        <v/>
      </c>
      <c r="J404" s="122"/>
    </row>
    <row r="405" spans="2:10" s="3" customFormat="1" ht="24" customHeight="1" x14ac:dyDescent="0.2">
      <c r="B405" s="68"/>
      <c r="C405" s="69"/>
      <c r="D405" s="86"/>
      <c r="E405" s="116" t="str">
        <f>IFERROR(VLOOKUP(D405,'リスト '!$A$2:$B$15,2,FALSE),"")</f>
        <v/>
      </c>
      <c r="F405" s="70"/>
      <c r="G405" s="71" t="str">
        <f>IFERROR(VLOOKUP(F405,設定!$C$11:$F$111,2,FALSE),"")</f>
        <v/>
      </c>
      <c r="H405" s="71" t="str">
        <f>IFERROR(VLOOKUP(F405,設定!$C$11:$F$111,3,FALSE),"")</f>
        <v/>
      </c>
      <c r="I405" s="71" t="str">
        <f>IFERROR(VLOOKUP(F405,設定!$C$11:$F$111,4,FALSE),"")</f>
        <v/>
      </c>
      <c r="J405" s="122"/>
    </row>
    <row r="406" spans="2:10" s="3" customFormat="1" ht="24" customHeight="1" x14ac:dyDescent="0.2">
      <c r="B406" s="68"/>
      <c r="C406" s="69"/>
      <c r="D406" s="86"/>
      <c r="E406" s="116" t="str">
        <f>IFERROR(VLOOKUP(D406,'リスト '!$A$2:$B$15,2,FALSE),"")</f>
        <v/>
      </c>
      <c r="F406" s="70"/>
      <c r="G406" s="71" t="str">
        <f>IFERROR(VLOOKUP(F406,設定!$C$11:$F$111,2,FALSE),"")</f>
        <v/>
      </c>
      <c r="H406" s="71" t="str">
        <f>IFERROR(VLOOKUP(F406,設定!$C$11:$F$111,3,FALSE),"")</f>
        <v/>
      </c>
      <c r="I406" s="71" t="str">
        <f>IFERROR(VLOOKUP(F406,設定!$C$11:$F$111,4,FALSE),"")</f>
        <v/>
      </c>
      <c r="J406" s="122"/>
    </row>
    <row r="407" spans="2:10" s="3" customFormat="1" ht="24" customHeight="1" x14ac:dyDescent="0.2">
      <c r="B407" s="68"/>
      <c r="C407" s="69"/>
      <c r="D407" s="86"/>
      <c r="E407" s="116" t="str">
        <f>IFERROR(VLOOKUP(D407,'リスト '!$A$2:$B$15,2,FALSE),"")</f>
        <v/>
      </c>
      <c r="F407" s="70"/>
      <c r="G407" s="71" t="str">
        <f>IFERROR(VLOOKUP(F407,設定!$C$11:$F$111,2,FALSE),"")</f>
        <v/>
      </c>
      <c r="H407" s="71" t="str">
        <f>IFERROR(VLOOKUP(F407,設定!$C$11:$F$111,3,FALSE),"")</f>
        <v/>
      </c>
      <c r="I407" s="71" t="str">
        <f>IFERROR(VLOOKUP(F407,設定!$C$11:$F$111,4,FALSE),"")</f>
        <v/>
      </c>
      <c r="J407" s="122"/>
    </row>
    <row r="408" spans="2:10" s="3" customFormat="1" ht="24" customHeight="1" x14ac:dyDescent="0.2">
      <c r="B408" s="68"/>
      <c r="C408" s="69"/>
      <c r="D408" s="86"/>
      <c r="E408" s="116" t="str">
        <f>IFERROR(VLOOKUP(D408,'リスト '!$A$2:$B$15,2,FALSE),"")</f>
        <v/>
      </c>
      <c r="F408" s="70"/>
      <c r="G408" s="71" t="str">
        <f>IFERROR(VLOOKUP(F408,設定!$C$11:$F$111,2,FALSE),"")</f>
        <v/>
      </c>
      <c r="H408" s="71" t="str">
        <f>IFERROR(VLOOKUP(F408,設定!$C$11:$F$111,3,FALSE),"")</f>
        <v/>
      </c>
      <c r="I408" s="71" t="str">
        <f>IFERROR(VLOOKUP(F408,設定!$C$11:$F$111,4,FALSE),"")</f>
        <v/>
      </c>
      <c r="J408" s="122"/>
    </row>
    <row r="409" spans="2:10" s="3" customFormat="1" ht="24" customHeight="1" x14ac:dyDescent="0.2">
      <c r="B409" s="68"/>
      <c r="C409" s="69"/>
      <c r="D409" s="86"/>
      <c r="E409" s="116" t="str">
        <f>IFERROR(VLOOKUP(D409,'リスト '!$A$2:$B$15,2,FALSE),"")</f>
        <v/>
      </c>
      <c r="F409" s="70"/>
      <c r="G409" s="71" t="str">
        <f>IFERROR(VLOOKUP(F409,設定!$C$11:$F$111,2,FALSE),"")</f>
        <v/>
      </c>
      <c r="H409" s="71" t="str">
        <f>IFERROR(VLOOKUP(F409,設定!$C$11:$F$111,3,FALSE),"")</f>
        <v/>
      </c>
      <c r="I409" s="71" t="str">
        <f>IFERROR(VLOOKUP(F409,設定!$C$11:$F$111,4,FALSE),"")</f>
        <v/>
      </c>
      <c r="J409" s="122"/>
    </row>
    <row r="410" spans="2:10" s="3" customFormat="1" ht="24" customHeight="1" x14ac:dyDescent="0.2">
      <c r="B410" s="68"/>
      <c r="C410" s="69"/>
      <c r="D410" s="86"/>
      <c r="E410" s="116" t="str">
        <f>IFERROR(VLOOKUP(D410,'リスト '!$A$2:$B$15,2,FALSE),"")</f>
        <v/>
      </c>
      <c r="F410" s="70"/>
      <c r="G410" s="71" t="str">
        <f>IFERROR(VLOOKUP(F410,設定!$C$11:$F$111,2,FALSE),"")</f>
        <v/>
      </c>
      <c r="H410" s="71" t="str">
        <f>IFERROR(VLOOKUP(F410,設定!$C$11:$F$111,3,FALSE),"")</f>
        <v/>
      </c>
      <c r="I410" s="71" t="str">
        <f>IFERROR(VLOOKUP(F410,設定!$C$11:$F$111,4,FALSE),"")</f>
        <v/>
      </c>
      <c r="J410" s="122"/>
    </row>
    <row r="411" spans="2:10" s="3" customFormat="1" ht="24" customHeight="1" x14ac:dyDescent="0.2">
      <c r="B411" s="68"/>
      <c r="C411" s="69"/>
      <c r="D411" s="86"/>
      <c r="E411" s="116" t="str">
        <f>IFERROR(VLOOKUP(D411,'リスト '!$A$2:$B$15,2,FALSE),"")</f>
        <v/>
      </c>
      <c r="F411" s="70"/>
      <c r="G411" s="71" t="str">
        <f>IFERROR(VLOOKUP(F411,設定!$C$11:$F$111,2,FALSE),"")</f>
        <v/>
      </c>
      <c r="H411" s="71" t="str">
        <f>IFERROR(VLOOKUP(F411,設定!$C$11:$F$111,3,FALSE),"")</f>
        <v/>
      </c>
      <c r="I411" s="71" t="str">
        <f>IFERROR(VLOOKUP(F411,設定!$C$11:$F$111,4,FALSE),"")</f>
        <v/>
      </c>
      <c r="J411" s="122"/>
    </row>
    <row r="412" spans="2:10" s="3" customFormat="1" ht="24" customHeight="1" x14ac:dyDescent="0.2">
      <c r="B412" s="68"/>
      <c r="C412" s="69"/>
      <c r="D412" s="86"/>
      <c r="E412" s="116" t="str">
        <f>IFERROR(VLOOKUP(D412,'リスト '!$A$2:$B$15,2,FALSE),"")</f>
        <v/>
      </c>
      <c r="F412" s="70"/>
      <c r="G412" s="71" t="str">
        <f>IFERROR(VLOOKUP(F412,設定!$C$11:$F$111,2,FALSE),"")</f>
        <v/>
      </c>
      <c r="H412" s="71" t="str">
        <f>IFERROR(VLOOKUP(F412,設定!$C$11:$F$111,3,FALSE),"")</f>
        <v/>
      </c>
      <c r="I412" s="71" t="str">
        <f>IFERROR(VLOOKUP(F412,設定!$C$11:$F$111,4,FALSE),"")</f>
        <v/>
      </c>
      <c r="J412" s="122"/>
    </row>
    <row r="413" spans="2:10" s="3" customFormat="1" ht="24" customHeight="1" x14ac:dyDescent="0.2">
      <c r="B413" s="68"/>
      <c r="C413" s="69"/>
      <c r="D413" s="86"/>
      <c r="E413" s="116" t="str">
        <f>IFERROR(VLOOKUP(D413,'リスト '!$A$2:$B$15,2,FALSE),"")</f>
        <v/>
      </c>
      <c r="F413" s="70"/>
      <c r="G413" s="71" t="str">
        <f>IFERROR(VLOOKUP(F413,設定!$C$11:$F$111,2,FALSE),"")</f>
        <v/>
      </c>
      <c r="H413" s="71" t="str">
        <f>IFERROR(VLOOKUP(F413,設定!$C$11:$F$111,3,FALSE),"")</f>
        <v/>
      </c>
      <c r="I413" s="71" t="str">
        <f>IFERROR(VLOOKUP(F413,設定!$C$11:$F$111,4,FALSE),"")</f>
        <v/>
      </c>
      <c r="J413" s="122"/>
    </row>
    <row r="414" spans="2:10" s="3" customFormat="1" ht="24" customHeight="1" x14ac:dyDescent="0.2">
      <c r="B414" s="68"/>
      <c r="C414" s="69"/>
      <c r="D414" s="86"/>
      <c r="E414" s="116" t="str">
        <f>IFERROR(VLOOKUP(D414,'リスト '!$A$2:$B$15,2,FALSE),"")</f>
        <v/>
      </c>
      <c r="F414" s="70"/>
      <c r="G414" s="71" t="str">
        <f>IFERROR(VLOOKUP(F414,設定!$C$11:$F$111,2,FALSE),"")</f>
        <v/>
      </c>
      <c r="H414" s="71" t="str">
        <f>IFERROR(VLOOKUP(F414,設定!$C$11:$F$111,3,FALSE),"")</f>
        <v/>
      </c>
      <c r="I414" s="71" t="str">
        <f>IFERROR(VLOOKUP(F414,設定!$C$11:$F$111,4,FALSE),"")</f>
        <v/>
      </c>
      <c r="J414" s="122"/>
    </row>
    <row r="415" spans="2:10" s="3" customFormat="1" ht="24" customHeight="1" x14ac:dyDescent="0.2">
      <c r="B415" s="68"/>
      <c r="C415" s="69"/>
      <c r="D415" s="86"/>
      <c r="E415" s="116" t="str">
        <f>IFERROR(VLOOKUP(D415,'リスト '!$A$2:$B$15,2,FALSE),"")</f>
        <v/>
      </c>
      <c r="F415" s="70"/>
      <c r="G415" s="71" t="str">
        <f>IFERROR(VLOOKUP(F415,設定!$C$11:$F$111,2,FALSE),"")</f>
        <v/>
      </c>
      <c r="H415" s="71" t="str">
        <f>IFERROR(VLOOKUP(F415,設定!$C$11:$F$111,3,FALSE),"")</f>
        <v/>
      </c>
      <c r="I415" s="71" t="str">
        <f>IFERROR(VLOOKUP(F415,設定!$C$11:$F$111,4,FALSE),"")</f>
        <v/>
      </c>
      <c r="J415" s="122"/>
    </row>
    <row r="416" spans="2:10" s="3" customFormat="1" ht="24" customHeight="1" x14ac:dyDescent="0.2">
      <c r="B416" s="68"/>
      <c r="C416" s="69"/>
      <c r="D416" s="86"/>
      <c r="E416" s="116" t="str">
        <f>IFERROR(VLOOKUP(D416,'リスト '!$A$2:$B$15,2,FALSE),"")</f>
        <v/>
      </c>
      <c r="F416" s="70"/>
      <c r="G416" s="71" t="str">
        <f>IFERROR(VLOOKUP(F416,設定!$C$11:$F$111,2,FALSE),"")</f>
        <v/>
      </c>
      <c r="H416" s="71" t="str">
        <f>IFERROR(VLOOKUP(F416,設定!$C$11:$F$111,3,FALSE),"")</f>
        <v/>
      </c>
      <c r="I416" s="71" t="str">
        <f>IFERROR(VLOOKUP(F416,設定!$C$11:$F$111,4,FALSE),"")</f>
        <v/>
      </c>
      <c r="J416" s="122"/>
    </row>
    <row r="417" spans="2:10" s="3" customFormat="1" ht="24" customHeight="1" x14ac:dyDescent="0.2">
      <c r="B417" s="68"/>
      <c r="C417" s="69"/>
      <c r="D417" s="86"/>
      <c r="E417" s="116" t="str">
        <f>IFERROR(VLOOKUP(D417,'リスト '!$A$2:$B$15,2,FALSE),"")</f>
        <v/>
      </c>
      <c r="F417" s="70"/>
      <c r="G417" s="71" t="str">
        <f>IFERROR(VLOOKUP(F417,設定!$C$11:$F$111,2,FALSE),"")</f>
        <v/>
      </c>
      <c r="H417" s="71" t="str">
        <f>IFERROR(VLOOKUP(F417,設定!$C$11:$F$111,3,FALSE),"")</f>
        <v/>
      </c>
      <c r="I417" s="71" t="str">
        <f>IFERROR(VLOOKUP(F417,設定!$C$11:$F$111,4,FALSE),"")</f>
        <v/>
      </c>
      <c r="J417" s="122"/>
    </row>
    <row r="418" spans="2:10" s="3" customFormat="1" ht="24" customHeight="1" x14ac:dyDescent="0.2">
      <c r="B418" s="68"/>
      <c r="C418" s="69"/>
      <c r="D418" s="86"/>
      <c r="E418" s="116" t="str">
        <f>IFERROR(VLOOKUP(D418,'リスト '!$A$2:$B$15,2,FALSE),"")</f>
        <v/>
      </c>
      <c r="F418" s="70"/>
      <c r="G418" s="71" t="str">
        <f>IFERROR(VLOOKUP(F418,設定!$C$11:$F$111,2,FALSE),"")</f>
        <v/>
      </c>
      <c r="H418" s="71" t="str">
        <f>IFERROR(VLOOKUP(F418,設定!$C$11:$F$111,3,FALSE),"")</f>
        <v/>
      </c>
      <c r="I418" s="71" t="str">
        <f>IFERROR(VLOOKUP(F418,設定!$C$11:$F$111,4,FALSE),"")</f>
        <v/>
      </c>
      <c r="J418" s="122"/>
    </row>
    <row r="419" spans="2:10" s="3" customFormat="1" ht="24" customHeight="1" x14ac:dyDescent="0.2">
      <c r="B419" s="68"/>
      <c r="C419" s="69"/>
      <c r="D419" s="86"/>
      <c r="E419" s="116" t="str">
        <f>IFERROR(VLOOKUP(D419,'リスト '!$A$2:$B$15,2,FALSE),"")</f>
        <v/>
      </c>
      <c r="F419" s="70"/>
      <c r="G419" s="71" t="str">
        <f>IFERROR(VLOOKUP(F419,設定!$C$11:$F$111,2,FALSE),"")</f>
        <v/>
      </c>
      <c r="H419" s="71" t="str">
        <f>IFERROR(VLOOKUP(F419,設定!$C$11:$F$111,3,FALSE),"")</f>
        <v/>
      </c>
      <c r="I419" s="71" t="str">
        <f>IFERROR(VLOOKUP(F419,設定!$C$11:$F$111,4,FALSE),"")</f>
        <v/>
      </c>
      <c r="J419" s="122"/>
    </row>
    <row r="420" spans="2:10" s="3" customFormat="1" ht="24" customHeight="1" x14ac:dyDescent="0.2">
      <c r="B420" s="68"/>
      <c r="C420" s="69"/>
      <c r="D420" s="86"/>
      <c r="E420" s="116" t="str">
        <f>IFERROR(VLOOKUP(D420,'リスト '!$A$2:$B$15,2,FALSE),"")</f>
        <v/>
      </c>
      <c r="F420" s="70"/>
      <c r="G420" s="71" t="str">
        <f>IFERROR(VLOOKUP(F420,設定!$C$11:$F$111,2,FALSE),"")</f>
        <v/>
      </c>
      <c r="H420" s="71" t="str">
        <f>IFERROR(VLOOKUP(F420,設定!$C$11:$F$111,3,FALSE),"")</f>
        <v/>
      </c>
      <c r="I420" s="71" t="str">
        <f>IFERROR(VLOOKUP(F420,設定!$C$11:$F$111,4,FALSE),"")</f>
        <v/>
      </c>
      <c r="J420" s="122"/>
    </row>
    <row r="421" spans="2:10" s="3" customFormat="1" ht="24" customHeight="1" x14ac:dyDescent="0.2">
      <c r="B421" s="68"/>
      <c r="C421" s="69"/>
      <c r="D421" s="86"/>
      <c r="E421" s="116" t="str">
        <f>IFERROR(VLOOKUP(D421,'リスト '!$A$2:$B$15,2,FALSE),"")</f>
        <v/>
      </c>
      <c r="F421" s="70"/>
      <c r="G421" s="71" t="str">
        <f>IFERROR(VLOOKUP(F421,設定!$C$11:$F$111,2,FALSE),"")</f>
        <v/>
      </c>
      <c r="H421" s="71" t="str">
        <f>IFERROR(VLOOKUP(F421,設定!$C$11:$F$111,3,FALSE),"")</f>
        <v/>
      </c>
      <c r="I421" s="71" t="str">
        <f>IFERROR(VLOOKUP(F421,設定!$C$11:$F$111,4,FALSE),"")</f>
        <v/>
      </c>
      <c r="J421" s="122"/>
    </row>
    <row r="422" spans="2:10" s="3" customFormat="1" ht="24" customHeight="1" x14ac:dyDescent="0.2">
      <c r="B422" s="68"/>
      <c r="C422" s="69"/>
      <c r="D422" s="86"/>
      <c r="E422" s="116" t="str">
        <f>IFERROR(VLOOKUP(D422,'リスト '!$A$2:$B$15,2,FALSE),"")</f>
        <v/>
      </c>
      <c r="F422" s="70"/>
      <c r="G422" s="71" t="str">
        <f>IFERROR(VLOOKUP(F422,設定!$C$11:$F$111,2,FALSE),"")</f>
        <v/>
      </c>
      <c r="H422" s="71" t="str">
        <f>IFERROR(VLOOKUP(F422,設定!$C$11:$F$111,3,FALSE),"")</f>
        <v/>
      </c>
      <c r="I422" s="71" t="str">
        <f>IFERROR(VLOOKUP(F422,設定!$C$11:$F$111,4,FALSE),"")</f>
        <v/>
      </c>
      <c r="J422" s="122"/>
    </row>
    <row r="423" spans="2:10" s="3" customFormat="1" ht="24" customHeight="1" x14ac:dyDescent="0.2">
      <c r="B423" s="68"/>
      <c r="C423" s="69"/>
      <c r="D423" s="86"/>
      <c r="E423" s="116" t="str">
        <f>IFERROR(VLOOKUP(D423,'リスト '!$A$2:$B$15,2,FALSE),"")</f>
        <v/>
      </c>
      <c r="F423" s="70"/>
      <c r="G423" s="71" t="str">
        <f>IFERROR(VLOOKUP(F423,設定!$C$11:$F$111,2,FALSE),"")</f>
        <v/>
      </c>
      <c r="H423" s="71" t="str">
        <f>IFERROR(VLOOKUP(F423,設定!$C$11:$F$111,3,FALSE),"")</f>
        <v/>
      </c>
      <c r="I423" s="71" t="str">
        <f>IFERROR(VLOOKUP(F423,設定!$C$11:$F$111,4,FALSE),"")</f>
        <v/>
      </c>
      <c r="J423" s="122"/>
    </row>
    <row r="424" spans="2:10" s="3" customFormat="1" ht="24" customHeight="1" x14ac:dyDescent="0.2">
      <c r="B424" s="68"/>
      <c r="C424" s="69"/>
      <c r="D424" s="86"/>
      <c r="E424" s="116" t="str">
        <f>IFERROR(VLOOKUP(D424,'リスト '!$A$2:$B$15,2,FALSE),"")</f>
        <v/>
      </c>
      <c r="F424" s="70"/>
      <c r="G424" s="71" t="str">
        <f>IFERROR(VLOOKUP(F424,設定!$C$11:$F$111,2,FALSE),"")</f>
        <v/>
      </c>
      <c r="H424" s="71" t="str">
        <f>IFERROR(VLOOKUP(F424,設定!$C$11:$F$111,3,FALSE),"")</f>
        <v/>
      </c>
      <c r="I424" s="71" t="str">
        <f>IFERROR(VLOOKUP(F424,設定!$C$11:$F$111,4,FALSE),"")</f>
        <v/>
      </c>
      <c r="J424" s="122"/>
    </row>
    <row r="425" spans="2:10" s="3" customFormat="1" ht="24" customHeight="1" x14ac:dyDescent="0.2">
      <c r="B425" s="68"/>
      <c r="C425" s="69"/>
      <c r="D425" s="86"/>
      <c r="E425" s="116" t="str">
        <f>IFERROR(VLOOKUP(D425,'リスト '!$A$2:$B$15,2,FALSE),"")</f>
        <v/>
      </c>
      <c r="F425" s="70"/>
      <c r="G425" s="71" t="str">
        <f>IFERROR(VLOOKUP(F425,設定!$C$11:$F$111,2,FALSE),"")</f>
        <v/>
      </c>
      <c r="H425" s="71" t="str">
        <f>IFERROR(VLOOKUP(F425,設定!$C$11:$F$111,3,FALSE),"")</f>
        <v/>
      </c>
      <c r="I425" s="71" t="str">
        <f>IFERROR(VLOOKUP(F425,設定!$C$11:$F$111,4,FALSE),"")</f>
        <v/>
      </c>
      <c r="J425" s="122"/>
    </row>
    <row r="426" spans="2:10" s="3" customFormat="1" ht="24" customHeight="1" x14ac:dyDescent="0.2">
      <c r="B426" s="68"/>
      <c r="C426" s="69"/>
      <c r="D426" s="86"/>
      <c r="E426" s="116" t="str">
        <f>IFERROR(VLOOKUP(D426,'リスト '!$A$2:$B$15,2,FALSE),"")</f>
        <v/>
      </c>
      <c r="F426" s="70"/>
      <c r="G426" s="71" t="str">
        <f>IFERROR(VLOOKUP(F426,設定!$C$11:$F$111,2,FALSE),"")</f>
        <v/>
      </c>
      <c r="H426" s="71" t="str">
        <f>IFERROR(VLOOKUP(F426,設定!$C$11:$F$111,3,FALSE),"")</f>
        <v/>
      </c>
      <c r="I426" s="71" t="str">
        <f>IFERROR(VLOOKUP(F426,設定!$C$11:$F$111,4,FALSE),"")</f>
        <v/>
      </c>
      <c r="J426" s="122"/>
    </row>
    <row r="427" spans="2:10" s="3" customFormat="1" ht="24" customHeight="1" x14ac:dyDescent="0.2">
      <c r="B427" s="68"/>
      <c r="C427" s="69"/>
      <c r="D427" s="86"/>
      <c r="E427" s="116" t="str">
        <f>IFERROR(VLOOKUP(D427,'リスト '!$A$2:$B$15,2,FALSE),"")</f>
        <v/>
      </c>
      <c r="F427" s="70"/>
      <c r="G427" s="71" t="str">
        <f>IFERROR(VLOOKUP(F427,設定!$C$11:$F$111,2,FALSE),"")</f>
        <v/>
      </c>
      <c r="H427" s="71" t="str">
        <f>IFERROR(VLOOKUP(F427,設定!$C$11:$F$111,3,FALSE),"")</f>
        <v/>
      </c>
      <c r="I427" s="71" t="str">
        <f>IFERROR(VLOOKUP(F427,設定!$C$11:$F$111,4,FALSE),"")</f>
        <v/>
      </c>
      <c r="J427" s="122"/>
    </row>
    <row r="428" spans="2:10" s="3" customFormat="1" ht="24" customHeight="1" x14ac:dyDescent="0.2">
      <c r="B428" s="68"/>
      <c r="C428" s="69"/>
      <c r="D428" s="86"/>
      <c r="E428" s="116" t="str">
        <f>IFERROR(VLOOKUP(D428,'リスト '!$A$2:$B$15,2,FALSE),"")</f>
        <v/>
      </c>
      <c r="F428" s="70"/>
      <c r="G428" s="71" t="str">
        <f>IFERROR(VLOOKUP(F428,設定!$C$11:$F$111,2,FALSE),"")</f>
        <v/>
      </c>
      <c r="H428" s="71" t="str">
        <f>IFERROR(VLOOKUP(F428,設定!$C$11:$F$111,3,FALSE),"")</f>
        <v/>
      </c>
      <c r="I428" s="71" t="str">
        <f>IFERROR(VLOOKUP(F428,設定!$C$11:$F$111,4,FALSE),"")</f>
        <v/>
      </c>
      <c r="J428" s="122"/>
    </row>
    <row r="429" spans="2:10" s="3" customFormat="1" ht="24" customHeight="1" x14ac:dyDescent="0.2">
      <c r="B429" s="68"/>
      <c r="C429" s="69"/>
      <c r="D429" s="86"/>
      <c r="E429" s="116" t="str">
        <f>IFERROR(VLOOKUP(D429,'リスト '!$A$2:$B$15,2,FALSE),"")</f>
        <v/>
      </c>
      <c r="F429" s="70"/>
      <c r="G429" s="71" t="str">
        <f>IFERROR(VLOOKUP(F429,設定!$C$11:$F$111,2,FALSE),"")</f>
        <v/>
      </c>
      <c r="H429" s="71" t="str">
        <f>IFERROR(VLOOKUP(F429,設定!$C$11:$F$111,3,FALSE),"")</f>
        <v/>
      </c>
      <c r="I429" s="71" t="str">
        <f>IFERROR(VLOOKUP(F429,設定!$C$11:$F$111,4,FALSE),"")</f>
        <v/>
      </c>
      <c r="J429" s="122"/>
    </row>
    <row r="430" spans="2:10" s="3" customFormat="1" ht="24" customHeight="1" x14ac:dyDescent="0.2">
      <c r="B430" s="68"/>
      <c r="C430" s="69"/>
      <c r="D430" s="86"/>
      <c r="E430" s="116" t="str">
        <f>IFERROR(VLOOKUP(D430,'リスト '!$A$2:$B$15,2,FALSE),"")</f>
        <v/>
      </c>
      <c r="F430" s="70"/>
      <c r="G430" s="71" t="str">
        <f>IFERROR(VLOOKUP(F430,設定!$C$11:$F$111,2,FALSE),"")</f>
        <v/>
      </c>
      <c r="H430" s="71" t="str">
        <f>IFERROR(VLOOKUP(F430,設定!$C$11:$F$111,3,FALSE),"")</f>
        <v/>
      </c>
      <c r="I430" s="71" t="str">
        <f>IFERROR(VLOOKUP(F430,設定!$C$11:$F$111,4,FALSE),"")</f>
        <v/>
      </c>
      <c r="J430" s="122"/>
    </row>
    <row r="431" spans="2:10" s="3" customFormat="1" ht="24" customHeight="1" x14ac:dyDescent="0.2">
      <c r="B431" s="68"/>
      <c r="C431" s="69"/>
      <c r="D431" s="86"/>
      <c r="E431" s="116" t="str">
        <f>IFERROR(VLOOKUP(D431,'リスト '!$A$2:$B$15,2,FALSE),"")</f>
        <v/>
      </c>
      <c r="F431" s="70"/>
      <c r="G431" s="71" t="str">
        <f>IFERROR(VLOOKUP(F431,設定!$C$11:$F$111,2,FALSE),"")</f>
        <v/>
      </c>
      <c r="H431" s="71" t="str">
        <f>IFERROR(VLOOKUP(F431,設定!$C$11:$F$111,3,FALSE),"")</f>
        <v/>
      </c>
      <c r="I431" s="71" t="str">
        <f>IFERROR(VLOOKUP(F431,設定!$C$11:$F$111,4,FALSE),"")</f>
        <v/>
      </c>
      <c r="J431" s="122"/>
    </row>
    <row r="432" spans="2:10" s="3" customFormat="1" ht="24" customHeight="1" x14ac:dyDescent="0.2">
      <c r="B432" s="68"/>
      <c r="C432" s="69"/>
      <c r="D432" s="86"/>
      <c r="E432" s="116" t="str">
        <f>IFERROR(VLOOKUP(D432,'リスト '!$A$2:$B$15,2,FALSE),"")</f>
        <v/>
      </c>
      <c r="F432" s="70"/>
      <c r="G432" s="71" t="str">
        <f>IFERROR(VLOOKUP(F432,設定!$C$11:$F$111,2,FALSE),"")</f>
        <v/>
      </c>
      <c r="H432" s="71" t="str">
        <f>IFERROR(VLOOKUP(F432,設定!$C$11:$F$111,3,FALSE),"")</f>
        <v/>
      </c>
      <c r="I432" s="71" t="str">
        <f>IFERROR(VLOOKUP(F432,設定!$C$11:$F$111,4,FALSE),"")</f>
        <v/>
      </c>
      <c r="J432" s="122"/>
    </row>
    <row r="433" spans="2:10" s="3" customFormat="1" ht="24" customHeight="1" x14ac:dyDescent="0.2">
      <c r="B433" s="68"/>
      <c r="C433" s="69"/>
      <c r="D433" s="86"/>
      <c r="E433" s="116" t="str">
        <f>IFERROR(VLOOKUP(D433,'リスト '!$A$2:$B$15,2,FALSE),"")</f>
        <v/>
      </c>
      <c r="F433" s="70"/>
      <c r="G433" s="71" t="str">
        <f>IFERROR(VLOOKUP(F433,設定!$C$11:$F$111,2,FALSE),"")</f>
        <v/>
      </c>
      <c r="H433" s="71" t="str">
        <f>IFERROR(VLOOKUP(F433,設定!$C$11:$F$111,3,FALSE),"")</f>
        <v/>
      </c>
      <c r="I433" s="71" t="str">
        <f>IFERROR(VLOOKUP(F433,設定!$C$11:$F$111,4,FALSE),"")</f>
        <v/>
      </c>
      <c r="J433" s="122"/>
    </row>
    <row r="434" spans="2:10" s="3" customFormat="1" ht="24" customHeight="1" x14ac:dyDescent="0.2">
      <c r="B434" s="68"/>
      <c r="C434" s="69"/>
      <c r="D434" s="86"/>
      <c r="E434" s="116" t="str">
        <f>IFERROR(VLOOKUP(D434,'リスト '!$A$2:$B$15,2,FALSE),"")</f>
        <v/>
      </c>
      <c r="F434" s="70"/>
      <c r="G434" s="71" t="str">
        <f>IFERROR(VLOOKUP(F434,設定!$C$11:$F$111,2,FALSE),"")</f>
        <v/>
      </c>
      <c r="H434" s="71" t="str">
        <f>IFERROR(VLOOKUP(F434,設定!$C$11:$F$111,3,FALSE),"")</f>
        <v/>
      </c>
      <c r="I434" s="71" t="str">
        <f>IFERROR(VLOOKUP(F434,設定!$C$11:$F$111,4,FALSE),"")</f>
        <v/>
      </c>
      <c r="J434" s="122"/>
    </row>
    <row r="435" spans="2:10" s="3" customFormat="1" ht="24" customHeight="1" x14ac:dyDescent="0.2">
      <c r="B435" s="68"/>
      <c r="C435" s="69"/>
      <c r="D435" s="86"/>
      <c r="E435" s="116" t="str">
        <f>IFERROR(VLOOKUP(D435,'リスト '!$A$2:$B$15,2,FALSE),"")</f>
        <v/>
      </c>
      <c r="F435" s="70"/>
      <c r="G435" s="71" t="str">
        <f>IFERROR(VLOOKUP(F435,設定!$C$11:$F$111,2,FALSE),"")</f>
        <v/>
      </c>
      <c r="H435" s="71" t="str">
        <f>IFERROR(VLOOKUP(F435,設定!$C$11:$F$111,3,FALSE),"")</f>
        <v/>
      </c>
      <c r="I435" s="71" t="str">
        <f>IFERROR(VLOOKUP(F435,設定!$C$11:$F$111,4,FALSE),"")</f>
        <v/>
      </c>
      <c r="J435" s="122"/>
    </row>
    <row r="436" spans="2:10" s="3" customFormat="1" ht="24" customHeight="1" x14ac:dyDescent="0.2">
      <c r="B436" s="68"/>
      <c r="C436" s="69"/>
      <c r="D436" s="86"/>
      <c r="E436" s="116" t="str">
        <f>IFERROR(VLOOKUP(D436,'リスト '!$A$2:$B$15,2,FALSE),"")</f>
        <v/>
      </c>
      <c r="F436" s="70"/>
      <c r="G436" s="71" t="str">
        <f>IFERROR(VLOOKUP(F436,設定!$C$11:$F$111,2,FALSE),"")</f>
        <v/>
      </c>
      <c r="H436" s="71" t="str">
        <f>IFERROR(VLOOKUP(F436,設定!$C$11:$F$111,3,FALSE),"")</f>
        <v/>
      </c>
      <c r="I436" s="71" t="str">
        <f>IFERROR(VLOOKUP(F436,設定!$C$11:$F$111,4,FALSE),"")</f>
        <v/>
      </c>
      <c r="J436" s="122"/>
    </row>
    <row r="437" spans="2:10" s="3" customFormat="1" ht="24" customHeight="1" x14ac:dyDescent="0.2">
      <c r="B437" s="68"/>
      <c r="C437" s="69"/>
      <c r="D437" s="86"/>
      <c r="E437" s="116" t="str">
        <f>IFERROR(VLOOKUP(D437,'リスト '!$A$2:$B$15,2,FALSE),"")</f>
        <v/>
      </c>
      <c r="F437" s="70"/>
      <c r="G437" s="71" t="str">
        <f>IFERROR(VLOOKUP(F437,設定!$C$11:$F$111,2,FALSE),"")</f>
        <v/>
      </c>
      <c r="H437" s="71" t="str">
        <f>IFERROR(VLOOKUP(F437,設定!$C$11:$F$111,3,FALSE),"")</f>
        <v/>
      </c>
      <c r="I437" s="71" t="str">
        <f>IFERROR(VLOOKUP(F437,設定!$C$11:$F$111,4,FALSE),"")</f>
        <v/>
      </c>
      <c r="J437" s="122"/>
    </row>
    <row r="438" spans="2:10" s="3" customFormat="1" ht="24" customHeight="1" x14ac:dyDescent="0.2">
      <c r="B438" s="68"/>
      <c r="C438" s="69"/>
      <c r="D438" s="86"/>
      <c r="E438" s="116" t="str">
        <f>IFERROR(VLOOKUP(D438,'リスト '!$A$2:$B$15,2,FALSE),"")</f>
        <v/>
      </c>
      <c r="F438" s="70"/>
      <c r="G438" s="71" t="str">
        <f>IFERROR(VLOOKUP(F438,設定!$C$11:$F$111,2,FALSE),"")</f>
        <v/>
      </c>
      <c r="H438" s="71" t="str">
        <f>IFERROR(VLOOKUP(F438,設定!$C$11:$F$111,3,FALSE),"")</f>
        <v/>
      </c>
      <c r="I438" s="71" t="str">
        <f>IFERROR(VLOOKUP(F438,設定!$C$11:$F$111,4,FALSE),"")</f>
        <v/>
      </c>
      <c r="J438" s="122"/>
    </row>
    <row r="439" spans="2:10" s="3" customFormat="1" ht="24" customHeight="1" x14ac:dyDescent="0.2">
      <c r="B439" s="68"/>
      <c r="C439" s="69"/>
      <c r="D439" s="86"/>
      <c r="E439" s="116" t="str">
        <f>IFERROR(VLOOKUP(D439,'リスト '!$A$2:$B$15,2,FALSE),"")</f>
        <v/>
      </c>
      <c r="F439" s="70"/>
      <c r="G439" s="71" t="str">
        <f>IFERROR(VLOOKUP(F439,設定!$C$11:$F$111,2,FALSE),"")</f>
        <v/>
      </c>
      <c r="H439" s="71" t="str">
        <f>IFERROR(VLOOKUP(F439,設定!$C$11:$F$111,3,FALSE),"")</f>
        <v/>
      </c>
      <c r="I439" s="71" t="str">
        <f>IFERROR(VLOOKUP(F439,設定!$C$11:$F$111,4,FALSE),"")</f>
        <v/>
      </c>
      <c r="J439" s="122"/>
    </row>
    <row r="440" spans="2:10" s="3" customFormat="1" ht="24" customHeight="1" x14ac:dyDescent="0.2">
      <c r="B440" s="68"/>
      <c r="C440" s="69"/>
      <c r="D440" s="86"/>
      <c r="E440" s="116" t="str">
        <f>IFERROR(VLOOKUP(D440,'リスト '!$A$2:$B$15,2,FALSE),"")</f>
        <v/>
      </c>
      <c r="F440" s="70"/>
      <c r="G440" s="71" t="str">
        <f>IFERROR(VLOOKUP(F440,設定!$C$11:$F$111,2,FALSE),"")</f>
        <v/>
      </c>
      <c r="H440" s="71" t="str">
        <f>IFERROR(VLOOKUP(F440,設定!$C$11:$F$111,3,FALSE),"")</f>
        <v/>
      </c>
      <c r="I440" s="71" t="str">
        <f>IFERROR(VLOOKUP(F440,設定!$C$11:$F$111,4,FALSE),"")</f>
        <v/>
      </c>
      <c r="J440" s="122"/>
    </row>
    <row r="441" spans="2:10" s="3" customFormat="1" ht="24" customHeight="1" x14ac:dyDescent="0.2">
      <c r="B441" s="68"/>
      <c r="C441" s="69"/>
      <c r="D441" s="86"/>
      <c r="E441" s="116" t="str">
        <f>IFERROR(VLOOKUP(D441,'リスト '!$A$2:$B$15,2,FALSE),"")</f>
        <v/>
      </c>
      <c r="F441" s="70"/>
      <c r="G441" s="71" t="str">
        <f>IFERROR(VLOOKUP(F441,設定!$C$11:$F$111,2,FALSE),"")</f>
        <v/>
      </c>
      <c r="H441" s="71" t="str">
        <f>IFERROR(VLOOKUP(F441,設定!$C$11:$F$111,3,FALSE),"")</f>
        <v/>
      </c>
      <c r="I441" s="71" t="str">
        <f>IFERROR(VLOOKUP(F441,設定!$C$11:$F$111,4,FALSE),"")</f>
        <v/>
      </c>
      <c r="J441" s="122"/>
    </row>
    <row r="442" spans="2:10" s="3" customFormat="1" ht="24" customHeight="1" x14ac:dyDescent="0.2">
      <c r="B442" s="68"/>
      <c r="C442" s="69"/>
      <c r="D442" s="86"/>
      <c r="E442" s="116" t="str">
        <f>IFERROR(VLOOKUP(D442,'リスト '!$A$2:$B$15,2,FALSE),"")</f>
        <v/>
      </c>
      <c r="F442" s="70"/>
      <c r="G442" s="71" t="str">
        <f>IFERROR(VLOOKUP(F442,設定!$C$11:$F$111,2,FALSE),"")</f>
        <v/>
      </c>
      <c r="H442" s="71" t="str">
        <f>IFERROR(VLOOKUP(F442,設定!$C$11:$F$111,3,FALSE),"")</f>
        <v/>
      </c>
      <c r="I442" s="71" t="str">
        <f>IFERROR(VLOOKUP(F442,設定!$C$11:$F$111,4,FALSE),"")</f>
        <v/>
      </c>
      <c r="J442" s="122"/>
    </row>
    <row r="443" spans="2:10" s="3" customFormat="1" ht="24" customHeight="1" x14ac:dyDescent="0.2">
      <c r="B443" s="68"/>
      <c r="C443" s="69"/>
      <c r="D443" s="86"/>
      <c r="E443" s="116" t="str">
        <f>IFERROR(VLOOKUP(D443,'リスト '!$A$2:$B$15,2,FALSE),"")</f>
        <v/>
      </c>
      <c r="F443" s="70"/>
      <c r="G443" s="71" t="str">
        <f>IFERROR(VLOOKUP(F443,設定!$C$11:$F$111,2,FALSE),"")</f>
        <v/>
      </c>
      <c r="H443" s="71" t="str">
        <f>IFERROR(VLOOKUP(F443,設定!$C$11:$F$111,3,FALSE),"")</f>
        <v/>
      </c>
      <c r="I443" s="71" t="str">
        <f>IFERROR(VLOOKUP(F443,設定!$C$11:$F$111,4,FALSE),"")</f>
        <v/>
      </c>
      <c r="J443" s="122"/>
    </row>
    <row r="444" spans="2:10" s="3" customFormat="1" ht="24" customHeight="1" x14ac:dyDescent="0.2">
      <c r="B444" s="68"/>
      <c r="C444" s="69"/>
      <c r="D444" s="86"/>
      <c r="E444" s="116" t="str">
        <f>IFERROR(VLOOKUP(D444,'リスト '!$A$2:$B$15,2,FALSE),"")</f>
        <v/>
      </c>
      <c r="F444" s="70"/>
      <c r="G444" s="71" t="str">
        <f>IFERROR(VLOOKUP(F444,設定!$C$11:$F$111,2,FALSE),"")</f>
        <v/>
      </c>
      <c r="H444" s="71" t="str">
        <f>IFERROR(VLOOKUP(F444,設定!$C$11:$F$111,3,FALSE),"")</f>
        <v/>
      </c>
      <c r="I444" s="71" t="str">
        <f>IFERROR(VLOOKUP(F444,設定!$C$11:$F$111,4,FALSE),"")</f>
        <v/>
      </c>
      <c r="J444" s="122"/>
    </row>
    <row r="445" spans="2:10" s="3" customFormat="1" ht="24" customHeight="1" x14ac:dyDescent="0.2">
      <c r="B445" s="68"/>
      <c r="C445" s="69"/>
      <c r="D445" s="86"/>
      <c r="E445" s="116" t="str">
        <f>IFERROR(VLOOKUP(D445,'リスト '!$A$2:$B$15,2,FALSE),"")</f>
        <v/>
      </c>
      <c r="F445" s="70"/>
      <c r="G445" s="71" t="str">
        <f>IFERROR(VLOOKUP(F445,設定!$C$11:$F$111,2,FALSE),"")</f>
        <v/>
      </c>
      <c r="H445" s="71" t="str">
        <f>IFERROR(VLOOKUP(F445,設定!$C$11:$F$111,3,FALSE),"")</f>
        <v/>
      </c>
      <c r="I445" s="71" t="str">
        <f>IFERROR(VLOOKUP(F445,設定!$C$11:$F$111,4,FALSE),"")</f>
        <v/>
      </c>
      <c r="J445" s="122"/>
    </row>
    <row r="446" spans="2:10" s="3" customFormat="1" ht="24" customHeight="1" x14ac:dyDescent="0.2">
      <c r="B446" s="68"/>
      <c r="C446" s="69"/>
      <c r="D446" s="86"/>
      <c r="E446" s="116" t="str">
        <f>IFERROR(VLOOKUP(D446,'リスト '!$A$2:$B$15,2,FALSE),"")</f>
        <v/>
      </c>
      <c r="F446" s="70"/>
      <c r="G446" s="71" t="str">
        <f>IFERROR(VLOOKUP(F446,設定!$C$11:$F$111,2,FALSE),"")</f>
        <v/>
      </c>
      <c r="H446" s="71" t="str">
        <f>IFERROR(VLOOKUP(F446,設定!$C$11:$F$111,3,FALSE),"")</f>
        <v/>
      </c>
      <c r="I446" s="71" t="str">
        <f>IFERROR(VLOOKUP(F446,設定!$C$11:$F$111,4,FALSE),"")</f>
        <v/>
      </c>
      <c r="J446" s="122"/>
    </row>
    <row r="447" spans="2:10" s="3" customFormat="1" ht="24" customHeight="1" x14ac:dyDescent="0.2">
      <c r="B447" s="68"/>
      <c r="C447" s="69"/>
      <c r="D447" s="86"/>
      <c r="E447" s="116" t="str">
        <f>IFERROR(VLOOKUP(D447,'リスト '!$A$2:$B$15,2,FALSE),"")</f>
        <v/>
      </c>
      <c r="F447" s="70"/>
      <c r="G447" s="71" t="str">
        <f>IFERROR(VLOOKUP(F447,設定!$C$11:$F$111,2,FALSE),"")</f>
        <v/>
      </c>
      <c r="H447" s="71" t="str">
        <f>IFERROR(VLOOKUP(F447,設定!$C$11:$F$111,3,FALSE),"")</f>
        <v/>
      </c>
      <c r="I447" s="71" t="str">
        <f>IFERROR(VLOOKUP(F447,設定!$C$11:$F$111,4,FALSE),"")</f>
        <v/>
      </c>
      <c r="J447" s="122"/>
    </row>
    <row r="448" spans="2:10" s="3" customFormat="1" ht="24" customHeight="1" x14ac:dyDescent="0.2">
      <c r="B448" s="68"/>
      <c r="C448" s="69"/>
      <c r="D448" s="86"/>
      <c r="E448" s="116" t="str">
        <f>IFERROR(VLOOKUP(D448,'リスト '!$A$2:$B$15,2,FALSE),"")</f>
        <v/>
      </c>
      <c r="F448" s="70"/>
      <c r="G448" s="71" t="str">
        <f>IFERROR(VLOOKUP(F448,設定!$C$11:$F$111,2,FALSE),"")</f>
        <v/>
      </c>
      <c r="H448" s="71" t="str">
        <f>IFERROR(VLOOKUP(F448,設定!$C$11:$F$111,3,FALSE),"")</f>
        <v/>
      </c>
      <c r="I448" s="71" t="str">
        <f>IFERROR(VLOOKUP(F448,設定!$C$11:$F$111,4,FALSE),"")</f>
        <v/>
      </c>
      <c r="J448" s="122"/>
    </row>
    <row r="449" spans="2:10" s="3" customFormat="1" ht="24" customHeight="1" x14ac:dyDescent="0.2">
      <c r="B449" s="68"/>
      <c r="C449" s="69"/>
      <c r="D449" s="86"/>
      <c r="E449" s="116" t="str">
        <f>IFERROR(VLOOKUP(D449,'リスト '!$A$2:$B$15,2,FALSE),"")</f>
        <v/>
      </c>
      <c r="F449" s="70"/>
      <c r="G449" s="71" t="str">
        <f>IFERROR(VLOOKUP(F449,設定!$C$11:$F$111,2,FALSE),"")</f>
        <v/>
      </c>
      <c r="H449" s="71" t="str">
        <f>IFERROR(VLOOKUP(F449,設定!$C$11:$F$111,3,FALSE),"")</f>
        <v/>
      </c>
      <c r="I449" s="71" t="str">
        <f>IFERROR(VLOOKUP(F449,設定!$C$11:$F$111,4,FALSE),"")</f>
        <v/>
      </c>
      <c r="J449" s="122"/>
    </row>
    <row r="450" spans="2:10" s="3" customFormat="1" ht="24" customHeight="1" x14ac:dyDescent="0.2">
      <c r="B450" s="68"/>
      <c r="C450" s="69"/>
      <c r="D450" s="86"/>
      <c r="E450" s="116" t="str">
        <f>IFERROR(VLOOKUP(D450,'リスト '!$A$2:$B$15,2,FALSE),"")</f>
        <v/>
      </c>
      <c r="F450" s="70"/>
      <c r="G450" s="71" t="str">
        <f>IFERROR(VLOOKUP(F450,設定!$C$11:$F$111,2,FALSE),"")</f>
        <v/>
      </c>
      <c r="H450" s="71" t="str">
        <f>IFERROR(VLOOKUP(F450,設定!$C$11:$F$111,3,FALSE),"")</f>
        <v/>
      </c>
      <c r="I450" s="71" t="str">
        <f>IFERROR(VLOOKUP(F450,設定!$C$11:$F$111,4,FALSE),"")</f>
        <v/>
      </c>
      <c r="J450" s="122"/>
    </row>
    <row r="451" spans="2:10" s="3" customFormat="1" ht="24" customHeight="1" x14ac:dyDescent="0.2">
      <c r="B451" s="68"/>
      <c r="C451" s="69"/>
      <c r="D451" s="86"/>
      <c r="E451" s="116" t="str">
        <f>IFERROR(VLOOKUP(D451,'リスト '!$A$2:$B$15,2,FALSE),"")</f>
        <v/>
      </c>
      <c r="F451" s="70"/>
      <c r="G451" s="71" t="str">
        <f>IFERROR(VLOOKUP(F451,設定!$C$11:$F$111,2,FALSE),"")</f>
        <v/>
      </c>
      <c r="H451" s="71" t="str">
        <f>IFERROR(VLOOKUP(F451,設定!$C$11:$F$111,3,FALSE),"")</f>
        <v/>
      </c>
      <c r="I451" s="71" t="str">
        <f>IFERROR(VLOOKUP(F451,設定!$C$11:$F$111,4,FALSE),"")</f>
        <v/>
      </c>
      <c r="J451" s="122"/>
    </row>
    <row r="452" spans="2:10" s="3" customFormat="1" ht="24" customHeight="1" x14ac:dyDescent="0.2">
      <c r="B452" s="68"/>
      <c r="C452" s="69"/>
      <c r="D452" s="86"/>
      <c r="E452" s="116" t="str">
        <f>IFERROR(VLOOKUP(D452,'リスト '!$A$2:$B$15,2,FALSE),"")</f>
        <v/>
      </c>
      <c r="F452" s="70"/>
      <c r="G452" s="71" t="str">
        <f>IFERROR(VLOOKUP(F452,設定!$C$11:$F$111,2,FALSE),"")</f>
        <v/>
      </c>
      <c r="H452" s="71" t="str">
        <f>IFERROR(VLOOKUP(F452,設定!$C$11:$F$111,3,FALSE),"")</f>
        <v/>
      </c>
      <c r="I452" s="71" t="str">
        <f>IFERROR(VLOOKUP(F452,設定!$C$11:$F$111,4,FALSE),"")</f>
        <v/>
      </c>
      <c r="J452" s="122"/>
    </row>
    <row r="453" spans="2:10" s="3" customFormat="1" ht="24" customHeight="1" x14ac:dyDescent="0.2">
      <c r="B453" s="68"/>
      <c r="C453" s="69"/>
      <c r="D453" s="86"/>
      <c r="E453" s="116" t="str">
        <f>IFERROR(VLOOKUP(D453,'リスト '!$A$2:$B$15,2,FALSE),"")</f>
        <v/>
      </c>
      <c r="F453" s="70"/>
      <c r="G453" s="71" t="str">
        <f>IFERROR(VLOOKUP(F453,設定!$C$11:$F$111,2,FALSE),"")</f>
        <v/>
      </c>
      <c r="H453" s="71" t="str">
        <f>IFERROR(VLOOKUP(F453,設定!$C$11:$F$111,3,FALSE),"")</f>
        <v/>
      </c>
      <c r="I453" s="71" t="str">
        <f>IFERROR(VLOOKUP(F453,設定!$C$11:$F$111,4,FALSE),"")</f>
        <v/>
      </c>
      <c r="J453" s="122"/>
    </row>
    <row r="454" spans="2:10" s="3" customFormat="1" ht="24" customHeight="1" x14ac:dyDescent="0.2">
      <c r="B454" s="68"/>
      <c r="C454" s="69"/>
      <c r="D454" s="86"/>
      <c r="E454" s="116" t="str">
        <f>IFERROR(VLOOKUP(D454,'リスト '!$A$2:$B$15,2,FALSE),"")</f>
        <v/>
      </c>
      <c r="F454" s="70"/>
      <c r="G454" s="71" t="str">
        <f>IFERROR(VLOOKUP(F454,設定!$C$11:$F$111,2,FALSE),"")</f>
        <v/>
      </c>
      <c r="H454" s="71" t="str">
        <f>IFERROR(VLOOKUP(F454,設定!$C$11:$F$111,3,FALSE),"")</f>
        <v/>
      </c>
      <c r="I454" s="71" t="str">
        <f>IFERROR(VLOOKUP(F454,設定!$C$11:$F$111,4,FALSE),"")</f>
        <v/>
      </c>
      <c r="J454" s="122"/>
    </row>
    <row r="455" spans="2:10" s="3" customFormat="1" ht="24" customHeight="1" x14ac:dyDescent="0.2">
      <c r="B455" s="68"/>
      <c r="C455" s="69"/>
      <c r="D455" s="86"/>
      <c r="E455" s="116" t="str">
        <f>IFERROR(VLOOKUP(D455,'リスト '!$A$2:$B$15,2,FALSE),"")</f>
        <v/>
      </c>
      <c r="F455" s="70"/>
      <c r="G455" s="71" t="str">
        <f>IFERROR(VLOOKUP(F455,設定!$C$11:$F$111,2,FALSE),"")</f>
        <v/>
      </c>
      <c r="H455" s="71" t="str">
        <f>IFERROR(VLOOKUP(F455,設定!$C$11:$F$111,3,FALSE),"")</f>
        <v/>
      </c>
      <c r="I455" s="71" t="str">
        <f>IFERROR(VLOOKUP(F455,設定!$C$11:$F$111,4,FALSE),"")</f>
        <v/>
      </c>
      <c r="J455" s="122"/>
    </row>
    <row r="456" spans="2:10" s="3" customFormat="1" ht="24" customHeight="1" x14ac:dyDescent="0.2">
      <c r="B456" s="68"/>
      <c r="C456" s="69"/>
      <c r="D456" s="86"/>
      <c r="E456" s="116" t="str">
        <f>IFERROR(VLOOKUP(D456,'リスト '!$A$2:$B$15,2,FALSE),"")</f>
        <v/>
      </c>
      <c r="F456" s="70"/>
      <c r="G456" s="71" t="str">
        <f>IFERROR(VLOOKUP(F456,設定!$C$11:$F$111,2,FALSE),"")</f>
        <v/>
      </c>
      <c r="H456" s="71" t="str">
        <f>IFERROR(VLOOKUP(F456,設定!$C$11:$F$111,3,FALSE),"")</f>
        <v/>
      </c>
      <c r="I456" s="71" t="str">
        <f>IFERROR(VLOOKUP(F456,設定!$C$11:$F$111,4,FALSE),"")</f>
        <v/>
      </c>
      <c r="J456" s="122"/>
    </row>
    <row r="457" spans="2:10" s="3" customFormat="1" ht="24" customHeight="1" x14ac:dyDescent="0.2">
      <c r="B457" s="68"/>
      <c r="C457" s="69"/>
      <c r="D457" s="86"/>
      <c r="E457" s="116" t="str">
        <f>IFERROR(VLOOKUP(D457,'リスト '!$A$2:$B$15,2,FALSE),"")</f>
        <v/>
      </c>
      <c r="F457" s="70"/>
      <c r="G457" s="71" t="str">
        <f>IFERROR(VLOOKUP(F457,設定!$C$11:$F$111,2,FALSE),"")</f>
        <v/>
      </c>
      <c r="H457" s="71" t="str">
        <f>IFERROR(VLOOKUP(F457,設定!$C$11:$F$111,3,FALSE),"")</f>
        <v/>
      </c>
      <c r="I457" s="71" t="str">
        <f>IFERROR(VLOOKUP(F457,設定!$C$11:$F$111,4,FALSE),"")</f>
        <v/>
      </c>
      <c r="J457" s="122"/>
    </row>
    <row r="458" spans="2:10" s="3" customFormat="1" ht="24" customHeight="1" x14ac:dyDescent="0.2">
      <c r="B458" s="68"/>
      <c r="C458" s="69"/>
      <c r="D458" s="86"/>
      <c r="E458" s="116" t="str">
        <f>IFERROR(VLOOKUP(D458,'リスト '!$A$2:$B$15,2,FALSE),"")</f>
        <v/>
      </c>
      <c r="F458" s="70"/>
      <c r="G458" s="71" t="str">
        <f>IFERROR(VLOOKUP(F458,設定!$C$11:$F$111,2,FALSE),"")</f>
        <v/>
      </c>
      <c r="H458" s="71" t="str">
        <f>IFERROR(VLOOKUP(F458,設定!$C$11:$F$111,3,FALSE),"")</f>
        <v/>
      </c>
      <c r="I458" s="71" t="str">
        <f>IFERROR(VLOOKUP(F458,設定!$C$11:$F$111,4,FALSE),"")</f>
        <v/>
      </c>
      <c r="J458" s="122"/>
    </row>
    <row r="459" spans="2:10" s="3" customFormat="1" ht="24" customHeight="1" x14ac:dyDescent="0.2">
      <c r="B459" s="68"/>
      <c r="C459" s="69"/>
      <c r="D459" s="86"/>
      <c r="E459" s="116" t="str">
        <f>IFERROR(VLOOKUP(D459,'リスト '!$A$2:$B$15,2,FALSE),"")</f>
        <v/>
      </c>
      <c r="F459" s="70"/>
      <c r="G459" s="71" t="str">
        <f>IFERROR(VLOOKUP(F459,設定!$C$11:$F$111,2,FALSE),"")</f>
        <v/>
      </c>
      <c r="H459" s="71" t="str">
        <f>IFERROR(VLOOKUP(F459,設定!$C$11:$F$111,3,FALSE),"")</f>
        <v/>
      </c>
      <c r="I459" s="71" t="str">
        <f>IFERROR(VLOOKUP(F459,設定!$C$11:$F$111,4,FALSE),"")</f>
        <v/>
      </c>
      <c r="J459" s="122"/>
    </row>
    <row r="460" spans="2:10" s="3" customFormat="1" ht="24" customHeight="1" x14ac:dyDescent="0.2">
      <c r="B460" s="68"/>
      <c r="C460" s="69"/>
      <c r="D460" s="86"/>
      <c r="E460" s="116" t="str">
        <f>IFERROR(VLOOKUP(D460,'リスト '!$A$2:$B$15,2,FALSE),"")</f>
        <v/>
      </c>
      <c r="F460" s="70"/>
      <c r="G460" s="71" t="str">
        <f>IFERROR(VLOOKUP(F460,設定!$C$11:$F$111,2,FALSE),"")</f>
        <v/>
      </c>
      <c r="H460" s="71" t="str">
        <f>IFERROR(VLOOKUP(F460,設定!$C$11:$F$111,3,FALSE),"")</f>
        <v/>
      </c>
      <c r="I460" s="71" t="str">
        <f>IFERROR(VLOOKUP(F460,設定!$C$11:$F$111,4,FALSE),"")</f>
        <v/>
      </c>
      <c r="J460" s="122"/>
    </row>
    <row r="461" spans="2:10" s="3" customFormat="1" ht="24" customHeight="1" x14ac:dyDescent="0.2">
      <c r="B461" s="68"/>
      <c r="C461" s="69"/>
      <c r="D461" s="86"/>
      <c r="E461" s="116" t="str">
        <f>IFERROR(VLOOKUP(D461,'リスト '!$A$2:$B$15,2,FALSE),"")</f>
        <v/>
      </c>
      <c r="F461" s="70"/>
      <c r="G461" s="71" t="str">
        <f>IFERROR(VLOOKUP(F461,設定!$C$11:$F$111,2,FALSE),"")</f>
        <v/>
      </c>
      <c r="H461" s="71" t="str">
        <f>IFERROR(VLOOKUP(F461,設定!$C$11:$F$111,3,FALSE),"")</f>
        <v/>
      </c>
      <c r="I461" s="71" t="str">
        <f>IFERROR(VLOOKUP(F461,設定!$C$11:$F$111,4,FALSE),"")</f>
        <v/>
      </c>
      <c r="J461" s="122"/>
    </row>
    <row r="462" spans="2:10" s="3" customFormat="1" ht="24" customHeight="1" x14ac:dyDescent="0.2">
      <c r="B462" s="68"/>
      <c r="C462" s="69"/>
      <c r="D462" s="86"/>
      <c r="E462" s="116" t="str">
        <f>IFERROR(VLOOKUP(D462,'リスト '!$A$2:$B$15,2,FALSE),"")</f>
        <v/>
      </c>
      <c r="F462" s="70"/>
      <c r="G462" s="71" t="str">
        <f>IFERROR(VLOOKUP(F462,設定!$C$11:$F$111,2,FALSE),"")</f>
        <v/>
      </c>
      <c r="H462" s="71" t="str">
        <f>IFERROR(VLOOKUP(F462,設定!$C$11:$F$111,3,FALSE),"")</f>
        <v/>
      </c>
      <c r="I462" s="71" t="str">
        <f>IFERROR(VLOOKUP(F462,設定!$C$11:$F$111,4,FALSE),"")</f>
        <v/>
      </c>
      <c r="J462" s="122"/>
    </row>
    <row r="463" spans="2:10" s="3" customFormat="1" ht="24" customHeight="1" x14ac:dyDescent="0.2">
      <c r="B463" s="68"/>
      <c r="C463" s="69"/>
      <c r="D463" s="86"/>
      <c r="E463" s="116" t="str">
        <f>IFERROR(VLOOKUP(D463,'リスト '!$A$2:$B$15,2,FALSE),"")</f>
        <v/>
      </c>
      <c r="F463" s="70"/>
      <c r="G463" s="71" t="str">
        <f>IFERROR(VLOOKUP(F463,設定!$C$11:$F$111,2,FALSE),"")</f>
        <v/>
      </c>
      <c r="H463" s="71" t="str">
        <f>IFERROR(VLOOKUP(F463,設定!$C$11:$F$111,3,FALSE),"")</f>
        <v/>
      </c>
      <c r="I463" s="71" t="str">
        <f>IFERROR(VLOOKUP(F463,設定!$C$11:$F$111,4,FALSE),"")</f>
        <v/>
      </c>
      <c r="J463" s="122"/>
    </row>
    <row r="464" spans="2:10" s="3" customFormat="1" ht="24" customHeight="1" x14ac:dyDescent="0.2">
      <c r="B464" s="68"/>
      <c r="C464" s="69"/>
      <c r="D464" s="86"/>
      <c r="E464" s="116" t="str">
        <f>IFERROR(VLOOKUP(D464,'リスト '!$A$2:$B$15,2,FALSE),"")</f>
        <v/>
      </c>
      <c r="F464" s="70"/>
      <c r="G464" s="71" t="str">
        <f>IFERROR(VLOOKUP(F464,設定!$C$11:$F$111,2,FALSE),"")</f>
        <v/>
      </c>
      <c r="H464" s="71" t="str">
        <f>IFERROR(VLOOKUP(F464,設定!$C$11:$F$111,3,FALSE),"")</f>
        <v/>
      </c>
      <c r="I464" s="71" t="str">
        <f>IFERROR(VLOOKUP(F464,設定!$C$11:$F$111,4,FALSE),"")</f>
        <v/>
      </c>
      <c r="J464" s="122"/>
    </row>
    <row r="465" spans="2:10" s="3" customFormat="1" ht="24" customHeight="1" x14ac:dyDescent="0.2">
      <c r="B465" s="68"/>
      <c r="C465" s="69"/>
      <c r="D465" s="86"/>
      <c r="E465" s="116" t="str">
        <f>IFERROR(VLOOKUP(D465,'リスト '!$A$2:$B$15,2,FALSE),"")</f>
        <v/>
      </c>
      <c r="F465" s="70"/>
      <c r="G465" s="71" t="str">
        <f>IFERROR(VLOOKUP(F465,設定!$C$11:$F$111,2,FALSE),"")</f>
        <v/>
      </c>
      <c r="H465" s="71" t="str">
        <f>IFERROR(VLOOKUP(F465,設定!$C$11:$F$111,3,FALSE),"")</f>
        <v/>
      </c>
      <c r="I465" s="71" t="str">
        <f>IFERROR(VLOOKUP(F465,設定!$C$11:$F$111,4,FALSE),"")</f>
        <v/>
      </c>
      <c r="J465" s="122"/>
    </row>
    <row r="466" spans="2:10" s="3" customFormat="1" ht="24" customHeight="1" x14ac:dyDescent="0.2">
      <c r="B466" s="68"/>
      <c r="C466" s="69"/>
      <c r="D466" s="86"/>
      <c r="E466" s="116" t="str">
        <f>IFERROR(VLOOKUP(D466,'リスト '!$A$2:$B$15,2,FALSE),"")</f>
        <v/>
      </c>
      <c r="F466" s="70"/>
      <c r="G466" s="71" t="str">
        <f>IFERROR(VLOOKUP(F466,設定!$C$11:$F$111,2,FALSE),"")</f>
        <v/>
      </c>
      <c r="H466" s="71" t="str">
        <f>IFERROR(VLOOKUP(F466,設定!$C$11:$F$111,3,FALSE),"")</f>
        <v/>
      </c>
      <c r="I466" s="71" t="str">
        <f>IFERROR(VLOOKUP(F466,設定!$C$11:$F$111,4,FALSE),"")</f>
        <v/>
      </c>
      <c r="J466" s="122"/>
    </row>
    <row r="467" spans="2:10" s="3" customFormat="1" ht="24" customHeight="1" x14ac:dyDescent="0.2">
      <c r="B467" s="68"/>
      <c r="C467" s="69"/>
      <c r="D467" s="86"/>
      <c r="E467" s="116" t="str">
        <f>IFERROR(VLOOKUP(D467,'リスト '!$A$2:$B$15,2,FALSE),"")</f>
        <v/>
      </c>
      <c r="F467" s="70"/>
      <c r="G467" s="71" t="str">
        <f>IFERROR(VLOOKUP(F467,設定!$C$11:$F$111,2,FALSE),"")</f>
        <v/>
      </c>
      <c r="H467" s="71" t="str">
        <f>IFERROR(VLOOKUP(F467,設定!$C$11:$F$111,3,FALSE),"")</f>
        <v/>
      </c>
      <c r="I467" s="71" t="str">
        <f>IFERROR(VLOOKUP(F467,設定!$C$11:$F$111,4,FALSE),"")</f>
        <v/>
      </c>
      <c r="J467" s="122"/>
    </row>
    <row r="468" spans="2:10" s="3" customFormat="1" ht="24" customHeight="1" x14ac:dyDescent="0.2">
      <c r="B468" s="68"/>
      <c r="C468" s="69"/>
      <c r="D468" s="86"/>
      <c r="E468" s="116" t="str">
        <f>IFERROR(VLOOKUP(D468,'リスト '!$A$2:$B$15,2,FALSE),"")</f>
        <v/>
      </c>
      <c r="F468" s="70"/>
      <c r="G468" s="71" t="str">
        <f>IFERROR(VLOOKUP(F468,設定!$C$11:$F$111,2,FALSE),"")</f>
        <v/>
      </c>
      <c r="H468" s="71" t="str">
        <f>IFERROR(VLOOKUP(F468,設定!$C$11:$F$111,3,FALSE),"")</f>
        <v/>
      </c>
      <c r="I468" s="71" t="str">
        <f>IFERROR(VLOOKUP(F468,設定!$C$11:$F$111,4,FALSE),"")</f>
        <v/>
      </c>
      <c r="J468" s="122"/>
    </row>
    <row r="469" spans="2:10" s="3" customFormat="1" ht="24" customHeight="1" x14ac:dyDescent="0.2">
      <c r="B469" s="68"/>
      <c r="C469" s="69"/>
      <c r="D469" s="86"/>
      <c r="E469" s="116" t="str">
        <f>IFERROR(VLOOKUP(D469,'リスト '!$A$2:$B$15,2,FALSE),"")</f>
        <v/>
      </c>
      <c r="F469" s="70"/>
      <c r="G469" s="71" t="str">
        <f>IFERROR(VLOOKUP(F469,設定!$C$11:$F$111,2,FALSE),"")</f>
        <v/>
      </c>
      <c r="H469" s="71" t="str">
        <f>IFERROR(VLOOKUP(F469,設定!$C$11:$F$111,3,FALSE),"")</f>
        <v/>
      </c>
      <c r="I469" s="71" t="str">
        <f>IFERROR(VLOOKUP(F469,設定!$C$11:$F$111,4,FALSE),"")</f>
        <v/>
      </c>
      <c r="J469" s="122"/>
    </row>
    <row r="470" spans="2:10" s="3" customFormat="1" ht="24" customHeight="1" x14ac:dyDescent="0.2">
      <c r="B470" s="68"/>
      <c r="C470" s="69"/>
      <c r="D470" s="86"/>
      <c r="E470" s="116" t="str">
        <f>IFERROR(VLOOKUP(D470,'リスト '!$A$2:$B$15,2,FALSE),"")</f>
        <v/>
      </c>
      <c r="F470" s="70"/>
      <c r="G470" s="71" t="str">
        <f>IFERROR(VLOOKUP(F470,設定!$C$11:$F$111,2,FALSE),"")</f>
        <v/>
      </c>
      <c r="H470" s="71" t="str">
        <f>IFERROR(VLOOKUP(F470,設定!$C$11:$F$111,3,FALSE),"")</f>
        <v/>
      </c>
      <c r="I470" s="71" t="str">
        <f>IFERROR(VLOOKUP(F470,設定!$C$11:$F$111,4,FALSE),"")</f>
        <v/>
      </c>
      <c r="J470" s="122"/>
    </row>
    <row r="471" spans="2:10" s="3" customFormat="1" ht="24" customHeight="1" x14ac:dyDescent="0.2">
      <c r="B471" s="68"/>
      <c r="C471" s="69"/>
      <c r="D471" s="86"/>
      <c r="E471" s="116" t="str">
        <f>IFERROR(VLOOKUP(D471,'リスト '!$A$2:$B$15,2,FALSE),"")</f>
        <v/>
      </c>
      <c r="F471" s="70"/>
      <c r="G471" s="71" t="str">
        <f>IFERROR(VLOOKUP(F471,設定!$C$11:$F$111,2,FALSE),"")</f>
        <v/>
      </c>
      <c r="H471" s="71" t="str">
        <f>IFERROR(VLOOKUP(F471,設定!$C$11:$F$111,3,FALSE),"")</f>
        <v/>
      </c>
      <c r="I471" s="71" t="str">
        <f>IFERROR(VLOOKUP(F471,設定!$C$11:$F$111,4,FALSE),"")</f>
        <v/>
      </c>
      <c r="J471" s="122"/>
    </row>
    <row r="472" spans="2:10" s="3" customFormat="1" ht="24" customHeight="1" x14ac:dyDescent="0.2">
      <c r="B472" s="68"/>
      <c r="C472" s="69"/>
      <c r="D472" s="86"/>
      <c r="E472" s="116" t="str">
        <f>IFERROR(VLOOKUP(D472,'リスト '!$A$2:$B$15,2,FALSE),"")</f>
        <v/>
      </c>
      <c r="F472" s="70"/>
      <c r="G472" s="71" t="str">
        <f>IFERROR(VLOOKUP(F472,設定!$C$11:$F$111,2,FALSE),"")</f>
        <v/>
      </c>
      <c r="H472" s="71" t="str">
        <f>IFERROR(VLOOKUP(F472,設定!$C$11:$F$111,3,FALSE),"")</f>
        <v/>
      </c>
      <c r="I472" s="71" t="str">
        <f>IFERROR(VLOOKUP(F472,設定!$C$11:$F$111,4,FALSE),"")</f>
        <v/>
      </c>
      <c r="J472" s="122"/>
    </row>
    <row r="473" spans="2:10" s="3" customFormat="1" ht="24" customHeight="1" x14ac:dyDescent="0.2">
      <c r="B473" s="68"/>
      <c r="C473" s="69"/>
      <c r="D473" s="86"/>
      <c r="E473" s="116" t="str">
        <f>IFERROR(VLOOKUP(D473,'リスト '!$A$2:$B$15,2,FALSE),"")</f>
        <v/>
      </c>
      <c r="F473" s="70"/>
      <c r="G473" s="71" t="str">
        <f>IFERROR(VLOOKUP(F473,設定!$C$11:$F$111,2,FALSE),"")</f>
        <v/>
      </c>
      <c r="H473" s="71" t="str">
        <f>IFERROR(VLOOKUP(F473,設定!$C$11:$F$111,3,FALSE),"")</f>
        <v/>
      </c>
      <c r="I473" s="71" t="str">
        <f>IFERROR(VLOOKUP(F473,設定!$C$11:$F$111,4,FALSE),"")</f>
        <v/>
      </c>
      <c r="J473" s="122"/>
    </row>
    <row r="474" spans="2:10" s="3" customFormat="1" ht="24" customHeight="1" x14ac:dyDescent="0.2">
      <c r="B474" s="68"/>
      <c r="C474" s="69"/>
      <c r="D474" s="86"/>
      <c r="E474" s="116" t="str">
        <f>IFERROR(VLOOKUP(D474,'リスト '!$A$2:$B$15,2,FALSE),"")</f>
        <v/>
      </c>
      <c r="F474" s="70"/>
      <c r="G474" s="71" t="str">
        <f>IFERROR(VLOOKUP(F474,設定!$C$11:$F$111,2,FALSE),"")</f>
        <v/>
      </c>
      <c r="H474" s="71" t="str">
        <f>IFERROR(VLOOKUP(F474,設定!$C$11:$F$111,3,FALSE),"")</f>
        <v/>
      </c>
      <c r="I474" s="71" t="str">
        <f>IFERROR(VLOOKUP(F474,設定!$C$11:$F$111,4,FALSE),"")</f>
        <v/>
      </c>
      <c r="J474" s="122"/>
    </row>
    <row r="475" spans="2:10" s="3" customFormat="1" ht="24" customHeight="1" x14ac:dyDescent="0.2">
      <c r="B475" s="68"/>
      <c r="C475" s="69"/>
      <c r="D475" s="86"/>
      <c r="E475" s="116" t="str">
        <f>IFERROR(VLOOKUP(D475,'リスト '!$A$2:$B$15,2,FALSE),"")</f>
        <v/>
      </c>
      <c r="F475" s="70"/>
      <c r="G475" s="71" t="str">
        <f>IFERROR(VLOOKUP(F475,設定!$C$11:$F$111,2,FALSE),"")</f>
        <v/>
      </c>
      <c r="H475" s="71" t="str">
        <f>IFERROR(VLOOKUP(F475,設定!$C$11:$F$111,3,FALSE),"")</f>
        <v/>
      </c>
      <c r="I475" s="71" t="str">
        <f>IFERROR(VLOOKUP(F475,設定!$C$11:$F$111,4,FALSE),"")</f>
        <v/>
      </c>
      <c r="J475" s="122"/>
    </row>
    <row r="476" spans="2:10" s="3" customFormat="1" ht="24" customHeight="1" x14ac:dyDescent="0.2">
      <c r="B476" s="68"/>
      <c r="C476" s="69"/>
      <c r="D476" s="86"/>
      <c r="E476" s="116" t="str">
        <f>IFERROR(VLOOKUP(D476,'リスト '!$A$2:$B$15,2,FALSE),"")</f>
        <v/>
      </c>
      <c r="F476" s="70"/>
      <c r="G476" s="71" t="str">
        <f>IFERROR(VLOOKUP(F476,設定!$C$11:$F$111,2,FALSE),"")</f>
        <v/>
      </c>
      <c r="H476" s="71" t="str">
        <f>IFERROR(VLOOKUP(F476,設定!$C$11:$F$111,3,FALSE),"")</f>
        <v/>
      </c>
      <c r="I476" s="71" t="str">
        <f>IFERROR(VLOOKUP(F476,設定!$C$11:$F$111,4,FALSE),"")</f>
        <v/>
      </c>
      <c r="J476" s="122"/>
    </row>
    <row r="477" spans="2:10" s="3" customFormat="1" ht="24" customHeight="1" x14ac:dyDescent="0.2">
      <c r="B477" s="68"/>
      <c r="C477" s="69"/>
      <c r="D477" s="86"/>
      <c r="E477" s="116" t="str">
        <f>IFERROR(VLOOKUP(D477,'リスト '!$A$2:$B$15,2,FALSE),"")</f>
        <v/>
      </c>
      <c r="F477" s="70"/>
      <c r="G477" s="71" t="str">
        <f>IFERROR(VLOOKUP(F477,設定!$C$11:$F$111,2,FALSE),"")</f>
        <v/>
      </c>
      <c r="H477" s="71" t="str">
        <f>IFERROR(VLOOKUP(F477,設定!$C$11:$F$111,3,FALSE),"")</f>
        <v/>
      </c>
      <c r="I477" s="71" t="str">
        <f>IFERROR(VLOOKUP(F477,設定!$C$11:$F$111,4,FALSE),"")</f>
        <v/>
      </c>
      <c r="J477" s="122"/>
    </row>
    <row r="478" spans="2:10" s="3" customFormat="1" ht="24" customHeight="1" x14ac:dyDescent="0.2">
      <c r="B478" s="68"/>
      <c r="C478" s="69"/>
      <c r="D478" s="86"/>
      <c r="E478" s="116" t="str">
        <f>IFERROR(VLOOKUP(D478,'リスト '!$A$2:$B$15,2,FALSE),"")</f>
        <v/>
      </c>
      <c r="F478" s="70"/>
      <c r="G478" s="71" t="str">
        <f>IFERROR(VLOOKUP(F478,設定!$C$11:$F$111,2,FALSE),"")</f>
        <v/>
      </c>
      <c r="H478" s="71" t="str">
        <f>IFERROR(VLOOKUP(F478,設定!$C$11:$F$111,3,FALSE),"")</f>
        <v/>
      </c>
      <c r="I478" s="71" t="str">
        <f>IFERROR(VLOOKUP(F478,設定!$C$11:$F$111,4,FALSE),"")</f>
        <v/>
      </c>
      <c r="J478" s="122"/>
    </row>
    <row r="479" spans="2:10" s="3" customFormat="1" ht="24" customHeight="1" x14ac:dyDescent="0.2">
      <c r="B479" s="68"/>
      <c r="C479" s="69"/>
      <c r="D479" s="86"/>
      <c r="E479" s="116" t="str">
        <f>IFERROR(VLOOKUP(D479,'リスト '!$A$2:$B$15,2,FALSE),"")</f>
        <v/>
      </c>
      <c r="F479" s="70"/>
      <c r="G479" s="71" t="str">
        <f>IFERROR(VLOOKUP(F479,設定!$C$11:$F$111,2,FALSE),"")</f>
        <v/>
      </c>
      <c r="H479" s="71" t="str">
        <f>IFERROR(VLOOKUP(F479,設定!$C$11:$F$111,3,FALSE),"")</f>
        <v/>
      </c>
      <c r="I479" s="71" t="str">
        <f>IFERROR(VLOOKUP(F479,設定!$C$11:$F$111,4,FALSE),"")</f>
        <v/>
      </c>
      <c r="J479" s="122"/>
    </row>
    <row r="480" spans="2:10" s="3" customFormat="1" ht="24" customHeight="1" x14ac:dyDescent="0.2">
      <c r="B480" s="68"/>
      <c r="C480" s="69"/>
      <c r="D480" s="86"/>
      <c r="E480" s="116" t="str">
        <f>IFERROR(VLOOKUP(D480,'リスト '!$A$2:$B$15,2,FALSE),"")</f>
        <v/>
      </c>
      <c r="F480" s="70"/>
      <c r="G480" s="71" t="str">
        <f>IFERROR(VLOOKUP(F480,設定!$C$11:$F$111,2,FALSE),"")</f>
        <v/>
      </c>
      <c r="H480" s="71" t="str">
        <f>IFERROR(VLOOKUP(F480,設定!$C$11:$F$111,3,FALSE),"")</f>
        <v/>
      </c>
      <c r="I480" s="71" t="str">
        <f>IFERROR(VLOOKUP(F480,設定!$C$11:$F$111,4,FALSE),"")</f>
        <v/>
      </c>
      <c r="J480" s="122"/>
    </row>
    <row r="481" spans="2:10" s="3" customFormat="1" ht="24" customHeight="1" x14ac:dyDescent="0.2">
      <c r="B481" s="68"/>
      <c r="C481" s="69"/>
      <c r="D481" s="86"/>
      <c r="E481" s="116" t="str">
        <f>IFERROR(VLOOKUP(D481,'リスト '!$A$2:$B$15,2,FALSE),"")</f>
        <v/>
      </c>
      <c r="F481" s="70"/>
      <c r="G481" s="71" t="str">
        <f>IFERROR(VLOOKUP(F481,設定!$C$11:$F$111,2,FALSE),"")</f>
        <v/>
      </c>
      <c r="H481" s="71" t="str">
        <f>IFERROR(VLOOKUP(F481,設定!$C$11:$F$111,3,FALSE),"")</f>
        <v/>
      </c>
      <c r="I481" s="71" t="str">
        <f>IFERROR(VLOOKUP(F481,設定!$C$11:$F$111,4,FALSE),"")</f>
        <v/>
      </c>
      <c r="J481" s="122"/>
    </row>
    <row r="482" spans="2:10" s="3" customFormat="1" ht="24" customHeight="1" x14ac:dyDescent="0.2">
      <c r="B482" s="68"/>
      <c r="C482" s="69"/>
      <c r="D482" s="86"/>
      <c r="E482" s="116" t="str">
        <f>IFERROR(VLOOKUP(D482,'リスト '!$A$2:$B$15,2,FALSE),"")</f>
        <v/>
      </c>
      <c r="F482" s="70"/>
      <c r="G482" s="71" t="str">
        <f>IFERROR(VLOOKUP(F482,設定!$C$11:$F$111,2,FALSE),"")</f>
        <v/>
      </c>
      <c r="H482" s="71" t="str">
        <f>IFERROR(VLOOKUP(F482,設定!$C$11:$F$111,3,FALSE),"")</f>
        <v/>
      </c>
      <c r="I482" s="71" t="str">
        <f>IFERROR(VLOOKUP(F482,設定!$C$11:$F$111,4,FALSE),"")</f>
        <v/>
      </c>
      <c r="J482" s="122"/>
    </row>
    <row r="483" spans="2:10" s="3" customFormat="1" ht="24" customHeight="1" x14ac:dyDescent="0.2">
      <c r="B483" s="68"/>
      <c r="C483" s="69"/>
      <c r="D483" s="86"/>
      <c r="E483" s="116" t="str">
        <f>IFERROR(VLOOKUP(D483,'リスト '!$A$2:$B$15,2,FALSE),"")</f>
        <v/>
      </c>
      <c r="F483" s="70"/>
      <c r="G483" s="71" t="str">
        <f>IFERROR(VLOOKUP(F483,設定!$C$11:$F$111,2,FALSE),"")</f>
        <v/>
      </c>
      <c r="H483" s="71" t="str">
        <f>IFERROR(VLOOKUP(F483,設定!$C$11:$F$111,3,FALSE),"")</f>
        <v/>
      </c>
      <c r="I483" s="71" t="str">
        <f>IFERROR(VLOOKUP(F483,設定!$C$11:$F$111,4,FALSE),"")</f>
        <v/>
      </c>
      <c r="J483" s="122"/>
    </row>
    <row r="484" spans="2:10" s="3" customFormat="1" ht="24" customHeight="1" x14ac:dyDescent="0.2">
      <c r="B484" s="68"/>
      <c r="C484" s="69"/>
      <c r="D484" s="86"/>
      <c r="E484" s="116" t="str">
        <f>IFERROR(VLOOKUP(D484,'リスト '!$A$2:$B$15,2,FALSE),"")</f>
        <v/>
      </c>
      <c r="F484" s="70"/>
      <c r="G484" s="71" t="str">
        <f>IFERROR(VLOOKUP(F484,設定!$C$11:$F$111,2,FALSE),"")</f>
        <v/>
      </c>
      <c r="H484" s="71" t="str">
        <f>IFERROR(VLOOKUP(F484,設定!$C$11:$F$111,3,FALSE),"")</f>
        <v/>
      </c>
      <c r="I484" s="71" t="str">
        <f>IFERROR(VLOOKUP(F484,設定!$C$11:$F$111,4,FALSE),"")</f>
        <v/>
      </c>
      <c r="J484" s="122"/>
    </row>
    <row r="485" spans="2:10" s="3" customFormat="1" ht="24" customHeight="1" x14ac:dyDescent="0.2">
      <c r="B485" s="68"/>
      <c r="C485" s="69"/>
      <c r="D485" s="86"/>
      <c r="E485" s="116" t="str">
        <f>IFERROR(VLOOKUP(D485,'リスト '!$A$2:$B$15,2,FALSE),"")</f>
        <v/>
      </c>
      <c r="F485" s="70"/>
      <c r="G485" s="71" t="str">
        <f>IFERROR(VLOOKUP(F485,設定!$C$11:$F$111,2,FALSE),"")</f>
        <v/>
      </c>
      <c r="H485" s="71" t="str">
        <f>IFERROR(VLOOKUP(F485,設定!$C$11:$F$111,3,FALSE),"")</f>
        <v/>
      </c>
      <c r="I485" s="71" t="str">
        <f>IFERROR(VLOOKUP(F485,設定!$C$11:$F$111,4,FALSE),"")</f>
        <v/>
      </c>
      <c r="J485" s="122"/>
    </row>
    <row r="486" spans="2:10" s="3" customFormat="1" ht="24" customHeight="1" x14ac:dyDescent="0.2">
      <c r="B486" s="68"/>
      <c r="C486" s="69"/>
      <c r="D486" s="86"/>
      <c r="E486" s="116" t="str">
        <f>IFERROR(VLOOKUP(D486,'リスト '!$A$2:$B$15,2,FALSE),"")</f>
        <v/>
      </c>
      <c r="F486" s="70"/>
      <c r="G486" s="71" t="str">
        <f>IFERROR(VLOOKUP(F486,設定!$C$11:$F$111,2,FALSE),"")</f>
        <v/>
      </c>
      <c r="H486" s="71" t="str">
        <f>IFERROR(VLOOKUP(F486,設定!$C$11:$F$111,3,FALSE),"")</f>
        <v/>
      </c>
      <c r="I486" s="71" t="str">
        <f>IFERROR(VLOOKUP(F486,設定!$C$11:$F$111,4,FALSE),"")</f>
        <v/>
      </c>
      <c r="J486" s="122"/>
    </row>
    <row r="487" spans="2:10" s="3" customFormat="1" ht="24" customHeight="1" x14ac:dyDescent="0.2">
      <c r="B487" s="68"/>
      <c r="C487" s="69"/>
      <c r="D487" s="86"/>
      <c r="E487" s="116" t="str">
        <f>IFERROR(VLOOKUP(D487,'リスト '!$A$2:$B$15,2,FALSE),"")</f>
        <v/>
      </c>
      <c r="F487" s="70"/>
      <c r="G487" s="71" t="str">
        <f>IFERROR(VLOOKUP(F487,設定!$C$11:$F$111,2,FALSE),"")</f>
        <v/>
      </c>
      <c r="H487" s="71" t="str">
        <f>IFERROR(VLOOKUP(F487,設定!$C$11:$F$111,3,FALSE),"")</f>
        <v/>
      </c>
      <c r="I487" s="71" t="str">
        <f>IFERROR(VLOOKUP(F487,設定!$C$11:$F$111,4,FALSE),"")</f>
        <v/>
      </c>
      <c r="J487" s="122"/>
    </row>
    <row r="488" spans="2:10" s="3" customFormat="1" ht="24" customHeight="1" x14ac:dyDescent="0.2">
      <c r="B488" s="68"/>
      <c r="C488" s="69"/>
      <c r="D488" s="86"/>
      <c r="E488" s="116" t="str">
        <f>IFERROR(VLOOKUP(D488,'リスト '!$A$2:$B$15,2,FALSE),"")</f>
        <v/>
      </c>
      <c r="F488" s="70"/>
      <c r="G488" s="71" t="str">
        <f>IFERROR(VLOOKUP(F488,設定!$C$11:$F$111,2,FALSE),"")</f>
        <v/>
      </c>
      <c r="H488" s="71" t="str">
        <f>IFERROR(VLOOKUP(F488,設定!$C$11:$F$111,3,FALSE),"")</f>
        <v/>
      </c>
      <c r="I488" s="71" t="str">
        <f>IFERROR(VLOOKUP(F488,設定!$C$11:$F$111,4,FALSE),"")</f>
        <v/>
      </c>
      <c r="J488" s="122"/>
    </row>
    <row r="489" spans="2:10" s="3" customFormat="1" ht="24" customHeight="1" x14ac:dyDescent="0.2">
      <c r="B489" s="68"/>
      <c r="C489" s="69"/>
      <c r="D489" s="86"/>
      <c r="E489" s="116" t="str">
        <f>IFERROR(VLOOKUP(D489,'リスト '!$A$2:$B$15,2,FALSE),"")</f>
        <v/>
      </c>
      <c r="F489" s="70"/>
      <c r="G489" s="71" t="str">
        <f>IFERROR(VLOOKUP(F489,設定!$C$11:$F$111,2,FALSE),"")</f>
        <v/>
      </c>
      <c r="H489" s="71" t="str">
        <f>IFERROR(VLOOKUP(F489,設定!$C$11:$F$111,3,FALSE),"")</f>
        <v/>
      </c>
      <c r="I489" s="71" t="str">
        <f>IFERROR(VLOOKUP(F489,設定!$C$11:$F$111,4,FALSE),"")</f>
        <v/>
      </c>
      <c r="J489" s="122"/>
    </row>
    <row r="490" spans="2:10" s="3" customFormat="1" ht="24" customHeight="1" x14ac:dyDescent="0.2">
      <c r="B490" s="68"/>
      <c r="C490" s="69"/>
      <c r="D490" s="86"/>
      <c r="E490" s="116" t="str">
        <f>IFERROR(VLOOKUP(D490,'リスト '!$A$2:$B$15,2,FALSE),"")</f>
        <v/>
      </c>
      <c r="F490" s="70"/>
      <c r="G490" s="71" t="str">
        <f>IFERROR(VLOOKUP(F490,設定!$C$11:$F$111,2,FALSE),"")</f>
        <v/>
      </c>
      <c r="H490" s="71" t="str">
        <f>IFERROR(VLOOKUP(F490,設定!$C$11:$F$111,3,FALSE),"")</f>
        <v/>
      </c>
      <c r="I490" s="71" t="str">
        <f>IFERROR(VLOOKUP(F490,設定!$C$11:$F$111,4,FALSE),"")</f>
        <v/>
      </c>
      <c r="J490" s="122"/>
    </row>
    <row r="491" spans="2:10" s="3" customFormat="1" ht="24" customHeight="1" x14ac:dyDescent="0.2">
      <c r="B491" s="68"/>
      <c r="C491" s="69"/>
      <c r="D491" s="86"/>
      <c r="E491" s="116" t="str">
        <f>IFERROR(VLOOKUP(D491,'リスト '!$A$2:$B$15,2,FALSE),"")</f>
        <v/>
      </c>
      <c r="F491" s="70"/>
      <c r="G491" s="71" t="str">
        <f>IFERROR(VLOOKUP(F491,設定!$C$11:$F$111,2,FALSE),"")</f>
        <v/>
      </c>
      <c r="H491" s="71" t="str">
        <f>IFERROR(VLOOKUP(F491,設定!$C$11:$F$111,3,FALSE),"")</f>
        <v/>
      </c>
      <c r="I491" s="71" t="str">
        <f>IFERROR(VLOOKUP(F491,設定!$C$11:$F$111,4,FALSE),"")</f>
        <v/>
      </c>
      <c r="J491" s="122"/>
    </row>
    <row r="492" spans="2:10" s="3" customFormat="1" ht="24" customHeight="1" x14ac:dyDescent="0.2">
      <c r="B492" s="68"/>
      <c r="C492" s="69"/>
      <c r="D492" s="86"/>
      <c r="E492" s="116" t="str">
        <f>IFERROR(VLOOKUP(D492,'リスト '!$A$2:$B$15,2,FALSE),"")</f>
        <v/>
      </c>
      <c r="F492" s="70"/>
      <c r="G492" s="71" t="str">
        <f>IFERROR(VLOOKUP(F492,設定!$C$11:$F$111,2,FALSE),"")</f>
        <v/>
      </c>
      <c r="H492" s="71" t="str">
        <f>IFERROR(VLOOKUP(F492,設定!$C$11:$F$111,3,FALSE),"")</f>
        <v/>
      </c>
      <c r="I492" s="71" t="str">
        <f>IFERROR(VLOOKUP(F492,設定!$C$11:$F$111,4,FALSE),"")</f>
        <v/>
      </c>
      <c r="J492" s="122"/>
    </row>
    <row r="493" spans="2:10" s="3" customFormat="1" ht="24" customHeight="1" x14ac:dyDescent="0.2">
      <c r="B493" s="68"/>
      <c r="C493" s="69"/>
      <c r="D493" s="86"/>
      <c r="E493" s="116" t="str">
        <f>IFERROR(VLOOKUP(D493,'リスト '!$A$2:$B$15,2,FALSE),"")</f>
        <v/>
      </c>
      <c r="F493" s="70"/>
      <c r="G493" s="71" t="str">
        <f>IFERROR(VLOOKUP(F493,設定!$C$11:$F$111,2,FALSE),"")</f>
        <v/>
      </c>
      <c r="H493" s="71" t="str">
        <f>IFERROR(VLOOKUP(F493,設定!$C$11:$F$111,3,FALSE),"")</f>
        <v/>
      </c>
      <c r="I493" s="71" t="str">
        <f>IFERROR(VLOOKUP(F493,設定!$C$11:$F$111,4,FALSE),"")</f>
        <v/>
      </c>
      <c r="J493" s="122"/>
    </row>
    <row r="494" spans="2:10" s="3" customFormat="1" ht="24" customHeight="1" x14ac:dyDescent="0.2">
      <c r="B494" s="68"/>
      <c r="C494" s="69"/>
      <c r="D494" s="86"/>
      <c r="E494" s="116" t="str">
        <f>IFERROR(VLOOKUP(D494,'リスト '!$A$2:$B$15,2,FALSE),"")</f>
        <v/>
      </c>
      <c r="F494" s="70"/>
      <c r="G494" s="71" t="str">
        <f>IFERROR(VLOOKUP(F494,設定!$C$11:$F$111,2,FALSE),"")</f>
        <v/>
      </c>
      <c r="H494" s="71" t="str">
        <f>IFERROR(VLOOKUP(F494,設定!$C$11:$F$111,3,FALSE),"")</f>
        <v/>
      </c>
      <c r="I494" s="71" t="str">
        <f>IFERROR(VLOOKUP(F494,設定!$C$11:$F$111,4,FALSE),"")</f>
        <v/>
      </c>
      <c r="J494" s="122"/>
    </row>
    <row r="495" spans="2:10" s="3" customFormat="1" ht="24" customHeight="1" x14ac:dyDescent="0.2">
      <c r="B495" s="68"/>
      <c r="C495" s="69"/>
      <c r="D495" s="86"/>
      <c r="E495" s="116" t="str">
        <f>IFERROR(VLOOKUP(D495,'リスト '!$A$2:$B$15,2,FALSE),"")</f>
        <v/>
      </c>
      <c r="F495" s="70"/>
      <c r="G495" s="71" t="str">
        <f>IFERROR(VLOOKUP(F495,設定!$C$11:$F$111,2,FALSE),"")</f>
        <v/>
      </c>
      <c r="H495" s="71" t="str">
        <f>IFERROR(VLOOKUP(F495,設定!$C$11:$F$111,3,FALSE),"")</f>
        <v/>
      </c>
      <c r="I495" s="71" t="str">
        <f>IFERROR(VLOOKUP(F495,設定!$C$11:$F$111,4,FALSE),"")</f>
        <v/>
      </c>
      <c r="J495" s="122"/>
    </row>
    <row r="496" spans="2:10" s="3" customFormat="1" ht="24" customHeight="1" x14ac:dyDescent="0.2">
      <c r="B496" s="68"/>
      <c r="C496" s="69"/>
      <c r="D496" s="86"/>
      <c r="E496" s="116" t="str">
        <f>IFERROR(VLOOKUP(D496,'リスト '!$A$2:$B$15,2,FALSE),"")</f>
        <v/>
      </c>
      <c r="F496" s="70"/>
      <c r="G496" s="71" t="str">
        <f>IFERROR(VLOOKUP(F496,設定!$C$11:$F$111,2,FALSE),"")</f>
        <v/>
      </c>
      <c r="H496" s="71" t="str">
        <f>IFERROR(VLOOKUP(F496,設定!$C$11:$F$111,3,FALSE),"")</f>
        <v/>
      </c>
      <c r="I496" s="71" t="str">
        <f>IFERROR(VLOOKUP(F496,設定!$C$11:$F$111,4,FALSE),"")</f>
        <v/>
      </c>
      <c r="J496" s="122"/>
    </row>
    <row r="497" spans="2:10" s="3" customFormat="1" ht="24" customHeight="1" x14ac:dyDescent="0.2">
      <c r="B497" s="68"/>
      <c r="C497" s="69"/>
      <c r="D497" s="86"/>
      <c r="E497" s="116" t="str">
        <f>IFERROR(VLOOKUP(D497,'リスト '!$A$2:$B$15,2,FALSE),"")</f>
        <v/>
      </c>
      <c r="F497" s="70"/>
      <c r="G497" s="71" t="str">
        <f>IFERROR(VLOOKUP(F497,設定!$C$11:$F$111,2,FALSE),"")</f>
        <v/>
      </c>
      <c r="H497" s="71" t="str">
        <f>IFERROR(VLOOKUP(F497,設定!$C$11:$F$111,3,FALSE),"")</f>
        <v/>
      </c>
      <c r="I497" s="71" t="str">
        <f>IFERROR(VLOOKUP(F497,設定!$C$11:$F$111,4,FALSE),"")</f>
        <v/>
      </c>
      <c r="J497" s="122"/>
    </row>
    <row r="498" spans="2:10" s="3" customFormat="1" ht="24" customHeight="1" x14ac:dyDescent="0.2">
      <c r="B498" s="68"/>
      <c r="C498" s="69"/>
      <c r="D498" s="86"/>
      <c r="E498" s="116" t="str">
        <f>IFERROR(VLOOKUP(D498,'リスト '!$A$2:$B$15,2,FALSE),"")</f>
        <v/>
      </c>
      <c r="F498" s="70"/>
      <c r="G498" s="71" t="str">
        <f>IFERROR(VLOOKUP(F498,設定!$C$11:$F$111,2,FALSE),"")</f>
        <v/>
      </c>
      <c r="H498" s="71" t="str">
        <f>IFERROR(VLOOKUP(F498,設定!$C$11:$F$111,3,FALSE),"")</f>
        <v/>
      </c>
      <c r="I498" s="71" t="str">
        <f>IFERROR(VLOOKUP(F498,設定!$C$11:$F$111,4,FALSE),"")</f>
        <v/>
      </c>
      <c r="J498" s="122"/>
    </row>
    <row r="499" spans="2:10" s="3" customFormat="1" ht="24" customHeight="1" x14ac:dyDescent="0.2">
      <c r="B499" s="68"/>
      <c r="C499" s="69"/>
      <c r="D499" s="86"/>
      <c r="E499" s="116" t="str">
        <f>IFERROR(VLOOKUP(D499,'リスト '!$A$2:$B$15,2,FALSE),"")</f>
        <v/>
      </c>
      <c r="F499" s="70"/>
      <c r="G499" s="71" t="str">
        <f>IFERROR(VLOOKUP(F499,設定!$C$11:$F$111,2,FALSE),"")</f>
        <v/>
      </c>
      <c r="H499" s="71" t="str">
        <f>IFERROR(VLOOKUP(F499,設定!$C$11:$F$111,3,FALSE),"")</f>
        <v/>
      </c>
      <c r="I499" s="71" t="str">
        <f>IFERROR(VLOOKUP(F499,設定!$C$11:$F$111,4,FALSE),"")</f>
        <v/>
      </c>
      <c r="J499" s="122"/>
    </row>
    <row r="500" spans="2:10" s="3" customFormat="1" ht="24" customHeight="1" x14ac:dyDescent="0.2">
      <c r="B500" s="68"/>
      <c r="C500" s="69"/>
      <c r="D500" s="86"/>
      <c r="E500" s="116" t="str">
        <f>IFERROR(VLOOKUP(D500,'リスト '!$A$2:$B$15,2,FALSE),"")</f>
        <v/>
      </c>
      <c r="F500" s="70"/>
      <c r="G500" s="71" t="str">
        <f>IFERROR(VLOOKUP(F500,設定!$C$11:$F$111,2,FALSE),"")</f>
        <v/>
      </c>
      <c r="H500" s="71" t="str">
        <f>IFERROR(VLOOKUP(F500,設定!$C$11:$F$111,3,FALSE),"")</f>
        <v/>
      </c>
      <c r="I500" s="71" t="str">
        <f>IFERROR(VLOOKUP(F500,設定!$C$11:$F$111,4,FALSE),"")</f>
        <v/>
      </c>
      <c r="J500" s="122"/>
    </row>
    <row r="501" spans="2:10" s="3" customFormat="1" ht="24" customHeight="1" x14ac:dyDescent="0.2">
      <c r="B501" s="68"/>
      <c r="C501" s="69"/>
      <c r="D501" s="86"/>
      <c r="E501" s="116" t="str">
        <f>IFERROR(VLOOKUP(D501,'リスト '!$A$2:$B$15,2,FALSE),"")</f>
        <v/>
      </c>
      <c r="F501" s="70"/>
      <c r="G501" s="71" t="str">
        <f>IFERROR(VLOOKUP(F501,設定!$C$11:$F$111,2,FALSE),"")</f>
        <v/>
      </c>
      <c r="H501" s="71" t="str">
        <f>IFERROR(VLOOKUP(F501,設定!$C$11:$F$111,3,FALSE),"")</f>
        <v/>
      </c>
      <c r="I501" s="71" t="str">
        <f>IFERROR(VLOOKUP(F501,設定!$C$11:$F$111,4,FALSE),"")</f>
        <v/>
      </c>
      <c r="J501" s="122"/>
    </row>
    <row r="502" spans="2:10" s="3" customFormat="1" ht="24" customHeight="1" x14ac:dyDescent="0.2">
      <c r="B502" s="68"/>
      <c r="C502" s="69"/>
      <c r="D502" s="86"/>
      <c r="E502" s="116" t="str">
        <f>IFERROR(VLOOKUP(D502,'リスト '!$A$2:$B$15,2,FALSE),"")</f>
        <v/>
      </c>
      <c r="F502" s="70"/>
      <c r="G502" s="71" t="str">
        <f>IFERROR(VLOOKUP(F502,設定!$C$11:$F$111,2,FALSE),"")</f>
        <v/>
      </c>
      <c r="H502" s="71" t="str">
        <f>IFERROR(VLOOKUP(F502,設定!$C$11:$F$111,3,FALSE),"")</f>
        <v/>
      </c>
      <c r="I502" s="71" t="str">
        <f>IFERROR(VLOOKUP(F502,設定!$C$11:$F$111,4,FALSE),"")</f>
        <v/>
      </c>
      <c r="J502" s="122"/>
    </row>
    <row r="503" spans="2:10" s="3" customFormat="1" ht="24" customHeight="1" x14ac:dyDescent="0.2">
      <c r="B503" s="68"/>
      <c r="C503" s="69"/>
      <c r="D503" s="86"/>
      <c r="E503" s="116" t="str">
        <f>IFERROR(VLOOKUP(D503,'リスト '!$A$2:$B$15,2,FALSE),"")</f>
        <v/>
      </c>
      <c r="F503" s="70"/>
      <c r="G503" s="71" t="str">
        <f>IFERROR(VLOOKUP(F503,設定!$C$11:$F$111,2,FALSE),"")</f>
        <v/>
      </c>
      <c r="H503" s="71" t="str">
        <f>IFERROR(VLOOKUP(F503,設定!$C$11:$F$111,3,FALSE),"")</f>
        <v/>
      </c>
      <c r="I503" s="71" t="str">
        <f>IFERROR(VLOOKUP(F503,設定!$C$11:$F$111,4,FALSE),"")</f>
        <v/>
      </c>
      <c r="J503" s="122"/>
    </row>
    <row r="504" spans="2:10" s="3" customFormat="1" ht="24" customHeight="1" x14ac:dyDescent="0.2">
      <c r="B504" s="68"/>
      <c r="C504" s="69"/>
      <c r="D504" s="86"/>
      <c r="E504" s="116" t="str">
        <f>IFERROR(VLOOKUP(D504,'リスト '!$A$2:$B$15,2,FALSE),"")</f>
        <v/>
      </c>
      <c r="F504" s="70"/>
      <c r="G504" s="71" t="str">
        <f>IFERROR(VLOOKUP(F504,設定!$C$11:$F$111,2,FALSE),"")</f>
        <v/>
      </c>
      <c r="H504" s="71" t="str">
        <f>IFERROR(VLOOKUP(F504,設定!$C$11:$F$111,3,FALSE),"")</f>
        <v/>
      </c>
      <c r="I504" s="71" t="str">
        <f>IFERROR(VLOOKUP(F504,設定!$C$11:$F$111,4,FALSE),"")</f>
        <v/>
      </c>
      <c r="J504" s="122"/>
    </row>
    <row r="505" spans="2:10" s="3" customFormat="1" ht="24" customHeight="1" x14ac:dyDescent="0.2">
      <c r="B505" s="68"/>
      <c r="C505" s="69"/>
      <c r="D505" s="86"/>
      <c r="E505" s="116" t="str">
        <f>IFERROR(VLOOKUP(D505,'リスト '!$A$2:$B$15,2,FALSE),"")</f>
        <v/>
      </c>
      <c r="F505" s="70"/>
      <c r="G505" s="71" t="str">
        <f>IFERROR(VLOOKUP(F505,設定!$C$11:$F$111,2,FALSE),"")</f>
        <v/>
      </c>
      <c r="H505" s="71" t="str">
        <f>IFERROR(VLOOKUP(F505,設定!$C$11:$F$111,3,FALSE),"")</f>
        <v/>
      </c>
      <c r="I505" s="71" t="str">
        <f>IFERROR(VLOOKUP(F505,設定!$C$11:$F$111,4,FALSE),"")</f>
        <v/>
      </c>
      <c r="J505" s="122"/>
    </row>
    <row r="506" spans="2:10" s="3" customFormat="1" ht="24" customHeight="1" x14ac:dyDescent="0.2">
      <c r="B506" s="68"/>
      <c r="C506" s="69"/>
      <c r="D506" s="86"/>
      <c r="E506" s="116" t="str">
        <f>IFERROR(VLOOKUP(D506,'リスト '!$A$2:$B$15,2,FALSE),"")</f>
        <v/>
      </c>
      <c r="F506" s="70"/>
      <c r="G506" s="71" t="str">
        <f>IFERROR(VLOOKUP(F506,設定!$C$11:$F$111,2,FALSE),"")</f>
        <v/>
      </c>
      <c r="H506" s="71" t="str">
        <f>IFERROR(VLOOKUP(F506,設定!$C$11:$F$111,3,FALSE),"")</f>
        <v/>
      </c>
      <c r="I506" s="71" t="str">
        <f>IFERROR(VLOOKUP(F506,設定!$C$11:$F$111,4,FALSE),"")</f>
        <v/>
      </c>
      <c r="J506" s="122"/>
    </row>
    <row r="507" spans="2:10" s="3" customFormat="1" ht="24" customHeight="1" x14ac:dyDescent="0.2">
      <c r="B507" s="68"/>
      <c r="C507" s="69"/>
      <c r="D507" s="86"/>
      <c r="E507" s="116" t="str">
        <f>IFERROR(VLOOKUP(D507,'リスト '!$A$2:$B$15,2,FALSE),"")</f>
        <v/>
      </c>
      <c r="F507" s="70"/>
      <c r="G507" s="71" t="str">
        <f>IFERROR(VLOOKUP(F507,設定!$C$11:$F$111,2,FALSE),"")</f>
        <v/>
      </c>
      <c r="H507" s="71" t="str">
        <f>IFERROR(VLOOKUP(F507,設定!$C$11:$F$111,3,FALSE),"")</f>
        <v/>
      </c>
      <c r="I507" s="71" t="str">
        <f>IFERROR(VLOOKUP(F507,設定!$C$11:$F$111,4,FALSE),"")</f>
        <v/>
      </c>
      <c r="J507" s="122"/>
    </row>
    <row r="508" spans="2:10" s="3" customFormat="1" ht="24" customHeight="1" x14ac:dyDescent="0.2">
      <c r="B508" s="68"/>
      <c r="C508" s="69"/>
      <c r="D508" s="86"/>
      <c r="E508" s="116" t="str">
        <f>IFERROR(VLOOKUP(D508,'リスト '!$A$2:$B$15,2,FALSE),"")</f>
        <v/>
      </c>
      <c r="F508" s="70"/>
      <c r="G508" s="71" t="str">
        <f>IFERROR(VLOOKUP(F508,設定!$C$11:$F$111,2,FALSE),"")</f>
        <v/>
      </c>
      <c r="H508" s="71" t="str">
        <f>IFERROR(VLOOKUP(F508,設定!$C$11:$F$111,3,FALSE),"")</f>
        <v/>
      </c>
      <c r="I508" s="71" t="str">
        <f>IFERROR(VLOOKUP(F508,設定!$C$11:$F$111,4,FALSE),"")</f>
        <v/>
      </c>
      <c r="J508" s="122"/>
    </row>
    <row r="509" spans="2:10" s="3" customFormat="1" ht="24" customHeight="1" x14ac:dyDescent="0.2">
      <c r="B509" s="68"/>
      <c r="C509" s="69"/>
      <c r="D509" s="86"/>
      <c r="E509" s="116" t="str">
        <f>IFERROR(VLOOKUP(D509,'リスト '!$A$2:$B$15,2,FALSE),"")</f>
        <v/>
      </c>
      <c r="F509" s="70"/>
      <c r="G509" s="71" t="str">
        <f>IFERROR(VLOOKUP(F509,設定!$C$11:$F$111,2,FALSE),"")</f>
        <v/>
      </c>
      <c r="H509" s="71" t="str">
        <f>IFERROR(VLOOKUP(F509,設定!$C$11:$F$111,3,FALSE),"")</f>
        <v/>
      </c>
      <c r="I509" s="71" t="str">
        <f>IFERROR(VLOOKUP(F509,設定!$C$11:$F$111,4,FALSE),"")</f>
        <v/>
      </c>
      <c r="J509" s="122"/>
    </row>
    <row r="510" spans="2:10" s="3" customFormat="1" ht="24" customHeight="1" x14ac:dyDescent="0.2">
      <c r="B510" s="68"/>
      <c r="C510" s="69"/>
      <c r="D510" s="86"/>
      <c r="E510" s="116" t="str">
        <f>IFERROR(VLOOKUP(D510,'リスト '!$A$2:$B$15,2,FALSE),"")</f>
        <v/>
      </c>
      <c r="F510" s="70"/>
      <c r="G510" s="71" t="str">
        <f>IFERROR(VLOOKUP(F510,設定!$C$11:$F$111,2,FALSE),"")</f>
        <v/>
      </c>
      <c r="H510" s="71" t="str">
        <f>IFERROR(VLOOKUP(F510,設定!$C$11:$F$111,3,FALSE),"")</f>
        <v/>
      </c>
      <c r="I510" s="71" t="str">
        <f>IFERROR(VLOOKUP(F510,設定!$C$11:$F$111,4,FALSE),"")</f>
        <v/>
      </c>
      <c r="J510" s="122"/>
    </row>
    <row r="511" spans="2:10" s="3" customFormat="1" ht="24" customHeight="1" x14ac:dyDescent="0.2">
      <c r="B511" s="68"/>
      <c r="C511" s="69"/>
      <c r="D511" s="86"/>
      <c r="E511" s="116" t="str">
        <f>IFERROR(VLOOKUP(D511,'リスト '!$A$2:$B$15,2,FALSE),"")</f>
        <v/>
      </c>
      <c r="F511" s="70"/>
      <c r="G511" s="71" t="str">
        <f>IFERROR(VLOOKUP(F511,設定!$C$11:$F$111,2,FALSE),"")</f>
        <v/>
      </c>
      <c r="H511" s="71" t="str">
        <f>IFERROR(VLOOKUP(F511,設定!$C$11:$F$111,3,FALSE),"")</f>
        <v/>
      </c>
      <c r="I511" s="71" t="str">
        <f>IFERROR(VLOOKUP(F511,設定!$C$11:$F$111,4,FALSE),"")</f>
        <v/>
      </c>
      <c r="J511" s="122"/>
    </row>
    <row r="512" spans="2:10" s="3" customFormat="1" ht="24" customHeight="1" x14ac:dyDescent="0.2">
      <c r="B512" s="68"/>
      <c r="C512" s="69"/>
      <c r="D512" s="86"/>
      <c r="E512" s="116" t="str">
        <f>IFERROR(VLOOKUP(D512,'リスト '!$A$2:$B$15,2,FALSE),"")</f>
        <v/>
      </c>
      <c r="F512" s="70"/>
      <c r="G512" s="71" t="str">
        <f>IFERROR(VLOOKUP(F512,設定!$C$11:$F$111,2,FALSE),"")</f>
        <v/>
      </c>
      <c r="H512" s="71" t="str">
        <f>IFERROR(VLOOKUP(F512,設定!$C$11:$F$111,3,FALSE),"")</f>
        <v/>
      </c>
      <c r="I512" s="71" t="str">
        <f>IFERROR(VLOOKUP(F512,設定!$C$11:$F$111,4,FALSE),"")</f>
        <v/>
      </c>
      <c r="J512" s="122"/>
    </row>
    <row r="513" spans="2:10" s="3" customFormat="1" ht="24" customHeight="1" x14ac:dyDescent="0.2">
      <c r="B513" s="68"/>
      <c r="C513" s="69"/>
      <c r="D513" s="86"/>
      <c r="E513" s="116" t="str">
        <f>IFERROR(VLOOKUP(D513,'リスト '!$A$2:$B$15,2,FALSE),"")</f>
        <v/>
      </c>
      <c r="F513" s="70"/>
      <c r="G513" s="71" t="str">
        <f>IFERROR(VLOOKUP(F513,設定!$C$11:$F$111,2,FALSE),"")</f>
        <v/>
      </c>
      <c r="H513" s="71" t="str">
        <f>IFERROR(VLOOKUP(F513,設定!$C$11:$F$111,3,FALSE),"")</f>
        <v/>
      </c>
      <c r="I513" s="71" t="str">
        <f>IFERROR(VLOOKUP(F513,設定!$C$11:$F$111,4,FALSE),"")</f>
        <v/>
      </c>
      <c r="J513" s="122"/>
    </row>
    <row r="514" spans="2:10" s="3" customFormat="1" ht="24" customHeight="1" x14ac:dyDescent="0.2">
      <c r="B514" s="68"/>
      <c r="C514" s="69"/>
      <c r="D514" s="86"/>
      <c r="E514" s="116" t="str">
        <f>IFERROR(VLOOKUP(D514,'リスト '!$A$2:$B$15,2,FALSE),"")</f>
        <v/>
      </c>
      <c r="F514" s="70"/>
      <c r="G514" s="71" t="str">
        <f>IFERROR(VLOOKUP(F514,設定!$C$11:$F$111,2,FALSE),"")</f>
        <v/>
      </c>
      <c r="H514" s="71" t="str">
        <f>IFERROR(VLOOKUP(F514,設定!$C$11:$F$111,3,FALSE),"")</f>
        <v/>
      </c>
      <c r="I514" s="71" t="str">
        <f>IFERROR(VLOOKUP(F514,設定!$C$11:$F$111,4,FALSE),"")</f>
        <v/>
      </c>
      <c r="J514" s="122"/>
    </row>
    <row r="515" spans="2:10" s="3" customFormat="1" ht="24" customHeight="1" x14ac:dyDescent="0.2">
      <c r="B515" s="68"/>
      <c r="C515" s="69"/>
      <c r="D515" s="86"/>
      <c r="E515" s="116" t="str">
        <f>IFERROR(VLOOKUP(D515,'リスト '!$A$2:$B$15,2,FALSE),"")</f>
        <v/>
      </c>
      <c r="F515" s="70"/>
      <c r="G515" s="71" t="str">
        <f>IFERROR(VLOOKUP(F515,設定!$C$11:$F$111,2,FALSE),"")</f>
        <v/>
      </c>
      <c r="H515" s="71" t="str">
        <f>IFERROR(VLOOKUP(F515,設定!$C$11:$F$111,3,FALSE),"")</f>
        <v/>
      </c>
      <c r="I515" s="71" t="str">
        <f>IFERROR(VLOOKUP(F515,設定!$C$11:$F$111,4,FALSE),"")</f>
        <v/>
      </c>
      <c r="J515" s="122"/>
    </row>
    <row r="516" spans="2:10" s="3" customFormat="1" ht="24" customHeight="1" x14ac:dyDescent="0.2">
      <c r="B516" s="68"/>
      <c r="C516" s="69"/>
      <c r="D516" s="86"/>
      <c r="E516" s="116" t="str">
        <f>IFERROR(VLOOKUP(D516,'リスト '!$A$2:$B$15,2,FALSE),"")</f>
        <v/>
      </c>
      <c r="F516" s="70"/>
      <c r="G516" s="71" t="str">
        <f>IFERROR(VLOOKUP(F516,設定!$C$11:$F$111,2,FALSE),"")</f>
        <v/>
      </c>
      <c r="H516" s="71" t="str">
        <f>IFERROR(VLOOKUP(F516,設定!$C$11:$F$111,3,FALSE),"")</f>
        <v/>
      </c>
      <c r="I516" s="71" t="str">
        <f>IFERROR(VLOOKUP(F516,設定!$C$11:$F$111,4,FALSE),"")</f>
        <v/>
      </c>
      <c r="J516" s="122"/>
    </row>
    <row r="517" spans="2:10" s="3" customFormat="1" ht="24" customHeight="1" x14ac:dyDescent="0.2">
      <c r="B517" s="68"/>
      <c r="C517" s="69"/>
      <c r="D517" s="86"/>
      <c r="E517" s="116" t="str">
        <f>IFERROR(VLOOKUP(D517,'リスト '!$A$2:$B$15,2,FALSE),"")</f>
        <v/>
      </c>
      <c r="F517" s="70"/>
      <c r="G517" s="71" t="str">
        <f>IFERROR(VLOOKUP(F517,設定!$C$11:$F$111,2,FALSE),"")</f>
        <v/>
      </c>
      <c r="H517" s="71" t="str">
        <f>IFERROR(VLOOKUP(F517,設定!$C$11:$F$111,3,FALSE),"")</f>
        <v/>
      </c>
      <c r="I517" s="71" t="str">
        <f>IFERROR(VLOOKUP(F517,設定!$C$11:$F$111,4,FALSE),"")</f>
        <v/>
      </c>
      <c r="J517" s="122"/>
    </row>
    <row r="518" spans="2:10" s="3" customFormat="1" ht="24" customHeight="1" x14ac:dyDescent="0.2">
      <c r="B518" s="68"/>
      <c r="C518" s="69"/>
      <c r="D518" s="86"/>
      <c r="E518" s="116" t="str">
        <f>IFERROR(VLOOKUP(D518,'リスト '!$A$2:$B$15,2,FALSE),"")</f>
        <v/>
      </c>
      <c r="F518" s="70"/>
      <c r="G518" s="71" t="str">
        <f>IFERROR(VLOOKUP(F518,設定!$C$11:$F$111,2,FALSE),"")</f>
        <v/>
      </c>
      <c r="H518" s="71" t="str">
        <f>IFERROR(VLOOKUP(F518,設定!$C$11:$F$111,3,FALSE),"")</f>
        <v/>
      </c>
      <c r="I518" s="71" t="str">
        <f>IFERROR(VLOOKUP(F518,設定!$C$11:$F$111,4,FALSE),"")</f>
        <v/>
      </c>
      <c r="J518" s="122"/>
    </row>
    <row r="519" spans="2:10" s="3" customFormat="1" ht="24" customHeight="1" x14ac:dyDescent="0.2">
      <c r="B519" s="68"/>
      <c r="C519" s="69"/>
      <c r="D519" s="86"/>
      <c r="E519" s="116" t="str">
        <f>IFERROR(VLOOKUP(D519,'リスト '!$A$2:$B$15,2,FALSE),"")</f>
        <v/>
      </c>
      <c r="F519" s="70"/>
      <c r="G519" s="71" t="str">
        <f>IFERROR(VLOOKUP(F519,設定!$C$11:$F$111,2,FALSE),"")</f>
        <v/>
      </c>
      <c r="H519" s="71" t="str">
        <f>IFERROR(VLOOKUP(F519,設定!$C$11:$F$111,3,FALSE),"")</f>
        <v/>
      </c>
      <c r="I519" s="71" t="str">
        <f>IFERROR(VLOOKUP(F519,設定!$C$11:$F$111,4,FALSE),"")</f>
        <v/>
      </c>
      <c r="J519" s="122"/>
    </row>
    <row r="520" spans="2:10" s="3" customFormat="1" ht="24" customHeight="1" x14ac:dyDescent="0.2">
      <c r="B520" s="68"/>
      <c r="C520" s="69"/>
      <c r="D520" s="86"/>
      <c r="E520" s="116" t="str">
        <f>IFERROR(VLOOKUP(D520,'リスト '!$A$2:$B$15,2,FALSE),"")</f>
        <v/>
      </c>
      <c r="F520" s="70"/>
      <c r="G520" s="71" t="str">
        <f>IFERROR(VLOOKUP(F520,設定!$C$11:$F$111,2,FALSE),"")</f>
        <v/>
      </c>
      <c r="H520" s="71" t="str">
        <f>IFERROR(VLOOKUP(F520,設定!$C$11:$F$111,3,FALSE),"")</f>
        <v/>
      </c>
      <c r="I520" s="71" t="str">
        <f>IFERROR(VLOOKUP(F520,設定!$C$11:$F$111,4,FALSE),"")</f>
        <v/>
      </c>
      <c r="J520" s="122"/>
    </row>
    <row r="521" spans="2:10" s="3" customFormat="1" ht="24" customHeight="1" x14ac:dyDescent="0.2">
      <c r="B521" s="68"/>
      <c r="C521" s="69"/>
      <c r="D521" s="86"/>
      <c r="E521" s="116" t="str">
        <f>IFERROR(VLOOKUP(D521,'リスト '!$A$2:$B$15,2,FALSE),"")</f>
        <v/>
      </c>
      <c r="F521" s="70"/>
      <c r="G521" s="71" t="str">
        <f>IFERROR(VLOOKUP(F521,設定!$C$11:$F$111,2,FALSE),"")</f>
        <v/>
      </c>
      <c r="H521" s="71" t="str">
        <f>IFERROR(VLOOKUP(F521,設定!$C$11:$F$111,3,FALSE),"")</f>
        <v/>
      </c>
      <c r="I521" s="71" t="str">
        <f>IFERROR(VLOOKUP(F521,設定!$C$11:$F$111,4,FALSE),"")</f>
        <v/>
      </c>
      <c r="J521" s="122"/>
    </row>
    <row r="522" spans="2:10" s="3" customFormat="1" ht="24" customHeight="1" x14ac:dyDescent="0.2">
      <c r="B522" s="68"/>
      <c r="C522" s="69"/>
      <c r="D522" s="86"/>
      <c r="E522" s="116" t="str">
        <f>IFERROR(VLOOKUP(D522,'リスト '!$A$2:$B$15,2,FALSE),"")</f>
        <v/>
      </c>
      <c r="F522" s="70"/>
      <c r="G522" s="71" t="str">
        <f>IFERROR(VLOOKUP(F522,設定!$C$11:$F$111,2,FALSE),"")</f>
        <v/>
      </c>
      <c r="H522" s="71" t="str">
        <f>IFERROR(VLOOKUP(F522,設定!$C$11:$F$111,3,FALSE),"")</f>
        <v/>
      </c>
      <c r="I522" s="71" t="str">
        <f>IFERROR(VLOOKUP(F522,設定!$C$11:$F$111,4,FALSE),"")</f>
        <v/>
      </c>
      <c r="J522" s="122"/>
    </row>
    <row r="523" spans="2:10" s="3" customFormat="1" ht="24" customHeight="1" x14ac:dyDescent="0.2">
      <c r="B523" s="68"/>
      <c r="C523" s="69"/>
      <c r="D523" s="86"/>
      <c r="E523" s="116" t="str">
        <f>IFERROR(VLOOKUP(D523,'リスト '!$A$2:$B$15,2,FALSE),"")</f>
        <v/>
      </c>
      <c r="F523" s="70"/>
      <c r="G523" s="71" t="str">
        <f>IFERROR(VLOOKUP(F523,設定!$C$11:$F$111,2,FALSE),"")</f>
        <v/>
      </c>
      <c r="H523" s="71" t="str">
        <f>IFERROR(VLOOKUP(F523,設定!$C$11:$F$111,3,FALSE),"")</f>
        <v/>
      </c>
      <c r="I523" s="71" t="str">
        <f>IFERROR(VLOOKUP(F523,設定!$C$11:$F$111,4,FALSE),"")</f>
        <v/>
      </c>
      <c r="J523" s="122"/>
    </row>
    <row r="524" spans="2:10" s="3" customFormat="1" ht="24" customHeight="1" x14ac:dyDescent="0.2">
      <c r="B524" s="68"/>
      <c r="C524" s="69"/>
      <c r="D524" s="86"/>
      <c r="E524" s="116" t="str">
        <f>IFERROR(VLOOKUP(D524,'リスト '!$A$2:$B$15,2,FALSE),"")</f>
        <v/>
      </c>
      <c r="F524" s="70"/>
      <c r="G524" s="71" t="str">
        <f>IFERROR(VLOOKUP(F524,設定!$C$11:$F$111,2,FALSE),"")</f>
        <v/>
      </c>
      <c r="H524" s="71" t="str">
        <f>IFERROR(VLOOKUP(F524,設定!$C$11:$F$111,3,FALSE),"")</f>
        <v/>
      </c>
      <c r="I524" s="71" t="str">
        <f>IFERROR(VLOOKUP(F524,設定!$C$11:$F$111,4,FALSE),"")</f>
        <v/>
      </c>
      <c r="J524" s="122"/>
    </row>
    <row r="525" spans="2:10" s="3" customFormat="1" ht="24" customHeight="1" x14ac:dyDescent="0.2">
      <c r="B525" s="68"/>
      <c r="C525" s="69"/>
      <c r="D525" s="86"/>
      <c r="E525" s="116" t="str">
        <f>IFERROR(VLOOKUP(D525,'リスト '!$A$2:$B$15,2,FALSE),"")</f>
        <v/>
      </c>
      <c r="F525" s="70"/>
      <c r="G525" s="71" t="str">
        <f>IFERROR(VLOOKUP(F525,設定!$C$11:$F$111,2,FALSE),"")</f>
        <v/>
      </c>
      <c r="H525" s="71" t="str">
        <f>IFERROR(VLOOKUP(F525,設定!$C$11:$F$111,3,FALSE),"")</f>
        <v/>
      </c>
      <c r="I525" s="71" t="str">
        <f>IFERROR(VLOOKUP(F525,設定!$C$11:$F$111,4,FALSE),"")</f>
        <v/>
      </c>
      <c r="J525" s="122"/>
    </row>
    <row r="526" spans="2:10" s="3" customFormat="1" ht="24" customHeight="1" x14ac:dyDescent="0.2">
      <c r="B526" s="68"/>
      <c r="C526" s="69"/>
      <c r="D526" s="86"/>
      <c r="E526" s="116" t="str">
        <f>IFERROR(VLOOKUP(D526,'リスト '!$A$2:$B$15,2,FALSE),"")</f>
        <v/>
      </c>
      <c r="F526" s="70"/>
      <c r="G526" s="71" t="str">
        <f>IFERROR(VLOOKUP(F526,設定!$C$11:$F$111,2,FALSE),"")</f>
        <v/>
      </c>
      <c r="H526" s="71" t="str">
        <f>IFERROR(VLOOKUP(F526,設定!$C$11:$F$111,3,FALSE),"")</f>
        <v/>
      </c>
      <c r="I526" s="71" t="str">
        <f>IFERROR(VLOOKUP(F526,設定!$C$11:$F$111,4,FALSE),"")</f>
        <v/>
      </c>
      <c r="J526" s="122"/>
    </row>
    <row r="527" spans="2:10" s="3" customFormat="1" ht="24" customHeight="1" x14ac:dyDescent="0.2">
      <c r="B527" s="68"/>
      <c r="C527" s="69"/>
      <c r="D527" s="86"/>
      <c r="E527" s="116" t="str">
        <f>IFERROR(VLOOKUP(D527,'リスト '!$A$2:$B$15,2,FALSE),"")</f>
        <v/>
      </c>
      <c r="F527" s="70"/>
      <c r="G527" s="71" t="str">
        <f>IFERROR(VLOOKUP(F527,設定!$C$11:$F$111,2,FALSE),"")</f>
        <v/>
      </c>
      <c r="H527" s="71" t="str">
        <f>IFERROR(VLOOKUP(F527,設定!$C$11:$F$111,3,FALSE),"")</f>
        <v/>
      </c>
      <c r="I527" s="71" t="str">
        <f>IFERROR(VLOOKUP(F527,設定!$C$11:$F$111,4,FALSE),"")</f>
        <v/>
      </c>
      <c r="J527" s="122"/>
    </row>
    <row r="528" spans="2:10" s="3" customFormat="1" ht="24" customHeight="1" x14ac:dyDescent="0.2">
      <c r="B528" s="68"/>
      <c r="C528" s="69"/>
      <c r="D528" s="86"/>
      <c r="E528" s="116" t="str">
        <f>IFERROR(VLOOKUP(D528,'リスト '!$A$2:$B$15,2,FALSE),"")</f>
        <v/>
      </c>
      <c r="F528" s="70"/>
      <c r="G528" s="71" t="str">
        <f>IFERROR(VLOOKUP(F528,設定!$C$11:$F$111,2,FALSE),"")</f>
        <v/>
      </c>
      <c r="H528" s="71" t="str">
        <f>IFERROR(VLOOKUP(F528,設定!$C$11:$F$111,3,FALSE),"")</f>
        <v/>
      </c>
      <c r="I528" s="71" t="str">
        <f>IFERROR(VLOOKUP(F528,設定!$C$11:$F$111,4,FALSE),"")</f>
        <v/>
      </c>
      <c r="J528" s="122"/>
    </row>
    <row r="529" spans="2:10" s="3" customFormat="1" ht="24" customHeight="1" x14ac:dyDescent="0.2">
      <c r="B529" s="68"/>
      <c r="C529" s="69"/>
      <c r="D529" s="86"/>
      <c r="E529" s="116" t="str">
        <f>IFERROR(VLOOKUP(D529,'リスト '!$A$2:$B$15,2,FALSE),"")</f>
        <v/>
      </c>
      <c r="F529" s="70"/>
      <c r="G529" s="71" t="str">
        <f>IFERROR(VLOOKUP(F529,設定!$C$11:$F$111,2,FALSE),"")</f>
        <v/>
      </c>
      <c r="H529" s="71" t="str">
        <f>IFERROR(VLOOKUP(F529,設定!$C$11:$F$111,3,FALSE),"")</f>
        <v/>
      </c>
      <c r="I529" s="71" t="str">
        <f>IFERROR(VLOOKUP(F529,設定!$C$11:$F$111,4,FALSE),"")</f>
        <v/>
      </c>
      <c r="J529" s="122"/>
    </row>
    <row r="530" spans="2:10" s="3" customFormat="1" ht="24" customHeight="1" x14ac:dyDescent="0.2">
      <c r="B530" s="68"/>
      <c r="C530" s="69"/>
      <c r="D530" s="86"/>
      <c r="E530" s="116" t="str">
        <f>IFERROR(VLOOKUP(D530,'リスト '!$A$2:$B$15,2,FALSE),"")</f>
        <v/>
      </c>
      <c r="F530" s="70"/>
      <c r="G530" s="71" t="str">
        <f>IFERROR(VLOOKUP(F530,設定!$C$11:$F$111,2,FALSE),"")</f>
        <v/>
      </c>
      <c r="H530" s="71" t="str">
        <f>IFERROR(VLOOKUP(F530,設定!$C$11:$F$111,3,FALSE),"")</f>
        <v/>
      </c>
      <c r="I530" s="71" t="str">
        <f>IFERROR(VLOOKUP(F530,設定!$C$11:$F$111,4,FALSE),"")</f>
        <v/>
      </c>
      <c r="J530" s="122"/>
    </row>
    <row r="531" spans="2:10" s="3" customFormat="1" ht="24" customHeight="1" x14ac:dyDescent="0.2">
      <c r="B531" s="68"/>
      <c r="C531" s="69"/>
      <c r="D531" s="86"/>
      <c r="E531" s="116" t="str">
        <f>IFERROR(VLOOKUP(D531,'リスト '!$A$2:$B$15,2,FALSE),"")</f>
        <v/>
      </c>
      <c r="F531" s="70"/>
      <c r="G531" s="71" t="str">
        <f>IFERROR(VLOOKUP(F531,設定!$C$11:$F$111,2,FALSE),"")</f>
        <v/>
      </c>
      <c r="H531" s="71" t="str">
        <f>IFERROR(VLOOKUP(F531,設定!$C$11:$F$111,3,FALSE),"")</f>
        <v/>
      </c>
      <c r="I531" s="71" t="str">
        <f>IFERROR(VLOOKUP(F531,設定!$C$11:$F$111,4,FALSE),"")</f>
        <v/>
      </c>
      <c r="J531" s="122"/>
    </row>
    <row r="532" spans="2:10" s="3" customFormat="1" ht="24" customHeight="1" x14ac:dyDescent="0.2">
      <c r="B532" s="68"/>
      <c r="C532" s="69"/>
      <c r="D532" s="86"/>
      <c r="E532" s="116" t="str">
        <f>IFERROR(VLOOKUP(D532,'リスト '!$A$2:$B$15,2,FALSE),"")</f>
        <v/>
      </c>
      <c r="F532" s="70"/>
      <c r="G532" s="71" t="str">
        <f>IFERROR(VLOOKUP(F532,設定!$C$11:$F$111,2,FALSE),"")</f>
        <v/>
      </c>
      <c r="H532" s="71" t="str">
        <f>IFERROR(VLOOKUP(F532,設定!$C$11:$F$111,3,FALSE),"")</f>
        <v/>
      </c>
      <c r="I532" s="71" t="str">
        <f>IFERROR(VLOOKUP(F532,設定!$C$11:$F$111,4,FALSE),"")</f>
        <v/>
      </c>
      <c r="J532" s="122"/>
    </row>
    <row r="533" spans="2:10" s="3" customFormat="1" ht="24" customHeight="1" x14ac:dyDescent="0.2">
      <c r="B533" s="68"/>
      <c r="C533" s="69"/>
      <c r="D533" s="86"/>
      <c r="E533" s="116" t="str">
        <f>IFERROR(VLOOKUP(D533,'リスト '!$A$2:$B$15,2,FALSE),"")</f>
        <v/>
      </c>
      <c r="F533" s="70"/>
      <c r="G533" s="71" t="str">
        <f>IFERROR(VLOOKUP(F533,設定!$C$11:$F$111,2,FALSE),"")</f>
        <v/>
      </c>
      <c r="H533" s="71" t="str">
        <f>IFERROR(VLOOKUP(F533,設定!$C$11:$F$111,3,FALSE),"")</f>
        <v/>
      </c>
      <c r="I533" s="71" t="str">
        <f>IFERROR(VLOOKUP(F533,設定!$C$11:$F$111,4,FALSE),"")</f>
        <v/>
      </c>
      <c r="J533" s="122"/>
    </row>
    <row r="534" spans="2:10" s="3" customFormat="1" ht="24" customHeight="1" x14ac:dyDescent="0.2">
      <c r="B534" s="68"/>
      <c r="C534" s="69"/>
      <c r="D534" s="86"/>
      <c r="E534" s="116" t="str">
        <f>IFERROR(VLOOKUP(D534,'リスト '!$A$2:$B$15,2,FALSE),"")</f>
        <v/>
      </c>
      <c r="F534" s="70"/>
      <c r="G534" s="71" t="str">
        <f>IFERROR(VLOOKUP(F534,設定!$C$11:$F$111,2,FALSE),"")</f>
        <v/>
      </c>
      <c r="H534" s="71" t="str">
        <f>IFERROR(VLOOKUP(F534,設定!$C$11:$F$111,3,FALSE),"")</f>
        <v/>
      </c>
      <c r="I534" s="71" t="str">
        <f>IFERROR(VLOOKUP(F534,設定!$C$11:$F$111,4,FALSE),"")</f>
        <v/>
      </c>
      <c r="J534" s="122"/>
    </row>
    <row r="535" spans="2:10" s="3" customFormat="1" ht="24" customHeight="1" x14ac:dyDescent="0.2">
      <c r="B535" s="68"/>
      <c r="C535" s="69"/>
      <c r="D535" s="86"/>
      <c r="E535" s="116" t="str">
        <f>IFERROR(VLOOKUP(D535,'リスト '!$A$2:$B$15,2,FALSE),"")</f>
        <v/>
      </c>
      <c r="F535" s="70"/>
      <c r="G535" s="71" t="str">
        <f>IFERROR(VLOOKUP(F535,設定!$C$11:$F$111,2,FALSE),"")</f>
        <v/>
      </c>
      <c r="H535" s="71" t="str">
        <f>IFERROR(VLOOKUP(F535,設定!$C$11:$F$111,3,FALSE),"")</f>
        <v/>
      </c>
      <c r="I535" s="71" t="str">
        <f>IFERROR(VLOOKUP(F535,設定!$C$11:$F$111,4,FALSE),"")</f>
        <v/>
      </c>
      <c r="J535" s="122"/>
    </row>
    <row r="536" spans="2:10" s="3" customFormat="1" ht="24" customHeight="1" x14ac:dyDescent="0.2">
      <c r="B536" s="68"/>
      <c r="C536" s="69"/>
      <c r="D536" s="86"/>
      <c r="E536" s="116" t="str">
        <f>IFERROR(VLOOKUP(D536,'リスト '!$A$2:$B$15,2,FALSE),"")</f>
        <v/>
      </c>
      <c r="F536" s="70"/>
      <c r="G536" s="71" t="str">
        <f>IFERROR(VLOOKUP(F536,設定!$C$11:$F$111,2,FALSE),"")</f>
        <v/>
      </c>
      <c r="H536" s="71" t="str">
        <f>IFERROR(VLOOKUP(F536,設定!$C$11:$F$111,3,FALSE),"")</f>
        <v/>
      </c>
      <c r="I536" s="71" t="str">
        <f>IFERROR(VLOOKUP(F536,設定!$C$11:$F$111,4,FALSE),"")</f>
        <v/>
      </c>
      <c r="J536" s="122"/>
    </row>
    <row r="537" spans="2:10" s="3" customFormat="1" ht="24" customHeight="1" x14ac:dyDescent="0.2">
      <c r="B537" s="68"/>
      <c r="C537" s="69"/>
      <c r="D537" s="86"/>
      <c r="E537" s="116" t="str">
        <f>IFERROR(VLOOKUP(D537,'リスト '!$A$2:$B$15,2,FALSE),"")</f>
        <v/>
      </c>
      <c r="F537" s="70"/>
      <c r="G537" s="71" t="str">
        <f>IFERROR(VLOOKUP(F537,設定!$C$11:$F$111,2,FALSE),"")</f>
        <v/>
      </c>
      <c r="H537" s="71" t="str">
        <f>IFERROR(VLOOKUP(F537,設定!$C$11:$F$111,3,FALSE),"")</f>
        <v/>
      </c>
      <c r="I537" s="71" t="str">
        <f>IFERROR(VLOOKUP(F537,設定!$C$11:$F$111,4,FALSE),"")</f>
        <v/>
      </c>
      <c r="J537" s="122"/>
    </row>
    <row r="538" spans="2:10" s="3" customFormat="1" ht="24" customHeight="1" x14ac:dyDescent="0.2">
      <c r="B538" s="68"/>
      <c r="C538" s="69"/>
      <c r="D538" s="86"/>
      <c r="E538" s="116" t="str">
        <f>IFERROR(VLOOKUP(D538,'リスト '!$A$2:$B$15,2,FALSE),"")</f>
        <v/>
      </c>
      <c r="F538" s="70"/>
      <c r="G538" s="71" t="str">
        <f>IFERROR(VLOOKUP(F538,設定!$C$11:$F$111,2,FALSE),"")</f>
        <v/>
      </c>
      <c r="H538" s="71" t="str">
        <f>IFERROR(VLOOKUP(F538,設定!$C$11:$F$111,3,FALSE),"")</f>
        <v/>
      </c>
      <c r="I538" s="71" t="str">
        <f>IFERROR(VLOOKUP(F538,設定!$C$11:$F$111,4,FALSE),"")</f>
        <v/>
      </c>
      <c r="J538" s="122"/>
    </row>
    <row r="539" spans="2:10" s="3" customFormat="1" ht="24" customHeight="1" x14ac:dyDescent="0.2">
      <c r="B539" s="68"/>
      <c r="C539" s="69"/>
      <c r="D539" s="86"/>
      <c r="E539" s="116" t="str">
        <f>IFERROR(VLOOKUP(D539,'リスト '!$A$2:$B$15,2,FALSE),"")</f>
        <v/>
      </c>
      <c r="F539" s="70"/>
      <c r="G539" s="71" t="str">
        <f>IFERROR(VLOOKUP(F539,設定!$C$11:$F$111,2,FALSE),"")</f>
        <v/>
      </c>
      <c r="H539" s="71" t="str">
        <f>IFERROR(VLOOKUP(F539,設定!$C$11:$F$111,3,FALSE),"")</f>
        <v/>
      </c>
      <c r="I539" s="71" t="str">
        <f>IFERROR(VLOOKUP(F539,設定!$C$11:$F$111,4,FALSE),"")</f>
        <v/>
      </c>
      <c r="J539" s="122"/>
    </row>
    <row r="540" spans="2:10" s="3" customFormat="1" ht="24" customHeight="1" x14ac:dyDescent="0.2">
      <c r="B540" s="68"/>
      <c r="C540" s="69"/>
      <c r="D540" s="86"/>
      <c r="E540" s="116" t="str">
        <f>IFERROR(VLOOKUP(D540,'リスト '!$A$2:$B$15,2,FALSE),"")</f>
        <v/>
      </c>
      <c r="F540" s="70"/>
      <c r="G540" s="71" t="str">
        <f>IFERROR(VLOOKUP(F540,設定!$C$11:$F$111,2,FALSE),"")</f>
        <v/>
      </c>
      <c r="H540" s="71" t="str">
        <f>IFERROR(VLOOKUP(F540,設定!$C$11:$F$111,3,FALSE),"")</f>
        <v/>
      </c>
      <c r="I540" s="71" t="str">
        <f>IFERROR(VLOOKUP(F540,設定!$C$11:$F$111,4,FALSE),"")</f>
        <v/>
      </c>
      <c r="J540" s="122"/>
    </row>
    <row r="541" spans="2:10" s="3" customFormat="1" ht="24" customHeight="1" x14ac:dyDescent="0.2">
      <c r="B541" s="68"/>
      <c r="C541" s="69"/>
      <c r="D541" s="86"/>
      <c r="E541" s="116" t="str">
        <f>IFERROR(VLOOKUP(D541,'リスト '!$A$2:$B$15,2,FALSE),"")</f>
        <v/>
      </c>
      <c r="F541" s="70"/>
      <c r="G541" s="71" t="str">
        <f>IFERROR(VLOOKUP(F541,設定!$C$11:$F$111,2,FALSE),"")</f>
        <v/>
      </c>
      <c r="H541" s="71" t="str">
        <f>IFERROR(VLOOKUP(F541,設定!$C$11:$F$111,3,FALSE),"")</f>
        <v/>
      </c>
      <c r="I541" s="71" t="str">
        <f>IFERROR(VLOOKUP(F541,設定!$C$11:$F$111,4,FALSE),"")</f>
        <v/>
      </c>
      <c r="J541" s="122"/>
    </row>
    <row r="542" spans="2:10" s="3" customFormat="1" ht="24" customHeight="1" x14ac:dyDescent="0.2">
      <c r="B542" s="68"/>
      <c r="C542" s="69"/>
      <c r="D542" s="86"/>
      <c r="E542" s="116" t="str">
        <f>IFERROR(VLOOKUP(D542,'リスト '!$A$2:$B$15,2,FALSE),"")</f>
        <v/>
      </c>
      <c r="F542" s="70"/>
      <c r="G542" s="71" t="str">
        <f>IFERROR(VLOOKUP(F542,設定!$C$11:$F$111,2,FALSE),"")</f>
        <v/>
      </c>
      <c r="H542" s="71" t="str">
        <f>IFERROR(VLOOKUP(F542,設定!$C$11:$F$111,3,FALSE),"")</f>
        <v/>
      </c>
      <c r="I542" s="71" t="str">
        <f>IFERROR(VLOOKUP(F542,設定!$C$11:$F$111,4,FALSE),"")</f>
        <v/>
      </c>
      <c r="J542" s="122"/>
    </row>
    <row r="543" spans="2:10" s="3" customFormat="1" ht="24" customHeight="1" x14ac:dyDescent="0.2">
      <c r="B543" s="68"/>
      <c r="C543" s="69"/>
      <c r="D543" s="86"/>
      <c r="E543" s="116" t="str">
        <f>IFERROR(VLOOKUP(D543,'リスト '!$A$2:$B$15,2,FALSE),"")</f>
        <v/>
      </c>
      <c r="F543" s="70"/>
      <c r="G543" s="71" t="str">
        <f>IFERROR(VLOOKUP(F543,設定!$C$11:$F$111,2,FALSE),"")</f>
        <v/>
      </c>
      <c r="H543" s="71" t="str">
        <f>IFERROR(VLOOKUP(F543,設定!$C$11:$F$111,3,FALSE),"")</f>
        <v/>
      </c>
      <c r="I543" s="71" t="str">
        <f>IFERROR(VLOOKUP(F543,設定!$C$11:$F$111,4,FALSE),"")</f>
        <v/>
      </c>
      <c r="J543" s="122"/>
    </row>
    <row r="544" spans="2:10" s="3" customFormat="1" ht="24" customHeight="1" x14ac:dyDescent="0.2">
      <c r="B544" s="68"/>
      <c r="C544" s="69"/>
      <c r="D544" s="86"/>
      <c r="E544" s="116" t="str">
        <f>IFERROR(VLOOKUP(D544,'リスト '!$A$2:$B$15,2,FALSE),"")</f>
        <v/>
      </c>
      <c r="F544" s="70"/>
      <c r="G544" s="71" t="str">
        <f>IFERROR(VLOOKUP(F544,設定!$C$11:$F$111,2,FALSE),"")</f>
        <v/>
      </c>
      <c r="H544" s="71" t="str">
        <f>IFERROR(VLOOKUP(F544,設定!$C$11:$F$111,3,FALSE),"")</f>
        <v/>
      </c>
      <c r="I544" s="71" t="str">
        <f>IFERROR(VLOOKUP(F544,設定!$C$11:$F$111,4,FALSE),"")</f>
        <v/>
      </c>
      <c r="J544" s="122"/>
    </row>
    <row r="545" spans="2:10" s="3" customFormat="1" ht="24" customHeight="1" x14ac:dyDescent="0.2">
      <c r="B545" s="68"/>
      <c r="C545" s="69"/>
      <c r="D545" s="86"/>
      <c r="E545" s="116" t="str">
        <f>IFERROR(VLOOKUP(D545,'リスト '!$A$2:$B$15,2,FALSE),"")</f>
        <v/>
      </c>
      <c r="F545" s="70"/>
      <c r="G545" s="71" t="str">
        <f>IFERROR(VLOOKUP(F545,設定!$C$11:$F$111,2,FALSE),"")</f>
        <v/>
      </c>
      <c r="H545" s="71" t="str">
        <f>IFERROR(VLOOKUP(F545,設定!$C$11:$F$111,3,FALSE),"")</f>
        <v/>
      </c>
      <c r="I545" s="71" t="str">
        <f>IFERROR(VLOOKUP(F545,設定!$C$11:$F$111,4,FALSE),"")</f>
        <v/>
      </c>
      <c r="J545" s="122"/>
    </row>
    <row r="546" spans="2:10" s="3" customFormat="1" ht="24" customHeight="1" x14ac:dyDescent="0.2">
      <c r="B546" s="68"/>
      <c r="C546" s="69"/>
      <c r="D546" s="86"/>
      <c r="E546" s="116" t="str">
        <f>IFERROR(VLOOKUP(D546,'リスト '!$A$2:$B$15,2,FALSE),"")</f>
        <v/>
      </c>
      <c r="F546" s="70"/>
      <c r="G546" s="71" t="str">
        <f>IFERROR(VLOOKUP(F546,設定!$C$11:$F$111,2,FALSE),"")</f>
        <v/>
      </c>
      <c r="H546" s="71" t="str">
        <f>IFERROR(VLOOKUP(F546,設定!$C$11:$F$111,3,FALSE),"")</f>
        <v/>
      </c>
      <c r="I546" s="71" t="str">
        <f>IFERROR(VLOOKUP(F546,設定!$C$11:$F$111,4,FALSE),"")</f>
        <v/>
      </c>
      <c r="J546" s="122"/>
    </row>
    <row r="547" spans="2:10" s="3" customFormat="1" ht="24" customHeight="1" x14ac:dyDescent="0.2">
      <c r="B547" s="68"/>
      <c r="C547" s="69"/>
      <c r="D547" s="86"/>
      <c r="E547" s="116" t="str">
        <f>IFERROR(VLOOKUP(D547,'リスト '!$A$2:$B$15,2,FALSE),"")</f>
        <v/>
      </c>
      <c r="F547" s="70"/>
      <c r="G547" s="71" t="str">
        <f>IFERROR(VLOOKUP(F547,設定!$C$11:$F$111,2,FALSE),"")</f>
        <v/>
      </c>
      <c r="H547" s="71" t="str">
        <f>IFERROR(VLOOKUP(F547,設定!$C$11:$F$111,3,FALSE),"")</f>
        <v/>
      </c>
      <c r="I547" s="71" t="str">
        <f>IFERROR(VLOOKUP(F547,設定!$C$11:$F$111,4,FALSE),"")</f>
        <v/>
      </c>
      <c r="J547" s="122"/>
    </row>
    <row r="548" spans="2:10" s="3" customFormat="1" ht="24" customHeight="1" x14ac:dyDescent="0.2">
      <c r="B548" s="68"/>
      <c r="C548" s="69"/>
      <c r="D548" s="86"/>
      <c r="E548" s="116" t="str">
        <f>IFERROR(VLOOKUP(D548,'リスト '!$A$2:$B$15,2,FALSE),"")</f>
        <v/>
      </c>
      <c r="F548" s="70"/>
      <c r="G548" s="71" t="str">
        <f>IFERROR(VLOOKUP(F548,設定!$C$11:$F$111,2,FALSE),"")</f>
        <v/>
      </c>
      <c r="H548" s="71" t="str">
        <f>IFERROR(VLOOKUP(F548,設定!$C$11:$F$111,3,FALSE),"")</f>
        <v/>
      </c>
      <c r="I548" s="71" t="str">
        <f>IFERROR(VLOOKUP(F548,設定!$C$11:$F$111,4,FALSE),"")</f>
        <v/>
      </c>
      <c r="J548" s="122"/>
    </row>
    <row r="549" spans="2:10" s="3" customFormat="1" ht="24" customHeight="1" x14ac:dyDescent="0.2">
      <c r="B549" s="68"/>
      <c r="C549" s="69"/>
      <c r="D549" s="86"/>
      <c r="E549" s="116" t="str">
        <f>IFERROR(VLOOKUP(D549,'リスト '!$A$2:$B$15,2,FALSE),"")</f>
        <v/>
      </c>
      <c r="F549" s="70"/>
      <c r="G549" s="71" t="str">
        <f>IFERROR(VLOOKUP(F549,設定!$C$11:$F$111,2,FALSE),"")</f>
        <v/>
      </c>
      <c r="H549" s="71" t="str">
        <f>IFERROR(VLOOKUP(F549,設定!$C$11:$F$111,3,FALSE),"")</f>
        <v/>
      </c>
      <c r="I549" s="71" t="str">
        <f>IFERROR(VLOOKUP(F549,設定!$C$11:$F$111,4,FALSE),"")</f>
        <v/>
      </c>
      <c r="J549" s="122"/>
    </row>
    <row r="550" spans="2:10" s="3" customFormat="1" ht="24" customHeight="1" x14ac:dyDescent="0.2">
      <c r="B550" s="68"/>
      <c r="C550" s="69"/>
      <c r="D550" s="86"/>
      <c r="E550" s="116" t="str">
        <f>IFERROR(VLOOKUP(D550,'リスト '!$A$2:$B$15,2,FALSE),"")</f>
        <v/>
      </c>
      <c r="F550" s="70"/>
      <c r="G550" s="71" t="str">
        <f>IFERROR(VLOOKUP(F550,設定!$C$11:$F$111,2,FALSE),"")</f>
        <v/>
      </c>
      <c r="H550" s="71" t="str">
        <f>IFERROR(VLOOKUP(F550,設定!$C$11:$F$111,3,FALSE),"")</f>
        <v/>
      </c>
      <c r="I550" s="71" t="str">
        <f>IFERROR(VLOOKUP(F550,設定!$C$11:$F$111,4,FALSE),"")</f>
        <v/>
      </c>
      <c r="J550" s="122"/>
    </row>
    <row r="551" spans="2:10" s="3" customFormat="1" ht="24" customHeight="1" x14ac:dyDescent="0.2">
      <c r="B551" s="68"/>
      <c r="C551" s="69"/>
      <c r="D551" s="86"/>
      <c r="E551" s="116" t="str">
        <f>IFERROR(VLOOKUP(D551,'リスト '!$A$2:$B$15,2,FALSE),"")</f>
        <v/>
      </c>
      <c r="F551" s="70"/>
      <c r="G551" s="71" t="str">
        <f>IFERROR(VLOOKUP(F551,設定!$C$11:$F$111,2,FALSE),"")</f>
        <v/>
      </c>
      <c r="H551" s="71" t="str">
        <f>IFERROR(VLOOKUP(F551,設定!$C$11:$F$111,3,FALSE),"")</f>
        <v/>
      </c>
      <c r="I551" s="71" t="str">
        <f>IFERROR(VLOOKUP(F551,設定!$C$11:$F$111,4,FALSE),"")</f>
        <v/>
      </c>
      <c r="J551" s="122"/>
    </row>
    <row r="552" spans="2:10" s="3" customFormat="1" ht="24" customHeight="1" x14ac:dyDescent="0.2">
      <c r="B552" s="68"/>
      <c r="C552" s="69"/>
      <c r="D552" s="86"/>
      <c r="E552" s="116" t="str">
        <f>IFERROR(VLOOKUP(D552,'リスト '!$A$2:$B$15,2,FALSE),"")</f>
        <v/>
      </c>
      <c r="F552" s="70"/>
      <c r="G552" s="71" t="str">
        <f>IFERROR(VLOOKUP(F552,設定!$C$11:$F$111,2,FALSE),"")</f>
        <v/>
      </c>
      <c r="H552" s="71" t="str">
        <f>IFERROR(VLOOKUP(F552,設定!$C$11:$F$111,3,FALSE),"")</f>
        <v/>
      </c>
      <c r="I552" s="71" t="str">
        <f>IFERROR(VLOOKUP(F552,設定!$C$11:$F$111,4,FALSE),"")</f>
        <v/>
      </c>
      <c r="J552" s="122"/>
    </row>
    <row r="553" spans="2:10" s="3" customFormat="1" ht="24" customHeight="1" x14ac:dyDescent="0.2">
      <c r="B553" s="68"/>
      <c r="C553" s="69"/>
      <c r="D553" s="86"/>
      <c r="E553" s="116" t="str">
        <f>IFERROR(VLOOKUP(D553,'リスト '!$A$2:$B$15,2,FALSE),"")</f>
        <v/>
      </c>
      <c r="F553" s="70"/>
      <c r="G553" s="71" t="str">
        <f>IFERROR(VLOOKUP(F553,設定!$C$11:$F$111,2,FALSE),"")</f>
        <v/>
      </c>
      <c r="H553" s="71" t="str">
        <f>IFERROR(VLOOKUP(F553,設定!$C$11:$F$111,3,FALSE),"")</f>
        <v/>
      </c>
      <c r="I553" s="71" t="str">
        <f>IFERROR(VLOOKUP(F553,設定!$C$11:$F$111,4,FALSE),"")</f>
        <v/>
      </c>
      <c r="J553" s="122"/>
    </row>
    <row r="554" spans="2:10" s="3" customFormat="1" ht="24" customHeight="1" x14ac:dyDescent="0.2">
      <c r="B554" s="68"/>
      <c r="C554" s="69"/>
      <c r="D554" s="86"/>
      <c r="E554" s="116" t="str">
        <f>IFERROR(VLOOKUP(D554,'リスト '!$A$2:$B$15,2,FALSE),"")</f>
        <v/>
      </c>
      <c r="F554" s="70"/>
      <c r="G554" s="71" t="str">
        <f>IFERROR(VLOOKUP(F554,設定!$C$11:$F$111,2,FALSE),"")</f>
        <v/>
      </c>
      <c r="H554" s="71" t="str">
        <f>IFERROR(VLOOKUP(F554,設定!$C$11:$F$111,3,FALSE),"")</f>
        <v/>
      </c>
      <c r="I554" s="71" t="str">
        <f>IFERROR(VLOOKUP(F554,設定!$C$11:$F$111,4,FALSE),"")</f>
        <v/>
      </c>
      <c r="J554" s="122"/>
    </row>
    <row r="555" spans="2:10" s="3" customFormat="1" ht="24" customHeight="1" x14ac:dyDescent="0.2">
      <c r="B555" s="68"/>
      <c r="C555" s="69"/>
      <c r="D555" s="86"/>
      <c r="E555" s="116" t="str">
        <f>IFERROR(VLOOKUP(D555,'リスト '!$A$2:$B$15,2,FALSE),"")</f>
        <v/>
      </c>
      <c r="F555" s="70"/>
      <c r="G555" s="71" t="str">
        <f>IFERROR(VLOOKUP(F555,設定!$C$11:$F$111,2,FALSE),"")</f>
        <v/>
      </c>
      <c r="H555" s="71" t="str">
        <f>IFERROR(VLOOKUP(F555,設定!$C$11:$F$111,3,FALSE),"")</f>
        <v/>
      </c>
      <c r="I555" s="71" t="str">
        <f>IFERROR(VLOOKUP(F555,設定!$C$11:$F$111,4,FALSE),"")</f>
        <v/>
      </c>
      <c r="J555" s="122"/>
    </row>
    <row r="556" spans="2:10" s="3" customFormat="1" ht="24" customHeight="1" x14ac:dyDescent="0.2">
      <c r="B556" s="68"/>
      <c r="C556" s="69"/>
      <c r="D556" s="86"/>
      <c r="E556" s="116" t="str">
        <f>IFERROR(VLOOKUP(D556,'リスト '!$A$2:$B$15,2,FALSE),"")</f>
        <v/>
      </c>
      <c r="F556" s="70"/>
      <c r="G556" s="71" t="str">
        <f>IFERROR(VLOOKUP(F556,設定!$C$11:$F$111,2,FALSE),"")</f>
        <v/>
      </c>
      <c r="H556" s="71" t="str">
        <f>IFERROR(VLOOKUP(F556,設定!$C$11:$F$111,3,FALSE),"")</f>
        <v/>
      </c>
      <c r="I556" s="71" t="str">
        <f>IFERROR(VLOOKUP(F556,設定!$C$11:$F$111,4,FALSE),"")</f>
        <v/>
      </c>
      <c r="J556" s="122"/>
    </row>
    <row r="557" spans="2:10" s="3" customFormat="1" ht="24" customHeight="1" x14ac:dyDescent="0.2">
      <c r="B557" s="68"/>
      <c r="C557" s="69"/>
      <c r="D557" s="86"/>
      <c r="E557" s="116" t="str">
        <f>IFERROR(VLOOKUP(D557,'リスト '!$A$2:$B$15,2,FALSE),"")</f>
        <v/>
      </c>
      <c r="F557" s="70"/>
      <c r="G557" s="71" t="str">
        <f>IFERROR(VLOOKUP(F557,設定!$C$11:$F$111,2,FALSE),"")</f>
        <v/>
      </c>
      <c r="H557" s="71" t="str">
        <f>IFERROR(VLOOKUP(F557,設定!$C$11:$F$111,3,FALSE),"")</f>
        <v/>
      </c>
      <c r="I557" s="71" t="str">
        <f>IFERROR(VLOOKUP(F557,設定!$C$11:$F$111,4,FALSE),"")</f>
        <v/>
      </c>
      <c r="J557" s="122"/>
    </row>
    <row r="558" spans="2:10" s="3" customFormat="1" ht="24" customHeight="1" x14ac:dyDescent="0.2">
      <c r="B558" s="68"/>
      <c r="C558" s="69"/>
      <c r="D558" s="86"/>
      <c r="E558" s="116" t="str">
        <f>IFERROR(VLOOKUP(D558,'リスト '!$A$2:$B$15,2,FALSE),"")</f>
        <v/>
      </c>
      <c r="F558" s="70"/>
      <c r="G558" s="71" t="str">
        <f>IFERROR(VLOOKUP(F558,設定!$C$11:$F$111,2,FALSE),"")</f>
        <v/>
      </c>
      <c r="H558" s="71" t="str">
        <f>IFERROR(VLOOKUP(F558,設定!$C$11:$F$111,3,FALSE),"")</f>
        <v/>
      </c>
      <c r="I558" s="71" t="str">
        <f>IFERROR(VLOOKUP(F558,設定!$C$11:$F$111,4,FALSE),"")</f>
        <v/>
      </c>
      <c r="J558" s="122"/>
    </row>
    <row r="559" spans="2:10" s="3" customFormat="1" ht="24" customHeight="1" x14ac:dyDescent="0.2">
      <c r="B559" s="68"/>
      <c r="C559" s="69"/>
      <c r="D559" s="86"/>
      <c r="E559" s="116" t="str">
        <f>IFERROR(VLOOKUP(D559,'リスト '!$A$2:$B$15,2,FALSE),"")</f>
        <v/>
      </c>
      <c r="F559" s="70"/>
      <c r="G559" s="71" t="str">
        <f>IFERROR(VLOOKUP(F559,設定!$C$11:$F$111,2,FALSE),"")</f>
        <v/>
      </c>
      <c r="H559" s="71" t="str">
        <f>IFERROR(VLOOKUP(F559,設定!$C$11:$F$111,3,FALSE),"")</f>
        <v/>
      </c>
      <c r="I559" s="71" t="str">
        <f>IFERROR(VLOOKUP(F559,設定!$C$11:$F$111,4,FALSE),"")</f>
        <v/>
      </c>
      <c r="J559" s="122"/>
    </row>
    <row r="560" spans="2:10" s="3" customFormat="1" ht="24" customHeight="1" x14ac:dyDescent="0.2">
      <c r="B560" s="68"/>
      <c r="C560" s="69"/>
      <c r="D560" s="86"/>
      <c r="E560" s="116" t="str">
        <f>IFERROR(VLOOKUP(D560,'リスト '!$A$2:$B$15,2,FALSE),"")</f>
        <v/>
      </c>
      <c r="F560" s="70"/>
      <c r="G560" s="71" t="str">
        <f>IFERROR(VLOOKUP(F560,設定!$C$11:$F$111,2,FALSE),"")</f>
        <v/>
      </c>
      <c r="H560" s="71" t="str">
        <f>IFERROR(VLOOKUP(F560,設定!$C$11:$F$111,3,FALSE),"")</f>
        <v/>
      </c>
      <c r="I560" s="71" t="str">
        <f>IFERROR(VLOOKUP(F560,設定!$C$11:$F$111,4,FALSE),"")</f>
        <v/>
      </c>
      <c r="J560" s="122"/>
    </row>
    <row r="561" spans="2:10" s="3" customFormat="1" ht="24" customHeight="1" x14ac:dyDescent="0.2">
      <c r="B561" s="68"/>
      <c r="C561" s="69"/>
      <c r="D561" s="86"/>
      <c r="E561" s="116" t="str">
        <f>IFERROR(VLOOKUP(D561,'リスト '!$A$2:$B$15,2,FALSE),"")</f>
        <v/>
      </c>
      <c r="F561" s="70"/>
      <c r="G561" s="71" t="str">
        <f>IFERROR(VLOOKUP(F561,設定!$C$11:$F$111,2,FALSE),"")</f>
        <v/>
      </c>
      <c r="H561" s="71" t="str">
        <f>IFERROR(VLOOKUP(F561,設定!$C$11:$F$111,3,FALSE),"")</f>
        <v/>
      </c>
      <c r="I561" s="71" t="str">
        <f>IFERROR(VLOOKUP(F561,設定!$C$11:$F$111,4,FALSE),"")</f>
        <v/>
      </c>
      <c r="J561" s="122"/>
    </row>
    <row r="562" spans="2:10" s="3" customFormat="1" ht="24" customHeight="1" x14ac:dyDescent="0.2">
      <c r="B562" s="68"/>
      <c r="C562" s="69"/>
      <c r="D562" s="86"/>
      <c r="E562" s="116" t="str">
        <f>IFERROR(VLOOKUP(D562,'リスト '!$A$2:$B$15,2,FALSE),"")</f>
        <v/>
      </c>
      <c r="F562" s="70"/>
      <c r="G562" s="71" t="str">
        <f>IFERROR(VLOOKUP(F562,設定!$C$11:$F$111,2,FALSE),"")</f>
        <v/>
      </c>
      <c r="H562" s="71" t="str">
        <f>IFERROR(VLOOKUP(F562,設定!$C$11:$F$111,3,FALSE),"")</f>
        <v/>
      </c>
      <c r="I562" s="71" t="str">
        <f>IFERROR(VLOOKUP(F562,設定!$C$11:$F$111,4,FALSE),"")</f>
        <v/>
      </c>
      <c r="J562" s="122"/>
    </row>
    <row r="563" spans="2:10" s="3" customFormat="1" ht="24" customHeight="1" x14ac:dyDescent="0.2">
      <c r="B563" s="68"/>
      <c r="C563" s="69"/>
      <c r="D563" s="86"/>
      <c r="E563" s="116" t="str">
        <f>IFERROR(VLOOKUP(D563,'リスト '!$A$2:$B$15,2,FALSE),"")</f>
        <v/>
      </c>
      <c r="F563" s="70"/>
      <c r="G563" s="71" t="str">
        <f>IFERROR(VLOOKUP(F563,設定!$C$11:$F$111,2,FALSE),"")</f>
        <v/>
      </c>
      <c r="H563" s="71" t="str">
        <f>IFERROR(VLOOKUP(F563,設定!$C$11:$F$111,3,FALSE),"")</f>
        <v/>
      </c>
      <c r="I563" s="71" t="str">
        <f>IFERROR(VLOOKUP(F563,設定!$C$11:$F$111,4,FALSE),"")</f>
        <v/>
      </c>
      <c r="J563" s="122"/>
    </row>
    <row r="564" spans="2:10" s="3" customFormat="1" ht="24" customHeight="1" x14ac:dyDescent="0.2">
      <c r="B564" s="68"/>
      <c r="C564" s="69"/>
      <c r="D564" s="86"/>
      <c r="E564" s="116" t="str">
        <f>IFERROR(VLOOKUP(D564,'リスト '!$A$2:$B$15,2,FALSE),"")</f>
        <v/>
      </c>
      <c r="F564" s="70"/>
      <c r="G564" s="71" t="str">
        <f>IFERROR(VLOOKUP(F564,設定!$C$11:$F$111,2,FALSE),"")</f>
        <v/>
      </c>
      <c r="H564" s="71" t="str">
        <f>IFERROR(VLOOKUP(F564,設定!$C$11:$F$111,3,FALSE),"")</f>
        <v/>
      </c>
      <c r="I564" s="71" t="str">
        <f>IFERROR(VLOOKUP(F564,設定!$C$11:$F$111,4,FALSE),"")</f>
        <v/>
      </c>
      <c r="J564" s="122"/>
    </row>
    <row r="565" spans="2:10" s="3" customFormat="1" ht="24" customHeight="1" x14ac:dyDescent="0.2">
      <c r="B565" s="68"/>
      <c r="C565" s="69"/>
      <c r="D565" s="86"/>
      <c r="E565" s="116" t="str">
        <f>IFERROR(VLOOKUP(D565,'リスト '!$A$2:$B$15,2,FALSE),"")</f>
        <v/>
      </c>
      <c r="F565" s="70"/>
      <c r="G565" s="71" t="str">
        <f>IFERROR(VLOOKUP(F565,設定!$C$11:$F$111,2,FALSE),"")</f>
        <v/>
      </c>
      <c r="H565" s="71" t="str">
        <f>IFERROR(VLOOKUP(F565,設定!$C$11:$F$111,3,FALSE),"")</f>
        <v/>
      </c>
      <c r="I565" s="71" t="str">
        <f>IFERROR(VLOOKUP(F565,設定!$C$11:$F$111,4,FALSE),"")</f>
        <v/>
      </c>
      <c r="J565" s="122"/>
    </row>
    <row r="566" spans="2:10" s="3" customFormat="1" ht="24" customHeight="1" x14ac:dyDescent="0.2">
      <c r="B566" s="68"/>
      <c r="C566" s="69"/>
      <c r="D566" s="86"/>
      <c r="E566" s="116" t="str">
        <f>IFERROR(VLOOKUP(D566,'リスト '!$A$2:$B$15,2,FALSE),"")</f>
        <v/>
      </c>
      <c r="F566" s="70"/>
      <c r="G566" s="71" t="str">
        <f>IFERROR(VLOOKUP(F566,設定!$C$11:$F$111,2,FALSE),"")</f>
        <v/>
      </c>
      <c r="H566" s="71" t="str">
        <f>IFERROR(VLOOKUP(F566,設定!$C$11:$F$111,3,FALSE),"")</f>
        <v/>
      </c>
      <c r="I566" s="71" t="str">
        <f>IFERROR(VLOOKUP(F566,設定!$C$11:$F$111,4,FALSE),"")</f>
        <v/>
      </c>
      <c r="J566" s="122"/>
    </row>
    <row r="567" spans="2:10" s="3" customFormat="1" ht="24" customHeight="1" x14ac:dyDescent="0.2">
      <c r="B567" s="68"/>
      <c r="C567" s="69"/>
      <c r="D567" s="86"/>
      <c r="E567" s="116" t="str">
        <f>IFERROR(VLOOKUP(D567,'リスト '!$A$2:$B$15,2,FALSE),"")</f>
        <v/>
      </c>
      <c r="F567" s="70"/>
      <c r="G567" s="71" t="str">
        <f>IFERROR(VLOOKUP(F567,設定!$C$11:$F$111,2,FALSE),"")</f>
        <v/>
      </c>
      <c r="H567" s="71" t="str">
        <f>IFERROR(VLOOKUP(F567,設定!$C$11:$F$111,3,FALSE),"")</f>
        <v/>
      </c>
      <c r="I567" s="71" t="str">
        <f>IFERROR(VLOOKUP(F567,設定!$C$11:$F$111,4,FALSE),"")</f>
        <v/>
      </c>
      <c r="J567" s="122"/>
    </row>
    <row r="568" spans="2:10" s="3" customFormat="1" ht="24" customHeight="1" x14ac:dyDescent="0.2">
      <c r="B568" s="68"/>
      <c r="C568" s="69"/>
      <c r="D568" s="86"/>
      <c r="E568" s="116" t="str">
        <f>IFERROR(VLOOKUP(D568,'リスト '!$A$2:$B$15,2,FALSE),"")</f>
        <v/>
      </c>
      <c r="F568" s="70"/>
      <c r="G568" s="71" t="str">
        <f>IFERROR(VLOOKUP(F568,設定!$C$11:$F$111,2,FALSE),"")</f>
        <v/>
      </c>
      <c r="H568" s="71" t="str">
        <f>IFERROR(VLOOKUP(F568,設定!$C$11:$F$111,3,FALSE),"")</f>
        <v/>
      </c>
      <c r="I568" s="71" t="str">
        <f>IFERROR(VLOOKUP(F568,設定!$C$11:$F$111,4,FALSE),"")</f>
        <v/>
      </c>
      <c r="J568" s="122"/>
    </row>
    <row r="569" spans="2:10" s="3" customFormat="1" ht="24" customHeight="1" x14ac:dyDescent="0.2">
      <c r="B569" s="68"/>
      <c r="C569" s="69"/>
      <c r="D569" s="86"/>
      <c r="E569" s="116" t="str">
        <f>IFERROR(VLOOKUP(D569,'リスト '!$A$2:$B$15,2,FALSE),"")</f>
        <v/>
      </c>
      <c r="F569" s="70"/>
      <c r="G569" s="71" t="str">
        <f>IFERROR(VLOOKUP(F569,設定!$C$11:$F$111,2,FALSE),"")</f>
        <v/>
      </c>
      <c r="H569" s="71" t="str">
        <f>IFERROR(VLOOKUP(F569,設定!$C$11:$F$111,3,FALSE),"")</f>
        <v/>
      </c>
      <c r="I569" s="71" t="str">
        <f>IFERROR(VLOOKUP(F569,設定!$C$11:$F$111,4,FALSE),"")</f>
        <v/>
      </c>
      <c r="J569" s="122"/>
    </row>
    <row r="570" spans="2:10" s="3" customFormat="1" ht="24" customHeight="1" x14ac:dyDescent="0.2">
      <c r="B570" s="68"/>
      <c r="C570" s="69"/>
      <c r="D570" s="86"/>
      <c r="E570" s="116" t="str">
        <f>IFERROR(VLOOKUP(D570,'リスト '!$A$2:$B$15,2,FALSE),"")</f>
        <v/>
      </c>
      <c r="F570" s="70"/>
      <c r="G570" s="71" t="str">
        <f>IFERROR(VLOOKUP(F570,設定!$C$11:$F$111,2,FALSE),"")</f>
        <v/>
      </c>
      <c r="H570" s="71" t="str">
        <f>IFERROR(VLOOKUP(F570,設定!$C$11:$F$111,3,FALSE),"")</f>
        <v/>
      </c>
      <c r="I570" s="71" t="str">
        <f>IFERROR(VLOOKUP(F570,設定!$C$11:$F$111,4,FALSE),"")</f>
        <v/>
      </c>
      <c r="J570" s="122"/>
    </row>
    <row r="571" spans="2:10" s="3" customFormat="1" ht="24" customHeight="1" x14ac:dyDescent="0.2">
      <c r="B571" s="68"/>
      <c r="C571" s="69"/>
      <c r="D571" s="86"/>
      <c r="E571" s="116" t="str">
        <f>IFERROR(VLOOKUP(D571,'リスト '!$A$2:$B$15,2,FALSE),"")</f>
        <v/>
      </c>
      <c r="F571" s="70"/>
      <c r="G571" s="71" t="str">
        <f>IFERROR(VLOOKUP(F571,設定!$C$11:$F$111,2,FALSE),"")</f>
        <v/>
      </c>
      <c r="H571" s="71" t="str">
        <f>IFERROR(VLOOKUP(F571,設定!$C$11:$F$111,3,FALSE),"")</f>
        <v/>
      </c>
      <c r="I571" s="71" t="str">
        <f>IFERROR(VLOOKUP(F571,設定!$C$11:$F$111,4,FALSE),"")</f>
        <v/>
      </c>
      <c r="J571" s="122"/>
    </row>
    <row r="572" spans="2:10" s="3" customFormat="1" ht="24" customHeight="1" x14ac:dyDescent="0.2">
      <c r="B572" s="68"/>
      <c r="C572" s="69"/>
      <c r="D572" s="86"/>
      <c r="E572" s="116" t="str">
        <f>IFERROR(VLOOKUP(D572,'リスト '!$A$2:$B$15,2,FALSE),"")</f>
        <v/>
      </c>
      <c r="F572" s="70"/>
      <c r="G572" s="71" t="str">
        <f>IFERROR(VLOOKUP(F572,設定!$C$11:$F$111,2,FALSE),"")</f>
        <v/>
      </c>
      <c r="H572" s="71" t="str">
        <f>IFERROR(VLOOKUP(F572,設定!$C$11:$F$111,3,FALSE),"")</f>
        <v/>
      </c>
      <c r="I572" s="71" t="str">
        <f>IFERROR(VLOOKUP(F572,設定!$C$11:$F$111,4,FALSE),"")</f>
        <v/>
      </c>
      <c r="J572" s="122"/>
    </row>
    <row r="573" spans="2:10" s="3" customFormat="1" ht="24" customHeight="1" x14ac:dyDescent="0.2">
      <c r="B573" s="68"/>
      <c r="C573" s="69"/>
      <c r="D573" s="86"/>
      <c r="E573" s="116" t="str">
        <f>IFERROR(VLOOKUP(D573,'リスト '!$A$2:$B$15,2,FALSE),"")</f>
        <v/>
      </c>
      <c r="F573" s="70"/>
      <c r="G573" s="71" t="str">
        <f>IFERROR(VLOOKUP(F573,設定!$C$11:$F$111,2,FALSE),"")</f>
        <v/>
      </c>
      <c r="H573" s="71" t="str">
        <f>IFERROR(VLOOKUP(F573,設定!$C$11:$F$111,3,FALSE),"")</f>
        <v/>
      </c>
      <c r="I573" s="71" t="str">
        <f>IFERROR(VLOOKUP(F573,設定!$C$11:$F$111,4,FALSE),"")</f>
        <v/>
      </c>
      <c r="J573" s="122"/>
    </row>
    <row r="574" spans="2:10" s="3" customFormat="1" ht="24" customHeight="1" x14ac:dyDescent="0.2">
      <c r="B574" s="68"/>
      <c r="C574" s="69"/>
      <c r="D574" s="86"/>
      <c r="E574" s="116" t="str">
        <f>IFERROR(VLOOKUP(D574,'リスト '!$A$2:$B$15,2,FALSE),"")</f>
        <v/>
      </c>
      <c r="F574" s="70"/>
      <c r="G574" s="71" t="str">
        <f>IFERROR(VLOOKUP(F574,設定!$C$11:$F$111,2,FALSE),"")</f>
        <v/>
      </c>
      <c r="H574" s="71" t="str">
        <f>IFERROR(VLOOKUP(F574,設定!$C$11:$F$111,3,FALSE),"")</f>
        <v/>
      </c>
      <c r="I574" s="71" t="str">
        <f>IFERROR(VLOOKUP(F574,設定!$C$11:$F$111,4,FALSE),"")</f>
        <v/>
      </c>
      <c r="J574" s="122"/>
    </row>
    <row r="575" spans="2:10" s="3" customFormat="1" ht="24" customHeight="1" x14ac:dyDescent="0.2">
      <c r="B575" s="68"/>
      <c r="C575" s="69"/>
      <c r="D575" s="86"/>
      <c r="E575" s="116" t="str">
        <f>IFERROR(VLOOKUP(D575,'リスト '!$A$2:$B$15,2,FALSE),"")</f>
        <v/>
      </c>
      <c r="F575" s="70"/>
      <c r="G575" s="71" t="str">
        <f>IFERROR(VLOOKUP(F575,設定!$C$11:$F$111,2,FALSE),"")</f>
        <v/>
      </c>
      <c r="H575" s="71" t="str">
        <f>IFERROR(VLOOKUP(F575,設定!$C$11:$F$111,3,FALSE),"")</f>
        <v/>
      </c>
      <c r="I575" s="71" t="str">
        <f>IFERROR(VLOOKUP(F575,設定!$C$11:$F$111,4,FALSE),"")</f>
        <v/>
      </c>
      <c r="J575" s="122"/>
    </row>
    <row r="576" spans="2:10" s="3" customFormat="1" ht="24" customHeight="1" x14ac:dyDescent="0.2">
      <c r="B576" s="68"/>
      <c r="C576" s="69"/>
      <c r="D576" s="86"/>
      <c r="E576" s="116" t="str">
        <f>IFERROR(VLOOKUP(D576,'リスト '!$A$2:$B$15,2,FALSE),"")</f>
        <v/>
      </c>
      <c r="F576" s="70"/>
      <c r="G576" s="71" t="str">
        <f>IFERROR(VLOOKUP(F576,設定!$C$11:$F$111,2,FALSE),"")</f>
        <v/>
      </c>
      <c r="H576" s="71" t="str">
        <f>IFERROR(VLOOKUP(F576,設定!$C$11:$F$111,3,FALSE),"")</f>
        <v/>
      </c>
      <c r="I576" s="71" t="str">
        <f>IFERROR(VLOOKUP(F576,設定!$C$11:$F$111,4,FALSE),"")</f>
        <v/>
      </c>
      <c r="J576" s="122"/>
    </row>
    <row r="577" spans="2:10" s="3" customFormat="1" ht="24" customHeight="1" x14ac:dyDescent="0.2">
      <c r="B577" s="68"/>
      <c r="C577" s="69"/>
      <c r="D577" s="86"/>
      <c r="E577" s="116" t="str">
        <f>IFERROR(VLOOKUP(D577,'リスト '!$A$2:$B$15,2,FALSE),"")</f>
        <v/>
      </c>
      <c r="F577" s="70"/>
      <c r="G577" s="71" t="str">
        <f>IFERROR(VLOOKUP(F577,設定!$C$11:$F$111,2,FALSE),"")</f>
        <v/>
      </c>
      <c r="H577" s="71" t="str">
        <f>IFERROR(VLOOKUP(F577,設定!$C$11:$F$111,3,FALSE),"")</f>
        <v/>
      </c>
      <c r="I577" s="71" t="str">
        <f>IFERROR(VLOOKUP(F577,設定!$C$11:$F$111,4,FALSE),"")</f>
        <v/>
      </c>
      <c r="J577" s="122"/>
    </row>
    <row r="578" spans="2:10" s="3" customFormat="1" ht="24" customHeight="1" x14ac:dyDescent="0.2">
      <c r="B578" s="68"/>
      <c r="C578" s="69"/>
      <c r="D578" s="86"/>
      <c r="E578" s="116" t="str">
        <f>IFERROR(VLOOKUP(D578,'リスト '!$A$2:$B$15,2,FALSE),"")</f>
        <v/>
      </c>
      <c r="F578" s="70"/>
      <c r="G578" s="71" t="str">
        <f>IFERROR(VLOOKUP(F578,設定!$C$11:$F$111,2,FALSE),"")</f>
        <v/>
      </c>
      <c r="H578" s="71" t="str">
        <f>IFERROR(VLOOKUP(F578,設定!$C$11:$F$111,3,FALSE),"")</f>
        <v/>
      </c>
      <c r="I578" s="71" t="str">
        <f>IFERROR(VLOOKUP(F578,設定!$C$11:$F$111,4,FALSE),"")</f>
        <v/>
      </c>
      <c r="J578" s="122"/>
    </row>
    <row r="579" spans="2:10" s="3" customFormat="1" ht="24" customHeight="1" x14ac:dyDescent="0.2">
      <c r="B579" s="68"/>
      <c r="C579" s="69"/>
      <c r="D579" s="86"/>
      <c r="E579" s="116" t="str">
        <f>IFERROR(VLOOKUP(D579,'リスト '!$A$2:$B$15,2,FALSE),"")</f>
        <v/>
      </c>
      <c r="F579" s="70"/>
      <c r="G579" s="71" t="str">
        <f>IFERROR(VLOOKUP(F579,設定!$C$11:$F$111,2,FALSE),"")</f>
        <v/>
      </c>
      <c r="H579" s="71" t="str">
        <f>IFERROR(VLOOKUP(F579,設定!$C$11:$F$111,3,FALSE),"")</f>
        <v/>
      </c>
      <c r="I579" s="71" t="str">
        <f>IFERROR(VLOOKUP(F579,設定!$C$11:$F$111,4,FALSE),"")</f>
        <v/>
      </c>
      <c r="J579" s="122"/>
    </row>
    <row r="580" spans="2:10" s="3" customFormat="1" ht="24" customHeight="1" x14ac:dyDescent="0.2">
      <c r="B580" s="68"/>
      <c r="C580" s="69"/>
      <c r="D580" s="86"/>
      <c r="E580" s="116" t="str">
        <f>IFERROR(VLOOKUP(D580,'リスト '!$A$2:$B$15,2,FALSE),"")</f>
        <v/>
      </c>
      <c r="F580" s="70"/>
      <c r="G580" s="71" t="str">
        <f>IFERROR(VLOOKUP(F580,設定!$C$11:$F$111,2,FALSE),"")</f>
        <v/>
      </c>
      <c r="H580" s="71" t="str">
        <f>IFERROR(VLOOKUP(F580,設定!$C$11:$F$111,3,FALSE),"")</f>
        <v/>
      </c>
      <c r="I580" s="71" t="str">
        <f>IFERROR(VLOOKUP(F580,設定!$C$11:$F$111,4,FALSE),"")</f>
        <v/>
      </c>
      <c r="J580" s="122"/>
    </row>
    <row r="581" spans="2:10" s="3" customFormat="1" ht="24" customHeight="1" x14ac:dyDescent="0.2">
      <c r="B581" s="68"/>
      <c r="C581" s="69"/>
      <c r="D581" s="86"/>
      <c r="E581" s="116" t="str">
        <f>IFERROR(VLOOKUP(D581,'リスト '!$A$2:$B$15,2,FALSE),"")</f>
        <v/>
      </c>
      <c r="F581" s="70"/>
      <c r="G581" s="71" t="str">
        <f>IFERROR(VLOOKUP(F581,設定!$C$11:$F$111,2,FALSE),"")</f>
        <v/>
      </c>
      <c r="H581" s="71" t="str">
        <f>IFERROR(VLOOKUP(F581,設定!$C$11:$F$111,3,FALSE),"")</f>
        <v/>
      </c>
      <c r="I581" s="71" t="str">
        <f>IFERROR(VLOOKUP(F581,設定!$C$11:$F$111,4,FALSE),"")</f>
        <v/>
      </c>
      <c r="J581" s="122"/>
    </row>
    <row r="582" spans="2:10" s="3" customFormat="1" ht="24" customHeight="1" x14ac:dyDescent="0.2">
      <c r="B582" s="68"/>
      <c r="C582" s="69"/>
      <c r="D582" s="86"/>
      <c r="E582" s="116" t="str">
        <f>IFERROR(VLOOKUP(D582,'リスト '!$A$2:$B$15,2,FALSE),"")</f>
        <v/>
      </c>
      <c r="F582" s="70"/>
      <c r="G582" s="71" t="str">
        <f>IFERROR(VLOOKUP(F582,設定!$C$11:$F$111,2,FALSE),"")</f>
        <v/>
      </c>
      <c r="H582" s="71" t="str">
        <f>IFERROR(VLOOKUP(F582,設定!$C$11:$F$111,3,FALSE),"")</f>
        <v/>
      </c>
      <c r="I582" s="71" t="str">
        <f>IFERROR(VLOOKUP(F582,設定!$C$11:$F$111,4,FALSE),"")</f>
        <v/>
      </c>
      <c r="J582" s="122"/>
    </row>
    <row r="583" spans="2:10" s="3" customFormat="1" ht="24" customHeight="1" x14ac:dyDescent="0.2">
      <c r="B583" s="68"/>
      <c r="C583" s="69"/>
      <c r="D583" s="86"/>
      <c r="E583" s="116" t="str">
        <f>IFERROR(VLOOKUP(D583,'リスト '!$A$2:$B$15,2,FALSE),"")</f>
        <v/>
      </c>
      <c r="F583" s="70"/>
      <c r="G583" s="71" t="str">
        <f>IFERROR(VLOOKUP(F583,設定!$C$11:$F$111,2,FALSE),"")</f>
        <v/>
      </c>
      <c r="H583" s="71" t="str">
        <f>IFERROR(VLOOKUP(F583,設定!$C$11:$F$111,3,FALSE),"")</f>
        <v/>
      </c>
      <c r="I583" s="71" t="str">
        <f>IFERROR(VLOOKUP(F583,設定!$C$11:$F$111,4,FALSE),"")</f>
        <v/>
      </c>
      <c r="J583" s="122"/>
    </row>
    <row r="584" spans="2:10" s="3" customFormat="1" ht="24" customHeight="1" x14ac:dyDescent="0.2">
      <c r="B584" s="68"/>
      <c r="C584" s="69"/>
      <c r="D584" s="86"/>
      <c r="E584" s="116" t="str">
        <f>IFERROR(VLOOKUP(D584,'リスト '!$A$2:$B$15,2,FALSE),"")</f>
        <v/>
      </c>
      <c r="F584" s="70"/>
      <c r="G584" s="71" t="str">
        <f>IFERROR(VLOOKUP(F584,設定!$C$11:$F$111,2,FALSE),"")</f>
        <v/>
      </c>
      <c r="H584" s="71" t="str">
        <f>IFERROR(VLOOKUP(F584,設定!$C$11:$F$111,3,FALSE),"")</f>
        <v/>
      </c>
      <c r="I584" s="71" t="str">
        <f>IFERROR(VLOOKUP(F584,設定!$C$11:$F$111,4,FALSE),"")</f>
        <v/>
      </c>
      <c r="J584" s="122"/>
    </row>
    <row r="585" spans="2:10" s="3" customFormat="1" ht="24" customHeight="1" x14ac:dyDescent="0.2">
      <c r="B585" s="68"/>
      <c r="C585" s="69"/>
      <c r="D585" s="86"/>
      <c r="E585" s="116" t="str">
        <f>IFERROR(VLOOKUP(D585,'リスト '!$A$2:$B$15,2,FALSE),"")</f>
        <v/>
      </c>
      <c r="F585" s="70"/>
      <c r="G585" s="71" t="str">
        <f>IFERROR(VLOOKUP(F585,設定!$C$11:$F$111,2,FALSE),"")</f>
        <v/>
      </c>
      <c r="H585" s="71" t="str">
        <f>IFERROR(VLOOKUP(F585,設定!$C$11:$F$111,3,FALSE),"")</f>
        <v/>
      </c>
      <c r="I585" s="71" t="str">
        <f>IFERROR(VLOOKUP(F585,設定!$C$11:$F$111,4,FALSE),"")</f>
        <v/>
      </c>
      <c r="J585" s="122"/>
    </row>
    <row r="586" spans="2:10" s="3" customFormat="1" ht="24" customHeight="1" x14ac:dyDescent="0.2">
      <c r="B586" s="68"/>
      <c r="C586" s="69"/>
      <c r="D586" s="86"/>
      <c r="E586" s="116" t="str">
        <f>IFERROR(VLOOKUP(D586,'リスト '!$A$2:$B$15,2,FALSE),"")</f>
        <v/>
      </c>
      <c r="F586" s="70"/>
      <c r="G586" s="71" t="str">
        <f>IFERROR(VLOOKUP(F586,設定!$C$11:$F$111,2,FALSE),"")</f>
        <v/>
      </c>
      <c r="H586" s="71" t="str">
        <f>IFERROR(VLOOKUP(F586,設定!$C$11:$F$111,3,FALSE),"")</f>
        <v/>
      </c>
      <c r="I586" s="71" t="str">
        <f>IFERROR(VLOOKUP(F586,設定!$C$11:$F$111,4,FALSE),"")</f>
        <v/>
      </c>
      <c r="J586" s="122"/>
    </row>
    <row r="587" spans="2:10" s="3" customFormat="1" ht="24" customHeight="1" x14ac:dyDescent="0.2">
      <c r="B587" s="68"/>
      <c r="C587" s="69"/>
      <c r="D587" s="86"/>
      <c r="E587" s="116" t="str">
        <f>IFERROR(VLOOKUP(D587,'リスト '!$A$2:$B$15,2,FALSE),"")</f>
        <v/>
      </c>
      <c r="F587" s="70"/>
      <c r="G587" s="71" t="str">
        <f>IFERROR(VLOOKUP(F587,設定!$C$11:$F$111,2,FALSE),"")</f>
        <v/>
      </c>
      <c r="H587" s="71" t="str">
        <f>IFERROR(VLOOKUP(F587,設定!$C$11:$F$111,3,FALSE),"")</f>
        <v/>
      </c>
      <c r="I587" s="71" t="str">
        <f>IFERROR(VLOOKUP(F587,設定!$C$11:$F$111,4,FALSE),"")</f>
        <v/>
      </c>
      <c r="J587" s="122"/>
    </row>
    <row r="588" spans="2:10" s="3" customFormat="1" ht="24" customHeight="1" x14ac:dyDescent="0.2">
      <c r="B588" s="68"/>
      <c r="C588" s="69"/>
      <c r="D588" s="86"/>
      <c r="E588" s="116" t="str">
        <f>IFERROR(VLOOKUP(D588,'リスト '!$A$2:$B$15,2,FALSE),"")</f>
        <v/>
      </c>
      <c r="F588" s="70"/>
      <c r="G588" s="71" t="str">
        <f>IFERROR(VLOOKUP(F588,設定!$C$11:$F$111,2,FALSE),"")</f>
        <v/>
      </c>
      <c r="H588" s="71" t="str">
        <f>IFERROR(VLOOKUP(F588,設定!$C$11:$F$111,3,FALSE),"")</f>
        <v/>
      </c>
      <c r="I588" s="71" t="str">
        <f>IFERROR(VLOOKUP(F588,設定!$C$11:$F$111,4,FALSE),"")</f>
        <v/>
      </c>
      <c r="J588" s="122"/>
    </row>
    <row r="589" spans="2:10" s="3" customFormat="1" ht="24" customHeight="1" x14ac:dyDescent="0.2">
      <c r="B589" s="68"/>
      <c r="C589" s="69"/>
      <c r="D589" s="86"/>
      <c r="E589" s="116" t="str">
        <f>IFERROR(VLOOKUP(D589,'リスト '!$A$2:$B$15,2,FALSE),"")</f>
        <v/>
      </c>
      <c r="F589" s="70"/>
      <c r="G589" s="71" t="str">
        <f>IFERROR(VLOOKUP(F589,設定!$C$11:$F$111,2,FALSE),"")</f>
        <v/>
      </c>
      <c r="H589" s="71" t="str">
        <f>IFERROR(VLOOKUP(F589,設定!$C$11:$F$111,3,FALSE),"")</f>
        <v/>
      </c>
      <c r="I589" s="71" t="str">
        <f>IFERROR(VLOOKUP(F589,設定!$C$11:$F$111,4,FALSE),"")</f>
        <v/>
      </c>
      <c r="J589" s="122"/>
    </row>
    <row r="590" spans="2:10" s="3" customFormat="1" ht="24" customHeight="1" x14ac:dyDescent="0.2">
      <c r="B590" s="68"/>
      <c r="C590" s="69"/>
      <c r="D590" s="86"/>
      <c r="E590" s="116" t="str">
        <f>IFERROR(VLOOKUP(D590,'リスト '!$A$2:$B$15,2,FALSE),"")</f>
        <v/>
      </c>
      <c r="F590" s="70"/>
      <c r="G590" s="71" t="str">
        <f>IFERROR(VLOOKUP(F590,設定!$C$11:$F$111,2,FALSE),"")</f>
        <v/>
      </c>
      <c r="H590" s="71" t="str">
        <f>IFERROR(VLOOKUP(F590,設定!$C$11:$F$111,3,FALSE),"")</f>
        <v/>
      </c>
      <c r="I590" s="71" t="str">
        <f>IFERROR(VLOOKUP(F590,設定!$C$11:$F$111,4,FALSE),"")</f>
        <v/>
      </c>
      <c r="J590" s="122"/>
    </row>
    <row r="591" spans="2:10" s="3" customFormat="1" ht="24" customHeight="1" x14ac:dyDescent="0.2">
      <c r="B591" s="68"/>
      <c r="C591" s="69"/>
      <c r="D591" s="86"/>
      <c r="E591" s="116" t="str">
        <f>IFERROR(VLOOKUP(D591,'リスト '!$A$2:$B$15,2,FALSE),"")</f>
        <v/>
      </c>
      <c r="F591" s="70"/>
      <c r="G591" s="71" t="str">
        <f>IFERROR(VLOOKUP(F591,設定!$C$11:$F$111,2,FALSE),"")</f>
        <v/>
      </c>
      <c r="H591" s="71" t="str">
        <f>IFERROR(VLOOKUP(F591,設定!$C$11:$F$111,3,FALSE),"")</f>
        <v/>
      </c>
      <c r="I591" s="71" t="str">
        <f>IFERROR(VLOOKUP(F591,設定!$C$11:$F$111,4,FALSE),"")</f>
        <v/>
      </c>
      <c r="J591" s="122"/>
    </row>
    <row r="592" spans="2:10" s="3" customFormat="1" ht="24" customHeight="1" x14ac:dyDescent="0.2">
      <c r="B592" s="68"/>
      <c r="C592" s="69"/>
      <c r="D592" s="86"/>
      <c r="E592" s="116" t="str">
        <f>IFERROR(VLOOKUP(D592,'リスト '!$A$2:$B$15,2,FALSE),"")</f>
        <v/>
      </c>
      <c r="F592" s="70"/>
      <c r="G592" s="71" t="str">
        <f>IFERROR(VLOOKUP(F592,設定!$C$11:$F$111,2,FALSE),"")</f>
        <v/>
      </c>
      <c r="H592" s="71" t="str">
        <f>IFERROR(VLOOKUP(F592,設定!$C$11:$F$111,3,FALSE),"")</f>
        <v/>
      </c>
      <c r="I592" s="71" t="str">
        <f>IFERROR(VLOOKUP(F592,設定!$C$11:$F$111,4,FALSE),"")</f>
        <v/>
      </c>
      <c r="J592" s="122"/>
    </row>
    <row r="593" spans="2:10" s="3" customFormat="1" ht="24" customHeight="1" x14ac:dyDescent="0.2">
      <c r="B593" s="68"/>
      <c r="C593" s="69"/>
      <c r="D593" s="86"/>
      <c r="E593" s="116" t="str">
        <f>IFERROR(VLOOKUP(D593,'リスト '!$A$2:$B$15,2,FALSE),"")</f>
        <v/>
      </c>
      <c r="F593" s="70"/>
      <c r="G593" s="71" t="str">
        <f>IFERROR(VLOOKUP(F593,設定!$C$11:$F$111,2,FALSE),"")</f>
        <v/>
      </c>
      <c r="H593" s="71" t="str">
        <f>IFERROR(VLOOKUP(F593,設定!$C$11:$F$111,3,FALSE),"")</f>
        <v/>
      </c>
      <c r="I593" s="71" t="str">
        <f>IFERROR(VLOOKUP(F593,設定!$C$11:$F$111,4,FALSE),"")</f>
        <v/>
      </c>
      <c r="J593" s="122"/>
    </row>
    <row r="594" spans="2:10" s="3" customFormat="1" ht="24" customHeight="1" x14ac:dyDescent="0.2">
      <c r="B594" s="68"/>
      <c r="C594" s="69"/>
      <c r="D594" s="86"/>
      <c r="E594" s="116" t="str">
        <f>IFERROR(VLOOKUP(D594,'リスト '!$A$2:$B$15,2,FALSE),"")</f>
        <v/>
      </c>
      <c r="F594" s="70"/>
      <c r="G594" s="71" t="str">
        <f>IFERROR(VLOOKUP(F594,設定!$C$11:$F$111,2,FALSE),"")</f>
        <v/>
      </c>
      <c r="H594" s="71" t="str">
        <f>IFERROR(VLOOKUP(F594,設定!$C$11:$F$111,3,FALSE),"")</f>
        <v/>
      </c>
      <c r="I594" s="71" t="str">
        <f>IFERROR(VLOOKUP(F594,設定!$C$11:$F$111,4,FALSE),"")</f>
        <v/>
      </c>
      <c r="J594" s="122"/>
    </row>
    <row r="595" spans="2:10" s="3" customFormat="1" ht="24" customHeight="1" x14ac:dyDescent="0.2">
      <c r="B595" s="68"/>
      <c r="C595" s="69"/>
      <c r="D595" s="86"/>
      <c r="E595" s="116" t="str">
        <f>IFERROR(VLOOKUP(D595,'リスト '!$A$2:$B$15,2,FALSE),"")</f>
        <v/>
      </c>
      <c r="F595" s="70"/>
      <c r="G595" s="71" t="str">
        <f>IFERROR(VLOOKUP(F595,設定!$C$11:$F$111,2,FALSE),"")</f>
        <v/>
      </c>
      <c r="H595" s="71" t="str">
        <f>IFERROR(VLOOKUP(F595,設定!$C$11:$F$111,3,FALSE),"")</f>
        <v/>
      </c>
      <c r="I595" s="71" t="str">
        <f>IFERROR(VLOOKUP(F595,設定!$C$11:$F$111,4,FALSE),"")</f>
        <v/>
      </c>
      <c r="J595" s="122"/>
    </row>
    <row r="596" spans="2:10" s="3" customFormat="1" ht="24" customHeight="1" x14ac:dyDescent="0.2">
      <c r="B596" s="68"/>
      <c r="C596" s="69"/>
      <c r="D596" s="86"/>
      <c r="E596" s="116" t="str">
        <f>IFERROR(VLOOKUP(D596,'リスト '!$A$2:$B$15,2,FALSE),"")</f>
        <v/>
      </c>
      <c r="F596" s="70"/>
      <c r="G596" s="71" t="str">
        <f>IFERROR(VLOOKUP(F596,設定!$C$11:$F$111,2,FALSE),"")</f>
        <v/>
      </c>
      <c r="H596" s="71" t="str">
        <f>IFERROR(VLOOKUP(F596,設定!$C$11:$F$111,3,FALSE),"")</f>
        <v/>
      </c>
      <c r="I596" s="71" t="str">
        <f>IFERROR(VLOOKUP(F596,設定!$C$11:$F$111,4,FALSE),"")</f>
        <v/>
      </c>
      <c r="J596" s="122"/>
    </row>
    <row r="597" spans="2:10" s="3" customFormat="1" ht="24" customHeight="1" x14ac:dyDescent="0.2">
      <c r="B597" s="68"/>
      <c r="C597" s="69"/>
      <c r="D597" s="86"/>
      <c r="E597" s="116" t="str">
        <f>IFERROR(VLOOKUP(D597,'リスト '!$A$2:$B$15,2,FALSE),"")</f>
        <v/>
      </c>
      <c r="F597" s="70"/>
      <c r="G597" s="71" t="str">
        <f>IFERROR(VLOOKUP(F597,設定!$C$11:$F$111,2,FALSE),"")</f>
        <v/>
      </c>
      <c r="H597" s="71" t="str">
        <f>IFERROR(VLOOKUP(F597,設定!$C$11:$F$111,3,FALSE),"")</f>
        <v/>
      </c>
      <c r="I597" s="71" t="str">
        <f>IFERROR(VLOOKUP(F597,設定!$C$11:$F$111,4,FALSE),"")</f>
        <v/>
      </c>
      <c r="J597" s="122"/>
    </row>
    <row r="598" spans="2:10" s="3" customFormat="1" ht="24" customHeight="1" x14ac:dyDescent="0.2">
      <c r="B598" s="68"/>
      <c r="C598" s="69"/>
      <c r="D598" s="86"/>
      <c r="E598" s="116" t="str">
        <f>IFERROR(VLOOKUP(D598,'リスト '!$A$2:$B$15,2,FALSE),"")</f>
        <v/>
      </c>
      <c r="F598" s="70"/>
      <c r="G598" s="71" t="str">
        <f>IFERROR(VLOOKUP(F598,設定!$C$11:$F$111,2,FALSE),"")</f>
        <v/>
      </c>
      <c r="H598" s="71" t="str">
        <f>IFERROR(VLOOKUP(F598,設定!$C$11:$F$111,3,FALSE),"")</f>
        <v/>
      </c>
      <c r="I598" s="71" t="str">
        <f>IFERROR(VLOOKUP(F598,設定!$C$11:$F$111,4,FALSE),"")</f>
        <v/>
      </c>
      <c r="J598" s="122"/>
    </row>
    <row r="599" spans="2:10" s="3" customFormat="1" ht="24" customHeight="1" x14ac:dyDescent="0.2">
      <c r="B599" s="68"/>
      <c r="C599" s="69"/>
      <c r="D599" s="86"/>
      <c r="E599" s="116" t="str">
        <f>IFERROR(VLOOKUP(D599,'リスト '!$A$2:$B$15,2,FALSE),"")</f>
        <v/>
      </c>
      <c r="F599" s="70"/>
      <c r="G599" s="71" t="str">
        <f>IFERROR(VLOOKUP(F599,設定!$C$11:$F$111,2,FALSE),"")</f>
        <v/>
      </c>
      <c r="H599" s="71" t="str">
        <f>IFERROR(VLOOKUP(F599,設定!$C$11:$F$111,3,FALSE),"")</f>
        <v/>
      </c>
      <c r="I599" s="71" t="str">
        <f>IFERROR(VLOOKUP(F599,設定!$C$11:$F$111,4,FALSE),"")</f>
        <v/>
      </c>
      <c r="J599" s="122"/>
    </row>
    <row r="600" spans="2:10" s="3" customFormat="1" ht="24" customHeight="1" x14ac:dyDescent="0.2">
      <c r="B600" s="68"/>
      <c r="C600" s="69"/>
      <c r="D600" s="86"/>
      <c r="E600" s="116" t="str">
        <f>IFERROR(VLOOKUP(D600,'リスト '!$A$2:$B$15,2,FALSE),"")</f>
        <v/>
      </c>
      <c r="F600" s="70"/>
      <c r="G600" s="71" t="str">
        <f>IFERROR(VLOOKUP(F600,設定!$C$11:$F$111,2,FALSE),"")</f>
        <v/>
      </c>
      <c r="H600" s="71" t="str">
        <f>IFERROR(VLOOKUP(F600,設定!$C$11:$F$111,3,FALSE),"")</f>
        <v/>
      </c>
      <c r="I600" s="71" t="str">
        <f>IFERROR(VLOOKUP(F600,設定!$C$11:$F$111,4,FALSE),"")</f>
        <v/>
      </c>
      <c r="J600" s="122"/>
    </row>
    <row r="601" spans="2:10" s="3" customFormat="1" ht="24" customHeight="1" x14ac:dyDescent="0.2">
      <c r="B601" s="68"/>
      <c r="C601" s="69"/>
      <c r="D601" s="86"/>
      <c r="E601" s="116" t="str">
        <f>IFERROR(VLOOKUP(D601,'リスト '!$A$2:$B$15,2,FALSE),"")</f>
        <v/>
      </c>
      <c r="F601" s="70"/>
      <c r="G601" s="71" t="str">
        <f>IFERROR(VLOOKUP(F601,設定!$C$11:$F$111,2,FALSE),"")</f>
        <v/>
      </c>
      <c r="H601" s="71" t="str">
        <f>IFERROR(VLOOKUP(F601,設定!$C$11:$F$111,3,FALSE),"")</f>
        <v/>
      </c>
      <c r="I601" s="71" t="str">
        <f>IFERROR(VLOOKUP(F601,設定!$C$11:$F$111,4,FALSE),"")</f>
        <v/>
      </c>
      <c r="J601" s="122"/>
    </row>
    <row r="602" spans="2:10" s="3" customFormat="1" ht="24" customHeight="1" x14ac:dyDescent="0.2">
      <c r="B602" s="68"/>
      <c r="C602" s="69"/>
      <c r="D602" s="86"/>
      <c r="E602" s="116" t="str">
        <f>IFERROR(VLOOKUP(D602,'リスト '!$A$2:$B$15,2,FALSE),"")</f>
        <v/>
      </c>
      <c r="F602" s="70"/>
      <c r="G602" s="71" t="str">
        <f>IFERROR(VLOOKUP(F602,設定!$C$11:$F$111,2,FALSE),"")</f>
        <v/>
      </c>
      <c r="H602" s="71" t="str">
        <f>IFERROR(VLOOKUP(F602,設定!$C$11:$F$111,3,FALSE),"")</f>
        <v/>
      </c>
      <c r="I602" s="71" t="str">
        <f>IFERROR(VLOOKUP(F602,設定!$C$11:$F$111,4,FALSE),"")</f>
        <v/>
      </c>
      <c r="J602" s="122"/>
    </row>
    <row r="603" spans="2:10" s="3" customFormat="1" ht="24" customHeight="1" x14ac:dyDescent="0.2">
      <c r="B603" s="68"/>
      <c r="C603" s="69"/>
      <c r="D603" s="86"/>
      <c r="E603" s="116" t="str">
        <f>IFERROR(VLOOKUP(D603,'リスト '!$A$2:$B$15,2,FALSE),"")</f>
        <v/>
      </c>
      <c r="F603" s="70"/>
      <c r="G603" s="71" t="str">
        <f>IFERROR(VLOOKUP(F603,設定!$C$11:$F$111,2,FALSE),"")</f>
        <v/>
      </c>
      <c r="H603" s="71" t="str">
        <f>IFERROR(VLOOKUP(F603,設定!$C$11:$F$111,3,FALSE),"")</f>
        <v/>
      </c>
      <c r="I603" s="71" t="str">
        <f>IFERROR(VLOOKUP(F603,設定!$C$11:$F$111,4,FALSE),"")</f>
        <v/>
      </c>
      <c r="J603" s="122"/>
    </row>
    <row r="604" spans="2:10" s="3" customFormat="1" ht="24" customHeight="1" x14ac:dyDescent="0.2">
      <c r="B604" s="68"/>
      <c r="C604" s="69"/>
      <c r="D604" s="86"/>
      <c r="E604" s="116" t="str">
        <f>IFERROR(VLOOKUP(D604,'リスト '!$A$2:$B$15,2,FALSE),"")</f>
        <v/>
      </c>
      <c r="F604" s="70"/>
      <c r="G604" s="71" t="str">
        <f>IFERROR(VLOOKUP(F604,設定!$C$11:$F$111,2,FALSE),"")</f>
        <v/>
      </c>
      <c r="H604" s="71" t="str">
        <f>IFERROR(VLOOKUP(F604,設定!$C$11:$F$111,3,FALSE),"")</f>
        <v/>
      </c>
      <c r="I604" s="71" t="str">
        <f>IFERROR(VLOOKUP(F604,設定!$C$11:$F$111,4,FALSE),"")</f>
        <v/>
      </c>
      <c r="J604" s="122"/>
    </row>
    <row r="605" spans="2:10" s="3" customFormat="1" ht="24" customHeight="1" x14ac:dyDescent="0.2">
      <c r="B605" s="68"/>
      <c r="C605" s="69"/>
      <c r="D605" s="86"/>
      <c r="E605" s="116" t="str">
        <f>IFERROR(VLOOKUP(D605,'リスト '!$A$2:$B$15,2,FALSE),"")</f>
        <v/>
      </c>
      <c r="F605" s="70"/>
      <c r="G605" s="71" t="str">
        <f>IFERROR(VLOOKUP(F605,設定!$C$11:$F$111,2,FALSE),"")</f>
        <v/>
      </c>
      <c r="H605" s="71" t="str">
        <f>IFERROR(VLOOKUP(F605,設定!$C$11:$F$111,3,FALSE),"")</f>
        <v/>
      </c>
      <c r="I605" s="71" t="str">
        <f>IFERROR(VLOOKUP(F605,設定!$C$11:$F$111,4,FALSE),"")</f>
        <v/>
      </c>
      <c r="J605" s="122"/>
    </row>
    <row r="606" spans="2:10" s="3" customFormat="1" ht="24" customHeight="1" x14ac:dyDescent="0.2">
      <c r="B606" s="68"/>
      <c r="C606" s="69"/>
      <c r="D606" s="86"/>
      <c r="E606" s="116" t="str">
        <f>IFERROR(VLOOKUP(D606,'リスト '!$A$2:$B$15,2,FALSE),"")</f>
        <v/>
      </c>
      <c r="F606" s="70"/>
      <c r="G606" s="71" t="str">
        <f>IFERROR(VLOOKUP(F606,設定!$C$11:$F$111,2,FALSE),"")</f>
        <v/>
      </c>
      <c r="H606" s="71" t="str">
        <f>IFERROR(VLOOKUP(F606,設定!$C$11:$F$111,3,FALSE),"")</f>
        <v/>
      </c>
      <c r="I606" s="71" t="str">
        <f>IFERROR(VLOOKUP(F606,設定!$C$11:$F$111,4,FALSE),"")</f>
        <v/>
      </c>
      <c r="J606" s="122"/>
    </row>
    <row r="607" spans="2:10" s="3" customFormat="1" ht="24" customHeight="1" x14ac:dyDescent="0.2">
      <c r="B607" s="68"/>
      <c r="C607" s="69"/>
      <c r="D607" s="86"/>
      <c r="E607" s="116" t="str">
        <f>IFERROR(VLOOKUP(D607,'リスト '!$A$2:$B$15,2,FALSE),"")</f>
        <v/>
      </c>
      <c r="F607" s="70"/>
      <c r="G607" s="71" t="str">
        <f>IFERROR(VLOOKUP(F607,設定!$C$11:$F$111,2,FALSE),"")</f>
        <v/>
      </c>
      <c r="H607" s="71" t="str">
        <f>IFERROR(VLOOKUP(F607,設定!$C$11:$F$111,3,FALSE),"")</f>
        <v/>
      </c>
      <c r="I607" s="71" t="str">
        <f>IFERROR(VLOOKUP(F607,設定!$C$11:$F$111,4,FALSE),"")</f>
        <v/>
      </c>
      <c r="J607" s="122"/>
    </row>
    <row r="608" spans="2:10" s="3" customFormat="1" ht="24" customHeight="1" x14ac:dyDescent="0.2">
      <c r="B608" s="68"/>
      <c r="C608" s="69"/>
      <c r="D608" s="86"/>
      <c r="E608" s="116" t="str">
        <f>IFERROR(VLOOKUP(D608,'リスト '!$A$2:$B$15,2,FALSE),"")</f>
        <v/>
      </c>
      <c r="F608" s="70"/>
      <c r="G608" s="71" t="str">
        <f>IFERROR(VLOOKUP(F608,設定!$C$11:$F$111,2,FALSE),"")</f>
        <v/>
      </c>
      <c r="H608" s="71" t="str">
        <f>IFERROR(VLOOKUP(F608,設定!$C$11:$F$111,3,FALSE),"")</f>
        <v/>
      </c>
      <c r="I608" s="71" t="str">
        <f>IFERROR(VLOOKUP(F608,設定!$C$11:$F$111,4,FALSE),"")</f>
        <v/>
      </c>
      <c r="J608" s="122"/>
    </row>
    <row r="609" spans="2:10" s="3" customFormat="1" ht="24" customHeight="1" x14ac:dyDescent="0.2">
      <c r="B609" s="68"/>
      <c r="C609" s="69"/>
      <c r="D609" s="86"/>
      <c r="E609" s="116" t="str">
        <f>IFERROR(VLOOKUP(D609,'リスト '!$A$2:$B$15,2,FALSE),"")</f>
        <v/>
      </c>
      <c r="F609" s="70"/>
      <c r="G609" s="71" t="str">
        <f>IFERROR(VLOOKUP(F609,設定!$C$11:$F$111,2,FALSE),"")</f>
        <v/>
      </c>
      <c r="H609" s="71" t="str">
        <f>IFERROR(VLOOKUP(F609,設定!$C$11:$F$111,3,FALSE),"")</f>
        <v/>
      </c>
      <c r="I609" s="71" t="str">
        <f>IFERROR(VLOOKUP(F609,設定!$C$11:$F$111,4,FALSE),"")</f>
        <v/>
      </c>
      <c r="J609" s="122"/>
    </row>
    <row r="610" spans="2:10" s="3" customFormat="1" ht="24" customHeight="1" x14ac:dyDescent="0.2">
      <c r="B610" s="68"/>
      <c r="C610" s="69"/>
      <c r="D610" s="86"/>
      <c r="E610" s="116" t="str">
        <f>IFERROR(VLOOKUP(D610,'リスト '!$A$2:$B$15,2,FALSE),"")</f>
        <v/>
      </c>
      <c r="F610" s="70"/>
      <c r="G610" s="71" t="str">
        <f>IFERROR(VLOOKUP(F610,設定!$C$11:$F$111,2,FALSE),"")</f>
        <v/>
      </c>
      <c r="H610" s="71" t="str">
        <f>IFERROR(VLOOKUP(F610,設定!$C$11:$F$111,3,FALSE),"")</f>
        <v/>
      </c>
      <c r="I610" s="71" t="str">
        <f>IFERROR(VLOOKUP(F610,設定!$C$11:$F$111,4,FALSE),"")</f>
        <v/>
      </c>
      <c r="J610" s="122"/>
    </row>
    <row r="611" spans="2:10" s="3" customFormat="1" ht="24" customHeight="1" x14ac:dyDescent="0.2">
      <c r="B611" s="68"/>
      <c r="C611" s="69"/>
      <c r="D611" s="86"/>
      <c r="E611" s="116" t="str">
        <f>IFERROR(VLOOKUP(D611,'リスト '!$A$2:$B$15,2,FALSE),"")</f>
        <v/>
      </c>
      <c r="F611" s="70"/>
      <c r="G611" s="71" t="str">
        <f>IFERROR(VLOOKUP(F611,設定!$C$11:$F$111,2,FALSE),"")</f>
        <v/>
      </c>
      <c r="H611" s="71" t="str">
        <f>IFERROR(VLOOKUP(F611,設定!$C$11:$F$111,3,FALSE),"")</f>
        <v/>
      </c>
      <c r="I611" s="71" t="str">
        <f>IFERROR(VLOOKUP(F611,設定!$C$11:$F$111,4,FALSE),"")</f>
        <v/>
      </c>
      <c r="J611" s="122"/>
    </row>
    <row r="612" spans="2:10" s="3" customFormat="1" ht="24" customHeight="1" x14ac:dyDescent="0.2">
      <c r="B612" s="68"/>
      <c r="C612" s="69"/>
      <c r="D612" s="86"/>
      <c r="E612" s="116" t="str">
        <f>IFERROR(VLOOKUP(D612,'リスト '!$A$2:$B$15,2,FALSE),"")</f>
        <v/>
      </c>
      <c r="F612" s="70"/>
      <c r="G612" s="71" t="str">
        <f>IFERROR(VLOOKUP(F612,設定!$C$11:$F$111,2,FALSE),"")</f>
        <v/>
      </c>
      <c r="H612" s="71" t="str">
        <f>IFERROR(VLOOKUP(F612,設定!$C$11:$F$111,3,FALSE),"")</f>
        <v/>
      </c>
      <c r="I612" s="71" t="str">
        <f>IFERROR(VLOOKUP(F612,設定!$C$11:$F$111,4,FALSE),"")</f>
        <v/>
      </c>
      <c r="J612" s="122"/>
    </row>
    <row r="613" spans="2:10" s="3" customFormat="1" ht="24" customHeight="1" x14ac:dyDescent="0.2">
      <c r="B613" s="68"/>
      <c r="C613" s="69"/>
      <c r="D613" s="86"/>
      <c r="E613" s="116" t="str">
        <f>IFERROR(VLOOKUP(D613,'リスト '!$A$2:$B$15,2,FALSE),"")</f>
        <v/>
      </c>
      <c r="F613" s="70"/>
      <c r="G613" s="71" t="str">
        <f>IFERROR(VLOOKUP(F613,設定!$C$11:$F$111,2,FALSE),"")</f>
        <v/>
      </c>
      <c r="H613" s="71" t="str">
        <f>IFERROR(VLOOKUP(F613,設定!$C$11:$F$111,3,FALSE),"")</f>
        <v/>
      </c>
      <c r="I613" s="71" t="str">
        <f>IFERROR(VLOOKUP(F613,設定!$C$11:$F$111,4,FALSE),"")</f>
        <v/>
      </c>
      <c r="J613" s="122"/>
    </row>
    <row r="614" spans="2:10" s="3" customFormat="1" ht="24" customHeight="1" x14ac:dyDescent="0.2">
      <c r="B614" s="68"/>
      <c r="C614" s="69"/>
      <c r="D614" s="86"/>
      <c r="E614" s="116" t="str">
        <f>IFERROR(VLOOKUP(D614,'リスト '!$A$2:$B$15,2,FALSE),"")</f>
        <v/>
      </c>
      <c r="F614" s="70"/>
      <c r="G614" s="71" t="str">
        <f>IFERROR(VLOOKUP(F614,設定!$C$11:$F$111,2,FALSE),"")</f>
        <v/>
      </c>
      <c r="H614" s="71" t="str">
        <f>IFERROR(VLOOKUP(F614,設定!$C$11:$F$111,3,FALSE),"")</f>
        <v/>
      </c>
      <c r="I614" s="71" t="str">
        <f>IFERROR(VLOOKUP(F614,設定!$C$11:$F$111,4,FALSE),"")</f>
        <v/>
      </c>
      <c r="J614" s="122"/>
    </row>
    <row r="615" spans="2:10" s="3" customFormat="1" ht="24" customHeight="1" x14ac:dyDescent="0.2">
      <c r="B615" s="68"/>
      <c r="C615" s="69"/>
      <c r="D615" s="86"/>
      <c r="E615" s="116" t="str">
        <f>IFERROR(VLOOKUP(D615,'リスト '!$A$2:$B$15,2,FALSE),"")</f>
        <v/>
      </c>
      <c r="F615" s="70"/>
      <c r="G615" s="71" t="str">
        <f>IFERROR(VLOOKUP(F615,設定!$C$11:$F$111,2,FALSE),"")</f>
        <v/>
      </c>
      <c r="H615" s="71" t="str">
        <f>IFERROR(VLOOKUP(F615,設定!$C$11:$F$111,3,FALSE),"")</f>
        <v/>
      </c>
      <c r="I615" s="71" t="str">
        <f>IFERROR(VLOOKUP(F615,設定!$C$11:$F$111,4,FALSE),"")</f>
        <v/>
      </c>
      <c r="J615" s="122"/>
    </row>
    <row r="616" spans="2:10" s="3" customFormat="1" ht="24" customHeight="1" x14ac:dyDescent="0.2">
      <c r="B616" s="68"/>
      <c r="C616" s="69"/>
      <c r="D616" s="86"/>
      <c r="E616" s="116" t="str">
        <f>IFERROR(VLOOKUP(D616,'リスト '!$A$2:$B$15,2,FALSE),"")</f>
        <v/>
      </c>
      <c r="F616" s="70"/>
      <c r="G616" s="71" t="str">
        <f>IFERROR(VLOOKUP(F616,設定!$C$11:$F$111,2,FALSE),"")</f>
        <v/>
      </c>
      <c r="H616" s="71" t="str">
        <f>IFERROR(VLOOKUP(F616,設定!$C$11:$F$111,3,FALSE),"")</f>
        <v/>
      </c>
      <c r="I616" s="71" t="str">
        <f>IFERROR(VLOOKUP(F616,設定!$C$11:$F$111,4,FALSE),"")</f>
        <v/>
      </c>
      <c r="J616" s="122"/>
    </row>
    <row r="617" spans="2:10" s="3" customFormat="1" ht="24" customHeight="1" x14ac:dyDescent="0.2">
      <c r="B617" s="68"/>
      <c r="C617" s="69"/>
      <c r="D617" s="86"/>
      <c r="E617" s="116" t="str">
        <f>IFERROR(VLOOKUP(D617,'リスト '!$A$2:$B$15,2,FALSE),"")</f>
        <v/>
      </c>
      <c r="F617" s="70"/>
      <c r="G617" s="71" t="str">
        <f>IFERROR(VLOOKUP(F617,設定!$C$11:$F$111,2,FALSE),"")</f>
        <v/>
      </c>
      <c r="H617" s="71" t="str">
        <f>IFERROR(VLOOKUP(F617,設定!$C$11:$F$111,3,FALSE),"")</f>
        <v/>
      </c>
      <c r="I617" s="71" t="str">
        <f>IFERROR(VLOOKUP(F617,設定!$C$11:$F$111,4,FALSE),"")</f>
        <v/>
      </c>
      <c r="J617" s="122"/>
    </row>
    <row r="618" spans="2:10" s="3" customFormat="1" ht="24" customHeight="1" x14ac:dyDescent="0.2">
      <c r="B618" s="68"/>
      <c r="C618" s="69"/>
      <c r="D618" s="86"/>
      <c r="E618" s="116" t="str">
        <f>IFERROR(VLOOKUP(D618,'リスト '!$A$2:$B$15,2,FALSE),"")</f>
        <v/>
      </c>
      <c r="F618" s="70"/>
      <c r="G618" s="71" t="str">
        <f>IFERROR(VLOOKUP(F618,設定!$C$11:$F$111,2,FALSE),"")</f>
        <v/>
      </c>
      <c r="H618" s="71" t="str">
        <f>IFERROR(VLOOKUP(F618,設定!$C$11:$F$111,3,FALSE),"")</f>
        <v/>
      </c>
      <c r="I618" s="71" t="str">
        <f>IFERROR(VLOOKUP(F618,設定!$C$11:$F$111,4,FALSE),"")</f>
        <v/>
      </c>
      <c r="J618" s="122"/>
    </row>
    <row r="619" spans="2:10" s="3" customFormat="1" ht="24" customHeight="1" x14ac:dyDescent="0.2">
      <c r="B619" s="68"/>
      <c r="C619" s="69"/>
      <c r="D619" s="86"/>
      <c r="E619" s="116" t="str">
        <f>IFERROR(VLOOKUP(D619,'リスト '!$A$2:$B$15,2,FALSE),"")</f>
        <v/>
      </c>
      <c r="F619" s="70"/>
      <c r="G619" s="71" t="str">
        <f>IFERROR(VLOOKUP(F619,設定!$C$11:$F$111,2,FALSE),"")</f>
        <v/>
      </c>
      <c r="H619" s="71" t="str">
        <f>IFERROR(VLOOKUP(F619,設定!$C$11:$F$111,3,FALSE),"")</f>
        <v/>
      </c>
      <c r="I619" s="71" t="str">
        <f>IFERROR(VLOOKUP(F619,設定!$C$11:$F$111,4,FALSE),"")</f>
        <v/>
      </c>
      <c r="J619" s="122"/>
    </row>
    <row r="620" spans="2:10" s="3" customFormat="1" ht="24" customHeight="1" x14ac:dyDescent="0.2">
      <c r="B620" s="68"/>
      <c r="C620" s="69"/>
      <c r="D620" s="86"/>
      <c r="E620" s="116" t="str">
        <f>IFERROR(VLOOKUP(D620,'リスト '!$A$2:$B$15,2,FALSE),"")</f>
        <v/>
      </c>
      <c r="F620" s="70"/>
      <c r="G620" s="71" t="str">
        <f>IFERROR(VLOOKUP(F620,設定!$C$11:$F$111,2,FALSE),"")</f>
        <v/>
      </c>
      <c r="H620" s="71" t="str">
        <f>IFERROR(VLOOKUP(F620,設定!$C$11:$F$111,3,FALSE),"")</f>
        <v/>
      </c>
      <c r="I620" s="71" t="str">
        <f>IFERROR(VLOOKUP(F620,設定!$C$11:$F$111,4,FALSE),"")</f>
        <v/>
      </c>
      <c r="J620" s="122"/>
    </row>
    <row r="621" spans="2:10" s="3" customFormat="1" ht="24" customHeight="1" x14ac:dyDescent="0.2">
      <c r="B621" s="68"/>
      <c r="C621" s="69"/>
      <c r="D621" s="86"/>
      <c r="E621" s="116" t="str">
        <f>IFERROR(VLOOKUP(D621,'リスト '!$A$2:$B$15,2,FALSE),"")</f>
        <v/>
      </c>
      <c r="F621" s="70"/>
      <c r="G621" s="71" t="str">
        <f>IFERROR(VLOOKUP(F621,設定!$C$11:$F$111,2,FALSE),"")</f>
        <v/>
      </c>
      <c r="H621" s="71" t="str">
        <f>IFERROR(VLOOKUP(F621,設定!$C$11:$F$111,3,FALSE),"")</f>
        <v/>
      </c>
      <c r="I621" s="71" t="str">
        <f>IFERROR(VLOOKUP(F621,設定!$C$11:$F$111,4,FALSE),"")</f>
        <v/>
      </c>
      <c r="J621" s="122"/>
    </row>
    <row r="622" spans="2:10" s="3" customFormat="1" ht="24" customHeight="1" x14ac:dyDescent="0.2">
      <c r="B622" s="68"/>
      <c r="C622" s="69"/>
      <c r="D622" s="86"/>
      <c r="E622" s="116" t="str">
        <f>IFERROR(VLOOKUP(D622,'リスト '!$A$2:$B$15,2,FALSE),"")</f>
        <v/>
      </c>
      <c r="F622" s="70"/>
      <c r="G622" s="71" t="str">
        <f>IFERROR(VLOOKUP(F622,設定!$C$11:$F$111,2,FALSE),"")</f>
        <v/>
      </c>
      <c r="H622" s="71" t="str">
        <f>IFERROR(VLOOKUP(F622,設定!$C$11:$F$111,3,FALSE),"")</f>
        <v/>
      </c>
      <c r="I622" s="71" t="str">
        <f>IFERROR(VLOOKUP(F622,設定!$C$11:$F$111,4,FALSE),"")</f>
        <v/>
      </c>
      <c r="J622" s="122"/>
    </row>
    <row r="623" spans="2:10" s="3" customFormat="1" ht="24" customHeight="1" x14ac:dyDescent="0.2">
      <c r="B623" s="68"/>
      <c r="C623" s="69"/>
      <c r="D623" s="86"/>
      <c r="E623" s="116" t="str">
        <f>IFERROR(VLOOKUP(D623,'リスト '!$A$2:$B$15,2,FALSE),"")</f>
        <v/>
      </c>
      <c r="F623" s="70"/>
      <c r="G623" s="71" t="str">
        <f>IFERROR(VLOOKUP(F623,設定!$C$11:$F$111,2,FALSE),"")</f>
        <v/>
      </c>
      <c r="H623" s="71" t="str">
        <f>IFERROR(VLOOKUP(F623,設定!$C$11:$F$111,3,FALSE),"")</f>
        <v/>
      </c>
      <c r="I623" s="71" t="str">
        <f>IFERROR(VLOOKUP(F623,設定!$C$11:$F$111,4,FALSE),"")</f>
        <v/>
      </c>
      <c r="J623" s="122"/>
    </row>
    <row r="624" spans="2:10" s="3" customFormat="1" ht="24" customHeight="1" x14ac:dyDescent="0.2">
      <c r="B624" s="68"/>
      <c r="C624" s="69"/>
      <c r="D624" s="86"/>
      <c r="E624" s="116" t="str">
        <f>IFERROR(VLOOKUP(D624,'リスト '!$A$2:$B$15,2,FALSE),"")</f>
        <v/>
      </c>
      <c r="F624" s="70"/>
      <c r="G624" s="71" t="str">
        <f>IFERROR(VLOOKUP(F624,設定!$C$11:$F$111,2,FALSE),"")</f>
        <v/>
      </c>
      <c r="H624" s="71" t="str">
        <f>IFERROR(VLOOKUP(F624,設定!$C$11:$F$111,3,FALSE),"")</f>
        <v/>
      </c>
      <c r="I624" s="71" t="str">
        <f>IFERROR(VLOOKUP(F624,設定!$C$11:$F$111,4,FALSE),"")</f>
        <v/>
      </c>
      <c r="J624" s="122"/>
    </row>
    <row r="625" spans="2:10" s="3" customFormat="1" ht="24" customHeight="1" x14ac:dyDescent="0.2">
      <c r="B625" s="68"/>
      <c r="C625" s="69"/>
      <c r="D625" s="86"/>
      <c r="E625" s="116" t="str">
        <f>IFERROR(VLOOKUP(D625,'リスト '!$A$2:$B$15,2,FALSE),"")</f>
        <v/>
      </c>
      <c r="F625" s="70"/>
      <c r="G625" s="71" t="str">
        <f>IFERROR(VLOOKUP(F625,設定!$C$11:$F$111,2,FALSE),"")</f>
        <v/>
      </c>
      <c r="H625" s="71" t="str">
        <f>IFERROR(VLOOKUP(F625,設定!$C$11:$F$111,3,FALSE),"")</f>
        <v/>
      </c>
      <c r="I625" s="71" t="str">
        <f>IFERROR(VLOOKUP(F625,設定!$C$11:$F$111,4,FALSE),"")</f>
        <v/>
      </c>
      <c r="J625" s="122"/>
    </row>
    <row r="626" spans="2:10" s="3" customFormat="1" ht="24" customHeight="1" x14ac:dyDescent="0.2">
      <c r="B626" s="68"/>
      <c r="C626" s="69"/>
      <c r="D626" s="86"/>
      <c r="E626" s="116" t="str">
        <f>IFERROR(VLOOKUP(D626,'リスト '!$A$2:$B$15,2,FALSE),"")</f>
        <v/>
      </c>
      <c r="F626" s="70"/>
      <c r="G626" s="71" t="str">
        <f>IFERROR(VLOOKUP(F626,設定!$C$11:$F$111,2,FALSE),"")</f>
        <v/>
      </c>
      <c r="H626" s="71" t="str">
        <f>IFERROR(VLOOKUP(F626,設定!$C$11:$F$111,3,FALSE),"")</f>
        <v/>
      </c>
      <c r="I626" s="71" t="str">
        <f>IFERROR(VLOOKUP(F626,設定!$C$11:$F$111,4,FALSE),"")</f>
        <v/>
      </c>
      <c r="J626" s="122"/>
    </row>
    <row r="627" spans="2:10" s="3" customFormat="1" ht="24" customHeight="1" x14ac:dyDescent="0.2">
      <c r="B627" s="68"/>
      <c r="C627" s="69"/>
      <c r="D627" s="86"/>
      <c r="E627" s="116" t="str">
        <f>IFERROR(VLOOKUP(D627,'リスト '!$A$2:$B$15,2,FALSE),"")</f>
        <v/>
      </c>
      <c r="F627" s="70"/>
      <c r="G627" s="71" t="str">
        <f>IFERROR(VLOOKUP(F627,設定!$C$11:$F$111,2,FALSE),"")</f>
        <v/>
      </c>
      <c r="H627" s="71" t="str">
        <f>IFERROR(VLOOKUP(F627,設定!$C$11:$F$111,3,FALSE),"")</f>
        <v/>
      </c>
      <c r="I627" s="71" t="str">
        <f>IFERROR(VLOOKUP(F627,設定!$C$11:$F$111,4,FALSE),"")</f>
        <v/>
      </c>
      <c r="J627" s="122"/>
    </row>
    <row r="628" spans="2:10" s="3" customFormat="1" ht="24" customHeight="1" x14ac:dyDescent="0.2">
      <c r="B628" s="68"/>
      <c r="C628" s="69"/>
      <c r="D628" s="86"/>
      <c r="E628" s="116" t="str">
        <f>IFERROR(VLOOKUP(D628,'リスト '!$A$2:$B$15,2,FALSE),"")</f>
        <v/>
      </c>
      <c r="F628" s="70"/>
      <c r="G628" s="71" t="str">
        <f>IFERROR(VLOOKUP(F628,設定!$C$11:$F$111,2,FALSE),"")</f>
        <v/>
      </c>
      <c r="H628" s="71" t="str">
        <f>IFERROR(VLOOKUP(F628,設定!$C$11:$F$111,3,FALSE),"")</f>
        <v/>
      </c>
      <c r="I628" s="71" t="str">
        <f>IFERROR(VLOOKUP(F628,設定!$C$11:$F$111,4,FALSE),"")</f>
        <v/>
      </c>
      <c r="J628" s="122"/>
    </row>
    <row r="629" spans="2:10" s="3" customFormat="1" ht="24" customHeight="1" x14ac:dyDescent="0.2">
      <c r="B629" s="68"/>
      <c r="C629" s="69"/>
      <c r="D629" s="86"/>
      <c r="E629" s="116" t="str">
        <f>IFERROR(VLOOKUP(D629,'リスト '!$A$2:$B$15,2,FALSE),"")</f>
        <v/>
      </c>
      <c r="F629" s="70"/>
      <c r="G629" s="71" t="str">
        <f>IFERROR(VLOOKUP(F629,設定!$C$11:$F$111,2,FALSE),"")</f>
        <v/>
      </c>
      <c r="H629" s="71" t="str">
        <f>IFERROR(VLOOKUP(F629,設定!$C$11:$F$111,3,FALSE),"")</f>
        <v/>
      </c>
      <c r="I629" s="71" t="str">
        <f>IFERROR(VLOOKUP(F629,設定!$C$11:$F$111,4,FALSE),"")</f>
        <v/>
      </c>
      <c r="J629" s="122"/>
    </row>
    <row r="630" spans="2:10" s="3" customFormat="1" ht="24" customHeight="1" x14ac:dyDescent="0.2">
      <c r="B630" s="68"/>
      <c r="C630" s="69"/>
      <c r="D630" s="86"/>
      <c r="E630" s="116" t="str">
        <f>IFERROR(VLOOKUP(D630,'リスト '!$A$2:$B$15,2,FALSE),"")</f>
        <v/>
      </c>
      <c r="F630" s="70"/>
      <c r="G630" s="71" t="str">
        <f>IFERROR(VLOOKUP(F630,設定!$C$11:$F$111,2,FALSE),"")</f>
        <v/>
      </c>
      <c r="H630" s="71" t="str">
        <f>IFERROR(VLOOKUP(F630,設定!$C$11:$F$111,3,FALSE),"")</f>
        <v/>
      </c>
      <c r="I630" s="71" t="str">
        <f>IFERROR(VLOOKUP(F630,設定!$C$11:$F$111,4,FALSE),"")</f>
        <v/>
      </c>
      <c r="J630" s="122"/>
    </row>
    <row r="631" spans="2:10" s="3" customFormat="1" ht="24" customHeight="1" x14ac:dyDescent="0.2">
      <c r="B631" s="68"/>
      <c r="C631" s="69"/>
      <c r="D631" s="86"/>
      <c r="E631" s="116" t="str">
        <f>IFERROR(VLOOKUP(D631,'リスト '!$A$2:$B$15,2,FALSE),"")</f>
        <v/>
      </c>
      <c r="F631" s="70"/>
      <c r="G631" s="71" t="str">
        <f>IFERROR(VLOOKUP(F631,設定!$C$11:$F$111,2,FALSE),"")</f>
        <v/>
      </c>
      <c r="H631" s="71" t="str">
        <f>IFERROR(VLOOKUP(F631,設定!$C$11:$F$111,3,FALSE),"")</f>
        <v/>
      </c>
      <c r="I631" s="71" t="str">
        <f>IFERROR(VLOOKUP(F631,設定!$C$11:$F$111,4,FALSE),"")</f>
        <v/>
      </c>
      <c r="J631" s="122"/>
    </row>
    <row r="632" spans="2:10" s="3" customFormat="1" ht="24" customHeight="1" x14ac:dyDescent="0.2">
      <c r="B632" s="68"/>
      <c r="C632" s="69"/>
      <c r="D632" s="86"/>
      <c r="E632" s="116" t="str">
        <f>IFERROR(VLOOKUP(D632,'リスト '!$A$2:$B$15,2,FALSE),"")</f>
        <v/>
      </c>
      <c r="F632" s="70"/>
      <c r="G632" s="71" t="str">
        <f>IFERROR(VLOOKUP(F632,設定!$C$11:$F$111,2,FALSE),"")</f>
        <v/>
      </c>
      <c r="H632" s="71" t="str">
        <f>IFERROR(VLOOKUP(F632,設定!$C$11:$F$111,3,FALSE),"")</f>
        <v/>
      </c>
      <c r="I632" s="71" t="str">
        <f>IFERROR(VLOOKUP(F632,設定!$C$11:$F$111,4,FALSE),"")</f>
        <v/>
      </c>
      <c r="J632" s="122"/>
    </row>
    <row r="633" spans="2:10" s="3" customFormat="1" ht="24" customHeight="1" x14ac:dyDescent="0.2">
      <c r="B633" s="68"/>
      <c r="C633" s="69"/>
      <c r="D633" s="86"/>
      <c r="E633" s="116" t="str">
        <f>IFERROR(VLOOKUP(D633,'リスト '!$A$2:$B$15,2,FALSE),"")</f>
        <v/>
      </c>
      <c r="F633" s="70"/>
      <c r="G633" s="71" t="str">
        <f>IFERROR(VLOOKUP(F633,設定!$C$11:$F$111,2,FALSE),"")</f>
        <v/>
      </c>
      <c r="H633" s="71" t="str">
        <f>IFERROR(VLOOKUP(F633,設定!$C$11:$F$111,3,FALSE),"")</f>
        <v/>
      </c>
      <c r="I633" s="71" t="str">
        <f>IFERROR(VLOOKUP(F633,設定!$C$11:$F$111,4,FALSE),"")</f>
        <v/>
      </c>
      <c r="J633" s="122"/>
    </row>
    <row r="634" spans="2:10" s="3" customFormat="1" ht="24" customHeight="1" x14ac:dyDescent="0.2">
      <c r="B634" s="68"/>
      <c r="C634" s="69"/>
      <c r="D634" s="86"/>
      <c r="E634" s="116" t="str">
        <f>IFERROR(VLOOKUP(D634,'リスト '!$A$2:$B$15,2,FALSE),"")</f>
        <v/>
      </c>
      <c r="F634" s="70"/>
      <c r="G634" s="71" t="str">
        <f>IFERROR(VLOOKUP(F634,設定!$C$11:$F$111,2,FALSE),"")</f>
        <v/>
      </c>
      <c r="H634" s="71" t="str">
        <f>IFERROR(VLOOKUP(F634,設定!$C$11:$F$111,3,FALSE),"")</f>
        <v/>
      </c>
      <c r="I634" s="71" t="str">
        <f>IFERROR(VLOOKUP(F634,設定!$C$11:$F$111,4,FALSE),"")</f>
        <v/>
      </c>
      <c r="J634" s="122"/>
    </row>
    <row r="635" spans="2:10" s="3" customFormat="1" ht="24" customHeight="1" x14ac:dyDescent="0.2">
      <c r="B635" s="68"/>
      <c r="C635" s="69"/>
      <c r="D635" s="86"/>
      <c r="E635" s="116" t="str">
        <f>IFERROR(VLOOKUP(D635,'リスト '!$A$2:$B$15,2,FALSE),"")</f>
        <v/>
      </c>
      <c r="F635" s="70"/>
      <c r="G635" s="71" t="str">
        <f>IFERROR(VLOOKUP(F635,設定!$C$11:$F$111,2,FALSE),"")</f>
        <v/>
      </c>
      <c r="H635" s="71" t="str">
        <f>IFERROR(VLOOKUP(F635,設定!$C$11:$F$111,3,FALSE),"")</f>
        <v/>
      </c>
      <c r="I635" s="71" t="str">
        <f>IFERROR(VLOOKUP(F635,設定!$C$11:$F$111,4,FALSE),"")</f>
        <v/>
      </c>
      <c r="J635" s="122"/>
    </row>
    <row r="636" spans="2:10" s="3" customFormat="1" ht="24" customHeight="1" x14ac:dyDescent="0.2">
      <c r="B636" s="68"/>
      <c r="C636" s="69"/>
      <c r="D636" s="86"/>
      <c r="E636" s="116" t="str">
        <f>IFERROR(VLOOKUP(D636,'リスト '!$A$2:$B$15,2,FALSE),"")</f>
        <v/>
      </c>
      <c r="F636" s="70"/>
      <c r="G636" s="71" t="str">
        <f>IFERROR(VLOOKUP(F636,設定!$C$11:$F$111,2,FALSE),"")</f>
        <v/>
      </c>
      <c r="H636" s="71" t="str">
        <f>IFERROR(VLOOKUP(F636,設定!$C$11:$F$111,3,FALSE),"")</f>
        <v/>
      </c>
      <c r="I636" s="71" t="str">
        <f>IFERROR(VLOOKUP(F636,設定!$C$11:$F$111,4,FALSE),"")</f>
        <v/>
      </c>
      <c r="J636" s="122"/>
    </row>
    <row r="637" spans="2:10" s="3" customFormat="1" ht="24" customHeight="1" x14ac:dyDescent="0.2">
      <c r="B637" s="68"/>
      <c r="C637" s="69"/>
      <c r="D637" s="86"/>
      <c r="E637" s="116" t="str">
        <f>IFERROR(VLOOKUP(D637,'リスト '!$A$2:$B$15,2,FALSE),"")</f>
        <v/>
      </c>
      <c r="F637" s="70"/>
      <c r="G637" s="71" t="str">
        <f>IFERROR(VLOOKUP(F637,設定!$C$11:$F$111,2,FALSE),"")</f>
        <v/>
      </c>
      <c r="H637" s="71" t="str">
        <f>IFERROR(VLOOKUP(F637,設定!$C$11:$F$111,3,FALSE),"")</f>
        <v/>
      </c>
      <c r="I637" s="71" t="str">
        <f>IFERROR(VLOOKUP(F637,設定!$C$11:$F$111,4,FALSE),"")</f>
        <v/>
      </c>
      <c r="J637" s="122"/>
    </row>
    <row r="638" spans="2:10" s="3" customFormat="1" ht="24" customHeight="1" x14ac:dyDescent="0.2">
      <c r="B638" s="68"/>
      <c r="C638" s="69"/>
      <c r="D638" s="86"/>
      <c r="E638" s="116" t="str">
        <f>IFERROR(VLOOKUP(D638,'リスト '!$A$2:$B$15,2,FALSE),"")</f>
        <v/>
      </c>
      <c r="F638" s="70"/>
      <c r="G638" s="71" t="str">
        <f>IFERROR(VLOOKUP(F638,設定!$C$11:$F$111,2,FALSE),"")</f>
        <v/>
      </c>
      <c r="H638" s="71" t="str">
        <f>IFERROR(VLOOKUP(F638,設定!$C$11:$F$111,3,FALSE),"")</f>
        <v/>
      </c>
      <c r="I638" s="71" t="str">
        <f>IFERROR(VLOOKUP(F638,設定!$C$11:$F$111,4,FALSE),"")</f>
        <v/>
      </c>
      <c r="J638" s="122"/>
    </row>
    <row r="639" spans="2:10" s="3" customFormat="1" ht="24" customHeight="1" x14ac:dyDescent="0.2">
      <c r="B639" s="68"/>
      <c r="C639" s="69"/>
      <c r="D639" s="86"/>
      <c r="E639" s="116" t="str">
        <f>IFERROR(VLOOKUP(D639,'リスト '!$A$2:$B$15,2,FALSE),"")</f>
        <v/>
      </c>
      <c r="F639" s="70"/>
      <c r="G639" s="71" t="str">
        <f>IFERROR(VLOOKUP(F639,設定!$C$11:$F$111,2,FALSE),"")</f>
        <v/>
      </c>
      <c r="H639" s="71" t="str">
        <f>IFERROR(VLOOKUP(F639,設定!$C$11:$F$111,3,FALSE),"")</f>
        <v/>
      </c>
      <c r="I639" s="71" t="str">
        <f>IFERROR(VLOOKUP(F639,設定!$C$11:$F$111,4,FALSE),"")</f>
        <v/>
      </c>
      <c r="J639" s="122"/>
    </row>
    <row r="640" spans="2:10" s="3" customFormat="1" ht="24" customHeight="1" x14ac:dyDescent="0.2">
      <c r="B640" s="68"/>
      <c r="C640" s="69"/>
      <c r="D640" s="86"/>
      <c r="E640" s="116" t="str">
        <f>IFERROR(VLOOKUP(D640,'リスト '!$A$2:$B$15,2,FALSE),"")</f>
        <v/>
      </c>
      <c r="F640" s="70"/>
      <c r="G640" s="71" t="str">
        <f>IFERROR(VLOOKUP(F640,設定!$C$11:$F$111,2,FALSE),"")</f>
        <v/>
      </c>
      <c r="H640" s="71" t="str">
        <f>IFERROR(VLOOKUP(F640,設定!$C$11:$F$111,3,FALSE),"")</f>
        <v/>
      </c>
      <c r="I640" s="71" t="str">
        <f>IFERROR(VLOOKUP(F640,設定!$C$11:$F$111,4,FALSE),"")</f>
        <v/>
      </c>
      <c r="J640" s="122"/>
    </row>
    <row r="641" spans="2:10" s="3" customFormat="1" ht="24" customHeight="1" x14ac:dyDescent="0.2">
      <c r="B641" s="68"/>
      <c r="C641" s="69"/>
      <c r="D641" s="86"/>
      <c r="E641" s="116" t="str">
        <f>IFERROR(VLOOKUP(D641,'リスト '!$A$2:$B$15,2,FALSE),"")</f>
        <v/>
      </c>
      <c r="F641" s="70"/>
      <c r="G641" s="71" t="str">
        <f>IFERROR(VLOOKUP(F641,設定!$C$11:$F$111,2,FALSE),"")</f>
        <v/>
      </c>
      <c r="H641" s="71" t="str">
        <f>IFERROR(VLOOKUP(F641,設定!$C$11:$F$111,3,FALSE),"")</f>
        <v/>
      </c>
      <c r="I641" s="71" t="str">
        <f>IFERROR(VLOOKUP(F641,設定!$C$11:$F$111,4,FALSE),"")</f>
        <v/>
      </c>
      <c r="J641" s="122"/>
    </row>
    <row r="642" spans="2:10" s="3" customFormat="1" ht="24" customHeight="1" x14ac:dyDescent="0.2">
      <c r="B642" s="68"/>
      <c r="C642" s="69"/>
      <c r="D642" s="86"/>
      <c r="E642" s="116" t="str">
        <f>IFERROR(VLOOKUP(D642,'リスト '!$A$2:$B$15,2,FALSE),"")</f>
        <v/>
      </c>
      <c r="F642" s="70"/>
      <c r="G642" s="71" t="str">
        <f>IFERROR(VLOOKUP(F642,設定!$C$11:$F$111,2,FALSE),"")</f>
        <v/>
      </c>
      <c r="H642" s="71" t="str">
        <f>IFERROR(VLOOKUP(F642,設定!$C$11:$F$111,3,FALSE),"")</f>
        <v/>
      </c>
      <c r="I642" s="71" t="str">
        <f>IFERROR(VLOOKUP(F642,設定!$C$11:$F$111,4,FALSE),"")</f>
        <v/>
      </c>
      <c r="J642" s="122"/>
    </row>
    <row r="643" spans="2:10" s="3" customFormat="1" ht="24" customHeight="1" x14ac:dyDescent="0.2">
      <c r="B643" s="68"/>
      <c r="C643" s="69"/>
      <c r="D643" s="86"/>
      <c r="E643" s="116" t="str">
        <f>IFERROR(VLOOKUP(D643,'リスト '!$A$2:$B$15,2,FALSE),"")</f>
        <v/>
      </c>
      <c r="F643" s="70"/>
      <c r="G643" s="71" t="str">
        <f>IFERROR(VLOOKUP(F643,設定!$C$11:$F$111,2,FALSE),"")</f>
        <v/>
      </c>
      <c r="H643" s="71" t="str">
        <f>IFERROR(VLOOKUP(F643,設定!$C$11:$F$111,3,FALSE),"")</f>
        <v/>
      </c>
      <c r="I643" s="71" t="str">
        <f>IFERROR(VLOOKUP(F643,設定!$C$11:$F$111,4,FALSE),"")</f>
        <v/>
      </c>
      <c r="J643" s="122"/>
    </row>
    <row r="644" spans="2:10" s="3" customFormat="1" ht="24" customHeight="1" x14ac:dyDescent="0.2">
      <c r="B644" s="68"/>
      <c r="C644" s="69"/>
      <c r="D644" s="86"/>
      <c r="E644" s="116" t="str">
        <f>IFERROR(VLOOKUP(D644,'リスト '!$A$2:$B$15,2,FALSE),"")</f>
        <v/>
      </c>
      <c r="F644" s="70"/>
      <c r="G644" s="71" t="str">
        <f>IFERROR(VLOOKUP(F644,設定!$C$11:$F$111,2,FALSE),"")</f>
        <v/>
      </c>
      <c r="H644" s="71" t="str">
        <f>IFERROR(VLOOKUP(F644,設定!$C$11:$F$111,3,FALSE),"")</f>
        <v/>
      </c>
      <c r="I644" s="71" t="str">
        <f>IFERROR(VLOOKUP(F644,設定!$C$11:$F$111,4,FALSE),"")</f>
        <v/>
      </c>
      <c r="J644" s="122"/>
    </row>
    <row r="645" spans="2:10" s="3" customFormat="1" ht="24" customHeight="1" x14ac:dyDescent="0.2">
      <c r="B645" s="68"/>
      <c r="C645" s="69"/>
      <c r="D645" s="86"/>
      <c r="E645" s="116" t="str">
        <f>IFERROR(VLOOKUP(D645,'リスト '!$A$2:$B$15,2,FALSE),"")</f>
        <v/>
      </c>
      <c r="F645" s="70"/>
      <c r="G645" s="71" t="str">
        <f>IFERROR(VLOOKUP(F645,設定!$C$11:$F$111,2,FALSE),"")</f>
        <v/>
      </c>
      <c r="H645" s="71" t="str">
        <f>IFERROR(VLOOKUP(F645,設定!$C$11:$F$111,3,FALSE),"")</f>
        <v/>
      </c>
      <c r="I645" s="71" t="str">
        <f>IFERROR(VLOOKUP(F645,設定!$C$11:$F$111,4,FALSE),"")</f>
        <v/>
      </c>
      <c r="J645" s="122"/>
    </row>
    <row r="646" spans="2:10" s="3" customFormat="1" ht="24" customHeight="1" x14ac:dyDescent="0.2">
      <c r="B646" s="68"/>
      <c r="C646" s="69"/>
      <c r="D646" s="86"/>
      <c r="E646" s="116" t="str">
        <f>IFERROR(VLOOKUP(D646,'リスト '!$A$2:$B$15,2,FALSE),"")</f>
        <v/>
      </c>
      <c r="F646" s="70"/>
      <c r="G646" s="71" t="str">
        <f>IFERROR(VLOOKUP(F646,設定!$C$11:$F$111,2,FALSE),"")</f>
        <v/>
      </c>
      <c r="H646" s="71" t="str">
        <f>IFERROR(VLOOKUP(F646,設定!$C$11:$F$111,3,FALSE),"")</f>
        <v/>
      </c>
      <c r="I646" s="71" t="str">
        <f>IFERROR(VLOOKUP(F646,設定!$C$11:$F$111,4,FALSE),"")</f>
        <v/>
      </c>
      <c r="J646" s="122"/>
    </row>
    <row r="647" spans="2:10" s="3" customFormat="1" ht="24" customHeight="1" x14ac:dyDescent="0.2">
      <c r="B647" s="68"/>
      <c r="C647" s="69"/>
      <c r="D647" s="86"/>
      <c r="E647" s="116" t="str">
        <f>IFERROR(VLOOKUP(D647,'リスト '!$A$2:$B$15,2,FALSE),"")</f>
        <v/>
      </c>
      <c r="F647" s="70"/>
      <c r="G647" s="71" t="str">
        <f>IFERROR(VLOOKUP(F647,設定!$C$11:$F$111,2,FALSE),"")</f>
        <v/>
      </c>
      <c r="H647" s="71" t="str">
        <f>IFERROR(VLOOKUP(F647,設定!$C$11:$F$111,3,FALSE),"")</f>
        <v/>
      </c>
      <c r="I647" s="71" t="str">
        <f>IFERROR(VLOOKUP(F647,設定!$C$11:$F$111,4,FALSE),"")</f>
        <v/>
      </c>
      <c r="J647" s="122"/>
    </row>
    <row r="648" spans="2:10" s="3" customFormat="1" ht="24" customHeight="1" x14ac:dyDescent="0.2">
      <c r="B648" s="68"/>
      <c r="C648" s="69"/>
      <c r="D648" s="86"/>
      <c r="E648" s="116" t="str">
        <f>IFERROR(VLOOKUP(D648,'リスト '!$A$2:$B$15,2,FALSE),"")</f>
        <v/>
      </c>
      <c r="F648" s="70"/>
      <c r="G648" s="71" t="str">
        <f>IFERROR(VLOOKUP(F648,設定!$C$11:$F$111,2,FALSE),"")</f>
        <v/>
      </c>
      <c r="H648" s="71" t="str">
        <f>IFERROR(VLOOKUP(F648,設定!$C$11:$F$111,3,FALSE),"")</f>
        <v/>
      </c>
      <c r="I648" s="71" t="str">
        <f>IFERROR(VLOOKUP(F648,設定!$C$11:$F$111,4,FALSE),"")</f>
        <v/>
      </c>
      <c r="J648" s="122"/>
    </row>
    <row r="649" spans="2:10" s="3" customFormat="1" ht="24" customHeight="1" x14ac:dyDescent="0.2">
      <c r="B649" s="68"/>
      <c r="C649" s="69"/>
      <c r="D649" s="86"/>
      <c r="E649" s="116" t="str">
        <f>IFERROR(VLOOKUP(D649,'リスト '!$A$2:$B$15,2,FALSE),"")</f>
        <v/>
      </c>
      <c r="F649" s="70"/>
      <c r="G649" s="71" t="str">
        <f>IFERROR(VLOOKUP(F649,設定!$C$11:$F$111,2,FALSE),"")</f>
        <v/>
      </c>
      <c r="H649" s="71" t="str">
        <f>IFERROR(VLOOKUP(F649,設定!$C$11:$F$111,3,FALSE),"")</f>
        <v/>
      </c>
      <c r="I649" s="71" t="str">
        <f>IFERROR(VLOOKUP(F649,設定!$C$11:$F$111,4,FALSE),"")</f>
        <v/>
      </c>
      <c r="J649" s="122"/>
    </row>
    <row r="650" spans="2:10" s="3" customFormat="1" ht="24" customHeight="1" x14ac:dyDescent="0.2">
      <c r="B650" s="68"/>
      <c r="C650" s="69"/>
      <c r="D650" s="86"/>
      <c r="E650" s="116" t="str">
        <f>IFERROR(VLOOKUP(D650,'リスト '!$A$2:$B$15,2,FALSE),"")</f>
        <v/>
      </c>
      <c r="F650" s="70"/>
      <c r="G650" s="71" t="str">
        <f>IFERROR(VLOOKUP(F650,設定!$C$11:$F$111,2,FALSE),"")</f>
        <v/>
      </c>
      <c r="H650" s="71" t="str">
        <f>IFERROR(VLOOKUP(F650,設定!$C$11:$F$111,3,FALSE),"")</f>
        <v/>
      </c>
      <c r="I650" s="71" t="str">
        <f>IFERROR(VLOOKUP(F650,設定!$C$11:$F$111,4,FALSE),"")</f>
        <v/>
      </c>
      <c r="J650" s="122"/>
    </row>
    <row r="651" spans="2:10" s="3" customFormat="1" ht="24" customHeight="1" x14ac:dyDescent="0.2">
      <c r="B651" s="68"/>
      <c r="C651" s="69"/>
      <c r="D651" s="86"/>
      <c r="E651" s="116" t="str">
        <f>IFERROR(VLOOKUP(D651,'リスト '!$A$2:$B$15,2,FALSE),"")</f>
        <v/>
      </c>
      <c r="F651" s="70"/>
      <c r="G651" s="71" t="str">
        <f>IFERROR(VLOOKUP(F651,設定!$C$11:$F$111,2,FALSE),"")</f>
        <v/>
      </c>
      <c r="H651" s="71" t="str">
        <f>IFERROR(VLOOKUP(F651,設定!$C$11:$F$111,3,FALSE),"")</f>
        <v/>
      </c>
      <c r="I651" s="71" t="str">
        <f>IFERROR(VLOOKUP(F651,設定!$C$11:$F$111,4,FALSE),"")</f>
        <v/>
      </c>
      <c r="J651" s="122"/>
    </row>
    <row r="652" spans="2:10" s="3" customFormat="1" ht="24" customHeight="1" x14ac:dyDescent="0.2">
      <c r="B652" s="68"/>
      <c r="C652" s="69"/>
      <c r="D652" s="86"/>
      <c r="E652" s="116" t="str">
        <f>IFERROR(VLOOKUP(D652,'リスト '!$A$2:$B$15,2,FALSE),"")</f>
        <v/>
      </c>
      <c r="F652" s="70"/>
      <c r="G652" s="71" t="str">
        <f>IFERROR(VLOOKUP(F652,設定!$C$11:$F$111,2,FALSE),"")</f>
        <v/>
      </c>
      <c r="H652" s="71" t="str">
        <f>IFERROR(VLOOKUP(F652,設定!$C$11:$F$111,3,FALSE),"")</f>
        <v/>
      </c>
      <c r="I652" s="71" t="str">
        <f>IFERROR(VLOOKUP(F652,設定!$C$11:$F$111,4,FALSE),"")</f>
        <v/>
      </c>
      <c r="J652" s="122"/>
    </row>
    <row r="653" spans="2:10" s="3" customFormat="1" ht="24" customHeight="1" x14ac:dyDescent="0.2">
      <c r="B653" s="68"/>
      <c r="C653" s="69"/>
      <c r="D653" s="86"/>
      <c r="E653" s="116" t="str">
        <f>IFERROR(VLOOKUP(D653,'リスト '!$A$2:$B$15,2,FALSE),"")</f>
        <v/>
      </c>
      <c r="F653" s="70"/>
      <c r="G653" s="71" t="str">
        <f>IFERROR(VLOOKUP(F653,設定!$C$11:$F$111,2,FALSE),"")</f>
        <v/>
      </c>
      <c r="H653" s="71" t="str">
        <f>IFERROR(VLOOKUP(F653,設定!$C$11:$F$111,3,FALSE),"")</f>
        <v/>
      </c>
      <c r="I653" s="71" t="str">
        <f>IFERROR(VLOOKUP(F653,設定!$C$11:$F$111,4,FALSE),"")</f>
        <v/>
      </c>
      <c r="J653" s="122"/>
    </row>
    <row r="654" spans="2:10" s="3" customFormat="1" ht="24" customHeight="1" x14ac:dyDescent="0.2">
      <c r="B654" s="68"/>
      <c r="C654" s="69"/>
      <c r="D654" s="86"/>
      <c r="E654" s="116" t="str">
        <f>IFERROR(VLOOKUP(D654,'リスト '!$A$2:$B$15,2,FALSE),"")</f>
        <v/>
      </c>
      <c r="F654" s="70"/>
      <c r="G654" s="71" t="str">
        <f>IFERROR(VLOOKUP(F654,設定!$C$11:$F$111,2,FALSE),"")</f>
        <v/>
      </c>
      <c r="H654" s="71" t="str">
        <f>IFERROR(VLOOKUP(F654,設定!$C$11:$F$111,3,FALSE),"")</f>
        <v/>
      </c>
      <c r="I654" s="71" t="str">
        <f>IFERROR(VLOOKUP(F654,設定!$C$11:$F$111,4,FALSE),"")</f>
        <v/>
      </c>
      <c r="J654" s="122"/>
    </row>
    <row r="655" spans="2:10" s="3" customFormat="1" ht="24" customHeight="1" x14ac:dyDescent="0.2">
      <c r="B655" s="68"/>
      <c r="C655" s="69"/>
      <c r="D655" s="86"/>
      <c r="E655" s="116" t="str">
        <f>IFERROR(VLOOKUP(D655,'リスト '!$A$2:$B$15,2,FALSE),"")</f>
        <v/>
      </c>
      <c r="F655" s="70"/>
      <c r="G655" s="71" t="str">
        <f>IFERROR(VLOOKUP(F655,設定!$C$11:$F$111,2,FALSE),"")</f>
        <v/>
      </c>
      <c r="H655" s="71" t="str">
        <f>IFERROR(VLOOKUP(F655,設定!$C$11:$F$111,3,FALSE),"")</f>
        <v/>
      </c>
      <c r="I655" s="71" t="str">
        <f>IFERROR(VLOOKUP(F655,設定!$C$11:$F$111,4,FALSE),"")</f>
        <v/>
      </c>
      <c r="J655" s="122"/>
    </row>
    <row r="656" spans="2:10" s="3" customFormat="1" ht="24" customHeight="1" x14ac:dyDescent="0.2">
      <c r="B656" s="68"/>
      <c r="C656" s="69"/>
      <c r="D656" s="86"/>
      <c r="E656" s="116" t="str">
        <f>IFERROR(VLOOKUP(D656,'リスト '!$A$2:$B$15,2,FALSE),"")</f>
        <v/>
      </c>
      <c r="F656" s="70"/>
      <c r="G656" s="71" t="str">
        <f>IFERROR(VLOOKUP(F656,設定!$C$11:$F$111,2,FALSE),"")</f>
        <v/>
      </c>
      <c r="H656" s="71" t="str">
        <f>IFERROR(VLOOKUP(F656,設定!$C$11:$F$111,3,FALSE),"")</f>
        <v/>
      </c>
      <c r="I656" s="71" t="str">
        <f>IFERROR(VLOOKUP(F656,設定!$C$11:$F$111,4,FALSE),"")</f>
        <v/>
      </c>
      <c r="J656" s="122"/>
    </row>
    <row r="657" spans="2:10" s="3" customFormat="1" ht="24" customHeight="1" x14ac:dyDescent="0.2">
      <c r="B657" s="68"/>
      <c r="C657" s="69"/>
      <c r="D657" s="86"/>
      <c r="E657" s="116" t="str">
        <f>IFERROR(VLOOKUP(D657,'リスト '!$A$2:$B$15,2,FALSE),"")</f>
        <v/>
      </c>
      <c r="F657" s="70"/>
      <c r="G657" s="71" t="str">
        <f>IFERROR(VLOOKUP(F657,設定!$C$11:$F$111,2,FALSE),"")</f>
        <v/>
      </c>
      <c r="H657" s="71" t="str">
        <f>IFERROR(VLOOKUP(F657,設定!$C$11:$F$111,3,FALSE),"")</f>
        <v/>
      </c>
      <c r="I657" s="71" t="str">
        <f>IFERROR(VLOOKUP(F657,設定!$C$11:$F$111,4,FALSE),"")</f>
        <v/>
      </c>
      <c r="J657" s="122"/>
    </row>
    <row r="658" spans="2:10" s="3" customFormat="1" ht="24" customHeight="1" x14ac:dyDescent="0.2">
      <c r="B658" s="68"/>
      <c r="C658" s="69"/>
      <c r="D658" s="86"/>
      <c r="E658" s="116" t="str">
        <f>IFERROR(VLOOKUP(D658,'リスト '!$A$2:$B$15,2,FALSE),"")</f>
        <v/>
      </c>
      <c r="F658" s="70"/>
      <c r="G658" s="71" t="str">
        <f>IFERROR(VLOOKUP(F658,設定!$C$11:$F$111,2,FALSE),"")</f>
        <v/>
      </c>
      <c r="H658" s="71" t="str">
        <f>IFERROR(VLOOKUP(F658,設定!$C$11:$F$111,3,FALSE),"")</f>
        <v/>
      </c>
      <c r="I658" s="71" t="str">
        <f>IFERROR(VLOOKUP(F658,設定!$C$11:$F$111,4,FALSE),"")</f>
        <v/>
      </c>
      <c r="J658" s="122"/>
    </row>
    <row r="659" spans="2:10" s="3" customFormat="1" ht="24" customHeight="1" x14ac:dyDescent="0.2">
      <c r="B659" s="68"/>
      <c r="C659" s="69"/>
      <c r="D659" s="86"/>
      <c r="E659" s="116" t="str">
        <f>IFERROR(VLOOKUP(D659,'リスト '!$A$2:$B$15,2,FALSE),"")</f>
        <v/>
      </c>
      <c r="F659" s="70"/>
      <c r="G659" s="71" t="str">
        <f>IFERROR(VLOOKUP(F659,設定!$C$11:$F$111,2,FALSE),"")</f>
        <v/>
      </c>
      <c r="H659" s="71" t="str">
        <f>IFERROR(VLOOKUP(F659,設定!$C$11:$F$111,3,FALSE),"")</f>
        <v/>
      </c>
      <c r="I659" s="71" t="str">
        <f>IFERROR(VLOOKUP(F659,設定!$C$11:$F$111,4,FALSE),"")</f>
        <v/>
      </c>
      <c r="J659" s="122"/>
    </row>
    <row r="660" spans="2:10" s="3" customFormat="1" ht="24" customHeight="1" x14ac:dyDescent="0.2">
      <c r="B660" s="68"/>
      <c r="C660" s="69"/>
      <c r="D660" s="86"/>
      <c r="E660" s="116" t="str">
        <f>IFERROR(VLOOKUP(D660,'リスト '!$A$2:$B$15,2,FALSE),"")</f>
        <v/>
      </c>
      <c r="F660" s="70"/>
      <c r="G660" s="71" t="str">
        <f>IFERROR(VLOOKUP(F660,設定!$C$11:$F$111,2,FALSE),"")</f>
        <v/>
      </c>
      <c r="H660" s="71" t="str">
        <f>IFERROR(VLOOKUP(F660,設定!$C$11:$F$111,3,FALSE),"")</f>
        <v/>
      </c>
      <c r="I660" s="71" t="str">
        <f>IFERROR(VLOOKUP(F660,設定!$C$11:$F$111,4,FALSE),"")</f>
        <v/>
      </c>
      <c r="J660" s="122"/>
    </row>
    <row r="661" spans="2:10" s="3" customFormat="1" ht="24" customHeight="1" x14ac:dyDescent="0.2">
      <c r="B661" s="68"/>
      <c r="C661" s="69"/>
      <c r="D661" s="86"/>
      <c r="E661" s="116" t="str">
        <f>IFERROR(VLOOKUP(D661,'リスト '!$A$2:$B$15,2,FALSE),"")</f>
        <v/>
      </c>
      <c r="F661" s="70"/>
      <c r="G661" s="71" t="str">
        <f>IFERROR(VLOOKUP(F661,設定!$C$11:$F$111,2,FALSE),"")</f>
        <v/>
      </c>
      <c r="H661" s="71" t="str">
        <f>IFERROR(VLOOKUP(F661,設定!$C$11:$F$111,3,FALSE),"")</f>
        <v/>
      </c>
      <c r="I661" s="71" t="str">
        <f>IFERROR(VLOOKUP(F661,設定!$C$11:$F$111,4,FALSE),"")</f>
        <v/>
      </c>
      <c r="J661" s="122"/>
    </row>
    <row r="662" spans="2:10" s="3" customFormat="1" ht="24" customHeight="1" x14ac:dyDescent="0.2">
      <c r="B662" s="68"/>
      <c r="C662" s="69"/>
      <c r="D662" s="86"/>
      <c r="E662" s="116" t="str">
        <f>IFERROR(VLOOKUP(D662,'リスト '!$A$2:$B$15,2,FALSE),"")</f>
        <v/>
      </c>
      <c r="F662" s="70"/>
      <c r="G662" s="71" t="str">
        <f>IFERROR(VLOOKUP(F662,設定!$C$11:$F$111,2,FALSE),"")</f>
        <v/>
      </c>
      <c r="H662" s="71" t="str">
        <f>IFERROR(VLOOKUP(F662,設定!$C$11:$F$111,3,FALSE),"")</f>
        <v/>
      </c>
      <c r="I662" s="71" t="str">
        <f>IFERROR(VLOOKUP(F662,設定!$C$11:$F$111,4,FALSE),"")</f>
        <v/>
      </c>
      <c r="J662" s="122"/>
    </row>
    <row r="663" spans="2:10" s="3" customFormat="1" ht="24" customHeight="1" x14ac:dyDescent="0.2">
      <c r="B663" s="68"/>
      <c r="C663" s="69"/>
      <c r="D663" s="86"/>
      <c r="E663" s="116" t="str">
        <f>IFERROR(VLOOKUP(D663,'リスト '!$A$2:$B$15,2,FALSE),"")</f>
        <v/>
      </c>
      <c r="F663" s="70"/>
      <c r="G663" s="71" t="str">
        <f>IFERROR(VLOOKUP(F663,設定!$C$11:$F$111,2,FALSE),"")</f>
        <v/>
      </c>
      <c r="H663" s="71" t="str">
        <f>IFERROR(VLOOKUP(F663,設定!$C$11:$F$111,3,FALSE),"")</f>
        <v/>
      </c>
      <c r="I663" s="71" t="str">
        <f>IFERROR(VLOOKUP(F663,設定!$C$11:$F$111,4,FALSE),"")</f>
        <v/>
      </c>
      <c r="J663" s="122"/>
    </row>
    <row r="664" spans="2:10" s="3" customFormat="1" ht="24" customHeight="1" x14ac:dyDescent="0.2">
      <c r="B664" s="68"/>
      <c r="C664" s="69"/>
      <c r="D664" s="86"/>
      <c r="E664" s="116" t="str">
        <f>IFERROR(VLOOKUP(D664,'リスト '!$A$2:$B$15,2,FALSE),"")</f>
        <v/>
      </c>
      <c r="F664" s="70"/>
      <c r="G664" s="71" t="str">
        <f>IFERROR(VLOOKUP(F664,設定!$C$11:$F$111,2,FALSE),"")</f>
        <v/>
      </c>
      <c r="H664" s="71" t="str">
        <f>IFERROR(VLOOKUP(F664,設定!$C$11:$F$111,3,FALSE),"")</f>
        <v/>
      </c>
      <c r="I664" s="71" t="str">
        <f>IFERROR(VLOOKUP(F664,設定!$C$11:$F$111,4,FALSE),"")</f>
        <v/>
      </c>
      <c r="J664" s="122"/>
    </row>
    <row r="665" spans="2:10" s="3" customFormat="1" ht="24" customHeight="1" x14ac:dyDescent="0.2">
      <c r="B665" s="68"/>
      <c r="C665" s="69"/>
      <c r="D665" s="86"/>
      <c r="E665" s="116" t="str">
        <f>IFERROR(VLOOKUP(D665,'リスト '!$A$2:$B$15,2,FALSE),"")</f>
        <v/>
      </c>
      <c r="F665" s="70"/>
      <c r="G665" s="71" t="str">
        <f>IFERROR(VLOOKUP(F665,設定!$C$11:$F$111,2,FALSE),"")</f>
        <v/>
      </c>
      <c r="H665" s="71" t="str">
        <f>IFERROR(VLOOKUP(F665,設定!$C$11:$F$111,3,FALSE),"")</f>
        <v/>
      </c>
      <c r="I665" s="71" t="str">
        <f>IFERROR(VLOOKUP(F665,設定!$C$11:$F$111,4,FALSE),"")</f>
        <v/>
      </c>
      <c r="J665" s="122"/>
    </row>
    <row r="666" spans="2:10" s="3" customFormat="1" ht="24" customHeight="1" x14ac:dyDescent="0.2">
      <c r="B666" s="68"/>
      <c r="C666" s="69"/>
      <c r="D666" s="86"/>
      <c r="E666" s="116" t="str">
        <f>IFERROR(VLOOKUP(D666,'リスト '!$A$2:$B$15,2,FALSE),"")</f>
        <v/>
      </c>
      <c r="F666" s="70"/>
      <c r="G666" s="71" t="str">
        <f>IFERROR(VLOOKUP(F666,設定!$C$11:$F$111,2,FALSE),"")</f>
        <v/>
      </c>
      <c r="H666" s="71" t="str">
        <f>IFERROR(VLOOKUP(F666,設定!$C$11:$F$111,3,FALSE),"")</f>
        <v/>
      </c>
      <c r="I666" s="71" t="str">
        <f>IFERROR(VLOOKUP(F666,設定!$C$11:$F$111,4,FALSE),"")</f>
        <v/>
      </c>
      <c r="J666" s="122"/>
    </row>
    <row r="667" spans="2:10" s="3" customFormat="1" ht="24" customHeight="1" x14ac:dyDescent="0.2">
      <c r="B667" s="68"/>
      <c r="C667" s="69"/>
      <c r="D667" s="86"/>
      <c r="E667" s="116" t="str">
        <f>IFERROR(VLOOKUP(D667,'リスト '!$A$2:$B$15,2,FALSE),"")</f>
        <v/>
      </c>
      <c r="F667" s="70"/>
      <c r="G667" s="71" t="str">
        <f>IFERROR(VLOOKUP(F667,設定!$C$11:$F$111,2,FALSE),"")</f>
        <v/>
      </c>
      <c r="H667" s="71" t="str">
        <f>IFERROR(VLOOKUP(F667,設定!$C$11:$F$111,3,FALSE),"")</f>
        <v/>
      </c>
      <c r="I667" s="71" t="str">
        <f>IFERROR(VLOOKUP(F667,設定!$C$11:$F$111,4,FALSE),"")</f>
        <v/>
      </c>
      <c r="J667" s="122"/>
    </row>
    <row r="668" spans="2:10" s="3" customFormat="1" ht="24" customHeight="1" x14ac:dyDescent="0.2">
      <c r="B668" s="68"/>
      <c r="C668" s="69"/>
      <c r="D668" s="86"/>
      <c r="E668" s="116" t="str">
        <f>IFERROR(VLOOKUP(D668,'リスト '!$A$2:$B$15,2,FALSE),"")</f>
        <v/>
      </c>
      <c r="F668" s="70"/>
      <c r="G668" s="71" t="str">
        <f>IFERROR(VLOOKUP(F668,設定!$C$11:$F$111,2,FALSE),"")</f>
        <v/>
      </c>
      <c r="H668" s="71" t="str">
        <f>IFERROR(VLOOKUP(F668,設定!$C$11:$F$111,3,FALSE),"")</f>
        <v/>
      </c>
      <c r="I668" s="71" t="str">
        <f>IFERROR(VLOOKUP(F668,設定!$C$11:$F$111,4,FALSE),"")</f>
        <v/>
      </c>
      <c r="J668" s="122"/>
    </row>
    <row r="669" spans="2:10" s="3" customFormat="1" ht="24" customHeight="1" x14ac:dyDescent="0.2">
      <c r="B669" s="68"/>
      <c r="C669" s="69"/>
      <c r="D669" s="86"/>
      <c r="E669" s="116" t="str">
        <f>IFERROR(VLOOKUP(D669,'リスト '!$A$2:$B$15,2,FALSE),"")</f>
        <v/>
      </c>
      <c r="F669" s="70"/>
      <c r="G669" s="71" t="str">
        <f>IFERROR(VLOOKUP(F669,設定!$C$11:$F$111,2,FALSE),"")</f>
        <v/>
      </c>
      <c r="H669" s="71" t="str">
        <f>IFERROR(VLOOKUP(F669,設定!$C$11:$F$111,3,FALSE),"")</f>
        <v/>
      </c>
      <c r="I669" s="71" t="str">
        <f>IFERROR(VLOOKUP(F669,設定!$C$11:$F$111,4,FALSE),"")</f>
        <v/>
      </c>
      <c r="J669" s="122"/>
    </row>
    <row r="670" spans="2:10" s="3" customFormat="1" ht="24" customHeight="1" x14ac:dyDescent="0.2">
      <c r="B670" s="68"/>
      <c r="C670" s="69"/>
      <c r="D670" s="86"/>
      <c r="E670" s="116" t="str">
        <f>IFERROR(VLOOKUP(D670,'リスト '!$A$2:$B$15,2,FALSE),"")</f>
        <v/>
      </c>
      <c r="F670" s="70"/>
      <c r="G670" s="71" t="str">
        <f>IFERROR(VLOOKUP(F670,設定!$C$11:$F$111,2,FALSE),"")</f>
        <v/>
      </c>
      <c r="H670" s="71" t="str">
        <f>IFERROR(VLOOKUP(F670,設定!$C$11:$F$111,3,FALSE),"")</f>
        <v/>
      </c>
      <c r="I670" s="71" t="str">
        <f>IFERROR(VLOOKUP(F670,設定!$C$11:$F$111,4,FALSE),"")</f>
        <v/>
      </c>
      <c r="J670" s="122"/>
    </row>
    <row r="671" spans="2:10" s="3" customFormat="1" ht="24" customHeight="1" x14ac:dyDescent="0.2">
      <c r="B671" s="68"/>
      <c r="C671" s="69"/>
      <c r="D671" s="86"/>
      <c r="E671" s="116" t="str">
        <f>IFERROR(VLOOKUP(D671,'リスト '!$A$2:$B$15,2,FALSE),"")</f>
        <v/>
      </c>
      <c r="F671" s="70"/>
      <c r="G671" s="71" t="str">
        <f>IFERROR(VLOOKUP(F671,設定!$C$11:$F$111,2,FALSE),"")</f>
        <v/>
      </c>
      <c r="H671" s="71" t="str">
        <f>IFERROR(VLOOKUP(F671,設定!$C$11:$F$111,3,FALSE),"")</f>
        <v/>
      </c>
      <c r="I671" s="71" t="str">
        <f>IFERROR(VLOOKUP(F671,設定!$C$11:$F$111,4,FALSE),"")</f>
        <v/>
      </c>
      <c r="J671" s="122"/>
    </row>
    <row r="672" spans="2:10" s="3" customFormat="1" ht="24" customHeight="1" x14ac:dyDescent="0.2">
      <c r="B672" s="68"/>
      <c r="C672" s="69"/>
      <c r="D672" s="86"/>
      <c r="E672" s="116" t="str">
        <f>IFERROR(VLOOKUP(D672,'リスト '!$A$2:$B$15,2,FALSE),"")</f>
        <v/>
      </c>
      <c r="F672" s="70"/>
      <c r="G672" s="71" t="str">
        <f>IFERROR(VLOOKUP(F672,設定!$C$11:$F$111,2,FALSE),"")</f>
        <v/>
      </c>
      <c r="H672" s="71" t="str">
        <f>IFERROR(VLOOKUP(F672,設定!$C$11:$F$111,3,FALSE),"")</f>
        <v/>
      </c>
      <c r="I672" s="71" t="str">
        <f>IFERROR(VLOOKUP(F672,設定!$C$11:$F$111,4,FALSE),"")</f>
        <v/>
      </c>
      <c r="J672" s="122"/>
    </row>
    <row r="673" spans="2:10" s="3" customFormat="1" ht="24" customHeight="1" x14ac:dyDescent="0.2">
      <c r="B673" s="68"/>
      <c r="C673" s="69"/>
      <c r="D673" s="86"/>
      <c r="E673" s="116" t="str">
        <f>IFERROR(VLOOKUP(D673,'リスト '!$A$2:$B$15,2,FALSE),"")</f>
        <v/>
      </c>
      <c r="F673" s="70"/>
      <c r="G673" s="71" t="str">
        <f>IFERROR(VLOOKUP(F673,設定!$C$11:$F$111,2,FALSE),"")</f>
        <v/>
      </c>
      <c r="H673" s="71" t="str">
        <f>IFERROR(VLOOKUP(F673,設定!$C$11:$F$111,3,FALSE),"")</f>
        <v/>
      </c>
      <c r="I673" s="71" t="str">
        <f>IFERROR(VLOOKUP(F673,設定!$C$11:$F$111,4,FALSE),"")</f>
        <v/>
      </c>
      <c r="J673" s="122"/>
    </row>
    <row r="674" spans="2:10" s="3" customFormat="1" ht="24" customHeight="1" x14ac:dyDescent="0.2">
      <c r="B674" s="68"/>
      <c r="C674" s="69"/>
      <c r="D674" s="86"/>
      <c r="E674" s="116" t="str">
        <f>IFERROR(VLOOKUP(D674,'リスト '!$A$2:$B$15,2,FALSE),"")</f>
        <v/>
      </c>
      <c r="F674" s="70"/>
      <c r="G674" s="71" t="str">
        <f>IFERROR(VLOOKUP(F674,設定!$C$11:$F$111,2,FALSE),"")</f>
        <v/>
      </c>
      <c r="H674" s="71" t="str">
        <f>IFERROR(VLOOKUP(F674,設定!$C$11:$F$111,3,FALSE),"")</f>
        <v/>
      </c>
      <c r="I674" s="71" t="str">
        <f>IFERROR(VLOOKUP(F674,設定!$C$11:$F$111,4,FALSE),"")</f>
        <v/>
      </c>
      <c r="J674" s="122"/>
    </row>
    <row r="675" spans="2:10" s="3" customFormat="1" ht="24" customHeight="1" x14ac:dyDescent="0.2">
      <c r="B675" s="68"/>
      <c r="C675" s="69"/>
      <c r="D675" s="86"/>
      <c r="E675" s="116" t="str">
        <f>IFERROR(VLOOKUP(D675,'リスト '!$A$2:$B$15,2,FALSE),"")</f>
        <v/>
      </c>
      <c r="F675" s="70"/>
      <c r="G675" s="71" t="str">
        <f>IFERROR(VLOOKUP(F675,設定!$C$11:$F$111,2,FALSE),"")</f>
        <v/>
      </c>
      <c r="H675" s="71" t="str">
        <f>IFERROR(VLOOKUP(F675,設定!$C$11:$F$111,3,FALSE),"")</f>
        <v/>
      </c>
      <c r="I675" s="71" t="str">
        <f>IFERROR(VLOOKUP(F675,設定!$C$11:$F$111,4,FALSE),"")</f>
        <v/>
      </c>
      <c r="J675" s="122"/>
    </row>
    <row r="676" spans="2:10" s="3" customFormat="1" ht="24" customHeight="1" x14ac:dyDescent="0.2">
      <c r="B676" s="68"/>
      <c r="C676" s="69"/>
      <c r="D676" s="86"/>
      <c r="E676" s="116" t="str">
        <f>IFERROR(VLOOKUP(D676,'リスト '!$A$2:$B$15,2,FALSE),"")</f>
        <v/>
      </c>
      <c r="F676" s="70"/>
      <c r="G676" s="71" t="str">
        <f>IFERROR(VLOOKUP(F676,設定!$C$11:$F$111,2,FALSE),"")</f>
        <v/>
      </c>
      <c r="H676" s="71" t="str">
        <f>IFERROR(VLOOKUP(F676,設定!$C$11:$F$111,3,FALSE),"")</f>
        <v/>
      </c>
      <c r="I676" s="71" t="str">
        <f>IFERROR(VLOOKUP(F676,設定!$C$11:$F$111,4,FALSE),"")</f>
        <v/>
      </c>
      <c r="J676" s="122"/>
    </row>
    <row r="677" spans="2:10" s="3" customFormat="1" ht="24" customHeight="1" x14ac:dyDescent="0.2">
      <c r="B677" s="68"/>
      <c r="C677" s="69"/>
      <c r="D677" s="86"/>
      <c r="E677" s="116" t="str">
        <f>IFERROR(VLOOKUP(D677,'リスト '!$A$2:$B$15,2,FALSE),"")</f>
        <v/>
      </c>
      <c r="F677" s="70"/>
      <c r="G677" s="71" t="str">
        <f>IFERROR(VLOOKUP(F677,設定!$C$11:$F$111,2,FALSE),"")</f>
        <v/>
      </c>
      <c r="H677" s="71" t="str">
        <f>IFERROR(VLOOKUP(F677,設定!$C$11:$F$111,3,FALSE),"")</f>
        <v/>
      </c>
      <c r="I677" s="71" t="str">
        <f>IFERROR(VLOOKUP(F677,設定!$C$11:$F$111,4,FALSE),"")</f>
        <v/>
      </c>
      <c r="J677" s="122"/>
    </row>
    <row r="678" spans="2:10" s="3" customFormat="1" ht="24" customHeight="1" x14ac:dyDescent="0.2">
      <c r="B678" s="68"/>
      <c r="C678" s="69"/>
      <c r="D678" s="86"/>
      <c r="E678" s="116" t="str">
        <f>IFERROR(VLOOKUP(D678,'リスト '!$A$2:$B$15,2,FALSE),"")</f>
        <v/>
      </c>
      <c r="F678" s="70"/>
      <c r="G678" s="71" t="str">
        <f>IFERROR(VLOOKUP(F678,設定!$C$11:$F$111,2,FALSE),"")</f>
        <v/>
      </c>
      <c r="H678" s="71" t="str">
        <f>IFERROR(VLOOKUP(F678,設定!$C$11:$F$111,3,FALSE),"")</f>
        <v/>
      </c>
      <c r="I678" s="71" t="str">
        <f>IFERROR(VLOOKUP(F678,設定!$C$11:$F$111,4,FALSE),"")</f>
        <v/>
      </c>
      <c r="J678" s="122"/>
    </row>
    <row r="679" spans="2:10" s="3" customFormat="1" ht="24" customHeight="1" x14ac:dyDescent="0.2">
      <c r="B679" s="68"/>
      <c r="C679" s="69"/>
      <c r="D679" s="86"/>
      <c r="E679" s="116" t="str">
        <f>IFERROR(VLOOKUP(D679,'リスト '!$A$2:$B$15,2,FALSE),"")</f>
        <v/>
      </c>
      <c r="F679" s="70"/>
      <c r="G679" s="71" t="str">
        <f>IFERROR(VLOOKUP(F679,設定!$C$11:$F$111,2,FALSE),"")</f>
        <v/>
      </c>
      <c r="H679" s="71" t="str">
        <f>IFERROR(VLOOKUP(F679,設定!$C$11:$F$111,3,FALSE),"")</f>
        <v/>
      </c>
      <c r="I679" s="71" t="str">
        <f>IFERROR(VLOOKUP(F679,設定!$C$11:$F$111,4,FALSE),"")</f>
        <v/>
      </c>
      <c r="J679" s="122"/>
    </row>
    <row r="680" spans="2:10" s="3" customFormat="1" ht="24" customHeight="1" x14ac:dyDescent="0.2">
      <c r="B680" s="68"/>
      <c r="C680" s="69"/>
      <c r="D680" s="86"/>
      <c r="E680" s="116" t="str">
        <f>IFERROR(VLOOKUP(D680,'リスト '!$A$2:$B$15,2,FALSE),"")</f>
        <v/>
      </c>
      <c r="F680" s="70"/>
      <c r="G680" s="71" t="str">
        <f>IFERROR(VLOOKUP(F680,設定!$C$11:$F$111,2,FALSE),"")</f>
        <v/>
      </c>
      <c r="H680" s="71" t="str">
        <f>IFERROR(VLOOKUP(F680,設定!$C$11:$F$111,3,FALSE),"")</f>
        <v/>
      </c>
      <c r="I680" s="71" t="str">
        <f>IFERROR(VLOOKUP(F680,設定!$C$11:$F$111,4,FALSE),"")</f>
        <v/>
      </c>
      <c r="J680" s="122"/>
    </row>
    <row r="681" spans="2:10" s="3" customFormat="1" ht="24" customHeight="1" thickBot="1" x14ac:dyDescent="0.25">
      <c r="B681" s="72"/>
      <c r="C681" s="73"/>
      <c r="D681" s="87"/>
      <c r="E681" s="117" t="str">
        <f>IFERROR(VLOOKUP(D681,'リスト '!$A$2:$B$15,2,FALSE),"")</f>
        <v/>
      </c>
      <c r="F681" s="73"/>
      <c r="G681" s="74" t="str">
        <f>IFERROR(VLOOKUP(F681,設定!$C$11:$F$111,2,FALSE),"")</f>
        <v/>
      </c>
      <c r="H681" s="74" t="str">
        <f>IFERROR(VLOOKUP(F681,設定!$C$11:$F$111,3,FALSE),"")</f>
        <v/>
      </c>
      <c r="I681" s="74" t="str">
        <f>IFERROR(VLOOKUP(F681,設定!$C$11:$F$111,4,FALSE),"")</f>
        <v/>
      </c>
      <c r="J681" s="123"/>
    </row>
  </sheetData>
  <mergeCells count="12">
    <mergeCell ref="J5:J6"/>
    <mergeCell ref="E5:E6"/>
    <mergeCell ref="B1:J1"/>
    <mergeCell ref="B2:D2"/>
    <mergeCell ref="B3:D3"/>
    <mergeCell ref="B5:B6"/>
    <mergeCell ref="C5:C6"/>
    <mergeCell ref="D5:D6"/>
    <mergeCell ref="F5:F6"/>
    <mergeCell ref="G5:G6"/>
    <mergeCell ref="H5:H6"/>
    <mergeCell ref="I5:I6"/>
  </mergeCells>
  <phoneticPr fontId="3"/>
  <pageMargins left="0.19685039370078741" right="0.19685039370078741" top="0.31496062992125984" bottom="0.19685039370078741" header="0" footer="0.27559055118110237"/>
  <pageSetup paperSize="9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設定!$C$11:$C$111</xm:f>
          </x14:formula1>
          <xm:sqref>F7:F681</xm:sqref>
        </x14:dataValidation>
        <x14:dataValidation type="list" allowBlank="1" showInputMessage="1" showErrorMessage="1" xr:uid="{00000000-0002-0000-0100-000001000000}">
          <x14:formula1>
            <xm:f>'リスト '!$A$2:$A$15</xm:f>
          </x14:formula1>
          <xm:sqref>D7:D681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P131"/>
  <sheetViews>
    <sheetView showGridLines="0" showWhiteSpace="0" view="pageBreakPreview" zoomScaleNormal="98" zoomScaleSheetLayoutView="100" workbookViewId="0"/>
  </sheetViews>
  <sheetFormatPr defaultColWidth="9" defaultRowHeight="13.2" x14ac:dyDescent="0.2"/>
  <cols>
    <col min="1" max="2" width="2.109375" style="38" customWidth="1"/>
    <col min="3" max="3" width="2.77734375" style="38" customWidth="1"/>
    <col min="4" max="14" width="2.109375" style="38" customWidth="1"/>
    <col min="15" max="23" width="3.33203125" style="38" customWidth="1"/>
    <col min="24" max="53" width="2.109375" style="38" customWidth="1"/>
    <col min="54" max="16384" width="9" style="38"/>
  </cols>
  <sheetData>
    <row r="1" spans="1:42" ht="18" customHeight="1" x14ac:dyDescent="0.2">
      <c r="B1" s="44"/>
    </row>
    <row r="2" spans="1:42" ht="18" customHeight="1" x14ac:dyDescent="0.2">
      <c r="A2" s="99"/>
      <c r="B2" s="109" t="s">
        <v>15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</row>
    <row r="3" spans="1:42" ht="13.5" hidden="1" customHeight="1" x14ac:dyDescent="0.2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</row>
    <row r="4" spans="1:42" ht="13.5" hidden="1" customHeight="1" thickBot="1" x14ac:dyDescent="0.25">
      <c r="A4" s="99"/>
      <c r="B4" s="100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</row>
    <row r="5" spans="1:42" ht="13.5" hidden="1" customHeight="1" thickBot="1" x14ac:dyDescent="0.25">
      <c r="A5" s="99"/>
      <c r="B5" s="99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01"/>
      <c r="AN5" s="101"/>
      <c r="AO5" s="40"/>
      <c r="AP5" s="40"/>
    </row>
    <row r="6" spans="1:42" ht="13.5" hidden="1" customHeight="1" thickBot="1" x14ac:dyDescent="0.25">
      <c r="A6" s="99"/>
      <c r="B6" s="99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01"/>
      <c r="AN6" s="101"/>
      <c r="AO6" s="40"/>
      <c r="AP6" s="40"/>
    </row>
    <row r="7" spans="1:42" ht="15" customHeight="1" x14ac:dyDescent="0.2"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0"/>
      <c r="AN7" s="40"/>
      <c r="AO7" s="40"/>
      <c r="AP7" s="40"/>
    </row>
    <row r="8" spans="1:42" ht="21" customHeight="1" thickBot="1" x14ac:dyDescent="0.25">
      <c r="C8" s="249" t="s">
        <v>137</v>
      </c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  <c r="AA8" s="249"/>
      <c r="AB8" s="249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0"/>
      <c r="AN8" s="40"/>
      <c r="AO8" s="40"/>
      <c r="AP8" s="40"/>
    </row>
    <row r="9" spans="1:42" s="43" customFormat="1" ht="15.75" customHeight="1" x14ac:dyDescent="0.2">
      <c r="C9" s="188" t="s">
        <v>20</v>
      </c>
      <c r="D9" s="189"/>
      <c r="E9" s="189"/>
      <c r="F9" s="189"/>
      <c r="G9" s="189"/>
      <c r="H9" s="192" t="s">
        <v>21</v>
      </c>
      <c r="I9" s="189"/>
      <c r="J9" s="189"/>
      <c r="K9" s="189"/>
      <c r="L9" s="175" t="s">
        <v>22</v>
      </c>
      <c r="M9" s="176"/>
      <c r="N9" s="176"/>
      <c r="O9" s="169" t="s">
        <v>23</v>
      </c>
      <c r="P9" s="170"/>
      <c r="Q9" s="170"/>
      <c r="R9" s="170"/>
      <c r="S9" s="170"/>
      <c r="T9" s="170"/>
      <c r="U9" s="170"/>
      <c r="V9" s="170"/>
      <c r="W9" s="170"/>
      <c r="X9" s="197" t="s">
        <v>24</v>
      </c>
      <c r="Y9" s="198"/>
      <c r="Z9" s="198"/>
      <c r="AA9" s="198"/>
      <c r="AB9" s="198"/>
      <c r="AC9" s="201"/>
      <c r="AD9" s="201"/>
      <c r="AE9" s="201"/>
      <c r="AF9" s="201"/>
      <c r="AG9" s="201"/>
      <c r="AH9" s="160" t="s">
        <v>25</v>
      </c>
      <c r="AI9" s="161"/>
      <c r="AJ9" s="161"/>
      <c r="AK9" s="161"/>
      <c r="AL9" s="162"/>
    </row>
    <row r="10" spans="1:42" s="43" customFormat="1" ht="15.75" customHeight="1" x14ac:dyDescent="0.2">
      <c r="C10" s="188"/>
      <c r="D10" s="189"/>
      <c r="E10" s="189"/>
      <c r="F10" s="189"/>
      <c r="G10" s="189"/>
      <c r="H10" s="192"/>
      <c r="I10" s="189"/>
      <c r="J10" s="189"/>
      <c r="K10" s="189"/>
      <c r="L10" s="175"/>
      <c r="M10" s="176"/>
      <c r="N10" s="176"/>
      <c r="O10" s="173" t="s">
        <v>26</v>
      </c>
      <c r="P10" s="174"/>
      <c r="Q10" s="174"/>
      <c r="R10" s="177" t="s">
        <v>7</v>
      </c>
      <c r="S10" s="177"/>
      <c r="T10" s="177"/>
      <c r="U10" s="177"/>
      <c r="V10" s="177"/>
      <c r="W10" s="177"/>
      <c r="X10" s="197"/>
      <c r="Y10" s="198"/>
      <c r="Z10" s="198"/>
      <c r="AA10" s="198"/>
      <c r="AB10" s="198"/>
      <c r="AC10" s="202"/>
      <c r="AD10" s="202"/>
      <c r="AE10" s="202"/>
      <c r="AF10" s="202"/>
      <c r="AG10" s="202"/>
      <c r="AH10" s="163"/>
      <c r="AI10" s="164"/>
      <c r="AJ10" s="164"/>
      <c r="AK10" s="164"/>
      <c r="AL10" s="165"/>
    </row>
    <row r="11" spans="1:42" s="43" customFormat="1" ht="31.5" customHeight="1" x14ac:dyDescent="0.2">
      <c r="C11" s="188"/>
      <c r="D11" s="189"/>
      <c r="E11" s="189"/>
      <c r="F11" s="189"/>
      <c r="G11" s="189"/>
      <c r="H11" s="192"/>
      <c r="I11" s="189"/>
      <c r="J11" s="189"/>
      <c r="K11" s="189"/>
      <c r="L11" s="175"/>
      <c r="M11" s="176"/>
      <c r="N11" s="176"/>
      <c r="O11" s="175"/>
      <c r="P11" s="176"/>
      <c r="Q11" s="176"/>
      <c r="R11" s="178" t="s">
        <v>28</v>
      </c>
      <c r="S11" s="178"/>
      <c r="T11" s="178"/>
      <c r="U11" s="178" t="s">
        <v>29</v>
      </c>
      <c r="V11" s="178"/>
      <c r="W11" s="178"/>
      <c r="X11" s="197"/>
      <c r="Y11" s="198"/>
      <c r="Z11" s="198"/>
      <c r="AA11" s="198"/>
      <c r="AB11" s="198"/>
      <c r="AC11" s="179" t="s">
        <v>30</v>
      </c>
      <c r="AD11" s="180"/>
      <c r="AE11" s="180"/>
      <c r="AF11" s="180"/>
      <c r="AG11" s="181"/>
      <c r="AH11" s="163"/>
      <c r="AI11" s="164"/>
      <c r="AJ11" s="164"/>
      <c r="AK11" s="164"/>
      <c r="AL11" s="165"/>
    </row>
    <row r="12" spans="1:42" s="43" customFormat="1" ht="12.75" customHeight="1" x14ac:dyDescent="0.2">
      <c r="C12" s="188"/>
      <c r="D12" s="189"/>
      <c r="E12" s="189"/>
      <c r="F12" s="189"/>
      <c r="G12" s="189"/>
      <c r="H12" s="192"/>
      <c r="I12" s="189"/>
      <c r="J12" s="189"/>
      <c r="K12" s="189"/>
      <c r="L12" s="175"/>
      <c r="M12" s="176"/>
      <c r="N12" s="176"/>
      <c r="O12" s="169">
        <v>1</v>
      </c>
      <c r="P12" s="170"/>
      <c r="Q12" s="170"/>
      <c r="R12" s="169">
        <v>2</v>
      </c>
      <c r="S12" s="170"/>
      <c r="T12" s="170"/>
      <c r="U12" s="169">
        <v>3</v>
      </c>
      <c r="V12" s="170"/>
      <c r="W12" s="170"/>
      <c r="X12" s="197"/>
      <c r="Y12" s="198"/>
      <c r="Z12" s="198"/>
      <c r="AA12" s="198"/>
      <c r="AB12" s="198"/>
      <c r="AC12" s="182"/>
      <c r="AD12" s="183"/>
      <c r="AE12" s="183"/>
      <c r="AF12" s="183"/>
      <c r="AG12" s="184"/>
      <c r="AH12" s="163"/>
      <c r="AI12" s="164"/>
      <c r="AJ12" s="164"/>
      <c r="AK12" s="164"/>
      <c r="AL12" s="165"/>
    </row>
    <row r="13" spans="1:42" s="43" customFormat="1" ht="17.25" customHeight="1" thickBot="1" x14ac:dyDescent="0.25">
      <c r="C13" s="190"/>
      <c r="D13" s="191"/>
      <c r="E13" s="191"/>
      <c r="F13" s="191"/>
      <c r="G13" s="191"/>
      <c r="H13" s="193"/>
      <c r="I13" s="194"/>
      <c r="J13" s="194"/>
      <c r="K13" s="194"/>
      <c r="L13" s="195"/>
      <c r="M13" s="196"/>
      <c r="N13" s="196"/>
      <c r="O13" s="171" t="s">
        <v>31</v>
      </c>
      <c r="P13" s="172"/>
      <c r="Q13" s="172"/>
      <c r="R13" s="172"/>
      <c r="S13" s="172"/>
      <c r="T13" s="172"/>
      <c r="U13" s="172"/>
      <c r="V13" s="172"/>
      <c r="W13" s="172"/>
      <c r="X13" s="199"/>
      <c r="Y13" s="200"/>
      <c r="Z13" s="200"/>
      <c r="AA13" s="200"/>
      <c r="AB13" s="200"/>
      <c r="AC13" s="185"/>
      <c r="AD13" s="186"/>
      <c r="AE13" s="186"/>
      <c r="AF13" s="186"/>
      <c r="AG13" s="187"/>
      <c r="AH13" s="166"/>
      <c r="AI13" s="167"/>
      <c r="AJ13" s="167"/>
      <c r="AK13" s="167"/>
      <c r="AL13" s="168"/>
    </row>
    <row r="14" spans="1:42" s="43" customFormat="1" ht="27" customHeight="1" thickTop="1" thickBot="1" x14ac:dyDescent="0.25">
      <c r="C14" s="203">
        <f>設定!C11</f>
        <v>0</v>
      </c>
      <c r="D14" s="204"/>
      <c r="E14" s="204"/>
      <c r="F14" s="204"/>
      <c r="G14" s="204"/>
      <c r="H14" s="205">
        <f>設定!D11</f>
        <v>0</v>
      </c>
      <c r="I14" s="206"/>
      <c r="J14" s="206"/>
      <c r="K14" s="207"/>
      <c r="L14" s="208">
        <f>設定!E11</f>
        <v>0</v>
      </c>
      <c r="M14" s="209"/>
      <c r="N14" s="210"/>
      <c r="O14" s="211"/>
      <c r="P14" s="212"/>
      <c r="Q14" s="212"/>
      <c r="R14" s="212"/>
      <c r="S14" s="212"/>
      <c r="T14" s="212"/>
      <c r="U14" s="212"/>
      <c r="V14" s="212"/>
      <c r="W14" s="212"/>
      <c r="X14" s="213">
        <f>設定!G11</f>
        <v>0</v>
      </c>
      <c r="Y14" s="214"/>
      <c r="Z14" s="214"/>
      <c r="AA14" s="214"/>
      <c r="AB14" s="215"/>
      <c r="AC14" s="216">
        <f>設定!V11</f>
        <v>0</v>
      </c>
      <c r="AD14" s="214"/>
      <c r="AE14" s="214"/>
      <c r="AF14" s="214"/>
      <c r="AG14" s="215"/>
      <c r="AH14" s="216">
        <f>設定!W11</f>
        <v>0</v>
      </c>
      <c r="AI14" s="214"/>
      <c r="AJ14" s="214"/>
      <c r="AK14" s="214"/>
      <c r="AL14" s="232"/>
    </row>
    <row r="15" spans="1:42" s="43" customFormat="1" ht="27" customHeight="1" thickTop="1" x14ac:dyDescent="0.2">
      <c r="C15" s="220">
        <f>IF(設定!F12="4：臨時雇用者",,設定!C12)</f>
        <v>0</v>
      </c>
      <c r="D15" s="221"/>
      <c r="E15" s="221"/>
      <c r="F15" s="221"/>
      <c r="G15" s="221"/>
      <c r="H15" s="222">
        <f>IF(設定!F12="4：臨時雇用者",,設定!D12)</f>
        <v>0</v>
      </c>
      <c r="I15" s="223"/>
      <c r="J15" s="223"/>
      <c r="K15" s="224"/>
      <c r="L15" s="225">
        <f>IF(設定!F12="4：臨時雇用者",,設定!E12)</f>
        <v>0</v>
      </c>
      <c r="M15" s="226"/>
      <c r="N15" s="227"/>
      <c r="O15" s="233">
        <f>IF(設定!F12="4：臨時雇用者",,設定!F12)</f>
        <v>0</v>
      </c>
      <c r="P15" s="234"/>
      <c r="Q15" s="234"/>
      <c r="R15" s="234"/>
      <c r="S15" s="234"/>
      <c r="T15" s="234"/>
      <c r="U15" s="234"/>
      <c r="V15" s="234"/>
      <c r="W15" s="234"/>
      <c r="X15" s="230">
        <f>IF(設定!F12="4：臨時雇用者",,設定!G12)</f>
        <v>0</v>
      </c>
      <c r="Y15" s="218"/>
      <c r="Z15" s="218"/>
      <c r="AA15" s="218"/>
      <c r="AB15" s="231"/>
      <c r="AC15" s="217">
        <f>IF(設定!F12="4：臨時雇用者",,設定!V12)</f>
        <v>0</v>
      </c>
      <c r="AD15" s="218"/>
      <c r="AE15" s="218"/>
      <c r="AF15" s="218"/>
      <c r="AG15" s="231"/>
      <c r="AH15" s="217">
        <f>IF(設定!F12="4：臨時雇用者",,設定!W12)</f>
        <v>0</v>
      </c>
      <c r="AI15" s="218"/>
      <c r="AJ15" s="218"/>
      <c r="AK15" s="218"/>
      <c r="AL15" s="219"/>
    </row>
    <row r="16" spans="1:42" s="43" customFormat="1" ht="27" customHeight="1" x14ac:dyDescent="0.2">
      <c r="C16" s="220">
        <f>IF(設定!F13="4：臨時雇用者",,設定!C13)</f>
        <v>0</v>
      </c>
      <c r="D16" s="221"/>
      <c r="E16" s="221"/>
      <c r="F16" s="221"/>
      <c r="G16" s="221"/>
      <c r="H16" s="222">
        <f>IF(設定!F13="4：臨時雇用者",,設定!D13)</f>
        <v>0</v>
      </c>
      <c r="I16" s="223"/>
      <c r="J16" s="223"/>
      <c r="K16" s="224"/>
      <c r="L16" s="225">
        <f>IF(設定!F13="4：臨時雇用者",,設定!E13)</f>
        <v>0</v>
      </c>
      <c r="M16" s="226"/>
      <c r="N16" s="227"/>
      <c r="O16" s="228">
        <f>IF(設定!F13="4：臨時雇用者",,設定!F13)</f>
        <v>0</v>
      </c>
      <c r="P16" s="229"/>
      <c r="Q16" s="229"/>
      <c r="R16" s="229"/>
      <c r="S16" s="229"/>
      <c r="T16" s="229"/>
      <c r="U16" s="229"/>
      <c r="V16" s="229"/>
      <c r="W16" s="229"/>
      <c r="X16" s="230">
        <f>IF(設定!F13="4：臨時雇用者",,設定!G13)</f>
        <v>0</v>
      </c>
      <c r="Y16" s="218"/>
      <c r="Z16" s="218"/>
      <c r="AA16" s="218"/>
      <c r="AB16" s="231"/>
      <c r="AC16" s="217">
        <f>IF(設定!F13="4：臨時雇用者",,設定!V13)</f>
        <v>0</v>
      </c>
      <c r="AD16" s="218"/>
      <c r="AE16" s="218"/>
      <c r="AF16" s="218"/>
      <c r="AG16" s="231"/>
      <c r="AH16" s="217">
        <f>IF(設定!F13="4：臨時雇用者",,設定!W13)</f>
        <v>0</v>
      </c>
      <c r="AI16" s="218"/>
      <c r="AJ16" s="218"/>
      <c r="AK16" s="218"/>
      <c r="AL16" s="219"/>
    </row>
    <row r="17" spans="3:38" s="43" customFormat="1" ht="27" customHeight="1" x14ac:dyDescent="0.2">
      <c r="C17" s="220">
        <f>IF(設定!F14="4：臨時雇用者",,設定!C14)</f>
        <v>0</v>
      </c>
      <c r="D17" s="221"/>
      <c r="E17" s="221"/>
      <c r="F17" s="221"/>
      <c r="G17" s="221"/>
      <c r="H17" s="222">
        <f>IF(設定!F14="4：臨時雇用者",,設定!D14)</f>
        <v>0</v>
      </c>
      <c r="I17" s="223"/>
      <c r="J17" s="223"/>
      <c r="K17" s="224"/>
      <c r="L17" s="225">
        <f>IF(設定!F14="4：臨時雇用者",,設定!E14)</f>
        <v>0</v>
      </c>
      <c r="M17" s="226"/>
      <c r="N17" s="227"/>
      <c r="O17" s="228">
        <f>IF(設定!F14="4：臨時雇用者",,設定!F14)</f>
        <v>0</v>
      </c>
      <c r="P17" s="229"/>
      <c r="Q17" s="229"/>
      <c r="R17" s="229"/>
      <c r="S17" s="229"/>
      <c r="T17" s="229"/>
      <c r="U17" s="229"/>
      <c r="V17" s="229"/>
      <c r="W17" s="229"/>
      <c r="X17" s="230">
        <f>IF(設定!F14="4：臨時雇用者",,設定!G14)</f>
        <v>0</v>
      </c>
      <c r="Y17" s="218"/>
      <c r="Z17" s="218"/>
      <c r="AA17" s="218"/>
      <c r="AB17" s="231"/>
      <c r="AC17" s="217">
        <f>IF(設定!F14="4：臨時雇用者",,設定!V14)</f>
        <v>0</v>
      </c>
      <c r="AD17" s="218"/>
      <c r="AE17" s="218"/>
      <c r="AF17" s="218"/>
      <c r="AG17" s="231"/>
      <c r="AH17" s="217">
        <f>IF(設定!F14="4：臨時雇用者",,設定!W14)</f>
        <v>0</v>
      </c>
      <c r="AI17" s="218"/>
      <c r="AJ17" s="218"/>
      <c r="AK17" s="218"/>
      <c r="AL17" s="219"/>
    </row>
    <row r="18" spans="3:38" s="43" customFormat="1" ht="27" customHeight="1" x14ac:dyDescent="0.2">
      <c r="C18" s="220">
        <f>IF(設定!F15="4：臨時雇用者",,設定!C15)</f>
        <v>0</v>
      </c>
      <c r="D18" s="221"/>
      <c r="E18" s="221"/>
      <c r="F18" s="221"/>
      <c r="G18" s="221"/>
      <c r="H18" s="222">
        <f>IF(設定!F15="4：臨時雇用者",,設定!D15)</f>
        <v>0</v>
      </c>
      <c r="I18" s="223"/>
      <c r="J18" s="223"/>
      <c r="K18" s="224"/>
      <c r="L18" s="225">
        <f>IF(設定!F15="4：臨時雇用者",,設定!E15)</f>
        <v>0</v>
      </c>
      <c r="M18" s="226"/>
      <c r="N18" s="227"/>
      <c r="O18" s="228">
        <f>IF(設定!F15="4：臨時雇用者",,設定!F15)</f>
        <v>0</v>
      </c>
      <c r="P18" s="229"/>
      <c r="Q18" s="229"/>
      <c r="R18" s="229"/>
      <c r="S18" s="229"/>
      <c r="T18" s="229"/>
      <c r="U18" s="229"/>
      <c r="V18" s="229"/>
      <c r="W18" s="229"/>
      <c r="X18" s="230">
        <f>IF(設定!F15="4：臨時雇用者",,設定!G15)</f>
        <v>0</v>
      </c>
      <c r="Y18" s="218"/>
      <c r="Z18" s="218"/>
      <c r="AA18" s="218"/>
      <c r="AB18" s="231"/>
      <c r="AC18" s="217">
        <f>IF(設定!F15="4：臨時雇用者",,設定!V15)</f>
        <v>0</v>
      </c>
      <c r="AD18" s="218"/>
      <c r="AE18" s="218"/>
      <c r="AF18" s="218"/>
      <c r="AG18" s="231"/>
      <c r="AH18" s="217">
        <f>IF(設定!F15="4：臨時雇用者",,設定!W15)</f>
        <v>0</v>
      </c>
      <c r="AI18" s="218"/>
      <c r="AJ18" s="218"/>
      <c r="AK18" s="218"/>
      <c r="AL18" s="219"/>
    </row>
    <row r="19" spans="3:38" s="43" customFormat="1" ht="27" customHeight="1" x14ac:dyDescent="0.2">
      <c r="C19" s="220">
        <f>IF(設定!F16="4：臨時雇用者",,設定!C16)</f>
        <v>0</v>
      </c>
      <c r="D19" s="221"/>
      <c r="E19" s="221"/>
      <c r="F19" s="221"/>
      <c r="G19" s="221"/>
      <c r="H19" s="222">
        <f>IF(設定!F16="4：臨時雇用者",,設定!D16)</f>
        <v>0</v>
      </c>
      <c r="I19" s="223"/>
      <c r="J19" s="223"/>
      <c r="K19" s="224"/>
      <c r="L19" s="225">
        <f>IF(設定!F16="4：臨時雇用者",,設定!E16)</f>
        <v>0</v>
      </c>
      <c r="M19" s="226"/>
      <c r="N19" s="227"/>
      <c r="O19" s="228">
        <f>IF(設定!F16="4：臨時雇用者",,設定!F16)</f>
        <v>0</v>
      </c>
      <c r="P19" s="229"/>
      <c r="Q19" s="229"/>
      <c r="R19" s="229"/>
      <c r="S19" s="229"/>
      <c r="T19" s="229"/>
      <c r="U19" s="229"/>
      <c r="V19" s="229"/>
      <c r="W19" s="229"/>
      <c r="X19" s="230">
        <f>IF(設定!F16="4：臨時雇用者",,設定!G16)</f>
        <v>0</v>
      </c>
      <c r="Y19" s="218"/>
      <c r="Z19" s="218"/>
      <c r="AA19" s="218"/>
      <c r="AB19" s="231"/>
      <c r="AC19" s="217">
        <f>IF(設定!F16="4：臨時雇用者",,設定!V16)</f>
        <v>0</v>
      </c>
      <c r="AD19" s="218"/>
      <c r="AE19" s="218"/>
      <c r="AF19" s="218"/>
      <c r="AG19" s="231"/>
      <c r="AH19" s="217">
        <f>IF(設定!F16="4：臨時雇用者",,設定!W16)</f>
        <v>0</v>
      </c>
      <c r="AI19" s="218"/>
      <c r="AJ19" s="218"/>
      <c r="AK19" s="218"/>
      <c r="AL19" s="219"/>
    </row>
    <row r="20" spans="3:38" s="43" customFormat="1" ht="27" customHeight="1" x14ac:dyDescent="0.2">
      <c r="C20" s="220">
        <f>IF(設定!F17="4：臨時雇用者",,設定!C17)</f>
        <v>0</v>
      </c>
      <c r="D20" s="221"/>
      <c r="E20" s="221"/>
      <c r="F20" s="221"/>
      <c r="G20" s="235"/>
      <c r="H20" s="222">
        <f>IF(設定!F17="4：臨時雇用者",,設定!D17)</f>
        <v>0</v>
      </c>
      <c r="I20" s="223"/>
      <c r="J20" s="223"/>
      <c r="K20" s="224"/>
      <c r="L20" s="225">
        <f>IF(設定!F17="4：臨時雇用者",,設定!E17)</f>
        <v>0</v>
      </c>
      <c r="M20" s="226"/>
      <c r="N20" s="227"/>
      <c r="O20" s="228">
        <f>IF(設定!F17="4：臨時雇用者",,設定!F17)</f>
        <v>0</v>
      </c>
      <c r="P20" s="229"/>
      <c r="Q20" s="229"/>
      <c r="R20" s="229"/>
      <c r="S20" s="229"/>
      <c r="T20" s="229"/>
      <c r="U20" s="229"/>
      <c r="V20" s="229"/>
      <c r="W20" s="229"/>
      <c r="X20" s="230">
        <f>IF(設定!F17="4：臨時雇用者",,設定!G17)</f>
        <v>0</v>
      </c>
      <c r="Y20" s="218"/>
      <c r="Z20" s="218"/>
      <c r="AA20" s="218"/>
      <c r="AB20" s="231"/>
      <c r="AC20" s="217">
        <f>IF(設定!F17="4：臨時雇用者",,設定!V17)</f>
        <v>0</v>
      </c>
      <c r="AD20" s="218"/>
      <c r="AE20" s="218"/>
      <c r="AF20" s="218"/>
      <c r="AG20" s="231"/>
      <c r="AH20" s="217">
        <f>IF(設定!F17="4：臨時雇用者",,設定!W17)</f>
        <v>0</v>
      </c>
      <c r="AI20" s="218"/>
      <c r="AJ20" s="218"/>
      <c r="AK20" s="218"/>
      <c r="AL20" s="219"/>
    </row>
    <row r="21" spans="3:38" s="43" customFormat="1" ht="27" customHeight="1" x14ac:dyDescent="0.2">
      <c r="C21" s="220">
        <f>IF(設定!F18="4：臨時雇用者",,設定!C18)</f>
        <v>0</v>
      </c>
      <c r="D21" s="221"/>
      <c r="E21" s="221"/>
      <c r="F21" s="221"/>
      <c r="G21" s="235"/>
      <c r="H21" s="222">
        <f>IF(設定!F18="4：臨時雇用者",,設定!D18)</f>
        <v>0</v>
      </c>
      <c r="I21" s="223"/>
      <c r="J21" s="223"/>
      <c r="K21" s="224"/>
      <c r="L21" s="225">
        <f>IF(設定!F18="4：臨時雇用者",,設定!E18)</f>
        <v>0</v>
      </c>
      <c r="M21" s="226"/>
      <c r="N21" s="227"/>
      <c r="O21" s="228">
        <f>IF(設定!F18="4：臨時雇用者",,設定!F18)</f>
        <v>0</v>
      </c>
      <c r="P21" s="229"/>
      <c r="Q21" s="229"/>
      <c r="R21" s="229"/>
      <c r="S21" s="229"/>
      <c r="T21" s="229"/>
      <c r="U21" s="229"/>
      <c r="V21" s="229"/>
      <c r="W21" s="229"/>
      <c r="X21" s="230">
        <f>IF(設定!F18="4：臨時雇用者",,設定!G18)</f>
        <v>0</v>
      </c>
      <c r="Y21" s="218"/>
      <c r="Z21" s="218"/>
      <c r="AA21" s="218"/>
      <c r="AB21" s="231"/>
      <c r="AC21" s="217">
        <f>IF(設定!F18="4：臨時雇用者",,設定!V18)</f>
        <v>0</v>
      </c>
      <c r="AD21" s="218"/>
      <c r="AE21" s="218"/>
      <c r="AF21" s="218"/>
      <c r="AG21" s="231"/>
      <c r="AH21" s="217">
        <f>IF(設定!F18="4：臨時雇用者",,設定!W18)</f>
        <v>0</v>
      </c>
      <c r="AI21" s="218"/>
      <c r="AJ21" s="218"/>
      <c r="AK21" s="218"/>
      <c r="AL21" s="219"/>
    </row>
    <row r="22" spans="3:38" s="43" customFormat="1" ht="27" customHeight="1" x14ac:dyDescent="0.2">
      <c r="C22" s="220">
        <f>IF(設定!F19="4：臨時雇用者",,設定!C19)</f>
        <v>0</v>
      </c>
      <c r="D22" s="221"/>
      <c r="E22" s="221"/>
      <c r="F22" s="221"/>
      <c r="G22" s="235"/>
      <c r="H22" s="222">
        <f>IF(設定!F19="4：臨時雇用者",,設定!D19)</f>
        <v>0</v>
      </c>
      <c r="I22" s="223"/>
      <c r="J22" s="223"/>
      <c r="K22" s="224"/>
      <c r="L22" s="225">
        <f>IF(設定!F19="4：臨時雇用者",,設定!E19)</f>
        <v>0</v>
      </c>
      <c r="M22" s="226"/>
      <c r="N22" s="227"/>
      <c r="O22" s="228">
        <f>IF(設定!F19="4：臨時雇用者",,設定!F19)</f>
        <v>0</v>
      </c>
      <c r="P22" s="229"/>
      <c r="Q22" s="229"/>
      <c r="R22" s="229"/>
      <c r="S22" s="229"/>
      <c r="T22" s="229"/>
      <c r="U22" s="229"/>
      <c r="V22" s="229"/>
      <c r="W22" s="229"/>
      <c r="X22" s="230">
        <f>IF(設定!F19="4：臨時雇用者",,設定!G19)</f>
        <v>0</v>
      </c>
      <c r="Y22" s="218"/>
      <c r="Z22" s="218"/>
      <c r="AA22" s="218"/>
      <c r="AB22" s="231"/>
      <c r="AC22" s="217">
        <f>IF(設定!F19="4：臨時雇用者",,設定!V19)</f>
        <v>0</v>
      </c>
      <c r="AD22" s="218"/>
      <c r="AE22" s="218"/>
      <c r="AF22" s="218"/>
      <c r="AG22" s="231"/>
      <c r="AH22" s="217">
        <f>IF(設定!F19="4：臨時雇用者",,設定!W19)</f>
        <v>0</v>
      </c>
      <c r="AI22" s="218"/>
      <c r="AJ22" s="218"/>
      <c r="AK22" s="218"/>
      <c r="AL22" s="219"/>
    </row>
    <row r="23" spans="3:38" s="43" customFormat="1" ht="27" customHeight="1" x14ac:dyDescent="0.2">
      <c r="C23" s="220">
        <f>IF(設定!F20="4：臨時雇用者",,設定!C20)</f>
        <v>0</v>
      </c>
      <c r="D23" s="221"/>
      <c r="E23" s="221"/>
      <c r="F23" s="221"/>
      <c r="G23" s="235"/>
      <c r="H23" s="222">
        <f>IF(設定!F20="4：臨時雇用者",,設定!D20)</f>
        <v>0</v>
      </c>
      <c r="I23" s="223"/>
      <c r="J23" s="223"/>
      <c r="K23" s="224"/>
      <c r="L23" s="225">
        <f>IF(設定!F20="4：臨時雇用者",,設定!E20)</f>
        <v>0</v>
      </c>
      <c r="M23" s="226"/>
      <c r="N23" s="227"/>
      <c r="O23" s="228">
        <f>IF(設定!F20="4：臨時雇用者",,設定!F20)</f>
        <v>0</v>
      </c>
      <c r="P23" s="229"/>
      <c r="Q23" s="229"/>
      <c r="R23" s="229"/>
      <c r="S23" s="229"/>
      <c r="T23" s="229"/>
      <c r="U23" s="229"/>
      <c r="V23" s="229"/>
      <c r="W23" s="229"/>
      <c r="X23" s="230">
        <f>IF(設定!F20="4：臨時雇用者",,設定!G20)</f>
        <v>0</v>
      </c>
      <c r="Y23" s="218"/>
      <c r="Z23" s="218"/>
      <c r="AA23" s="218"/>
      <c r="AB23" s="231"/>
      <c r="AC23" s="217">
        <f>IF(設定!F20="4：臨時雇用者",,設定!V20)</f>
        <v>0</v>
      </c>
      <c r="AD23" s="218"/>
      <c r="AE23" s="218"/>
      <c r="AF23" s="218"/>
      <c r="AG23" s="231"/>
      <c r="AH23" s="217">
        <f>IF(設定!F20="4：臨時雇用者",,設定!W20)</f>
        <v>0</v>
      </c>
      <c r="AI23" s="218"/>
      <c r="AJ23" s="218"/>
      <c r="AK23" s="218"/>
      <c r="AL23" s="219"/>
    </row>
    <row r="24" spans="3:38" s="43" customFormat="1" ht="27" customHeight="1" x14ac:dyDescent="0.2">
      <c r="C24" s="220">
        <f>IF(設定!F21="4：臨時雇用者",,設定!C21)</f>
        <v>0</v>
      </c>
      <c r="D24" s="221"/>
      <c r="E24" s="221"/>
      <c r="F24" s="221"/>
      <c r="G24" s="235"/>
      <c r="H24" s="222">
        <f>IF(設定!F21="4：臨時雇用者",,設定!D21)</f>
        <v>0</v>
      </c>
      <c r="I24" s="223"/>
      <c r="J24" s="223"/>
      <c r="K24" s="224"/>
      <c r="L24" s="225">
        <f>IF(設定!F21="4：臨時雇用者",,設定!E21)</f>
        <v>0</v>
      </c>
      <c r="M24" s="226"/>
      <c r="N24" s="227"/>
      <c r="O24" s="228">
        <f>IF(設定!F21="4：臨時雇用者",,設定!F21)</f>
        <v>0</v>
      </c>
      <c r="P24" s="229"/>
      <c r="Q24" s="229"/>
      <c r="R24" s="229"/>
      <c r="S24" s="229"/>
      <c r="T24" s="229"/>
      <c r="U24" s="229"/>
      <c r="V24" s="229"/>
      <c r="W24" s="229"/>
      <c r="X24" s="230">
        <f>IF(設定!F21="4：臨時雇用者",,設定!G21)</f>
        <v>0</v>
      </c>
      <c r="Y24" s="218"/>
      <c r="Z24" s="218"/>
      <c r="AA24" s="218"/>
      <c r="AB24" s="231"/>
      <c r="AC24" s="217">
        <f>IF(設定!F21="4：臨時雇用者",,設定!V21)</f>
        <v>0</v>
      </c>
      <c r="AD24" s="218"/>
      <c r="AE24" s="218"/>
      <c r="AF24" s="218"/>
      <c r="AG24" s="231"/>
      <c r="AH24" s="217">
        <f>IF(設定!F21="4：臨時雇用者",,設定!W21)</f>
        <v>0</v>
      </c>
      <c r="AI24" s="218"/>
      <c r="AJ24" s="218"/>
      <c r="AK24" s="218"/>
      <c r="AL24" s="219"/>
    </row>
    <row r="25" spans="3:38" s="43" customFormat="1" ht="27" customHeight="1" x14ac:dyDescent="0.2">
      <c r="C25" s="220">
        <f>IF(設定!F22="4：臨時雇用者",,設定!C22)</f>
        <v>0</v>
      </c>
      <c r="D25" s="221"/>
      <c r="E25" s="221"/>
      <c r="F25" s="221"/>
      <c r="G25" s="235"/>
      <c r="H25" s="222">
        <f>IF(設定!F22="4：臨時雇用者",,設定!D22)</f>
        <v>0</v>
      </c>
      <c r="I25" s="223"/>
      <c r="J25" s="223"/>
      <c r="K25" s="224"/>
      <c r="L25" s="225">
        <f>IF(設定!F22="4：臨時雇用者",,設定!E22)</f>
        <v>0</v>
      </c>
      <c r="M25" s="226"/>
      <c r="N25" s="227"/>
      <c r="O25" s="228">
        <f>IF(設定!F22="4：臨時雇用者",,設定!F22)</f>
        <v>0</v>
      </c>
      <c r="P25" s="229"/>
      <c r="Q25" s="229"/>
      <c r="R25" s="229"/>
      <c r="S25" s="229"/>
      <c r="T25" s="229"/>
      <c r="U25" s="229"/>
      <c r="V25" s="229"/>
      <c r="W25" s="229"/>
      <c r="X25" s="230">
        <f>IF(設定!F22="4：臨時雇用者",,設定!G22)</f>
        <v>0</v>
      </c>
      <c r="Y25" s="218"/>
      <c r="Z25" s="218"/>
      <c r="AA25" s="218"/>
      <c r="AB25" s="231"/>
      <c r="AC25" s="217">
        <f>IF(設定!F22="4：臨時雇用者",,設定!V22)</f>
        <v>0</v>
      </c>
      <c r="AD25" s="218"/>
      <c r="AE25" s="218"/>
      <c r="AF25" s="218"/>
      <c r="AG25" s="231"/>
      <c r="AH25" s="217">
        <f>IF(設定!F22="4：臨時雇用者",,設定!W22)</f>
        <v>0</v>
      </c>
      <c r="AI25" s="218"/>
      <c r="AJ25" s="218"/>
      <c r="AK25" s="218"/>
      <c r="AL25" s="219"/>
    </row>
    <row r="26" spans="3:38" s="43" customFormat="1" ht="27" customHeight="1" x14ac:dyDescent="0.2">
      <c r="C26" s="220">
        <f>IF(設定!F23="4：臨時雇用者",,設定!C23)</f>
        <v>0</v>
      </c>
      <c r="D26" s="221"/>
      <c r="E26" s="221"/>
      <c r="F26" s="221"/>
      <c r="G26" s="235"/>
      <c r="H26" s="222">
        <f>IF(設定!F23="4：臨時雇用者",,設定!D23)</f>
        <v>0</v>
      </c>
      <c r="I26" s="223"/>
      <c r="J26" s="223"/>
      <c r="K26" s="224"/>
      <c r="L26" s="225">
        <f>IF(設定!F23="4：臨時雇用者",,設定!E23)</f>
        <v>0</v>
      </c>
      <c r="M26" s="226"/>
      <c r="N26" s="227"/>
      <c r="O26" s="228">
        <f>IF(設定!F23="4：臨時雇用者",,設定!F23)</f>
        <v>0</v>
      </c>
      <c r="P26" s="229"/>
      <c r="Q26" s="229"/>
      <c r="R26" s="229"/>
      <c r="S26" s="229"/>
      <c r="T26" s="229"/>
      <c r="U26" s="229"/>
      <c r="V26" s="229"/>
      <c r="W26" s="229"/>
      <c r="X26" s="230">
        <f>IF(設定!F23="4：臨時雇用者",,設定!G23)</f>
        <v>0</v>
      </c>
      <c r="Y26" s="218"/>
      <c r="Z26" s="218"/>
      <c r="AA26" s="218"/>
      <c r="AB26" s="231"/>
      <c r="AC26" s="217">
        <f>IF(設定!F23="4：臨時雇用者",,設定!V23)</f>
        <v>0</v>
      </c>
      <c r="AD26" s="218"/>
      <c r="AE26" s="218"/>
      <c r="AF26" s="218"/>
      <c r="AG26" s="231"/>
      <c r="AH26" s="217">
        <f>IF(設定!F23="4：臨時雇用者",,設定!W23)</f>
        <v>0</v>
      </c>
      <c r="AI26" s="218"/>
      <c r="AJ26" s="218"/>
      <c r="AK26" s="218"/>
      <c r="AL26" s="219"/>
    </row>
    <row r="27" spans="3:38" s="43" customFormat="1" ht="27" customHeight="1" x14ac:dyDescent="0.2">
      <c r="C27" s="220">
        <f>IF(設定!F24="4：臨時雇用者",,設定!C24)</f>
        <v>0</v>
      </c>
      <c r="D27" s="221"/>
      <c r="E27" s="221"/>
      <c r="F27" s="221"/>
      <c r="G27" s="235"/>
      <c r="H27" s="222">
        <f>IF(設定!F24="4：臨時雇用者",,設定!D24)</f>
        <v>0</v>
      </c>
      <c r="I27" s="223"/>
      <c r="J27" s="223"/>
      <c r="K27" s="224"/>
      <c r="L27" s="225">
        <f>IF(設定!F24="4：臨時雇用者",,設定!E24)</f>
        <v>0</v>
      </c>
      <c r="M27" s="226"/>
      <c r="N27" s="227"/>
      <c r="O27" s="228">
        <f>IF(設定!F24="4：臨時雇用者",,設定!F24)</f>
        <v>0</v>
      </c>
      <c r="P27" s="229"/>
      <c r="Q27" s="229"/>
      <c r="R27" s="229"/>
      <c r="S27" s="229"/>
      <c r="T27" s="229"/>
      <c r="U27" s="229"/>
      <c r="V27" s="229"/>
      <c r="W27" s="229"/>
      <c r="X27" s="230">
        <f>IF(設定!F24="4：臨時雇用者",,設定!G24)</f>
        <v>0</v>
      </c>
      <c r="Y27" s="218"/>
      <c r="Z27" s="218"/>
      <c r="AA27" s="218"/>
      <c r="AB27" s="231"/>
      <c r="AC27" s="217">
        <f>IF(設定!F24="4：臨時雇用者",,設定!V24)</f>
        <v>0</v>
      </c>
      <c r="AD27" s="218"/>
      <c r="AE27" s="218"/>
      <c r="AF27" s="218"/>
      <c r="AG27" s="231"/>
      <c r="AH27" s="217">
        <f>IF(設定!F24="4：臨時雇用者",,設定!W24)</f>
        <v>0</v>
      </c>
      <c r="AI27" s="218"/>
      <c r="AJ27" s="218"/>
      <c r="AK27" s="218"/>
      <c r="AL27" s="219"/>
    </row>
    <row r="28" spans="3:38" s="43" customFormat="1" ht="27" customHeight="1" x14ac:dyDescent="0.2">
      <c r="C28" s="220">
        <f>IF(設定!F25="4：臨時雇用者",,設定!C25)</f>
        <v>0</v>
      </c>
      <c r="D28" s="221"/>
      <c r="E28" s="221"/>
      <c r="F28" s="221"/>
      <c r="G28" s="235"/>
      <c r="H28" s="222">
        <f>IF(設定!F25="4：臨時雇用者",,設定!D25)</f>
        <v>0</v>
      </c>
      <c r="I28" s="223"/>
      <c r="J28" s="223"/>
      <c r="K28" s="224"/>
      <c r="L28" s="225">
        <f>IF(設定!F25="4：臨時雇用者",,設定!E25)</f>
        <v>0</v>
      </c>
      <c r="M28" s="226"/>
      <c r="N28" s="227"/>
      <c r="O28" s="228">
        <f>IF(設定!F25="4：臨時雇用者",,設定!F25)</f>
        <v>0</v>
      </c>
      <c r="P28" s="229"/>
      <c r="Q28" s="229"/>
      <c r="R28" s="229"/>
      <c r="S28" s="229"/>
      <c r="T28" s="229"/>
      <c r="U28" s="229"/>
      <c r="V28" s="229"/>
      <c r="W28" s="229"/>
      <c r="X28" s="230">
        <f>IF(設定!F25="4：臨時雇用者",,設定!G25)</f>
        <v>0</v>
      </c>
      <c r="Y28" s="218"/>
      <c r="Z28" s="218"/>
      <c r="AA28" s="218"/>
      <c r="AB28" s="231"/>
      <c r="AC28" s="217">
        <f>IF(設定!F25="4：臨時雇用者",,設定!V25)</f>
        <v>0</v>
      </c>
      <c r="AD28" s="218"/>
      <c r="AE28" s="218"/>
      <c r="AF28" s="218"/>
      <c r="AG28" s="231"/>
      <c r="AH28" s="217">
        <f>IF(設定!F25="4：臨時雇用者",,設定!W25)</f>
        <v>0</v>
      </c>
      <c r="AI28" s="218"/>
      <c r="AJ28" s="218"/>
      <c r="AK28" s="218"/>
      <c r="AL28" s="219"/>
    </row>
    <row r="29" spans="3:38" s="43" customFormat="1" ht="27" customHeight="1" x14ac:dyDescent="0.2">
      <c r="C29" s="220">
        <f>IF(設定!F26="4：臨時雇用者",,設定!C26)</f>
        <v>0</v>
      </c>
      <c r="D29" s="221"/>
      <c r="E29" s="221"/>
      <c r="F29" s="221"/>
      <c r="G29" s="235"/>
      <c r="H29" s="222">
        <f>IF(設定!F26="4：臨時雇用者",,設定!D26)</f>
        <v>0</v>
      </c>
      <c r="I29" s="223"/>
      <c r="J29" s="223"/>
      <c r="K29" s="224"/>
      <c r="L29" s="225">
        <f>IF(設定!F26="4：臨時雇用者",,設定!E26)</f>
        <v>0</v>
      </c>
      <c r="M29" s="226"/>
      <c r="N29" s="227"/>
      <c r="O29" s="228">
        <f>IF(設定!F26="4：臨時雇用者",,設定!F26)</f>
        <v>0</v>
      </c>
      <c r="P29" s="229"/>
      <c r="Q29" s="229"/>
      <c r="R29" s="229"/>
      <c r="S29" s="229"/>
      <c r="T29" s="229"/>
      <c r="U29" s="229"/>
      <c r="V29" s="229"/>
      <c r="W29" s="229"/>
      <c r="X29" s="230">
        <f>IF(設定!F26="4：臨時雇用者",,設定!G26)</f>
        <v>0</v>
      </c>
      <c r="Y29" s="218"/>
      <c r="Z29" s="218"/>
      <c r="AA29" s="218"/>
      <c r="AB29" s="231"/>
      <c r="AC29" s="217">
        <f>IF(設定!F26="4：臨時雇用者",,設定!V26)</f>
        <v>0</v>
      </c>
      <c r="AD29" s="218"/>
      <c r="AE29" s="218"/>
      <c r="AF29" s="218"/>
      <c r="AG29" s="231"/>
      <c r="AH29" s="217">
        <f>IF(設定!F26="4：臨時雇用者",,設定!W26)</f>
        <v>0</v>
      </c>
      <c r="AI29" s="218"/>
      <c r="AJ29" s="218"/>
      <c r="AK29" s="218"/>
      <c r="AL29" s="219"/>
    </row>
    <row r="30" spans="3:38" s="43" customFormat="1" ht="27" customHeight="1" x14ac:dyDescent="0.2">
      <c r="C30" s="220">
        <f>IF(設定!F27="4：臨時雇用者",,設定!C27)</f>
        <v>0</v>
      </c>
      <c r="D30" s="221"/>
      <c r="E30" s="221"/>
      <c r="F30" s="221"/>
      <c r="G30" s="235"/>
      <c r="H30" s="222">
        <f>IF(設定!F27="4：臨時雇用者",,設定!D27)</f>
        <v>0</v>
      </c>
      <c r="I30" s="223"/>
      <c r="J30" s="223"/>
      <c r="K30" s="224"/>
      <c r="L30" s="225">
        <f>IF(設定!F27="4：臨時雇用者",,設定!E27)</f>
        <v>0</v>
      </c>
      <c r="M30" s="226"/>
      <c r="N30" s="227"/>
      <c r="O30" s="228">
        <f>IF(設定!F27="4：臨時雇用者",,設定!F27)</f>
        <v>0</v>
      </c>
      <c r="P30" s="229"/>
      <c r="Q30" s="229"/>
      <c r="R30" s="229"/>
      <c r="S30" s="229"/>
      <c r="T30" s="229"/>
      <c r="U30" s="229"/>
      <c r="V30" s="229"/>
      <c r="W30" s="229"/>
      <c r="X30" s="230">
        <f>IF(設定!F27="4：臨時雇用者",,設定!G27)</f>
        <v>0</v>
      </c>
      <c r="Y30" s="218"/>
      <c r="Z30" s="218"/>
      <c r="AA30" s="218"/>
      <c r="AB30" s="231"/>
      <c r="AC30" s="217">
        <f>IF(設定!F27="4：臨時雇用者",,設定!V27)</f>
        <v>0</v>
      </c>
      <c r="AD30" s="218"/>
      <c r="AE30" s="218"/>
      <c r="AF30" s="218"/>
      <c r="AG30" s="231"/>
      <c r="AH30" s="217">
        <f>IF(設定!F27="4：臨時雇用者",,設定!W27)</f>
        <v>0</v>
      </c>
      <c r="AI30" s="218"/>
      <c r="AJ30" s="218"/>
      <c r="AK30" s="218"/>
      <c r="AL30" s="219"/>
    </row>
    <row r="31" spans="3:38" s="43" customFormat="1" ht="27" customHeight="1" x14ac:dyDescent="0.2">
      <c r="C31" s="220">
        <f>IF(設定!F28="4：臨時雇用者",,設定!C28)</f>
        <v>0</v>
      </c>
      <c r="D31" s="221"/>
      <c r="E31" s="221"/>
      <c r="F31" s="221"/>
      <c r="G31" s="235"/>
      <c r="H31" s="222">
        <f>IF(設定!F28="4：臨時雇用者",,設定!D28)</f>
        <v>0</v>
      </c>
      <c r="I31" s="223"/>
      <c r="J31" s="223"/>
      <c r="K31" s="224"/>
      <c r="L31" s="225">
        <f>IF(設定!F28="4：臨時雇用者",,設定!E28)</f>
        <v>0</v>
      </c>
      <c r="M31" s="226"/>
      <c r="N31" s="227"/>
      <c r="O31" s="228">
        <f>IF(設定!F28="4：臨時雇用者",,設定!F28)</f>
        <v>0</v>
      </c>
      <c r="P31" s="229"/>
      <c r="Q31" s="229"/>
      <c r="R31" s="229"/>
      <c r="S31" s="229"/>
      <c r="T31" s="229"/>
      <c r="U31" s="229"/>
      <c r="V31" s="229"/>
      <c r="W31" s="229"/>
      <c r="X31" s="230">
        <f>IF(設定!F28="4：臨時雇用者",,設定!G28)</f>
        <v>0</v>
      </c>
      <c r="Y31" s="218"/>
      <c r="Z31" s="218"/>
      <c r="AA31" s="218"/>
      <c r="AB31" s="231"/>
      <c r="AC31" s="217">
        <f>IF(設定!F28="4：臨時雇用者",,設定!V28)</f>
        <v>0</v>
      </c>
      <c r="AD31" s="218"/>
      <c r="AE31" s="218"/>
      <c r="AF31" s="218"/>
      <c r="AG31" s="231"/>
      <c r="AH31" s="217">
        <f>IF(設定!F28="4：臨時雇用者",,設定!W28)</f>
        <v>0</v>
      </c>
      <c r="AI31" s="218"/>
      <c r="AJ31" s="218"/>
      <c r="AK31" s="218"/>
      <c r="AL31" s="219"/>
    </row>
    <row r="32" spans="3:38" s="43" customFormat="1" ht="27" customHeight="1" x14ac:dyDescent="0.2">
      <c r="C32" s="220">
        <f>IF(設定!F29="4：臨時雇用者",,設定!C29)</f>
        <v>0</v>
      </c>
      <c r="D32" s="221"/>
      <c r="E32" s="221"/>
      <c r="F32" s="221"/>
      <c r="G32" s="235"/>
      <c r="H32" s="222">
        <f>IF(設定!F29="4：臨時雇用者",,設定!D29)</f>
        <v>0</v>
      </c>
      <c r="I32" s="223"/>
      <c r="J32" s="223"/>
      <c r="K32" s="224"/>
      <c r="L32" s="225">
        <f>IF(設定!F29="4：臨時雇用者",,設定!E29)</f>
        <v>0</v>
      </c>
      <c r="M32" s="226"/>
      <c r="N32" s="227"/>
      <c r="O32" s="228">
        <f>IF(設定!F29="4：臨時雇用者",,設定!F29)</f>
        <v>0</v>
      </c>
      <c r="P32" s="229"/>
      <c r="Q32" s="229"/>
      <c r="R32" s="229"/>
      <c r="S32" s="229"/>
      <c r="T32" s="229"/>
      <c r="U32" s="229"/>
      <c r="V32" s="229"/>
      <c r="W32" s="229"/>
      <c r="X32" s="230">
        <f>IF(設定!F29="4：臨時雇用者",,設定!G29)</f>
        <v>0</v>
      </c>
      <c r="Y32" s="218"/>
      <c r="Z32" s="218"/>
      <c r="AA32" s="218"/>
      <c r="AB32" s="231"/>
      <c r="AC32" s="217">
        <f>IF(設定!F29="4：臨時雇用者",,設定!V29)</f>
        <v>0</v>
      </c>
      <c r="AD32" s="218"/>
      <c r="AE32" s="218"/>
      <c r="AF32" s="218"/>
      <c r="AG32" s="231"/>
      <c r="AH32" s="217">
        <f>IF(設定!F29="4：臨時雇用者",,設定!W29)</f>
        <v>0</v>
      </c>
      <c r="AI32" s="218"/>
      <c r="AJ32" s="218"/>
      <c r="AK32" s="218"/>
      <c r="AL32" s="219"/>
    </row>
    <row r="33" spans="3:38" s="43" customFormat="1" ht="27" customHeight="1" x14ac:dyDescent="0.2">
      <c r="C33" s="220">
        <f>IF(設定!F30="4：臨時雇用者",,設定!C30)</f>
        <v>0</v>
      </c>
      <c r="D33" s="221"/>
      <c r="E33" s="221"/>
      <c r="F33" s="221"/>
      <c r="G33" s="235"/>
      <c r="H33" s="222">
        <f>IF(設定!F30="4：臨時雇用者",,設定!D30)</f>
        <v>0</v>
      </c>
      <c r="I33" s="223"/>
      <c r="J33" s="223"/>
      <c r="K33" s="224"/>
      <c r="L33" s="225">
        <f>IF(設定!F30="4：臨時雇用者",,設定!E30)</f>
        <v>0</v>
      </c>
      <c r="M33" s="226"/>
      <c r="N33" s="227"/>
      <c r="O33" s="228">
        <f>IF(設定!F30="4：臨時雇用者",,設定!F30)</f>
        <v>0</v>
      </c>
      <c r="P33" s="229"/>
      <c r="Q33" s="229"/>
      <c r="R33" s="229"/>
      <c r="S33" s="229"/>
      <c r="T33" s="229"/>
      <c r="U33" s="229"/>
      <c r="V33" s="229"/>
      <c r="W33" s="229"/>
      <c r="X33" s="230">
        <f>IF(設定!F30="4：臨時雇用者",,設定!G30)</f>
        <v>0</v>
      </c>
      <c r="Y33" s="218"/>
      <c r="Z33" s="218"/>
      <c r="AA33" s="218"/>
      <c r="AB33" s="231"/>
      <c r="AC33" s="217">
        <f>IF(設定!F30="4：臨時雇用者",,設定!V30)</f>
        <v>0</v>
      </c>
      <c r="AD33" s="218"/>
      <c r="AE33" s="218"/>
      <c r="AF33" s="218"/>
      <c r="AG33" s="231"/>
      <c r="AH33" s="217">
        <f>IF(設定!F30="4：臨時雇用者",,設定!W30)</f>
        <v>0</v>
      </c>
      <c r="AI33" s="218"/>
      <c r="AJ33" s="218"/>
      <c r="AK33" s="218"/>
      <c r="AL33" s="219"/>
    </row>
    <row r="34" spans="3:38" s="43" customFormat="1" ht="27" customHeight="1" x14ac:dyDescent="0.2">
      <c r="C34" s="220">
        <f>IF(設定!F31="4：臨時雇用者",,設定!C31)</f>
        <v>0</v>
      </c>
      <c r="D34" s="221"/>
      <c r="E34" s="221"/>
      <c r="F34" s="221"/>
      <c r="G34" s="235"/>
      <c r="H34" s="222">
        <f>IF(設定!F31="4：臨時雇用者",,設定!D31)</f>
        <v>0</v>
      </c>
      <c r="I34" s="223"/>
      <c r="J34" s="223"/>
      <c r="K34" s="224"/>
      <c r="L34" s="225">
        <f>IF(設定!F31="4：臨時雇用者",,設定!E31)</f>
        <v>0</v>
      </c>
      <c r="M34" s="226"/>
      <c r="N34" s="227"/>
      <c r="O34" s="228">
        <f>IF(設定!F31="4：臨時雇用者",,設定!F31)</f>
        <v>0</v>
      </c>
      <c r="P34" s="229"/>
      <c r="Q34" s="229"/>
      <c r="R34" s="229"/>
      <c r="S34" s="229"/>
      <c r="T34" s="229"/>
      <c r="U34" s="229"/>
      <c r="V34" s="229"/>
      <c r="W34" s="229"/>
      <c r="X34" s="230">
        <f>IF(設定!F31="4：臨時雇用者",,設定!G31)</f>
        <v>0</v>
      </c>
      <c r="Y34" s="218"/>
      <c r="Z34" s="218"/>
      <c r="AA34" s="218"/>
      <c r="AB34" s="231"/>
      <c r="AC34" s="217">
        <f>IF(設定!F31="4：臨時雇用者",,設定!V31)</f>
        <v>0</v>
      </c>
      <c r="AD34" s="218"/>
      <c r="AE34" s="218"/>
      <c r="AF34" s="218"/>
      <c r="AG34" s="231"/>
      <c r="AH34" s="217">
        <f>IF(設定!F31="4：臨時雇用者",,設定!W31)</f>
        <v>0</v>
      </c>
      <c r="AI34" s="218"/>
      <c r="AJ34" s="218"/>
      <c r="AK34" s="218"/>
      <c r="AL34" s="219"/>
    </row>
    <row r="35" spans="3:38" s="43" customFormat="1" ht="27" customHeight="1" x14ac:dyDescent="0.2">
      <c r="C35" s="220">
        <f>IF(設定!F32="4：臨時雇用者",,設定!C32)</f>
        <v>0</v>
      </c>
      <c r="D35" s="221"/>
      <c r="E35" s="221"/>
      <c r="F35" s="221"/>
      <c r="G35" s="235"/>
      <c r="H35" s="222">
        <f>IF(設定!F32="4：臨時雇用者",,設定!D32)</f>
        <v>0</v>
      </c>
      <c r="I35" s="223"/>
      <c r="J35" s="223"/>
      <c r="K35" s="224"/>
      <c r="L35" s="225">
        <f>IF(設定!F32="4：臨時雇用者",,設定!E32)</f>
        <v>0</v>
      </c>
      <c r="M35" s="226"/>
      <c r="N35" s="227"/>
      <c r="O35" s="228">
        <f>IF(設定!F32="4：臨時雇用者",,設定!F32)</f>
        <v>0</v>
      </c>
      <c r="P35" s="229"/>
      <c r="Q35" s="229"/>
      <c r="R35" s="229"/>
      <c r="S35" s="229"/>
      <c r="T35" s="229"/>
      <c r="U35" s="229"/>
      <c r="V35" s="229"/>
      <c r="W35" s="229"/>
      <c r="X35" s="230">
        <f>IF(設定!F32="4：臨時雇用者",,設定!G32)</f>
        <v>0</v>
      </c>
      <c r="Y35" s="218"/>
      <c r="Z35" s="218"/>
      <c r="AA35" s="218"/>
      <c r="AB35" s="231"/>
      <c r="AC35" s="217">
        <f>IF(設定!F32="4：臨時雇用者",,設定!V32)</f>
        <v>0</v>
      </c>
      <c r="AD35" s="218"/>
      <c r="AE35" s="218"/>
      <c r="AF35" s="218"/>
      <c r="AG35" s="231"/>
      <c r="AH35" s="217">
        <f>IF(設定!F32="4：臨時雇用者",,設定!W32)</f>
        <v>0</v>
      </c>
      <c r="AI35" s="218"/>
      <c r="AJ35" s="218"/>
      <c r="AK35" s="218"/>
      <c r="AL35" s="219"/>
    </row>
    <row r="36" spans="3:38" s="43" customFormat="1" ht="27" customHeight="1" x14ac:dyDescent="0.2">
      <c r="C36" s="220">
        <f>IF(設定!F33="4：臨時雇用者",,設定!C33)</f>
        <v>0</v>
      </c>
      <c r="D36" s="221"/>
      <c r="E36" s="221"/>
      <c r="F36" s="221"/>
      <c r="G36" s="235"/>
      <c r="H36" s="222">
        <f>IF(設定!F33="4：臨時雇用者",,設定!D33)</f>
        <v>0</v>
      </c>
      <c r="I36" s="223"/>
      <c r="J36" s="223"/>
      <c r="K36" s="224"/>
      <c r="L36" s="225">
        <f>IF(設定!F33="4：臨時雇用者",,設定!E33)</f>
        <v>0</v>
      </c>
      <c r="M36" s="226"/>
      <c r="N36" s="227"/>
      <c r="O36" s="228">
        <f>IF(設定!F33="4：臨時雇用者",,設定!F33)</f>
        <v>0</v>
      </c>
      <c r="P36" s="229"/>
      <c r="Q36" s="229"/>
      <c r="R36" s="229"/>
      <c r="S36" s="229"/>
      <c r="T36" s="229"/>
      <c r="U36" s="229"/>
      <c r="V36" s="229"/>
      <c r="W36" s="229"/>
      <c r="X36" s="230">
        <f>IF(設定!F33="4：臨時雇用者",,設定!G33)</f>
        <v>0</v>
      </c>
      <c r="Y36" s="218"/>
      <c r="Z36" s="218"/>
      <c r="AA36" s="218"/>
      <c r="AB36" s="231"/>
      <c r="AC36" s="217">
        <f>IF(設定!F33="4：臨時雇用者",,設定!V33)</f>
        <v>0</v>
      </c>
      <c r="AD36" s="218"/>
      <c r="AE36" s="218"/>
      <c r="AF36" s="218"/>
      <c r="AG36" s="231"/>
      <c r="AH36" s="217">
        <f>IF(設定!F33="4：臨時雇用者",,設定!W33)</f>
        <v>0</v>
      </c>
      <c r="AI36" s="218"/>
      <c r="AJ36" s="218"/>
      <c r="AK36" s="218"/>
      <c r="AL36" s="219"/>
    </row>
    <row r="37" spans="3:38" s="43" customFormat="1" ht="27" customHeight="1" x14ac:dyDescent="0.2">
      <c r="C37" s="220">
        <f>IF(設定!F34="4：臨時雇用者",,設定!C34)</f>
        <v>0</v>
      </c>
      <c r="D37" s="221"/>
      <c r="E37" s="221"/>
      <c r="F37" s="221"/>
      <c r="G37" s="235"/>
      <c r="H37" s="222">
        <f>IF(設定!F34="4：臨時雇用者",,設定!D34)</f>
        <v>0</v>
      </c>
      <c r="I37" s="223"/>
      <c r="J37" s="223"/>
      <c r="K37" s="224"/>
      <c r="L37" s="225">
        <f>IF(設定!F34="4：臨時雇用者",,設定!E34)</f>
        <v>0</v>
      </c>
      <c r="M37" s="226"/>
      <c r="N37" s="227"/>
      <c r="O37" s="228">
        <f>IF(設定!F34="4：臨時雇用者",,設定!F34)</f>
        <v>0</v>
      </c>
      <c r="P37" s="229"/>
      <c r="Q37" s="229"/>
      <c r="R37" s="229"/>
      <c r="S37" s="229"/>
      <c r="T37" s="229"/>
      <c r="U37" s="229"/>
      <c r="V37" s="229"/>
      <c r="W37" s="229"/>
      <c r="X37" s="230">
        <f>IF(設定!F34="4：臨時雇用者",,設定!G34)</f>
        <v>0</v>
      </c>
      <c r="Y37" s="218"/>
      <c r="Z37" s="218"/>
      <c r="AA37" s="218"/>
      <c r="AB37" s="231"/>
      <c r="AC37" s="217">
        <f>IF(設定!F34="4：臨時雇用者",,設定!V34)</f>
        <v>0</v>
      </c>
      <c r="AD37" s="218"/>
      <c r="AE37" s="218"/>
      <c r="AF37" s="218"/>
      <c r="AG37" s="231"/>
      <c r="AH37" s="217">
        <f>IF(設定!F34="4：臨時雇用者",,設定!W34)</f>
        <v>0</v>
      </c>
      <c r="AI37" s="218"/>
      <c r="AJ37" s="218"/>
      <c r="AK37" s="218"/>
      <c r="AL37" s="219"/>
    </row>
    <row r="38" spans="3:38" s="43" customFormat="1" ht="27" customHeight="1" x14ac:dyDescent="0.2">
      <c r="C38" s="220">
        <f>IF(設定!F35="4：臨時雇用者",,設定!C35)</f>
        <v>0</v>
      </c>
      <c r="D38" s="221"/>
      <c r="E38" s="221"/>
      <c r="F38" s="221"/>
      <c r="G38" s="235"/>
      <c r="H38" s="222">
        <f>IF(設定!F35="4：臨時雇用者",,設定!D35)</f>
        <v>0</v>
      </c>
      <c r="I38" s="223"/>
      <c r="J38" s="223"/>
      <c r="K38" s="224"/>
      <c r="L38" s="225">
        <f>IF(設定!F35="4：臨時雇用者",,設定!E35)</f>
        <v>0</v>
      </c>
      <c r="M38" s="226"/>
      <c r="N38" s="227"/>
      <c r="O38" s="228">
        <f>IF(設定!F35="4：臨時雇用者",,設定!F35)</f>
        <v>0</v>
      </c>
      <c r="P38" s="229"/>
      <c r="Q38" s="229"/>
      <c r="R38" s="229"/>
      <c r="S38" s="229"/>
      <c r="T38" s="229"/>
      <c r="U38" s="229"/>
      <c r="V38" s="229"/>
      <c r="W38" s="229"/>
      <c r="X38" s="230">
        <f>IF(設定!F35="4：臨時雇用者",,設定!G35)</f>
        <v>0</v>
      </c>
      <c r="Y38" s="218"/>
      <c r="Z38" s="218"/>
      <c r="AA38" s="218"/>
      <c r="AB38" s="231"/>
      <c r="AC38" s="217">
        <f>IF(設定!F35="4：臨時雇用者",,設定!V35)</f>
        <v>0</v>
      </c>
      <c r="AD38" s="218"/>
      <c r="AE38" s="218"/>
      <c r="AF38" s="218"/>
      <c r="AG38" s="231"/>
      <c r="AH38" s="217">
        <f>IF(設定!F35="4：臨時雇用者",,設定!W35)</f>
        <v>0</v>
      </c>
      <c r="AI38" s="218"/>
      <c r="AJ38" s="218"/>
      <c r="AK38" s="218"/>
      <c r="AL38" s="219"/>
    </row>
    <row r="39" spans="3:38" s="43" customFormat="1" ht="27" customHeight="1" x14ac:dyDescent="0.2">
      <c r="C39" s="220">
        <f>IF(設定!F36="4：臨時雇用者",,設定!C36)</f>
        <v>0</v>
      </c>
      <c r="D39" s="221"/>
      <c r="E39" s="221"/>
      <c r="F39" s="221"/>
      <c r="G39" s="235"/>
      <c r="H39" s="222">
        <f>IF(設定!F36="4：臨時雇用者",,設定!D36)</f>
        <v>0</v>
      </c>
      <c r="I39" s="223"/>
      <c r="J39" s="223"/>
      <c r="K39" s="224"/>
      <c r="L39" s="225">
        <f>IF(設定!F36="4：臨時雇用者",,設定!E36)</f>
        <v>0</v>
      </c>
      <c r="M39" s="226"/>
      <c r="N39" s="227"/>
      <c r="O39" s="228">
        <f>IF(設定!F36="4：臨時雇用者",,設定!F36)</f>
        <v>0</v>
      </c>
      <c r="P39" s="229"/>
      <c r="Q39" s="229"/>
      <c r="R39" s="229"/>
      <c r="S39" s="229"/>
      <c r="T39" s="229"/>
      <c r="U39" s="229"/>
      <c r="V39" s="229"/>
      <c r="W39" s="229"/>
      <c r="X39" s="230">
        <f>IF(設定!F36="4：臨時雇用者",,設定!G36)</f>
        <v>0</v>
      </c>
      <c r="Y39" s="218"/>
      <c r="Z39" s="218"/>
      <c r="AA39" s="218"/>
      <c r="AB39" s="231"/>
      <c r="AC39" s="217">
        <f>IF(設定!F36="4：臨時雇用者",,設定!V36)</f>
        <v>0</v>
      </c>
      <c r="AD39" s="218"/>
      <c r="AE39" s="218"/>
      <c r="AF39" s="218"/>
      <c r="AG39" s="231"/>
      <c r="AH39" s="217">
        <f>IF(設定!F36="4：臨時雇用者",,設定!W36)</f>
        <v>0</v>
      </c>
      <c r="AI39" s="218"/>
      <c r="AJ39" s="218"/>
      <c r="AK39" s="218"/>
      <c r="AL39" s="219"/>
    </row>
    <row r="40" spans="3:38" s="43" customFormat="1" ht="27" customHeight="1" x14ac:dyDescent="0.2">
      <c r="C40" s="220">
        <f>IF(設定!F37="4：臨時雇用者",,設定!C37)</f>
        <v>0</v>
      </c>
      <c r="D40" s="221"/>
      <c r="E40" s="221"/>
      <c r="F40" s="221"/>
      <c r="G40" s="235"/>
      <c r="H40" s="222">
        <f>IF(設定!F37="4：臨時雇用者",,設定!D37)</f>
        <v>0</v>
      </c>
      <c r="I40" s="223"/>
      <c r="J40" s="223"/>
      <c r="K40" s="224"/>
      <c r="L40" s="225">
        <f>IF(設定!F37="4：臨時雇用者",,設定!E37)</f>
        <v>0</v>
      </c>
      <c r="M40" s="226"/>
      <c r="N40" s="227"/>
      <c r="O40" s="228">
        <f>IF(設定!F37="4：臨時雇用者",,設定!F37)</f>
        <v>0</v>
      </c>
      <c r="P40" s="229"/>
      <c r="Q40" s="229"/>
      <c r="R40" s="229"/>
      <c r="S40" s="229"/>
      <c r="T40" s="229"/>
      <c r="U40" s="229"/>
      <c r="V40" s="229"/>
      <c r="W40" s="229"/>
      <c r="X40" s="230">
        <f>IF(設定!F37="4：臨時雇用者",,設定!G37)</f>
        <v>0</v>
      </c>
      <c r="Y40" s="218"/>
      <c r="Z40" s="218"/>
      <c r="AA40" s="218"/>
      <c r="AB40" s="231"/>
      <c r="AC40" s="217">
        <f>IF(設定!F37="4：臨時雇用者",,設定!V37)</f>
        <v>0</v>
      </c>
      <c r="AD40" s="218"/>
      <c r="AE40" s="218"/>
      <c r="AF40" s="218"/>
      <c r="AG40" s="231"/>
      <c r="AH40" s="217">
        <f>IF(設定!F37="4：臨時雇用者",,設定!W37)</f>
        <v>0</v>
      </c>
      <c r="AI40" s="218"/>
      <c r="AJ40" s="218"/>
      <c r="AK40" s="218"/>
      <c r="AL40" s="219"/>
    </row>
    <row r="41" spans="3:38" s="43" customFormat="1" ht="27" customHeight="1" x14ac:dyDescent="0.2">
      <c r="C41" s="220">
        <f>IF(設定!F38="4：臨時雇用者",,設定!C38)</f>
        <v>0</v>
      </c>
      <c r="D41" s="221"/>
      <c r="E41" s="221"/>
      <c r="F41" s="221"/>
      <c r="G41" s="235"/>
      <c r="H41" s="222">
        <f>IF(設定!F38="4：臨時雇用者",,設定!D38)</f>
        <v>0</v>
      </c>
      <c r="I41" s="223"/>
      <c r="J41" s="223"/>
      <c r="K41" s="224"/>
      <c r="L41" s="225">
        <f>IF(設定!F38="4：臨時雇用者",,設定!E38)</f>
        <v>0</v>
      </c>
      <c r="M41" s="226"/>
      <c r="N41" s="227"/>
      <c r="O41" s="228">
        <f>IF(設定!F38="4：臨時雇用者",,設定!F38)</f>
        <v>0</v>
      </c>
      <c r="P41" s="229"/>
      <c r="Q41" s="229"/>
      <c r="R41" s="229"/>
      <c r="S41" s="229"/>
      <c r="T41" s="229"/>
      <c r="U41" s="229"/>
      <c r="V41" s="229"/>
      <c r="W41" s="229"/>
      <c r="X41" s="230">
        <f>IF(設定!F38="4：臨時雇用者",,設定!G38)</f>
        <v>0</v>
      </c>
      <c r="Y41" s="218"/>
      <c r="Z41" s="218"/>
      <c r="AA41" s="218"/>
      <c r="AB41" s="231"/>
      <c r="AC41" s="217">
        <f>IF(設定!F38="4：臨時雇用者",,設定!V38)</f>
        <v>0</v>
      </c>
      <c r="AD41" s="218"/>
      <c r="AE41" s="218"/>
      <c r="AF41" s="218"/>
      <c r="AG41" s="231"/>
      <c r="AH41" s="217">
        <f>IF(設定!F38="4：臨時雇用者",,設定!W38)</f>
        <v>0</v>
      </c>
      <c r="AI41" s="218"/>
      <c r="AJ41" s="218"/>
      <c r="AK41" s="218"/>
      <c r="AL41" s="219"/>
    </row>
    <row r="42" spans="3:38" s="43" customFormat="1" ht="27" customHeight="1" x14ac:dyDescent="0.2">
      <c r="C42" s="220">
        <f>IF(設定!F39="4：臨時雇用者",,設定!C39)</f>
        <v>0</v>
      </c>
      <c r="D42" s="221"/>
      <c r="E42" s="221"/>
      <c r="F42" s="221"/>
      <c r="G42" s="235"/>
      <c r="H42" s="222">
        <f>IF(設定!F39="4：臨時雇用者",,設定!D39)</f>
        <v>0</v>
      </c>
      <c r="I42" s="223"/>
      <c r="J42" s="223"/>
      <c r="K42" s="224"/>
      <c r="L42" s="225">
        <f>IF(設定!F39="4：臨時雇用者",,設定!E39)</f>
        <v>0</v>
      </c>
      <c r="M42" s="226"/>
      <c r="N42" s="227"/>
      <c r="O42" s="228">
        <f>IF(設定!F39="4：臨時雇用者",,設定!F39)</f>
        <v>0</v>
      </c>
      <c r="P42" s="229"/>
      <c r="Q42" s="229"/>
      <c r="R42" s="229"/>
      <c r="S42" s="229"/>
      <c r="T42" s="229"/>
      <c r="U42" s="229"/>
      <c r="V42" s="229"/>
      <c r="W42" s="229"/>
      <c r="X42" s="230">
        <f>IF(設定!F39="4：臨時雇用者",,設定!G39)</f>
        <v>0</v>
      </c>
      <c r="Y42" s="218"/>
      <c r="Z42" s="218"/>
      <c r="AA42" s="218"/>
      <c r="AB42" s="231"/>
      <c r="AC42" s="217">
        <f>IF(設定!F39="4：臨時雇用者",,設定!V39)</f>
        <v>0</v>
      </c>
      <c r="AD42" s="218"/>
      <c r="AE42" s="218"/>
      <c r="AF42" s="218"/>
      <c r="AG42" s="231"/>
      <c r="AH42" s="217">
        <f>IF(設定!F39="4：臨時雇用者",,設定!W39)</f>
        <v>0</v>
      </c>
      <c r="AI42" s="218"/>
      <c r="AJ42" s="218"/>
      <c r="AK42" s="218"/>
      <c r="AL42" s="219"/>
    </row>
    <row r="43" spans="3:38" s="43" customFormat="1" ht="27" customHeight="1" x14ac:dyDescent="0.2">
      <c r="C43" s="220">
        <f>IF(設定!F40="4：臨時雇用者",,設定!C40)</f>
        <v>0</v>
      </c>
      <c r="D43" s="221"/>
      <c r="E43" s="221"/>
      <c r="F43" s="221"/>
      <c r="G43" s="235"/>
      <c r="H43" s="222">
        <f>IF(設定!F40="4：臨時雇用者",,設定!D40)</f>
        <v>0</v>
      </c>
      <c r="I43" s="223"/>
      <c r="J43" s="223"/>
      <c r="K43" s="224"/>
      <c r="L43" s="225">
        <f>IF(設定!F40="4：臨時雇用者",,設定!E40)</f>
        <v>0</v>
      </c>
      <c r="M43" s="226"/>
      <c r="N43" s="227"/>
      <c r="O43" s="228">
        <f>IF(設定!F40="4：臨時雇用者",,設定!F40)</f>
        <v>0</v>
      </c>
      <c r="P43" s="229"/>
      <c r="Q43" s="229"/>
      <c r="R43" s="229"/>
      <c r="S43" s="229"/>
      <c r="T43" s="229"/>
      <c r="U43" s="229"/>
      <c r="V43" s="229"/>
      <c r="W43" s="229"/>
      <c r="X43" s="230">
        <f>IF(設定!F40="4：臨時雇用者",,設定!G40)</f>
        <v>0</v>
      </c>
      <c r="Y43" s="218"/>
      <c r="Z43" s="218"/>
      <c r="AA43" s="218"/>
      <c r="AB43" s="231"/>
      <c r="AC43" s="217">
        <f>IF(設定!F40="4：臨時雇用者",,設定!V40)</f>
        <v>0</v>
      </c>
      <c r="AD43" s="218"/>
      <c r="AE43" s="218"/>
      <c r="AF43" s="218"/>
      <c r="AG43" s="231"/>
      <c r="AH43" s="217">
        <f>IF(設定!F40="4：臨時雇用者",,設定!W40)</f>
        <v>0</v>
      </c>
      <c r="AI43" s="218"/>
      <c r="AJ43" s="218"/>
      <c r="AK43" s="218"/>
      <c r="AL43" s="219"/>
    </row>
    <row r="44" spans="3:38" s="43" customFormat="1" ht="27" customHeight="1" x14ac:dyDescent="0.2">
      <c r="C44" s="220">
        <f>IF(設定!F41="4：臨時雇用者",,設定!C41)</f>
        <v>0</v>
      </c>
      <c r="D44" s="221"/>
      <c r="E44" s="221"/>
      <c r="F44" s="221"/>
      <c r="G44" s="235"/>
      <c r="H44" s="222">
        <f>IF(設定!F41="4：臨時雇用者",,設定!D41)</f>
        <v>0</v>
      </c>
      <c r="I44" s="223"/>
      <c r="J44" s="223"/>
      <c r="K44" s="224"/>
      <c r="L44" s="225">
        <f>IF(設定!F41="4：臨時雇用者",,設定!E41)</f>
        <v>0</v>
      </c>
      <c r="M44" s="226"/>
      <c r="N44" s="227"/>
      <c r="O44" s="228">
        <f>IF(設定!F41="4：臨時雇用者",,設定!F41)</f>
        <v>0</v>
      </c>
      <c r="P44" s="229"/>
      <c r="Q44" s="229"/>
      <c r="R44" s="229"/>
      <c r="S44" s="229"/>
      <c r="T44" s="229"/>
      <c r="U44" s="229"/>
      <c r="V44" s="229"/>
      <c r="W44" s="229"/>
      <c r="X44" s="230">
        <f>IF(設定!F41="4：臨時雇用者",,設定!G41)</f>
        <v>0</v>
      </c>
      <c r="Y44" s="218"/>
      <c r="Z44" s="218"/>
      <c r="AA44" s="218"/>
      <c r="AB44" s="231"/>
      <c r="AC44" s="217">
        <f>IF(設定!F41="4：臨時雇用者",,設定!V41)</f>
        <v>0</v>
      </c>
      <c r="AD44" s="218"/>
      <c r="AE44" s="218"/>
      <c r="AF44" s="218"/>
      <c r="AG44" s="231"/>
      <c r="AH44" s="217">
        <f>IF(設定!F41="4：臨時雇用者",,設定!W41)</f>
        <v>0</v>
      </c>
      <c r="AI44" s="218"/>
      <c r="AJ44" s="218"/>
      <c r="AK44" s="218"/>
      <c r="AL44" s="219"/>
    </row>
    <row r="45" spans="3:38" s="43" customFormat="1" ht="27" customHeight="1" x14ac:dyDescent="0.2">
      <c r="C45" s="220">
        <f>IF(設定!F42="4：臨時雇用者",,設定!C42)</f>
        <v>0</v>
      </c>
      <c r="D45" s="221"/>
      <c r="E45" s="221"/>
      <c r="F45" s="221"/>
      <c r="G45" s="235"/>
      <c r="H45" s="222">
        <f>IF(設定!F42="4：臨時雇用者",,設定!D42)</f>
        <v>0</v>
      </c>
      <c r="I45" s="223"/>
      <c r="J45" s="223"/>
      <c r="K45" s="224"/>
      <c r="L45" s="225">
        <f>IF(設定!F42="4：臨時雇用者",,設定!E42)</f>
        <v>0</v>
      </c>
      <c r="M45" s="226"/>
      <c r="N45" s="227"/>
      <c r="O45" s="228">
        <f>IF(設定!F42="4：臨時雇用者",,設定!F42)</f>
        <v>0</v>
      </c>
      <c r="P45" s="229"/>
      <c r="Q45" s="229"/>
      <c r="R45" s="229"/>
      <c r="S45" s="229"/>
      <c r="T45" s="229"/>
      <c r="U45" s="229"/>
      <c r="V45" s="229"/>
      <c r="W45" s="229"/>
      <c r="X45" s="230">
        <f>IF(設定!F42="4：臨時雇用者",,設定!G42)</f>
        <v>0</v>
      </c>
      <c r="Y45" s="218"/>
      <c r="Z45" s="218"/>
      <c r="AA45" s="218"/>
      <c r="AB45" s="231"/>
      <c r="AC45" s="217">
        <f>IF(設定!F42="4：臨時雇用者",,設定!V42)</f>
        <v>0</v>
      </c>
      <c r="AD45" s="218"/>
      <c r="AE45" s="218"/>
      <c r="AF45" s="218"/>
      <c r="AG45" s="231"/>
      <c r="AH45" s="217">
        <f>IF(設定!F42="4：臨時雇用者",,設定!W42)</f>
        <v>0</v>
      </c>
      <c r="AI45" s="218"/>
      <c r="AJ45" s="218"/>
      <c r="AK45" s="218"/>
      <c r="AL45" s="219"/>
    </row>
    <row r="46" spans="3:38" s="43" customFormat="1" ht="27" customHeight="1" x14ac:dyDescent="0.2">
      <c r="C46" s="220">
        <f>IF(設定!F43="4：臨時雇用者",,設定!C43)</f>
        <v>0</v>
      </c>
      <c r="D46" s="221"/>
      <c r="E46" s="221"/>
      <c r="F46" s="221"/>
      <c r="G46" s="235"/>
      <c r="H46" s="222">
        <f>IF(設定!F43="4：臨時雇用者",,設定!D43)</f>
        <v>0</v>
      </c>
      <c r="I46" s="223"/>
      <c r="J46" s="223"/>
      <c r="K46" s="224"/>
      <c r="L46" s="225">
        <f>IF(設定!F43="4：臨時雇用者",,設定!E43)</f>
        <v>0</v>
      </c>
      <c r="M46" s="226"/>
      <c r="N46" s="227"/>
      <c r="O46" s="228">
        <f>IF(設定!F43="4：臨時雇用者",,設定!F43)</f>
        <v>0</v>
      </c>
      <c r="P46" s="229"/>
      <c r="Q46" s="229"/>
      <c r="R46" s="229"/>
      <c r="S46" s="229"/>
      <c r="T46" s="229"/>
      <c r="U46" s="229"/>
      <c r="V46" s="229"/>
      <c r="W46" s="229"/>
      <c r="X46" s="230">
        <f>IF(設定!F43="4：臨時雇用者",,設定!G43)</f>
        <v>0</v>
      </c>
      <c r="Y46" s="218"/>
      <c r="Z46" s="218"/>
      <c r="AA46" s="218"/>
      <c r="AB46" s="231"/>
      <c r="AC46" s="217">
        <f>IF(設定!F43="4：臨時雇用者",,設定!V43)</f>
        <v>0</v>
      </c>
      <c r="AD46" s="218"/>
      <c r="AE46" s="218"/>
      <c r="AF46" s="218"/>
      <c r="AG46" s="231"/>
      <c r="AH46" s="217">
        <f>IF(設定!F43="4：臨時雇用者",,設定!W43)</f>
        <v>0</v>
      </c>
      <c r="AI46" s="218"/>
      <c r="AJ46" s="218"/>
      <c r="AK46" s="218"/>
      <c r="AL46" s="219"/>
    </row>
    <row r="47" spans="3:38" s="43" customFormat="1" ht="27" customHeight="1" x14ac:dyDescent="0.2">
      <c r="C47" s="220">
        <f>IF(設定!F44="4：臨時雇用者",,設定!C44)</f>
        <v>0</v>
      </c>
      <c r="D47" s="221"/>
      <c r="E47" s="221"/>
      <c r="F47" s="221"/>
      <c r="G47" s="235"/>
      <c r="H47" s="222">
        <f>IF(設定!F44="4：臨時雇用者",,設定!D44)</f>
        <v>0</v>
      </c>
      <c r="I47" s="223"/>
      <c r="J47" s="223"/>
      <c r="K47" s="224"/>
      <c r="L47" s="225">
        <f>IF(設定!F44="4：臨時雇用者",,設定!E44)</f>
        <v>0</v>
      </c>
      <c r="M47" s="226"/>
      <c r="N47" s="227"/>
      <c r="O47" s="228">
        <f>IF(設定!F44="4：臨時雇用者",,設定!F44)</f>
        <v>0</v>
      </c>
      <c r="P47" s="229"/>
      <c r="Q47" s="229"/>
      <c r="R47" s="229"/>
      <c r="S47" s="229"/>
      <c r="T47" s="229"/>
      <c r="U47" s="229"/>
      <c r="V47" s="229"/>
      <c r="W47" s="229"/>
      <c r="X47" s="230">
        <f>IF(設定!F44="4：臨時雇用者",,設定!G44)</f>
        <v>0</v>
      </c>
      <c r="Y47" s="218"/>
      <c r="Z47" s="218"/>
      <c r="AA47" s="218"/>
      <c r="AB47" s="231"/>
      <c r="AC47" s="217">
        <f>IF(設定!F44="4：臨時雇用者",,設定!V44)</f>
        <v>0</v>
      </c>
      <c r="AD47" s="218"/>
      <c r="AE47" s="218"/>
      <c r="AF47" s="218"/>
      <c r="AG47" s="231"/>
      <c r="AH47" s="217">
        <f>IF(設定!F44="4：臨時雇用者",,設定!W44)</f>
        <v>0</v>
      </c>
      <c r="AI47" s="218"/>
      <c r="AJ47" s="218"/>
      <c r="AK47" s="218"/>
      <c r="AL47" s="219"/>
    </row>
    <row r="48" spans="3:38" s="43" customFormat="1" ht="27" customHeight="1" x14ac:dyDescent="0.2">
      <c r="C48" s="220">
        <f>IF(設定!F45="4：臨時雇用者",,設定!C45)</f>
        <v>0</v>
      </c>
      <c r="D48" s="221"/>
      <c r="E48" s="221"/>
      <c r="F48" s="221"/>
      <c r="G48" s="235"/>
      <c r="H48" s="222">
        <f>IF(設定!F45="4：臨時雇用者",,設定!D45)</f>
        <v>0</v>
      </c>
      <c r="I48" s="223"/>
      <c r="J48" s="223"/>
      <c r="K48" s="224"/>
      <c r="L48" s="225">
        <f>IF(設定!F45="4：臨時雇用者",,設定!E45)</f>
        <v>0</v>
      </c>
      <c r="M48" s="226"/>
      <c r="N48" s="227"/>
      <c r="O48" s="228">
        <f>IF(設定!F45="4：臨時雇用者",,設定!F45)</f>
        <v>0</v>
      </c>
      <c r="P48" s="229"/>
      <c r="Q48" s="229"/>
      <c r="R48" s="229"/>
      <c r="S48" s="229"/>
      <c r="T48" s="229"/>
      <c r="U48" s="229"/>
      <c r="V48" s="229"/>
      <c r="W48" s="229"/>
      <c r="X48" s="230">
        <f>IF(設定!F45="4：臨時雇用者",,設定!G45)</f>
        <v>0</v>
      </c>
      <c r="Y48" s="218"/>
      <c r="Z48" s="218"/>
      <c r="AA48" s="218"/>
      <c r="AB48" s="231"/>
      <c r="AC48" s="217">
        <f>IF(設定!F45="4：臨時雇用者",,設定!V45)</f>
        <v>0</v>
      </c>
      <c r="AD48" s="218"/>
      <c r="AE48" s="218"/>
      <c r="AF48" s="218"/>
      <c r="AG48" s="231"/>
      <c r="AH48" s="217">
        <f>IF(設定!F45="4：臨時雇用者",,設定!W45)</f>
        <v>0</v>
      </c>
      <c r="AI48" s="218"/>
      <c r="AJ48" s="218"/>
      <c r="AK48" s="218"/>
      <c r="AL48" s="219"/>
    </row>
    <row r="49" spans="3:38" s="43" customFormat="1" ht="27" customHeight="1" x14ac:dyDescent="0.2">
      <c r="C49" s="220">
        <f>IF(設定!F46="4：臨時雇用者",,設定!C46)</f>
        <v>0</v>
      </c>
      <c r="D49" s="221"/>
      <c r="E49" s="221"/>
      <c r="F49" s="221"/>
      <c r="G49" s="235"/>
      <c r="H49" s="222">
        <f>IF(設定!F46="4：臨時雇用者",,設定!D46)</f>
        <v>0</v>
      </c>
      <c r="I49" s="223"/>
      <c r="J49" s="223"/>
      <c r="K49" s="224"/>
      <c r="L49" s="225">
        <f>IF(設定!F46="4：臨時雇用者",,設定!E46)</f>
        <v>0</v>
      </c>
      <c r="M49" s="226"/>
      <c r="N49" s="227"/>
      <c r="O49" s="228">
        <f>IF(設定!F46="4：臨時雇用者",,設定!F46)</f>
        <v>0</v>
      </c>
      <c r="P49" s="229"/>
      <c r="Q49" s="229"/>
      <c r="R49" s="229"/>
      <c r="S49" s="229"/>
      <c r="T49" s="229"/>
      <c r="U49" s="229"/>
      <c r="V49" s="229"/>
      <c r="W49" s="229"/>
      <c r="X49" s="230">
        <f>IF(設定!F46="4：臨時雇用者",,設定!G46)</f>
        <v>0</v>
      </c>
      <c r="Y49" s="218"/>
      <c r="Z49" s="218"/>
      <c r="AA49" s="218"/>
      <c r="AB49" s="231"/>
      <c r="AC49" s="217">
        <f>IF(設定!F46="4：臨時雇用者",,設定!V46)</f>
        <v>0</v>
      </c>
      <c r="AD49" s="218"/>
      <c r="AE49" s="218"/>
      <c r="AF49" s="218"/>
      <c r="AG49" s="231"/>
      <c r="AH49" s="217">
        <f>IF(設定!F46="4：臨時雇用者",,設定!W46)</f>
        <v>0</v>
      </c>
      <c r="AI49" s="218"/>
      <c r="AJ49" s="218"/>
      <c r="AK49" s="218"/>
      <c r="AL49" s="219"/>
    </row>
    <row r="50" spans="3:38" s="43" customFormat="1" ht="27" customHeight="1" x14ac:dyDescent="0.2">
      <c r="C50" s="220">
        <f>IF(設定!F47="4：臨時雇用者",,設定!C47)</f>
        <v>0</v>
      </c>
      <c r="D50" s="221"/>
      <c r="E50" s="221"/>
      <c r="F50" s="221"/>
      <c r="G50" s="235"/>
      <c r="H50" s="222">
        <f>IF(設定!F47="4：臨時雇用者",,設定!D47)</f>
        <v>0</v>
      </c>
      <c r="I50" s="223"/>
      <c r="J50" s="223"/>
      <c r="K50" s="224"/>
      <c r="L50" s="225">
        <f>IF(設定!F47="4：臨時雇用者",,設定!E47)</f>
        <v>0</v>
      </c>
      <c r="M50" s="226"/>
      <c r="N50" s="227"/>
      <c r="O50" s="228">
        <f>IF(設定!F47="4：臨時雇用者",,設定!F47)</f>
        <v>0</v>
      </c>
      <c r="P50" s="229"/>
      <c r="Q50" s="229"/>
      <c r="R50" s="229"/>
      <c r="S50" s="229"/>
      <c r="T50" s="229"/>
      <c r="U50" s="229"/>
      <c r="V50" s="229"/>
      <c r="W50" s="229"/>
      <c r="X50" s="230">
        <f>IF(設定!F47="4：臨時雇用者",,設定!G47)</f>
        <v>0</v>
      </c>
      <c r="Y50" s="218"/>
      <c r="Z50" s="218"/>
      <c r="AA50" s="218"/>
      <c r="AB50" s="231"/>
      <c r="AC50" s="217">
        <f>IF(設定!F47="4：臨時雇用者",,設定!V47)</f>
        <v>0</v>
      </c>
      <c r="AD50" s="218"/>
      <c r="AE50" s="218"/>
      <c r="AF50" s="218"/>
      <c r="AG50" s="231"/>
      <c r="AH50" s="217">
        <f>IF(設定!F47="4：臨時雇用者",,設定!W47)</f>
        <v>0</v>
      </c>
      <c r="AI50" s="218"/>
      <c r="AJ50" s="218"/>
      <c r="AK50" s="218"/>
      <c r="AL50" s="219"/>
    </row>
    <row r="51" spans="3:38" s="43" customFormat="1" ht="27" customHeight="1" x14ac:dyDescent="0.2">
      <c r="C51" s="220">
        <f>IF(設定!F48="4：臨時雇用者",,設定!C48)</f>
        <v>0</v>
      </c>
      <c r="D51" s="221"/>
      <c r="E51" s="221"/>
      <c r="F51" s="221"/>
      <c r="G51" s="235"/>
      <c r="H51" s="222">
        <f>IF(設定!F48="4：臨時雇用者",,設定!D48)</f>
        <v>0</v>
      </c>
      <c r="I51" s="223"/>
      <c r="J51" s="223"/>
      <c r="K51" s="224"/>
      <c r="L51" s="225">
        <f>IF(設定!F48="4：臨時雇用者",,設定!E48)</f>
        <v>0</v>
      </c>
      <c r="M51" s="226"/>
      <c r="N51" s="227"/>
      <c r="O51" s="228">
        <f>IF(設定!F48="4：臨時雇用者",,設定!F48)</f>
        <v>0</v>
      </c>
      <c r="P51" s="229"/>
      <c r="Q51" s="229"/>
      <c r="R51" s="229"/>
      <c r="S51" s="229"/>
      <c r="T51" s="229"/>
      <c r="U51" s="229"/>
      <c r="V51" s="229"/>
      <c r="W51" s="229"/>
      <c r="X51" s="230">
        <f>IF(設定!F48="4：臨時雇用者",,設定!G48)</f>
        <v>0</v>
      </c>
      <c r="Y51" s="218"/>
      <c r="Z51" s="218"/>
      <c r="AA51" s="218"/>
      <c r="AB51" s="231"/>
      <c r="AC51" s="217">
        <f>IF(設定!F48="4：臨時雇用者",,設定!V48)</f>
        <v>0</v>
      </c>
      <c r="AD51" s="218"/>
      <c r="AE51" s="218"/>
      <c r="AF51" s="218"/>
      <c r="AG51" s="231"/>
      <c r="AH51" s="217">
        <f>IF(設定!F48="4：臨時雇用者",,設定!W48)</f>
        <v>0</v>
      </c>
      <c r="AI51" s="218"/>
      <c r="AJ51" s="218"/>
      <c r="AK51" s="218"/>
      <c r="AL51" s="219"/>
    </row>
    <row r="52" spans="3:38" s="43" customFormat="1" ht="27" customHeight="1" x14ac:dyDescent="0.2">
      <c r="C52" s="220">
        <f>IF(設定!F49="4：臨時雇用者",,設定!C49)</f>
        <v>0</v>
      </c>
      <c r="D52" s="221"/>
      <c r="E52" s="221"/>
      <c r="F52" s="221"/>
      <c r="G52" s="235"/>
      <c r="H52" s="222">
        <f>IF(設定!F49="4：臨時雇用者",,設定!D49)</f>
        <v>0</v>
      </c>
      <c r="I52" s="223"/>
      <c r="J52" s="223"/>
      <c r="K52" s="224"/>
      <c r="L52" s="225">
        <f>IF(設定!F49="4：臨時雇用者",,設定!E49)</f>
        <v>0</v>
      </c>
      <c r="M52" s="226"/>
      <c r="N52" s="227"/>
      <c r="O52" s="228">
        <f>IF(設定!F49="4：臨時雇用者",,設定!F49)</f>
        <v>0</v>
      </c>
      <c r="P52" s="229"/>
      <c r="Q52" s="229"/>
      <c r="R52" s="229"/>
      <c r="S52" s="229"/>
      <c r="T52" s="229"/>
      <c r="U52" s="229"/>
      <c r="V52" s="229"/>
      <c r="W52" s="229"/>
      <c r="X52" s="230">
        <f>IF(設定!F49="4：臨時雇用者",,設定!G49)</f>
        <v>0</v>
      </c>
      <c r="Y52" s="218"/>
      <c r="Z52" s="218"/>
      <c r="AA52" s="218"/>
      <c r="AB52" s="231"/>
      <c r="AC52" s="217">
        <f>IF(設定!F49="4：臨時雇用者",,設定!V49)</f>
        <v>0</v>
      </c>
      <c r="AD52" s="218"/>
      <c r="AE52" s="218"/>
      <c r="AF52" s="218"/>
      <c r="AG52" s="231"/>
      <c r="AH52" s="217">
        <f>IF(設定!F49="4：臨時雇用者",,設定!W49)</f>
        <v>0</v>
      </c>
      <c r="AI52" s="218"/>
      <c r="AJ52" s="218"/>
      <c r="AK52" s="218"/>
      <c r="AL52" s="219"/>
    </row>
    <row r="53" spans="3:38" s="43" customFormat="1" ht="27" customHeight="1" x14ac:dyDescent="0.2">
      <c r="C53" s="220">
        <f>IF(設定!F50="4：臨時雇用者",,設定!C50)</f>
        <v>0</v>
      </c>
      <c r="D53" s="221"/>
      <c r="E53" s="221"/>
      <c r="F53" s="221"/>
      <c r="G53" s="235"/>
      <c r="H53" s="222">
        <f>IF(設定!F50="4：臨時雇用者",,設定!D50)</f>
        <v>0</v>
      </c>
      <c r="I53" s="223"/>
      <c r="J53" s="223"/>
      <c r="K53" s="224"/>
      <c r="L53" s="225">
        <f>IF(設定!F50="4：臨時雇用者",,設定!E50)</f>
        <v>0</v>
      </c>
      <c r="M53" s="226"/>
      <c r="N53" s="227"/>
      <c r="O53" s="228">
        <f>IF(設定!F50="4：臨時雇用者",,設定!F50)</f>
        <v>0</v>
      </c>
      <c r="P53" s="229"/>
      <c r="Q53" s="229"/>
      <c r="R53" s="229"/>
      <c r="S53" s="229"/>
      <c r="T53" s="229"/>
      <c r="U53" s="229"/>
      <c r="V53" s="229"/>
      <c r="W53" s="229"/>
      <c r="X53" s="230">
        <f>IF(設定!F50="4：臨時雇用者",,設定!G50)</f>
        <v>0</v>
      </c>
      <c r="Y53" s="218"/>
      <c r="Z53" s="218"/>
      <c r="AA53" s="218"/>
      <c r="AB53" s="231"/>
      <c r="AC53" s="217">
        <f>IF(設定!F50="4：臨時雇用者",,設定!V50)</f>
        <v>0</v>
      </c>
      <c r="AD53" s="218"/>
      <c r="AE53" s="218"/>
      <c r="AF53" s="218"/>
      <c r="AG53" s="231"/>
      <c r="AH53" s="217">
        <f>IF(設定!F50="4：臨時雇用者",,設定!W50)</f>
        <v>0</v>
      </c>
      <c r="AI53" s="218"/>
      <c r="AJ53" s="218"/>
      <c r="AK53" s="218"/>
      <c r="AL53" s="219"/>
    </row>
    <row r="54" spans="3:38" s="43" customFormat="1" ht="27" customHeight="1" x14ac:dyDescent="0.2">
      <c r="C54" s="220">
        <f>IF(設定!F51="4：臨時雇用者",,設定!C51)</f>
        <v>0</v>
      </c>
      <c r="D54" s="221"/>
      <c r="E54" s="221"/>
      <c r="F54" s="221"/>
      <c r="G54" s="235"/>
      <c r="H54" s="222">
        <f>IF(設定!F51="4：臨時雇用者",,設定!D51)</f>
        <v>0</v>
      </c>
      <c r="I54" s="223"/>
      <c r="J54" s="223"/>
      <c r="K54" s="224"/>
      <c r="L54" s="225">
        <f>IF(設定!F51="4：臨時雇用者",,設定!E51)</f>
        <v>0</v>
      </c>
      <c r="M54" s="226"/>
      <c r="N54" s="227"/>
      <c r="O54" s="228">
        <f>IF(設定!F51="4：臨時雇用者",,設定!F51)</f>
        <v>0</v>
      </c>
      <c r="P54" s="229"/>
      <c r="Q54" s="229"/>
      <c r="R54" s="229"/>
      <c r="S54" s="229"/>
      <c r="T54" s="229"/>
      <c r="U54" s="229"/>
      <c r="V54" s="229"/>
      <c r="W54" s="229"/>
      <c r="X54" s="230">
        <f>IF(設定!F51="4：臨時雇用者",,設定!G51)</f>
        <v>0</v>
      </c>
      <c r="Y54" s="218"/>
      <c r="Z54" s="218"/>
      <c r="AA54" s="218"/>
      <c r="AB54" s="231"/>
      <c r="AC54" s="217">
        <f>IF(設定!F51="4：臨時雇用者",,設定!V51)</f>
        <v>0</v>
      </c>
      <c r="AD54" s="218"/>
      <c r="AE54" s="218"/>
      <c r="AF54" s="218"/>
      <c r="AG54" s="231"/>
      <c r="AH54" s="217">
        <f>IF(設定!F51="4：臨時雇用者",,設定!W51)</f>
        <v>0</v>
      </c>
      <c r="AI54" s="218"/>
      <c r="AJ54" s="218"/>
      <c r="AK54" s="218"/>
      <c r="AL54" s="219"/>
    </row>
    <row r="55" spans="3:38" s="43" customFormat="1" ht="27" customHeight="1" x14ac:dyDescent="0.2">
      <c r="C55" s="220">
        <f>IF(設定!F52="4：臨時雇用者",,設定!C52)</f>
        <v>0</v>
      </c>
      <c r="D55" s="221"/>
      <c r="E55" s="221"/>
      <c r="F55" s="221"/>
      <c r="G55" s="235"/>
      <c r="H55" s="222">
        <f>IF(設定!F52="4：臨時雇用者",,設定!D52)</f>
        <v>0</v>
      </c>
      <c r="I55" s="223"/>
      <c r="J55" s="223"/>
      <c r="K55" s="224"/>
      <c r="L55" s="225">
        <f>IF(設定!F52="4：臨時雇用者",,設定!E52)</f>
        <v>0</v>
      </c>
      <c r="M55" s="226"/>
      <c r="N55" s="227"/>
      <c r="O55" s="228">
        <f>IF(設定!F52="4：臨時雇用者",,設定!F52)</f>
        <v>0</v>
      </c>
      <c r="P55" s="229"/>
      <c r="Q55" s="229"/>
      <c r="R55" s="229"/>
      <c r="S55" s="229"/>
      <c r="T55" s="229"/>
      <c r="U55" s="229"/>
      <c r="V55" s="229"/>
      <c r="W55" s="229"/>
      <c r="X55" s="230">
        <f>IF(設定!F52="4：臨時雇用者",,設定!G52)</f>
        <v>0</v>
      </c>
      <c r="Y55" s="218"/>
      <c r="Z55" s="218"/>
      <c r="AA55" s="218"/>
      <c r="AB55" s="231"/>
      <c r="AC55" s="217">
        <f>IF(設定!F52="4：臨時雇用者",,設定!V52)</f>
        <v>0</v>
      </c>
      <c r="AD55" s="218"/>
      <c r="AE55" s="218"/>
      <c r="AF55" s="218"/>
      <c r="AG55" s="231"/>
      <c r="AH55" s="217">
        <f>IF(設定!F52="4：臨時雇用者",,設定!W52)</f>
        <v>0</v>
      </c>
      <c r="AI55" s="218"/>
      <c r="AJ55" s="218"/>
      <c r="AK55" s="218"/>
      <c r="AL55" s="219"/>
    </row>
    <row r="56" spans="3:38" s="43" customFormat="1" ht="27" customHeight="1" x14ac:dyDescent="0.2">
      <c r="C56" s="220">
        <f>IF(設定!F53="4：臨時雇用者",,設定!C53)</f>
        <v>0</v>
      </c>
      <c r="D56" s="221"/>
      <c r="E56" s="221"/>
      <c r="F56" s="221"/>
      <c r="G56" s="235"/>
      <c r="H56" s="222">
        <f>IF(設定!F53="4：臨時雇用者",,設定!D53)</f>
        <v>0</v>
      </c>
      <c r="I56" s="223"/>
      <c r="J56" s="223"/>
      <c r="K56" s="224"/>
      <c r="L56" s="225">
        <f>IF(設定!F53="4：臨時雇用者",,設定!E53)</f>
        <v>0</v>
      </c>
      <c r="M56" s="226"/>
      <c r="N56" s="227"/>
      <c r="O56" s="228">
        <f>IF(設定!F53="4：臨時雇用者",,設定!F53)</f>
        <v>0</v>
      </c>
      <c r="P56" s="229"/>
      <c r="Q56" s="229"/>
      <c r="R56" s="229"/>
      <c r="S56" s="229"/>
      <c r="T56" s="229"/>
      <c r="U56" s="229"/>
      <c r="V56" s="229"/>
      <c r="W56" s="229"/>
      <c r="X56" s="230">
        <f>IF(設定!F53="4：臨時雇用者",,設定!G53)</f>
        <v>0</v>
      </c>
      <c r="Y56" s="218"/>
      <c r="Z56" s="218"/>
      <c r="AA56" s="218"/>
      <c r="AB56" s="231"/>
      <c r="AC56" s="217">
        <f>IF(設定!F53="4：臨時雇用者",,設定!V53)</f>
        <v>0</v>
      </c>
      <c r="AD56" s="218"/>
      <c r="AE56" s="218"/>
      <c r="AF56" s="218"/>
      <c r="AG56" s="231"/>
      <c r="AH56" s="217">
        <f>IF(設定!F53="4：臨時雇用者",,設定!W53)</f>
        <v>0</v>
      </c>
      <c r="AI56" s="218"/>
      <c r="AJ56" s="218"/>
      <c r="AK56" s="218"/>
      <c r="AL56" s="219"/>
    </row>
    <row r="57" spans="3:38" s="43" customFormat="1" ht="27" customHeight="1" x14ac:dyDescent="0.2">
      <c r="C57" s="220">
        <f>IF(設定!F54="4：臨時雇用者",,設定!C54)</f>
        <v>0</v>
      </c>
      <c r="D57" s="221"/>
      <c r="E57" s="221"/>
      <c r="F57" s="221"/>
      <c r="G57" s="235"/>
      <c r="H57" s="222">
        <f>IF(設定!F54="4：臨時雇用者",,設定!D54)</f>
        <v>0</v>
      </c>
      <c r="I57" s="223"/>
      <c r="J57" s="223"/>
      <c r="K57" s="224"/>
      <c r="L57" s="225">
        <f>IF(設定!F54="4：臨時雇用者",,設定!E54)</f>
        <v>0</v>
      </c>
      <c r="M57" s="226"/>
      <c r="N57" s="227"/>
      <c r="O57" s="228">
        <f>IF(設定!F54="4：臨時雇用者",,設定!F54)</f>
        <v>0</v>
      </c>
      <c r="P57" s="229"/>
      <c r="Q57" s="229"/>
      <c r="R57" s="229"/>
      <c r="S57" s="229"/>
      <c r="T57" s="229"/>
      <c r="U57" s="229"/>
      <c r="V57" s="229"/>
      <c r="W57" s="229"/>
      <c r="X57" s="230">
        <f>IF(設定!F54="4：臨時雇用者",,設定!G54)</f>
        <v>0</v>
      </c>
      <c r="Y57" s="218"/>
      <c r="Z57" s="218"/>
      <c r="AA57" s="218"/>
      <c r="AB57" s="231"/>
      <c r="AC57" s="217">
        <f>IF(設定!F54="4：臨時雇用者",,設定!V54)</f>
        <v>0</v>
      </c>
      <c r="AD57" s="218"/>
      <c r="AE57" s="218"/>
      <c r="AF57" s="218"/>
      <c r="AG57" s="231"/>
      <c r="AH57" s="217">
        <f>IF(設定!F54="4：臨時雇用者",,設定!W54)</f>
        <v>0</v>
      </c>
      <c r="AI57" s="218"/>
      <c r="AJ57" s="218"/>
      <c r="AK57" s="218"/>
      <c r="AL57" s="219"/>
    </row>
    <row r="58" spans="3:38" s="43" customFormat="1" ht="27" customHeight="1" x14ac:dyDescent="0.2">
      <c r="C58" s="220">
        <f>IF(設定!F55="4：臨時雇用者",,設定!C55)</f>
        <v>0</v>
      </c>
      <c r="D58" s="221"/>
      <c r="E58" s="221"/>
      <c r="F58" s="221"/>
      <c r="G58" s="235"/>
      <c r="H58" s="222">
        <f>IF(設定!F55="4：臨時雇用者",,設定!D55)</f>
        <v>0</v>
      </c>
      <c r="I58" s="223"/>
      <c r="J58" s="223"/>
      <c r="K58" s="224"/>
      <c r="L58" s="225">
        <f>IF(設定!F55="4：臨時雇用者",,設定!E55)</f>
        <v>0</v>
      </c>
      <c r="M58" s="226"/>
      <c r="N58" s="227"/>
      <c r="O58" s="228">
        <f>IF(設定!F55="4：臨時雇用者",,設定!F55)</f>
        <v>0</v>
      </c>
      <c r="P58" s="229"/>
      <c r="Q58" s="229"/>
      <c r="R58" s="229"/>
      <c r="S58" s="229"/>
      <c r="T58" s="229"/>
      <c r="U58" s="229"/>
      <c r="V58" s="229"/>
      <c r="W58" s="229"/>
      <c r="X58" s="230">
        <f>IF(設定!F55="4：臨時雇用者",,設定!G55)</f>
        <v>0</v>
      </c>
      <c r="Y58" s="218"/>
      <c r="Z58" s="218"/>
      <c r="AA58" s="218"/>
      <c r="AB58" s="231"/>
      <c r="AC58" s="217">
        <f>IF(設定!F55="4：臨時雇用者",,設定!V55)</f>
        <v>0</v>
      </c>
      <c r="AD58" s="218"/>
      <c r="AE58" s="218"/>
      <c r="AF58" s="218"/>
      <c r="AG58" s="231"/>
      <c r="AH58" s="217">
        <f>IF(設定!F55="4：臨時雇用者",,設定!W55)</f>
        <v>0</v>
      </c>
      <c r="AI58" s="218"/>
      <c r="AJ58" s="218"/>
      <c r="AK58" s="218"/>
      <c r="AL58" s="219"/>
    </row>
    <row r="59" spans="3:38" s="43" customFormat="1" ht="27" customHeight="1" x14ac:dyDescent="0.2">
      <c r="C59" s="220">
        <f>IF(設定!F56="4：臨時雇用者",,設定!C56)</f>
        <v>0</v>
      </c>
      <c r="D59" s="221"/>
      <c r="E59" s="221"/>
      <c r="F59" s="221"/>
      <c r="G59" s="235"/>
      <c r="H59" s="222">
        <f>IF(設定!F56="4：臨時雇用者",,設定!D56)</f>
        <v>0</v>
      </c>
      <c r="I59" s="223"/>
      <c r="J59" s="223"/>
      <c r="K59" s="224"/>
      <c r="L59" s="225">
        <f>IF(設定!F56="4：臨時雇用者",,設定!E56)</f>
        <v>0</v>
      </c>
      <c r="M59" s="226"/>
      <c r="N59" s="227"/>
      <c r="O59" s="228">
        <f>IF(設定!F56="4：臨時雇用者",,設定!F56)</f>
        <v>0</v>
      </c>
      <c r="P59" s="229"/>
      <c r="Q59" s="229"/>
      <c r="R59" s="229"/>
      <c r="S59" s="229"/>
      <c r="T59" s="229"/>
      <c r="U59" s="229"/>
      <c r="V59" s="229"/>
      <c r="W59" s="229"/>
      <c r="X59" s="230">
        <f>IF(設定!F56="4：臨時雇用者",,設定!G56)</f>
        <v>0</v>
      </c>
      <c r="Y59" s="218"/>
      <c r="Z59" s="218"/>
      <c r="AA59" s="218"/>
      <c r="AB59" s="231"/>
      <c r="AC59" s="217">
        <f>IF(設定!F56="4：臨時雇用者",,設定!V56)</f>
        <v>0</v>
      </c>
      <c r="AD59" s="218"/>
      <c r="AE59" s="218"/>
      <c r="AF59" s="218"/>
      <c r="AG59" s="231"/>
      <c r="AH59" s="217">
        <f>IF(設定!F56="4：臨時雇用者",,設定!W56)</f>
        <v>0</v>
      </c>
      <c r="AI59" s="218"/>
      <c r="AJ59" s="218"/>
      <c r="AK59" s="218"/>
      <c r="AL59" s="219"/>
    </row>
    <row r="60" spans="3:38" s="43" customFormat="1" ht="27" customHeight="1" x14ac:dyDescent="0.2">
      <c r="C60" s="220">
        <f>IF(設定!F57="4：臨時雇用者",,設定!C57)</f>
        <v>0</v>
      </c>
      <c r="D60" s="221"/>
      <c r="E60" s="221"/>
      <c r="F60" s="221"/>
      <c r="G60" s="235"/>
      <c r="H60" s="222">
        <f>IF(設定!F57="4：臨時雇用者",,設定!D57)</f>
        <v>0</v>
      </c>
      <c r="I60" s="223"/>
      <c r="J60" s="223"/>
      <c r="K60" s="224"/>
      <c r="L60" s="225">
        <f>IF(設定!F57="4：臨時雇用者",,設定!E57)</f>
        <v>0</v>
      </c>
      <c r="M60" s="226"/>
      <c r="N60" s="227"/>
      <c r="O60" s="228">
        <f>IF(設定!F57="4：臨時雇用者",,設定!F57)</f>
        <v>0</v>
      </c>
      <c r="P60" s="229"/>
      <c r="Q60" s="229"/>
      <c r="R60" s="229"/>
      <c r="S60" s="229"/>
      <c r="T60" s="229"/>
      <c r="U60" s="229"/>
      <c r="V60" s="229"/>
      <c r="W60" s="229"/>
      <c r="X60" s="230">
        <f>IF(設定!F57="4：臨時雇用者",,設定!G57)</f>
        <v>0</v>
      </c>
      <c r="Y60" s="218"/>
      <c r="Z60" s="218"/>
      <c r="AA60" s="218"/>
      <c r="AB60" s="231"/>
      <c r="AC60" s="217">
        <f>IF(設定!F57="4：臨時雇用者",,設定!V57)</f>
        <v>0</v>
      </c>
      <c r="AD60" s="218"/>
      <c r="AE60" s="218"/>
      <c r="AF60" s="218"/>
      <c r="AG60" s="231"/>
      <c r="AH60" s="217">
        <f>IF(設定!F57="4：臨時雇用者",,設定!W57)</f>
        <v>0</v>
      </c>
      <c r="AI60" s="218"/>
      <c r="AJ60" s="218"/>
      <c r="AK60" s="218"/>
      <c r="AL60" s="219"/>
    </row>
    <row r="61" spans="3:38" s="43" customFormat="1" ht="27" customHeight="1" x14ac:dyDescent="0.2">
      <c r="C61" s="220">
        <f>IF(設定!F58="4：臨時雇用者",,設定!C58)</f>
        <v>0</v>
      </c>
      <c r="D61" s="221"/>
      <c r="E61" s="221"/>
      <c r="F61" s="221"/>
      <c r="G61" s="235"/>
      <c r="H61" s="222">
        <f>IF(設定!F58="4：臨時雇用者",,設定!D58)</f>
        <v>0</v>
      </c>
      <c r="I61" s="223"/>
      <c r="J61" s="223"/>
      <c r="K61" s="224"/>
      <c r="L61" s="225">
        <f>IF(設定!F58="4：臨時雇用者",,設定!E58)</f>
        <v>0</v>
      </c>
      <c r="M61" s="226"/>
      <c r="N61" s="227"/>
      <c r="O61" s="228">
        <f>IF(設定!F58="4：臨時雇用者",,設定!F58)</f>
        <v>0</v>
      </c>
      <c r="P61" s="229"/>
      <c r="Q61" s="229"/>
      <c r="R61" s="229"/>
      <c r="S61" s="229"/>
      <c r="T61" s="229"/>
      <c r="U61" s="229"/>
      <c r="V61" s="229"/>
      <c r="W61" s="229"/>
      <c r="X61" s="230">
        <f>IF(設定!F58="4：臨時雇用者",,設定!G58)</f>
        <v>0</v>
      </c>
      <c r="Y61" s="218"/>
      <c r="Z61" s="218"/>
      <c r="AA61" s="218"/>
      <c r="AB61" s="231"/>
      <c r="AC61" s="217">
        <f>IF(設定!F58="4：臨時雇用者",,設定!V58)</f>
        <v>0</v>
      </c>
      <c r="AD61" s="218"/>
      <c r="AE61" s="218"/>
      <c r="AF61" s="218"/>
      <c r="AG61" s="231"/>
      <c r="AH61" s="217">
        <f>IF(設定!F58="4：臨時雇用者",,設定!W58)</f>
        <v>0</v>
      </c>
      <c r="AI61" s="218"/>
      <c r="AJ61" s="218"/>
      <c r="AK61" s="218"/>
      <c r="AL61" s="219"/>
    </row>
    <row r="62" spans="3:38" s="43" customFormat="1" ht="27" customHeight="1" x14ac:dyDescent="0.2">
      <c r="C62" s="220">
        <f>IF(設定!F59="4：臨時雇用者",,設定!C59)</f>
        <v>0</v>
      </c>
      <c r="D62" s="221"/>
      <c r="E62" s="221"/>
      <c r="F62" s="221"/>
      <c r="G62" s="235"/>
      <c r="H62" s="222">
        <f>IF(設定!F59="4：臨時雇用者",,設定!D59)</f>
        <v>0</v>
      </c>
      <c r="I62" s="223"/>
      <c r="J62" s="223"/>
      <c r="K62" s="224"/>
      <c r="L62" s="225">
        <f>IF(設定!F59="4：臨時雇用者",,設定!E59)</f>
        <v>0</v>
      </c>
      <c r="M62" s="226"/>
      <c r="N62" s="227"/>
      <c r="O62" s="228">
        <f>IF(設定!F59="4：臨時雇用者",,設定!F59)</f>
        <v>0</v>
      </c>
      <c r="P62" s="229"/>
      <c r="Q62" s="229"/>
      <c r="R62" s="229"/>
      <c r="S62" s="229"/>
      <c r="T62" s="229"/>
      <c r="U62" s="229"/>
      <c r="V62" s="229"/>
      <c r="W62" s="229"/>
      <c r="X62" s="230">
        <f>IF(設定!F59="4：臨時雇用者",,設定!G59)</f>
        <v>0</v>
      </c>
      <c r="Y62" s="218"/>
      <c r="Z62" s="218"/>
      <c r="AA62" s="218"/>
      <c r="AB62" s="231"/>
      <c r="AC62" s="217">
        <f>IF(設定!F59="4：臨時雇用者",,設定!V59)</f>
        <v>0</v>
      </c>
      <c r="AD62" s="218"/>
      <c r="AE62" s="218"/>
      <c r="AF62" s="218"/>
      <c r="AG62" s="231"/>
      <c r="AH62" s="217">
        <f>IF(設定!F59="4：臨時雇用者",,設定!W59)</f>
        <v>0</v>
      </c>
      <c r="AI62" s="218"/>
      <c r="AJ62" s="218"/>
      <c r="AK62" s="218"/>
      <c r="AL62" s="219"/>
    </row>
    <row r="63" spans="3:38" s="43" customFormat="1" ht="27" customHeight="1" x14ac:dyDescent="0.2">
      <c r="C63" s="220">
        <f>IF(設定!F60="4：臨時雇用者",,設定!C60)</f>
        <v>0</v>
      </c>
      <c r="D63" s="221"/>
      <c r="E63" s="221"/>
      <c r="F63" s="221"/>
      <c r="G63" s="235"/>
      <c r="H63" s="222">
        <f>IF(設定!F60="4：臨時雇用者",,設定!D60)</f>
        <v>0</v>
      </c>
      <c r="I63" s="223"/>
      <c r="J63" s="223"/>
      <c r="K63" s="224"/>
      <c r="L63" s="225">
        <f>IF(設定!F60="4：臨時雇用者",,設定!E60)</f>
        <v>0</v>
      </c>
      <c r="M63" s="226"/>
      <c r="N63" s="227"/>
      <c r="O63" s="228">
        <f>IF(設定!F60="4：臨時雇用者",,設定!F60)</f>
        <v>0</v>
      </c>
      <c r="P63" s="229"/>
      <c r="Q63" s="229"/>
      <c r="R63" s="229"/>
      <c r="S63" s="229"/>
      <c r="T63" s="229"/>
      <c r="U63" s="229"/>
      <c r="V63" s="229"/>
      <c r="W63" s="229"/>
      <c r="X63" s="230">
        <f>IF(設定!F60="4：臨時雇用者",,設定!G60)</f>
        <v>0</v>
      </c>
      <c r="Y63" s="218"/>
      <c r="Z63" s="218"/>
      <c r="AA63" s="218"/>
      <c r="AB63" s="231"/>
      <c r="AC63" s="217">
        <f>IF(設定!F60="4：臨時雇用者",,設定!V60)</f>
        <v>0</v>
      </c>
      <c r="AD63" s="218"/>
      <c r="AE63" s="218"/>
      <c r="AF63" s="218"/>
      <c r="AG63" s="231"/>
      <c r="AH63" s="217">
        <f>IF(設定!F60="4：臨時雇用者",,設定!W60)</f>
        <v>0</v>
      </c>
      <c r="AI63" s="218"/>
      <c r="AJ63" s="218"/>
      <c r="AK63" s="218"/>
      <c r="AL63" s="219"/>
    </row>
    <row r="64" spans="3:38" s="43" customFormat="1" ht="27" customHeight="1" x14ac:dyDescent="0.2">
      <c r="C64" s="220">
        <f>IF(設定!F61="4：臨時雇用者",,設定!C61)</f>
        <v>0</v>
      </c>
      <c r="D64" s="221"/>
      <c r="E64" s="221"/>
      <c r="F64" s="221"/>
      <c r="G64" s="235"/>
      <c r="H64" s="222">
        <f>IF(設定!F61="4：臨時雇用者",,設定!D61)</f>
        <v>0</v>
      </c>
      <c r="I64" s="223"/>
      <c r="J64" s="223"/>
      <c r="K64" s="224"/>
      <c r="L64" s="225">
        <f>IF(設定!F61="4：臨時雇用者",,設定!E61)</f>
        <v>0</v>
      </c>
      <c r="M64" s="226"/>
      <c r="N64" s="227"/>
      <c r="O64" s="228">
        <f>IF(設定!F61="4：臨時雇用者",,設定!F61)</f>
        <v>0</v>
      </c>
      <c r="P64" s="229"/>
      <c r="Q64" s="229"/>
      <c r="R64" s="229"/>
      <c r="S64" s="229"/>
      <c r="T64" s="229"/>
      <c r="U64" s="229"/>
      <c r="V64" s="229"/>
      <c r="W64" s="229"/>
      <c r="X64" s="230">
        <f>IF(設定!F61="4：臨時雇用者",,設定!G61)</f>
        <v>0</v>
      </c>
      <c r="Y64" s="218"/>
      <c r="Z64" s="218"/>
      <c r="AA64" s="218"/>
      <c r="AB64" s="231"/>
      <c r="AC64" s="217">
        <f>IF(設定!F61="4：臨時雇用者",,設定!V61)</f>
        <v>0</v>
      </c>
      <c r="AD64" s="218"/>
      <c r="AE64" s="218"/>
      <c r="AF64" s="218"/>
      <c r="AG64" s="231"/>
      <c r="AH64" s="217">
        <f>IF(設定!F61="4：臨時雇用者",,設定!W61)</f>
        <v>0</v>
      </c>
      <c r="AI64" s="218"/>
      <c r="AJ64" s="218"/>
      <c r="AK64" s="218"/>
      <c r="AL64" s="219"/>
    </row>
    <row r="65" spans="3:38" s="43" customFormat="1" ht="27" customHeight="1" x14ac:dyDescent="0.2">
      <c r="C65" s="220">
        <f>IF(設定!F62="4：臨時雇用者",,設定!C62)</f>
        <v>0</v>
      </c>
      <c r="D65" s="221"/>
      <c r="E65" s="221"/>
      <c r="F65" s="221"/>
      <c r="G65" s="235"/>
      <c r="H65" s="222">
        <f>IF(設定!F62="4：臨時雇用者",,設定!D62)</f>
        <v>0</v>
      </c>
      <c r="I65" s="223"/>
      <c r="J65" s="223"/>
      <c r="K65" s="224"/>
      <c r="L65" s="225">
        <f>IF(設定!F62="4：臨時雇用者",,設定!E62)</f>
        <v>0</v>
      </c>
      <c r="M65" s="226"/>
      <c r="N65" s="227"/>
      <c r="O65" s="228">
        <f>IF(設定!F62="4：臨時雇用者",,設定!F62)</f>
        <v>0</v>
      </c>
      <c r="P65" s="229"/>
      <c r="Q65" s="229"/>
      <c r="R65" s="229"/>
      <c r="S65" s="229"/>
      <c r="T65" s="229"/>
      <c r="U65" s="229"/>
      <c r="V65" s="229"/>
      <c r="W65" s="229"/>
      <c r="X65" s="230">
        <f>IF(設定!F62="4：臨時雇用者",,設定!G62)</f>
        <v>0</v>
      </c>
      <c r="Y65" s="218"/>
      <c r="Z65" s="218"/>
      <c r="AA65" s="218"/>
      <c r="AB65" s="231"/>
      <c r="AC65" s="217">
        <f>IF(設定!F62="4：臨時雇用者",,設定!V62)</f>
        <v>0</v>
      </c>
      <c r="AD65" s="218"/>
      <c r="AE65" s="218"/>
      <c r="AF65" s="218"/>
      <c r="AG65" s="231"/>
      <c r="AH65" s="217">
        <f>IF(設定!F62="4：臨時雇用者",,設定!W62)</f>
        <v>0</v>
      </c>
      <c r="AI65" s="218"/>
      <c r="AJ65" s="218"/>
      <c r="AK65" s="218"/>
      <c r="AL65" s="219"/>
    </row>
    <row r="66" spans="3:38" s="43" customFormat="1" ht="27" customHeight="1" x14ac:dyDescent="0.2">
      <c r="C66" s="220">
        <f>IF(設定!F63="4：臨時雇用者",,設定!C63)</f>
        <v>0</v>
      </c>
      <c r="D66" s="221"/>
      <c r="E66" s="221"/>
      <c r="F66" s="221"/>
      <c r="G66" s="235"/>
      <c r="H66" s="222">
        <f>IF(設定!F63="4：臨時雇用者",,設定!D63)</f>
        <v>0</v>
      </c>
      <c r="I66" s="223"/>
      <c r="J66" s="223"/>
      <c r="K66" s="224"/>
      <c r="L66" s="225">
        <f>IF(設定!F63="4：臨時雇用者",,設定!E63)</f>
        <v>0</v>
      </c>
      <c r="M66" s="226"/>
      <c r="N66" s="227"/>
      <c r="O66" s="228">
        <f>IF(設定!F63="4：臨時雇用者",,設定!F63)</f>
        <v>0</v>
      </c>
      <c r="P66" s="229"/>
      <c r="Q66" s="229"/>
      <c r="R66" s="229"/>
      <c r="S66" s="229"/>
      <c r="T66" s="229"/>
      <c r="U66" s="229"/>
      <c r="V66" s="229"/>
      <c r="W66" s="229"/>
      <c r="X66" s="230">
        <f>IF(設定!F63="4：臨時雇用者",,設定!G63)</f>
        <v>0</v>
      </c>
      <c r="Y66" s="218"/>
      <c r="Z66" s="218"/>
      <c r="AA66" s="218"/>
      <c r="AB66" s="231"/>
      <c r="AC66" s="217">
        <f>IF(設定!F63="4：臨時雇用者",,設定!V63)</f>
        <v>0</v>
      </c>
      <c r="AD66" s="218"/>
      <c r="AE66" s="218"/>
      <c r="AF66" s="218"/>
      <c r="AG66" s="231"/>
      <c r="AH66" s="217">
        <f>IF(設定!F63="4：臨時雇用者",,設定!W63)</f>
        <v>0</v>
      </c>
      <c r="AI66" s="218"/>
      <c r="AJ66" s="218"/>
      <c r="AK66" s="218"/>
      <c r="AL66" s="219"/>
    </row>
    <row r="67" spans="3:38" s="43" customFormat="1" ht="27" customHeight="1" x14ac:dyDescent="0.2">
      <c r="C67" s="220">
        <f>IF(設定!F64="4：臨時雇用者",,設定!C64)</f>
        <v>0</v>
      </c>
      <c r="D67" s="221"/>
      <c r="E67" s="221"/>
      <c r="F67" s="221"/>
      <c r="G67" s="235"/>
      <c r="H67" s="222">
        <f>IF(設定!F64="4：臨時雇用者",,設定!D64)</f>
        <v>0</v>
      </c>
      <c r="I67" s="223"/>
      <c r="J67" s="223"/>
      <c r="K67" s="224"/>
      <c r="L67" s="225">
        <f>IF(設定!F64="4：臨時雇用者",,設定!E64)</f>
        <v>0</v>
      </c>
      <c r="M67" s="226"/>
      <c r="N67" s="227"/>
      <c r="O67" s="228">
        <f>IF(設定!F64="4：臨時雇用者",,設定!F64)</f>
        <v>0</v>
      </c>
      <c r="P67" s="229"/>
      <c r="Q67" s="229"/>
      <c r="R67" s="229"/>
      <c r="S67" s="229"/>
      <c r="T67" s="229"/>
      <c r="U67" s="229"/>
      <c r="V67" s="229"/>
      <c r="W67" s="229"/>
      <c r="X67" s="230">
        <f>IF(設定!F64="4：臨時雇用者",,設定!G64)</f>
        <v>0</v>
      </c>
      <c r="Y67" s="218"/>
      <c r="Z67" s="218"/>
      <c r="AA67" s="218"/>
      <c r="AB67" s="231"/>
      <c r="AC67" s="217">
        <f>IF(設定!F64="4：臨時雇用者",,設定!V64)</f>
        <v>0</v>
      </c>
      <c r="AD67" s="218"/>
      <c r="AE67" s="218"/>
      <c r="AF67" s="218"/>
      <c r="AG67" s="231"/>
      <c r="AH67" s="217">
        <f>IF(設定!F64="4：臨時雇用者",,設定!W64)</f>
        <v>0</v>
      </c>
      <c r="AI67" s="218"/>
      <c r="AJ67" s="218"/>
      <c r="AK67" s="218"/>
      <c r="AL67" s="219"/>
    </row>
    <row r="68" spans="3:38" s="43" customFormat="1" ht="27" customHeight="1" x14ac:dyDescent="0.2">
      <c r="C68" s="220">
        <f>IF(設定!F65="4：臨時雇用者",,設定!C65)</f>
        <v>0</v>
      </c>
      <c r="D68" s="221"/>
      <c r="E68" s="221"/>
      <c r="F68" s="221"/>
      <c r="G68" s="235"/>
      <c r="H68" s="222">
        <f>IF(設定!F65="4：臨時雇用者",,設定!D65)</f>
        <v>0</v>
      </c>
      <c r="I68" s="223"/>
      <c r="J68" s="223"/>
      <c r="K68" s="224"/>
      <c r="L68" s="225">
        <f>IF(設定!F65="4：臨時雇用者",,設定!E65)</f>
        <v>0</v>
      </c>
      <c r="M68" s="226"/>
      <c r="N68" s="227"/>
      <c r="O68" s="228">
        <f>IF(設定!F65="4：臨時雇用者",,設定!F65)</f>
        <v>0</v>
      </c>
      <c r="P68" s="229"/>
      <c r="Q68" s="229"/>
      <c r="R68" s="229"/>
      <c r="S68" s="229"/>
      <c r="T68" s="229"/>
      <c r="U68" s="229"/>
      <c r="V68" s="229"/>
      <c r="W68" s="229"/>
      <c r="X68" s="230">
        <f>IF(設定!F65="4：臨時雇用者",,設定!G65)</f>
        <v>0</v>
      </c>
      <c r="Y68" s="218"/>
      <c r="Z68" s="218"/>
      <c r="AA68" s="218"/>
      <c r="AB68" s="231"/>
      <c r="AC68" s="217">
        <f>IF(設定!F65="4：臨時雇用者",,設定!V65)</f>
        <v>0</v>
      </c>
      <c r="AD68" s="218"/>
      <c r="AE68" s="218"/>
      <c r="AF68" s="218"/>
      <c r="AG68" s="231"/>
      <c r="AH68" s="217">
        <f>IF(設定!F65="4：臨時雇用者",,設定!W65)</f>
        <v>0</v>
      </c>
      <c r="AI68" s="218"/>
      <c r="AJ68" s="218"/>
      <c r="AK68" s="218"/>
      <c r="AL68" s="219"/>
    </row>
    <row r="69" spans="3:38" s="43" customFormat="1" ht="27" customHeight="1" x14ac:dyDescent="0.2">
      <c r="C69" s="220">
        <f>IF(設定!F66="4：臨時雇用者",,設定!C66)</f>
        <v>0</v>
      </c>
      <c r="D69" s="221"/>
      <c r="E69" s="221"/>
      <c r="F69" s="221"/>
      <c r="G69" s="235"/>
      <c r="H69" s="222">
        <f>IF(設定!F66="4：臨時雇用者",,設定!D66)</f>
        <v>0</v>
      </c>
      <c r="I69" s="223"/>
      <c r="J69" s="223"/>
      <c r="K69" s="224"/>
      <c r="L69" s="225">
        <f>IF(設定!F66="4：臨時雇用者",,設定!E66)</f>
        <v>0</v>
      </c>
      <c r="M69" s="226"/>
      <c r="N69" s="227"/>
      <c r="O69" s="228">
        <f>IF(設定!F66="4：臨時雇用者",,設定!F66)</f>
        <v>0</v>
      </c>
      <c r="P69" s="229"/>
      <c r="Q69" s="229"/>
      <c r="R69" s="229"/>
      <c r="S69" s="229"/>
      <c r="T69" s="229"/>
      <c r="U69" s="229"/>
      <c r="V69" s="229"/>
      <c r="W69" s="229"/>
      <c r="X69" s="230">
        <f>IF(設定!F66="4：臨時雇用者",,設定!G66)</f>
        <v>0</v>
      </c>
      <c r="Y69" s="218"/>
      <c r="Z69" s="218"/>
      <c r="AA69" s="218"/>
      <c r="AB69" s="231"/>
      <c r="AC69" s="217">
        <f>IF(設定!F66="4：臨時雇用者",,設定!V66)</f>
        <v>0</v>
      </c>
      <c r="AD69" s="218"/>
      <c r="AE69" s="218"/>
      <c r="AF69" s="218"/>
      <c r="AG69" s="231"/>
      <c r="AH69" s="217">
        <f>IF(設定!F66="4：臨時雇用者",,設定!W66)</f>
        <v>0</v>
      </c>
      <c r="AI69" s="218"/>
      <c r="AJ69" s="218"/>
      <c r="AK69" s="218"/>
      <c r="AL69" s="219"/>
    </row>
    <row r="70" spans="3:38" s="43" customFormat="1" ht="27" customHeight="1" x14ac:dyDescent="0.2">
      <c r="C70" s="220">
        <f>IF(設定!F67="4：臨時雇用者",,設定!C67)</f>
        <v>0</v>
      </c>
      <c r="D70" s="221"/>
      <c r="E70" s="221"/>
      <c r="F70" s="221"/>
      <c r="G70" s="235"/>
      <c r="H70" s="222">
        <f>IF(設定!F67="4：臨時雇用者",,設定!D67)</f>
        <v>0</v>
      </c>
      <c r="I70" s="223"/>
      <c r="J70" s="223"/>
      <c r="K70" s="224"/>
      <c r="L70" s="225">
        <f>IF(設定!F67="4：臨時雇用者",,設定!E67)</f>
        <v>0</v>
      </c>
      <c r="M70" s="226"/>
      <c r="N70" s="227"/>
      <c r="O70" s="228">
        <f>IF(設定!F67="4：臨時雇用者",,設定!F67)</f>
        <v>0</v>
      </c>
      <c r="P70" s="229"/>
      <c r="Q70" s="229"/>
      <c r="R70" s="229"/>
      <c r="S70" s="229"/>
      <c r="T70" s="229"/>
      <c r="U70" s="229"/>
      <c r="V70" s="229"/>
      <c r="W70" s="229"/>
      <c r="X70" s="230">
        <f>IF(設定!F67="4：臨時雇用者",,設定!G67)</f>
        <v>0</v>
      </c>
      <c r="Y70" s="218"/>
      <c r="Z70" s="218"/>
      <c r="AA70" s="218"/>
      <c r="AB70" s="231"/>
      <c r="AC70" s="217">
        <f>IF(設定!F67="4：臨時雇用者",,設定!V67)</f>
        <v>0</v>
      </c>
      <c r="AD70" s="218"/>
      <c r="AE70" s="218"/>
      <c r="AF70" s="218"/>
      <c r="AG70" s="231"/>
      <c r="AH70" s="217">
        <f>IF(設定!F67="4：臨時雇用者",,設定!W67)</f>
        <v>0</v>
      </c>
      <c r="AI70" s="218"/>
      <c r="AJ70" s="218"/>
      <c r="AK70" s="218"/>
      <c r="AL70" s="219"/>
    </row>
    <row r="71" spans="3:38" s="43" customFormat="1" ht="27" customHeight="1" x14ac:dyDescent="0.2">
      <c r="C71" s="220">
        <f>IF(設定!F68="4：臨時雇用者",,設定!C68)</f>
        <v>0</v>
      </c>
      <c r="D71" s="221"/>
      <c r="E71" s="221"/>
      <c r="F71" s="221"/>
      <c r="G71" s="235"/>
      <c r="H71" s="222">
        <f>IF(設定!F68="4：臨時雇用者",,設定!D68)</f>
        <v>0</v>
      </c>
      <c r="I71" s="223"/>
      <c r="J71" s="223"/>
      <c r="K71" s="224"/>
      <c r="L71" s="225">
        <f>IF(設定!F68="4：臨時雇用者",,設定!E68)</f>
        <v>0</v>
      </c>
      <c r="M71" s="226"/>
      <c r="N71" s="227"/>
      <c r="O71" s="228">
        <f>IF(設定!F68="4：臨時雇用者",,設定!F68)</f>
        <v>0</v>
      </c>
      <c r="P71" s="229"/>
      <c r="Q71" s="229"/>
      <c r="R71" s="229"/>
      <c r="S71" s="229"/>
      <c r="T71" s="229"/>
      <c r="U71" s="229"/>
      <c r="V71" s="229"/>
      <c r="W71" s="229"/>
      <c r="X71" s="230">
        <f>IF(設定!F68="4：臨時雇用者",,設定!G68)</f>
        <v>0</v>
      </c>
      <c r="Y71" s="218"/>
      <c r="Z71" s="218"/>
      <c r="AA71" s="218"/>
      <c r="AB71" s="231"/>
      <c r="AC71" s="217">
        <f>IF(設定!F68="4：臨時雇用者",,設定!V68)</f>
        <v>0</v>
      </c>
      <c r="AD71" s="218"/>
      <c r="AE71" s="218"/>
      <c r="AF71" s="218"/>
      <c r="AG71" s="231"/>
      <c r="AH71" s="217">
        <f>IF(設定!F68="4：臨時雇用者",,設定!W68)</f>
        <v>0</v>
      </c>
      <c r="AI71" s="218"/>
      <c r="AJ71" s="218"/>
      <c r="AK71" s="218"/>
      <c r="AL71" s="219"/>
    </row>
    <row r="72" spans="3:38" s="43" customFormat="1" ht="27" customHeight="1" x14ac:dyDescent="0.2">
      <c r="C72" s="220">
        <f>IF(設定!F69="4：臨時雇用者",,設定!C69)</f>
        <v>0</v>
      </c>
      <c r="D72" s="221"/>
      <c r="E72" s="221"/>
      <c r="F72" s="221"/>
      <c r="G72" s="235"/>
      <c r="H72" s="222">
        <f>IF(設定!F69="4：臨時雇用者",,設定!D69)</f>
        <v>0</v>
      </c>
      <c r="I72" s="223"/>
      <c r="J72" s="223"/>
      <c r="K72" s="224"/>
      <c r="L72" s="225">
        <f>IF(設定!F69="4：臨時雇用者",,設定!E69)</f>
        <v>0</v>
      </c>
      <c r="M72" s="226"/>
      <c r="N72" s="227"/>
      <c r="O72" s="228">
        <f>IF(設定!F69="4：臨時雇用者",,設定!F69)</f>
        <v>0</v>
      </c>
      <c r="P72" s="229"/>
      <c r="Q72" s="229"/>
      <c r="R72" s="229"/>
      <c r="S72" s="229"/>
      <c r="T72" s="229"/>
      <c r="U72" s="229"/>
      <c r="V72" s="229"/>
      <c r="W72" s="229"/>
      <c r="X72" s="230">
        <f>IF(設定!F69="4：臨時雇用者",,設定!G69)</f>
        <v>0</v>
      </c>
      <c r="Y72" s="218"/>
      <c r="Z72" s="218"/>
      <c r="AA72" s="218"/>
      <c r="AB72" s="231"/>
      <c r="AC72" s="217">
        <f>IF(設定!F69="4：臨時雇用者",,設定!V69)</f>
        <v>0</v>
      </c>
      <c r="AD72" s="218"/>
      <c r="AE72" s="218"/>
      <c r="AF72" s="218"/>
      <c r="AG72" s="231"/>
      <c r="AH72" s="217">
        <f>IF(設定!F69="4：臨時雇用者",,設定!W69)</f>
        <v>0</v>
      </c>
      <c r="AI72" s="218"/>
      <c r="AJ72" s="218"/>
      <c r="AK72" s="218"/>
      <c r="AL72" s="219"/>
    </row>
    <row r="73" spans="3:38" s="43" customFormat="1" ht="27" customHeight="1" x14ac:dyDescent="0.2">
      <c r="C73" s="220">
        <f>IF(設定!F70="4：臨時雇用者",,設定!C70)</f>
        <v>0</v>
      </c>
      <c r="D73" s="221"/>
      <c r="E73" s="221"/>
      <c r="F73" s="221"/>
      <c r="G73" s="235"/>
      <c r="H73" s="222">
        <f>IF(設定!F70="4：臨時雇用者",,設定!D70)</f>
        <v>0</v>
      </c>
      <c r="I73" s="223"/>
      <c r="J73" s="223"/>
      <c r="K73" s="224"/>
      <c r="L73" s="225">
        <f>IF(設定!F70="4：臨時雇用者",,設定!E70)</f>
        <v>0</v>
      </c>
      <c r="M73" s="226"/>
      <c r="N73" s="227"/>
      <c r="O73" s="228">
        <f>IF(設定!F70="4：臨時雇用者",,設定!F70)</f>
        <v>0</v>
      </c>
      <c r="P73" s="229"/>
      <c r="Q73" s="229"/>
      <c r="R73" s="229"/>
      <c r="S73" s="229"/>
      <c r="T73" s="229"/>
      <c r="U73" s="229"/>
      <c r="V73" s="229"/>
      <c r="W73" s="229"/>
      <c r="X73" s="230">
        <f>IF(設定!F70="4：臨時雇用者",,設定!G70)</f>
        <v>0</v>
      </c>
      <c r="Y73" s="218"/>
      <c r="Z73" s="218"/>
      <c r="AA73" s="218"/>
      <c r="AB73" s="231"/>
      <c r="AC73" s="217">
        <f>IF(設定!F70="4：臨時雇用者",,設定!V70)</f>
        <v>0</v>
      </c>
      <c r="AD73" s="218"/>
      <c r="AE73" s="218"/>
      <c r="AF73" s="218"/>
      <c r="AG73" s="231"/>
      <c r="AH73" s="217">
        <f>IF(設定!F70="4：臨時雇用者",,設定!W70)</f>
        <v>0</v>
      </c>
      <c r="AI73" s="218"/>
      <c r="AJ73" s="218"/>
      <c r="AK73" s="218"/>
      <c r="AL73" s="219"/>
    </row>
    <row r="74" spans="3:38" s="43" customFormat="1" ht="27" customHeight="1" x14ac:dyDescent="0.2">
      <c r="C74" s="220">
        <f>IF(設定!F71="4：臨時雇用者",,設定!C71)</f>
        <v>0</v>
      </c>
      <c r="D74" s="221"/>
      <c r="E74" s="221"/>
      <c r="F74" s="221"/>
      <c r="G74" s="235"/>
      <c r="H74" s="222">
        <f>IF(設定!F71="4：臨時雇用者",,設定!D71)</f>
        <v>0</v>
      </c>
      <c r="I74" s="223"/>
      <c r="J74" s="223"/>
      <c r="K74" s="224"/>
      <c r="L74" s="225">
        <f>IF(設定!F71="4：臨時雇用者",,設定!E71)</f>
        <v>0</v>
      </c>
      <c r="M74" s="226"/>
      <c r="N74" s="227"/>
      <c r="O74" s="228">
        <f>IF(設定!F71="4：臨時雇用者",,設定!F71)</f>
        <v>0</v>
      </c>
      <c r="P74" s="229"/>
      <c r="Q74" s="229"/>
      <c r="R74" s="229"/>
      <c r="S74" s="229"/>
      <c r="T74" s="229"/>
      <c r="U74" s="229"/>
      <c r="V74" s="229"/>
      <c r="W74" s="229"/>
      <c r="X74" s="230">
        <f>IF(設定!F71="4：臨時雇用者",,設定!G71)</f>
        <v>0</v>
      </c>
      <c r="Y74" s="218"/>
      <c r="Z74" s="218"/>
      <c r="AA74" s="218"/>
      <c r="AB74" s="231"/>
      <c r="AC74" s="217">
        <f>IF(設定!F71="4：臨時雇用者",,設定!V71)</f>
        <v>0</v>
      </c>
      <c r="AD74" s="218"/>
      <c r="AE74" s="218"/>
      <c r="AF74" s="218"/>
      <c r="AG74" s="231"/>
      <c r="AH74" s="217">
        <f>IF(設定!F71="4：臨時雇用者",,設定!W71)</f>
        <v>0</v>
      </c>
      <c r="AI74" s="218"/>
      <c r="AJ74" s="218"/>
      <c r="AK74" s="218"/>
      <c r="AL74" s="219"/>
    </row>
    <row r="75" spans="3:38" s="43" customFormat="1" ht="27" customHeight="1" x14ac:dyDescent="0.2">
      <c r="C75" s="220">
        <f>IF(設定!F72="4：臨時雇用者",,設定!C72)</f>
        <v>0</v>
      </c>
      <c r="D75" s="221"/>
      <c r="E75" s="221"/>
      <c r="F75" s="221"/>
      <c r="G75" s="235"/>
      <c r="H75" s="222">
        <f>IF(設定!F72="4：臨時雇用者",,設定!D72)</f>
        <v>0</v>
      </c>
      <c r="I75" s="223"/>
      <c r="J75" s="223"/>
      <c r="K75" s="224"/>
      <c r="L75" s="225">
        <f>IF(設定!F72="4：臨時雇用者",,設定!E72)</f>
        <v>0</v>
      </c>
      <c r="M75" s="226"/>
      <c r="N75" s="227"/>
      <c r="O75" s="228">
        <f>IF(設定!F72="4：臨時雇用者",,設定!F72)</f>
        <v>0</v>
      </c>
      <c r="P75" s="229"/>
      <c r="Q75" s="229"/>
      <c r="R75" s="229"/>
      <c r="S75" s="229"/>
      <c r="T75" s="229"/>
      <c r="U75" s="229"/>
      <c r="V75" s="229"/>
      <c r="W75" s="229"/>
      <c r="X75" s="230">
        <f>IF(設定!F72="4：臨時雇用者",,設定!G72)</f>
        <v>0</v>
      </c>
      <c r="Y75" s="218"/>
      <c r="Z75" s="218"/>
      <c r="AA75" s="218"/>
      <c r="AB75" s="231"/>
      <c r="AC75" s="217">
        <f>IF(設定!F72="4：臨時雇用者",,設定!V72)</f>
        <v>0</v>
      </c>
      <c r="AD75" s="218"/>
      <c r="AE75" s="218"/>
      <c r="AF75" s="218"/>
      <c r="AG75" s="231"/>
      <c r="AH75" s="217">
        <f>IF(設定!F72="4：臨時雇用者",,設定!W72)</f>
        <v>0</v>
      </c>
      <c r="AI75" s="218"/>
      <c r="AJ75" s="218"/>
      <c r="AK75" s="218"/>
      <c r="AL75" s="219"/>
    </row>
    <row r="76" spans="3:38" s="43" customFormat="1" ht="27" customHeight="1" x14ac:dyDescent="0.2">
      <c r="C76" s="220">
        <f>IF(設定!F73="4：臨時雇用者",,設定!C73)</f>
        <v>0</v>
      </c>
      <c r="D76" s="221"/>
      <c r="E76" s="221"/>
      <c r="F76" s="221"/>
      <c r="G76" s="235"/>
      <c r="H76" s="222">
        <f>IF(設定!F73="4：臨時雇用者",,設定!D73)</f>
        <v>0</v>
      </c>
      <c r="I76" s="223"/>
      <c r="J76" s="223"/>
      <c r="K76" s="224"/>
      <c r="L76" s="225">
        <f>IF(設定!F73="4：臨時雇用者",,設定!E73)</f>
        <v>0</v>
      </c>
      <c r="M76" s="226"/>
      <c r="N76" s="227"/>
      <c r="O76" s="228">
        <f>IF(設定!F73="4：臨時雇用者",,設定!F73)</f>
        <v>0</v>
      </c>
      <c r="P76" s="229"/>
      <c r="Q76" s="229"/>
      <c r="R76" s="229"/>
      <c r="S76" s="229"/>
      <c r="T76" s="229"/>
      <c r="U76" s="229"/>
      <c r="V76" s="229"/>
      <c r="W76" s="229"/>
      <c r="X76" s="230">
        <f>IF(設定!F73="4：臨時雇用者",,設定!G73)</f>
        <v>0</v>
      </c>
      <c r="Y76" s="218"/>
      <c r="Z76" s="218"/>
      <c r="AA76" s="218"/>
      <c r="AB76" s="231"/>
      <c r="AC76" s="217">
        <f>IF(設定!F73="4：臨時雇用者",,設定!V73)</f>
        <v>0</v>
      </c>
      <c r="AD76" s="218"/>
      <c r="AE76" s="218"/>
      <c r="AF76" s="218"/>
      <c r="AG76" s="231"/>
      <c r="AH76" s="217">
        <f>IF(設定!F73="4：臨時雇用者",,設定!W73)</f>
        <v>0</v>
      </c>
      <c r="AI76" s="218"/>
      <c r="AJ76" s="218"/>
      <c r="AK76" s="218"/>
      <c r="AL76" s="219"/>
    </row>
    <row r="77" spans="3:38" s="43" customFormat="1" ht="27" customHeight="1" x14ac:dyDescent="0.2">
      <c r="C77" s="220">
        <f>IF(設定!F74="4：臨時雇用者",,設定!C74)</f>
        <v>0</v>
      </c>
      <c r="D77" s="221"/>
      <c r="E77" s="221"/>
      <c r="F77" s="221"/>
      <c r="G77" s="235"/>
      <c r="H77" s="222">
        <f>IF(設定!F74="4：臨時雇用者",,設定!D74)</f>
        <v>0</v>
      </c>
      <c r="I77" s="223"/>
      <c r="J77" s="223"/>
      <c r="K77" s="224"/>
      <c r="L77" s="225">
        <f>IF(設定!F74="4：臨時雇用者",,設定!E74)</f>
        <v>0</v>
      </c>
      <c r="M77" s="226"/>
      <c r="N77" s="227"/>
      <c r="O77" s="228">
        <f>IF(設定!F74="4：臨時雇用者",,設定!F74)</f>
        <v>0</v>
      </c>
      <c r="P77" s="229"/>
      <c r="Q77" s="229"/>
      <c r="R77" s="229"/>
      <c r="S77" s="229"/>
      <c r="T77" s="229"/>
      <c r="U77" s="229"/>
      <c r="V77" s="229"/>
      <c r="W77" s="229"/>
      <c r="X77" s="230">
        <f>IF(設定!F74="4：臨時雇用者",,設定!G74)</f>
        <v>0</v>
      </c>
      <c r="Y77" s="218"/>
      <c r="Z77" s="218"/>
      <c r="AA77" s="218"/>
      <c r="AB77" s="231"/>
      <c r="AC77" s="217">
        <f>IF(設定!F74="4：臨時雇用者",,設定!V74)</f>
        <v>0</v>
      </c>
      <c r="AD77" s="218"/>
      <c r="AE77" s="218"/>
      <c r="AF77" s="218"/>
      <c r="AG77" s="231"/>
      <c r="AH77" s="217">
        <f>IF(設定!F74="4：臨時雇用者",,設定!W74)</f>
        <v>0</v>
      </c>
      <c r="AI77" s="218"/>
      <c r="AJ77" s="218"/>
      <c r="AK77" s="218"/>
      <c r="AL77" s="219"/>
    </row>
    <row r="78" spans="3:38" s="43" customFormat="1" ht="27" customHeight="1" x14ac:dyDescent="0.2">
      <c r="C78" s="220">
        <f>IF(設定!F75="4：臨時雇用者",,設定!C75)</f>
        <v>0</v>
      </c>
      <c r="D78" s="221"/>
      <c r="E78" s="221"/>
      <c r="F78" s="221"/>
      <c r="G78" s="235"/>
      <c r="H78" s="222">
        <f>IF(設定!F75="4：臨時雇用者",,設定!D75)</f>
        <v>0</v>
      </c>
      <c r="I78" s="223"/>
      <c r="J78" s="223"/>
      <c r="K78" s="224"/>
      <c r="L78" s="225">
        <f>IF(設定!F75="4：臨時雇用者",,設定!E75)</f>
        <v>0</v>
      </c>
      <c r="M78" s="226"/>
      <c r="N78" s="227"/>
      <c r="O78" s="228">
        <f>IF(設定!F75="4：臨時雇用者",,設定!F75)</f>
        <v>0</v>
      </c>
      <c r="P78" s="229"/>
      <c r="Q78" s="229"/>
      <c r="R78" s="229"/>
      <c r="S78" s="229"/>
      <c r="T78" s="229"/>
      <c r="U78" s="229"/>
      <c r="V78" s="229"/>
      <c r="W78" s="229"/>
      <c r="X78" s="230">
        <f>IF(設定!F75="4：臨時雇用者",,設定!G75)</f>
        <v>0</v>
      </c>
      <c r="Y78" s="218"/>
      <c r="Z78" s="218"/>
      <c r="AA78" s="218"/>
      <c r="AB78" s="231"/>
      <c r="AC78" s="217">
        <f>IF(設定!F75="4：臨時雇用者",,設定!V75)</f>
        <v>0</v>
      </c>
      <c r="AD78" s="218"/>
      <c r="AE78" s="218"/>
      <c r="AF78" s="218"/>
      <c r="AG78" s="231"/>
      <c r="AH78" s="217">
        <f>IF(設定!F75="4：臨時雇用者",,設定!W75)</f>
        <v>0</v>
      </c>
      <c r="AI78" s="218"/>
      <c r="AJ78" s="218"/>
      <c r="AK78" s="218"/>
      <c r="AL78" s="219"/>
    </row>
    <row r="79" spans="3:38" s="43" customFormat="1" ht="27" customHeight="1" x14ac:dyDescent="0.2">
      <c r="C79" s="220">
        <f>IF(設定!F76="4：臨時雇用者",,設定!C76)</f>
        <v>0</v>
      </c>
      <c r="D79" s="221"/>
      <c r="E79" s="221"/>
      <c r="F79" s="221"/>
      <c r="G79" s="235"/>
      <c r="H79" s="222">
        <f>IF(設定!F76="4：臨時雇用者",,設定!D76)</f>
        <v>0</v>
      </c>
      <c r="I79" s="223"/>
      <c r="J79" s="223"/>
      <c r="K79" s="224"/>
      <c r="L79" s="225">
        <f>IF(設定!F76="4：臨時雇用者",,設定!E76)</f>
        <v>0</v>
      </c>
      <c r="M79" s="226"/>
      <c r="N79" s="227"/>
      <c r="O79" s="228">
        <f>IF(設定!F76="4：臨時雇用者",,設定!F76)</f>
        <v>0</v>
      </c>
      <c r="P79" s="229"/>
      <c r="Q79" s="229"/>
      <c r="R79" s="229"/>
      <c r="S79" s="229"/>
      <c r="T79" s="229"/>
      <c r="U79" s="229"/>
      <c r="V79" s="229"/>
      <c r="W79" s="229"/>
      <c r="X79" s="230">
        <f>IF(設定!F76="4：臨時雇用者",,設定!G76)</f>
        <v>0</v>
      </c>
      <c r="Y79" s="218"/>
      <c r="Z79" s="218"/>
      <c r="AA79" s="218"/>
      <c r="AB79" s="231"/>
      <c r="AC79" s="217">
        <f>IF(設定!F76="4：臨時雇用者",,設定!V76)</f>
        <v>0</v>
      </c>
      <c r="AD79" s="218"/>
      <c r="AE79" s="218"/>
      <c r="AF79" s="218"/>
      <c r="AG79" s="231"/>
      <c r="AH79" s="217">
        <f>IF(設定!F76="4：臨時雇用者",,設定!W76)</f>
        <v>0</v>
      </c>
      <c r="AI79" s="218"/>
      <c r="AJ79" s="218"/>
      <c r="AK79" s="218"/>
      <c r="AL79" s="219"/>
    </row>
    <row r="80" spans="3:38" s="43" customFormat="1" ht="27" customHeight="1" x14ac:dyDescent="0.2">
      <c r="C80" s="220">
        <f>IF(設定!F77="4：臨時雇用者",,設定!C77)</f>
        <v>0</v>
      </c>
      <c r="D80" s="221"/>
      <c r="E80" s="221"/>
      <c r="F80" s="221"/>
      <c r="G80" s="235"/>
      <c r="H80" s="222">
        <f>IF(設定!F77="4：臨時雇用者",,設定!D77)</f>
        <v>0</v>
      </c>
      <c r="I80" s="223"/>
      <c r="J80" s="223"/>
      <c r="K80" s="224"/>
      <c r="L80" s="225">
        <f>IF(設定!F77="4：臨時雇用者",,設定!E77)</f>
        <v>0</v>
      </c>
      <c r="M80" s="226"/>
      <c r="N80" s="227"/>
      <c r="O80" s="228">
        <f>IF(設定!F77="4：臨時雇用者",,設定!F77)</f>
        <v>0</v>
      </c>
      <c r="P80" s="229"/>
      <c r="Q80" s="229"/>
      <c r="R80" s="229"/>
      <c r="S80" s="229"/>
      <c r="T80" s="229"/>
      <c r="U80" s="229"/>
      <c r="V80" s="229"/>
      <c r="W80" s="229"/>
      <c r="X80" s="230">
        <f>IF(設定!F77="4：臨時雇用者",,設定!G77)</f>
        <v>0</v>
      </c>
      <c r="Y80" s="218"/>
      <c r="Z80" s="218"/>
      <c r="AA80" s="218"/>
      <c r="AB80" s="231"/>
      <c r="AC80" s="217">
        <f>IF(設定!F77="4：臨時雇用者",,設定!V77)</f>
        <v>0</v>
      </c>
      <c r="AD80" s="218"/>
      <c r="AE80" s="218"/>
      <c r="AF80" s="218"/>
      <c r="AG80" s="231"/>
      <c r="AH80" s="217">
        <f>IF(設定!F77="4：臨時雇用者",,設定!W77)</f>
        <v>0</v>
      </c>
      <c r="AI80" s="218"/>
      <c r="AJ80" s="218"/>
      <c r="AK80" s="218"/>
      <c r="AL80" s="219"/>
    </row>
    <row r="81" spans="3:38" s="43" customFormat="1" ht="27" customHeight="1" x14ac:dyDescent="0.2">
      <c r="C81" s="220">
        <f>IF(設定!F78="4：臨時雇用者",,設定!C78)</f>
        <v>0</v>
      </c>
      <c r="D81" s="221"/>
      <c r="E81" s="221"/>
      <c r="F81" s="221"/>
      <c r="G81" s="235"/>
      <c r="H81" s="222">
        <f>IF(設定!F78="4：臨時雇用者",,設定!D78)</f>
        <v>0</v>
      </c>
      <c r="I81" s="223"/>
      <c r="J81" s="223"/>
      <c r="K81" s="224"/>
      <c r="L81" s="225">
        <f>IF(設定!F78="4：臨時雇用者",,設定!E78)</f>
        <v>0</v>
      </c>
      <c r="M81" s="226"/>
      <c r="N81" s="227"/>
      <c r="O81" s="228">
        <f>IF(設定!F78="4：臨時雇用者",,設定!F78)</f>
        <v>0</v>
      </c>
      <c r="P81" s="229"/>
      <c r="Q81" s="229"/>
      <c r="R81" s="229"/>
      <c r="S81" s="229"/>
      <c r="T81" s="229"/>
      <c r="U81" s="229"/>
      <c r="V81" s="229"/>
      <c r="W81" s="229"/>
      <c r="X81" s="230">
        <f>IF(設定!F78="4：臨時雇用者",,設定!G78)</f>
        <v>0</v>
      </c>
      <c r="Y81" s="218"/>
      <c r="Z81" s="218"/>
      <c r="AA81" s="218"/>
      <c r="AB81" s="231"/>
      <c r="AC81" s="217">
        <f>IF(設定!F78="4：臨時雇用者",,設定!V78)</f>
        <v>0</v>
      </c>
      <c r="AD81" s="218"/>
      <c r="AE81" s="218"/>
      <c r="AF81" s="218"/>
      <c r="AG81" s="231"/>
      <c r="AH81" s="217">
        <f>IF(設定!F78="4：臨時雇用者",,設定!W78)</f>
        <v>0</v>
      </c>
      <c r="AI81" s="218"/>
      <c r="AJ81" s="218"/>
      <c r="AK81" s="218"/>
      <c r="AL81" s="219"/>
    </row>
    <row r="82" spans="3:38" s="43" customFormat="1" ht="27" customHeight="1" x14ac:dyDescent="0.2">
      <c r="C82" s="220">
        <f>IF(設定!F79="4：臨時雇用者",,設定!C79)</f>
        <v>0</v>
      </c>
      <c r="D82" s="221"/>
      <c r="E82" s="221"/>
      <c r="F82" s="221"/>
      <c r="G82" s="235"/>
      <c r="H82" s="222">
        <f>IF(設定!F79="4：臨時雇用者",,設定!D79)</f>
        <v>0</v>
      </c>
      <c r="I82" s="223"/>
      <c r="J82" s="223"/>
      <c r="K82" s="224"/>
      <c r="L82" s="225">
        <f>IF(設定!F79="4：臨時雇用者",,設定!E79)</f>
        <v>0</v>
      </c>
      <c r="M82" s="226"/>
      <c r="N82" s="227"/>
      <c r="O82" s="228">
        <f>IF(設定!F79="4：臨時雇用者",,設定!F79)</f>
        <v>0</v>
      </c>
      <c r="P82" s="229"/>
      <c r="Q82" s="229"/>
      <c r="R82" s="229"/>
      <c r="S82" s="229"/>
      <c r="T82" s="229"/>
      <c r="U82" s="229"/>
      <c r="V82" s="229"/>
      <c r="W82" s="229"/>
      <c r="X82" s="230">
        <f>IF(設定!F79="4：臨時雇用者",,設定!G79)</f>
        <v>0</v>
      </c>
      <c r="Y82" s="218"/>
      <c r="Z82" s="218"/>
      <c r="AA82" s="218"/>
      <c r="AB82" s="231"/>
      <c r="AC82" s="217">
        <f>IF(設定!F79="4：臨時雇用者",,設定!V79)</f>
        <v>0</v>
      </c>
      <c r="AD82" s="218"/>
      <c r="AE82" s="218"/>
      <c r="AF82" s="218"/>
      <c r="AG82" s="231"/>
      <c r="AH82" s="217">
        <f>IF(設定!F79="4：臨時雇用者",,設定!W79)</f>
        <v>0</v>
      </c>
      <c r="AI82" s="218"/>
      <c r="AJ82" s="218"/>
      <c r="AK82" s="218"/>
      <c r="AL82" s="219"/>
    </row>
    <row r="83" spans="3:38" s="43" customFormat="1" ht="27" customHeight="1" x14ac:dyDescent="0.2">
      <c r="C83" s="220">
        <f>IF(設定!F80="4：臨時雇用者",,設定!C80)</f>
        <v>0</v>
      </c>
      <c r="D83" s="221"/>
      <c r="E83" s="221"/>
      <c r="F83" s="221"/>
      <c r="G83" s="235"/>
      <c r="H83" s="222">
        <f>IF(設定!F80="4：臨時雇用者",,設定!D80)</f>
        <v>0</v>
      </c>
      <c r="I83" s="223"/>
      <c r="J83" s="223"/>
      <c r="K83" s="224"/>
      <c r="L83" s="225">
        <f>IF(設定!F80="4：臨時雇用者",,設定!E80)</f>
        <v>0</v>
      </c>
      <c r="M83" s="226"/>
      <c r="N83" s="227"/>
      <c r="O83" s="228">
        <f>IF(設定!F80="4：臨時雇用者",,設定!F80)</f>
        <v>0</v>
      </c>
      <c r="P83" s="229"/>
      <c r="Q83" s="229"/>
      <c r="R83" s="229"/>
      <c r="S83" s="229"/>
      <c r="T83" s="229"/>
      <c r="U83" s="229"/>
      <c r="V83" s="229"/>
      <c r="W83" s="229"/>
      <c r="X83" s="230">
        <f>IF(設定!F80="4：臨時雇用者",,設定!G80)</f>
        <v>0</v>
      </c>
      <c r="Y83" s="218"/>
      <c r="Z83" s="218"/>
      <c r="AA83" s="218"/>
      <c r="AB83" s="231"/>
      <c r="AC83" s="217">
        <f>IF(設定!F80="4：臨時雇用者",,設定!V80)</f>
        <v>0</v>
      </c>
      <c r="AD83" s="218"/>
      <c r="AE83" s="218"/>
      <c r="AF83" s="218"/>
      <c r="AG83" s="231"/>
      <c r="AH83" s="217">
        <f>IF(設定!F80="4：臨時雇用者",,設定!W80)</f>
        <v>0</v>
      </c>
      <c r="AI83" s="218"/>
      <c r="AJ83" s="218"/>
      <c r="AK83" s="218"/>
      <c r="AL83" s="219"/>
    </row>
    <row r="84" spans="3:38" s="43" customFormat="1" ht="27" customHeight="1" x14ac:dyDescent="0.2">
      <c r="C84" s="220">
        <f>IF(設定!F81="4：臨時雇用者",,設定!C81)</f>
        <v>0</v>
      </c>
      <c r="D84" s="221"/>
      <c r="E84" s="221"/>
      <c r="F84" s="221"/>
      <c r="G84" s="235"/>
      <c r="H84" s="222">
        <f>IF(設定!F81="4：臨時雇用者",,設定!D81)</f>
        <v>0</v>
      </c>
      <c r="I84" s="223"/>
      <c r="J84" s="223"/>
      <c r="K84" s="224"/>
      <c r="L84" s="225">
        <f>IF(設定!F81="4：臨時雇用者",,設定!E81)</f>
        <v>0</v>
      </c>
      <c r="M84" s="226"/>
      <c r="N84" s="227"/>
      <c r="O84" s="228">
        <f>IF(設定!F81="4：臨時雇用者",,設定!F81)</f>
        <v>0</v>
      </c>
      <c r="P84" s="229"/>
      <c r="Q84" s="229"/>
      <c r="R84" s="229"/>
      <c r="S84" s="229"/>
      <c r="T84" s="229"/>
      <c r="U84" s="229"/>
      <c r="V84" s="229"/>
      <c r="W84" s="229"/>
      <c r="X84" s="230">
        <f>IF(設定!F81="4：臨時雇用者",,設定!G81)</f>
        <v>0</v>
      </c>
      <c r="Y84" s="218"/>
      <c r="Z84" s="218"/>
      <c r="AA84" s="218"/>
      <c r="AB84" s="231"/>
      <c r="AC84" s="217">
        <f>IF(設定!F81="4：臨時雇用者",,設定!V81)</f>
        <v>0</v>
      </c>
      <c r="AD84" s="218"/>
      <c r="AE84" s="218"/>
      <c r="AF84" s="218"/>
      <c r="AG84" s="231"/>
      <c r="AH84" s="217">
        <f>IF(設定!F81="4：臨時雇用者",,設定!W81)</f>
        <v>0</v>
      </c>
      <c r="AI84" s="218"/>
      <c r="AJ84" s="218"/>
      <c r="AK84" s="218"/>
      <c r="AL84" s="219"/>
    </row>
    <row r="85" spans="3:38" s="43" customFormat="1" ht="27" customHeight="1" x14ac:dyDescent="0.2">
      <c r="C85" s="220">
        <f>IF(設定!F82="4：臨時雇用者",,設定!C82)</f>
        <v>0</v>
      </c>
      <c r="D85" s="221"/>
      <c r="E85" s="221"/>
      <c r="F85" s="221"/>
      <c r="G85" s="235"/>
      <c r="H85" s="222">
        <f>IF(設定!F82="4：臨時雇用者",,設定!D82)</f>
        <v>0</v>
      </c>
      <c r="I85" s="223"/>
      <c r="J85" s="223"/>
      <c r="K85" s="224"/>
      <c r="L85" s="225">
        <f>IF(設定!F82="4：臨時雇用者",,設定!E82)</f>
        <v>0</v>
      </c>
      <c r="M85" s="226"/>
      <c r="N85" s="227"/>
      <c r="O85" s="228">
        <f>IF(設定!F82="4：臨時雇用者",,設定!F82)</f>
        <v>0</v>
      </c>
      <c r="P85" s="229"/>
      <c r="Q85" s="229"/>
      <c r="R85" s="229"/>
      <c r="S85" s="229"/>
      <c r="T85" s="229"/>
      <c r="U85" s="229"/>
      <c r="V85" s="229"/>
      <c r="W85" s="229"/>
      <c r="X85" s="230">
        <f>IF(設定!F82="4：臨時雇用者",,設定!G82)</f>
        <v>0</v>
      </c>
      <c r="Y85" s="218"/>
      <c r="Z85" s="218"/>
      <c r="AA85" s="218"/>
      <c r="AB85" s="231"/>
      <c r="AC85" s="217">
        <f>IF(設定!F82="4：臨時雇用者",,設定!V82)</f>
        <v>0</v>
      </c>
      <c r="AD85" s="218"/>
      <c r="AE85" s="218"/>
      <c r="AF85" s="218"/>
      <c r="AG85" s="231"/>
      <c r="AH85" s="217">
        <f>IF(設定!F82="4：臨時雇用者",,設定!W82)</f>
        <v>0</v>
      </c>
      <c r="AI85" s="218"/>
      <c r="AJ85" s="218"/>
      <c r="AK85" s="218"/>
      <c r="AL85" s="219"/>
    </row>
    <row r="86" spans="3:38" s="43" customFormat="1" ht="27" customHeight="1" x14ac:dyDescent="0.2">
      <c r="C86" s="220">
        <f>IF(設定!F83="4：臨時雇用者",,設定!C83)</f>
        <v>0</v>
      </c>
      <c r="D86" s="221"/>
      <c r="E86" s="221"/>
      <c r="F86" s="221"/>
      <c r="G86" s="235"/>
      <c r="H86" s="222">
        <f>IF(設定!F83="4：臨時雇用者",,設定!D83)</f>
        <v>0</v>
      </c>
      <c r="I86" s="223"/>
      <c r="J86" s="223"/>
      <c r="K86" s="224"/>
      <c r="L86" s="225">
        <f>IF(設定!F83="4：臨時雇用者",,設定!E83)</f>
        <v>0</v>
      </c>
      <c r="M86" s="226"/>
      <c r="N86" s="227"/>
      <c r="O86" s="228">
        <f>IF(設定!F83="4：臨時雇用者",,設定!F83)</f>
        <v>0</v>
      </c>
      <c r="P86" s="229"/>
      <c r="Q86" s="229"/>
      <c r="R86" s="229"/>
      <c r="S86" s="229"/>
      <c r="T86" s="229"/>
      <c r="U86" s="229"/>
      <c r="V86" s="229"/>
      <c r="W86" s="229"/>
      <c r="X86" s="230">
        <f>IF(設定!F83="4：臨時雇用者",,設定!G83)</f>
        <v>0</v>
      </c>
      <c r="Y86" s="218"/>
      <c r="Z86" s="218"/>
      <c r="AA86" s="218"/>
      <c r="AB86" s="231"/>
      <c r="AC86" s="217">
        <f>IF(設定!F83="4：臨時雇用者",,設定!V83)</f>
        <v>0</v>
      </c>
      <c r="AD86" s="218"/>
      <c r="AE86" s="218"/>
      <c r="AF86" s="218"/>
      <c r="AG86" s="231"/>
      <c r="AH86" s="217">
        <f>IF(設定!F83="4：臨時雇用者",,設定!W83)</f>
        <v>0</v>
      </c>
      <c r="AI86" s="218"/>
      <c r="AJ86" s="218"/>
      <c r="AK86" s="218"/>
      <c r="AL86" s="219"/>
    </row>
    <row r="87" spans="3:38" s="43" customFormat="1" ht="27" customHeight="1" x14ac:dyDescent="0.2">
      <c r="C87" s="220">
        <f>IF(設定!F84="4：臨時雇用者",,設定!C84)</f>
        <v>0</v>
      </c>
      <c r="D87" s="221"/>
      <c r="E87" s="221"/>
      <c r="F87" s="221"/>
      <c r="G87" s="235"/>
      <c r="H87" s="222">
        <f>IF(設定!F84="4：臨時雇用者",,設定!D84)</f>
        <v>0</v>
      </c>
      <c r="I87" s="223"/>
      <c r="J87" s="223"/>
      <c r="K87" s="224"/>
      <c r="L87" s="225">
        <f>IF(設定!F84="4：臨時雇用者",,設定!E84)</f>
        <v>0</v>
      </c>
      <c r="M87" s="226"/>
      <c r="N87" s="227"/>
      <c r="O87" s="228">
        <f>IF(設定!F84="4：臨時雇用者",,設定!F84)</f>
        <v>0</v>
      </c>
      <c r="P87" s="229"/>
      <c r="Q87" s="229"/>
      <c r="R87" s="229"/>
      <c r="S87" s="229"/>
      <c r="T87" s="229"/>
      <c r="U87" s="229"/>
      <c r="V87" s="229"/>
      <c r="W87" s="229"/>
      <c r="X87" s="230">
        <f>IF(設定!F84="4：臨時雇用者",,設定!G84)</f>
        <v>0</v>
      </c>
      <c r="Y87" s="218"/>
      <c r="Z87" s="218"/>
      <c r="AA87" s="218"/>
      <c r="AB87" s="231"/>
      <c r="AC87" s="217">
        <f>IF(設定!F84="4：臨時雇用者",,設定!V84)</f>
        <v>0</v>
      </c>
      <c r="AD87" s="218"/>
      <c r="AE87" s="218"/>
      <c r="AF87" s="218"/>
      <c r="AG87" s="231"/>
      <c r="AH87" s="217">
        <f>IF(設定!F84="4：臨時雇用者",,設定!W84)</f>
        <v>0</v>
      </c>
      <c r="AI87" s="218"/>
      <c r="AJ87" s="218"/>
      <c r="AK87" s="218"/>
      <c r="AL87" s="219"/>
    </row>
    <row r="88" spans="3:38" s="43" customFormat="1" ht="27" customHeight="1" x14ac:dyDescent="0.2">
      <c r="C88" s="220">
        <f>IF(設定!F85="4：臨時雇用者",,設定!C85)</f>
        <v>0</v>
      </c>
      <c r="D88" s="221"/>
      <c r="E88" s="221"/>
      <c r="F88" s="221"/>
      <c r="G88" s="235"/>
      <c r="H88" s="222">
        <f>IF(設定!F85="4：臨時雇用者",,設定!D85)</f>
        <v>0</v>
      </c>
      <c r="I88" s="223"/>
      <c r="J88" s="223"/>
      <c r="K88" s="224"/>
      <c r="L88" s="225">
        <f>IF(設定!F85="4：臨時雇用者",,設定!E85)</f>
        <v>0</v>
      </c>
      <c r="M88" s="226"/>
      <c r="N88" s="227"/>
      <c r="O88" s="228">
        <f>IF(設定!F85="4：臨時雇用者",,設定!F85)</f>
        <v>0</v>
      </c>
      <c r="P88" s="229"/>
      <c r="Q88" s="229"/>
      <c r="R88" s="229"/>
      <c r="S88" s="229"/>
      <c r="T88" s="229"/>
      <c r="U88" s="229"/>
      <c r="V88" s="229"/>
      <c r="W88" s="229"/>
      <c r="X88" s="230">
        <f>IF(設定!F85="4：臨時雇用者",,設定!G85)</f>
        <v>0</v>
      </c>
      <c r="Y88" s="218"/>
      <c r="Z88" s="218"/>
      <c r="AA88" s="218"/>
      <c r="AB88" s="231"/>
      <c r="AC88" s="217">
        <f>IF(設定!F85="4：臨時雇用者",,設定!V85)</f>
        <v>0</v>
      </c>
      <c r="AD88" s="218"/>
      <c r="AE88" s="218"/>
      <c r="AF88" s="218"/>
      <c r="AG88" s="231"/>
      <c r="AH88" s="217">
        <f>IF(設定!F85="4：臨時雇用者",,設定!W85)</f>
        <v>0</v>
      </c>
      <c r="AI88" s="218"/>
      <c r="AJ88" s="218"/>
      <c r="AK88" s="218"/>
      <c r="AL88" s="219"/>
    </row>
    <row r="89" spans="3:38" s="43" customFormat="1" ht="27" customHeight="1" x14ac:dyDescent="0.2">
      <c r="C89" s="220">
        <f>IF(設定!F86="4：臨時雇用者",,設定!C86)</f>
        <v>0</v>
      </c>
      <c r="D89" s="221"/>
      <c r="E89" s="221"/>
      <c r="F89" s="221"/>
      <c r="G89" s="235"/>
      <c r="H89" s="222">
        <f>IF(設定!F86="4：臨時雇用者",,設定!D86)</f>
        <v>0</v>
      </c>
      <c r="I89" s="223"/>
      <c r="J89" s="223"/>
      <c r="K89" s="224"/>
      <c r="L89" s="225">
        <f>IF(設定!F86="4：臨時雇用者",,設定!E86)</f>
        <v>0</v>
      </c>
      <c r="M89" s="226"/>
      <c r="N89" s="227"/>
      <c r="O89" s="228">
        <f>IF(設定!F86="4：臨時雇用者",,設定!F86)</f>
        <v>0</v>
      </c>
      <c r="P89" s="229"/>
      <c r="Q89" s="229"/>
      <c r="R89" s="229"/>
      <c r="S89" s="229"/>
      <c r="T89" s="229"/>
      <c r="U89" s="229"/>
      <c r="V89" s="229"/>
      <c r="W89" s="229"/>
      <c r="X89" s="230">
        <f>IF(設定!F86="4：臨時雇用者",,設定!G86)</f>
        <v>0</v>
      </c>
      <c r="Y89" s="218"/>
      <c r="Z89" s="218"/>
      <c r="AA89" s="218"/>
      <c r="AB89" s="231"/>
      <c r="AC89" s="217">
        <f>IF(設定!F86="4：臨時雇用者",,設定!V86)</f>
        <v>0</v>
      </c>
      <c r="AD89" s="218"/>
      <c r="AE89" s="218"/>
      <c r="AF89" s="218"/>
      <c r="AG89" s="231"/>
      <c r="AH89" s="217">
        <f>IF(設定!F86="4：臨時雇用者",,設定!W86)</f>
        <v>0</v>
      </c>
      <c r="AI89" s="218"/>
      <c r="AJ89" s="218"/>
      <c r="AK89" s="218"/>
      <c r="AL89" s="219"/>
    </row>
    <row r="90" spans="3:38" s="43" customFormat="1" ht="27" customHeight="1" x14ac:dyDescent="0.2">
      <c r="C90" s="220">
        <f>IF(設定!F87="4：臨時雇用者",,設定!C87)</f>
        <v>0</v>
      </c>
      <c r="D90" s="221"/>
      <c r="E90" s="221"/>
      <c r="F90" s="221"/>
      <c r="G90" s="235"/>
      <c r="H90" s="222">
        <f>IF(設定!F87="4：臨時雇用者",,設定!D87)</f>
        <v>0</v>
      </c>
      <c r="I90" s="223"/>
      <c r="J90" s="223"/>
      <c r="K90" s="224"/>
      <c r="L90" s="225">
        <f>IF(設定!F87="4：臨時雇用者",,設定!E87)</f>
        <v>0</v>
      </c>
      <c r="M90" s="226"/>
      <c r="N90" s="227"/>
      <c r="O90" s="228">
        <f>IF(設定!F87="4：臨時雇用者",,設定!F87)</f>
        <v>0</v>
      </c>
      <c r="P90" s="229"/>
      <c r="Q90" s="229"/>
      <c r="R90" s="229"/>
      <c r="S90" s="229"/>
      <c r="T90" s="229"/>
      <c r="U90" s="229"/>
      <c r="V90" s="229"/>
      <c r="W90" s="229"/>
      <c r="X90" s="230">
        <f>IF(設定!F87="4：臨時雇用者",,設定!G87)</f>
        <v>0</v>
      </c>
      <c r="Y90" s="218"/>
      <c r="Z90" s="218"/>
      <c r="AA90" s="218"/>
      <c r="AB90" s="231"/>
      <c r="AC90" s="217">
        <f>IF(設定!F87="4：臨時雇用者",,設定!V87)</f>
        <v>0</v>
      </c>
      <c r="AD90" s="218"/>
      <c r="AE90" s="218"/>
      <c r="AF90" s="218"/>
      <c r="AG90" s="231"/>
      <c r="AH90" s="217">
        <f>IF(設定!F87="4：臨時雇用者",,設定!W87)</f>
        <v>0</v>
      </c>
      <c r="AI90" s="218"/>
      <c r="AJ90" s="218"/>
      <c r="AK90" s="218"/>
      <c r="AL90" s="219"/>
    </row>
    <row r="91" spans="3:38" s="43" customFormat="1" ht="27" customHeight="1" x14ac:dyDescent="0.2">
      <c r="C91" s="220">
        <f>IF(設定!F88="4：臨時雇用者",,設定!C88)</f>
        <v>0</v>
      </c>
      <c r="D91" s="221"/>
      <c r="E91" s="221"/>
      <c r="F91" s="221"/>
      <c r="G91" s="235"/>
      <c r="H91" s="222">
        <f>IF(設定!F88="4：臨時雇用者",,設定!D88)</f>
        <v>0</v>
      </c>
      <c r="I91" s="223"/>
      <c r="J91" s="223"/>
      <c r="K91" s="224"/>
      <c r="L91" s="225">
        <f>IF(設定!F88="4：臨時雇用者",,設定!E88)</f>
        <v>0</v>
      </c>
      <c r="M91" s="226"/>
      <c r="N91" s="227"/>
      <c r="O91" s="228">
        <f>IF(設定!F88="4：臨時雇用者",,設定!F88)</f>
        <v>0</v>
      </c>
      <c r="P91" s="229"/>
      <c r="Q91" s="229"/>
      <c r="R91" s="229"/>
      <c r="S91" s="229"/>
      <c r="T91" s="229"/>
      <c r="U91" s="229"/>
      <c r="V91" s="229"/>
      <c r="W91" s="229"/>
      <c r="X91" s="230">
        <f>IF(設定!F88="4：臨時雇用者",,設定!G88)</f>
        <v>0</v>
      </c>
      <c r="Y91" s="218"/>
      <c r="Z91" s="218"/>
      <c r="AA91" s="218"/>
      <c r="AB91" s="231"/>
      <c r="AC91" s="217">
        <f>IF(設定!F88="4：臨時雇用者",,設定!V88)</f>
        <v>0</v>
      </c>
      <c r="AD91" s="218"/>
      <c r="AE91" s="218"/>
      <c r="AF91" s="218"/>
      <c r="AG91" s="231"/>
      <c r="AH91" s="217">
        <f>IF(設定!F88="4：臨時雇用者",,設定!W88)</f>
        <v>0</v>
      </c>
      <c r="AI91" s="218"/>
      <c r="AJ91" s="218"/>
      <c r="AK91" s="218"/>
      <c r="AL91" s="219"/>
    </row>
    <row r="92" spans="3:38" s="43" customFormat="1" ht="27" customHeight="1" x14ac:dyDescent="0.2">
      <c r="C92" s="220">
        <f>IF(設定!F89="4：臨時雇用者",,設定!C89)</f>
        <v>0</v>
      </c>
      <c r="D92" s="221"/>
      <c r="E92" s="221"/>
      <c r="F92" s="221"/>
      <c r="G92" s="235"/>
      <c r="H92" s="222">
        <f>IF(設定!F89="4：臨時雇用者",,設定!D89)</f>
        <v>0</v>
      </c>
      <c r="I92" s="223"/>
      <c r="J92" s="223"/>
      <c r="K92" s="224"/>
      <c r="L92" s="225">
        <f>IF(設定!F89="4：臨時雇用者",,設定!E89)</f>
        <v>0</v>
      </c>
      <c r="M92" s="226"/>
      <c r="N92" s="227"/>
      <c r="O92" s="228">
        <f>IF(設定!F89="4：臨時雇用者",,設定!F89)</f>
        <v>0</v>
      </c>
      <c r="P92" s="229"/>
      <c r="Q92" s="229"/>
      <c r="R92" s="229"/>
      <c r="S92" s="229"/>
      <c r="T92" s="229"/>
      <c r="U92" s="229"/>
      <c r="V92" s="229"/>
      <c r="W92" s="229"/>
      <c r="X92" s="230">
        <f>IF(設定!F89="4：臨時雇用者",,設定!G89)</f>
        <v>0</v>
      </c>
      <c r="Y92" s="218"/>
      <c r="Z92" s="218"/>
      <c r="AA92" s="218"/>
      <c r="AB92" s="231"/>
      <c r="AC92" s="217">
        <f>IF(設定!F89="4：臨時雇用者",,設定!V89)</f>
        <v>0</v>
      </c>
      <c r="AD92" s="218"/>
      <c r="AE92" s="218"/>
      <c r="AF92" s="218"/>
      <c r="AG92" s="231"/>
      <c r="AH92" s="217">
        <f>IF(設定!F89="4：臨時雇用者",,設定!W89)</f>
        <v>0</v>
      </c>
      <c r="AI92" s="218"/>
      <c r="AJ92" s="218"/>
      <c r="AK92" s="218"/>
      <c r="AL92" s="219"/>
    </row>
    <row r="93" spans="3:38" s="43" customFormat="1" ht="27" customHeight="1" x14ac:dyDescent="0.2">
      <c r="C93" s="220">
        <f>IF(設定!F90="4：臨時雇用者",,設定!C90)</f>
        <v>0</v>
      </c>
      <c r="D93" s="221"/>
      <c r="E93" s="221"/>
      <c r="F93" s="221"/>
      <c r="G93" s="235"/>
      <c r="H93" s="222">
        <f>IF(設定!F90="4：臨時雇用者",,設定!D90)</f>
        <v>0</v>
      </c>
      <c r="I93" s="223"/>
      <c r="J93" s="223"/>
      <c r="K93" s="224"/>
      <c r="L93" s="225">
        <f>IF(設定!F90="4：臨時雇用者",,設定!E90)</f>
        <v>0</v>
      </c>
      <c r="M93" s="226"/>
      <c r="N93" s="227"/>
      <c r="O93" s="228">
        <f>IF(設定!F90="4：臨時雇用者",,設定!F90)</f>
        <v>0</v>
      </c>
      <c r="P93" s="229"/>
      <c r="Q93" s="229"/>
      <c r="R93" s="229"/>
      <c r="S93" s="229"/>
      <c r="T93" s="229"/>
      <c r="U93" s="229"/>
      <c r="V93" s="229"/>
      <c r="W93" s="229"/>
      <c r="X93" s="230">
        <f>IF(設定!F90="4：臨時雇用者",,設定!G90)</f>
        <v>0</v>
      </c>
      <c r="Y93" s="218"/>
      <c r="Z93" s="218"/>
      <c r="AA93" s="218"/>
      <c r="AB93" s="231"/>
      <c r="AC93" s="217">
        <f>IF(設定!F90="4：臨時雇用者",,設定!V90)</f>
        <v>0</v>
      </c>
      <c r="AD93" s="218"/>
      <c r="AE93" s="218"/>
      <c r="AF93" s="218"/>
      <c r="AG93" s="231"/>
      <c r="AH93" s="217">
        <f>IF(設定!F90="4：臨時雇用者",,設定!W90)</f>
        <v>0</v>
      </c>
      <c r="AI93" s="218"/>
      <c r="AJ93" s="218"/>
      <c r="AK93" s="218"/>
      <c r="AL93" s="219"/>
    </row>
    <row r="94" spans="3:38" s="43" customFormat="1" ht="27" customHeight="1" x14ac:dyDescent="0.2">
      <c r="C94" s="220">
        <f>IF(設定!F91="4：臨時雇用者",,設定!C91)</f>
        <v>0</v>
      </c>
      <c r="D94" s="221"/>
      <c r="E94" s="221"/>
      <c r="F94" s="221"/>
      <c r="G94" s="235"/>
      <c r="H94" s="222">
        <f>IF(設定!F91="4：臨時雇用者",,設定!D91)</f>
        <v>0</v>
      </c>
      <c r="I94" s="223"/>
      <c r="J94" s="223"/>
      <c r="K94" s="224"/>
      <c r="L94" s="225">
        <f>IF(設定!F91="4：臨時雇用者",,設定!E91)</f>
        <v>0</v>
      </c>
      <c r="M94" s="226"/>
      <c r="N94" s="227"/>
      <c r="O94" s="228">
        <f>IF(設定!F91="4：臨時雇用者",,設定!F91)</f>
        <v>0</v>
      </c>
      <c r="P94" s="229"/>
      <c r="Q94" s="229"/>
      <c r="R94" s="229"/>
      <c r="S94" s="229"/>
      <c r="T94" s="229"/>
      <c r="U94" s="229"/>
      <c r="V94" s="229"/>
      <c r="W94" s="229"/>
      <c r="X94" s="230">
        <f>IF(設定!F91="4：臨時雇用者",,設定!G91)</f>
        <v>0</v>
      </c>
      <c r="Y94" s="218"/>
      <c r="Z94" s="218"/>
      <c r="AA94" s="218"/>
      <c r="AB94" s="231"/>
      <c r="AC94" s="217">
        <f>IF(設定!F91="4：臨時雇用者",,設定!V91)</f>
        <v>0</v>
      </c>
      <c r="AD94" s="218"/>
      <c r="AE94" s="218"/>
      <c r="AF94" s="218"/>
      <c r="AG94" s="231"/>
      <c r="AH94" s="217">
        <f>IF(設定!F91="4：臨時雇用者",,設定!W91)</f>
        <v>0</v>
      </c>
      <c r="AI94" s="218"/>
      <c r="AJ94" s="218"/>
      <c r="AK94" s="218"/>
      <c r="AL94" s="219"/>
    </row>
    <row r="95" spans="3:38" s="43" customFormat="1" ht="27" customHeight="1" x14ac:dyDescent="0.2">
      <c r="C95" s="220">
        <f>IF(設定!F92="4：臨時雇用者",,設定!C92)</f>
        <v>0</v>
      </c>
      <c r="D95" s="221"/>
      <c r="E95" s="221"/>
      <c r="F95" s="221"/>
      <c r="G95" s="235"/>
      <c r="H95" s="222">
        <f>IF(設定!F92="4：臨時雇用者",,設定!D92)</f>
        <v>0</v>
      </c>
      <c r="I95" s="223"/>
      <c r="J95" s="223"/>
      <c r="K95" s="224"/>
      <c r="L95" s="225">
        <f>IF(設定!F92="4：臨時雇用者",,設定!E92)</f>
        <v>0</v>
      </c>
      <c r="M95" s="226"/>
      <c r="N95" s="227"/>
      <c r="O95" s="228">
        <f>IF(設定!F92="4：臨時雇用者",,設定!F92)</f>
        <v>0</v>
      </c>
      <c r="P95" s="229"/>
      <c r="Q95" s="229"/>
      <c r="R95" s="229"/>
      <c r="S95" s="229"/>
      <c r="T95" s="229"/>
      <c r="U95" s="229"/>
      <c r="V95" s="229"/>
      <c r="W95" s="229"/>
      <c r="X95" s="230">
        <f>IF(設定!F92="4：臨時雇用者",,設定!G92)</f>
        <v>0</v>
      </c>
      <c r="Y95" s="218"/>
      <c r="Z95" s="218"/>
      <c r="AA95" s="218"/>
      <c r="AB95" s="231"/>
      <c r="AC95" s="217">
        <f>IF(設定!F92="4：臨時雇用者",,設定!V92)</f>
        <v>0</v>
      </c>
      <c r="AD95" s="218"/>
      <c r="AE95" s="218"/>
      <c r="AF95" s="218"/>
      <c r="AG95" s="231"/>
      <c r="AH95" s="217">
        <f>IF(設定!F92="4：臨時雇用者",,設定!W92)</f>
        <v>0</v>
      </c>
      <c r="AI95" s="218"/>
      <c r="AJ95" s="218"/>
      <c r="AK95" s="218"/>
      <c r="AL95" s="219"/>
    </row>
    <row r="96" spans="3:38" s="43" customFormat="1" ht="27" customHeight="1" x14ac:dyDescent="0.2">
      <c r="C96" s="220">
        <f>IF(設定!F93="4：臨時雇用者",,設定!C93)</f>
        <v>0</v>
      </c>
      <c r="D96" s="221"/>
      <c r="E96" s="221"/>
      <c r="F96" s="221"/>
      <c r="G96" s="235"/>
      <c r="H96" s="222">
        <f>IF(設定!F93="4：臨時雇用者",,設定!D93)</f>
        <v>0</v>
      </c>
      <c r="I96" s="223"/>
      <c r="J96" s="223"/>
      <c r="K96" s="224"/>
      <c r="L96" s="225">
        <f>IF(設定!F93="4：臨時雇用者",,設定!E93)</f>
        <v>0</v>
      </c>
      <c r="M96" s="226"/>
      <c r="N96" s="227"/>
      <c r="O96" s="228">
        <f>IF(設定!F93="4：臨時雇用者",,設定!F93)</f>
        <v>0</v>
      </c>
      <c r="P96" s="229"/>
      <c r="Q96" s="229"/>
      <c r="R96" s="229"/>
      <c r="S96" s="229"/>
      <c r="T96" s="229"/>
      <c r="U96" s="229"/>
      <c r="V96" s="229"/>
      <c r="W96" s="229"/>
      <c r="X96" s="230">
        <f>IF(設定!F93="4：臨時雇用者",,設定!G93)</f>
        <v>0</v>
      </c>
      <c r="Y96" s="218"/>
      <c r="Z96" s="218"/>
      <c r="AA96" s="218"/>
      <c r="AB96" s="231"/>
      <c r="AC96" s="217">
        <f>IF(設定!F93="4：臨時雇用者",,設定!V93)</f>
        <v>0</v>
      </c>
      <c r="AD96" s="218"/>
      <c r="AE96" s="218"/>
      <c r="AF96" s="218"/>
      <c r="AG96" s="231"/>
      <c r="AH96" s="217">
        <f>IF(設定!F93="4：臨時雇用者",,設定!W93)</f>
        <v>0</v>
      </c>
      <c r="AI96" s="218"/>
      <c r="AJ96" s="218"/>
      <c r="AK96" s="218"/>
      <c r="AL96" s="219"/>
    </row>
    <row r="97" spans="3:38" s="43" customFormat="1" ht="27" customHeight="1" x14ac:dyDescent="0.2">
      <c r="C97" s="220">
        <f>IF(設定!F94="4：臨時雇用者",,設定!C94)</f>
        <v>0</v>
      </c>
      <c r="D97" s="221"/>
      <c r="E97" s="221"/>
      <c r="F97" s="221"/>
      <c r="G97" s="235"/>
      <c r="H97" s="222">
        <f>IF(設定!F94="4：臨時雇用者",,設定!D94)</f>
        <v>0</v>
      </c>
      <c r="I97" s="223"/>
      <c r="J97" s="223"/>
      <c r="K97" s="224"/>
      <c r="L97" s="225">
        <f>IF(設定!F94="4：臨時雇用者",,設定!E94)</f>
        <v>0</v>
      </c>
      <c r="M97" s="226"/>
      <c r="N97" s="227"/>
      <c r="O97" s="228">
        <f>IF(設定!F94="4：臨時雇用者",,設定!F94)</f>
        <v>0</v>
      </c>
      <c r="P97" s="229"/>
      <c r="Q97" s="229"/>
      <c r="R97" s="229"/>
      <c r="S97" s="229"/>
      <c r="T97" s="229"/>
      <c r="U97" s="229"/>
      <c r="V97" s="229"/>
      <c r="W97" s="229"/>
      <c r="X97" s="230">
        <f>IF(設定!F94="4：臨時雇用者",,設定!G94)</f>
        <v>0</v>
      </c>
      <c r="Y97" s="218"/>
      <c r="Z97" s="218"/>
      <c r="AA97" s="218"/>
      <c r="AB97" s="231"/>
      <c r="AC97" s="217">
        <f>IF(設定!F94="4：臨時雇用者",,設定!V94)</f>
        <v>0</v>
      </c>
      <c r="AD97" s="218"/>
      <c r="AE97" s="218"/>
      <c r="AF97" s="218"/>
      <c r="AG97" s="231"/>
      <c r="AH97" s="217">
        <f>IF(設定!F94="4：臨時雇用者",,設定!W94)</f>
        <v>0</v>
      </c>
      <c r="AI97" s="218"/>
      <c r="AJ97" s="218"/>
      <c r="AK97" s="218"/>
      <c r="AL97" s="219"/>
    </row>
    <row r="98" spans="3:38" s="43" customFormat="1" ht="27" customHeight="1" x14ac:dyDescent="0.2">
      <c r="C98" s="220">
        <f>IF(設定!F95="4：臨時雇用者",,設定!C95)</f>
        <v>0</v>
      </c>
      <c r="D98" s="221"/>
      <c r="E98" s="221"/>
      <c r="F98" s="221"/>
      <c r="G98" s="235"/>
      <c r="H98" s="222">
        <f>IF(設定!F95="4：臨時雇用者",,設定!D95)</f>
        <v>0</v>
      </c>
      <c r="I98" s="223"/>
      <c r="J98" s="223"/>
      <c r="K98" s="224"/>
      <c r="L98" s="225">
        <f>IF(設定!F95="4：臨時雇用者",,設定!E95)</f>
        <v>0</v>
      </c>
      <c r="M98" s="226"/>
      <c r="N98" s="227"/>
      <c r="O98" s="228">
        <f>IF(設定!F95="4：臨時雇用者",,設定!F95)</f>
        <v>0</v>
      </c>
      <c r="P98" s="229"/>
      <c r="Q98" s="229"/>
      <c r="R98" s="229"/>
      <c r="S98" s="229"/>
      <c r="T98" s="229"/>
      <c r="U98" s="229"/>
      <c r="V98" s="229"/>
      <c r="W98" s="229"/>
      <c r="X98" s="230">
        <f>IF(設定!F95="4：臨時雇用者",,設定!G95)</f>
        <v>0</v>
      </c>
      <c r="Y98" s="218"/>
      <c r="Z98" s="218"/>
      <c r="AA98" s="218"/>
      <c r="AB98" s="231"/>
      <c r="AC98" s="217">
        <f>IF(設定!F95="4：臨時雇用者",,設定!V95)</f>
        <v>0</v>
      </c>
      <c r="AD98" s="218"/>
      <c r="AE98" s="218"/>
      <c r="AF98" s="218"/>
      <c r="AG98" s="231"/>
      <c r="AH98" s="217">
        <f>IF(設定!F95="4：臨時雇用者",,設定!W95)</f>
        <v>0</v>
      </c>
      <c r="AI98" s="218"/>
      <c r="AJ98" s="218"/>
      <c r="AK98" s="218"/>
      <c r="AL98" s="219"/>
    </row>
    <row r="99" spans="3:38" s="43" customFormat="1" ht="27" customHeight="1" x14ac:dyDescent="0.2">
      <c r="C99" s="220">
        <f>IF(設定!F96="4：臨時雇用者",,設定!C96)</f>
        <v>0</v>
      </c>
      <c r="D99" s="221"/>
      <c r="E99" s="221"/>
      <c r="F99" s="221"/>
      <c r="G99" s="235"/>
      <c r="H99" s="222">
        <f>IF(設定!F96="4：臨時雇用者",,設定!D96)</f>
        <v>0</v>
      </c>
      <c r="I99" s="223"/>
      <c r="J99" s="223"/>
      <c r="K99" s="224"/>
      <c r="L99" s="225">
        <f>IF(設定!F96="4：臨時雇用者",,設定!E96)</f>
        <v>0</v>
      </c>
      <c r="M99" s="226"/>
      <c r="N99" s="227"/>
      <c r="O99" s="228">
        <f>IF(設定!F96="4：臨時雇用者",,設定!F96)</f>
        <v>0</v>
      </c>
      <c r="P99" s="229"/>
      <c r="Q99" s="229"/>
      <c r="R99" s="229"/>
      <c r="S99" s="229"/>
      <c r="T99" s="229"/>
      <c r="U99" s="229"/>
      <c r="V99" s="229"/>
      <c r="W99" s="229"/>
      <c r="X99" s="230">
        <f>IF(設定!F96="4：臨時雇用者",,設定!G96)</f>
        <v>0</v>
      </c>
      <c r="Y99" s="218"/>
      <c r="Z99" s="218"/>
      <c r="AA99" s="218"/>
      <c r="AB99" s="231"/>
      <c r="AC99" s="217">
        <f>IF(設定!F96="4：臨時雇用者",,設定!V96)</f>
        <v>0</v>
      </c>
      <c r="AD99" s="218"/>
      <c r="AE99" s="218"/>
      <c r="AF99" s="218"/>
      <c r="AG99" s="231"/>
      <c r="AH99" s="217">
        <f>IF(設定!F96="4：臨時雇用者",,設定!W96)</f>
        <v>0</v>
      </c>
      <c r="AI99" s="218"/>
      <c r="AJ99" s="218"/>
      <c r="AK99" s="218"/>
      <c r="AL99" s="219"/>
    </row>
    <row r="100" spans="3:38" s="43" customFormat="1" ht="27" customHeight="1" x14ac:dyDescent="0.2">
      <c r="C100" s="220">
        <f>IF(設定!F97="4：臨時雇用者",,設定!C97)</f>
        <v>0</v>
      </c>
      <c r="D100" s="221"/>
      <c r="E100" s="221"/>
      <c r="F100" s="221"/>
      <c r="G100" s="235"/>
      <c r="H100" s="222">
        <f>IF(設定!F97="4：臨時雇用者",,設定!D97)</f>
        <v>0</v>
      </c>
      <c r="I100" s="223"/>
      <c r="J100" s="223"/>
      <c r="K100" s="224"/>
      <c r="L100" s="225">
        <f>IF(設定!F97="4：臨時雇用者",,設定!E97)</f>
        <v>0</v>
      </c>
      <c r="M100" s="226"/>
      <c r="N100" s="227"/>
      <c r="O100" s="228">
        <f>IF(設定!F97="4：臨時雇用者",,設定!F97)</f>
        <v>0</v>
      </c>
      <c r="P100" s="229"/>
      <c r="Q100" s="229"/>
      <c r="R100" s="229"/>
      <c r="S100" s="229"/>
      <c r="T100" s="229"/>
      <c r="U100" s="229"/>
      <c r="V100" s="229"/>
      <c r="W100" s="229"/>
      <c r="X100" s="230">
        <f>IF(設定!F97="4：臨時雇用者",,設定!G97)</f>
        <v>0</v>
      </c>
      <c r="Y100" s="218"/>
      <c r="Z100" s="218"/>
      <c r="AA100" s="218"/>
      <c r="AB100" s="231"/>
      <c r="AC100" s="217">
        <f>IF(設定!F97="4：臨時雇用者",,設定!V97)</f>
        <v>0</v>
      </c>
      <c r="AD100" s="218"/>
      <c r="AE100" s="218"/>
      <c r="AF100" s="218"/>
      <c r="AG100" s="231"/>
      <c r="AH100" s="217">
        <f>IF(設定!F97="4：臨時雇用者",,設定!W97)</f>
        <v>0</v>
      </c>
      <c r="AI100" s="218"/>
      <c r="AJ100" s="218"/>
      <c r="AK100" s="218"/>
      <c r="AL100" s="219"/>
    </row>
    <row r="101" spans="3:38" s="43" customFormat="1" ht="27" customHeight="1" x14ac:dyDescent="0.2">
      <c r="C101" s="220">
        <f>IF(設定!F98="4：臨時雇用者",,設定!C98)</f>
        <v>0</v>
      </c>
      <c r="D101" s="221"/>
      <c r="E101" s="221"/>
      <c r="F101" s="221"/>
      <c r="G101" s="235"/>
      <c r="H101" s="222">
        <f>IF(設定!F98="4：臨時雇用者",,設定!D98)</f>
        <v>0</v>
      </c>
      <c r="I101" s="223"/>
      <c r="J101" s="223"/>
      <c r="K101" s="224"/>
      <c r="L101" s="225">
        <f>IF(設定!F98="4：臨時雇用者",,設定!E98)</f>
        <v>0</v>
      </c>
      <c r="M101" s="226"/>
      <c r="N101" s="227"/>
      <c r="O101" s="228">
        <f>IF(設定!F98="4：臨時雇用者",,設定!F98)</f>
        <v>0</v>
      </c>
      <c r="P101" s="229"/>
      <c r="Q101" s="229"/>
      <c r="R101" s="229"/>
      <c r="S101" s="229"/>
      <c r="T101" s="229"/>
      <c r="U101" s="229"/>
      <c r="V101" s="229"/>
      <c r="W101" s="229"/>
      <c r="X101" s="230">
        <f>IF(設定!F98="4：臨時雇用者",,設定!G98)</f>
        <v>0</v>
      </c>
      <c r="Y101" s="218"/>
      <c r="Z101" s="218"/>
      <c r="AA101" s="218"/>
      <c r="AB101" s="231"/>
      <c r="AC101" s="217">
        <f>IF(設定!F98="4：臨時雇用者",,設定!V98)</f>
        <v>0</v>
      </c>
      <c r="AD101" s="218"/>
      <c r="AE101" s="218"/>
      <c r="AF101" s="218"/>
      <c r="AG101" s="231"/>
      <c r="AH101" s="217">
        <f>IF(設定!F98="4：臨時雇用者",,設定!W98)</f>
        <v>0</v>
      </c>
      <c r="AI101" s="218"/>
      <c r="AJ101" s="218"/>
      <c r="AK101" s="218"/>
      <c r="AL101" s="219"/>
    </row>
    <row r="102" spans="3:38" s="43" customFormat="1" ht="27" customHeight="1" x14ac:dyDescent="0.2">
      <c r="C102" s="220">
        <f>IF(設定!F99="4：臨時雇用者",,設定!C99)</f>
        <v>0</v>
      </c>
      <c r="D102" s="221"/>
      <c r="E102" s="221"/>
      <c r="F102" s="221"/>
      <c r="G102" s="235"/>
      <c r="H102" s="222">
        <f>IF(設定!F99="4：臨時雇用者",,設定!D99)</f>
        <v>0</v>
      </c>
      <c r="I102" s="223"/>
      <c r="J102" s="223"/>
      <c r="K102" s="224"/>
      <c r="L102" s="225">
        <f>IF(設定!F99="4：臨時雇用者",,設定!E99)</f>
        <v>0</v>
      </c>
      <c r="M102" s="226"/>
      <c r="N102" s="227"/>
      <c r="O102" s="228">
        <f>IF(設定!F99="4：臨時雇用者",,設定!F99)</f>
        <v>0</v>
      </c>
      <c r="P102" s="229"/>
      <c r="Q102" s="229"/>
      <c r="R102" s="229"/>
      <c r="S102" s="229"/>
      <c r="T102" s="229"/>
      <c r="U102" s="229"/>
      <c r="V102" s="229"/>
      <c r="W102" s="229"/>
      <c r="X102" s="230">
        <f>IF(設定!F99="4：臨時雇用者",,設定!G99)</f>
        <v>0</v>
      </c>
      <c r="Y102" s="218"/>
      <c r="Z102" s="218"/>
      <c r="AA102" s="218"/>
      <c r="AB102" s="231"/>
      <c r="AC102" s="217">
        <f>IF(設定!F99="4：臨時雇用者",,設定!V99)</f>
        <v>0</v>
      </c>
      <c r="AD102" s="218"/>
      <c r="AE102" s="218"/>
      <c r="AF102" s="218"/>
      <c r="AG102" s="231"/>
      <c r="AH102" s="217">
        <f>IF(設定!F99="4：臨時雇用者",,設定!W99)</f>
        <v>0</v>
      </c>
      <c r="AI102" s="218"/>
      <c r="AJ102" s="218"/>
      <c r="AK102" s="218"/>
      <c r="AL102" s="219"/>
    </row>
    <row r="103" spans="3:38" s="43" customFormat="1" ht="27" customHeight="1" x14ac:dyDescent="0.2">
      <c r="C103" s="220">
        <f>IF(設定!F100="4：臨時雇用者",,設定!C100)</f>
        <v>0</v>
      </c>
      <c r="D103" s="221"/>
      <c r="E103" s="221"/>
      <c r="F103" s="221"/>
      <c r="G103" s="235"/>
      <c r="H103" s="222">
        <f>IF(設定!F100="4：臨時雇用者",,設定!D100)</f>
        <v>0</v>
      </c>
      <c r="I103" s="223"/>
      <c r="J103" s="223"/>
      <c r="K103" s="224"/>
      <c r="L103" s="225">
        <f>IF(設定!F100="4：臨時雇用者",,設定!E100)</f>
        <v>0</v>
      </c>
      <c r="M103" s="226"/>
      <c r="N103" s="227"/>
      <c r="O103" s="228">
        <f>IF(設定!F100="4：臨時雇用者",,設定!F100)</f>
        <v>0</v>
      </c>
      <c r="P103" s="229"/>
      <c r="Q103" s="229"/>
      <c r="R103" s="229"/>
      <c r="S103" s="229"/>
      <c r="T103" s="229"/>
      <c r="U103" s="229"/>
      <c r="V103" s="229"/>
      <c r="W103" s="229"/>
      <c r="X103" s="230">
        <f>IF(設定!F100="4：臨時雇用者",,設定!G100)</f>
        <v>0</v>
      </c>
      <c r="Y103" s="218"/>
      <c r="Z103" s="218"/>
      <c r="AA103" s="218"/>
      <c r="AB103" s="231"/>
      <c r="AC103" s="217">
        <f>IF(設定!F100="4：臨時雇用者",,設定!V100)</f>
        <v>0</v>
      </c>
      <c r="AD103" s="218"/>
      <c r="AE103" s="218"/>
      <c r="AF103" s="218"/>
      <c r="AG103" s="231"/>
      <c r="AH103" s="217">
        <f>IF(設定!F100="4：臨時雇用者",,設定!W100)</f>
        <v>0</v>
      </c>
      <c r="AI103" s="218"/>
      <c r="AJ103" s="218"/>
      <c r="AK103" s="218"/>
      <c r="AL103" s="219"/>
    </row>
    <row r="104" spans="3:38" s="43" customFormat="1" ht="27" customHeight="1" x14ac:dyDescent="0.2">
      <c r="C104" s="220">
        <f>IF(設定!F101="4：臨時雇用者",,設定!C101)</f>
        <v>0</v>
      </c>
      <c r="D104" s="221"/>
      <c r="E104" s="221"/>
      <c r="F104" s="221"/>
      <c r="G104" s="235"/>
      <c r="H104" s="222">
        <f>IF(設定!F101="4：臨時雇用者",,設定!D101)</f>
        <v>0</v>
      </c>
      <c r="I104" s="223"/>
      <c r="J104" s="223"/>
      <c r="K104" s="224"/>
      <c r="L104" s="225">
        <f>IF(設定!F101="4：臨時雇用者",,設定!E101)</f>
        <v>0</v>
      </c>
      <c r="M104" s="226"/>
      <c r="N104" s="227"/>
      <c r="O104" s="228">
        <f>IF(設定!F101="4：臨時雇用者",,設定!F101)</f>
        <v>0</v>
      </c>
      <c r="P104" s="229"/>
      <c r="Q104" s="229"/>
      <c r="R104" s="229"/>
      <c r="S104" s="229"/>
      <c r="T104" s="229"/>
      <c r="U104" s="229"/>
      <c r="V104" s="229"/>
      <c r="W104" s="229"/>
      <c r="X104" s="230">
        <f>IF(設定!F101="4：臨時雇用者",,設定!G101)</f>
        <v>0</v>
      </c>
      <c r="Y104" s="218"/>
      <c r="Z104" s="218"/>
      <c r="AA104" s="218"/>
      <c r="AB104" s="231"/>
      <c r="AC104" s="217">
        <f>IF(設定!F101="4：臨時雇用者",,設定!V101)</f>
        <v>0</v>
      </c>
      <c r="AD104" s="218"/>
      <c r="AE104" s="218"/>
      <c r="AF104" s="218"/>
      <c r="AG104" s="231"/>
      <c r="AH104" s="217">
        <f>IF(設定!F101="4：臨時雇用者",,設定!W101)</f>
        <v>0</v>
      </c>
      <c r="AI104" s="218"/>
      <c r="AJ104" s="218"/>
      <c r="AK104" s="218"/>
      <c r="AL104" s="219"/>
    </row>
    <row r="105" spans="3:38" s="43" customFormat="1" ht="27" customHeight="1" x14ac:dyDescent="0.2">
      <c r="C105" s="220">
        <f>IF(設定!F102="4：臨時雇用者",,設定!C102)</f>
        <v>0</v>
      </c>
      <c r="D105" s="221"/>
      <c r="E105" s="221"/>
      <c r="F105" s="221"/>
      <c r="G105" s="235"/>
      <c r="H105" s="222">
        <f>IF(設定!F102="4：臨時雇用者",,設定!D102)</f>
        <v>0</v>
      </c>
      <c r="I105" s="223"/>
      <c r="J105" s="223"/>
      <c r="K105" s="224"/>
      <c r="L105" s="225">
        <f>IF(設定!F102="4：臨時雇用者",,設定!E102)</f>
        <v>0</v>
      </c>
      <c r="M105" s="226"/>
      <c r="N105" s="227"/>
      <c r="O105" s="228">
        <f>IF(設定!F102="4：臨時雇用者",,設定!F102)</f>
        <v>0</v>
      </c>
      <c r="P105" s="229"/>
      <c r="Q105" s="229"/>
      <c r="R105" s="229"/>
      <c r="S105" s="229"/>
      <c r="T105" s="229"/>
      <c r="U105" s="229"/>
      <c r="V105" s="229"/>
      <c r="W105" s="229"/>
      <c r="X105" s="230">
        <f>IF(設定!F102="4：臨時雇用者",,設定!G102)</f>
        <v>0</v>
      </c>
      <c r="Y105" s="218"/>
      <c r="Z105" s="218"/>
      <c r="AA105" s="218"/>
      <c r="AB105" s="231"/>
      <c r="AC105" s="217">
        <f>IF(設定!F102="4：臨時雇用者",,設定!V102)</f>
        <v>0</v>
      </c>
      <c r="AD105" s="218"/>
      <c r="AE105" s="218"/>
      <c r="AF105" s="218"/>
      <c r="AG105" s="231"/>
      <c r="AH105" s="217">
        <f>IF(設定!F102="4：臨時雇用者",,設定!W102)</f>
        <v>0</v>
      </c>
      <c r="AI105" s="218"/>
      <c r="AJ105" s="218"/>
      <c r="AK105" s="218"/>
      <c r="AL105" s="219"/>
    </row>
    <row r="106" spans="3:38" s="43" customFormat="1" ht="27" customHeight="1" x14ac:dyDescent="0.2">
      <c r="C106" s="220">
        <f>IF(設定!F103="4：臨時雇用者",,設定!C103)</f>
        <v>0</v>
      </c>
      <c r="D106" s="221"/>
      <c r="E106" s="221"/>
      <c r="F106" s="221"/>
      <c r="G106" s="235"/>
      <c r="H106" s="222">
        <f>IF(設定!F103="4：臨時雇用者",,設定!D103)</f>
        <v>0</v>
      </c>
      <c r="I106" s="223"/>
      <c r="J106" s="223"/>
      <c r="K106" s="224"/>
      <c r="L106" s="225">
        <f>IF(設定!F103="4：臨時雇用者",,設定!E103)</f>
        <v>0</v>
      </c>
      <c r="M106" s="226"/>
      <c r="N106" s="227"/>
      <c r="O106" s="228">
        <f>IF(設定!F103="4：臨時雇用者",,設定!F103)</f>
        <v>0</v>
      </c>
      <c r="P106" s="229"/>
      <c r="Q106" s="229"/>
      <c r="R106" s="229"/>
      <c r="S106" s="229"/>
      <c r="T106" s="229"/>
      <c r="U106" s="229"/>
      <c r="V106" s="229"/>
      <c r="W106" s="229"/>
      <c r="X106" s="230">
        <f>IF(設定!F103="4：臨時雇用者",,設定!G103)</f>
        <v>0</v>
      </c>
      <c r="Y106" s="218"/>
      <c r="Z106" s="218"/>
      <c r="AA106" s="218"/>
      <c r="AB106" s="231"/>
      <c r="AC106" s="217">
        <f>IF(設定!F103="4：臨時雇用者",,設定!V103)</f>
        <v>0</v>
      </c>
      <c r="AD106" s="218"/>
      <c r="AE106" s="218"/>
      <c r="AF106" s="218"/>
      <c r="AG106" s="231"/>
      <c r="AH106" s="217">
        <f>IF(設定!F103="4：臨時雇用者",,設定!W103)</f>
        <v>0</v>
      </c>
      <c r="AI106" s="218"/>
      <c r="AJ106" s="218"/>
      <c r="AK106" s="218"/>
      <c r="AL106" s="219"/>
    </row>
    <row r="107" spans="3:38" s="43" customFormat="1" ht="27" customHeight="1" x14ac:dyDescent="0.2">
      <c r="C107" s="220">
        <f>IF(設定!F104="4：臨時雇用者",,設定!C104)</f>
        <v>0</v>
      </c>
      <c r="D107" s="221"/>
      <c r="E107" s="221"/>
      <c r="F107" s="221"/>
      <c r="G107" s="235"/>
      <c r="H107" s="222">
        <f>IF(設定!F104="4：臨時雇用者",,設定!D104)</f>
        <v>0</v>
      </c>
      <c r="I107" s="223"/>
      <c r="J107" s="223"/>
      <c r="K107" s="224"/>
      <c r="L107" s="225">
        <f>IF(設定!F104="4：臨時雇用者",,設定!E104)</f>
        <v>0</v>
      </c>
      <c r="M107" s="226"/>
      <c r="N107" s="227"/>
      <c r="O107" s="228">
        <f>IF(設定!F104="4：臨時雇用者",,設定!F104)</f>
        <v>0</v>
      </c>
      <c r="P107" s="229"/>
      <c r="Q107" s="229"/>
      <c r="R107" s="229"/>
      <c r="S107" s="229"/>
      <c r="T107" s="229"/>
      <c r="U107" s="229"/>
      <c r="V107" s="229"/>
      <c r="W107" s="229"/>
      <c r="X107" s="230">
        <f>IF(設定!F104="4：臨時雇用者",,設定!G104)</f>
        <v>0</v>
      </c>
      <c r="Y107" s="218"/>
      <c r="Z107" s="218"/>
      <c r="AA107" s="218"/>
      <c r="AB107" s="231"/>
      <c r="AC107" s="217">
        <f>IF(設定!F104="4：臨時雇用者",,設定!V104)</f>
        <v>0</v>
      </c>
      <c r="AD107" s="218"/>
      <c r="AE107" s="218"/>
      <c r="AF107" s="218"/>
      <c r="AG107" s="231"/>
      <c r="AH107" s="217">
        <f>IF(設定!F104="4：臨時雇用者",,設定!W104)</f>
        <v>0</v>
      </c>
      <c r="AI107" s="218"/>
      <c r="AJ107" s="218"/>
      <c r="AK107" s="218"/>
      <c r="AL107" s="219"/>
    </row>
    <row r="108" spans="3:38" s="43" customFormat="1" ht="27" customHeight="1" x14ac:dyDescent="0.2">
      <c r="C108" s="220">
        <f>IF(設定!F105="4：臨時雇用者",,設定!C105)</f>
        <v>0</v>
      </c>
      <c r="D108" s="221"/>
      <c r="E108" s="221"/>
      <c r="F108" s="221"/>
      <c r="G108" s="235"/>
      <c r="H108" s="222">
        <f>IF(設定!F105="4：臨時雇用者",,設定!D105)</f>
        <v>0</v>
      </c>
      <c r="I108" s="223"/>
      <c r="J108" s="223"/>
      <c r="K108" s="224"/>
      <c r="L108" s="225">
        <f>IF(設定!F105="4：臨時雇用者",,設定!E105)</f>
        <v>0</v>
      </c>
      <c r="M108" s="226"/>
      <c r="N108" s="227"/>
      <c r="O108" s="228">
        <f>IF(設定!F105="4：臨時雇用者",,設定!F105)</f>
        <v>0</v>
      </c>
      <c r="P108" s="229"/>
      <c r="Q108" s="229"/>
      <c r="R108" s="229"/>
      <c r="S108" s="229"/>
      <c r="T108" s="229"/>
      <c r="U108" s="229"/>
      <c r="V108" s="229"/>
      <c r="W108" s="229"/>
      <c r="X108" s="230">
        <f>IF(設定!F105="4：臨時雇用者",,設定!G105)</f>
        <v>0</v>
      </c>
      <c r="Y108" s="218"/>
      <c r="Z108" s="218"/>
      <c r="AA108" s="218"/>
      <c r="AB108" s="231"/>
      <c r="AC108" s="217">
        <f>IF(設定!F105="4：臨時雇用者",,設定!V105)</f>
        <v>0</v>
      </c>
      <c r="AD108" s="218"/>
      <c r="AE108" s="218"/>
      <c r="AF108" s="218"/>
      <c r="AG108" s="231"/>
      <c r="AH108" s="217">
        <f>IF(設定!F105="4：臨時雇用者",,設定!W105)</f>
        <v>0</v>
      </c>
      <c r="AI108" s="218"/>
      <c r="AJ108" s="218"/>
      <c r="AK108" s="218"/>
      <c r="AL108" s="219"/>
    </row>
    <row r="109" spans="3:38" s="43" customFormat="1" ht="27" customHeight="1" x14ac:dyDescent="0.2">
      <c r="C109" s="220">
        <f>IF(設定!F106="4：臨時雇用者",,設定!C106)</f>
        <v>0</v>
      </c>
      <c r="D109" s="221"/>
      <c r="E109" s="221"/>
      <c r="F109" s="221"/>
      <c r="G109" s="235"/>
      <c r="H109" s="222">
        <f>IF(設定!F106="4：臨時雇用者",,設定!D106)</f>
        <v>0</v>
      </c>
      <c r="I109" s="223"/>
      <c r="J109" s="223"/>
      <c r="K109" s="224"/>
      <c r="L109" s="225">
        <f>IF(設定!F106="4：臨時雇用者",,設定!E106)</f>
        <v>0</v>
      </c>
      <c r="M109" s="226"/>
      <c r="N109" s="227"/>
      <c r="O109" s="228">
        <f>IF(設定!F106="4：臨時雇用者",,設定!F106)</f>
        <v>0</v>
      </c>
      <c r="P109" s="229"/>
      <c r="Q109" s="229"/>
      <c r="R109" s="229"/>
      <c r="S109" s="229"/>
      <c r="T109" s="229"/>
      <c r="U109" s="229"/>
      <c r="V109" s="229"/>
      <c r="W109" s="229"/>
      <c r="X109" s="230">
        <f>IF(設定!F106="4：臨時雇用者",,設定!G106)</f>
        <v>0</v>
      </c>
      <c r="Y109" s="218"/>
      <c r="Z109" s="218"/>
      <c r="AA109" s="218"/>
      <c r="AB109" s="231"/>
      <c r="AC109" s="217">
        <f>IF(設定!F106="4：臨時雇用者",,設定!V106)</f>
        <v>0</v>
      </c>
      <c r="AD109" s="218"/>
      <c r="AE109" s="218"/>
      <c r="AF109" s="218"/>
      <c r="AG109" s="231"/>
      <c r="AH109" s="217">
        <f>IF(設定!F106="4：臨時雇用者",,設定!W106)</f>
        <v>0</v>
      </c>
      <c r="AI109" s="218"/>
      <c r="AJ109" s="218"/>
      <c r="AK109" s="218"/>
      <c r="AL109" s="219"/>
    </row>
    <row r="110" spans="3:38" s="43" customFormat="1" ht="27" customHeight="1" x14ac:dyDescent="0.2">
      <c r="C110" s="220">
        <f>IF(設定!F107="4：臨時雇用者",,設定!C107)</f>
        <v>0</v>
      </c>
      <c r="D110" s="221"/>
      <c r="E110" s="221"/>
      <c r="F110" s="221"/>
      <c r="G110" s="235"/>
      <c r="H110" s="222">
        <f>IF(設定!F107="4：臨時雇用者",,設定!D107)</f>
        <v>0</v>
      </c>
      <c r="I110" s="223"/>
      <c r="J110" s="223"/>
      <c r="K110" s="224"/>
      <c r="L110" s="225">
        <f>IF(設定!F107="4：臨時雇用者",,設定!E107)</f>
        <v>0</v>
      </c>
      <c r="M110" s="226"/>
      <c r="N110" s="227"/>
      <c r="O110" s="228">
        <f>IF(設定!F107="4：臨時雇用者",,設定!F107)</f>
        <v>0</v>
      </c>
      <c r="P110" s="229"/>
      <c r="Q110" s="229"/>
      <c r="R110" s="229"/>
      <c r="S110" s="229"/>
      <c r="T110" s="229"/>
      <c r="U110" s="229"/>
      <c r="V110" s="229"/>
      <c r="W110" s="229"/>
      <c r="X110" s="230">
        <f>IF(設定!F107="4：臨時雇用者",,設定!G107)</f>
        <v>0</v>
      </c>
      <c r="Y110" s="218"/>
      <c r="Z110" s="218"/>
      <c r="AA110" s="218"/>
      <c r="AB110" s="231"/>
      <c r="AC110" s="217">
        <f>IF(設定!F107="4：臨時雇用者",,設定!V107)</f>
        <v>0</v>
      </c>
      <c r="AD110" s="218"/>
      <c r="AE110" s="218"/>
      <c r="AF110" s="218"/>
      <c r="AG110" s="231"/>
      <c r="AH110" s="217">
        <f>IF(設定!F107="4：臨時雇用者",,設定!W107)</f>
        <v>0</v>
      </c>
      <c r="AI110" s="218"/>
      <c r="AJ110" s="218"/>
      <c r="AK110" s="218"/>
      <c r="AL110" s="219"/>
    </row>
    <row r="111" spans="3:38" s="43" customFormat="1" ht="27" customHeight="1" x14ac:dyDescent="0.2">
      <c r="C111" s="220">
        <f>IF(設定!F108="4：臨時雇用者",,設定!C108)</f>
        <v>0</v>
      </c>
      <c r="D111" s="221"/>
      <c r="E111" s="221"/>
      <c r="F111" s="221"/>
      <c r="G111" s="235"/>
      <c r="H111" s="222">
        <f>IF(設定!F108="4：臨時雇用者",,設定!D108)</f>
        <v>0</v>
      </c>
      <c r="I111" s="223"/>
      <c r="J111" s="223"/>
      <c r="K111" s="224"/>
      <c r="L111" s="225">
        <f>IF(設定!F108="4：臨時雇用者",,設定!E108)</f>
        <v>0</v>
      </c>
      <c r="M111" s="226"/>
      <c r="N111" s="227"/>
      <c r="O111" s="228">
        <f>IF(設定!F108="4：臨時雇用者",,設定!F108)</f>
        <v>0</v>
      </c>
      <c r="P111" s="229"/>
      <c r="Q111" s="229"/>
      <c r="R111" s="229"/>
      <c r="S111" s="229"/>
      <c r="T111" s="229"/>
      <c r="U111" s="229"/>
      <c r="V111" s="229"/>
      <c r="W111" s="229"/>
      <c r="X111" s="230">
        <f>IF(設定!F108="4：臨時雇用者",,設定!G108)</f>
        <v>0</v>
      </c>
      <c r="Y111" s="218"/>
      <c r="Z111" s="218"/>
      <c r="AA111" s="218"/>
      <c r="AB111" s="231"/>
      <c r="AC111" s="217">
        <f>IF(設定!F108="4：臨時雇用者",,設定!V108)</f>
        <v>0</v>
      </c>
      <c r="AD111" s="218"/>
      <c r="AE111" s="218"/>
      <c r="AF111" s="218"/>
      <c r="AG111" s="231"/>
      <c r="AH111" s="217">
        <f>IF(設定!F108="4：臨時雇用者",,設定!W108)</f>
        <v>0</v>
      </c>
      <c r="AI111" s="218"/>
      <c r="AJ111" s="218"/>
      <c r="AK111" s="218"/>
      <c r="AL111" s="219"/>
    </row>
    <row r="112" spans="3:38" s="43" customFormat="1" ht="27" customHeight="1" x14ac:dyDescent="0.2">
      <c r="C112" s="220">
        <f>IF(設定!F109="4：臨時雇用者",,設定!C109)</f>
        <v>0</v>
      </c>
      <c r="D112" s="221"/>
      <c r="E112" s="221"/>
      <c r="F112" s="221"/>
      <c r="G112" s="235"/>
      <c r="H112" s="222">
        <f>IF(設定!F109="4：臨時雇用者",,設定!D109)</f>
        <v>0</v>
      </c>
      <c r="I112" s="223"/>
      <c r="J112" s="223"/>
      <c r="K112" s="224"/>
      <c r="L112" s="225">
        <f>IF(設定!F109="4：臨時雇用者",,設定!E109)</f>
        <v>0</v>
      </c>
      <c r="M112" s="226"/>
      <c r="N112" s="227"/>
      <c r="O112" s="228">
        <f>IF(設定!F109="4：臨時雇用者",,設定!F109)</f>
        <v>0</v>
      </c>
      <c r="P112" s="229"/>
      <c r="Q112" s="229"/>
      <c r="R112" s="229"/>
      <c r="S112" s="229"/>
      <c r="T112" s="229"/>
      <c r="U112" s="229"/>
      <c r="V112" s="229"/>
      <c r="W112" s="229"/>
      <c r="X112" s="230">
        <f>IF(設定!F109="4：臨時雇用者",,設定!G109)</f>
        <v>0</v>
      </c>
      <c r="Y112" s="218"/>
      <c r="Z112" s="218"/>
      <c r="AA112" s="218"/>
      <c r="AB112" s="231"/>
      <c r="AC112" s="217">
        <f>IF(設定!F109="4：臨時雇用者",,設定!V109)</f>
        <v>0</v>
      </c>
      <c r="AD112" s="218"/>
      <c r="AE112" s="218"/>
      <c r="AF112" s="218"/>
      <c r="AG112" s="231"/>
      <c r="AH112" s="217">
        <f>IF(設定!F109="4：臨時雇用者",,設定!W109)</f>
        <v>0</v>
      </c>
      <c r="AI112" s="218"/>
      <c r="AJ112" s="218"/>
      <c r="AK112" s="218"/>
      <c r="AL112" s="219"/>
    </row>
    <row r="113" spans="2:42" s="43" customFormat="1" ht="27" customHeight="1" x14ac:dyDescent="0.2">
      <c r="C113" s="220">
        <f>IF(設定!F110="4：臨時雇用者",,設定!C110)</f>
        <v>0</v>
      </c>
      <c r="D113" s="221"/>
      <c r="E113" s="221"/>
      <c r="F113" s="221"/>
      <c r="G113" s="235"/>
      <c r="H113" s="222">
        <f>IF(設定!F110="4：臨時雇用者",,設定!D110)</f>
        <v>0</v>
      </c>
      <c r="I113" s="223"/>
      <c r="J113" s="223"/>
      <c r="K113" s="224"/>
      <c r="L113" s="225">
        <f>IF(設定!F110="4：臨時雇用者",,設定!E110)</f>
        <v>0</v>
      </c>
      <c r="M113" s="226"/>
      <c r="N113" s="227"/>
      <c r="O113" s="228">
        <f>IF(設定!F110="4：臨時雇用者",,設定!F110)</f>
        <v>0</v>
      </c>
      <c r="P113" s="229"/>
      <c r="Q113" s="229"/>
      <c r="R113" s="229"/>
      <c r="S113" s="229"/>
      <c r="T113" s="229"/>
      <c r="U113" s="229"/>
      <c r="V113" s="229"/>
      <c r="W113" s="229"/>
      <c r="X113" s="230">
        <f>IF(設定!F110="4：臨時雇用者",,設定!G110)</f>
        <v>0</v>
      </c>
      <c r="Y113" s="218"/>
      <c r="Z113" s="218"/>
      <c r="AA113" s="218"/>
      <c r="AB113" s="231"/>
      <c r="AC113" s="217">
        <f>IF(設定!F110="4：臨時雇用者",,設定!V110)</f>
        <v>0</v>
      </c>
      <c r="AD113" s="218"/>
      <c r="AE113" s="218"/>
      <c r="AF113" s="218"/>
      <c r="AG113" s="231"/>
      <c r="AH113" s="217">
        <f>IF(設定!F110="4：臨時雇用者",,設定!W110)</f>
        <v>0</v>
      </c>
      <c r="AI113" s="218"/>
      <c r="AJ113" s="218"/>
      <c r="AK113" s="218"/>
      <c r="AL113" s="219"/>
    </row>
    <row r="114" spans="2:42" s="43" customFormat="1" ht="27" customHeight="1" thickBot="1" x14ac:dyDescent="0.25">
      <c r="C114" s="239">
        <f>IF(設定!F111="4：臨時雇用者",,設定!C111)</f>
        <v>0</v>
      </c>
      <c r="D114" s="240"/>
      <c r="E114" s="240"/>
      <c r="F114" s="240"/>
      <c r="G114" s="241"/>
      <c r="H114" s="242">
        <f>IF(設定!F111="4：臨時雇用者",,設定!D111)</f>
        <v>0</v>
      </c>
      <c r="I114" s="243"/>
      <c r="J114" s="243"/>
      <c r="K114" s="244"/>
      <c r="L114" s="242">
        <f>IF(設定!F111="4：臨時雇用者",,設定!E111)</f>
        <v>0</v>
      </c>
      <c r="M114" s="243"/>
      <c r="N114" s="244"/>
      <c r="O114" s="245">
        <f>IF(設定!F111="4：臨時雇用者",,設定!F111)</f>
        <v>0</v>
      </c>
      <c r="P114" s="246"/>
      <c r="Q114" s="246"/>
      <c r="R114" s="246"/>
      <c r="S114" s="246"/>
      <c r="T114" s="246"/>
      <c r="U114" s="246"/>
      <c r="V114" s="246"/>
      <c r="W114" s="246"/>
      <c r="X114" s="247">
        <f>IF(設定!F111="4：臨時雇用者",,設定!G111)</f>
        <v>0</v>
      </c>
      <c r="Y114" s="237"/>
      <c r="Z114" s="237"/>
      <c r="AA114" s="237"/>
      <c r="AB114" s="248"/>
      <c r="AC114" s="236">
        <f>IF(設定!F111="4：臨時雇用者",,設定!V111)</f>
        <v>0</v>
      </c>
      <c r="AD114" s="237"/>
      <c r="AE114" s="237"/>
      <c r="AF114" s="237"/>
      <c r="AG114" s="248"/>
      <c r="AH114" s="236">
        <f>IF(設定!F111="4：臨時雇用者",,設定!W111)</f>
        <v>0</v>
      </c>
      <c r="AI114" s="237"/>
      <c r="AJ114" s="237"/>
      <c r="AK114" s="237"/>
      <c r="AL114" s="238"/>
      <c r="AM114" s="46"/>
    </row>
    <row r="115" spans="2:42" ht="18.75" customHeight="1" x14ac:dyDescent="0.2"/>
    <row r="116" spans="2:42" ht="18.75" customHeight="1" x14ac:dyDescent="0.2">
      <c r="B116" s="48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48"/>
      <c r="AO116" s="48"/>
      <c r="AP116" s="48"/>
    </row>
    <row r="117" spans="2:42" ht="18.75" customHeight="1" x14ac:dyDescent="0.2"/>
    <row r="118" spans="2:42" ht="18.75" customHeight="1" thickBot="1" x14ac:dyDescent="0.25">
      <c r="C118" s="119" t="s">
        <v>138</v>
      </c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 spans="2:42" ht="18.75" customHeight="1" x14ac:dyDescent="0.2">
      <c r="C119" s="267" t="s">
        <v>20</v>
      </c>
      <c r="D119" s="268"/>
      <c r="E119" s="268"/>
      <c r="F119" s="268"/>
      <c r="G119" s="268"/>
      <c r="H119" s="269"/>
      <c r="I119" s="268" t="s">
        <v>139</v>
      </c>
      <c r="J119" s="268"/>
      <c r="K119" s="268"/>
      <c r="L119" s="268"/>
      <c r="M119" s="276"/>
      <c r="N119" s="278" t="s">
        <v>140</v>
      </c>
      <c r="O119" s="279"/>
      <c r="P119" s="279"/>
      <c r="Q119" s="279"/>
      <c r="R119" s="279"/>
      <c r="S119" s="120"/>
      <c r="T119" s="120"/>
      <c r="U119" s="120"/>
      <c r="V119" s="120"/>
      <c r="W119" s="121"/>
      <c r="X119" s="278" t="s">
        <v>141</v>
      </c>
      <c r="Y119" s="279"/>
      <c r="Z119" s="279"/>
      <c r="AA119" s="279"/>
      <c r="AB119" s="282"/>
    </row>
    <row r="120" spans="2:42" ht="26.25" customHeight="1" x14ac:dyDescent="0.2">
      <c r="C120" s="270"/>
      <c r="D120" s="271"/>
      <c r="E120" s="271"/>
      <c r="F120" s="271"/>
      <c r="G120" s="271"/>
      <c r="H120" s="272"/>
      <c r="I120" s="271"/>
      <c r="J120" s="271"/>
      <c r="K120" s="271"/>
      <c r="L120" s="271"/>
      <c r="M120" s="277"/>
      <c r="N120" s="280"/>
      <c r="O120" s="281"/>
      <c r="P120" s="281"/>
      <c r="Q120" s="281"/>
      <c r="R120" s="281"/>
      <c r="S120" s="284" t="s">
        <v>142</v>
      </c>
      <c r="T120" s="285"/>
      <c r="U120" s="285"/>
      <c r="V120" s="285"/>
      <c r="W120" s="286"/>
      <c r="X120" s="280"/>
      <c r="Y120" s="281"/>
      <c r="Z120" s="281"/>
      <c r="AA120" s="281"/>
      <c r="AB120" s="283"/>
    </row>
    <row r="121" spans="2:42" ht="26.25" customHeight="1" thickBot="1" x14ac:dyDescent="0.25">
      <c r="C121" s="273"/>
      <c r="D121" s="274"/>
      <c r="E121" s="274"/>
      <c r="F121" s="274"/>
      <c r="G121" s="274"/>
      <c r="H121" s="275"/>
      <c r="I121" s="287" t="s">
        <v>143</v>
      </c>
      <c r="J121" s="287"/>
      <c r="K121" s="287"/>
      <c r="L121" s="287"/>
      <c r="M121" s="288"/>
      <c r="N121" s="289" t="s">
        <v>144</v>
      </c>
      <c r="O121" s="287"/>
      <c r="P121" s="287"/>
      <c r="Q121" s="287"/>
      <c r="R121" s="288"/>
      <c r="S121" s="289" t="s">
        <v>144</v>
      </c>
      <c r="T121" s="287"/>
      <c r="U121" s="287"/>
      <c r="V121" s="287"/>
      <c r="W121" s="288"/>
      <c r="X121" s="290" t="s">
        <v>144</v>
      </c>
      <c r="Y121" s="291"/>
      <c r="Z121" s="291"/>
      <c r="AA121" s="291"/>
      <c r="AB121" s="292"/>
    </row>
    <row r="122" spans="2:42" ht="26.25" customHeight="1" thickTop="1" thickBot="1" x14ac:dyDescent="0.25">
      <c r="C122" s="250" t="s">
        <v>145</v>
      </c>
      <c r="D122" s="251"/>
      <c r="E122" s="251"/>
      <c r="F122" s="251"/>
      <c r="G122" s="251"/>
      <c r="H122" s="252"/>
      <c r="I122" s="253">
        <f>COUNTIFS(設定!F11:F111,"4：臨時雇用者",設定!D11:D111,"1：男")</f>
        <v>0</v>
      </c>
      <c r="J122" s="254"/>
      <c r="K122" s="254"/>
      <c r="L122" s="254"/>
      <c r="M122" s="255"/>
      <c r="N122" s="256">
        <f>SUMIFS(設定!G11:G111,設定!F11:F111,"4：臨時雇用者",設定!D11:D111,"1：男")</f>
        <v>0</v>
      </c>
      <c r="O122" s="257"/>
      <c r="P122" s="257"/>
      <c r="Q122" s="257"/>
      <c r="R122" s="258"/>
      <c r="S122" s="256">
        <f>SUMIFS(設定!V11:V111,設定!F11:F111,"4：臨時雇用者",設定!D11:D111,"1：男")</f>
        <v>0</v>
      </c>
      <c r="T122" s="257"/>
      <c r="U122" s="257"/>
      <c r="V122" s="257"/>
      <c r="W122" s="258"/>
      <c r="X122" s="259">
        <f>SUMIFS(設定!W11:W111,設定!F11:F111,"4：臨時雇用者",設定!D11:D111,"1：男")</f>
        <v>0</v>
      </c>
      <c r="Y122" s="254"/>
      <c r="Z122" s="254"/>
      <c r="AA122" s="254"/>
      <c r="AB122" s="260"/>
    </row>
    <row r="123" spans="2:42" ht="26.25" customHeight="1" thickTop="1" thickBot="1" x14ac:dyDescent="0.25">
      <c r="C123" s="261" t="s">
        <v>146</v>
      </c>
      <c r="D123" s="262"/>
      <c r="E123" s="262"/>
      <c r="F123" s="262"/>
      <c r="G123" s="262"/>
      <c r="H123" s="263"/>
      <c r="I123" s="253">
        <f>COUNTIFS(設定!F11:F111,"4：臨時雇用者",設定!D11:D111,"2：女")</f>
        <v>0</v>
      </c>
      <c r="J123" s="254"/>
      <c r="K123" s="254"/>
      <c r="L123" s="254"/>
      <c r="M123" s="255"/>
      <c r="N123" s="264">
        <f>SUMIFS(設定!G11:G111,設定!F11:F111,"4：臨時雇用者",設定!D11:D111,"2：女")</f>
        <v>0</v>
      </c>
      <c r="O123" s="265"/>
      <c r="P123" s="265"/>
      <c r="Q123" s="265"/>
      <c r="R123" s="266"/>
      <c r="S123" s="264">
        <f>SUMIFS(設定!V11:V111,設定!F11:F111,"4：臨時雇用者",設定!D11:D111,"2：女")</f>
        <v>0</v>
      </c>
      <c r="T123" s="265"/>
      <c r="U123" s="265"/>
      <c r="V123" s="265"/>
      <c r="W123" s="266"/>
      <c r="X123" s="259">
        <f>SUMIFS(設定!W11:W111,設定!F11:F111,"4：臨時雇用者",設定!D11:D111,"2：女")</f>
        <v>0</v>
      </c>
      <c r="Y123" s="254"/>
      <c r="Z123" s="254"/>
      <c r="AA123" s="254"/>
      <c r="AB123" s="260"/>
    </row>
    <row r="124" spans="2:42" ht="15.9" customHeight="1" x14ac:dyDescent="0.2"/>
    <row r="125" spans="2:42" ht="13.5" customHeight="1" x14ac:dyDescent="0.2"/>
    <row r="126" spans="2:42" ht="9.75" customHeight="1" x14ac:dyDescent="0.2"/>
    <row r="127" spans="2:42" ht="17.25" customHeight="1" x14ac:dyDescent="0.2"/>
    <row r="128" spans="2:42" ht="12" customHeight="1" x14ac:dyDescent="0.2"/>
    <row r="129" ht="17.25" customHeight="1" x14ac:dyDescent="0.2"/>
    <row r="130" ht="17.25" customHeight="1" x14ac:dyDescent="0.2"/>
    <row r="131" ht="17.25" customHeight="1" x14ac:dyDescent="0.2"/>
  </sheetData>
  <mergeCells count="743">
    <mergeCell ref="AC97:AG97"/>
    <mergeCell ref="AH97:AL97"/>
    <mergeCell ref="C123:H123"/>
    <mergeCell ref="I123:M123"/>
    <mergeCell ref="N123:R123"/>
    <mergeCell ref="S123:W123"/>
    <mergeCell ref="X123:AB123"/>
    <mergeCell ref="C119:H121"/>
    <mergeCell ref="I119:M120"/>
    <mergeCell ref="N119:R120"/>
    <mergeCell ref="X119:AB120"/>
    <mergeCell ref="S120:W120"/>
    <mergeCell ref="I121:M121"/>
    <mergeCell ref="N121:R121"/>
    <mergeCell ref="S121:W121"/>
    <mergeCell ref="X121:AB121"/>
    <mergeCell ref="AH105:AL105"/>
    <mergeCell ref="AH106:AL106"/>
    <mergeCell ref="AH107:AL107"/>
    <mergeCell ref="AH108:AL108"/>
    <mergeCell ref="AH109:AL109"/>
    <mergeCell ref="AH110:AL110"/>
    <mergeCell ref="AH111:AL111"/>
    <mergeCell ref="AH112:AL112"/>
    <mergeCell ref="C122:H122"/>
    <mergeCell ref="I122:M122"/>
    <mergeCell ref="N122:R122"/>
    <mergeCell ref="S122:W122"/>
    <mergeCell ref="X122:AB122"/>
    <mergeCell ref="AC110:AG110"/>
    <mergeCell ref="AC111:AG111"/>
    <mergeCell ref="AC112:AG112"/>
    <mergeCell ref="AC107:AG107"/>
    <mergeCell ref="AC108:AG108"/>
    <mergeCell ref="AC109:AG109"/>
    <mergeCell ref="X111:AB111"/>
    <mergeCell ref="X112:AB112"/>
    <mergeCell ref="O111:W111"/>
    <mergeCell ref="O112:W112"/>
    <mergeCell ref="O107:W107"/>
    <mergeCell ref="O108:W108"/>
    <mergeCell ref="O109:W109"/>
    <mergeCell ref="O110:W110"/>
    <mergeCell ref="L107:N107"/>
    <mergeCell ref="L108:N108"/>
    <mergeCell ref="L109:N109"/>
    <mergeCell ref="L110:N110"/>
    <mergeCell ref="L111:N111"/>
    <mergeCell ref="X106:AB106"/>
    <mergeCell ref="X107:AB107"/>
    <mergeCell ref="X108:AB108"/>
    <mergeCell ref="X109:AB109"/>
    <mergeCell ref="X110:AB110"/>
    <mergeCell ref="AH85:AL85"/>
    <mergeCell ref="AH86:AL86"/>
    <mergeCell ref="AH87:AL87"/>
    <mergeCell ref="AH88:AL88"/>
    <mergeCell ref="AH100:AL100"/>
    <mergeCell ref="AH101:AL101"/>
    <mergeCell ref="AH102:AL102"/>
    <mergeCell ref="AH103:AL103"/>
    <mergeCell ref="AH104:AL104"/>
    <mergeCell ref="X87:AB87"/>
    <mergeCell ref="X88:AB88"/>
    <mergeCell ref="X100:AB100"/>
    <mergeCell ref="X101:AB101"/>
    <mergeCell ref="X102:AB102"/>
    <mergeCell ref="X103:AB103"/>
    <mergeCell ref="X104:AB104"/>
    <mergeCell ref="X105:AB105"/>
    <mergeCell ref="X98:AB98"/>
    <mergeCell ref="X95:AB95"/>
    <mergeCell ref="AH76:AL76"/>
    <mergeCell ref="AH77:AL77"/>
    <mergeCell ref="AH78:AL78"/>
    <mergeCell ref="AH79:AL79"/>
    <mergeCell ref="AH80:AL80"/>
    <mergeCell ref="AH81:AL81"/>
    <mergeCell ref="AH82:AL82"/>
    <mergeCell ref="AH83:AL83"/>
    <mergeCell ref="AH84:AL84"/>
    <mergeCell ref="AH67:AL67"/>
    <mergeCell ref="AH68:AL68"/>
    <mergeCell ref="AH69:AL69"/>
    <mergeCell ref="AH70:AL70"/>
    <mergeCell ref="AH71:AL71"/>
    <mergeCell ref="AH72:AL72"/>
    <mergeCell ref="AH73:AL73"/>
    <mergeCell ref="AH74:AL74"/>
    <mergeCell ref="AH75:AL75"/>
    <mergeCell ref="AH58:AL58"/>
    <mergeCell ref="AH59:AL59"/>
    <mergeCell ref="AH60:AL60"/>
    <mergeCell ref="AH61:AL61"/>
    <mergeCell ref="AH62:AL62"/>
    <mergeCell ref="AH63:AL63"/>
    <mergeCell ref="AH64:AL64"/>
    <mergeCell ref="AH65:AL65"/>
    <mergeCell ref="AH66:AL66"/>
    <mergeCell ref="AH49:AL49"/>
    <mergeCell ref="AH50:AL50"/>
    <mergeCell ref="AH51:AL51"/>
    <mergeCell ref="AH52:AL52"/>
    <mergeCell ref="AH53:AL53"/>
    <mergeCell ref="AH54:AL54"/>
    <mergeCell ref="AH55:AL55"/>
    <mergeCell ref="AH56:AL56"/>
    <mergeCell ref="AH57:AL57"/>
    <mergeCell ref="AH28:AL28"/>
    <mergeCell ref="AH29:AL29"/>
    <mergeCell ref="AH30:AL30"/>
    <mergeCell ref="AH31:AL31"/>
    <mergeCell ref="AH32:AL32"/>
    <mergeCell ref="AH33:AL33"/>
    <mergeCell ref="AH34:AL34"/>
    <mergeCell ref="AH35:AL35"/>
    <mergeCell ref="AH36:AL36"/>
    <mergeCell ref="AH37:AL37"/>
    <mergeCell ref="AH38:AL38"/>
    <mergeCell ref="AH39:AL39"/>
    <mergeCell ref="AH40:AL40"/>
    <mergeCell ref="AH41:AL41"/>
    <mergeCell ref="AH42:AL42"/>
    <mergeCell ref="AH43:AL43"/>
    <mergeCell ref="AH44:AL44"/>
    <mergeCell ref="AH45:AL45"/>
    <mergeCell ref="AH46:AL46"/>
    <mergeCell ref="AH47:AL47"/>
    <mergeCell ref="AH48:AL48"/>
    <mergeCell ref="AC101:AG101"/>
    <mergeCell ref="AC102:AG102"/>
    <mergeCell ref="AC103:AG103"/>
    <mergeCell ref="AC104:AG104"/>
    <mergeCell ref="AC105:AG105"/>
    <mergeCell ref="AC106:AG106"/>
    <mergeCell ref="AC81:AG81"/>
    <mergeCell ref="AC82:AG82"/>
    <mergeCell ref="AC83:AG83"/>
    <mergeCell ref="AC84:AG84"/>
    <mergeCell ref="AC85:AG85"/>
    <mergeCell ref="AC86:AG86"/>
    <mergeCell ref="AC87:AG87"/>
    <mergeCell ref="AC88:AG88"/>
    <mergeCell ref="AC100:AG100"/>
    <mergeCell ref="AC72:AG72"/>
    <mergeCell ref="AC73:AG73"/>
    <mergeCell ref="AC74:AG74"/>
    <mergeCell ref="AC75:AG75"/>
    <mergeCell ref="AC76:AG76"/>
    <mergeCell ref="AC77:AG77"/>
    <mergeCell ref="AC78:AG78"/>
    <mergeCell ref="AC79:AG79"/>
    <mergeCell ref="AC80:AG80"/>
    <mergeCell ref="AC63:AG63"/>
    <mergeCell ref="AC64:AG64"/>
    <mergeCell ref="AC65:AG65"/>
    <mergeCell ref="AC66:AG66"/>
    <mergeCell ref="AC67:AG67"/>
    <mergeCell ref="AC68:AG68"/>
    <mergeCell ref="AC69:AG69"/>
    <mergeCell ref="AC70:AG70"/>
    <mergeCell ref="AC71:AG71"/>
    <mergeCell ref="AC54:AG54"/>
    <mergeCell ref="AC55:AG55"/>
    <mergeCell ref="AC56:AG56"/>
    <mergeCell ref="AC57:AG57"/>
    <mergeCell ref="AC58:AG58"/>
    <mergeCell ref="AC59:AG59"/>
    <mergeCell ref="AC60:AG60"/>
    <mergeCell ref="AC61:AG61"/>
    <mergeCell ref="AC62:AG62"/>
    <mergeCell ref="AC45:AG45"/>
    <mergeCell ref="AC46:AG46"/>
    <mergeCell ref="AC47:AG47"/>
    <mergeCell ref="AC48:AG48"/>
    <mergeCell ref="AC49:AG49"/>
    <mergeCell ref="AC50:AG50"/>
    <mergeCell ref="AC51:AG51"/>
    <mergeCell ref="AC52:AG52"/>
    <mergeCell ref="AC53:AG53"/>
    <mergeCell ref="AC28:AG28"/>
    <mergeCell ref="AC29:AG29"/>
    <mergeCell ref="AC30:AG30"/>
    <mergeCell ref="AC31:AG31"/>
    <mergeCell ref="AC32:AG32"/>
    <mergeCell ref="AC33:AG33"/>
    <mergeCell ref="AC34:AG34"/>
    <mergeCell ref="AC35:AG35"/>
    <mergeCell ref="AC36:AG36"/>
    <mergeCell ref="AC37:AG37"/>
    <mergeCell ref="AC38:AG38"/>
    <mergeCell ref="AC39:AG39"/>
    <mergeCell ref="AC40:AG40"/>
    <mergeCell ref="AC41:AG41"/>
    <mergeCell ref="AC42:AG42"/>
    <mergeCell ref="AC43:AG43"/>
    <mergeCell ref="AC44:AG44"/>
    <mergeCell ref="X86:AB86"/>
    <mergeCell ref="X77:AB77"/>
    <mergeCell ref="X78:AB78"/>
    <mergeCell ref="X79:AB79"/>
    <mergeCell ref="X80:AB80"/>
    <mergeCell ref="X81:AB81"/>
    <mergeCell ref="X82:AB82"/>
    <mergeCell ref="X83:AB83"/>
    <mergeCell ref="X84:AB84"/>
    <mergeCell ref="X85:AB85"/>
    <mergeCell ref="X59:AB59"/>
    <mergeCell ref="X60:AB60"/>
    <mergeCell ref="X61:AB61"/>
    <mergeCell ref="X62:AB62"/>
    <mergeCell ref="X63:AB63"/>
    <mergeCell ref="X64:AB64"/>
    <mergeCell ref="X97:AB97"/>
    <mergeCell ref="X68:AB68"/>
    <mergeCell ref="X69:AB69"/>
    <mergeCell ref="X70:AB70"/>
    <mergeCell ref="X71:AB71"/>
    <mergeCell ref="X72:AB72"/>
    <mergeCell ref="X73:AB73"/>
    <mergeCell ref="X74:AB74"/>
    <mergeCell ref="X75:AB75"/>
    <mergeCell ref="X76:AB76"/>
    <mergeCell ref="X65:AB65"/>
    <mergeCell ref="X66:AB66"/>
    <mergeCell ref="X67:AB67"/>
    <mergeCell ref="X50:AB50"/>
    <mergeCell ref="X51:AB51"/>
    <mergeCell ref="X52:AB52"/>
    <mergeCell ref="X53:AB53"/>
    <mergeCell ref="X54:AB54"/>
    <mergeCell ref="X55:AB55"/>
    <mergeCell ref="X56:AB56"/>
    <mergeCell ref="X57:AB57"/>
    <mergeCell ref="X58:AB58"/>
    <mergeCell ref="X28:AB28"/>
    <mergeCell ref="X29:AB29"/>
    <mergeCell ref="X30:AB30"/>
    <mergeCell ref="X31:AB31"/>
    <mergeCell ref="X32:AB32"/>
    <mergeCell ref="X33:AB33"/>
    <mergeCell ref="X34:AB34"/>
    <mergeCell ref="X35:AB35"/>
    <mergeCell ref="X36:AB36"/>
    <mergeCell ref="X37:AB37"/>
    <mergeCell ref="X38:AB38"/>
    <mergeCell ref="X39:AB39"/>
    <mergeCell ref="X40:AB40"/>
    <mergeCell ref="X41:AB41"/>
    <mergeCell ref="X42:AB42"/>
    <mergeCell ref="X43:AB43"/>
    <mergeCell ref="X44:AB44"/>
    <mergeCell ref="X45:AB45"/>
    <mergeCell ref="X46:AB46"/>
    <mergeCell ref="X47:AB47"/>
    <mergeCell ref="X48:AB48"/>
    <mergeCell ref="X49:AB49"/>
    <mergeCell ref="O102:W102"/>
    <mergeCell ref="O103:W103"/>
    <mergeCell ref="O104:W104"/>
    <mergeCell ref="O105:W105"/>
    <mergeCell ref="O106:W106"/>
    <mergeCell ref="O82:W82"/>
    <mergeCell ref="O83:W83"/>
    <mergeCell ref="O84:W84"/>
    <mergeCell ref="O85:W85"/>
    <mergeCell ref="O86:W86"/>
    <mergeCell ref="O87:W87"/>
    <mergeCell ref="O88:W88"/>
    <mergeCell ref="O100:W100"/>
    <mergeCell ref="O101:W101"/>
    <mergeCell ref="O98:W98"/>
    <mergeCell ref="O95:W95"/>
    <mergeCell ref="O93:W93"/>
    <mergeCell ref="O91:W91"/>
    <mergeCell ref="O97:W97"/>
    <mergeCell ref="O73:W73"/>
    <mergeCell ref="O74:W74"/>
    <mergeCell ref="O75:W75"/>
    <mergeCell ref="O76:W76"/>
    <mergeCell ref="O77:W77"/>
    <mergeCell ref="O78:W78"/>
    <mergeCell ref="O79:W79"/>
    <mergeCell ref="O80:W80"/>
    <mergeCell ref="O81:W81"/>
    <mergeCell ref="O64:W64"/>
    <mergeCell ref="O65:W65"/>
    <mergeCell ref="O66:W66"/>
    <mergeCell ref="O67:W67"/>
    <mergeCell ref="O68:W68"/>
    <mergeCell ref="O69:W69"/>
    <mergeCell ref="O70:W70"/>
    <mergeCell ref="O71:W71"/>
    <mergeCell ref="O72:W72"/>
    <mergeCell ref="O55:W55"/>
    <mergeCell ref="O56:W56"/>
    <mergeCell ref="O57:W57"/>
    <mergeCell ref="O58:W58"/>
    <mergeCell ref="O59:W59"/>
    <mergeCell ref="O60:W60"/>
    <mergeCell ref="O61:W61"/>
    <mergeCell ref="O62:W62"/>
    <mergeCell ref="O63:W63"/>
    <mergeCell ref="O46:W46"/>
    <mergeCell ref="O47:W47"/>
    <mergeCell ref="O48:W48"/>
    <mergeCell ref="O49:W49"/>
    <mergeCell ref="O50:W50"/>
    <mergeCell ref="O51:W51"/>
    <mergeCell ref="O52:W52"/>
    <mergeCell ref="O53:W53"/>
    <mergeCell ref="O54:W54"/>
    <mergeCell ref="L112:N112"/>
    <mergeCell ref="O28:W28"/>
    <mergeCell ref="O29:W29"/>
    <mergeCell ref="O30:W30"/>
    <mergeCell ref="O31:W31"/>
    <mergeCell ref="O32:W32"/>
    <mergeCell ref="O33:W33"/>
    <mergeCell ref="O34:W34"/>
    <mergeCell ref="O35:W35"/>
    <mergeCell ref="O36:W36"/>
    <mergeCell ref="O37:W37"/>
    <mergeCell ref="O38:W38"/>
    <mergeCell ref="O39:W39"/>
    <mergeCell ref="O40:W40"/>
    <mergeCell ref="O41:W41"/>
    <mergeCell ref="O42:W42"/>
    <mergeCell ref="O43:W43"/>
    <mergeCell ref="O44:W44"/>
    <mergeCell ref="O45:W45"/>
    <mergeCell ref="L87:N87"/>
    <mergeCell ref="L88:N88"/>
    <mergeCell ref="L100:N100"/>
    <mergeCell ref="L101:N101"/>
    <mergeCell ref="L102:N102"/>
    <mergeCell ref="L103:N103"/>
    <mergeCell ref="L104:N104"/>
    <mergeCell ref="L105:N105"/>
    <mergeCell ref="L106:N106"/>
    <mergeCell ref="L98:N98"/>
    <mergeCell ref="L95:N95"/>
    <mergeCell ref="L93:N93"/>
    <mergeCell ref="L97:N9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60:N60"/>
    <mergeCell ref="L61:N61"/>
    <mergeCell ref="L62:N62"/>
    <mergeCell ref="L63:N63"/>
    <mergeCell ref="L64:N64"/>
    <mergeCell ref="L65:N65"/>
    <mergeCell ref="L66:N66"/>
    <mergeCell ref="L67:N67"/>
    <mergeCell ref="L68:N68"/>
    <mergeCell ref="L51:N51"/>
    <mergeCell ref="L52:N52"/>
    <mergeCell ref="L53:N53"/>
    <mergeCell ref="L54:N54"/>
    <mergeCell ref="L55:N55"/>
    <mergeCell ref="L56:N56"/>
    <mergeCell ref="L57:N57"/>
    <mergeCell ref="L58:N58"/>
    <mergeCell ref="L59:N59"/>
    <mergeCell ref="H112:K112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L49:N49"/>
    <mergeCell ref="L50:N50"/>
    <mergeCell ref="H103:K103"/>
    <mergeCell ref="H104:K104"/>
    <mergeCell ref="H105:K105"/>
    <mergeCell ref="H106:K106"/>
    <mergeCell ref="H107:K107"/>
    <mergeCell ref="H108:K108"/>
    <mergeCell ref="H109:K109"/>
    <mergeCell ref="H110:K110"/>
    <mergeCell ref="H111:K111"/>
    <mergeCell ref="H83:K83"/>
    <mergeCell ref="H84:K84"/>
    <mergeCell ref="H85:K85"/>
    <mergeCell ref="H86:K86"/>
    <mergeCell ref="H87:K87"/>
    <mergeCell ref="H88:K88"/>
    <mergeCell ref="H100:K100"/>
    <mergeCell ref="H101:K101"/>
    <mergeCell ref="H102:K102"/>
    <mergeCell ref="H98:K98"/>
    <mergeCell ref="H95:K95"/>
    <mergeCell ref="H93:K93"/>
    <mergeCell ref="H97:K97"/>
    <mergeCell ref="H74:K74"/>
    <mergeCell ref="H75:K75"/>
    <mergeCell ref="H76:K76"/>
    <mergeCell ref="H77:K77"/>
    <mergeCell ref="H78:K78"/>
    <mergeCell ref="H79:K79"/>
    <mergeCell ref="H80:K80"/>
    <mergeCell ref="H81:K81"/>
    <mergeCell ref="H82:K82"/>
    <mergeCell ref="H65:K65"/>
    <mergeCell ref="H66:K66"/>
    <mergeCell ref="H67:K67"/>
    <mergeCell ref="H68:K68"/>
    <mergeCell ref="H69:K69"/>
    <mergeCell ref="H70:K70"/>
    <mergeCell ref="H71:K71"/>
    <mergeCell ref="H72:K72"/>
    <mergeCell ref="H73:K73"/>
    <mergeCell ref="H56:K56"/>
    <mergeCell ref="H57:K57"/>
    <mergeCell ref="H58:K58"/>
    <mergeCell ref="H59:K59"/>
    <mergeCell ref="H60:K60"/>
    <mergeCell ref="H61:K61"/>
    <mergeCell ref="H62:K62"/>
    <mergeCell ref="H63:K63"/>
    <mergeCell ref="H64:K64"/>
    <mergeCell ref="H47:K47"/>
    <mergeCell ref="H48:K48"/>
    <mergeCell ref="H49:K49"/>
    <mergeCell ref="H50:K50"/>
    <mergeCell ref="H51:K51"/>
    <mergeCell ref="H52:K52"/>
    <mergeCell ref="H53:K53"/>
    <mergeCell ref="H54:K54"/>
    <mergeCell ref="H55:K55"/>
    <mergeCell ref="C108:G108"/>
    <mergeCell ref="C109:G109"/>
    <mergeCell ref="C110:G110"/>
    <mergeCell ref="C111:G111"/>
    <mergeCell ref="C112:G112"/>
    <mergeCell ref="H28:K28"/>
    <mergeCell ref="H29:K29"/>
    <mergeCell ref="H30:K30"/>
    <mergeCell ref="H31:K31"/>
    <mergeCell ref="H32:K32"/>
    <mergeCell ref="H33:K33"/>
    <mergeCell ref="H34:K34"/>
    <mergeCell ref="H35:K35"/>
    <mergeCell ref="H36:K36"/>
    <mergeCell ref="H37:K37"/>
    <mergeCell ref="H38:K38"/>
    <mergeCell ref="H39:K39"/>
    <mergeCell ref="H40:K40"/>
    <mergeCell ref="H41:K41"/>
    <mergeCell ref="H42:K42"/>
    <mergeCell ref="H43:K43"/>
    <mergeCell ref="H44:K44"/>
    <mergeCell ref="H45:K45"/>
    <mergeCell ref="H46:K46"/>
    <mergeCell ref="C86:G86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98:G98"/>
    <mergeCell ref="C95:G95"/>
    <mergeCell ref="C93:G93"/>
    <mergeCell ref="C97:G97"/>
    <mergeCell ref="C64:G64"/>
    <mergeCell ref="C65:G65"/>
    <mergeCell ref="C66:G66"/>
    <mergeCell ref="C67:G67"/>
    <mergeCell ref="C68:G68"/>
    <mergeCell ref="C87:G87"/>
    <mergeCell ref="C88:G8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AC98:AG98"/>
    <mergeCell ref="AH98:AL98"/>
    <mergeCell ref="C99:G99"/>
    <mergeCell ref="H99:K99"/>
    <mergeCell ref="L99:N99"/>
    <mergeCell ref="O99:W99"/>
    <mergeCell ref="X99:AB99"/>
    <mergeCell ref="AC99:AG99"/>
    <mergeCell ref="AH99:AL99"/>
    <mergeCell ref="AC95:AG95"/>
    <mergeCell ref="AH95:AL95"/>
    <mergeCell ref="C96:G96"/>
    <mergeCell ref="H96:K96"/>
    <mergeCell ref="L96:N96"/>
    <mergeCell ref="O96:W96"/>
    <mergeCell ref="X96:AB96"/>
    <mergeCell ref="AC96:AG96"/>
    <mergeCell ref="AH96:AL96"/>
    <mergeCell ref="AC93:AG93"/>
    <mergeCell ref="AH93:AL93"/>
    <mergeCell ref="C94:G94"/>
    <mergeCell ref="H94:K94"/>
    <mergeCell ref="L94:N94"/>
    <mergeCell ref="O94:W94"/>
    <mergeCell ref="X94:AB94"/>
    <mergeCell ref="AC94:AG94"/>
    <mergeCell ref="AH94:AL94"/>
    <mergeCell ref="X93:AB93"/>
    <mergeCell ref="AC91:AG91"/>
    <mergeCell ref="AH91:AL91"/>
    <mergeCell ref="C92:G92"/>
    <mergeCell ref="H92:K92"/>
    <mergeCell ref="L92:N92"/>
    <mergeCell ref="O92:W92"/>
    <mergeCell ref="X92:AB92"/>
    <mergeCell ref="AC92:AG92"/>
    <mergeCell ref="AH92:AL92"/>
    <mergeCell ref="X91:AB91"/>
    <mergeCell ref="C8:AB8"/>
    <mergeCell ref="C89:G89"/>
    <mergeCell ref="H89:K89"/>
    <mergeCell ref="L89:N89"/>
    <mergeCell ref="O89:W89"/>
    <mergeCell ref="X89:AB89"/>
    <mergeCell ref="AC89:AG89"/>
    <mergeCell ref="AH89:AL89"/>
    <mergeCell ref="C90:G90"/>
    <mergeCell ref="H90:K90"/>
    <mergeCell ref="L90:N90"/>
    <mergeCell ref="O90:W90"/>
    <mergeCell ref="X90:AB90"/>
    <mergeCell ref="AC90:AG90"/>
    <mergeCell ref="AH90:AL90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27:G27"/>
    <mergeCell ref="H27:K27"/>
    <mergeCell ref="L27:N27"/>
    <mergeCell ref="O27:W27"/>
    <mergeCell ref="X27:AB27"/>
    <mergeCell ref="AC27:AG27"/>
    <mergeCell ref="AH27:AL27"/>
    <mergeCell ref="AH114:AL114"/>
    <mergeCell ref="C114:G114"/>
    <mergeCell ref="H114:K114"/>
    <mergeCell ref="L114:N114"/>
    <mergeCell ref="O114:W114"/>
    <mergeCell ref="X114:AB114"/>
    <mergeCell ref="AC114:AG114"/>
    <mergeCell ref="C113:G113"/>
    <mergeCell ref="H113:K113"/>
    <mergeCell ref="L113:N113"/>
    <mergeCell ref="O113:W113"/>
    <mergeCell ref="X113:AB113"/>
    <mergeCell ref="AC113:AG113"/>
    <mergeCell ref="AH113:AL113"/>
    <mergeCell ref="C91:G91"/>
    <mergeCell ref="H91:K91"/>
    <mergeCell ref="L91:N91"/>
    <mergeCell ref="AC25:AG25"/>
    <mergeCell ref="AH25:AL25"/>
    <mergeCell ref="C26:G26"/>
    <mergeCell ref="H26:K26"/>
    <mergeCell ref="L26:N26"/>
    <mergeCell ref="O26:W26"/>
    <mergeCell ref="X26:AB26"/>
    <mergeCell ref="L24:N24"/>
    <mergeCell ref="O24:W24"/>
    <mergeCell ref="X24:AB24"/>
    <mergeCell ref="AC24:AG24"/>
    <mergeCell ref="AH24:AL24"/>
    <mergeCell ref="C25:G25"/>
    <mergeCell ref="H25:K25"/>
    <mergeCell ref="L25:N25"/>
    <mergeCell ref="O25:W25"/>
    <mergeCell ref="X25:AB25"/>
    <mergeCell ref="AC26:AG26"/>
    <mergeCell ref="AH26:AL26"/>
    <mergeCell ref="C23:G23"/>
    <mergeCell ref="H23:K23"/>
    <mergeCell ref="L23:N23"/>
    <mergeCell ref="O23:W23"/>
    <mergeCell ref="X23:AB23"/>
    <mergeCell ref="AC23:AG23"/>
    <mergeCell ref="AH23:AL23"/>
    <mergeCell ref="C24:G24"/>
    <mergeCell ref="H24:K24"/>
    <mergeCell ref="AH21:AL21"/>
    <mergeCell ref="C22:G22"/>
    <mergeCell ref="H22:K22"/>
    <mergeCell ref="L22:N22"/>
    <mergeCell ref="O22:W22"/>
    <mergeCell ref="X22:AB22"/>
    <mergeCell ref="AC22:AG22"/>
    <mergeCell ref="AH22:AL22"/>
    <mergeCell ref="C21:G21"/>
    <mergeCell ref="H21:K21"/>
    <mergeCell ref="L21:N21"/>
    <mergeCell ref="O21:W21"/>
    <mergeCell ref="X21:AB21"/>
    <mergeCell ref="AC21:AG21"/>
    <mergeCell ref="AH19:AL19"/>
    <mergeCell ref="C20:G20"/>
    <mergeCell ref="H20:K20"/>
    <mergeCell ref="L20:N20"/>
    <mergeCell ref="O20:W20"/>
    <mergeCell ref="X20:AB20"/>
    <mergeCell ref="AC20:AG20"/>
    <mergeCell ref="AH20:AL20"/>
    <mergeCell ref="C19:G19"/>
    <mergeCell ref="H19:K19"/>
    <mergeCell ref="L19:N19"/>
    <mergeCell ref="O19:W19"/>
    <mergeCell ref="X19:AB19"/>
    <mergeCell ref="AC19:AG19"/>
    <mergeCell ref="AH17:AL17"/>
    <mergeCell ref="C18:G18"/>
    <mergeCell ref="H18:K18"/>
    <mergeCell ref="L18:N18"/>
    <mergeCell ref="O18:W18"/>
    <mergeCell ref="X18:AB18"/>
    <mergeCell ref="AC18:AG18"/>
    <mergeCell ref="AH18:AL18"/>
    <mergeCell ref="C17:G17"/>
    <mergeCell ref="H17:K17"/>
    <mergeCell ref="L17:N17"/>
    <mergeCell ref="O17:W17"/>
    <mergeCell ref="X17:AB17"/>
    <mergeCell ref="AC17:AG17"/>
    <mergeCell ref="AH15:AL15"/>
    <mergeCell ref="C16:G16"/>
    <mergeCell ref="H16:K16"/>
    <mergeCell ref="L16:N16"/>
    <mergeCell ref="O16:W16"/>
    <mergeCell ref="X16:AB16"/>
    <mergeCell ref="AC16:AG16"/>
    <mergeCell ref="AH16:AL16"/>
    <mergeCell ref="AH14:AL14"/>
    <mergeCell ref="C15:G15"/>
    <mergeCell ref="H15:K15"/>
    <mergeCell ref="L15:N15"/>
    <mergeCell ref="O15:W15"/>
    <mergeCell ref="X15:AB15"/>
    <mergeCell ref="AC15:AG15"/>
    <mergeCell ref="C9:G13"/>
    <mergeCell ref="H9:K13"/>
    <mergeCell ref="L9:N13"/>
    <mergeCell ref="O9:W9"/>
    <mergeCell ref="X9:AB13"/>
    <mergeCell ref="AC9:AG10"/>
    <mergeCell ref="C14:G14"/>
    <mergeCell ref="H14:K14"/>
    <mergeCell ref="L14:N14"/>
    <mergeCell ref="O14:W14"/>
    <mergeCell ref="X14:AB14"/>
    <mergeCell ref="AC14:AG14"/>
    <mergeCell ref="AH9:AL13"/>
    <mergeCell ref="U12:W12"/>
    <mergeCell ref="O13:W13"/>
    <mergeCell ref="O10:Q11"/>
    <mergeCell ref="R10:W10"/>
    <mergeCell ref="R11:T11"/>
    <mergeCell ref="U11:W11"/>
    <mergeCell ref="AC11:AG13"/>
    <mergeCell ref="O12:Q12"/>
    <mergeCell ref="R12:T12"/>
  </mergeCells>
  <phoneticPr fontId="3"/>
  <pageMargins left="0.19685039370078741" right="0.19685039370078741" top="0.31496062992125984" bottom="0.19685039370078741" header="0" footer="0.27559055118110237"/>
  <pageSetup paperSize="9" orientation="portrait" r:id="rId1"/>
  <headerFooter alignWithMargins="0"/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設定!$C$11:$C$111</xm:f>
          </x14:formula1>
          <xm:sqref>C14:G114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D50"/>
  <sheetViews>
    <sheetView showGridLines="0" view="pageBreakPreview" zoomScaleNormal="100" zoomScaleSheetLayoutView="100" workbookViewId="0"/>
  </sheetViews>
  <sheetFormatPr defaultColWidth="2.109375" defaultRowHeight="14.25" customHeight="1" x14ac:dyDescent="0.2"/>
  <cols>
    <col min="1" max="2" width="2.109375" style="39"/>
    <col min="3" max="3" width="2.109375" style="39" customWidth="1"/>
    <col min="4" max="32" width="2.109375" style="39"/>
    <col min="33" max="33" width="2.109375" style="85"/>
    <col min="34" max="16384" width="2.109375" style="39"/>
  </cols>
  <sheetData>
    <row r="1" spans="1:56" ht="18" customHeight="1" x14ac:dyDescent="0.2">
      <c r="A1" s="110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56" ht="18" customHeight="1" x14ac:dyDescent="0.2">
      <c r="A2" s="109" t="s">
        <v>16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56" ht="11.25" hidden="1" customHeight="1" x14ac:dyDescent="0.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56" ht="11.25" customHeight="1" x14ac:dyDescent="0.2">
      <c r="A4" s="103"/>
      <c r="B4" s="293" t="s">
        <v>17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  <c r="AA4" s="293"/>
      <c r="AB4" s="293"/>
      <c r="AC4" s="293"/>
      <c r="AD4" s="293"/>
      <c r="AE4" s="293"/>
      <c r="AF4" s="41"/>
    </row>
    <row r="5" spans="1:56" ht="14.4" x14ac:dyDescent="0.2">
      <c r="A5" s="102"/>
      <c r="B5" s="108" t="s">
        <v>18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41"/>
    </row>
    <row r="6" spans="1:56" ht="11.25" hidden="1" customHeight="1" x14ac:dyDescent="0.2">
      <c r="A6" s="102"/>
      <c r="B6" s="102"/>
      <c r="C6" s="105"/>
      <c r="D6" s="105" t="s">
        <v>19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41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</row>
    <row r="7" spans="1:56" ht="11.25" hidden="1" customHeight="1" x14ac:dyDescent="0.2">
      <c r="A7" s="102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</row>
    <row r="8" spans="1:56" ht="11.25" hidden="1" customHeight="1" x14ac:dyDescent="0.2">
      <c r="A8" s="102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</row>
    <row r="9" spans="1:56" ht="11.25" customHeight="1" thickBot="1" x14ac:dyDescent="0.25">
      <c r="A9" s="102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56" ht="18.75" customHeight="1" thickTop="1" x14ac:dyDescent="0.2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294" t="s">
        <v>27</v>
      </c>
      <c r="R10" s="295"/>
      <c r="S10" s="295"/>
      <c r="T10" s="295"/>
      <c r="U10" s="295"/>
      <c r="V10" s="296"/>
      <c r="W10" s="300">
        <f>指定品目名</f>
        <v>0</v>
      </c>
      <c r="X10" s="301"/>
      <c r="Y10" s="301"/>
      <c r="Z10" s="301"/>
      <c r="AA10" s="301"/>
      <c r="AB10" s="301"/>
      <c r="AC10" s="301"/>
      <c r="AD10" s="301"/>
      <c r="AE10" s="302"/>
    </row>
    <row r="11" spans="1:56" ht="9" customHeight="1" thickBot="1" x14ac:dyDescent="0.25">
      <c r="Q11" s="297"/>
      <c r="R11" s="298"/>
      <c r="S11" s="298"/>
      <c r="T11" s="298"/>
      <c r="U11" s="298"/>
      <c r="V11" s="299"/>
      <c r="W11" s="303"/>
      <c r="X11" s="304"/>
      <c r="Y11" s="304"/>
      <c r="Z11" s="304"/>
      <c r="AA11" s="304"/>
      <c r="AB11" s="304"/>
      <c r="AC11" s="304"/>
      <c r="AD11" s="304"/>
      <c r="AE11" s="305"/>
    </row>
    <row r="12" spans="1:56" ht="9" customHeight="1" thickBot="1" x14ac:dyDescent="0.25"/>
    <row r="13" spans="1:56" ht="9" customHeight="1" x14ac:dyDescent="0.2">
      <c r="B13" s="294" t="s">
        <v>8</v>
      </c>
      <c r="C13" s="295"/>
      <c r="D13" s="295"/>
      <c r="E13" s="295"/>
      <c r="F13" s="295"/>
      <c r="G13" s="295"/>
      <c r="H13" s="295"/>
      <c r="I13" s="295"/>
      <c r="J13" s="295"/>
      <c r="K13" s="295"/>
      <c r="L13" s="295"/>
      <c r="M13" s="306"/>
      <c r="N13" s="124"/>
      <c r="O13" s="45"/>
      <c r="P13" s="45"/>
      <c r="Q13" s="45"/>
      <c r="R13" s="45"/>
      <c r="S13" s="126"/>
      <c r="T13" s="45"/>
      <c r="U13" s="45"/>
      <c r="V13" s="45"/>
      <c r="W13" s="45"/>
      <c r="X13" s="45"/>
      <c r="Y13" s="125"/>
      <c r="AA13" s="85"/>
      <c r="AG13" s="39"/>
    </row>
    <row r="14" spans="1:56" ht="16.5" customHeight="1" x14ac:dyDescent="0.2">
      <c r="B14" s="307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9"/>
      <c r="N14" s="311" t="s">
        <v>32</v>
      </c>
      <c r="O14" s="311"/>
      <c r="P14" s="311"/>
      <c r="Q14" s="311"/>
      <c r="R14" s="311"/>
      <c r="S14" s="311"/>
      <c r="T14" s="311" t="s">
        <v>33</v>
      </c>
      <c r="U14" s="311"/>
      <c r="V14" s="311"/>
      <c r="W14" s="311"/>
      <c r="X14" s="311"/>
      <c r="Y14" s="313"/>
      <c r="AA14" s="85"/>
      <c r="AG14" s="39"/>
    </row>
    <row r="15" spans="1:56" ht="15.75" customHeight="1" thickBot="1" x14ac:dyDescent="0.25">
      <c r="B15" s="297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310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4"/>
      <c r="AA15" s="85"/>
      <c r="AG15" s="39"/>
    </row>
    <row r="16" spans="1:56" ht="15.75" customHeight="1" thickTop="1" x14ac:dyDescent="0.2">
      <c r="B16" s="315" t="s">
        <v>26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7"/>
      <c r="N16" s="321">
        <f>SUMIFS(設定!$J:$J,設定!$D:$D,"1：男",設定!$F:$F,"経営主")+SUMIFS(設定!$J:$J,設定!$D:$D,"1：男",設定!$F:$F,"1：家族")</f>
        <v>0</v>
      </c>
      <c r="O16" s="322"/>
      <c r="P16" s="322"/>
      <c r="Q16" s="322"/>
      <c r="R16" s="322"/>
      <c r="S16" s="323"/>
      <c r="T16" s="321">
        <f>SUMIFS(設定!$J:$J,設定!$D:$D,"2：女",設定!$F:$F,"経営主")+SUMIFS(設定!$J:$J,設定!$D:$D,"2：女",設定!$F:$F,"1：家族")</f>
        <v>0</v>
      </c>
      <c r="U16" s="322"/>
      <c r="V16" s="322"/>
      <c r="W16" s="322"/>
      <c r="X16" s="322"/>
      <c r="Y16" s="327"/>
      <c r="AA16" s="85"/>
      <c r="AG16" s="39"/>
    </row>
    <row r="17" spans="1:33" ht="15.75" customHeight="1" thickBot="1" x14ac:dyDescent="0.25">
      <c r="B17" s="318"/>
      <c r="C17" s="319"/>
      <c r="D17" s="319"/>
      <c r="E17" s="319"/>
      <c r="F17" s="319"/>
      <c r="G17" s="319"/>
      <c r="H17" s="319"/>
      <c r="I17" s="319"/>
      <c r="J17" s="319"/>
      <c r="K17" s="319"/>
      <c r="L17" s="319"/>
      <c r="M17" s="320"/>
      <c r="N17" s="324"/>
      <c r="O17" s="325"/>
      <c r="P17" s="325"/>
      <c r="Q17" s="325"/>
      <c r="R17" s="325"/>
      <c r="S17" s="326"/>
      <c r="T17" s="324"/>
      <c r="U17" s="325"/>
      <c r="V17" s="325"/>
      <c r="W17" s="325"/>
      <c r="X17" s="325"/>
      <c r="Y17" s="328"/>
      <c r="AA17" s="85"/>
      <c r="AG17" s="39"/>
    </row>
    <row r="18" spans="1:33" ht="15.75" customHeight="1" thickTop="1" x14ac:dyDescent="0.2">
      <c r="B18" s="318" t="s">
        <v>34</v>
      </c>
      <c r="C18" s="319"/>
      <c r="D18" s="319"/>
      <c r="E18" s="319"/>
      <c r="F18" s="319"/>
      <c r="G18" s="319"/>
      <c r="H18" s="319"/>
      <c r="I18" s="319"/>
      <c r="J18" s="319"/>
      <c r="K18" s="319"/>
      <c r="L18" s="319"/>
      <c r="M18" s="320"/>
      <c r="N18" s="321">
        <f>SUMIFS(設定!$J:$J,設定!$D:$D,"1：男",設定!$F:$F,"2：７ヶ月未満の雇用者")+SUMIFS(設定!$J:$J,設定!$D:$D,"1：男",設定!$F:$F,"3：７ヶ月以上の雇用者")+SUMIFS(設定!$J:$J,設定!$D:$D,"1：男",設定!$F:$F,"4：臨時雇用者")</f>
        <v>0</v>
      </c>
      <c r="O18" s="322"/>
      <c r="P18" s="322"/>
      <c r="Q18" s="322"/>
      <c r="R18" s="322"/>
      <c r="S18" s="323"/>
      <c r="T18" s="321">
        <f>SUMIFS(設定!$J:$J,設定!$D:$D,"2：女",設定!$F:$F,"2：７ヶ月未満の雇用者")+SUMIFS(設定!$J:$J,設定!$D:$D,"2：女",設定!$F:$F,"3：７ヶ月以上の雇用者")+SUMIFS(設定!$J:$J,設定!$D:$D,"2：女",設定!$F:$F,"4：臨時雇用者")</f>
        <v>0</v>
      </c>
      <c r="U18" s="322"/>
      <c r="V18" s="322"/>
      <c r="W18" s="322"/>
      <c r="X18" s="322"/>
      <c r="Y18" s="327"/>
      <c r="AA18" s="85"/>
      <c r="AG18" s="39"/>
    </row>
    <row r="19" spans="1:33" ht="15.75" customHeight="1" thickBot="1" x14ac:dyDescent="0.25">
      <c r="B19" s="329"/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31"/>
      <c r="N19" s="324"/>
      <c r="O19" s="325"/>
      <c r="P19" s="325"/>
      <c r="Q19" s="325"/>
      <c r="R19" s="325"/>
      <c r="S19" s="326"/>
      <c r="T19" s="324"/>
      <c r="U19" s="325"/>
      <c r="V19" s="325"/>
      <c r="W19" s="325"/>
      <c r="X19" s="325"/>
      <c r="Y19" s="328"/>
      <c r="AA19" s="85"/>
      <c r="AG19" s="39"/>
    </row>
    <row r="20" spans="1:33" ht="15.75" customHeight="1" x14ac:dyDescent="0.2"/>
    <row r="21" spans="1:33" ht="15.75" customHeight="1" x14ac:dyDescent="0.2">
      <c r="A21" s="102"/>
      <c r="B21" s="107" t="s">
        <v>35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</row>
    <row r="22" spans="1:33" ht="15.75" hidden="1" customHeight="1" x14ac:dyDescent="0.2">
      <c r="A22" s="102"/>
      <c r="B22" s="102"/>
      <c r="C22" s="106"/>
      <c r="D22" s="106" t="s">
        <v>36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3" ht="15.75" hidden="1" customHeight="1" x14ac:dyDescent="0.2">
      <c r="A23" s="102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</row>
    <row r="24" spans="1:33" ht="15.75" customHeight="1" thickBot="1" x14ac:dyDescent="0.25">
      <c r="A24" s="102"/>
      <c r="B24" s="106"/>
      <c r="C24" s="106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</row>
    <row r="25" spans="1:33" ht="15.75" customHeight="1" x14ac:dyDescent="0.2">
      <c r="B25" s="294" t="s">
        <v>8</v>
      </c>
      <c r="C25" s="295"/>
      <c r="D25" s="295"/>
      <c r="E25" s="295"/>
      <c r="F25" s="295"/>
      <c r="G25" s="295"/>
      <c r="H25" s="295"/>
      <c r="I25" s="295"/>
      <c r="J25" s="295"/>
      <c r="K25" s="295"/>
      <c r="L25" s="295"/>
      <c r="M25" s="295"/>
      <c r="N25" s="294" t="s">
        <v>37</v>
      </c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332"/>
      <c r="Z25" s="334" t="s">
        <v>38</v>
      </c>
      <c r="AA25" s="335"/>
      <c r="AB25" s="335"/>
      <c r="AC25" s="335"/>
      <c r="AD25" s="335"/>
      <c r="AE25" s="336"/>
    </row>
    <row r="26" spans="1:33" ht="15.75" customHeight="1" thickBot="1" x14ac:dyDescent="0.25">
      <c r="B26" s="297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7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333"/>
      <c r="Z26" s="337"/>
      <c r="AA26" s="338"/>
      <c r="AB26" s="338"/>
      <c r="AC26" s="338"/>
      <c r="AD26" s="338"/>
      <c r="AE26" s="339"/>
    </row>
    <row r="27" spans="1:33" ht="15.75" customHeight="1" thickTop="1" x14ac:dyDescent="0.2">
      <c r="B27" s="340" t="s">
        <v>39</v>
      </c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4" t="s">
        <v>40</v>
      </c>
      <c r="O27" s="345"/>
      <c r="P27" s="345"/>
      <c r="Q27" s="345"/>
      <c r="R27" s="345"/>
      <c r="S27" s="345"/>
      <c r="T27" s="345"/>
      <c r="U27" s="345"/>
      <c r="V27" s="345"/>
      <c r="W27" s="345"/>
      <c r="X27" s="345"/>
      <c r="Y27" s="346"/>
      <c r="Z27" s="350">
        <f>SUM(Z29,Z31,Z33,Z35,Z37,Z39,Z41,Z43,Z45,Z47)</f>
        <v>0</v>
      </c>
      <c r="AA27" s="351"/>
      <c r="AB27" s="351"/>
      <c r="AC27" s="351"/>
      <c r="AD27" s="351"/>
      <c r="AE27" s="352"/>
    </row>
    <row r="28" spans="1:33" ht="15.75" customHeight="1" x14ac:dyDescent="0.2">
      <c r="B28" s="342"/>
      <c r="C28" s="343"/>
      <c r="D28" s="343"/>
      <c r="E28" s="343"/>
      <c r="F28" s="343"/>
      <c r="G28" s="343"/>
      <c r="H28" s="343"/>
      <c r="I28" s="343"/>
      <c r="J28" s="343"/>
      <c r="K28" s="343"/>
      <c r="L28" s="343"/>
      <c r="M28" s="343"/>
      <c r="N28" s="347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9"/>
      <c r="Z28" s="353"/>
      <c r="AA28" s="354"/>
      <c r="AB28" s="354"/>
      <c r="AC28" s="354"/>
      <c r="AD28" s="354"/>
      <c r="AE28" s="355"/>
    </row>
    <row r="29" spans="1:33" ht="15.75" customHeight="1" x14ac:dyDescent="0.2">
      <c r="B29" s="47"/>
      <c r="C29" s="356" t="s">
        <v>41</v>
      </c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57" t="s">
        <v>42</v>
      </c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9"/>
      <c r="Z29" s="360">
        <f>SUM(設定!K11:K111)</f>
        <v>0</v>
      </c>
      <c r="AA29" s="361"/>
      <c r="AB29" s="361"/>
      <c r="AC29" s="361"/>
      <c r="AD29" s="361"/>
      <c r="AE29" s="362"/>
    </row>
    <row r="30" spans="1:33" ht="15.75" customHeight="1" x14ac:dyDescent="0.2">
      <c r="B30" s="47"/>
      <c r="C30" s="356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47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9"/>
      <c r="Z30" s="363"/>
      <c r="AA30" s="364"/>
      <c r="AB30" s="364"/>
      <c r="AC30" s="364"/>
      <c r="AD30" s="364"/>
      <c r="AE30" s="365"/>
    </row>
    <row r="31" spans="1:33" ht="9" customHeight="1" x14ac:dyDescent="0.2">
      <c r="B31" s="49"/>
      <c r="C31" s="366" t="s">
        <v>73</v>
      </c>
      <c r="D31" s="367"/>
      <c r="E31" s="367"/>
      <c r="F31" s="367"/>
      <c r="G31" s="367"/>
      <c r="H31" s="367"/>
      <c r="I31" s="367"/>
      <c r="J31" s="367"/>
      <c r="K31" s="367"/>
      <c r="L31" s="367"/>
      <c r="M31" s="367"/>
      <c r="N31" s="357" t="s">
        <v>43</v>
      </c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9"/>
      <c r="Z31" s="360">
        <f>SUM(設定!L11:L111)</f>
        <v>0</v>
      </c>
      <c r="AA31" s="361"/>
      <c r="AB31" s="361"/>
      <c r="AC31" s="361"/>
      <c r="AD31" s="361"/>
      <c r="AE31" s="362"/>
    </row>
    <row r="32" spans="1:33" ht="22.5" customHeight="1" x14ac:dyDescent="0.2">
      <c r="B32" s="49"/>
      <c r="C32" s="366"/>
      <c r="D32" s="367"/>
      <c r="E32" s="367"/>
      <c r="F32" s="367"/>
      <c r="G32" s="367"/>
      <c r="H32" s="367"/>
      <c r="I32" s="367"/>
      <c r="J32" s="367"/>
      <c r="K32" s="367"/>
      <c r="L32" s="367"/>
      <c r="M32" s="367"/>
      <c r="N32" s="347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9"/>
      <c r="Z32" s="363"/>
      <c r="AA32" s="364"/>
      <c r="AB32" s="364"/>
      <c r="AC32" s="364"/>
      <c r="AD32" s="364"/>
      <c r="AE32" s="365"/>
    </row>
    <row r="33" spans="2:31" ht="15.75" customHeight="1" x14ac:dyDescent="0.2">
      <c r="B33" s="49"/>
      <c r="C33" s="366" t="s">
        <v>74</v>
      </c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57" t="s">
        <v>44</v>
      </c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9"/>
      <c r="Z33" s="360">
        <f>SUM(設定!M11:M111)</f>
        <v>0</v>
      </c>
      <c r="AA33" s="361"/>
      <c r="AB33" s="361"/>
      <c r="AC33" s="361"/>
      <c r="AD33" s="361"/>
      <c r="AE33" s="362"/>
    </row>
    <row r="34" spans="2:31" ht="15.75" customHeight="1" x14ac:dyDescent="0.2">
      <c r="B34" s="49"/>
      <c r="C34" s="366"/>
      <c r="D34" s="367"/>
      <c r="E34" s="367"/>
      <c r="F34" s="367"/>
      <c r="G34" s="367"/>
      <c r="H34" s="367"/>
      <c r="I34" s="367"/>
      <c r="J34" s="367"/>
      <c r="K34" s="367"/>
      <c r="L34" s="367"/>
      <c r="M34" s="367"/>
      <c r="N34" s="347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9"/>
      <c r="Z34" s="363"/>
      <c r="AA34" s="364"/>
      <c r="AB34" s="364"/>
      <c r="AC34" s="364"/>
      <c r="AD34" s="364"/>
      <c r="AE34" s="365"/>
    </row>
    <row r="35" spans="2:31" ht="15.75" customHeight="1" x14ac:dyDescent="0.2">
      <c r="B35" s="49"/>
      <c r="C35" s="366" t="s">
        <v>45</v>
      </c>
      <c r="D35" s="367"/>
      <c r="E35" s="367"/>
      <c r="F35" s="367"/>
      <c r="G35" s="367"/>
      <c r="H35" s="367"/>
      <c r="I35" s="367"/>
      <c r="J35" s="367"/>
      <c r="K35" s="367"/>
      <c r="L35" s="367"/>
      <c r="M35" s="367"/>
      <c r="N35" s="357" t="s">
        <v>46</v>
      </c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9"/>
      <c r="Z35" s="360">
        <f>SUM(設定!N11:N111)</f>
        <v>0</v>
      </c>
      <c r="AA35" s="361"/>
      <c r="AB35" s="361"/>
      <c r="AC35" s="361"/>
      <c r="AD35" s="361"/>
      <c r="AE35" s="362"/>
    </row>
    <row r="36" spans="2:31" ht="15.75" customHeight="1" x14ac:dyDescent="0.2">
      <c r="B36" s="49"/>
      <c r="C36" s="366"/>
      <c r="D36" s="367"/>
      <c r="E36" s="367"/>
      <c r="F36" s="367"/>
      <c r="G36" s="367"/>
      <c r="H36" s="367"/>
      <c r="I36" s="367"/>
      <c r="J36" s="367"/>
      <c r="K36" s="367"/>
      <c r="L36" s="367"/>
      <c r="M36" s="367"/>
      <c r="N36" s="347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9"/>
      <c r="Z36" s="363"/>
      <c r="AA36" s="364"/>
      <c r="AB36" s="364"/>
      <c r="AC36" s="364"/>
      <c r="AD36" s="364"/>
      <c r="AE36" s="365"/>
    </row>
    <row r="37" spans="2:31" ht="15.75" customHeight="1" x14ac:dyDescent="0.2">
      <c r="B37" s="49"/>
      <c r="C37" s="366" t="s">
        <v>47</v>
      </c>
      <c r="D37" s="367"/>
      <c r="E37" s="367"/>
      <c r="F37" s="367"/>
      <c r="G37" s="367"/>
      <c r="H37" s="367"/>
      <c r="I37" s="367"/>
      <c r="J37" s="367"/>
      <c r="K37" s="367"/>
      <c r="L37" s="367"/>
      <c r="M37" s="367"/>
      <c r="N37" s="357" t="s">
        <v>48</v>
      </c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9"/>
      <c r="Z37" s="360">
        <f>SUM(設定!O11:O111)</f>
        <v>0</v>
      </c>
      <c r="AA37" s="361"/>
      <c r="AB37" s="361"/>
      <c r="AC37" s="361"/>
      <c r="AD37" s="361"/>
      <c r="AE37" s="362"/>
    </row>
    <row r="38" spans="2:31" ht="15.75" customHeight="1" x14ac:dyDescent="0.2">
      <c r="B38" s="49"/>
      <c r="C38" s="366"/>
      <c r="D38" s="367"/>
      <c r="E38" s="367"/>
      <c r="F38" s="367"/>
      <c r="G38" s="367"/>
      <c r="H38" s="367"/>
      <c r="I38" s="367"/>
      <c r="J38" s="367"/>
      <c r="K38" s="367"/>
      <c r="L38" s="367"/>
      <c r="M38" s="367"/>
      <c r="N38" s="347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9"/>
      <c r="Z38" s="363"/>
      <c r="AA38" s="364"/>
      <c r="AB38" s="364"/>
      <c r="AC38" s="364"/>
      <c r="AD38" s="364"/>
      <c r="AE38" s="365"/>
    </row>
    <row r="39" spans="2:31" ht="15.75" customHeight="1" x14ac:dyDescent="0.2">
      <c r="B39" s="49"/>
      <c r="C39" s="366" t="s">
        <v>49</v>
      </c>
      <c r="D39" s="367"/>
      <c r="E39" s="367"/>
      <c r="F39" s="367"/>
      <c r="G39" s="367"/>
      <c r="H39" s="367"/>
      <c r="I39" s="367"/>
      <c r="J39" s="367"/>
      <c r="K39" s="367"/>
      <c r="L39" s="367"/>
      <c r="M39" s="367"/>
      <c r="N39" s="357" t="s">
        <v>50</v>
      </c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9"/>
      <c r="Z39" s="360">
        <f>SUM(設定!P11:P111)</f>
        <v>0</v>
      </c>
      <c r="AA39" s="361"/>
      <c r="AB39" s="361"/>
      <c r="AC39" s="361"/>
      <c r="AD39" s="361"/>
      <c r="AE39" s="362"/>
    </row>
    <row r="40" spans="2:31" ht="15.75" customHeight="1" x14ac:dyDescent="0.2">
      <c r="B40" s="50"/>
      <c r="C40" s="366"/>
      <c r="D40" s="367"/>
      <c r="E40" s="367"/>
      <c r="F40" s="367"/>
      <c r="G40" s="367"/>
      <c r="H40" s="367"/>
      <c r="I40" s="367"/>
      <c r="J40" s="367"/>
      <c r="K40" s="367"/>
      <c r="L40" s="367"/>
      <c r="M40" s="367"/>
      <c r="N40" s="347"/>
      <c r="O40" s="348"/>
      <c r="P40" s="348"/>
      <c r="Q40" s="348"/>
      <c r="R40" s="348"/>
      <c r="S40" s="348"/>
      <c r="T40" s="348"/>
      <c r="U40" s="348"/>
      <c r="V40" s="348"/>
      <c r="W40" s="348"/>
      <c r="X40" s="348"/>
      <c r="Y40" s="349"/>
      <c r="Z40" s="363"/>
      <c r="AA40" s="364"/>
      <c r="AB40" s="364"/>
      <c r="AC40" s="364"/>
      <c r="AD40" s="364"/>
      <c r="AE40" s="365"/>
    </row>
    <row r="41" spans="2:31" ht="15.75" customHeight="1" x14ac:dyDescent="0.2">
      <c r="B41" s="49"/>
      <c r="C41" s="366" t="s">
        <v>51</v>
      </c>
      <c r="D41" s="367"/>
      <c r="E41" s="367"/>
      <c r="F41" s="367"/>
      <c r="G41" s="367"/>
      <c r="H41" s="367"/>
      <c r="I41" s="367"/>
      <c r="J41" s="367"/>
      <c r="K41" s="367"/>
      <c r="L41" s="367"/>
      <c r="M41" s="367"/>
      <c r="N41" s="357" t="s">
        <v>52</v>
      </c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9"/>
      <c r="Z41" s="360">
        <f>SUM(設定!Q11:Q111)</f>
        <v>0</v>
      </c>
      <c r="AA41" s="361"/>
      <c r="AB41" s="361"/>
      <c r="AC41" s="361"/>
      <c r="AD41" s="361"/>
      <c r="AE41" s="362"/>
    </row>
    <row r="42" spans="2:31" ht="15.75" customHeight="1" x14ac:dyDescent="0.2">
      <c r="B42" s="50"/>
      <c r="C42" s="366"/>
      <c r="D42" s="367"/>
      <c r="E42" s="367"/>
      <c r="F42" s="367"/>
      <c r="G42" s="367"/>
      <c r="H42" s="367"/>
      <c r="I42" s="367"/>
      <c r="J42" s="367"/>
      <c r="K42" s="367"/>
      <c r="L42" s="367"/>
      <c r="M42" s="367"/>
      <c r="N42" s="347"/>
      <c r="O42" s="348"/>
      <c r="P42" s="348"/>
      <c r="Q42" s="348"/>
      <c r="R42" s="348"/>
      <c r="S42" s="348"/>
      <c r="T42" s="348"/>
      <c r="U42" s="348"/>
      <c r="V42" s="348"/>
      <c r="W42" s="348"/>
      <c r="X42" s="348"/>
      <c r="Y42" s="349"/>
      <c r="Z42" s="363"/>
      <c r="AA42" s="364"/>
      <c r="AB42" s="364"/>
      <c r="AC42" s="364"/>
      <c r="AD42" s="364"/>
      <c r="AE42" s="365"/>
    </row>
    <row r="43" spans="2:31" ht="15.75" customHeight="1" x14ac:dyDescent="0.2">
      <c r="B43" s="49"/>
      <c r="C43" s="366" t="s">
        <v>53</v>
      </c>
      <c r="D43" s="367"/>
      <c r="E43" s="367"/>
      <c r="F43" s="367"/>
      <c r="G43" s="367"/>
      <c r="H43" s="367"/>
      <c r="I43" s="367"/>
      <c r="J43" s="367"/>
      <c r="K43" s="367"/>
      <c r="L43" s="367"/>
      <c r="M43" s="367"/>
      <c r="N43" s="357" t="s">
        <v>54</v>
      </c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9"/>
      <c r="Z43" s="360">
        <f>SUM(設定!R11:R111)</f>
        <v>0</v>
      </c>
      <c r="AA43" s="361"/>
      <c r="AB43" s="361"/>
      <c r="AC43" s="361"/>
      <c r="AD43" s="361"/>
      <c r="AE43" s="362"/>
    </row>
    <row r="44" spans="2:31" ht="15.75" customHeight="1" x14ac:dyDescent="0.2">
      <c r="B44" s="50"/>
      <c r="C44" s="366"/>
      <c r="D44" s="367"/>
      <c r="E44" s="367"/>
      <c r="F44" s="367"/>
      <c r="G44" s="367"/>
      <c r="H44" s="367"/>
      <c r="I44" s="367"/>
      <c r="J44" s="367"/>
      <c r="K44" s="367"/>
      <c r="L44" s="367"/>
      <c r="M44" s="367"/>
      <c r="N44" s="347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9"/>
      <c r="Z44" s="363"/>
      <c r="AA44" s="364"/>
      <c r="AB44" s="364"/>
      <c r="AC44" s="364"/>
      <c r="AD44" s="364"/>
      <c r="AE44" s="365"/>
    </row>
    <row r="45" spans="2:31" ht="15.75" customHeight="1" x14ac:dyDescent="0.2">
      <c r="B45" s="49"/>
      <c r="C45" s="366" t="s">
        <v>55</v>
      </c>
      <c r="D45" s="367"/>
      <c r="E45" s="367"/>
      <c r="F45" s="367"/>
      <c r="G45" s="367"/>
      <c r="H45" s="367"/>
      <c r="I45" s="367"/>
      <c r="J45" s="367"/>
      <c r="K45" s="367"/>
      <c r="L45" s="367"/>
      <c r="M45" s="367"/>
      <c r="N45" s="357" t="s">
        <v>56</v>
      </c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9"/>
      <c r="Z45" s="360">
        <f>SUM(設定!S11:S111)</f>
        <v>0</v>
      </c>
      <c r="AA45" s="361"/>
      <c r="AB45" s="361"/>
      <c r="AC45" s="361"/>
      <c r="AD45" s="361"/>
      <c r="AE45" s="362"/>
    </row>
    <row r="46" spans="2:31" ht="15.75" customHeight="1" x14ac:dyDescent="0.2">
      <c r="B46" s="50"/>
      <c r="C46" s="366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47"/>
      <c r="O46" s="348"/>
      <c r="P46" s="348"/>
      <c r="Q46" s="348"/>
      <c r="R46" s="348"/>
      <c r="S46" s="348"/>
      <c r="T46" s="348"/>
      <c r="U46" s="348"/>
      <c r="V46" s="348"/>
      <c r="W46" s="348"/>
      <c r="X46" s="348"/>
      <c r="Y46" s="349"/>
      <c r="Z46" s="363"/>
      <c r="AA46" s="364"/>
      <c r="AB46" s="364"/>
      <c r="AC46" s="364"/>
      <c r="AD46" s="364"/>
      <c r="AE46" s="365"/>
    </row>
    <row r="47" spans="2:31" ht="15.75" customHeight="1" x14ac:dyDescent="0.2">
      <c r="B47" s="49"/>
      <c r="C47" s="366" t="s">
        <v>75</v>
      </c>
      <c r="D47" s="367"/>
      <c r="E47" s="367"/>
      <c r="F47" s="367"/>
      <c r="G47" s="367"/>
      <c r="H47" s="367"/>
      <c r="I47" s="367"/>
      <c r="J47" s="367"/>
      <c r="K47" s="367"/>
      <c r="L47" s="367"/>
      <c r="M47" s="367"/>
      <c r="N47" s="357" t="s">
        <v>57</v>
      </c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9"/>
      <c r="Z47" s="360">
        <f>SUM(設定!T11:T111)</f>
        <v>0</v>
      </c>
      <c r="AA47" s="361"/>
      <c r="AB47" s="361"/>
      <c r="AC47" s="361"/>
      <c r="AD47" s="361"/>
      <c r="AE47" s="362"/>
    </row>
    <row r="48" spans="2:31" ht="15.75" customHeight="1" thickBot="1" x14ac:dyDescent="0.25">
      <c r="B48" s="51"/>
      <c r="C48" s="368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70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2"/>
      <c r="Z48" s="373"/>
      <c r="AA48" s="374"/>
      <c r="AB48" s="374"/>
      <c r="AC48" s="374"/>
      <c r="AD48" s="374"/>
      <c r="AE48" s="375"/>
    </row>
    <row r="49" ht="15.75" customHeight="1" x14ac:dyDescent="0.2"/>
    <row r="50" ht="15.75" customHeight="1" x14ac:dyDescent="0.2"/>
  </sheetData>
  <sheetProtection formatCells="0" formatColumns="0" formatRows="0" insertColumns="0" insertRows="0" insertHyperlinks="0" deleteColumns="0" deleteRows="0" selectLockedCells="1" sort="0"/>
  <mergeCells count="48">
    <mergeCell ref="C45:M46"/>
    <mergeCell ref="N45:Y46"/>
    <mergeCell ref="Z45:AE46"/>
    <mergeCell ref="C47:M48"/>
    <mergeCell ref="N47:Y48"/>
    <mergeCell ref="Z47:AE48"/>
    <mergeCell ref="C41:M42"/>
    <mergeCell ref="N41:Y42"/>
    <mergeCell ref="Z41:AE42"/>
    <mergeCell ref="C43:M44"/>
    <mergeCell ref="N43:Y44"/>
    <mergeCell ref="Z43:AE44"/>
    <mergeCell ref="C37:M38"/>
    <mergeCell ref="N37:Y38"/>
    <mergeCell ref="Z37:AE38"/>
    <mergeCell ref="C39:M40"/>
    <mergeCell ref="N39:Y40"/>
    <mergeCell ref="Z39:AE40"/>
    <mergeCell ref="C33:M34"/>
    <mergeCell ref="N33:Y34"/>
    <mergeCell ref="Z33:AE34"/>
    <mergeCell ref="C35:M36"/>
    <mergeCell ref="N35:Y36"/>
    <mergeCell ref="Z35:AE36"/>
    <mergeCell ref="C29:M30"/>
    <mergeCell ref="N29:Y30"/>
    <mergeCell ref="Z29:AE30"/>
    <mergeCell ref="C31:M32"/>
    <mergeCell ref="N31:Y32"/>
    <mergeCell ref="Z31:AE32"/>
    <mergeCell ref="B25:M26"/>
    <mergeCell ref="N25:Y26"/>
    <mergeCell ref="Z25:AE26"/>
    <mergeCell ref="B27:M28"/>
    <mergeCell ref="N27:Y28"/>
    <mergeCell ref="Z27:AE28"/>
    <mergeCell ref="B16:M17"/>
    <mergeCell ref="N16:S17"/>
    <mergeCell ref="T16:Y17"/>
    <mergeCell ref="B18:M19"/>
    <mergeCell ref="N18:S19"/>
    <mergeCell ref="T18:Y19"/>
    <mergeCell ref="B4:AE4"/>
    <mergeCell ref="Q10:V11"/>
    <mergeCell ref="W10:AE11"/>
    <mergeCell ref="B13:M15"/>
    <mergeCell ref="N14:S15"/>
    <mergeCell ref="T14:Y15"/>
  </mergeCells>
  <phoneticPr fontId="3"/>
  <pageMargins left="0.19685039370078741" right="0.19685039370078741" top="0.31496062992125984" bottom="0.19685039370078741" header="0" footer="0.27559055118110237"/>
  <pageSetup paperSize="9" firstPageNumber="16" orientation="portrait" r:id="rId1"/>
  <headerFooter alignWithMargins="0"/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57"/>
  <sheetViews>
    <sheetView showGridLines="0" workbookViewId="0"/>
  </sheetViews>
  <sheetFormatPr defaultRowHeight="13.2" x14ac:dyDescent="0.2"/>
  <cols>
    <col min="1" max="1" width="30.6640625" style="76" customWidth="1"/>
    <col min="3" max="3" width="4.33203125" customWidth="1"/>
  </cols>
  <sheetData>
    <row r="1" spans="1:4" x14ac:dyDescent="0.2">
      <c r="A1" s="90" t="s">
        <v>72</v>
      </c>
      <c r="B1" s="91" t="s">
        <v>59</v>
      </c>
      <c r="D1" s="115" t="s">
        <v>103</v>
      </c>
    </row>
    <row r="2" spans="1:4" x14ac:dyDescent="0.2">
      <c r="A2" s="75" t="s">
        <v>84</v>
      </c>
      <c r="B2" s="75" t="s">
        <v>0</v>
      </c>
      <c r="D2" t="s">
        <v>104</v>
      </c>
    </row>
    <row r="3" spans="1:4" x14ac:dyDescent="0.2">
      <c r="A3" s="78" t="s">
        <v>62</v>
      </c>
      <c r="B3" s="78" t="s">
        <v>59</v>
      </c>
      <c r="D3" t="s">
        <v>105</v>
      </c>
    </row>
    <row r="4" spans="1:4" x14ac:dyDescent="0.2">
      <c r="A4" s="78" t="s">
        <v>63</v>
      </c>
      <c r="B4" s="78" t="s">
        <v>59</v>
      </c>
      <c r="D4" t="s">
        <v>106</v>
      </c>
    </row>
    <row r="5" spans="1:4" x14ac:dyDescent="0.2">
      <c r="A5" s="78" t="s">
        <v>64</v>
      </c>
      <c r="B5" s="78" t="s">
        <v>59</v>
      </c>
      <c r="D5" t="s">
        <v>107</v>
      </c>
    </row>
    <row r="6" spans="1:4" x14ac:dyDescent="0.2">
      <c r="A6" s="78" t="s">
        <v>65</v>
      </c>
      <c r="B6" s="78" t="s">
        <v>59</v>
      </c>
      <c r="D6" t="s">
        <v>108</v>
      </c>
    </row>
    <row r="7" spans="1:4" x14ac:dyDescent="0.2">
      <c r="A7" s="78" t="s">
        <v>66</v>
      </c>
      <c r="B7" s="78" t="s">
        <v>59</v>
      </c>
      <c r="D7" t="s">
        <v>109</v>
      </c>
    </row>
    <row r="8" spans="1:4" x14ac:dyDescent="0.2">
      <c r="A8" s="78" t="s">
        <v>67</v>
      </c>
      <c r="B8" s="78" t="s">
        <v>59</v>
      </c>
      <c r="D8" t="s">
        <v>110</v>
      </c>
    </row>
    <row r="9" spans="1:4" x14ac:dyDescent="0.2">
      <c r="A9" s="78" t="s">
        <v>68</v>
      </c>
      <c r="B9" s="78" t="s">
        <v>59</v>
      </c>
      <c r="D9" t="s">
        <v>111</v>
      </c>
    </row>
    <row r="10" spans="1:4" x14ac:dyDescent="0.2">
      <c r="A10" s="78" t="s">
        <v>69</v>
      </c>
      <c r="B10" s="78" t="s">
        <v>59</v>
      </c>
      <c r="D10" t="s">
        <v>112</v>
      </c>
    </row>
    <row r="11" spans="1:4" x14ac:dyDescent="0.2">
      <c r="A11" s="78" t="s">
        <v>70</v>
      </c>
      <c r="B11" s="78" t="s">
        <v>59</v>
      </c>
      <c r="D11" t="s">
        <v>113</v>
      </c>
    </row>
    <row r="12" spans="1:4" x14ac:dyDescent="0.2">
      <c r="A12" s="78" t="s">
        <v>71</v>
      </c>
      <c r="B12" s="78" t="s">
        <v>59</v>
      </c>
      <c r="D12" t="s">
        <v>114</v>
      </c>
    </row>
    <row r="13" spans="1:4" x14ac:dyDescent="0.2">
      <c r="A13" s="78" t="s">
        <v>85</v>
      </c>
      <c r="B13" s="78" t="s">
        <v>89</v>
      </c>
      <c r="D13" t="s">
        <v>115</v>
      </c>
    </row>
    <row r="14" spans="1:4" x14ac:dyDescent="0.2">
      <c r="A14" s="78" t="s">
        <v>58</v>
      </c>
      <c r="B14" s="78" t="s">
        <v>89</v>
      </c>
      <c r="D14" t="s">
        <v>116</v>
      </c>
    </row>
    <row r="15" spans="1:4" x14ac:dyDescent="0.2">
      <c r="A15" s="77" t="s">
        <v>61</v>
      </c>
      <c r="B15" s="77" t="s">
        <v>89</v>
      </c>
      <c r="D15" t="s">
        <v>117</v>
      </c>
    </row>
    <row r="16" spans="1:4" x14ac:dyDescent="0.2">
      <c r="D16" t="s">
        <v>118</v>
      </c>
    </row>
    <row r="17" spans="1:4" x14ac:dyDescent="0.2">
      <c r="D17" t="s">
        <v>119</v>
      </c>
    </row>
    <row r="18" spans="1:4" x14ac:dyDescent="0.2">
      <c r="D18" t="s">
        <v>120</v>
      </c>
    </row>
    <row r="19" spans="1:4" x14ac:dyDescent="0.2">
      <c r="D19" t="s">
        <v>121</v>
      </c>
    </row>
    <row r="20" spans="1:4" x14ac:dyDescent="0.2">
      <c r="D20" t="s">
        <v>122</v>
      </c>
    </row>
    <row r="21" spans="1:4" x14ac:dyDescent="0.2">
      <c r="D21" t="s">
        <v>123</v>
      </c>
    </row>
    <row r="22" spans="1:4" x14ac:dyDescent="0.2">
      <c r="D22" t="s">
        <v>124</v>
      </c>
    </row>
    <row r="23" spans="1:4" x14ac:dyDescent="0.2">
      <c r="D23" t="s">
        <v>125</v>
      </c>
    </row>
    <row r="24" spans="1:4" x14ac:dyDescent="0.2">
      <c r="A24" s="79"/>
      <c r="D24" t="s">
        <v>126</v>
      </c>
    </row>
    <row r="25" spans="1:4" x14ac:dyDescent="0.2">
      <c r="A25" s="79"/>
      <c r="D25" t="s">
        <v>127</v>
      </c>
    </row>
    <row r="26" spans="1:4" x14ac:dyDescent="0.2">
      <c r="A26" s="79"/>
      <c r="D26" t="s">
        <v>128</v>
      </c>
    </row>
    <row r="27" spans="1:4" x14ac:dyDescent="0.2">
      <c r="A27" s="79"/>
      <c r="D27" t="s">
        <v>129</v>
      </c>
    </row>
    <row r="28" spans="1:4" x14ac:dyDescent="0.2">
      <c r="A28" s="79"/>
      <c r="D28" t="s">
        <v>130</v>
      </c>
    </row>
    <row r="29" spans="1:4" x14ac:dyDescent="0.2">
      <c r="A29" s="79"/>
      <c r="D29" t="s">
        <v>131</v>
      </c>
    </row>
    <row r="30" spans="1:4" x14ac:dyDescent="0.2">
      <c r="A30" s="79"/>
      <c r="D30" t="s">
        <v>132</v>
      </c>
    </row>
    <row r="31" spans="1:4" x14ac:dyDescent="0.2">
      <c r="A31" s="79"/>
      <c r="D31" t="s">
        <v>133</v>
      </c>
    </row>
    <row r="32" spans="1:4" x14ac:dyDescent="0.2">
      <c r="A32" s="79"/>
      <c r="D32" t="s">
        <v>134</v>
      </c>
    </row>
    <row r="41" spans="1:1" x14ac:dyDescent="0.2">
      <c r="A41" s="79"/>
    </row>
    <row r="42" spans="1:1" x14ac:dyDescent="0.2">
      <c r="A42" s="79"/>
    </row>
    <row r="43" spans="1:1" x14ac:dyDescent="0.2">
      <c r="A43" s="79"/>
    </row>
    <row r="44" spans="1:1" x14ac:dyDescent="0.2">
      <c r="A44" s="79"/>
    </row>
    <row r="45" spans="1:1" x14ac:dyDescent="0.2">
      <c r="A45" s="79"/>
    </row>
    <row r="46" spans="1:1" x14ac:dyDescent="0.2">
      <c r="A46" s="79"/>
    </row>
    <row r="47" spans="1:1" x14ac:dyDescent="0.2">
      <c r="A47" s="79"/>
    </row>
    <row r="48" spans="1:1" x14ac:dyDescent="0.2">
      <c r="A48" s="79"/>
    </row>
    <row r="49" spans="1:1" x14ac:dyDescent="0.2">
      <c r="A49" s="79"/>
    </row>
    <row r="50" spans="1:1" x14ac:dyDescent="0.2">
      <c r="A50" s="79"/>
    </row>
    <row r="51" spans="1:1" x14ac:dyDescent="0.2">
      <c r="A51" s="79"/>
    </row>
    <row r="52" spans="1:1" x14ac:dyDescent="0.2">
      <c r="A52" s="79"/>
    </row>
    <row r="53" spans="1:1" x14ac:dyDescent="0.2">
      <c r="A53" s="79"/>
    </row>
    <row r="54" spans="1:1" x14ac:dyDescent="0.2">
      <c r="A54" s="79"/>
    </row>
    <row r="55" spans="1:1" x14ac:dyDescent="0.2">
      <c r="A55" s="79"/>
    </row>
    <row r="56" spans="1:1" x14ac:dyDescent="0.2">
      <c r="A56" s="79"/>
    </row>
    <row r="57" spans="1:1" x14ac:dyDescent="0.2">
      <c r="A57" s="79"/>
    </row>
  </sheetData>
  <phoneticPr fontId="3"/>
  <pageMargins left="0.19685039370078741" right="0.19685039370078741" top="0.31496062992125984" bottom="0.19685039370078741" header="0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設定</vt:lpstr>
      <vt:lpstr>月別入力</vt:lpstr>
      <vt:lpstr>10_労働</vt:lpstr>
      <vt:lpstr>11_労働（指定品目）</vt:lpstr>
      <vt:lpstr>リスト </vt:lpstr>
      <vt:lpstr>'10_労働'!Print_Area</vt:lpstr>
      <vt:lpstr>'11_労働（指定品目）'!Print_Area</vt:lpstr>
      <vt:lpstr>月別入力!Print_Titles</vt:lpstr>
      <vt:lpstr>設定!Print_Titles</vt:lpstr>
      <vt:lpstr>指定品目名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2023-10-04T03:22:22Z</dcterms:modified>
</cp:coreProperties>
</file>