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EE84850B-7EEA-4B84-B1BC-3ABEBC4D1764}" xr6:coauthVersionLast="47" xr6:coauthVersionMax="47" xr10:uidLastSave="{00000000-0000-0000-0000-000000000000}"/>
  <bookViews>
    <workbookView xWindow="-120" yWindow="-120" windowWidth="29040" windowHeight="15840" tabRatio="747" xr2:uid="{00000000-000D-0000-FFFF-FFFF00000000}"/>
  </bookViews>
  <sheets>
    <sheet name="No.1" sheetId="6" r:id="rId1"/>
    <sheet name="No.2" sheetId="10" r:id="rId2"/>
    <sheet name="No.3" sheetId="1" r:id="rId3"/>
    <sheet name="No.4" sheetId="9" r:id="rId4"/>
    <sheet name="No.5" sheetId="8" r:id="rId5"/>
    <sheet name="リスト" sheetId="11" state="hidden" r:id="rId6"/>
  </sheets>
  <definedNames>
    <definedName name="_xlnm.Print_Area" localSheetId="0">No.1!$A$1:$CH$59</definedName>
    <definedName name="_xlnm.Print_Area" localSheetId="1">No.2!$A$1:$CD$61</definedName>
    <definedName name="_xlnm.Print_Area" localSheetId="2">No.3!$A$1:$BW$51</definedName>
    <definedName name="_xlnm.Print_Area" localSheetId="3">No.4!$A$1:$CI$54</definedName>
    <definedName name="_xlnm.Print_Area" localSheetId="4">No.5!$A$1:$BY$65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91029"/>
</workbook>
</file>

<file path=xl/calcChain.xml><?xml version="1.0" encoding="utf-8"?>
<calcChain xmlns="http://schemas.openxmlformats.org/spreadsheetml/2006/main">
  <c r="AN54" i="10" l="1"/>
  <c r="AM54" i="10"/>
  <c r="AO54" i="10" s="1"/>
  <c r="AO53" i="10"/>
  <c r="AN53" i="10"/>
  <c r="AM53" i="10"/>
  <c r="AI52" i="10"/>
  <c r="AE52" i="10"/>
  <c r="BW58" i="8" l="1"/>
  <c r="BV58" i="8"/>
  <c r="BX58" i="8" s="1"/>
  <c r="BM58" i="8"/>
  <c r="BL58" i="8"/>
  <c r="BK58" i="8"/>
  <c r="BW52" i="8"/>
  <c r="BV52" i="8"/>
  <c r="BX52" i="8" s="1"/>
  <c r="BM52" i="8"/>
  <c r="BL52" i="8"/>
  <c r="BK52" i="8"/>
  <c r="BX51" i="8"/>
  <c r="BW51" i="8"/>
  <c r="BV51" i="8"/>
  <c r="BL51" i="8"/>
  <c r="BK51" i="8"/>
  <c r="BM51" i="8" s="1"/>
  <c r="BW50" i="8"/>
  <c r="BV50" i="8"/>
  <c r="BX50" i="8" s="1"/>
  <c r="BL50" i="8"/>
  <c r="BK50" i="8"/>
  <c r="BM50" i="8" s="1"/>
  <c r="BW46" i="8"/>
  <c r="BV46" i="8"/>
  <c r="BX46" i="8" s="1"/>
  <c r="BM46" i="8"/>
  <c r="BL46" i="8"/>
  <c r="BK46" i="8"/>
  <c r="BW45" i="8"/>
  <c r="BV45" i="8"/>
  <c r="BX45" i="8" s="1"/>
  <c r="BL45" i="8"/>
  <c r="BK45" i="8"/>
  <c r="BM45" i="8" s="1"/>
  <c r="BW40" i="8"/>
  <c r="BV40" i="8"/>
  <c r="BX40" i="8" s="1"/>
  <c r="BM40" i="8"/>
  <c r="BL40" i="8"/>
  <c r="BK40" i="8"/>
  <c r="BX39" i="8"/>
  <c r="BW39" i="8"/>
  <c r="BV39" i="8"/>
  <c r="BL39" i="8"/>
  <c r="BK39" i="8"/>
  <c r="BM39" i="8" s="1"/>
  <c r="BW38" i="8"/>
  <c r="BV38" i="8"/>
  <c r="BX38" i="8" s="1"/>
  <c r="BM38" i="8"/>
  <c r="BL38" i="8"/>
  <c r="BK38" i="8"/>
  <c r="BW21" i="8"/>
  <c r="BV21" i="8"/>
  <c r="BX21" i="8" s="1"/>
  <c r="BW17" i="8"/>
  <c r="BV17" i="8"/>
  <c r="BX17" i="8" s="1"/>
  <c r="BW16" i="8"/>
  <c r="BV16" i="8"/>
  <c r="BX16" i="8" s="1"/>
  <c r="BW15" i="8"/>
  <c r="BV15" i="8"/>
  <c r="BX15" i="8" s="1"/>
  <c r="BW14" i="8"/>
  <c r="BV14" i="8"/>
  <c r="BX14" i="8" s="1"/>
  <c r="BW13" i="8"/>
  <c r="BV13" i="8"/>
  <c r="BX13" i="8" s="1"/>
  <c r="BW11" i="8"/>
  <c r="BV11" i="8"/>
  <c r="BX11" i="8" s="1"/>
  <c r="CH21" i="9"/>
  <c r="CG21" i="9"/>
  <c r="CF21" i="9"/>
  <c r="BV21" i="9"/>
  <c r="BU21" i="9"/>
  <c r="BW21" i="9" s="1"/>
  <c r="BK21" i="9"/>
  <c r="BJ21" i="9"/>
  <c r="BL21" i="9" s="1"/>
  <c r="BV64" i="8"/>
  <c r="BV63" i="8"/>
  <c r="BV61" i="8"/>
  <c r="BV60" i="8"/>
  <c r="BV59" i="8"/>
  <c r="BV57" i="8"/>
  <c r="BK57" i="8"/>
  <c r="BV56" i="8"/>
  <c r="BK56" i="8"/>
  <c r="R45" i="8"/>
  <c r="BV55" i="8"/>
  <c r="BK55" i="8"/>
  <c r="R44" i="8"/>
  <c r="BV54" i="8"/>
  <c r="BK54" i="8"/>
  <c r="R43" i="8"/>
  <c r="BV53" i="8"/>
  <c r="BK53" i="8"/>
  <c r="R42" i="8"/>
  <c r="R41" i="8"/>
  <c r="R40" i="8"/>
  <c r="BV49" i="8"/>
  <c r="BK49" i="8"/>
  <c r="R39" i="8"/>
  <c r="BV48" i="8"/>
  <c r="BK48" i="8"/>
  <c r="R38" i="8"/>
  <c r="BV47" i="8"/>
  <c r="BK47" i="8"/>
  <c r="R37" i="8"/>
  <c r="R36" i="8"/>
  <c r="BV44" i="8"/>
  <c r="BK44" i="8"/>
  <c r="BV43" i="8"/>
  <c r="BK43" i="8"/>
  <c r="BV42" i="8"/>
  <c r="BK42" i="8"/>
  <c r="BV41" i="8"/>
  <c r="BK41" i="8"/>
  <c r="BV37" i="8"/>
  <c r="BK37" i="8"/>
  <c r="BV36" i="8"/>
  <c r="BK36" i="8"/>
  <c r="BV35" i="8"/>
  <c r="BK35" i="8"/>
  <c r="BV34" i="8"/>
  <c r="BK34" i="8"/>
  <c r="AC27" i="8"/>
  <c r="BV33" i="8"/>
  <c r="BK33" i="8"/>
  <c r="AN26" i="8"/>
  <c r="AC26" i="8"/>
  <c r="R26" i="8"/>
  <c r="AN25" i="8"/>
  <c r="AC25" i="8"/>
  <c r="R25" i="8"/>
  <c r="BV31" i="8"/>
  <c r="AC24" i="8"/>
  <c r="R24" i="8"/>
  <c r="BV30" i="8"/>
  <c r="R23" i="8"/>
  <c r="BV29" i="8"/>
  <c r="AN22" i="8"/>
  <c r="AC22" i="8"/>
  <c r="R22" i="8"/>
  <c r="BV28" i="8"/>
  <c r="BK28" i="8"/>
  <c r="R21" i="8"/>
  <c r="AN20" i="8"/>
  <c r="AC20" i="8"/>
  <c r="R20" i="8"/>
  <c r="BV26" i="8"/>
  <c r="AN19" i="8"/>
  <c r="AC19" i="8"/>
  <c r="R19" i="8"/>
  <c r="BV25" i="8"/>
  <c r="AN18" i="8"/>
  <c r="AC18" i="8"/>
  <c r="R18" i="8"/>
  <c r="BV24" i="8"/>
  <c r="AN17" i="8"/>
  <c r="AC17" i="8"/>
  <c r="R17" i="8"/>
  <c r="BV23" i="8"/>
  <c r="AN16" i="8"/>
  <c r="AC16" i="8"/>
  <c r="R16" i="8"/>
  <c r="BV20" i="8"/>
  <c r="AN15" i="8"/>
  <c r="AC15" i="8"/>
  <c r="R15" i="8"/>
  <c r="BV18" i="8"/>
  <c r="AN14" i="8"/>
  <c r="AC14" i="8"/>
  <c r="R14" i="8"/>
  <c r="BV19" i="8"/>
  <c r="AN13" i="8"/>
  <c r="AC13" i="8"/>
  <c r="R13" i="8"/>
  <c r="BV22" i="8"/>
  <c r="AN12" i="8"/>
  <c r="AC12" i="8"/>
  <c r="R12" i="8"/>
  <c r="BV12" i="8"/>
  <c r="AN11" i="8"/>
  <c r="AC11" i="8"/>
  <c r="R11" i="8"/>
  <c r="BV10" i="8"/>
  <c r="AN10" i="8"/>
  <c r="AC10" i="8"/>
  <c r="R10" i="8"/>
  <c r="AC53" i="9"/>
  <c r="AC52" i="9"/>
  <c r="AC51" i="9"/>
  <c r="AC50" i="9"/>
  <c r="AC49" i="9"/>
  <c r="AC48" i="9"/>
  <c r="AC47" i="9"/>
  <c r="AC46" i="9"/>
  <c r="BJ45" i="9"/>
  <c r="AC45" i="9"/>
  <c r="BJ44" i="9"/>
  <c r="AN44" i="9"/>
  <c r="AC44" i="9"/>
  <c r="R44" i="9"/>
  <c r="BJ43" i="9"/>
  <c r="AC43" i="9"/>
  <c r="BJ42" i="9"/>
  <c r="AC42" i="9"/>
  <c r="BJ41" i="9"/>
  <c r="AC41" i="9"/>
  <c r="BJ40" i="9"/>
  <c r="AC40" i="9"/>
  <c r="BJ39" i="9"/>
  <c r="AN39" i="9"/>
  <c r="AC39" i="9"/>
  <c r="R39" i="9"/>
  <c r="BJ38" i="9"/>
  <c r="AN38" i="9"/>
  <c r="AC38" i="9"/>
  <c r="R38" i="9"/>
  <c r="BJ37" i="9"/>
  <c r="AN37" i="9"/>
  <c r="AC37" i="9"/>
  <c r="R37" i="9"/>
  <c r="BJ36" i="9"/>
  <c r="AN36" i="9"/>
  <c r="AC36" i="9"/>
  <c r="R36" i="9"/>
  <c r="BJ35" i="9"/>
  <c r="AN35" i="9"/>
  <c r="AC35" i="9"/>
  <c r="R35" i="9"/>
  <c r="BJ34" i="9"/>
  <c r="AN34" i="9"/>
  <c r="AC34" i="9"/>
  <c r="R34" i="9"/>
  <c r="AC33" i="9"/>
  <c r="BJ33" i="9"/>
  <c r="AC32" i="9"/>
  <c r="BJ32" i="9"/>
  <c r="AC31" i="9"/>
  <c r="BJ31" i="9"/>
  <c r="AC30" i="9"/>
  <c r="BJ30" i="9"/>
  <c r="AC29" i="9"/>
  <c r="BJ29" i="9"/>
  <c r="AC28" i="9"/>
  <c r="BJ28" i="9"/>
  <c r="AC27" i="9"/>
  <c r="AC26" i="9"/>
  <c r="AN25" i="9"/>
  <c r="AC25" i="9"/>
  <c r="R25" i="9"/>
  <c r="AN24" i="9"/>
  <c r="AC24" i="9"/>
  <c r="R24" i="9"/>
  <c r="AN23" i="9"/>
  <c r="AC23" i="9"/>
  <c r="R23" i="9"/>
  <c r="BU22" i="9"/>
  <c r="AC22" i="9"/>
  <c r="AN21" i="9"/>
  <c r="AC21" i="9"/>
  <c r="R21" i="9"/>
  <c r="CF20" i="9"/>
  <c r="BU20" i="9"/>
  <c r="BJ20" i="9"/>
  <c r="AC20" i="9"/>
  <c r="CF19" i="9"/>
  <c r="BU19" i="9"/>
  <c r="BJ19" i="9"/>
  <c r="AN19" i="9"/>
  <c r="AC19" i="9"/>
  <c r="R19" i="9"/>
  <c r="CF18" i="9"/>
  <c r="BU18" i="9"/>
  <c r="BJ18" i="9"/>
  <c r="AN18" i="9"/>
  <c r="AC18" i="9"/>
  <c r="R18" i="9"/>
  <c r="CF17" i="9"/>
  <c r="BU17" i="9"/>
  <c r="BJ17" i="9"/>
  <c r="AN17" i="9"/>
  <c r="AC17" i="9"/>
  <c r="R17" i="9"/>
  <c r="CF16" i="9"/>
  <c r="BU16" i="9"/>
  <c r="BJ16" i="9"/>
  <c r="AN16" i="9"/>
  <c r="AC16" i="9"/>
  <c r="R16" i="9"/>
  <c r="CF15" i="9"/>
  <c r="BU15" i="9"/>
  <c r="BJ15" i="9"/>
  <c r="AN15" i="9"/>
  <c r="AC15" i="9"/>
  <c r="R15" i="9"/>
  <c r="CF14" i="9"/>
  <c r="BU14" i="9"/>
  <c r="BJ14" i="9"/>
  <c r="AN14" i="9"/>
  <c r="AC14" i="9"/>
  <c r="R14" i="9"/>
  <c r="BU13" i="9"/>
  <c r="AC13" i="9"/>
  <c r="BU12" i="9"/>
  <c r="AN12" i="9"/>
  <c r="AC12" i="9"/>
  <c r="R12" i="9"/>
  <c r="BU11" i="9"/>
  <c r="AN11" i="9"/>
  <c r="AC11" i="9"/>
  <c r="R11" i="9"/>
  <c r="BU10" i="9"/>
  <c r="AN10" i="9"/>
  <c r="AC10" i="9"/>
  <c r="R10" i="9"/>
  <c r="BT50" i="1"/>
  <c r="BI50" i="1"/>
  <c r="BT49" i="1"/>
  <c r="BI49" i="1"/>
  <c r="BT48" i="1"/>
  <c r="BI48" i="1"/>
  <c r="BT47" i="1"/>
  <c r="BI47" i="1"/>
  <c r="BT46" i="1"/>
  <c r="BI46" i="1"/>
  <c r="BT45" i="1"/>
  <c r="BI45" i="1"/>
  <c r="BT44" i="1"/>
  <c r="BI44" i="1"/>
  <c r="BT43" i="1"/>
  <c r="BI43" i="1"/>
  <c r="Q43" i="1"/>
  <c r="BT42" i="1"/>
  <c r="BI42" i="1"/>
  <c r="Q42" i="1"/>
  <c r="Q41" i="1"/>
  <c r="AM36" i="1"/>
  <c r="AB36" i="1"/>
  <c r="Q36" i="1"/>
  <c r="AM35" i="1"/>
  <c r="AB35" i="1"/>
  <c r="Q35" i="1"/>
  <c r="AM34" i="1"/>
  <c r="AB34" i="1"/>
  <c r="Q34" i="1"/>
  <c r="AM33" i="1"/>
  <c r="AB33" i="1"/>
  <c r="Q33" i="1"/>
  <c r="AM32" i="1"/>
  <c r="AB32" i="1"/>
  <c r="Q32" i="1"/>
  <c r="AM25" i="1"/>
  <c r="AB25" i="1"/>
  <c r="Q25" i="1"/>
  <c r="AM24" i="1"/>
  <c r="AB24" i="1"/>
  <c r="Q24" i="1"/>
  <c r="AM23" i="1"/>
  <c r="AB23" i="1"/>
  <c r="Q23" i="1"/>
  <c r="AM22" i="1"/>
  <c r="Q22" i="1"/>
  <c r="AM21" i="1"/>
  <c r="AB21" i="1"/>
  <c r="Q21" i="1"/>
  <c r="AM20" i="1"/>
  <c r="AB20" i="1"/>
  <c r="Q20" i="1"/>
  <c r="AM19" i="1"/>
  <c r="AB19" i="1"/>
  <c r="Q19" i="1"/>
  <c r="AM18" i="1"/>
  <c r="AB18" i="1"/>
  <c r="Q18" i="1"/>
  <c r="AM17" i="1"/>
  <c r="AB17" i="1"/>
  <c r="Q17" i="1"/>
  <c r="AM16" i="1"/>
  <c r="AB16" i="1"/>
  <c r="Q16" i="1"/>
  <c r="AM15" i="1"/>
  <c r="AB15" i="1"/>
  <c r="Q15" i="1"/>
  <c r="AM14" i="1"/>
  <c r="AB14" i="1"/>
  <c r="Q14" i="1"/>
  <c r="AM13" i="1"/>
  <c r="AB13" i="1"/>
  <c r="Q13" i="1"/>
  <c r="AM12" i="1"/>
  <c r="AB12" i="1"/>
  <c r="Q12" i="1"/>
  <c r="AM11" i="1"/>
  <c r="AB11" i="1"/>
  <c r="Q11" i="1"/>
  <c r="AM10" i="1"/>
  <c r="AB10" i="1"/>
  <c r="Q10" i="1"/>
  <c r="P60" i="10"/>
  <c r="P59" i="10"/>
  <c r="Q54" i="10"/>
  <c r="CA49" i="10"/>
  <c r="BI49" i="10"/>
  <c r="CA48" i="10"/>
  <c r="BI48" i="10"/>
  <c r="AB48" i="10"/>
  <c r="Q48" i="10"/>
  <c r="CA47" i="10"/>
  <c r="BI47" i="10"/>
  <c r="AB47" i="10"/>
  <c r="Q47" i="10"/>
  <c r="CA46" i="10"/>
  <c r="BI46" i="10"/>
  <c r="AB46" i="10"/>
  <c r="Q46" i="10"/>
  <c r="CA45" i="10"/>
  <c r="BI45" i="10"/>
  <c r="AB45" i="10"/>
  <c r="Q45" i="10"/>
  <c r="CA44" i="10"/>
  <c r="BI44" i="10"/>
  <c r="AB44" i="10"/>
  <c r="Q44" i="10"/>
  <c r="CA43" i="10"/>
  <c r="BI43" i="10"/>
  <c r="AB43" i="10"/>
  <c r="Q43" i="10"/>
  <c r="CA42" i="10"/>
  <c r="BI42" i="10"/>
  <c r="AB42" i="10"/>
  <c r="Q42" i="10"/>
  <c r="CA41" i="10"/>
  <c r="BI41" i="10"/>
  <c r="CA40" i="10"/>
  <c r="BI40" i="10"/>
  <c r="CA39" i="10"/>
  <c r="BI39" i="10"/>
  <c r="CA38" i="10"/>
  <c r="BI38" i="10"/>
  <c r="CA37" i="10"/>
  <c r="BI37" i="10"/>
  <c r="CA36" i="10"/>
  <c r="BI36" i="10"/>
  <c r="Q36" i="10"/>
  <c r="CA35" i="10"/>
  <c r="BI35" i="10"/>
  <c r="AL35" i="10"/>
  <c r="Q35" i="10"/>
  <c r="BI34" i="10"/>
  <c r="AL34" i="10"/>
  <c r="Q34" i="10"/>
  <c r="AL33" i="10"/>
  <c r="Q33" i="10"/>
  <c r="AM27" i="10"/>
  <c r="AB27" i="10"/>
  <c r="Q27" i="10"/>
  <c r="AM26" i="10"/>
  <c r="AB26" i="10"/>
  <c r="Q26" i="10"/>
  <c r="AM25" i="10"/>
  <c r="AB25" i="10"/>
  <c r="Q25" i="10"/>
  <c r="AM24" i="10"/>
  <c r="AB24" i="10"/>
  <c r="Q24" i="10"/>
  <c r="BJ23" i="10"/>
  <c r="AM23" i="10"/>
  <c r="AB23" i="10"/>
  <c r="Q23" i="10"/>
  <c r="BJ22" i="10"/>
  <c r="AM22" i="10"/>
  <c r="AB22" i="10"/>
  <c r="Q22" i="10"/>
  <c r="AM21" i="10"/>
  <c r="AB21" i="10"/>
  <c r="Q21" i="10"/>
  <c r="AM20" i="10"/>
  <c r="AB20" i="10"/>
  <c r="Q20" i="10"/>
  <c r="BJ16" i="10"/>
  <c r="BJ15" i="10"/>
  <c r="BJ14" i="10"/>
  <c r="AM14" i="10"/>
  <c r="AB14" i="10"/>
  <c r="Q14" i="10"/>
  <c r="BJ13" i="10"/>
  <c r="AM13" i="10"/>
  <c r="AB13" i="10"/>
  <c r="Q13" i="10"/>
  <c r="BJ12" i="10"/>
  <c r="AM12" i="10"/>
  <c r="AB12" i="10"/>
  <c r="Q12" i="10"/>
  <c r="BJ11" i="10"/>
  <c r="AM11" i="10"/>
  <c r="AB11" i="10"/>
  <c r="Q11" i="10"/>
  <c r="BJ10" i="10"/>
  <c r="AM10" i="10"/>
  <c r="AB10" i="10"/>
  <c r="Q10" i="10"/>
  <c r="AB58" i="6"/>
  <c r="Q58" i="6"/>
  <c r="Q57" i="6"/>
  <c r="Q56" i="6"/>
  <c r="CE55" i="6"/>
  <c r="BT55" i="6"/>
  <c r="Q55" i="6"/>
  <c r="CE54" i="6"/>
  <c r="BT54" i="6"/>
  <c r="CE53" i="6"/>
  <c r="BT53" i="6"/>
  <c r="CE52" i="6"/>
  <c r="BT52" i="6"/>
  <c r="CE51" i="6"/>
  <c r="BT51" i="6"/>
  <c r="BV51" i="6" s="1"/>
  <c r="CE50" i="6"/>
  <c r="BT50" i="6"/>
  <c r="CE49" i="6"/>
  <c r="BT49" i="6"/>
  <c r="Q49" i="6"/>
  <c r="Q48" i="6"/>
  <c r="Q47" i="6"/>
  <c r="Q46" i="6"/>
  <c r="Q45" i="6"/>
  <c r="Q44" i="6"/>
  <c r="Q43" i="6"/>
  <c r="AB42" i="6"/>
  <c r="Q42" i="6"/>
  <c r="BT41" i="6"/>
  <c r="AB41" i="6"/>
  <c r="Q41" i="6"/>
  <c r="BT40" i="6"/>
  <c r="AB40" i="6"/>
  <c r="Q40" i="6"/>
  <c r="BT39" i="6"/>
  <c r="BT38" i="6"/>
  <c r="BT37" i="6"/>
  <c r="BT36" i="6"/>
  <c r="BT35" i="6"/>
  <c r="AX34" i="6"/>
  <c r="AX33" i="6"/>
  <c r="AX32" i="6"/>
  <c r="AX31" i="6"/>
  <c r="AX30" i="6"/>
  <c r="BT29" i="6"/>
  <c r="AX29" i="6"/>
  <c r="BT28" i="6"/>
  <c r="AX28" i="6"/>
  <c r="BT27" i="6"/>
  <c r="AX27" i="6"/>
  <c r="BT26" i="6"/>
  <c r="AX26" i="6"/>
  <c r="AM26" i="6"/>
  <c r="AB26" i="6"/>
  <c r="Q26" i="6"/>
  <c r="BT25" i="6"/>
  <c r="AX25" i="6"/>
  <c r="AB25" i="6"/>
  <c r="Q25" i="6"/>
  <c r="BT24" i="6"/>
  <c r="AX24" i="6"/>
  <c r="AB24" i="6"/>
  <c r="Q24" i="6"/>
  <c r="BT23" i="6"/>
  <c r="AX23" i="6"/>
  <c r="AB23" i="6"/>
  <c r="Q23" i="6"/>
  <c r="AX22" i="6"/>
  <c r="AM22" i="6"/>
  <c r="Q22" i="6"/>
  <c r="AX21" i="6"/>
  <c r="AM21" i="6"/>
  <c r="Q21" i="6"/>
  <c r="AX20" i="6"/>
  <c r="AM20" i="6"/>
  <c r="Q20" i="6"/>
  <c r="AX19" i="6"/>
  <c r="AM19" i="6"/>
  <c r="Q19" i="6"/>
  <c r="AX18" i="6"/>
  <c r="Q18" i="6"/>
  <c r="AX17" i="6"/>
  <c r="Q17" i="6"/>
  <c r="CE16" i="6"/>
  <c r="AX16" i="6"/>
  <c r="Q16" i="6"/>
  <c r="CE15" i="6"/>
  <c r="AX15" i="6"/>
  <c r="AB15" i="6"/>
  <c r="Q15" i="6"/>
  <c r="CE14" i="6"/>
  <c r="BT14" i="6"/>
  <c r="AX14" i="6"/>
  <c r="AB14" i="6"/>
  <c r="Q14" i="6"/>
  <c r="CE13" i="6"/>
  <c r="BT13" i="6"/>
  <c r="AX13" i="6"/>
  <c r="Q13" i="6"/>
  <c r="CE12" i="6"/>
  <c r="BT12" i="6"/>
  <c r="AX12" i="6"/>
  <c r="AB12" i="6"/>
  <c r="Q12" i="6"/>
  <c r="CE11" i="6"/>
  <c r="BT11" i="6"/>
  <c r="AX11" i="6"/>
  <c r="AB11" i="6"/>
  <c r="Q11" i="6"/>
  <c r="CE10" i="6"/>
  <c r="BT10" i="6"/>
  <c r="AX10" i="6"/>
  <c r="AM10" i="6"/>
  <c r="AB10" i="6"/>
  <c r="Q10" i="6"/>
  <c r="BU52" i="6"/>
  <c r="BV52" i="6"/>
  <c r="BU51" i="6"/>
  <c r="BV50" i="6"/>
  <c r="BU50" i="6"/>
  <c r="V5" i="8" l="1"/>
  <c r="Q5" i="8"/>
  <c r="J5" i="8"/>
  <c r="G5" i="8"/>
  <c r="BO4" i="8"/>
  <c r="BN4" i="8"/>
  <c r="BM4" i="8"/>
  <c r="BK4" i="8"/>
  <c r="BJ4" i="8"/>
  <c r="BI4" i="8"/>
  <c r="BH4" i="8"/>
  <c r="BF4" i="8"/>
  <c r="BE4" i="8"/>
  <c r="BD4" i="8"/>
  <c r="BC4" i="8"/>
  <c r="BA4" i="8"/>
  <c r="AZ4" i="8"/>
  <c r="AY4" i="8"/>
  <c r="AX4" i="8"/>
  <c r="AV4" i="8"/>
  <c r="AU4" i="8"/>
  <c r="AT4" i="8"/>
  <c r="AS4" i="8"/>
  <c r="AQ4" i="8"/>
  <c r="AP4" i="8"/>
  <c r="AO4" i="8"/>
  <c r="AN4" i="8"/>
  <c r="AL4" i="8"/>
  <c r="AK4" i="8"/>
  <c r="AJ4" i="8"/>
  <c r="AI4" i="8"/>
  <c r="AG4" i="8"/>
  <c r="AB4" i="8"/>
  <c r="V4" i="8"/>
  <c r="Q4" i="8"/>
  <c r="J4" i="8"/>
  <c r="G4" i="8"/>
  <c r="V5" i="9"/>
  <c r="Q5" i="9"/>
  <c r="J5" i="9"/>
  <c r="G5" i="9"/>
  <c r="BO4" i="9"/>
  <c r="BN4" i="9"/>
  <c r="BM4" i="9"/>
  <c r="BK4" i="9"/>
  <c r="BJ4" i="9"/>
  <c r="BI4" i="9"/>
  <c r="BH4" i="9"/>
  <c r="BF4" i="9"/>
  <c r="BE4" i="9"/>
  <c r="BD4" i="9"/>
  <c r="BC4" i="9"/>
  <c r="BA4" i="9"/>
  <c r="AZ4" i="9"/>
  <c r="AY4" i="9"/>
  <c r="AX4" i="9"/>
  <c r="AV4" i="9"/>
  <c r="AU4" i="9"/>
  <c r="AT4" i="9"/>
  <c r="AS4" i="9"/>
  <c r="AQ4" i="9"/>
  <c r="AP4" i="9"/>
  <c r="AO4" i="9"/>
  <c r="AN4" i="9"/>
  <c r="AL4" i="9"/>
  <c r="AK4" i="9"/>
  <c r="AJ4" i="9"/>
  <c r="AI4" i="9"/>
  <c r="AG4" i="9"/>
  <c r="AB4" i="9"/>
  <c r="V4" i="9"/>
  <c r="Q4" i="9"/>
  <c r="J4" i="9"/>
  <c r="G4" i="9"/>
  <c r="V5" i="1"/>
  <c r="Q5" i="1"/>
  <c r="J5" i="1"/>
  <c r="G5" i="1"/>
  <c r="BO4" i="1"/>
  <c r="BN4" i="1"/>
  <c r="BM4" i="1"/>
  <c r="BK4" i="1"/>
  <c r="BJ4" i="1"/>
  <c r="BI4" i="1"/>
  <c r="BH4" i="1"/>
  <c r="BF4" i="1"/>
  <c r="BE4" i="1"/>
  <c r="BD4" i="1"/>
  <c r="BC4" i="1"/>
  <c r="BA4" i="1"/>
  <c r="AZ4" i="1"/>
  <c r="AY4" i="1"/>
  <c r="AX4" i="1"/>
  <c r="AV4" i="1"/>
  <c r="AU4" i="1"/>
  <c r="AT4" i="1"/>
  <c r="AS4" i="1"/>
  <c r="AQ4" i="1"/>
  <c r="AP4" i="1"/>
  <c r="AO4" i="1"/>
  <c r="AN4" i="1"/>
  <c r="AL4" i="1"/>
  <c r="AK4" i="1"/>
  <c r="AJ4" i="1"/>
  <c r="AI4" i="1"/>
  <c r="AG4" i="1"/>
  <c r="AB4" i="1"/>
  <c r="V4" i="1"/>
  <c r="Q4" i="1"/>
  <c r="J4" i="1"/>
  <c r="G4" i="1"/>
  <c r="BO4" i="10"/>
  <c r="BN4" i="10"/>
  <c r="BM4" i="10"/>
  <c r="BK4" i="10"/>
  <c r="BJ4" i="10"/>
  <c r="BI4" i="10"/>
  <c r="BH4" i="10"/>
  <c r="BF4" i="10"/>
  <c r="BE4" i="10"/>
  <c r="BD4" i="10"/>
  <c r="BC4" i="10"/>
  <c r="BA4" i="10"/>
  <c r="AZ4" i="10"/>
  <c r="AY4" i="10"/>
  <c r="AX4" i="10"/>
  <c r="AV4" i="10"/>
  <c r="AU4" i="10"/>
  <c r="AT4" i="10"/>
  <c r="AS4" i="10"/>
  <c r="AQ4" i="10"/>
  <c r="AP4" i="10"/>
  <c r="AO4" i="10"/>
  <c r="AN4" i="10"/>
  <c r="AL4" i="10"/>
  <c r="AK4" i="10"/>
  <c r="AJ4" i="10"/>
  <c r="AI4" i="10"/>
  <c r="AG4" i="10"/>
  <c r="AB4" i="10"/>
  <c r="V5" i="10"/>
  <c r="V4" i="10"/>
  <c r="Q5" i="10"/>
  <c r="Q4" i="10"/>
  <c r="J5" i="10"/>
  <c r="J4" i="10"/>
  <c r="G5" i="10"/>
  <c r="G4" i="10"/>
  <c r="T7" i="11" l="1"/>
  <c r="AM4" i="6" s="1"/>
  <c r="Q7" i="11"/>
  <c r="BG4" i="6" s="1"/>
  <c r="N10" i="11"/>
  <c r="BB4" i="6" s="1"/>
  <c r="K20" i="11"/>
  <c r="AW4" i="6" s="1"/>
  <c r="H10" i="11"/>
  <c r="BL4" i="6" s="1"/>
  <c r="E16" i="11"/>
  <c r="AR4" i="6" s="1"/>
  <c r="B74" i="11"/>
  <c r="AH4" i="6" s="1"/>
  <c r="BL4" i="10" l="1"/>
  <c r="BL4" i="8"/>
  <c r="BL4" i="9"/>
  <c r="BL4" i="1"/>
  <c r="BG4" i="10"/>
  <c r="BG4" i="8"/>
  <c r="BG4" i="1"/>
  <c r="BG4" i="9"/>
  <c r="BB4" i="10"/>
  <c r="BB4" i="1"/>
  <c r="BB4" i="9"/>
  <c r="BB4" i="8"/>
  <c r="AW4" i="10"/>
  <c r="AW4" i="1"/>
  <c r="AW4" i="9"/>
  <c r="AW4" i="8"/>
  <c r="AR4" i="10"/>
  <c r="AR4" i="9"/>
  <c r="AR4" i="8"/>
  <c r="AR4" i="1"/>
  <c r="AM4" i="10"/>
  <c r="AM4" i="8"/>
  <c r="AM4" i="9"/>
  <c r="AM4" i="1"/>
  <c r="AH4" i="10"/>
  <c r="AH4" i="8"/>
  <c r="AH4" i="9"/>
  <c r="AH4" i="1"/>
  <c r="AN36" i="1"/>
  <c r="AO36" i="1"/>
  <c r="AN35" i="1"/>
  <c r="AO35" i="1"/>
  <c r="AN34" i="1"/>
  <c r="AO34" i="1"/>
  <c r="AN33" i="1"/>
  <c r="AO33" i="1"/>
  <c r="AN32" i="1"/>
  <c r="AO32" i="1"/>
  <c r="R36" i="10"/>
  <c r="S36" i="10"/>
  <c r="R35" i="10"/>
  <c r="S35" i="10"/>
  <c r="R34" i="10"/>
  <c r="S34" i="10"/>
  <c r="R33" i="10"/>
  <c r="S33" i="10"/>
  <c r="BW64" i="8" l="1"/>
  <c r="BX64" i="8"/>
  <c r="BW63" i="8"/>
  <c r="BX63" i="8"/>
  <c r="BW61" i="8"/>
  <c r="BX61" i="8"/>
  <c r="BW60" i="8"/>
  <c r="BX60" i="8"/>
  <c r="BW59" i="8"/>
  <c r="BX59" i="8"/>
  <c r="BW57" i="8"/>
  <c r="BX57" i="8"/>
  <c r="BL57" i="8"/>
  <c r="BM57" i="8"/>
  <c r="BW56" i="8"/>
  <c r="BX56" i="8"/>
  <c r="BL56" i="8"/>
  <c r="BM56" i="8"/>
  <c r="BW55" i="8"/>
  <c r="BX55" i="8"/>
  <c r="BL55" i="8"/>
  <c r="BM55" i="8"/>
  <c r="BW54" i="8"/>
  <c r="BX54" i="8"/>
  <c r="BL54" i="8"/>
  <c r="BM54" i="8"/>
  <c r="BW53" i="8"/>
  <c r="BX53" i="8"/>
  <c r="BL53" i="8"/>
  <c r="BM53" i="8"/>
  <c r="BW49" i="8"/>
  <c r="BX49" i="8"/>
  <c r="BL49" i="8"/>
  <c r="BM49" i="8"/>
  <c r="BW48" i="8"/>
  <c r="BX48" i="8"/>
  <c r="BL48" i="8"/>
  <c r="BM48" i="8"/>
  <c r="BW47" i="8"/>
  <c r="BX47" i="8"/>
  <c r="BL47" i="8"/>
  <c r="BM47" i="8"/>
  <c r="BW44" i="8"/>
  <c r="BX44" i="8"/>
  <c r="BL44" i="8"/>
  <c r="BM44" i="8"/>
  <c r="BW43" i="8"/>
  <c r="BX43" i="8"/>
  <c r="BL43" i="8"/>
  <c r="BM43" i="8"/>
  <c r="BW42" i="8"/>
  <c r="BX42" i="8"/>
  <c r="BL42" i="8"/>
  <c r="BM42" i="8"/>
  <c r="BW41" i="8"/>
  <c r="BX41" i="8"/>
  <c r="BL41" i="8"/>
  <c r="BM41" i="8"/>
  <c r="BW37" i="8"/>
  <c r="BX37" i="8"/>
  <c r="BL37" i="8"/>
  <c r="BM37" i="8"/>
  <c r="BW36" i="8"/>
  <c r="BX36" i="8"/>
  <c r="BL36" i="8"/>
  <c r="BM36" i="8"/>
  <c r="BW35" i="8"/>
  <c r="BX35" i="8"/>
  <c r="BL35" i="8"/>
  <c r="BM35" i="8"/>
  <c r="BW34" i="8"/>
  <c r="BX34" i="8"/>
  <c r="BL34" i="8"/>
  <c r="BM34" i="8"/>
  <c r="BW33" i="8"/>
  <c r="BX33" i="8"/>
  <c r="BL33" i="8"/>
  <c r="BM33" i="8"/>
  <c r="BW31" i="8"/>
  <c r="BX31" i="8"/>
  <c r="BW30" i="8"/>
  <c r="BX30" i="8"/>
  <c r="BW29" i="8"/>
  <c r="BX29" i="8"/>
  <c r="BW28" i="8"/>
  <c r="BX28" i="8"/>
  <c r="BL28" i="8"/>
  <c r="BM28" i="8"/>
  <c r="BW26" i="8"/>
  <c r="BX26" i="8"/>
  <c r="BW25" i="8"/>
  <c r="BX25" i="8"/>
  <c r="BW24" i="8"/>
  <c r="BX24" i="8"/>
  <c r="BW23" i="8"/>
  <c r="BX23" i="8"/>
  <c r="BW20" i="8"/>
  <c r="BX20" i="8"/>
  <c r="BW18" i="8"/>
  <c r="BX18" i="8"/>
  <c r="BW19" i="8"/>
  <c r="BX19" i="8"/>
  <c r="BW22" i="8"/>
  <c r="BX22" i="8"/>
  <c r="BW12" i="8"/>
  <c r="BX12" i="8"/>
  <c r="BW10" i="8"/>
  <c r="BX10" i="8"/>
  <c r="S45" i="8"/>
  <c r="T45" i="8"/>
  <c r="S44" i="8"/>
  <c r="T44" i="8"/>
  <c r="S43" i="8"/>
  <c r="T43" i="8"/>
  <c r="S42" i="8"/>
  <c r="T42" i="8"/>
  <c r="S41" i="8"/>
  <c r="T41" i="8"/>
  <c r="S40" i="8"/>
  <c r="T40" i="8"/>
  <c r="S39" i="8"/>
  <c r="T39" i="8"/>
  <c r="S38" i="8"/>
  <c r="T38" i="8"/>
  <c r="S37" i="8"/>
  <c r="T37" i="8"/>
  <c r="S36" i="8"/>
  <c r="T36" i="8"/>
  <c r="AD27" i="8"/>
  <c r="AE27" i="8"/>
  <c r="AO26" i="8"/>
  <c r="AP26" i="8"/>
  <c r="AD26" i="8"/>
  <c r="AE26" i="8"/>
  <c r="S26" i="8"/>
  <c r="T26" i="8"/>
  <c r="AO25" i="8"/>
  <c r="AP25" i="8"/>
  <c r="AD25" i="8"/>
  <c r="AE25" i="8"/>
  <c r="S25" i="8"/>
  <c r="T25" i="8"/>
  <c r="AD24" i="8"/>
  <c r="AE24" i="8"/>
  <c r="S24" i="8"/>
  <c r="T24" i="8"/>
  <c r="S23" i="8"/>
  <c r="T23" i="8"/>
  <c r="AO22" i="8"/>
  <c r="AP22" i="8"/>
  <c r="AD22" i="8"/>
  <c r="AE22" i="8"/>
  <c r="S22" i="8"/>
  <c r="T22" i="8"/>
  <c r="S21" i="8"/>
  <c r="T21" i="8"/>
  <c r="AO20" i="8"/>
  <c r="AP20" i="8"/>
  <c r="AD20" i="8"/>
  <c r="AE20" i="8"/>
  <c r="S20" i="8"/>
  <c r="T20" i="8"/>
  <c r="AO19" i="8"/>
  <c r="AP19" i="8"/>
  <c r="AD19" i="8"/>
  <c r="AE19" i="8"/>
  <c r="S19" i="8"/>
  <c r="T19" i="8"/>
  <c r="AO18" i="8"/>
  <c r="AP18" i="8"/>
  <c r="AD18" i="8"/>
  <c r="AE18" i="8"/>
  <c r="S18" i="8"/>
  <c r="T18" i="8"/>
  <c r="AO17" i="8"/>
  <c r="AP17" i="8"/>
  <c r="AD17" i="8"/>
  <c r="AE17" i="8"/>
  <c r="S17" i="8"/>
  <c r="T17" i="8"/>
  <c r="AO16" i="8"/>
  <c r="AP16" i="8"/>
  <c r="AD16" i="8"/>
  <c r="AE16" i="8"/>
  <c r="S16" i="8"/>
  <c r="T16" i="8"/>
  <c r="AO15" i="8"/>
  <c r="AP15" i="8"/>
  <c r="AD15" i="8"/>
  <c r="AE15" i="8"/>
  <c r="S15" i="8"/>
  <c r="T15" i="8"/>
  <c r="AO14" i="8"/>
  <c r="AP14" i="8"/>
  <c r="AD14" i="8"/>
  <c r="AE14" i="8"/>
  <c r="S14" i="8"/>
  <c r="T14" i="8"/>
  <c r="AO13" i="8"/>
  <c r="AP13" i="8"/>
  <c r="AD13" i="8"/>
  <c r="AE13" i="8"/>
  <c r="S13" i="8"/>
  <c r="T13" i="8"/>
  <c r="AO12" i="8"/>
  <c r="AP12" i="8"/>
  <c r="AD12" i="8"/>
  <c r="AE12" i="8"/>
  <c r="S12" i="8"/>
  <c r="T12" i="8"/>
  <c r="AO11" i="8"/>
  <c r="AP11" i="8"/>
  <c r="AD11" i="8"/>
  <c r="AE11" i="8"/>
  <c r="S11" i="8"/>
  <c r="T11" i="8"/>
  <c r="AO10" i="8"/>
  <c r="AP10" i="8"/>
  <c r="AD10" i="8"/>
  <c r="AE10" i="8"/>
  <c r="S10" i="8"/>
  <c r="T10" i="8"/>
  <c r="BK45" i="9"/>
  <c r="BL45" i="9"/>
  <c r="BK44" i="9"/>
  <c r="BL44" i="9"/>
  <c r="BK43" i="9"/>
  <c r="BL43" i="9"/>
  <c r="BK42" i="9"/>
  <c r="BL42" i="9"/>
  <c r="BK41" i="9"/>
  <c r="BL41" i="9"/>
  <c r="BK40" i="9"/>
  <c r="BL40" i="9"/>
  <c r="BK39" i="9"/>
  <c r="BL39" i="9"/>
  <c r="BK38" i="9"/>
  <c r="BL38" i="9"/>
  <c r="BK37" i="9"/>
  <c r="BL37" i="9"/>
  <c r="BK36" i="9"/>
  <c r="BL36" i="9"/>
  <c r="BK35" i="9"/>
  <c r="BL35" i="9"/>
  <c r="BK34" i="9"/>
  <c r="BL34" i="9"/>
  <c r="BK33" i="9"/>
  <c r="BL33" i="9"/>
  <c r="BK32" i="9"/>
  <c r="BL32" i="9"/>
  <c r="BK31" i="9"/>
  <c r="BL31" i="9"/>
  <c r="BK30" i="9"/>
  <c r="BL30" i="9"/>
  <c r="BK29" i="9"/>
  <c r="BL29" i="9"/>
  <c r="BK28" i="9"/>
  <c r="BL28" i="9"/>
  <c r="BV22" i="9"/>
  <c r="BW22" i="9"/>
  <c r="CG20" i="9"/>
  <c r="CH20" i="9"/>
  <c r="BV20" i="9"/>
  <c r="BW20" i="9"/>
  <c r="BK20" i="9"/>
  <c r="BL20" i="9"/>
  <c r="CG19" i="9"/>
  <c r="CH19" i="9"/>
  <c r="BV19" i="9"/>
  <c r="BW19" i="9"/>
  <c r="BK19" i="9"/>
  <c r="BL19" i="9"/>
  <c r="CG18" i="9"/>
  <c r="CH18" i="9"/>
  <c r="BV18" i="9"/>
  <c r="BW18" i="9"/>
  <c r="BK18" i="9"/>
  <c r="BL18" i="9"/>
  <c r="CG17" i="9"/>
  <c r="CH17" i="9"/>
  <c r="BV17" i="9"/>
  <c r="BW17" i="9"/>
  <c r="BK17" i="9"/>
  <c r="BL17" i="9"/>
  <c r="CG16" i="9"/>
  <c r="CH16" i="9"/>
  <c r="BV16" i="9"/>
  <c r="BW16" i="9"/>
  <c r="BK16" i="9"/>
  <c r="BL16" i="9"/>
  <c r="CG15" i="9"/>
  <c r="CH15" i="9"/>
  <c r="BV15" i="9"/>
  <c r="BW15" i="9"/>
  <c r="BK15" i="9"/>
  <c r="BL15" i="9"/>
  <c r="CG14" i="9"/>
  <c r="CH14" i="9"/>
  <c r="BV14" i="9"/>
  <c r="BW14" i="9"/>
  <c r="BK14" i="9"/>
  <c r="BL14" i="9"/>
  <c r="BV13" i="9"/>
  <c r="BW13" i="9"/>
  <c r="BV12" i="9"/>
  <c r="BW12" i="9"/>
  <c r="BV11" i="9"/>
  <c r="BW11" i="9"/>
  <c r="BV10" i="9"/>
  <c r="BW10" i="9"/>
  <c r="AD53" i="9"/>
  <c r="AE53" i="9"/>
  <c r="AD52" i="9"/>
  <c r="AE52" i="9"/>
  <c r="AD51" i="9"/>
  <c r="AE51" i="9"/>
  <c r="AD50" i="9"/>
  <c r="AE50" i="9"/>
  <c r="AD49" i="9"/>
  <c r="AE49" i="9"/>
  <c r="AD48" i="9"/>
  <c r="AE48" i="9"/>
  <c r="AD47" i="9"/>
  <c r="AE47" i="9"/>
  <c r="AD46" i="9"/>
  <c r="AE46" i="9"/>
  <c r="AD45" i="9"/>
  <c r="AE45" i="9"/>
  <c r="AO44" i="9"/>
  <c r="AP44" i="9"/>
  <c r="AD44" i="9"/>
  <c r="AE44" i="9"/>
  <c r="S44" i="9"/>
  <c r="T44" i="9"/>
  <c r="AD43" i="9"/>
  <c r="AE43" i="9"/>
  <c r="AD42" i="9"/>
  <c r="AE42" i="9"/>
  <c r="AD41" i="9"/>
  <c r="AE41" i="9"/>
  <c r="AD40" i="9"/>
  <c r="AE40" i="9"/>
  <c r="AO39" i="9"/>
  <c r="AP39" i="9"/>
  <c r="AD39" i="9"/>
  <c r="AE39" i="9"/>
  <c r="S39" i="9"/>
  <c r="T39" i="9"/>
  <c r="AO38" i="9"/>
  <c r="AP38" i="9"/>
  <c r="AD38" i="9"/>
  <c r="AE38" i="9"/>
  <c r="S38" i="9"/>
  <c r="T38" i="9"/>
  <c r="AO37" i="9"/>
  <c r="AP37" i="9"/>
  <c r="AD37" i="9"/>
  <c r="AE37" i="9"/>
  <c r="S37" i="9"/>
  <c r="T37" i="9"/>
  <c r="AO36" i="9"/>
  <c r="AP36" i="9"/>
  <c r="AD36" i="9"/>
  <c r="AE36" i="9"/>
  <c r="S36" i="9"/>
  <c r="T36" i="9"/>
  <c r="AO35" i="9"/>
  <c r="AP35" i="9"/>
  <c r="AD35" i="9"/>
  <c r="AE35" i="9"/>
  <c r="S35" i="9"/>
  <c r="T35" i="9"/>
  <c r="AO34" i="9"/>
  <c r="AP34" i="9"/>
  <c r="AD34" i="9"/>
  <c r="AE34" i="9"/>
  <c r="S34" i="9"/>
  <c r="T34" i="9"/>
  <c r="AD33" i="9"/>
  <c r="AE33" i="9"/>
  <c r="AD32" i="9"/>
  <c r="AE32" i="9"/>
  <c r="AD31" i="9"/>
  <c r="AE31" i="9"/>
  <c r="AD30" i="9"/>
  <c r="AE30" i="9"/>
  <c r="AD29" i="9"/>
  <c r="AE29" i="9"/>
  <c r="AD28" i="9"/>
  <c r="AE28" i="9"/>
  <c r="AD27" i="9"/>
  <c r="AE27" i="9"/>
  <c r="AD26" i="9"/>
  <c r="AE26" i="9"/>
  <c r="AO25" i="9"/>
  <c r="AP25" i="9"/>
  <c r="AD25" i="9"/>
  <c r="AE25" i="9"/>
  <c r="S25" i="9"/>
  <c r="T25" i="9"/>
  <c r="AO24" i="9"/>
  <c r="AP24" i="9"/>
  <c r="AD24" i="9"/>
  <c r="AE24" i="9"/>
  <c r="S24" i="9"/>
  <c r="T24" i="9"/>
  <c r="AO23" i="9"/>
  <c r="AP23" i="9"/>
  <c r="AD23" i="9"/>
  <c r="AE23" i="9"/>
  <c r="S23" i="9"/>
  <c r="T23" i="9"/>
  <c r="AD22" i="9"/>
  <c r="AE22" i="9"/>
  <c r="AO21" i="9"/>
  <c r="AP21" i="9"/>
  <c r="AD21" i="9"/>
  <c r="AE21" i="9"/>
  <c r="S21" i="9"/>
  <c r="T21" i="9"/>
  <c r="AD20" i="9"/>
  <c r="AE20" i="9"/>
  <c r="AO19" i="9"/>
  <c r="AP19" i="9"/>
  <c r="AD19" i="9"/>
  <c r="AE19" i="9"/>
  <c r="S19" i="9"/>
  <c r="T19" i="9"/>
  <c r="AO18" i="9"/>
  <c r="AP18" i="9"/>
  <c r="AD18" i="9"/>
  <c r="AE18" i="9"/>
  <c r="S18" i="9"/>
  <c r="T18" i="9"/>
  <c r="AO17" i="9"/>
  <c r="AP17" i="9"/>
  <c r="AD17" i="9"/>
  <c r="AE17" i="9"/>
  <c r="S17" i="9"/>
  <c r="T17" i="9"/>
  <c r="AO16" i="9"/>
  <c r="AP16" i="9"/>
  <c r="AD16" i="9"/>
  <c r="AE16" i="9"/>
  <c r="S16" i="9"/>
  <c r="T16" i="9"/>
  <c r="AO15" i="9"/>
  <c r="AP15" i="9"/>
  <c r="AD15" i="9"/>
  <c r="AE15" i="9"/>
  <c r="S15" i="9"/>
  <c r="T15" i="9"/>
  <c r="AO14" i="9"/>
  <c r="AP14" i="9"/>
  <c r="AD14" i="9"/>
  <c r="AE14" i="9"/>
  <c r="S14" i="9"/>
  <c r="T14" i="9"/>
  <c r="AD13" i="9"/>
  <c r="AE13" i="9"/>
  <c r="AO12" i="9"/>
  <c r="AP12" i="9"/>
  <c r="AD12" i="9"/>
  <c r="AE12" i="9"/>
  <c r="S12" i="9"/>
  <c r="T12" i="9"/>
  <c r="AO11" i="9"/>
  <c r="AP11" i="9"/>
  <c r="AD11" i="9"/>
  <c r="AE11" i="9"/>
  <c r="S11" i="9"/>
  <c r="T11" i="9"/>
  <c r="AO10" i="9"/>
  <c r="AP10" i="9"/>
  <c r="AD10" i="9"/>
  <c r="AE10" i="9"/>
  <c r="S10" i="9"/>
  <c r="T10" i="9"/>
  <c r="BU50" i="1"/>
  <c r="BV50" i="1"/>
  <c r="BJ50" i="1"/>
  <c r="BK50" i="1"/>
  <c r="BU49" i="1"/>
  <c r="BV49" i="1"/>
  <c r="BJ49" i="1"/>
  <c r="BK49" i="1"/>
  <c r="BU48" i="1"/>
  <c r="BV48" i="1"/>
  <c r="BJ48" i="1"/>
  <c r="BK48" i="1"/>
  <c r="BU47" i="1"/>
  <c r="BV47" i="1"/>
  <c r="BJ47" i="1"/>
  <c r="BK47" i="1"/>
  <c r="BU46" i="1"/>
  <c r="BV46" i="1"/>
  <c r="BJ46" i="1"/>
  <c r="BK46" i="1"/>
  <c r="BU45" i="1"/>
  <c r="BV45" i="1"/>
  <c r="BJ45" i="1"/>
  <c r="BK45" i="1"/>
  <c r="BU44" i="1"/>
  <c r="BV44" i="1"/>
  <c r="BJ44" i="1"/>
  <c r="BK44" i="1"/>
  <c r="BU43" i="1"/>
  <c r="BV43" i="1"/>
  <c r="BJ43" i="1"/>
  <c r="BK43" i="1"/>
  <c r="BU42" i="1"/>
  <c r="BV42" i="1"/>
  <c r="BJ42" i="1"/>
  <c r="BK42" i="1"/>
  <c r="R43" i="1"/>
  <c r="S43" i="1"/>
  <c r="R42" i="1"/>
  <c r="S42" i="1"/>
  <c r="R41" i="1"/>
  <c r="S41" i="1"/>
  <c r="AC36" i="1"/>
  <c r="AD36" i="1"/>
  <c r="R36" i="1"/>
  <c r="S36" i="1"/>
  <c r="AC35" i="1"/>
  <c r="AD35" i="1"/>
  <c r="R35" i="1"/>
  <c r="S35" i="1"/>
  <c r="AC34" i="1"/>
  <c r="AD34" i="1"/>
  <c r="R34" i="1"/>
  <c r="S34" i="1"/>
  <c r="AC33" i="1"/>
  <c r="AD33" i="1"/>
  <c r="R33" i="1"/>
  <c r="S33" i="1"/>
  <c r="AC32" i="1"/>
  <c r="AD32" i="1"/>
  <c r="R32" i="1"/>
  <c r="S32" i="1"/>
  <c r="AN25" i="1"/>
  <c r="AO25" i="1"/>
  <c r="AC25" i="1"/>
  <c r="AD25" i="1"/>
  <c r="R25" i="1"/>
  <c r="S25" i="1"/>
  <c r="AN24" i="1"/>
  <c r="AO24" i="1"/>
  <c r="AC24" i="1"/>
  <c r="AD24" i="1"/>
  <c r="R24" i="1"/>
  <c r="S24" i="1"/>
  <c r="AN23" i="1"/>
  <c r="AO23" i="1"/>
  <c r="AC23" i="1"/>
  <c r="AD23" i="1"/>
  <c r="R23" i="1"/>
  <c r="S23" i="1"/>
  <c r="AN22" i="1"/>
  <c r="AO22" i="1"/>
  <c r="R22" i="1"/>
  <c r="S22" i="1"/>
  <c r="AN21" i="1"/>
  <c r="AO21" i="1"/>
  <c r="AC21" i="1"/>
  <c r="AD21" i="1"/>
  <c r="R21" i="1"/>
  <c r="S21" i="1"/>
  <c r="AN20" i="1"/>
  <c r="AO20" i="1"/>
  <c r="AC20" i="1"/>
  <c r="AD20" i="1"/>
  <c r="R20" i="1"/>
  <c r="S20" i="1"/>
  <c r="AN19" i="1"/>
  <c r="AO19" i="1"/>
  <c r="AC19" i="1"/>
  <c r="AD19" i="1"/>
  <c r="R19" i="1"/>
  <c r="S19" i="1"/>
  <c r="AN18" i="1"/>
  <c r="AO18" i="1"/>
  <c r="AC18" i="1"/>
  <c r="AD18" i="1"/>
  <c r="R18" i="1"/>
  <c r="S18" i="1"/>
  <c r="AN17" i="1"/>
  <c r="AO17" i="1"/>
  <c r="AC17" i="1"/>
  <c r="AD17" i="1"/>
  <c r="R17" i="1"/>
  <c r="S17" i="1"/>
  <c r="AN16" i="1"/>
  <c r="AO16" i="1"/>
  <c r="AC16" i="1"/>
  <c r="AD16" i="1"/>
  <c r="R16" i="1"/>
  <c r="S16" i="1"/>
  <c r="AN15" i="1"/>
  <c r="AO15" i="1"/>
  <c r="AC15" i="1"/>
  <c r="AD15" i="1"/>
  <c r="R15" i="1"/>
  <c r="S15" i="1"/>
  <c r="AN14" i="1"/>
  <c r="AO14" i="1"/>
  <c r="AC14" i="1"/>
  <c r="AD14" i="1"/>
  <c r="R14" i="1"/>
  <c r="S14" i="1"/>
  <c r="AN13" i="1"/>
  <c r="AO13" i="1"/>
  <c r="AC13" i="1"/>
  <c r="AD13" i="1"/>
  <c r="R13" i="1"/>
  <c r="S13" i="1"/>
  <c r="AN12" i="1"/>
  <c r="AO12" i="1"/>
  <c r="AC12" i="1"/>
  <c r="AD12" i="1"/>
  <c r="R12" i="1"/>
  <c r="S12" i="1"/>
  <c r="AN11" i="1"/>
  <c r="AO11" i="1"/>
  <c r="AC11" i="1"/>
  <c r="AD11" i="1"/>
  <c r="R11" i="1"/>
  <c r="S11" i="1"/>
  <c r="AN10" i="1"/>
  <c r="AO10" i="1"/>
  <c r="AC10" i="1"/>
  <c r="AD10" i="1"/>
  <c r="R10" i="1"/>
  <c r="S10" i="1"/>
  <c r="CB49" i="10"/>
  <c r="CC49" i="10"/>
  <c r="CB48" i="10"/>
  <c r="CC48" i="10"/>
  <c r="CB47" i="10"/>
  <c r="CC47" i="10"/>
  <c r="CB46" i="10"/>
  <c r="CC46" i="10"/>
  <c r="CB45" i="10"/>
  <c r="CC45" i="10"/>
  <c r="CB44" i="10"/>
  <c r="CC44" i="10"/>
  <c r="CB43" i="10"/>
  <c r="CC43" i="10"/>
  <c r="CB42" i="10"/>
  <c r="CC42" i="10"/>
  <c r="CB41" i="10"/>
  <c r="CC41" i="10"/>
  <c r="CB40" i="10"/>
  <c r="CC40" i="10"/>
  <c r="CB39" i="10"/>
  <c r="CC39" i="10"/>
  <c r="CB38" i="10"/>
  <c r="CC38" i="10"/>
  <c r="CB37" i="10"/>
  <c r="CC37" i="10"/>
  <c r="CB36" i="10"/>
  <c r="CC36" i="10"/>
  <c r="CB35" i="10"/>
  <c r="CC35" i="10"/>
  <c r="BJ49" i="10"/>
  <c r="BK49" i="10"/>
  <c r="BJ48" i="10"/>
  <c r="BK48" i="10"/>
  <c r="BJ47" i="10"/>
  <c r="BK47" i="10"/>
  <c r="BJ46" i="10"/>
  <c r="BK46" i="10"/>
  <c r="BJ45" i="10"/>
  <c r="BK45" i="10"/>
  <c r="BJ44" i="10"/>
  <c r="BK44" i="10"/>
  <c r="BJ43" i="10"/>
  <c r="BK43" i="10"/>
  <c r="BJ42" i="10"/>
  <c r="BK42" i="10"/>
  <c r="BJ41" i="10"/>
  <c r="BK41" i="10"/>
  <c r="BJ40" i="10"/>
  <c r="BK40" i="10"/>
  <c r="BJ39" i="10"/>
  <c r="BK39" i="10"/>
  <c r="BJ38" i="10"/>
  <c r="BK38" i="10"/>
  <c r="BJ37" i="10"/>
  <c r="BK37" i="10"/>
  <c r="BJ36" i="10"/>
  <c r="BK36" i="10"/>
  <c r="BJ35" i="10"/>
  <c r="BK35" i="10"/>
  <c r="BJ34" i="10"/>
  <c r="BK34" i="10"/>
  <c r="BK10" i="10"/>
  <c r="BL10" i="10"/>
  <c r="BK23" i="10"/>
  <c r="BL23" i="10"/>
  <c r="BK22" i="10"/>
  <c r="BL22" i="10"/>
  <c r="BK16" i="10"/>
  <c r="BL16" i="10"/>
  <c r="BK15" i="10"/>
  <c r="BL15" i="10"/>
  <c r="BK14" i="10"/>
  <c r="BL14" i="10"/>
  <c r="BK13" i="10"/>
  <c r="BL13" i="10"/>
  <c r="BK12" i="10"/>
  <c r="BL12" i="10"/>
  <c r="BK11" i="10"/>
  <c r="BL11" i="10"/>
  <c r="R54" i="10"/>
  <c r="S54" i="10"/>
  <c r="Q60" i="10"/>
  <c r="R60" i="10"/>
  <c r="Q59" i="10"/>
  <c r="R59" i="10"/>
  <c r="AC48" i="10"/>
  <c r="AD48" i="10"/>
  <c r="R48" i="10"/>
  <c r="S48" i="10"/>
  <c r="AC47" i="10"/>
  <c r="AD47" i="10"/>
  <c r="R47" i="10"/>
  <c r="S47" i="10"/>
  <c r="AC46" i="10"/>
  <c r="AD46" i="10"/>
  <c r="R46" i="10"/>
  <c r="S46" i="10"/>
  <c r="AC45" i="10"/>
  <c r="AD45" i="10"/>
  <c r="R45" i="10"/>
  <c r="S45" i="10"/>
  <c r="AC44" i="10"/>
  <c r="AD44" i="10"/>
  <c r="R44" i="10"/>
  <c r="S44" i="10"/>
  <c r="AC43" i="10"/>
  <c r="AD43" i="10"/>
  <c r="R43" i="10"/>
  <c r="S43" i="10"/>
  <c r="AC42" i="10"/>
  <c r="AD42" i="10"/>
  <c r="R42" i="10"/>
  <c r="S42" i="10"/>
  <c r="AM35" i="10"/>
  <c r="AN35" i="10"/>
  <c r="AM34" i="10"/>
  <c r="AN34" i="10"/>
  <c r="AM33" i="10"/>
  <c r="AN33" i="10"/>
  <c r="AN27" i="10"/>
  <c r="AO27" i="10"/>
  <c r="AC27" i="10"/>
  <c r="AD27" i="10"/>
  <c r="R27" i="10"/>
  <c r="S27" i="10"/>
  <c r="AN26" i="10"/>
  <c r="AO26" i="10"/>
  <c r="AC26" i="10"/>
  <c r="AD26" i="10"/>
  <c r="R26" i="10"/>
  <c r="S26" i="10"/>
  <c r="AN25" i="10"/>
  <c r="AO25" i="10"/>
  <c r="AC25" i="10"/>
  <c r="AD25" i="10"/>
  <c r="R25" i="10"/>
  <c r="S25" i="10"/>
  <c r="AN24" i="10"/>
  <c r="AO24" i="10"/>
  <c r="AC24" i="10"/>
  <c r="AD24" i="10"/>
  <c r="R24" i="10"/>
  <c r="S24" i="10"/>
  <c r="AN23" i="10"/>
  <c r="AO23" i="10"/>
  <c r="AC23" i="10"/>
  <c r="AD23" i="10"/>
  <c r="R23" i="10"/>
  <c r="S23" i="10"/>
  <c r="AN22" i="10"/>
  <c r="AO22" i="10"/>
  <c r="AC22" i="10"/>
  <c r="AD22" i="10"/>
  <c r="R22" i="10"/>
  <c r="S22" i="10"/>
  <c r="AN21" i="10"/>
  <c r="AO21" i="10"/>
  <c r="AC21" i="10"/>
  <c r="AD21" i="10"/>
  <c r="R21" i="10"/>
  <c r="S21" i="10"/>
  <c r="AN20" i="10"/>
  <c r="AO20" i="10"/>
  <c r="AC20" i="10"/>
  <c r="AD20" i="10"/>
  <c r="R20" i="10"/>
  <c r="S20" i="10"/>
  <c r="AN14" i="10"/>
  <c r="AO14" i="10"/>
  <c r="AC14" i="10"/>
  <c r="AD14" i="10"/>
  <c r="R14" i="10"/>
  <c r="S14" i="10"/>
  <c r="AN13" i="10"/>
  <c r="AO13" i="10"/>
  <c r="AC13" i="10"/>
  <c r="AD13" i="10"/>
  <c r="R13" i="10"/>
  <c r="S13" i="10"/>
  <c r="AN12" i="10"/>
  <c r="AO12" i="10"/>
  <c r="AC12" i="10"/>
  <c r="AD12" i="10"/>
  <c r="R12" i="10"/>
  <c r="S12" i="10"/>
  <c r="AN11" i="10"/>
  <c r="AO11" i="10"/>
  <c r="AC11" i="10"/>
  <c r="AD11" i="10"/>
  <c r="R11" i="10"/>
  <c r="S11" i="10"/>
  <c r="AN10" i="10"/>
  <c r="AO10" i="10"/>
  <c r="AC10" i="10"/>
  <c r="AD10" i="10"/>
  <c r="R10" i="10"/>
  <c r="S10" i="10"/>
  <c r="CF55" i="6"/>
  <c r="CG55" i="6"/>
  <c r="BU55" i="6"/>
  <c r="BV55" i="6"/>
  <c r="CF54" i="6"/>
  <c r="CG54" i="6"/>
  <c r="BU54" i="6"/>
  <c r="BV54" i="6"/>
  <c r="CF53" i="6"/>
  <c r="CG53" i="6"/>
  <c r="BU53" i="6"/>
  <c r="BV53" i="6"/>
  <c r="CF52" i="6"/>
  <c r="CG52" i="6"/>
  <c r="CF51" i="6"/>
  <c r="CG51" i="6"/>
  <c r="CF50" i="6"/>
  <c r="CG50" i="6"/>
  <c r="CF49" i="6"/>
  <c r="CG49" i="6"/>
  <c r="BU49" i="6"/>
  <c r="BV49" i="6"/>
  <c r="BU41" i="6"/>
  <c r="BV41" i="6"/>
  <c r="BU40" i="6"/>
  <c r="BV40" i="6"/>
  <c r="BU39" i="6"/>
  <c r="BV39" i="6"/>
  <c r="BU38" i="6"/>
  <c r="BV38" i="6"/>
  <c r="BU37" i="6"/>
  <c r="BV37" i="6"/>
  <c r="BU36" i="6"/>
  <c r="BV36" i="6"/>
  <c r="BU35" i="6"/>
  <c r="BV35" i="6"/>
  <c r="BU29" i="6"/>
  <c r="BV29" i="6"/>
  <c r="BU28" i="6"/>
  <c r="BV28" i="6"/>
  <c r="BU27" i="6"/>
  <c r="BV27" i="6"/>
  <c r="BU26" i="6"/>
  <c r="BV26" i="6"/>
  <c r="BU25" i="6"/>
  <c r="BV25" i="6"/>
  <c r="BU24" i="6"/>
  <c r="BV24" i="6"/>
  <c r="BU23" i="6"/>
  <c r="BV23" i="6"/>
  <c r="CF16" i="6"/>
  <c r="CG16" i="6"/>
  <c r="CF15" i="6"/>
  <c r="CG15" i="6"/>
  <c r="CF14" i="6"/>
  <c r="CG14" i="6"/>
  <c r="BU14" i="6"/>
  <c r="BV14" i="6"/>
  <c r="CF13" i="6"/>
  <c r="CG13" i="6"/>
  <c r="BU13" i="6"/>
  <c r="BV13" i="6"/>
  <c r="CF12" i="6"/>
  <c r="CG12" i="6"/>
  <c r="BU12" i="6"/>
  <c r="BV12" i="6"/>
  <c r="CF11" i="6"/>
  <c r="CG11" i="6"/>
  <c r="BU11" i="6"/>
  <c r="BV11" i="6"/>
  <c r="CF10" i="6"/>
  <c r="CG10" i="6"/>
  <c r="BU10" i="6"/>
  <c r="BV10" i="6"/>
  <c r="AC58" i="6"/>
  <c r="AD58" i="6"/>
  <c r="R58" i="6"/>
  <c r="S58" i="6"/>
  <c r="R57" i="6"/>
  <c r="S57" i="6"/>
  <c r="R56" i="6"/>
  <c r="S56" i="6"/>
  <c r="R55" i="6"/>
  <c r="S55" i="6"/>
  <c r="R49" i="6"/>
  <c r="S49" i="6"/>
  <c r="R48" i="6"/>
  <c r="S48" i="6"/>
  <c r="R47" i="6"/>
  <c r="S47" i="6"/>
  <c r="R46" i="6"/>
  <c r="S46" i="6"/>
  <c r="R45" i="6"/>
  <c r="S45" i="6"/>
  <c r="R44" i="6"/>
  <c r="S44" i="6"/>
  <c r="R43" i="6"/>
  <c r="S43" i="6"/>
  <c r="AC42" i="6"/>
  <c r="AD42" i="6"/>
  <c r="R42" i="6"/>
  <c r="S42" i="6"/>
  <c r="AC41" i="6"/>
  <c r="AD41" i="6"/>
  <c r="R41" i="6"/>
  <c r="S41" i="6"/>
  <c r="AC40" i="6"/>
  <c r="AD40" i="6"/>
  <c r="R40" i="6"/>
  <c r="S40" i="6"/>
  <c r="AY34" i="6"/>
  <c r="AZ34" i="6"/>
  <c r="AY33" i="6"/>
  <c r="AZ33" i="6"/>
  <c r="AY32" i="6"/>
  <c r="AZ32" i="6"/>
  <c r="AY31" i="6"/>
  <c r="AZ31" i="6"/>
  <c r="AY30" i="6"/>
  <c r="AZ30" i="6"/>
  <c r="AY29" i="6"/>
  <c r="AZ29" i="6"/>
  <c r="AY28" i="6"/>
  <c r="AZ28" i="6"/>
  <c r="AY27" i="6"/>
  <c r="AZ27" i="6"/>
  <c r="AY26" i="6"/>
  <c r="AZ26" i="6"/>
  <c r="AN26" i="6"/>
  <c r="AO26" i="6"/>
  <c r="AC26" i="6"/>
  <c r="AD26" i="6"/>
  <c r="R26" i="6"/>
  <c r="S26" i="6"/>
  <c r="AY25" i="6"/>
  <c r="AZ25" i="6"/>
  <c r="AC25" i="6"/>
  <c r="AD25" i="6"/>
  <c r="R25" i="6"/>
  <c r="S25" i="6"/>
  <c r="AY24" i="6"/>
  <c r="AZ24" i="6"/>
  <c r="AC24" i="6"/>
  <c r="AD24" i="6"/>
  <c r="R24" i="6"/>
  <c r="S24" i="6"/>
  <c r="AY23" i="6"/>
  <c r="AZ23" i="6"/>
  <c r="AC23" i="6"/>
  <c r="AD23" i="6"/>
  <c r="R23" i="6"/>
  <c r="S23" i="6"/>
  <c r="AY22" i="6"/>
  <c r="AZ22" i="6"/>
  <c r="AN22" i="6"/>
  <c r="AO22" i="6"/>
  <c r="R22" i="6"/>
  <c r="S22" i="6"/>
  <c r="AY21" i="6"/>
  <c r="AZ21" i="6"/>
  <c r="AN21" i="6"/>
  <c r="AO21" i="6"/>
  <c r="R21" i="6"/>
  <c r="S21" i="6"/>
  <c r="AY20" i="6"/>
  <c r="AZ20" i="6"/>
  <c r="AN20" i="6"/>
  <c r="AO20" i="6"/>
  <c r="R20" i="6"/>
  <c r="S20" i="6"/>
  <c r="AY19" i="6"/>
  <c r="AZ19" i="6"/>
  <c r="AN19" i="6"/>
  <c r="AO19" i="6"/>
  <c r="R19" i="6"/>
  <c r="S19" i="6"/>
  <c r="AY18" i="6"/>
  <c r="AZ18" i="6"/>
  <c r="R18" i="6"/>
  <c r="S18" i="6"/>
  <c r="AY17" i="6"/>
  <c r="AZ17" i="6"/>
  <c r="R17" i="6"/>
  <c r="S17" i="6"/>
  <c r="AY16" i="6"/>
  <c r="AZ16" i="6"/>
  <c r="R16" i="6"/>
  <c r="S16" i="6"/>
  <c r="AY15" i="6"/>
  <c r="AZ15" i="6"/>
  <c r="AC15" i="6"/>
  <c r="AD15" i="6"/>
  <c r="R15" i="6"/>
  <c r="S15" i="6"/>
  <c r="AY14" i="6"/>
  <c r="AZ14" i="6"/>
  <c r="AC14" i="6"/>
  <c r="AD14" i="6"/>
  <c r="R14" i="6"/>
  <c r="S14" i="6"/>
  <c r="AY13" i="6"/>
  <c r="AZ13" i="6"/>
  <c r="R13" i="6"/>
  <c r="S13" i="6"/>
  <c r="AY12" i="6"/>
  <c r="AZ12" i="6"/>
  <c r="AC12" i="6"/>
  <c r="AD12" i="6"/>
  <c r="R12" i="6"/>
  <c r="S12" i="6"/>
  <c r="AY11" i="6"/>
  <c r="AZ11" i="6"/>
  <c r="AC11" i="6"/>
  <c r="AD11" i="6"/>
  <c r="R11" i="6"/>
  <c r="S11" i="6"/>
  <c r="AY10" i="6"/>
  <c r="AZ10" i="6"/>
  <c r="AN10" i="6"/>
  <c r="AO10" i="6"/>
  <c r="AC10" i="6"/>
  <c r="AD10" i="6"/>
  <c r="R10" i="6"/>
  <c r="S10" i="6"/>
  <c r="B1" i="8"/>
  <c r="B1" i="9"/>
  <c r="B1" i="1"/>
  <c r="B1" i="10"/>
  <c r="B1" i="6"/>
  <c r="BW33" i="10" l="1"/>
  <c r="BS33" i="10"/>
  <c r="BE33" i="10"/>
  <c r="BA33" i="10"/>
  <c r="BL34" i="6" l="1"/>
  <c r="BF21" i="10" l="1"/>
  <c r="BB21" i="10"/>
  <c r="BF9" i="10"/>
  <c r="BB9" i="10"/>
  <c r="J9" i="9" l="1"/>
  <c r="I9" i="1"/>
  <c r="I9" i="6"/>
  <c r="I9" i="10"/>
  <c r="X54" i="6"/>
  <c r="T54" i="6"/>
  <c r="N35" i="8" l="1"/>
  <c r="J35" i="8"/>
  <c r="BR9" i="8"/>
  <c r="BN9" i="8"/>
  <c r="BG9" i="8"/>
  <c r="BC9" i="8"/>
  <c r="AJ9" i="8"/>
  <c r="AF9" i="8"/>
  <c r="Y9" i="8"/>
  <c r="U9" i="8"/>
  <c r="N9" i="8"/>
  <c r="J9" i="8"/>
  <c r="BF27" i="9"/>
  <c r="BB27" i="9"/>
  <c r="CB9" i="9"/>
  <c r="BX9" i="9"/>
  <c r="BQ9" i="9"/>
  <c r="BM9" i="9"/>
  <c r="BF9" i="9"/>
  <c r="BB9" i="9"/>
  <c r="AJ9" i="9"/>
  <c r="AF9" i="9"/>
  <c r="Y9" i="9"/>
  <c r="U9" i="9"/>
  <c r="N9" i="9"/>
  <c r="BP41" i="1"/>
  <c r="BL41" i="1"/>
  <c r="BE41" i="1"/>
  <c r="BA41" i="1"/>
  <c r="M40" i="1"/>
  <c r="I40" i="1"/>
  <c r="AI31" i="1"/>
  <c r="AE31" i="1"/>
  <c r="X31" i="1"/>
  <c r="T31" i="1"/>
  <c r="M31" i="1"/>
  <c r="I31" i="1"/>
  <c r="AI9" i="1"/>
  <c r="AE9" i="1"/>
  <c r="X9" i="1"/>
  <c r="T9" i="1"/>
  <c r="M9" i="1"/>
  <c r="L58" i="10"/>
  <c r="H58" i="10"/>
  <c r="M53" i="10"/>
  <c r="I53" i="10"/>
  <c r="X41" i="10"/>
  <c r="T41" i="10"/>
  <c r="M41" i="10"/>
  <c r="I41" i="10"/>
  <c r="AH32" i="10"/>
  <c r="AD32" i="10"/>
  <c r="M32" i="10"/>
  <c r="I32" i="10"/>
  <c r="AI19" i="10"/>
  <c r="AE19" i="10"/>
  <c r="X19" i="10"/>
  <c r="T19" i="10"/>
  <c r="M19" i="10"/>
  <c r="I19" i="10"/>
  <c r="AI9" i="10"/>
  <c r="AE9" i="10"/>
  <c r="X9" i="10"/>
  <c r="T9" i="10"/>
  <c r="M9" i="10"/>
  <c r="M54" i="6"/>
  <c r="I54" i="6"/>
  <c r="CA48" i="6"/>
  <c r="BW48" i="6"/>
  <c r="BP48" i="6"/>
  <c r="BL48" i="6"/>
  <c r="X39" i="6"/>
  <c r="T39" i="6"/>
  <c r="M39" i="6"/>
  <c r="I39" i="6"/>
  <c r="BP34" i="6"/>
  <c r="BP22" i="6"/>
  <c r="BL22" i="6"/>
  <c r="CA9" i="6"/>
  <c r="BW9" i="6"/>
  <c r="BP9" i="6"/>
  <c r="BL9" i="6"/>
  <c r="AT9" i="6"/>
  <c r="AP9" i="6"/>
  <c r="AI9" i="6"/>
  <c r="AE9" i="6"/>
  <c r="X9" i="6"/>
  <c r="T9" i="6"/>
  <c r="M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梅津　幸子</author>
  </authors>
  <commentList>
    <comment ref="N3" authorId="0" shapeId="0" xr:uid="{00000000-0006-0000-0500-000001000000}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<sst xmlns="http://schemas.openxmlformats.org/spreadsheetml/2006/main" count="708" uniqueCount="484">
  <si>
    <t>土地改
良区費</t>
    <rPh sb="0" eb="2">
      <t>トチ</t>
    </rPh>
    <rPh sb="2" eb="5">
      <t>カイリョウ</t>
    </rPh>
    <rPh sb="5" eb="6">
      <t>ク</t>
    </rPh>
    <rPh sb="6" eb="7">
      <t>ヒ</t>
    </rPh>
    <phoneticPr fontId="2"/>
  </si>
  <si>
    <t>単位：ａ</t>
    <rPh sb="0" eb="2">
      <t>タンイ</t>
    </rPh>
    <phoneticPr fontId="2"/>
  </si>
  <si>
    <t>平均値種類</t>
    <rPh sb="0" eb="3">
      <t>ヘイキンチ</t>
    </rPh>
    <rPh sb="3" eb="5">
      <t>シュルイ</t>
    </rPh>
    <phoneticPr fontId="2"/>
  </si>
  <si>
    <t>１　生産費総括</t>
    <rPh sb="2" eb="5">
      <t>セイサンヒ</t>
    </rPh>
    <rPh sb="5" eb="7">
      <t>ソウカツ</t>
    </rPh>
    <phoneticPr fontId="2"/>
  </si>
  <si>
    <t>単位：円</t>
    <rPh sb="0" eb="2">
      <t>タンイ</t>
    </rPh>
    <rPh sb="3" eb="4">
      <t>エン</t>
    </rPh>
    <phoneticPr fontId="2"/>
  </si>
  <si>
    <t>単位：円、kg</t>
    <rPh sb="0" eb="2">
      <t>タンイ</t>
    </rPh>
    <rPh sb="3" eb="4">
      <t>エン</t>
    </rPh>
    <phoneticPr fontId="2"/>
  </si>
  <si>
    <t>単位：円、ａ</t>
    <rPh sb="0" eb="2">
      <t>タンイ</t>
    </rPh>
    <rPh sb="3" eb="4">
      <t>エン</t>
    </rPh>
    <phoneticPr fontId="2"/>
  </si>
  <si>
    <t>単位：時間、円</t>
    <rPh sb="0" eb="2">
      <t>タンイ</t>
    </rPh>
    <rPh sb="3" eb="5">
      <t>ジカン</t>
    </rPh>
    <rPh sb="6" eb="7">
      <t>エン</t>
    </rPh>
    <phoneticPr fontId="2"/>
  </si>
  <si>
    <t>単位：時間</t>
    <rPh sb="0" eb="2">
      <t>タンイ</t>
    </rPh>
    <rPh sb="3" eb="5">
      <t>ジカン</t>
    </rPh>
    <phoneticPr fontId="2"/>
  </si>
  <si>
    <t>単位：枚、ａ</t>
    <rPh sb="0" eb="2">
      <t>タンイ</t>
    </rPh>
    <rPh sb="3" eb="4">
      <t>マイ</t>
    </rPh>
    <phoneticPr fontId="2"/>
  </si>
  <si>
    <t>稲わら(もみがら含む)</t>
    <rPh sb="0" eb="1">
      <t>イナ</t>
    </rPh>
    <rPh sb="8" eb="9">
      <t>フク</t>
    </rPh>
    <phoneticPr fontId="2"/>
  </si>
  <si>
    <t>購入</t>
    <rPh sb="0" eb="2">
      <t>コウニュウ</t>
    </rPh>
    <phoneticPr fontId="2"/>
  </si>
  <si>
    <t>償却</t>
    <rPh sb="0" eb="2">
      <t>ショウキャク</t>
    </rPh>
    <phoneticPr fontId="2"/>
  </si>
  <si>
    <t>計</t>
    <rPh sb="0" eb="1">
      <t>ケイ</t>
    </rPh>
    <phoneticPr fontId="2"/>
  </si>
  <si>
    <t>物財費</t>
    <rPh sb="0" eb="1">
      <t>ブツ</t>
    </rPh>
    <rPh sb="1" eb="3">
      <t>ザイヒ</t>
    </rPh>
    <phoneticPr fontId="2"/>
  </si>
  <si>
    <t>労働費</t>
    <rPh sb="0" eb="3">
      <t>ロウドウヒ</t>
    </rPh>
    <phoneticPr fontId="2"/>
  </si>
  <si>
    <t>種苗費</t>
    <rPh sb="0" eb="3">
      <t>シュビョウヒ</t>
    </rPh>
    <phoneticPr fontId="2"/>
  </si>
  <si>
    <t>肥料費</t>
    <rPh sb="0" eb="3">
      <t>ヒリョウヒ</t>
    </rPh>
    <phoneticPr fontId="2"/>
  </si>
  <si>
    <t>農業薬剤費</t>
    <rPh sb="0" eb="2">
      <t>ノウギョウ</t>
    </rPh>
    <rPh sb="2" eb="5">
      <t>ヤクザイヒ</t>
    </rPh>
    <phoneticPr fontId="2"/>
  </si>
  <si>
    <t>光熱動力費</t>
    <rPh sb="0" eb="2">
      <t>コウネツ</t>
    </rPh>
    <rPh sb="2" eb="4">
      <t>ドウリョク</t>
    </rPh>
    <rPh sb="4" eb="5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</si>
  <si>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</si>
  <si>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建物費</t>
    <rPh sb="0" eb="2">
      <t>タテモノ</t>
    </rPh>
    <rPh sb="2" eb="3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</si>
  <si>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</si>
  <si>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5">
      <t>カンリヒ</t>
    </rPh>
    <phoneticPr fontId="2"/>
  </si>
  <si>
    <t>直接労働費</t>
    <rPh sb="0" eb="2">
      <t>チョクセツ</t>
    </rPh>
    <rPh sb="2" eb="5">
      <t>ロウドウヒ</t>
    </rPh>
    <phoneticPr fontId="2"/>
  </si>
  <si>
    <t>間接労働費</t>
    <rPh sb="0" eb="2">
      <t>カンセツ</t>
    </rPh>
    <rPh sb="2" eb="5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</si>
  <si>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</si>
  <si>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</si>
  <si>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</si>
  <si>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支払利子</t>
    <rPh sb="0" eb="2">
      <t>シハライ</t>
    </rPh>
    <rPh sb="2" eb="4">
      <t>リシ</t>
    </rPh>
    <phoneticPr fontId="2"/>
  </si>
  <si>
    <t>支払地代</t>
    <rPh sb="0" eb="2">
      <t>シハラ</t>
    </rPh>
    <rPh sb="2" eb="4">
      <t>チダイ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</si>
  <si>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</si>
  <si>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</si>
  <si>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自作地地代</t>
    <rPh sb="0" eb="3">
      <t>ジサクチ</t>
    </rPh>
    <rPh sb="3" eb="5">
      <t>チダイ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</si>
  <si>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</si>
  <si>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雇用</t>
    <rPh sb="0" eb="2">
      <t>コヨウ</t>
    </rPh>
    <phoneticPr fontId="2"/>
  </si>
  <si>
    <t>種子予措</t>
    <rPh sb="0" eb="2">
      <t>シュシ</t>
    </rPh>
    <rPh sb="2" eb="3">
      <t>ヨ</t>
    </rPh>
    <rPh sb="3" eb="4">
      <t>ソチ</t>
    </rPh>
    <phoneticPr fontId="2"/>
  </si>
  <si>
    <t>育苗</t>
    <rPh sb="0" eb="2">
      <t>イクビョウ</t>
    </rPh>
    <phoneticPr fontId="2"/>
  </si>
  <si>
    <t>耕起整地</t>
    <rPh sb="0" eb="2">
      <t>コウキ</t>
    </rPh>
    <rPh sb="2" eb="4">
      <t>セイチ</t>
    </rPh>
    <phoneticPr fontId="2"/>
  </si>
  <si>
    <t>基肥</t>
    <rPh sb="0" eb="1">
      <t>モト</t>
    </rPh>
    <rPh sb="1" eb="2">
      <t>ヒ</t>
    </rPh>
    <phoneticPr fontId="2"/>
  </si>
  <si>
    <t>直まき</t>
    <rPh sb="0" eb="1">
      <t>チョク</t>
    </rPh>
    <phoneticPr fontId="2"/>
  </si>
  <si>
    <t>追肥</t>
    <rPh sb="0" eb="2">
      <t>ツイヒ</t>
    </rPh>
    <phoneticPr fontId="2"/>
  </si>
  <si>
    <t>除草</t>
    <rPh sb="0" eb="2">
      <t>ジョソウ</t>
    </rPh>
    <phoneticPr fontId="2"/>
  </si>
  <si>
    <t>管理</t>
    <rPh sb="0" eb="2">
      <t>カンリ</t>
    </rPh>
    <phoneticPr fontId="2"/>
  </si>
  <si>
    <t>防除</t>
    <rPh sb="0" eb="2">
      <t>ボウジョ</t>
    </rPh>
    <phoneticPr fontId="2"/>
  </si>
  <si>
    <t>刈取脱穀</t>
    <rPh sb="0" eb="4">
      <t>カリトリダッコク</t>
    </rPh>
    <phoneticPr fontId="2"/>
  </si>
  <si>
    <t>乾燥</t>
    <rPh sb="0" eb="2">
      <t>カンソウ</t>
    </rPh>
    <phoneticPr fontId="2"/>
  </si>
  <si>
    <t>生産管理</t>
    <rPh sb="0" eb="2">
      <t>セイサン</t>
    </rPh>
    <rPh sb="2" eb="4">
      <t>カンリ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</si>
  <si>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</si>
  <si>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労働時間合計</t>
    <rPh sb="0" eb="2">
      <t>ロウドウ</t>
    </rPh>
    <rPh sb="2" eb="4">
      <t>ジカン</t>
    </rPh>
    <rPh sb="4" eb="6">
      <t>ゴウケイ</t>
    </rPh>
    <phoneticPr fontId="2"/>
  </si>
  <si>
    <t>小計</t>
    <rPh sb="0" eb="2">
      <t>ショウケイ</t>
    </rPh>
    <phoneticPr fontId="2"/>
  </si>
  <si>
    <t>所有地</t>
    <rPh sb="0" eb="3">
      <t>ショユウチ</t>
    </rPh>
    <phoneticPr fontId="2"/>
  </si>
  <si>
    <t>借入地</t>
    <rPh sb="0" eb="3">
      <t>カリイレチ</t>
    </rPh>
    <phoneticPr fontId="2"/>
  </si>
  <si>
    <t>田</t>
    <rPh sb="0" eb="1">
      <t>タ</t>
    </rPh>
    <phoneticPr fontId="2"/>
  </si>
  <si>
    <t>牧草地</t>
    <rPh sb="0" eb="3">
      <t>ボクソウチ</t>
    </rPh>
    <phoneticPr fontId="2"/>
  </si>
  <si>
    <t>合計</t>
    <rPh sb="0" eb="2">
      <t>ゴウケイ</t>
    </rPh>
    <phoneticPr fontId="2"/>
  </si>
  <si>
    <t>自作地</t>
    <rPh sb="0" eb="3">
      <t>ジサクチ</t>
    </rPh>
    <phoneticPr fontId="2"/>
  </si>
  <si>
    <t>作付実面積</t>
    <rPh sb="0" eb="2">
      <t>サクツケ</t>
    </rPh>
    <rPh sb="2" eb="3">
      <t>ジツ</t>
    </rPh>
    <rPh sb="3" eb="5">
      <t>メンセキ</t>
    </rPh>
    <phoneticPr fontId="2"/>
  </si>
  <si>
    <t>土地台帳面積</t>
    <rPh sb="0" eb="2">
      <t>トチ</t>
    </rPh>
    <rPh sb="2" eb="4">
      <t>ダイチョウ</t>
    </rPh>
    <rPh sb="4" eb="6">
      <t>メンセキ</t>
    </rPh>
    <phoneticPr fontId="2"/>
  </si>
  <si>
    <t>地代総額</t>
    <rPh sb="0" eb="2">
      <t>チダイ</t>
    </rPh>
    <rPh sb="2" eb="4">
      <t>ソウガク</t>
    </rPh>
    <phoneticPr fontId="2"/>
  </si>
  <si>
    <t>負担地代</t>
    <rPh sb="0" eb="2">
      <t>フタン</t>
    </rPh>
    <rPh sb="2" eb="4">
      <t>チダイ</t>
    </rPh>
    <phoneticPr fontId="2"/>
  </si>
  <si>
    <t>使用面積</t>
    <rPh sb="0" eb="2">
      <t>シヨウ</t>
    </rPh>
    <rPh sb="2" eb="4">
      <t>メンセキ</t>
    </rPh>
    <phoneticPr fontId="2"/>
  </si>
  <si>
    <t>賃借料総額</t>
    <rPh sb="0" eb="3">
      <t>チンシャクリョウ</t>
    </rPh>
    <rPh sb="3" eb="5">
      <t>ソウガク</t>
    </rPh>
    <phoneticPr fontId="2"/>
  </si>
  <si>
    <t>作付地</t>
    <rPh sb="0" eb="1">
      <t>サク</t>
    </rPh>
    <rPh sb="1" eb="2">
      <t>ツ</t>
    </rPh>
    <rPh sb="2" eb="3">
      <t>チ</t>
    </rPh>
    <phoneticPr fontId="2"/>
  </si>
  <si>
    <t>実勢地代</t>
    <rPh sb="0" eb="2">
      <t>ジッセイ</t>
    </rPh>
    <rPh sb="2" eb="4">
      <t>チダイ</t>
    </rPh>
    <phoneticPr fontId="2"/>
  </si>
  <si>
    <t>資本額</t>
    <rPh sb="0" eb="3">
      <t>シホンガク</t>
    </rPh>
    <phoneticPr fontId="2"/>
  </si>
  <si>
    <t>利子額</t>
    <rPh sb="0" eb="2">
      <t>リシ</t>
    </rPh>
    <rPh sb="2" eb="3">
      <t>ガク</t>
    </rPh>
    <phoneticPr fontId="2"/>
  </si>
  <si>
    <t>稲作負担分</t>
    <rPh sb="0" eb="2">
      <t>イナサク</t>
    </rPh>
    <rPh sb="2" eb="5">
      <t>フタンブン</t>
    </rPh>
    <phoneticPr fontId="2"/>
  </si>
  <si>
    <t>資産別内訳</t>
    <rPh sb="0" eb="3">
      <t>シサンベツ</t>
    </rPh>
    <rPh sb="3" eb="5">
      <t>ウチワケ</t>
    </rPh>
    <phoneticPr fontId="2"/>
  </si>
  <si>
    <t>借入資本</t>
    <rPh sb="0" eb="2">
      <t>カリイレ</t>
    </rPh>
    <rPh sb="2" eb="4">
      <t>シホン</t>
    </rPh>
    <phoneticPr fontId="2"/>
  </si>
  <si>
    <t>自己資本</t>
    <rPh sb="0" eb="2">
      <t>ジコ</t>
    </rPh>
    <rPh sb="2" eb="4">
      <t>シホン</t>
    </rPh>
    <phoneticPr fontId="2"/>
  </si>
  <si>
    <t>流動資本</t>
    <rPh sb="0" eb="2">
      <t>リュウドウ</t>
    </rPh>
    <rPh sb="2" eb="4">
      <t>シホン</t>
    </rPh>
    <phoneticPr fontId="2"/>
  </si>
  <si>
    <t>労賃資本</t>
    <rPh sb="0" eb="2">
      <t>ロウチン</t>
    </rPh>
    <rPh sb="2" eb="4">
      <t>シホン</t>
    </rPh>
    <phoneticPr fontId="2"/>
  </si>
  <si>
    <t>固定資本</t>
    <rPh sb="0" eb="2">
      <t>コテイ</t>
    </rPh>
    <rPh sb="2" eb="4">
      <t>シホン</t>
    </rPh>
    <phoneticPr fontId="2"/>
  </si>
  <si>
    <t>農機具</t>
    <rPh sb="0" eb="3">
      <t>ノウキグ</t>
    </rPh>
    <phoneticPr fontId="2"/>
  </si>
  <si>
    <t>主産物</t>
    <rPh sb="0" eb="3">
      <t>シュサンブツ</t>
    </rPh>
    <phoneticPr fontId="2"/>
  </si>
  <si>
    <t>副産物</t>
    <rPh sb="0" eb="3">
      <t>フクサンブツ</t>
    </rPh>
    <phoneticPr fontId="2"/>
  </si>
  <si>
    <t>くず米</t>
    <rPh sb="2" eb="3">
      <t>マイ</t>
    </rPh>
    <phoneticPr fontId="2"/>
  </si>
  <si>
    <t>粗収益</t>
    <rPh sb="0" eb="3">
      <t>ソシュウエキ</t>
    </rPh>
    <phoneticPr fontId="2"/>
  </si>
  <si>
    <t>６５歳未満</t>
    <rPh sb="2" eb="3">
      <t>サイ</t>
    </rPh>
    <rPh sb="3" eb="5">
      <t>ミマン</t>
    </rPh>
    <phoneticPr fontId="2"/>
  </si>
  <si>
    <t>７５歳以上</t>
    <rPh sb="2" eb="5">
      <t>サイイジョウ</t>
    </rPh>
    <phoneticPr fontId="2"/>
  </si>
  <si>
    <t>数量</t>
    <rPh sb="0" eb="2">
      <t>スウリョウ</t>
    </rPh>
    <phoneticPr fontId="2"/>
  </si>
  <si>
    <t>価額</t>
    <rPh sb="0" eb="2">
      <t>カガク</t>
    </rPh>
    <phoneticPr fontId="2"/>
  </si>
  <si>
    <t>50％未満</t>
    <rPh sb="3" eb="5">
      <t>ミマン</t>
    </rPh>
    <phoneticPr fontId="2"/>
  </si>
  <si>
    <t>80％以上</t>
    <rPh sb="3" eb="5">
      <t>イジョウ</t>
    </rPh>
    <phoneticPr fontId="2"/>
  </si>
  <si>
    <t>該当の有無等</t>
    <rPh sb="0" eb="2">
      <t>ガイトウ</t>
    </rPh>
    <rPh sb="3" eb="5">
      <t>ウム</t>
    </rPh>
    <rPh sb="5" eb="6">
      <t>トウ</t>
    </rPh>
    <phoneticPr fontId="2"/>
  </si>
  <si>
    <t>その他</t>
    <rPh sb="2" eb="3">
      <t>タ</t>
    </rPh>
    <phoneticPr fontId="2"/>
  </si>
  <si>
    <t>耕うん・整地</t>
    <rPh sb="0" eb="1">
      <t>コウウン</t>
    </rPh>
    <rPh sb="4" eb="6">
      <t>セイチ</t>
    </rPh>
    <phoneticPr fontId="2"/>
  </si>
  <si>
    <t>田植</t>
    <rPh sb="0" eb="2">
      <t>タウ</t>
    </rPh>
    <phoneticPr fontId="2"/>
  </si>
  <si>
    <t>刈取・脱穀</t>
    <rPh sb="0" eb="2">
      <t>カリトリ</t>
    </rPh>
    <rPh sb="3" eb="5">
      <t>ダッコク</t>
    </rPh>
    <phoneticPr fontId="2"/>
  </si>
  <si>
    <t>乾燥・調製</t>
    <rPh sb="0" eb="2">
      <t>カンソウ</t>
    </rPh>
    <rPh sb="3" eb="5">
      <t>チョウセイ</t>
    </rPh>
    <phoneticPr fontId="2"/>
  </si>
  <si>
    <t>労働時間</t>
    <rPh sb="0" eb="2">
      <t>ロウドウ</t>
    </rPh>
    <rPh sb="2" eb="4">
      <t>ジカン</t>
    </rPh>
    <phoneticPr fontId="2"/>
  </si>
  <si>
    <t>拠出金</t>
    <rPh sb="0" eb="3">
      <t>キョシュツキン</t>
    </rPh>
    <phoneticPr fontId="2"/>
  </si>
  <si>
    <t>受取金</t>
    <rPh sb="0" eb="3">
      <t>ウケトリキン</t>
    </rPh>
    <phoneticPr fontId="2"/>
  </si>
  <si>
    <t>枚数</t>
    <rPh sb="0" eb="2">
      <t>マイスウ</t>
    </rPh>
    <phoneticPr fontId="2"/>
  </si>
  <si>
    <t>面積</t>
    <rPh sb="0" eb="2">
      <t>メンセキ</t>
    </rPh>
    <phoneticPr fontId="2"/>
  </si>
  <si>
    <t>未整理又は10a未満</t>
    <rPh sb="0" eb="3">
      <t>ミセイリ</t>
    </rPh>
    <rPh sb="3" eb="4">
      <t>マタ</t>
    </rPh>
    <rPh sb="8" eb="10">
      <t>ミマン</t>
    </rPh>
    <phoneticPr fontId="2"/>
  </si>
  <si>
    <t>10～20ａ区画</t>
    <rPh sb="6" eb="8">
      <t>クカク</t>
    </rPh>
    <phoneticPr fontId="2"/>
  </si>
  <si>
    <t>20～30ａ区画</t>
    <rPh sb="6" eb="8">
      <t>クカク</t>
    </rPh>
    <phoneticPr fontId="2"/>
  </si>
  <si>
    <t>30～50ａ区画</t>
    <rPh sb="6" eb="8">
      <t>クカク</t>
    </rPh>
    <phoneticPr fontId="2"/>
  </si>
  <si>
    <t>固定資産税</t>
    <rPh sb="0" eb="2">
      <t>コテイ</t>
    </rPh>
    <rPh sb="2" eb="5">
      <t>シサンゼイ</t>
    </rPh>
    <phoneticPr fontId="2"/>
  </si>
  <si>
    <t>建物</t>
    <rPh sb="0" eb="2">
      <t>タテモノ</t>
    </rPh>
    <phoneticPr fontId="2"/>
  </si>
  <si>
    <t>自動車重量税</t>
    <rPh sb="0" eb="3">
      <t>ジドウシャ</t>
    </rPh>
    <rPh sb="3" eb="6">
      <t>ジュウリョウゼイ</t>
    </rPh>
    <phoneticPr fontId="2"/>
  </si>
  <si>
    <t>自動車税</t>
    <rPh sb="0" eb="4">
      <t>ジドウシャゼイ</t>
    </rPh>
    <phoneticPr fontId="2"/>
  </si>
  <si>
    <t>不動産取得税</t>
    <rPh sb="0" eb="3">
      <t>フドウサン</t>
    </rPh>
    <rPh sb="3" eb="6">
      <t>シュトクゼイ</t>
    </rPh>
    <phoneticPr fontId="2"/>
  </si>
  <si>
    <t>軽自動車税</t>
    <rPh sb="0" eb="4">
      <t>ケイジドウシャ</t>
    </rPh>
    <rPh sb="4" eb="5">
      <t>ゼイ</t>
    </rPh>
    <phoneticPr fontId="2"/>
  </si>
  <si>
    <t>水利地益税</t>
    <rPh sb="0" eb="2">
      <t>スイリ</t>
    </rPh>
    <rPh sb="2" eb="3">
      <t>チ</t>
    </rPh>
    <rPh sb="3" eb="5">
      <t>エキゼイ</t>
    </rPh>
    <phoneticPr fontId="2"/>
  </si>
  <si>
    <t>都市計画税</t>
    <rPh sb="0" eb="2">
      <t>トシ</t>
    </rPh>
    <rPh sb="2" eb="4">
      <t>ケイカク</t>
    </rPh>
    <rPh sb="4" eb="5">
      <t>ゼイ</t>
    </rPh>
    <phoneticPr fontId="2"/>
  </si>
  <si>
    <t>共同施設税</t>
    <rPh sb="0" eb="2">
      <t>キョウドウ</t>
    </rPh>
    <rPh sb="2" eb="4">
      <t>シセツ</t>
    </rPh>
    <rPh sb="4" eb="5">
      <t>ゼイ</t>
    </rPh>
    <phoneticPr fontId="2"/>
  </si>
  <si>
    <t>集落協議会費</t>
    <rPh sb="0" eb="2">
      <t>シュウラク</t>
    </rPh>
    <rPh sb="2" eb="4">
      <t>キョウギ</t>
    </rPh>
    <rPh sb="4" eb="6">
      <t>カイヒ</t>
    </rPh>
    <phoneticPr fontId="2"/>
  </si>
  <si>
    <t>農業協同組合費</t>
    <rPh sb="0" eb="2">
      <t>ノウギョウ</t>
    </rPh>
    <rPh sb="2" eb="4">
      <t>キョウドウ</t>
    </rPh>
    <rPh sb="4" eb="7">
      <t>クミアイヒ</t>
    </rPh>
    <phoneticPr fontId="2"/>
  </si>
  <si>
    <t>農事実行組合費</t>
    <rPh sb="0" eb="2">
      <t>ノウジ</t>
    </rPh>
    <rPh sb="2" eb="4">
      <t>ジッコウ</t>
    </rPh>
    <rPh sb="4" eb="7">
      <t>クミアイヒ</t>
    </rPh>
    <phoneticPr fontId="2"/>
  </si>
  <si>
    <t>農業共済組合賦課金</t>
    <rPh sb="0" eb="2">
      <t>ノウギョウ</t>
    </rPh>
    <rPh sb="2" eb="4">
      <t>キョウサイ</t>
    </rPh>
    <rPh sb="4" eb="6">
      <t>クミアイ</t>
    </rPh>
    <rPh sb="6" eb="9">
      <t>フカキン</t>
    </rPh>
    <phoneticPr fontId="2"/>
  </si>
  <si>
    <t>自賠責保険</t>
    <rPh sb="0" eb="3">
      <t>ジバイセキ</t>
    </rPh>
    <rPh sb="3" eb="5">
      <t>ホケン</t>
    </rPh>
    <phoneticPr fontId="2"/>
  </si>
  <si>
    <t>物件税</t>
    <rPh sb="0" eb="2">
      <t>ブッケン</t>
    </rPh>
    <rPh sb="2" eb="3">
      <t>ゼイ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</si>
  <si>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</si>
  <si>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生産費総額</t>
    <rPh sb="0" eb="3">
      <t>セイサンヒ</t>
    </rPh>
    <rPh sb="3" eb="5">
      <t>ソウガク</t>
    </rPh>
    <phoneticPr fontId="2"/>
  </si>
  <si>
    <t>利潤</t>
    <rPh sb="0" eb="2">
      <t>リジュン</t>
    </rPh>
    <phoneticPr fontId="2"/>
  </si>
  <si>
    <t>所得</t>
    <rPh sb="0" eb="2">
      <t>ショトク</t>
    </rPh>
    <phoneticPr fontId="2"/>
  </si>
  <si>
    <t>１日当たり</t>
    <rPh sb="1" eb="2">
      <t>ニチ</t>
    </rPh>
    <rPh sb="2" eb="3">
      <t>ア</t>
    </rPh>
    <phoneticPr fontId="2"/>
  </si>
  <si>
    <t>買掛未払金</t>
    <rPh sb="0" eb="2">
      <t>カイカケ</t>
    </rPh>
    <rPh sb="2" eb="3">
      <t>ミ</t>
    </rPh>
    <rPh sb="3" eb="4">
      <t>ハラ</t>
    </rPh>
    <rPh sb="4" eb="5">
      <t>キン</t>
    </rPh>
    <phoneticPr fontId="2"/>
  </si>
  <si>
    <t>販売用</t>
    <rPh sb="0" eb="3">
      <t>ハンバイヨウ</t>
    </rPh>
    <phoneticPr fontId="2"/>
  </si>
  <si>
    <t>玄米（予定を含む）</t>
    <rPh sb="0" eb="2">
      <t>ゲンマイ</t>
    </rPh>
    <rPh sb="3" eb="5">
      <t>ヨテイ</t>
    </rPh>
    <rPh sb="6" eb="7">
      <t>フク</t>
    </rPh>
    <phoneticPr fontId="2"/>
  </si>
  <si>
    <t>販売</t>
    <rPh sb="0" eb="2">
      <t>ハンバイヨウ</t>
    </rPh>
    <phoneticPr fontId="2"/>
  </si>
  <si>
    <t>主食用</t>
    <rPh sb="0" eb="3">
      <t>シュショクヨウ</t>
    </rPh>
    <phoneticPr fontId="2"/>
  </si>
  <si>
    <t>加工用</t>
    <rPh sb="0" eb="3">
      <t>カコウヨウ</t>
    </rPh>
    <phoneticPr fontId="2"/>
  </si>
  <si>
    <t>区分出荷</t>
    <rPh sb="0" eb="2">
      <t>クブン</t>
    </rPh>
    <rPh sb="2" eb="4">
      <t>シュッカ</t>
    </rPh>
    <phoneticPr fontId="2"/>
  </si>
  <si>
    <t>種子用</t>
    <rPh sb="0" eb="2">
      <t>シュシ</t>
    </rPh>
    <rPh sb="2" eb="3">
      <t>ヨウ</t>
    </rPh>
    <phoneticPr fontId="2"/>
  </si>
  <si>
    <t>飯米用</t>
    <rPh sb="0" eb="2">
      <t>ハンマイ</t>
    </rPh>
    <rPh sb="2" eb="3">
      <t>ヨウ</t>
    </rPh>
    <phoneticPr fontId="2"/>
  </si>
  <si>
    <t>生わら</t>
    <rPh sb="0" eb="1">
      <t>ナマ</t>
    </rPh>
    <phoneticPr fontId="2"/>
  </si>
  <si>
    <t>乾燥わら</t>
    <rPh sb="0" eb="2">
      <t>カンソウ</t>
    </rPh>
    <phoneticPr fontId="2"/>
  </si>
  <si>
    <t>たい肥</t>
    <rPh sb="2" eb="3">
      <t>ヒ</t>
    </rPh>
    <phoneticPr fontId="2"/>
  </si>
  <si>
    <t>いなわら等</t>
    <rPh sb="4" eb="5">
      <t>トウ</t>
    </rPh>
    <phoneticPr fontId="2"/>
  </si>
  <si>
    <t>いなわら小計</t>
    <rPh sb="4" eb="6">
      <t>ショウケイ</t>
    </rPh>
    <phoneticPr fontId="2"/>
  </si>
  <si>
    <t>単価</t>
    <rPh sb="0" eb="2">
      <t>タンカ</t>
    </rPh>
    <phoneticPr fontId="2"/>
  </si>
  <si>
    <t>苗</t>
    <rPh sb="0" eb="1">
      <t>ナエ</t>
    </rPh>
    <phoneticPr fontId="2"/>
  </si>
  <si>
    <t>炭酸カルシウム（石灰含む）</t>
    <rPh sb="0" eb="2">
      <t>タンサン</t>
    </rPh>
    <rPh sb="8" eb="10">
      <t>セッカイ</t>
    </rPh>
    <rPh sb="10" eb="11">
      <t>フク</t>
    </rPh>
    <phoneticPr fontId="2"/>
  </si>
  <si>
    <t>たい肥・きゅう肥</t>
    <rPh sb="2" eb="3">
      <t>ヒ</t>
    </rPh>
    <rPh sb="7" eb="8">
      <t>ヒ</t>
    </rPh>
    <phoneticPr fontId="2"/>
  </si>
  <si>
    <t>きゅう肥</t>
    <rPh sb="3" eb="4">
      <t>ヒ</t>
    </rPh>
    <phoneticPr fontId="2"/>
  </si>
  <si>
    <t>殺虫剤</t>
    <rPh sb="0" eb="3">
      <t>サッチュウザイ</t>
    </rPh>
    <phoneticPr fontId="2"/>
  </si>
  <si>
    <t>殺菌剤</t>
    <rPh sb="0" eb="3">
      <t>サッキンザイ</t>
    </rPh>
    <phoneticPr fontId="2"/>
  </si>
  <si>
    <t>殺虫殺菌剤</t>
    <rPh sb="0" eb="2">
      <t>サッチュウ</t>
    </rPh>
    <rPh sb="2" eb="5">
      <t>サッキンザイ</t>
    </rPh>
    <phoneticPr fontId="2"/>
  </si>
  <si>
    <t>除草剤</t>
    <rPh sb="0" eb="3">
      <t>ジョソウザイ</t>
    </rPh>
    <phoneticPr fontId="2"/>
  </si>
  <si>
    <t>農業薬剤費</t>
    <rPh sb="0" eb="2">
      <t>ノウギョウ</t>
    </rPh>
    <rPh sb="2" eb="4">
      <t>ヤクザイ</t>
    </rPh>
    <rPh sb="4" eb="5">
      <t>ヒ</t>
    </rPh>
    <phoneticPr fontId="2"/>
  </si>
  <si>
    <t>重油</t>
    <rPh sb="0" eb="2">
      <t>ジュウユ</t>
    </rPh>
    <phoneticPr fontId="2"/>
  </si>
  <si>
    <t>軽油</t>
    <rPh sb="0" eb="2">
      <t>ケイユ</t>
    </rPh>
    <phoneticPr fontId="2"/>
  </si>
  <si>
    <t>灯油</t>
    <rPh sb="0" eb="2">
      <t>トウユ</t>
    </rPh>
    <phoneticPr fontId="2"/>
  </si>
  <si>
    <t>潤滑油</t>
    <rPh sb="0" eb="3">
      <t>ジュンカツユ</t>
    </rPh>
    <phoneticPr fontId="2"/>
  </si>
  <si>
    <t>混合油</t>
    <rPh sb="0" eb="3">
      <t>コンゴウユ</t>
    </rPh>
    <phoneticPr fontId="2"/>
  </si>
  <si>
    <t>電力料</t>
    <rPh sb="0" eb="3">
      <t>デンリョクリョウ</t>
    </rPh>
    <phoneticPr fontId="2"/>
  </si>
  <si>
    <t>動力
燃料</t>
    <rPh sb="0" eb="2">
      <t>ドウリョク</t>
    </rPh>
    <rPh sb="3" eb="5">
      <t>ネンリョウ</t>
    </rPh>
    <phoneticPr fontId="2"/>
  </si>
  <si>
    <t>光熱動力費</t>
    <rPh sb="0" eb="2">
      <t>コウネツ</t>
    </rPh>
    <rPh sb="2" eb="5">
      <t>ドウリョクヒ</t>
    </rPh>
    <phoneticPr fontId="2"/>
  </si>
  <si>
    <t>維持負担金</t>
    <rPh sb="0" eb="2">
      <t>イジ</t>
    </rPh>
    <rPh sb="2" eb="5">
      <t>フタンキン</t>
    </rPh>
    <phoneticPr fontId="2"/>
  </si>
  <si>
    <t>償還金</t>
    <rPh sb="0" eb="3">
      <t>ショウカンキン</t>
    </rPh>
    <phoneticPr fontId="2"/>
  </si>
  <si>
    <t>水利組合費</t>
    <rPh sb="0" eb="2">
      <t>スイリ</t>
    </rPh>
    <rPh sb="2" eb="5">
      <t>クミアイヒ</t>
    </rPh>
    <phoneticPr fontId="2"/>
  </si>
  <si>
    <t>揚水ポンプ組合費</t>
    <rPh sb="0" eb="1">
      <t>ア</t>
    </rPh>
    <rPh sb="1" eb="2">
      <t>スイ</t>
    </rPh>
    <rPh sb="5" eb="8">
      <t>クミアイヒ</t>
    </rPh>
    <phoneticPr fontId="2"/>
  </si>
  <si>
    <t>薬剤散布</t>
    <rPh sb="0" eb="2">
      <t>ヤクザイ</t>
    </rPh>
    <rPh sb="2" eb="4">
      <t>サンプ</t>
    </rPh>
    <phoneticPr fontId="2"/>
  </si>
  <si>
    <t>共同施設</t>
    <rPh sb="0" eb="2">
      <t>キョウドウ</t>
    </rPh>
    <rPh sb="2" eb="4">
      <t>シセツ</t>
    </rPh>
    <phoneticPr fontId="2"/>
  </si>
  <si>
    <t>農機具借料</t>
    <rPh sb="0" eb="3">
      <t>ノウキグ</t>
    </rPh>
    <rPh sb="3" eb="5">
      <t>シャクリョウ</t>
    </rPh>
    <phoneticPr fontId="2"/>
  </si>
  <si>
    <t>航空防除賃</t>
    <rPh sb="0" eb="2">
      <t>コウクウ</t>
    </rPh>
    <rPh sb="2" eb="4">
      <t>ボウジョ</t>
    </rPh>
    <rPh sb="4" eb="5">
      <t>チン</t>
    </rPh>
    <phoneticPr fontId="2"/>
  </si>
  <si>
    <t>賃耕料</t>
    <rPh sb="0" eb="2">
      <t>チンコウ</t>
    </rPh>
    <rPh sb="2" eb="3">
      <t>リョウ</t>
    </rPh>
    <phoneticPr fontId="2"/>
  </si>
  <si>
    <t>は種・田植賃</t>
    <rPh sb="1" eb="2">
      <t>シュ</t>
    </rPh>
    <rPh sb="3" eb="5">
      <t>タウ</t>
    </rPh>
    <rPh sb="5" eb="6">
      <t>チン</t>
    </rPh>
    <phoneticPr fontId="2"/>
  </si>
  <si>
    <t>収穫請負わせ賃</t>
    <rPh sb="0" eb="2">
      <t>シュウカク</t>
    </rPh>
    <rPh sb="2" eb="3">
      <t>ウ</t>
    </rPh>
    <rPh sb="3" eb="4">
      <t>オ</t>
    </rPh>
    <rPh sb="6" eb="7">
      <t>チン</t>
    </rPh>
    <phoneticPr fontId="2"/>
  </si>
  <si>
    <t>用水路</t>
    <rPh sb="0" eb="3">
      <t>ヨウスイロ</t>
    </rPh>
    <phoneticPr fontId="2"/>
  </si>
  <si>
    <t>暗きょ排水施設</t>
    <rPh sb="0" eb="1">
      <t>アン</t>
    </rPh>
    <rPh sb="3" eb="5">
      <t>ハイスイ</t>
    </rPh>
    <rPh sb="5" eb="7">
      <t>シセツ</t>
    </rPh>
    <phoneticPr fontId="2"/>
  </si>
  <si>
    <t>コンクリートけい畔</t>
    <rPh sb="8" eb="9">
      <t>ハン</t>
    </rPh>
    <phoneticPr fontId="2"/>
  </si>
  <si>
    <t>客土</t>
    <rPh sb="0" eb="2">
      <t>キャクド</t>
    </rPh>
    <phoneticPr fontId="2"/>
  </si>
  <si>
    <t>たい肥盤</t>
    <rPh sb="2" eb="3">
      <t>ヒ</t>
    </rPh>
    <rPh sb="3" eb="4">
      <t>バン</t>
    </rPh>
    <phoneticPr fontId="2"/>
  </si>
  <si>
    <t>以　外作付地</t>
    <rPh sb="3" eb="4">
      <t>サク</t>
    </rPh>
    <rPh sb="4" eb="5">
      <t>ツ</t>
    </rPh>
    <rPh sb="5" eb="6">
      <t>チ</t>
    </rPh>
    <phoneticPr fontId="2"/>
  </si>
  <si>
    <t>共同苗代</t>
    <rPh sb="0" eb="2">
      <t>キョウドウ</t>
    </rPh>
    <rPh sb="2" eb="3">
      <t>ナエ</t>
    </rPh>
    <rPh sb="3" eb="4">
      <t>シロ</t>
    </rPh>
    <phoneticPr fontId="2"/>
  </si>
  <si>
    <t>電動機</t>
    <rPh sb="0" eb="3">
      <t>デンドウキ</t>
    </rPh>
    <phoneticPr fontId="2"/>
  </si>
  <si>
    <t>発動機</t>
    <rPh sb="0" eb="3">
      <t>ハツドウキ</t>
    </rPh>
    <phoneticPr fontId="2"/>
  </si>
  <si>
    <t>揚水ポンプ</t>
    <rPh sb="0" eb="1">
      <t>ア</t>
    </rPh>
    <rPh sb="1" eb="2">
      <t>ミズ</t>
    </rPh>
    <phoneticPr fontId="2"/>
  </si>
  <si>
    <t>20馬力未満</t>
    <rPh sb="2" eb="4">
      <t>バリキ</t>
    </rPh>
    <rPh sb="4" eb="6">
      <t>ミマン</t>
    </rPh>
    <phoneticPr fontId="2"/>
  </si>
  <si>
    <t>電熱育苗機</t>
    <rPh sb="0" eb="2">
      <t>デンネツ</t>
    </rPh>
    <rPh sb="2" eb="4">
      <t>イクビョウ</t>
    </rPh>
    <rPh sb="4" eb="5">
      <t>キ</t>
    </rPh>
    <phoneticPr fontId="2"/>
  </si>
  <si>
    <t>２条植</t>
    <rPh sb="1" eb="2">
      <t>ジョウ</t>
    </rPh>
    <rPh sb="2" eb="3">
      <t>ウエ</t>
    </rPh>
    <phoneticPr fontId="2"/>
  </si>
  <si>
    <t>動力噴霧機</t>
    <rPh sb="0" eb="2">
      <t>ドウリョク</t>
    </rPh>
    <rPh sb="2" eb="5">
      <t>フンムキ</t>
    </rPh>
    <phoneticPr fontId="2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</si>
  <si>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2"/>
  </si>
  <si>
    <t>３条以下</t>
    <rPh sb="1" eb="2">
      <t>ジョウ</t>
    </rPh>
    <rPh sb="2" eb="4">
      <t>イカ</t>
    </rPh>
    <phoneticPr fontId="2"/>
  </si>
  <si>
    <t>普通型コンバイン</t>
    <rPh sb="0" eb="2">
      <t>フツウ</t>
    </rPh>
    <rPh sb="2" eb="3">
      <t>ガタ</t>
    </rPh>
    <phoneticPr fontId="2"/>
  </si>
  <si>
    <t>脱穀機</t>
    <rPh sb="0" eb="3">
      <t>ダッコクキ</t>
    </rPh>
    <phoneticPr fontId="2"/>
  </si>
  <si>
    <t>乾燥機</t>
    <rPh sb="0" eb="3">
      <t>カンソウキ</t>
    </rPh>
    <phoneticPr fontId="2"/>
  </si>
  <si>
    <t>静置式</t>
    <rPh sb="0" eb="1">
      <t>セイ</t>
    </rPh>
    <rPh sb="1" eb="2">
      <t>チ</t>
    </rPh>
    <rPh sb="2" eb="3">
      <t>シキ</t>
    </rPh>
    <phoneticPr fontId="2"/>
  </si>
  <si>
    <t>循環式</t>
    <rPh sb="0" eb="2">
      <t>ジュンカン</t>
    </rPh>
    <rPh sb="2" eb="3">
      <t>シキ</t>
    </rPh>
    <phoneticPr fontId="2"/>
  </si>
  <si>
    <t>生産管理機器</t>
    <rPh sb="0" eb="2">
      <t>セイサン</t>
    </rPh>
    <rPh sb="2" eb="4">
      <t>カンリ</t>
    </rPh>
    <rPh sb="4" eb="6">
      <t>キキ</t>
    </rPh>
    <phoneticPr fontId="2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</si>
  <si>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2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</si>
  <si>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2"/>
  </si>
  <si>
    <t>カントリーエレベーター費</t>
    <rPh sb="11" eb="12">
      <t>ヒ</t>
    </rPh>
    <phoneticPr fontId="2"/>
  </si>
  <si>
    <t>ライスセンター費</t>
    <rPh sb="7" eb="8">
      <t>ヒ</t>
    </rPh>
    <phoneticPr fontId="2"/>
  </si>
  <si>
    <t>短期</t>
    <rPh sb="0" eb="2">
      <t>タンキ</t>
    </rPh>
    <phoneticPr fontId="2"/>
  </si>
  <si>
    <t>長期</t>
    <rPh sb="0" eb="2">
      <t>チョウキ</t>
    </rPh>
    <phoneticPr fontId="2"/>
  </si>
  <si>
    <t>稲・麦わら</t>
    <rPh sb="0" eb="1">
      <t>イネ</t>
    </rPh>
    <rPh sb="2" eb="3">
      <t>ムギ</t>
    </rPh>
    <phoneticPr fontId="2"/>
  </si>
  <si>
    <t>土地改良設備</t>
    <rPh sb="0" eb="2">
      <t>トチ</t>
    </rPh>
    <rPh sb="2" eb="4">
      <t>カイリョウ</t>
    </rPh>
    <rPh sb="4" eb="6">
      <t>セツビ</t>
    </rPh>
    <phoneticPr fontId="2"/>
  </si>
  <si>
    <t>借入金</t>
    <rPh sb="0" eb="3">
      <t>カリイレキン</t>
    </rPh>
    <phoneticPr fontId="2"/>
  </si>
  <si>
    <t>自動車費</t>
    <rPh sb="0" eb="3">
      <t>ジドウシャ</t>
    </rPh>
    <rPh sb="3" eb="4">
      <t>ヒ</t>
    </rPh>
    <phoneticPr fontId="2"/>
  </si>
  <si>
    <t>自動車</t>
    <rPh sb="0" eb="3">
      <t>ジドウシャ</t>
    </rPh>
    <phoneticPr fontId="2"/>
  </si>
  <si>
    <t>田のうち
区画整理
済面積</t>
    <rPh sb="0" eb="1">
      <t>デン</t>
    </rPh>
    <rPh sb="5" eb="7">
      <t>クカク</t>
    </rPh>
    <rPh sb="7" eb="9">
      <t>セイリ</t>
    </rPh>
    <rPh sb="10" eb="11">
      <t>ス</t>
    </rPh>
    <rPh sb="11" eb="13">
      <t>メンセキ</t>
    </rPh>
    <phoneticPr fontId="2"/>
  </si>
  <si>
    <t>建物・構築物</t>
    <rPh sb="0" eb="2">
      <t>タテモノ</t>
    </rPh>
    <rPh sb="3" eb="6">
      <t>コウチクブツ</t>
    </rPh>
    <phoneticPr fontId="2"/>
  </si>
  <si>
    <t>建物・構築物</t>
    <rPh sb="0" eb="2">
      <t>タテモノ</t>
    </rPh>
    <rPh sb="3" eb="5">
      <t>コウチク</t>
    </rPh>
    <rPh sb="5" eb="6">
      <t>ブツ</t>
    </rPh>
    <phoneticPr fontId="2"/>
  </si>
  <si>
    <t>土壌改良資材</t>
    <rPh sb="0" eb="2">
      <t>ドジョウ</t>
    </rPh>
    <rPh sb="2" eb="6">
      <t>カイリョウザイ</t>
    </rPh>
    <phoneticPr fontId="2"/>
  </si>
  <si>
    <t>調査開始時未償還残高</t>
    <rPh sb="0" eb="2">
      <t>チョウサ</t>
    </rPh>
    <rPh sb="2" eb="5">
      <t>カイシジ</t>
    </rPh>
    <rPh sb="5" eb="8">
      <t>ミショウカン</t>
    </rPh>
    <rPh sb="8" eb="10">
      <t>ザンダカ</t>
    </rPh>
    <phoneticPr fontId="2"/>
  </si>
  <si>
    <t>種子
もみ</t>
    <rPh sb="0" eb="2">
      <t>シュシ</t>
    </rPh>
    <phoneticPr fontId="2"/>
  </si>
  <si>
    <t>単位：円、台</t>
    <rPh sb="0" eb="2">
      <t>タンイ</t>
    </rPh>
    <rPh sb="3" eb="4">
      <t>エン</t>
    </rPh>
    <rPh sb="5" eb="6">
      <t>ダイ</t>
    </rPh>
    <phoneticPr fontId="2"/>
  </si>
  <si>
    <t>その他の諸材料費</t>
    <rPh sb="2" eb="3">
      <t>タ</t>
    </rPh>
    <rPh sb="4" eb="8">
      <t>ショザイリョウヒ</t>
    </rPh>
    <phoneticPr fontId="2"/>
  </si>
  <si>
    <t>増減率</t>
    <phoneticPr fontId="2"/>
  </si>
  <si>
    <t>［参考］各種助成措置を加えた場合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2"/>
  </si>
  <si>
    <t>直接労働時間</t>
    <phoneticPr fontId="2"/>
  </si>
  <si>
    <t>ほ場間の距離</t>
    <rPh sb="1" eb="2">
      <t>バ</t>
    </rPh>
    <rPh sb="2" eb="3">
      <t>カン</t>
    </rPh>
    <rPh sb="4" eb="6">
      <t>キョリ</t>
    </rPh>
    <phoneticPr fontId="2"/>
  </si>
  <si>
    <t>単位：㎞</t>
    <rPh sb="0" eb="2">
      <t>タンイ</t>
    </rPh>
    <phoneticPr fontId="2"/>
  </si>
  <si>
    <t>50～80％</t>
    <phoneticPr fontId="2"/>
  </si>
  <si>
    <t>納屋・倉庫</t>
    <rPh sb="0" eb="2">
      <t>ナヤ</t>
    </rPh>
    <rPh sb="3" eb="5">
      <t>ソウコ</t>
    </rPh>
    <phoneticPr fontId="2"/>
  </si>
  <si>
    <t>任意項目</t>
    <rPh sb="0" eb="2">
      <t>ニンイ</t>
    </rPh>
    <rPh sb="2" eb="4">
      <t>コウモク</t>
    </rPh>
    <phoneticPr fontId="2"/>
  </si>
  <si>
    <t>団地への平均距離</t>
    <rPh sb="0" eb="2">
      <t>ダンチ</t>
    </rPh>
    <rPh sb="4" eb="6">
      <t>ヘイキン</t>
    </rPh>
    <rPh sb="6" eb="8">
      <t>キョリ</t>
    </rPh>
    <phoneticPr fontId="2"/>
  </si>
  <si>
    <t>作付面積（ａ）</t>
    <rPh sb="0" eb="4">
      <t>サクツケメンセキ</t>
    </rPh>
    <phoneticPr fontId="2"/>
  </si>
  <si>
    <t>移植</t>
    <rPh sb="0" eb="2">
      <t>イショク</t>
    </rPh>
    <phoneticPr fontId="2"/>
  </si>
  <si>
    <t>直まき</t>
    <rPh sb="0" eb="1">
      <t>ジカ</t>
    </rPh>
    <phoneticPr fontId="2"/>
  </si>
  <si>
    <t>増減率</t>
    <phoneticPr fontId="2"/>
  </si>
  <si>
    <t>増減率</t>
    <phoneticPr fontId="2"/>
  </si>
  <si>
    <t>増減率</t>
    <phoneticPr fontId="2"/>
  </si>
  <si>
    <t>増減率</t>
    <phoneticPr fontId="2"/>
  </si>
  <si>
    <t>飼料用米</t>
    <phoneticPr fontId="2"/>
  </si>
  <si>
    <t>６５～７０</t>
    <phoneticPr fontId="2"/>
  </si>
  <si>
    <t>７０～７５</t>
    <phoneticPr fontId="2"/>
  </si>
  <si>
    <t>けい酸質肥料</t>
    <rPh sb="2" eb="3">
      <t>サン</t>
    </rPh>
    <rPh sb="3" eb="4">
      <t>シツ</t>
    </rPh>
    <rPh sb="4" eb="6">
      <t>ヒリョウ</t>
    </rPh>
    <phoneticPr fontId="2"/>
  </si>
  <si>
    <t>ガソリン</t>
    <phoneticPr fontId="2"/>
  </si>
  <si>
    <t>育苗用土（購入）（素土含む）</t>
    <rPh sb="0" eb="2">
      <t>イクビョウ</t>
    </rPh>
    <rPh sb="2" eb="4">
      <t>ヨウド</t>
    </rPh>
    <rPh sb="5" eb="7">
      <t>コウニュウ</t>
    </rPh>
    <rPh sb="9" eb="10">
      <t>モト</t>
    </rPh>
    <rPh sb="10" eb="11">
      <t>ツチ</t>
    </rPh>
    <rPh sb="11" eb="12">
      <t>フク</t>
    </rPh>
    <phoneticPr fontId="2"/>
  </si>
  <si>
    <t>処分差損失</t>
    <phoneticPr fontId="2"/>
  </si>
  <si>
    <t>もみがら</t>
    <phoneticPr fontId="2"/>
  </si>
  <si>
    <t>任意項目１</t>
    <phoneticPr fontId="2"/>
  </si>
  <si>
    <t>任意項目２</t>
    <phoneticPr fontId="2"/>
  </si>
  <si>
    <t>バインダー</t>
    <phoneticPr fontId="2"/>
  </si>
  <si>
    <t>任意項目３</t>
    <phoneticPr fontId="2"/>
  </si>
  <si>
    <t>任意項目４</t>
    <phoneticPr fontId="2"/>
  </si>
  <si>
    <t>任意項目５</t>
    <phoneticPr fontId="2"/>
  </si>
  <si>
    <t>任意項目６</t>
    <phoneticPr fontId="2"/>
  </si>
  <si>
    <t>任意項目７</t>
    <phoneticPr fontId="2"/>
  </si>
  <si>
    <t>任意項目８</t>
    <phoneticPr fontId="2"/>
  </si>
  <si>
    <t>任意項目９</t>
    <phoneticPr fontId="2"/>
  </si>
  <si>
    <t>任意項目１０</t>
    <phoneticPr fontId="2"/>
  </si>
  <si>
    <t>組織用</t>
    <rPh sb="0" eb="2">
      <t>ソシキ</t>
    </rPh>
    <rPh sb="2" eb="3">
      <t>ヨウ</t>
    </rPh>
    <phoneticPr fontId="2"/>
  </si>
  <si>
    <t>年産　米生産費統計結果（組織法人経営体）　集計結果検討表　Ｎｏ．１</t>
    <rPh sb="12" eb="14">
      <t>ソシキ</t>
    </rPh>
    <rPh sb="14" eb="16">
      <t>ホウジン</t>
    </rPh>
    <rPh sb="21" eb="23">
      <t>シュウケイ</t>
    </rPh>
    <rPh sb="23" eb="25">
      <t>ケッカ</t>
    </rPh>
    <rPh sb="25" eb="27">
      <t>ケントウ</t>
    </rPh>
    <phoneticPr fontId="2"/>
  </si>
  <si>
    <t>年産　米生産費統計結果（組織法人経営体）　集計結果検討表　Ｎｏ．２</t>
    <rPh sb="12" eb="14">
      <t>ソシキ</t>
    </rPh>
    <rPh sb="14" eb="16">
      <t>ホウジン</t>
    </rPh>
    <rPh sb="21" eb="23">
      <t>シュウケイ</t>
    </rPh>
    <rPh sb="23" eb="25">
      <t>ケッカ</t>
    </rPh>
    <rPh sb="25" eb="27">
      <t>ケントウ</t>
    </rPh>
    <phoneticPr fontId="2"/>
  </si>
  <si>
    <t>コード１</t>
    <phoneticPr fontId="2"/>
  </si>
  <si>
    <t>コード２０</t>
  </si>
  <si>
    <t>コード２</t>
    <phoneticPr fontId="2"/>
  </si>
  <si>
    <t>コード３</t>
  </si>
  <si>
    <t>コード４</t>
  </si>
  <si>
    <t>コード５</t>
  </si>
  <si>
    <t>コード６</t>
  </si>
  <si>
    <t>コード７</t>
  </si>
  <si>
    <t>コード８</t>
  </si>
  <si>
    <t>コード９</t>
  </si>
  <si>
    <t>コード１０</t>
  </si>
  <si>
    <t>50～１hａ区画</t>
    <rPh sb="6" eb="8">
      <t>クカク</t>
    </rPh>
    <phoneticPr fontId="2"/>
  </si>
  <si>
    <t>１ｈａ以上区画</t>
    <rPh sb="3" eb="5">
      <t>イジョウ</t>
    </rPh>
    <rPh sb="5" eb="7">
      <t>クカク</t>
    </rPh>
    <phoneticPr fontId="2"/>
  </si>
  <si>
    <t>４　調査作物収入</t>
    <rPh sb="2" eb="4">
      <t>チョウサ</t>
    </rPh>
    <rPh sb="4" eb="6">
      <t>サクモツ</t>
    </rPh>
    <rPh sb="6" eb="8">
      <t>シュウニュウ</t>
    </rPh>
    <phoneticPr fontId="2"/>
  </si>
  <si>
    <t>全作業</t>
    <rPh sb="0" eb="1">
      <t>ゼン</t>
    </rPh>
    <rPh sb="1" eb="3">
      <t>サギョウ</t>
    </rPh>
    <phoneticPr fontId="2"/>
  </si>
  <si>
    <t>年産　米生産費統計結果（組織法人経営体）　集計結果検討表　Ｎｏ．３</t>
    <rPh sb="12" eb="14">
      <t>ソシキ</t>
    </rPh>
    <rPh sb="14" eb="16">
      <t>ホウジン</t>
    </rPh>
    <rPh sb="21" eb="23">
      <t>シュウケイ</t>
    </rPh>
    <rPh sb="23" eb="25">
      <t>ケッカ</t>
    </rPh>
    <rPh sb="25" eb="27">
      <t>ケントウ</t>
    </rPh>
    <phoneticPr fontId="2"/>
  </si>
  <si>
    <t>コード１１</t>
  </si>
  <si>
    <t>コード１２</t>
  </si>
  <si>
    <t>コード１３</t>
  </si>
  <si>
    <t>コード１４</t>
  </si>
  <si>
    <t>コード１５</t>
  </si>
  <si>
    <t>コード１６</t>
  </si>
  <si>
    <t>コード１７</t>
  </si>
  <si>
    <t>コード１８</t>
  </si>
  <si>
    <t>コード１９</t>
  </si>
  <si>
    <t>構成員</t>
    <rPh sb="0" eb="3">
      <t>コウセイイン</t>
    </rPh>
    <phoneticPr fontId="2"/>
  </si>
  <si>
    <t>直接労働</t>
    <rPh sb="0" eb="2">
      <t>チョクセツ</t>
    </rPh>
    <rPh sb="2" eb="4">
      <t>ロウドウ</t>
    </rPh>
    <phoneticPr fontId="2"/>
  </si>
  <si>
    <t>間接労働</t>
    <rPh sb="0" eb="2">
      <t>カンセツ</t>
    </rPh>
    <rPh sb="2" eb="4">
      <t>ロウドウ</t>
    </rPh>
    <phoneticPr fontId="2"/>
  </si>
  <si>
    <t>直　接　労　働</t>
    <rPh sb="0" eb="1">
      <t>スナオ</t>
    </rPh>
    <rPh sb="2" eb="3">
      <t>セツ</t>
    </rPh>
    <rPh sb="4" eb="5">
      <t>ロウ</t>
    </rPh>
    <rPh sb="6" eb="7">
      <t>ハタラキ</t>
    </rPh>
    <phoneticPr fontId="2"/>
  </si>
  <si>
    <t>間　接　労　働</t>
    <rPh sb="0" eb="1">
      <t>アイダ</t>
    </rPh>
    <rPh sb="2" eb="3">
      <t>セツ</t>
    </rPh>
    <rPh sb="4" eb="5">
      <t>ロウ</t>
    </rPh>
    <rPh sb="6" eb="7">
      <t>ハタラキ</t>
    </rPh>
    <phoneticPr fontId="2"/>
  </si>
  <si>
    <t>稲作負担構成員労働時間</t>
    <rPh sb="0" eb="2">
      <t>イナサク</t>
    </rPh>
    <rPh sb="2" eb="4">
      <t>フタン</t>
    </rPh>
    <rPh sb="4" eb="7">
      <t>コウセイイン</t>
    </rPh>
    <rPh sb="7" eb="9">
      <t>ロウドウ</t>
    </rPh>
    <rPh sb="9" eb="11">
      <t>ジカン</t>
    </rPh>
    <phoneticPr fontId="2"/>
  </si>
  <si>
    <t>構成員（人）</t>
    <rPh sb="0" eb="3">
      <t>コウセイイン</t>
    </rPh>
    <rPh sb="4" eb="5">
      <t>ニン</t>
    </rPh>
    <phoneticPr fontId="2"/>
  </si>
  <si>
    <t>農業年雇（人）</t>
    <rPh sb="0" eb="2">
      <t>ノウギョウ</t>
    </rPh>
    <rPh sb="2" eb="3">
      <t>ネン</t>
    </rPh>
    <rPh sb="3" eb="4">
      <t>コ</t>
    </rPh>
    <rPh sb="5" eb="6">
      <t>ヒト</t>
    </rPh>
    <phoneticPr fontId="2"/>
  </si>
  <si>
    <t>構成農家世帯（戸）</t>
    <rPh sb="0" eb="4">
      <t>コウセイノウカ</t>
    </rPh>
    <rPh sb="4" eb="6">
      <t>セタイ</t>
    </rPh>
    <rPh sb="7" eb="8">
      <t>コ</t>
    </rPh>
    <phoneticPr fontId="2"/>
  </si>
  <si>
    <t>窒素質肥料</t>
    <rPh sb="0" eb="2">
      <t>チッソ</t>
    </rPh>
    <rPh sb="2" eb="3">
      <t>シツ</t>
    </rPh>
    <rPh sb="3" eb="5">
      <t>ヒリョウ</t>
    </rPh>
    <phoneticPr fontId="2"/>
  </si>
  <si>
    <t>りん酸質肥料</t>
    <rPh sb="2" eb="3">
      <t>サン</t>
    </rPh>
    <rPh sb="3" eb="4">
      <t>シツ</t>
    </rPh>
    <rPh sb="4" eb="6">
      <t>ヒリョウ</t>
    </rPh>
    <phoneticPr fontId="2"/>
  </si>
  <si>
    <t>カリ質肥料</t>
    <rPh sb="2" eb="3">
      <t>シツ</t>
    </rPh>
    <rPh sb="3" eb="5">
      <t>ヒリョウ</t>
    </rPh>
    <phoneticPr fontId="2"/>
  </si>
  <si>
    <t>複合肥料</t>
    <rPh sb="0" eb="2">
      <t>フクゴウ</t>
    </rPh>
    <rPh sb="2" eb="4">
      <t>ヒリョウ</t>
    </rPh>
    <phoneticPr fontId="2"/>
  </si>
  <si>
    <t>年産　米生産費統計結果（組織法人経営体）　集計結果検討表　Ｎｏ．４</t>
    <rPh sb="12" eb="14">
      <t>ソシキ</t>
    </rPh>
    <rPh sb="14" eb="16">
      <t>ホウジン</t>
    </rPh>
    <rPh sb="21" eb="23">
      <t>シュウケイ</t>
    </rPh>
    <rPh sb="23" eb="25">
      <t>ケッカ</t>
    </rPh>
    <rPh sb="25" eb="27">
      <t>ケントウ</t>
    </rPh>
    <phoneticPr fontId="2"/>
  </si>
  <si>
    <t>諸材料費
その他の</t>
    <rPh sb="0" eb="1">
      <t>ショ</t>
    </rPh>
    <rPh sb="1" eb="3">
      <t>ザイリョウ</t>
    </rPh>
    <rPh sb="3" eb="4">
      <t>ヒ</t>
    </rPh>
    <rPh sb="7" eb="8">
      <t>タ</t>
    </rPh>
    <phoneticPr fontId="2"/>
  </si>
  <si>
    <t>及び水利費
土地改良</t>
    <rPh sb="0" eb="1">
      <t>オヨ</t>
    </rPh>
    <rPh sb="2" eb="4">
      <t>スイリ</t>
    </rPh>
    <rPh sb="4" eb="5">
      <t>ヒ</t>
    </rPh>
    <rPh sb="6" eb="8">
      <t>トチ</t>
    </rPh>
    <rPh sb="8" eb="10">
      <t>カイリョウ</t>
    </rPh>
    <phoneticPr fontId="2"/>
  </si>
  <si>
    <t>貨物自動車</t>
    <rPh sb="0" eb="2">
      <t>カモツ</t>
    </rPh>
    <rPh sb="2" eb="5">
      <t>ジドウシャ</t>
    </rPh>
    <phoneticPr fontId="2"/>
  </si>
  <si>
    <t>乗用トラクター</t>
    <rPh sb="0" eb="2">
      <t>ジョウヨウ</t>
    </rPh>
    <phoneticPr fontId="2"/>
  </si>
  <si>
    <t>歩行用トラクター</t>
    <rPh sb="0" eb="2">
      <t>ホコウ</t>
    </rPh>
    <rPh sb="2" eb="3">
      <t>ヨウ</t>
    </rPh>
    <phoneticPr fontId="2"/>
  </si>
  <si>
    <t>田植機</t>
    <rPh sb="0" eb="2">
      <t>タウエ</t>
    </rPh>
    <rPh sb="2" eb="3">
      <t>キ</t>
    </rPh>
    <phoneticPr fontId="2"/>
  </si>
  <si>
    <t>コード２１</t>
    <phoneticPr fontId="2"/>
  </si>
  <si>
    <t>コード２２</t>
    <phoneticPr fontId="2"/>
  </si>
  <si>
    <t>コード２３</t>
  </si>
  <si>
    <t>コード２４</t>
  </si>
  <si>
    <t>コード２５</t>
  </si>
  <si>
    <t>コード２６</t>
  </si>
  <si>
    <t>コード２７</t>
  </si>
  <si>
    <t>コード２８</t>
  </si>
  <si>
    <t>コード２９</t>
  </si>
  <si>
    <t>コード３０</t>
  </si>
  <si>
    <t>普通畑</t>
    <rPh sb="0" eb="2">
      <t>フツウ</t>
    </rPh>
    <rPh sb="2" eb="3">
      <t>ハタ</t>
    </rPh>
    <phoneticPr fontId="2"/>
  </si>
  <si>
    <t>樹園地</t>
    <rPh sb="0" eb="1">
      <t>ジュ</t>
    </rPh>
    <rPh sb="1" eb="3">
      <t>エンチ</t>
    </rPh>
    <phoneticPr fontId="2"/>
  </si>
  <si>
    <t>作付面積（ａ）</t>
    <rPh sb="0" eb="2">
      <t>サクツ</t>
    </rPh>
    <rPh sb="2" eb="4">
      <t>メンセキ</t>
    </rPh>
    <phoneticPr fontId="2"/>
  </si>
  <si>
    <t>構成員労働報酬</t>
    <rPh sb="0" eb="3">
      <t>コウセイイン</t>
    </rPh>
    <rPh sb="3" eb="5">
      <t>ロウドウ</t>
    </rPh>
    <rPh sb="5" eb="7">
      <t>ホウシュウ</t>
    </rPh>
    <phoneticPr fontId="2"/>
  </si>
  <si>
    <t>単位：円、ａ、kg</t>
    <rPh sb="0" eb="2">
      <t>タンイ</t>
    </rPh>
    <rPh sb="3" eb="4">
      <t>エン</t>
    </rPh>
    <phoneticPr fontId="2"/>
  </si>
  <si>
    <t>単位：円、kg、ａ、Ｌ</t>
    <rPh sb="0" eb="2">
      <t>タンイ</t>
    </rPh>
    <rPh sb="3" eb="4">
      <t>エン</t>
    </rPh>
    <phoneticPr fontId="2"/>
  </si>
  <si>
    <t>増減率</t>
    <phoneticPr fontId="2"/>
  </si>
  <si>
    <t>ａ</t>
    <phoneticPr fontId="2"/>
  </si>
  <si>
    <t>ａ</t>
    <phoneticPr fontId="2"/>
  </si>
  <si>
    <t>kg</t>
    <phoneticPr fontId="2"/>
  </si>
  <si>
    <t>増減率</t>
    <phoneticPr fontId="2"/>
  </si>
  <si>
    <t>ライスセンター</t>
    <phoneticPr fontId="2"/>
  </si>
  <si>
    <t>２　資本額及び資本利子</t>
    <rPh sb="2" eb="5">
      <t>シホンガク</t>
    </rPh>
    <rPh sb="5" eb="6">
      <t>オヨ</t>
    </rPh>
    <rPh sb="7" eb="9">
      <t>シホン</t>
    </rPh>
    <rPh sb="9" eb="11">
      <t>リシ</t>
    </rPh>
    <phoneticPr fontId="2"/>
  </si>
  <si>
    <t>３　借入金の資金種類別内訳</t>
    <rPh sb="2" eb="5">
      <t>カリイレキン</t>
    </rPh>
    <rPh sb="6" eb="8">
      <t>シキン</t>
    </rPh>
    <rPh sb="8" eb="11">
      <t>シュルイベツ</t>
    </rPh>
    <rPh sb="11" eb="13">
      <t>ウチワケ</t>
    </rPh>
    <phoneticPr fontId="2"/>
  </si>
  <si>
    <t>５　収益性</t>
    <rPh sb="2" eb="5">
      <t>シュウエキセイ</t>
    </rPh>
    <phoneticPr fontId="2"/>
  </si>
  <si>
    <t>６　農業共済金、各種助成措置の状況</t>
    <rPh sb="8" eb="10">
      <t>カクシュ</t>
    </rPh>
    <rPh sb="10" eb="12">
      <t>ジョセイ</t>
    </rPh>
    <rPh sb="12" eb="14">
      <t>ソチ</t>
    </rPh>
    <rPh sb="15" eb="17">
      <t>ジョウキョウ</t>
    </rPh>
    <phoneticPr fontId="2"/>
  </si>
  <si>
    <t>７　経営耕地（１経営体当たり）</t>
    <rPh sb="2" eb="4">
      <t>ケイエイ</t>
    </rPh>
    <rPh sb="4" eb="6">
      <t>コウチ</t>
    </rPh>
    <rPh sb="8" eb="11">
      <t>ケイエイタイ</t>
    </rPh>
    <rPh sb="11" eb="12">
      <t>ア</t>
    </rPh>
    <phoneticPr fontId="2"/>
  </si>
  <si>
    <t>８　地　代（面積は１経営体当たり）</t>
    <rPh sb="2" eb="5">
      <t>チダイ</t>
    </rPh>
    <rPh sb="6" eb="8">
      <t>メンセキ</t>
    </rPh>
    <rPh sb="10" eb="13">
      <t>ケイエイタイ</t>
    </rPh>
    <rPh sb="13" eb="14">
      <t>ア</t>
    </rPh>
    <phoneticPr fontId="2"/>
  </si>
  <si>
    <t>９　田の概況（総数）</t>
    <rPh sb="2" eb="3">
      <t>タ</t>
    </rPh>
    <rPh sb="4" eb="6">
      <t>ガイキョウ</t>
    </rPh>
    <rPh sb="7" eb="9">
      <t>ソウスウ</t>
    </rPh>
    <phoneticPr fontId="2"/>
  </si>
  <si>
    <t>10　「移植」「直まき」別作付面積（１経営体当たり）</t>
    <rPh sb="19" eb="22">
      <t>ケイエイタイ</t>
    </rPh>
    <phoneticPr fontId="2"/>
  </si>
  <si>
    <t>11　ほ場枚数及び面積（１経営体当たり）</t>
    <rPh sb="4" eb="5">
      <t>ジョウ</t>
    </rPh>
    <rPh sb="5" eb="7">
      <t>マイスウ</t>
    </rPh>
    <rPh sb="7" eb="8">
      <t>オヨ</t>
    </rPh>
    <rPh sb="9" eb="11">
      <t>メンセキ</t>
    </rPh>
    <rPh sb="13" eb="16">
      <t>ケイエイタイ</t>
    </rPh>
    <rPh sb="16" eb="17">
      <t>ア</t>
    </rPh>
    <phoneticPr fontId="2"/>
  </si>
  <si>
    <t>12　飼料用米作付状況（１経営体当たり）</t>
    <rPh sb="3" eb="6">
      <t>シリョウヨウ</t>
    </rPh>
    <rPh sb="6" eb="7">
      <t>マイ</t>
    </rPh>
    <rPh sb="7" eb="9">
      <t>サクツケ</t>
    </rPh>
    <rPh sb="9" eb="11">
      <t>ジョウキョウ</t>
    </rPh>
    <rPh sb="13" eb="16">
      <t>ケイエイタイ</t>
    </rPh>
    <rPh sb="16" eb="17">
      <t>ア</t>
    </rPh>
    <phoneticPr fontId="2"/>
  </si>
  <si>
    <t>13  団地への距離等</t>
    <rPh sb="4" eb="6">
      <t>ダンチ</t>
    </rPh>
    <rPh sb="8" eb="10">
      <t>キョリ</t>
    </rPh>
    <rPh sb="10" eb="11">
      <t>トウ</t>
    </rPh>
    <phoneticPr fontId="2"/>
  </si>
  <si>
    <t>14　稲作作業の受託状況（１経営体当たり）</t>
    <rPh sb="3" eb="5">
      <t>イナサク</t>
    </rPh>
    <rPh sb="5" eb="7">
      <t>サギョウ</t>
    </rPh>
    <rPh sb="8" eb="10">
      <t>ジュタク</t>
    </rPh>
    <rPh sb="10" eb="12">
      <t>ジョウキョウ</t>
    </rPh>
    <rPh sb="14" eb="17">
      <t>ケイエイタイ</t>
    </rPh>
    <rPh sb="17" eb="18">
      <t>ア</t>
    </rPh>
    <phoneticPr fontId="2"/>
  </si>
  <si>
    <t>15　稲作作業の委託状況（１経営体当たり）</t>
    <rPh sb="3" eb="5">
      <t>イナサク</t>
    </rPh>
    <rPh sb="5" eb="7">
      <t>サギョウ</t>
    </rPh>
    <rPh sb="8" eb="10">
      <t>イタク</t>
    </rPh>
    <rPh sb="10" eb="12">
      <t>ジョウキョウ</t>
    </rPh>
    <rPh sb="14" eb="17">
      <t>ケイエイタイ</t>
    </rPh>
    <rPh sb="17" eb="18">
      <t>ア</t>
    </rPh>
    <phoneticPr fontId="2"/>
  </si>
  <si>
    <t>16　うるち米の品種別作付面積（１経営体当たり）</t>
    <rPh sb="6" eb="7">
      <t>マイ</t>
    </rPh>
    <rPh sb="8" eb="11">
      <t>ヒンシュベツ</t>
    </rPh>
    <rPh sb="11" eb="13">
      <t>サクツケ</t>
    </rPh>
    <rPh sb="13" eb="15">
      <t>メンセキ</t>
    </rPh>
    <rPh sb="17" eb="20">
      <t>ケイエイタイ</t>
    </rPh>
    <rPh sb="20" eb="21">
      <t>ア</t>
    </rPh>
    <phoneticPr fontId="2"/>
  </si>
  <si>
    <t>販売用</t>
    <rPh sb="0" eb="2">
      <t>ハンバイ</t>
    </rPh>
    <rPh sb="2" eb="3">
      <t>ヨウ</t>
    </rPh>
    <phoneticPr fontId="2"/>
  </si>
  <si>
    <t>稲作構成員
労働評価額</t>
    <rPh sb="0" eb="1">
      <t>イネ</t>
    </rPh>
    <rPh sb="1" eb="2">
      <t>サク</t>
    </rPh>
    <rPh sb="2" eb="5">
      <t>コウセイイン</t>
    </rPh>
    <rPh sb="6" eb="7">
      <t>ロウ</t>
    </rPh>
    <rPh sb="7" eb="8">
      <t>ドウ</t>
    </rPh>
    <rPh sb="8" eb="9">
      <t>ヒョウ</t>
    </rPh>
    <rPh sb="9" eb="10">
      <t>アタイ</t>
    </rPh>
    <rPh sb="10" eb="11">
      <t>ガク</t>
    </rPh>
    <phoneticPr fontId="2"/>
  </si>
  <si>
    <t>その他</t>
    <phoneticPr fontId="2"/>
  </si>
  <si>
    <t>組織用</t>
    <rPh sb="0" eb="3">
      <t>ソシキヨウ</t>
    </rPh>
    <phoneticPr fontId="2"/>
  </si>
  <si>
    <t>住宅</t>
    <rPh sb="0" eb="2">
      <t>ジュウタク</t>
    </rPh>
    <phoneticPr fontId="2"/>
  </si>
  <si>
    <t>自給</t>
    <phoneticPr fontId="2"/>
  </si>
  <si>
    <t>20～50馬力未満</t>
    <rPh sb="5" eb="7">
      <t>バリキ</t>
    </rPh>
    <rPh sb="7" eb="9">
      <t>ミマン</t>
    </rPh>
    <phoneticPr fontId="2"/>
  </si>
  <si>
    <t>都道府県等</t>
    <rPh sb="0" eb="4">
      <t>トドウフケン</t>
    </rPh>
    <rPh sb="4" eb="5">
      <t>トウ</t>
    </rPh>
    <phoneticPr fontId="2"/>
  </si>
  <si>
    <t>田の団地数（1経営体当たり）</t>
    <rPh sb="0" eb="1">
      <t>タ</t>
    </rPh>
    <rPh sb="2" eb="4">
      <t>ダンチ</t>
    </rPh>
    <rPh sb="4" eb="5">
      <t>スウ</t>
    </rPh>
    <rPh sb="7" eb="10">
      <t>ケイエイタイ</t>
    </rPh>
    <rPh sb="10" eb="11">
      <t>ア</t>
    </rPh>
    <phoneticPr fontId="2"/>
  </si>
  <si>
    <t>３～５条植</t>
    <rPh sb="3" eb="4">
      <t>ジョウ</t>
    </rPh>
    <rPh sb="4" eb="5">
      <t>ウ</t>
    </rPh>
    <phoneticPr fontId="2"/>
  </si>
  <si>
    <t>もみすり機</t>
    <rPh sb="4" eb="5">
      <t>キ</t>
    </rPh>
    <phoneticPr fontId="2"/>
  </si>
  <si>
    <t>集計区分</t>
    <rPh sb="0" eb="2">
      <t>シュウケイ</t>
    </rPh>
    <rPh sb="2" eb="4">
      <t>クブン</t>
    </rPh>
    <phoneticPr fontId="2"/>
  </si>
  <si>
    <t>集計番号</t>
    <rPh sb="0" eb="2">
      <t>シュウケイ</t>
    </rPh>
    <rPh sb="2" eb="4">
      <t>バンゴウ</t>
    </rPh>
    <phoneticPr fontId="2"/>
  </si>
  <si>
    <t>集計名称</t>
    <rPh sb="0" eb="2">
      <t>シュウケイ</t>
    </rPh>
    <rPh sb="2" eb="4">
      <t>メイショウ</t>
    </rPh>
    <phoneticPr fontId="2"/>
  </si>
  <si>
    <t>集計経営体数</t>
    <phoneticPr fontId="2"/>
  </si>
  <si>
    <t>集計倍率</t>
  </si>
  <si>
    <t>前年産</t>
    <rPh sb="0" eb="2">
      <t>ゼンネン</t>
    </rPh>
    <rPh sb="2" eb="3">
      <t>サン</t>
    </rPh>
    <phoneticPr fontId="2"/>
  </si>
  <si>
    <t>本年産</t>
    <phoneticPr fontId="2"/>
  </si>
  <si>
    <t>調査年</t>
    <rPh sb="0" eb="2">
      <t>チョウサ</t>
    </rPh>
    <rPh sb="2" eb="3">
      <t>ネン</t>
    </rPh>
    <phoneticPr fontId="2"/>
  </si>
  <si>
    <t>経営種類</t>
    <rPh sb="0" eb="2">
      <t>ケイエイ</t>
    </rPh>
    <rPh sb="2" eb="4">
      <t>シュルイ</t>
    </rPh>
    <phoneticPr fontId="2"/>
  </si>
  <si>
    <t>生産費区分</t>
    <rPh sb="0" eb="3">
      <t>セイサンヒ</t>
    </rPh>
    <rPh sb="3" eb="5">
      <t>クブン</t>
    </rPh>
    <phoneticPr fontId="2"/>
  </si>
  <si>
    <t>規模階層</t>
    <rPh sb="0" eb="2">
      <t>キボ</t>
    </rPh>
    <rPh sb="2" eb="4">
      <t>カイソウ</t>
    </rPh>
    <phoneticPr fontId="2"/>
  </si>
  <si>
    <t>加重・総和の別</t>
    <rPh sb="0" eb="2">
      <t>カジュウ</t>
    </rPh>
    <rPh sb="3" eb="5">
      <t>ソウワ</t>
    </rPh>
    <rPh sb="6" eb="7">
      <t>ベツ</t>
    </rPh>
    <phoneticPr fontId="2"/>
  </si>
  <si>
    <t>年産　米生産費統計結果（組織法人経営体）　集計結果検討表　Ｎｏ．５</t>
    <rPh sb="12" eb="14">
      <t>ソシキ</t>
    </rPh>
    <rPh sb="14" eb="16">
      <t>ホウジン</t>
    </rPh>
    <rPh sb="21" eb="23">
      <t>シュウケイ</t>
    </rPh>
    <rPh sb="23" eb="25">
      <t>ケッカ</t>
    </rPh>
    <rPh sb="25" eb="27">
      <t>ケントウ</t>
    </rPh>
    <phoneticPr fontId="2"/>
  </si>
  <si>
    <t>都道府県番号</t>
  </si>
  <si>
    <t>コード</t>
    <phoneticPr fontId="9"/>
  </si>
  <si>
    <t>集計区分</t>
    <phoneticPr fontId="9"/>
  </si>
  <si>
    <t>米</t>
    <rPh sb="0" eb="1">
      <t>コメ</t>
    </rPh>
    <phoneticPr fontId="9"/>
  </si>
  <si>
    <t>平均値種類</t>
    <rPh sb="0" eb="3">
      <t>ヘイキンチ</t>
    </rPh>
    <rPh sb="3" eb="5">
      <t>シュルイ</t>
    </rPh>
    <phoneticPr fontId="9"/>
  </si>
  <si>
    <t>コード</t>
  </si>
  <si>
    <t>加重・総和の別</t>
    <rPh sb="0" eb="2">
      <t>カジュウ</t>
    </rPh>
    <rPh sb="3" eb="5">
      <t>ソウワ</t>
    </rPh>
    <rPh sb="6" eb="7">
      <t>ベツ</t>
    </rPh>
    <phoneticPr fontId="11"/>
  </si>
  <si>
    <t>経営種類</t>
    <rPh sb="0" eb="2">
      <t>ケイエイ</t>
    </rPh>
    <rPh sb="2" eb="4">
      <t>シュルイ</t>
    </rPh>
    <phoneticPr fontId="12"/>
  </si>
  <si>
    <t>青森</t>
    <rPh sb="0" eb="2">
      <t>アオモリ</t>
    </rPh>
    <phoneticPr fontId="9"/>
  </si>
  <si>
    <t>全調査対象</t>
    <rPh sb="0" eb="3">
      <t>ゼンチョウサ</t>
    </rPh>
    <rPh sb="3" eb="5">
      <t>タイショウ</t>
    </rPh>
    <phoneticPr fontId="9"/>
  </si>
  <si>
    <t>通常</t>
    <rPh sb="0" eb="2">
      <t>ツウジョウ</t>
    </rPh>
    <phoneticPr fontId="9"/>
  </si>
  <si>
    <t>加重平均</t>
    <rPh sb="0" eb="2">
      <t>カジュウ</t>
    </rPh>
    <rPh sb="2" eb="4">
      <t>ヘイキン</t>
    </rPh>
    <phoneticPr fontId="9"/>
  </si>
  <si>
    <t>個別経営体</t>
    <rPh sb="0" eb="2">
      <t>コベツ</t>
    </rPh>
    <rPh sb="2" eb="4">
      <t>ケイエイ</t>
    </rPh>
    <rPh sb="4" eb="5">
      <t>タイ</t>
    </rPh>
    <phoneticPr fontId="12"/>
  </si>
  <si>
    <t>岩手</t>
    <rPh sb="0" eb="2">
      <t>イワテ</t>
    </rPh>
    <phoneticPr fontId="9"/>
  </si>
  <si>
    <t>総数</t>
    <rPh sb="0" eb="2">
      <t>ソウスウ</t>
    </rPh>
    <phoneticPr fontId="12"/>
  </si>
  <si>
    <t>総和平均</t>
    <rPh sb="0" eb="2">
      <t>ソウワ</t>
    </rPh>
    <rPh sb="2" eb="4">
      <t>ヘイキン</t>
    </rPh>
    <phoneticPr fontId="12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</si>
  <si>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2"/>
  </si>
  <si>
    <t>宮城</t>
    <rPh sb="0" eb="2">
      <t>ミヤギ</t>
    </rPh>
    <phoneticPr fontId="9"/>
  </si>
  <si>
    <t>10ａ当たり</t>
    <rPh sb="3" eb="4">
      <t>ア</t>
    </rPh>
    <phoneticPr fontId="12"/>
  </si>
  <si>
    <t>秋田</t>
    <rPh sb="0" eb="2">
      <t>アキタ</t>
    </rPh>
    <phoneticPr fontId="9"/>
  </si>
  <si>
    <t>単位数量当たり</t>
    <rPh sb="0" eb="2">
      <t>タンイ</t>
    </rPh>
    <rPh sb="2" eb="4">
      <t>スウリョウ</t>
    </rPh>
    <rPh sb="4" eb="5">
      <t>ア</t>
    </rPh>
    <phoneticPr fontId="12"/>
  </si>
  <si>
    <t>山形</t>
    <rPh sb="0" eb="2">
      <t>ヤマガタ</t>
    </rPh>
    <phoneticPr fontId="9"/>
  </si>
  <si>
    <t>集計対象</t>
    <rPh sb="0" eb="2">
      <t>シュウケイ</t>
    </rPh>
    <rPh sb="2" eb="4">
      <t>タイショウ</t>
    </rPh>
    <phoneticPr fontId="9"/>
  </si>
  <si>
    <t>１経営体当たり</t>
    <rPh sb="1" eb="4">
      <t>ケイエイタイ</t>
    </rPh>
    <rPh sb="4" eb="5">
      <t>ア</t>
    </rPh>
    <phoneticPr fontId="12"/>
  </si>
  <si>
    <t>福島</t>
    <rPh sb="0" eb="2">
      <t>フクシマ</t>
    </rPh>
    <phoneticPr fontId="9"/>
  </si>
  <si>
    <t>茨城</t>
    <rPh sb="0" eb="2">
      <t>イバラキ</t>
    </rPh>
    <phoneticPr fontId="9"/>
  </si>
  <si>
    <t>栃木</t>
    <rPh sb="0" eb="2">
      <t>トチギ</t>
    </rPh>
    <phoneticPr fontId="9"/>
  </si>
  <si>
    <t>群馬</t>
    <rPh sb="0" eb="2">
      <t>グンマ</t>
    </rPh>
    <phoneticPr fontId="9"/>
  </si>
  <si>
    <t>埼玉</t>
    <rPh sb="0" eb="2">
      <t>サイタマ</t>
    </rPh>
    <phoneticPr fontId="9"/>
  </si>
  <si>
    <t>千葉</t>
    <rPh sb="0" eb="2">
      <t>チバ</t>
    </rPh>
    <phoneticPr fontId="9"/>
  </si>
  <si>
    <t>東京</t>
    <rPh sb="0" eb="2">
      <t>トウキョウ</t>
    </rPh>
    <phoneticPr fontId="9"/>
  </si>
  <si>
    <t>神奈川</t>
    <rPh sb="0" eb="3">
      <t>カナガワ</t>
    </rPh>
    <phoneticPr fontId="9"/>
  </si>
  <si>
    <t>新潟</t>
    <rPh sb="0" eb="2">
      <t>ニイガタ</t>
    </rPh>
    <phoneticPr fontId="9"/>
  </si>
  <si>
    <t>富山</t>
    <rPh sb="0" eb="2">
      <t>トヤマ</t>
    </rPh>
    <phoneticPr fontId="9"/>
  </si>
  <si>
    <t>石川</t>
    <rPh sb="0" eb="2">
      <t>イシカワ</t>
    </rPh>
    <phoneticPr fontId="9"/>
  </si>
  <si>
    <t>福井</t>
    <rPh sb="0" eb="2">
      <t>フクイ</t>
    </rPh>
    <phoneticPr fontId="9"/>
  </si>
  <si>
    <t>山梨</t>
    <rPh sb="0" eb="2">
      <t>ヤマナシ</t>
    </rPh>
    <phoneticPr fontId="9"/>
  </si>
  <si>
    <t>長野</t>
    <rPh sb="0" eb="2">
      <t>ナガノ</t>
    </rPh>
    <phoneticPr fontId="9"/>
  </si>
  <si>
    <t>岐阜</t>
    <rPh sb="0" eb="2">
      <t>ギフ</t>
    </rPh>
    <phoneticPr fontId="9"/>
  </si>
  <si>
    <t>静岡</t>
    <rPh sb="0" eb="2">
      <t>シズオカ</t>
    </rPh>
    <phoneticPr fontId="9"/>
  </si>
  <si>
    <t>愛知</t>
    <rPh sb="0" eb="2">
      <t>アイチ</t>
    </rPh>
    <phoneticPr fontId="9"/>
  </si>
  <si>
    <t>三重</t>
    <rPh sb="0" eb="2">
      <t>ミエ</t>
    </rPh>
    <phoneticPr fontId="9"/>
  </si>
  <si>
    <t>滋賀</t>
    <rPh sb="0" eb="2">
      <t>シガ</t>
    </rPh>
    <phoneticPr fontId="9"/>
  </si>
  <si>
    <t>京都</t>
    <rPh sb="0" eb="2">
      <t>キョウト</t>
    </rPh>
    <phoneticPr fontId="9"/>
  </si>
  <si>
    <t>大阪</t>
    <rPh sb="0" eb="2">
      <t>オオサカ</t>
    </rPh>
    <phoneticPr fontId="9"/>
  </si>
  <si>
    <t>兵庫</t>
    <rPh sb="0" eb="2">
      <t>ヒョウゴ</t>
    </rPh>
    <phoneticPr fontId="9"/>
  </si>
  <si>
    <t>奈良</t>
    <rPh sb="0" eb="2">
      <t>ナラ</t>
    </rPh>
    <phoneticPr fontId="9"/>
  </si>
  <si>
    <t>和歌山</t>
    <rPh sb="0" eb="3">
      <t>ワカヤマ</t>
    </rPh>
    <phoneticPr fontId="9"/>
  </si>
  <si>
    <t>鳥取</t>
    <rPh sb="0" eb="2">
      <t>トットリ</t>
    </rPh>
    <phoneticPr fontId="9"/>
  </si>
  <si>
    <t>島根</t>
    <rPh sb="0" eb="2">
      <t>シマネ</t>
    </rPh>
    <phoneticPr fontId="9"/>
  </si>
  <si>
    <t>岡山</t>
    <rPh sb="0" eb="2">
      <t>オカヤマ</t>
    </rPh>
    <phoneticPr fontId="9"/>
  </si>
  <si>
    <t>広島</t>
    <rPh sb="0" eb="2">
      <t>ヒロシマ</t>
    </rPh>
    <phoneticPr fontId="9"/>
  </si>
  <si>
    <t>山口</t>
    <rPh sb="0" eb="2">
      <t>ヤマグチ</t>
    </rPh>
    <phoneticPr fontId="9"/>
  </si>
  <si>
    <t>徳島</t>
    <rPh sb="0" eb="2">
      <t>トクシマ</t>
    </rPh>
    <phoneticPr fontId="9"/>
  </si>
  <si>
    <t>香川</t>
    <rPh sb="0" eb="2">
      <t>カガワ</t>
    </rPh>
    <phoneticPr fontId="9"/>
  </si>
  <si>
    <t>愛媛</t>
    <rPh sb="0" eb="2">
      <t>エヒメ</t>
    </rPh>
    <phoneticPr fontId="9"/>
  </si>
  <si>
    <t>高知</t>
    <rPh sb="0" eb="2">
      <t>コウチ</t>
    </rPh>
    <phoneticPr fontId="9"/>
  </si>
  <si>
    <t>福岡</t>
    <rPh sb="0" eb="2">
      <t>フクオカ</t>
    </rPh>
    <phoneticPr fontId="9"/>
  </si>
  <si>
    <t>佐賀</t>
    <rPh sb="0" eb="2">
      <t>サガ</t>
    </rPh>
    <phoneticPr fontId="9"/>
  </si>
  <si>
    <t>長崎</t>
    <rPh sb="0" eb="2">
      <t>ナガサキ</t>
    </rPh>
    <phoneticPr fontId="9"/>
  </si>
  <si>
    <t>熊本</t>
    <rPh sb="0" eb="2">
      <t>クマモト</t>
    </rPh>
    <phoneticPr fontId="9"/>
  </si>
  <si>
    <t>大分</t>
    <rPh sb="0" eb="2">
      <t>オオイタ</t>
    </rPh>
    <phoneticPr fontId="9"/>
  </si>
  <si>
    <t>宮崎</t>
    <rPh sb="0" eb="2">
      <t>ミヤザキ</t>
    </rPh>
    <phoneticPr fontId="9"/>
  </si>
  <si>
    <t>鹿児島</t>
    <rPh sb="0" eb="3">
      <t>カゴシマ</t>
    </rPh>
    <phoneticPr fontId="9"/>
  </si>
  <si>
    <t>沖縄</t>
    <rPh sb="0" eb="2">
      <t>オキナワ</t>
    </rPh>
    <phoneticPr fontId="9"/>
  </si>
  <si>
    <t>北海道</t>
    <rPh sb="0" eb="3">
      <t>ホッカイドウ</t>
    </rPh>
    <phoneticPr fontId="9"/>
  </si>
  <si>
    <t>農機具等</t>
    <rPh sb="0" eb="3">
      <t>ノウキグ</t>
    </rPh>
    <rPh sb="3" eb="4">
      <t>トウ</t>
    </rPh>
    <phoneticPr fontId="2"/>
  </si>
  <si>
    <t>全国</t>
    <rPh sb="0" eb="2">
      <t>ゼンコク</t>
    </rPh>
    <phoneticPr fontId="9"/>
  </si>
  <si>
    <t>都府県平均</t>
    <rPh sb="0" eb="3">
      <t>トフケン</t>
    </rPh>
    <rPh sb="3" eb="5">
      <t>ヘイキン</t>
    </rPh>
    <phoneticPr fontId="9"/>
  </si>
  <si>
    <t>東北</t>
    <rPh sb="0" eb="2">
      <t>トウホク</t>
    </rPh>
    <phoneticPr fontId="9"/>
  </si>
  <si>
    <t>北陸</t>
    <rPh sb="0" eb="2">
      <t>ホクリク</t>
    </rPh>
    <phoneticPr fontId="9"/>
  </si>
  <si>
    <t>関東・東山</t>
    <rPh sb="0" eb="2">
      <t>カントウ</t>
    </rPh>
    <rPh sb="3" eb="5">
      <t>ヒガシヤマ</t>
    </rPh>
    <phoneticPr fontId="9"/>
  </si>
  <si>
    <t>東海</t>
    <rPh sb="0" eb="2">
      <t>トウカイ</t>
    </rPh>
    <phoneticPr fontId="9"/>
  </si>
  <si>
    <t>近畿</t>
    <rPh sb="0" eb="2">
      <t>キンキ</t>
    </rPh>
    <phoneticPr fontId="9"/>
  </si>
  <si>
    <t>中国</t>
    <rPh sb="0" eb="2">
      <t>チュウゴク</t>
    </rPh>
    <phoneticPr fontId="9"/>
  </si>
  <si>
    <t>四国</t>
    <rPh sb="0" eb="2">
      <t>シコク</t>
    </rPh>
    <phoneticPr fontId="9"/>
  </si>
  <si>
    <t>九州</t>
    <rPh sb="0" eb="2">
      <t>キュウシュウ</t>
    </rPh>
    <phoneticPr fontId="9"/>
  </si>
  <si>
    <t>北関東</t>
    <rPh sb="0" eb="1">
      <t>キタ</t>
    </rPh>
    <rPh sb="1" eb="3">
      <t>カントウ</t>
    </rPh>
    <phoneticPr fontId="9"/>
  </si>
  <si>
    <t>南関東</t>
    <rPh sb="0" eb="1">
      <t>ミナミ</t>
    </rPh>
    <rPh sb="1" eb="3">
      <t>カントウ</t>
    </rPh>
    <phoneticPr fontId="9"/>
  </si>
  <si>
    <t>東山</t>
    <rPh sb="0" eb="2">
      <t>ヒガシヤマ</t>
    </rPh>
    <phoneticPr fontId="9"/>
  </si>
  <si>
    <t>北東北</t>
    <rPh sb="0" eb="1">
      <t>キタ</t>
    </rPh>
    <rPh sb="1" eb="3">
      <t>トウホク</t>
    </rPh>
    <phoneticPr fontId="9"/>
  </si>
  <si>
    <t>南東北</t>
    <rPh sb="0" eb="1">
      <t>ミナミ</t>
    </rPh>
    <rPh sb="1" eb="3">
      <t>トウホク</t>
    </rPh>
    <phoneticPr fontId="9"/>
  </si>
  <si>
    <t>山陰</t>
    <rPh sb="0" eb="2">
      <t>サンイン</t>
    </rPh>
    <phoneticPr fontId="9"/>
  </si>
  <si>
    <t>山陽</t>
    <rPh sb="0" eb="2">
      <t>サンヨウ</t>
    </rPh>
    <phoneticPr fontId="9"/>
  </si>
  <si>
    <t>北九州</t>
    <rPh sb="0" eb="3">
      <t>キタキュウシュウ</t>
    </rPh>
    <phoneticPr fontId="9"/>
  </si>
  <si>
    <t>南九州</t>
    <rPh sb="0" eb="1">
      <t>ミナミ</t>
    </rPh>
    <rPh sb="1" eb="3">
      <t>キュウシュウ</t>
    </rPh>
    <phoneticPr fontId="9"/>
  </si>
  <si>
    <t>関東農政局</t>
    <rPh sb="0" eb="2">
      <t>カントウ</t>
    </rPh>
    <rPh sb="2" eb="5">
      <t>ノウセイキョク</t>
    </rPh>
    <phoneticPr fontId="9"/>
  </si>
  <si>
    <t>東海農政局</t>
    <rPh sb="0" eb="2">
      <t>トウカイ</t>
    </rPh>
    <rPh sb="2" eb="5">
      <t>ノウセイキョク</t>
    </rPh>
    <phoneticPr fontId="9"/>
  </si>
  <si>
    <t>中国四国局</t>
    <rPh sb="0" eb="2">
      <t>チュウゴク</t>
    </rPh>
    <rPh sb="2" eb="4">
      <t>シコク</t>
    </rPh>
    <rPh sb="4" eb="5">
      <t>キョク</t>
    </rPh>
    <phoneticPr fontId="9"/>
  </si>
  <si>
    <t>コード</t>
    <phoneticPr fontId="9"/>
  </si>
  <si>
    <t>米</t>
    <rPh sb="0" eb="1">
      <t>コメ</t>
    </rPh>
    <phoneticPr fontId="6"/>
  </si>
  <si>
    <t>規模階層</t>
  </si>
  <si>
    <t>5.0ha未満</t>
    <rPh sb="5" eb="7">
      <t>ミマン</t>
    </rPh>
    <phoneticPr fontId="6"/>
  </si>
  <si>
    <t>5.0～10.0</t>
  </si>
  <si>
    <t>10.0ha以上</t>
    <rPh sb="6" eb="8">
      <t>イジョウ</t>
    </rPh>
    <phoneticPr fontId="6"/>
  </si>
  <si>
    <t>10.0～15.0</t>
  </si>
  <si>
    <t>15.0ha以上</t>
    <rPh sb="6" eb="8">
      <t>イジョウ</t>
    </rPh>
    <phoneticPr fontId="6"/>
  </si>
  <si>
    <t>15.0～20.0</t>
  </si>
  <si>
    <t>20.0ha以上</t>
    <rPh sb="6" eb="8">
      <t>イジョウ</t>
    </rPh>
    <phoneticPr fontId="6"/>
  </si>
  <si>
    <t>20.0～30.0</t>
  </si>
  <si>
    <t>30.0ha以上</t>
    <rPh sb="6" eb="8">
      <t>イジョウ</t>
    </rPh>
    <phoneticPr fontId="6"/>
  </si>
  <si>
    <t>30.0～50.0</t>
  </si>
  <si>
    <t>50.0ha以上</t>
    <rPh sb="6" eb="8">
      <t>イジョウ</t>
    </rPh>
    <phoneticPr fontId="6"/>
  </si>
  <si>
    <t>100.0ha以上</t>
    <rPh sb="7" eb="9">
      <t>イジョウ</t>
    </rPh>
    <phoneticPr fontId="6"/>
  </si>
  <si>
    <t>50.0～100.0</t>
    <phoneticPr fontId="6"/>
  </si>
  <si>
    <t>共　同
負担金</t>
    <rPh sb="0" eb="1">
      <t>トモ</t>
    </rPh>
    <rPh sb="2" eb="3">
      <t>ドウ</t>
    </rPh>
    <rPh sb="4" eb="7">
      <t>フタンキン</t>
    </rPh>
    <phoneticPr fontId="2"/>
  </si>
  <si>
    <t>平均</t>
    <rPh sb="0" eb="2">
      <t>ヘイキン</t>
    </rPh>
    <phoneticPr fontId="9"/>
  </si>
  <si>
    <t>上記以外の乾燥・調製委託料</t>
    <phoneticPr fontId="2"/>
  </si>
  <si>
    <t>事務所</t>
    <phoneticPr fontId="2"/>
  </si>
  <si>
    <t>作業場</t>
    <phoneticPr fontId="2"/>
  </si>
  <si>
    <t>車庫</t>
    <phoneticPr fontId="2"/>
  </si>
  <si>
    <t>育苗ハウス</t>
    <phoneticPr fontId="2"/>
  </si>
  <si>
    <t>稲架</t>
    <phoneticPr fontId="2"/>
  </si>
  <si>
    <t>作業道</t>
    <phoneticPr fontId="2"/>
  </si>
  <si>
    <t>50～80馬力未満</t>
    <phoneticPr fontId="2"/>
  </si>
  <si>
    <t>80～100馬力未満</t>
    <phoneticPr fontId="2"/>
  </si>
  <si>
    <t>６～７条植</t>
    <phoneticPr fontId="2"/>
  </si>
  <si>
    <t>４～５条刈</t>
    <phoneticPr fontId="2"/>
  </si>
  <si>
    <t>ドローン</t>
    <phoneticPr fontId="2"/>
  </si>
  <si>
    <t>自脱型コ
ンバイン</t>
    <rPh sb="0" eb="1">
      <t>ジ</t>
    </rPh>
    <rPh sb="1" eb="2">
      <t>ダツ</t>
    </rPh>
    <rPh sb="2" eb="3">
      <t>ガタ</t>
    </rPh>
    <phoneticPr fontId="2"/>
  </si>
  <si>
    <t>使用台数（10経営体当たり）</t>
    <rPh sb="0" eb="2">
      <t>シヨウ</t>
    </rPh>
    <rPh sb="2" eb="4">
      <t>ダイスウ</t>
    </rPh>
    <rPh sb="7" eb="10">
      <t>ケイエイタイ</t>
    </rPh>
    <rPh sb="10" eb="11">
      <t>ア</t>
    </rPh>
    <phoneticPr fontId="2"/>
  </si>
  <si>
    <t>100馬力以上</t>
    <rPh sb="3" eb="5">
      <t>バリキ</t>
    </rPh>
    <rPh sb="5" eb="7">
      <t>イジョウ</t>
    </rPh>
    <phoneticPr fontId="2"/>
  </si>
  <si>
    <t>８条植以上</t>
    <rPh sb="1" eb="2">
      <t>ジョウ</t>
    </rPh>
    <rPh sb="2" eb="3">
      <t>ウエ</t>
    </rPh>
    <rPh sb="3" eb="5">
      <t>イジョウ</t>
    </rPh>
    <phoneticPr fontId="2"/>
  </si>
  <si>
    <t>６条以上</t>
    <rPh sb="1" eb="2">
      <t>ジョウ</t>
    </rPh>
    <rPh sb="2" eb="4">
      <t>イジョウ</t>
    </rPh>
    <phoneticPr fontId="2"/>
  </si>
  <si>
    <t>17  食用米の田植、収穫期間</t>
    <rPh sb="4" eb="6">
      <t>ショクヨウ</t>
    </rPh>
    <rPh sb="6" eb="7">
      <t>コメ</t>
    </rPh>
    <rPh sb="8" eb="10">
      <t>タウエ</t>
    </rPh>
    <rPh sb="11" eb="13">
      <t>シュウカク</t>
    </rPh>
    <rPh sb="13" eb="15">
      <t>キカン</t>
    </rPh>
    <phoneticPr fontId="2"/>
  </si>
  <si>
    <t>単位：日</t>
    <rPh sb="0" eb="2">
      <t>タンイ</t>
    </rPh>
    <rPh sb="3" eb="4">
      <t>ニチ</t>
    </rPh>
    <phoneticPr fontId="2"/>
  </si>
  <si>
    <t>田植</t>
    <rPh sb="0" eb="2">
      <t>タウエ</t>
    </rPh>
    <phoneticPr fontId="2"/>
  </si>
  <si>
    <t>収穫</t>
    <rPh sb="0" eb="2">
      <t>シュウカク</t>
    </rPh>
    <phoneticPr fontId="2"/>
  </si>
  <si>
    <t>18　投下労働時間</t>
    <rPh sb="3" eb="5">
      <t>トウカ</t>
    </rPh>
    <rPh sb="5" eb="7">
      <t>ロウドウ</t>
    </rPh>
    <rPh sb="7" eb="9">
      <t>ジカン</t>
    </rPh>
    <phoneticPr fontId="2"/>
  </si>
  <si>
    <t>19　年齢階層別構成員労働時間及び労働評価</t>
    <rPh sb="3" eb="5">
      <t>ネンレイ</t>
    </rPh>
    <rPh sb="5" eb="8">
      <t>カイソウベツ</t>
    </rPh>
    <rPh sb="8" eb="11">
      <t>コウセイイン</t>
    </rPh>
    <rPh sb="11" eb="13">
      <t>ロウドウ</t>
    </rPh>
    <rPh sb="13" eb="15">
      <t>ジカン</t>
    </rPh>
    <rPh sb="15" eb="16">
      <t>オヨ</t>
    </rPh>
    <rPh sb="17" eb="19">
      <t>ロウドウ</t>
    </rPh>
    <rPh sb="19" eb="21">
      <t>ヒョウカ</t>
    </rPh>
    <phoneticPr fontId="2"/>
  </si>
  <si>
    <t>20　構成員数等（１経営体当たり）</t>
    <rPh sb="3" eb="6">
      <t>コウセイイン</t>
    </rPh>
    <rPh sb="6" eb="7">
      <t>スウ</t>
    </rPh>
    <rPh sb="7" eb="8">
      <t>トウ</t>
    </rPh>
    <rPh sb="10" eb="13">
      <t>ケイエイタイ</t>
    </rPh>
    <rPh sb="13" eb="14">
      <t>ア</t>
    </rPh>
    <phoneticPr fontId="2"/>
  </si>
  <si>
    <t>21　労働時間及び労働費</t>
    <rPh sb="3" eb="5">
      <t>ロウドウ</t>
    </rPh>
    <rPh sb="5" eb="7">
      <t>ジカン</t>
    </rPh>
    <rPh sb="7" eb="8">
      <t>オヨ</t>
    </rPh>
    <rPh sb="9" eb="12">
      <t>ロウドウヒ</t>
    </rPh>
    <phoneticPr fontId="2"/>
  </si>
  <si>
    <t>22　原単位</t>
    <rPh sb="3" eb="6">
      <t>ゲンタンイ</t>
    </rPh>
    <phoneticPr fontId="2"/>
  </si>
  <si>
    <t>22　原単位（続き）</t>
    <rPh sb="3" eb="6">
      <t>ゲンタンイ</t>
    </rPh>
    <rPh sb="7" eb="8">
      <t>ツヅ</t>
    </rPh>
    <phoneticPr fontId="2"/>
  </si>
  <si>
    <t>23　物件税及び公課諸負担</t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phoneticPr fontId="2"/>
  </si>
  <si>
    <t>24　生産物の処分内訳</t>
    <rPh sb="3" eb="6">
      <t>セイサンブツ</t>
    </rPh>
    <rPh sb="7" eb="9">
      <t>ショブン</t>
    </rPh>
    <rPh sb="9" eb="11">
      <t>ウチワケ</t>
    </rPh>
    <phoneticPr fontId="2"/>
  </si>
  <si>
    <t>25　減価償却費</t>
    <rPh sb="3" eb="5">
      <t>ゲンカ</t>
    </rPh>
    <rPh sb="5" eb="8">
      <t>ショウキャクヒ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</si>
</sst>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#0&quot; 年産&quot;"/>
    <numFmt numFmtId="177" formatCode="#\ ##0.00"/>
    <numFmt numFmtId="178" formatCode="#\ ##0"/>
    <numFmt numFmtId="179" formatCode="_ * ###0.0;_ * \-###0.0;_ * &quot;-&quot;_ ;_ @_ "/>
    <numFmt numFmtId="180" formatCode="##\ ###\ ###\ ##0"/>
    <numFmt numFmtId="181" formatCode="##\ ###\ ###\ ##0.0"/>
    <numFmt numFmtId="182" formatCode="##\ ###\ ###\ ##0.00"/>
    <numFmt numFmtId="183" formatCode="###\ ###\ ###\ ##0"/>
    <numFmt numFmtId="184" formatCode="###\ ##0.0"/>
    <numFmt numFmtId="185" formatCode="###\ ###\ ##0.0"/>
    <numFmt numFmtId="186" formatCode="&quot;《&quot;000000&quot;》&quot;"/>
    <numFmt numFmtId="187" formatCode="00"/>
    <numFmt numFmtId="188" formatCode="#,##0;\-#,##0;0"/>
    <numFmt numFmtId="189" formatCode="#,##0.0;\-#,##0.0;0.0"/>
    <numFmt numFmtId="190" formatCode="#\ ###\ ###\ ##0"/>
    <numFmt numFmtId="191" formatCode="#,##0.00;\-#,##0.00;0.00"/>
  </numFmts>
  <fonts count="16">
    <font>
      <sz val="10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name val="明朝"/>
      <family val="1"/>
      <charset val="128"/>
    </font>
    <font>
      <sz val="11"/>
      <name val="ＭＳ ゴシック"/>
      <family val="3"/>
      <charset val="128"/>
    </font>
    <font>
      <sz val="6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2"/>
      <name val="ＭＳ 明朝"/>
      <family val="1"/>
      <charset val="128"/>
    </font>
    <font>
      <sz val="7.5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hair">
        <color indexed="64"/>
      </diagonal>
    </border>
    <border diagonalDown="1">
      <left/>
      <right/>
      <top/>
      <bottom style="medium">
        <color indexed="64"/>
      </bottom>
      <diagonal style="hair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hair">
        <color indexed="64"/>
      </diagonal>
    </border>
    <border diagonalDown="1">
      <left/>
      <right/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/>
      <top style="medium">
        <color indexed="64"/>
      </top>
      <bottom/>
      <diagonal style="hair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/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/>
      <diagonal style="hair">
        <color indexed="64"/>
      </diagonal>
    </border>
    <border diagonalDown="1">
      <left style="medium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medium">
        <color indexed="64"/>
      </top>
      <bottom style="medium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medium">
        <color indexed="64"/>
      </right>
      <top/>
      <bottom/>
      <diagonal style="hair">
        <color indexed="64"/>
      </diagonal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medium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/>
      <right style="medium">
        <color indexed="64"/>
      </right>
      <top style="medium">
        <color indexed="64"/>
      </top>
      <bottom/>
      <diagonal/>
    </border>
    <border diagonalDown="1">
      <left/>
      <right/>
      <top style="medium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/>
      <right style="medium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/>
      <diagonal style="hair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 diagonalDown="1">
      <left style="medium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medium">
        <color indexed="64"/>
      </right>
      <top/>
      <bottom style="thin">
        <color indexed="64"/>
      </bottom>
      <diagonal style="hair">
        <color indexed="64"/>
      </diagonal>
    </border>
    <border diagonalDown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/>
      <bottom style="medium">
        <color indexed="64"/>
      </bottom>
      <diagonal style="hair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7" fillId="0" borderId="0"/>
    <xf numFmtId="0" fontId="10" fillId="0" borderId="0">
      <alignment vertical="center"/>
    </xf>
  </cellStyleXfs>
  <cellXfs count="729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2" xfId="0" applyFont="1" applyBorder="1" applyAlignment="1">
      <alignment horizontal="distributed" vertical="center" justifyLastLine="1"/>
    </xf>
    <xf numFmtId="0" fontId="5" fillId="0" borderId="0" xfId="0" applyFont="1" applyAlignment="1">
      <alignment horizontal="distributed" vertical="center" justifyLastLine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distributed" vertical="center"/>
    </xf>
    <xf numFmtId="0" fontId="5" fillId="0" borderId="5" xfId="0" applyFont="1" applyBorder="1" applyAlignment="1">
      <alignment vertical="center"/>
    </xf>
    <xf numFmtId="0" fontId="5" fillId="0" borderId="2" xfId="0" applyFont="1" applyBorder="1"/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4" fillId="0" borderId="6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distributed" justifyLastLine="1"/>
    </xf>
    <xf numFmtId="0" fontId="5" fillId="0" borderId="11" xfId="0" applyFont="1" applyBorder="1" applyAlignment="1">
      <alignment horizontal="center" vertical="distributed" textRotation="255"/>
    </xf>
    <xf numFmtId="0" fontId="5" fillId="0" borderId="0" xfId="0" applyFont="1" applyAlignment="1">
      <alignment horizontal="center" vertical="distributed" textRotation="255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distributed" vertical="center"/>
    </xf>
    <xf numFmtId="0" fontId="5" fillId="0" borderId="1" xfId="0" applyFont="1" applyBorder="1" applyAlignment="1">
      <alignment vertical="center" shrinkToFit="1"/>
    </xf>
    <xf numFmtId="0" fontId="5" fillId="0" borderId="3" xfId="0" applyFont="1" applyBorder="1" applyAlignment="1">
      <alignment horizontal="distributed" vertical="center"/>
    </xf>
    <xf numFmtId="0" fontId="1" fillId="0" borderId="0" xfId="0" applyFont="1"/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 shrinkToFit="1"/>
    </xf>
    <xf numFmtId="0" fontId="0" fillId="0" borderId="0" xfId="0" applyAlignment="1">
      <alignment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 shrinkToFit="1"/>
    </xf>
    <xf numFmtId="181" fontId="1" fillId="0" borderId="0" xfId="0" applyNumberFormat="1" applyFont="1" applyAlignment="1">
      <alignment horizontal="right" vertical="center" shrinkToFit="1"/>
    </xf>
    <xf numFmtId="0" fontId="5" fillId="0" borderId="9" xfId="0" applyFont="1" applyBorder="1" applyAlignment="1">
      <alignment vertical="center" shrinkToFit="1"/>
    </xf>
    <xf numFmtId="0" fontId="5" fillId="0" borderId="2" xfId="0" applyFont="1" applyBorder="1" applyAlignment="1">
      <alignment vertical="center" textRotation="255"/>
    </xf>
    <xf numFmtId="0" fontId="5" fillId="0" borderId="10" xfId="0" applyFont="1" applyBorder="1" applyAlignment="1">
      <alignment vertical="center" textRotation="255"/>
    </xf>
    <xf numFmtId="0" fontId="5" fillId="0" borderId="0" xfId="0" applyFont="1" applyAlignment="1">
      <alignment vertical="center" justifyLastLine="1"/>
    </xf>
    <xf numFmtId="176" fontId="5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80" fontId="1" fillId="0" borderId="0" xfId="0" applyNumberFormat="1" applyFont="1" applyAlignment="1">
      <alignment vertical="center" shrinkToFit="1"/>
    </xf>
    <xf numFmtId="181" fontId="1" fillId="0" borderId="0" xfId="0" applyNumberFormat="1" applyFont="1" applyAlignment="1">
      <alignment vertical="center" shrinkToFit="1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 justifyLastLine="1"/>
    </xf>
    <xf numFmtId="0" fontId="5" fillId="0" borderId="0" xfId="0" applyFont="1" applyAlignment="1">
      <alignment justifyLastLine="1"/>
    </xf>
    <xf numFmtId="176" fontId="5" fillId="0" borderId="2" xfId="0" applyNumberFormat="1" applyFont="1" applyBorder="1" applyAlignment="1">
      <alignment vertical="center"/>
    </xf>
    <xf numFmtId="180" fontId="1" fillId="0" borderId="2" xfId="0" applyNumberFormat="1" applyFont="1" applyBorder="1" applyAlignment="1">
      <alignment vertical="center" shrinkToFit="1"/>
    </xf>
    <xf numFmtId="0" fontId="5" fillId="0" borderId="9" xfId="0" applyFont="1" applyBorder="1" applyAlignment="1">
      <alignment vertical="center"/>
    </xf>
    <xf numFmtId="180" fontId="1" fillId="0" borderId="9" xfId="0" applyNumberFormat="1" applyFont="1" applyBorder="1" applyAlignment="1">
      <alignment vertical="center" shrinkToFit="1"/>
    </xf>
    <xf numFmtId="181" fontId="1" fillId="0" borderId="9" xfId="0" applyNumberFormat="1" applyFont="1" applyBorder="1" applyAlignment="1">
      <alignment vertical="center" shrinkToFit="1"/>
    </xf>
    <xf numFmtId="0" fontId="1" fillId="0" borderId="9" xfId="0" applyFont="1" applyBorder="1" applyAlignment="1">
      <alignment vertical="center"/>
    </xf>
    <xf numFmtId="49" fontId="1" fillId="0" borderId="9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83" fontId="1" fillId="0" borderId="0" xfId="0" applyNumberFormat="1" applyFont="1" applyAlignment="1">
      <alignment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shrinkToFit="1"/>
    </xf>
    <xf numFmtId="186" fontId="4" fillId="0" borderId="9" xfId="0" applyNumberFormat="1" applyFont="1" applyBorder="1" applyAlignment="1">
      <alignment horizontal="center" vertical="center" shrinkToFit="1"/>
    </xf>
    <xf numFmtId="186" fontId="4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shrinkToFit="1"/>
    </xf>
    <xf numFmtId="0" fontId="8" fillId="4" borderId="0" xfId="3" applyFont="1" applyFill="1" applyAlignment="1">
      <alignment horizontal="center" vertical="center"/>
    </xf>
    <xf numFmtId="0" fontId="8" fillId="0" borderId="0" xfId="3" applyFont="1"/>
    <xf numFmtId="0" fontId="8" fillId="5" borderId="0" xfId="3" applyFont="1" applyFill="1" applyAlignment="1">
      <alignment horizontal="center" vertical="center"/>
    </xf>
    <xf numFmtId="0" fontId="7" fillId="0" borderId="0" xfId="3"/>
    <xf numFmtId="0" fontId="8" fillId="6" borderId="0" xfId="3" applyFont="1" applyFill="1" applyAlignment="1">
      <alignment horizontal="center" vertical="center"/>
    </xf>
    <xf numFmtId="0" fontId="8" fillId="7" borderId="0" xfId="4" applyFont="1" applyFill="1" applyAlignment="1"/>
    <xf numFmtId="0" fontId="8" fillId="7" borderId="0" xfId="4" applyFont="1" applyFill="1" applyAlignment="1">
      <alignment horizontal="center" vertical="center"/>
    </xf>
    <xf numFmtId="0" fontId="8" fillId="8" borderId="0" xfId="4" applyFont="1" applyFill="1" applyAlignment="1"/>
    <xf numFmtId="0" fontId="8" fillId="8" borderId="0" xfId="4" applyFont="1" applyFill="1" applyAlignment="1">
      <alignment horizontal="center" vertical="center"/>
    </xf>
    <xf numFmtId="0" fontId="8" fillId="9" borderId="0" xfId="4" applyFont="1" applyFill="1" applyAlignment="1"/>
    <xf numFmtId="0" fontId="8" fillId="9" borderId="0" xfId="4" applyFont="1" applyFill="1" applyAlignment="1">
      <alignment horizontal="center" vertical="center"/>
    </xf>
    <xf numFmtId="0" fontId="8" fillId="10" borderId="0" xfId="3" applyFont="1" applyFill="1" applyAlignment="1">
      <alignment horizontal="center" vertical="center"/>
    </xf>
    <xf numFmtId="0" fontId="8" fillId="0" borderId="0" xfId="4" applyFont="1" applyAlignment="1"/>
    <xf numFmtId="0" fontId="8" fillId="7" borderId="0" xfId="4" applyFont="1" applyFill="1" applyAlignment="1">
      <alignment horizontal="center"/>
    </xf>
    <xf numFmtId="0" fontId="8" fillId="6" borderId="0" xfId="3" applyFont="1" applyFill="1"/>
    <xf numFmtId="0" fontId="8" fillId="5" borderId="0" xfId="3" applyFont="1" applyFill="1"/>
    <xf numFmtId="0" fontId="8" fillId="10" borderId="0" xfId="3" applyFont="1" applyFill="1"/>
    <xf numFmtId="0" fontId="8" fillId="4" borderId="0" xfId="3" applyFont="1" applyFill="1"/>
    <xf numFmtId="187" fontId="5" fillId="0" borderId="33" xfId="1" applyNumberFormat="1" applyFont="1" applyBorder="1" applyAlignment="1">
      <alignment horizontal="center" vertical="center" shrinkToFit="1"/>
    </xf>
    <xf numFmtId="0" fontId="5" fillId="0" borderId="111" xfId="1" applyFont="1" applyBorder="1" applyAlignment="1">
      <alignment horizontal="center" vertical="center" shrinkToFit="1"/>
    </xf>
    <xf numFmtId="0" fontId="5" fillId="0" borderId="33" xfId="1" applyFont="1" applyBorder="1" applyAlignment="1">
      <alignment horizontal="center" vertical="center" shrinkToFit="1"/>
    </xf>
    <xf numFmtId="0" fontId="14" fillId="0" borderId="0" xfId="0" applyFont="1" applyAlignment="1">
      <alignment vertical="center"/>
    </xf>
    <xf numFmtId="0" fontId="5" fillId="0" borderId="10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5" fillId="0" borderId="45" xfId="0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186" fontId="4" fillId="0" borderId="97" xfId="1" applyNumberFormat="1" applyFont="1" applyBorder="1" applyAlignment="1">
      <alignment horizontal="center" vertical="center"/>
    </xf>
    <xf numFmtId="186" fontId="4" fillId="0" borderId="94" xfId="1" applyNumberFormat="1" applyFont="1" applyBorder="1" applyAlignment="1">
      <alignment horizontal="center" vertical="center"/>
    </xf>
    <xf numFmtId="186" fontId="4" fillId="0" borderId="119" xfId="1" applyNumberFormat="1" applyFont="1" applyBorder="1" applyAlignment="1">
      <alignment horizontal="center" vertical="center"/>
    </xf>
    <xf numFmtId="186" fontId="5" fillId="0" borderId="38" xfId="1" applyNumberFormat="1" applyFont="1" applyBorder="1" applyAlignment="1">
      <alignment horizontal="center" vertical="center" shrinkToFit="1"/>
    </xf>
    <xf numFmtId="186" fontId="5" fillId="0" borderId="23" xfId="1" applyNumberFormat="1" applyFont="1" applyBorder="1" applyAlignment="1">
      <alignment horizontal="center" vertical="center" shrinkToFit="1"/>
    </xf>
    <xf numFmtId="186" fontId="5" fillId="0" borderId="76" xfId="1" applyNumberFormat="1" applyFont="1" applyBorder="1" applyAlignment="1">
      <alignment horizontal="center" vertical="center" shrinkToFit="1"/>
    </xf>
    <xf numFmtId="186" fontId="5" fillId="0" borderId="38" xfId="1" applyNumberFormat="1" applyFont="1" applyBorder="1" applyAlignment="1">
      <alignment horizontal="center" vertical="center"/>
    </xf>
    <xf numFmtId="186" fontId="5" fillId="0" borderId="23" xfId="1" applyNumberFormat="1" applyFont="1" applyBorder="1" applyAlignment="1">
      <alignment horizontal="center" vertical="center"/>
    </xf>
    <xf numFmtId="186" fontId="5" fillId="0" borderId="76" xfId="1" applyNumberFormat="1" applyFont="1" applyBorder="1" applyAlignment="1">
      <alignment horizontal="center" vertical="center"/>
    </xf>
    <xf numFmtId="186" fontId="5" fillId="0" borderId="24" xfId="1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0" borderId="76" xfId="0" applyFont="1" applyBorder="1" applyAlignment="1">
      <alignment horizontal="center" vertical="center" shrinkToFit="1"/>
    </xf>
    <xf numFmtId="0" fontId="5" fillId="0" borderId="38" xfId="0" applyFont="1" applyBorder="1" applyAlignment="1">
      <alignment horizontal="center" vertical="center" shrinkToFit="1"/>
    </xf>
    <xf numFmtId="188" fontId="5" fillId="0" borderId="37" xfId="0" applyNumberFormat="1" applyFont="1" applyBorder="1" applyAlignment="1">
      <alignment horizontal="right" vertical="center" shrinkToFit="1"/>
    </xf>
    <xf numFmtId="189" fontId="5" fillId="0" borderId="37" xfId="0" applyNumberFormat="1" applyFont="1" applyBorder="1" applyAlignment="1">
      <alignment horizontal="right" vertical="center" shrinkToFit="1"/>
    </xf>
    <xf numFmtId="189" fontId="5" fillId="0" borderId="103" xfId="0" applyNumberFormat="1" applyFont="1" applyBorder="1" applyAlignment="1">
      <alignment horizontal="right" vertical="center" shrinkToFit="1"/>
    </xf>
    <xf numFmtId="189" fontId="5" fillId="0" borderId="12" xfId="0" applyNumberFormat="1" applyFont="1" applyBorder="1" applyAlignment="1">
      <alignment horizontal="right" vertical="center" shrinkToFit="1"/>
    </xf>
    <xf numFmtId="189" fontId="5" fillId="0" borderId="28" xfId="0" applyNumberFormat="1" applyFont="1" applyBorder="1" applyAlignment="1">
      <alignment horizontal="right" vertical="center" shrinkToFit="1"/>
    </xf>
    <xf numFmtId="0" fontId="5" fillId="0" borderId="33" xfId="0" applyFont="1" applyBorder="1" applyAlignment="1">
      <alignment horizontal="distributed" vertical="center" justifyLastLine="1"/>
    </xf>
    <xf numFmtId="0" fontId="5" fillId="0" borderId="32" xfId="0" applyFont="1" applyBorder="1" applyAlignment="1">
      <alignment horizontal="distributed" vertical="center" justifyLastLine="1"/>
    </xf>
    <xf numFmtId="0" fontId="5" fillId="0" borderId="35" xfId="0" applyFont="1" applyBorder="1" applyAlignment="1">
      <alignment horizontal="distributed" vertical="center" justifyLastLine="1"/>
    </xf>
    <xf numFmtId="188" fontId="5" fillId="0" borderId="12" xfId="0" applyNumberFormat="1" applyFont="1" applyBorder="1" applyAlignment="1">
      <alignment horizontal="right" vertical="center" shrinkToFit="1"/>
    </xf>
    <xf numFmtId="176" fontId="5" fillId="0" borderId="33" xfId="0" applyNumberFormat="1" applyFont="1" applyBorder="1" applyAlignment="1">
      <alignment horizontal="center" vertical="center"/>
    </xf>
    <xf numFmtId="176" fontId="5" fillId="0" borderId="32" xfId="0" applyNumberFormat="1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center" vertical="center"/>
    </xf>
    <xf numFmtId="188" fontId="5" fillId="2" borderId="13" xfId="0" applyNumberFormat="1" applyFont="1" applyFill="1" applyBorder="1" applyAlignment="1">
      <alignment horizontal="right" vertical="center" shrinkToFit="1"/>
    </xf>
    <xf numFmtId="188" fontId="5" fillId="2" borderId="12" xfId="0" applyNumberFormat="1" applyFont="1" applyFill="1" applyBorder="1" applyAlignment="1">
      <alignment horizontal="right" vertical="center" shrinkToFit="1"/>
    </xf>
    <xf numFmtId="189" fontId="5" fillId="2" borderId="12" xfId="0" applyNumberFormat="1" applyFont="1" applyFill="1" applyBorder="1" applyAlignment="1">
      <alignment horizontal="right" vertical="center" shrinkToFit="1"/>
    </xf>
    <xf numFmtId="189" fontId="5" fillId="2" borderId="28" xfId="0" applyNumberFormat="1" applyFont="1" applyFill="1" applyBorder="1" applyAlignment="1">
      <alignment horizontal="right" vertical="center" shrinkToFit="1"/>
    </xf>
    <xf numFmtId="0" fontId="5" fillId="0" borderId="22" xfId="0" applyFont="1" applyBorder="1" applyAlignment="1">
      <alignment horizontal="distributed" vertical="center" justifyLastLine="1"/>
    </xf>
    <xf numFmtId="0" fontId="5" fillId="0" borderId="23" xfId="0" applyFont="1" applyBorder="1" applyAlignment="1">
      <alignment horizontal="distributed" vertical="center" justifyLastLine="1"/>
    </xf>
    <xf numFmtId="0" fontId="5" fillId="0" borderId="24" xfId="0" applyFont="1" applyBorder="1" applyAlignment="1">
      <alignment horizontal="distributed" vertical="center" justifyLastLine="1"/>
    </xf>
    <xf numFmtId="188" fontId="5" fillId="0" borderId="45" xfId="0" applyNumberFormat="1" applyFont="1" applyBorder="1" applyAlignment="1">
      <alignment horizontal="right" vertical="center" shrinkToFit="1"/>
    </xf>
    <xf numFmtId="188" fontId="5" fillId="0" borderId="20" xfId="0" applyNumberFormat="1" applyFont="1" applyBorder="1" applyAlignment="1">
      <alignment horizontal="right" vertical="center" shrinkToFit="1"/>
    </xf>
    <xf numFmtId="188" fontId="5" fillId="0" borderId="30" xfId="0" applyNumberFormat="1" applyFont="1" applyBorder="1" applyAlignment="1">
      <alignment horizontal="right" vertical="center" shrinkToFit="1"/>
    </xf>
    <xf numFmtId="188" fontId="5" fillId="0" borderId="39" xfId="0" applyNumberFormat="1" applyFont="1" applyBorder="1" applyAlignment="1">
      <alignment horizontal="right" vertical="center" shrinkToFit="1"/>
    </xf>
    <xf numFmtId="188" fontId="5" fillId="0" borderId="40" xfId="0" applyNumberFormat="1" applyFont="1" applyBorder="1" applyAlignment="1">
      <alignment horizontal="right" vertical="center" shrinkToFit="1"/>
    </xf>
    <xf numFmtId="188" fontId="5" fillId="0" borderId="13" xfId="0" applyNumberFormat="1" applyFont="1" applyBorder="1" applyAlignment="1">
      <alignment horizontal="right" vertical="center" shrinkToFit="1"/>
    </xf>
    <xf numFmtId="188" fontId="5" fillId="0" borderId="22" xfId="0" applyNumberFormat="1" applyFont="1" applyBorder="1" applyAlignment="1">
      <alignment horizontal="right" vertical="center" shrinkToFit="1"/>
    </xf>
    <xf numFmtId="188" fontId="5" fillId="0" borderId="23" xfId="0" applyNumberFormat="1" applyFont="1" applyBorder="1" applyAlignment="1">
      <alignment horizontal="right" vertical="center" shrinkToFit="1"/>
    </xf>
    <xf numFmtId="188" fontId="5" fillId="0" borderId="76" xfId="0" applyNumberFormat="1" applyFont="1" applyBorder="1" applyAlignment="1">
      <alignment horizontal="right" vertical="center" shrinkToFit="1"/>
    </xf>
    <xf numFmtId="176" fontId="5" fillId="0" borderId="31" xfId="0" applyNumberFormat="1" applyFont="1" applyBorder="1" applyAlignment="1">
      <alignment horizontal="center" vertical="center"/>
    </xf>
    <xf numFmtId="188" fontId="5" fillId="0" borderId="36" xfId="0" applyNumberFormat="1" applyFont="1" applyBorder="1" applyAlignment="1">
      <alignment horizontal="right" vertical="center" shrinkToFit="1"/>
    </xf>
    <xf numFmtId="0" fontId="5" fillId="0" borderId="31" xfId="0" applyFont="1" applyBorder="1" applyAlignment="1">
      <alignment horizontal="distributed" vertical="center"/>
    </xf>
    <xf numFmtId="0" fontId="5" fillId="0" borderId="32" xfId="0" applyFont="1" applyBorder="1" applyAlignment="1">
      <alignment horizontal="distributed" vertical="center"/>
    </xf>
    <xf numFmtId="0" fontId="5" fillId="0" borderId="35" xfId="0" applyFont="1" applyBorder="1" applyAlignment="1">
      <alignment horizontal="distributed" vertical="center"/>
    </xf>
    <xf numFmtId="188" fontId="5" fillId="3" borderId="25" xfId="0" applyNumberFormat="1" applyFont="1" applyFill="1" applyBorder="1" applyAlignment="1">
      <alignment horizontal="right" vertical="center" shrinkToFit="1"/>
    </xf>
    <xf numFmtId="188" fontId="5" fillId="3" borderId="26" xfId="0" applyNumberFormat="1" applyFont="1" applyFill="1" applyBorder="1" applyAlignment="1">
      <alignment horizontal="right" vertical="center" shrinkToFit="1"/>
    </xf>
    <xf numFmtId="0" fontId="5" fillId="0" borderId="19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188" fontId="5" fillId="0" borderId="25" xfId="0" applyNumberFormat="1" applyFont="1" applyBorder="1" applyAlignment="1">
      <alignment horizontal="right" vertical="center" shrinkToFit="1"/>
    </xf>
    <xf numFmtId="188" fontId="5" fillId="0" borderId="26" xfId="0" applyNumberFormat="1" applyFont="1" applyBorder="1" applyAlignment="1">
      <alignment horizontal="right" vertical="center" shrinkToFit="1"/>
    </xf>
    <xf numFmtId="189" fontId="5" fillId="0" borderId="26" xfId="0" applyNumberFormat="1" applyFont="1" applyBorder="1" applyAlignment="1">
      <alignment horizontal="right" vertical="center" shrinkToFit="1"/>
    </xf>
    <xf numFmtId="189" fontId="5" fillId="0" borderId="27" xfId="0" applyNumberFormat="1" applyFont="1" applyBorder="1" applyAlignment="1">
      <alignment horizontal="right" vertical="center" shrinkToFit="1"/>
    </xf>
    <xf numFmtId="0" fontId="5" fillId="0" borderId="61" xfId="0" applyFont="1" applyBorder="1" applyAlignment="1">
      <alignment horizontal="distributed" vertical="center" wrapText="1"/>
    </xf>
    <xf numFmtId="0" fontId="5" fillId="0" borderId="9" xfId="0" applyFont="1" applyBorder="1" applyAlignment="1">
      <alignment horizontal="distributed" vertical="center" wrapText="1"/>
    </xf>
    <xf numFmtId="0" fontId="5" fillId="0" borderId="62" xfId="0" applyFont="1" applyBorder="1" applyAlignment="1">
      <alignment horizontal="distributed" wrapText="1"/>
    </xf>
    <xf numFmtId="0" fontId="5" fillId="0" borderId="10" xfId="0" applyFont="1" applyBorder="1" applyAlignment="1">
      <alignment horizontal="distributed" vertical="center" wrapText="1"/>
    </xf>
    <xf numFmtId="0" fontId="5" fillId="0" borderId="47" xfId="0" applyFont="1" applyBorder="1" applyAlignment="1">
      <alignment horizontal="distributed" vertical="center" wrapText="1"/>
    </xf>
    <xf numFmtId="0" fontId="5" fillId="0" borderId="63" xfId="0" applyFont="1" applyBorder="1" applyAlignment="1">
      <alignment horizontal="distributed" wrapText="1"/>
    </xf>
    <xf numFmtId="0" fontId="5" fillId="0" borderId="38" xfId="0" applyFont="1" applyBorder="1" applyAlignment="1">
      <alignment horizontal="distributed" vertical="distributed"/>
    </xf>
    <xf numFmtId="0" fontId="1" fillId="0" borderId="23" xfId="0" applyFont="1" applyBorder="1" applyAlignment="1">
      <alignment horizontal="distributed"/>
    </xf>
    <xf numFmtId="0" fontId="1" fillId="0" borderId="24" xfId="0" applyFont="1" applyBorder="1" applyAlignment="1">
      <alignment horizontal="distributed"/>
    </xf>
    <xf numFmtId="0" fontId="5" fillId="0" borderId="42" xfId="0" applyFont="1" applyBorder="1" applyAlignment="1">
      <alignment horizontal="distributed" vertical="distributed"/>
    </xf>
    <xf numFmtId="0" fontId="1" fillId="0" borderId="20" xfId="0" applyFont="1" applyBorder="1" applyAlignment="1">
      <alignment horizontal="distributed"/>
    </xf>
    <xf numFmtId="0" fontId="1" fillId="0" borderId="21" xfId="0" applyFont="1" applyBorder="1" applyAlignment="1">
      <alignment horizontal="distributed"/>
    </xf>
    <xf numFmtId="0" fontId="5" fillId="0" borderId="45" xfId="0" applyFont="1" applyBorder="1" applyAlignment="1">
      <alignment horizontal="distributed" vertical="center"/>
    </xf>
    <xf numFmtId="0" fontId="5" fillId="0" borderId="20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0" fontId="5" fillId="0" borderId="64" xfId="0" applyFont="1" applyBorder="1" applyAlignment="1">
      <alignment horizontal="distributed" vertical="center"/>
    </xf>
    <xf numFmtId="0" fontId="5" fillId="0" borderId="50" xfId="0" applyFont="1" applyBorder="1" applyAlignment="1">
      <alignment horizontal="distributed" vertical="center"/>
    </xf>
    <xf numFmtId="0" fontId="5" fillId="0" borderId="77" xfId="0" applyFont="1" applyBorder="1" applyAlignment="1">
      <alignment horizontal="distributed" vertical="center"/>
    </xf>
    <xf numFmtId="176" fontId="5" fillId="0" borderId="73" xfId="0" applyNumberFormat="1" applyFont="1" applyBorder="1" applyAlignment="1">
      <alignment horizontal="center" vertical="center"/>
    </xf>
    <xf numFmtId="176" fontId="5" fillId="0" borderId="69" xfId="0" applyNumberFormat="1" applyFont="1" applyBorder="1" applyAlignment="1">
      <alignment horizontal="center" vertical="center"/>
    </xf>
    <xf numFmtId="176" fontId="5" fillId="0" borderId="74" xfId="0" applyNumberFormat="1" applyFont="1" applyBorder="1" applyAlignment="1">
      <alignment horizontal="center" vertical="center"/>
    </xf>
    <xf numFmtId="0" fontId="5" fillId="0" borderId="73" xfId="0" applyFont="1" applyBorder="1" applyAlignment="1">
      <alignment horizontal="distributed" vertical="center" justifyLastLine="1"/>
    </xf>
    <xf numFmtId="0" fontId="5" fillId="0" borderId="69" xfId="0" applyFont="1" applyBorder="1" applyAlignment="1">
      <alignment horizontal="distributed" vertical="center" justifyLastLine="1"/>
    </xf>
    <xf numFmtId="0" fontId="5" fillId="0" borderId="75" xfId="0" applyFont="1" applyBorder="1" applyAlignment="1">
      <alignment horizontal="distributed" vertical="center" justifyLastLine="1"/>
    </xf>
    <xf numFmtId="189" fontId="5" fillId="0" borderId="40" xfId="0" applyNumberFormat="1" applyFont="1" applyBorder="1" applyAlignment="1">
      <alignment horizontal="right" vertical="center" shrinkToFit="1"/>
    </xf>
    <xf numFmtId="189" fontId="5" fillId="0" borderId="41" xfId="0" applyNumberFormat="1" applyFont="1" applyBorder="1" applyAlignment="1">
      <alignment horizontal="right" vertical="center" shrinkToFit="1"/>
    </xf>
    <xf numFmtId="190" fontId="5" fillId="0" borderId="40" xfId="0" applyNumberFormat="1" applyFont="1" applyBorder="1" applyAlignment="1">
      <alignment horizontal="right" vertical="center" shrinkToFit="1"/>
    </xf>
    <xf numFmtId="190" fontId="5" fillId="0" borderId="43" xfId="0" applyNumberFormat="1" applyFont="1" applyBorder="1" applyAlignment="1">
      <alignment horizontal="right" vertical="center" shrinkToFit="1"/>
    </xf>
    <xf numFmtId="190" fontId="5" fillId="0" borderId="39" xfId="0" applyNumberFormat="1" applyFont="1" applyBorder="1" applyAlignment="1">
      <alignment horizontal="right" vertical="center" shrinkToFit="1"/>
    </xf>
    <xf numFmtId="188" fontId="4" fillId="0" borderId="40" xfId="0" applyNumberFormat="1" applyFont="1" applyBorder="1" applyAlignment="1">
      <alignment horizontal="right" vertical="center" shrinkToFit="1"/>
    </xf>
    <xf numFmtId="188" fontId="4" fillId="0" borderId="39" xfId="0" applyNumberFormat="1" applyFont="1" applyBorder="1" applyAlignment="1">
      <alignment horizontal="right" vertical="center" shrinkToFit="1"/>
    </xf>
    <xf numFmtId="49" fontId="5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188" fontId="4" fillId="0" borderId="58" xfId="0" applyNumberFormat="1" applyFont="1" applyBorder="1" applyAlignment="1">
      <alignment horizontal="right" vertical="center" shrinkToFit="1"/>
    </xf>
    <xf numFmtId="188" fontId="4" fillId="0" borderId="59" xfId="0" applyNumberFormat="1" applyFont="1" applyBorder="1" applyAlignment="1">
      <alignment horizontal="right" vertical="center" shrinkToFit="1"/>
    </xf>
    <xf numFmtId="188" fontId="5" fillId="2" borderId="25" xfId="0" applyNumberFormat="1" applyFont="1" applyFill="1" applyBorder="1" applyAlignment="1">
      <alignment horizontal="right" vertical="center" shrinkToFit="1"/>
    </xf>
    <xf numFmtId="188" fontId="5" fillId="2" borderId="26" xfId="0" applyNumberFormat="1" applyFont="1" applyFill="1" applyBorder="1" applyAlignment="1">
      <alignment horizontal="right" vertical="center" shrinkToFit="1"/>
    </xf>
    <xf numFmtId="184" fontId="4" fillId="0" borderId="40" xfId="0" applyNumberFormat="1" applyFont="1" applyBorder="1" applyAlignment="1">
      <alignment horizontal="right" vertical="center" shrinkToFit="1"/>
    </xf>
    <xf numFmtId="184" fontId="4" fillId="0" borderId="41" xfId="0" applyNumberFormat="1" applyFont="1" applyBorder="1" applyAlignment="1">
      <alignment horizontal="right" vertical="center" shrinkToFit="1"/>
    </xf>
    <xf numFmtId="184" fontId="4" fillId="0" borderId="59" xfId="0" applyNumberFormat="1" applyFont="1" applyBorder="1" applyAlignment="1">
      <alignment horizontal="right" vertical="center" shrinkToFit="1"/>
    </xf>
    <xf numFmtId="184" fontId="4" fillId="0" borderId="123" xfId="0" applyNumberFormat="1" applyFont="1" applyBorder="1" applyAlignment="1">
      <alignment horizontal="right" vertical="center" shrinkToFit="1"/>
    </xf>
    <xf numFmtId="0" fontId="5" fillId="0" borderId="0" xfId="0" applyFont="1" applyAlignment="1">
      <alignment horizontal="center" vertical="center"/>
    </xf>
    <xf numFmtId="189" fontId="5" fillId="2" borderId="26" xfId="0" applyNumberFormat="1" applyFont="1" applyFill="1" applyBorder="1" applyAlignment="1">
      <alignment horizontal="right" vertical="center" shrinkToFit="1"/>
    </xf>
    <xf numFmtId="189" fontId="5" fillId="2" borderId="27" xfId="0" applyNumberFormat="1" applyFont="1" applyFill="1" applyBorder="1" applyAlignment="1">
      <alignment horizontal="right" vertical="center" shrinkToFit="1"/>
    </xf>
    <xf numFmtId="0" fontId="5" fillId="0" borderId="0" xfId="0" applyFont="1" applyAlignment="1">
      <alignment vertical="center"/>
    </xf>
    <xf numFmtId="176" fontId="5" fillId="0" borderId="31" xfId="0" applyNumberFormat="1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center" vertical="center" shrinkToFit="1"/>
    </xf>
    <xf numFmtId="176" fontId="5" fillId="0" borderId="33" xfId="0" applyNumberFormat="1" applyFont="1" applyBorder="1" applyAlignment="1">
      <alignment horizontal="center" vertical="center" shrinkToFit="1"/>
    </xf>
    <xf numFmtId="176" fontId="5" fillId="0" borderId="34" xfId="0" applyNumberFormat="1" applyFont="1" applyBorder="1" applyAlignment="1">
      <alignment horizontal="center" vertical="center" shrinkToFit="1"/>
    </xf>
    <xf numFmtId="188" fontId="5" fillId="2" borderId="36" xfId="0" applyNumberFormat="1" applyFont="1" applyFill="1" applyBorder="1" applyAlignment="1">
      <alignment horizontal="right" vertical="center" shrinkToFit="1"/>
    </xf>
    <xf numFmtId="188" fontId="5" fillId="2" borderId="37" xfId="0" applyNumberFormat="1" applyFont="1" applyFill="1" applyBorder="1" applyAlignment="1">
      <alignment horizontal="right" vertical="center" shrinkToFit="1"/>
    </xf>
    <xf numFmtId="189" fontId="5" fillId="2" borderId="37" xfId="0" applyNumberFormat="1" applyFont="1" applyFill="1" applyBorder="1" applyAlignment="1">
      <alignment horizontal="right" vertical="center" shrinkToFit="1"/>
    </xf>
    <xf numFmtId="189" fontId="5" fillId="2" borderId="103" xfId="0" applyNumberFormat="1" applyFont="1" applyFill="1" applyBorder="1" applyAlignment="1">
      <alignment horizontal="right" vertical="center" shrinkToFit="1"/>
    </xf>
    <xf numFmtId="0" fontId="5" fillId="0" borderId="31" xfId="0" applyFont="1" applyBorder="1" applyAlignment="1">
      <alignment horizontal="center" vertical="center" shrinkToFit="1"/>
    </xf>
    <xf numFmtId="0" fontId="5" fillId="0" borderId="32" xfId="0" applyFont="1" applyBorder="1" applyAlignment="1">
      <alignment horizontal="center" vertical="center" shrinkToFit="1"/>
    </xf>
    <xf numFmtId="0" fontId="5" fillId="0" borderId="35" xfId="0" applyFont="1" applyBorder="1" applyAlignment="1">
      <alignment horizontal="center" vertical="center" shrinkToFit="1"/>
    </xf>
    <xf numFmtId="189" fontId="5" fillId="0" borderId="43" xfId="0" applyNumberFormat="1" applyFont="1" applyBorder="1" applyAlignment="1">
      <alignment horizontal="right" vertical="center" shrinkToFit="1"/>
    </xf>
    <xf numFmtId="189" fontId="5" fillId="0" borderId="44" xfId="0" applyNumberFormat="1" applyFont="1" applyBorder="1" applyAlignment="1">
      <alignment horizontal="right" vertical="center" shrinkToFit="1"/>
    </xf>
    <xf numFmtId="0" fontId="5" fillId="0" borderId="10" xfId="0" applyFont="1" applyBorder="1" applyAlignment="1">
      <alignment horizontal="distributed" vertical="center"/>
    </xf>
    <xf numFmtId="0" fontId="5" fillId="0" borderId="47" xfId="0" applyFont="1" applyBorder="1" applyAlignment="1">
      <alignment horizontal="distributed" vertical="center"/>
    </xf>
    <xf numFmtId="0" fontId="5" fillId="0" borderId="70" xfId="0" applyFont="1" applyBorder="1" applyAlignment="1">
      <alignment horizontal="distributed"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176" fontId="5" fillId="0" borderId="68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right" vertical="center"/>
    </xf>
    <xf numFmtId="49" fontId="1" fillId="0" borderId="40" xfId="0" applyNumberFormat="1" applyFont="1" applyBorder="1" applyAlignment="1">
      <alignment horizontal="right" vertical="center"/>
    </xf>
    <xf numFmtId="0" fontId="1" fillId="0" borderId="51" xfId="0" applyFont="1" applyBorder="1" applyAlignment="1">
      <alignment horizontal="right" vertical="center"/>
    </xf>
    <xf numFmtId="49" fontId="1" fillId="0" borderId="52" xfId="0" applyNumberFormat="1" applyFont="1" applyBorder="1" applyAlignment="1">
      <alignment horizontal="right" vertical="center"/>
    </xf>
    <xf numFmtId="190" fontId="5" fillId="0" borderId="53" xfId="0" applyNumberFormat="1" applyFont="1" applyBorder="1" applyAlignment="1">
      <alignment horizontal="right" vertical="center" shrinkToFit="1"/>
    </xf>
    <xf numFmtId="0" fontId="1" fillId="0" borderId="52" xfId="0" applyFont="1" applyBorder="1" applyAlignment="1">
      <alignment horizontal="right" vertical="center"/>
    </xf>
    <xf numFmtId="49" fontId="1" fillId="0" borderId="71" xfId="0" applyNumberFormat="1" applyFont="1" applyBorder="1" applyAlignment="1">
      <alignment horizontal="right" vertical="center"/>
    </xf>
    <xf numFmtId="189" fontId="5" fillId="3" borderId="26" xfId="0" applyNumberFormat="1" applyFont="1" applyFill="1" applyBorder="1" applyAlignment="1">
      <alignment horizontal="right" vertical="center" shrinkToFit="1"/>
    </xf>
    <xf numFmtId="189" fontId="5" fillId="3" borderId="27" xfId="0" applyNumberFormat="1" applyFont="1" applyFill="1" applyBorder="1" applyAlignment="1">
      <alignment horizontal="right" vertical="center" shrinkToFit="1"/>
    </xf>
    <xf numFmtId="0" fontId="5" fillId="0" borderId="55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57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5" fillId="0" borderId="2" xfId="0" applyFont="1" applyBorder="1" applyAlignment="1">
      <alignment horizontal="distributed" vertical="center"/>
    </xf>
    <xf numFmtId="0" fontId="5" fillId="0" borderId="0" xfId="0" applyFont="1" applyAlignment="1">
      <alignment horizontal="distributed" vertical="center"/>
    </xf>
    <xf numFmtId="0" fontId="5" fillId="0" borderId="42" xfId="0" applyFont="1" applyBorder="1" applyAlignment="1">
      <alignment horizontal="distributed" vertical="center"/>
    </xf>
    <xf numFmtId="0" fontId="4" fillId="0" borderId="42" xfId="0" applyFont="1" applyBorder="1" applyAlignment="1">
      <alignment horizontal="distributed" vertical="center"/>
    </xf>
    <xf numFmtId="0" fontId="4" fillId="0" borderId="20" xfId="0" applyFont="1" applyBorder="1" applyAlignment="1">
      <alignment horizontal="distributed" vertical="center"/>
    </xf>
    <xf numFmtId="0" fontId="5" fillId="0" borderId="42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distributed" vertical="center"/>
    </xf>
    <xf numFmtId="0" fontId="5" fillId="0" borderId="8" xfId="0" applyFont="1" applyBorder="1" applyAlignment="1">
      <alignment horizontal="distributed" vertical="center"/>
    </xf>
    <xf numFmtId="0" fontId="5" fillId="0" borderId="46" xfId="0" applyFont="1" applyBorder="1" applyAlignment="1">
      <alignment horizontal="distributed" vertical="center"/>
    </xf>
    <xf numFmtId="0" fontId="5" fillId="0" borderId="1" xfId="0" applyFont="1" applyBorder="1" applyAlignment="1">
      <alignment horizontal="distributed" vertical="center"/>
    </xf>
    <xf numFmtId="0" fontId="5" fillId="0" borderId="48" xfId="0" applyFont="1" applyBorder="1" applyAlignment="1">
      <alignment horizontal="center" vertical="distributed" textRotation="255"/>
    </xf>
    <xf numFmtId="0" fontId="5" fillId="0" borderId="6" xfId="0" applyFont="1" applyBorder="1" applyAlignment="1">
      <alignment horizontal="center" vertical="distributed" textRotation="255"/>
    </xf>
    <xf numFmtId="0" fontId="5" fillId="0" borderId="4" xfId="0" applyFont="1" applyBorder="1"/>
    <xf numFmtId="0" fontId="5" fillId="0" borderId="49" xfId="0" applyFont="1" applyBorder="1" applyAlignment="1">
      <alignment horizontal="distributed" vertical="center"/>
    </xf>
    <xf numFmtId="0" fontId="5" fillId="0" borderId="13" xfId="0" applyFont="1" applyBorder="1" applyAlignment="1">
      <alignment horizontal="distributed" vertical="center"/>
    </xf>
    <xf numFmtId="0" fontId="5" fillId="0" borderId="12" xfId="0" applyFont="1" applyBorder="1" applyAlignment="1">
      <alignment horizontal="distributed" vertical="center"/>
    </xf>
    <xf numFmtId="0" fontId="5" fillId="0" borderId="28" xfId="0" applyFont="1" applyBorder="1" applyAlignment="1">
      <alignment horizontal="distributed" vertical="center"/>
    </xf>
    <xf numFmtId="0" fontId="5" fillId="0" borderId="6" xfId="0" applyFont="1" applyBorder="1" applyAlignment="1">
      <alignment horizontal="distributed" vertical="center"/>
    </xf>
    <xf numFmtId="0" fontId="5" fillId="0" borderId="7" xfId="0" applyFont="1" applyBorder="1" applyAlignment="1">
      <alignment horizontal="distributed" vertical="center"/>
    </xf>
    <xf numFmtId="0" fontId="5" fillId="0" borderId="54" xfId="0" applyFont="1" applyBorder="1" applyAlignment="1">
      <alignment horizontal="distributed" vertical="center"/>
    </xf>
    <xf numFmtId="0" fontId="1" fillId="0" borderId="40" xfId="0" applyFont="1" applyBorder="1" applyAlignment="1">
      <alignment horizontal="right" vertical="center"/>
    </xf>
    <xf numFmtId="49" fontId="1" fillId="0" borderId="41" xfId="0" applyNumberFormat="1" applyFont="1" applyBorder="1" applyAlignment="1">
      <alignment horizontal="right" vertical="center"/>
    </xf>
    <xf numFmtId="188" fontId="5" fillId="0" borderId="43" xfId="0" applyNumberFormat="1" applyFont="1" applyBorder="1" applyAlignment="1">
      <alignment horizontal="right" vertical="center" shrinkToFit="1"/>
    </xf>
    <xf numFmtId="188" fontId="5" fillId="0" borderId="53" xfId="0" applyNumberFormat="1" applyFont="1" applyBorder="1" applyAlignment="1">
      <alignment horizontal="right" vertical="center" shrinkToFit="1"/>
    </xf>
    <xf numFmtId="0" fontId="5" fillId="0" borderId="61" xfId="0" applyFont="1" applyBorder="1" applyAlignment="1">
      <alignment horizontal="distributed" vertical="center"/>
    </xf>
    <xf numFmtId="0" fontId="5" fillId="0" borderId="9" xfId="0" applyFont="1" applyBorder="1" applyAlignment="1">
      <alignment horizontal="distributed" vertical="center"/>
    </xf>
    <xf numFmtId="0" fontId="5" fillId="0" borderId="93" xfId="0" applyFont="1" applyBorder="1" applyAlignment="1">
      <alignment horizontal="distributed" vertical="center"/>
    </xf>
    <xf numFmtId="0" fontId="5" fillId="0" borderId="24" xfId="0" applyFont="1" applyBorder="1" applyAlignment="1">
      <alignment horizontal="center" vertical="center" shrinkToFit="1"/>
    </xf>
    <xf numFmtId="0" fontId="1" fillId="0" borderId="32" xfId="0" applyFont="1" applyBorder="1" applyAlignment="1">
      <alignment horizontal="distributed" vertical="center" justifyLastLine="1"/>
    </xf>
    <xf numFmtId="0" fontId="1" fillId="0" borderId="35" xfId="0" applyFont="1" applyBorder="1" applyAlignment="1">
      <alignment horizontal="distributed" vertical="center" justifyLastLine="1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23" xfId="0" applyFont="1" applyBorder="1" applyAlignment="1">
      <alignment horizontal="distributed" justifyLastLine="1"/>
    </xf>
    <xf numFmtId="0" fontId="1" fillId="0" borderId="24" xfId="0" applyFont="1" applyBorder="1" applyAlignment="1">
      <alignment horizontal="distributed" justifyLastLine="1"/>
    </xf>
    <xf numFmtId="0" fontId="5" fillId="0" borderId="19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 textRotation="255" shrinkToFit="1"/>
    </xf>
    <xf numFmtId="0" fontId="5" fillId="0" borderId="10" xfId="0" applyFont="1" applyBorder="1" applyAlignment="1">
      <alignment horizontal="center" vertical="center" textRotation="255" shrinkToFit="1"/>
    </xf>
    <xf numFmtId="0" fontId="5" fillId="0" borderId="72" xfId="0" applyFont="1" applyBorder="1" applyAlignment="1">
      <alignment horizontal="distributed" vertical="center"/>
    </xf>
    <xf numFmtId="0" fontId="5" fillId="0" borderId="64" xfId="0" applyFont="1" applyBorder="1" applyAlignment="1">
      <alignment horizontal="center" vertical="center" textRotation="255" shrinkToFit="1"/>
    </xf>
    <xf numFmtId="0" fontId="5" fillId="0" borderId="31" xfId="1" applyFont="1" applyBorder="1" applyAlignment="1">
      <alignment horizontal="center" vertical="center" shrinkToFit="1"/>
    </xf>
    <xf numFmtId="0" fontId="5" fillId="0" borderId="32" xfId="1" applyFont="1" applyBorder="1" applyAlignment="1">
      <alignment horizontal="center" vertical="center" shrinkToFit="1"/>
    </xf>
    <xf numFmtId="0" fontId="5" fillId="0" borderId="34" xfId="1" applyFont="1" applyBorder="1" applyAlignment="1">
      <alignment horizontal="center" vertical="center" shrinkToFit="1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shrinkToFit="1"/>
    </xf>
    <xf numFmtId="4" fontId="5" fillId="0" borderId="33" xfId="0" applyNumberFormat="1" applyFont="1" applyBorder="1" applyAlignment="1">
      <alignment horizontal="center" vertical="center" shrinkToFit="1"/>
    </xf>
    <xf numFmtId="4" fontId="5" fillId="0" borderId="32" xfId="0" applyNumberFormat="1" applyFont="1" applyBorder="1" applyAlignment="1">
      <alignment horizontal="center" vertical="center" shrinkToFit="1"/>
    </xf>
    <xf numFmtId="4" fontId="5" fillId="0" borderId="35" xfId="0" applyNumberFormat="1" applyFont="1" applyBorder="1" applyAlignment="1">
      <alignment horizontal="center" vertical="center" shrinkToFit="1"/>
    </xf>
    <xf numFmtId="0" fontId="5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shrinkToFit="1"/>
    </xf>
    <xf numFmtId="4" fontId="5" fillId="0" borderId="42" xfId="0" applyNumberFormat="1" applyFont="1" applyBorder="1" applyAlignment="1">
      <alignment horizontal="center" vertical="center" shrinkToFit="1"/>
    </xf>
    <xf numFmtId="4" fontId="5" fillId="0" borderId="20" xfId="0" applyNumberFormat="1" applyFont="1" applyBorder="1" applyAlignment="1">
      <alignment horizontal="center" vertical="center" shrinkToFit="1"/>
    </xf>
    <xf numFmtId="4" fontId="5" fillId="0" borderId="21" xfId="0" applyNumberFormat="1" applyFont="1" applyBorder="1" applyAlignment="1">
      <alignment horizontal="center" vertical="center" shrinkToFit="1"/>
    </xf>
    <xf numFmtId="0" fontId="5" fillId="0" borderId="36" xfId="0" applyFont="1" applyBorder="1" applyAlignment="1">
      <alignment horizontal="distributed" vertical="center"/>
    </xf>
    <xf numFmtId="0" fontId="5" fillId="0" borderId="37" xfId="0" applyFont="1" applyBorder="1" applyAlignment="1">
      <alignment horizontal="distributed" vertical="center"/>
    </xf>
    <xf numFmtId="0" fontId="5" fillId="0" borderId="103" xfId="0" applyFont="1" applyBorder="1" applyAlignment="1">
      <alignment horizontal="distributed" vertical="center"/>
    </xf>
    <xf numFmtId="189" fontId="5" fillId="0" borderId="22" xfId="0" applyNumberFormat="1" applyFont="1" applyBorder="1" applyAlignment="1">
      <alignment horizontal="right" vertical="center" shrinkToFit="1"/>
    </xf>
    <xf numFmtId="189" fontId="5" fillId="0" borderId="23" xfId="0" applyNumberFormat="1" applyFont="1" applyBorder="1" applyAlignment="1">
      <alignment horizontal="right" vertical="center" shrinkToFit="1"/>
    </xf>
    <xf numFmtId="189" fontId="5" fillId="0" borderId="38" xfId="0" applyNumberFormat="1" applyFont="1" applyBorder="1" applyAlignment="1">
      <alignment horizontal="right" vertical="center" shrinkToFit="1"/>
    </xf>
    <xf numFmtId="189" fontId="5" fillId="0" borderId="76" xfId="0" applyNumberFormat="1" applyFont="1" applyBorder="1" applyAlignment="1">
      <alignment horizontal="right" vertical="center" shrinkToFit="1"/>
    </xf>
    <xf numFmtId="0" fontId="5" fillId="0" borderId="128" xfId="0" applyFont="1" applyBorder="1" applyAlignment="1">
      <alignment horizontal="distributed" vertical="center"/>
    </xf>
    <xf numFmtId="189" fontId="5" fillId="0" borderId="31" xfId="0" applyNumberFormat="1" applyFont="1" applyBorder="1" applyAlignment="1">
      <alignment horizontal="right" vertical="center" shrinkToFit="1"/>
    </xf>
    <xf numFmtId="189" fontId="5" fillId="0" borderId="32" xfId="0" applyNumberFormat="1" applyFont="1" applyBorder="1" applyAlignment="1">
      <alignment horizontal="right" vertical="center" shrinkToFit="1"/>
    </xf>
    <xf numFmtId="189" fontId="5" fillId="0" borderId="33" xfId="0" applyNumberFormat="1" applyFont="1" applyBorder="1" applyAlignment="1">
      <alignment horizontal="right" vertical="center" shrinkToFit="1"/>
    </xf>
    <xf numFmtId="189" fontId="5" fillId="0" borderId="34" xfId="0" applyNumberFormat="1" applyFont="1" applyBorder="1" applyAlignment="1">
      <alignment horizontal="right" vertical="center" shrinkToFit="1"/>
    </xf>
    <xf numFmtId="189" fontId="5" fillId="0" borderId="110" xfId="0" applyNumberFormat="1" applyFont="1" applyBorder="1" applyAlignment="1">
      <alignment horizontal="right" vertical="center" shrinkToFit="1"/>
    </xf>
    <xf numFmtId="189" fontId="5" fillId="0" borderId="124" xfId="0" applyNumberFormat="1" applyFont="1" applyBorder="1" applyAlignment="1">
      <alignment horizontal="right" vertical="center" shrinkToFit="1"/>
    </xf>
    <xf numFmtId="189" fontId="5" fillId="2" borderId="13" xfId="0" applyNumberFormat="1" applyFont="1" applyFill="1" applyBorder="1" applyAlignment="1">
      <alignment horizontal="right" vertical="center" shrinkToFit="1"/>
    </xf>
    <xf numFmtId="189" fontId="5" fillId="2" borderId="11" xfId="0" applyNumberFormat="1" applyFont="1" applyFill="1" applyBorder="1" applyAlignment="1">
      <alignment horizontal="right" vertical="center" shrinkToFit="1"/>
    </xf>
    <xf numFmtId="189" fontId="5" fillId="2" borderId="110" xfId="0" applyNumberFormat="1" applyFont="1" applyFill="1" applyBorder="1" applyAlignment="1">
      <alignment horizontal="right" vertical="center" shrinkToFit="1"/>
    </xf>
    <xf numFmtId="0" fontId="5" fillId="0" borderId="46" xfId="0" applyFont="1" applyBorder="1" applyAlignment="1">
      <alignment horizontal="distributed" vertical="center" justifyLastLine="1"/>
    </xf>
    <xf numFmtId="0" fontId="5" fillId="0" borderId="1" xfId="0" applyFont="1" applyBorder="1" applyAlignment="1">
      <alignment horizontal="distributed" vertical="center" justifyLastLine="1"/>
    </xf>
    <xf numFmtId="0" fontId="5" fillId="0" borderId="79" xfId="0" applyFont="1" applyBorder="1" applyAlignment="1">
      <alignment horizontal="distributed" vertical="center" justifyLastLine="1"/>
    </xf>
    <xf numFmtId="189" fontId="5" fillId="2" borderId="124" xfId="0" applyNumberFormat="1" applyFont="1" applyFill="1" applyBorder="1" applyAlignment="1">
      <alignment horizontal="right" vertical="center" shrinkToFit="1"/>
    </xf>
    <xf numFmtId="189" fontId="5" fillId="0" borderId="13" xfId="0" applyNumberFormat="1" applyFont="1" applyBorder="1" applyAlignment="1">
      <alignment horizontal="right" vertical="center" shrinkToFit="1"/>
    </xf>
    <xf numFmtId="0" fontId="5" fillId="0" borderId="30" xfId="0" applyFont="1" applyBorder="1" applyAlignment="1">
      <alignment horizontal="distributed" vertical="center"/>
    </xf>
    <xf numFmtId="0" fontId="5" fillId="0" borderId="22" xfId="0" applyFont="1" applyBorder="1" applyAlignment="1">
      <alignment horizontal="distributed" vertical="center"/>
    </xf>
    <xf numFmtId="0" fontId="5" fillId="0" borderId="23" xfId="0" applyFont="1" applyBorder="1" applyAlignment="1">
      <alignment horizontal="distributed" vertical="center"/>
    </xf>
    <xf numFmtId="0" fontId="5" fillId="0" borderId="76" xfId="0" applyFont="1" applyBorder="1" applyAlignment="1">
      <alignment horizontal="distributed" vertical="center"/>
    </xf>
    <xf numFmtId="189" fontId="5" fillId="0" borderId="20" xfId="0" applyNumberFormat="1" applyFont="1" applyBorder="1" applyAlignment="1">
      <alignment horizontal="right" vertical="center" shrinkToFit="1"/>
    </xf>
    <xf numFmtId="0" fontId="5" fillId="0" borderId="21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5" fillId="0" borderId="86" xfId="0" applyFont="1" applyBorder="1" applyAlignment="1">
      <alignment horizontal="distributed" vertical="center"/>
    </xf>
    <xf numFmtId="0" fontId="0" fillId="0" borderId="2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189" fontId="5" fillId="0" borderId="42" xfId="0" applyNumberFormat="1" applyFont="1" applyBorder="1" applyAlignment="1">
      <alignment horizontal="right" vertical="center" shrinkToFit="1"/>
    </xf>
    <xf numFmtId="189" fontId="5" fillId="0" borderId="30" xfId="0" applyNumberFormat="1" applyFont="1" applyBorder="1" applyAlignment="1">
      <alignment horizontal="right" vertical="center" shrinkToFit="1"/>
    </xf>
    <xf numFmtId="189" fontId="5" fillId="2" borderId="33" xfId="0" applyNumberFormat="1" applyFont="1" applyFill="1" applyBorder="1" applyAlignment="1">
      <alignment horizontal="right" vertical="center" shrinkToFit="1"/>
    </xf>
    <xf numFmtId="189" fontId="5" fillId="2" borderId="32" xfId="0" applyNumberFormat="1" applyFont="1" applyFill="1" applyBorder="1" applyAlignment="1">
      <alignment horizontal="right" vertical="center" shrinkToFit="1"/>
    </xf>
    <xf numFmtId="189" fontId="5" fillId="2" borderId="34" xfId="0" applyNumberFormat="1" applyFont="1" applyFill="1" applyBorder="1" applyAlignment="1">
      <alignment horizontal="right" vertical="center" shrinkToFit="1"/>
    </xf>
    <xf numFmtId="188" fontId="5" fillId="0" borderId="11" xfId="0" applyNumberFormat="1" applyFont="1" applyBorder="1" applyAlignment="1">
      <alignment horizontal="right" vertical="center" shrinkToFit="1"/>
    </xf>
    <xf numFmtId="188" fontId="5" fillId="0" borderId="110" xfId="0" applyNumberFormat="1" applyFont="1" applyBorder="1" applyAlignment="1">
      <alignment horizontal="right" vertical="center" shrinkToFit="1"/>
    </xf>
    <xf numFmtId="188" fontId="5" fillId="2" borderId="11" xfId="0" applyNumberFormat="1" applyFont="1" applyFill="1" applyBorder="1" applyAlignment="1">
      <alignment horizontal="right" vertical="center" shrinkToFit="1"/>
    </xf>
    <xf numFmtId="188" fontId="5" fillId="2" borderId="110" xfId="0" applyNumberFormat="1" applyFont="1" applyFill="1" applyBorder="1" applyAlignment="1">
      <alignment horizontal="right" vertical="center" shrinkToFit="1"/>
    </xf>
    <xf numFmtId="0" fontId="5" fillId="0" borderId="34" xfId="0" applyFont="1" applyBorder="1" applyAlignment="1">
      <alignment horizontal="distributed" vertical="center"/>
    </xf>
    <xf numFmtId="0" fontId="5" fillId="0" borderId="38" xfId="0" applyFont="1" applyBorder="1" applyAlignment="1">
      <alignment horizontal="distributed" vertical="center" shrinkToFit="1"/>
    </xf>
    <xf numFmtId="0" fontId="5" fillId="0" borderId="23" xfId="0" applyFont="1" applyBorder="1" applyAlignment="1">
      <alignment horizontal="distributed" vertical="center" shrinkToFit="1"/>
    </xf>
    <xf numFmtId="0" fontId="5" fillId="0" borderId="24" xfId="0" applyFont="1" applyBorder="1" applyAlignment="1">
      <alignment horizontal="distributed" vertical="center" shrinkToFit="1"/>
    </xf>
    <xf numFmtId="189" fontId="5" fillId="0" borderId="11" xfId="0" applyNumberFormat="1" applyFont="1" applyBorder="1" applyAlignment="1">
      <alignment horizontal="right" vertical="center" shrinkToFit="1"/>
    </xf>
    <xf numFmtId="0" fontId="6" fillId="0" borderId="19" xfId="0" applyFont="1" applyBorder="1" applyAlignment="1">
      <alignment vertical="center"/>
    </xf>
    <xf numFmtId="0" fontId="5" fillId="0" borderId="61" xfId="0" applyFont="1" applyBorder="1" applyAlignment="1">
      <alignment horizontal="center" vertical="distributed" textRotation="255" justifyLastLine="1"/>
    </xf>
    <xf numFmtId="0" fontId="5" fillId="0" borderId="62" xfId="0" applyFont="1" applyBorder="1" applyAlignment="1">
      <alignment horizontal="center" vertical="distributed" textRotation="255" justifyLastLine="1"/>
    </xf>
    <xf numFmtId="0" fontId="5" fillId="0" borderId="2" xfId="0" applyFont="1" applyBorder="1" applyAlignment="1">
      <alignment horizontal="center" vertical="distributed" textRotation="255" justifyLastLine="1"/>
    </xf>
    <xf numFmtId="0" fontId="5" fillId="0" borderId="83" xfId="0" applyFont="1" applyBorder="1" applyAlignment="1">
      <alignment horizontal="center" vertical="distributed" textRotation="255" justifyLastLine="1"/>
    </xf>
    <xf numFmtId="0" fontId="5" fillId="0" borderId="10" xfId="0" applyFont="1" applyBorder="1" applyAlignment="1">
      <alignment horizontal="center" vertical="distributed" textRotation="255" justifyLastLine="1"/>
    </xf>
    <xf numFmtId="0" fontId="5" fillId="0" borderId="63" xfId="0" applyFont="1" applyBorder="1" applyAlignment="1">
      <alignment horizontal="center" vertical="distributed" textRotation="255" justifyLastLine="1"/>
    </xf>
    <xf numFmtId="0" fontId="5" fillId="0" borderId="42" xfId="0" applyFont="1" applyBorder="1" applyAlignment="1">
      <alignment horizontal="distributed" vertical="center" shrinkToFit="1"/>
    </xf>
    <xf numFmtId="0" fontId="5" fillId="0" borderId="20" xfId="0" applyFont="1" applyBorder="1" applyAlignment="1">
      <alignment horizontal="distributed" vertical="center" shrinkToFit="1"/>
    </xf>
    <xf numFmtId="0" fontId="5" fillId="0" borderId="21" xfId="0" applyFont="1" applyBorder="1" applyAlignment="1">
      <alignment horizontal="distributed" vertical="center" shrinkToFit="1"/>
    </xf>
    <xf numFmtId="0" fontId="5" fillId="0" borderId="25" xfId="0" applyFont="1" applyBorder="1" applyAlignment="1">
      <alignment horizontal="distributed" vertical="center"/>
    </xf>
    <xf numFmtId="0" fontId="5" fillId="0" borderId="26" xfId="0" applyFont="1" applyBorder="1" applyAlignment="1">
      <alignment horizontal="distributed" vertical="center"/>
    </xf>
    <xf numFmtId="0" fontId="5" fillId="0" borderId="33" xfId="0" applyFont="1" applyBorder="1" applyAlignment="1">
      <alignment horizontal="distributed" vertical="center"/>
    </xf>
    <xf numFmtId="0" fontId="5" fillId="0" borderId="27" xfId="0" applyFont="1" applyBorder="1" applyAlignment="1">
      <alignment horizontal="distributed" vertical="center"/>
    </xf>
    <xf numFmtId="0" fontId="4" fillId="0" borderId="64" xfId="0" applyFont="1" applyBorder="1" applyAlignment="1">
      <alignment horizontal="center" vertical="center" textRotation="255" wrapText="1"/>
    </xf>
    <xf numFmtId="0" fontId="4" fillId="0" borderId="86" xfId="0" applyFont="1" applyBorder="1" applyAlignment="1">
      <alignment horizontal="center" vertical="center" textRotation="255" wrapText="1"/>
    </xf>
    <xf numFmtId="0" fontId="4" fillId="0" borderId="2" xfId="0" applyFont="1" applyBorder="1" applyAlignment="1">
      <alignment horizontal="center" vertical="center" textRotation="255" wrapText="1"/>
    </xf>
    <xf numFmtId="0" fontId="4" fillId="0" borderId="83" xfId="0" applyFont="1" applyBorder="1" applyAlignment="1">
      <alignment horizontal="center" vertical="center" textRotation="255" wrapText="1"/>
    </xf>
    <xf numFmtId="0" fontId="5" fillId="0" borderId="49" xfId="0" applyFont="1" applyBorder="1" applyAlignment="1">
      <alignment horizontal="distributed" vertical="center" shrinkToFit="1"/>
    </xf>
    <xf numFmtId="0" fontId="5" fillId="0" borderId="50" xfId="0" applyFont="1" applyBorder="1" applyAlignment="1">
      <alignment horizontal="distributed" vertical="center" shrinkToFit="1"/>
    </xf>
    <xf numFmtId="0" fontId="5" fillId="0" borderId="77" xfId="0" applyFont="1" applyBorder="1" applyAlignment="1">
      <alignment horizontal="distributed" vertical="center" shrinkToFit="1"/>
    </xf>
    <xf numFmtId="0" fontId="2" fillId="0" borderId="61" xfId="0" applyFont="1" applyBorder="1" applyAlignment="1">
      <alignment horizontal="distributed" vertical="center"/>
    </xf>
    <xf numFmtId="0" fontId="2" fillId="0" borderId="9" xfId="0" applyFont="1" applyBorder="1" applyAlignment="1">
      <alignment horizontal="distributed" vertical="center"/>
    </xf>
    <xf numFmtId="0" fontId="2" fillId="0" borderId="93" xfId="0" applyFont="1" applyBorder="1" applyAlignment="1">
      <alignment horizontal="distributed" vertical="center"/>
    </xf>
    <xf numFmtId="189" fontId="5" fillId="0" borderId="68" xfId="0" applyNumberFormat="1" applyFont="1" applyBorder="1" applyAlignment="1">
      <alignment horizontal="right" vertical="center" shrinkToFit="1"/>
    </xf>
    <xf numFmtId="189" fontId="5" fillId="0" borderId="69" xfId="0" applyNumberFormat="1" applyFont="1" applyBorder="1" applyAlignment="1">
      <alignment horizontal="right" vertical="center" shrinkToFit="1"/>
    </xf>
    <xf numFmtId="189" fontId="5" fillId="0" borderId="73" xfId="0" applyNumberFormat="1" applyFont="1" applyBorder="1" applyAlignment="1">
      <alignment horizontal="right" vertical="center" shrinkToFit="1"/>
    </xf>
    <xf numFmtId="189" fontId="5" fillId="0" borderId="74" xfId="0" applyNumberFormat="1" applyFont="1" applyBorder="1" applyAlignment="1">
      <alignment horizontal="right" vertical="center" shrinkToFit="1"/>
    </xf>
    <xf numFmtId="189" fontId="5" fillId="0" borderId="125" xfId="0" applyNumberFormat="1" applyFont="1" applyBorder="1" applyAlignment="1">
      <alignment horizontal="right" vertical="center" shrinkToFit="1"/>
    </xf>
    <xf numFmtId="189" fontId="5" fillId="0" borderId="126" xfId="0" applyNumberFormat="1" applyFont="1" applyBorder="1" applyAlignment="1">
      <alignment horizontal="right" vertical="center" shrinkToFit="1"/>
    </xf>
    <xf numFmtId="0" fontId="3" fillId="0" borderId="6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189" fontId="5" fillId="0" borderId="47" xfId="0" applyNumberFormat="1" applyFont="1" applyBorder="1" applyAlignment="1">
      <alignment horizontal="right" vertical="center" shrinkToFit="1"/>
    </xf>
    <xf numFmtId="189" fontId="5" fillId="0" borderId="72" xfId="0" applyNumberFormat="1" applyFont="1" applyBorder="1" applyAlignment="1">
      <alignment horizontal="right" vertical="center" shrinkToFit="1"/>
    </xf>
    <xf numFmtId="189" fontId="5" fillId="0" borderId="63" xfId="0" applyNumberFormat="1" applyFont="1" applyBorder="1" applyAlignment="1">
      <alignment horizontal="right" vertical="center" shrinkToFit="1"/>
    </xf>
    <xf numFmtId="189" fontId="5" fillId="0" borderId="29" xfId="0" applyNumberFormat="1" applyFont="1" applyBorder="1" applyAlignment="1">
      <alignment horizontal="right" vertical="center" shrinkToFit="1"/>
    </xf>
    <xf numFmtId="189" fontId="5" fillId="0" borderId="85" xfId="0" applyNumberFormat="1" applyFont="1" applyBorder="1" applyAlignment="1">
      <alignment horizontal="right" vertical="center" shrinkToFit="1"/>
    </xf>
    <xf numFmtId="0" fontId="5" fillId="0" borderId="48" xfId="0" applyFont="1" applyBorder="1" applyAlignment="1">
      <alignment horizontal="distributed" vertical="center"/>
    </xf>
    <xf numFmtId="0" fontId="5" fillId="0" borderId="78" xfId="0" applyFont="1" applyBorder="1" applyAlignment="1">
      <alignment horizontal="distributed" vertical="center"/>
    </xf>
    <xf numFmtId="0" fontId="5" fillId="0" borderId="96" xfId="0" applyFont="1" applyBorder="1" applyAlignment="1">
      <alignment horizontal="distributed" vertical="center"/>
    </xf>
    <xf numFmtId="0" fontId="5" fillId="0" borderId="10" xfId="0" applyFont="1" applyBorder="1" applyAlignment="1">
      <alignment vertical="center" shrinkToFit="1"/>
    </xf>
    <xf numFmtId="0" fontId="5" fillId="0" borderId="47" xfId="0" applyFont="1" applyBorder="1" applyAlignment="1">
      <alignment vertical="center" shrinkToFit="1"/>
    </xf>
    <xf numFmtId="0" fontId="5" fillId="0" borderId="70" xfId="0" applyFont="1" applyBorder="1" applyAlignment="1">
      <alignment vertical="center" shrinkToFit="1"/>
    </xf>
    <xf numFmtId="0" fontId="5" fillId="0" borderId="22" xfId="0" applyFont="1" applyBorder="1" applyAlignment="1">
      <alignment horizontal="distributed" vertical="center" shrinkToFit="1"/>
    </xf>
    <xf numFmtId="0" fontId="1" fillId="0" borderId="23" xfId="0" applyFont="1" applyBorder="1" applyAlignment="1">
      <alignment horizontal="distributed" vertical="center" shrinkToFit="1"/>
    </xf>
    <xf numFmtId="0" fontId="1" fillId="0" borderId="24" xfId="0" applyFont="1" applyBorder="1" applyAlignment="1">
      <alignment horizontal="distributed" vertical="center" shrinkToFit="1"/>
    </xf>
    <xf numFmtId="0" fontId="5" fillId="0" borderId="68" xfId="0" applyFont="1" applyBorder="1" applyAlignment="1">
      <alignment horizontal="distributed" vertical="center" shrinkToFit="1"/>
    </xf>
    <xf numFmtId="0" fontId="5" fillId="0" borderId="69" xfId="0" applyFont="1" applyBorder="1" applyAlignment="1">
      <alignment horizontal="distributed" vertical="center" shrinkToFit="1"/>
    </xf>
    <xf numFmtId="0" fontId="5" fillId="0" borderId="75" xfId="0" applyFont="1" applyBorder="1" applyAlignment="1">
      <alignment horizontal="distributed" vertical="center" shrinkToFit="1"/>
    </xf>
    <xf numFmtId="0" fontId="5" fillId="0" borderId="23" xfId="0" applyFont="1" applyBorder="1" applyAlignment="1">
      <alignment horizontal="distributed" justifyLastLine="1"/>
    </xf>
    <xf numFmtId="0" fontId="5" fillId="0" borderId="24" xfId="0" applyFont="1" applyBorder="1" applyAlignment="1">
      <alignment horizontal="distributed" justifyLastLine="1"/>
    </xf>
    <xf numFmtId="0" fontId="5" fillId="0" borderId="19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" fillId="0" borderId="32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 shrinkToFit="1"/>
    </xf>
    <xf numFmtId="0" fontId="1" fillId="0" borderId="18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189" fontId="5" fillId="3" borderId="31" xfId="0" applyNumberFormat="1" applyFont="1" applyFill="1" applyBorder="1" applyAlignment="1">
      <alignment horizontal="right" vertical="center" shrinkToFit="1"/>
    </xf>
    <xf numFmtId="189" fontId="5" fillId="3" borderId="32" xfId="0" applyNumberFormat="1" applyFont="1" applyFill="1" applyBorder="1" applyAlignment="1">
      <alignment horizontal="right" vertical="center" shrinkToFit="1"/>
    </xf>
    <xf numFmtId="189" fontId="5" fillId="3" borderId="33" xfId="0" applyNumberFormat="1" applyFont="1" applyFill="1" applyBorder="1" applyAlignment="1">
      <alignment horizontal="right" vertical="center" shrinkToFit="1"/>
    </xf>
    <xf numFmtId="189" fontId="5" fillId="3" borderId="34" xfId="0" applyNumberFormat="1" applyFont="1" applyFill="1" applyBorder="1" applyAlignment="1">
      <alignment horizontal="right" vertical="center" shrinkToFit="1"/>
    </xf>
    <xf numFmtId="189" fontId="5" fillId="0" borderId="25" xfId="0" applyNumberFormat="1" applyFont="1" applyBorder="1" applyAlignment="1">
      <alignment horizontal="right" vertical="center" shrinkToFit="1"/>
    </xf>
    <xf numFmtId="0" fontId="5" fillId="0" borderId="112" xfId="0" applyFont="1" applyBorder="1" applyAlignment="1">
      <alignment vertical="center"/>
    </xf>
    <xf numFmtId="0" fontId="5" fillId="0" borderId="113" xfId="0" applyFont="1" applyBorder="1" applyAlignment="1">
      <alignment vertical="center"/>
    </xf>
    <xf numFmtId="0" fontId="5" fillId="0" borderId="114" xfId="0" applyFont="1" applyBorder="1" applyAlignment="1">
      <alignment vertical="center"/>
    </xf>
    <xf numFmtId="189" fontId="5" fillId="3" borderId="11" xfId="0" applyNumberFormat="1" applyFont="1" applyFill="1" applyBorder="1" applyAlignment="1">
      <alignment horizontal="right" vertical="center" shrinkToFit="1"/>
    </xf>
    <xf numFmtId="189" fontId="5" fillId="3" borderId="110" xfId="0" applyNumberFormat="1" applyFont="1" applyFill="1" applyBorder="1" applyAlignment="1">
      <alignment horizontal="right" vertical="center" shrinkToFit="1"/>
    </xf>
    <xf numFmtId="0" fontId="5" fillId="0" borderId="22" xfId="0" applyFont="1" applyBorder="1" applyAlignment="1">
      <alignment horizontal="distributed" justifyLastLine="1"/>
    </xf>
    <xf numFmtId="181" fontId="1" fillId="0" borderId="117" xfId="0" applyNumberFormat="1" applyFont="1" applyBorder="1" applyAlignment="1">
      <alignment horizontal="right" vertical="center" shrinkToFit="1"/>
    </xf>
    <xf numFmtId="181" fontId="1" fillId="0" borderId="116" xfId="0" applyNumberFormat="1" applyFont="1" applyBorder="1" applyAlignment="1">
      <alignment horizontal="right" vertical="center" shrinkToFit="1"/>
    </xf>
    <xf numFmtId="181" fontId="1" fillId="0" borderId="118" xfId="0" applyNumberFormat="1" applyFont="1" applyBorder="1" applyAlignment="1">
      <alignment horizontal="right" vertical="center" shrinkToFit="1"/>
    </xf>
    <xf numFmtId="181" fontId="1" fillId="0" borderId="115" xfId="0" applyNumberFormat="1" applyFont="1" applyBorder="1" applyAlignment="1">
      <alignment horizontal="right" vertical="center" shrinkToFit="1"/>
    </xf>
    <xf numFmtId="0" fontId="5" fillId="0" borderId="73" xfId="0" applyFont="1" applyBorder="1" applyAlignment="1">
      <alignment horizontal="center" vertical="center" justifyLastLine="1"/>
    </xf>
    <xf numFmtId="0" fontId="5" fillId="0" borderId="69" xfId="0" applyFont="1" applyBorder="1" applyAlignment="1">
      <alignment horizontal="center" vertical="center" justifyLastLine="1"/>
    </xf>
    <xf numFmtId="0" fontId="5" fillId="0" borderId="75" xfId="0" applyFont="1" applyBorder="1" applyAlignment="1">
      <alignment horizontal="center" vertical="center" justifyLastLine="1"/>
    </xf>
    <xf numFmtId="181" fontId="1" fillId="0" borderId="120" xfId="0" applyNumberFormat="1" applyFont="1" applyBorder="1" applyAlignment="1">
      <alignment horizontal="center" vertical="center" shrinkToFit="1"/>
    </xf>
    <xf numFmtId="181" fontId="1" fillId="0" borderId="121" xfId="0" applyNumberFormat="1" applyFont="1" applyBorder="1" applyAlignment="1">
      <alignment horizontal="center" vertical="center" shrinkToFit="1"/>
    </xf>
    <xf numFmtId="181" fontId="1" fillId="0" borderId="122" xfId="0" applyNumberFormat="1" applyFont="1" applyBorder="1" applyAlignment="1">
      <alignment horizontal="center" vertical="center" shrinkToFit="1"/>
    </xf>
    <xf numFmtId="189" fontId="5" fillId="3" borderId="124" xfId="0" applyNumberFormat="1" applyFont="1" applyFill="1" applyBorder="1" applyAlignment="1">
      <alignment horizontal="right" vertical="center" shrinkToFit="1"/>
    </xf>
    <xf numFmtId="191" fontId="5" fillId="11" borderId="36" xfId="0" applyNumberFormat="1" applyFont="1" applyFill="1" applyBorder="1" applyAlignment="1">
      <alignment horizontal="right" vertical="center" shrinkToFit="1"/>
    </xf>
    <xf numFmtId="191" fontId="5" fillId="11" borderId="37" xfId="0" applyNumberFormat="1" applyFont="1" applyFill="1" applyBorder="1" applyAlignment="1">
      <alignment horizontal="right" vertical="center" shrinkToFit="1"/>
    </xf>
    <xf numFmtId="191" fontId="5" fillId="0" borderId="12" xfId="0" applyNumberFormat="1" applyFont="1" applyBorder="1" applyAlignment="1">
      <alignment horizontal="right" vertical="center" shrinkToFit="1"/>
    </xf>
    <xf numFmtId="189" fontId="5" fillId="11" borderId="37" xfId="0" applyNumberFormat="1" applyFont="1" applyFill="1" applyBorder="1" applyAlignment="1">
      <alignment horizontal="right" vertical="center" shrinkToFit="1"/>
    </xf>
    <xf numFmtId="189" fontId="5" fillId="11" borderId="103" xfId="0" applyNumberFormat="1" applyFont="1" applyFill="1" applyBorder="1" applyAlignment="1">
      <alignment horizontal="right" vertical="center" shrinkToFit="1"/>
    </xf>
    <xf numFmtId="189" fontId="5" fillId="11" borderId="12" xfId="0" applyNumberFormat="1" applyFont="1" applyFill="1" applyBorder="1" applyAlignment="1">
      <alignment horizontal="right" vertical="center" shrinkToFit="1"/>
    </xf>
    <xf numFmtId="189" fontId="5" fillId="11" borderId="28" xfId="0" applyNumberFormat="1" applyFont="1" applyFill="1" applyBorder="1" applyAlignment="1">
      <alignment horizontal="right" vertical="center" shrinkToFit="1"/>
    </xf>
    <xf numFmtId="191" fontId="5" fillId="11" borderId="12" xfId="0" applyNumberFormat="1" applyFont="1" applyFill="1" applyBorder="1" applyAlignment="1">
      <alignment horizontal="right" vertical="center" shrinkToFit="1"/>
    </xf>
    <xf numFmtId="191" fontId="5" fillId="0" borderId="13" xfId="0" applyNumberFormat="1" applyFont="1" applyBorder="1" applyAlignment="1">
      <alignment horizontal="right" vertical="center" shrinkToFit="1"/>
    </xf>
    <xf numFmtId="191" fontId="5" fillId="11" borderId="25" xfId="0" applyNumberFormat="1" applyFont="1" applyFill="1" applyBorder="1" applyAlignment="1">
      <alignment horizontal="right" vertical="center" shrinkToFit="1"/>
    </xf>
    <xf numFmtId="191" fontId="5" fillId="11" borderId="26" xfId="0" applyNumberFormat="1" applyFont="1" applyFill="1" applyBorder="1" applyAlignment="1">
      <alignment horizontal="right" vertical="center" shrinkToFit="1"/>
    </xf>
    <xf numFmtId="0" fontId="5" fillId="0" borderId="49" xfId="0" applyFont="1" applyBorder="1" applyAlignment="1">
      <alignment horizontal="distributed" vertical="center" justifyLastLine="1"/>
    </xf>
    <xf numFmtId="0" fontId="5" fillId="0" borderId="50" xfId="0" applyFont="1" applyBorder="1" applyAlignment="1">
      <alignment horizontal="distributed" vertical="center" justifyLastLine="1"/>
    </xf>
    <xf numFmtId="0" fontId="5" fillId="0" borderId="77" xfId="0" applyFont="1" applyBorder="1" applyAlignment="1">
      <alignment horizontal="distributed" vertical="center" justifyLastLine="1"/>
    </xf>
    <xf numFmtId="191" fontId="5" fillId="11" borderId="13" xfId="0" applyNumberFormat="1" applyFont="1" applyFill="1" applyBorder="1" applyAlignment="1">
      <alignment horizontal="right" vertical="center" shrinkToFit="1"/>
    </xf>
    <xf numFmtId="0" fontId="5" fillId="0" borderId="54" xfId="0" applyFont="1" applyBorder="1" applyAlignment="1">
      <alignment horizontal="distributed" vertical="center" justifyLastLine="1"/>
    </xf>
    <xf numFmtId="0" fontId="5" fillId="0" borderId="0" xfId="0" applyFont="1" applyAlignment="1">
      <alignment horizontal="distributed" vertical="center" justifyLastLine="1"/>
    </xf>
    <xf numFmtId="0" fontId="5" fillId="0" borderId="99" xfId="0" applyFont="1" applyBorder="1" applyAlignment="1">
      <alignment horizontal="distributed" vertical="center" justifyLastLine="1"/>
    </xf>
    <xf numFmtId="0" fontId="5" fillId="0" borderId="6" xfId="0" applyFont="1" applyBorder="1" applyAlignment="1">
      <alignment horizontal="center" vertical="distributed" textRotation="255" justifyLastLine="1"/>
    </xf>
    <xf numFmtId="0" fontId="5" fillId="0" borderId="4" xfId="0" applyFont="1" applyBorder="1" applyAlignment="1">
      <alignment horizontal="center" vertical="distributed" textRotation="255" justifyLastLine="1"/>
    </xf>
    <xf numFmtId="189" fontId="5" fillId="11" borderId="26" xfId="0" applyNumberFormat="1" applyFont="1" applyFill="1" applyBorder="1" applyAlignment="1">
      <alignment horizontal="right" vertical="center" shrinkToFit="1"/>
    </xf>
    <xf numFmtId="189" fontId="5" fillId="11" borderId="27" xfId="0" applyNumberFormat="1" applyFont="1" applyFill="1" applyBorder="1" applyAlignment="1">
      <alignment horizontal="right" vertical="center" shrinkToFit="1"/>
    </xf>
    <xf numFmtId="191" fontId="5" fillId="2" borderId="12" xfId="0" applyNumberFormat="1" applyFont="1" applyFill="1" applyBorder="1" applyAlignment="1">
      <alignment horizontal="right" vertical="center" shrinkToFit="1"/>
    </xf>
    <xf numFmtId="191" fontId="5" fillId="0" borderId="29" xfId="0" applyNumberFormat="1" applyFont="1" applyBorder="1" applyAlignment="1">
      <alignment horizontal="right" vertical="center" shrinkToFit="1"/>
    </xf>
    <xf numFmtId="191" fontId="5" fillId="3" borderId="26" xfId="0" applyNumberFormat="1" applyFont="1" applyFill="1" applyBorder="1" applyAlignment="1">
      <alignment horizontal="right" vertical="center" shrinkToFit="1"/>
    </xf>
    <xf numFmtId="191" fontId="5" fillId="3" borderId="25" xfId="0" applyNumberFormat="1" applyFont="1" applyFill="1" applyBorder="1" applyAlignment="1">
      <alignment horizontal="right" vertical="center" shrinkToFit="1"/>
    </xf>
    <xf numFmtId="191" fontId="5" fillId="0" borderId="37" xfId="0" applyNumberFormat="1" applyFont="1" applyBorder="1" applyAlignment="1">
      <alignment horizontal="right" vertical="center" shrinkToFit="1"/>
    </xf>
    <xf numFmtId="0" fontId="5" fillId="0" borderId="61" xfId="0" applyFont="1" applyBorder="1" applyAlignment="1">
      <alignment horizontal="distributed" vertical="center" wrapText="1" justifyLastLine="1"/>
    </xf>
    <xf numFmtId="0" fontId="5" fillId="0" borderId="9" xfId="0" applyFont="1" applyBorder="1" applyAlignment="1">
      <alignment horizontal="distributed" vertical="center" justifyLastLine="1"/>
    </xf>
    <xf numFmtId="0" fontId="5" fillId="0" borderId="93" xfId="0" applyFont="1" applyBorder="1" applyAlignment="1">
      <alignment horizontal="distributed" vertical="center" justifyLastLine="1"/>
    </xf>
    <xf numFmtId="0" fontId="5" fillId="0" borderId="10" xfId="0" applyFont="1" applyBorder="1" applyAlignment="1">
      <alignment horizontal="distributed" vertical="center" justifyLastLine="1"/>
    </xf>
    <xf numFmtId="0" fontId="5" fillId="0" borderId="47" xfId="0" applyFont="1" applyBorder="1" applyAlignment="1">
      <alignment horizontal="distributed" vertical="center" justifyLastLine="1"/>
    </xf>
    <xf numFmtId="0" fontId="5" fillId="0" borderId="70" xfId="0" applyFont="1" applyBorder="1" applyAlignment="1">
      <alignment horizontal="distributed" vertical="center" justifyLastLine="1"/>
    </xf>
    <xf numFmtId="191" fontId="5" fillId="3" borderId="12" xfId="0" applyNumberFormat="1" applyFont="1" applyFill="1" applyBorder="1" applyAlignment="1">
      <alignment horizontal="right" vertical="center" shrinkToFit="1"/>
    </xf>
    <xf numFmtId="191" fontId="5" fillId="3" borderId="13" xfId="0" applyNumberFormat="1" applyFont="1" applyFill="1" applyBorder="1" applyAlignment="1">
      <alignment horizontal="right" vertical="center" shrinkToFit="1"/>
    </xf>
    <xf numFmtId="0" fontId="4" fillId="0" borderId="127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49" fontId="4" fillId="0" borderId="89" xfId="0" applyNumberFormat="1" applyFont="1" applyBorder="1" applyAlignment="1">
      <alignment horizontal="center" vertical="center"/>
    </xf>
    <xf numFmtId="49" fontId="4" fillId="0" borderId="92" xfId="0" applyNumberFormat="1" applyFont="1" applyBorder="1" applyAlignment="1">
      <alignment horizontal="center" vertical="center"/>
    </xf>
    <xf numFmtId="191" fontId="5" fillId="2" borderId="13" xfId="0" applyNumberFormat="1" applyFont="1" applyFill="1" applyBorder="1" applyAlignment="1">
      <alignment horizontal="right" vertical="center" shrinkToFit="1"/>
    </xf>
    <xf numFmtId="191" fontId="5" fillId="2" borderId="29" xfId="0" applyNumberFormat="1" applyFont="1" applyFill="1" applyBorder="1" applyAlignment="1">
      <alignment horizontal="right" vertical="center" shrinkToFit="1"/>
    </xf>
    <xf numFmtId="191" fontId="5" fillId="2" borderId="3" xfId="0" applyNumberFormat="1" applyFont="1" applyFill="1" applyBorder="1" applyAlignment="1">
      <alignment horizontal="right" vertical="center" shrinkToFit="1"/>
    </xf>
    <xf numFmtId="189" fontId="5" fillId="2" borderId="29" xfId="0" applyNumberFormat="1" applyFont="1" applyFill="1" applyBorder="1" applyAlignment="1">
      <alignment horizontal="right" vertical="center" shrinkToFit="1"/>
    </xf>
    <xf numFmtId="189" fontId="5" fillId="2" borderId="85" xfId="0" applyNumberFormat="1" applyFont="1" applyFill="1" applyBorder="1" applyAlignment="1">
      <alignment horizontal="right" vertical="center" shrinkToFit="1"/>
    </xf>
    <xf numFmtId="189" fontId="5" fillId="3" borderId="12" xfId="0" applyNumberFormat="1" applyFont="1" applyFill="1" applyBorder="1" applyAlignment="1">
      <alignment horizontal="right" vertical="center" shrinkToFit="1"/>
    </xf>
    <xf numFmtId="189" fontId="5" fillId="3" borderId="28" xfId="0" applyNumberFormat="1" applyFont="1" applyFill="1" applyBorder="1" applyAlignment="1">
      <alignment horizontal="right" vertical="center" shrinkToFit="1"/>
    </xf>
    <xf numFmtId="191" fontId="5" fillId="0" borderId="3" xfId="0" applyNumberFormat="1" applyFont="1" applyBorder="1" applyAlignment="1">
      <alignment horizontal="right" vertical="center" shrinkToFit="1"/>
    </xf>
    <xf numFmtId="49" fontId="4" fillId="0" borderId="90" xfId="0" applyNumberFormat="1" applyFont="1" applyBorder="1" applyAlignment="1">
      <alignment horizontal="center" vertical="center"/>
    </xf>
    <xf numFmtId="191" fontId="5" fillId="0" borderId="36" xfId="0" applyNumberFormat="1" applyFont="1" applyBorder="1" applyAlignment="1">
      <alignment horizontal="right" vertical="center" shrinkToFit="1"/>
    </xf>
    <xf numFmtId="189" fontId="5" fillId="0" borderId="35" xfId="0" applyNumberFormat="1" applyFont="1" applyBorder="1" applyAlignment="1">
      <alignment horizontal="right" vertical="center" shrinkToFit="1"/>
    </xf>
    <xf numFmtId="189" fontId="5" fillId="0" borderId="21" xfId="0" applyNumberFormat="1" applyFont="1" applyBorder="1" applyAlignment="1">
      <alignment horizontal="right" vertical="center" shrinkToFit="1"/>
    </xf>
    <xf numFmtId="189" fontId="5" fillId="0" borderId="24" xfId="0" applyNumberFormat="1" applyFont="1" applyBorder="1" applyAlignment="1">
      <alignment horizontal="right" vertical="center" shrinkToFit="1"/>
    </xf>
    <xf numFmtId="0" fontId="5" fillId="0" borderId="99" xfId="0" applyFont="1" applyBorder="1" applyAlignment="1">
      <alignment horizontal="distributed" vertical="center"/>
    </xf>
    <xf numFmtId="189" fontId="5" fillId="0" borderId="45" xfId="0" applyNumberFormat="1" applyFont="1" applyBorder="1" applyAlignment="1">
      <alignment horizontal="right" vertical="center" shrinkToFit="1"/>
    </xf>
    <xf numFmtId="0" fontId="5" fillId="0" borderId="6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45" xfId="0" applyFont="1" applyBorder="1" applyAlignment="1">
      <alignment horizontal="distributed" vertical="center" justifyLastLine="1"/>
    </xf>
    <xf numFmtId="0" fontId="5" fillId="0" borderId="20" xfId="0" applyFont="1" applyBorder="1" applyAlignment="1">
      <alignment horizontal="distributed" vertical="center" justifyLastLine="1"/>
    </xf>
    <xf numFmtId="0" fontId="5" fillId="0" borderId="80" xfId="0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0" fontId="5" fillId="0" borderId="8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0" fillId="0" borderId="6" xfId="0" applyBorder="1" applyAlignment="1">
      <alignment horizontal="center" vertical="distributed" textRotation="255" justifyLastLine="1"/>
    </xf>
    <xf numFmtId="0" fontId="4" fillId="0" borderId="64" xfId="0" applyFont="1" applyBorder="1" applyAlignment="1">
      <alignment horizontal="center" vertical="distributed" textRotation="255" wrapText="1"/>
    </xf>
    <xf numFmtId="0" fontId="4" fillId="0" borderId="86" xfId="0" applyFont="1" applyBorder="1" applyAlignment="1">
      <alignment horizontal="center" vertical="distributed" textRotation="255" wrapText="1"/>
    </xf>
    <xf numFmtId="0" fontId="4" fillId="0" borderId="2" xfId="0" applyFont="1" applyBorder="1" applyAlignment="1">
      <alignment horizontal="center" vertical="distributed" textRotation="255" wrapText="1"/>
    </xf>
    <xf numFmtId="0" fontId="4" fillId="0" borderId="83" xfId="0" applyFont="1" applyBorder="1" applyAlignment="1">
      <alignment horizontal="center" vertical="distributed" textRotation="255" wrapText="1"/>
    </xf>
    <xf numFmtId="0" fontId="4" fillId="0" borderId="5" xfId="0" applyFont="1" applyBorder="1" applyAlignment="1">
      <alignment horizontal="center" vertical="distributed" textRotation="255" wrapText="1"/>
    </xf>
    <xf numFmtId="0" fontId="4" fillId="0" borderId="84" xfId="0" applyFont="1" applyBorder="1" applyAlignment="1">
      <alignment horizontal="center" vertical="distributed" textRotation="255" wrapText="1"/>
    </xf>
    <xf numFmtId="0" fontId="5" fillId="0" borderId="5" xfId="0" applyFont="1" applyBorder="1" applyAlignment="1">
      <alignment horizontal="center" vertical="distributed" textRotation="255" justifyLastLine="1"/>
    </xf>
    <xf numFmtId="0" fontId="5" fillId="0" borderId="84" xfId="0" applyFont="1" applyBorder="1" applyAlignment="1">
      <alignment horizontal="center" vertical="distributed" textRotation="255" justifyLastLine="1"/>
    </xf>
    <xf numFmtId="0" fontId="5" fillId="0" borderId="64" xfId="0" applyFont="1" applyBorder="1" applyAlignment="1">
      <alignment horizontal="center" vertical="distributed" textRotation="255"/>
    </xf>
    <xf numFmtId="0" fontId="5" fillId="0" borderId="86" xfId="0" applyFont="1" applyBorder="1" applyAlignment="1">
      <alignment horizontal="center" vertical="distributed" textRotation="255"/>
    </xf>
    <xf numFmtId="0" fontId="5" fillId="0" borderId="2" xfId="0" applyFont="1" applyBorder="1" applyAlignment="1">
      <alignment horizontal="center" vertical="distributed" textRotation="255"/>
    </xf>
    <xf numFmtId="0" fontId="5" fillId="0" borderId="83" xfId="0" applyFont="1" applyBorder="1" applyAlignment="1">
      <alignment horizontal="center" vertical="distributed" textRotation="255"/>
    </xf>
    <xf numFmtId="0" fontId="5" fillId="0" borderId="10" xfId="0" applyFont="1" applyBorder="1" applyAlignment="1">
      <alignment horizontal="center" vertical="distributed" textRotation="255"/>
    </xf>
    <xf numFmtId="0" fontId="5" fillId="0" borderId="63" xfId="0" applyFont="1" applyBorder="1" applyAlignment="1">
      <alignment horizontal="center" vertical="distributed" textRotation="255"/>
    </xf>
    <xf numFmtId="0" fontId="1" fillId="0" borderId="53" xfId="0" applyFont="1" applyBorder="1" applyAlignment="1">
      <alignment horizontal="right" vertical="center"/>
    </xf>
    <xf numFmtId="49" fontId="1" fillId="0" borderId="43" xfId="0" applyNumberFormat="1" applyFont="1" applyBorder="1" applyAlignment="1">
      <alignment horizontal="right" vertical="center"/>
    </xf>
    <xf numFmtId="0" fontId="1" fillId="0" borderId="43" xfId="0" applyFont="1" applyBorder="1" applyAlignment="1">
      <alignment horizontal="right" vertical="center"/>
    </xf>
    <xf numFmtId="179" fontId="1" fillId="0" borderId="43" xfId="0" applyNumberFormat="1" applyFont="1" applyBorder="1" applyAlignment="1">
      <alignment horizontal="right" vertical="center" shrinkToFit="1"/>
    </xf>
    <xf numFmtId="179" fontId="1" fillId="0" borderId="44" xfId="0" applyNumberFormat="1" applyFont="1" applyBorder="1" applyAlignment="1">
      <alignment horizontal="right" vertical="center" shrinkToFit="1"/>
    </xf>
    <xf numFmtId="188" fontId="5" fillId="11" borderId="25" xfId="0" applyNumberFormat="1" applyFont="1" applyFill="1" applyBorder="1" applyAlignment="1">
      <alignment horizontal="right" vertical="center" shrinkToFit="1"/>
    </xf>
    <xf numFmtId="188" fontId="5" fillId="11" borderId="26" xfId="0" applyNumberFormat="1" applyFont="1" applyFill="1" applyBorder="1" applyAlignment="1">
      <alignment horizontal="right" vertical="center" shrinkToFit="1"/>
    </xf>
    <xf numFmtId="49" fontId="1" fillId="0" borderId="44" xfId="0" applyNumberFormat="1" applyFont="1" applyBorder="1" applyAlignment="1">
      <alignment horizontal="right" vertical="center"/>
    </xf>
    <xf numFmtId="179" fontId="1" fillId="0" borderId="40" xfId="0" applyNumberFormat="1" applyFont="1" applyBorder="1" applyAlignment="1">
      <alignment horizontal="right" vertical="center" shrinkToFit="1"/>
    </xf>
    <xf numFmtId="179" fontId="1" fillId="0" borderId="41" xfId="0" applyNumberFormat="1" applyFont="1" applyBorder="1" applyAlignment="1">
      <alignment horizontal="right" vertical="center" shrinkToFit="1"/>
    </xf>
    <xf numFmtId="0" fontId="1" fillId="0" borderId="102" xfId="0" applyFont="1" applyBorder="1" applyAlignment="1">
      <alignment horizontal="right" vertical="center"/>
    </xf>
    <xf numFmtId="49" fontId="1" fillId="0" borderId="100" xfId="0" applyNumberFormat="1" applyFont="1" applyBorder="1" applyAlignment="1">
      <alignment horizontal="right" vertical="center"/>
    </xf>
    <xf numFmtId="0" fontId="1" fillId="0" borderId="100" xfId="0" applyFont="1" applyBorder="1" applyAlignment="1">
      <alignment horizontal="right" vertical="center"/>
    </xf>
    <xf numFmtId="179" fontId="1" fillId="0" borderId="100" xfId="0" applyNumberFormat="1" applyFont="1" applyBorder="1" applyAlignment="1">
      <alignment horizontal="right" vertical="center" shrinkToFit="1"/>
    </xf>
    <xf numFmtId="179" fontId="1" fillId="0" borderId="101" xfId="0" applyNumberFormat="1" applyFont="1" applyBorder="1" applyAlignment="1">
      <alignment horizontal="right" vertical="center" shrinkToFit="1"/>
    </xf>
    <xf numFmtId="0" fontId="2" fillId="0" borderId="49" xfId="0" applyFont="1" applyBorder="1" applyAlignment="1">
      <alignment horizontal="distributed" vertical="center" wrapText="1"/>
    </xf>
    <xf numFmtId="0" fontId="2" fillId="0" borderId="86" xfId="0" applyFont="1" applyBorder="1" applyAlignment="1">
      <alignment horizontal="distributed" vertical="center" wrapText="1"/>
    </xf>
    <xf numFmtId="0" fontId="2" fillId="0" borderId="72" xfId="0" applyFont="1" applyBorder="1" applyAlignment="1">
      <alignment horizontal="distributed" vertical="center" wrapText="1"/>
    </xf>
    <xf numFmtId="0" fontId="2" fillId="0" borderId="63" xfId="0" applyFont="1" applyBorder="1" applyAlignment="1">
      <alignment horizontal="distributed" vertical="center" wrapText="1"/>
    </xf>
    <xf numFmtId="188" fontId="5" fillId="3" borderId="12" xfId="0" applyNumberFormat="1" applyFont="1" applyFill="1" applyBorder="1" applyAlignment="1">
      <alignment horizontal="right" vertical="center" shrinkToFit="1"/>
    </xf>
    <xf numFmtId="0" fontId="3" fillId="0" borderId="64" xfId="0" applyFont="1" applyBorder="1" applyAlignment="1">
      <alignment horizontal="center" vertical="distributed" textRotation="255" wrapText="1"/>
    </xf>
    <xf numFmtId="0" fontId="3" fillId="0" borderId="86" xfId="0" applyFont="1" applyBorder="1" applyAlignment="1">
      <alignment horizontal="center" vertical="distributed" textRotation="255"/>
    </xf>
    <xf numFmtId="0" fontId="3" fillId="0" borderId="2" xfId="0" applyFont="1" applyBorder="1" applyAlignment="1">
      <alignment horizontal="center" vertical="distributed" textRotation="255"/>
    </xf>
    <xf numFmtId="0" fontId="3" fillId="0" borderId="83" xfId="0" applyFont="1" applyBorder="1" applyAlignment="1">
      <alignment horizontal="center" vertical="distributed" textRotation="255"/>
    </xf>
    <xf numFmtId="0" fontId="1" fillId="0" borderId="20" xfId="0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 shrinkToFit="1"/>
    </xf>
    <xf numFmtId="0" fontId="1" fillId="0" borderId="66" xfId="0" applyFont="1" applyBorder="1" applyAlignment="1">
      <alignment vertical="center"/>
    </xf>
    <xf numFmtId="0" fontId="1" fillId="0" borderId="67" xfId="0" applyFont="1" applyBorder="1" applyAlignment="1">
      <alignment vertical="center"/>
    </xf>
    <xf numFmtId="0" fontId="1" fillId="0" borderId="20" xfId="0" applyFont="1" applyBorder="1" applyAlignment="1">
      <alignment horizontal="distributed" vertical="center"/>
    </xf>
    <xf numFmtId="0" fontId="1" fillId="0" borderId="21" xfId="0" applyFont="1" applyBorder="1" applyAlignment="1">
      <alignment horizontal="distributed" vertical="center"/>
    </xf>
    <xf numFmtId="0" fontId="0" fillId="0" borderId="20" xfId="0" applyBorder="1" applyAlignment="1">
      <alignment horizontal="distributed" vertical="center"/>
    </xf>
    <xf numFmtId="0" fontId="0" fillId="0" borderId="21" xfId="0" applyBorder="1" applyAlignment="1">
      <alignment horizontal="distributed" vertical="center"/>
    </xf>
    <xf numFmtId="0" fontId="1" fillId="0" borderId="9" xfId="0" applyFont="1" applyBorder="1" applyAlignment="1">
      <alignment horizontal="distributed" vertical="center"/>
    </xf>
    <xf numFmtId="0" fontId="1" fillId="0" borderId="93" xfId="0" applyFont="1" applyBorder="1" applyAlignment="1">
      <alignment horizontal="distributed" vertical="center"/>
    </xf>
    <xf numFmtId="0" fontId="5" fillId="0" borderId="64" xfId="0" applyFont="1" applyBorder="1" applyAlignment="1">
      <alignment horizontal="center" vertical="distributed" textRotation="255" justifyLastLine="1"/>
    </xf>
    <xf numFmtId="0" fontId="5" fillId="0" borderId="86" xfId="0" applyFont="1" applyBorder="1" applyAlignment="1">
      <alignment horizontal="center" vertical="distributed" textRotation="255" justifyLastLine="1"/>
    </xf>
    <xf numFmtId="188" fontId="5" fillId="3" borderId="13" xfId="0" applyNumberFormat="1" applyFont="1" applyFill="1" applyBorder="1" applyAlignment="1">
      <alignment horizontal="right" vertical="center" shrinkToFit="1"/>
    </xf>
    <xf numFmtId="0" fontId="1" fillId="0" borderId="32" xfId="0" applyFont="1" applyBorder="1" applyAlignment="1">
      <alignment horizontal="distributed" vertical="center"/>
    </xf>
    <xf numFmtId="0" fontId="1" fillId="0" borderId="35" xfId="0" applyFont="1" applyBorder="1" applyAlignment="1">
      <alignment horizontal="distributed" vertical="center"/>
    </xf>
    <xf numFmtId="182" fontId="1" fillId="0" borderId="39" xfId="0" applyNumberFormat="1" applyFont="1" applyBorder="1" applyAlignment="1">
      <alignment horizontal="right" vertical="center" shrinkToFit="1"/>
    </xf>
    <xf numFmtId="182" fontId="1" fillId="0" borderId="40" xfId="0" applyNumberFormat="1" applyFont="1" applyBorder="1" applyAlignment="1">
      <alignment horizontal="right" vertical="center" shrinkToFit="1"/>
    </xf>
    <xf numFmtId="0" fontId="0" fillId="0" borderId="20" xfId="0" applyBorder="1" applyAlignment="1">
      <alignment horizontal="distributed" vertical="center" shrinkToFit="1"/>
    </xf>
    <xf numFmtId="0" fontId="0" fillId="0" borderId="21" xfId="0" applyBorder="1" applyAlignment="1">
      <alignment horizontal="distributed" vertical="center" shrinkToFit="1"/>
    </xf>
    <xf numFmtId="181" fontId="1" fillId="0" borderId="40" xfId="0" applyNumberFormat="1" applyFont="1" applyBorder="1" applyAlignment="1">
      <alignment horizontal="right" vertical="center" shrinkToFit="1"/>
    </xf>
    <xf numFmtId="181" fontId="1" fillId="0" borderId="41" xfId="0" applyNumberFormat="1" applyFont="1" applyBorder="1" applyAlignment="1">
      <alignment horizontal="right" vertical="center" shrinkToFit="1"/>
    </xf>
    <xf numFmtId="49" fontId="1" fillId="0" borderId="101" xfId="0" applyNumberFormat="1" applyFont="1" applyBorder="1" applyAlignment="1">
      <alignment horizontal="right" vertical="center"/>
    </xf>
    <xf numFmtId="188" fontId="5" fillId="11" borderId="13" xfId="0" applyNumberFormat="1" applyFont="1" applyFill="1" applyBorder="1" applyAlignment="1">
      <alignment horizontal="right" vertical="center" shrinkToFit="1"/>
    </xf>
    <xf numFmtId="188" fontId="5" fillId="11" borderId="12" xfId="0" applyNumberFormat="1" applyFont="1" applyFill="1" applyBorder="1" applyAlignment="1">
      <alignment horizontal="right" vertical="center" shrinkToFit="1"/>
    </xf>
    <xf numFmtId="0" fontId="5" fillId="0" borderId="33" xfId="0" applyFont="1" applyBorder="1" applyAlignment="1">
      <alignment horizontal="center" vertical="center"/>
    </xf>
    <xf numFmtId="179" fontId="1" fillId="0" borderId="91" xfId="0" applyNumberFormat="1" applyFont="1" applyBorder="1" applyAlignment="1">
      <alignment horizontal="right" vertical="center" shrinkToFit="1"/>
    </xf>
    <xf numFmtId="179" fontId="1" fillId="0" borderId="89" xfId="0" applyNumberFormat="1" applyFont="1" applyBorder="1" applyAlignment="1">
      <alignment horizontal="right" vertical="center" shrinkToFit="1"/>
    </xf>
    <xf numFmtId="179" fontId="1" fillId="0" borderId="90" xfId="0" applyNumberFormat="1" applyFont="1" applyBorder="1" applyAlignment="1">
      <alignment horizontal="right" vertical="center" shrinkToFit="1"/>
    </xf>
    <xf numFmtId="0" fontId="15" fillId="0" borderId="49" xfId="0" applyFont="1" applyBorder="1" applyAlignment="1">
      <alignment horizontal="center" vertical="center" wrapText="1" shrinkToFit="1"/>
    </xf>
    <xf numFmtId="0" fontId="15" fillId="0" borderId="86" xfId="0" applyFont="1" applyBorder="1" applyAlignment="1">
      <alignment horizontal="center" vertical="center" shrinkToFit="1"/>
    </xf>
    <xf numFmtId="0" fontId="15" fillId="0" borderId="54" xfId="0" applyFont="1" applyBorder="1" applyAlignment="1">
      <alignment horizontal="center" vertical="center" shrinkToFit="1"/>
    </xf>
    <xf numFmtId="0" fontId="15" fillId="0" borderId="83" xfId="0" applyFont="1" applyBorder="1" applyAlignment="1">
      <alignment horizontal="center" vertical="center" shrinkToFit="1"/>
    </xf>
    <xf numFmtId="0" fontId="15" fillId="0" borderId="72" xfId="0" applyFont="1" applyBorder="1" applyAlignment="1">
      <alignment horizontal="center" vertical="center" shrinkToFit="1"/>
    </xf>
    <xf numFmtId="0" fontId="15" fillId="0" borderId="63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vertical="center" shrinkToFit="1"/>
    </xf>
    <xf numFmtId="0" fontId="5" fillId="0" borderId="38" xfId="0" applyFont="1" applyBorder="1" applyAlignment="1">
      <alignment horizontal="distributed"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61" xfId="0" applyFont="1" applyBorder="1" applyAlignment="1">
      <alignment horizontal="center" vertical="center" textRotation="255"/>
    </xf>
    <xf numFmtId="0" fontId="5" fillId="0" borderId="62" xfId="0" applyFont="1" applyBorder="1" applyAlignment="1">
      <alignment horizontal="center" vertical="center" textRotation="255"/>
    </xf>
    <xf numFmtId="0" fontId="5" fillId="0" borderId="2" xfId="0" applyFont="1" applyBorder="1" applyAlignment="1">
      <alignment horizontal="center" vertical="center" textRotation="255"/>
    </xf>
    <xf numFmtId="0" fontId="5" fillId="0" borderId="83" xfId="0" applyFont="1" applyBorder="1" applyAlignment="1">
      <alignment horizontal="center" vertical="center" textRotation="255"/>
    </xf>
    <xf numFmtId="0" fontId="5" fillId="0" borderId="10" xfId="0" applyFont="1" applyBorder="1" applyAlignment="1">
      <alignment horizontal="center" vertical="center" textRotation="255"/>
    </xf>
    <xf numFmtId="0" fontId="5" fillId="0" borderId="63" xfId="0" applyFont="1" applyBorder="1" applyAlignment="1">
      <alignment horizontal="center" vertical="center" textRotation="255"/>
    </xf>
    <xf numFmtId="0" fontId="5" fillId="0" borderId="20" xfId="0" applyFont="1" applyBorder="1" applyAlignment="1">
      <alignment horizontal="distributed" vertical="center" wrapText="1"/>
    </xf>
    <xf numFmtId="0" fontId="5" fillId="0" borderId="20" xfId="0" applyFont="1" applyBorder="1" applyAlignment="1">
      <alignment horizontal="distributed" vertical="center" wrapText="1" shrinkToFit="1"/>
    </xf>
    <xf numFmtId="0" fontId="5" fillId="0" borderId="47" xfId="0" applyFont="1" applyBorder="1" applyAlignment="1">
      <alignment horizontal="distributed" vertical="center" wrapText="1" shrinkToFit="1"/>
    </xf>
    <xf numFmtId="0" fontId="5" fillId="0" borderId="47" xfId="0" applyFont="1" applyBorder="1" applyAlignment="1">
      <alignment horizontal="distributed" vertical="center" shrinkToFit="1"/>
    </xf>
    <xf numFmtId="0" fontId="5" fillId="0" borderId="70" xfId="0" applyFont="1" applyBorder="1" applyAlignment="1">
      <alignment horizontal="distributed" vertical="center" shrinkToFit="1"/>
    </xf>
    <xf numFmtId="181" fontId="1" fillId="0" borderId="39" xfId="0" applyNumberFormat="1" applyFont="1" applyBorder="1" applyAlignment="1">
      <alignment horizontal="right" vertical="center" shrinkToFit="1"/>
    </xf>
    <xf numFmtId="0" fontId="5" fillId="0" borderId="50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 shrinkToFit="1"/>
    </xf>
    <xf numFmtId="0" fontId="5" fillId="0" borderId="86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83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0" fontId="5" fillId="0" borderId="63" xfId="0" applyFont="1" applyBorder="1" applyAlignment="1">
      <alignment horizontal="center" vertical="center" shrinkToFit="1"/>
    </xf>
    <xf numFmtId="0" fontId="4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86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5" fillId="0" borderId="42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0" fillId="0" borderId="39" xfId="0" applyBorder="1" applyAlignment="1">
      <alignment horizontal="right" vertical="center"/>
    </xf>
    <xf numFmtId="49" fontId="0" fillId="0" borderId="40" xfId="0" applyNumberFormat="1" applyBorder="1" applyAlignment="1">
      <alignment horizontal="right" vertical="center"/>
    </xf>
    <xf numFmtId="49" fontId="0" fillId="0" borderId="91" xfId="0" applyNumberFormat="1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92" xfId="0" applyBorder="1" applyAlignment="1">
      <alignment horizontal="right" vertical="center"/>
    </xf>
    <xf numFmtId="0" fontId="5" fillId="0" borderId="2" xfId="0" applyFont="1" applyBorder="1" applyAlignment="1">
      <alignment horizontal="center" vertical="top" textRotation="255" shrinkToFit="1"/>
    </xf>
    <xf numFmtId="0" fontId="5" fillId="0" borderId="10" xfId="0" applyFont="1" applyBorder="1" applyAlignment="1">
      <alignment horizontal="center" vertical="top" textRotation="255" shrinkToFit="1"/>
    </xf>
    <xf numFmtId="0" fontId="5" fillId="0" borderId="95" xfId="0" applyFont="1" applyBorder="1" applyAlignment="1">
      <alignment horizontal="center" vertical="distributed" textRotation="255"/>
    </xf>
    <xf numFmtId="0" fontId="5" fillId="0" borderId="62" xfId="0" applyFont="1" applyBorder="1" applyAlignment="1">
      <alignment horizontal="center" vertical="distributed" textRotation="255"/>
    </xf>
    <xf numFmtId="0" fontId="5" fillId="0" borderId="54" xfId="0" applyFont="1" applyBorder="1" applyAlignment="1">
      <alignment horizontal="center" vertical="distributed" textRotation="255"/>
    </xf>
    <xf numFmtId="0" fontId="5" fillId="0" borderId="72" xfId="0" applyFont="1" applyBorder="1" applyAlignment="1">
      <alignment horizontal="center" vertical="distributed" textRotation="255"/>
    </xf>
    <xf numFmtId="0" fontId="5" fillId="0" borderId="49" xfId="0" applyFont="1" applyBorder="1" applyAlignment="1">
      <alignment horizontal="center" vertical="distributed" textRotation="255"/>
    </xf>
    <xf numFmtId="0" fontId="5" fillId="0" borderId="50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0" fillId="0" borderId="102" xfId="0" applyBorder="1" applyAlignment="1">
      <alignment horizontal="right" vertical="center"/>
    </xf>
    <xf numFmtId="49" fontId="0" fillId="0" borderId="100" xfId="0" applyNumberFormat="1" applyBorder="1" applyAlignment="1">
      <alignment horizontal="right" vertical="center"/>
    </xf>
    <xf numFmtId="49" fontId="0" fillId="0" borderId="108" xfId="0" applyNumberFormat="1" applyBorder="1" applyAlignment="1">
      <alignment horizontal="right" vertical="center"/>
    </xf>
    <xf numFmtId="0" fontId="0" fillId="0" borderId="100" xfId="0" applyBorder="1" applyAlignment="1">
      <alignment horizontal="right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top" textRotation="255" shrinkToFit="1"/>
    </xf>
    <xf numFmtId="0" fontId="5" fillId="0" borderId="86" xfId="0" applyFont="1" applyBorder="1" applyAlignment="1">
      <alignment horizontal="center" vertical="top" textRotation="255" shrinkToFit="1"/>
    </xf>
    <xf numFmtId="0" fontId="5" fillId="0" borderId="54" xfId="0" applyFont="1" applyBorder="1" applyAlignment="1">
      <alignment horizontal="center" vertical="top" textRotation="255" shrinkToFit="1"/>
    </xf>
    <xf numFmtId="0" fontId="5" fillId="0" borderId="83" xfId="0" applyFont="1" applyBorder="1" applyAlignment="1">
      <alignment horizontal="center" vertical="top" textRotation="255" shrinkToFit="1"/>
    </xf>
    <xf numFmtId="0" fontId="5" fillId="0" borderId="72" xfId="0" applyFont="1" applyBorder="1" applyAlignment="1">
      <alignment horizontal="center" vertical="top" textRotation="255" shrinkToFit="1"/>
    </xf>
    <xf numFmtId="0" fontId="5" fillId="0" borderId="63" xfId="0" applyFont="1" applyBorder="1" applyAlignment="1">
      <alignment horizontal="center" vertical="top" textRotation="255" shrinkToFit="1"/>
    </xf>
    <xf numFmtId="0" fontId="5" fillId="0" borderId="97" xfId="0" applyFont="1" applyBorder="1" applyAlignment="1">
      <alignment horizontal="distributed" vertical="center" justifyLastLine="1"/>
    </xf>
    <xf numFmtId="0" fontId="5" fillId="0" borderId="94" xfId="0" applyFont="1" applyBorder="1" applyAlignment="1">
      <alignment horizontal="distributed" justifyLastLine="1"/>
    </xf>
    <xf numFmtId="0" fontId="5" fillId="0" borderId="98" xfId="0" applyFont="1" applyBorder="1" applyAlignment="1">
      <alignment horizontal="distributed" justifyLastLine="1"/>
    </xf>
    <xf numFmtId="0" fontId="0" fillId="0" borderId="109" xfId="0" applyBorder="1" applyAlignment="1">
      <alignment horizontal="right" vertical="center"/>
    </xf>
    <xf numFmtId="49" fontId="0" fillId="0" borderId="105" xfId="0" applyNumberFormat="1" applyBorder="1" applyAlignment="1">
      <alignment horizontal="right" vertical="center"/>
    </xf>
    <xf numFmtId="49" fontId="0" fillId="0" borderId="106" xfId="0" applyNumberFormat="1" applyBorder="1" applyAlignment="1">
      <alignment horizontal="right" vertical="center"/>
    </xf>
    <xf numFmtId="0" fontId="0" fillId="0" borderId="104" xfId="0" applyBorder="1" applyAlignment="1">
      <alignment horizontal="right" vertical="center"/>
    </xf>
    <xf numFmtId="0" fontId="0" fillId="0" borderId="105" xfId="0" applyBorder="1" applyAlignment="1">
      <alignment horizontal="right" vertical="center"/>
    </xf>
    <xf numFmtId="0" fontId="0" fillId="0" borderId="107" xfId="0" applyBorder="1" applyAlignment="1">
      <alignment horizontal="right" vertical="center"/>
    </xf>
    <xf numFmtId="0" fontId="5" fillId="0" borderId="11" xfId="0" applyFont="1" applyBorder="1" applyAlignment="1">
      <alignment horizontal="center" vertical="distributed" textRotation="255" wrapText="1" justifyLastLine="1"/>
    </xf>
    <xf numFmtId="0" fontId="5" fillId="0" borderId="6" xfId="0" applyFont="1" applyBorder="1" applyAlignment="1">
      <alignment horizontal="center" vertical="distributed" textRotation="255" wrapText="1" justifyLastLine="1"/>
    </xf>
    <xf numFmtId="0" fontId="5" fillId="0" borderId="4" xfId="0" applyFont="1" applyBorder="1" applyAlignment="1">
      <alignment horizontal="center" vertical="distributed" textRotation="255" wrapText="1" justifyLastLine="1"/>
    </xf>
    <xf numFmtId="0" fontId="5" fillId="0" borderId="68" xfId="0" applyFont="1" applyBorder="1" applyAlignment="1">
      <alignment horizontal="distributed" vertical="center" justifyLastLine="1"/>
    </xf>
    <xf numFmtId="186" fontId="4" fillId="0" borderId="53" xfId="0" applyNumberFormat="1" applyFont="1" applyBorder="1" applyAlignment="1">
      <alignment horizontal="center" vertical="center"/>
    </xf>
    <xf numFmtId="186" fontId="4" fillId="0" borderId="43" xfId="0" applyNumberFormat="1" applyFont="1" applyBorder="1" applyAlignment="1">
      <alignment horizontal="center" vertical="center"/>
    </xf>
    <xf numFmtId="0" fontId="0" fillId="0" borderId="88" xfId="0" applyBorder="1" applyAlignment="1">
      <alignment horizontal="right" vertical="center"/>
    </xf>
    <xf numFmtId="49" fontId="0" fillId="0" borderId="43" xfId="0" applyNumberFormat="1" applyBorder="1" applyAlignment="1">
      <alignment horizontal="right" vertical="center"/>
    </xf>
    <xf numFmtId="49" fontId="0" fillId="0" borderId="87" xfId="0" applyNumberFormat="1" applyBorder="1" applyAlignment="1">
      <alignment horizontal="right" vertical="center"/>
    </xf>
    <xf numFmtId="0" fontId="0" fillId="0" borderId="53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5" fillId="0" borderId="32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85" fontId="0" fillId="0" borderId="92" xfId="0" applyNumberFormat="1" applyBorder="1" applyAlignment="1">
      <alignment horizontal="right" vertical="center" shrinkToFit="1"/>
    </xf>
    <xf numFmtId="185" fontId="0" fillId="0" borderId="40" xfId="0" applyNumberFormat="1" applyBorder="1" applyAlignment="1">
      <alignment horizontal="right" vertical="center" shrinkToFit="1"/>
    </xf>
    <xf numFmtId="185" fontId="0" fillId="0" borderId="91" xfId="0" applyNumberFormat="1" applyBorder="1" applyAlignment="1">
      <alignment horizontal="right" vertical="center" shrinkToFit="1"/>
    </xf>
    <xf numFmtId="0" fontId="1" fillId="0" borderId="105" xfId="0" applyFont="1" applyBorder="1" applyAlignment="1">
      <alignment horizontal="right" vertical="center"/>
    </xf>
    <xf numFmtId="49" fontId="1" fillId="0" borderId="105" xfId="0" applyNumberFormat="1" applyFont="1" applyBorder="1" applyAlignment="1">
      <alignment horizontal="right" vertical="center"/>
    </xf>
    <xf numFmtId="185" fontId="0" fillId="0" borderId="88" xfId="0" applyNumberFormat="1" applyBorder="1" applyAlignment="1">
      <alignment horizontal="right" vertical="center" shrinkToFit="1"/>
    </xf>
    <xf numFmtId="185" fontId="0" fillId="0" borderId="43" xfId="0" applyNumberFormat="1" applyBorder="1" applyAlignment="1">
      <alignment horizontal="right" vertical="center" shrinkToFit="1"/>
    </xf>
    <xf numFmtId="185" fontId="0" fillId="0" borderId="87" xfId="0" applyNumberFormat="1" applyBorder="1" applyAlignment="1">
      <alignment horizontal="right" vertical="center" shrinkToFit="1"/>
    </xf>
    <xf numFmtId="0" fontId="1" fillId="0" borderId="109" xfId="0" applyFont="1" applyBorder="1" applyAlignment="1">
      <alignment horizontal="right" vertical="center"/>
    </xf>
    <xf numFmtId="49" fontId="1" fillId="0" borderId="106" xfId="0" applyNumberFormat="1" applyFont="1" applyBorder="1" applyAlignment="1">
      <alignment horizontal="right" vertical="center"/>
    </xf>
    <xf numFmtId="0" fontId="1" fillId="0" borderId="88" xfId="0" applyFont="1" applyBorder="1" applyAlignment="1">
      <alignment horizontal="right" vertical="center"/>
    </xf>
    <xf numFmtId="49" fontId="1" fillId="0" borderId="87" xfId="0" applyNumberFormat="1" applyFont="1" applyBorder="1" applyAlignment="1">
      <alignment horizontal="right" vertical="center"/>
    </xf>
    <xf numFmtId="186" fontId="4" fillId="0" borderId="39" xfId="0" applyNumberFormat="1" applyFont="1" applyBorder="1" applyAlignment="1">
      <alignment horizontal="center" vertical="center"/>
    </xf>
    <xf numFmtId="186" fontId="4" fillId="0" borderId="4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 textRotation="255"/>
    </xf>
    <xf numFmtId="0" fontId="5" fillId="0" borderId="11" xfId="0" applyFont="1" applyBorder="1" applyAlignment="1">
      <alignment horizontal="center" vertical="distributed" textRotation="255" justifyLastLine="1"/>
    </xf>
    <xf numFmtId="0" fontId="5" fillId="0" borderId="42" xfId="0" applyFont="1" applyBorder="1" applyAlignment="1">
      <alignment horizontal="distributed" vertical="center" wrapText="1"/>
    </xf>
    <xf numFmtId="0" fontId="5" fillId="0" borderId="21" xfId="0" applyFont="1" applyBorder="1" applyAlignment="1">
      <alignment horizontal="distributed" vertical="center" wrapText="1"/>
    </xf>
    <xf numFmtId="185" fontId="0" fillId="0" borderId="53" xfId="0" applyNumberFormat="1" applyBorder="1" applyAlignment="1">
      <alignment horizontal="right" vertical="center" shrinkToFit="1"/>
    </xf>
    <xf numFmtId="0" fontId="5" fillId="0" borderId="49" xfId="0" applyFont="1" applyBorder="1" applyAlignment="1">
      <alignment horizontal="distributed" vertical="center" justifyLastLine="1" shrinkToFit="1"/>
    </xf>
    <xf numFmtId="0" fontId="5" fillId="0" borderId="50" xfId="0" applyFont="1" applyBorder="1" applyAlignment="1">
      <alignment horizontal="distributed" vertical="center" justifyLastLine="1" shrinkToFit="1"/>
    </xf>
    <xf numFmtId="0" fontId="5" fillId="0" borderId="86" xfId="0" applyFont="1" applyBorder="1" applyAlignment="1">
      <alignment horizontal="distributed" vertical="center" justifyLastLine="1" shrinkToFit="1"/>
    </xf>
    <xf numFmtId="0" fontId="5" fillId="0" borderId="72" xfId="0" applyFont="1" applyBorder="1" applyAlignment="1">
      <alignment horizontal="distributed" vertical="center" justifyLastLine="1" shrinkToFit="1"/>
    </xf>
    <xf numFmtId="0" fontId="5" fillId="0" borderId="47" xfId="0" applyFont="1" applyBorder="1" applyAlignment="1">
      <alignment horizontal="distributed" vertical="center" justifyLastLine="1" shrinkToFit="1"/>
    </xf>
    <xf numFmtId="0" fontId="5" fillId="0" borderId="63" xfId="0" applyFont="1" applyBorder="1" applyAlignment="1">
      <alignment horizontal="distributed" vertical="center" justifyLastLine="1" shrinkToFit="1"/>
    </xf>
    <xf numFmtId="0" fontId="5" fillId="0" borderId="49" xfId="0" applyFont="1" applyBorder="1" applyAlignment="1">
      <alignment horizontal="center" vertical="center" wrapText="1"/>
    </xf>
    <xf numFmtId="0" fontId="5" fillId="0" borderId="86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0" fillId="0" borderId="13" xfId="0" applyBorder="1" applyAlignment="1">
      <alignment horizontal="distributed" vertical="center" shrinkToFit="1"/>
    </xf>
    <xf numFmtId="0" fontId="0" fillId="0" borderId="12" xfId="0" applyBorder="1" applyAlignment="1">
      <alignment horizontal="distributed"/>
    </xf>
    <xf numFmtId="0" fontId="0" fillId="0" borderId="28" xfId="0" applyBorder="1" applyAlignment="1">
      <alignment horizontal="distributed"/>
    </xf>
    <xf numFmtId="0" fontId="1" fillId="0" borderId="104" xfId="0" applyFont="1" applyBorder="1" applyAlignment="1">
      <alignment horizontal="right" vertical="center"/>
    </xf>
    <xf numFmtId="185" fontId="0" fillId="0" borderId="39" xfId="0" applyNumberFormat="1" applyBorder="1" applyAlignment="1">
      <alignment horizontal="right" vertical="center" shrinkToFit="1"/>
    </xf>
    <xf numFmtId="0" fontId="5" fillId="0" borderId="65" xfId="0" applyFont="1" applyBorder="1" applyAlignment="1">
      <alignment horizontal="distributed" vertical="center"/>
    </xf>
    <xf numFmtId="0" fontId="5" fillId="0" borderId="66" xfId="0" applyFont="1" applyBorder="1" applyAlignment="1">
      <alignment horizontal="distributed" vertical="center"/>
    </xf>
    <xf numFmtId="0" fontId="5" fillId="0" borderId="67" xfId="0" applyFont="1" applyBorder="1" applyAlignment="1">
      <alignment horizontal="distributed" vertical="center"/>
    </xf>
    <xf numFmtId="0" fontId="0" fillId="0" borderId="25" xfId="0" applyBorder="1" applyAlignment="1">
      <alignment horizontal="distributed" vertical="center" shrinkToFit="1"/>
    </xf>
    <xf numFmtId="0" fontId="0" fillId="0" borderId="26" xfId="0" applyBorder="1" applyAlignment="1">
      <alignment horizontal="distributed"/>
    </xf>
    <xf numFmtId="0" fontId="0" fillId="0" borderId="27" xfId="0" applyBorder="1" applyAlignment="1">
      <alignment horizontal="distributed"/>
    </xf>
    <xf numFmtId="0" fontId="5" fillId="0" borderId="48" xfId="0" applyFont="1" applyBorder="1" applyAlignment="1">
      <alignment horizontal="center" vertical="distributed" textRotation="255" justifyLastLine="1"/>
    </xf>
    <xf numFmtId="0" fontId="0" fillId="0" borderId="3" xfId="0" applyBorder="1" applyAlignment="1">
      <alignment horizontal="distributed" vertical="center" shrinkToFit="1"/>
    </xf>
    <xf numFmtId="0" fontId="0" fillId="0" borderId="29" xfId="0" applyBorder="1" applyAlignment="1">
      <alignment horizontal="distributed"/>
    </xf>
    <xf numFmtId="0" fontId="0" fillId="0" borderId="85" xfId="0" applyBorder="1" applyAlignment="1">
      <alignment horizontal="distributed"/>
    </xf>
    <xf numFmtId="0" fontId="5" fillId="0" borderId="22" xfId="0" applyFont="1" applyBorder="1" applyAlignment="1">
      <alignment horizontal="left" vertical="center" shrinkToFit="1"/>
    </xf>
    <xf numFmtId="0" fontId="5" fillId="0" borderId="23" xfId="0" applyFont="1" applyBorder="1" applyAlignment="1">
      <alignment horizontal="left" vertical="center" shrinkToFit="1"/>
    </xf>
    <xf numFmtId="0" fontId="5" fillId="0" borderId="24" xfId="0" applyFont="1" applyBorder="1" applyAlignment="1">
      <alignment horizontal="left" vertical="center" shrinkToFit="1"/>
    </xf>
    <xf numFmtId="0" fontId="5" fillId="0" borderId="45" xfId="0" applyFont="1" applyBorder="1" applyAlignment="1">
      <alignment horizontal="left" vertical="center" shrinkToFit="1"/>
    </xf>
    <xf numFmtId="0" fontId="5" fillId="0" borderId="20" xfId="0" applyFont="1" applyBorder="1" applyAlignment="1">
      <alignment horizontal="left" vertical="center" shrinkToFit="1"/>
    </xf>
    <xf numFmtId="0" fontId="5" fillId="0" borderId="21" xfId="0" applyFont="1" applyBorder="1" applyAlignment="1">
      <alignment horizontal="left" vertical="center" shrinkToFit="1"/>
    </xf>
    <xf numFmtId="0" fontId="5" fillId="0" borderId="31" xfId="0" applyFont="1" applyBorder="1" applyAlignment="1">
      <alignment horizontal="left" vertical="center" shrinkToFit="1"/>
    </xf>
    <xf numFmtId="0" fontId="5" fillId="0" borderId="32" xfId="0" applyFont="1" applyBorder="1" applyAlignment="1">
      <alignment horizontal="left" vertical="center" shrinkToFit="1"/>
    </xf>
    <xf numFmtId="0" fontId="5" fillId="0" borderId="35" xfId="0" applyFont="1" applyBorder="1" applyAlignment="1">
      <alignment horizontal="left" vertical="center" shrinkToFit="1"/>
    </xf>
  </cellXfs>
  <cellStyles count="5">
    <cellStyle name="標準" xfId="0" builtinId="0"/>
    <cellStyle name="標準 2" xfId="2" xr:uid="{00000000-0005-0000-0000-000001000000}"/>
    <cellStyle name="標準 3" xfId="3" xr:uid="{00000000-0005-0000-0000-000002000000}"/>
    <cellStyle name="標準 4" xfId="4" xr:uid="{00000000-0005-0000-0000-000003000000}"/>
    <cellStyle name="標準_BDA1S0T05201" xfId="1" xr:uid="{00000000-0005-0000-0000-000004000000}"/>
  </cellStyles>
  <dxfs count="0"/>
  <tableStyles count="0" defaultTableStyle="TableStyleMedium9" defaultPivotStyle="PivotStyleLight16"/>
  <colors>
    <mruColors>
      <color rgb="FF99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DT69"/>
  <sheetViews>
    <sheetView showGridLines="0" tabSelected="1" view="pageBreakPreview" zoomScaleNormal="100" zoomScaleSheetLayoutView="100" workbookViewId="0"/>
  </sheetViews>
  <sheetFormatPr defaultColWidth="9.140625" defaultRowHeight="12.75"/>
  <cols>
    <col min="1" max="124" width="2.7109375" style="2" customWidth="1"/>
    <col min="125" max="16384" width="9.140625" style="2"/>
  </cols>
  <sheetData>
    <row r="1" spans="2:124" ht="14.25" customHeight="1">
      <c r="B1" s="103">
        <f>AB4</f>
        <v>0</v>
      </c>
      <c r="C1" s="103"/>
      <c r="D1" s="103"/>
      <c r="E1" s="95" t="s">
        <v>240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CB1" s="27"/>
      <c r="CD1" s="27"/>
      <c r="CE1" s="194"/>
      <c r="CF1" s="195"/>
      <c r="CG1" s="195"/>
      <c r="CH1" s="195"/>
    </row>
    <row r="2" spans="2:124" ht="13.5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CB2" s="27"/>
      <c r="CD2" s="27"/>
      <c r="CE2" s="194"/>
      <c r="CF2" s="195"/>
      <c r="CG2" s="195"/>
      <c r="CH2" s="195"/>
    </row>
    <row r="3" spans="2:124" ht="14.25" customHeight="1">
      <c r="B3" s="104"/>
      <c r="C3" s="105"/>
      <c r="D3" s="105"/>
      <c r="E3" s="105"/>
      <c r="F3" s="106"/>
      <c r="G3" s="107" t="s">
        <v>335</v>
      </c>
      <c r="H3" s="108"/>
      <c r="I3" s="109"/>
      <c r="J3" s="110" t="s">
        <v>336</v>
      </c>
      <c r="K3" s="111"/>
      <c r="L3" s="111"/>
      <c r="M3" s="111"/>
      <c r="N3" s="111"/>
      <c r="O3" s="111"/>
      <c r="P3" s="112"/>
      <c r="Q3" s="107" t="s">
        <v>337</v>
      </c>
      <c r="R3" s="108"/>
      <c r="S3" s="108"/>
      <c r="T3" s="108"/>
      <c r="U3" s="109"/>
      <c r="V3" s="110" t="s">
        <v>338</v>
      </c>
      <c r="W3" s="111"/>
      <c r="X3" s="111"/>
      <c r="Y3" s="111"/>
      <c r="Z3" s="113"/>
      <c r="AB3" s="114" t="s">
        <v>341</v>
      </c>
      <c r="AC3" s="115"/>
      <c r="AD3" s="115"/>
      <c r="AE3" s="115"/>
      <c r="AF3" s="116"/>
      <c r="AG3" s="117" t="s">
        <v>330</v>
      </c>
      <c r="AH3" s="115"/>
      <c r="AI3" s="115"/>
      <c r="AJ3" s="115"/>
      <c r="AK3" s="116"/>
      <c r="AL3" s="117" t="s">
        <v>342</v>
      </c>
      <c r="AM3" s="115"/>
      <c r="AN3" s="115"/>
      <c r="AO3" s="115"/>
      <c r="AP3" s="116"/>
      <c r="AQ3" s="117" t="s">
        <v>343</v>
      </c>
      <c r="AR3" s="115"/>
      <c r="AS3" s="115"/>
      <c r="AT3" s="115"/>
      <c r="AU3" s="116"/>
      <c r="AV3" s="117" t="s">
        <v>344</v>
      </c>
      <c r="AW3" s="115"/>
      <c r="AX3" s="115"/>
      <c r="AY3" s="115"/>
      <c r="AZ3" s="116"/>
      <c r="BA3" s="117" t="s">
        <v>2</v>
      </c>
      <c r="BB3" s="115"/>
      <c r="BC3" s="115"/>
      <c r="BD3" s="115"/>
      <c r="BE3" s="116"/>
      <c r="BF3" s="117" t="s">
        <v>345</v>
      </c>
      <c r="BG3" s="115"/>
      <c r="BH3" s="115"/>
      <c r="BI3" s="115"/>
      <c r="BJ3" s="116"/>
      <c r="BK3" s="117" t="s">
        <v>334</v>
      </c>
      <c r="BL3" s="115"/>
      <c r="BM3" s="115"/>
      <c r="BN3" s="115"/>
      <c r="BO3" s="270"/>
    </row>
    <row r="4" spans="2:124" ht="14.25" customHeight="1" thickBot="1">
      <c r="B4" s="297" t="s">
        <v>340</v>
      </c>
      <c r="C4" s="298"/>
      <c r="D4" s="298"/>
      <c r="E4" s="298"/>
      <c r="F4" s="299"/>
      <c r="G4" s="248"/>
      <c r="H4" s="101"/>
      <c r="I4" s="300"/>
      <c r="J4" s="248"/>
      <c r="K4" s="101"/>
      <c r="L4" s="101"/>
      <c r="M4" s="101"/>
      <c r="N4" s="101"/>
      <c r="O4" s="101"/>
      <c r="P4" s="300"/>
      <c r="Q4" s="248"/>
      <c r="R4" s="101"/>
      <c r="S4" s="101"/>
      <c r="T4" s="101"/>
      <c r="U4" s="101"/>
      <c r="V4" s="301"/>
      <c r="W4" s="302"/>
      <c r="X4" s="302"/>
      <c r="Y4" s="302"/>
      <c r="Z4" s="303"/>
      <c r="AA4" s="28"/>
      <c r="AB4" s="286"/>
      <c r="AC4" s="287"/>
      <c r="AD4" s="287"/>
      <c r="AE4" s="287"/>
      <c r="AF4" s="288"/>
      <c r="AG4" s="92"/>
      <c r="AH4" s="217" t="str">
        <f>IF(AG4&lt;&gt;"",DGET(リスト!A2:B71,"都道府県番号",リスト!B73:B74),"")</f>
        <v/>
      </c>
      <c r="AI4" s="217"/>
      <c r="AJ4" s="217"/>
      <c r="AK4" s="293"/>
      <c r="AL4" s="93"/>
      <c r="AM4" s="217" t="str">
        <f>IF(AL4&gt;0,DGET(リスト!S2:T4,"経営種類",リスト!T6:T7),"")</f>
        <v/>
      </c>
      <c r="AN4" s="217"/>
      <c r="AO4" s="217"/>
      <c r="AP4" s="293"/>
      <c r="AQ4" s="92"/>
      <c r="AR4" s="217" t="str">
        <f>IF(AQ4&gt;0,DGET(リスト!D2:E13,"生産費区分",リスト!E15:E16),"")</f>
        <v/>
      </c>
      <c r="AS4" s="217"/>
      <c r="AT4" s="217"/>
      <c r="AU4" s="293"/>
      <c r="AV4" s="92"/>
      <c r="AW4" s="217" t="str">
        <f>IF(AV4&lt;&gt;"",DGET(リスト!J3:K17,"規模階層",リスト!K19:K20),"")</f>
        <v/>
      </c>
      <c r="AX4" s="217"/>
      <c r="AY4" s="217"/>
      <c r="AZ4" s="293"/>
      <c r="BA4" s="93"/>
      <c r="BB4" s="217" t="str">
        <f>IF(BA4&lt;&gt;"",DGET(リスト!M2:N7,"平均値種類",リスト!N9:N10),"")</f>
        <v/>
      </c>
      <c r="BC4" s="217"/>
      <c r="BD4" s="217"/>
      <c r="BE4" s="293"/>
      <c r="BF4" s="94"/>
      <c r="BG4" s="217" t="str">
        <f>IF(BF4&gt;0,DGET(リスト!P2:Q4,"加重・総和の別",リスト!Q6:Q7),"")</f>
        <v/>
      </c>
      <c r="BH4" s="217"/>
      <c r="BI4" s="217"/>
      <c r="BJ4" s="293"/>
      <c r="BK4" s="94"/>
      <c r="BL4" s="217" t="str">
        <f>IF(BK4&gt;0,DGET(リスト!G2:H7,"集計区分",リスト!H9:H10),"")</f>
        <v/>
      </c>
      <c r="BM4" s="217"/>
      <c r="BN4" s="217"/>
      <c r="BO4" s="21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</row>
    <row r="5" spans="2:124" ht="14.25" customHeight="1" thickBot="1">
      <c r="B5" s="289" t="s">
        <v>339</v>
      </c>
      <c r="C5" s="290"/>
      <c r="D5" s="290"/>
      <c r="E5" s="290"/>
      <c r="F5" s="291"/>
      <c r="G5" s="292"/>
      <c r="H5" s="217"/>
      <c r="I5" s="293"/>
      <c r="J5" s="292"/>
      <c r="K5" s="217"/>
      <c r="L5" s="217"/>
      <c r="M5" s="217"/>
      <c r="N5" s="217"/>
      <c r="O5" s="217"/>
      <c r="P5" s="293"/>
      <c r="Q5" s="292"/>
      <c r="R5" s="217"/>
      <c r="S5" s="217"/>
      <c r="T5" s="217"/>
      <c r="U5" s="217"/>
      <c r="V5" s="294"/>
      <c r="W5" s="295"/>
      <c r="X5" s="295"/>
      <c r="Y5" s="295"/>
      <c r="Z5" s="296"/>
      <c r="AA5" s="28"/>
      <c r="AB5" s="28"/>
      <c r="AC5" s="28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</row>
    <row r="6" spans="2:124" ht="12.75" customHeight="1">
      <c r="D6" s="28"/>
      <c r="E6" s="28"/>
      <c r="F6" s="28"/>
      <c r="G6" s="28"/>
      <c r="H6" s="28"/>
      <c r="I6" s="28"/>
      <c r="J6" s="28"/>
      <c r="K6" s="1"/>
      <c r="L6" s="37"/>
      <c r="M6" s="37"/>
      <c r="N6" s="37"/>
      <c r="O6" s="37"/>
      <c r="R6" s="28"/>
      <c r="S6" s="1"/>
      <c r="T6" s="38"/>
      <c r="U6" s="38"/>
      <c r="V6" s="38"/>
      <c r="W6" s="28"/>
      <c r="X6" s="28"/>
      <c r="Y6" s="28"/>
      <c r="Z6" s="28"/>
      <c r="AA6" s="28"/>
      <c r="AB6" s="28"/>
      <c r="AC6" s="28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</row>
    <row r="7" spans="2:124" ht="12.75" customHeight="1" thickBot="1">
      <c r="B7" s="2" t="s">
        <v>3</v>
      </c>
      <c r="AZ7" s="1" t="s">
        <v>4</v>
      </c>
      <c r="BE7" s="2" t="s">
        <v>255</v>
      </c>
      <c r="CG7" s="1" t="s">
        <v>5</v>
      </c>
      <c r="CI7" s="28"/>
      <c r="CJ7" s="28"/>
      <c r="CK7" s="28"/>
      <c r="CL7" s="28"/>
      <c r="CM7" s="28"/>
      <c r="CN7" s="204"/>
      <c r="CO7" s="204"/>
      <c r="CP7" s="204"/>
      <c r="CQ7" s="204"/>
      <c r="CR7" s="204"/>
      <c r="CS7" s="204"/>
      <c r="CT7" s="204"/>
      <c r="CU7" s="204"/>
      <c r="CV7" s="204"/>
      <c r="CW7" s="204"/>
      <c r="CX7" s="204"/>
      <c r="CY7" s="204"/>
    </row>
    <row r="8" spans="2:124" ht="12.75" customHeight="1">
      <c r="B8" s="237"/>
      <c r="C8" s="238"/>
      <c r="D8" s="238"/>
      <c r="E8" s="238"/>
      <c r="F8" s="238"/>
      <c r="G8" s="239"/>
      <c r="H8" s="239"/>
      <c r="I8" s="134" t="s">
        <v>11</v>
      </c>
      <c r="J8" s="135"/>
      <c r="K8" s="135"/>
      <c r="L8" s="135"/>
      <c r="M8" s="135"/>
      <c r="N8" s="135"/>
      <c r="O8" s="135"/>
      <c r="P8" s="135"/>
      <c r="Q8" s="135"/>
      <c r="R8" s="135"/>
      <c r="S8" s="136"/>
      <c r="T8" s="134" t="s">
        <v>328</v>
      </c>
      <c r="U8" s="135"/>
      <c r="V8" s="135"/>
      <c r="W8" s="135"/>
      <c r="X8" s="135"/>
      <c r="Y8" s="135"/>
      <c r="Z8" s="135"/>
      <c r="AA8" s="135"/>
      <c r="AB8" s="135"/>
      <c r="AC8" s="135"/>
      <c r="AD8" s="136"/>
      <c r="AE8" s="134" t="s">
        <v>12</v>
      </c>
      <c r="AF8" s="135"/>
      <c r="AG8" s="135"/>
      <c r="AH8" s="135"/>
      <c r="AI8" s="135"/>
      <c r="AJ8" s="135"/>
      <c r="AK8" s="135"/>
      <c r="AL8" s="135"/>
      <c r="AM8" s="135"/>
      <c r="AN8" s="135"/>
      <c r="AO8" s="136"/>
      <c r="AP8" s="134" t="s">
        <v>13</v>
      </c>
      <c r="AQ8" s="135"/>
      <c r="AR8" s="135"/>
      <c r="AS8" s="135"/>
      <c r="AT8" s="135"/>
      <c r="AU8" s="135"/>
      <c r="AV8" s="135"/>
      <c r="AW8" s="135"/>
      <c r="AX8" s="135"/>
      <c r="AY8" s="135"/>
      <c r="AZ8" s="136"/>
      <c r="BA8" s="6"/>
      <c r="BB8" s="7"/>
      <c r="BC8" s="7"/>
      <c r="BD8" s="10"/>
      <c r="BE8" s="281"/>
      <c r="BF8" s="154"/>
      <c r="BG8" s="154"/>
      <c r="BH8" s="154"/>
      <c r="BI8" s="154"/>
      <c r="BJ8" s="154"/>
      <c r="BK8" s="154"/>
      <c r="BL8" s="134" t="s">
        <v>81</v>
      </c>
      <c r="BM8" s="135"/>
      <c r="BN8" s="135"/>
      <c r="BO8" s="135"/>
      <c r="BP8" s="135"/>
      <c r="BQ8" s="135"/>
      <c r="BR8" s="135"/>
      <c r="BS8" s="135"/>
      <c r="BT8" s="135"/>
      <c r="BU8" s="135"/>
      <c r="BV8" s="136"/>
      <c r="BW8" s="134" t="s">
        <v>82</v>
      </c>
      <c r="BX8" s="135"/>
      <c r="BY8" s="135"/>
      <c r="BZ8" s="135"/>
      <c r="CA8" s="135"/>
      <c r="CB8" s="135"/>
      <c r="CC8" s="135"/>
      <c r="CD8" s="135"/>
      <c r="CE8" s="135"/>
      <c r="CF8" s="135"/>
      <c r="CG8" s="136"/>
      <c r="CH8" s="6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7"/>
    </row>
    <row r="9" spans="2:124" ht="12.75" customHeight="1" thickBot="1">
      <c r="B9" s="240"/>
      <c r="C9" s="241"/>
      <c r="D9" s="241"/>
      <c r="E9" s="241"/>
      <c r="F9" s="241"/>
      <c r="G9" s="242"/>
      <c r="H9" s="242"/>
      <c r="I9" s="146">
        <f>IF($B$1&lt;&gt;"",$B$1,"")</f>
        <v>0</v>
      </c>
      <c r="J9" s="128"/>
      <c r="K9" s="128"/>
      <c r="L9" s="128"/>
      <c r="M9" s="127">
        <f>IF($B$1&lt;&gt;"",$B$1-1,"")</f>
        <v>-1</v>
      </c>
      <c r="N9" s="128"/>
      <c r="O9" s="128"/>
      <c r="P9" s="129"/>
      <c r="Q9" s="123" t="s">
        <v>216</v>
      </c>
      <c r="R9" s="124"/>
      <c r="S9" s="125"/>
      <c r="T9" s="146">
        <f>IF($B$1&lt;&gt;"",$B$1,"")</f>
        <v>0</v>
      </c>
      <c r="U9" s="128"/>
      <c r="V9" s="128"/>
      <c r="W9" s="128"/>
      <c r="X9" s="127">
        <f>IF($B$1&lt;&gt;"",$B$1-1,"")</f>
        <v>-1</v>
      </c>
      <c r="Y9" s="128"/>
      <c r="Z9" s="128"/>
      <c r="AA9" s="129"/>
      <c r="AB9" s="123" t="s">
        <v>216</v>
      </c>
      <c r="AC9" s="124"/>
      <c r="AD9" s="125"/>
      <c r="AE9" s="146">
        <f>IF($B$1&lt;&gt;"",$B$1,"")</f>
        <v>0</v>
      </c>
      <c r="AF9" s="128"/>
      <c r="AG9" s="128"/>
      <c r="AH9" s="128"/>
      <c r="AI9" s="127">
        <f>IF($B$1&lt;&gt;"",$B$1-1,"")</f>
        <v>-1</v>
      </c>
      <c r="AJ9" s="128"/>
      <c r="AK9" s="128"/>
      <c r="AL9" s="129"/>
      <c r="AM9" s="123" t="s">
        <v>216</v>
      </c>
      <c r="AN9" s="124"/>
      <c r="AO9" s="125"/>
      <c r="AP9" s="208">
        <f>IF($B$1&lt;&gt;"",$B$1,"")</f>
        <v>0</v>
      </c>
      <c r="AQ9" s="209"/>
      <c r="AR9" s="209"/>
      <c r="AS9" s="209"/>
      <c r="AT9" s="210">
        <f>IF($B$1&lt;&gt;"",$B$1-1,"")</f>
        <v>-1</v>
      </c>
      <c r="AU9" s="209"/>
      <c r="AV9" s="209"/>
      <c r="AW9" s="211"/>
      <c r="AX9" s="123" t="s">
        <v>216</v>
      </c>
      <c r="AY9" s="124"/>
      <c r="AZ9" s="125"/>
      <c r="BA9" s="6"/>
      <c r="BB9" s="7"/>
      <c r="BC9" s="7"/>
      <c r="BD9" s="10"/>
      <c r="BE9" s="156"/>
      <c r="BF9" s="157"/>
      <c r="BG9" s="157"/>
      <c r="BH9" s="157"/>
      <c r="BI9" s="157"/>
      <c r="BJ9" s="157"/>
      <c r="BK9" s="157"/>
      <c r="BL9" s="146">
        <f>IF($B$1&lt;&gt;"",$B$1,"")</f>
        <v>0</v>
      </c>
      <c r="BM9" s="128"/>
      <c r="BN9" s="128"/>
      <c r="BO9" s="128"/>
      <c r="BP9" s="127">
        <f>IF($B$1&lt;&gt;"",$B$1-1,"")</f>
        <v>-1</v>
      </c>
      <c r="BQ9" s="128"/>
      <c r="BR9" s="128"/>
      <c r="BS9" s="129"/>
      <c r="BT9" s="123" t="s">
        <v>216</v>
      </c>
      <c r="BU9" s="124"/>
      <c r="BV9" s="125"/>
      <c r="BW9" s="146">
        <f>IF($B$1&lt;&gt;"",$B$1,"")</f>
        <v>0</v>
      </c>
      <c r="BX9" s="128"/>
      <c r="BY9" s="128"/>
      <c r="BZ9" s="128"/>
      <c r="CA9" s="127">
        <f>IF($B$1&lt;&gt;"",$B$1-1,"")</f>
        <v>-1</v>
      </c>
      <c r="CB9" s="128"/>
      <c r="CC9" s="128"/>
      <c r="CD9" s="129"/>
      <c r="CE9" s="123" t="s">
        <v>216</v>
      </c>
      <c r="CF9" s="124"/>
      <c r="CG9" s="125"/>
      <c r="CH9" s="6"/>
      <c r="CZ9" s="7"/>
    </row>
    <row r="10" spans="2:124" ht="12.75" customHeight="1">
      <c r="B10" s="243" t="s">
        <v>14</v>
      </c>
      <c r="C10" s="244"/>
      <c r="D10" s="244"/>
      <c r="E10" s="244"/>
      <c r="F10" s="244"/>
      <c r="G10" s="244"/>
      <c r="H10" s="244"/>
      <c r="I10" s="143"/>
      <c r="J10" s="144"/>
      <c r="K10" s="144"/>
      <c r="L10" s="145"/>
      <c r="M10" s="118"/>
      <c r="N10" s="118"/>
      <c r="O10" s="118"/>
      <c r="P10" s="118"/>
      <c r="Q10" s="119" t="str">
        <f t="shared" ref="Q10:Q26" si="0">IF(I10="-", "-", IF(M10="-", "-", IF(ABS(M10)=0, "-", ROUND(100*(I10-M10)/ABS(M10), 10))))</f>
        <v>-</v>
      </c>
      <c r="R10" s="119" t="str">
        <f t="shared" ref="R10:S26" si="1">IF(N10="-", "-", IF(P10="-", "-", IF(ABS(P10)=0, "-", ROUND(100*(N10-P10)/ABS(P10), 1))))</f>
        <v>-</v>
      </c>
      <c r="S10" s="120" t="str">
        <f t="shared" si="1"/>
        <v>-</v>
      </c>
      <c r="T10" s="147"/>
      <c r="U10" s="118"/>
      <c r="V10" s="118"/>
      <c r="W10" s="118"/>
      <c r="X10" s="118"/>
      <c r="Y10" s="118"/>
      <c r="Z10" s="118"/>
      <c r="AA10" s="118"/>
      <c r="AB10" s="119" t="str">
        <f>IF(T10="-", "-", IF(X10="-", "-", IF(ABS(X10)=0, "-", ROUND(100*(T10-X10)/ABS(X10), 10))))</f>
        <v>-</v>
      </c>
      <c r="AC10" s="119" t="str">
        <f t="shared" ref="AC10:AD12" si="2">IF(Y10="-", "-", IF(AA10="-", "-", IF(ABS(AA10)=0, "-", ROUND(100*(Y10-AA10)/ABS(AA10), 1))))</f>
        <v>-</v>
      </c>
      <c r="AD10" s="120" t="str">
        <f t="shared" si="2"/>
        <v>-</v>
      </c>
      <c r="AE10" s="147"/>
      <c r="AF10" s="118"/>
      <c r="AG10" s="118"/>
      <c r="AH10" s="118"/>
      <c r="AI10" s="118"/>
      <c r="AJ10" s="118"/>
      <c r="AK10" s="118"/>
      <c r="AL10" s="118"/>
      <c r="AM10" s="119" t="str">
        <f>IF(AE10="-", "-", IF(AI10="-", "-", IF(ABS(AI10)=0, "-", ROUND(100*(AE10-AI10)/ABS(AI10), 10))))</f>
        <v>-</v>
      </c>
      <c r="AN10" s="119" t="str">
        <f>IF(AJ10="-", "-", IF(AL10="-", "-", IF(ABS(AL10)=0, "-", ROUND(100*(AJ10-AL10)/ABS(AL10), 1))))</f>
        <v>-</v>
      </c>
      <c r="AO10" s="120" t="str">
        <f>IF(AK10="-", "-", IF(AM10="-", "-", IF(ABS(AM10)=0, "-", ROUND(100*(AK10-AM10)/ABS(AM10), 1))))</f>
        <v>-</v>
      </c>
      <c r="AP10" s="212"/>
      <c r="AQ10" s="213"/>
      <c r="AR10" s="213"/>
      <c r="AS10" s="213"/>
      <c r="AT10" s="213"/>
      <c r="AU10" s="213"/>
      <c r="AV10" s="213"/>
      <c r="AW10" s="213"/>
      <c r="AX10" s="214" t="str">
        <f t="shared" ref="AX10:AX34" si="3">IF(AP10="-", "-", IF(AT10="-", "-", IF(ABS(AT10)=0, "-", ROUND(100*(AP10-AT10)/ABS(AT10), 10))))</f>
        <v>-</v>
      </c>
      <c r="AY10" s="214" t="str">
        <f t="shared" ref="AY10:AZ34" si="4">IF(AU10="-", "-", IF(AW10="-", "-", IF(ABS(AW10)=0, "-", ROUND(100*(AU10-AW10)/ABS(AW10), 1))))</f>
        <v>-</v>
      </c>
      <c r="AZ10" s="215" t="str">
        <f t="shared" si="4"/>
        <v>-</v>
      </c>
      <c r="BA10" s="14"/>
      <c r="BB10" s="10"/>
      <c r="BC10" s="10"/>
      <c r="BD10" s="10"/>
      <c r="BE10" s="282" t="s">
        <v>75</v>
      </c>
      <c r="BF10" s="284" t="s">
        <v>323</v>
      </c>
      <c r="BG10" s="222"/>
      <c r="BH10" s="222"/>
      <c r="BI10" s="222"/>
      <c r="BJ10" s="222"/>
      <c r="BK10" s="222"/>
      <c r="BL10" s="143"/>
      <c r="BM10" s="144"/>
      <c r="BN10" s="144"/>
      <c r="BO10" s="145"/>
      <c r="BP10" s="118"/>
      <c r="BQ10" s="118"/>
      <c r="BR10" s="118"/>
      <c r="BS10" s="118"/>
      <c r="BT10" s="119" t="str">
        <f>IF(BL10="-", "-", IF(BP10="-", "-", IF(ABS(BP10)=0, "-", ROUND(100*(BL10-BP10)/ABS(BP10), 10))))</f>
        <v>-</v>
      </c>
      <c r="BU10" s="119" t="str">
        <f t="shared" ref="BU10:BV14" si="5">IF(BQ10="-", "-", IF(BS10="-", "-", IF(ABS(BS10)=0, "-", ROUND(100*(BQ10-BS10)/ABS(BS10), 1))))</f>
        <v>-</v>
      </c>
      <c r="BV10" s="120" t="str">
        <f t="shared" si="5"/>
        <v>-</v>
      </c>
      <c r="BW10" s="143"/>
      <c r="BX10" s="144"/>
      <c r="BY10" s="144"/>
      <c r="BZ10" s="145"/>
      <c r="CA10" s="118"/>
      <c r="CB10" s="118"/>
      <c r="CC10" s="118"/>
      <c r="CD10" s="118"/>
      <c r="CE10" s="119" t="str">
        <f t="shared" ref="CE10:CE16" si="6">IF(BW10="-", "-", IF(CA10="-", "-", IF(ABS(CA10)=0, "-", ROUND(100*(BW10-CA10)/ABS(CA10), 10))))</f>
        <v>-</v>
      </c>
      <c r="CF10" s="119" t="str">
        <f t="shared" ref="CF10:CG16" si="7">IF(CB10="-", "-", IF(CD10="-", "-", IF(ABS(CD10)=0, "-", ROUND(100*(CB10-CD10)/ABS(CD10), 1))))</f>
        <v>-</v>
      </c>
      <c r="CG10" s="120" t="str">
        <f t="shared" si="7"/>
        <v>-</v>
      </c>
      <c r="CH10" s="14"/>
      <c r="CZ10" s="10"/>
    </row>
    <row r="11" spans="2:124" ht="12.75" customHeight="1">
      <c r="B11" s="15"/>
      <c r="C11" s="245" t="s">
        <v>16</v>
      </c>
      <c r="D11" s="176"/>
      <c r="E11" s="176"/>
      <c r="F11" s="176"/>
      <c r="G11" s="176"/>
      <c r="H11" s="176"/>
      <c r="I11" s="142"/>
      <c r="J11" s="126"/>
      <c r="K11" s="126"/>
      <c r="L11" s="126"/>
      <c r="M11" s="126"/>
      <c r="N11" s="126"/>
      <c r="O11" s="126"/>
      <c r="P11" s="126"/>
      <c r="Q11" s="121" t="str">
        <f t="shared" si="0"/>
        <v>-</v>
      </c>
      <c r="R11" s="121" t="str">
        <f t="shared" si="1"/>
        <v>-</v>
      </c>
      <c r="S11" s="122" t="str">
        <f t="shared" si="1"/>
        <v>-</v>
      </c>
      <c r="T11" s="142"/>
      <c r="U11" s="126"/>
      <c r="V11" s="126"/>
      <c r="W11" s="126"/>
      <c r="X11" s="126"/>
      <c r="Y11" s="126"/>
      <c r="Z11" s="126"/>
      <c r="AA11" s="126"/>
      <c r="AB11" s="121" t="str">
        <f>IF(T11="-", "-", IF(X11="-", "-", IF(ABS(X11)=0, "-", ROUND(100*(T11-X11)/ABS(X11), 10))))</f>
        <v>-</v>
      </c>
      <c r="AC11" s="121" t="str">
        <f t="shared" si="2"/>
        <v>-</v>
      </c>
      <c r="AD11" s="122" t="str">
        <f t="shared" si="2"/>
        <v>-</v>
      </c>
      <c r="AE11" s="140"/>
      <c r="AF11" s="141"/>
      <c r="AG11" s="141"/>
      <c r="AH11" s="141"/>
      <c r="AI11" s="141"/>
      <c r="AJ11" s="141"/>
      <c r="AK11" s="141"/>
      <c r="AL11" s="141"/>
      <c r="AM11" s="187"/>
      <c r="AN11" s="187"/>
      <c r="AO11" s="188"/>
      <c r="AP11" s="130"/>
      <c r="AQ11" s="131"/>
      <c r="AR11" s="131"/>
      <c r="AS11" s="131"/>
      <c r="AT11" s="131"/>
      <c r="AU11" s="131"/>
      <c r="AV11" s="131"/>
      <c r="AW11" s="131"/>
      <c r="AX11" s="132" t="str">
        <f t="shared" si="3"/>
        <v>-</v>
      </c>
      <c r="AY11" s="132" t="str">
        <f t="shared" si="4"/>
        <v>-</v>
      </c>
      <c r="AZ11" s="133" t="str">
        <f t="shared" si="4"/>
        <v>-</v>
      </c>
      <c r="BA11" s="14"/>
      <c r="BB11" s="10"/>
      <c r="BC11" s="10"/>
      <c r="BD11" s="10"/>
      <c r="BE11" s="282"/>
      <c r="BF11" s="245" t="s">
        <v>239</v>
      </c>
      <c r="BG11" s="176"/>
      <c r="BH11" s="176"/>
      <c r="BI11" s="176"/>
      <c r="BJ11" s="176"/>
      <c r="BK11" s="176"/>
      <c r="BL11" s="142"/>
      <c r="BM11" s="126"/>
      <c r="BN11" s="126"/>
      <c r="BO11" s="126"/>
      <c r="BP11" s="126"/>
      <c r="BQ11" s="126"/>
      <c r="BR11" s="126"/>
      <c r="BS11" s="126"/>
      <c r="BT11" s="121" t="str">
        <f>IF(BL11="-", "-", IF(BP11="-", "-", IF(ABS(BP11)=0, "-", ROUND(100*(BL11-BP11)/ABS(BP11), 10))))</f>
        <v>-</v>
      </c>
      <c r="BU11" s="121" t="str">
        <f t="shared" si="5"/>
        <v>-</v>
      </c>
      <c r="BV11" s="122" t="str">
        <f t="shared" si="5"/>
        <v>-</v>
      </c>
      <c r="BW11" s="142"/>
      <c r="BX11" s="126"/>
      <c r="BY11" s="126"/>
      <c r="BZ11" s="126"/>
      <c r="CA11" s="126"/>
      <c r="CB11" s="126"/>
      <c r="CC11" s="126"/>
      <c r="CD11" s="126"/>
      <c r="CE11" s="121" t="str">
        <f t="shared" si="6"/>
        <v>-</v>
      </c>
      <c r="CF11" s="121" t="str">
        <f t="shared" si="7"/>
        <v>-</v>
      </c>
      <c r="CG11" s="122" t="str">
        <f t="shared" si="7"/>
        <v>-</v>
      </c>
      <c r="CH11" s="14"/>
      <c r="CZ11" s="10"/>
    </row>
    <row r="12" spans="2:124" ht="12.75" customHeight="1">
      <c r="B12" s="20"/>
      <c r="C12" s="246" t="s">
        <v>17</v>
      </c>
      <c r="D12" s="247"/>
      <c r="E12" s="176"/>
      <c r="F12" s="176"/>
      <c r="G12" s="176"/>
      <c r="H12" s="176"/>
      <c r="I12" s="137"/>
      <c r="J12" s="138"/>
      <c r="K12" s="138"/>
      <c r="L12" s="139"/>
      <c r="M12" s="126"/>
      <c r="N12" s="126"/>
      <c r="O12" s="126"/>
      <c r="P12" s="126"/>
      <c r="Q12" s="121" t="str">
        <f t="shared" si="0"/>
        <v>-</v>
      </c>
      <c r="R12" s="121" t="str">
        <f t="shared" si="1"/>
        <v>-</v>
      </c>
      <c r="S12" s="122" t="str">
        <f t="shared" si="1"/>
        <v>-</v>
      </c>
      <c r="T12" s="142"/>
      <c r="U12" s="126"/>
      <c r="V12" s="126"/>
      <c r="W12" s="126"/>
      <c r="X12" s="126"/>
      <c r="Y12" s="126"/>
      <c r="Z12" s="126"/>
      <c r="AA12" s="126"/>
      <c r="AB12" s="121" t="str">
        <f>IF(T12="-", "-", IF(X12="-", "-", IF(ABS(X12)=0, "-", ROUND(100*(T12-X12)/ABS(X12), 10))))</f>
        <v>-</v>
      </c>
      <c r="AC12" s="121" t="str">
        <f t="shared" si="2"/>
        <v>-</v>
      </c>
      <c r="AD12" s="122" t="str">
        <f t="shared" si="2"/>
        <v>-</v>
      </c>
      <c r="AE12" s="140"/>
      <c r="AF12" s="141"/>
      <c r="AG12" s="141"/>
      <c r="AH12" s="141"/>
      <c r="AI12" s="141"/>
      <c r="AJ12" s="141"/>
      <c r="AK12" s="141"/>
      <c r="AL12" s="141"/>
      <c r="AM12" s="187"/>
      <c r="AN12" s="187"/>
      <c r="AO12" s="188"/>
      <c r="AP12" s="130"/>
      <c r="AQ12" s="131"/>
      <c r="AR12" s="131"/>
      <c r="AS12" s="131"/>
      <c r="AT12" s="131"/>
      <c r="AU12" s="131"/>
      <c r="AV12" s="131"/>
      <c r="AW12" s="131"/>
      <c r="AX12" s="132" t="str">
        <f t="shared" si="3"/>
        <v>-</v>
      </c>
      <c r="AY12" s="132" t="str">
        <f t="shared" si="4"/>
        <v>-</v>
      </c>
      <c r="AZ12" s="133" t="str">
        <f t="shared" si="4"/>
        <v>-</v>
      </c>
      <c r="BA12" s="14"/>
      <c r="BB12" s="10"/>
      <c r="BC12" s="10"/>
      <c r="BD12" s="10"/>
      <c r="BE12" s="283"/>
      <c r="BF12" s="245" t="s">
        <v>13</v>
      </c>
      <c r="BG12" s="176"/>
      <c r="BH12" s="176"/>
      <c r="BI12" s="176"/>
      <c r="BJ12" s="176"/>
      <c r="BK12" s="177"/>
      <c r="BL12" s="130"/>
      <c r="BM12" s="131"/>
      <c r="BN12" s="131"/>
      <c r="BO12" s="131"/>
      <c r="BP12" s="131"/>
      <c r="BQ12" s="131"/>
      <c r="BR12" s="131"/>
      <c r="BS12" s="131"/>
      <c r="BT12" s="132" t="str">
        <f>IF(BL12="-", "-", IF(BP12="-", "-", IF(ABS(BP12)=0, "-", ROUND(100*(BL12-BP12)/ABS(BP12), 10))))</f>
        <v>-</v>
      </c>
      <c r="BU12" s="132" t="str">
        <f t="shared" si="5"/>
        <v>-</v>
      </c>
      <c r="BV12" s="133" t="str">
        <f t="shared" si="5"/>
        <v>-</v>
      </c>
      <c r="BW12" s="130"/>
      <c r="BX12" s="131"/>
      <c r="BY12" s="131"/>
      <c r="BZ12" s="131"/>
      <c r="CA12" s="131"/>
      <c r="CB12" s="131"/>
      <c r="CC12" s="131"/>
      <c r="CD12" s="131"/>
      <c r="CE12" s="132" t="str">
        <f t="shared" si="6"/>
        <v>-</v>
      </c>
      <c r="CF12" s="132" t="str">
        <f t="shared" si="7"/>
        <v>-</v>
      </c>
      <c r="CG12" s="133" t="str">
        <f t="shared" si="7"/>
        <v>-</v>
      </c>
      <c r="CH12" s="14"/>
      <c r="CZ12" s="10"/>
    </row>
    <row r="13" spans="2:124" ht="12.75" customHeight="1">
      <c r="B13" s="20"/>
      <c r="C13" s="246" t="s">
        <v>18</v>
      </c>
      <c r="D13" s="247"/>
      <c r="E13" s="176"/>
      <c r="F13" s="176"/>
      <c r="G13" s="176"/>
      <c r="H13" s="176"/>
      <c r="I13" s="142"/>
      <c r="J13" s="126"/>
      <c r="K13" s="126"/>
      <c r="L13" s="126"/>
      <c r="M13" s="126"/>
      <c r="N13" s="126"/>
      <c r="O13" s="126"/>
      <c r="P13" s="126"/>
      <c r="Q13" s="121" t="str">
        <f t="shared" si="0"/>
        <v>-</v>
      </c>
      <c r="R13" s="121" t="str">
        <f t="shared" si="1"/>
        <v>-</v>
      </c>
      <c r="S13" s="122" t="str">
        <f t="shared" si="1"/>
        <v>-</v>
      </c>
      <c r="T13" s="140"/>
      <c r="U13" s="141"/>
      <c r="V13" s="141"/>
      <c r="W13" s="141"/>
      <c r="X13" s="141"/>
      <c r="Y13" s="141"/>
      <c r="Z13" s="141"/>
      <c r="AA13" s="141"/>
      <c r="AB13" s="187"/>
      <c r="AC13" s="187"/>
      <c r="AD13" s="188"/>
      <c r="AE13" s="140"/>
      <c r="AF13" s="141"/>
      <c r="AG13" s="141"/>
      <c r="AH13" s="141"/>
      <c r="AI13" s="141"/>
      <c r="AJ13" s="141"/>
      <c r="AK13" s="141"/>
      <c r="AL13" s="141"/>
      <c r="AM13" s="187"/>
      <c r="AN13" s="187"/>
      <c r="AO13" s="188"/>
      <c r="AP13" s="130"/>
      <c r="AQ13" s="131"/>
      <c r="AR13" s="131"/>
      <c r="AS13" s="131"/>
      <c r="AT13" s="131"/>
      <c r="AU13" s="131"/>
      <c r="AV13" s="131"/>
      <c r="AW13" s="131"/>
      <c r="AX13" s="132" t="str">
        <f t="shared" si="3"/>
        <v>-</v>
      </c>
      <c r="AY13" s="132" t="str">
        <f t="shared" si="4"/>
        <v>-</v>
      </c>
      <c r="AZ13" s="133" t="str">
        <f t="shared" si="4"/>
        <v>-</v>
      </c>
      <c r="BA13" s="14"/>
      <c r="BB13" s="10"/>
      <c r="BC13" s="10"/>
      <c r="BD13" s="10"/>
      <c r="BE13" s="285" t="s">
        <v>76</v>
      </c>
      <c r="BF13" s="245" t="s">
        <v>77</v>
      </c>
      <c r="BG13" s="176"/>
      <c r="BH13" s="176"/>
      <c r="BI13" s="176"/>
      <c r="BJ13" s="176"/>
      <c r="BK13" s="176"/>
      <c r="BL13" s="142"/>
      <c r="BM13" s="126"/>
      <c r="BN13" s="126"/>
      <c r="BO13" s="126"/>
      <c r="BP13" s="126"/>
      <c r="BQ13" s="126"/>
      <c r="BR13" s="126"/>
      <c r="BS13" s="126"/>
      <c r="BT13" s="121" t="str">
        <f>IF(BL13="-", "-", IF(BP13="-", "-", IF(ABS(BP13)=0, "-", ROUND(100*(BL13-BP13)/ABS(BP13), 10))))</f>
        <v>-</v>
      </c>
      <c r="BU13" s="121" t="str">
        <f t="shared" si="5"/>
        <v>-</v>
      </c>
      <c r="BV13" s="122" t="str">
        <f t="shared" si="5"/>
        <v>-</v>
      </c>
      <c r="BW13" s="142"/>
      <c r="BX13" s="126"/>
      <c r="BY13" s="126"/>
      <c r="BZ13" s="126"/>
      <c r="CA13" s="126"/>
      <c r="CB13" s="126"/>
      <c r="CC13" s="126"/>
      <c r="CD13" s="126"/>
      <c r="CE13" s="121" t="str">
        <f t="shared" si="6"/>
        <v>-</v>
      </c>
      <c r="CF13" s="121" t="str">
        <f t="shared" si="7"/>
        <v>-</v>
      </c>
      <c r="CG13" s="122" t="str">
        <f t="shared" si="7"/>
        <v>-</v>
      </c>
      <c r="CH13" s="14"/>
      <c r="CZ13" s="10"/>
    </row>
    <row r="14" spans="2:124" ht="12.75" customHeight="1">
      <c r="B14" s="20"/>
      <c r="C14" s="246" t="s">
        <v>19</v>
      </c>
      <c r="D14" s="247"/>
      <c r="E14" s="176"/>
      <c r="F14" s="176"/>
      <c r="G14" s="176"/>
      <c r="H14" s="176"/>
      <c r="I14" s="137"/>
      <c r="J14" s="138"/>
      <c r="K14" s="138"/>
      <c r="L14" s="139"/>
      <c r="M14" s="126"/>
      <c r="N14" s="126"/>
      <c r="O14" s="126"/>
      <c r="P14" s="126"/>
      <c r="Q14" s="121" t="str">
        <f t="shared" si="0"/>
        <v>-</v>
      </c>
      <c r="R14" s="121" t="str">
        <f t="shared" si="1"/>
        <v>-</v>
      </c>
      <c r="S14" s="122" t="str">
        <f t="shared" si="1"/>
        <v>-</v>
      </c>
      <c r="T14" s="142"/>
      <c r="U14" s="126"/>
      <c r="V14" s="126"/>
      <c r="W14" s="126"/>
      <c r="X14" s="126"/>
      <c r="Y14" s="126"/>
      <c r="Z14" s="126"/>
      <c r="AA14" s="126"/>
      <c r="AB14" s="121" t="str">
        <f>IF(T14="-", "-", IF(X14="-", "-", IF(ABS(X14)=0, "-", ROUND(100*(T14-X14)/ABS(X14), 10))))</f>
        <v>-</v>
      </c>
      <c r="AC14" s="121" t="str">
        <f>IF(Y14="-", "-", IF(AA14="-", "-", IF(ABS(AA14)=0, "-", ROUND(100*(Y14-AA14)/ABS(AA14), 1))))</f>
        <v>-</v>
      </c>
      <c r="AD14" s="122" t="str">
        <f>IF(Z14="-", "-", IF(AB14="-", "-", IF(ABS(AB14)=0, "-", ROUND(100*(Z14-AB14)/ABS(AB14), 1))))</f>
        <v>-</v>
      </c>
      <c r="AE14" s="140"/>
      <c r="AF14" s="141"/>
      <c r="AG14" s="141"/>
      <c r="AH14" s="141"/>
      <c r="AI14" s="141"/>
      <c r="AJ14" s="141"/>
      <c r="AK14" s="141"/>
      <c r="AL14" s="141"/>
      <c r="AM14" s="187"/>
      <c r="AN14" s="187"/>
      <c r="AO14" s="188"/>
      <c r="AP14" s="130"/>
      <c r="AQ14" s="131"/>
      <c r="AR14" s="131"/>
      <c r="AS14" s="131"/>
      <c r="AT14" s="131"/>
      <c r="AU14" s="131"/>
      <c r="AV14" s="131"/>
      <c r="AW14" s="131"/>
      <c r="AX14" s="132" t="str">
        <f t="shared" si="3"/>
        <v>-</v>
      </c>
      <c r="AY14" s="132" t="str">
        <f t="shared" si="4"/>
        <v>-</v>
      </c>
      <c r="AZ14" s="133" t="str">
        <f t="shared" si="4"/>
        <v>-</v>
      </c>
      <c r="BA14" s="14"/>
      <c r="BB14" s="10"/>
      <c r="BC14" s="10"/>
      <c r="BD14" s="10"/>
      <c r="BE14" s="282"/>
      <c r="BF14" s="248" t="s">
        <v>10</v>
      </c>
      <c r="BG14" s="101"/>
      <c r="BH14" s="101"/>
      <c r="BI14" s="101"/>
      <c r="BJ14" s="101"/>
      <c r="BK14" s="102"/>
      <c r="BL14" s="142"/>
      <c r="BM14" s="126"/>
      <c r="BN14" s="126"/>
      <c r="BO14" s="126"/>
      <c r="BP14" s="126"/>
      <c r="BQ14" s="126"/>
      <c r="BR14" s="126"/>
      <c r="BS14" s="126"/>
      <c r="BT14" s="121" t="str">
        <f>IF(BL14="-", "-", IF(BP14="-", "-", IF(ABS(BP14)=0, "-", ROUND(100*(BL14-BP14)/ABS(BP14), 10))))</f>
        <v>-</v>
      </c>
      <c r="BU14" s="121" t="str">
        <f t="shared" si="5"/>
        <v>-</v>
      </c>
      <c r="BV14" s="122" t="str">
        <f t="shared" si="5"/>
        <v>-</v>
      </c>
      <c r="BW14" s="142"/>
      <c r="BX14" s="126"/>
      <c r="BY14" s="126"/>
      <c r="BZ14" s="126"/>
      <c r="CA14" s="126"/>
      <c r="CB14" s="126"/>
      <c r="CC14" s="126"/>
      <c r="CD14" s="126"/>
      <c r="CE14" s="121" t="str">
        <f t="shared" si="6"/>
        <v>-</v>
      </c>
      <c r="CF14" s="121" t="str">
        <f t="shared" si="7"/>
        <v>-</v>
      </c>
      <c r="CG14" s="122" t="str">
        <f t="shared" si="7"/>
        <v>-</v>
      </c>
      <c r="CH14" s="14"/>
      <c r="CZ14" s="10"/>
    </row>
    <row r="15" spans="2:124" ht="12.75" customHeight="1">
      <c r="B15" s="15"/>
      <c r="C15" s="248" t="s">
        <v>203</v>
      </c>
      <c r="D15" s="101"/>
      <c r="E15" s="101"/>
      <c r="F15" s="101"/>
      <c r="G15" s="101"/>
      <c r="H15" s="102"/>
      <c r="I15" s="142"/>
      <c r="J15" s="126"/>
      <c r="K15" s="126"/>
      <c r="L15" s="126"/>
      <c r="M15" s="126"/>
      <c r="N15" s="126"/>
      <c r="O15" s="126"/>
      <c r="P15" s="126"/>
      <c r="Q15" s="121" t="str">
        <f t="shared" si="0"/>
        <v>-</v>
      </c>
      <c r="R15" s="121" t="str">
        <f t="shared" si="1"/>
        <v>-</v>
      </c>
      <c r="S15" s="122" t="str">
        <f t="shared" si="1"/>
        <v>-</v>
      </c>
      <c r="T15" s="142"/>
      <c r="U15" s="126"/>
      <c r="V15" s="126"/>
      <c r="W15" s="126"/>
      <c r="X15" s="126"/>
      <c r="Y15" s="126"/>
      <c r="Z15" s="126"/>
      <c r="AA15" s="126"/>
      <c r="AB15" s="121" t="str">
        <f>IF(T15="-", "-", IF(X15="-", "-", IF(ABS(X15)=0, "-", ROUND(100*(T15-X15)/ABS(X15), 10))))</f>
        <v>-</v>
      </c>
      <c r="AC15" s="121" t="str">
        <f>IF(Y15="-", "-", IF(AA15="-", "-", IF(ABS(AA15)=0, "-", ROUND(100*(Y15-AA15)/ABS(AA15), 1))))</f>
        <v>-</v>
      </c>
      <c r="AD15" s="122" t="str">
        <f>IF(Z15="-", "-", IF(AB15="-", "-", IF(ABS(AB15)=0, "-", ROUND(100*(Z15-AB15)/ABS(AB15), 1))))</f>
        <v>-</v>
      </c>
      <c r="AE15" s="140"/>
      <c r="AF15" s="141"/>
      <c r="AG15" s="141"/>
      <c r="AH15" s="141"/>
      <c r="AI15" s="141"/>
      <c r="AJ15" s="141"/>
      <c r="AK15" s="141"/>
      <c r="AL15" s="141"/>
      <c r="AM15" s="187"/>
      <c r="AN15" s="187"/>
      <c r="AO15" s="188"/>
      <c r="AP15" s="130"/>
      <c r="AQ15" s="131"/>
      <c r="AR15" s="131"/>
      <c r="AS15" s="131"/>
      <c r="AT15" s="131"/>
      <c r="AU15" s="131"/>
      <c r="AV15" s="131"/>
      <c r="AW15" s="131"/>
      <c r="AX15" s="132" t="str">
        <f t="shared" si="3"/>
        <v>-</v>
      </c>
      <c r="AY15" s="132" t="str">
        <f t="shared" si="4"/>
        <v>-</v>
      </c>
      <c r="AZ15" s="133" t="str">
        <f t="shared" si="4"/>
        <v>-</v>
      </c>
      <c r="BA15" s="14"/>
      <c r="BB15" s="10"/>
      <c r="BC15" s="10"/>
      <c r="BD15" s="10"/>
      <c r="BE15" s="283"/>
      <c r="BF15" s="245" t="s">
        <v>13</v>
      </c>
      <c r="BG15" s="176"/>
      <c r="BH15" s="176"/>
      <c r="BI15" s="176"/>
      <c r="BJ15" s="176"/>
      <c r="BK15" s="177"/>
      <c r="BL15" s="193"/>
      <c r="BM15" s="192"/>
      <c r="BN15" s="192"/>
      <c r="BO15" s="192"/>
      <c r="BP15" s="192"/>
      <c r="BQ15" s="192"/>
      <c r="BR15" s="192"/>
      <c r="BS15" s="192"/>
      <c r="BT15" s="200"/>
      <c r="BU15" s="200"/>
      <c r="BV15" s="201"/>
      <c r="BW15" s="130"/>
      <c r="BX15" s="131"/>
      <c r="BY15" s="131"/>
      <c r="BZ15" s="131"/>
      <c r="CA15" s="131"/>
      <c r="CB15" s="131"/>
      <c r="CC15" s="131"/>
      <c r="CD15" s="131"/>
      <c r="CE15" s="132" t="str">
        <f t="shared" si="6"/>
        <v>-</v>
      </c>
      <c r="CF15" s="132" t="str">
        <f t="shared" si="7"/>
        <v>-</v>
      </c>
      <c r="CG15" s="133" t="str">
        <f t="shared" si="7"/>
        <v>-</v>
      </c>
      <c r="CH15" s="14"/>
      <c r="CI15" s="4"/>
      <c r="CJ15" s="29"/>
      <c r="CK15" s="29"/>
      <c r="CL15" s="29"/>
      <c r="CM15" s="29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10"/>
    </row>
    <row r="16" spans="2:124" ht="12.75" customHeight="1" thickBot="1">
      <c r="B16" s="15"/>
      <c r="C16" s="248" t="s">
        <v>185</v>
      </c>
      <c r="D16" s="101"/>
      <c r="E16" s="101"/>
      <c r="F16" s="101"/>
      <c r="G16" s="101"/>
      <c r="H16" s="102"/>
      <c r="I16" s="137"/>
      <c r="J16" s="138"/>
      <c r="K16" s="138"/>
      <c r="L16" s="139"/>
      <c r="M16" s="126"/>
      <c r="N16" s="126"/>
      <c r="O16" s="126"/>
      <c r="P16" s="126"/>
      <c r="Q16" s="121" t="str">
        <f t="shared" si="0"/>
        <v>-</v>
      </c>
      <c r="R16" s="121" t="str">
        <f t="shared" si="1"/>
        <v>-</v>
      </c>
      <c r="S16" s="122" t="str">
        <f t="shared" si="1"/>
        <v>-</v>
      </c>
      <c r="T16" s="140"/>
      <c r="U16" s="141"/>
      <c r="V16" s="141"/>
      <c r="W16" s="141"/>
      <c r="X16" s="141"/>
      <c r="Y16" s="141"/>
      <c r="Z16" s="141"/>
      <c r="AA16" s="141"/>
      <c r="AB16" s="187"/>
      <c r="AC16" s="187"/>
      <c r="AD16" s="188"/>
      <c r="AE16" s="140"/>
      <c r="AF16" s="141"/>
      <c r="AG16" s="141"/>
      <c r="AH16" s="141"/>
      <c r="AI16" s="141"/>
      <c r="AJ16" s="141"/>
      <c r="AK16" s="141"/>
      <c r="AL16" s="141"/>
      <c r="AM16" s="187"/>
      <c r="AN16" s="187"/>
      <c r="AO16" s="188"/>
      <c r="AP16" s="130"/>
      <c r="AQ16" s="131"/>
      <c r="AR16" s="131"/>
      <c r="AS16" s="131"/>
      <c r="AT16" s="131"/>
      <c r="AU16" s="131"/>
      <c r="AV16" s="131"/>
      <c r="AW16" s="131"/>
      <c r="AX16" s="132" t="str">
        <f t="shared" si="3"/>
        <v>-</v>
      </c>
      <c r="AY16" s="132" t="str">
        <f t="shared" si="4"/>
        <v>-</v>
      </c>
      <c r="AZ16" s="133" t="str">
        <f t="shared" si="4"/>
        <v>-</v>
      </c>
      <c r="BA16" s="14"/>
      <c r="BB16" s="10"/>
      <c r="BC16" s="10"/>
      <c r="BD16" s="10"/>
      <c r="BE16" s="148" t="s">
        <v>78</v>
      </c>
      <c r="BF16" s="149"/>
      <c r="BG16" s="149"/>
      <c r="BH16" s="149"/>
      <c r="BI16" s="149"/>
      <c r="BJ16" s="149"/>
      <c r="BK16" s="149"/>
      <c r="BL16" s="196"/>
      <c r="BM16" s="197"/>
      <c r="BN16" s="197"/>
      <c r="BO16" s="197"/>
      <c r="BP16" s="197"/>
      <c r="BQ16" s="197"/>
      <c r="BR16" s="197"/>
      <c r="BS16" s="197"/>
      <c r="BT16" s="202"/>
      <c r="BU16" s="202"/>
      <c r="BV16" s="203"/>
      <c r="BW16" s="198"/>
      <c r="BX16" s="199"/>
      <c r="BY16" s="199"/>
      <c r="BZ16" s="199"/>
      <c r="CA16" s="199"/>
      <c r="CB16" s="199"/>
      <c r="CC16" s="199"/>
      <c r="CD16" s="199"/>
      <c r="CE16" s="205" t="str">
        <f t="shared" si="6"/>
        <v>-</v>
      </c>
      <c r="CF16" s="205" t="str">
        <f t="shared" si="7"/>
        <v>-</v>
      </c>
      <c r="CG16" s="206" t="str">
        <f t="shared" si="7"/>
        <v>-</v>
      </c>
      <c r="CH16" s="14"/>
      <c r="CI16" s="4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</row>
    <row r="17" spans="2:104" ht="12.75" customHeight="1">
      <c r="B17" s="15"/>
      <c r="C17" s="248" t="s">
        <v>20</v>
      </c>
      <c r="D17" s="101"/>
      <c r="E17" s="101"/>
      <c r="F17" s="101"/>
      <c r="G17" s="101"/>
      <c r="H17" s="102"/>
      <c r="I17" s="142"/>
      <c r="J17" s="126"/>
      <c r="K17" s="126"/>
      <c r="L17" s="126"/>
      <c r="M17" s="126"/>
      <c r="N17" s="126"/>
      <c r="O17" s="126"/>
      <c r="P17" s="126"/>
      <c r="Q17" s="121" t="str">
        <f t="shared" si="0"/>
        <v>-</v>
      </c>
      <c r="R17" s="121" t="str">
        <f t="shared" si="1"/>
        <v>-</v>
      </c>
      <c r="S17" s="122" t="str">
        <f t="shared" si="1"/>
        <v>-</v>
      </c>
      <c r="T17" s="140"/>
      <c r="U17" s="141"/>
      <c r="V17" s="141"/>
      <c r="W17" s="141"/>
      <c r="X17" s="141"/>
      <c r="Y17" s="141"/>
      <c r="Z17" s="141"/>
      <c r="AA17" s="141"/>
      <c r="AB17" s="187"/>
      <c r="AC17" s="187"/>
      <c r="AD17" s="188"/>
      <c r="AE17" s="140"/>
      <c r="AF17" s="141"/>
      <c r="AG17" s="141"/>
      <c r="AH17" s="141"/>
      <c r="AI17" s="141"/>
      <c r="AJ17" s="141"/>
      <c r="AK17" s="141"/>
      <c r="AL17" s="141"/>
      <c r="AM17" s="187"/>
      <c r="AN17" s="187"/>
      <c r="AO17" s="188"/>
      <c r="AP17" s="130"/>
      <c r="AQ17" s="131"/>
      <c r="AR17" s="131"/>
      <c r="AS17" s="131"/>
      <c r="AT17" s="131"/>
      <c r="AU17" s="131"/>
      <c r="AV17" s="131"/>
      <c r="AW17" s="131"/>
      <c r="AX17" s="132" t="str">
        <f t="shared" si="3"/>
        <v>-</v>
      </c>
      <c r="AY17" s="132" t="str">
        <f t="shared" si="4"/>
        <v>-</v>
      </c>
      <c r="AZ17" s="133" t="str">
        <f t="shared" si="4"/>
        <v>-</v>
      </c>
      <c r="BA17" s="14"/>
      <c r="BB17" s="10"/>
      <c r="BC17" s="10"/>
      <c r="BD17" s="10"/>
      <c r="BE17" s="29"/>
      <c r="BF17" s="29"/>
      <c r="BG17" s="29"/>
      <c r="BH17" s="29"/>
      <c r="BI17" s="29"/>
      <c r="BJ17" s="29"/>
      <c r="BK17" s="29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4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28"/>
    </row>
    <row r="18" spans="2:104" ht="12.75" customHeight="1">
      <c r="B18" s="15"/>
      <c r="C18" s="248" t="s">
        <v>186</v>
      </c>
      <c r="D18" s="101"/>
      <c r="E18" s="101"/>
      <c r="F18" s="101"/>
      <c r="G18" s="101"/>
      <c r="H18" s="101"/>
      <c r="I18" s="137"/>
      <c r="J18" s="138"/>
      <c r="K18" s="138"/>
      <c r="L18" s="139"/>
      <c r="M18" s="126"/>
      <c r="N18" s="126"/>
      <c r="O18" s="126"/>
      <c r="P18" s="126"/>
      <c r="Q18" s="121" t="str">
        <f t="shared" si="0"/>
        <v>-</v>
      </c>
      <c r="R18" s="121" t="str">
        <f t="shared" si="1"/>
        <v>-</v>
      </c>
      <c r="S18" s="122" t="str">
        <f t="shared" si="1"/>
        <v>-</v>
      </c>
      <c r="T18" s="140"/>
      <c r="U18" s="141"/>
      <c r="V18" s="141"/>
      <c r="W18" s="141"/>
      <c r="X18" s="141"/>
      <c r="Y18" s="141"/>
      <c r="Z18" s="141"/>
      <c r="AA18" s="141"/>
      <c r="AB18" s="187"/>
      <c r="AC18" s="187"/>
      <c r="AD18" s="188"/>
      <c r="AE18" s="140"/>
      <c r="AF18" s="141"/>
      <c r="AG18" s="141"/>
      <c r="AH18" s="141"/>
      <c r="AI18" s="141"/>
      <c r="AJ18" s="141"/>
      <c r="AK18" s="141"/>
      <c r="AL18" s="141"/>
      <c r="AM18" s="187"/>
      <c r="AN18" s="187"/>
      <c r="AO18" s="188"/>
      <c r="AP18" s="130"/>
      <c r="AQ18" s="131"/>
      <c r="AR18" s="131"/>
      <c r="AS18" s="131"/>
      <c r="AT18" s="131"/>
      <c r="AU18" s="131"/>
      <c r="AV18" s="131"/>
      <c r="AW18" s="131"/>
      <c r="AX18" s="132" t="str">
        <f t="shared" si="3"/>
        <v>-</v>
      </c>
      <c r="AY18" s="132" t="str">
        <f t="shared" si="4"/>
        <v>-</v>
      </c>
      <c r="AZ18" s="133" t="str">
        <f t="shared" si="4"/>
        <v>-</v>
      </c>
      <c r="BA18" s="14"/>
      <c r="BB18" s="10"/>
      <c r="BC18" s="10"/>
      <c r="BD18" s="10"/>
      <c r="CI18" s="28"/>
      <c r="CJ18" s="28"/>
      <c r="CK18" s="28"/>
      <c r="CL18" s="28"/>
      <c r="CM18" s="28"/>
      <c r="CN18" s="204"/>
      <c r="CO18" s="204"/>
      <c r="CP18" s="204"/>
      <c r="CQ18" s="204"/>
      <c r="CR18" s="204"/>
      <c r="CS18" s="204"/>
      <c r="CT18" s="204"/>
      <c r="CU18" s="204"/>
      <c r="CV18" s="204"/>
      <c r="CW18" s="204"/>
      <c r="CX18" s="204"/>
      <c r="CY18" s="204"/>
    </row>
    <row r="19" spans="2:104" ht="12.75" customHeight="1">
      <c r="B19" s="15"/>
      <c r="C19" s="245" t="s">
        <v>21</v>
      </c>
      <c r="D19" s="176"/>
      <c r="E19" s="176"/>
      <c r="F19" s="176"/>
      <c r="G19" s="176"/>
      <c r="H19" s="176"/>
      <c r="I19" s="142"/>
      <c r="J19" s="126"/>
      <c r="K19" s="126"/>
      <c r="L19" s="126"/>
      <c r="M19" s="126"/>
      <c r="N19" s="126"/>
      <c r="O19" s="126"/>
      <c r="P19" s="126"/>
      <c r="Q19" s="121" t="str">
        <f t="shared" si="0"/>
        <v>-</v>
      </c>
      <c r="R19" s="121" t="str">
        <f t="shared" si="1"/>
        <v>-</v>
      </c>
      <c r="S19" s="122" t="str">
        <f t="shared" si="1"/>
        <v>-</v>
      </c>
      <c r="T19" s="140"/>
      <c r="U19" s="141"/>
      <c r="V19" s="141"/>
      <c r="W19" s="141"/>
      <c r="X19" s="141"/>
      <c r="Y19" s="141"/>
      <c r="Z19" s="141"/>
      <c r="AA19" s="141"/>
      <c r="AB19" s="187"/>
      <c r="AC19" s="187"/>
      <c r="AD19" s="188"/>
      <c r="AE19" s="142"/>
      <c r="AF19" s="126"/>
      <c r="AG19" s="126"/>
      <c r="AH19" s="126"/>
      <c r="AI19" s="126"/>
      <c r="AJ19" s="126"/>
      <c r="AK19" s="126"/>
      <c r="AL19" s="126"/>
      <c r="AM19" s="121" t="str">
        <f>IF(AE19="-", "-", IF(AI19="-", "-", IF(ABS(AI19)=0, "-", ROUND(100*(AE19-AI19)/ABS(AI19), 10))))</f>
        <v>-</v>
      </c>
      <c r="AN19" s="121" t="str">
        <f t="shared" ref="AN19:AO22" si="8">IF(AJ19="-", "-", IF(AL19="-", "-", IF(ABS(AL19)=0, "-", ROUND(100*(AJ19-AL19)/ABS(AL19), 1))))</f>
        <v>-</v>
      </c>
      <c r="AO19" s="122" t="str">
        <f t="shared" si="8"/>
        <v>-</v>
      </c>
      <c r="AP19" s="130"/>
      <c r="AQ19" s="131"/>
      <c r="AR19" s="131"/>
      <c r="AS19" s="131"/>
      <c r="AT19" s="131"/>
      <c r="AU19" s="131"/>
      <c r="AV19" s="131"/>
      <c r="AW19" s="131"/>
      <c r="AX19" s="132" t="str">
        <f t="shared" si="3"/>
        <v>-</v>
      </c>
      <c r="AY19" s="132" t="str">
        <f t="shared" si="4"/>
        <v>-</v>
      </c>
      <c r="AZ19" s="133" t="str">
        <f t="shared" si="4"/>
        <v>-</v>
      </c>
      <c r="BA19" s="14"/>
      <c r="BB19" s="10"/>
      <c r="BC19" s="10"/>
      <c r="BD19" s="10"/>
    </row>
    <row r="20" spans="2:104" ht="12.75" customHeight="1">
      <c r="B20" s="15"/>
      <c r="C20" s="245" t="s">
        <v>194</v>
      </c>
      <c r="D20" s="176"/>
      <c r="E20" s="176"/>
      <c r="F20" s="176"/>
      <c r="G20" s="176"/>
      <c r="H20" s="176"/>
      <c r="I20" s="137"/>
      <c r="J20" s="138"/>
      <c r="K20" s="138"/>
      <c r="L20" s="139"/>
      <c r="M20" s="126"/>
      <c r="N20" s="126"/>
      <c r="O20" s="126"/>
      <c r="P20" s="126"/>
      <c r="Q20" s="121" t="str">
        <f t="shared" si="0"/>
        <v>-</v>
      </c>
      <c r="R20" s="121" t="str">
        <f t="shared" si="1"/>
        <v>-</v>
      </c>
      <c r="S20" s="122" t="str">
        <f t="shared" si="1"/>
        <v>-</v>
      </c>
      <c r="T20" s="140"/>
      <c r="U20" s="141"/>
      <c r="V20" s="141"/>
      <c r="W20" s="141"/>
      <c r="X20" s="141"/>
      <c r="Y20" s="141"/>
      <c r="Z20" s="141"/>
      <c r="AA20" s="141"/>
      <c r="AB20" s="187"/>
      <c r="AC20" s="187"/>
      <c r="AD20" s="188"/>
      <c r="AE20" s="142"/>
      <c r="AF20" s="126"/>
      <c r="AG20" s="126"/>
      <c r="AH20" s="126"/>
      <c r="AI20" s="126"/>
      <c r="AJ20" s="126"/>
      <c r="AK20" s="126"/>
      <c r="AL20" s="126"/>
      <c r="AM20" s="121" t="str">
        <f>IF(AE20="-", "-", IF(AI20="-", "-", IF(ABS(AI20)=0, "-", ROUND(100*(AE20-AI20)/ABS(AI20), 10))))</f>
        <v>-</v>
      </c>
      <c r="AN20" s="121" t="str">
        <f t="shared" si="8"/>
        <v>-</v>
      </c>
      <c r="AO20" s="122" t="str">
        <f t="shared" si="8"/>
        <v>-</v>
      </c>
      <c r="AP20" s="130"/>
      <c r="AQ20" s="131"/>
      <c r="AR20" s="131"/>
      <c r="AS20" s="131"/>
      <c r="AT20" s="131"/>
      <c r="AU20" s="131"/>
      <c r="AV20" s="131"/>
      <c r="AW20" s="131"/>
      <c r="AX20" s="132" t="str">
        <f t="shared" si="3"/>
        <v>-</v>
      </c>
      <c r="AY20" s="132" t="str">
        <f t="shared" si="4"/>
        <v>-</v>
      </c>
      <c r="AZ20" s="133" t="str">
        <f t="shared" si="4"/>
        <v>-</v>
      </c>
      <c r="BA20" s="14"/>
      <c r="BB20" s="10"/>
      <c r="BC20" s="10"/>
      <c r="BD20" s="10"/>
    </row>
    <row r="21" spans="2:104" ht="12.75" customHeight="1" thickBot="1">
      <c r="B21" s="15"/>
      <c r="C21" s="245" t="s">
        <v>22</v>
      </c>
      <c r="D21" s="176"/>
      <c r="E21" s="176"/>
      <c r="F21" s="176"/>
      <c r="G21" s="176"/>
      <c r="H21" s="176"/>
      <c r="I21" s="142"/>
      <c r="J21" s="126"/>
      <c r="K21" s="126"/>
      <c r="L21" s="126"/>
      <c r="M21" s="126"/>
      <c r="N21" s="126"/>
      <c r="O21" s="126"/>
      <c r="P21" s="126"/>
      <c r="Q21" s="121" t="str">
        <f t="shared" si="0"/>
        <v>-</v>
      </c>
      <c r="R21" s="121" t="str">
        <f t="shared" si="1"/>
        <v>-</v>
      </c>
      <c r="S21" s="122" t="str">
        <f t="shared" si="1"/>
        <v>-</v>
      </c>
      <c r="T21" s="140"/>
      <c r="U21" s="141"/>
      <c r="V21" s="141"/>
      <c r="W21" s="141"/>
      <c r="X21" s="141"/>
      <c r="Y21" s="141"/>
      <c r="Z21" s="141"/>
      <c r="AA21" s="141"/>
      <c r="AB21" s="187"/>
      <c r="AC21" s="187"/>
      <c r="AD21" s="188"/>
      <c r="AE21" s="142"/>
      <c r="AF21" s="126"/>
      <c r="AG21" s="126"/>
      <c r="AH21" s="126"/>
      <c r="AI21" s="126"/>
      <c r="AJ21" s="126"/>
      <c r="AK21" s="126"/>
      <c r="AL21" s="126"/>
      <c r="AM21" s="121" t="str">
        <f>IF(AE21="-", "-", IF(AI21="-", "-", IF(ABS(AI21)=0, "-", ROUND(100*(AE21-AI21)/ABS(AI21), 10))))</f>
        <v>-</v>
      </c>
      <c r="AN21" s="121" t="str">
        <f t="shared" si="8"/>
        <v>-</v>
      </c>
      <c r="AO21" s="122" t="str">
        <f t="shared" si="8"/>
        <v>-</v>
      </c>
      <c r="AP21" s="130"/>
      <c r="AQ21" s="131"/>
      <c r="AR21" s="131"/>
      <c r="AS21" s="131"/>
      <c r="AT21" s="131"/>
      <c r="AU21" s="131"/>
      <c r="AV21" s="131"/>
      <c r="AW21" s="131"/>
      <c r="AX21" s="132" t="str">
        <f t="shared" si="3"/>
        <v>-</v>
      </c>
      <c r="AY21" s="132" t="str">
        <f t="shared" si="4"/>
        <v>-</v>
      </c>
      <c r="AZ21" s="133" t="str">
        <f t="shared" si="4"/>
        <v>-</v>
      </c>
      <c r="BA21" s="14"/>
      <c r="BB21" s="10"/>
      <c r="BC21" s="10"/>
      <c r="BD21" s="10"/>
      <c r="BE21" s="3" t="s">
        <v>311</v>
      </c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11" t="s">
        <v>4</v>
      </c>
    </row>
    <row r="22" spans="2:104" ht="12.75" customHeight="1" thickBot="1">
      <c r="B22" s="9"/>
      <c r="C22" s="245" t="s">
        <v>23</v>
      </c>
      <c r="D22" s="176"/>
      <c r="E22" s="176"/>
      <c r="F22" s="176"/>
      <c r="G22" s="176"/>
      <c r="H22" s="176"/>
      <c r="I22" s="137"/>
      <c r="J22" s="138"/>
      <c r="K22" s="138"/>
      <c r="L22" s="139"/>
      <c r="M22" s="126"/>
      <c r="N22" s="126"/>
      <c r="O22" s="126"/>
      <c r="P22" s="126"/>
      <c r="Q22" s="121" t="str">
        <f t="shared" si="0"/>
        <v>-</v>
      </c>
      <c r="R22" s="121" t="str">
        <f t="shared" si="1"/>
        <v>-</v>
      </c>
      <c r="S22" s="122" t="str">
        <f t="shared" si="1"/>
        <v>-</v>
      </c>
      <c r="T22" s="140"/>
      <c r="U22" s="141"/>
      <c r="V22" s="141"/>
      <c r="W22" s="141"/>
      <c r="X22" s="141"/>
      <c r="Y22" s="141"/>
      <c r="Z22" s="141"/>
      <c r="AA22" s="141"/>
      <c r="AB22" s="187"/>
      <c r="AC22" s="187"/>
      <c r="AD22" s="188"/>
      <c r="AE22" s="142"/>
      <c r="AF22" s="126"/>
      <c r="AG22" s="126"/>
      <c r="AH22" s="126"/>
      <c r="AI22" s="126"/>
      <c r="AJ22" s="126"/>
      <c r="AK22" s="126"/>
      <c r="AL22" s="126"/>
      <c r="AM22" s="121" t="str">
        <f>IF(AE22="-", "-", IF(AI22="-", "-", IF(ABS(AI22)=0, "-", ROUND(100*(AE22-AI22)/ABS(AI22), 10))))</f>
        <v>-</v>
      </c>
      <c r="AN22" s="121" t="str">
        <f t="shared" si="8"/>
        <v>-</v>
      </c>
      <c r="AO22" s="122" t="str">
        <f t="shared" si="8"/>
        <v>-</v>
      </c>
      <c r="AP22" s="130"/>
      <c r="AQ22" s="131"/>
      <c r="AR22" s="131"/>
      <c r="AS22" s="131"/>
      <c r="AT22" s="131"/>
      <c r="AU22" s="131"/>
      <c r="AV22" s="131"/>
      <c r="AW22" s="131"/>
      <c r="AX22" s="132" t="str">
        <f t="shared" si="3"/>
        <v>-</v>
      </c>
      <c r="AY22" s="132" t="str">
        <f t="shared" si="4"/>
        <v>-</v>
      </c>
      <c r="AZ22" s="133" t="str">
        <f t="shared" si="4"/>
        <v>-</v>
      </c>
      <c r="BA22" s="14"/>
      <c r="BB22" s="10"/>
      <c r="BC22" s="10"/>
      <c r="BD22" s="10"/>
      <c r="BE22" s="224"/>
      <c r="BF22" s="225"/>
      <c r="BG22" s="225"/>
      <c r="BH22" s="225"/>
      <c r="BI22" s="225"/>
      <c r="BJ22" s="225"/>
      <c r="BK22" s="226"/>
      <c r="BL22" s="227">
        <f>IF($B$1&lt;&gt;"",$B$1,"")</f>
        <v>0</v>
      </c>
      <c r="BM22" s="182"/>
      <c r="BN22" s="182"/>
      <c r="BO22" s="182"/>
      <c r="BP22" s="181">
        <f>IF($B$1&lt;&gt;"",$B$1-1,"")</f>
        <v>-1</v>
      </c>
      <c r="BQ22" s="182"/>
      <c r="BR22" s="182"/>
      <c r="BS22" s="183"/>
      <c r="BT22" s="123" t="s">
        <v>217</v>
      </c>
      <c r="BU22" s="124"/>
      <c r="BV22" s="125"/>
    </row>
    <row r="23" spans="2:104" ht="12.75" customHeight="1">
      <c r="B23" s="260" t="s">
        <v>15</v>
      </c>
      <c r="C23" s="261"/>
      <c r="D23" s="261"/>
      <c r="E23" s="261"/>
      <c r="F23" s="261"/>
      <c r="G23" s="262"/>
      <c r="H23" s="262"/>
      <c r="I23" s="142"/>
      <c r="J23" s="126"/>
      <c r="K23" s="126"/>
      <c r="L23" s="126"/>
      <c r="M23" s="126"/>
      <c r="N23" s="126"/>
      <c r="O23" s="126"/>
      <c r="P23" s="126"/>
      <c r="Q23" s="121" t="str">
        <f t="shared" si="0"/>
        <v>-</v>
      </c>
      <c r="R23" s="121" t="str">
        <f t="shared" si="1"/>
        <v>-</v>
      </c>
      <c r="S23" s="122" t="str">
        <f t="shared" si="1"/>
        <v>-</v>
      </c>
      <c r="T23" s="142"/>
      <c r="U23" s="126"/>
      <c r="V23" s="126"/>
      <c r="W23" s="126"/>
      <c r="X23" s="126"/>
      <c r="Y23" s="126"/>
      <c r="Z23" s="126"/>
      <c r="AA23" s="126"/>
      <c r="AB23" s="121" t="str">
        <f>IF(T23="-", "-", IF(X23="-", "-", IF(ABS(X23)=0, "-", ROUND(100*(T23-X23)/ABS(X23), 10))))</f>
        <v>-</v>
      </c>
      <c r="AC23" s="121" t="str">
        <f t="shared" ref="AC23:AD26" si="9">IF(Y23="-", "-", IF(AA23="-", "-", IF(ABS(AA23)=0, "-", ROUND(100*(Y23-AA23)/ABS(AA23), 1))))</f>
        <v>-</v>
      </c>
      <c r="AD23" s="122" t="str">
        <f t="shared" si="9"/>
        <v>-</v>
      </c>
      <c r="AE23" s="140"/>
      <c r="AF23" s="141"/>
      <c r="AG23" s="141"/>
      <c r="AH23" s="141"/>
      <c r="AI23" s="141"/>
      <c r="AJ23" s="141"/>
      <c r="AK23" s="141"/>
      <c r="AL23" s="141"/>
      <c r="AM23" s="187"/>
      <c r="AN23" s="187"/>
      <c r="AO23" s="188"/>
      <c r="AP23" s="130"/>
      <c r="AQ23" s="131"/>
      <c r="AR23" s="131"/>
      <c r="AS23" s="131"/>
      <c r="AT23" s="131"/>
      <c r="AU23" s="131"/>
      <c r="AV23" s="131"/>
      <c r="AW23" s="131"/>
      <c r="AX23" s="132" t="str">
        <f t="shared" si="3"/>
        <v>-</v>
      </c>
      <c r="AY23" s="132" t="str">
        <f t="shared" si="4"/>
        <v>-</v>
      </c>
      <c r="AZ23" s="133" t="str">
        <f t="shared" si="4"/>
        <v>-</v>
      </c>
      <c r="BA23" s="14"/>
      <c r="BB23" s="10"/>
      <c r="BC23" s="10"/>
      <c r="BD23" s="10"/>
      <c r="BE23" s="221" t="s">
        <v>78</v>
      </c>
      <c r="BF23" s="222"/>
      <c r="BG23" s="222"/>
      <c r="BH23" s="222"/>
      <c r="BI23" s="222"/>
      <c r="BJ23" s="222"/>
      <c r="BK23" s="223"/>
      <c r="BL23" s="142"/>
      <c r="BM23" s="126"/>
      <c r="BN23" s="126"/>
      <c r="BO23" s="126"/>
      <c r="BP23" s="126"/>
      <c r="BQ23" s="126"/>
      <c r="BR23" s="126"/>
      <c r="BS23" s="126"/>
      <c r="BT23" s="121" t="str">
        <f t="shared" ref="BT23:BT29" si="10">IF(BL23="-", "-", IF(BP23="-", "-", IF(ABS(BP23)=0, "-", ROUND(100*(BL23-BP23)/ABS(BP23), 10))))</f>
        <v>-</v>
      </c>
      <c r="BU23" s="121" t="str">
        <f t="shared" ref="BU23:BV29" si="11">IF(BQ23="-", "-", IF(BS23="-", "-", IF(ABS(BS23)=0, "-", ROUND(100*(BQ23-BS23)/ABS(BS23), 1))))</f>
        <v>-</v>
      </c>
      <c r="BV23" s="122" t="str">
        <f t="shared" si="11"/>
        <v>-</v>
      </c>
    </row>
    <row r="24" spans="2:104" ht="12.75" customHeight="1">
      <c r="B24" s="15"/>
      <c r="C24" s="245" t="s">
        <v>24</v>
      </c>
      <c r="D24" s="176"/>
      <c r="E24" s="176"/>
      <c r="F24" s="176"/>
      <c r="G24" s="176"/>
      <c r="H24" s="176"/>
      <c r="I24" s="137"/>
      <c r="J24" s="138"/>
      <c r="K24" s="138"/>
      <c r="L24" s="139"/>
      <c r="M24" s="126"/>
      <c r="N24" s="126"/>
      <c r="O24" s="126"/>
      <c r="P24" s="126"/>
      <c r="Q24" s="121" t="str">
        <f t="shared" si="0"/>
        <v>-</v>
      </c>
      <c r="R24" s="121" t="str">
        <f t="shared" si="1"/>
        <v>-</v>
      </c>
      <c r="S24" s="122" t="str">
        <f t="shared" si="1"/>
        <v>-</v>
      </c>
      <c r="T24" s="142"/>
      <c r="U24" s="126"/>
      <c r="V24" s="126"/>
      <c r="W24" s="126"/>
      <c r="X24" s="126"/>
      <c r="Y24" s="126"/>
      <c r="Z24" s="126"/>
      <c r="AA24" s="126"/>
      <c r="AB24" s="121" t="str">
        <f>IF(T24="-", "-", IF(X24="-", "-", IF(ABS(X24)=0, "-", ROUND(100*(T24-X24)/ABS(X24), 10))))</f>
        <v>-</v>
      </c>
      <c r="AC24" s="121" t="str">
        <f t="shared" si="9"/>
        <v>-</v>
      </c>
      <c r="AD24" s="122" t="str">
        <f t="shared" si="9"/>
        <v>-</v>
      </c>
      <c r="AE24" s="140"/>
      <c r="AF24" s="141"/>
      <c r="AG24" s="141"/>
      <c r="AH24" s="141"/>
      <c r="AI24" s="141"/>
      <c r="AJ24" s="141"/>
      <c r="AK24" s="141"/>
      <c r="AL24" s="141"/>
      <c r="AM24" s="187"/>
      <c r="AN24" s="187"/>
      <c r="AO24" s="188"/>
      <c r="AP24" s="130"/>
      <c r="AQ24" s="131"/>
      <c r="AR24" s="131"/>
      <c r="AS24" s="131"/>
      <c r="AT24" s="131"/>
      <c r="AU24" s="131"/>
      <c r="AV24" s="131"/>
      <c r="AW24" s="131"/>
      <c r="AX24" s="132" t="str">
        <f t="shared" si="3"/>
        <v>-</v>
      </c>
      <c r="AY24" s="132" t="str">
        <f t="shared" si="4"/>
        <v>-</v>
      </c>
      <c r="AZ24" s="133" t="str">
        <f t="shared" si="4"/>
        <v>-</v>
      </c>
      <c r="BA24" s="14"/>
      <c r="BB24" s="10"/>
      <c r="BC24" s="10"/>
      <c r="BD24" s="10"/>
      <c r="BE24" s="178" t="s">
        <v>116</v>
      </c>
      <c r="BF24" s="179"/>
      <c r="BG24" s="179"/>
      <c r="BH24" s="179"/>
      <c r="BI24" s="179"/>
      <c r="BJ24" s="179"/>
      <c r="BK24" s="180"/>
      <c r="BL24" s="142"/>
      <c r="BM24" s="126"/>
      <c r="BN24" s="126"/>
      <c r="BO24" s="126"/>
      <c r="BP24" s="126"/>
      <c r="BQ24" s="126"/>
      <c r="BR24" s="126"/>
      <c r="BS24" s="126"/>
      <c r="BT24" s="121" t="str">
        <f t="shared" si="10"/>
        <v>-</v>
      </c>
      <c r="BU24" s="121" t="str">
        <f t="shared" si="11"/>
        <v>-</v>
      </c>
      <c r="BV24" s="122" t="str">
        <f t="shared" si="11"/>
        <v>-</v>
      </c>
    </row>
    <row r="25" spans="2:104" ht="12.75" customHeight="1">
      <c r="B25" s="15"/>
      <c r="C25" s="256" t="s">
        <v>25</v>
      </c>
      <c r="D25" s="179"/>
      <c r="E25" s="179"/>
      <c r="F25" s="179"/>
      <c r="G25" s="179"/>
      <c r="H25" s="179"/>
      <c r="I25" s="142"/>
      <c r="J25" s="126"/>
      <c r="K25" s="126"/>
      <c r="L25" s="126"/>
      <c r="M25" s="126"/>
      <c r="N25" s="126"/>
      <c r="O25" s="126"/>
      <c r="P25" s="126"/>
      <c r="Q25" s="121" t="str">
        <f t="shared" si="0"/>
        <v>-</v>
      </c>
      <c r="R25" s="121" t="str">
        <f t="shared" si="1"/>
        <v>-</v>
      </c>
      <c r="S25" s="122" t="str">
        <f t="shared" si="1"/>
        <v>-</v>
      </c>
      <c r="T25" s="142"/>
      <c r="U25" s="126"/>
      <c r="V25" s="126"/>
      <c r="W25" s="126"/>
      <c r="X25" s="126"/>
      <c r="Y25" s="126"/>
      <c r="Z25" s="126"/>
      <c r="AA25" s="126"/>
      <c r="AB25" s="121" t="str">
        <f>IF(T25="-", "-", IF(X25="-", "-", IF(ABS(X25)=0, "-", ROUND(100*(T25-X25)/ABS(X25), 10))))</f>
        <v>-</v>
      </c>
      <c r="AC25" s="121" t="str">
        <f t="shared" si="9"/>
        <v>-</v>
      </c>
      <c r="AD25" s="122" t="str">
        <f t="shared" si="9"/>
        <v>-</v>
      </c>
      <c r="AE25" s="140"/>
      <c r="AF25" s="141"/>
      <c r="AG25" s="141"/>
      <c r="AH25" s="141"/>
      <c r="AI25" s="141"/>
      <c r="AJ25" s="141"/>
      <c r="AK25" s="141"/>
      <c r="AL25" s="141"/>
      <c r="AM25" s="187"/>
      <c r="AN25" s="187"/>
      <c r="AO25" s="188"/>
      <c r="AP25" s="130"/>
      <c r="AQ25" s="131"/>
      <c r="AR25" s="131"/>
      <c r="AS25" s="131"/>
      <c r="AT25" s="131"/>
      <c r="AU25" s="131"/>
      <c r="AV25" s="131"/>
      <c r="AW25" s="131"/>
      <c r="AX25" s="132" t="str">
        <f t="shared" si="3"/>
        <v>-</v>
      </c>
      <c r="AY25" s="132" t="str">
        <f t="shared" si="4"/>
        <v>-</v>
      </c>
      <c r="AZ25" s="133" t="str">
        <f t="shared" si="4"/>
        <v>-</v>
      </c>
      <c r="BA25" s="14"/>
      <c r="BB25" s="10"/>
      <c r="BC25" s="10"/>
      <c r="BD25" s="10"/>
      <c r="BE25" s="178" t="s">
        <v>117</v>
      </c>
      <c r="BF25" s="179"/>
      <c r="BG25" s="179"/>
      <c r="BH25" s="179"/>
      <c r="BI25" s="179"/>
      <c r="BJ25" s="179"/>
      <c r="BK25" s="180"/>
      <c r="BL25" s="142"/>
      <c r="BM25" s="126"/>
      <c r="BN25" s="126"/>
      <c r="BO25" s="126"/>
      <c r="BP25" s="126"/>
      <c r="BQ25" s="126"/>
      <c r="BR25" s="126"/>
      <c r="BS25" s="126"/>
      <c r="BT25" s="121" t="str">
        <f t="shared" si="10"/>
        <v>-</v>
      </c>
      <c r="BU25" s="121" t="str">
        <f t="shared" si="11"/>
        <v>-</v>
      </c>
      <c r="BV25" s="122" t="str">
        <f t="shared" si="11"/>
        <v>-</v>
      </c>
    </row>
    <row r="26" spans="2:104" ht="12.75" customHeight="1">
      <c r="B26" s="257" t="s">
        <v>26</v>
      </c>
      <c r="C26" s="258"/>
      <c r="D26" s="258"/>
      <c r="E26" s="258"/>
      <c r="F26" s="258"/>
      <c r="G26" s="245"/>
      <c r="H26" s="259"/>
      <c r="I26" s="130"/>
      <c r="J26" s="131"/>
      <c r="K26" s="131"/>
      <c r="L26" s="131"/>
      <c r="M26" s="131"/>
      <c r="N26" s="131"/>
      <c r="O26" s="131"/>
      <c r="P26" s="131"/>
      <c r="Q26" s="132" t="str">
        <f t="shared" si="0"/>
        <v>-</v>
      </c>
      <c r="R26" s="132" t="str">
        <f t="shared" si="1"/>
        <v>-</v>
      </c>
      <c r="S26" s="133" t="str">
        <f t="shared" si="1"/>
        <v>-</v>
      </c>
      <c r="T26" s="130"/>
      <c r="U26" s="131"/>
      <c r="V26" s="131"/>
      <c r="W26" s="131"/>
      <c r="X26" s="131"/>
      <c r="Y26" s="131"/>
      <c r="Z26" s="131"/>
      <c r="AA26" s="131"/>
      <c r="AB26" s="132" t="str">
        <f>IF(T26="-", "-", IF(X26="-", "-", IF(ABS(X26)=0, "-", ROUND(100*(T26-X26)/ABS(X26), 10))))</f>
        <v>-</v>
      </c>
      <c r="AC26" s="132" t="str">
        <f t="shared" si="9"/>
        <v>-</v>
      </c>
      <c r="AD26" s="133" t="str">
        <f t="shared" si="9"/>
        <v>-</v>
      </c>
      <c r="AE26" s="130"/>
      <c r="AF26" s="131"/>
      <c r="AG26" s="131"/>
      <c r="AH26" s="131"/>
      <c r="AI26" s="131"/>
      <c r="AJ26" s="131"/>
      <c r="AK26" s="131"/>
      <c r="AL26" s="131"/>
      <c r="AM26" s="132" t="str">
        <f>IF(AE26="-", "-", IF(AI26="-", "-", IF(ABS(AI26)=0, "-", ROUND(100*(AE26-AI26)/ABS(AI26), 10))))</f>
        <v>-</v>
      </c>
      <c r="AN26" s="132" t="str">
        <f>IF(AJ26="-", "-", IF(AL26="-", "-", IF(ABS(AL26)=0, "-", ROUND(100*(AJ26-AL26)/ABS(AL26), 1))))</f>
        <v>-</v>
      </c>
      <c r="AO26" s="133" t="str">
        <f>IF(AK26="-", "-", IF(AM26="-", "-", IF(ABS(AM26)=0, "-", ROUND(100*(AK26-AM26)/ABS(AM26), 1))))</f>
        <v>-</v>
      </c>
      <c r="AP26" s="130"/>
      <c r="AQ26" s="131"/>
      <c r="AR26" s="131"/>
      <c r="AS26" s="131"/>
      <c r="AT26" s="131"/>
      <c r="AU26" s="131"/>
      <c r="AV26" s="131"/>
      <c r="AW26" s="131"/>
      <c r="AX26" s="132" t="str">
        <f t="shared" si="3"/>
        <v>-</v>
      </c>
      <c r="AY26" s="132" t="str">
        <f t="shared" si="4"/>
        <v>-</v>
      </c>
      <c r="AZ26" s="133" t="str">
        <f t="shared" si="4"/>
        <v>-</v>
      </c>
      <c r="BA26" s="14"/>
      <c r="BB26" s="10"/>
      <c r="BC26" s="10"/>
      <c r="BD26" s="10"/>
      <c r="BE26" s="178" t="s">
        <v>118</v>
      </c>
      <c r="BF26" s="176"/>
      <c r="BG26" s="176"/>
      <c r="BH26" s="176"/>
      <c r="BI26" s="176"/>
      <c r="BJ26" s="176"/>
      <c r="BK26" s="177"/>
      <c r="BL26" s="142"/>
      <c r="BM26" s="126"/>
      <c r="BN26" s="126"/>
      <c r="BO26" s="126"/>
      <c r="BP26" s="126"/>
      <c r="BQ26" s="126"/>
      <c r="BR26" s="126"/>
      <c r="BS26" s="126"/>
      <c r="BT26" s="121" t="str">
        <f t="shared" si="10"/>
        <v>-</v>
      </c>
      <c r="BU26" s="121" t="str">
        <f t="shared" si="11"/>
        <v>-</v>
      </c>
      <c r="BV26" s="122" t="str">
        <f t="shared" si="11"/>
        <v>-</v>
      </c>
    </row>
    <row r="27" spans="2:104" ht="12.75" customHeight="1">
      <c r="B27" s="257" t="s">
        <v>27</v>
      </c>
      <c r="C27" s="258"/>
      <c r="D27" s="258"/>
      <c r="E27" s="258"/>
      <c r="F27" s="258"/>
      <c r="G27" s="245"/>
      <c r="H27" s="259"/>
      <c r="I27" s="191"/>
      <c r="J27" s="189"/>
      <c r="K27" s="189"/>
      <c r="L27" s="189"/>
      <c r="M27" s="189"/>
      <c r="N27" s="189"/>
      <c r="O27" s="189"/>
      <c r="P27" s="189"/>
      <c r="Q27" s="187"/>
      <c r="R27" s="187"/>
      <c r="S27" s="188"/>
      <c r="T27" s="191"/>
      <c r="U27" s="189"/>
      <c r="V27" s="189"/>
      <c r="W27" s="189"/>
      <c r="X27" s="189"/>
      <c r="Y27" s="189"/>
      <c r="Z27" s="189"/>
      <c r="AA27" s="189"/>
      <c r="AB27" s="187"/>
      <c r="AC27" s="187"/>
      <c r="AD27" s="188"/>
      <c r="AE27" s="191"/>
      <c r="AF27" s="189"/>
      <c r="AG27" s="189"/>
      <c r="AH27" s="189"/>
      <c r="AI27" s="189"/>
      <c r="AJ27" s="189"/>
      <c r="AK27" s="189"/>
      <c r="AL27" s="189"/>
      <c r="AM27" s="187"/>
      <c r="AN27" s="187"/>
      <c r="AO27" s="188"/>
      <c r="AP27" s="130"/>
      <c r="AQ27" s="131"/>
      <c r="AR27" s="131"/>
      <c r="AS27" s="131"/>
      <c r="AT27" s="131"/>
      <c r="AU27" s="131"/>
      <c r="AV27" s="131"/>
      <c r="AW27" s="131"/>
      <c r="AX27" s="132" t="str">
        <f t="shared" si="3"/>
        <v>-</v>
      </c>
      <c r="AY27" s="132" t="str">
        <f t="shared" si="4"/>
        <v>-</v>
      </c>
      <c r="AZ27" s="133" t="str">
        <f t="shared" si="4"/>
        <v>-</v>
      </c>
      <c r="BA27" s="14"/>
      <c r="BB27" s="10"/>
      <c r="BC27" s="10"/>
      <c r="BD27" s="10"/>
      <c r="BE27" s="31"/>
      <c r="BF27" s="176" t="s">
        <v>119</v>
      </c>
      <c r="BG27" s="176"/>
      <c r="BH27" s="176"/>
      <c r="BI27" s="176"/>
      <c r="BJ27" s="176"/>
      <c r="BK27" s="177"/>
      <c r="BL27" s="142"/>
      <c r="BM27" s="126"/>
      <c r="BN27" s="126"/>
      <c r="BO27" s="126"/>
      <c r="BP27" s="126"/>
      <c r="BQ27" s="126"/>
      <c r="BR27" s="126"/>
      <c r="BS27" s="126"/>
      <c r="BT27" s="121" t="str">
        <f t="shared" si="10"/>
        <v>-</v>
      </c>
      <c r="BU27" s="121" t="str">
        <f t="shared" si="11"/>
        <v>-</v>
      </c>
      <c r="BV27" s="122" t="str">
        <f t="shared" si="11"/>
        <v>-</v>
      </c>
    </row>
    <row r="28" spans="2:104" ht="12.75" customHeight="1">
      <c r="B28" s="257" t="s">
        <v>28</v>
      </c>
      <c r="C28" s="258"/>
      <c r="D28" s="258"/>
      <c r="E28" s="258"/>
      <c r="F28" s="258"/>
      <c r="G28" s="245"/>
      <c r="H28" s="259"/>
      <c r="I28" s="191"/>
      <c r="J28" s="189"/>
      <c r="K28" s="189"/>
      <c r="L28" s="189"/>
      <c r="M28" s="189"/>
      <c r="N28" s="189"/>
      <c r="O28" s="189"/>
      <c r="P28" s="189"/>
      <c r="Q28" s="187"/>
      <c r="R28" s="187"/>
      <c r="S28" s="188"/>
      <c r="T28" s="191"/>
      <c r="U28" s="189"/>
      <c r="V28" s="189"/>
      <c r="W28" s="189"/>
      <c r="X28" s="189"/>
      <c r="Y28" s="189"/>
      <c r="Z28" s="189"/>
      <c r="AA28" s="189"/>
      <c r="AB28" s="187"/>
      <c r="AC28" s="187"/>
      <c r="AD28" s="188"/>
      <c r="AE28" s="191"/>
      <c r="AF28" s="189"/>
      <c r="AG28" s="189"/>
      <c r="AH28" s="189"/>
      <c r="AI28" s="189"/>
      <c r="AJ28" s="189"/>
      <c r="AK28" s="189"/>
      <c r="AL28" s="189"/>
      <c r="AM28" s="187"/>
      <c r="AN28" s="187"/>
      <c r="AO28" s="188"/>
      <c r="AP28" s="130"/>
      <c r="AQ28" s="131"/>
      <c r="AR28" s="131"/>
      <c r="AS28" s="131"/>
      <c r="AT28" s="131"/>
      <c r="AU28" s="131"/>
      <c r="AV28" s="131"/>
      <c r="AW28" s="131"/>
      <c r="AX28" s="132" t="str">
        <f t="shared" si="3"/>
        <v>-</v>
      </c>
      <c r="AY28" s="132" t="str">
        <f t="shared" si="4"/>
        <v>-</v>
      </c>
      <c r="AZ28" s="133" t="str">
        <f t="shared" si="4"/>
        <v>-</v>
      </c>
      <c r="BA28" s="14"/>
      <c r="BB28" s="10"/>
      <c r="BE28" s="178" t="s">
        <v>300</v>
      </c>
      <c r="BF28" s="176"/>
      <c r="BG28" s="176"/>
      <c r="BH28" s="176"/>
      <c r="BI28" s="176"/>
      <c r="BJ28" s="176"/>
      <c r="BK28" s="177"/>
      <c r="BL28" s="142"/>
      <c r="BM28" s="126"/>
      <c r="BN28" s="126"/>
      <c r="BO28" s="126"/>
      <c r="BP28" s="126"/>
      <c r="BQ28" s="126"/>
      <c r="BR28" s="126"/>
      <c r="BS28" s="126"/>
      <c r="BT28" s="121" t="str">
        <f t="shared" si="10"/>
        <v>-</v>
      </c>
      <c r="BU28" s="121" t="str">
        <f t="shared" si="11"/>
        <v>-</v>
      </c>
      <c r="BV28" s="122" t="str">
        <f t="shared" si="11"/>
        <v>-</v>
      </c>
    </row>
    <row r="29" spans="2:104" ht="12.75" customHeight="1" thickBot="1">
      <c r="B29" s="257" t="s">
        <v>29</v>
      </c>
      <c r="C29" s="258"/>
      <c r="D29" s="258"/>
      <c r="E29" s="258"/>
      <c r="F29" s="258"/>
      <c r="G29" s="245"/>
      <c r="H29" s="259"/>
      <c r="I29" s="191"/>
      <c r="J29" s="189"/>
      <c r="K29" s="189"/>
      <c r="L29" s="189"/>
      <c r="M29" s="189"/>
      <c r="N29" s="189"/>
      <c r="O29" s="189"/>
      <c r="P29" s="189"/>
      <c r="Q29" s="187"/>
      <c r="R29" s="187"/>
      <c r="S29" s="188"/>
      <c r="T29" s="191"/>
      <c r="U29" s="189"/>
      <c r="V29" s="189"/>
      <c r="W29" s="189"/>
      <c r="X29" s="189"/>
      <c r="Y29" s="189"/>
      <c r="Z29" s="189"/>
      <c r="AA29" s="189"/>
      <c r="AB29" s="187"/>
      <c r="AC29" s="187"/>
      <c r="AD29" s="188"/>
      <c r="AE29" s="191"/>
      <c r="AF29" s="189"/>
      <c r="AG29" s="189"/>
      <c r="AH29" s="189"/>
      <c r="AI29" s="189"/>
      <c r="AJ29" s="189"/>
      <c r="AK29" s="189"/>
      <c r="AL29" s="189"/>
      <c r="AM29" s="187"/>
      <c r="AN29" s="187"/>
      <c r="AO29" s="188"/>
      <c r="AP29" s="130"/>
      <c r="AQ29" s="131"/>
      <c r="AR29" s="131"/>
      <c r="AS29" s="131"/>
      <c r="AT29" s="131"/>
      <c r="AU29" s="131"/>
      <c r="AV29" s="131"/>
      <c r="AW29" s="131"/>
      <c r="AX29" s="132" t="str">
        <f t="shared" si="3"/>
        <v>-</v>
      </c>
      <c r="AY29" s="132" t="str">
        <f t="shared" si="4"/>
        <v>-</v>
      </c>
      <c r="AZ29" s="133" t="str">
        <f t="shared" si="4"/>
        <v>-</v>
      </c>
      <c r="BA29" s="14"/>
      <c r="BB29" s="10"/>
      <c r="BE29" s="12"/>
      <c r="BF29" s="149" t="s">
        <v>119</v>
      </c>
      <c r="BG29" s="149"/>
      <c r="BH29" s="149"/>
      <c r="BI29" s="149"/>
      <c r="BJ29" s="149"/>
      <c r="BK29" s="150"/>
      <c r="BL29" s="159"/>
      <c r="BM29" s="160"/>
      <c r="BN29" s="160"/>
      <c r="BO29" s="160"/>
      <c r="BP29" s="160"/>
      <c r="BQ29" s="160"/>
      <c r="BR29" s="160"/>
      <c r="BS29" s="160"/>
      <c r="BT29" s="161" t="str">
        <f t="shared" si="10"/>
        <v>-</v>
      </c>
      <c r="BU29" s="161" t="str">
        <f t="shared" si="11"/>
        <v>-</v>
      </c>
      <c r="BV29" s="162" t="str">
        <f t="shared" si="11"/>
        <v>-</v>
      </c>
    </row>
    <row r="30" spans="2:104" ht="12.75" customHeight="1">
      <c r="B30" s="257" t="s">
        <v>30</v>
      </c>
      <c r="C30" s="258"/>
      <c r="D30" s="258"/>
      <c r="E30" s="258"/>
      <c r="F30" s="258"/>
      <c r="G30" s="245"/>
      <c r="H30" s="259"/>
      <c r="I30" s="191"/>
      <c r="J30" s="189"/>
      <c r="K30" s="189"/>
      <c r="L30" s="189"/>
      <c r="M30" s="189"/>
      <c r="N30" s="189"/>
      <c r="O30" s="189"/>
      <c r="P30" s="189"/>
      <c r="Q30" s="187"/>
      <c r="R30" s="187"/>
      <c r="S30" s="188"/>
      <c r="T30" s="191"/>
      <c r="U30" s="189"/>
      <c r="V30" s="189"/>
      <c r="W30" s="189"/>
      <c r="X30" s="189"/>
      <c r="Y30" s="189"/>
      <c r="Z30" s="189"/>
      <c r="AA30" s="189"/>
      <c r="AB30" s="187"/>
      <c r="AC30" s="187"/>
      <c r="AD30" s="188"/>
      <c r="AE30" s="191"/>
      <c r="AF30" s="189"/>
      <c r="AG30" s="189"/>
      <c r="AH30" s="189"/>
      <c r="AI30" s="189"/>
      <c r="AJ30" s="189"/>
      <c r="AK30" s="189"/>
      <c r="AL30" s="189"/>
      <c r="AM30" s="187"/>
      <c r="AN30" s="187"/>
      <c r="AO30" s="188"/>
      <c r="AP30" s="130"/>
      <c r="AQ30" s="131"/>
      <c r="AR30" s="131"/>
      <c r="AS30" s="131"/>
      <c r="AT30" s="131"/>
      <c r="AU30" s="131"/>
      <c r="AV30" s="131"/>
      <c r="AW30" s="131"/>
      <c r="AX30" s="132" t="str">
        <f t="shared" si="3"/>
        <v>-</v>
      </c>
      <c r="AY30" s="132" t="str">
        <f t="shared" si="4"/>
        <v>-</v>
      </c>
      <c r="AZ30" s="133" t="str">
        <f t="shared" si="4"/>
        <v>-</v>
      </c>
      <c r="BA30" s="14"/>
      <c r="BB30" s="10"/>
    </row>
    <row r="31" spans="2:104" ht="12.75" customHeight="1">
      <c r="B31" s="100" t="s">
        <v>31</v>
      </c>
      <c r="C31" s="101"/>
      <c r="D31" s="101"/>
      <c r="E31" s="101"/>
      <c r="F31" s="101"/>
      <c r="G31" s="101"/>
      <c r="H31" s="102"/>
      <c r="I31" s="191"/>
      <c r="J31" s="189"/>
      <c r="K31" s="189"/>
      <c r="L31" s="189"/>
      <c r="M31" s="189"/>
      <c r="N31" s="189"/>
      <c r="O31" s="189"/>
      <c r="P31" s="189"/>
      <c r="Q31" s="187"/>
      <c r="R31" s="187"/>
      <c r="S31" s="188"/>
      <c r="T31" s="191"/>
      <c r="U31" s="189"/>
      <c r="V31" s="189"/>
      <c r="W31" s="189"/>
      <c r="X31" s="189"/>
      <c r="Y31" s="189"/>
      <c r="Z31" s="189"/>
      <c r="AA31" s="189"/>
      <c r="AB31" s="187"/>
      <c r="AC31" s="187"/>
      <c r="AD31" s="188"/>
      <c r="AE31" s="191"/>
      <c r="AF31" s="189"/>
      <c r="AG31" s="189"/>
      <c r="AH31" s="189"/>
      <c r="AI31" s="189"/>
      <c r="AJ31" s="189"/>
      <c r="AK31" s="189"/>
      <c r="AL31" s="189"/>
      <c r="AM31" s="187"/>
      <c r="AN31" s="187"/>
      <c r="AO31" s="188"/>
      <c r="AP31" s="130"/>
      <c r="AQ31" s="131"/>
      <c r="AR31" s="131"/>
      <c r="AS31" s="131"/>
      <c r="AT31" s="131"/>
      <c r="AU31" s="131"/>
      <c r="AV31" s="131"/>
      <c r="AW31" s="131"/>
      <c r="AX31" s="132" t="str">
        <f t="shared" si="3"/>
        <v>-</v>
      </c>
      <c r="AY31" s="132" t="str">
        <f t="shared" si="4"/>
        <v>-</v>
      </c>
      <c r="AZ31" s="133" t="str">
        <f t="shared" si="4"/>
        <v>-</v>
      </c>
      <c r="BA31" s="14"/>
      <c r="BB31" s="10"/>
    </row>
    <row r="32" spans="2:104" ht="12.75" customHeight="1">
      <c r="B32" s="257" t="s">
        <v>32</v>
      </c>
      <c r="C32" s="258"/>
      <c r="D32" s="258"/>
      <c r="E32" s="258"/>
      <c r="F32" s="258"/>
      <c r="G32" s="245"/>
      <c r="H32" s="259"/>
      <c r="I32" s="191"/>
      <c r="J32" s="189"/>
      <c r="K32" s="189"/>
      <c r="L32" s="189"/>
      <c r="M32" s="189"/>
      <c r="N32" s="189"/>
      <c r="O32" s="189"/>
      <c r="P32" s="189"/>
      <c r="Q32" s="187"/>
      <c r="R32" s="187"/>
      <c r="S32" s="188"/>
      <c r="T32" s="191"/>
      <c r="U32" s="189"/>
      <c r="V32" s="189"/>
      <c r="W32" s="189"/>
      <c r="X32" s="189"/>
      <c r="Y32" s="189"/>
      <c r="Z32" s="189"/>
      <c r="AA32" s="189"/>
      <c r="AB32" s="187"/>
      <c r="AC32" s="187"/>
      <c r="AD32" s="188"/>
      <c r="AE32" s="191"/>
      <c r="AF32" s="189"/>
      <c r="AG32" s="189"/>
      <c r="AH32" s="189"/>
      <c r="AI32" s="189"/>
      <c r="AJ32" s="189"/>
      <c r="AK32" s="189"/>
      <c r="AL32" s="189"/>
      <c r="AM32" s="187"/>
      <c r="AN32" s="187"/>
      <c r="AO32" s="188"/>
      <c r="AP32" s="130"/>
      <c r="AQ32" s="131"/>
      <c r="AR32" s="131"/>
      <c r="AS32" s="131"/>
      <c r="AT32" s="131"/>
      <c r="AU32" s="131"/>
      <c r="AV32" s="131"/>
      <c r="AW32" s="131"/>
      <c r="AX32" s="132" t="str">
        <f t="shared" si="3"/>
        <v>-</v>
      </c>
      <c r="AY32" s="132" t="str">
        <f t="shared" si="4"/>
        <v>-</v>
      </c>
      <c r="AZ32" s="133" t="str">
        <f t="shared" si="4"/>
        <v>-</v>
      </c>
      <c r="BA32" s="14"/>
      <c r="BB32" s="10"/>
    </row>
    <row r="33" spans="2:85" ht="12.75" customHeight="1" thickBot="1">
      <c r="B33" s="257" t="s">
        <v>33</v>
      </c>
      <c r="C33" s="258"/>
      <c r="D33" s="258"/>
      <c r="E33" s="258"/>
      <c r="F33" s="258"/>
      <c r="G33" s="245"/>
      <c r="H33" s="259"/>
      <c r="I33" s="191"/>
      <c r="J33" s="189"/>
      <c r="K33" s="189"/>
      <c r="L33" s="189"/>
      <c r="M33" s="189"/>
      <c r="N33" s="189"/>
      <c r="O33" s="189"/>
      <c r="P33" s="189"/>
      <c r="Q33" s="187"/>
      <c r="R33" s="187"/>
      <c r="S33" s="188"/>
      <c r="T33" s="191"/>
      <c r="U33" s="189"/>
      <c r="V33" s="189"/>
      <c r="W33" s="189"/>
      <c r="X33" s="189"/>
      <c r="Y33" s="189"/>
      <c r="Z33" s="189"/>
      <c r="AA33" s="189"/>
      <c r="AB33" s="187"/>
      <c r="AC33" s="187"/>
      <c r="AD33" s="188"/>
      <c r="AE33" s="191"/>
      <c r="AF33" s="189"/>
      <c r="AG33" s="189"/>
      <c r="AH33" s="189"/>
      <c r="AI33" s="189"/>
      <c r="AJ33" s="189"/>
      <c r="AK33" s="189"/>
      <c r="AL33" s="189"/>
      <c r="AM33" s="187"/>
      <c r="AN33" s="187"/>
      <c r="AO33" s="188"/>
      <c r="AP33" s="130"/>
      <c r="AQ33" s="131"/>
      <c r="AR33" s="131"/>
      <c r="AS33" s="131"/>
      <c r="AT33" s="131"/>
      <c r="AU33" s="131"/>
      <c r="AV33" s="131"/>
      <c r="AW33" s="131"/>
      <c r="AX33" s="132" t="str">
        <f t="shared" si="3"/>
        <v>-</v>
      </c>
      <c r="AY33" s="132" t="str">
        <f t="shared" si="4"/>
        <v>-</v>
      </c>
      <c r="AZ33" s="133" t="str">
        <f t="shared" si="4"/>
        <v>-</v>
      </c>
      <c r="BA33" s="14"/>
      <c r="BB33" s="10"/>
      <c r="BE33" s="3" t="s">
        <v>205</v>
      </c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0"/>
      <c r="BR33" s="3"/>
      <c r="BS33" s="3"/>
      <c r="BT33" s="3"/>
      <c r="BU33" s="3"/>
      <c r="BV33" s="11" t="s">
        <v>4</v>
      </c>
    </row>
    <row r="34" spans="2:85" ht="12.75" customHeight="1" thickBot="1">
      <c r="B34" s="249" t="s">
        <v>34</v>
      </c>
      <c r="C34" s="250"/>
      <c r="D34" s="250"/>
      <c r="E34" s="250"/>
      <c r="F34" s="250"/>
      <c r="G34" s="251"/>
      <c r="H34" s="251"/>
      <c r="I34" s="232"/>
      <c r="J34" s="190"/>
      <c r="K34" s="190"/>
      <c r="L34" s="190"/>
      <c r="M34" s="190"/>
      <c r="N34" s="190"/>
      <c r="O34" s="190"/>
      <c r="P34" s="190"/>
      <c r="Q34" s="219"/>
      <c r="R34" s="219"/>
      <c r="S34" s="220"/>
      <c r="T34" s="232"/>
      <c r="U34" s="190"/>
      <c r="V34" s="190"/>
      <c r="W34" s="190"/>
      <c r="X34" s="190"/>
      <c r="Y34" s="190"/>
      <c r="Z34" s="190"/>
      <c r="AA34" s="190"/>
      <c r="AB34" s="219"/>
      <c r="AC34" s="219"/>
      <c r="AD34" s="220"/>
      <c r="AE34" s="232"/>
      <c r="AF34" s="190"/>
      <c r="AG34" s="190"/>
      <c r="AH34" s="190"/>
      <c r="AI34" s="190"/>
      <c r="AJ34" s="190"/>
      <c r="AK34" s="190"/>
      <c r="AL34" s="190"/>
      <c r="AM34" s="219"/>
      <c r="AN34" s="219"/>
      <c r="AO34" s="220"/>
      <c r="AP34" s="198"/>
      <c r="AQ34" s="199"/>
      <c r="AR34" s="199"/>
      <c r="AS34" s="199"/>
      <c r="AT34" s="199"/>
      <c r="AU34" s="199"/>
      <c r="AV34" s="199"/>
      <c r="AW34" s="199"/>
      <c r="AX34" s="205" t="str">
        <f t="shared" si="3"/>
        <v>-</v>
      </c>
      <c r="AY34" s="205" t="str">
        <f t="shared" si="4"/>
        <v>-</v>
      </c>
      <c r="AZ34" s="206" t="str">
        <f t="shared" si="4"/>
        <v>-</v>
      </c>
      <c r="BA34" s="14"/>
      <c r="BB34" s="10"/>
      <c r="BE34" s="224"/>
      <c r="BF34" s="225"/>
      <c r="BG34" s="225"/>
      <c r="BH34" s="225"/>
      <c r="BI34" s="225"/>
      <c r="BJ34" s="225"/>
      <c r="BK34" s="226"/>
      <c r="BL34" s="146">
        <f>IF($B$1&lt;&gt;"",$B$1,"")</f>
        <v>0</v>
      </c>
      <c r="BM34" s="128"/>
      <c r="BN34" s="128"/>
      <c r="BO34" s="128"/>
      <c r="BP34" s="181">
        <f>IF($B$1&lt;&gt;"",$B$1-1,"")</f>
        <v>-1</v>
      </c>
      <c r="BQ34" s="182"/>
      <c r="BR34" s="182"/>
      <c r="BS34" s="183"/>
      <c r="BT34" s="184" t="s">
        <v>204</v>
      </c>
      <c r="BU34" s="185"/>
      <c r="BV34" s="186"/>
    </row>
    <row r="35" spans="2:85" ht="12.75" customHeight="1">
      <c r="B35" s="29"/>
      <c r="C35" s="29"/>
      <c r="D35" s="29"/>
      <c r="E35" s="29"/>
      <c r="F35" s="29"/>
      <c r="G35" s="29"/>
      <c r="H35" s="29"/>
      <c r="I35" s="28"/>
      <c r="J35" s="10"/>
      <c r="K35" s="10"/>
      <c r="L35" s="10"/>
      <c r="M35" s="28"/>
      <c r="N35" s="10"/>
      <c r="O35" s="10"/>
      <c r="P35" s="10"/>
      <c r="Q35" s="10"/>
      <c r="R35" s="10"/>
      <c r="S35" s="10"/>
      <c r="T35" s="28"/>
      <c r="U35" s="10"/>
      <c r="V35" s="10"/>
      <c r="W35" s="10"/>
      <c r="X35" s="28"/>
      <c r="Y35" s="10"/>
      <c r="Z35" s="10"/>
      <c r="AA35" s="10"/>
      <c r="AB35" s="10"/>
      <c r="AC35" s="10"/>
      <c r="AD35" s="10"/>
      <c r="AE35" s="28"/>
      <c r="AF35" s="10"/>
      <c r="AG35" s="10"/>
      <c r="AH35" s="10"/>
      <c r="AI35" s="28"/>
      <c r="AJ35" s="10"/>
      <c r="AK35" s="10"/>
      <c r="AL35" s="10"/>
      <c r="AM35" s="10"/>
      <c r="AN35" s="10"/>
      <c r="AO35" s="10"/>
      <c r="AP35" s="28"/>
      <c r="AQ35" s="10"/>
      <c r="AR35" s="10"/>
      <c r="AS35" s="10"/>
      <c r="AT35" s="28"/>
      <c r="AU35" s="10"/>
      <c r="AV35" s="10"/>
      <c r="AW35" s="10"/>
      <c r="AX35" s="10"/>
      <c r="AY35" s="68"/>
      <c r="AZ35" s="68"/>
      <c r="BA35" s="68"/>
      <c r="BB35" s="68"/>
      <c r="BE35" s="221" t="s">
        <v>78</v>
      </c>
      <c r="BF35" s="222"/>
      <c r="BG35" s="222"/>
      <c r="BH35" s="222"/>
      <c r="BI35" s="222"/>
      <c r="BJ35" s="222"/>
      <c r="BK35" s="223"/>
      <c r="BL35" s="142"/>
      <c r="BM35" s="126"/>
      <c r="BN35" s="126"/>
      <c r="BO35" s="126"/>
      <c r="BP35" s="126"/>
      <c r="BQ35" s="126"/>
      <c r="BR35" s="126"/>
      <c r="BS35" s="126"/>
      <c r="BT35" s="121" t="str">
        <f t="shared" ref="BT35:BT41" si="12">IF(BL35="-", "-", IF(BP35="-", "-", IF(ABS(BP35)=0, "-", ROUND(100*(BL35-BP35)/ABS(BP35), 10))))</f>
        <v>-</v>
      </c>
      <c r="BU35" s="121" t="str">
        <f t="shared" ref="BU35:BV41" si="13">IF(BQ35="-", "-", IF(BS35="-", "-", IF(ABS(BS35)=0, "-", ROUND(100*(BQ35-BS35)/ABS(BS35), 1))))</f>
        <v>-</v>
      </c>
      <c r="BV35" s="122" t="str">
        <f t="shared" si="13"/>
        <v>-</v>
      </c>
    </row>
    <row r="36" spans="2:85" ht="12.75" customHeight="1">
      <c r="B36" s="29"/>
      <c r="C36" s="29"/>
      <c r="D36" s="29"/>
      <c r="E36" s="29"/>
      <c r="F36" s="29"/>
      <c r="G36" s="29"/>
      <c r="H36" s="29"/>
      <c r="I36" s="28"/>
      <c r="J36" s="10"/>
      <c r="K36" s="10"/>
      <c r="L36" s="10"/>
      <c r="M36" s="28"/>
      <c r="N36" s="10"/>
      <c r="O36" s="10"/>
      <c r="P36" s="10"/>
      <c r="Q36" s="10"/>
      <c r="R36" s="10"/>
      <c r="S36" s="10"/>
      <c r="T36" s="28"/>
      <c r="U36" s="10"/>
      <c r="V36" s="10"/>
      <c r="W36" s="10"/>
      <c r="X36" s="28"/>
      <c r="Y36" s="10"/>
      <c r="Z36" s="10"/>
      <c r="AA36" s="10"/>
      <c r="AB36" s="10"/>
      <c r="AC36" s="10"/>
      <c r="AD36" s="10"/>
      <c r="AG36" s="207"/>
      <c r="AH36" s="207"/>
      <c r="BE36" s="178" t="s">
        <v>116</v>
      </c>
      <c r="BF36" s="179"/>
      <c r="BG36" s="179"/>
      <c r="BH36" s="179"/>
      <c r="BI36" s="179"/>
      <c r="BJ36" s="179"/>
      <c r="BK36" s="180"/>
      <c r="BL36" s="142"/>
      <c r="BM36" s="126"/>
      <c r="BN36" s="126"/>
      <c r="BO36" s="126"/>
      <c r="BP36" s="126"/>
      <c r="BQ36" s="126"/>
      <c r="BR36" s="126"/>
      <c r="BS36" s="126"/>
      <c r="BT36" s="121" t="str">
        <f t="shared" si="12"/>
        <v>-</v>
      </c>
      <c r="BU36" s="121" t="str">
        <f t="shared" si="13"/>
        <v>-</v>
      </c>
      <c r="BV36" s="122" t="str">
        <f t="shared" si="13"/>
        <v>-</v>
      </c>
    </row>
    <row r="37" spans="2:85" ht="12.75" customHeight="1" thickBot="1">
      <c r="B37" s="2" t="s">
        <v>309</v>
      </c>
      <c r="AD37" s="1" t="s">
        <v>4</v>
      </c>
      <c r="BE37" s="178" t="s">
        <v>117</v>
      </c>
      <c r="BF37" s="179"/>
      <c r="BG37" s="179"/>
      <c r="BH37" s="179"/>
      <c r="BI37" s="179"/>
      <c r="BJ37" s="179"/>
      <c r="BK37" s="180"/>
      <c r="BL37" s="142"/>
      <c r="BM37" s="126"/>
      <c r="BN37" s="126"/>
      <c r="BO37" s="126"/>
      <c r="BP37" s="126"/>
      <c r="BQ37" s="126"/>
      <c r="BR37" s="126"/>
      <c r="BS37" s="126"/>
      <c r="BT37" s="121" t="str">
        <f t="shared" si="12"/>
        <v>-</v>
      </c>
      <c r="BU37" s="121" t="str">
        <f t="shared" si="13"/>
        <v>-</v>
      </c>
      <c r="BV37" s="122" t="str">
        <f t="shared" si="13"/>
        <v>-</v>
      </c>
    </row>
    <row r="38" spans="2:85" ht="12.75" customHeight="1">
      <c r="B38" s="153"/>
      <c r="C38" s="154"/>
      <c r="D38" s="154"/>
      <c r="E38" s="154"/>
      <c r="F38" s="154"/>
      <c r="G38" s="154"/>
      <c r="H38" s="154"/>
      <c r="I38" s="134" t="s">
        <v>65</v>
      </c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4" t="s">
        <v>66</v>
      </c>
      <c r="U38" s="135"/>
      <c r="V38" s="135"/>
      <c r="W38" s="135"/>
      <c r="X38" s="135"/>
      <c r="Y38" s="135"/>
      <c r="Z38" s="135"/>
      <c r="AA38" s="135"/>
      <c r="AB38" s="135"/>
      <c r="AC38" s="135"/>
      <c r="AD38" s="136"/>
      <c r="BE38" s="178" t="s">
        <v>118</v>
      </c>
      <c r="BF38" s="176"/>
      <c r="BG38" s="176"/>
      <c r="BH38" s="176"/>
      <c r="BI38" s="176"/>
      <c r="BJ38" s="176"/>
      <c r="BK38" s="177"/>
      <c r="BL38" s="142"/>
      <c r="BM38" s="126"/>
      <c r="BN38" s="126"/>
      <c r="BO38" s="126"/>
      <c r="BP38" s="126"/>
      <c r="BQ38" s="126"/>
      <c r="BR38" s="126"/>
      <c r="BS38" s="126"/>
      <c r="BT38" s="121" t="str">
        <f t="shared" si="12"/>
        <v>-</v>
      </c>
      <c r="BU38" s="121" t="str">
        <f t="shared" si="13"/>
        <v>-</v>
      </c>
      <c r="BV38" s="122" t="str">
        <f t="shared" si="13"/>
        <v>-</v>
      </c>
    </row>
    <row r="39" spans="2:85" ht="12.75" customHeight="1" thickBot="1">
      <c r="B39" s="156"/>
      <c r="C39" s="157"/>
      <c r="D39" s="157"/>
      <c r="E39" s="157"/>
      <c r="F39" s="157"/>
      <c r="G39" s="157"/>
      <c r="H39" s="157"/>
      <c r="I39" s="146">
        <f>IF($B$1&lt;&gt;"",$B$1,"")</f>
        <v>0</v>
      </c>
      <c r="J39" s="128"/>
      <c r="K39" s="128"/>
      <c r="L39" s="128"/>
      <c r="M39" s="127">
        <f>IF($B$1&lt;&gt;"",$B$1-1,"")</f>
        <v>-1</v>
      </c>
      <c r="N39" s="128"/>
      <c r="O39" s="128"/>
      <c r="P39" s="129"/>
      <c r="Q39" s="123" t="s">
        <v>204</v>
      </c>
      <c r="R39" s="124"/>
      <c r="S39" s="125"/>
      <c r="T39" s="146">
        <f>IF($B$1&lt;&gt;"",$B$1,"")</f>
        <v>0</v>
      </c>
      <c r="U39" s="128"/>
      <c r="V39" s="128"/>
      <c r="W39" s="128"/>
      <c r="X39" s="127">
        <f>IF($B$1&lt;&gt;"",$B$1-1,"")</f>
        <v>-1</v>
      </c>
      <c r="Y39" s="128"/>
      <c r="Z39" s="128"/>
      <c r="AA39" s="129"/>
      <c r="AB39" s="123" t="s">
        <v>204</v>
      </c>
      <c r="AC39" s="124"/>
      <c r="AD39" s="125"/>
      <c r="BE39" s="31"/>
      <c r="BF39" s="176" t="s">
        <v>119</v>
      </c>
      <c r="BG39" s="176"/>
      <c r="BH39" s="176"/>
      <c r="BI39" s="176"/>
      <c r="BJ39" s="176"/>
      <c r="BK39" s="177"/>
      <c r="BL39" s="142"/>
      <c r="BM39" s="126"/>
      <c r="BN39" s="126"/>
      <c r="BO39" s="126"/>
      <c r="BP39" s="126"/>
      <c r="BQ39" s="126"/>
      <c r="BR39" s="126"/>
      <c r="BS39" s="126"/>
      <c r="BT39" s="121" t="str">
        <f t="shared" si="12"/>
        <v>-</v>
      </c>
      <c r="BU39" s="121" t="str">
        <f t="shared" si="13"/>
        <v>-</v>
      </c>
      <c r="BV39" s="122" t="str">
        <f t="shared" si="13"/>
        <v>-</v>
      </c>
    </row>
    <row r="40" spans="2:85" ht="12.75" customHeight="1">
      <c r="B40" s="267" t="s">
        <v>65</v>
      </c>
      <c r="C40" s="268"/>
      <c r="D40" s="268"/>
      <c r="E40" s="268"/>
      <c r="F40" s="268"/>
      <c r="G40" s="268"/>
      <c r="H40" s="269"/>
      <c r="I40" s="130"/>
      <c r="J40" s="131"/>
      <c r="K40" s="131"/>
      <c r="L40" s="131"/>
      <c r="M40" s="131"/>
      <c r="N40" s="131"/>
      <c r="O40" s="131"/>
      <c r="P40" s="131"/>
      <c r="Q40" s="132" t="str">
        <f t="shared" ref="Q40:Q49" si="14">IF(I40="-", "-", IF(M40="-", "-", IF(ABS(M40)=0, "-", ROUND(100*(I40-M40)/ABS(M40), 10))))</f>
        <v>-</v>
      </c>
      <c r="R40" s="132" t="str">
        <f t="shared" ref="R40:S49" si="15">IF(N40="-", "-", IF(P40="-", "-", IF(ABS(P40)=0, "-", ROUND(100*(N40-P40)/ABS(P40), 1))))</f>
        <v>-</v>
      </c>
      <c r="S40" s="133" t="str">
        <f t="shared" si="15"/>
        <v>-</v>
      </c>
      <c r="T40" s="130"/>
      <c r="U40" s="131"/>
      <c r="V40" s="131"/>
      <c r="W40" s="131"/>
      <c r="X40" s="131"/>
      <c r="Y40" s="131"/>
      <c r="Z40" s="131"/>
      <c r="AA40" s="131"/>
      <c r="AB40" s="132" t="str">
        <f>IF(T40="-", "-", IF(X40="-", "-", IF(ABS(X40)=0, "-", ROUND(100*(T40-X40)/ABS(X40), 10))))</f>
        <v>-</v>
      </c>
      <c r="AC40" s="132" t="str">
        <f t="shared" ref="AC40:AD42" si="16">IF(Y40="-", "-", IF(AA40="-", "-", IF(ABS(AA40)=0, "-", ROUND(100*(Y40-AA40)/ABS(AA40), 1))))</f>
        <v>-</v>
      </c>
      <c r="AD40" s="133" t="str">
        <f t="shared" si="16"/>
        <v>-</v>
      </c>
      <c r="BE40" s="178" t="s">
        <v>300</v>
      </c>
      <c r="BF40" s="176"/>
      <c r="BG40" s="176"/>
      <c r="BH40" s="176"/>
      <c r="BI40" s="176"/>
      <c r="BJ40" s="176"/>
      <c r="BK40" s="177"/>
      <c r="BL40" s="142"/>
      <c r="BM40" s="126"/>
      <c r="BN40" s="126"/>
      <c r="BO40" s="126"/>
      <c r="BP40" s="126"/>
      <c r="BQ40" s="126"/>
      <c r="BR40" s="126"/>
      <c r="BS40" s="126"/>
      <c r="BT40" s="121" t="str">
        <f t="shared" si="12"/>
        <v>-</v>
      </c>
      <c r="BU40" s="121" t="str">
        <f t="shared" si="13"/>
        <v>-</v>
      </c>
      <c r="BV40" s="122" t="str">
        <f t="shared" si="13"/>
        <v>-</v>
      </c>
    </row>
    <row r="41" spans="2:85" ht="12.75" customHeight="1" thickBot="1">
      <c r="B41" s="42"/>
      <c r="C41" s="245" t="s">
        <v>69</v>
      </c>
      <c r="D41" s="176"/>
      <c r="E41" s="176"/>
      <c r="F41" s="176"/>
      <c r="G41" s="176"/>
      <c r="H41" s="176"/>
      <c r="I41" s="142"/>
      <c r="J41" s="126"/>
      <c r="K41" s="126"/>
      <c r="L41" s="126"/>
      <c r="M41" s="126"/>
      <c r="N41" s="126"/>
      <c r="O41" s="126"/>
      <c r="P41" s="126"/>
      <c r="Q41" s="121" t="str">
        <f t="shared" si="14"/>
        <v>-</v>
      </c>
      <c r="R41" s="121" t="str">
        <f t="shared" si="15"/>
        <v>-</v>
      </c>
      <c r="S41" s="122" t="str">
        <f t="shared" si="15"/>
        <v>-</v>
      </c>
      <c r="T41" s="142"/>
      <c r="U41" s="126"/>
      <c r="V41" s="126"/>
      <c r="W41" s="126"/>
      <c r="X41" s="126"/>
      <c r="Y41" s="126"/>
      <c r="Z41" s="126"/>
      <c r="AA41" s="126"/>
      <c r="AB41" s="121" t="str">
        <f>IF(T41="-", "-", IF(X41="-", "-", IF(ABS(X41)=0, "-", ROUND(100*(T41-X41)/ABS(X41), 10))))</f>
        <v>-</v>
      </c>
      <c r="AC41" s="121" t="str">
        <f t="shared" si="16"/>
        <v>-</v>
      </c>
      <c r="AD41" s="122" t="str">
        <f t="shared" si="16"/>
        <v>-</v>
      </c>
      <c r="BE41" s="12"/>
      <c r="BF41" s="149" t="s">
        <v>119</v>
      </c>
      <c r="BG41" s="149"/>
      <c r="BH41" s="149"/>
      <c r="BI41" s="149"/>
      <c r="BJ41" s="149"/>
      <c r="BK41" s="150"/>
      <c r="BL41" s="159"/>
      <c r="BM41" s="160"/>
      <c r="BN41" s="160"/>
      <c r="BO41" s="160"/>
      <c r="BP41" s="160"/>
      <c r="BQ41" s="160"/>
      <c r="BR41" s="160"/>
      <c r="BS41" s="160"/>
      <c r="BT41" s="161" t="str">
        <f t="shared" si="12"/>
        <v>-</v>
      </c>
      <c r="BU41" s="161" t="str">
        <f t="shared" si="13"/>
        <v>-</v>
      </c>
      <c r="BV41" s="162" t="str">
        <f t="shared" si="13"/>
        <v>-</v>
      </c>
    </row>
    <row r="42" spans="2:85" ht="12.75" customHeight="1">
      <c r="B42" s="43"/>
      <c r="C42" s="245" t="s">
        <v>70</v>
      </c>
      <c r="D42" s="176"/>
      <c r="E42" s="176"/>
      <c r="F42" s="176"/>
      <c r="G42" s="176"/>
      <c r="H42" s="176"/>
      <c r="I42" s="142"/>
      <c r="J42" s="126"/>
      <c r="K42" s="126"/>
      <c r="L42" s="126"/>
      <c r="M42" s="126"/>
      <c r="N42" s="126"/>
      <c r="O42" s="126"/>
      <c r="P42" s="126"/>
      <c r="Q42" s="121" t="str">
        <f t="shared" si="14"/>
        <v>-</v>
      </c>
      <c r="R42" s="121" t="str">
        <f t="shared" si="15"/>
        <v>-</v>
      </c>
      <c r="S42" s="122" t="str">
        <f t="shared" si="15"/>
        <v>-</v>
      </c>
      <c r="T42" s="142"/>
      <c r="U42" s="126"/>
      <c r="V42" s="126"/>
      <c r="W42" s="126"/>
      <c r="X42" s="126"/>
      <c r="Y42" s="126"/>
      <c r="Z42" s="126"/>
      <c r="AA42" s="126"/>
      <c r="AB42" s="121" t="str">
        <f>IF(T42="-", "-", IF(X42="-", "-", IF(ABS(X42)=0, "-", ROUND(100*(T42-X42)/ABS(X42), 10))))</f>
        <v>-</v>
      </c>
      <c r="AC42" s="121" t="str">
        <f t="shared" si="16"/>
        <v>-</v>
      </c>
      <c r="AD42" s="122" t="str">
        <f t="shared" si="16"/>
        <v>-</v>
      </c>
    </row>
    <row r="43" spans="2:85" ht="12.75" customHeight="1">
      <c r="B43" s="253" t="s">
        <v>68</v>
      </c>
      <c r="C43" s="245" t="s">
        <v>71</v>
      </c>
      <c r="D43" s="176"/>
      <c r="E43" s="176"/>
      <c r="F43" s="176"/>
      <c r="G43" s="176"/>
      <c r="H43" s="176"/>
      <c r="I43" s="142"/>
      <c r="J43" s="126"/>
      <c r="K43" s="126"/>
      <c r="L43" s="126"/>
      <c r="M43" s="126"/>
      <c r="N43" s="126"/>
      <c r="O43" s="126"/>
      <c r="P43" s="126"/>
      <c r="Q43" s="121" t="str">
        <f t="shared" si="14"/>
        <v>-</v>
      </c>
      <c r="R43" s="121" t="str">
        <f t="shared" si="15"/>
        <v>-</v>
      </c>
      <c r="S43" s="122" t="str">
        <f t="shared" si="15"/>
        <v>-</v>
      </c>
      <c r="T43" s="140"/>
      <c r="U43" s="141"/>
      <c r="V43" s="141"/>
      <c r="W43" s="141"/>
      <c r="X43" s="141"/>
      <c r="Y43" s="141"/>
      <c r="Z43" s="141"/>
      <c r="AA43" s="141"/>
      <c r="AB43" s="187"/>
      <c r="AC43" s="187"/>
      <c r="AD43" s="188"/>
    </row>
    <row r="44" spans="2:85" ht="12.75" customHeight="1">
      <c r="B44" s="254"/>
      <c r="C44" s="245" t="s">
        <v>72</v>
      </c>
      <c r="D44" s="176"/>
      <c r="E44" s="176"/>
      <c r="F44" s="176"/>
      <c r="G44" s="176"/>
      <c r="H44" s="176"/>
      <c r="I44" s="142"/>
      <c r="J44" s="126"/>
      <c r="K44" s="126"/>
      <c r="L44" s="126"/>
      <c r="M44" s="126"/>
      <c r="N44" s="126"/>
      <c r="O44" s="126"/>
      <c r="P44" s="126"/>
      <c r="Q44" s="121" t="str">
        <f t="shared" si="14"/>
        <v>-</v>
      </c>
      <c r="R44" s="121" t="str">
        <f t="shared" si="15"/>
        <v>-</v>
      </c>
      <c r="S44" s="122" t="str">
        <f t="shared" si="15"/>
        <v>-</v>
      </c>
      <c r="T44" s="140"/>
      <c r="U44" s="141"/>
      <c r="V44" s="141"/>
      <c r="W44" s="141"/>
      <c r="X44" s="141"/>
      <c r="Y44" s="141"/>
      <c r="Z44" s="141"/>
      <c r="AA44" s="141"/>
      <c r="AB44" s="187"/>
      <c r="AC44" s="187"/>
      <c r="AD44" s="188"/>
    </row>
    <row r="45" spans="2:85" ht="12.75" customHeight="1">
      <c r="B45" s="254"/>
      <c r="C45" s="256" t="s">
        <v>73</v>
      </c>
      <c r="D45" s="179"/>
      <c r="E45" s="179"/>
      <c r="F45" s="179"/>
      <c r="G45" s="179"/>
      <c r="H45" s="179"/>
      <c r="I45" s="142"/>
      <c r="J45" s="126"/>
      <c r="K45" s="126"/>
      <c r="L45" s="126"/>
      <c r="M45" s="126"/>
      <c r="N45" s="126"/>
      <c r="O45" s="126"/>
      <c r="P45" s="126"/>
      <c r="Q45" s="121" t="str">
        <f t="shared" si="14"/>
        <v>-</v>
      </c>
      <c r="R45" s="121" t="str">
        <f t="shared" si="15"/>
        <v>-</v>
      </c>
      <c r="S45" s="122" t="str">
        <f t="shared" si="15"/>
        <v>-</v>
      </c>
      <c r="T45" s="140"/>
      <c r="U45" s="141"/>
      <c r="V45" s="141"/>
      <c r="W45" s="141"/>
      <c r="X45" s="141"/>
      <c r="Y45" s="141"/>
      <c r="Z45" s="141"/>
      <c r="AA45" s="141"/>
      <c r="AB45" s="187"/>
      <c r="AC45" s="187"/>
      <c r="AD45" s="188"/>
    </row>
    <row r="46" spans="2:85" ht="12.75" customHeight="1" thickBot="1">
      <c r="B46" s="254"/>
      <c r="D46" s="248" t="s">
        <v>198</v>
      </c>
      <c r="E46" s="101"/>
      <c r="F46" s="101"/>
      <c r="G46" s="101"/>
      <c r="H46" s="102"/>
      <c r="I46" s="142"/>
      <c r="J46" s="126"/>
      <c r="K46" s="126"/>
      <c r="L46" s="126"/>
      <c r="M46" s="126"/>
      <c r="N46" s="126"/>
      <c r="O46" s="126"/>
      <c r="P46" s="126"/>
      <c r="Q46" s="121" t="str">
        <f t="shared" si="14"/>
        <v>-</v>
      </c>
      <c r="R46" s="121" t="str">
        <f t="shared" si="15"/>
        <v>-</v>
      </c>
      <c r="S46" s="122" t="str">
        <f t="shared" si="15"/>
        <v>-</v>
      </c>
      <c r="T46" s="140"/>
      <c r="U46" s="141"/>
      <c r="V46" s="141"/>
      <c r="W46" s="141"/>
      <c r="X46" s="141"/>
      <c r="Y46" s="141"/>
      <c r="Z46" s="141"/>
      <c r="AA46" s="141"/>
      <c r="AB46" s="187"/>
      <c r="AC46" s="187"/>
      <c r="AD46" s="188"/>
      <c r="BE46" s="3" t="s">
        <v>312</v>
      </c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CG46" s="1" t="s">
        <v>4</v>
      </c>
    </row>
    <row r="47" spans="2:85" ht="12.75" customHeight="1">
      <c r="B47" s="254"/>
      <c r="C47" s="16"/>
      <c r="D47" s="248" t="s">
        <v>192</v>
      </c>
      <c r="E47" s="101"/>
      <c r="F47" s="101"/>
      <c r="G47" s="101"/>
      <c r="H47" s="101"/>
      <c r="I47" s="142"/>
      <c r="J47" s="126"/>
      <c r="K47" s="126"/>
      <c r="L47" s="126"/>
      <c r="M47" s="126"/>
      <c r="N47" s="126"/>
      <c r="O47" s="126"/>
      <c r="P47" s="126"/>
      <c r="Q47" s="121" t="str">
        <f t="shared" si="14"/>
        <v>-</v>
      </c>
      <c r="R47" s="121" t="str">
        <f t="shared" si="15"/>
        <v>-</v>
      </c>
      <c r="S47" s="122" t="str">
        <f t="shared" si="15"/>
        <v>-</v>
      </c>
      <c r="T47" s="140"/>
      <c r="U47" s="141"/>
      <c r="V47" s="141"/>
      <c r="W47" s="141"/>
      <c r="X47" s="141"/>
      <c r="Y47" s="141"/>
      <c r="Z47" s="141"/>
      <c r="AA47" s="141"/>
      <c r="AB47" s="187"/>
      <c r="AC47" s="187"/>
      <c r="AD47" s="188"/>
      <c r="BE47" s="273"/>
      <c r="BF47" s="274"/>
      <c r="BG47" s="274"/>
      <c r="BH47" s="274"/>
      <c r="BI47" s="274"/>
      <c r="BJ47" s="274"/>
      <c r="BK47" s="275"/>
      <c r="BL47" s="134" t="s">
        <v>92</v>
      </c>
      <c r="BM47" s="135"/>
      <c r="BN47" s="135"/>
      <c r="BO47" s="135"/>
      <c r="BP47" s="135"/>
      <c r="BQ47" s="135"/>
      <c r="BR47" s="135"/>
      <c r="BS47" s="135"/>
      <c r="BT47" s="135"/>
      <c r="BU47" s="135"/>
      <c r="BV47" s="136"/>
      <c r="BW47" s="134" t="s">
        <v>93</v>
      </c>
      <c r="BX47" s="279"/>
      <c r="BY47" s="279"/>
      <c r="BZ47" s="279"/>
      <c r="CA47" s="279"/>
      <c r="CB47" s="279"/>
      <c r="CC47" s="279"/>
      <c r="CD47" s="279"/>
      <c r="CE47" s="279"/>
      <c r="CF47" s="279"/>
      <c r="CG47" s="280"/>
    </row>
    <row r="48" spans="2:85" ht="12.75" customHeight="1" thickBot="1">
      <c r="B48" s="254"/>
      <c r="C48" s="16"/>
      <c r="D48" s="245" t="s">
        <v>195</v>
      </c>
      <c r="E48" s="176"/>
      <c r="F48" s="176"/>
      <c r="G48" s="176"/>
      <c r="H48" s="176"/>
      <c r="I48" s="142"/>
      <c r="J48" s="126"/>
      <c r="K48" s="126"/>
      <c r="L48" s="126"/>
      <c r="M48" s="126"/>
      <c r="N48" s="126"/>
      <c r="O48" s="126"/>
      <c r="P48" s="126"/>
      <c r="Q48" s="121" t="str">
        <f t="shared" si="14"/>
        <v>-</v>
      </c>
      <c r="R48" s="121" t="str">
        <f t="shared" si="15"/>
        <v>-</v>
      </c>
      <c r="S48" s="122" t="str">
        <f t="shared" si="15"/>
        <v>-</v>
      </c>
      <c r="T48" s="140"/>
      <c r="U48" s="141"/>
      <c r="V48" s="141"/>
      <c r="W48" s="141"/>
      <c r="X48" s="141"/>
      <c r="Y48" s="141"/>
      <c r="Z48" s="141"/>
      <c r="AA48" s="141"/>
      <c r="AB48" s="187"/>
      <c r="AC48" s="187"/>
      <c r="AD48" s="188"/>
      <c r="BE48" s="276"/>
      <c r="BF48" s="277"/>
      <c r="BG48" s="277"/>
      <c r="BH48" s="277"/>
      <c r="BI48" s="277"/>
      <c r="BJ48" s="277"/>
      <c r="BK48" s="278"/>
      <c r="BL48" s="146">
        <f>IF($B$1&lt;&gt;"",$B$1,"")</f>
        <v>0</v>
      </c>
      <c r="BM48" s="128"/>
      <c r="BN48" s="128"/>
      <c r="BO48" s="128"/>
      <c r="BP48" s="127">
        <f>IF($B$1&lt;&gt;"",$B$1-1,"")</f>
        <v>-1</v>
      </c>
      <c r="BQ48" s="128"/>
      <c r="BR48" s="128"/>
      <c r="BS48" s="129"/>
      <c r="BT48" s="123" t="s">
        <v>217</v>
      </c>
      <c r="BU48" s="271"/>
      <c r="BV48" s="272"/>
      <c r="BW48" s="146">
        <f>IF($B$1&lt;&gt;"",$B$1,"")</f>
        <v>0</v>
      </c>
      <c r="BX48" s="128"/>
      <c r="BY48" s="128"/>
      <c r="BZ48" s="128"/>
      <c r="CA48" s="127">
        <f>IF($B$1&lt;&gt;"",$B$1-1,"")</f>
        <v>-1</v>
      </c>
      <c r="CB48" s="128"/>
      <c r="CC48" s="128"/>
      <c r="CD48" s="129"/>
      <c r="CE48" s="123" t="s">
        <v>217</v>
      </c>
      <c r="CF48" s="271"/>
      <c r="CG48" s="272"/>
    </row>
    <row r="49" spans="2:85" ht="12.75" customHeight="1" thickBot="1">
      <c r="B49" s="255"/>
      <c r="C49" s="17"/>
      <c r="D49" s="251" t="s">
        <v>413</v>
      </c>
      <c r="E49" s="252"/>
      <c r="F49" s="252"/>
      <c r="G49" s="252"/>
      <c r="H49" s="252"/>
      <c r="I49" s="159"/>
      <c r="J49" s="160"/>
      <c r="K49" s="160"/>
      <c r="L49" s="160"/>
      <c r="M49" s="160"/>
      <c r="N49" s="160"/>
      <c r="O49" s="160"/>
      <c r="P49" s="160"/>
      <c r="Q49" s="161" t="str">
        <f t="shared" si="14"/>
        <v>-</v>
      </c>
      <c r="R49" s="161" t="str">
        <f t="shared" si="15"/>
        <v>-</v>
      </c>
      <c r="S49" s="162" t="str">
        <f t="shared" si="15"/>
        <v>-</v>
      </c>
      <c r="T49" s="266"/>
      <c r="U49" s="265"/>
      <c r="V49" s="265"/>
      <c r="W49" s="265"/>
      <c r="X49" s="265"/>
      <c r="Y49" s="265"/>
      <c r="Z49" s="265"/>
      <c r="AA49" s="265"/>
      <c r="AB49" s="219"/>
      <c r="AC49" s="219"/>
      <c r="AD49" s="220"/>
      <c r="AG49" s="207"/>
      <c r="AH49" s="207"/>
      <c r="BE49" s="720"/>
      <c r="BF49" s="721"/>
      <c r="BG49" s="721"/>
      <c r="BH49" s="721"/>
      <c r="BI49" s="721"/>
      <c r="BJ49" s="721"/>
      <c r="BK49" s="722"/>
      <c r="BL49" s="143"/>
      <c r="BM49" s="144"/>
      <c r="BN49" s="144"/>
      <c r="BO49" s="145"/>
      <c r="BP49" s="118"/>
      <c r="BQ49" s="118"/>
      <c r="BR49" s="118"/>
      <c r="BS49" s="118"/>
      <c r="BT49" s="119" t="str">
        <f>IF(BL49="-", "-", IF(BP49="-", "-", IF(ABS(BP49)=0, "-", ROUND(100*(BL49-BP49)/ABS(BP49), 10))))</f>
        <v>-</v>
      </c>
      <c r="BU49" s="119" t="str">
        <f t="shared" ref="BU49:BV52" si="17">IF(BQ49="-", "-", IF(BS49="-", "-", IF(ABS(BS49)=0, "-", ROUND(100*(BQ49-BS49)/ABS(BS49), 1))))</f>
        <v>-</v>
      </c>
      <c r="BV49" s="120" t="str">
        <f t="shared" si="17"/>
        <v>-</v>
      </c>
      <c r="BW49" s="143"/>
      <c r="BX49" s="144"/>
      <c r="BY49" s="144"/>
      <c r="BZ49" s="145"/>
      <c r="CA49" s="118"/>
      <c r="CB49" s="118"/>
      <c r="CC49" s="118"/>
      <c r="CD49" s="118"/>
      <c r="CE49" s="119" t="str">
        <f t="shared" ref="CE49:CE55" si="18">IF(BW49="-", "-", IF(CA49="-", "-", IF(ABS(CA49)=0, "-", ROUND(100*(BW49-CA49)/ABS(CA49), 10))))</f>
        <v>-</v>
      </c>
      <c r="CF49" s="119" t="str">
        <f t="shared" ref="CF49:CG55" si="19">IF(CB49="-", "-", IF(CD49="-", "-", IF(ABS(CD49)=0, "-", ROUND(100*(CB49-CD49)/ABS(CD49), 1))))</f>
        <v>-</v>
      </c>
      <c r="CG49" s="120" t="str">
        <f t="shared" si="19"/>
        <v>-</v>
      </c>
    </row>
    <row r="50" spans="2:85" ht="12.75" customHeight="1">
      <c r="AO50" s="1"/>
      <c r="BE50" s="723"/>
      <c r="BF50" s="724"/>
      <c r="BG50" s="724"/>
      <c r="BH50" s="724"/>
      <c r="BI50" s="724"/>
      <c r="BJ50" s="724"/>
      <c r="BK50" s="725"/>
      <c r="BL50" s="142"/>
      <c r="BM50" s="126"/>
      <c r="BN50" s="126"/>
      <c r="BO50" s="126"/>
      <c r="BP50" s="126"/>
      <c r="BQ50" s="126"/>
      <c r="BR50" s="126"/>
      <c r="BS50" s="126"/>
      <c r="BT50" s="121" t="str">
        <f>IF(BL50="-", "-", IF(BP50="-", "-", IF(ABS(BP50)=0, "-", ROUND(100*(BL50-BP50)/ABS(BP50), 100))))</f>
        <v>-</v>
      </c>
      <c r="BU50" s="121" t="str">
        <f t="shared" si="17"/>
        <v>-</v>
      </c>
      <c r="BV50" s="122" t="str">
        <f t="shared" si="17"/>
        <v>-</v>
      </c>
      <c r="BW50" s="142"/>
      <c r="BX50" s="126"/>
      <c r="BY50" s="126"/>
      <c r="BZ50" s="126"/>
      <c r="CA50" s="126"/>
      <c r="CB50" s="126"/>
      <c r="CC50" s="126"/>
      <c r="CD50" s="126"/>
      <c r="CE50" s="121" t="str">
        <f t="shared" si="18"/>
        <v>-</v>
      </c>
      <c r="CF50" s="121" t="str">
        <f t="shared" si="19"/>
        <v>-</v>
      </c>
      <c r="CG50" s="122" t="str">
        <f t="shared" si="19"/>
        <v>-</v>
      </c>
    </row>
    <row r="51" spans="2:85" ht="12.75" customHeight="1"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BE51" s="723"/>
      <c r="BF51" s="724"/>
      <c r="BG51" s="724"/>
      <c r="BH51" s="724"/>
      <c r="BI51" s="724"/>
      <c r="BJ51" s="724"/>
      <c r="BK51" s="725"/>
      <c r="BL51" s="142"/>
      <c r="BM51" s="126"/>
      <c r="BN51" s="126"/>
      <c r="BO51" s="126"/>
      <c r="BP51" s="126"/>
      <c r="BQ51" s="126"/>
      <c r="BR51" s="126"/>
      <c r="BS51" s="126"/>
      <c r="BT51" s="121" t="str">
        <f>IF(BL51="-", "-", IF(BP51="-", "-", IF(ABS(BP51)=0, "-", ROUND(100*(BL51-BP51)/ABS(BP51), 100))))</f>
        <v>-</v>
      </c>
      <c r="BU51" s="121" t="str">
        <f t="shared" si="17"/>
        <v>-</v>
      </c>
      <c r="BV51" s="122" t="str">
        <f t="shared" si="17"/>
        <v>-</v>
      </c>
      <c r="BW51" s="142"/>
      <c r="BX51" s="126"/>
      <c r="BY51" s="126"/>
      <c r="BZ51" s="126"/>
      <c r="CA51" s="126"/>
      <c r="CB51" s="126"/>
      <c r="CC51" s="126"/>
      <c r="CD51" s="126"/>
      <c r="CE51" s="121" t="str">
        <f t="shared" si="18"/>
        <v>-</v>
      </c>
      <c r="CF51" s="121" t="str">
        <f t="shared" si="19"/>
        <v>-</v>
      </c>
      <c r="CG51" s="122" t="str">
        <f t="shared" si="19"/>
        <v>-</v>
      </c>
    </row>
    <row r="52" spans="2:85" ht="12.75" customHeight="1" thickBot="1">
      <c r="B52" s="3" t="s">
        <v>310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AD52" s="1" t="s">
        <v>4</v>
      </c>
      <c r="AE52" s="45"/>
      <c r="AF52" s="45"/>
      <c r="AG52" s="45"/>
      <c r="AH52" s="45"/>
      <c r="AI52" s="45"/>
      <c r="AJ52" s="45"/>
      <c r="AK52" s="45"/>
      <c r="AL52" s="45"/>
      <c r="AM52" s="44"/>
      <c r="AN52" s="44"/>
      <c r="AO52" s="44"/>
      <c r="BE52" s="723"/>
      <c r="BF52" s="724"/>
      <c r="BG52" s="724"/>
      <c r="BH52" s="724"/>
      <c r="BI52" s="724"/>
      <c r="BJ52" s="724"/>
      <c r="BK52" s="725"/>
      <c r="BL52" s="142"/>
      <c r="BM52" s="126"/>
      <c r="BN52" s="126"/>
      <c r="BO52" s="126"/>
      <c r="BP52" s="126"/>
      <c r="BQ52" s="126"/>
      <c r="BR52" s="126"/>
      <c r="BS52" s="126"/>
      <c r="BT52" s="121" t="str">
        <f>IF(BL52="-", "-", IF(BP52="-", "-", IF(ABS(BP52)=0, "-", ROUND(100*(BL52-BP52)/ABS(BP52), 100))))</f>
        <v>-</v>
      </c>
      <c r="BU52" s="121" t="str">
        <f t="shared" si="17"/>
        <v>-</v>
      </c>
      <c r="BV52" s="122" t="str">
        <f t="shared" si="17"/>
        <v>-</v>
      </c>
      <c r="BW52" s="142"/>
      <c r="BX52" s="126"/>
      <c r="BY52" s="126"/>
      <c r="BZ52" s="126"/>
      <c r="CA52" s="126"/>
      <c r="CB52" s="126"/>
      <c r="CC52" s="126"/>
      <c r="CD52" s="126"/>
      <c r="CE52" s="121" t="str">
        <f t="shared" si="18"/>
        <v>-</v>
      </c>
      <c r="CF52" s="121" t="str">
        <f t="shared" si="19"/>
        <v>-</v>
      </c>
      <c r="CG52" s="122" t="str">
        <f t="shared" si="19"/>
        <v>-</v>
      </c>
    </row>
    <row r="53" spans="2:85" ht="12.75" customHeight="1">
      <c r="B53" s="153"/>
      <c r="C53" s="154"/>
      <c r="D53" s="154"/>
      <c r="E53" s="154"/>
      <c r="F53" s="154"/>
      <c r="G53" s="154"/>
      <c r="H53" s="155"/>
      <c r="I53" s="134" t="s">
        <v>200</v>
      </c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4" t="s">
        <v>66</v>
      </c>
      <c r="U53" s="135"/>
      <c r="V53" s="135"/>
      <c r="W53" s="135"/>
      <c r="X53" s="135"/>
      <c r="Y53" s="135"/>
      <c r="Z53" s="135"/>
      <c r="AA53" s="135"/>
      <c r="AB53" s="135"/>
      <c r="AC53" s="135"/>
      <c r="AD53" s="136"/>
      <c r="AE53" s="46"/>
      <c r="AF53" s="47"/>
      <c r="AG53" s="47"/>
      <c r="AH53" s="47"/>
      <c r="AI53" s="46"/>
      <c r="AJ53" s="47"/>
      <c r="AK53" s="47"/>
      <c r="AL53" s="47"/>
      <c r="AM53" s="46"/>
      <c r="AN53" s="47"/>
      <c r="AO53" s="47"/>
      <c r="BE53" s="723"/>
      <c r="BF53" s="724"/>
      <c r="BG53" s="724"/>
      <c r="BH53" s="724"/>
      <c r="BI53" s="724"/>
      <c r="BJ53" s="724"/>
      <c r="BK53" s="725"/>
      <c r="BL53" s="142"/>
      <c r="BM53" s="126"/>
      <c r="BN53" s="126"/>
      <c r="BO53" s="126"/>
      <c r="BP53" s="126"/>
      <c r="BQ53" s="126"/>
      <c r="BR53" s="126"/>
      <c r="BS53" s="126"/>
      <c r="BT53" s="121" t="str">
        <f>IF(BL53="-", "-", IF(BP53="-", "-", IF(ABS(BP53)=0, "-", ROUND(100*(BL53-BP53)/ABS(BP53), 10))))</f>
        <v>-</v>
      </c>
      <c r="BU53" s="121" t="str">
        <f t="shared" ref="BU53:BV55" si="20">IF(BQ53="-", "-", IF(BS53="-", "-", IF(ABS(BS53)=0, "-", ROUND(100*(BQ53-BS53)/ABS(BS53), 1))))</f>
        <v>-</v>
      </c>
      <c r="BV53" s="122" t="str">
        <f t="shared" si="20"/>
        <v>-</v>
      </c>
      <c r="BW53" s="142"/>
      <c r="BX53" s="126"/>
      <c r="BY53" s="126"/>
      <c r="BZ53" s="126"/>
      <c r="CA53" s="126"/>
      <c r="CB53" s="126"/>
      <c r="CC53" s="126"/>
      <c r="CD53" s="126"/>
      <c r="CE53" s="121" t="str">
        <f t="shared" si="18"/>
        <v>-</v>
      </c>
      <c r="CF53" s="121" t="str">
        <f t="shared" si="19"/>
        <v>-</v>
      </c>
      <c r="CG53" s="122" t="str">
        <f t="shared" si="19"/>
        <v>-</v>
      </c>
    </row>
    <row r="54" spans="2:85" ht="12.75" customHeight="1" thickBot="1">
      <c r="B54" s="156"/>
      <c r="C54" s="157"/>
      <c r="D54" s="157"/>
      <c r="E54" s="157"/>
      <c r="F54" s="157"/>
      <c r="G54" s="157"/>
      <c r="H54" s="158"/>
      <c r="I54" s="146">
        <f>IF($B$1&lt;&gt;"",$B$1,"")</f>
        <v>0</v>
      </c>
      <c r="J54" s="128"/>
      <c r="K54" s="128"/>
      <c r="L54" s="128"/>
      <c r="M54" s="127">
        <f>IF($B$1&lt;&gt;"",$B$1-1,"")</f>
        <v>-1</v>
      </c>
      <c r="N54" s="128"/>
      <c r="O54" s="128"/>
      <c r="P54" s="129"/>
      <c r="Q54" s="123" t="s">
        <v>217</v>
      </c>
      <c r="R54" s="124"/>
      <c r="S54" s="125"/>
      <c r="T54" s="146">
        <f>IF($B$1&lt;&gt;"",$B$1,"")</f>
        <v>0</v>
      </c>
      <c r="U54" s="128"/>
      <c r="V54" s="128"/>
      <c r="W54" s="128"/>
      <c r="X54" s="127">
        <f>IF($B$1&lt;&gt;"",$B$1-1,"")</f>
        <v>-1</v>
      </c>
      <c r="Y54" s="128"/>
      <c r="Z54" s="128"/>
      <c r="AA54" s="129"/>
      <c r="AB54" s="123" t="s">
        <v>204</v>
      </c>
      <c r="AC54" s="124"/>
      <c r="AD54" s="125"/>
      <c r="AE54" s="46"/>
      <c r="AF54" s="47"/>
      <c r="AG54" s="47"/>
      <c r="AH54" s="47"/>
      <c r="AI54" s="46"/>
      <c r="AJ54" s="47"/>
      <c r="AK54" s="47"/>
      <c r="AL54" s="47"/>
      <c r="AM54" s="46"/>
      <c r="AN54" s="47"/>
      <c r="AO54" s="47"/>
      <c r="BE54" s="723"/>
      <c r="BF54" s="724"/>
      <c r="BG54" s="724"/>
      <c r="BH54" s="724"/>
      <c r="BI54" s="724"/>
      <c r="BJ54" s="724"/>
      <c r="BK54" s="725"/>
      <c r="BL54" s="142"/>
      <c r="BM54" s="126"/>
      <c r="BN54" s="126"/>
      <c r="BO54" s="126"/>
      <c r="BP54" s="126"/>
      <c r="BQ54" s="126"/>
      <c r="BR54" s="126"/>
      <c r="BS54" s="126"/>
      <c r="BT54" s="121" t="str">
        <f>IF(BL54="-", "-", IF(BP54="-", "-", IF(ABS(BP54)=0, "-", ROUND(100*(BL54-BP54)/ABS(BP54), 10))))</f>
        <v>-</v>
      </c>
      <c r="BU54" s="121" t="str">
        <f t="shared" si="20"/>
        <v>-</v>
      </c>
      <c r="BV54" s="122" t="str">
        <f t="shared" si="20"/>
        <v>-</v>
      </c>
      <c r="BW54" s="142"/>
      <c r="BX54" s="126"/>
      <c r="BY54" s="126"/>
      <c r="BZ54" s="126"/>
      <c r="CA54" s="126"/>
      <c r="CB54" s="126"/>
      <c r="CC54" s="126"/>
      <c r="CD54" s="126"/>
      <c r="CE54" s="121" t="str">
        <f t="shared" si="18"/>
        <v>-</v>
      </c>
      <c r="CF54" s="121" t="str">
        <f t="shared" si="19"/>
        <v>-</v>
      </c>
      <c r="CG54" s="122" t="str">
        <f t="shared" si="19"/>
        <v>-</v>
      </c>
    </row>
    <row r="55" spans="2:85" ht="12.75" customHeight="1" thickBot="1">
      <c r="B55" s="163" t="s">
        <v>193</v>
      </c>
      <c r="C55" s="164"/>
      <c r="D55" s="165"/>
      <c r="E55" s="169" t="s">
        <v>189</v>
      </c>
      <c r="F55" s="170"/>
      <c r="G55" s="170"/>
      <c r="H55" s="171"/>
      <c r="I55" s="142"/>
      <c r="J55" s="126"/>
      <c r="K55" s="126"/>
      <c r="L55" s="126"/>
      <c r="M55" s="126"/>
      <c r="N55" s="126"/>
      <c r="O55" s="126"/>
      <c r="P55" s="126"/>
      <c r="Q55" s="121" t="str">
        <f>IF(I55="-", "-", IF(M55="-", "-", IF(ABS(M55)=0, "-", ROUND(100*(I55-M55)/ABS(M55), 10))))</f>
        <v>-</v>
      </c>
      <c r="R55" s="121" t="str">
        <f t="shared" ref="R55:S58" si="21">IF(N55="-", "-", IF(P55="-", "-", IF(ABS(P55)=0, "-", ROUND(100*(N55-P55)/ABS(P55), 1))))</f>
        <v>-</v>
      </c>
      <c r="S55" s="122" t="str">
        <f t="shared" si="21"/>
        <v>-</v>
      </c>
      <c r="T55" s="230"/>
      <c r="U55" s="231"/>
      <c r="V55" s="231"/>
      <c r="W55" s="231"/>
      <c r="X55" s="233"/>
      <c r="Y55" s="231"/>
      <c r="Z55" s="231"/>
      <c r="AA55" s="231"/>
      <c r="AB55" s="233"/>
      <c r="AC55" s="231"/>
      <c r="AD55" s="234"/>
      <c r="AE55" s="46"/>
      <c r="AF55" s="47"/>
      <c r="AG55" s="47"/>
      <c r="AH55" s="47"/>
      <c r="AI55" s="46"/>
      <c r="AJ55" s="47"/>
      <c r="AK55" s="47"/>
      <c r="AL55" s="47"/>
      <c r="AM55" s="46"/>
      <c r="AN55" s="47"/>
      <c r="AO55" s="47"/>
      <c r="BE55" s="726"/>
      <c r="BF55" s="727"/>
      <c r="BG55" s="727"/>
      <c r="BH55" s="727"/>
      <c r="BI55" s="727"/>
      <c r="BJ55" s="727"/>
      <c r="BK55" s="728"/>
      <c r="BL55" s="159"/>
      <c r="BM55" s="160"/>
      <c r="BN55" s="160"/>
      <c r="BO55" s="160"/>
      <c r="BP55" s="160"/>
      <c r="BQ55" s="160"/>
      <c r="BR55" s="160"/>
      <c r="BS55" s="160"/>
      <c r="BT55" s="161" t="str">
        <f>IF(BL55="-", "-", IF(BP55="-", "-", IF(ABS(BP55)=0, "-", ROUND(100*(BL55-BP55)/ABS(BP55), 10))))</f>
        <v>-</v>
      </c>
      <c r="BU55" s="161" t="str">
        <f t="shared" si="20"/>
        <v>-</v>
      </c>
      <c r="BV55" s="162" t="str">
        <f t="shared" si="20"/>
        <v>-</v>
      </c>
      <c r="BW55" s="159"/>
      <c r="BX55" s="160"/>
      <c r="BY55" s="160"/>
      <c r="BZ55" s="160"/>
      <c r="CA55" s="160"/>
      <c r="CB55" s="160"/>
      <c r="CC55" s="160"/>
      <c r="CD55" s="160"/>
      <c r="CE55" s="161" t="str">
        <f t="shared" si="18"/>
        <v>-</v>
      </c>
      <c r="CF55" s="161" t="str">
        <f t="shared" si="19"/>
        <v>-</v>
      </c>
      <c r="CG55" s="162" t="str">
        <f t="shared" si="19"/>
        <v>-</v>
      </c>
    </row>
    <row r="56" spans="2:85" ht="12.75" customHeight="1">
      <c r="B56" s="166"/>
      <c r="C56" s="167"/>
      <c r="D56" s="168"/>
      <c r="E56" s="172" t="s">
        <v>190</v>
      </c>
      <c r="F56" s="173"/>
      <c r="G56" s="173"/>
      <c r="H56" s="174"/>
      <c r="I56" s="142"/>
      <c r="J56" s="126"/>
      <c r="K56" s="126"/>
      <c r="L56" s="126"/>
      <c r="M56" s="126"/>
      <c r="N56" s="126"/>
      <c r="O56" s="126"/>
      <c r="P56" s="126"/>
      <c r="Q56" s="121" t="str">
        <f>IF(I56="-", "-", IF(M56="-", "-", IF(ABS(M56)=0, "-", ROUND(100*(I56-M56)/ABS(M56), 10))))</f>
        <v>-</v>
      </c>
      <c r="R56" s="121" t="str">
        <f t="shared" si="21"/>
        <v>-</v>
      </c>
      <c r="S56" s="122" t="str">
        <f t="shared" si="21"/>
        <v>-</v>
      </c>
      <c r="T56" s="228"/>
      <c r="U56" s="229"/>
      <c r="V56" s="229"/>
      <c r="W56" s="229"/>
      <c r="X56" s="263"/>
      <c r="Y56" s="229"/>
      <c r="Z56" s="229"/>
      <c r="AA56" s="229"/>
      <c r="AB56" s="263"/>
      <c r="AC56" s="229"/>
      <c r="AD56" s="264"/>
      <c r="AE56" s="48"/>
      <c r="AF56" s="48"/>
      <c r="AG56" s="48"/>
      <c r="AH56" s="48"/>
      <c r="AI56" s="48"/>
      <c r="AJ56" s="48"/>
      <c r="AK56" s="48"/>
      <c r="AL56" s="48"/>
      <c r="AM56" s="49"/>
      <c r="AN56" s="49"/>
      <c r="AO56" s="49"/>
    </row>
    <row r="57" spans="2:85" ht="12.75" customHeight="1">
      <c r="B57" s="175" t="s">
        <v>120</v>
      </c>
      <c r="C57" s="176"/>
      <c r="D57" s="176"/>
      <c r="E57" s="176"/>
      <c r="F57" s="176"/>
      <c r="G57" s="176"/>
      <c r="H57" s="177"/>
      <c r="I57" s="142"/>
      <c r="J57" s="126"/>
      <c r="K57" s="126"/>
      <c r="L57" s="126"/>
      <c r="M57" s="126"/>
      <c r="N57" s="126"/>
      <c r="O57" s="126"/>
      <c r="P57" s="126"/>
      <c r="Q57" s="121" t="str">
        <f>IF(I57="-", "-", IF(M57="-", "-", IF(ABS(M57)=0, "-", ROUND(100*(I57-M57)/ABS(M57), 10))))</f>
        <v>-</v>
      </c>
      <c r="R57" s="121" t="str">
        <f t="shared" si="21"/>
        <v>-</v>
      </c>
      <c r="S57" s="122" t="str">
        <f t="shared" si="21"/>
        <v>-</v>
      </c>
      <c r="T57" s="228"/>
      <c r="U57" s="229"/>
      <c r="V57" s="229"/>
      <c r="W57" s="229"/>
      <c r="X57" s="263"/>
      <c r="Y57" s="229"/>
      <c r="Z57" s="229"/>
      <c r="AA57" s="229"/>
      <c r="AB57" s="263"/>
      <c r="AC57" s="229"/>
      <c r="AD57" s="264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</row>
    <row r="58" spans="2:85" ht="12.75" customHeight="1" thickBot="1">
      <c r="B58" s="148" t="s">
        <v>13</v>
      </c>
      <c r="C58" s="149"/>
      <c r="D58" s="149"/>
      <c r="E58" s="149"/>
      <c r="F58" s="149"/>
      <c r="G58" s="149"/>
      <c r="H58" s="150"/>
      <c r="I58" s="151"/>
      <c r="J58" s="152"/>
      <c r="K58" s="152"/>
      <c r="L58" s="152"/>
      <c r="M58" s="152"/>
      <c r="N58" s="152"/>
      <c r="O58" s="152"/>
      <c r="P58" s="152"/>
      <c r="Q58" s="235" t="str">
        <f>IF(I58="-", "-", IF(M58="-", "-", IF(ABS(M58)=0, "-", ROUND(100*(I58-M58)/ABS(M58), 10))))</f>
        <v>-</v>
      </c>
      <c r="R58" s="235" t="str">
        <f t="shared" si="21"/>
        <v>-</v>
      </c>
      <c r="S58" s="236" t="str">
        <f t="shared" si="21"/>
        <v>-</v>
      </c>
      <c r="T58" s="159"/>
      <c r="U58" s="160"/>
      <c r="V58" s="160"/>
      <c r="W58" s="160"/>
      <c r="X58" s="160"/>
      <c r="Y58" s="160"/>
      <c r="Z58" s="160"/>
      <c r="AA58" s="160"/>
      <c r="AB58" s="161" t="str">
        <f>IF(T58="-", "-", IF(X58="-", "-", IF(ABS(X58)=0, "-", ROUND(100*(T58-X58)/ABS(X58), 10))))</f>
        <v>-</v>
      </c>
      <c r="AC58" s="161" t="str">
        <f t="shared" ref="AC58:AD58" si="22">IF(Y58="-", "-", IF(AA58="-", "-", IF(ABS(AA58)=0, "-", ROUND(100*(Y58-AA58)/ABS(AA58), 1))))</f>
        <v>-</v>
      </c>
      <c r="AD58" s="162" t="str">
        <f t="shared" si="22"/>
        <v>-</v>
      </c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</row>
    <row r="59" spans="2:85" ht="12.75" customHeight="1">
      <c r="B59" s="24"/>
      <c r="C59" s="24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</row>
    <row r="60" spans="2:85" ht="12.75" customHeight="1">
      <c r="B60" s="24"/>
      <c r="C60" s="24"/>
      <c r="D60" s="29"/>
      <c r="E60" s="29"/>
      <c r="F60" s="29"/>
      <c r="G60" s="29"/>
      <c r="H60" s="29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</row>
    <row r="61" spans="2:85" ht="12.75" customHeight="1">
      <c r="B61" s="24"/>
      <c r="C61" s="24"/>
      <c r="D61" s="29"/>
      <c r="E61" s="29"/>
      <c r="F61" s="29"/>
      <c r="G61" s="29"/>
      <c r="H61" s="29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</row>
    <row r="62" spans="2:85" ht="12.2" customHeight="1">
      <c r="B62" s="29"/>
      <c r="C62" s="29"/>
      <c r="D62" s="29"/>
      <c r="E62" s="29"/>
      <c r="F62" s="29"/>
      <c r="G62" s="29"/>
      <c r="H62" s="29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</row>
    <row r="63" spans="2:85" ht="12.2" customHeight="1">
      <c r="B63" s="29"/>
      <c r="C63" s="29"/>
      <c r="D63" s="29"/>
      <c r="E63" s="29"/>
      <c r="F63" s="29"/>
      <c r="G63" s="29"/>
      <c r="H63" s="29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</row>
    <row r="64" spans="2:85" ht="12.75" customHeight="1"/>
    <row r="66" ht="12.2" customHeight="1"/>
    <row r="67" ht="12.75" customHeight="1"/>
    <row r="68" ht="12.2" customHeight="1"/>
    <row r="69" ht="12.75" customHeight="1"/>
  </sheetData>
  <mergeCells count="684">
    <mergeCell ref="BF14:BK14"/>
    <mergeCell ref="BF15:BK15"/>
    <mergeCell ref="BE16:BK16"/>
    <mergeCell ref="BE13:BE15"/>
    <mergeCell ref="BK3:BO3"/>
    <mergeCell ref="AB4:AF4"/>
    <mergeCell ref="B5:F5"/>
    <mergeCell ref="J5:P5"/>
    <mergeCell ref="Q5:U5"/>
    <mergeCell ref="V5:Z5"/>
    <mergeCell ref="B4:F4"/>
    <mergeCell ref="J4:P4"/>
    <mergeCell ref="Q4:U4"/>
    <mergeCell ref="V4:Z4"/>
    <mergeCell ref="G4:I4"/>
    <mergeCell ref="AH4:AK4"/>
    <mergeCell ref="AM4:AP4"/>
    <mergeCell ref="AR4:AU4"/>
    <mergeCell ref="AW4:AZ4"/>
    <mergeCell ref="BB4:BE4"/>
    <mergeCell ref="BG4:BJ4"/>
    <mergeCell ref="BL4:BO4"/>
    <mergeCell ref="G5:I5"/>
    <mergeCell ref="AL3:AP3"/>
    <mergeCell ref="AQ3:AU3"/>
    <mergeCell ref="AV3:AZ3"/>
    <mergeCell ref="BA3:BE3"/>
    <mergeCell ref="BF3:BJ3"/>
    <mergeCell ref="AP11:AS11"/>
    <mergeCell ref="AT11:AW11"/>
    <mergeCell ref="BF11:BK11"/>
    <mergeCell ref="BE8:BK9"/>
    <mergeCell ref="BE10:BE12"/>
    <mergeCell ref="BF10:BK10"/>
    <mergeCell ref="BF12:BK12"/>
    <mergeCell ref="AP12:AS12"/>
    <mergeCell ref="BP35:BS35"/>
    <mergeCell ref="AM14:AO14"/>
    <mergeCell ref="BE36:BK36"/>
    <mergeCell ref="AT29:AW29"/>
    <mergeCell ref="AP30:AS30"/>
    <mergeCell ref="AX31:AZ31"/>
    <mergeCell ref="AX33:AZ33"/>
    <mergeCell ref="AP17:AS17"/>
    <mergeCell ref="AP14:AS14"/>
    <mergeCell ref="AP20:AS20"/>
    <mergeCell ref="AP19:AS19"/>
    <mergeCell ref="AP18:AS18"/>
    <mergeCell ref="AX32:AZ32"/>
    <mergeCell ref="AT20:AW20"/>
    <mergeCell ref="AT18:AW18"/>
    <mergeCell ref="AT19:AW19"/>
    <mergeCell ref="AT14:AW14"/>
    <mergeCell ref="AX14:AZ14"/>
    <mergeCell ref="BE35:BK35"/>
    <mergeCell ref="AP31:AS31"/>
    <mergeCell ref="AM20:AO20"/>
    <mergeCell ref="AM17:AO17"/>
    <mergeCell ref="AM33:AO33"/>
    <mergeCell ref="AM18:AO18"/>
    <mergeCell ref="BW48:BZ48"/>
    <mergeCell ref="BT38:BV38"/>
    <mergeCell ref="BE38:BK38"/>
    <mergeCell ref="BE49:BK49"/>
    <mergeCell ref="BL49:BO49"/>
    <mergeCell ref="BT41:BV41"/>
    <mergeCell ref="BF39:BK39"/>
    <mergeCell ref="BL39:BO39"/>
    <mergeCell ref="BE40:BK40"/>
    <mergeCell ref="BF41:BK41"/>
    <mergeCell ref="BP48:BS48"/>
    <mergeCell ref="BT48:BV48"/>
    <mergeCell ref="BE47:BK48"/>
    <mergeCell ref="BW47:CG47"/>
    <mergeCell ref="BL41:BO41"/>
    <mergeCell ref="CA48:CD48"/>
    <mergeCell ref="CE48:CG48"/>
    <mergeCell ref="BL38:BO38"/>
    <mergeCell ref="BL47:BV47"/>
    <mergeCell ref="BT49:BV49"/>
    <mergeCell ref="BL40:BO40"/>
    <mergeCell ref="BP40:BS40"/>
    <mergeCell ref="BT40:BV40"/>
    <mergeCell ref="BP39:BS39"/>
    <mergeCell ref="BE34:BK34"/>
    <mergeCell ref="BE25:BK25"/>
    <mergeCell ref="BF27:BK27"/>
    <mergeCell ref="BE26:BK26"/>
    <mergeCell ref="AT31:AW31"/>
    <mergeCell ref="AP29:AS29"/>
    <mergeCell ref="AP32:AS32"/>
    <mergeCell ref="AP28:AS28"/>
    <mergeCell ref="AP27:AS27"/>
    <mergeCell ref="AT27:AW27"/>
    <mergeCell ref="AT25:AW25"/>
    <mergeCell ref="BE28:BK28"/>
    <mergeCell ref="AP26:AS26"/>
    <mergeCell ref="AT28:AW28"/>
    <mergeCell ref="BF29:BK29"/>
    <mergeCell ref="AP22:AS22"/>
    <mergeCell ref="AT24:AW24"/>
    <mergeCell ref="AX24:AZ24"/>
    <mergeCell ref="AP21:AS21"/>
    <mergeCell ref="AT21:AW21"/>
    <mergeCell ref="AX21:AZ21"/>
    <mergeCell ref="AT22:AW22"/>
    <mergeCell ref="AP24:AS24"/>
    <mergeCell ref="AM21:AO21"/>
    <mergeCell ref="AM23:AO23"/>
    <mergeCell ref="AE12:AH12"/>
    <mergeCell ref="AI12:AL12"/>
    <mergeCell ref="AB16:AD16"/>
    <mergeCell ref="AI17:AL17"/>
    <mergeCell ref="AI15:AL15"/>
    <mergeCell ref="AI22:AL22"/>
    <mergeCell ref="AI16:AL16"/>
    <mergeCell ref="AI13:AL13"/>
    <mergeCell ref="AI14:AL14"/>
    <mergeCell ref="AE13:AH13"/>
    <mergeCell ref="AE14:AH14"/>
    <mergeCell ref="AB15:AD15"/>
    <mergeCell ref="AE20:AH20"/>
    <mergeCell ref="AI20:AL20"/>
    <mergeCell ref="AE15:AH15"/>
    <mergeCell ref="AE16:AH16"/>
    <mergeCell ref="AE21:AH21"/>
    <mergeCell ref="AI21:AL21"/>
    <mergeCell ref="AB18:AD18"/>
    <mergeCell ref="AB20:AD20"/>
    <mergeCell ref="AI18:AL18"/>
    <mergeCell ref="X16:AA16"/>
    <mergeCell ref="M18:P18"/>
    <mergeCell ref="Q18:S18"/>
    <mergeCell ref="T17:W17"/>
    <mergeCell ref="M17:P17"/>
    <mergeCell ref="Q16:S16"/>
    <mergeCell ref="M16:P16"/>
    <mergeCell ref="AE23:AH23"/>
    <mergeCell ref="AB17:AD17"/>
    <mergeCell ref="X17:AA17"/>
    <mergeCell ref="AB19:AD19"/>
    <mergeCell ref="X20:AA20"/>
    <mergeCell ref="AE17:AH17"/>
    <mergeCell ref="AE18:AH18"/>
    <mergeCell ref="AE22:AH22"/>
    <mergeCell ref="T16:W16"/>
    <mergeCell ref="T18:W18"/>
    <mergeCell ref="X18:AA18"/>
    <mergeCell ref="M21:P21"/>
    <mergeCell ref="Q19:S19"/>
    <mergeCell ref="M22:P22"/>
    <mergeCell ref="Q23:S23"/>
    <mergeCell ref="Q21:S21"/>
    <mergeCell ref="Q20:S20"/>
    <mergeCell ref="M12:P12"/>
    <mergeCell ref="Q12:S12"/>
    <mergeCell ref="X15:AA15"/>
    <mergeCell ref="T12:W12"/>
    <mergeCell ref="X12:AA12"/>
    <mergeCell ref="T15:W15"/>
    <mergeCell ref="AB12:AD12"/>
    <mergeCell ref="Q13:S13"/>
    <mergeCell ref="Q14:S14"/>
    <mergeCell ref="Q15:S15"/>
    <mergeCell ref="M15:P15"/>
    <mergeCell ref="M13:P13"/>
    <mergeCell ref="M14:P14"/>
    <mergeCell ref="T13:W13"/>
    <mergeCell ref="X13:AA13"/>
    <mergeCell ref="AB13:AD13"/>
    <mergeCell ref="AB14:AD14"/>
    <mergeCell ref="X14:AA14"/>
    <mergeCell ref="T14:W14"/>
    <mergeCell ref="I46:L46"/>
    <mergeCell ref="I42:L42"/>
    <mergeCell ref="B40:H40"/>
    <mergeCell ref="I38:S38"/>
    <mergeCell ref="M33:P33"/>
    <mergeCell ref="Q34:S34"/>
    <mergeCell ref="I28:L28"/>
    <mergeCell ref="I29:L29"/>
    <mergeCell ref="B31:H31"/>
    <mergeCell ref="B32:H32"/>
    <mergeCell ref="B29:H29"/>
    <mergeCell ref="B30:H30"/>
    <mergeCell ref="I30:L30"/>
    <mergeCell ref="B28:H28"/>
    <mergeCell ref="I31:L31"/>
    <mergeCell ref="I32:L32"/>
    <mergeCell ref="B33:H33"/>
    <mergeCell ref="Q29:S29"/>
    <mergeCell ref="M29:P29"/>
    <mergeCell ref="I34:L34"/>
    <mergeCell ref="I41:L41"/>
    <mergeCell ref="I39:L39"/>
    <mergeCell ref="Q39:S39"/>
    <mergeCell ref="M40:P40"/>
    <mergeCell ref="I40:L40"/>
    <mergeCell ref="I43:L43"/>
    <mergeCell ref="I44:L44"/>
    <mergeCell ref="I45:L45"/>
    <mergeCell ref="I33:L33"/>
    <mergeCell ref="AX13:AZ13"/>
    <mergeCell ref="AT13:AW13"/>
    <mergeCell ref="BF13:BK13"/>
    <mergeCell ref="AX30:AZ30"/>
    <mergeCell ref="AX26:AZ26"/>
    <mergeCell ref="AX27:AZ27"/>
    <mergeCell ref="AX28:AZ28"/>
    <mergeCell ref="AX29:AZ29"/>
    <mergeCell ref="AP16:AS16"/>
    <mergeCell ref="AT16:AW16"/>
    <mergeCell ref="AP15:AS15"/>
    <mergeCell ref="AX16:AZ16"/>
    <mergeCell ref="AT15:AW15"/>
    <mergeCell ref="AX15:AZ15"/>
    <mergeCell ref="AT26:AW26"/>
    <mergeCell ref="AX22:AZ22"/>
    <mergeCell ref="AP23:AS23"/>
    <mergeCell ref="AT23:AW23"/>
    <mergeCell ref="Q22:S22"/>
    <mergeCell ref="T49:W49"/>
    <mergeCell ref="T25:W25"/>
    <mergeCell ref="T26:W26"/>
    <mergeCell ref="T28:W28"/>
    <mergeCell ref="T29:W29"/>
    <mergeCell ref="X31:AA31"/>
    <mergeCell ref="AB33:AD33"/>
    <mergeCell ref="T27:W27"/>
    <mergeCell ref="T54:W54"/>
    <mergeCell ref="X54:AA54"/>
    <mergeCell ref="AB54:AD54"/>
    <mergeCell ref="X40:AA40"/>
    <mergeCell ref="T30:W30"/>
    <mergeCell ref="T32:W32"/>
    <mergeCell ref="T34:W34"/>
    <mergeCell ref="T33:W33"/>
    <mergeCell ref="T48:W48"/>
    <mergeCell ref="T45:W45"/>
    <mergeCell ref="T46:W46"/>
    <mergeCell ref="T47:W47"/>
    <mergeCell ref="T41:W41"/>
    <mergeCell ref="T42:W42"/>
    <mergeCell ref="T31:W31"/>
    <mergeCell ref="AB48:AD48"/>
    <mergeCell ref="AG36:AH36"/>
    <mergeCell ref="X49:AA49"/>
    <mergeCell ref="AB43:AD43"/>
    <mergeCell ref="AB32:AD32"/>
    <mergeCell ref="AB42:AD42"/>
    <mergeCell ref="X42:AA42"/>
    <mergeCell ref="AG49:AH49"/>
    <mergeCell ref="X19:AA19"/>
    <mergeCell ref="AB56:AD56"/>
    <mergeCell ref="X55:AA55"/>
    <mergeCell ref="X23:AA23"/>
    <mergeCell ref="X41:AA41"/>
    <mergeCell ref="AB46:AD46"/>
    <mergeCell ref="AB47:AD47"/>
    <mergeCell ref="AB49:AD49"/>
    <mergeCell ref="X47:AA47"/>
    <mergeCell ref="AB21:AD21"/>
    <mergeCell ref="X22:AA22"/>
    <mergeCell ref="AB22:AD22"/>
    <mergeCell ref="X21:AA21"/>
    <mergeCell ref="X24:AA24"/>
    <mergeCell ref="AB24:AD24"/>
    <mergeCell ref="T53:AD53"/>
    <mergeCell ref="X34:AA34"/>
    <mergeCell ref="X32:AA32"/>
    <mergeCell ref="X33:AA33"/>
    <mergeCell ref="AB31:AD31"/>
    <mergeCell ref="X57:AA57"/>
    <mergeCell ref="AB57:AD57"/>
    <mergeCell ref="AB58:AD58"/>
    <mergeCell ref="X56:AA56"/>
    <mergeCell ref="X48:AA48"/>
    <mergeCell ref="AB30:AD30"/>
    <mergeCell ref="X30:AA30"/>
    <mergeCell ref="X46:AA46"/>
    <mergeCell ref="AB44:AD44"/>
    <mergeCell ref="AB45:AD45"/>
    <mergeCell ref="AB40:AD40"/>
    <mergeCell ref="AB34:AD34"/>
    <mergeCell ref="AB41:AD41"/>
    <mergeCell ref="X29:AA29"/>
    <mergeCell ref="X28:AA28"/>
    <mergeCell ref="AB28:AD28"/>
    <mergeCell ref="AB26:AD26"/>
    <mergeCell ref="AB29:AD29"/>
    <mergeCell ref="X27:AA27"/>
    <mergeCell ref="AB27:AD27"/>
    <mergeCell ref="X26:AA26"/>
    <mergeCell ref="AE27:AH27"/>
    <mergeCell ref="AE28:AH28"/>
    <mergeCell ref="AE26:AH26"/>
    <mergeCell ref="BW13:BZ13"/>
    <mergeCell ref="CA13:CD13"/>
    <mergeCell ref="CE13:CG13"/>
    <mergeCell ref="BL13:BO13"/>
    <mergeCell ref="CE14:CG14"/>
    <mergeCell ref="BW14:BZ14"/>
    <mergeCell ref="CA14:CD14"/>
    <mergeCell ref="BW9:BZ9"/>
    <mergeCell ref="BW12:BZ12"/>
    <mergeCell ref="BT12:BV12"/>
    <mergeCell ref="BT11:BV11"/>
    <mergeCell ref="BW11:BZ11"/>
    <mergeCell ref="BT9:BV9"/>
    <mergeCell ref="CA10:CD10"/>
    <mergeCell ref="BT10:BV10"/>
    <mergeCell ref="BW10:BZ10"/>
    <mergeCell ref="BP13:BS13"/>
    <mergeCell ref="BL12:BO12"/>
    <mergeCell ref="BP12:BS12"/>
    <mergeCell ref="BL10:BO10"/>
    <mergeCell ref="M39:P39"/>
    <mergeCell ref="Q41:S41"/>
    <mergeCell ref="T44:W44"/>
    <mergeCell ref="M43:P43"/>
    <mergeCell ref="Q43:S43"/>
    <mergeCell ref="M42:P42"/>
    <mergeCell ref="T40:W40"/>
    <mergeCell ref="M27:P27"/>
    <mergeCell ref="M28:P28"/>
    <mergeCell ref="Q28:S28"/>
    <mergeCell ref="Q27:S27"/>
    <mergeCell ref="M34:P34"/>
    <mergeCell ref="Q33:S33"/>
    <mergeCell ref="M31:P31"/>
    <mergeCell ref="M32:P32"/>
    <mergeCell ref="Q32:S32"/>
    <mergeCell ref="Q31:S31"/>
    <mergeCell ref="Q30:S30"/>
    <mergeCell ref="M30:P30"/>
    <mergeCell ref="M47:P47"/>
    <mergeCell ref="Q46:S46"/>
    <mergeCell ref="M46:P46"/>
    <mergeCell ref="M45:P45"/>
    <mergeCell ref="Q45:S45"/>
    <mergeCell ref="Q44:S44"/>
    <mergeCell ref="Q42:S42"/>
    <mergeCell ref="M44:P44"/>
    <mergeCell ref="Q40:S40"/>
    <mergeCell ref="M41:P41"/>
    <mergeCell ref="I27:L27"/>
    <mergeCell ref="C16:H16"/>
    <mergeCell ref="I12:L12"/>
    <mergeCell ref="I17:L17"/>
    <mergeCell ref="I18:L18"/>
    <mergeCell ref="I21:L21"/>
    <mergeCell ref="C22:H22"/>
    <mergeCell ref="C20:H20"/>
    <mergeCell ref="B23:H23"/>
    <mergeCell ref="I16:L16"/>
    <mergeCell ref="I22:L22"/>
    <mergeCell ref="I23:L23"/>
    <mergeCell ref="I15:L15"/>
    <mergeCell ref="B26:H26"/>
    <mergeCell ref="C24:H24"/>
    <mergeCell ref="C25:H25"/>
    <mergeCell ref="C17:H17"/>
    <mergeCell ref="C18:H18"/>
    <mergeCell ref="C19:H19"/>
    <mergeCell ref="C21:H21"/>
    <mergeCell ref="I25:L25"/>
    <mergeCell ref="I26:L26"/>
    <mergeCell ref="I13:L13"/>
    <mergeCell ref="I14:L14"/>
    <mergeCell ref="B8:H9"/>
    <mergeCell ref="B10:H10"/>
    <mergeCell ref="C11:H11"/>
    <mergeCell ref="C12:H12"/>
    <mergeCell ref="C13:H13"/>
    <mergeCell ref="C14:H14"/>
    <mergeCell ref="C15:H15"/>
    <mergeCell ref="B34:H34"/>
    <mergeCell ref="D49:H49"/>
    <mergeCell ref="B38:H39"/>
    <mergeCell ref="C41:H41"/>
    <mergeCell ref="C42:H42"/>
    <mergeCell ref="B43:B49"/>
    <mergeCell ref="C45:H45"/>
    <mergeCell ref="D47:H47"/>
    <mergeCell ref="B27:H27"/>
    <mergeCell ref="D48:H48"/>
    <mergeCell ref="C43:H43"/>
    <mergeCell ref="C44:H44"/>
    <mergeCell ref="D46:H46"/>
    <mergeCell ref="T57:W57"/>
    <mergeCell ref="M58:P58"/>
    <mergeCell ref="AE29:AH29"/>
    <mergeCell ref="AI29:AL29"/>
    <mergeCell ref="AE30:AH30"/>
    <mergeCell ref="AI30:AL30"/>
    <mergeCell ref="T55:W55"/>
    <mergeCell ref="T58:W58"/>
    <mergeCell ref="X58:AA58"/>
    <mergeCell ref="AE34:AH34"/>
    <mergeCell ref="T56:W56"/>
    <mergeCell ref="T43:W43"/>
    <mergeCell ref="T38:AD38"/>
    <mergeCell ref="T39:W39"/>
    <mergeCell ref="X39:AA39"/>
    <mergeCell ref="AB39:AD39"/>
    <mergeCell ref="AB55:AD55"/>
    <mergeCell ref="X43:AA43"/>
    <mergeCell ref="X44:AA44"/>
    <mergeCell ref="X45:AA45"/>
    <mergeCell ref="Q58:S58"/>
    <mergeCell ref="M57:P57"/>
    <mergeCell ref="Q57:S57"/>
    <mergeCell ref="Q47:S47"/>
    <mergeCell ref="M24:P24"/>
    <mergeCell ref="M23:P23"/>
    <mergeCell ref="T19:W19"/>
    <mergeCell ref="T20:W20"/>
    <mergeCell ref="T22:W22"/>
    <mergeCell ref="T21:W21"/>
    <mergeCell ref="BE24:BK24"/>
    <mergeCell ref="BL25:BO25"/>
    <mergeCell ref="BL26:BO26"/>
    <mergeCell ref="BL23:BO23"/>
    <mergeCell ref="M26:P26"/>
    <mergeCell ref="Q25:S25"/>
    <mergeCell ref="Q26:S26"/>
    <mergeCell ref="M25:P25"/>
    <mergeCell ref="AX19:AZ19"/>
    <mergeCell ref="AX20:AZ20"/>
    <mergeCell ref="AM22:AO22"/>
    <mergeCell ref="BL24:BO24"/>
    <mergeCell ref="BE23:BK23"/>
    <mergeCell ref="X25:AA25"/>
    <mergeCell ref="AB25:AD25"/>
    <mergeCell ref="AP25:AS25"/>
    <mergeCell ref="BE22:BK22"/>
    <mergeCell ref="BL22:BO22"/>
    <mergeCell ref="CE55:CG55"/>
    <mergeCell ref="CA51:CD51"/>
    <mergeCell ref="CE51:CG51"/>
    <mergeCell ref="CA54:CD54"/>
    <mergeCell ref="AM24:AO24"/>
    <mergeCell ref="AE19:AH19"/>
    <mergeCell ref="AI19:AL19"/>
    <mergeCell ref="BE55:BK55"/>
    <mergeCell ref="BL55:BO55"/>
    <mergeCell ref="BE50:BK50"/>
    <mergeCell ref="BL54:BO54"/>
    <mergeCell ref="BL52:BO52"/>
    <mergeCell ref="BW50:BZ50"/>
    <mergeCell ref="BW51:BZ51"/>
    <mergeCell ref="BW52:BZ52"/>
    <mergeCell ref="CA52:CD52"/>
    <mergeCell ref="BT52:BV52"/>
    <mergeCell ref="BT50:BV50"/>
    <mergeCell ref="BP50:BS50"/>
    <mergeCell ref="CA55:CD55"/>
    <mergeCell ref="BP55:BS55"/>
    <mergeCell ref="BT55:BV55"/>
    <mergeCell ref="BW55:BZ55"/>
    <mergeCell ref="AM34:AO34"/>
    <mergeCell ref="CN7:CS7"/>
    <mergeCell ref="CT7:CY7"/>
    <mergeCell ref="CN8:CS8"/>
    <mergeCell ref="CT8:CY8"/>
    <mergeCell ref="AE8:AO8"/>
    <mergeCell ref="AE9:AH9"/>
    <mergeCell ref="AI9:AL9"/>
    <mergeCell ref="AM9:AO9"/>
    <mergeCell ref="AM10:AO10"/>
    <mergeCell ref="AX9:AZ9"/>
    <mergeCell ref="AP8:AZ8"/>
    <mergeCell ref="AP9:AS9"/>
    <mergeCell ref="AT9:AW9"/>
    <mergeCell ref="AI10:AL10"/>
    <mergeCell ref="BL8:BV8"/>
    <mergeCell ref="AE10:AH10"/>
    <mergeCell ref="AP10:AS10"/>
    <mergeCell ref="AT10:AW10"/>
    <mergeCell ref="AX10:AZ10"/>
    <mergeCell ref="BW8:CG8"/>
    <mergeCell ref="CA9:CD9"/>
    <mergeCell ref="CE9:CG9"/>
    <mergeCell ref="BP10:BS10"/>
    <mergeCell ref="BP9:BS9"/>
    <mergeCell ref="CT18:CY18"/>
    <mergeCell ref="CN18:CS18"/>
    <mergeCell ref="CE50:CG50"/>
    <mergeCell ref="CE10:CG10"/>
    <mergeCell ref="CA11:CD11"/>
    <mergeCell ref="CE11:CG11"/>
    <mergeCell ref="CA50:CD50"/>
    <mergeCell ref="CA49:CD49"/>
    <mergeCell ref="CE12:CG12"/>
    <mergeCell ref="CE49:CG49"/>
    <mergeCell ref="CE16:CG16"/>
    <mergeCell ref="CA15:CD15"/>
    <mergeCell ref="CA12:CD12"/>
    <mergeCell ref="CE15:CG15"/>
    <mergeCell ref="CA16:CD16"/>
    <mergeCell ref="CE2:CH2"/>
    <mergeCell ref="CE1:CH1"/>
    <mergeCell ref="BW54:BZ54"/>
    <mergeCell ref="CE52:CG52"/>
    <mergeCell ref="BP49:BS49"/>
    <mergeCell ref="BP41:BS41"/>
    <mergeCell ref="BW49:BZ49"/>
    <mergeCell ref="BW15:BZ15"/>
    <mergeCell ref="BL11:BO11"/>
    <mergeCell ref="BP11:BS11"/>
    <mergeCell ref="BL9:BO9"/>
    <mergeCell ref="CE54:CG54"/>
    <mergeCell ref="BW53:BZ53"/>
    <mergeCell ref="CA53:CD53"/>
    <mergeCell ref="CE53:CG53"/>
    <mergeCell ref="BL16:BO16"/>
    <mergeCell ref="BW16:BZ16"/>
    <mergeCell ref="BT13:BV13"/>
    <mergeCell ref="BT14:BV14"/>
    <mergeCell ref="BT22:BV22"/>
    <mergeCell ref="BT15:BV15"/>
    <mergeCell ref="BT16:BV16"/>
    <mergeCell ref="BP16:BS16"/>
    <mergeCell ref="BP14:BS14"/>
    <mergeCell ref="BT51:BV51"/>
    <mergeCell ref="BL50:BO50"/>
    <mergeCell ref="BL51:BO51"/>
    <mergeCell ref="BP15:BS15"/>
    <mergeCell ref="BP22:BS22"/>
    <mergeCell ref="BL15:BO15"/>
    <mergeCell ref="BL14:BO14"/>
    <mergeCell ref="BT29:BV29"/>
    <mergeCell ref="BT24:BV24"/>
    <mergeCell ref="BT23:BV23"/>
    <mergeCell ref="BP28:BS28"/>
    <mergeCell ref="BT28:BV28"/>
    <mergeCell ref="BP29:BS29"/>
    <mergeCell ref="BP25:BS25"/>
    <mergeCell ref="BT27:BV27"/>
    <mergeCell ref="BP26:BS26"/>
    <mergeCell ref="BT26:BV26"/>
    <mergeCell ref="BP27:BS27"/>
    <mergeCell ref="BL28:BO28"/>
    <mergeCell ref="BT36:BV36"/>
    <mergeCell ref="BL35:BO35"/>
    <mergeCell ref="BT35:BV35"/>
    <mergeCell ref="BL29:BO29"/>
    <mergeCell ref="BL27:BO27"/>
    <mergeCell ref="AE33:AH33"/>
    <mergeCell ref="AE31:AH31"/>
    <mergeCell ref="AE25:AH25"/>
    <mergeCell ref="AE32:AH32"/>
    <mergeCell ref="AI26:AL26"/>
    <mergeCell ref="AI25:AL25"/>
    <mergeCell ref="AM31:AO31"/>
    <mergeCell ref="AM29:AO29"/>
    <mergeCell ref="AM26:AO26"/>
    <mergeCell ref="AM28:AO28"/>
    <mergeCell ref="AI32:AL32"/>
    <mergeCell ref="AI27:AL27"/>
    <mergeCell ref="AM30:AO30"/>
    <mergeCell ref="AM27:AO27"/>
    <mergeCell ref="AM25:AO25"/>
    <mergeCell ref="AI28:AL28"/>
    <mergeCell ref="AI11:AL11"/>
    <mergeCell ref="AM11:AO11"/>
    <mergeCell ref="AM15:AO15"/>
    <mergeCell ref="AM16:AO16"/>
    <mergeCell ref="AM12:AO12"/>
    <mergeCell ref="AM13:AO13"/>
    <mergeCell ref="BP52:BS52"/>
    <mergeCell ref="BP51:BS51"/>
    <mergeCell ref="AM32:AO32"/>
    <mergeCell ref="AI31:AL31"/>
    <mergeCell ref="AI34:AL34"/>
    <mergeCell ref="AI33:AL33"/>
    <mergeCell ref="AM19:AO19"/>
    <mergeCell ref="AX23:AZ23"/>
    <mergeCell ref="AI23:AL23"/>
    <mergeCell ref="AI24:AL24"/>
    <mergeCell ref="AP34:AS34"/>
    <mergeCell ref="AT34:AW34"/>
    <mergeCell ref="AX34:AZ34"/>
    <mergeCell ref="AT32:AW32"/>
    <mergeCell ref="AP33:AS33"/>
    <mergeCell ref="AX25:AZ25"/>
    <mergeCell ref="AT30:AW30"/>
    <mergeCell ref="AT33:AW33"/>
    <mergeCell ref="BE54:BK54"/>
    <mergeCell ref="BP54:BS54"/>
    <mergeCell ref="BT54:BV54"/>
    <mergeCell ref="BE53:BK53"/>
    <mergeCell ref="BL53:BO53"/>
    <mergeCell ref="BP53:BS53"/>
    <mergeCell ref="BT53:BV53"/>
    <mergeCell ref="AX11:AZ11"/>
    <mergeCell ref="BT25:BV25"/>
    <mergeCell ref="BP24:BS24"/>
    <mergeCell ref="BP23:BS23"/>
    <mergeCell ref="BE37:BK37"/>
    <mergeCell ref="BL36:BO36"/>
    <mergeCell ref="BL48:BO48"/>
    <mergeCell ref="BP38:BS38"/>
    <mergeCell ref="BL34:BO34"/>
    <mergeCell ref="BT39:BV39"/>
    <mergeCell ref="BL37:BO37"/>
    <mergeCell ref="BP37:BS37"/>
    <mergeCell ref="BT37:BV37"/>
    <mergeCell ref="BP34:BS34"/>
    <mergeCell ref="BT34:BV34"/>
    <mergeCell ref="BP36:BS36"/>
    <mergeCell ref="AX18:AZ18"/>
    <mergeCell ref="B58:H58"/>
    <mergeCell ref="I58:L58"/>
    <mergeCell ref="B53:H54"/>
    <mergeCell ref="I55:L55"/>
    <mergeCell ref="I57:L57"/>
    <mergeCell ref="I53:S53"/>
    <mergeCell ref="M55:P55"/>
    <mergeCell ref="M48:P48"/>
    <mergeCell ref="I49:L49"/>
    <mergeCell ref="M49:P49"/>
    <mergeCell ref="Q48:S48"/>
    <mergeCell ref="Q49:S49"/>
    <mergeCell ref="I48:L48"/>
    <mergeCell ref="B55:D56"/>
    <mergeCell ref="E55:H55"/>
    <mergeCell ref="E56:H56"/>
    <mergeCell ref="Q56:S56"/>
    <mergeCell ref="I56:L56"/>
    <mergeCell ref="M56:P56"/>
    <mergeCell ref="Q54:S54"/>
    <mergeCell ref="I54:L54"/>
    <mergeCell ref="Q55:S55"/>
    <mergeCell ref="M54:P54"/>
    <mergeCell ref="B57:H57"/>
    <mergeCell ref="T8:AD8"/>
    <mergeCell ref="I20:L20"/>
    <mergeCell ref="AE24:AH24"/>
    <mergeCell ref="Q17:S17"/>
    <mergeCell ref="I47:L47"/>
    <mergeCell ref="T11:W11"/>
    <mergeCell ref="X11:AA11"/>
    <mergeCell ref="I24:L24"/>
    <mergeCell ref="I19:L19"/>
    <mergeCell ref="AB23:AD23"/>
    <mergeCell ref="T23:W23"/>
    <mergeCell ref="T24:W24"/>
    <mergeCell ref="Q24:S24"/>
    <mergeCell ref="M19:P19"/>
    <mergeCell ref="M20:P20"/>
    <mergeCell ref="I8:S8"/>
    <mergeCell ref="I10:L10"/>
    <mergeCell ref="I9:L9"/>
    <mergeCell ref="I11:L11"/>
    <mergeCell ref="T9:W9"/>
    <mergeCell ref="X9:AA9"/>
    <mergeCell ref="AB9:AD9"/>
    <mergeCell ref="T10:W10"/>
    <mergeCell ref="AE11:AH11"/>
    <mergeCell ref="BE51:BK51"/>
    <mergeCell ref="BE52:BK52"/>
    <mergeCell ref="B1:D1"/>
    <mergeCell ref="B3:F3"/>
    <mergeCell ref="G3:I3"/>
    <mergeCell ref="J3:P3"/>
    <mergeCell ref="Q3:U3"/>
    <mergeCell ref="V3:Z3"/>
    <mergeCell ref="AB3:AF3"/>
    <mergeCell ref="AG3:AK3"/>
    <mergeCell ref="X10:AA10"/>
    <mergeCell ref="AB10:AD10"/>
    <mergeCell ref="AB11:AD11"/>
    <mergeCell ref="Q9:S9"/>
    <mergeCell ref="M10:P10"/>
    <mergeCell ref="M11:P11"/>
    <mergeCell ref="Q10:S10"/>
    <mergeCell ref="M9:P9"/>
    <mergeCell ref="Q11:S11"/>
    <mergeCell ref="AP13:AS13"/>
    <mergeCell ref="AX12:AZ12"/>
    <mergeCell ref="AX17:AZ17"/>
    <mergeCell ref="AT17:AW17"/>
    <mergeCell ref="AT12:AW12"/>
  </mergeCells>
  <phoneticPr fontId="2"/>
  <printOptions horizontalCentered="1"/>
  <pageMargins left="0" right="0" top="1.1811023622047245" bottom="0.19685039370078741" header="0.31496062992125984" footer="0.19685039370078741"/>
  <pageSetup paperSize="9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DT105"/>
  <sheetViews>
    <sheetView showGridLines="0" view="pageBreakPreview" zoomScaleNormal="100" zoomScaleSheetLayoutView="100" workbookViewId="0"/>
  </sheetViews>
  <sheetFormatPr defaultColWidth="9.140625" defaultRowHeight="12.75"/>
  <cols>
    <col min="1" max="2" width="2.28515625" style="2" customWidth="1"/>
    <col min="3" max="101" width="2.7109375" style="2" customWidth="1"/>
    <col min="102" max="103" width="2.28515625" style="2" customWidth="1"/>
    <col min="104" max="109" width="2.7109375" style="2" customWidth="1"/>
    <col min="110" max="16384" width="9.140625" style="2"/>
  </cols>
  <sheetData>
    <row r="1" spans="2:124" ht="14.25" customHeight="1">
      <c r="B1" s="103" t="str">
        <f>AB4</f>
        <v/>
      </c>
      <c r="C1" s="103"/>
      <c r="D1" s="103"/>
      <c r="E1" s="95" t="s">
        <v>241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CB1" s="27"/>
      <c r="CD1" s="27"/>
      <c r="CE1" s="194"/>
      <c r="CF1" s="195"/>
      <c r="CG1" s="195"/>
      <c r="CH1" s="195"/>
    </row>
    <row r="2" spans="2:124" ht="13.5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CB2" s="27"/>
      <c r="CD2" s="27"/>
      <c r="CE2" s="194"/>
      <c r="CF2" s="195"/>
      <c r="CG2" s="195"/>
      <c r="CH2" s="195"/>
    </row>
    <row r="3" spans="2:124" ht="14.25" customHeight="1">
      <c r="B3" s="104"/>
      <c r="C3" s="105"/>
      <c r="D3" s="105"/>
      <c r="E3" s="105"/>
      <c r="F3" s="106"/>
      <c r="G3" s="107" t="s">
        <v>335</v>
      </c>
      <c r="H3" s="108"/>
      <c r="I3" s="109"/>
      <c r="J3" s="110" t="s">
        <v>336</v>
      </c>
      <c r="K3" s="111"/>
      <c r="L3" s="111"/>
      <c r="M3" s="111"/>
      <c r="N3" s="111"/>
      <c r="O3" s="111"/>
      <c r="P3" s="112"/>
      <c r="Q3" s="107" t="s">
        <v>337</v>
      </c>
      <c r="R3" s="108"/>
      <c r="S3" s="108"/>
      <c r="T3" s="108"/>
      <c r="U3" s="109"/>
      <c r="V3" s="110" t="s">
        <v>338</v>
      </c>
      <c r="W3" s="111"/>
      <c r="X3" s="111"/>
      <c r="Y3" s="111"/>
      <c r="Z3" s="113"/>
      <c r="AB3" s="114" t="s">
        <v>341</v>
      </c>
      <c r="AC3" s="115"/>
      <c r="AD3" s="115"/>
      <c r="AE3" s="115"/>
      <c r="AF3" s="116"/>
      <c r="AG3" s="117" t="s">
        <v>330</v>
      </c>
      <c r="AH3" s="115"/>
      <c r="AI3" s="115"/>
      <c r="AJ3" s="115"/>
      <c r="AK3" s="116"/>
      <c r="AL3" s="117" t="s">
        <v>342</v>
      </c>
      <c r="AM3" s="115"/>
      <c r="AN3" s="115"/>
      <c r="AO3" s="115"/>
      <c r="AP3" s="116"/>
      <c r="AQ3" s="117" t="s">
        <v>343</v>
      </c>
      <c r="AR3" s="115"/>
      <c r="AS3" s="115"/>
      <c r="AT3" s="115"/>
      <c r="AU3" s="116"/>
      <c r="AV3" s="117" t="s">
        <v>344</v>
      </c>
      <c r="AW3" s="115"/>
      <c r="AX3" s="115"/>
      <c r="AY3" s="115"/>
      <c r="AZ3" s="116"/>
      <c r="BA3" s="117" t="s">
        <v>2</v>
      </c>
      <c r="BB3" s="115"/>
      <c r="BC3" s="115"/>
      <c r="BD3" s="115"/>
      <c r="BE3" s="116"/>
      <c r="BF3" s="117" t="s">
        <v>345</v>
      </c>
      <c r="BG3" s="115"/>
      <c r="BH3" s="115"/>
      <c r="BI3" s="115"/>
      <c r="BJ3" s="116"/>
      <c r="BK3" s="117" t="s">
        <v>334</v>
      </c>
      <c r="BL3" s="115"/>
      <c r="BM3" s="115"/>
      <c r="BN3" s="115"/>
      <c r="BO3" s="270"/>
    </row>
    <row r="4" spans="2:124" ht="14.25" customHeight="1" thickBot="1">
      <c r="B4" s="297" t="s">
        <v>340</v>
      </c>
      <c r="C4" s="298"/>
      <c r="D4" s="298"/>
      <c r="E4" s="298"/>
      <c r="F4" s="299"/>
      <c r="G4" s="248" t="str">
        <f>IF(No.1!G4="","",No.1!G4)</f>
        <v/>
      </c>
      <c r="H4" s="101"/>
      <c r="I4" s="300"/>
      <c r="J4" s="248" t="str">
        <f>IF(No.1!J4="","",No.1!J4)</f>
        <v/>
      </c>
      <c r="K4" s="101"/>
      <c r="L4" s="101"/>
      <c r="M4" s="101"/>
      <c r="N4" s="101"/>
      <c r="O4" s="101"/>
      <c r="P4" s="300"/>
      <c r="Q4" s="248" t="str">
        <f>IF(No.1!Q4="","",No.1!Q4)</f>
        <v/>
      </c>
      <c r="R4" s="101"/>
      <c r="S4" s="101"/>
      <c r="T4" s="101"/>
      <c r="U4" s="101"/>
      <c r="V4" s="301" t="str">
        <f>IF(No.1!V4="","",No.1!V4)</f>
        <v/>
      </c>
      <c r="W4" s="302"/>
      <c r="X4" s="302"/>
      <c r="Y4" s="302"/>
      <c r="Z4" s="303"/>
      <c r="AA4" s="28"/>
      <c r="AB4" s="286" t="str">
        <f>IF(No.1!AB4="","",No.1!AB4)</f>
        <v/>
      </c>
      <c r="AC4" s="287"/>
      <c r="AD4" s="287"/>
      <c r="AE4" s="287"/>
      <c r="AF4" s="288"/>
      <c r="AG4" s="92" t="str">
        <f>IF(No.1!AG4="","",No.1!AG4)</f>
        <v/>
      </c>
      <c r="AH4" s="217" t="str">
        <f>IF(No.1!AH4="","",No.1!AH4)</f>
        <v/>
      </c>
      <c r="AI4" s="217" t="str">
        <f>IF(No.1!AI4="","",No.1!AI4)</f>
        <v/>
      </c>
      <c r="AJ4" s="217" t="str">
        <f>IF(No.1!AJ4="","",No.1!AJ4)</f>
        <v/>
      </c>
      <c r="AK4" s="293" t="str">
        <f>IF(No.1!AK4="","",No.1!AK4)</f>
        <v/>
      </c>
      <c r="AL4" s="93" t="str">
        <f>IF(No.1!AL4="","",No.1!AL4)</f>
        <v/>
      </c>
      <c r="AM4" s="217" t="str">
        <f>IF(No.1!AM4="","",No.1!AM4)</f>
        <v/>
      </c>
      <c r="AN4" s="217" t="str">
        <f>IF(No.1!AN4="","",No.1!AN4)</f>
        <v/>
      </c>
      <c r="AO4" s="217" t="str">
        <f>IF(No.1!AO4="","",No.1!AO4)</f>
        <v/>
      </c>
      <c r="AP4" s="293" t="str">
        <f>IF(No.1!AP4="","",No.1!AP4)</f>
        <v/>
      </c>
      <c r="AQ4" s="92" t="str">
        <f>IF(No.1!AQ4="","",No.1!AQ4)</f>
        <v/>
      </c>
      <c r="AR4" s="217" t="str">
        <f>IF(No.1!AR4="","",No.1!AR4)</f>
        <v/>
      </c>
      <c r="AS4" s="217" t="str">
        <f>IF(No.1!AS4="","",No.1!AS4)</f>
        <v/>
      </c>
      <c r="AT4" s="217" t="str">
        <f>IF(No.1!AT4="","",No.1!AT4)</f>
        <v/>
      </c>
      <c r="AU4" s="293" t="str">
        <f>IF(No.1!AU4="","",No.1!AU4)</f>
        <v/>
      </c>
      <c r="AV4" s="92" t="str">
        <f>IF(No.1!AV4="","",No.1!AV4)</f>
        <v/>
      </c>
      <c r="AW4" s="217" t="str">
        <f>IF(No.1!AW4="","",No.1!AW4)</f>
        <v/>
      </c>
      <c r="AX4" s="217" t="str">
        <f>IF(No.1!AX4="","",No.1!AX4)</f>
        <v/>
      </c>
      <c r="AY4" s="217" t="str">
        <f>IF(No.1!AY4="","",No.1!AY4)</f>
        <v/>
      </c>
      <c r="AZ4" s="293" t="str">
        <f>IF(No.1!AZ4="","",No.1!AZ4)</f>
        <v/>
      </c>
      <c r="BA4" s="93" t="str">
        <f>IF(No.1!BA4="","",No.1!BA4)</f>
        <v/>
      </c>
      <c r="BB4" s="217" t="str">
        <f>IF(No.1!BB4="","",No.1!BB4)</f>
        <v/>
      </c>
      <c r="BC4" s="217" t="str">
        <f>IF(No.1!BC4="","",No.1!BC4)</f>
        <v/>
      </c>
      <c r="BD4" s="217" t="str">
        <f>IF(No.1!BD4="","",No.1!BD4)</f>
        <v/>
      </c>
      <c r="BE4" s="293" t="str">
        <f>IF(No.1!BE4="","",No.1!BE4)</f>
        <v/>
      </c>
      <c r="BF4" s="94" t="str">
        <f>IF(No.1!BF4="","",No.1!BF4)</f>
        <v/>
      </c>
      <c r="BG4" s="217" t="str">
        <f>IF(No.1!BG4="","",No.1!BG4)</f>
        <v/>
      </c>
      <c r="BH4" s="217" t="str">
        <f>IF(No.1!BH4="","",No.1!BH4)</f>
        <v/>
      </c>
      <c r="BI4" s="217" t="str">
        <f>IF(No.1!BI4="","",No.1!BI4)</f>
        <v/>
      </c>
      <c r="BJ4" s="293" t="str">
        <f>IF(No.1!BJ4="","",No.1!BJ4)</f>
        <v/>
      </c>
      <c r="BK4" s="94" t="str">
        <f>IF(No.1!BK4="","",No.1!BK4)</f>
        <v/>
      </c>
      <c r="BL4" s="217" t="str">
        <f>IF(No.1!BL4="","",No.1!BL4)</f>
        <v/>
      </c>
      <c r="BM4" s="217" t="str">
        <f>IF(No.1!BM4="","",No.1!BM4)</f>
        <v/>
      </c>
      <c r="BN4" s="217" t="str">
        <f>IF(No.1!BN4="","",No.1!BN4)</f>
        <v/>
      </c>
      <c r="BO4" s="218" t="str">
        <f>IF(No.1!BO4="","",No.1!BO4)</f>
        <v/>
      </c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</row>
    <row r="5" spans="2:124" ht="14.25" customHeight="1" thickBot="1">
      <c r="B5" s="289" t="s">
        <v>339</v>
      </c>
      <c r="C5" s="290"/>
      <c r="D5" s="290"/>
      <c r="E5" s="290"/>
      <c r="F5" s="291"/>
      <c r="G5" s="292" t="str">
        <f>IF(No.1!G5="","",No.1!G5)</f>
        <v/>
      </c>
      <c r="H5" s="217"/>
      <c r="I5" s="293"/>
      <c r="J5" s="292" t="str">
        <f>IF(No.1!J5="","",No.1!J5)</f>
        <v/>
      </c>
      <c r="K5" s="217"/>
      <c r="L5" s="217"/>
      <c r="M5" s="217"/>
      <c r="N5" s="217"/>
      <c r="O5" s="217"/>
      <c r="P5" s="293"/>
      <c r="Q5" s="292" t="str">
        <f>IF(No.1!Q5="","",No.1!Q5)</f>
        <v/>
      </c>
      <c r="R5" s="217"/>
      <c r="S5" s="217"/>
      <c r="T5" s="217"/>
      <c r="U5" s="217"/>
      <c r="V5" s="294" t="str">
        <f>IF(No.1!V5="","",No.1!V5)</f>
        <v/>
      </c>
      <c r="W5" s="295"/>
      <c r="X5" s="295"/>
      <c r="Y5" s="295"/>
      <c r="Z5" s="296"/>
      <c r="AA5" s="28"/>
      <c r="AB5" s="28"/>
      <c r="AC5" s="28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</row>
    <row r="6" spans="2:124">
      <c r="B6" s="28"/>
      <c r="C6" s="28"/>
      <c r="D6" s="28"/>
      <c r="E6" s="28"/>
      <c r="F6" s="28"/>
      <c r="G6" s="28"/>
      <c r="H6" s="28"/>
      <c r="I6" s="28"/>
      <c r="J6" s="71"/>
      <c r="K6" s="71"/>
      <c r="L6" s="71"/>
      <c r="M6" s="71"/>
      <c r="N6" s="71"/>
      <c r="O6" s="71"/>
      <c r="P6" s="71"/>
      <c r="Q6" s="70"/>
      <c r="R6" s="70"/>
      <c r="S6" s="70"/>
      <c r="T6" s="70"/>
      <c r="U6" s="70"/>
      <c r="V6" s="70"/>
      <c r="W6" s="70"/>
      <c r="X6" s="70"/>
      <c r="Y6" s="70"/>
      <c r="Z6" s="70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</row>
    <row r="7" spans="2:124" ht="12.75" customHeight="1" thickBot="1">
      <c r="B7" s="2" t="s">
        <v>313</v>
      </c>
      <c r="AO7" s="1" t="s">
        <v>1</v>
      </c>
      <c r="AT7" s="2" t="s">
        <v>320</v>
      </c>
    </row>
    <row r="8" spans="2:124" ht="12.75" customHeight="1">
      <c r="B8" s="153"/>
      <c r="C8" s="154"/>
      <c r="D8" s="154"/>
      <c r="E8" s="154"/>
      <c r="F8" s="154"/>
      <c r="G8" s="154"/>
      <c r="H8" s="155"/>
      <c r="I8" s="134" t="s">
        <v>51</v>
      </c>
      <c r="J8" s="135"/>
      <c r="K8" s="135"/>
      <c r="L8" s="135"/>
      <c r="M8" s="135"/>
      <c r="N8" s="135"/>
      <c r="O8" s="135"/>
      <c r="P8" s="135"/>
      <c r="Q8" s="135"/>
      <c r="R8" s="135"/>
      <c r="S8" s="136"/>
      <c r="T8" s="134" t="s">
        <v>52</v>
      </c>
      <c r="U8" s="135"/>
      <c r="V8" s="135"/>
      <c r="W8" s="135"/>
      <c r="X8" s="135"/>
      <c r="Y8" s="135"/>
      <c r="Z8" s="135"/>
      <c r="AA8" s="135"/>
      <c r="AB8" s="135"/>
      <c r="AC8" s="135"/>
      <c r="AD8" s="136"/>
      <c r="AE8" s="134" t="s">
        <v>13</v>
      </c>
      <c r="AF8" s="135"/>
      <c r="AG8" s="135"/>
      <c r="AH8" s="135"/>
      <c r="AI8" s="135"/>
      <c r="AJ8" s="135"/>
      <c r="AK8" s="135"/>
      <c r="AL8" s="135"/>
      <c r="AM8" s="135"/>
      <c r="AN8" s="135"/>
      <c r="AO8" s="136"/>
      <c r="AT8" s="273"/>
      <c r="AU8" s="274"/>
      <c r="AV8" s="274"/>
      <c r="AW8" s="274"/>
      <c r="AX8" s="274"/>
      <c r="AY8" s="274"/>
      <c r="AZ8" s="274"/>
      <c r="BA8" s="275"/>
      <c r="BB8" s="428" t="s">
        <v>81</v>
      </c>
      <c r="BC8" s="409"/>
      <c r="BD8" s="409"/>
      <c r="BE8" s="409"/>
      <c r="BF8" s="409"/>
      <c r="BG8" s="409"/>
      <c r="BH8" s="409"/>
      <c r="BI8" s="409"/>
      <c r="BJ8" s="409"/>
      <c r="BK8" s="409"/>
      <c r="BL8" s="410"/>
    </row>
    <row r="9" spans="2:124" ht="12.75" customHeight="1" thickBot="1">
      <c r="B9" s="156"/>
      <c r="C9" s="157"/>
      <c r="D9" s="157"/>
      <c r="E9" s="157"/>
      <c r="F9" s="157"/>
      <c r="G9" s="157"/>
      <c r="H9" s="158"/>
      <c r="I9" s="146" t="str">
        <f>IF($B$1&lt;&gt;"",$B$1,"")</f>
        <v/>
      </c>
      <c r="J9" s="128"/>
      <c r="K9" s="128"/>
      <c r="L9" s="128"/>
      <c r="M9" s="127" t="str">
        <f>IF($B$1&lt;&gt;"",$B$1-1,"")</f>
        <v/>
      </c>
      <c r="N9" s="128"/>
      <c r="O9" s="128"/>
      <c r="P9" s="129"/>
      <c r="Q9" s="321" t="s">
        <v>217</v>
      </c>
      <c r="R9" s="322"/>
      <c r="S9" s="322"/>
      <c r="T9" s="146" t="str">
        <f>IF($B$1&lt;&gt;"",$B$1,"")</f>
        <v/>
      </c>
      <c r="U9" s="128"/>
      <c r="V9" s="128"/>
      <c r="W9" s="128"/>
      <c r="X9" s="127" t="str">
        <f>IF($B$1&lt;&gt;"",$B$1-1,"")</f>
        <v/>
      </c>
      <c r="Y9" s="128"/>
      <c r="Z9" s="128"/>
      <c r="AA9" s="129"/>
      <c r="AB9" s="321" t="s">
        <v>217</v>
      </c>
      <c r="AC9" s="322"/>
      <c r="AD9" s="323"/>
      <c r="AE9" s="146" t="str">
        <f>IF($B$1&lt;&gt;"",$B$1,"")</f>
        <v/>
      </c>
      <c r="AF9" s="128"/>
      <c r="AG9" s="128"/>
      <c r="AH9" s="128"/>
      <c r="AI9" s="127" t="str">
        <f>IF($B$1&lt;&gt;"",$B$1-1,"")</f>
        <v/>
      </c>
      <c r="AJ9" s="128"/>
      <c r="AK9" s="128"/>
      <c r="AL9" s="129"/>
      <c r="AM9" s="321" t="s">
        <v>217</v>
      </c>
      <c r="AN9" s="322"/>
      <c r="AO9" s="323"/>
      <c r="AT9" s="276"/>
      <c r="AU9" s="277"/>
      <c r="AV9" s="277"/>
      <c r="AW9" s="277"/>
      <c r="AX9" s="277"/>
      <c r="AY9" s="277"/>
      <c r="AZ9" s="277"/>
      <c r="BA9" s="278"/>
      <c r="BB9" s="146" t="str">
        <f>IF($B$1&lt;&gt;"",$B$1,"")</f>
        <v/>
      </c>
      <c r="BC9" s="128"/>
      <c r="BD9" s="128"/>
      <c r="BE9" s="128"/>
      <c r="BF9" s="127" t="str">
        <f>IF($B$1&lt;&gt;"",$B$1-1,"")</f>
        <v/>
      </c>
      <c r="BG9" s="128"/>
      <c r="BH9" s="128"/>
      <c r="BI9" s="129"/>
      <c r="BJ9" s="321" t="s">
        <v>303</v>
      </c>
      <c r="BK9" s="322"/>
      <c r="BL9" s="323"/>
    </row>
    <row r="10" spans="2:124" ht="12.75" customHeight="1">
      <c r="B10" s="267" t="s">
        <v>53</v>
      </c>
      <c r="C10" s="268"/>
      <c r="D10" s="268"/>
      <c r="E10" s="268"/>
      <c r="F10" s="268"/>
      <c r="G10" s="268"/>
      <c r="H10" s="269"/>
      <c r="I10" s="344"/>
      <c r="J10" s="345"/>
      <c r="K10" s="345"/>
      <c r="L10" s="345"/>
      <c r="M10" s="345"/>
      <c r="N10" s="345"/>
      <c r="O10" s="345"/>
      <c r="P10" s="345"/>
      <c r="Q10" s="316" t="str">
        <f>IF(I10="-", "-", IF(M10="-", "-", IF(ABS(M10)=0, "-", ROUND(100*(I10-M10)/ABS(M10), 10))))</f>
        <v>-</v>
      </c>
      <c r="R10" s="316" t="str">
        <f t="shared" ref="R10:S14" si="0">IF(N10="-", "-", IF(P10="-", "-", IF(ABS(P10)=0, "-", ROUND(100*(N10-P10)/ABS(P10), 1))))</f>
        <v>-</v>
      </c>
      <c r="S10" s="317" t="str">
        <f t="shared" si="0"/>
        <v>-</v>
      </c>
      <c r="T10" s="344"/>
      <c r="U10" s="345"/>
      <c r="V10" s="345"/>
      <c r="W10" s="345"/>
      <c r="X10" s="345"/>
      <c r="Y10" s="345"/>
      <c r="Z10" s="345"/>
      <c r="AA10" s="345"/>
      <c r="AB10" s="316" t="str">
        <f>IF(T10="-", "-", IF(X10="-", "-", IF(ABS(X10)=0, "-", ROUND(100*(T10-X10)/ABS(X10), 10))))</f>
        <v>-</v>
      </c>
      <c r="AC10" s="316" t="str">
        <f>IF(Y10="-", "-", IF(AA10="-", "-", IF(ABS(AA10)=0, "-", ROUND(100*(Y10-AA10)/ABS(AA10), 1))))</f>
        <v>-</v>
      </c>
      <c r="AD10" s="317" t="str">
        <f>IF(Z10="-", "-", IF(AB10="-", "-", IF(ABS(AB10)=0, "-", ROUND(100*(Z10-AB10)/ABS(AB10), 1))))</f>
        <v>-</v>
      </c>
      <c r="AE10" s="346"/>
      <c r="AF10" s="347"/>
      <c r="AG10" s="347"/>
      <c r="AH10" s="347"/>
      <c r="AI10" s="347"/>
      <c r="AJ10" s="347"/>
      <c r="AK10" s="347"/>
      <c r="AL10" s="347"/>
      <c r="AM10" s="320" t="str">
        <f>IF(AE10="-", "-", IF(AI10="-", "-", IF(ABS(AI10)=0, "-", ROUND(100*(AE10-AI10)/ABS(AI10), 10))))</f>
        <v>-</v>
      </c>
      <c r="AN10" s="320" t="str">
        <f t="shared" ref="AN10:AO14" si="1">IF(AJ10="-", "-", IF(AL10="-", "-", IF(ABS(AL10)=0, "-", ROUND(100*(AJ10-AL10)/ABS(AL10), 1))))</f>
        <v>-</v>
      </c>
      <c r="AO10" s="324" t="str">
        <f t="shared" si="1"/>
        <v>-</v>
      </c>
      <c r="AT10" s="327" t="s">
        <v>256</v>
      </c>
      <c r="AU10" s="328"/>
      <c r="AV10" s="328"/>
      <c r="AW10" s="328"/>
      <c r="AX10" s="328"/>
      <c r="AY10" s="328"/>
      <c r="AZ10" s="329"/>
      <c r="BA10" s="96" t="s">
        <v>304</v>
      </c>
      <c r="BB10" s="330"/>
      <c r="BC10" s="330"/>
      <c r="BD10" s="330"/>
      <c r="BE10" s="330"/>
      <c r="BF10" s="339"/>
      <c r="BG10" s="330"/>
      <c r="BH10" s="330"/>
      <c r="BI10" s="340"/>
      <c r="BJ10" s="121" t="str">
        <f t="shared" ref="BJ10:BJ16" si="2">IF(BB10="-", "-", IF(BF10="-", "-", IF(ABS(BF10)=0, "-", ROUND(100*(BB10-BF10)/ABS(BF10), 10))))</f>
        <v>-</v>
      </c>
      <c r="BK10" s="121" t="str">
        <f t="shared" ref="BK10" si="3">IF(BG10="-", "-", IF(BI10="-", "-", IF(ABS(BI10)=0, "-", ROUND(100*(BG10-BI10)/ABS(BI10), 1))))</f>
        <v>-</v>
      </c>
      <c r="BL10" s="122" t="str">
        <f t="shared" ref="BL10" si="4">IF(BH10="-", "-", IF(BJ10="-", "-", IF(ABS(BJ10)=0, "-", ROUND(100*(BH10-BJ10)/ABS(BJ10), 1))))</f>
        <v>-</v>
      </c>
    </row>
    <row r="11" spans="2:124" ht="12.75" customHeight="1">
      <c r="B11" s="178" t="s">
        <v>297</v>
      </c>
      <c r="C11" s="179"/>
      <c r="D11" s="179"/>
      <c r="E11" s="179"/>
      <c r="F11" s="179"/>
      <c r="G11" s="179"/>
      <c r="H11" s="180"/>
      <c r="I11" s="142"/>
      <c r="J11" s="126"/>
      <c r="K11" s="126"/>
      <c r="L11" s="126"/>
      <c r="M11" s="126"/>
      <c r="N11" s="126"/>
      <c r="O11" s="126"/>
      <c r="P11" s="126"/>
      <c r="Q11" s="121" t="str">
        <f>IF(I11="-", "-", IF(M11="-", "-", IF(ABS(M11)=0, "-", ROUND(100*(I11-M11)/ABS(M11), 10))))</f>
        <v>-</v>
      </c>
      <c r="R11" s="121" t="str">
        <f t="shared" si="0"/>
        <v>-</v>
      </c>
      <c r="S11" s="122" t="str">
        <f t="shared" si="0"/>
        <v>-</v>
      </c>
      <c r="T11" s="142"/>
      <c r="U11" s="126"/>
      <c r="V11" s="126"/>
      <c r="W11" s="126"/>
      <c r="X11" s="126"/>
      <c r="Y11" s="126"/>
      <c r="Z11" s="126"/>
      <c r="AA11" s="126"/>
      <c r="AB11" s="121" t="str">
        <f>IF(T11="-", "-", IF(X11="-", "-", IF(ABS(X11)=0, "-", ROUND(100*(T11-X11)/ABS(X11), 10))))</f>
        <v>-</v>
      </c>
      <c r="AC11" s="121" t="str">
        <f t="shared" ref="AC11:AD13" si="5">IF(Y11="-", "-", IF(AA11="-", "-", IF(ABS(AA11)=0, "-", ROUND(100*(Y11-AA11)/ABS(AA11), 1))))</f>
        <v>-</v>
      </c>
      <c r="AD11" s="122" t="str">
        <f t="shared" si="5"/>
        <v>-</v>
      </c>
      <c r="AE11" s="130"/>
      <c r="AF11" s="131"/>
      <c r="AG11" s="131"/>
      <c r="AH11" s="131"/>
      <c r="AI11" s="131"/>
      <c r="AJ11" s="131"/>
      <c r="AK11" s="131"/>
      <c r="AL11" s="131"/>
      <c r="AM11" s="132" t="str">
        <f>IF(AE11="-", "-", IF(AI11="-", "-", IF(ABS(AI11)=0, "-", ROUND(100*(AE11-AI11)/ABS(AI11), 10))))</f>
        <v>-</v>
      </c>
      <c r="AN11" s="132" t="str">
        <f t="shared" si="1"/>
        <v>-</v>
      </c>
      <c r="AO11" s="133" t="str">
        <f t="shared" si="1"/>
        <v>-</v>
      </c>
      <c r="AT11" s="175" t="s">
        <v>87</v>
      </c>
      <c r="AU11" s="176"/>
      <c r="AV11" s="176"/>
      <c r="AW11" s="176"/>
      <c r="AX11" s="176"/>
      <c r="AY11" s="176"/>
      <c r="AZ11" s="326"/>
      <c r="BA11" s="97" t="s">
        <v>304</v>
      </c>
      <c r="BB11" s="330"/>
      <c r="BC11" s="330"/>
      <c r="BD11" s="330"/>
      <c r="BE11" s="330"/>
      <c r="BF11" s="339"/>
      <c r="BG11" s="330"/>
      <c r="BH11" s="330"/>
      <c r="BI11" s="340"/>
      <c r="BJ11" s="121" t="str">
        <f t="shared" si="2"/>
        <v>-</v>
      </c>
      <c r="BK11" s="121" t="str">
        <f t="shared" ref="BK11:BL16" si="6">IF(BG11="-", "-", IF(BI11="-", "-", IF(ABS(BI11)=0, "-", ROUND(100*(BG11-BI11)/ABS(BI11), 1))))</f>
        <v>-</v>
      </c>
      <c r="BL11" s="122" t="str">
        <f t="shared" si="6"/>
        <v>-</v>
      </c>
    </row>
    <row r="12" spans="2:124" ht="12.75" customHeight="1">
      <c r="B12" s="175" t="s">
        <v>298</v>
      </c>
      <c r="C12" s="176"/>
      <c r="D12" s="176"/>
      <c r="E12" s="176"/>
      <c r="F12" s="176"/>
      <c r="G12" s="176"/>
      <c r="H12" s="177"/>
      <c r="I12" s="142"/>
      <c r="J12" s="126"/>
      <c r="K12" s="126"/>
      <c r="L12" s="126"/>
      <c r="M12" s="126"/>
      <c r="N12" s="126"/>
      <c r="O12" s="126"/>
      <c r="P12" s="126"/>
      <c r="Q12" s="121" t="str">
        <f>IF(I12="-", "-", IF(M12="-", "-", IF(ABS(M12)=0, "-", ROUND(100*(I12-M12)/ABS(M12), 10))))</f>
        <v>-</v>
      </c>
      <c r="R12" s="121" t="str">
        <f t="shared" si="0"/>
        <v>-</v>
      </c>
      <c r="S12" s="122" t="str">
        <f t="shared" si="0"/>
        <v>-</v>
      </c>
      <c r="T12" s="142"/>
      <c r="U12" s="126"/>
      <c r="V12" s="126"/>
      <c r="W12" s="126"/>
      <c r="X12" s="126"/>
      <c r="Y12" s="126"/>
      <c r="Z12" s="126"/>
      <c r="AA12" s="126"/>
      <c r="AB12" s="121" t="str">
        <f>IF(T12="-", "-", IF(X12="-", "-", IF(ABS(X12)=0, "-", ROUND(100*(T12-X12)/ABS(X12), 10))))</f>
        <v>-</v>
      </c>
      <c r="AC12" s="121" t="str">
        <f t="shared" si="5"/>
        <v>-</v>
      </c>
      <c r="AD12" s="122" t="str">
        <f t="shared" si="5"/>
        <v>-</v>
      </c>
      <c r="AE12" s="130"/>
      <c r="AF12" s="131"/>
      <c r="AG12" s="131"/>
      <c r="AH12" s="131"/>
      <c r="AI12" s="131"/>
      <c r="AJ12" s="131"/>
      <c r="AK12" s="131"/>
      <c r="AL12" s="131"/>
      <c r="AM12" s="132" t="str">
        <f>IF(AE12="-", "-", IF(AI12="-", "-", IF(ABS(AI12)=0, "-", ROUND(100*(AE12-AI12)/ABS(AI12), 10))))</f>
        <v>-</v>
      </c>
      <c r="AN12" s="132" t="str">
        <f t="shared" si="1"/>
        <v>-</v>
      </c>
      <c r="AO12" s="133" t="str">
        <f t="shared" si="1"/>
        <v>-</v>
      </c>
      <c r="AT12" s="175" t="s">
        <v>37</v>
      </c>
      <c r="AU12" s="176"/>
      <c r="AV12" s="176"/>
      <c r="AW12" s="176"/>
      <c r="AX12" s="176"/>
      <c r="AY12" s="176"/>
      <c r="AZ12" s="326"/>
      <c r="BA12" s="97" t="s">
        <v>304</v>
      </c>
      <c r="BB12" s="330"/>
      <c r="BC12" s="330"/>
      <c r="BD12" s="330"/>
      <c r="BE12" s="330"/>
      <c r="BF12" s="339"/>
      <c r="BG12" s="330"/>
      <c r="BH12" s="330"/>
      <c r="BI12" s="340"/>
      <c r="BJ12" s="121" t="str">
        <f t="shared" si="2"/>
        <v>-</v>
      </c>
      <c r="BK12" s="121" t="str">
        <f t="shared" si="6"/>
        <v>-</v>
      </c>
      <c r="BL12" s="122" t="str">
        <f t="shared" si="6"/>
        <v>-</v>
      </c>
    </row>
    <row r="13" spans="2:124" ht="12.75" customHeight="1">
      <c r="B13" s="221" t="s">
        <v>54</v>
      </c>
      <c r="C13" s="222"/>
      <c r="D13" s="222"/>
      <c r="E13" s="222"/>
      <c r="F13" s="222"/>
      <c r="G13" s="222"/>
      <c r="H13" s="223"/>
      <c r="I13" s="142"/>
      <c r="J13" s="126"/>
      <c r="K13" s="126"/>
      <c r="L13" s="126"/>
      <c r="M13" s="126"/>
      <c r="N13" s="126"/>
      <c r="O13" s="126"/>
      <c r="P13" s="126"/>
      <c r="Q13" s="121" t="str">
        <f>IF(I13="-", "-", IF(M13="-", "-", IF(ABS(M13)=0, "-", ROUND(100*(I13-M13)/ABS(M13), 10))))</f>
        <v>-</v>
      </c>
      <c r="R13" s="121" t="str">
        <f t="shared" si="0"/>
        <v>-</v>
      </c>
      <c r="S13" s="122" t="str">
        <f t="shared" si="0"/>
        <v>-</v>
      </c>
      <c r="T13" s="142"/>
      <c r="U13" s="126"/>
      <c r="V13" s="126"/>
      <c r="W13" s="126"/>
      <c r="X13" s="126"/>
      <c r="Y13" s="126"/>
      <c r="Z13" s="126"/>
      <c r="AA13" s="126"/>
      <c r="AB13" s="121" t="str">
        <f>IF(T13="-", "-", IF(X13="-", "-", IF(ABS(X13)=0, "-", ROUND(100*(T13-X13)/ABS(X13), 10))))</f>
        <v>-</v>
      </c>
      <c r="AC13" s="121" t="str">
        <f t="shared" si="5"/>
        <v>-</v>
      </c>
      <c r="AD13" s="122" t="str">
        <f t="shared" si="5"/>
        <v>-</v>
      </c>
      <c r="AE13" s="130"/>
      <c r="AF13" s="131"/>
      <c r="AG13" s="131"/>
      <c r="AH13" s="131"/>
      <c r="AI13" s="131"/>
      <c r="AJ13" s="131"/>
      <c r="AK13" s="131"/>
      <c r="AL13" s="131"/>
      <c r="AM13" s="132" t="str">
        <f>IF(AE13="-", "-", IF(AI13="-", "-", IF(ABS(AI13)=0, "-", ROUND(100*(AE13-AI13)/ABS(AI13), 10))))</f>
        <v>-</v>
      </c>
      <c r="AN13" s="132" t="str">
        <f t="shared" si="1"/>
        <v>-</v>
      </c>
      <c r="AO13" s="133" t="str">
        <f t="shared" si="1"/>
        <v>-</v>
      </c>
      <c r="AT13" s="175" t="s">
        <v>88</v>
      </c>
      <c r="AU13" s="176"/>
      <c r="AV13" s="176"/>
      <c r="AW13" s="176"/>
      <c r="AX13" s="176"/>
      <c r="AY13" s="176"/>
      <c r="AZ13" s="326"/>
      <c r="BA13" s="97" t="s">
        <v>305</v>
      </c>
      <c r="BB13" s="330"/>
      <c r="BC13" s="330"/>
      <c r="BD13" s="330"/>
      <c r="BE13" s="330"/>
      <c r="BF13" s="339"/>
      <c r="BG13" s="330"/>
      <c r="BH13" s="330"/>
      <c r="BI13" s="340"/>
      <c r="BJ13" s="121" t="str">
        <f t="shared" si="2"/>
        <v>-</v>
      </c>
      <c r="BK13" s="121" t="str">
        <f t="shared" si="6"/>
        <v>-</v>
      </c>
      <c r="BL13" s="122" t="str">
        <f t="shared" si="6"/>
        <v>-</v>
      </c>
    </row>
    <row r="14" spans="2:124" ht="12.75" customHeight="1" thickBot="1">
      <c r="B14" s="148" t="s">
        <v>13</v>
      </c>
      <c r="C14" s="149"/>
      <c r="D14" s="149"/>
      <c r="E14" s="149"/>
      <c r="F14" s="149"/>
      <c r="G14" s="149"/>
      <c r="H14" s="150"/>
      <c r="I14" s="198"/>
      <c r="J14" s="199"/>
      <c r="K14" s="199"/>
      <c r="L14" s="199"/>
      <c r="M14" s="199"/>
      <c r="N14" s="199"/>
      <c r="O14" s="199"/>
      <c r="P14" s="199"/>
      <c r="Q14" s="205" t="str">
        <f>IF(I14="-", "-", IF(M14="-", "-", IF(ABS(M14)=0, "-", ROUND(100*(I14-M14)/ABS(M14), 10))))</f>
        <v>-</v>
      </c>
      <c r="R14" s="205" t="str">
        <f t="shared" si="0"/>
        <v>-</v>
      </c>
      <c r="S14" s="206" t="str">
        <f t="shared" si="0"/>
        <v>-</v>
      </c>
      <c r="T14" s="198"/>
      <c r="U14" s="199"/>
      <c r="V14" s="199"/>
      <c r="W14" s="199"/>
      <c r="X14" s="199"/>
      <c r="Y14" s="199"/>
      <c r="Z14" s="199"/>
      <c r="AA14" s="199"/>
      <c r="AB14" s="205" t="str">
        <f>IF(T14="-", "-", IF(X14="-", "-", IF(ABS(X14)=0, "-", ROUND(100*(T14-X14)/ABS(X14), 10))))</f>
        <v>-</v>
      </c>
      <c r="AC14" s="205" t="str">
        <f>IF(Y14="-", "-", IF(AA14="-", "-", IF(ABS(AA14)=0, "-", ROUND(100*(Y14-AA14)/ABS(AA14), 1))))</f>
        <v>-</v>
      </c>
      <c r="AD14" s="206" t="str">
        <f>IF(Z14="-", "-", IF(AB14="-", "-", IF(ABS(AB14)=0, "-", ROUND(100*(Z14-AB14)/ABS(AB14), 1))))</f>
        <v>-</v>
      </c>
      <c r="AE14" s="198"/>
      <c r="AF14" s="199"/>
      <c r="AG14" s="199"/>
      <c r="AH14" s="199"/>
      <c r="AI14" s="199"/>
      <c r="AJ14" s="199"/>
      <c r="AK14" s="199"/>
      <c r="AL14" s="199"/>
      <c r="AM14" s="205" t="str">
        <f>IF(AE14="-", "-", IF(AI14="-", "-", IF(ABS(AI14)=0, "-", ROUND(100*(AE14-AI14)/ABS(AI14), 10))))</f>
        <v>-</v>
      </c>
      <c r="AN14" s="205" t="str">
        <f t="shared" si="1"/>
        <v>-</v>
      </c>
      <c r="AO14" s="206" t="str">
        <f t="shared" si="1"/>
        <v>-</v>
      </c>
      <c r="AT14" s="175" t="s">
        <v>44</v>
      </c>
      <c r="AU14" s="176"/>
      <c r="AV14" s="176"/>
      <c r="AW14" s="176"/>
      <c r="AX14" s="176"/>
      <c r="AY14" s="176"/>
      <c r="AZ14" s="326"/>
      <c r="BA14" s="97" t="s">
        <v>305</v>
      </c>
      <c r="BB14" s="330"/>
      <c r="BC14" s="330"/>
      <c r="BD14" s="330"/>
      <c r="BE14" s="330"/>
      <c r="BF14" s="339"/>
      <c r="BG14" s="330"/>
      <c r="BH14" s="330"/>
      <c r="BI14" s="340"/>
      <c r="BJ14" s="121" t="str">
        <f t="shared" si="2"/>
        <v>-</v>
      </c>
      <c r="BK14" s="121" t="str">
        <f t="shared" si="6"/>
        <v>-</v>
      </c>
      <c r="BL14" s="122" t="str">
        <f t="shared" si="6"/>
        <v>-</v>
      </c>
    </row>
    <row r="15" spans="2:124" ht="12.75" customHeight="1">
      <c r="B15" s="29"/>
      <c r="C15" s="29"/>
      <c r="D15" s="29"/>
      <c r="E15" s="29"/>
      <c r="F15" s="29"/>
      <c r="G15" s="29"/>
      <c r="H15" s="29"/>
      <c r="I15" s="39"/>
      <c r="J15" s="39"/>
      <c r="K15" s="39"/>
      <c r="L15" s="39"/>
      <c r="M15" s="39"/>
      <c r="N15" s="39"/>
      <c r="O15" s="39"/>
      <c r="P15" s="39"/>
      <c r="Q15" s="40"/>
      <c r="R15" s="40"/>
      <c r="S15" s="40"/>
      <c r="T15" s="39"/>
      <c r="U15" s="39"/>
      <c r="V15" s="39"/>
      <c r="W15" s="39"/>
      <c r="X15" s="39"/>
      <c r="Y15" s="39"/>
      <c r="Z15" s="39"/>
      <c r="AA15" s="39"/>
      <c r="AB15" s="40"/>
      <c r="AC15" s="40"/>
      <c r="AD15" s="40"/>
      <c r="AE15" s="39"/>
      <c r="AF15" s="39"/>
      <c r="AG15" s="39"/>
      <c r="AH15" s="39"/>
      <c r="AI15" s="39"/>
      <c r="AJ15" s="39"/>
      <c r="AK15" s="39"/>
      <c r="AL15" s="39"/>
      <c r="AM15" s="40"/>
      <c r="AN15" s="40"/>
      <c r="AO15" s="40"/>
      <c r="AT15" s="175" t="s">
        <v>89</v>
      </c>
      <c r="AU15" s="176"/>
      <c r="AV15" s="176"/>
      <c r="AW15" s="176"/>
      <c r="AX15" s="176"/>
      <c r="AY15" s="176"/>
      <c r="AZ15" s="326"/>
      <c r="BA15" s="97" t="s">
        <v>305</v>
      </c>
      <c r="BB15" s="330"/>
      <c r="BC15" s="330"/>
      <c r="BD15" s="330"/>
      <c r="BE15" s="330"/>
      <c r="BF15" s="339"/>
      <c r="BG15" s="330"/>
      <c r="BH15" s="330"/>
      <c r="BI15" s="340"/>
      <c r="BJ15" s="121" t="str">
        <f t="shared" si="2"/>
        <v>-</v>
      </c>
      <c r="BK15" s="121" t="str">
        <f t="shared" si="6"/>
        <v>-</v>
      </c>
      <c r="BL15" s="122" t="str">
        <f t="shared" si="6"/>
        <v>-</v>
      </c>
    </row>
    <row r="16" spans="2:124" ht="12.75" customHeight="1" thickBot="1">
      <c r="AT16" s="148" t="s">
        <v>90</v>
      </c>
      <c r="AU16" s="149"/>
      <c r="AV16" s="149"/>
      <c r="AW16" s="149"/>
      <c r="AX16" s="149"/>
      <c r="AY16" s="149"/>
      <c r="AZ16" s="348"/>
      <c r="BA16" s="65" t="s">
        <v>306</v>
      </c>
      <c r="BB16" s="159"/>
      <c r="BC16" s="160"/>
      <c r="BD16" s="160"/>
      <c r="BE16" s="160"/>
      <c r="BF16" s="160"/>
      <c r="BG16" s="160"/>
      <c r="BH16" s="160"/>
      <c r="BI16" s="160"/>
      <c r="BJ16" s="161" t="str">
        <f t="shared" si="2"/>
        <v>-</v>
      </c>
      <c r="BK16" s="161" t="str">
        <f t="shared" si="6"/>
        <v>-</v>
      </c>
      <c r="BL16" s="162" t="str">
        <f t="shared" si="6"/>
        <v>-</v>
      </c>
    </row>
    <row r="17" spans="2:84" ht="12.75" customHeight="1" thickBot="1">
      <c r="B17" s="2" t="s">
        <v>314</v>
      </c>
      <c r="Z17" s="3"/>
      <c r="AO17" s="1" t="s">
        <v>6</v>
      </c>
    </row>
    <row r="18" spans="2:84" ht="12.75" customHeight="1">
      <c r="B18" s="353"/>
      <c r="C18" s="154"/>
      <c r="D18" s="154"/>
      <c r="E18" s="154"/>
      <c r="F18" s="154"/>
      <c r="G18" s="154"/>
      <c r="H18" s="155"/>
      <c r="I18" s="134" t="s">
        <v>56</v>
      </c>
      <c r="J18" s="135"/>
      <c r="K18" s="135"/>
      <c r="L18" s="135"/>
      <c r="M18" s="135"/>
      <c r="N18" s="135"/>
      <c r="O18" s="135"/>
      <c r="P18" s="135"/>
      <c r="Q18" s="135"/>
      <c r="R18" s="135"/>
      <c r="S18" s="136"/>
      <c r="T18" s="134" t="s">
        <v>52</v>
      </c>
      <c r="U18" s="135"/>
      <c r="V18" s="135"/>
      <c r="W18" s="135"/>
      <c r="X18" s="135"/>
      <c r="Y18" s="135"/>
      <c r="Z18" s="135"/>
      <c r="AA18" s="135"/>
      <c r="AB18" s="135"/>
      <c r="AC18" s="135"/>
      <c r="AD18" s="136"/>
      <c r="AE18" s="134" t="s">
        <v>13</v>
      </c>
      <c r="AF18" s="135"/>
      <c r="AG18" s="135"/>
      <c r="AH18" s="135"/>
      <c r="AI18" s="135"/>
      <c r="AJ18" s="135"/>
      <c r="AK18" s="135"/>
      <c r="AL18" s="135"/>
      <c r="AM18" s="135"/>
      <c r="AN18" s="135"/>
      <c r="AO18" s="136"/>
    </row>
    <row r="19" spans="2:84" ht="12.75" customHeight="1" thickBot="1">
      <c r="B19" s="156"/>
      <c r="C19" s="157"/>
      <c r="D19" s="157"/>
      <c r="E19" s="157"/>
      <c r="F19" s="157"/>
      <c r="G19" s="157"/>
      <c r="H19" s="158"/>
      <c r="I19" s="146" t="str">
        <f>IF($B$1&lt;&gt;"",$B$1,"")</f>
        <v/>
      </c>
      <c r="J19" s="128"/>
      <c r="K19" s="128"/>
      <c r="L19" s="128"/>
      <c r="M19" s="127" t="str">
        <f>IF($B$1&lt;&gt;"",$B$1-1,"")</f>
        <v/>
      </c>
      <c r="N19" s="128"/>
      <c r="O19" s="128"/>
      <c r="P19" s="129"/>
      <c r="Q19" s="321" t="s">
        <v>217</v>
      </c>
      <c r="R19" s="322"/>
      <c r="S19" s="322"/>
      <c r="T19" s="146" t="str">
        <f>IF($B$1&lt;&gt;"",$B$1,"")</f>
        <v/>
      </c>
      <c r="U19" s="128"/>
      <c r="V19" s="128"/>
      <c r="W19" s="128"/>
      <c r="X19" s="127" t="str">
        <f>IF($B$1&lt;&gt;"",$B$1-1,"")</f>
        <v/>
      </c>
      <c r="Y19" s="128"/>
      <c r="Z19" s="128"/>
      <c r="AA19" s="129"/>
      <c r="AB19" s="321" t="s">
        <v>217</v>
      </c>
      <c r="AC19" s="322"/>
      <c r="AD19" s="323"/>
      <c r="AE19" s="146" t="str">
        <f>IF($B$1&lt;&gt;"",$B$1,"")</f>
        <v/>
      </c>
      <c r="AF19" s="128"/>
      <c r="AG19" s="128"/>
      <c r="AH19" s="128"/>
      <c r="AI19" s="127" t="str">
        <f>IF($B$1&lt;&gt;"",$B$1-1,"")</f>
        <v/>
      </c>
      <c r="AJ19" s="128"/>
      <c r="AK19" s="128"/>
      <c r="AL19" s="129"/>
      <c r="AM19" s="321" t="s">
        <v>217</v>
      </c>
      <c r="AN19" s="322"/>
      <c r="AO19" s="323"/>
      <c r="AT19" s="2" t="s">
        <v>321</v>
      </c>
    </row>
    <row r="20" spans="2:84" ht="12.75" customHeight="1">
      <c r="B20" s="354" t="s">
        <v>63</v>
      </c>
      <c r="C20" s="355"/>
      <c r="D20" s="349" t="s">
        <v>57</v>
      </c>
      <c r="E20" s="350"/>
      <c r="F20" s="350"/>
      <c r="G20" s="350"/>
      <c r="H20" s="351"/>
      <c r="I20" s="352"/>
      <c r="J20" s="316"/>
      <c r="K20" s="316"/>
      <c r="L20" s="316"/>
      <c r="M20" s="316"/>
      <c r="N20" s="316"/>
      <c r="O20" s="316"/>
      <c r="P20" s="316"/>
      <c r="Q20" s="316" t="str">
        <f t="shared" ref="Q20:Q27" si="7">IF(I20="-", "-", IF(M20="-", "-", IF(ABS(M20)=0, "-", ROUND(100*(I20-M20)/ABS(M20), 10))))</f>
        <v>-</v>
      </c>
      <c r="R20" s="316" t="str">
        <f t="shared" ref="R20:S27" si="8">IF(N20="-", "-", IF(P20="-", "-", IF(ABS(P20)=0, "-", ROUND(100*(N20-P20)/ABS(P20), 1))))</f>
        <v>-</v>
      </c>
      <c r="S20" s="317" t="str">
        <f t="shared" si="8"/>
        <v>-</v>
      </c>
      <c r="T20" s="352"/>
      <c r="U20" s="316"/>
      <c r="V20" s="316"/>
      <c r="W20" s="316"/>
      <c r="X20" s="316"/>
      <c r="Y20" s="316"/>
      <c r="Z20" s="316"/>
      <c r="AA20" s="316"/>
      <c r="AB20" s="316" t="str">
        <f t="shared" ref="AB20:AB27" si="9">IF(T20="-", "-", IF(X20="-", "-", IF(ABS(X20)=0, "-", ROUND(100*(T20-X20)/ABS(X20), 10))))</f>
        <v>-</v>
      </c>
      <c r="AC20" s="316" t="str">
        <f>IF(Y20="-", "-", IF(AA20="-", "-", IF(ABS(AA20)=0, "-", ROUND(100*(Y20-AA20)/ABS(AA20), 1))))</f>
        <v>-</v>
      </c>
      <c r="AD20" s="317" t="str">
        <f>IF(Z20="-", "-", IF(AB20="-", "-", IF(ABS(AB20)=0, "-", ROUND(100*(Z20-AB20)/ABS(AB20), 1))))</f>
        <v>-</v>
      </c>
      <c r="AE20" s="319"/>
      <c r="AF20" s="320"/>
      <c r="AG20" s="320"/>
      <c r="AH20" s="320"/>
      <c r="AI20" s="320"/>
      <c r="AJ20" s="320"/>
      <c r="AK20" s="320"/>
      <c r="AL20" s="320"/>
      <c r="AM20" s="320" t="str">
        <f t="shared" ref="AM20:AM27" si="10">IF(AE20="-", "-", IF(AI20="-", "-", IF(ABS(AI20)=0, "-", ROUND(100*(AE20-AI20)/ABS(AI20), 10))))</f>
        <v>-</v>
      </c>
      <c r="AN20" s="320" t="str">
        <f t="shared" ref="AN20:AO27" si="11">IF(AJ20="-", "-", IF(AL20="-", "-", IF(ABS(AL20)=0, "-", ROUND(100*(AJ20-AL20)/ABS(AL20), 1))))</f>
        <v>-</v>
      </c>
      <c r="AO20" s="324" t="str">
        <f t="shared" si="11"/>
        <v>-</v>
      </c>
      <c r="AT20" s="273"/>
      <c r="AU20" s="274"/>
      <c r="AV20" s="274"/>
      <c r="AW20" s="274"/>
      <c r="AX20" s="274"/>
      <c r="AY20" s="274"/>
      <c r="AZ20" s="274"/>
      <c r="BA20" s="275"/>
      <c r="BB20" s="428" t="s">
        <v>81</v>
      </c>
      <c r="BC20" s="409"/>
      <c r="BD20" s="409"/>
      <c r="BE20" s="409"/>
      <c r="BF20" s="409"/>
      <c r="BG20" s="409"/>
      <c r="BH20" s="409"/>
      <c r="BI20" s="409"/>
      <c r="BJ20" s="409"/>
      <c r="BK20" s="409"/>
      <c r="BL20" s="410"/>
    </row>
    <row r="21" spans="2:84" ht="12.75" customHeight="1" thickBot="1">
      <c r="B21" s="356"/>
      <c r="C21" s="357"/>
      <c r="D21" s="248" t="s">
        <v>58</v>
      </c>
      <c r="E21" s="101"/>
      <c r="F21" s="101"/>
      <c r="G21" s="101"/>
      <c r="H21" s="102"/>
      <c r="I21" s="325"/>
      <c r="J21" s="121"/>
      <c r="K21" s="121"/>
      <c r="L21" s="121"/>
      <c r="M21" s="121"/>
      <c r="N21" s="121"/>
      <c r="O21" s="121"/>
      <c r="P21" s="121"/>
      <c r="Q21" s="121" t="str">
        <f t="shared" si="7"/>
        <v>-</v>
      </c>
      <c r="R21" s="121" t="str">
        <f t="shared" si="8"/>
        <v>-</v>
      </c>
      <c r="S21" s="122" t="str">
        <f t="shared" si="8"/>
        <v>-</v>
      </c>
      <c r="T21" s="325"/>
      <c r="U21" s="121"/>
      <c r="V21" s="121"/>
      <c r="W21" s="121"/>
      <c r="X21" s="121"/>
      <c r="Y21" s="121"/>
      <c r="Z21" s="121"/>
      <c r="AA21" s="121"/>
      <c r="AB21" s="121" t="str">
        <f t="shared" si="9"/>
        <v>-</v>
      </c>
      <c r="AC21" s="121" t="str">
        <f t="shared" ref="AC21:AD27" si="12">IF(Y21="-", "-", IF(AA21="-", "-", IF(ABS(AA21)=0, "-", ROUND(100*(Y21-AA21)/ABS(AA21), 1))))</f>
        <v>-</v>
      </c>
      <c r="AD21" s="122" t="str">
        <f t="shared" si="12"/>
        <v>-</v>
      </c>
      <c r="AE21" s="318"/>
      <c r="AF21" s="132"/>
      <c r="AG21" s="132"/>
      <c r="AH21" s="132"/>
      <c r="AI21" s="132"/>
      <c r="AJ21" s="132"/>
      <c r="AK21" s="132"/>
      <c r="AL21" s="132"/>
      <c r="AM21" s="132" t="str">
        <f t="shared" si="10"/>
        <v>-</v>
      </c>
      <c r="AN21" s="132" t="str">
        <f t="shared" si="11"/>
        <v>-</v>
      </c>
      <c r="AO21" s="133" t="str">
        <f t="shared" si="11"/>
        <v>-</v>
      </c>
      <c r="AT21" s="276"/>
      <c r="AU21" s="277"/>
      <c r="AV21" s="277"/>
      <c r="AW21" s="277"/>
      <c r="AX21" s="277"/>
      <c r="AY21" s="277"/>
      <c r="AZ21" s="277"/>
      <c r="BA21" s="278"/>
      <c r="BB21" s="146" t="str">
        <f>IF($B$1&lt;&gt;"",$B$1,"")</f>
        <v/>
      </c>
      <c r="BC21" s="128"/>
      <c r="BD21" s="128"/>
      <c r="BE21" s="129"/>
      <c r="BF21" s="127" t="str">
        <f>IF($B$1&lt;&gt;"",$B$1-1,"")</f>
        <v/>
      </c>
      <c r="BG21" s="128"/>
      <c r="BH21" s="128"/>
      <c r="BI21" s="129"/>
      <c r="BJ21" s="321" t="s">
        <v>307</v>
      </c>
      <c r="BK21" s="322"/>
      <c r="BL21" s="323"/>
    </row>
    <row r="22" spans="2:84" ht="12.75" customHeight="1">
      <c r="B22" s="356"/>
      <c r="C22" s="357"/>
      <c r="D22" s="360" t="s">
        <v>59</v>
      </c>
      <c r="E22" s="361"/>
      <c r="F22" s="361"/>
      <c r="G22" s="361"/>
      <c r="H22" s="362"/>
      <c r="I22" s="142"/>
      <c r="J22" s="126"/>
      <c r="K22" s="126"/>
      <c r="L22" s="126"/>
      <c r="M22" s="126"/>
      <c r="N22" s="126"/>
      <c r="O22" s="126"/>
      <c r="P22" s="126"/>
      <c r="Q22" s="121" t="str">
        <f t="shared" si="7"/>
        <v>-</v>
      </c>
      <c r="R22" s="121" t="str">
        <f t="shared" si="8"/>
        <v>-</v>
      </c>
      <c r="S22" s="122" t="str">
        <f t="shared" si="8"/>
        <v>-</v>
      </c>
      <c r="T22" s="142"/>
      <c r="U22" s="126"/>
      <c r="V22" s="126"/>
      <c r="W22" s="126"/>
      <c r="X22" s="126"/>
      <c r="Y22" s="126"/>
      <c r="Z22" s="126"/>
      <c r="AA22" s="126"/>
      <c r="AB22" s="121" t="str">
        <f t="shared" si="9"/>
        <v>-</v>
      </c>
      <c r="AC22" s="121" t="str">
        <f t="shared" si="12"/>
        <v>-</v>
      </c>
      <c r="AD22" s="122" t="str">
        <f t="shared" si="12"/>
        <v>-</v>
      </c>
      <c r="AE22" s="130"/>
      <c r="AF22" s="131"/>
      <c r="AG22" s="131"/>
      <c r="AH22" s="131"/>
      <c r="AI22" s="131"/>
      <c r="AJ22" s="131"/>
      <c r="AK22" s="131"/>
      <c r="AL22" s="131"/>
      <c r="AM22" s="132" t="str">
        <f t="shared" si="10"/>
        <v>-</v>
      </c>
      <c r="AN22" s="132" t="str">
        <f t="shared" si="11"/>
        <v>-</v>
      </c>
      <c r="AO22" s="133" t="str">
        <f t="shared" si="11"/>
        <v>-</v>
      </c>
      <c r="AT22" s="327" t="s">
        <v>37</v>
      </c>
      <c r="AU22" s="328"/>
      <c r="AV22" s="328"/>
      <c r="AW22" s="328"/>
      <c r="AX22" s="328"/>
      <c r="AY22" s="328"/>
      <c r="AZ22" s="329"/>
      <c r="BA22" s="96" t="s">
        <v>305</v>
      </c>
      <c r="BB22" s="330"/>
      <c r="BC22" s="330"/>
      <c r="BD22" s="330"/>
      <c r="BE22" s="330"/>
      <c r="BF22" s="339"/>
      <c r="BG22" s="330"/>
      <c r="BH22" s="330"/>
      <c r="BI22" s="340"/>
      <c r="BJ22" s="121" t="str">
        <f>IF(BB22="-", "-", IF(BF22="-", "-", IF(ABS(BF22)=0, "-", ROUND(100*(BB22-BF22)/ABS(BF22), 10))))</f>
        <v>-</v>
      </c>
      <c r="BK22" s="121" t="str">
        <f t="shared" ref="BK22:BL23" si="13">IF(BG22="-", "-", IF(BI22="-", "-", IF(ABS(BI22)=0, "-", ROUND(100*(BG22-BI22)/ABS(BI22), 1))))</f>
        <v>-</v>
      </c>
      <c r="BL22" s="122" t="str">
        <f t="shared" si="13"/>
        <v>-</v>
      </c>
    </row>
    <row r="23" spans="2:84" ht="12.75" customHeight="1">
      <c r="B23" s="358"/>
      <c r="C23" s="359"/>
      <c r="D23" s="360" t="s">
        <v>60</v>
      </c>
      <c r="E23" s="361"/>
      <c r="F23" s="361"/>
      <c r="G23" s="361"/>
      <c r="H23" s="362"/>
      <c r="I23" s="142"/>
      <c r="J23" s="126"/>
      <c r="K23" s="126"/>
      <c r="L23" s="126"/>
      <c r="M23" s="126"/>
      <c r="N23" s="126"/>
      <c r="O23" s="126"/>
      <c r="P23" s="126"/>
      <c r="Q23" s="121" t="str">
        <f t="shared" si="7"/>
        <v>-</v>
      </c>
      <c r="R23" s="121" t="str">
        <f t="shared" si="8"/>
        <v>-</v>
      </c>
      <c r="S23" s="122" t="str">
        <f t="shared" si="8"/>
        <v>-</v>
      </c>
      <c r="T23" s="142"/>
      <c r="U23" s="126"/>
      <c r="V23" s="126"/>
      <c r="W23" s="126"/>
      <c r="X23" s="126"/>
      <c r="Y23" s="126"/>
      <c r="Z23" s="126"/>
      <c r="AA23" s="126"/>
      <c r="AB23" s="121" t="str">
        <f t="shared" si="9"/>
        <v>-</v>
      </c>
      <c r="AC23" s="121" t="str">
        <f t="shared" si="12"/>
        <v>-</v>
      </c>
      <c r="AD23" s="122" t="str">
        <f t="shared" si="12"/>
        <v>-</v>
      </c>
      <c r="AE23" s="130"/>
      <c r="AF23" s="131"/>
      <c r="AG23" s="131"/>
      <c r="AH23" s="131"/>
      <c r="AI23" s="131"/>
      <c r="AJ23" s="131"/>
      <c r="AK23" s="131"/>
      <c r="AL23" s="131"/>
      <c r="AM23" s="132" t="str">
        <f t="shared" si="10"/>
        <v>-</v>
      </c>
      <c r="AN23" s="132" t="str">
        <f t="shared" si="11"/>
        <v>-</v>
      </c>
      <c r="AO23" s="133" t="str">
        <f t="shared" si="11"/>
        <v>-</v>
      </c>
      <c r="AT23" s="175" t="s">
        <v>44</v>
      </c>
      <c r="AU23" s="176"/>
      <c r="AV23" s="176"/>
      <c r="AW23" s="176"/>
      <c r="AX23" s="176"/>
      <c r="AY23" s="176"/>
      <c r="AZ23" s="326"/>
      <c r="BA23" s="97" t="s">
        <v>304</v>
      </c>
      <c r="BB23" s="330"/>
      <c r="BC23" s="330"/>
      <c r="BD23" s="330"/>
      <c r="BE23" s="330"/>
      <c r="BF23" s="339"/>
      <c r="BG23" s="330"/>
      <c r="BH23" s="330"/>
      <c r="BI23" s="340"/>
      <c r="BJ23" s="121" t="str">
        <f>IF(BB23="-", "-", IF(BF23="-", "-", IF(ABS(BF23)=0, "-", ROUND(100*(BB23-BF23)/ABS(BF23), 10))))</f>
        <v>-</v>
      </c>
      <c r="BK23" s="121" t="str">
        <f t="shared" si="13"/>
        <v>-</v>
      </c>
      <c r="BL23" s="122" t="str">
        <f t="shared" si="13"/>
        <v>-</v>
      </c>
    </row>
    <row r="24" spans="2:84" ht="12.75" customHeight="1">
      <c r="B24" s="367" t="s">
        <v>168</v>
      </c>
      <c r="C24" s="368"/>
      <c r="D24" s="360" t="s">
        <v>61</v>
      </c>
      <c r="E24" s="361"/>
      <c r="F24" s="361"/>
      <c r="G24" s="361"/>
      <c r="H24" s="362"/>
      <c r="I24" s="325"/>
      <c r="J24" s="121"/>
      <c r="K24" s="121"/>
      <c r="L24" s="121"/>
      <c r="M24" s="121"/>
      <c r="N24" s="121"/>
      <c r="O24" s="121"/>
      <c r="P24" s="121"/>
      <c r="Q24" s="121" t="str">
        <f t="shared" si="7"/>
        <v>-</v>
      </c>
      <c r="R24" s="121" t="str">
        <f t="shared" si="8"/>
        <v>-</v>
      </c>
      <c r="S24" s="122" t="str">
        <f t="shared" si="8"/>
        <v>-</v>
      </c>
      <c r="T24" s="325"/>
      <c r="U24" s="121"/>
      <c r="V24" s="121"/>
      <c r="W24" s="121"/>
      <c r="X24" s="121"/>
      <c r="Y24" s="121"/>
      <c r="Z24" s="121"/>
      <c r="AA24" s="121"/>
      <c r="AB24" s="121" t="str">
        <f t="shared" si="9"/>
        <v>-</v>
      </c>
      <c r="AC24" s="121" t="str">
        <f t="shared" si="12"/>
        <v>-</v>
      </c>
      <c r="AD24" s="122" t="str">
        <f t="shared" si="12"/>
        <v>-</v>
      </c>
      <c r="AE24" s="318"/>
      <c r="AF24" s="132"/>
      <c r="AG24" s="132"/>
      <c r="AH24" s="132"/>
      <c r="AI24" s="132"/>
      <c r="AJ24" s="132"/>
      <c r="AK24" s="132"/>
      <c r="AL24" s="132"/>
      <c r="AM24" s="132" t="str">
        <f t="shared" si="10"/>
        <v>-</v>
      </c>
      <c r="AN24" s="132" t="str">
        <f t="shared" si="11"/>
        <v>-</v>
      </c>
      <c r="AO24" s="133" t="str">
        <f t="shared" si="11"/>
        <v>-</v>
      </c>
      <c r="AT24" s="175"/>
      <c r="AU24" s="176"/>
      <c r="AV24" s="176"/>
      <c r="AW24" s="176"/>
      <c r="AX24" s="176"/>
      <c r="AY24" s="176"/>
      <c r="AZ24" s="326"/>
      <c r="BA24" s="97"/>
      <c r="BB24" s="330"/>
      <c r="BC24" s="330"/>
      <c r="BD24" s="330"/>
      <c r="BE24" s="330"/>
      <c r="BF24" s="339"/>
      <c r="BG24" s="330"/>
      <c r="BH24" s="330"/>
      <c r="BI24" s="340"/>
      <c r="BJ24" s="121"/>
      <c r="BK24" s="121"/>
      <c r="BL24" s="122"/>
    </row>
    <row r="25" spans="2:84" ht="12.75" customHeight="1">
      <c r="B25" s="369"/>
      <c r="C25" s="370"/>
      <c r="D25" s="360" t="s">
        <v>62</v>
      </c>
      <c r="E25" s="361"/>
      <c r="F25" s="361"/>
      <c r="G25" s="361"/>
      <c r="H25" s="362"/>
      <c r="I25" s="142"/>
      <c r="J25" s="126"/>
      <c r="K25" s="126"/>
      <c r="L25" s="126"/>
      <c r="M25" s="126"/>
      <c r="N25" s="126"/>
      <c r="O25" s="126"/>
      <c r="P25" s="126"/>
      <c r="Q25" s="121" t="str">
        <f t="shared" si="7"/>
        <v>-</v>
      </c>
      <c r="R25" s="121" t="str">
        <f t="shared" si="8"/>
        <v>-</v>
      </c>
      <c r="S25" s="122" t="str">
        <f t="shared" si="8"/>
        <v>-</v>
      </c>
      <c r="T25" s="142"/>
      <c r="U25" s="126"/>
      <c r="V25" s="126"/>
      <c r="W25" s="126"/>
      <c r="X25" s="126"/>
      <c r="Y25" s="126"/>
      <c r="Z25" s="126"/>
      <c r="AA25" s="126"/>
      <c r="AB25" s="121" t="str">
        <f t="shared" si="9"/>
        <v>-</v>
      </c>
      <c r="AC25" s="121" t="str">
        <f t="shared" si="12"/>
        <v>-</v>
      </c>
      <c r="AD25" s="122" t="str">
        <f t="shared" si="12"/>
        <v>-</v>
      </c>
      <c r="AE25" s="130"/>
      <c r="AF25" s="131"/>
      <c r="AG25" s="131"/>
      <c r="AH25" s="131"/>
      <c r="AI25" s="131"/>
      <c r="AJ25" s="131"/>
      <c r="AK25" s="131"/>
      <c r="AL25" s="131"/>
      <c r="AM25" s="132" t="str">
        <f t="shared" si="10"/>
        <v>-</v>
      </c>
      <c r="AN25" s="132" t="str">
        <f t="shared" si="11"/>
        <v>-</v>
      </c>
      <c r="AO25" s="133" t="str">
        <f t="shared" si="11"/>
        <v>-</v>
      </c>
      <c r="AT25" s="175"/>
      <c r="AU25" s="176"/>
      <c r="AV25" s="176"/>
      <c r="AW25" s="176"/>
      <c r="AX25" s="176"/>
      <c r="AY25" s="176"/>
      <c r="AZ25" s="326"/>
      <c r="BA25" s="97"/>
      <c r="BB25" s="330"/>
      <c r="BC25" s="330"/>
      <c r="BD25" s="330"/>
      <c r="BE25" s="330"/>
      <c r="BF25" s="339"/>
      <c r="BG25" s="330"/>
      <c r="BH25" s="330"/>
      <c r="BI25" s="340"/>
      <c r="BJ25" s="121"/>
      <c r="BK25" s="121"/>
      <c r="BL25" s="122"/>
    </row>
    <row r="26" spans="2:84" ht="12.75" customHeight="1">
      <c r="B26" s="369"/>
      <c r="C26" s="370"/>
      <c r="D26" s="371" t="s">
        <v>60</v>
      </c>
      <c r="E26" s="372"/>
      <c r="F26" s="372"/>
      <c r="G26" s="372"/>
      <c r="H26" s="373"/>
      <c r="I26" s="142"/>
      <c r="J26" s="126"/>
      <c r="K26" s="126"/>
      <c r="L26" s="126"/>
      <c r="M26" s="126"/>
      <c r="N26" s="126"/>
      <c r="O26" s="126"/>
      <c r="P26" s="126"/>
      <c r="Q26" s="121" t="str">
        <f t="shared" si="7"/>
        <v>-</v>
      </c>
      <c r="R26" s="121" t="str">
        <f t="shared" si="8"/>
        <v>-</v>
      </c>
      <c r="S26" s="122" t="str">
        <f t="shared" si="8"/>
        <v>-</v>
      </c>
      <c r="T26" s="142"/>
      <c r="U26" s="126"/>
      <c r="V26" s="126"/>
      <c r="W26" s="126"/>
      <c r="X26" s="126"/>
      <c r="Y26" s="126"/>
      <c r="Z26" s="126"/>
      <c r="AA26" s="126"/>
      <c r="AB26" s="121" t="str">
        <f t="shared" si="9"/>
        <v>-</v>
      </c>
      <c r="AC26" s="121" t="str">
        <f t="shared" si="12"/>
        <v>-</v>
      </c>
      <c r="AD26" s="122" t="str">
        <f t="shared" si="12"/>
        <v>-</v>
      </c>
      <c r="AE26" s="130"/>
      <c r="AF26" s="131"/>
      <c r="AG26" s="131"/>
      <c r="AH26" s="131"/>
      <c r="AI26" s="131"/>
      <c r="AJ26" s="131"/>
      <c r="AK26" s="131"/>
      <c r="AL26" s="131"/>
      <c r="AM26" s="132" t="str">
        <f t="shared" si="10"/>
        <v>-</v>
      </c>
      <c r="AN26" s="132" t="str">
        <f t="shared" si="11"/>
        <v>-</v>
      </c>
      <c r="AO26" s="133" t="str">
        <f t="shared" si="11"/>
        <v>-</v>
      </c>
      <c r="AT26" s="175"/>
      <c r="AU26" s="176"/>
      <c r="AV26" s="176"/>
      <c r="AW26" s="176"/>
      <c r="AX26" s="176"/>
      <c r="AY26" s="176"/>
      <c r="AZ26" s="326"/>
      <c r="BA26" s="97"/>
      <c r="BB26" s="330"/>
      <c r="BC26" s="330"/>
      <c r="BD26" s="330"/>
      <c r="BE26" s="330"/>
      <c r="BF26" s="339"/>
      <c r="BG26" s="330"/>
      <c r="BH26" s="330"/>
      <c r="BI26" s="340"/>
      <c r="BJ26" s="121"/>
      <c r="BK26" s="121"/>
      <c r="BL26" s="122"/>
    </row>
    <row r="27" spans="2:84" ht="12.75" customHeight="1" thickBot="1">
      <c r="B27" s="363" t="s">
        <v>64</v>
      </c>
      <c r="C27" s="364"/>
      <c r="D27" s="364"/>
      <c r="E27" s="364"/>
      <c r="F27" s="364"/>
      <c r="G27" s="365"/>
      <c r="H27" s="366"/>
      <c r="I27" s="159"/>
      <c r="J27" s="160"/>
      <c r="K27" s="160"/>
      <c r="L27" s="160"/>
      <c r="M27" s="160"/>
      <c r="N27" s="160"/>
      <c r="O27" s="160"/>
      <c r="P27" s="160"/>
      <c r="Q27" s="161" t="str">
        <f t="shared" si="7"/>
        <v>-</v>
      </c>
      <c r="R27" s="161" t="str">
        <f t="shared" si="8"/>
        <v>-</v>
      </c>
      <c r="S27" s="162" t="str">
        <f t="shared" si="8"/>
        <v>-</v>
      </c>
      <c r="T27" s="159"/>
      <c r="U27" s="160"/>
      <c r="V27" s="160"/>
      <c r="W27" s="160"/>
      <c r="X27" s="160"/>
      <c r="Y27" s="160"/>
      <c r="Z27" s="160"/>
      <c r="AA27" s="160"/>
      <c r="AB27" s="161" t="str">
        <f t="shared" si="9"/>
        <v>-</v>
      </c>
      <c r="AC27" s="161" t="str">
        <f t="shared" si="12"/>
        <v>-</v>
      </c>
      <c r="AD27" s="162" t="str">
        <f t="shared" si="12"/>
        <v>-</v>
      </c>
      <c r="AE27" s="198"/>
      <c r="AF27" s="199"/>
      <c r="AG27" s="199"/>
      <c r="AH27" s="199"/>
      <c r="AI27" s="199"/>
      <c r="AJ27" s="199"/>
      <c r="AK27" s="199"/>
      <c r="AL27" s="199"/>
      <c r="AM27" s="205" t="str">
        <f t="shared" si="10"/>
        <v>-</v>
      </c>
      <c r="AN27" s="205" t="str">
        <f t="shared" si="11"/>
        <v>-</v>
      </c>
      <c r="AO27" s="206" t="str">
        <f t="shared" si="11"/>
        <v>-</v>
      </c>
      <c r="AT27" s="178"/>
      <c r="AU27" s="176"/>
      <c r="AV27" s="176"/>
      <c r="AW27" s="176"/>
      <c r="AX27" s="176"/>
      <c r="AY27" s="176"/>
      <c r="AZ27" s="326"/>
      <c r="BA27" s="64"/>
      <c r="BB27" s="142"/>
      <c r="BC27" s="126"/>
      <c r="BD27" s="126"/>
      <c r="BE27" s="126"/>
      <c r="BF27" s="126"/>
      <c r="BG27" s="126"/>
      <c r="BH27" s="126"/>
      <c r="BI27" s="126"/>
      <c r="BJ27" s="121"/>
      <c r="BK27" s="121"/>
      <c r="BL27" s="122"/>
    </row>
    <row r="28" spans="2:84" ht="12.75" customHeight="1">
      <c r="B28" s="29"/>
      <c r="C28" s="29"/>
      <c r="D28" s="29"/>
      <c r="E28" s="29"/>
      <c r="F28" s="29"/>
      <c r="G28" s="29"/>
      <c r="H28" s="29"/>
      <c r="I28" s="39"/>
      <c r="J28" s="39"/>
      <c r="K28" s="39"/>
      <c r="L28" s="39"/>
      <c r="M28" s="39"/>
      <c r="N28" s="39"/>
      <c r="O28" s="39"/>
      <c r="P28" s="39"/>
      <c r="Q28" s="40"/>
      <c r="R28" s="40"/>
      <c r="S28" s="40"/>
      <c r="T28" s="39"/>
      <c r="U28" s="39"/>
      <c r="V28" s="39"/>
      <c r="W28" s="39"/>
      <c r="X28" s="39"/>
      <c r="Y28" s="39"/>
      <c r="Z28" s="39"/>
      <c r="AA28" s="39"/>
      <c r="AB28" s="40"/>
      <c r="AC28" s="40"/>
      <c r="AD28" s="40"/>
      <c r="AE28" s="39"/>
      <c r="AF28" s="39"/>
      <c r="AG28" s="39"/>
      <c r="AH28" s="39"/>
      <c r="AI28" s="39"/>
      <c r="AJ28" s="39"/>
      <c r="AK28" s="39"/>
      <c r="AL28" s="39"/>
      <c r="AM28" s="40"/>
      <c r="AN28" s="40"/>
      <c r="AO28" s="40"/>
      <c r="AT28" s="178"/>
      <c r="AU28" s="179"/>
      <c r="AV28" s="179"/>
      <c r="AW28" s="179"/>
      <c r="AX28" s="179"/>
      <c r="AY28" s="179"/>
      <c r="AZ28" s="336"/>
      <c r="BA28" s="62"/>
      <c r="BB28" s="142"/>
      <c r="BC28" s="126"/>
      <c r="BD28" s="126"/>
      <c r="BE28" s="126"/>
      <c r="BF28" s="126"/>
      <c r="BG28" s="126"/>
      <c r="BH28" s="126"/>
      <c r="BI28" s="126"/>
      <c r="BJ28" s="121"/>
      <c r="BK28" s="121"/>
      <c r="BL28" s="122"/>
    </row>
    <row r="29" spans="2:84" ht="12.75" customHeight="1" thickBot="1">
      <c r="AT29" s="289"/>
      <c r="AU29" s="290"/>
      <c r="AV29" s="290"/>
      <c r="AW29" s="290"/>
      <c r="AX29" s="290"/>
      <c r="AY29" s="290"/>
      <c r="AZ29" s="291"/>
      <c r="BA29" s="63"/>
      <c r="BB29" s="159"/>
      <c r="BC29" s="160"/>
      <c r="BD29" s="160"/>
      <c r="BE29" s="160"/>
      <c r="BF29" s="160"/>
      <c r="BG29" s="160"/>
      <c r="BH29" s="160"/>
      <c r="BI29" s="160"/>
      <c r="BJ29" s="161"/>
      <c r="BK29" s="161"/>
      <c r="BL29" s="162"/>
    </row>
    <row r="30" spans="2:84" ht="12.75" customHeight="1" thickBot="1">
      <c r="B30" s="3" t="s">
        <v>315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X30" s="3" t="s">
        <v>316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28"/>
      <c r="AK30" s="28"/>
      <c r="AL30" s="28"/>
      <c r="AM30" s="28"/>
    </row>
    <row r="31" spans="2:84" ht="12.75" customHeight="1">
      <c r="B31" s="153"/>
      <c r="C31" s="154"/>
      <c r="D31" s="154"/>
      <c r="E31" s="154"/>
      <c r="F31" s="154"/>
      <c r="G31" s="154"/>
      <c r="H31" s="155"/>
      <c r="I31" s="134" t="s">
        <v>85</v>
      </c>
      <c r="J31" s="135"/>
      <c r="K31" s="135"/>
      <c r="L31" s="135"/>
      <c r="M31" s="135"/>
      <c r="N31" s="135"/>
      <c r="O31" s="135"/>
      <c r="P31" s="135"/>
      <c r="Q31" s="135"/>
      <c r="R31" s="135"/>
      <c r="S31" s="136"/>
      <c r="X31" s="153"/>
      <c r="Y31" s="154"/>
      <c r="Z31" s="154"/>
      <c r="AA31" s="154"/>
      <c r="AB31" s="154"/>
      <c r="AC31" s="155"/>
      <c r="AD31" s="134" t="s">
        <v>213</v>
      </c>
      <c r="AE31" s="135"/>
      <c r="AF31" s="135"/>
      <c r="AG31" s="135"/>
      <c r="AH31" s="135"/>
      <c r="AI31" s="135"/>
      <c r="AJ31" s="135"/>
      <c r="AK31" s="135"/>
      <c r="AL31" s="135"/>
      <c r="AM31" s="135"/>
      <c r="AN31" s="136"/>
      <c r="CF31" s="1"/>
    </row>
    <row r="32" spans="2:84" ht="12.75" customHeight="1" thickBot="1">
      <c r="B32" s="156"/>
      <c r="C32" s="157"/>
      <c r="D32" s="157"/>
      <c r="E32" s="157"/>
      <c r="F32" s="157"/>
      <c r="G32" s="157"/>
      <c r="H32" s="158"/>
      <c r="I32" s="146" t="str">
        <f>IF($B$1&lt;&gt;"",$B$1,"")</f>
        <v/>
      </c>
      <c r="J32" s="128"/>
      <c r="K32" s="128"/>
      <c r="L32" s="128"/>
      <c r="M32" s="127" t="str">
        <f>IF($B$1&lt;&gt;"",$B$1-1,"")</f>
        <v/>
      </c>
      <c r="N32" s="128"/>
      <c r="O32" s="128"/>
      <c r="P32" s="129"/>
      <c r="Q32" s="321" t="s">
        <v>217</v>
      </c>
      <c r="R32" s="322"/>
      <c r="S32" s="323"/>
      <c r="X32" s="156"/>
      <c r="Y32" s="157"/>
      <c r="Z32" s="157"/>
      <c r="AA32" s="157"/>
      <c r="AB32" s="157"/>
      <c r="AC32" s="158"/>
      <c r="AD32" s="146" t="str">
        <f>IF($B$1&lt;&gt;"",$B$1,"")</f>
        <v/>
      </c>
      <c r="AE32" s="128"/>
      <c r="AF32" s="128"/>
      <c r="AG32" s="128"/>
      <c r="AH32" s="127" t="str">
        <f>IF($B$1&lt;&gt;"",$B$1-1,"")</f>
        <v/>
      </c>
      <c r="AI32" s="128"/>
      <c r="AJ32" s="128"/>
      <c r="AK32" s="129"/>
      <c r="AL32" s="321" t="s">
        <v>217</v>
      </c>
      <c r="AM32" s="322"/>
      <c r="AN32" s="323"/>
      <c r="AT32" s="3" t="s">
        <v>322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CC32" s="1" t="s">
        <v>1</v>
      </c>
    </row>
    <row r="33" spans="2:81" ht="12.75" customHeight="1" thickBot="1">
      <c r="B33" s="374" t="s">
        <v>331</v>
      </c>
      <c r="C33" s="375"/>
      <c r="D33" s="375"/>
      <c r="E33" s="375"/>
      <c r="F33" s="375"/>
      <c r="G33" s="375"/>
      <c r="H33" s="376"/>
      <c r="I33" s="377"/>
      <c r="J33" s="378"/>
      <c r="K33" s="378"/>
      <c r="L33" s="378"/>
      <c r="M33" s="379"/>
      <c r="N33" s="378"/>
      <c r="O33" s="378"/>
      <c r="P33" s="380"/>
      <c r="Q33" s="381" t="str">
        <f>IF(I33="-", "-", IF(M33="-", "-", IF(ABS(M33)=0, "-", ROUND(100*(I33-M33)/ABS(M33), 10))))</f>
        <v>-</v>
      </c>
      <c r="R33" s="381" t="str">
        <f t="shared" ref="R33:R36" si="14">IF(N33="-", "-", IF(P33="-", "-", IF(ABS(P33)=0, "-", ROUND(100*(N33-P33)/ABS(P33), 1))))</f>
        <v>-</v>
      </c>
      <c r="S33" s="382" t="str">
        <f t="shared" ref="S33:S36" si="15">IF(O33="-", "-", IF(Q33="-", "-", IF(ABS(Q33)=0, "-", ROUND(100*(O33-Q33)/ABS(Q33), 1))))</f>
        <v>-</v>
      </c>
      <c r="X33" s="304" t="s">
        <v>214</v>
      </c>
      <c r="Y33" s="305"/>
      <c r="Z33" s="305"/>
      <c r="AA33" s="305"/>
      <c r="AB33" s="305"/>
      <c r="AC33" s="306"/>
      <c r="AD33" s="308"/>
      <c r="AE33" s="308"/>
      <c r="AF33" s="308"/>
      <c r="AG33" s="308"/>
      <c r="AH33" s="309"/>
      <c r="AI33" s="308"/>
      <c r="AJ33" s="308"/>
      <c r="AK33" s="310"/>
      <c r="AL33" s="121" t="str">
        <f>IF(AD33="-", "-", IF(AH33="-", "-", IF(ABS(AH33)=0, "-", ROUND(100*(AD33-AH33)/ABS(AH33), 10))))</f>
        <v>-</v>
      </c>
      <c r="AM33" s="121" t="str">
        <f t="shared" ref="AM33:AN35" si="16">IF(AI33="-", "-", IF(AK33="-", "-", IF(ABS(AK33)=0, "-", ROUND(100*(AI33-AK33)/ABS(AK33), 1))))</f>
        <v>-</v>
      </c>
      <c r="AN33" s="122" t="str">
        <f t="shared" si="16"/>
        <v>-</v>
      </c>
      <c r="AT33" s="224"/>
      <c r="AU33" s="225"/>
      <c r="AV33" s="225"/>
      <c r="AW33" s="225"/>
      <c r="AX33" s="225"/>
      <c r="AY33" s="225"/>
      <c r="AZ33" s="226"/>
      <c r="BA33" s="227" t="str">
        <f>IF($B$1&lt;&gt;"",$B$1,"")</f>
        <v/>
      </c>
      <c r="BB33" s="182"/>
      <c r="BC33" s="182"/>
      <c r="BD33" s="182"/>
      <c r="BE33" s="181" t="str">
        <f>IF($B$1&lt;&gt;"",$B$1-1,"")</f>
        <v/>
      </c>
      <c r="BF33" s="182"/>
      <c r="BG33" s="182"/>
      <c r="BH33" s="183"/>
      <c r="BI33" s="184" t="s">
        <v>204</v>
      </c>
      <c r="BJ33" s="185"/>
      <c r="BK33" s="186"/>
      <c r="BL33" s="224"/>
      <c r="BM33" s="225"/>
      <c r="BN33" s="225"/>
      <c r="BO33" s="225"/>
      <c r="BP33" s="225"/>
      <c r="BQ33" s="225"/>
      <c r="BR33" s="226"/>
      <c r="BS33" s="227" t="str">
        <f>IF($B$1&lt;&gt;"",$B$1,"")</f>
        <v/>
      </c>
      <c r="BT33" s="182"/>
      <c r="BU33" s="182"/>
      <c r="BV33" s="182"/>
      <c r="BW33" s="181" t="str">
        <f>IF($B$1&lt;&gt;"",$B$1-1,"")</f>
        <v/>
      </c>
      <c r="BX33" s="182"/>
      <c r="BY33" s="182"/>
      <c r="BZ33" s="183"/>
      <c r="CA33" s="433" t="s">
        <v>204</v>
      </c>
      <c r="CB33" s="434"/>
      <c r="CC33" s="435"/>
    </row>
    <row r="34" spans="2:81" ht="12.75" customHeight="1">
      <c r="B34" s="383" t="s">
        <v>196</v>
      </c>
      <c r="C34" s="384"/>
      <c r="D34" s="385"/>
      <c r="E34" s="117" t="s">
        <v>83</v>
      </c>
      <c r="F34" s="115"/>
      <c r="G34" s="115"/>
      <c r="H34" s="270"/>
      <c r="I34" s="392"/>
      <c r="J34" s="392"/>
      <c r="K34" s="392"/>
      <c r="L34" s="392"/>
      <c r="M34" s="393"/>
      <c r="N34" s="392"/>
      <c r="O34" s="392"/>
      <c r="P34" s="394"/>
      <c r="Q34" s="395" t="str">
        <f>IF(I34="-", "-", IF(M34="-", "-", IF(ABS(M34)=0, "-", ROUND(100*(I34-M34)/ABS(M34), 10))))</f>
        <v>-</v>
      </c>
      <c r="R34" s="395" t="str">
        <f t="shared" si="14"/>
        <v>-</v>
      </c>
      <c r="S34" s="396" t="str">
        <f t="shared" si="15"/>
        <v>-</v>
      </c>
      <c r="X34" s="397" t="s">
        <v>215</v>
      </c>
      <c r="Y34" s="398"/>
      <c r="Z34" s="398"/>
      <c r="AA34" s="398"/>
      <c r="AB34" s="398"/>
      <c r="AC34" s="399"/>
      <c r="AD34" s="330"/>
      <c r="AE34" s="330"/>
      <c r="AF34" s="330"/>
      <c r="AG34" s="330"/>
      <c r="AH34" s="339"/>
      <c r="AI34" s="330"/>
      <c r="AJ34" s="330"/>
      <c r="AK34" s="340"/>
      <c r="AL34" s="121" t="str">
        <f>IF(AD34="-", "-", IF(AH34="-", "-", IF(ABS(AH34)=0, "-", ROUND(100*(AD34-AH34)/ABS(AH34), 10))))</f>
        <v>-</v>
      </c>
      <c r="AM34" s="121" t="str">
        <f t="shared" si="16"/>
        <v>-</v>
      </c>
      <c r="AN34" s="122" t="str">
        <f t="shared" si="16"/>
        <v>-</v>
      </c>
      <c r="AT34" s="333" t="s">
        <v>13</v>
      </c>
      <c r="AU34" s="334"/>
      <c r="AV34" s="334"/>
      <c r="AW34" s="334"/>
      <c r="AX34" s="334"/>
      <c r="AY34" s="334"/>
      <c r="AZ34" s="335"/>
      <c r="BA34" s="426"/>
      <c r="BB34" s="427"/>
      <c r="BC34" s="427"/>
      <c r="BD34" s="427"/>
      <c r="BE34" s="427"/>
      <c r="BF34" s="427"/>
      <c r="BG34" s="427"/>
      <c r="BH34" s="427"/>
      <c r="BI34" s="427" t="str">
        <f t="shared" ref="BI34:BI49" si="17">IF(BA34="-", "-", IF(BE34="-", "-", IF(ABS(BE34)=0, "-", ROUND(100*(BA34-BE34)/ABS(BE34), 10))))</f>
        <v>-</v>
      </c>
      <c r="BJ34" s="427" t="str">
        <f t="shared" ref="BJ34:BK49" si="18">IF(BF34="-", "-", IF(BH34="-", "-", IF(ABS(BH34)=0, "-", ROUND(100*(BF34-BH34)/ABS(BH34), 1))))</f>
        <v>-</v>
      </c>
      <c r="BK34" s="439" t="str">
        <f t="shared" si="18"/>
        <v>-</v>
      </c>
      <c r="BL34" s="423"/>
      <c r="BM34" s="424"/>
      <c r="BN34" s="424"/>
      <c r="BO34" s="424"/>
      <c r="BP34" s="424"/>
      <c r="BQ34" s="424"/>
      <c r="BR34" s="425"/>
      <c r="BS34" s="432"/>
      <c r="BT34" s="430"/>
      <c r="BU34" s="430"/>
      <c r="BV34" s="430"/>
      <c r="BW34" s="429"/>
      <c r="BX34" s="430"/>
      <c r="BY34" s="430"/>
      <c r="BZ34" s="431"/>
      <c r="CA34" s="436"/>
      <c r="CB34" s="437"/>
      <c r="CC34" s="438"/>
    </row>
    <row r="35" spans="2:81" ht="12.75" customHeight="1" thickBot="1">
      <c r="B35" s="386"/>
      <c r="C35" s="387"/>
      <c r="D35" s="388"/>
      <c r="E35" s="248" t="s">
        <v>209</v>
      </c>
      <c r="F35" s="101"/>
      <c r="G35" s="101"/>
      <c r="H35" s="102"/>
      <c r="I35" s="330"/>
      <c r="J35" s="330"/>
      <c r="K35" s="330"/>
      <c r="L35" s="330"/>
      <c r="M35" s="339"/>
      <c r="N35" s="330"/>
      <c r="O35" s="330"/>
      <c r="P35" s="340"/>
      <c r="Q35" s="121" t="str">
        <f>IF(I35="-", "-", IF(M35="-", "-", IF(ABS(M35)=0, "-", ROUND(100*(I35-M35)/ABS(M35), 10))))</f>
        <v>-</v>
      </c>
      <c r="R35" s="121" t="str">
        <f t="shared" si="14"/>
        <v>-</v>
      </c>
      <c r="S35" s="122" t="str">
        <f t="shared" si="15"/>
        <v>-</v>
      </c>
      <c r="X35" s="148" t="s">
        <v>13</v>
      </c>
      <c r="Y35" s="149"/>
      <c r="Z35" s="149"/>
      <c r="AA35" s="149"/>
      <c r="AB35" s="149"/>
      <c r="AC35" s="150"/>
      <c r="AD35" s="342"/>
      <c r="AE35" s="342"/>
      <c r="AF35" s="342"/>
      <c r="AG35" s="342"/>
      <c r="AH35" s="341"/>
      <c r="AI35" s="342"/>
      <c r="AJ35" s="342"/>
      <c r="AK35" s="343"/>
      <c r="AL35" s="205" t="str">
        <f>IF(AD35="-", "-", IF(AH35="-", "-", IF(ABS(AH35)=0, "-", ROUND(100*(AD35-AH35)/ABS(AH35), 10))))</f>
        <v>-</v>
      </c>
      <c r="AM35" s="205" t="str">
        <f t="shared" si="16"/>
        <v>-</v>
      </c>
      <c r="AN35" s="206" t="str">
        <f t="shared" si="16"/>
        <v>-</v>
      </c>
      <c r="AT35" s="297" t="s">
        <v>242</v>
      </c>
      <c r="AU35" s="298"/>
      <c r="AV35" s="298"/>
      <c r="AW35" s="298"/>
      <c r="AX35" s="298"/>
      <c r="AY35" s="337"/>
      <c r="AZ35" s="338"/>
      <c r="BA35" s="325"/>
      <c r="BB35" s="121"/>
      <c r="BC35" s="121"/>
      <c r="BD35" s="121"/>
      <c r="BE35" s="121"/>
      <c r="BF35" s="121"/>
      <c r="BG35" s="121"/>
      <c r="BH35" s="121"/>
      <c r="BI35" s="121" t="str">
        <f t="shared" si="17"/>
        <v>-</v>
      </c>
      <c r="BJ35" s="121" t="str">
        <f t="shared" si="18"/>
        <v>-</v>
      </c>
      <c r="BK35" s="122" t="str">
        <f t="shared" si="18"/>
        <v>-</v>
      </c>
      <c r="BL35" s="297" t="s">
        <v>263</v>
      </c>
      <c r="BM35" s="298"/>
      <c r="BN35" s="298"/>
      <c r="BO35" s="298"/>
      <c r="BP35" s="298"/>
      <c r="BQ35" s="298"/>
      <c r="BR35" s="331"/>
      <c r="BS35" s="325"/>
      <c r="BT35" s="121"/>
      <c r="BU35" s="121"/>
      <c r="BV35" s="121"/>
      <c r="BW35" s="121"/>
      <c r="BX35" s="121"/>
      <c r="BY35" s="121"/>
      <c r="BZ35" s="121"/>
      <c r="CA35" s="121" t="str">
        <f t="shared" ref="CA35:CA49" si="19">IF(BS35="-", "-", IF(BW35="-", "-", IF(ABS(BW35)=0, "-", ROUND(100*(BS35-BW35)/ABS(BW35), 10))))</f>
        <v>-</v>
      </c>
      <c r="CB35" s="121" t="str">
        <f t="shared" ref="CB35:CC49" si="20">IF(BX35="-", "-", IF(BZ35="-", "-", IF(ABS(BZ35)=0, "-", ROUND(100*(BX35-BZ35)/ABS(BZ35), 1))))</f>
        <v>-</v>
      </c>
      <c r="CC35" s="122" t="str">
        <f t="shared" si="20"/>
        <v>-</v>
      </c>
    </row>
    <row r="36" spans="2:81" ht="12.75" customHeight="1" thickBot="1">
      <c r="B36" s="389"/>
      <c r="C36" s="390"/>
      <c r="D36" s="391"/>
      <c r="E36" s="292" t="s">
        <v>84</v>
      </c>
      <c r="F36" s="217"/>
      <c r="G36" s="217"/>
      <c r="H36" s="218"/>
      <c r="I36" s="330"/>
      <c r="J36" s="330"/>
      <c r="K36" s="330"/>
      <c r="L36" s="330"/>
      <c r="M36" s="339"/>
      <c r="N36" s="330"/>
      <c r="O36" s="330"/>
      <c r="P36" s="340"/>
      <c r="Q36" s="121" t="str">
        <f>IF(I36="-", "-", IF(M36="-", "-", IF(ABS(M36)=0, "-", ROUND(100*(I36-M36)/ABS(M36), 10))))</f>
        <v>-</v>
      </c>
      <c r="R36" s="121" t="str">
        <f t="shared" si="14"/>
        <v>-</v>
      </c>
      <c r="S36" s="122" t="str">
        <f t="shared" si="15"/>
        <v>-</v>
      </c>
      <c r="X36" s="55"/>
      <c r="Y36" s="55"/>
      <c r="Z36" s="55"/>
      <c r="AA36" s="55"/>
      <c r="AB36" s="55"/>
      <c r="AC36" s="55"/>
      <c r="AD36" s="56"/>
      <c r="AE36" s="56"/>
      <c r="AF36" s="56"/>
      <c r="AG36" s="56"/>
      <c r="AH36" s="56"/>
      <c r="AI36" s="56"/>
      <c r="AJ36" s="56"/>
      <c r="AK36" s="56"/>
      <c r="AL36" s="57"/>
      <c r="AM36" s="57"/>
      <c r="AN36" s="57"/>
      <c r="AT36" s="297" t="s">
        <v>244</v>
      </c>
      <c r="AU36" s="298"/>
      <c r="AV36" s="298"/>
      <c r="AW36" s="298"/>
      <c r="AX36" s="298"/>
      <c r="AY36" s="298"/>
      <c r="AZ36" s="331"/>
      <c r="BA36" s="325"/>
      <c r="BB36" s="121"/>
      <c r="BC36" s="121"/>
      <c r="BD36" s="121"/>
      <c r="BE36" s="121"/>
      <c r="BF36" s="121"/>
      <c r="BG36" s="121"/>
      <c r="BH36" s="121"/>
      <c r="BI36" s="121" t="str">
        <f t="shared" si="17"/>
        <v>-</v>
      </c>
      <c r="BJ36" s="121" t="str">
        <f t="shared" si="18"/>
        <v>-</v>
      </c>
      <c r="BK36" s="122" t="str">
        <f t="shared" si="18"/>
        <v>-</v>
      </c>
      <c r="BL36" s="297" t="s">
        <v>264</v>
      </c>
      <c r="BM36" s="298"/>
      <c r="BN36" s="298"/>
      <c r="BO36" s="298"/>
      <c r="BP36" s="298"/>
      <c r="BQ36" s="298"/>
      <c r="BR36" s="331"/>
      <c r="BS36" s="325"/>
      <c r="BT36" s="121"/>
      <c r="BU36" s="121"/>
      <c r="BV36" s="121"/>
      <c r="BW36" s="121"/>
      <c r="BX36" s="121"/>
      <c r="BY36" s="121"/>
      <c r="BZ36" s="121"/>
      <c r="CA36" s="121" t="str">
        <f t="shared" si="19"/>
        <v>-</v>
      </c>
      <c r="CB36" s="121" t="str">
        <f t="shared" si="20"/>
        <v>-</v>
      </c>
      <c r="CC36" s="122" t="str">
        <f t="shared" si="20"/>
        <v>-</v>
      </c>
    </row>
    <row r="37" spans="2:81" ht="12.75" customHeight="1">
      <c r="B37" s="25"/>
      <c r="C37" s="25"/>
      <c r="D37" s="26"/>
      <c r="E37" s="41"/>
      <c r="F37" s="41"/>
      <c r="G37" s="41"/>
      <c r="H37" s="41"/>
      <c r="I37" s="58"/>
      <c r="J37" s="59"/>
      <c r="K37" s="59"/>
      <c r="L37" s="59"/>
      <c r="M37" s="58"/>
      <c r="N37" s="59"/>
      <c r="O37" s="59"/>
      <c r="P37" s="59"/>
      <c r="Q37" s="58"/>
      <c r="R37" s="59"/>
      <c r="S37" s="59"/>
      <c r="AT37" s="297" t="s">
        <v>245</v>
      </c>
      <c r="AU37" s="298"/>
      <c r="AV37" s="298"/>
      <c r="AW37" s="298"/>
      <c r="AX37" s="298"/>
      <c r="AY37" s="298"/>
      <c r="AZ37" s="331"/>
      <c r="BA37" s="325"/>
      <c r="BB37" s="121"/>
      <c r="BC37" s="121"/>
      <c r="BD37" s="121"/>
      <c r="BE37" s="121"/>
      <c r="BF37" s="121"/>
      <c r="BG37" s="121"/>
      <c r="BH37" s="121"/>
      <c r="BI37" s="121" t="str">
        <f t="shared" si="17"/>
        <v>-</v>
      </c>
      <c r="BJ37" s="121" t="str">
        <f t="shared" si="18"/>
        <v>-</v>
      </c>
      <c r="BK37" s="122" t="str">
        <f t="shared" si="18"/>
        <v>-</v>
      </c>
      <c r="BL37" s="297" t="s">
        <v>265</v>
      </c>
      <c r="BM37" s="298"/>
      <c r="BN37" s="298"/>
      <c r="BO37" s="298"/>
      <c r="BP37" s="298"/>
      <c r="BQ37" s="298"/>
      <c r="BR37" s="331"/>
      <c r="BS37" s="325"/>
      <c r="BT37" s="121"/>
      <c r="BU37" s="121"/>
      <c r="BV37" s="121"/>
      <c r="BW37" s="121"/>
      <c r="BX37" s="121"/>
      <c r="BY37" s="121"/>
      <c r="BZ37" s="121"/>
      <c r="CA37" s="121" t="str">
        <f t="shared" si="19"/>
        <v>-</v>
      </c>
      <c r="CB37" s="121" t="str">
        <f t="shared" si="20"/>
        <v>-</v>
      </c>
      <c r="CC37" s="122" t="str">
        <f t="shared" si="20"/>
        <v>-</v>
      </c>
    </row>
    <row r="38" spans="2:81" ht="12.75" customHeight="1">
      <c r="AT38" s="297" t="s">
        <v>246</v>
      </c>
      <c r="AU38" s="298"/>
      <c r="AV38" s="298"/>
      <c r="AW38" s="298"/>
      <c r="AX38" s="298"/>
      <c r="AY38" s="298"/>
      <c r="AZ38" s="331"/>
      <c r="BA38" s="325"/>
      <c r="BB38" s="121"/>
      <c r="BC38" s="121"/>
      <c r="BD38" s="121"/>
      <c r="BE38" s="121"/>
      <c r="BF38" s="121"/>
      <c r="BG38" s="121"/>
      <c r="BH38" s="121"/>
      <c r="BI38" s="121" t="str">
        <f t="shared" si="17"/>
        <v>-</v>
      </c>
      <c r="BJ38" s="121" t="str">
        <f t="shared" si="18"/>
        <v>-</v>
      </c>
      <c r="BK38" s="122" t="str">
        <f t="shared" si="18"/>
        <v>-</v>
      </c>
      <c r="BL38" s="297" t="s">
        <v>266</v>
      </c>
      <c r="BM38" s="298"/>
      <c r="BN38" s="298"/>
      <c r="BO38" s="298"/>
      <c r="BP38" s="298"/>
      <c r="BQ38" s="298"/>
      <c r="BR38" s="331"/>
      <c r="BS38" s="325"/>
      <c r="BT38" s="121"/>
      <c r="BU38" s="121"/>
      <c r="BV38" s="121"/>
      <c r="BW38" s="121"/>
      <c r="BX38" s="121"/>
      <c r="BY38" s="121"/>
      <c r="BZ38" s="121"/>
      <c r="CA38" s="121" t="str">
        <f t="shared" si="19"/>
        <v>-</v>
      </c>
      <c r="CB38" s="121" t="str">
        <f t="shared" si="20"/>
        <v>-</v>
      </c>
      <c r="CC38" s="122" t="str">
        <f t="shared" si="20"/>
        <v>-</v>
      </c>
    </row>
    <row r="39" spans="2:81" ht="12.75" customHeight="1" thickBot="1">
      <c r="B39" s="2" t="s">
        <v>317</v>
      </c>
      <c r="AD39" s="1" t="s">
        <v>9</v>
      </c>
      <c r="AT39" s="297" t="s">
        <v>247</v>
      </c>
      <c r="AU39" s="298"/>
      <c r="AV39" s="298"/>
      <c r="AW39" s="298"/>
      <c r="AX39" s="298"/>
      <c r="AY39" s="298"/>
      <c r="AZ39" s="331"/>
      <c r="BA39" s="325"/>
      <c r="BB39" s="121"/>
      <c r="BC39" s="121"/>
      <c r="BD39" s="121"/>
      <c r="BE39" s="121"/>
      <c r="BF39" s="121"/>
      <c r="BG39" s="121"/>
      <c r="BH39" s="121"/>
      <c r="BI39" s="121" t="str">
        <f t="shared" si="17"/>
        <v>-</v>
      </c>
      <c r="BJ39" s="121" t="str">
        <f t="shared" si="18"/>
        <v>-</v>
      </c>
      <c r="BK39" s="122" t="str">
        <f t="shared" si="18"/>
        <v>-</v>
      </c>
      <c r="BL39" s="297" t="s">
        <v>243</v>
      </c>
      <c r="BM39" s="298"/>
      <c r="BN39" s="298"/>
      <c r="BO39" s="298"/>
      <c r="BP39" s="298"/>
      <c r="BQ39" s="298"/>
      <c r="BR39" s="331"/>
      <c r="BS39" s="325"/>
      <c r="BT39" s="121"/>
      <c r="BU39" s="121"/>
      <c r="BV39" s="121"/>
      <c r="BW39" s="121"/>
      <c r="BX39" s="121"/>
      <c r="BY39" s="121"/>
      <c r="BZ39" s="121"/>
      <c r="CA39" s="121" t="str">
        <f t="shared" si="19"/>
        <v>-</v>
      </c>
      <c r="CB39" s="121" t="str">
        <f t="shared" si="20"/>
        <v>-</v>
      </c>
      <c r="CC39" s="122" t="str">
        <f t="shared" si="20"/>
        <v>-</v>
      </c>
    </row>
    <row r="40" spans="2:81" ht="12.75" customHeight="1">
      <c r="B40" s="153"/>
      <c r="C40" s="154"/>
      <c r="D40" s="154"/>
      <c r="E40" s="154"/>
      <c r="F40" s="154"/>
      <c r="G40" s="154"/>
      <c r="H40" s="155"/>
      <c r="I40" s="134" t="s">
        <v>94</v>
      </c>
      <c r="J40" s="135"/>
      <c r="K40" s="135"/>
      <c r="L40" s="135"/>
      <c r="M40" s="135"/>
      <c r="N40" s="135"/>
      <c r="O40" s="135"/>
      <c r="P40" s="135"/>
      <c r="Q40" s="135"/>
      <c r="R40" s="135"/>
      <c r="S40" s="136"/>
      <c r="T40" s="134" t="s">
        <v>95</v>
      </c>
      <c r="U40" s="135"/>
      <c r="V40" s="135"/>
      <c r="W40" s="135"/>
      <c r="X40" s="135"/>
      <c r="Y40" s="135"/>
      <c r="Z40" s="135"/>
      <c r="AA40" s="135"/>
      <c r="AB40" s="135"/>
      <c r="AC40" s="135"/>
      <c r="AD40" s="136"/>
      <c r="AT40" s="297" t="s">
        <v>248</v>
      </c>
      <c r="AU40" s="298"/>
      <c r="AV40" s="298"/>
      <c r="AW40" s="298"/>
      <c r="AX40" s="298"/>
      <c r="AY40" s="298"/>
      <c r="AZ40" s="331"/>
      <c r="BA40" s="325"/>
      <c r="BB40" s="121"/>
      <c r="BC40" s="121"/>
      <c r="BD40" s="121"/>
      <c r="BE40" s="121"/>
      <c r="BF40" s="121"/>
      <c r="BG40" s="121"/>
      <c r="BH40" s="121"/>
      <c r="BI40" s="121" t="str">
        <f t="shared" si="17"/>
        <v>-</v>
      </c>
      <c r="BJ40" s="121" t="str">
        <f t="shared" si="18"/>
        <v>-</v>
      </c>
      <c r="BK40" s="122" t="str">
        <f t="shared" si="18"/>
        <v>-</v>
      </c>
      <c r="BL40" s="297" t="s">
        <v>287</v>
      </c>
      <c r="BM40" s="298"/>
      <c r="BN40" s="298"/>
      <c r="BO40" s="298"/>
      <c r="BP40" s="298"/>
      <c r="BQ40" s="298"/>
      <c r="BR40" s="331"/>
      <c r="BS40" s="325"/>
      <c r="BT40" s="121"/>
      <c r="BU40" s="121"/>
      <c r="BV40" s="121"/>
      <c r="BW40" s="121"/>
      <c r="BX40" s="121"/>
      <c r="BY40" s="121"/>
      <c r="BZ40" s="121"/>
      <c r="CA40" s="121" t="str">
        <f t="shared" si="19"/>
        <v>-</v>
      </c>
      <c r="CB40" s="121" t="str">
        <f t="shared" si="20"/>
        <v>-</v>
      </c>
      <c r="CC40" s="122" t="str">
        <f t="shared" si="20"/>
        <v>-</v>
      </c>
    </row>
    <row r="41" spans="2:81" ht="12.75" customHeight="1" thickBot="1">
      <c r="B41" s="156"/>
      <c r="C41" s="157"/>
      <c r="D41" s="157"/>
      <c r="E41" s="157"/>
      <c r="F41" s="157"/>
      <c r="G41" s="157"/>
      <c r="H41" s="158"/>
      <c r="I41" s="146" t="str">
        <f>IF($B$1&lt;&gt;"",$B$1,"")</f>
        <v/>
      </c>
      <c r="J41" s="128"/>
      <c r="K41" s="128"/>
      <c r="L41" s="128"/>
      <c r="M41" s="127" t="str">
        <f>IF($B$1&lt;&gt;"",$B$1-1,"")</f>
        <v/>
      </c>
      <c r="N41" s="128"/>
      <c r="O41" s="128"/>
      <c r="P41" s="129"/>
      <c r="Q41" s="321" t="s">
        <v>218</v>
      </c>
      <c r="R41" s="322"/>
      <c r="S41" s="323"/>
      <c r="T41" s="146" t="str">
        <f>IF($B$1&lt;&gt;"",$B$1,"")</f>
        <v/>
      </c>
      <c r="U41" s="128"/>
      <c r="V41" s="128"/>
      <c r="W41" s="128"/>
      <c r="X41" s="127" t="str">
        <f>IF($B$1&lt;&gt;"",$B$1-1,"")</f>
        <v/>
      </c>
      <c r="Y41" s="128"/>
      <c r="Z41" s="128"/>
      <c r="AA41" s="129"/>
      <c r="AB41" s="321" t="s">
        <v>218</v>
      </c>
      <c r="AC41" s="322"/>
      <c r="AD41" s="323"/>
      <c r="AT41" s="297" t="s">
        <v>249</v>
      </c>
      <c r="AU41" s="298"/>
      <c r="AV41" s="298"/>
      <c r="AW41" s="298"/>
      <c r="AX41" s="298"/>
      <c r="AY41" s="298"/>
      <c r="AZ41" s="331"/>
      <c r="BA41" s="325"/>
      <c r="BB41" s="121"/>
      <c r="BC41" s="121"/>
      <c r="BD41" s="121"/>
      <c r="BE41" s="121"/>
      <c r="BF41" s="121"/>
      <c r="BG41" s="121"/>
      <c r="BH41" s="121"/>
      <c r="BI41" s="121" t="str">
        <f t="shared" si="17"/>
        <v>-</v>
      </c>
      <c r="BJ41" s="121" t="str">
        <f t="shared" si="18"/>
        <v>-</v>
      </c>
      <c r="BK41" s="122" t="str">
        <f t="shared" si="18"/>
        <v>-</v>
      </c>
      <c r="BL41" s="297" t="s">
        <v>288</v>
      </c>
      <c r="BM41" s="298"/>
      <c r="BN41" s="298"/>
      <c r="BO41" s="298"/>
      <c r="BP41" s="298"/>
      <c r="BQ41" s="298"/>
      <c r="BR41" s="331"/>
      <c r="BS41" s="325"/>
      <c r="BT41" s="121"/>
      <c r="BU41" s="121"/>
      <c r="BV41" s="121"/>
      <c r="BW41" s="121"/>
      <c r="BX41" s="121"/>
      <c r="BY41" s="121"/>
      <c r="BZ41" s="121"/>
      <c r="CA41" s="121" t="str">
        <f t="shared" si="19"/>
        <v>-</v>
      </c>
      <c r="CB41" s="121" t="str">
        <f t="shared" si="20"/>
        <v>-</v>
      </c>
      <c r="CC41" s="122" t="str">
        <f t="shared" si="20"/>
        <v>-</v>
      </c>
    </row>
    <row r="42" spans="2:81" ht="12.75" customHeight="1">
      <c r="B42" s="400" t="s">
        <v>96</v>
      </c>
      <c r="C42" s="401"/>
      <c r="D42" s="401"/>
      <c r="E42" s="401"/>
      <c r="F42" s="401"/>
      <c r="G42" s="401"/>
      <c r="H42" s="402"/>
      <c r="I42" s="330"/>
      <c r="J42" s="330"/>
      <c r="K42" s="330"/>
      <c r="L42" s="330"/>
      <c r="M42" s="339"/>
      <c r="N42" s="330"/>
      <c r="O42" s="330"/>
      <c r="P42" s="340"/>
      <c r="Q42" s="121" t="str">
        <f t="shared" ref="Q42:Q48" si="21">IF(I42="-", "-", IF(M42="-", "-", IF(ABS(M42)=0, "-", ROUND(100*(I42-M42)/ABS(M42), 10))))</f>
        <v>-</v>
      </c>
      <c r="R42" s="121" t="str">
        <f t="shared" ref="R42:S48" si="22">IF(N42="-", "-", IF(P42="-", "-", IF(ABS(P42)=0, "-", ROUND(100*(N42-P42)/ABS(P42), 1))))</f>
        <v>-</v>
      </c>
      <c r="S42" s="122" t="str">
        <f t="shared" si="22"/>
        <v>-</v>
      </c>
      <c r="T42" s="330"/>
      <c r="U42" s="330"/>
      <c r="V42" s="330"/>
      <c r="W42" s="330"/>
      <c r="X42" s="339"/>
      <c r="Y42" s="330"/>
      <c r="Z42" s="330"/>
      <c r="AA42" s="340"/>
      <c r="AB42" s="121" t="str">
        <f t="shared" ref="AB42:AB48" si="23">IF(T42="-", "-", IF(X42="-", "-", IF(ABS(X42)=0, "-", ROUND(100*(T42-X42)/ABS(X42), 10))))</f>
        <v>-</v>
      </c>
      <c r="AC42" s="121" t="str">
        <f t="shared" ref="AC42:AD48" si="24">IF(Y42="-", "-", IF(AA42="-", "-", IF(ABS(AA42)=0, "-", ROUND(100*(Y42-AA42)/ABS(AA42), 1))))</f>
        <v>-</v>
      </c>
      <c r="AD42" s="122" t="str">
        <f t="shared" si="24"/>
        <v>-</v>
      </c>
      <c r="AT42" s="297" t="s">
        <v>250</v>
      </c>
      <c r="AU42" s="298"/>
      <c r="AV42" s="298"/>
      <c r="AW42" s="298"/>
      <c r="AX42" s="298"/>
      <c r="AY42" s="298"/>
      <c r="AZ42" s="331"/>
      <c r="BA42" s="325"/>
      <c r="BB42" s="121"/>
      <c r="BC42" s="121"/>
      <c r="BD42" s="121"/>
      <c r="BE42" s="121"/>
      <c r="BF42" s="121"/>
      <c r="BG42" s="121"/>
      <c r="BH42" s="121"/>
      <c r="BI42" s="121" t="str">
        <f t="shared" si="17"/>
        <v>-</v>
      </c>
      <c r="BJ42" s="121" t="str">
        <f t="shared" si="18"/>
        <v>-</v>
      </c>
      <c r="BK42" s="122" t="str">
        <f t="shared" si="18"/>
        <v>-</v>
      </c>
      <c r="BL42" s="297" t="s">
        <v>289</v>
      </c>
      <c r="BM42" s="298"/>
      <c r="BN42" s="298"/>
      <c r="BO42" s="298"/>
      <c r="BP42" s="298"/>
      <c r="BQ42" s="298"/>
      <c r="BR42" s="331"/>
      <c r="BS42" s="325"/>
      <c r="BT42" s="121"/>
      <c r="BU42" s="121"/>
      <c r="BV42" s="121"/>
      <c r="BW42" s="121"/>
      <c r="BX42" s="121"/>
      <c r="BY42" s="121"/>
      <c r="BZ42" s="121"/>
      <c r="CA42" s="121" t="str">
        <f t="shared" si="19"/>
        <v>-</v>
      </c>
      <c r="CB42" s="121" t="str">
        <f t="shared" si="20"/>
        <v>-</v>
      </c>
      <c r="CC42" s="122" t="str">
        <f t="shared" si="20"/>
        <v>-</v>
      </c>
    </row>
    <row r="43" spans="2:81" ht="12.75" customHeight="1">
      <c r="B43" s="178" t="s">
        <v>97</v>
      </c>
      <c r="C43" s="179"/>
      <c r="D43" s="179"/>
      <c r="E43" s="179"/>
      <c r="F43" s="179"/>
      <c r="G43" s="179"/>
      <c r="H43" s="180"/>
      <c r="I43" s="330"/>
      <c r="J43" s="330"/>
      <c r="K43" s="330"/>
      <c r="L43" s="330"/>
      <c r="M43" s="339"/>
      <c r="N43" s="330"/>
      <c r="O43" s="330"/>
      <c r="P43" s="340"/>
      <c r="Q43" s="121" t="str">
        <f t="shared" si="21"/>
        <v>-</v>
      </c>
      <c r="R43" s="121" t="str">
        <f t="shared" si="22"/>
        <v>-</v>
      </c>
      <c r="S43" s="122" t="str">
        <f t="shared" si="22"/>
        <v>-</v>
      </c>
      <c r="T43" s="330"/>
      <c r="U43" s="330"/>
      <c r="V43" s="330"/>
      <c r="W43" s="330"/>
      <c r="X43" s="339"/>
      <c r="Y43" s="330"/>
      <c r="Z43" s="330"/>
      <c r="AA43" s="340"/>
      <c r="AB43" s="121" t="str">
        <f t="shared" si="23"/>
        <v>-</v>
      </c>
      <c r="AC43" s="121" t="str">
        <f t="shared" si="24"/>
        <v>-</v>
      </c>
      <c r="AD43" s="122" t="str">
        <f t="shared" si="24"/>
        <v>-</v>
      </c>
      <c r="AT43" s="297" t="s">
        <v>251</v>
      </c>
      <c r="AU43" s="298"/>
      <c r="AV43" s="298"/>
      <c r="AW43" s="298"/>
      <c r="AX43" s="298"/>
      <c r="AY43" s="298"/>
      <c r="AZ43" s="331"/>
      <c r="BA43" s="325"/>
      <c r="BB43" s="121"/>
      <c r="BC43" s="121"/>
      <c r="BD43" s="121"/>
      <c r="BE43" s="121"/>
      <c r="BF43" s="121"/>
      <c r="BG43" s="121"/>
      <c r="BH43" s="121"/>
      <c r="BI43" s="121" t="str">
        <f t="shared" si="17"/>
        <v>-</v>
      </c>
      <c r="BJ43" s="121" t="str">
        <f t="shared" si="18"/>
        <v>-</v>
      </c>
      <c r="BK43" s="122" t="str">
        <f t="shared" si="18"/>
        <v>-</v>
      </c>
      <c r="BL43" s="297" t="s">
        <v>290</v>
      </c>
      <c r="BM43" s="298"/>
      <c r="BN43" s="298"/>
      <c r="BO43" s="298"/>
      <c r="BP43" s="298"/>
      <c r="BQ43" s="298"/>
      <c r="BR43" s="331"/>
      <c r="BS43" s="325"/>
      <c r="BT43" s="121"/>
      <c r="BU43" s="121"/>
      <c r="BV43" s="121"/>
      <c r="BW43" s="121"/>
      <c r="BX43" s="121"/>
      <c r="BY43" s="121"/>
      <c r="BZ43" s="121"/>
      <c r="CA43" s="121" t="str">
        <f t="shared" si="19"/>
        <v>-</v>
      </c>
      <c r="CB43" s="121" t="str">
        <f t="shared" si="20"/>
        <v>-</v>
      </c>
      <c r="CC43" s="122" t="str">
        <f t="shared" si="20"/>
        <v>-</v>
      </c>
    </row>
    <row r="44" spans="2:81" ht="12.75" customHeight="1">
      <c r="B44" s="178" t="s">
        <v>98</v>
      </c>
      <c r="C44" s="179"/>
      <c r="D44" s="179"/>
      <c r="E44" s="179"/>
      <c r="F44" s="179"/>
      <c r="G44" s="179"/>
      <c r="H44" s="180"/>
      <c r="I44" s="330"/>
      <c r="J44" s="330"/>
      <c r="K44" s="330"/>
      <c r="L44" s="330"/>
      <c r="M44" s="339"/>
      <c r="N44" s="330"/>
      <c r="O44" s="330"/>
      <c r="P44" s="340"/>
      <c r="Q44" s="121" t="str">
        <f t="shared" si="21"/>
        <v>-</v>
      </c>
      <c r="R44" s="121" t="str">
        <f t="shared" si="22"/>
        <v>-</v>
      </c>
      <c r="S44" s="122" t="str">
        <f t="shared" si="22"/>
        <v>-</v>
      </c>
      <c r="T44" s="330"/>
      <c r="U44" s="330"/>
      <c r="V44" s="330"/>
      <c r="W44" s="330"/>
      <c r="X44" s="339"/>
      <c r="Y44" s="330"/>
      <c r="Z44" s="330"/>
      <c r="AA44" s="340"/>
      <c r="AB44" s="121" t="str">
        <f t="shared" si="23"/>
        <v>-</v>
      </c>
      <c r="AC44" s="121" t="str">
        <f t="shared" si="24"/>
        <v>-</v>
      </c>
      <c r="AD44" s="122" t="str">
        <f t="shared" si="24"/>
        <v>-</v>
      </c>
      <c r="AT44" s="297" t="s">
        <v>252</v>
      </c>
      <c r="AU44" s="298"/>
      <c r="AV44" s="298"/>
      <c r="AW44" s="298"/>
      <c r="AX44" s="298"/>
      <c r="AY44" s="298"/>
      <c r="AZ44" s="331"/>
      <c r="BA44" s="325"/>
      <c r="BB44" s="121"/>
      <c r="BC44" s="121"/>
      <c r="BD44" s="121"/>
      <c r="BE44" s="121"/>
      <c r="BF44" s="121"/>
      <c r="BG44" s="121"/>
      <c r="BH44" s="121"/>
      <c r="BI44" s="121" t="str">
        <f t="shared" si="17"/>
        <v>-</v>
      </c>
      <c r="BJ44" s="121" t="str">
        <f t="shared" si="18"/>
        <v>-</v>
      </c>
      <c r="BK44" s="122" t="str">
        <f t="shared" si="18"/>
        <v>-</v>
      </c>
      <c r="BL44" s="297" t="s">
        <v>291</v>
      </c>
      <c r="BM44" s="298"/>
      <c r="BN44" s="298"/>
      <c r="BO44" s="298"/>
      <c r="BP44" s="298"/>
      <c r="BQ44" s="298"/>
      <c r="BR44" s="331"/>
      <c r="BS44" s="325"/>
      <c r="BT44" s="121"/>
      <c r="BU44" s="121"/>
      <c r="BV44" s="121"/>
      <c r="BW44" s="121"/>
      <c r="BX44" s="121"/>
      <c r="BY44" s="121"/>
      <c r="BZ44" s="121"/>
      <c r="CA44" s="121" t="str">
        <f t="shared" si="19"/>
        <v>-</v>
      </c>
      <c r="CB44" s="121" t="str">
        <f t="shared" si="20"/>
        <v>-</v>
      </c>
      <c r="CC44" s="122" t="str">
        <f t="shared" si="20"/>
        <v>-</v>
      </c>
    </row>
    <row r="45" spans="2:81" ht="12.75" customHeight="1">
      <c r="B45" s="178" t="s">
        <v>99</v>
      </c>
      <c r="C45" s="179"/>
      <c r="D45" s="179"/>
      <c r="E45" s="179"/>
      <c r="F45" s="179"/>
      <c r="G45" s="179"/>
      <c r="H45" s="180"/>
      <c r="I45" s="330"/>
      <c r="J45" s="330"/>
      <c r="K45" s="330"/>
      <c r="L45" s="330"/>
      <c r="M45" s="339"/>
      <c r="N45" s="330"/>
      <c r="O45" s="330"/>
      <c r="P45" s="340"/>
      <c r="Q45" s="121" t="str">
        <f t="shared" si="21"/>
        <v>-</v>
      </c>
      <c r="R45" s="121" t="str">
        <f t="shared" si="22"/>
        <v>-</v>
      </c>
      <c r="S45" s="122" t="str">
        <f t="shared" si="22"/>
        <v>-</v>
      </c>
      <c r="T45" s="330"/>
      <c r="U45" s="330"/>
      <c r="V45" s="330"/>
      <c r="W45" s="330"/>
      <c r="X45" s="339"/>
      <c r="Y45" s="330"/>
      <c r="Z45" s="330"/>
      <c r="AA45" s="340"/>
      <c r="AB45" s="121" t="str">
        <f t="shared" si="23"/>
        <v>-</v>
      </c>
      <c r="AC45" s="121" t="str">
        <f t="shared" si="24"/>
        <v>-</v>
      </c>
      <c r="AD45" s="122" t="str">
        <f t="shared" si="24"/>
        <v>-</v>
      </c>
      <c r="AT45" s="297" t="s">
        <v>258</v>
      </c>
      <c r="AU45" s="298"/>
      <c r="AV45" s="298"/>
      <c r="AW45" s="298"/>
      <c r="AX45" s="298"/>
      <c r="AY45" s="298"/>
      <c r="AZ45" s="331"/>
      <c r="BA45" s="325"/>
      <c r="BB45" s="121"/>
      <c r="BC45" s="121"/>
      <c r="BD45" s="121"/>
      <c r="BE45" s="121"/>
      <c r="BF45" s="121"/>
      <c r="BG45" s="121"/>
      <c r="BH45" s="121"/>
      <c r="BI45" s="121" t="str">
        <f t="shared" si="17"/>
        <v>-</v>
      </c>
      <c r="BJ45" s="121" t="str">
        <f t="shared" si="18"/>
        <v>-</v>
      </c>
      <c r="BK45" s="122" t="str">
        <f t="shared" si="18"/>
        <v>-</v>
      </c>
      <c r="BL45" s="297" t="s">
        <v>292</v>
      </c>
      <c r="BM45" s="298"/>
      <c r="BN45" s="298"/>
      <c r="BO45" s="298"/>
      <c r="BP45" s="298"/>
      <c r="BQ45" s="298"/>
      <c r="BR45" s="331"/>
      <c r="BS45" s="325"/>
      <c r="BT45" s="121"/>
      <c r="BU45" s="121"/>
      <c r="BV45" s="121"/>
      <c r="BW45" s="121"/>
      <c r="BX45" s="121"/>
      <c r="BY45" s="121"/>
      <c r="BZ45" s="121"/>
      <c r="CA45" s="121" t="str">
        <f t="shared" si="19"/>
        <v>-</v>
      </c>
      <c r="CB45" s="121" t="str">
        <f t="shared" si="20"/>
        <v>-</v>
      </c>
      <c r="CC45" s="122" t="str">
        <f t="shared" si="20"/>
        <v>-</v>
      </c>
    </row>
    <row r="46" spans="2:81" ht="12.75" customHeight="1">
      <c r="B46" s="175" t="s">
        <v>253</v>
      </c>
      <c r="C46" s="176"/>
      <c r="D46" s="176"/>
      <c r="E46" s="176"/>
      <c r="F46" s="176"/>
      <c r="G46" s="176"/>
      <c r="H46" s="177"/>
      <c r="I46" s="330"/>
      <c r="J46" s="330"/>
      <c r="K46" s="330"/>
      <c r="L46" s="330"/>
      <c r="M46" s="339"/>
      <c r="N46" s="330"/>
      <c r="O46" s="330"/>
      <c r="P46" s="340"/>
      <c r="Q46" s="121" t="str">
        <f t="shared" si="21"/>
        <v>-</v>
      </c>
      <c r="R46" s="121" t="str">
        <f t="shared" si="22"/>
        <v>-</v>
      </c>
      <c r="S46" s="122" t="str">
        <f t="shared" si="22"/>
        <v>-</v>
      </c>
      <c r="T46" s="330"/>
      <c r="U46" s="330"/>
      <c r="V46" s="330"/>
      <c r="W46" s="330"/>
      <c r="X46" s="339"/>
      <c r="Y46" s="330"/>
      <c r="Z46" s="330"/>
      <c r="AA46" s="340"/>
      <c r="AB46" s="121" t="str">
        <f t="shared" si="23"/>
        <v>-</v>
      </c>
      <c r="AC46" s="121" t="str">
        <f t="shared" si="24"/>
        <v>-</v>
      </c>
      <c r="AD46" s="122" t="str">
        <f t="shared" si="24"/>
        <v>-</v>
      </c>
      <c r="AT46" s="297" t="s">
        <v>259</v>
      </c>
      <c r="AU46" s="298"/>
      <c r="AV46" s="298"/>
      <c r="AW46" s="298"/>
      <c r="AX46" s="298"/>
      <c r="AY46" s="298"/>
      <c r="AZ46" s="331"/>
      <c r="BA46" s="325"/>
      <c r="BB46" s="121"/>
      <c r="BC46" s="121"/>
      <c r="BD46" s="121"/>
      <c r="BE46" s="121"/>
      <c r="BF46" s="121"/>
      <c r="BG46" s="121"/>
      <c r="BH46" s="121"/>
      <c r="BI46" s="121" t="str">
        <f t="shared" si="17"/>
        <v>-</v>
      </c>
      <c r="BJ46" s="121" t="str">
        <f t="shared" si="18"/>
        <v>-</v>
      </c>
      <c r="BK46" s="122" t="str">
        <f t="shared" si="18"/>
        <v>-</v>
      </c>
      <c r="BL46" s="297" t="s">
        <v>293</v>
      </c>
      <c r="BM46" s="298"/>
      <c r="BN46" s="298"/>
      <c r="BO46" s="298"/>
      <c r="BP46" s="298"/>
      <c r="BQ46" s="298"/>
      <c r="BR46" s="331"/>
      <c r="BS46" s="325"/>
      <c r="BT46" s="121"/>
      <c r="BU46" s="121"/>
      <c r="BV46" s="121"/>
      <c r="BW46" s="121"/>
      <c r="BX46" s="121"/>
      <c r="BY46" s="121"/>
      <c r="BZ46" s="121"/>
      <c r="CA46" s="121" t="str">
        <f t="shared" si="19"/>
        <v>-</v>
      </c>
      <c r="CB46" s="121" t="str">
        <f t="shared" si="20"/>
        <v>-</v>
      </c>
      <c r="CC46" s="122" t="str">
        <f t="shared" si="20"/>
        <v>-</v>
      </c>
    </row>
    <row r="47" spans="2:81" ht="12.75" customHeight="1">
      <c r="B47" s="175" t="s">
        <v>254</v>
      </c>
      <c r="C47" s="176"/>
      <c r="D47" s="176"/>
      <c r="E47" s="176"/>
      <c r="F47" s="176"/>
      <c r="G47" s="176"/>
      <c r="H47" s="177"/>
      <c r="I47" s="330"/>
      <c r="J47" s="330"/>
      <c r="K47" s="330"/>
      <c r="L47" s="330"/>
      <c r="M47" s="339"/>
      <c r="N47" s="330"/>
      <c r="O47" s="330"/>
      <c r="P47" s="340"/>
      <c r="Q47" s="121" t="str">
        <f t="shared" si="21"/>
        <v>-</v>
      </c>
      <c r="R47" s="121" t="str">
        <f t="shared" si="22"/>
        <v>-</v>
      </c>
      <c r="S47" s="122" t="str">
        <f t="shared" si="22"/>
        <v>-</v>
      </c>
      <c r="T47" s="330"/>
      <c r="U47" s="330"/>
      <c r="V47" s="330"/>
      <c r="W47" s="330"/>
      <c r="X47" s="339"/>
      <c r="Y47" s="330"/>
      <c r="Z47" s="330"/>
      <c r="AA47" s="340"/>
      <c r="AB47" s="121" t="str">
        <f t="shared" si="23"/>
        <v>-</v>
      </c>
      <c r="AC47" s="121" t="str">
        <f t="shared" si="24"/>
        <v>-</v>
      </c>
      <c r="AD47" s="122" t="str">
        <f t="shared" si="24"/>
        <v>-</v>
      </c>
      <c r="AT47" s="297" t="s">
        <v>260</v>
      </c>
      <c r="AU47" s="298"/>
      <c r="AV47" s="298"/>
      <c r="AW47" s="298"/>
      <c r="AX47" s="298"/>
      <c r="AY47" s="298"/>
      <c r="AZ47" s="331"/>
      <c r="BA47" s="325"/>
      <c r="BB47" s="121"/>
      <c r="BC47" s="121"/>
      <c r="BD47" s="121"/>
      <c r="BE47" s="121"/>
      <c r="BF47" s="121"/>
      <c r="BG47" s="121"/>
      <c r="BH47" s="121"/>
      <c r="BI47" s="121" t="str">
        <f t="shared" si="17"/>
        <v>-</v>
      </c>
      <c r="BJ47" s="121" t="str">
        <f t="shared" si="18"/>
        <v>-</v>
      </c>
      <c r="BK47" s="122" t="str">
        <f t="shared" si="18"/>
        <v>-</v>
      </c>
      <c r="BL47" s="297" t="s">
        <v>294</v>
      </c>
      <c r="BM47" s="298"/>
      <c r="BN47" s="298"/>
      <c r="BO47" s="298"/>
      <c r="BP47" s="298"/>
      <c r="BQ47" s="298"/>
      <c r="BR47" s="331"/>
      <c r="BS47" s="325"/>
      <c r="BT47" s="121"/>
      <c r="BU47" s="121"/>
      <c r="BV47" s="121"/>
      <c r="BW47" s="121"/>
      <c r="BX47" s="121"/>
      <c r="BY47" s="121"/>
      <c r="BZ47" s="121"/>
      <c r="CA47" s="121" t="str">
        <f t="shared" si="19"/>
        <v>-</v>
      </c>
      <c r="CB47" s="121" t="str">
        <f t="shared" si="20"/>
        <v>-</v>
      </c>
      <c r="CC47" s="122" t="str">
        <f t="shared" si="20"/>
        <v>-</v>
      </c>
    </row>
    <row r="48" spans="2:81" ht="12.75" customHeight="1" thickBot="1">
      <c r="B48" s="148" t="s">
        <v>13</v>
      </c>
      <c r="C48" s="149"/>
      <c r="D48" s="149"/>
      <c r="E48" s="149"/>
      <c r="F48" s="149"/>
      <c r="G48" s="149"/>
      <c r="H48" s="150"/>
      <c r="I48" s="418"/>
      <c r="J48" s="419"/>
      <c r="K48" s="419"/>
      <c r="L48" s="419"/>
      <c r="M48" s="420"/>
      <c r="N48" s="419"/>
      <c r="O48" s="419"/>
      <c r="P48" s="421"/>
      <c r="Q48" s="235" t="str">
        <f t="shared" si="21"/>
        <v>-</v>
      </c>
      <c r="R48" s="235" t="str">
        <f t="shared" si="22"/>
        <v>-</v>
      </c>
      <c r="S48" s="236" t="str">
        <f t="shared" si="22"/>
        <v>-</v>
      </c>
      <c r="T48" s="418"/>
      <c r="U48" s="419"/>
      <c r="V48" s="419"/>
      <c r="W48" s="419"/>
      <c r="X48" s="420"/>
      <c r="Y48" s="419"/>
      <c r="Z48" s="419"/>
      <c r="AA48" s="421"/>
      <c r="AB48" s="235" t="str">
        <f t="shared" si="23"/>
        <v>-</v>
      </c>
      <c r="AC48" s="235" t="str">
        <f t="shared" si="24"/>
        <v>-</v>
      </c>
      <c r="AD48" s="236" t="str">
        <f t="shared" si="24"/>
        <v>-</v>
      </c>
      <c r="AT48" s="297" t="s">
        <v>261</v>
      </c>
      <c r="AU48" s="298"/>
      <c r="AV48" s="298"/>
      <c r="AW48" s="298"/>
      <c r="AX48" s="298"/>
      <c r="AY48" s="298"/>
      <c r="AZ48" s="331"/>
      <c r="BA48" s="325"/>
      <c r="BB48" s="121"/>
      <c r="BC48" s="121"/>
      <c r="BD48" s="121"/>
      <c r="BE48" s="121"/>
      <c r="BF48" s="121"/>
      <c r="BG48" s="121"/>
      <c r="BH48" s="121"/>
      <c r="BI48" s="121" t="str">
        <f t="shared" si="17"/>
        <v>-</v>
      </c>
      <c r="BJ48" s="121" t="str">
        <f t="shared" si="18"/>
        <v>-</v>
      </c>
      <c r="BK48" s="122" t="str">
        <f t="shared" si="18"/>
        <v>-</v>
      </c>
      <c r="BL48" s="297" t="s">
        <v>295</v>
      </c>
      <c r="BM48" s="298"/>
      <c r="BN48" s="298"/>
      <c r="BO48" s="298"/>
      <c r="BP48" s="298"/>
      <c r="BQ48" s="298"/>
      <c r="BR48" s="331"/>
      <c r="BS48" s="325"/>
      <c r="BT48" s="121"/>
      <c r="BU48" s="121"/>
      <c r="BV48" s="121"/>
      <c r="BW48" s="121"/>
      <c r="BX48" s="121"/>
      <c r="BY48" s="121"/>
      <c r="BZ48" s="121"/>
      <c r="CA48" s="121" t="str">
        <f t="shared" si="19"/>
        <v>-</v>
      </c>
      <c r="CB48" s="121" t="str">
        <f t="shared" si="20"/>
        <v>-</v>
      </c>
      <c r="CC48" s="122" t="str">
        <f t="shared" si="20"/>
        <v>-</v>
      </c>
    </row>
    <row r="49" spans="2:81" ht="12.75" customHeight="1" thickBot="1">
      <c r="B49" s="29"/>
      <c r="C49" s="29"/>
      <c r="D49" s="29"/>
      <c r="E49" s="29"/>
      <c r="F49" s="29"/>
      <c r="G49" s="29"/>
      <c r="H49" s="29"/>
      <c r="I49" s="39"/>
      <c r="J49" s="39"/>
      <c r="K49" s="39"/>
      <c r="L49" s="39"/>
      <c r="M49" s="39"/>
      <c r="N49" s="39"/>
      <c r="O49" s="39"/>
      <c r="P49" s="39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T49" s="289" t="s">
        <v>262</v>
      </c>
      <c r="AU49" s="290"/>
      <c r="AV49" s="290"/>
      <c r="AW49" s="290"/>
      <c r="AX49" s="290"/>
      <c r="AY49" s="290"/>
      <c r="AZ49" s="332"/>
      <c r="BA49" s="422"/>
      <c r="BB49" s="161"/>
      <c r="BC49" s="161"/>
      <c r="BD49" s="161"/>
      <c r="BE49" s="161"/>
      <c r="BF49" s="161"/>
      <c r="BG49" s="161"/>
      <c r="BH49" s="161"/>
      <c r="BI49" s="161" t="str">
        <f t="shared" si="17"/>
        <v>-</v>
      </c>
      <c r="BJ49" s="161" t="str">
        <f t="shared" si="18"/>
        <v>-</v>
      </c>
      <c r="BK49" s="162" t="str">
        <f t="shared" si="18"/>
        <v>-</v>
      </c>
      <c r="BL49" s="289" t="s">
        <v>296</v>
      </c>
      <c r="BM49" s="290"/>
      <c r="BN49" s="290"/>
      <c r="BO49" s="290"/>
      <c r="BP49" s="290"/>
      <c r="BQ49" s="290"/>
      <c r="BR49" s="332"/>
      <c r="BS49" s="422"/>
      <c r="BT49" s="161"/>
      <c r="BU49" s="161"/>
      <c r="BV49" s="161"/>
      <c r="BW49" s="161"/>
      <c r="BX49" s="161"/>
      <c r="BY49" s="161"/>
      <c r="BZ49" s="161"/>
      <c r="CA49" s="161" t="str">
        <f t="shared" si="19"/>
        <v>-</v>
      </c>
      <c r="CB49" s="161" t="str">
        <f t="shared" si="20"/>
        <v>-</v>
      </c>
      <c r="CC49" s="162" t="str">
        <f t="shared" si="20"/>
        <v>-</v>
      </c>
    </row>
    <row r="50" spans="2:81" ht="12.75" customHeight="1"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</row>
    <row r="51" spans="2:81" ht="12.75" customHeight="1" thickBot="1">
      <c r="B51" s="3" t="s">
        <v>318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21"/>
      <c r="Q51" s="21"/>
      <c r="R51" s="21"/>
      <c r="S51" s="19"/>
      <c r="T51" s="50"/>
      <c r="U51" s="5"/>
      <c r="V51" s="5"/>
      <c r="W51" s="5"/>
      <c r="X51" s="5"/>
      <c r="Y51" s="2" t="s">
        <v>471</v>
      </c>
      <c r="AO51" s="1" t="s">
        <v>472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</row>
    <row r="52" spans="2:81" ht="12.75" customHeight="1" thickBot="1">
      <c r="B52" s="273"/>
      <c r="C52" s="274"/>
      <c r="D52" s="274"/>
      <c r="E52" s="274"/>
      <c r="F52" s="274"/>
      <c r="G52" s="274"/>
      <c r="H52" s="275"/>
      <c r="I52" s="134" t="s">
        <v>299</v>
      </c>
      <c r="J52" s="409"/>
      <c r="K52" s="409"/>
      <c r="L52" s="409"/>
      <c r="M52" s="409"/>
      <c r="N52" s="409"/>
      <c r="O52" s="409"/>
      <c r="P52" s="409"/>
      <c r="Q52" s="409"/>
      <c r="R52" s="409"/>
      <c r="S52" s="410"/>
      <c r="T52" s="51"/>
      <c r="U52" s="52"/>
      <c r="V52" s="52"/>
      <c r="W52" s="52"/>
      <c r="X52" s="52"/>
      <c r="Y52" s="411"/>
      <c r="Z52" s="412"/>
      <c r="AA52" s="412"/>
      <c r="AB52" s="412"/>
      <c r="AC52" s="412"/>
      <c r="AD52" s="413"/>
      <c r="AE52" s="227" t="str">
        <f>IF($B$1&lt;&gt;"",$B$1,"")</f>
        <v/>
      </c>
      <c r="AF52" s="182"/>
      <c r="AG52" s="182"/>
      <c r="AH52" s="182"/>
      <c r="AI52" s="181" t="str">
        <f>IF($B$1&lt;&gt;"",$B$1-1,"")</f>
        <v/>
      </c>
      <c r="AJ52" s="182"/>
      <c r="AK52" s="182"/>
      <c r="AL52" s="183"/>
      <c r="AM52" s="184" t="s">
        <v>204</v>
      </c>
      <c r="AN52" s="185"/>
      <c r="AO52" s="186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</row>
    <row r="53" spans="2:81" ht="12.75" customHeight="1" thickBot="1">
      <c r="B53" s="276"/>
      <c r="C53" s="277"/>
      <c r="D53" s="277"/>
      <c r="E53" s="277"/>
      <c r="F53" s="277"/>
      <c r="G53" s="277"/>
      <c r="H53" s="278"/>
      <c r="I53" s="146" t="str">
        <f>IF($B$1&lt;&gt;"",$B$1,"")</f>
        <v/>
      </c>
      <c r="J53" s="128"/>
      <c r="K53" s="128"/>
      <c r="L53" s="128"/>
      <c r="M53" s="127" t="str">
        <f>IF($B$1&lt;&gt;"",$B$1-1,"")</f>
        <v/>
      </c>
      <c r="N53" s="128"/>
      <c r="O53" s="128"/>
      <c r="P53" s="129"/>
      <c r="Q53" s="123" t="s">
        <v>217</v>
      </c>
      <c r="R53" s="124"/>
      <c r="S53" s="125"/>
      <c r="T53" s="53"/>
      <c r="U53" s="45"/>
      <c r="V53" s="45"/>
      <c r="W53" s="45"/>
      <c r="X53" s="45"/>
      <c r="Y53" s="304" t="s">
        <v>473</v>
      </c>
      <c r="Z53" s="305"/>
      <c r="AA53" s="305"/>
      <c r="AB53" s="305"/>
      <c r="AC53" s="305"/>
      <c r="AD53" s="306"/>
      <c r="AE53" s="307"/>
      <c r="AF53" s="308"/>
      <c r="AG53" s="308"/>
      <c r="AH53" s="308"/>
      <c r="AI53" s="309"/>
      <c r="AJ53" s="308"/>
      <c r="AK53" s="308"/>
      <c r="AL53" s="310"/>
      <c r="AM53" s="119" t="str">
        <f>IF(AE53="-", "-", IF(AI53="-", "-", IF(ABS(AI53)=0, "-", ROUND(100*(AE53-AI53)/ABS(AI53), 10))))</f>
        <v>-</v>
      </c>
      <c r="AN53" s="119" t="str">
        <f t="shared" ref="AN53:AO54" si="25">IF(AJ53="-", "-", IF(AL53="-", "-", IF(ABS(AL53)=0, "-", ROUND(100*(AJ53-AL53)/ABS(AL53), 1))))</f>
        <v>-</v>
      </c>
      <c r="AO53" s="120" t="str">
        <f t="shared" si="25"/>
        <v>-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</row>
    <row r="54" spans="2:81" ht="12.75" customHeight="1" thickBot="1">
      <c r="B54" s="406" t="s">
        <v>220</v>
      </c>
      <c r="C54" s="407"/>
      <c r="D54" s="407"/>
      <c r="E54" s="407"/>
      <c r="F54" s="407"/>
      <c r="G54" s="407"/>
      <c r="H54" s="408"/>
      <c r="I54" s="312"/>
      <c r="J54" s="313"/>
      <c r="K54" s="313"/>
      <c r="L54" s="313"/>
      <c r="M54" s="314"/>
      <c r="N54" s="313"/>
      <c r="O54" s="313"/>
      <c r="P54" s="315"/>
      <c r="Q54" s="161" t="str">
        <f>IF(I54="-", "-", IF(M54="-", "-", IF(ABS(M54)=0, "-", ROUND(100*(I54-M54)/ABS(M54), 10))))</f>
        <v>-</v>
      </c>
      <c r="R54" s="161" t="str">
        <f t="shared" ref="R54" si="26">IF(N54="-", "-", IF(P54="-", "-", IF(ABS(P54)=0, "-", ROUND(100*(N54-P54)/ABS(P54), 1))))</f>
        <v>-</v>
      </c>
      <c r="S54" s="162" t="str">
        <f t="shared" ref="S54" si="27">IF(O54="-", "-", IF(Q54="-", "-", IF(ABS(Q54)=0, "-", ROUND(100*(O54-Q54)/ABS(Q54), 1))))</f>
        <v>-</v>
      </c>
      <c r="T54" s="54"/>
      <c r="U54" s="48"/>
      <c r="V54" s="48"/>
      <c r="W54" s="48"/>
      <c r="X54" s="48"/>
      <c r="Y54" s="249" t="s">
        <v>474</v>
      </c>
      <c r="Z54" s="250"/>
      <c r="AA54" s="250"/>
      <c r="AB54" s="250"/>
      <c r="AC54" s="250"/>
      <c r="AD54" s="311"/>
      <c r="AE54" s="312"/>
      <c r="AF54" s="313"/>
      <c r="AG54" s="313"/>
      <c r="AH54" s="313"/>
      <c r="AI54" s="314"/>
      <c r="AJ54" s="313"/>
      <c r="AK54" s="313"/>
      <c r="AL54" s="315"/>
      <c r="AM54" s="161" t="str">
        <f>IF(AE54="-", "-", IF(AI54="-", "-", IF(ABS(AI54)=0, "-", ROUND(100*(AE54-AI54)/ABS(AI54), 10))))</f>
        <v>-</v>
      </c>
      <c r="AN54" s="161" t="str">
        <f t="shared" si="25"/>
        <v>-</v>
      </c>
      <c r="AO54" s="162" t="str">
        <f t="shared" si="25"/>
        <v>-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</row>
    <row r="55" spans="2:81" ht="12.75" customHeight="1"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</row>
    <row r="56" spans="2:81" ht="12.75" customHeight="1"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</row>
    <row r="57" spans="2:81" ht="12.75" customHeight="1" thickBot="1">
      <c r="B57" s="2" t="s">
        <v>319</v>
      </c>
      <c r="R57" s="1" t="s">
        <v>208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</row>
    <row r="58" spans="2:81" ht="12.75" customHeight="1" thickBot="1">
      <c r="B58" s="411"/>
      <c r="C58" s="416"/>
      <c r="D58" s="416"/>
      <c r="E58" s="416"/>
      <c r="F58" s="416"/>
      <c r="G58" s="417"/>
      <c r="H58" s="227" t="str">
        <f>IF($B$1&lt;&gt;"",$B$1,"")</f>
        <v/>
      </c>
      <c r="I58" s="182"/>
      <c r="J58" s="182"/>
      <c r="K58" s="182"/>
      <c r="L58" s="181" t="str">
        <f>IF($B$1&lt;&gt;"",$B$1-1,"")</f>
        <v/>
      </c>
      <c r="M58" s="182"/>
      <c r="N58" s="182"/>
      <c r="O58" s="183"/>
      <c r="P58" s="184" t="s">
        <v>219</v>
      </c>
      <c r="Q58" s="185"/>
      <c r="R58" s="186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</row>
    <row r="59" spans="2:81" ht="12.75" customHeight="1">
      <c r="B59" s="403" t="s">
        <v>207</v>
      </c>
      <c r="C59" s="404"/>
      <c r="D59" s="404"/>
      <c r="E59" s="404"/>
      <c r="F59" s="404"/>
      <c r="G59" s="405"/>
      <c r="H59" s="307"/>
      <c r="I59" s="308"/>
      <c r="J59" s="308"/>
      <c r="K59" s="308"/>
      <c r="L59" s="309"/>
      <c r="M59" s="308"/>
      <c r="N59" s="308"/>
      <c r="O59" s="310"/>
      <c r="P59" s="119" t="str">
        <f>IF(H59="-", "-", IF(L59="-", "-", IF(ABS(L59)=0, "-", ROUND(100*(H59-L59)/ABS(L59), 10))))</f>
        <v>-</v>
      </c>
      <c r="Q59" s="119" t="str">
        <f t="shared" ref="Q59:R60" si="28">IF(M59="-", "-", IF(O59="-", "-", IF(ABS(O59)=0, "-", ROUND(100*(M59-O59)/ABS(O59), 1))))</f>
        <v>-</v>
      </c>
      <c r="R59" s="120" t="str">
        <f t="shared" si="28"/>
        <v>-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</row>
    <row r="60" spans="2:81" ht="12.75" customHeight="1" thickBot="1">
      <c r="B60" s="216" t="s">
        <v>212</v>
      </c>
      <c r="C60" s="414"/>
      <c r="D60" s="414"/>
      <c r="E60" s="414"/>
      <c r="F60" s="414"/>
      <c r="G60" s="415"/>
      <c r="H60" s="312"/>
      <c r="I60" s="313"/>
      <c r="J60" s="313"/>
      <c r="K60" s="313"/>
      <c r="L60" s="314"/>
      <c r="M60" s="313"/>
      <c r="N60" s="313"/>
      <c r="O60" s="315"/>
      <c r="P60" s="161" t="str">
        <f>IF(H60="-", "-", IF(L60="-", "-", IF(ABS(L60)=0, "-", ROUND(100*(H60-L60)/ABS(L60), 10))))</f>
        <v>-</v>
      </c>
      <c r="Q60" s="161" t="str">
        <f t="shared" si="28"/>
        <v>-</v>
      </c>
      <c r="R60" s="162" t="str">
        <f t="shared" si="28"/>
        <v>-</v>
      </c>
    </row>
    <row r="61" spans="2:81">
      <c r="BK61" s="66"/>
    </row>
    <row r="63" spans="2:81" ht="12.75" customHeight="1"/>
    <row r="64" spans="2:81" ht="13.7" customHeight="1"/>
    <row r="65" spans="20:63" ht="12.75" customHeight="1"/>
    <row r="66" spans="20:63" ht="12.75" customHeight="1"/>
    <row r="67" spans="20:63" ht="12.75" customHeight="1"/>
    <row r="68" spans="20:63" ht="12.75" customHeight="1">
      <c r="BK68" s="44"/>
    </row>
    <row r="69" spans="20:63" ht="12.75" customHeight="1">
      <c r="BK69" s="49"/>
    </row>
    <row r="70" spans="20:63" ht="12.75" customHeight="1">
      <c r="BK70" s="49"/>
    </row>
    <row r="71" spans="20:63" ht="13.7" customHeight="1"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</row>
    <row r="72" spans="20:63" ht="12.75" customHeight="1"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</row>
    <row r="73" spans="20:63" ht="13.7" customHeight="1"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</row>
    <row r="74" spans="20:63" ht="12.75" customHeight="1"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</row>
    <row r="75" spans="20:63" ht="12.75" customHeight="1"/>
    <row r="76" spans="20:63" ht="12.75" customHeight="1">
      <c r="T76" s="28"/>
      <c r="U76" s="28"/>
      <c r="V76" s="28"/>
      <c r="W76" s="28"/>
      <c r="X76" s="28"/>
      <c r="Y76" s="28"/>
    </row>
    <row r="77" spans="20:63" ht="12.75" customHeight="1"/>
    <row r="78" spans="20:63" ht="12.75" customHeight="1"/>
    <row r="79" spans="20:63" ht="12.75" customHeight="1"/>
    <row r="99" spans="43:60">
      <c r="AQ99" s="18"/>
      <c r="AR99" s="18"/>
      <c r="AS99" s="7"/>
    </row>
    <row r="105" spans="43:60">
      <c r="AT105" s="7"/>
      <c r="AU105" s="7"/>
      <c r="AV105" s="7"/>
      <c r="AW105" s="7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</sheetData>
  <mergeCells count="528">
    <mergeCell ref="G5:I5"/>
    <mergeCell ref="BE34:BH34"/>
    <mergeCell ref="BI34:BK34"/>
    <mergeCell ref="B1:D1"/>
    <mergeCell ref="G4:I4"/>
    <mergeCell ref="AH4:AK4"/>
    <mergeCell ref="AM4:AP4"/>
    <mergeCell ref="AR4:AU4"/>
    <mergeCell ref="AW4:AZ4"/>
    <mergeCell ref="BB4:BE4"/>
    <mergeCell ref="BG4:BJ4"/>
    <mergeCell ref="BF22:BI22"/>
    <mergeCell ref="BB23:BE23"/>
    <mergeCell ref="BF23:BI23"/>
    <mergeCell ref="BJ21:BL21"/>
    <mergeCell ref="BJ22:BL22"/>
    <mergeCell ref="BJ23:BL23"/>
    <mergeCell ref="BF21:BI21"/>
    <mergeCell ref="BF29:BI29"/>
    <mergeCell ref="BJ29:BL29"/>
    <mergeCell ref="BJ25:BL25"/>
    <mergeCell ref="BB21:BE21"/>
    <mergeCell ref="BB22:BE22"/>
    <mergeCell ref="BB11:BE11"/>
    <mergeCell ref="BL4:BO4"/>
    <mergeCell ref="AB4:AF4"/>
    <mergeCell ref="CE1:CH1"/>
    <mergeCell ref="CE2:CH2"/>
    <mergeCell ref="AB3:AF3"/>
    <mergeCell ref="AG3:AK3"/>
    <mergeCell ref="AL3:AP3"/>
    <mergeCell ref="AQ3:AU3"/>
    <mergeCell ref="AV3:AZ3"/>
    <mergeCell ref="BA3:BE3"/>
    <mergeCell ref="BF3:BJ3"/>
    <mergeCell ref="BK3:BO3"/>
    <mergeCell ref="CA44:CC44"/>
    <mergeCell ref="CA45:CC45"/>
    <mergeCell ref="CA46:CC46"/>
    <mergeCell ref="CA47:CC47"/>
    <mergeCell ref="CA48:CC48"/>
    <mergeCell ref="CA49:CC49"/>
    <mergeCell ref="CA33:CC33"/>
    <mergeCell ref="CA35:CC35"/>
    <mergeCell ref="CA36:CC36"/>
    <mergeCell ref="CA37:CC37"/>
    <mergeCell ref="CA38:CC38"/>
    <mergeCell ref="CA39:CC39"/>
    <mergeCell ref="CA40:CC40"/>
    <mergeCell ref="CA41:CC41"/>
    <mergeCell ref="CA42:CC42"/>
    <mergeCell ref="CA43:CC43"/>
    <mergeCell ref="CA34:CC34"/>
    <mergeCell ref="BW34:BZ34"/>
    <mergeCell ref="BS34:BV34"/>
    <mergeCell ref="BS33:BV33"/>
    <mergeCell ref="B3:F3"/>
    <mergeCell ref="G3:I3"/>
    <mergeCell ref="J3:P3"/>
    <mergeCell ref="Q3:U3"/>
    <mergeCell ref="V3:Z3"/>
    <mergeCell ref="B4:F4"/>
    <mergeCell ref="J4:P4"/>
    <mergeCell ref="Q4:U4"/>
    <mergeCell ref="V4:Z4"/>
    <mergeCell ref="B5:F5"/>
    <mergeCell ref="J5:P5"/>
    <mergeCell ref="Q5:U5"/>
    <mergeCell ref="V5:Z5"/>
    <mergeCell ref="AT10:AZ10"/>
    <mergeCell ref="BB9:BE9"/>
    <mergeCell ref="BB8:BL8"/>
    <mergeCell ref="AT23:AZ23"/>
    <mergeCell ref="BW33:BZ33"/>
    <mergeCell ref="BB10:BE10"/>
    <mergeCell ref="BF10:BI10"/>
    <mergeCell ref="BJ10:BL10"/>
    <mergeCell ref="BF11:BI11"/>
    <mergeCell ref="BJ11:BL11"/>
    <mergeCell ref="BJ9:BL9"/>
    <mergeCell ref="BF9:BI9"/>
    <mergeCell ref="BB26:BE26"/>
    <mergeCell ref="BF26:BI26"/>
    <mergeCell ref="BJ26:BL26"/>
    <mergeCell ref="BB13:BE13"/>
    <mergeCell ref="BF13:BI13"/>
    <mergeCell ref="BJ13:BL13"/>
    <mergeCell ref="BB14:BE14"/>
    <mergeCell ref="BF14:BI14"/>
    <mergeCell ref="BJ14:BL14"/>
    <mergeCell ref="BB15:BE15"/>
    <mergeCell ref="BF15:BI15"/>
    <mergeCell ref="BJ15:BL15"/>
    <mergeCell ref="BB25:BE25"/>
    <mergeCell ref="BF25:BI25"/>
    <mergeCell ref="BB12:BE12"/>
    <mergeCell ref="BF12:BI12"/>
    <mergeCell ref="BJ12:BL12"/>
    <mergeCell ref="BJ16:BL16"/>
    <mergeCell ref="BB20:BL20"/>
    <mergeCell ref="BF24:BI24"/>
    <mergeCell ref="BJ24:BL24"/>
    <mergeCell ref="BL34:BR34"/>
    <mergeCell ref="BA34:BD34"/>
    <mergeCell ref="BI33:BK33"/>
    <mergeCell ref="BE33:BH33"/>
    <mergeCell ref="BA33:BD33"/>
    <mergeCell ref="BL33:BR33"/>
    <mergeCell ref="BI39:BK39"/>
    <mergeCell ref="BL39:BR39"/>
    <mergeCell ref="BI38:BK38"/>
    <mergeCell ref="BA35:BD35"/>
    <mergeCell ref="BE35:BH35"/>
    <mergeCell ref="BI35:BK35"/>
    <mergeCell ref="BL35:BR35"/>
    <mergeCell ref="BA37:BD37"/>
    <mergeCell ref="BS49:BV49"/>
    <mergeCell ref="BW49:BZ49"/>
    <mergeCell ref="BA47:BD47"/>
    <mergeCell ref="BE47:BH47"/>
    <mergeCell ref="BI47:BK47"/>
    <mergeCell ref="BL47:BR47"/>
    <mergeCell ref="BS47:BV47"/>
    <mergeCell ref="BW47:BZ47"/>
    <mergeCell ref="BA48:BD48"/>
    <mergeCell ref="BE48:BH48"/>
    <mergeCell ref="BI48:BK48"/>
    <mergeCell ref="BL48:BR48"/>
    <mergeCell ref="BS48:BV48"/>
    <mergeCell ref="BW48:BZ48"/>
    <mergeCell ref="BA49:BD49"/>
    <mergeCell ref="BE49:BH49"/>
    <mergeCell ref="BI49:BK49"/>
    <mergeCell ref="BL49:BR49"/>
    <mergeCell ref="BW45:BZ45"/>
    <mergeCell ref="AT46:AZ46"/>
    <mergeCell ref="BA46:BD46"/>
    <mergeCell ref="BE46:BH46"/>
    <mergeCell ref="BI46:BK46"/>
    <mergeCell ref="BL46:BR46"/>
    <mergeCell ref="BS46:BV46"/>
    <mergeCell ref="BW46:BZ46"/>
    <mergeCell ref="AT45:AZ45"/>
    <mergeCell ref="BI45:BK45"/>
    <mergeCell ref="BL45:BR45"/>
    <mergeCell ref="BW43:BZ43"/>
    <mergeCell ref="AT44:AZ44"/>
    <mergeCell ref="BA44:BD44"/>
    <mergeCell ref="BE44:BH44"/>
    <mergeCell ref="BI44:BK44"/>
    <mergeCell ref="BL44:BR44"/>
    <mergeCell ref="BS44:BV44"/>
    <mergeCell ref="BW44:BZ44"/>
    <mergeCell ref="AT43:AZ43"/>
    <mergeCell ref="BI43:BK43"/>
    <mergeCell ref="BL43:BR43"/>
    <mergeCell ref="BW41:BZ41"/>
    <mergeCell ref="AT42:AZ42"/>
    <mergeCell ref="BA42:BD42"/>
    <mergeCell ref="BE42:BH42"/>
    <mergeCell ref="BI42:BK42"/>
    <mergeCell ref="BL42:BR42"/>
    <mergeCell ref="BS42:BV42"/>
    <mergeCell ref="BW42:BZ42"/>
    <mergeCell ref="BA41:BD41"/>
    <mergeCell ref="BE41:BH41"/>
    <mergeCell ref="BI41:BK41"/>
    <mergeCell ref="BL41:BR41"/>
    <mergeCell ref="BW35:BZ35"/>
    <mergeCell ref="BI36:BK36"/>
    <mergeCell ref="BL36:BR36"/>
    <mergeCell ref="BS36:BV36"/>
    <mergeCell ref="BW36:BZ36"/>
    <mergeCell ref="BS37:BV37"/>
    <mergeCell ref="BW37:BZ37"/>
    <mergeCell ref="L59:O59"/>
    <mergeCell ref="P59:R59"/>
    <mergeCell ref="Q47:S47"/>
    <mergeCell ref="T47:W47"/>
    <mergeCell ref="BA45:BD45"/>
    <mergeCell ref="BE45:BH45"/>
    <mergeCell ref="BW38:BZ38"/>
    <mergeCell ref="BS39:BV39"/>
    <mergeCell ref="BW39:BZ39"/>
    <mergeCell ref="BA40:BD40"/>
    <mergeCell ref="BE40:BH40"/>
    <mergeCell ref="BI40:BK40"/>
    <mergeCell ref="BL40:BR40"/>
    <mergeCell ref="BS40:BV40"/>
    <mergeCell ref="BW40:BZ40"/>
    <mergeCell ref="BA39:BD39"/>
    <mergeCell ref="X47:AA47"/>
    <mergeCell ref="P60:R60"/>
    <mergeCell ref="B60:G60"/>
    <mergeCell ref="H60:K60"/>
    <mergeCell ref="L60:O60"/>
    <mergeCell ref="H58:K58"/>
    <mergeCell ref="L58:O58"/>
    <mergeCell ref="P58:R58"/>
    <mergeCell ref="B58:G58"/>
    <mergeCell ref="BS35:BV35"/>
    <mergeCell ref="B48:H48"/>
    <mergeCell ref="I48:L48"/>
    <mergeCell ref="M48:P48"/>
    <mergeCell ref="Q48:S48"/>
    <mergeCell ref="T48:W48"/>
    <mergeCell ref="X48:AA48"/>
    <mergeCell ref="AB47:AD47"/>
    <mergeCell ref="B47:H47"/>
    <mergeCell ref="I47:L47"/>
    <mergeCell ref="M47:P47"/>
    <mergeCell ref="BS38:BV38"/>
    <mergeCell ref="BL38:BR38"/>
    <mergeCell ref="BS41:BV41"/>
    <mergeCell ref="BS43:BV43"/>
    <mergeCell ref="BS45:BV45"/>
    <mergeCell ref="AB48:AD48"/>
    <mergeCell ref="B46:H46"/>
    <mergeCell ref="I46:L46"/>
    <mergeCell ref="M46:P46"/>
    <mergeCell ref="Q46:S46"/>
    <mergeCell ref="T46:W46"/>
    <mergeCell ref="X46:AA46"/>
    <mergeCell ref="AB46:AD46"/>
    <mergeCell ref="B59:G59"/>
    <mergeCell ref="H59:K59"/>
    <mergeCell ref="B54:H54"/>
    <mergeCell ref="I54:L54"/>
    <mergeCell ref="M54:P54"/>
    <mergeCell ref="Q54:S54"/>
    <mergeCell ref="B52:H53"/>
    <mergeCell ref="I52:S52"/>
    <mergeCell ref="I53:L53"/>
    <mergeCell ref="M53:P53"/>
    <mergeCell ref="Q53:S53"/>
    <mergeCell ref="Y52:AD52"/>
    <mergeCell ref="B44:H44"/>
    <mergeCell ref="I44:L44"/>
    <mergeCell ref="M44:P44"/>
    <mergeCell ref="Q44:S44"/>
    <mergeCell ref="T44:W44"/>
    <mergeCell ref="X44:AA44"/>
    <mergeCell ref="AB44:AD44"/>
    <mergeCell ref="B45:H45"/>
    <mergeCell ref="I45:L45"/>
    <mergeCell ref="M45:P45"/>
    <mergeCell ref="Q45:S45"/>
    <mergeCell ref="T45:W45"/>
    <mergeCell ref="X45:AA45"/>
    <mergeCell ref="AB45:AD45"/>
    <mergeCell ref="Q35:S35"/>
    <mergeCell ref="X35:AC35"/>
    <mergeCell ref="AB42:AD42"/>
    <mergeCell ref="B43:H43"/>
    <mergeCell ref="I43:L43"/>
    <mergeCell ref="M43:P43"/>
    <mergeCell ref="Q43:S43"/>
    <mergeCell ref="T43:W43"/>
    <mergeCell ref="X43:AA43"/>
    <mergeCell ref="AB43:AD43"/>
    <mergeCell ref="B42:H42"/>
    <mergeCell ref="I42:L42"/>
    <mergeCell ref="M42:P42"/>
    <mergeCell ref="Q42:S42"/>
    <mergeCell ref="T42:W42"/>
    <mergeCell ref="X42:AA42"/>
    <mergeCell ref="B40:H41"/>
    <mergeCell ref="I40:S40"/>
    <mergeCell ref="T40:AD40"/>
    <mergeCell ref="I41:L41"/>
    <mergeCell ref="M41:P41"/>
    <mergeCell ref="Q41:S41"/>
    <mergeCell ref="T41:W41"/>
    <mergeCell ref="X41:AA41"/>
    <mergeCell ref="AB41:AD41"/>
    <mergeCell ref="E36:H36"/>
    <mergeCell ref="I36:L36"/>
    <mergeCell ref="M36:P36"/>
    <mergeCell ref="Q36:S36"/>
    <mergeCell ref="AD35:AG35"/>
    <mergeCell ref="B31:H32"/>
    <mergeCell ref="I31:S31"/>
    <mergeCell ref="X31:AC32"/>
    <mergeCell ref="I32:L32"/>
    <mergeCell ref="M32:P32"/>
    <mergeCell ref="B33:H33"/>
    <mergeCell ref="I33:L33"/>
    <mergeCell ref="M33:P33"/>
    <mergeCell ref="Q33:S33"/>
    <mergeCell ref="X33:AC33"/>
    <mergeCell ref="B34:D36"/>
    <mergeCell ref="E34:H34"/>
    <mergeCell ref="I34:L34"/>
    <mergeCell ref="M34:P34"/>
    <mergeCell ref="Q34:S34"/>
    <mergeCell ref="X34:AC34"/>
    <mergeCell ref="E35:H35"/>
    <mergeCell ref="I35:L35"/>
    <mergeCell ref="M35:P35"/>
    <mergeCell ref="B27:H27"/>
    <mergeCell ref="I27:L27"/>
    <mergeCell ref="M27:P27"/>
    <mergeCell ref="Q27:S27"/>
    <mergeCell ref="T27:W27"/>
    <mergeCell ref="X27:AA27"/>
    <mergeCell ref="B24:C26"/>
    <mergeCell ref="D24:H24"/>
    <mergeCell ref="I24:L24"/>
    <mergeCell ref="M24:P24"/>
    <mergeCell ref="Q24:S24"/>
    <mergeCell ref="T24:W24"/>
    <mergeCell ref="X24:AA24"/>
    <mergeCell ref="D26:H26"/>
    <mergeCell ref="I26:L26"/>
    <mergeCell ref="M26:P26"/>
    <mergeCell ref="Q26:S26"/>
    <mergeCell ref="T26:W26"/>
    <mergeCell ref="X26:AA26"/>
    <mergeCell ref="D25:H25"/>
    <mergeCell ref="I25:L25"/>
    <mergeCell ref="M25:P25"/>
    <mergeCell ref="Q25:S25"/>
    <mergeCell ref="D21:H21"/>
    <mergeCell ref="I21:L21"/>
    <mergeCell ref="M21:P21"/>
    <mergeCell ref="Q21:S21"/>
    <mergeCell ref="T21:W21"/>
    <mergeCell ref="D23:H23"/>
    <mergeCell ref="I23:L23"/>
    <mergeCell ref="M23:P23"/>
    <mergeCell ref="Q23:S23"/>
    <mergeCell ref="T23:W23"/>
    <mergeCell ref="D22:H22"/>
    <mergeCell ref="M22:P22"/>
    <mergeCell ref="Q22:S22"/>
    <mergeCell ref="T22:W22"/>
    <mergeCell ref="I22:L22"/>
    <mergeCell ref="D20:H20"/>
    <mergeCell ref="I20:L20"/>
    <mergeCell ref="M20:P20"/>
    <mergeCell ref="B18:H19"/>
    <mergeCell ref="I18:S18"/>
    <mergeCell ref="T18:AD18"/>
    <mergeCell ref="AE18:AO18"/>
    <mergeCell ref="AM19:AO19"/>
    <mergeCell ref="T20:W20"/>
    <mergeCell ref="X20:AA20"/>
    <mergeCell ref="AB20:AD20"/>
    <mergeCell ref="AI20:AL20"/>
    <mergeCell ref="B20:C23"/>
    <mergeCell ref="I19:L19"/>
    <mergeCell ref="M19:P19"/>
    <mergeCell ref="Q19:S19"/>
    <mergeCell ref="X23:AA23"/>
    <mergeCell ref="AB23:AD23"/>
    <mergeCell ref="X22:AA22"/>
    <mergeCell ref="AB22:AD22"/>
    <mergeCell ref="AE22:AH22"/>
    <mergeCell ref="AI22:AL22"/>
    <mergeCell ref="AE23:AH23"/>
    <mergeCell ref="AI23:AL23"/>
    <mergeCell ref="B8:H9"/>
    <mergeCell ref="I8:S8"/>
    <mergeCell ref="T8:AD8"/>
    <mergeCell ref="AE8:AO8"/>
    <mergeCell ref="B10:H10"/>
    <mergeCell ref="T19:W19"/>
    <mergeCell ref="X19:AA19"/>
    <mergeCell ref="AB19:AD19"/>
    <mergeCell ref="Q10:S10"/>
    <mergeCell ref="I9:L9"/>
    <mergeCell ref="M9:P9"/>
    <mergeCell ref="Q9:S9"/>
    <mergeCell ref="T9:W9"/>
    <mergeCell ref="X9:AA9"/>
    <mergeCell ref="B14:H14"/>
    <mergeCell ref="I14:L14"/>
    <mergeCell ref="M14:P14"/>
    <mergeCell ref="Q14:S14"/>
    <mergeCell ref="T14:W14"/>
    <mergeCell ref="X14:AA14"/>
    <mergeCell ref="I10:L10"/>
    <mergeCell ref="M10:P10"/>
    <mergeCell ref="AM12:AO12"/>
    <mergeCell ref="AM13:AO13"/>
    <mergeCell ref="AT8:BA9"/>
    <mergeCell ref="BF16:BI16"/>
    <mergeCell ref="BB16:BE16"/>
    <mergeCell ref="X13:AA13"/>
    <mergeCell ref="AE9:AH9"/>
    <mergeCell ref="AB9:AD9"/>
    <mergeCell ref="AI9:AL9"/>
    <mergeCell ref="T10:W10"/>
    <mergeCell ref="X10:AA10"/>
    <mergeCell ref="AB10:AD10"/>
    <mergeCell ref="X12:AA12"/>
    <mergeCell ref="AI13:AL13"/>
    <mergeCell ref="AB13:AD13"/>
    <mergeCell ref="AE13:AH13"/>
    <mergeCell ref="AE10:AH10"/>
    <mergeCell ref="AI10:AL10"/>
    <mergeCell ref="T11:W11"/>
    <mergeCell ref="X11:AA11"/>
    <mergeCell ref="AB11:AD11"/>
    <mergeCell ref="AE11:AH11"/>
    <mergeCell ref="AI11:AL11"/>
    <mergeCell ref="AT15:AZ15"/>
    <mergeCell ref="AT16:AZ16"/>
    <mergeCell ref="AM9:AO9"/>
    <mergeCell ref="AM20:AO20"/>
    <mergeCell ref="AM21:AO21"/>
    <mergeCell ref="AT35:AZ35"/>
    <mergeCell ref="AI24:AL24"/>
    <mergeCell ref="AM24:AO24"/>
    <mergeCell ref="AB25:AD25"/>
    <mergeCell ref="AE25:AH25"/>
    <mergeCell ref="AE26:AH26"/>
    <mergeCell ref="AM23:AO23"/>
    <mergeCell ref="AB27:AD27"/>
    <mergeCell ref="AI25:AL25"/>
    <mergeCell ref="AM25:AO25"/>
    <mergeCell ref="AD34:AG34"/>
    <mergeCell ref="AH34:AK34"/>
    <mergeCell ref="AH35:AK35"/>
    <mergeCell ref="AB12:AD12"/>
    <mergeCell ref="AE12:AH12"/>
    <mergeCell ref="AI12:AL12"/>
    <mergeCell ref="BE37:BH37"/>
    <mergeCell ref="BI37:BK37"/>
    <mergeCell ref="BL37:BR37"/>
    <mergeCell ref="AT36:AZ36"/>
    <mergeCell ref="BJ27:BL27"/>
    <mergeCell ref="BB28:BE28"/>
    <mergeCell ref="BF28:BI28"/>
    <mergeCell ref="BJ28:BL28"/>
    <mergeCell ref="AL35:AN35"/>
    <mergeCell ref="AT37:AZ37"/>
    <mergeCell ref="AT20:BA21"/>
    <mergeCell ref="AI21:AL21"/>
    <mergeCell ref="AM22:AO22"/>
    <mergeCell ref="AH32:AK32"/>
    <mergeCell ref="AL32:AN32"/>
    <mergeCell ref="AH33:AK33"/>
    <mergeCell ref="AL33:AN33"/>
    <mergeCell ref="AL34:AN34"/>
    <mergeCell ref="AD31:AN31"/>
    <mergeCell ref="AI26:AL26"/>
    <mergeCell ref="AM26:AO26"/>
    <mergeCell ref="B11:H11"/>
    <mergeCell ref="B13:H13"/>
    <mergeCell ref="I12:L12"/>
    <mergeCell ref="I13:L13"/>
    <mergeCell ref="B12:H12"/>
    <mergeCell ref="I11:L11"/>
    <mergeCell ref="T12:W12"/>
    <mergeCell ref="M13:P13"/>
    <mergeCell ref="Q13:S13"/>
    <mergeCell ref="M12:P12"/>
    <mergeCell ref="Q12:S12"/>
    <mergeCell ref="M11:P11"/>
    <mergeCell ref="Q11:S11"/>
    <mergeCell ref="T13:W13"/>
    <mergeCell ref="AT48:AZ48"/>
    <mergeCell ref="AT49:AZ49"/>
    <mergeCell ref="AT39:AZ39"/>
    <mergeCell ref="AT41:AZ41"/>
    <mergeCell ref="AT40:AZ40"/>
    <mergeCell ref="BA36:BD36"/>
    <mergeCell ref="BB29:BE29"/>
    <mergeCell ref="AT27:AZ27"/>
    <mergeCell ref="BB27:BE27"/>
    <mergeCell ref="AT47:AZ47"/>
    <mergeCell ref="BE39:BH39"/>
    <mergeCell ref="AT34:AZ34"/>
    <mergeCell ref="AT33:AZ33"/>
    <mergeCell ref="BF27:BI27"/>
    <mergeCell ref="AT38:AZ38"/>
    <mergeCell ref="BA43:BD43"/>
    <mergeCell ref="BE43:BH43"/>
    <mergeCell ref="AT28:AZ28"/>
    <mergeCell ref="AT29:AZ29"/>
    <mergeCell ref="AM10:AO10"/>
    <mergeCell ref="BE36:BH36"/>
    <mergeCell ref="BA38:BD38"/>
    <mergeCell ref="BE38:BH38"/>
    <mergeCell ref="AT13:AZ13"/>
    <mergeCell ref="AT25:AZ25"/>
    <mergeCell ref="AB24:AD24"/>
    <mergeCell ref="AE24:AH24"/>
    <mergeCell ref="AD33:AG33"/>
    <mergeCell ref="AI27:AL27"/>
    <mergeCell ref="AM27:AO27"/>
    <mergeCell ref="AT22:AZ22"/>
    <mergeCell ref="AI14:AL14"/>
    <mergeCell ref="AM14:AO14"/>
    <mergeCell ref="AT12:AZ12"/>
    <mergeCell ref="AB14:AD14"/>
    <mergeCell ref="AE14:AH14"/>
    <mergeCell ref="AM11:AO11"/>
    <mergeCell ref="AT26:AZ26"/>
    <mergeCell ref="AI19:AL19"/>
    <mergeCell ref="AT11:AZ11"/>
    <mergeCell ref="AT14:AZ14"/>
    <mergeCell ref="AT24:AZ24"/>
    <mergeCell ref="BB24:BE24"/>
    <mergeCell ref="X25:AA25"/>
    <mergeCell ref="AE19:AH19"/>
    <mergeCell ref="Q20:S20"/>
    <mergeCell ref="X21:AA21"/>
    <mergeCell ref="AB21:AD21"/>
    <mergeCell ref="AE21:AH21"/>
    <mergeCell ref="AE20:AH20"/>
    <mergeCell ref="Q32:S32"/>
    <mergeCell ref="AD32:AG32"/>
    <mergeCell ref="AE27:AH27"/>
    <mergeCell ref="AB26:AD26"/>
    <mergeCell ref="T25:W25"/>
    <mergeCell ref="AE52:AH52"/>
    <mergeCell ref="AI52:AL52"/>
    <mergeCell ref="AM52:AO52"/>
    <mergeCell ref="Y53:AD53"/>
    <mergeCell ref="AE53:AH53"/>
    <mergeCell ref="AI53:AL53"/>
    <mergeCell ref="AM53:AO53"/>
    <mergeCell ref="Y54:AD54"/>
    <mergeCell ref="AE54:AH54"/>
    <mergeCell ref="AI54:AL54"/>
    <mergeCell ref="AM54:AO54"/>
  </mergeCells>
  <phoneticPr fontId="2"/>
  <printOptions horizontalCentered="1" verticalCentered="1"/>
  <pageMargins left="0" right="0" top="0.39370078740157483" bottom="0.19685039370078741" header="0.31496062992125984" footer="0.51181102362204722"/>
  <pageSetup paperSize="9" scale="7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DT60"/>
  <sheetViews>
    <sheetView showGridLines="0" view="pageBreakPreview" zoomScaleNormal="100" zoomScaleSheetLayoutView="100" workbookViewId="0"/>
  </sheetViews>
  <sheetFormatPr defaultColWidth="9.140625" defaultRowHeight="12.75"/>
  <cols>
    <col min="1" max="87" width="2.7109375" style="2" customWidth="1"/>
    <col min="88" max="89" width="2.28515625" style="2" customWidth="1"/>
    <col min="90" max="95" width="2.7109375" style="2" customWidth="1"/>
    <col min="96" max="16384" width="9.140625" style="2"/>
  </cols>
  <sheetData>
    <row r="1" spans="2:124" ht="14.25" customHeight="1">
      <c r="B1" s="103" t="str">
        <f>AB4</f>
        <v/>
      </c>
      <c r="C1" s="103"/>
      <c r="D1" s="103"/>
      <c r="E1" s="95" t="s">
        <v>257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CB1" s="27"/>
      <c r="CD1" s="27"/>
      <c r="CE1" s="194"/>
      <c r="CF1" s="195"/>
      <c r="CG1" s="195"/>
      <c r="CH1" s="195"/>
    </row>
    <row r="2" spans="2:124" ht="13.5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CB2" s="27"/>
      <c r="CD2" s="27"/>
      <c r="CE2" s="194"/>
      <c r="CF2" s="195"/>
      <c r="CG2" s="195"/>
      <c r="CH2" s="195"/>
    </row>
    <row r="3" spans="2:124" ht="14.25" customHeight="1">
      <c r="B3" s="104"/>
      <c r="C3" s="105"/>
      <c r="D3" s="105"/>
      <c r="E3" s="105"/>
      <c r="F3" s="106"/>
      <c r="G3" s="107" t="s">
        <v>335</v>
      </c>
      <c r="H3" s="108"/>
      <c r="I3" s="109"/>
      <c r="J3" s="110" t="s">
        <v>336</v>
      </c>
      <c r="K3" s="111"/>
      <c r="L3" s="111"/>
      <c r="M3" s="111"/>
      <c r="N3" s="111"/>
      <c r="O3" s="111"/>
      <c r="P3" s="112"/>
      <c r="Q3" s="107" t="s">
        <v>337</v>
      </c>
      <c r="R3" s="108"/>
      <c r="S3" s="108"/>
      <c r="T3" s="108"/>
      <c r="U3" s="109"/>
      <c r="V3" s="110" t="s">
        <v>338</v>
      </c>
      <c r="W3" s="111"/>
      <c r="X3" s="111"/>
      <c r="Y3" s="111"/>
      <c r="Z3" s="113"/>
      <c r="AB3" s="114" t="s">
        <v>341</v>
      </c>
      <c r="AC3" s="115"/>
      <c r="AD3" s="115"/>
      <c r="AE3" s="115"/>
      <c r="AF3" s="116"/>
      <c r="AG3" s="117" t="s">
        <v>330</v>
      </c>
      <c r="AH3" s="115"/>
      <c r="AI3" s="115"/>
      <c r="AJ3" s="115"/>
      <c r="AK3" s="116"/>
      <c r="AL3" s="117" t="s">
        <v>342</v>
      </c>
      <c r="AM3" s="115"/>
      <c r="AN3" s="115"/>
      <c r="AO3" s="115"/>
      <c r="AP3" s="116"/>
      <c r="AQ3" s="117" t="s">
        <v>343</v>
      </c>
      <c r="AR3" s="115"/>
      <c r="AS3" s="115"/>
      <c r="AT3" s="115"/>
      <c r="AU3" s="116"/>
      <c r="AV3" s="117" t="s">
        <v>344</v>
      </c>
      <c r="AW3" s="115"/>
      <c r="AX3" s="115"/>
      <c r="AY3" s="115"/>
      <c r="AZ3" s="116"/>
      <c r="BA3" s="117" t="s">
        <v>2</v>
      </c>
      <c r="BB3" s="115"/>
      <c r="BC3" s="115"/>
      <c r="BD3" s="115"/>
      <c r="BE3" s="116"/>
      <c r="BF3" s="117" t="s">
        <v>345</v>
      </c>
      <c r="BG3" s="115"/>
      <c r="BH3" s="115"/>
      <c r="BI3" s="115"/>
      <c r="BJ3" s="116"/>
      <c r="BK3" s="117" t="s">
        <v>334</v>
      </c>
      <c r="BL3" s="115"/>
      <c r="BM3" s="115"/>
      <c r="BN3" s="115"/>
      <c r="BO3" s="270"/>
    </row>
    <row r="4" spans="2:124" ht="14.25" customHeight="1" thickBot="1">
      <c r="B4" s="297" t="s">
        <v>340</v>
      </c>
      <c r="C4" s="298"/>
      <c r="D4" s="298"/>
      <c r="E4" s="298"/>
      <c r="F4" s="299"/>
      <c r="G4" s="248" t="str">
        <f>IF(No.1!G4="","",No.1!G4)</f>
        <v/>
      </c>
      <c r="H4" s="101"/>
      <c r="I4" s="300"/>
      <c r="J4" s="248" t="str">
        <f>IF(No.1!J4="","",No.1!J4)</f>
        <v/>
      </c>
      <c r="K4" s="101"/>
      <c r="L4" s="101"/>
      <c r="M4" s="101"/>
      <c r="N4" s="101"/>
      <c r="O4" s="101"/>
      <c r="P4" s="300"/>
      <c r="Q4" s="248" t="str">
        <f>IF(No.1!Q4="","",No.1!Q4)</f>
        <v/>
      </c>
      <c r="R4" s="101"/>
      <c r="S4" s="101"/>
      <c r="T4" s="101"/>
      <c r="U4" s="101"/>
      <c r="V4" s="301" t="str">
        <f>IF(No.1!V4="","",No.1!V4)</f>
        <v/>
      </c>
      <c r="W4" s="302"/>
      <c r="X4" s="302"/>
      <c r="Y4" s="302"/>
      <c r="Z4" s="303"/>
      <c r="AA4" s="28"/>
      <c r="AB4" s="286" t="str">
        <f>IF(No.1!AB4="","",No.1!AB4)</f>
        <v/>
      </c>
      <c r="AC4" s="287"/>
      <c r="AD4" s="287"/>
      <c r="AE4" s="287"/>
      <c r="AF4" s="288"/>
      <c r="AG4" s="92" t="str">
        <f>IF(No.1!AG4="","",No.1!AG4)</f>
        <v/>
      </c>
      <c r="AH4" s="217" t="str">
        <f>IF(No.1!AH4="","",No.1!AH4)</f>
        <v/>
      </c>
      <c r="AI4" s="217" t="str">
        <f>IF(No.1!AI4="","",No.1!AI4)</f>
        <v/>
      </c>
      <c r="AJ4" s="217" t="str">
        <f>IF(No.1!AJ4="","",No.1!AJ4)</f>
        <v/>
      </c>
      <c r="AK4" s="293" t="str">
        <f>IF(No.1!AK4="","",No.1!AK4)</f>
        <v/>
      </c>
      <c r="AL4" s="93" t="str">
        <f>IF(No.1!AL4="","",No.1!AL4)</f>
        <v/>
      </c>
      <c r="AM4" s="217" t="str">
        <f>IF(No.1!AM4="","",No.1!AM4)</f>
        <v/>
      </c>
      <c r="AN4" s="217" t="str">
        <f>IF(No.1!AN4="","",No.1!AN4)</f>
        <v/>
      </c>
      <c r="AO4" s="217" t="str">
        <f>IF(No.1!AO4="","",No.1!AO4)</f>
        <v/>
      </c>
      <c r="AP4" s="293" t="str">
        <f>IF(No.1!AP4="","",No.1!AP4)</f>
        <v/>
      </c>
      <c r="AQ4" s="92" t="str">
        <f>IF(No.1!AQ4="","",No.1!AQ4)</f>
        <v/>
      </c>
      <c r="AR4" s="217" t="str">
        <f>IF(No.1!AR4="","",No.1!AR4)</f>
        <v/>
      </c>
      <c r="AS4" s="217" t="str">
        <f>IF(No.1!AS4="","",No.1!AS4)</f>
        <v/>
      </c>
      <c r="AT4" s="217" t="str">
        <f>IF(No.1!AT4="","",No.1!AT4)</f>
        <v/>
      </c>
      <c r="AU4" s="293" t="str">
        <f>IF(No.1!AU4="","",No.1!AU4)</f>
        <v/>
      </c>
      <c r="AV4" s="92" t="str">
        <f>IF(No.1!AV4="","",No.1!AV4)</f>
        <v/>
      </c>
      <c r="AW4" s="217" t="str">
        <f>IF(No.1!AW4="","",No.1!AW4)</f>
        <v/>
      </c>
      <c r="AX4" s="217" t="str">
        <f>IF(No.1!AX4="","",No.1!AX4)</f>
        <v/>
      </c>
      <c r="AY4" s="217" t="str">
        <f>IF(No.1!AY4="","",No.1!AY4)</f>
        <v/>
      </c>
      <c r="AZ4" s="293" t="str">
        <f>IF(No.1!AZ4="","",No.1!AZ4)</f>
        <v/>
      </c>
      <c r="BA4" s="93" t="str">
        <f>IF(No.1!BA4="","",No.1!BA4)</f>
        <v/>
      </c>
      <c r="BB4" s="217" t="str">
        <f>IF(No.1!BB4="","",No.1!BB4)</f>
        <v/>
      </c>
      <c r="BC4" s="217" t="str">
        <f>IF(No.1!BC4="","",No.1!BC4)</f>
        <v/>
      </c>
      <c r="BD4" s="217" t="str">
        <f>IF(No.1!BD4="","",No.1!BD4)</f>
        <v/>
      </c>
      <c r="BE4" s="293" t="str">
        <f>IF(No.1!BE4="","",No.1!BE4)</f>
        <v/>
      </c>
      <c r="BF4" s="94" t="str">
        <f>IF(No.1!BF4="","",No.1!BF4)</f>
        <v/>
      </c>
      <c r="BG4" s="217" t="str">
        <f>IF(No.1!BG4="","",No.1!BG4)</f>
        <v/>
      </c>
      <c r="BH4" s="217" t="str">
        <f>IF(No.1!BH4="","",No.1!BH4)</f>
        <v/>
      </c>
      <c r="BI4" s="217" t="str">
        <f>IF(No.1!BI4="","",No.1!BI4)</f>
        <v/>
      </c>
      <c r="BJ4" s="293" t="str">
        <f>IF(No.1!BJ4="","",No.1!BJ4)</f>
        <v/>
      </c>
      <c r="BK4" s="94" t="str">
        <f>IF(No.1!BK4="","",No.1!BK4)</f>
        <v/>
      </c>
      <c r="BL4" s="217" t="str">
        <f>IF(No.1!BL4="","",No.1!BL4)</f>
        <v/>
      </c>
      <c r="BM4" s="217" t="str">
        <f>IF(No.1!BM4="","",No.1!BM4)</f>
        <v/>
      </c>
      <c r="BN4" s="217" t="str">
        <f>IF(No.1!BN4="","",No.1!BN4)</f>
        <v/>
      </c>
      <c r="BO4" s="218" t="str">
        <f>IF(No.1!BO4="","",No.1!BO4)</f>
        <v/>
      </c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</row>
    <row r="5" spans="2:124" ht="14.25" customHeight="1" thickBot="1">
      <c r="B5" s="289" t="s">
        <v>339</v>
      </c>
      <c r="C5" s="290"/>
      <c r="D5" s="290"/>
      <c r="E5" s="290"/>
      <c r="F5" s="291"/>
      <c r="G5" s="292" t="str">
        <f>IF(No.1!G5="","",No.1!G5)</f>
        <v/>
      </c>
      <c r="H5" s="217"/>
      <c r="I5" s="293"/>
      <c r="J5" s="292" t="str">
        <f>IF(No.1!J5="","",No.1!J5)</f>
        <v/>
      </c>
      <c r="K5" s="217"/>
      <c r="L5" s="217"/>
      <c r="M5" s="217"/>
      <c r="N5" s="217"/>
      <c r="O5" s="217"/>
      <c r="P5" s="293"/>
      <c r="Q5" s="292" t="str">
        <f>IF(No.1!Q5="","",No.1!Q5)</f>
        <v/>
      </c>
      <c r="R5" s="217"/>
      <c r="S5" s="217"/>
      <c r="T5" s="217"/>
      <c r="U5" s="217"/>
      <c r="V5" s="294" t="str">
        <f>IF(No.1!V5="","",No.1!V5)</f>
        <v/>
      </c>
      <c r="W5" s="295"/>
      <c r="X5" s="295"/>
      <c r="Y5" s="295"/>
      <c r="Z5" s="296"/>
      <c r="AA5" s="28"/>
      <c r="AB5" s="28"/>
      <c r="AC5" s="28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</row>
    <row r="6" spans="2:124" ht="12.75" customHeight="1">
      <c r="B6" s="72"/>
      <c r="C6" s="72"/>
      <c r="D6" s="72"/>
      <c r="E6" s="72"/>
      <c r="F6" s="72"/>
      <c r="G6" s="72"/>
      <c r="H6" s="72"/>
      <c r="I6" s="72"/>
      <c r="J6" s="73"/>
      <c r="K6" s="73"/>
      <c r="L6" s="73"/>
      <c r="M6" s="73"/>
      <c r="N6" s="73"/>
      <c r="O6" s="73"/>
      <c r="P6" s="73"/>
      <c r="Q6" s="69"/>
      <c r="R6" s="69"/>
      <c r="S6" s="69"/>
      <c r="T6" s="69"/>
      <c r="U6" s="69"/>
      <c r="V6" s="69"/>
      <c r="W6" s="69"/>
      <c r="X6" s="69"/>
      <c r="Y6" s="69"/>
      <c r="Z6" s="69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</row>
    <row r="7" spans="2:124" ht="12.75" customHeight="1" thickBot="1">
      <c r="B7" s="3" t="s">
        <v>475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O7" s="1" t="s">
        <v>8</v>
      </c>
    </row>
    <row r="8" spans="2:124" ht="12.75" customHeight="1">
      <c r="B8" s="237"/>
      <c r="C8" s="238"/>
      <c r="D8" s="238"/>
      <c r="E8" s="238"/>
      <c r="F8" s="238"/>
      <c r="G8" s="239"/>
      <c r="H8" s="239"/>
      <c r="I8" s="134" t="s">
        <v>267</v>
      </c>
      <c r="J8" s="409"/>
      <c r="K8" s="409"/>
      <c r="L8" s="409"/>
      <c r="M8" s="409"/>
      <c r="N8" s="409"/>
      <c r="O8" s="409"/>
      <c r="P8" s="409"/>
      <c r="Q8" s="409"/>
      <c r="R8" s="409"/>
      <c r="S8" s="409"/>
      <c r="T8" s="134" t="s">
        <v>35</v>
      </c>
      <c r="U8" s="409"/>
      <c r="V8" s="409"/>
      <c r="W8" s="409"/>
      <c r="X8" s="409"/>
      <c r="Y8" s="409"/>
      <c r="Z8" s="409"/>
      <c r="AA8" s="409"/>
      <c r="AB8" s="409"/>
      <c r="AC8" s="409"/>
      <c r="AD8" s="409"/>
      <c r="AE8" s="134" t="s">
        <v>55</v>
      </c>
      <c r="AF8" s="409"/>
      <c r="AG8" s="409"/>
      <c r="AH8" s="409"/>
      <c r="AI8" s="409"/>
      <c r="AJ8" s="409"/>
      <c r="AK8" s="409"/>
      <c r="AL8" s="409"/>
      <c r="AM8" s="409"/>
      <c r="AN8" s="409"/>
      <c r="AO8" s="410"/>
      <c r="AP8" s="60"/>
    </row>
    <row r="9" spans="2:124" ht="12.75" customHeight="1" thickBot="1">
      <c r="B9" s="240"/>
      <c r="C9" s="241"/>
      <c r="D9" s="241"/>
      <c r="E9" s="241"/>
      <c r="F9" s="241"/>
      <c r="G9" s="242"/>
      <c r="H9" s="242"/>
      <c r="I9" s="146" t="str">
        <f>IF($B$1&lt;&gt;"",$B$1,"")</f>
        <v/>
      </c>
      <c r="J9" s="128"/>
      <c r="K9" s="128"/>
      <c r="L9" s="128"/>
      <c r="M9" s="127" t="str">
        <f>IF($B$1&lt;&gt;"",$B$1-1,"")</f>
        <v/>
      </c>
      <c r="N9" s="128"/>
      <c r="O9" s="128"/>
      <c r="P9" s="129"/>
      <c r="Q9" s="123" t="s">
        <v>204</v>
      </c>
      <c r="R9" s="124"/>
      <c r="S9" s="125"/>
      <c r="T9" s="146" t="str">
        <f>IF($B$1&lt;&gt;"",$B$1,"")</f>
        <v/>
      </c>
      <c r="U9" s="128"/>
      <c r="V9" s="128"/>
      <c r="W9" s="128"/>
      <c r="X9" s="127" t="str">
        <f>IF($B$1&lt;&gt;"",$B$1-1,"")</f>
        <v/>
      </c>
      <c r="Y9" s="128"/>
      <c r="Z9" s="128"/>
      <c r="AA9" s="129"/>
      <c r="AB9" s="123" t="s">
        <v>204</v>
      </c>
      <c r="AC9" s="124"/>
      <c r="AD9" s="125"/>
      <c r="AE9" s="146" t="str">
        <f>IF($B$1&lt;&gt;"",$B$1,"")</f>
        <v/>
      </c>
      <c r="AF9" s="128"/>
      <c r="AG9" s="128"/>
      <c r="AH9" s="128"/>
      <c r="AI9" s="127" t="str">
        <f>IF($B$1&lt;&gt;"",$B$1-1,"")</f>
        <v/>
      </c>
      <c r="AJ9" s="128"/>
      <c r="AK9" s="128"/>
      <c r="AL9" s="129"/>
      <c r="AM9" s="123" t="s">
        <v>204</v>
      </c>
      <c r="AN9" s="124"/>
      <c r="AO9" s="125"/>
    </row>
    <row r="10" spans="2:124" ht="12.75" customHeight="1">
      <c r="B10" s="23"/>
      <c r="C10" s="284" t="s">
        <v>36</v>
      </c>
      <c r="D10" s="222"/>
      <c r="E10" s="222"/>
      <c r="F10" s="222"/>
      <c r="G10" s="222"/>
      <c r="H10" s="222"/>
      <c r="I10" s="448"/>
      <c r="J10" s="442"/>
      <c r="K10" s="442"/>
      <c r="L10" s="442"/>
      <c r="M10" s="442"/>
      <c r="N10" s="442"/>
      <c r="O10" s="442"/>
      <c r="P10" s="442"/>
      <c r="Q10" s="121" t="str">
        <f t="shared" ref="Q10:Q25" si="0">IF(I10="-", "-", IF(M10="-", "-", IF(ABS(M10)=0, "-", ROUND(100*(I10-M10)/ABS(M10), 10))))</f>
        <v>-</v>
      </c>
      <c r="R10" s="121" t="str">
        <f t="shared" ref="R10:S25" si="1">IF(N10="-", "-", IF(P10="-", "-", IF(ABS(P10)=0, "-", ROUND(100*(N10-P10)/ABS(P10), 1))))</f>
        <v>-</v>
      </c>
      <c r="S10" s="122" t="str">
        <f t="shared" si="1"/>
        <v>-</v>
      </c>
      <c r="T10" s="448"/>
      <c r="U10" s="442"/>
      <c r="V10" s="442"/>
      <c r="W10" s="442"/>
      <c r="X10" s="442"/>
      <c r="Y10" s="442"/>
      <c r="Z10" s="442"/>
      <c r="AA10" s="442"/>
      <c r="AB10" s="121" t="str">
        <f t="shared" ref="AB10:AB21" si="2">IF(T10="-", "-", IF(X10="-", "-", IF(ABS(X10)=0, "-", ROUND(100*(T10-X10)/ABS(X10), 10))))</f>
        <v>-</v>
      </c>
      <c r="AC10" s="121" t="str">
        <f t="shared" ref="AC10:AD23" si="3">IF(Y10="-", "-", IF(AA10="-", "-", IF(ABS(AA10)=0, "-", ROUND(100*(Y10-AA10)/ABS(AA10), 1))))</f>
        <v>-</v>
      </c>
      <c r="AD10" s="122" t="str">
        <f t="shared" si="3"/>
        <v>-</v>
      </c>
      <c r="AE10" s="481"/>
      <c r="AF10" s="462"/>
      <c r="AG10" s="462"/>
      <c r="AH10" s="462"/>
      <c r="AI10" s="462"/>
      <c r="AJ10" s="462"/>
      <c r="AK10" s="462"/>
      <c r="AL10" s="462"/>
      <c r="AM10" s="132" t="str">
        <f t="shared" ref="AM10:AM25" si="4">IF(AE10="-", "-", IF(AI10="-", "-", IF(ABS(AI10)=0, "-", ROUND(100*(AE10-AI10)/ABS(AI10), 10))))</f>
        <v>-</v>
      </c>
      <c r="AN10" s="132" t="str">
        <f t="shared" ref="AN10:AO25" si="5">IF(AJ10="-", "-", IF(AL10="-", "-", IF(ABS(AL10)=0, "-", ROUND(100*(AJ10-AL10)/ABS(AL10), 1))))</f>
        <v>-</v>
      </c>
      <c r="AO10" s="133" t="str">
        <f t="shared" si="5"/>
        <v>-</v>
      </c>
    </row>
    <row r="11" spans="2:124" ht="12.75" customHeight="1">
      <c r="B11" s="507" t="s">
        <v>206</v>
      </c>
      <c r="C11" s="245" t="s">
        <v>37</v>
      </c>
      <c r="D11" s="176"/>
      <c r="E11" s="176"/>
      <c r="F11" s="176"/>
      <c r="G11" s="176"/>
      <c r="H11" s="176"/>
      <c r="I11" s="448"/>
      <c r="J11" s="442"/>
      <c r="K11" s="442"/>
      <c r="L11" s="442"/>
      <c r="M11" s="442"/>
      <c r="N11" s="442"/>
      <c r="O11" s="442"/>
      <c r="P11" s="442"/>
      <c r="Q11" s="121" t="str">
        <f t="shared" si="0"/>
        <v>-</v>
      </c>
      <c r="R11" s="121" t="str">
        <f t="shared" si="1"/>
        <v>-</v>
      </c>
      <c r="S11" s="122" t="str">
        <f t="shared" si="1"/>
        <v>-</v>
      </c>
      <c r="T11" s="448"/>
      <c r="U11" s="442"/>
      <c r="V11" s="442"/>
      <c r="W11" s="442"/>
      <c r="X11" s="442"/>
      <c r="Y11" s="442"/>
      <c r="Z11" s="442"/>
      <c r="AA11" s="442"/>
      <c r="AB11" s="121" t="str">
        <f t="shared" si="2"/>
        <v>-</v>
      </c>
      <c r="AC11" s="121" t="str">
        <f t="shared" si="3"/>
        <v>-</v>
      </c>
      <c r="AD11" s="122" t="str">
        <f t="shared" si="3"/>
        <v>-</v>
      </c>
      <c r="AE11" s="481"/>
      <c r="AF11" s="462"/>
      <c r="AG11" s="462"/>
      <c r="AH11" s="462"/>
      <c r="AI11" s="462"/>
      <c r="AJ11" s="462"/>
      <c r="AK11" s="462"/>
      <c r="AL11" s="462"/>
      <c r="AM11" s="132" t="str">
        <f t="shared" si="4"/>
        <v>-</v>
      </c>
      <c r="AN11" s="132" t="str">
        <f t="shared" si="5"/>
        <v>-</v>
      </c>
      <c r="AO11" s="133" t="str">
        <f t="shared" si="5"/>
        <v>-</v>
      </c>
    </row>
    <row r="12" spans="2:124" ht="12.75" customHeight="1">
      <c r="B12" s="507"/>
      <c r="C12" s="246" t="s">
        <v>38</v>
      </c>
      <c r="D12" s="247"/>
      <c r="E12" s="176"/>
      <c r="F12" s="176"/>
      <c r="G12" s="176"/>
      <c r="H12" s="176"/>
      <c r="I12" s="448"/>
      <c r="J12" s="442"/>
      <c r="K12" s="442"/>
      <c r="L12" s="442"/>
      <c r="M12" s="442"/>
      <c r="N12" s="442"/>
      <c r="O12" s="442"/>
      <c r="P12" s="442"/>
      <c r="Q12" s="121" t="str">
        <f t="shared" si="0"/>
        <v>-</v>
      </c>
      <c r="R12" s="121" t="str">
        <f t="shared" si="1"/>
        <v>-</v>
      </c>
      <c r="S12" s="122" t="str">
        <f t="shared" si="1"/>
        <v>-</v>
      </c>
      <c r="T12" s="448"/>
      <c r="U12" s="442"/>
      <c r="V12" s="442"/>
      <c r="W12" s="442"/>
      <c r="X12" s="442"/>
      <c r="Y12" s="442"/>
      <c r="Z12" s="442"/>
      <c r="AA12" s="442"/>
      <c r="AB12" s="121" t="str">
        <f t="shared" si="2"/>
        <v>-</v>
      </c>
      <c r="AC12" s="121" t="str">
        <f t="shared" si="3"/>
        <v>-</v>
      </c>
      <c r="AD12" s="122" t="str">
        <f t="shared" si="3"/>
        <v>-</v>
      </c>
      <c r="AE12" s="481"/>
      <c r="AF12" s="462"/>
      <c r="AG12" s="462"/>
      <c r="AH12" s="462"/>
      <c r="AI12" s="462"/>
      <c r="AJ12" s="462"/>
      <c r="AK12" s="462"/>
      <c r="AL12" s="462"/>
      <c r="AM12" s="132" t="str">
        <f t="shared" si="4"/>
        <v>-</v>
      </c>
      <c r="AN12" s="132" t="str">
        <f t="shared" si="5"/>
        <v>-</v>
      </c>
      <c r="AO12" s="133" t="str">
        <f t="shared" si="5"/>
        <v>-</v>
      </c>
    </row>
    <row r="13" spans="2:124" ht="12.75" customHeight="1">
      <c r="B13" s="507"/>
      <c r="C13" s="246" t="s">
        <v>39</v>
      </c>
      <c r="D13" s="247"/>
      <c r="E13" s="176"/>
      <c r="F13" s="176"/>
      <c r="G13" s="176"/>
      <c r="H13" s="176"/>
      <c r="I13" s="448"/>
      <c r="J13" s="442"/>
      <c r="K13" s="442"/>
      <c r="L13" s="442"/>
      <c r="M13" s="442"/>
      <c r="N13" s="442"/>
      <c r="O13" s="442"/>
      <c r="P13" s="442"/>
      <c r="Q13" s="121" t="str">
        <f t="shared" si="0"/>
        <v>-</v>
      </c>
      <c r="R13" s="121" t="str">
        <f t="shared" si="1"/>
        <v>-</v>
      </c>
      <c r="S13" s="122" t="str">
        <f t="shared" si="1"/>
        <v>-</v>
      </c>
      <c r="T13" s="448"/>
      <c r="U13" s="442"/>
      <c r="V13" s="442"/>
      <c r="W13" s="442"/>
      <c r="X13" s="442"/>
      <c r="Y13" s="442"/>
      <c r="Z13" s="442"/>
      <c r="AA13" s="442"/>
      <c r="AB13" s="121" t="str">
        <f t="shared" si="2"/>
        <v>-</v>
      </c>
      <c r="AC13" s="121" t="str">
        <f t="shared" si="3"/>
        <v>-</v>
      </c>
      <c r="AD13" s="122" t="str">
        <f t="shared" si="3"/>
        <v>-</v>
      </c>
      <c r="AE13" s="481"/>
      <c r="AF13" s="462"/>
      <c r="AG13" s="462"/>
      <c r="AH13" s="462"/>
      <c r="AI13" s="462"/>
      <c r="AJ13" s="462"/>
      <c r="AK13" s="462"/>
      <c r="AL13" s="462"/>
      <c r="AM13" s="132" t="str">
        <f t="shared" si="4"/>
        <v>-</v>
      </c>
      <c r="AN13" s="132" t="str">
        <f t="shared" si="5"/>
        <v>-</v>
      </c>
      <c r="AO13" s="133" t="str">
        <f t="shared" si="5"/>
        <v>-</v>
      </c>
    </row>
    <row r="14" spans="2:124" ht="12.75" customHeight="1">
      <c r="B14" s="507"/>
      <c r="C14" s="246" t="s">
        <v>40</v>
      </c>
      <c r="D14" s="247"/>
      <c r="E14" s="176"/>
      <c r="F14" s="176"/>
      <c r="G14" s="176"/>
      <c r="H14" s="176"/>
      <c r="I14" s="448"/>
      <c r="J14" s="442"/>
      <c r="K14" s="442"/>
      <c r="L14" s="442"/>
      <c r="M14" s="442"/>
      <c r="N14" s="442"/>
      <c r="O14" s="442"/>
      <c r="P14" s="442"/>
      <c r="Q14" s="121" t="str">
        <f t="shared" si="0"/>
        <v>-</v>
      </c>
      <c r="R14" s="121" t="str">
        <f t="shared" si="1"/>
        <v>-</v>
      </c>
      <c r="S14" s="122" t="str">
        <f t="shared" si="1"/>
        <v>-</v>
      </c>
      <c r="T14" s="448"/>
      <c r="U14" s="442"/>
      <c r="V14" s="442"/>
      <c r="W14" s="442"/>
      <c r="X14" s="442"/>
      <c r="Y14" s="442"/>
      <c r="Z14" s="442"/>
      <c r="AA14" s="442"/>
      <c r="AB14" s="121" t="str">
        <f t="shared" si="2"/>
        <v>-</v>
      </c>
      <c r="AC14" s="121" t="str">
        <f t="shared" si="3"/>
        <v>-</v>
      </c>
      <c r="AD14" s="122" t="str">
        <f t="shared" si="3"/>
        <v>-</v>
      </c>
      <c r="AE14" s="481"/>
      <c r="AF14" s="462"/>
      <c r="AG14" s="462"/>
      <c r="AH14" s="462"/>
      <c r="AI14" s="462"/>
      <c r="AJ14" s="462"/>
      <c r="AK14" s="462"/>
      <c r="AL14" s="462"/>
      <c r="AM14" s="132" t="str">
        <f t="shared" si="4"/>
        <v>-</v>
      </c>
      <c r="AN14" s="132" t="str">
        <f t="shared" si="5"/>
        <v>-</v>
      </c>
      <c r="AO14" s="133" t="str">
        <f t="shared" si="5"/>
        <v>-</v>
      </c>
    </row>
    <row r="15" spans="2:124" ht="12.75" customHeight="1">
      <c r="B15" s="507"/>
      <c r="C15" s="245" t="s">
        <v>88</v>
      </c>
      <c r="D15" s="176"/>
      <c r="E15" s="176"/>
      <c r="F15" s="176"/>
      <c r="G15" s="176"/>
      <c r="H15" s="176"/>
      <c r="I15" s="448"/>
      <c r="J15" s="442"/>
      <c r="K15" s="442"/>
      <c r="L15" s="442"/>
      <c r="M15" s="442"/>
      <c r="N15" s="442"/>
      <c r="O15" s="442"/>
      <c r="P15" s="442"/>
      <c r="Q15" s="121" t="str">
        <f t="shared" si="0"/>
        <v>-</v>
      </c>
      <c r="R15" s="121" t="str">
        <f t="shared" si="1"/>
        <v>-</v>
      </c>
      <c r="S15" s="122" t="str">
        <f t="shared" si="1"/>
        <v>-</v>
      </c>
      <c r="T15" s="448"/>
      <c r="U15" s="442"/>
      <c r="V15" s="442"/>
      <c r="W15" s="442"/>
      <c r="X15" s="442"/>
      <c r="Y15" s="442"/>
      <c r="Z15" s="442"/>
      <c r="AA15" s="442"/>
      <c r="AB15" s="121" t="str">
        <f t="shared" si="2"/>
        <v>-</v>
      </c>
      <c r="AC15" s="121" t="str">
        <f t="shared" si="3"/>
        <v>-</v>
      </c>
      <c r="AD15" s="122" t="str">
        <f t="shared" si="3"/>
        <v>-</v>
      </c>
      <c r="AE15" s="481"/>
      <c r="AF15" s="462"/>
      <c r="AG15" s="462"/>
      <c r="AH15" s="462"/>
      <c r="AI15" s="462"/>
      <c r="AJ15" s="462"/>
      <c r="AK15" s="462"/>
      <c r="AL15" s="462"/>
      <c r="AM15" s="132" t="str">
        <f t="shared" si="4"/>
        <v>-</v>
      </c>
      <c r="AN15" s="132" t="str">
        <f t="shared" si="5"/>
        <v>-</v>
      </c>
      <c r="AO15" s="133" t="str">
        <f t="shared" si="5"/>
        <v>-</v>
      </c>
    </row>
    <row r="16" spans="2:124" ht="12.75" customHeight="1">
      <c r="B16" s="507"/>
      <c r="C16" s="245" t="s">
        <v>41</v>
      </c>
      <c r="D16" s="176"/>
      <c r="E16" s="176"/>
      <c r="F16" s="176"/>
      <c r="G16" s="176"/>
      <c r="H16" s="176"/>
      <c r="I16" s="448"/>
      <c r="J16" s="442"/>
      <c r="K16" s="442"/>
      <c r="L16" s="442"/>
      <c r="M16" s="442"/>
      <c r="N16" s="442"/>
      <c r="O16" s="442"/>
      <c r="P16" s="442"/>
      <c r="Q16" s="121" t="str">
        <f t="shared" si="0"/>
        <v>-</v>
      </c>
      <c r="R16" s="121" t="str">
        <f t="shared" si="1"/>
        <v>-</v>
      </c>
      <c r="S16" s="122" t="str">
        <f t="shared" si="1"/>
        <v>-</v>
      </c>
      <c r="T16" s="448"/>
      <c r="U16" s="442"/>
      <c r="V16" s="442"/>
      <c r="W16" s="442"/>
      <c r="X16" s="442"/>
      <c r="Y16" s="442"/>
      <c r="Z16" s="442"/>
      <c r="AA16" s="442"/>
      <c r="AB16" s="121" t="str">
        <f t="shared" si="2"/>
        <v>-</v>
      </c>
      <c r="AC16" s="121" t="str">
        <f t="shared" si="3"/>
        <v>-</v>
      </c>
      <c r="AD16" s="122" t="str">
        <f t="shared" si="3"/>
        <v>-</v>
      </c>
      <c r="AE16" s="481"/>
      <c r="AF16" s="462"/>
      <c r="AG16" s="462"/>
      <c r="AH16" s="462"/>
      <c r="AI16" s="462"/>
      <c r="AJ16" s="462"/>
      <c r="AK16" s="462"/>
      <c r="AL16" s="462"/>
      <c r="AM16" s="132" t="str">
        <f t="shared" si="4"/>
        <v>-</v>
      </c>
      <c r="AN16" s="132" t="str">
        <f t="shared" si="5"/>
        <v>-</v>
      </c>
      <c r="AO16" s="133" t="str">
        <f t="shared" si="5"/>
        <v>-</v>
      </c>
    </row>
    <row r="17" spans="2:86" ht="12.75" customHeight="1">
      <c r="B17" s="507"/>
      <c r="C17" s="245" t="s">
        <v>42</v>
      </c>
      <c r="D17" s="176"/>
      <c r="E17" s="176"/>
      <c r="F17" s="176"/>
      <c r="G17" s="176"/>
      <c r="H17" s="176"/>
      <c r="I17" s="448"/>
      <c r="J17" s="442"/>
      <c r="K17" s="442"/>
      <c r="L17" s="442"/>
      <c r="M17" s="442"/>
      <c r="N17" s="442"/>
      <c r="O17" s="442"/>
      <c r="P17" s="442"/>
      <c r="Q17" s="121" t="str">
        <f t="shared" si="0"/>
        <v>-</v>
      </c>
      <c r="R17" s="121" t="str">
        <f t="shared" si="1"/>
        <v>-</v>
      </c>
      <c r="S17" s="122" t="str">
        <f t="shared" si="1"/>
        <v>-</v>
      </c>
      <c r="T17" s="448"/>
      <c r="U17" s="442"/>
      <c r="V17" s="442"/>
      <c r="W17" s="442"/>
      <c r="X17" s="442"/>
      <c r="Y17" s="442"/>
      <c r="Z17" s="442"/>
      <c r="AA17" s="442"/>
      <c r="AB17" s="121" t="str">
        <f t="shared" si="2"/>
        <v>-</v>
      </c>
      <c r="AC17" s="121" t="str">
        <f t="shared" si="3"/>
        <v>-</v>
      </c>
      <c r="AD17" s="122" t="str">
        <f t="shared" si="3"/>
        <v>-</v>
      </c>
      <c r="AE17" s="481"/>
      <c r="AF17" s="462"/>
      <c r="AG17" s="462"/>
      <c r="AH17" s="462"/>
      <c r="AI17" s="462"/>
      <c r="AJ17" s="462"/>
      <c r="AK17" s="462"/>
      <c r="AL17" s="462"/>
      <c r="AM17" s="132" t="str">
        <f t="shared" si="4"/>
        <v>-</v>
      </c>
      <c r="AN17" s="132" t="str">
        <f t="shared" si="5"/>
        <v>-</v>
      </c>
      <c r="AO17" s="133" t="str">
        <f t="shared" si="5"/>
        <v>-</v>
      </c>
    </row>
    <row r="18" spans="2:86" ht="12.75" customHeight="1">
      <c r="B18" s="507"/>
      <c r="C18" s="245" t="s">
        <v>43</v>
      </c>
      <c r="D18" s="176"/>
      <c r="E18" s="176"/>
      <c r="F18" s="176"/>
      <c r="G18" s="176"/>
      <c r="H18" s="176"/>
      <c r="I18" s="448"/>
      <c r="J18" s="442"/>
      <c r="K18" s="442"/>
      <c r="L18" s="442"/>
      <c r="M18" s="442"/>
      <c r="N18" s="442"/>
      <c r="O18" s="442"/>
      <c r="P18" s="442"/>
      <c r="Q18" s="121" t="str">
        <f t="shared" si="0"/>
        <v>-</v>
      </c>
      <c r="R18" s="121" t="str">
        <f t="shared" si="1"/>
        <v>-</v>
      </c>
      <c r="S18" s="122" t="str">
        <f t="shared" si="1"/>
        <v>-</v>
      </c>
      <c r="T18" s="448"/>
      <c r="U18" s="442"/>
      <c r="V18" s="442"/>
      <c r="W18" s="442"/>
      <c r="X18" s="442"/>
      <c r="Y18" s="442"/>
      <c r="Z18" s="442"/>
      <c r="AA18" s="442"/>
      <c r="AB18" s="121" t="str">
        <f t="shared" si="2"/>
        <v>-</v>
      </c>
      <c r="AC18" s="121" t="str">
        <f t="shared" si="3"/>
        <v>-</v>
      </c>
      <c r="AD18" s="122" t="str">
        <f t="shared" si="3"/>
        <v>-</v>
      </c>
      <c r="AE18" s="481"/>
      <c r="AF18" s="462"/>
      <c r="AG18" s="462"/>
      <c r="AH18" s="462"/>
      <c r="AI18" s="462"/>
      <c r="AJ18" s="462"/>
      <c r="AK18" s="462"/>
      <c r="AL18" s="462"/>
      <c r="AM18" s="132" t="str">
        <f t="shared" si="4"/>
        <v>-</v>
      </c>
      <c r="AN18" s="132" t="str">
        <f t="shared" si="5"/>
        <v>-</v>
      </c>
      <c r="AO18" s="133" t="str">
        <f t="shared" si="5"/>
        <v>-</v>
      </c>
    </row>
    <row r="19" spans="2:86" ht="12.75" customHeight="1">
      <c r="B19" s="507"/>
      <c r="C19" s="245" t="s">
        <v>44</v>
      </c>
      <c r="D19" s="176"/>
      <c r="E19" s="176"/>
      <c r="F19" s="176"/>
      <c r="G19" s="176"/>
      <c r="H19" s="176"/>
      <c r="I19" s="448"/>
      <c r="J19" s="442"/>
      <c r="K19" s="442"/>
      <c r="L19" s="442"/>
      <c r="M19" s="442"/>
      <c r="N19" s="442"/>
      <c r="O19" s="442"/>
      <c r="P19" s="442"/>
      <c r="Q19" s="121" t="str">
        <f t="shared" si="0"/>
        <v>-</v>
      </c>
      <c r="R19" s="121" t="str">
        <f t="shared" si="1"/>
        <v>-</v>
      </c>
      <c r="S19" s="122" t="str">
        <f t="shared" si="1"/>
        <v>-</v>
      </c>
      <c r="T19" s="448"/>
      <c r="U19" s="442"/>
      <c r="V19" s="442"/>
      <c r="W19" s="442"/>
      <c r="X19" s="442"/>
      <c r="Y19" s="442"/>
      <c r="Z19" s="442"/>
      <c r="AA19" s="442"/>
      <c r="AB19" s="121" t="str">
        <f t="shared" si="2"/>
        <v>-</v>
      </c>
      <c r="AC19" s="121" t="str">
        <f t="shared" si="3"/>
        <v>-</v>
      </c>
      <c r="AD19" s="122" t="str">
        <f t="shared" si="3"/>
        <v>-</v>
      </c>
      <c r="AE19" s="481"/>
      <c r="AF19" s="462"/>
      <c r="AG19" s="462"/>
      <c r="AH19" s="462"/>
      <c r="AI19" s="462"/>
      <c r="AJ19" s="462"/>
      <c r="AK19" s="462"/>
      <c r="AL19" s="462"/>
      <c r="AM19" s="132" t="str">
        <f t="shared" si="4"/>
        <v>-</v>
      </c>
      <c r="AN19" s="132" t="str">
        <f t="shared" si="5"/>
        <v>-</v>
      </c>
      <c r="AO19" s="133" t="str">
        <f t="shared" si="5"/>
        <v>-</v>
      </c>
    </row>
    <row r="20" spans="2:86" ht="12.75" customHeight="1">
      <c r="B20" s="507"/>
      <c r="C20" s="245" t="s">
        <v>45</v>
      </c>
      <c r="D20" s="176"/>
      <c r="E20" s="176"/>
      <c r="F20" s="176"/>
      <c r="G20" s="176"/>
      <c r="H20" s="176"/>
      <c r="I20" s="448"/>
      <c r="J20" s="442"/>
      <c r="K20" s="442"/>
      <c r="L20" s="442"/>
      <c r="M20" s="442"/>
      <c r="N20" s="442"/>
      <c r="O20" s="442"/>
      <c r="P20" s="442"/>
      <c r="Q20" s="121" t="str">
        <f t="shared" si="0"/>
        <v>-</v>
      </c>
      <c r="R20" s="121" t="str">
        <f t="shared" si="1"/>
        <v>-</v>
      </c>
      <c r="S20" s="122" t="str">
        <f t="shared" si="1"/>
        <v>-</v>
      </c>
      <c r="T20" s="448"/>
      <c r="U20" s="442"/>
      <c r="V20" s="442"/>
      <c r="W20" s="442"/>
      <c r="X20" s="442"/>
      <c r="Y20" s="442"/>
      <c r="Z20" s="442"/>
      <c r="AA20" s="442"/>
      <c r="AB20" s="121" t="str">
        <f t="shared" si="2"/>
        <v>-</v>
      </c>
      <c r="AC20" s="121" t="str">
        <f t="shared" si="3"/>
        <v>-</v>
      </c>
      <c r="AD20" s="122" t="str">
        <f t="shared" si="3"/>
        <v>-</v>
      </c>
      <c r="AE20" s="481"/>
      <c r="AF20" s="462"/>
      <c r="AG20" s="462"/>
      <c r="AH20" s="462"/>
      <c r="AI20" s="462"/>
      <c r="AJ20" s="462"/>
      <c r="AK20" s="462"/>
      <c r="AL20" s="462"/>
      <c r="AM20" s="132" t="str">
        <f t="shared" si="4"/>
        <v>-</v>
      </c>
      <c r="AN20" s="132" t="str">
        <f t="shared" si="5"/>
        <v>-</v>
      </c>
      <c r="AO20" s="133" t="str">
        <f t="shared" si="5"/>
        <v>-</v>
      </c>
    </row>
    <row r="21" spans="2:86" ht="12.75" customHeight="1">
      <c r="B21" s="507"/>
      <c r="C21" s="245" t="s">
        <v>46</v>
      </c>
      <c r="D21" s="176"/>
      <c r="E21" s="176"/>
      <c r="F21" s="176"/>
      <c r="G21" s="176"/>
      <c r="H21" s="176"/>
      <c r="I21" s="448"/>
      <c r="J21" s="442"/>
      <c r="K21" s="442"/>
      <c r="L21" s="442"/>
      <c r="M21" s="442"/>
      <c r="N21" s="442"/>
      <c r="O21" s="442"/>
      <c r="P21" s="442"/>
      <c r="Q21" s="121" t="str">
        <f t="shared" si="0"/>
        <v>-</v>
      </c>
      <c r="R21" s="121" t="str">
        <f t="shared" si="1"/>
        <v>-</v>
      </c>
      <c r="S21" s="122" t="str">
        <f t="shared" si="1"/>
        <v>-</v>
      </c>
      <c r="T21" s="448"/>
      <c r="U21" s="442"/>
      <c r="V21" s="442"/>
      <c r="W21" s="442"/>
      <c r="X21" s="442"/>
      <c r="Y21" s="442"/>
      <c r="Z21" s="442"/>
      <c r="AA21" s="442"/>
      <c r="AB21" s="121" t="str">
        <f t="shared" si="2"/>
        <v>-</v>
      </c>
      <c r="AC21" s="121" t="str">
        <f t="shared" si="3"/>
        <v>-</v>
      </c>
      <c r="AD21" s="122" t="str">
        <f t="shared" si="3"/>
        <v>-</v>
      </c>
      <c r="AE21" s="481"/>
      <c r="AF21" s="462"/>
      <c r="AG21" s="462"/>
      <c r="AH21" s="462"/>
      <c r="AI21" s="462"/>
      <c r="AJ21" s="462"/>
      <c r="AK21" s="462"/>
      <c r="AL21" s="462"/>
      <c r="AM21" s="132" t="str">
        <f t="shared" si="4"/>
        <v>-</v>
      </c>
      <c r="AN21" s="132" t="str">
        <f t="shared" si="5"/>
        <v>-</v>
      </c>
      <c r="AO21" s="133" t="str">
        <f t="shared" si="5"/>
        <v>-</v>
      </c>
    </row>
    <row r="22" spans="2:86" ht="12.75" customHeight="1">
      <c r="B22" s="507"/>
      <c r="C22" s="245" t="s">
        <v>47</v>
      </c>
      <c r="D22" s="176"/>
      <c r="E22" s="176"/>
      <c r="F22" s="176"/>
      <c r="G22" s="176"/>
      <c r="H22" s="177"/>
      <c r="I22" s="448"/>
      <c r="J22" s="442"/>
      <c r="K22" s="442"/>
      <c r="L22" s="442"/>
      <c r="M22" s="442"/>
      <c r="N22" s="442"/>
      <c r="O22" s="442"/>
      <c r="P22" s="442"/>
      <c r="Q22" s="121" t="str">
        <f t="shared" si="0"/>
        <v>-</v>
      </c>
      <c r="R22" s="121" t="str">
        <f t="shared" si="1"/>
        <v>-</v>
      </c>
      <c r="S22" s="122" t="str">
        <f t="shared" si="1"/>
        <v>-</v>
      </c>
      <c r="T22" s="475"/>
      <c r="U22" s="476"/>
      <c r="V22" s="476"/>
      <c r="W22" s="477"/>
      <c r="X22" s="478"/>
      <c r="Y22" s="479"/>
      <c r="Z22" s="479"/>
      <c r="AA22" s="480"/>
      <c r="AB22" s="476"/>
      <c r="AC22" s="479"/>
      <c r="AD22" s="489"/>
      <c r="AE22" s="481"/>
      <c r="AF22" s="462"/>
      <c r="AG22" s="462"/>
      <c r="AH22" s="462"/>
      <c r="AI22" s="462"/>
      <c r="AJ22" s="462"/>
      <c r="AK22" s="462"/>
      <c r="AL22" s="462"/>
      <c r="AM22" s="132" t="str">
        <f t="shared" si="4"/>
        <v>-</v>
      </c>
      <c r="AN22" s="132" t="str">
        <f t="shared" si="5"/>
        <v>-</v>
      </c>
      <c r="AO22" s="133" t="str">
        <f t="shared" si="5"/>
        <v>-</v>
      </c>
    </row>
    <row r="23" spans="2:86" ht="12.75" customHeight="1">
      <c r="B23" s="504" t="s">
        <v>13</v>
      </c>
      <c r="C23" s="505"/>
      <c r="D23" s="505"/>
      <c r="E23" s="505"/>
      <c r="F23" s="505"/>
      <c r="G23" s="506"/>
      <c r="H23" s="506"/>
      <c r="I23" s="474"/>
      <c r="J23" s="473"/>
      <c r="K23" s="473"/>
      <c r="L23" s="473"/>
      <c r="M23" s="473"/>
      <c r="N23" s="473"/>
      <c r="O23" s="473"/>
      <c r="P23" s="473"/>
      <c r="Q23" s="486" t="str">
        <f t="shared" si="0"/>
        <v>-</v>
      </c>
      <c r="R23" s="486" t="str">
        <f t="shared" si="1"/>
        <v>-</v>
      </c>
      <c r="S23" s="487" t="str">
        <f t="shared" si="1"/>
        <v>-</v>
      </c>
      <c r="T23" s="474"/>
      <c r="U23" s="473"/>
      <c r="V23" s="473"/>
      <c r="W23" s="473"/>
      <c r="X23" s="473"/>
      <c r="Y23" s="473"/>
      <c r="Z23" s="473"/>
      <c r="AA23" s="473"/>
      <c r="AB23" s="486" t="str">
        <f>IF(T23="-", "-", IF(X23="-", "-", IF(ABS(X23)=0, "-", ROUND(100*(T23-X23)/ABS(X23), 10))))</f>
        <v>-</v>
      </c>
      <c r="AC23" s="486" t="str">
        <f t="shared" si="3"/>
        <v>-</v>
      </c>
      <c r="AD23" s="487" t="str">
        <f t="shared" si="3"/>
        <v>-</v>
      </c>
      <c r="AE23" s="474"/>
      <c r="AF23" s="473"/>
      <c r="AG23" s="473"/>
      <c r="AH23" s="473"/>
      <c r="AI23" s="473"/>
      <c r="AJ23" s="473"/>
      <c r="AK23" s="473"/>
      <c r="AL23" s="473"/>
      <c r="AM23" s="486" t="str">
        <f t="shared" si="4"/>
        <v>-</v>
      </c>
      <c r="AN23" s="486" t="str">
        <f t="shared" si="5"/>
        <v>-</v>
      </c>
      <c r="AO23" s="487" t="str">
        <f t="shared" si="5"/>
        <v>-</v>
      </c>
    </row>
    <row r="24" spans="2:86" ht="12.75" customHeight="1">
      <c r="B24" s="257" t="s">
        <v>48</v>
      </c>
      <c r="C24" s="258"/>
      <c r="D24" s="258"/>
      <c r="E24" s="258"/>
      <c r="F24" s="258"/>
      <c r="G24" s="245"/>
      <c r="H24" s="259"/>
      <c r="I24" s="488"/>
      <c r="J24" s="463"/>
      <c r="K24" s="463"/>
      <c r="L24" s="463"/>
      <c r="M24" s="463"/>
      <c r="N24" s="463"/>
      <c r="O24" s="463"/>
      <c r="P24" s="463"/>
      <c r="Q24" s="395" t="str">
        <f t="shared" si="0"/>
        <v>-</v>
      </c>
      <c r="R24" s="395" t="str">
        <f t="shared" si="1"/>
        <v>-</v>
      </c>
      <c r="S24" s="396" t="str">
        <f t="shared" si="1"/>
        <v>-</v>
      </c>
      <c r="T24" s="488"/>
      <c r="U24" s="463"/>
      <c r="V24" s="463"/>
      <c r="W24" s="463"/>
      <c r="X24" s="463"/>
      <c r="Y24" s="463"/>
      <c r="Z24" s="463"/>
      <c r="AA24" s="463"/>
      <c r="AB24" s="395" t="str">
        <f>IF(T24="-", "-", IF(X24="-", "-", IF(ABS(X24)=0, "-", ROUND(100*(T24-X24)/ABS(X24), 10))))</f>
        <v>-</v>
      </c>
      <c r="AC24" s="395" t="str">
        <f>IF(Y24="-", "-", IF(AA24="-", "-", IF(ABS(AA24)=0, "-", ROUND(100*(Y24-AA24)/ABS(AA24), 1))))</f>
        <v>-</v>
      </c>
      <c r="AD24" s="396" t="str">
        <f>IF(Z24="-", "-", IF(AB24="-", "-", IF(ABS(AB24)=0, "-", ROUND(100*(Z24-AB24)/ABS(AB24), 1))))</f>
        <v>-</v>
      </c>
      <c r="AE24" s="483"/>
      <c r="AF24" s="482"/>
      <c r="AG24" s="482"/>
      <c r="AH24" s="482"/>
      <c r="AI24" s="482"/>
      <c r="AJ24" s="482"/>
      <c r="AK24" s="482"/>
      <c r="AL24" s="482"/>
      <c r="AM24" s="484" t="str">
        <f t="shared" si="4"/>
        <v>-</v>
      </c>
      <c r="AN24" s="484" t="str">
        <f t="shared" si="5"/>
        <v>-</v>
      </c>
      <c r="AO24" s="485" t="str">
        <f t="shared" si="5"/>
        <v>-</v>
      </c>
    </row>
    <row r="25" spans="2:86" ht="12.75" customHeight="1" thickBot="1">
      <c r="B25" s="363" t="s">
        <v>49</v>
      </c>
      <c r="C25" s="364"/>
      <c r="D25" s="364"/>
      <c r="E25" s="364"/>
      <c r="F25" s="364"/>
      <c r="G25" s="365"/>
      <c r="H25" s="366"/>
      <c r="I25" s="465"/>
      <c r="J25" s="464"/>
      <c r="K25" s="464"/>
      <c r="L25" s="464"/>
      <c r="M25" s="464"/>
      <c r="N25" s="464"/>
      <c r="O25" s="464"/>
      <c r="P25" s="464"/>
      <c r="Q25" s="235" t="str">
        <f t="shared" si="0"/>
        <v>-</v>
      </c>
      <c r="R25" s="235" t="str">
        <f t="shared" si="1"/>
        <v>-</v>
      </c>
      <c r="S25" s="236" t="str">
        <f t="shared" si="1"/>
        <v>-</v>
      </c>
      <c r="T25" s="465"/>
      <c r="U25" s="464"/>
      <c r="V25" s="464"/>
      <c r="W25" s="464"/>
      <c r="X25" s="464"/>
      <c r="Y25" s="464"/>
      <c r="Z25" s="464"/>
      <c r="AA25" s="464"/>
      <c r="AB25" s="235" t="str">
        <f>IF(T25="-", "-", IF(X25="-", "-", IF(ABS(X25)=0, "-", ROUND(100*(T25-X25)/ABS(X25), 10))))</f>
        <v>-</v>
      </c>
      <c r="AC25" s="235" t="str">
        <f t="shared" ref="AC25:AD25" si="6">IF(Y25="-", "-", IF(AA25="-", "-", IF(ABS(AA25)=0, "-", ROUND(100*(Y25-AA25)/ABS(AA25), 1))))</f>
        <v>-</v>
      </c>
      <c r="AD25" s="236" t="str">
        <f t="shared" si="6"/>
        <v>-</v>
      </c>
      <c r="AE25" s="465"/>
      <c r="AF25" s="464"/>
      <c r="AG25" s="464"/>
      <c r="AH25" s="464"/>
      <c r="AI25" s="464"/>
      <c r="AJ25" s="464"/>
      <c r="AK25" s="464"/>
      <c r="AL25" s="464"/>
      <c r="AM25" s="235" t="str">
        <f t="shared" si="4"/>
        <v>-</v>
      </c>
      <c r="AN25" s="235" t="str">
        <f t="shared" si="5"/>
        <v>-</v>
      </c>
      <c r="AO25" s="236" t="str">
        <f t="shared" si="5"/>
        <v>-</v>
      </c>
    </row>
    <row r="26" spans="2:86" ht="12.75" customHeight="1">
      <c r="B26" s="29"/>
      <c r="C26" s="29"/>
      <c r="D26" s="29"/>
      <c r="E26" s="29"/>
      <c r="F26" s="29"/>
      <c r="G26" s="29"/>
      <c r="H26" s="29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9"/>
      <c r="BF26" s="29"/>
      <c r="BG26" s="29"/>
      <c r="BH26" s="29"/>
      <c r="BI26" s="29"/>
      <c r="BJ26" s="29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</row>
    <row r="27" spans="2:86" ht="12.75" customHeight="1">
      <c r="B27" s="29"/>
      <c r="C27" s="29"/>
      <c r="D27" s="29"/>
      <c r="E27" s="29"/>
      <c r="F27" s="29"/>
      <c r="G27" s="29"/>
      <c r="H27" s="29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9"/>
      <c r="BF27" s="29"/>
      <c r="BG27" s="29"/>
      <c r="BH27" s="29"/>
      <c r="BI27" s="29"/>
      <c r="BJ27" s="29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</row>
    <row r="28" spans="2:86" ht="12.75" customHeight="1" thickBot="1">
      <c r="B28" s="2" t="s">
        <v>476</v>
      </c>
      <c r="AO28" s="1" t="s">
        <v>7</v>
      </c>
      <c r="BX28" s="207"/>
      <c r="BY28" s="207"/>
    </row>
    <row r="29" spans="2:86" ht="12.75" customHeight="1">
      <c r="B29" s="153"/>
      <c r="C29" s="154"/>
      <c r="D29" s="154"/>
      <c r="E29" s="154"/>
      <c r="F29" s="154"/>
      <c r="G29" s="154"/>
      <c r="H29" s="155"/>
      <c r="I29" s="134" t="s">
        <v>272</v>
      </c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6"/>
      <c r="AE29" s="467" t="s">
        <v>324</v>
      </c>
      <c r="AF29" s="468"/>
      <c r="AG29" s="468"/>
      <c r="AH29" s="468"/>
      <c r="AI29" s="468"/>
      <c r="AJ29" s="468"/>
      <c r="AK29" s="468"/>
      <c r="AL29" s="468"/>
      <c r="AM29" s="468"/>
      <c r="AN29" s="468"/>
      <c r="AO29" s="469"/>
    </row>
    <row r="30" spans="2:86" ht="12.75" customHeight="1">
      <c r="B30" s="501"/>
      <c r="C30" s="502"/>
      <c r="D30" s="502"/>
      <c r="E30" s="502"/>
      <c r="F30" s="502"/>
      <c r="G30" s="502"/>
      <c r="H30" s="503"/>
      <c r="I30" s="297" t="s">
        <v>270</v>
      </c>
      <c r="J30" s="298"/>
      <c r="K30" s="298"/>
      <c r="L30" s="298"/>
      <c r="M30" s="298"/>
      <c r="N30" s="298"/>
      <c r="O30" s="298"/>
      <c r="P30" s="298"/>
      <c r="Q30" s="298"/>
      <c r="R30" s="298"/>
      <c r="S30" s="331"/>
      <c r="T30" s="297" t="s">
        <v>271</v>
      </c>
      <c r="U30" s="298"/>
      <c r="V30" s="298"/>
      <c r="W30" s="298"/>
      <c r="X30" s="298"/>
      <c r="Y30" s="298"/>
      <c r="Z30" s="298"/>
      <c r="AA30" s="298"/>
      <c r="AB30" s="298"/>
      <c r="AC30" s="298"/>
      <c r="AD30" s="331"/>
      <c r="AE30" s="470"/>
      <c r="AF30" s="471"/>
      <c r="AG30" s="471"/>
      <c r="AH30" s="471"/>
      <c r="AI30" s="471"/>
      <c r="AJ30" s="471"/>
      <c r="AK30" s="471"/>
      <c r="AL30" s="471"/>
      <c r="AM30" s="471"/>
      <c r="AN30" s="471"/>
      <c r="AO30" s="472"/>
    </row>
    <row r="31" spans="2:86" ht="12.75" customHeight="1" thickBot="1">
      <c r="B31" s="156"/>
      <c r="C31" s="157"/>
      <c r="D31" s="157"/>
      <c r="E31" s="157"/>
      <c r="F31" s="157"/>
      <c r="G31" s="157"/>
      <c r="H31" s="158"/>
      <c r="I31" s="146" t="str">
        <f>IF($B$1&lt;&gt;"",$B$1,"")</f>
        <v/>
      </c>
      <c r="J31" s="128"/>
      <c r="K31" s="128"/>
      <c r="L31" s="128"/>
      <c r="M31" s="127" t="str">
        <f>IF($B$1&lt;&gt;"",$B$1-1,"")</f>
        <v/>
      </c>
      <c r="N31" s="128"/>
      <c r="O31" s="128"/>
      <c r="P31" s="129"/>
      <c r="Q31" s="123" t="s">
        <v>217</v>
      </c>
      <c r="R31" s="124"/>
      <c r="S31" s="124"/>
      <c r="T31" s="146" t="str">
        <f>IF($B$1&lt;&gt;"",$B$1,"")</f>
        <v/>
      </c>
      <c r="U31" s="128"/>
      <c r="V31" s="128"/>
      <c r="W31" s="128"/>
      <c r="X31" s="127" t="str">
        <f>IF($B$1&lt;&gt;"",$B$1-1,"")</f>
        <v/>
      </c>
      <c r="Y31" s="128"/>
      <c r="Z31" s="128"/>
      <c r="AA31" s="129"/>
      <c r="AB31" s="123" t="s">
        <v>217</v>
      </c>
      <c r="AC31" s="124"/>
      <c r="AD31" s="125"/>
      <c r="AE31" s="146" t="str">
        <f>IF($B$1&lt;&gt;"",$B$1,"")</f>
        <v/>
      </c>
      <c r="AF31" s="128"/>
      <c r="AG31" s="128"/>
      <c r="AH31" s="128"/>
      <c r="AI31" s="127" t="str">
        <f>IF($B$1&lt;&gt;"",$B$1-1,"")</f>
        <v/>
      </c>
      <c r="AJ31" s="128"/>
      <c r="AK31" s="128"/>
      <c r="AL31" s="129"/>
      <c r="AM31" s="123" t="s">
        <v>217</v>
      </c>
      <c r="AN31" s="124"/>
      <c r="AO31" s="125"/>
    </row>
    <row r="32" spans="2:86" ht="12.75" customHeight="1">
      <c r="B32" s="470" t="s">
        <v>79</v>
      </c>
      <c r="C32" s="471"/>
      <c r="D32" s="471"/>
      <c r="E32" s="471"/>
      <c r="F32" s="471"/>
      <c r="G32" s="471"/>
      <c r="H32" s="471"/>
      <c r="I32" s="490"/>
      <c r="J32" s="466"/>
      <c r="K32" s="466"/>
      <c r="L32" s="466"/>
      <c r="M32" s="466"/>
      <c r="N32" s="466"/>
      <c r="O32" s="466"/>
      <c r="P32" s="466"/>
      <c r="Q32" s="119" t="str">
        <f>IF(I32="-", "-", IF(M32="-", "-", IF(ABS(M32)=0, "-", ROUND(100*(I32-M32)/ABS(M32), 10))))</f>
        <v>-</v>
      </c>
      <c r="R32" s="119" t="str">
        <f t="shared" ref="R32:AD36" si="7">IF(N32="-", "-", IF(P32="-", "-", IF(ABS(P32)=0, "-", ROUND(100*(N32-P32)/ABS(P32), 1))))</f>
        <v>-</v>
      </c>
      <c r="S32" s="120" t="str">
        <f t="shared" si="7"/>
        <v>-</v>
      </c>
      <c r="T32" s="490"/>
      <c r="U32" s="466"/>
      <c r="V32" s="466"/>
      <c r="W32" s="466"/>
      <c r="X32" s="466"/>
      <c r="Y32" s="466"/>
      <c r="Z32" s="466"/>
      <c r="AA32" s="466"/>
      <c r="AB32" s="119" t="str">
        <f>IF(T32="-", "-", IF(X32="-", "-", IF(ABS(X32)=0, "-", ROUND(100*(T32-X32)/ABS(X32), 10))))</f>
        <v>-</v>
      </c>
      <c r="AC32" s="119" t="str">
        <f t="shared" si="7"/>
        <v>-</v>
      </c>
      <c r="AD32" s="120" t="str">
        <f t="shared" si="7"/>
        <v>-</v>
      </c>
      <c r="AE32" s="142"/>
      <c r="AF32" s="126"/>
      <c r="AG32" s="126"/>
      <c r="AH32" s="126"/>
      <c r="AI32" s="126"/>
      <c r="AJ32" s="126"/>
      <c r="AK32" s="126"/>
      <c r="AL32" s="126"/>
      <c r="AM32" s="121" t="str">
        <f>IF(AE32="-", "-", IF(AI32="-", "-", IF(ABS(AI32)=0, "-", ROUND(100*(AE32-AI32)/ABS(AI32), 10))))</f>
        <v>-</v>
      </c>
      <c r="AN32" s="121" t="str">
        <f t="shared" ref="AN32:AO36" si="8">IF(AJ32="-", "-", IF(AL32="-", "-", IF(ABS(AL32)=0, "-", ROUND(100*(AJ32-AL32)/ABS(AL32), 1))))</f>
        <v>-</v>
      </c>
      <c r="AO32" s="122" t="str">
        <f t="shared" si="8"/>
        <v>-</v>
      </c>
    </row>
    <row r="33" spans="2:85" ht="12.75" customHeight="1">
      <c r="B33" s="499" t="s">
        <v>221</v>
      </c>
      <c r="C33" s="500"/>
      <c r="D33" s="500"/>
      <c r="E33" s="500"/>
      <c r="F33" s="500"/>
      <c r="G33" s="500"/>
      <c r="H33" s="500"/>
      <c r="I33" s="448"/>
      <c r="J33" s="442"/>
      <c r="K33" s="442"/>
      <c r="L33" s="442"/>
      <c r="M33" s="442"/>
      <c r="N33" s="442"/>
      <c r="O33" s="442"/>
      <c r="P33" s="442"/>
      <c r="Q33" s="121" t="str">
        <f>IF(I33="-", "-", IF(M33="-", "-", IF(ABS(M33)=0, "-", ROUND(100*(I33-M33)/ABS(M33), 10))))</f>
        <v>-</v>
      </c>
      <c r="R33" s="121" t="str">
        <f t="shared" si="7"/>
        <v>-</v>
      </c>
      <c r="S33" s="122" t="str">
        <f t="shared" si="7"/>
        <v>-</v>
      </c>
      <c r="T33" s="448"/>
      <c r="U33" s="442"/>
      <c r="V33" s="442"/>
      <c r="W33" s="442"/>
      <c r="X33" s="442"/>
      <c r="Y33" s="442"/>
      <c r="Z33" s="442"/>
      <c r="AA33" s="442"/>
      <c r="AB33" s="121" t="str">
        <f>IF(T33="-", "-", IF(X33="-", "-", IF(ABS(X33)=0, "-", ROUND(100*(T33-X33)/ABS(X33), 10))))</f>
        <v>-</v>
      </c>
      <c r="AC33" s="121" t="str">
        <f t="shared" si="7"/>
        <v>-</v>
      </c>
      <c r="AD33" s="122" t="str">
        <f t="shared" si="7"/>
        <v>-</v>
      </c>
      <c r="AE33" s="142"/>
      <c r="AF33" s="126"/>
      <c r="AG33" s="126"/>
      <c r="AH33" s="126"/>
      <c r="AI33" s="126"/>
      <c r="AJ33" s="126"/>
      <c r="AK33" s="126"/>
      <c r="AL33" s="126"/>
      <c r="AM33" s="121" t="str">
        <f>IF(AE33="-", "-", IF(AI33="-", "-", IF(ABS(AI33)=0, "-", ROUND(100*(AE33-AI33)/ABS(AI33), 10))))</f>
        <v>-</v>
      </c>
      <c r="AN33" s="121" t="str">
        <f t="shared" si="8"/>
        <v>-</v>
      </c>
      <c r="AO33" s="122" t="str">
        <f t="shared" si="8"/>
        <v>-</v>
      </c>
    </row>
    <row r="34" spans="2:85" ht="12.75" customHeight="1">
      <c r="B34" s="499" t="s">
        <v>222</v>
      </c>
      <c r="C34" s="500"/>
      <c r="D34" s="500"/>
      <c r="E34" s="500"/>
      <c r="F34" s="500"/>
      <c r="G34" s="500"/>
      <c r="H34" s="500"/>
      <c r="I34" s="448"/>
      <c r="J34" s="442"/>
      <c r="K34" s="442"/>
      <c r="L34" s="442"/>
      <c r="M34" s="442"/>
      <c r="N34" s="442"/>
      <c r="O34" s="442"/>
      <c r="P34" s="442"/>
      <c r="Q34" s="121" t="str">
        <f>IF(I34="-", "-", IF(M34="-", "-", IF(ABS(M34)=0, "-", ROUND(100*(I34-M34)/ABS(M34), 10))))</f>
        <v>-</v>
      </c>
      <c r="R34" s="121" t="str">
        <f t="shared" si="7"/>
        <v>-</v>
      </c>
      <c r="S34" s="122" t="str">
        <f t="shared" si="7"/>
        <v>-</v>
      </c>
      <c r="T34" s="448"/>
      <c r="U34" s="442"/>
      <c r="V34" s="442"/>
      <c r="W34" s="442"/>
      <c r="X34" s="442"/>
      <c r="Y34" s="442"/>
      <c r="Z34" s="442"/>
      <c r="AA34" s="442"/>
      <c r="AB34" s="121" t="str">
        <f>IF(T34="-", "-", IF(X34="-", "-", IF(ABS(X34)=0, "-", ROUND(100*(T34-X34)/ABS(X34), 10))))</f>
        <v>-</v>
      </c>
      <c r="AC34" s="121" t="str">
        <f t="shared" si="7"/>
        <v>-</v>
      </c>
      <c r="AD34" s="122" t="str">
        <f t="shared" si="7"/>
        <v>-</v>
      </c>
      <c r="AE34" s="142"/>
      <c r="AF34" s="126"/>
      <c r="AG34" s="126"/>
      <c r="AH34" s="126"/>
      <c r="AI34" s="126"/>
      <c r="AJ34" s="126"/>
      <c r="AK34" s="126"/>
      <c r="AL34" s="126"/>
      <c r="AM34" s="121" t="str">
        <f>IF(AE34="-", "-", IF(AI34="-", "-", IF(ABS(AI34)=0, "-", ROUND(100*(AE34-AI34)/ABS(AI34), 10))))</f>
        <v>-</v>
      </c>
      <c r="AN34" s="121" t="str">
        <f t="shared" si="8"/>
        <v>-</v>
      </c>
      <c r="AO34" s="122" t="str">
        <f t="shared" si="8"/>
        <v>-</v>
      </c>
    </row>
    <row r="35" spans="2:85" ht="12.75" customHeight="1">
      <c r="B35" s="499" t="s">
        <v>80</v>
      </c>
      <c r="C35" s="500"/>
      <c r="D35" s="500"/>
      <c r="E35" s="500"/>
      <c r="F35" s="500"/>
      <c r="G35" s="500"/>
      <c r="H35" s="500"/>
      <c r="I35" s="448"/>
      <c r="J35" s="442"/>
      <c r="K35" s="442"/>
      <c r="L35" s="442"/>
      <c r="M35" s="442"/>
      <c r="N35" s="442"/>
      <c r="O35" s="442"/>
      <c r="P35" s="442"/>
      <c r="Q35" s="121" t="str">
        <f>IF(I35="-", "-", IF(M35="-", "-", IF(ABS(M35)=0, "-", ROUND(100*(I35-M35)/ABS(M35), 10))))</f>
        <v>-</v>
      </c>
      <c r="R35" s="121" t="str">
        <f t="shared" si="7"/>
        <v>-</v>
      </c>
      <c r="S35" s="122" t="str">
        <f t="shared" si="7"/>
        <v>-</v>
      </c>
      <c r="T35" s="448"/>
      <c r="U35" s="442"/>
      <c r="V35" s="442"/>
      <c r="W35" s="442"/>
      <c r="X35" s="442"/>
      <c r="Y35" s="442"/>
      <c r="Z35" s="442"/>
      <c r="AA35" s="442"/>
      <c r="AB35" s="121" t="str">
        <f>IF(T35="-", "-", IF(X35="-", "-", IF(ABS(X35)=0, "-", ROUND(100*(T35-X35)/ABS(X35), 10))))</f>
        <v>-</v>
      </c>
      <c r="AC35" s="121" t="str">
        <f t="shared" si="7"/>
        <v>-</v>
      </c>
      <c r="AD35" s="122" t="str">
        <f t="shared" si="7"/>
        <v>-</v>
      </c>
      <c r="AE35" s="142"/>
      <c r="AF35" s="126"/>
      <c r="AG35" s="126"/>
      <c r="AH35" s="126"/>
      <c r="AI35" s="126"/>
      <c r="AJ35" s="126"/>
      <c r="AK35" s="126"/>
      <c r="AL35" s="126"/>
      <c r="AM35" s="121" t="str">
        <f>IF(AE35="-", "-", IF(AI35="-", "-", IF(ABS(AI35)=0, "-", ROUND(100*(AE35-AI35)/ABS(AI35), 10))))</f>
        <v>-</v>
      </c>
      <c r="AN35" s="121" t="str">
        <f t="shared" si="8"/>
        <v>-</v>
      </c>
      <c r="AO35" s="122" t="str">
        <f t="shared" si="8"/>
        <v>-</v>
      </c>
      <c r="AY35" s="67"/>
      <c r="AZ35" s="67"/>
      <c r="BA35" s="67"/>
      <c r="BB35" s="67"/>
    </row>
    <row r="36" spans="2:85" ht="12.75" customHeight="1" thickBot="1">
      <c r="B36" s="289" t="s">
        <v>13</v>
      </c>
      <c r="C36" s="290"/>
      <c r="D36" s="290"/>
      <c r="E36" s="290"/>
      <c r="F36" s="290"/>
      <c r="G36" s="290"/>
      <c r="H36" s="290"/>
      <c r="I36" s="465"/>
      <c r="J36" s="464"/>
      <c r="K36" s="464"/>
      <c r="L36" s="464"/>
      <c r="M36" s="464"/>
      <c r="N36" s="464"/>
      <c r="O36" s="464"/>
      <c r="P36" s="464"/>
      <c r="Q36" s="235" t="str">
        <f>IF(I36="-", "-", IF(M36="-", "-", IF(ABS(M36)=0, "-", ROUND(100*(I36-M36)/ABS(M36), 10))))</f>
        <v>-</v>
      </c>
      <c r="R36" s="235" t="str">
        <f t="shared" si="7"/>
        <v>-</v>
      </c>
      <c r="S36" s="236" t="str">
        <f t="shared" si="7"/>
        <v>-</v>
      </c>
      <c r="T36" s="465"/>
      <c r="U36" s="464"/>
      <c r="V36" s="464"/>
      <c r="W36" s="464"/>
      <c r="X36" s="464"/>
      <c r="Y36" s="464"/>
      <c r="Z36" s="464"/>
      <c r="AA36" s="464"/>
      <c r="AB36" s="235" t="str">
        <f>IF(T36="-", "-", IF(X36="-", "-", IF(ABS(X36)=0, "-", ROUND(100*(T36-X36)/ABS(X36), 10))))</f>
        <v>-</v>
      </c>
      <c r="AC36" s="235" t="str">
        <f t="shared" si="7"/>
        <v>-</v>
      </c>
      <c r="AD36" s="236" t="str">
        <f t="shared" si="7"/>
        <v>-</v>
      </c>
      <c r="AE36" s="151"/>
      <c r="AF36" s="152"/>
      <c r="AG36" s="152"/>
      <c r="AH36" s="152"/>
      <c r="AI36" s="152"/>
      <c r="AJ36" s="152"/>
      <c r="AK36" s="152"/>
      <c r="AL36" s="152"/>
      <c r="AM36" s="235" t="str">
        <f>IF(AE36="-", "-", IF(AI36="-", "-", IF(ABS(AI36)=0, "-", ROUND(100*(AE36-AI36)/ABS(AI36), 10))))</f>
        <v>-</v>
      </c>
      <c r="AN36" s="235" t="str">
        <f t="shared" si="8"/>
        <v>-</v>
      </c>
      <c r="AO36" s="236" t="str">
        <f t="shared" si="8"/>
        <v>-</v>
      </c>
    </row>
    <row r="37" spans="2:85" ht="12.75" customHeight="1"/>
    <row r="38" spans="2:85" ht="12.75" customHeight="1"/>
    <row r="39" spans="2:85" ht="12.75" customHeight="1" thickBot="1">
      <c r="B39" s="2" t="s">
        <v>477</v>
      </c>
      <c r="S39" s="1"/>
      <c r="AT39" s="3" t="s">
        <v>478</v>
      </c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V39" s="1" t="s">
        <v>7</v>
      </c>
    </row>
    <row r="40" spans="2:85" ht="12.75" customHeight="1" thickBot="1">
      <c r="B40" s="496"/>
      <c r="C40" s="497"/>
      <c r="D40" s="497"/>
      <c r="E40" s="497"/>
      <c r="F40" s="497"/>
      <c r="G40" s="497"/>
      <c r="H40" s="498"/>
      <c r="I40" s="227" t="str">
        <f>IF($B$1&lt;&gt;"",$B$1,"")</f>
        <v/>
      </c>
      <c r="J40" s="182"/>
      <c r="K40" s="182"/>
      <c r="L40" s="182"/>
      <c r="M40" s="181" t="str">
        <f>IF($B$1&lt;&gt;"",$B$1-1,"")</f>
        <v/>
      </c>
      <c r="N40" s="182"/>
      <c r="O40" s="182"/>
      <c r="P40" s="183"/>
      <c r="Q40" s="184" t="s">
        <v>217</v>
      </c>
      <c r="R40" s="185"/>
      <c r="S40" s="186"/>
      <c r="T40" s="45"/>
      <c r="U40" s="45"/>
      <c r="V40" s="45"/>
      <c r="W40" s="45"/>
      <c r="X40" s="45"/>
      <c r="Y40" s="45"/>
      <c r="Z40" s="45"/>
      <c r="AA40" s="45"/>
      <c r="AB40" s="44"/>
      <c r="AC40" s="44"/>
      <c r="AD40" s="44"/>
      <c r="AE40" s="45"/>
      <c r="AF40" s="45"/>
      <c r="AG40" s="45"/>
      <c r="AH40" s="45"/>
      <c r="AI40" s="45"/>
      <c r="AJ40" s="45"/>
      <c r="AK40" s="45"/>
      <c r="AL40" s="45"/>
      <c r="AM40" s="44"/>
      <c r="AN40" s="44"/>
      <c r="AO40" s="44"/>
      <c r="AT40" s="153"/>
      <c r="AU40" s="154"/>
      <c r="AV40" s="154"/>
      <c r="AW40" s="154"/>
      <c r="AX40" s="154"/>
      <c r="AY40" s="154"/>
      <c r="AZ40" s="154"/>
      <c r="BA40" s="134" t="s">
        <v>91</v>
      </c>
      <c r="BB40" s="409"/>
      <c r="BC40" s="409"/>
      <c r="BD40" s="409"/>
      <c r="BE40" s="409"/>
      <c r="BF40" s="409"/>
      <c r="BG40" s="409"/>
      <c r="BH40" s="409"/>
      <c r="BI40" s="409"/>
      <c r="BJ40" s="409"/>
      <c r="BK40" s="409"/>
      <c r="BL40" s="134" t="s">
        <v>15</v>
      </c>
      <c r="BM40" s="409"/>
      <c r="BN40" s="409"/>
      <c r="BO40" s="409"/>
      <c r="BP40" s="409"/>
      <c r="BQ40" s="409"/>
      <c r="BR40" s="409"/>
      <c r="BS40" s="409"/>
      <c r="BT40" s="409"/>
      <c r="BU40" s="409"/>
      <c r="BV40" s="410"/>
      <c r="BW40"/>
      <c r="BX40"/>
      <c r="BY40"/>
      <c r="BZ40"/>
      <c r="CA40"/>
      <c r="CB40"/>
      <c r="CC40"/>
      <c r="CD40"/>
      <c r="CE40"/>
      <c r="CF40"/>
      <c r="CG40"/>
    </row>
    <row r="41" spans="2:85" ht="12.75" customHeight="1" thickBot="1">
      <c r="B41" s="243" t="s">
        <v>273</v>
      </c>
      <c r="C41" s="244"/>
      <c r="D41" s="244"/>
      <c r="E41" s="244"/>
      <c r="F41" s="244"/>
      <c r="G41" s="244"/>
      <c r="H41" s="494"/>
      <c r="I41" s="307"/>
      <c r="J41" s="308"/>
      <c r="K41" s="308"/>
      <c r="L41" s="310"/>
      <c r="M41" s="309"/>
      <c r="N41" s="308"/>
      <c r="O41" s="308"/>
      <c r="P41" s="310"/>
      <c r="Q41" s="309" t="str">
        <f>IF(I41="-", "-", IF(M41="-", "-", IF(ABS(M41)=0, "-", ROUND(100*(I41-M41)/ABS(M41), 10))))</f>
        <v>-</v>
      </c>
      <c r="R41" s="308" t="str">
        <f t="shared" ref="R41:S43" si="9">IF(N41="-", "-", IF(P41="-", "-", IF(ABS(P41)=0, "-", ROUND(100*(N41-P41)/ABS(P41), 1))))</f>
        <v>-</v>
      </c>
      <c r="S41" s="493" t="str">
        <f t="shared" si="9"/>
        <v>-</v>
      </c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T41" s="156"/>
      <c r="AU41" s="157"/>
      <c r="AV41" s="157"/>
      <c r="AW41" s="157"/>
      <c r="AX41" s="157"/>
      <c r="AY41" s="157"/>
      <c r="AZ41" s="157"/>
      <c r="BA41" s="146" t="str">
        <f>IF($B$1&lt;&gt;"",$B$1,"")</f>
        <v/>
      </c>
      <c r="BB41" s="128"/>
      <c r="BC41" s="128"/>
      <c r="BD41" s="128"/>
      <c r="BE41" s="127" t="str">
        <f>IF($B$1&lt;&gt;"",$B$1-1,"")</f>
        <v/>
      </c>
      <c r="BF41" s="128"/>
      <c r="BG41" s="128"/>
      <c r="BH41" s="129"/>
      <c r="BI41" s="123" t="s">
        <v>217</v>
      </c>
      <c r="BJ41" s="124"/>
      <c r="BK41" s="125"/>
      <c r="BL41" s="146" t="str">
        <f>IF($B$1&lt;&gt;"",$B$1,"")</f>
        <v/>
      </c>
      <c r="BM41" s="128"/>
      <c r="BN41" s="128"/>
      <c r="BO41" s="128"/>
      <c r="BP41" s="127" t="str">
        <f>IF($B$1&lt;&gt;"",$B$1-1,"")</f>
        <v/>
      </c>
      <c r="BQ41" s="128"/>
      <c r="BR41" s="128"/>
      <c r="BS41" s="129"/>
      <c r="BT41" s="123" t="s">
        <v>217</v>
      </c>
      <c r="BU41" s="124"/>
      <c r="BV41" s="125"/>
      <c r="BW41"/>
      <c r="BX41"/>
      <c r="BY41"/>
      <c r="BZ41"/>
      <c r="CA41"/>
      <c r="CB41"/>
      <c r="CC41"/>
      <c r="CD41"/>
      <c r="CE41"/>
      <c r="CF41"/>
      <c r="CG41"/>
    </row>
    <row r="42" spans="2:85" ht="12.75" customHeight="1">
      <c r="B42" s="178" t="s">
        <v>274</v>
      </c>
      <c r="C42" s="179"/>
      <c r="D42" s="179"/>
      <c r="E42" s="179"/>
      <c r="F42" s="179"/>
      <c r="G42" s="179"/>
      <c r="H42" s="180"/>
      <c r="I42" s="495"/>
      <c r="J42" s="330"/>
      <c r="K42" s="330"/>
      <c r="L42" s="340"/>
      <c r="M42" s="339"/>
      <c r="N42" s="330"/>
      <c r="O42" s="330"/>
      <c r="P42" s="340"/>
      <c r="Q42" s="339" t="str">
        <f>IF(I42="-", "-", IF(M42="-", "-", IF(ABS(M42)=0, "-", ROUND(100*(I42-M42)/ABS(M42), 10))))</f>
        <v>-</v>
      </c>
      <c r="R42" s="330" t="str">
        <f t="shared" si="9"/>
        <v>-</v>
      </c>
      <c r="S42" s="492" t="str">
        <f t="shared" si="9"/>
        <v>-</v>
      </c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T42" s="458" t="s">
        <v>67</v>
      </c>
      <c r="AU42" s="455" t="s">
        <v>267</v>
      </c>
      <c r="AV42" s="456"/>
      <c r="AW42" s="456"/>
      <c r="AX42" s="456"/>
      <c r="AY42" s="456"/>
      <c r="AZ42" s="457"/>
      <c r="BA42" s="440"/>
      <c r="BB42" s="441"/>
      <c r="BC42" s="441"/>
      <c r="BD42" s="441"/>
      <c r="BE42" s="441"/>
      <c r="BF42" s="441"/>
      <c r="BG42" s="441"/>
      <c r="BH42" s="441"/>
      <c r="BI42" s="443" t="str">
        <f t="shared" ref="BI42:BI50" si="10">IF(BA42="-", "-", IF(BE42="-", "-", IF(ABS(BE42)=0, "-", ROUND(100*(BA42-BE42)/ABS(BE42), 10))))</f>
        <v>-</v>
      </c>
      <c r="BJ42" s="443" t="str">
        <f t="shared" ref="BJ42:BK50" si="11">IF(BF42="-", "-", IF(BH42="-", "-", IF(ABS(BH42)=0, "-", ROUND(100*(BF42-BH42)/ABS(BH42), 1))))</f>
        <v>-</v>
      </c>
      <c r="BK42" s="444" t="str">
        <f t="shared" si="11"/>
        <v>-</v>
      </c>
      <c r="BL42" s="212"/>
      <c r="BM42" s="213"/>
      <c r="BN42" s="213"/>
      <c r="BO42" s="213"/>
      <c r="BP42" s="213"/>
      <c r="BQ42" s="213"/>
      <c r="BR42" s="213"/>
      <c r="BS42" s="213"/>
      <c r="BT42" s="214" t="str">
        <f t="shared" ref="BT42:BT50" si="12">IF(BL42="-", "-", IF(BP42="-", "-", IF(ABS(BP42)=0, "-", ROUND(100*(BL42-BP42)/ABS(BP42), 10))))</f>
        <v>-</v>
      </c>
      <c r="BU42" s="214" t="str">
        <f t="shared" ref="BU42:BV50" si="13">IF(BQ42="-", "-", IF(BS42="-", "-", IF(ABS(BS42)=0, "-", ROUND(100*(BQ42-BS42)/ABS(BS42), 1))))</f>
        <v>-</v>
      </c>
      <c r="BV42" s="215" t="str">
        <f t="shared" si="13"/>
        <v>-</v>
      </c>
      <c r="BW42"/>
      <c r="BX42"/>
      <c r="BY42"/>
      <c r="BZ42"/>
      <c r="CA42"/>
      <c r="CB42"/>
      <c r="CC42"/>
      <c r="CD42"/>
      <c r="CE42"/>
      <c r="CF42"/>
      <c r="CG42"/>
    </row>
    <row r="43" spans="2:85" ht="12.75" customHeight="1" thickBot="1">
      <c r="B43" s="216" t="s">
        <v>275</v>
      </c>
      <c r="C43" s="217"/>
      <c r="D43" s="217"/>
      <c r="E43" s="217"/>
      <c r="F43" s="217"/>
      <c r="G43" s="217"/>
      <c r="H43" s="218"/>
      <c r="I43" s="312"/>
      <c r="J43" s="313"/>
      <c r="K43" s="313"/>
      <c r="L43" s="315"/>
      <c r="M43" s="314"/>
      <c r="N43" s="313"/>
      <c r="O43" s="313"/>
      <c r="P43" s="315"/>
      <c r="Q43" s="314" t="str">
        <f>IF(I43="-", "-", IF(M43="-", "-", IF(ABS(M43)=0, "-", ROUND(100*(I43-M43)/ABS(M43), 10))))</f>
        <v>-</v>
      </c>
      <c r="R43" s="313" t="str">
        <f t="shared" si="9"/>
        <v>-</v>
      </c>
      <c r="S43" s="491" t="str">
        <f t="shared" si="9"/>
        <v>-</v>
      </c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T43" s="458"/>
      <c r="AV43" s="245" t="s">
        <v>268</v>
      </c>
      <c r="AW43" s="176"/>
      <c r="AX43" s="176"/>
      <c r="AY43" s="176"/>
      <c r="AZ43" s="177"/>
      <c r="BA43" s="448"/>
      <c r="BB43" s="442"/>
      <c r="BC43" s="442"/>
      <c r="BD43" s="442"/>
      <c r="BE43" s="442"/>
      <c r="BF43" s="442"/>
      <c r="BG43" s="442"/>
      <c r="BH43" s="442"/>
      <c r="BI43" s="121" t="str">
        <f t="shared" si="10"/>
        <v>-</v>
      </c>
      <c r="BJ43" s="121" t="str">
        <f t="shared" si="11"/>
        <v>-</v>
      </c>
      <c r="BK43" s="122" t="str">
        <f t="shared" si="11"/>
        <v>-</v>
      </c>
      <c r="BL43" s="142"/>
      <c r="BM43" s="126"/>
      <c r="BN43" s="126"/>
      <c r="BO43" s="126"/>
      <c r="BP43" s="126"/>
      <c r="BQ43" s="126"/>
      <c r="BR43" s="126"/>
      <c r="BS43" s="126"/>
      <c r="BT43" s="121" t="str">
        <f t="shared" si="12"/>
        <v>-</v>
      </c>
      <c r="BU43" s="121" t="str">
        <f t="shared" si="13"/>
        <v>-</v>
      </c>
      <c r="BV43" s="122" t="str">
        <f t="shared" si="13"/>
        <v>-</v>
      </c>
      <c r="BW43"/>
      <c r="BX43"/>
      <c r="BY43"/>
      <c r="BZ43"/>
      <c r="CA43"/>
      <c r="CB43"/>
      <c r="CC43"/>
      <c r="CD43"/>
      <c r="CE43"/>
      <c r="CF43"/>
      <c r="CG43"/>
    </row>
    <row r="44" spans="2:85" ht="12.75" customHeight="1">
      <c r="AT44" s="458"/>
      <c r="AV44" s="245" t="s">
        <v>269</v>
      </c>
      <c r="AW44" s="176"/>
      <c r="AX44" s="176"/>
      <c r="AY44" s="176"/>
      <c r="AZ44" s="177"/>
      <c r="BA44" s="448"/>
      <c r="BB44" s="442"/>
      <c r="BC44" s="442"/>
      <c r="BD44" s="442"/>
      <c r="BE44" s="442"/>
      <c r="BF44" s="442"/>
      <c r="BG44" s="442"/>
      <c r="BH44" s="442"/>
      <c r="BI44" s="121" t="str">
        <f t="shared" si="10"/>
        <v>-</v>
      </c>
      <c r="BJ44" s="121" t="str">
        <f t="shared" si="11"/>
        <v>-</v>
      </c>
      <c r="BK44" s="122" t="str">
        <f t="shared" si="11"/>
        <v>-</v>
      </c>
      <c r="BL44" s="142"/>
      <c r="BM44" s="126"/>
      <c r="BN44" s="126"/>
      <c r="BO44" s="126"/>
      <c r="BP44" s="126"/>
      <c r="BQ44" s="126"/>
      <c r="BR44" s="126"/>
      <c r="BS44" s="126"/>
      <c r="BT44" s="121" t="str">
        <f t="shared" si="12"/>
        <v>-</v>
      </c>
      <c r="BU44" s="121" t="str">
        <f t="shared" si="13"/>
        <v>-</v>
      </c>
      <c r="BV44" s="122" t="str">
        <f t="shared" si="13"/>
        <v>-</v>
      </c>
      <c r="BW44"/>
      <c r="BX44"/>
      <c r="BY44"/>
      <c r="BZ44"/>
      <c r="CA44"/>
      <c r="CB44"/>
      <c r="CC44"/>
      <c r="CD44"/>
      <c r="CE44"/>
      <c r="CF44"/>
      <c r="CG44"/>
    </row>
    <row r="45" spans="2:85" ht="12.75" customHeight="1">
      <c r="AT45" s="458"/>
      <c r="AU45" s="451" t="s">
        <v>35</v>
      </c>
      <c r="AV45" s="452"/>
      <c r="AW45" s="452"/>
      <c r="AX45" s="452"/>
      <c r="AY45" s="452"/>
      <c r="AZ45" s="453"/>
      <c r="BA45" s="454"/>
      <c r="BB45" s="447"/>
      <c r="BC45" s="447"/>
      <c r="BD45" s="447"/>
      <c r="BE45" s="447"/>
      <c r="BF45" s="447"/>
      <c r="BG45" s="447"/>
      <c r="BH45" s="447"/>
      <c r="BI45" s="445" t="str">
        <f t="shared" si="10"/>
        <v>-</v>
      </c>
      <c r="BJ45" s="445" t="str">
        <f t="shared" si="11"/>
        <v>-</v>
      </c>
      <c r="BK45" s="446" t="str">
        <f t="shared" si="11"/>
        <v>-</v>
      </c>
      <c r="BL45" s="130"/>
      <c r="BM45" s="131"/>
      <c r="BN45" s="131"/>
      <c r="BO45" s="131"/>
      <c r="BP45" s="131"/>
      <c r="BQ45" s="131"/>
      <c r="BR45" s="131"/>
      <c r="BS45" s="131"/>
      <c r="BT45" s="132" t="str">
        <f t="shared" si="12"/>
        <v>-</v>
      </c>
      <c r="BU45" s="132" t="str">
        <f t="shared" si="13"/>
        <v>-</v>
      </c>
      <c r="BV45" s="133" t="str">
        <f t="shared" si="13"/>
        <v>-</v>
      </c>
      <c r="BW45"/>
      <c r="BX45"/>
      <c r="BY45"/>
      <c r="BZ45"/>
      <c r="CA45"/>
      <c r="CB45"/>
      <c r="CC45"/>
      <c r="CD45"/>
      <c r="CE45"/>
      <c r="CF45"/>
      <c r="CG45"/>
    </row>
    <row r="46" spans="2:85" ht="12.75" customHeight="1">
      <c r="AT46" s="458"/>
      <c r="AV46" s="245" t="s">
        <v>268</v>
      </c>
      <c r="AW46" s="176"/>
      <c r="AX46" s="176"/>
      <c r="AY46" s="176"/>
      <c r="AZ46" s="177"/>
      <c r="BA46" s="448"/>
      <c r="BB46" s="442"/>
      <c r="BC46" s="442"/>
      <c r="BD46" s="442"/>
      <c r="BE46" s="442"/>
      <c r="BF46" s="442"/>
      <c r="BG46" s="442"/>
      <c r="BH46" s="442"/>
      <c r="BI46" s="121" t="str">
        <f t="shared" si="10"/>
        <v>-</v>
      </c>
      <c r="BJ46" s="121" t="str">
        <f t="shared" si="11"/>
        <v>-</v>
      </c>
      <c r="BK46" s="122" t="str">
        <f t="shared" si="11"/>
        <v>-</v>
      </c>
      <c r="BL46" s="142"/>
      <c r="BM46" s="126"/>
      <c r="BN46" s="126"/>
      <c r="BO46" s="126"/>
      <c r="BP46" s="126"/>
      <c r="BQ46" s="126"/>
      <c r="BR46" s="126"/>
      <c r="BS46" s="126"/>
      <c r="BT46" s="121" t="str">
        <f t="shared" si="12"/>
        <v>-</v>
      </c>
      <c r="BU46" s="121" t="str">
        <f t="shared" si="13"/>
        <v>-</v>
      </c>
      <c r="BV46" s="122" t="str">
        <f t="shared" si="13"/>
        <v>-</v>
      </c>
      <c r="BW46"/>
      <c r="BX46"/>
      <c r="BY46"/>
      <c r="BZ46"/>
      <c r="CA46"/>
      <c r="CB46"/>
      <c r="CC46"/>
      <c r="CD46"/>
      <c r="CE46"/>
      <c r="CF46"/>
      <c r="CG46"/>
    </row>
    <row r="47" spans="2:85" ht="12.75" customHeight="1">
      <c r="AT47" s="458"/>
      <c r="AV47" s="256" t="s">
        <v>269</v>
      </c>
      <c r="AW47" s="179"/>
      <c r="AX47" s="179"/>
      <c r="AY47" s="179"/>
      <c r="AZ47" s="180"/>
      <c r="BA47" s="448"/>
      <c r="BB47" s="442"/>
      <c r="BC47" s="442"/>
      <c r="BD47" s="442"/>
      <c r="BE47" s="442"/>
      <c r="BF47" s="442"/>
      <c r="BG47" s="442"/>
      <c r="BH47" s="442"/>
      <c r="BI47" s="121" t="str">
        <f t="shared" si="10"/>
        <v>-</v>
      </c>
      <c r="BJ47" s="121" t="str">
        <f t="shared" si="11"/>
        <v>-</v>
      </c>
      <c r="BK47" s="122" t="str">
        <f t="shared" si="11"/>
        <v>-</v>
      </c>
      <c r="BL47" s="142"/>
      <c r="BM47" s="126"/>
      <c r="BN47" s="126"/>
      <c r="BO47" s="126"/>
      <c r="BP47" s="126"/>
      <c r="BQ47" s="126"/>
      <c r="BR47" s="126"/>
      <c r="BS47" s="126"/>
      <c r="BT47" s="121" t="str">
        <f t="shared" si="12"/>
        <v>-</v>
      </c>
      <c r="BU47" s="121" t="str">
        <f t="shared" si="13"/>
        <v>-</v>
      </c>
      <c r="BV47" s="122" t="str">
        <f t="shared" si="13"/>
        <v>-</v>
      </c>
      <c r="BW47"/>
      <c r="BX47"/>
      <c r="BY47"/>
      <c r="BZ47"/>
      <c r="CA47"/>
      <c r="CB47"/>
      <c r="CC47"/>
      <c r="CD47"/>
      <c r="CE47"/>
      <c r="CF47"/>
      <c r="CG47"/>
    </row>
    <row r="48" spans="2:85" ht="12.75" customHeight="1">
      <c r="AT48" s="458"/>
      <c r="AU48" s="451" t="s">
        <v>55</v>
      </c>
      <c r="AV48" s="452"/>
      <c r="AW48" s="452"/>
      <c r="AX48" s="452"/>
      <c r="AY48" s="452"/>
      <c r="AZ48" s="453"/>
      <c r="BA48" s="454"/>
      <c r="BB48" s="447"/>
      <c r="BC48" s="447"/>
      <c r="BD48" s="447"/>
      <c r="BE48" s="447"/>
      <c r="BF48" s="447"/>
      <c r="BG48" s="447"/>
      <c r="BH48" s="447"/>
      <c r="BI48" s="445" t="str">
        <f t="shared" si="10"/>
        <v>-</v>
      </c>
      <c r="BJ48" s="445" t="str">
        <f t="shared" si="11"/>
        <v>-</v>
      </c>
      <c r="BK48" s="446" t="str">
        <f t="shared" si="11"/>
        <v>-</v>
      </c>
      <c r="BL48" s="130"/>
      <c r="BM48" s="131"/>
      <c r="BN48" s="131"/>
      <c r="BO48" s="131"/>
      <c r="BP48" s="131"/>
      <c r="BQ48" s="131"/>
      <c r="BR48" s="131"/>
      <c r="BS48" s="131"/>
      <c r="BT48" s="132" t="str">
        <f t="shared" si="12"/>
        <v>-</v>
      </c>
      <c r="BU48" s="132" t="str">
        <f t="shared" si="13"/>
        <v>-</v>
      </c>
      <c r="BV48" s="133" t="str">
        <f t="shared" si="13"/>
        <v>-</v>
      </c>
      <c r="BW48"/>
      <c r="BX48"/>
      <c r="BY48"/>
      <c r="BZ48"/>
      <c r="CA48"/>
      <c r="CB48"/>
      <c r="CC48"/>
      <c r="CD48"/>
      <c r="CE48"/>
      <c r="CF48"/>
      <c r="CG48"/>
    </row>
    <row r="49" spans="46:85" ht="12.75" customHeight="1">
      <c r="AT49" s="458"/>
      <c r="AV49" s="245" t="s">
        <v>268</v>
      </c>
      <c r="AW49" s="176"/>
      <c r="AX49" s="176"/>
      <c r="AY49" s="176"/>
      <c r="AZ49" s="177"/>
      <c r="BA49" s="454"/>
      <c r="BB49" s="447"/>
      <c r="BC49" s="447"/>
      <c r="BD49" s="447"/>
      <c r="BE49" s="447"/>
      <c r="BF49" s="447"/>
      <c r="BG49" s="447"/>
      <c r="BH49" s="447"/>
      <c r="BI49" s="445" t="str">
        <f t="shared" si="10"/>
        <v>-</v>
      </c>
      <c r="BJ49" s="445" t="str">
        <f t="shared" si="11"/>
        <v>-</v>
      </c>
      <c r="BK49" s="446" t="str">
        <f t="shared" si="11"/>
        <v>-</v>
      </c>
      <c r="BL49" s="130"/>
      <c r="BM49" s="131"/>
      <c r="BN49" s="131"/>
      <c r="BO49" s="131"/>
      <c r="BP49" s="131"/>
      <c r="BQ49" s="131"/>
      <c r="BR49" s="131"/>
      <c r="BS49" s="131"/>
      <c r="BT49" s="132" t="str">
        <f t="shared" si="12"/>
        <v>-</v>
      </c>
      <c r="BU49" s="132" t="str">
        <f t="shared" si="13"/>
        <v>-</v>
      </c>
      <c r="BV49" s="133" t="str">
        <f t="shared" si="13"/>
        <v>-</v>
      </c>
      <c r="BW49"/>
      <c r="BX49"/>
      <c r="BY49"/>
      <c r="BZ49"/>
      <c r="CA49"/>
      <c r="CB49"/>
      <c r="CC49"/>
      <c r="CD49"/>
      <c r="CE49"/>
      <c r="CF49"/>
      <c r="CG49"/>
    </row>
    <row r="50" spans="46:85" ht="12.75" customHeight="1" thickBot="1">
      <c r="AT50" s="459"/>
      <c r="AU50" s="3"/>
      <c r="AV50" s="365" t="s">
        <v>269</v>
      </c>
      <c r="AW50" s="149"/>
      <c r="AX50" s="149"/>
      <c r="AY50" s="149"/>
      <c r="AZ50" s="150"/>
      <c r="BA50" s="449"/>
      <c r="BB50" s="450"/>
      <c r="BC50" s="450"/>
      <c r="BD50" s="450"/>
      <c r="BE50" s="450"/>
      <c r="BF50" s="450"/>
      <c r="BG50" s="450"/>
      <c r="BH50" s="450"/>
      <c r="BI50" s="460" t="str">
        <f t="shared" si="10"/>
        <v>-</v>
      </c>
      <c r="BJ50" s="460" t="str">
        <f t="shared" si="11"/>
        <v>-</v>
      </c>
      <c r="BK50" s="461" t="str">
        <f t="shared" si="11"/>
        <v>-</v>
      </c>
      <c r="BL50" s="198"/>
      <c r="BM50" s="199"/>
      <c r="BN50" s="199"/>
      <c r="BO50" s="199"/>
      <c r="BP50" s="199"/>
      <c r="BQ50" s="199"/>
      <c r="BR50" s="199"/>
      <c r="BS50" s="199"/>
      <c r="BT50" s="205" t="str">
        <f t="shared" si="12"/>
        <v>-</v>
      </c>
      <c r="BU50" s="205" t="str">
        <f t="shared" si="13"/>
        <v>-</v>
      </c>
      <c r="BV50" s="206" t="str">
        <f t="shared" si="13"/>
        <v>-</v>
      </c>
      <c r="BW50"/>
      <c r="BX50"/>
      <c r="BY50"/>
      <c r="BZ50"/>
      <c r="CA50"/>
      <c r="CB50"/>
      <c r="CC50"/>
      <c r="CD50"/>
      <c r="CE50"/>
      <c r="CF50"/>
      <c r="CG50"/>
    </row>
    <row r="51" spans="46:85" ht="12.75" customHeight="1"/>
    <row r="52" spans="46:85" ht="12.75" customHeight="1"/>
    <row r="53" spans="46:85" ht="12.75" customHeight="1"/>
    <row r="54" spans="46:85" ht="12.75" customHeight="1"/>
    <row r="55" spans="46:85" ht="12.75" customHeight="1"/>
    <row r="56" spans="46:85" ht="12.75" customHeight="1"/>
    <row r="57" spans="46:85" ht="12.75" customHeight="1"/>
    <row r="58" spans="46:85" ht="12.75" customHeight="1"/>
    <row r="59" spans="46:85" ht="12.75" customHeight="1"/>
    <row r="60" spans="46:85" ht="12.75" customHeight="1"/>
  </sheetData>
  <mergeCells count="362">
    <mergeCell ref="AB3:AF3"/>
    <mergeCell ref="AG3:AK3"/>
    <mergeCell ref="AL3:AP3"/>
    <mergeCell ref="AQ3:AU3"/>
    <mergeCell ref="AV3:AZ3"/>
    <mergeCell ref="BA3:BE3"/>
    <mergeCell ref="BF3:BJ3"/>
    <mergeCell ref="BK3:BO3"/>
    <mergeCell ref="AB4:AF4"/>
    <mergeCell ref="AH4:AK4"/>
    <mergeCell ref="AM4:AP4"/>
    <mergeCell ref="AR4:AU4"/>
    <mergeCell ref="AW4:AZ4"/>
    <mergeCell ref="BB4:BE4"/>
    <mergeCell ref="BG4:BJ4"/>
    <mergeCell ref="BL4:BO4"/>
    <mergeCell ref="B4:F4"/>
    <mergeCell ref="J4:P4"/>
    <mergeCell ref="Q4:U4"/>
    <mergeCell ref="V4:Z4"/>
    <mergeCell ref="B5:F5"/>
    <mergeCell ref="J5:P5"/>
    <mergeCell ref="Q5:U5"/>
    <mergeCell ref="V5:Z5"/>
    <mergeCell ref="B3:F3"/>
    <mergeCell ref="G3:I3"/>
    <mergeCell ref="J3:P3"/>
    <mergeCell ref="Q3:U3"/>
    <mergeCell ref="V3:Z3"/>
    <mergeCell ref="G4:I4"/>
    <mergeCell ref="G5:I5"/>
    <mergeCell ref="I8:S8"/>
    <mergeCell ref="I9:L9"/>
    <mergeCell ref="M9:P9"/>
    <mergeCell ref="Q9:S9"/>
    <mergeCell ref="M10:P10"/>
    <mergeCell ref="Q10:S10"/>
    <mergeCell ref="C10:H10"/>
    <mergeCell ref="C17:H17"/>
    <mergeCell ref="B8:H9"/>
    <mergeCell ref="C11:H11"/>
    <mergeCell ref="C12:H12"/>
    <mergeCell ref="C13:H13"/>
    <mergeCell ref="C14:H14"/>
    <mergeCell ref="C15:H15"/>
    <mergeCell ref="C16:H16"/>
    <mergeCell ref="M14:P14"/>
    <mergeCell ref="B25:H25"/>
    <mergeCell ref="I20:L20"/>
    <mergeCell ref="I23:L23"/>
    <mergeCell ref="I21:L21"/>
    <mergeCell ref="I22:L22"/>
    <mergeCell ref="I25:L25"/>
    <mergeCell ref="B35:H35"/>
    <mergeCell ref="C18:H18"/>
    <mergeCell ref="C19:H19"/>
    <mergeCell ref="I34:L34"/>
    <mergeCell ref="I31:L31"/>
    <mergeCell ref="I32:L32"/>
    <mergeCell ref="B33:H33"/>
    <mergeCell ref="B34:H34"/>
    <mergeCell ref="C21:H21"/>
    <mergeCell ref="B29:H31"/>
    <mergeCell ref="C22:H22"/>
    <mergeCell ref="B23:H23"/>
    <mergeCell ref="C20:H20"/>
    <mergeCell ref="B32:H32"/>
    <mergeCell ref="B24:H24"/>
    <mergeCell ref="I24:L24"/>
    <mergeCell ref="B11:B22"/>
    <mergeCell ref="I14:L14"/>
    <mergeCell ref="T15:W15"/>
    <mergeCell ref="T20:W20"/>
    <mergeCell ref="M16:P16"/>
    <mergeCell ref="I16:L16"/>
    <mergeCell ref="M19:P19"/>
    <mergeCell ref="Q23:S23"/>
    <mergeCell ref="Q21:S21"/>
    <mergeCell ref="M21:P21"/>
    <mergeCell ref="M20:P20"/>
    <mergeCell ref="M23:P23"/>
    <mergeCell ref="M22:P22"/>
    <mergeCell ref="Q20:S20"/>
    <mergeCell ref="I19:L19"/>
    <mergeCell ref="X10:AA10"/>
    <mergeCell ref="T11:W11"/>
    <mergeCell ref="T18:W18"/>
    <mergeCell ref="X18:AA18"/>
    <mergeCell ref="AB15:AD15"/>
    <mergeCell ref="Q14:S14"/>
    <mergeCell ref="Q15:S15"/>
    <mergeCell ref="X11:AA11"/>
    <mergeCell ref="I11:L11"/>
    <mergeCell ref="M11:P11"/>
    <mergeCell ref="AB10:AD10"/>
    <mergeCell ref="X15:AA15"/>
    <mergeCell ref="Q16:S16"/>
    <mergeCell ref="Q11:S11"/>
    <mergeCell ref="I17:L17"/>
    <mergeCell ref="Q17:S17"/>
    <mergeCell ref="Q18:S18"/>
    <mergeCell ref="I10:L10"/>
    <mergeCell ref="I13:L13"/>
    <mergeCell ref="I12:L12"/>
    <mergeCell ref="I15:L15"/>
    <mergeCell ref="T10:W10"/>
    <mergeCell ref="AB17:AD17"/>
    <mergeCell ref="I18:L18"/>
    <mergeCell ref="B43:H43"/>
    <mergeCell ref="I43:L43"/>
    <mergeCell ref="M43:P43"/>
    <mergeCell ref="Q43:S43"/>
    <mergeCell ref="I40:L40"/>
    <mergeCell ref="M40:P40"/>
    <mergeCell ref="Q40:S40"/>
    <mergeCell ref="M42:P42"/>
    <mergeCell ref="Q42:S42"/>
    <mergeCell ref="I41:L41"/>
    <mergeCell ref="M41:P41"/>
    <mergeCell ref="Q41:S41"/>
    <mergeCell ref="B41:H41"/>
    <mergeCell ref="B42:H42"/>
    <mergeCell ref="I42:L42"/>
    <mergeCell ref="B40:H40"/>
    <mergeCell ref="T36:W36"/>
    <mergeCell ref="X36:AA36"/>
    <mergeCell ref="AB36:AD36"/>
    <mergeCell ref="B36:H36"/>
    <mergeCell ref="I36:L36"/>
    <mergeCell ref="I29:AD29"/>
    <mergeCell ref="Q34:S34"/>
    <mergeCell ref="Q33:S33"/>
    <mergeCell ref="T35:W35"/>
    <mergeCell ref="M35:P35"/>
    <mergeCell ref="I30:S30"/>
    <mergeCell ref="I33:L33"/>
    <mergeCell ref="M33:P33"/>
    <mergeCell ref="T31:W31"/>
    <mergeCell ref="X31:AA31"/>
    <mergeCell ref="T33:W33"/>
    <mergeCell ref="X33:AA33"/>
    <mergeCell ref="T32:W32"/>
    <mergeCell ref="Q35:S35"/>
    <mergeCell ref="Q32:S32"/>
    <mergeCell ref="M34:P34"/>
    <mergeCell ref="M36:P36"/>
    <mergeCell ref="Q36:S36"/>
    <mergeCell ref="I35:L35"/>
    <mergeCell ref="T34:W34"/>
    <mergeCell ref="AE21:AH21"/>
    <mergeCell ref="AE22:AH22"/>
    <mergeCell ref="AE19:AH19"/>
    <mergeCell ref="AE17:AH17"/>
    <mergeCell ref="T16:W16"/>
    <mergeCell ref="T24:W24"/>
    <mergeCell ref="T17:W17"/>
    <mergeCell ref="X17:AA17"/>
    <mergeCell ref="AE20:AH20"/>
    <mergeCell ref="AB16:AD16"/>
    <mergeCell ref="AE23:AH23"/>
    <mergeCell ref="AB23:AD23"/>
    <mergeCell ref="AB22:AD22"/>
    <mergeCell ref="X24:AA24"/>
    <mergeCell ref="X16:AA16"/>
    <mergeCell ref="X20:AA20"/>
    <mergeCell ref="AE34:AH34"/>
    <mergeCell ref="AB20:AD20"/>
    <mergeCell ref="T19:W19"/>
    <mergeCell ref="AE18:AH18"/>
    <mergeCell ref="X21:AA21"/>
    <mergeCell ref="AB21:AD21"/>
    <mergeCell ref="AB18:AD18"/>
    <mergeCell ref="BX28:BY28"/>
    <mergeCell ref="AM15:AO15"/>
    <mergeCell ref="AM16:AO16"/>
    <mergeCell ref="AM17:AO17"/>
    <mergeCell ref="AM18:AO18"/>
    <mergeCell ref="AM25:AO25"/>
    <mergeCell ref="AM24:AO24"/>
    <mergeCell ref="AM23:AO23"/>
    <mergeCell ref="AM19:AO19"/>
    <mergeCell ref="AM20:AO20"/>
    <mergeCell ref="AM21:AO21"/>
    <mergeCell ref="AM22:AO22"/>
    <mergeCell ref="AE8:AO8"/>
    <mergeCell ref="AE9:AH9"/>
    <mergeCell ref="AI9:AL9"/>
    <mergeCell ref="AM9:AO9"/>
    <mergeCell ref="AM10:AO10"/>
    <mergeCell ref="AI11:AL11"/>
    <mergeCell ref="AI12:AL12"/>
    <mergeCell ref="AE10:AH10"/>
    <mergeCell ref="AE11:AH11"/>
    <mergeCell ref="AM11:AO11"/>
    <mergeCell ref="AM12:AO12"/>
    <mergeCell ref="AI10:AL10"/>
    <mergeCell ref="AE12:AH12"/>
    <mergeCell ref="AI35:AL35"/>
    <mergeCell ref="AE36:AH36"/>
    <mergeCell ref="AI36:AL36"/>
    <mergeCell ref="X34:AA34"/>
    <mergeCell ref="AT40:AZ41"/>
    <mergeCell ref="AM36:AO36"/>
    <mergeCell ref="X32:AA32"/>
    <mergeCell ref="AM34:AO34"/>
    <mergeCell ref="AB35:AD35"/>
    <mergeCell ref="AB34:AD34"/>
    <mergeCell ref="X35:AA35"/>
    <mergeCell ref="AI34:AL34"/>
    <mergeCell ref="AM33:AO33"/>
    <mergeCell ref="AE33:AH33"/>
    <mergeCell ref="AI33:AL33"/>
    <mergeCell ref="AB33:AD33"/>
    <mergeCell ref="AM13:AO13"/>
    <mergeCell ref="AM14:AO14"/>
    <mergeCell ref="AI32:AL32"/>
    <mergeCell ref="Q25:S25"/>
    <mergeCell ref="Q31:S31"/>
    <mergeCell ref="AE16:AH16"/>
    <mergeCell ref="AI13:AL13"/>
    <mergeCell ref="AE14:AH14"/>
    <mergeCell ref="AI14:AL14"/>
    <mergeCell ref="AI15:AL15"/>
    <mergeCell ref="AE13:AH13"/>
    <mergeCell ref="AI23:AL23"/>
    <mergeCell ref="AI25:AL25"/>
    <mergeCell ref="AI24:AL24"/>
    <mergeCell ref="AE24:AH24"/>
    <mergeCell ref="AI22:AL22"/>
    <mergeCell ref="AI20:AL20"/>
    <mergeCell ref="AI18:AL18"/>
    <mergeCell ref="AE15:AH15"/>
    <mergeCell ref="AI17:AL17"/>
    <mergeCell ref="AM32:AO32"/>
    <mergeCell ref="AB32:AD32"/>
    <mergeCell ref="AB31:AD31"/>
    <mergeCell ref="AE32:AH32"/>
    <mergeCell ref="AB19:AD19"/>
    <mergeCell ref="M25:P25"/>
    <mergeCell ref="AE25:AH25"/>
    <mergeCell ref="AB25:AD25"/>
    <mergeCell ref="AE31:AH31"/>
    <mergeCell ref="AI31:AL31"/>
    <mergeCell ref="AM31:AO31"/>
    <mergeCell ref="M31:P31"/>
    <mergeCell ref="M32:P32"/>
    <mergeCell ref="AB24:AD24"/>
    <mergeCell ref="T30:AD30"/>
    <mergeCell ref="T25:W25"/>
    <mergeCell ref="X25:AA25"/>
    <mergeCell ref="Q24:S24"/>
    <mergeCell ref="AE29:AO30"/>
    <mergeCell ref="X23:AA23"/>
    <mergeCell ref="T23:W23"/>
    <mergeCell ref="T22:W22"/>
    <mergeCell ref="X22:AA22"/>
    <mergeCell ref="T21:W21"/>
    <mergeCell ref="AB11:AD11"/>
    <mergeCell ref="AI19:AL19"/>
    <mergeCell ref="M24:P24"/>
    <mergeCell ref="Q19:S19"/>
    <mergeCell ref="T12:W12"/>
    <mergeCell ref="AB13:AD13"/>
    <mergeCell ref="T13:W13"/>
    <mergeCell ref="X12:AA12"/>
    <mergeCell ref="AB12:AD12"/>
    <mergeCell ref="X13:AA13"/>
    <mergeCell ref="AI16:AL16"/>
    <mergeCell ref="AI21:AL21"/>
    <mergeCell ref="Q22:S22"/>
    <mergeCell ref="M12:P12"/>
    <mergeCell ref="X14:AA14"/>
    <mergeCell ref="M13:P13"/>
    <mergeCell ref="Q13:S13"/>
    <mergeCell ref="Q12:S12"/>
    <mergeCell ref="T14:W14"/>
    <mergeCell ref="M15:P15"/>
    <mergeCell ref="M18:P18"/>
    <mergeCell ref="M17:P17"/>
    <mergeCell ref="AB14:AD14"/>
    <mergeCell ref="X19:AA19"/>
    <mergeCell ref="BP42:BS42"/>
    <mergeCell ref="BP43:BS43"/>
    <mergeCell ref="AU42:AZ42"/>
    <mergeCell ref="AT42:AT50"/>
    <mergeCell ref="BT50:BV50"/>
    <mergeCell ref="BT48:BV48"/>
    <mergeCell ref="BT49:BV49"/>
    <mergeCell ref="BA48:BD48"/>
    <mergeCell ref="BE49:BH49"/>
    <mergeCell ref="BP49:BS49"/>
    <mergeCell ref="BI49:BK49"/>
    <mergeCell ref="BP50:BS50"/>
    <mergeCell ref="AU45:AZ45"/>
    <mergeCell ref="AV50:AZ50"/>
    <mergeCell ref="BA47:BD47"/>
    <mergeCell ref="BI50:BK50"/>
    <mergeCell ref="BL50:BO50"/>
    <mergeCell ref="BE50:BH50"/>
    <mergeCell ref="AV46:AZ46"/>
    <mergeCell ref="BA45:BD45"/>
    <mergeCell ref="BE45:BH45"/>
    <mergeCell ref="BI45:BK45"/>
    <mergeCell ref="BL45:BO45"/>
    <mergeCell ref="BP45:BS45"/>
    <mergeCell ref="BE47:BH47"/>
    <mergeCell ref="BA50:BD50"/>
    <mergeCell ref="BP47:BS47"/>
    <mergeCell ref="BA46:BD46"/>
    <mergeCell ref="AU48:AZ48"/>
    <mergeCell ref="AV49:AZ49"/>
    <mergeCell ref="AV47:AZ47"/>
    <mergeCell ref="BA49:BD49"/>
    <mergeCell ref="BL49:BO49"/>
    <mergeCell ref="CE1:CH1"/>
    <mergeCell ref="CE2:CH2"/>
    <mergeCell ref="BP48:BS48"/>
    <mergeCell ref="BE46:BH46"/>
    <mergeCell ref="BI46:BK46"/>
    <mergeCell ref="BL46:BO46"/>
    <mergeCell ref="BP46:BS46"/>
    <mergeCell ref="BI48:BK48"/>
    <mergeCell ref="BI44:BK44"/>
    <mergeCell ref="BL48:BO48"/>
    <mergeCell ref="BA40:BK40"/>
    <mergeCell ref="BI47:BK47"/>
    <mergeCell ref="BL47:BO47"/>
    <mergeCell ref="BE48:BH48"/>
    <mergeCell ref="BA44:BD44"/>
    <mergeCell ref="BT46:BV46"/>
    <mergeCell ref="BT47:BV47"/>
    <mergeCell ref="BA43:BD43"/>
    <mergeCell ref="BT45:BV45"/>
    <mergeCell ref="BE43:BH43"/>
    <mergeCell ref="BA41:BD41"/>
    <mergeCell ref="BE41:BH41"/>
    <mergeCell ref="BI41:BK41"/>
    <mergeCell ref="BL41:BO41"/>
    <mergeCell ref="T8:AD8"/>
    <mergeCell ref="T9:W9"/>
    <mergeCell ref="X9:AA9"/>
    <mergeCell ref="AB9:AD9"/>
    <mergeCell ref="AV44:AZ44"/>
    <mergeCell ref="AE35:AH35"/>
    <mergeCell ref="BL40:BV40"/>
    <mergeCell ref="BP41:BS41"/>
    <mergeCell ref="B1:D1"/>
    <mergeCell ref="BL44:BO44"/>
    <mergeCell ref="BP44:BS44"/>
    <mergeCell ref="BA42:BD42"/>
    <mergeCell ref="BL42:BO42"/>
    <mergeCell ref="BE42:BH42"/>
    <mergeCell ref="BE44:BH44"/>
    <mergeCell ref="BT43:BV43"/>
    <mergeCell ref="BT44:BV44"/>
    <mergeCell ref="BI43:BK43"/>
    <mergeCell ref="BI42:BK42"/>
    <mergeCell ref="BL43:BO43"/>
    <mergeCell ref="BT41:BV41"/>
    <mergeCell ref="BT42:BV42"/>
    <mergeCell ref="AV43:AZ43"/>
    <mergeCell ref="AM35:AO35"/>
  </mergeCells>
  <phoneticPr fontId="2"/>
  <printOptions horizontalCentered="1"/>
  <pageMargins left="0" right="0" top="1.1811023622047245" bottom="0.19685039370078741" header="0.31496062992125984" footer="0.19685039370078741"/>
  <pageSetup paperSize="9" scale="82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DT64"/>
  <sheetViews>
    <sheetView showGridLines="0" view="pageBreakPreview" zoomScaleNormal="100" zoomScaleSheetLayoutView="100" workbookViewId="0"/>
  </sheetViews>
  <sheetFormatPr defaultColWidth="9.140625" defaultRowHeight="12.75"/>
  <cols>
    <col min="1" max="1" width="2.28515625" style="2" customWidth="1"/>
    <col min="2" max="89" width="2.7109375" style="2" customWidth="1"/>
    <col min="90" max="16384" width="9.140625" style="2"/>
  </cols>
  <sheetData>
    <row r="1" spans="2:124" ht="14.25" customHeight="1">
      <c r="B1" s="103" t="str">
        <f>AB4</f>
        <v/>
      </c>
      <c r="C1" s="103"/>
      <c r="D1" s="103"/>
      <c r="E1" s="95" t="s">
        <v>280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CB1" s="27"/>
      <c r="CD1" s="27"/>
      <c r="CE1" s="194"/>
      <c r="CF1" s="195"/>
      <c r="CG1" s="195"/>
      <c r="CH1" s="195"/>
    </row>
    <row r="2" spans="2:124" ht="13.5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CB2" s="27"/>
      <c r="CD2" s="27"/>
      <c r="CE2" s="194"/>
      <c r="CF2" s="195"/>
      <c r="CG2" s="195"/>
      <c r="CH2" s="195"/>
    </row>
    <row r="3" spans="2:124" ht="14.25" customHeight="1">
      <c r="B3" s="104"/>
      <c r="C3" s="105"/>
      <c r="D3" s="105"/>
      <c r="E3" s="105"/>
      <c r="F3" s="106"/>
      <c r="G3" s="107" t="s">
        <v>335</v>
      </c>
      <c r="H3" s="108"/>
      <c r="I3" s="109"/>
      <c r="J3" s="110" t="s">
        <v>336</v>
      </c>
      <c r="K3" s="111"/>
      <c r="L3" s="111"/>
      <c r="M3" s="111"/>
      <c r="N3" s="111"/>
      <c r="O3" s="111"/>
      <c r="P3" s="112"/>
      <c r="Q3" s="107" t="s">
        <v>337</v>
      </c>
      <c r="R3" s="108"/>
      <c r="S3" s="108"/>
      <c r="T3" s="108"/>
      <c r="U3" s="109"/>
      <c r="V3" s="110" t="s">
        <v>338</v>
      </c>
      <c r="W3" s="111"/>
      <c r="X3" s="111"/>
      <c r="Y3" s="111"/>
      <c r="Z3" s="113"/>
      <c r="AB3" s="114" t="s">
        <v>341</v>
      </c>
      <c r="AC3" s="115"/>
      <c r="AD3" s="115"/>
      <c r="AE3" s="115"/>
      <c r="AF3" s="116"/>
      <c r="AG3" s="117" t="s">
        <v>330</v>
      </c>
      <c r="AH3" s="115"/>
      <c r="AI3" s="115"/>
      <c r="AJ3" s="115"/>
      <c r="AK3" s="116"/>
      <c r="AL3" s="117" t="s">
        <v>342</v>
      </c>
      <c r="AM3" s="115"/>
      <c r="AN3" s="115"/>
      <c r="AO3" s="115"/>
      <c r="AP3" s="116"/>
      <c r="AQ3" s="117" t="s">
        <v>343</v>
      </c>
      <c r="AR3" s="115"/>
      <c r="AS3" s="115"/>
      <c r="AT3" s="115"/>
      <c r="AU3" s="116"/>
      <c r="AV3" s="117" t="s">
        <v>344</v>
      </c>
      <c r="AW3" s="115"/>
      <c r="AX3" s="115"/>
      <c r="AY3" s="115"/>
      <c r="AZ3" s="116"/>
      <c r="BA3" s="117" t="s">
        <v>2</v>
      </c>
      <c r="BB3" s="115"/>
      <c r="BC3" s="115"/>
      <c r="BD3" s="115"/>
      <c r="BE3" s="116"/>
      <c r="BF3" s="117" t="s">
        <v>345</v>
      </c>
      <c r="BG3" s="115"/>
      <c r="BH3" s="115"/>
      <c r="BI3" s="115"/>
      <c r="BJ3" s="116"/>
      <c r="BK3" s="117" t="s">
        <v>334</v>
      </c>
      <c r="BL3" s="115"/>
      <c r="BM3" s="115"/>
      <c r="BN3" s="115"/>
      <c r="BO3" s="270"/>
    </row>
    <row r="4" spans="2:124" ht="14.25" customHeight="1" thickBot="1">
      <c r="B4" s="297" t="s">
        <v>340</v>
      </c>
      <c r="C4" s="298"/>
      <c r="D4" s="298"/>
      <c r="E4" s="298"/>
      <c r="F4" s="299"/>
      <c r="G4" s="248" t="str">
        <f>IF(No.1!G4="","",No.1!G4)</f>
        <v/>
      </c>
      <c r="H4" s="101"/>
      <c r="I4" s="300"/>
      <c r="J4" s="248" t="str">
        <f>IF(No.1!J4="","",No.1!J4)</f>
        <v/>
      </c>
      <c r="K4" s="101"/>
      <c r="L4" s="101"/>
      <c r="M4" s="101"/>
      <c r="N4" s="101"/>
      <c r="O4" s="101"/>
      <c r="P4" s="300"/>
      <c r="Q4" s="248" t="str">
        <f>IF(No.1!Q4="","",No.1!Q4)</f>
        <v/>
      </c>
      <c r="R4" s="101"/>
      <c r="S4" s="101"/>
      <c r="T4" s="101"/>
      <c r="U4" s="101"/>
      <c r="V4" s="301" t="str">
        <f>IF(No.1!V4="","",No.1!V4)</f>
        <v/>
      </c>
      <c r="W4" s="302"/>
      <c r="X4" s="302"/>
      <c r="Y4" s="302"/>
      <c r="Z4" s="303"/>
      <c r="AA4" s="28"/>
      <c r="AB4" s="286" t="str">
        <f>IF(No.1!AB4="","",No.1!AB4)</f>
        <v/>
      </c>
      <c r="AC4" s="287"/>
      <c r="AD4" s="287"/>
      <c r="AE4" s="287"/>
      <c r="AF4" s="288"/>
      <c r="AG4" s="92" t="str">
        <f>IF(No.1!AG4="","",No.1!AG4)</f>
        <v/>
      </c>
      <c r="AH4" s="217" t="str">
        <f>IF(No.1!AH4="","",No.1!AH4)</f>
        <v/>
      </c>
      <c r="AI4" s="217" t="str">
        <f>IF(No.1!AI4="","",No.1!AI4)</f>
        <v/>
      </c>
      <c r="AJ4" s="217" t="str">
        <f>IF(No.1!AJ4="","",No.1!AJ4)</f>
        <v/>
      </c>
      <c r="AK4" s="293" t="str">
        <f>IF(No.1!AK4="","",No.1!AK4)</f>
        <v/>
      </c>
      <c r="AL4" s="93" t="str">
        <f>IF(No.1!AL4="","",No.1!AL4)</f>
        <v/>
      </c>
      <c r="AM4" s="217" t="str">
        <f>IF(No.1!AM4="","",No.1!AM4)</f>
        <v/>
      </c>
      <c r="AN4" s="217" t="str">
        <f>IF(No.1!AN4="","",No.1!AN4)</f>
        <v/>
      </c>
      <c r="AO4" s="217" t="str">
        <f>IF(No.1!AO4="","",No.1!AO4)</f>
        <v/>
      </c>
      <c r="AP4" s="293" t="str">
        <f>IF(No.1!AP4="","",No.1!AP4)</f>
        <v/>
      </c>
      <c r="AQ4" s="92" t="str">
        <f>IF(No.1!AQ4="","",No.1!AQ4)</f>
        <v/>
      </c>
      <c r="AR4" s="217" t="str">
        <f>IF(No.1!AR4="","",No.1!AR4)</f>
        <v/>
      </c>
      <c r="AS4" s="217" t="str">
        <f>IF(No.1!AS4="","",No.1!AS4)</f>
        <v/>
      </c>
      <c r="AT4" s="217" t="str">
        <f>IF(No.1!AT4="","",No.1!AT4)</f>
        <v/>
      </c>
      <c r="AU4" s="293" t="str">
        <f>IF(No.1!AU4="","",No.1!AU4)</f>
        <v/>
      </c>
      <c r="AV4" s="92" t="str">
        <f>IF(No.1!AV4="","",No.1!AV4)</f>
        <v/>
      </c>
      <c r="AW4" s="217" t="str">
        <f>IF(No.1!AW4="","",No.1!AW4)</f>
        <v/>
      </c>
      <c r="AX4" s="217" t="str">
        <f>IF(No.1!AX4="","",No.1!AX4)</f>
        <v/>
      </c>
      <c r="AY4" s="217" t="str">
        <f>IF(No.1!AY4="","",No.1!AY4)</f>
        <v/>
      </c>
      <c r="AZ4" s="293" t="str">
        <f>IF(No.1!AZ4="","",No.1!AZ4)</f>
        <v/>
      </c>
      <c r="BA4" s="93" t="str">
        <f>IF(No.1!BA4="","",No.1!BA4)</f>
        <v/>
      </c>
      <c r="BB4" s="217" t="str">
        <f>IF(No.1!BB4="","",No.1!BB4)</f>
        <v/>
      </c>
      <c r="BC4" s="217" t="str">
        <f>IF(No.1!BC4="","",No.1!BC4)</f>
        <v/>
      </c>
      <c r="BD4" s="217" t="str">
        <f>IF(No.1!BD4="","",No.1!BD4)</f>
        <v/>
      </c>
      <c r="BE4" s="293" t="str">
        <f>IF(No.1!BE4="","",No.1!BE4)</f>
        <v/>
      </c>
      <c r="BF4" s="94" t="str">
        <f>IF(No.1!BF4="","",No.1!BF4)</f>
        <v/>
      </c>
      <c r="BG4" s="217" t="str">
        <f>IF(No.1!BG4="","",No.1!BG4)</f>
        <v/>
      </c>
      <c r="BH4" s="217" t="str">
        <f>IF(No.1!BH4="","",No.1!BH4)</f>
        <v/>
      </c>
      <c r="BI4" s="217" t="str">
        <f>IF(No.1!BI4="","",No.1!BI4)</f>
        <v/>
      </c>
      <c r="BJ4" s="293" t="str">
        <f>IF(No.1!BJ4="","",No.1!BJ4)</f>
        <v/>
      </c>
      <c r="BK4" s="94" t="str">
        <f>IF(No.1!BK4="","",No.1!BK4)</f>
        <v/>
      </c>
      <c r="BL4" s="217" t="str">
        <f>IF(No.1!BL4="","",No.1!BL4)</f>
        <v/>
      </c>
      <c r="BM4" s="217" t="str">
        <f>IF(No.1!BM4="","",No.1!BM4)</f>
        <v/>
      </c>
      <c r="BN4" s="217" t="str">
        <f>IF(No.1!BN4="","",No.1!BN4)</f>
        <v/>
      </c>
      <c r="BO4" s="218" t="str">
        <f>IF(No.1!BO4="","",No.1!BO4)</f>
        <v/>
      </c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</row>
    <row r="5" spans="2:124" ht="14.25" customHeight="1" thickBot="1">
      <c r="B5" s="289" t="s">
        <v>339</v>
      </c>
      <c r="C5" s="290"/>
      <c r="D5" s="290"/>
      <c r="E5" s="290"/>
      <c r="F5" s="291"/>
      <c r="G5" s="292" t="str">
        <f>IF(No.1!G5="","",No.1!G5)</f>
        <v/>
      </c>
      <c r="H5" s="217"/>
      <c r="I5" s="293"/>
      <c r="J5" s="292" t="str">
        <f>IF(No.1!J5="","",No.1!J5)</f>
        <v/>
      </c>
      <c r="K5" s="217"/>
      <c r="L5" s="217"/>
      <c r="M5" s="217"/>
      <c r="N5" s="217"/>
      <c r="O5" s="217"/>
      <c r="P5" s="293"/>
      <c r="Q5" s="292" t="str">
        <f>IF(No.1!Q5="","",No.1!Q5)</f>
        <v/>
      </c>
      <c r="R5" s="217"/>
      <c r="S5" s="217"/>
      <c r="T5" s="217"/>
      <c r="U5" s="217"/>
      <c r="V5" s="294" t="str">
        <f>IF(No.1!V5="","",No.1!V5)</f>
        <v/>
      </c>
      <c r="W5" s="295"/>
      <c r="X5" s="295"/>
      <c r="Y5" s="295"/>
      <c r="Z5" s="296"/>
      <c r="AA5" s="28"/>
      <c r="AB5" s="28"/>
      <c r="AC5" s="28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</row>
    <row r="6" spans="2:124" ht="12.75" customHeight="1">
      <c r="B6" s="72"/>
      <c r="C6" s="72"/>
      <c r="D6" s="72"/>
      <c r="E6" s="72"/>
      <c r="F6" s="72"/>
      <c r="G6" s="72"/>
      <c r="H6" s="72"/>
      <c r="I6" s="72"/>
      <c r="J6" s="73"/>
      <c r="K6" s="73"/>
      <c r="L6" s="73"/>
      <c r="M6" s="73"/>
      <c r="N6" s="73"/>
      <c r="O6" s="73"/>
      <c r="P6" s="73"/>
      <c r="Q6" s="69"/>
      <c r="R6" s="69"/>
      <c r="S6" s="69"/>
      <c r="T6" s="69"/>
      <c r="U6" s="69"/>
      <c r="V6" s="69"/>
      <c r="W6" s="69"/>
      <c r="X6" s="69"/>
      <c r="Y6" s="69"/>
      <c r="Z6" s="69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4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</row>
    <row r="7" spans="2:124" ht="12.75" customHeight="1" thickBot="1">
      <c r="B7" s="3" t="s">
        <v>479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1" t="s">
        <v>302</v>
      </c>
      <c r="AT7" s="3" t="s">
        <v>480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CH7" s="1" t="s">
        <v>301</v>
      </c>
    </row>
    <row r="8" spans="2:124" ht="12.75" customHeight="1">
      <c r="B8" s="153"/>
      <c r="C8" s="154"/>
      <c r="D8" s="154"/>
      <c r="E8" s="154"/>
      <c r="F8" s="154"/>
      <c r="G8" s="154"/>
      <c r="H8" s="154"/>
      <c r="I8" s="155"/>
      <c r="J8" s="134" t="s">
        <v>81</v>
      </c>
      <c r="K8" s="409"/>
      <c r="L8" s="409"/>
      <c r="M8" s="409"/>
      <c r="N8" s="409"/>
      <c r="O8" s="409"/>
      <c r="P8" s="409"/>
      <c r="Q8" s="409"/>
      <c r="R8" s="409"/>
      <c r="S8" s="409"/>
      <c r="T8" s="409"/>
      <c r="U8" s="134" t="s">
        <v>82</v>
      </c>
      <c r="V8" s="409"/>
      <c r="W8" s="409"/>
      <c r="X8" s="409"/>
      <c r="Y8" s="409"/>
      <c r="Z8" s="409"/>
      <c r="AA8" s="409"/>
      <c r="AB8" s="409"/>
      <c r="AC8" s="409"/>
      <c r="AD8" s="409"/>
      <c r="AE8" s="409"/>
      <c r="AF8" s="134" t="s">
        <v>134</v>
      </c>
      <c r="AG8" s="409"/>
      <c r="AH8" s="409"/>
      <c r="AI8" s="409"/>
      <c r="AJ8" s="409"/>
      <c r="AK8" s="409"/>
      <c r="AL8" s="409"/>
      <c r="AM8" s="409"/>
      <c r="AN8" s="409"/>
      <c r="AO8" s="409"/>
      <c r="AP8" s="410"/>
      <c r="AQ8" s="6"/>
      <c r="AR8" s="7"/>
      <c r="AS8" s="7"/>
      <c r="AT8" s="153"/>
      <c r="AU8" s="154"/>
      <c r="AV8" s="154"/>
      <c r="AW8" s="154"/>
      <c r="AX8" s="154"/>
      <c r="AY8" s="154"/>
      <c r="AZ8" s="154"/>
      <c r="BA8" s="155"/>
      <c r="BB8" s="134" t="s">
        <v>81</v>
      </c>
      <c r="BC8" s="409"/>
      <c r="BD8" s="409"/>
      <c r="BE8" s="409"/>
      <c r="BF8" s="409"/>
      <c r="BG8" s="409"/>
      <c r="BH8" s="409"/>
      <c r="BI8" s="409"/>
      <c r="BJ8" s="409"/>
      <c r="BK8" s="409"/>
      <c r="BL8" s="409"/>
      <c r="BM8" s="134" t="s">
        <v>82</v>
      </c>
      <c r="BN8" s="409"/>
      <c r="BO8" s="409"/>
      <c r="BP8" s="409"/>
      <c r="BQ8" s="409"/>
      <c r="BR8" s="409"/>
      <c r="BS8" s="409"/>
      <c r="BT8" s="409"/>
      <c r="BU8" s="409"/>
      <c r="BV8" s="409"/>
      <c r="BW8" s="409"/>
      <c r="BX8" s="134" t="s">
        <v>134</v>
      </c>
      <c r="BY8" s="409"/>
      <c r="BZ8" s="409"/>
      <c r="CA8" s="409"/>
      <c r="CB8" s="409"/>
      <c r="CC8" s="409"/>
      <c r="CD8" s="409"/>
      <c r="CE8" s="409"/>
      <c r="CF8" s="409"/>
      <c r="CG8" s="409"/>
      <c r="CH8" s="410"/>
      <c r="CI8" s="22"/>
    </row>
    <row r="9" spans="2:124" ht="12.75" customHeight="1" thickBot="1">
      <c r="B9" s="156"/>
      <c r="C9" s="157"/>
      <c r="D9" s="157"/>
      <c r="E9" s="157"/>
      <c r="F9" s="157"/>
      <c r="G9" s="157"/>
      <c r="H9" s="157"/>
      <c r="I9" s="158"/>
      <c r="J9" s="146" t="str">
        <f>IF($B$1&lt;&gt;"",$B$1,"")</f>
        <v/>
      </c>
      <c r="K9" s="128"/>
      <c r="L9" s="128"/>
      <c r="M9" s="128"/>
      <c r="N9" s="127" t="str">
        <f>IF($B$1&lt;&gt;"",$B$1-1,"")</f>
        <v/>
      </c>
      <c r="O9" s="128"/>
      <c r="P9" s="128"/>
      <c r="Q9" s="129"/>
      <c r="R9" s="123" t="s">
        <v>218</v>
      </c>
      <c r="S9" s="124"/>
      <c r="T9" s="125"/>
      <c r="U9" s="146" t="str">
        <f>IF($B$1&lt;&gt;"",$B$1,"")</f>
        <v/>
      </c>
      <c r="V9" s="128"/>
      <c r="W9" s="128"/>
      <c r="X9" s="128"/>
      <c r="Y9" s="127" t="str">
        <f>IF($B$1&lt;&gt;"",$B$1-1,"")</f>
        <v/>
      </c>
      <c r="Z9" s="128"/>
      <c r="AA9" s="128"/>
      <c r="AB9" s="129"/>
      <c r="AC9" s="123" t="s">
        <v>218</v>
      </c>
      <c r="AD9" s="124"/>
      <c r="AE9" s="125"/>
      <c r="AF9" s="146" t="str">
        <f>IF($B$1&lt;&gt;"",$B$1,"")</f>
        <v/>
      </c>
      <c r="AG9" s="128"/>
      <c r="AH9" s="128"/>
      <c r="AI9" s="128"/>
      <c r="AJ9" s="127" t="str">
        <f>IF($B$1&lt;&gt;"",$B$1-1,"")</f>
        <v/>
      </c>
      <c r="AK9" s="128"/>
      <c r="AL9" s="128"/>
      <c r="AM9" s="129"/>
      <c r="AN9" s="123" t="s">
        <v>218</v>
      </c>
      <c r="AO9" s="124"/>
      <c r="AP9" s="125"/>
      <c r="AQ9" s="6"/>
      <c r="AR9" s="7"/>
      <c r="AS9" s="7"/>
      <c r="AT9" s="156"/>
      <c r="AU9" s="157"/>
      <c r="AV9" s="157"/>
      <c r="AW9" s="157"/>
      <c r="AX9" s="157"/>
      <c r="AY9" s="157"/>
      <c r="AZ9" s="157"/>
      <c r="BA9" s="158"/>
      <c r="BB9" s="146" t="str">
        <f>IF($B$1&lt;&gt;"",$B$1,"")</f>
        <v/>
      </c>
      <c r="BC9" s="128"/>
      <c r="BD9" s="128"/>
      <c r="BE9" s="128"/>
      <c r="BF9" s="127" t="str">
        <f>IF($B$1&lt;&gt;"",$B$1-1,"")</f>
        <v/>
      </c>
      <c r="BG9" s="128"/>
      <c r="BH9" s="128"/>
      <c r="BI9" s="129"/>
      <c r="BJ9" s="123" t="s">
        <v>218</v>
      </c>
      <c r="BK9" s="124"/>
      <c r="BL9" s="125"/>
      <c r="BM9" s="146" t="str">
        <f>IF($B$1&lt;&gt;"",$B$1,"")</f>
        <v/>
      </c>
      <c r="BN9" s="128"/>
      <c r="BO9" s="128"/>
      <c r="BP9" s="128"/>
      <c r="BQ9" s="127" t="str">
        <f>IF($B$1&lt;&gt;"",$B$1-1,"")</f>
        <v/>
      </c>
      <c r="BR9" s="128"/>
      <c r="BS9" s="128"/>
      <c r="BT9" s="129"/>
      <c r="BU9" s="123" t="s">
        <v>218</v>
      </c>
      <c r="BV9" s="124"/>
      <c r="BW9" s="125"/>
      <c r="BX9" s="146" t="str">
        <f>IF($B$1&lt;&gt;"",$B$1,"")</f>
        <v/>
      </c>
      <c r="BY9" s="128"/>
      <c r="BZ9" s="128"/>
      <c r="CA9" s="128"/>
      <c r="CB9" s="127" t="str">
        <f>IF($B$1&lt;&gt;"",$B$1-1,"")</f>
        <v/>
      </c>
      <c r="CC9" s="128"/>
      <c r="CD9" s="128"/>
      <c r="CE9" s="129"/>
      <c r="CF9" s="123" t="s">
        <v>218</v>
      </c>
      <c r="CG9" s="124"/>
      <c r="CH9" s="125"/>
      <c r="CI9" s="7"/>
    </row>
    <row r="10" spans="2:124" ht="12.75" customHeight="1">
      <c r="B10" s="587" t="s">
        <v>16</v>
      </c>
      <c r="C10" s="588"/>
      <c r="D10" s="580" t="s">
        <v>201</v>
      </c>
      <c r="E10" s="581"/>
      <c r="F10" s="582" t="s">
        <v>11</v>
      </c>
      <c r="G10" s="583"/>
      <c r="H10" s="583"/>
      <c r="I10" s="584"/>
      <c r="J10" s="495"/>
      <c r="K10" s="330"/>
      <c r="L10" s="330"/>
      <c r="M10" s="330"/>
      <c r="N10" s="339"/>
      <c r="O10" s="330"/>
      <c r="P10" s="330"/>
      <c r="Q10" s="340"/>
      <c r="R10" s="121" t="str">
        <f>IF(J10="-", "-", IF(N10="-", "-", IF(ABS(N10)=0, "-", ROUND(100*(J10-N10)/ABS(N10), 10))))</f>
        <v>-</v>
      </c>
      <c r="S10" s="121" t="str">
        <f t="shared" ref="S10:T12" si="0">IF(O10="-", "-", IF(Q10="-", "-", IF(ABS(Q10)=0, "-", ROUND(100*(O10-Q10)/ABS(Q10), 1))))</f>
        <v>-</v>
      </c>
      <c r="T10" s="122" t="str">
        <f t="shared" si="0"/>
        <v>-</v>
      </c>
      <c r="U10" s="142"/>
      <c r="V10" s="126"/>
      <c r="W10" s="126"/>
      <c r="X10" s="126"/>
      <c r="Y10" s="126"/>
      <c r="Z10" s="126"/>
      <c r="AA10" s="126"/>
      <c r="AB10" s="126"/>
      <c r="AC10" s="121" t="str">
        <f t="shared" ref="AC10:AC53" si="1">IF(U10="-", "-", IF(Y10="-", "-", IF(ABS(Y10)=0, "-", ROUND(100*(U10-Y10)/ABS(Y10), 10))))</f>
        <v>-</v>
      </c>
      <c r="AD10" s="121" t="str">
        <f t="shared" ref="AD10:AE25" si="2">IF(Z10="-", "-", IF(AB10="-", "-", IF(ABS(AB10)=0, "-", ROUND(100*(Z10-AB10)/ABS(AB10), 1))))</f>
        <v>-</v>
      </c>
      <c r="AE10" s="122" t="str">
        <f t="shared" si="2"/>
        <v>-</v>
      </c>
      <c r="AF10" s="448"/>
      <c r="AG10" s="442"/>
      <c r="AH10" s="442"/>
      <c r="AI10" s="442"/>
      <c r="AJ10" s="442"/>
      <c r="AK10" s="442"/>
      <c r="AL10" s="442"/>
      <c r="AM10" s="442"/>
      <c r="AN10" s="121" t="str">
        <f>IF(AF10="-", "-", IF(AJ10="-", "-", IF(ABS(AJ10)=0, "-", ROUND(100*(AF10-AJ10)/ABS(AJ10), 10))))</f>
        <v>-</v>
      </c>
      <c r="AO10" s="121" t="str">
        <f t="shared" ref="AO10:AP12" si="3">IF(AK10="-", "-", IF(AM10="-", "-", IF(ABS(AM10)=0, "-", ROUND(100*(AK10-AM10)/ABS(AM10), 1))))</f>
        <v>-</v>
      </c>
      <c r="AP10" s="122" t="str">
        <f t="shared" si="3"/>
        <v>-</v>
      </c>
      <c r="AQ10" s="28"/>
      <c r="AR10" s="28"/>
      <c r="AS10" s="28"/>
      <c r="AT10" s="354" t="s">
        <v>20</v>
      </c>
      <c r="AU10" s="355"/>
      <c r="AV10" s="574" t="s">
        <v>452</v>
      </c>
      <c r="AW10" s="575"/>
      <c r="AX10" s="284" t="s">
        <v>156</v>
      </c>
      <c r="AY10" s="222"/>
      <c r="AZ10" s="222"/>
      <c r="BA10" s="223"/>
      <c r="BB10" s="228"/>
      <c r="BC10" s="229"/>
      <c r="BD10" s="229"/>
      <c r="BE10" s="229"/>
      <c r="BF10" s="263"/>
      <c r="BG10" s="229"/>
      <c r="BH10" s="229"/>
      <c r="BI10" s="229"/>
      <c r="BJ10" s="530"/>
      <c r="BK10" s="530"/>
      <c r="BL10" s="531"/>
      <c r="BM10" s="142"/>
      <c r="BN10" s="126"/>
      <c r="BO10" s="126"/>
      <c r="BP10" s="126"/>
      <c r="BQ10" s="126"/>
      <c r="BR10" s="126"/>
      <c r="BS10" s="126"/>
      <c r="BT10" s="126"/>
      <c r="BU10" s="121" t="str">
        <f t="shared" ref="BU10:BU22" si="4">IF(BM10="-", "-", IF(BQ10="-", "-", IF(ABS(BQ10)=0, "-", ROUND(100*(BM10-BQ10)/ABS(BQ10), 10))))</f>
        <v>-</v>
      </c>
      <c r="BV10" s="121" t="str">
        <f t="shared" ref="BV10:BW22" si="5">IF(BR10="-", "-", IF(BT10="-", "-", IF(ABS(BT10)=0, "-", ROUND(100*(BR10-BT10)/ABS(BT10), 1))))</f>
        <v>-</v>
      </c>
      <c r="BW10" s="122" t="str">
        <f t="shared" si="5"/>
        <v>-</v>
      </c>
      <c r="BX10" s="228"/>
      <c r="BY10" s="229"/>
      <c r="BZ10" s="229"/>
      <c r="CA10" s="229"/>
      <c r="CB10" s="263"/>
      <c r="CC10" s="229"/>
      <c r="CD10" s="229"/>
      <c r="CE10" s="229"/>
      <c r="CF10" s="263"/>
      <c r="CG10" s="229"/>
      <c r="CH10" s="264"/>
      <c r="CI10" s="34"/>
    </row>
    <row r="11" spans="2:124" ht="12.75" customHeight="1">
      <c r="B11" s="589"/>
      <c r="C11" s="590"/>
      <c r="D11" s="401"/>
      <c r="E11" s="401"/>
      <c r="F11" s="245" t="s">
        <v>328</v>
      </c>
      <c r="G11" s="585"/>
      <c r="H11" s="585"/>
      <c r="I11" s="586"/>
      <c r="J11" s="495"/>
      <c r="K11" s="330"/>
      <c r="L11" s="330"/>
      <c r="M11" s="330"/>
      <c r="N11" s="339"/>
      <c r="O11" s="330"/>
      <c r="P11" s="330"/>
      <c r="Q11" s="340"/>
      <c r="R11" s="121" t="str">
        <f>IF(J11="-", "-", IF(N11="-", "-", IF(ABS(N11)=0, "-", ROUND(100*(J11-N11)/ABS(N11), 10))))</f>
        <v>-</v>
      </c>
      <c r="S11" s="121" t="str">
        <f t="shared" si="0"/>
        <v>-</v>
      </c>
      <c r="T11" s="122" t="str">
        <f t="shared" si="0"/>
        <v>-</v>
      </c>
      <c r="U11" s="142"/>
      <c r="V11" s="126"/>
      <c r="W11" s="126"/>
      <c r="X11" s="126"/>
      <c r="Y11" s="126"/>
      <c r="Z11" s="126"/>
      <c r="AA11" s="126"/>
      <c r="AB11" s="126"/>
      <c r="AC11" s="121" t="str">
        <f t="shared" si="1"/>
        <v>-</v>
      </c>
      <c r="AD11" s="121" t="str">
        <f t="shared" si="2"/>
        <v>-</v>
      </c>
      <c r="AE11" s="122" t="str">
        <f t="shared" si="2"/>
        <v>-</v>
      </c>
      <c r="AF11" s="448"/>
      <c r="AG11" s="442"/>
      <c r="AH11" s="442"/>
      <c r="AI11" s="442"/>
      <c r="AJ11" s="442"/>
      <c r="AK11" s="442"/>
      <c r="AL11" s="442"/>
      <c r="AM11" s="442"/>
      <c r="AN11" s="121" t="str">
        <f>IF(AF11="-", "-", IF(AJ11="-", "-", IF(ABS(AJ11)=0, "-", ROUND(100*(AF11-AJ11)/ABS(AJ11), 10))))</f>
        <v>-</v>
      </c>
      <c r="AO11" s="121" t="str">
        <f t="shared" si="3"/>
        <v>-</v>
      </c>
      <c r="AP11" s="122" t="str">
        <f t="shared" si="3"/>
        <v>-</v>
      </c>
      <c r="AQ11" s="28"/>
      <c r="AR11" s="28"/>
      <c r="AS11" s="28"/>
      <c r="AT11" s="356"/>
      <c r="AU11" s="357"/>
      <c r="AV11" s="576"/>
      <c r="AW11" s="577"/>
      <c r="AX11" s="245" t="s">
        <v>157</v>
      </c>
      <c r="AY11" s="176"/>
      <c r="AZ11" s="176"/>
      <c r="BA11" s="177"/>
      <c r="BB11" s="228"/>
      <c r="BC11" s="229"/>
      <c r="BD11" s="229"/>
      <c r="BE11" s="229"/>
      <c r="BF11" s="263"/>
      <c r="BG11" s="229"/>
      <c r="BH11" s="229"/>
      <c r="BI11" s="229"/>
      <c r="BJ11" s="530"/>
      <c r="BK11" s="530"/>
      <c r="BL11" s="531"/>
      <c r="BM11" s="142"/>
      <c r="BN11" s="126"/>
      <c r="BO11" s="126"/>
      <c r="BP11" s="126"/>
      <c r="BQ11" s="126"/>
      <c r="BR11" s="126"/>
      <c r="BS11" s="126"/>
      <c r="BT11" s="126"/>
      <c r="BU11" s="121" t="str">
        <f t="shared" si="4"/>
        <v>-</v>
      </c>
      <c r="BV11" s="121" t="str">
        <f t="shared" si="5"/>
        <v>-</v>
      </c>
      <c r="BW11" s="122" t="str">
        <f t="shared" si="5"/>
        <v>-</v>
      </c>
      <c r="BX11" s="228"/>
      <c r="BY11" s="229"/>
      <c r="BZ11" s="229"/>
      <c r="CA11" s="229"/>
      <c r="CB11" s="263"/>
      <c r="CC11" s="229"/>
      <c r="CD11" s="229"/>
      <c r="CE11" s="229"/>
      <c r="CF11" s="263"/>
      <c r="CG11" s="229"/>
      <c r="CH11" s="264"/>
      <c r="CI11" s="34"/>
    </row>
    <row r="12" spans="2:124" ht="12.75" customHeight="1">
      <c r="B12" s="589"/>
      <c r="C12" s="590"/>
      <c r="D12" s="298" t="s">
        <v>135</v>
      </c>
      <c r="E12" s="298"/>
      <c r="F12" s="298"/>
      <c r="G12" s="298"/>
      <c r="H12" s="298"/>
      <c r="I12" s="331"/>
      <c r="J12" s="495"/>
      <c r="K12" s="330"/>
      <c r="L12" s="330"/>
      <c r="M12" s="330"/>
      <c r="N12" s="339"/>
      <c r="O12" s="330"/>
      <c r="P12" s="330"/>
      <c r="Q12" s="340"/>
      <c r="R12" s="121" t="str">
        <f>IF(J12="-", "-", IF(N12="-", "-", IF(ABS(N12)=0, "-", ROUND(100*(J12-N12)/ABS(N12), 10))))</f>
        <v>-</v>
      </c>
      <c r="S12" s="121" t="str">
        <f t="shared" si="0"/>
        <v>-</v>
      </c>
      <c r="T12" s="122" t="str">
        <f t="shared" si="0"/>
        <v>-</v>
      </c>
      <c r="U12" s="142"/>
      <c r="V12" s="126"/>
      <c r="W12" s="126"/>
      <c r="X12" s="126"/>
      <c r="Y12" s="126"/>
      <c r="Z12" s="126"/>
      <c r="AA12" s="126"/>
      <c r="AB12" s="126"/>
      <c r="AC12" s="121" t="str">
        <f t="shared" si="1"/>
        <v>-</v>
      </c>
      <c r="AD12" s="121" t="str">
        <f t="shared" si="2"/>
        <v>-</v>
      </c>
      <c r="AE12" s="122" t="str">
        <f t="shared" si="2"/>
        <v>-</v>
      </c>
      <c r="AF12" s="448"/>
      <c r="AG12" s="442"/>
      <c r="AH12" s="442"/>
      <c r="AI12" s="442"/>
      <c r="AJ12" s="442"/>
      <c r="AK12" s="442"/>
      <c r="AL12" s="442"/>
      <c r="AM12" s="442"/>
      <c r="AN12" s="121" t="str">
        <f>IF(AF12="-", "-", IF(AJ12="-", "-", IF(ABS(AJ12)=0, "-", ROUND(100*(AF12-AJ12)/ABS(AJ12), 10))))</f>
        <v>-</v>
      </c>
      <c r="AO12" s="121" t="str">
        <f t="shared" si="3"/>
        <v>-</v>
      </c>
      <c r="AP12" s="122" t="str">
        <f t="shared" si="3"/>
        <v>-</v>
      </c>
      <c r="AQ12" s="28"/>
      <c r="AR12" s="28"/>
      <c r="AS12" s="28"/>
      <c r="AT12" s="356"/>
      <c r="AU12" s="357"/>
      <c r="AV12" s="578"/>
      <c r="AW12" s="579"/>
      <c r="AX12" s="245" t="s">
        <v>169</v>
      </c>
      <c r="AY12" s="176"/>
      <c r="AZ12" s="176"/>
      <c r="BA12" s="177"/>
      <c r="BB12" s="228"/>
      <c r="BC12" s="229"/>
      <c r="BD12" s="229"/>
      <c r="BE12" s="229"/>
      <c r="BF12" s="263"/>
      <c r="BG12" s="229"/>
      <c r="BH12" s="229"/>
      <c r="BI12" s="229"/>
      <c r="BJ12" s="530"/>
      <c r="BK12" s="530"/>
      <c r="BL12" s="531"/>
      <c r="BM12" s="142"/>
      <c r="BN12" s="126"/>
      <c r="BO12" s="126"/>
      <c r="BP12" s="126"/>
      <c r="BQ12" s="126"/>
      <c r="BR12" s="126"/>
      <c r="BS12" s="126"/>
      <c r="BT12" s="126"/>
      <c r="BU12" s="121" t="str">
        <f t="shared" si="4"/>
        <v>-</v>
      </c>
      <c r="BV12" s="121" t="str">
        <f t="shared" si="5"/>
        <v>-</v>
      </c>
      <c r="BW12" s="122" t="str">
        <f t="shared" si="5"/>
        <v>-</v>
      </c>
      <c r="BX12" s="228"/>
      <c r="BY12" s="229"/>
      <c r="BZ12" s="229"/>
      <c r="CA12" s="229"/>
      <c r="CB12" s="263"/>
      <c r="CC12" s="229"/>
      <c r="CD12" s="229"/>
      <c r="CE12" s="229"/>
      <c r="CF12" s="263"/>
      <c r="CG12" s="229"/>
      <c r="CH12" s="264"/>
      <c r="CI12" s="34"/>
    </row>
    <row r="13" spans="2:124" ht="12.75" customHeight="1">
      <c r="B13" s="591"/>
      <c r="C13" s="592"/>
      <c r="D13" s="298" t="s">
        <v>13</v>
      </c>
      <c r="E13" s="298"/>
      <c r="F13" s="298"/>
      <c r="G13" s="298"/>
      <c r="H13" s="298"/>
      <c r="I13" s="331"/>
      <c r="J13" s="598"/>
      <c r="K13" s="565"/>
      <c r="L13" s="565"/>
      <c r="M13" s="565"/>
      <c r="N13" s="565"/>
      <c r="O13" s="565"/>
      <c r="P13" s="565"/>
      <c r="Q13" s="565"/>
      <c r="R13" s="530"/>
      <c r="S13" s="530"/>
      <c r="T13" s="531"/>
      <c r="U13" s="568"/>
      <c r="V13" s="569"/>
      <c r="W13" s="569"/>
      <c r="X13" s="569"/>
      <c r="Y13" s="569"/>
      <c r="Z13" s="569"/>
      <c r="AA13" s="569"/>
      <c r="AB13" s="569"/>
      <c r="AC13" s="445" t="str">
        <f t="shared" si="1"/>
        <v>-</v>
      </c>
      <c r="AD13" s="445" t="str">
        <f t="shared" si="2"/>
        <v>-</v>
      </c>
      <c r="AE13" s="446" t="str">
        <f t="shared" si="2"/>
        <v>-</v>
      </c>
      <c r="AF13" s="561"/>
      <c r="AG13" s="562"/>
      <c r="AH13" s="562"/>
      <c r="AI13" s="562"/>
      <c r="AJ13" s="562"/>
      <c r="AK13" s="562"/>
      <c r="AL13" s="562"/>
      <c r="AM13" s="562"/>
      <c r="AN13" s="530"/>
      <c r="AO13" s="530"/>
      <c r="AP13" s="531"/>
      <c r="AQ13" s="28"/>
      <c r="AR13" s="28"/>
      <c r="AS13" s="28"/>
      <c r="AT13" s="356"/>
      <c r="AU13" s="357"/>
      <c r="AV13" s="245" t="s">
        <v>158</v>
      </c>
      <c r="AW13" s="176"/>
      <c r="AX13" s="176"/>
      <c r="AY13" s="176"/>
      <c r="AZ13" s="176"/>
      <c r="BA13" s="177"/>
      <c r="BB13" s="228"/>
      <c r="BC13" s="229"/>
      <c r="BD13" s="229"/>
      <c r="BE13" s="229"/>
      <c r="BF13" s="263"/>
      <c r="BG13" s="229"/>
      <c r="BH13" s="229"/>
      <c r="BI13" s="229"/>
      <c r="BJ13" s="535"/>
      <c r="BK13" s="535"/>
      <c r="BL13" s="536"/>
      <c r="BM13" s="142"/>
      <c r="BN13" s="126"/>
      <c r="BO13" s="126"/>
      <c r="BP13" s="126"/>
      <c r="BQ13" s="126"/>
      <c r="BR13" s="126"/>
      <c r="BS13" s="126"/>
      <c r="BT13" s="126"/>
      <c r="BU13" s="121" t="str">
        <f t="shared" si="4"/>
        <v>-</v>
      </c>
      <c r="BV13" s="121" t="str">
        <f t="shared" si="5"/>
        <v>-</v>
      </c>
      <c r="BW13" s="122" t="str">
        <f t="shared" si="5"/>
        <v>-</v>
      </c>
      <c r="BX13" s="532"/>
      <c r="BY13" s="533"/>
      <c r="BZ13" s="533"/>
      <c r="CA13" s="533"/>
      <c r="CB13" s="534"/>
      <c r="CC13" s="533"/>
      <c r="CD13" s="533"/>
      <c r="CE13" s="533"/>
      <c r="CF13" s="534"/>
      <c r="CG13" s="533"/>
      <c r="CH13" s="567"/>
      <c r="CI13" s="34"/>
    </row>
    <row r="14" spans="2:124" ht="12.75" customHeight="1">
      <c r="B14" s="556" t="s">
        <v>17</v>
      </c>
      <c r="C14" s="557"/>
      <c r="D14" s="179" t="s">
        <v>276</v>
      </c>
      <c r="E14" s="179"/>
      <c r="F14" s="179"/>
      <c r="G14" s="179"/>
      <c r="H14" s="179"/>
      <c r="I14" s="180"/>
      <c r="J14" s="495"/>
      <c r="K14" s="330"/>
      <c r="L14" s="330"/>
      <c r="M14" s="330"/>
      <c r="N14" s="339"/>
      <c r="O14" s="330"/>
      <c r="P14" s="330"/>
      <c r="Q14" s="340"/>
      <c r="R14" s="121" t="str">
        <f t="shared" ref="R14:R19" si="6">IF(J14="-", "-", IF(N14="-", "-", IF(ABS(N14)=0, "-", ROUND(100*(J14-N14)/ABS(N14), 10))))</f>
        <v>-</v>
      </c>
      <c r="S14" s="121" t="str">
        <f t="shared" ref="S14:T19" si="7">IF(O14="-", "-", IF(Q14="-", "-", IF(ABS(Q14)=0, "-", ROUND(100*(O14-Q14)/ABS(Q14), 1))))</f>
        <v>-</v>
      </c>
      <c r="T14" s="122" t="str">
        <f t="shared" si="7"/>
        <v>-</v>
      </c>
      <c r="U14" s="142"/>
      <c r="V14" s="126"/>
      <c r="W14" s="126"/>
      <c r="X14" s="126"/>
      <c r="Y14" s="126"/>
      <c r="Z14" s="126"/>
      <c r="AA14" s="126"/>
      <c r="AB14" s="126"/>
      <c r="AC14" s="121" t="str">
        <f t="shared" si="1"/>
        <v>-</v>
      </c>
      <c r="AD14" s="121" t="str">
        <f t="shared" si="2"/>
        <v>-</v>
      </c>
      <c r="AE14" s="122" t="str">
        <f t="shared" si="2"/>
        <v>-</v>
      </c>
      <c r="AF14" s="448"/>
      <c r="AG14" s="442"/>
      <c r="AH14" s="442"/>
      <c r="AI14" s="442"/>
      <c r="AJ14" s="442"/>
      <c r="AK14" s="442"/>
      <c r="AL14" s="442"/>
      <c r="AM14" s="442"/>
      <c r="AN14" s="121" t="str">
        <f t="shared" ref="AN14:AN19" si="8">IF(AF14="-", "-", IF(AJ14="-", "-", IF(ABS(AJ14)=0, "-", ROUND(100*(AF14-AJ14)/ABS(AJ14), 10))))</f>
        <v>-</v>
      </c>
      <c r="AO14" s="121" t="str">
        <f t="shared" ref="AO14:AP19" si="9">IF(AK14="-", "-", IF(AM14="-", "-", IF(ABS(AM14)=0, "-", ROUND(100*(AK14-AM14)/ABS(AM14), 1))))</f>
        <v>-</v>
      </c>
      <c r="AP14" s="122" t="str">
        <f t="shared" si="9"/>
        <v>-</v>
      </c>
      <c r="AQ14" s="28"/>
      <c r="AR14" s="28"/>
      <c r="AS14" s="28"/>
      <c r="AT14" s="356"/>
      <c r="AU14" s="357"/>
      <c r="AV14" s="245" t="s">
        <v>159</v>
      </c>
      <c r="AW14" s="176"/>
      <c r="AX14" s="176"/>
      <c r="AY14" s="176"/>
      <c r="AZ14" s="176"/>
      <c r="BA14" s="177"/>
      <c r="BB14" s="495"/>
      <c r="BC14" s="330"/>
      <c r="BD14" s="330"/>
      <c r="BE14" s="330"/>
      <c r="BF14" s="339"/>
      <c r="BG14" s="330"/>
      <c r="BH14" s="330"/>
      <c r="BI14" s="340"/>
      <c r="BJ14" s="121" t="str">
        <f t="shared" ref="BJ14:BJ21" si="10">IF(BB14="-", "-", IF(BF14="-", "-", IF(ABS(BF14)=0, "-", ROUND(100*(BB14-BF14)/ABS(BF14), 10))))</f>
        <v>-</v>
      </c>
      <c r="BK14" s="121" t="str">
        <f t="shared" ref="BK14:BL20" si="11">IF(BG14="-", "-", IF(BI14="-", "-", IF(ABS(BI14)=0, "-", ROUND(100*(BG14-BI14)/ABS(BI14), 1))))</f>
        <v>-</v>
      </c>
      <c r="BL14" s="122" t="str">
        <f t="shared" si="11"/>
        <v>-</v>
      </c>
      <c r="BM14" s="142"/>
      <c r="BN14" s="126"/>
      <c r="BO14" s="126"/>
      <c r="BP14" s="126"/>
      <c r="BQ14" s="126"/>
      <c r="BR14" s="126"/>
      <c r="BS14" s="126"/>
      <c r="BT14" s="126"/>
      <c r="BU14" s="121" t="str">
        <f t="shared" si="4"/>
        <v>-</v>
      </c>
      <c r="BV14" s="121" t="str">
        <f t="shared" si="5"/>
        <v>-</v>
      </c>
      <c r="BW14" s="122" t="str">
        <f t="shared" si="5"/>
        <v>-</v>
      </c>
      <c r="BX14" s="448"/>
      <c r="BY14" s="442"/>
      <c r="BZ14" s="442"/>
      <c r="CA14" s="442"/>
      <c r="CB14" s="442"/>
      <c r="CC14" s="442"/>
      <c r="CD14" s="442"/>
      <c r="CE14" s="442"/>
      <c r="CF14" s="121" t="str">
        <f t="shared" ref="CF14:CF21" si="12">IF(BX14="-", "-", IF(CB14="-", "-", IF(ABS(CB14)=0, "-", ROUND(100*(BX14-CB14)/ABS(CB14), 10))))</f>
        <v>-</v>
      </c>
      <c r="CG14" s="121" t="str">
        <f t="shared" ref="CG14:CH20" si="13">IF(CC14="-", "-", IF(CE14="-", "-", IF(ABS(CE14)=0, "-", ROUND(100*(CC14-CE14)/ABS(CE14), 1))))</f>
        <v>-</v>
      </c>
      <c r="CH14" s="122" t="str">
        <f t="shared" si="13"/>
        <v>-</v>
      </c>
      <c r="CI14" s="34"/>
    </row>
    <row r="15" spans="2:124" ht="12.75" customHeight="1">
      <c r="B15" s="356"/>
      <c r="C15" s="357"/>
      <c r="D15" s="594" t="s">
        <v>277</v>
      </c>
      <c r="E15" s="361"/>
      <c r="F15" s="361"/>
      <c r="G15" s="361"/>
      <c r="H15" s="361"/>
      <c r="I15" s="362"/>
      <c r="J15" s="495"/>
      <c r="K15" s="330"/>
      <c r="L15" s="330"/>
      <c r="M15" s="330"/>
      <c r="N15" s="339"/>
      <c r="O15" s="330"/>
      <c r="P15" s="330"/>
      <c r="Q15" s="340"/>
      <c r="R15" s="121" t="str">
        <f t="shared" si="6"/>
        <v>-</v>
      </c>
      <c r="S15" s="121" t="str">
        <f t="shared" si="7"/>
        <v>-</v>
      </c>
      <c r="T15" s="122" t="str">
        <f t="shared" si="7"/>
        <v>-</v>
      </c>
      <c r="U15" s="142"/>
      <c r="V15" s="126"/>
      <c r="W15" s="126"/>
      <c r="X15" s="126"/>
      <c r="Y15" s="126"/>
      <c r="Z15" s="126"/>
      <c r="AA15" s="126"/>
      <c r="AB15" s="126"/>
      <c r="AC15" s="121" t="str">
        <f t="shared" si="1"/>
        <v>-</v>
      </c>
      <c r="AD15" s="121" t="str">
        <f t="shared" si="2"/>
        <v>-</v>
      </c>
      <c r="AE15" s="122" t="str">
        <f t="shared" si="2"/>
        <v>-</v>
      </c>
      <c r="AF15" s="448"/>
      <c r="AG15" s="442"/>
      <c r="AH15" s="442"/>
      <c r="AI15" s="442"/>
      <c r="AJ15" s="442"/>
      <c r="AK15" s="442"/>
      <c r="AL15" s="442"/>
      <c r="AM15" s="442"/>
      <c r="AN15" s="121" t="str">
        <f t="shared" si="8"/>
        <v>-</v>
      </c>
      <c r="AO15" s="121" t="str">
        <f t="shared" si="9"/>
        <v>-</v>
      </c>
      <c r="AP15" s="122" t="str">
        <f t="shared" si="9"/>
        <v>-</v>
      </c>
      <c r="AQ15" s="28"/>
      <c r="AR15" s="28"/>
      <c r="AS15" s="28"/>
      <c r="AT15" s="356"/>
      <c r="AU15" s="357"/>
      <c r="AV15" s="245" t="s">
        <v>160</v>
      </c>
      <c r="AW15" s="176"/>
      <c r="AX15" s="176"/>
      <c r="AY15" s="176"/>
      <c r="AZ15" s="176"/>
      <c r="BA15" s="177"/>
      <c r="BB15" s="495"/>
      <c r="BC15" s="330"/>
      <c r="BD15" s="330"/>
      <c r="BE15" s="330"/>
      <c r="BF15" s="339"/>
      <c r="BG15" s="330"/>
      <c r="BH15" s="330"/>
      <c r="BI15" s="340"/>
      <c r="BJ15" s="121" t="str">
        <f t="shared" si="10"/>
        <v>-</v>
      </c>
      <c r="BK15" s="121" t="str">
        <f t="shared" si="11"/>
        <v>-</v>
      </c>
      <c r="BL15" s="122" t="str">
        <f t="shared" si="11"/>
        <v>-</v>
      </c>
      <c r="BM15" s="142"/>
      <c r="BN15" s="126"/>
      <c r="BO15" s="126"/>
      <c r="BP15" s="126"/>
      <c r="BQ15" s="126"/>
      <c r="BR15" s="126"/>
      <c r="BS15" s="126"/>
      <c r="BT15" s="126"/>
      <c r="BU15" s="121" t="str">
        <f t="shared" si="4"/>
        <v>-</v>
      </c>
      <c r="BV15" s="121" t="str">
        <f t="shared" si="5"/>
        <v>-</v>
      </c>
      <c r="BW15" s="122" t="str">
        <f t="shared" si="5"/>
        <v>-</v>
      </c>
      <c r="BX15" s="448"/>
      <c r="BY15" s="442"/>
      <c r="BZ15" s="442"/>
      <c r="CA15" s="442"/>
      <c r="CB15" s="442"/>
      <c r="CC15" s="442"/>
      <c r="CD15" s="442"/>
      <c r="CE15" s="442"/>
      <c r="CF15" s="121" t="str">
        <f t="shared" si="12"/>
        <v>-</v>
      </c>
      <c r="CG15" s="121" t="str">
        <f t="shared" si="13"/>
        <v>-</v>
      </c>
      <c r="CH15" s="122" t="str">
        <f t="shared" si="13"/>
        <v>-</v>
      </c>
      <c r="CI15" s="34"/>
    </row>
    <row r="16" spans="2:124" ht="12.75" customHeight="1">
      <c r="B16" s="356"/>
      <c r="C16" s="357"/>
      <c r="D16" s="595" t="s">
        <v>278</v>
      </c>
      <c r="E16" s="596"/>
      <c r="F16" s="596"/>
      <c r="G16" s="596"/>
      <c r="H16" s="596"/>
      <c r="I16" s="597"/>
      <c r="J16" s="495"/>
      <c r="K16" s="330"/>
      <c r="L16" s="330"/>
      <c r="M16" s="330"/>
      <c r="N16" s="339"/>
      <c r="O16" s="330"/>
      <c r="P16" s="330"/>
      <c r="Q16" s="340"/>
      <c r="R16" s="121" t="str">
        <f t="shared" si="6"/>
        <v>-</v>
      </c>
      <c r="S16" s="121" t="str">
        <f t="shared" si="7"/>
        <v>-</v>
      </c>
      <c r="T16" s="122" t="str">
        <f t="shared" si="7"/>
        <v>-</v>
      </c>
      <c r="U16" s="142"/>
      <c r="V16" s="126"/>
      <c r="W16" s="126"/>
      <c r="X16" s="126"/>
      <c r="Y16" s="126"/>
      <c r="Z16" s="126"/>
      <c r="AA16" s="126"/>
      <c r="AB16" s="126"/>
      <c r="AC16" s="121" t="str">
        <f t="shared" si="1"/>
        <v>-</v>
      </c>
      <c r="AD16" s="121" t="str">
        <f t="shared" si="2"/>
        <v>-</v>
      </c>
      <c r="AE16" s="122" t="str">
        <f t="shared" si="2"/>
        <v>-</v>
      </c>
      <c r="AF16" s="448"/>
      <c r="AG16" s="442"/>
      <c r="AH16" s="442"/>
      <c r="AI16" s="442"/>
      <c r="AJ16" s="442"/>
      <c r="AK16" s="442"/>
      <c r="AL16" s="442"/>
      <c r="AM16" s="442"/>
      <c r="AN16" s="121" t="str">
        <f t="shared" si="8"/>
        <v>-</v>
      </c>
      <c r="AO16" s="121" t="str">
        <f t="shared" si="9"/>
        <v>-</v>
      </c>
      <c r="AP16" s="122" t="str">
        <f t="shared" si="9"/>
        <v>-</v>
      </c>
      <c r="AQ16" s="28"/>
      <c r="AR16" s="28"/>
      <c r="AS16" s="28"/>
      <c r="AT16" s="356"/>
      <c r="AU16" s="357"/>
      <c r="AV16" s="245" t="s">
        <v>161</v>
      </c>
      <c r="AW16" s="176"/>
      <c r="AX16" s="176"/>
      <c r="AY16" s="176"/>
      <c r="AZ16" s="176"/>
      <c r="BA16" s="177"/>
      <c r="BB16" s="495"/>
      <c r="BC16" s="330"/>
      <c r="BD16" s="330"/>
      <c r="BE16" s="330"/>
      <c r="BF16" s="339"/>
      <c r="BG16" s="330"/>
      <c r="BH16" s="330"/>
      <c r="BI16" s="340"/>
      <c r="BJ16" s="121" t="str">
        <f t="shared" si="10"/>
        <v>-</v>
      </c>
      <c r="BK16" s="121" t="str">
        <f t="shared" si="11"/>
        <v>-</v>
      </c>
      <c r="BL16" s="122" t="str">
        <f t="shared" si="11"/>
        <v>-</v>
      </c>
      <c r="BM16" s="142"/>
      <c r="BN16" s="126"/>
      <c r="BO16" s="126"/>
      <c r="BP16" s="126"/>
      <c r="BQ16" s="126"/>
      <c r="BR16" s="126"/>
      <c r="BS16" s="126"/>
      <c r="BT16" s="126"/>
      <c r="BU16" s="121" t="str">
        <f t="shared" si="4"/>
        <v>-</v>
      </c>
      <c r="BV16" s="121" t="str">
        <f t="shared" si="5"/>
        <v>-</v>
      </c>
      <c r="BW16" s="122" t="str">
        <f t="shared" si="5"/>
        <v>-</v>
      </c>
      <c r="BX16" s="448"/>
      <c r="BY16" s="442"/>
      <c r="BZ16" s="442"/>
      <c r="CA16" s="442"/>
      <c r="CB16" s="442"/>
      <c r="CC16" s="442"/>
      <c r="CD16" s="442"/>
      <c r="CE16" s="442"/>
      <c r="CF16" s="121" t="str">
        <f t="shared" si="12"/>
        <v>-</v>
      </c>
      <c r="CG16" s="121" t="str">
        <f t="shared" si="13"/>
        <v>-</v>
      </c>
      <c r="CH16" s="122" t="str">
        <f t="shared" si="13"/>
        <v>-</v>
      </c>
      <c r="CI16" s="34"/>
    </row>
    <row r="17" spans="2:87" ht="12.75" customHeight="1">
      <c r="B17" s="356"/>
      <c r="C17" s="357"/>
      <c r="D17" s="361" t="s">
        <v>223</v>
      </c>
      <c r="E17" s="361"/>
      <c r="F17" s="361"/>
      <c r="G17" s="361"/>
      <c r="H17" s="361"/>
      <c r="I17" s="362"/>
      <c r="J17" s="495"/>
      <c r="K17" s="330"/>
      <c r="L17" s="330"/>
      <c r="M17" s="330"/>
      <c r="N17" s="339"/>
      <c r="O17" s="330"/>
      <c r="P17" s="330"/>
      <c r="Q17" s="340"/>
      <c r="R17" s="121" t="str">
        <f t="shared" si="6"/>
        <v>-</v>
      </c>
      <c r="S17" s="121" t="str">
        <f t="shared" si="7"/>
        <v>-</v>
      </c>
      <c r="T17" s="122" t="str">
        <f t="shared" si="7"/>
        <v>-</v>
      </c>
      <c r="U17" s="142"/>
      <c r="V17" s="126"/>
      <c r="W17" s="126"/>
      <c r="X17" s="126"/>
      <c r="Y17" s="126"/>
      <c r="Z17" s="126"/>
      <c r="AA17" s="126"/>
      <c r="AB17" s="126"/>
      <c r="AC17" s="121" t="str">
        <f t="shared" si="1"/>
        <v>-</v>
      </c>
      <c r="AD17" s="121" t="str">
        <f t="shared" si="2"/>
        <v>-</v>
      </c>
      <c r="AE17" s="122" t="str">
        <f t="shared" si="2"/>
        <v>-</v>
      </c>
      <c r="AF17" s="448"/>
      <c r="AG17" s="442"/>
      <c r="AH17" s="442"/>
      <c r="AI17" s="442"/>
      <c r="AJ17" s="442"/>
      <c r="AK17" s="442"/>
      <c r="AL17" s="442"/>
      <c r="AM17" s="442"/>
      <c r="AN17" s="121" t="str">
        <f t="shared" si="8"/>
        <v>-</v>
      </c>
      <c r="AO17" s="121" t="str">
        <f t="shared" si="9"/>
        <v>-</v>
      </c>
      <c r="AP17" s="122" t="str">
        <f t="shared" si="9"/>
        <v>-</v>
      </c>
      <c r="AQ17" s="28"/>
      <c r="AR17" s="28"/>
      <c r="AS17" s="28"/>
      <c r="AT17" s="356"/>
      <c r="AU17" s="357"/>
      <c r="AV17" s="245" t="s">
        <v>162</v>
      </c>
      <c r="AW17" s="176"/>
      <c r="AX17" s="176"/>
      <c r="AY17" s="176"/>
      <c r="AZ17" s="176"/>
      <c r="BA17" s="177"/>
      <c r="BB17" s="495"/>
      <c r="BC17" s="330"/>
      <c r="BD17" s="330"/>
      <c r="BE17" s="330"/>
      <c r="BF17" s="339"/>
      <c r="BG17" s="330"/>
      <c r="BH17" s="330"/>
      <c r="BI17" s="340"/>
      <c r="BJ17" s="121" t="str">
        <f t="shared" si="10"/>
        <v>-</v>
      </c>
      <c r="BK17" s="121" t="str">
        <f t="shared" si="11"/>
        <v>-</v>
      </c>
      <c r="BL17" s="122" t="str">
        <f t="shared" si="11"/>
        <v>-</v>
      </c>
      <c r="BM17" s="142"/>
      <c r="BN17" s="126"/>
      <c r="BO17" s="126"/>
      <c r="BP17" s="126"/>
      <c r="BQ17" s="126"/>
      <c r="BR17" s="126"/>
      <c r="BS17" s="126"/>
      <c r="BT17" s="126"/>
      <c r="BU17" s="121" t="str">
        <f t="shared" si="4"/>
        <v>-</v>
      </c>
      <c r="BV17" s="121" t="str">
        <f t="shared" si="5"/>
        <v>-</v>
      </c>
      <c r="BW17" s="122" t="str">
        <f t="shared" si="5"/>
        <v>-</v>
      </c>
      <c r="BX17" s="448"/>
      <c r="BY17" s="442"/>
      <c r="BZ17" s="442"/>
      <c r="CA17" s="442"/>
      <c r="CB17" s="442"/>
      <c r="CC17" s="442"/>
      <c r="CD17" s="442"/>
      <c r="CE17" s="442"/>
      <c r="CF17" s="121" t="str">
        <f t="shared" si="12"/>
        <v>-</v>
      </c>
      <c r="CG17" s="121" t="str">
        <f t="shared" si="13"/>
        <v>-</v>
      </c>
      <c r="CH17" s="122" t="str">
        <f t="shared" si="13"/>
        <v>-</v>
      </c>
      <c r="CI17" s="34"/>
    </row>
    <row r="18" spans="2:87" ht="12.75" customHeight="1">
      <c r="B18" s="356"/>
      <c r="C18" s="357"/>
      <c r="D18" s="101" t="s">
        <v>136</v>
      </c>
      <c r="E18" s="101"/>
      <c r="F18" s="101"/>
      <c r="G18" s="101"/>
      <c r="H18" s="101"/>
      <c r="I18" s="102"/>
      <c r="J18" s="495"/>
      <c r="K18" s="330"/>
      <c r="L18" s="330"/>
      <c r="M18" s="330"/>
      <c r="N18" s="339"/>
      <c r="O18" s="330"/>
      <c r="P18" s="330"/>
      <c r="Q18" s="340"/>
      <c r="R18" s="121" t="str">
        <f t="shared" si="6"/>
        <v>-</v>
      </c>
      <c r="S18" s="121" t="str">
        <f t="shared" si="7"/>
        <v>-</v>
      </c>
      <c r="T18" s="122" t="str">
        <f t="shared" si="7"/>
        <v>-</v>
      </c>
      <c r="U18" s="142"/>
      <c r="V18" s="126"/>
      <c r="W18" s="126"/>
      <c r="X18" s="126"/>
      <c r="Y18" s="126"/>
      <c r="Z18" s="126"/>
      <c r="AA18" s="126"/>
      <c r="AB18" s="126"/>
      <c r="AC18" s="121" t="str">
        <f t="shared" si="1"/>
        <v>-</v>
      </c>
      <c r="AD18" s="121" t="str">
        <f t="shared" si="2"/>
        <v>-</v>
      </c>
      <c r="AE18" s="122" t="str">
        <f t="shared" si="2"/>
        <v>-</v>
      </c>
      <c r="AF18" s="448"/>
      <c r="AG18" s="442"/>
      <c r="AH18" s="442"/>
      <c r="AI18" s="442"/>
      <c r="AJ18" s="442"/>
      <c r="AK18" s="442"/>
      <c r="AL18" s="442"/>
      <c r="AM18" s="442"/>
      <c r="AN18" s="121" t="str">
        <f t="shared" si="8"/>
        <v>-</v>
      </c>
      <c r="AO18" s="121" t="str">
        <f t="shared" si="9"/>
        <v>-</v>
      </c>
      <c r="AP18" s="122" t="str">
        <f t="shared" si="9"/>
        <v>-</v>
      </c>
      <c r="AQ18" s="28"/>
      <c r="AR18" s="28"/>
      <c r="AS18" s="28"/>
      <c r="AT18" s="356"/>
      <c r="AU18" s="357"/>
      <c r="AV18" s="248" t="s">
        <v>188</v>
      </c>
      <c r="AW18" s="101"/>
      <c r="AX18" s="101"/>
      <c r="AY18" s="101"/>
      <c r="AZ18" s="101"/>
      <c r="BA18" s="102"/>
      <c r="BB18" s="495"/>
      <c r="BC18" s="330"/>
      <c r="BD18" s="330"/>
      <c r="BE18" s="330"/>
      <c r="BF18" s="339"/>
      <c r="BG18" s="330"/>
      <c r="BH18" s="330"/>
      <c r="BI18" s="340"/>
      <c r="BJ18" s="121" t="str">
        <f t="shared" si="10"/>
        <v>-</v>
      </c>
      <c r="BK18" s="121" t="str">
        <f t="shared" si="11"/>
        <v>-</v>
      </c>
      <c r="BL18" s="122" t="str">
        <f t="shared" si="11"/>
        <v>-</v>
      </c>
      <c r="BM18" s="142"/>
      <c r="BN18" s="126"/>
      <c r="BO18" s="126"/>
      <c r="BP18" s="126"/>
      <c r="BQ18" s="126"/>
      <c r="BR18" s="126"/>
      <c r="BS18" s="126"/>
      <c r="BT18" s="126"/>
      <c r="BU18" s="121" t="str">
        <f t="shared" si="4"/>
        <v>-</v>
      </c>
      <c r="BV18" s="121" t="str">
        <f t="shared" si="5"/>
        <v>-</v>
      </c>
      <c r="BW18" s="122" t="str">
        <f t="shared" si="5"/>
        <v>-</v>
      </c>
      <c r="BX18" s="448"/>
      <c r="BY18" s="442"/>
      <c r="BZ18" s="442"/>
      <c r="CA18" s="442"/>
      <c r="CB18" s="442"/>
      <c r="CC18" s="442"/>
      <c r="CD18" s="442"/>
      <c r="CE18" s="442"/>
      <c r="CF18" s="121" t="str">
        <f t="shared" si="12"/>
        <v>-</v>
      </c>
      <c r="CG18" s="121" t="str">
        <f t="shared" si="13"/>
        <v>-</v>
      </c>
      <c r="CH18" s="122" t="str">
        <f t="shared" si="13"/>
        <v>-</v>
      </c>
      <c r="CI18" s="34"/>
    </row>
    <row r="19" spans="2:87" ht="12.75" customHeight="1">
      <c r="B19" s="356"/>
      <c r="C19" s="357"/>
      <c r="D19" s="593" t="s">
        <v>279</v>
      </c>
      <c r="E19" s="176"/>
      <c r="F19" s="176"/>
      <c r="G19" s="176"/>
      <c r="H19" s="176"/>
      <c r="I19" s="177"/>
      <c r="J19" s="495"/>
      <c r="K19" s="330"/>
      <c r="L19" s="330"/>
      <c r="M19" s="330"/>
      <c r="N19" s="339"/>
      <c r="O19" s="330"/>
      <c r="P19" s="330"/>
      <c r="Q19" s="340"/>
      <c r="R19" s="121" t="str">
        <f t="shared" si="6"/>
        <v>-</v>
      </c>
      <c r="S19" s="121" t="str">
        <f t="shared" si="7"/>
        <v>-</v>
      </c>
      <c r="T19" s="122" t="str">
        <f t="shared" si="7"/>
        <v>-</v>
      </c>
      <c r="U19" s="142"/>
      <c r="V19" s="126"/>
      <c r="W19" s="126"/>
      <c r="X19" s="126"/>
      <c r="Y19" s="126"/>
      <c r="Z19" s="126"/>
      <c r="AA19" s="126"/>
      <c r="AB19" s="126"/>
      <c r="AC19" s="121" t="str">
        <f t="shared" si="1"/>
        <v>-</v>
      </c>
      <c r="AD19" s="121" t="str">
        <f t="shared" si="2"/>
        <v>-</v>
      </c>
      <c r="AE19" s="122" t="str">
        <f t="shared" si="2"/>
        <v>-</v>
      </c>
      <c r="AF19" s="448"/>
      <c r="AG19" s="442"/>
      <c r="AH19" s="442"/>
      <c r="AI19" s="442"/>
      <c r="AJ19" s="442"/>
      <c r="AK19" s="442"/>
      <c r="AL19" s="442"/>
      <c r="AM19" s="442"/>
      <c r="AN19" s="121" t="str">
        <f t="shared" si="8"/>
        <v>-</v>
      </c>
      <c r="AO19" s="121" t="str">
        <f t="shared" si="9"/>
        <v>-</v>
      </c>
      <c r="AP19" s="122" t="str">
        <f t="shared" si="9"/>
        <v>-</v>
      </c>
      <c r="AQ19" s="28"/>
      <c r="AR19" s="28"/>
      <c r="AS19" s="28"/>
      <c r="AT19" s="356"/>
      <c r="AU19" s="357"/>
      <c r="AV19" s="248" t="s">
        <v>187</v>
      </c>
      <c r="AW19" s="101"/>
      <c r="AX19" s="101"/>
      <c r="AY19" s="101"/>
      <c r="AZ19" s="101"/>
      <c r="BA19" s="102"/>
      <c r="BB19" s="495"/>
      <c r="BC19" s="330"/>
      <c r="BD19" s="330"/>
      <c r="BE19" s="330"/>
      <c r="BF19" s="339"/>
      <c r="BG19" s="330"/>
      <c r="BH19" s="330"/>
      <c r="BI19" s="340"/>
      <c r="BJ19" s="121" t="str">
        <f t="shared" si="10"/>
        <v>-</v>
      </c>
      <c r="BK19" s="121" t="str">
        <f t="shared" si="11"/>
        <v>-</v>
      </c>
      <c r="BL19" s="122" t="str">
        <f t="shared" si="11"/>
        <v>-</v>
      </c>
      <c r="BM19" s="142"/>
      <c r="BN19" s="126"/>
      <c r="BO19" s="126"/>
      <c r="BP19" s="126"/>
      <c r="BQ19" s="126"/>
      <c r="BR19" s="126"/>
      <c r="BS19" s="126"/>
      <c r="BT19" s="126"/>
      <c r="BU19" s="121" t="str">
        <f t="shared" si="4"/>
        <v>-</v>
      </c>
      <c r="BV19" s="121" t="str">
        <f t="shared" si="5"/>
        <v>-</v>
      </c>
      <c r="BW19" s="122" t="str">
        <f t="shared" si="5"/>
        <v>-</v>
      </c>
      <c r="BX19" s="448"/>
      <c r="BY19" s="442"/>
      <c r="BZ19" s="442"/>
      <c r="CA19" s="442"/>
      <c r="CB19" s="442"/>
      <c r="CC19" s="442"/>
      <c r="CD19" s="442"/>
      <c r="CE19" s="442"/>
      <c r="CF19" s="121" t="str">
        <f t="shared" si="12"/>
        <v>-</v>
      </c>
      <c r="CG19" s="121" t="str">
        <f t="shared" si="13"/>
        <v>-</v>
      </c>
      <c r="CH19" s="122" t="str">
        <f t="shared" si="13"/>
        <v>-</v>
      </c>
      <c r="CI19" s="34"/>
    </row>
    <row r="20" spans="2:87" ht="12.75" customHeight="1">
      <c r="B20" s="356"/>
      <c r="C20" s="357"/>
      <c r="D20" s="176" t="s">
        <v>199</v>
      </c>
      <c r="E20" s="176"/>
      <c r="F20" s="176"/>
      <c r="G20" s="176"/>
      <c r="H20" s="176"/>
      <c r="I20" s="177"/>
      <c r="J20" s="598"/>
      <c r="K20" s="565"/>
      <c r="L20" s="565"/>
      <c r="M20" s="565"/>
      <c r="N20" s="565"/>
      <c r="O20" s="565"/>
      <c r="P20" s="565"/>
      <c r="Q20" s="565"/>
      <c r="R20" s="530"/>
      <c r="S20" s="530"/>
      <c r="T20" s="531"/>
      <c r="U20" s="142"/>
      <c r="V20" s="126"/>
      <c r="W20" s="126"/>
      <c r="X20" s="126"/>
      <c r="Y20" s="126"/>
      <c r="Z20" s="126"/>
      <c r="AA20" s="126"/>
      <c r="AB20" s="126"/>
      <c r="AC20" s="121" t="str">
        <f t="shared" si="1"/>
        <v>-</v>
      </c>
      <c r="AD20" s="121" t="str">
        <f t="shared" si="2"/>
        <v>-</v>
      </c>
      <c r="AE20" s="122" t="str">
        <f t="shared" si="2"/>
        <v>-</v>
      </c>
      <c r="AF20" s="561"/>
      <c r="AG20" s="562"/>
      <c r="AH20" s="562"/>
      <c r="AI20" s="562"/>
      <c r="AJ20" s="562"/>
      <c r="AK20" s="562"/>
      <c r="AL20" s="562"/>
      <c r="AM20" s="562"/>
      <c r="AN20" s="530"/>
      <c r="AO20" s="530"/>
      <c r="AP20" s="531"/>
      <c r="AQ20" s="28"/>
      <c r="AR20" s="28"/>
      <c r="AS20" s="28"/>
      <c r="AT20" s="356"/>
      <c r="AU20" s="357"/>
      <c r="AV20" s="248" t="s">
        <v>454</v>
      </c>
      <c r="AW20" s="101"/>
      <c r="AX20" s="101"/>
      <c r="AY20" s="101"/>
      <c r="AZ20" s="101"/>
      <c r="BA20" s="102"/>
      <c r="BB20" s="495"/>
      <c r="BC20" s="330"/>
      <c r="BD20" s="330"/>
      <c r="BE20" s="330"/>
      <c r="BF20" s="339"/>
      <c r="BG20" s="330"/>
      <c r="BH20" s="330"/>
      <c r="BI20" s="340"/>
      <c r="BJ20" s="121" t="str">
        <f t="shared" si="10"/>
        <v>-</v>
      </c>
      <c r="BK20" s="121" t="str">
        <f t="shared" si="11"/>
        <v>-</v>
      </c>
      <c r="BL20" s="122" t="str">
        <f t="shared" si="11"/>
        <v>-</v>
      </c>
      <c r="BM20" s="142"/>
      <c r="BN20" s="126"/>
      <c r="BO20" s="126"/>
      <c r="BP20" s="126"/>
      <c r="BQ20" s="126"/>
      <c r="BR20" s="126"/>
      <c r="BS20" s="126"/>
      <c r="BT20" s="126"/>
      <c r="BU20" s="121" t="str">
        <f t="shared" si="4"/>
        <v>-</v>
      </c>
      <c r="BV20" s="121" t="str">
        <f t="shared" si="5"/>
        <v>-</v>
      </c>
      <c r="BW20" s="122" t="str">
        <f t="shared" si="5"/>
        <v>-</v>
      </c>
      <c r="BX20" s="448"/>
      <c r="BY20" s="442"/>
      <c r="BZ20" s="442"/>
      <c r="CA20" s="442"/>
      <c r="CB20" s="442"/>
      <c r="CC20" s="442"/>
      <c r="CD20" s="442"/>
      <c r="CE20" s="442"/>
      <c r="CF20" s="121" t="str">
        <f t="shared" si="12"/>
        <v>-</v>
      </c>
      <c r="CG20" s="121" t="str">
        <f t="shared" si="13"/>
        <v>-</v>
      </c>
      <c r="CH20" s="122" t="str">
        <f t="shared" si="13"/>
        <v>-</v>
      </c>
      <c r="CI20" s="35"/>
    </row>
    <row r="21" spans="2:87" ht="12.75" customHeight="1">
      <c r="B21" s="356"/>
      <c r="C21" s="357"/>
      <c r="D21" s="101" t="s">
        <v>137</v>
      </c>
      <c r="E21" s="101"/>
      <c r="F21" s="101"/>
      <c r="G21" s="101"/>
      <c r="H21" s="101"/>
      <c r="I21" s="102"/>
      <c r="J21" s="495"/>
      <c r="K21" s="330"/>
      <c r="L21" s="330"/>
      <c r="M21" s="330"/>
      <c r="N21" s="339"/>
      <c r="O21" s="330"/>
      <c r="P21" s="330"/>
      <c r="Q21" s="340"/>
      <c r="R21" s="121" t="str">
        <f>IF(J21="-", "-", IF(N21="-", "-", IF(ABS(N21)=0, "-", ROUND(100*(J21-N21)/ABS(N21), 10))))</f>
        <v>-</v>
      </c>
      <c r="S21" s="121" t="str">
        <f t="shared" ref="S21:T21" si="14">IF(O21="-", "-", IF(Q21="-", "-", IF(ABS(Q21)=0, "-", ROUND(100*(O21-Q21)/ABS(Q21), 1))))</f>
        <v>-</v>
      </c>
      <c r="T21" s="122" t="str">
        <f t="shared" si="14"/>
        <v>-</v>
      </c>
      <c r="U21" s="142"/>
      <c r="V21" s="126"/>
      <c r="W21" s="126"/>
      <c r="X21" s="126"/>
      <c r="Y21" s="126"/>
      <c r="Z21" s="126"/>
      <c r="AA21" s="126"/>
      <c r="AB21" s="126"/>
      <c r="AC21" s="121" t="str">
        <f t="shared" si="1"/>
        <v>-</v>
      </c>
      <c r="AD21" s="121" t="str">
        <f t="shared" si="2"/>
        <v>-</v>
      </c>
      <c r="AE21" s="122" t="str">
        <f t="shared" si="2"/>
        <v>-</v>
      </c>
      <c r="AF21" s="448"/>
      <c r="AG21" s="442"/>
      <c r="AH21" s="442"/>
      <c r="AI21" s="442"/>
      <c r="AJ21" s="442"/>
      <c r="AK21" s="442"/>
      <c r="AL21" s="442"/>
      <c r="AM21" s="442"/>
      <c r="AN21" s="121" t="str">
        <f>IF(AF21="-", "-", IF(AJ21="-", "-", IF(ABS(AJ21)=0, "-", ROUND(100*(AF21-AJ21)/ABS(AJ21), 10))))</f>
        <v>-</v>
      </c>
      <c r="AO21" s="121" t="str">
        <f t="shared" ref="AO21:AP21" si="15">IF(AK21="-", "-", IF(AM21="-", "-", IF(ABS(AM21)=0, "-", ROUND(100*(AK21-AM21)/ABS(AM21), 1))))</f>
        <v>-</v>
      </c>
      <c r="AP21" s="122" t="str">
        <f t="shared" si="15"/>
        <v>-</v>
      </c>
      <c r="AQ21" s="28"/>
      <c r="AR21" s="28"/>
      <c r="AS21" s="28"/>
      <c r="AT21" s="356"/>
      <c r="AU21" s="357"/>
      <c r="AV21" s="245" t="s">
        <v>86</v>
      </c>
      <c r="AW21" s="176"/>
      <c r="AX21" s="176"/>
      <c r="AY21" s="176"/>
      <c r="AZ21" s="176"/>
      <c r="BA21" s="177"/>
      <c r="BB21" s="495"/>
      <c r="BC21" s="330"/>
      <c r="BD21" s="330"/>
      <c r="BE21" s="330"/>
      <c r="BF21" s="339"/>
      <c r="BG21" s="330"/>
      <c r="BH21" s="330"/>
      <c r="BI21" s="340"/>
      <c r="BJ21" s="121" t="str">
        <f t="shared" si="10"/>
        <v>-</v>
      </c>
      <c r="BK21" s="121" t="str">
        <f t="shared" ref="BK21" si="16">IF(BG21="-", "-", IF(BI21="-", "-", IF(ABS(BI21)=0, "-", ROUND(100*(BG21-BI21)/ABS(BI21), 1))))</f>
        <v>-</v>
      </c>
      <c r="BL21" s="122" t="str">
        <f t="shared" ref="BL21" si="17">IF(BH21="-", "-", IF(BJ21="-", "-", IF(ABS(BJ21)=0, "-", ROUND(100*(BH21-BJ21)/ABS(BJ21), 1))))</f>
        <v>-</v>
      </c>
      <c r="BM21" s="142"/>
      <c r="BN21" s="126"/>
      <c r="BO21" s="126"/>
      <c r="BP21" s="126"/>
      <c r="BQ21" s="126"/>
      <c r="BR21" s="126"/>
      <c r="BS21" s="126"/>
      <c r="BT21" s="126"/>
      <c r="BU21" s="121" t="str">
        <f t="shared" si="4"/>
        <v>-</v>
      </c>
      <c r="BV21" s="121" t="str">
        <f t="shared" ref="BV21" si="18">IF(BR21="-", "-", IF(BT21="-", "-", IF(ABS(BT21)=0, "-", ROUND(100*(BR21-BT21)/ABS(BT21), 1))))</f>
        <v>-</v>
      </c>
      <c r="BW21" s="122" t="str">
        <f t="shared" ref="BW21" si="19">IF(BS21="-", "-", IF(BU21="-", "-", IF(ABS(BU21)=0, "-", ROUND(100*(BS21-BU21)/ABS(BU21), 1))))</f>
        <v>-</v>
      </c>
      <c r="BX21" s="448"/>
      <c r="BY21" s="442"/>
      <c r="BZ21" s="442"/>
      <c r="CA21" s="442"/>
      <c r="CB21" s="442"/>
      <c r="CC21" s="442"/>
      <c r="CD21" s="442"/>
      <c r="CE21" s="442"/>
      <c r="CF21" s="121" t="str">
        <f t="shared" si="12"/>
        <v>-</v>
      </c>
      <c r="CG21" s="121" t="str">
        <f t="shared" ref="CG21" si="20">IF(CC21="-", "-", IF(CE21="-", "-", IF(ABS(CE21)=0, "-", ROUND(100*(CC21-CE21)/ABS(CE21), 1))))</f>
        <v>-</v>
      </c>
      <c r="CH21" s="122" t="str">
        <f t="shared" ref="CH21" si="21">IF(CD21="-", "-", IF(CF21="-", "-", IF(ABS(CF21)=0, "-", ROUND(100*(CD21-CF21)/ABS(CF21), 1))))</f>
        <v>-</v>
      </c>
      <c r="CI21" s="34"/>
    </row>
    <row r="22" spans="2:87" ht="12.75" customHeight="1" thickBot="1">
      <c r="B22" s="356"/>
      <c r="C22" s="357"/>
      <c r="D22" s="176" t="s">
        <v>86</v>
      </c>
      <c r="E22" s="176"/>
      <c r="F22" s="176"/>
      <c r="G22" s="176"/>
      <c r="H22" s="176"/>
      <c r="I22" s="177"/>
      <c r="J22" s="598"/>
      <c r="K22" s="565"/>
      <c r="L22" s="565"/>
      <c r="M22" s="565"/>
      <c r="N22" s="565"/>
      <c r="O22" s="565"/>
      <c r="P22" s="565"/>
      <c r="Q22" s="565"/>
      <c r="R22" s="530"/>
      <c r="S22" s="530"/>
      <c r="T22" s="531"/>
      <c r="U22" s="142"/>
      <c r="V22" s="126"/>
      <c r="W22" s="126"/>
      <c r="X22" s="126"/>
      <c r="Y22" s="126"/>
      <c r="Z22" s="126"/>
      <c r="AA22" s="126"/>
      <c r="AB22" s="126"/>
      <c r="AC22" s="121" t="str">
        <f t="shared" si="1"/>
        <v>-</v>
      </c>
      <c r="AD22" s="121" t="str">
        <f t="shared" si="2"/>
        <v>-</v>
      </c>
      <c r="AE22" s="122" t="str">
        <f t="shared" si="2"/>
        <v>-</v>
      </c>
      <c r="AF22" s="561"/>
      <c r="AG22" s="562"/>
      <c r="AH22" s="562"/>
      <c r="AI22" s="562"/>
      <c r="AJ22" s="562"/>
      <c r="AK22" s="562"/>
      <c r="AL22" s="562"/>
      <c r="AM22" s="562"/>
      <c r="AN22" s="565"/>
      <c r="AO22" s="565"/>
      <c r="AP22" s="566"/>
      <c r="AQ22" s="28"/>
      <c r="AR22" s="28"/>
      <c r="AS22" s="28"/>
      <c r="AT22" s="514"/>
      <c r="AU22" s="515"/>
      <c r="AV22" s="570" t="s">
        <v>13</v>
      </c>
      <c r="AW22" s="290"/>
      <c r="AX22" s="290"/>
      <c r="AY22" s="290"/>
      <c r="AZ22" s="290"/>
      <c r="BA22" s="332"/>
      <c r="BB22" s="522"/>
      <c r="BC22" s="523"/>
      <c r="BD22" s="523"/>
      <c r="BE22" s="523"/>
      <c r="BF22" s="524"/>
      <c r="BG22" s="523"/>
      <c r="BH22" s="523"/>
      <c r="BI22" s="523"/>
      <c r="BJ22" s="524"/>
      <c r="BK22" s="523"/>
      <c r="BL22" s="529"/>
      <c r="BM22" s="151"/>
      <c r="BN22" s="152"/>
      <c r="BO22" s="152"/>
      <c r="BP22" s="152"/>
      <c r="BQ22" s="152"/>
      <c r="BR22" s="152"/>
      <c r="BS22" s="152"/>
      <c r="BT22" s="152"/>
      <c r="BU22" s="235" t="str">
        <f t="shared" si="4"/>
        <v>-</v>
      </c>
      <c r="BV22" s="235" t="str">
        <f t="shared" si="5"/>
        <v>-</v>
      </c>
      <c r="BW22" s="236" t="str">
        <f t="shared" si="5"/>
        <v>-</v>
      </c>
      <c r="BX22" s="522"/>
      <c r="BY22" s="523"/>
      <c r="BZ22" s="523"/>
      <c r="CA22" s="523"/>
      <c r="CB22" s="524"/>
      <c r="CC22" s="523"/>
      <c r="CD22" s="523"/>
      <c r="CE22" s="523"/>
      <c r="CF22" s="524"/>
      <c r="CG22" s="523"/>
      <c r="CH22" s="529"/>
      <c r="CI22" s="34"/>
    </row>
    <row r="23" spans="2:87" ht="12.75" customHeight="1">
      <c r="B23" s="356"/>
      <c r="C23" s="357"/>
      <c r="D23" s="603" t="s">
        <v>328</v>
      </c>
      <c r="E23" s="604"/>
      <c r="F23" s="245" t="s">
        <v>131</v>
      </c>
      <c r="G23" s="176"/>
      <c r="H23" s="176"/>
      <c r="I23" s="177"/>
      <c r="J23" s="495"/>
      <c r="K23" s="330"/>
      <c r="L23" s="330"/>
      <c r="M23" s="330"/>
      <c r="N23" s="339"/>
      <c r="O23" s="330"/>
      <c r="P23" s="330"/>
      <c r="Q23" s="340"/>
      <c r="R23" s="121" t="str">
        <f>IF(J23="-", "-", IF(N23="-", "-", IF(ABS(N23)=0, "-", ROUND(100*(J23-N23)/ABS(N23), 10))))</f>
        <v>-</v>
      </c>
      <c r="S23" s="121" t="str">
        <f t="shared" ref="S23:T25" si="22">IF(O23="-", "-", IF(Q23="-", "-", IF(ABS(Q23)=0, "-", ROUND(100*(O23-Q23)/ABS(Q23), 1))))</f>
        <v>-</v>
      </c>
      <c r="T23" s="122" t="str">
        <f t="shared" si="22"/>
        <v>-</v>
      </c>
      <c r="U23" s="142"/>
      <c r="V23" s="126"/>
      <c r="W23" s="126"/>
      <c r="X23" s="126"/>
      <c r="Y23" s="126"/>
      <c r="Z23" s="126"/>
      <c r="AA23" s="126"/>
      <c r="AB23" s="126"/>
      <c r="AC23" s="121" t="str">
        <f t="shared" si="1"/>
        <v>-</v>
      </c>
      <c r="AD23" s="121" t="str">
        <f t="shared" si="2"/>
        <v>-</v>
      </c>
      <c r="AE23" s="122" t="str">
        <f t="shared" si="2"/>
        <v>-</v>
      </c>
      <c r="AF23" s="448"/>
      <c r="AG23" s="442"/>
      <c r="AH23" s="442"/>
      <c r="AI23" s="442"/>
      <c r="AJ23" s="442"/>
      <c r="AK23" s="442"/>
      <c r="AL23" s="442"/>
      <c r="AM23" s="442"/>
      <c r="AN23" s="121" t="str">
        <f>IF(AF23="-", "-", IF(AJ23="-", "-", IF(ABS(AJ23)=0, "-", ROUND(100*(AF23-AJ23)/ABS(AJ23), 10))))</f>
        <v>-</v>
      </c>
      <c r="AO23" s="121" t="str">
        <f t="shared" ref="AO23:AP25" si="23">IF(AK23="-", "-", IF(AM23="-", "-", IF(ABS(AM23)=0, "-", ROUND(100*(AK23-AM23)/ABS(AM23), 1))))</f>
        <v>-</v>
      </c>
      <c r="AP23" s="122" t="str">
        <f t="shared" si="23"/>
        <v>-</v>
      </c>
      <c r="AQ23" s="28"/>
      <c r="AR23" s="28"/>
      <c r="AS23" s="28"/>
      <c r="CI23" s="34"/>
    </row>
    <row r="24" spans="2:87" ht="12.75" customHeight="1">
      <c r="B24" s="356"/>
      <c r="C24" s="357"/>
      <c r="D24" s="605"/>
      <c r="E24" s="606"/>
      <c r="F24" s="245" t="s">
        <v>138</v>
      </c>
      <c r="G24" s="176"/>
      <c r="H24" s="176"/>
      <c r="I24" s="177"/>
      <c r="J24" s="495"/>
      <c r="K24" s="330"/>
      <c r="L24" s="330"/>
      <c r="M24" s="330"/>
      <c r="N24" s="339"/>
      <c r="O24" s="330"/>
      <c r="P24" s="330"/>
      <c r="Q24" s="340"/>
      <c r="R24" s="121" t="str">
        <f>IF(J24="-", "-", IF(N24="-", "-", IF(ABS(N24)=0, "-", ROUND(100*(J24-N24)/ABS(N24), 10))))</f>
        <v>-</v>
      </c>
      <c r="S24" s="121" t="str">
        <f t="shared" si="22"/>
        <v>-</v>
      </c>
      <c r="T24" s="122" t="str">
        <f t="shared" si="22"/>
        <v>-</v>
      </c>
      <c r="U24" s="142"/>
      <c r="V24" s="126"/>
      <c r="W24" s="126"/>
      <c r="X24" s="126"/>
      <c r="Y24" s="126"/>
      <c r="Z24" s="126"/>
      <c r="AA24" s="126"/>
      <c r="AB24" s="126"/>
      <c r="AC24" s="121" t="str">
        <f t="shared" si="1"/>
        <v>-</v>
      </c>
      <c r="AD24" s="121" t="str">
        <f t="shared" si="2"/>
        <v>-</v>
      </c>
      <c r="AE24" s="122" t="str">
        <f t="shared" si="2"/>
        <v>-</v>
      </c>
      <c r="AF24" s="448"/>
      <c r="AG24" s="442"/>
      <c r="AH24" s="442"/>
      <c r="AI24" s="442"/>
      <c r="AJ24" s="442"/>
      <c r="AK24" s="442"/>
      <c r="AL24" s="442"/>
      <c r="AM24" s="442"/>
      <c r="AN24" s="121" t="str">
        <f>IF(AF24="-", "-", IF(AJ24="-", "-", IF(ABS(AJ24)=0, "-", ROUND(100*(AF24-AJ24)/ABS(AJ24), 10))))</f>
        <v>-</v>
      </c>
      <c r="AO24" s="121" t="str">
        <f t="shared" si="23"/>
        <v>-</v>
      </c>
      <c r="AP24" s="122" t="str">
        <f t="shared" si="23"/>
        <v>-</v>
      </c>
      <c r="AQ24" s="28"/>
      <c r="AR24" s="28"/>
      <c r="AS24" s="28"/>
      <c r="CI24" s="34"/>
    </row>
    <row r="25" spans="2:87" ht="12.75" customHeight="1">
      <c r="B25" s="356"/>
      <c r="C25" s="357"/>
      <c r="D25" s="605"/>
      <c r="E25" s="606"/>
      <c r="F25" s="248" t="s">
        <v>191</v>
      </c>
      <c r="G25" s="101"/>
      <c r="H25" s="101"/>
      <c r="I25" s="102"/>
      <c r="J25" s="495"/>
      <c r="K25" s="330"/>
      <c r="L25" s="330"/>
      <c r="M25" s="330"/>
      <c r="N25" s="339"/>
      <c r="O25" s="330"/>
      <c r="P25" s="330"/>
      <c r="Q25" s="340"/>
      <c r="R25" s="121" t="str">
        <f>IF(J25="-", "-", IF(N25="-", "-", IF(ABS(N25)=0, "-", ROUND(100*(J25-N25)/ABS(N25), 10))))</f>
        <v>-</v>
      </c>
      <c r="S25" s="121" t="str">
        <f t="shared" si="22"/>
        <v>-</v>
      </c>
      <c r="T25" s="122" t="str">
        <f t="shared" si="22"/>
        <v>-</v>
      </c>
      <c r="U25" s="142"/>
      <c r="V25" s="126"/>
      <c r="W25" s="126"/>
      <c r="X25" s="126"/>
      <c r="Y25" s="126"/>
      <c r="Z25" s="126"/>
      <c r="AA25" s="126"/>
      <c r="AB25" s="126"/>
      <c r="AC25" s="121" t="str">
        <f t="shared" si="1"/>
        <v>-</v>
      </c>
      <c r="AD25" s="121" t="str">
        <f t="shared" si="2"/>
        <v>-</v>
      </c>
      <c r="AE25" s="122" t="str">
        <f t="shared" si="2"/>
        <v>-</v>
      </c>
      <c r="AF25" s="448"/>
      <c r="AG25" s="442"/>
      <c r="AH25" s="442"/>
      <c r="AI25" s="442"/>
      <c r="AJ25" s="442"/>
      <c r="AK25" s="442"/>
      <c r="AL25" s="442"/>
      <c r="AM25" s="442"/>
      <c r="AN25" s="121" t="str">
        <f>IF(AF25="-", "-", IF(AJ25="-", "-", IF(ABS(AJ25)=0, "-", ROUND(100*(AF25-AJ25)/ABS(AJ25), 10))))</f>
        <v>-</v>
      </c>
      <c r="AO25" s="121" t="str">
        <f t="shared" si="23"/>
        <v>-</v>
      </c>
      <c r="AP25" s="122" t="str">
        <f t="shared" si="23"/>
        <v>-</v>
      </c>
      <c r="AQ25" s="28"/>
      <c r="AR25" s="28"/>
      <c r="AS25" s="28"/>
      <c r="CI25" s="34"/>
    </row>
    <row r="26" spans="2:87" ht="12.75" customHeight="1" thickBot="1">
      <c r="B26" s="356"/>
      <c r="C26" s="357"/>
      <c r="D26" s="607"/>
      <c r="E26" s="608"/>
      <c r="F26" s="245" t="s">
        <v>86</v>
      </c>
      <c r="G26" s="176"/>
      <c r="H26" s="176"/>
      <c r="I26" s="177"/>
      <c r="J26" s="598"/>
      <c r="K26" s="565"/>
      <c r="L26" s="565"/>
      <c r="M26" s="565"/>
      <c r="N26" s="565"/>
      <c r="O26" s="565"/>
      <c r="P26" s="565"/>
      <c r="Q26" s="565"/>
      <c r="R26" s="530"/>
      <c r="S26" s="530"/>
      <c r="T26" s="531"/>
      <c r="U26" s="142"/>
      <c r="V26" s="126"/>
      <c r="W26" s="126"/>
      <c r="X26" s="126"/>
      <c r="Y26" s="126"/>
      <c r="Z26" s="126"/>
      <c r="AA26" s="126"/>
      <c r="AB26" s="126"/>
      <c r="AC26" s="121" t="str">
        <f t="shared" si="1"/>
        <v>-</v>
      </c>
      <c r="AD26" s="121" t="str">
        <f t="shared" ref="AD26:AE41" si="24">IF(Z26="-", "-", IF(AB26="-", "-", IF(ABS(AB26)=0, "-", ROUND(100*(Z26-AB26)/ABS(AB26), 1))))</f>
        <v>-</v>
      </c>
      <c r="AE26" s="122" t="str">
        <f t="shared" si="24"/>
        <v>-</v>
      </c>
      <c r="AF26" s="561"/>
      <c r="AG26" s="562"/>
      <c r="AH26" s="562"/>
      <c r="AI26" s="562"/>
      <c r="AJ26" s="562"/>
      <c r="AK26" s="562"/>
      <c r="AL26" s="562"/>
      <c r="AM26" s="562"/>
      <c r="AN26" s="530"/>
      <c r="AO26" s="530"/>
      <c r="AP26" s="531"/>
      <c r="AQ26" s="28"/>
      <c r="AR26" s="28"/>
      <c r="AS26" s="28"/>
      <c r="AT26" s="2" t="s">
        <v>481</v>
      </c>
      <c r="BL26" s="1" t="s">
        <v>4</v>
      </c>
      <c r="CI26" s="34"/>
    </row>
    <row r="27" spans="2:87" ht="12.75" customHeight="1" thickBot="1">
      <c r="B27" s="358"/>
      <c r="C27" s="359"/>
      <c r="D27" s="176" t="s">
        <v>13</v>
      </c>
      <c r="E27" s="176"/>
      <c r="F27" s="176"/>
      <c r="G27" s="176"/>
      <c r="H27" s="176"/>
      <c r="I27" s="177"/>
      <c r="J27" s="598"/>
      <c r="K27" s="565"/>
      <c r="L27" s="565"/>
      <c r="M27" s="565"/>
      <c r="N27" s="565"/>
      <c r="O27" s="565"/>
      <c r="P27" s="565"/>
      <c r="Q27" s="565"/>
      <c r="R27" s="530"/>
      <c r="S27" s="530"/>
      <c r="T27" s="531"/>
      <c r="U27" s="568"/>
      <c r="V27" s="569"/>
      <c r="W27" s="569"/>
      <c r="X27" s="569"/>
      <c r="Y27" s="569"/>
      <c r="Z27" s="569"/>
      <c r="AA27" s="569"/>
      <c r="AB27" s="569"/>
      <c r="AC27" s="445" t="str">
        <f t="shared" si="1"/>
        <v>-</v>
      </c>
      <c r="AD27" s="445" t="str">
        <f t="shared" si="24"/>
        <v>-</v>
      </c>
      <c r="AE27" s="446" t="str">
        <f t="shared" si="24"/>
        <v>-</v>
      </c>
      <c r="AF27" s="561"/>
      <c r="AG27" s="562"/>
      <c r="AH27" s="562"/>
      <c r="AI27" s="562"/>
      <c r="AJ27" s="562"/>
      <c r="AK27" s="562"/>
      <c r="AL27" s="562"/>
      <c r="AM27" s="562"/>
      <c r="AN27" s="530"/>
      <c r="AO27" s="530"/>
      <c r="AP27" s="531"/>
      <c r="AQ27" s="28"/>
      <c r="AR27" s="28"/>
      <c r="AS27" s="28"/>
      <c r="AT27" s="224"/>
      <c r="AU27" s="225"/>
      <c r="AV27" s="548"/>
      <c r="AW27" s="548"/>
      <c r="AX27" s="548"/>
      <c r="AY27" s="548"/>
      <c r="AZ27" s="548"/>
      <c r="BA27" s="549"/>
      <c r="BB27" s="227" t="str">
        <f>IF($B$1&lt;&gt;"",$B$1,"")</f>
        <v/>
      </c>
      <c r="BC27" s="182"/>
      <c r="BD27" s="182"/>
      <c r="BE27" s="182"/>
      <c r="BF27" s="181" t="str">
        <f>IF($B$1&lt;&gt;"",$B$1-1,"")</f>
        <v/>
      </c>
      <c r="BG27" s="182"/>
      <c r="BH27" s="182"/>
      <c r="BI27" s="183"/>
      <c r="BJ27" s="184" t="s">
        <v>217</v>
      </c>
      <c r="BK27" s="185"/>
      <c r="BL27" s="186"/>
      <c r="CI27" s="34"/>
    </row>
    <row r="28" spans="2:87" ht="12.75" customHeight="1">
      <c r="B28" s="556" t="s">
        <v>143</v>
      </c>
      <c r="C28" s="557"/>
      <c r="D28" s="176" t="s">
        <v>139</v>
      </c>
      <c r="E28" s="176"/>
      <c r="F28" s="176"/>
      <c r="G28" s="176"/>
      <c r="H28" s="176"/>
      <c r="I28" s="177"/>
      <c r="J28" s="598"/>
      <c r="K28" s="565"/>
      <c r="L28" s="565"/>
      <c r="M28" s="565"/>
      <c r="N28" s="565"/>
      <c r="O28" s="565"/>
      <c r="P28" s="565"/>
      <c r="Q28" s="565"/>
      <c r="R28" s="530"/>
      <c r="S28" s="530"/>
      <c r="T28" s="531"/>
      <c r="U28" s="142"/>
      <c r="V28" s="126"/>
      <c r="W28" s="126"/>
      <c r="X28" s="126"/>
      <c r="Y28" s="126"/>
      <c r="Z28" s="126"/>
      <c r="AA28" s="126"/>
      <c r="AB28" s="126"/>
      <c r="AC28" s="121" t="str">
        <f t="shared" si="1"/>
        <v>-</v>
      </c>
      <c r="AD28" s="121" t="str">
        <f t="shared" si="24"/>
        <v>-</v>
      </c>
      <c r="AE28" s="122" t="str">
        <f t="shared" si="24"/>
        <v>-</v>
      </c>
      <c r="AF28" s="561"/>
      <c r="AG28" s="562"/>
      <c r="AH28" s="562"/>
      <c r="AI28" s="562"/>
      <c r="AJ28" s="562"/>
      <c r="AK28" s="562"/>
      <c r="AL28" s="562"/>
      <c r="AM28" s="562"/>
      <c r="AN28" s="530"/>
      <c r="AO28" s="530"/>
      <c r="AP28" s="531"/>
      <c r="AQ28" s="28"/>
      <c r="AR28" s="28"/>
      <c r="AS28" s="28"/>
      <c r="AT28" s="354" t="s">
        <v>114</v>
      </c>
      <c r="AU28" s="355"/>
      <c r="AV28" s="268" t="s">
        <v>100</v>
      </c>
      <c r="AW28" s="554"/>
      <c r="AX28" s="554"/>
      <c r="AY28" s="554"/>
      <c r="AZ28" s="554"/>
      <c r="BA28" s="555"/>
      <c r="BB28" s="147"/>
      <c r="BC28" s="118"/>
      <c r="BD28" s="118"/>
      <c r="BE28" s="118"/>
      <c r="BF28" s="118"/>
      <c r="BG28" s="118"/>
      <c r="BH28" s="118"/>
      <c r="BI28" s="118"/>
      <c r="BJ28" s="119" t="str">
        <f t="shared" ref="BJ28:BJ45" si="25">IF(BB28="-", "-", IF(BF28="-", "-", IF(ABS(BF28)=0, "-", ROUND(100*(BB28-BF28)/ABS(BF28), 10))))</f>
        <v>-</v>
      </c>
      <c r="BK28" s="119" t="str">
        <f t="shared" ref="BK28:BL33" si="26">IF(BG28="-", "-", IF(BI28="-", "-", IF(ABS(BI28)=0, "-", ROUND(100*(BG28-BI28)/ABS(BI28), 1))))</f>
        <v>-</v>
      </c>
      <c r="BL28" s="120" t="str">
        <f t="shared" si="26"/>
        <v>-</v>
      </c>
      <c r="CI28" s="34"/>
    </row>
    <row r="29" spans="2:87" ht="12.75" customHeight="1">
      <c r="B29" s="356"/>
      <c r="C29" s="357"/>
      <c r="D29" s="176" t="s">
        <v>140</v>
      </c>
      <c r="E29" s="176"/>
      <c r="F29" s="176"/>
      <c r="G29" s="176"/>
      <c r="H29" s="176"/>
      <c r="I29" s="177"/>
      <c r="J29" s="598"/>
      <c r="K29" s="565"/>
      <c r="L29" s="565"/>
      <c r="M29" s="565"/>
      <c r="N29" s="565"/>
      <c r="O29" s="565"/>
      <c r="P29" s="565"/>
      <c r="Q29" s="565"/>
      <c r="R29" s="530"/>
      <c r="S29" s="530"/>
      <c r="T29" s="531"/>
      <c r="U29" s="142"/>
      <c r="V29" s="126"/>
      <c r="W29" s="126"/>
      <c r="X29" s="126"/>
      <c r="Y29" s="126"/>
      <c r="Z29" s="126"/>
      <c r="AA29" s="126"/>
      <c r="AB29" s="126"/>
      <c r="AC29" s="121" t="str">
        <f t="shared" si="1"/>
        <v>-</v>
      </c>
      <c r="AD29" s="121" t="str">
        <f t="shared" si="24"/>
        <v>-</v>
      </c>
      <c r="AE29" s="122" t="str">
        <f t="shared" si="24"/>
        <v>-</v>
      </c>
      <c r="AF29" s="561"/>
      <c r="AG29" s="562"/>
      <c r="AH29" s="562"/>
      <c r="AI29" s="562"/>
      <c r="AJ29" s="562"/>
      <c r="AK29" s="562"/>
      <c r="AL29" s="562"/>
      <c r="AM29" s="562"/>
      <c r="AN29" s="530"/>
      <c r="AO29" s="530"/>
      <c r="AP29" s="531"/>
      <c r="AQ29" s="28"/>
      <c r="AR29" s="28"/>
      <c r="AS29" s="28"/>
      <c r="AT29" s="356"/>
      <c r="AU29" s="357"/>
      <c r="AW29" s="245" t="s">
        <v>101</v>
      </c>
      <c r="AX29" s="550"/>
      <c r="AY29" s="550"/>
      <c r="AZ29" s="550"/>
      <c r="BA29" s="551"/>
      <c r="BB29" s="142"/>
      <c r="BC29" s="126"/>
      <c r="BD29" s="126"/>
      <c r="BE29" s="126"/>
      <c r="BF29" s="126"/>
      <c r="BG29" s="126"/>
      <c r="BH29" s="126"/>
      <c r="BI29" s="126"/>
      <c r="BJ29" s="121" t="str">
        <f t="shared" si="25"/>
        <v>-</v>
      </c>
      <c r="BK29" s="121" t="str">
        <f t="shared" si="26"/>
        <v>-</v>
      </c>
      <c r="BL29" s="122" t="str">
        <f t="shared" si="26"/>
        <v>-</v>
      </c>
    </row>
    <row r="30" spans="2:87" ht="12.75" customHeight="1">
      <c r="B30" s="356"/>
      <c r="C30" s="357"/>
      <c r="D30" s="176" t="s">
        <v>141</v>
      </c>
      <c r="E30" s="176"/>
      <c r="F30" s="176"/>
      <c r="G30" s="176"/>
      <c r="H30" s="176"/>
      <c r="I30" s="177"/>
      <c r="J30" s="598"/>
      <c r="K30" s="565"/>
      <c r="L30" s="565"/>
      <c r="M30" s="565"/>
      <c r="N30" s="565"/>
      <c r="O30" s="565"/>
      <c r="P30" s="565"/>
      <c r="Q30" s="565"/>
      <c r="R30" s="530"/>
      <c r="S30" s="530"/>
      <c r="T30" s="531"/>
      <c r="U30" s="142"/>
      <c r="V30" s="126"/>
      <c r="W30" s="126"/>
      <c r="X30" s="126"/>
      <c r="Y30" s="126"/>
      <c r="Z30" s="126"/>
      <c r="AA30" s="126"/>
      <c r="AB30" s="126"/>
      <c r="AC30" s="121" t="str">
        <f t="shared" si="1"/>
        <v>-</v>
      </c>
      <c r="AD30" s="121" t="str">
        <f t="shared" si="24"/>
        <v>-</v>
      </c>
      <c r="AE30" s="122" t="str">
        <f t="shared" si="24"/>
        <v>-</v>
      </c>
      <c r="AF30" s="561"/>
      <c r="AG30" s="562"/>
      <c r="AH30" s="562"/>
      <c r="AI30" s="562"/>
      <c r="AJ30" s="562"/>
      <c r="AK30" s="562"/>
      <c r="AL30" s="562"/>
      <c r="AM30" s="562"/>
      <c r="AN30" s="530"/>
      <c r="AO30" s="530"/>
      <c r="AP30" s="531"/>
      <c r="AQ30" s="28"/>
      <c r="AR30" s="28"/>
      <c r="AS30" s="28"/>
      <c r="AT30" s="356"/>
      <c r="AU30" s="357"/>
      <c r="AW30" s="245" t="s">
        <v>74</v>
      </c>
      <c r="AX30" s="552"/>
      <c r="AY30" s="552"/>
      <c r="AZ30" s="552"/>
      <c r="BA30" s="553"/>
      <c r="BB30" s="142"/>
      <c r="BC30" s="126"/>
      <c r="BD30" s="126"/>
      <c r="BE30" s="126"/>
      <c r="BF30" s="126"/>
      <c r="BG30" s="126"/>
      <c r="BH30" s="126"/>
      <c r="BI30" s="126"/>
      <c r="BJ30" s="121" t="str">
        <f t="shared" si="25"/>
        <v>-</v>
      </c>
      <c r="BK30" s="121" t="str">
        <f t="shared" si="26"/>
        <v>-</v>
      </c>
      <c r="BL30" s="122" t="str">
        <f t="shared" si="26"/>
        <v>-</v>
      </c>
    </row>
    <row r="31" spans="2:87" ht="12.75" customHeight="1">
      <c r="B31" s="356"/>
      <c r="C31" s="357"/>
      <c r="D31" s="176" t="s">
        <v>142</v>
      </c>
      <c r="E31" s="176"/>
      <c r="F31" s="176"/>
      <c r="G31" s="176"/>
      <c r="H31" s="176"/>
      <c r="I31" s="177"/>
      <c r="J31" s="598"/>
      <c r="K31" s="565"/>
      <c r="L31" s="565"/>
      <c r="M31" s="565"/>
      <c r="N31" s="565"/>
      <c r="O31" s="565"/>
      <c r="P31" s="565"/>
      <c r="Q31" s="565"/>
      <c r="R31" s="530"/>
      <c r="S31" s="530"/>
      <c r="T31" s="531"/>
      <c r="U31" s="142"/>
      <c r="V31" s="126"/>
      <c r="W31" s="126"/>
      <c r="X31" s="126"/>
      <c r="Y31" s="126"/>
      <c r="Z31" s="126"/>
      <c r="AA31" s="126"/>
      <c r="AB31" s="126"/>
      <c r="AC31" s="121" t="str">
        <f t="shared" si="1"/>
        <v>-</v>
      </c>
      <c r="AD31" s="121" t="str">
        <f t="shared" si="24"/>
        <v>-</v>
      </c>
      <c r="AE31" s="122" t="str">
        <f t="shared" si="24"/>
        <v>-</v>
      </c>
      <c r="AF31" s="561"/>
      <c r="AG31" s="562"/>
      <c r="AH31" s="562"/>
      <c r="AI31" s="562"/>
      <c r="AJ31" s="562"/>
      <c r="AK31" s="562"/>
      <c r="AL31" s="562"/>
      <c r="AM31" s="562"/>
      <c r="AN31" s="530"/>
      <c r="AO31" s="530"/>
      <c r="AP31" s="531"/>
      <c r="AQ31" s="28"/>
      <c r="AR31" s="28"/>
      <c r="AS31" s="28"/>
      <c r="AT31" s="356"/>
      <c r="AU31" s="357"/>
      <c r="AV31" s="176" t="s">
        <v>102</v>
      </c>
      <c r="AW31" s="550"/>
      <c r="AX31" s="550"/>
      <c r="AY31" s="550"/>
      <c r="AZ31" s="550"/>
      <c r="BA31" s="551"/>
      <c r="BB31" s="142"/>
      <c r="BC31" s="126"/>
      <c r="BD31" s="126"/>
      <c r="BE31" s="126"/>
      <c r="BF31" s="126"/>
      <c r="BG31" s="126"/>
      <c r="BH31" s="126"/>
      <c r="BI31" s="126"/>
      <c r="BJ31" s="121" t="str">
        <f t="shared" si="25"/>
        <v>-</v>
      </c>
      <c r="BK31" s="121" t="str">
        <f t="shared" si="26"/>
        <v>-</v>
      </c>
      <c r="BL31" s="122" t="str">
        <f t="shared" si="26"/>
        <v>-</v>
      </c>
    </row>
    <row r="32" spans="2:87" ht="12.75" customHeight="1">
      <c r="B32" s="356"/>
      <c r="C32" s="357"/>
      <c r="D32" s="176" t="s">
        <v>86</v>
      </c>
      <c r="E32" s="176"/>
      <c r="F32" s="176"/>
      <c r="G32" s="176"/>
      <c r="H32" s="176"/>
      <c r="I32" s="177"/>
      <c r="J32" s="598"/>
      <c r="K32" s="565"/>
      <c r="L32" s="565"/>
      <c r="M32" s="565"/>
      <c r="N32" s="565"/>
      <c r="O32" s="565"/>
      <c r="P32" s="565"/>
      <c r="Q32" s="565"/>
      <c r="R32" s="530"/>
      <c r="S32" s="530"/>
      <c r="T32" s="531"/>
      <c r="U32" s="142"/>
      <c r="V32" s="126"/>
      <c r="W32" s="126"/>
      <c r="X32" s="126"/>
      <c r="Y32" s="126"/>
      <c r="Z32" s="126"/>
      <c r="AA32" s="126"/>
      <c r="AB32" s="126"/>
      <c r="AC32" s="121" t="str">
        <f t="shared" si="1"/>
        <v>-</v>
      </c>
      <c r="AD32" s="121" t="str">
        <f t="shared" si="24"/>
        <v>-</v>
      </c>
      <c r="AE32" s="122" t="str">
        <f t="shared" si="24"/>
        <v>-</v>
      </c>
      <c r="AF32" s="561"/>
      <c r="AG32" s="562"/>
      <c r="AH32" s="562"/>
      <c r="AI32" s="562"/>
      <c r="AJ32" s="562"/>
      <c r="AK32" s="562"/>
      <c r="AL32" s="562"/>
      <c r="AM32" s="562"/>
      <c r="AN32" s="530"/>
      <c r="AO32" s="530"/>
      <c r="AP32" s="531"/>
      <c r="AQ32" s="28"/>
      <c r="AR32" s="28"/>
      <c r="AS32" s="28"/>
      <c r="AT32" s="356"/>
      <c r="AU32" s="357"/>
      <c r="AV32" s="176" t="s">
        <v>103</v>
      </c>
      <c r="AW32" s="550"/>
      <c r="AX32" s="550"/>
      <c r="AY32" s="550"/>
      <c r="AZ32" s="550"/>
      <c r="BA32" s="551"/>
      <c r="BB32" s="142"/>
      <c r="BC32" s="126"/>
      <c r="BD32" s="126"/>
      <c r="BE32" s="126"/>
      <c r="BF32" s="126"/>
      <c r="BG32" s="126"/>
      <c r="BH32" s="126"/>
      <c r="BI32" s="126"/>
      <c r="BJ32" s="121" t="str">
        <f t="shared" si="25"/>
        <v>-</v>
      </c>
      <c r="BK32" s="121" t="str">
        <f t="shared" si="26"/>
        <v>-</v>
      </c>
      <c r="BL32" s="122" t="str">
        <f t="shared" si="26"/>
        <v>-</v>
      </c>
    </row>
    <row r="33" spans="2:64" ht="12.75" customHeight="1">
      <c r="B33" s="358"/>
      <c r="C33" s="359"/>
      <c r="D33" s="176" t="s">
        <v>13</v>
      </c>
      <c r="E33" s="176"/>
      <c r="F33" s="176"/>
      <c r="G33" s="176"/>
      <c r="H33" s="176"/>
      <c r="I33" s="177"/>
      <c r="J33" s="598"/>
      <c r="K33" s="565"/>
      <c r="L33" s="565"/>
      <c r="M33" s="565"/>
      <c r="N33" s="565"/>
      <c r="O33" s="565"/>
      <c r="P33" s="565"/>
      <c r="Q33" s="565"/>
      <c r="R33" s="530"/>
      <c r="S33" s="530"/>
      <c r="T33" s="531"/>
      <c r="U33" s="568"/>
      <c r="V33" s="569"/>
      <c r="W33" s="569"/>
      <c r="X33" s="569"/>
      <c r="Y33" s="569"/>
      <c r="Z33" s="569"/>
      <c r="AA33" s="569"/>
      <c r="AB33" s="569"/>
      <c r="AC33" s="445" t="str">
        <f t="shared" si="1"/>
        <v>-</v>
      </c>
      <c r="AD33" s="445" t="str">
        <f t="shared" si="24"/>
        <v>-</v>
      </c>
      <c r="AE33" s="446" t="str">
        <f t="shared" si="24"/>
        <v>-</v>
      </c>
      <c r="AF33" s="561"/>
      <c r="AG33" s="562"/>
      <c r="AH33" s="562"/>
      <c r="AI33" s="562"/>
      <c r="AJ33" s="562"/>
      <c r="AK33" s="562"/>
      <c r="AL33" s="562"/>
      <c r="AM33" s="562"/>
      <c r="AN33" s="530"/>
      <c r="AO33" s="530"/>
      <c r="AP33" s="531"/>
      <c r="AQ33" s="28"/>
      <c r="AR33" s="28"/>
      <c r="AS33" s="28"/>
      <c r="AT33" s="356"/>
      <c r="AU33" s="357"/>
      <c r="AV33" s="176" t="s">
        <v>104</v>
      </c>
      <c r="AW33" s="550"/>
      <c r="AX33" s="550"/>
      <c r="AY33" s="550"/>
      <c r="AZ33" s="550"/>
      <c r="BA33" s="551"/>
      <c r="BB33" s="142"/>
      <c r="BC33" s="126"/>
      <c r="BD33" s="126"/>
      <c r="BE33" s="126"/>
      <c r="BF33" s="126"/>
      <c r="BG33" s="126"/>
      <c r="BH33" s="126"/>
      <c r="BI33" s="126"/>
      <c r="BJ33" s="121" t="str">
        <f t="shared" si="25"/>
        <v>-</v>
      </c>
      <c r="BK33" s="121" t="str">
        <f t="shared" si="26"/>
        <v>-</v>
      </c>
      <c r="BL33" s="122" t="str">
        <f t="shared" si="26"/>
        <v>-</v>
      </c>
    </row>
    <row r="34" spans="2:64" ht="12.75" customHeight="1">
      <c r="B34" s="556" t="s">
        <v>151</v>
      </c>
      <c r="C34" s="557"/>
      <c r="D34" s="599" t="s">
        <v>150</v>
      </c>
      <c r="E34" s="600"/>
      <c r="F34" s="245" t="s">
        <v>144</v>
      </c>
      <c r="G34" s="176"/>
      <c r="H34" s="176"/>
      <c r="I34" s="177"/>
      <c r="J34" s="495"/>
      <c r="K34" s="330"/>
      <c r="L34" s="330"/>
      <c r="M34" s="330"/>
      <c r="N34" s="339"/>
      <c r="O34" s="330"/>
      <c r="P34" s="330"/>
      <c r="Q34" s="340"/>
      <c r="R34" s="121" t="str">
        <f t="shared" ref="R34:R39" si="27">IF(J34="-", "-", IF(N34="-", "-", IF(ABS(N34)=0, "-", ROUND(100*(J34-N34)/ABS(N34), 10))))</f>
        <v>-</v>
      </c>
      <c r="S34" s="121" t="str">
        <f t="shared" ref="S34:T39" si="28">IF(O34="-", "-", IF(Q34="-", "-", IF(ABS(Q34)=0, "-", ROUND(100*(O34-Q34)/ABS(Q34), 1))))</f>
        <v>-</v>
      </c>
      <c r="T34" s="122" t="str">
        <f t="shared" si="28"/>
        <v>-</v>
      </c>
      <c r="U34" s="142"/>
      <c r="V34" s="126"/>
      <c r="W34" s="126"/>
      <c r="X34" s="126"/>
      <c r="Y34" s="126"/>
      <c r="Z34" s="126"/>
      <c r="AA34" s="126"/>
      <c r="AB34" s="126"/>
      <c r="AC34" s="121" t="str">
        <f t="shared" si="1"/>
        <v>-</v>
      </c>
      <c r="AD34" s="121" t="str">
        <f t="shared" si="24"/>
        <v>-</v>
      </c>
      <c r="AE34" s="122" t="str">
        <f t="shared" si="24"/>
        <v>-</v>
      </c>
      <c r="AF34" s="448"/>
      <c r="AG34" s="442"/>
      <c r="AH34" s="442"/>
      <c r="AI34" s="442"/>
      <c r="AJ34" s="442"/>
      <c r="AK34" s="442"/>
      <c r="AL34" s="442"/>
      <c r="AM34" s="442"/>
      <c r="AN34" s="121" t="str">
        <f t="shared" ref="AN34:AN39" si="29">IF(AF34="-", "-", IF(AJ34="-", "-", IF(ABS(AJ34)=0, "-", ROUND(100*(AF34-AJ34)/ABS(AJ34), 10))))</f>
        <v>-</v>
      </c>
      <c r="AO34" s="121" t="str">
        <f t="shared" ref="AO34:AP39" si="30">IF(AK34="-", "-", IF(AM34="-", "-", IF(ABS(AM34)=0, "-", ROUND(100*(AK34-AM34)/ABS(AM34), 1))))</f>
        <v>-</v>
      </c>
      <c r="AP34" s="122" t="str">
        <f t="shared" si="30"/>
        <v>-</v>
      </c>
      <c r="AQ34" s="28"/>
      <c r="AR34" s="28"/>
      <c r="AS34" s="28"/>
      <c r="AT34" s="356"/>
      <c r="AU34" s="357"/>
      <c r="AV34" s="176" t="s">
        <v>105</v>
      </c>
      <c r="AW34" s="550"/>
      <c r="AX34" s="550"/>
      <c r="AY34" s="550"/>
      <c r="AZ34" s="550"/>
      <c r="BA34" s="551"/>
      <c r="BB34" s="142"/>
      <c r="BC34" s="126"/>
      <c r="BD34" s="126"/>
      <c r="BE34" s="126"/>
      <c r="BF34" s="126"/>
      <c r="BG34" s="126"/>
      <c r="BH34" s="126"/>
      <c r="BI34" s="126"/>
      <c r="BJ34" s="121" t="str">
        <f t="shared" si="25"/>
        <v>-</v>
      </c>
      <c r="BK34" s="121" t="str">
        <f t="shared" ref="BK34:BK45" si="31">IF(BG34="-", "-", IF(BI34="-", "-", IF(ABS(BI34)=0, "-", ROUND(100*(BG34-BI34)/ABS(BI34), 1))))</f>
        <v>-</v>
      </c>
      <c r="BL34" s="122" t="str">
        <f t="shared" ref="BL34:BL45" si="32">IF(BH34="-", "-", IF(BJ34="-", "-", IF(ABS(BJ34)=0, "-", ROUND(100*(BH34-BJ34)/ABS(BJ34), 1))))</f>
        <v>-</v>
      </c>
    </row>
    <row r="35" spans="2:64" ht="12.75" customHeight="1">
      <c r="B35" s="356"/>
      <c r="C35" s="357"/>
      <c r="D35" s="204"/>
      <c r="E35" s="601"/>
      <c r="F35" s="245" t="s">
        <v>145</v>
      </c>
      <c r="G35" s="176"/>
      <c r="H35" s="176"/>
      <c r="I35" s="177"/>
      <c r="J35" s="495"/>
      <c r="K35" s="330"/>
      <c r="L35" s="330"/>
      <c r="M35" s="330"/>
      <c r="N35" s="339"/>
      <c r="O35" s="330"/>
      <c r="P35" s="330"/>
      <c r="Q35" s="340"/>
      <c r="R35" s="121" t="str">
        <f t="shared" si="27"/>
        <v>-</v>
      </c>
      <c r="S35" s="121" t="str">
        <f t="shared" si="28"/>
        <v>-</v>
      </c>
      <c r="T35" s="122" t="str">
        <f t="shared" si="28"/>
        <v>-</v>
      </c>
      <c r="U35" s="142"/>
      <c r="V35" s="126"/>
      <c r="W35" s="126"/>
      <c r="X35" s="126"/>
      <c r="Y35" s="126"/>
      <c r="Z35" s="126"/>
      <c r="AA35" s="126"/>
      <c r="AB35" s="126"/>
      <c r="AC35" s="121" t="str">
        <f t="shared" si="1"/>
        <v>-</v>
      </c>
      <c r="AD35" s="121" t="str">
        <f t="shared" si="24"/>
        <v>-</v>
      </c>
      <c r="AE35" s="122" t="str">
        <f t="shared" si="24"/>
        <v>-</v>
      </c>
      <c r="AF35" s="448"/>
      <c r="AG35" s="442"/>
      <c r="AH35" s="442"/>
      <c r="AI35" s="442"/>
      <c r="AJ35" s="442"/>
      <c r="AK35" s="442"/>
      <c r="AL35" s="442"/>
      <c r="AM35" s="442"/>
      <c r="AN35" s="121" t="str">
        <f t="shared" si="29"/>
        <v>-</v>
      </c>
      <c r="AO35" s="121" t="str">
        <f t="shared" si="30"/>
        <v>-</v>
      </c>
      <c r="AP35" s="122" t="str">
        <f t="shared" si="30"/>
        <v>-</v>
      </c>
      <c r="AQ35" s="28"/>
      <c r="AR35" s="28"/>
      <c r="AS35" s="28"/>
      <c r="AT35" s="356"/>
      <c r="AU35" s="357"/>
      <c r="AV35" s="176" t="s">
        <v>106</v>
      </c>
      <c r="AW35" s="550"/>
      <c r="AX35" s="550"/>
      <c r="AY35" s="563"/>
      <c r="AZ35" s="563"/>
      <c r="BA35" s="564"/>
      <c r="BB35" s="142"/>
      <c r="BC35" s="126"/>
      <c r="BD35" s="126"/>
      <c r="BE35" s="126"/>
      <c r="BF35" s="126"/>
      <c r="BG35" s="126"/>
      <c r="BH35" s="126"/>
      <c r="BI35" s="126"/>
      <c r="BJ35" s="121" t="str">
        <f t="shared" si="25"/>
        <v>-</v>
      </c>
      <c r="BK35" s="121" t="str">
        <f t="shared" si="31"/>
        <v>-</v>
      </c>
      <c r="BL35" s="122" t="str">
        <f t="shared" si="32"/>
        <v>-</v>
      </c>
    </row>
    <row r="36" spans="2:64" ht="12.75" customHeight="1">
      <c r="B36" s="356"/>
      <c r="C36" s="357"/>
      <c r="D36" s="204"/>
      <c r="E36" s="601"/>
      <c r="F36" s="245" t="s">
        <v>146</v>
      </c>
      <c r="G36" s="176"/>
      <c r="H36" s="176"/>
      <c r="I36" s="177"/>
      <c r="J36" s="495"/>
      <c r="K36" s="330"/>
      <c r="L36" s="330"/>
      <c r="M36" s="330"/>
      <c r="N36" s="339"/>
      <c r="O36" s="330"/>
      <c r="P36" s="330"/>
      <c r="Q36" s="340"/>
      <c r="R36" s="121" t="str">
        <f t="shared" si="27"/>
        <v>-</v>
      </c>
      <c r="S36" s="121" t="str">
        <f t="shared" si="28"/>
        <v>-</v>
      </c>
      <c r="T36" s="122" t="str">
        <f t="shared" si="28"/>
        <v>-</v>
      </c>
      <c r="U36" s="142"/>
      <c r="V36" s="126"/>
      <c r="W36" s="126"/>
      <c r="X36" s="126"/>
      <c r="Y36" s="126"/>
      <c r="Z36" s="126"/>
      <c r="AA36" s="126"/>
      <c r="AB36" s="126"/>
      <c r="AC36" s="121" t="str">
        <f t="shared" si="1"/>
        <v>-</v>
      </c>
      <c r="AD36" s="121" t="str">
        <f t="shared" si="24"/>
        <v>-</v>
      </c>
      <c r="AE36" s="122" t="str">
        <f t="shared" si="24"/>
        <v>-</v>
      </c>
      <c r="AF36" s="448"/>
      <c r="AG36" s="442"/>
      <c r="AH36" s="442"/>
      <c r="AI36" s="442"/>
      <c r="AJ36" s="442"/>
      <c r="AK36" s="442"/>
      <c r="AL36" s="442"/>
      <c r="AM36" s="442"/>
      <c r="AN36" s="121" t="str">
        <f t="shared" si="29"/>
        <v>-</v>
      </c>
      <c r="AO36" s="121" t="str">
        <f t="shared" si="30"/>
        <v>-</v>
      </c>
      <c r="AP36" s="122" t="str">
        <f t="shared" si="30"/>
        <v>-</v>
      </c>
      <c r="AQ36" s="28"/>
      <c r="AR36" s="28"/>
      <c r="AS36" s="28"/>
      <c r="AT36" s="356"/>
      <c r="AU36" s="357"/>
      <c r="AV36" s="176" t="s">
        <v>107</v>
      </c>
      <c r="AW36" s="550"/>
      <c r="AX36" s="550"/>
      <c r="AY36" s="550"/>
      <c r="AZ36" s="550"/>
      <c r="BA36" s="551"/>
      <c r="BB36" s="142"/>
      <c r="BC36" s="126"/>
      <c r="BD36" s="126"/>
      <c r="BE36" s="126"/>
      <c r="BF36" s="126"/>
      <c r="BG36" s="126"/>
      <c r="BH36" s="126"/>
      <c r="BI36" s="126"/>
      <c r="BJ36" s="121" t="str">
        <f t="shared" si="25"/>
        <v>-</v>
      </c>
      <c r="BK36" s="121" t="str">
        <f t="shared" si="31"/>
        <v>-</v>
      </c>
      <c r="BL36" s="122" t="str">
        <f t="shared" si="32"/>
        <v>-</v>
      </c>
    </row>
    <row r="37" spans="2:64" ht="12.75" customHeight="1">
      <c r="B37" s="356"/>
      <c r="C37" s="357"/>
      <c r="D37" s="204"/>
      <c r="E37" s="601"/>
      <c r="F37" s="245" t="s">
        <v>224</v>
      </c>
      <c r="G37" s="176"/>
      <c r="H37" s="176"/>
      <c r="I37" s="177"/>
      <c r="J37" s="495"/>
      <c r="K37" s="330"/>
      <c r="L37" s="330"/>
      <c r="M37" s="330"/>
      <c r="N37" s="339"/>
      <c r="O37" s="330"/>
      <c r="P37" s="330"/>
      <c r="Q37" s="340"/>
      <c r="R37" s="121" t="str">
        <f t="shared" si="27"/>
        <v>-</v>
      </c>
      <c r="S37" s="121" t="str">
        <f t="shared" si="28"/>
        <v>-</v>
      </c>
      <c r="T37" s="122" t="str">
        <f t="shared" si="28"/>
        <v>-</v>
      </c>
      <c r="U37" s="142"/>
      <c r="V37" s="126"/>
      <c r="W37" s="126"/>
      <c r="X37" s="126"/>
      <c r="Y37" s="126"/>
      <c r="Z37" s="126"/>
      <c r="AA37" s="126"/>
      <c r="AB37" s="126"/>
      <c r="AC37" s="121" t="str">
        <f t="shared" si="1"/>
        <v>-</v>
      </c>
      <c r="AD37" s="121" t="str">
        <f t="shared" si="24"/>
        <v>-</v>
      </c>
      <c r="AE37" s="122" t="str">
        <f t="shared" si="24"/>
        <v>-</v>
      </c>
      <c r="AF37" s="448"/>
      <c r="AG37" s="442"/>
      <c r="AH37" s="442"/>
      <c r="AI37" s="442"/>
      <c r="AJ37" s="442"/>
      <c r="AK37" s="442"/>
      <c r="AL37" s="442"/>
      <c r="AM37" s="442"/>
      <c r="AN37" s="121" t="str">
        <f t="shared" si="29"/>
        <v>-</v>
      </c>
      <c r="AO37" s="121" t="str">
        <f t="shared" si="30"/>
        <v>-</v>
      </c>
      <c r="AP37" s="122" t="str">
        <f t="shared" si="30"/>
        <v>-</v>
      </c>
      <c r="AQ37" s="28"/>
      <c r="AR37" s="28"/>
      <c r="AS37" s="28"/>
      <c r="AT37" s="356"/>
      <c r="AU37" s="357"/>
      <c r="AV37" s="176" t="s">
        <v>108</v>
      </c>
      <c r="AW37" s="550"/>
      <c r="AX37" s="550"/>
      <c r="AY37" s="550"/>
      <c r="AZ37" s="550"/>
      <c r="BA37" s="551"/>
      <c r="BB37" s="142"/>
      <c r="BC37" s="126"/>
      <c r="BD37" s="126"/>
      <c r="BE37" s="126"/>
      <c r="BF37" s="126"/>
      <c r="BG37" s="126"/>
      <c r="BH37" s="126"/>
      <c r="BI37" s="126"/>
      <c r="BJ37" s="121" t="str">
        <f t="shared" si="25"/>
        <v>-</v>
      </c>
      <c r="BK37" s="121" t="str">
        <f t="shared" si="31"/>
        <v>-</v>
      </c>
      <c r="BL37" s="122" t="str">
        <f t="shared" si="32"/>
        <v>-</v>
      </c>
    </row>
    <row r="38" spans="2:64" ht="12.75" customHeight="1">
      <c r="B38" s="356"/>
      <c r="C38" s="357"/>
      <c r="D38" s="204"/>
      <c r="E38" s="601"/>
      <c r="F38" s="245" t="s">
        <v>147</v>
      </c>
      <c r="G38" s="176"/>
      <c r="H38" s="176"/>
      <c r="I38" s="177"/>
      <c r="J38" s="495"/>
      <c r="K38" s="330"/>
      <c r="L38" s="330"/>
      <c r="M38" s="330"/>
      <c r="N38" s="339"/>
      <c r="O38" s="330"/>
      <c r="P38" s="330"/>
      <c r="Q38" s="340"/>
      <c r="R38" s="121" t="str">
        <f t="shared" si="27"/>
        <v>-</v>
      </c>
      <c r="S38" s="121" t="str">
        <f t="shared" si="28"/>
        <v>-</v>
      </c>
      <c r="T38" s="122" t="str">
        <f t="shared" si="28"/>
        <v>-</v>
      </c>
      <c r="U38" s="142"/>
      <c r="V38" s="126"/>
      <c r="W38" s="126"/>
      <c r="X38" s="126"/>
      <c r="Y38" s="126"/>
      <c r="Z38" s="126"/>
      <c r="AA38" s="126"/>
      <c r="AB38" s="126"/>
      <c r="AC38" s="121" t="str">
        <f t="shared" si="1"/>
        <v>-</v>
      </c>
      <c r="AD38" s="121" t="str">
        <f t="shared" si="24"/>
        <v>-</v>
      </c>
      <c r="AE38" s="122" t="str">
        <f t="shared" si="24"/>
        <v>-</v>
      </c>
      <c r="AF38" s="448"/>
      <c r="AG38" s="442"/>
      <c r="AH38" s="442"/>
      <c r="AI38" s="442"/>
      <c r="AJ38" s="442"/>
      <c r="AK38" s="442"/>
      <c r="AL38" s="442"/>
      <c r="AM38" s="442"/>
      <c r="AN38" s="121" t="str">
        <f t="shared" si="29"/>
        <v>-</v>
      </c>
      <c r="AO38" s="121" t="str">
        <f t="shared" si="30"/>
        <v>-</v>
      </c>
      <c r="AP38" s="122" t="str">
        <f t="shared" si="30"/>
        <v>-</v>
      </c>
      <c r="AQ38" s="8"/>
      <c r="AR38" s="28"/>
      <c r="AS38" s="28"/>
      <c r="AT38" s="358"/>
      <c r="AU38" s="359"/>
      <c r="AV38" s="176" t="s">
        <v>50</v>
      </c>
      <c r="AW38" s="550"/>
      <c r="AX38" s="550"/>
      <c r="AY38" s="550"/>
      <c r="AZ38" s="550"/>
      <c r="BA38" s="551"/>
      <c r="BB38" s="558"/>
      <c r="BC38" s="541"/>
      <c r="BD38" s="541"/>
      <c r="BE38" s="541"/>
      <c r="BF38" s="541"/>
      <c r="BG38" s="541"/>
      <c r="BH38" s="541"/>
      <c r="BI38" s="541"/>
      <c r="BJ38" s="486" t="str">
        <f t="shared" si="25"/>
        <v>-</v>
      </c>
      <c r="BK38" s="486" t="str">
        <f t="shared" si="31"/>
        <v>-</v>
      </c>
      <c r="BL38" s="487" t="str">
        <f t="shared" si="32"/>
        <v>-</v>
      </c>
    </row>
    <row r="39" spans="2:64" ht="12.75" customHeight="1">
      <c r="B39" s="356"/>
      <c r="C39" s="357"/>
      <c r="D39" s="334"/>
      <c r="E39" s="602"/>
      <c r="F39" s="245" t="s">
        <v>148</v>
      </c>
      <c r="G39" s="176"/>
      <c r="H39" s="176"/>
      <c r="I39" s="177"/>
      <c r="J39" s="495"/>
      <c r="K39" s="330"/>
      <c r="L39" s="330"/>
      <c r="M39" s="330"/>
      <c r="N39" s="339"/>
      <c r="O39" s="330"/>
      <c r="P39" s="330"/>
      <c r="Q39" s="340"/>
      <c r="R39" s="121" t="str">
        <f t="shared" si="27"/>
        <v>-</v>
      </c>
      <c r="S39" s="121" t="str">
        <f t="shared" si="28"/>
        <v>-</v>
      </c>
      <c r="T39" s="122" t="str">
        <f t="shared" si="28"/>
        <v>-</v>
      </c>
      <c r="U39" s="142"/>
      <c r="V39" s="126"/>
      <c r="W39" s="126"/>
      <c r="X39" s="126"/>
      <c r="Y39" s="126"/>
      <c r="Z39" s="126"/>
      <c r="AA39" s="126"/>
      <c r="AB39" s="126"/>
      <c r="AC39" s="121" t="str">
        <f t="shared" si="1"/>
        <v>-</v>
      </c>
      <c r="AD39" s="121" t="str">
        <f t="shared" si="24"/>
        <v>-</v>
      </c>
      <c r="AE39" s="122" t="str">
        <f t="shared" si="24"/>
        <v>-</v>
      </c>
      <c r="AF39" s="448"/>
      <c r="AG39" s="442"/>
      <c r="AH39" s="442"/>
      <c r="AI39" s="442"/>
      <c r="AJ39" s="442"/>
      <c r="AK39" s="442"/>
      <c r="AL39" s="442"/>
      <c r="AM39" s="442"/>
      <c r="AN39" s="121" t="str">
        <f t="shared" si="29"/>
        <v>-</v>
      </c>
      <c r="AO39" s="121" t="str">
        <f t="shared" si="30"/>
        <v>-</v>
      </c>
      <c r="AP39" s="122" t="str">
        <f t="shared" si="30"/>
        <v>-</v>
      </c>
      <c r="AQ39" s="28"/>
      <c r="AR39" s="28"/>
      <c r="AS39" s="28"/>
      <c r="AT39" s="516" t="s">
        <v>115</v>
      </c>
      <c r="AU39" s="517"/>
      <c r="AV39" s="176" t="s">
        <v>109</v>
      </c>
      <c r="AW39" s="550"/>
      <c r="AX39" s="550"/>
      <c r="AY39" s="550"/>
      <c r="AZ39" s="550"/>
      <c r="BA39" s="551"/>
      <c r="BB39" s="142"/>
      <c r="BC39" s="126"/>
      <c r="BD39" s="126"/>
      <c r="BE39" s="126"/>
      <c r="BF39" s="126"/>
      <c r="BG39" s="126"/>
      <c r="BH39" s="126"/>
      <c r="BI39" s="126"/>
      <c r="BJ39" s="121" t="str">
        <f t="shared" si="25"/>
        <v>-</v>
      </c>
      <c r="BK39" s="121" t="str">
        <f t="shared" si="31"/>
        <v>-</v>
      </c>
      <c r="BL39" s="122" t="str">
        <f t="shared" si="32"/>
        <v>-</v>
      </c>
    </row>
    <row r="40" spans="2:64" ht="12.75" customHeight="1">
      <c r="B40" s="356"/>
      <c r="C40" s="357"/>
      <c r="D40" s="176" t="s">
        <v>149</v>
      </c>
      <c r="E40" s="176"/>
      <c r="F40" s="176"/>
      <c r="G40" s="176"/>
      <c r="H40" s="176"/>
      <c r="I40" s="177"/>
      <c r="J40" s="228"/>
      <c r="K40" s="229"/>
      <c r="L40" s="229"/>
      <c r="M40" s="229"/>
      <c r="N40" s="263"/>
      <c r="O40" s="229"/>
      <c r="P40" s="229"/>
      <c r="Q40" s="229"/>
      <c r="R40" s="530"/>
      <c r="S40" s="530"/>
      <c r="T40" s="531"/>
      <c r="U40" s="142"/>
      <c r="V40" s="126"/>
      <c r="W40" s="126"/>
      <c r="X40" s="126"/>
      <c r="Y40" s="126"/>
      <c r="Z40" s="126"/>
      <c r="AA40" s="126"/>
      <c r="AB40" s="126"/>
      <c r="AC40" s="121" t="str">
        <f t="shared" si="1"/>
        <v>-</v>
      </c>
      <c r="AD40" s="121" t="str">
        <f t="shared" si="24"/>
        <v>-</v>
      </c>
      <c r="AE40" s="122" t="str">
        <f t="shared" si="24"/>
        <v>-</v>
      </c>
      <c r="AF40" s="561"/>
      <c r="AG40" s="562"/>
      <c r="AH40" s="562"/>
      <c r="AI40" s="562"/>
      <c r="AJ40" s="562"/>
      <c r="AK40" s="562"/>
      <c r="AL40" s="562"/>
      <c r="AM40" s="562"/>
      <c r="AN40" s="530"/>
      <c r="AO40" s="530"/>
      <c r="AP40" s="531"/>
      <c r="AQ40" s="28"/>
      <c r="AR40" s="28"/>
      <c r="AS40" s="28"/>
      <c r="AT40" s="518"/>
      <c r="AU40" s="519"/>
      <c r="AV40" s="101" t="s">
        <v>110</v>
      </c>
      <c r="AW40" s="546"/>
      <c r="AX40" s="546"/>
      <c r="AY40" s="546"/>
      <c r="AZ40" s="546"/>
      <c r="BA40" s="547"/>
      <c r="BB40" s="142"/>
      <c r="BC40" s="126"/>
      <c r="BD40" s="126"/>
      <c r="BE40" s="126"/>
      <c r="BF40" s="126"/>
      <c r="BG40" s="126"/>
      <c r="BH40" s="126"/>
      <c r="BI40" s="126"/>
      <c r="BJ40" s="121" t="str">
        <f t="shared" si="25"/>
        <v>-</v>
      </c>
      <c r="BK40" s="121" t="str">
        <f t="shared" si="31"/>
        <v>-</v>
      </c>
      <c r="BL40" s="122" t="str">
        <f t="shared" si="32"/>
        <v>-</v>
      </c>
    </row>
    <row r="41" spans="2:64" ht="12.75" customHeight="1">
      <c r="B41" s="356"/>
      <c r="C41" s="357"/>
      <c r="D41" s="176" t="s">
        <v>86</v>
      </c>
      <c r="E41" s="176"/>
      <c r="F41" s="176"/>
      <c r="G41" s="176"/>
      <c r="H41" s="176"/>
      <c r="I41" s="177"/>
      <c r="J41" s="228"/>
      <c r="K41" s="229"/>
      <c r="L41" s="229"/>
      <c r="M41" s="229"/>
      <c r="N41" s="263"/>
      <c r="O41" s="229"/>
      <c r="P41" s="229"/>
      <c r="Q41" s="229"/>
      <c r="R41" s="571"/>
      <c r="S41" s="572"/>
      <c r="T41" s="573"/>
      <c r="U41" s="142"/>
      <c r="V41" s="126"/>
      <c r="W41" s="126"/>
      <c r="X41" s="126"/>
      <c r="Y41" s="126"/>
      <c r="Z41" s="126"/>
      <c r="AA41" s="126"/>
      <c r="AB41" s="126"/>
      <c r="AC41" s="121" t="str">
        <f t="shared" si="1"/>
        <v>-</v>
      </c>
      <c r="AD41" s="121" t="str">
        <f t="shared" si="24"/>
        <v>-</v>
      </c>
      <c r="AE41" s="122" t="str">
        <f t="shared" si="24"/>
        <v>-</v>
      </c>
      <c r="AF41" s="561"/>
      <c r="AG41" s="562"/>
      <c r="AH41" s="562"/>
      <c r="AI41" s="562"/>
      <c r="AJ41" s="562"/>
      <c r="AK41" s="562"/>
      <c r="AL41" s="562"/>
      <c r="AM41" s="562"/>
      <c r="AN41" s="530"/>
      <c r="AO41" s="530"/>
      <c r="AP41" s="531"/>
      <c r="AQ41" s="28"/>
      <c r="AR41" s="28"/>
      <c r="AS41" s="28"/>
      <c r="AT41" s="518"/>
      <c r="AU41" s="519"/>
      <c r="AV41" s="101" t="s">
        <v>111</v>
      </c>
      <c r="AW41" s="546"/>
      <c r="AX41" s="546"/>
      <c r="AY41" s="546"/>
      <c r="AZ41" s="546"/>
      <c r="BA41" s="547"/>
      <c r="BB41" s="142"/>
      <c r="BC41" s="126"/>
      <c r="BD41" s="126"/>
      <c r="BE41" s="126"/>
      <c r="BF41" s="126"/>
      <c r="BG41" s="126"/>
      <c r="BH41" s="126"/>
      <c r="BI41" s="126"/>
      <c r="BJ41" s="121" t="str">
        <f t="shared" si="25"/>
        <v>-</v>
      </c>
      <c r="BK41" s="121" t="str">
        <f t="shared" si="31"/>
        <v>-</v>
      </c>
      <c r="BL41" s="122" t="str">
        <f t="shared" si="32"/>
        <v>-</v>
      </c>
    </row>
    <row r="42" spans="2:64" ht="12.75" customHeight="1">
      <c r="B42" s="356"/>
      <c r="C42" s="357"/>
      <c r="D42" s="176" t="s">
        <v>328</v>
      </c>
      <c r="E42" s="176"/>
      <c r="F42" s="176"/>
      <c r="G42" s="176"/>
      <c r="H42" s="176"/>
      <c r="I42" s="177"/>
      <c r="J42" s="228"/>
      <c r="K42" s="229"/>
      <c r="L42" s="229"/>
      <c r="M42" s="229"/>
      <c r="N42" s="263"/>
      <c r="O42" s="229"/>
      <c r="P42" s="229"/>
      <c r="Q42" s="229"/>
      <c r="R42" s="530"/>
      <c r="S42" s="530"/>
      <c r="T42" s="531"/>
      <c r="U42" s="142"/>
      <c r="V42" s="126"/>
      <c r="W42" s="126"/>
      <c r="X42" s="126"/>
      <c r="Y42" s="126"/>
      <c r="Z42" s="126"/>
      <c r="AA42" s="126"/>
      <c r="AB42" s="126"/>
      <c r="AC42" s="121" t="str">
        <f t="shared" si="1"/>
        <v>-</v>
      </c>
      <c r="AD42" s="121" t="str">
        <f t="shared" ref="AD42:AE53" si="33">IF(Z42="-", "-", IF(AB42="-", "-", IF(ABS(AB42)=0, "-", ROUND(100*(Z42-AB42)/ABS(AB42), 1))))</f>
        <v>-</v>
      </c>
      <c r="AE42" s="122" t="str">
        <f t="shared" si="33"/>
        <v>-</v>
      </c>
      <c r="AF42" s="561"/>
      <c r="AG42" s="562"/>
      <c r="AH42" s="562"/>
      <c r="AI42" s="562"/>
      <c r="AJ42" s="562"/>
      <c r="AK42" s="562"/>
      <c r="AL42" s="562"/>
      <c r="AM42" s="562"/>
      <c r="AN42" s="530"/>
      <c r="AO42" s="530"/>
      <c r="AP42" s="531"/>
      <c r="AQ42" s="28"/>
      <c r="AR42" s="28"/>
      <c r="AS42" s="28"/>
      <c r="AT42" s="518"/>
      <c r="AU42" s="519"/>
      <c r="AV42" s="101" t="s">
        <v>112</v>
      </c>
      <c r="AW42" s="546"/>
      <c r="AX42" s="546"/>
      <c r="AY42" s="546"/>
      <c r="AZ42" s="546"/>
      <c r="BA42" s="547"/>
      <c r="BB42" s="142"/>
      <c r="BC42" s="126"/>
      <c r="BD42" s="126"/>
      <c r="BE42" s="126"/>
      <c r="BF42" s="126"/>
      <c r="BG42" s="126"/>
      <c r="BH42" s="126"/>
      <c r="BI42" s="126"/>
      <c r="BJ42" s="121" t="str">
        <f t="shared" si="25"/>
        <v>-</v>
      </c>
      <c r="BK42" s="121" t="str">
        <f t="shared" si="31"/>
        <v>-</v>
      </c>
      <c r="BL42" s="122" t="str">
        <f t="shared" si="32"/>
        <v>-</v>
      </c>
    </row>
    <row r="43" spans="2:64" ht="12.75" customHeight="1">
      <c r="B43" s="358"/>
      <c r="C43" s="359"/>
      <c r="D43" s="176" t="s">
        <v>13</v>
      </c>
      <c r="E43" s="176"/>
      <c r="F43" s="176"/>
      <c r="G43" s="176"/>
      <c r="H43" s="176"/>
      <c r="I43" s="177"/>
      <c r="J43" s="228"/>
      <c r="K43" s="229"/>
      <c r="L43" s="229"/>
      <c r="M43" s="229"/>
      <c r="N43" s="263"/>
      <c r="O43" s="229"/>
      <c r="P43" s="229"/>
      <c r="Q43" s="229"/>
      <c r="R43" s="530"/>
      <c r="S43" s="530"/>
      <c r="T43" s="531"/>
      <c r="U43" s="568"/>
      <c r="V43" s="569"/>
      <c r="W43" s="569"/>
      <c r="X43" s="569"/>
      <c r="Y43" s="569"/>
      <c r="Z43" s="569"/>
      <c r="AA43" s="569"/>
      <c r="AB43" s="569"/>
      <c r="AC43" s="445" t="str">
        <f t="shared" si="1"/>
        <v>-</v>
      </c>
      <c r="AD43" s="445" t="str">
        <f t="shared" si="33"/>
        <v>-</v>
      </c>
      <c r="AE43" s="446" t="str">
        <f t="shared" si="33"/>
        <v>-</v>
      </c>
      <c r="AF43" s="561"/>
      <c r="AG43" s="562"/>
      <c r="AH43" s="562"/>
      <c r="AI43" s="562"/>
      <c r="AJ43" s="562"/>
      <c r="AK43" s="562"/>
      <c r="AL43" s="562"/>
      <c r="AM43" s="562"/>
      <c r="AN43" s="530"/>
      <c r="AO43" s="530"/>
      <c r="AP43" s="531"/>
      <c r="AQ43" s="28"/>
      <c r="AR43" s="28"/>
      <c r="AS43" s="28"/>
      <c r="AT43" s="518"/>
      <c r="AU43" s="519"/>
      <c r="AV43" s="176" t="s">
        <v>113</v>
      </c>
      <c r="AW43" s="550"/>
      <c r="AX43" s="550"/>
      <c r="AY43" s="550"/>
      <c r="AZ43" s="550"/>
      <c r="BA43" s="551"/>
      <c r="BB43" s="142"/>
      <c r="BC43" s="126"/>
      <c r="BD43" s="126"/>
      <c r="BE43" s="126"/>
      <c r="BF43" s="126"/>
      <c r="BG43" s="126"/>
      <c r="BH43" s="126"/>
      <c r="BI43" s="126"/>
      <c r="BJ43" s="121" t="str">
        <f t="shared" si="25"/>
        <v>-</v>
      </c>
      <c r="BK43" s="121" t="str">
        <f t="shared" si="31"/>
        <v>-</v>
      </c>
      <c r="BL43" s="122" t="str">
        <f t="shared" si="32"/>
        <v>-</v>
      </c>
    </row>
    <row r="44" spans="2:64" ht="12.75" customHeight="1">
      <c r="B44" s="542" t="s">
        <v>281</v>
      </c>
      <c r="C44" s="543"/>
      <c r="D44" s="101" t="s">
        <v>225</v>
      </c>
      <c r="E44" s="101"/>
      <c r="F44" s="101"/>
      <c r="G44" s="101"/>
      <c r="H44" s="101"/>
      <c r="I44" s="102"/>
      <c r="J44" s="495"/>
      <c r="K44" s="330"/>
      <c r="L44" s="330"/>
      <c r="M44" s="330"/>
      <c r="N44" s="339"/>
      <c r="O44" s="330"/>
      <c r="P44" s="330"/>
      <c r="Q44" s="340"/>
      <c r="R44" s="121" t="str">
        <f>IF(J44="-", "-", IF(N44="-", "-", IF(ABS(N44)=0, "-", ROUND(100*(J44-N44)/ABS(N44), 10))))</f>
        <v>-</v>
      </c>
      <c r="S44" s="121" t="str">
        <f t="shared" ref="S44:T44" si="34">IF(O44="-", "-", IF(Q44="-", "-", IF(ABS(Q44)=0, "-", ROUND(100*(O44-Q44)/ABS(Q44), 1))))</f>
        <v>-</v>
      </c>
      <c r="T44" s="122" t="str">
        <f t="shared" si="34"/>
        <v>-</v>
      </c>
      <c r="U44" s="142"/>
      <c r="V44" s="126"/>
      <c r="W44" s="126"/>
      <c r="X44" s="126"/>
      <c r="Y44" s="126"/>
      <c r="Z44" s="126"/>
      <c r="AA44" s="126"/>
      <c r="AB44" s="126"/>
      <c r="AC44" s="121" t="str">
        <f t="shared" si="1"/>
        <v>-</v>
      </c>
      <c r="AD44" s="121" t="str">
        <f t="shared" si="33"/>
        <v>-</v>
      </c>
      <c r="AE44" s="122" t="str">
        <f t="shared" si="33"/>
        <v>-</v>
      </c>
      <c r="AF44" s="448"/>
      <c r="AG44" s="442"/>
      <c r="AH44" s="442"/>
      <c r="AI44" s="442"/>
      <c r="AJ44" s="442"/>
      <c r="AK44" s="442"/>
      <c r="AL44" s="442"/>
      <c r="AM44" s="442"/>
      <c r="AN44" s="121" t="str">
        <f>IF(AF44="-", "-", IF(AJ44="-", "-", IF(ABS(AJ44)=0, "-", ROUND(100*(AF44-AJ44)/ABS(AJ44), 10))))</f>
        <v>-</v>
      </c>
      <c r="AO44" s="121" t="str">
        <f t="shared" ref="AO44:AP44" si="35">IF(AK44="-", "-", IF(AM44="-", "-", IF(ABS(AM44)=0, "-", ROUND(100*(AK44-AM44)/ABS(AM44), 1))))</f>
        <v>-</v>
      </c>
      <c r="AP44" s="122" t="str">
        <f t="shared" si="35"/>
        <v>-</v>
      </c>
      <c r="AQ44" s="28"/>
      <c r="AR44" s="28"/>
      <c r="AS44" s="28"/>
      <c r="AT44" s="520"/>
      <c r="AU44" s="521"/>
      <c r="AV44" s="176" t="s">
        <v>50</v>
      </c>
      <c r="AW44" s="550"/>
      <c r="AX44" s="550"/>
      <c r="AY44" s="550"/>
      <c r="AZ44" s="550"/>
      <c r="BA44" s="551"/>
      <c r="BB44" s="558"/>
      <c r="BC44" s="541"/>
      <c r="BD44" s="541"/>
      <c r="BE44" s="541"/>
      <c r="BF44" s="541"/>
      <c r="BG44" s="541"/>
      <c r="BH44" s="541"/>
      <c r="BI44" s="541"/>
      <c r="BJ44" s="486" t="str">
        <f t="shared" si="25"/>
        <v>-</v>
      </c>
      <c r="BK44" s="486" t="str">
        <f t="shared" si="31"/>
        <v>-</v>
      </c>
      <c r="BL44" s="487" t="str">
        <f t="shared" si="32"/>
        <v>-</v>
      </c>
    </row>
    <row r="45" spans="2:64" ht="12.75" customHeight="1" thickBot="1">
      <c r="B45" s="544"/>
      <c r="C45" s="545"/>
      <c r="D45" s="176" t="s">
        <v>86</v>
      </c>
      <c r="E45" s="176"/>
      <c r="F45" s="176"/>
      <c r="G45" s="176"/>
      <c r="H45" s="176"/>
      <c r="I45" s="177"/>
      <c r="J45" s="228"/>
      <c r="K45" s="229"/>
      <c r="L45" s="229"/>
      <c r="M45" s="229"/>
      <c r="N45" s="263"/>
      <c r="O45" s="229"/>
      <c r="P45" s="229"/>
      <c r="Q45" s="229"/>
      <c r="R45" s="530"/>
      <c r="S45" s="530"/>
      <c r="T45" s="531"/>
      <c r="U45" s="142"/>
      <c r="V45" s="126"/>
      <c r="W45" s="126"/>
      <c r="X45" s="126"/>
      <c r="Y45" s="126"/>
      <c r="Z45" s="126"/>
      <c r="AA45" s="126"/>
      <c r="AB45" s="126"/>
      <c r="AC45" s="121" t="str">
        <f t="shared" si="1"/>
        <v>-</v>
      </c>
      <c r="AD45" s="121" t="str">
        <f t="shared" si="33"/>
        <v>-</v>
      </c>
      <c r="AE45" s="122" t="str">
        <f t="shared" si="33"/>
        <v>-</v>
      </c>
      <c r="AF45" s="228"/>
      <c r="AG45" s="229"/>
      <c r="AH45" s="229"/>
      <c r="AI45" s="229"/>
      <c r="AJ45" s="263"/>
      <c r="AK45" s="229"/>
      <c r="AL45" s="229"/>
      <c r="AM45" s="229"/>
      <c r="AN45" s="263"/>
      <c r="AO45" s="229"/>
      <c r="AP45" s="264"/>
      <c r="AQ45" s="28"/>
      <c r="AR45" s="28"/>
      <c r="AS45" s="28"/>
      <c r="AT45" s="148" t="s">
        <v>55</v>
      </c>
      <c r="AU45" s="149"/>
      <c r="AV45" s="559"/>
      <c r="AW45" s="559"/>
      <c r="AX45" s="559"/>
      <c r="AY45" s="559"/>
      <c r="AZ45" s="559"/>
      <c r="BA45" s="560"/>
      <c r="BB45" s="151"/>
      <c r="BC45" s="152"/>
      <c r="BD45" s="152"/>
      <c r="BE45" s="152"/>
      <c r="BF45" s="152"/>
      <c r="BG45" s="152"/>
      <c r="BH45" s="152"/>
      <c r="BI45" s="152"/>
      <c r="BJ45" s="235" t="str">
        <f t="shared" si="25"/>
        <v>-</v>
      </c>
      <c r="BK45" s="235" t="str">
        <f t="shared" si="31"/>
        <v>-</v>
      </c>
      <c r="BL45" s="236" t="str">
        <f t="shared" si="32"/>
        <v>-</v>
      </c>
    </row>
    <row r="46" spans="2:64" ht="12.75" customHeight="1">
      <c r="B46" s="544"/>
      <c r="C46" s="545"/>
      <c r="D46" s="176" t="s">
        <v>328</v>
      </c>
      <c r="E46" s="176"/>
      <c r="F46" s="176"/>
      <c r="G46" s="176"/>
      <c r="H46" s="176"/>
      <c r="I46" s="177"/>
      <c r="J46" s="228"/>
      <c r="K46" s="229"/>
      <c r="L46" s="229"/>
      <c r="M46" s="229"/>
      <c r="N46" s="263"/>
      <c r="O46" s="229"/>
      <c r="P46" s="229"/>
      <c r="Q46" s="229"/>
      <c r="R46" s="530"/>
      <c r="S46" s="530"/>
      <c r="T46" s="531"/>
      <c r="U46" s="142"/>
      <c r="V46" s="126"/>
      <c r="W46" s="126"/>
      <c r="X46" s="126"/>
      <c r="Y46" s="126"/>
      <c r="Z46" s="126"/>
      <c r="AA46" s="126"/>
      <c r="AB46" s="126"/>
      <c r="AC46" s="121" t="str">
        <f t="shared" si="1"/>
        <v>-</v>
      </c>
      <c r="AD46" s="121" t="str">
        <f t="shared" si="33"/>
        <v>-</v>
      </c>
      <c r="AE46" s="122" t="str">
        <f t="shared" si="33"/>
        <v>-</v>
      </c>
      <c r="AF46" s="228"/>
      <c r="AG46" s="229"/>
      <c r="AH46" s="229"/>
      <c r="AI46" s="229"/>
      <c r="AJ46" s="263"/>
      <c r="AK46" s="229"/>
      <c r="AL46" s="229"/>
      <c r="AM46" s="229"/>
      <c r="AN46" s="263"/>
      <c r="AO46" s="229"/>
      <c r="AP46" s="264"/>
      <c r="AQ46" s="28"/>
      <c r="AR46" s="28"/>
      <c r="AS46" s="28"/>
      <c r="AT46" s="28"/>
      <c r="AU46" s="28"/>
    </row>
    <row r="47" spans="2:64" ht="12.75" customHeight="1">
      <c r="B47" s="544"/>
      <c r="C47" s="545"/>
      <c r="D47" s="179" t="s">
        <v>13</v>
      </c>
      <c r="E47" s="179"/>
      <c r="F47" s="179"/>
      <c r="G47" s="179"/>
      <c r="H47" s="179"/>
      <c r="I47" s="180"/>
      <c r="J47" s="532"/>
      <c r="K47" s="533"/>
      <c r="L47" s="533"/>
      <c r="M47" s="533"/>
      <c r="N47" s="534"/>
      <c r="O47" s="533"/>
      <c r="P47" s="533"/>
      <c r="Q47" s="533"/>
      <c r="R47" s="535"/>
      <c r="S47" s="535"/>
      <c r="T47" s="536"/>
      <c r="U47" s="568"/>
      <c r="V47" s="569"/>
      <c r="W47" s="569"/>
      <c r="X47" s="569"/>
      <c r="Y47" s="569"/>
      <c r="Z47" s="569"/>
      <c r="AA47" s="569"/>
      <c r="AB47" s="569"/>
      <c r="AC47" s="445" t="str">
        <f t="shared" si="1"/>
        <v>-</v>
      </c>
      <c r="AD47" s="445" t="str">
        <f t="shared" si="33"/>
        <v>-</v>
      </c>
      <c r="AE47" s="446" t="str">
        <f t="shared" si="33"/>
        <v>-</v>
      </c>
      <c r="AF47" s="532"/>
      <c r="AG47" s="533"/>
      <c r="AH47" s="533"/>
      <c r="AI47" s="533"/>
      <c r="AJ47" s="534"/>
      <c r="AK47" s="533"/>
      <c r="AL47" s="533"/>
      <c r="AM47" s="533"/>
      <c r="AN47" s="534"/>
      <c r="AO47" s="533"/>
      <c r="AP47" s="567"/>
      <c r="AQ47" s="28"/>
      <c r="AR47" s="28"/>
      <c r="AS47" s="28"/>
      <c r="AT47" s="28"/>
      <c r="AU47" s="28"/>
    </row>
    <row r="48" spans="2:64" ht="12.75" customHeight="1">
      <c r="B48" s="508" t="s">
        <v>282</v>
      </c>
      <c r="C48" s="509"/>
      <c r="D48" s="537" t="s">
        <v>0</v>
      </c>
      <c r="E48" s="538"/>
      <c r="F48" s="248" t="s">
        <v>152</v>
      </c>
      <c r="G48" s="101"/>
      <c r="H48" s="101"/>
      <c r="I48" s="102"/>
      <c r="J48" s="532"/>
      <c r="K48" s="533"/>
      <c r="L48" s="533"/>
      <c r="M48" s="533"/>
      <c r="N48" s="534"/>
      <c r="O48" s="533"/>
      <c r="P48" s="533"/>
      <c r="Q48" s="533"/>
      <c r="R48" s="535"/>
      <c r="S48" s="535"/>
      <c r="T48" s="536"/>
      <c r="U48" s="142"/>
      <c r="V48" s="126"/>
      <c r="W48" s="126"/>
      <c r="X48" s="126"/>
      <c r="Y48" s="126"/>
      <c r="Z48" s="126"/>
      <c r="AA48" s="126"/>
      <c r="AB48" s="126"/>
      <c r="AC48" s="121" t="str">
        <f t="shared" si="1"/>
        <v>-</v>
      </c>
      <c r="AD48" s="121" t="str">
        <f t="shared" si="33"/>
        <v>-</v>
      </c>
      <c r="AE48" s="122" t="str">
        <f t="shared" si="33"/>
        <v>-</v>
      </c>
      <c r="AF48" s="228"/>
      <c r="AG48" s="229"/>
      <c r="AH48" s="229"/>
      <c r="AI48" s="229"/>
      <c r="AJ48" s="263"/>
      <c r="AK48" s="229"/>
      <c r="AL48" s="229"/>
      <c r="AM48" s="229"/>
      <c r="AN48" s="263"/>
      <c r="AO48" s="229"/>
      <c r="AP48" s="264"/>
      <c r="AQ48" s="28"/>
      <c r="AR48" s="28"/>
      <c r="AS48" s="28"/>
      <c r="AT48" s="28"/>
      <c r="AU48" s="28"/>
    </row>
    <row r="49" spans="2:47" ht="12.75" customHeight="1">
      <c r="B49" s="510"/>
      <c r="C49" s="511"/>
      <c r="D49" s="539"/>
      <c r="E49" s="540"/>
      <c r="F49" s="245" t="s">
        <v>153</v>
      </c>
      <c r="G49" s="176"/>
      <c r="H49" s="176"/>
      <c r="I49" s="177"/>
      <c r="J49" s="532"/>
      <c r="K49" s="533"/>
      <c r="L49" s="533"/>
      <c r="M49" s="533"/>
      <c r="N49" s="534"/>
      <c r="O49" s="533"/>
      <c r="P49" s="533"/>
      <c r="Q49" s="533"/>
      <c r="R49" s="535"/>
      <c r="S49" s="535"/>
      <c r="T49" s="536"/>
      <c r="U49" s="142"/>
      <c r="V49" s="126"/>
      <c r="W49" s="126"/>
      <c r="X49" s="126"/>
      <c r="Y49" s="126"/>
      <c r="Z49" s="126"/>
      <c r="AA49" s="126"/>
      <c r="AB49" s="126"/>
      <c r="AC49" s="121" t="str">
        <f t="shared" si="1"/>
        <v>-</v>
      </c>
      <c r="AD49" s="121" t="str">
        <f t="shared" si="33"/>
        <v>-</v>
      </c>
      <c r="AE49" s="122" t="str">
        <f t="shared" si="33"/>
        <v>-</v>
      </c>
      <c r="AF49" s="228"/>
      <c r="AG49" s="229"/>
      <c r="AH49" s="229"/>
      <c r="AI49" s="229"/>
      <c r="AJ49" s="263"/>
      <c r="AK49" s="229"/>
      <c r="AL49" s="229"/>
      <c r="AM49" s="229"/>
      <c r="AN49" s="263"/>
      <c r="AO49" s="229"/>
      <c r="AP49" s="264"/>
      <c r="AQ49" s="28"/>
      <c r="AR49" s="28"/>
      <c r="AS49" s="28"/>
      <c r="AT49" s="28"/>
      <c r="AU49" s="28"/>
    </row>
    <row r="50" spans="2:47" ht="12.75" customHeight="1">
      <c r="B50" s="510"/>
      <c r="C50" s="511"/>
      <c r="D50" s="245" t="s">
        <v>154</v>
      </c>
      <c r="E50" s="176"/>
      <c r="F50" s="176"/>
      <c r="G50" s="176"/>
      <c r="H50" s="176"/>
      <c r="I50" s="177"/>
      <c r="J50" s="228"/>
      <c r="K50" s="229"/>
      <c r="L50" s="229"/>
      <c r="M50" s="229"/>
      <c r="N50" s="263"/>
      <c r="O50" s="229"/>
      <c r="P50" s="229"/>
      <c r="Q50" s="229"/>
      <c r="R50" s="530"/>
      <c r="S50" s="530"/>
      <c r="T50" s="531"/>
      <c r="U50" s="142"/>
      <c r="V50" s="126"/>
      <c r="W50" s="126"/>
      <c r="X50" s="126"/>
      <c r="Y50" s="126"/>
      <c r="Z50" s="126"/>
      <c r="AA50" s="126"/>
      <c r="AB50" s="126"/>
      <c r="AC50" s="121" t="str">
        <f t="shared" si="1"/>
        <v>-</v>
      </c>
      <c r="AD50" s="121" t="str">
        <f t="shared" si="33"/>
        <v>-</v>
      </c>
      <c r="AE50" s="122" t="str">
        <f t="shared" si="33"/>
        <v>-</v>
      </c>
      <c r="AF50" s="228"/>
      <c r="AG50" s="229"/>
      <c r="AH50" s="229"/>
      <c r="AI50" s="229"/>
      <c r="AJ50" s="263"/>
      <c r="AK50" s="229"/>
      <c r="AL50" s="229"/>
      <c r="AM50" s="229"/>
      <c r="AN50" s="263"/>
      <c r="AO50" s="229"/>
      <c r="AP50" s="264"/>
      <c r="AQ50" s="28"/>
      <c r="AR50" s="28"/>
      <c r="AS50" s="28"/>
      <c r="AT50" s="28"/>
      <c r="AU50" s="28"/>
    </row>
    <row r="51" spans="2:47" ht="12.75" customHeight="1">
      <c r="B51" s="510"/>
      <c r="C51" s="511"/>
      <c r="D51" s="248" t="s">
        <v>155</v>
      </c>
      <c r="E51" s="101"/>
      <c r="F51" s="101"/>
      <c r="G51" s="101"/>
      <c r="H51" s="101"/>
      <c r="I51" s="102"/>
      <c r="J51" s="228"/>
      <c r="K51" s="229"/>
      <c r="L51" s="229"/>
      <c r="M51" s="229"/>
      <c r="N51" s="263"/>
      <c r="O51" s="229"/>
      <c r="P51" s="229"/>
      <c r="Q51" s="229"/>
      <c r="R51" s="530"/>
      <c r="S51" s="530"/>
      <c r="T51" s="531"/>
      <c r="U51" s="142"/>
      <c r="V51" s="126"/>
      <c r="W51" s="126"/>
      <c r="X51" s="126"/>
      <c r="Y51" s="126"/>
      <c r="Z51" s="126"/>
      <c r="AA51" s="126"/>
      <c r="AB51" s="126"/>
      <c r="AC51" s="121" t="str">
        <f t="shared" si="1"/>
        <v>-</v>
      </c>
      <c r="AD51" s="121" t="str">
        <f t="shared" si="33"/>
        <v>-</v>
      </c>
      <c r="AE51" s="122" t="str">
        <f t="shared" si="33"/>
        <v>-</v>
      </c>
      <c r="AF51" s="228"/>
      <c r="AG51" s="229"/>
      <c r="AH51" s="229"/>
      <c r="AI51" s="229"/>
      <c r="AJ51" s="263"/>
      <c r="AK51" s="229"/>
      <c r="AL51" s="229"/>
      <c r="AM51" s="229"/>
      <c r="AN51" s="263"/>
      <c r="AO51" s="229"/>
      <c r="AP51" s="264"/>
      <c r="AQ51" s="28"/>
      <c r="AR51" s="28"/>
      <c r="AS51" s="28"/>
      <c r="AT51" s="28"/>
      <c r="AU51" s="28"/>
    </row>
    <row r="52" spans="2:47" ht="12.75" customHeight="1">
      <c r="B52" s="510"/>
      <c r="C52" s="511"/>
      <c r="D52" s="245" t="s">
        <v>86</v>
      </c>
      <c r="E52" s="176"/>
      <c r="F52" s="176"/>
      <c r="G52" s="176"/>
      <c r="H52" s="176"/>
      <c r="I52" s="177"/>
      <c r="J52" s="228"/>
      <c r="K52" s="229"/>
      <c r="L52" s="229"/>
      <c r="M52" s="229"/>
      <c r="N52" s="263"/>
      <c r="O52" s="229"/>
      <c r="P52" s="229"/>
      <c r="Q52" s="229"/>
      <c r="R52" s="530"/>
      <c r="S52" s="530"/>
      <c r="T52" s="531"/>
      <c r="U52" s="142"/>
      <c r="V52" s="126"/>
      <c r="W52" s="126"/>
      <c r="X52" s="126"/>
      <c r="Y52" s="126"/>
      <c r="Z52" s="126"/>
      <c r="AA52" s="126"/>
      <c r="AB52" s="126"/>
      <c r="AC52" s="121" t="str">
        <f t="shared" si="1"/>
        <v>-</v>
      </c>
      <c r="AD52" s="121" t="str">
        <f t="shared" si="33"/>
        <v>-</v>
      </c>
      <c r="AE52" s="122" t="str">
        <f t="shared" si="33"/>
        <v>-</v>
      </c>
      <c r="AF52" s="228"/>
      <c r="AG52" s="229"/>
      <c r="AH52" s="229"/>
      <c r="AI52" s="229"/>
      <c r="AJ52" s="263"/>
      <c r="AK52" s="229"/>
      <c r="AL52" s="229"/>
      <c r="AM52" s="229"/>
      <c r="AN52" s="263"/>
      <c r="AO52" s="229"/>
      <c r="AP52" s="264"/>
      <c r="AQ52" s="28"/>
      <c r="AR52" s="28"/>
      <c r="AS52" s="28"/>
      <c r="AT52" s="28"/>
      <c r="AU52" s="28"/>
    </row>
    <row r="53" spans="2:47" ht="12.75" customHeight="1" thickBot="1">
      <c r="B53" s="512"/>
      <c r="C53" s="513"/>
      <c r="D53" s="365" t="s">
        <v>13</v>
      </c>
      <c r="E53" s="149"/>
      <c r="F53" s="149"/>
      <c r="G53" s="149"/>
      <c r="H53" s="149"/>
      <c r="I53" s="150"/>
      <c r="J53" s="522"/>
      <c r="K53" s="523"/>
      <c r="L53" s="523"/>
      <c r="M53" s="523"/>
      <c r="N53" s="524"/>
      <c r="O53" s="523"/>
      <c r="P53" s="523"/>
      <c r="Q53" s="523"/>
      <c r="R53" s="525"/>
      <c r="S53" s="525"/>
      <c r="T53" s="526"/>
      <c r="U53" s="527"/>
      <c r="V53" s="528"/>
      <c r="W53" s="528"/>
      <c r="X53" s="528"/>
      <c r="Y53" s="528"/>
      <c r="Z53" s="528"/>
      <c r="AA53" s="528"/>
      <c r="AB53" s="528"/>
      <c r="AC53" s="460" t="str">
        <f t="shared" si="1"/>
        <v>-</v>
      </c>
      <c r="AD53" s="460" t="str">
        <f t="shared" si="33"/>
        <v>-</v>
      </c>
      <c r="AE53" s="461" t="str">
        <f t="shared" si="33"/>
        <v>-</v>
      </c>
      <c r="AF53" s="522"/>
      <c r="AG53" s="523"/>
      <c r="AH53" s="523"/>
      <c r="AI53" s="523"/>
      <c r="AJ53" s="524"/>
      <c r="AK53" s="523"/>
      <c r="AL53" s="523"/>
      <c r="AM53" s="523"/>
      <c r="AN53" s="524"/>
      <c r="AO53" s="523"/>
      <c r="AP53" s="529"/>
      <c r="AQ53" s="28"/>
      <c r="AR53" s="28"/>
      <c r="AS53" s="28"/>
      <c r="AT53" s="28"/>
      <c r="AU53" s="28"/>
    </row>
    <row r="54" spans="2:47" ht="12.75" customHeight="1">
      <c r="AQ54" s="28"/>
      <c r="AR54" s="28"/>
      <c r="AS54" s="28"/>
      <c r="AT54" s="28"/>
      <c r="AU54" s="28"/>
    </row>
    <row r="55" spans="2:47" ht="12.75" customHeight="1">
      <c r="AQ55" s="28"/>
      <c r="AR55" s="28"/>
      <c r="AS55" s="28"/>
      <c r="AT55" s="28"/>
      <c r="AU55" s="28"/>
    </row>
    <row r="56" spans="2:47" ht="12.75" customHeight="1">
      <c r="AQ56" s="28"/>
      <c r="AR56" s="28"/>
      <c r="AS56" s="28"/>
    </row>
    <row r="57" spans="2:47" ht="12.75" customHeight="1">
      <c r="AQ57" s="28"/>
      <c r="AR57" s="28"/>
      <c r="AS57" s="28"/>
    </row>
    <row r="58" spans="2:47" ht="12.75" customHeight="1">
      <c r="AQ58" s="28"/>
      <c r="AR58" s="28"/>
      <c r="AS58" s="28"/>
    </row>
    <row r="59" spans="2:47" ht="12.75" customHeight="1">
      <c r="AQ59" s="28"/>
      <c r="AR59" s="28"/>
      <c r="AS59" s="28"/>
    </row>
    <row r="60" spans="2:47" ht="12.75" customHeight="1">
      <c r="AQ60" s="28"/>
      <c r="AR60" s="28"/>
      <c r="AS60" s="28"/>
    </row>
    <row r="61" spans="2:47" ht="12.75" customHeight="1">
      <c r="AQ61" s="28"/>
      <c r="AR61" s="28"/>
      <c r="AS61" s="28"/>
    </row>
    <row r="62" spans="2:47" ht="14.25" customHeight="1">
      <c r="AQ62" s="28"/>
      <c r="AR62" s="28"/>
      <c r="AS62" s="28"/>
    </row>
    <row r="63" spans="2:47" ht="12.2" customHeight="1">
      <c r="AQ63" s="28"/>
      <c r="AR63" s="28"/>
      <c r="AS63" s="28"/>
      <c r="AT63" s="28"/>
      <c r="AU63" s="28"/>
    </row>
    <row r="64" spans="2:47" ht="12.2" customHeight="1">
      <c r="AQ64" s="28"/>
      <c r="AR64" s="28"/>
      <c r="AS64" s="28"/>
      <c r="AT64" s="28"/>
      <c r="AU64" s="28"/>
    </row>
  </sheetData>
  <mergeCells count="720">
    <mergeCell ref="BL4:BO4"/>
    <mergeCell ref="B3:F3"/>
    <mergeCell ref="G3:I3"/>
    <mergeCell ref="J3:P3"/>
    <mergeCell ref="Q3:U3"/>
    <mergeCell ref="V3:Z3"/>
    <mergeCell ref="G4:I4"/>
    <mergeCell ref="G5:I5"/>
    <mergeCell ref="AB4:AF4"/>
    <mergeCell ref="AH4:AK4"/>
    <mergeCell ref="AM4:AP4"/>
    <mergeCell ref="AR4:AU4"/>
    <mergeCell ref="AW4:AZ4"/>
    <mergeCell ref="BB4:BE4"/>
    <mergeCell ref="BG4:BJ4"/>
    <mergeCell ref="CE1:CH1"/>
    <mergeCell ref="AB3:AF3"/>
    <mergeCell ref="AG3:AK3"/>
    <mergeCell ref="AL3:AP3"/>
    <mergeCell ref="AQ3:AU3"/>
    <mergeCell ref="AV3:AZ3"/>
    <mergeCell ref="BA3:BE3"/>
    <mergeCell ref="BF3:BJ3"/>
    <mergeCell ref="BK3:BO3"/>
    <mergeCell ref="CE2:CH2"/>
    <mergeCell ref="D32:I32"/>
    <mergeCell ref="U32:X32"/>
    <mergeCell ref="U20:X20"/>
    <mergeCell ref="U22:X22"/>
    <mergeCell ref="D21:I21"/>
    <mergeCell ref="F26:I26"/>
    <mergeCell ref="R29:T29"/>
    <mergeCell ref="R28:T28"/>
    <mergeCell ref="N23:Q23"/>
    <mergeCell ref="R23:T23"/>
    <mergeCell ref="B4:F4"/>
    <mergeCell ref="J4:P4"/>
    <mergeCell ref="Q4:U4"/>
    <mergeCell ref="V4:Z4"/>
    <mergeCell ref="B5:F5"/>
    <mergeCell ref="J5:P5"/>
    <mergeCell ref="Q5:U5"/>
    <mergeCell ref="V5:Z5"/>
    <mergeCell ref="D20:I20"/>
    <mergeCell ref="N17:Q17"/>
    <mergeCell ref="R17:T17"/>
    <mergeCell ref="J19:M19"/>
    <mergeCell ref="N19:Q19"/>
    <mergeCell ref="R19:T19"/>
    <mergeCell ref="R33:T33"/>
    <mergeCell ref="J20:M20"/>
    <mergeCell ref="J27:M27"/>
    <mergeCell ref="J32:M32"/>
    <mergeCell ref="J33:M33"/>
    <mergeCell ref="R30:T30"/>
    <mergeCell ref="J23:M23"/>
    <mergeCell ref="N20:Q20"/>
    <mergeCell ref="R20:T20"/>
    <mergeCell ref="N22:Q22"/>
    <mergeCell ref="R22:T22"/>
    <mergeCell ref="J21:M21"/>
    <mergeCell ref="N21:Q21"/>
    <mergeCell ref="R21:T21"/>
    <mergeCell ref="R27:T27"/>
    <mergeCell ref="D22:I22"/>
    <mergeCell ref="D23:E26"/>
    <mergeCell ref="F23:I23"/>
    <mergeCell ref="F24:I24"/>
    <mergeCell ref="F25:I25"/>
    <mergeCell ref="J34:M34"/>
    <mergeCell ref="J37:M37"/>
    <mergeCell ref="N37:Q37"/>
    <mergeCell ref="J31:M31"/>
    <mergeCell ref="J22:M22"/>
    <mergeCell ref="J30:M30"/>
    <mergeCell ref="N33:Q33"/>
    <mergeCell ref="N27:Q27"/>
    <mergeCell ref="N29:Q29"/>
    <mergeCell ref="N28:Q28"/>
    <mergeCell ref="N36:Q36"/>
    <mergeCell ref="J26:M26"/>
    <mergeCell ref="J28:M28"/>
    <mergeCell ref="J29:M29"/>
    <mergeCell ref="D28:I28"/>
    <mergeCell ref="N26:Q26"/>
    <mergeCell ref="N34:Q34"/>
    <mergeCell ref="D29:I29"/>
    <mergeCell ref="D27:I27"/>
    <mergeCell ref="N30:Q30"/>
    <mergeCell ref="AC27:AE27"/>
    <mergeCell ref="AF24:AI24"/>
    <mergeCell ref="AJ24:AM24"/>
    <mergeCell ref="AF26:AI26"/>
    <mergeCell ref="AJ26:AM26"/>
    <mergeCell ref="AJ25:AM25"/>
    <mergeCell ref="N38:Q38"/>
    <mergeCell ref="J39:M39"/>
    <mergeCell ref="J36:M36"/>
    <mergeCell ref="J38:M38"/>
    <mergeCell ref="R34:T34"/>
    <mergeCell ref="R26:T26"/>
    <mergeCell ref="N32:Q32"/>
    <mergeCell ref="R32:T32"/>
    <mergeCell ref="N31:Q31"/>
    <mergeCell ref="R31:T31"/>
    <mergeCell ref="U31:X31"/>
    <mergeCell ref="Y31:AB31"/>
    <mergeCell ref="AC31:AE31"/>
    <mergeCell ref="AF31:AI31"/>
    <mergeCell ref="AJ31:AM31"/>
    <mergeCell ref="Y35:AB35"/>
    <mergeCell ref="AC35:AE35"/>
    <mergeCell ref="AC25:AE25"/>
    <mergeCell ref="Y22:AB22"/>
    <mergeCell ref="AC22:AE22"/>
    <mergeCell ref="U21:X21"/>
    <mergeCell ref="Y21:AB21"/>
    <mergeCell ref="AC21:AE21"/>
    <mergeCell ref="AC32:AE32"/>
    <mergeCell ref="U27:X27"/>
    <mergeCell ref="U29:X29"/>
    <mergeCell ref="U28:X28"/>
    <mergeCell ref="Y30:AB30"/>
    <mergeCell ref="U30:X30"/>
    <mergeCell ref="AC30:AE30"/>
    <mergeCell ref="Y29:AB29"/>
    <mergeCell ref="AC29:AE29"/>
    <mergeCell ref="U23:X23"/>
    <mergeCell ref="Y23:AB23"/>
    <mergeCell ref="AC23:AE23"/>
    <mergeCell ref="Y27:AB27"/>
    <mergeCell ref="U26:X26"/>
    <mergeCell ref="AC28:AE28"/>
    <mergeCell ref="Y32:AB32"/>
    <mergeCell ref="AV17:BA17"/>
    <mergeCell ref="AV18:BA18"/>
    <mergeCell ref="AV15:BA15"/>
    <mergeCell ref="BB16:BE16"/>
    <mergeCell ref="AX10:BA10"/>
    <mergeCell ref="AX11:BA11"/>
    <mergeCell ref="D47:I47"/>
    <mergeCell ref="D44:I44"/>
    <mergeCell ref="D42:I42"/>
    <mergeCell ref="D43:I43"/>
    <mergeCell ref="D30:I30"/>
    <mergeCell ref="D31:I31"/>
    <mergeCell ref="D45:I45"/>
    <mergeCell ref="D46:I46"/>
    <mergeCell ref="F38:I38"/>
    <mergeCell ref="F39:I39"/>
    <mergeCell ref="D34:E39"/>
    <mergeCell ref="D40:I40"/>
    <mergeCell ref="F34:I34"/>
    <mergeCell ref="F35:I35"/>
    <mergeCell ref="F36:I36"/>
    <mergeCell ref="F37:I37"/>
    <mergeCell ref="D41:I41"/>
    <mergeCell ref="D33:I33"/>
    <mergeCell ref="N15:Q15"/>
    <mergeCell ref="J14:M14"/>
    <mergeCell ref="R16:T16"/>
    <mergeCell ref="U16:X16"/>
    <mergeCell ref="N18:Q18"/>
    <mergeCell ref="R18:T18"/>
    <mergeCell ref="R15:T15"/>
    <mergeCell ref="U15:X15"/>
    <mergeCell ref="BF12:BI12"/>
    <mergeCell ref="J16:M16"/>
    <mergeCell ref="N16:Q16"/>
    <mergeCell ref="AN14:AP14"/>
    <mergeCell ref="AC13:AE13"/>
    <mergeCell ref="Y14:AB14"/>
    <mergeCell ref="AC14:AE14"/>
    <mergeCell ref="AF14:AI14"/>
    <mergeCell ref="AJ14:AM14"/>
    <mergeCell ref="R14:T14"/>
    <mergeCell ref="U14:X14"/>
    <mergeCell ref="N14:Q14"/>
    <mergeCell ref="R13:T13"/>
    <mergeCell ref="BF16:BI16"/>
    <mergeCell ref="BF13:BI13"/>
    <mergeCell ref="BF14:BI14"/>
    <mergeCell ref="D18:I18"/>
    <mergeCell ref="D19:I19"/>
    <mergeCell ref="D17:I17"/>
    <mergeCell ref="D13:I13"/>
    <mergeCell ref="D14:I14"/>
    <mergeCell ref="D15:I15"/>
    <mergeCell ref="D16:I16"/>
    <mergeCell ref="J13:M13"/>
    <mergeCell ref="J18:M18"/>
    <mergeCell ref="J17:M17"/>
    <mergeCell ref="J15:M15"/>
    <mergeCell ref="R12:T12"/>
    <mergeCell ref="Y12:AB12"/>
    <mergeCell ref="AF13:AI13"/>
    <mergeCell ref="AJ13:AM13"/>
    <mergeCell ref="AC12:AE12"/>
    <mergeCell ref="AF12:AI12"/>
    <mergeCell ref="AJ12:AM12"/>
    <mergeCell ref="J11:M11"/>
    <mergeCell ref="J12:M12"/>
    <mergeCell ref="U12:X12"/>
    <mergeCell ref="U11:X11"/>
    <mergeCell ref="Y11:AB11"/>
    <mergeCell ref="U13:X13"/>
    <mergeCell ref="N11:Q11"/>
    <mergeCell ref="R11:T11"/>
    <mergeCell ref="N12:Q12"/>
    <mergeCell ref="N13:Q13"/>
    <mergeCell ref="D12:I12"/>
    <mergeCell ref="BQ10:BT10"/>
    <mergeCell ref="BQ11:BT11"/>
    <mergeCell ref="BQ12:BT12"/>
    <mergeCell ref="BJ11:BL11"/>
    <mergeCell ref="BM11:BP11"/>
    <mergeCell ref="BJ12:BL12"/>
    <mergeCell ref="BM10:BP10"/>
    <mergeCell ref="B10:C13"/>
    <mergeCell ref="BM12:BP12"/>
    <mergeCell ref="Y13:AB13"/>
    <mergeCell ref="AN13:AP13"/>
    <mergeCell ref="BM13:BP13"/>
    <mergeCell ref="AC11:AE11"/>
    <mergeCell ref="AF11:AI11"/>
    <mergeCell ref="BJ13:BL13"/>
    <mergeCell ref="BJ10:BL10"/>
    <mergeCell ref="BQ13:BT13"/>
    <mergeCell ref="AJ10:AM10"/>
    <mergeCell ref="AN10:AP10"/>
    <mergeCell ref="AC10:AE10"/>
    <mergeCell ref="U10:X10"/>
    <mergeCell ref="Y10:AB10"/>
    <mergeCell ref="J10:M10"/>
    <mergeCell ref="J8:T8"/>
    <mergeCell ref="B8:I9"/>
    <mergeCell ref="D10:E11"/>
    <mergeCell ref="F10:I10"/>
    <mergeCell ref="F11:I11"/>
    <mergeCell ref="J9:M9"/>
    <mergeCell ref="N9:Q9"/>
    <mergeCell ref="R9:T9"/>
    <mergeCell ref="CF10:CH10"/>
    <mergeCell ref="BU11:BW11"/>
    <mergeCell ref="BX11:CA11"/>
    <mergeCell ref="CB11:CE11"/>
    <mergeCell ref="CF11:CH11"/>
    <mergeCell ref="BU10:BW10"/>
    <mergeCell ref="BX10:CA10"/>
    <mergeCell ref="CB10:CE10"/>
    <mergeCell ref="AN11:AP11"/>
    <mergeCell ref="N10:Q10"/>
    <mergeCell ref="AJ11:AM11"/>
    <mergeCell ref="AF10:AI10"/>
    <mergeCell ref="R10:T10"/>
    <mergeCell ref="BB10:BE10"/>
    <mergeCell ref="BF10:BI10"/>
    <mergeCell ref="BB11:BE11"/>
    <mergeCell ref="AJ9:AM9"/>
    <mergeCell ref="AN9:AP9"/>
    <mergeCell ref="AT8:BA9"/>
    <mergeCell ref="BB8:BL8"/>
    <mergeCell ref="U8:AE8"/>
    <mergeCell ref="U9:X9"/>
    <mergeCell ref="Y9:AB9"/>
    <mergeCell ref="AN36:AP36"/>
    <mergeCell ref="AN37:AP37"/>
    <mergeCell ref="AC9:AE9"/>
    <mergeCell ref="AF8:AP8"/>
    <mergeCell ref="AF9:AI9"/>
    <mergeCell ref="AN12:AP12"/>
    <mergeCell ref="AV19:BA19"/>
    <mergeCell ref="BF11:BI11"/>
    <mergeCell ref="BB17:BE17"/>
    <mergeCell ref="AX12:BA12"/>
    <mergeCell ref="AV14:BA14"/>
    <mergeCell ref="BB13:BE13"/>
    <mergeCell ref="BB12:BE12"/>
    <mergeCell ref="BB15:BE15"/>
    <mergeCell ref="BB14:BE14"/>
    <mergeCell ref="AV13:BA13"/>
    <mergeCell ref="AV10:AW12"/>
    <mergeCell ref="BX8:CH8"/>
    <mergeCell ref="BQ9:BT9"/>
    <mergeCell ref="BU9:BW9"/>
    <mergeCell ref="BX9:CA9"/>
    <mergeCell ref="CB9:CE9"/>
    <mergeCell ref="BB9:BE9"/>
    <mergeCell ref="BF9:BI9"/>
    <mergeCell ref="BJ9:BL9"/>
    <mergeCell ref="BM9:BP9"/>
    <mergeCell ref="CF9:CH9"/>
    <mergeCell ref="BM8:BW8"/>
    <mergeCell ref="R37:T37"/>
    <mergeCell ref="U37:X37"/>
    <mergeCell ref="Y37:AB37"/>
    <mergeCell ref="AF36:AI36"/>
    <mergeCell ref="AJ36:AM36"/>
    <mergeCell ref="R36:T36"/>
    <mergeCell ref="U36:X36"/>
    <mergeCell ref="R38:T38"/>
    <mergeCell ref="R39:T39"/>
    <mergeCell ref="Y36:AB36"/>
    <mergeCell ref="AC36:AE36"/>
    <mergeCell ref="AC37:AE37"/>
    <mergeCell ref="AF37:AI37"/>
    <mergeCell ref="AJ37:AM37"/>
    <mergeCell ref="J47:M47"/>
    <mergeCell ref="N47:Q47"/>
    <mergeCell ref="R47:T47"/>
    <mergeCell ref="J45:M45"/>
    <mergeCell ref="N45:Q45"/>
    <mergeCell ref="R45:T45"/>
    <mergeCell ref="J44:M44"/>
    <mergeCell ref="N44:Q44"/>
    <mergeCell ref="R44:T44"/>
    <mergeCell ref="Y45:AB45"/>
    <mergeCell ref="AC45:AE45"/>
    <mergeCell ref="Y44:AB44"/>
    <mergeCell ref="J42:M42"/>
    <mergeCell ref="J43:M43"/>
    <mergeCell ref="N40:Q40"/>
    <mergeCell ref="N39:Q39"/>
    <mergeCell ref="N42:Q42"/>
    <mergeCell ref="J41:M41"/>
    <mergeCell ref="R40:T40"/>
    <mergeCell ref="N43:Q43"/>
    <mergeCell ref="R43:T43"/>
    <mergeCell ref="R41:T41"/>
    <mergeCell ref="N41:Q41"/>
    <mergeCell ref="J40:M40"/>
    <mergeCell ref="U39:X39"/>
    <mergeCell ref="BX18:CA18"/>
    <mergeCell ref="CF17:CH17"/>
    <mergeCell ref="AV16:BA16"/>
    <mergeCell ref="U47:X47"/>
    <mergeCell ref="Y47:AB47"/>
    <mergeCell ref="AF46:AI46"/>
    <mergeCell ref="AF45:AI45"/>
    <mergeCell ref="AN39:AP39"/>
    <mergeCell ref="Y39:AB39"/>
    <mergeCell ref="AC39:AE39"/>
    <mergeCell ref="U41:X41"/>
    <mergeCell ref="Y41:AB41"/>
    <mergeCell ref="AF41:AI41"/>
    <mergeCell ref="U45:X45"/>
    <mergeCell ref="AJ41:AM41"/>
    <mergeCell ref="AN41:AP41"/>
    <mergeCell ref="AJ40:AM40"/>
    <mergeCell ref="AJ42:AM42"/>
    <mergeCell ref="AJ47:AM47"/>
    <mergeCell ref="AN47:AP47"/>
    <mergeCell ref="AC47:AE47"/>
    <mergeCell ref="AF47:AI47"/>
    <mergeCell ref="U44:X44"/>
    <mergeCell ref="AF44:AI44"/>
    <mergeCell ref="AF38:AI38"/>
    <mergeCell ref="AJ38:AM38"/>
    <mergeCell ref="AF35:AI35"/>
    <mergeCell ref="AC38:AE38"/>
    <mergeCell ref="AJ29:AM29"/>
    <mergeCell ref="AJ20:AM20"/>
    <mergeCell ref="AF22:AI22"/>
    <mergeCell ref="AJ22:AM22"/>
    <mergeCell ref="AJ21:AM21"/>
    <mergeCell ref="AF28:AI28"/>
    <mergeCell ref="AJ28:AM28"/>
    <mergeCell ref="AF30:AI30"/>
    <mergeCell ref="AJ30:AM30"/>
    <mergeCell ref="AF29:AI29"/>
    <mergeCell ref="AF32:AI32"/>
    <mergeCell ref="AJ32:AM32"/>
    <mergeCell ref="AC33:AE33"/>
    <mergeCell ref="AJ23:AM23"/>
    <mergeCell ref="AF20:AI20"/>
    <mergeCell ref="AF23:AI23"/>
    <mergeCell ref="AJ46:AM46"/>
    <mergeCell ref="AN46:AP46"/>
    <mergeCell ref="J46:M46"/>
    <mergeCell ref="N46:Q46"/>
    <mergeCell ref="R46:T46"/>
    <mergeCell ref="U46:X46"/>
    <mergeCell ref="Y46:AB46"/>
    <mergeCell ref="AC46:AE46"/>
    <mergeCell ref="AN42:AP42"/>
    <mergeCell ref="AN43:AP43"/>
    <mergeCell ref="AF43:AI43"/>
    <mergeCell ref="U43:X43"/>
    <mergeCell ref="R42:T42"/>
    <mergeCell ref="U42:X42"/>
    <mergeCell ref="Y43:AB43"/>
    <mergeCell ref="AF42:AI42"/>
    <mergeCell ref="Y42:AB42"/>
    <mergeCell ref="AC42:AE42"/>
    <mergeCell ref="AJ43:AM43"/>
    <mergeCell ref="AC43:AE43"/>
    <mergeCell ref="AC44:AE44"/>
    <mergeCell ref="AJ45:AM45"/>
    <mergeCell ref="AN45:AP45"/>
    <mergeCell ref="AJ44:AM44"/>
    <mergeCell ref="CB13:CE13"/>
    <mergeCell ref="CF13:CH13"/>
    <mergeCell ref="BU12:BW12"/>
    <mergeCell ref="BX12:CA12"/>
    <mergeCell ref="CB12:CE12"/>
    <mergeCell ref="CF12:CH12"/>
    <mergeCell ref="BU13:BW13"/>
    <mergeCell ref="BX13:CA13"/>
    <mergeCell ref="BU17:BW17"/>
    <mergeCell ref="BX17:CA17"/>
    <mergeCell ref="CF15:CH15"/>
    <mergeCell ref="CB16:CE16"/>
    <mergeCell ref="CF16:CH16"/>
    <mergeCell ref="BF17:BI17"/>
    <mergeCell ref="CF14:CH14"/>
    <mergeCell ref="BU14:BW14"/>
    <mergeCell ref="BQ15:BT15"/>
    <mergeCell ref="BU15:BW15"/>
    <mergeCell ref="BX15:CA15"/>
    <mergeCell ref="BX14:CA14"/>
    <mergeCell ref="BM14:BP14"/>
    <mergeCell ref="BJ15:BL15"/>
    <mergeCell ref="BM16:BP16"/>
    <mergeCell ref="BQ16:BT16"/>
    <mergeCell ref="BU16:BW16"/>
    <mergeCell ref="BX16:CA16"/>
    <mergeCell ref="CB14:CE14"/>
    <mergeCell ref="BJ14:BL14"/>
    <mergeCell ref="BQ14:BT14"/>
    <mergeCell ref="BF15:BI15"/>
    <mergeCell ref="BM15:BP15"/>
    <mergeCell ref="CB15:CE15"/>
    <mergeCell ref="CB17:CE17"/>
    <mergeCell ref="BJ16:BL16"/>
    <mergeCell ref="BQ17:BT17"/>
    <mergeCell ref="BJ17:BL17"/>
    <mergeCell ref="BM17:BP17"/>
    <mergeCell ref="BB18:BE18"/>
    <mergeCell ref="BF18:BI18"/>
    <mergeCell ref="BJ18:BL18"/>
    <mergeCell ref="BM18:BP18"/>
    <mergeCell ref="BU18:BW18"/>
    <mergeCell ref="BF20:BI20"/>
    <mergeCell ref="BB22:BE22"/>
    <mergeCell ref="CF19:CH19"/>
    <mergeCell ref="BQ18:BT18"/>
    <mergeCell ref="CB20:CE20"/>
    <mergeCell ref="CF20:CH20"/>
    <mergeCell ref="BJ20:BL20"/>
    <mergeCell ref="BM20:BP20"/>
    <mergeCell ref="BU20:BW20"/>
    <mergeCell ref="BX20:CA20"/>
    <mergeCell ref="BQ20:BT20"/>
    <mergeCell ref="BB20:BE20"/>
    <mergeCell ref="BB21:BE21"/>
    <mergeCell ref="CB18:CE18"/>
    <mergeCell ref="CF18:CH18"/>
    <mergeCell ref="BB19:BE19"/>
    <mergeCell ref="BF19:BI19"/>
    <mergeCell ref="BJ19:BL19"/>
    <mergeCell ref="BM19:BP19"/>
    <mergeCell ref="BJ30:BL30"/>
    <mergeCell ref="BM22:BP22"/>
    <mergeCell ref="BQ22:BT22"/>
    <mergeCell ref="BU22:BW22"/>
    <mergeCell ref="CB22:CE22"/>
    <mergeCell ref="BJ27:BL27"/>
    <mergeCell ref="AN26:AP26"/>
    <mergeCell ref="BF22:BI22"/>
    <mergeCell ref="BQ19:BT19"/>
    <mergeCell ref="BU19:BW19"/>
    <mergeCell ref="BX19:CA19"/>
    <mergeCell ref="CB19:CE19"/>
    <mergeCell ref="AV21:BA21"/>
    <mergeCell ref="AV22:BA22"/>
    <mergeCell ref="AV20:BA20"/>
    <mergeCell ref="BF21:BI21"/>
    <mergeCell ref="AN22:AP22"/>
    <mergeCell ref="BJ28:BL28"/>
    <mergeCell ref="CF21:CH21"/>
    <mergeCell ref="BX22:CA22"/>
    <mergeCell ref="BQ21:BT21"/>
    <mergeCell ref="BJ22:BL22"/>
    <mergeCell ref="BJ21:BL21"/>
    <mergeCell ref="BM21:BP21"/>
    <mergeCell ref="BU21:BW21"/>
    <mergeCell ref="BX21:CA21"/>
    <mergeCell ref="CB21:CE21"/>
    <mergeCell ref="CF22:CH22"/>
    <mergeCell ref="R25:T25"/>
    <mergeCell ref="U25:X25"/>
    <mergeCell ref="Y25:AB25"/>
    <mergeCell ref="AN23:AP23"/>
    <mergeCell ref="AF17:AI17"/>
    <mergeCell ref="AJ17:AM17"/>
    <mergeCell ref="U18:X18"/>
    <mergeCell ref="Y18:AB18"/>
    <mergeCell ref="AC18:AE18"/>
    <mergeCell ref="U19:X19"/>
    <mergeCell ref="Y19:AB19"/>
    <mergeCell ref="AC19:AE19"/>
    <mergeCell ref="AF19:AI19"/>
    <mergeCell ref="AJ19:AM19"/>
    <mergeCell ref="Y20:AB20"/>
    <mergeCell ref="AC20:AE20"/>
    <mergeCell ref="AN20:AP20"/>
    <mergeCell ref="AF21:AI21"/>
    <mergeCell ref="AC16:AE16"/>
    <mergeCell ref="U17:X17"/>
    <mergeCell ref="AN17:AP17"/>
    <mergeCell ref="AN19:AP19"/>
    <mergeCell ref="AF18:AI18"/>
    <mergeCell ref="AJ18:AM18"/>
    <mergeCell ref="Y17:AB17"/>
    <mergeCell ref="AN18:AP18"/>
    <mergeCell ref="AC17:AE17"/>
    <mergeCell ref="BJ29:BL29"/>
    <mergeCell ref="BJ31:BL31"/>
    <mergeCell ref="BB32:BE32"/>
    <mergeCell ref="B1:D1"/>
    <mergeCell ref="AN27:AP27"/>
    <mergeCell ref="AN28:AP28"/>
    <mergeCell ref="AF27:AI27"/>
    <mergeCell ref="AJ27:AM27"/>
    <mergeCell ref="BF32:BI32"/>
    <mergeCell ref="AN21:AP21"/>
    <mergeCell ref="BF28:BI28"/>
    <mergeCell ref="AC24:AE24"/>
    <mergeCell ref="BB27:BE27"/>
    <mergeCell ref="Y26:AB26"/>
    <mergeCell ref="AC26:AE26"/>
    <mergeCell ref="AN15:AP15"/>
    <mergeCell ref="AF16:AI16"/>
    <mergeCell ref="AJ16:AM16"/>
    <mergeCell ref="AN16:AP16"/>
    <mergeCell ref="Y15:AB15"/>
    <mergeCell ref="AC15:AE15"/>
    <mergeCell ref="AF15:AI15"/>
    <mergeCell ref="AJ15:AM15"/>
    <mergeCell ref="Y16:AB16"/>
    <mergeCell ref="BB30:BE30"/>
    <mergeCell ref="BF31:BI31"/>
    <mergeCell ref="AN25:AP25"/>
    <mergeCell ref="Y24:AB24"/>
    <mergeCell ref="U34:X34"/>
    <mergeCell ref="Y34:AB34"/>
    <mergeCell ref="AC34:AE34"/>
    <mergeCell ref="AF33:AI33"/>
    <mergeCell ref="AJ33:AM33"/>
    <mergeCell ref="AN34:AP34"/>
    <mergeCell ref="AV34:BA34"/>
    <mergeCell ref="BF34:BI34"/>
    <mergeCell ref="BB31:BE31"/>
    <mergeCell ref="BF27:BI27"/>
    <mergeCell ref="BB29:BE29"/>
    <mergeCell ref="BF29:BI29"/>
    <mergeCell ref="AN29:AP29"/>
    <mergeCell ref="AN30:AP30"/>
    <mergeCell ref="AN31:AP31"/>
    <mergeCell ref="BF30:BI30"/>
    <mergeCell ref="U33:X33"/>
    <mergeCell ref="Y33:AB33"/>
    <mergeCell ref="Y28:AB28"/>
    <mergeCell ref="AN32:AP32"/>
    <mergeCell ref="BB35:BE35"/>
    <mergeCell ref="BF35:BI35"/>
    <mergeCell ref="BF36:BI36"/>
    <mergeCell ref="AN44:AP44"/>
    <mergeCell ref="AN40:AP40"/>
    <mergeCell ref="BB33:BE33"/>
    <mergeCell ref="BF33:BI33"/>
    <mergeCell ref="BJ32:BL32"/>
    <mergeCell ref="BJ33:BL33"/>
    <mergeCell ref="BJ34:BL34"/>
    <mergeCell ref="AN38:AP38"/>
    <mergeCell ref="U35:X35"/>
    <mergeCell ref="BB45:BE45"/>
    <mergeCell ref="BF45:BI45"/>
    <mergeCell ref="BB42:BE42"/>
    <mergeCell ref="BF42:BI42"/>
    <mergeCell ref="BF44:BI44"/>
    <mergeCell ref="BB40:BE40"/>
    <mergeCell ref="BF40:BI40"/>
    <mergeCell ref="BB43:BE43"/>
    <mergeCell ref="U40:X40"/>
    <mergeCell ref="Y40:AB40"/>
    <mergeCell ref="AF39:AI39"/>
    <mergeCell ref="AJ39:AM39"/>
    <mergeCell ref="AC41:AE41"/>
    <mergeCell ref="AF40:AI40"/>
    <mergeCell ref="AC40:AE40"/>
    <mergeCell ref="Y38:AB38"/>
    <mergeCell ref="U38:X38"/>
    <mergeCell ref="AT28:AU38"/>
    <mergeCell ref="AV35:BA35"/>
    <mergeCell ref="AV36:BA36"/>
    <mergeCell ref="AV37:BA37"/>
    <mergeCell ref="AV38:BA38"/>
    <mergeCell ref="BF39:BI39"/>
    <mergeCell ref="BJ35:BL35"/>
    <mergeCell ref="BB34:BE34"/>
    <mergeCell ref="BB38:BE38"/>
    <mergeCell ref="BB28:BE28"/>
    <mergeCell ref="AN24:AP24"/>
    <mergeCell ref="J25:M25"/>
    <mergeCell ref="N25:Q25"/>
    <mergeCell ref="BJ45:BL45"/>
    <mergeCell ref="BF41:BI41"/>
    <mergeCell ref="BB41:BE41"/>
    <mergeCell ref="BB44:BE44"/>
    <mergeCell ref="BJ43:BL43"/>
    <mergeCell ref="BJ41:BL41"/>
    <mergeCell ref="BJ42:BL42"/>
    <mergeCell ref="BJ40:BL40"/>
    <mergeCell ref="AT45:BA45"/>
    <mergeCell ref="AV44:BA44"/>
    <mergeCell ref="AV43:BA43"/>
    <mergeCell ref="AV40:BA40"/>
    <mergeCell ref="AV41:BA41"/>
    <mergeCell ref="BJ44:BL44"/>
    <mergeCell ref="BF43:BI43"/>
    <mergeCell ref="AF25:AI25"/>
    <mergeCell ref="AN35:AP35"/>
    <mergeCell ref="B44:C47"/>
    <mergeCell ref="AV42:BA42"/>
    <mergeCell ref="AT27:BA27"/>
    <mergeCell ref="AV39:BA39"/>
    <mergeCell ref="AW29:BA29"/>
    <mergeCell ref="AW30:BA30"/>
    <mergeCell ref="AV28:BA28"/>
    <mergeCell ref="AV32:BA32"/>
    <mergeCell ref="AV31:BA31"/>
    <mergeCell ref="B14:C27"/>
    <mergeCell ref="B28:C33"/>
    <mergeCell ref="B34:C43"/>
    <mergeCell ref="J24:M24"/>
    <mergeCell ref="U24:X24"/>
    <mergeCell ref="N24:Q24"/>
    <mergeCell ref="R24:T24"/>
    <mergeCell ref="AV33:BA33"/>
    <mergeCell ref="AN33:AP33"/>
    <mergeCell ref="J35:M35"/>
    <mergeCell ref="N35:Q35"/>
    <mergeCell ref="R35:T35"/>
    <mergeCell ref="AJ35:AM35"/>
    <mergeCell ref="AF34:AI34"/>
    <mergeCell ref="AJ34:AM34"/>
    <mergeCell ref="BJ36:BL36"/>
    <mergeCell ref="BJ37:BL37"/>
    <mergeCell ref="BJ39:BL39"/>
    <mergeCell ref="BB36:BE36"/>
    <mergeCell ref="BF38:BI38"/>
    <mergeCell ref="BJ38:BL38"/>
    <mergeCell ref="BB37:BE37"/>
    <mergeCell ref="BF37:BI37"/>
    <mergeCell ref="BB39:BE39"/>
    <mergeCell ref="D48:E49"/>
    <mergeCell ref="F48:I48"/>
    <mergeCell ref="J48:M48"/>
    <mergeCell ref="N48:Q48"/>
    <mergeCell ref="R48:T48"/>
    <mergeCell ref="U48:X48"/>
    <mergeCell ref="Y48:AB48"/>
    <mergeCell ref="AC48:AE48"/>
    <mergeCell ref="AF48:AI48"/>
    <mergeCell ref="AJ48:AM48"/>
    <mergeCell ref="AN48:AP48"/>
    <mergeCell ref="F49:I49"/>
    <mergeCell ref="J49:M49"/>
    <mergeCell ref="N49:Q49"/>
    <mergeCell ref="R49:T49"/>
    <mergeCell ref="U49:X49"/>
    <mergeCell ref="Y49:AB49"/>
    <mergeCell ref="AC49:AE49"/>
    <mergeCell ref="AF49:AI49"/>
    <mergeCell ref="AJ49:AM49"/>
    <mergeCell ref="AN49:AP49"/>
    <mergeCell ref="AN51:AP51"/>
    <mergeCell ref="D50:I50"/>
    <mergeCell ref="J50:M50"/>
    <mergeCell ref="N50:Q50"/>
    <mergeCell ref="R50:T50"/>
    <mergeCell ref="U50:X50"/>
    <mergeCell ref="Y50:AB50"/>
    <mergeCell ref="AC50:AE50"/>
    <mergeCell ref="AF50:AI50"/>
    <mergeCell ref="AJ50:AM50"/>
    <mergeCell ref="D51:I51"/>
    <mergeCell ref="J51:M51"/>
    <mergeCell ref="N51:Q51"/>
    <mergeCell ref="R51:T51"/>
    <mergeCell ref="U51:X51"/>
    <mergeCell ref="Y51:AB51"/>
    <mergeCell ref="AC51:AE51"/>
    <mergeCell ref="AF51:AI51"/>
    <mergeCell ref="AJ51:AM51"/>
    <mergeCell ref="B48:C53"/>
    <mergeCell ref="AT10:AU22"/>
    <mergeCell ref="AT39:AU44"/>
    <mergeCell ref="AN52:AP52"/>
    <mergeCell ref="D53:I53"/>
    <mergeCell ref="J53:M53"/>
    <mergeCell ref="N53:Q53"/>
    <mergeCell ref="R53:T53"/>
    <mergeCell ref="U53:X53"/>
    <mergeCell ref="Y53:AB53"/>
    <mergeCell ref="AC53:AE53"/>
    <mergeCell ref="AF53:AI53"/>
    <mergeCell ref="AJ53:AM53"/>
    <mergeCell ref="AN53:AP53"/>
    <mergeCell ref="D52:I52"/>
    <mergeCell ref="J52:M52"/>
    <mergeCell ref="N52:Q52"/>
    <mergeCell ref="R52:T52"/>
    <mergeCell ref="U52:X52"/>
    <mergeCell ref="Y52:AB52"/>
    <mergeCell ref="AC52:AE52"/>
    <mergeCell ref="AF52:AI52"/>
    <mergeCell ref="AJ52:AM52"/>
    <mergeCell ref="AN50:AP50"/>
  </mergeCells>
  <phoneticPr fontId="2"/>
  <printOptions horizontalCentered="1"/>
  <pageMargins left="0" right="0" top="1.1811023622047245" bottom="0.19685039370078741" header="0.31496062992125984" footer="0.19685039370078741"/>
  <pageSetup paperSize="9" scale="6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DT103"/>
  <sheetViews>
    <sheetView showGridLines="0" view="pageBreakPreview" zoomScaleNormal="100" zoomScaleSheetLayoutView="100" workbookViewId="0"/>
  </sheetViews>
  <sheetFormatPr defaultColWidth="9.140625" defaultRowHeight="12.75"/>
  <cols>
    <col min="1" max="1" width="2.28515625" style="2" customWidth="1"/>
    <col min="2" max="89" width="2.7109375" style="2" customWidth="1"/>
    <col min="90" max="16384" width="9.140625" style="2"/>
  </cols>
  <sheetData>
    <row r="1" spans="2:124" ht="14.25" customHeight="1">
      <c r="B1" s="103" t="str">
        <f>AB4</f>
        <v/>
      </c>
      <c r="C1" s="103"/>
      <c r="D1" s="103"/>
      <c r="E1" s="95" t="s">
        <v>346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F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CB1" s="27"/>
      <c r="CD1" s="27"/>
      <c r="CE1" s="194"/>
      <c r="CF1" s="195"/>
      <c r="CG1" s="195"/>
      <c r="CH1" s="195"/>
    </row>
    <row r="2" spans="2:124" ht="13.5" thickBot="1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CB2" s="27"/>
      <c r="CD2" s="27"/>
      <c r="CE2" s="194"/>
      <c r="CF2" s="195"/>
      <c r="CG2" s="195"/>
      <c r="CH2" s="195"/>
    </row>
    <row r="3" spans="2:124" ht="14.25" customHeight="1">
      <c r="B3" s="104"/>
      <c r="C3" s="105"/>
      <c r="D3" s="105"/>
      <c r="E3" s="105"/>
      <c r="F3" s="106"/>
      <c r="G3" s="107" t="s">
        <v>335</v>
      </c>
      <c r="H3" s="108"/>
      <c r="I3" s="109"/>
      <c r="J3" s="110" t="s">
        <v>336</v>
      </c>
      <c r="K3" s="111"/>
      <c r="L3" s="111"/>
      <c r="M3" s="111"/>
      <c r="N3" s="111"/>
      <c r="O3" s="111"/>
      <c r="P3" s="112"/>
      <c r="Q3" s="107" t="s">
        <v>337</v>
      </c>
      <c r="R3" s="108"/>
      <c r="S3" s="108"/>
      <c r="T3" s="108"/>
      <c r="U3" s="109"/>
      <c r="V3" s="110" t="s">
        <v>338</v>
      </c>
      <c r="W3" s="111"/>
      <c r="X3" s="111"/>
      <c r="Y3" s="111"/>
      <c r="Z3" s="113"/>
      <c r="AB3" s="114" t="s">
        <v>341</v>
      </c>
      <c r="AC3" s="115"/>
      <c r="AD3" s="115"/>
      <c r="AE3" s="115"/>
      <c r="AF3" s="116"/>
      <c r="AG3" s="117" t="s">
        <v>330</v>
      </c>
      <c r="AH3" s="115"/>
      <c r="AI3" s="115"/>
      <c r="AJ3" s="115"/>
      <c r="AK3" s="116"/>
      <c r="AL3" s="117" t="s">
        <v>342</v>
      </c>
      <c r="AM3" s="115"/>
      <c r="AN3" s="115"/>
      <c r="AO3" s="115"/>
      <c r="AP3" s="116"/>
      <c r="AQ3" s="117" t="s">
        <v>343</v>
      </c>
      <c r="AR3" s="115"/>
      <c r="AS3" s="115"/>
      <c r="AT3" s="115"/>
      <c r="AU3" s="116"/>
      <c r="AV3" s="117" t="s">
        <v>344</v>
      </c>
      <c r="AW3" s="115"/>
      <c r="AX3" s="115"/>
      <c r="AY3" s="115"/>
      <c r="AZ3" s="116"/>
      <c r="BA3" s="117" t="s">
        <v>2</v>
      </c>
      <c r="BB3" s="115"/>
      <c r="BC3" s="115"/>
      <c r="BD3" s="115"/>
      <c r="BE3" s="116"/>
      <c r="BF3" s="117" t="s">
        <v>345</v>
      </c>
      <c r="BG3" s="115"/>
      <c r="BH3" s="115"/>
      <c r="BI3" s="115"/>
      <c r="BJ3" s="116"/>
      <c r="BK3" s="117" t="s">
        <v>334</v>
      </c>
      <c r="BL3" s="115"/>
      <c r="BM3" s="115"/>
      <c r="BN3" s="115"/>
      <c r="BO3" s="270"/>
    </row>
    <row r="4" spans="2:124" ht="14.25" customHeight="1" thickBot="1">
      <c r="B4" s="297" t="s">
        <v>340</v>
      </c>
      <c r="C4" s="298"/>
      <c r="D4" s="298"/>
      <c r="E4" s="298"/>
      <c r="F4" s="299"/>
      <c r="G4" s="248" t="str">
        <f>IF(No.1!G4="","",No.1!G4)</f>
        <v/>
      </c>
      <c r="H4" s="101"/>
      <c r="I4" s="300"/>
      <c r="J4" s="248" t="str">
        <f>IF(No.1!J4="","",No.1!J4)</f>
        <v/>
      </c>
      <c r="K4" s="101"/>
      <c r="L4" s="101"/>
      <c r="M4" s="101"/>
      <c r="N4" s="101"/>
      <c r="O4" s="101"/>
      <c r="P4" s="300"/>
      <c r="Q4" s="248" t="str">
        <f>IF(No.1!Q4="","",No.1!Q4)</f>
        <v/>
      </c>
      <c r="R4" s="101"/>
      <c r="S4" s="101"/>
      <c r="T4" s="101"/>
      <c r="U4" s="101"/>
      <c r="V4" s="301" t="str">
        <f>IF(No.1!V4="","",No.1!V4)</f>
        <v/>
      </c>
      <c r="W4" s="302"/>
      <c r="X4" s="302"/>
      <c r="Y4" s="302"/>
      <c r="Z4" s="303"/>
      <c r="AA4" s="28"/>
      <c r="AB4" s="286" t="str">
        <f>IF(No.1!AB4="","",No.1!AB4)</f>
        <v/>
      </c>
      <c r="AC4" s="287"/>
      <c r="AD4" s="287"/>
      <c r="AE4" s="287"/>
      <c r="AF4" s="288"/>
      <c r="AG4" s="92" t="str">
        <f>IF(No.1!AG4="","",No.1!AG4)</f>
        <v/>
      </c>
      <c r="AH4" s="217" t="str">
        <f>IF(No.1!AH4="","",No.1!AH4)</f>
        <v/>
      </c>
      <c r="AI4" s="217" t="str">
        <f>IF(No.1!AI4="","",No.1!AI4)</f>
        <v/>
      </c>
      <c r="AJ4" s="217" t="str">
        <f>IF(No.1!AJ4="","",No.1!AJ4)</f>
        <v/>
      </c>
      <c r="AK4" s="293" t="str">
        <f>IF(No.1!AK4="","",No.1!AK4)</f>
        <v/>
      </c>
      <c r="AL4" s="93" t="str">
        <f>IF(No.1!AL4="","",No.1!AL4)</f>
        <v/>
      </c>
      <c r="AM4" s="217" t="str">
        <f>IF(No.1!AM4="","",No.1!AM4)</f>
        <v/>
      </c>
      <c r="AN4" s="217" t="str">
        <f>IF(No.1!AN4="","",No.1!AN4)</f>
        <v/>
      </c>
      <c r="AO4" s="217" t="str">
        <f>IF(No.1!AO4="","",No.1!AO4)</f>
        <v/>
      </c>
      <c r="AP4" s="293" t="str">
        <f>IF(No.1!AP4="","",No.1!AP4)</f>
        <v/>
      </c>
      <c r="AQ4" s="92" t="str">
        <f>IF(No.1!AQ4="","",No.1!AQ4)</f>
        <v/>
      </c>
      <c r="AR4" s="217" t="str">
        <f>IF(No.1!AR4="","",No.1!AR4)</f>
        <v/>
      </c>
      <c r="AS4" s="217" t="str">
        <f>IF(No.1!AS4="","",No.1!AS4)</f>
        <v/>
      </c>
      <c r="AT4" s="217" t="str">
        <f>IF(No.1!AT4="","",No.1!AT4)</f>
        <v/>
      </c>
      <c r="AU4" s="293" t="str">
        <f>IF(No.1!AU4="","",No.1!AU4)</f>
        <v/>
      </c>
      <c r="AV4" s="92" t="str">
        <f>IF(No.1!AV4="","",No.1!AV4)</f>
        <v/>
      </c>
      <c r="AW4" s="217" t="str">
        <f>IF(No.1!AW4="","",No.1!AW4)</f>
        <v/>
      </c>
      <c r="AX4" s="217" t="str">
        <f>IF(No.1!AX4="","",No.1!AX4)</f>
        <v/>
      </c>
      <c r="AY4" s="217" t="str">
        <f>IF(No.1!AY4="","",No.1!AY4)</f>
        <v/>
      </c>
      <c r="AZ4" s="293" t="str">
        <f>IF(No.1!AZ4="","",No.1!AZ4)</f>
        <v/>
      </c>
      <c r="BA4" s="93" t="str">
        <f>IF(No.1!BA4="","",No.1!BA4)</f>
        <v/>
      </c>
      <c r="BB4" s="217" t="str">
        <f>IF(No.1!BB4="","",No.1!BB4)</f>
        <v/>
      </c>
      <c r="BC4" s="217" t="str">
        <f>IF(No.1!BC4="","",No.1!BC4)</f>
        <v/>
      </c>
      <c r="BD4" s="217" t="str">
        <f>IF(No.1!BD4="","",No.1!BD4)</f>
        <v/>
      </c>
      <c r="BE4" s="293" t="str">
        <f>IF(No.1!BE4="","",No.1!BE4)</f>
        <v/>
      </c>
      <c r="BF4" s="94" t="str">
        <f>IF(No.1!BF4="","",No.1!BF4)</f>
        <v/>
      </c>
      <c r="BG4" s="217" t="str">
        <f>IF(No.1!BG4="","",No.1!BG4)</f>
        <v/>
      </c>
      <c r="BH4" s="217" t="str">
        <f>IF(No.1!BH4="","",No.1!BH4)</f>
        <v/>
      </c>
      <c r="BI4" s="217" t="str">
        <f>IF(No.1!BI4="","",No.1!BI4)</f>
        <v/>
      </c>
      <c r="BJ4" s="293" t="str">
        <f>IF(No.1!BJ4="","",No.1!BJ4)</f>
        <v/>
      </c>
      <c r="BK4" s="94" t="str">
        <f>IF(No.1!BK4="","",No.1!BK4)</f>
        <v/>
      </c>
      <c r="BL4" s="217" t="str">
        <f>IF(No.1!BL4="","",No.1!BL4)</f>
        <v/>
      </c>
      <c r="BM4" s="217" t="str">
        <f>IF(No.1!BM4="","",No.1!BM4)</f>
        <v/>
      </c>
      <c r="BN4" s="217" t="str">
        <f>IF(No.1!BN4="","",No.1!BN4)</f>
        <v/>
      </c>
      <c r="BO4" s="218" t="str">
        <f>IF(No.1!BO4="","",No.1!BO4)</f>
        <v/>
      </c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</row>
    <row r="5" spans="2:124" ht="14.25" customHeight="1" thickBot="1">
      <c r="B5" s="289" t="s">
        <v>339</v>
      </c>
      <c r="C5" s="290"/>
      <c r="D5" s="290"/>
      <c r="E5" s="290"/>
      <c r="F5" s="291"/>
      <c r="G5" s="292" t="str">
        <f>IF(No.1!G5="","",No.1!G5)</f>
        <v/>
      </c>
      <c r="H5" s="217"/>
      <c r="I5" s="293"/>
      <c r="J5" s="292" t="str">
        <f>IF(No.1!J5="","",No.1!J5)</f>
        <v/>
      </c>
      <c r="K5" s="217"/>
      <c r="L5" s="217"/>
      <c r="M5" s="217"/>
      <c r="N5" s="217"/>
      <c r="O5" s="217"/>
      <c r="P5" s="293"/>
      <c r="Q5" s="292" t="str">
        <f>IF(No.1!Q5="","",No.1!Q5)</f>
        <v/>
      </c>
      <c r="R5" s="217"/>
      <c r="S5" s="217"/>
      <c r="T5" s="217"/>
      <c r="U5" s="217"/>
      <c r="V5" s="294" t="str">
        <f>IF(No.1!V5="","",No.1!V5)</f>
        <v/>
      </c>
      <c r="W5" s="295"/>
      <c r="X5" s="295"/>
      <c r="Y5" s="295"/>
      <c r="Z5" s="296"/>
      <c r="AA5" s="28"/>
      <c r="AB5" s="28"/>
      <c r="AC5" s="28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</row>
    <row r="6" spans="2:124" ht="12.75" customHeight="1">
      <c r="E6" s="28"/>
      <c r="F6" s="28"/>
      <c r="G6" s="28"/>
      <c r="H6" s="28"/>
      <c r="I6" s="28"/>
      <c r="J6" s="28"/>
      <c r="K6" s="28"/>
      <c r="L6" s="1"/>
      <c r="M6" s="37"/>
      <c r="N6" s="37"/>
      <c r="O6" s="37"/>
      <c r="P6" s="37"/>
      <c r="S6" s="28"/>
      <c r="T6" s="1"/>
      <c r="U6" s="38"/>
      <c r="V6" s="38"/>
      <c r="W6" s="38"/>
      <c r="X6" s="28"/>
      <c r="Y6" s="10"/>
      <c r="Z6" s="10"/>
      <c r="AA6" s="10"/>
      <c r="AB6" s="10"/>
      <c r="AC6" s="10"/>
      <c r="AD6" s="10"/>
      <c r="AE6" s="10"/>
    </row>
    <row r="7" spans="2:124" ht="12.75" customHeight="1" thickBot="1">
      <c r="B7" s="3" t="s">
        <v>482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P7" s="1" t="s">
        <v>5</v>
      </c>
      <c r="AQ7" s="1"/>
      <c r="AR7" s="1"/>
      <c r="AS7" s="1"/>
      <c r="AU7" s="2" t="s">
        <v>483</v>
      </c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11" t="s">
        <v>202</v>
      </c>
    </row>
    <row r="8" spans="2:124" ht="12.75" customHeight="1">
      <c r="B8" s="153"/>
      <c r="C8" s="154"/>
      <c r="D8" s="154"/>
      <c r="E8" s="154"/>
      <c r="F8" s="154"/>
      <c r="G8" s="154"/>
      <c r="H8" s="154"/>
      <c r="I8" s="155"/>
      <c r="J8" s="134" t="s">
        <v>81</v>
      </c>
      <c r="K8" s="409"/>
      <c r="L8" s="409"/>
      <c r="M8" s="409"/>
      <c r="N8" s="409"/>
      <c r="O8" s="409"/>
      <c r="P8" s="409"/>
      <c r="Q8" s="409"/>
      <c r="R8" s="409"/>
      <c r="S8" s="409"/>
      <c r="T8" s="409"/>
      <c r="U8" s="134" t="s">
        <v>82</v>
      </c>
      <c r="V8" s="409"/>
      <c r="W8" s="409"/>
      <c r="X8" s="409"/>
      <c r="Y8" s="409"/>
      <c r="Z8" s="409"/>
      <c r="AA8" s="409"/>
      <c r="AB8" s="409"/>
      <c r="AC8" s="409"/>
      <c r="AD8" s="409"/>
      <c r="AE8" s="409"/>
      <c r="AF8" s="134" t="s">
        <v>134</v>
      </c>
      <c r="AG8" s="409"/>
      <c r="AH8" s="409"/>
      <c r="AI8" s="409"/>
      <c r="AJ8" s="409"/>
      <c r="AK8" s="409"/>
      <c r="AL8" s="409"/>
      <c r="AM8" s="409"/>
      <c r="AN8" s="409"/>
      <c r="AO8" s="409"/>
      <c r="AP8" s="410"/>
      <c r="AQ8" s="22"/>
      <c r="AR8" s="22"/>
      <c r="AS8" s="22"/>
      <c r="AU8" s="153"/>
      <c r="AV8" s="154"/>
      <c r="AW8" s="154"/>
      <c r="AX8" s="154"/>
      <c r="AY8" s="154"/>
      <c r="AZ8" s="154"/>
      <c r="BA8" s="154"/>
      <c r="BB8" s="155"/>
      <c r="BC8" s="648"/>
      <c r="BD8" s="649"/>
      <c r="BE8" s="649"/>
      <c r="BF8" s="649"/>
      <c r="BG8" s="649"/>
      <c r="BH8" s="649"/>
      <c r="BI8" s="649"/>
      <c r="BJ8" s="649"/>
      <c r="BK8" s="649"/>
      <c r="BL8" s="649"/>
      <c r="BM8" s="650"/>
      <c r="BN8" s="134" t="s">
        <v>67</v>
      </c>
      <c r="BO8" s="409"/>
      <c r="BP8" s="409"/>
      <c r="BQ8" s="409"/>
      <c r="BR8" s="409"/>
      <c r="BS8" s="409"/>
      <c r="BT8" s="409"/>
      <c r="BU8" s="409"/>
      <c r="BV8" s="409"/>
      <c r="BW8" s="409"/>
      <c r="BX8" s="410"/>
    </row>
    <row r="9" spans="2:124" ht="12.75" customHeight="1" thickBot="1">
      <c r="B9" s="156"/>
      <c r="C9" s="157"/>
      <c r="D9" s="157"/>
      <c r="E9" s="157"/>
      <c r="F9" s="157"/>
      <c r="G9" s="157"/>
      <c r="H9" s="157"/>
      <c r="I9" s="158"/>
      <c r="J9" s="146" t="str">
        <f>IF($B$1&lt;&gt;"",$B$1,"")</f>
        <v/>
      </c>
      <c r="K9" s="128"/>
      <c r="L9" s="128"/>
      <c r="M9" s="128"/>
      <c r="N9" s="127" t="str">
        <f>IF($B$1&lt;&gt;"",$B$1-1,"")</f>
        <v/>
      </c>
      <c r="O9" s="128"/>
      <c r="P9" s="128"/>
      <c r="Q9" s="129"/>
      <c r="R9" s="123" t="s">
        <v>218</v>
      </c>
      <c r="S9" s="124"/>
      <c r="T9" s="125"/>
      <c r="U9" s="146" t="str">
        <f>IF($B$1&lt;&gt;"",$B$1,"")</f>
        <v/>
      </c>
      <c r="V9" s="128"/>
      <c r="W9" s="128"/>
      <c r="X9" s="128"/>
      <c r="Y9" s="127" t="str">
        <f>IF($B$1&lt;&gt;"",$B$1-1,"")</f>
        <v/>
      </c>
      <c r="Z9" s="128"/>
      <c r="AA9" s="128"/>
      <c r="AB9" s="129"/>
      <c r="AC9" s="123" t="s">
        <v>218</v>
      </c>
      <c r="AD9" s="124"/>
      <c r="AE9" s="125"/>
      <c r="AF9" s="146" t="str">
        <f>IF($B$1&lt;&gt;"",$B$1,"")</f>
        <v/>
      </c>
      <c r="AG9" s="128"/>
      <c r="AH9" s="128"/>
      <c r="AI9" s="128"/>
      <c r="AJ9" s="127" t="str">
        <f>IF($B$1&lt;&gt;"",$B$1-1,"")</f>
        <v/>
      </c>
      <c r="AK9" s="128"/>
      <c r="AL9" s="128"/>
      <c r="AM9" s="129"/>
      <c r="AN9" s="123" t="s">
        <v>218</v>
      </c>
      <c r="AO9" s="124"/>
      <c r="AP9" s="125"/>
      <c r="AQ9" s="7"/>
      <c r="AR9" s="7"/>
      <c r="AS9" s="7"/>
      <c r="AU9" s="156"/>
      <c r="AV9" s="157"/>
      <c r="AW9" s="157"/>
      <c r="AX9" s="157"/>
      <c r="AY9" s="157"/>
      <c r="AZ9" s="157"/>
      <c r="BA9" s="157"/>
      <c r="BB9" s="158"/>
      <c r="BC9" s="146" t="str">
        <f>IF($B$1&lt;&gt;"",$B$1,"")</f>
        <v/>
      </c>
      <c r="BD9" s="128"/>
      <c r="BE9" s="128"/>
      <c r="BF9" s="128"/>
      <c r="BG9" s="127" t="str">
        <f>IF($B$1&lt;&gt;"",$B$1-1,"")</f>
        <v/>
      </c>
      <c r="BH9" s="128"/>
      <c r="BI9" s="128"/>
      <c r="BJ9" s="129"/>
      <c r="BK9" s="123" t="s">
        <v>218</v>
      </c>
      <c r="BL9" s="124"/>
      <c r="BM9" s="125"/>
      <c r="BN9" s="146" t="str">
        <f>IF($B$1&lt;&gt;"",$B$1,"")</f>
        <v/>
      </c>
      <c r="BO9" s="128"/>
      <c r="BP9" s="128"/>
      <c r="BQ9" s="128"/>
      <c r="BR9" s="127" t="str">
        <f>IF($B$1&lt;&gt;"",$B$1-1,"")</f>
        <v/>
      </c>
      <c r="BS9" s="128"/>
      <c r="BT9" s="128"/>
      <c r="BU9" s="129"/>
      <c r="BV9" s="123" t="s">
        <v>218</v>
      </c>
      <c r="BW9" s="124"/>
      <c r="BX9" s="125"/>
    </row>
    <row r="10" spans="2:124" ht="12.75" customHeight="1">
      <c r="B10" s="626" t="s">
        <v>122</v>
      </c>
      <c r="C10" s="628" t="s">
        <v>121</v>
      </c>
      <c r="D10" s="629"/>
      <c r="E10" s="244" t="s">
        <v>124</v>
      </c>
      <c r="F10" s="244"/>
      <c r="G10" s="244"/>
      <c r="H10" s="244"/>
      <c r="I10" s="494"/>
      <c r="J10" s="142"/>
      <c r="K10" s="126"/>
      <c r="L10" s="126"/>
      <c r="M10" s="126"/>
      <c r="N10" s="126"/>
      <c r="O10" s="126"/>
      <c r="P10" s="126"/>
      <c r="Q10" s="126"/>
      <c r="R10" s="121" t="str">
        <f t="shared" ref="R10:R26" si="0">IF(J10="-", "-", IF(N10="-", "-", IF(ABS(N10)=0, "-", ROUND(100*(J10-N10)/ABS(N10), 10))))</f>
        <v>-</v>
      </c>
      <c r="S10" s="121" t="str">
        <f t="shared" ref="S10:T25" si="1">IF(O10="-", "-", IF(Q10="-", "-", IF(ABS(Q10)=0, "-", ROUND(100*(O10-Q10)/ABS(Q10), 1))))</f>
        <v>-</v>
      </c>
      <c r="T10" s="122" t="str">
        <f t="shared" si="1"/>
        <v>-</v>
      </c>
      <c r="U10" s="142"/>
      <c r="V10" s="126"/>
      <c r="W10" s="126"/>
      <c r="X10" s="126"/>
      <c r="Y10" s="126"/>
      <c r="Z10" s="126"/>
      <c r="AA10" s="126"/>
      <c r="AB10" s="126"/>
      <c r="AC10" s="121" t="str">
        <f t="shared" ref="AC10:AC20" si="2">IF(U10="-", "-", IF(Y10="-", "-", IF(ABS(Y10)=0, "-", ROUND(100*(U10-Y10)/ABS(Y10), 10))))</f>
        <v>-</v>
      </c>
      <c r="AD10" s="121" t="str">
        <f t="shared" ref="AD10:AE20" si="3">IF(Z10="-", "-", IF(AB10="-", "-", IF(ABS(AB10)=0, "-", ROUND(100*(Z10-AB10)/ABS(AB10), 1))))</f>
        <v>-</v>
      </c>
      <c r="AE10" s="122" t="str">
        <f t="shared" si="3"/>
        <v>-</v>
      </c>
      <c r="AF10" s="448"/>
      <c r="AG10" s="442"/>
      <c r="AH10" s="442"/>
      <c r="AI10" s="442"/>
      <c r="AJ10" s="442"/>
      <c r="AK10" s="442"/>
      <c r="AL10" s="442"/>
      <c r="AM10" s="442"/>
      <c r="AN10" s="121" t="str">
        <f t="shared" ref="AN10:AN20" si="4">IF(AF10="-", "-", IF(AJ10="-", "-", IF(ABS(AJ10)=0, "-", ROUND(100*(AF10-AJ10)/ABS(AJ10), 10))))</f>
        <v>-</v>
      </c>
      <c r="AO10" s="121" t="str">
        <f t="shared" ref="AO10:AP20" si="5">IF(AK10="-", "-", IF(AM10="-", "-", IF(ABS(AM10)=0, "-", ROUND(100*(AK10-AM10)/ABS(AM10), 1))))</f>
        <v>-</v>
      </c>
      <c r="AP10" s="122" t="str">
        <f t="shared" si="5"/>
        <v>-</v>
      </c>
      <c r="AQ10" s="34"/>
      <c r="AR10" s="34"/>
      <c r="AS10" s="34"/>
      <c r="AU10" s="657" t="s">
        <v>197</v>
      </c>
      <c r="AV10" s="222" t="s">
        <v>327</v>
      </c>
      <c r="AW10" s="222"/>
      <c r="AX10" s="222"/>
      <c r="AY10" s="222"/>
      <c r="AZ10" s="222"/>
      <c r="BA10" s="222"/>
      <c r="BB10" s="223"/>
      <c r="BC10" s="654"/>
      <c r="BD10" s="652"/>
      <c r="BE10" s="652"/>
      <c r="BF10" s="653"/>
      <c r="BG10" s="655"/>
      <c r="BH10" s="652"/>
      <c r="BI10" s="652"/>
      <c r="BJ10" s="652"/>
      <c r="BK10" s="651"/>
      <c r="BL10" s="652"/>
      <c r="BM10" s="653"/>
      <c r="BN10" s="344"/>
      <c r="BO10" s="345"/>
      <c r="BP10" s="345"/>
      <c r="BQ10" s="345"/>
      <c r="BR10" s="345"/>
      <c r="BS10" s="345"/>
      <c r="BT10" s="345"/>
      <c r="BU10" s="345"/>
      <c r="BV10" s="316" t="str">
        <f>IF(BN10="-", "-", IF(BR10="-", "-", IF(ABS(BR10)=0, "-", ROUND(100*(BN10-BR10)/ABS(BR10), 10))))</f>
        <v>-</v>
      </c>
      <c r="BW10" s="316" t="str">
        <f>IF(BS10="-", "-", IF(BU10="-", "-", IF(ABS(BU10)=0, "-", ROUND(100*(BS10-BU10)/ABS(BU10), 1))))</f>
        <v>-</v>
      </c>
      <c r="BX10" s="317" t="str">
        <f>IF(BT10="-", "-", IF(BV10="-", "-", IF(ABS(BV10)=0, "-", ROUND(100*(BT10-BV10)/ABS(BV10), 1))))</f>
        <v>-</v>
      </c>
    </row>
    <row r="11" spans="2:124" ht="12.75" customHeight="1">
      <c r="B11" s="626"/>
      <c r="C11" s="630"/>
      <c r="D11" s="519"/>
      <c r="E11" s="179" t="s">
        <v>125</v>
      </c>
      <c r="F11" s="179"/>
      <c r="G11" s="179"/>
      <c r="H11" s="179"/>
      <c r="I11" s="180"/>
      <c r="J11" s="142"/>
      <c r="K11" s="126"/>
      <c r="L11" s="126"/>
      <c r="M11" s="126"/>
      <c r="N11" s="126"/>
      <c r="O11" s="126"/>
      <c r="P11" s="126"/>
      <c r="Q11" s="126"/>
      <c r="R11" s="121" t="str">
        <f t="shared" si="0"/>
        <v>-</v>
      </c>
      <c r="S11" s="121" t="str">
        <f t="shared" si="1"/>
        <v>-</v>
      </c>
      <c r="T11" s="122" t="str">
        <f t="shared" si="1"/>
        <v>-</v>
      </c>
      <c r="U11" s="142"/>
      <c r="V11" s="126"/>
      <c r="W11" s="126"/>
      <c r="X11" s="126"/>
      <c r="Y11" s="126"/>
      <c r="Z11" s="126"/>
      <c r="AA11" s="126"/>
      <c r="AB11" s="126"/>
      <c r="AC11" s="121" t="str">
        <f t="shared" si="2"/>
        <v>-</v>
      </c>
      <c r="AD11" s="121" t="str">
        <f t="shared" si="3"/>
        <v>-</v>
      </c>
      <c r="AE11" s="122" t="str">
        <f t="shared" si="3"/>
        <v>-</v>
      </c>
      <c r="AF11" s="448"/>
      <c r="AG11" s="442"/>
      <c r="AH11" s="442"/>
      <c r="AI11" s="442"/>
      <c r="AJ11" s="442"/>
      <c r="AK11" s="442"/>
      <c r="AL11" s="442"/>
      <c r="AM11" s="442"/>
      <c r="AN11" s="121" t="str">
        <f t="shared" si="4"/>
        <v>-</v>
      </c>
      <c r="AO11" s="121" t="str">
        <f t="shared" si="5"/>
        <v>-</v>
      </c>
      <c r="AP11" s="122" t="str">
        <f t="shared" si="5"/>
        <v>-</v>
      </c>
      <c r="AQ11" s="34"/>
      <c r="AR11" s="34"/>
      <c r="AS11" s="34"/>
      <c r="AU11" s="658"/>
      <c r="AV11" s="176" t="s">
        <v>455</v>
      </c>
      <c r="AW11" s="176"/>
      <c r="AX11" s="176"/>
      <c r="AY11" s="176"/>
      <c r="AZ11" s="176"/>
      <c r="BA11" s="176"/>
      <c r="BB11" s="177"/>
      <c r="BC11" s="621"/>
      <c r="BD11" s="622"/>
      <c r="BE11" s="622"/>
      <c r="BF11" s="623"/>
      <c r="BG11" s="624"/>
      <c r="BH11" s="622"/>
      <c r="BI11" s="622"/>
      <c r="BJ11" s="622"/>
      <c r="BK11" s="625"/>
      <c r="BL11" s="622"/>
      <c r="BM11" s="623"/>
      <c r="BN11" s="142"/>
      <c r="BO11" s="126"/>
      <c r="BP11" s="126"/>
      <c r="BQ11" s="126"/>
      <c r="BR11" s="126"/>
      <c r="BS11" s="126"/>
      <c r="BT11" s="126"/>
      <c r="BU11" s="126"/>
      <c r="BV11" s="121" t="str">
        <f t="shared" ref="BV11" si="6">IF(BN11="-", "-", IF(BR11="-", "-", IF(ABS(BR11)=0, "-", ROUND(100*(BN11-BR11)/ABS(BR11), 10))))</f>
        <v>-</v>
      </c>
      <c r="BW11" s="121" t="str">
        <f t="shared" ref="BW11:BX11" si="7">IF(BS11="-", "-", IF(BU11="-", "-", IF(ABS(BU11)=0, "-", ROUND(100*(BS11-BU11)/ABS(BU11), 1))))</f>
        <v>-</v>
      </c>
      <c r="BX11" s="122" t="str">
        <f t="shared" si="7"/>
        <v>-</v>
      </c>
    </row>
    <row r="12" spans="2:124" ht="12.75" customHeight="1">
      <c r="B12" s="626"/>
      <c r="C12" s="630"/>
      <c r="D12" s="519"/>
      <c r="E12" s="179" t="s">
        <v>126</v>
      </c>
      <c r="F12" s="179"/>
      <c r="G12" s="179"/>
      <c r="H12" s="179"/>
      <c r="I12" s="180"/>
      <c r="J12" s="142"/>
      <c r="K12" s="126"/>
      <c r="L12" s="126"/>
      <c r="M12" s="126"/>
      <c r="N12" s="126"/>
      <c r="O12" s="126"/>
      <c r="P12" s="126"/>
      <c r="Q12" s="126"/>
      <c r="R12" s="121" t="str">
        <f t="shared" si="0"/>
        <v>-</v>
      </c>
      <c r="S12" s="121" t="str">
        <f t="shared" si="1"/>
        <v>-</v>
      </c>
      <c r="T12" s="122" t="str">
        <f t="shared" si="1"/>
        <v>-</v>
      </c>
      <c r="U12" s="142"/>
      <c r="V12" s="126"/>
      <c r="W12" s="126"/>
      <c r="X12" s="126"/>
      <c r="Y12" s="126"/>
      <c r="Z12" s="126"/>
      <c r="AA12" s="126"/>
      <c r="AB12" s="126"/>
      <c r="AC12" s="121" t="str">
        <f t="shared" si="2"/>
        <v>-</v>
      </c>
      <c r="AD12" s="121" t="str">
        <f t="shared" si="3"/>
        <v>-</v>
      </c>
      <c r="AE12" s="122" t="str">
        <f t="shared" si="3"/>
        <v>-</v>
      </c>
      <c r="AF12" s="448"/>
      <c r="AG12" s="442"/>
      <c r="AH12" s="442"/>
      <c r="AI12" s="442"/>
      <c r="AJ12" s="442"/>
      <c r="AK12" s="442"/>
      <c r="AL12" s="442"/>
      <c r="AM12" s="442"/>
      <c r="AN12" s="121" t="str">
        <f t="shared" si="4"/>
        <v>-</v>
      </c>
      <c r="AO12" s="121" t="str">
        <f t="shared" si="5"/>
        <v>-</v>
      </c>
      <c r="AP12" s="122" t="str">
        <f t="shared" si="5"/>
        <v>-</v>
      </c>
      <c r="AQ12" s="34"/>
      <c r="AR12" s="34"/>
      <c r="AS12" s="34"/>
      <c r="AU12" s="658"/>
      <c r="AV12" s="176" t="s">
        <v>210</v>
      </c>
      <c r="AW12" s="176"/>
      <c r="AX12" s="176"/>
      <c r="AY12" s="176"/>
      <c r="AZ12" s="176"/>
      <c r="BA12" s="176"/>
      <c r="BB12" s="177"/>
      <c r="BC12" s="621"/>
      <c r="BD12" s="622"/>
      <c r="BE12" s="622"/>
      <c r="BF12" s="623"/>
      <c r="BG12" s="624"/>
      <c r="BH12" s="622"/>
      <c r="BI12" s="622"/>
      <c r="BJ12" s="622"/>
      <c r="BK12" s="625"/>
      <c r="BL12" s="622"/>
      <c r="BM12" s="623"/>
      <c r="BN12" s="142"/>
      <c r="BO12" s="126"/>
      <c r="BP12" s="126"/>
      <c r="BQ12" s="126"/>
      <c r="BR12" s="126"/>
      <c r="BS12" s="126"/>
      <c r="BT12" s="126"/>
      <c r="BU12" s="126"/>
      <c r="BV12" s="121" t="str">
        <f>IF(BN12="-", "-", IF(BR12="-", "-", IF(ABS(BR12)=0, "-", ROUND(100*(BN12-BR12)/ABS(BR12), 10))))</f>
        <v>-</v>
      </c>
      <c r="BW12" s="121" t="str">
        <f>IF(BS12="-", "-", IF(BU12="-", "-", IF(ABS(BU12)=0, "-", ROUND(100*(BS12-BU12)/ABS(BU12), 1))))</f>
        <v>-</v>
      </c>
      <c r="BX12" s="122" t="str">
        <f>IF(BT12="-", "-", IF(BV12="-", "-", IF(ABS(BV12)=0, "-", ROUND(100*(BT12-BV12)/ABS(BV12), 1))))</f>
        <v>-</v>
      </c>
    </row>
    <row r="13" spans="2:124" ht="12.75" customHeight="1">
      <c r="B13" s="626"/>
      <c r="C13" s="631"/>
      <c r="D13" s="521"/>
      <c r="E13" s="179" t="s">
        <v>50</v>
      </c>
      <c r="F13" s="179"/>
      <c r="G13" s="179"/>
      <c r="H13" s="179"/>
      <c r="I13" s="180"/>
      <c r="J13" s="558"/>
      <c r="K13" s="541"/>
      <c r="L13" s="541"/>
      <c r="M13" s="541"/>
      <c r="N13" s="541"/>
      <c r="O13" s="541"/>
      <c r="P13" s="541"/>
      <c r="Q13" s="541"/>
      <c r="R13" s="486" t="str">
        <f t="shared" si="0"/>
        <v>-</v>
      </c>
      <c r="S13" s="486" t="str">
        <f t="shared" si="1"/>
        <v>-</v>
      </c>
      <c r="T13" s="487" t="str">
        <f t="shared" si="1"/>
        <v>-</v>
      </c>
      <c r="U13" s="558"/>
      <c r="V13" s="541"/>
      <c r="W13" s="541"/>
      <c r="X13" s="541"/>
      <c r="Y13" s="541"/>
      <c r="Z13" s="541"/>
      <c r="AA13" s="541"/>
      <c r="AB13" s="541"/>
      <c r="AC13" s="486" t="str">
        <f t="shared" si="2"/>
        <v>-</v>
      </c>
      <c r="AD13" s="486" t="str">
        <f t="shared" si="3"/>
        <v>-</v>
      </c>
      <c r="AE13" s="487" t="str">
        <f t="shared" si="3"/>
        <v>-</v>
      </c>
      <c r="AF13" s="474"/>
      <c r="AG13" s="473"/>
      <c r="AH13" s="473"/>
      <c r="AI13" s="473"/>
      <c r="AJ13" s="473"/>
      <c r="AK13" s="473"/>
      <c r="AL13" s="473"/>
      <c r="AM13" s="473"/>
      <c r="AN13" s="486" t="str">
        <f t="shared" si="4"/>
        <v>-</v>
      </c>
      <c r="AO13" s="486" t="str">
        <f t="shared" si="5"/>
        <v>-</v>
      </c>
      <c r="AP13" s="487" t="str">
        <f t="shared" si="5"/>
        <v>-</v>
      </c>
      <c r="AQ13" s="34"/>
      <c r="AR13" s="34"/>
      <c r="AS13" s="34"/>
      <c r="AU13" s="658"/>
      <c r="AV13" s="176" t="s">
        <v>456</v>
      </c>
      <c r="AW13" s="176"/>
      <c r="AX13" s="176"/>
      <c r="AY13" s="176"/>
      <c r="AZ13" s="176"/>
      <c r="BA13" s="176"/>
      <c r="BB13" s="177"/>
      <c r="BC13" s="621"/>
      <c r="BD13" s="622"/>
      <c r="BE13" s="622"/>
      <c r="BF13" s="623"/>
      <c r="BG13" s="624"/>
      <c r="BH13" s="622"/>
      <c r="BI13" s="622"/>
      <c r="BJ13" s="622"/>
      <c r="BK13" s="625"/>
      <c r="BL13" s="622"/>
      <c r="BM13" s="623"/>
      <c r="BN13" s="142"/>
      <c r="BO13" s="126"/>
      <c r="BP13" s="126"/>
      <c r="BQ13" s="126"/>
      <c r="BR13" s="126"/>
      <c r="BS13" s="126"/>
      <c r="BT13" s="126"/>
      <c r="BU13" s="126"/>
      <c r="BV13" s="121" t="str">
        <f t="shared" ref="BV13:BV17" si="8">IF(BN13="-", "-", IF(BR13="-", "-", IF(ABS(BR13)=0, "-", ROUND(100*(BN13-BR13)/ABS(BR13), 10))))</f>
        <v>-</v>
      </c>
      <c r="BW13" s="121" t="str">
        <f t="shared" ref="BW13:BX17" si="9">IF(BS13="-", "-", IF(BU13="-", "-", IF(ABS(BU13)=0, "-", ROUND(100*(BS13-BU13)/ABS(BU13), 1))))</f>
        <v>-</v>
      </c>
      <c r="BX13" s="122" t="str">
        <f t="shared" si="9"/>
        <v>-</v>
      </c>
    </row>
    <row r="14" spans="2:124" ht="12.75" customHeight="1">
      <c r="B14" s="626"/>
      <c r="C14" s="632" t="s">
        <v>239</v>
      </c>
      <c r="D14" s="517"/>
      <c r="E14" s="179" t="s">
        <v>127</v>
      </c>
      <c r="F14" s="179"/>
      <c r="G14" s="179"/>
      <c r="H14" s="179"/>
      <c r="I14" s="180"/>
      <c r="J14" s="142"/>
      <c r="K14" s="126"/>
      <c r="L14" s="126"/>
      <c r="M14" s="126"/>
      <c r="N14" s="126"/>
      <c r="O14" s="126"/>
      <c r="P14" s="126"/>
      <c r="Q14" s="126"/>
      <c r="R14" s="121" t="str">
        <f t="shared" si="0"/>
        <v>-</v>
      </c>
      <c r="S14" s="121" t="str">
        <f t="shared" si="1"/>
        <v>-</v>
      </c>
      <c r="T14" s="122" t="str">
        <f t="shared" si="1"/>
        <v>-</v>
      </c>
      <c r="U14" s="142"/>
      <c r="V14" s="126"/>
      <c r="W14" s="126"/>
      <c r="X14" s="126"/>
      <c r="Y14" s="126"/>
      <c r="Z14" s="126"/>
      <c r="AA14" s="126"/>
      <c r="AB14" s="126"/>
      <c r="AC14" s="121" t="str">
        <f t="shared" si="2"/>
        <v>-</v>
      </c>
      <c r="AD14" s="121" t="str">
        <f t="shared" si="3"/>
        <v>-</v>
      </c>
      <c r="AE14" s="122" t="str">
        <f t="shared" si="3"/>
        <v>-</v>
      </c>
      <c r="AF14" s="448"/>
      <c r="AG14" s="442"/>
      <c r="AH14" s="442"/>
      <c r="AI14" s="442"/>
      <c r="AJ14" s="442"/>
      <c r="AK14" s="442"/>
      <c r="AL14" s="442"/>
      <c r="AM14" s="442"/>
      <c r="AN14" s="121" t="str">
        <f t="shared" si="4"/>
        <v>-</v>
      </c>
      <c r="AO14" s="121" t="str">
        <f t="shared" si="5"/>
        <v>-</v>
      </c>
      <c r="AP14" s="122" t="str">
        <f t="shared" si="5"/>
        <v>-</v>
      </c>
      <c r="AQ14" s="34"/>
      <c r="AR14" s="34"/>
      <c r="AS14" s="34"/>
      <c r="AU14" s="658"/>
      <c r="AV14" s="176" t="s">
        <v>457</v>
      </c>
      <c r="AW14" s="176"/>
      <c r="AX14" s="176"/>
      <c r="AY14" s="176"/>
      <c r="AZ14" s="176"/>
      <c r="BA14" s="176"/>
      <c r="BB14" s="177"/>
      <c r="BC14" s="621"/>
      <c r="BD14" s="622"/>
      <c r="BE14" s="622"/>
      <c r="BF14" s="623"/>
      <c r="BG14" s="624"/>
      <c r="BH14" s="622"/>
      <c r="BI14" s="622"/>
      <c r="BJ14" s="622"/>
      <c r="BK14" s="625"/>
      <c r="BL14" s="622"/>
      <c r="BM14" s="623"/>
      <c r="BN14" s="142"/>
      <c r="BO14" s="126"/>
      <c r="BP14" s="126"/>
      <c r="BQ14" s="126"/>
      <c r="BR14" s="126"/>
      <c r="BS14" s="126"/>
      <c r="BT14" s="126"/>
      <c r="BU14" s="126"/>
      <c r="BV14" s="121" t="str">
        <f t="shared" si="8"/>
        <v>-</v>
      </c>
      <c r="BW14" s="121" t="str">
        <f t="shared" si="9"/>
        <v>-</v>
      </c>
      <c r="BX14" s="122" t="str">
        <f t="shared" si="9"/>
        <v>-</v>
      </c>
    </row>
    <row r="15" spans="2:124" ht="12.75" customHeight="1">
      <c r="B15" s="626"/>
      <c r="C15" s="630"/>
      <c r="D15" s="519"/>
      <c r="E15" s="179" t="s">
        <v>128</v>
      </c>
      <c r="F15" s="179"/>
      <c r="G15" s="179"/>
      <c r="H15" s="179"/>
      <c r="I15" s="180"/>
      <c r="J15" s="142"/>
      <c r="K15" s="126"/>
      <c r="L15" s="126"/>
      <c r="M15" s="126"/>
      <c r="N15" s="126"/>
      <c r="O15" s="126"/>
      <c r="P15" s="126"/>
      <c r="Q15" s="126"/>
      <c r="R15" s="121" t="str">
        <f t="shared" si="0"/>
        <v>-</v>
      </c>
      <c r="S15" s="121" t="str">
        <f t="shared" si="1"/>
        <v>-</v>
      </c>
      <c r="T15" s="122" t="str">
        <f t="shared" si="1"/>
        <v>-</v>
      </c>
      <c r="U15" s="142"/>
      <c r="V15" s="126"/>
      <c r="W15" s="126"/>
      <c r="X15" s="126"/>
      <c r="Y15" s="126"/>
      <c r="Z15" s="126"/>
      <c r="AA15" s="126"/>
      <c r="AB15" s="126"/>
      <c r="AC15" s="121" t="str">
        <f t="shared" si="2"/>
        <v>-</v>
      </c>
      <c r="AD15" s="121" t="str">
        <f t="shared" si="3"/>
        <v>-</v>
      </c>
      <c r="AE15" s="122" t="str">
        <f t="shared" si="3"/>
        <v>-</v>
      </c>
      <c r="AF15" s="448"/>
      <c r="AG15" s="442"/>
      <c r="AH15" s="442"/>
      <c r="AI15" s="442"/>
      <c r="AJ15" s="442"/>
      <c r="AK15" s="442"/>
      <c r="AL15" s="442"/>
      <c r="AM15" s="442"/>
      <c r="AN15" s="121" t="str">
        <f t="shared" si="4"/>
        <v>-</v>
      </c>
      <c r="AO15" s="121" t="str">
        <f t="shared" si="5"/>
        <v>-</v>
      </c>
      <c r="AP15" s="122" t="str">
        <f t="shared" si="5"/>
        <v>-</v>
      </c>
      <c r="AQ15" s="34"/>
      <c r="AR15" s="34"/>
      <c r="AS15" s="34"/>
      <c r="AU15" s="658"/>
      <c r="AV15" s="176" t="s">
        <v>308</v>
      </c>
      <c r="AW15" s="176"/>
      <c r="AX15" s="176"/>
      <c r="AY15" s="176"/>
      <c r="AZ15" s="176"/>
      <c r="BA15" s="176"/>
      <c r="BB15" s="177"/>
      <c r="BC15" s="621"/>
      <c r="BD15" s="622"/>
      <c r="BE15" s="622"/>
      <c r="BF15" s="623"/>
      <c r="BG15" s="624"/>
      <c r="BH15" s="622"/>
      <c r="BI15" s="622"/>
      <c r="BJ15" s="622"/>
      <c r="BK15" s="625"/>
      <c r="BL15" s="622"/>
      <c r="BM15" s="623"/>
      <c r="BN15" s="142"/>
      <c r="BO15" s="126"/>
      <c r="BP15" s="126"/>
      <c r="BQ15" s="126"/>
      <c r="BR15" s="126"/>
      <c r="BS15" s="126"/>
      <c r="BT15" s="126"/>
      <c r="BU15" s="126"/>
      <c r="BV15" s="121" t="str">
        <f t="shared" si="8"/>
        <v>-</v>
      </c>
      <c r="BW15" s="121" t="str">
        <f t="shared" si="9"/>
        <v>-</v>
      </c>
      <c r="BX15" s="122" t="str">
        <f t="shared" si="9"/>
        <v>-</v>
      </c>
    </row>
    <row r="16" spans="2:124" ht="12.75" customHeight="1">
      <c r="B16" s="626"/>
      <c r="C16" s="630"/>
      <c r="D16" s="519"/>
      <c r="E16" s="179" t="s">
        <v>86</v>
      </c>
      <c r="F16" s="179"/>
      <c r="G16" s="179"/>
      <c r="H16" s="179"/>
      <c r="I16" s="180"/>
      <c r="J16" s="142"/>
      <c r="K16" s="126"/>
      <c r="L16" s="126"/>
      <c r="M16" s="126"/>
      <c r="N16" s="126"/>
      <c r="O16" s="126"/>
      <c r="P16" s="126"/>
      <c r="Q16" s="126"/>
      <c r="R16" s="121" t="str">
        <f t="shared" si="0"/>
        <v>-</v>
      </c>
      <c r="S16" s="121" t="str">
        <f t="shared" si="1"/>
        <v>-</v>
      </c>
      <c r="T16" s="122" t="str">
        <f t="shared" si="1"/>
        <v>-</v>
      </c>
      <c r="U16" s="142"/>
      <c r="V16" s="126"/>
      <c r="W16" s="126"/>
      <c r="X16" s="126"/>
      <c r="Y16" s="126"/>
      <c r="Z16" s="126"/>
      <c r="AA16" s="126"/>
      <c r="AB16" s="126"/>
      <c r="AC16" s="121" t="str">
        <f t="shared" si="2"/>
        <v>-</v>
      </c>
      <c r="AD16" s="121" t="str">
        <f t="shared" si="3"/>
        <v>-</v>
      </c>
      <c r="AE16" s="122" t="str">
        <f t="shared" si="3"/>
        <v>-</v>
      </c>
      <c r="AF16" s="448"/>
      <c r="AG16" s="442"/>
      <c r="AH16" s="442"/>
      <c r="AI16" s="442"/>
      <c r="AJ16" s="442"/>
      <c r="AK16" s="442"/>
      <c r="AL16" s="442"/>
      <c r="AM16" s="442"/>
      <c r="AN16" s="121" t="str">
        <f t="shared" si="4"/>
        <v>-</v>
      </c>
      <c r="AO16" s="121" t="str">
        <f t="shared" si="5"/>
        <v>-</v>
      </c>
      <c r="AP16" s="122" t="str">
        <f t="shared" si="5"/>
        <v>-</v>
      </c>
      <c r="AQ16" s="34"/>
      <c r="AR16" s="34"/>
      <c r="AS16" s="34"/>
      <c r="AU16" s="658"/>
      <c r="AV16" s="176" t="s">
        <v>458</v>
      </c>
      <c r="AW16" s="176"/>
      <c r="AX16" s="176"/>
      <c r="AY16" s="176"/>
      <c r="AZ16" s="176"/>
      <c r="BA16" s="176"/>
      <c r="BB16" s="177"/>
      <c r="BC16" s="621"/>
      <c r="BD16" s="622"/>
      <c r="BE16" s="622"/>
      <c r="BF16" s="623"/>
      <c r="BG16" s="624"/>
      <c r="BH16" s="622"/>
      <c r="BI16" s="622"/>
      <c r="BJ16" s="622"/>
      <c r="BK16" s="625"/>
      <c r="BL16" s="622"/>
      <c r="BM16" s="623"/>
      <c r="BN16" s="142"/>
      <c r="BO16" s="126"/>
      <c r="BP16" s="126"/>
      <c r="BQ16" s="126"/>
      <c r="BR16" s="126"/>
      <c r="BS16" s="126"/>
      <c r="BT16" s="126"/>
      <c r="BU16" s="126"/>
      <c r="BV16" s="121" t="str">
        <f t="shared" si="8"/>
        <v>-</v>
      </c>
      <c r="BW16" s="121" t="str">
        <f t="shared" si="9"/>
        <v>-</v>
      </c>
      <c r="BX16" s="122" t="str">
        <f t="shared" si="9"/>
        <v>-</v>
      </c>
    </row>
    <row r="17" spans="2:76" ht="12.75" customHeight="1">
      <c r="B17" s="626"/>
      <c r="C17" s="631"/>
      <c r="D17" s="521"/>
      <c r="E17" s="179" t="s">
        <v>50</v>
      </c>
      <c r="F17" s="179"/>
      <c r="G17" s="179"/>
      <c r="H17" s="179"/>
      <c r="I17" s="180"/>
      <c r="J17" s="558"/>
      <c r="K17" s="541"/>
      <c r="L17" s="541"/>
      <c r="M17" s="541"/>
      <c r="N17" s="541"/>
      <c r="O17" s="541"/>
      <c r="P17" s="541"/>
      <c r="Q17" s="541"/>
      <c r="R17" s="486" t="str">
        <f t="shared" si="0"/>
        <v>-</v>
      </c>
      <c r="S17" s="486" t="str">
        <f t="shared" si="1"/>
        <v>-</v>
      </c>
      <c r="T17" s="487" t="str">
        <f t="shared" si="1"/>
        <v>-</v>
      </c>
      <c r="U17" s="558"/>
      <c r="V17" s="541"/>
      <c r="W17" s="541"/>
      <c r="X17" s="541"/>
      <c r="Y17" s="541"/>
      <c r="Z17" s="541"/>
      <c r="AA17" s="541"/>
      <c r="AB17" s="541"/>
      <c r="AC17" s="486" t="str">
        <f t="shared" si="2"/>
        <v>-</v>
      </c>
      <c r="AD17" s="486" t="str">
        <f t="shared" si="3"/>
        <v>-</v>
      </c>
      <c r="AE17" s="487" t="str">
        <f t="shared" si="3"/>
        <v>-</v>
      </c>
      <c r="AF17" s="474"/>
      <c r="AG17" s="473"/>
      <c r="AH17" s="473"/>
      <c r="AI17" s="473"/>
      <c r="AJ17" s="473"/>
      <c r="AK17" s="473"/>
      <c r="AL17" s="473"/>
      <c r="AM17" s="473"/>
      <c r="AN17" s="486" t="str">
        <f t="shared" si="4"/>
        <v>-</v>
      </c>
      <c r="AO17" s="486" t="str">
        <f t="shared" si="5"/>
        <v>-</v>
      </c>
      <c r="AP17" s="487" t="str">
        <f t="shared" si="5"/>
        <v>-</v>
      </c>
      <c r="AQ17" s="34"/>
      <c r="AR17" s="34"/>
      <c r="AS17" s="34"/>
      <c r="AU17" s="658"/>
      <c r="AV17" s="176" t="s">
        <v>459</v>
      </c>
      <c r="AW17" s="176"/>
      <c r="AX17" s="176"/>
      <c r="AY17" s="176"/>
      <c r="AZ17" s="176"/>
      <c r="BA17" s="176"/>
      <c r="BB17" s="177"/>
      <c r="BC17" s="621"/>
      <c r="BD17" s="622"/>
      <c r="BE17" s="622"/>
      <c r="BF17" s="623"/>
      <c r="BG17" s="624"/>
      <c r="BH17" s="622"/>
      <c r="BI17" s="622"/>
      <c r="BJ17" s="622"/>
      <c r="BK17" s="625"/>
      <c r="BL17" s="622"/>
      <c r="BM17" s="623"/>
      <c r="BN17" s="142"/>
      <c r="BO17" s="126"/>
      <c r="BP17" s="126"/>
      <c r="BQ17" s="126"/>
      <c r="BR17" s="126"/>
      <c r="BS17" s="126"/>
      <c r="BT17" s="126"/>
      <c r="BU17" s="126"/>
      <c r="BV17" s="121" t="str">
        <f t="shared" si="8"/>
        <v>-</v>
      </c>
      <c r="BW17" s="121" t="str">
        <f t="shared" si="9"/>
        <v>-</v>
      </c>
      <c r="BX17" s="122" t="str">
        <f t="shared" si="9"/>
        <v>-</v>
      </c>
    </row>
    <row r="18" spans="2:76" ht="12.75" customHeight="1">
      <c r="B18" s="627"/>
      <c r="C18" s="245" t="s">
        <v>55</v>
      </c>
      <c r="D18" s="176"/>
      <c r="E18" s="176"/>
      <c r="F18" s="176"/>
      <c r="G18" s="176"/>
      <c r="H18" s="176"/>
      <c r="I18" s="177"/>
      <c r="J18" s="558"/>
      <c r="K18" s="541"/>
      <c r="L18" s="541"/>
      <c r="M18" s="541"/>
      <c r="N18" s="541"/>
      <c r="O18" s="541"/>
      <c r="P18" s="541"/>
      <c r="Q18" s="541"/>
      <c r="R18" s="486" t="str">
        <f t="shared" si="0"/>
        <v>-</v>
      </c>
      <c r="S18" s="486" t="str">
        <f t="shared" si="1"/>
        <v>-</v>
      </c>
      <c r="T18" s="487" t="str">
        <f t="shared" si="1"/>
        <v>-</v>
      </c>
      <c r="U18" s="558"/>
      <c r="V18" s="541"/>
      <c r="W18" s="541"/>
      <c r="X18" s="541"/>
      <c r="Y18" s="541"/>
      <c r="Z18" s="541"/>
      <c r="AA18" s="541"/>
      <c r="AB18" s="541"/>
      <c r="AC18" s="486" t="str">
        <f t="shared" si="2"/>
        <v>-</v>
      </c>
      <c r="AD18" s="486" t="str">
        <f t="shared" si="3"/>
        <v>-</v>
      </c>
      <c r="AE18" s="487" t="str">
        <f t="shared" si="3"/>
        <v>-</v>
      </c>
      <c r="AF18" s="474"/>
      <c r="AG18" s="473"/>
      <c r="AH18" s="473"/>
      <c r="AI18" s="473"/>
      <c r="AJ18" s="473"/>
      <c r="AK18" s="473"/>
      <c r="AL18" s="473"/>
      <c r="AM18" s="473"/>
      <c r="AN18" s="486" t="str">
        <f t="shared" si="4"/>
        <v>-</v>
      </c>
      <c r="AO18" s="486" t="str">
        <f t="shared" si="5"/>
        <v>-</v>
      </c>
      <c r="AP18" s="487" t="str">
        <f t="shared" si="5"/>
        <v>-</v>
      </c>
      <c r="AQ18" s="34"/>
      <c r="AR18" s="34"/>
      <c r="AS18" s="34"/>
      <c r="AU18" s="658"/>
      <c r="AV18" s="248" t="s">
        <v>165</v>
      </c>
      <c r="AW18" s="101"/>
      <c r="AX18" s="101"/>
      <c r="AY18" s="101"/>
      <c r="AZ18" s="101"/>
      <c r="BA18" s="101"/>
      <c r="BB18" s="102"/>
      <c r="BC18" s="621"/>
      <c r="BD18" s="622"/>
      <c r="BE18" s="622"/>
      <c r="BF18" s="623"/>
      <c r="BG18" s="624"/>
      <c r="BH18" s="622"/>
      <c r="BI18" s="622"/>
      <c r="BJ18" s="622"/>
      <c r="BK18" s="625"/>
      <c r="BL18" s="622"/>
      <c r="BM18" s="623"/>
      <c r="BN18" s="142"/>
      <c r="BO18" s="126"/>
      <c r="BP18" s="126"/>
      <c r="BQ18" s="126"/>
      <c r="BR18" s="126"/>
      <c r="BS18" s="126"/>
      <c r="BT18" s="126"/>
      <c r="BU18" s="126"/>
      <c r="BV18" s="121" t="str">
        <f>IF(BN18="-", "-", IF(BR18="-", "-", IF(ABS(BR18)=0, "-", ROUND(100*(BN18-BR18)/ABS(BR18), 10))))</f>
        <v>-</v>
      </c>
      <c r="BW18" s="121" t="str">
        <f t="shared" ref="BW18:BX20" si="10">IF(BS18="-", "-", IF(BU18="-", "-", IF(ABS(BU18)=0, "-", ROUND(100*(BS18-BU18)/ABS(BU18), 1))))</f>
        <v>-</v>
      </c>
      <c r="BX18" s="122" t="str">
        <f t="shared" si="10"/>
        <v>-</v>
      </c>
    </row>
    <row r="19" spans="2:76" ht="12.75" customHeight="1">
      <c r="B19" s="716" t="s">
        <v>132</v>
      </c>
      <c r="C19" s="642" t="s">
        <v>123</v>
      </c>
      <c r="D19" s="643"/>
      <c r="E19" s="244" t="s">
        <v>125</v>
      </c>
      <c r="F19" s="244"/>
      <c r="G19" s="244"/>
      <c r="H19" s="244"/>
      <c r="I19" s="494"/>
      <c r="J19" s="142"/>
      <c r="K19" s="126"/>
      <c r="L19" s="126"/>
      <c r="M19" s="126"/>
      <c r="N19" s="126"/>
      <c r="O19" s="126"/>
      <c r="P19" s="126"/>
      <c r="Q19" s="126"/>
      <c r="R19" s="121" t="str">
        <f t="shared" si="0"/>
        <v>-</v>
      </c>
      <c r="S19" s="121" t="str">
        <f t="shared" si="1"/>
        <v>-</v>
      </c>
      <c r="T19" s="122" t="str">
        <f t="shared" si="1"/>
        <v>-</v>
      </c>
      <c r="U19" s="142"/>
      <c r="V19" s="126"/>
      <c r="W19" s="126"/>
      <c r="X19" s="126"/>
      <c r="Y19" s="126"/>
      <c r="Z19" s="126"/>
      <c r="AA19" s="126"/>
      <c r="AB19" s="126"/>
      <c r="AC19" s="121" t="str">
        <f t="shared" si="2"/>
        <v>-</v>
      </c>
      <c r="AD19" s="121" t="str">
        <f t="shared" si="3"/>
        <v>-</v>
      </c>
      <c r="AE19" s="122" t="str">
        <f t="shared" si="3"/>
        <v>-</v>
      </c>
      <c r="AF19" s="448"/>
      <c r="AG19" s="442"/>
      <c r="AH19" s="442"/>
      <c r="AI19" s="442"/>
      <c r="AJ19" s="442"/>
      <c r="AK19" s="442"/>
      <c r="AL19" s="442"/>
      <c r="AM19" s="442"/>
      <c r="AN19" s="121" t="str">
        <f t="shared" si="4"/>
        <v>-</v>
      </c>
      <c r="AO19" s="121" t="str">
        <f t="shared" si="5"/>
        <v>-</v>
      </c>
      <c r="AP19" s="122" t="str">
        <f t="shared" si="5"/>
        <v>-</v>
      </c>
      <c r="AQ19" s="34"/>
      <c r="AR19" s="34"/>
      <c r="AS19" s="34"/>
      <c r="AU19" s="658"/>
      <c r="AV19" s="176" t="s">
        <v>164</v>
      </c>
      <c r="AW19" s="176"/>
      <c r="AX19" s="176"/>
      <c r="AY19" s="176"/>
      <c r="AZ19" s="176"/>
      <c r="BA19" s="176"/>
      <c r="BB19" s="177"/>
      <c r="BC19" s="621"/>
      <c r="BD19" s="622"/>
      <c r="BE19" s="622"/>
      <c r="BF19" s="623"/>
      <c r="BG19" s="624"/>
      <c r="BH19" s="622"/>
      <c r="BI19" s="622"/>
      <c r="BJ19" s="622"/>
      <c r="BK19" s="625"/>
      <c r="BL19" s="622"/>
      <c r="BM19" s="623"/>
      <c r="BN19" s="142"/>
      <c r="BO19" s="126"/>
      <c r="BP19" s="126"/>
      <c r="BQ19" s="126"/>
      <c r="BR19" s="126"/>
      <c r="BS19" s="126"/>
      <c r="BT19" s="126"/>
      <c r="BU19" s="126"/>
      <c r="BV19" s="121" t="str">
        <f>IF(BN19="-", "-", IF(BR19="-", "-", IF(ABS(BR19)=0, "-", ROUND(100*(BN19-BR19)/ABS(BR19), 10))))</f>
        <v>-</v>
      </c>
      <c r="BW19" s="121" t="str">
        <f t="shared" si="10"/>
        <v>-</v>
      </c>
      <c r="BX19" s="122" t="str">
        <f t="shared" si="10"/>
        <v>-</v>
      </c>
    </row>
    <row r="20" spans="2:76" ht="12.75" customHeight="1">
      <c r="B20" s="458"/>
      <c r="C20" s="646"/>
      <c r="D20" s="647"/>
      <c r="E20" s="179" t="s">
        <v>86</v>
      </c>
      <c r="F20" s="179"/>
      <c r="G20" s="179"/>
      <c r="H20" s="179"/>
      <c r="I20" s="180"/>
      <c r="J20" s="142"/>
      <c r="K20" s="126"/>
      <c r="L20" s="126"/>
      <c r="M20" s="126"/>
      <c r="N20" s="126"/>
      <c r="O20" s="126"/>
      <c r="P20" s="126"/>
      <c r="Q20" s="126"/>
      <c r="R20" s="121" t="str">
        <f t="shared" si="0"/>
        <v>-</v>
      </c>
      <c r="S20" s="121" t="str">
        <f t="shared" si="1"/>
        <v>-</v>
      </c>
      <c r="T20" s="122" t="str">
        <f t="shared" si="1"/>
        <v>-</v>
      </c>
      <c r="U20" s="142"/>
      <c r="V20" s="126"/>
      <c r="W20" s="126"/>
      <c r="X20" s="126"/>
      <c r="Y20" s="126"/>
      <c r="Z20" s="126"/>
      <c r="AA20" s="126"/>
      <c r="AB20" s="126"/>
      <c r="AC20" s="121" t="str">
        <f t="shared" si="2"/>
        <v>-</v>
      </c>
      <c r="AD20" s="121" t="str">
        <f t="shared" si="3"/>
        <v>-</v>
      </c>
      <c r="AE20" s="122" t="str">
        <f t="shared" si="3"/>
        <v>-</v>
      </c>
      <c r="AF20" s="448"/>
      <c r="AG20" s="442"/>
      <c r="AH20" s="442"/>
      <c r="AI20" s="442"/>
      <c r="AJ20" s="442"/>
      <c r="AK20" s="442"/>
      <c r="AL20" s="442"/>
      <c r="AM20" s="442"/>
      <c r="AN20" s="121" t="str">
        <f t="shared" si="4"/>
        <v>-</v>
      </c>
      <c r="AO20" s="121" t="str">
        <f t="shared" si="5"/>
        <v>-</v>
      </c>
      <c r="AP20" s="122" t="str">
        <f t="shared" si="5"/>
        <v>-</v>
      </c>
      <c r="AQ20" s="34"/>
      <c r="AR20" s="34"/>
      <c r="AS20" s="34"/>
      <c r="AU20" s="658"/>
      <c r="AV20" s="176" t="s">
        <v>166</v>
      </c>
      <c r="AW20" s="176"/>
      <c r="AX20" s="176"/>
      <c r="AY20" s="176"/>
      <c r="AZ20" s="176"/>
      <c r="BA20" s="176"/>
      <c r="BB20" s="177"/>
      <c r="BC20" s="621"/>
      <c r="BD20" s="622"/>
      <c r="BE20" s="622"/>
      <c r="BF20" s="623"/>
      <c r="BG20" s="624"/>
      <c r="BH20" s="622"/>
      <c r="BI20" s="622"/>
      <c r="BJ20" s="622"/>
      <c r="BK20" s="625"/>
      <c r="BL20" s="622"/>
      <c r="BM20" s="623"/>
      <c r="BN20" s="142"/>
      <c r="BO20" s="126"/>
      <c r="BP20" s="126"/>
      <c r="BQ20" s="126"/>
      <c r="BR20" s="126"/>
      <c r="BS20" s="126"/>
      <c r="BT20" s="126"/>
      <c r="BU20" s="126"/>
      <c r="BV20" s="121" t="str">
        <f>IF(BN20="-", "-", IF(BR20="-", "-", IF(ABS(BR20)=0, "-", ROUND(100*(BN20-BR20)/ABS(BR20), 10))))</f>
        <v>-</v>
      </c>
      <c r="BW20" s="121" t="str">
        <f t="shared" si="10"/>
        <v>-</v>
      </c>
      <c r="BX20" s="122" t="str">
        <f t="shared" si="10"/>
        <v>-</v>
      </c>
    </row>
    <row r="21" spans="2:76" ht="12.75" customHeight="1">
      <c r="B21" s="458"/>
      <c r="C21" s="642" t="s">
        <v>326</v>
      </c>
      <c r="D21" s="643"/>
      <c r="E21" s="179" t="s">
        <v>129</v>
      </c>
      <c r="F21" s="179"/>
      <c r="G21" s="179"/>
      <c r="H21" s="179"/>
      <c r="I21" s="180"/>
      <c r="J21" s="142"/>
      <c r="K21" s="126"/>
      <c r="L21" s="126"/>
      <c r="M21" s="126"/>
      <c r="N21" s="126"/>
      <c r="O21" s="126"/>
      <c r="P21" s="126"/>
      <c r="Q21" s="126"/>
      <c r="R21" s="121" t="str">
        <f t="shared" si="0"/>
        <v>-</v>
      </c>
      <c r="S21" s="121" t="str">
        <f t="shared" si="1"/>
        <v>-</v>
      </c>
      <c r="T21" s="122" t="str">
        <f t="shared" si="1"/>
        <v>-</v>
      </c>
      <c r="U21" s="682"/>
      <c r="V21" s="683"/>
      <c r="W21" s="683"/>
      <c r="X21" s="683"/>
      <c r="Y21" s="263"/>
      <c r="Z21" s="229"/>
      <c r="AA21" s="229"/>
      <c r="AB21" s="229"/>
      <c r="AC21" s="530"/>
      <c r="AD21" s="530"/>
      <c r="AE21" s="531"/>
      <c r="AF21" s="682"/>
      <c r="AG21" s="683"/>
      <c r="AH21" s="683"/>
      <c r="AI21" s="683"/>
      <c r="AJ21" s="263"/>
      <c r="AK21" s="229"/>
      <c r="AL21" s="229"/>
      <c r="AM21" s="229"/>
      <c r="AN21" s="263"/>
      <c r="AO21" s="229"/>
      <c r="AP21" s="264"/>
      <c r="AQ21" s="34"/>
      <c r="AR21" s="34"/>
      <c r="AS21" s="34"/>
      <c r="AU21" s="658"/>
      <c r="AV21" s="176" t="s">
        <v>460</v>
      </c>
      <c r="AW21" s="176"/>
      <c r="AX21" s="176"/>
      <c r="AY21" s="176"/>
      <c r="AZ21" s="176"/>
      <c r="BA21" s="176"/>
      <c r="BB21" s="177"/>
      <c r="BC21" s="621"/>
      <c r="BD21" s="622"/>
      <c r="BE21" s="622"/>
      <c r="BF21" s="623"/>
      <c r="BG21" s="624"/>
      <c r="BH21" s="622"/>
      <c r="BI21" s="622"/>
      <c r="BJ21" s="622"/>
      <c r="BK21" s="625"/>
      <c r="BL21" s="622"/>
      <c r="BM21" s="623"/>
      <c r="BN21" s="142"/>
      <c r="BO21" s="126"/>
      <c r="BP21" s="126"/>
      <c r="BQ21" s="126"/>
      <c r="BR21" s="126"/>
      <c r="BS21" s="126"/>
      <c r="BT21" s="126"/>
      <c r="BU21" s="126"/>
      <c r="BV21" s="121" t="str">
        <f t="shared" ref="BV21" si="11">IF(BN21="-", "-", IF(BR21="-", "-", IF(ABS(BR21)=0, "-", ROUND(100*(BN21-BR21)/ABS(BR21), 10))))</f>
        <v>-</v>
      </c>
      <c r="BW21" s="121" t="str">
        <f t="shared" ref="BW21:BX21" si="12">IF(BS21="-", "-", IF(BU21="-", "-", IF(ABS(BU21)=0, "-", ROUND(100*(BS21-BU21)/ABS(BU21), 1))))</f>
        <v>-</v>
      </c>
      <c r="BX21" s="122" t="str">
        <f t="shared" si="12"/>
        <v>-</v>
      </c>
    </row>
    <row r="22" spans="2:76" ht="12.75" customHeight="1">
      <c r="B22" s="458"/>
      <c r="C22" s="644"/>
      <c r="D22" s="645"/>
      <c r="E22" s="179" t="s">
        <v>130</v>
      </c>
      <c r="F22" s="179"/>
      <c r="G22" s="179"/>
      <c r="H22" s="179"/>
      <c r="I22" s="180"/>
      <c r="J22" s="142"/>
      <c r="K22" s="126"/>
      <c r="L22" s="126"/>
      <c r="M22" s="126"/>
      <c r="N22" s="126"/>
      <c r="O22" s="126"/>
      <c r="P22" s="126"/>
      <c r="Q22" s="126"/>
      <c r="R22" s="121" t="str">
        <f t="shared" si="0"/>
        <v>-</v>
      </c>
      <c r="S22" s="121" t="str">
        <f t="shared" si="1"/>
        <v>-</v>
      </c>
      <c r="T22" s="122" t="str">
        <f t="shared" si="1"/>
        <v>-</v>
      </c>
      <c r="U22" s="142"/>
      <c r="V22" s="126"/>
      <c r="W22" s="126"/>
      <c r="X22" s="126"/>
      <c r="Y22" s="126"/>
      <c r="Z22" s="126"/>
      <c r="AA22" s="126"/>
      <c r="AB22" s="126"/>
      <c r="AC22" s="121" t="str">
        <f>IF(U22="-", "-", IF(Y22="-", "-", IF(ABS(Y22)=0, "-", ROUND(100*(U22-Y22)/ABS(Y22), 10))))</f>
        <v>-</v>
      </c>
      <c r="AD22" s="121" t="str">
        <f t="shared" ref="AD22:AE22" si="13">IF(Z22="-", "-", IF(AB22="-", "-", IF(ABS(AB22)=0, "-", ROUND(100*(Z22-AB22)/ABS(AB22), 1))))</f>
        <v>-</v>
      </c>
      <c r="AE22" s="122" t="str">
        <f t="shared" si="13"/>
        <v>-</v>
      </c>
      <c r="AF22" s="448"/>
      <c r="AG22" s="442"/>
      <c r="AH22" s="442"/>
      <c r="AI22" s="442"/>
      <c r="AJ22" s="442"/>
      <c r="AK22" s="442"/>
      <c r="AL22" s="442"/>
      <c r="AM22" s="442"/>
      <c r="AN22" s="121" t="str">
        <f>IF(AF22="-", "-", IF(AJ22="-", "-", IF(ABS(AJ22)=0, "-", ROUND(100*(AF22-AJ22)/ABS(AJ22), 10))))</f>
        <v>-</v>
      </c>
      <c r="AO22" s="121" t="str">
        <f t="shared" ref="AO22:AP22" si="14">IF(AK22="-", "-", IF(AM22="-", "-", IF(ABS(AM22)=0, "-", ROUND(100*(AK22-AM22)/ABS(AM22), 1))))</f>
        <v>-</v>
      </c>
      <c r="AP22" s="122" t="str">
        <f t="shared" si="14"/>
        <v>-</v>
      </c>
      <c r="AQ22" s="34"/>
      <c r="AR22" s="34"/>
      <c r="AS22" s="34"/>
      <c r="AU22" s="658"/>
      <c r="AV22" s="176" t="s">
        <v>163</v>
      </c>
      <c r="AW22" s="176"/>
      <c r="AX22" s="176"/>
      <c r="AY22" s="176"/>
      <c r="AZ22" s="176"/>
      <c r="BA22" s="176"/>
      <c r="BB22" s="177"/>
      <c r="BC22" s="621"/>
      <c r="BD22" s="622"/>
      <c r="BE22" s="622"/>
      <c r="BF22" s="623"/>
      <c r="BG22" s="624"/>
      <c r="BH22" s="622"/>
      <c r="BI22" s="622"/>
      <c r="BJ22" s="622"/>
      <c r="BK22" s="625"/>
      <c r="BL22" s="622"/>
      <c r="BM22" s="623"/>
      <c r="BN22" s="142"/>
      <c r="BO22" s="126"/>
      <c r="BP22" s="126"/>
      <c r="BQ22" s="126"/>
      <c r="BR22" s="126"/>
      <c r="BS22" s="126"/>
      <c r="BT22" s="126"/>
      <c r="BU22" s="126"/>
      <c r="BV22" s="121" t="str">
        <f>IF(BN22="-", "-", IF(BR22="-", "-", IF(ABS(BR22)=0, "-", ROUND(100*(BN22-BR22)/ABS(BR22), 10))))</f>
        <v>-</v>
      </c>
      <c r="BW22" s="121" t="str">
        <f t="shared" ref="BW22:BX26" si="15">IF(BS22="-", "-", IF(BU22="-", "-", IF(ABS(BU22)=0, "-", ROUND(100*(BS22-BU22)/ABS(BU22), 1))))</f>
        <v>-</v>
      </c>
      <c r="BX22" s="122" t="str">
        <f t="shared" si="15"/>
        <v>-</v>
      </c>
    </row>
    <row r="23" spans="2:76" ht="12.75" customHeight="1">
      <c r="B23" s="458"/>
      <c r="C23" s="646"/>
      <c r="D23" s="647"/>
      <c r="E23" s="179" t="s">
        <v>325</v>
      </c>
      <c r="F23" s="179"/>
      <c r="G23" s="179"/>
      <c r="H23" s="179"/>
      <c r="I23" s="180"/>
      <c r="J23" s="142"/>
      <c r="K23" s="126"/>
      <c r="L23" s="126"/>
      <c r="M23" s="126"/>
      <c r="N23" s="126"/>
      <c r="O23" s="126"/>
      <c r="P23" s="126"/>
      <c r="Q23" s="126"/>
      <c r="R23" s="121" t="str">
        <f t="shared" si="0"/>
        <v>-</v>
      </c>
      <c r="S23" s="121" t="str">
        <f t="shared" si="1"/>
        <v>-</v>
      </c>
      <c r="T23" s="122" t="str">
        <f t="shared" si="1"/>
        <v>-</v>
      </c>
      <c r="U23" s="682"/>
      <c r="V23" s="683"/>
      <c r="W23" s="683"/>
      <c r="X23" s="683"/>
      <c r="Y23" s="263"/>
      <c r="Z23" s="229"/>
      <c r="AA23" s="229"/>
      <c r="AB23" s="229"/>
      <c r="AC23" s="530"/>
      <c r="AD23" s="530"/>
      <c r="AE23" s="531"/>
      <c r="AF23" s="682"/>
      <c r="AG23" s="683"/>
      <c r="AH23" s="683"/>
      <c r="AI23" s="683"/>
      <c r="AJ23" s="263"/>
      <c r="AK23" s="229"/>
      <c r="AL23" s="229"/>
      <c r="AM23" s="229"/>
      <c r="AN23" s="263"/>
      <c r="AO23" s="229"/>
      <c r="AP23" s="264"/>
      <c r="AQ23" s="34"/>
      <c r="AR23" s="34"/>
      <c r="AS23" s="34"/>
      <c r="AU23" s="658"/>
      <c r="AV23" s="176" t="s">
        <v>167</v>
      </c>
      <c r="AW23" s="176"/>
      <c r="AX23" s="176"/>
      <c r="AY23" s="176"/>
      <c r="AZ23" s="176"/>
      <c r="BA23" s="176"/>
      <c r="BB23" s="177"/>
      <c r="BC23" s="621"/>
      <c r="BD23" s="622"/>
      <c r="BE23" s="622"/>
      <c r="BF23" s="623"/>
      <c r="BG23" s="624"/>
      <c r="BH23" s="622"/>
      <c r="BI23" s="622"/>
      <c r="BJ23" s="622"/>
      <c r="BK23" s="625"/>
      <c r="BL23" s="622"/>
      <c r="BM23" s="623"/>
      <c r="BN23" s="142"/>
      <c r="BO23" s="126"/>
      <c r="BP23" s="126"/>
      <c r="BQ23" s="126"/>
      <c r="BR23" s="126"/>
      <c r="BS23" s="126"/>
      <c r="BT23" s="126"/>
      <c r="BU23" s="126"/>
      <c r="BV23" s="121" t="str">
        <f>IF(BN23="-", "-", IF(BR23="-", "-", IF(ABS(BR23)=0, "-", ROUND(100*(BN23-BR23)/ABS(BR23), 10))))</f>
        <v>-</v>
      </c>
      <c r="BW23" s="121" t="str">
        <f t="shared" si="15"/>
        <v>-</v>
      </c>
      <c r="BX23" s="122" t="str">
        <f t="shared" si="15"/>
        <v>-</v>
      </c>
    </row>
    <row r="24" spans="2:76" ht="12.75" customHeight="1">
      <c r="B24" s="458"/>
      <c r="C24" s="245" t="s">
        <v>133</v>
      </c>
      <c r="D24" s="176"/>
      <c r="E24" s="176"/>
      <c r="F24" s="176"/>
      <c r="G24" s="176"/>
      <c r="H24" s="176"/>
      <c r="I24" s="177"/>
      <c r="J24" s="558"/>
      <c r="K24" s="541"/>
      <c r="L24" s="541"/>
      <c r="M24" s="541"/>
      <c r="N24" s="541"/>
      <c r="O24" s="541"/>
      <c r="P24" s="541"/>
      <c r="Q24" s="541"/>
      <c r="R24" s="486" t="str">
        <f t="shared" si="0"/>
        <v>-</v>
      </c>
      <c r="S24" s="486" t="str">
        <f t="shared" si="1"/>
        <v>-</v>
      </c>
      <c r="T24" s="487" t="str">
        <f t="shared" si="1"/>
        <v>-</v>
      </c>
      <c r="U24" s="558"/>
      <c r="V24" s="541"/>
      <c r="W24" s="541"/>
      <c r="X24" s="541"/>
      <c r="Y24" s="541"/>
      <c r="Z24" s="541"/>
      <c r="AA24" s="541"/>
      <c r="AB24" s="541"/>
      <c r="AC24" s="486" t="str">
        <f>IF(U24="-", "-", IF(Y24="-", "-", IF(ABS(Y24)=0, "-", ROUND(100*(U24-Y24)/ABS(Y24), 10))))</f>
        <v>-</v>
      </c>
      <c r="AD24" s="486" t="str">
        <f t="shared" ref="AD24:AE27" si="16">IF(Z24="-", "-", IF(AB24="-", "-", IF(ABS(AB24)=0, "-", ROUND(100*(Z24-AB24)/ABS(AB24), 1))))</f>
        <v>-</v>
      </c>
      <c r="AE24" s="487" t="str">
        <f t="shared" si="16"/>
        <v>-</v>
      </c>
      <c r="AF24" s="682"/>
      <c r="AG24" s="683"/>
      <c r="AH24" s="683"/>
      <c r="AI24" s="683"/>
      <c r="AJ24" s="263"/>
      <c r="AK24" s="229"/>
      <c r="AL24" s="229"/>
      <c r="AM24" s="229"/>
      <c r="AN24" s="263"/>
      <c r="AO24" s="229"/>
      <c r="AP24" s="264"/>
      <c r="AQ24" s="34"/>
      <c r="AR24" s="34"/>
      <c r="AS24" s="34"/>
      <c r="AU24" s="658"/>
      <c r="AV24" s="176" t="s">
        <v>86</v>
      </c>
      <c r="AW24" s="176"/>
      <c r="AX24" s="176"/>
      <c r="AY24" s="176"/>
      <c r="AZ24" s="176"/>
      <c r="BA24" s="176"/>
      <c r="BB24" s="177"/>
      <c r="BC24" s="621"/>
      <c r="BD24" s="622"/>
      <c r="BE24" s="622"/>
      <c r="BF24" s="623"/>
      <c r="BG24" s="624"/>
      <c r="BH24" s="622"/>
      <c r="BI24" s="622"/>
      <c r="BJ24" s="622"/>
      <c r="BK24" s="625"/>
      <c r="BL24" s="622"/>
      <c r="BM24" s="623"/>
      <c r="BN24" s="142"/>
      <c r="BO24" s="126"/>
      <c r="BP24" s="126"/>
      <c r="BQ24" s="126"/>
      <c r="BR24" s="126"/>
      <c r="BS24" s="126"/>
      <c r="BT24" s="126"/>
      <c r="BU24" s="126"/>
      <c r="BV24" s="121" t="str">
        <f>IF(BN24="-", "-", IF(BR24="-", "-", IF(ABS(BR24)=0, "-", ROUND(100*(BN24-BR24)/ABS(BR24), 10))))</f>
        <v>-</v>
      </c>
      <c r="BW24" s="121" t="str">
        <f t="shared" si="15"/>
        <v>-</v>
      </c>
      <c r="BX24" s="122" t="str">
        <f t="shared" si="15"/>
        <v>-</v>
      </c>
    </row>
    <row r="25" spans="2:76" ht="12.75" customHeight="1">
      <c r="B25" s="458"/>
      <c r="C25" s="245" t="s">
        <v>77</v>
      </c>
      <c r="D25" s="176"/>
      <c r="E25" s="176"/>
      <c r="F25" s="176"/>
      <c r="G25" s="176"/>
      <c r="H25" s="176"/>
      <c r="I25" s="177"/>
      <c r="J25" s="142"/>
      <c r="K25" s="126"/>
      <c r="L25" s="126"/>
      <c r="M25" s="126"/>
      <c r="N25" s="126"/>
      <c r="O25" s="126"/>
      <c r="P25" s="126"/>
      <c r="Q25" s="126"/>
      <c r="R25" s="121" t="str">
        <f t="shared" si="0"/>
        <v>-</v>
      </c>
      <c r="S25" s="121" t="str">
        <f t="shared" si="1"/>
        <v>-</v>
      </c>
      <c r="T25" s="122" t="str">
        <f t="shared" si="1"/>
        <v>-</v>
      </c>
      <c r="U25" s="142"/>
      <c r="V25" s="126"/>
      <c r="W25" s="126"/>
      <c r="X25" s="126"/>
      <c r="Y25" s="126"/>
      <c r="Z25" s="126"/>
      <c r="AA25" s="126"/>
      <c r="AB25" s="126"/>
      <c r="AC25" s="121" t="str">
        <f>IF(U25="-", "-", IF(Y25="-", "-", IF(ABS(Y25)=0, "-", ROUND(100*(U25-Y25)/ABS(Y25), 10))))</f>
        <v>-</v>
      </c>
      <c r="AD25" s="121" t="str">
        <f t="shared" si="16"/>
        <v>-</v>
      </c>
      <c r="AE25" s="122" t="str">
        <f t="shared" si="16"/>
        <v>-</v>
      </c>
      <c r="AF25" s="448"/>
      <c r="AG25" s="442"/>
      <c r="AH25" s="442"/>
      <c r="AI25" s="442"/>
      <c r="AJ25" s="442"/>
      <c r="AK25" s="442"/>
      <c r="AL25" s="442"/>
      <c r="AM25" s="442"/>
      <c r="AN25" s="121" t="str">
        <f>IF(AF25="-", "-", IF(AJ25="-", "-", IF(ABS(AJ25)=0, "-", ROUND(100*(AF25-AJ25)/ABS(AJ25), 10))))</f>
        <v>-</v>
      </c>
      <c r="AO25" s="121" t="str">
        <f t="shared" ref="AO25:AP26" si="17">IF(AK25="-", "-", IF(AM25="-", "-", IF(ABS(AM25)=0, "-", ROUND(100*(AK25-AM25)/ABS(AM25), 1))))</f>
        <v>-</v>
      </c>
      <c r="AP25" s="122" t="str">
        <f t="shared" si="17"/>
        <v>-</v>
      </c>
      <c r="AQ25" s="34"/>
      <c r="AR25" s="34"/>
      <c r="AS25" s="34"/>
      <c r="AU25" s="658"/>
      <c r="AV25" s="179" t="s">
        <v>13</v>
      </c>
      <c r="AW25" s="179"/>
      <c r="AX25" s="179"/>
      <c r="AY25" s="179"/>
      <c r="AZ25" s="179"/>
      <c r="BA25" s="179"/>
      <c r="BB25" s="180"/>
      <c r="BC25" s="621"/>
      <c r="BD25" s="622"/>
      <c r="BE25" s="622"/>
      <c r="BF25" s="623"/>
      <c r="BG25" s="624"/>
      <c r="BH25" s="622"/>
      <c r="BI25" s="622"/>
      <c r="BJ25" s="622"/>
      <c r="BK25" s="625"/>
      <c r="BL25" s="622"/>
      <c r="BM25" s="623"/>
      <c r="BN25" s="568"/>
      <c r="BO25" s="569"/>
      <c r="BP25" s="569"/>
      <c r="BQ25" s="569"/>
      <c r="BR25" s="569"/>
      <c r="BS25" s="569"/>
      <c r="BT25" s="569"/>
      <c r="BU25" s="569"/>
      <c r="BV25" s="445" t="str">
        <f>IF(BN25="-", "-", IF(BR25="-", "-", IF(ABS(BR25)=0, "-", ROUND(100*(BN25-BR25)/ABS(BR25), 10))))</f>
        <v>-</v>
      </c>
      <c r="BW25" s="445" t="str">
        <f t="shared" si="15"/>
        <v>-</v>
      </c>
      <c r="BX25" s="446" t="str">
        <f t="shared" si="15"/>
        <v>-</v>
      </c>
    </row>
    <row r="26" spans="2:76" ht="12.75" customHeight="1" thickBot="1">
      <c r="B26" s="458"/>
      <c r="C26" s="245" t="s">
        <v>227</v>
      </c>
      <c r="D26" s="176"/>
      <c r="E26" s="176"/>
      <c r="F26" s="176"/>
      <c r="G26" s="176"/>
      <c r="H26" s="176"/>
      <c r="I26" s="177"/>
      <c r="J26" s="142"/>
      <c r="K26" s="126"/>
      <c r="L26" s="126"/>
      <c r="M26" s="126"/>
      <c r="N26" s="126"/>
      <c r="O26" s="126"/>
      <c r="P26" s="126"/>
      <c r="Q26" s="126"/>
      <c r="R26" s="121" t="str">
        <f t="shared" si="0"/>
        <v>-</v>
      </c>
      <c r="S26" s="121" t="str">
        <f t="shared" ref="S26:T26" si="18">IF(O26="-", "-", IF(Q26="-", "-", IF(ABS(Q26)=0, "-", ROUND(100*(O26-Q26)/ABS(Q26), 1))))</f>
        <v>-</v>
      </c>
      <c r="T26" s="122" t="str">
        <f t="shared" si="18"/>
        <v>-</v>
      </c>
      <c r="U26" s="142"/>
      <c r="V26" s="126"/>
      <c r="W26" s="126"/>
      <c r="X26" s="126"/>
      <c r="Y26" s="126"/>
      <c r="Z26" s="126"/>
      <c r="AA26" s="126"/>
      <c r="AB26" s="126"/>
      <c r="AC26" s="121" t="str">
        <f>IF(U26="-", "-", IF(Y26="-", "-", IF(ABS(Y26)=0, "-", ROUND(100*(U26-Y26)/ABS(Y26), 10))))</f>
        <v>-</v>
      </c>
      <c r="AD26" s="121" t="str">
        <f t="shared" si="16"/>
        <v>-</v>
      </c>
      <c r="AE26" s="122" t="str">
        <f t="shared" si="16"/>
        <v>-</v>
      </c>
      <c r="AF26" s="448"/>
      <c r="AG26" s="442"/>
      <c r="AH26" s="442"/>
      <c r="AI26" s="442"/>
      <c r="AJ26" s="442"/>
      <c r="AK26" s="442"/>
      <c r="AL26" s="442"/>
      <c r="AM26" s="442"/>
      <c r="AN26" s="121" t="str">
        <f>IF(AF26="-", "-", IF(AJ26="-", "-", IF(ABS(AJ26)=0, "-", ROUND(100*(AF26-AJ26)/ABS(AJ26), 10))))</f>
        <v>-</v>
      </c>
      <c r="AO26" s="121" t="str">
        <f t="shared" si="17"/>
        <v>-</v>
      </c>
      <c r="AP26" s="122" t="str">
        <f t="shared" si="17"/>
        <v>-</v>
      </c>
      <c r="AQ26" s="34"/>
      <c r="AR26" s="34"/>
      <c r="AS26" s="34"/>
      <c r="AU26" s="659"/>
      <c r="AX26" s="256" t="s">
        <v>226</v>
      </c>
      <c r="AY26" s="633"/>
      <c r="AZ26" s="633"/>
      <c r="BA26" s="633"/>
      <c r="BB26" s="634"/>
      <c r="BC26" s="635"/>
      <c r="BD26" s="636"/>
      <c r="BE26" s="636"/>
      <c r="BF26" s="637"/>
      <c r="BG26" s="638"/>
      <c r="BH26" s="636"/>
      <c r="BI26" s="636"/>
      <c r="BJ26" s="636"/>
      <c r="BK26" s="656"/>
      <c r="BL26" s="636"/>
      <c r="BM26" s="637"/>
      <c r="BN26" s="159"/>
      <c r="BO26" s="160"/>
      <c r="BP26" s="160"/>
      <c r="BQ26" s="160"/>
      <c r="BR26" s="160"/>
      <c r="BS26" s="160"/>
      <c r="BT26" s="160"/>
      <c r="BU26" s="160"/>
      <c r="BV26" s="161" t="str">
        <f>IF(BN26="-", "-", IF(BR26="-", "-", IF(ABS(BR26)=0, "-", ROUND(100*(BN26-BR26)/ABS(BR26), 10))))</f>
        <v>-</v>
      </c>
      <c r="BW26" s="161" t="str">
        <f t="shared" si="15"/>
        <v>-</v>
      </c>
      <c r="BX26" s="162" t="str">
        <f t="shared" si="15"/>
        <v>-</v>
      </c>
    </row>
    <row r="27" spans="2:76" ht="12.75" customHeight="1" thickBot="1">
      <c r="B27" s="459"/>
      <c r="C27" s="365" t="s">
        <v>55</v>
      </c>
      <c r="D27" s="149"/>
      <c r="E27" s="149"/>
      <c r="F27" s="149"/>
      <c r="G27" s="149"/>
      <c r="H27" s="149"/>
      <c r="I27" s="150"/>
      <c r="J27" s="522"/>
      <c r="K27" s="523"/>
      <c r="L27" s="523"/>
      <c r="M27" s="523"/>
      <c r="N27" s="524"/>
      <c r="O27" s="523"/>
      <c r="P27" s="523"/>
      <c r="Q27" s="523"/>
      <c r="R27" s="524"/>
      <c r="S27" s="523"/>
      <c r="T27" s="529"/>
      <c r="U27" s="151"/>
      <c r="V27" s="152"/>
      <c r="W27" s="152"/>
      <c r="X27" s="152"/>
      <c r="Y27" s="152"/>
      <c r="Z27" s="152"/>
      <c r="AA27" s="152"/>
      <c r="AB27" s="152"/>
      <c r="AC27" s="235" t="str">
        <f>IF(U27="-", "-", IF(Y27="-", "-", IF(ABS(Y27)=0, "-", ROUND(100*(U27-Y27)/ABS(Y27), 10))))</f>
        <v>-</v>
      </c>
      <c r="AD27" s="235" t="str">
        <f t="shared" si="16"/>
        <v>-</v>
      </c>
      <c r="AE27" s="236" t="str">
        <f t="shared" si="16"/>
        <v>-</v>
      </c>
      <c r="AF27" s="661"/>
      <c r="AG27" s="662"/>
      <c r="AH27" s="662"/>
      <c r="AI27" s="662"/>
      <c r="AJ27" s="524"/>
      <c r="AK27" s="523"/>
      <c r="AL27" s="523"/>
      <c r="AM27" s="523"/>
      <c r="AN27" s="524"/>
      <c r="AO27" s="523"/>
      <c r="AP27" s="529"/>
      <c r="AQ27" s="34"/>
      <c r="AR27" s="34"/>
      <c r="AS27" s="34"/>
      <c r="AU27" s="224"/>
      <c r="AV27" s="225"/>
      <c r="AW27" s="225"/>
      <c r="AX27" s="225"/>
      <c r="AY27" s="225"/>
      <c r="AZ27" s="225"/>
      <c r="BA27" s="225"/>
      <c r="BB27" s="226"/>
      <c r="BC27" s="639" t="s">
        <v>467</v>
      </c>
      <c r="BD27" s="640"/>
      <c r="BE27" s="640"/>
      <c r="BF27" s="640"/>
      <c r="BG27" s="640"/>
      <c r="BH27" s="640"/>
      <c r="BI27" s="640"/>
      <c r="BJ27" s="640"/>
      <c r="BK27" s="640"/>
      <c r="BL27" s="640"/>
      <c r="BM27" s="641"/>
      <c r="BN27" s="660" t="s">
        <v>67</v>
      </c>
      <c r="BO27" s="185"/>
      <c r="BP27" s="185"/>
      <c r="BQ27" s="185"/>
      <c r="BR27" s="185"/>
      <c r="BS27" s="185"/>
      <c r="BT27" s="185"/>
      <c r="BU27" s="185"/>
      <c r="BV27" s="185"/>
      <c r="BW27" s="185"/>
      <c r="BX27" s="186"/>
    </row>
    <row r="28" spans="2:76" ht="12.75" customHeight="1">
      <c r="AQ28" s="34"/>
      <c r="AR28" s="34"/>
      <c r="AS28" s="34"/>
      <c r="AU28" s="684" t="s">
        <v>195</v>
      </c>
      <c r="AV28" s="176" t="s">
        <v>283</v>
      </c>
      <c r="AW28" s="176"/>
      <c r="AX28" s="176"/>
      <c r="AY28" s="176"/>
      <c r="AZ28" s="176"/>
      <c r="BA28" s="176"/>
      <c r="BB28" s="177"/>
      <c r="BC28" s="307"/>
      <c r="BD28" s="308"/>
      <c r="BE28" s="308"/>
      <c r="BF28" s="308"/>
      <c r="BG28" s="309"/>
      <c r="BH28" s="308"/>
      <c r="BI28" s="308"/>
      <c r="BJ28" s="310"/>
      <c r="BK28" s="119" t="str">
        <f>IF(BC28="-", "-", IF(BG28="-", "-", IF(ABS(BG28)=0, "-", ROUND(100*(BC28-BG28)/ABS(BG28), 10))))</f>
        <v>-</v>
      </c>
      <c r="BL28" s="119" t="str">
        <f t="shared" ref="BL28:BM28" si="19">IF(BH28="-", "-", IF(BJ28="-", "-", IF(ABS(BJ28)=0, "-", ROUND(100*(BH28-BJ28)/ABS(BJ28), 1))))</f>
        <v>-</v>
      </c>
      <c r="BM28" s="120" t="str">
        <f t="shared" si="19"/>
        <v>-</v>
      </c>
      <c r="BN28" s="142"/>
      <c r="BO28" s="126"/>
      <c r="BP28" s="126"/>
      <c r="BQ28" s="126"/>
      <c r="BR28" s="126"/>
      <c r="BS28" s="126"/>
      <c r="BT28" s="126"/>
      <c r="BU28" s="126"/>
      <c r="BV28" s="121" t="str">
        <f>IF(BN28="-", "-", IF(BR28="-", "-", IF(ABS(BR28)=0, "-", ROUND(100*(BN28-BR28)/ABS(BR28), 10))))</f>
        <v>-</v>
      </c>
      <c r="BW28" s="121" t="str">
        <f t="shared" ref="BW28:BX31" si="20">IF(BS28="-", "-", IF(BU28="-", "-", IF(ABS(BU28)=0, "-", ROUND(100*(BS28-BU28)/ABS(BU28), 1))))</f>
        <v>-</v>
      </c>
      <c r="BX28" s="122" t="str">
        <f t="shared" si="20"/>
        <v>-</v>
      </c>
    </row>
    <row r="29" spans="2:76" ht="12.75" customHeight="1"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1"/>
      <c r="AQ29" s="34"/>
      <c r="AR29" s="34"/>
      <c r="AS29" s="34"/>
      <c r="AU29" s="685"/>
      <c r="AV29" s="176" t="s">
        <v>86</v>
      </c>
      <c r="AW29" s="176"/>
      <c r="AX29" s="176"/>
      <c r="AY29" s="176"/>
      <c r="AZ29" s="176"/>
      <c r="BA29" s="176"/>
      <c r="BB29" s="177"/>
      <c r="BC29" s="621"/>
      <c r="BD29" s="622"/>
      <c r="BE29" s="622"/>
      <c r="BF29" s="623"/>
      <c r="BG29" s="624"/>
      <c r="BH29" s="622"/>
      <c r="BI29" s="622"/>
      <c r="BJ29" s="622"/>
      <c r="BK29" s="625"/>
      <c r="BL29" s="622"/>
      <c r="BM29" s="623"/>
      <c r="BN29" s="142"/>
      <c r="BO29" s="126"/>
      <c r="BP29" s="126"/>
      <c r="BQ29" s="126"/>
      <c r="BR29" s="126"/>
      <c r="BS29" s="126"/>
      <c r="BT29" s="126"/>
      <c r="BU29" s="126"/>
      <c r="BV29" s="121" t="str">
        <f>IF(BN29="-", "-", IF(BR29="-", "-", IF(ABS(BR29)=0, "-", ROUND(100*(BN29-BR29)/ABS(BR29), 10))))</f>
        <v>-</v>
      </c>
      <c r="BW29" s="121" t="str">
        <f t="shared" si="20"/>
        <v>-</v>
      </c>
      <c r="BX29" s="122" t="str">
        <f t="shared" si="20"/>
        <v>-</v>
      </c>
    </row>
    <row r="30" spans="2:76" ht="12.75" customHeight="1">
      <c r="J30" s="44"/>
      <c r="K30" s="52"/>
      <c r="L30" s="52"/>
      <c r="M30" s="52"/>
      <c r="N30" s="52"/>
      <c r="O30" s="52"/>
      <c r="P30" s="52"/>
      <c r="Q30" s="52"/>
      <c r="R30" s="52"/>
      <c r="S30" s="52"/>
      <c r="T30" s="52"/>
      <c r="AQ30" s="34"/>
      <c r="AR30" s="34"/>
      <c r="AS30" s="34"/>
      <c r="AU30" s="685"/>
      <c r="AV30" s="179" t="s">
        <v>13</v>
      </c>
      <c r="AW30" s="179"/>
      <c r="AX30" s="179"/>
      <c r="AY30" s="176"/>
      <c r="AZ30" s="176"/>
      <c r="BA30" s="176"/>
      <c r="BB30" s="177"/>
      <c r="BC30" s="621"/>
      <c r="BD30" s="622"/>
      <c r="BE30" s="622"/>
      <c r="BF30" s="623"/>
      <c r="BG30" s="624"/>
      <c r="BH30" s="622"/>
      <c r="BI30" s="622"/>
      <c r="BJ30" s="622"/>
      <c r="BK30" s="625"/>
      <c r="BL30" s="622"/>
      <c r="BM30" s="623"/>
      <c r="BN30" s="568"/>
      <c r="BO30" s="569"/>
      <c r="BP30" s="569"/>
      <c r="BQ30" s="569"/>
      <c r="BR30" s="569"/>
      <c r="BS30" s="569"/>
      <c r="BT30" s="569"/>
      <c r="BU30" s="569"/>
      <c r="BV30" s="445" t="str">
        <f>IF(BN30="-", "-", IF(BR30="-", "-", IF(ABS(BR30)=0, "-", ROUND(100*(BN30-BR30)/ABS(BR30), 10))))</f>
        <v>-</v>
      </c>
      <c r="BW30" s="445" t="str">
        <f t="shared" si="20"/>
        <v>-</v>
      </c>
      <c r="BX30" s="446" t="str">
        <f t="shared" si="20"/>
        <v>-</v>
      </c>
    </row>
    <row r="31" spans="2:76" ht="12.75" customHeight="1" thickBot="1">
      <c r="J31" s="45"/>
      <c r="K31" s="45"/>
      <c r="L31" s="45"/>
      <c r="M31" s="45"/>
      <c r="N31" s="45"/>
      <c r="O31" s="45"/>
      <c r="P31" s="45"/>
      <c r="Q31" s="45"/>
      <c r="R31" s="44"/>
      <c r="S31" s="44"/>
      <c r="T31" s="44"/>
      <c r="AU31" s="686"/>
      <c r="AV31" s="3"/>
      <c r="AW31" s="3"/>
      <c r="AX31" s="365" t="s">
        <v>226</v>
      </c>
      <c r="AY31" s="668"/>
      <c r="AZ31" s="668"/>
      <c r="BA31" s="668"/>
      <c r="BB31" s="669"/>
      <c r="BC31" s="666"/>
      <c r="BD31" s="664"/>
      <c r="BE31" s="664"/>
      <c r="BF31" s="665"/>
      <c r="BG31" s="667"/>
      <c r="BH31" s="664"/>
      <c r="BI31" s="664"/>
      <c r="BJ31" s="664"/>
      <c r="BK31" s="663"/>
      <c r="BL31" s="664"/>
      <c r="BM31" s="665"/>
      <c r="BN31" s="142"/>
      <c r="BO31" s="126"/>
      <c r="BP31" s="126"/>
      <c r="BQ31" s="126"/>
      <c r="BR31" s="126"/>
      <c r="BS31" s="126"/>
      <c r="BT31" s="126"/>
      <c r="BU31" s="126"/>
      <c r="BV31" s="121" t="str">
        <f>IF(BN31="-", "-", IF(BR31="-", "-", IF(ABS(BR31)=0, "-", ROUND(100*(BN31-BR31)/ABS(BR31), 10))))</f>
        <v>-</v>
      </c>
      <c r="BW31" s="121" t="str">
        <f t="shared" si="20"/>
        <v>-</v>
      </c>
      <c r="BX31" s="122" t="str">
        <f t="shared" si="20"/>
        <v>-</v>
      </c>
    </row>
    <row r="32" spans="2:76" ht="12.75" customHeight="1" thickBot="1">
      <c r="J32" s="61"/>
      <c r="K32" s="61"/>
      <c r="L32" s="61"/>
      <c r="M32" s="61"/>
      <c r="N32" s="61"/>
      <c r="O32" s="61"/>
      <c r="P32" s="61"/>
      <c r="Q32" s="61"/>
      <c r="R32" s="49"/>
      <c r="S32" s="49"/>
      <c r="T32" s="49"/>
      <c r="AU32" s="156"/>
      <c r="AV32" s="157"/>
      <c r="AW32" s="157"/>
      <c r="AX32" s="157"/>
      <c r="AY32" s="157"/>
      <c r="AZ32" s="157"/>
      <c r="BA32" s="157"/>
      <c r="BB32" s="158"/>
      <c r="BC32" s="639" t="s">
        <v>467</v>
      </c>
      <c r="BD32" s="640"/>
      <c r="BE32" s="640"/>
      <c r="BF32" s="640"/>
      <c r="BG32" s="640"/>
      <c r="BH32" s="640"/>
      <c r="BI32" s="640"/>
      <c r="BJ32" s="640"/>
      <c r="BK32" s="640"/>
      <c r="BL32" s="640"/>
      <c r="BM32" s="641"/>
      <c r="BN32" s="660" t="s">
        <v>67</v>
      </c>
      <c r="BO32" s="185"/>
      <c r="BP32" s="185"/>
      <c r="BQ32" s="185"/>
      <c r="BR32" s="185"/>
      <c r="BS32" s="185"/>
      <c r="BT32" s="185"/>
      <c r="BU32" s="185"/>
      <c r="BV32" s="185"/>
      <c r="BW32" s="185"/>
      <c r="BX32" s="186"/>
    </row>
    <row r="33" spans="2:76" ht="12.75" customHeight="1">
      <c r="AU33" s="687" t="s">
        <v>74</v>
      </c>
      <c r="AV33" s="222" t="s">
        <v>170</v>
      </c>
      <c r="AW33" s="222"/>
      <c r="AX33" s="222"/>
      <c r="AY33" s="222"/>
      <c r="AZ33" s="222"/>
      <c r="BA33" s="222"/>
      <c r="BB33" s="223"/>
      <c r="BC33" s="307"/>
      <c r="BD33" s="308"/>
      <c r="BE33" s="308"/>
      <c r="BF33" s="308"/>
      <c r="BG33" s="309"/>
      <c r="BH33" s="308"/>
      <c r="BI33" s="308"/>
      <c r="BJ33" s="310"/>
      <c r="BK33" s="119" t="str">
        <f>IF(BC33="-", "-", IF(BG33="-", "-", IF(ABS(BG33)=0, "-", ROUND(100*(BC33-BG33)/ABS(BG33), 10))))</f>
        <v>-</v>
      </c>
      <c r="BL33" s="119" t="str">
        <f t="shared" ref="BL33:BM37" si="21">IF(BH33="-", "-", IF(BJ33="-", "-", IF(ABS(BJ33)=0, "-", ROUND(100*(BH33-BJ33)/ABS(BJ33), 1))))</f>
        <v>-</v>
      </c>
      <c r="BM33" s="120" t="str">
        <f t="shared" si="21"/>
        <v>-</v>
      </c>
      <c r="BN33" s="142"/>
      <c r="BO33" s="126"/>
      <c r="BP33" s="126"/>
      <c r="BQ33" s="126"/>
      <c r="BR33" s="126"/>
      <c r="BS33" s="126"/>
      <c r="BT33" s="126"/>
      <c r="BU33" s="126"/>
      <c r="BV33" s="121" t="str">
        <f>IF(BN33="-", "-", IF(BR33="-", "-", IF(ABS(BR33)=0, "-", ROUND(100*(BN33-BR33)/ABS(BR33), 10))))</f>
        <v>-</v>
      </c>
      <c r="BW33" s="121" t="str">
        <f t="shared" ref="BW33:BX37" si="22">IF(BS33="-", "-", IF(BU33="-", "-", IF(ABS(BU33)=0, "-", ROUND(100*(BS33-BU33)/ABS(BU33), 1))))</f>
        <v>-</v>
      </c>
      <c r="BX33" s="122" t="str">
        <f t="shared" si="22"/>
        <v>-</v>
      </c>
    </row>
    <row r="34" spans="2:76" ht="12.75" customHeight="1" thickBot="1">
      <c r="B34" s="2" t="s">
        <v>211</v>
      </c>
      <c r="AU34" s="458"/>
      <c r="AV34" s="176" t="s">
        <v>171</v>
      </c>
      <c r="AW34" s="176"/>
      <c r="AX34" s="176"/>
      <c r="AY34" s="176"/>
      <c r="AZ34" s="176"/>
      <c r="BA34" s="176"/>
      <c r="BB34" s="177"/>
      <c r="BC34" s="495"/>
      <c r="BD34" s="330"/>
      <c r="BE34" s="330"/>
      <c r="BF34" s="330"/>
      <c r="BG34" s="339"/>
      <c r="BH34" s="330"/>
      <c r="BI34" s="330"/>
      <c r="BJ34" s="340"/>
      <c r="BK34" s="121" t="str">
        <f>IF(BC34="-", "-", IF(BG34="-", "-", IF(ABS(BG34)=0, "-", ROUND(100*(BC34-BG34)/ABS(BG34), 10))))</f>
        <v>-</v>
      </c>
      <c r="BL34" s="121" t="str">
        <f t="shared" si="21"/>
        <v>-</v>
      </c>
      <c r="BM34" s="122" t="str">
        <f t="shared" si="21"/>
        <v>-</v>
      </c>
      <c r="BN34" s="142"/>
      <c r="BO34" s="126"/>
      <c r="BP34" s="126"/>
      <c r="BQ34" s="126"/>
      <c r="BR34" s="126"/>
      <c r="BS34" s="126"/>
      <c r="BT34" s="126"/>
      <c r="BU34" s="126"/>
      <c r="BV34" s="121" t="str">
        <f>IF(BN34="-", "-", IF(BR34="-", "-", IF(ABS(BR34)=0, "-", ROUND(100*(BN34-BR34)/ABS(BR34), 10))))</f>
        <v>-</v>
      </c>
      <c r="BW34" s="121" t="str">
        <f t="shared" si="22"/>
        <v>-</v>
      </c>
      <c r="BX34" s="122" t="str">
        <f t="shared" si="22"/>
        <v>-</v>
      </c>
    </row>
    <row r="35" spans="2:76" ht="12.75" customHeight="1" thickBot="1">
      <c r="B35" s="496"/>
      <c r="C35" s="497"/>
      <c r="D35" s="497"/>
      <c r="E35" s="497"/>
      <c r="F35" s="497"/>
      <c r="G35" s="497"/>
      <c r="H35" s="497"/>
      <c r="I35" s="498"/>
      <c r="J35" s="182" t="str">
        <f>IF($B$1&lt;&gt;"",$B$1,"")</f>
        <v/>
      </c>
      <c r="K35" s="182"/>
      <c r="L35" s="182"/>
      <c r="M35" s="182"/>
      <c r="N35" s="181" t="str">
        <f>IF($B$1&lt;&gt;"",$B$1-1,"")</f>
        <v/>
      </c>
      <c r="O35" s="182"/>
      <c r="P35" s="182"/>
      <c r="Q35" s="183"/>
      <c r="R35" s="184" t="s">
        <v>219</v>
      </c>
      <c r="S35" s="185"/>
      <c r="T35" s="186"/>
      <c r="AU35" s="458"/>
      <c r="AV35" s="176" t="s">
        <v>172</v>
      </c>
      <c r="AW35" s="176"/>
      <c r="AX35" s="176"/>
      <c r="AY35" s="176"/>
      <c r="AZ35" s="176"/>
      <c r="BA35" s="176"/>
      <c r="BB35" s="177"/>
      <c r="BC35" s="495"/>
      <c r="BD35" s="330"/>
      <c r="BE35" s="330"/>
      <c r="BF35" s="330"/>
      <c r="BG35" s="339"/>
      <c r="BH35" s="330"/>
      <c r="BI35" s="330"/>
      <c r="BJ35" s="340"/>
      <c r="BK35" s="121" t="str">
        <f>IF(BC35="-", "-", IF(BG35="-", "-", IF(ABS(BG35)=0, "-", ROUND(100*(BC35-BG35)/ABS(BG35), 10))))</f>
        <v>-</v>
      </c>
      <c r="BL35" s="121" t="str">
        <f t="shared" si="21"/>
        <v>-</v>
      </c>
      <c r="BM35" s="122" t="str">
        <f t="shared" si="21"/>
        <v>-</v>
      </c>
      <c r="BN35" s="142"/>
      <c r="BO35" s="126"/>
      <c r="BP35" s="126"/>
      <c r="BQ35" s="126"/>
      <c r="BR35" s="126"/>
      <c r="BS35" s="126"/>
      <c r="BT35" s="126"/>
      <c r="BU35" s="126"/>
      <c r="BV35" s="121" t="str">
        <f>IF(BN35="-", "-", IF(BR35="-", "-", IF(ABS(BR35)=0, "-", ROUND(100*(BN35-BR35)/ABS(BR35), 10))))</f>
        <v>-</v>
      </c>
      <c r="BW35" s="121" t="str">
        <f t="shared" si="22"/>
        <v>-</v>
      </c>
      <c r="BX35" s="122" t="str">
        <f t="shared" si="22"/>
        <v>-</v>
      </c>
    </row>
    <row r="36" spans="2:76" ht="12.75" customHeight="1">
      <c r="B36" s="717" t="s">
        <v>228</v>
      </c>
      <c r="C36" s="718"/>
      <c r="D36" s="718"/>
      <c r="E36" s="718"/>
      <c r="F36" s="718"/>
      <c r="G36" s="718"/>
      <c r="H36" s="718"/>
      <c r="I36" s="719"/>
      <c r="J36" s="147"/>
      <c r="K36" s="118"/>
      <c r="L36" s="118"/>
      <c r="M36" s="118"/>
      <c r="N36" s="118"/>
      <c r="O36" s="118"/>
      <c r="P36" s="118"/>
      <c r="Q36" s="118"/>
      <c r="R36" s="119" t="str">
        <f t="shared" ref="R36:R45" si="23">IF(J36="-", "-", IF(N36="-", "-", IF(ABS(N36)=0, "-", ROUND(100*(J36-N36)/ABS(N36), 10))))</f>
        <v>-</v>
      </c>
      <c r="S36" s="119" t="str">
        <f t="shared" ref="S36:T45" si="24">IF(O36="-", "-", IF(Q36="-", "-", IF(ABS(Q36)=0, "-", ROUND(100*(O36-Q36)/ABS(Q36), 1))))</f>
        <v>-</v>
      </c>
      <c r="T36" s="120" t="str">
        <f t="shared" si="24"/>
        <v>-</v>
      </c>
      <c r="AU36" s="458"/>
      <c r="AV36" s="609" t="s">
        <v>284</v>
      </c>
      <c r="AW36" s="610"/>
      <c r="AX36" s="611"/>
      <c r="AY36" s="618" t="s">
        <v>173</v>
      </c>
      <c r="AZ36" s="619"/>
      <c r="BA36" s="619"/>
      <c r="BB36" s="620"/>
      <c r="BC36" s="495"/>
      <c r="BD36" s="330"/>
      <c r="BE36" s="330"/>
      <c r="BF36" s="330"/>
      <c r="BG36" s="339"/>
      <c r="BH36" s="330"/>
      <c r="BI36" s="330"/>
      <c r="BJ36" s="340"/>
      <c r="BK36" s="121" t="str">
        <f>IF(BC36="-", "-", IF(BG36="-", "-", IF(ABS(BG36)=0, "-", ROUND(100*(BC36-BG36)/ABS(BG36), 10))))</f>
        <v>-</v>
      </c>
      <c r="BL36" s="121" t="str">
        <f t="shared" si="21"/>
        <v>-</v>
      </c>
      <c r="BM36" s="122" t="str">
        <f t="shared" si="21"/>
        <v>-</v>
      </c>
      <c r="BN36" s="142"/>
      <c r="BO36" s="126"/>
      <c r="BP36" s="126"/>
      <c r="BQ36" s="126"/>
      <c r="BR36" s="126"/>
      <c r="BS36" s="126"/>
      <c r="BT36" s="126"/>
      <c r="BU36" s="126"/>
      <c r="BV36" s="121" t="str">
        <f>IF(BN36="-", "-", IF(BR36="-", "-", IF(ABS(BR36)=0, "-", ROUND(100*(BN36-BR36)/ABS(BR36), 10))))</f>
        <v>-</v>
      </c>
      <c r="BW36" s="121" t="str">
        <f t="shared" si="22"/>
        <v>-</v>
      </c>
      <c r="BX36" s="122" t="str">
        <f t="shared" si="22"/>
        <v>-</v>
      </c>
    </row>
    <row r="37" spans="2:76" ht="12.75" customHeight="1">
      <c r="B37" s="705" t="s">
        <v>229</v>
      </c>
      <c r="C37" s="706"/>
      <c r="D37" s="706"/>
      <c r="E37" s="706"/>
      <c r="F37" s="706"/>
      <c r="G37" s="706"/>
      <c r="H37" s="706"/>
      <c r="I37" s="707"/>
      <c r="J37" s="142"/>
      <c r="K37" s="126"/>
      <c r="L37" s="126"/>
      <c r="M37" s="126"/>
      <c r="N37" s="126"/>
      <c r="O37" s="126"/>
      <c r="P37" s="126"/>
      <c r="Q37" s="126"/>
      <c r="R37" s="121" t="str">
        <f t="shared" si="23"/>
        <v>-</v>
      </c>
      <c r="S37" s="121" t="str">
        <f t="shared" si="24"/>
        <v>-</v>
      </c>
      <c r="T37" s="122" t="str">
        <f t="shared" si="24"/>
        <v>-</v>
      </c>
      <c r="AU37" s="458"/>
      <c r="AV37" s="612"/>
      <c r="AW37" s="613"/>
      <c r="AX37" s="614"/>
      <c r="AY37" s="618" t="s">
        <v>329</v>
      </c>
      <c r="AZ37" s="619"/>
      <c r="BA37" s="619"/>
      <c r="BB37" s="620"/>
      <c r="BC37" s="495"/>
      <c r="BD37" s="330"/>
      <c r="BE37" s="330"/>
      <c r="BF37" s="330"/>
      <c r="BG37" s="339"/>
      <c r="BH37" s="330"/>
      <c r="BI37" s="330"/>
      <c r="BJ37" s="340"/>
      <c r="BK37" s="121" t="str">
        <f>IF(BC37="-", "-", IF(BG37="-", "-", IF(ABS(BG37)=0, "-", ROUND(100*(BC37-BG37)/ABS(BG37), 10))))</f>
        <v>-</v>
      </c>
      <c r="BL37" s="121" t="str">
        <f t="shared" si="21"/>
        <v>-</v>
      </c>
      <c r="BM37" s="122" t="str">
        <f t="shared" si="21"/>
        <v>-</v>
      </c>
      <c r="BN37" s="142"/>
      <c r="BO37" s="126"/>
      <c r="BP37" s="126"/>
      <c r="BQ37" s="126"/>
      <c r="BR37" s="126"/>
      <c r="BS37" s="126"/>
      <c r="BT37" s="126"/>
      <c r="BU37" s="126"/>
      <c r="BV37" s="121" t="str">
        <f>IF(BN37="-", "-", IF(BR37="-", "-", IF(ABS(BR37)=0, "-", ROUND(100*(BN37-BR37)/ABS(BR37), 10))))</f>
        <v>-</v>
      </c>
      <c r="BW37" s="121" t="str">
        <f t="shared" si="22"/>
        <v>-</v>
      </c>
      <c r="BX37" s="122" t="str">
        <f t="shared" si="22"/>
        <v>-</v>
      </c>
    </row>
    <row r="38" spans="2:76" ht="12.75" customHeight="1">
      <c r="B38" s="705" t="s">
        <v>231</v>
      </c>
      <c r="C38" s="706"/>
      <c r="D38" s="706"/>
      <c r="E38" s="706"/>
      <c r="F38" s="706"/>
      <c r="G38" s="706"/>
      <c r="H38" s="706"/>
      <c r="I38" s="707"/>
      <c r="J38" s="142"/>
      <c r="K38" s="126"/>
      <c r="L38" s="126"/>
      <c r="M38" s="126"/>
      <c r="N38" s="126"/>
      <c r="O38" s="126"/>
      <c r="P38" s="126"/>
      <c r="Q38" s="126"/>
      <c r="R38" s="121" t="str">
        <f t="shared" si="23"/>
        <v>-</v>
      </c>
      <c r="S38" s="121" t="str">
        <f t="shared" si="24"/>
        <v>-</v>
      </c>
      <c r="T38" s="122" t="str">
        <f t="shared" si="24"/>
        <v>-</v>
      </c>
      <c r="AU38" s="458"/>
      <c r="AV38" s="612"/>
      <c r="AW38" s="613"/>
      <c r="AX38" s="614"/>
      <c r="AY38" s="618" t="s">
        <v>461</v>
      </c>
      <c r="AZ38" s="619"/>
      <c r="BA38" s="619"/>
      <c r="BB38" s="620"/>
      <c r="BC38" s="495"/>
      <c r="BD38" s="330"/>
      <c r="BE38" s="330"/>
      <c r="BF38" s="330"/>
      <c r="BG38" s="339"/>
      <c r="BH38" s="330"/>
      <c r="BI38" s="330"/>
      <c r="BJ38" s="340"/>
      <c r="BK38" s="121" t="str">
        <f t="shared" ref="BK38:BK40" si="25">IF(BC38="-", "-", IF(BG38="-", "-", IF(ABS(BG38)=0, "-", ROUND(100*(BC38-BG38)/ABS(BG38), 10))))</f>
        <v>-</v>
      </c>
      <c r="BL38" s="121" t="str">
        <f t="shared" ref="BL38:BM40" si="26">IF(BH38="-", "-", IF(BJ38="-", "-", IF(ABS(BJ38)=0, "-", ROUND(100*(BH38-BJ38)/ABS(BJ38), 1))))</f>
        <v>-</v>
      </c>
      <c r="BM38" s="122" t="str">
        <f t="shared" si="26"/>
        <v>-</v>
      </c>
      <c r="BN38" s="142"/>
      <c r="BO38" s="126"/>
      <c r="BP38" s="126"/>
      <c r="BQ38" s="126"/>
      <c r="BR38" s="126"/>
      <c r="BS38" s="126"/>
      <c r="BT38" s="126"/>
      <c r="BU38" s="126"/>
      <c r="BV38" s="121" t="str">
        <f t="shared" ref="BV38:BV40" si="27">IF(BN38="-", "-", IF(BR38="-", "-", IF(ABS(BR38)=0, "-", ROUND(100*(BN38-BR38)/ABS(BR38), 10))))</f>
        <v>-</v>
      </c>
      <c r="BW38" s="121" t="str">
        <f t="shared" ref="BW38:BX40" si="28">IF(BS38="-", "-", IF(BU38="-", "-", IF(ABS(BU38)=0, "-", ROUND(100*(BS38-BU38)/ABS(BU38), 1))))</f>
        <v>-</v>
      </c>
      <c r="BX38" s="122" t="str">
        <f t="shared" si="28"/>
        <v>-</v>
      </c>
    </row>
    <row r="39" spans="2:76" ht="12.75" customHeight="1">
      <c r="B39" s="705" t="s">
        <v>232</v>
      </c>
      <c r="C39" s="706"/>
      <c r="D39" s="706"/>
      <c r="E39" s="706"/>
      <c r="F39" s="706"/>
      <c r="G39" s="706"/>
      <c r="H39" s="706"/>
      <c r="I39" s="707"/>
      <c r="J39" s="142"/>
      <c r="K39" s="126"/>
      <c r="L39" s="126"/>
      <c r="M39" s="126"/>
      <c r="N39" s="126"/>
      <c r="O39" s="126"/>
      <c r="P39" s="126"/>
      <c r="Q39" s="126"/>
      <c r="R39" s="121" t="str">
        <f t="shared" si="23"/>
        <v>-</v>
      </c>
      <c r="S39" s="121" t="str">
        <f t="shared" si="24"/>
        <v>-</v>
      </c>
      <c r="T39" s="122" t="str">
        <f t="shared" si="24"/>
        <v>-</v>
      </c>
      <c r="AU39" s="458"/>
      <c r="AV39" s="612"/>
      <c r="AW39" s="613"/>
      <c r="AX39" s="614"/>
      <c r="AY39" s="618" t="s">
        <v>462</v>
      </c>
      <c r="AZ39" s="619"/>
      <c r="BA39" s="619"/>
      <c r="BB39" s="620"/>
      <c r="BC39" s="495"/>
      <c r="BD39" s="330"/>
      <c r="BE39" s="330"/>
      <c r="BF39" s="330"/>
      <c r="BG39" s="339"/>
      <c r="BH39" s="330"/>
      <c r="BI39" s="330"/>
      <c r="BJ39" s="340"/>
      <c r="BK39" s="121" t="str">
        <f t="shared" si="25"/>
        <v>-</v>
      </c>
      <c r="BL39" s="121" t="str">
        <f t="shared" si="26"/>
        <v>-</v>
      </c>
      <c r="BM39" s="122" t="str">
        <f t="shared" si="26"/>
        <v>-</v>
      </c>
      <c r="BN39" s="142"/>
      <c r="BO39" s="126"/>
      <c r="BP39" s="126"/>
      <c r="BQ39" s="126"/>
      <c r="BR39" s="126"/>
      <c r="BS39" s="126"/>
      <c r="BT39" s="126"/>
      <c r="BU39" s="126"/>
      <c r="BV39" s="121" t="str">
        <f t="shared" si="27"/>
        <v>-</v>
      </c>
      <c r="BW39" s="121" t="str">
        <f t="shared" si="28"/>
        <v>-</v>
      </c>
      <c r="BX39" s="122" t="str">
        <f t="shared" si="28"/>
        <v>-</v>
      </c>
    </row>
    <row r="40" spans="2:76" ht="12.75" customHeight="1">
      <c r="B40" s="705" t="s">
        <v>233</v>
      </c>
      <c r="C40" s="706"/>
      <c r="D40" s="706"/>
      <c r="E40" s="706"/>
      <c r="F40" s="706"/>
      <c r="G40" s="706"/>
      <c r="H40" s="706"/>
      <c r="I40" s="707"/>
      <c r="J40" s="142"/>
      <c r="K40" s="126"/>
      <c r="L40" s="126"/>
      <c r="M40" s="126"/>
      <c r="N40" s="126"/>
      <c r="O40" s="126"/>
      <c r="P40" s="126"/>
      <c r="Q40" s="126"/>
      <c r="R40" s="121" t="str">
        <f t="shared" si="23"/>
        <v>-</v>
      </c>
      <c r="S40" s="121" t="str">
        <f t="shared" si="24"/>
        <v>-</v>
      </c>
      <c r="T40" s="122" t="str">
        <f t="shared" si="24"/>
        <v>-</v>
      </c>
      <c r="AU40" s="458"/>
      <c r="AV40" s="615"/>
      <c r="AW40" s="616"/>
      <c r="AX40" s="617"/>
      <c r="AY40" s="618" t="s">
        <v>468</v>
      </c>
      <c r="AZ40" s="619"/>
      <c r="BA40" s="619"/>
      <c r="BB40" s="620"/>
      <c r="BC40" s="495"/>
      <c r="BD40" s="330"/>
      <c r="BE40" s="330"/>
      <c r="BF40" s="330"/>
      <c r="BG40" s="339"/>
      <c r="BH40" s="330"/>
      <c r="BI40" s="330"/>
      <c r="BJ40" s="340"/>
      <c r="BK40" s="121" t="str">
        <f t="shared" si="25"/>
        <v>-</v>
      </c>
      <c r="BL40" s="121" t="str">
        <f t="shared" si="26"/>
        <v>-</v>
      </c>
      <c r="BM40" s="122" t="str">
        <f t="shared" si="26"/>
        <v>-</v>
      </c>
      <c r="BN40" s="142"/>
      <c r="BO40" s="126"/>
      <c r="BP40" s="126"/>
      <c r="BQ40" s="126"/>
      <c r="BR40" s="126"/>
      <c r="BS40" s="126"/>
      <c r="BT40" s="126"/>
      <c r="BU40" s="126"/>
      <c r="BV40" s="121" t="str">
        <f t="shared" si="27"/>
        <v>-</v>
      </c>
      <c r="BW40" s="121" t="str">
        <f t="shared" si="28"/>
        <v>-</v>
      </c>
      <c r="BX40" s="122" t="str">
        <f t="shared" si="28"/>
        <v>-</v>
      </c>
    </row>
    <row r="41" spans="2:76" ht="12.75" customHeight="1">
      <c r="B41" s="705" t="s">
        <v>234</v>
      </c>
      <c r="C41" s="706"/>
      <c r="D41" s="706"/>
      <c r="E41" s="706"/>
      <c r="F41" s="706"/>
      <c r="G41" s="706"/>
      <c r="H41" s="706"/>
      <c r="I41" s="707"/>
      <c r="J41" s="142"/>
      <c r="K41" s="126"/>
      <c r="L41" s="126"/>
      <c r="M41" s="126"/>
      <c r="N41" s="126"/>
      <c r="O41" s="126"/>
      <c r="P41" s="126"/>
      <c r="Q41" s="126"/>
      <c r="R41" s="121" t="str">
        <f t="shared" si="23"/>
        <v>-</v>
      </c>
      <c r="S41" s="121" t="str">
        <f t="shared" si="24"/>
        <v>-</v>
      </c>
      <c r="T41" s="122" t="str">
        <f t="shared" si="24"/>
        <v>-</v>
      </c>
      <c r="AU41" s="458"/>
      <c r="AV41" s="688" t="s">
        <v>285</v>
      </c>
      <c r="AW41" s="593"/>
      <c r="AX41" s="593"/>
      <c r="AY41" s="593"/>
      <c r="AZ41" s="593"/>
      <c r="BA41" s="593"/>
      <c r="BB41" s="689"/>
      <c r="BC41" s="495"/>
      <c r="BD41" s="330"/>
      <c r="BE41" s="330"/>
      <c r="BF41" s="330"/>
      <c r="BG41" s="339"/>
      <c r="BH41" s="330"/>
      <c r="BI41" s="330"/>
      <c r="BJ41" s="340"/>
      <c r="BK41" s="121" t="str">
        <f>IF(BC41="-", "-", IF(BG41="-", "-", IF(ABS(BG41)=0, "-", ROUND(100*(BC41-BG41)/ABS(BG41), 10))))</f>
        <v>-</v>
      </c>
      <c r="BL41" s="121" t="str">
        <f t="shared" ref="BL41:BM44" si="29">IF(BH41="-", "-", IF(BJ41="-", "-", IF(ABS(BJ41)=0, "-", ROUND(100*(BH41-BJ41)/ABS(BJ41), 1))))</f>
        <v>-</v>
      </c>
      <c r="BM41" s="122" t="str">
        <f t="shared" si="29"/>
        <v>-</v>
      </c>
      <c r="BN41" s="142"/>
      <c r="BO41" s="126"/>
      <c r="BP41" s="126"/>
      <c r="BQ41" s="126"/>
      <c r="BR41" s="126"/>
      <c r="BS41" s="126"/>
      <c r="BT41" s="126"/>
      <c r="BU41" s="126"/>
      <c r="BV41" s="121" t="str">
        <f>IF(BN41="-", "-", IF(BR41="-", "-", IF(ABS(BR41)=0, "-", ROUND(100*(BN41-BR41)/ABS(BR41), 10))))</f>
        <v>-</v>
      </c>
      <c r="BW41" s="121" t="str">
        <f t="shared" ref="BW41:BX44" si="30">IF(BS41="-", "-", IF(BU41="-", "-", IF(ABS(BU41)=0, "-", ROUND(100*(BS41-BU41)/ABS(BU41), 1))))</f>
        <v>-</v>
      </c>
      <c r="BX41" s="122" t="str">
        <f t="shared" si="30"/>
        <v>-</v>
      </c>
    </row>
    <row r="42" spans="2:76" ht="12.75" customHeight="1">
      <c r="B42" s="705" t="s">
        <v>235</v>
      </c>
      <c r="C42" s="706"/>
      <c r="D42" s="706"/>
      <c r="E42" s="706"/>
      <c r="F42" s="706"/>
      <c r="G42" s="706"/>
      <c r="H42" s="706"/>
      <c r="I42" s="707"/>
      <c r="J42" s="142"/>
      <c r="K42" s="126"/>
      <c r="L42" s="126"/>
      <c r="M42" s="126"/>
      <c r="N42" s="126"/>
      <c r="O42" s="126"/>
      <c r="P42" s="126"/>
      <c r="Q42" s="126"/>
      <c r="R42" s="121" t="str">
        <f t="shared" si="23"/>
        <v>-</v>
      </c>
      <c r="S42" s="121" t="str">
        <f t="shared" si="24"/>
        <v>-</v>
      </c>
      <c r="T42" s="122" t="str">
        <f t="shared" si="24"/>
        <v>-</v>
      </c>
      <c r="AU42" s="458"/>
      <c r="AV42" s="176" t="s">
        <v>174</v>
      </c>
      <c r="AW42" s="176"/>
      <c r="AX42" s="176"/>
      <c r="AY42" s="176"/>
      <c r="AZ42" s="176"/>
      <c r="BA42" s="176"/>
      <c r="BB42" s="177"/>
      <c r="BC42" s="495"/>
      <c r="BD42" s="330"/>
      <c r="BE42" s="330"/>
      <c r="BF42" s="330"/>
      <c r="BG42" s="339"/>
      <c r="BH42" s="330"/>
      <c r="BI42" s="330"/>
      <c r="BJ42" s="340"/>
      <c r="BK42" s="121" t="str">
        <f>IF(BC42="-", "-", IF(BG42="-", "-", IF(ABS(BG42)=0, "-", ROUND(100*(BC42-BG42)/ABS(BG42), 10))))</f>
        <v>-</v>
      </c>
      <c r="BL42" s="121" t="str">
        <f t="shared" si="29"/>
        <v>-</v>
      </c>
      <c r="BM42" s="122" t="str">
        <f t="shared" si="29"/>
        <v>-</v>
      </c>
      <c r="BN42" s="142"/>
      <c r="BO42" s="126"/>
      <c r="BP42" s="126"/>
      <c r="BQ42" s="126"/>
      <c r="BR42" s="126"/>
      <c r="BS42" s="126"/>
      <c r="BT42" s="126"/>
      <c r="BU42" s="126"/>
      <c r="BV42" s="121" t="str">
        <f>IF(BN42="-", "-", IF(BR42="-", "-", IF(ABS(BR42)=0, "-", ROUND(100*(BN42-BR42)/ABS(BR42), 10))))</f>
        <v>-</v>
      </c>
      <c r="BW42" s="121" t="str">
        <f t="shared" si="30"/>
        <v>-</v>
      </c>
      <c r="BX42" s="122" t="str">
        <f t="shared" si="30"/>
        <v>-</v>
      </c>
    </row>
    <row r="43" spans="2:76" ht="12.75" customHeight="1">
      <c r="B43" s="705" t="s">
        <v>236</v>
      </c>
      <c r="C43" s="706"/>
      <c r="D43" s="706"/>
      <c r="E43" s="706"/>
      <c r="F43" s="706"/>
      <c r="G43" s="706"/>
      <c r="H43" s="706"/>
      <c r="I43" s="707"/>
      <c r="J43" s="142"/>
      <c r="K43" s="126"/>
      <c r="L43" s="126"/>
      <c r="M43" s="126"/>
      <c r="N43" s="126"/>
      <c r="O43" s="126"/>
      <c r="P43" s="126"/>
      <c r="Q43" s="126"/>
      <c r="R43" s="121" t="str">
        <f t="shared" si="23"/>
        <v>-</v>
      </c>
      <c r="S43" s="121" t="str">
        <f t="shared" si="24"/>
        <v>-</v>
      </c>
      <c r="T43" s="122" t="str">
        <f t="shared" si="24"/>
        <v>-</v>
      </c>
      <c r="AU43" s="458"/>
      <c r="AV43" s="697" t="s">
        <v>286</v>
      </c>
      <c r="AW43" s="599"/>
      <c r="AX43" s="698"/>
      <c r="AY43" s="176" t="s">
        <v>175</v>
      </c>
      <c r="AZ43" s="176"/>
      <c r="BA43" s="176"/>
      <c r="BB43" s="177"/>
      <c r="BC43" s="495"/>
      <c r="BD43" s="330"/>
      <c r="BE43" s="330"/>
      <c r="BF43" s="330"/>
      <c r="BG43" s="339"/>
      <c r="BH43" s="330"/>
      <c r="BI43" s="330"/>
      <c r="BJ43" s="340"/>
      <c r="BK43" s="121" t="str">
        <f>IF(BC43="-", "-", IF(BG43="-", "-", IF(ABS(BG43)=0, "-", ROUND(100*(BC43-BG43)/ABS(BG43), 10))))</f>
        <v>-</v>
      </c>
      <c r="BL43" s="121" t="str">
        <f t="shared" si="29"/>
        <v>-</v>
      </c>
      <c r="BM43" s="122" t="str">
        <f t="shared" si="29"/>
        <v>-</v>
      </c>
      <c r="BN43" s="142"/>
      <c r="BO43" s="126"/>
      <c r="BP43" s="126"/>
      <c r="BQ43" s="126"/>
      <c r="BR43" s="126"/>
      <c r="BS43" s="126"/>
      <c r="BT43" s="126"/>
      <c r="BU43" s="126"/>
      <c r="BV43" s="121" t="str">
        <f>IF(BN43="-", "-", IF(BR43="-", "-", IF(ABS(BR43)=0, "-", ROUND(100*(BN43-BR43)/ABS(BR43), 10))))</f>
        <v>-</v>
      </c>
      <c r="BW43" s="121" t="str">
        <f t="shared" si="30"/>
        <v>-</v>
      </c>
      <c r="BX43" s="122" t="str">
        <f t="shared" si="30"/>
        <v>-</v>
      </c>
    </row>
    <row r="44" spans="2:76" ht="12.75" customHeight="1">
      <c r="B44" s="705" t="s">
        <v>237</v>
      </c>
      <c r="C44" s="706"/>
      <c r="D44" s="706"/>
      <c r="E44" s="706"/>
      <c r="F44" s="706"/>
      <c r="G44" s="706"/>
      <c r="H44" s="706"/>
      <c r="I44" s="707"/>
      <c r="J44" s="142"/>
      <c r="K44" s="126"/>
      <c r="L44" s="126"/>
      <c r="M44" s="126"/>
      <c r="N44" s="126"/>
      <c r="O44" s="126"/>
      <c r="P44" s="126"/>
      <c r="Q44" s="126"/>
      <c r="R44" s="121" t="str">
        <f t="shared" si="23"/>
        <v>-</v>
      </c>
      <c r="S44" s="121" t="str">
        <f t="shared" si="24"/>
        <v>-</v>
      </c>
      <c r="T44" s="122" t="str">
        <f t="shared" si="24"/>
        <v>-</v>
      </c>
      <c r="AU44" s="458"/>
      <c r="AV44" s="699"/>
      <c r="AW44" s="700"/>
      <c r="AX44" s="701"/>
      <c r="AY44" s="563" t="s">
        <v>332</v>
      </c>
      <c r="AZ44" s="563"/>
      <c r="BA44" s="563"/>
      <c r="BB44" s="564"/>
      <c r="BC44" s="495"/>
      <c r="BD44" s="330"/>
      <c r="BE44" s="330"/>
      <c r="BF44" s="330"/>
      <c r="BG44" s="339"/>
      <c r="BH44" s="330"/>
      <c r="BI44" s="330"/>
      <c r="BJ44" s="340"/>
      <c r="BK44" s="121" t="str">
        <f>IF(BC44="-", "-", IF(BG44="-", "-", IF(ABS(BG44)=0, "-", ROUND(100*(BC44-BG44)/ABS(BG44), 10))))</f>
        <v>-</v>
      </c>
      <c r="BL44" s="121" t="str">
        <f t="shared" si="29"/>
        <v>-</v>
      </c>
      <c r="BM44" s="122" t="str">
        <f t="shared" si="29"/>
        <v>-</v>
      </c>
      <c r="BN44" s="142"/>
      <c r="BO44" s="126"/>
      <c r="BP44" s="126"/>
      <c r="BQ44" s="126"/>
      <c r="BR44" s="126"/>
      <c r="BS44" s="126"/>
      <c r="BT44" s="126"/>
      <c r="BU44" s="126"/>
      <c r="BV44" s="121" t="str">
        <f>IF(BN44="-", "-", IF(BR44="-", "-", IF(ABS(BR44)=0, "-", ROUND(100*(BN44-BR44)/ABS(BR44), 10))))</f>
        <v>-</v>
      </c>
      <c r="BW44" s="121" t="str">
        <f t="shared" si="30"/>
        <v>-</v>
      </c>
      <c r="BX44" s="122" t="str">
        <f t="shared" si="30"/>
        <v>-</v>
      </c>
    </row>
    <row r="45" spans="2:76" ht="12.75" customHeight="1" thickBot="1">
      <c r="B45" s="713" t="s">
        <v>238</v>
      </c>
      <c r="C45" s="714"/>
      <c r="D45" s="714"/>
      <c r="E45" s="714"/>
      <c r="F45" s="714"/>
      <c r="G45" s="714"/>
      <c r="H45" s="714"/>
      <c r="I45" s="715"/>
      <c r="J45" s="159"/>
      <c r="K45" s="160"/>
      <c r="L45" s="160"/>
      <c r="M45" s="160"/>
      <c r="N45" s="160"/>
      <c r="O45" s="160"/>
      <c r="P45" s="160"/>
      <c r="Q45" s="160"/>
      <c r="R45" s="161" t="str">
        <f t="shared" si="23"/>
        <v>-</v>
      </c>
      <c r="S45" s="161" t="str">
        <f t="shared" si="24"/>
        <v>-</v>
      </c>
      <c r="T45" s="162" t="str">
        <f t="shared" si="24"/>
        <v>-</v>
      </c>
      <c r="AU45" s="458"/>
      <c r="AV45" s="699"/>
      <c r="AW45" s="700"/>
      <c r="AX45" s="701"/>
      <c r="AY45" s="563" t="s">
        <v>463</v>
      </c>
      <c r="AZ45" s="563"/>
      <c r="BA45" s="563"/>
      <c r="BB45" s="564"/>
      <c r="BC45" s="495"/>
      <c r="BD45" s="330"/>
      <c r="BE45" s="330"/>
      <c r="BF45" s="330"/>
      <c r="BG45" s="339"/>
      <c r="BH45" s="330"/>
      <c r="BI45" s="330"/>
      <c r="BJ45" s="340"/>
      <c r="BK45" s="121" t="str">
        <f t="shared" ref="BK45:BK46" si="31">IF(BC45="-", "-", IF(BG45="-", "-", IF(ABS(BG45)=0, "-", ROUND(100*(BC45-BG45)/ABS(BG45), 10))))</f>
        <v>-</v>
      </c>
      <c r="BL45" s="121" t="str">
        <f t="shared" ref="BL45:BM46" si="32">IF(BH45="-", "-", IF(BJ45="-", "-", IF(ABS(BJ45)=0, "-", ROUND(100*(BH45-BJ45)/ABS(BJ45), 1))))</f>
        <v>-</v>
      </c>
      <c r="BM45" s="122" t="str">
        <f t="shared" si="32"/>
        <v>-</v>
      </c>
      <c r="BN45" s="142"/>
      <c r="BO45" s="126"/>
      <c r="BP45" s="126"/>
      <c r="BQ45" s="126"/>
      <c r="BR45" s="126"/>
      <c r="BS45" s="126"/>
      <c r="BT45" s="126"/>
      <c r="BU45" s="126"/>
      <c r="BV45" s="121" t="str">
        <f t="shared" ref="BV45:BV46" si="33">IF(BN45="-", "-", IF(BR45="-", "-", IF(ABS(BR45)=0, "-", ROUND(100*(BN45-BR45)/ABS(BR45), 10))))</f>
        <v>-</v>
      </c>
      <c r="BW45" s="121" t="str">
        <f t="shared" ref="BW45:BX46" si="34">IF(BS45="-", "-", IF(BU45="-", "-", IF(ABS(BU45)=0, "-", ROUND(100*(BS45-BU45)/ABS(BU45), 1))))</f>
        <v>-</v>
      </c>
      <c r="BX45" s="122" t="str">
        <f t="shared" si="34"/>
        <v>-</v>
      </c>
    </row>
    <row r="46" spans="2:76" ht="12.75" customHeight="1">
      <c r="AU46" s="458"/>
      <c r="AV46" s="702"/>
      <c r="AW46" s="703"/>
      <c r="AX46" s="704"/>
      <c r="AY46" s="618" t="s">
        <v>469</v>
      </c>
      <c r="AZ46" s="619"/>
      <c r="BA46" s="619"/>
      <c r="BB46" s="620"/>
      <c r="BC46" s="495"/>
      <c r="BD46" s="330"/>
      <c r="BE46" s="330"/>
      <c r="BF46" s="330"/>
      <c r="BG46" s="339"/>
      <c r="BH46" s="330"/>
      <c r="BI46" s="330"/>
      <c r="BJ46" s="340"/>
      <c r="BK46" s="121" t="str">
        <f t="shared" si="31"/>
        <v>-</v>
      </c>
      <c r="BL46" s="121" t="str">
        <f t="shared" si="32"/>
        <v>-</v>
      </c>
      <c r="BM46" s="122" t="str">
        <f t="shared" si="32"/>
        <v>-</v>
      </c>
      <c r="BN46" s="142"/>
      <c r="BO46" s="126"/>
      <c r="BP46" s="126"/>
      <c r="BQ46" s="126"/>
      <c r="BR46" s="126"/>
      <c r="BS46" s="126"/>
      <c r="BT46" s="126"/>
      <c r="BU46" s="126"/>
      <c r="BV46" s="121" t="str">
        <f t="shared" si="33"/>
        <v>-</v>
      </c>
      <c r="BW46" s="121" t="str">
        <f t="shared" si="34"/>
        <v>-</v>
      </c>
      <c r="BX46" s="122" t="str">
        <f t="shared" si="34"/>
        <v>-</v>
      </c>
    </row>
    <row r="47" spans="2:76" ht="12.75" customHeight="1">
      <c r="AU47" s="458"/>
      <c r="AV47" s="176" t="s">
        <v>176</v>
      </c>
      <c r="AW47" s="176"/>
      <c r="AX47" s="176"/>
      <c r="AY47" s="176"/>
      <c r="AZ47" s="176"/>
      <c r="BA47" s="176"/>
      <c r="BB47" s="177"/>
      <c r="BC47" s="495"/>
      <c r="BD47" s="330"/>
      <c r="BE47" s="330"/>
      <c r="BF47" s="330"/>
      <c r="BG47" s="339"/>
      <c r="BH47" s="330"/>
      <c r="BI47" s="330"/>
      <c r="BJ47" s="340"/>
      <c r="BK47" s="121" t="str">
        <f>IF(BC47="-", "-", IF(BG47="-", "-", IF(ABS(BG47)=0, "-", ROUND(100*(BC47-BG47)/ABS(BG47), 10))))</f>
        <v>-</v>
      </c>
      <c r="BL47" s="121" t="str">
        <f t="shared" ref="BL47:BM49" si="35">IF(BH47="-", "-", IF(BJ47="-", "-", IF(ABS(BJ47)=0, "-", ROUND(100*(BH47-BJ47)/ABS(BJ47), 1))))</f>
        <v>-</v>
      </c>
      <c r="BM47" s="122" t="str">
        <f t="shared" si="35"/>
        <v>-</v>
      </c>
      <c r="BN47" s="142"/>
      <c r="BO47" s="126"/>
      <c r="BP47" s="126"/>
      <c r="BQ47" s="126"/>
      <c r="BR47" s="126"/>
      <c r="BS47" s="126"/>
      <c r="BT47" s="126"/>
      <c r="BU47" s="126"/>
      <c r="BV47" s="121" t="str">
        <f>IF(BN47="-", "-", IF(BR47="-", "-", IF(ABS(BR47)=0, "-", ROUND(100*(BN47-BR47)/ABS(BR47), 10))))</f>
        <v>-</v>
      </c>
      <c r="BW47" s="121" t="str">
        <f t="shared" ref="BW47:BX49" si="36">IF(BS47="-", "-", IF(BU47="-", "-", IF(ABS(BU47)=0, "-", ROUND(100*(BS47-BU47)/ABS(BU47), 1))))</f>
        <v>-</v>
      </c>
      <c r="BX47" s="122" t="str">
        <f t="shared" si="36"/>
        <v>-</v>
      </c>
    </row>
    <row r="48" spans="2:76" ht="12.75" customHeight="1">
      <c r="AU48" s="458"/>
      <c r="AV48" s="176" t="s">
        <v>177</v>
      </c>
      <c r="AW48" s="176"/>
      <c r="AX48" s="176"/>
      <c r="AY48" s="176"/>
      <c r="AZ48" s="176"/>
      <c r="BA48" s="176"/>
      <c r="BB48" s="177"/>
      <c r="BC48" s="495"/>
      <c r="BD48" s="330"/>
      <c r="BE48" s="330"/>
      <c r="BF48" s="330"/>
      <c r="BG48" s="339"/>
      <c r="BH48" s="330"/>
      <c r="BI48" s="330"/>
      <c r="BJ48" s="340"/>
      <c r="BK48" s="121" t="str">
        <f>IF(BC48="-", "-", IF(BG48="-", "-", IF(ABS(BG48)=0, "-", ROUND(100*(BC48-BG48)/ABS(BG48), 10))))</f>
        <v>-</v>
      </c>
      <c r="BL48" s="121" t="str">
        <f t="shared" si="35"/>
        <v>-</v>
      </c>
      <c r="BM48" s="122" t="str">
        <f t="shared" si="35"/>
        <v>-</v>
      </c>
      <c r="BN48" s="142"/>
      <c r="BO48" s="126"/>
      <c r="BP48" s="126"/>
      <c r="BQ48" s="126"/>
      <c r="BR48" s="126"/>
      <c r="BS48" s="126"/>
      <c r="BT48" s="126"/>
      <c r="BU48" s="126"/>
      <c r="BV48" s="121" t="str">
        <f>IF(BN48="-", "-", IF(BR48="-", "-", IF(ABS(BR48)=0, "-", ROUND(100*(BN48-BR48)/ABS(BR48), 10))))</f>
        <v>-</v>
      </c>
      <c r="BW48" s="121" t="str">
        <f t="shared" si="36"/>
        <v>-</v>
      </c>
      <c r="BX48" s="122" t="str">
        <f t="shared" si="36"/>
        <v>-</v>
      </c>
    </row>
    <row r="49" spans="47:76" ht="12.75" customHeight="1">
      <c r="AU49" s="458"/>
      <c r="AV49" s="176" t="s">
        <v>230</v>
      </c>
      <c r="AW49" s="176"/>
      <c r="AX49" s="176"/>
      <c r="AY49" s="176"/>
      <c r="AZ49" s="176"/>
      <c r="BA49" s="176"/>
      <c r="BB49" s="177"/>
      <c r="BC49" s="495"/>
      <c r="BD49" s="330"/>
      <c r="BE49" s="330"/>
      <c r="BF49" s="330"/>
      <c r="BG49" s="339"/>
      <c r="BH49" s="330"/>
      <c r="BI49" s="330"/>
      <c r="BJ49" s="340"/>
      <c r="BK49" s="121" t="str">
        <f>IF(BC49="-", "-", IF(BG49="-", "-", IF(ABS(BG49)=0, "-", ROUND(100*(BC49-BG49)/ABS(BG49), 10))))</f>
        <v>-</v>
      </c>
      <c r="BL49" s="121" t="str">
        <f t="shared" si="35"/>
        <v>-</v>
      </c>
      <c r="BM49" s="122" t="str">
        <f t="shared" si="35"/>
        <v>-</v>
      </c>
      <c r="BN49" s="142"/>
      <c r="BO49" s="126"/>
      <c r="BP49" s="126"/>
      <c r="BQ49" s="126"/>
      <c r="BR49" s="126"/>
      <c r="BS49" s="126"/>
      <c r="BT49" s="126"/>
      <c r="BU49" s="126"/>
      <c r="BV49" s="121" t="str">
        <f>IF(BN49="-", "-", IF(BR49="-", "-", IF(ABS(BR49)=0, "-", ROUND(100*(BN49-BR49)/ABS(BR49), 10))))</f>
        <v>-</v>
      </c>
      <c r="BW49" s="121" t="str">
        <f t="shared" si="36"/>
        <v>-</v>
      </c>
      <c r="BX49" s="122" t="str">
        <f t="shared" si="36"/>
        <v>-</v>
      </c>
    </row>
    <row r="50" spans="47:76" ht="12.75" customHeight="1">
      <c r="AU50" s="458"/>
      <c r="AV50" s="609" t="s">
        <v>466</v>
      </c>
      <c r="AW50" s="610"/>
      <c r="AX50" s="611"/>
      <c r="AY50" s="176" t="s">
        <v>178</v>
      </c>
      <c r="AZ50" s="176"/>
      <c r="BA50" s="176"/>
      <c r="BB50" s="177"/>
      <c r="BC50" s="495"/>
      <c r="BD50" s="330"/>
      <c r="BE50" s="330"/>
      <c r="BF50" s="330"/>
      <c r="BG50" s="339"/>
      <c r="BH50" s="330"/>
      <c r="BI50" s="330"/>
      <c r="BJ50" s="340"/>
      <c r="BK50" s="121" t="str">
        <f>IF(BC50="-", "-", IF(BG50="-", "-", IF(ABS(BG50)=0, "-", ROUND(100*(BC50-BG50)/ABS(BG50), 10))))</f>
        <v>-</v>
      </c>
      <c r="BL50" s="121" t="str">
        <f t="shared" ref="BL50:BM52" si="37">IF(BH50="-", "-", IF(BJ50="-", "-", IF(ABS(BJ50)=0, "-", ROUND(100*(BH50-BJ50)/ABS(BJ50), 1))))</f>
        <v>-</v>
      </c>
      <c r="BM50" s="122" t="str">
        <f t="shared" ref="BM50:BM51" si="38">IF(BI50="-", "-", IF(BK50="-", "-", IF(ABS(BK50)=0, "-", ROUND(100*(BI50-BK50)/ABS(BK50), 1))))</f>
        <v>-</v>
      </c>
      <c r="BN50" s="142"/>
      <c r="BO50" s="126"/>
      <c r="BP50" s="126"/>
      <c r="BQ50" s="126"/>
      <c r="BR50" s="126"/>
      <c r="BS50" s="126"/>
      <c r="BT50" s="126"/>
      <c r="BU50" s="126"/>
      <c r="BV50" s="121" t="str">
        <f>IF(BN50="-", "-", IF(BR50="-", "-", IF(ABS(BR50)=0, "-", ROUND(100*(BN50-BR50)/ABS(BR50), 10))))</f>
        <v>-</v>
      </c>
      <c r="BW50" s="121" t="str">
        <f t="shared" ref="BW50:BX52" si="39">IF(BS50="-", "-", IF(BU50="-", "-", IF(ABS(BU50)=0, "-", ROUND(100*(BS50-BU50)/ABS(BU50), 1))))</f>
        <v>-</v>
      </c>
      <c r="BX50" s="122" t="str">
        <f t="shared" ref="BX50:BX51" si="40">IF(BT50="-", "-", IF(BV50="-", "-", IF(ABS(BV50)=0, "-", ROUND(100*(BT50-BV50)/ABS(BV50), 1))))</f>
        <v>-</v>
      </c>
    </row>
    <row r="51" spans="47:76" ht="12.75" customHeight="1">
      <c r="AU51" s="458"/>
      <c r="AV51" s="612"/>
      <c r="AW51" s="613"/>
      <c r="AX51" s="614"/>
      <c r="AY51" s="618" t="s">
        <v>464</v>
      </c>
      <c r="AZ51" s="619"/>
      <c r="BA51" s="619"/>
      <c r="BB51" s="620"/>
      <c r="BC51" s="495"/>
      <c r="BD51" s="330"/>
      <c r="BE51" s="330"/>
      <c r="BF51" s="330"/>
      <c r="BG51" s="339"/>
      <c r="BH51" s="330"/>
      <c r="BI51" s="330"/>
      <c r="BJ51" s="340"/>
      <c r="BK51" s="121" t="str">
        <f t="shared" ref="BK51:BK52" si="41">IF(BC51="-", "-", IF(BG51="-", "-", IF(ABS(BG51)=0, "-", ROUND(100*(BC51-BG51)/ABS(BG51), 10))))</f>
        <v>-</v>
      </c>
      <c r="BL51" s="121" t="str">
        <f t="shared" si="37"/>
        <v>-</v>
      </c>
      <c r="BM51" s="122" t="str">
        <f t="shared" si="38"/>
        <v>-</v>
      </c>
      <c r="BN51" s="142"/>
      <c r="BO51" s="126"/>
      <c r="BP51" s="126"/>
      <c r="BQ51" s="126"/>
      <c r="BR51" s="126"/>
      <c r="BS51" s="126"/>
      <c r="BT51" s="126"/>
      <c r="BU51" s="126"/>
      <c r="BV51" s="121" t="str">
        <f t="shared" ref="BV51:BV52" si="42">IF(BN51="-", "-", IF(BR51="-", "-", IF(ABS(BR51)=0, "-", ROUND(100*(BN51-BR51)/ABS(BR51), 10))))</f>
        <v>-</v>
      </c>
      <c r="BW51" s="121" t="str">
        <f t="shared" si="39"/>
        <v>-</v>
      </c>
      <c r="BX51" s="122" t="str">
        <f t="shared" si="40"/>
        <v>-</v>
      </c>
    </row>
    <row r="52" spans="47:76" ht="12.75" customHeight="1">
      <c r="AU52" s="458"/>
      <c r="AV52" s="615"/>
      <c r="AW52" s="616"/>
      <c r="AX52" s="617"/>
      <c r="AY52" s="176" t="s">
        <v>470</v>
      </c>
      <c r="AZ52" s="176"/>
      <c r="BA52" s="176"/>
      <c r="BB52" s="177"/>
      <c r="BC52" s="495"/>
      <c r="BD52" s="330"/>
      <c r="BE52" s="330"/>
      <c r="BF52" s="330"/>
      <c r="BG52" s="339"/>
      <c r="BH52" s="330"/>
      <c r="BI52" s="330"/>
      <c r="BJ52" s="340"/>
      <c r="BK52" s="121" t="str">
        <f t="shared" si="41"/>
        <v>-</v>
      </c>
      <c r="BL52" s="121" t="str">
        <f t="shared" si="37"/>
        <v>-</v>
      </c>
      <c r="BM52" s="122" t="str">
        <f t="shared" si="37"/>
        <v>-</v>
      </c>
      <c r="BN52" s="142"/>
      <c r="BO52" s="126"/>
      <c r="BP52" s="126"/>
      <c r="BQ52" s="126"/>
      <c r="BR52" s="126"/>
      <c r="BS52" s="126"/>
      <c r="BT52" s="126"/>
      <c r="BU52" s="126"/>
      <c r="BV52" s="121" t="str">
        <f t="shared" si="42"/>
        <v>-</v>
      </c>
      <c r="BW52" s="121" t="str">
        <f t="shared" si="39"/>
        <v>-</v>
      </c>
      <c r="BX52" s="122" t="str">
        <f t="shared" si="39"/>
        <v>-</v>
      </c>
    </row>
    <row r="53" spans="47:76" ht="12.75" customHeight="1">
      <c r="AU53" s="458"/>
      <c r="AV53" s="360" t="s">
        <v>179</v>
      </c>
      <c r="AW53" s="361"/>
      <c r="AX53" s="361"/>
      <c r="AY53" s="361"/>
      <c r="AZ53" s="361"/>
      <c r="BA53" s="361"/>
      <c r="BB53" s="362"/>
      <c r="BC53" s="495"/>
      <c r="BD53" s="330"/>
      <c r="BE53" s="330"/>
      <c r="BF53" s="330"/>
      <c r="BG53" s="339"/>
      <c r="BH53" s="330"/>
      <c r="BI53" s="330"/>
      <c r="BJ53" s="340"/>
      <c r="BK53" s="121" t="str">
        <f>IF(BC53="-", "-", IF(BG53="-", "-", IF(ABS(BG53)=0, "-", ROUND(100*(BC53-BG53)/ABS(BG53), 10))))</f>
        <v>-</v>
      </c>
      <c r="BL53" s="121" t="str">
        <f t="shared" ref="BL53:BM55" si="43">IF(BH53="-", "-", IF(BJ53="-", "-", IF(ABS(BJ53)=0, "-", ROUND(100*(BH53-BJ53)/ABS(BJ53), 1))))</f>
        <v>-</v>
      </c>
      <c r="BM53" s="122" t="str">
        <f t="shared" si="43"/>
        <v>-</v>
      </c>
      <c r="BN53" s="142"/>
      <c r="BO53" s="126"/>
      <c r="BP53" s="126"/>
      <c r="BQ53" s="126"/>
      <c r="BR53" s="126"/>
      <c r="BS53" s="126"/>
      <c r="BT53" s="126"/>
      <c r="BU53" s="126"/>
      <c r="BV53" s="121" t="str">
        <f>IF(BN53="-", "-", IF(BR53="-", "-", IF(ABS(BR53)=0, "-", ROUND(100*(BN53-BR53)/ABS(BR53), 10))))</f>
        <v>-</v>
      </c>
      <c r="BW53" s="121" t="str">
        <f t="shared" ref="BW53:BX57" si="44">IF(BS53="-", "-", IF(BU53="-", "-", IF(ABS(BU53)=0, "-", ROUND(100*(BS53-BU53)/ABS(BU53), 1))))</f>
        <v>-</v>
      </c>
      <c r="BX53" s="122" t="str">
        <f t="shared" si="44"/>
        <v>-</v>
      </c>
    </row>
    <row r="54" spans="47:76" ht="12.75" customHeight="1">
      <c r="AU54" s="458"/>
      <c r="AV54" s="176" t="s">
        <v>180</v>
      </c>
      <c r="AW54" s="176"/>
      <c r="AX54" s="176"/>
      <c r="AY54" s="176"/>
      <c r="AZ54" s="176"/>
      <c r="BA54" s="176"/>
      <c r="BB54" s="177"/>
      <c r="BC54" s="495"/>
      <c r="BD54" s="330"/>
      <c r="BE54" s="330"/>
      <c r="BF54" s="330"/>
      <c r="BG54" s="339"/>
      <c r="BH54" s="330"/>
      <c r="BI54" s="330"/>
      <c r="BJ54" s="340"/>
      <c r="BK54" s="121" t="str">
        <f>IF(BC54="-", "-", IF(BG54="-", "-", IF(ABS(BG54)=0, "-", ROUND(100*(BC54-BG54)/ABS(BG54), 10))))</f>
        <v>-</v>
      </c>
      <c r="BL54" s="121" t="str">
        <f t="shared" si="43"/>
        <v>-</v>
      </c>
      <c r="BM54" s="122" t="str">
        <f t="shared" si="43"/>
        <v>-</v>
      </c>
      <c r="BN54" s="142"/>
      <c r="BO54" s="126"/>
      <c r="BP54" s="126"/>
      <c r="BQ54" s="126"/>
      <c r="BR54" s="126"/>
      <c r="BS54" s="126"/>
      <c r="BT54" s="126"/>
      <c r="BU54" s="126"/>
      <c r="BV54" s="121" t="str">
        <f>IF(BN54="-", "-", IF(BR54="-", "-", IF(ABS(BR54)=0, "-", ROUND(100*(BN54-BR54)/ABS(BR54), 10))))</f>
        <v>-</v>
      </c>
      <c r="BW54" s="121" t="str">
        <f t="shared" si="44"/>
        <v>-</v>
      </c>
      <c r="BX54" s="122" t="str">
        <f t="shared" si="44"/>
        <v>-</v>
      </c>
    </row>
    <row r="55" spans="47:76" ht="12.75" customHeight="1">
      <c r="AU55" s="458"/>
      <c r="AV55" s="176" t="s">
        <v>333</v>
      </c>
      <c r="AW55" s="176"/>
      <c r="AX55" s="176"/>
      <c r="AY55" s="176"/>
      <c r="AZ55" s="176"/>
      <c r="BA55" s="176"/>
      <c r="BB55" s="177"/>
      <c r="BC55" s="495"/>
      <c r="BD55" s="330"/>
      <c r="BE55" s="330"/>
      <c r="BF55" s="330"/>
      <c r="BG55" s="339"/>
      <c r="BH55" s="330"/>
      <c r="BI55" s="330"/>
      <c r="BJ55" s="340"/>
      <c r="BK55" s="121" t="str">
        <f>IF(BC55="-", "-", IF(BG55="-", "-", IF(ABS(BG55)=0, "-", ROUND(100*(BC55-BG55)/ABS(BG55), 10))))</f>
        <v>-</v>
      </c>
      <c r="BL55" s="121" t="str">
        <f t="shared" si="43"/>
        <v>-</v>
      </c>
      <c r="BM55" s="122" t="str">
        <f t="shared" si="43"/>
        <v>-</v>
      </c>
      <c r="BN55" s="142"/>
      <c r="BO55" s="126"/>
      <c r="BP55" s="126"/>
      <c r="BQ55" s="126"/>
      <c r="BR55" s="126"/>
      <c r="BS55" s="126"/>
      <c r="BT55" s="126"/>
      <c r="BU55" s="126"/>
      <c r="BV55" s="121" t="str">
        <f>IF(BN55="-", "-", IF(BR55="-", "-", IF(ABS(BR55)=0, "-", ROUND(100*(BN55-BR55)/ABS(BR55), 10))))</f>
        <v>-</v>
      </c>
      <c r="BW55" s="121" t="str">
        <f t="shared" si="44"/>
        <v>-</v>
      </c>
      <c r="BX55" s="122" t="str">
        <f t="shared" si="44"/>
        <v>-</v>
      </c>
    </row>
    <row r="56" spans="47:76" ht="12.75" customHeight="1">
      <c r="AU56" s="458"/>
      <c r="AV56" s="691" t="s">
        <v>181</v>
      </c>
      <c r="AW56" s="692"/>
      <c r="AX56" s="693"/>
      <c r="AY56" s="176" t="s">
        <v>182</v>
      </c>
      <c r="AZ56" s="176"/>
      <c r="BA56" s="176"/>
      <c r="BB56" s="177"/>
      <c r="BC56" s="495"/>
      <c r="BD56" s="330"/>
      <c r="BE56" s="330"/>
      <c r="BF56" s="330"/>
      <c r="BG56" s="339"/>
      <c r="BH56" s="330"/>
      <c r="BI56" s="330"/>
      <c r="BJ56" s="340"/>
      <c r="BK56" s="121" t="str">
        <f>IF(BC56="-", "-", IF(BG56="-", "-", IF(ABS(BG56)=0, "-", ROUND(100*(BC56-BG56)/ABS(BG56), 10))))</f>
        <v>-</v>
      </c>
      <c r="BL56" s="121" t="str">
        <f t="shared" ref="BL56:BM58" si="45">IF(BH56="-", "-", IF(BJ56="-", "-", IF(ABS(BJ56)=0, "-", ROUND(100*(BH56-BJ56)/ABS(BJ56), 1))))</f>
        <v>-</v>
      </c>
      <c r="BM56" s="122" t="str">
        <f t="shared" si="45"/>
        <v>-</v>
      </c>
      <c r="BN56" s="142"/>
      <c r="BO56" s="126"/>
      <c r="BP56" s="126"/>
      <c r="BQ56" s="126"/>
      <c r="BR56" s="126"/>
      <c r="BS56" s="126"/>
      <c r="BT56" s="126"/>
      <c r="BU56" s="126"/>
      <c r="BV56" s="121" t="str">
        <f>IF(BN56="-", "-", IF(BR56="-", "-", IF(ABS(BR56)=0, "-", ROUND(100*(BN56-BR56)/ABS(BR56), 10))))</f>
        <v>-</v>
      </c>
      <c r="BW56" s="121" t="str">
        <f t="shared" si="44"/>
        <v>-</v>
      </c>
      <c r="BX56" s="122" t="str">
        <f t="shared" si="44"/>
        <v>-</v>
      </c>
    </row>
    <row r="57" spans="47:76" ht="12.75" customHeight="1">
      <c r="AU57" s="458"/>
      <c r="AV57" s="694"/>
      <c r="AW57" s="695"/>
      <c r="AX57" s="696"/>
      <c r="AY57" s="176" t="s">
        <v>183</v>
      </c>
      <c r="AZ57" s="176"/>
      <c r="BA57" s="176"/>
      <c r="BB57" s="177"/>
      <c r="BC57" s="495"/>
      <c r="BD57" s="330"/>
      <c r="BE57" s="330"/>
      <c r="BF57" s="330"/>
      <c r="BG57" s="339"/>
      <c r="BH57" s="330"/>
      <c r="BI57" s="330"/>
      <c r="BJ57" s="340"/>
      <c r="BK57" s="121" t="str">
        <f>IF(BC57="-", "-", IF(BG57="-", "-", IF(ABS(BG57)=0, "-", ROUND(100*(BC57-BG57)/ABS(BG57), 10))))</f>
        <v>-</v>
      </c>
      <c r="BL57" s="121" t="str">
        <f t="shared" si="45"/>
        <v>-</v>
      </c>
      <c r="BM57" s="122" t="str">
        <f t="shared" si="45"/>
        <v>-</v>
      </c>
      <c r="BN57" s="142"/>
      <c r="BO57" s="126"/>
      <c r="BP57" s="126"/>
      <c r="BQ57" s="126"/>
      <c r="BR57" s="126"/>
      <c r="BS57" s="126"/>
      <c r="BT57" s="126"/>
      <c r="BU57" s="126"/>
      <c r="BV57" s="121" t="str">
        <f>IF(BN57="-", "-", IF(BR57="-", "-", IF(ABS(BR57)=0, "-", ROUND(100*(BN57-BR57)/ABS(BR57), 10))))</f>
        <v>-</v>
      </c>
      <c r="BW57" s="121" t="str">
        <f t="shared" si="44"/>
        <v>-</v>
      </c>
      <c r="BX57" s="122" t="str">
        <f t="shared" si="44"/>
        <v>-</v>
      </c>
    </row>
    <row r="58" spans="47:76" ht="12.75" customHeight="1">
      <c r="AU58" s="458"/>
      <c r="AV58" s="176" t="s">
        <v>465</v>
      </c>
      <c r="AW58" s="176"/>
      <c r="AX58" s="176"/>
      <c r="AY58" s="176"/>
      <c r="AZ58" s="176"/>
      <c r="BA58" s="176"/>
      <c r="BB58" s="177"/>
      <c r="BC58" s="495"/>
      <c r="BD58" s="330"/>
      <c r="BE58" s="330"/>
      <c r="BF58" s="330"/>
      <c r="BG58" s="339"/>
      <c r="BH58" s="330"/>
      <c r="BI58" s="330"/>
      <c r="BJ58" s="340"/>
      <c r="BK58" s="121" t="str">
        <f t="shared" ref="BK58" si="46">IF(BC58="-", "-", IF(BG58="-", "-", IF(ABS(BG58)=0, "-", ROUND(100*(BC58-BG58)/ABS(BG58), 10))))</f>
        <v>-</v>
      </c>
      <c r="BL58" s="121" t="str">
        <f t="shared" si="45"/>
        <v>-</v>
      </c>
      <c r="BM58" s="122" t="str">
        <f t="shared" si="45"/>
        <v>-</v>
      </c>
      <c r="BN58" s="142"/>
      <c r="BO58" s="126"/>
      <c r="BP58" s="126"/>
      <c r="BQ58" s="126"/>
      <c r="BR58" s="126"/>
      <c r="BS58" s="126"/>
      <c r="BT58" s="126"/>
      <c r="BU58" s="126"/>
      <c r="BV58" s="121" t="str">
        <f t="shared" ref="BV58" si="47">IF(BN58="-", "-", IF(BR58="-", "-", IF(ABS(BR58)=0, "-", ROUND(100*(BN58-BR58)/ABS(BR58), 10))))</f>
        <v>-</v>
      </c>
      <c r="BW58" s="121" t="str">
        <f t="shared" ref="BW58:BX58" si="48">IF(BS58="-", "-", IF(BU58="-", "-", IF(ABS(BU58)=0, "-", ROUND(100*(BS58-BU58)/ABS(BU58), 1))))</f>
        <v>-</v>
      </c>
      <c r="BX58" s="122" t="str">
        <f t="shared" si="48"/>
        <v>-</v>
      </c>
    </row>
    <row r="59" spans="47:76" ht="12.75" customHeight="1">
      <c r="AU59" s="458"/>
      <c r="AV59" s="176" t="s">
        <v>86</v>
      </c>
      <c r="AW59" s="176"/>
      <c r="AX59" s="176"/>
      <c r="AY59" s="176"/>
      <c r="AZ59" s="176"/>
      <c r="BA59" s="176"/>
      <c r="BB59" s="177"/>
      <c r="BC59" s="709"/>
      <c r="BD59" s="671"/>
      <c r="BE59" s="671"/>
      <c r="BF59" s="672"/>
      <c r="BG59" s="671"/>
      <c r="BH59" s="671"/>
      <c r="BI59" s="671"/>
      <c r="BJ59" s="671"/>
      <c r="BK59" s="670"/>
      <c r="BL59" s="671"/>
      <c r="BM59" s="672"/>
      <c r="BN59" s="142"/>
      <c r="BO59" s="126"/>
      <c r="BP59" s="126"/>
      <c r="BQ59" s="126"/>
      <c r="BR59" s="126"/>
      <c r="BS59" s="126"/>
      <c r="BT59" s="126"/>
      <c r="BU59" s="126"/>
      <c r="BV59" s="121" t="str">
        <f>IF(BN59="-", "-", IF(BR59="-", "-", IF(ABS(BR59)=0, "-", ROUND(100*(BN59-BR59)/ABS(BR59), 10))))</f>
        <v>-</v>
      </c>
      <c r="BW59" s="121" t="str">
        <f t="shared" ref="BW59:BX61" si="49">IF(BS59="-", "-", IF(BU59="-", "-", IF(ABS(BU59)=0, "-", ROUND(100*(BS59-BU59)/ABS(BU59), 1))))</f>
        <v>-</v>
      </c>
      <c r="BX59" s="122" t="str">
        <f t="shared" si="49"/>
        <v>-</v>
      </c>
    </row>
    <row r="60" spans="47:76" ht="12.75" customHeight="1">
      <c r="AU60" s="458"/>
      <c r="AV60" s="179" t="s">
        <v>13</v>
      </c>
      <c r="AW60" s="179"/>
      <c r="AX60" s="179"/>
      <c r="AY60" s="176"/>
      <c r="AZ60" s="176"/>
      <c r="BA60" s="176"/>
      <c r="BB60" s="177"/>
      <c r="BC60" s="709"/>
      <c r="BD60" s="671"/>
      <c r="BE60" s="671"/>
      <c r="BF60" s="672"/>
      <c r="BG60" s="671"/>
      <c r="BH60" s="671"/>
      <c r="BI60" s="671"/>
      <c r="BJ60" s="671"/>
      <c r="BK60" s="670"/>
      <c r="BL60" s="671"/>
      <c r="BM60" s="672"/>
      <c r="BN60" s="568"/>
      <c r="BO60" s="569"/>
      <c r="BP60" s="569"/>
      <c r="BQ60" s="569"/>
      <c r="BR60" s="569"/>
      <c r="BS60" s="569"/>
      <c r="BT60" s="569"/>
      <c r="BU60" s="569"/>
      <c r="BV60" s="445" t="str">
        <f>IF(BN60="-", "-", IF(BR60="-", "-", IF(ABS(BR60)=0, "-", ROUND(100*(BN60-BR60)/ABS(BR60), 10))))</f>
        <v>-</v>
      </c>
      <c r="BW60" s="445" t="str">
        <f t="shared" si="49"/>
        <v>-</v>
      </c>
      <c r="BX60" s="446" t="str">
        <f t="shared" si="49"/>
        <v>-</v>
      </c>
    </row>
    <row r="61" spans="47:76" ht="13.5" thickBot="1">
      <c r="AU61" s="459"/>
      <c r="AX61" s="365" t="s">
        <v>226</v>
      </c>
      <c r="AY61" s="668"/>
      <c r="AZ61" s="668"/>
      <c r="BA61" s="668"/>
      <c r="BB61" s="669"/>
      <c r="BC61" s="690"/>
      <c r="BD61" s="676"/>
      <c r="BE61" s="676"/>
      <c r="BF61" s="677"/>
      <c r="BG61" s="676"/>
      <c r="BH61" s="676"/>
      <c r="BI61" s="676"/>
      <c r="BJ61" s="676"/>
      <c r="BK61" s="675"/>
      <c r="BL61" s="676"/>
      <c r="BM61" s="677"/>
      <c r="BN61" s="142"/>
      <c r="BO61" s="126"/>
      <c r="BP61" s="126"/>
      <c r="BQ61" s="126"/>
      <c r="BR61" s="126"/>
      <c r="BS61" s="126"/>
      <c r="BT61" s="126"/>
      <c r="BU61" s="126"/>
      <c r="BV61" s="121" t="str">
        <f>IF(BN61="-", "-", IF(BR61="-", "-", IF(ABS(BR61)=0, "-", ROUND(100*(BN61-BR61)/ABS(BR61), 10))))</f>
        <v>-</v>
      </c>
      <c r="BW61" s="121" t="str">
        <f t="shared" si="49"/>
        <v>-</v>
      </c>
      <c r="BX61" s="122" t="str">
        <f t="shared" si="49"/>
        <v>-</v>
      </c>
    </row>
    <row r="62" spans="47:76" ht="13.5" thickBot="1">
      <c r="AU62" s="710"/>
      <c r="AV62" s="711"/>
      <c r="AW62" s="711"/>
      <c r="AX62" s="711"/>
      <c r="AY62" s="711"/>
      <c r="AZ62" s="711"/>
      <c r="BA62" s="711"/>
      <c r="BB62" s="712"/>
      <c r="BC62" s="496"/>
      <c r="BD62" s="497"/>
      <c r="BE62" s="497"/>
      <c r="BF62" s="497"/>
      <c r="BG62" s="497"/>
      <c r="BH62" s="497"/>
      <c r="BI62" s="497"/>
      <c r="BJ62" s="497"/>
      <c r="BK62" s="497"/>
      <c r="BL62" s="497"/>
      <c r="BM62" s="498"/>
      <c r="BN62" s="660" t="s">
        <v>67</v>
      </c>
      <c r="BO62" s="185"/>
      <c r="BP62" s="185"/>
      <c r="BQ62" s="185"/>
      <c r="BR62" s="185"/>
      <c r="BS62" s="185"/>
      <c r="BT62" s="185"/>
      <c r="BU62" s="185"/>
      <c r="BV62" s="185"/>
      <c r="BW62" s="185"/>
      <c r="BX62" s="186"/>
    </row>
    <row r="63" spans="47:76">
      <c r="AU63" s="243" t="s">
        <v>184</v>
      </c>
      <c r="AV63" s="244"/>
      <c r="AW63" s="244"/>
      <c r="AX63" s="244"/>
      <c r="AY63" s="244"/>
      <c r="AZ63" s="244"/>
      <c r="BA63" s="244"/>
      <c r="BB63" s="494"/>
      <c r="BC63" s="708"/>
      <c r="BD63" s="674"/>
      <c r="BE63" s="674"/>
      <c r="BF63" s="679"/>
      <c r="BG63" s="673"/>
      <c r="BH63" s="674"/>
      <c r="BI63" s="674"/>
      <c r="BJ63" s="674"/>
      <c r="BK63" s="678"/>
      <c r="BL63" s="674"/>
      <c r="BM63" s="679"/>
      <c r="BN63" s="142"/>
      <c r="BO63" s="126"/>
      <c r="BP63" s="126"/>
      <c r="BQ63" s="126"/>
      <c r="BR63" s="126"/>
      <c r="BS63" s="126"/>
      <c r="BT63" s="126"/>
      <c r="BU63" s="126"/>
      <c r="BV63" s="121" t="str">
        <f>IF(BN63="-", "-", IF(BR63="-", "-", IF(ABS(BR63)=0, "-", ROUND(100*(BN63-BR63)/ABS(BR63), 10))))</f>
        <v>-</v>
      </c>
      <c r="BW63" s="121" t="str">
        <f t="shared" ref="BW63:BX64" si="50">IF(BS63="-", "-", IF(BU63="-", "-", IF(ABS(BU63)=0, "-", ROUND(100*(BS63-BU63)/ABS(BU63), 1))))</f>
        <v>-</v>
      </c>
      <c r="BX63" s="122" t="str">
        <f t="shared" si="50"/>
        <v>-</v>
      </c>
    </row>
    <row r="64" spans="47:76" ht="13.5" thickBot="1">
      <c r="AU64" s="13"/>
      <c r="AV64" s="365" t="s">
        <v>226</v>
      </c>
      <c r="AW64" s="149"/>
      <c r="AX64" s="149"/>
      <c r="AY64" s="149"/>
      <c r="AZ64" s="149"/>
      <c r="BA64" s="149"/>
      <c r="BB64" s="150"/>
      <c r="BC64" s="522"/>
      <c r="BD64" s="523"/>
      <c r="BE64" s="523"/>
      <c r="BF64" s="681"/>
      <c r="BG64" s="524"/>
      <c r="BH64" s="523"/>
      <c r="BI64" s="523"/>
      <c r="BJ64" s="523"/>
      <c r="BK64" s="680"/>
      <c r="BL64" s="523"/>
      <c r="BM64" s="681"/>
      <c r="BN64" s="159"/>
      <c r="BO64" s="160"/>
      <c r="BP64" s="160"/>
      <c r="BQ64" s="160"/>
      <c r="BR64" s="160"/>
      <c r="BS64" s="160"/>
      <c r="BT64" s="160"/>
      <c r="BU64" s="160"/>
      <c r="BV64" s="161" t="str">
        <f>IF(BN64="-", "-", IF(BR64="-", "-", IF(ABS(BR64)=0, "-", ROUND(100*(BN64-BR64)/ABS(BR64), 10))))</f>
        <v>-</v>
      </c>
      <c r="BW64" s="161" t="str">
        <f t="shared" si="50"/>
        <v>-</v>
      </c>
      <c r="BX64" s="162" t="str">
        <f t="shared" si="50"/>
        <v>-</v>
      </c>
    </row>
    <row r="72" spans="16:84"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</row>
    <row r="73" spans="16:84">
      <c r="P73" s="10"/>
      <c r="Q73" s="10"/>
      <c r="R73" s="10"/>
      <c r="S73" s="10"/>
      <c r="T73" s="10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</row>
    <row r="74" spans="16:84"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</row>
    <row r="75" spans="16:84"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</row>
    <row r="76" spans="16:84">
      <c r="AF76" s="10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</row>
    <row r="77" spans="16:84"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</row>
    <row r="78" spans="16:84"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</row>
    <row r="79" spans="16:84"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</row>
    <row r="80" spans="16:84"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</row>
    <row r="81" spans="42:84"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</row>
    <row r="82" spans="42:84"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</row>
    <row r="83" spans="42:84"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</row>
    <row r="84" spans="42:84"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</row>
    <row r="85" spans="42:84"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</row>
    <row r="86" spans="42:84"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</row>
    <row r="87" spans="42:84"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</row>
    <row r="88" spans="42:84"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</row>
    <row r="89" spans="42:84"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</row>
    <row r="90" spans="42:84"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</row>
    <row r="91" spans="42:84"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</row>
    <row r="92" spans="42:84"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</row>
    <row r="93" spans="42:84"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</row>
    <row r="94" spans="42:84"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</row>
    <row r="95" spans="42:84"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</row>
    <row r="99" spans="62:64">
      <c r="BJ99" s="207"/>
      <c r="BK99" s="207"/>
      <c r="BL99" s="207"/>
    </row>
    <row r="102" spans="62:64">
      <c r="BJ102" s="207"/>
      <c r="BK102" s="207"/>
      <c r="BL102" s="207"/>
    </row>
    <row r="103" spans="62:64">
      <c r="BJ103" s="207"/>
      <c r="BK103" s="207"/>
      <c r="BL103" s="207"/>
    </row>
  </sheetData>
  <mergeCells count="669">
    <mergeCell ref="BB4:BE4"/>
    <mergeCell ref="BG4:BJ4"/>
    <mergeCell ref="B19:B27"/>
    <mergeCell ref="R41:T41"/>
    <mergeCell ref="B40:I40"/>
    <mergeCell ref="J40:M40"/>
    <mergeCell ref="N40:Q40"/>
    <mergeCell ref="CE1:CH1"/>
    <mergeCell ref="AB3:AF3"/>
    <mergeCell ref="AG3:AK3"/>
    <mergeCell ref="AL3:AP3"/>
    <mergeCell ref="AQ3:AU3"/>
    <mergeCell ref="AV3:AZ3"/>
    <mergeCell ref="BA3:BE3"/>
    <mergeCell ref="BF3:BJ3"/>
    <mergeCell ref="BK3:BO3"/>
    <mergeCell ref="CE2:CH2"/>
    <mergeCell ref="J37:M37"/>
    <mergeCell ref="N37:Q37"/>
    <mergeCell ref="B41:I41"/>
    <mergeCell ref="B36:I36"/>
    <mergeCell ref="J36:M36"/>
    <mergeCell ref="N36:Q36"/>
    <mergeCell ref="AW4:AZ4"/>
    <mergeCell ref="J26:M26"/>
    <mergeCell ref="R35:T35"/>
    <mergeCell ref="C25:I25"/>
    <mergeCell ref="AF24:AI24"/>
    <mergeCell ref="R24:T24"/>
    <mergeCell ref="R23:T23"/>
    <mergeCell ref="N24:Q24"/>
    <mergeCell ref="U25:X25"/>
    <mergeCell ref="Y25:AB25"/>
    <mergeCell ref="R25:T25"/>
    <mergeCell ref="J24:M24"/>
    <mergeCell ref="J25:M25"/>
    <mergeCell ref="J23:M23"/>
    <mergeCell ref="Y27:AB27"/>
    <mergeCell ref="U27:X27"/>
    <mergeCell ref="U26:X26"/>
    <mergeCell ref="Y26:AB26"/>
    <mergeCell ref="C24:I24"/>
    <mergeCell ref="E23:I23"/>
    <mergeCell ref="Y22:AB22"/>
    <mergeCell ref="Y20:AB20"/>
    <mergeCell ref="Y21:AB21"/>
    <mergeCell ref="N21:Q21"/>
    <mergeCell ref="N25:Q25"/>
    <mergeCell ref="U23:X23"/>
    <mergeCell ref="Y23:AB23"/>
    <mergeCell ref="U24:X24"/>
    <mergeCell ref="Y24:AB24"/>
    <mergeCell ref="B45:I45"/>
    <mergeCell ref="J45:M45"/>
    <mergeCell ref="N45:Q45"/>
    <mergeCell ref="R45:T45"/>
    <mergeCell ref="N26:Q26"/>
    <mergeCell ref="B44:I44"/>
    <mergeCell ref="J44:M44"/>
    <mergeCell ref="N44:Q44"/>
    <mergeCell ref="R44:T44"/>
    <mergeCell ref="B43:I43"/>
    <mergeCell ref="J43:M43"/>
    <mergeCell ref="N43:Q43"/>
    <mergeCell ref="R43:T43"/>
    <mergeCell ref="C27:I27"/>
    <mergeCell ref="J27:M27"/>
    <mergeCell ref="N27:Q27"/>
    <mergeCell ref="C26:I26"/>
    <mergeCell ref="B37:I37"/>
    <mergeCell ref="B35:I35"/>
    <mergeCell ref="B42:I42"/>
    <mergeCell ref="J42:M42"/>
    <mergeCell ref="N42:Q42"/>
    <mergeCell ref="R26:T26"/>
    <mergeCell ref="R27:T27"/>
    <mergeCell ref="BJ103:BL103"/>
    <mergeCell ref="BJ102:BL102"/>
    <mergeCell ref="BJ99:BL99"/>
    <mergeCell ref="BK55:BM55"/>
    <mergeCell ref="AV64:BB64"/>
    <mergeCell ref="BC64:BF64"/>
    <mergeCell ref="AU63:BB63"/>
    <mergeCell ref="BC63:BF63"/>
    <mergeCell ref="AX61:BB61"/>
    <mergeCell ref="BC57:BF57"/>
    <mergeCell ref="BC60:BF60"/>
    <mergeCell ref="BC59:BF59"/>
    <mergeCell ref="BC55:BF55"/>
    <mergeCell ref="BC56:BF56"/>
    <mergeCell ref="AY57:BB57"/>
    <mergeCell ref="BG55:BJ55"/>
    <mergeCell ref="BG61:BJ61"/>
    <mergeCell ref="AU62:BB62"/>
    <mergeCell ref="N35:Q35"/>
    <mergeCell ref="J41:M41"/>
    <mergeCell ref="N41:Q41"/>
    <mergeCell ref="AY43:BB43"/>
    <mergeCell ref="BN41:BQ41"/>
    <mergeCell ref="BN42:BQ42"/>
    <mergeCell ref="BK43:BM43"/>
    <mergeCell ref="BK42:BM42"/>
    <mergeCell ref="BG42:BJ42"/>
    <mergeCell ref="BC41:BF41"/>
    <mergeCell ref="BC43:BF43"/>
    <mergeCell ref="J35:M35"/>
    <mergeCell ref="B39:I39"/>
    <mergeCell ref="J39:M39"/>
    <mergeCell ref="N39:Q39"/>
    <mergeCell ref="B38:I38"/>
    <mergeCell ref="J38:M38"/>
    <mergeCell ref="AY40:BB40"/>
    <mergeCell ref="BC40:BF40"/>
    <mergeCell ref="R42:T42"/>
    <mergeCell ref="R39:T39"/>
    <mergeCell ref="BN53:BQ53"/>
    <mergeCell ref="BG47:BJ47"/>
    <mergeCell ref="AV47:BB47"/>
    <mergeCell ref="BG51:BJ51"/>
    <mergeCell ref="BK51:BM51"/>
    <mergeCell ref="BG40:BJ40"/>
    <mergeCell ref="AV36:AX40"/>
    <mergeCell ref="AU33:AU61"/>
    <mergeCell ref="AV41:BB41"/>
    <mergeCell ref="BC54:BF54"/>
    <mergeCell ref="BC53:BF53"/>
    <mergeCell ref="BC45:BF45"/>
    <mergeCell ref="AY56:BB56"/>
    <mergeCell ref="AV49:BB49"/>
    <mergeCell ref="AV33:BB33"/>
    <mergeCell ref="AV34:BB34"/>
    <mergeCell ref="BC61:BF61"/>
    <mergeCell ref="AV59:BB59"/>
    <mergeCell ref="AV56:AX57"/>
    <mergeCell ref="AV55:BB55"/>
    <mergeCell ref="AV54:BB54"/>
    <mergeCell ref="AV60:BB60"/>
    <mergeCell ref="AV43:AX46"/>
    <mergeCell ref="BG33:BJ33"/>
    <mergeCell ref="N38:Q38"/>
    <mergeCell ref="R38:T38"/>
    <mergeCell ref="BC38:BF38"/>
    <mergeCell ref="BG35:BJ35"/>
    <mergeCell ref="AY36:BB36"/>
    <mergeCell ref="BC37:BF37"/>
    <mergeCell ref="BC36:BF36"/>
    <mergeCell ref="BN57:BQ57"/>
    <mergeCell ref="BN54:BQ54"/>
    <mergeCell ref="BN55:BQ55"/>
    <mergeCell ref="BN56:BQ56"/>
    <mergeCell ref="BN49:BQ49"/>
    <mergeCell ref="BN48:BQ48"/>
    <mergeCell ref="BN45:BQ45"/>
    <mergeCell ref="BG43:BJ43"/>
    <mergeCell ref="AY45:BB45"/>
    <mergeCell ref="BK53:BM53"/>
    <mergeCell ref="BK54:BM54"/>
    <mergeCell ref="BK56:BM56"/>
    <mergeCell ref="AV53:BB53"/>
    <mergeCell ref="AV48:BB48"/>
    <mergeCell ref="AY50:BB50"/>
    <mergeCell ref="AY52:BB52"/>
    <mergeCell ref="BN47:BQ47"/>
    <mergeCell ref="BN51:BQ51"/>
    <mergeCell ref="BR51:BU51"/>
    <mergeCell ref="BV51:BX51"/>
    <mergeCell ref="BK35:BM35"/>
    <mergeCell ref="BK36:BM36"/>
    <mergeCell ref="BC35:BF35"/>
    <mergeCell ref="BG36:BJ36"/>
    <mergeCell ref="BG37:BJ37"/>
    <mergeCell ref="R37:T37"/>
    <mergeCell ref="R36:T36"/>
    <mergeCell ref="BK48:BM48"/>
    <mergeCell ref="AV42:BB42"/>
    <mergeCell ref="AV35:BB35"/>
    <mergeCell ref="AY44:BB44"/>
    <mergeCell ref="BC44:BF44"/>
    <mergeCell ref="AY37:BB37"/>
    <mergeCell ref="AY38:BB38"/>
    <mergeCell ref="R40:T40"/>
    <mergeCell ref="BG44:BJ44"/>
    <mergeCell ref="BR47:BU47"/>
    <mergeCell ref="BV48:BX48"/>
    <mergeCell ref="BN38:BQ38"/>
    <mergeCell ref="BN43:BQ43"/>
    <mergeCell ref="BN44:BQ44"/>
    <mergeCell ref="BN34:BQ34"/>
    <mergeCell ref="BG38:BJ38"/>
    <mergeCell ref="BN35:BQ35"/>
    <mergeCell ref="BN36:BQ36"/>
    <mergeCell ref="BN37:BQ37"/>
    <mergeCell ref="BG34:BJ34"/>
    <mergeCell ref="BK34:BM34"/>
    <mergeCell ref="BV35:BX35"/>
    <mergeCell ref="BR36:BU36"/>
    <mergeCell ref="BV36:BX36"/>
    <mergeCell ref="BR37:BU37"/>
    <mergeCell ref="BV37:BX37"/>
    <mergeCell ref="BR34:BU34"/>
    <mergeCell ref="E22:I22"/>
    <mergeCell ref="U20:X20"/>
    <mergeCell ref="R20:T20"/>
    <mergeCell ref="U19:X19"/>
    <mergeCell ref="U21:X21"/>
    <mergeCell ref="E19:I19"/>
    <mergeCell ref="E20:I20"/>
    <mergeCell ref="J19:M19"/>
    <mergeCell ref="J20:M20"/>
    <mergeCell ref="N20:Q20"/>
    <mergeCell ref="J22:M22"/>
    <mergeCell ref="N22:Q22"/>
    <mergeCell ref="J21:M21"/>
    <mergeCell ref="N19:Q19"/>
    <mergeCell ref="R22:T22"/>
    <mergeCell ref="U22:X22"/>
    <mergeCell ref="BG57:BJ57"/>
    <mergeCell ref="AJ23:AM23"/>
    <mergeCell ref="AF23:AI23"/>
    <mergeCell ref="AC23:AE23"/>
    <mergeCell ref="AC25:AE25"/>
    <mergeCell ref="AC24:AE24"/>
    <mergeCell ref="AC20:AE20"/>
    <mergeCell ref="AJ25:AM25"/>
    <mergeCell ref="AN25:AP25"/>
    <mergeCell ref="AF25:AI25"/>
    <mergeCell ref="AN24:AP24"/>
    <mergeCell ref="AN23:AP23"/>
    <mergeCell ref="AF21:AI21"/>
    <mergeCell ref="BG48:BJ48"/>
    <mergeCell ref="BG41:BJ41"/>
    <mergeCell ref="AU28:AU31"/>
    <mergeCell ref="AV29:BB29"/>
    <mergeCell ref="BC30:BF30"/>
    <mergeCell ref="BG54:BJ54"/>
    <mergeCell ref="BC34:BF34"/>
    <mergeCell ref="BV59:BX59"/>
    <mergeCell ref="BN59:BQ59"/>
    <mergeCell ref="BR60:BU60"/>
    <mergeCell ref="BV60:BX60"/>
    <mergeCell ref="BG59:BJ59"/>
    <mergeCell ref="BG60:BJ60"/>
    <mergeCell ref="R14:T14"/>
    <mergeCell ref="BR54:BU54"/>
    <mergeCell ref="BR56:BU56"/>
    <mergeCell ref="BV56:BX56"/>
    <mergeCell ref="BR57:BU57"/>
    <mergeCell ref="BV57:BX57"/>
    <mergeCell ref="BV54:BX54"/>
    <mergeCell ref="BR55:BU55"/>
    <mergeCell ref="BV55:BX55"/>
    <mergeCell ref="BR53:BU53"/>
    <mergeCell ref="BV53:BX53"/>
    <mergeCell ref="BV49:BX49"/>
    <mergeCell ref="Y16:AB16"/>
    <mergeCell ref="Y17:AB17"/>
    <mergeCell ref="BG53:BJ53"/>
    <mergeCell ref="U18:X18"/>
    <mergeCell ref="R19:T19"/>
    <mergeCell ref="R21:T21"/>
    <mergeCell ref="BV64:BX64"/>
    <mergeCell ref="BR61:BU61"/>
    <mergeCell ref="BV61:BX61"/>
    <mergeCell ref="BN62:BX62"/>
    <mergeCell ref="BN64:BQ64"/>
    <mergeCell ref="BN61:BQ61"/>
    <mergeCell ref="BN63:BQ63"/>
    <mergeCell ref="BR63:BU63"/>
    <mergeCell ref="BG63:BJ63"/>
    <mergeCell ref="BC62:BM62"/>
    <mergeCell ref="BK61:BM61"/>
    <mergeCell ref="BK63:BM63"/>
    <mergeCell ref="BV63:BX63"/>
    <mergeCell ref="BG64:BJ64"/>
    <mergeCell ref="BK64:BM64"/>
    <mergeCell ref="BR48:BU48"/>
    <mergeCell ref="AF20:AI20"/>
    <mergeCell ref="AC21:AE21"/>
    <mergeCell ref="AN20:AP20"/>
    <mergeCell ref="BR64:BU64"/>
    <mergeCell ref="BK59:BM59"/>
    <mergeCell ref="BK60:BM60"/>
    <mergeCell ref="BN60:BQ60"/>
    <mergeCell ref="BR59:BU59"/>
    <mergeCell ref="BG56:BJ56"/>
    <mergeCell ref="BK45:BM45"/>
    <mergeCell ref="BK37:BM37"/>
    <mergeCell ref="BK38:BM38"/>
    <mergeCell ref="BK41:BM41"/>
    <mergeCell ref="AJ27:AM27"/>
    <mergeCell ref="AN27:AP27"/>
    <mergeCell ref="BG45:BJ45"/>
    <mergeCell ref="AJ26:AM26"/>
    <mergeCell ref="AN26:AP26"/>
    <mergeCell ref="AJ24:AM24"/>
    <mergeCell ref="BG30:BJ30"/>
    <mergeCell ref="BN30:BQ30"/>
    <mergeCell ref="BR35:BU35"/>
    <mergeCell ref="BK57:BM57"/>
    <mergeCell ref="BV19:BX19"/>
    <mergeCell ref="BR19:BU19"/>
    <mergeCell ref="BV24:BX24"/>
    <mergeCell ref="AF17:AI17"/>
    <mergeCell ref="AV30:BB30"/>
    <mergeCell ref="BK31:BM31"/>
    <mergeCell ref="AU32:BB32"/>
    <mergeCell ref="BV38:BX38"/>
    <mergeCell ref="BR41:BU41"/>
    <mergeCell ref="BV41:BX41"/>
    <mergeCell ref="BR38:BU38"/>
    <mergeCell ref="BK33:BM33"/>
    <mergeCell ref="BC31:BF31"/>
    <mergeCell ref="BG31:BJ31"/>
    <mergeCell ref="AX31:BB31"/>
    <mergeCell ref="BN31:BQ31"/>
    <mergeCell ref="BR33:BU33"/>
    <mergeCell ref="BV33:BX33"/>
    <mergeCell ref="BN33:BQ33"/>
    <mergeCell ref="AJ17:AM17"/>
    <mergeCell ref="AF19:AI19"/>
    <mergeCell ref="BN32:BX32"/>
    <mergeCell ref="BN27:BX27"/>
    <mergeCell ref="BN28:BQ28"/>
    <mergeCell ref="BR26:BU26"/>
    <mergeCell ref="AV21:BB21"/>
    <mergeCell ref="AC22:AE22"/>
    <mergeCell ref="BV30:BX30"/>
    <mergeCell ref="BR31:BU31"/>
    <mergeCell ref="BV31:BX31"/>
    <mergeCell ref="AC27:AE27"/>
    <mergeCell ref="AF26:AI26"/>
    <mergeCell ref="AN22:AP22"/>
    <mergeCell ref="AF22:AI22"/>
    <mergeCell ref="AJ22:AM22"/>
    <mergeCell ref="BR30:BU30"/>
    <mergeCell ref="BK30:BM30"/>
    <mergeCell ref="BG29:BJ29"/>
    <mergeCell ref="BC29:BF29"/>
    <mergeCell ref="AF27:AI27"/>
    <mergeCell ref="AC26:AE26"/>
    <mergeCell ref="AJ10:AM10"/>
    <mergeCell ref="AV10:BB10"/>
    <mergeCell ref="AN10:AP10"/>
    <mergeCell ref="BG11:BJ11"/>
    <mergeCell ref="BK11:BM11"/>
    <mergeCell ref="BN11:BQ11"/>
    <mergeCell ref="BR11:BU11"/>
    <mergeCell ref="BN14:BQ14"/>
    <mergeCell ref="BR14:BU14"/>
    <mergeCell ref="BV25:BX25"/>
    <mergeCell ref="BN24:BQ24"/>
    <mergeCell ref="BN26:BQ26"/>
    <mergeCell ref="AJ19:AM19"/>
    <mergeCell ref="AJ18:AM18"/>
    <mergeCell ref="AN18:AP18"/>
    <mergeCell ref="AJ20:AM20"/>
    <mergeCell ref="BR24:BU24"/>
    <mergeCell ref="AJ21:AM21"/>
    <mergeCell ref="AN21:AP21"/>
    <mergeCell ref="BK26:BM26"/>
    <mergeCell ref="BN19:BQ19"/>
    <mergeCell ref="BC19:BF19"/>
    <mergeCell ref="BR18:BU18"/>
    <mergeCell ref="BV18:BX18"/>
    <mergeCell ref="BR20:BU20"/>
    <mergeCell ref="BV20:BX20"/>
    <mergeCell ref="BV26:BX26"/>
    <mergeCell ref="AV19:BB19"/>
    <mergeCell ref="BR23:BU23"/>
    <mergeCell ref="BN23:BQ23"/>
    <mergeCell ref="AV23:BB23"/>
    <mergeCell ref="AU10:AU26"/>
    <mergeCell ref="BR25:BU25"/>
    <mergeCell ref="AJ14:AM14"/>
    <mergeCell ref="AJ15:AM15"/>
    <mergeCell ref="AN15:AP15"/>
    <mergeCell ref="AV11:BB11"/>
    <mergeCell ref="Y13:AB13"/>
    <mergeCell ref="Y11:AB11"/>
    <mergeCell ref="AC11:AE11"/>
    <mergeCell ref="AC14:AE14"/>
    <mergeCell ref="AN14:AP14"/>
    <mergeCell ref="AC12:AE12"/>
    <mergeCell ref="AF12:AI12"/>
    <mergeCell ref="AC15:AE15"/>
    <mergeCell ref="AF15:AI15"/>
    <mergeCell ref="AJ11:AM11"/>
    <mergeCell ref="BR9:BU9"/>
    <mergeCell ref="BR10:BU10"/>
    <mergeCell ref="BR12:BU12"/>
    <mergeCell ref="BK9:BM9"/>
    <mergeCell ref="BK10:BM10"/>
    <mergeCell ref="BN9:BQ9"/>
    <mergeCell ref="BC9:BF9"/>
    <mergeCell ref="BG22:BJ22"/>
    <mergeCell ref="BK22:BM22"/>
    <mergeCell ref="BN12:BQ12"/>
    <mergeCell ref="BR22:BU22"/>
    <mergeCell ref="BN10:BQ10"/>
    <mergeCell ref="BC10:BF10"/>
    <mergeCell ref="BC12:BF12"/>
    <mergeCell ref="BG10:BJ10"/>
    <mergeCell ref="BG12:BJ12"/>
    <mergeCell ref="BK12:BM12"/>
    <mergeCell ref="BC11:BF11"/>
    <mergeCell ref="BN18:BQ18"/>
    <mergeCell ref="BN20:BQ20"/>
    <mergeCell ref="BN22:BQ22"/>
    <mergeCell ref="BN17:BQ17"/>
    <mergeCell ref="BR17:BU17"/>
    <mergeCell ref="AF8:AP8"/>
    <mergeCell ref="BC33:BF33"/>
    <mergeCell ref="BC47:BF47"/>
    <mergeCell ref="BC42:BF42"/>
    <mergeCell ref="BK44:BM44"/>
    <mergeCell ref="BK47:BM47"/>
    <mergeCell ref="BK28:BM28"/>
    <mergeCell ref="BK23:BM23"/>
    <mergeCell ref="BG19:BJ19"/>
    <mergeCell ref="BG18:BJ18"/>
    <mergeCell ref="BG20:BJ20"/>
    <mergeCell ref="BG23:BJ23"/>
    <mergeCell ref="BK19:BM19"/>
    <mergeCell ref="BG28:BJ28"/>
    <mergeCell ref="BK25:BM25"/>
    <mergeCell ref="BK18:BM18"/>
    <mergeCell ref="BC23:BF23"/>
    <mergeCell ref="BC8:BM8"/>
    <mergeCell ref="BG9:BJ9"/>
    <mergeCell ref="BC22:BF22"/>
    <mergeCell ref="AF10:AI10"/>
    <mergeCell ref="AV12:BB12"/>
    <mergeCell ref="AN11:AP11"/>
    <mergeCell ref="AV18:BB18"/>
    <mergeCell ref="BV10:BX10"/>
    <mergeCell ref="AN17:AP17"/>
    <mergeCell ref="AN12:AP12"/>
    <mergeCell ref="C21:D23"/>
    <mergeCell ref="Y12:AB12"/>
    <mergeCell ref="AF11:AI11"/>
    <mergeCell ref="U12:X12"/>
    <mergeCell ref="AJ12:AM12"/>
    <mergeCell ref="AV22:BB22"/>
    <mergeCell ref="BC18:BF18"/>
    <mergeCell ref="U15:X15"/>
    <mergeCell ref="AJ16:AM16"/>
    <mergeCell ref="AC16:AE16"/>
    <mergeCell ref="AV20:BB20"/>
    <mergeCell ref="BC20:BF20"/>
    <mergeCell ref="R11:T11"/>
    <mergeCell ref="U11:X11"/>
    <mergeCell ref="U14:X14"/>
    <mergeCell ref="AN13:AP13"/>
    <mergeCell ref="AC13:AE13"/>
    <mergeCell ref="AF13:AI13"/>
    <mergeCell ref="AJ13:AM13"/>
    <mergeCell ref="AF14:AI14"/>
    <mergeCell ref="R12:T12"/>
    <mergeCell ref="BC49:BF49"/>
    <mergeCell ref="BG49:BJ49"/>
    <mergeCell ref="BC32:BM32"/>
    <mergeCell ref="BK49:BM49"/>
    <mergeCell ref="BC48:BF48"/>
    <mergeCell ref="AV28:BB28"/>
    <mergeCell ref="BK29:BM29"/>
    <mergeCell ref="AF16:AI16"/>
    <mergeCell ref="AN16:AP16"/>
    <mergeCell ref="AV17:BB17"/>
    <mergeCell ref="BC17:BF17"/>
    <mergeCell ref="BG17:BJ17"/>
    <mergeCell ref="BK17:BM17"/>
    <mergeCell ref="BK40:BM40"/>
    <mergeCell ref="AN19:AP19"/>
    <mergeCell ref="C18:I18"/>
    <mergeCell ref="BK20:BM20"/>
    <mergeCell ref="AV25:BB25"/>
    <mergeCell ref="AU27:BB27"/>
    <mergeCell ref="AX26:BB26"/>
    <mergeCell ref="AV24:BB24"/>
    <mergeCell ref="BK24:BM24"/>
    <mergeCell ref="BG24:BJ24"/>
    <mergeCell ref="BC26:BF26"/>
    <mergeCell ref="BG25:BJ25"/>
    <mergeCell ref="BC24:BF24"/>
    <mergeCell ref="BC25:BF25"/>
    <mergeCell ref="BG26:BJ26"/>
    <mergeCell ref="BC27:BM27"/>
    <mergeCell ref="AF18:AI18"/>
    <mergeCell ref="Y19:AB19"/>
    <mergeCell ref="Y18:AB18"/>
    <mergeCell ref="AC19:AE19"/>
    <mergeCell ref="R18:T18"/>
    <mergeCell ref="N18:Q18"/>
    <mergeCell ref="N23:Q23"/>
    <mergeCell ref="AC18:AE18"/>
    <mergeCell ref="C19:D20"/>
    <mergeCell ref="E21:I21"/>
    <mergeCell ref="J17:M17"/>
    <mergeCell ref="J14:M14"/>
    <mergeCell ref="E11:I11"/>
    <mergeCell ref="E14:I14"/>
    <mergeCell ref="E15:I15"/>
    <mergeCell ref="E16:I16"/>
    <mergeCell ref="AC17:AE17"/>
    <mergeCell ref="R17:T17"/>
    <mergeCell ref="U17:X17"/>
    <mergeCell ref="U16:X16"/>
    <mergeCell ref="R13:T13"/>
    <mergeCell ref="J11:M11"/>
    <mergeCell ref="J16:M16"/>
    <mergeCell ref="N14:Q14"/>
    <mergeCell ref="N16:Q16"/>
    <mergeCell ref="R16:T16"/>
    <mergeCell ref="U13:X13"/>
    <mergeCell ref="Y14:AB14"/>
    <mergeCell ref="Y15:AB15"/>
    <mergeCell ref="J8:T8"/>
    <mergeCell ref="J9:M9"/>
    <mergeCell ref="N9:Q9"/>
    <mergeCell ref="R9:T9"/>
    <mergeCell ref="R10:T10"/>
    <mergeCell ref="AC10:AE10"/>
    <mergeCell ref="R15:T15"/>
    <mergeCell ref="J15:M15"/>
    <mergeCell ref="N15:Q15"/>
    <mergeCell ref="U10:X10"/>
    <mergeCell ref="Y10:AB10"/>
    <mergeCell ref="B1:D1"/>
    <mergeCell ref="J10:M10"/>
    <mergeCell ref="B10:B18"/>
    <mergeCell ref="E10:I10"/>
    <mergeCell ref="N10:Q10"/>
    <mergeCell ref="J18:M18"/>
    <mergeCell ref="C10:D13"/>
    <mergeCell ref="C14:D17"/>
    <mergeCell ref="E12:I12"/>
    <mergeCell ref="E13:I13"/>
    <mergeCell ref="N11:Q11"/>
    <mergeCell ref="N12:Q12"/>
    <mergeCell ref="J12:M12"/>
    <mergeCell ref="J13:M13"/>
    <mergeCell ref="N13:Q13"/>
    <mergeCell ref="B4:F4"/>
    <mergeCell ref="J4:P4"/>
    <mergeCell ref="Q4:U4"/>
    <mergeCell ref="U8:AE8"/>
    <mergeCell ref="AC9:AE9"/>
    <mergeCell ref="U9:X9"/>
    <mergeCell ref="Y9:AB9"/>
    <mergeCell ref="E17:I17"/>
    <mergeCell ref="N17:Q17"/>
    <mergeCell ref="B3:F3"/>
    <mergeCell ref="G3:I3"/>
    <mergeCell ref="J3:P3"/>
    <mergeCell ref="Q3:U3"/>
    <mergeCell ref="V3:Z3"/>
    <mergeCell ref="B8:I9"/>
    <mergeCell ref="AN9:AP9"/>
    <mergeCell ref="BN8:BX8"/>
    <mergeCell ref="BV9:BX9"/>
    <mergeCell ref="AJ9:AM9"/>
    <mergeCell ref="V4:Z4"/>
    <mergeCell ref="AU8:BB9"/>
    <mergeCell ref="AF9:AI9"/>
    <mergeCell ref="B5:F5"/>
    <mergeCell ref="J5:P5"/>
    <mergeCell ref="Q5:U5"/>
    <mergeCell ref="V5:Z5"/>
    <mergeCell ref="BL4:BO4"/>
    <mergeCell ref="G5:I5"/>
    <mergeCell ref="AB4:AF4"/>
    <mergeCell ref="G4:I4"/>
    <mergeCell ref="AH4:AK4"/>
    <mergeCell ref="AM4:AP4"/>
    <mergeCell ref="AR4:AU4"/>
    <mergeCell ref="BV11:BX11"/>
    <mergeCell ref="AV13:BB13"/>
    <mergeCell ref="BC13:BF13"/>
    <mergeCell ref="BG13:BJ13"/>
    <mergeCell ref="BK13:BM13"/>
    <mergeCell ref="BN13:BQ13"/>
    <mergeCell ref="BR13:BU13"/>
    <mergeCell ref="BV13:BX13"/>
    <mergeCell ref="BV12:BX12"/>
    <mergeCell ref="BV14:BX14"/>
    <mergeCell ref="AV15:BB15"/>
    <mergeCell ref="BC15:BF15"/>
    <mergeCell ref="BG15:BJ15"/>
    <mergeCell ref="BK15:BM15"/>
    <mergeCell ref="BN15:BQ15"/>
    <mergeCell ref="BR15:BU15"/>
    <mergeCell ref="BV15:BX15"/>
    <mergeCell ref="AV16:BB16"/>
    <mergeCell ref="BC16:BF16"/>
    <mergeCell ref="BG16:BJ16"/>
    <mergeCell ref="BK16:BM16"/>
    <mergeCell ref="BN16:BQ16"/>
    <mergeCell ref="BR16:BU16"/>
    <mergeCell ref="BV16:BX16"/>
    <mergeCell ref="AV14:BB14"/>
    <mergeCell ref="BC14:BF14"/>
    <mergeCell ref="BG14:BJ14"/>
    <mergeCell ref="BK14:BM14"/>
    <mergeCell ref="BV17:BX17"/>
    <mergeCell ref="BC21:BF21"/>
    <mergeCell ref="BG21:BJ21"/>
    <mergeCell ref="BK21:BM21"/>
    <mergeCell ref="BN21:BQ21"/>
    <mergeCell ref="BR21:BU21"/>
    <mergeCell ref="BV21:BX21"/>
    <mergeCell ref="AY39:BB39"/>
    <mergeCell ref="BC39:BF39"/>
    <mergeCell ref="BG39:BJ39"/>
    <mergeCell ref="BK39:BM39"/>
    <mergeCell ref="BN39:BQ39"/>
    <mergeCell ref="BR39:BU39"/>
    <mergeCell ref="BV39:BX39"/>
    <mergeCell ref="BV22:BX22"/>
    <mergeCell ref="BV23:BX23"/>
    <mergeCell ref="BR28:BU28"/>
    <mergeCell ref="BN29:BQ29"/>
    <mergeCell ref="BN25:BQ25"/>
    <mergeCell ref="BV29:BX29"/>
    <mergeCell ref="BR29:BU29"/>
    <mergeCell ref="BV28:BX28"/>
    <mergeCell ref="BC28:BF28"/>
    <mergeCell ref="BV34:BX34"/>
    <mergeCell ref="BN40:BQ40"/>
    <mergeCell ref="BR40:BU40"/>
    <mergeCell ref="BV40:BX40"/>
    <mergeCell ref="AY46:BB46"/>
    <mergeCell ref="BC46:BF46"/>
    <mergeCell ref="BG46:BJ46"/>
    <mergeCell ref="BK46:BM46"/>
    <mergeCell ref="BN46:BQ46"/>
    <mergeCell ref="BR46:BU46"/>
    <mergeCell ref="BV46:BX46"/>
    <mergeCell ref="BV44:BX44"/>
    <mergeCell ref="BR45:BU45"/>
    <mergeCell ref="BV45:BX45"/>
    <mergeCell ref="BR42:BU42"/>
    <mergeCell ref="BV42:BX42"/>
    <mergeCell ref="BR43:BU43"/>
    <mergeCell ref="BV43:BX43"/>
    <mergeCell ref="BR44:BU44"/>
    <mergeCell ref="BR49:BU49"/>
    <mergeCell ref="BV47:BX47"/>
    <mergeCell ref="BC52:BF52"/>
    <mergeCell ref="BG52:BJ52"/>
    <mergeCell ref="BK52:BM52"/>
    <mergeCell ref="BN52:BQ52"/>
    <mergeCell ref="BR52:BU52"/>
    <mergeCell ref="BV52:BX52"/>
    <mergeCell ref="AV58:BB58"/>
    <mergeCell ref="BC58:BF58"/>
    <mergeCell ref="BG58:BJ58"/>
    <mergeCell ref="BK58:BM58"/>
    <mergeCell ref="BN58:BQ58"/>
    <mergeCell ref="BR58:BU58"/>
    <mergeCell ref="BV58:BX58"/>
    <mergeCell ref="AV50:AX52"/>
    <mergeCell ref="BC50:BF50"/>
    <mergeCell ref="BG50:BJ50"/>
    <mergeCell ref="BK50:BM50"/>
    <mergeCell ref="BN50:BQ50"/>
    <mergeCell ref="BR50:BU50"/>
    <mergeCell ref="BV50:BX50"/>
    <mergeCell ref="AY51:BB51"/>
    <mergeCell ref="BC51:BF51"/>
  </mergeCells>
  <phoneticPr fontId="2"/>
  <printOptions horizontalCentered="1"/>
  <pageMargins left="0" right="0" top="1.1811023622047245" bottom="0.19685039370078741" header="0.31496062992125984" footer="0.19685039370078741"/>
  <pageSetup paperSize="9" scale="63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T74"/>
  <sheetViews>
    <sheetView workbookViewId="0">
      <selection activeCell="K20" sqref="K20"/>
    </sheetView>
  </sheetViews>
  <sheetFormatPr defaultColWidth="10.140625" defaultRowHeight="13.5"/>
  <cols>
    <col min="1" max="1" width="19.28515625" style="75" bestFit="1" customWidth="1"/>
    <col min="2" max="2" width="10.140625" style="75"/>
    <col min="3" max="3" width="9" style="75" customWidth="1"/>
    <col min="4" max="4" width="19.28515625" style="75" bestFit="1" customWidth="1"/>
    <col min="5" max="5" width="10.140625" style="75"/>
    <col min="6" max="6" width="9" style="75" customWidth="1"/>
    <col min="7" max="7" width="22.140625" style="75" bestFit="1" customWidth="1"/>
    <col min="8" max="8" width="10.140625" style="75"/>
    <col min="9" max="9" width="9" style="75" customWidth="1"/>
    <col min="10" max="10" width="15.85546875" style="75" bestFit="1" customWidth="1"/>
    <col min="11" max="11" width="10.140625" style="75"/>
    <col min="12" max="12" width="9" style="75" customWidth="1"/>
    <col min="13" max="13" width="18.42578125" style="75" bestFit="1" customWidth="1"/>
    <col min="14" max="14" width="10.140625" style="75"/>
    <col min="15" max="15" width="9" style="75" customWidth="1"/>
    <col min="16" max="16" width="18.7109375" style="75" bestFit="1" customWidth="1"/>
    <col min="17" max="17" width="10.140625" style="75"/>
    <col min="18" max="18" width="9" style="75" customWidth="1"/>
    <col min="19" max="19" width="18.42578125" style="75" bestFit="1" customWidth="1"/>
    <col min="20" max="16384" width="10.140625" style="75"/>
  </cols>
  <sheetData>
    <row r="2" spans="1:20">
      <c r="A2" s="98" t="s">
        <v>347</v>
      </c>
      <c r="B2" s="98" t="s">
        <v>436</v>
      </c>
      <c r="D2" s="76" t="s">
        <v>343</v>
      </c>
      <c r="E2" s="76" t="s">
        <v>348</v>
      </c>
      <c r="G2" s="78" t="s">
        <v>349</v>
      </c>
      <c r="H2" s="78" t="s">
        <v>348</v>
      </c>
      <c r="J2" s="75" t="s">
        <v>437</v>
      </c>
      <c r="M2" s="79" t="s">
        <v>351</v>
      </c>
      <c r="N2" s="80" t="s">
        <v>352</v>
      </c>
      <c r="P2" s="81" t="s">
        <v>353</v>
      </c>
      <c r="Q2" s="82" t="s">
        <v>352</v>
      </c>
      <c r="S2" s="83" t="s">
        <v>354</v>
      </c>
      <c r="T2" s="84" t="s">
        <v>352</v>
      </c>
    </row>
    <row r="3" spans="1:20">
      <c r="A3" s="98" t="s">
        <v>414</v>
      </c>
      <c r="B3" s="98">
        <v>0</v>
      </c>
      <c r="D3" s="76" t="s">
        <v>350</v>
      </c>
      <c r="E3" s="76">
        <v>80</v>
      </c>
      <c r="G3" s="78" t="s">
        <v>356</v>
      </c>
      <c r="H3" s="78">
        <v>1</v>
      </c>
      <c r="J3" s="85" t="s">
        <v>438</v>
      </c>
      <c r="K3" s="85" t="s">
        <v>352</v>
      </c>
      <c r="M3" s="79" t="s">
        <v>357</v>
      </c>
      <c r="N3" s="80">
        <v>0</v>
      </c>
      <c r="P3" s="81" t="s">
        <v>358</v>
      </c>
      <c r="Q3" s="82">
        <v>1</v>
      </c>
      <c r="S3" s="83" t="s">
        <v>359</v>
      </c>
      <c r="T3" s="84">
        <v>1</v>
      </c>
    </row>
    <row r="4" spans="1:20">
      <c r="A4" s="98" t="s">
        <v>415</v>
      </c>
      <c r="B4" s="98">
        <v>60</v>
      </c>
      <c r="D4" s="76"/>
      <c r="E4" s="76"/>
      <c r="G4" s="78"/>
      <c r="H4" s="78"/>
      <c r="J4" s="99" t="s">
        <v>453</v>
      </c>
      <c r="K4" s="99">
        <v>0</v>
      </c>
      <c r="M4" s="79" t="s">
        <v>361</v>
      </c>
      <c r="N4" s="80">
        <v>1</v>
      </c>
      <c r="P4" s="81" t="s">
        <v>362</v>
      </c>
      <c r="Q4" s="82">
        <v>2</v>
      </c>
      <c r="S4" s="83" t="s">
        <v>363</v>
      </c>
      <c r="T4" s="84">
        <v>2</v>
      </c>
    </row>
    <row r="5" spans="1:20">
      <c r="A5" s="98" t="s">
        <v>412</v>
      </c>
      <c r="B5" s="98">
        <v>1</v>
      </c>
      <c r="D5" s="76"/>
      <c r="E5" s="76"/>
      <c r="G5" s="78"/>
      <c r="H5" s="78"/>
      <c r="J5" s="85" t="s">
        <v>439</v>
      </c>
      <c r="K5" s="85">
        <v>1</v>
      </c>
      <c r="M5" s="79" t="s">
        <v>365</v>
      </c>
      <c r="N5" s="80">
        <v>2</v>
      </c>
      <c r="P5" s="86"/>
      <c r="Q5" s="86"/>
      <c r="S5" s="86"/>
      <c r="T5" s="86"/>
    </row>
    <row r="6" spans="1:20">
      <c r="A6" s="98" t="s">
        <v>416</v>
      </c>
      <c r="B6" s="98">
        <v>61</v>
      </c>
      <c r="D6" s="76"/>
      <c r="E6" s="76"/>
      <c r="G6" s="78"/>
      <c r="H6" s="78"/>
      <c r="J6" s="85" t="s">
        <v>440</v>
      </c>
      <c r="K6" s="85">
        <v>2</v>
      </c>
      <c r="M6" s="79" t="s">
        <v>367</v>
      </c>
      <c r="N6" s="80">
        <v>3</v>
      </c>
      <c r="P6" s="86"/>
      <c r="Q6" s="82" t="s">
        <v>348</v>
      </c>
      <c r="S6" s="86"/>
      <c r="T6" s="84" t="s">
        <v>348</v>
      </c>
    </row>
    <row r="7" spans="1:20">
      <c r="A7" s="98" t="s">
        <v>417</v>
      </c>
      <c r="B7" s="98">
        <v>62</v>
      </c>
      <c r="D7" s="76"/>
      <c r="E7" s="76"/>
      <c r="G7" s="78" t="s">
        <v>369</v>
      </c>
      <c r="H7" s="78">
        <v>2</v>
      </c>
      <c r="J7" s="85" t="s">
        <v>441</v>
      </c>
      <c r="K7" s="85">
        <v>3</v>
      </c>
      <c r="M7" s="79" t="s">
        <v>370</v>
      </c>
      <c r="N7" s="87">
        <v>4</v>
      </c>
      <c r="P7" s="86"/>
      <c r="Q7" s="82" t="str">
        <f>"="&amp;No.1!BF4</f>
        <v>=</v>
      </c>
      <c r="S7" s="86"/>
      <c r="T7" s="84" t="str">
        <f>"="&amp;No.1!AL4</f>
        <v>=</v>
      </c>
    </row>
    <row r="8" spans="1:20">
      <c r="A8" s="98" t="s">
        <v>418</v>
      </c>
      <c r="B8" s="98">
        <v>63</v>
      </c>
      <c r="D8" s="76"/>
      <c r="E8" s="76"/>
      <c r="J8" s="85" t="s">
        <v>442</v>
      </c>
      <c r="K8" s="85">
        <v>4</v>
      </c>
      <c r="M8" s="86"/>
      <c r="N8" s="86"/>
    </row>
    <row r="9" spans="1:20">
      <c r="A9" s="98" t="s">
        <v>419</v>
      </c>
      <c r="B9" s="98">
        <v>67</v>
      </c>
      <c r="D9" s="76"/>
      <c r="E9" s="76"/>
      <c r="H9" s="78" t="s">
        <v>348</v>
      </c>
      <c r="J9" s="85" t="s">
        <v>443</v>
      </c>
      <c r="K9" s="85">
        <v>5</v>
      </c>
      <c r="M9" s="86"/>
      <c r="N9" s="80" t="s">
        <v>348</v>
      </c>
    </row>
    <row r="10" spans="1:20">
      <c r="A10" s="98" t="s">
        <v>420</v>
      </c>
      <c r="B10" s="98">
        <v>68</v>
      </c>
      <c r="D10" s="76"/>
      <c r="E10" s="76"/>
      <c r="H10" s="88" t="str">
        <f>"="&amp;No.1!BK4</f>
        <v>=</v>
      </c>
      <c r="J10" s="85" t="s">
        <v>444</v>
      </c>
      <c r="K10" s="85">
        <v>6</v>
      </c>
      <c r="M10" s="86"/>
      <c r="N10" s="80" t="str">
        <f>"="&amp;No.1!BA4</f>
        <v>=</v>
      </c>
    </row>
    <row r="11" spans="1:20">
      <c r="A11" s="98" t="s">
        <v>421</v>
      </c>
      <c r="B11" s="98">
        <v>71</v>
      </c>
      <c r="D11" s="76"/>
      <c r="E11" s="76"/>
      <c r="J11" s="85" t="s">
        <v>445</v>
      </c>
      <c r="K11" s="85">
        <v>7</v>
      </c>
    </row>
    <row r="12" spans="1:20">
      <c r="A12" s="98" t="s">
        <v>422</v>
      </c>
      <c r="B12" s="98">
        <v>74</v>
      </c>
      <c r="D12" s="76"/>
      <c r="E12" s="76"/>
      <c r="J12" s="85" t="s">
        <v>446</v>
      </c>
      <c r="K12" s="85">
        <v>8</v>
      </c>
    </row>
    <row r="13" spans="1:20">
      <c r="A13" s="98" t="s">
        <v>423</v>
      </c>
      <c r="B13" s="98">
        <v>75</v>
      </c>
      <c r="D13" s="76"/>
      <c r="E13" s="76"/>
      <c r="J13" s="85" t="s">
        <v>447</v>
      </c>
      <c r="K13" s="85">
        <v>9</v>
      </c>
    </row>
    <row r="14" spans="1:20">
      <c r="A14" s="98" t="s">
        <v>411</v>
      </c>
      <c r="B14" s="98">
        <v>47</v>
      </c>
      <c r="J14" s="85" t="s">
        <v>448</v>
      </c>
      <c r="K14" s="85">
        <v>10</v>
      </c>
    </row>
    <row r="15" spans="1:20">
      <c r="A15" s="98" t="s">
        <v>424</v>
      </c>
      <c r="B15" s="98">
        <v>64</v>
      </c>
      <c r="E15" s="76" t="s">
        <v>348</v>
      </c>
      <c r="J15" s="85" t="s">
        <v>449</v>
      </c>
      <c r="K15" s="85">
        <v>11</v>
      </c>
    </row>
    <row r="16" spans="1:20">
      <c r="A16" s="98" t="s">
        <v>425</v>
      </c>
      <c r="B16" s="98">
        <v>65</v>
      </c>
      <c r="E16" s="89" t="str">
        <f>"="&amp;No.1!AQ4</f>
        <v>=</v>
      </c>
      <c r="J16" s="85" t="s">
        <v>451</v>
      </c>
      <c r="K16" s="85">
        <v>12</v>
      </c>
    </row>
    <row r="17" spans="1:11">
      <c r="A17" s="98" t="s">
        <v>426</v>
      </c>
      <c r="B17" s="98">
        <v>66</v>
      </c>
      <c r="J17" s="85" t="s">
        <v>450</v>
      </c>
      <c r="K17" s="85">
        <v>13</v>
      </c>
    </row>
    <row r="18" spans="1:11">
      <c r="A18" s="98" t="s">
        <v>427</v>
      </c>
      <c r="B18" s="98">
        <v>69</v>
      </c>
    </row>
    <row r="19" spans="1:11">
      <c r="A19" s="98" t="s">
        <v>428</v>
      </c>
      <c r="B19" s="98">
        <v>70</v>
      </c>
      <c r="K19" s="85" t="s">
        <v>348</v>
      </c>
    </row>
    <row r="20" spans="1:11">
      <c r="A20" s="98" t="s">
        <v>429</v>
      </c>
      <c r="B20" s="98">
        <v>72</v>
      </c>
      <c r="J20" s="77"/>
      <c r="K20" s="90" t="str">
        <f>"="&amp;No.1!AV4</f>
        <v>=</v>
      </c>
    </row>
    <row r="21" spans="1:11">
      <c r="A21" s="98" t="s">
        <v>430</v>
      </c>
      <c r="B21" s="98">
        <v>73</v>
      </c>
      <c r="J21" s="77"/>
      <c r="K21" s="77"/>
    </row>
    <row r="22" spans="1:11">
      <c r="A22" s="98" t="s">
        <v>431</v>
      </c>
      <c r="B22" s="98">
        <v>76</v>
      </c>
      <c r="J22" s="77"/>
      <c r="K22" s="77"/>
    </row>
    <row r="23" spans="1:11">
      <c r="A23" s="98" t="s">
        <v>432</v>
      </c>
      <c r="B23" s="98">
        <v>77</v>
      </c>
      <c r="J23" s="77"/>
      <c r="K23" s="77"/>
    </row>
    <row r="24" spans="1:11">
      <c r="A24" s="98" t="s">
        <v>433</v>
      </c>
      <c r="B24" s="98">
        <v>93</v>
      </c>
      <c r="J24" s="77"/>
      <c r="K24" s="77"/>
    </row>
    <row r="25" spans="1:11">
      <c r="A25" s="98" t="s">
        <v>434</v>
      </c>
      <c r="B25" s="98">
        <v>94</v>
      </c>
      <c r="J25" s="77"/>
      <c r="K25" s="77"/>
    </row>
    <row r="26" spans="1:11">
      <c r="A26" s="98" t="s">
        <v>435</v>
      </c>
      <c r="B26" s="98">
        <v>95</v>
      </c>
      <c r="J26" s="77"/>
      <c r="K26" s="77"/>
    </row>
    <row r="27" spans="1:11">
      <c r="A27" s="98" t="s">
        <v>355</v>
      </c>
      <c r="B27" s="98">
        <v>2</v>
      </c>
      <c r="J27" s="77"/>
      <c r="K27" s="77"/>
    </row>
    <row r="28" spans="1:11">
      <c r="A28" s="98" t="s">
        <v>360</v>
      </c>
      <c r="B28" s="98">
        <v>3</v>
      </c>
      <c r="J28" s="77"/>
      <c r="K28" s="77"/>
    </row>
    <row r="29" spans="1:11">
      <c r="A29" s="98" t="s">
        <v>364</v>
      </c>
      <c r="B29" s="98">
        <v>4</v>
      </c>
      <c r="J29" s="77"/>
      <c r="K29" s="77"/>
    </row>
    <row r="30" spans="1:11">
      <c r="A30" s="98" t="s">
        <v>366</v>
      </c>
      <c r="B30" s="98">
        <v>5</v>
      </c>
      <c r="J30" s="77"/>
      <c r="K30" s="77"/>
    </row>
    <row r="31" spans="1:11">
      <c r="A31" s="98" t="s">
        <v>368</v>
      </c>
      <c r="B31" s="98">
        <v>6</v>
      </c>
      <c r="J31" s="77"/>
      <c r="K31" s="77"/>
    </row>
    <row r="32" spans="1:11">
      <c r="A32" s="98" t="s">
        <v>371</v>
      </c>
      <c r="B32" s="98">
        <v>7</v>
      </c>
      <c r="J32" s="77"/>
      <c r="K32" s="77"/>
    </row>
    <row r="33" spans="1:11">
      <c r="A33" s="98" t="s">
        <v>372</v>
      </c>
      <c r="B33" s="98">
        <v>8</v>
      </c>
      <c r="J33" s="77"/>
      <c r="K33" s="77"/>
    </row>
    <row r="34" spans="1:11">
      <c r="A34" s="98" t="s">
        <v>373</v>
      </c>
      <c r="B34" s="98">
        <v>9</v>
      </c>
      <c r="J34" s="77"/>
      <c r="K34" s="77"/>
    </row>
    <row r="35" spans="1:11">
      <c r="A35" s="98" t="s">
        <v>374</v>
      </c>
      <c r="B35" s="98">
        <v>10</v>
      </c>
      <c r="J35" s="77"/>
      <c r="K35" s="77"/>
    </row>
    <row r="36" spans="1:11">
      <c r="A36" s="98" t="s">
        <v>375</v>
      </c>
      <c r="B36" s="98">
        <v>11</v>
      </c>
      <c r="J36" s="77"/>
      <c r="K36" s="77"/>
    </row>
    <row r="37" spans="1:11">
      <c r="A37" s="98" t="s">
        <v>376</v>
      </c>
      <c r="B37" s="98">
        <v>12</v>
      </c>
      <c r="J37" s="77"/>
      <c r="K37" s="77"/>
    </row>
    <row r="38" spans="1:11">
      <c r="A38" s="98" t="s">
        <v>377</v>
      </c>
      <c r="B38" s="98">
        <v>13</v>
      </c>
      <c r="J38" s="77"/>
      <c r="K38" s="77"/>
    </row>
    <row r="39" spans="1:11">
      <c r="A39" s="98" t="s">
        <v>378</v>
      </c>
      <c r="B39" s="98">
        <v>14</v>
      </c>
      <c r="J39" s="77"/>
      <c r="K39" s="77"/>
    </row>
    <row r="40" spans="1:11">
      <c r="A40" s="98" t="s">
        <v>379</v>
      </c>
      <c r="B40" s="98">
        <v>15</v>
      </c>
      <c r="J40" s="77"/>
      <c r="K40" s="77"/>
    </row>
    <row r="41" spans="1:11">
      <c r="A41" s="98" t="s">
        <v>380</v>
      </c>
      <c r="B41" s="98">
        <v>16</v>
      </c>
      <c r="J41" s="77"/>
      <c r="K41" s="77"/>
    </row>
    <row r="42" spans="1:11">
      <c r="A42" s="98" t="s">
        <v>381</v>
      </c>
      <c r="B42" s="98">
        <v>17</v>
      </c>
      <c r="J42" s="77"/>
      <c r="K42" s="77"/>
    </row>
    <row r="43" spans="1:11">
      <c r="A43" s="98" t="s">
        <v>382</v>
      </c>
      <c r="B43" s="98">
        <v>18</v>
      </c>
      <c r="J43" s="77"/>
      <c r="K43" s="77"/>
    </row>
    <row r="44" spans="1:11">
      <c r="A44" s="98" t="s">
        <v>383</v>
      </c>
      <c r="B44" s="98">
        <v>19</v>
      </c>
      <c r="J44" s="77"/>
      <c r="K44" s="77"/>
    </row>
    <row r="45" spans="1:11">
      <c r="A45" s="98" t="s">
        <v>384</v>
      </c>
      <c r="B45" s="98">
        <v>20</v>
      </c>
      <c r="J45" s="77"/>
      <c r="K45" s="77"/>
    </row>
    <row r="46" spans="1:11">
      <c r="A46" s="98" t="s">
        <v>385</v>
      </c>
      <c r="B46" s="98">
        <v>21</v>
      </c>
      <c r="J46" s="77"/>
      <c r="K46" s="77"/>
    </row>
    <row r="47" spans="1:11">
      <c r="A47" s="98" t="s">
        <v>386</v>
      </c>
      <c r="B47" s="98">
        <v>22</v>
      </c>
      <c r="J47" s="77"/>
      <c r="K47" s="77"/>
    </row>
    <row r="48" spans="1:11">
      <c r="A48" s="98" t="s">
        <v>387</v>
      </c>
      <c r="B48" s="98">
        <v>23</v>
      </c>
      <c r="J48" s="77"/>
      <c r="K48" s="77"/>
    </row>
    <row r="49" spans="1:11">
      <c r="A49" s="98" t="s">
        <v>388</v>
      </c>
      <c r="B49" s="98">
        <v>24</v>
      </c>
      <c r="J49" s="77"/>
      <c r="K49" s="77"/>
    </row>
    <row r="50" spans="1:11">
      <c r="A50" s="98" t="s">
        <v>389</v>
      </c>
      <c r="B50" s="98">
        <v>25</v>
      </c>
      <c r="J50" s="77"/>
      <c r="K50" s="77"/>
    </row>
    <row r="51" spans="1:11">
      <c r="A51" s="98" t="s">
        <v>390</v>
      </c>
      <c r="B51" s="98">
        <v>26</v>
      </c>
      <c r="J51" s="77"/>
      <c r="K51" s="77"/>
    </row>
    <row r="52" spans="1:11">
      <c r="A52" s="98" t="s">
        <v>391</v>
      </c>
      <c r="B52" s="98">
        <v>27</v>
      </c>
      <c r="J52" s="77"/>
      <c r="K52" s="77"/>
    </row>
    <row r="53" spans="1:11">
      <c r="A53" s="98" t="s">
        <v>392</v>
      </c>
      <c r="B53" s="98">
        <v>28</v>
      </c>
      <c r="J53" s="77"/>
      <c r="K53" s="77"/>
    </row>
    <row r="54" spans="1:11">
      <c r="A54" s="98" t="s">
        <v>393</v>
      </c>
      <c r="B54" s="98">
        <v>29</v>
      </c>
      <c r="J54" s="77"/>
      <c r="K54" s="77"/>
    </row>
    <row r="55" spans="1:11">
      <c r="A55" s="98" t="s">
        <v>394</v>
      </c>
      <c r="B55" s="98">
        <v>30</v>
      </c>
    </row>
    <row r="56" spans="1:11">
      <c r="A56" s="98" t="s">
        <v>395</v>
      </c>
      <c r="B56" s="98">
        <v>31</v>
      </c>
    </row>
    <row r="57" spans="1:11">
      <c r="A57" s="98" t="s">
        <v>396</v>
      </c>
      <c r="B57" s="98">
        <v>32</v>
      </c>
    </row>
    <row r="58" spans="1:11">
      <c r="A58" s="98" t="s">
        <v>397</v>
      </c>
      <c r="B58" s="98">
        <v>33</v>
      </c>
    </row>
    <row r="59" spans="1:11">
      <c r="A59" s="98" t="s">
        <v>398</v>
      </c>
      <c r="B59" s="98">
        <v>34</v>
      </c>
    </row>
    <row r="60" spans="1:11">
      <c r="A60" s="98" t="s">
        <v>399</v>
      </c>
      <c r="B60" s="98">
        <v>35</v>
      </c>
    </row>
    <row r="61" spans="1:11">
      <c r="A61" s="98" t="s">
        <v>400</v>
      </c>
      <c r="B61" s="98">
        <v>36</v>
      </c>
    </row>
    <row r="62" spans="1:11">
      <c r="A62" s="98" t="s">
        <v>401</v>
      </c>
      <c r="B62" s="98">
        <v>37</v>
      </c>
    </row>
    <row r="63" spans="1:11">
      <c r="A63" s="98" t="s">
        <v>402</v>
      </c>
      <c r="B63" s="98">
        <v>38</v>
      </c>
    </row>
    <row r="64" spans="1:11">
      <c r="A64" s="98" t="s">
        <v>403</v>
      </c>
      <c r="B64" s="98">
        <v>39</v>
      </c>
    </row>
    <row r="65" spans="1:2">
      <c r="A65" s="98" t="s">
        <v>404</v>
      </c>
      <c r="B65" s="98">
        <v>40</v>
      </c>
    </row>
    <row r="66" spans="1:2">
      <c r="A66" s="98" t="s">
        <v>405</v>
      </c>
      <c r="B66" s="98">
        <v>41</v>
      </c>
    </row>
    <row r="67" spans="1:2">
      <c r="A67" s="98" t="s">
        <v>406</v>
      </c>
      <c r="B67" s="98">
        <v>42</v>
      </c>
    </row>
    <row r="68" spans="1:2">
      <c r="A68" s="98" t="s">
        <v>407</v>
      </c>
      <c r="B68" s="98">
        <v>43</v>
      </c>
    </row>
    <row r="69" spans="1:2">
      <c r="A69" s="98" t="s">
        <v>408</v>
      </c>
      <c r="B69" s="98">
        <v>44</v>
      </c>
    </row>
    <row r="70" spans="1:2">
      <c r="A70" s="98" t="s">
        <v>409</v>
      </c>
      <c r="B70" s="98">
        <v>45</v>
      </c>
    </row>
    <row r="71" spans="1:2">
      <c r="A71" s="98" t="s">
        <v>410</v>
      </c>
      <c r="B71" s="98">
        <v>46</v>
      </c>
    </row>
    <row r="73" spans="1:2">
      <c r="B73" s="74" t="s">
        <v>348</v>
      </c>
    </row>
    <row r="74" spans="1:2">
      <c r="B74" s="91" t="str">
        <f>"="&amp;No.1!AG4</f>
        <v>=</v>
      </c>
    </row>
  </sheetData>
  <phoneticPr fontId="2"/>
  <pageMargins left="0.31496062992125984" right="0.31496062992125984" top="0.74803149606299213" bottom="0.74803149606299213" header="0.31496062992125984" footer="0.31496062992125984"/>
  <pageSetup paperSize="9" scale="5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No.1</vt:lpstr>
      <vt:lpstr>No.2</vt:lpstr>
      <vt:lpstr>No.3</vt:lpstr>
      <vt:lpstr>No.4</vt:lpstr>
      <vt:lpstr>No.5</vt:lpstr>
      <vt:lpstr>リスト</vt:lpstr>
      <vt:lpstr>No.1!Print_Area</vt:lpstr>
      <vt:lpstr>No.2!Print_Area</vt:lpstr>
      <vt:lpstr>No.3!Print_Area</vt:lpstr>
      <vt:lpstr>No.4!Print_Area</vt:lpstr>
      <vt:lpstr>No.5!Print_Area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owner</cp:lastModifiedBy>
  <cp:lastPrinted>2019-11-29T06:13:46Z</cp:lastPrinted>
  <dcterms:created xsi:type="dcterms:W3CDTF">2003-03-20T07:33:12Z</dcterms:created>
  <dcterms:modified xsi:type="dcterms:W3CDTF">2023-02-06T00:05:28Z</dcterms:modified>
</cp:coreProperties>
</file>