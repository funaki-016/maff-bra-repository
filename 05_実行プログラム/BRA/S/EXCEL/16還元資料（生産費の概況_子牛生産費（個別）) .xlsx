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ya_kojima480\Desktop\個別作業まとめ\20210312〆_No.571対応\02_作業用\"/>
    </mc:Choice>
  </mc:AlternateContent>
  <xr:revisionPtr revIDLastSave="0" documentId="13_ncr:101_{AAF0DD7E-E019-44BB-8540-65E0C886A827}" xr6:coauthVersionLast="45" xr6:coauthVersionMax="45" xr10:uidLastSave="{00000000-0000-0000-0000-000000000000}"/>
  <bookViews>
    <workbookView xWindow="6420" yWindow="1665" windowWidth="21600" windowHeight="1138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還元３!$A$1:$AI$49</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6"/>
  <c r="F65" i="26"/>
  <c r="G65" i="26"/>
  <c r="D65" i="26"/>
  <c r="Q9" i="13" l="1"/>
  <c r="Q10" i="13"/>
  <c r="Q11" i="13"/>
  <c r="Q12" i="13"/>
  <c r="Q13" i="13"/>
  <c r="Q14" i="13"/>
  <c r="Q15" i="13"/>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AF10" i="9"/>
  <c r="AF17" i="9"/>
  <c r="AF16" i="9"/>
  <c r="AF15" i="9"/>
  <c r="AF14" i="9"/>
  <c r="AF13" i="9"/>
  <c r="AF12" i="9"/>
  <c r="AF11" i="9"/>
  <c r="T17" i="9"/>
  <c r="T16" i="9"/>
  <c r="T15" i="9"/>
  <c r="T14" i="9"/>
  <c r="T13" i="9"/>
  <c r="T12" i="9"/>
  <c r="T11" i="9"/>
  <c r="T10"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F18" i="13" l="1"/>
  <c r="F17" i="13"/>
  <c r="C63" i="7" l="1"/>
  <c r="D63" i="7"/>
  <c r="B63" i="7" s="1"/>
  <c r="C64" i="7"/>
  <c r="D64" i="7"/>
  <c r="B64" i="7" s="1"/>
  <c r="B65" i="7"/>
  <c r="C65" i="7"/>
  <c r="D65" i="7"/>
  <c r="B66" i="7"/>
  <c r="C66" i="7"/>
  <c r="D66" i="7"/>
  <c r="C67" i="7"/>
  <c r="D67" i="7"/>
  <c r="B67" i="7" s="1"/>
  <c r="C68" i="7"/>
  <c r="D68" i="7"/>
  <c r="B68" i="7" s="1"/>
  <c r="B69" i="7"/>
  <c r="C69" i="7"/>
  <c r="D69" i="7"/>
  <c r="B70" i="7"/>
  <c r="C70" i="7"/>
  <c r="D70" i="7"/>
  <c r="F39" i="13" l="1"/>
  <c r="F38" i="13"/>
  <c r="F37" i="13"/>
  <c r="F36" i="13"/>
  <c r="F35" i="13"/>
  <c r="F33" i="13"/>
  <c r="F31" i="13"/>
  <c r="F30" i="13"/>
  <c r="F29" i="13"/>
  <c r="F28" i="13"/>
  <c r="F27" i="13"/>
  <c r="F26" i="13"/>
  <c r="F25" i="13"/>
  <c r="F24" i="13"/>
  <c r="F23" i="13"/>
  <c r="F22" i="13"/>
  <c r="F21" i="13"/>
  <c r="F20" i="13"/>
  <c r="F19" i="13"/>
  <c r="F16" i="13"/>
  <c r="F15" i="13"/>
  <c r="F14" i="13"/>
  <c r="F13" i="13"/>
  <c r="F12" i="13"/>
  <c r="F11" i="13"/>
  <c r="F10" i="13"/>
  <c r="F9" i="13"/>
  <c r="F34" i="13" l="1"/>
  <c r="F32" i="13"/>
</calcChain>
</file>

<file path=xl/sharedStrings.xml><?xml version="1.0" encoding="utf-8"?>
<sst xmlns="http://schemas.openxmlformats.org/spreadsheetml/2006/main" count="242" uniqueCount="128">
  <si>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</si>
  <si>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</si>
  <si>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</si>
  <si>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</si>
  <si>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</si>
  <si>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</si>
  <si>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</si>
  <si>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</si>
  <si>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</si>
  <si>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</si>
  <si>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</si>
  <si>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</si>
  <si>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</si>
  <si>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</si>
  <si>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</si>
  <si>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</si>
  <si>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</si>
  <si>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</si>
  <si>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</si>
  <si>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</si>
  <si>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</si>
  <si>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</si>
  <si>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</si>
  <si>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</si>
  <si>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</si>
  <si>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</si>
  <si>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</si>
  <si>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</si>
  <si>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</si>
  <si>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</si>
  <si>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</si>
  <si>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</si>
  <si>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</si>
  <si>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</si>
  <si>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</si>
  <si>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</si>
  <si>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</si>
  <si>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</si>
  <si>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</si>
  <si>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</si>
  <si>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</si>
  <si>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</si>
  <si>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</si>
  <si>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</si>
  <si>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</si>
  <si>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</si>
  <si>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</si>
  <si>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</si>
  <si>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</si>
  <si>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</si>
  <si>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</si>
  <si>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</si>
  <si>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</si>
  <si>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</si>
  <si>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</si>
  <si>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</si>
  <si>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</si>
  <si>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</si>
  <si>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</si>
  <si>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</si>
  <si>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種付料</t>
  </si>
  <si>
    <t>種付料</t>
    <phoneticPr fontId="1"/>
  </si>
  <si>
    <t>敷料費</t>
  </si>
  <si>
    <t>敷料費</t>
    <phoneticPr fontId="1"/>
  </si>
  <si>
    <t>光熱動力費</t>
  </si>
  <si>
    <t>光熱動力費</t>
    <phoneticPr fontId="1"/>
  </si>
  <si>
    <t>その他諸材料費</t>
  </si>
  <si>
    <t>その他諸材料費</t>
    <phoneticPr fontId="1"/>
  </si>
  <si>
    <t>獣医師料・医薬品費</t>
  </si>
  <si>
    <t>獣医師料・医薬品費</t>
    <phoneticPr fontId="1"/>
  </si>
  <si>
    <t>賃借料及び料金</t>
  </si>
  <si>
    <t>賃借料及び料金</t>
    <phoneticPr fontId="1"/>
  </si>
  <si>
    <t>物件税・公課諸負担</t>
  </si>
  <si>
    <t>物件税・公課諸負担</t>
    <phoneticPr fontId="1"/>
  </si>
  <si>
    <t>繁殖雌牛償却費</t>
  </si>
  <si>
    <t>繁殖雌牛償却費</t>
    <phoneticPr fontId="1"/>
  </si>
  <si>
    <t>建物費</t>
  </si>
  <si>
    <t>建物費</t>
    <phoneticPr fontId="1"/>
  </si>
  <si>
    <t>農機具費</t>
  </si>
  <si>
    <t>農機具費</t>
    <phoneticPr fontId="1"/>
  </si>
  <si>
    <t>自動車費</t>
  </si>
  <si>
    <t>自動車費</t>
    <phoneticPr fontId="1"/>
  </si>
  <si>
    <t>生産管理費</t>
  </si>
  <si>
    <t>生産管理費</t>
    <phoneticPr fontId="1"/>
  </si>
  <si>
    <t>子牛販売頭数(頭)</t>
  </si>
  <si>
    <t>子牛販売頭数(頭)</t>
    <phoneticPr fontId="1"/>
  </si>
  <si>
    <t>1頭当たり労働時間（時間）</t>
  </si>
  <si>
    <t>1頭当たり労働時間（時間）</t>
    <phoneticPr fontId="1"/>
  </si>
  <si>
    <t>繁殖雌牛飼養月平均頭数(頭)</t>
  </si>
  <si>
    <t>繁殖雌牛飼養月平均頭数(頭)</t>
    <phoneticPr fontId="1"/>
  </si>
  <si>
    <t>飼料調理・給与・給水</t>
  </si>
  <si>
    <t>敷料搬入・きゅう肥搬出</t>
  </si>
  <si>
    <t>その他</t>
  </si>
  <si>
    <t>販売生体重</t>
    <rPh sb="0" eb="2">
      <t>ハンバイ</t>
    </rPh>
    <rPh sb="2" eb="3">
      <t>セイ</t>
    </rPh>
    <rPh sb="3" eb="5">
      <t>タイジュウ</t>
    </rPh>
    <phoneticPr fontId="1"/>
  </si>
  <si>
    <t>販売価格</t>
    <rPh sb="0" eb="2">
      <t>ハンバイ</t>
    </rPh>
    <rPh sb="2" eb="4">
      <t>カカク</t>
    </rPh>
    <phoneticPr fontId="1"/>
  </si>
  <si>
    <t>きゅう肥</t>
    <rPh sb="3" eb="4">
      <t>ヒ</t>
    </rPh>
    <phoneticPr fontId="1"/>
  </si>
  <si>
    <t>自給牧草</t>
    <phoneticPr fontId="1"/>
  </si>
  <si>
    <t>年</t>
    <phoneticPr fontId="13"/>
  </si>
  <si>
    <t>　このたび、年の調査結果がまとまりましたのでお知らせしま</t>
    <rPh sb="6" eb="7">
      <t>トシ</t>
    </rPh>
    <phoneticPr fontId="13"/>
  </si>
  <si>
    <t>年</t>
    <phoneticPr fontId="1"/>
  </si>
  <si>
    <t>年</t>
    <rPh sb="0" eb="1">
      <t>ネン</t>
    </rPh>
    <phoneticPr fontId="1"/>
  </si>
  <si>
    <t>販売価額</t>
    <rPh sb="0" eb="2">
      <t>ハンバイ</t>
    </rPh>
    <rPh sb="2" eb="4">
      <t>カガク</t>
    </rPh>
    <phoneticPr fontId="1"/>
  </si>
  <si>
    <t>流通飼料費</t>
    <phoneticPr fontId="1"/>
  </si>
  <si>
    <t>牧草･放牧･採草費</t>
    <phoneticPr fontId="1"/>
  </si>
  <si>
    <t>流通飼料費</t>
    <phoneticPr fontId="1"/>
  </si>
  <si>
    <t>牧草･放牧･採草費</t>
    <phoneticPr fontId="1"/>
  </si>
  <si>
    <t>図　繁殖雌牛飼養頭数及び子牛販売頭数の経年変化（貴殿）</t>
    <rPh sb="0" eb="1">
      <t>ズ</t>
    </rPh>
    <rPh sb="2" eb="4">
      <t>ハンショク</t>
    </rPh>
    <rPh sb="4" eb="5">
      <t>メス</t>
    </rPh>
    <rPh sb="5" eb="6">
      <t>ウシ</t>
    </rPh>
    <rPh sb="6" eb="8">
      <t>シヨウ</t>
    </rPh>
    <rPh sb="8" eb="10">
      <t>アタマカズ</t>
    </rPh>
    <rPh sb="10" eb="11">
      <t>オヨ</t>
    </rPh>
    <rPh sb="12" eb="14">
      <t>コウシ</t>
    </rPh>
    <rPh sb="14" eb="16">
      <t>ハンバイ</t>
    </rPh>
    <rPh sb="16" eb="18">
      <t>トウスウ</t>
    </rPh>
    <rPh sb="19" eb="21">
      <t>ケイネン</t>
    </rPh>
    <rPh sb="21" eb="23">
      <t>ヘンカ</t>
    </rPh>
    <rPh sb="24" eb="26">
      <t>キデン</t>
    </rPh>
    <phoneticPr fontId="1"/>
  </si>
  <si>
    <t>図　当たりの物財費（費目別）の経年変化（貴殿）</t>
    <rPh sb="0" eb="1">
      <t>ズ</t>
    </rPh>
    <rPh sb="2" eb="3">
      <t>ア</t>
    </rPh>
    <rPh sb="6" eb="7">
      <t>ブツ</t>
    </rPh>
    <rPh sb="7" eb="8">
      <t>ザイ</t>
    </rPh>
    <rPh sb="8" eb="9">
      <t>ヒ</t>
    </rPh>
    <rPh sb="10" eb="12">
      <t>ヒモク</t>
    </rPh>
    <rPh sb="12" eb="13">
      <t>ベツ</t>
    </rPh>
    <rPh sb="15" eb="17">
      <t>ケイネン</t>
    </rPh>
    <rPh sb="17" eb="19">
      <t>ヘンカ</t>
    </rPh>
    <rPh sb="20" eb="22">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</si>
  <si>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</si>
  <si>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</si>
  <si>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年産</t>
    <phoneticPr fontId="1"/>
  </si>
  <si>
    <t>年産</t>
    <phoneticPr fontId="1"/>
  </si>
  <si>
    <t>年産</t>
    <rPh sb="0" eb="1">
      <t>ネン</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</si>
  <si>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</si>
  <si>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</si>
  <si>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</si>
  <si>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</si>
  <si>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労働費</t>
    <rPh sb="0" eb="2">
      <t>ロウドウ</t>
    </rPh>
    <rPh sb="2" eb="3">
      <t>ヒ</t>
    </rPh>
    <phoneticPr fontId="1"/>
  </si>
  <si>
    <t>物財費</t>
    <rPh sb="0" eb="2">
      <t>ブツザイ</t>
    </rPh>
    <rPh sb="2" eb="3">
      <t>ヒ</t>
    </rPh>
    <phoneticPr fontId="1"/>
  </si>
  <si>
    <t>子牛１頭当たり</t>
    <rPh sb="4" eb="5">
      <t>ア</t>
    </rPh>
    <phoneticPr fontId="1"/>
  </si>
  <si>
    <t>子牛１頭当たり</t>
    <rPh sb="0" eb="2">
      <t>コウシ</t>
    </rPh>
    <rPh sb="3" eb="4">
      <t>トウ</t>
    </rPh>
    <rPh sb="4" eb="5">
      <t>ア</t>
    </rPh>
    <phoneticPr fontId="1"/>
  </si>
  <si>
    <t>貴殿
子牛１頭当たり</t>
    <phoneticPr fontId="1"/>
  </si>
  <si>
    <t>平均
子牛１頭当たり</t>
    <rPh sb="7" eb="8">
      <t>ア</t>
    </rPh>
    <phoneticPr fontId="1"/>
  </si>
  <si>
    <t>貴殿
子牛１頭当たり</t>
    <phoneticPr fontId="1"/>
  </si>
  <si>
    <t>子牛１頭当たり</t>
    <phoneticPr fontId="1"/>
  </si>
  <si>
    <t>平均
子牛１頭当たり</t>
    <phoneticPr fontId="1"/>
  </si>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</sst>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diagonalDown="1">
      <left style="medium">
        <color indexed="64"/>
      </left>
      <right/>
      <top style="double">
        <color indexed="64"/>
      </top>
      <bottom style="medium">
        <color indexed="64"/>
      </bottom>
      <diagonal style="thin">
        <color indexed="64"/>
      </diagonal>
    </border>
    <border diagonalDown="1">
      <left/>
      <right/>
      <top style="double">
        <color indexed="64"/>
      </top>
      <bottom style="medium">
        <color indexed="64"/>
      </bottom>
      <diagonal style="thin">
        <color indexed="64"/>
      </diagonal>
    </border>
    <border diagonalDown="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diagonalDown="1">
      <left style="thin">
        <color indexed="64"/>
      </left>
      <right/>
      <top style="double">
        <color indexed="64"/>
      </top>
      <bottom style="medium">
        <color indexed="64"/>
      </bottom>
      <diagonal style="thin">
        <color indexed="64"/>
      </diagonal>
    </border>
    <border>
      <left/>
      <right style="medium">
        <color indexed="64"/>
      </right>
      <top style="double">
        <color indexed="64"/>
      </top>
      <bottom style="medium">
        <color indexed="64"/>
      </bottom>
      <diagonal/>
    </border>
    <border>
      <left style="medium">
        <color indexed="64"/>
      </left>
      <right style="thin">
        <color indexed="64"/>
      </right>
      <top style="double">
        <color indexed="64"/>
      </top>
      <bottom/>
      <diagonal/>
    </border>
    <border diagonalDown="1">
      <left style="medium">
        <color indexed="64"/>
      </left>
      <right/>
      <top style="thin">
        <color indexed="64"/>
      </top>
      <bottom style="double">
        <color indexed="64"/>
      </bottom>
      <diagonal style="thin">
        <color indexed="64"/>
      </diagonal>
    </border>
    <border diagonalDown="1">
      <left/>
      <right/>
      <top style="thin">
        <color indexed="64"/>
      </top>
      <bottom style="double">
        <color indexed="64"/>
      </bottom>
      <diagonal style="thin">
        <color indexed="64"/>
      </diagonal>
    </border>
    <border diagonalDown="1">
      <left/>
      <right style="thin">
        <color indexed="64"/>
      </right>
      <top style="thin">
        <color indexed="64"/>
      </top>
      <bottom style="double">
        <color indexed="64"/>
      </bottom>
      <diagonal style="thin">
        <color indexed="64"/>
      </diagonal>
    </border>
    <border diagonalDown="1">
      <left style="thin">
        <color indexed="64"/>
      </left>
      <right/>
      <top style="thin">
        <color indexed="64"/>
      </top>
      <bottom style="double">
        <color indexed="64"/>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diagonalDown="1">
      <left/>
      <right style="medium">
        <color indexed="64"/>
      </right>
      <top/>
      <bottom style="thin">
        <color indexed="64"/>
      </bottom>
      <diagonal style="thin">
        <color indexed="64"/>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81">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2" fontId="7" fillId="0" borderId="31" xfId="0" applyNumberFormat="1" applyFont="1" applyFill="1" applyBorder="1" applyAlignment="1">
      <alignment horizontal="right" vertical="center" shrinkToFit="1"/>
    </xf>
    <xf numFmtId="192" fontId="7" fillId="0" borderId="79"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43" xfId="0" applyFont="1" applyBorder="1" applyAlignment="1">
      <alignment vertical="center"/>
    </xf>
    <xf numFmtId="0" fontId="9" fillId="0" borderId="14" xfId="0" applyFont="1" applyBorder="1" applyAlignment="1">
      <alignment vertical="center"/>
    </xf>
    <xf numFmtId="0" fontId="9" fillId="0" borderId="33" xfId="0" applyFont="1" applyBorder="1" applyAlignment="1">
      <alignment vertical="center"/>
    </xf>
    <xf numFmtId="0" fontId="5" fillId="0" borderId="9" xfId="0" applyFont="1" applyBorder="1" applyAlignment="1">
      <alignment vertical="center" shrinkToFit="1"/>
    </xf>
    <xf numFmtId="0" fontId="5" fillId="0" borderId="12" xfId="0" applyFont="1" applyBorder="1" applyAlignment="1">
      <alignment vertical="center" shrinkToFit="1"/>
    </xf>
    <xf numFmtId="0" fontId="9" fillId="0" borderId="42" xfId="0" applyFont="1" applyBorder="1" applyAlignment="1">
      <alignment vertical="center"/>
    </xf>
    <xf numFmtId="0" fontId="9" fillId="0" borderId="31" xfId="0" applyFont="1" applyBorder="1" applyAlignment="1">
      <alignment vertical="center"/>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0" fontId="9" fillId="0" borderId="83" xfId="0" applyFont="1" applyFill="1" applyBorder="1" applyAlignment="1">
      <alignment horizontal="center" vertical="center"/>
    </xf>
    <xf numFmtId="194" fontId="7" fillId="0" borderId="31"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4" fontId="7" fillId="0" borderId="44" xfId="0" applyNumberFormat="1" applyFont="1" applyBorder="1" applyAlignment="1">
      <alignment horizontal="right" vertical="center" shrinkToFit="1"/>
    </xf>
    <xf numFmtId="0" fontId="5" fillId="0" borderId="60" xfId="0" applyFont="1" applyBorder="1" applyAlignment="1">
      <alignment vertical="center" shrinkToFit="1"/>
    </xf>
    <xf numFmtId="0" fontId="9" fillId="0" borderId="84" xfId="0" applyFont="1" applyFill="1" applyBorder="1" applyAlignment="1">
      <alignment vertical="center" shrinkToFit="1"/>
    </xf>
    <xf numFmtId="0" fontId="9" fillId="0" borderId="9" xfId="0" applyFont="1" applyBorder="1" applyAlignment="1">
      <alignment vertical="center" shrinkToFit="1"/>
    </xf>
    <xf numFmtId="0" fontId="9" fillId="0" borderId="60" xfId="0" applyFont="1" applyBorder="1" applyAlignment="1">
      <alignment vertical="center" shrinkToFit="1"/>
    </xf>
    <xf numFmtId="0" fontId="9" fillId="0" borderId="101" xfId="0" applyFont="1" applyBorder="1" applyAlignment="1">
      <alignment vertical="center" shrinkToFit="1"/>
    </xf>
    <xf numFmtId="0" fontId="9" fillId="0" borderId="102" xfId="0" applyFont="1" applyBorder="1" applyAlignment="1">
      <alignment vertical="center" shrinkToFit="1"/>
    </xf>
    <xf numFmtId="0" fontId="9" fillId="0" borderId="103"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2" xfId="0" applyFont="1" applyBorder="1" applyAlignment="1">
      <alignment horizontal="center" vertical="center" shrinkToFit="1"/>
    </xf>
    <xf numFmtId="0" fontId="9" fillId="0" borderId="21" xfId="0" applyFont="1" applyBorder="1" applyAlignment="1">
      <alignment vertical="center" shrinkToFit="1"/>
    </xf>
    <xf numFmtId="0" fontId="9" fillId="0" borderId="81" xfId="0" applyFont="1" applyBorder="1" applyAlignment="1">
      <alignment vertical="center" shrinkToFit="1"/>
    </xf>
    <xf numFmtId="0" fontId="9" fillId="0" borderId="80" xfId="0" applyFont="1" applyBorder="1" applyAlignment="1">
      <alignment vertical="center" shrinkToFit="1"/>
    </xf>
    <xf numFmtId="0" fontId="9" fillId="0" borderId="104"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2" xfId="0" applyFont="1" applyBorder="1" applyAlignment="1">
      <alignment horizontal="center" vertical="center" shrinkToFit="1"/>
    </xf>
    <xf numFmtId="0" fontId="9" fillId="0" borderId="103" xfId="0" applyFont="1" applyBorder="1" applyAlignment="1">
      <alignment horizontal="center" vertical="center" shrinkToFit="1"/>
    </xf>
    <xf numFmtId="0" fontId="32" fillId="0" borderId="1" xfId="0" applyFont="1" applyBorder="1" applyAlignment="1">
      <alignment vertical="center" shrinkToFit="1"/>
    </xf>
    <xf numFmtId="0" fontId="11" fillId="0" borderId="1" xfId="1" applyBorder="1" applyAlignment="1">
      <alignment shrinkToFit="1"/>
    </xf>
    <xf numFmtId="0" fontId="11" fillId="0" borderId="1" xfId="1" applyFont="1" applyBorder="1" applyAlignment="1">
      <alignment shrinkToFit="1"/>
    </xf>
    <xf numFmtId="181" fontId="11" fillId="0" borderId="1" xfId="1" applyNumberFormat="1" applyBorder="1" applyAlignment="1">
      <alignment horizontal="right" vertical="center"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4"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7" fillId="0" borderId="33" xfId="0" applyNumberFormat="1" applyFont="1" applyBorder="1" applyAlignment="1">
      <alignment horizontal="right" vertical="center" shrinkToFit="1"/>
    </xf>
    <xf numFmtId="197" fontId="7" fillId="0" borderId="2"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7" fontId="7" fillId="0" borderId="34" xfId="0" applyNumberFormat="1" applyFont="1" applyFill="1" applyBorder="1" applyAlignment="1">
      <alignment horizontal="right" vertical="center" shrinkToFit="1"/>
    </xf>
    <xf numFmtId="197" fontId="7" fillId="0" borderId="1" xfId="0" applyNumberFormat="1" applyFont="1" applyFill="1" applyBorder="1" applyAlignment="1">
      <alignment horizontal="right" vertical="center" shrinkToFit="1"/>
    </xf>
    <xf numFmtId="197" fontId="7" fillId="0" borderId="35" xfId="0" applyNumberFormat="1" applyFont="1" applyFill="1" applyBorder="1" applyAlignment="1">
      <alignment horizontal="right" vertical="center" shrinkToFit="1"/>
    </xf>
    <xf numFmtId="197" fontId="7" fillId="0" borderId="36" xfId="0" applyNumberFormat="1" applyFont="1" applyFill="1" applyBorder="1" applyAlignment="1">
      <alignment horizontal="right" vertical="center" shrinkToFit="1"/>
    </xf>
    <xf numFmtId="197" fontId="7" fillId="0" borderId="77" xfId="0" applyNumberFormat="1" applyFont="1" applyBorder="1" applyAlignment="1">
      <alignment horizontal="right" vertical="center" shrinkToFit="1"/>
    </xf>
    <xf numFmtId="197" fontId="7" fillId="0" borderId="78" xfId="0" applyNumberFormat="1" applyFont="1" applyBorder="1" applyAlignment="1">
      <alignment horizontal="right" vertical="center" shrinkToFit="1"/>
    </xf>
    <xf numFmtId="197" fontId="7" fillId="0" borderId="70" xfId="0" applyNumberFormat="1" applyFont="1" applyBorder="1" applyAlignment="1">
      <alignment horizontal="right" vertical="center" shrinkToFit="1"/>
    </xf>
    <xf numFmtId="197" fontId="7" fillId="0" borderId="75" xfId="0" applyNumberFormat="1" applyFont="1" applyBorder="1" applyAlignment="1">
      <alignment horizontal="right" vertical="center" shrinkToFit="1"/>
    </xf>
    <xf numFmtId="197" fontId="7" fillId="0" borderId="76" xfId="0" applyNumberFormat="1" applyFont="1" applyBorder="1" applyAlignment="1">
      <alignment horizontal="right" vertical="center" shrinkToFit="1"/>
    </xf>
    <xf numFmtId="197" fontId="7" fillId="0" borderId="10" xfId="0" applyNumberFormat="1" applyFont="1" applyBorder="1" applyAlignment="1">
      <alignment horizontal="right" vertical="center" shrinkToFit="1"/>
    </xf>
    <xf numFmtId="197" fontId="7" fillId="0" borderId="10" xfId="0" applyNumberFormat="1" applyFont="1" applyFill="1" applyBorder="1" applyAlignment="1">
      <alignment horizontal="right" vertical="center" shrinkToFit="1"/>
    </xf>
    <xf numFmtId="0" fontId="37" fillId="0" borderId="58" xfId="0" applyFont="1" applyBorder="1" applyAlignment="1">
      <alignment horizontal="center" vertical="center" wrapText="1"/>
    </xf>
    <xf numFmtId="193" fontId="9" fillId="0" borderId="102"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9" fillId="0" borderId="103" xfId="0" applyNumberFormat="1" applyFont="1" applyBorder="1" applyAlignment="1">
      <alignment vertical="center" shrinkToFi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4" fontId="9" fillId="0" borderId="101" xfId="0" applyNumberFormat="1" applyFont="1" applyBorder="1" applyAlignment="1">
      <alignment vertical="center" shrinkToFit="1"/>
    </xf>
    <xf numFmtId="194" fontId="9" fillId="0" borderId="77" xfId="0" applyNumberFormat="1" applyFont="1" applyBorder="1" applyAlignment="1">
      <alignment vertical="center" shrinkToFit="1"/>
    </xf>
    <xf numFmtId="194" fontId="9" fillId="0" borderId="78" xfId="0" applyNumberFormat="1" applyFont="1" applyBorder="1" applyAlignment="1">
      <alignment vertical="center" shrinkToFit="1"/>
    </xf>
    <xf numFmtId="194" fontId="9" fillId="0" borderId="79" xfId="0" applyNumberFormat="1" applyFont="1" applyBorder="1" applyAlignment="1">
      <alignment vertical="center" shrinkToFit="1"/>
    </xf>
    <xf numFmtId="196"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69" xfId="0" applyFont="1" applyBorder="1" applyAlignment="1">
      <alignment horizontal="center" vertical="center" wrapText="1"/>
    </xf>
    <xf numFmtId="0" fontId="34" fillId="0" borderId="32" xfId="0" applyFont="1" applyBorder="1" applyAlignment="1">
      <alignment horizontal="center" vertical="center"/>
    </xf>
    <xf numFmtId="0" fontId="34" fillId="0" borderId="70" xfId="0" applyFont="1" applyBorder="1" applyAlignment="1">
      <alignment horizontal="center" vertical="center"/>
    </xf>
    <xf numFmtId="0" fontId="9" fillId="0" borderId="50" xfId="0" applyFont="1" applyBorder="1" applyAlignment="1">
      <alignment vertical="center" shrinkToFit="1"/>
    </xf>
    <xf numFmtId="0" fontId="9" fillId="0" borderId="67" xfId="0" applyFont="1" applyBorder="1" applyAlignment="1">
      <alignment vertical="center" shrinkToFit="1"/>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193" fontId="8" fillId="0" borderId="88" xfId="0" applyNumberFormat="1" applyFont="1" applyFill="1" applyBorder="1" applyAlignment="1">
      <alignment horizontal="right" vertical="center" shrinkToFit="1"/>
    </xf>
    <xf numFmtId="193" fontId="8" fillId="0" borderId="84" xfId="0" applyNumberFormat="1" applyFont="1" applyFill="1" applyBorder="1" applyAlignment="1">
      <alignment horizontal="right" vertical="center" shrinkToFit="1"/>
    </xf>
    <xf numFmtId="193" fontId="8" fillId="0" borderId="89" xfId="0" applyNumberFormat="1" applyFont="1" applyFill="1" applyBorder="1" applyAlignment="1">
      <alignment horizontal="right" vertical="center" shrinkToFit="1"/>
    </xf>
    <xf numFmtId="194" fontId="8" fillId="0" borderId="90" xfId="0" applyNumberFormat="1" applyFont="1" applyFill="1" applyBorder="1" applyAlignment="1">
      <alignment horizontal="right" vertical="center" shrinkToFit="1"/>
    </xf>
    <xf numFmtId="194" fontId="8" fillId="0" borderId="86" xfId="0" applyNumberFormat="1" applyFont="1" applyFill="1" applyBorder="1" applyAlignment="1">
      <alignment horizontal="right" vertical="center" shrinkToFit="1"/>
    </xf>
    <xf numFmtId="194" fontId="8" fillId="0" borderId="87" xfId="0" applyNumberFormat="1" applyFont="1" applyFill="1" applyBorder="1" applyAlignment="1">
      <alignment horizontal="right" vertical="center" shrinkToFit="1"/>
    </xf>
    <xf numFmtId="193" fontId="8" fillId="0" borderId="91" xfId="0" applyNumberFormat="1" applyFont="1" applyFill="1" applyBorder="1" applyAlignment="1">
      <alignment horizontal="right" vertical="center" shrinkToFit="1"/>
    </xf>
    <xf numFmtId="194" fontId="8" fillId="0" borderId="42" xfId="0" applyNumberFormat="1" applyFont="1" applyBorder="1" applyAlignment="1">
      <alignment horizontal="right" vertical="center" shrinkToFit="1"/>
    </xf>
    <xf numFmtId="194" fontId="8" fillId="0" borderId="5" xfId="0" applyNumberFormat="1" applyFont="1" applyBorder="1" applyAlignment="1">
      <alignment horizontal="right" vertical="center" shrinkToFit="1"/>
    </xf>
    <xf numFmtId="194" fontId="8" fillId="0" borderId="11" xfId="0" applyNumberFormat="1" applyFont="1" applyBorder="1" applyAlignment="1">
      <alignment horizontal="right" vertical="center" shrinkToFit="1"/>
    </xf>
    <xf numFmtId="193" fontId="8" fillId="0" borderId="97" xfId="0" applyNumberFormat="1" applyFont="1" applyBorder="1" applyAlignment="1">
      <alignment horizontal="right" vertical="center" shrinkToFit="1"/>
    </xf>
    <xf numFmtId="193" fontId="8" fillId="0" borderId="98" xfId="0" applyNumberFormat="1" applyFont="1" applyBorder="1" applyAlignment="1">
      <alignment horizontal="right" vertical="center" shrinkToFit="1"/>
    </xf>
    <xf numFmtId="193" fontId="8" fillId="0" borderId="99" xfId="0" applyNumberFormat="1" applyFont="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8" fillId="3" borderId="67"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0" fontId="9" fillId="0" borderId="12" xfId="0" applyFont="1" applyBorder="1" applyAlignment="1">
      <alignment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9" fillId="0" borderId="92" xfId="0" applyFont="1" applyFill="1" applyBorder="1" applyAlignment="1">
      <alignment horizontal="center" vertical="center"/>
    </xf>
    <xf numFmtId="0" fontId="9" fillId="0" borderId="82" xfId="0" applyFont="1" applyFill="1" applyBorder="1" applyAlignment="1">
      <alignment horizontal="center" vertical="center"/>
    </xf>
    <xf numFmtId="194" fontId="8" fillId="0" borderId="9" xfId="0" applyNumberFormat="1" applyFont="1" applyBorder="1" applyAlignment="1">
      <alignment horizontal="right" vertical="center" shrinkToFit="1"/>
    </xf>
    <xf numFmtId="193" fontId="8" fillId="0" borderId="100" xfId="0" applyNumberFormat="1" applyFont="1" applyBorder="1" applyAlignment="1">
      <alignment horizontal="right" vertical="center" shrinkToFit="1"/>
    </xf>
    <xf numFmtId="193" fontId="8" fillId="0" borderId="60" xfId="0" applyNumberFormat="1" applyFont="1" applyBorder="1" applyAlignment="1">
      <alignment horizontal="right" vertical="center" shrinkToFit="1"/>
    </xf>
    <xf numFmtId="193" fontId="8" fillId="0" borderId="63" xfId="0" applyNumberFormat="1" applyFont="1" applyBorder="1" applyAlignment="1">
      <alignment horizontal="right" vertical="center" shrinkToFit="1"/>
    </xf>
    <xf numFmtId="193" fontId="8" fillId="0" borderId="64" xfId="0" applyNumberFormat="1" applyFont="1" applyBorder="1" applyAlignment="1">
      <alignment horizontal="right" vertical="center" shrinkToFit="1"/>
    </xf>
    <xf numFmtId="194" fontId="8" fillId="0" borderId="85"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4" fontId="8" fillId="0" borderId="93" xfId="0" applyNumberFormat="1" applyFont="1" applyBorder="1" applyAlignment="1">
      <alignment horizontal="right" vertical="center" shrinkToFit="1"/>
    </xf>
    <xf numFmtId="194" fontId="8" fillId="0" borderId="94" xfId="0" applyNumberFormat="1" applyFont="1" applyBorder="1" applyAlignment="1">
      <alignment horizontal="right" vertical="center" shrinkToFit="1"/>
    </xf>
    <xf numFmtId="194" fontId="8" fillId="0" borderId="95" xfId="0" applyNumberFormat="1" applyFont="1" applyBorder="1" applyAlignment="1">
      <alignment horizontal="right" vertical="center" shrinkToFit="1"/>
    </xf>
    <xf numFmtId="193" fontId="8" fillId="0" borderId="59" xfId="0" applyNumberFormat="1" applyFont="1" applyBorder="1" applyAlignment="1">
      <alignment horizontal="right" vertical="center" shrinkToFit="1"/>
    </xf>
    <xf numFmtId="194" fontId="8" fillId="0" borderId="96"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9" fillId="0" borderId="68"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194"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4" fontId="5" fillId="0" borderId="34"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5" fillId="0" borderId="60"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92" fontId="7" fillId="2" borderId="31"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3" fontId="9" fillId="0" borderId="88" xfId="0" applyNumberFormat="1" applyFont="1" applyFill="1" applyBorder="1" applyAlignment="1">
      <alignment horizontal="right" vertical="center" shrinkToFit="1"/>
    </xf>
    <xf numFmtId="193" fontId="9" fillId="0" borderId="84" xfId="0" applyNumberFormat="1" applyFont="1" applyFill="1" applyBorder="1" applyAlignment="1">
      <alignment horizontal="right" vertical="center" shrinkToFit="1"/>
    </xf>
    <xf numFmtId="193" fontId="9" fillId="0" borderId="91" xfId="0" applyNumberFormat="1" applyFont="1" applyFill="1" applyBorder="1" applyAlignment="1">
      <alignment horizontal="right" vertical="center" shrinkToFit="1"/>
    </xf>
    <xf numFmtId="193" fontId="9" fillId="0" borderId="60" xfId="0" applyNumberFormat="1" applyFont="1" applyBorder="1" applyAlignment="1">
      <alignment horizontal="right" vertical="center" shrinkToFit="1"/>
    </xf>
    <xf numFmtId="193" fontId="9" fillId="0" borderId="63" xfId="0" applyNumberFormat="1" applyFont="1" applyBorder="1" applyAlignment="1">
      <alignment horizontal="right" vertical="center" shrinkToFit="1"/>
    </xf>
    <xf numFmtId="193" fontId="9" fillId="0" borderId="64" xfId="0" applyNumberFormat="1" applyFont="1" applyBorder="1" applyAlignment="1">
      <alignment horizontal="right" vertical="center" shrinkToFit="1"/>
    </xf>
    <xf numFmtId="194" fontId="9" fillId="0" borderId="97" xfId="0" applyNumberFormat="1" applyFont="1" applyBorder="1" applyAlignment="1">
      <alignment horizontal="right" vertical="center" shrinkToFit="1"/>
    </xf>
    <xf numFmtId="194" fontId="9" fillId="0" borderId="98" xfId="0" applyNumberFormat="1" applyFont="1" applyBorder="1" applyAlignment="1">
      <alignment horizontal="right" vertical="center" shrinkToFit="1"/>
    </xf>
    <xf numFmtId="194" fontId="9" fillId="0" borderId="100" xfId="0" applyNumberFormat="1" applyFont="1" applyBorder="1" applyAlignment="1">
      <alignment horizontal="right" vertical="center" shrinkToFit="1"/>
    </xf>
    <xf numFmtId="194" fontId="9" fillId="0" borderId="85" xfId="0" applyNumberFormat="1" applyFont="1" applyFill="1" applyBorder="1" applyAlignment="1">
      <alignment horizontal="right" vertical="center" shrinkToFit="1"/>
    </xf>
    <xf numFmtId="194" fontId="9" fillId="0" borderId="86" xfId="0" applyNumberFormat="1" applyFont="1" applyFill="1" applyBorder="1" applyAlignment="1">
      <alignment horizontal="right" vertical="center" shrinkToFit="1"/>
    </xf>
    <xf numFmtId="194" fontId="9" fillId="0" borderId="87" xfId="0" applyNumberFormat="1" applyFont="1" applyFill="1" applyBorder="1" applyAlignment="1">
      <alignment horizontal="right" vertical="center" shrinkToFit="1"/>
    </xf>
    <xf numFmtId="193" fontId="9" fillId="0" borderId="89" xfId="0" applyNumberFormat="1" applyFont="1" applyFill="1" applyBorder="1" applyAlignment="1">
      <alignment horizontal="right" vertical="center" shrinkToFit="1"/>
    </xf>
    <xf numFmtId="194" fontId="9" fillId="0" borderId="90" xfId="0" applyNumberFormat="1" applyFont="1" applyFill="1" applyBorder="1" applyAlignment="1">
      <alignment horizontal="right" vertical="center" shrinkToFit="1"/>
    </xf>
    <xf numFmtId="0" fontId="5" fillId="0" borderId="62" xfId="0" applyFont="1" applyBorder="1" applyAlignment="1">
      <alignment horizontal="center" vertical="center" shrinkToFit="1"/>
    </xf>
    <xf numFmtId="192" fontId="7" fillId="2" borderId="38"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71" xfId="0" applyNumberFormat="1" applyFont="1" applyFill="1" applyBorder="1" applyAlignment="1">
      <alignment horizontal="right" vertical="center" shrinkToFit="1"/>
    </xf>
    <xf numFmtId="194" fontId="9" fillId="0" borderId="42" xfId="0" applyNumberFormat="1" applyFont="1" applyBorder="1" applyAlignment="1">
      <alignment horizontal="right" vertical="center" shrinkToFit="1"/>
    </xf>
    <xf numFmtId="194" fontId="9" fillId="0" borderId="5" xfId="0" applyNumberFormat="1" applyFont="1" applyBorder="1" applyAlignment="1">
      <alignment horizontal="right" vertical="center" shrinkToFit="1"/>
    </xf>
    <xf numFmtId="194" fontId="9" fillId="0" borderId="11" xfId="0" applyNumberFormat="1" applyFont="1" applyBorder="1" applyAlignment="1">
      <alignment horizontal="right" vertical="center" shrinkToFit="1"/>
    </xf>
    <xf numFmtId="194" fontId="9" fillId="0" borderId="99" xfId="0" applyNumberFormat="1" applyFont="1" applyBorder="1" applyAlignment="1">
      <alignment horizontal="right" vertical="center" shrinkToFit="1"/>
    </xf>
    <xf numFmtId="194" fontId="9" fillId="0" borderId="96" xfId="0" applyNumberFormat="1" applyFont="1" applyBorder="1" applyAlignment="1">
      <alignment horizontal="right" vertical="center" shrinkToFit="1"/>
    </xf>
    <xf numFmtId="194" fontId="9" fillId="0" borderId="94" xfId="0" applyNumberFormat="1" applyFont="1" applyBorder="1" applyAlignment="1">
      <alignment horizontal="right" vertical="center" shrinkToFit="1"/>
    </xf>
    <xf numFmtId="194" fontId="9" fillId="0" borderId="95" xfId="0" applyNumberFormat="1" applyFont="1" applyBorder="1" applyAlignment="1">
      <alignment horizontal="right" vertical="center" shrinkToFit="1"/>
    </xf>
    <xf numFmtId="194" fontId="9" fillId="0" borderId="93" xfId="0" applyNumberFormat="1" applyFont="1" applyBorder="1" applyAlignment="1">
      <alignment horizontal="right" vertical="center" shrinkToFit="1"/>
    </xf>
    <xf numFmtId="193" fontId="9" fillId="0" borderId="59" xfId="0" applyNumberFormat="1" applyFont="1" applyBorder="1" applyAlignment="1">
      <alignment horizontal="right" vertical="center" shrinkToFit="1"/>
    </xf>
    <xf numFmtId="194" fontId="9" fillId="0" borderId="9" xfId="0" applyNumberFormat="1" applyFont="1" applyBorder="1" applyAlignment="1">
      <alignment horizontal="right" vertical="center" shrinkToFit="1"/>
    </xf>
    <xf numFmtId="0" fontId="8" fillId="0" borderId="72" xfId="0" applyFont="1" applyBorder="1" applyAlignment="1">
      <alignment horizontal="center" vertical="center"/>
    </xf>
    <xf numFmtId="0" fontId="8" fillId="0" borderId="74" xfId="0" applyFont="1" applyBorder="1" applyAlignment="1">
      <alignment horizontal="center" vertical="center"/>
    </xf>
    <xf numFmtId="0" fontId="8" fillId="0" borderId="73" xfId="0" applyFont="1" applyBorder="1" applyAlignment="1">
      <alignment horizontal="center" vertical="center"/>
    </xf>
    <xf numFmtId="0" fontId="0" fillId="0" borderId="74" xfId="0" applyBorder="1" applyAlignment="1">
      <alignment horizontal="center" vertical="center"/>
    </xf>
    <xf numFmtId="0" fontId="0" fillId="0" borderId="73"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0628600"/>
        <c:axId val="115156816"/>
      </c:radarChart>
      <c:catAx>
        <c:axId val="9062860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115156816"/>
        <c:crosses val="autoZero"/>
        <c:auto val="0"/>
        <c:lblAlgn val="ctr"/>
        <c:lblOffset val="100"/>
        <c:noMultiLvlLbl val="0"/>
      </c:catAx>
      <c:valAx>
        <c:axId val="115156816"/>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0628600"/>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115157208"/>
        <c:axId val="115160344"/>
      </c:barChart>
      <c:catAx>
        <c:axId val="115157208"/>
        <c:scaling>
          <c:orientation val="minMax"/>
        </c:scaling>
        <c:delete val="0"/>
        <c:axPos val="b"/>
        <c:numFmt formatCode="General" sourceLinked="0"/>
        <c:majorTickMark val="in"/>
        <c:minorTickMark val="none"/>
        <c:tickLblPos val="low"/>
        <c:crossAx val="115160344"/>
        <c:crosses val="autoZero"/>
        <c:auto val="1"/>
        <c:lblAlgn val="ctr"/>
        <c:lblOffset val="100"/>
        <c:noMultiLvlLbl val="0"/>
      </c:catAx>
      <c:valAx>
        <c:axId val="115160344"/>
        <c:scaling>
          <c:orientation val="minMax"/>
        </c:scaling>
        <c:delete val="0"/>
        <c:axPos val="l"/>
        <c:majorGridlines/>
        <c:numFmt formatCode="#,##0;&quot;△ &quot;#,##0" sourceLinked="0"/>
        <c:majorTickMark val="in"/>
        <c:minorTickMark val="none"/>
        <c:tickLblPos val="nextTo"/>
        <c:crossAx val="11515720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115157600"/>
        <c:axId val="115157992"/>
      </c:barChart>
      <c:catAx>
        <c:axId val="115157600"/>
        <c:scaling>
          <c:orientation val="minMax"/>
        </c:scaling>
        <c:delete val="0"/>
        <c:axPos val="b"/>
        <c:numFmt formatCode="General" sourceLinked="0"/>
        <c:majorTickMark val="in"/>
        <c:minorTickMark val="none"/>
        <c:tickLblPos val="low"/>
        <c:txPr>
          <a:bodyPr/>
          <a:lstStyle/>
          <a:p>
            <a:pPr>
              <a:defRPr sz="850"/>
            </a:pPr>
            <a:endParaRPr lang="ja-JP"/>
          </a:p>
        </c:txPr>
        <c:crossAx val="115157992"/>
        <c:crosses val="autoZero"/>
        <c:auto val="1"/>
        <c:lblAlgn val="ctr"/>
        <c:lblOffset val="100"/>
        <c:noMultiLvlLbl val="0"/>
      </c:catAx>
      <c:valAx>
        <c:axId val="115157992"/>
        <c:scaling>
          <c:orientation val="minMax"/>
        </c:scaling>
        <c:delete val="0"/>
        <c:axPos val="l"/>
        <c:majorGridlines/>
        <c:numFmt formatCode="#,##0;&quot;△ &quot;#,##0" sourceLinked="0"/>
        <c:majorTickMark val="in"/>
        <c:minorTickMark val="none"/>
        <c:tickLblPos val="nextTo"/>
        <c:crossAx val="115157600"/>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115158384"/>
        <c:axId val="115155640"/>
      </c:barChart>
      <c:catAx>
        <c:axId val="115158384"/>
        <c:scaling>
          <c:orientation val="minMax"/>
        </c:scaling>
        <c:delete val="0"/>
        <c:axPos val="b"/>
        <c:numFmt formatCode="General" sourceLinked="0"/>
        <c:majorTickMark val="in"/>
        <c:minorTickMark val="none"/>
        <c:tickLblPos val="low"/>
        <c:crossAx val="115155640"/>
        <c:crosses val="autoZero"/>
        <c:auto val="1"/>
        <c:lblAlgn val="ctr"/>
        <c:lblOffset val="100"/>
        <c:noMultiLvlLbl val="0"/>
      </c:catAx>
      <c:valAx>
        <c:axId val="115155640"/>
        <c:scaling>
          <c:orientation val="minMax"/>
        </c:scaling>
        <c:delete val="0"/>
        <c:axPos val="l"/>
        <c:majorGridlines/>
        <c:numFmt formatCode="#,##0.00;&quot;△ &quot;#,##0.00" sourceLinked="0"/>
        <c:majorTickMark val="in"/>
        <c:minorTickMark val="none"/>
        <c:tickLblPos val="nextTo"/>
        <c:crossAx val="115158384"/>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115162696"/>
        <c:axId val="115159952"/>
      </c:barChart>
      <c:catAx>
        <c:axId val="115162696"/>
        <c:scaling>
          <c:orientation val="minMax"/>
        </c:scaling>
        <c:delete val="0"/>
        <c:axPos val="b"/>
        <c:numFmt formatCode="General" sourceLinked="0"/>
        <c:majorTickMark val="in"/>
        <c:minorTickMark val="none"/>
        <c:tickLblPos val="low"/>
        <c:crossAx val="115159952"/>
        <c:crosses val="autoZero"/>
        <c:auto val="1"/>
        <c:lblAlgn val="ctr"/>
        <c:lblOffset val="100"/>
        <c:noMultiLvlLbl val="0"/>
      </c:catAx>
      <c:valAx>
        <c:axId val="115159952"/>
        <c:scaling>
          <c:orientation val="minMax"/>
        </c:scaling>
        <c:delete val="0"/>
        <c:axPos val="l"/>
        <c:majorGridlines/>
        <c:numFmt formatCode="#,##0;&quot;△ &quot;#,##0" sourceLinked="0"/>
        <c:majorTickMark val="in"/>
        <c:minorTickMark val="none"/>
        <c:tickLblPos val="nextTo"/>
        <c:crossAx val="11516269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115161128"/>
        <c:axId val="115161520"/>
      </c:lineChart>
      <c:catAx>
        <c:axId val="115161128"/>
        <c:scaling>
          <c:orientation val="minMax"/>
        </c:scaling>
        <c:delete val="0"/>
        <c:axPos val="b"/>
        <c:numFmt formatCode="General" sourceLinked="0"/>
        <c:majorTickMark val="in"/>
        <c:minorTickMark val="none"/>
        <c:tickLblPos val="low"/>
        <c:crossAx val="115161520"/>
        <c:crosses val="autoZero"/>
        <c:auto val="1"/>
        <c:lblAlgn val="ctr"/>
        <c:lblOffset val="100"/>
        <c:noMultiLvlLbl val="0"/>
      </c:catAx>
      <c:valAx>
        <c:axId val="115161520"/>
        <c:scaling>
          <c:orientation val="minMax"/>
        </c:scaling>
        <c:delete val="0"/>
        <c:axPos val="l"/>
        <c:majorGridlines/>
        <c:numFmt formatCode="#,##0.00;&quot;△ &quot;#,##0.00" sourceLinked="0"/>
        <c:majorTickMark val="in"/>
        <c:minorTickMark val="none"/>
        <c:tickLblPos val="nextTo"/>
        <c:crossAx val="115161128"/>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115161912"/>
        <c:axId val="115156032"/>
      </c:barChart>
      <c:catAx>
        <c:axId val="115161912"/>
        <c:scaling>
          <c:orientation val="minMax"/>
        </c:scaling>
        <c:delete val="0"/>
        <c:axPos val="b"/>
        <c:numFmt formatCode="General" sourceLinked="0"/>
        <c:majorTickMark val="in"/>
        <c:minorTickMark val="none"/>
        <c:tickLblPos val="low"/>
        <c:crossAx val="115156032"/>
        <c:crosses val="autoZero"/>
        <c:auto val="1"/>
        <c:lblAlgn val="ctr"/>
        <c:lblOffset val="100"/>
        <c:noMultiLvlLbl val="0"/>
      </c:catAx>
      <c:valAx>
        <c:axId val="115156032"/>
        <c:scaling>
          <c:orientation val="minMax"/>
        </c:scaling>
        <c:delete val="0"/>
        <c:axPos val="l"/>
        <c:majorGridlines/>
        <c:numFmt formatCode="#,##0;&quot;△ &quot;#,##0" sourceLinked="0"/>
        <c:majorTickMark val="in"/>
        <c:minorTickMark val="none"/>
        <c:tickLblPos val="nextTo"/>
        <c:crossAx val="115161912"/>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90626248"/>
        <c:axId val="360082848"/>
      </c:lineChart>
      <c:catAx>
        <c:axId val="90626248"/>
        <c:scaling>
          <c:orientation val="minMax"/>
        </c:scaling>
        <c:delete val="1"/>
        <c:axPos val="b"/>
        <c:numFmt formatCode="General" sourceLinked="1"/>
        <c:majorTickMark val="out"/>
        <c:minorTickMark val="none"/>
        <c:tickLblPos val="none"/>
        <c:crossAx val="360082848"/>
        <c:crosses val="autoZero"/>
        <c:auto val="1"/>
        <c:lblAlgn val="ctr"/>
        <c:lblOffset val="100"/>
        <c:noMultiLvlLbl val="0"/>
      </c:catAx>
      <c:valAx>
        <c:axId val="360082848"/>
        <c:scaling>
          <c:orientation val="minMax"/>
        </c:scaling>
        <c:delete val="0"/>
        <c:axPos val="l"/>
        <c:majorGridlines/>
        <c:numFmt formatCode="#,##0;&quot;△ &quot;#,##0" sourceLinked="0"/>
        <c:majorTickMark val="in"/>
        <c:minorTickMark val="none"/>
        <c:tickLblPos val="high"/>
        <c:crossAx val="90626248"/>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0078536"/>
        <c:axId val="360082064"/>
      </c:barChart>
      <c:catAx>
        <c:axId val="360078536"/>
        <c:scaling>
          <c:orientation val="minMax"/>
        </c:scaling>
        <c:delete val="0"/>
        <c:axPos val="b"/>
        <c:numFmt formatCode="General" sourceLinked="0"/>
        <c:majorTickMark val="none"/>
        <c:minorTickMark val="none"/>
        <c:tickLblPos val="low"/>
        <c:crossAx val="360082064"/>
        <c:crosses val="autoZero"/>
        <c:auto val="1"/>
        <c:lblAlgn val="ctr"/>
        <c:lblOffset val="100"/>
        <c:noMultiLvlLbl val="0"/>
      </c:catAx>
      <c:valAx>
        <c:axId val="360082064"/>
        <c:scaling>
          <c:orientation val="minMax"/>
        </c:scaling>
        <c:delete val="0"/>
        <c:axPos val="l"/>
        <c:majorGridlines/>
        <c:numFmt formatCode="#,##0;&quot;△ &quot;#,##0" sourceLinked="0"/>
        <c:majorTickMark val="in"/>
        <c:minorTickMark val="none"/>
        <c:tickLblPos val="nextTo"/>
        <c:crossAx val="360078536"/>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39</xdr:row>
      <xdr:rowOff>121617</xdr:rowOff>
    </xdr:from>
    <xdr:to>
      <xdr:col>5</xdr:col>
      <xdr:colOff>1365250</xdr:colOff>
      <xdr:row>47</xdr:row>
      <xdr:rowOff>57150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494092"/>
          <a:ext cx="6644999" cy="201198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24</xdr:row>
      <xdr:rowOff>190501</xdr:rowOff>
    </xdr:from>
    <xdr:to>
      <xdr:col>19</xdr:col>
      <xdr:colOff>219075</xdr:colOff>
      <xdr:row>32</xdr:row>
      <xdr:rowOff>57150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5276851"/>
          <a:ext cx="6697889" cy="161924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副産物とは、調査期間中に畜舎から搬出したきゅう肥（販売・自家農業に使用したもの）が該当します。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40</xdr:row>
      <xdr:rowOff>93209</xdr:rowOff>
    </xdr:from>
    <xdr:to>
      <xdr:col>8</xdr:col>
      <xdr:colOff>654051</xdr:colOff>
      <xdr:row>48</xdr:row>
      <xdr:rowOff>114300</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8179934"/>
          <a:ext cx="6852103" cy="2154691"/>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（例えば、家族の労働時間や自家生産の飼料を使用する場合など実費が無いものも、一定の基準単価を乗じて金額を計上しています。）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27</xdr:row>
      <xdr:rowOff>96159</xdr:rowOff>
    </xdr:from>
    <xdr:to>
      <xdr:col>34</xdr:col>
      <xdr:colOff>73339</xdr:colOff>
      <xdr:row>35</xdr:row>
      <xdr:rowOff>9525</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5706384"/>
          <a:ext cx="6638785" cy="143736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主産物とは、市場で取引の対象となる品質を備えている畜産物をいいます。</a:t>
          </a:r>
        </a:p>
        <a:p>
          <a:endParaRPr lang="ja-JP" altLang="en-US">
            <a:effectLst/>
          </a:endParaRPr>
        </a:p>
        <a:p>
          <a:r>
            <a:rPr lang="ja-JP" altLang="en-US">
              <a:effectLst/>
            </a:rPr>
            <a:t>◎　副産物とは、調査期間中に畜舎から搬出したきゅう肥（販売・自家農業に使用したもの）が該当します。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57941</xdr:rowOff>
    </xdr:from>
    <xdr:to>
      <xdr:col>9</xdr:col>
      <xdr:colOff>466460</xdr:colOff>
      <xdr:row>43</xdr:row>
      <xdr:rowOff>119366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163853</xdr:rowOff>
    </xdr:from>
    <xdr:to>
      <xdr:col>9</xdr:col>
      <xdr:colOff>416530</xdr:colOff>
      <xdr:row>53</xdr:row>
      <xdr:rowOff>132894</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50603"/>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28576</xdr:rowOff>
    </xdr:from>
    <xdr:to>
      <xdr:col>9</xdr:col>
      <xdr:colOff>506413</xdr:colOff>
      <xdr:row>6</xdr:row>
      <xdr:rowOff>217489</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76276"/>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95250</xdr:colOff>
      <xdr:row>9</xdr:row>
      <xdr:rowOff>122917</xdr:rowOff>
    </xdr:from>
    <xdr:to>
      <xdr:col>9</xdr:col>
      <xdr:colOff>611717</xdr:colOff>
      <xdr:row>12</xdr:row>
      <xdr:rowOff>60779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0050" y="199934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172715</xdr:colOff>
      <xdr:row>10</xdr:row>
      <xdr:rowOff>26885</xdr:rowOff>
    </xdr:from>
    <xdr:to>
      <xdr:col>6</xdr:col>
      <xdr:colOff>582896</xdr:colOff>
      <xdr:row>10</xdr:row>
      <xdr:rowOff>26885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87515" y="214143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163131</xdr:colOff>
      <xdr:row>11</xdr:row>
      <xdr:rowOff>134350</xdr:rowOff>
    </xdr:from>
    <xdr:to>
      <xdr:col>6</xdr:col>
      <xdr:colOff>578100</xdr:colOff>
      <xdr:row>11</xdr:row>
      <xdr:rowOff>134350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77931" y="248702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子牛１頭当たり全算入生産費の比較（年）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571500</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11956"/>
          <a:ext cx="6266995" cy="47697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費用のうち主要費目の比較（年・子牛１頭当たり）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直接労働時間の比較（年・子牛１頭当たり）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276225</xdr:colOff>
      <xdr:row>25</xdr:row>
      <xdr:rowOff>114300</xdr:rowOff>
    </xdr:from>
    <xdr:to>
      <xdr:col>1</xdr:col>
      <xdr:colOff>381000</xdr:colOff>
      <xdr:row>28</xdr:row>
      <xdr:rowOff>95250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76225" y="4972050"/>
          <a:ext cx="790575" cy="723900"/>
        </a:xfrm>
        <a:prstGeom prst="rect">
          <a:avLst/>
        </a:prstGeom>
      </xdr:spPr>
    </xdr:pic>
    <xdr:clientData/>
  </xdr:twoCellAnchor>
  <xdr:twoCellAnchor editAs="oneCell">
    <xdr:from>
      <xdr:col>0</xdr:col>
      <xdr:colOff>219075</xdr:colOff>
      <xdr:row>51</xdr:row>
      <xdr:rowOff>85725</xdr:rowOff>
    </xdr:from>
    <xdr:to>
      <xdr:col>1</xdr:col>
      <xdr:colOff>323850</xdr:colOff>
      <xdr:row>55</xdr:row>
      <xdr:rowOff>123825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19075" y="9829800"/>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子牛１頭当たり全算入生産費の経年変化（貴殿）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子牛１頭当たり労働時間の経年変化（貴殿）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34</xdr:col>
      <xdr:colOff>579967</xdr:colOff>
      <xdr:row>5</xdr:row>
      <xdr:rowOff>105833</xdr:rowOff>
    </xdr:from>
    <xdr:to>
      <xdr:col>35</xdr:col>
      <xdr:colOff>684742</xdr:colOff>
      <xdr:row>9</xdr:row>
      <xdr:rowOff>143933</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23897167" y="963083"/>
          <a:ext cx="790575" cy="723900"/>
        </a:xfrm>
        <a:prstGeom prst="rect">
          <a:avLst/>
        </a:prstGeom>
      </xdr:spPr>
    </xdr:pic>
    <xdr:clientData/>
  </xdr:twoCellAnchor>
  <xdr:twoCellAnchor editAs="oneCell">
    <xdr:from>
      <xdr:col>35</xdr:col>
      <xdr:colOff>46567</xdr:colOff>
      <xdr:row>6</xdr:row>
      <xdr:rowOff>86783</xdr:rowOff>
    </xdr:from>
    <xdr:to>
      <xdr:col>36</xdr:col>
      <xdr:colOff>151342</xdr:colOff>
      <xdr:row>9</xdr:row>
      <xdr:rowOff>296333</xdr:rowOff>
    </xdr:to>
    <xdr:pic>
      <xdr:nvPicPr>
        <xdr:cNvPr id="10" name="図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3"/>
        <a:stretch>
          <a:fillRect/>
        </a:stretch>
      </xdr:blipFill>
      <xdr:spPr>
        <a:xfrm>
          <a:off x="24049567" y="1115483"/>
          <a:ext cx="790575"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繁殖雌牛飼養頭数及び</a:t>
          </a:r>
          <a:endParaRPr kumimoji="1" lang="en-US" altLang="ja-JP" sz="1600">
            <a:solidFill>
              <a:sysClr val="windowText" lastClr="000000"/>
            </a:solidFill>
          </a:endParaRPr>
        </a:p>
        <a:p>
          <a:pPr algn="ctr"/>
          <a:r>
            <a:rPr kumimoji="1" lang="ja-JP" altLang="en-US" sz="1600">
              <a:solidFill>
                <a:sysClr val="windowText" lastClr="000000"/>
              </a:solidFill>
            </a:rPr>
            <a:t>子牛販売頭数の経年変化（貴殿）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子牛１頭当たりの物財費（費目別）の経年変化（貴殿）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6</xdr:row>
      <xdr:rowOff>171449</xdr:rowOff>
    </xdr:from>
    <xdr:to>
      <xdr:col>9</xdr:col>
      <xdr:colOff>635000</xdr:colOff>
      <xdr:row>13</xdr:row>
      <xdr:rowOff>9524</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1200149"/>
          <a:ext cx="301625" cy="1743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繁殖雌牛飼養頭数</a:t>
          </a:r>
        </a:p>
      </xdr:txBody>
    </xdr:sp>
    <xdr:clientData/>
  </xdr:twoCellAnchor>
  <xdr:twoCellAnchor>
    <xdr:from>
      <xdr:col>0</xdr:col>
      <xdr:colOff>111126</xdr:colOff>
      <xdr:row>14</xdr:row>
      <xdr:rowOff>0</xdr:rowOff>
    </xdr:from>
    <xdr:to>
      <xdr:col>0</xdr:col>
      <xdr:colOff>365126</xdr:colOff>
      <xdr:row>25</xdr:row>
      <xdr:rowOff>0</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105150"/>
          <a:ext cx="254000" cy="1885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子牛販売頭数</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45</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30"/>
      <c r="E5" s="230"/>
      <c r="F5" s="230"/>
      <c r="G5" s="230"/>
      <c r="H5" s="230"/>
      <c r="I5" s="230"/>
      <c r="J5" s="230"/>
      <c r="K5" s="230"/>
      <c r="L5" s="230"/>
      <c r="M5" s="230"/>
      <c r="N5" s="230"/>
      <c r="O5" s="230"/>
      <c r="P5" s="230"/>
      <c r="Q5" s="230"/>
      <c r="R5" s="231"/>
      <c r="S5" s="231"/>
      <c r="T5" s="17"/>
      <c r="U5" s="17"/>
      <c r="V5" s="17"/>
      <c r="AB5" s="17"/>
      <c r="AN5" s="18"/>
    </row>
    <row r="6" spans="1:40" s="14" customFormat="1" ht="15" customHeight="1">
      <c r="A6" s="15"/>
      <c r="B6" s="16"/>
      <c r="C6" s="17"/>
      <c r="D6" s="230"/>
      <c r="E6" s="230"/>
      <c r="F6" s="230"/>
      <c r="G6" s="230"/>
      <c r="H6" s="230"/>
      <c r="I6" s="230"/>
      <c r="J6" s="230"/>
      <c r="K6" s="230"/>
      <c r="L6" s="230"/>
      <c r="M6" s="230"/>
      <c r="N6" s="230"/>
      <c r="O6" s="230"/>
      <c r="P6" s="230"/>
      <c r="Q6" s="230"/>
      <c r="R6" s="231"/>
      <c r="S6" s="231"/>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32" t="s">
        <v>97</v>
      </c>
      <c r="P11" s="232"/>
      <c r="Q11" s="232"/>
      <c r="R11" s="232"/>
      <c r="S11" s="232"/>
      <c r="T11" s="232"/>
      <c r="U11" s="232"/>
      <c r="V11" s="232"/>
      <c r="W11" s="232"/>
      <c r="X11" s="232"/>
      <c r="Y11" s="232"/>
      <c r="Z11" s="232"/>
      <c r="AA11" s="232"/>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32"/>
      <c r="P12" s="232"/>
      <c r="Q12" s="232"/>
      <c r="R12" s="232"/>
      <c r="S12" s="232"/>
      <c r="T12" s="232"/>
      <c r="U12" s="232"/>
      <c r="V12" s="232"/>
      <c r="W12" s="232"/>
      <c r="X12" s="232"/>
      <c r="Y12" s="232"/>
      <c r="Z12" s="232"/>
      <c r="AA12" s="232"/>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9" t="s">
        <v>54</v>
      </c>
      <c r="K13" s="229"/>
      <c r="L13" s="229"/>
      <c r="M13" s="229"/>
      <c r="N13" s="229"/>
      <c r="O13" s="229"/>
      <c r="P13" s="229"/>
      <c r="Q13" s="229"/>
      <c r="R13" s="229"/>
      <c r="S13" s="229"/>
      <c r="T13" s="229"/>
      <c r="U13" s="229"/>
      <c r="V13" s="229"/>
      <c r="W13" s="229"/>
      <c r="X13" s="229"/>
      <c r="Y13" s="229"/>
      <c r="Z13" s="229"/>
      <c r="AA13" s="229"/>
      <c r="AB13" s="229"/>
      <c r="AC13" s="229"/>
      <c r="AD13" s="229"/>
      <c r="AE13" s="229"/>
      <c r="AF13" s="229"/>
      <c r="AG13" s="26"/>
      <c r="AH13" s="26"/>
      <c r="AI13" s="26"/>
      <c r="AJ13" s="26"/>
      <c r="AK13" s="26"/>
      <c r="AL13" s="26"/>
      <c r="AM13" s="26"/>
      <c r="AN13" s="18"/>
    </row>
    <row r="14" spans="1:40" s="14" customFormat="1" ht="15" customHeight="1">
      <c r="A14" s="15"/>
      <c r="B14" s="16"/>
      <c r="C14" s="26"/>
      <c r="D14" s="26"/>
      <c r="E14" s="26"/>
      <c r="F14" s="26"/>
      <c r="G14" s="26"/>
      <c r="H14" s="26"/>
      <c r="I14" s="26"/>
      <c r="J14" s="229"/>
      <c r="K14" s="229"/>
      <c r="L14" s="229"/>
      <c r="M14" s="229"/>
      <c r="N14" s="229"/>
      <c r="O14" s="229"/>
      <c r="P14" s="229"/>
      <c r="Q14" s="229"/>
      <c r="R14" s="229"/>
      <c r="S14" s="229"/>
      <c r="T14" s="229"/>
      <c r="U14" s="229"/>
      <c r="V14" s="229"/>
      <c r="W14" s="229"/>
      <c r="X14" s="229"/>
      <c r="Y14" s="229"/>
      <c r="Z14" s="229"/>
      <c r="AA14" s="229"/>
      <c r="AB14" s="229"/>
      <c r="AC14" s="229"/>
      <c r="AD14" s="229"/>
      <c r="AE14" s="229"/>
      <c r="AF14" s="229"/>
      <c r="AG14" s="26"/>
      <c r="AH14" s="26"/>
      <c r="AI14" s="26"/>
      <c r="AJ14" s="26"/>
      <c r="AK14" s="26"/>
      <c r="AL14" s="26"/>
      <c r="AM14" s="26"/>
      <c r="AN14" s="18"/>
    </row>
    <row r="15" spans="1:40" s="14" customFormat="1" ht="15" customHeight="1">
      <c r="A15" s="15"/>
      <c r="B15" s="16"/>
      <c r="C15" s="17"/>
      <c r="D15" s="26"/>
      <c r="E15" s="26"/>
      <c r="F15" s="26"/>
      <c r="G15" s="26"/>
      <c r="H15" s="26"/>
      <c r="I15" s="26"/>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6"/>
      <c r="AH15" s="26"/>
      <c r="AI15" s="26"/>
      <c r="AJ15" s="26"/>
      <c r="AK15" s="26"/>
      <c r="AL15" s="26"/>
      <c r="AM15" s="26"/>
      <c r="AN15" s="18"/>
    </row>
    <row r="16" spans="1:40" s="14" customFormat="1" ht="15" customHeight="1">
      <c r="A16" s="15"/>
      <c r="B16" s="16"/>
      <c r="C16" s="17"/>
      <c r="D16" s="17"/>
      <c r="E16" s="17"/>
      <c r="F16" s="17"/>
      <c r="G16" s="17"/>
      <c r="H16" s="17"/>
      <c r="I16" s="17"/>
      <c r="J16" s="226" t="s">
        <v>58</v>
      </c>
      <c r="K16" s="226"/>
      <c r="L16" s="226"/>
      <c r="M16" s="226"/>
      <c r="N16" s="226"/>
      <c r="O16" s="226"/>
      <c r="P16" s="226"/>
      <c r="Q16" s="226"/>
      <c r="R16" s="226"/>
      <c r="S16" s="226"/>
      <c r="T16" s="226"/>
      <c r="U16" s="226"/>
      <c r="V16" s="226"/>
      <c r="W16" s="226"/>
      <c r="X16" s="226"/>
      <c r="Y16" s="226"/>
      <c r="Z16" s="226"/>
      <c r="AA16" s="226"/>
      <c r="AB16" s="226"/>
      <c r="AC16" s="226"/>
      <c r="AD16" s="226"/>
      <c r="AE16" s="226"/>
      <c r="AF16" s="27"/>
      <c r="AG16" s="28"/>
      <c r="AH16" s="28"/>
      <c r="AI16" s="28"/>
      <c r="AJ16" s="28"/>
      <c r="AK16" s="28"/>
      <c r="AL16" s="28"/>
      <c r="AM16" s="28"/>
      <c r="AN16" s="29"/>
    </row>
    <row r="17" spans="1:40" s="14" customFormat="1" ht="15" customHeight="1">
      <c r="A17" s="15"/>
      <c r="B17" s="16"/>
      <c r="C17" s="30"/>
      <c r="D17" s="30"/>
      <c r="E17" s="30"/>
      <c r="F17" s="30"/>
      <c r="G17" s="30"/>
      <c r="H17" s="17"/>
      <c r="I17" s="17"/>
      <c r="J17" s="226"/>
      <c r="K17" s="226"/>
      <c r="L17" s="226"/>
      <c r="M17" s="226"/>
      <c r="N17" s="226"/>
      <c r="O17" s="226"/>
      <c r="P17" s="226"/>
      <c r="Q17" s="226"/>
      <c r="R17" s="226"/>
      <c r="S17" s="226"/>
      <c r="T17" s="226"/>
      <c r="U17" s="226"/>
      <c r="V17" s="226"/>
      <c r="W17" s="226"/>
      <c r="X17" s="226"/>
      <c r="Y17" s="226"/>
      <c r="Z17" s="226"/>
      <c r="AA17" s="226"/>
      <c r="AB17" s="226"/>
      <c r="AC17" s="226"/>
      <c r="AD17" s="226"/>
      <c r="AE17" s="226"/>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7"/>
      <c r="L24" s="228"/>
      <c r="M24" s="228"/>
      <c r="N24" s="228"/>
      <c r="O24" s="228"/>
      <c r="P24" s="228"/>
      <c r="Q24" s="228"/>
      <c r="R24" s="228"/>
      <c r="S24" s="228"/>
      <c r="T24" s="228"/>
      <c r="U24" s="228"/>
      <c r="V24" s="228"/>
      <c r="W24" s="228"/>
      <c r="X24" s="228"/>
      <c r="Y24" s="228"/>
      <c r="Z24" s="228"/>
      <c r="AA24" s="228"/>
      <c r="AB24" s="228"/>
      <c r="AC24" s="228"/>
      <c r="AD24" s="228"/>
      <c r="AE24" s="228"/>
      <c r="AF24" s="17"/>
      <c r="AG24" s="17"/>
      <c r="AH24" s="17"/>
      <c r="AI24" s="17"/>
      <c r="AJ24" s="17"/>
      <c r="AK24" s="17"/>
      <c r="AL24" s="17"/>
      <c r="AM24" s="17"/>
      <c r="AN24" s="18"/>
    </row>
    <row r="25" spans="1:40" s="14" customFormat="1" ht="15" customHeight="1">
      <c r="A25" s="15"/>
      <c r="B25" s="36"/>
      <c r="J25" s="17"/>
      <c r="K25" s="228"/>
      <c r="L25" s="228"/>
      <c r="M25" s="228"/>
      <c r="N25" s="228"/>
      <c r="O25" s="228"/>
      <c r="P25" s="228"/>
      <c r="Q25" s="228"/>
      <c r="R25" s="228"/>
      <c r="S25" s="228"/>
      <c r="T25" s="228"/>
      <c r="U25" s="228"/>
      <c r="V25" s="228"/>
      <c r="W25" s="228"/>
      <c r="X25" s="228"/>
      <c r="Y25" s="228"/>
      <c r="Z25" s="228"/>
      <c r="AA25" s="228"/>
      <c r="AB25" s="228"/>
      <c r="AC25" s="228"/>
      <c r="AD25" s="228"/>
      <c r="AE25" s="228"/>
      <c r="AF25" s="17"/>
      <c r="AG25" s="17"/>
      <c r="AH25" s="17"/>
      <c r="AI25" s="17"/>
      <c r="AJ25" s="17"/>
      <c r="AK25" s="17"/>
      <c r="AL25" s="17"/>
      <c r="AM25" s="17"/>
      <c r="AN25" s="18"/>
    </row>
    <row r="26" spans="1:40" s="14" customFormat="1" ht="15" customHeight="1">
      <c r="A26" s="15"/>
      <c r="B26" s="36"/>
      <c r="I26" s="37"/>
      <c r="J26" s="37"/>
      <c r="K26" s="228"/>
      <c r="L26" s="228"/>
      <c r="M26" s="228"/>
      <c r="N26" s="228"/>
      <c r="O26" s="228"/>
      <c r="P26" s="228"/>
      <c r="Q26" s="228"/>
      <c r="R26" s="228"/>
      <c r="S26" s="228"/>
      <c r="T26" s="228"/>
      <c r="U26" s="228"/>
      <c r="V26" s="228"/>
      <c r="W26" s="228"/>
      <c r="X26" s="228"/>
      <c r="Y26" s="228"/>
      <c r="Z26" s="228"/>
      <c r="AA26" s="228"/>
      <c r="AB26" s="228"/>
      <c r="AC26" s="228"/>
      <c r="AD26" s="228"/>
      <c r="AE26" s="228"/>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98</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325"/>
      <c r="B6" s="326"/>
      <c r="C6" s="327"/>
      <c r="D6" s="334" t="s">
        <v>119</v>
      </c>
      <c r="E6" s="335"/>
      <c r="F6" s="336"/>
      <c r="G6" s="340"/>
      <c r="H6" s="341"/>
      <c r="I6" s="334" t="s">
        <v>120</v>
      </c>
      <c r="J6" s="335"/>
      <c r="K6" s="335"/>
      <c r="L6" s="335"/>
      <c r="M6" s="335"/>
      <c r="N6" s="335"/>
      <c r="O6" s="335"/>
      <c r="P6" s="335"/>
      <c r="Q6" s="335"/>
      <c r="R6" s="335"/>
      <c r="S6" s="335"/>
      <c r="T6" s="336"/>
    </row>
    <row r="7" spans="1:20" ht="9" customHeight="1">
      <c r="A7" s="328"/>
      <c r="B7" s="329"/>
      <c r="C7" s="330"/>
      <c r="D7" s="337"/>
      <c r="E7" s="338"/>
      <c r="F7" s="339"/>
      <c r="G7" s="342"/>
      <c r="H7" s="343"/>
      <c r="I7" s="337"/>
      <c r="J7" s="338"/>
      <c r="K7" s="338"/>
      <c r="L7" s="338"/>
      <c r="M7" s="338"/>
      <c r="N7" s="338"/>
      <c r="O7" s="338"/>
      <c r="P7" s="338"/>
      <c r="Q7" s="338"/>
      <c r="R7" s="338"/>
      <c r="S7" s="338"/>
      <c r="T7" s="339"/>
    </row>
    <row r="8" spans="1:20" ht="21" customHeight="1" thickBot="1">
      <c r="A8" s="331"/>
      <c r="B8" s="332"/>
      <c r="C8" s="333"/>
      <c r="D8" s="94" t="s">
        <v>99</v>
      </c>
      <c r="E8" s="95" t="s">
        <v>99</v>
      </c>
      <c r="F8" s="58" t="s">
        <v>26</v>
      </c>
      <c r="G8" s="344"/>
      <c r="H8" s="345"/>
      <c r="I8" s="346" t="s">
        <v>99</v>
      </c>
      <c r="J8" s="347"/>
      <c r="K8" s="347"/>
      <c r="L8" s="347"/>
      <c r="M8" s="348" t="s">
        <v>99</v>
      </c>
      <c r="N8" s="349"/>
      <c r="O8" s="349"/>
      <c r="P8" s="350"/>
      <c r="Q8" s="351" t="s">
        <v>26</v>
      </c>
      <c r="R8" s="351"/>
      <c r="S8" s="351"/>
      <c r="T8" s="352"/>
    </row>
    <row r="9" spans="1:20" ht="17.45" customHeight="1" thickTop="1">
      <c r="A9" s="353" t="s">
        <v>20</v>
      </c>
      <c r="B9" s="354"/>
      <c r="C9" s="355"/>
      <c r="D9" s="73"/>
      <c r="E9" s="74"/>
      <c r="F9" s="79" t="str">
        <f>IF(ISERROR(D9/E9),"",(D9/E9-1)*100)</f>
        <v/>
      </c>
      <c r="G9" s="359" t="s">
        <v>9</v>
      </c>
      <c r="H9" s="123" t="s">
        <v>90</v>
      </c>
      <c r="I9" s="356"/>
      <c r="J9" s="357"/>
      <c r="K9" s="357"/>
      <c r="L9" s="357"/>
      <c r="M9" s="357"/>
      <c r="N9" s="357"/>
      <c r="O9" s="357"/>
      <c r="P9" s="357"/>
      <c r="Q9" s="357" t="str">
        <f>IF(ISERROR(I9/M9),"",(I9/M9-1)*100)</f>
        <v/>
      </c>
      <c r="R9" s="357"/>
      <c r="S9" s="357"/>
      <c r="T9" s="358"/>
    </row>
    <row r="10" spans="1:20" ht="17.45" customHeight="1">
      <c r="A10" s="102"/>
      <c r="B10" s="248" t="s">
        <v>61</v>
      </c>
      <c r="C10" s="249"/>
      <c r="D10" s="75"/>
      <c r="E10" s="76"/>
      <c r="F10" s="80" t="str">
        <f t="shared" ref="F10:F39" si="0">IF(ISERROR(D10/E10),"",(D10/E10-1)*100)</f>
        <v/>
      </c>
      <c r="G10" s="360"/>
      <c r="H10" s="124" t="s">
        <v>91</v>
      </c>
      <c r="I10" s="312"/>
      <c r="J10" s="313"/>
      <c r="K10" s="313"/>
      <c r="L10" s="313"/>
      <c r="M10" s="313"/>
      <c r="N10" s="313"/>
      <c r="O10" s="313"/>
      <c r="P10" s="313"/>
      <c r="Q10" s="313" t="str">
        <f t="shared" ref="Q10:Q15" si="1">IF(ISERROR(I10/M10),"",(I10/M10-1)*100)</f>
        <v/>
      </c>
      <c r="R10" s="313"/>
      <c r="S10" s="313"/>
      <c r="T10" s="324"/>
    </row>
    <row r="11" spans="1:20" ht="17.45" customHeight="1">
      <c r="A11" s="102"/>
      <c r="B11" s="248" t="s">
        <v>104</v>
      </c>
      <c r="C11" s="249"/>
      <c r="D11" s="75"/>
      <c r="E11" s="76"/>
      <c r="F11" s="80" t="str">
        <f t="shared" si="0"/>
        <v/>
      </c>
      <c r="G11" s="360"/>
      <c r="H11" s="124" t="s">
        <v>92</v>
      </c>
      <c r="I11" s="312"/>
      <c r="J11" s="313"/>
      <c r="K11" s="313"/>
      <c r="L11" s="313"/>
      <c r="M11" s="357"/>
      <c r="N11" s="357"/>
      <c r="O11" s="357"/>
      <c r="P11" s="357"/>
      <c r="Q11" s="313" t="str">
        <f t="shared" si="1"/>
        <v/>
      </c>
      <c r="R11" s="313"/>
      <c r="S11" s="313"/>
      <c r="T11" s="324"/>
    </row>
    <row r="12" spans="1:20" ht="17.45" customHeight="1">
      <c r="A12" s="102"/>
      <c r="B12" s="248" t="s">
        <v>105</v>
      </c>
      <c r="C12" s="249"/>
      <c r="D12" s="75"/>
      <c r="E12" s="76"/>
      <c r="F12" s="80" t="str">
        <f t="shared" si="0"/>
        <v/>
      </c>
      <c r="G12" s="361"/>
      <c r="H12" s="104" t="s">
        <v>10</v>
      </c>
      <c r="I12" s="312"/>
      <c r="J12" s="313"/>
      <c r="K12" s="313"/>
      <c r="L12" s="313"/>
      <c r="M12" s="313"/>
      <c r="N12" s="313"/>
      <c r="O12" s="313"/>
      <c r="P12" s="313"/>
      <c r="Q12" s="313" t="str">
        <f t="shared" si="1"/>
        <v/>
      </c>
      <c r="R12" s="313"/>
      <c r="S12" s="313"/>
      <c r="T12" s="324"/>
    </row>
    <row r="13" spans="1:20" ht="17.45" customHeight="1">
      <c r="A13" s="102"/>
      <c r="B13" s="248" t="s">
        <v>63</v>
      </c>
      <c r="C13" s="249"/>
      <c r="D13" s="75"/>
      <c r="E13" s="76"/>
      <c r="F13" s="80" t="str">
        <f t="shared" si="0"/>
        <v/>
      </c>
      <c r="G13" s="120" t="s">
        <v>11</v>
      </c>
      <c r="H13" s="98"/>
      <c r="I13" s="312"/>
      <c r="J13" s="313"/>
      <c r="K13" s="313"/>
      <c r="L13" s="313"/>
      <c r="M13" s="313"/>
      <c r="N13" s="313"/>
      <c r="O13" s="313"/>
      <c r="P13" s="313"/>
      <c r="Q13" s="313" t="str">
        <f t="shared" si="1"/>
        <v/>
      </c>
      <c r="R13" s="313"/>
      <c r="S13" s="313"/>
      <c r="T13" s="324"/>
    </row>
    <row r="14" spans="1:20" ht="17.45" customHeight="1">
      <c r="A14" s="102"/>
      <c r="B14" s="248" t="s">
        <v>65</v>
      </c>
      <c r="C14" s="249"/>
      <c r="D14" s="75"/>
      <c r="E14" s="76"/>
      <c r="F14" s="80" t="str">
        <f t="shared" si="0"/>
        <v/>
      </c>
      <c r="G14" s="122"/>
      <c r="H14" s="121" t="s">
        <v>96</v>
      </c>
      <c r="I14" s="312"/>
      <c r="J14" s="313"/>
      <c r="K14" s="313"/>
      <c r="L14" s="313"/>
      <c r="M14" s="313"/>
      <c r="N14" s="313"/>
      <c r="O14" s="313"/>
      <c r="P14" s="313"/>
      <c r="Q14" s="313" t="str">
        <f t="shared" ref="Q14" si="2">IF(ISERROR(I14/M14),"",(I14/M14-1)*100)</f>
        <v/>
      </c>
      <c r="R14" s="313"/>
      <c r="S14" s="313"/>
      <c r="T14" s="324"/>
    </row>
    <row r="15" spans="1:20" ht="17.45" customHeight="1">
      <c r="A15" s="102"/>
      <c r="B15" s="248" t="s">
        <v>67</v>
      </c>
      <c r="C15" s="249"/>
      <c r="D15" s="75"/>
      <c r="E15" s="76"/>
      <c r="F15" s="80" t="str">
        <f t="shared" si="0"/>
        <v/>
      </c>
      <c r="G15" s="105" t="s">
        <v>12</v>
      </c>
      <c r="H15" s="106"/>
      <c r="I15" s="314"/>
      <c r="J15" s="315"/>
      <c r="K15" s="315"/>
      <c r="L15" s="315"/>
      <c r="M15" s="315"/>
      <c r="N15" s="315"/>
      <c r="O15" s="315"/>
      <c r="P15" s="315"/>
      <c r="Q15" s="315" t="str">
        <f t="shared" si="1"/>
        <v/>
      </c>
      <c r="R15" s="315"/>
      <c r="S15" s="315"/>
      <c r="T15" s="238"/>
    </row>
    <row r="16" spans="1:20" ht="17.45" customHeight="1" thickBot="1">
      <c r="A16" s="102"/>
      <c r="B16" s="248" t="s">
        <v>69</v>
      </c>
      <c r="C16" s="249"/>
      <c r="D16" s="75"/>
      <c r="E16" s="76"/>
      <c r="F16" s="80" t="str">
        <f t="shared" si="0"/>
        <v/>
      </c>
      <c r="G16" s="107"/>
      <c r="H16" s="108"/>
      <c r="I16" s="287"/>
      <c r="J16" s="288"/>
      <c r="K16" s="288"/>
      <c r="L16" s="288"/>
      <c r="M16" s="288"/>
      <c r="N16" s="288"/>
      <c r="O16" s="288"/>
      <c r="P16" s="288"/>
      <c r="Q16" s="310"/>
      <c r="R16" s="310"/>
      <c r="S16" s="310"/>
      <c r="T16" s="311"/>
    </row>
    <row r="17" spans="1:20" ht="17.45" customHeight="1">
      <c r="A17" s="102"/>
      <c r="B17" s="248" t="s">
        <v>71</v>
      </c>
      <c r="C17" s="249"/>
      <c r="D17" s="75"/>
      <c r="E17" s="76"/>
      <c r="F17" s="119" t="str">
        <f t="shared" ref="F17:F18" si="3">IF(ISERROR(D17/E17),"",(D17/E17-1)*100)</f>
        <v/>
      </c>
      <c r="G17" s="109"/>
      <c r="H17" s="109"/>
      <c r="I17" s="1"/>
      <c r="J17" s="1"/>
      <c r="K17" s="1"/>
      <c r="L17" s="1"/>
      <c r="M17" s="1"/>
      <c r="N17" s="1"/>
      <c r="O17" s="1"/>
      <c r="P17" s="1"/>
      <c r="Q17" s="1"/>
      <c r="R17" s="1"/>
      <c r="S17" s="1"/>
      <c r="T17" s="1"/>
    </row>
    <row r="18" spans="1:20" ht="17.45" customHeight="1" thickBot="1">
      <c r="A18" s="102"/>
      <c r="B18" s="248" t="s">
        <v>73</v>
      </c>
      <c r="C18" s="249"/>
      <c r="D18" s="75"/>
      <c r="E18" s="76"/>
      <c r="F18" s="119" t="str">
        <f t="shared" si="3"/>
        <v/>
      </c>
      <c r="G18" s="3" t="s">
        <v>127</v>
      </c>
      <c r="H18" s="3"/>
    </row>
    <row r="19" spans="1:20" ht="17.45" customHeight="1">
      <c r="A19" s="102"/>
      <c r="B19" s="248" t="s">
        <v>75</v>
      </c>
      <c r="C19" s="249"/>
      <c r="D19" s="75"/>
      <c r="E19" s="76"/>
      <c r="F19" s="80" t="str">
        <f t="shared" si="0"/>
        <v/>
      </c>
      <c r="G19" s="292"/>
      <c r="H19" s="293"/>
      <c r="I19" s="289" t="s">
        <v>120</v>
      </c>
      <c r="J19" s="290"/>
      <c r="K19" s="290"/>
      <c r="L19" s="290"/>
      <c r="M19" s="290"/>
      <c r="N19" s="290"/>
      <c r="O19" s="290"/>
      <c r="P19" s="290"/>
      <c r="Q19" s="290"/>
      <c r="R19" s="290"/>
      <c r="S19" s="290"/>
      <c r="T19" s="291"/>
    </row>
    <row r="20" spans="1:20" ht="17.45" customHeight="1">
      <c r="A20" s="102"/>
      <c r="B20" s="248" t="s">
        <v>77</v>
      </c>
      <c r="C20" s="249"/>
      <c r="D20" s="75"/>
      <c r="E20" s="76"/>
      <c r="F20" s="80" t="str">
        <f t="shared" si="0"/>
        <v/>
      </c>
      <c r="G20" s="294"/>
      <c r="H20" s="295"/>
      <c r="I20" s="299" t="s">
        <v>99</v>
      </c>
      <c r="J20" s="300"/>
      <c r="K20" s="300"/>
      <c r="L20" s="300"/>
      <c r="M20" s="300"/>
      <c r="N20" s="301"/>
      <c r="O20" s="257" t="s">
        <v>99</v>
      </c>
      <c r="P20" s="258"/>
      <c r="Q20" s="258"/>
      <c r="R20" s="258"/>
      <c r="S20" s="258"/>
      <c r="T20" s="259"/>
    </row>
    <row r="21" spans="1:20" ht="17.45" customHeight="1" thickBot="1">
      <c r="A21" s="102"/>
      <c r="B21" s="248" t="s">
        <v>81</v>
      </c>
      <c r="C21" s="249"/>
      <c r="D21" s="75"/>
      <c r="E21" s="76"/>
      <c r="F21" s="80" t="str">
        <f t="shared" si="0"/>
        <v/>
      </c>
      <c r="G21" s="296"/>
      <c r="H21" s="297"/>
      <c r="I21" s="263" t="s">
        <v>41</v>
      </c>
      <c r="J21" s="264"/>
      <c r="K21" s="265"/>
      <c r="L21" s="266" t="s">
        <v>30</v>
      </c>
      <c r="M21" s="264"/>
      <c r="N21" s="265"/>
      <c r="O21" s="266" t="s">
        <v>41</v>
      </c>
      <c r="P21" s="264"/>
      <c r="Q21" s="265"/>
      <c r="R21" s="266" t="s">
        <v>30</v>
      </c>
      <c r="S21" s="264"/>
      <c r="T21" s="267"/>
    </row>
    <row r="22" spans="1:20" ht="17.45" customHeight="1" thickTop="1">
      <c r="A22" s="102"/>
      <c r="B22" s="248" t="s">
        <v>79</v>
      </c>
      <c r="C22" s="249"/>
      <c r="D22" s="75"/>
      <c r="E22" s="76"/>
      <c r="F22" s="80" t="str">
        <f t="shared" si="0"/>
        <v/>
      </c>
      <c r="G22" s="302" t="s">
        <v>13</v>
      </c>
      <c r="H22" s="124" t="s">
        <v>93</v>
      </c>
      <c r="I22" s="275"/>
      <c r="J22" s="276"/>
      <c r="K22" s="277"/>
      <c r="L22" s="278"/>
      <c r="M22" s="279"/>
      <c r="N22" s="280"/>
      <c r="O22" s="304"/>
      <c r="P22" s="276"/>
      <c r="Q22" s="277"/>
      <c r="R22" s="278"/>
      <c r="S22" s="279"/>
      <c r="T22" s="305"/>
    </row>
    <row r="23" spans="1:20" ht="17.45" customHeight="1" thickBot="1">
      <c r="A23" s="103"/>
      <c r="B23" s="248" t="s">
        <v>83</v>
      </c>
      <c r="C23" s="249"/>
      <c r="D23" s="75"/>
      <c r="E23" s="76"/>
      <c r="F23" s="80" t="str">
        <f t="shared" si="0"/>
        <v/>
      </c>
      <c r="G23" s="303"/>
      <c r="H23" s="135" t="s">
        <v>94</v>
      </c>
      <c r="I23" s="319"/>
      <c r="J23" s="320"/>
      <c r="K23" s="321"/>
      <c r="L23" s="306"/>
      <c r="M23" s="307"/>
      <c r="N23" s="322"/>
      <c r="O23" s="323"/>
      <c r="P23" s="320"/>
      <c r="Q23" s="321"/>
      <c r="R23" s="306"/>
      <c r="S23" s="307"/>
      <c r="T23" s="308"/>
    </row>
    <row r="24" spans="1:20" ht="17.45" customHeight="1" thickTop="1" thickBot="1">
      <c r="A24" s="316" t="s">
        <v>8</v>
      </c>
      <c r="B24" s="317"/>
      <c r="C24" s="318"/>
      <c r="D24" s="75"/>
      <c r="E24" s="76"/>
      <c r="F24" s="80" t="str">
        <f t="shared" si="0"/>
        <v/>
      </c>
      <c r="G24" s="129" t="s">
        <v>29</v>
      </c>
      <c r="H24" s="136" t="s">
        <v>95</v>
      </c>
      <c r="I24" s="309"/>
      <c r="J24" s="272"/>
      <c r="K24" s="273"/>
      <c r="L24" s="268"/>
      <c r="M24" s="269"/>
      <c r="N24" s="270"/>
      <c r="O24" s="271"/>
      <c r="P24" s="272"/>
      <c r="Q24" s="273"/>
      <c r="R24" s="268"/>
      <c r="S24" s="269"/>
      <c r="T24" s="274"/>
    </row>
    <row r="25" spans="1:20" ht="17.45" customHeight="1">
      <c r="A25" s="102"/>
      <c r="B25" s="298" t="s">
        <v>1</v>
      </c>
      <c r="C25" s="235"/>
      <c r="D25" s="75"/>
      <c r="E25" s="76"/>
      <c r="F25" s="80" t="str">
        <f t="shared" si="0"/>
        <v/>
      </c>
    </row>
    <row r="26" spans="1:20" ht="17.45" customHeight="1">
      <c r="A26" s="103"/>
      <c r="B26" s="298" t="s">
        <v>2</v>
      </c>
      <c r="C26" s="235"/>
      <c r="D26" s="75"/>
      <c r="E26" s="76"/>
      <c r="F26" s="81" t="str">
        <f t="shared" si="0"/>
        <v/>
      </c>
    </row>
    <row r="27" spans="1:20" ht="17.45" customHeight="1">
      <c r="A27" s="281" t="s">
        <v>3</v>
      </c>
      <c r="B27" s="282"/>
      <c r="C27" s="283"/>
      <c r="D27" s="246"/>
      <c r="E27" s="236"/>
      <c r="F27" s="238" t="str">
        <f t="shared" si="0"/>
        <v/>
      </c>
    </row>
    <row r="28" spans="1:20" ht="17.45" customHeight="1">
      <c r="A28" s="284"/>
      <c r="B28" s="285"/>
      <c r="C28" s="286"/>
      <c r="D28" s="246"/>
      <c r="E28" s="236"/>
      <c r="F28" s="238" t="str">
        <f t="shared" si="0"/>
        <v/>
      </c>
    </row>
    <row r="29" spans="1:20" ht="17.45" customHeight="1">
      <c r="A29" s="233" t="s">
        <v>4</v>
      </c>
      <c r="B29" s="234"/>
      <c r="C29" s="235"/>
      <c r="D29" s="75"/>
      <c r="E29" s="76"/>
      <c r="F29" s="80" t="str">
        <f t="shared" si="0"/>
        <v/>
      </c>
    </row>
    <row r="30" spans="1:20" ht="17.45" customHeight="1">
      <c r="A30" s="281" t="s">
        <v>43</v>
      </c>
      <c r="B30" s="282"/>
      <c r="C30" s="283"/>
      <c r="D30" s="246"/>
      <c r="E30" s="236"/>
      <c r="F30" s="238" t="str">
        <f t="shared" si="0"/>
        <v/>
      </c>
    </row>
    <row r="31" spans="1:20" ht="17.45" customHeight="1">
      <c r="A31" s="284"/>
      <c r="B31" s="285"/>
      <c r="C31" s="286"/>
      <c r="D31" s="246"/>
      <c r="E31" s="236"/>
      <c r="F31" s="238" t="str">
        <f t="shared" si="0"/>
        <v/>
      </c>
    </row>
    <row r="32" spans="1:20" ht="17.45" customHeight="1">
      <c r="A32" s="233" t="s">
        <v>5</v>
      </c>
      <c r="B32" s="234"/>
      <c r="C32" s="235"/>
      <c r="D32" s="75"/>
      <c r="E32" s="76"/>
      <c r="F32" s="80" t="str">
        <f t="shared" si="0"/>
        <v/>
      </c>
    </row>
    <row r="33" spans="1:6" ht="17.45" customHeight="1">
      <c r="A33" s="260" t="s">
        <v>6</v>
      </c>
      <c r="B33" s="261"/>
      <c r="C33" s="262"/>
      <c r="D33" s="77"/>
      <c r="E33" s="78"/>
      <c r="F33" s="82" t="str">
        <f t="shared" si="0"/>
        <v/>
      </c>
    </row>
    <row r="34" spans="1:6" ht="17.45" customHeight="1">
      <c r="A34" s="233" t="s">
        <v>7</v>
      </c>
      <c r="B34" s="234"/>
      <c r="C34" s="235"/>
      <c r="D34" s="75"/>
      <c r="E34" s="76"/>
      <c r="F34" s="80" t="str">
        <f t="shared" si="0"/>
        <v/>
      </c>
    </row>
    <row r="35" spans="1:6" ht="17.45" customHeight="1">
      <c r="A35" s="240" t="s">
        <v>40</v>
      </c>
      <c r="B35" s="241"/>
      <c r="C35" s="242"/>
      <c r="D35" s="246"/>
      <c r="E35" s="236"/>
      <c r="F35" s="238" t="str">
        <f t="shared" si="0"/>
        <v/>
      </c>
    </row>
    <row r="36" spans="1:6" ht="17.45" customHeight="1" thickBot="1">
      <c r="A36" s="243"/>
      <c r="B36" s="244"/>
      <c r="C36" s="245"/>
      <c r="D36" s="247"/>
      <c r="E36" s="237"/>
      <c r="F36" s="239" t="str">
        <f t="shared" si="0"/>
        <v/>
      </c>
    </row>
    <row r="37" spans="1:6" ht="17.45" customHeight="1">
      <c r="A37" s="252" t="s">
        <v>42</v>
      </c>
      <c r="B37" s="255" t="s">
        <v>85</v>
      </c>
      <c r="C37" s="256"/>
      <c r="D37" s="192"/>
      <c r="E37" s="193"/>
      <c r="F37" s="83" t="str">
        <f t="shared" si="0"/>
        <v/>
      </c>
    </row>
    <row r="38" spans="1:6" ht="17.45" customHeight="1">
      <c r="A38" s="253"/>
      <c r="B38" s="248" t="s">
        <v>87</v>
      </c>
      <c r="C38" s="249"/>
      <c r="D38" s="101"/>
      <c r="E38" s="191"/>
      <c r="F38" s="80" t="str">
        <f t="shared" si="0"/>
        <v/>
      </c>
    </row>
    <row r="39" spans="1:6" ht="17.45" customHeight="1" thickBot="1">
      <c r="A39" s="254"/>
      <c r="B39" s="250" t="s">
        <v>89</v>
      </c>
      <c r="C39" s="251"/>
      <c r="D39" s="85"/>
      <c r="E39" s="86"/>
      <c r="F39" s="84" t="str">
        <f t="shared" si="0"/>
        <v/>
      </c>
    </row>
    <row r="40" spans="1:6" ht="20.25" customHeight="1"/>
    <row r="41" spans="1:6" ht="20.25" customHeight="1"/>
    <row r="42" spans="1:6" ht="20.25" customHeight="1"/>
    <row r="43" spans="1:6" ht="20.25" customHeight="1"/>
    <row r="44" spans="1:6" ht="20.25" customHeight="1"/>
    <row r="45" spans="1:6" ht="20.25" customHeight="1"/>
    <row r="46" spans="1:6" ht="21" customHeight="1">
      <c r="F46" s="62"/>
    </row>
    <row r="47" spans="1:6" ht="21" customHeight="1"/>
    <row r="48" spans="1:6" ht="12" customHeight="1"/>
  </sheetData>
  <mergeCells count="91">
    <mergeCell ref="A9:C9"/>
    <mergeCell ref="I9:L9"/>
    <mergeCell ref="M9:P9"/>
    <mergeCell ref="Q9:T9"/>
    <mergeCell ref="G9:G12"/>
    <mergeCell ref="B12:C12"/>
    <mergeCell ref="B11:C11"/>
    <mergeCell ref="I11:L11"/>
    <mergeCell ref="M11:P11"/>
    <mergeCell ref="Q11:T11"/>
    <mergeCell ref="B10:C10"/>
    <mergeCell ref="I10:L10"/>
    <mergeCell ref="M10:P10"/>
    <mergeCell ref="Q10:T10"/>
    <mergeCell ref="A6:C8"/>
    <mergeCell ref="D6:F7"/>
    <mergeCell ref="G6:H8"/>
    <mergeCell ref="I6:T7"/>
    <mergeCell ref="I8:L8"/>
    <mergeCell ref="M8:P8"/>
    <mergeCell ref="Q8:T8"/>
    <mergeCell ref="B13:C13"/>
    <mergeCell ref="B20:C20"/>
    <mergeCell ref="B19:C19"/>
    <mergeCell ref="B16:C16"/>
    <mergeCell ref="B17:C17"/>
    <mergeCell ref="B18:C18"/>
    <mergeCell ref="B15:C15"/>
    <mergeCell ref="I13:L13"/>
    <mergeCell ref="M13:P13"/>
    <mergeCell ref="Q13:T13"/>
    <mergeCell ref="I12:L12"/>
    <mergeCell ref="M12:P12"/>
    <mergeCell ref="Q12:T12"/>
    <mergeCell ref="I14:L14"/>
    <mergeCell ref="I15:L15"/>
    <mergeCell ref="M15:P15"/>
    <mergeCell ref="Q15:T15"/>
    <mergeCell ref="B25:C25"/>
    <mergeCell ref="A24:C24"/>
    <mergeCell ref="B23:C23"/>
    <mergeCell ref="B22:C22"/>
    <mergeCell ref="B21:C21"/>
    <mergeCell ref="I23:K23"/>
    <mergeCell ref="L23:N23"/>
    <mergeCell ref="O23:Q23"/>
    <mergeCell ref="B14:C14"/>
    <mergeCell ref="M14:P14"/>
    <mergeCell ref="Q14:T14"/>
    <mergeCell ref="A27:C28"/>
    <mergeCell ref="D27:D28"/>
    <mergeCell ref="E27:E28"/>
    <mergeCell ref="F27:F28"/>
    <mergeCell ref="I16:L16"/>
    <mergeCell ref="I19:T19"/>
    <mergeCell ref="G19:H21"/>
    <mergeCell ref="B26:C26"/>
    <mergeCell ref="I20:N20"/>
    <mergeCell ref="G22:G23"/>
    <mergeCell ref="O22:Q22"/>
    <mergeCell ref="R22:T22"/>
    <mergeCell ref="R23:T23"/>
    <mergeCell ref="I24:K24"/>
    <mergeCell ref="Q16:T16"/>
    <mergeCell ref="M16:P16"/>
    <mergeCell ref="A29:C29"/>
    <mergeCell ref="A30:C31"/>
    <mergeCell ref="D30:D31"/>
    <mergeCell ref="E30:E31"/>
    <mergeCell ref="F30:F31"/>
    <mergeCell ref="B38:C38"/>
    <mergeCell ref="B39:C39"/>
    <mergeCell ref="A37:A39"/>
    <mergeCell ref="B37:C37"/>
    <mergeCell ref="O20:T20"/>
    <mergeCell ref="A33:C33"/>
    <mergeCell ref="I21:K21"/>
    <mergeCell ref="L21:N21"/>
    <mergeCell ref="O21:Q21"/>
    <mergeCell ref="R21:T21"/>
    <mergeCell ref="L24:N24"/>
    <mergeCell ref="O24:Q24"/>
    <mergeCell ref="R24:T24"/>
    <mergeCell ref="I22:K22"/>
    <mergeCell ref="L22:N22"/>
    <mergeCell ref="A34:C34"/>
    <mergeCell ref="A32:C32"/>
    <mergeCell ref="E35:E36"/>
    <mergeCell ref="F35:F36"/>
    <mergeCell ref="A35:C36"/>
    <mergeCell ref="D35:D36"/>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292"/>
      <c r="B7" s="375"/>
      <c r="C7" s="293"/>
      <c r="D7" s="378" t="s">
        <v>121</v>
      </c>
      <c r="E7" s="379"/>
      <c r="F7" s="380"/>
      <c r="G7" s="384" t="s">
        <v>122</v>
      </c>
      <c r="H7" s="385"/>
      <c r="I7" s="386"/>
      <c r="J7" s="340"/>
      <c r="K7" s="341"/>
      <c r="L7" s="390" t="s">
        <v>123</v>
      </c>
      <c r="M7" s="391"/>
      <c r="N7" s="391"/>
      <c r="O7" s="391"/>
      <c r="P7" s="391"/>
      <c r="Q7" s="391"/>
      <c r="R7" s="391"/>
      <c r="S7" s="391"/>
      <c r="T7" s="391"/>
      <c r="U7" s="391"/>
      <c r="V7" s="391"/>
      <c r="W7" s="392"/>
      <c r="X7" s="396" t="s">
        <v>122</v>
      </c>
      <c r="Y7" s="397"/>
      <c r="Z7" s="397"/>
      <c r="AA7" s="397"/>
      <c r="AB7" s="397"/>
      <c r="AC7" s="397"/>
      <c r="AD7" s="397"/>
      <c r="AE7" s="397"/>
      <c r="AF7" s="397"/>
      <c r="AG7" s="397"/>
      <c r="AH7" s="397"/>
      <c r="AI7" s="398"/>
    </row>
    <row r="8" spans="1:35" ht="21" customHeight="1">
      <c r="A8" s="294"/>
      <c r="B8" s="376"/>
      <c r="C8" s="295"/>
      <c r="D8" s="381"/>
      <c r="E8" s="382"/>
      <c r="F8" s="383"/>
      <c r="G8" s="387"/>
      <c r="H8" s="388"/>
      <c r="I8" s="389"/>
      <c r="J8" s="342"/>
      <c r="K8" s="343"/>
      <c r="L8" s="393"/>
      <c r="M8" s="394"/>
      <c r="N8" s="394"/>
      <c r="O8" s="394"/>
      <c r="P8" s="394"/>
      <c r="Q8" s="394"/>
      <c r="R8" s="394"/>
      <c r="S8" s="394"/>
      <c r="T8" s="394"/>
      <c r="U8" s="394"/>
      <c r="V8" s="394"/>
      <c r="W8" s="395"/>
      <c r="X8" s="399"/>
      <c r="Y8" s="400"/>
      <c r="Z8" s="400"/>
      <c r="AA8" s="400"/>
      <c r="AB8" s="400"/>
      <c r="AC8" s="400"/>
      <c r="AD8" s="400"/>
      <c r="AE8" s="400"/>
      <c r="AF8" s="400"/>
      <c r="AG8" s="400"/>
      <c r="AH8" s="400"/>
      <c r="AI8" s="401"/>
    </row>
    <row r="9" spans="1:35" ht="29.25" customHeight="1" thickBot="1">
      <c r="A9" s="296"/>
      <c r="B9" s="377"/>
      <c r="C9" s="297"/>
      <c r="D9" s="127" t="s">
        <v>99</v>
      </c>
      <c r="E9" s="128" t="s">
        <v>99</v>
      </c>
      <c r="F9" s="63" t="s">
        <v>52</v>
      </c>
      <c r="G9" s="96" t="s">
        <v>99</v>
      </c>
      <c r="H9" s="95" t="s">
        <v>99</v>
      </c>
      <c r="I9" s="63" t="s">
        <v>52</v>
      </c>
      <c r="J9" s="344"/>
      <c r="K9" s="345"/>
      <c r="L9" s="402" t="s">
        <v>99</v>
      </c>
      <c r="M9" s="403"/>
      <c r="N9" s="403"/>
      <c r="O9" s="404"/>
      <c r="P9" s="405" t="s">
        <v>99</v>
      </c>
      <c r="Q9" s="406"/>
      <c r="R9" s="406"/>
      <c r="S9" s="407"/>
      <c r="T9" s="351" t="s">
        <v>53</v>
      </c>
      <c r="U9" s="351"/>
      <c r="V9" s="351"/>
      <c r="W9" s="352"/>
      <c r="X9" s="402" t="s">
        <v>99</v>
      </c>
      <c r="Y9" s="403"/>
      <c r="Z9" s="403"/>
      <c r="AA9" s="404"/>
      <c r="AB9" s="405" t="s">
        <v>99</v>
      </c>
      <c r="AC9" s="406"/>
      <c r="AD9" s="406"/>
      <c r="AE9" s="407"/>
      <c r="AF9" s="351" t="s">
        <v>53</v>
      </c>
      <c r="AG9" s="351"/>
      <c r="AH9" s="351"/>
      <c r="AI9" s="352"/>
    </row>
    <row r="10" spans="1:35" ht="15" customHeight="1" thickTop="1">
      <c r="A10" s="353" t="s">
        <v>20</v>
      </c>
      <c r="B10" s="354"/>
      <c r="C10" s="355"/>
      <c r="D10" s="73"/>
      <c r="E10" s="74"/>
      <c r="F10" s="65" t="str">
        <f t="shared" ref="F10:F40" si="0">IF(ISERROR(D10/E10),"",(D10/E10-1)*100)</f>
        <v/>
      </c>
      <c r="G10" s="87"/>
      <c r="H10" s="74"/>
      <c r="I10" s="65" t="str">
        <f t="shared" ref="I10:I40" si="1">IF(ISERROR(G10/H10),"",(G10/H10-1)*100)</f>
        <v/>
      </c>
      <c r="J10" s="359" t="s">
        <v>9</v>
      </c>
      <c r="K10" s="123" t="s">
        <v>90</v>
      </c>
      <c r="L10" s="362"/>
      <c r="M10" s="363"/>
      <c r="N10" s="363"/>
      <c r="O10" s="363"/>
      <c r="P10" s="363"/>
      <c r="Q10" s="363"/>
      <c r="R10" s="363"/>
      <c r="S10" s="363"/>
      <c r="T10" s="363" t="str">
        <f t="shared" ref="T10:T17" si="2">IF(ISERROR(L10/P10),"",(L10/P10-1)*100)</f>
        <v/>
      </c>
      <c r="U10" s="363"/>
      <c r="V10" s="363"/>
      <c r="W10" s="364"/>
      <c r="X10" s="365"/>
      <c r="Y10" s="366"/>
      <c r="Z10" s="366"/>
      <c r="AA10" s="366"/>
      <c r="AB10" s="366"/>
      <c r="AC10" s="366"/>
      <c r="AD10" s="366"/>
      <c r="AE10" s="366"/>
      <c r="AF10" s="363" t="str">
        <f t="shared" ref="AF10:AF17" si="3">IF(ISERROR(X10/AB10),"",(X10/AB10-1)*100)</f>
        <v/>
      </c>
      <c r="AG10" s="363"/>
      <c r="AH10" s="363"/>
      <c r="AI10" s="364"/>
    </row>
    <row r="11" spans="1:35" ht="15" customHeight="1">
      <c r="A11" s="102"/>
      <c r="B11" s="248" t="s">
        <v>60</v>
      </c>
      <c r="C11" s="249"/>
      <c r="D11" s="75"/>
      <c r="E11" s="76"/>
      <c r="F11" s="66" t="str">
        <f t="shared" si="0"/>
        <v/>
      </c>
      <c r="G11" s="88"/>
      <c r="H11" s="76"/>
      <c r="I11" s="65" t="str">
        <f t="shared" si="1"/>
        <v/>
      </c>
      <c r="J11" s="360"/>
      <c r="K11" s="124" t="s">
        <v>91</v>
      </c>
      <c r="L11" s="374"/>
      <c r="M11" s="372"/>
      <c r="N11" s="372"/>
      <c r="O11" s="372"/>
      <c r="P11" s="372"/>
      <c r="Q11" s="372"/>
      <c r="R11" s="372"/>
      <c r="S11" s="372"/>
      <c r="T11" s="367" t="str">
        <f t="shared" si="2"/>
        <v/>
      </c>
      <c r="U11" s="368"/>
      <c r="V11" s="368"/>
      <c r="W11" s="369"/>
      <c r="X11" s="370"/>
      <c r="Y11" s="371"/>
      <c r="Z11" s="371"/>
      <c r="AA11" s="371"/>
      <c r="AB11" s="371"/>
      <c r="AC11" s="371"/>
      <c r="AD11" s="371"/>
      <c r="AE11" s="371"/>
      <c r="AF11" s="372" t="str">
        <f t="shared" si="3"/>
        <v/>
      </c>
      <c r="AG11" s="372"/>
      <c r="AH11" s="372"/>
      <c r="AI11" s="373"/>
    </row>
    <row r="12" spans="1:35" ht="15" customHeight="1">
      <c r="A12" s="102"/>
      <c r="B12" s="248" t="s">
        <v>102</v>
      </c>
      <c r="C12" s="249"/>
      <c r="D12" s="75"/>
      <c r="E12" s="76"/>
      <c r="F12" s="66" t="str">
        <f t="shared" si="0"/>
        <v/>
      </c>
      <c r="G12" s="88"/>
      <c r="H12" s="76"/>
      <c r="I12" s="65" t="str">
        <f t="shared" si="1"/>
        <v/>
      </c>
      <c r="J12" s="360"/>
      <c r="K12" s="124" t="s">
        <v>92</v>
      </c>
      <c r="L12" s="374"/>
      <c r="M12" s="372"/>
      <c r="N12" s="372"/>
      <c r="O12" s="372"/>
      <c r="P12" s="363"/>
      <c r="Q12" s="363"/>
      <c r="R12" s="363"/>
      <c r="S12" s="363"/>
      <c r="T12" s="367" t="str">
        <f t="shared" si="2"/>
        <v/>
      </c>
      <c r="U12" s="368"/>
      <c r="V12" s="368"/>
      <c r="W12" s="369"/>
      <c r="X12" s="370"/>
      <c r="Y12" s="371"/>
      <c r="Z12" s="371"/>
      <c r="AA12" s="371"/>
      <c r="AB12" s="371"/>
      <c r="AC12" s="371"/>
      <c r="AD12" s="371"/>
      <c r="AE12" s="371"/>
      <c r="AF12" s="372" t="str">
        <f t="shared" si="3"/>
        <v/>
      </c>
      <c r="AG12" s="372"/>
      <c r="AH12" s="372"/>
      <c r="AI12" s="373"/>
    </row>
    <row r="13" spans="1:35" ht="15" customHeight="1">
      <c r="A13" s="102"/>
      <c r="B13" s="248" t="s">
        <v>103</v>
      </c>
      <c r="C13" s="249"/>
      <c r="D13" s="75"/>
      <c r="E13" s="76"/>
      <c r="F13" s="66" t="str">
        <f t="shared" si="0"/>
        <v/>
      </c>
      <c r="G13" s="88"/>
      <c r="H13" s="76"/>
      <c r="I13" s="65" t="str">
        <f t="shared" si="1"/>
        <v/>
      </c>
      <c r="J13" s="361"/>
      <c r="K13" s="104" t="s">
        <v>10</v>
      </c>
      <c r="L13" s="374"/>
      <c r="M13" s="372"/>
      <c r="N13" s="372"/>
      <c r="O13" s="372"/>
      <c r="P13" s="372"/>
      <c r="Q13" s="372"/>
      <c r="R13" s="372"/>
      <c r="S13" s="372"/>
      <c r="T13" s="367" t="str">
        <f t="shared" si="2"/>
        <v/>
      </c>
      <c r="U13" s="368"/>
      <c r="V13" s="368"/>
      <c r="W13" s="369"/>
      <c r="X13" s="370"/>
      <c r="Y13" s="371"/>
      <c r="Z13" s="371"/>
      <c r="AA13" s="371"/>
      <c r="AB13" s="371"/>
      <c r="AC13" s="371"/>
      <c r="AD13" s="371"/>
      <c r="AE13" s="371"/>
      <c r="AF13" s="372" t="str">
        <f t="shared" si="3"/>
        <v/>
      </c>
      <c r="AG13" s="372"/>
      <c r="AH13" s="372"/>
      <c r="AI13" s="373"/>
    </row>
    <row r="14" spans="1:35" ht="15" customHeight="1">
      <c r="A14" s="102"/>
      <c r="B14" s="248" t="s">
        <v>62</v>
      </c>
      <c r="C14" s="249"/>
      <c r="D14" s="75"/>
      <c r="E14" s="76"/>
      <c r="F14" s="66" t="str">
        <f t="shared" si="0"/>
        <v/>
      </c>
      <c r="G14" s="88"/>
      <c r="H14" s="76"/>
      <c r="I14" s="65" t="str">
        <f t="shared" si="1"/>
        <v/>
      </c>
      <c r="J14" s="120" t="s">
        <v>11</v>
      </c>
      <c r="K14" s="98"/>
      <c r="L14" s="374"/>
      <c r="M14" s="372"/>
      <c r="N14" s="372"/>
      <c r="O14" s="372"/>
      <c r="P14" s="372"/>
      <c r="Q14" s="372"/>
      <c r="R14" s="372"/>
      <c r="S14" s="372"/>
      <c r="T14" s="367" t="str">
        <f t="shared" si="2"/>
        <v/>
      </c>
      <c r="U14" s="368"/>
      <c r="V14" s="368"/>
      <c r="W14" s="369"/>
      <c r="X14" s="370"/>
      <c r="Y14" s="371"/>
      <c r="Z14" s="371"/>
      <c r="AA14" s="371"/>
      <c r="AB14" s="371"/>
      <c r="AC14" s="371"/>
      <c r="AD14" s="371"/>
      <c r="AE14" s="371"/>
      <c r="AF14" s="372" t="str">
        <f t="shared" si="3"/>
        <v/>
      </c>
      <c r="AG14" s="372"/>
      <c r="AH14" s="372"/>
      <c r="AI14" s="373"/>
    </row>
    <row r="15" spans="1:35" ht="15" customHeight="1">
      <c r="A15" s="102"/>
      <c r="B15" s="248" t="s">
        <v>64</v>
      </c>
      <c r="C15" s="249"/>
      <c r="D15" s="75"/>
      <c r="E15" s="76"/>
      <c r="F15" s="66" t="str">
        <f t="shared" si="0"/>
        <v/>
      </c>
      <c r="G15" s="88"/>
      <c r="H15" s="76"/>
      <c r="I15" s="65" t="str">
        <f t="shared" si="1"/>
        <v/>
      </c>
      <c r="J15" s="125"/>
      <c r="K15" s="126" t="s">
        <v>96</v>
      </c>
      <c r="L15" s="374"/>
      <c r="M15" s="372"/>
      <c r="N15" s="372"/>
      <c r="O15" s="372"/>
      <c r="P15" s="372"/>
      <c r="Q15" s="372"/>
      <c r="R15" s="372"/>
      <c r="S15" s="372"/>
      <c r="T15" s="367" t="str">
        <f t="shared" si="2"/>
        <v/>
      </c>
      <c r="U15" s="368"/>
      <c r="V15" s="368"/>
      <c r="W15" s="369"/>
      <c r="X15" s="370"/>
      <c r="Y15" s="371"/>
      <c r="Z15" s="371"/>
      <c r="AA15" s="371"/>
      <c r="AB15" s="371"/>
      <c r="AC15" s="371"/>
      <c r="AD15" s="371"/>
      <c r="AE15" s="371"/>
      <c r="AF15" s="372" t="str">
        <f t="shared" si="3"/>
        <v/>
      </c>
      <c r="AG15" s="372"/>
      <c r="AH15" s="372"/>
      <c r="AI15" s="373"/>
    </row>
    <row r="16" spans="1:35" ht="15" customHeight="1">
      <c r="A16" s="102"/>
      <c r="B16" s="248" t="s">
        <v>66</v>
      </c>
      <c r="C16" s="249"/>
      <c r="D16" s="75"/>
      <c r="E16" s="76"/>
      <c r="F16" s="66" t="str">
        <f t="shared" si="0"/>
        <v/>
      </c>
      <c r="G16" s="88"/>
      <c r="H16" s="76"/>
      <c r="I16" s="65" t="str">
        <f t="shared" si="1"/>
        <v/>
      </c>
      <c r="J16" s="105" t="s">
        <v>12</v>
      </c>
      <c r="K16" s="106"/>
      <c r="L16" s="423"/>
      <c r="M16" s="408"/>
      <c r="N16" s="408"/>
      <c r="O16" s="408"/>
      <c r="P16" s="408"/>
      <c r="Q16" s="408"/>
      <c r="R16" s="408"/>
      <c r="S16" s="408"/>
      <c r="T16" s="412" t="str">
        <f t="shared" si="2"/>
        <v/>
      </c>
      <c r="U16" s="413"/>
      <c r="V16" s="413"/>
      <c r="W16" s="414"/>
      <c r="X16" s="415"/>
      <c r="Y16" s="416"/>
      <c r="Z16" s="416"/>
      <c r="AA16" s="416"/>
      <c r="AB16" s="416"/>
      <c r="AC16" s="416"/>
      <c r="AD16" s="416"/>
      <c r="AE16" s="416"/>
      <c r="AF16" s="408" t="str">
        <f t="shared" si="3"/>
        <v/>
      </c>
      <c r="AG16" s="408"/>
      <c r="AH16" s="408"/>
      <c r="AI16" s="409"/>
    </row>
    <row r="17" spans="1:35" ht="15" customHeight="1" thickBot="1">
      <c r="A17" s="102"/>
      <c r="B17" s="248" t="s">
        <v>68</v>
      </c>
      <c r="C17" s="249"/>
      <c r="D17" s="75"/>
      <c r="E17" s="76"/>
      <c r="F17" s="66" t="str">
        <f t="shared" si="0"/>
        <v/>
      </c>
      <c r="G17" s="88"/>
      <c r="H17" s="76"/>
      <c r="I17" s="65" t="str">
        <f t="shared" si="1"/>
        <v/>
      </c>
      <c r="J17" s="107"/>
      <c r="K17" s="108"/>
      <c r="L17" s="422"/>
      <c r="M17" s="421"/>
      <c r="N17" s="421"/>
      <c r="O17" s="421"/>
      <c r="P17" s="421"/>
      <c r="Q17" s="421"/>
      <c r="R17" s="421"/>
      <c r="S17" s="421"/>
      <c r="T17" s="417" t="str">
        <f t="shared" si="2"/>
        <v/>
      </c>
      <c r="U17" s="418"/>
      <c r="V17" s="418"/>
      <c r="W17" s="419"/>
      <c r="X17" s="420"/>
      <c r="Y17" s="421"/>
      <c r="Z17" s="421"/>
      <c r="AA17" s="421"/>
      <c r="AB17" s="421"/>
      <c r="AC17" s="421"/>
      <c r="AD17" s="421"/>
      <c r="AE17" s="421"/>
      <c r="AF17" s="410" t="str">
        <f t="shared" si="3"/>
        <v/>
      </c>
      <c r="AG17" s="410"/>
      <c r="AH17" s="410"/>
      <c r="AI17" s="411"/>
    </row>
    <row r="18" spans="1:35" ht="15" customHeight="1">
      <c r="A18" s="102"/>
      <c r="B18" s="248" t="s">
        <v>70</v>
      </c>
      <c r="C18" s="249"/>
      <c r="D18" s="75"/>
      <c r="E18" s="76"/>
      <c r="F18" s="66" t="str">
        <f t="shared" si="0"/>
        <v/>
      </c>
      <c r="G18" s="88"/>
      <c r="H18" s="76"/>
      <c r="I18" s="65" t="str">
        <f t="shared" si="1"/>
        <v/>
      </c>
      <c r="J18" s="109"/>
      <c r="K18" s="109"/>
      <c r="L18" s="110"/>
      <c r="M18" s="110"/>
      <c r="N18" s="110"/>
      <c r="O18" s="110"/>
      <c r="P18" s="110"/>
      <c r="Q18" s="110"/>
      <c r="R18" s="110"/>
      <c r="S18" s="110"/>
      <c r="T18" s="110"/>
      <c r="U18" s="110"/>
      <c r="V18" s="110"/>
      <c r="W18" s="110"/>
      <c r="X18" s="111"/>
      <c r="Y18" s="111"/>
      <c r="Z18" s="111"/>
      <c r="AA18" s="109"/>
      <c r="AB18" s="109"/>
      <c r="AC18" s="109"/>
      <c r="AD18" s="3"/>
      <c r="AE18" s="109"/>
      <c r="AF18" s="3"/>
      <c r="AG18" s="3"/>
      <c r="AH18" s="3"/>
      <c r="AI18" s="3"/>
    </row>
    <row r="19" spans="1:35" ht="15" customHeight="1" thickBot="1">
      <c r="A19" s="102"/>
      <c r="B19" s="248" t="s">
        <v>72</v>
      </c>
      <c r="C19" s="249"/>
      <c r="D19" s="75"/>
      <c r="E19" s="76"/>
      <c r="F19" s="66" t="str">
        <f t="shared" si="0"/>
        <v/>
      </c>
      <c r="G19" s="88"/>
      <c r="H19" s="76"/>
      <c r="I19" s="65" t="str">
        <f t="shared" si="1"/>
        <v/>
      </c>
      <c r="J19" s="3" t="s">
        <v>127</v>
      </c>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ht="15" customHeight="1">
      <c r="A20" s="102"/>
      <c r="B20" s="248" t="s">
        <v>74</v>
      </c>
      <c r="C20" s="249"/>
      <c r="D20" s="75"/>
      <c r="E20" s="76"/>
      <c r="F20" s="66" t="str">
        <f t="shared" si="0"/>
        <v/>
      </c>
      <c r="G20" s="88"/>
      <c r="H20" s="76"/>
      <c r="I20" s="65" t="str">
        <f t="shared" si="1"/>
        <v/>
      </c>
      <c r="J20" s="340"/>
      <c r="K20" s="341"/>
      <c r="L20" s="390" t="s">
        <v>121</v>
      </c>
      <c r="M20" s="391"/>
      <c r="N20" s="391"/>
      <c r="O20" s="391"/>
      <c r="P20" s="391"/>
      <c r="Q20" s="391"/>
      <c r="R20" s="391"/>
      <c r="S20" s="391"/>
      <c r="T20" s="391"/>
      <c r="U20" s="391"/>
      <c r="V20" s="391"/>
      <c r="W20" s="392"/>
      <c r="X20" s="396" t="s">
        <v>122</v>
      </c>
      <c r="Y20" s="397"/>
      <c r="Z20" s="397"/>
      <c r="AA20" s="397"/>
      <c r="AB20" s="397"/>
      <c r="AC20" s="397"/>
      <c r="AD20" s="397"/>
      <c r="AE20" s="397"/>
      <c r="AF20" s="397"/>
      <c r="AG20" s="397"/>
      <c r="AH20" s="397"/>
      <c r="AI20" s="398"/>
    </row>
    <row r="21" spans="1:35" ht="15" customHeight="1">
      <c r="A21" s="102"/>
      <c r="B21" s="248" t="s">
        <v>76</v>
      </c>
      <c r="C21" s="249"/>
      <c r="D21" s="75"/>
      <c r="E21" s="76"/>
      <c r="F21" s="66" t="str">
        <f t="shared" si="0"/>
        <v/>
      </c>
      <c r="G21" s="88"/>
      <c r="H21" s="76"/>
      <c r="I21" s="65" t="str">
        <f t="shared" si="1"/>
        <v/>
      </c>
      <c r="J21" s="342"/>
      <c r="K21" s="343"/>
      <c r="L21" s="393"/>
      <c r="M21" s="394"/>
      <c r="N21" s="394"/>
      <c r="O21" s="394"/>
      <c r="P21" s="394"/>
      <c r="Q21" s="394"/>
      <c r="R21" s="394"/>
      <c r="S21" s="394"/>
      <c r="T21" s="394"/>
      <c r="U21" s="394"/>
      <c r="V21" s="394"/>
      <c r="W21" s="395"/>
      <c r="X21" s="399"/>
      <c r="Y21" s="400"/>
      <c r="Z21" s="400"/>
      <c r="AA21" s="400"/>
      <c r="AB21" s="400"/>
      <c r="AC21" s="400"/>
      <c r="AD21" s="400"/>
      <c r="AE21" s="400"/>
      <c r="AF21" s="400"/>
      <c r="AG21" s="400"/>
      <c r="AH21" s="400"/>
      <c r="AI21" s="401"/>
    </row>
    <row r="22" spans="1:35" ht="15" customHeight="1">
      <c r="A22" s="102"/>
      <c r="B22" s="248" t="s">
        <v>80</v>
      </c>
      <c r="C22" s="249"/>
      <c r="D22" s="75"/>
      <c r="E22" s="76"/>
      <c r="F22" s="66" t="str">
        <f t="shared" si="0"/>
        <v/>
      </c>
      <c r="G22" s="88"/>
      <c r="H22" s="76"/>
      <c r="I22" s="65" t="str">
        <f t="shared" si="1"/>
        <v/>
      </c>
      <c r="J22" s="342"/>
      <c r="K22" s="343"/>
      <c r="L22" s="427" t="s">
        <v>99</v>
      </c>
      <c r="M22" s="428"/>
      <c r="N22" s="428"/>
      <c r="O22" s="428"/>
      <c r="P22" s="428"/>
      <c r="Q22" s="429"/>
      <c r="R22" s="424" t="s">
        <v>99</v>
      </c>
      <c r="S22" s="425"/>
      <c r="T22" s="425"/>
      <c r="U22" s="425"/>
      <c r="V22" s="425"/>
      <c r="W22" s="426"/>
      <c r="X22" s="427" t="s">
        <v>99</v>
      </c>
      <c r="Y22" s="428"/>
      <c r="Z22" s="428"/>
      <c r="AA22" s="428"/>
      <c r="AB22" s="428"/>
      <c r="AC22" s="429"/>
      <c r="AD22" s="424" t="s">
        <v>99</v>
      </c>
      <c r="AE22" s="425"/>
      <c r="AF22" s="425"/>
      <c r="AG22" s="425"/>
      <c r="AH22" s="425"/>
      <c r="AI22" s="426"/>
    </row>
    <row r="23" spans="1:35" ht="15" customHeight="1" thickBot="1">
      <c r="A23" s="102"/>
      <c r="B23" s="248" t="s">
        <v>78</v>
      </c>
      <c r="C23" s="249"/>
      <c r="D23" s="75"/>
      <c r="E23" s="76"/>
      <c r="F23" s="66" t="str">
        <f t="shared" si="0"/>
        <v/>
      </c>
      <c r="G23" s="88"/>
      <c r="H23" s="76"/>
      <c r="I23" s="65" t="str">
        <f t="shared" si="1"/>
        <v/>
      </c>
      <c r="J23" s="344"/>
      <c r="K23" s="345"/>
      <c r="L23" s="455" t="s">
        <v>41</v>
      </c>
      <c r="M23" s="434"/>
      <c r="N23" s="435"/>
      <c r="O23" s="430" t="s">
        <v>30</v>
      </c>
      <c r="P23" s="431"/>
      <c r="Q23" s="432"/>
      <c r="R23" s="430" t="s">
        <v>41</v>
      </c>
      <c r="S23" s="431"/>
      <c r="T23" s="432"/>
      <c r="U23" s="430" t="s">
        <v>30</v>
      </c>
      <c r="V23" s="431"/>
      <c r="W23" s="436"/>
      <c r="X23" s="455" t="s">
        <v>41</v>
      </c>
      <c r="Y23" s="434"/>
      <c r="Z23" s="435"/>
      <c r="AA23" s="430" t="s">
        <v>30</v>
      </c>
      <c r="AB23" s="431"/>
      <c r="AC23" s="432"/>
      <c r="AD23" s="433" t="s">
        <v>41</v>
      </c>
      <c r="AE23" s="434"/>
      <c r="AF23" s="435"/>
      <c r="AG23" s="430" t="s">
        <v>30</v>
      </c>
      <c r="AH23" s="431"/>
      <c r="AI23" s="436"/>
    </row>
    <row r="24" spans="1:35" ht="15" customHeight="1" thickTop="1">
      <c r="A24" s="103"/>
      <c r="B24" s="248" t="s">
        <v>82</v>
      </c>
      <c r="C24" s="249"/>
      <c r="D24" s="75"/>
      <c r="E24" s="76"/>
      <c r="F24" s="66" t="str">
        <f t="shared" si="0"/>
        <v/>
      </c>
      <c r="G24" s="88"/>
      <c r="H24" s="76"/>
      <c r="I24" s="65" t="str">
        <f t="shared" si="1"/>
        <v/>
      </c>
      <c r="J24" s="302" t="s">
        <v>13</v>
      </c>
      <c r="K24" s="137" t="s">
        <v>93</v>
      </c>
      <c r="L24" s="459"/>
      <c r="M24" s="460"/>
      <c r="N24" s="461"/>
      <c r="O24" s="447"/>
      <c r="P24" s="448"/>
      <c r="Q24" s="462"/>
      <c r="R24" s="468"/>
      <c r="S24" s="460"/>
      <c r="T24" s="461"/>
      <c r="U24" s="447"/>
      <c r="V24" s="448"/>
      <c r="W24" s="449"/>
      <c r="X24" s="460"/>
      <c r="Y24" s="460"/>
      <c r="Z24" s="461"/>
      <c r="AA24" s="447"/>
      <c r="AB24" s="448"/>
      <c r="AC24" s="462"/>
      <c r="AD24" s="468"/>
      <c r="AE24" s="460"/>
      <c r="AF24" s="461"/>
      <c r="AG24" s="447"/>
      <c r="AH24" s="448"/>
      <c r="AI24" s="449"/>
    </row>
    <row r="25" spans="1:35" ht="15" customHeight="1" thickBot="1">
      <c r="A25" s="316" t="s">
        <v>8</v>
      </c>
      <c r="B25" s="317"/>
      <c r="C25" s="318"/>
      <c r="D25" s="75"/>
      <c r="E25" s="76"/>
      <c r="F25" s="66" t="str">
        <f t="shared" si="0"/>
        <v/>
      </c>
      <c r="G25" s="89"/>
      <c r="H25" s="90"/>
      <c r="I25" s="65" t="str">
        <f t="shared" si="1"/>
        <v/>
      </c>
      <c r="J25" s="303"/>
      <c r="K25" s="138" t="s">
        <v>101</v>
      </c>
      <c r="L25" s="466"/>
      <c r="M25" s="464"/>
      <c r="N25" s="465"/>
      <c r="O25" s="444"/>
      <c r="P25" s="445"/>
      <c r="Q25" s="467"/>
      <c r="R25" s="463"/>
      <c r="S25" s="464"/>
      <c r="T25" s="465"/>
      <c r="U25" s="444"/>
      <c r="V25" s="445"/>
      <c r="W25" s="446"/>
      <c r="X25" s="464"/>
      <c r="Y25" s="464"/>
      <c r="Z25" s="465"/>
      <c r="AA25" s="444"/>
      <c r="AB25" s="445"/>
      <c r="AC25" s="467"/>
      <c r="AD25" s="463"/>
      <c r="AE25" s="464"/>
      <c r="AF25" s="465"/>
      <c r="AG25" s="444"/>
      <c r="AH25" s="445"/>
      <c r="AI25" s="446"/>
    </row>
    <row r="26" spans="1:35" ht="15" customHeight="1" thickTop="1" thickBot="1">
      <c r="A26" s="102"/>
      <c r="B26" s="298" t="s">
        <v>1</v>
      </c>
      <c r="C26" s="235"/>
      <c r="D26" s="75"/>
      <c r="E26" s="76"/>
      <c r="F26" s="66" t="str">
        <f t="shared" si="0"/>
        <v/>
      </c>
      <c r="G26" s="88"/>
      <c r="H26" s="76"/>
      <c r="I26" s="65" t="str">
        <f t="shared" si="1"/>
        <v/>
      </c>
      <c r="J26" s="129" t="s">
        <v>29</v>
      </c>
      <c r="K26" s="136" t="s">
        <v>95</v>
      </c>
      <c r="L26" s="450"/>
      <c r="M26" s="451"/>
      <c r="N26" s="452"/>
      <c r="O26" s="441"/>
      <c r="P26" s="442"/>
      <c r="Q26" s="453"/>
      <c r="R26" s="454"/>
      <c r="S26" s="451"/>
      <c r="T26" s="452"/>
      <c r="U26" s="441"/>
      <c r="V26" s="442"/>
      <c r="W26" s="443"/>
      <c r="X26" s="451"/>
      <c r="Y26" s="451"/>
      <c r="Z26" s="452"/>
      <c r="AA26" s="441"/>
      <c r="AB26" s="442"/>
      <c r="AC26" s="453"/>
      <c r="AD26" s="454"/>
      <c r="AE26" s="451"/>
      <c r="AF26" s="452"/>
      <c r="AG26" s="441"/>
      <c r="AH26" s="442"/>
      <c r="AI26" s="443"/>
    </row>
    <row r="27" spans="1:35" ht="15" customHeight="1">
      <c r="A27" s="103"/>
      <c r="B27" s="298" t="s">
        <v>2</v>
      </c>
      <c r="C27" s="235"/>
      <c r="D27" s="75"/>
      <c r="E27" s="76"/>
      <c r="F27" s="67" t="str">
        <f t="shared" si="0"/>
        <v/>
      </c>
      <c r="G27" s="91"/>
      <c r="H27" s="92"/>
      <c r="I27" s="65" t="str">
        <f t="shared" si="1"/>
        <v/>
      </c>
    </row>
    <row r="28" spans="1:35" ht="15" customHeight="1">
      <c r="A28" s="281" t="s">
        <v>3</v>
      </c>
      <c r="B28" s="282"/>
      <c r="C28" s="283"/>
      <c r="D28" s="246"/>
      <c r="E28" s="236"/>
      <c r="F28" s="437" t="str">
        <f t="shared" si="0"/>
        <v/>
      </c>
      <c r="G28" s="438"/>
      <c r="H28" s="236"/>
      <c r="I28" s="439" t="str">
        <f t="shared" si="1"/>
        <v/>
      </c>
    </row>
    <row r="29" spans="1:35" ht="15" customHeight="1">
      <c r="A29" s="284"/>
      <c r="B29" s="285"/>
      <c r="C29" s="286"/>
      <c r="D29" s="246"/>
      <c r="E29" s="236"/>
      <c r="F29" s="437" t="str">
        <f t="shared" si="0"/>
        <v/>
      </c>
      <c r="G29" s="438"/>
      <c r="H29" s="236"/>
      <c r="I29" s="440" t="str">
        <f t="shared" si="1"/>
        <v/>
      </c>
    </row>
    <row r="30" spans="1:35" ht="15" customHeight="1">
      <c r="A30" s="233" t="s">
        <v>4</v>
      </c>
      <c r="B30" s="234"/>
      <c r="C30" s="235"/>
      <c r="D30" s="75"/>
      <c r="E30" s="76"/>
      <c r="F30" s="66" t="str">
        <f t="shared" si="0"/>
        <v/>
      </c>
      <c r="G30" s="88"/>
      <c r="H30" s="76"/>
      <c r="I30" s="66" t="str">
        <f t="shared" si="1"/>
        <v/>
      </c>
    </row>
    <row r="31" spans="1:35" ht="15" customHeight="1">
      <c r="A31" s="281" t="s">
        <v>43</v>
      </c>
      <c r="B31" s="282"/>
      <c r="C31" s="283"/>
      <c r="D31" s="246"/>
      <c r="E31" s="236"/>
      <c r="F31" s="437" t="str">
        <f t="shared" si="0"/>
        <v/>
      </c>
      <c r="G31" s="438"/>
      <c r="H31" s="236"/>
      <c r="I31" s="439" t="str">
        <f t="shared" si="1"/>
        <v/>
      </c>
    </row>
    <row r="32" spans="1:35" ht="15" customHeight="1">
      <c r="A32" s="284"/>
      <c r="B32" s="285"/>
      <c r="C32" s="286"/>
      <c r="D32" s="246"/>
      <c r="E32" s="236"/>
      <c r="F32" s="437" t="str">
        <f t="shared" si="0"/>
        <v/>
      </c>
      <c r="G32" s="438"/>
      <c r="H32" s="236"/>
      <c r="I32" s="440" t="str">
        <f t="shared" si="1"/>
        <v/>
      </c>
    </row>
    <row r="33" spans="1:9" ht="15" customHeight="1">
      <c r="A33" s="233" t="s">
        <v>5</v>
      </c>
      <c r="B33" s="234"/>
      <c r="C33" s="235"/>
      <c r="D33" s="75"/>
      <c r="E33" s="76"/>
      <c r="F33" s="66" t="str">
        <f t="shared" si="0"/>
        <v/>
      </c>
      <c r="G33" s="88"/>
      <c r="H33" s="76"/>
      <c r="I33" s="66" t="str">
        <f t="shared" si="1"/>
        <v/>
      </c>
    </row>
    <row r="34" spans="1:9" ht="15" customHeight="1">
      <c r="A34" s="260" t="s">
        <v>6</v>
      </c>
      <c r="B34" s="261"/>
      <c r="C34" s="262"/>
      <c r="D34" s="77"/>
      <c r="E34" s="78"/>
      <c r="F34" s="68" t="str">
        <f t="shared" si="0"/>
        <v/>
      </c>
      <c r="G34" s="93"/>
      <c r="H34" s="78"/>
      <c r="I34" s="68" t="str">
        <f t="shared" si="1"/>
        <v/>
      </c>
    </row>
    <row r="35" spans="1:9" ht="15" customHeight="1">
      <c r="A35" s="233" t="s">
        <v>7</v>
      </c>
      <c r="B35" s="234"/>
      <c r="C35" s="235"/>
      <c r="D35" s="75"/>
      <c r="E35" s="76"/>
      <c r="F35" s="66" t="str">
        <f t="shared" si="0"/>
        <v/>
      </c>
      <c r="G35" s="88"/>
      <c r="H35" s="76"/>
      <c r="I35" s="66" t="str">
        <f t="shared" si="1"/>
        <v/>
      </c>
    </row>
    <row r="36" spans="1:9" ht="15" customHeight="1">
      <c r="A36" s="240" t="s">
        <v>40</v>
      </c>
      <c r="B36" s="241"/>
      <c r="C36" s="242"/>
      <c r="D36" s="246"/>
      <c r="E36" s="236"/>
      <c r="F36" s="437" t="str">
        <f t="shared" si="0"/>
        <v/>
      </c>
      <c r="G36" s="438"/>
      <c r="H36" s="236"/>
      <c r="I36" s="439" t="str">
        <f t="shared" si="1"/>
        <v/>
      </c>
    </row>
    <row r="37" spans="1:9" ht="15" customHeight="1" thickBot="1">
      <c r="A37" s="243"/>
      <c r="B37" s="244"/>
      <c r="C37" s="245"/>
      <c r="D37" s="247"/>
      <c r="E37" s="237"/>
      <c r="F37" s="456" t="str">
        <f t="shared" si="0"/>
        <v/>
      </c>
      <c r="G37" s="457"/>
      <c r="H37" s="237"/>
      <c r="I37" s="458" t="str">
        <f t="shared" si="1"/>
        <v/>
      </c>
    </row>
    <row r="38" spans="1:9" ht="15" customHeight="1">
      <c r="A38" s="252" t="s">
        <v>42</v>
      </c>
      <c r="B38" s="255" t="s">
        <v>84</v>
      </c>
      <c r="C38" s="256"/>
      <c r="D38" s="192"/>
      <c r="E38" s="193"/>
      <c r="F38" s="83" t="str">
        <f t="shared" si="0"/>
        <v/>
      </c>
      <c r="G38" s="192"/>
      <c r="H38" s="193"/>
      <c r="I38" s="83" t="str">
        <f t="shared" si="1"/>
        <v/>
      </c>
    </row>
    <row r="39" spans="1:9" ht="15" customHeight="1">
      <c r="A39" s="253"/>
      <c r="B39" s="248" t="s">
        <v>86</v>
      </c>
      <c r="C39" s="249"/>
      <c r="D39" s="101"/>
      <c r="E39" s="191"/>
      <c r="F39" s="80" t="str">
        <f t="shared" si="0"/>
        <v/>
      </c>
      <c r="G39" s="215"/>
      <c r="H39" s="216"/>
      <c r="I39" s="80" t="str">
        <f t="shared" si="1"/>
        <v/>
      </c>
    </row>
    <row r="40" spans="1:9" ht="15" customHeight="1" thickBot="1">
      <c r="A40" s="254"/>
      <c r="B40" s="250" t="s">
        <v>88</v>
      </c>
      <c r="C40" s="251"/>
      <c r="D40" s="85"/>
      <c r="E40" s="86"/>
      <c r="F40" s="84" t="str">
        <f t="shared" si="0"/>
        <v/>
      </c>
      <c r="G40" s="85"/>
      <c r="H40" s="86"/>
      <c r="I40" s="84" t="str">
        <f t="shared" si="1"/>
        <v/>
      </c>
    </row>
    <row r="41" spans="1:9" ht="21" customHeight="1"/>
    <row r="42" spans="1:9" ht="21" customHeight="1"/>
    <row r="43" spans="1:9" ht="21" customHeight="1"/>
    <row r="44" spans="1:9" ht="21" customHeight="1"/>
    <row r="45" spans="1:9" ht="21" customHeight="1"/>
    <row r="46" spans="1:9" ht="21" customHeight="1"/>
    <row r="47" spans="1:9" ht="21" customHeight="1"/>
    <row r="48" spans="1:9" ht="21" customHeight="1"/>
  </sheetData>
  <mergeCells count="148">
    <mergeCell ref="I36:I37"/>
    <mergeCell ref="L24:N24"/>
    <mergeCell ref="O24:Q24"/>
    <mergeCell ref="J24:J25"/>
    <mergeCell ref="B13:C13"/>
    <mergeCell ref="B14:C14"/>
    <mergeCell ref="X26:Z26"/>
    <mergeCell ref="AA26:AC26"/>
    <mergeCell ref="AD26:AF26"/>
    <mergeCell ref="AD25:AF25"/>
    <mergeCell ref="L25:N25"/>
    <mergeCell ref="O25:Q25"/>
    <mergeCell ref="R25:T25"/>
    <mergeCell ref="U25:W25"/>
    <mergeCell ref="X25:Z25"/>
    <mergeCell ref="AA25:AC25"/>
    <mergeCell ref="AA24:AC24"/>
    <mergeCell ref="AD24:AF24"/>
    <mergeCell ref="R24:T24"/>
    <mergeCell ref="U24:W24"/>
    <mergeCell ref="X24:Z24"/>
    <mergeCell ref="X23:Z23"/>
    <mergeCell ref="L20:W21"/>
    <mergeCell ref="X20:AI21"/>
    <mergeCell ref="A38:A40"/>
    <mergeCell ref="B38:C38"/>
    <mergeCell ref="B39:C39"/>
    <mergeCell ref="B40:C40"/>
    <mergeCell ref="L26:N26"/>
    <mergeCell ref="O26:Q26"/>
    <mergeCell ref="R26:T26"/>
    <mergeCell ref="U26:W26"/>
    <mergeCell ref="L23:N23"/>
    <mergeCell ref="O23:Q23"/>
    <mergeCell ref="R23:T23"/>
    <mergeCell ref="U23:W23"/>
    <mergeCell ref="A35:C35"/>
    <mergeCell ref="A34:C34"/>
    <mergeCell ref="G28:G29"/>
    <mergeCell ref="H28:H29"/>
    <mergeCell ref="I28:I29"/>
    <mergeCell ref="A33:C33"/>
    <mergeCell ref="A36:C37"/>
    <mergeCell ref="D36:D37"/>
    <mergeCell ref="E36:E37"/>
    <mergeCell ref="F36:F37"/>
    <mergeCell ref="G36:G37"/>
    <mergeCell ref="H36:H37"/>
    <mergeCell ref="X22:AC22"/>
    <mergeCell ref="AD22:AI22"/>
    <mergeCell ref="AA23:AC23"/>
    <mergeCell ref="AD23:AF23"/>
    <mergeCell ref="AG23:AI23"/>
    <mergeCell ref="A30:C30"/>
    <mergeCell ref="A31:C32"/>
    <mergeCell ref="D31:D32"/>
    <mergeCell ref="E31:E32"/>
    <mergeCell ref="F31:F32"/>
    <mergeCell ref="G31:G32"/>
    <mergeCell ref="H31:H32"/>
    <mergeCell ref="I31:I32"/>
    <mergeCell ref="J20:K23"/>
    <mergeCell ref="A28:C29"/>
    <mergeCell ref="D28:D29"/>
    <mergeCell ref="E28:E29"/>
    <mergeCell ref="F28:F29"/>
    <mergeCell ref="B22:C22"/>
    <mergeCell ref="AG26:AI26"/>
    <mergeCell ref="AG25:AI25"/>
    <mergeCell ref="AG24:AI24"/>
    <mergeCell ref="L22:Q22"/>
    <mergeCell ref="P13:S13"/>
    <mergeCell ref="T13:W13"/>
    <mergeCell ref="X13:AA13"/>
    <mergeCell ref="AB13:AE13"/>
    <mergeCell ref="B27:C27"/>
    <mergeCell ref="B24:C24"/>
    <mergeCell ref="B23:C23"/>
    <mergeCell ref="B26:C26"/>
    <mergeCell ref="L14:O14"/>
    <mergeCell ref="P14:S14"/>
    <mergeCell ref="T14:W14"/>
    <mergeCell ref="X14:AA14"/>
    <mergeCell ref="AB14:AE14"/>
    <mergeCell ref="A25:C25"/>
    <mergeCell ref="J10:J13"/>
    <mergeCell ref="B20:C20"/>
    <mergeCell ref="B19:C19"/>
    <mergeCell ref="B21:C21"/>
    <mergeCell ref="L17:O17"/>
    <mergeCell ref="P17:S17"/>
    <mergeCell ref="L16:O16"/>
    <mergeCell ref="P16:S16"/>
    <mergeCell ref="B18:C18"/>
    <mergeCell ref="R22:W22"/>
    <mergeCell ref="B17:C17"/>
    <mergeCell ref="AF11:AI11"/>
    <mergeCell ref="B12:C12"/>
    <mergeCell ref="L12:O12"/>
    <mergeCell ref="P12:S12"/>
    <mergeCell ref="B16:C16"/>
    <mergeCell ref="B15:C15"/>
    <mergeCell ref="L15:O15"/>
    <mergeCell ref="P15:S15"/>
    <mergeCell ref="T15:W15"/>
    <mergeCell ref="X15:AA15"/>
    <mergeCell ref="AB15:AE15"/>
    <mergeCell ref="AF15:AI15"/>
    <mergeCell ref="AF16:AI16"/>
    <mergeCell ref="AF17:AI17"/>
    <mergeCell ref="AF13:AI13"/>
    <mergeCell ref="AF14:AI14"/>
    <mergeCell ref="T16:W16"/>
    <mergeCell ref="X16:AA16"/>
    <mergeCell ref="AB16:AE16"/>
    <mergeCell ref="T17:W17"/>
    <mergeCell ref="X17:AA17"/>
    <mergeCell ref="AB17:AE17"/>
    <mergeCell ref="L13:O13"/>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X10:AA10"/>
    <mergeCell ref="AB10:AE10"/>
    <mergeCell ref="AF10:AI10"/>
    <mergeCell ref="T12:W12"/>
    <mergeCell ref="X12:AA12"/>
    <mergeCell ref="AB12:AE12"/>
    <mergeCell ref="AF12:AI12"/>
    <mergeCell ref="B11:C11"/>
    <mergeCell ref="L11:O11"/>
    <mergeCell ref="P11:S11"/>
    <mergeCell ref="T11:W11"/>
    <mergeCell ref="X11:AA11"/>
    <mergeCell ref="AB11:AE11"/>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69"/>
      <c r="B6" s="469" t="s">
        <v>55</v>
      </c>
      <c r="C6" s="334" t="s">
        <v>124</v>
      </c>
      <c r="D6" s="335"/>
      <c r="E6" s="336"/>
    </row>
    <row r="7" spans="1:5" ht="9" customHeight="1">
      <c r="A7" s="470"/>
      <c r="B7" s="472"/>
      <c r="C7" s="337"/>
      <c r="D7" s="338"/>
      <c r="E7" s="339"/>
    </row>
    <row r="8" spans="1:5" ht="30" customHeight="1" thickBot="1">
      <c r="A8" s="471"/>
      <c r="B8" s="473"/>
      <c r="C8" s="131" t="s">
        <v>110</v>
      </c>
      <c r="D8" s="114" t="s">
        <v>110</v>
      </c>
      <c r="E8" s="133" t="s">
        <v>26</v>
      </c>
    </row>
    <row r="9" spans="1:5" ht="17.45" customHeight="1" thickTop="1">
      <c r="A9" s="139"/>
      <c r="B9" s="182"/>
      <c r="C9" s="194"/>
      <c r="D9" s="195"/>
      <c r="E9" s="134" t="str">
        <f>IF(ISERROR(C9/D9),"",(C9/D9-1)*100)</f>
        <v/>
      </c>
    </row>
    <row r="10" spans="1:5" ht="17.45" customHeight="1">
      <c r="A10" s="140"/>
      <c r="B10" s="182"/>
      <c r="C10" s="196"/>
      <c r="D10" s="197"/>
      <c r="E10" s="130" t="str">
        <f t="shared" ref="E10:E37" si="0">IF(ISERROR(C10/D10),"",(C10/D10-1)*100)</f>
        <v/>
      </c>
    </row>
    <row r="11" spans="1:5" ht="17.45" customHeight="1">
      <c r="A11" s="140"/>
      <c r="B11" s="182"/>
      <c r="C11" s="196"/>
      <c r="D11" s="197"/>
      <c r="E11" s="130" t="str">
        <f t="shared" si="0"/>
        <v/>
      </c>
    </row>
    <row r="12" spans="1:5" ht="17.45" customHeight="1">
      <c r="A12" s="140"/>
      <c r="B12" s="182"/>
      <c r="C12" s="196"/>
      <c r="D12" s="197"/>
      <c r="E12" s="130" t="str">
        <f t="shared" si="0"/>
        <v/>
      </c>
    </row>
    <row r="13" spans="1:5" ht="17.45" customHeight="1">
      <c r="A13" s="140"/>
      <c r="B13" s="182"/>
      <c r="C13" s="196"/>
      <c r="D13" s="197"/>
      <c r="E13" s="130" t="str">
        <f t="shared" si="0"/>
        <v/>
      </c>
    </row>
    <row r="14" spans="1:5" ht="17.45" customHeight="1">
      <c r="A14" s="140"/>
      <c r="B14" s="182"/>
      <c r="C14" s="196"/>
      <c r="D14" s="197"/>
      <c r="E14" s="130" t="str">
        <f t="shared" si="0"/>
        <v/>
      </c>
    </row>
    <row r="15" spans="1:5" ht="17.45" customHeight="1">
      <c r="A15" s="140"/>
      <c r="B15" s="182"/>
      <c r="C15" s="196"/>
      <c r="D15" s="197"/>
      <c r="E15" s="130" t="str">
        <f t="shared" si="0"/>
        <v/>
      </c>
    </row>
    <row r="16" spans="1:5" ht="17.45" customHeight="1">
      <c r="A16" s="140"/>
      <c r="B16" s="182"/>
      <c r="C16" s="196"/>
      <c r="D16" s="197"/>
      <c r="E16" s="130" t="str">
        <f t="shared" si="0"/>
        <v/>
      </c>
    </row>
    <row r="17" spans="1:5" ht="17.45" customHeight="1">
      <c r="A17" s="140"/>
      <c r="B17" s="182"/>
      <c r="C17" s="196"/>
      <c r="D17" s="197"/>
      <c r="E17" s="130" t="str">
        <f t="shared" si="0"/>
        <v/>
      </c>
    </row>
    <row r="18" spans="1:5" ht="17.45" customHeight="1">
      <c r="A18" s="140"/>
      <c r="B18" s="182"/>
      <c r="C18" s="196"/>
      <c r="D18" s="197"/>
      <c r="E18" s="130" t="str">
        <f t="shared" si="0"/>
        <v/>
      </c>
    </row>
    <row r="19" spans="1:5" ht="17.45" customHeight="1">
      <c r="A19" s="140"/>
      <c r="B19" s="182"/>
      <c r="C19" s="196"/>
      <c r="D19" s="197"/>
      <c r="E19" s="130" t="str">
        <f t="shared" si="0"/>
        <v/>
      </c>
    </row>
    <row r="20" spans="1:5" ht="17.45" customHeight="1">
      <c r="A20" s="140"/>
      <c r="B20" s="182"/>
      <c r="C20" s="196"/>
      <c r="D20" s="197"/>
      <c r="E20" s="130" t="str">
        <f t="shared" si="0"/>
        <v/>
      </c>
    </row>
    <row r="21" spans="1:5" ht="17.45" customHeight="1">
      <c r="A21" s="140"/>
      <c r="B21" s="182"/>
      <c r="C21" s="196"/>
      <c r="D21" s="197"/>
      <c r="E21" s="130" t="str">
        <f t="shared" si="0"/>
        <v/>
      </c>
    </row>
    <row r="22" spans="1:5" ht="17.45" customHeight="1">
      <c r="A22" s="140"/>
      <c r="B22" s="182"/>
      <c r="C22" s="196"/>
      <c r="D22" s="197"/>
      <c r="E22" s="130" t="str">
        <f t="shared" si="0"/>
        <v/>
      </c>
    </row>
    <row r="23" spans="1:5" ht="17.45" customHeight="1">
      <c r="A23" s="140"/>
      <c r="B23" s="182"/>
      <c r="C23" s="196"/>
      <c r="D23" s="197"/>
      <c r="E23" s="130" t="str">
        <f t="shared" si="0"/>
        <v/>
      </c>
    </row>
    <row r="24" spans="1:5" ht="17.45" customHeight="1">
      <c r="A24" s="140"/>
      <c r="B24" s="182"/>
      <c r="C24" s="198"/>
      <c r="D24" s="199"/>
      <c r="E24" s="112" t="str">
        <f t="shared" si="0"/>
        <v/>
      </c>
    </row>
    <row r="25" spans="1:5" ht="17.45" customHeight="1">
      <c r="A25" s="140"/>
      <c r="B25" s="182"/>
      <c r="C25" s="198"/>
      <c r="D25" s="199"/>
      <c r="E25" s="112" t="str">
        <f t="shared" si="0"/>
        <v/>
      </c>
    </row>
    <row r="26" spans="1:5" ht="17.45" customHeight="1">
      <c r="A26" s="140"/>
      <c r="B26" s="182"/>
      <c r="C26" s="198"/>
      <c r="D26" s="199"/>
      <c r="E26" s="112" t="str">
        <f t="shared" si="0"/>
        <v/>
      </c>
    </row>
    <row r="27" spans="1:5" ht="17.45" customHeight="1">
      <c r="A27" s="140"/>
      <c r="B27" s="182"/>
      <c r="C27" s="198"/>
      <c r="D27" s="199"/>
      <c r="E27" s="112" t="str">
        <f t="shared" si="0"/>
        <v/>
      </c>
    </row>
    <row r="28" spans="1:5" ht="17.45" customHeight="1">
      <c r="A28" s="140"/>
      <c r="B28" s="182"/>
      <c r="C28" s="198"/>
      <c r="D28" s="199"/>
      <c r="E28" s="112" t="str">
        <f t="shared" si="0"/>
        <v/>
      </c>
    </row>
    <row r="29" spans="1:5" ht="17.45" customHeight="1">
      <c r="A29" s="140"/>
      <c r="B29" s="182"/>
      <c r="C29" s="198"/>
      <c r="D29" s="199"/>
      <c r="E29" s="112" t="str">
        <f t="shared" si="0"/>
        <v/>
      </c>
    </row>
    <row r="30" spans="1:5" ht="17.45" customHeight="1">
      <c r="A30" s="140"/>
      <c r="B30" s="182"/>
      <c r="C30" s="198"/>
      <c r="D30" s="199"/>
      <c r="E30" s="112" t="str">
        <f t="shared" si="0"/>
        <v/>
      </c>
    </row>
    <row r="31" spans="1:5" ht="17.45" customHeight="1">
      <c r="A31" s="140"/>
      <c r="B31" s="182"/>
      <c r="C31" s="198"/>
      <c r="D31" s="199"/>
      <c r="E31" s="112" t="str">
        <f t="shared" si="0"/>
        <v/>
      </c>
    </row>
    <row r="32" spans="1:5" ht="17.45" customHeight="1">
      <c r="A32" s="140"/>
      <c r="B32" s="182"/>
      <c r="C32" s="198"/>
      <c r="D32" s="199"/>
      <c r="E32" s="112" t="str">
        <f t="shared" si="0"/>
        <v/>
      </c>
    </row>
    <row r="33" spans="1:5" ht="17.45" customHeight="1">
      <c r="A33" s="140"/>
      <c r="B33" s="182"/>
      <c r="C33" s="198"/>
      <c r="D33" s="199"/>
      <c r="E33" s="112" t="str">
        <f t="shared" si="0"/>
        <v/>
      </c>
    </row>
    <row r="34" spans="1:5" ht="17.45" customHeight="1">
      <c r="A34" s="140"/>
      <c r="B34" s="182"/>
      <c r="C34" s="198"/>
      <c r="D34" s="199"/>
      <c r="E34" s="112" t="str">
        <f t="shared" si="0"/>
        <v/>
      </c>
    </row>
    <row r="35" spans="1:5" ht="17.45" customHeight="1">
      <c r="A35" s="140"/>
      <c r="B35" s="182"/>
      <c r="C35" s="198"/>
      <c r="D35" s="199"/>
      <c r="E35" s="112" t="str">
        <f t="shared" si="0"/>
        <v/>
      </c>
    </row>
    <row r="36" spans="1:5" ht="17.45" customHeight="1">
      <c r="A36" s="140"/>
      <c r="B36" s="182"/>
      <c r="C36" s="198"/>
      <c r="D36" s="199"/>
      <c r="E36" s="112" t="str">
        <f t="shared" si="0"/>
        <v/>
      </c>
    </row>
    <row r="37" spans="1:5" ht="17.45" customHeight="1" thickBot="1">
      <c r="A37" s="141"/>
      <c r="B37" s="183"/>
      <c r="C37" s="200"/>
      <c r="D37" s="201"/>
      <c r="E37" s="113"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69"/>
      <c r="B7" s="469" t="s">
        <v>55</v>
      </c>
      <c r="C7" s="378" t="s">
        <v>123</v>
      </c>
      <c r="D7" s="379"/>
      <c r="E7" s="380"/>
      <c r="F7" s="384" t="s">
        <v>125</v>
      </c>
      <c r="G7" s="385"/>
      <c r="H7" s="386"/>
    </row>
    <row r="8" spans="1:8" ht="21" customHeight="1">
      <c r="A8" s="470"/>
      <c r="B8" s="472"/>
      <c r="C8" s="381"/>
      <c r="D8" s="382"/>
      <c r="E8" s="383"/>
      <c r="F8" s="387"/>
      <c r="G8" s="388"/>
      <c r="H8" s="389"/>
    </row>
    <row r="9" spans="1:8" ht="29.25" customHeight="1" thickBot="1">
      <c r="A9" s="471"/>
      <c r="B9" s="473"/>
      <c r="C9" s="131" t="s">
        <v>111</v>
      </c>
      <c r="D9" s="114" t="s">
        <v>112</v>
      </c>
      <c r="E9" s="209" t="s">
        <v>126</v>
      </c>
      <c r="F9" s="132" t="s">
        <v>110</v>
      </c>
      <c r="G9" s="114" t="s">
        <v>111</v>
      </c>
      <c r="H9" s="209" t="s">
        <v>126</v>
      </c>
    </row>
    <row r="10" spans="1:8" ht="17.45" customHeight="1" thickTop="1">
      <c r="A10" s="139"/>
      <c r="B10" s="182"/>
      <c r="C10" s="202"/>
      <c r="D10" s="203"/>
      <c r="E10" s="100" t="str">
        <f t="shared" ref="E10:E38" si="0">IF(ISERROR(C10/D10),"",(C10/D10-1)*100)</f>
        <v/>
      </c>
      <c r="F10" s="206"/>
      <c r="G10" s="203"/>
      <c r="H10" s="100" t="str">
        <f t="shared" ref="H10:H38" si="1">IF(ISERROR(F10/G10),"",(F10/G10-1)*100)</f>
        <v/>
      </c>
    </row>
    <row r="11" spans="1:8" ht="17.45" customHeight="1">
      <c r="A11" s="140"/>
      <c r="B11" s="182"/>
      <c r="C11" s="196"/>
      <c r="D11" s="197"/>
      <c r="E11" s="66" t="str">
        <f t="shared" si="0"/>
        <v/>
      </c>
      <c r="F11" s="207"/>
      <c r="G11" s="197"/>
      <c r="H11" s="66" t="str">
        <f t="shared" si="1"/>
        <v/>
      </c>
    </row>
    <row r="12" spans="1:8" ht="17.45" customHeight="1">
      <c r="A12" s="140"/>
      <c r="B12" s="182"/>
      <c r="C12" s="196"/>
      <c r="D12" s="197"/>
      <c r="E12" s="66" t="str">
        <f t="shared" si="0"/>
        <v/>
      </c>
      <c r="F12" s="207"/>
      <c r="G12" s="197"/>
      <c r="H12" s="66" t="str">
        <f t="shared" si="1"/>
        <v/>
      </c>
    </row>
    <row r="13" spans="1:8" ht="17.45" customHeight="1">
      <c r="A13" s="140"/>
      <c r="B13" s="182"/>
      <c r="C13" s="196"/>
      <c r="D13" s="197"/>
      <c r="E13" s="66" t="str">
        <f t="shared" si="0"/>
        <v/>
      </c>
      <c r="F13" s="207"/>
      <c r="G13" s="197"/>
      <c r="H13" s="66" t="str">
        <f t="shared" si="1"/>
        <v/>
      </c>
    </row>
    <row r="14" spans="1:8" ht="17.45" customHeight="1">
      <c r="A14" s="140"/>
      <c r="B14" s="182"/>
      <c r="C14" s="196"/>
      <c r="D14" s="197"/>
      <c r="E14" s="66" t="str">
        <f t="shared" si="0"/>
        <v/>
      </c>
      <c r="F14" s="207"/>
      <c r="G14" s="197"/>
      <c r="H14" s="66" t="str">
        <f t="shared" si="1"/>
        <v/>
      </c>
    </row>
    <row r="15" spans="1:8" ht="17.45" customHeight="1">
      <c r="A15" s="140"/>
      <c r="B15" s="182"/>
      <c r="C15" s="196"/>
      <c r="D15" s="197"/>
      <c r="E15" s="66" t="str">
        <f t="shared" si="0"/>
        <v/>
      </c>
      <c r="F15" s="207"/>
      <c r="G15" s="197"/>
      <c r="H15" s="66" t="str">
        <f t="shared" si="1"/>
        <v/>
      </c>
    </row>
    <row r="16" spans="1:8" ht="17.45" customHeight="1">
      <c r="A16" s="140"/>
      <c r="B16" s="182"/>
      <c r="C16" s="196"/>
      <c r="D16" s="197"/>
      <c r="E16" s="66" t="str">
        <f t="shared" si="0"/>
        <v/>
      </c>
      <c r="F16" s="207"/>
      <c r="G16" s="197"/>
      <c r="H16" s="66" t="str">
        <f t="shared" si="1"/>
        <v/>
      </c>
    </row>
    <row r="17" spans="1:8" ht="17.45" customHeight="1">
      <c r="A17" s="140"/>
      <c r="B17" s="182"/>
      <c r="C17" s="196"/>
      <c r="D17" s="197"/>
      <c r="E17" s="66" t="str">
        <f t="shared" si="0"/>
        <v/>
      </c>
      <c r="F17" s="207"/>
      <c r="G17" s="197"/>
      <c r="H17" s="66" t="str">
        <f t="shared" si="1"/>
        <v/>
      </c>
    </row>
    <row r="18" spans="1:8" ht="17.45" customHeight="1">
      <c r="A18" s="140"/>
      <c r="B18" s="182"/>
      <c r="C18" s="196"/>
      <c r="D18" s="197"/>
      <c r="E18" s="66" t="str">
        <f t="shared" si="0"/>
        <v/>
      </c>
      <c r="F18" s="207"/>
      <c r="G18" s="197"/>
      <c r="H18" s="66" t="str">
        <f t="shared" si="1"/>
        <v/>
      </c>
    </row>
    <row r="19" spans="1:8" ht="17.45" customHeight="1">
      <c r="A19" s="140"/>
      <c r="B19" s="182"/>
      <c r="C19" s="196"/>
      <c r="D19" s="197"/>
      <c r="E19" s="66" t="str">
        <f t="shared" si="0"/>
        <v/>
      </c>
      <c r="F19" s="207"/>
      <c r="G19" s="197"/>
      <c r="H19" s="66" t="str">
        <f t="shared" si="1"/>
        <v/>
      </c>
    </row>
    <row r="20" spans="1:8" ht="17.45" customHeight="1">
      <c r="A20" s="140"/>
      <c r="B20" s="182"/>
      <c r="C20" s="196"/>
      <c r="D20" s="197"/>
      <c r="E20" s="66" t="str">
        <f t="shared" si="0"/>
        <v/>
      </c>
      <c r="F20" s="207"/>
      <c r="G20" s="197"/>
      <c r="H20" s="66" t="str">
        <f t="shared" si="1"/>
        <v/>
      </c>
    </row>
    <row r="21" spans="1:8" ht="17.45" customHeight="1">
      <c r="A21" s="140"/>
      <c r="B21" s="182"/>
      <c r="C21" s="196"/>
      <c r="D21" s="197"/>
      <c r="E21" s="66" t="str">
        <f t="shared" si="0"/>
        <v/>
      </c>
      <c r="F21" s="207"/>
      <c r="G21" s="197"/>
      <c r="H21" s="66" t="str">
        <f t="shared" si="1"/>
        <v/>
      </c>
    </row>
    <row r="22" spans="1:8" ht="17.45" customHeight="1">
      <c r="A22" s="140"/>
      <c r="B22" s="182"/>
      <c r="C22" s="196"/>
      <c r="D22" s="197"/>
      <c r="E22" s="66" t="str">
        <f t="shared" si="0"/>
        <v/>
      </c>
      <c r="F22" s="207"/>
      <c r="G22" s="197"/>
      <c r="H22" s="66" t="str">
        <f t="shared" si="1"/>
        <v/>
      </c>
    </row>
    <row r="23" spans="1:8" ht="17.45" customHeight="1">
      <c r="A23" s="140"/>
      <c r="B23" s="182"/>
      <c r="C23" s="196"/>
      <c r="D23" s="197"/>
      <c r="E23" s="66" t="str">
        <f t="shared" si="0"/>
        <v/>
      </c>
      <c r="F23" s="208"/>
      <c r="G23" s="199"/>
      <c r="H23" s="66" t="str">
        <f t="shared" si="1"/>
        <v/>
      </c>
    </row>
    <row r="24" spans="1:8" ht="17.45" customHeight="1">
      <c r="A24" s="140"/>
      <c r="B24" s="182"/>
      <c r="C24" s="196"/>
      <c r="D24" s="197"/>
      <c r="E24" s="66" t="str">
        <f t="shared" si="0"/>
        <v/>
      </c>
      <c r="F24" s="207"/>
      <c r="G24" s="197"/>
      <c r="H24" s="66" t="str">
        <f t="shared" si="1"/>
        <v/>
      </c>
    </row>
    <row r="25" spans="1:8" ht="17.45" customHeight="1">
      <c r="A25" s="140"/>
      <c r="B25" s="182"/>
      <c r="C25" s="196"/>
      <c r="D25" s="197"/>
      <c r="E25" s="66" t="str">
        <f t="shared" si="0"/>
        <v/>
      </c>
      <c r="F25" s="207"/>
      <c r="G25" s="197"/>
      <c r="H25" s="66" t="str">
        <f t="shared" si="1"/>
        <v/>
      </c>
    </row>
    <row r="26" spans="1:8" ht="17.45" customHeight="1">
      <c r="A26" s="140"/>
      <c r="B26" s="182"/>
      <c r="C26" s="198"/>
      <c r="D26" s="199"/>
      <c r="E26" s="99" t="str">
        <f t="shared" si="0"/>
        <v/>
      </c>
      <c r="F26" s="208"/>
      <c r="G26" s="199"/>
      <c r="H26" s="99" t="str">
        <f t="shared" si="1"/>
        <v/>
      </c>
    </row>
    <row r="27" spans="1:8" ht="17.45" customHeight="1">
      <c r="A27" s="140"/>
      <c r="B27" s="182"/>
      <c r="C27" s="198"/>
      <c r="D27" s="199"/>
      <c r="E27" s="99" t="str">
        <f t="shared" si="0"/>
        <v/>
      </c>
      <c r="F27" s="208"/>
      <c r="G27" s="199"/>
      <c r="H27" s="99" t="str">
        <f t="shared" si="1"/>
        <v/>
      </c>
    </row>
    <row r="28" spans="1:8" ht="17.45" customHeight="1">
      <c r="A28" s="140"/>
      <c r="B28" s="182"/>
      <c r="C28" s="198"/>
      <c r="D28" s="199"/>
      <c r="E28" s="99" t="str">
        <f t="shared" si="0"/>
        <v/>
      </c>
      <c r="F28" s="208"/>
      <c r="G28" s="199"/>
      <c r="H28" s="99" t="str">
        <f t="shared" si="1"/>
        <v/>
      </c>
    </row>
    <row r="29" spans="1:8" ht="17.45" customHeight="1">
      <c r="A29" s="140"/>
      <c r="B29" s="182"/>
      <c r="C29" s="198"/>
      <c r="D29" s="199"/>
      <c r="E29" s="99" t="str">
        <f t="shared" si="0"/>
        <v/>
      </c>
      <c r="F29" s="208"/>
      <c r="G29" s="199"/>
      <c r="H29" s="99" t="str">
        <f t="shared" si="1"/>
        <v/>
      </c>
    </row>
    <row r="30" spans="1:8" ht="17.45" customHeight="1">
      <c r="A30" s="140"/>
      <c r="B30" s="182"/>
      <c r="C30" s="198"/>
      <c r="D30" s="199"/>
      <c r="E30" s="99" t="str">
        <f t="shared" si="0"/>
        <v/>
      </c>
      <c r="F30" s="208"/>
      <c r="G30" s="199"/>
      <c r="H30" s="99" t="str">
        <f t="shared" si="1"/>
        <v/>
      </c>
    </row>
    <row r="31" spans="1:8" ht="17.45" customHeight="1">
      <c r="A31" s="140"/>
      <c r="B31" s="182"/>
      <c r="C31" s="198"/>
      <c r="D31" s="199"/>
      <c r="E31" s="99" t="str">
        <f t="shared" si="0"/>
        <v/>
      </c>
      <c r="F31" s="208"/>
      <c r="G31" s="199"/>
      <c r="H31" s="99" t="str">
        <f t="shared" si="1"/>
        <v/>
      </c>
    </row>
    <row r="32" spans="1:8" ht="17.45" customHeight="1">
      <c r="A32" s="140"/>
      <c r="B32" s="182"/>
      <c r="C32" s="198"/>
      <c r="D32" s="199"/>
      <c r="E32" s="99" t="str">
        <f t="shared" si="0"/>
        <v/>
      </c>
      <c r="F32" s="208"/>
      <c r="G32" s="199"/>
      <c r="H32" s="99" t="str">
        <f t="shared" si="1"/>
        <v/>
      </c>
    </row>
    <row r="33" spans="1:8" ht="17.45" customHeight="1">
      <c r="A33" s="140"/>
      <c r="B33" s="182"/>
      <c r="C33" s="198"/>
      <c r="D33" s="199"/>
      <c r="E33" s="99" t="str">
        <f t="shared" si="0"/>
        <v/>
      </c>
      <c r="F33" s="208"/>
      <c r="G33" s="199"/>
      <c r="H33" s="99" t="str">
        <f t="shared" si="1"/>
        <v/>
      </c>
    </row>
    <row r="34" spans="1:8" ht="17.45" customHeight="1">
      <c r="A34" s="140"/>
      <c r="B34" s="182"/>
      <c r="C34" s="198"/>
      <c r="D34" s="199"/>
      <c r="E34" s="99" t="str">
        <f t="shared" si="0"/>
        <v/>
      </c>
      <c r="F34" s="208"/>
      <c r="G34" s="199"/>
      <c r="H34" s="99" t="str">
        <f t="shared" si="1"/>
        <v/>
      </c>
    </row>
    <row r="35" spans="1:8" ht="17.45" customHeight="1">
      <c r="A35" s="140"/>
      <c r="B35" s="182"/>
      <c r="C35" s="196"/>
      <c r="D35" s="197"/>
      <c r="E35" s="130" t="str">
        <f t="shared" si="0"/>
        <v/>
      </c>
      <c r="F35" s="196"/>
      <c r="G35" s="197"/>
      <c r="H35" s="130" t="str">
        <f t="shared" si="1"/>
        <v/>
      </c>
    </row>
    <row r="36" spans="1:8" ht="17.45" customHeight="1">
      <c r="A36" s="140"/>
      <c r="B36" s="182"/>
      <c r="C36" s="196"/>
      <c r="D36" s="197"/>
      <c r="E36" s="130" t="str">
        <f t="shared" si="0"/>
        <v/>
      </c>
      <c r="F36" s="196"/>
      <c r="G36" s="197"/>
      <c r="H36" s="130" t="str">
        <f t="shared" si="1"/>
        <v/>
      </c>
    </row>
    <row r="37" spans="1:8" ht="17.45" customHeight="1">
      <c r="A37" s="140"/>
      <c r="B37" s="182"/>
      <c r="C37" s="196"/>
      <c r="D37" s="197"/>
      <c r="E37" s="130" t="str">
        <f t="shared" si="0"/>
        <v/>
      </c>
      <c r="F37" s="196"/>
      <c r="G37" s="197"/>
      <c r="H37" s="130" t="str">
        <f t="shared" si="1"/>
        <v/>
      </c>
    </row>
    <row r="38" spans="1:8" ht="21" customHeight="1" thickBot="1">
      <c r="A38" s="141"/>
      <c r="B38" s="183"/>
      <c r="C38" s="204"/>
      <c r="D38" s="205"/>
      <c r="E38" s="118" t="str">
        <f t="shared" si="0"/>
        <v/>
      </c>
      <c r="F38" s="204"/>
      <c r="G38" s="205"/>
      <c r="H38" s="118"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185"/>
      <c r="B62" s="185" t="s">
        <v>59</v>
      </c>
      <c r="C62" s="185" t="s">
        <v>17</v>
      </c>
      <c r="D62" s="185" t="s">
        <v>18</v>
      </c>
      <c r="E62" s="185" t="s">
        <v>59</v>
      </c>
      <c r="F62" s="185" t="s">
        <v>17</v>
      </c>
    </row>
    <row r="63" spans="1:6">
      <c r="A63" s="185"/>
      <c r="B63" s="69" t="str">
        <f t="shared" ref="B63:B70" si="0">IF(E63&gt;0,IF($A$74&lt;100,D63,IF(D63&gt;$A$74,$A$74,D63)),"")</f>
        <v/>
      </c>
      <c r="C63" s="70" t="e">
        <f t="shared" ref="C63:C69" si="1">F63/F63*100</f>
        <v>#DIV/0!</v>
      </c>
      <c r="D63" s="69" t="e">
        <f>ROUND(IF(ISTEXT(E63),0,E63)/F63*100,1)</f>
        <v>#DIV/0!</v>
      </c>
      <c r="E63" s="187"/>
      <c r="F63" s="187"/>
    </row>
    <row r="64" spans="1:6">
      <c r="A64" s="185"/>
      <c r="B64" s="69" t="str">
        <f t="shared" si="0"/>
        <v/>
      </c>
      <c r="C64" s="70" t="e">
        <f t="shared" si="1"/>
        <v>#DIV/0!</v>
      </c>
      <c r="D64" s="69" t="e">
        <f t="shared" ref="D64:D70" si="2">ROUND(IF(ISTEXT(E64),0,E64)/F64*100,1)</f>
        <v>#DIV/0!</v>
      </c>
      <c r="E64" s="187"/>
      <c r="F64" s="187"/>
    </row>
    <row r="65" spans="1:7">
      <c r="A65" s="185"/>
      <c r="B65" s="69" t="str">
        <f t="shared" si="0"/>
        <v/>
      </c>
      <c r="C65" s="70" t="e">
        <f t="shared" si="1"/>
        <v>#DIV/0!</v>
      </c>
      <c r="D65" s="69" t="e">
        <f t="shared" si="2"/>
        <v>#DIV/0!</v>
      </c>
      <c r="E65" s="187"/>
      <c r="F65" s="187"/>
    </row>
    <row r="66" spans="1:7">
      <c r="A66" s="185"/>
      <c r="B66" s="69" t="str">
        <f t="shared" si="0"/>
        <v/>
      </c>
      <c r="C66" s="70" t="e">
        <f t="shared" si="1"/>
        <v>#DIV/0!</v>
      </c>
      <c r="D66" s="69" t="e">
        <f t="shared" si="2"/>
        <v>#DIV/0!</v>
      </c>
      <c r="E66" s="187"/>
      <c r="F66" s="187"/>
    </row>
    <row r="67" spans="1:7">
      <c r="A67" s="185"/>
      <c r="B67" s="69" t="str">
        <f t="shared" si="0"/>
        <v/>
      </c>
      <c r="C67" s="70" t="e">
        <f t="shared" si="1"/>
        <v>#DIV/0!</v>
      </c>
      <c r="D67" s="69" t="e">
        <f t="shared" si="2"/>
        <v>#DIV/0!</v>
      </c>
      <c r="E67" s="187"/>
      <c r="F67" s="187"/>
    </row>
    <row r="68" spans="1:7">
      <c r="A68" s="185"/>
      <c r="B68" s="69" t="str">
        <f t="shared" si="0"/>
        <v/>
      </c>
      <c r="C68" s="70" t="e">
        <f t="shared" si="1"/>
        <v>#DIV/0!</v>
      </c>
      <c r="D68" s="69" t="e">
        <f t="shared" si="2"/>
        <v>#DIV/0!</v>
      </c>
      <c r="E68" s="187"/>
      <c r="F68" s="187"/>
    </row>
    <row r="69" spans="1:7">
      <c r="A69" s="185"/>
      <c r="B69" s="69" t="str">
        <f t="shared" si="0"/>
        <v/>
      </c>
      <c r="C69" s="70" t="e">
        <f t="shared" si="1"/>
        <v>#DIV/0!</v>
      </c>
      <c r="D69" s="69" t="e">
        <f t="shared" si="2"/>
        <v>#DIV/0!</v>
      </c>
      <c r="E69" s="187"/>
      <c r="F69" s="187"/>
      <c r="G69" s="8"/>
    </row>
    <row r="70" spans="1:7">
      <c r="A70" s="185"/>
      <c r="B70" s="69" t="str">
        <f t="shared" si="0"/>
        <v/>
      </c>
      <c r="C70" s="70" t="e">
        <f>F70/F70*100</f>
        <v>#DIV/0!</v>
      </c>
      <c r="D70" s="69" t="e">
        <f t="shared" si="2"/>
        <v>#DIV/0!</v>
      </c>
      <c r="E70" s="187"/>
      <c r="F70" s="187"/>
    </row>
    <row r="71" spans="1:7">
      <c r="B71" s="97"/>
      <c r="C71" s="6"/>
      <c r="D71" s="7"/>
      <c r="E71" s="8"/>
      <c r="F71" s="8"/>
    </row>
    <row r="74" spans="1:7">
      <c r="A74" s="4">
        <v>150</v>
      </c>
      <c r="B74" s="4" t="s">
        <v>46</v>
      </c>
      <c r="C74" s="4" t="s">
        <v>47</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75"/>
      <c r="C39" s="174" t="s">
        <v>51</v>
      </c>
      <c r="D39" s="175" t="s">
        <v>56</v>
      </c>
      <c r="E39" s="176" t="s">
        <v>56</v>
      </c>
      <c r="F39" s="177" t="s">
        <v>56</v>
      </c>
    </row>
    <row r="40" spans="2:6" ht="27" customHeight="1" thickTop="1">
      <c r="B40" s="178"/>
      <c r="C40" s="220"/>
      <c r="D40" s="221"/>
      <c r="E40" s="222"/>
      <c r="F40" s="223"/>
    </row>
    <row r="41" spans="2:6" ht="27" customHeight="1">
      <c r="B41" s="179"/>
      <c r="C41" s="210"/>
      <c r="D41" s="211"/>
      <c r="E41" s="212"/>
      <c r="F41" s="213"/>
    </row>
    <row r="42" spans="2:6" ht="27" customHeight="1" thickBot="1">
      <c r="B42" s="181"/>
      <c r="C42" s="214"/>
      <c r="D42" s="217"/>
      <c r="E42" s="218"/>
      <c r="F42" s="219"/>
    </row>
    <row r="60" spans="3:7">
      <c r="C60" t="s">
        <v>113</v>
      </c>
    </row>
    <row r="61" spans="3:7">
      <c r="C61" s="180"/>
      <c r="D61" s="184" t="s">
        <v>114</v>
      </c>
      <c r="E61" s="180" t="s">
        <v>56</v>
      </c>
      <c r="F61" s="180" t="s">
        <v>56</v>
      </c>
      <c r="G61" s="180" t="s">
        <v>56</v>
      </c>
    </row>
    <row r="62" spans="3:7">
      <c r="C62" s="180" t="s">
        <v>21</v>
      </c>
      <c r="D62" s="188"/>
      <c r="E62" s="188"/>
      <c r="F62" s="188"/>
      <c r="G62" s="188"/>
    </row>
    <row r="63" spans="3:7">
      <c r="C63" s="180" t="s">
        <v>117</v>
      </c>
      <c r="D63" s="188"/>
      <c r="E63" s="188"/>
      <c r="F63" s="188"/>
      <c r="G63" s="188"/>
    </row>
    <row r="64" spans="3:7">
      <c r="C64" s="180" t="s">
        <v>118</v>
      </c>
      <c r="D64" s="188"/>
      <c r="E64" s="188"/>
      <c r="F64" s="188"/>
      <c r="G64" s="188"/>
    </row>
    <row r="65" spans="2:7">
      <c r="D65" s="224">
        <f>SUM(D62:D64)</f>
        <v>0</v>
      </c>
      <c r="E65" s="224">
        <f t="shared" ref="E65:G65" si="0">SUM(E62:E64)</f>
        <v>0</v>
      </c>
      <c r="F65" s="224">
        <f t="shared" si="0"/>
        <v>0</v>
      </c>
      <c r="G65" s="224">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186"/>
      <c r="B61" s="186" t="s">
        <v>49</v>
      </c>
      <c r="C61" s="186" t="s">
        <v>56</v>
      </c>
      <c r="D61" s="186" t="s">
        <v>56</v>
      </c>
      <c r="E61" s="186" t="s">
        <v>50</v>
      </c>
    </row>
    <row r="62" spans="1:5">
      <c r="A62" s="186"/>
      <c r="B62" s="189"/>
      <c r="C62" s="189"/>
      <c r="D62" s="189"/>
      <c r="E62" s="189"/>
    </row>
    <row r="63" spans="1:5">
      <c r="A63" s="186"/>
      <c r="B63" s="189"/>
      <c r="C63" s="189"/>
      <c r="D63" s="189"/>
      <c r="E63" s="189"/>
    </row>
    <row r="64" spans="1:5">
      <c r="A64" s="186"/>
      <c r="B64" s="189"/>
      <c r="C64" s="189"/>
      <c r="D64" s="189"/>
      <c r="E64" s="189"/>
    </row>
    <row r="65" spans="1:5">
      <c r="A65" s="186"/>
      <c r="B65" s="189"/>
      <c r="C65" s="189"/>
      <c r="D65" s="189"/>
      <c r="E65" s="189"/>
    </row>
    <row r="66" spans="1:5">
      <c r="A66" s="186"/>
      <c r="B66" s="189"/>
      <c r="C66" s="189"/>
      <c r="D66" s="189"/>
      <c r="E66" s="189"/>
    </row>
    <row r="67" spans="1:5">
      <c r="A67" s="64"/>
      <c r="B67" s="64"/>
      <c r="C67" s="64"/>
      <c r="D67" s="64"/>
      <c r="E67" s="64"/>
    </row>
    <row r="68" spans="1:5">
      <c r="A68" s="64"/>
      <c r="B68" s="64"/>
      <c r="C68" s="64"/>
      <c r="D68" s="64"/>
      <c r="E68" s="64"/>
    </row>
    <row r="69" spans="1:5">
      <c r="A69" s="64"/>
      <c r="B69" s="64"/>
      <c r="C69" s="64"/>
      <c r="D69" s="64"/>
      <c r="E69" s="64"/>
    </row>
    <row r="70" spans="1:5">
      <c r="A70" s="186"/>
      <c r="B70" s="186" t="s">
        <v>48</v>
      </c>
      <c r="C70" s="186" t="s">
        <v>56</v>
      </c>
      <c r="D70" s="186" t="s">
        <v>56</v>
      </c>
      <c r="E70" s="186" t="s">
        <v>50</v>
      </c>
    </row>
    <row r="71" spans="1:5">
      <c r="A71" s="186"/>
      <c r="B71" s="190"/>
      <c r="C71" s="190"/>
      <c r="D71" s="190"/>
      <c r="E71" s="190"/>
    </row>
    <row r="72" spans="1:5">
      <c r="A72" s="186"/>
      <c r="B72" s="190"/>
      <c r="C72" s="190"/>
      <c r="D72" s="190"/>
      <c r="E72" s="190"/>
    </row>
    <row r="73" spans="1:5">
      <c r="A73" s="186"/>
      <c r="B73" s="190"/>
      <c r="C73" s="190"/>
      <c r="D73" s="190"/>
      <c r="E73" s="190"/>
    </row>
    <row r="74" spans="1:5">
      <c r="A74" s="186"/>
      <c r="B74" s="190"/>
      <c r="C74" s="190"/>
      <c r="D74" s="190"/>
      <c r="E74" s="190"/>
    </row>
    <row r="75" spans="1:5">
      <c r="A75" s="186"/>
      <c r="B75" s="190"/>
      <c r="C75" s="190"/>
      <c r="D75" s="190"/>
      <c r="E75" s="190"/>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109</v>
      </c>
    </row>
    <row r="62" spans="1:6">
      <c r="A62" s="180"/>
      <c r="B62" s="180" t="s">
        <v>100</v>
      </c>
      <c r="C62" s="180" t="s">
        <v>100</v>
      </c>
      <c r="D62" s="180" t="s">
        <v>100</v>
      </c>
      <c r="E62" s="180" t="s">
        <v>100</v>
      </c>
      <c r="F62" s="180" t="s">
        <v>100</v>
      </c>
    </row>
    <row r="63" spans="1:6">
      <c r="A63" s="180" t="s">
        <v>21</v>
      </c>
      <c r="B63" s="71"/>
      <c r="C63" s="71"/>
      <c r="D63" s="71"/>
      <c r="E63" s="71"/>
      <c r="F63" s="71"/>
    </row>
    <row r="64" spans="1:6">
      <c r="A64" s="180" t="s">
        <v>117</v>
      </c>
      <c r="B64" s="71"/>
      <c r="C64" s="71"/>
      <c r="D64" s="71"/>
      <c r="E64" s="71"/>
      <c r="F64" s="71"/>
    </row>
    <row r="65" spans="1:6">
      <c r="A65" s="180" t="s">
        <v>118</v>
      </c>
      <c r="B65" s="71"/>
      <c r="C65" s="71"/>
      <c r="D65" s="71"/>
      <c r="E65" s="71"/>
      <c r="F65" s="71"/>
    </row>
    <row r="66" spans="1:6">
      <c r="B66" s="225">
        <f>SUM(B63:B65)</f>
        <v>0</v>
      </c>
      <c r="C66" s="225">
        <f t="shared" ref="C66:F66" si="0">SUM(C63:C65)</f>
        <v>0</v>
      </c>
      <c r="D66" s="225">
        <f t="shared" si="0"/>
        <v>0</v>
      </c>
      <c r="E66" s="225">
        <f t="shared" si="0"/>
        <v>0</v>
      </c>
      <c r="F66" s="225">
        <f t="shared" si="0"/>
        <v>0</v>
      </c>
    </row>
    <row r="68" spans="1:6">
      <c r="A68" t="s">
        <v>108</v>
      </c>
    </row>
    <row r="69" spans="1:6">
      <c r="A69" s="180"/>
      <c r="B69" s="180" t="s">
        <v>100</v>
      </c>
      <c r="C69" s="180" t="s">
        <v>100</v>
      </c>
      <c r="D69" s="180" t="s">
        <v>100</v>
      </c>
      <c r="E69" s="180" t="s">
        <v>100</v>
      </c>
      <c r="F69" s="180" t="s">
        <v>100</v>
      </c>
    </row>
    <row r="70" spans="1:6">
      <c r="A70" s="180" t="s">
        <v>57</v>
      </c>
      <c r="B70" s="72"/>
      <c r="C70" s="72"/>
      <c r="D70" s="72"/>
      <c r="E70" s="72"/>
      <c r="F70" s="72"/>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106</v>
      </c>
      <c r="B61" s="61"/>
      <c r="C61" s="61"/>
      <c r="D61" s="61"/>
      <c r="E61" s="61"/>
      <c r="F61" s="61"/>
      <c r="G61" s="61"/>
      <c r="H61" s="61"/>
    </row>
    <row r="62" spans="1:8">
      <c r="A62" s="184"/>
      <c r="B62" s="184" t="s">
        <v>100</v>
      </c>
      <c r="C62" s="184" t="s">
        <v>100</v>
      </c>
      <c r="D62" s="184" t="s">
        <v>100</v>
      </c>
      <c r="E62" s="184" t="s">
        <v>100</v>
      </c>
      <c r="F62" s="184" t="s">
        <v>100</v>
      </c>
      <c r="G62" s="61"/>
      <c r="H62" s="61"/>
    </row>
    <row r="63" spans="1:8">
      <c r="A63" s="184" t="s">
        <v>57</v>
      </c>
      <c r="B63" s="115"/>
      <c r="C63" s="115"/>
      <c r="D63" s="115"/>
      <c r="E63" s="115"/>
      <c r="F63" s="115"/>
      <c r="G63" s="61"/>
      <c r="H63" s="61"/>
    </row>
    <row r="64" spans="1:8">
      <c r="A64" s="61"/>
      <c r="B64" s="61"/>
      <c r="C64" s="61"/>
      <c r="D64" s="61"/>
      <c r="E64" s="61"/>
      <c r="F64" s="61"/>
      <c r="G64" s="61"/>
      <c r="H64" s="61"/>
    </row>
    <row r="65" spans="1:8">
      <c r="A65" s="184"/>
      <c r="B65" s="184" t="s">
        <v>100</v>
      </c>
      <c r="C65" s="184" t="s">
        <v>100</v>
      </c>
      <c r="D65" s="184" t="s">
        <v>100</v>
      </c>
      <c r="E65" s="184" t="s">
        <v>100</v>
      </c>
      <c r="F65" s="184" t="s">
        <v>100</v>
      </c>
      <c r="G65" s="61"/>
      <c r="H65" s="61"/>
    </row>
    <row r="66" spans="1:8">
      <c r="A66" s="184" t="s">
        <v>57</v>
      </c>
      <c r="B66" s="116"/>
      <c r="C66" s="116"/>
      <c r="D66" s="116"/>
      <c r="E66" s="116"/>
      <c r="F66" s="116"/>
      <c r="G66" s="61"/>
      <c r="H66" s="61"/>
    </row>
    <row r="67" spans="1:8">
      <c r="A67" s="61"/>
      <c r="B67" s="61"/>
      <c r="C67" s="61"/>
      <c r="D67" s="61"/>
      <c r="E67" s="61"/>
      <c r="F67" s="61"/>
      <c r="G67" s="61"/>
      <c r="H67" s="61"/>
    </row>
    <row r="68" spans="1:8">
      <c r="A68" s="61"/>
      <c r="B68" s="61"/>
      <c r="C68" s="61"/>
      <c r="D68" s="61"/>
      <c r="E68" s="61"/>
      <c r="F68" s="61"/>
      <c r="G68" s="61"/>
      <c r="H68" s="61"/>
    </row>
    <row r="69" spans="1:8">
      <c r="A69" s="61" t="s">
        <v>107</v>
      </c>
      <c r="B69" s="61"/>
      <c r="C69" s="61"/>
      <c r="D69" s="61"/>
      <c r="E69" s="61"/>
      <c r="F69" s="61"/>
      <c r="G69" s="61"/>
      <c r="H69" s="61"/>
    </row>
    <row r="70" spans="1:8">
      <c r="A70" s="184"/>
      <c r="B70" s="184" t="s">
        <v>100</v>
      </c>
      <c r="C70" s="184" t="s">
        <v>100</v>
      </c>
      <c r="D70" s="184" t="s">
        <v>100</v>
      </c>
      <c r="E70" s="184" t="s">
        <v>100</v>
      </c>
      <c r="F70" s="184" t="s">
        <v>100</v>
      </c>
      <c r="G70" s="61"/>
      <c r="H70" s="61"/>
    </row>
    <row r="71" spans="1:8">
      <c r="A71" s="184" t="s">
        <v>21</v>
      </c>
      <c r="B71" s="116"/>
      <c r="C71" s="116"/>
      <c r="D71" s="116"/>
      <c r="E71" s="116"/>
      <c r="F71" s="116"/>
      <c r="G71" s="61"/>
      <c r="H71" s="61"/>
    </row>
    <row r="72" spans="1:8">
      <c r="A72" s="184"/>
      <c r="B72" s="116"/>
      <c r="C72" s="116"/>
      <c r="D72" s="116"/>
      <c r="E72" s="116"/>
      <c r="F72" s="116"/>
      <c r="G72" s="61"/>
      <c r="H72" s="61"/>
    </row>
    <row r="73" spans="1:8">
      <c r="A73" s="184"/>
      <c r="B73" s="116"/>
      <c r="C73" s="116"/>
      <c r="D73" s="116"/>
      <c r="E73" s="116"/>
      <c r="F73" s="116"/>
      <c r="G73" s="61"/>
      <c r="H73" s="61"/>
    </row>
    <row r="74" spans="1:8">
      <c r="A74" s="184"/>
      <c r="B74" s="116"/>
      <c r="C74" s="116"/>
      <c r="D74" s="116"/>
      <c r="E74" s="116"/>
      <c r="F74" s="116"/>
      <c r="G74" s="61"/>
      <c r="H74" s="61"/>
    </row>
    <row r="75" spans="1:8">
      <c r="A75" s="184"/>
      <c r="B75" s="116"/>
      <c r="C75" s="116"/>
      <c r="D75" s="116"/>
      <c r="E75" s="116"/>
      <c r="F75" s="116"/>
      <c r="G75" s="61"/>
      <c r="H75" s="61"/>
    </row>
    <row r="76" spans="1:8">
      <c r="A76" s="184"/>
      <c r="B76" s="116"/>
      <c r="C76" s="116"/>
      <c r="D76" s="116"/>
      <c r="E76" s="116"/>
      <c r="F76" s="116"/>
      <c r="G76" s="61"/>
      <c r="H76" s="61"/>
    </row>
    <row r="77" spans="1:8">
      <c r="A77" s="61"/>
      <c r="B77" s="61"/>
      <c r="C77" s="61"/>
      <c r="D77" s="61"/>
      <c r="E77" s="61"/>
      <c r="F77" s="117"/>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73" customWidth="1"/>
    <col min="38" max="38" width="2.5" style="173" customWidth="1"/>
    <col min="39" max="42" width="2.125" style="173" customWidth="1"/>
    <col min="43" max="202" width="2.25" style="169"/>
    <col min="203" max="245" width="2.125" style="169" customWidth="1"/>
    <col min="246" max="246" width="2.25" style="169" customWidth="1"/>
    <col min="247" max="458" width="2.25" style="169"/>
    <col min="459" max="501" width="2.125" style="169" customWidth="1"/>
    <col min="502" max="502" width="2.25" style="169" customWidth="1"/>
    <col min="503" max="714" width="2.25" style="169"/>
    <col min="715" max="757" width="2.125" style="169" customWidth="1"/>
    <col min="758" max="758" width="2.25" style="169" customWidth="1"/>
    <col min="759" max="970" width="2.25" style="169"/>
    <col min="971" max="1013" width="2.125" style="169" customWidth="1"/>
    <col min="1014" max="1014" width="2.25" style="169" customWidth="1"/>
    <col min="1015" max="1226" width="2.25" style="169"/>
    <col min="1227" max="1269" width="2.125" style="169" customWidth="1"/>
    <col min="1270" max="1270" width="2.25" style="169" customWidth="1"/>
    <col min="1271" max="1482" width="2.25" style="169"/>
    <col min="1483" max="1525" width="2.125" style="169" customWidth="1"/>
    <col min="1526" max="1526" width="2.25" style="169" customWidth="1"/>
    <col min="1527" max="1738" width="2.25" style="169"/>
    <col min="1739" max="1781" width="2.125" style="169" customWidth="1"/>
    <col min="1782" max="1782" width="2.25" style="169" customWidth="1"/>
    <col min="1783" max="1994" width="2.25" style="169"/>
    <col min="1995" max="2037" width="2.125" style="169" customWidth="1"/>
    <col min="2038" max="2038" width="2.25" style="169" customWidth="1"/>
    <col min="2039" max="2250" width="2.25" style="169"/>
    <col min="2251" max="2293" width="2.125" style="169" customWidth="1"/>
    <col min="2294" max="2294" width="2.25" style="169" customWidth="1"/>
    <col min="2295" max="2506" width="2.25" style="169"/>
    <col min="2507" max="2549" width="2.125" style="169" customWidth="1"/>
    <col min="2550" max="2550" width="2.25" style="169" customWidth="1"/>
    <col min="2551" max="2762" width="2.25" style="169"/>
    <col min="2763" max="2805" width="2.125" style="169" customWidth="1"/>
    <col min="2806" max="2806" width="2.25" style="169" customWidth="1"/>
    <col min="2807" max="3018" width="2.25" style="169"/>
    <col min="3019" max="3061" width="2.125" style="169" customWidth="1"/>
    <col min="3062" max="3062" width="2.25" style="169" customWidth="1"/>
    <col min="3063" max="3274" width="2.25" style="169"/>
    <col min="3275" max="3317" width="2.125" style="169" customWidth="1"/>
    <col min="3318" max="3318" width="2.25" style="169" customWidth="1"/>
    <col min="3319" max="3530" width="2.25" style="169"/>
    <col min="3531" max="3573" width="2.125" style="169" customWidth="1"/>
    <col min="3574" max="3574" width="2.25" style="169" customWidth="1"/>
    <col min="3575" max="3786" width="2.25" style="169"/>
    <col min="3787" max="3829" width="2.125" style="169" customWidth="1"/>
    <col min="3830" max="3830" width="2.25" style="169" customWidth="1"/>
    <col min="3831" max="4042" width="2.25" style="169"/>
    <col min="4043" max="4085" width="2.125" style="169" customWidth="1"/>
    <col min="4086" max="4086" width="2.25" style="169" customWidth="1"/>
    <col min="4087" max="4298" width="2.25" style="169"/>
    <col min="4299" max="4341" width="2.125" style="169" customWidth="1"/>
    <col min="4342" max="4342" width="2.25" style="169" customWidth="1"/>
    <col min="4343" max="4554" width="2.25" style="169"/>
    <col min="4555" max="4597" width="2.125" style="169" customWidth="1"/>
    <col min="4598" max="4598" width="2.25" style="169" customWidth="1"/>
    <col min="4599" max="4810" width="2.25" style="169"/>
    <col min="4811" max="4853" width="2.125" style="169" customWidth="1"/>
    <col min="4854" max="4854" width="2.25" style="169" customWidth="1"/>
    <col min="4855" max="5066" width="2.25" style="169"/>
    <col min="5067" max="5109" width="2.125" style="169" customWidth="1"/>
    <col min="5110" max="5110" width="2.25" style="169" customWidth="1"/>
    <col min="5111" max="5322" width="2.25" style="169"/>
    <col min="5323" max="5365" width="2.125" style="169" customWidth="1"/>
    <col min="5366" max="5366" width="2.25" style="169" customWidth="1"/>
    <col min="5367" max="5578" width="2.25" style="169"/>
    <col min="5579" max="5621" width="2.125" style="169" customWidth="1"/>
    <col min="5622" max="5622" width="2.25" style="169" customWidth="1"/>
    <col min="5623" max="5834" width="2.25" style="169"/>
    <col min="5835" max="5877" width="2.125" style="169" customWidth="1"/>
    <col min="5878" max="5878" width="2.25" style="169" customWidth="1"/>
    <col min="5879" max="6090" width="2.25" style="169"/>
    <col min="6091" max="6133" width="2.125" style="169" customWidth="1"/>
    <col min="6134" max="6134" width="2.25" style="169" customWidth="1"/>
    <col min="6135" max="6346" width="2.25" style="169"/>
    <col min="6347" max="6389" width="2.125" style="169" customWidth="1"/>
    <col min="6390" max="6390" width="2.25" style="169" customWidth="1"/>
    <col min="6391" max="6602" width="2.25" style="169"/>
    <col min="6603" max="6645" width="2.125" style="169" customWidth="1"/>
    <col min="6646" max="6646" width="2.25" style="169" customWidth="1"/>
    <col min="6647" max="6858" width="2.25" style="169"/>
    <col min="6859" max="6901" width="2.125" style="169" customWidth="1"/>
    <col min="6902" max="6902" width="2.25" style="169" customWidth="1"/>
    <col min="6903" max="7114" width="2.25" style="169"/>
    <col min="7115" max="7157" width="2.125" style="169" customWidth="1"/>
    <col min="7158" max="7158" width="2.25" style="169" customWidth="1"/>
    <col min="7159" max="7370" width="2.25" style="169"/>
    <col min="7371" max="7413" width="2.125" style="169" customWidth="1"/>
    <col min="7414" max="7414" width="2.25" style="169" customWidth="1"/>
    <col min="7415" max="7626" width="2.25" style="169"/>
    <col min="7627" max="7669" width="2.125" style="169" customWidth="1"/>
    <col min="7670" max="7670" width="2.25" style="169" customWidth="1"/>
    <col min="7671" max="7882" width="2.25" style="169"/>
    <col min="7883" max="7925" width="2.125" style="169" customWidth="1"/>
    <col min="7926" max="7926" width="2.25" style="169" customWidth="1"/>
    <col min="7927" max="8138" width="2.25" style="169"/>
    <col min="8139" max="8181" width="2.125" style="169" customWidth="1"/>
    <col min="8182" max="8182" width="2.25" style="169" customWidth="1"/>
    <col min="8183" max="8394" width="2.25" style="169"/>
    <col min="8395" max="8437" width="2.125" style="169" customWidth="1"/>
    <col min="8438" max="8438" width="2.25" style="169" customWidth="1"/>
    <col min="8439" max="8650" width="2.25" style="169"/>
    <col min="8651" max="8693" width="2.125" style="169" customWidth="1"/>
    <col min="8694" max="8694" width="2.25" style="169" customWidth="1"/>
    <col min="8695" max="8906" width="2.25" style="169"/>
    <col min="8907" max="8949" width="2.125" style="169" customWidth="1"/>
    <col min="8950" max="8950" width="2.25" style="169" customWidth="1"/>
    <col min="8951" max="9162" width="2.25" style="169"/>
    <col min="9163" max="9205" width="2.125" style="169" customWidth="1"/>
    <col min="9206" max="9206" width="2.25" style="169" customWidth="1"/>
    <col min="9207" max="9418" width="2.25" style="169"/>
    <col min="9419" max="9461" width="2.125" style="169" customWidth="1"/>
    <col min="9462" max="9462" width="2.25" style="169" customWidth="1"/>
    <col min="9463" max="9674" width="2.25" style="169"/>
    <col min="9675" max="9717" width="2.125" style="169" customWidth="1"/>
    <col min="9718" max="9718" width="2.25" style="169" customWidth="1"/>
    <col min="9719" max="9930" width="2.25" style="169"/>
    <col min="9931" max="9973" width="2.125" style="169" customWidth="1"/>
    <col min="9974" max="9974" width="2.25" style="169" customWidth="1"/>
    <col min="9975" max="10186" width="2.25" style="169"/>
    <col min="10187" max="10229" width="2.125" style="169" customWidth="1"/>
    <col min="10230" max="10230" width="2.25" style="169" customWidth="1"/>
    <col min="10231" max="10442" width="2.25" style="169"/>
    <col min="10443" max="10485" width="2.125" style="169" customWidth="1"/>
    <col min="10486" max="10486" width="2.25" style="169" customWidth="1"/>
    <col min="10487" max="10698" width="2.25" style="169"/>
    <col min="10699" max="10741" width="2.125" style="169" customWidth="1"/>
    <col min="10742" max="10742" width="2.25" style="169" customWidth="1"/>
    <col min="10743" max="10954" width="2.25" style="169"/>
    <col min="10955" max="10997" width="2.125" style="169" customWidth="1"/>
    <col min="10998" max="10998" width="2.25" style="169" customWidth="1"/>
    <col min="10999" max="11210" width="2.25" style="169"/>
    <col min="11211" max="11253" width="2.125" style="169" customWidth="1"/>
    <col min="11254" max="11254" width="2.25" style="169" customWidth="1"/>
    <col min="11255" max="11466" width="2.25" style="169"/>
    <col min="11467" max="11509" width="2.125" style="169" customWidth="1"/>
    <col min="11510" max="11510" width="2.25" style="169" customWidth="1"/>
    <col min="11511" max="11722" width="2.25" style="169"/>
    <col min="11723" max="11765" width="2.125" style="169" customWidth="1"/>
    <col min="11766" max="11766" width="2.25" style="169" customWidth="1"/>
    <col min="11767" max="11978" width="2.25" style="169"/>
    <col min="11979" max="12021" width="2.125" style="169" customWidth="1"/>
    <col min="12022" max="12022" width="2.25" style="169" customWidth="1"/>
    <col min="12023" max="12234" width="2.25" style="169"/>
    <col min="12235" max="12277" width="2.125" style="169" customWidth="1"/>
    <col min="12278" max="12278" width="2.25" style="169" customWidth="1"/>
    <col min="12279" max="12490" width="2.25" style="169"/>
    <col min="12491" max="12533" width="2.125" style="169" customWidth="1"/>
    <col min="12534" max="12534" width="2.25" style="169" customWidth="1"/>
    <col min="12535" max="12746" width="2.25" style="169"/>
    <col min="12747" max="12789" width="2.125" style="169" customWidth="1"/>
    <col min="12790" max="12790" width="2.25" style="169" customWidth="1"/>
    <col min="12791" max="13002" width="2.25" style="169"/>
    <col min="13003" max="13045" width="2.125" style="169" customWidth="1"/>
    <col min="13046" max="13046" width="2.25" style="169" customWidth="1"/>
    <col min="13047" max="13258" width="2.25" style="169"/>
    <col min="13259" max="13301" width="2.125" style="169" customWidth="1"/>
    <col min="13302" max="13302" width="2.25" style="169" customWidth="1"/>
    <col min="13303" max="13514" width="2.25" style="169"/>
    <col min="13515" max="13557" width="2.125" style="169" customWidth="1"/>
    <col min="13558" max="13558" width="2.25" style="169" customWidth="1"/>
    <col min="13559" max="13770" width="2.25" style="169"/>
    <col min="13771" max="13813" width="2.125" style="169" customWidth="1"/>
    <col min="13814" max="13814" width="2.25" style="169" customWidth="1"/>
    <col min="13815" max="14026" width="2.25" style="169"/>
    <col min="14027" max="14069" width="2.125" style="169" customWidth="1"/>
    <col min="14070" max="14070" width="2.25" style="169" customWidth="1"/>
    <col min="14071" max="14282" width="2.25" style="169"/>
    <col min="14283" max="14325" width="2.125" style="169" customWidth="1"/>
    <col min="14326" max="14326" width="2.25" style="169" customWidth="1"/>
    <col min="14327" max="14538" width="2.25" style="169"/>
    <col min="14539" max="14581" width="2.125" style="169" customWidth="1"/>
    <col min="14582" max="14582" width="2.25" style="169" customWidth="1"/>
    <col min="14583" max="14794" width="2.25" style="169"/>
    <col min="14795" max="14837" width="2.125" style="169" customWidth="1"/>
    <col min="14838" max="14838" width="2.25" style="169" customWidth="1"/>
    <col min="14839" max="15050" width="2.25" style="169"/>
    <col min="15051" max="15093" width="2.125" style="169" customWidth="1"/>
    <col min="15094" max="15094" width="2.25" style="169" customWidth="1"/>
    <col min="15095" max="15306" width="2.25" style="169"/>
    <col min="15307" max="15349" width="2.125" style="169" customWidth="1"/>
    <col min="15350" max="15350" width="2.25" style="169" customWidth="1"/>
    <col min="15351" max="15562" width="2.25" style="169"/>
    <col min="15563" max="15605" width="2.125" style="169" customWidth="1"/>
    <col min="15606" max="15606" width="2.25" style="169" customWidth="1"/>
    <col min="15607" max="15818" width="2.25" style="169"/>
    <col min="15819" max="15861" width="2.125" style="169" customWidth="1"/>
    <col min="15862" max="15862" width="2.25" style="169" customWidth="1"/>
    <col min="15863" max="16074" width="2.25" style="169"/>
    <col min="16075" max="16117" width="2.125" style="169" customWidth="1"/>
    <col min="16118" max="16118" width="2.25" style="169" customWidth="1"/>
    <col min="16119" max="16384" width="2.25" style="169"/>
  </cols>
  <sheetData>
    <row r="1" spans="1:42" s="145" customFormat="1" ht="15" customHeight="1">
      <c r="A1" s="142"/>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4"/>
    </row>
    <row r="2" spans="1:42" s="145" customFormat="1" ht="15" customHeight="1">
      <c r="A2" s="146"/>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8"/>
    </row>
    <row r="3" spans="1:42" s="145" customFormat="1" ht="15" customHeight="1">
      <c r="A3" s="146"/>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8"/>
    </row>
    <row r="4" spans="1:42" s="145" customFormat="1" ht="15" customHeight="1">
      <c r="A4" s="146"/>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8"/>
    </row>
    <row r="5" spans="1:42" s="145" customFormat="1" ht="15" customHeight="1">
      <c r="A5" s="146"/>
      <c r="B5" s="147"/>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8"/>
    </row>
    <row r="6" spans="1:42" s="145" customFormat="1" ht="15" customHeight="1">
      <c r="A6" s="146"/>
      <c r="B6" s="147"/>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8"/>
    </row>
    <row r="7" spans="1:42" s="145" customFormat="1" ht="15" customHeight="1">
      <c r="A7" s="146"/>
      <c r="B7" s="147"/>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8"/>
    </row>
    <row r="8" spans="1:42" s="145" customFormat="1" ht="15" customHeight="1">
      <c r="A8" s="146"/>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8"/>
    </row>
    <row r="9" spans="1:42" s="145" customFormat="1" ht="15" customHeight="1">
      <c r="A9" s="146"/>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8"/>
    </row>
    <row r="10" spans="1:42" s="145" customFormat="1" ht="15" customHeight="1">
      <c r="A10" s="146"/>
      <c r="B10" s="147"/>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8"/>
    </row>
    <row r="11" spans="1:42" s="145" customFormat="1" ht="15" customHeight="1">
      <c r="A11" s="146"/>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7"/>
      <c r="AO11" s="147"/>
      <c r="AP11" s="148"/>
    </row>
    <row r="12" spans="1:42" s="145" customFormat="1" ht="15" customHeight="1">
      <c r="A12" s="146"/>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7"/>
      <c r="AM12" s="147"/>
      <c r="AN12" s="147"/>
      <c r="AO12" s="147"/>
      <c r="AP12" s="148"/>
    </row>
    <row r="13" spans="1:42" s="145" customFormat="1" ht="15" customHeight="1">
      <c r="A13" s="146"/>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8"/>
    </row>
    <row r="14" spans="1:42" s="145" customFormat="1" ht="15" customHeight="1">
      <c r="A14" s="146"/>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47"/>
      <c r="AN14" s="147"/>
      <c r="AO14" s="147"/>
      <c r="AP14" s="148"/>
    </row>
    <row r="15" spans="1:42" s="145" customFormat="1" ht="15" customHeight="1">
      <c r="A15" s="146"/>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8"/>
    </row>
    <row r="16" spans="1:42" s="145" customFormat="1" ht="15" customHeight="1">
      <c r="A16" s="146"/>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8"/>
    </row>
    <row r="17" spans="1:42" s="145" customFormat="1" ht="15" customHeight="1">
      <c r="A17" s="146"/>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8"/>
    </row>
    <row r="18" spans="1:42" s="145" customFormat="1" ht="15" customHeight="1">
      <c r="A18" s="146"/>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8"/>
    </row>
    <row r="19" spans="1:42" s="145" customFormat="1" ht="15" customHeight="1">
      <c r="A19" s="146"/>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8"/>
    </row>
    <row r="20" spans="1:42" s="145" customFormat="1" ht="15" customHeight="1">
      <c r="A20" s="146"/>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8"/>
    </row>
    <row r="21" spans="1:42" s="145" customFormat="1" ht="15" customHeight="1">
      <c r="A21" s="146"/>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8"/>
    </row>
    <row r="22" spans="1:42" s="145" customFormat="1" ht="15" customHeight="1">
      <c r="A22" s="146"/>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8"/>
    </row>
    <row r="23" spans="1:42" s="145" customFormat="1" ht="15" customHeight="1">
      <c r="A23" s="146"/>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8"/>
    </row>
    <row r="24" spans="1:42" s="145" customFormat="1" ht="15" customHeight="1">
      <c r="A24" s="146"/>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8"/>
    </row>
    <row r="25" spans="1:42" s="145" customFormat="1" ht="15" customHeight="1">
      <c r="A25" s="146"/>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8"/>
    </row>
    <row r="26" spans="1:42" s="145" customFormat="1" ht="15" customHeight="1">
      <c r="A26" s="146"/>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8"/>
    </row>
    <row r="27" spans="1:42" s="145" customFormat="1" ht="15" customHeight="1">
      <c r="A27" s="146"/>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8"/>
    </row>
    <row r="28" spans="1:42" s="145" customFormat="1" ht="15" customHeight="1">
      <c r="A28" s="146"/>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8"/>
    </row>
    <row r="29" spans="1:42" s="145" customFormat="1" ht="15" customHeight="1">
      <c r="A29" s="146"/>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8"/>
    </row>
    <row r="30" spans="1:42" s="145" customFormat="1" ht="15" customHeight="1">
      <c r="A30" s="146"/>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8"/>
    </row>
    <row r="31" spans="1:42" s="145" customFormat="1" ht="15" customHeight="1">
      <c r="A31" s="146"/>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8"/>
    </row>
    <row r="32" spans="1:42" s="145" customFormat="1" ht="15" customHeight="1">
      <c r="A32" s="146"/>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8"/>
    </row>
    <row r="33" spans="1:42" s="145" customFormat="1" ht="15" customHeight="1">
      <c r="A33" s="146"/>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8"/>
    </row>
    <row r="34" spans="1:42" s="145" customFormat="1" ht="15" customHeight="1">
      <c r="A34" s="146"/>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8"/>
    </row>
    <row r="35" spans="1:42" s="145" customFormat="1" ht="15" customHeight="1">
      <c r="A35" s="146"/>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8"/>
    </row>
    <row r="36" spans="1:42" s="145" customFormat="1" ht="15" customHeight="1">
      <c r="A36" s="146"/>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8"/>
    </row>
    <row r="37" spans="1:42" s="145" customFormat="1" ht="15" customHeight="1">
      <c r="A37" s="146"/>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8"/>
    </row>
    <row r="38" spans="1:42" s="145" customFormat="1" ht="15" customHeight="1">
      <c r="A38" s="146"/>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8"/>
    </row>
    <row r="39" spans="1:42" s="145" customFormat="1" ht="15" customHeight="1">
      <c r="A39" s="146"/>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8"/>
    </row>
    <row r="40" spans="1:42" s="145" customFormat="1" ht="15" customHeight="1">
      <c r="A40" s="146"/>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8"/>
    </row>
    <row r="41" spans="1:42" s="145" customFormat="1" ht="15" customHeight="1">
      <c r="A41" s="146"/>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8"/>
    </row>
    <row r="42" spans="1:42" s="145" customFormat="1" ht="15" customHeight="1">
      <c r="A42" s="146"/>
      <c r="B42" s="149"/>
      <c r="C42" s="150"/>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8"/>
    </row>
    <row r="43" spans="1:42" s="145" customFormat="1" ht="15" customHeight="1">
      <c r="A43" s="146"/>
      <c r="B43" s="151"/>
      <c r="C43" s="152"/>
      <c r="D43" s="153"/>
      <c r="E43" s="153"/>
      <c r="F43" s="153"/>
      <c r="G43" s="153"/>
      <c r="H43" s="153"/>
      <c r="I43" s="153"/>
      <c r="J43" s="153"/>
      <c r="K43" s="153"/>
      <c r="L43" s="153"/>
      <c r="M43" s="153"/>
      <c r="N43" s="153"/>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5"/>
      <c r="AP43" s="148"/>
    </row>
    <row r="44" spans="1:42" s="145" customFormat="1" ht="15" customHeight="1">
      <c r="A44" s="146"/>
      <c r="B44" s="156"/>
      <c r="C44" s="150"/>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57"/>
      <c r="AP44" s="148"/>
    </row>
    <row r="45" spans="1:42" s="145" customFormat="1" ht="15" customHeight="1">
      <c r="A45" s="146"/>
      <c r="B45" s="156"/>
      <c r="C45" s="150"/>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49"/>
      <c r="AI45" s="149"/>
      <c r="AJ45" s="149"/>
      <c r="AK45" s="149"/>
      <c r="AL45" s="149"/>
      <c r="AM45" s="149"/>
      <c r="AN45" s="149"/>
      <c r="AO45" s="157"/>
      <c r="AP45" s="148"/>
    </row>
    <row r="46" spans="1:42" s="145" customFormat="1" ht="15" customHeight="1">
      <c r="A46" s="146"/>
      <c r="B46" s="156"/>
      <c r="C46" s="150"/>
      <c r="D46" s="158"/>
      <c r="E46" s="474"/>
      <c r="F46" s="474"/>
      <c r="G46" s="474"/>
      <c r="H46" s="474"/>
      <c r="I46" s="474"/>
      <c r="J46" s="474"/>
      <c r="K46" s="474"/>
      <c r="L46" s="474"/>
      <c r="M46" s="474"/>
      <c r="N46" s="474"/>
      <c r="O46" s="474"/>
      <c r="P46" s="474"/>
      <c r="Q46" s="474"/>
      <c r="R46" s="474"/>
      <c r="S46" s="474"/>
      <c r="T46" s="474"/>
      <c r="U46" s="474"/>
      <c r="V46" s="474"/>
      <c r="W46" s="474"/>
      <c r="X46" s="474"/>
      <c r="Y46" s="474"/>
      <c r="Z46" s="474"/>
      <c r="AA46" s="474"/>
      <c r="AB46" s="474"/>
      <c r="AC46" s="474"/>
      <c r="AD46" s="474"/>
      <c r="AE46" s="474"/>
      <c r="AF46" s="474"/>
      <c r="AG46" s="474"/>
      <c r="AH46" s="474"/>
      <c r="AI46" s="474"/>
      <c r="AJ46" s="474"/>
      <c r="AK46" s="474"/>
      <c r="AL46" s="474"/>
      <c r="AM46" s="149"/>
      <c r="AN46" s="149"/>
      <c r="AO46" s="157"/>
      <c r="AP46" s="148"/>
    </row>
    <row r="47" spans="1:42" s="145" customFormat="1" ht="15" customHeight="1">
      <c r="A47" s="146"/>
      <c r="B47" s="156"/>
      <c r="C47" s="150"/>
      <c r="D47" s="158"/>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49"/>
      <c r="AN47" s="149"/>
      <c r="AO47" s="157"/>
      <c r="AP47" s="148"/>
    </row>
    <row r="48" spans="1:42" s="145" customFormat="1" ht="15" customHeight="1">
      <c r="A48" s="146"/>
      <c r="B48" s="160"/>
      <c r="C48" s="150"/>
      <c r="D48" s="161"/>
      <c r="E48" s="475"/>
      <c r="F48" s="475"/>
      <c r="G48" s="475"/>
      <c r="H48" s="475"/>
      <c r="I48" s="475"/>
      <c r="J48" s="475"/>
      <c r="K48" s="475"/>
      <c r="L48" s="475"/>
      <c r="M48" s="475"/>
      <c r="N48" s="475"/>
      <c r="O48" s="475"/>
      <c r="P48" s="475"/>
      <c r="Q48" s="475"/>
      <c r="R48" s="475"/>
      <c r="S48" s="475"/>
      <c r="T48" s="475"/>
      <c r="U48" s="475"/>
      <c r="V48" s="475"/>
      <c r="W48" s="475"/>
      <c r="X48" s="475"/>
      <c r="Y48" s="475"/>
      <c r="Z48" s="475"/>
      <c r="AA48" s="475"/>
      <c r="AB48" s="475"/>
      <c r="AC48" s="475"/>
      <c r="AD48" s="475"/>
      <c r="AE48" s="475"/>
      <c r="AF48" s="475"/>
      <c r="AG48" s="475"/>
      <c r="AH48" s="475"/>
      <c r="AI48" s="475"/>
      <c r="AJ48" s="475"/>
      <c r="AK48" s="475"/>
      <c r="AL48" s="475"/>
      <c r="AM48" s="150"/>
      <c r="AN48" s="150"/>
      <c r="AO48" s="157"/>
      <c r="AP48" s="148"/>
    </row>
    <row r="49" spans="1:42" s="145" customFormat="1" ht="15" customHeight="1">
      <c r="A49" s="146"/>
      <c r="B49" s="160"/>
      <c r="C49" s="150"/>
      <c r="D49" s="161"/>
      <c r="E49" s="159"/>
      <c r="F49" s="159"/>
      <c r="G49" s="159"/>
      <c r="H49" s="159"/>
      <c r="I49" s="159"/>
      <c r="J49" s="159"/>
      <c r="K49" s="159"/>
      <c r="L49" s="159"/>
      <c r="M49" s="159"/>
      <c r="N49" s="159"/>
      <c r="O49" s="159"/>
      <c r="P49" s="159"/>
      <c r="Q49" s="159"/>
      <c r="R49" s="159"/>
      <c r="S49" s="159"/>
      <c r="T49" s="159"/>
      <c r="U49" s="159"/>
      <c r="V49" s="159"/>
      <c r="W49" s="162"/>
      <c r="X49" s="162"/>
      <c r="Y49" s="162"/>
      <c r="Z49" s="162"/>
      <c r="AA49" s="162"/>
      <c r="AB49" s="162"/>
      <c r="AC49" s="162"/>
      <c r="AD49" s="162"/>
      <c r="AE49" s="162"/>
      <c r="AF49" s="162"/>
      <c r="AG49" s="162"/>
      <c r="AH49" s="162"/>
      <c r="AI49" s="162"/>
      <c r="AJ49" s="162"/>
      <c r="AK49" s="162"/>
      <c r="AL49" s="162"/>
      <c r="AM49" s="150"/>
      <c r="AN49" s="150"/>
      <c r="AO49" s="157"/>
      <c r="AP49" s="148"/>
    </row>
    <row r="50" spans="1:42" s="145" customFormat="1" ht="15" customHeight="1">
      <c r="A50" s="146"/>
      <c r="B50" s="160"/>
      <c r="C50" s="150"/>
      <c r="D50" s="150"/>
      <c r="E50" s="150"/>
      <c r="F50" s="150"/>
      <c r="G50" s="150"/>
      <c r="H50" s="150"/>
      <c r="I50" s="149"/>
      <c r="J50" s="150"/>
      <c r="K50" s="149"/>
      <c r="L50" s="149"/>
      <c r="M50" s="149"/>
      <c r="N50" s="149"/>
      <c r="O50" s="149"/>
      <c r="P50" s="149"/>
      <c r="Q50" s="150"/>
      <c r="R50" s="150"/>
      <c r="S50" s="150"/>
      <c r="T50" s="150"/>
      <c r="U50" s="150"/>
      <c r="V50" s="150"/>
      <c r="W50" s="163" t="s">
        <v>115</v>
      </c>
      <c r="X50" s="163"/>
      <c r="Y50" s="163"/>
      <c r="Z50" s="163"/>
      <c r="AA50" s="476"/>
      <c r="AB50" s="476"/>
      <c r="AC50" s="476"/>
      <c r="AD50" s="476"/>
      <c r="AE50" s="476"/>
      <c r="AF50" s="476"/>
      <c r="AG50" s="476"/>
      <c r="AH50" s="476"/>
      <c r="AI50" s="476"/>
      <c r="AJ50" s="476"/>
      <c r="AK50" s="476"/>
      <c r="AL50" s="476"/>
      <c r="AM50" s="150"/>
      <c r="AN50" s="150"/>
      <c r="AO50" s="157"/>
      <c r="AP50" s="148"/>
    </row>
    <row r="51" spans="1:42" s="145" customFormat="1" ht="15" customHeight="1">
      <c r="A51" s="146"/>
      <c r="B51" s="160"/>
      <c r="C51" s="150"/>
      <c r="D51" s="150"/>
      <c r="E51" s="150"/>
      <c r="F51" s="150"/>
      <c r="G51" s="150"/>
      <c r="H51" s="150"/>
      <c r="I51" s="149"/>
      <c r="J51" s="150"/>
      <c r="K51" s="149"/>
      <c r="L51" s="149"/>
      <c r="M51" s="149"/>
      <c r="N51" s="149"/>
      <c r="O51" s="149"/>
      <c r="P51" s="149"/>
      <c r="Q51" s="150"/>
      <c r="R51" s="150"/>
      <c r="S51" s="150"/>
      <c r="T51" s="150"/>
      <c r="U51" s="150"/>
      <c r="V51" s="150"/>
      <c r="W51" s="163" t="s">
        <v>116</v>
      </c>
      <c r="X51" s="163"/>
      <c r="Y51" s="163"/>
      <c r="Z51" s="163"/>
      <c r="AA51" s="477"/>
      <c r="AB51" s="477"/>
      <c r="AC51" s="477"/>
      <c r="AD51" s="477"/>
      <c r="AE51" s="477"/>
      <c r="AF51" s="477"/>
      <c r="AG51" s="477"/>
      <c r="AH51" s="477"/>
      <c r="AI51" s="477"/>
      <c r="AJ51" s="477"/>
      <c r="AK51" s="477"/>
      <c r="AL51" s="477"/>
      <c r="AM51" s="150"/>
      <c r="AN51" s="150"/>
      <c r="AO51" s="157"/>
      <c r="AP51" s="148"/>
    </row>
    <row r="52" spans="1:42" s="145" customFormat="1" ht="15" customHeight="1">
      <c r="A52" s="146"/>
      <c r="B52" s="156"/>
      <c r="C52" s="149"/>
      <c r="D52" s="149"/>
      <c r="E52" s="149"/>
      <c r="F52" s="149"/>
      <c r="G52" s="149"/>
      <c r="H52" s="149"/>
      <c r="I52" s="149"/>
      <c r="J52" s="149"/>
      <c r="K52" s="149"/>
      <c r="L52" s="149"/>
      <c r="M52" s="164"/>
      <c r="N52" s="164"/>
      <c r="O52" s="164"/>
      <c r="P52" s="164"/>
      <c r="Q52" s="164"/>
      <c r="R52" s="161"/>
      <c r="S52" s="161"/>
      <c r="T52" s="161"/>
      <c r="U52" s="161"/>
      <c r="V52" s="161"/>
      <c r="W52" s="161"/>
      <c r="X52" s="161"/>
      <c r="Y52" s="161"/>
      <c r="Z52" s="161"/>
      <c r="AA52" s="161"/>
      <c r="AB52" s="161"/>
      <c r="AC52" s="161"/>
      <c r="AD52" s="161"/>
      <c r="AE52" s="161"/>
      <c r="AF52" s="161"/>
      <c r="AG52" s="161"/>
      <c r="AH52" s="161"/>
      <c r="AI52" s="161"/>
      <c r="AJ52" s="161"/>
      <c r="AK52" s="161"/>
      <c r="AL52" s="161"/>
      <c r="AM52" s="149"/>
      <c r="AN52" s="149"/>
      <c r="AO52" s="157"/>
      <c r="AP52" s="148"/>
    </row>
    <row r="53" spans="1:42" s="145" customFormat="1" ht="15" customHeight="1">
      <c r="A53" s="146"/>
      <c r="B53" s="156"/>
      <c r="C53" s="149"/>
      <c r="D53" s="149"/>
      <c r="E53" s="149"/>
      <c r="F53" s="149"/>
      <c r="G53" s="149"/>
      <c r="H53" s="149"/>
      <c r="I53" s="149"/>
      <c r="J53" s="149"/>
      <c r="K53" s="149"/>
      <c r="L53" s="149"/>
      <c r="M53" s="164"/>
      <c r="N53" s="164"/>
      <c r="O53" s="164"/>
      <c r="P53" s="164"/>
      <c r="Q53" s="164"/>
      <c r="R53" s="164"/>
      <c r="S53" s="164"/>
      <c r="T53" s="164"/>
      <c r="U53" s="164"/>
      <c r="V53" s="150"/>
      <c r="W53" s="150"/>
      <c r="X53" s="149"/>
      <c r="Y53" s="149"/>
      <c r="Z53" s="478"/>
      <c r="AA53" s="478"/>
      <c r="AB53" s="478"/>
      <c r="AC53" s="478"/>
      <c r="AD53" s="478"/>
      <c r="AE53" s="478"/>
      <c r="AF53" s="478"/>
      <c r="AG53" s="478"/>
      <c r="AH53" s="478"/>
      <c r="AI53" s="478"/>
      <c r="AJ53" s="478"/>
      <c r="AK53" s="478"/>
      <c r="AL53" s="478"/>
      <c r="AM53" s="149"/>
      <c r="AN53" s="149"/>
      <c r="AO53" s="157"/>
      <c r="AP53" s="148"/>
    </row>
    <row r="54" spans="1:42" s="145" customFormat="1" ht="15" customHeight="1">
      <c r="A54" s="146"/>
      <c r="B54" s="156"/>
      <c r="C54" s="149"/>
      <c r="D54" s="149"/>
      <c r="E54" s="149"/>
      <c r="F54" s="149"/>
      <c r="G54" s="149"/>
      <c r="H54" s="149"/>
      <c r="I54" s="149"/>
      <c r="J54" s="149"/>
      <c r="K54" s="149"/>
      <c r="L54" s="149"/>
      <c r="M54" s="164"/>
      <c r="N54" s="164"/>
      <c r="O54" s="164"/>
      <c r="P54" s="164"/>
      <c r="Q54" s="164"/>
      <c r="R54" s="480" t="s">
        <v>44</v>
      </c>
      <c r="S54" s="480"/>
      <c r="T54" s="480"/>
      <c r="U54" s="480"/>
      <c r="V54" s="480"/>
      <c r="W54" s="480"/>
      <c r="X54" s="480"/>
      <c r="Y54" s="165"/>
      <c r="Z54" s="479"/>
      <c r="AA54" s="479"/>
      <c r="AB54" s="479"/>
      <c r="AC54" s="479"/>
      <c r="AD54" s="479"/>
      <c r="AE54" s="479"/>
      <c r="AF54" s="479"/>
      <c r="AG54" s="479"/>
      <c r="AH54" s="479"/>
      <c r="AI54" s="479"/>
      <c r="AJ54" s="479"/>
      <c r="AK54" s="479"/>
      <c r="AL54" s="479"/>
      <c r="AM54" s="149"/>
      <c r="AN54" s="149"/>
      <c r="AO54" s="157"/>
      <c r="AP54" s="148"/>
    </row>
    <row r="55" spans="1:42" s="145" customFormat="1" ht="15" customHeight="1">
      <c r="A55" s="146"/>
      <c r="B55" s="166"/>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8"/>
      <c r="AP55" s="148"/>
    </row>
    <row r="56" spans="1:42" ht="15" customHeight="1">
      <c r="A56" s="146"/>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8"/>
    </row>
    <row r="57" spans="1:42" ht="15" customHeight="1" thickBot="1">
      <c r="A57" s="170"/>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171"/>
      <c r="AI57" s="171"/>
      <c r="AJ57" s="171"/>
      <c r="AK57" s="171"/>
      <c r="AL57" s="171"/>
      <c r="AM57" s="171"/>
      <c r="AN57" s="171"/>
      <c r="AO57" s="171"/>
      <c r="AP57" s="172"/>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36A343-F6BA-4DBD-993A-FEFE2DE5132F}">
  <ds:schemaRefs>
    <ds:schemaRef ds:uri="http://purl.org/dc/terms/"/>
    <ds:schemaRef ds:uri="http://schemas.openxmlformats.org/package/2006/metadata/core-properties"/>
    <ds:schemaRef ds:uri="1f80570b-921c-4f4d-b36a-d1e87defc2ad"/>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91D5259-277E-44BC-AC44-FF39150AA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2020-10-20T02:38:24Z</cp:lastPrinted>
  <dcterms:created xsi:type="dcterms:W3CDTF">2010-11-09T05:45:23Z</dcterms:created>
  <dcterms:modified xsi:type="dcterms:W3CDTF">2021-03-11T04:57:51Z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