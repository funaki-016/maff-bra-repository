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filterPrivacy="1" defaultThemeVersion="124226"/>
  <xr:revisionPtr revIDLastSave="0" documentId="13_ncr:1_{68FAEF6F-BABD-4C32-840E-838B347085BE}" xr6:coauthVersionLast="47" xr6:coauthVersionMax="47" xr10:uidLastSave="{00000000-0000-0000-0000-000000000000}"/>
  <bookViews>
    <workbookView xWindow="-120" yWindow="-120" windowWidth="29040" windowHeight="15840" tabRatio="597" xr2:uid="{00000000-000D-0000-FFFF-FFFF00000000}"/>
  </bookViews>
  <sheets>
    <sheet name="No.1" sheetId="56" r:id="rId1"/>
    <sheet name="No.2" sheetId="57" r:id="rId2"/>
    <sheet name="No.3" sheetId="58" r:id="rId3"/>
    <sheet name="No.4" sheetId="59" r:id="rId4"/>
    <sheet name="No.5" sheetId="60" r:id="rId5"/>
    <sheet name="No.6" sheetId="61" r:id="rId6"/>
    <sheet name="No.7" sheetId="62" r:id="rId7"/>
    <sheet name="No.8" sheetId="63" r:id="rId8"/>
    <sheet name="No.9" sheetId="64" r:id="rId9"/>
    <sheet name="リスト" sheetId="65" state="hidden" r:id="rId10"/>
  </sheets>
  <definedNames>
    <definedName name="_xlnm.Print_Area" localSheetId="0">No.1!$A$1:$AT$37</definedName>
    <definedName name="_xlnm.Print_Area" localSheetId="1">No.2!$A$1:$AQ$37</definedName>
    <definedName name="_xlnm.Print_Area" localSheetId="2">No.3!$A$1:$AZ$42</definedName>
    <definedName name="_xlnm.Print_Area" localSheetId="3">No.4!$A$1:$AZ$41</definedName>
    <definedName name="_xlnm.Print_Area" localSheetId="4">No.5!$A$1:$AQ$46</definedName>
    <definedName name="_xlnm.Print_Area" localSheetId="5">No.6!$A$1:$AZ$43</definedName>
    <definedName name="_xlnm.Print_Area" localSheetId="6">No.7!$A$1:$AZ$36</definedName>
    <definedName name="_xlnm.Print_Area" localSheetId="7">No.8!$A$1:$BC$43</definedName>
    <definedName name="_xlnm.Print_Area" localSheetId="8">No.9!$A$1:$AZ$36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</workbook>
</file>

<file path=xl/calcChain.xml><?xml version="1.0" encoding="utf-8"?>
<calcChain xmlns="http://schemas.openxmlformats.org/spreadsheetml/2006/main">
  <c r="AE46" i="60" l="1"/>
  <c r="AB46" i="60"/>
  <c r="AX20" i="64"/>
  <c r="AX21" i="64"/>
  <c r="AX22" i="64"/>
  <c r="AX23" i="64"/>
  <c r="AX24" i="64"/>
  <c r="AX25" i="64"/>
  <c r="AX26" i="64"/>
  <c r="AX27" i="64"/>
  <c r="AX28" i="64"/>
  <c r="AX29" i="64"/>
  <c r="AX30" i="64"/>
  <c r="AX31" i="64"/>
  <c r="AX32" i="64"/>
  <c r="AX33" i="64"/>
  <c r="AX34" i="64"/>
  <c r="AX35" i="64"/>
  <c r="AX36" i="64"/>
  <c r="AO28" i="57"/>
  <c r="W28" i="57"/>
  <c r="N28" i="57"/>
  <c r="AO28" i="56"/>
  <c r="W28" i="56"/>
  <c r="N28" i="56"/>
  <c r="AF35" i="64"/>
  <c r="W35" i="64"/>
  <c r="N35" i="64"/>
  <c r="AF34" i="64"/>
  <c r="W34" i="64"/>
  <c r="N34" i="64"/>
  <c r="AF33" i="64"/>
  <c r="W33" i="64"/>
  <c r="N33" i="64"/>
  <c r="AF32" i="64"/>
  <c r="W32" i="64"/>
  <c r="N32" i="64"/>
  <c r="AF31" i="64"/>
  <c r="W31" i="64"/>
  <c r="N31" i="64"/>
  <c r="AF30" i="64"/>
  <c r="W30" i="64"/>
  <c r="N30" i="64"/>
  <c r="AF27" i="64"/>
  <c r="W27" i="64"/>
  <c r="N27" i="64"/>
  <c r="AF26" i="64"/>
  <c r="W26" i="64"/>
  <c r="N26" i="64"/>
  <c r="AF25" i="64"/>
  <c r="W25" i="64"/>
  <c r="N25" i="64"/>
  <c r="AF13" i="64"/>
  <c r="AF24" i="64"/>
  <c r="W24" i="64"/>
  <c r="N24" i="64"/>
  <c r="AF12" i="64"/>
  <c r="AF23" i="64"/>
  <c r="W23" i="64"/>
  <c r="N23" i="64"/>
  <c r="AF11" i="64"/>
  <c r="AF22" i="64"/>
  <c r="W22" i="64"/>
  <c r="N22" i="64"/>
  <c r="AF10" i="64"/>
  <c r="W17" i="64"/>
  <c r="N17" i="64"/>
  <c r="AX16" i="64"/>
  <c r="AX15" i="64"/>
  <c r="AX14" i="64"/>
  <c r="AX13" i="64"/>
  <c r="AX12" i="64"/>
  <c r="N12" i="64"/>
  <c r="AX11" i="64"/>
  <c r="N11" i="64"/>
  <c r="AX10" i="64"/>
  <c r="N10" i="64"/>
  <c r="BB42" i="63"/>
  <c r="AT42" i="63"/>
  <c r="AL42" i="63"/>
  <c r="BB41" i="63"/>
  <c r="AT41" i="63"/>
  <c r="AL41" i="63"/>
  <c r="BB40" i="63"/>
  <c r="AT40" i="63"/>
  <c r="AL40" i="63"/>
  <c r="N40" i="63"/>
  <c r="BB39" i="63"/>
  <c r="AT39" i="63"/>
  <c r="AL39" i="63"/>
  <c r="N39" i="63"/>
  <c r="BB38" i="63"/>
  <c r="AT38" i="63"/>
  <c r="AL38" i="63"/>
  <c r="N38" i="63"/>
  <c r="BB37" i="63"/>
  <c r="AT37" i="63"/>
  <c r="AL37" i="63"/>
  <c r="N37" i="63"/>
  <c r="BB36" i="63"/>
  <c r="AT36" i="63"/>
  <c r="AL36" i="63"/>
  <c r="N36" i="63"/>
  <c r="BB35" i="63"/>
  <c r="AT35" i="63"/>
  <c r="AL35" i="63"/>
  <c r="N35" i="63"/>
  <c r="BB34" i="63"/>
  <c r="AT34" i="63"/>
  <c r="AL34" i="63"/>
  <c r="N34" i="63"/>
  <c r="BB33" i="63"/>
  <c r="AT33" i="63"/>
  <c r="AL33" i="63"/>
  <c r="N33" i="63"/>
  <c r="BB32" i="63"/>
  <c r="AT32" i="63"/>
  <c r="AL32" i="63"/>
  <c r="N32" i="63"/>
  <c r="BB31" i="63"/>
  <c r="AT31" i="63"/>
  <c r="AL31" i="63"/>
  <c r="N31" i="63"/>
  <c r="BB30" i="63"/>
  <c r="AT30" i="63"/>
  <c r="AL30" i="63"/>
  <c r="N30" i="63"/>
  <c r="BB29" i="63"/>
  <c r="AT29" i="63"/>
  <c r="AL29" i="63"/>
  <c r="N29" i="63"/>
  <c r="BB28" i="63"/>
  <c r="AT28" i="63"/>
  <c r="AL28" i="63"/>
  <c r="N28" i="63"/>
  <c r="AD23" i="63"/>
  <c r="V23" i="63"/>
  <c r="N23" i="63"/>
  <c r="BB22" i="63"/>
  <c r="AT22" i="63"/>
  <c r="AL22" i="63"/>
  <c r="AD22" i="63"/>
  <c r="V22" i="63"/>
  <c r="N22" i="63"/>
  <c r="BB21" i="63"/>
  <c r="AT21" i="63"/>
  <c r="AL21" i="63"/>
  <c r="AD21" i="63"/>
  <c r="V21" i="63"/>
  <c r="N21" i="63"/>
  <c r="BB20" i="63"/>
  <c r="AT20" i="63"/>
  <c r="AL20" i="63"/>
  <c r="AD20" i="63"/>
  <c r="V20" i="63"/>
  <c r="N20" i="63"/>
  <c r="BB19" i="63"/>
  <c r="AT19" i="63"/>
  <c r="AL19" i="63"/>
  <c r="AD19" i="63"/>
  <c r="V19" i="63"/>
  <c r="N19" i="63"/>
  <c r="BB18" i="63"/>
  <c r="AT18" i="63"/>
  <c r="AL18" i="63"/>
  <c r="AD18" i="63"/>
  <c r="V18" i="63"/>
  <c r="N18" i="63"/>
  <c r="BB17" i="63"/>
  <c r="AT17" i="63"/>
  <c r="AL17" i="63"/>
  <c r="AD17" i="63"/>
  <c r="V17" i="63"/>
  <c r="N17" i="63"/>
  <c r="BB16" i="63"/>
  <c r="AT16" i="63"/>
  <c r="AL16" i="63"/>
  <c r="AD16" i="63"/>
  <c r="V16" i="63"/>
  <c r="N16" i="63"/>
  <c r="BB15" i="63"/>
  <c r="AT15" i="63"/>
  <c r="AL15" i="63"/>
  <c r="AD15" i="63"/>
  <c r="V15" i="63"/>
  <c r="N15" i="63"/>
  <c r="BB14" i="63"/>
  <c r="AT14" i="63"/>
  <c r="AL14" i="63"/>
  <c r="AD14" i="63"/>
  <c r="V14" i="63"/>
  <c r="N14" i="63"/>
  <c r="BB13" i="63"/>
  <c r="AT13" i="63"/>
  <c r="AL13" i="63"/>
  <c r="AD13" i="63"/>
  <c r="V13" i="63"/>
  <c r="N13" i="63"/>
  <c r="BB12" i="63"/>
  <c r="AT12" i="63"/>
  <c r="AL12" i="63"/>
  <c r="AD12" i="63"/>
  <c r="V12" i="63"/>
  <c r="N12" i="63"/>
  <c r="BB11" i="63"/>
  <c r="AT11" i="63"/>
  <c r="AL11" i="63"/>
  <c r="AD11" i="63"/>
  <c r="V11" i="63"/>
  <c r="N11" i="63"/>
  <c r="N36" i="62"/>
  <c r="N35" i="62"/>
  <c r="N34" i="62"/>
  <c r="N33" i="62"/>
  <c r="W28" i="62"/>
  <c r="W27" i="62"/>
  <c r="W26" i="62"/>
  <c r="N26" i="62"/>
  <c r="AX24" i="62"/>
  <c r="AX23" i="62"/>
  <c r="AX22" i="62"/>
  <c r="AO22" i="62"/>
  <c r="AX21" i="62"/>
  <c r="AO21" i="62"/>
  <c r="AX20" i="62"/>
  <c r="AO20" i="62"/>
  <c r="W20" i="62"/>
  <c r="AX19" i="62"/>
  <c r="AO19" i="62"/>
  <c r="W19" i="62"/>
  <c r="AX18" i="62"/>
  <c r="AO18" i="62"/>
  <c r="W18" i="62"/>
  <c r="N18" i="62"/>
  <c r="AX17" i="62"/>
  <c r="AO17" i="62"/>
  <c r="W17" i="62"/>
  <c r="N17" i="62"/>
  <c r="AX16" i="62"/>
  <c r="AO16" i="62"/>
  <c r="W16" i="62"/>
  <c r="N16" i="62"/>
  <c r="AX15" i="62"/>
  <c r="AO15" i="62"/>
  <c r="W15" i="62"/>
  <c r="N15" i="62"/>
  <c r="AX14" i="62"/>
  <c r="AO14" i="62"/>
  <c r="W14" i="62"/>
  <c r="N14" i="62"/>
  <c r="AX13" i="62"/>
  <c r="AO13" i="62"/>
  <c r="W13" i="62"/>
  <c r="N13" i="62"/>
  <c r="AX12" i="62"/>
  <c r="AO12" i="62"/>
  <c r="N33" i="61"/>
  <c r="W32" i="61"/>
  <c r="N31" i="61"/>
  <c r="N30" i="61"/>
  <c r="N29" i="61"/>
  <c r="AF28" i="61"/>
  <c r="W28" i="61"/>
  <c r="N28" i="61"/>
  <c r="AF27" i="61"/>
  <c r="W27" i="61"/>
  <c r="N27" i="61"/>
  <c r="AF26" i="61"/>
  <c r="W26" i="61"/>
  <c r="N26" i="61"/>
  <c r="AF25" i="61"/>
  <c r="W25" i="61"/>
  <c r="N25" i="61"/>
  <c r="AF24" i="61"/>
  <c r="W24" i="61"/>
  <c r="N24" i="61"/>
  <c r="AF23" i="61"/>
  <c r="AF22" i="61"/>
  <c r="W22" i="61"/>
  <c r="N22" i="61"/>
  <c r="AF21" i="61"/>
  <c r="W21" i="61"/>
  <c r="N21" i="61"/>
  <c r="AF20" i="61"/>
  <c r="W20" i="61"/>
  <c r="N20" i="61"/>
  <c r="AF19" i="61"/>
  <c r="W19" i="61"/>
  <c r="N19" i="61"/>
  <c r="W13" i="61"/>
  <c r="AF12" i="61"/>
  <c r="W12" i="61"/>
  <c r="N12" i="61"/>
  <c r="AF11" i="61"/>
  <c r="W11" i="61"/>
  <c r="N11" i="61"/>
  <c r="Y46" i="60"/>
  <c r="P46" i="60"/>
  <c r="G46" i="60"/>
  <c r="W42" i="60"/>
  <c r="W41" i="60"/>
  <c r="AF40" i="60"/>
  <c r="W40" i="60"/>
  <c r="N40" i="60"/>
  <c r="AF39" i="60"/>
  <c r="W39" i="60"/>
  <c r="N39" i="60"/>
  <c r="AF38" i="60"/>
  <c r="W38" i="60"/>
  <c r="N38" i="60"/>
  <c r="W37" i="60"/>
  <c r="N37" i="60"/>
  <c r="AF36" i="60"/>
  <c r="W36" i="60"/>
  <c r="N36" i="60"/>
  <c r="AF35" i="60"/>
  <c r="W35" i="60"/>
  <c r="N35" i="60"/>
  <c r="W34" i="60"/>
  <c r="N34" i="60"/>
  <c r="AF33" i="60"/>
  <c r="W33" i="60"/>
  <c r="N33" i="60"/>
  <c r="AF32" i="60"/>
  <c r="W32" i="60"/>
  <c r="N32" i="60"/>
  <c r="AF31" i="60"/>
  <c r="W31" i="60"/>
  <c r="N31" i="60"/>
  <c r="W30" i="60"/>
  <c r="N30" i="60"/>
  <c r="AF29" i="60"/>
  <c r="W29" i="60"/>
  <c r="N29" i="60"/>
  <c r="AF28" i="60"/>
  <c r="W28" i="60"/>
  <c r="N28" i="60"/>
  <c r="AF27" i="60"/>
  <c r="W27" i="60"/>
  <c r="N27" i="60"/>
  <c r="AF26" i="60"/>
  <c r="W26" i="60"/>
  <c r="N26" i="60"/>
  <c r="AF25" i="60"/>
  <c r="W25" i="60"/>
  <c r="N25" i="60"/>
  <c r="AF24" i="60"/>
  <c r="W24" i="60"/>
  <c r="N24" i="60"/>
  <c r="AF23" i="60"/>
  <c r="W23" i="60"/>
  <c r="N23" i="60"/>
  <c r="W22" i="60"/>
  <c r="N22" i="60"/>
  <c r="AF21" i="60"/>
  <c r="W21" i="60"/>
  <c r="N21" i="60"/>
  <c r="AF20" i="60"/>
  <c r="W20" i="60"/>
  <c r="N20" i="60"/>
  <c r="AF19" i="60"/>
  <c r="W19" i="60"/>
  <c r="N19" i="60"/>
  <c r="W18" i="60"/>
  <c r="N18" i="60"/>
  <c r="AF17" i="60"/>
  <c r="W17" i="60"/>
  <c r="N17" i="60"/>
  <c r="AF16" i="60"/>
  <c r="W16" i="60"/>
  <c r="N16" i="60"/>
  <c r="AF15" i="60"/>
  <c r="W15" i="60"/>
  <c r="N15" i="60"/>
  <c r="AF14" i="60"/>
  <c r="W14" i="60"/>
  <c r="N14" i="60"/>
  <c r="AF13" i="60"/>
  <c r="W13" i="60"/>
  <c r="N13" i="60"/>
  <c r="AF12" i="60"/>
  <c r="W12" i="60"/>
  <c r="N12" i="60"/>
  <c r="W11" i="60"/>
  <c r="N11" i="60"/>
  <c r="W40" i="59"/>
  <c r="AF39" i="59"/>
  <c r="W39" i="59"/>
  <c r="N39" i="59"/>
  <c r="N38" i="59"/>
  <c r="N37" i="59"/>
  <c r="AF36" i="59"/>
  <c r="W36" i="59"/>
  <c r="N36" i="59"/>
  <c r="AF35" i="59"/>
  <c r="W35" i="59"/>
  <c r="N35" i="59"/>
  <c r="AF34" i="59"/>
  <c r="W34" i="59"/>
  <c r="N34" i="59"/>
  <c r="N29" i="59"/>
  <c r="N28" i="59"/>
  <c r="N27" i="59"/>
  <c r="AF26" i="59"/>
  <c r="N26" i="59"/>
  <c r="AF25" i="59"/>
  <c r="N25" i="59"/>
  <c r="N24" i="59"/>
  <c r="AX20" i="59"/>
  <c r="AF19" i="59"/>
  <c r="W19" i="59"/>
  <c r="N19" i="59"/>
  <c r="AF18" i="59"/>
  <c r="W18" i="59"/>
  <c r="N18" i="59"/>
  <c r="AF17" i="59"/>
  <c r="W17" i="59"/>
  <c r="N17" i="59"/>
  <c r="AX16" i="59"/>
  <c r="AF16" i="59"/>
  <c r="W16" i="59"/>
  <c r="N16" i="59"/>
  <c r="AX15" i="59"/>
  <c r="AF15" i="59"/>
  <c r="W15" i="59"/>
  <c r="N15" i="59"/>
  <c r="AX14" i="59"/>
  <c r="AF14" i="59"/>
  <c r="W14" i="59"/>
  <c r="N14" i="59"/>
  <c r="AX13" i="59"/>
  <c r="AF13" i="59"/>
  <c r="W13" i="59"/>
  <c r="N13" i="59"/>
  <c r="AX12" i="59"/>
  <c r="AF12" i="59"/>
  <c r="W12" i="59"/>
  <c r="N12" i="59"/>
  <c r="AX11" i="59"/>
  <c r="AF11" i="59"/>
  <c r="W11" i="59"/>
  <c r="N11" i="59"/>
  <c r="AX10" i="59"/>
  <c r="N42" i="58"/>
  <c r="N41" i="58"/>
  <c r="N40" i="58"/>
  <c r="N39" i="58"/>
  <c r="N38" i="58"/>
  <c r="N37" i="58"/>
  <c r="N36" i="58"/>
  <c r="N35" i="58"/>
  <c r="N34" i="58"/>
  <c r="N33" i="58"/>
  <c r="N32" i="58"/>
  <c r="N31" i="58"/>
  <c r="N30" i="58"/>
  <c r="N29" i="58"/>
  <c r="AX25" i="58"/>
  <c r="AX24" i="58"/>
  <c r="AF24" i="58"/>
  <c r="W24" i="58"/>
  <c r="N24" i="58"/>
  <c r="AX23" i="58"/>
  <c r="AF23" i="58"/>
  <c r="W23" i="58"/>
  <c r="N23" i="58"/>
  <c r="AF22" i="58"/>
  <c r="W22" i="58"/>
  <c r="N22" i="58"/>
  <c r="AF21" i="58"/>
  <c r="W21" i="58"/>
  <c r="N21" i="58"/>
  <c r="AF20" i="58"/>
  <c r="W20" i="58"/>
  <c r="N20" i="58"/>
  <c r="AX19" i="58"/>
  <c r="AX18" i="58"/>
  <c r="AX17" i="58"/>
  <c r="AX16" i="58"/>
  <c r="AX15" i="58"/>
  <c r="AF15" i="58"/>
  <c r="W15" i="58"/>
  <c r="N15" i="58"/>
  <c r="AX14" i="58"/>
  <c r="AF14" i="58"/>
  <c r="W14" i="58"/>
  <c r="N14" i="58"/>
  <c r="AX13" i="58"/>
  <c r="AF13" i="58"/>
  <c r="W13" i="58"/>
  <c r="N13" i="58"/>
  <c r="AX12" i="58"/>
  <c r="AF12" i="58"/>
  <c r="W12" i="58"/>
  <c r="N12" i="58"/>
  <c r="AX11" i="58"/>
  <c r="AF11" i="58"/>
  <c r="W11" i="58"/>
  <c r="N11" i="58"/>
  <c r="AX10" i="58"/>
  <c r="AO37" i="57"/>
  <c r="AO36" i="57"/>
  <c r="AO35" i="57"/>
  <c r="AO34" i="57"/>
  <c r="AO33" i="57"/>
  <c r="AO32" i="57"/>
  <c r="AO31" i="57"/>
  <c r="AO30" i="57"/>
  <c r="AO29" i="57"/>
  <c r="AF29" i="57"/>
  <c r="W29" i="57"/>
  <c r="N29" i="57"/>
  <c r="AO27" i="57"/>
  <c r="W27" i="57"/>
  <c r="N27" i="57"/>
  <c r="AO26" i="57"/>
  <c r="W26" i="57"/>
  <c r="N26" i="57"/>
  <c r="AO25" i="57"/>
  <c r="W25" i="57"/>
  <c r="N25" i="57"/>
  <c r="AO24" i="57"/>
  <c r="AF24" i="57"/>
  <c r="N24" i="57"/>
  <c r="AO23" i="57"/>
  <c r="AF23" i="57"/>
  <c r="N23" i="57"/>
  <c r="AO22" i="57"/>
  <c r="AF22" i="57"/>
  <c r="N22" i="57"/>
  <c r="AO21" i="57"/>
  <c r="AF21" i="57"/>
  <c r="N21" i="57"/>
  <c r="AO20" i="57"/>
  <c r="N20" i="57"/>
  <c r="AO19" i="57"/>
  <c r="N19" i="57"/>
  <c r="AO18" i="57"/>
  <c r="N18" i="57"/>
  <c r="AO17" i="57"/>
  <c r="W17" i="57"/>
  <c r="N17" i="57"/>
  <c r="AO16" i="57"/>
  <c r="W16" i="57"/>
  <c r="N16" i="57"/>
  <c r="AO15" i="57"/>
  <c r="W15" i="57"/>
  <c r="N15" i="57"/>
  <c r="AO14" i="57"/>
  <c r="W14" i="57"/>
  <c r="AO13" i="57"/>
  <c r="W13" i="57"/>
  <c r="N13" i="57"/>
  <c r="AO12" i="57"/>
  <c r="W12" i="57"/>
  <c r="N12" i="57"/>
  <c r="AO11" i="57"/>
  <c r="W11" i="57"/>
  <c r="N11" i="57"/>
  <c r="AO10" i="57"/>
  <c r="AF10" i="57"/>
  <c r="W10" i="57"/>
  <c r="N10" i="57"/>
  <c r="AO37" i="56"/>
  <c r="AO36" i="56"/>
  <c r="AO35" i="56"/>
  <c r="AO34" i="56"/>
  <c r="AO33" i="56"/>
  <c r="AO32" i="56"/>
  <c r="AO31" i="56"/>
  <c r="AO30" i="56"/>
  <c r="AO29" i="56"/>
  <c r="AF29" i="56"/>
  <c r="W29" i="56"/>
  <c r="N29" i="56"/>
  <c r="AO27" i="56"/>
  <c r="W27" i="56"/>
  <c r="N27" i="56"/>
  <c r="AO26" i="56"/>
  <c r="W26" i="56"/>
  <c r="N26" i="56"/>
  <c r="AO25" i="56"/>
  <c r="W25" i="56"/>
  <c r="N25" i="56"/>
  <c r="AO24" i="56"/>
  <c r="AF24" i="56"/>
  <c r="N24" i="56"/>
  <c r="AO23" i="56"/>
  <c r="AF23" i="56"/>
  <c r="N23" i="56"/>
  <c r="AO22" i="56"/>
  <c r="AF22" i="56"/>
  <c r="N22" i="56"/>
  <c r="AO21" i="56"/>
  <c r="AF21" i="56"/>
  <c r="N21" i="56"/>
  <c r="AO20" i="56"/>
  <c r="N20" i="56"/>
  <c r="AO19" i="56"/>
  <c r="N19" i="56"/>
  <c r="AO18" i="56"/>
  <c r="N18" i="56"/>
  <c r="AO17" i="56"/>
  <c r="W17" i="56"/>
  <c r="N17" i="56"/>
  <c r="AO16" i="56"/>
  <c r="W16" i="56"/>
  <c r="N16" i="56"/>
  <c r="AO15" i="56"/>
  <c r="W15" i="56"/>
  <c r="N15" i="56"/>
  <c r="AO14" i="56"/>
  <c r="W14" i="56"/>
  <c r="AO13" i="56"/>
  <c r="W13" i="56"/>
  <c r="N13" i="56"/>
  <c r="AO12" i="56"/>
  <c r="W12" i="56"/>
  <c r="N12" i="56"/>
  <c r="AO11" i="56"/>
  <c r="W11" i="56"/>
  <c r="N11" i="56"/>
  <c r="AO10" i="56"/>
  <c r="AF10" i="56"/>
  <c r="W10" i="56"/>
  <c r="N10" i="56"/>
  <c r="AH46" i="60" l="1"/>
  <c r="A1" i="64"/>
  <c r="A1" i="63"/>
  <c r="A1" i="62"/>
  <c r="A1" i="61"/>
  <c r="A1" i="60"/>
  <c r="A1" i="59"/>
  <c r="A1" i="58"/>
  <c r="A1" i="57"/>
  <c r="I5" i="64" l="1"/>
  <c r="F5" i="64"/>
  <c r="AF4" i="64"/>
  <c r="Y4" i="64"/>
  <c r="T4" i="64"/>
  <c r="I4" i="64"/>
  <c r="F4" i="64"/>
  <c r="I5" i="63"/>
  <c r="F5" i="63"/>
  <c r="AF4" i="63"/>
  <c r="Y4" i="63"/>
  <c r="T4" i="63"/>
  <c r="I4" i="63"/>
  <c r="F4" i="63"/>
  <c r="I5" i="62"/>
  <c r="F5" i="62"/>
  <c r="AF4" i="62"/>
  <c r="Y4" i="62"/>
  <c r="T4" i="62"/>
  <c r="I4" i="62"/>
  <c r="F4" i="62"/>
  <c r="I5" i="61"/>
  <c r="F5" i="61"/>
  <c r="AF4" i="61"/>
  <c r="Y4" i="61"/>
  <c r="T4" i="61"/>
  <c r="I4" i="61"/>
  <c r="F4" i="61"/>
  <c r="I5" i="60"/>
  <c r="F5" i="60"/>
  <c r="AF4" i="60"/>
  <c r="Y4" i="60"/>
  <c r="T4" i="60"/>
  <c r="I4" i="60"/>
  <c r="F4" i="60"/>
  <c r="I5" i="59"/>
  <c r="F5" i="59"/>
  <c r="AF4" i="59"/>
  <c r="Y4" i="59"/>
  <c r="T4" i="59"/>
  <c r="I4" i="59"/>
  <c r="F4" i="59"/>
  <c r="I5" i="58"/>
  <c r="F5" i="58"/>
  <c r="AF4" i="58"/>
  <c r="Y4" i="58"/>
  <c r="T4" i="58"/>
  <c r="I4" i="58"/>
  <c r="F4" i="58"/>
  <c r="AF4" i="57"/>
  <c r="Y4" i="57"/>
  <c r="T4" i="57"/>
  <c r="I5" i="57"/>
  <c r="I4" i="57"/>
  <c r="F5" i="57"/>
  <c r="F4" i="57"/>
  <c r="E34" i="65" l="1"/>
  <c r="AO4" i="56" s="1"/>
  <c r="AG4" i="57" l="1"/>
  <c r="AG4" i="64"/>
  <c r="AG4" i="63"/>
  <c r="AG4" i="62"/>
  <c r="AG4" i="61"/>
  <c r="AG4" i="60"/>
  <c r="AG4" i="59"/>
  <c r="AG4" i="58"/>
  <c r="B74" i="65" l="1"/>
  <c r="AC4" i="56" s="1"/>
  <c r="E23" i="65"/>
  <c r="AH4" i="56" s="1"/>
  <c r="Z4" i="62" l="1"/>
  <c r="Z4" i="58"/>
  <c r="Z4" i="61"/>
  <c r="Z4" i="64"/>
  <c r="Z4" i="60"/>
  <c r="Z4" i="63"/>
  <c r="Z4" i="59"/>
  <c r="Z4" i="57"/>
  <c r="U4" i="63"/>
  <c r="U4" i="61"/>
  <c r="U4" i="59"/>
  <c r="U4" i="57"/>
  <c r="U4" i="64"/>
  <c r="U4" i="62"/>
  <c r="U4" i="60"/>
  <c r="U4" i="58"/>
  <c r="V46" i="60"/>
  <c r="S46" i="60"/>
  <c r="M46" i="60" l="1"/>
  <c r="D46" i="60" s="1"/>
  <c r="J46" i="60"/>
  <c r="A46" i="60" s="1"/>
</calcChain>
</file>

<file path=xl/sharedStrings.xml><?xml version="1.0" encoding="utf-8"?>
<sst xmlns="http://schemas.openxmlformats.org/spreadsheetml/2006/main" count="893" uniqueCount="401">
  <si>
    <t>生産費区分</t>
    <rPh sb="0" eb="3">
      <t>セイサンヒ</t>
    </rPh>
    <rPh sb="3" eb="5">
      <t>クブン</t>
    </rPh>
    <phoneticPr fontId="3"/>
  </si>
  <si>
    <t>　</t>
    <phoneticPr fontId="3"/>
  </si>
  <si>
    <t>【生産費総括（調査対象畜１頭当たり）】</t>
    <rPh sb="1" eb="4">
      <t>セイサンヒ</t>
    </rPh>
    <rPh sb="4" eb="6">
      <t>ソウカツ</t>
    </rPh>
    <rPh sb="7" eb="9">
      <t>チョウサ</t>
    </rPh>
    <rPh sb="9" eb="11">
      <t>タイショウ</t>
    </rPh>
    <rPh sb="11" eb="12">
      <t>チク</t>
    </rPh>
    <phoneticPr fontId="3"/>
  </si>
  <si>
    <t>単位：円、％</t>
    <rPh sb="0" eb="2">
      <t>タンイ</t>
    </rPh>
    <rPh sb="3" eb="4">
      <t>エン</t>
    </rPh>
    <phoneticPr fontId="3"/>
  </si>
  <si>
    <t>購　　　入</t>
    <rPh sb="0" eb="5">
      <t>コウニュウ</t>
    </rPh>
    <phoneticPr fontId="3"/>
  </si>
  <si>
    <t>自　　　給</t>
    <rPh sb="0" eb="5">
      <t>ジキュウ</t>
    </rPh>
    <phoneticPr fontId="3"/>
  </si>
  <si>
    <t>償　　　却</t>
    <rPh sb="0" eb="5">
      <t>ショウキャク</t>
    </rPh>
    <phoneticPr fontId="3"/>
  </si>
  <si>
    <t>計</t>
    <rPh sb="0" eb="1">
      <t>ケイ</t>
    </rPh>
    <phoneticPr fontId="3"/>
  </si>
  <si>
    <t>増減率</t>
    <phoneticPr fontId="3"/>
  </si>
  <si>
    <t>物財費</t>
    <rPh sb="0" eb="2">
      <t>ブツザイ</t>
    </rPh>
    <rPh sb="2" eb="3">
      <t>ヒ</t>
    </rPh>
    <phoneticPr fontId="3"/>
  </si>
  <si>
    <t>飼料費</t>
    <rPh sb="0" eb="3">
      <t>シリョウヒ</t>
    </rPh>
    <phoneticPr fontId="3"/>
  </si>
  <si>
    <t>流通飼料費</t>
    <rPh sb="0" eb="2">
      <t>リュウツウ</t>
    </rPh>
    <rPh sb="2" eb="5">
      <t>シリョウヒ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</si>
  <si>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</si>
  <si>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</si>
  <si>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</si>
  <si>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</si>
  <si>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</si>
  <si>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</si>
  <si>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</si>
  <si>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</si>
  <si>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</si>
  <si>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</si>
  <si>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</si>
  <si>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労働費</t>
    <rPh sb="0" eb="3">
      <t>ロウドウヒ</t>
    </rPh>
    <phoneticPr fontId="3"/>
  </si>
  <si>
    <t>直接労働費</t>
    <rPh sb="0" eb="2">
      <t>チョクセツ</t>
    </rPh>
    <rPh sb="2" eb="5">
      <t>ロウドウヒ</t>
    </rPh>
    <phoneticPr fontId="3"/>
  </si>
  <si>
    <t>間接労働費</t>
    <rPh sb="0" eb="2">
      <t>カンセツ</t>
    </rPh>
    <rPh sb="2" eb="5">
      <t>ロウドウヒ</t>
    </rPh>
    <phoneticPr fontId="3"/>
  </si>
  <si>
    <t>費用合計</t>
    <rPh sb="0" eb="2">
      <t>ヒヨウ</t>
    </rPh>
    <rPh sb="2" eb="4">
      <t>ゴウケイ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</si>
  <si>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</si>
  <si>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</si>
  <si>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支払利子</t>
    <rPh sb="0" eb="2">
      <t>シハラ</t>
    </rPh>
    <rPh sb="2" eb="4">
      <t>リシ</t>
    </rPh>
    <phoneticPr fontId="3"/>
  </si>
  <si>
    <t>支払地代</t>
    <rPh sb="0" eb="2">
      <t>シハラ</t>
    </rPh>
    <rPh sb="2" eb="4">
      <t>チダイ</t>
    </rPh>
    <phoneticPr fontId="3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</si>
  <si>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</si>
  <si>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</si>
  <si>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自作地地代</t>
    <rPh sb="0" eb="2">
      <t>ジサク</t>
    </rPh>
    <rPh sb="2" eb="3">
      <t>チ</t>
    </rPh>
    <rPh sb="3" eb="5">
      <t>チダイ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</si>
  <si>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</si>
  <si>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単位：㎏、％</t>
    <rPh sb="0" eb="2">
      <t>タンイ</t>
    </rPh>
    <phoneticPr fontId="3"/>
  </si>
  <si>
    <t>【生産費総括（肥育牛生体100kg当たり）】</t>
    <rPh sb="1" eb="4">
      <t>セイサンヒ</t>
    </rPh>
    <rPh sb="4" eb="6">
      <t>ソウカツ</t>
    </rPh>
    <rPh sb="7" eb="9">
      <t>ヒイク</t>
    </rPh>
    <rPh sb="9" eb="10">
      <t>ウシ</t>
    </rPh>
    <rPh sb="10" eb="12">
      <t>セイタイ</t>
    </rPh>
    <phoneticPr fontId="3"/>
  </si>
  <si>
    <t>調査対象畜１頭当たり</t>
    <rPh sb="0" eb="2">
      <t>チョウサ</t>
    </rPh>
    <rPh sb="2" eb="4">
      <t>タイショウ</t>
    </rPh>
    <rPh sb="4" eb="5">
      <t>チク</t>
    </rPh>
    <rPh sb="6" eb="7">
      <t>トウ</t>
    </rPh>
    <rPh sb="7" eb="8">
      <t>ア</t>
    </rPh>
    <phoneticPr fontId="3"/>
  </si>
  <si>
    <t>【家族員数及び農業就業者等】１経営体当たり</t>
    <rPh sb="1" eb="3">
      <t>カゾク</t>
    </rPh>
    <rPh sb="3" eb="4">
      <t>イン</t>
    </rPh>
    <rPh sb="4" eb="5">
      <t>スウ</t>
    </rPh>
    <rPh sb="5" eb="6">
      <t>オヨ</t>
    </rPh>
    <rPh sb="7" eb="9">
      <t>ノウギョウ</t>
    </rPh>
    <rPh sb="9" eb="12">
      <t>シュウギョウシャ</t>
    </rPh>
    <rPh sb="12" eb="13">
      <t>トウ</t>
    </rPh>
    <rPh sb="15" eb="18">
      <t>ケイエイタイ</t>
    </rPh>
    <phoneticPr fontId="3"/>
  </si>
  <si>
    <t>単位：人、％</t>
    <rPh sb="0" eb="2">
      <t>タンイ</t>
    </rPh>
    <rPh sb="3" eb="4">
      <t>ニン</t>
    </rPh>
    <phoneticPr fontId="3"/>
  </si>
  <si>
    <t>【資本額】</t>
    <rPh sb="1" eb="3">
      <t>シホン</t>
    </rPh>
    <rPh sb="3" eb="4">
      <t>ガク</t>
    </rPh>
    <phoneticPr fontId="3"/>
  </si>
  <si>
    <t xml:space="preserve"> </t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</si>
  <si>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</si>
  <si>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</si>
  <si>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世帯員</t>
    <rPh sb="0" eb="3">
      <t>セタイイン</t>
    </rPh>
    <phoneticPr fontId="3"/>
  </si>
  <si>
    <t>借入資本</t>
    <rPh sb="0" eb="2">
      <t>カリイレ</t>
    </rPh>
    <rPh sb="2" eb="4">
      <t>シホン</t>
    </rPh>
    <phoneticPr fontId="3"/>
  </si>
  <si>
    <t>家族</t>
    <rPh sb="0" eb="2">
      <t>カゾク</t>
    </rPh>
    <phoneticPr fontId="3"/>
  </si>
  <si>
    <t>自己資本</t>
    <rPh sb="0" eb="2">
      <t>ジコ</t>
    </rPh>
    <rPh sb="2" eb="4">
      <t>シホン</t>
    </rPh>
    <phoneticPr fontId="3"/>
  </si>
  <si>
    <t>農業就業者</t>
    <rPh sb="0" eb="2">
      <t>ノウギョウ</t>
    </rPh>
    <rPh sb="2" eb="5">
      <t>シュウギョウシャ</t>
    </rPh>
    <phoneticPr fontId="3"/>
  </si>
  <si>
    <t>資産別内訳</t>
    <rPh sb="0" eb="2">
      <t>シサン</t>
    </rPh>
    <rPh sb="2" eb="3">
      <t>ベツ</t>
    </rPh>
    <rPh sb="3" eb="5">
      <t>ウチワケ</t>
    </rPh>
    <phoneticPr fontId="3"/>
  </si>
  <si>
    <t>流動資本</t>
    <rPh sb="0" eb="2">
      <t>リュウドウ</t>
    </rPh>
    <rPh sb="2" eb="4">
      <t>シホン</t>
    </rPh>
    <phoneticPr fontId="3"/>
  </si>
  <si>
    <t>農業専従者</t>
    <rPh sb="0" eb="2">
      <t>ノウギョウ</t>
    </rPh>
    <rPh sb="2" eb="5">
      <t>センジュウシャ</t>
    </rPh>
    <phoneticPr fontId="3"/>
  </si>
  <si>
    <t>労賃資本</t>
    <rPh sb="0" eb="2">
      <t>ロウチン</t>
    </rPh>
    <rPh sb="2" eb="4">
      <t>シホン</t>
    </rPh>
    <phoneticPr fontId="3"/>
  </si>
  <si>
    <t>農業年雇</t>
    <rPh sb="0" eb="2">
      <t>ノウギョウ</t>
    </rPh>
    <rPh sb="2" eb="3">
      <t>ネン</t>
    </rPh>
    <rPh sb="3" eb="4">
      <t>ヤトイ</t>
    </rPh>
    <phoneticPr fontId="3"/>
  </si>
  <si>
    <t>固定資本</t>
    <rPh sb="0" eb="2">
      <t>コテイ</t>
    </rPh>
    <rPh sb="2" eb="4">
      <t>シホン</t>
    </rPh>
    <phoneticPr fontId="3"/>
  </si>
  <si>
    <t>建物</t>
    <rPh sb="0" eb="2">
      <t>タテモノ</t>
    </rPh>
    <phoneticPr fontId="3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</si>
  <si>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3"/>
  </si>
  <si>
    <t>単位：ａ、％</t>
    <rPh sb="0" eb="2">
      <t>タンイ</t>
    </rPh>
    <phoneticPr fontId="3"/>
  </si>
  <si>
    <t>自動車</t>
    <rPh sb="0" eb="3">
      <t>ジドウシャ</t>
    </rPh>
    <phoneticPr fontId="3"/>
  </si>
  <si>
    <t>所　有　地</t>
    <rPh sb="0" eb="1">
      <t>ショ</t>
    </rPh>
    <rPh sb="2" eb="3">
      <t>ユウ</t>
    </rPh>
    <rPh sb="4" eb="5">
      <t>チ</t>
    </rPh>
    <phoneticPr fontId="3"/>
  </si>
  <si>
    <t>借　入　地</t>
    <rPh sb="0" eb="1">
      <t>シャク</t>
    </rPh>
    <rPh sb="2" eb="3">
      <t>イリ</t>
    </rPh>
    <rPh sb="4" eb="5">
      <t>チ</t>
    </rPh>
    <phoneticPr fontId="3"/>
  </si>
  <si>
    <t>農機具</t>
    <rPh sb="0" eb="3">
      <t>ノウキグ</t>
    </rPh>
    <phoneticPr fontId="3"/>
  </si>
  <si>
    <t>牧草関係</t>
    <rPh sb="0" eb="2">
      <t>ボクソウ</t>
    </rPh>
    <rPh sb="2" eb="4">
      <t>カンケイ</t>
    </rPh>
    <phoneticPr fontId="3"/>
  </si>
  <si>
    <t>田</t>
    <rPh sb="0" eb="1">
      <t>タ</t>
    </rPh>
    <phoneticPr fontId="3"/>
  </si>
  <si>
    <t>普通畑</t>
    <rPh sb="0" eb="2">
      <t>フツウ</t>
    </rPh>
    <rPh sb="2" eb="3">
      <t>ハタケ</t>
    </rPh>
    <phoneticPr fontId="3"/>
  </si>
  <si>
    <t>【資本利子】</t>
    <rPh sb="1" eb="3">
      <t>シホン</t>
    </rPh>
    <rPh sb="3" eb="5">
      <t>リシ</t>
    </rPh>
    <phoneticPr fontId="3"/>
  </si>
  <si>
    <t>樹園地</t>
    <rPh sb="0" eb="1">
      <t>ジュ</t>
    </rPh>
    <rPh sb="1" eb="3">
      <t>エンチ</t>
    </rPh>
    <phoneticPr fontId="3"/>
  </si>
  <si>
    <t>牧草地</t>
    <rPh sb="0" eb="3">
      <t>ボクソウチ</t>
    </rPh>
    <phoneticPr fontId="3"/>
  </si>
  <si>
    <t>支払利子</t>
    <rPh sb="0" eb="2">
      <t>シハライ</t>
    </rPh>
    <rPh sb="2" eb="4">
      <t>リシ</t>
    </rPh>
    <phoneticPr fontId="3"/>
  </si>
  <si>
    <t>【飼養頭数】１経営体当たり</t>
    <rPh sb="1" eb="3">
      <t>シヨウ</t>
    </rPh>
    <rPh sb="3" eb="5">
      <t>アタマカズ</t>
    </rPh>
    <rPh sb="7" eb="10">
      <t>ケイエイタイ</t>
    </rPh>
    <rPh sb="10" eb="11">
      <t>ア</t>
    </rPh>
    <phoneticPr fontId="3"/>
  </si>
  <si>
    <t>単位：頭、％</t>
    <rPh sb="0" eb="2">
      <t>タンイ</t>
    </rPh>
    <rPh sb="3" eb="4">
      <t>アタマ</t>
    </rPh>
    <phoneticPr fontId="3"/>
  </si>
  <si>
    <t>１　　月</t>
    <rPh sb="3" eb="4">
      <t>ガツ</t>
    </rPh>
    <phoneticPr fontId="3"/>
  </si>
  <si>
    <t>２　　月</t>
    <rPh sb="3" eb="4">
      <t>ツキ</t>
    </rPh>
    <phoneticPr fontId="3"/>
  </si>
  <si>
    <t>３　　月</t>
    <rPh sb="3" eb="4">
      <t>ツキ</t>
    </rPh>
    <phoneticPr fontId="3"/>
  </si>
  <si>
    <t>４　　月</t>
    <rPh sb="3" eb="4">
      <t>ツキ</t>
    </rPh>
    <phoneticPr fontId="3"/>
  </si>
  <si>
    <t>５　　月</t>
    <rPh sb="3" eb="4">
      <t>ツキ</t>
    </rPh>
    <phoneticPr fontId="3"/>
  </si>
  <si>
    <t>６　　月</t>
    <rPh sb="3" eb="4">
      <t>ツキ</t>
    </rPh>
    <phoneticPr fontId="3"/>
  </si>
  <si>
    <t>７　　月</t>
    <rPh sb="3" eb="4">
      <t>ツキ</t>
    </rPh>
    <phoneticPr fontId="3"/>
  </si>
  <si>
    <t>８　　月</t>
    <rPh sb="3" eb="4">
      <t>ツキ</t>
    </rPh>
    <phoneticPr fontId="3"/>
  </si>
  <si>
    <t>９　　月</t>
    <rPh sb="3" eb="4">
      <t>ツキ</t>
    </rPh>
    <phoneticPr fontId="3"/>
  </si>
  <si>
    <t>10　　月</t>
    <rPh sb="4" eb="5">
      <t>ツキ</t>
    </rPh>
    <phoneticPr fontId="3"/>
  </si>
  <si>
    <t>11　　月</t>
    <rPh sb="4" eb="5">
      <t>ツキ</t>
    </rPh>
    <phoneticPr fontId="3"/>
  </si>
  <si>
    <t>12　　月</t>
    <rPh sb="4" eb="5">
      <t>ツキ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</si>
  <si>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</si>
  <si>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【主産物の概要】</t>
    <rPh sb="1" eb="2">
      <t>シュ</t>
    </rPh>
    <rPh sb="2" eb="3">
      <t>サン</t>
    </rPh>
    <rPh sb="3" eb="4">
      <t>ブツ</t>
    </rPh>
    <rPh sb="5" eb="7">
      <t>ガイヨウ</t>
    </rPh>
    <phoneticPr fontId="3"/>
  </si>
  <si>
    <t>単位：頭、月、円、㎏、％</t>
    <rPh sb="0" eb="2">
      <t>タンイ</t>
    </rPh>
    <rPh sb="3" eb="4">
      <t>トウ</t>
    </rPh>
    <rPh sb="5" eb="6">
      <t>ツキ</t>
    </rPh>
    <rPh sb="7" eb="8">
      <t>エン</t>
    </rPh>
    <phoneticPr fontId="3"/>
  </si>
  <si>
    <t>【〔参考１〕収益性等】</t>
    <rPh sb="2" eb="4">
      <t>サンコウ</t>
    </rPh>
    <rPh sb="6" eb="9">
      <t>シュウエキセイ</t>
    </rPh>
    <rPh sb="9" eb="10">
      <t>トウ</t>
    </rPh>
    <phoneticPr fontId="3"/>
  </si>
  <si>
    <t>購　　　入</t>
    <rPh sb="0" eb="1">
      <t>コウ</t>
    </rPh>
    <rPh sb="4" eb="5">
      <t>イ</t>
    </rPh>
    <phoneticPr fontId="3"/>
  </si>
  <si>
    <t>自　　　給</t>
    <rPh sb="0" eb="1">
      <t>ジ</t>
    </rPh>
    <rPh sb="4" eb="5">
      <t>キュウ</t>
    </rPh>
    <phoneticPr fontId="3"/>
  </si>
  <si>
    <t>粗収益</t>
    <rPh sb="0" eb="1">
      <t>ソ</t>
    </rPh>
    <rPh sb="1" eb="3">
      <t>シュウエキ</t>
    </rPh>
    <phoneticPr fontId="3"/>
  </si>
  <si>
    <t>もと畜</t>
    <rPh sb="2" eb="3">
      <t>チク</t>
    </rPh>
    <phoneticPr fontId="3"/>
  </si>
  <si>
    <t>仕　入</t>
    <rPh sb="0" eb="1">
      <t>シ</t>
    </rPh>
    <rPh sb="2" eb="3">
      <t>イ</t>
    </rPh>
    <phoneticPr fontId="3"/>
  </si>
  <si>
    <t>頭数</t>
    <rPh sb="0" eb="2">
      <t>トウスウ</t>
    </rPh>
    <phoneticPr fontId="3"/>
  </si>
  <si>
    <t>生産費総額</t>
    <rPh sb="0" eb="3">
      <t>セイサンヒ</t>
    </rPh>
    <rPh sb="3" eb="5">
      <t>ソウガク</t>
    </rPh>
    <phoneticPr fontId="3"/>
  </si>
  <si>
    <t>月数</t>
    <rPh sb="0" eb="2">
      <t>ツキスウ</t>
    </rPh>
    <phoneticPr fontId="3"/>
  </si>
  <si>
    <t>利潤</t>
    <rPh sb="0" eb="2">
      <t>リジュン</t>
    </rPh>
    <phoneticPr fontId="3"/>
  </si>
  <si>
    <t>評価額</t>
    <rPh sb="0" eb="3">
      <t>ヒョウカガク</t>
    </rPh>
    <phoneticPr fontId="3"/>
  </si>
  <si>
    <t>所得</t>
    <rPh sb="0" eb="2">
      <t>ショトク</t>
    </rPh>
    <phoneticPr fontId="3"/>
  </si>
  <si>
    <t>販売</t>
    <rPh sb="0" eb="2">
      <t>ハンバイ</t>
    </rPh>
    <phoneticPr fontId="3"/>
  </si>
  <si>
    <t>１日当たり</t>
    <rPh sb="1" eb="2">
      <t>ニチ</t>
    </rPh>
    <rPh sb="2" eb="3">
      <t>ア</t>
    </rPh>
    <phoneticPr fontId="3"/>
  </si>
  <si>
    <t>月齢</t>
    <rPh sb="0" eb="2">
      <t>ゲツレイ</t>
    </rPh>
    <phoneticPr fontId="3"/>
  </si>
  <si>
    <t>家族労働報酬</t>
    <rPh sb="0" eb="2">
      <t>カゾク</t>
    </rPh>
    <rPh sb="2" eb="4">
      <t>ロウドウ</t>
    </rPh>
    <rPh sb="4" eb="6">
      <t>ホウシュウ</t>
    </rPh>
    <phoneticPr fontId="3"/>
  </si>
  <si>
    <t>生体重</t>
    <rPh sb="0" eb="3">
      <t>セイタイジュウ</t>
    </rPh>
    <phoneticPr fontId="3"/>
  </si>
  <si>
    <t>肥育・育成期間</t>
    <rPh sb="0" eb="2">
      <t>ヒイク</t>
    </rPh>
    <rPh sb="3" eb="5">
      <t>イクセイ</t>
    </rPh>
    <rPh sb="5" eb="7">
      <t>キカン</t>
    </rPh>
    <phoneticPr fontId="3"/>
  </si>
  <si>
    <t>【〔参考２〕消費税】</t>
    <rPh sb="2" eb="4">
      <t>サンコウ</t>
    </rPh>
    <rPh sb="6" eb="9">
      <t>ショウヒゼイ</t>
    </rPh>
    <phoneticPr fontId="3"/>
  </si>
  <si>
    <t>死亡・とうた頭数</t>
    <rPh sb="0" eb="2">
      <t>シボウ</t>
    </rPh>
    <rPh sb="6" eb="8">
      <t>トウスウ</t>
    </rPh>
    <phoneticPr fontId="3"/>
  </si>
  <si>
    <t>注：もと畜仕入頭数、販売頭数、死亡・とうた頭数は１経営体当たり</t>
    <rPh sb="0" eb="1">
      <t>チュウ</t>
    </rPh>
    <rPh sb="4" eb="5">
      <t>チク</t>
    </rPh>
    <rPh sb="5" eb="7">
      <t>シイ</t>
    </rPh>
    <rPh sb="7" eb="9">
      <t>トウスウ</t>
    </rPh>
    <rPh sb="10" eb="12">
      <t>ハンバイ</t>
    </rPh>
    <rPh sb="12" eb="14">
      <t>トウスウ</t>
    </rPh>
    <rPh sb="15" eb="17">
      <t>シボウ</t>
    </rPh>
    <rPh sb="21" eb="23">
      <t>トウスウ</t>
    </rPh>
    <rPh sb="25" eb="28">
      <t>ケイエイタイ</t>
    </rPh>
    <rPh sb="28" eb="29">
      <t>ア</t>
    </rPh>
    <phoneticPr fontId="3"/>
  </si>
  <si>
    <t>消費税</t>
    <rPh sb="0" eb="3">
      <t>ショウヒゼイ</t>
    </rPh>
    <phoneticPr fontId="3"/>
  </si>
  <si>
    <t>【販売肉用牛の品種別頭数】</t>
    <rPh sb="1" eb="3">
      <t>ハンバイ</t>
    </rPh>
    <rPh sb="3" eb="5">
      <t>ニクヨウ</t>
    </rPh>
    <rPh sb="5" eb="6">
      <t>ウシ</t>
    </rPh>
    <rPh sb="7" eb="10">
      <t>ヒンシュベツ</t>
    </rPh>
    <rPh sb="10" eb="12">
      <t>トウスウ</t>
    </rPh>
    <phoneticPr fontId="3"/>
  </si>
  <si>
    <t>単位：頭、％</t>
    <rPh sb="0" eb="2">
      <t>タンイ</t>
    </rPh>
    <rPh sb="3" eb="4">
      <t>トウ</t>
    </rPh>
    <phoneticPr fontId="3"/>
  </si>
  <si>
    <t>【販売回数、延べ計算期間】</t>
    <rPh sb="1" eb="3">
      <t>ハンバイ</t>
    </rPh>
    <rPh sb="3" eb="5">
      <t>カイスウ</t>
    </rPh>
    <rPh sb="6" eb="7">
      <t>ノ</t>
    </rPh>
    <rPh sb="8" eb="10">
      <t>ケイサン</t>
    </rPh>
    <rPh sb="10" eb="12">
      <t>キカン</t>
    </rPh>
    <phoneticPr fontId="3"/>
  </si>
  <si>
    <t>　１経営体当たり</t>
    <phoneticPr fontId="3"/>
  </si>
  <si>
    <t>単位：回、年、％</t>
    <rPh sb="0" eb="2">
      <t>タンイ</t>
    </rPh>
    <rPh sb="3" eb="4">
      <t>カイ</t>
    </rPh>
    <rPh sb="5" eb="6">
      <t>ネン</t>
    </rPh>
    <phoneticPr fontId="3"/>
  </si>
  <si>
    <t>黒毛</t>
    <rPh sb="0" eb="2">
      <t>クロゲ</t>
    </rPh>
    <phoneticPr fontId="3"/>
  </si>
  <si>
    <t>褐毛</t>
    <rPh sb="0" eb="1">
      <t>カツ</t>
    </rPh>
    <rPh sb="1" eb="2">
      <t>ケ</t>
    </rPh>
    <phoneticPr fontId="3"/>
  </si>
  <si>
    <t>販売回数</t>
    <rPh sb="0" eb="2">
      <t>ハンバイ</t>
    </rPh>
    <rPh sb="2" eb="4">
      <t>カイスウ</t>
    </rPh>
    <phoneticPr fontId="3"/>
  </si>
  <si>
    <t>日本短角</t>
    <rPh sb="0" eb="2">
      <t>ニホン</t>
    </rPh>
    <rPh sb="2" eb="3">
      <t>ミジカ</t>
    </rPh>
    <rPh sb="3" eb="4">
      <t>カク</t>
    </rPh>
    <phoneticPr fontId="3"/>
  </si>
  <si>
    <t>延べ計算期間</t>
    <rPh sb="0" eb="1">
      <t>ノ</t>
    </rPh>
    <rPh sb="2" eb="4">
      <t>ケイサン</t>
    </rPh>
    <rPh sb="4" eb="6">
      <t>キカン</t>
    </rPh>
    <phoneticPr fontId="3"/>
  </si>
  <si>
    <t>その他</t>
    <rPh sb="2" eb="3">
      <t>タ</t>
    </rPh>
    <phoneticPr fontId="3"/>
  </si>
  <si>
    <t>単位：㎏、頭、円、％</t>
    <rPh sb="0" eb="2">
      <t>タンイ</t>
    </rPh>
    <rPh sb="5" eb="6">
      <t>アタマ</t>
    </rPh>
    <rPh sb="7" eb="8">
      <t>エン</t>
    </rPh>
    <phoneticPr fontId="3"/>
  </si>
  <si>
    <t>数　　量</t>
    <rPh sb="0" eb="1">
      <t>カズ</t>
    </rPh>
    <rPh sb="3" eb="4">
      <t>リョウ</t>
    </rPh>
    <phoneticPr fontId="3"/>
  </si>
  <si>
    <t>価　　額</t>
    <rPh sb="0" eb="1">
      <t>アタイ</t>
    </rPh>
    <rPh sb="3" eb="4">
      <t>ガク</t>
    </rPh>
    <phoneticPr fontId="3"/>
  </si>
  <si>
    <t>単　　価</t>
    <rPh sb="0" eb="1">
      <t>タン</t>
    </rPh>
    <rPh sb="3" eb="4">
      <t>アタイ</t>
    </rPh>
    <phoneticPr fontId="3"/>
  </si>
  <si>
    <t>きゅう肥</t>
    <rPh sb="3" eb="4">
      <t>ヒ</t>
    </rPh>
    <phoneticPr fontId="3"/>
  </si>
  <si>
    <t>利用計</t>
    <rPh sb="0" eb="2">
      <t>リヨウ</t>
    </rPh>
    <rPh sb="2" eb="3">
      <t>ケイ</t>
    </rPh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</si>
  <si>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</si>
  <si>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その他数量</t>
    <rPh sb="2" eb="3">
      <t>タ</t>
    </rPh>
    <rPh sb="3" eb="5">
      <t>スウリョウ</t>
    </rPh>
    <phoneticPr fontId="3"/>
  </si>
  <si>
    <t>搬出量</t>
    <rPh sb="0" eb="2">
      <t>ハンシュツ</t>
    </rPh>
    <rPh sb="2" eb="3">
      <t>リョウ</t>
    </rPh>
    <phoneticPr fontId="3"/>
  </si>
  <si>
    <t>事故牛・４ヶ月未満の子牛</t>
    <rPh sb="0" eb="2">
      <t>ジコ</t>
    </rPh>
    <rPh sb="2" eb="3">
      <t>ウシ</t>
    </rPh>
    <rPh sb="6" eb="7">
      <t>ゲツ</t>
    </rPh>
    <rPh sb="7" eb="9">
      <t>ミマン</t>
    </rPh>
    <rPh sb="10" eb="12">
      <t>コウシ</t>
    </rPh>
    <phoneticPr fontId="3"/>
  </si>
  <si>
    <t>計</t>
    <rPh sb="0" eb="1">
      <t>トシハカ</t>
    </rPh>
    <phoneticPr fontId="3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</si>
  <si>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</si>
  <si>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単位：㎏、円、％</t>
    <rPh sb="0" eb="2">
      <t>タンイ</t>
    </rPh>
    <rPh sb="5" eb="6">
      <t>エン</t>
    </rPh>
    <phoneticPr fontId="3"/>
  </si>
  <si>
    <t>数　　　量</t>
    <rPh sb="0" eb="1">
      <t>カズ</t>
    </rPh>
    <rPh sb="4" eb="5">
      <t>リョウ</t>
    </rPh>
    <phoneticPr fontId="3"/>
  </si>
  <si>
    <t>価　　　額</t>
    <rPh sb="0" eb="1">
      <t>アタイ</t>
    </rPh>
    <rPh sb="4" eb="5">
      <t>ガク</t>
    </rPh>
    <phoneticPr fontId="3"/>
  </si>
  <si>
    <t>単　　　価</t>
    <rPh sb="0" eb="1">
      <t>タン</t>
    </rPh>
    <rPh sb="4" eb="5">
      <t>アタイ</t>
    </rPh>
    <phoneticPr fontId="3"/>
  </si>
  <si>
    <t>TDN換算率</t>
    <rPh sb="3" eb="6">
      <t>カンサンリツ</t>
    </rPh>
    <phoneticPr fontId="3"/>
  </si>
  <si>
    <t>TDN換算量</t>
    <rPh sb="3" eb="6">
      <t>カンサンリョウ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</si>
  <si>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</si>
  <si>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</si>
  <si>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その他の麦</t>
    <rPh sb="2" eb="3">
      <t>タ</t>
    </rPh>
    <rPh sb="4" eb="5">
      <t>ムギ</t>
    </rPh>
    <phoneticPr fontId="3"/>
  </si>
  <si>
    <t>とうもろこし</t>
    <phoneticPr fontId="3"/>
  </si>
  <si>
    <t>大豆</t>
    <rPh sb="0" eb="2">
      <t>ダイズ</t>
    </rPh>
    <phoneticPr fontId="3"/>
  </si>
  <si>
    <t>飼料用米</t>
    <rPh sb="0" eb="3">
      <t>シリョウヨウ</t>
    </rPh>
    <rPh sb="3" eb="4">
      <t>マイ</t>
    </rPh>
    <phoneticPr fontId="3"/>
  </si>
  <si>
    <t>ぬか・ふすま計</t>
    <rPh sb="6" eb="7">
      <t>ケイ</t>
    </rPh>
    <phoneticPr fontId="3"/>
  </si>
  <si>
    <t>ふすま</t>
    <phoneticPr fontId="3"/>
  </si>
  <si>
    <t>米・麦ぬか</t>
    <rPh sb="0" eb="1">
      <t>コメ</t>
    </rPh>
    <rPh sb="2" eb="3">
      <t>ムギ</t>
    </rPh>
    <phoneticPr fontId="3"/>
  </si>
  <si>
    <t>植物性かす類計</t>
    <rPh sb="0" eb="3">
      <t>ショクブツセイ</t>
    </rPh>
    <rPh sb="5" eb="6">
      <t>ルイ</t>
    </rPh>
    <rPh sb="6" eb="7">
      <t>ケイ</t>
    </rPh>
    <phoneticPr fontId="3"/>
  </si>
  <si>
    <t>大豆油かす</t>
    <rPh sb="0" eb="2">
      <t>ダイズ</t>
    </rPh>
    <rPh sb="2" eb="3">
      <t>アブラ</t>
    </rPh>
    <phoneticPr fontId="3"/>
  </si>
  <si>
    <t>ビートパルプ</t>
    <phoneticPr fontId="3"/>
  </si>
  <si>
    <t>配合飼料</t>
    <rPh sb="0" eb="2">
      <t>ハイゴウ</t>
    </rPh>
    <rPh sb="2" eb="4">
      <t>シリョウ</t>
    </rPh>
    <phoneticPr fontId="3"/>
  </si>
  <si>
    <t>ＴＭＲ</t>
    <phoneticPr fontId="3"/>
  </si>
  <si>
    <t>牛乳脱脂乳</t>
    <rPh sb="0" eb="2">
      <t>ギュウニュウ</t>
    </rPh>
    <rPh sb="2" eb="5">
      <t>ダッシニュウ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</si>
  <si>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</si>
  <si>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</si>
  <si>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稲わら</t>
    <rPh sb="0" eb="1">
      <t>イネ</t>
    </rPh>
    <phoneticPr fontId="3"/>
  </si>
  <si>
    <t>生牧草</t>
    <rPh sb="0" eb="1">
      <t>ナマ</t>
    </rPh>
    <rPh sb="1" eb="3">
      <t>ボクソウ</t>
    </rPh>
    <phoneticPr fontId="3"/>
  </si>
  <si>
    <t>乾牧草計</t>
    <rPh sb="0" eb="1">
      <t>イヌイ</t>
    </rPh>
    <rPh sb="1" eb="3">
      <t>ボクソウ</t>
    </rPh>
    <rPh sb="3" eb="4">
      <t>ケイ</t>
    </rPh>
    <phoneticPr fontId="3"/>
  </si>
  <si>
    <t>ヘイキューブ</t>
    <phoneticPr fontId="3"/>
  </si>
  <si>
    <t>サイレージ計</t>
    <rPh sb="5" eb="6">
      <t>ケイ</t>
    </rPh>
    <phoneticPr fontId="3"/>
  </si>
  <si>
    <t>いね科</t>
    <rPh sb="2" eb="3">
      <t>カ</t>
    </rPh>
    <phoneticPr fontId="3"/>
  </si>
  <si>
    <t>稲発酵粗飼料</t>
    <rPh sb="0" eb="1">
      <t>イネ</t>
    </rPh>
    <rPh sb="1" eb="3">
      <t>ハッコウ</t>
    </rPh>
    <rPh sb="3" eb="4">
      <t>ソ</t>
    </rPh>
    <rPh sb="4" eb="6">
      <t>シリョウ</t>
    </rPh>
    <phoneticPr fontId="3"/>
  </si>
  <si>
    <t>合計</t>
    <rPh sb="0" eb="2">
      <t>ゴウケイ</t>
    </rPh>
    <phoneticPr fontId="3"/>
  </si>
  <si>
    <t>【流通飼料（自給飼料）の給与量と価額】</t>
    <rPh sb="1" eb="3">
      <t>リュウツウ</t>
    </rPh>
    <rPh sb="3" eb="5">
      <t>シリョウ</t>
    </rPh>
    <rPh sb="6" eb="8">
      <t>ジキュウ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</si>
  <si>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TDN
換算率</t>
    <rPh sb="4" eb="7">
      <t>カンサンリツ</t>
    </rPh>
    <phoneticPr fontId="3"/>
  </si>
  <si>
    <t>TDN換算給与量</t>
    <rPh sb="3" eb="5">
      <t>カンサン</t>
    </rPh>
    <rPh sb="5" eb="7">
      <t>キュウヨ</t>
    </rPh>
    <rPh sb="7" eb="8">
      <t>リョウ</t>
    </rPh>
    <phoneticPr fontId="3"/>
  </si>
  <si>
    <t>【自給牧草の給与量】</t>
    <rPh sb="1" eb="3">
      <t>ジキュウ</t>
    </rPh>
    <rPh sb="3" eb="5">
      <t>ボクソウ</t>
    </rPh>
    <rPh sb="6" eb="8">
      <t>キュウヨ</t>
    </rPh>
    <rPh sb="8" eb="9">
      <t>リョウ</t>
    </rPh>
    <phoneticPr fontId="3"/>
  </si>
  <si>
    <t>生　牧　草</t>
    <rPh sb="0" eb="1">
      <t>ナマ</t>
    </rPh>
    <rPh sb="2" eb="3">
      <t>マキ</t>
    </rPh>
    <rPh sb="4" eb="5">
      <t>クサ</t>
    </rPh>
    <phoneticPr fontId="3"/>
  </si>
  <si>
    <t>乾　牧　草</t>
    <rPh sb="0" eb="1">
      <t>カン</t>
    </rPh>
    <rPh sb="2" eb="3">
      <t>マキ</t>
    </rPh>
    <rPh sb="4" eb="5">
      <t>クサ</t>
    </rPh>
    <phoneticPr fontId="3"/>
  </si>
  <si>
    <t>サイレージ</t>
    <phoneticPr fontId="3"/>
  </si>
  <si>
    <t>いね科計</t>
    <rPh sb="2" eb="3">
      <t>カ</t>
    </rPh>
    <rPh sb="3" eb="4">
      <t>ケイ</t>
    </rPh>
    <phoneticPr fontId="3"/>
  </si>
  <si>
    <t>デントコーン</t>
    <phoneticPr fontId="3"/>
  </si>
  <si>
    <t>イタリアンライグラス</t>
    <phoneticPr fontId="3"/>
  </si>
  <si>
    <t>ソルゴー</t>
    <phoneticPr fontId="3"/>
  </si>
  <si>
    <t>稲発酵粗飼料</t>
    <rPh sb="0" eb="1">
      <t>イネ</t>
    </rPh>
    <rPh sb="1" eb="3">
      <t>ハッコウ</t>
    </rPh>
    <rPh sb="3" eb="6">
      <t>ソシリョウ</t>
    </rPh>
    <phoneticPr fontId="3"/>
  </si>
  <si>
    <t>まぜまき計</t>
    <rPh sb="4" eb="5">
      <t>ケイ</t>
    </rPh>
    <phoneticPr fontId="3"/>
  </si>
  <si>
    <t>いね科主</t>
    <rPh sb="2" eb="3">
      <t>カ</t>
    </rPh>
    <rPh sb="3" eb="4">
      <t>シュ</t>
    </rPh>
    <phoneticPr fontId="3"/>
  </si>
  <si>
    <t>穀類</t>
    <rPh sb="0" eb="2">
      <t>コクルイ</t>
    </rPh>
    <phoneticPr fontId="3"/>
  </si>
  <si>
    <t>野生草</t>
    <rPh sb="0" eb="2">
      <t>ヤセイ</t>
    </rPh>
    <rPh sb="2" eb="3">
      <t>クサ</t>
    </rPh>
    <phoneticPr fontId="3"/>
  </si>
  <si>
    <t>野乾草</t>
    <rPh sb="0" eb="1">
      <t>ノ</t>
    </rPh>
    <rPh sb="1" eb="3">
      <t>ホシクサ</t>
    </rPh>
    <phoneticPr fontId="3"/>
  </si>
  <si>
    <t>放牧場費（時間）</t>
    <rPh sb="0" eb="2">
      <t>ホウボク</t>
    </rPh>
    <rPh sb="2" eb="3">
      <t>バ</t>
    </rPh>
    <rPh sb="3" eb="4">
      <t>ヒ</t>
    </rPh>
    <rPh sb="5" eb="7">
      <t>ジカン</t>
    </rPh>
    <phoneticPr fontId="3"/>
  </si>
  <si>
    <t>生 牧 草</t>
    <rPh sb="0" eb="1">
      <t>ナマ</t>
    </rPh>
    <rPh sb="2" eb="3">
      <t>マキ</t>
    </rPh>
    <rPh sb="4" eb="5">
      <t>クサ</t>
    </rPh>
    <phoneticPr fontId="3"/>
  </si>
  <si>
    <t>乾 牧 草</t>
    <rPh sb="0" eb="1">
      <t>イヌイ</t>
    </rPh>
    <rPh sb="2" eb="3">
      <t>マキ</t>
    </rPh>
    <rPh sb="4" eb="5">
      <t>クサ</t>
    </rPh>
    <phoneticPr fontId="3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</si>
  <si>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3"/>
  </si>
  <si>
    <t>（建物等）</t>
    <rPh sb="1" eb="3">
      <t>タテモノ</t>
    </rPh>
    <rPh sb="3" eb="4">
      <t>トウ</t>
    </rPh>
    <phoneticPr fontId="3"/>
  </si>
  <si>
    <t>（農機具）</t>
    <rPh sb="1" eb="4">
      <t>ノウキグ</t>
    </rPh>
    <phoneticPr fontId="3"/>
  </si>
  <si>
    <t>単位：台、円、％</t>
    <rPh sb="0" eb="2">
      <t>タンイ</t>
    </rPh>
    <rPh sb="3" eb="4">
      <t>ダイ</t>
    </rPh>
    <rPh sb="5" eb="6">
      <t>エン</t>
    </rPh>
    <phoneticPr fontId="3"/>
  </si>
  <si>
    <t>所有状況</t>
    <rPh sb="0" eb="2">
      <t>ショユウ</t>
    </rPh>
    <rPh sb="2" eb="4">
      <t>ジョウキョウ</t>
    </rPh>
    <phoneticPr fontId="3"/>
  </si>
  <si>
    <t>償　却　費</t>
    <rPh sb="0" eb="1">
      <t>ショウ</t>
    </rPh>
    <rPh sb="2" eb="3">
      <t>キャク</t>
    </rPh>
    <rPh sb="4" eb="5">
      <t>ヒ</t>
    </rPh>
    <phoneticPr fontId="3"/>
  </si>
  <si>
    <t>所有台数</t>
    <rPh sb="0" eb="2">
      <t>ショユウ</t>
    </rPh>
    <rPh sb="2" eb="4">
      <t>ダイスウ</t>
    </rPh>
    <phoneticPr fontId="3"/>
  </si>
  <si>
    <t>単位</t>
    <rPh sb="0" eb="2">
      <t>タンイ</t>
    </rPh>
    <phoneticPr fontId="3"/>
  </si>
  <si>
    <t>バキュームカー</t>
    <phoneticPr fontId="3"/>
  </si>
  <si>
    <t>畜舎</t>
    <rPh sb="0" eb="2">
      <t>チクシャ</t>
    </rPh>
    <phoneticPr fontId="3"/>
  </si>
  <si>
    <t>㎡</t>
    <phoneticPr fontId="3"/>
  </si>
  <si>
    <t>マニュアスプレッダー</t>
    <phoneticPr fontId="3"/>
  </si>
  <si>
    <t>納屋・倉庫</t>
    <rPh sb="0" eb="2">
      <t>ナヤ</t>
    </rPh>
    <rPh sb="3" eb="5">
      <t>ソウコ</t>
    </rPh>
    <phoneticPr fontId="3"/>
  </si>
  <si>
    <t>ふん尿搬出機</t>
    <rPh sb="2" eb="3">
      <t>ニョウ</t>
    </rPh>
    <rPh sb="3" eb="5">
      <t>ハンシュツ</t>
    </rPh>
    <rPh sb="5" eb="6">
      <t>キ</t>
    </rPh>
    <phoneticPr fontId="3"/>
  </si>
  <si>
    <t>たい肥舎</t>
    <rPh sb="2" eb="3">
      <t>ヒ</t>
    </rPh>
    <rPh sb="3" eb="4">
      <t>シャ</t>
    </rPh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</si>
  <si>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</si>
  <si>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3"/>
  </si>
  <si>
    <t>基</t>
    <rPh sb="0" eb="1">
      <t>キ</t>
    </rPh>
    <phoneticPr fontId="3"/>
  </si>
  <si>
    <t>動力噴霧機</t>
    <rPh sb="0" eb="2">
      <t>ドウリョク</t>
    </rPh>
    <rPh sb="2" eb="4">
      <t>フンム</t>
    </rPh>
    <rPh sb="4" eb="5">
      <t>キ</t>
    </rPh>
    <phoneticPr fontId="3"/>
  </si>
  <si>
    <t>トラクター</t>
    <phoneticPr fontId="3"/>
  </si>
  <si>
    <t>飼料用タンク</t>
    <rPh sb="0" eb="3">
      <t>シリョウヨウ</t>
    </rPh>
    <phoneticPr fontId="3"/>
  </si>
  <si>
    <t>カッター</t>
    <phoneticPr fontId="3"/>
  </si>
  <si>
    <t>－</t>
    <phoneticPr fontId="3"/>
  </si>
  <si>
    <t>飼料粉砕機</t>
    <rPh sb="0" eb="2">
      <t>シリョウ</t>
    </rPh>
    <rPh sb="2" eb="5">
      <t>フンサイキ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</si>
  <si>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</si>
  <si>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3"/>
  </si>
  <si>
    <t>自動給餌機</t>
    <rPh sb="0" eb="2">
      <t>ジドウ</t>
    </rPh>
    <rPh sb="2" eb="4">
      <t>キュウジ</t>
    </rPh>
    <rPh sb="4" eb="5">
      <t>キ</t>
    </rPh>
    <phoneticPr fontId="3"/>
  </si>
  <si>
    <t>自動給水機</t>
    <rPh sb="0" eb="2">
      <t>ジドウ</t>
    </rPh>
    <rPh sb="2" eb="5">
      <t>キュウスイキ</t>
    </rPh>
    <phoneticPr fontId="3"/>
  </si>
  <si>
    <t>（自動車）</t>
    <rPh sb="1" eb="4">
      <t>ジドウシャ</t>
    </rPh>
    <phoneticPr fontId="3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</si>
  <si>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3"/>
  </si>
  <si>
    <t>貨物自動車</t>
    <rPh sb="0" eb="2">
      <t>カモツ</t>
    </rPh>
    <rPh sb="2" eb="5">
      <t>ジドウシャ</t>
    </rPh>
    <phoneticPr fontId="3"/>
  </si>
  <si>
    <t>【処分差損失】</t>
    <rPh sb="1" eb="3">
      <t>ショブン</t>
    </rPh>
    <rPh sb="3" eb="4">
      <t>サ</t>
    </rPh>
    <rPh sb="4" eb="6">
      <t>ソンシツ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</si>
  <si>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</si>
  <si>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【作業別家族労働時間及び家族労働費】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phoneticPr fontId="3"/>
  </si>
  <si>
    <t>単位：時間、円、％</t>
    <rPh sb="0" eb="2">
      <t>タンイ</t>
    </rPh>
    <rPh sb="3" eb="5">
      <t>ジカン</t>
    </rPh>
    <rPh sb="6" eb="7">
      <t>エン</t>
    </rPh>
    <phoneticPr fontId="3"/>
  </si>
  <si>
    <t>家族（男）</t>
    <rPh sb="0" eb="2">
      <t>カゾク</t>
    </rPh>
    <rPh sb="3" eb="4">
      <t>オトコ</t>
    </rPh>
    <phoneticPr fontId="3"/>
  </si>
  <si>
    <t>家族（女）</t>
    <rPh sb="0" eb="2">
      <t>カゾク</t>
    </rPh>
    <rPh sb="3" eb="4">
      <t>オンナ</t>
    </rPh>
    <phoneticPr fontId="3"/>
  </si>
  <si>
    <t>家族（計）</t>
    <rPh sb="0" eb="2">
      <t>カゾク</t>
    </rPh>
    <rPh sb="3" eb="4">
      <t>ケイ</t>
    </rPh>
    <phoneticPr fontId="3"/>
  </si>
  <si>
    <t>雇用（男）</t>
    <rPh sb="0" eb="2">
      <t>コヨウ</t>
    </rPh>
    <rPh sb="3" eb="4">
      <t>オトコ</t>
    </rPh>
    <phoneticPr fontId="3"/>
  </si>
  <si>
    <t>雇用（女）</t>
    <rPh sb="0" eb="2">
      <t>コヨウ</t>
    </rPh>
    <rPh sb="3" eb="4">
      <t>オンナ</t>
    </rPh>
    <phoneticPr fontId="3"/>
  </si>
  <si>
    <t>雇用（計）</t>
    <rPh sb="0" eb="2">
      <t>コヨウ</t>
    </rPh>
    <rPh sb="3" eb="4">
      <t>ケイ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</si>
  <si>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</si>
  <si>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</si>
  <si>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</si>
  <si>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</si>
  <si>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3"/>
  </si>
  <si>
    <t>労働時間合計</t>
    <rPh sb="0" eb="2">
      <t>ロウドウ</t>
    </rPh>
    <rPh sb="2" eb="4">
      <t>ジカン</t>
    </rPh>
    <rPh sb="4" eb="6">
      <t>ゴウケイ</t>
    </rPh>
    <phoneticPr fontId="3"/>
  </si>
  <si>
    <t>自給牧草労働費</t>
    <rPh sb="0" eb="2">
      <t>ジキュウ</t>
    </rPh>
    <rPh sb="2" eb="4">
      <t>ボクソウ</t>
    </rPh>
    <rPh sb="4" eb="7">
      <t>ロウドウヒ</t>
    </rPh>
    <phoneticPr fontId="3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</si>
  <si>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3"/>
  </si>
  <si>
    <t>【作業別家族労働時間及び家族労働費（続き）】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rPh sb="18" eb="19">
      <t>ツヅ</t>
    </rPh>
    <phoneticPr fontId="3"/>
  </si>
  <si>
    <t>計算対象畜負担
労働時間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2">
      <t>ジカン</t>
    </rPh>
    <phoneticPr fontId="3"/>
  </si>
  <si>
    <t>65歳未満</t>
    <rPh sb="2" eb="3">
      <t>サイ</t>
    </rPh>
    <rPh sb="3" eb="5">
      <t>ミマン</t>
    </rPh>
    <phoneticPr fontId="3"/>
  </si>
  <si>
    <t>65 ～ 70</t>
    <phoneticPr fontId="3"/>
  </si>
  <si>
    <t>70 ～ 75</t>
    <phoneticPr fontId="3"/>
  </si>
  <si>
    <t>75歳以上</t>
    <rPh sb="2" eb="3">
      <t>サイ</t>
    </rPh>
    <rPh sb="3" eb="5">
      <t>イジョウ</t>
    </rPh>
    <phoneticPr fontId="3"/>
  </si>
  <si>
    <t>労賃単価</t>
    <rPh sb="0" eb="2">
      <t>ロウチン</t>
    </rPh>
    <rPh sb="2" eb="4">
      <t>タンカ</t>
    </rPh>
    <phoneticPr fontId="3"/>
  </si>
  <si>
    <t>計算対象畜負担
労働評価額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3">
      <t>ヒョウカガク</t>
    </rPh>
    <phoneticPr fontId="3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</si>
  <si>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3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</si>
  <si>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3"/>
  </si>
  <si>
    <t>【自給牧草の生産に要した費用】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phoneticPr fontId="3"/>
  </si>
  <si>
    <t>物件税</t>
    <rPh sb="0" eb="2">
      <t>ブッケン</t>
    </rPh>
    <rPh sb="2" eb="3">
      <t>ゼイ</t>
    </rPh>
    <phoneticPr fontId="3"/>
  </si>
  <si>
    <t>光熱動力費</t>
    <rPh sb="0" eb="2">
      <t>コウネツ</t>
    </rPh>
    <rPh sb="2" eb="5">
      <t>ドウリョクヒ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</si>
  <si>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</si>
  <si>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その他の諸材料費</t>
    <rPh sb="2" eb="3">
      <t>タ</t>
    </rPh>
    <rPh sb="4" eb="5">
      <t>ショ</t>
    </rPh>
    <rPh sb="5" eb="8">
      <t>ザイリョウヒ</t>
    </rPh>
    <phoneticPr fontId="3"/>
  </si>
  <si>
    <t>【借入金】</t>
    <rPh sb="1" eb="4">
      <t>カリイレキン</t>
    </rPh>
    <phoneticPr fontId="3"/>
  </si>
  <si>
    <t>調査開始未償還残高</t>
    <rPh sb="0" eb="2">
      <t>チョウサ</t>
    </rPh>
    <rPh sb="2" eb="4">
      <t>カイシ</t>
    </rPh>
    <rPh sb="4" eb="7">
      <t>ミショウカン</t>
    </rPh>
    <rPh sb="7" eb="9">
      <t>ザンダカ</t>
    </rPh>
    <phoneticPr fontId="3"/>
  </si>
  <si>
    <t>借入金</t>
    <rPh sb="0" eb="3">
      <t>カリイレキン</t>
    </rPh>
    <phoneticPr fontId="3"/>
  </si>
  <si>
    <t>単位：ａ、円、％</t>
    <rPh sb="0" eb="2">
      <t>タンイ</t>
    </rPh>
    <rPh sb="5" eb="6">
      <t>エン</t>
    </rPh>
    <phoneticPr fontId="3"/>
  </si>
  <si>
    <t>【出荷に要した費用】</t>
    <rPh sb="1" eb="3">
      <t>シュッカ</t>
    </rPh>
    <rPh sb="4" eb="5">
      <t>ヨウ</t>
    </rPh>
    <rPh sb="7" eb="9">
      <t>ヒヨウ</t>
    </rPh>
    <phoneticPr fontId="3"/>
  </si>
  <si>
    <t>建物敷地</t>
    <rPh sb="0" eb="2">
      <t>タテモノ</t>
    </rPh>
    <rPh sb="2" eb="4">
      <t>シキチ</t>
    </rPh>
    <phoneticPr fontId="3"/>
  </si>
  <si>
    <t>運　動　場</t>
    <rPh sb="0" eb="1">
      <t>ウン</t>
    </rPh>
    <rPh sb="2" eb="3">
      <t>ドウ</t>
    </rPh>
    <rPh sb="4" eb="5">
      <t>バ</t>
    </rPh>
    <phoneticPr fontId="3"/>
  </si>
  <si>
    <t>牧草栽培</t>
    <rPh sb="0" eb="2">
      <t>ボクソウ</t>
    </rPh>
    <rPh sb="2" eb="4">
      <t>サイバイ</t>
    </rPh>
    <phoneticPr fontId="3"/>
  </si>
  <si>
    <t>材料費</t>
    <rPh sb="0" eb="3">
      <t>ザイリョウヒ</t>
    </rPh>
    <phoneticPr fontId="3"/>
  </si>
  <si>
    <t>所有地</t>
    <rPh sb="0" eb="3">
      <t>ショユウチ</t>
    </rPh>
    <phoneticPr fontId="3"/>
  </si>
  <si>
    <t>使用地面積</t>
    <rPh sb="0" eb="2">
      <t>シヨウ</t>
    </rPh>
    <rPh sb="2" eb="3">
      <t>チ</t>
    </rPh>
    <rPh sb="3" eb="5">
      <t>メンセキ</t>
    </rPh>
    <phoneticPr fontId="3"/>
  </si>
  <si>
    <t>料金</t>
    <rPh sb="0" eb="2">
      <t>リョウキン</t>
    </rPh>
    <phoneticPr fontId="3"/>
  </si>
  <si>
    <t>10ａ当たり地代</t>
    <rPh sb="3" eb="4">
      <t>ア</t>
    </rPh>
    <rPh sb="6" eb="8">
      <t>チダイ</t>
    </rPh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</si>
  <si>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</si>
  <si>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借入地</t>
    <rPh sb="0" eb="2">
      <t>カリイレ</t>
    </rPh>
    <rPh sb="2" eb="3">
      <t>チ</t>
    </rPh>
    <phoneticPr fontId="3"/>
  </si>
  <si>
    <t>放　牧　地</t>
    <rPh sb="0" eb="1">
      <t>ホウ</t>
    </rPh>
    <rPh sb="2" eb="3">
      <t>マキ</t>
    </rPh>
    <rPh sb="4" eb="5">
      <t>チ</t>
    </rPh>
    <phoneticPr fontId="3"/>
  </si>
  <si>
    <t>採　草　地</t>
    <rPh sb="0" eb="1">
      <t>サイ</t>
    </rPh>
    <rPh sb="2" eb="3">
      <t>クサ</t>
    </rPh>
    <rPh sb="4" eb="5">
      <t>チ</t>
    </rPh>
    <phoneticPr fontId="3"/>
  </si>
  <si>
    <t>ﾌﾟﾗｽﾁｯｸ利用乾燥施設</t>
    <rPh sb="7" eb="9">
      <t>リヨウ</t>
    </rPh>
    <rPh sb="9" eb="11">
      <t>カンソウ</t>
    </rPh>
    <rPh sb="11" eb="13">
      <t>シセツ</t>
    </rPh>
    <phoneticPr fontId="3"/>
  </si>
  <si>
    <t>【副産物】</t>
    <rPh sb="1" eb="2">
      <t>フク</t>
    </rPh>
    <rPh sb="2" eb="3">
      <t>サン</t>
    </rPh>
    <rPh sb="3" eb="4">
      <t>ブツ</t>
    </rPh>
    <phoneticPr fontId="3"/>
  </si>
  <si>
    <t>注：事故牛・４ヶ月未満の子牛は1経営体当たり</t>
    <rPh sb="0" eb="1">
      <t>チュウ</t>
    </rPh>
    <rPh sb="2" eb="4">
      <t>ジコ</t>
    </rPh>
    <rPh sb="4" eb="5">
      <t>ウシ</t>
    </rPh>
    <rPh sb="8" eb="9">
      <t>ゲツ</t>
    </rPh>
    <rPh sb="9" eb="11">
      <t>ミマン</t>
    </rPh>
    <rPh sb="12" eb="14">
      <t>コウシ</t>
    </rPh>
    <rPh sb="16" eb="19">
      <t>ケイエイタイ</t>
    </rPh>
    <rPh sb="19" eb="20">
      <t>ア</t>
    </rPh>
    <phoneticPr fontId="3"/>
  </si>
  <si>
    <t>乳用種</t>
    <rPh sb="0" eb="2">
      <t>ニュウヨウ</t>
    </rPh>
    <rPh sb="2" eb="3">
      <t>シュ</t>
    </rPh>
    <phoneticPr fontId="3"/>
  </si>
  <si>
    <t>本年</t>
    <rPh sb="0" eb="1">
      <t>ホンネン</t>
    </rPh>
    <phoneticPr fontId="3"/>
  </si>
  <si>
    <t>前年</t>
    <rPh sb="0" eb="2">
      <t>ゼンネン</t>
    </rPh>
    <phoneticPr fontId="2"/>
  </si>
  <si>
    <t>前年</t>
    <rPh sb="0" eb="2">
      <t>ゼンネン</t>
    </rPh>
    <phoneticPr fontId="2"/>
  </si>
  <si>
    <t>【地代】１経営体当たり</t>
    <rPh sb="1" eb="3">
      <t>チダイ</t>
    </rPh>
    <rPh sb="5" eb="8">
      <t>ケイエイタイ</t>
    </rPh>
    <rPh sb="8" eb="9">
      <t>ア</t>
    </rPh>
    <phoneticPr fontId="3"/>
  </si>
  <si>
    <t>注：対象畜負担地代は１頭当たり</t>
    <rPh sb="0" eb="1">
      <t>チュウ</t>
    </rPh>
    <rPh sb="2" eb="4">
      <t>タイショウ</t>
    </rPh>
    <rPh sb="4" eb="5">
      <t>チク</t>
    </rPh>
    <rPh sb="5" eb="7">
      <t>フタン</t>
    </rPh>
    <rPh sb="7" eb="9">
      <t>チダイ</t>
    </rPh>
    <rPh sb="11" eb="12">
      <t>トウ</t>
    </rPh>
    <rPh sb="12" eb="13">
      <t>ア</t>
    </rPh>
    <rPh sb="13" eb="14">
      <t>タイア</t>
    </rPh>
    <phoneticPr fontId="2"/>
  </si>
  <si>
    <t>【年齢階層別家族労働時間及び労働評価額】</t>
    <rPh sb="1" eb="3">
      <t>ネンレイ</t>
    </rPh>
    <rPh sb="3" eb="6">
      <t>カイソウベツ</t>
    </rPh>
    <rPh sb="6" eb="8">
      <t>カゾク</t>
    </rPh>
    <rPh sb="8" eb="10">
      <t>ロウドウ</t>
    </rPh>
    <rPh sb="10" eb="12">
      <t>ジカン</t>
    </rPh>
    <rPh sb="12" eb="13">
      <t>オヨ</t>
    </rPh>
    <rPh sb="14" eb="16">
      <t>ロウドウ</t>
    </rPh>
    <rPh sb="16" eb="19">
      <t>ヒョウカガク</t>
    </rPh>
    <phoneticPr fontId="3"/>
  </si>
  <si>
    <t>もと畜費</t>
    <rPh sb="2" eb="3">
      <t>チク</t>
    </rPh>
    <rPh sb="3" eb="4">
      <t>ヒ</t>
    </rPh>
    <phoneticPr fontId="3"/>
  </si>
  <si>
    <t>【ＴＤＮ換算飼料給与量（育成牛・肥育牛１頭当たり）】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イクセイ</t>
    </rPh>
    <rPh sb="14" eb="15">
      <t>ギュウ</t>
    </rPh>
    <rPh sb="16" eb="19">
      <t>ヒイクギュウ</t>
    </rPh>
    <phoneticPr fontId="3"/>
  </si>
  <si>
    <t>濃厚飼料</t>
    <rPh sb="0" eb="2">
      <t>ノウコウ</t>
    </rPh>
    <rPh sb="2" eb="4">
      <t>シリョウ</t>
    </rPh>
    <phoneticPr fontId="3"/>
  </si>
  <si>
    <t>粗飼料</t>
    <rPh sb="0" eb="3">
      <t>ソシリョウ</t>
    </rPh>
    <phoneticPr fontId="3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</si>
  <si>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</si>
  <si>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</si>
  <si>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</si>
  <si>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</si>
  <si>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都道府県等</t>
    <rPh sb="4" eb="5">
      <t>ナド</t>
    </rPh>
    <phoneticPr fontId="2"/>
  </si>
  <si>
    <t>コード</t>
    <phoneticPr fontId="35"/>
  </si>
  <si>
    <t>規模階層</t>
    <phoneticPr fontId="35"/>
  </si>
  <si>
    <t>全国</t>
    <rPh sb="0" eb="2">
      <t>ゼンコク</t>
    </rPh>
    <phoneticPr fontId="35"/>
  </si>
  <si>
    <t>都府県平均</t>
    <rPh sb="0" eb="3">
      <t>トフケン</t>
    </rPh>
    <rPh sb="3" eb="5">
      <t>ヘイキン</t>
    </rPh>
    <phoneticPr fontId="35"/>
  </si>
  <si>
    <t>北海道</t>
    <rPh sb="0" eb="3">
      <t>ホッカイドウ</t>
    </rPh>
    <phoneticPr fontId="35"/>
  </si>
  <si>
    <t>東北</t>
    <rPh sb="0" eb="2">
      <t>トウホク</t>
    </rPh>
    <phoneticPr fontId="35"/>
  </si>
  <si>
    <t>北陸</t>
    <rPh sb="0" eb="2">
      <t>ホクリク</t>
    </rPh>
    <phoneticPr fontId="35"/>
  </si>
  <si>
    <t>関東・東山</t>
    <rPh sb="0" eb="2">
      <t>カントウ</t>
    </rPh>
    <rPh sb="3" eb="5">
      <t>ヒガシヤマ</t>
    </rPh>
    <phoneticPr fontId="35"/>
  </si>
  <si>
    <t>東海</t>
    <rPh sb="0" eb="2">
      <t>トウカイ</t>
    </rPh>
    <phoneticPr fontId="35"/>
  </si>
  <si>
    <t>近畿</t>
    <rPh sb="0" eb="2">
      <t>キンキ</t>
    </rPh>
    <phoneticPr fontId="35"/>
  </si>
  <si>
    <t>コード</t>
    <phoneticPr fontId="35"/>
  </si>
  <si>
    <t>中国</t>
    <rPh sb="0" eb="2">
      <t>チュウゴク</t>
    </rPh>
    <phoneticPr fontId="35"/>
  </si>
  <si>
    <t>四国</t>
    <rPh sb="0" eb="2">
      <t>シコク</t>
    </rPh>
    <phoneticPr fontId="35"/>
  </si>
  <si>
    <t>九州</t>
    <rPh sb="0" eb="2">
      <t>キュウシュウ</t>
    </rPh>
    <phoneticPr fontId="35"/>
  </si>
  <si>
    <t>沖縄</t>
    <rPh sb="0" eb="2">
      <t>オキナワ</t>
    </rPh>
    <phoneticPr fontId="35"/>
  </si>
  <si>
    <t>北関東</t>
    <rPh sb="0" eb="1">
      <t>キタ</t>
    </rPh>
    <rPh sb="1" eb="3">
      <t>カントウ</t>
    </rPh>
    <phoneticPr fontId="35"/>
  </si>
  <si>
    <t>南関東</t>
    <rPh sb="0" eb="1">
      <t>ミナミ</t>
    </rPh>
    <rPh sb="1" eb="3">
      <t>カントウ</t>
    </rPh>
    <phoneticPr fontId="35"/>
  </si>
  <si>
    <t>東山</t>
    <rPh sb="0" eb="2">
      <t>ヒガシヤマ</t>
    </rPh>
    <phoneticPr fontId="35"/>
  </si>
  <si>
    <t>北東北</t>
    <rPh sb="0" eb="1">
      <t>キタ</t>
    </rPh>
    <rPh sb="1" eb="3">
      <t>トウホク</t>
    </rPh>
    <phoneticPr fontId="35"/>
  </si>
  <si>
    <t>南東北</t>
    <rPh sb="0" eb="1">
      <t>ミナミ</t>
    </rPh>
    <rPh sb="1" eb="3">
      <t>トウホク</t>
    </rPh>
    <phoneticPr fontId="35"/>
  </si>
  <si>
    <t>山陰</t>
    <rPh sb="0" eb="2">
      <t>サンイン</t>
    </rPh>
    <phoneticPr fontId="35"/>
  </si>
  <si>
    <t>山陽</t>
    <rPh sb="0" eb="2">
      <t>サンヨウ</t>
    </rPh>
    <phoneticPr fontId="35"/>
  </si>
  <si>
    <t>北九州</t>
    <rPh sb="0" eb="3">
      <t>キタキュウシュウ</t>
    </rPh>
    <phoneticPr fontId="35"/>
  </si>
  <si>
    <t>南九州</t>
    <rPh sb="0" eb="1">
      <t>ミナミ</t>
    </rPh>
    <rPh sb="1" eb="3">
      <t>キュウシュウ</t>
    </rPh>
    <phoneticPr fontId="35"/>
  </si>
  <si>
    <t>関東農政局</t>
    <rPh sb="0" eb="2">
      <t>カントウ</t>
    </rPh>
    <rPh sb="2" eb="5">
      <t>ノウセイキョク</t>
    </rPh>
    <phoneticPr fontId="35"/>
  </si>
  <si>
    <t>東海農政局</t>
    <rPh sb="0" eb="2">
      <t>トウカイ</t>
    </rPh>
    <rPh sb="2" eb="5">
      <t>ノウセイキョク</t>
    </rPh>
    <phoneticPr fontId="35"/>
  </si>
  <si>
    <t>中国四国局</t>
    <rPh sb="0" eb="2">
      <t>チュウゴク</t>
    </rPh>
    <rPh sb="2" eb="4">
      <t>シコク</t>
    </rPh>
    <rPh sb="4" eb="5">
      <t>キョク</t>
    </rPh>
    <phoneticPr fontId="35"/>
  </si>
  <si>
    <t>青森</t>
    <rPh sb="0" eb="2">
      <t>アオモリ</t>
    </rPh>
    <phoneticPr fontId="35"/>
  </si>
  <si>
    <t>岩手</t>
    <rPh sb="0" eb="2">
      <t>イワテ</t>
    </rPh>
    <phoneticPr fontId="35"/>
  </si>
  <si>
    <t>宮城</t>
    <rPh sb="0" eb="2">
      <t>ミヤギ</t>
    </rPh>
    <phoneticPr fontId="35"/>
  </si>
  <si>
    <t>秋田</t>
    <rPh sb="0" eb="2">
      <t>アキタ</t>
    </rPh>
    <phoneticPr fontId="35"/>
  </si>
  <si>
    <t>山形</t>
    <rPh sb="0" eb="2">
      <t>ヤマガタ</t>
    </rPh>
    <phoneticPr fontId="35"/>
  </si>
  <si>
    <t>福島</t>
    <rPh sb="0" eb="2">
      <t>フクシマ</t>
    </rPh>
    <phoneticPr fontId="35"/>
  </si>
  <si>
    <t>茨城</t>
    <rPh sb="0" eb="2">
      <t>イバラキ</t>
    </rPh>
    <phoneticPr fontId="35"/>
  </si>
  <si>
    <t>栃木</t>
    <rPh sb="0" eb="2">
      <t>トチギ</t>
    </rPh>
    <phoneticPr fontId="35"/>
  </si>
  <si>
    <t>群馬</t>
    <rPh sb="0" eb="2">
      <t>グンマ</t>
    </rPh>
    <phoneticPr fontId="35"/>
  </si>
  <si>
    <t>埼玉</t>
    <rPh sb="0" eb="2">
      <t>サイタマ</t>
    </rPh>
    <phoneticPr fontId="35"/>
  </si>
  <si>
    <t>千葉</t>
    <rPh sb="0" eb="2">
      <t>チバ</t>
    </rPh>
    <phoneticPr fontId="35"/>
  </si>
  <si>
    <t>東京</t>
    <rPh sb="0" eb="2">
      <t>トウキョウ</t>
    </rPh>
    <phoneticPr fontId="35"/>
  </si>
  <si>
    <t>神奈川</t>
    <rPh sb="0" eb="3">
      <t>カナガワ</t>
    </rPh>
    <phoneticPr fontId="35"/>
  </si>
  <si>
    <t>新潟</t>
    <rPh sb="0" eb="2">
      <t>ニイガタ</t>
    </rPh>
    <phoneticPr fontId="35"/>
  </si>
  <si>
    <t>富山</t>
    <rPh sb="0" eb="2">
      <t>トヤマ</t>
    </rPh>
    <phoneticPr fontId="35"/>
  </si>
  <si>
    <t>石川</t>
    <rPh sb="0" eb="2">
      <t>イシカワ</t>
    </rPh>
    <phoneticPr fontId="35"/>
  </si>
  <si>
    <t>福井</t>
    <rPh sb="0" eb="2">
      <t>フクイ</t>
    </rPh>
    <phoneticPr fontId="35"/>
  </si>
  <si>
    <t>山梨</t>
    <rPh sb="0" eb="2">
      <t>ヤマナシ</t>
    </rPh>
    <phoneticPr fontId="35"/>
  </si>
  <si>
    <t>長野</t>
    <rPh sb="0" eb="2">
      <t>ナガノ</t>
    </rPh>
    <phoneticPr fontId="35"/>
  </si>
  <si>
    <t>岐阜</t>
    <rPh sb="0" eb="2">
      <t>ギフ</t>
    </rPh>
    <phoneticPr fontId="35"/>
  </si>
  <si>
    <t>静岡</t>
    <rPh sb="0" eb="2">
      <t>シズオカ</t>
    </rPh>
    <phoneticPr fontId="35"/>
  </si>
  <si>
    <t>愛知</t>
    <rPh sb="0" eb="2">
      <t>アイチ</t>
    </rPh>
    <phoneticPr fontId="35"/>
  </si>
  <si>
    <t>三重</t>
    <rPh sb="0" eb="2">
      <t>ミエ</t>
    </rPh>
    <phoneticPr fontId="35"/>
  </si>
  <si>
    <t>滋賀</t>
    <rPh sb="0" eb="2">
      <t>シガ</t>
    </rPh>
    <phoneticPr fontId="35"/>
  </si>
  <si>
    <t>京都</t>
    <rPh sb="0" eb="2">
      <t>キョウト</t>
    </rPh>
    <phoneticPr fontId="35"/>
  </si>
  <si>
    <t>大阪</t>
    <rPh sb="0" eb="2">
      <t>オオサカ</t>
    </rPh>
    <phoneticPr fontId="35"/>
  </si>
  <si>
    <t>兵庫</t>
    <rPh sb="0" eb="2">
      <t>ヒョウゴ</t>
    </rPh>
    <phoneticPr fontId="35"/>
  </si>
  <si>
    <t>奈良</t>
    <rPh sb="0" eb="2">
      <t>ナラ</t>
    </rPh>
    <phoneticPr fontId="35"/>
  </si>
  <si>
    <t>和歌山</t>
    <rPh sb="0" eb="3">
      <t>ワカヤマ</t>
    </rPh>
    <phoneticPr fontId="35"/>
  </si>
  <si>
    <t>鳥取</t>
    <rPh sb="0" eb="2">
      <t>トットリ</t>
    </rPh>
    <phoneticPr fontId="35"/>
  </si>
  <si>
    <t>島根</t>
    <rPh sb="0" eb="2">
      <t>シマネ</t>
    </rPh>
    <phoneticPr fontId="35"/>
  </si>
  <si>
    <t>岡山</t>
    <rPh sb="0" eb="2">
      <t>オカヤマ</t>
    </rPh>
    <phoneticPr fontId="35"/>
  </si>
  <si>
    <t>広島</t>
    <rPh sb="0" eb="2">
      <t>ヒロシマ</t>
    </rPh>
    <phoneticPr fontId="35"/>
  </si>
  <si>
    <t>山口</t>
    <rPh sb="0" eb="2">
      <t>ヤマグチ</t>
    </rPh>
    <phoneticPr fontId="35"/>
  </si>
  <si>
    <t>徳島</t>
    <rPh sb="0" eb="2">
      <t>トクシマ</t>
    </rPh>
    <phoneticPr fontId="35"/>
  </si>
  <si>
    <t>香川</t>
    <rPh sb="0" eb="2">
      <t>カガワ</t>
    </rPh>
    <phoneticPr fontId="35"/>
  </si>
  <si>
    <t>愛媛</t>
    <rPh sb="0" eb="2">
      <t>エヒメ</t>
    </rPh>
    <phoneticPr fontId="35"/>
  </si>
  <si>
    <t>高知</t>
    <rPh sb="0" eb="2">
      <t>コウチ</t>
    </rPh>
    <phoneticPr fontId="35"/>
  </si>
  <si>
    <t>福岡</t>
    <rPh sb="0" eb="2">
      <t>フクオカ</t>
    </rPh>
    <phoneticPr fontId="35"/>
  </si>
  <si>
    <t>佐賀</t>
    <rPh sb="0" eb="2">
      <t>サガ</t>
    </rPh>
    <phoneticPr fontId="35"/>
  </si>
  <si>
    <t>長崎</t>
    <rPh sb="0" eb="2">
      <t>ナガサキ</t>
    </rPh>
    <phoneticPr fontId="35"/>
  </si>
  <si>
    <t>熊本</t>
    <rPh sb="0" eb="2">
      <t>クマモト</t>
    </rPh>
    <phoneticPr fontId="35"/>
  </si>
  <si>
    <t>大分</t>
    <rPh sb="0" eb="2">
      <t>オオイタ</t>
    </rPh>
    <phoneticPr fontId="35"/>
  </si>
  <si>
    <t>宮崎</t>
    <rPh sb="0" eb="2">
      <t>ミヤザキ</t>
    </rPh>
    <phoneticPr fontId="35"/>
  </si>
  <si>
    <t>鹿児島</t>
    <rPh sb="0" eb="3">
      <t>カゴシマ</t>
    </rPh>
    <phoneticPr fontId="35"/>
  </si>
  <si>
    <t>コード</t>
    <phoneticPr fontId="35"/>
  </si>
  <si>
    <t>乳用雄育成牛、交雑種育成牛</t>
    <rPh sb="1" eb="2">
      <t>ヨウ</t>
    </rPh>
    <rPh sb="2" eb="3">
      <t>オス</t>
    </rPh>
    <phoneticPr fontId="2"/>
  </si>
  <si>
    <t>去勢若齢肥育牛、乳用雄肥育牛、交雑種肥育牛</t>
    <rPh sb="9" eb="10">
      <t>ヨウ</t>
    </rPh>
    <rPh sb="10" eb="11">
      <t>オス</t>
    </rPh>
    <phoneticPr fontId="2"/>
  </si>
  <si>
    <t>5.0-19.9</t>
    <phoneticPr fontId="35"/>
  </si>
  <si>
    <t>20.0-49.9</t>
    <phoneticPr fontId="35"/>
  </si>
  <si>
    <t>50.0-99.9</t>
    <phoneticPr fontId="35"/>
  </si>
  <si>
    <t>100.0-199.9</t>
    <phoneticPr fontId="35"/>
  </si>
  <si>
    <t>200.0-999,999.9</t>
    <phoneticPr fontId="35"/>
  </si>
  <si>
    <t>1.0-9.9</t>
    <phoneticPr fontId="35"/>
  </si>
  <si>
    <t>10.0-19.9</t>
    <phoneticPr fontId="35"/>
  </si>
  <si>
    <t>20.0-29.9</t>
    <phoneticPr fontId="35"/>
  </si>
  <si>
    <t>30.0-49.9</t>
    <phoneticPr fontId="35"/>
  </si>
  <si>
    <t>100.0-199.9</t>
    <phoneticPr fontId="35"/>
  </si>
  <si>
    <t>200.0-499.9</t>
    <phoneticPr fontId="35"/>
  </si>
  <si>
    <t>500.0-999,999.9</t>
    <phoneticPr fontId="35"/>
  </si>
  <si>
    <t>生産費区分</t>
    <rPh sb="0" eb="3">
      <t>セイサンヒ</t>
    </rPh>
    <rPh sb="3" eb="5">
      <t>クブン</t>
    </rPh>
    <phoneticPr fontId="2"/>
  </si>
  <si>
    <t>交雑種育成牛</t>
    <rPh sb="0" eb="1">
      <t>コウ</t>
    </rPh>
    <rPh sb="1" eb="3">
      <t>ザッシュ</t>
    </rPh>
    <rPh sb="3" eb="5">
      <t>イクセイ</t>
    </rPh>
    <rPh sb="5" eb="6">
      <t>ギュウ</t>
    </rPh>
    <phoneticPr fontId="35"/>
  </si>
  <si>
    <t>去勢若齢肥育牛</t>
    <rPh sb="0" eb="2">
      <t>キョセイ</t>
    </rPh>
    <rPh sb="2" eb="3">
      <t>ワカ</t>
    </rPh>
    <rPh sb="3" eb="4">
      <t>レイ</t>
    </rPh>
    <rPh sb="4" eb="6">
      <t>ヒイク</t>
    </rPh>
    <rPh sb="6" eb="7">
      <t>ギュウ</t>
    </rPh>
    <phoneticPr fontId="35"/>
  </si>
  <si>
    <t>乳用雄肥育牛</t>
    <rPh sb="0" eb="1">
      <t>ニュウ</t>
    </rPh>
    <rPh sb="1" eb="2">
      <t>ヨウ</t>
    </rPh>
    <rPh sb="2" eb="3">
      <t>オス</t>
    </rPh>
    <rPh sb="3" eb="5">
      <t>ヒイク</t>
    </rPh>
    <rPh sb="5" eb="6">
      <t>ギュウ</t>
    </rPh>
    <phoneticPr fontId="2"/>
  </si>
  <si>
    <t>乳用雄育成牛</t>
    <rPh sb="0" eb="1">
      <t>ニュウ</t>
    </rPh>
    <rPh sb="1" eb="2">
      <t>ヨウ</t>
    </rPh>
    <rPh sb="2" eb="3">
      <t>オス</t>
    </rPh>
    <rPh sb="3" eb="5">
      <t>イクセイ</t>
    </rPh>
    <rPh sb="5" eb="6">
      <t>ギュウ</t>
    </rPh>
    <phoneticPr fontId="35"/>
  </si>
  <si>
    <t>交雑種肥育牛</t>
    <rPh sb="0" eb="1">
      <t>コウ</t>
    </rPh>
    <rPh sb="1" eb="3">
      <t>ザッシュ</t>
    </rPh>
    <rPh sb="3" eb="5">
      <t>ヒイク</t>
    </rPh>
    <rPh sb="5" eb="6">
      <t>ギュウ</t>
    </rPh>
    <phoneticPr fontId="2"/>
  </si>
  <si>
    <t>年 農業経営統計調査 育成牛・肥育牛生産費統計 集計結果検討表 №１</t>
    <phoneticPr fontId="2"/>
  </si>
  <si>
    <t>年 農業経営統計調査 育成牛・肥育牛生産費統計 集計結果検討表 №２</t>
    <phoneticPr fontId="2"/>
  </si>
  <si>
    <t>年 農業経営統計調査 育成牛・肥育牛生産費統計 集計結果検討表 №３</t>
    <phoneticPr fontId="2"/>
  </si>
  <si>
    <t>年 農業経営統計調査 育成牛・肥育牛生産費統計 集計結果検討表 №４</t>
    <phoneticPr fontId="2"/>
  </si>
  <si>
    <t>年 農業経営統計調査 育成牛・肥育牛生産費統計 集計結果検討表 №５</t>
    <phoneticPr fontId="2"/>
  </si>
  <si>
    <t>年 農業経営統計調査 育成牛・肥育牛生産費統計 集計結果検討表 №６</t>
    <phoneticPr fontId="2"/>
  </si>
  <si>
    <t>年 農業経営統計調査 育成牛・肥育牛生産費統計 集計結果検討表 №７</t>
    <phoneticPr fontId="2"/>
  </si>
  <si>
    <t>年 農業経営統計調査 育成牛・肥育牛生産費統計 集計結果検討表 №８</t>
    <phoneticPr fontId="2"/>
  </si>
  <si>
    <t>年 農業経営統計調査 育成牛・肥育牛生産費統計 集計結果検討表 №９</t>
    <phoneticPr fontId="2"/>
  </si>
  <si>
    <t>本年</t>
    <phoneticPr fontId="2"/>
  </si>
  <si>
    <t>平均</t>
    <rPh sb="0" eb="2">
      <t>ヘイキン</t>
    </rPh>
    <phoneticPr fontId="35"/>
  </si>
  <si>
    <t>自給牧草労働費</t>
    <rPh sb="0" eb="2">
      <t>ジキュウ</t>
    </rPh>
    <rPh sb="2" eb="4">
      <t>マキクサ</t>
    </rPh>
    <rPh sb="4" eb="7">
      <t>ロウドウヒ</t>
    </rPh>
    <phoneticPr fontId="3"/>
  </si>
  <si>
    <t>集計経営体数</t>
    <rPh sb="0" eb="2">
      <t>シュウケイ</t>
    </rPh>
    <rPh sb="2" eb="5">
      <t>ケイエイタイ</t>
    </rPh>
    <phoneticPr fontId="2"/>
  </si>
  <si>
    <t>集計倍率</t>
    <rPh sb="0" eb="2">
      <t>シュウケイ</t>
    </rPh>
    <rPh sb="2" eb="4">
      <t>バイリツ</t>
    </rPh>
    <phoneticPr fontId="2"/>
  </si>
  <si>
    <t>自給牧草労働費</t>
    <rPh sb="0" eb="2">
      <t>ジキュウ</t>
    </rPh>
    <rPh sb="2" eb="4">
      <t>ボクソウ</t>
    </rPh>
    <rPh sb="4" eb="6">
      <t>ロウドウ</t>
    </rPh>
    <rPh sb="6" eb="7">
      <t>ヒ</t>
    </rPh>
    <phoneticPr fontId="3"/>
  </si>
  <si>
    <t>自給牧草</t>
    <rPh sb="0" eb="2">
      <t>ジキュウ</t>
    </rPh>
    <rPh sb="2" eb="4">
      <t>ボクソウ</t>
    </rPh>
    <phoneticPr fontId="3"/>
  </si>
  <si>
    <t>放牧場（面積）</t>
    <rPh sb="0" eb="2">
      <t>ホウボク</t>
    </rPh>
    <rPh sb="2" eb="3">
      <t>ジョウ</t>
    </rPh>
    <rPh sb="4" eb="6">
      <t>メンセキ</t>
    </rPh>
    <phoneticPr fontId="3"/>
  </si>
  <si>
    <t>まぜ
まき</t>
    <phoneticPr fontId="3"/>
  </si>
  <si>
    <t>ソルゴー</t>
  </si>
  <si>
    <t>イタリアン</t>
  </si>
  <si>
    <t>デントコーン</t>
  </si>
  <si>
    <t>収穫量（うち牧草）</t>
    <rPh sb="0" eb="3">
      <t>シュウカクリョウ</t>
    </rPh>
    <rPh sb="6" eb="8">
      <t>ボクソウ</t>
    </rPh>
    <phoneticPr fontId="2"/>
  </si>
  <si>
    <t>作付面積（うち牧草）</t>
    <rPh sb="0" eb="2">
      <t>サクツケ</t>
    </rPh>
    <rPh sb="2" eb="4">
      <t>メンセキ</t>
    </rPh>
    <rPh sb="7" eb="9">
      <t>ボクソウ</t>
    </rPh>
    <phoneticPr fontId="2"/>
  </si>
  <si>
    <t>本年</t>
    <rPh sb="0" eb="2">
      <t>ホンネン</t>
    </rPh>
    <phoneticPr fontId="3"/>
  </si>
  <si>
    <t>単位：ａ、kg、％</t>
    <rPh sb="0" eb="2">
      <t>タンイ</t>
    </rPh>
    <phoneticPr fontId="3"/>
  </si>
  <si>
    <r>
      <t>【自給牧草の生産】</t>
    </r>
    <r>
      <rPr>
        <sz val="8"/>
        <rFont val="ＭＳ ゴシック"/>
        <family val="3"/>
        <charset val="128"/>
      </rPr>
      <t>１経営体当たり</t>
    </r>
    <rPh sb="1" eb="3">
      <t>ジキュウ</t>
    </rPh>
    <rPh sb="3" eb="5">
      <t>ボクソウ</t>
    </rPh>
    <rPh sb="6" eb="8">
      <t>セイサン</t>
    </rPh>
    <rPh sb="10" eb="13">
      <t>ケイエイタイ</t>
    </rPh>
    <rPh sb="13" eb="14">
      <t>ア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</si>
</sst>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0"/>
    <numFmt numFmtId="177" formatCode="#0&quot;年&quot;"/>
    <numFmt numFmtId="178" formatCode="###\ ###\ ###\ ##0;\-###\ ###\ ###\ ##0;0"/>
    <numFmt numFmtId="179" formatCode="??0.0;\-??0.0;0.0"/>
    <numFmt numFmtId="180" formatCode="###\ ###\ ##0.0"/>
    <numFmt numFmtId="181" formatCode="###\ ###\ ###\ ##0;\-###\ ###\ ###\ ##0;"/>
    <numFmt numFmtId="182" formatCode="###\ ###\ ##0.0;\-###\ ###\ ##0.0;0.0"/>
    <numFmt numFmtId="183" formatCode="###\ ###\ ##0.0;\-###\ ###\ ##0.0;"/>
    <numFmt numFmtId="184" formatCode="###\ ###\ ##0.00;\-###\ ###\ ##0.00;0.00"/>
    <numFmt numFmtId="185" formatCode="###\ ###\ ##0.00;\-###\ ###\ ##0.00;"/>
    <numFmt numFmtId="186" formatCode="?0.0;\-??0.0;"/>
    <numFmt numFmtId="187" formatCode="#,##0.0"/>
    <numFmt numFmtId="188" formatCode="0.0"/>
    <numFmt numFmtId="189" formatCode="&quot;《&quot;000000&quot;》&quot;"/>
  </numFmts>
  <fonts count="38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8"/>
      <name val="ＭＳ 明朝"/>
      <family val="1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4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 diagonalDown="1">
      <left style="hair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double">
        <color indexed="64"/>
      </right>
      <top style="thin">
        <color indexed="64"/>
      </top>
      <bottom/>
      <diagonal style="hair">
        <color indexed="64"/>
      </diagonal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</borders>
  <cellStyleXfs count="52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9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9" fillId="0" borderId="0"/>
    <xf numFmtId="0" fontId="1" fillId="0" borderId="0"/>
    <xf numFmtId="0" fontId="22" fillId="0" borderId="0"/>
    <xf numFmtId="38" fontId="22" fillId="0" borderId="0" applyFont="0" applyFill="0" applyBorder="0" applyAlignment="0" applyProtection="0">
      <alignment vertical="center"/>
    </xf>
    <xf numFmtId="0" fontId="9" fillId="0" borderId="0"/>
    <xf numFmtId="0" fontId="34" fillId="0" borderId="0"/>
    <xf numFmtId="0" fontId="36" fillId="0" borderId="0"/>
    <xf numFmtId="38" fontId="1" fillId="0" borderId="0" applyFont="0" applyFill="0" applyBorder="0" applyAlignment="0" applyProtection="0">
      <alignment vertical="center"/>
    </xf>
    <xf numFmtId="0" fontId="1" fillId="0" borderId="0"/>
  </cellStyleXfs>
  <cellXfs count="716">
    <xf numFmtId="0" fontId="0" fillId="0" borderId="0" xfId="0"/>
    <xf numFmtId="0" fontId="31" fillId="0" borderId="0" xfId="41" applyFont="1">
      <alignment vertical="center"/>
    </xf>
    <xf numFmtId="0" fontId="27" fillId="0" borderId="0" xfId="41" applyFont="1" applyAlignment="1">
      <alignment horizontal="right" vertical="center"/>
    </xf>
    <xf numFmtId="0" fontId="30" fillId="0" borderId="0" xfId="41" applyFont="1">
      <alignment vertical="center"/>
    </xf>
    <xf numFmtId="0" fontId="31" fillId="0" borderId="0" xfId="41" applyFont="1" applyAlignment="1">
      <alignment horizontal="left" vertical="center"/>
    </xf>
    <xf numFmtId="176" fontId="30" fillId="0" borderId="0" xfId="41" applyNumberFormat="1" applyFont="1" applyAlignment="1">
      <alignment horizontal="center" vertical="center"/>
    </xf>
    <xf numFmtId="0" fontId="30" fillId="0" borderId="0" xfId="41" applyFont="1" applyAlignment="1">
      <alignment horizontal="center" vertical="center"/>
    </xf>
    <xf numFmtId="0" fontId="30" fillId="0" borderId="0" xfId="41" applyFont="1" applyAlignment="1">
      <alignment horizontal="right" vertical="center"/>
    </xf>
    <xf numFmtId="0" fontId="27" fillId="0" borderId="0" xfId="41" applyFont="1" applyAlignment="1">
      <alignment horizontal="distributed" vertical="center"/>
    </xf>
    <xf numFmtId="0" fontId="27" fillId="0" borderId="0" xfId="41" applyFont="1">
      <alignment vertical="center"/>
    </xf>
    <xf numFmtId="49" fontId="27" fillId="0" borderId="0" xfId="41" applyNumberFormat="1" applyFont="1" applyAlignment="1">
      <alignment horizontal="right" vertical="center"/>
    </xf>
    <xf numFmtId="180" fontId="30" fillId="0" borderId="0" xfId="41" applyNumberFormat="1" applyFont="1" applyAlignment="1">
      <alignment shrinkToFit="1"/>
    </xf>
    <xf numFmtId="0" fontId="27" fillId="0" borderId="0" xfId="41" applyFont="1" applyAlignment="1">
      <alignment horizontal="center" vertical="distributed" textRotation="255" justifyLastLine="1"/>
    </xf>
    <xf numFmtId="184" fontId="30" fillId="0" borderId="0" xfId="41" applyNumberFormat="1" applyFont="1" applyAlignment="1">
      <alignment horizontal="right" shrinkToFit="1"/>
    </xf>
    <xf numFmtId="0" fontId="27" fillId="0" borderId="0" xfId="41" applyFont="1" applyAlignment="1">
      <alignment horizontal="center" vertical="center" justifyLastLine="1"/>
    </xf>
    <xf numFmtId="0" fontId="27" fillId="0" borderId="0" xfId="41" applyFont="1" applyAlignment="1">
      <alignment horizontal="center" vertical="center"/>
    </xf>
    <xf numFmtId="0" fontId="30" fillId="0" borderId="50" xfId="41" applyFont="1" applyBorder="1" applyAlignment="1">
      <alignment horizontal="center" vertical="center"/>
    </xf>
    <xf numFmtId="0" fontId="30" fillId="0" borderId="51" xfId="41" applyFont="1" applyBorder="1" applyAlignment="1">
      <alignment horizontal="center" vertical="center"/>
    </xf>
    <xf numFmtId="0" fontId="30" fillId="0" borderId="73" xfId="41" applyFont="1" applyBorder="1" applyAlignment="1">
      <alignment horizontal="center" vertical="center"/>
    </xf>
    <xf numFmtId="0" fontId="28" fillId="0" borderId="0" xfId="41" applyFont="1" applyAlignment="1">
      <alignment horizontal="right" vertical="center"/>
    </xf>
    <xf numFmtId="0" fontId="28" fillId="0" borderId="87" xfId="41" applyFont="1" applyBorder="1" applyAlignment="1">
      <alignment horizontal="distributed" vertical="center"/>
    </xf>
    <xf numFmtId="0" fontId="28" fillId="0" borderId="30" xfId="41" applyFont="1" applyBorder="1" applyAlignment="1">
      <alignment horizontal="distributed" vertical="center"/>
    </xf>
    <xf numFmtId="0" fontId="28" fillId="0" borderId="48" xfId="41" applyFont="1" applyBorder="1" applyAlignment="1">
      <alignment horizontal="distributed" vertical="center"/>
    </xf>
    <xf numFmtId="0" fontId="28" fillId="0" borderId="0" xfId="41" applyFont="1">
      <alignment vertical="center"/>
    </xf>
    <xf numFmtId="178" fontId="30" fillId="0" borderId="0" xfId="41" applyNumberFormat="1" applyFont="1" applyAlignment="1">
      <alignment shrinkToFit="1"/>
    </xf>
    <xf numFmtId="0" fontId="27" fillId="0" borderId="59" xfId="41" applyFont="1" applyBorder="1" applyAlignment="1">
      <alignment vertical="center" wrapText="1"/>
    </xf>
    <xf numFmtId="0" fontId="27" fillId="0" borderId="59" xfId="41" applyFont="1" applyBorder="1">
      <alignment vertical="center"/>
    </xf>
    <xf numFmtId="178" fontId="30" fillId="0" borderId="59" xfId="41" applyNumberFormat="1" applyFont="1" applyBorder="1" applyAlignment="1">
      <alignment shrinkToFit="1"/>
    </xf>
    <xf numFmtId="181" fontId="30" fillId="0" borderId="59" xfId="41" applyNumberFormat="1" applyFont="1" applyBorder="1" applyAlignment="1">
      <alignment shrinkToFit="1"/>
    </xf>
    <xf numFmtId="180" fontId="30" fillId="0" borderId="59" xfId="41" applyNumberFormat="1" applyFont="1" applyBorder="1" applyAlignment="1">
      <alignment shrinkToFit="1"/>
    </xf>
    <xf numFmtId="181" fontId="30" fillId="0" borderId="0" xfId="41" applyNumberFormat="1" applyFont="1" applyAlignment="1">
      <alignment shrinkToFit="1"/>
    </xf>
    <xf numFmtId="49" fontId="27" fillId="0" borderId="0" xfId="41" applyNumberFormat="1" applyFont="1" applyAlignment="1">
      <alignment horizontal="distributed" vertical="center"/>
    </xf>
    <xf numFmtId="0" fontId="30" fillId="0" borderId="87" xfId="41" applyFont="1" applyBorder="1" applyAlignment="1">
      <alignment horizontal="distributed" vertical="center"/>
    </xf>
    <xf numFmtId="178" fontId="30" fillId="0" borderId="0" xfId="41" applyNumberFormat="1" applyFont="1" applyAlignment="1">
      <alignment horizontal="right" shrinkToFit="1"/>
    </xf>
    <xf numFmtId="181" fontId="30" fillId="0" borderId="0" xfId="41" applyNumberFormat="1" applyFont="1" applyAlignment="1">
      <alignment horizontal="right" shrinkToFit="1"/>
    </xf>
    <xf numFmtId="180" fontId="30" fillId="0" borderId="0" xfId="41" applyNumberFormat="1" applyFont="1" applyAlignment="1">
      <alignment horizontal="center" shrinkToFit="1"/>
    </xf>
    <xf numFmtId="0" fontId="24" fillId="0" borderId="0" xfId="41" applyFont="1" applyAlignment="1">
      <alignment horizontal="left" vertical="top" wrapText="1"/>
    </xf>
    <xf numFmtId="0" fontId="25" fillId="0" borderId="0" xfId="41" applyFont="1" applyAlignment="1">
      <alignment horizontal="center" vertical="center" wrapText="1"/>
    </xf>
    <xf numFmtId="0" fontId="26" fillId="0" borderId="0" xfId="41" applyFont="1" applyAlignment="1"/>
    <xf numFmtId="0" fontId="27" fillId="0" borderId="0" xfId="41" applyFont="1" applyAlignment="1"/>
    <xf numFmtId="0" fontId="28" fillId="0" borderId="0" xfId="41" applyFont="1" applyAlignment="1">
      <alignment horizontal="left" vertical="center"/>
    </xf>
    <xf numFmtId="0" fontId="28" fillId="0" borderId="0" xfId="41" applyFont="1" applyAlignment="1">
      <alignment horizontal="center" vertical="center"/>
    </xf>
    <xf numFmtId="0" fontId="31" fillId="0" borderId="0" xfId="41" applyFont="1" applyAlignment="1">
      <alignment horizontal="right" vertical="center"/>
    </xf>
    <xf numFmtId="0" fontId="30" fillId="0" borderId="35" xfId="41" applyFont="1" applyBorder="1" applyAlignment="1">
      <alignment horizontal="distributed" vertical="center"/>
    </xf>
    <xf numFmtId="0" fontId="30" fillId="0" borderId="48" xfId="41" applyFont="1" applyBorder="1">
      <alignment vertical="center"/>
    </xf>
    <xf numFmtId="0" fontId="30" fillId="0" borderId="30" xfId="41" applyFont="1" applyBorder="1">
      <alignment vertical="center"/>
    </xf>
    <xf numFmtId="0" fontId="30" fillId="0" borderId="34" xfId="41" applyFont="1" applyBorder="1" applyAlignment="1">
      <alignment horizontal="distributed" vertical="center"/>
    </xf>
    <xf numFmtId="0" fontId="30" fillId="0" borderId="87" xfId="41" applyFont="1" applyBorder="1" applyAlignment="1">
      <alignment horizontal="distributed" vertical="distributed"/>
    </xf>
    <xf numFmtId="0" fontId="30" fillId="0" borderId="48" xfId="41" applyFont="1" applyBorder="1" applyAlignment="1">
      <alignment horizontal="distributed" vertical="center"/>
    </xf>
    <xf numFmtId="0" fontId="30" fillId="0" borderId="91" xfId="41" applyFont="1" applyBorder="1" applyAlignment="1">
      <alignment horizontal="distributed" vertical="center"/>
    </xf>
    <xf numFmtId="0" fontId="27" fillId="0" borderId="92" xfId="41" applyFont="1" applyBorder="1">
      <alignment vertical="center"/>
    </xf>
    <xf numFmtId="0" fontId="30" fillId="0" borderId="92" xfId="41" applyFont="1" applyBorder="1">
      <alignment vertical="center"/>
    </xf>
    <xf numFmtId="0" fontId="27" fillId="0" borderId="92" xfId="41" applyFont="1" applyBorder="1" applyAlignment="1">
      <alignment horizontal="right" vertical="center"/>
    </xf>
    <xf numFmtId="0" fontId="27" fillId="0" borderId="0" xfId="41" applyFont="1" applyAlignment="1">
      <alignment horizontal="distributed" vertical="center" shrinkToFit="1"/>
    </xf>
    <xf numFmtId="0" fontId="30" fillId="0" borderId="31" xfId="41" applyFont="1" applyBorder="1" applyAlignment="1">
      <alignment horizontal="distributed" vertical="center"/>
    </xf>
    <xf numFmtId="0" fontId="30" fillId="0" borderId="27" xfId="41" applyFont="1" applyBorder="1" applyAlignment="1">
      <alignment horizontal="distributed" vertical="center" textRotation="255"/>
    </xf>
    <xf numFmtId="0" fontId="30" fillId="0" borderId="87" xfId="41" applyFont="1" applyBorder="1" applyAlignment="1">
      <alignment horizontal="distributed" vertical="center" textRotation="255"/>
    </xf>
    <xf numFmtId="0" fontId="30" fillId="0" borderId="35" xfId="41" applyFont="1" applyBorder="1" applyAlignment="1">
      <alignment horizontal="distributed" vertical="center" textRotation="255"/>
    </xf>
    <xf numFmtId="0" fontId="30" fillId="0" borderId="90" xfId="41" applyFont="1" applyBorder="1" applyAlignment="1">
      <alignment horizontal="distributed" vertical="center" textRotation="255"/>
    </xf>
    <xf numFmtId="0" fontId="30" fillId="0" borderId="35" xfId="41" applyFont="1" applyBorder="1" applyAlignment="1">
      <alignment horizontal="distributed" vertical="center" textRotation="255" shrinkToFit="1"/>
    </xf>
    <xf numFmtId="0" fontId="30" fillId="0" borderId="90" xfId="41" applyFont="1" applyBorder="1" applyAlignment="1">
      <alignment horizontal="distributed" vertical="center" textRotation="255" shrinkToFit="1"/>
    </xf>
    <xf numFmtId="0" fontId="30" fillId="0" borderId="0" xfId="41" applyFont="1" applyAlignment="1">
      <alignment shrinkToFit="1"/>
    </xf>
    <xf numFmtId="0" fontId="30" fillId="0" borderId="72" xfId="41" applyFont="1" applyBorder="1" applyAlignment="1">
      <alignment horizontal="center" vertical="center"/>
    </xf>
    <xf numFmtId="0" fontId="31" fillId="0" borderId="92" xfId="41" applyFont="1" applyBorder="1">
      <alignment vertical="center"/>
    </xf>
    <xf numFmtId="0" fontId="27" fillId="0" borderId="0" xfId="41" applyFont="1" applyAlignment="1">
      <alignment vertical="top"/>
    </xf>
    <xf numFmtId="49" fontId="29" fillId="0" borderId="0" xfId="41" applyNumberFormat="1" applyFont="1" applyAlignment="1">
      <alignment vertical="top"/>
    </xf>
    <xf numFmtId="0" fontId="29" fillId="0" borderId="0" xfId="41" applyFont="1" applyAlignment="1">
      <alignment vertical="top"/>
    </xf>
    <xf numFmtId="0" fontId="27" fillId="0" borderId="0" xfId="0" applyFont="1" applyAlignment="1">
      <alignment vertical="center"/>
    </xf>
    <xf numFmtId="0" fontId="30" fillId="0" borderId="0" xfId="41" applyFont="1" applyAlignment="1">
      <alignment horizontal="distributed" vertical="center"/>
    </xf>
    <xf numFmtId="0" fontId="30" fillId="0" borderId="27" xfId="41" applyFont="1" applyBorder="1" applyAlignment="1">
      <alignment horizontal="distributed" vertical="distributed"/>
    </xf>
    <xf numFmtId="0" fontId="30" fillId="0" borderId="0" xfId="41" applyFont="1" applyAlignment="1">
      <alignment horizontal="right" shrinkToFit="1"/>
    </xf>
    <xf numFmtId="0" fontId="30" fillId="0" borderId="0" xfId="41" applyFont="1" applyAlignment="1">
      <alignment horizontal="center" shrinkToFit="1"/>
    </xf>
    <xf numFmtId="0" fontId="30" fillId="0" borderId="94" xfId="41" applyFont="1" applyBorder="1" applyAlignment="1">
      <alignment horizontal="distributed" vertical="center"/>
    </xf>
    <xf numFmtId="0" fontId="30" fillId="0" borderId="98" xfId="41" applyFont="1" applyBorder="1" applyAlignment="1">
      <alignment horizontal="distributed" vertical="center"/>
    </xf>
    <xf numFmtId="0" fontId="30" fillId="0" borderId="27" xfId="41" applyFont="1" applyBorder="1" applyAlignment="1">
      <alignment horizontal="distributed" vertical="center"/>
    </xf>
    <xf numFmtId="0" fontId="28" fillId="0" borderId="27" xfId="41" applyFont="1" applyBorder="1" applyAlignment="1">
      <alignment horizontal="distributed" vertical="center"/>
    </xf>
    <xf numFmtId="176" fontId="27" fillId="0" borderId="131" xfId="48" applyNumberFormat="1" applyFont="1" applyBorder="1" applyAlignment="1">
      <alignment horizontal="center" vertical="center" shrinkToFit="1"/>
    </xf>
    <xf numFmtId="0" fontId="26" fillId="24" borderId="0" xfId="0" applyFont="1" applyFill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36" fillId="0" borderId="0" xfId="49"/>
    <xf numFmtId="0" fontId="26" fillId="25" borderId="0" xfId="49" applyFont="1" applyFill="1" applyAlignment="1">
      <alignment horizontal="center" vertical="center"/>
    </xf>
    <xf numFmtId="0" fontId="26" fillId="25" borderId="0" xfId="49" applyFont="1" applyFill="1"/>
    <xf numFmtId="0" fontId="26" fillId="0" borderId="0" xfId="49" applyFont="1"/>
    <xf numFmtId="0" fontId="26" fillId="24" borderId="0" xfId="49" applyFont="1" applyFill="1" applyAlignment="1">
      <alignment horizontal="center" vertical="center"/>
    </xf>
    <xf numFmtId="0" fontId="26" fillId="24" borderId="0" xfId="49" applyFont="1" applyFill="1"/>
    <xf numFmtId="0" fontId="26" fillId="0" borderId="0" xfId="0" applyFont="1" applyAlignment="1">
      <alignment horizontal="center" vertical="center"/>
    </xf>
    <xf numFmtId="0" fontId="26" fillId="26" borderId="0" xfId="0" applyFont="1" applyFill="1" applyAlignment="1">
      <alignment horizontal="center" vertical="center"/>
    </xf>
    <xf numFmtId="0" fontId="26" fillId="26" borderId="0" xfId="49" applyFont="1" applyFill="1" applyAlignment="1">
      <alignment horizontal="center" vertical="center"/>
    </xf>
    <xf numFmtId="0" fontId="26" fillId="26" borderId="0" xfId="49" applyFont="1" applyFill="1"/>
    <xf numFmtId="0" fontId="23" fillId="0" borderId="0" xfId="41" applyFont="1" applyAlignment="1">
      <alignment horizontal="left" vertical="top"/>
    </xf>
    <xf numFmtId="0" fontId="30" fillId="0" borderId="0" xfId="41" applyFont="1" applyAlignment="1"/>
    <xf numFmtId="0" fontId="30" fillId="0" borderId="27" xfId="41" applyFont="1" applyBorder="1" applyAlignment="1">
      <alignment horizontal="distributed"/>
    </xf>
    <xf numFmtId="0" fontId="30" fillId="0" borderId="87" xfId="41" applyFont="1" applyBorder="1" applyAlignment="1">
      <alignment horizontal="distributed"/>
    </xf>
    <xf numFmtId="0" fontId="30" fillId="0" borderId="52" xfId="41" applyFont="1" applyBorder="1">
      <alignment vertical="center"/>
    </xf>
    <xf numFmtId="0" fontId="30" fillId="0" borderId="24" xfId="41" applyFont="1" applyBorder="1">
      <alignment vertical="center"/>
    </xf>
    <xf numFmtId="188" fontId="28" fillId="0" borderId="24" xfId="41" applyNumberFormat="1" applyFont="1" applyBorder="1" applyAlignment="1">
      <alignment horizontal="right" vertical="center"/>
    </xf>
    <xf numFmtId="188" fontId="28" fillId="0" borderId="22" xfId="41" applyNumberFormat="1" applyFont="1" applyBorder="1" applyAlignment="1">
      <alignment horizontal="right" vertical="center"/>
    </xf>
    <xf numFmtId="188" fontId="28" fillId="0" borderId="25" xfId="41" applyNumberFormat="1" applyFont="1" applyBorder="1" applyAlignment="1">
      <alignment horizontal="right" vertical="center"/>
    </xf>
    <xf numFmtId="0" fontId="27" fillId="0" borderId="10" xfId="41" applyFont="1" applyBorder="1" applyAlignment="1">
      <alignment horizontal="center"/>
    </xf>
    <xf numFmtId="0" fontId="27" fillId="0" borderId="11" xfId="41" applyFont="1" applyBorder="1" applyAlignment="1">
      <alignment horizontal="center"/>
    </xf>
    <xf numFmtId="0" fontId="27" fillId="0" borderId="12" xfId="41" applyFont="1" applyBorder="1" applyAlignment="1">
      <alignment horizontal="center"/>
    </xf>
    <xf numFmtId="0" fontId="1" fillId="0" borderId="10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30" fillId="0" borderId="24" xfId="41" applyFont="1" applyBorder="1" applyAlignment="1">
      <alignment horizontal="distributed" vertical="center" wrapText="1"/>
    </xf>
    <xf numFmtId="0" fontId="30" fillId="0" borderId="22" xfId="41" applyFont="1" applyBorder="1" applyAlignment="1">
      <alignment horizontal="distributed" vertical="center" wrapText="1"/>
    </xf>
    <xf numFmtId="0" fontId="30" fillId="0" borderId="25" xfId="41" applyFont="1" applyBorder="1" applyAlignment="1">
      <alignment horizontal="distributed" vertical="center" wrapText="1"/>
    </xf>
    <xf numFmtId="3" fontId="28" fillId="0" borderId="51" xfId="41" applyNumberFormat="1" applyFont="1" applyBorder="1" applyAlignment="1">
      <alignment horizontal="right" vertical="center" shrinkToFit="1"/>
    </xf>
    <xf numFmtId="3" fontId="28" fillId="0" borderId="52" xfId="41" applyNumberFormat="1" applyFont="1" applyBorder="1" applyAlignment="1">
      <alignment horizontal="right" vertical="center" shrinkToFit="1"/>
    </xf>
    <xf numFmtId="0" fontId="28" fillId="0" borderId="53" xfId="41" applyFont="1" applyBorder="1" applyAlignment="1">
      <alignment horizontal="right" vertical="center" shrinkToFit="1"/>
    </xf>
    <xf numFmtId="0" fontId="28" fillId="0" borderId="54" xfId="41" applyFont="1" applyBorder="1" applyAlignment="1">
      <alignment horizontal="right" vertical="center" shrinkToFit="1"/>
    </xf>
    <xf numFmtId="0" fontId="28" fillId="0" borderId="54" xfId="41" applyFont="1" applyBorder="1" applyAlignment="1">
      <alignment horizontal="right" vertical="center"/>
    </xf>
    <xf numFmtId="0" fontId="23" fillId="0" borderId="0" xfId="41" applyFont="1" applyAlignment="1">
      <alignment horizontal="right" vertical="center"/>
    </xf>
    <xf numFmtId="0" fontId="0" fillId="0" borderId="0" xfId="0" applyAlignment="1">
      <alignment horizontal="right"/>
    </xf>
    <xf numFmtId="0" fontId="27" fillId="0" borderId="131" xfId="0" applyFont="1" applyBorder="1" applyAlignment="1">
      <alignment horizontal="center" vertical="center"/>
    </xf>
    <xf numFmtId="0" fontId="27" fillId="0" borderId="131" xfId="0" applyFont="1" applyBorder="1"/>
    <xf numFmtId="0" fontId="27" fillId="0" borderId="131" xfId="0" applyFont="1" applyBorder="1" applyAlignment="1">
      <alignment horizontal="center" vertical="center" shrinkToFit="1"/>
    </xf>
    <xf numFmtId="0" fontId="0" fillId="0" borderId="131" xfId="0" applyBorder="1"/>
    <xf numFmtId="0" fontId="27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27" fillId="0" borderId="10" xfId="41" applyFont="1" applyBorder="1" applyAlignment="1">
      <alignment horizontal="center" vertical="top"/>
    </xf>
    <xf numFmtId="0" fontId="30" fillId="0" borderId="24" xfId="41" applyFont="1" applyBorder="1" applyAlignment="1">
      <alignment horizontal="center" vertical="center" shrinkToFit="1"/>
    </xf>
    <xf numFmtId="0" fontId="30" fillId="0" borderId="22" xfId="41" applyFont="1" applyBorder="1" applyAlignment="1">
      <alignment horizontal="center" vertical="center" shrinkToFit="1"/>
    </xf>
    <xf numFmtId="0" fontId="30" fillId="0" borderId="25" xfId="41" applyFont="1" applyBorder="1" applyAlignment="1">
      <alignment horizontal="center" vertical="center" shrinkToFit="1"/>
    </xf>
    <xf numFmtId="0" fontId="30" fillId="0" borderId="22" xfId="41" quotePrefix="1" applyFont="1" applyBorder="1" applyAlignment="1">
      <alignment horizontal="center" vertical="center" shrinkToFit="1"/>
    </xf>
    <xf numFmtId="0" fontId="30" fillId="0" borderId="23" xfId="41" applyFont="1" applyBorder="1" applyAlignment="1">
      <alignment horizontal="center" vertical="center" shrinkToFit="1"/>
    </xf>
    <xf numFmtId="0" fontId="30" fillId="0" borderId="13" xfId="41" applyFont="1" applyBorder="1" applyAlignment="1">
      <alignment horizontal="center" vertical="center"/>
    </xf>
    <xf numFmtId="0" fontId="30" fillId="0" borderId="14" xfId="41" applyFont="1" applyBorder="1" applyAlignment="1">
      <alignment horizontal="center" vertical="center"/>
    </xf>
    <xf numFmtId="0" fontId="30" fillId="0" borderId="15" xfId="41" applyFont="1" applyBorder="1" applyAlignment="1">
      <alignment horizontal="center" vertical="center"/>
    </xf>
    <xf numFmtId="0" fontId="30" fillId="0" borderId="19" xfId="41" applyFont="1" applyBorder="1" applyAlignment="1">
      <alignment horizontal="center" vertical="center"/>
    </xf>
    <xf numFmtId="0" fontId="30" fillId="0" borderId="20" xfId="41" applyFont="1" applyBorder="1" applyAlignment="1">
      <alignment horizontal="center" vertical="center"/>
    </xf>
    <xf numFmtId="0" fontId="30" fillId="0" borderId="21" xfId="41" applyFont="1" applyBorder="1" applyAlignment="1">
      <alignment horizontal="center" vertical="center"/>
    </xf>
    <xf numFmtId="0" fontId="30" fillId="0" borderId="16" xfId="41" applyFont="1" applyBorder="1" applyAlignment="1">
      <alignment horizontal="center" vertical="center"/>
    </xf>
    <xf numFmtId="0" fontId="30" fillId="0" borderId="17" xfId="41" applyFont="1" applyBorder="1" applyAlignment="1">
      <alignment horizontal="center" vertical="center"/>
    </xf>
    <xf numFmtId="0" fontId="30" fillId="0" borderId="18" xfId="41" applyFont="1" applyBorder="1" applyAlignment="1">
      <alignment horizontal="center" vertical="center"/>
    </xf>
    <xf numFmtId="189" fontId="27" fillId="0" borderId="140" xfId="48" applyNumberFormat="1" applyFont="1" applyBorder="1" applyAlignment="1">
      <alignment horizontal="center" vertical="center"/>
    </xf>
    <xf numFmtId="189" fontId="27" fillId="0" borderId="131" xfId="48" applyNumberFormat="1" applyFont="1" applyBorder="1" applyAlignment="1">
      <alignment horizontal="center" vertical="center" shrinkToFit="1"/>
    </xf>
    <xf numFmtId="189" fontId="27" fillId="0" borderId="131" xfId="48" applyNumberFormat="1" applyFont="1" applyBorder="1" applyAlignment="1">
      <alignment horizontal="center" vertical="center"/>
    </xf>
    <xf numFmtId="188" fontId="28" fillId="0" borderId="31" xfId="41" applyNumberFormat="1" applyFont="1" applyBorder="1" applyAlignment="1">
      <alignment horizontal="right" vertical="center"/>
    </xf>
    <xf numFmtId="188" fontId="28" fillId="0" borderId="32" xfId="41" applyNumberFormat="1" applyFont="1" applyBorder="1" applyAlignment="1">
      <alignment horizontal="right" vertical="center"/>
    </xf>
    <xf numFmtId="188" fontId="28" fillId="0" borderId="33" xfId="41" applyNumberFormat="1" applyFont="1" applyBorder="1" applyAlignment="1">
      <alignment horizontal="right" vertical="center"/>
    </xf>
    <xf numFmtId="3" fontId="28" fillId="0" borderId="34" xfId="41" applyNumberFormat="1" applyFont="1" applyBorder="1" applyAlignment="1">
      <alignment horizontal="right" vertical="center" shrinkToFit="1"/>
    </xf>
    <xf numFmtId="3" fontId="28" fillId="0" borderId="30" xfId="41" applyNumberFormat="1" applyFont="1" applyBorder="1" applyAlignment="1">
      <alignment horizontal="right" vertical="center" shrinkToFit="1"/>
    </xf>
    <xf numFmtId="0" fontId="30" fillId="0" borderId="27" xfId="41" applyFont="1" applyBorder="1" applyAlignment="1">
      <alignment horizontal="distributed" vertical="center"/>
    </xf>
    <xf numFmtId="0" fontId="30" fillId="0" borderId="0" xfId="41" applyFont="1" applyAlignment="1">
      <alignment horizontal="distributed" vertical="center"/>
    </xf>
    <xf numFmtId="0" fontId="30" fillId="0" borderId="28" xfId="41" applyFont="1" applyBorder="1" applyAlignment="1">
      <alignment horizontal="distributed" vertical="center"/>
    </xf>
    <xf numFmtId="3" fontId="28" fillId="0" borderId="29" xfId="41" applyNumberFormat="1" applyFont="1" applyBorder="1" applyAlignment="1">
      <alignment horizontal="right" vertical="center" shrinkToFit="1"/>
    </xf>
    <xf numFmtId="0" fontId="30" fillId="0" borderId="36" xfId="41" applyFont="1" applyBorder="1" applyAlignment="1">
      <alignment horizontal="distributed" vertical="center" shrinkToFit="1"/>
    </xf>
    <xf numFmtId="0" fontId="30" fillId="0" borderId="37" xfId="41" applyFont="1" applyBorder="1" applyAlignment="1">
      <alignment horizontal="distributed" vertical="center" shrinkToFit="1"/>
    </xf>
    <xf numFmtId="0" fontId="30" fillId="0" borderId="38" xfId="41" applyFont="1" applyBorder="1" applyAlignment="1">
      <alignment horizontal="distributed" vertical="center" shrinkToFit="1"/>
    </xf>
    <xf numFmtId="3" fontId="28" fillId="0" borderId="39" xfId="41" applyNumberFormat="1" applyFont="1" applyBorder="1" applyAlignment="1">
      <alignment horizontal="right" vertical="center" shrinkToFit="1"/>
    </xf>
    <xf numFmtId="0" fontId="30" fillId="0" borderId="45" xfId="41" applyFont="1" applyBorder="1" applyAlignment="1">
      <alignment horizontal="distributed" vertical="center"/>
    </xf>
    <xf numFmtId="0" fontId="30" fillId="0" borderId="46" xfId="41" applyFont="1" applyBorder="1" applyAlignment="1">
      <alignment horizontal="distributed" vertical="center"/>
    </xf>
    <xf numFmtId="0" fontId="30" fillId="0" borderId="47" xfId="41" applyFont="1" applyBorder="1" applyAlignment="1">
      <alignment horizontal="distributed" vertical="center"/>
    </xf>
    <xf numFmtId="0" fontId="28" fillId="0" borderId="40" xfId="41" applyFont="1" applyBorder="1" applyAlignment="1">
      <alignment horizontal="right" vertical="center" shrinkToFit="1"/>
    </xf>
    <xf numFmtId="0" fontId="28" fillId="0" borderId="41" xfId="41" applyFont="1" applyBorder="1" applyAlignment="1">
      <alignment horizontal="right" vertical="center" shrinkToFit="1"/>
    </xf>
    <xf numFmtId="0" fontId="28" fillId="0" borderId="41" xfId="41" applyFont="1" applyBorder="1" applyAlignment="1">
      <alignment horizontal="right" vertical="center"/>
    </xf>
    <xf numFmtId="0" fontId="28" fillId="0" borderId="42" xfId="41" applyFont="1" applyBorder="1" applyAlignment="1">
      <alignment horizontal="right" vertical="center"/>
    </xf>
    <xf numFmtId="0" fontId="28" fillId="0" borderId="43" xfId="41" applyFont="1" applyBorder="1" applyAlignment="1">
      <alignment horizontal="right" vertical="center"/>
    </xf>
    <xf numFmtId="0" fontId="28" fillId="0" borderId="44" xfId="41" applyFont="1" applyBorder="1" applyAlignment="1">
      <alignment horizontal="right" vertical="center"/>
    </xf>
    <xf numFmtId="0" fontId="30" fillId="0" borderId="36" xfId="41" applyFont="1" applyBorder="1" applyAlignment="1">
      <alignment horizontal="distributed" vertical="center"/>
    </xf>
    <xf numFmtId="0" fontId="30" fillId="0" borderId="37" xfId="41" applyFont="1" applyBorder="1" applyAlignment="1">
      <alignment horizontal="distributed" vertical="center"/>
    </xf>
    <xf numFmtId="0" fontId="30" fillId="0" borderId="38" xfId="41" applyFont="1" applyBorder="1" applyAlignment="1">
      <alignment horizontal="distributed" vertical="center"/>
    </xf>
    <xf numFmtId="3" fontId="28" fillId="0" borderId="49" xfId="41" applyNumberFormat="1" applyFont="1" applyBorder="1" applyAlignment="1">
      <alignment horizontal="right" vertical="center" shrinkToFit="1"/>
    </xf>
    <xf numFmtId="0" fontId="30" fillId="0" borderId="36" xfId="41" applyFont="1" applyBorder="1" applyAlignment="1">
      <alignment horizontal="center" vertical="center" shrinkToFit="1"/>
    </xf>
    <xf numFmtId="0" fontId="30" fillId="0" borderId="37" xfId="41" applyFont="1" applyBorder="1" applyAlignment="1">
      <alignment horizontal="center" vertical="center" shrinkToFit="1"/>
    </xf>
    <xf numFmtId="0" fontId="30" fillId="0" borderId="38" xfId="41" applyFont="1" applyBorder="1" applyAlignment="1">
      <alignment horizontal="center" vertical="center" shrinkToFit="1"/>
    </xf>
    <xf numFmtId="3" fontId="28" fillId="0" borderId="50" xfId="41" applyNumberFormat="1" applyFont="1" applyBorder="1" applyAlignment="1">
      <alignment horizontal="right" vertical="center" shrinkToFit="1"/>
    </xf>
    <xf numFmtId="0" fontId="30" fillId="0" borderId="58" xfId="41" applyFont="1" applyBorder="1" applyAlignment="1">
      <alignment horizontal="distributed" vertical="center"/>
    </xf>
    <xf numFmtId="0" fontId="30" fillId="0" borderId="59" xfId="41" applyFont="1" applyBorder="1" applyAlignment="1">
      <alignment horizontal="distributed" vertical="center"/>
    </xf>
    <xf numFmtId="0" fontId="30" fillId="0" borderId="60" xfId="41" applyFont="1" applyBorder="1" applyAlignment="1">
      <alignment horizontal="distributed" vertical="center"/>
    </xf>
    <xf numFmtId="3" fontId="28" fillId="0" borderId="61" xfId="41" applyNumberFormat="1" applyFont="1" applyBorder="1" applyAlignment="1">
      <alignment horizontal="right" vertical="center" shrinkToFit="1"/>
    </xf>
    <xf numFmtId="3" fontId="28" fillId="0" borderId="63" xfId="41" applyNumberFormat="1" applyFont="1" applyBorder="1" applyAlignment="1">
      <alignment horizontal="right" vertical="center" shrinkToFit="1"/>
    </xf>
    <xf numFmtId="3" fontId="28" fillId="0" borderId="64" xfId="41" applyNumberFormat="1" applyFont="1" applyBorder="1" applyAlignment="1">
      <alignment horizontal="right" vertical="center" shrinkToFit="1"/>
    </xf>
    <xf numFmtId="0" fontId="28" fillId="0" borderId="65" xfId="41" applyFont="1" applyBorder="1" applyAlignment="1">
      <alignment horizontal="right" vertical="center" shrinkToFit="1"/>
    </xf>
    <xf numFmtId="0" fontId="28" fillId="0" borderId="66" xfId="41" applyFont="1" applyBorder="1" applyAlignment="1">
      <alignment horizontal="right" vertical="center" shrinkToFit="1"/>
    </xf>
    <xf numFmtId="0" fontId="28" fillId="0" borderId="66" xfId="41" applyFont="1" applyBorder="1" applyAlignment="1">
      <alignment horizontal="right" vertical="center"/>
    </xf>
    <xf numFmtId="0" fontId="28" fillId="0" borderId="67" xfId="41" applyFont="1" applyBorder="1" applyAlignment="1">
      <alignment horizontal="right" vertical="center"/>
    </xf>
    <xf numFmtId="0" fontId="28" fillId="0" borderId="68" xfId="41" applyFont="1" applyBorder="1" applyAlignment="1">
      <alignment horizontal="right" vertical="center"/>
    </xf>
    <xf numFmtId="0" fontId="28" fillId="0" borderId="69" xfId="41" applyFont="1" applyBorder="1" applyAlignment="1">
      <alignment horizontal="right" vertical="center"/>
    </xf>
    <xf numFmtId="0" fontId="30" fillId="0" borderId="24" xfId="41" applyFont="1" applyBorder="1" applyAlignment="1">
      <alignment horizontal="distributed" vertical="center"/>
    </xf>
    <xf numFmtId="0" fontId="30" fillId="0" borderId="22" xfId="41" applyFont="1" applyBorder="1" applyAlignment="1">
      <alignment horizontal="distributed" vertical="center"/>
    </xf>
    <xf numFmtId="0" fontId="30" fillId="0" borderId="25" xfId="41" applyFont="1" applyBorder="1" applyAlignment="1">
      <alignment horizontal="distributed" vertical="center"/>
    </xf>
    <xf numFmtId="0" fontId="28" fillId="0" borderId="55" xfId="41" applyFont="1" applyBorder="1" applyAlignment="1">
      <alignment horizontal="right" vertical="center"/>
    </xf>
    <xf numFmtId="0" fontId="28" fillId="0" borderId="56" xfId="41" applyFont="1" applyBorder="1" applyAlignment="1">
      <alignment horizontal="right" vertical="center"/>
    </xf>
    <xf numFmtId="0" fontId="28" fillId="0" borderId="57" xfId="41" applyFont="1" applyBorder="1" applyAlignment="1">
      <alignment horizontal="right" vertical="center"/>
    </xf>
    <xf numFmtId="3" fontId="28" fillId="0" borderId="114" xfId="41" applyNumberFormat="1" applyFont="1" applyBorder="1" applyAlignment="1">
      <alignment horizontal="right" vertical="center" shrinkToFit="1"/>
    </xf>
    <xf numFmtId="3" fontId="28" fillId="0" borderId="88" xfId="41" applyNumberFormat="1" applyFont="1" applyBorder="1" applyAlignment="1">
      <alignment horizontal="right" vertical="center" shrinkToFit="1"/>
    </xf>
    <xf numFmtId="188" fontId="28" fillId="0" borderId="45" xfId="41" applyNumberFormat="1" applyFont="1" applyBorder="1" applyAlignment="1">
      <alignment horizontal="right" vertical="center"/>
    </xf>
    <xf numFmtId="188" fontId="28" fillId="0" borderId="46" xfId="41" applyNumberFormat="1" applyFont="1" applyBorder="1" applyAlignment="1">
      <alignment horizontal="right" vertical="center"/>
    </xf>
    <xf numFmtId="188" fontId="28" fillId="0" borderId="47" xfId="41" applyNumberFormat="1" applyFont="1" applyBorder="1" applyAlignment="1">
      <alignment horizontal="right" vertical="center"/>
    </xf>
    <xf numFmtId="3" fontId="28" fillId="0" borderId="35" xfId="41" applyNumberFormat="1" applyFont="1" applyBorder="1" applyAlignment="1">
      <alignment horizontal="right" vertical="center" shrinkToFit="1"/>
    </xf>
    <xf numFmtId="3" fontId="28" fillId="0" borderId="48" xfId="41" applyNumberFormat="1" applyFont="1" applyBorder="1" applyAlignment="1">
      <alignment horizontal="right" vertical="center" shrinkToFit="1"/>
    </xf>
    <xf numFmtId="0" fontId="28" fillId="0" borderId="141" xfId="41" applyFont="1" applyBorder="1" applyAlignment="1">
      <alignment horizontal="right" vertical="center" shrinkToFit="1"/>
    </xf>
    <xf numFmtId="0" fontId="28" fillId="0" borderId="124" xfId="41" applyFont="1" applyBorder="1" applyAlignment="1">
      <alignment horizontal="right" vertical="center" shrinkToFit="1"/>
    </xf>
    <xf numFmtId="0" fontId="28" fillId="0" borderId="124" xfId="41" applyFont="1" applyBorder="1" applyAlignment="1">
      <alignment horizontal="right" vertical="center"/>
    </xf>
    <xf numFmtId="0" fontId="28" fillId="0" borderId="127" xfId="41" applyFont="1" applyBorder="1" applyAlignment="1">
      <alignment horizontal="right" vertical="center"/>
    </xf>
    <xf numFmtId="0" fontId="28" fillId="0" borderId="128" xfId="41" applyFont="1" applyBorder="1" applyAlignment="1">
      <alignment horizontal="right" vertical="center"/>
    </xf>
    <xf numFmtId="0" fontId="28" fillId="0" borderId="129" xfId="41" applyFont="1" applyBorder="1" applyAlignment="1">
      <alignment horizontal="right" vertical="center"/>
    </xf>
    <xf numFmtId="3" fontId="28" fillId="0" borderId="72" xfId="41" applyNumberFormat="1" applyFont="1" applyBorder="1" applyAlignment="1">
      <alignment horizontal="right" vertical="center" shrinkToFit="1"/>
    </xf>
    <xf numFmtId="3" fontId="28" fillId="0" borderId="70" xfId="41" applyNumberFormat="1" applyFont="1" applyBorder="1" applyAlignment="1">
      <alignment horizontal="right" vertical="center" shrinkToFit="1"/>
    </xf>
    <xf numFmtId="3" fontId="28" fillId="0" borderId="73" xfId="41" applyNumberFormat="1" applyFont="1" applyBorder="1" applyAlignment="1">
      <alignment horizontal="right" vertical="center" shrinkToFit="1"/>
    </xf>
    <xf numFmtId="0" fontId="28" fillId="0" borderId="75" xfId="41" applyFont="1" applyBorder="1" applyAlignment="1">
      <alignment horizontal="right" vertical="center"/>
    </xf>
    <xf numFmtId="0" fontId="28" fillId="0" borderId="76" xfId="41" applyFont="1" applyBorder="1" applyAlignment="1">
      <alignment horizontal="right" vertical="center"/>
    </xf>
    <xf numFmtId="0" fontId="28" fillId="0" borderId="77" xfId="41" applyFont="1" applyBorder="1" applyAlignment="1">
      <alignment horizontal="right" vertical="center"/>
    </xf>
    <xf numFmtId="0" fontId="28" fillId="0" borderId="78" xfId="41" applyFont="1" applyBorder="1" applyAlignment="1">
      <alignment horizontal="right" vertical="center"/>
    </xf>
    <xf numFmtId="0" fontId="28" fillId="0" borderId="79" xfId="41" applyFont="1" applyBorder="1" applyAlignment="1">
      <alignment horizontal="right" vertical="center"/>
    </xf>
    <xf numFmtId="188" fontId="28" fillId="0" borderId="98" xfId="41" applyNumberFormat="1" applyFont="1" applyBorder="1" applyAlignment="1">
      <alignment horizontal="right" vertical="center"/>
    </xf>
    <xf numFmtId="188" fontId="28" fillId="0" borderId="0" xfId="41" applyNumberFormat="1" applyFont="1" applyAlignment="1">
      <alignment horizontal="right" vertical="center"/>
    </xf>
    <xf numFmtId="188" fontId="28" fillId="0" borderId="28" xfId="41" applyNumberFormat="1" applyFont="1" applyBorder="1" applyAlignment="1">
      <alignment horizontal="right" vertical="center"/>
    </xf>
    <xf numFmtId="0" fontId="30" fillId="0" borderId="10" xfId="41" applyFont="1" applyBorder="1" applyAlignment="1">
      <alignment horizontal="distributed" vertical="center"/>
    </xf>
    <xf numFmtId="0" fontId="30" fillId="0" borderId="11" xfId="41" applyFont="1" applyBorder="1" applyAlignment="1">
      <alignment horizontal="distributed" vertical="center"/>
    </xf>
    <xf numFmtId="0" fontId="30" fillId="0" borderId="12" xfId="41" applyFont="1" applyBorder="1" applyAlignment="1">
      <alignment horizontal="distributed" vertical="center"/>
    </xf>
    <xf numFmtId="0" fontId="28" fillId="0" borderId="74" xfId="41" applyFont="1" applyBorder="1" applyAlignment="1">
      <alignment horizontal="right" vertical="center"/>
    </xf>
    <xf numFmtId="188" fontId="28" fillId="0" borderId="71" xfId="41" applyNumberFormat="1" applyFont="1" applyBorder="1" applyAlignment="1">
      <alignment horizontal="right" vertical="center"/>
    </xf>
    <xf numFmtId="188" fontId="28" fillId="0" borderId="11" xfId="41" applyNumberFormat="1" applyFont="1" applyBorder="1" applyAlignment="1">
      <alignment horizontal="right" vertical="center"/>
    </xf>
    <xf numFmtId="188" fontId="28" fillId="0" borderId="12" xfId="41" applyNumberFormat="1" applyFont="1" applyBorder="1" applyAlignment="1">
      <alignment horizontal="right" vertical="center"/>
    </xf>
    <xf numFmtId="0" fontId="30" fillId="0" borderId="27" xfId="41" applyFont="1" applyBorder="1" applyAlignment="1">
      <alignment horizontal="distributed" vertical="distributed"/>
    </xf>
    <xf numFmtId="0" fontId="30" fillId="0" borderId="0" xfId="41" applyFont="1" applyAlignment="1">
      <alignment horizontal="distributed" vertical="distributed"/>
    </xf>
    <xf numFmtId="0" fontId="30" fillId="0" borderId="28" xfId="41" applyFont="1" applyBorder="1" applyAlignment="1">
      <alignment horizontal="distributed" vertical="distributed"/>
    </xf>
    <xf numFmtId="188" fontId="28" fillId="0" borderId="36" xfId="41" applyNumberFormat="1" applyFont="1" applyBorder="1" applyAlignment="1">
      <alignment horizontal="right" vertical="center"/>
    </xf>
    <xf numFmtId="188" fontId="28" fillId="0" borderId="37" xfId="41" applyNumberFormat="1" applyFont="1" applyBorder="1" applyAlignment="1">
      <alignment horizontal="right" vertical="center"/>
    </xf>
    <xf numFmtId="188" fontId="28" fillId="0" borderId="38" xfId="41" applyNumberFormat="1" applyFont="1" applyBorder="1" applyAlignment="1">
      <alignment horizontal="right" vertical="center"/>
    </xf>
    <xf numFmtId="188" fontId="28" fillId="0" borderId="133" xfId="41" applyNumberFormat="1" applyFont="1" applyBorder="1" applyAlignment="1">
      <alignment horizontal="right" vertical="center"/>
    </xf>
    <xf numFmtId="188" fontId="28" fillId="0" borderId="59" xfId="41" applyNumberFormat="1" applyFont="1" applyBorder="1" applyAlignment="1">
      <alignment horizontal="right" vertical="center"/>
    </xf>
    <xf numFmtId="188" fontId="28" fillId="0" borderId="60" xfId="41" applyNumberFormat="1" applyFont="1" applyBorder="1" applyAlignment="1">
      <alignment horizontal="right" vertical="center"/>
    </xf>
    <xf numFmtId="0" fontId="30" fillId="0" borderId="52" xfId="41" applyFont="1" applyBorder="1" applyAlignment="1">
      <alignment horizontal="center" vertical="center" shrinkToFit="1"/>
    </xf>
    <xf numFmtId="0" fontId="30" fillId="0" borderId="86" xfId="41" applyFont="1" applyBorder="1" applyAlignment="1">
      <alignment horizontal="center" vertical="center" shrinkToFit="1"/>
    </xf>
    <xf numFmtId="0" fontId="30" fillId="0" borderId="71" xfId="41" applyFont="1" applyBorder="1" applyAlignment="1">
      <alignment horizontal="center" vertical="center" shrinkToFit="1"/>
    </xf>
    <xf numFmtId="0" fontId="30" fillId="0" borderId="11" xfId="41" applyFont="1" applyBorder="1" applyAlignment="1">
      <alignment horizontal="center" vertical="center" shrinkToFit="1"/>
    </xf>
    <xf numFmtId="0" fontId="30" fillId="0" borderId="83" xfId="41" applyFont="1" applyBorder="1" applyAlignment="1">
      <alignment horizontal="center" vertical="center" shrinkToFit="1"/>
    </xf>
    <xf numFmtId="0" fontId="30" fillId="0" borderId="70" xfId="41" applyFont="1" applyBorder="1" applyAlignment="1">
      <alignment horizontal="center" vertical="center" shrinkToFit="1"/>
    </xf>
    <xf numFmtId="0" fontId="30" fillId="0" borderId="84" xfId="41" applyFont="1" applyBorder="1" applyAlignment="1">
      <alignment horizontal="center" vertical="center" shrinkToFit="1"/>
    </xf>
    <xf numFmtId="0" fontId="30" fillId="0" borderId="80" xfId="41" applyFont="1" applyBorder="1" applyAlignment="1">
      <alignment horizontal="center" vertical="center"/>
    </xf>
    <xf numFmtId="0" fontId="30" fillId="0" borderId="81" xfId="41" applyFont="1" applyBorder="1" applyAlignment="1">
      <alignment horizontal="center" vertical="center"/>
    </xf>
    <xf numFmtId="0" fontId="30" fillId="0" borderId="82" xfId="41" applyFont="1" applyBorder="1" applyAlignment="1">
      <alignment horizontal="center" vertical="center"/>
    </xf>
    <xf numFmtId="0" fontId="30" fillId="0" borderId="10" xfId="41" quotePrefix="1" applyFont="1" applyBorder="1" applyAlignment="1">
      <alignment horizontal="center" vertical="center" shrinkToFit="1"/>
    </xf>
    <xf numFmtId="187" fontId="28" fillId="0" borderId="72" xfId="41" applyNumberFormat="1" applyFont="1" applyBorder="1" applyAlignment="1">
      <alignment horizontal="right" vertical="center" shrinkToFit="1"/>
    </xf>
    <xf numFmtId="187" fontId="28" fillId="0" borderId="61" xfId="41" applyNumberFormat="1" applyFont="1" applyBorder="1" applyAlignment="1">
      <alignment horizontal="right" vertical="center" shrinkToFit="1"/>
    </xf>
    <xf numFmtId="187" fontId="28" fillId="0" borderId="30" xfId="41" applyNumberFormat="1" applyFont="1" applyBorder="1" applyAlignment="1">
      <alignment horizontal="right" vertical="center" shrinkToFit="1"/>
    </xf>
    <xf numFmtId="188" fontId="28" fillId="0" borderId="62" xfId="41" applyNumberFormat="1" applyFont="1" applyBorder="1" applyAlignment="1">
      <alignment horizontal="right" vertical="center"/>
    </xf>
    <xf numFmtId="188" fontId="28" fillId="0" borderId="16" xfId="41" applyNumberFormat="1" applyFont="1" applyBorder="1" applyAlignment="1">
      <alignment horizontal="right" vertical="center"/>
    </xf>
    <xf numFmtId="188" fontId="28" fillId="0" borderId="17" xfId="41" applyNumberFormat="1" applyFont="1" applyBorder="1" applyAlignment="1">
      <alignment horizontal="right" vertical="center"/>
    </xf>
    <xf numFmtId="0" fontId="30" fillId="0" borderId="89" xfId="41" applyFont="1" applyBorder="1" applyAlignment="1">
      <alignment horizontal="distributed" vertical="center"/>
    </xf>
    <xf numFmtId="187" fontId="28" fillId="0" borderId="34" xfId="41" applyNumberFormat="1" applyFont="1" applyBorder="1" applyAlignment="1">
      <alignment horizontal="right" vertical="center" shrinkToFit="1"/>
    </xf>
    <xf numFmtId="187" fontId="28" fillId="0" borderId="39" xfId="41" applyNumberFormat="1" applyFont="1" applyBorder="1" applyAlignment="1">
      <alignment horizontal="right" vertical="center" shrinkToFit="1"/>
    </xf>
    <xf numFmtId="0" fontId="30" fillId="0" borderId="63" xfId="41" applyFont="1" applyBorder="1" applyAlignment="1">
      <alignment horizontal="center" vertical="center" textRotation="255"/>
    </xf>
    <xf numFmtId="0" fontId="30" fillId="0" borderId="35" xfId="41" applyFont="1" applyBorder="1" applyAlignment="1">
      <alignment horizontal="center" vertical="center" textRotation="255"/>
    </xf>
    <xf numFmtId="0" fontId="30" fillId="0" borderId="90" xfId="41" applyFont="1" applyBorder="1" applyAlignment="1">
      <alignment horizontal="center" vertical="center" textRotation="255"/>
    </xf>
    <xf numFmtId="0" fontId="30" fillId="0" borderId="62" xfId="41" applyFont="1" applyBorder="1" applyAlignment="1">
      <alignment horizontal="distributed" vertical="center"/>
    </xf>
    <xf numFmtId="0" fontId="30" fillId="0" borderId="16" xfId="41" applyFont="1" applyBorder="1" applyAlignment="1">
      <alignment horizontal="distributed" vertical="center"/>
    </xf>
    <xf numFmtId="0" fontId="30" fillId="0" borderId="17" xfId="41" applyFont="1" applyBorder="1" applyAlignment="1">
      <alignment horizontal="distributed" vertical="center"/>
    </xf>
    <xf numFmtId="188" fontId="28" fillId="0" borderId="132" xfId="41" applyNumberFormat="1" applyFont="1" applyBorder="1" applyAlignment="1">
      <alignment horizontal="right" vertical="center"/>
    </xf>
    <xf numFmtId="188" fontId="28" fillId="0" borderId="92" xfId="41" applyNumberFormat="1" applyFont="1" applyBorder="1" applyAlignment="1">
      <alignment horizontal="right" vertical="center"/>
    </xf>
    <xf numFmtId="188" fontId="28" fillId="0" borderId="93" xfId="41" applyNumberFormat="1" applyFont="1" applyBorder="1" applyAlignment="1">
      <alignment horizontal="right" vertical="center"/>
    </xf>
    <xf numFmtId="0" fontId="30" fillId="0" borderId="26" xfId="41" applyFont="1" applyBorder="1" applyAlignment="1">
      <alignment horizontal="distributed" vertical="center"/>
    </xf>
    <xf numFmtId="187" fontId="28" fillId="0" borderId="90" xfId="41" applyNumberFormat="1" applyFont="1" applyBorder="1" applyAlignment="1">
      <alignment horizontal="right" vertical="center" shrinkToFit="1"/>
    </xf>
    <xf numFmtId="187" fontId="28" fillId="0" borderId="91" xfId="41" applyNumberFormat="1" applyFont="1" applyBorder="1" applyAlignment="1">
      <alignment horizontal="right" vertical="center" shrinkToFit="1"/>
    </xf>
    <xf numFmtId="187" fontId="28" fillId="0" borderId="52" xfId="41" applyNumberFormat="1" applyFont="1" applyBorder="1" applyAlignment="1">
      <alignment horizontal="right" vertical="center" shrinkToFit="1"/>
    </xf>
    <xf numFmtId="0" fontId="30" fillId="0" borderId="0" xfId="41" applyFont="1" applyAlignment="1">
      <alignment horizontal="right" shrinkToFit="1"/>
    </xf>
    <xf numFmtId="0" fontId="30" fillId="0" borderId="0" xfId="41" applyFont="1" applyAlignment="1">
      <alignment horizontal="center" shrinkToFit="1"/>
    </xf>
    <xf numFmtId="0" fontId="30" fillId="0" borderId="16" xfId="41" applyFont="1" applyBorder="1" applyAlignment="1">
      <alignment horizontal="center" vertical="center" justifyLastLine="1"/>
    </xf>
    <xf numFmtId="0" fontId="30" fillId="0" borderId="17" xfId="41" applyFont="1" applyBorder="1" applyAlignment="1">
      <alignment horizontal="center" vertical="center" justifyLastLine="1"/>
    </xf>
    <xf numFmtId="0" fontId="30" fillId="0" borderId="18" xfId="41" applyFont="1" applyBorder="1" applyAlignment="1">
      <alignment horizontal="center" vertical="center" justifyLastLine="1"/>
    </xf>
    <xf numFmtId="0" fontId="30" fillId="0" borderId="85" xfId="41" applyFont="1" applyBorder="1" applyAlignment="1">
      <alignment horizontal="distributed" vertical="center"/>
    </xf>
    <xf numFmtId="0" fontId="30" fillId="0" borderId="87" xfId="41" applyFont="1" applyBorder="1" applyAlignment="1">
      <alignment horizontal="distributed" vertical="center"/>
    </xf>
    <xf numFmtId="0" fontId="30" fillId="0" borderId="92" xfId="41" applyFont="1" applyBorder="1" applyAlignment="1">
      <alignment horizontal="distributed" vertical="center"/>
    </xf>
    <xf numFmtId="0" fontId="30" fillId="0" borderId="93" xfId="41" applyFont="1" applyBorder="1" applyAlignment="1">
      <alignment horizontal="distributed" vertical="center"/>
    </xf>
    <xf numFmtId="3" fontId="28" fillId="0" borderId="90" xfId="41" applyNumberFormat="1" applyFont="1" applyBorder="1" applyAlignment="1">
      <alignment horizontal="right" vertical="center" shrinkToFit="1"/>
    </xf>
    <xf numFmtId="3" fontId="28" fillId="0" borderId="91" xfId="41" applyNumberFormat="1" applyFont="1" applyBorder="1" applyAlignment="1">
      <alignment horizontal="right" vertical="center" shrinkToFit="1"/>
    </xf>
    <xf numFmtId="0" fontId="30" fillId="0" borderId="85" xfId="41" applyFont="1" applyBorder="1" applyAlignment="1">
      <alignment horizontal="center" vertical="center"/>
    </xf>
    <xf numFmtId="0" fontId="30" fillId="0" borderId="37" xfId="41" applyFont="1" applyBorder="1" applyAlignment="1">
      <alignment horizontal="center" vertical="center"/>
    </xf>
    <xf numFmtId="0" fontId="30" fillId="0" borderId="38" xfId="41" applyFont="1" applyBorder="1" applyAlignment="1">
      <alignment horizontal="center" vertical="center"/>
    </xf>
    <xf numFmtId="187" fontId="28" fillId="0" borderId="29" xfId="41" applyNumberFormat="1" applyFont="1" applyBorder="1" applyAlignment="1">
      <alignment horizontal="right" vertical="center" shrinkToFit="1"/>
    </xf>
    <xf numFmtId="0" fontId="30" fillId="0" borderId="91" xfId="41" applyFont="1" applyBorder="1" applyAlignment="1">
      <alignment horizontal="center" vertical="center" shrinkToFit="1"/>
    </xf>
    <xf numFmtId="0" fontId="30" fillId="0" borderId="132" xfId="41" applyFont="1" applyBorder="1" applyAlignment="1">
      <alignment horizontal="center" vertical="center" shrinkToFit="1"/>
    </xf>
    <xf numFmtId="0" fontId="30" fillId="0" borderId="123" xfId="41" applyFont="1" applyBorder="1" applyAlignment="1">
      <alignment horizontal="center" vertical="center" shrinkToFit="1"/>
    </xf>
    <xf numFmtId="0" fontId="30" fillId="0" borderId="94" xfId="41" applyFont="1" applyBorder="1" applyAlignment="1">
      <alignment horizontal="center" vertical="center"/>
    </xf>
    <xf numFmtId="0" fontId="30" fillId="0" borderId="32" xfId="41" applyFont="1" applyBorder="1" applyAlignment="1">
      <alignment horizontal="center" vertical="center"/>
    </xf>
    <xf numFmtId="0" fontId="30" fillId="0" borderId="33" xfId="41" applyFont="1" applyBorder="1" applyAlignment="1">
      <alignment horizontal="center" vertical="center"/>
    </xf>
    <xf numFmtId="0" fontId="30" fillId="0" borderId="26" xfId="41" applyFont="1" applyBorder="1" applyAlignment="1">
      <alignment horizontal="center" vertical="center"/>
    </xf>
    <xf numFmtId="0" fontId="30" fillId="0" borderId="22" xfId="41" applyFont="1" applyBorder="1" applyAlignment="1">
      <alignment horizontal="center" vertical="center"/>
    </xf>
    <xf numFmtId="0" fontId="30" fillId="0" borderId="25" xfId="41" applyFont="1" applyBorder="1" applyAlignment="1">
      <alignment horizontal="center" vertical="center"/>
    </xf>
    <xf numFmtId="187" fontId="28" fillId="0" borderId="23" xfId="41" applyNumberFormat="1" applyFont="1" applyBorder="1" applyAlignment="1">
      <alignment horizontal="right" vertical="center" shrinkToFit="1"/>
    </xf>
    <xf numFmtId="187" fontId="28" fillId="0" borderId="51" xfId="41" applyNumberFormat="1" applyFont="1" applyBorder="1" applyAlignment="1">
      <alignment horizontal="right" vertical="center" shrinkToFit="1"/>
    </xf>
    <xf numFmtId="0" fontId="30" fillId="0" borderId="58" xfId="41" applyFont="1" applyBorder="1" applyAlignment="1">
      <alignment horizontal="center" vertical="center"/>
    </xf>
    <xf numFmtId="0" fontId="30" fillId="0" borderId="59" xfId="41" applyFont="1" applyBorder="1" applyAlignment="1">
      <alignment horizontal="center" vertical="center"/>
    </xf>
    <xf numFmtId="0" fontId="30" fillId="0" borderId="60" xfId="41" applyFont="1" applyBorder="1" applyAlignment="1">
      <alignment horizontal="center" vertical="center"/>
    </xf>
    <xf numFmtId="0" fontId="30" fillId="0" borderId="18" xfId="41" applyFont="1" applyBorder="1" applyAlignment="1">
      <alignment horizontal="distributed" vertical="center"/>
    </xf>
    <xf numFmtId="0" fontId="30" fillId="0" borderId="58" xfId="41" applyFont="1" applyBorder="1" applyAlignment="1">
      <alignment horizontal="center" vertical="center" textRotation="255" shrinkToFit="1"/>
    </xf>
    <xf numFmtId="0" fontId="30" fillId="0" borderId="27" xfId="41" applyFont="1" applyBorder="1" applyAlignment="1">
      <alignment horizontal="center" vertical="center" textRotation="255" shrinkToFit="1"/>
    </xf>
    <xf numFmtId="0" fontId="30" fillId="0" borderId="87" xfId="41" applyFont="1" applyBorder="1" applyAlignment="1">
      <alignment horizontal="center" vertical="center" textRotation="255" shrinkToFit="1"/>
    </xf>
    <xf numFmtId="0" fontId="30" fillId="0" borderId="59" xfId="41" applyFont="1" applyBorder="1" applyAlignment="1">
      <alignment horizontal="center" vertical="center" textRotation="255" shrinkToFit="1"/>
    </xf>
    <xf numFmtId="0" fontId="30" fillId="0" borderId="0" xfId="41" applyFont="1" applyAlignment="1">
      <alignment horizontal="center" vertical="center" textRotation="255" shrinkToFit="1"/>
    </xf>
    <xf numFmtId="0" fontId="30" fillId="0" borderId="92" xfId="41" applyFont="1" applyBorder="1" applyAlignment="1">
      <alignment horizontal="center" vertical="center" textRotation="255" shrinkToFit="1"/>
    </xf>
    <xf numFmtId="0" fontId="30" fillId="0" borderId="62" xfId="41" applyFont="1" applyBorder="1" applyAlignment="1">
      <alignment horizontal="distributed" vertical="center" shrinkToFit="1"/>
    </xf>
    <xf numFmtId="0" fontId="30" fillId="0" borderId="16" xfId="41" applyFont="1" applyBorder="1" applyAlignment="1">
      <alignment horizontal="distributed" vertical="center" shrinkToFit="1"/>
    </xf>
    <xf numFmtId="0" fontId="30" fillId="0" borderId="17" xfId="41" applyFont="1" applyBorder="1" applyAlignment="1">
      <alignment horizontal="distributed" vertical="center" shrinkToFit="1"/>
    </xf>
    <xf numFmtId="187" fontId="28" fillId="0" borderId="63" xfId="41" applyNumberFormat="1" applyFont="1" applyBorder="1" applyAlignment="1">
      <alignment horizontal="right" vertical="center" shrinkToFit="1"/>
    </xf>
    <xf numFmtId="187" fontId="28" fillId="0" borderId="64" xfId="41" applyNumberFormat="1" applyFont="1" applyBorder="1" applyAlignment="1">
      <alignment horizontal="right" vertical="center" shrinkToFit="1"/>
    </xf>
    <xf numFmtId="187" fontId="28" fillId="0" borderId="62" xfId="41" applyNumberFormat="1" applyFont="1" applyBorder="1" applyAlignment="1">
      <alignment horizontal="right" vertical="center" shrinkToFit="1"/>
    </xf>
    <xf numFmtId="187" fontId="28" fillId="0" borderId="16" xfId="41" applyNumberFormat="1" applyFont="1" applyBorder="1" applyAlignment="1">
      <alignment horizontal="right" vertical="center" shrinkToFit="1"/>
    </xf>
    <xf numFmtId="187" fontId="28" fillId="0" borderId="95" xfId="41" applyNumberFormat="1" applyFont="1" applyBorder="1" applyAlignment="1">
      <alignment horizontal="right" vertical="center" shrinkToFit="1"/>
    </xf>
    <xf numFmtId="187" fontId="28" fillId="0" borderId="58" xfId="41" applyNumberFormat="1" applyFont="1" applyBorder="1" applyAlignment="1">
      <alignment horizontal="right" vertical="center" shrinkToFit="1"/>
    </xf>
    <xf numFmtId="187" fontId="28" fillId="0" borderId="59" xfId="41" applyNumberFormat="1" applyFont="1" applyBorder="1" applyAlignment="1">
      <alignment horizontal="right" vertical="center" shrinkToFit="1"/>
    </xf>
    <xf numFmtId="187" fontId="28" fillId="0" borderId="96" xfId="41" applyNumberFormat="1" applyFont="1" applyBorder="1" applyAlignment="1">
      <alignment horizontal="right" vertical="center" shrinkToFit="1"/>
    </xf>
    <xf numFmtId="187" fontId="28" fillId="0" borderId="36" xfId="41" applyNumberFormat="1" applyFont="1" applyBorder="1" applyAlignment="1">
      <alignment horizontal="right" vertical="center" shrinkToFit="1"/>
    </xf>
    <xf numFmtId="187" fontId="28" fillId="0" borderId="37" xfId="41" applyNumberFormat="1" applyFont="1" applyBorder="1" applyAlignment="1">
      <alignment horizontal="right" vertical="center" shrinkToFit="1"/>
    </xf>
    <xf numFmtId="187" fontId="28" fillId="0" borderId="49" xfId="41" applyNumberFormat="1" applyFont="1" applyBorder="1" applyAlignment="1">
      <alignment horizontal="right" vertical="center" shrinkToFit="1"/>
    </xf>
    <xf numFmtId="187" fontId="28" fillId="0" borderId="50" xfId="41" applyNumberFormat="1" applyFont="1" applyBorder="1" applyAlignment="1">
      <alignment horizontal="right" vertical="center" shrinkToFit="1"/>
    </xf>
    <xf numFmtId="187" fontId="28" fillId="0" borderId="85" xfId="41" applyNumberFormat="1" applyFont="1" applyBorder="1" applyAlignment="1">
      <alignment horizontal="right" vertical="center" shrinkToFit="1"/>
    </xf>
    <xf numFmtId="0" fontId="30" fillId="0" borderId="58" xfId="41" applyFont="1" applyBorder="1" applyAlignment="1">
      <alignment horizontal="center" vertical="distributed" textRotation="255" justifyLastLine="1"/>
    </xf>
    <xf numFmtId="0" fontId="30" fillId="0" borderId="59" xfId="41" applyFont="1" applyBorder="1" applyAlignment="1">
      <alignment horizontal="center" vertical="distributed" textRotation="255" justifyLastLine="1"/>
    </xf>
    <xf numFmtId="0" fontId="30" fillId="0" borderId="27" xfId="41" applyFont="1" applyBorder="1" applyAlignment="1">
      <alignment horizontal="center" vertical="distributed" textRotation="255" justifyLastLine="1"/>
    </xf>
    <xf numFmtId="0" fontId="30" fillId="0" borderId="0" xfId="41" applyFont="1" applyAlignment="1">
      <alignment horizontal="center" vertical="distributed" textRotation="255" justifyLastLine="1"/>
    </xf>
    <xf numFmtId="3" fontId="28" fillId="0" borderId="26" xfId="41" applyNumberFormat="1" applyFont="1" applyBorder="1" applyAlignment="1">
      <alignment horizontal="right" vertical="center" shrinkToFit="1"/>
    </xf>
    <xf numFmtId="3" fontId="28" fillId="0" borderId="22" xfId="41" applyNumberFormat="1" applyFont="1" applyBorder="1" applyAlignment="1">
      <alignment horizontal="right" vertical="center" shrinkToFit="1"/>
    </xf>
    <xf numFmtId="3" fontId="28" fillId="0" borderId="23" xfId="41" applyNumberFormat="1" applyFont="1" applyBorder="1" applyAlignment="1">
      <alignment horizontal="right" vertical="center" shrinkToFit="1"/>
    </xf>
    <xf numFmtId="3" fontId="28" fillId="0" borderId="24" xfId="41" applyNumberFormat="1" applyFont="1" applyBorder="1" applyAlignment="1">
      <alignment horizontal="right" vertical="center" shrinkToFit="1"/>
    </xf>
    <xf numFmtId="0" fontId="30" fillId="0" borderId="24" xfId="41" applyFont="1" applyBorder="1" applyAlignment="1">
      <alignment horizontal="distributed" vertical="center" shrinkToFit="1"/>
    </xf>
    <xf numFmtId="0" fontId="30" fillId="0" borderId="22" xfId="41" applyFont="1" applyBorder="1" applyAlignment="1">
      <alignment horizontal="distributed" vertical="center" shrinkToFit="1"/>
    </xf>
    <xf numFmtId="0" fontId="30" fillId="0" borderId="25" xfId="41" applyFont="1" applyBorder="1" applyAlignment="1">
      <alignment horizontal="distributed" vertical="center" shrinkToFit="1"/>
    </xf>
    <xf numFmtId="3" fontId="28" fillId="0" borderId="94" xfId="41" applyNumberFormat="1" applyFont="1" applyBorder="1" applyAlignment="1">
      <alignment horizontal="right" vertical="center" shrinkToFit="1"/>
    </xf>
    <xf numFmtId="3" fontId="28" fillId="0" borderId="32" xfId="41" applyNumberFormat="1" applyFont="1" applyBorder="1" applyAlignment="1">
      <alignment horizontal="right" vertical="center" shrinkToFit="1"/>
    </xf>
    <xf numFmtId="187" fontId="28" fillId="0" borderId="94" xfId="41" applyNumberFormat="1" applyFont="1" applyBorder="1" applyAlignment="1">
      <alignment horizontal="right" vertical="center" shrinkToFit="1"/>
    </xf>
    <xf numFmtId="187" fontId="28" fillId="0" borderId="32" xfId="41" applyNumberFormat="1" applyFont="1" applyBorder="1" applyAlignment="1">
      <alignment horizontal="right" vertical="center" shrinkToFit="1"/>
    </xf>
    <xf numFmtId="3" fontId="28" fillId="0" borderId="85" xfId="41" applyNumberFormat="1" applyFont="1" applyBorder="1" applyAlignment="1">
      <alignment horizontal="right" vertical="center" shrinkToFit="1"/>
    </xf>
    <xf numFmtId="3" fontId="28" fillId="0" borderId="37" xfId="41" applyNumberFormat="1" applyFont="1" applyBorder="1" applyAlignment="1">
      <alignment horizontal="right" vertical="center" shrinkToFit="1"/>
    </xf>
    <xf numFmtId="0" fontId="30" fillId="0" borderId="10" xfId="41" applyFont="1" applyBorder="1" applyAlignment="1">
      <alignment horizontal="distributed" vertical="center" shrinkToFit="1"/>
    </xf>
    <xf numFmtId="0" fontId="30" fillId="0" borderId="11" xfId="41" applyFont="1" applyBorder="1" applyAlignment="1">
      <alignment horizontal="distributed" vertical="center" shrinkToFit="1"/>
    </xf>
    <xf numFmtId="0" fontId="30" fillId="0" borderId="12" xfId="41" applyFont="1" applyBorder="1" applyAlignment="1">
      <alignment horizontal="distributed" vertical="center" shrinkToFit="1"/>
    </xf>
    <xf numFmtId="187" fontId="28" fillId="0" borderId="73" xfId="41" applyNumberFormat="1" applyFont="1" applyBorder="1" applyAlignment="1">
      <alignment horizontal="right" vertical="center" shrinkToFit="1"/>
    </xf>
    <xf numFmtId="187" fontId="28" fillId="0" borderId="70" xfId="41" applyNumberFormat="1" applyFont="1" applyBorder="1" applyAlignment="1">
      <alignment horizontal="right" vertical="center" shrinkToFit="1"/>
    </xf>
    <xf numFmtId="187" fontId="28" fillId="0" borderId="10" xfId="41" applyNumberFormat="1" applyFont="1" applyBorder="1" applyAlignment="1">
      <alignment horizontal="right" vertical="center" shrinkToFit="1"/>
    </xf>
    <xf numFmtId="187" fontId="28" fillId="0" borderId="11" xfId="41" applyNumberFormat="1" applyFont="1" applyBorder="1" applyAlignment="1">
      <alignment horizontal="right" vertical="center" shrinkToFit="1"/>
    </xf>
    <xf numFmtId="187" fontId="28" fillId="0" borderId="83" xfId="41" applyNumberFormat="1" applyFont="1" applyBorder="1" applyAlignment="1">
      <alignment horizontal="right" vertical="center" shrinkToFit="1"/>
    </xf>
    <xf numFmtId="0" fontId="30" fillId="0" borderId="45" xfId="41" applyFont="1" applyBorder="1" applyAlignment="1">
      <alignment horizontal="distributed" vertical="center" shrinkToFit="1"/>
    </xf>
    <xf numFmtId="0" fontId="30" fillId="0" borderId="46" xfId="41" applyFont="1" applyBorder="1" applyAlignment="1">
      <alignment horizontal="distributed" vertical="center" shrinkToFit="1"/>
    </xf>
    <xf numFmtId="0" fontId="30" fillId="0" borderId="47" xfId="41" applyFont="1" applyBorder="1" applyAlignment="1">
      <alignment horizontal="distributed" vertical="center" shrinkToFit="1"/>
    </xf>
    <xf numFmtId="187" fontId="28" fillId="0" borderId="88" xfId="41" applyNumberFormat="1" applyFont="1" applyBorder="1" applyAlignment="1">
      <alignment horizontal="right" vertical="center" shrinkToFit="1"/>
    </xf>
    <xf numFmtId="187" fontId="28" fillId="0" borderId="27" xfId="41" applyNumberFormat="1" applyFont="1" applyBorder="1" applyAlignment="1">
      <alignment horizontal="right" vertical="center" shrinkToFit="1"/>
    </xf>
    <xf numFmtId="187" fontId="28" fillId="0" borderId="0" xfId="41" applyNumberFormat="1" applyFont="1" applyAlignment="1">
      <alignment horizontal="right" vertical="center" shrinkToFit="1"/>
    </xf>
    <xf numFmtId="187" fontId="28" fillId="0" borderId="97" xfId="41" applyNumberFormat="1" applyFont="1" applyBorder="1" applyAlignment="1">
      <alignment horizontal="right" vertical="center" shrinkToFit="1"/>
    </xf>
    <xf numFmtId="0" fontId="30" fillId="0" borderId="92" xfId="41" quotePrefix="1" applyFont="1" applyBorder="1" applyAlignment="1">
      <alignment horizontal="center" vertical="center" shrinkToFit="1"/>
    </xf>
    <xf numFmtId="0" fontId="30" fillId="0" borderId="92" xfId="41" applyFont="1" applyBorder="1" applyAlignment="1">
      <alignment horizontal="center" vertical="center" shrinkToFit="1"/>
    </xf>
    <xf numFmtId="0" fontId="30" fillId="0" borderId="130" xfId="41" applyFont="1" applyBorder="1" applyAlignment="1">
      <alignment horizontal="center" vertical="center" shrinkToFit="1"/>
    </xf>
    <xf numFmtId="0" fontId="30" fillId="0" borderId="94" xfId="41" applyFont="1" applyBorder="1" applyAlignment="1">
      <alignment horizontal="distributed" vertical="center"/>
    </xf>
    <xf numFmtId="0" fontId="30" fillId="0" borderId="32" xfId="41" applyFont="1" applyBorder="1" applyAlignment="1">
      <alignment horizontal="distributed" vertical="center"/>
    </xf>
    <xf numFmtId="0" fontId="30" fillId="0" borderId="33" xfId="41" applyFont="1" applyBorder="1" applyAlignment="1">
      <alignment horizontal="distributed" vertical="center"/>
    </xf>
    <xf numFmtId="187" fontId="28" fillId="0" borderId="35" xfId="41" applyNumberFormat="1" applyFont="1" applyBorder="1" applyAlignment="1">
      <alignment horizontal="right" vertical="center" shrinkToFit="1"/>
    </xf>
    <xf numFmtId="187" fontId="28" fillId="0" borderId="48" xfId="41" applyNumberFormat="1" applyFont="1" applyBorder="1" applyAlignment="1">
      <alignment horizontal="right" vertical="center" shrinkToFit="1"/>
    </xf>
    <xf numFmtId="0" fontId="30" fillId="0" borderId="87" xfId="41" applyFont="1" applyBorder="1" applyAlignment="1">
      <alignment horizontal="center" vertical="distributed" textRotation="255" justifyLastLine="1"/>
    </xf>
    <xf numFmtId="0" fontId="30" fillId="0" borderId="98" xfId="41" applyFont="1" applyBorder="1" applyAlignment="1">
      <alignment horizontal="distributed" vertical="center"/>
    </xf>
    <xf numFmtId="0" fontId="30" fillId="0" borderId="59" xfId="41" applyFont="1" applyBorder="1" applyAlignment="1">
      <alignment horizontal="center" vertical="center" justifyLastLine="1"/>
    </xf>
    <xf numFmtId="0" fontId="30" fillId="0" borderId="58" xfId="41" applyFont="1" applyBorder="1" applyAlignment="1">
      <alignment horizontal="center" vertical="center" justifyLastLine="1"/>
    </xf>
    <xf numFmtId="0" fontId="30" fillId="0" borderId="60" xfId="41" applyFont="1" applyBorder="1" applyAlignment="1">
      <alignment horizontal="center" vertical="center" justifyLastLine="1"/>
    </xf>
    <xf numFmtId="0" fontId="28" fillId="0" borderId="40" xfId="41" applyFont="1" applyBorder="1" applyAlignment="1">
      <alignment horizontal="right" vertical="center"/>
    </xf>
    <xf numFmtId="0" fontId="30" fillId="0" borderId="10" xfId="41" applyFont="1" applyBorder="1" applyAlignment="1">
      <alignment horizontal="center" vertical="center"/>
    </xf>
    <xf numFmtId="0" fontId="30" fillId="0" borderId="11" xfId="41" applyFont="1" applyBorder="1" applyAlignment="1">
      <alignment horizontal="center" vertical="center"/>
    </xf>
    <xf numFmtId="0" fontId="30" fillId="0" borderId="12" xfId="41" applyFont="1" applyBorder="1" applyAlignment="1">
      <alignment horizontal="center" vertical="center"/>
    </xf>
    <xf numFmtId="0" fontId="30" fillId="0" borderId="10" xfId="41" applyFont="1" applyBorder="1" applyAlignment="1">
      <alignment horizontal="center" vertical="center" shrinkToFit="1"/>
    </xf>
    <xf numFmtId="0" fontId="30" fillId="0" borderId="12" xfId="41" applyFont="1" applyBorder="1" applyAlignment="1">
      <alignment horizontal="center" vertical="center" shrinkToFit="1"/>
    </xf>
    <xf numFmtId="0" fontId="28" fillId="0" borderId="53" xfId="41" applyFont="1" applyBorder="1" applyAlignment="1">
      <alignment horizontal="right" vertical="center"/>
    </xf>
    <xf numFmtId="4" fontId="28" fillId="0" borderId="18" xfId="44" applyNumberFormat="1" applyFont="1" applyBorder="1" applyAlignment="1">
      <alignment horizontal="right" vertical="center" shrinkToFit="1"/>
    </xf>
    <xf numFmtId="4" fontId="28" fillId="0" borderId="16" xfId="44" applyNumberFormat="1" applyFont="1" applyBorder="1" applyAlignment="1">
      <alignment horizontal="right" vertical="center" shrinkToFit="1"/>
    </xf>
    <xf numFmtId="4" fontId="28" fillId="0" borderId="95" xfId="44" applyNumberFormat="1" applyFont="1" applyBorder="1" applyAlignment="1">
      <alignment horizontal="right" vertical="center" shrinkToFit="1"/>
    </xf>
    <xf numFmtId="4" fontId="28" fillId="0" borderId="62" xfId="41" applyNumberFormat="1" applyFont="1" applyBorder="1" applyAlignment="1">
      <alignment horizontal="right" vertical="center" shrinkToFit="1"/>
    </xf>
    <xf numFmtId="4" fontId="28" fillId="0" borderId="16" xfId="41" applyNumberFormat="1" applyFont="1" applyBorder="1" applyAlignment="1">
      <alignment horizontal="right" vertical="center" shrinkToFit="1"/>
    </xf>
    <xf numFmtId="4" fontId="28" fillId="0" borderId="95" xfId="41" applyNumberFormat="1" applyFont="1" applyBorder="1" applyAlignment="1">
      <alignment horizontal="right" vertical="center" shrinkToFit="1"/>
    </xf>
    <xf numFmtId="4" fontId="28" fillId="0" borderId="85" xfId="44" applyNumberFormat="1" applyFont="1" applyBorder="1" applyAlignment="1">
      <alignment horizontal="right" vertical="center" shrinkToFit="1"/>
    </xf>
    <xf numFmtId="4" fontId="28" fillId="0" borderId="37" xfId="44" applyNumberFormat="1" applyFont="1" applyBorder="1" applyAlignment="1">
      <alignment horizontal="right" vertical="center" shrinkToFit="1"/>
    </xf>
    <xf numFmtId="4" fontId="28" fillId="0" borderId="49" xfId="44" applyNumberFormat="1" applyFont="1" applyBorder="1" applyAlignment="1">
      <alignment horizontal="right" vertical="center" shrinkToFit="1"/>
    </xf>
    <xf numFmtId="4" fontId="28" fillId="0" borderId="36" xfId="41" applyNumberFormat="1" applyFont="1" applyBorder="1" applyAlignment="1">
      <alignment horizontal="right" vertical="center" shrinkToFit="1"/>
    </xf>
    <xf numFmtId="4" fontId="28" fillId="0" borderId="37" xfId="41" applyNumberFormat="1" applyFont="1" applyBorder="1" applyAlignment="1">
      <alignment horizontal="right" vertical="center" shrinkToFit="1"/>
    </xf>
    <xf numFmtId="4" fontId="28" fillId="0" borderId="49" xfId="41" applyNumberFormat="1" applyFont="1" applyBorder="1" applyAlignment="1">
      <alignment horizontal="right" vertical="center" shrinkToFit="1"/>
    </xf>
    <xf numFmtId="4" fontId="28" fillId="0" borderId="10" xfId="44" applyNumberFormat="1" applyFont="1" applyBorder="1" applyAlignment="1">
      <alignment horizontal="right" vertical="center" shrinkToFit="1"/>
    </xf>
    <xf numFmtId="4" fontId="28" fillId="0" borderId="11" xfId="44" applyNumberFormat="1" applyFont="1" applyBorder="1" applyAlignment="1">
      <alignment horizontal="right" vertical="center" shrinkToFit="1"/>
    </xf>
    <xf numFmtId="4" fontId="28" fillId="0" borderId="83" xfId="44" applyNumberFormat="1" applyFont="1" applyBorder="1" applyAlignment="1">
      <alignment horizontal="right" vertical="center" shrinkToFit="1"/>
    </xf>
    <xf numFmtId="4" fontId="28" fillId="0" borderId="71" xfId="41" applyNumberFormat="1" applyFont="1" applyBorder="1" applyAlignment="1">
      <alignment horizontal="right" vertical="center" shrinkToFit="1"/>
    </xf>
    <xf numFmtId="4" fontId="28" fillId="0" borderId="11" xfId="41" applyNumberFormat="1" applyFont="1" applyBorder="1" applyAlignment="1">
      <alignment horizontal="right" vertical="center" shrinkToFit="1"/>
    </xf>
    <xf numFmtId="4" fontId="28" fillId="0" borderId="83" xfId="41" applyNumberFormat="1" applyFont="1" applyBorder="1" applyAlignment="1">
      <alignment horizontal="right" vertical="center" shrinkToFit="1"/>
    </xf>
    <xf numFmtId="187" fontId="28" fillId="0" borderId="26" xfId="41" applyNumberFormat="1" applyFont="1" applyBorder="1" applyAlignment="1">
      <alignment horizontal="right" vertical="center" shrinkToFit="1"/>
    </xf>
    <xf numFmtId="187" fontId="28" fillId="0" borderId="22" xfId="41" applyNumberFormat="1" applyFont="1" applyBorder="1" applyAlignment="1">
      <alignment horizontal="right" vertical="center" shrinkToFit="1"/>
    </xf>
    <xf numFmtId="187" fontId="28" fillId="0" borderId="71" xfId="41" applyNumberFormat="1" applyFont="1" applyBorder="1" applyAlignment="1">
      <alignment horizontal="right" vertical="center" shrinkToFit="1"/>
    </xf>
    <xf numFmtId="0" fontId="30" fillId="0" borderId="52" xfId="41" applyFont="1" applyBorder="1" applyAlignment="1">
      <alignment horizontal="center" vertical="center"/>
    </xf>
    <xf numFmtId="0" fontId="30" fillId="0" borderId="24" xfId="41" applyFont="1" applyBorder="1" applyAlignment="1">
      <alignment horizontal="center" vertical="center"/>
    </xf>
    <xf numFmtId="0" fontId="30" fillId="0" borderId="86" xfId="41" applyFont="1" applyBorder="1" applyAlignment="1">
      <alignment horizontal="center" vertical="center"/>
    </xf>
    <xf numFmtId="0" fontId="30" fillId="0" borderId="26" xfId="41" quotePrefix="1" applyFont="1" applyBorder="1" applyAlignment="1">
      <alignment horizontal="center" vertical="center" shrinkToFit="1"/>
    </xf>
    <xf numFmtId="0" fontId="30" fillId="0" borderId="99" xfId="41" applyFont="1" applyBorder="1" applyAlignment="1">
      <alignment horizontal="center" vertical="center" justifyLastLine="1"/>
    </xf>
    <xf numFmtId="0" fontId="30" fillId="0" borderId="100" xfId="41" applyFont="1" applyBorder="1" applyAlignment="1">
      <alignment horizontal="center" vertical="center" justifyLastLine="1"/>
    </xf>
    <xf numFmtId="0" fontId="30" fillId="0" borderId="92" xfId="41" applyFont="1" applyBorder="1" applyAlignment="1">
      <alignment horizontal="center" vertical="center" justifyLastLine="1"/>
    </xf>
    <xf numFmtId="0" fontId="30" fillId="0" borderId="93" xfId="41" applyFont="1" applyBorder="1" applyAlignment="1">
      <alignment horizontal="center" vertical="center" justifyLastLine="1"/>
    </xf>
    <xf numFmtId="0" fontId="28" fillId="0" borderId="65" xfId="41" applyFont="1" applyBorder="1" applyAlignment="1">
      <alignment horizontal="right" vertical="center"/>
    </xf>
    <xf numFmtId="0" fontId="28" fillId="0" borderId="134" xfId="41" applyFont="1" applyBorder="1" applyAlignment="1">
      <alignment horizontal="right" vertical="center"/>
    </xf>
    <xf numFmtId="0" fontId="28" fillId="0" borderId="135" xfId="41" applyFont="1" applyBorder="1" applyAlignment="1">
      <alignment horizontal="right" vertical="center"/>
    </xf>
    <xf numFmtId="0" fontId="28" fillId="0" borderId="136" xfId="41" applyFont="1" applyBorder="1" applyAlignment="1">
      <alignment horizontal="right" vertical="center"/>
    </xf>
    <xf numFmtId="0" fontId="28" fillId="0" borderId="102" xfId="41" applyFont="1" applyBorder="1" applyAlignment="1">
      <alignment horizontal="right" vertical="center"/>
    </xf>
    <xf numFmtId="0" fontId="28" fillId="0" borderId="103" xfId="41" applyFont="1" applyBorder="1" applyAlignment="1">
      <alignment horizontal="right" vertical="center"/>
    </xf>
    <xf numFmtId="4" fontId="28" fillId="0" borderId="85" xfId="41" applyNumberFormat="1" applyFont="1" applyBorder="1" applyAlignment="1">
      <alignment horizontal="right" vertical="center" shrinkToFit="1"/>
    </xf>
    <xf numFmtId="4" fontId="28" fillId="0" borderId="39" xfId="41" applyNumberFormat="1" applyFont="1" applyBorder="1" applyAlignment="1">
      <alignment horizontal="right" vertical="center" shrinkToFit="1"/>
    </xf>
    <xf numFmtId="188" fontId="28" fillId="0" borderId="137" xfId="41" applyNumberFormat="1" applyFont="1" applyBorder="1" applyAlignment="1">
      <alignment horizontal="right" vertical="center"/>
    </xf>
    <xf numFmtId="186" fontId="28" fillId="0" borderId="104" xfId="41" applyNumberFormat="1" applyFont="1" applyBorder="1" applyAlignment="1">
      <alignment horizontal="right" vertical="center"/>
    </xf>
    <xf numFmtId="186" fontId="28" fillId="0" borderId="39" xfId="41" applyNumberFormat="1" applyFont="1" applyBorder="1" applyAlignment="1">
      <alignment horizontal="right" vertical="center"/>
    </xf>
    <xf numFmtId="186" fontId="28" fillId="0" borderId="105" xfId="41" applyNumberFormat="1" applyFont="1" applyBorder="1" applyAlignment="1">
      <alignment horizontal="right" vertical="center"/>
    </xf>
    <xf numFmtId="0" fontId="28" fillId="0" borderId="101" xfId="41" applyFont="1" applyBorder="1" applyAlignment="1">
      <alignment horizontal="right" vertical="center"/>
    </xf>
    <xf numFmtId="186" fontId="28" fillId="0" borderId="102" xfId="41" applyNumberFormat="1" applyFont="1" applyBorder="1" applyAlignment="1">
      <alignment horizontal="right" vertical="center"/>
    </xf>
    <xf numFmtId="186" fontId="28" fillId="0" borderId="66" xfId="41" applyNumberFormat="1" applyFont="1" applyBorder="1" applyAlignment="1">
      <alignment horizontal="right" vertical="center"/>
    </xf>
    <xf numFmtId="186" fontId="28" fillId="0" borderId="103" xfId="41" applyNumberFormat="1" applyFont="1" applyBorder="1" applyAlignment="1">
      <alignment horizontal="right" vertical="center"/>
    </xf>
    <xf numFmtId="4" fontId="28" fillId="0" borderId="50" xfId="41" applyNumberFormat="1" applyFont="1" applyBorder="1" applyAlignment="1">
      <alignment horizontal="right" vertical="center" shrinkToFit="1"/>
    </xf>
    <xf numFmtId="4" fontId="28" fillId="0" borderId="52" xfId="41" applyNumberFormat="1" applyFont="1" applyBorder="1" applyAlignment="1">
      <alignment horizontal="right" vertical="center" shrinkToFit="1"/>
    </xf>
    <xf numFmtId="188" fontId="28" fillId="0" borderId="138" xfId="41" applyNumberFormat="1" applyFont="1" applyBorder="1" applyAlignment="1">
      <alignment horizontal="right" vertical="center"/>
    </xf>
    <xf numFmtId="186" fontId="28" fillId="0" borderId="106" xfId="41" applyNumberFormat="1" applyFont="1" applyBorder="1" applyAlignment="1">
      <alignment horizontal="right" vertical="center"/>
    </xf>
    <xf numFmtId="186" fontId="28" fillId="0" borderId="52" xfId="41" applyNumberFormat="1" applyFont="1" applyBorder="1" applyAlignment="1">
      <alignment horizontal="right" vertical="center"/>
    </xf>
    <xf numFmtId="186" fontId="28" fillId="0" borderId="86" xfId="41" applyNumberFormat="1" applyFont="1" applyBorder="1" applyAlignment="1">
      <alignment horizontal="right" vertical="center"/>
    </xf>
    <xf numFmtId="4" fontId="28" fillId="0" borderId="73" xfId="41" applyNumberFormat="1" applyFont="1" applyBorder="1" applyAlignment="1">
      <alignment horizontal="right" vertical="center" shrinkToFit="1"/>
    </xf>
    <xf numFmtId="4" fontId="28" fillId="0" borderId="70" xfId="41" applyNumberFormat="1" applyFont="1" applyBorder="1" applyAlignment="1">
      <alignment horizontal="right" vertical="center" shrinkToFit="1"/>
    </xf>
    <xf numFmtId="186" fontId="28" fillId="0" borderId="107" xfId="41" applyNumberFormat="1" applyFont="1" applyBorder="1" applyAlignment="1">
      <alignment horizontal="right" vertical="center"/>
    </xf>
    <xf numFmtId="186" fontId="28" fillId="0" borderId="70" xfId="41" applyNumberFormat="1" applyFont="1" applyBorder="1" applyAlignment="1">
      <alignment horizontal="right" vertical="center"/>
    </xf>
    <xf numFmtId="186" fontId="28" fillId="0" borderId="84" xfId="41" applyNumberFormat="1" applyFont="1" applyBorder="1" applyAlignment="1">
      <alignment horizontal="right" vertical="center"/>
    </xf>
    <xf numFmtId="4" fontId="28" fillId="0" borderId="51" xfId="41" applyNumberFormat="1" applyFont="1" applyBorder="1" applyAlignment="1">
      <alignment horizontal="right" vertical="center" shrinkToFit="1"/>
    </xf>
    <xf numFmtId="4" fontId="28" fillId="0" borderId="34" xfId="41" applyNumberFormat="1" applyFont="1" applyBorder="1" applyAlignment="1">
      <alignment horizontal="right" vertical="center" shrinkToFit="1"/>
    </xf>
    <xf numFmtId="4" fontId="28" fillId="0" borderId="30" xfId="41" applyNumberFormat="1" applyFont="1" applyBorder="1" applyAlignment="1">
      <alignment horizontal="right" vertical="center" shrinkToFit="1"/>
    </xf>
    <xf numFmtId="186" fontId="28" fillId="0" borderId="108" xfId="41" applyNumberFormat="1" applyFont="1" applyBorder="1" applyAlignment="1">
      <alignment horizontal="right" vertical="center"/>
    </xf>
    <xf numFmtId="186" fontId="28" fillId="0" borderId="30" xfId="41" applyNumberFormat="1" applyFont="1" applyBorder="1" applyAlignment="1">
      <alignment horizontal="right" vertical="center"/>
    </xf>
    <xf numFmtId="186" fontId="28" fillId="0" borderId="109" xfId="41" applyNumberFormat="1" applyFont="1" applyBorder="1" applyAlignment="1">
      <alignment horizontal="right" vertical="center"/>
    </xf>
    <xf numFmtId="187" fontId="28" fillId="0" borderId="24" xfId="41" applyNumberFormat="1" applyFont="1" applyBorder="1" applyAlignment="1">
      <alignment horizontal="right" vertical="center" shrinkToFit="1"/>
    </xf>
    <xf numFmtId="187" fontId="28" fillId="0" borderId="25" xfId="41" applyNumberFormat="1" applyFont="1" applyBorder="1" applyAlignment="1">
      <alignment horizontal="right" vertical="center" shrinkToFit="1"/>
    </xf>
    <xf numFmtId="187" fontId="28" fillId="0" borderId="38" xfId="41" applyNumberFormat="1" applyFont="1" applyBorder="1" applyAlignment="1">
      <alignment horizontal="right" vertical="center" shrinkToFit="1"/>
    </xf>
    <xf numFmtId="0" fontId="30" fillId="0" borderId="45" xfId="41" applyFont="1" applyBorder="1" applyAlignment="1">
      <alignment horizontal="center" vertical="center" shrinkToFit="1"/>
    </xf>
    <xf numFmtId="0" fontId="30" fillId="0" borderId="110" xfId="41" applyFont="1" applyBorder="1" applyAlignment="1">
      <alignment horizontal="center" vertical="center" shrinkToFit="1"/>
    </xf>
    <xf numFmtId="0" fontId="30" fillId="0" borderId="31" xfId="41" applyFont="1" applyBorder="1" applyAlignment="1">
      <alignment horizontal="center" vertical="center" shrinkToFit="1"/>
    </xf>
    <xf numFmtId="0" fontId="30" fillId="0" borderId="29" xfId="41" applyFont="1" applyBorder="1" applyAlignment="1">
      <alignment horizontal="center" vertical="center" shrinkToFit="1"/>
    </xf>
    <xf numFmtId="0" fontId="28" fillId="0" borderId="113" xfId="41" applyFont="1" applyBorder="1" applyAlignment="1">
      <alignment horizontal="right" vertical="center"/>
    </xf>
    <xf numFmtId="0" fontId="28" fillId="0" borderId="112" xfId="41" applyFont="1" applyBorder="1" applyAlignment="1">
      <alignment horizontal="right" vertical="center"/>
    </xf>
    <xf numFmtId="0" fontId="28" fillId="0" borderId="111" xfId="41" applyFont="1" applyBorder="1" applyAlignment="1">
      <alignment horizontal="right" vertical="center"/>
    </xf>
    <xf numFmtId="187" fontId="28" fillId="0" borderId="12" xfId="41" applyNumberFormat="1" applyFont="1" applyBorder="1" applyAlignment="1">
      <alignment horizontal="right" vertical="center" shrinkToFit="1"/>
    </xf>
    <xf numFmtId="0" fontId="30" fillId="0" borderId="58" xfId="41" applyFont="1" applyBorder="1" applyAlignment="1">
      <alignment horizontal="center" vertical="center" wrapText="1" justifyLastLine="1"/>
    </xf>
    <xf numFmtId="0" fontId="30" fillId="0" borderId="87" xfId="41" applyFont="1" applyBorder="1" applyAlignment="1">
      <alignment horizontal="center" vertical="center" justifyLastLine="1"/>
    </xf>
    <xf numFmtId="179" fontId="28" fillId="0" borderId="50" xfId="41" applyNumberFormat="1" applyFont="1" applyBorder="1" applyAlignment="1">
      <alignment horizontal="right" vertical="center"/>
    </xf>
    <xf numFmtId="179" fontId="28" fillId="0" borderId="39" xfId="41" applyNumberFormat="1" applyFont="1" applyBorder="1" applyAlignment="1">
      <alignment horizontal="right" vertical="center"/>
    </xf>
    <xf numFmtId="179" fontId="28" fillId="0" borderId="36" xfId="41" applyNumberFormat="1" applyFont="1" applyBorder="1" applyAlignment="1">
      <alignment horizontal="right" vertical="center"/>
    </xf>
    <xf numFmtId="4" fontId="28" fillId="0" borderId="35" xfId="41" applyNumberFormat="1" applyFont="1" applyBorder="1" applyAlignment="1">
      <alignment horizontal="right" vertical="center" shrinkToFit="1"/>
    </xf>
    <xf numFmtId="4" fontId="28" fillId="0" borderId="48" xfId="41" applyNumberFormat="1" applyFont="1" applyBorder="1" applyAlignment="1">
      <alignment horizontal="right" vertical="center" shrinkToFit="1"/>
    </xf>
    <xf numFmtId="4" fontId="28" fillId="0" borderId="88" xfId="41" applyNumberFormat="1" applyFont="1" applyBorder="1" applyAlignment="1">
      <alignment horizontal="right" vertical="center" shrinkToFit="1"/>
    </xf>
    <xf numFmtId="4" fontId="28" fillId="0" borderId="72" xfId="41" applyNumberFormat="1" applyFont="1" applyBorder="1" applyAlignment="1">
      <alignment horizontal="right" vertical="center" shrinkToFit="1"/>
    </xf>
    <xf numFmtId="4" fontId="28" fillId="0" borderId="61" xfId="41" applyNumberFormat="1" applyFont="1" applyBorder="1" applyAlignment="1">
      <alignment horizontal="right" vertical="center" shrinkToFit="1"/>
    </xf>
    <xf numFmtId="187" fontId="28" fillId="0" borderId="18" xfId="41" applyNumberFormat="1" applyFont="1" applyBorder="1" applyAlignment="1">
      <alignment horizontal="right" vertical="center" shrinkToFit="1"/>
    </xf>
    <xf numFmtId="187" fontId="28" fillId="0" borderId="17" xfId="41" applyNumberFormat="1" applyFont="1" applyBorder="1" applyAlignment="1">
      <alignment horizontal="right" vertical="center" shrinkToFit="1"/>
    </xf>
    <xf numFmtId="178" fontId="28" fillId="0" borderId="74" xfId="41" applyNumberFormat="1" applyFont="1" applyBorder="1" applyAlignment="1">
      <alignment horizontal="right" vertical="center"/>
    </xf>
    <xf numFmtId="181" fontId="28" fillId="0" borderId="75" xfId="41" applyNumberFormat="1" applyFont="1" applyBorder="1" applyAlignment="1">
      <alignment horizontal="right" vertical="center"/>
    </xf>
    <xf numFmtId="178" fontId="28" fillId="0" borderId="75" xfId="41" applyNumberFormat="1" applyFont="1" applyBorder="1" applyAlignment="1">
      <alignment horizontal="right" vertical="center"/>
    </xf>
    <xf numFmtId="180" fontId="28" fillId="0" borderId="76" xfId="41" applyNumberFormat="1" applyFont="1" applyBorder="1" applyAlignment="1">
      <alignment horizontal="right" vertical="center"/>
    </xf>
    <xf numFmtId="180" fontId="28" fillId="0" borderId="77" xfId="41" applyNumberFormat="1" applyFont="1" applyBorder="1" applyAlignment="1">
      <alignment horizontal="right" vertical="center"/>
    </xf>
    <xf numFmtId="180" fontId="28" fillId="0" borderId="78" xfId="41" applyNumberFormat="1" applyFont="1" applyBorder="1" applyAlignment="1">
      <alignment horizontal="right" vertical="center"/>
    </xf>
    <xf numFmtId="184" fontId="28" fillId="0" borderId="79" xfId="41" applyNumberFormat="1" applyFont="1" applyBorder="1" applyAlignment="1">
      <alignment horizontal="right" vertical="center"/>
    </xf>
    <xf numFmtId="185" fontId="28" fillId="0" borderId="75" xfId="41" applyNumberFormat="1" applyFont="1" applyBorder="1" applyAlignment="1">
      <alignment horizontal="right" vertical="center"/>
    </xf>
    <xf numFmtId="184" fontId="28" fillId="0" borderId="75" xfId="41" applyNumberFormat="1" applyFont="1" applyBorder="1" applyAlignment="1">
      <alignment horizontal="right" vertical="center"/>
    </xf>
    <xf numFmtId="185" fontId="28" fillId="0" borderId="76" xfId="41" applyNumberFormat="1" applyFont="1" applyBorder="1" applyAlignment="1">
      <alignment horizontal="right" vertical="center"/>
    </xf>
    <xf numFmtId="0" fontId="30" fillId="0" borderId="94" xfId="41" applyFont="1" applyBorder="1" applyAlignment="1">
      <alignment horizontal="center" vertical="center" justifyLastLine="1"/>
    </xf>
    <xf numFmtId="0" fontId="30" fillId="0" borderId="32" xfId="41" applyFont="1" applyBorder="1" applyAlignment="1">
      <alignment horizontal="center" vertical="center" justifyLastLine="1"/>
    </xf>
    <xf numFmtId="0" fontId="30" fillId="0" borderId="33" xfId="41" applyFont="1" applyBorder="1" applyAlignment="1">
      <alignment horizontal="center" vertical="center" justifyLastLine="1"/>
    </xf>
    <xf numFmtId="0" fontId="30" fillId="0" borderId="115" xfId="41" applyFont="1" applyBorder="1" applyAlignment="1">
      <alignment horizontal="center" vertical="center"/>
    </xf>
    <xf numFmtId="0" fontId="30" fillId="0" borderId="116" xfId="41" applyFont="1" applyBorder="1" applyAlignment="1">
      <alignment horizontal="center" vertical="center"/>
    </xf>
    <xf numFmtId="0" fontId="30" fillId="0" borderId="117" xfId="41" applyFont="1" applyBorder="1" applyAlignment="1">
      <alignment horizontal="center" vertical="center"/>
    </xf>
    <xf numFmtId="178" fontId="28" fillId="0" borderId="66" xfId="41" applyNumberFormat="1" applyFont="1" applyBorder="1" applyAlignment="1">
      <alignment horizontal="right" vertical="center"/>
    </xf>
    <xf numFmtId="181" fontId="28" fillId="0" borderId="66" xfId="41" applyNumberFormat="1" applyFont="1" applyBorder="1" applyAlignment="1">
      <alignment horizontal="right" vertical="center"/>
    </xf>
    <xf numFmtId="181" fontId="28" fillId="0" borderId="103" xfId="41" applyNumberFormat="1" applyFont="1" applyBorder="1" applyAlignment="1">
      <alignment horizontal="right" vertical="center"/>
    </xf>
    <xf numFmtId="178" fontId="28" fillId="0" borderId="65" xfId="41" applyNumberFormat="1" applyFont="1" applyBorder="1" applyAlignment="1">
      <alignment horizontal="right" vertical="center"/>
    </xf>
    <xf numFmtId="0" fontId="28" fillId="0" borderId="139" xfId="41" applyFont="1" applyBorder="1" applyAlignment="1">
      <alignment horizontal="right" vertical="center"/>
    </xf>
    <xf numFmtId="178" fontId="28" fillId="0" borderId="40" xfId="41" applyNumberFormat="1" applyFont="1" applyBorder="1" applyAlignment="1">
      <alignment horizontal="right" vertical="center" shrinkToFit="1"/>
    </xf>
    <xf numFmtId="181" fontId="28" fillId="0" borderId="41" xfId="41" applyNumberFormat="1" applyFont="1" applyBorder="1" applyAlignment="1">
      <alignment horizontal="right" vertical="center" shrinkToFit="1"/>
    </xf>
    <xf numFmtId="178" fontId="28" fillId="0" borderId="41" xfId="41" applyNumberFormat="1" applyFont="1" applyBorder="1" applyAlignment="1">
      <alignment horizontal="right" vertical="center"/>
    </xf>
    <xf numFmtId="181" fontId="28" fillId="0" borderId="41" xfId="41" applyNumberFormat="1" applyFont="1" applyBorder="1" applyAlignment="1">
      <alignment horizontal="right" vertical="center"/>
    </xf>
    <xf numFmtId="180" fontId="28" fillId="0" borderId="42" xfId="41" applyNumberFormat="1" applyFont="1" applyBorder="1" applyAlignment="1">
      <alignment horizontal="right" vertical="center"/>
    </xf>
    <xf numFmtId="180" fontId="28" fillId="0" borderId="43" xfId="41" applyNumberFormat="1" applyFont="1" applyBorder="1" applyAlignment="1">
      <alignment horizontal="right" vertical="center"/>
    </xf>
    <xf numFmtId="180" fontId="28" fillId="0" borderId="44" xfId="41" applyNumberFormat="1" applyFont="1" applyBorder="1" applyAlignment="1">
      <alignment horizontal="right" vertical="center"/>
    </xf>
    <xf numFmtId="187" fontId="28" fillId="0" borderId="114" xfId="41" applyNumberFormat="1" applyFont="1" applyBorder="1" applyAlignment="1">
      <alignment horizontal="right" vertical="center" shrinkToFit="1"/>
    </xf>
    <xf numFmtId="178" fontId="28" fillId="0" borderId="79" xfId="41" applyNumberFormat="1" applyFont="1" applyBorder="1" applyAlignment="1">
      <alignment horizontal="right" vertical="center" shrinkToFit="1"/>
    </xf>
    <xf numFmtId="181" fontId="28" fillId="0" borderId="75" xfId="41" applyNumberFormat="1" applyFont="1" applyBorder="1" applyAlignment="1">
      <alignment horizontal="right" vertical="center" shrinkToFit="1"/>
    </xf>
    <xf numFmtId="178" fontId="28" fillId="0" borderId="79" xfId="41" applyNumberFormat="1" applyFont="1" applyBorder="1" applyAlignment="1">
      <alignment horizontal="right" vertical="center"/>
    </xf>
    <xf numFmtId="181" fontId="28" fillId="0" borderId="113" xfId="41" applyNumberFormat="1" applyFont="1" applyBorder="1" applyAlignment="1">
      <alignment horizontal="right" vertical="center"/>
    </xf>
    <xf numFmtId="0" fontId="30" fillId="0" borderId="87" xfId="41" applyFont="1" applyBorder="1" applyAlignment="1">
      <alignment horizontal="center" vertical="center"/>
    </xf>
    <xf numFmtId="0" fontId="30" fillId="0" borderId="92" xfId="41" applyFont="1" applyBorder="1" applyAlignment="1">
      <alignment horizontal="center" vertical="center"/>
    </xf>
    <xf numFmtId="0" fontId="30" fillId="0" borderId="93" xfId="41" applyFont="1" applyBorder="1" applyAlignment="1">
      <alignment horizontal="center" vertical="center"/>
    </xf>
    <xf numFmtId="186" fontId="30" fillId="0" borderId="73" xfId="41" applyNumberFormat="1" applyFont="1" applyBorder="1" applyAlignment="1">
      <alignment horizontal="center" vertical="center" shrinkToFit="1"/>
    </xf>
    <xf numFmtId="186" fontId="30" fillId="0" borderId="70" xfId="41" applyNumberFormat="1" applyFont="1" applyBorder="1" applyAlignment="1">
      <alignment horizontal="center" vertical="center" shrinkToFit="1"/>
    </xf>
    <xf numFmtId="186" fontId="30" fillId="0" borderId="84" xfId="41" applyNumberFormat="1" applyFont="1" applyBorder="1" applyAlignment="1">
      <alignment horizontal="center" vertical="center" shrinkToFit="1"/>
    </xf>
    <xf numFmtId="186" fontId="28" fillId="0" borderId="51" xfId="41" applyNumberFormat="1" applyFont="1" applyBorder="1" applyAlignment="1">
      <alignment horizontal="right" vertical="center"/>
    </xf>
    <xf numFmtId="0" fontId="30" fillId="0" borderId="85" xfId="41" applyFont="1" applyBorder="1" applyAlignment="1">
      <alignment horizontal="distributed"/>
    </xf>
    <xf numFmtId="0" fontId="30" fillId="0" borderId="37" xfId="41" applyFont="1" applyBorder="1" applyAlignment="1">
      <alignment horizontal="distributed"/>
    </xf>
    <xf numFmtId="0" fontId="30" fillId="0" borderId="38" xfId="41" applyFont="1" applyBorder="1" applyAlignment="1">
      <alignment horizontal="distributed"/>
    </xf>
    <xf numFmtId="186" fontId="28" fillId="0" borderId="50" xfId="41" applyNumberFormat="1" applyFont="1" applyBorder="1" applyAlignment="1">
      <alignment horizontal="right" vertical="center"/>
    </xf>
    <xf numFmtId="0" fontId="30" fillId="0" borderId="24" xfId="41" applyFont="1" applyBorder="1" applyAlignment="1">
      <alignment horizontal="distributed"/>
    </xf>
    <xf numFmtId="0" fontId="30" fillId="0" borderId="22" xfId="41" applyFont="1" applyBorder="1" applyAlignment="1">
      <alignment horizontal="distributed"/>
    </xf>
    <xf numFmtId="186" fontId="28" fillId="0" borderId="73" xfId="41" applyNumberFormat="1" applyFont="1" applyBorder="1" applyAlignment="1">
      <alignment horizontal="right" vertical="center"/>
    </xf>
    <xf numFmtId="0" fontId="30" fillId="0" borderId="26" xfId="41" applyFont="1" applyBorder="1" applyAlignment="1">
      <alignment horizontal="distributed"/>
    </xf>
    <xf numFmtId="0" fontId="30" fillId="0" borderId="25" xfId="41" applyFont="1" applyBorder="1" applyAlignment="1">
      <alignment horizontal="distributed"/>
    </xf>
    <xf numFmtId="186" fontId="28" fillId="0" borderId="40" xfId="41" applyNumberFormat="1" applyFont="1" applyBorder="1" applyAlignment="1">
      <alignment horizontal="right" vertical="center"/>
    </xf>
    <xf numFmtId="186" fontId="28" fillId="0" borderId="41" xfId="41" applyNumberFormat="1" applyFont="1" applyBorder="1" applyAlignment="1">
      <alignment horizontal="right" vertical="center"/>
    </xf>
    <xf numFmtId="0" fontId="30" fillId="0" borderId="10" xfId="41" applyFont="1" applyBorder="1" applyAlignment="1">
      <alignment horizontal="distributed"/>
    </xf>
    <xf numFmtId="0" fontId="30" fillId="0" borderId="11" xfId="41" applyFont="1" applyBorder="1" applyAlignment="1">
      <alignment horizontal="distributed"/>
    </xf>
    <xf numFmtId="186" fontId="28" fillId="0" borderId="72" xfId="41" applyNumberFormat="1" applyFont="1" applyBorder="1" applyAlignment="1">
      <alignment horizontal="right" vertical="center"/>
    </xf>
    <xf numFmtId="186" fontId="28" fillId="0" borderId="61" xfId="41" applyNumberFormat="1" applyFont="1" applyBorder="1" applyAlignment="1">
      <alignment horizontal="right" vertical="center"/>
    </xf>
    <xf numFmtId="186" fontId="28" fillId="0" borderId="121" xfId="41" applyNumberFormat="1" applyFont="1" applyBorder="1" applyAlignment="1">
      <alignment horizontal="right" vertical="center"/>
    </xf>
    <xf numFmtId="0" fontId="30" fillId="0" borderId="36" xfId="41" applyFont="1" applyBorder="1" applyAlignment="1">
      <alignment horizontal="distributed"/>
    </xf>
    <xf numFmtId="186" fontId="28" fillId="0" borderId="118" xfId="41" applyNumberFormat="1" applyFont="1" applyBorder="1" applyAlignment="1">
      <alignment horizontal="right" vertical="center"/>
    </xf>
    <xf numFmtId="186" fontId="28" fillId="0" borderId="119" xfId="41" applyNumberFormat="1" applyFont="1" applyBorder="1" applyAlignment="1">
      <alignment horizontal="right" vertical="center"/>
    </xf>
    <xf numFmtId="186" fontId="28" fillId="0" borderId="120" xfId="41" applyNumberFormat="1" applyFont="1" applyBorder="1" applyAlignment="1">
      <alignment horizontal="right" vertical="center"/>
    </xf>
    <xf numFmtId="0" fontId="30" fillId="0" borderId="58" xfId="41" applyFont="1" applyBorder="1" applyAlignment="1">
      <alignment horizontal="distributed"/>
    </xf>
    <xf numFmtId="0" fontId="30" fillId="0" borderId="59" xfId="41" applyFont="1" applyBorder="1" applyAlignment="1">
      <alignment horizontal="distributed"/>
    </xf>
    <xf numFmtId="0" fontId="30" fillId="0" borderId="18" xfId="41" applyFont="1" applyBorder="1" applyAlignment="1">
      <alignment horizontal="distributed"/>
    </xf>
    <xf numFmtId="0" fontId="30" fillId="0" borderId="16" xfId="41" applyFont="1" applyBorder="1" applyAlignment="1">
      <alignment horizontal="distributed"/>
    </xf>
    <xf numFmtId="0" fontId="30" fillId="0" borderId="17" xfId="41" applyFont="1" applyBorder="1" applyAlignment="1">
      <alignment horizontal="distributed"/>
    </xf>
    <xf numFmtId="0" fontId="30" fillId="0" borderId="10" xfId="41" applyFont="1" applyBorder="1" applyAlignment="1">
      <alignment horizontal="center" vertical="center" justifyLastLine="1"/>
    </xf>
    <xf numFmtId="0" fontId="30" fillId="0" borderId="11" xfId="41" applyFont="1" applyBorder="1" applyAlignment="1">
      <alignment horizontal="center" vertical="center" justifyLastLine="1"/>
    </xf>
    <xf numFmtId="0" fontId="30" fillId="0" borderId="12" xfId="41" applyFont="1" applyBorder="1" applyAlignment="1">
      <alignment horizontal="center" vertical="center" justifyLastLine="1"/>
    </xf>
    <xf numFmtId="179" fontId="28" fillId="0" borderId="114" xfId="41" applyNumberFormat="1" applyFont="1" applyBorder="1" applyAlignment="1">
      <alignment horizontal="right" vertical="center"/>
    </xf>
    <xf numFmtId="179" fontId="28" fillId="0" borderId="88" xfId="41" applyNumberFormat="1" applyFont="1" applyBorder="1" applyAlignment="1">
      <alignment horizontal="right" vertical="center"/>
    </xf>
    <xf numFmtId="179" fontId="28" fillId="0" borderId="45" xfId="41" applyNumberFormat="1" applyFont="1" applyBorder="1" applyAlignment="1">
      <alignment horizontal="right" vertical="center"/>
    </xf>
    <xf numFmtId="0" fontId="30" fillId="0" borderId="114" xfId="41" applyFont="1" applyBorder="1" applyAlignment="1">
      <alignment horizontal="center" vertical="center" textRotation="255"/>
    </xf>
    <xf numFmtId="177" fontId="30" fillId="0" borderId="88" xfId="41" quotePrefix="1" applyNumberFormat="1" applyFont="1" applyBorder="1" applyAlignment="1">
      <alignment horizontal="center" vertical="center" shrinkToFit="1"/>
    </xf>
    <xf numFmtId="177" fontId="30" fillId="0" borderId="88" xfId="41" applyNumberFormat="1" applyFont="1" applyBorder="1" applyAlignment="1">
      <alignment horizontal="center" vertical="center" shrinkToFit="1"/>
    </xf>
    <xf numFmtId="177" fontId="30" fillId="0" borderId="91" xfId="41" applyNumberFormat="1" applyFont="1" applyBorder="1" applyAlignment="1">
      <alignment horizontal="center" vertical="center" shrinkToFit="1"/>
    </xf>
    <xf numFmtId="0" fontId="30" fillId="0" borderId="88" xfId="41" applyFont="1" applyBorder="1" applyAlignment="1">
      <alignment horizontal="center" vertical="center" shrinkToFit="1"/>
    </xf>
    <xf numFmtId="0" fontId="30" fillId="0" borderId="122" xfId="41" applyFont="1" applyBorder="1" applyAlignment="1">
      <alignment horizontal="center" vertical="center" shrinkToFit="1"/>
    </xf>
    <xf numFmtId="182" fontId="28" fillId="0" borderId="124" xfId="41" applyNumberFormat="1" applyFont="1" applyBorder="1" applyAlignment="1">
      <alignment horizontal="right" vertical="center"/>
    </xf>
    <xf numFmtId="183" fontId="28" fillId="0" borderId="124" xfId="41" applyNumberFormat="1" applyFont="1" applyBorder="1" applyAlignment="1">
      <alignment horizontal="right" vertical="center"/>
    </xf>
    <xf numFmtId="180" fontId="28" fillId="0" borderId="124" xfId="41" applyNumberFormat="1" applyFont="1" applyBorder="1" applyAlignment="1">
      <alignment horizontal="right" vertical="center"/>
    </xf>
    <xf numFmtId="180" fontId="28" fillId="0" borderId="125" xfId="41" applyNumberFormat="1" applyFont="1" applyBorder="1" applyAlignment="1">
      <alignment horizontal="right" vertical="center"/>
    </xf>
    <xf numFmtId="182" fontId="28" fillId="0" borderId="75" xfId="41" applyNumberFormat="1" applyFont="1" applyBorder="1" applyAlignment="1">
      <alignment horizontal="right" vertical="center"/>
    </xf>
    <xf numFmtId="183" fontId="28" fillId="0" borderId="75" xfId="41" applyNumberFormat="1" applyFont="1" applyBorder="1" applyAlignment="1">
      <alignment horizontal="right" vertical="center"/>
    </xf>
    <xf numFmtId="180" fontId="28" fillId="0" borderId="75" xfId="41" applyNumberFormat="1" applyFont="1" applyBorder="1" applyAlignment="1">
      <alignment horizontal="right" vertical="center"/>
    </xf>
    <xf numFmtId="180" fontId="28" fillId="0" borderId="113" xfId="41" applyNumberFormat="1" applyFont="1" applyBorder="1" applyAlignment="1">
      <alignment horizontal="right" vertical="center"/>
    </xf>
    <xf numFmtId="182" fontId="28" fillId="0" borderId="74" xfId="41" applyNumberFormat="1" applyFont="1" applyBorder="1" applyAlignment="1">
      <alignment horizontal="right" vertical="center"/>
    </xf>
    <xf numFmtId="182" fontId="28" fillId="0" borderId="126" xfId="41" applyNumberFormat="1" applyFont="1" applyBorder="1" applyAlignment="1">
      <alignment horizontal="right" vertical="center"/>
    </xf>
    <xf numFmtId="180" fontId="28" fillId="0" borderId="127" xfId="41" applyNumberFormat="1" applyFont="1" applyBorder="1" applyAlignment="1">
      <alignment horizontal="right" vertical="center"/>
    </xf>
    <xf numFmtId="180" fontId="28" fillId="0" borderId="128" xfId="41" applyNumberFormat="1" applyFont="1" applyBorder="1" applyAlignment="1">
      <alignment horizontal="right" vertical="center"/>
    </xf>
    <xf numFmtId="180" fontId="28" fillId="0" borderId="129" xfId="41" applyNumberFormat="1" applyFont="1" applyBorder="1" applyAlignment="1">
      <alignment horizontal="right" vertical="center"/>
    </xf>
    <xf numFmtId="182" fontId="28" fillId="0" borderId="53" xfId="41" applyNumberFormat="1" applyFont="1" applyBorder="1" applyAlignment="1">
      <alignment horizontal="right" vertical="center"/>
    </xf>
    <xf numFmtId="183" fontId="28" fillId="0" borderId="54" xfId="41" applyNumberFormat="1" applyFont="1" applyBorder="1" applyAlignment="1">
      <alignment horizontal="right" vertical="center"/>
    </xf>
    <xf numFmtId="182" fontId="28" fillId="0" borderId="54" xfId="41" applyNumberFormat="1" applyFont="1" applyBorder="1" applyAlignment="1">
      <alignment horizontal="right" vertical="center"/>
    </xf>
    <xf numFmtId="180" fontId="28" fillId="0" borderId="55" xfId="41" applyNumberFormat="1" applyFont="1" applyBorder="1" applyAlignment="1">
      <alignment horizontal="right" vertical="center"/>
    </xf>
    <xf numFmtId="180" fontId="28" fillId="0" borderId="56" xfId="41" applyNumberFormat="1" applyFont="1" applyBorder="1" applyAlignment="1">
      <alignment horizontal="right" vertical="center"/>
    </xf>
    <xf numFmtId="180" fontId="28" fillId="0" borderId="57" xfId="41" applyNumberFormat="1" applyFont="1" applyBorder="1" applyAlignment="1">
      <alignment horizontal="right" vertical="center"/>
    </xf>
    <xf numFmtId="0" fontId="30" fillId="0" borderId="91" xfId="41" applyFont="1" applyBorder="1" applyAlignment="1">
      <alignment horizontal="center" vertical="center"/>
    </xf>
    <xf numFmtId="0" fontId="30" fillId="0" borderId="132" xfId="41" applyFont="1" applyBorder="1" applyAlignment="1">
      <alignment horizontal="center" vertical="center"/>
    </xf>
    <xf numFmtId="0" fontId="30" fillId="0" borderId="123" xfId="41" applyFont="1" applyBorder="1" applyAlignment="1">
      <alignment horizontal="center" vertical="center"/>
    </xf>
    <xf numFmtId="182" fontId="28" fillId="0" borderId="79" xfId="41" applyNumberFormat="1" applyFont="1" applyBorder="1" applyAlignment="1">
      <alignment horizontal="right" vertical="center"/>
    </xf>
    <xf numFmtId="0" fontId="28" fillId="0" borderId="16" xfId="41" applyFont="1" applyBorder="1" applyAlignment="1">
      <alignment horizontal="center" vertical="center"/>
    </xf>
    <xf numFmtId="0" fontId="28" fillId="0" borderId="17" xfId="41" applyFont="1" applyBorder="1" applyAlignment="1">
      <alignment horizontal="center" vertical="center"/>
    </xf>
    <xf numFmtId="0" fontId="28" fillId="0" borderId="24" xfId="41" applyFont="1" applyBorder="1" applyAlignment="1">
      <alignment horizontal="center" vertical="center"/>
    </xf>
    <xf numFmtId="0" fontId="28" fillId="0" borderId="25" xfId="41" applyFont="1" applyBorder="1" applyAlignment="1">
      <alignment horizontal="center" vertical="center"/>
    </xf>
    <xf numFmtId="0" fontId="28" fillId="0" borderId="52" xfId="41" applyFont="1" applyBorder="1" applyAlignment="1">
      <alignment horizontal="center" vertical="center"/>
    </xf>
    <xf numFmtId="0" fontId="28" fillId="0" borderId="86" xfId="41" applyFont="1" applyBorder="1" applyAlignment="1">
      <alignment horizontal="center" vertical="center"/>
    </xf>
    <xf numFmtId="0" fontId="28" fillId="0" borderId="18" xfId="41" applyFont="1" applyBorder="1" applyAlignment="1">
      <alignment horizontal="center" vertical="center"/>
    </xf>
    <xf numFmtId="0" fontId="28" fillId="0" borderId="27" xfId="41" applyFont="1" applyBorder="1" applyAlignment="1">
      <alignment horizontal="distributed" vertical="center"/>
    </xf>
    <xf numFmtId="0" fontId="28" fillId="0" borderId="0" xfId="41" applyFont="1" applyAlignment="1">
      <alignment horizontal="distributed" vertical="center"/>
    </xf>
    <xf numFmtId="0" fontId="28" fillId="0" borderId="28" xfId="41" applyFont="1" applyBorder="1" applyAlignment="1">
      <alignment horizontal="distributed" vertical="center"/>
    </xf>
    <xf numFmtId="180" fontId="28" fillId="0" borderId="133" xfId="41" applyNumberFormat="1" applyFont="1" applyBorder="1" applyAlignment="1">
      <alignment horizontal="right" vertical="center"/>
    </xf>
    <xf numFmtId="180" fontId="28" fillId="0" borderId="60" xfId="41" applyNumberFormat="1" applyFont="1" applyBorder="1" applyAlignment="1">
      <alignment horizontal="right" vertical="center"/>
    </xf>
    <xf numFmtId="4" fontId="28" fillId="0" borderId="63" xfId="41" applyNumberFormat="1" applyFont="1" applyBorder="1" applyAlignment="1">
      <alignment horizontal="right" vertical="center" shrinkToFit="1"/>
    </xf>
    <xf numFmtId="4" fontId="28" fillId="0" borderId="96" xfId="41" applyNumberFormat="1" applyFont="1" applyBorder="1" applyAlignment="1">
      <alignment horizontal="right" vertical="center" shrinkToFit="1"/>
    </xf>
    <xf numFmtId="4" fontId="28" fillId="0" borderId="64" xfId="41" applyNumberFormat="1" applyFont="1" applyBorder="1" applyAlignment="1">
      <alignment horizontal="right" vertical="center" shrinkToFit="1"/>
    </xf>
    <xf numFmtId="180" fontId="28" fillId="0" borderId="36" xfId="41" applyNumberFormat="1" applyFont="1" applyBorder="1" applyAlignment="1">
      <alignment horizontal="right" vertical="center"/>
    </xf>
    <xf numFmtId="180" fontId="28" fillId="0" borderId="38" xfId="41" applyNumberFormat="1" applyFont="1" applyBorder="1" applyAlignment="1">
      <alignment horizontal="right" vertical="center"/>
    </xf>
    <xf numFmtId="0" fontId="33" fillId="0" borderId="36" xfId="41" applyFont="1" applyBorder="1" applyAlignment="1">
      <alignment horizontal="distributed" vertical="center" shrinkToFit="1"/>
    </xf>
    <xf numFmtId="0" fontId="33" fillId="0" borderId="37" xfId="41" applyFont="1" applyBorder="1" applyAlignment="1">
      <alignment horizontal="distributed" vertical="center" shrinkToFit="1"/>
    </xf>
    <xf numFmtId="0" fontId="33" fillId="0" borderId="38" xfId="41" applyFont="1" applyBorder="1" applyAlignment="1">
      <alignment horizontal="distributed" vertical="center" shrinkToFit="1"/>
    </xf>
    <xf numFmtId="0" fontId="28" fillId="0" borderId="36" xfId="41" applyFont="1" applyBorder="1" applyAlignment="1">
      <alignment horizontal="distributed" vertical="center" shrinkToFit="1"/>
    </xf>
    <xf numFmtId="0" fontId="28" fillId="0" borderId="37" xfId="41" applyFont="1" applyBorder="1" applyAlignment="1">
      <alignment horizontal="distributed" vertical="center" shrinkToFit="1"/>
    </xf>
    <xf numFmtId="0" fontId="28" fillId="0" borderId="38" xfId="41" applyFont="1" applyBorder="1" applyAlignment="1">
      <alignment horizontal="distributed" vertical="center" shrinkToFit="1"/>
    </xf>
    <xf numFmtId="180" fontId="28" fillId="0" borderId="31" xfId="41" applyNumberFormat="1" applyFont="1" applyBorder="1" applyAlignment="1">
      <alignment horizontal="right" vertical="center"/>
    </xf>
    <xf numFmtId="180" fontId="28" fillId="0" borderId="33" xfId="41" applyNumberFormat="1" applyFont="1" applyBorder="1" applyAlignment="1">
      <alignment horizontal="right" vertical="center"/>
    </xf>
    <xf numFmtId="4" fontId="28" fillId="0" borderId="29" xfId="41" applyNumberFormat="1" applyFont="1" applyBorder="1" applyAlignment="1">
      <alignment horizontal="right" vertical="center" shrinkToFit="1"/>
    </xf>
    <xf numFmtId="4" fontId="28" fillId="0" borderId="97" xfId="41" applyNumberFormat="1" applyFont="1" applyBorder="1" applyAlignment="1">
      <alignment horizontal="right" vertical="center" shrinkToFit="1"/>
    </xf>
    <xf numFmtId="0" fontId="28" fillId="0" borderId="58" xfId="41" applyFont="1" applyBorder="1" applyAlignment="1">
      <alignment horizontal="distributed" vertical="center"/>
    </xf>
    <xf numFmtId="0" fontId="28" fillId="0" borderId="59" xfId="41" applyFont="1" applyBorder="1" applyAlignment="1">
      <alignment horizontal="distributed" vertical="center"/>
    </xf>
    <xf numFmtId="0" fontId="28" fillId="0" borderId="60" xfId="41" applyFont="1" applyBorder="1" applyAlignment="1">
      <alignment horizontal="distributed" vertical="center"/>
    </xf>
    <xf numFmtId="180" fontId="28" fillId="0" borderId="62" xfId="41" applyNumberFormat="1" applyFont="1" applyBorder="1" applyAlignment="1">
      <alignment horizontal="right" vertical="center"/>
    </xf>
    <xf numFmtId="180" fontId="28" fillId="0" borderId="17" xfId="41" applyNumberFormat="1" applyFont="1" applyBorder="1" applyAlignment="1">
      <alignment horizontal="right" vertical="center"/>
    </xf>
    <xf numFmtId="0" fontId="28" fillId="0" borderId="24" xfId="41" applyFont="1" applyBorder="1" applyAlignment="1">
      <alignment horizontal="distributed" vertical="center"/>
    </xf>
    <xf numFmtId="0" fontId="28" fillId="0" borderId="22" xfId="41" applyFont="1" applyBorder="1" applyAlignment="1">
      <alignment horizontal="distributed" vertical="center"/>
    </xf>
    <xf numFmtId="0" fontId="28" fillId="0" borderId="25" xfId="41" applyFont="1" applyBorder="1" applyAlignment="1">
      <alignment horizontal="distributed" vertical="center"/>
    </xf>
    <xf numFmtId="0" fontId="28" fillId="0" borderId="10" xfId="41" applyFont="1" applyBorder="1" applyAlignment="1">
      <alignment horizontal="distributed" vertical="center"/>
    </xf>
    <xf numFmtId="0" fontId="28" fillId="0" borderId="11" xfId="41" applyFont="1" applyBorder="1" applyAlignment="1">
      <alignment horizontal="distributed" vertical="center"/>
    </xf>
    <xf numFmtId="0" fontId="28" fillId="0" borderId="12" xfId="41" applyFont="1" applyBorder="1" applyAlignment="1">
      <alignment horizontal="distributed" vertical="center"/>
    </xf>
    <xf numFmtId="3" fontId="28" fillId="0" borderId="18" xfId="41" applyNumberFormat="1" applyFont="1" applyBorder="1" applyAlignment="1">
      <alignment horizontal="right" vertical="center" shrinkToFit="1"/>
    </xf>
    <xf numFmtId="3" fontId="28" fillId="0" borderId="16" xfId="41" applyNumberFormat="1" applyFont="1" applyBorder="1" applyAlignment="1">
      <alignment horizontal="right" vertical="center" shrinkToFit="1"/>
    </xf>
    <xf numFmtId="3" fontId="28" fillId="0" borderId="95" xfId="41" applyNumberFormat="1" applyFont="1" applyBorder="1" applyAlignment="1">
      <alignment horizontal="right" vertical="center" shrinkToFit="1"/>
    </xf>
    <xf numFmtId="3" fontId="28" fillId="0" borderId="96" xfId="41" applyNumberFormat="1" applyFont="1" applyBorder="1" applyAlignment="1">
      <alignment horizontal="right" vertical="center" shrinkToFit="1"/>
    </xf>
    <xf numFmtId="0" fontId="28" fillId="0" borderId="45" xfId="41" applyFont="1" applyBorder="1" applyAlignment="1">
      <alignment horizontal="distributed" vertical="center"/>
    </xf>
    <xf numFmtId="0" fontId="28" fillId="0" borderId="46" xfId="41" applyFont="1" applyBorder="1" applyAlignment="1">
      <alignment horizontal="distributed" vertical="center"/>
    </xf>
    <xf numFmtId="0" fontId="28" fillId="0" borderId="47" xfId="41" applyFont="1" applyBorder="1" applyAlignment="1">
      <alignment horizontal="distributed" vertical="center"/>
    </xf>
    <xf numFmtId="0" fontId="32" fillId="0" borderId="36" xfId="41" applyFont="1" applyBorder="1" applyAlignment="1">
      <alignment horizontal="center" vertical="center" shrinkToFit="1"/>
    </xf>
    <xf numFmtId="0" fontId="32" fillId="0" borderId="37" xfId="41" applyFont="1" applyBorder="1" applyAlignment="1">
      <alignment horizontal="center" vertical="center" shrinkToFit="1"/>
    </xf>
    <xf numFmtId="0" fontId="32" fillId="0" borderId="38" xfId="41" applyFont="1" applyBorder="1" applyAlignment="1">
      <alignment horizontal="center" vertical="center" shrinkToFit="1"/>
    </xf>
    <xf numFmtId="3" fontId="28" fillId="0" borderId="97" xfId="41" applyNumberFormat="1" applyFont="1" applyBorder="1" applyAlignment="1">
      <alignment horizontal="right" vertical="center" shrinkToFit="1"/>
    </xf>
    <xf numFmtId="4" fontId="28" fillId="0" borderId="90" xfId="41" applyNumberFormat="1" applyFont="1" applyBorder="1" applyAlignment="1">
      <alignment horizontal="right" vertical="center" shrinkToFit="1"/>
    </xf>
    <xf numFmtId="4" fontId="28" fillId="0" borderId="91" xfId="41" applyNumberFormat="1" applyFont="1" applyBorder="1" applyAlignment="1">
      <alignment horizontal="right" vertical="center" shrinkToFit="1"/>
    </xf>
    <xf numFmtId="180" fontId="28" fillId="0" borderId="71" xfId="41" applyNumberFormat="1" applyFont="1" applyBorder="1" applyAlignment="1">
      <alignment horizontal="right" vertical="center"/>
    </xf>
    <xf numFmtId="180" fontId="28" fillId="0" borderId="12" xfId="41" applyNumberFormat="1" applyFont="1" applyBorder="1" applyAlignment="1">
      <alignment horizontal="right" vertical="center"/>
    </xf>
    <xf numFmtId="0" fontId="28" fillId="0" borderId="13" xfId="41" applyFont="1" applyBorder="1" applyAlignment="1">
      <alignment horizontal="center" vertical="center"/>
    </xf>
    <xf numFmtId="0" fontId="28" fillId="0" borderId="14" xfId="41" applyFont="1" applyBorder="1" applyAlignment="1">
      <alignment horizontal="center" vertical="center"/>
    </xf>
    <xf numFmtId="0" fontId="28" fillId="0" borderId="15" xfId="41" applyFont="1" applyBorder="1" applyAlignment="1">
      <alignment horizontal="center" vertical="center"/>
    </xf>
    <xf numFmtId="0" fontId="28" fillId="0" borderId="19" xfId="41" applyFont="1" applyBorder="1" applyAlignment="1">
      <alignment horizontal="center" vertical="center"/>
    </xf>
    <xf numFmtId="0" fontId="28" fillId="0" borderId="20" xfId="41" applyFont="1" applyBorder="1" applyAlignment="1">
      <alignment horizontal="center" vertical="center"/>
    </xf>
    <xf numFmtId="0" fontId="28" fillId="0" borderId="21" xfId="41" applyFont="1" applyBorder="1" applyAlignment="1">
      <alignment horizontal="center" vertical="center"/>
    </xf>
    <xf numFmtId="0" fontId="28" fillId="0" borderId="36" xfId="41" applyFont="1" applyBorder="1" applyAlignment="1">
      <alignment horizontal="center" vertical="center"/>
    </xf>
    <xf numFmtId="0" fontId="28" fillId="0" borderId="37" xfId="41" applyFont="1" applyBorder="1" applyAlignment="1">
      <alignment horizontal="center" vertical="center"/>
    </xf>
    <xf numFmtId="0" fontId="28" fillId="0" borderId="38" xfId="41" applyFont="1" applyBorder="1" applyAlignment="1">
      <alignment horizontal="center" vertical="center"/>
    </xf>
    <xf numFmtId="0" fontId="33" fillId="0" borderId="27" xfId="41" applyFont="1" applyBorder="1" applyAlignment="1">
      <alignment horizontal="distributed" vertical="center" wrapText="1"/>
    </xf>
    <xf numFmtId="0" fontId="33" fillId="0" borderId="0" xfId="41" applyFont="1" applyAlignment="1">
      <alignment horizontal="distributed" vertical="center" wrapText="1"/>
    </xf>
    <xf numFmtId="0" fontId="33" fillId="0" borderId="97" xfId="41" applyFont="1" applyBorder="1" applyAlignment="1">
      <alignment horizontal="distributed" vertical="center" wrapText="1"/>
    </xf>
    <xf numFmtId="0" fontId="33" fillId="0" borderId="87" xfId="41" applyFont="1" applyBorder="1" applyAlignment="1">
      <alignment horizontal="distributed" vertical="center" wrapText="1"/>
    </xf>
    <xf numFmtId="0" fontId="33" fillId="0" borderId="92" xfId="41" applyFont="1" applyBorder="1" applyAlignment="1">
      <alignment horizontal="distributed" vertical="center" wrapText="1"/>
    </xf>
    <xf numFmtId="0" fontId="33" fillId="0" borderId="130" xfId="41" applyFont="1" applyBorder="1" applyAlignment="1">
      <alignment horizontal="distributed" vertical="center" wrapText="1"/>
    </xf>
    <xf numFmtId="0" fontId="28" fillId="0" borderId="31" xfId="41" applyFont="1" applyBorder="1" applyAlignment="1">
      <alignment horizontal="center" vertical="center"/>
    </xf>
    <xf numFmtId="0" fontId="28" fillId="0" borderId="32" xfId="41" applyFont="1" applyBorder="1" applyAlignment="1">
      <alignment horizontal="center" vertical="center"/>
    </xf>
    <xf numFmtId="0" fontId="28" fillId="0" borderId="33" xfId="41" applyFont="1" applyBorder="1" applyAlignment="1">
      <alignment horizontal="center" vertical="center"/>
    </xf>
    <xf numFmtId="0" fontId="28" fillId="0" borderId="45" xfId="41" applyFont="1" applyBorder="1" applyAlignment="1">
      <alignment horizontal="center" vertical="center"/>
    </xf>
    <xf numFmtId="0" fontId="28" fillId="0" borderId="46" xfId="41" applyFont="1" applyBorder="1" applyAlignment="1">
      <alignment horizontal="center" vertical="center"/>
    </xf>
    <xf numFmtId="0" fontId="28" fillId="0" borderId="47" xfId="41" applyFont="1" applyBorder="1" applyAlignment="1">
      <alignment horizontal="center" vertical="center"/>
    </xf>
    <xf numFmtId="180" fontId="28" fillId="0" borderId="24" xfId="41" applyNumberFormat="1" applyFont="1" applyBorder="1" applyAlignment="1">
      <alignment horizontal="right" vertical="center"/>
    </xf>
    <xf numFmtId="180" fontId="28" fillId="0" borderId="25" xfId="41" applyNumberFormat="1" applyFont="1" applyBorder="1" applyAlignment="1">
      <alignment horizontal="right" vertical="center"/>
    </xf>
    <xf numFmtId="0" fontId="28" fillId="0" borderId="58" xfId="41" applyFont="1" applyBorder="1" applyAlignment="1">
      <alignment horizontal="distributed" vertical="center" wrapText="1"/>
    </xf>
    <xf numFmtId="0" fontId="28" fillId="0" borderId="59" xfId="41" applyFont="1" applyBorder="1" applyAlignment="1">
      <alignment horizontal="distributed" vertical="center" wrapText="1"/>
    </xf>
    <xf numFmtId="0" fontId="28" fillId="0" borderId="96" xfId="41" applyFont="1" applyBorder="1" applyAlignment="1">
      <alignment horizontal="distributed" vertical="center" wrapText="1"/>
    </xf>
    <xf numFmtId="0" fontId="28" fillId="0" borderId="27" xfId="41" applyFont="1" applyBorder="1" applyAlignment="1">
      <alignment horizontal="distributed" vertical="center" wrapText="1"/>
    </xf>
    <xf numFmtId="0" fontId="28" fillId="0" borderId="0" xfId="41" applyFont="1" applyAlignment="1">
      <alignment horizontal="distributed" vertical="center" wrapText="1"/>
    </xf>
    <xf numFmtId="0" fontId="28" fillId="0" borderId="97" xfId="41" applyFont="1" applyBorder="1" applyAlignment="1">
      <alignment horizontal="distributed" vertical="center" wrapText="1"/>
    </xf>
    <xf numFmtId="0" fontId="28" fillId="0" borderId="87" xfId="41" applyFont="1" applyBorder="1" applyAlignment="1">
      <alignment horizontal="distributed" vertical="center" wrapText="1"/>
    </xf>
    <xf numFmtId="0" fontId="28" fillId="0" borderId="92" xfId="41" applyFont="1" applyBorder="1" applyAlignment="1">
      <alignment horizontal="distributed" vertical="center" wrapText="1"/>
    </xf>
    <xf numFmtId="0" fontId="28" fillId="0" borderId="130" xfId="41" applyFont="1" applyBorder="1" applyAlignment="1">
      <alignment horizontal="distributed" vertical="center" wrapText="1"/>
    </xf>
    <xf numFmtId="0" fontId="28" fillId="0" borderId="62" xfId="41" applyFont="1" applyBorder="1" applyAlignment="1">
      <alignment horizontal="center" vertical="center"/>
    </xf>
    <xf numFmtId="0" fontId="28" fillId="0" borderId="22" xfId="41" applyFont="1" applyBorder="1" applyAlignment="1">
      <alignment horizontal="center" vertical="center"/>
    </xf>
    <xf numFmtId="0" fontId="33" fillId="0" borderId="58" xfId="41" applyFont="1" applyBorder="1" applyAlignment="1">
      <alignment horizontal="distributed" vertical="center" wrapText="1"/>
    </xf>
    <xf numFmtId="0" fontId="33" fillId="0" borderId="59" xfId="41" applyFont="1" applyBorder="1" applyAlignment="1">
      <alignment horizontal="distributed" vertical="center" wrapText="1"/>
    </xf>
    <xf numFmtId="0" fontId="33" fillId="0" borderId="96" xfId="41" applyFont="1" applyBorder="1" applyAlignment="1">
      <alignment horizontal="distributed" vertical="center" wrapText="1"/>
    </xf>
    <xf numFmtId="182" fontId="28" fillId="0" borderId="73" xfId="41" applyNumberFormat="1" applyFont="1" applyBorder="1" applyAlignment="1">
      <alignment horizontal="right" vertical="center" shrinkToFit="1"/>
    </xf>
    <xf numFmtId="182" fontId="28" fillId="0" borderId="83" xfId="41" applyNumberFormat="1" applyFont="1" applyBorder="1" applyAlignment="1">
      <alignment horizontal="right" vertical="center" shrinkToFit="1"/>
    </xf>
    <xf numFmtId="183" fontId="28" fillId="0" borderId="70" xfId="41" applyNumberFormat="1" applyFont="1" applyBorder="1" applyAlignment="1">
      <alignment horizontal="right" vertical="center" shrinkToFit="1"/>
    </xf>
    <xf numFmtId="178" fontId="28" fillId="0" borderId="70" xfId="41" applyNumberFormat="1" applyFont="1" applyBorder="1" applyAlignment="1">
      <alignment horizontal="right" vertical="center"/>
    </xf>
    <xf numFmtId="181" fontId="28" fillId="0" borderId="70" xfId="41" applyNumberFormat="1" applyFont="1" applyBorder="1" applyAlignment="1">
      <alignment horizontal="right" vertical="center"/>
    </xf>
    <xf numFmtId="3" fontId="28" fillId="0" borderId="58" xfId="41" applyNumberFormat="1" applyFont="1" applyBorder="1" applyAlignment="1">
      <alignment horizontal="right" vertical="center" shrinkToFit="1"/>
    </xf>
    <xf numFmtId="3" fontId="28" fillId="0" borderId="59" xfId="41" applyNumberFormat="1" applyFont="1" applyBorder="1" applyAlignment="1">
      <alignment horizontal="right" vertical="center" shrinkToFit="1"/>
    </xf>
    <xf numFmtId="3" fontId="33" fillId="0" borderId="133" xfId="41" applyNumberFormat="1" applyFont="1" applyBorder="1" applyAlignment="1">
      <alignment horizontal="right" vertical="center" shrinkToFit="1"/>
    </xf>
    <xf numFmtId="3" fontId="33" fillId="0" borderId="59" xfId="41" applyNumberFormat="1" applyFont="1" applyBorder="1" applyAlignment="1">
      <alignment horizontal="right" vertical="center" shrinkToFit="1"/>
    </xf>
    <xf numFmtId="3" fontId="33" fillId="0" borderId="96" xfId="41" applyNumberFormat="1" applyFont="1" applyBorder="1" applyAlignment="1">
      <alignment horizontal="right" vertical="center" shrinkToFit="1"/>
    </xf>
    <xf numFmtId="3" fontId="33" fillId="0" borderId="36" xfId="41" applyNumberFormat="1" applyFont="1" applyBorder="1" applyAlignment="1">
      <alignment horizontal="right" vertical="center" shrinkToFit="1"/>
    </xf>
    <xf numFmtId="3" fontId="33" fillId="0" borderId="37" xfId="41" applyNumberFormat="1" applyFont="1" applyBorder="1" applyAlignment="1">
      <alignment horizontal="right" vertical="center" shrinkToFit="1"/>
    </xf>
    <xf numFmtId="3" fontId="33" fillId="0" borderId="49" xfId="41" applyNumberFormat="1" applyFont="1" applyBorder="1" applyAlignment="1">
      <alignment horizontal="right" vertical="center" shrinkToFit="1"/>
    </xf>
    <xf numFmtId="3" fontId="28" fillId="0" borderId="87" xfId="41" applyNumberFormat="1" applyFont="1" applyBorder="1" applyAlignment="1">
      <alignment horizontal="right" vertical="center" shrinkToFit="1"/>
    </xf>
    <xf numFmtId="3" fontId="28" fillId="0" borderId="92" xfId="41" applyNumberFormat="1" applyFont="1" applyBorder="1" applyAlignment="1">
      <alignment horizontal="right" vertical="center" shrinkToFit="1"/>
    </xf>
    <xf numFmtId="3" fontId="28" fillId="0" borderId="130" xfId="41" applyNumberFormat="1" applyFont="1" applyBorder="1" applyAlignment="1">
      <alignment horizontal="right" vertical="center" shrinkToFit="1"/>
    </xf>
    <xf numFmtId="3" fontId="33" fillId="0" borderId="132" xfId="41" applyNumberFormat="1" applyFont="1" applyBorder="1" applyAlignment="1">
      <alignment horizontal="right" vertical="center" shrinkToFit="1"/>
    </xf>
    <xf numFmtId="3" fontId="33" fillId="0" borderId="92" xfId="41" applyNumberFormat="1" applyFont="1" applyBorder="1" applyAlignment="1">
      <alignment horizontal="right" vertical="center" shrinkToFit="1"/>
    </xf>
    <xf numFmtId="3" fontId="33" fillId="0" borderId="130" xfId="41" applyNumberFormat="1" applyFont="1" applyBorder="1" applyAlignment="1">
      <alignment horizontal="right" vertical="center" shrinkToFit="1"/>
    </xf>
    <xf numFmtId="0" fontId="37" fillId="0" borderId="26" xfId="51" applyFont="1" applyBorder="1" applyAlignment="1">
      <alignment horizontal="distributed" vertical="center" shrinkToFit="1"/>
    </xf>
    <xf numFmtId="0" fontId="37" fillId="0" borderId="22" xfId="51" applyFont="1" applyBorder="1" applyAlignment="1">
      <alignment horizontal="distributed" vertical="center" shrinkToFit="1"/>
    </xf>
    <xf numFmtId="0" fontId="37" fillId="0" borderId="25" xfId="51" applyFont="1" applyBorder="1" applyAlignment="1">
      <alignment horizontal="distributed" vertical="center" shrinkToFit="1"/>
    </xf>
    <xf numFmtId="187" fontId="28" fillId="0" borderId="26" xfId="50" applyNumberFormat="1" applyFont="1" applyFill="1" applyBorder="1" applyAlignment="1">
      <alignment horizontal="right" vertical="center" shrinkToFit="1"/>
    </xf>
    <xf numFmtId="187" fontId="28" fillId="0" borderId="22" xfId="50" applyNumberFormat="1" applyFont="1" applyFill="1" applyBorder="1" applyAlignment="1">
      <alignment horizontal="right" vertical="center" shrinkToFit="1"/>
    </xf>
    <xf numFmtId="187" fontId="28" fillId="0" borderId="23" xfId="50" applyNumberFormat="1" applyFont="1" applyFill="1" applyBorder="1" applyAlignment="1">
      <alignment horizontal="right" vertical="center" shrinkToFit="1"/>
    </xf>
    <xf numFmtId="187" fontId="28" fillId="0" borderId="24" xfId="50" applyNumberFormat="1" applyFont="1" applyFill="1" applyBorder="1" applyAlignment="1">
      <alignment horizontal="right" vertical="center" shrinkToFit="1"/>
    </xf>
    <xf numFmtId="187" fontId="28" fillId="0" borderId="87" xfId="50" applyNumberFormat="1" applyFont="1" applyFill="1" applyBorder="1" applyAlignment="1">
      <alignment horizontal="right" vertical="center" shrinkToFit="1"/>
    </xf>
    <xf numFmtId="187" fontId="28" fillId="0" borderId="92" xfId="50" applyNumberFormat="1" applyFont="1" applyFill="1" applyBorder="1" applyAlignment="1">
      <alignment horizontal="right" vertical="center" shrinkToFit="1"/>
    </xf>
    <xf numFmtId="187" fontId="28" fillId="0" borderId="130" xfId="50" applyNumberFormat="1" applyFont="1" applyFill="1" applyBorder="1" applyAlignment="1">
      <alignment horizontal="right" vertical="center" shrinkToFit="1"/>
    </xf>
    <xf numFmtId="187" fontId="28" fillId="0" borderId="71" xfId="50" applyNumberFormat="1" applyFont="1" applyFill="1" applyBorder="1" applyAlignment="1">
      <alignment horizontal="right" vertical="center" shrinkToFit="1"/>
    </xf>
    <xf numFmtId="187" fontId="28" fillId="0" borderId="11" xfId="50" applyNumberFormat="1" applyFont="1" applyFill="1" applyBorder="1" applyAlignment="1">
      <alignment horizontal="right" vertical="center" shrinkToFit="1"/>
    </xf>
    <xf numFmtId="187" fontId="28" fillId="0" borderId="83" xfId="50" applyNumberFormat="1" applyFont="1" applyFill="1" applyBorder="1" applyAlignment="1">
      <alignment horizontal="right" vertical="center" shrinkToFit="1"/>
    </xf>
    <xf numFmtId="187" fontId="28" fillId="0" borderId="36" xfId="50" applyNumberFormat="1" applyFont="1" applyFill="1" applyBorder="1" applyAlignment="1">
      <alignment horizontal="right" vertical="center" shrinkToFit="1"/>
    </xf>
    <xf numFmtId="187" fontId="28" fillId="0" borderId="37" xfId="50" applyNumberFormat="1" applyFont="1" applyFill="1" applyBorder="1" applyAlignment="1">
      <alignment horizontal="right" vertical="center" shrinkToFit="1"/>
    </xf>
    <xf numFmtId="187" fontId="28" fillId="0" borderId="49" xfId="50" applyNumberFormat="1" applyFont="1" applyFill="1" applyBorder="1" applyAlignment="1">
      <alignment horizontal="right" vertical="center" shrinkToFit="1"/>
    </xf>
    <xf numFmtId="0" fontId="37" fillId="0" borderId="27" xfId="51" applyFont="1" applyBorder="1" applyAlignment="1">
      <alignment horizontal="center" vertical="center" wrapText="1" shrinkToFit="1"/>
    </xf>
    <xf numFmtId="0" fontId="37" fillId="0" borderId="97" xfId="51" applyFont="1" applyBorder="1" applyAlignment="1">
      <alignment horizontal="center" vertical="center" wrapText="1" shrinkToFit="1"/>
    </xf>
    <xf numFmtId="0" fontId="37" fillId="0" borderId="94" xfId="51" applyFont="1" applyBorder="1" applyAlignment="1">
      <alignment horizontal="center" vertical="center" wrapText="1" shrinkToFit="1"/>
    </xf>
    <xf numFmtId="0" fontId="37" fillId="0" borderId="29" xfId="51" applyFont="1" applyBorder="1" applyAlignment="1">
      <alignment horizontal="center" vertical="center" wrapText="1" shrinkToFit="1"/>
    </xf>
    <xf numFmtId="0" fontId="37" fillId="0" borderId="36" xfId="51" applyFont="1" applyBorder="1" applyAlignment="1">
      <alignment horizontal="distributed" vertical="center"/>
    </xf>
    <xf numFmtId="0" fontId="37" fillId="0" borderId="37" xfId="51" applyFont="1" applyBorder="1" applyAlignment="1">
      <alignment horizontal="distributed" vertical="center"/>
    </xf>
    <xf numFmtId="0" fontId="37" fillId="0" borderId="38" xfId="51" applyFont="1" applyBorder="1" applyAlignment="1">
      <alignment horizontal="distributed" vertical="center"/>
    </xf>
    <xf numFmtId="187" fontId="28" fillId="0" borderId="85" xfId="50" applyNumberFormat="1" applyFont="1" applyFill="1" applyBorder="1" applyAlignment="1">
      <alignment horizontal="right" vertical="center" shrinkToFit="1"/>
    </xf>
    <xf numFmtId="0" fontId="30" fillId="0" borderId="58" xfId="41" applyFont="1" applyBorder="1" applyAlignment="1">
      <alignment horizontal="center" vertical="center" textRotation="255"/>
    </xf>
    <xf numFmtId="0" fontId="30" fillId="0" borderId="27" xfId="41" applyFont="1" applyBorder="1" applyAlignment="1">
      <alignment horizontal="center" vertical="center" textRotation="255"/>
    </xf>
    <xf numFmtId="0" fontId="30" fillId="0" borderId="87" xfId="41" applyFont="1" applyBorder="1" applyAlignment="1">
      <alignment horizontal="center" vertical="center" textRotation="255"/>
    </xf>
    <xf numFmtId="0" fontId="37" fillId="0" borderId="58" xfId="51" applyFont="1" applyBorder="1" applyAlignment="1">
      <alignment horizontal="center" vertical="center" textRotation="255" shrinkToFit="1"/>
    </xf>
    <xf numFmtId="0" fontId="37" fillId="0" borderId="96" xfId="51" applyFont="1" applyBorder="1" applyAlignment="1">
      <alignment horizontal="center" vertical="center" textRotation="255" shrinkToFit="1"/>
    </xf>
    <xf numFmtId="0" fontId="37" fillId="0" borderId="27" xfId="51" applyFont="1" applyBorder="1" applyAlignment="1">
      <alignment horizontal="center" vertical="center" textRotation="255" shrinkToFit="1"/>
    </xf>
    <xf numFmtId="0" fontId="37" fillId="0" borderId="97" xfId="51" applyFont="1" applyBorder="1" applyAlignment="1">
      <alignment horizontal="center" vertical="center" textRotation="255" shrinkToFit="1"/>
    </xf>
    <xf numFmtId="0" fontId="37" fillId="0" borderId="94" xfId="51" applyFont="1" applyBorder="1" applyAlignment="1">
      <alignment horizontal="center" vertical="center" textRotation="255" shrinkToFit="1"/>
    </xf>
    <xf numFmtId="0" fontId="37" fillId="0" borderId="29" xfId="51" applyFont="1" applyBorder="1" applyAlignment="1">
      <alignment horizontal="center" vertical="center" textRotation="255" shrinkToFit="1"/>
    </xf>
    <xf numFmtId="0" fontId="37" fillId="0" borderId="62" xfId="51" applyFont="1" applyBorder="1" applyAlignment="1">
      <alignment horizontal="center" vertical="center" shrinkToFit="1"/>
    </xf>
    <xf numFmtId="0" fontId="37" fillId="0" borderId="16" xfId="51" applyFont="1" applyBorder="1" applyAlignment="1">
      <alignment horizontal="center" vertical="center" shrinkToFit="1"/>
    </xf>
    <xf numFmtId="0" fontId="37" fillId="0" borderId="17" xfId="51" applyFont="1" applyBorder="1" applyAlignment="1">
      <alignment horizontal="center" vertical="center" shrinkToFit="1"/>
    </xf>
    <xf numFmtId="187" fontId="28" fillId="0" borderId="18" xfId="50" applyNumberFormat="1" applyFont="1" applyFill="1" applyBorder="1" applyAlignment="1">
      <alignment horizontal="right" vertical="center" shrinkToFit="1"/>
    </xf>
    <xf numFmtId="187" fontId="28" fillId="0" borderId="16" xfId="50" applyNumberFormat="1" applyFont="1" applyFill="1" applyBorder="1" applyAlignment="1">
      <alignment horizontal="right" vertical="center" shrinkToFit="1"/>
    </xf>
    <xf numFmtId="187" fontId="28" fillId="0" borderId="95" xfId="50" applyNumberFormat="1" applyFont="1" applyFill="1" applyBorder="1" applyAlignment="1">
      <alignment horizontal="right" vertical="center" shrinkToFit="1"/>
    </xf>
    <xf numFmtId="187" fontId="28" fillId="0" borderId="62" xfId="50" applyNumberFormat="1" applyFont="1" applyFill="1" applyBorder="1" applyAlignment="1">
      <alignment horizontal="right" vertical="center" shrinkToFit="1"/>
    </xf>
    <xf numFmtId="0" fontId="37" fillId="0" borderId="36" xfId="51" applyFont="1" applyBorder="1" applyAlignment="1">
      <alignment horizontal="center" vertical="center" shrinkToFit="1"/>
    </xf>
    <xf numFmtId="0" fontId="37" fillId="0" borderId="37" xfId="51" applyFont="1" applyBorder="1" applyAlignment="1">
      <alignment horizontal="center" vertical="center" shrinkToFit="1"/>
    </xf>
    <xf numFmtId="0" fontId="37" fillId="0" borderId="38" xfId="51" applyFont="1" applyBorder="1" applyAlignment="1">
      <alignment horizontal="center" vertical="center" shrinkToFit="1"/>
    </xf>
    <xf numFmtId="0" fontId="30" fillId="0" borderId="70" xfId="41" applyFont="1" applyBorder="1" applyAlignment="1">
      <alignment horizontal="center" vertical="center"/>
    </xf>
    <xf numFmtId="0" fontId="30" fillId="0" borderId="71" xfId="41" applyFont="1" applyBorder="1" applyAlignment="1">
      <alignment horizontal="center" vertical="center"/>
    </xf>
    <xf numFmtId="0" fontId="30" fillId="0" borderId="84" xfId="41" applyFont="1" applyBorder="1" applyAlignment="1">
      <alignment horizontal="center" vertical="center"/>
    </xf>
    <xf numFmtId="0" fontId="30" fillId="0" borderId="89" xfId="41" applyFont="1" applyBorder="1" applyAlignment="1">
      <alignment horizontal="distributed" vertical="distributed"/>
    </xf>
    <xf numFmtId="0" fontId="30" fillId="0" borderId="46" xfId="41" applyFont="1" applyBorder="1" applyAlignment="1">
      <alignment horizontal="distributed" vertical="distributed"/>
    </xf>
    <xf numFmtId="0" fontId="30" fillId="0" borderId="47" xfId="41" applyFont="1" applyBorder="1" applyAlignment="1">
      <alignment horizontal="distributed" vertical="distributed"/>
    </xf>
    <xf numFmtId="0" fontId="30" fillId="0" borderId="85" xfId="41" applyFont="1" applyBorder="1" applyAlignment="1">
      <alignment horizontal="distributed" vertical="center" shrinkToFit="1"/>
    </xf>
    <xf numFmtId="0" fontId="30" fillId="0" borderId="31" xfId="41" applyFont="1" applyBorder="1" applyAlignment="1">
      <alignment horizontal="distributed" vertical="center"/>
    </xf>
    <xf numFmtId="49" fontId="30" fillId="0" borderId="10" xfId="41" applyNumberFormat="1" applyFont="1" applyBorder="1" applyAlignment="1">
      <alignment horizontal="distributed" vertical="center"/>
    </xf>
    <xf numFmtId="49" fontId="30" fillId="0" borderId="11" xfId="41" applyNumberFormat="1" applyFont="1" applyBorder="1" applyAlignment="1">
      <alignment horizontal="distributed" vertical="center"/>
    </xf>
    <xf numFmtId="49" fontId="30" fillId="0" borderId="12" xfId="41" applyNumberFormat="1" applyFont="1" applyBorder="1" applyAlignment="1">
      <alignment horizontal="distributed" vertical="center"/>
    </xf>
    <xf numFmtId="0" fontId="30" fillId="0" borderId="131" xfId="41" applyFont="1" applyBorder="1" applyAlignment="1">
      <alignment horizontal="center" vertical="center"/>
    </xf>
    <xf numFmtId="49" fontId="30" fillId="0" borderId="18" xfId="41" applyNumberFormat="1" applyFont="1" applyBorder="1" applyAlignment="1">
      <alignment horizontal="center" vertical="center" justifyLastLine="1"/>
    </xf>
    <xf numFmtId="49" fontId="30" fillId="0" borderId="16" xfId="41" applyNumberFormat="1" applyFont="1" applyBorder="1" applyAlignment="1">
      <alignment horizontal="center" vertical="center" justifyLastLine="1"/>
    </xf>
    <xf numFmtId="49" fontId="30" fillId="0" borderId="17" xfId="41" applyNumberFormat="1" applyFont="1" applyBorder="1" applyAlignment="1">
      <alignment horizontal="center" vertical="center" justifyLastLine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50" builtinId="6"/>
    <cellStyle name="桁区切り 2" xfId="46" xr:uid="{00000000-0005-0000-0000-000020000000}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A000000}"/>
    <cellStyle name="標準 2 2" xfId="44" xr:uid="{00000000-0005-0000-0000-00002B000000}"/>
    <cellStyle name="標準 2 4" xfId="47" xr:uid="{00000000-0005-0000-0000-00002C000000}"/>
    <cellStyle name="標準 3" xfId="43" xr:uid="{00000000-0005-0000-0000-00002D000000}"/>
    <cellStyle name="標準 3 2" xfId="45" xr:uid="{00000000-0005-0000-0000-00002E000000}"/>
    <cellStyle name="標準 4" xfId="49" xr:uid="{00000000-0005-0000-0000-00002F000000}"/>
    <cellStyle name="標準_BDA1S0T05201" xfId="48" xr:uid="{00000000-0005-0000-0000-000030000000}"/>
    <cellStyle name="標準_BDA1S0T07201" xfId="51" xr:uid="{CFF47C29-9349-4738-BBCF-F583AB4CB091}"/>
    <cellStyle name="良い" xfId="42" builtinId="26" customBuiltin="1"/>
  </cellStyles>
  <dxfs count="0"/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7"/>
  <sheetViews>
    <sheetView tabSelected="1"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3" customWidth="1"/>
    <col min="8" max="43" width="2.75" style="3" customWidth="1"/>
    <col min="44" max="49" width="2.625" style="3" customWidth="1"/>
    <col min="50" max="16384" width="2.625" style="3"/>
  </cols>
  <sheetData>
    <row r="1" spans="1:71" s="38" customFormat="1" ht="13.5" customHeight="1">
      <c r="A1" s="112"/>
      <c r="B1" s="113"/>
      <c r="C1" s="89" t="s">
        <v>375</v>
      </c>
      <c r="D1" s="36"/>
      <c r="E1" s="36"/>
      <c r="F1" s="36"/>
      <c r="G1" s="36"/>
      <c r="H1" s="37"/>
      <c r="I1" s="36"/>
      <c r="J1" s="36"/>
      <c r="K1" s="36"/>
      <c r="L1" s="36"/>
      <c r="M1" s="36"/>
      <c r="N1" s="36"/>
      <c r="O1" s="36"/>
      <c r="P1" s="36"/>
      <c r="T1" s="39"/>
      <c r="U1" s="39"/>
      <c r="AL1" s="64"/>
      <c r="AM1" s="64"/>
      <c r="AN1" s="64"/>
      <c r="AO1" s="64"/>
      <c r="AP1" s="64"/>
      <c r="AQ1" s="64"/>
      <c r="AR1" s="64"/>
      <c r="AS1" s="64"/>
    </row>
    <row r="2" spans="1:71" s="38" customFormat="1" ht="13.5" customHeight="1">
      <c r="A2" s="40" t="s">
        <v>1</v>
      </c>
      <c r="B2" s="36"/>
      <c r="C2" s="36"/>
      <c r="D2" s="36"/>
      <c r="E2" s="36"/>
      <c r="F2" s="36"/>
      <c r="G2" s="36"/>
      <c r="H2" s="37"/>
      <c r="I2" s="36"/>
      <c r="J2" s="36"/>
      <c r="K2" s="36"/>
      <c r="L2" s="36"/>
      <c r="M2" s="36"/>
      <c r="N2" s="36"/>
      <c r="O2" s="36"/>
      <c r="P2" s="36"/>
      <c r="T2" s="39"/>
      <c r="U2" s="39"/>
      <c r="AL2" s="66"/>
      <c r="AM2" s="66"/>
      <c r="AN2" s="66"/>
      <c r="AO2" s="66"/>
      <c r="AP2" s="66"/>
      <c r="AQ2" s="65"/>
      <c r="AR2" s="65"/>
      <c r="AS2" s="65"/>
    </row>
    <row r="3" spans="1:71" s="38" customFormat="1" ht="13.5" customHeight="1">
      <c r="A3" s="136"/>
      <c r="B3" s="136"/>
      <c r="C3" s="136"/>
      <c r="D3" s="136"/>
      <c r="E3" s="136"/>
      <c r="F3" s="137" t="s">
        <v>277</v>
      </c>
      <c r="G3" s="137"/>
      <c r="H3" s="137"/>
      <c r="I3" s="138" t="s">
        <v>278</v>
      </c>
      <c r="J3" s="138"/>
      <c r="K3" s="138"/>
      <c r="L3" s="138"/>
      <c r="M3" s="138"/>
      <c r="N3" s="138"/>
      <c r="O3" s="138"/>
      <c r="P3" s="115"/>
      <c r="Q3" s="115"/>
      <c r="R3" s="115"/>
      <c r="S3" s="98" t="s">
        <v>387</v>
      </c>
      <c r="T3" s="99"/>
      <c r="U3" s="99"/>
      <c r="V3" s="100"/>
      <c r="W3" s="98" t="s">
        <v>388</v>
      </c>
      <c r="X3" s="99"/>
      <c r="Y3" s="99"/>
      <c r="Z3" s="100"/>
      <c r="AB3" s="116" t="s">
        <v>279</v>
      </c>
      <c r="AC3" s="116"/>
      <c r="AD3" s="116"/>
      <c r="AE3" s="116"/>
      <c r="AF3" s="116"/>
      <c r="AG3" s="116" t="s">
        <v>280</v>
      </c>
      <c r="AH3" s="117"/>
      <c r="AI3" s="117"/>
      <c r="AJ3" s="117"/>
      <c r="AK3" s="117"/>
      <c r="AL3" s="117"/>
      <c r="AM3" s="117"/>
      <c r="AN3" s="121" t="s">
        <v>0</v>
      </c>
      <c r="AO3" s="119"/>
      <c r="AP3" s="119"/>
      <c r="AQ3" s="119"/>
      <c r="AR3" s="119"/>
      <c r="AS3" s="120"/>
    </row>
    <row r="4" spans="1:71" s="38" customFormat="1" ht="13.5" customHeight="1">
      <c r="A4" s="114" t="s">
        <v>384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  <c r="Q4" s="115"/>
      <c r="R4" s="115"/>
      <c r="S4" s="101"/>
      <c r="T4" s="102"/>
      <c r="U4" s="102"/>
      <c r="V4" s="103"/>
      <c r="W4" s="101"/>
      <c r="X4" s="102"/>
      <c r="Y4" s="102"/>
      <c r="Z4" s="103"/>
      <c r="AB4" s="76"/>
      <c r="AC4" s="116" t="str">
        <f>IF(AB4&lt;&gt;"",DGET(リスト!A2:B71,"都道府県等",リスト!B73:B74),"")</f>
        <v/>
      </c>
      <c r="AD4" s="116"/>
      <c r="AE4" s="116"/>
      <c r="AF4" s="116"/>
      <c r="AG4" s="76"/>
      <c r="AH4" s="114" t="str">
        <f>IF(OR(AN4=92,AN4=93),DGET(リスト!D2:E8,"規模階層",リスト!E22:E23),IF(OR(AN4=94,AN4=95,AN4=96),DGET(リスト!D11:E20,"規模階層",リスト!E22:E23),""))</f>
        <v/>
      </c>
      <c r="AI4" s="117"/>
      <c r="AJ4" s="117"/>
      <c r="AK4" s="117"/>
      <c r="AL4" s="117"/>
      <c r="AM4" s="117"/>
      <c r="AN4" s="76"/>
      <c r="AO4" s="118" t="str">
        <f>IF(AN4&lt;&gt;"",DGET(リスト!D26:E31,"生産費区分",リスト!E33:E34),"")</f>
        <v/>
      </c>
      <c r="AP4" s="119"/>
      <c r="AQ4" s="119"/>
      <c r="AR4" s="119"/>
      <c r="AS4" s="120"/>
    </row>
    <row r="5" spans="1:71" s="38" customFormat="1" ht="13.5" customHeight="1">
      <c r="A5" s="114" t="s">
        <v>268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5"/>
      <c r="Q5" s="115"/>
      <c r="R5" s="115"/>
      <c r="S5" s="101"/>
      <c r="T5" s="102"/>
      <c r="U5" s="102"/>
      <c r="V5" s="103"/>
      <c r="W5" s="101"/>
      <c r="X5" s="102"/>
      <c r="Y5" s="102"/>
      <c r="Z5" s="103"/>
    </row>
    <row r="6" spans="1:71" s="38" customFormat="1" ht="13.5" customHeight="1">
      <c r="A6" s="40"/>
      <c r="H6" s="41"/>
    </row>
    <row r="7" spans="1:71" s="1" customFormat="1" ht="13.5" customHeight="1">
      <c r="A7" s="1" t="s">
        <v>2</v>
      </c>
      <c r="AQ7" s="2" t="s">
        <v>3</v>
      </c>
      <c r="AV7" s="2"/>
      <c r="AW7" s="42"/>
      <c r="BS7" s="42"/>
    </row>
    <row r="8" spans="1:71" ht="13.5" customHeight="1">
      <c r="A8" s="127"/>
      <c r="B8" s="128"/>
      <c r="C8" s="128"/>
      <c r="D8" s="128"/>
      <c r="E8" s="128"/>
      <c r="F8" s="128"/>
      <c r="G8" s="129"/>
      <c r="H8" s="133" t="s">
        <v>4</v>
      </c>
      <c r="I8" s="133"/>
      <c r="J8" s="133"/>
      <c r="K8" s="133"/>
      <c r="L8" s="133"/>
      <c r="M8" s="133"/>
      <c r="N8" s="133"/>
      <c r="O8" s="133"/>
      <c r="P8" s="134"/>
      <c r="Q8" s="135" t="s">
        <v>5</v>
      </c>
      <c r="R8" s="133"/>
      <c r="S8" s="133"/>
      <c r="T8" s="133"/>
      <c r="U8" s="133"/>
      <c r="V8" s="133"/>
      <c r="W8" s="133"/>
      <c r="X8" s="133"/>
      <c r="Y8" s="134"/>
      <c r="Z8" s="135" t="s">
        <v>6</v>
      </c>
      <c r="AA8" s="133"/>
      <c r="AB8" s="133"/>
      <c r="AC8" s="133"/>
      <c r="AD8" s="133"/>
      <c r="AE8" s="133"/>
      <c r="AF8" s="133"/>
      <c r="AG8" s="133"/>
      <c r="AH8" s="134"/>
      <c r="AI8" s="133" t="s">
        <v>7</v>
      </c>
      <c r="AJ8" s="133"/>
      <c r="AK8" s="133"/>
      <c r="AL8" s="133"/>
      <c r="AM8" s="133"/>
      <c r="AN8" s="133"/>
      <c r="AO8" s="133"/>
      <c r="AP8" s="133"/>
      <c r="AQ8" s="134"/>
    </row>
    <row r="9" spans="1:71" ht="13.5" customHeight="1">
      <c r="A9" s="130"/>
      <c r="B9" s="131"/>
      <c r="C9" s="131"/>
      <c r="D9" s="131"/>
      <c r="E9" s="131"/>
      <c r="F9" s="131"/>
      <c r="G9" s="132"/>
      <c r="H9" s="125" t="s">
        <v>267</v>
      </c>
      <c r="I9" s="123"/>
      <c r="J9" s="126"/>
      <c r="K9" s="122" t="s">
        <v>268</v>
      </c>
      <c r="L9" s="123"/>
      <c r="M9" s="126"/>
      <c r="N9" s="122" t="s">
        <v>8</v>
      </c>
      <c r="O9" s="123"/>
      <c r="P9" s="124"/>
      <c r="Q9" s="125" t="s">
        <v>267</v>
      </c>
      <c r="R9" s="123"/>
      <c r="S9" s="126"/>
      <c r="T9" s="122" t="s">
        <v>268</v>
      </c>
      <c r="U9" s="123"/>
      <c r="V9" s="126"/>
      <c r="W9" s="122" t="s">
        <v>8</v>
      </c>
      <c r="X9" s="123"/>
      <c r="Y9" s="124"/>
      <c r="Z9" s="125" t="s">
        <v>267</v>
      </c>
      <c r="AA9" s="123"/>
      <c r="AB9" s="126"/>
      <c r="AC9" s="122" t="s">
        <v>268</v>
      </c>
      <c r="AD9" s="123"/>
      <c r="AE9" s="126"/>
      <c r="AF9" s="122" t="s">
        <v>8</v>
      </c>
      <c r="AG9" s="123"/>
      <c r="AH9" s="124"/>
      <c r="AI9" s="125" t="s">
        <v>267</v>
      </c>
      <c r="AJ9" s="123"/>
      <c r="AK9" s="126"/>
      <c r="AL9" s="122" t="s">
        <v>268</v>
      </c>
      <c r="AM9" s="123"/>
      <c r="AN9" s="126"/>
      <c r="AO9" s="122" t="s">
        <v>8</v>
      </c>
      <c r="AP9" s="123"/>
      <c r="AQ9" s="124"/>
    </row>
    <row r="10" spans="1:71" ht="13.5" customHeight="1">
      <c r="A10" s="144" t="s">
        <v>9</v>
      </c>
      <c r="B10" s="145"/>
      <c r="C10" s="145"/>
      <c r="D10" s="145"/>
      <c r="E10" s="145"/>
      <c r="F10" s="145"/>
      <c r="G10" s="146"/>
      <c r="H10" s="147"/>
      <c r="I10" s="143"/>
      <c r="J10" s="143"/>
      <c r="K10" s="143"/>
      <c r="L10" s="143"/>
      <c r="M10" s="143"/>
      <c r="N10" s="139" t="str">
        <f>IF(H10="-", "-", IF(K10="-", "-", IF(ABS(K10)=0, "-", ROUND(100*(H10-K10)/ABS(K10),10))))</f>
        <v>-</v>
      </c>
      <c r="O10" s="140"/>
      <c r="P10" s="141"/>
      <c r="Q10" s="143"/>
      <c r="R10" s="143"/>
      <c r="S10" s="143"/>
      <c r="T10" s="143"/>
      <c r="U10" s="143"/>
      <c r="V10" s="143"/>
      <c r="W10" s="139" t="str">
        <f t="shared" ref="W10:W17" si="0">IF(Q10="-", "-", IF(T10="-", "-", IF(ABS(T10)=0, "-", ROUND(100*(Q10-T10)/ABS(T10),10))))</f>
        <v>-</v>
      </c>
      <c r="X10" s="140"/>
      <c r="Y10" s="141"/>
      <c r="Z10" s="143"/>
      <c r="AA10" s="143"/>
      <c r="AB10" s="143"/>
      <c r="AC10" s="143"/>
      <c r="AD10" s="143"/>
      <c r="AE10" s="143"/>
      <c r="AF10" s="139" t="str">
        <f>IF(Z10="-", "-", IF(AC10="-", "-", IF(ABS(AC10)=0, "-", ROUND(100*(Z10-AC10)/ABS(AC10),10))))</f>
        <v>-</v>
      </c>
      <c r="AG10" s="140"/>
      <c r="AH10" s="141"/>
      <c r="AI10" s="142"/>
      <c r="AJ10" s="143"/>
      <c r="AK10" s="143"/>
      <c r="AL10" s="143"/>
      <c r="AM10" s="143"/>
      <c r="AN10" s="143"/>
      <c r="AO10" s="139" t="str">
        <f t="shared" ref="AO10:AO27" si="1">IF(AI10="-", "-", IF(AL10="-", "-", IF(ABS(AL10)=0, "-", ROUND(100*(AI10-AL10)/ABS(AL10),10))))</f>
        <v>-</v>
      </c>
      <c r="AP10" s="140"/>
      <c r="AQ10" s="141"/>
    </row>
    <row r="11" spans="1:71" ht="13.5" customHeight="1">
      <c r="A11" s="43"/>
      <c r="B11" s="148" t="s">
        <v>273</v>
      </c>
      <c r="C11" s="149"/>
      <c r="D11" s="149"/>
      <c r="E11" s="149"/>
      <c r="F11" s="149"/>
      <c r="G11" s="150"/>
      <c r="H11" s="147"/>
      <c r="I11" s="143"/>
      <c r="J11" s="143"/>
      <c r="K11" s="143"/>
      <c r="L11" s="143"/>
      <c r="M11" s="143"/>
      <c r="N11" s="139" t="str">
        <f>IF(H11="-", "-", IF(K11="-", "-", IF(ABS(K11)=0, "-", ROUND(100*(H11-K11)/ABS(K11),10))))</f>
        <v>-</v>
      </c>
      <c r="O11" s="140"/>
      <c r="P11" s="141"/>
      <c r="Q11" s="143"/>
      <c r="R11" s="143"/>
      <c r="S11" s="143"/>
      <c r="T11" s="151"/>
      <c r="U11" s="151"/>
      <c r="V11" s="151"/>
      <c r="W11" s="139" t="str">
        <f t="shared" si="0"/>
        <v>-</v>
      </c>
      <c r="X11" s="140"/>
      <c r="Y11" s="141"/>
      <c r="Z11" s="155"/>
      <c r="AA11" s="156"/>
      <c r="AB11" s="156"/>
      <c r="AC11" s="157"/>
      <c r="AD11" s="157"/>
      <c r="AE11" s="157"/>
      <c r="AF11" s="158"/>
      <c r="AG11" s="159"/>
      <c r="AH11" s="160"/>
      <c r="AI11" s="142"/>
      <c r="AJ11" s="143"/>
      <c r="AK11" s="143"/>
      <c r="AL11" s="151"/>
      <c r="AM11" s="151"/>
      <c r="AN11" s="151"/>
      <c r="AO11" s="139" t="str">
        <f t="shared" si="1"/>
        <v>-</v>
      </c>
      <c r="AP11" s="140"/>
      <c r="AQ11" s="141"/>
    </row>
    <row r="12" spans="1:71" ht="13.5" customHeight="1">
      <c r="A12" s="43"/>
      <c r="B12" s="152" t="s">
        <v>10</v>
      </c>
      <c r="C12" s="153"/>
      <c r="D12" s="153"/>
      <c r="E12" s="153"/>
      <c r="F12" s="153"/>
      <c r="G12" s="154"/>
      <c r="H12" s="147"/>
      <c r="I12" s="143"/>
      <c r="J12" s="143"/>
      <c r="K12" s="143"/>
      <c r="L12" s="143"/>
      <c r="M12" s="143"/>
      <c r="N12" s="139" t="str">
        <f>IF(H12="-", "-", IF(K12="-", "-", IF(ABS(K12)=0, "-", ROUND(100*(H12-K12)/ABS(K12),10))))</f>
        <v>-</v>
      </c>
      <c r="O12" s="140"/>
      <c r="P12" s="141"/>
      <c r="Q12" s="143"/>
      <c r="R12" s="143"/>
      <c r="S12" s="143"/>
      <c r="T12" s="151"/>
      <c r="U12" s="151"/>
      <c r="V12" s="151"/>
      <c r="W12" s="139" t="str">
        <f t="shared" si="0"/>
        <v>-</v>
      </c>
      <c r="X12" s="140"/>
      <c r="Y12" s="141"/>
      <c r="Z12" s="155"/>
      <c r="AA12" s="156"/>
      <c r="AB12" s="156"/>
      <c r="AC12" s="157"/>
      <c r="AD12" s="157"/>
      <c r="AE12" s="157"/>
      <c r="AF12" s="158"/>
      <c r="AG12" s="159"/>
      <c r="AH12" s="160"/>
      <c r="AI12" s="142"/>
      <c r="AJ12" s="143"/>
      <c r="AK12" s="143"/>
      <c r="AL12" s="151"/>
      <c r="AM12" s="151"/>
      <c r="AN12" s="151"/>
      <c r="AO12" s="139" t="str">
        <f t="shared" si="1"/>
        <v>-</v>
      </c>
      <c r="AP12" s="140"/>
      <c r="AQ12" s="141"/>
    </row>
    <row r="13" spans="1:71" ht="13.5" customHeight="1">
      <c r="A13" s="43"/>
      <c r="B13" s="44"/>
      <c r="C13" s="161" t="s">
        <v>11</v>
      </c>
      <c r="D13" s="162"/>
      <c r="E13" s="162"/>
      <c r="F13" s="162"/>
      <c r="G13" s="163"/>
      <c r="H13" s="147"/>
      <c r="I13" s="143"/>
      <c r="J13" s="143"/>
      <c r="K13" s="143"/>
      <c r="L13" s="143"/>
      <c r="M13" s="143"/>
      <c r="N13" s="139" t="str">
        <f>IF(H13="-", "-", IF(K13="-", "-", IF(ABS(K13)=0, "-", ROUND(100*(H13-K13)/ABS(K13),10))))</f>
        <v>-</v>
      </c>
      <c r="O13" s="140"/>
      <c r="P13" s="141"/>
      <c r="Q13" s="143"/>
      <c r="R13" s="143"/>
      <c r="S13" s="143"/>
      <c r="T13" s="151"/>
      <c r="U13" s="151"/>
      <c r="V13" s="151"/>
      <c r="W13" s="139" t="str">
        <f t="shared" si="0"/>
        <v>-</v>
      </c>
      <c r="X13" s="140"/>
      <c r="Y13" s="141"/>
      <c r="Z13" s="155"/>
      <c r="AA13" s="156"/>
      <c r="AB13" s="156"/>
      <c r="AC13" s="157"/>
      <c r="AD13" s="157"/>
      <c r="AE13" s="157"/>
      <c r="AF13" s="158"/>
      <c r="AG13" s="159"/>
      <c r="AH13" s="160"/>
      <c r="AI13" s="142"/>
      <c r="AJ13" s="143"/>
      <c r="AK13" s="143"/>
      <c r="AL13" s="151"/>
      <c r="AM13" s="151"/>
      <c r="AN13" s="151"/>
      <c r="AO13" s="139" t="str">
        <f t="shared" si="1"/>
        <v>-</v>
      </c>
      <c r="AP13" s="140"/>
      <c r="AQ13" s="141"/>
    </row>
    <row r="14" spans="1:71" ht="13.5" customHeight="1">
      <c r="A14" s="43"/>
      <c r="B14" s="45"/>
      <c r="C14" s="165" t="s">
        <v>12</v>
      </c>
      <c r="D14" s="166"/>
      <c r="E14" s="166"/>
      <c r="F14" s="166"/>
      <c r="G14" s="167"/>
      <c r="H14" s="155"/>
      <c r="I14" s="156"/>
      <c r="J14" s="156"/>
      <c r="K14" s="157"/>
      <c r="L14" s="157"/>
      <c r="M14" s="157"/>
      <c r="N14" s="158"/>
      <c r="O14" s="159"/>
      <c r="P14" s="160"/>
      <c r="Q14" s="143"/>
      <c r="R14" s="143"/>
      <c r="S14" s="143"/>
      <c r="T14" s="151"/>
      <c r="U14" s="151"/>
      <c r="V14" s="151"/>
      <c r="W14" s="139" t="str">
        <f t="shared" si="0"/>
        <v>-</v>
      </c>
      <c r="X14" s="140"/>
      <c r="Y14" s="141"/>
      <c r="Z14" s="155"/>
      <c r="AA14" s="156"/>
      <c r="AB14" s="156"/>
      <c r="AC14" s="157"/>
      <c r="AD14" s="157"/>
      <c r="AE14" s="157"/>
      <c r="AF14" s="158"/>
      <c r="AG14" s="159"/>
      <c r="AH14" s="160"/>
      <c r="AI14" s="142"/>
      <c r="AJ14" s="143"/>
      <c r="AK14" s="143"/>
      <c r="AL14" s="151"/>
      <c r="AM14" s="151"/>
      <c r="AN14" s="151"/>
      <c r="AO14" s="139" t="str">
        <f t="shared" si="1"/>
        <v>-</v>
      </c>
      <c r="AP14" s="140"/>
      <c r="AQ14" s="141"/>
    </row>
    <row r="15" spans="1:71" ht="13.5" customHeight="1">
      <c r="A15" s="43"/>
      <c r="B15" s="161" t="s">
        <v>13</v>
      </c>
      <c r="C15" s="162"/>
      <c r="D15" s="162"/>
      <c r="E15" s="162"/>
      <c r="F15" s="162"/>
      <c r="G15" s="163"/>
      <c r="H15" s="164"/>
      <c r="I15" s="151"/>
      <c r="J15" s="151"/>
      <c r="K15" s="151"/>
      <c r="L15" s="151"/>
      <c r="M15" s="151"/>
      <c r="N15" s="139" t="str">
        <f t="shared" ref="N15:N27" si="2">IF(H15="-", "-", IF(K15="-", "-", IF(ABS(K15)=0, "-", ROUND(100*(H15-K15)/ABS(K15),10))))</f>
        <v>-</v>
      </c>
      <c r="O15" s="140"/>
      <c r="P15" s="141"/>
      <c r="Q15" s="143"/>
      <c r="R15" s="143"/>
      <c r="S15" s="143"/>
      <c r="T15" s="151"/>
      <c r="U15" s="151"/>
      <c r="V15" s="151"/>
      <c r="W15" s="139" t="str">
        <f t="shared" si="0"/>
        <v>-</v>
      </c>
      <c r="X15" s="140"/>
      <c r="Y15" s="141"/>
      <c r="Z15" s="155"/>
      <c r="AA15" s="156"/>
      <c r="AB15" s="156"/>
      <c r="AC15" s="157"/>
      <c r="AD15" s="157"/>
      <c r="AE15" s="157"/>
      <c r="AF15" s="158"/>
      <c r="AG15" s="159"/>
      <c r="AH15" s="160"/>
      <c r="AI15" s="142"/>
      <c r="AJ15" s="143"/>
      <c r="AK15" s="143"/>
      <c r="AL15" s="151"/>
      <c r="AM15" s="151"/>
      <c r="AN15" s="151"/>
      <c r="AO15" s="139" t="str">
        <f t="shared" si="1"/>
        <v>-</v>
      </c>
      <c r="AP15" s="140"/>
      <c r="AQ15" s="141"/>
    </row>
    <row r="16" spans="1:71" ht="13.5" customHeight="1">
      <c r="A16" s="43"/>
      <c r="B16" s="161" t="s">
        <v>14</v>
      </c>
      <c r="C16" s="162"/>
      <c r="D16" s="162"/>
      <c r="E16" s="162"/>
      <c r="F16" s="162"/>
      <c r="G16" s="163"/>
      <c r="H16" s="164"/>
      <c r="I16" s="151"/>
      <c r="J16" s="151"/>
      <c r="K16" s="151"/>
      <c r="L16" s="151"/>
      <c r="M16" s="151"/>
      <c r="N16" s="139" t="str">
        <f t="shared" si="2"/>
        <v>-</v>
      </c>
      <c r="O16" s="140"/>
      <c r="P16" s="141"/>
      <c r="Q16" s="143"/>
      <c r="R16" s="143"/>
      <c r="S16" s="143"/>
      <c r="T16" s="151"/>
      <c r="U16" s="151"/>
      <c r="V16" s="151"/>
      <c r="W16" s="139" t="str">
        <f t="shared" si="0"/>
        <v>-</v>
      </c>
      <c r="X16" s="140"/>
      <c r="Y16" s="141"/>
      <c r="Z16" s="155"/>
      <c r="AA16" s="156"/>
      <c r="AB16" s="156"/>
      <c r="AC16" s="157"/>
      <c r="AD16" s="157"/>
      <c r="AE16" s="157"/>
      <c r="AF16" s="158"/>
      <c r="AG16" s="159"/>
      <c r="AH16" s="160"/>
      <c r="AI16" s="142"/>
      <c r="AJ16" s="143"/>
      <c r="AK16" s="143"/>
      <c r="AL16" s="151"/>
      <c r="AM16" s="151"/>
      <c r="AN16" s="151"/>
      <c r="AO16" s="139" t="str">
        <f t="shared" si="1"/>
        <v>-</v>
      </c>
      <c r="AP16" s="140"/>
      <c r="AQ16" s="141"/>
    </row>
    <row r="17" spans="1:43" ht="13.5" customHeight="1">
      <c r="A17" s="43"/>
      <c r="B17" s="161" t="s">
        <v>15</v>
      </c>
      <c r="C17" s="162"/>
      <c r="D17" s="162"/>
      <c r="E17" s="162"/>
      <c r="F17" s="162"/>
      <c r="G17" s="163"/>
      <c r="H17" s="164"/>
      <c r="I17" s="151"/>
      <c r="J17" s="151"/>
      <c r="K17" s="151"/>
      <c r="L17" s="151"/>
      <c r="M17" s="151"/>
      <c r="N17" s="139" t="str">
        <f t="shared" si="2"/>
        <v>-</v>
      </c>
      <c r="O17" s="140"/>
      <c r="P17" s="141"/>
      <c r="Q17" s="143"/>
      <c r="R17" s="143"/>
      <c r="S17" s="143"/>
      <c r="T17" s="151"/>
      <c r="U17" s="151"/>
      <c r="V17" s="151"/>
      <c r="W17" s="139" t="str">
        <f t="shared" si="0"/>
        <v>-</v>
      </c>
      <c r="X17" s="140"/>
      <c r="Y17" s="141"/>
      <c r="Z17" s="155"/>
      <c r="AA17" s="156"/>
      <c r="AB17" s="156"/>
      <c r="AC17" s="157"/>
      <c r="AD17" s="157"/>
      <c r="AE17" s="157"/>
      <c r="AF17" s="158"/>
      <c r="AG17" s="159"/>
      <c r="AH17" s="160"/>
      <c r="AI17" s="142"/>
      <c r="AJ17" s="143"/>
      <c r="AK17" s="143"/>
      <c r="AL17" s="151"/>
      <c r="AM17" s="151"/>
      <c r="AN17" s="151"/>
      <c r="AO17" s="139" t="str">
        <f t="shared" si="1"/>
        <v>-</v>
      </c>
      <c r="AP17" s="140"/>
      <c r="AQ17" s="141"/>
    </row>
    <row r="18" spans="1:43" ht="13.5" customHeight="1">
      <c r="A18" s="43"/>
      <c r="B18" s="148" t="s">
        <v>16</v>
      </c>
      <c r="C18" s="149"/>
      <c r="D18" s="149"/>
      <c r="E18" s="149"/>
      <c r="F18" s="149"/>
      <c r="G18" s="150"/>
      <c r="H18" s="164"/>
      <c r="I18" s="151"/>
      <c r="J18" s="151"/>
      <c r="K18" s="151"/>
      <c r="L18" s="151"/>
      <c r="M18" s="151"/>
      <c r="N18" s="139" t="str">
        <f t="shared" si="2"/>
        <v>-</v>
      </c>
      <c r="O18" s="140"/>
      <c r="P18" s="141"/>
      <c r="Q18" s="155"/>
      <c r="R18" s="156"/>
      <c r="S18" s="156"/>
      <c r="T18" s="157"/>
      <c r="U18" s="157"/>
      <c r="V18" s="157"/>
      <c r="W18" s="158"/>
      <c r="X18" s="159"/>
      <c r="Y18" s="160"/>
      <c r="Z18" s="155"/>
      <c r="AA18" s="156"/>
      <c r="AB18" s="156"/>
      <c r="AC18" s="157"/>
      <c r="AD18" s="157"/>
      <c r="AE18" s="157"/>
      <c r="AF18" s="158"/>
      <c r="AG18" s="159"/>
      <c r="AH18" s="160"/>
      <c r="AI18" s="142"/>
      <c r="AJ18" s="143"/>
      <c r="AK18" s="143"/>
      <c r="AL18" s="151"/>
      <c r="AM18" s="151"/>
      <c r="AN18" s="151"/>
      <c r="AO18" s="139" t="str">
        <f t="shared" si="1"/>
        <v>-</v>
      </c>
      <c r="AP18" s="140"/>
      <c r="AQ18" s="141"/>
    </row>
    <row r="19" spans="1:43" ht="13.5" customHeight="1">
      <c r="A19" s="43"/>
      <c r="B19" s="161" t="s">
        <v>17</v>
      </c>
      <c r="C19" s="162"/>
      <c r="D19" s="162"/>
      <c r="E19" s="162"/>
      <c r="F19" s="162"/>
      <c r="G19" s="163"/>
      <c r="H19" s="164"/>
      <c r="I19" s="151"/>
      <c r="J19" s="151"/>
      <c r="K19" s="151"/>
      <c r="L19" s="151"/>
      <c r="M19" s="151"/>
      <c r="N19" s="139" t="str">
        <f t="shared" si="2"/>
        <v>-</v>
      </c>
      <c r="O19" s="140"/>
      <c r="P19" s="141"/>
      <c r="Q19" s="155"/>
      <c r="R19" s="156"/>
      <c r="S19" s="156"/>
      <c r="T19" s="157"/>
      <c r="U19" s="157"/>
      <c r="V19" s="157"/>
      <c r="W19" s="158"/>
      <c r="X19" s="159"/>
      <c r="Y19" s="160"/>
      <c r="Z19" s="155"/>
      <c r="AA19" s="156"/>
      <c r="AB19" s="156"/>
      <c r="AC19" s="157"/>
      <c r="AD19" s="157"/>
      <c r="AE19" s="157"/>
      <c r="AF19" s="158"/>
      <c r="AG19" s="159"/>
      <c r="AH19" s="160"/>
      <c r="AI19" s="142"/>
      <c r="AJ19" s="143"/>
      <c r="AK19" s="143"/>
      <c r="AL19" s="151"/>
      <c r="AM19" s="151"/>
      <c r="AN19" s="151"/>
      <c r="AO19" s="139" t="str">
        <f t="shared" si="1"/>
        <v>-</v>
      </c>
      <c r="AP19" s="140"/>
      <c r="AQ19" s="141"/>
    </row>
    <row r="20" spans="1:43" ht="13.5" customHeight="1">
      <c r="A20" s="43"/>
      <c r="B20" s="161" t="s">
        <v>18</v>
      </c>
      <c r="C20" s="162"/>
      <c r="D20" s="162"/>
      <c r="E20" s="162"/>
      <c r="F20" s="162"/>
      <c r="G20" s="163"/>
      <c r="H20" s="164"/>
      <c r="I20" s="151"/>
      <c r="J20" s="151"/>
      <c r="K20" s="151"/>
      <c r="L20" s="151"/>
      <c r="M20" s="151"/>
      <c r="N20" s="139" t="str">
        <f t="shared" si="2"/>
        <v>-</v>
      </c>
      <c r="O20" s="140"/>
      <c r="P20" s="141"/>
      <c r="Q20" s="155"/>
      <c r="R20" s="156"/>
      <c r="S20" s="156"/>
      <c r="T20" s="157"/>
      <c r="U20" s="157"/>
      <c r="V20" s="157"/>
      <c r="W20" s="158"/>
      <c r="X20" s="159"/>
      <c r="Y20" s="160"/>
      <c r="Z20" s="155"/>
      <c r="AA20" s="156"/>
      <c r="AB20" s="156"/>
      <c r="AC20" s="157"/>
      <c r="AD20" s="157"/>
      <c r="AE20" s="157"/>
      <c r="AF20" s="158"/>
      <c r="AG20" s="159"/>
      <c r="AH20" s="160"/>
      <c r="AI20" s="142"/>
      <c r="AJ20" s="143"/>
      <c r="AK20" s="143"/>
      <c r="AL20" s="151"/>
      <c r="AM20" s="151"/>
      <c r="AN20" s="151"/>
      <c r="AO20" s="139" t="str">
        <f t="shared" si="1"/>
        <v>-</v>
      </c>
      <c r="AP20" s="140"/>
      <c r="AQ20" s="141"/>
    </row>
    <row r="21" spans="1:43" ht="13.5" customHeight="1">
      <c r="A21" s="43"/>
      <c r="B21" s="161" t="s">
        <v>19</v>
      </c>
      <c r="C21" s="162"/>
      <c r="D21" s="162"/>
      <c r="E21" s="162"/>
      <c r="F21" s="162"/>
      <c r="G21" s="163"/>
      <c r="H21" s="164"/>
      <c r="I21" s="151"/>
      <c r="J21" s="151"/>
      <c r="K21" s="151"/>
      <c r="L21" s="151"/>
      <c r="M21" s="151"/>
      <c r="N21" s="139" t="str">
        <f t="shared" si="2"/>
        <v>-</v>
      </c>
      <c r="O21" s="140"/>
      <c r="P21" s="141"/>
      <c r="Q21" s="155"/>
      <c r="R21" s="156"/>
      <c r="S21" s="156"/>
      <c r="T21" s="157"/>
      <c r="U21" s="157"/>
      <c r="V21" s="157"/>
      <c r="W21" s="158"/>
      <c r="X21" s="159"/>
      <c r="Y21" s="160"/>
      <c r="Z21" s="168"/>
      <c r="AA21" s="151"/>
      <c r="AB21" s="151"/>
      <c r="AC21" s="151"/>
      <c r="AD21" s="151"/>
      <c r="AE21" s="151"/>
      <c r="AF21" s="139" t="str">
        <f>IF(Z21="-", "-", IF(AC21="-", "-", IF(ABS(AC21)=0, "-", ROUND(100*(Z21-AC21)/ABS(AC21),10))))</f>
        <v>-</v>
      </c>
      <c r="AG21" s="140"/>
      <c r="AH21" s="141"/>
      <c r="AI21" s="142"/>
      <c r="AJ21" s="143"/>
      <c r="AK21" s="143"/>
      <c r="AL21" s="151"/>
      <c r="AM21" s="151"/>
      <c r="AN21" s="151"/>
      <c r="AO21" s="139" t="str">
        <f t="shared" si="1"/>
        <v>-</v>
      </c>
      <c r="AP21" s="140"/>
      <c r="AQ21" s="141"/>
    </row>
    <row r="22" spans="1:43" ht="13.5" customHeight="1">
      <c r="A22" s="43"/>
      <c r="B22" s="161" t="s">
        <v>20</v>
      </c>
      <c r="C22" s="162"/>
      <c r="D22" s="162"/>
      <c r="E22" s="162"/>
      <c r="F22" s="162"/>
      <c r="G22" s="163"/>
      <c r="H22" s="164"/>
      <c r="I22" s="151"/>
      <c r="J22" s="151"/>
      <c r="K22" s="151"/>
      <c r="L22" s="151"/>
      <c r="M22" s="151"/>
      <c r="N22" s="139" t="str">
        <f t="shared" si="2"/>
        <v>-</v>
      </c>
      <c r="O22" s="140"/>
      <c r="P22" s="141"/>
      <c r="Q22" s="155"/>
      <c r="R22" s="156"/>
      <c r="S22" s="156"/>
      <c r="T22" s="157"/>
      <c r="U22" s="157"/>
      <c r="V22" s="157"/>
      <c r="W22" s="158"/>
      <c r="X22" s="159"/>
      <c r="Y22" s="160"/>
      <c r="Z22" s="168"/>
      <c r="AA22" s="151"/>
      <c r="AB22" s="151"/>
      <c r="AC22" s="151"/>
      <c r="AD22" s="151"/>
      <c r="AE22" s="151"/>
      <c r="AF22" s="139" t="str">
        <f>IF(Z22="-", "-", IF(AC22="-", "-", IF(ABS(AC22)=0, "-", ROUND(100*(Z22-AC22)/ABS(AC22),10))))</f>
        <v>-</v>
      </c>
      <c r="AG22" s="140"/>
      <c r="AH22" s="141"/>
      <c r="AI22" s="142"/>
      <c r="AJ22" s="143"/>
      <c r="AK22" s="143"/>
      <c r="AL22" s="151"/>
      <c r="AM22" s="151"/>
      <c r="AN22" s="151"/>
      <c r="AO22" s="139" t="str">
        <f t="shared" si="1"/>
        <v>-</v>
      </c>
      <c r="AP22" s="140"/>
      <c r="AQ22" s="141"/>
    </row>
    <row r="23" spans="1:43" ht="13.5" customHeight="1">
      <c r="A23" s="43"/>
      <c r="B23" s="161" t="s">
        <v>21</v>
      </c>
      <c r="C23" s="162"/>
      <c r="D23" s="162"/>
      <c r="E23" s="162"/>
      <c r="F23" s="162"/>
      <c r="G23" s="163"/>
      <c r="H23" s="164"/>
      <c r="I23" s="151"/>
      <c r="J23" s="151"/>
      <c r="K23" s="151"/>
      <c r="L23" s="151"/>
      <c r="M23" s="151"/>
      <c r="N23" s="139" t="str">
        <f t="shared" si="2"/>
        <v>-</v>
      </c>
      <c r="O23" s="140"/>
      <c r="P23" s="141"/>
      <c r="Q23" s="155"/>
      <c r="R23" s="156"/>
      <c r="S23" s="156"/>
      <c r="T23" s="157"/>
      <c r="U23" s="157"/>
      <c r="V23" s="157"/>
      <c r="W23" s="158"/>
      <c r="X23" s="159"/>
      <c r="Y23" s="160"/>
      <c r="Z23" s="168"/>
      <c r="AA23" s="151"/>
      <c r="AB23" s="151"/>
      <c r="AC23" s="151"/>
      <c r="AD23" s="151"/>
      <c r="AE23" s="151"/>
      <c r="AF23" s="139" t="str">
        <f>IF(Z23="-", "-", IF(AC23="-", "-", IF(ABS(AC23)=0, "-", ROUND(100*(Z23-AC23)/ABS(AC23),10))))</f>
        <v>-</v>
      </c>
      <c r="AG23" s="140"/>
      <c r="AH23" s="141"/>
      <c r="AI23" s="142"/>
      <c r="AJ23" s="143"/>
      <c r="AK23" s="143"/>
      <c r="AL23" s="151"/>
      <c r="AM23" s="151"/>
      <c r="AN23" s="151"/>
      <c r="AO23" s="139" t="str">
        <f t="shared" si="1"/>
        <v>-</v>
      </c>
      <c r="AP23" s="140"/>
      <c r="AQ23" s="141"/>
    </row>
    <row r="24" spans="1:43" ht="13.5" customHeight="1">
      <c r="A24" s="43"/>
      <c r="B24" s="181" t="s">
        <v>22</v>
      </c>
      <c r="C24" s="182"/>
      <c r="D24" s="182"/>
      <c r="E24" s="182"/>
      <c r="F24" s="182"/>
      <c r="G24" s="183"/>
      <c r="H24" s="107"/>
      <c r="I24" s="108"/>
      <c r="J24" s="108"/>
      <c r="K24" s="108"/>
      <c r="L24" s="108"/>
      <c r="M24" s="108"/>
      <c r="N24" s="95" t="str">
        <f t="shared" si="2"/>
        <v>-</v>
      </c>
      <c r="O24" s="96"/>
      <c r="P24" s="97"/>
      <c r="Q24" s="109"/>
      <c r="R24" s="110"/>
      <c r="S24" s="110"/>
      <c r="T24" s="111"/>
      <c r="U24" s="111"/>
      <c r="V24" s="111"/>
      <c r="W24" s="184"/>
      <c r="X24" s="185"/>
      <c r="Y24" s="186"/>
      <c r="Z24" s="168"/>
      <c r="AA24" s="151"/>
      <c r="AB24" s="151"/>
      <c r="AC24" s="108"/>
      <c r="AD24" s="108"/>
      <c r="AE24" s="108"/>
      <c r="AF24" s="139" t="str">
        <f>IF(Z24="-", "-", IF(AC24="-", "-", IF(ABS(AC24)=0, "-", ROUND(100*(Z24-AC24)/ABS(AC24),10))))</f>
        <v>-</v>
      </c>
      <c r="AG24" s="140"/>
      <c r="AH24" s="141"/>
      <c r="AI24" s="107"/>
      <c r="AJ24" s="108"/>
      <c r="AK24" s="108"/>
      <c r="AL24" s="108"/>
      <c r="AM24" s="108"/>
      <c r="AN24" s="108"/>
      <c r="AO24" s="95" t="str">
        <f t="shared" si="1"/>
        <v>-</v>
      </c>
      <c r="AP24" s="96"/>
      <c r="AQ24" s="97"/>
    </row>
    <row r="25" spans="1:43" ht="13.5" customHeight="1">
      <c r="A25" s="169" t="s">
        <v>23</v>
      </c>
      <c r="B25" s="170"/>
      <c r="C25" s="170"/>
      <c r="D25" s="170"/>
      <c r="E25" s="170"/>
      <c r="F25" s="170"/>
      <c r="G25" s="171"/>
      <c r="H25" s="147"/>
      <c r="I25" s="143"/>
      <c r="J25" s="143"/>
      <c r="K25" s="172"/>
      <c r="L25" s="172"/>
      <c r="M25" s="172"/>
      <c r="N25" s="139" t="str">
        <f t="shared" si="2"/>
        <v>-</v>
      </c>
      <c r="O25" s="140"/>
      <c r="P25" s="141"/>
      <c r="Q25" s="173"/>
      <c r="R25" s="174"/>
      <c r="S25" s="174"/>
      <c r="T25" s="172"/>
      <c r="U25" s="172"/>
      <c r="V25" s="172"/>
      <c r="W25" s="139" t="str">
        <f>IF(Q25="-", "-", IF(T25="-", "-", IF(ABS(T25)=0, "-", ROUND(100*(Q25-T25)/ABS(T25),10))))</f>
        <v>-</v>
      </c>
      <c r="X25" s="140"/>
      <c r="Y25" s="141"/>
      <c r="Z25" s="175"/>
      <c r="AA25" s="176"/>
      <c r="AB25" s="176"/>
      <c r="AC25" s="177"/>
      <c r="AD25" s="177"/>
      <c r="AE25" s="177"/>
      <c r="AF25" s="178"/>
      <c r="AG25" s="179"/>
      <c r="AH25" s="180"/>
      <c r="AI25" s="142"/>
      <c r="AJ25" s="143"/>
      <c r="AK25" s="143"/>
      <c r="AL25" s="172"/>
      <c r="AM25" s="172"/>
      <c r="AN25" s="172"/>
      <c r="AO25" s="139" t="str">
        <f t="shared" si="1"/>
        <v>-</v>
      </c>
      <c r="AP25" s="140"/>
      <c r="AQ25" s="141"/>
    </row>
    <row r="26" spans="1:43" ht="13.5" customHeight="1">
      <c r="A26" s="43"/>
      <c r="B26" s="161" t="s">
        <v>24</v>
      </c>
      <c r="C26" s="162"/>
      <c r="D26" s="162"/>
      <c r="E26" s="162"/>
      <c r="F26" s="162"/>
      <c r="G26" s="163"/>
      <c r="H26" s="164"/>
      <c r="I26" s="151"/>
      <c r="J26" s="151"/>
      <c r="K26" s="151"/>
      <c r="L26" s="151"/>
      <c r="M26" s="151"/>
      <c r="N26" s="139" t="str">
        <f t="shared" si="2"/>
        <v>-</v>
      </c>
      <c r="O26" s="140"/>
      <c r="P26" s="141"/>
      <c r="Q26" s="168"/>
      <c r="R26" s="151"/>
      <c r="S26" s="151"/>
      <c r="T26" s="151"/>
      <c r="U26" s="151"/>
      <c r="V26" s="151"/>
      <c r="W26" s="139" t="str">
        <f>IF(Q26="-", "-", IF(T26="-", "-", IF(ABS(T26)=0, "-", ROUND(100*(Q26-T26)/ABS(T26),10))))</f>
        <v>-</v>
      </c>
      <c r="X26" s="140"/>
      <c r="Y26" s="141"/>
      <c r="Z26" s="155"/>
      <c r="AA26" s="156"/>
      <c r="AB26" s="156"/>
      <c r="AC26" s="157"/>
      <c r="AD26" s="157"/>
      <c r="AE26" s="157"/>
      <c r="AF26" s="158"/>
      <c r="AG26" s="159"/>
      <c r="AH26" s="160"/>
      <c r="AI26" s="142"/>
      <c r="AJ26" s="143"/>
      <c r="AK26" s="143"/>
      <c r="AL26" s="151"/>
      <c r="AM26" s="151"/>
      <c r="AN26" s="151"/>
      <c r="AO26" s="139" t="str">
        <f t="shared" si="1"/>
        <v>-</v>
      </c>
      <c r="AP26" s="140"/>
      <c r="AQ26" s="141"/>
    </row>
    <row r="27" spans="1:43" ht="13.5" customHeight="1">
      <c r="A27" s="43"/>
      <c r="B27" s="152" t="s">
        <v>25</v>
      </c>
      <c r="C27" s="153"/>
      <c r="D27" s="153"/>
      <c r="E27" s="153"/>
      <c r="F27" s="153"/>
      <c r="G27" s="154"/>
      <c r="H27" s="187"/>
      <c r="I27" s="188"/>
      <c r="J27" s="188"/>
      <c r="K27" s="188"/>
      <c r="L27" s="188"/>
      <c r="M27" s="188"/>
      <c r="N27" s="189" t="str">
        <f t="shared" si="2"/>
        <v>-</v>
      </c>
      <c r="O27" s="190"/>
      <c r="P27" s="191"/>
      <c r="Q27" s="192"/>
      <c r="R27" s="193"/>
      <c r="S27" s="193"/>
      <c r="T27" s="188"/>
      <c r="U27" s="188"/>
      <c r="V27" s="188"/>
      <c r="W27" s="189" t="str">
        <f>IF(Q27="-", "-", IF(T27="-", "-", IF(ABS(T27)=0, "-", ROUND(100*(Q27-T27)/ABS(T27),10))))</f>
        <v>-</v>
      </c>
      <c r="X27" s="190"/>
      <c r="Y27" s="191"/>
      <c r="Z27" s="194"/>
      <c r="AA27" s="195"/>
      <c r="AB27" s="195"/>
      <c r="AC27" s="196"/>
      <c r="AD27" s="196"/>
      <c r="AE27" s="196"/>
      <c r="AF27" s="197"/>
      <c r="AG27" s="198"/>
      <c r="AH27" s="199"/>
      <c r="AI27" s="187"/>
      <c r="AJ27" s="188"/>
      <c r="AK27" s="188"/>
      <c r="AL27" s="188"/>
      <c r="AM27" s="188"/>
      <c r="AN27" s="188"/>
      <c r="AO27" s="189" t="str">
        <f t="shared" si="1"/>
        <v>-</v>
      </c>
      <c r="AP27" s="190"/>
      <c r="AQ27" s="191"/>
    </row>
    <row r="28" spans="1:43" ht="13.5" customHeight="1">
      <c r="A28" s="43"/>
      <c r="B28" s="93"/>
      <c r="C28" s="104" t="s">
        <v>386</v>
      </c>
      <c r="D28" s="105"/>
      <c r="E28" s="105"/>
      <c r="F28" s="105"/>
      <c r="G28" s="106"/>
      <c r="H28" s="107"/>
      <c r="I28" s="108"/>
      <c r="J28" s="108"/>
      <c r="K28" s="108"/>
      <c r="L28" s="108"/>
      <c r="M28" s="108"/>
      <c r="N28" s="95" t="str">
        <f t="shared" ref="N28" si="3">IF(H28="-", "-", IF(K28="-", "-", IF(ABS(K28)=0, "-", ROUND(100*(H28-K28)/ABS(K28),10))))</f>
        <v>-</v>
      </c>
      <c r="O28" s="96"/>
      <c r="P28" s="97"/>
      <c r="Q28" s="107"/>
      <c r="R28" s="108"/>
      <c r="S28" s="108"/>
      <c r="T28" s="108"/>
      <c r="U28" s="108"/>
      <c r="V28" s="108"/>
      <c r="W28" s="95" t="str">
        <f>IF(Q28="-", "-", IF(T28="-", "-", IF(ABS(T28)=0, "-", ROUND(100*(Q28-T28)/ABS(T28),10))))</f>
        <v>-</v>
      </c>
      <c r="X28" s="96"/>
      <c r="Y28" s="97"/>
      <c r="Z28" s="109"/>
      <c r="AA28" s="110"/>
      <c r="AB28" s="110"/>
      <c r="AC28" s="111"/>
      <c r="AD28" s="111"/>
      <c r="AE28" s="111"/>
      <c r="AF28" s="184"/>
      <c r="AG28" s="185"/>
      <c r="AH28" s="186"/>
      <c r="AI28" s="107"/>
      <c r="AJ28" s="108"/>
      <c r="AK28" s="108"/>
      <c r="AL28" s="108"/>
      <c r="AM28" s="108"/>
      <c r="AN28" s="108"/>
      <c r="AO28" s="95" t="str">
        <f t="shared" ref="AO28" si="4">IF(AI28="-", "-", IF(AL28="-", "-", IF(ABS(AL28)=0, "-", ROUND(100*(AI28-AL28)/ABS(AL28),10))))</f>
        <v>-</v>
      </c>
      <c r="AP28" s="96"/>
      <c r="AQ28" s="97"/>
    </row>
    <row r="29" spans="1:43" ht="13.5" customHeight="1">
      <c r="A29" s="211" t="s">
        <v>26</v>
      </c>
      <c r="B29" s="212"/>
      <c r="C29" s="212"/>
      <c r="D29" s="212"/>
      <c r="E29" s="212"/>
      <c r="F29" s="212"/>
      <c r="G29" s="213"/>
      <c r="H29" s="147"/>
      <c r="I29" s="143"/>
      <c r="J29" s="143"/>
      <c r="K29" s="201"/>
      <c r="L29" s="201"/>
      <c r="M29" s="201"/>
      <c r="N29" s="139" t="str">
        <f>IF(H29="-", "-", IF(K29="-", "-", IF(ABS(K29)=0, "-", ROUND(100*(H29-K29)/ABS(K29),10))))</f>
        <v>-</v>
      </c>
      <c r="O29" s="140"/>
      <c r="P29" s="141"/>
      <c r="Q29" s="200"/>
      <c r="R29" s="172"/>
      <c r="S29" s="172"/>
      <c r="T29" s="201"/>
      <c r="U29" s="201"/>
      <c r="V29" s="201"/>
      <c r="W29" s="139" t="str">
        <f>IF(Q29="-", "-", IF(T29="-", "-", IF(ABS(T29)=0, "-", ROUND(100*(Q29-T29)/ABS(T29),10))))</f>
        <v>-</v>
      </c>
      <c r="X29" s="140"/>
      <c r="Y29" s="141"/>
      <c r="Z29" s="202"/>
      <c r="AA29" s="201"/>
      <c r="AB29" s="201"/>
      <c r="AC29" s="201"/>
      <c r="AD29" s="201"/>
      <c r="AE29" s="201"/>
      <c r="AF29" s="139" t="str">
        <f>IF(Z29="-", "-", IF(AC29="-", "-", IF(ABS(AC29)=0, "-", ROUND(100*(Z29-AC29)/ABS(AC29),10))))</f>
        <v>-</v>
      </c>
      <c r="AG29" s="140"/>
      <c r="AH29" s="141"/>
      <c r="AI29" s="202"/>
      <c r="AJ29" s="201"/>
      <c r="AK29" s="201"/>
      <c r="AL29" s="201"/>
      <c r="AM29" s="201"/>
      <c r="AN29" s="201"/>
      <c r="AO29" s="208" t="str">
        <f t="shared" ref="AO29:AO37" si="5">IF(AI29="-", "-", IF(AL29="-", "-", IF(ABS(AL29)=0, "-", ROUND(100*(AI29-AL29)/ABS(AL29),10))))</f>
        <v>-</v>
      </c>
      <c r="AP29" s="209"/>
      <c r="AQ29" s="210"/>
    </row>
    <row r="30" spans="1:43" ht="13.5" customHeight="1">
      <c r="A30" s="211" t="s">
        <v>27</v>
      </c>
      <c r="B30" s="212"/>
      <c r="C30" s="212"/>
      <c r="D30" s="212"/>
      <c r="E30" s="212"/>
      <c r="F30" s="212"/>
      <c r="G30" s="213"/>
      <c r="H30" s="214"/>
      <c r="I30" s="203"/>
      <c r="J30" s="203"/>
      <c r="K30" s="203"/>
      <c r="L30" s="203"/>
      <c r="M30" s="203"/>
      <c r="N30" s="204"/>
      <c r="O30" s="205"/>
      <c r="P30" s="206"/>
      <c r="Q30" s="207"/>
      <c r="R30" s="203"/>
      <c r="S30" s="203"/>
      <c r="T30" s="203"/>
      <c r="U30" s="203"/>
      <c r="V30" s="203"/>
      <c r="W30" s="204"/>
      <c r="X30" s="205"/>
      <c r="Y30" s="206"/>
      <c r="Z30" s="207"/>
      <c r="AA30" s="203"/>
      <c r="AB30" s="203"/>
      <c r="AC30" s="203"/>
      <c r="AD30" s="203"/>
      <c r="AE30" s="203"/>
      <c r="AF30" s="204"/>
      <c r="AG30" s="205"/>
      <c r="AH30" s="206"/>
      <c r="AI30" s="202"/>
      <c r="AJ30" s="201"/>
      <c r="AK30" s="201"/>
      <c r="AL30" s="201"/>
      <c r="AM30" s="201"/>
      <c r="AN30" s="201"/>
      <c r="AO30" s="215" t="str">
        <f t="shared" si="5"/>
        <v>-</v>
      </c>
      <c r="AP30" s="216"/>
      <c r="AQ30" s="217"/>
    </row>
    <row r="31" spans="1:43" ht="13.5" customHeight="1">
      <c r="A31" s="211" t="s">
        <v>28</v>
      </c>
      <c r="B31" s="212"/>
      <c r="C31" s="212"/>
      <c r="D31" s="212"/>
      <c r="E31" s="212"/>
      <c r="F31" s="212"/>
      <c r="G31" s="213"/>
      <c r="H31" s="214"/>
      <c r="I31" s="203"/>
      <c r="J31" s="203"/>
      <c r="K31" s="203"/>
      <c r="L31" s="203"/>
      <c r="M31" s="203"/>
      <c r="N31" s="204"/>
      <c r="O31" s="205"/>
      <c r="P31" s="206"/>
      <c r="Q31" s="207"/>
      <c r="R31" s="203"/>
      <c r="S31" s="203"/>
      <c r="T31" s="203"/>
      <c r="U31" s="203"/>
      <c r="V31" s="203"/>
      <c r="W31" s="204"/>
      <c r="X31" s="205"/>
      <c r="Y31" s="206"/>
      <c r="Z31" s="207"/>
      <c r="AA31" s="203"/>
      <c r="AB31" s="203"/>
      <c r="AC31" s="203"/>
      <c r="AD31" s="203"/>
      <c r="AE31" s="203"/>
      <c r="AF31" s="204"/>
      <c r="AG31" s="205"/>
      <c r="AH31" s="206"/>
      <c r="AI31" s="202"/>
      <c r="AJ31" s="201"/>
      <c r="AK31" s="201"/>
      <c r="AL31" s="201"/>
      <c r="AM31" s="201"/>
      <c r="AN31" s="201"/>
      <c r="AO31" s="215" t="str">
        <f t="shared" si="5"/>
        <v>-</v>
      </c>
      <c r="AP31" s="216"/>
      <c r="AQ31" s="217"/>
    </row>
    <row r="32" spans="1:43" ht="13.5" customHeight="1">
      <c r="A32" s="211" t="s">
        <v>29</v>
      </c>
      <c r="B32" s="212"/>
      <c r="C32" s="212"/>
      <c r="D32" s="212"/>
      <c r="E32" s="212"/>
      <c r="F32" s="212"/>
      <c r="G32" s="213"/>
      <c r="H32" s="214"/>
      <c r="I32" s="203"/>
      <c r="J32" s="203"/>
      <c r="K32" s="203"/>
      <c r="L32" s="203"/>
      <c r="M32" s="203"/>
      <c r="N32" s="204"/>
      <c r="O32" s="205"/>
      <c r="P32" s="206"/>
      <c r="Q32" s="207"/>
      <c r="R32" s="203"/>
      <c r="S32" s="203"/>
      <c r="T32" s="203"/>
      <c r="U32" s="203"/>
      <c r="V32" s="203"/>
      <c r="W32" s="204"/>
      <c r="X32" s="205"/>
      <c r="Y32" s="206"/>
      <c r="Z32" s="207"/>
      <c r="AA32" s="203"/>
      <c r="AB32" s="203"/>
      <c r="AC32" s="203"/>
      <c r="AD32" s="203"/>
      <c r="AE32" s="203"/>
      <c r="AF32" s="204"/>
      <c r="AG32" s="205"/>
      <c r="AH32" s="206"/>
      <c r="AI32" s="202"/>
      <c r="AJ32" s="201"/>
      <c r="AK32" s="201"/>
      <c r="AL32" s="201"/>
      <c r="AM32" s="201"/>
      <c r="AN32" s="201"/>
      <c r="AO32" s="215" t="str">
        <f t="shared" si="5"/>
        <v>-</v>
      </c>
      <c r="AP32" s="216"/>
      <c r="AQ32" s="217"/>
    </row>
    <row r="33" spans="1:43" ht="13.5" customHeight="1">
      <c r="A33" s="211" t="s">
        <v>30</v>
      </c>
      <c r="B33" s="212"/>
      <c r="C33" s="212"/>
      <c r="D33" s="212"/>
      <c r="E33" s="212"/>
      <c r="F33" s="212"/>
      <c r="G33" s="213"/>
      <c r="H33" s="214"/>
      <c r="I33" s="203"/>
      <c r="J33" s="203"/>
      <c r="K33" s="203"/>
      <c r="L33" s="203"/>
      <c r="M33" s="203"/>
      <c r="N33" s="204"/>
      <c r="O33" s="205"/>
      <c r="P33" s="206"/>
      <c r="Q33" s="207"/>
      <c r="R33" s="203"/>
      <c r="S33" s="203"/>
      <c r="T33" s="203"/>
      <c r="U33" s="203"/>
      <c r="V33" s="203"/>
      <c r="W33" s="204"/>
      <c r="X33" s="205"/>
      <c r="Y33" s="206"/>
      <c r="Z33" s="207"/>
      <c r="AA33" s="203"/>
      <c r="AB33" s="203"/>
      <c r="AC33" s="203"/>
      <c r="AD33" s="203"/>
      <c r="AE33" s="203"/>
      <c r="AF33" s="204"/>
      <c r="AG33" s="205"/>
      <c r="AH33" s="206"/>
      <c r="AI33" s="202"/>
      <c r="AJ33" s="201"/>
      <c r="AK33" s="201"/>
      <c r="AL33" s="201"/>
      <c r="AM33" s="201"/>
      <c r="AN33" s="201"/>
      <c r="AO33" s="215" t="str">
        <f t="shared" si="5"/>
        <v>-</v>
      </c>
      <c r="AP33" s="216"/>
      <c r="AQ33" s="217"/>
    </row>
    <row r="34" spans="1:43" ht="13.5" customHeight="1">
      <c r="A34" s="211" t="s">
        <v>31</v>
      </c>
      <c r="B34" s="212"/>
      <c r="C34" s="212"/>
      <c r="D34" s="212"/>
      <c r="E34" s="212"/>
      <c r="F34" s="212"/>
      <c r="G34" s="213"/>
      <c r="H34" s="214"/>
      <c r="I34" s="203"/>
      <c r="J34" s="203"/>
      <c r="K34" s="203"/>
      <c r="L34" s="203"/>
      <c r="M34" s="203"/>
      <c r="N34" s="204"/>
      <c r="O34" s="205"/>
      <c r="P34" s="206"/>
      <c r="Q34" s="207"/>
      <c r="R34" s="203"/>
      <c r="S34" s="203"/>
      <c r="T34" s="203"/>
      <c r="U34" s="203"/>
      <c r="V34" s="203"/>
      <c r="W34" s="204"/>
      <c r="X34" s="205"/>
      <c r="Y34" s="206"/>
      <c r="Z34" s="207"/>
      <c r="AA34" s="203"/>
      <c r="AB34" s="203"/>
      <c r="AC34" s="203"/>
      <c r="AD34" s="203"/>
      <c r="AE34" s="203"/>
      <c r="AF34" s="204"/>
      <c r="AG34" s="205"/>
      <c r="AH34" s="206"/>
      <c r="AI34" s="202"/>
      <c r="AJ34" s="201"/>
      <c r="AK34" s="201"/>
      <c r="AL34" s="201"/>
      <c r="AM34" s="201"/>
      <c r="AN34" s="201"/>
      <c r="AO34" s="215" t="str">
        <f t="shared" si="5"/>
        <v>-</v>
      </c>
      <c r="AP34" s="216"/>
      <c r="AQ34" s="217"/>
    </row>
    <row r="35" spans="1:43" ht="13.5" customHeight="1">
      <c r="A35" s="211" t="s">
        <v>32</v>
      </c>
      <c r="B35" s="212"/>
      <c r="C35" s="212"/>
      <c r="D35" s="212"/>
      <c r="E35" s="212"/>
      <c r="F35" s="212"/>
      <c r="G35" s="213"/>
      <c r="H35" s="214"/>
      <c r="I35" s="203"/>
      <c r="J35" s="203"/>
      <c r="K35" s="203"/>
      <c r="L35" s="203"/>
      <c r="M35" s="203"/>
      <c r="N35" s="204"/>
      <c r="O35" s="205"/>
      <c r="P35" s="206"/>
      <c r="Q35" s="207"/>
      <c r="R35" s="203"/>
      <c r="S35" s="203"/>
      <c r="T35" s="203"/>
      <c r="U35" s="203"/>
      <c r="V35" s="203"/>
      <c r="W35" s="204"/>
      <c r="X35" s="205"/>
      <c r="Y35" s="206"/>
      <c r="Z35" s="207"/>
      <c r="AA35" s="203"/>
      <c r="AB35" s="203"/>
      <c r="AC35" s="203"/>
      <c r="AD35" s="203"/>
      <c r="AE35" s="203"/>
      <c r="AF35" s="204"/>
      <c r="AG35" s="205"/>
      <c r="AH35" s="206"/>
      <c r="AI35" s="202"/>
      <c r="AJ35" s="201"/>
      <c r="AK35" s="201"/>
      <c r="AL35" s="201"/>
      <c r="AM35" s="201"/>
      <c r="AN35" s="201"/>
      <c r="AO35" s="215" t="str">
        <f t="shared" si="5"/>
        <v>-</v>
      </c>
      <c r="AP35" s="216"/>
      <c r="AQ35" s="217"/>
    </row>
    <row r="36" spans="1:43" ht="13.5" customHeight="1">
      <c r="A36" s="211" t="s">
        <v>33</v>
      </c>
      <c r="B36" s="212"/>
      <c r="C36" s="212"/>
      <c r="D36" s="212"/>
      <c r="E36" s="212"/>
      <c r="F36" s="212"/>
      <c r="G36" s="213"/>
      <c r="H36" s="214"/>
      <c r="I36" s="203"/>
      <c r="J36" s="203"/>
      <c r="K36" s="203"/>
      <c r="L36" s="203"/>
      <c r="M36" s="203"/>
      <c r="N36" s="204"/>
      <c r="O36" s="205"/>
      <c r="P36" s="206"/>
      <c r="Q36" s="207"/>
      <c r="R36" s="203"/>
      <c r="S36" s="203"/>
      <c r="T36" s="203"/>
      <c r="U36" s="203"/>
      <c r="V36" s="203"/>
      <c r="W36" s="204"/>
      <c r="X36" s="205"/>
      <c r="Y36" s="206"/>
      <c r="Z36" s="207"/>
      <c r="AA36" s="203"/>
      <c r="AB36" s="203"/>
      <c r="AC36" s="203"/>
      <c r="AD36" s="203"/>
      <c r="AE36" s="203"/>
      <c r="AF36" s="204"/>
      <c r="AG36" s="205"/>
      <c r="AH36" s="206"/>
      <c r="AI36" s="202"/>
      <c r="AJ36" s="201"/>
      <c r="AK36" s="201"/>
      <c r="AL36" s="201"/>
      <c r="AM36" s="201"/>
      <c r="AN36" s="201"/>
      <c r="AO36" s="215" t="str">
        <f t="shared" si="5"/>
        <v>-</v>
      </c>
      <c r="AP36" s="216"/>
      <c r="AQ36" s="217"/>
    </row>
    <row r="37" spans="1:43" ht="13.5" customHeight="1">
      <c r="A37" s="211" t="s">
        <v>34</v>
      </c>
      <c r="B37" s="212"/>
      <c r="C37" s="212"/>
      <c r="D37" s="212"/>
      <c r="E37" s="212"/>
      <c r="F37" s="212"/>
      <c r="G37" s="213"/>
      <c r="H37" s="214"/>
      <c r="I37" s="203"/>
      <c r="J37" s="203"/>
      <c r="K37" s="203"/>
      <c r="L37" s="203"/>
      <c r="M37" s="203"/>
      <c r="N37" s="204"/>
      <c r="O37" s="205"/>
      <c r="P37" s="206"/>
      <c r="Q37" s="207"/>
      <c r="R37" s="203"/>
      <c r="S37" s="203"/>
      <c r="T37" s="203"/>
      <c r="U37" s="203"/>
      <c r="V37" s="203"/>
      <c r="W37" s="204"/>
      <c r="X37" s="205"/>
      <c r="Y37" s="206"/>
      <c r="Z37" s="207"/>
      <c r="AA37" s="203"/>
      <c r="AB37" s="203"/>
      <c r="AC37" s="203"/>
      <c r="AD37" s="203"/>
      <c r="AE37" s="203"/>
      <c r="AF37" s="204"/>
      <c r="AG37" s="205"/>
      <c r="AH37" s="206"/>
      <c r="AI37" s="202"/>
      <c r="AJ37" s="201"/>
      <c r="AK37" s="201"/>
      <c r="AL37" s="201"/>
      <c r="AM37" s="201"/>
      <c r="AN37" s="201"/>
      <c r="AO37" s="215" t="str">
        <f t="shared" si="5"/>
        <v>-</v>
      </c>
      <c r="AP37" s="216"/>
      <c r="AQ37" s="217"/>
    </row>
  </sheetData>
  <mergeCells count="403">
    <mergeCell ref="AF37:AH37"/>
    <mergeCell ref="AI37:AK37"/>
    <mergeCell ref="AL37:AN37"/>
    <mergeCell ref="AO37:AQ37"/>
    <mergeCell ref="AO36:AQ36"/>
    <mergeCell ref="A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W36:Y36"/>
    <mergeCell ref="Z36:AB36"/>
    <mergeCell ref="AC36:AE36"/>
    <mergeCell ref="AF36:AH36"/>
    <mergeCell ref="AI36:AK36"/>
    <mergeCell ref="AL36:AN36"/>
    <mergeCell ref="AF35:AH35"/>
    <mergeCell ref="AI35:AK35"/>
    <mergeCell ref="AL35:AN35"/>
    <mergeCell ref="AO35:AQ35"/>
    <mergeCell ref="A36:G36"/>
    <mergeCell ref="H36:J36"/>
    <mergeCell ref="K36:M36"/>
    <mergeCell ref="N36:P36"/>
    <mergeCell ref="Q36:S36"/>
    <mergeCell ref="T36:V36"/>
    <mergeCell ref="A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AF33:AH33"/>
    <mergeCell ref="AI33:AK33"/>
    <mergeCell ref="AL33:AN33"/>
    <mergeCell ref="AO33:AQ33"/>
    <mergeCell ref="A34:G34"/>
    <mergeCell ref="H34:J34"/>
    <mergeCell ref="K34:M34"/>
    <mergeCell ref="N34:P34"/>
    <mergeCell ref="Q34:S34"/>
    <mergeCell ref="T34:V34"/>
    <mergeCell ref="AO34:AQ34"/>
    <mergeCell ref="W34:Y34"/>
    <mergeCell ref="Z34:AB34"/>
    <mergeCell ref="AC34:AE34"/>
    <mergeCell ref="AF34:AH34"/>
    <mergeCell ref="AI34:AK34"/>
    <mergeCell ref="AL34:AN34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1:AH31"/>
    <mergeCell ref="AI31:AK31"/>
    <mergeCell ref="AL31:AN31"/>
    <mergeCell ref="AO31:AQ31"/>
    <mergeCell ref="A32:G32"/>
    <mergeCell ref="H32:J32"/>
    <mergeCell ref="K32:M32"/>
    <mergeCell ref="N32:P32"/>
    <mergeCell ref="Q32:S32"/>
    <mergeCell ref="T32:V32"/>
    <mergeCell ref="AO32:AQ32"/>
    <mergeCell ref="W32:Y32"/>
    <mergeCell ref="Z32:AB32"/>
    <mergeCell ref="AC32:AE32"/>
    <mergeCell ref="AF32:AH32"/>
    <mergeCell ref="AI32:AK32"/>
    <mergeCell ref="AL32:AN32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29:AH29"/>
    <mergeCell ref="AI29:AK29"/>
    <mergeCell ref="AL29:AN29"/>
    <mergeCell ref="AO29:AQ29"/>
    <mergeCell ref="A30:G30"/>
    <mergeCell ref="H30:J30"/>
    <mergeCell ref="K30:M30"/>
    <mergeCell ref="N30:P30"/>
    <mergeCell ref="Q30:S30"/>
    <mergeCell ref="T30:V30"/>
    <mergeCell ref="AO30:AQ30"/>
    <mergeCell ref="W30:Y30"/>
    <mergeCell ref="Z30:AB30"/>
    <mergeCell ref="AC30:AE30"/>
    <mergeCell ref="AF30:AH30"/>
    <mergeCell ref="AI30:AK30"/>
    <mergeCell ref="AL30:AN30"/>
    <mergeCell ref="A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6:AH26"/>
    <mergeCell ref="AI26:AK26"/>
    <mergeCell ref="AL26:AN26"/>
    <mergeCell ref="AF28:AH28"/>
    <mergeCell ref="AI28:AK28"/>
    <mergeCell ref="AL28:AN28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A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  <mergeCell ref="A1:B1"/>
    <mergeCell ref="A4:E4"/>
    <mergeCell ref="F4:H4"/>
    <mergeCell ref="I4:R4"/>
    <mergeCell ref="AC4:AF4"/>
    <mergeCell ref="AH4:AM4"/>
    <mergeCell ref="A5:E5"/>
    <mergeCell ref="F5:H5"/>
    <mergeCell ref="I5:R5"/>
    <mergeCell ref="A3:E3"/>
    <mergeCell ref="F3:H3"/>
    <mergeCell ref="I3:R3"/>
    <mergeCell ref="AB3:AF3"/>
    <mergeCell ref="AG3:AM3"/>
    <mergeCell ref="AO28:AQ28"/>
    <mergeCell ref="S3:V3"/>
    <mergeCell ref="W3:Z3"/>
    <mergeCell ref="S4:V4"/>
    <mergeCell ref="W4:Z4"/>
    <mergeCell ref="S5:V5"/>
    <mergeCell ref="W5:Z5"/>
    <mergeCell ref="C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O4:AS4"/>
    <mergeCell ref="AN3:AS3"/>
    <mergeCell ref="W9:Y9"/>
    <mergeCell ref="Z9:AB9"/>
    <mergeCell ref="AC9:AE9"/>
    <mergeCell ref="AF9:AH9"/>
    <mergeCell ref="AI9:AK9"/>
    <mergeCell ref="AL9:AN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37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3" customWidth="1"/>
    <col min="8" max="43" width="2.75" style="3" customWidth="1"/>
    <col min="44" max="49" width="2.625" style="3" customWidth="1"/>
    <col min="50" max="16384" width="2.625" style="3"/>
  </cols>
  <sheetData>
    <row r="1" spans="1:71" s="38" customFormat="1" ht="13.5" customHeight="1">
      <c r="A1" s="112" t="str">
        <f>IF(No.1!A1="","",No.1!A1)</f>
        <v/>
      </c>
      <c r="B1" s="113"/>
      <c r="C1" s="89" t="s">
        <v>376</v>
      </c>
      <c r="D1" s="36"/>
      <c r="E1" s="36"/>
      <c r="F1" s="36"/>
      <c r="G1" s="36"/>
      <c r="H1" s="37"/>
      <c r="I1" s="36"/>
      <c r="J1" s="36"/>
      <c r="K1" s="36"/>
      <c r="L1" s="36"/>
      <c r="M1" s="36"/>
      <c r="N1" s="36"/>
      <c r="O1" s="36"/>
      <c r="P1" s="36"/>
      <c r="T1" s="39"/>
      <c r="U1" s="39"/>
      <c r="AL1" s="64"/>
      <c r="AM1" s="64"/>
      <c r="AN1" s="64"/>
      <c r="AO1" s="64"/>
      <c r="AP1" s="64"/>
      <c r="AQ1" s="64"/>
      <c r="AR1" s="64"/>
      <c r="AS1" s="64"/>
    </row>
    <row r="2" spans="1:71" s="38" customFormat="1" ht="13.5" customHeight="1">
      <c r="A2" s="40" t="s">
        <v>1</v>
      </c>
      <c r="B2" s="36"/>
      <c r="C2" s="36"/>
      <c r="D2" s="36"/>
      <c r="E2" s="36"/>
      <c r="F2" s="36"/>
      <c r="G2" s="36"/>
      <c r="H2" s="37"/>
      <c r="I2" s="36"/>
      <c r="J2" s="36"/>
      <c r="K2" s="36"/>
      <c r="L2" s="36"/>
      <c r="M2" s="36"/>
      <c r="N2" s="36"/>
      <c r="O2" s="36"/>
      <c r="P2" s="36"/>
      <c r="T2" s="39"/>
      <c r="U2" s="39"/>
      <c r="AL2" s="66"/>
      <c r="AM2" s="66"/>
      <c r="AN2" s="66"/>
      <c r="AO2" s="66"/>
      <c r="AP2" s="66"/>
      <c r="AQ2" s="65"/>
      <c r="AR2" s="65"/>
      <c r="AS2" s="65"/>
    </row>
    <row r="3" spans="1:71" s="38" customFormat="1" ht="13.5" customHeight="1">
      <c r="A3" s="136"/>
      <c r="B3" s="136"/>
      <c r="C3" s="136"/>
      <c r="D3" s="136"/>
      <c r="E3" s="136"/>
      <c r="F3" s="137" t="s">
        <v>277</v>
      </c>
      <c r="G3" s="137"/>
      <c r="H3" s="137"/>
      <c r="I3" s="138" t="s">
        <v>278</v>
      </c>
      <c r="J3" s="138"/>
      <c r="K3" s="138"/>
      <c r="L3" s="138"/>
      <c r="M3" s="138"/>
      <c r="N3" s="138"/>
      <c r="O3" s="138"/>
      <c r="P3" s="115"/>
      <c r="Q3" s="115"/>
      <c r="R3" s="115"/>
      <c r="T3" s="116" t="s">
        <v>279</v>
      </c>
      <c r="U3" s="116"/>
      <c r="V3" s="116"/>
      <c r="W3" s="116"/>
      <c r="X3" s="116"/>
      <c r="Y3" s="116" t="s">
        <v>280</v>
      </c>
      <c r="Z3" s="117"/>
      <c r="AA3" s="117"/>
      <c r="AB3" s="117"/>
      <c r="AC3" s="117"/>
      <c r="AD3" s="117"/>
      <c r="AE3" s="117"/>
      <c r="AF3" s="121" t="s">
        <v>0</v>
      </c>
      <c r="AG3" s="119"/>
      <c r="AH3" s="119"/>
      <c r="AI3" s="119"/>
      <c r="AJ3" s="119"/>
      <c r="AK3" s="120"/>
    </row>
    <row r="4" spans="1:71" s="38" customFormat="1" ht="13.5" customHeight="1">
      <c r="A4" s="114" t="s">
        <v>384</v>
      </c>
      <c r="B4" s="114"/>
      <c r="C4" s="114"/>
      <c r="D4" s="114"/>
      <c r="E4" s="114"/>
      <c r="F4" s="114" t="str">
        <f>IF(No.1!F4="","",No.1!F4)</f>
        <v/>
      </c>
      <c r="G4" s="114"/>
      <c r="H4" s="114"/>
      <c r="I4" s="114" t="str">
        <f>IF(No.1!I4="","",No.1!I4)</f>
        <v/>
      </c>
      <c r="J4" s="114"/>
      <c r="K4" s="114"/>
      <c r="L4" s="114"/>
      <c r="M4" s="114"/>
      <c r="N4" s="114"/>
      <c r="O4" s="114"/>
      <c r="P4" s="115"/>
      <c r="Q4" s="115"/>
      <c r="R4" s="115"/>
      <c r="T4" s="76" t="str">
        <f>IF(No.1!AB4="","",No.1!AB4)</f>
        <v/>
      </c>
      <c r="U4" s="116" t="str">
        <f>IF(No.1!AC4="","",No.1!AC4)</f>
        <v/>
      </c>
      <c r="V4" s="116"/>
      <c r="W4" s="116"/>
      <c r="X4" s="116"/>
      <c r="Y4" s="76" t="str">
        <f>IF(No.1!AG4="","",No.1!AG4)</f>
        <v/>
      </c>
      <c r="Z4" s="114" t="str">
        <f>IF(No.1!AH4="","",No.1!AH4)</f>
        <v/>
      </c>
      <c r="AA4" s="117"/>
      <c r="AB4" s="117"/>
      <c r="AC4" s="117"/>
      <c r="AD4" s="117"/>
      <c r="AE4" s="117"/>
      <c r="AF4" s="76" t="str">
        <f>IF(No.1!AN4="","",No.1!AN4)</f>
        <v/>
      </c>
      <c r="AG4" s="118" t="str">
        <f>IF(No.1!AO4="","",No.1!AO4)</f>
        <v/>
      </c>
      <c r="AH4" s="119"/>
      <c r="AI4" s="119"/>
      <c r="AJ4" s="119"/>
      <c r="AK4" s="120"/>
    </row>
    <row r="5" spans="1:71" s="38" customFormat="1" ht="13.5" customHeight="1">
      <c r="A5" s="114" t="s">
        <v>268</v>
      </c>
      <c r="B5" s="114"/>
      <c r="C5" s="114"/>
      <c r="D5" s="114"/>
      <c r="E5" s="114"/>
      <c r="F5" s="114" t="str">
        <f>IF(No.1!F5="","",No.1!F5)</f>
        <v/>
      </c>
      <c r="G5" s="114"/>
      <c r="H5" s="114"/>
      <c r="I5" s="114" t="str">
        <f>IF(No.1!I5="","",No.1!I5)</f>
        <v/>
      </c>
      <c r="J5" s="114"/>
      <c r="K5" s="114"/>
      <c r="L5" s="114"/>
      <c r="M5" s="114"/>
      <c r="N5" s="114"/>
      <c r="O5" s="114"/>
      <c r="P5" s="115"/>
      <c r="Q5" s="115"/>
      <c r="R5" s="115"/>
    </row>
    <row r="6" spans="1:71" s="38" customFormat="1" ht="13.5" customHeight="1">
      <c r="A6" s="40"/>
      <c r="H6" s="41"/>
    </row>
    <row r="7" spans="1:71" s="1" customFormat="1" ht="13.5" customHeight="1">
      <c r="A7" s="1" t="s">
        <v>36</v>
      </c>
      <c r="AQ7" s="2" t="s">
        <v>3</v>
      </c>
      <c r="AV7" s="2"/>
      <c r="AW7" s="42"/>
      <c r="BS7" s="42"/>
    </row>
    <row r="8" spans="1:71" ht="13.5" customHeight="1">
      <c r="A8" s="127"/>
      <c r="B8" s="128"/>
      <c r="C8" s="128"/>
      <c r="D8" s="128"/>
      <c r="E8" s="128"/>
      <c r="F8" s="128"/>
      <c r="G8" s="129"/>
      <c r="H8" s="133" t="s">
        <v>4</v>
      </c>
      <c r="I8" s="133"/>
      <c r="J8" s="133"/>
      <c r="K8" s="133"/>
      <c r="L8" s="133"/>
      <c r="M8" s="133"/>
      <c r="N8" s="133"/>
      <c r="O8" s="133"/>
      <c r="P8" s="134"/>
      <c r="Q8" s="135" t="s">
        <v>5</v>
      </c>
      <c r="R8" s="133"/>
      <c r="S8" s="133"/>
      <c r="T8" s="133"/>
      <c r="U8" s="133"/>
      <c r="V8" s="133"/>
      <c r="W8" s="133"/>
      <c r="X8" s="133"/>
      <c r="Y8" s="134"/>
      <c r="Z8" s="135" t="s">
        <v>6</v>
      </c>
      <c r="AA8" s="133"/>
      <c r="AB8" s="133"/>
      <c r="AC8" s="133"/>
      <c r="AD8" s="133"/>
      <c r="AE8" s="133"/>
      <c r="AF8" s="133"/>
      <c r="AG8" s="133"/>
      <c r="AH8" s="134"/>
      <c r="AI8" s="133" t="s">
        <v>7</v>
      </c>
      <c r="AJ8" s="133"/>
      <c r="AK8" s="133"/>
      <c r="AL8" s="133"/>
      <c r="AM8" s="133"/>
      <c r="AN8" s="133"/>
      <c r="AO8" s="133"/>
      <c r="AP8" s="133"/>
      <c r="AQ8" s="134"/>
    </row>
    <row r="9" spans="1:71" ht="13.5" customHeight="1">
      <c r="A9" s="130"/>
      <c r="B9" s="131"/>
      <c r="C9" s="131"/>
      <c r="D9" s="131"/>
      <c r="E9" s="131"/>
      <c r="F9" s="131"/>
      <c r="G9" s="132"/>
      <c r="H9" s="125" t="s">
        <v>267</v>
      </c>
      <c r="I9" s="123"/>
      <c r="J9" s="126"/>
      <c r="K9" s="122" t="s">
        <v>268</v>
      </c>
      <c r="L9" s="123"/>
      <c r="M9" s="126"/>
      <c r="N9" s="122" t="s">
        <v>8</v>
      </c>
      <c r="O9" s="123"/>
      <c r="P9" s="124"/>
      <c r="Q9" s="125" t="s">
        <v>267</v>
      </c>
      <c r="R9" s="123"/>
      <c r="S9" s="126"/>
      <c r="T9" s="122" t="s">
        <v>268</v>
      </c>
      <c r="U9" s="123"/>
      <c r="V9" s="126"/>
      <c r="W9" s="122" t="s">
        <v>8</v>
      </c>
      <c r="X9" s="123"/>
      <c r="Y9" s="124"/>
      <c r="Z9" s="125" t="s">
        <v>267</v>
      </c>
      <c r="AA9" s="123"/>
      <c r="AB9" s="126"/>
      <c r="AC9" s="122" t="s">
        <v>268</v>
      </c>
      <c r="AD9" s="123"/>
      <c r="AE9" s="126"/>
      <c r="AF9" s="122" t="s">
        <v>8</v>
      </c>
      <c r="AG9" s="123"/>
      <c r="AH9" s="124"/>
      <c r="AI9" s="125" t="s">
        <v>267</v>
      </c>
      <c r="AJ9" s="123"/>
      <c r="AK9" s="126"/>
      <c r="AL9" s="122" t="s">
        <v>268</v>
      </c>
      <c r="AM9" s="123"/>
      <c r="AN9" s="126"/>
      <c r="AO9" s="122" t="s">
        <v>8</v>
      </c>
      <c r="AP9" s="123"/>
      <c r="AQ9" s="124"/>
    </row>
    <row r="10" spans="1:71" ht="13.5" customHeight="1">
      <c r="A10" s="144" t="s">
        <v>9</v>
      </c>
      <c r="B10" s="145"/>
      <c r="C10" s="145"/>
      <c r="D10" s="145"/>
      <c r="E10" s="145"/>
      <c r="F10" s="145"/>
      <c r="G10" s="146"/>
      <c r="H10" s="147"/>
      <c r="I10" s="143"/>
      <c r="J10" s="143"/>
      <c r="K10" s="143"/>
      <c r="L10" s="143"/>
      <c r="M10" s="143"/>
      <c r="N10" s="139" t="str">
        <f>IF(H10="-", "-", IF(K10="-", "-", IF(ABS(K10)=0, "-", ROUND(100*(H10-K10)/ABS(K10),10))))</f>
        <v>-</v>
      </c>
      <c r="O10" s="140"/>
      <c r="P10" s="141"/>
      <c r="Q10" s="147"/>
      <c r="R10" s="143"/>
      <c r="S10" s="143"/>
      <c r="T10" s="143"/>
      <c r="U10" s="143"/>
      <c r="V10" s="143"/>
      <c r="W10" s="139" t="str">
        <f t="shared" ref="W10:W17" si="0">IF(Q10="-", "-", IF(T10="-", "-", IF(ABS(T10)=0, "-", ROUND(100*(Q10-T10)/ABS(T10),10))))</f>
        <v>-</v>
      </c>
      <c r="X10" s="140"/>
      <c r="Y10" s="141"/>
      <c r="Z10" s="142"/>
      <c r="AA10" s="143"/>
      <c r="AB10" s="143"/>
      <c r="AC10" s="143"/>
      <c r="AD10" s="143"/>
      <c r="AE10" s="143"/>
      <c r="AF10" s="139" t="str">
        <f>IF(Z10="-", "-", IF(AC10="-", "-", IF(ABS(AC10)=0, "-", ROUND(100*(Z10-AC10)/ABS(AC10),10))))</f>
        <v>-</v>
      </c>
      <c r="AG10" s="140"/>
      <c r="AH10" s="141"/>
      <c r="AI10" s="142"/>
      <c r="AJ10" s="143"/>
      <c r="AK10" s="143"/>
      <c r="AL10" s="143"/>
      <c r="AM10" s="143"/>
      <c r="AN10" s="143"/>
      <c r="AO10" s="139" t="str">
        <f t="shared" ref="AO10:AO27" si="1">IF(AI10="-", "-", IF(AL10="-", "-", IF(ABS(AL10)=0, "-", ROUND(100*(AI10-AL10)/ABS(AL10),10))))</f>
        <v>-</v>
      </c>
      <c r="AP10" s="140"/>
      <c r="AQ10" s="141"/>
    </row>
    <row r="11" spans="1:71" ht="13.5" customHeight="1">
      <c r="A11" s="43"/>
      <c r="B11" s="148" t="s">
        <v>273</v>
      </c>
      <c r="C11" s="149"/>
      <c r="D11" s="149"/>
      <c r="E11" s="149"/>
      <c r="F11" s="149"/>
      <c r="G11" s="150"/>
      <c r="H11" s="147"/>
      <c r="I11" s="143"/>
      <c r="J11" s="143"/>
      <c r="K11" s="151"/>
      <c r="L11" s="151"/>
      <c r="M11" s="151"/>
      <c r="N11" s="139" t="str">
        <f>IF(H11="-", "-", IF(K11="-", "-", IF(ABS(K11)=0, "-", ROUND(100*(H11-K11)/ABS(K11),10))))</f>
        <v>-</v>
      </c>
      <c r="O11" s="140"/>
      <c r="P11" s="141"/>
      <c r="Q11" s="147"/>
      <c r="R11" s="143"/>
      <c r="S11" s="143"/>
      <c r="T11" s="151"/>
      <c r="U11" s="151"/>
      <c r="V11" s="151"/>
      <c r="W11" s="139" t="str">
        <f t="shared" si="0"/>
        <v>-</v>
      </c>
      <c r="X11" s="140"/>
      <c r="Y11" s="141"/>
      <c r="Z11" s="155"/>
      <c r="AA11" s="156"/>
      <c r="AB11" s="156"/>
      <c r="AC11" s="157"/>
      <c r="AD11" s="157"/>
      <c r="AE11" s="157"/>
      <c r="AF11" s="158"/>
      <c r="AG11" s="159"/>
      <c r="AH11" s="160"/>
      <c r="AI11" s="142"/>
      <c r="AJ11" s="143"/>
      <c r="AK11" s="143"/>
      <c r="AL11" s="151"/>
      <c r="AM11" s="151"/>
      <c r="AN11" s="151"/>
      <c r="AO11" s="139" t="str">
        <f t="shared" si="1"/>
        <v>-</v>
      </c>
      <c r="AP11" s="140"/>
      <c r="AQ11" s="141"/>
    </row>
    <row r="12" spans="1:71" ht="13.5" customHeight="1">
      <c r="A12" s="43"/>
      <c r="B12" s="152" t="s">
        <v>10</v>
      </c>
      <c r="C12" s="153"/>
      <c r="D12" s="153"/>
      <c r="E12" s="153"/>
      <c r="F12" s="153"/>
      <c r="G12" s="154"/>
      <c r="H12" s="147"/>
      <c r="I12" s="143"/>
      <c r="J12" s="143"/>
      <c r="K12" s="151"/>
      <c r="L12" s="151"/>
      <c r="M12" s="151"/>
      <c r="N12" s="139" t="str">
        <f>IF(H12="-", "-", IF(K12="-", "-", IF(ABS(K12)=0, "-", ROUND(100*(H12-K12)/ABS(K12),10))))</f>
        <v>-</v>
      </c>
      <c r="O12" s="140"/>
      <c r="P12" s="141"/>
      <c r="Q12" s="147"/>
      <c r="R12" s="143"/>
      <c r="S12" s="143"/>
      <c r="T12" s="151"/>
      <c r="U12" s="151"/>
      <c r="V12" s="151"/>
      <c r="W12" s="139" t="str">
        <f t="shared" si="0"/>
        <v>-</v>
      </c>
      <c r="X12" s="140"/>
      <c r="Y12" s="141"/>
      <c r="Z12" s="155"/>
      <c r="AA12" s="156"/>
      <c r="AB12" s="156"/>
      <c r="AC12" s="157"/>
      <c r="AD12" s="157"/>
      <c r="AE12" s="157"/>
      <c r="AF12" s="158"/>
      <c r="AG12" s="159"/>
      <c r="AH12" s="160"/>
      <c r="AI12" s="142"/>
      <c r="AJ12" s="143"/>
      <c r="AK12" s="143"/>
      <c r="AL12" s="151"/>
      <c r="AM12" s="151"/>
      <c r="AN12" s="151"/>
      <c r="AO12" s="139" t="str">
        <f t="shared" si="1"/>
        <v>-</v>
      </c>
      <c r="AP12" s="140"/>
      <c r="AQ12" s="141"/>
    </row>
    <row r="13" spans="1:71" ht="13.5" customHeight="1">
      <c r="A13" s="43"/>
      <c r="B13" s="44"/>
      <c r="C13" s="161" t="s">
        <v>11</v>
      </c>
      <c r="D13" s="162"/>
      <c r="E13" s="162"/>
      <c r="F13" s="162"/>
      <c r="G13" s="163"/>
      <c r="H13" s="147"/>
      <c r="I13" s="143"/>
      <c r="J13" s="143"/>
      <c r="K13" s="151"/>
      <c r="L13" s="151"/>
      <c r="M13" s="151"/>
      <c r="N13" s="139" t="str">
        <f>IF(H13="-", "-", IF(K13="-", "-", IF(ABS(K13)=0, "-", ROUND(100*(H13-K13)/ABS(K13),10))))</f>
        <v>-</v>
      </c>
      <c r="O13" s="140"/>
      <c r="P13" s="141"/>
      <c r="Q13" s="147"/>
      <c r="R13" s="143"/>
      <c r="S13" s="143"/>
      <c r="T13" s="151"/>
      <c r="U13" s="151"/>
      <c r="V13" s="151"/>
      <c r="W13" s="139" t="str">
        <f t="shared" si="0"/>
        <v>-</v>
      </c>
      <c r="X13" s="140"/>
      <c r="Y13" s="141"/>
      <c r="Z13" s="155"/>
      <c r="AA13" s="156"/>
      <c r="AB13" s="156"/>
      <c r="AC13" s="157"/>
      <c r="AD13" s="157"/>
      <c r="AE13" s="157"/>
      <c r="AF13" s="158"/>
      <c r="AG13" s="159"/>
      <c r="AH13" s="160"/>
      <c r="AI13" s="142"/>
      <c r="AJ13" s="143"/>
      <c r="AK13" s="143"/>
      <c r="AL13" s="151"/>
      <c r="AM13" s="151"/>
      <c r="AN13" s="151"/>
      <c r="AO13" s="139" t="str">
        <f t="shared" si="1"/>
        <v>-</v>
      </c>
      <c r="AP13" s="140"/>
      <c r="AQ13" s="141"/>
    </row>
    <row r="14" spans="1:71" ht="13.5" customHeight="1">
      <c r="A14" s="43"/>
      <c r="B14" s="45"/>
      <c r="C14" s="165" t="s">
        <v>12</v>
      </c>
      <c r="D14" s="166"/>
      <c r="E14" s="166"/>
      <c r="F14" s="166"/>
      <c r="G14" s="167"/>
      <c r="H14" s="155"/>
      <c r="I14" s="156"/>
      <c r="J14" s="156"/>
      <c r="K14" s="157"/>
      <c r="L14" s="157"/>
      <c r="M14" s="157"/>
      <c r="N14" s="158"/>
      <c r="O14" s="159"/>
      <c r="P14" s="160"/>
      <c r="Q14" s="147"/>
      <c r="R14" s="143"/>
      <c r="S14" s="143"/>
      <c r="T14" s="151"/>
      <c r="U14" s="151"/>
      <c r="V14" s="151"/>
      <c r="W14" s="139" t="str">
        <f t="shared" si="0"/>
        <v>-</v>
      </c>
      <c r="X14" s="140"/>
      <c r="Y14" s="141"/>
      <c r="Z14" s="155"/>
      <c r="AA14" s="156"/>
      <c r="AB14" s="156"/>
      <c r="AC14" s="157"/>
      <c r="AD14" s="157"/>
      <c r="AE14" s="157"/>
      <c r="AF14" s="158"/>
      <c r="AG14" s="159"/>
      <c r="AH14" s="160"/>
      <c r="AI14" s="142"/>
      <c r="AJ14" s="143"/>
      <c r="AK14" s="143"/>
      <c r="AL14" s="151"/>
      <c r="AM14" s="151"/>
      <c r="AN14" s="151"/>
      <c r="AO14" s="139" t="str">
        <f t="shared" si="1"/>
        <v>-</v>
      </c>
      <c r="AP14" s="140"/>
      <c r="AQ14" s="141"/>
    </row>
    <row r="15" spans="1:71" ht="13.5" customHeight="1">
      <c r="A15" s="43"/>
      <c r="B15" s="161" t="s">
        <v>13</v>
      </c>
      <c r="C15" s="162"/>
      <c r="D15" s="162"/>
      <c r="E15" s="162"/>
      <c r="F15" s="162"/>
      <c r="G15" s="163"/>
      <c r="H15" s="147"/>
      <c r="I15" s="143"/>
      <c r="J15" s="143"/>
      <c r="K15" s="151"/>
      <c r="L15" s="151"/>
      <c r="M15" s="151"/>
      <c r="N15" s="139" t="str">
        <f t="shared" ref="N15:N27" si="2">IF(H15="-", "-", IF(K15="-", "-", IF(ABS(K15)=0, "-", ROUND(100*(H15-K15)/ABS(K15),10))))</f>
        <v>-</v>
      </c>
      <c r="O15" s="140"/>
      <c r="P15" s="141"/>
      <c r="Q15" s="147"/>
      <c r="R15" s="143"/>
      <c r="S15" s="143"/>
      <c r="T15" s="151"/>
      <c r="U15" s="151"/>
      <c r="V15" s="151"/>
      <c r="W15" s="139" t="str">
        <f t="shared" si="0"/>
        <v>-</v>
      </c>
      <c r="X15" s="140"/>
      <c r="Y15" s="141"/>
      <c r="Z15" s="155"/>
      <c r="AA15" s="156"/>
      <c r="AB15" s="156"/>
      <c r="AC15" s="157"/>
      <c r="AD15" s="157"/>
      <c r="AE15" s="157"/>
      <c r="AF15" s="158"/>
      <c r="AG15" s="159"/>
      <c r="AH15" s="160"/>
      <c r="AI15" s="142"/>
      <c r="AJ15" s="143"/>
      <c r="AK15" s="143"/>
      <c r="AL15" s="151"/>
      <c r="AM15" s="151"/>
      <c r="AN15" s="151"/>
      <c r="AO15" s="139" t="str">
        <f t="shared" si="1"/>
        <v>-</v>
      </c>
      <c r="AP15" s="140"/>
      <c r="AQ15" s="141"/>
    </row>
    <row r="16" spans="1:71" ht="13.5" customHeight="1">
      <c r="A16" s="43"/>
      <c r="B16" s="161" t="s">
        <v>14</v>
      </c>
      <c r="C16" s="162"/>
      <c r="D16" s="162"/>
      <c r="E16" s="162"/>
      <c r="F16" s="162"/>
      <c r="G16" s="163"/>
      <c r="H16" s="147"/>
      <c r="I16" s="143"/>
      <c r="J16" s="143"/>
      <c r="K16" s="151"/>
      <c r="L16" s="151"/>
      <c r="M16" s="151"/>
      <c r="N16" s="139" t="str">
        <f t="shared" si="2"/>
        <v>-</v>
      </c>
      <c r="O16" s="140"/>
      <c r="P16" s="141"/>
      <c r="Q16" s="147"/>
      <c r="R16" s="143"/>
      <c r="S16" s="143"/>
      <c r="T16" s="151"/>
      <c r="U16" s="151"/>
      <c r="V16" s="151"/>
      <c r="W16" s="139" t="str">
        <f t="shared" si="0"/>
        <v>-</v>
      </c>
      <c r="X16" s="140"/>
      <c r="Y16" s="141"/>
      <c r="Z16" s="155"/>
      <c r="AA16" s="156"/>
      <c r="AB16" s="156"/>
      <c r="AC16" s="157"/>
      <c r="AD16" s="157"/>
      <c r="AE16" s="157"/>
      <c r="AF16" s="158"/>
      <c r="AG16" s="159"/>
      <c r="AH16" s="160"/>
      <c r="AI16" s="142"/>
      <c r="AJ16" s="143"/>
      <c r="AK16" s="143"/>
      <c r="AL16" s="151"/>
      <c r="AM16" s="151"/>
      <c r="AN16" s="151"/>
      <c r="AO16" s="139" t="str">
        <f t="shared" si="1"/>
        <v>-</v>
      </c>
      <c r="AP16" s="140"/>
      <c r="AQ16" s="141"/>
    </row>
    <row r="17" spans="1:43" ht="13.5" customHeight="1">
      <c r="A17" s="43"/>
      <c r="B17" s="161" t="s">
        <v>15</v>
      </c>
      <c r="C17" s="162"/>
      <c r="D17" s="162"/>
      <c r="E17" s="162"/>
      <c r="F17" s="162"/>
      <c r="G17" s="163"/>
      <c r="H17" s="147"/>
      <c r="I17" s="143"/>
      <c r="J17" s="143"/>
      <c r="K17" s="151"/>
      <c r="L17" s="151"/>
      <c r="M17" s="151"/>
      <c r="N17" s="139" t="str">
        <f t="shared" si="2"/>
        <v>-</v>
      </c>
      <c r="O17" s="140"/>
      <c r="P17" s="141"/>
      <c r="Q17" s="147"/>
      <c r="R17" s="143"/>
      <c r="S17" s="143"/>
      <c r="T17" s="151"/>
      <c r="U17" s="151"/>
      <c r="V17" s="151"/>
      <c r="W17" s="139" t="str">
        <f t="shared" si="0"/>
        <v>-</v>
      </c>
      <c r="X17" s="140"/>
      <c r="Y17" s="141"/>
      <c r="Z17" s="155"/>
      <c r="AA17" s="156"/>
      <c r="AB17" s="156"/>
      <c r="AC17" s="157"/>
      <c r="AD17" s="157"/>
      <c r="AE17" s="157"/>
      <c r="AF17" s="158"/>
      <c r="AG17" s="159"/>
      <c r="AH17" s="160"/>
      <c r="AI17" s="142"/>
      <c r="AJ17" s="143"/>
      <c r="AK17" s="143"/>
      <c r="AL17" s="151"/>
      <c r="AM17" s="151"/>
      <c r="AN17" s="151"/>
      <c r="AO17" s="139" t="str">
        <f t="shared" si="1"/>
        <v>-</v>
      </c>
      <c r="AP17" s="140"/>
      <c r="AQ17" s="141"/>
    </row>
    <row r="18" spans="1:43" ht="13.5" customHeight="1">
      <c r="A18" s="43"/>
      <c r="B18" s="148" t="s">
        <v>16</v>
      </c>
      <c r="C18" s="149"/>
      <c r="D18" s="149"/>
      <c r="E18" s="149"/>
      <c r="F18" s="149"/>
      <c r="G18" s="150"/>
      <c r="H18" s="147"/>
      <c r="I18" s="143"/>
      <c r="J18" s="143"/>
      <c r="K18" s="151"/>
      <c r="L18" s="151"/>
      <c r="M18" s="151"/>
      <c r="N18" s="139" t="str">
        <f t="shared" si="2"/>
        <v>-</v>
      </c>
      <c r="O18" s="140"/>
      <c r="P18" s="141"/>
      <c r="Q18" s="155"/>
      <c r="R18" s="156"/>
      <c r="S18" s="156"/>
      <c r="T18" s="157"/>
      <c r="U18" s="157"/>
      <c r="V18" s="157"/>
      <c r="W18" s="158"/>
      <c r="X18" s="159"/>
      <c r="Y18" s="160"/>
      <c r="Z18" s="155"/>
      <c r="AA18" s="156"/>
      <c r="AB18" s="156"/>
      <c r="AC18" s="157"/>
      <c r="AD18" s="157"/>
      <c r="AE18" s="157"/>
      <c r="AF18" s="158"/>
      <c r="AG18" s="159"/>
      <c r="AH18" s="160"/>
      <c r="AI18" s="142"/>
      <c r="AJ18" s="143"/>
      <c r="AK18" s="143"/>
      <c r="AL18" s="151"/>
      <c r="AM18" s="151"/>
      <c r="AN18" s="151"/>
      <c r="AO18" s="139" t="str">
        <f t="shared" si="1"/>
        <v>-</v>
      </c>
      <c r="AP18" s="140"/>
      <c r="AQ18" s="141"/>
    </row>
    <row r="19" spans="1:43" ht="13.5" customHeight="1">
      <c r="A19" s="43"/>
      <c r="B19" s="161" t="s">
        <v>17</v>
      </c>
      <c r="C19" s="162"/>
      <c r="D19" s="162"/>
      <c r="E19" s="162"/>
      <c r="F19" s="162"/>
      <c r="G19" s="163"/>
      <c r="H19" s="147"/>
      <c r="I19" s="143"/>
      <c r="J19" s="143"/>
      <c r="K19" s="151"/>
      <c r="L19" s="151"/>
      <c r="M19" s="151"/>
      <c r="N19" s="139" t="str">
        <f t="shared" si="2"/>
        <v>-</v>
      </c>
      <c r="O19" s="140"/>
      <c r="P19" s="141"/>
      <c r="Q19" s="155"/>
      <c r="R19" s="156"/>
      <c r="S19" s="156"/>
      <c r="T19" s="157"/>
      <c r="U19" s="157"/>
      <c r="V19" s="157"/>
      <c r="W19" s="158"/>
      <c r="X19" s="159"/>
      <c r="Y19" s="160"/>
      <c r="Z19" s="155"/>
      <c r="AA19" s="156"/>
      <c r="AB19" s="156"/>
      <c r="AC19" s="157"/>
      <c r="AD19" s="157"/>
      <c r="AE19" s="157"/>
      <c r="AF19" s="158"/>
      <c r="AG19" s="159"/>
      <c r="AH19" s="160"/>
      <c r="AI19" s="142"/>
      <c r="AJ19" s="143"/>
      <c r="AK19" s="143"/>
      <c r="AL19" s="151"/>
      <c r="AM19" s="151"/>
      <c r="AN19" s="151"/>
      <c r="AO19" s="139" t="str">
        <f t="shared" si="1"/>
        <v>-</v>
      </c>
      <c r="AP19" s="140"/>
      <c r="AQ19" s="141"/>
    </row>
    <row r="20" spans="1:43" ht="13.5" customHeight="1">
      <c r="A20" s="43"/>
      <c r="B20" s="161" t="s">
        <v>18</v>
      </c>
      <c r="C20" s="162"/>
      <c r="D20" s="162"/>
      <c r="E20" s="162"/>
      <c r="F20" s="162"/>
      <c r="G20" s="163"/>
      <c r="H20" s="147"/>
      <c r="I20" s="143"/>
      <c r="J20" s="143"/>
      <c r="K20" s="151"/>
      <c r="L20" s="151"/>
      <c r="M20" s="151"/>
      <c r="N20" s="139" t="str">
        <f t="shared" si="2"/>
        <v>-</v>
      </c>
      <c r="O20" s="140"/>
      <c r="P20" s="141"/>
      <c r="Q20" s="155"/>
      <c r="R20" s="156"/>
      <c r="S20" s="156"/>
      <c r="T20" s="157"/>
      <c r="U20" s="157"/>
      <c r="V20" s="157"/>
      <c r="W20" s="158"/>
      <c r="X20" s="159"/>
      <c r="Y20" s="160"/>
      <c r="Z20" s="155"/>
      <c r="AA20" s="156"/>
      <c r="AB20" s="156"/>
      <c r="AC20" s="157"/>
      <c r="AD20" s="157"/>
      <c r="AE20" s="157"/>
      <c r="AF20" s="158"/>
      <c r="AG20" s="159"/>
      <c r="AH20" s="160"/>
      <c r="AI20" s="142"/>
      <c r="AJ20" s="143"/>
      <c r="AK20" s="143"/>
      <c r="AL20" s="151"/>
      <c r="AM20" s="151"/>
      <c r="AN20" s="151"/>
      <c r="AO20" s="139" t="str">
        <f t="shared" si="1"/>
        <v>-</v>
      </c>
      <c r="AP20" s="140"/>
      <c r="AQ20" s="141"/>
    </row>
    <row r="21" spans="1:43" ht="13.5" customHeight="1">
      <c r="A21" s="43"/>
      <c r="B21" s="161" t="s">
        <v>19</v>
      </c>
      <c r="C21" s="162"/>
      <c r="D21" s="162"/>
      <c r="E21" s="162"/>
      <c r="F21" s="162"/>
      <c r="G21" s="163"/>
      <c r="H21" s="147"/>
      <c r="I21" s="143"/>
      <c r="J21" s="143"/>
      <c r="K21" s="151"/>
      <c r="L21" s="151"/>
      <c r="M21" s="151"/>
      <c r="N21" s="139" t="str">
        <f t="shared" si="2"/>
        <v>-</v>
      </c>
      <c r="O21" s="140"/>
      <c r="P21" s="141"/>
      <c r="Q21" s="155"/>
      <c r="R21" s="156"/>
      <c r="S21" s="156"/>
      <c r="T21" s="157"/>
      <c r="U21" s="157"/>
      <c r="V21" s="157"/>
      <c r="W21" s="158"/>
      <c r="X21" s="159"/>
      <c r="Y21" s="160"/>
      <c r="Z21" s="168"/>
      <c r="AA21" s="151"/>
      <c r="AB21" s="151"/>
      <c r="AC21" s="151"/>
      <c r="AD21" s="151"/>
      <c r="AE21" s="151"/>
      <c r="AF21" s="139" t="str">
        <f>IF(Z21="-", "-", IF(AC21="-", "-", IF(ABS(AC21)=0, "-", ROUND(100*(Z21-AC21)/ABS(AC21),10))))</f>
        <v>-</v>
      </c>
      <c r="AG21" s="140"/>
      <c r="AH21" s="141"/>
      <c r="AI21" s="142"/>
      <c r="AJ21" s="143"/>
      <c r="AK21" s="143"/>
      <c r="AL21" s="151"/>
      <c r="AM21" s="151"/>
      <c r="AN21" s="151"/>
      <c r="AO21" s="139" t="str">
        <f t="shared" si="1"/>
        <v>-</v>
      </c>
      <c r="AP21" s="140"/>
      <c r="AQ21" s="141"/>
    </row>
    <row r="22" spans="1:43" ht="13.5" customHeight="1">
      <c r="A22" s="43"/>
      <c r="B22" s="161" t="s">
        <v>20</v>
      </c>
      <c r="C22" s="162"/>
      <c r="D22" s="162"/>
      <c r="E22" s="162"/>
      <c r="F22" s="162"/>
      <c r="G22" s="163"/>
      <c r="H22" s="147"/>
      <c r="I22" s="143"/>
      <c r="J22" s="143"/>
      <c r="K22" s="151"/>
      <c r="L22" s="151"/>
      <c r="M22" s="151"/>
      <c r="N22" s="139" t="str">
        <f t="shared" si="2"/>
        <v>-</v>
      </c>
      <c r="O22" s="140"/>
      <c r="P22" s="141"/>
      <c r="Q22" s="155"/>
      <c r="R22" s="156"/>
      <c r="S22" s="156"/>
      <c r="T22" s="157"/>
      <c r="U22" s="157"/>
      <c r="V22" s="157"/>
      <c r="W22" s="158"/>
      <c r="X22" s="159"/>
      <c r="Y22" s="160"/>
      <c r="Z22" s="168"/>
      <c r="AA22" s="151"/>
      <c r="AB22" s="151"/>
      <c r="AC22" s="151"/>
      <c r="AD22" s="151"/>
      <c r="AE22" s="151"/>
      <c r="AF22" s="139" t="str">
        <f>IF(Z22="-", "-", IF(AC22="-", "-", IF(ABS(AC22)=0, "-", ROUND(100*(Z22-AC22)/ABS(AC22),10))))</f>
        <v>-</v>
      </c>
      <c r="AG22" s="140"/>
      <c r="AH22" s="141"/>
      <c r="AI22" s="142"/>
      <c r="AJ22" s="143"/>
      <c r="AK22" s="143"/>
      <c r="AL22" s="151"/>
      <c r="AM22" s="151"/>
      <c r="AN22" s="151"/>
      <c r="AO22" s="139" t="str">
        <f t="shared" si="1"/>
        <v>-</v>
      </c>
      <c r="AP22" s="140"/>
      <c r="AQ22" s="141"/>
    </row>
    <row r="23" spans="1:43" ht="13.5" customHeight="1">
      <c r="A23" s="43"/>
      <c r="B23" s="161" t="s">
        <v>21</v>
      </c>
      <c r="C23" s="162"/>
      <c r="D23" s="162"/>
      <c r="E23" s="162"/>
      <c r="F23" s="162"/>
      <c r="G23" s="163"/>
      <c r="H23" s="147"/>
      <c r="I23" s="143"/>
      <c r="J23" s="143"/>
      <c r="K23" s="151"/>
      <c r="L23" s="151"/>
      <c r="M23" s="151"/>
      <c r="N23" s="139" t="str">
        <f t="shared" si="2"/>
        <v>-</v>
      </c>
      <c r="O23" s="140"/>
      <c r="P23" s="141"/>
      <c r="Q23" s="155"/>
      <c r="R23" s="156"/>
      <c r="S23" s="156"/>
      <c r="T23" s="157"/>
      <c r="U23" s="157"/>
      <c r="V23" s="157"/>
      <c r="W23" s="158"/>
      <c r="X23" s="159"/>
      <c r="Y23" s="160"/>
      <c r="Z23" s="168"/>
      <c r="AA23" s="151"/>
      <c r="AB23" s="151"/>
      <c r="AC23" s="151"/>
      <c r="AD23" s="151"/>
      <c r="AE23" s="151"/>
      <c r="AF23" s="139" t="str">
        <f>IF(Z23="-", "-", IF(AC23="-", "-", IF(ABS(AC23)=0, "-", ROUND(100*(Z23-AC23)/ABS(AC23),10))))</f>
        <v>-</v>
      </c>
      <c r="AG23" s="140"/>
      <c r="AH23" s="141"/>
      <c r="AI23" s="142"/>
      <c r="AJ23" s="143"/>
      <c r="AK23" s="143"/>
      <c r="AL23" s="151"/>
      <c r="AM23" s="151"/>
      <c r="AN23" s="151"/>
      <c r="AO23" s="139" t="str">
        <f t="shared" si="1"/>
        <v>-</v>
      </c>
      <c r="AP23" s="140"/>
      <c r="AQ23" s="141"/>
    </row>
    <row r="24" spans="1:43" ht="13.5" customHeight="1">
      <c r="A24" s="43"/>
      <c r="B24" s="181" t="s">
        <v>22</v>
      </c>
      <c r="C24" s="182"/>
      <c r="D24" s="182"/>
      <c r="E24" s="182"/>
      <c r="F24" s="182"/>
      <c r="G24" s="183"/>
      <c r="H24" s="107"/>
      <c r="I24" s="108"/>
      <c r="J24" s="108"/>
      <c r="K24" s="108"/>
      <c r="L24" s="108"/>
      <c r="M24" s="108"/>
      <c r="N24" s="95" t="str">
        <f t="shared" si="2"/>
        <v>-</v>
      </c>
      <c r="O24" s="96"/>
      <c r="P24" s="97"/>
      <c r="Q24" s="109"/>
      <c r="R24" s="110"/>
      <c r="S24" s="110"/>
      <c r="T24" s="111"/>
      <c r="U24" s="111"/>
      <c r="V24" s="111"/>
      <c r="W24" s="184"/>
      <c r="X24" s="185"/>
      <c r="Y24" s="186"/>
      <c r="Z24" s="168"/>
      <c r="AA24" s="151"/>
      <c r="AB24" s="151"/>
      <c r="AC24" s="108"/>
      <c r="AD24" s="108"/>
      <c r="AE24" s="108"/>
      <c r="AF24" s="139" t="str">
        <f>IF(Z24="-", "-", IF(AC24="-", "-", IF(ABS(AC24)=0, "-", ROUND(100*(Z24-AC24)/ABS(AC24),10))))</f>
        <v>-</v>
      </c>
      <c r="AG24" s="140"/>
      <c r="AH24" s="141"/>
      <c r="AI24" s="107"/>
      <c r="AJ24" s="108"/>
      <c r="AK24" s="108"/>
      <c r="AL24" s="108"/>
      <c r="AM24" s="108"/>
      <c r="AN24" s="108"/>
      <c r="AO24" s="95" t="str">
        <f t="shared" si="1"/>
        <v>-</v>
      </c>
      <c r="AP24" s="96"/>
      <c r="AQ24" s="97"/>
    </row>
    <row r="25" spans="1:43" ht="13.5" customHeight="1">
      <c r="A25" s="169" t="s">
        <v>23</v>
      </c>
      <c r="B25" s="170"/>
      <c r="C25" s="170"/>
      <c r="D25" s="170"/>
      <c r="E25" s="170"/>
      <c r="F25" s="170"/>
      <c r="G25" s="171"/>
      <c r="H25" s="147"/>
      <c r="I25" s="143"/>
      <c r="J25" s="143"/>
      <c r="K25" s="172"/>
      <c r="L25" s="172"/>
      <c r="M25" s="172"/>
      <c r="N25" s="139" t="str">
        <f t="shared" si="2"/>
        <v>-</v>
      </c>
      <c r="O25" s="140"/>
      <c r="P25" s="141"/>
      <c r="Q25" s="173"/>
      <c r="R25" s="174"/>
      <c r="S25" s="174"/>
      <c r="T25" s="172"/>
      <c r="U25" s="172"/>
      <c r="V25" s="172"/>
      <c r="W25" s="139" t="str">
        <f>IF(Q25="-", "-", IF(T25="-", "-", IF(ABS(T25)=0, "-", ROUND(100*(Q25-T25)/ABS(T25),10))))</f>
        <v>-</v>
      </c>
      <c r="X25" s="140"/>
      <c r="Y25" s="141"/>
      <c r="Z25" s="175"/>
      <c r="AA25" s="176"/>
      <c r="AB25" s="176"/>
      <c r="AC25" s="177"/>
      <c r="AD25" s="177"/>
      <c r="AE25" s="177"/>
      <c r="AF25" s="178"/>
      <c r="AG25" s="179"/>
      <c r="AH25" s="180"/>
      <c r="AI25" s="142"/>
      <c r="AJ25" s="143"/>
      <c r="AK25" s="143"/>
      <c r="AL25" s="172"/>
      <c r="AM25" s="172"/>
      <c r="AN25" s="172"/>
      <c r="AO25" s="139" t="str">
        <f t="shared" si="1"/>
        <v>-</v>
      </c>
      <c r="AP25" s="140"/>
      <c r="AQ25" s="141"/>
    </row>
    <row r="26" spans="1:43" ht="13.5" customHeight="1">
      <c r="A26" s="43"/>
      <c r="B26" s="161" t="s">
        <v>24</v>
      </c>
      <c r="C26" s="162"/>
      <c r="D26" s="162"/>
      <c r="E26" s="162"/>
      <c r="F26" s="162"/>
      <c r="G26" s="163"/>
      <c r="H26" s="147"/>
      <c r="I26" s="143"/>
      <c r="J26" s="143"/>
      <c r="K26" s="151"/>
      <c r="L26" s="151"/>
      <c r="M26" s="151"/>
      <c r="N26" s="139" t="str">
        <f t="shared" si="2"/>
        <v>-</v>
      </c>
      <c r="O26" s="140"/>
      <c r="P26" s="141"/>
      <c r="Q26" s="168"/>
      <c r="R26" s="151"/>
      <c r="S26" s="151"/>
      <c r="T26" s="151"/>
      <c r="U26" s="151"/>
      <c r="V26" s="151"/>
      <c r="W26" s="139" t="str">
        <f>IF(Q26="-", "-", IF(T26="-", "-", IF(ABS(T26)=0, "-", ROUND(100*(Q26-T26)/ABS(T26),10))))</f>
        <v>-</v>
      </c>
      <c r="X26" s="140"/>
      <c r="Y26" s="141"/>
      <c r="Z26" s="155"/>
      <c r="AA26" s="156"/>
      <c r="AB26" s="156"/>
      <c r="AC26" s="157"/>
      <c r="AD26" s="157"/>
      <c r="AE26" s="157"/>
      <c r="AF26" s="158"/>
      <c r="AG26" s="159"/>
      <c r="AH26" s="160"/>
      <c r="AI26" s="142"/>
      <c r="AJ26" s="143"/>
      <c r="AK26" s="143"/>
      <c r="AL26" s="151"/>
      <c r="AM26" s="151"/>
      <c r="AN26" s="151"/>
      <c r="AO26" s="139" t="str">
        <f t="shared" si="1"/>
        <v>-</v>
      </c>
      <c r="AP26" s="140"/>
      <c r="AQ26" s="141"/>
    </row>
    <row r="27" spans="1:43" ht="13.5" customHeight="1">
      <c r="A27" s="43"/>
      <c r="B27" s="152" t="s">
        <v>25</v>
      </c>
      <c r="C27" s="153"/>
      <c r="D27" s="153"/>
      <c r="E27" s="153"/>
      <c r="F27" s="153"/>
      <c r="G27" s="154"/>
      <c r="H27" s="187"/>
      <c r="I27" s="188"/>
      <c r="J27" s="188"/>
      <c r="K27" s="188"/>
      <c r="L27" s="188"/>
      <c r="M27" s="188"/>
      <c r="N27" s="189" t="str">
        <f t="shared" si="2"/>
        <v>-</v>
      </c>
      <c r="O27" s="190"/>
      <c r="P27" s="191"/>
      <c r="Q27" s="192"/>
      <c r="R27" s="193"/>
      <c r="S27" s="193"/>
      <c r="T27" s="188"/>
      <c r="U27" s="188"/>
      <c r="V27" s="188"/>
      <c r="W27" s="189" t="str">
        <f>IF(Q27="-", "-", IF(T27="-", "-", IF(ABS(T27)=0, "-", ROUND(100*(Q27-T27)/ABS(T27),10))))</f>
        <v>-</v>
      </c>
      <c r="X27" s="190"/>
      <c r="Y27" s="191"/>
      <c r="Z27" s="194"/>
      <c r="AA27" s="195"/>
      <c r="AB27" s="195"/>
      <c r="AC27" s="196"/>
      <c r="AD27" s="196"/>
      <c r="AE27" s="196"/>
      <c r="AF27" s="197"/>
      <c r="AG27" s="198"/>
      <c r="AH27" s="199"/>
      <c r="AI27" s="187"/>
      <c r="AJ27" s="188"/>
      <c r="AK27" s="188"/>
      <c r="AL27" s="188"/>
      <c r="AM27" s="188"/>
      <c r="AN27" s="188"/>
      <c r="AO27" s="189" t="str">
        <f t="shared" si="1"/>
        <v>-</v>
      </c>
      <c r="AP27" s="190"/>
      <c r="AQ27" s="191"/>
    </row>
    <row r="28" spans="1:43" ht="13.5" customHeight="1">
      <c r="A28" s="43"/>
      <c r="B28" s="94"/>
      <c r="C28" s="181" t="s">
        <v>389</v>
      </c>
      <c r="D28" s="182"/>
      <c r="E28" s="182"/>
      <c r="F28" s="182"/>
      <c r="G28" s="183"/>
      <c r="H28" s="107"/>
      <c r="I28" s="108"/>
      <c r="J28" s="108"/>
      <c r="K28" s="108"/>
      <c r="L28" s="108"/>
      <c r="M28" s="108"/>
      <c r="N28" s="95" t="str">
        <f t="shared" ref="N28" si="3">IF(H28="-", "-", IF(K28="-", "-", IF(ABS(K28)=0, "-", ROUND(100*(H28-K28)/ABS(K28),10))))</f>
        <v>-</v>
      </c>
      <c r="O28" s="96"/>
      <c r="P28" s="97"/>
      <c r="Q28" s="107"/>
      <c r="R28" s="108"/>
      <c r="S28" s="108"/>
      <c r="T28" s="108"/>
      <c r="U28" s="108"/>
      <c r="V28" s="108"/>
      <c r="W28" s="95" t="str">
        <f>IF(Q28="-", "-", IF(T28="-", "-", IF(ABS(T28)=0, "-", ROUND(100*(Q28-T28)/ABS(T28),10))))</f>
        <v>-</v>
      </c>
      <c r="X28" s="96"/>
      <c r="Y28" s="97"/>
      <c r="Z28" s="109"/>
      <c r="AA28" s="110"/>
      <c r="AB28" s="110"/>
      <c r="AC28" s="111"/>
      <c r="AD28" s="111"/>
      <c r="AE28" s="111"/>
      <c r="AF28" s="184"/>
      <c r="AG28" s="185"/>
      <c r="AH28" s="186"/>
      <c r="AI28" s="107"/>
      <c r="AJ28" s="108"/>
      <c r="AK28" s="108"/>
      <c r="AL28" s="108"/>
      <c r="AM28" s="108"/>
      <c r="AN28" s="108"/>
      <c r="AO28" s="95" t="str">
        <f t="shared" ref="AO28" si="4">IF(AI28="-", "-", IF(AL28="-", "-", IF(ABS(AL28)=0, "-", ROUND(100*(AI28-AL28)/ABS(AL28),10))))</f>
        <v>-</v>
      </c>
      <c r="AP28" s="96"/>
      <c r="AQ28" s="97"/>
    </row>
    <row r="29" spans="1:43" ht="13.5" customHeight="1">
      <c r="A29" s="211" t="s">
        <v>26</v>
      </c>
      <c r="B29" s="212"/>
      <c r="C29" s="212"/>
      <c r="D29" s="212"/>
      <c r="E29" s="212"/>
      <c r="F29" s="212"/>
      <c r="G29" s="213"/>
      <c r="H29" s="147"/>
      <c r="I29" s="143"/>
      <c r="J29" s="143"/>
      <c r="K29" s="201"/>
      <c r="L29" s="201"/>
      <c r="M29" s="201"/>
      <c r="N29" s="139" t="str">
        <f>IF(H29="-", "-", IF(K29="-", "-", IF(ABS(K29)=0, "-", ROUND(100*(H29-K29)/ABS(K29),10))))</f>
        <v>-</v>
      </c>
      <c r="O29" s="140"/>
      <c r="P29" s="141"/>
      <c r="Q29" s="200"/>
      <c r="R29" s="172"/>
      <c r="S29" s="172"/>
      <c r="T29" s="201"/>
      <c r="U29" s="201"/>
      <c r="V29" s="201"/>
      <c r="W29" s="139" t="str">
        <f>IF(Q29="-", "-", IF(T29="-", "-", IF(ABS(T29)=0, "-", ROUND(100*(Q29-T29)/ABS(T29),10))))</f>
        <v>-</v>
      </c>
      <c r="X29" s="140"/>
      <c r="Y29" s="141"/>
      <c r="Z29" s="202"/>
      <c r="AA29" s="201"/>
      <c r="AB29" s="201"/>
      <c r="AC29" s="201"/>
      <c r="AD29" s="201"/>
      <c r="AE29" s="201"/>
      <c r="AF29" s="139" t="str">
        <f>IF(Z29="-", "-", IF(AC29="-", "-", IF(ABS(AC29)=0, "-", ROUND(100*(Z29-AC29)/ABS(AC29),10))))</f>
        <v>-</v>
      </c>
      <c r="AG29" s="140"/>
      <c r="AH29" s="141"/>
      <c r="AI29" s="202"/>
      <c r="AJ29" s="201"/>
      <c r="AK29" s="201"/>
      <c r="AL29" s="201"/>
      <c r="AM29" s="201"/>
      <c r="AN29" s="201"/>
      <c r="AO29" s="208" t="str">
        <f t="shared" ref="AO29:AO37" si="5">IF(AI29="-", "-", IF(AL29="-", "-", IF(ABS(AL29)=0, "-", ROUND(100*(AI29-AL29)/ABS(AL29),10))))</f>
        <v>-</v>
      </c>
      <c r="AP29" s="209"/>
      <c r="AQ29" s="210"/>
    </row>
    <row r="30" spans="1:43" ht="13.5" customHeight="1">
      <c r="A30" s="211" t="s">
        <v>27</v>
      </c>
      <c r="B30" s="212"/>
      <c r="C30" s="212"/>
      <c r="D30" s="212"/>
      <c r="E30" s="212"/>
      <c r="F30" s="212"/>
      <c r="G30" s="213"/>
      <c r="H30" s="214"/>
      <c r="I30" s="203"/>
      <c r="J30" s="203"/>
      <c r="K30" s="203"/>
      <c r="L30" s="203"/>
      <c r="M30" s="203"/>
      <c r="N30" s="204"/>
      <c r="O30" s="205"/>
      <c r="P30" s="206"/>
      <c r="Q30" s="207"/>
      <c r="R30" s="203"/>
      <c r="S30" s="203"/>
      <c r="T30" s="203"/>
      <c r="U30" s="203"/>
      <c r="V30" s="203"/>
      <c r="W30" s="204"/>
      <c r="X30" s="205"/>
      <c r="Y30" s="206"/>
      <c r="Z30" s="207"/>
      <c r="AA30" s="203"/>
      <c r="AB30" s="203"/>
      <c r="AC30" s="203"/>
      <c r="AD30" s="203"/>
      <c r="AE30" s="203"/>
      <c r="AF30" s="204"/>
      <c r="AG30" s="205"/>
      <c r="AH30" s="206"/>
      <c r="AI30" s="202"/>
      <c r="AJ30" s="201"/>
      <c r="AK30" s="201"/>
      <c r="AL30" s="201"/>
      <c r="AM30" s="201"/>
      <c r="AN30" s="201"/>
      <c r="AO30" s="215" t="str">
        <f t="shared" si="5"/>
        <v>-</v>
      </c>
      <c r="AP30" s="216"/>
      <c r="AQ30" s="217"/>
    </row>
    <row r="31" spans="1:43" ht="13.5" customHeight="1">
      <c r="A31" s="211" t="s">
        <v>28</v>
      </c>
      <c r="B31" s="212"/>
      <c r="C31" s="212"/>
      <c r="D31" s="212"/>
      <c r="E31" s="212"/>
      <c r="F31" s="212"/>
      <c r="G31" s="213"/>
      <c r="H31" s="214"/>
      <c r="I31" s="203"/>
      <c r="J31" s="203"/>
      <c r="K31" s="203"/>
      <c r="L31" s="203"/>
      <c r="M31" s="203"/>
      <c r="N31" s="204"/>
      <c r="O31" s="205"/>
      <c r="P31" s="206"/>
      <c r="Q31" s="207"/>
      <c r="R31" s="203"/>
      <c r="S31" s="203"/>
      <c r="T31" s="203"/>
      <c r="U31" s="203"/>
      <c r="V31" s="203"/>
      <c r="W31" s="204"/>
      <c r="X31" s="205"/>
      <c r="Y31" s="206"/>
      <c r="Z31" s="207"/>
      <c r="AA31" s="203"/>
      <c r="AB31" s="203"/>
      <c r="AC31" s="203"/>
      <c r="AD31" s="203"/>
      <c r="AE31" s="203"/>
      <c r="AF31" s="204"/>
      <c r="AG31" s="205"/>
      <c r="AH31" s="206"/>
      <c r="AI31" s="202"/>
      <c r="AJ31" s="201"/>
      <c r="AK31" s="201"/>
      <c r="AL31" s="201"/>
      <c r="AM31" s="201"/>
      <c r="AN31" s="201"/>
      <c r="AO31" s="215" t="str">
        <f t="shared" si="5"/>
        <v>-</v>
      </c>
      <c r="AP31" s="216"/>
      <c r="AQ31" s="217"/>
    </row>
    <row r="32" spans="1:43" ht="13.5" customHeight="1">
      <c r="A32" s="211" t="s">
        <v>29</v>
      </c>
      <c r="B32" s="212"/>
      <c r="C32" s="212"/>
      <c r="D32" s="212"/>
      <c r="E32" s="212"/>
      <c r="F32" s="212"/>
      <c r="G32" s="213"/>
      <c r="H32" s="214"/>
      <c r="I32" s="203"/>
      <c r="J32" s="203"/>
      <c r="K32" s="203"/>
      <c r="L32" s="203"/>
      <c r="M32" s="203"/>
      <c r="N32" s="204"/>
      <c r="O32" s="205"/>
      <c r="P32" s="206"/>
      <c r="Q32" s="207"/>
      <c r="R32" s="203"/>
      <c r="S32" s="203"/>
      <c r="T32" s="203"/>
      <c r="U32" s="203"/>
      <c r="V32" s="203"/>
      <c r="W32" s="204"/>
      <c r="X32" s="205"/>
      <c r="Y32" s="206"/>
      <c r="Z32" s="207"/>
      <c r="AA32" s="203"/>
      <c r="AB32" s="203"/>
      <c r="AC32" s="203"/>
      <c r="AD32" s="203"/>
      <c r="AE32" s="203"/>
      <c r="AF32" s="204"/>
      <c r="AG32" s="205"/>
      <c r="AH32" s="206"/>
      <c r="AI32" s="192"/>
      <c r="AJ32" s="193"/>
      <c r="AK32" s="193"/>
      <c r="AL32" s="201"/>
      <c r="AM32" s="201"/>
      <c r="AN32" s="201"/>
      <c r="AO32" s="215" t="str">
        <f t="shared" si="5"/>
        <v>-</v>
      </c>
      <c r="AP32" s="216"/>
      <c r="AQ32" s="217"/>
    </row>
    <row r="33" spans="1:43" ht="13.5" customHeight="1">
      <c r="A33" s="211" t="s">
        <v>30</v>
      </c>
      <c r="B33" s="212"/>
      <c r="C33" s="212"/>
      <c r="D33" s="212"/>
      <c r="E33" s="212"/>
      <c r="F33" s="212"/>
      <c r="G33" s="213"/>
      <c r="H33" s="214"/>
      <c r="I33" s="203"/>
      <c r="J33" s="203"/>
      <c r="K33" s="203"/>
      <c r="L33" s="203"/>
      <c r="M33" s="203"/>
      <c r="N33" s="204"/>
      <c r="O33" s="205"/>
      <c r="P33" s="206"/>
      <c r="Q33" s="207"/>
      <c r="R33" s="203"/>
      <c r="S33" s="203"/>
      <c r="T33" s="203"/>
      <c r="U33" s="203"/>
      <c r="V33" s="203"/>
      <c r="W33" s="204"/>
      <c r="X33" s="205"/>
      <c r="Y33" s="206"/>
      <c r="Z33" s="207"/>
      <c r="AA33" s="203"/>
      <c r="AB33" s="203"/>
      <c r="AC33" s="203"/>
      <c r="AD33" s="203"/>
      <c r="AE33" s="203"/>
      <c r="AF33" s="204"/>
      <c r="AG33" s="205"/>
      <c r="AH33" s="206"/>
      <c r="AI33" s="202"/>
      <c r="AJ33" s="201"/>
      <c r="AK33" s="201"/>
      <c r="AL33" s="201"/>
      <c r="AM33" s="201"/>
      <c r="AN33" s="201"/>
      <c r="AO33" s="215" t="str">
        <f t="shared" si="5"/>
        <v>-</v>
      </c>
      <c r="AP33" s="216"/>
      <c r="AQ33" s="217"/>
    </row>
    <row r="34" spans="1:43" ht="13.5" customHeight="1">
      <c r="A34" s="211" t="s">
        <v>31</v>
      </c>
      <c r="B34" s="212"/>
      <c r="C34" s="212"/>
      <c r="D34" s="212"/>
      <c r="E34" s="212"/>
      <c r="F34" s="212"/>
      <c r="G34" s="213"/>
      <c r="H34" s="214"/>
      <c r="I34" s="203"/>
      <c r="J34" s="203"/>
      <c r="K34" s="203"/>
      <c r="L34" s="203"/>
      <c r="M34" s="203"/>
      <c r="N34" s="204"/>
      <c r="O34" s="205"/>
      <c r="P34" s="206"/>
      <c r="Q34" s="207"/>
      <c r="R34" s="203"/>
      <c r="S34" s="203"/>
      <c r="T34" s="203"/>
      <c r="U34" s="203"/>
      <c r="V34" s="203"/>
      <c r="W34" s="204"/>
      <c r="X34" s="205"/>
      <c r="Y34" s="206"/>
      <c r="Z34" s="207"/>
      <c r="AA34" s="203"/>
      <c r="AB34" s="203"/>
      <c r="AC34" s="203"/>
      <c r="AD34" s="203"/>
      <c r="AE34" s="203"/>
      <c r="AF34" s="204"/>
      <c r="AG34" s="205"/>
      <c r="AH34" s="206"/>
      <c r="AI34" s="192"/>
      <c r="AJ34" s="193"/>
      <c r="AK34" s="193"/>
      <c r="AL34" s="201"/>
      <c r="AM34" s="201"/>
      <c r="AN34" s="201"/>
      <c r="AO34" s="215" t="str">
        <f t="shared" si="5"/>
        <v>-</v>
      </c>
      <c r="AP34" s="216"/>
      <c r="AQ34" s="217"/>
    </row>
    <row r="35" spans="1:43" ht="13.5" customHeight="1">
      <c r="A35" s="211" t="s">
        <v>32</v>
      </c>
      <c r="B35" s="212"/>
      <c r="C35" s="212"/>
      <c r="D35" s="212"/>
      <c r="E35" s="212"/>
      <c r="F35" s="212"/>
      <c r="G35" s="213"/>
      <c r="H35" s="214"/>
      <c r="I35" s="203"/>
      <c r="J35" s="203"/>
      <c r="K35" s="203"/>
      <c r="L35" s="203"/>
      <c r="M35" s="203"/>
      <c r="N35" s="204"/>
      <c r="O35" s="205"/>
      <c r="P35" s="206"/>
      <c r="Q35" s="207"/>
      <c r="R35" s="203"/>
      <c r="S35" s="203"/>
      <c r="T35" s="203"/>
      <c r="U35" s="203"/>
      <c r="V35" s="203"/>
      <c r="W35" s="204"/>
      <c r="X35" s="205"/>
      <c r="Y35" s="206"/>
      <c r="Z35" s="207"/>
      <c r="AA35" s="203"/>
      <c r="AB35" s="203"/>
      <c r="AC35" s="203"/>
      <c r="AD35" s="203"/>
      <c r="AE35" s="203"/>
      <c r="AF35" s="204"/>
      <c r="AG35" s="205"/>
      <c r="AH35" s="206"/>
      <c r="AI35" s="202"/>
      <c r="AJ35" s="201"/>
      <c r="AK35" s="201"/>
      <c r="AL35" s="201"/>
      <c r="AM35" s="201"/>
      <c r="AN35" s="201"/>
      <c r="AO35" s="215" t="str">
        <f t="shared" si="5"/>
        <v>-</v>
      </c>
      <c r="AP35" s="216"/>
      <c r="AQ35" s="217"/>
    </row>
    <row r="36" spans="1:43" ht="13.5" customHeight="1">
      <c r="A36" s="211" t="s">
        <v>33</v>
      </c>
      <c r="B36" s="212"/>
      <c r="C36" s="212"/>
      <c r="D36" s="212"/>
      <c r="E36" s="212"/>
      <c r="F36" s="212"/>
      <c r="G36" s="213"/>
      <c r="H36" s="214"/>
      <c r="I36" s="203"/>
      <c r="J36" s="203"/>
      <c r="K36" s="203"/>
      <c r="L36" s="203"/>
      <c r="M36" s="203"/>
      <c r="N36" s="204"/>
      <c r="O36" s="205"/>
      <c r="P36" s="206"/>
      <c r="Q36" s="207"/>
      <c r="R36" s="203"/>
      <c r="S36" s="203"/>
      <c r="T36" s="203"/>
      <c r="U36" s="203"/>
      <c r="V36" s="203"/>
      <c r="W36" s="204"/>
      <c r="X36" s="205"/>
      <c r="Y36" s="206"/>
      <c r="Z36" s="207"/>
      <c r="AA36" s="203"/>
      <c r="AB36" s="203"/>
      <c r="AC36" s="203"/>
      <c r="AD36" s="203"/>
      <c r="AE36" s="203"/>
      <c r="AF36" s="204"/>
      <c r="AG36" s="205"/>
      <c r="AH36" s="206"/>
      <c r="AI36" s="192"/>
      <c r="AJ36" s="193"/>
      <c r="AK36" s="193"/>
      <c r="AL36" s="201"/>
      <c r="AM36" s="201"/>
      <c r="AN36" s="201"/>
      <c r="AO36" s="215" t="str">
        <f t="shared" si="5"/>
        <v>-</v>
      </c>
      <c r="AP36" s="216"/>
      <c r="AQ36" s="217"/>
    </row>
    <row r="37" spans="1:43" ht="13.5" customHeight="1">
      <c r="A37" s="211" t="s">
        <v>34</v>
      </c>
      <c r="B37" s="212"/>
      <c r="C37" s="212"/>
      <c r="D37" s="212"/>
      <c r="E37" s="212"/>
      <c r="F37" s="212"/>
      <c r="G37" s="213"/>
      <c r="H37" s="214"/>
      <c r="I37" s="203"/>
      <c r="J37" s="203"/>
      <c r="K37" s="203"/>
      <c r="L37" s="203"/>
      <c r="M37" s="203"/>
      <c r="N37" s="204"/>
      <c r="O37" s="205"/>
      <c r="P37" s="206"/>
      <c r="Q37" s="207"/>
      <c r="R37" s="203"/>
      <c r="S37" s="203"/>
      <c r="T37" s="203"/>
      <c r="U37" s="203"/>
      <c r="V37" s="203"/>
      <c r="W37" s="204"/>
      <c r="X37" s="205"/>
      <c r="Y37" s="206"/>
      <c r="Z37" s="207"/>
      <c r="AA37" s="203"/>
      <c r="AB37" s="203"/>
      <c r="AC37" s="203"/>
      <c r="AD37" s="203"/>
      <c r="AE37" s="203"/>
      <c r="AF37" s="204"/>
      <c r="AG37" s="205"/>
      <c r="AH37" s="206"/>
      <c r="AI37" s="202"/>
      <c r="AJ37" s="201"/>
      <c r="AK37" s="201"/>
      <c r="AL37" s="201"/>
      <c r="AM37" s="201"/>
      <c r="AN37" s="201"/>
      <c r="AO37" s="215" t="str">
        <f t="shared" si="5"/>
        <v>-</v>
      </c>
      <c r="AP37" s="216"/>
      <c r="AQ37" s="217"/>
    </row>
  </sheetData>
  <mergeCells count="397">
    <mergeCell ref="AF37:AH37"/>
    <mergeCell ref="AI37:AK37"/>
    <mergeCell ref="AL37:AN37"/>
    <mergeCell ref="AO37:AQ37"/>
    <mergeCell ref="AO36:AQ36"/>
    <mergeCell ref="A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W36:Y36"/>
    <mergeCell ref="Z36:AB36"/>
    <mergeCell ref="AC36:AE36"/>
    <mergeCell ref="AF36:AH36"/>
    <mergeCell ref="AI36:AK36"/>
    <mergeCell ref="AL36:AN36"/>
    <mergeCell ref="AF35:AH35"/>
    <mergeCell ref="AI35:AK35"/>
    <mergeCell ref="AL35:AN35"/>
    <mergeCell ref="AO35:AQ35"/>
    <mergeCell ref="A36:G36"/>
    <mergeCell ref="H36:J36"/>
    <mergeCell ref="K36:M36"/>
    <mergeCell ref="N36:P36"/>
    <mergeCell ref="Q36:S36"/>
    <mergeCell ref="T36:V36"/>
    <mergeCell ref="A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AF33:AH33"/>
    <mergeCell ref="AI33:AK33"/>
    <mergeCell ref="AL33:AN33"/>
    <mergeCell ref="AO33:AQ33"/>
    <mergeCell ref="A34:G34"/>
    <mergeCell ref="H34:J34"/>
    <mergeCell ref="K34:M34"/>
    <mergeCell ref="N34:P34"/>
    <mergeCell ref="Q34:S34"/>
    <mergeCell ref="T34:V34"/>
    <mergeCell ref="AO34:AQ34"/>
    <mergeCell ref="W34:Y34"/>
    <mergeCell ref="Z34:AB34"/>
    <mergeCell ref="AC34:AE34"/>
    <mergeCell ref="AF34:AH34"/>
    <mergeCell ref="AI34:AK34"/>
    <mergeCell ref="AL34:AN34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1:AH31"/>
    <mergeCell ref="AI31:AK31"/>
    <mergeCell ref="AL31:AN31"/>
    <mergeCell ref="AO31:AQ31"/>
    <mergeCell ref="A32:G32"/>
    <mergeCell ref="H32:J32"/>
    <mergeCell ref="K32:M32"/>
    <mergeCell ref="N32:P32"/>
    <mergeCell ref="Q32:S32"/>
    <mergeCell ref="T32:V32"/>
    <mergeCell ref="AO32:AQ32"/>
    <mergeCell ref="W32:Y32"/>
    <mergeCell ref="Z32:AB32"/>
    <mergeCell ref="AC32:AE32"/>
    <mergeCell ref="AF32:AH32"/>
    <mergeCell ref="AI32:AK32"/>
    <mergeCell ref="AL32:AN32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29:AH29"/>
    <mergeCell ref="AI29:AK29"/>
    <mergeCell ref="AL29:AN29"/>
    <mergeCell ref="AO29:AQ29"/>
    <mergeCell ref="A30:G30"/>
    <mergeCell ref="H30:J30"/>
    <mergeCell ref="K30:M30"/>
    <mergeCell ref="N30:P30"/>
    <mergeCell ref="Q30:S30"/>
    <mergeCell ref="T30:V30"/>
    <mergeCell ref="AO30:AQ30"/>
    <mergeCell ref="W30:Y30"/>
    <mergeCell ref="Z30:AB30"/>
    <mergeCell ref="AC30:AE30"/>
    <mergeCell ref="AF30:AH30"/>
    <mergeCell ref="AI30:AK30"/>
    <mergeCell ref="AL30:AN30"/>
    <mergeCell ref="A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6:AH26"/>
    <mergeCell ref="AI26:AK26"/>
    <mergeCell ref="AL26:AN26"/>
    <mergeCell ref="AF28:AH28"/>
    <mergeCell ref="AI28:AK28"/>
    <mergeCell ref="AL28:AN28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A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1:B1"/>
    <mergeCell ref="A3:E3"/>
    <mergeCell ref="F3:H3"/>
    <mergeCell ref="I3:R3"/>
    <mergeCell ref="T3:X3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  <mergeCell ref="Y3:AE3"/>
    <mergeCell ref="AF3:AK3"/>
    <mergeCell ref="A4:E4"/>
    <mergeCell ref="F4:H4"/>
    <mergeCell ref="I4:R4"/>
    <mergeCell ref="U4:X4"/>
    <mergeCell ref="Z4:AE4"/>
    <mergeCell ref="AG4:AK4"/>
    <mergeCell ref="A5:E5"/>
    <mergeCell ref="F5:H5"/>
    <mergeCell ref="I5:R5"/>
    <mergeCell ref="AO28:AQ28"/>
    <mergeCell ref="C28:G28"/>
    <mergeCell ref="H28:J28"/>
    <mergeCell ref="K28:M28"/>
    <mergeCell ref="N28:P28"/>
    <mergeCell ref="Q28:S28"/>
    <mergeCell ref="T28:V28"/>
    <mergeCell ref="W28:Y28"/>
    <mergeCell ref="Z28:AB28"/>
    <mergeCell ref="AC28:AE28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2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3"/>
  </cols>
  <sheetData>
    <row r="1" spans="1:61" s="38" customFormat="1" ht="13.5" customHeight="1">
      <c r="A1" s="112" t="str">
        <f>IF(No.1!A1="","",No.1!A1)</f>
        <v/>
      </c>
      <c r="B1" s="113"/>
      <c r="C1" s="89" t="s">
        <v>377</v>
      </c>
      <c r="D1" s="36"/>
      <c r="E1" s="36"/>
      <c r="F1" s="36"/>
      <c r="G1" s="36"/>
      <c r="H1" s="37"/>
      <c r="I1" s="36"/>
      <c r="J1" s="36"/>
      <c r="K1" s="36"/>
      <c r="L1" s="36"/>
      <c r="M1" s="36"/>
      <c r="N1" s="36"/>
      <c r="O1" s="36"/>
      <c r="P1" s="36"/>
      <c r="T1" s="39"/>
      <c r="U1" s="39"/>
      <c r="AL1" s="64"/>
      <c r="AM1" s="64"/>
      <c r="AN1" s="64"/>
      <c r="AO1" s="64"/>
      <c r="AP1" s="64"/>
      <c r="AQ1" s="64"/>
      <c r="AR1" s="64"/>
      <c r="AS1" s="64"/>
    </row>
    <row r="2" spans="1:61" s="38" customFormat="1" ht="13.5" customHeight="1">
      <c r="A2" s="40" t="s">
        <v>1</v>
      </c>
      <c r="B2" s="36"/>
      <c r="C2" s="36"/>
      <c r="D2" s="36"/>
      <c r="E2" s="36"/>
      <c r="F2" s="36"/>
      <c r="G2" s="36"/>
      <c r="H2" s="37"/>
      <c r="I2" s="36"/>
      <c r="J2" s="36"/>
      <c r="K2" s="36"/>
      <c r="L2" s="36"/>
      <c r="M2" s="36"/>
      <c r="N2" s="36"/>
      <c r="O2" s="36"/>
      <c r="P2" s="36"/>
      <c r="T2" s="39"/>
      <c r="U2" s="39"/>
      <c r="AL2" s="66"/>
      <c r="AM2" s="66"/>
      <c r="AN2" s="66"/>
      <c r="AO2" s="66"/>
      <c r="AP2" s="66"/>
      <c r="AQ2" s="65"/>
      <c r="AR2" s="65"/>
      <c r="AS2" s="65"/>
    </row>
    <row r="3" spans="1:61" s="38" customFormat="1" ht="13.5" customHeight="1">
      <c r="A3" s="136"/>
      <c r="B3" s="136"/>
      <c r="C3" s="136"/>
      <c r="D3" s="136"/>
      <c r="E3" s="136"/>
      <c r="F3" s="137" t="s">
        <v>277</v>
      </c>
      <c r="G3" s="137"/>
      <c r="H3" s="137"/>
      <c r="I3" s="138" t="s">
        <v>278</v>
      </c>
      <c r="J3" s="138"/>
      <c r="K3" s="138"/>
      <c r="L3" s="138"/>
      <c r="M3" s="138"/>
      <c r="N3" s="138"/>
      <c r="O3" s="138"/>
      <c r="P3" s="115"/>
      <c r="Q3" s="115"/>
      <c r="R3" s="115"/>
      <c r="T3" s="116" t="s">
        <v>279</v>
      </c>
      <c r="U3" s="116"/>
      <c r="V3" s="116"/>
      <c r="W3" s="116"/>
      <c r="X3" s="116"/>
      <c r="Y3" s="116" t="s">
        <v>280</v>
      </c>
      <c r="Z3" s="117"/>
      <c r="AA3" s="117"/>
      <c r="AB3" s="117"/>
      <c r="AC3" s="117"/>
      <c r="AD3" s="117"/>
      <c r="AE3" s="117"/>
      <c r="AF3" s="121" t="s">
        <v>0</v>
      </c>
      <c r="AG3" s="119"/>
      <c r="AH3" s="119"/>
      <c r="AI3" s="119"/>
      <c r="AJ3" s="119"/>
      <c r="AK3" s="120"/>
    </row>
    <row r="4" spans="1:61" s="38" customFormat="1" ht="13.5" customHeight="1">
      <c r="A4" s="114" t="s">
        <v>384</v>
      </c>
      <c r="B4" s="114"/>
      <c r="C4" s="114"/>
      <c r="D4" s="114"/>
      <c r="E4" s="114"/>
      <c r="F4" s="114" t="str">
        <f>IF(No.1!F4="","",No.1!F4)</f>
        <v/>
      </c>
      <c r="G4" s="114"/>
      <c r="H4" s="114"/>
      <c r="I4" s="114" t="str">
        <f>IF(No.1!I4="","",No.1!I4)</f>
        <v/>
      </c>
      <c r="J4" s="114"/>
      <c r="K4" s="114"/>
      <c r="L4" s="114"/>
      <c r="M4" s="114"/>
      <c r="N4" s="114"/>
      <c r="O4" s="114"/>
      <c r="P4" s="115"/>
      <c r="Q4" s="115"/>
      <c r="R4" s="115"/>
      <c r="T4" s="76" t="str">
        <f>IF(No.1!AB4="","",No.1!AB4)</f>
        <v/>
      </c>
      <c r="U4" s="116" t="str">
        <f>IF(No.1!AC4="","",No.1!AC4)</f>
        <v/>
      </c>
      <c r="V4" s="116"/>
      <c r="W4" s="116"/>
      <c r="X4" s="116"/>
      <c r="Y4" s="76" t="str">
        <f>IF(No.1!AG4="","",No.1!AG4)</f>
        <v/>
      </c>
      <c r="Z4" s="114" t="str">
        <f>IF(No.1!AH4="","",No.1!AH4)</f>
        <v/>
      </c>
      <c r="AA4" s="117"/>
      <c r="AB4" s="117"/>
      <c r="AC4" s="117"/>
      <c r="AD4" s="117"/>
      <c r="AE4" s="117"/>
      <c r="AF4" s="76" t="str">
        <f>IF(No.1!AN4="","",No.1!AN4)</f>
        <v/>
      </c>
      <c r="AG4" s="118" t="str">
        <f>IF(No.1!AO4="","",No.1!AO4)</f>
        <v/>
      </c>
      <c r="AH4" s="119"/>
      <c r="AI4" s="119"/>
      <c r="AJ4" s="119"/>
      <c r="AK4" s="120"/>
    </row>
    <row r="5" spans="1:61" s="38" customFormat="1" ht="13.5" customHeight="1">
      <c r="A5" s="114" t="s">
        <v>268</v>
      </c>
      <c r="B5" s="114"/>
      <c r="C5" s="114"/>
      <c r="D5" s="114"/>
      <c r="E5" s="114"/>
      <c r="F5" s="114" t="str">
        <f>IF(No.1!F5="","",No.1!F5)</f>
        <v/>
      </c>
      <c r="G5" s="114"/>
      <c r="H5" s="114"/>
      <c r="I5" s="114" t="str">
        <f>IF(No.1!I5="","",No.1!I5)</f>
        <v/>
      </c>
      <c r="J5" s="114"/>
      <c r="K5" s="114"/>
      <c r="L5" s="114"/>
      <c r="M5" s="114"/>
      <c r="N5" s="114"/>
      <c r="O5" s="114"/>
      <c r="P5" s="115"/>
      <c r="Q5" s="115"/>
      <c r="R5" s="115"/>
    </row>
    <row r="6" spans="1:61" s="38" customFormat="1" ht="13.5" customHeight="1">
      <c r="A6" s="40"/>
      <c r="H6" s="41"/>
    </row>
    <row r="7" spans="1:61" ht="13.5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61" ht="13.5" customHeight="1">
      <c r="A8" s="1" t="s">
        <v>38</v>
      </c>
      <c r="B8" s="8"/>
      <c r="C8" s="8"/>
      <c r="D8" s="8"/>
      <c r="E8" s="8"/>
      <c r="F8" s="8"/>
      <c r="G8" s="8"/>
      <c r="H8" s="68"/>
      <c r="I8" s="68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2" t="s">
        <v>39</v>
      </c>
      <c r="AI8" s="7"/>
      <c r="AJ8" s="7"/>
      <c r="AK8" s="1" t="s">
        <v>40</v>
      </c>
      <c r="AL8" s="8"/>
      <c r="AM8" s="8"/>
      <c r="AN8" s="8"/>
      <c r="AO8" s="8"/>
      <c r="AP8" s="8"/>
      <c r="AQ8" s="8"/>
      <c r="AR8" s="68"/>
      <c r="AS8" s="68"/>
      <c r="AT8" s="7"/>
      <c r="AU8" s="7"/>
      <c r="AV8" s="7"/>
      <c r="AW8" s="7"/>
      <c r="AX8" s="7"/>
      <c r="AY8" s="7"/>
      <c r="AZ8" s="2" t="s">
        <v>3</v>
      </c>
    </row>
    <row r="9" spans="1:61" s="9" customFormat="1" ht="13.5" customHeight="1">
      <c r="A9" s="127" t="s">
        <v>41</v>
      </c>
      <c r="B9" s="128"/>
      <c r="C9" s="128"/>
      <c r="D9" s="128"/>
      <c r="E9" s="128"/>
      <c r="F9" s="128"/>
      <c r="G9" s="129"/>
      <c r="H9" s="133" t="s">
        <v>42</v>
      </c>
      <c r="I9" s="133"/>
      <c r="J9" s="133"/>
      <c r="K9" s="133"/>
      <c r="L9" s="133"/>
      <c r="M9" s="133"/>
      <c r="N9" s="133"/>
      <c r="O9" s="133"/>
      <c r="P9" s="133"/>
      <c r="Q9" s="135" t="s">
        <v>43</v>
      </c>
      <c r="R9" s="133"/>
      <c r="S9" s="133"/>
      <c r="T9" s="133"/>
      <c r="U9" s="133"/>
      <c r="V9" s="133"/>
      <c r="W9" s="133"/>
      <c r="X9" s="133"/>
      <c r="Y9" s="134"/>
      <c r="Z9" s="135" t="s">
        <v>7</v>
      </c>
      <c r="AA9" s="133"/>
      <c r="AB9" s="133"/>
      <c r="AC9" s="133"/>
      <c r="AD9" s="133"/>
      <c r="AE9" s="133"/>
      <c r="AF9" s="133"/>
      <c r="AG9" s="133"/>
      <c r="AH9" s="134"/>
      <c r="AK9" s="234"/>
      <c r="AL9" s="235"/>
      <c r="AM9" s="235"/>
      <c r="AN9" s="235"/>
      <c r="AO9" s="235"/>
      <c r="AP9" s="235"/>
      <c r="AQ9" s="236"/>
      <c r="AR9" s="237" t="s">
        <v>267</v>
      </c>
      <c r="AS9" s="230"/>
      <c r="AT9" s="231"/>
      <c r="AU9" s="229" t="s">
        <v>269</v>
      </c>
      <c r="AV9" s="230"/>
      <c r="AW9" s="231"/>
      <c r="AX9" s="232" t="s">
        <v>8</v>
      </c>
      <c r="AY9" s="229"/>
      <c r="AZ9" s="233"/>
    </row>
    <row r="10" spans="1:61" s="9" customFormat="1" ht="13.5" customHeight="1">
      <c r="A10" s="130"/>
      <c r="B10" s="131"/>
      <c r="C10" s="131"/>
      <c r="D10" s="131"/>
      <c r="E10" s="131"/>
      <c r="F10" s="131"/>
      <c r="G10" s="132"/>
      <c r="H10" s="125" t="s">
        <v>267</v>
      </c>
      <c r="I10" s="123"/>
      <c r="J10" s="126"/>
      <c r="K10" s="122" t="s">
        <v>269</v>
      </c>
      <c r="L10" s="123"/>
      <c r="M10" s="126"/>
      <c r="N10" s="227" t="s">
        <v>8</v>
      </c>
      <c r="O10" s="122"/>
      <c r="P10" s="228"/>
      <c r="Q10" s="125" t="s">
        <v>267</v>
      </c>
      <c r="R10" s="123"/>
      <c r="S10" s="126"/>
      <c r="T10" s="122" t="s">
        <v>269</v>
      </c>
      <c r="U10" s="123"/>
      <c r="V10" s="126"/>
      <c r="W10" s="227" t="s">
        <v>8</v>
      </c>
      <c r="X10" s="122"/>
      <c r="Y10" s="228"/>
      <c r="Z10" s="125" t="s">
        <v>267</v>
      </c>
      <c r="AA10" s="123"/>
      <c r="AB10" s="126"/>
      <c r="AC10" s="122" t="s">
        <v>269</v>
      </c>
      <c r="AD10" s="123"/>
      <c r="AE10" s="126"/>
      <c r="AF10" s="227" t="s">
        <v>8</v>
      </c>
      <c r="AG10" s="122"/>
      <c r="AH10" s="228"/>
      <c r="AK10" s="218" t="s">
        <v>7</v>
      </c>
      <c r="AL10" s="219"/>
      <c r="AM10" s="219"/>
      <c r="AN10" s="219"/>
      <c r="AO10" s="219"/>
      <c r="AP10" s="219"/>
      <c r="AQ10" s="220"/>
      <c r="AR10" s="147"/>
      <c r="AS10" s="143"/>
      <c r="AT10" s="143"/>
      <c r="AU10" s="143"/>
      <c r="AV10" s="143"/>
      <c r="AW10" s="143"/>
      <c r="AX10" s="224" t="str">
        <f t="shared" ref="AX10:AX19" si="0">IF(AR10="-", "-", IF(AU10="-", "-", IF(ABS(AU10)=0, "-", ROUND(100*(AR10-AU10)/ABS(AU10),10))))</f>
        <v>-</v>
      </c>
      <c r="AY10" s="225"/>
      <c r="AZ10" s="226"/>
    </row>
    <row r="11" spans="1:61" ht="13.5" customHeight="1">
      <c r="A11" s="144" t="s">
        <v>44</v>
      </c>
      <c r="B11" s="145"/>
      <c r="C11" s="145"/>
      <c r="D11" s="145"/>
      <c r="E11" s="145"/>
      <c r="F11" s="145"/>
      <c r="G11" s="146"/>
      <c r="H11" s="238"/>
      <c r="I11" s="239"/>
      <c r="J11" s="239"/>
      <c r="K11" s="240"/>
      <c r="L11" s="240"/>
      <c r="M11" s="240"/>
      <c r="N11" s="241" t="str">
        <f>IF(H11="-", "-", IF(K11="-", "-", IF(ABS(K11)=0, "-", ROUND(100*(H11-K11)/ABS(K11),10))))</f>
        <v>-</v>
      </c>
      <c r="O11" s="242"/>
      <c r="P11" s="243"/>
      <c r="Q11" s="238"/>
      <c r="R11" s="239"/>
      <c r="S11" s="239"/>
      <c r="T11" s="240"/>
      <c r="U11" s="240"/>
      <c r="V11" s="240"/>
      <c r="W11" s="224" t="str">
        <f>IF(Q11="-", "-", IF(T11="-", "-", IF(ABS(T11)=0, "-", ROUND(100*(Q11-T11)/ABS(T11),10))))</f>
        <v>-</v>
      </c>
      <c r="X11" s="225"/>
      <c r="Y11" s="226"/>
      <c r="Z11" s="238"/>
      <c r="AA11" s="239"/>
      <c r="AB11" s="239"/>
      <c r="AC11" s="240"/>
      <c r="AD11" s="240"/>
      <c r="AE11" s="240"/>
      <c r="AF11" s="224" t="str">
        <f>IF(Z11="-", "-", IF(AC11="-", "-", IF(ABS(AC11)=0, "-", ROUND(100*(Z11-AC11)/ABS(AC11),10))))</f>
        <v>-</v>
      </c>
      <c r="AG11" s="225"/>
      <c r="AH11" s="226"/>
      <c r="AK11" s="69"/>
      <c r="AL11" s="161" t="s">
        <v>45</v>
      </c>
      <c r="AM11" s="162"/>
      <c r="AN11" s="162"/>
      <c r="AO11" s="162"/>
      <c r="AP11" s="162"/>
      <c r="AQ11" s="163"/>
      <c r="AR11" s="147"/>
      <c r="AS11" s="143"/>
      <c r="AT11" s="143"/>
      <c r="AU11" s="151"/>
      <c r="AV11" s="151"/>
      <c r="AW11" s="151"/>
      <c r="AX11" s="221" t="str">
        <f t="shared" si="0"/>
        <v>-</v>
      </c>
      <c r="AY11" s="222"/>
      <c r="AZ11" s="223"/>
    </row>
    <row r="12" spans="1:61" ht="13.5" customHeight="1">
      <c r="A12" s="46"/>
      <c r="B12" s="161" t="s">
        <v>46</v>
      </c>
      <c r="C12" s="162"/>
      <c r="D12" s="162"/>
      <c r="E12" s="162"/>
      <c r="F12" s="162"/>
      <c r="G12" s="163"/>
      <c r="H12" s="245"/>
      <c r="I12" s="240"/>
      <c r="J12" s="240"/>
      <c r="K12" s="246"/>
      <c r="L12" s="246"/>
      <c r="M12" s="246"/>
      <c r="N12" s="139" t="str">
        <f>IF(H12="-", "-", IF(K12="-", "-", IF(ABS(K12)=0, "-", ROUND(100*(H12-K12)/ABS(K12),10))))</f>
        <v>-</v>
      </c>
      <c r="O12" s="140"/>
      <c r="P12" s="141"/>
      <c r="Q12" s="245"/>
      <c r="R12" s="240"/>
      <c r="S12" s="240"/>
      <c r="T12" s="246"/>
      <c r="U12" s="246"/>
      <c r="V12" s="246"/>
      <c r="W12" s="221" t="str">
        <f>IF(Q12="-", "-", IF(T12="-", "-", IF(ABS(T12)=0, "-", ROUND(100*(Q12-T12)/ABS(T12),10))))</f>
        <v>-</v>
      </c>
      <c r="X12" s="222"/>
      <c r="Y12" s="223"/>
      <c r="Z12" s="245"/>
      <c r="AA12" s="240"/>
      <c r="AB12" s="240"/>
      <c r="AC12" s="246"/>
      <c r="AD12" s="246"/>
      <c r="AE12" s="246"/>
      <c r="AF12" s="221" t="str">
        <f>IF(Z12="-", "-", IF(AC12="-", "-", IF(ABS(AC12)=0, "-", ROUND(100*(Z12-AC12)/ABS(AC12),10))))</f>
        <v>-</v>
      </c>
      <c r="AG12" s="222"/>
      <c r="AH12" s="223"/>
      <c r="AK12" s="47"/>
      <c r="AL12" s="181" t="s">
        <v>47</v>
      </c>
      <c r="AM12" s="182"/>
      <c r="AN12" s="182"/>
      <c r="AO12" s="182"/>
      <c r="AP12" s="182"/>
      <c r="AQ12" s="183"/>
      <c r="AR12" s="107"/>
      <c r="AS12" s="108"/>
      <c r="AT12" s="108"/>
      <c r="AU12" s="188"/>
      <c r="AV12" s="188"/>
      <c r="AW12" s="188"/>
      <c r="AX12" s="139" t="str">
        <f t="shared" si="0"/>
        <v>-</v>
      </c>
      <c r="AY12" s="140"/>
      <c r="AZ12" s="141"/>
    </row>
    <row r="13" spans="1:61" ht="13.5" customHeight="1">
      <c r="A13" s="244" t="s">
        <v>48</v>
      </c>
      <c r="B13" s="153"/>
      <c r="C13" s="153"/>
      <c r="D13" s="153"/>
      <c r="E13" s="153"/>
      <c r="F13" s="153"/>
      <c r="G13" s="154"/>
      <c r="H13" s="245"/>
      <c r="I13" s="240"/>
      <c r="J13" s="240"/>
      <c r="K13" s="246"/>
      <c r="L13" s="246"/>
      <c r="M13" s="246"/>
      <c r="N13" s="139" t="str">
        <f>IF(H13="-", "-", IF(K13="-", "-", IF(ABS(K13)=0, "-", ROUND(100*(H13-K13)/ABS(K13),10))))</f>
        <v>-</v>
      </c>
      <c r="O13" s="140"/>
      <c r="P13" s="141"/>
      <c r="Q13" s="245"/>
      <c r="R13" s="240"/>
      <c r="S13" s="240"/>
      <c r="T13" s="246"/>
      <c r="U13" s="246"/>
      <c r="V13" s="246"/>
      <c r="W13" s="221" t="str">
        <f>IF(Q13="-", "-", IF(T13="-", "-", IF(ABS(T13)=0, "-", ROUND(100*(Q13-T13)/ABS(T13),10))))</f>
        <v>-</v>
      </c>
      <c r="X13" s="222"/>
      <c r="Y13" s="223"/>
      <c r="Z13" s="245"/>
      <c r="AA13" s="240"/>
      <c r="AB13" s="240"/>
      <c r="AC13" s="246"/>
      <c r="AD13" s="246"/>
      <c r="AE13" s="246"/>
      <c r="AF13" s="221" t="str">
        <f>IF(Z13="-", "-", IF(AC13="-", "-", IF(ABS(AC13)=0, "-", ROUND(100*(Z13-AC13)/ABS(AC13),10))))</f>
        <v>-</v>
      </c>
      <c r="AG13" s="222"/>
      <c r="AH13" s="223"/>
      <c r="AK13" s="247" t="s">
        <v>49</v>
      </c>
      <c r="AL13" s="250" t="s">
        <v>50</v>
      </c>
      <c r="AM13" s="251"/>
      <c r="AN13" s="251"/>
      <c r="AO13" s="251"/>
      <c r="AP13" s="251"/>
      <c r="AQ13" s="252"/>
      <c r="AR13" s="147"/>
      <c r="AS13" s="143"/>
      <c r="AT13" s="143"/>
      <c r="AU13" s="172"/>
      <c r="AV13" s="172"/>
      <c r="AW13" s="172"/>
      <c r="AX13" s="224" t="str">
        <f t="shared" si="0"/>
        <v>-</v>
      </c>
      <c r="AY13" s="225"/>
      <c r="AZ13" s="226"/>
    </row>
    <row r="14" spans="1:61" ht="13.5" customHeight="1">
      <c r="A14" s="46"/>
      <c r="B14" s="161" t="s">
        <v>51</v>
      </c>
      <c r="C14" s="162"/>
      <c r="D14" s="162"/>
      <c r="E14" s="162"/>
      <c r="F14" s="162"/>
      <c r="G14" s="163"/>
      <c r="H14" s="245"/>
      <c r="I14" s="240"/>
      <c r="J14" s="240"/>
      <c r="K14" s="246"/>
      <c r="L14" s="246"/>
      <c r="M14" s="246"/>
      <c r="N14" s="139" t="str">
        <f>IF(H14="-", "-", IF(K14="-", "-", IF(ABS(K14)=0, "-", ROUND(100*(H14-K14)/ABS(K14),10))))</f>
        <v>-</v>
      </c>
      <c r="O14" s="140"/>
      <c r="P14" s="141"/>
      <c r="Q14" s="245"/>
      <c r="R14" s="240"/>
      <c r="S14" s="240"/>
      <c r="T14" s="246"/>
      <c r="U14" s="246"/>
      <c r="V14" s="246"/>
      <c r="W14" s="221" t="str">
        <f>IF(Q14="-", "-", IF(T14="-", "-", IF(ABS(T14)=0, "-", ROUND(100*(Q14-T14)/ABS(T14),10))))</f>
        <v>-</v>
      </c>
      <c r="X14" s="222"/>
      <c r="Y14" s="223"/>
      <c r="Z14" s="245"/>
      <c r="AA14" s="240"/>
      <c r="AB14" s="240"/>
      <c r="AC14" s="246"/>
      <c r="AD14" s="246"/>
      <c r="AE14" s="246"/>
      <c r="AF14" s="221" t="str">
        <f>IF(Z14="-", "-", IF(AC14="-", "-", IF(ABS(AC14)=0, "-", ROUND(100*(Z14-AC14)/ABS(AC14),10))))</f>
        <v>-</v>
      </c>
      <c r="AG14" s="222"/>
      <c r="AH14" s="223"/>
      <c r="AK14" s="248"/>
      <c r="AL14" s="161" t="s">
        <v>52</v>
      </c>
      <c r="AM14" s="162"/>
      <c r="AN14" s="162"/>
      <c r="AO14" s="162"/>
      <c r="AP14" s="162"/>
      <c r="AQ14" s="163"/>
      <c r="AR14" s="147"/>
      <c r="AS14" s="143"/>
      <c r="AT14" s="143"/>
      <c r="AU14" s="151"/>
      <c r="AV14" s="151"/>
      <c r="AW14" s="151"/>
      <c r="AX14" s="221" t="str">
        <f t="shared" si="0"/>
        <v>-</v>
      </c>
      <c r="AY14" s="222"/>
      <c r="AZ14" s="223"/>
    </row>
    <row r="15" spans="1:61" ht="13.5" customHeight="1">
      <c r="A15" s="256" t="s">
        <v>53</v>
      </c>
      <c r="B15" s="182"/>
      <c r="C15" s="182"/>
      <c r="D15" s="182"/>
      <c r="E15" s="182"/>
      <c r="F15" s="182"/>
      <c r="G15" s="183"/>
      <c r="H15" s="257"/>
      <c r="I15" s="258"/>
      <c r="J15" s="258"/>
      <c r="K15" s="259"/>
      <c r="L15" s="259"/>
      <c r="M15" s="259"/>
      <c r="N15" s="253" t="str">
        <f>IF(H15="-", "-", IF(K15="-", "-", IF(ABS(K15)=0, "-", ROUND(100*(H15-K15)/ABS(K15),10))))</f>
        <v>-</v>
      </c>
      <c r="O15" s="254"/>
      <c r="P15" s="255"/>
      <c r="Q15" s="257"/>
      <c r="R15" s="258"/>
      <c r="S15" s="258"/>
      <c r="T15" s="259"/>
      <c r="U15" s="259"/>
      <c r="V15" s="259"/>
      <c r="W15" s="253" t="str">
        <f>IF(Q15="-", "-", IF(T15="-", "-", IF(ABS(T15)=0, "-", ROUND(100*(Q15-T15)/ABS(T15),10))))</f>
        <v>-</v>
      </c>
      <c r="X15" s="254"/>
      <c r="Y15" s="255"/>
      <c r="Z15" s="257"/>
      <c r="AA15" s="258"/>
      <c r="AB15" s="258"/>
      <c r="AC15" s="259"/>
      <c r="AD15" s="259"/>
      <c r="AE15" s="259"/>
      <c r="AF15" s="253" t="str">
        <f>IF(Z15="-", "-", IF(AC15="-", "-", IF(ABS(AC15)=0, "-", ROUND(100*(Z15-AC15)/ABS(AC15),10))))</f>
        <v>-</v>
      </c>
      <c r="AG15" s="254"/>
      <c r="AH15" s="255"/>
      <c r="AK15" s="248"/>
      <c r="AL15" s="152" t="s">
        <v>54</v>
      </c>
      <c r="AM15" s="153"/>
      <c r="AN15" s="153"/>
      <c r="AO15" s="153"/>
      <c r="AP15" s="153"/>
      <c r="AQ15" s="154"/>
      <c r="AR15" s="147"/>
      <c r="AS15" s="143"/>
      <c r="AT15" s="143"/>
      <c r="AU15" s="151"/>
      <c r="AV15" s="151"/>
      <c r="AW15" s="151"/>
      <c r="AX15" s="221" t="str">
        <f t="shared" si="0"/>
        <v>-</v>
      </c>
      <c r="AY15" s="222"/>
      <c r="AZ15" s="223"/>
      <c r="BA15" s="260"/>
      <c r="BB15" s="260"/>
      <c r="BC15" s="260"/>
      <c r="BD15" s="260"/>
      <c r="BE15" s="260"/>
      <c r="BF15" s="260"/>
      <c r="BG15" s="261"/>
      <c r="BH15" s="261"/>
      <c r="BI15" s="261"/>
    </row>
    <row r="16" spans="1:61" ht="13.5" customHeight="1">
      <c r="A16" s="8"/>
      <c r="B16" s="8"/>
      <c r="C16" s="8"/>
      <c r="D16" s="8"/>
      <c r="E16" s="8"/>
      <c r="F16" s="8"/>
      <c r="G16" s="8"/>
      <c r="H16" s="68"/>
      <c r="I16" s="6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248"/>
      <c r="AL16" s="48"/>
      <c r="AM16" s="161" t="s">
        <v>55</v>
      </c>
      <c r="AN16" s="162"/>
      <c r="AO16" s="162"/>
      <c r="AP16" s="162"/>
      <c r="AQ16" s="163"/>
      <c r="AR16" s="147"/>
      <c r="AS16" s="143"/>
      <c r="AT16" s="143"/>
      <c r="AU16" s="151"/>
      <c r="AV16" s="151"/>
      <c r="AW16" s="151"/>
      <c r="AX16" s="221" t="str">
        <f t="shared" si="0"/>
        <v>-</v>
      </c>
      <c r="AY16" s="222"/>
      <c r="AZ16" s="223"/>
      <c r="BA16" s="260"/>
      <c r="BB16" s="260"/>
      <c r="BC16" s="260"/>
      <c r="BD16" s="260"/>
      <c r="BE16" s="260"/>
      <c r="BF16" s="260"/>
      <c r="BG16" s="261"/>
      <c r="BH16" s="261"/>
      <c r="BI16" s="261"/>
    </row>
    <row r="17" spans="1:61" s="9" customFormat="1" ht="13.5" customHeight="1">
      <c r="A17" s="1" t="s">
        <v>56</v>
      </c>
      <c r="B17" s="8"/>
      <c r="C17" s="8"/>
      <c r="D17" s="8"/>
      <c r="E17" s="8"/>
      <c r="F17" s="8"/>
      <c r="G17" s="8"/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57</v>
      </c>
      <c r="AI17" s="2"/>
      <c r="AJ17" s="2"/>
      <c r="AK17" s="248"/>
      <c r="AL17" s="48"/>
      <c r="AM17" s="161" t="s">
        <v>58</v>
      </c>
      <c r="AN17" s="162"/>
      <c r="AO17" s="162"/>
      <c r="AP17" s="162"/>
      <c r="AQ17" s="163"/>
      <c r="AR17" s="147"/>
      <c r="AS17" s="143"/>
      <c r="AT17" s="143"/>
      <c r="AU17" s="151"/>
      <c r="AV17" s="151"/>
      <c r="AW17" s="151"/>
      <c r="AX17" s="221" t="str">
        <f t="shared" si="0"/>
        <v>-</v>
      </c>
      <c r="AY17" s="222"/>
      <c r="AZ17" s="223"/>
      <c r="BA17" s="260"/>
      <c r="BB17" s="260"/>
      <c r="BC17" s="260"/>
      <c r="BD17" s="260"/>
      <c r="BE17" s="260"/>
      <c r="BF17" s="260"/>
      <c r="BG17" s="261"/>
      <c r="BH17" s="261"/>
      <c r="BI17" s="261"/>
    </row>
    <row r="18" spans="1:61" s="9" customFormat="1" ht="13.5" customHeight="1">
      <c r="A18" s="127" t="s">
        <v>41</v>
      </c>
      <c r="B18" s="128"/>
      <c r="C18" s="128"/>
      <c r="D18" s="128"/>
      <c r="E18" s="128"/>
      <c r="F18" s="128"/>
      <c r="G18" s="129"/>
      <c r="H18" s="262" t="s">
        <v>59</v>
      </c>
      <c r="I18" s="262"/>
      <c r="J18" s="262"/>
      <c r="K18" s="262"/>
      <c r="L18" s="262"/>
      <c r="M18" s="262"/>
      <c r="N18" s="262"/>
      <c r="O18" s="262"/>
      <c r="P18" s="263"/>
      <c r="Q18" s="264" t="s">
        <v>60</v>
      </c>
      <c r="R18" s="262"/>
      <c r="S18" s="262"/>
      <c r="T18" s="262"/>
      <c r="U18" s="262"/>
      <c r="V18" s="262"/>
      <c r="W18" s="262"/>
      <c r="X18" s="262"/>
      <c r="Y18" s="263"/>
      <c r="Z18" s="133" t="s">
        <v>7</v>
      </c>
      <c r="AA18" s="133"/>
      <c r="AB18" s="133"/>
      <c r="AC18" s="133"/>
      <c r="AD18" s="133"/>
      <c r="AE18" s="133"/>
      <c r="AF18" s="133"/>
      <c r="AG18" s="133"/>
      <c r="AH18" s="134"/>
      <c r="AK18" s="248"/>
      <c r="AL18" s="48"/>
      <c r="AM18" s="161" t="s">
        <v>61</v>
      </c>
      <c r="AN18" s="162"/>
      <c r="AO18" s="162"/>
      <c r="AP18" s="162"/>
      <c r="AQ18" s="163"/>
      <c r="AR18" s="147"/>
      <c r="AS18" s="143"/>
      <c r="AT18" s="143"/>
      <c r="AU18" s="151"/>
      <c r="AV18" s="151"/>
      <c r="AW18" s="151"/>
      <c r="AX18" s="221" t="str">
        <f t="shared" si="0"/>
        <v>-</v>
      </c>
      <c r="AY18" s="222"/>
      <c r="AZ18" s="223"/>
      <c r="BA18" s="260"/>
      <c r="BB18" s="260"/>
      <c r="BC18" s="260"/>
      <c r="BD18" s="260"/>
      <c r="BE18" s="260"/>
      <c r="BF18" s="260"/>
      <c r="BG18" s="261"/>
      <c r="BH18" s="261"/>
      <c r="BI18" s="261"/>
    </row>
    <row r="19" spans="1:61" s="9" customFormat="1" ht="13.5" customHeight="1">
      <c r="A19" s="130"/>
      <c r="B19" s="131"/>
      <c r="C19" s="131"/>
      <c r="D19" s="131"/>
      <c r="E19" s="131"/>
      <c r="F19" s="131"/>
      <c r="G19" s="132"/>
      <c r="H19" s="125" t="s">
        <v>267</v>
      </c>
      <c r="I19" s="123"/>
      <c r="J19" s="126"/>
      <c r="K19" s="122" t="s">
        <v>269</v>
      </c>
      <c r="L19" s="123"/>
      <c r="M19" s="126"/>
      <c r="N19" s="227" t="s">
        <v>8</v>
      </c>
      <c r="O19" s="122"/>
      <c r="P19" s="228"/>
      <c r="Q19" s="125" t="s">
        <v>267</v>
      </c>
      <c r="R19" s="123"/>
      <c r="S19" s="126"/>
      <c r="T19" s="122" t="s">
        <v>269</v>
      </c>
      <c r="U19" s="123"/>
      <c r="V19" s="126"/>
      <c r="W19" s="227" t="s">
        <v>8</v>
      </c>
      <c r="X19" s="122"/>
      <c r="Y19" s="228"/>
      <c r="Z19" s="125" t="s">
        <v>267</v>
      </c>
      <c r="AA19" s="123"/>
      <c r="AB19" s="126"/>
      <c r="AC19" s="122" t="s">
        <v>269</v>
      </c>
      <c r="AD19" s="123"/>
      <c r="AE19" s="126"/>
      <c r="AF19" s="227" t="s">
        <v>8</v>
      </c>
      <c r="AG19" s="122"/>
      <c r="AH19" s="228"/>
      <c r="AK19" s="249"/>
      <c r="AL19" s="49"/>
      <c r="AM19" s="181" t="s">
        <v>62</v>
      </c>
      <c r="AN19" s="182"/>
      <c r="AO19" s="182"/>
      <c r="AP19" s="182"/>
      <c r="AQ19" s="183"/>
      <c r="AR19" s="107"/>
      <c r="AS19" s="108"/>
      <c r="AT19" s="108"/>
      <c r="AU19" s="108"/>
      <c r="AV19" s="108"/>
      <c r="AW19" s="108"/>
      <c r="AX19" s="253" t="str">
        <f t="shared" si="0"/>
        <v>-</v>
      </c>
      <c r="AY19" s="254"/>
      <c r="AZ19" s="255"/>
      <c r="BA19" s="260"/>
      <c r="BB19" s="260"/>
      <c r="BC19" s="260"/>
      <c r="BD19" s="260"/>
      <c r="BE19" s="260"/>
      <c r="BF19" s="260"/>
      <c r="BG19" s="261"/>
      <c r="BH19" s="261"/>
      <c r="BI19" s="261"/>
    </row>
    <row r="20" spans="1:61" ht="13.5" customHeight="1">
      <c r="A20" s="169" t="s">
        <v>63</v>
      </c>
      <c r="B20" s="170"/>
      <c r="C20" s="170"/>
      <c r="D20" s="170"/>
      <c r="E20" s="170"/>
      <c r="F20" s="170"/>
      <c r="G20" s="171"/>
      <c r="H20" s="173"/>
      <c r="I20" s="174"/>
      <c r="J20" s="174"/>
      <c r="K20" s="143"/>
      <c r="L20" s="143"/>
      <c r="M20" s="143"/>
      <c r="N20" s="241" t="str">
        <f>IF(H20="-", "-", IF(K20="-", "-", IF(ABS(K20)=0, "-", ROUND(100*(H20-K20)/ABS(K20),10))))</f>
        <v>-</v>
      </c>
      <c r="O20" s="242"/>
      <c r="P20" s="243"/>
      <c r="Q20" s="142"/>
      <c r="R20" s="143"/>
      <c r="S20" s="143"/>
      <c r="T20" s="143"/>
      <c r="U20" s="143"/>
      <c r="V20" s="143"/>
      <c r="W20" s="241" t="str">
        <f>IF(Q20="-", "-", IF(T20="-", "-", IF(ABS(T20)=0, "-", ROUND(100*(Q20-T20)/ABS(T20),10))))</f>
        <v>-</v>
      </c>
      <c r="X20" s="242"/>
      <c r="Y20" s="243"/>
      <c r="Z20" s="142"/>
      <c r="AA20" s="143"/>
      <c r="AB20" s="143"/>
      <c r="AC20" s="143"/>
      <c r="AD20" s="143"/>
      <c r="AE20" s="143"/>
      <c r="AF20" s="241" t="str">
        <f>IF(Z20="-", "-", IF(AC20="-", "-", IF(ABS(AC20)=0, "-", ROUND(100*(Z20-AC20)/ABS(AC20),10))))</f>
        <v>-</v>
      </c>
      <c r="AG20" s="242"/>
      <c r="AH20" s="243"/>
      <c r="BA20" s="260"/>
      <c r="BB20" s="260"/>
      <c r="BC20" s="260"/>
      <c r="BD20" s="260"/>
      <c r="BE20" s="260"/>
      <c r="BF20" s="260"/>
      <c r="BG20" s="261"/>
      <c r="BH20" s="261"/>
      <c r="BI20" s="261"/>
    </row>
    <row r="21" spans="1:61" ht="13.5" customHeight="1">
      <c r="A21" s="265" t="s">
        <v>64</v>
      </c>
      <c r="B21" s="162"/>
      <c r="C21" s="162"/>
      <c r="D21" s="162"/>
      <c r="E21" s="162"/>
      <c r="F21" s="162"/>
      <c r="G21" s="163"/>
      <c r="H21" s="168"/>
      <c r="I21" s="151"/>
      <c r="J21" s="151"/>
      <c r="K21" s="151"/>
      <c r="L21" s="151"/>
      <c r="M21" s="151"/>
      <c r="N21" s="139" t="str">
        <f>IF(H21="-", "-", IF(K21="-", "-", IF(ABS(K21)=0, "-", ROUND(100*(H21-K21)/ABS(K21),10))))</f>
        <v>-</v>
      </c>
      <c r="O21" s="140"/>
      <c r="P21" s="141"/>
      <c r="Q21" s="142"/>
      <c r="R21" s="143"/>
      <c r="S21" s="143"/>
      <c r="T21" s="151"/>
      <c r="U21" s="151"/>
      <c r="V21" s="151"/>
      <c r="W21" s="139" t="str">
        <f>IF(Q21="-", "-", IF(T21="-", "-", IF(ABS(T21)=0, "-", ROUND(100*(Q21-T21)/ABS(T21),10))))</f>
        <v>-</v>
      </c>
      <c r="X21" s="140"/>
      <c r="Y21" s="141"/>
      <c r="Z21" s="142"/>
      <c r="AA21" s="143"/>
      <c r="AB21" s="143"/>
      <c r="AC21" s="151"/>
      <c r="AD21" s="151"/>
      <c r="AE21" s="151"/>
      <c r="AF21" s="139" t="str">
        <f>IF(Z21="-", "-", IF(AC21="-", "-", IF(ABS(AC21)=0, "-", ROUND(100*(Z21-AC21)/ABS(AC21),10))))</f>
        <v>-</v>
      </c>
      <c r="AG21" s="140"/>
      <c r="AH21" s="141"/>
      <c r="AK21" s="1" t="s">
        <v>65</v>
      </c>
      <c r="AL21" s="8"/>
      <c r="AM21" s="8"/>
      <c r="AN21" s="8"/>
      <c r="AO21" s="8"/>
      <c r="AP21" s="8"/>
      <c r="AQ21" s="8"/>
      <c r="AR21" s="68"/>
      <c r="AS21" s="68"/>
      <c r="AT21" s="7"/>
      <c r="AU21" s="7"/>
      <c r="AV21" s="7"/>
      <c r="AW21" s="7"/>
      <c r="AX21" s="7"/>
      <c r="AY21" s="7"/>
      <c r="AZ21" s="2" t="s">
        <v>3</v>
      </c>
    </row>
    <row r="22" spans="1:61" ht="13.5" customHeight="1">
      <c r="A22" s="265" t="s">
        <v>66</v>
      </c>
      <c r="B22" s="162"/>
      <c r="C22" s="162"/>
      <c r="D22" s="162"/>
      <c r="E22" s="162"/>
      <c r="F22" s="162"/>
      <c r="G22" s="163"/>
      <c r="H22" s="168"/>
      <c r="I22" s="151"/>
      <c r="J22" s="151"/>
      <c r="K22" s="151"/>
      <c r="L22" s="151"/>
      <c r="M22" s="151"/>
      <c r="N22" s="139" t="str">
        <f>IF(H22="-", "-", IF(K22="-", "-", IF(ABS(K22)=0, "-", ROUND(100*(H22-K22)/ABS(K22),10))))</f>
        <v>-</v>
      </c>
      <c r="O22" s="140"/>
      <c r="P22" s="141"/>
      <c r="Q22" s="142"/>
      <c r="R22" s="143"/>
      <c r="S22" s="143"/>
      <c r="T22" s="151"/>
      <c r="U22" s="151"/>
      <c r="V22" s="151"/>
      <c r="W22" s="139" t="str">
        <f>IF(Q22="-", "-", IF(T22="-", "-", IF(ABS(T22)=0, "-", ROUND(100*(Q22-T22)/ABS(T22),10))))</f>
        <v>-</v>
      </c>
      <c r="X22" s="140"/>
      <c r="Y22" s="141"/>
      <c r="Z22" s="142"/>
      <c r="AA22" s="143"/>
      <c r="AB22" s="143"/>
      <c r="AC22" s="151"/>
      <c r="AD22" s="151"/>
      <c r="AE22" s="151"/>
      <c r="AF22" s="139" t="str">
        <f>IF(Z22="-", "-", IF(AC22="-", "-", IF(ABS(AC22)=0, "-", ROUND(100*(Z22-AC22)/ABS(AC22),10))))</f>
        <v>-</v>
      </c>
      <c r="AG22" s="140"/>
      <c r="AH22" s="141"/>
      <c r="AK22" s="234"/>
      <c r="AL22" s="235"/>
      <c r="AM22" s="235"/>
      <c r="AN22" s="235"/>
      <c r="AO22" s="235"/>
      <c r="AP22" s="235"/>
      <c r="AQ22" s="236"/>
      <c r="AR22" s="237" t="s">
        <v>267</v>
      </c>
      <c r="AS22" s="230"/>
      <c r="AT22" s="231"/>
      <c r="AU22" s="229" t="s">
        <v>269</v>
      </c>
      <c r="AV22" s="230"/>
      <c r="AW22" s="231"/>
      <c r="AX22" s="232" t="s">
        <v>8</v>
      </c>
      <c r="AY22" s="229"/>
      <c r="AZ22" s="233"/>
    </row>
    <row r="23" spans="1:61" ht="13.5" customHeight="1">
      <c r="A23" s="266" t="s">
        <v>67</v>
      </c>
      <c r="B23" s="267"/>
      <c r="C23" s="267"/>
      <c r="D23" s="267"/>
      <c r="E23" s="267"/>
      <c r="F23" s="267"/>
      <c r="G23" s="268"/>
      <c r="H23" s="142"/>
      <c r="I23" s="143"/>
      <c r="J23" s="143"/>
      <c r="K23" s="108"/>
      <c r="L23" s="108"/>
      <c r="M23" s="108"/>
      <c r="N23" s="95" t="str">
        <f>IF(H23="-", "-", IF(K23="-", "-", IF(ABS(K23)=0, "-", ROUND(100*(H23-K23)/ABS(K23),10))))</f>
        <v>-</v>
      </c>
      <c r="O23" s="96"/>
      <c r="P23" s="97"/>
      <c r="Q23" s="107"/>
      <c r="R23" s="108"/>
      <c r="S23" s="108"/>
      <c r="T23" s="108"/>
      <c r="U23" s="108"/>
      <c r="V23" s="108"/>
      <c r="W23" s="95" t="str">
        <f>IF(Q23="-", "-", IF(T23="-", "-", IF(ABS(T23)=0, "-", ROUND(100*(Q23-T23)/ABS(T23),10))))</f>
        <v>-</v>
      </c>
      <c r="X23" s="96"/>
      <c r="Y23" s="97"/>
      <c r="Z23" s="107"/>
      <c r="AA23" s="108"/>
      <c r="AB23" s="108"/>
      <c r="AC23" s="108"/>
      <c r="AD23" s="108"/>
      <c r="AE23" s="108"/>
      <c r="AF23" s="95" t="str">
        <f>IF(Z23="-", "-", IF(AC23="-", "-", IF(ABS(AC23)=0, "-", ROUND(100*(Z23-AC23)/ABS(AC23),10))))</f>
        <v>-</v>
      </c>
      <c r="AG23" s="96"/>
      <c r="AH23" s="97"/>
      <c r="AK23" s="218" t="s">
        <v>7</v>
      </c>
      <c r="AL23" s="219"/>
      <c r="AM23" s="219"/>
      <c r="AN23" s="219"/>
      <c r="AO23" s="219"/>
      <c r="AP23" s="219"/>
      <c r="AQ23" s="220"/>
      <c r="AR23" s="200"/>
      <c r="AS23" s="172"/>
      <c r="AT23" s="172"/>
      <c r="AU23" s="143"/>
      <c r="AV23" s="143"/>
      <c r="AW23" s="143"/>
      <c r="AX23" s="224" t="str">
        <f>IF(AR23="-", "-", IF(AU23="-", "-", IF(ABS(AU23)=0, "-", ROUND(100*(AR23-AU23)/ABS(AU23),10))))</f>
        <v>-</v>
      </c>
      <c r="AY23" s="225"/>
      <c r="AZ23" s="226"/>
    </row>
    <row r="24" spans="1:61" ht="13.5" customHeight="1">
      <c r="A24" s="211" t="s">
        <v>7</v>
      </c>
      <c r="B24" s="212"/>
      <c r="C24" s="212"/>
      <c r="D24" s="212"/>
      <c r="E24" s="212"/>
      <c r="F24" s="212"/>
      <c r="G24" s="213"/>
      <c r="H24" s="202"/>
      <c r="I24" s="201"/>
      <c r="J24" s="201"/>
      <c r="K24" s="201"/>
      <c r="L24" s="201"/>
      <c r="M24" s="201"/>
      <c r="N24" s="253" t="str">
        <f>IF(H24="-", "-", IF(K24="-", "-", IF(ABS(K24)=0, "-", ROUND(100*(H24-K24)/ABS(K24),10))))</f>
        <v>-</v>
      </c>
      <c r="O24" s="254"/>
      <c r="P24" s="255"/>
      <c r="Q24" s="202"/>
      <c r="R24" s="201"/>
      <c r="S24" s="201"/>
      <c r="T24" s="201"/>
      <c r="U24" s="201"/>
      <c r="V24" s="201"/>
      <c r="W24" s="253" t="str">
        <f>IF(Q24="-", "-", IF(T24="-", "-", IF(ABS(T24)=0, "-", ROUND(100*(Q24-T24)/ABS(T24),10))))</f>
        <v>-</v>
      </c>
      <c r="X24" s="254"/>
      <c r="Y24" s="255"/>
      <c r="Z24" s="202"/>
      <c r="AA24" s="201"/>
      <c r="AB24" s="201"/>
      <c r="AC24" s="201"/>
      <c r="AD24" s="201"/>
      <c r="AE24" s="201"/>
      <c r="AF24" s="253" t="str">
        <f>IF(Z24="-", "-", IF(AC24="-", "-", IF(ABS(AC24)=0, "-", ROUND(100*(Z24-AC24)/ABS(AC24),10))))</f>
        <v>-</v>
      </c>
      <c r="AG24" s="254"/>
      <c r="AH24" s="255"/>
      <c r="AK24" s="69"/>
      <c r="AL24" s="161" t="s">
        <v>68</v>
      </c>
      <c r="AM24" s="162"/>
      <c r="AN24" s="162"/>
      <c r="AO24" s="162"/>
      <c r="AP24" s="162"/>
      <c r="AQ24" s="163"/>
      <c r="AR24" s="142"/>
      <c r="AS24" s="143"/>
      <c r="AT24" s="143"/>
      <c r="AU24" s="151"/>
      <c r="AV24" s="151"/>
      <c r="AW24" s="151"/>
      <c r="AX24" s="221" t="str">
        <f>IF(AR24="-", "-", IF(AU24="-", "-", IF(ABS(AU24)=0, "-", ROUND(100*(AR24-AU24)/ABS(AU24),10))))</f>
        <v>-</v>
      </c>
      <c r="AY24" s="222"/>
      <c r="AZ24" s="223"/>
    </row>
    <row r="25" spans="1:61" ht="13.5" customHeight="1">
      <c r="AK25" s="47"/>
      <c r="AL25" s="181" t="s">
        <v>32</v>
      </c>
      <c r="AM25" s="182"/>
      <c r="AN25" s="182"/>
      <c r="AO25" s="182"/>
      <c r="AP25" s="182"/>
      <c r="AQ25" s="183"/>
      <c r="AR25" s="269"/>
      <c r="AS25" s="270"/>
      <c r="AT25" s="270"/>
      <c r="AU25" s="108"/>
      <c r="AV25" s="108"/>
      <c r="AW25" s="108"/>
      <c r="AX25" s="95" t="str">
        <f>IF(AR25="-", "-", IF(AU25="-", "-", IF(ABS(AU25)=0, "-", ROUND(100*(AR25-AU25)/ABS(AU25),10))))</f>
        <v>-</v>
      </c>
      <c r="AY25" s="96"/>
      <c r="AZ25" s="97"/>
    </row>
    <row r="27" spans="1:61" ht="13.5" customHeight="1">
      <c r="A27" s="1" t="s">
        <v>69</v>
      </c>
      <c r="B27" s="9"/>
      <c r="C27" s="9"/>
      <c r="D27" s="9"/>
      <c r="E27" s="9"/>
      <c r="F27" s="9"/>
      <c r="G27" s="9"/>
      <c r="H27" s="50"/>
      <c r="I27" s="50"/>
      <c r="J27" s="50"/>
      <c r="K27" s="50"/>
      <c r="L27" s="51"/>
      <c r="M27" s="51"/>
      <c r="N27" s="51"/>
      <c r="O27" s="51"/>
      <c r="P27" s="52" t="s">
        <v>70</v>
      </c>
      <c r="AI27" s="9"/>
      <c r="AJ27" s="9"/>
    </row>
    <row r="28" spans="1:61" ht="13.5" customHeight="1">
      <c r="A28" s="234"/>
      <c r="B28" s="235"/>
      <c r="C28" s="235"/>
      <c r="D28" s="235"/>
      <c r="E28" s="235"/>
      <c r="F28" s="235"/>
      <c r="G28" s="236"/>
      <c r="H28" s="125" t="s">
        <v>267</v>
      </c>
      <c r="I28" s="123"/>
      <c r="J28" s="126"/>
      <c r="K28" s="122" t="s">
        <v>269</v>
      </c>
      <c r="L28" s="123"/>
      <c r="M28" s="126"/>
      <c r="N28" s="275" t="s">
        <v>8</v>
      </c>
      <c r="O28" s="276"/>
      <c r="P28" s="277"/>
      <c r="AI28" s="9"/>
      <c r="AJ28" s="9"/>
    </row>
    <row r="29" spans="1:61" ht="13.5" customHeight="1">
      <c r="A29" s="278" t="s">
        <v>71</v>
      </c>
      <c r="B29" s="279"/>
      <c r="C29" s="279"/>
      <c r="D29" s="279"/>
      <c r="E29" s="279"/>
      <c r="F29" s="279"/>
      <c r="G29" s="280"/>
      <c r="H29" s="274"/>
      <c r="I29" s="240"/>
      <c r="J29" s="240"/>
      <c r="K29" s="240"/>
      <c r="L29" s="240"/>
      <c r="M29" s="240"/>
      <c r="N29" s="224" t="str">
        <f t="shared" ref="N29:N42" si="1">IF(H29="-", "-", IF(K29="-", "-", IF(ABS(K29)=0, "-", ROUND(100*(H29-K29)/ABS(K29),10))))</f>
        <v>-</v>
      </c>
      <c r="O29" s="225"/>
      <c r="P29" s="226"/>
    </row>
    <row r="30" spans="1:61" ht="13.5" customHeight="1">
      <c r="A30" s="271" t="s">
        <v>72</v>
      </c>
      <c r="B30" s="272"/>
      <c r="C30" s="272"/>
      <c r="D30" s="272"/>
      <c r="E30" s="272"/>
      <c r="F30" s="272"/>
      <c r="G30" s="273"/>
      <c r="H30" s="274"/>
      <c r="I30" s="240"/>
      <c r="J30" s="240"/>
      <c r="K30" s="246"/>
      <c r="L30" s="246"/>
      <c r="M30" s="246"/>
      <c r="N30" s="221" t="str">
        <f t="shared" si="1"/>
        <v>-</v>
      </c>
      <c r="O30" s="222"/>
      <c r="P30" s="223"/>
    </row>
    <row r="31" spans="1:61" ht="13.5" customHeight="1">
      <c r="A31" s="271" t="s">
        <v>73</v>
      </c>
      <c r="B31" s="272"/>
      <c r="C31" s="272"/>
      <c r="D31" s="272"/>
      <c r="E31" s="272"/>
      <c r="F31" s="272"/>
      <c r="G31" s="273"/>
      <c r="H31" s="274"/>
      <c r="I31" s="240"/>
      <c r="J31" s="240"/>
      <c r="K31" s="246"/>
      <c r="L31" s="246"/>
      <c r="M31" s="246"/>
      <c r="N31" s="221" t="str">
        <f t="shared" si="1"/>
        <v>-</v>
      </c>
      <c r="O31" s="222"/>
      <c r="P31" s="223"/>
    </row>
    <row r="32" spans="1:61" ht="13.5" customHeight="1">
      <c r="A32" s="271" t="s">
        <v>74</v>
      </c>
      <c r="B32" s="272"/>
      <c r="C32" s="272"/>
      <c r="D32" s="272"/>
      <c r="E32" s="272"/>
      <c r="F32" s="272"/>
      <c r="G32" s="273"/>
      <c r="H32" s="274"/>
      <c r="I32" s="240"/>
      <c r="J32" s="240"/>
      <c r="K32" s="246"/>
      <c r="L32" s="246"/>
      <c r="M32" s="246"/>
      <c r="N32" s="221" t="str">
        <f t="shared" si="1"/>
        <v>-</v>
      </c>
      <c r="O32" s="222"/>
      <c r="P32" s="223"/>
    </row>
    <row r="33" spans="1:16" ht="13.5" customHeight="1">
      <c r="A33" s="271" t="s">
        <v>75</v>
      </c>
      <c r="B33" s="272"/>
      <c r="C33" s="272"/>
      <c r="D33" s="272"/>
      <c r="E33" s="272"/>
      <c r="F33" s="272"/>
      <c r="G33" s="273"/>
      <c r="H33" s="274"/>
      <c r="I33" s="240"/>
      <c r="J33" s="240"/>
      <c r="K33" s="246"/>
      <c r="L33" s="246"/>
      <c r="M33" s="246"/>
      <c r="N33" s="221" t="str">
        <f t="shared" si="1"/>
        <v>-</v>
      </c>
      <c r="O33" s="222"/>
      <c r="P33" s="223"/>
    </row>
    <row r="34" spans="1:16" ht="13.5" customHeight="1">
      <c r="A34" s="271" t="s">
        <v>76</v>
      </c>
      <c r="B34" s="272"/>
      <c r="C34" s="272"/>
      <c r="D34" s="272"/>
      <c r="E34" s="272"/>
      <c r="F34" s="272"/>
      <c r="G34" s="273"/>
      <c r="H34" s="274"/>
      <c r="I34" s="240"/>
      <c r="J34" s="240"/>
      <c r="K34" s="246"/>
      <c r="L34" s="246"/>
      <c r="M34" s="246"/>
      <c r="N34" s="221" t="str">
        <f t="shared" si="1"/>
        <v>-</v>
      </c>
      <c r="O34" s="222"/>
      <c r="P34" s="223"/>
    </row>
    <row r="35" spans="1:16" ht="13.5" customHeight="1">
      <c r="A35" s="271" t="s">
        <v>77</v>
      </c>
      <c r="B35" s="272"/>
      <c r="C35" s="272"/>
      <c r="D35" s="272"/>
      <c r="E35" s="272"/>
      <c r="F35" s="272"/>
      <c r="G35" s="273"/>
      <c r="H35" s="274"/>
      <c r="I35" s="240"/>
      <c r="J35" s="240"/>
      <c r="K35" s="246"/>
      <c r="L35" s="246"/>
      <c r="M35" s="246"/>
      <c r="N35" s="221" t="str">
        <f t="shared" si="1"/>
        <v>-</v>
      </c>
      <c r="O35" s="222"/>
      <c r="P35" s="223"/>
    </row>
    <row r="36" spans="1:16" ht="13.5" customHeight="1">
      <c r="A36" s="271" t="s">
        <v>78</v>
      </c>
      <c r="B36" s="272"/>
      <c r="C36" s="272"/>
      <c r="D36" s="272"/>
      <c r="E36" s="272"/>
      <c r="F36" s="272"/>
      <c r="G36" s="273"/>
      <c r="H36" s="274"/>
      <c r="I36" s="240"/>
      <c r="J36" s="240"/>
      <c r="K36" s="246"/>
      <c r="L36" s="246"/>
      <c r="M36" s="246"/>
      <c r="N36" s="221" t="str">
        <f t="shared" si="1"/>
        <v>-</v>
      </c>
      <c r="O36" s="222"/>
      <c r="P36" s="223"/>
    </row>
    <row r="37" spans="1:16" ht="13.5" customHeight="1">
      <c r="A37" s="271" t="s">
        <v>79</v>
      </c>
      <c r="B37" s="272"/>
      <c r="C37" s="272"/>
      <c r="D37" s="272"/>
      <c r="E37" s="272"/>
      <c r="F37" s="272"/>
      <c r="G37" s="273"/>
      <c r="H37" s="274"/>
      <c r="I37" s="240"/>
      <c r="J37" s="240"/>
      <c r="K37" s="246"/>
      <c r="L37" s="246"/>
      <c r="M37" s="246"/>
      <c r="N37" s="221" t="str">
        <f t="shared" si="1"/>
        <v>-</v>
      </c>
      <c r="O37" s="222"/>
      <c r="P37" s="223"/>
    </row>
    <row r="38" spans="1:16" ht="13.5" customHeight="1">
      <c r="A38" s="271" t="s">
        <v>80</v>
      </c>
      <c r="B38" s="272"/>
      <c r="C38" s="272"/>
      <c r="D38" s="272"/>
      <c r="E38" s="272"/>
      <c r="F38" s="272"/>
      <c r="G38" s="273"/>
      <c r="H38" s="274"/>
      <c r="I38" s="240"/>
      <c r="J38" s="240"/>
      <c r="K38" s="246"/>
      <c r="L38" s="246"/>
      <c r="M38" s="246"/>
      <c r="N38" s="221" t="str">
        <f t="shared" si="1"/>
        <v>-</v>
      </c>
      <c r="O38" s="222"/>
      <c r="P38" s="223"/>
    </row>
    <row r="39" spans="1:16" ht="13.5" customHeight="1">
      <c r="A39" s="271" t="s">
        <v>81</v>
      </c>
      <c r="B39" s="272"/>
      <c r="C39" s="272"/>
      <c r="D39" s="272"/>
      <c r="E39" s="272"/>
      <c r="F39" s="272"/>
      <c r="G39" s="273"/>
      <c r="H39" s="274"/>
      <c r="I39" s="240"/>
      <c r="J39" s="240"/>
      <c r="K39" s="246"/>
      <c r="L39" s="246"/>
      <c r="M39" s="246"/>
      <c r="N39" s="221" t="str">
        <f t="shared" si="1"/>
        <v>-</v>
      </c>
      <c r="O39" s="222"/>
      <c r="P39" s="223"/>
    </row>
    <row r="40" spans="1:16" ht="13.5" customHeight="1">
      <c r="A40" s="271" t="s">
        <v>82</v>
      </c>
      <c r="B40" s="272"/>
      <c r="C40" s="272"/>
      <c r="D40" s="272"/>
      <c r="E40" s="272"/>
      <c r="F40" s="272"/>
      <c r="G40" s="273"/>
      <c r="H40" s="285"/>
      <c r="I40" s="259"/>
      <c r="J40" s="259"/>
      <c r="K40" s="246"/>
      <c r="L40" s="246"/>
      <c r="M40" s="246"/>
      <c r="N40" s="139" t="str">
        <f t="shared" si="1"/>
        <v>-</v>
      </c>
      <c r="O40" s="140"/>
      <c r="P40" s="141"/>
    </row>
    <row r="41" spans="1:16" ht="13.5" customHeight="1">
      <c r="A41" s="135" t="s">
        <v>7</v>
      </c>
      <c r="B41" s="133"/>
      <c r="C41" s="133"/>
      <c r="D41" s="133"/>
      <c r="E41" s="133"/>
      <c r="F41" s="133"/>
      <c r="G41" s="134"/>
      <c r="H41" s="274"/>
      <c r="I41" s="240"/>
      <c r="J41" s="240"/>
      <c r="K41" s="239"/>
      <c r="L41" s="239"/>
      <c r="M41" s="239"/>
      <c r="N41" s="224" t="str">
        <f t="shared" si="1"/>
        <v>-</v>
      </c>
      <c r="O41" s="225"/>
      <c r="P41" s="226"/>
    </row>
    <row r="42" spans="1:16" ht="13.5" customHeight="1">
      <c r="A42" s="281" t="s">
        <v>83</v>
      </c>
      <c r="B42" s="282"/>
      <c r="C42" s="282"/>
      <c r="D42" s="282"/>
      <c r="E42" s="282"/>
      <c r="F42" s="282"/>
      <c r="G42" s="283"/>
      <c r="H42" s="284"/>
      <c r="I42" s="259"/>
      <c r="J42" s="259"/>
      <c r="K42" s="259"/>
      <c r="L42" s="259"/>
      <c r="M42" s="259"/>
      <c r="N42" s="95" t="str">
        <f t="shared" si="1"/>
        <v>-</v>
      </c>
      <c r="O42" s="96"/>
      <c r="P42" s="97"/>
    </row>
  </sheetData>
  <mergeCells count="281">
    <mergeCell ref="A42:G42"/>
    <mergeCell ref="H42:J42"/>
    <mergeCell ref="K42:M42"/>
    <mergeCell ref="N42:P42"/>
    <mergeCell ref="A40:G40"/>
    <mergeCell ref="H40:J40"/>
    <mergeCell ref="K40:M40"/>
    <mergeCell ref="N40:P40"/>
    <mergeCell ref="A41:G41"/>
    <mergeCell ref="H41:J41"/>
    <mergeCell ref="K41:M41"/>
    <mergeCell ref="N41:P41"/>
    <mergeCell ref="A38:G38"/>
    <mergeCell ref="H38:J38"/>
    <mergeCell ref="K38:M38"/>
    <mergeCell ref="N38:P38"/>
    <mergeCell ref="A39:G39"/>
    <mergeCell ref="H39:J39"/>
    <mergeCell ref="K39:M39"/>
    <mergeCell ref="N39:P39"/>
    <mergeCell ref="A36:G36"/>
    <mergeCell ref="H36:J36"/>
    <mergeCell ref="K36:M36"/>
    <mergeCell ref="N36:P36"/>
    <mergeCell ref="A37:G37"/>
    <mergeCell ref="H37:J37"/>
    <mergeCell ref="K37:M37"/>
    <mergeCell ref="N37:P37"/>
    <mergeCell ref="A34:G34"/>
    <mergeCell ref="H34:J34"/>
    <mergeCell ref="K34:M34"/>
    <mergeCell ref="N34:P34"/>
    <mergeCell ref="A35:G35"/>
    <mergeCell ref="H35:J35"/>
    <mergeCell ref="K35:M35"/>
    <mergeCell ref="N35:P35"/>
    <mergeCell ref="A32:G32"/>
    <mergeCell ref="H32:J32"/>
    <mergeCell ref="K32:M32"/>
    <mergeCell ref="N32:P32"/>
    <mergeCell ref="A33:G33"/>
    <mergeCell ref="H33:J33"/>
    <mergeCell ref="K33:M33"/>
    <mergeCell ref="N33:P33"/>
    <mergeCell ref="AL25:AQ25"/>
    <mergeCell ref="AR25:AT25"/>
    <mergeCell ref="AU25:AW25"/>
    <mergeCell ref="AX25:AZ25"/>
    <mergeCell ref="A30:G30"/>
    <mergeCell ref="H30:J30"/>
    <mergeCell ref="K30:M30"/>
    <mergeCell ref="N30:P30"/>
    <mergeCell ref="A31:G31"/>
    <mergeCell ref="H31:J31"/>
    <mergeCell ref="K31:M31"/>
    <mergeCell ref="N31:P31"/>
    <mergeCell ref="A28:G28"/>
    <mergeCell ref="H28:J28"/>
    <mergeCell ref="K28:M28"/>
    <mergeCell ref="N28:P28"/>
    <mergeCell ref="A29:G29"/>
    <mergeCell ref="H29:J29"/>
    <mergeCell ref="K29:M29"/>
    <mergeCell ref="N29:P29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K23:AQ23"/>
    <mergeCell ref="AR23:AT23"/>
    <mergeCell ref="AU23:AW23"/>
    <mergeCell ref="AF24:AH24"/>
    <mergeCell ref="AL24:AQ24"/>
    <mergeCell ref="AR24:AT24"/>
    <mergeCell ref="AU24:AW24"/>
    <mergeCell ref="AX24:AZ24"/>
    <mergeCell ref="A23:G23"/>
    <mergeCell ref="H23:J23"/>
    <mergeCell ref="K23:M23"/>
    <mergeCell ref="N23:P23"/>
    <mergeCell ref="Q23:S23"/>
    <mergeCell ref="T23:V23"/>
    <mergeCell ref="W23:Y23"/>
    <mergeCell ref="T22:V22"/>
    <mergeCell ref="W22:Y22"/>
    <mergeCell ref="AF21:AH21"/>
    <mergeCell ref="A22:G22"/>
    <mergeCell ref="H22:J22"/>
    <mergeCell ref="K22:M22"/>
    <mergeCell ref="N22:P22"/>
    <mergeCell ref="Q22:S22"/>
    <mergeCell ref="AR22:AT22"/>
    <mergeCell ref="AU22:AW22"/>
    <mergeCell ref="AX22:AZ22"/>
    <mergeCell ref="Z22:AB22"/>
    <mergeCell ref="AC22:AE22"/>
    <mergeCell ref="AF22:AH22"/>
    <mergeCell ref="AK22:AQ22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Z19:AB19"/>
    <mergeCell ref="AC19:AE19"/>
    <mergeCell ref="BD19:BF19"/>
    <mergeCell ref="BG19:BI19"/>
    <mergeCell ref="A20:G20"/>
    <mergeCell ref="H20:J20"/>
    <mergeCell ref="K20:M20"/>
    <mergeCell ref="N20:P20"/>
    <mergeCell ref="Q20:S20"/>
    <mergeCell ref="T20:V20"/>
    <mergeCell ref="W20:Y20"/>
    <mergeCell ref="Z20:AB20"/>
    <mergeCell ref="AF19:AH19"/>
    <mergeCell ref="AM19:AQ19"/>
    <mergeCell ref="AR19:AT19"/>
    <mergeCell ref="AU19:AW19"/>
    <mergeCell ref="AX19:AZ19"/>
    <mergeCell ref="BA19:BC19"/>
    <mergeCell ref="AC20:AE20"/>
    <mergeCell ref="AF20:AH20"/>
    <mergeCell ref="BA20:BC20"/>
    <mergeCell ref="BD20:BF20"/>
    <mergeCell ref="BG20:BI20"/>
    <mergeCell ref="BG17:BI17"/>
    <mergeCell ref="A18:G19"/>
    <mergeCell ref="H18:P18"/>
    <mergeCell ref="Q18:Y18"/>
    <mergeCell ref="Z18:AH18"/>
    <mergeCell ref="AM18:AQ18"/>
    <mergeCell ref="AR18:AT18"/>
    <mergeCell ref="AU18:AW18"/>
    <mergeCell ref="AX18:AZ18"/>
    <mergeCell ref="BA18:BC18"/>
    <mergeCell ref="AM17:AQ17"/>
    <mergeCell ref="AR17:AT17"/>
    <mergeCell ref="AU17:AW17"/>
    <mergeCell ref="AX17:AZ17"/>
    <mergeCell ref="BA17:BC17"/>
    <mergeCell ref="BD17:BF17"/>
    <mergeCell ref="BD18:BF18"/>
    <mergeCell ref="BG18:BI18"/>
    <mergeCell ref="H19:J19"/>
    <mergeCell ref="K19:M19"/>
    <mergeCell ref="N19:P19"/>
    <mergeCell ref="Q19:S19"/>
    <mergeCell ref="T19:V19"/>
    <mergeCell ref="W19:Y19"/>
    <mergeCell ref="BD15:BF15"/>
    <mergeCell ref="BG15:BI15"/>
    <mergeCell ref="AM16:AQ16"/>
    <mergeCell ref="AR16:AT16"/>
    <mergeCell ref="AU16:AW16"/>
    <mergeCell ref="AX16:AZ16"/>
    <mergeCell ref="BA16:BC16"/>
    <mergeCell ref="BD16:BF16"/>
    <mergeCell ref="BG16:BI16"/>
    <mergeCell ref="AX15:AZ15"/>
    <mergeCell ref="BA15:BC15"/>
    <mergeCell ref="AX14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3:AH13"/>
    <mergeCell ref="AK13:AK19"/>
    <mergeCell ref="AL13:AQ13"/>
    <mergeCell ref="AR13:AT13"/>
    <mergeCell ref="AU13:AW13"/>
    <mergeCell ref="AF14:AH14"/>
    <mergeCell ref="AL14:AQ14"/>
    <mergeCell ref="AR14:AT14"/>
    <mergeCell ref="AU14:AW14"/>
    <mergeCell ref="AF15:AH15"/>
    <mergeCell ref="AL15:AQ15"/>
    <mergeCell ref="AR15:AT15"/>
    <mergeCell ref="AU15:AW15"/>
    <mergeCell ref="AU12:AW12"/>
    <mergeCell ref="AX12:AZ12"/>
    <mergeCell ref="A13:G13"/>
    <mergeCell ref="H13:J13"/>
    <mergeCell ref="K13:M13"/>
    <mergeCell ref="N13:P13"/>
    <mergeCell ref="Q13:S13"/>
    <mergeCell ref="T13:V13"/>
    <mergeCell ref="W13:Y13"/>
    <mergeCell ref="Z13:AB13"/>
    <mergeCell ref="W12:Y12"/>
    <mergeCell ref="Z12:AB12"/>
    <mergeCell ref="AC12:AE12"/>
    <mergeCell ref="AF12:AH12"/>
    <mergeCell ref="AL12:AQ12"/>
    <mergeCell ref="AR12:AT12"/>
    <mergeCell ref="B12:G12"/>
    <mergeCell ref="H12:J12"/>
    <mergeCell ref="K12:M12"/>
    <mergeCell ref="N12:P12"/>
    <mergeCell ref="Q12:S12"/>
    <mergeCell ref="T12:V12"/>
    <mergeCell ref="AX13:AZ13"/>
    <mergeCell ref="AC13:AE13"/>
    <mergeCell ref="A11:G11"/>
    <mergeCell ref="H11:J11"/>
    <mergeCell ref="K11:M11"/>
    <mergeCell ref="N11:P11"/>
    <mergeCell ref="Q11:S11"/>
    <mergeCell ref="T11:V11"/>
    <mergeCell ref="W11:Y11"/>
    <mergeCell ref="Z11:AB11"/>
    <mergeCell ref="A9:G10"/>
    <mergeCell ref="H10:J10"/>
    <mergeCell ref="K10:M10"/>
    <mergeCell ref="N10:P10"/>
    <mergeCell ref="Q10:S10"/>
    <mergeCell ref="T10:V10"/>
    <mergeCell ref="W10:Y10"/>
    <mergeCell ref="Z10:AB10"/>
    <mergeCell ref="H9:P9"/>
    <mergeCell ref="Q9:Y9"/>
    <mergeCell ref="Z9:AH9"/>
    <mergeCell ref="AC11:AE11"/>
    <mergeCell ref="AF11:AH11"/>
    <mergeCell ref="AL11:AQ11"/>
    <mergeCell ref="AR11:AT11"/>
    <mergeCell ref="AU11:AW11"/>
    <mergeCell ref="AX11:AZ11"/>
    <mergeCell ref="AU10:AW10"/>
    <mergeCell ref="AX10:AZ10"/>
    <mergeCell ref="AC10:AE10"/>
    <mergeCell ref="AF10:AH10"/>
    <mergeCell ref="AU9:AW9"/>
    <mergeCell ref="AX9:AZ9"/>
    <mergeCell ref="AK9:AQ9"/>
    <mergeCell ref="AR9:AT9"/>
    <mergeCell ref="A5:E5"/>
    <mergeCell ref="F5:H5"/>
    <mergeCell ref="I5:R5"/>
    <mergeCell ref="AK10:AQ10"/>
    <mergeCell ref="AR10:AT10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1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9"/>
  </cols>
  <sheetData>
    <row r="1" spans="1:52" s="38" customFormat="1" ht="13.5" customHeight="1">
      <c r="A1" s="112" t="str">
        <f>IF(No.1!A1="","",No.1!A1)</f>
        <v/>
      </c>
      <c r="B1" s="113"/>
      <c r="C1" s="89" t="s">
        <v>378</v>
      </c>
      <c r="D1" s="36"/>
      <c r="E1" s="36"/>
      <c r="F1" s="36"/>
      <c r="G1" s="36"/>
      <c r="H1" s="37"/>
      <c r="I1" s="36"/>
      <c r="J1" s="36"/>
      <c r="K1" s="36"/>
      <c r="L1" s="36"/>
      <c r="M1" s="36"/>
      <c r="N1" s="36"/>
      <c r="O1" s="36"/>
      <c r="P1" s="36"/>
      <c r="T1" s="39"/>
      <c r="U1" s="39"/>
      <c r="AL1" s="64"/>
      <c r="AM1" s="64"/>
      <c r="AN1" s="64"/>
      <c r="AO1" s="64"/>
      <c r="AP1" s="64"/>
      <c r="AQ1" s="64"/>
      <c r="AR1" s="64"/>
      <c r="AS1" s="64"/>
    </row>
    <row r="2" spans="1:52" s="38" customFormat="1" ht="13.5" customHeight="1">
      <c r="A2" s="40" t="s">
        <v>1</v>
      </c>
      <c r="B2" s="36"/>
      <c r="C2" s="36"/>
      <c r="D2" s="36"/>
      <c r="E2" s="36"/>
      <c r="F2" s="36"/>
      <c r="G2" s="36"/>
      <c r="H2" s="37"/>
      <c r="I2" s="36"/>
      <c r="J2" s="36"/>
      <c r="K2" s="36"/>
      <c r="L2" s="36"/>
      <c r="M2" s="36"/>
      <c r="N2" s="36"/>
      <c r="O2" s="36"/>
      <c r="P2" s="36"/>
      <c r="T2" s="39"/>
      <c r="U2" s="39"/>
      <c r="AL2" s="66"/>
      <c r="AM2" s="66"/>
      <c r="AN2" s="66"/>
      <c r="AO2" s="66"/>
      <c r="AP2" s="66"/>
      <c r="AQ2" s="65"/>
      <c r="AR2" s="65"/>
      <c r="AS2" s="65"/>
    </row>
    <row r="3" spans="1:52" s="38" customFormat="1" ht="13.5" customHeight="1">
      <c r="A3" s="136"/>
      <c r="B3" s="136"/>
      <c r="C3" s="136"/>
      <c r="D3" s="136"/>
      <c r="E3" s="136"/>
      <c r="F3" s="137" t="s">
        <v>277</v>
      </c>
      <c r="G3" s="137"/>
      <c r="H3" s="137"/>
      <c r="I3" s="138" t="s">
        <v>278</v>
      </c>
      <c r="J3" s="138"/>
      <c r="K3" s="138"/>
      <c r="L3" s="138"/>
      <c r="M3" s="138"/>
      <c r="N3" s="138"/>
      <c r="O3" s="138"/>
      <c r="P3" s="115"/>
      <c r="Q3" s="115"/>
      <c r="R3" s="115"/>
      <c r="T3" s="116" t="s">
        <v>279</v>
      </c>
      <c r="U3" s="116"/>
      <c r="V3" s="116"/>
      <c r="W3" s="116"/>
      <c r="X3" s="116"/>
      <c r="Y3" s="116" t="s">
        <v>280</v>
      </c>
      <c r="Z3" s="117"/>
      <c r="AA3" s="117"/>
      <c r="AB3" s="117"/>
      <c r="AC3" s="117"/>
      <c r="AD3" s="117"/>
      <c r="AE3" s="117"/>
      <c r="AF3" s="121" t="s">
        <v>0</v>
      </c>
      <c r="AG3" s="119"/>
      <c r="AH3" s="119"/>
      <c r="AI3" s="119"/>
      <c r="AJ3" s="119"/>
      <c r="AK3" s="120"/>
    </row>
    <row r="4" spans="1:52" s="38" customFormat="1" ht="13.5" customHeight="1">
      <c r="A4" s="114" t="s">
        <v>384</v>
      </c>
      <c r="B4" s="114"/>
      <c r="C4" s="114"/>
      <c r="D4" s="114"/>
      <c r="E4" s="114"/>
      <c r="F4" s="114" t="str">
        <f>IF(No.1!F4="","",No.1!F4)</f>
        <v/>
      </c>
      <c r="G4" s="114"/>
      <c r="H4" s="114"/>
      <c r="I4" s="114" t="str">
        <f>IF(No.1!I4="","",No.1!I4)</f>
        <v/>
      </c>
      <c r="J4" s="114"/>
      <c r="K4" s="114"/>
      <c r="L4" s="114"/>
      <c r="M4" s="114"/>
      <c r="N4" s="114"/>
      <c r="O4" s="114"/>
      <c r="P4" s="115"/>
      <c r="Q4" s="115"/>
      <c r="R4" s="115"/>
      <c r="T4" s="76" t="str">
        <f>IF(No.1!AB4="","",No.1!AB4)</f>
        <v/>
      </c>
      <c r="U4" s="116" t="str">
        <f>IF(No.1!AC4="","",No.1!AC4)</f>
        <v/>
      </c>
      <c r="V4" s="116"/>
      <c r="W4" s="116"/>
      <c r="X4" s="116"/>
      <c r="Y4" s="76" t="str">
        <f>IF(No.1!AG4="","",No.1!AG4)</f>
        <v/>
      </c>
      <c r="Z4" s="114" t="str">
        <f>IF(No.1!AH4="","",No.1!AH4)</f>
        <v/>
      </c>
      <c r="AA4" s="117"/>
      <c r="AB4" s="117"/>
      <c r="AC4" s="117"/>
      <c r="AD4" s="117"/>
      <c r="AE4" s="117"/>
      <c r="AF4" s="76" t="str">
        <f>IF(No.1!AN4="","",No.1!AN4)</f>
        <v/>
      </c>
      <c r="AG4" s="118" t="str">
        <f>IF(No.1!AO4="","",No.1!AO4)</f>
        <v/>
      </c>
      <c r="AH4" s="119"/>
      <c r="AI4" s="119"/>
      <c r="AJ4" s="119"/>
      <c r="AK4" s="120"/>
    </row>
    <row r="5" spans="1:52" s="38" customFormat="1" ht="13.5" customHeight="1">
      <c r="A5" s="114" t="s">
        <v>268</v>
      </c>
      <c r="B5" s="114"/>
      <c r="C5" s="114"/>
      <c r="D5" s="114"/>
      <c r="E5" s="114"/>
      <c r="F5" s="114" t="str">
        <f>IF(No.1!F5="","",No.1!F5)</f>
        <v/>
      </c>
      <c r="G5" s="114"/>
      <c r="H5" s="114"/>
      <c r="I5" s="114" t="str">
        <f>IF(No.1!I5="","",No.1!I5)</f>
        <v/>
      </c>
      <c r="J5" s="114"/>
      <c r="K5" s="114"/>
      <c r="L5" s="114"/>
      <c r="M5" s="114"/>
      <c r="N5" s="114"/>
      <c r="O5" s="114"/>
      <c r="P5" s="115"/>
      <c r="Q5" s="115"/>
      <c r="R5" s="115"/>
    </row>
    <row r="6" spans="1:52" s="38" customFormat="1" ht="13.5" customHeight="1">
      <c r="A6" s="40"/>
      <c r="H6" s="41"/>
    </row>
    <row r="7" spans="1:52" s="38" customFormat="1" ht="13.5" customHeight="1">
      <c r="A7" s="4" t="s">
        <v>37</v>
      </c>
      <c r="H7" s="41"/>
    </row>
    <row r="8" spans="1:52" ht="13.5" customHeight="1">
      <c r="A8" s="1" t="s">
        <v>84</v>
      </c>
      <c r="P8" s="2"/>
      <c r="AH8" s="2" t="s">
        <v>85</v>
      </c>
      <c r="AK8" s="1" t="s">
        <v>86</v>
      </c>
      <c r="AZ8" s="2" t="s">
        <v>3</v>
      </c>
    </row>
    <row r="9" spans="1:52" ht="13.5" customHeight="1">
      <c r="A9" s="127" t="s">
        <v>41</v>
      </c>
      <c r="B9" s="128"/>
      <c r="C9" s="128"/>
      <c r="D9" s="128"/>
      <c r="E9" s="128"/>
      <c r="F9" s="128"/>
      <c r="G9" s="129"/>
      <c r="H9" s="286" t="s">
        <v>87</v>
      </c>
      <c r="I9" s="287"/>
      <c r="J9" s="287"/>
      <c r="K9" s="287"/>
      <c r="L9" s="287"/>
      <c r="M9" s="287"/>
      <c r="N9" s="287"/>
      <c r="O9" s="287"/>
      <c r="P9" s="288"/>
      <c r="Q9" s="286" t="s">
        <v>88</v>
      </c>
      <c r="R9" s="287"/>
      <c r="S9" s="287"/>
      <c r="T9" s="287"/>
      <c r="U9" s="287"/>
      <c r="V9" s="287"/>
      <c r="W9" s="287"/>
      <c r="X9" s="287"/>
      <c r="Y9" s="288"/>
      <c r="Z9" s="286" t="s">
        <v>7</v>
      </c>
      <c r="AA9" s="287"/>
      <c r="AB9" s="287"/>
      <c r="AC9" s="287"/>
      <c r="AD9" s="287"/>
      <c r="AE9" s="287"/>
      <c r="AF9" s="287"/>
      <c r="AG9" s="287"/>
      <c r="AH9" s="288"/>
      <c r="AK9" s="234" t="s">
        <v>41</v>
      </c>
      <c r="AL9" s="235"/>
      <c r="AM9" s="235"/>
      <c r="AN9" s="235"/>
      <c r="AO9" s="235"/>
      <c r="AP9" s="235"/>
      <c r="AQ9" s="236"/>
      <c r="AR9" s="237" t="s">
        <v>267</v>
      </c>
      <c r="AS9" s="230"/>
      <c r="AT9" s="231"/>
      <c r="AU9" s="229" t="s">
        <v>269</v>
      </c>
      <c r="AV9" s="230"/>
      <c r="AW9" s="231"/>
      <c r="AX9" s="232" t="s">
        <v>8</v>
      </c>
      <c r="AY9" s="229"/>
      <c r="AZ9" s="233"/>
    </row>
    <row r="10" spans="1:52" ht="13.5" customHeight="1">
      <c r="A10" s="130"/>
      <c r="B10" s="131"/>
      <c r="C10" s="131"/>
      <c r="D10" s="131"/>
      <c r="E10" s="131"/>
      <c r="F10" s="131"/>
      <c r="G10" s="132"/>
      <c r="H10" s="125" t="s">
        <v>267</v>
      </c>
      <c r="I10" s="123"/>
      <c r="J10" s="126"/>
      <c r="K10" s="122" t="s">
        <v>269</v>
      </c>
      <c r="L10" s="123"/>
      <c r="M10" s="126"/>
      <c r="N10" s="227" t="s">
        <v>8</v>
      </c>
      <c r="O10" s="122"/>
      <c r="P10" s="228"/>
      <c r="Q10" s="125" t="s">
        <v>267</v>
      </c>
      <c r="R10" s="123"/>
      <c r="S10" s="126"/>
      <c r="T10" s="122" t="s">
        <v>269</v>
      </c>
      <c r="U10" s="123"/>
      <c r="V10" s="126"/>
      <c r="W10" s="227" t="s">
        <v>8</v>
      </c>
      <c r="X10" s="122"/>
      <c r="Y10" s="228"/>
      <c r="Z10" s="125" t="s">
        <v>267</v>
      </c>
      <c r="AA10" s="123"/>
      <c r="AB10" s="126"/>
      <c r="AC10" s="122" t="s">
        <v>269</v>
      </c>
      <c r="AD10" s="123"/>
      <c r="AE10" s="126"/>
      <c r="AF10" s="227" t="s">
        <v>8</v>
      </c>
      <c r="AG10" s="122"/>
      <c r="AH10" s="228"/>
      <c r="AK10" s="289" t="s">
        <v>89</v>
      </c>
      <c r="AL10" s="251"/>
      <c r="AM10" s="251"/>
      <c r="AN10" s="251"/>
      <c r="AO10" s="251"/>
      <c r="AP10" s="251"/>
      <c r="AQ10" s="252"/>
      <c r="AR10" s="173"/>
      <c r="AS10" s="174"/>
      <c r="AT10" s="174"/>
      <c r="AU10" s="172"/>
      <c r="AV10" s="172"/>
      <c r="AW10" s="172"/>
      <c r="AX10" s="224" t="str">
        <f t="shared" ref="AX10:AX16" si="0">IF(AR10="-", "-", IF(AU10="-", "-", IF(ABS(AU10)=0, "-", ROUND(100*(AR10-AU10)/ABS(AU10),10))))</f>
        <v>-</v>
      </c>
      <c r="AY10" s="225"/>
      <c r="AZ10" s="226"/>
    </row>
    <row r="11" spans="1:52" ht="13.5" customHeight="1">
      <c r="A11" s="290" t="s">
        <v>90</v>
      </c>
      <c r="B11" s="293" t="s">
        <v>91</v>
      </c>
      <c r="C11" s="296" t="s">
        <v>92</v>
      </c>
      <c r="D11" s="297"/>
      <c r="E11" s="297"/>
      <c r="F11" s="297"/>
      <c r="G11" s="298"/>
      <c r="H11" s="299"/>
      <c r="I11" s="300"/>
      <c r="J11" s="300"/>
      <c r="K11" s="301"/>
      <c r="L11" s="302"/>
      <c r="M11" s="303"/>
      <c r="N11" s="224" t="str">
        <f t="shared" ref="N11:N19" si="1">IF(H11="-", "-", IF(K11="-", "-", IF(ABS(K11)=0, "-", ROUND(100*(H11-K11)/ABS(K11),10))))</f>
        <v>-</v>
      </c>
      <c r="O11" s="225"/>
      <c r="P11" s="226"/>
      <c r="Q11" s="304"/>
      <c r="R11" s="305"/>
      <c r="S11" s="306"/>
      <c r="T11" s="301"/>
      <c r="U11" s="302"/>
      <c r="V11" s="303"/>
      <c r="W11" s="224" t="str">
        <f t="shared" ref="W11:W19" si="2">IF(Q11="-", "-", IF(T11="-", "-", IF(ABS(T11)=0, "-", ROUND(100*(Q11-T11)/ABS(T11),10))))</f>
        <v>-</v>
      </c>
      <c r="X11" s="225"/>
      <c r="Y11" s="226"/>
      <c r="Z11" s="304"/>
      <c r="AA11" s="305"/>
      <c r="AB11" s="306"/>
      <c r="AC11" s="301"/>
      <c r="AD11" s="302"/>
      <c r="AE11" s="303"/>
      <c r="AF11" s="224" t="str">
        <f t="shared" ref="AF11:AF19" si="3">IF(Z11="-", "-", IF(AC11="-", "-", IF(ABS(AC11)=0, "-", ROUND(100*(Z11-AC11)/ABS(AC11),10))))</f>
        <v>-</v>
      </c>
      <c r="AG11" s="225"/>
      <c r="AH11" s="226"/>
      <c r="AK11" s="265" t="s">
        <v>93</v>
      </c>
      <c r="AL11" s="162"/>
      <c r="AM11" s="162"/>
      <c r="AN11" s="162"/>
      <c r="AO11" s="162"/>
      <c r="AP11" s="162"/>
      <c r="AQ11" s="163"/>
      <c r="AR11" s="168"/>
      <c r="AS11" s="151"/>
      <c r="AT11" s="151"/>
      <c r="AU11" s="151"/>
      <c r="AV11" s="151"/>
      <c r="AW11" s="151"/>
      <c r="AX11" s="221" t="str">
        <f t="shared" si="0"/>
        <v>-</v>
      </c>
      <c r="AY11" s="222"/>
      <c r="AZ11" s="223"/>
    </row>
    <row r="12" spans="1:52" ht="13.5" customHeight="1">
      <c r="A12" s="291"/>
      <c r="B12" s="294"/>
      <c r="C12" s="148" t="s">
        <v>94</v>
      </c>
      <c r="D12" s="149"/>
      <c r="E12" s="149"/>
      <c r="F12" s="149"/>
      <c r="G12" s="150"/>
      <c r="H12" s="310"/>
      <c r="I12" s="246"/>
      <c r="J12" s="246"/>
      <c r="K12" s="307"/>
      <c r="L12" s="308"/>
      <c r="M12" s="309"/>
      <c r="N12" s="221" t="str">
        <f t="shared" si="1"/>
        <v>-</v>
      </c>
      <c r="O12" s="222"/>
      <c r="P12" s="223"/>
      <c r="Q12" s="311"/>
      <c r="R12" s="308"/>
      <c r="S12" s="309"/>
      <c r="T12" s="307"/>
      <c r="U12" s="308"/>
      <c r="V12" s="309"/>
      <c r="W12" s="221" t="str">
        <f t="shared" si="2"/>
        <v>-</v>
      </c>
      <c r="X12" s="222"/>
      <c r="Y12" s="223"/>
      <c r="Z12" s="311"/>
      <c r="AA12" s="308"/>
      <c r="AB12" s="309"/>
      <c r="AC12" s="307"/>
      <c r="AD12" s="308"/>
      <c r="AE12" s="309"/>
      <c r="AF12" s="221" t="str">
        <f t="shared" si="3"/>
        <v>-</v>
      </c>
      <c r="AG12" s="222"/>
      <c r="AH12" s="223"/>
      <c r="AK12" s="265" t="s">
        <v>95</v>
      </c>
      <c r="AL12" s="162"/>
      <c r="AM12" s="162"/>
      <c r="AN12" s="162"/>
      <c r="AO12" s="162"/>
      <c r="AP12" s="162"/>
      <c r="AQ12" s="163"/>
      <c r="AR12" s="168"/>
      <c r="AS12" s="151"/>
      <c r="AT12" s="151"/>
      <c r="AU12" s="151"/>
      <c r="AV12" s="151"/>
      <c r="AW12" s="151"/>
      <c r="AX12" s="221" t="str">
        <f t="shared" si="0"/>
        <v>-</v>
      </c>
      <c r="AY12" s="222"/>
      <c r="AZ12" s="223"/>
    </row>
    <row r="13" spans="1:52" ht="13.5" customHeight="1">
      <c r="A13" s="292"/>
      <c r="B13" s="295"/>
      <c r="C13" s="320" t="s">
        <v>96</v>
      </c>
      <c r="D13" s="321"/>
      <c r="E13" s="321"/>
      <c r="F13" s="321"/>
      <c r="G13" s="322"/>
      <c r="H13" s="142"/>
      <c r="I13" s="143"/>
      <c r="J13" s="143"/>
      <c r="K13" s="319"/>
      <c r="L13" s="317"/>
      <c r="M13" s="318"/>
      <c r="N13" s="139" t="str">
        <f t="shared" si="1"/>
        <v>-</v>
      </c>
      <c r="O13" s="140"/>
      <c r="P13" s="141"/>
      <c r="Q13" s="323"/>
      <c r="R13" s="324"/>
      <c r="S13" s="147"/>
      <c r="T13" s="319"/>
      <c r="U13" s="317"/>
      <c r="V13" s="318"/>
      <c r="W13" s="139" t="str">
        <f t="shared" si="2"/>
        <v>-</v>
      </c>
      <c r="X13" s="140"/>
      <c r="Y13" s="141"/>
      <c r="Z13" s="316"/>
      <c r="AA13" s="317"/>
      <c r="AB13" s="318"/>
      <c r="AC13" s="319"/>
      <c r="AD13" s="317"/>
      <c r="AE13" s="318"/>
      <c r="AF13" s="139" t="str">
        <f t="shared" si="3"/>
        <v>-</v>
      </c>
      <c r="AG13" s="140"/>
      <c r="AH13" s="141"/>
      <c r="AK13" s="244" t="s">
        <v>97</v>
      </c>
      <c r="AL13" s="153"/>
      <c r="AM13" s="153"/>
      <c r="AN13" s="153"/>
      <c r="AO13" s="153"/>
      <c r="AP13" s="153"/>
      <c r="AQ13" s="154"/>
      <c r="AR13" s="168"/>
      <c r="AS13" s="151"/>
      <c r="AT13" s="151"/>
      <c r="AU13" s="151"/>
      <c r="AV13" s="151"/>
      <c r="AW13" s="151"/>
      <c r="AX13" s="221" t="str">
        <f t="shared" si="0"/>
        <v>-</v>
      </c>
      <c r="AY13" s="222"/>
      <c r="AZ13" s="223"/>
    </row>
    <row r="14" spans="1:52" ht="13.5" customHeight="1">
      <c r="A14" s="312" t="s">
        <v>98</v>
      </c>
      <c r="B14" s="313"/>
      <c r="C14" s="296" t="s">
        <v>92</v>
      </c>
      <c r="D14" s="297"/>
      <c r="E14" s="297"/>
      <c r="F14" s="297"/>
      <c r="G14" s="298"/>
      <c r="H14" s="299"/>
      <c r="I14" s="300"/>
      <c r="J14" s="300"/>
      <c r="K14" s="301"/>
      <c r="L14" s="302"/>
      <c r="M14" s="303"/>
      <c r="N14" s="224" t="str">
        <f t="shared" si="1"/>
        <v>-</v>
      </c>
      <c r="O14" s="225"/>
      <c r="P14" s="226"/>
      <c r="Q14" s="304"/>
      <c r="R14" s="305"/>
      <c r="S14" s="306"/>
      <c r="T14" s="301"/>
      <c r="U14" s="302"/>
      <c r="V14" s="303"/>
      <c r="W14" s="224" t="str">
        <f t="shared" si="2"/>
        <v>-</v>
      </c>
      <c r="X14" s="225"/>
      <c r="Y14" s="226"/>
      <c r="Z14" s="325"/>
      <c r="AA14" s="326"/>
      <c r="AB14" s="274"/>
      <c r="AC14" s="301"/>
      <c r="AD14" s="302"/>
      <c r="AE14" s="303"/>
      <c r="AF14" s="224" t="str">
        <f t="shared" si="3"/>
        <v>-</v>
      </c>
      <c r="AG14" s="225"/>
      <c r="AH14" s="226"/>
      <c r="AK14" s="72"/>
      <c r="AL14" s="161" t="s">
        <v>99</v>
      </c>
      <c r="AM14" s="162"/>
      <c r="AN14" s="162"/>
      <c r="AO14" s="162"/>
      <c r="AP14" s="162"/>
      <c r="AQ14" s="163"/>
      <c r="AR14" s="168"/>
      <c r="AS14" s="151"/>
      <c r="AT14" s="151"/>
      <c r="AU14" s="151"/>
      <c r="AV14" s="151"/>
      <c r="AW14" s="151"/>
      <c r="AX14" s="221" t="str">
        <f t="shared" si="0"/>
        <v>-</v>
      </c>
      <c r="AY14" s="222"/>
      <c r="AZ14" s="223"/>
    </row>
    <row r="15" spans="1:52" ht="13.5" customHeight="1">
      <c r="A15" s="314"/>
      <c r="B15" s="315"/>
      <c r="C15" s="161" t="s">
        <v>100</v>
      </c>
      <c r="D15" s="162"/>
      <c r="E15" s="162"/>
      <c r="F15" s="162"/>
      <c r="G15" s="163"/>
      <c r="H15" s="310"/>
      <c r="I15" s="246"/>
      <c r="J15" s="246"/>
      <c r="K15" s="246"/>
      <c r="L15" s="246"/>
      <c r="M15" s="246"/>
      <c r="N15" s="221" t="str">
        <f t="shared" si="1"/>
        <v>-</v>
      </c>
      <c r="O15" s="222"/>
      <c r="P15" s="223"/>
      <c r="Q15" s="311"/>
      <c r="R15" s="308"/>
      <c r="S15" s="309"/>
      <c r="T15" s="246"/>
      <c r="U15" s="246"/>
      <c r="V15" s="246"/>
      <c r="W15" s="221" t="str">
        <f t="shared" si="2"/>
        <v>-</v>
      </c>
      <c r="X15" s="222"/>
      <c r="Y15" s="223"/>
      <c r="Z15" s="311"/>
      <c r="AA15" s="308"/>
      <c r="AB15" s="309"/>
      <c r="AC15" s="246"/>
      <c r="AD15" s="246"/>
      <c r="AE15" s="246"/>
      <c r="AF15" s="221" t="str">
        <f t="shared" si="3"/>
        <v>-</v>
      </c>
      <c r="AG15" s="222"/>
      <c r="AH15" s="223"/>
      <c r="AK15" s="244" t="s">
        <v>101</v>
      </c>
      <c r="AL15" s="153"/>
      <c r="AM15" s="153"/>
      <c r="AN15" s="153"/>
      <c r="AO15" s="153"/>
      <c r="AP15" s="153"/>
      <c r="AQ15" s="154"/>
      <c r="AR15" s="168"/>
      <c r="AS15" s="151"/>
      <c r="AT15" s="151"/>
      <c r="AU15" s="151"/>
      <c r="AV15" s="151"/>
      <c r="AW15" s="151"/>
      <c r="AX15" s="221" t="str">
        <f t="shared" si="0"/>
        <v>-</v>
      </c>
      <c r="AY15" s="222"/>
      <c r="AZ15" s="223"/>
    </row>
    <row r="16" spans="1:52" ht="13.5" customHeight="1">
      <c r="A16" s="314"/>
      <c r="B16" s="315"/>
      <c r="C16" s="161" t="s">
        <v>102</v>
      </c>
      <c r="D16" s="162"/>
      <c r="E16" s="162"/>
      <c r="F16" s="162"/>
      <c r="G16" s="163"/>
      <c r="H16" s="310"/>
      <c r="I16" s="246"/>
      <c r="J16" s="246"/>
      <c r="K16" s="246"/>
      <c r="L16" s="246"/>
      <c r="M16" s="246"/>
      <c r="N16" s="221" t="str">
        <f t="shared" si="1"/>
        <v>-</v>
      </c>
      <c r="O16" s="222"/>
      <c r="P16" s="223"/>
      <c r="Q16" s="311"/>
      <c r="R16" s="308"/>
      <c r="S16" s="309"/>
      <c r="T16" s="246"/>
      <c r="U16" s="246"/>
      <c r="V16" s="246"/>
      <c r="W16" s="221" t="str">
        <f t="shared" si="2"/>
        <v>-</v>
      </c>
      <c r="X16" s="222"/>
      <c r="Y16" s="223"/>
      <c r="Z16" s="311"/>
      <c r="AA16" s="308"/>
      <c r="AB16" s="309"/>
      <c r="AC16" s="246"/>
      <c r="AD16" s="246"/>
      <c r="AE16" s="246"/>
      <c r="AF16" s="221" t="str">
        <f t="shared" si="3"/>
        <v>-</v>
      </c>
      <c r="AG16" s="222"/>
      <c r="AH16" s="223"/>
      <c r="AK16" s="32"/>
      <c r="AL16" s="181" t="s">
        <v>99</v>
      </c>
      <c r="AM16" s="182"/>
      <c r="AN16" s="182"/>
      <c r="AO16" s="182"/>
      <c r="AP16" s="182"/>
      <c r="AQ16" s="183"/>
      <c r="AR16" s="269"/>
      <c r="AS16" s="270"/>
      <c r="AT16" s="270"/>
      <c r="AU16" s="108"/>
      <c r="AV16" s="108"/>
      <c r="AW16" s="108"/>
      <c r="AX16" s="253" t="str">
        <f t="shared" si="0"/>
        <v>-</v>
      </c>
      <c r="AY16" s="254"/>
      <c r="AZ16" s="255"/>
    </row>
    <row r="17" spans="1:52" ht="13.5" customHeight="1">
      <c r="A17" s="314"/>
      <c r="B17" s="315"/>
      <c r="C17" s="161" t="s">
        <v>96</v>
      </c>
      <c r="D17" s="162"/>
      <c r="E17" s="162"/>
      <c r="F17" s="162"/>
      <c r="G17" s="163"/>
      <c r="H17" s="168"/>
      <c r="I17" s="151"/>
      <c r="J17" s="151"/>
      <c r="K17" s="151"/>
      <c r="L17" s="151"/>
      <c r="M17" s="151"/>
      <c r="N17" s="221" t="str">
        <f t="shared" si="1"/>
        <v>-</v>
      </c>
      <c r="O17" s="222"/>
      <c r="P17" s="223"/>
      <c r="Q17" s="327"/>
      <c r="R17" s="328"/>
      <c r="S17" s="164"/>
      <c r="T17" s="151"/>
      <c r="U17" s="151"/>
      <c r="V17" s="151"/>
      <c r="W17" s="221" t="str">
        <f t="shared" si="2"/>
        <v>-</v>
      </c>
      <c r="X17" s="222"/>
      <c r="Y17" s="223"/>
      <c r="Z17" s="327"/>
      <c r="AA17" s="328"/>
      <c r="AB17" s="164"/>
      <c r="AC17" s="151"/>
      <c r="AD17" s="151"/>
      <c r="AE17" s="151"/>
      <c r="AF17" s="221" t="str">
        <f t="shared" si="3"/>
        <v>-</v>
      </c>
      <c r="AG17" s="222"/>
      <c r="AH17" s="223"/>
    </row>
    <row r="18" spans="1:52" ht="13.5" customHeight="1">
      <c r="A18" s="314"/>
      <c r="B18" s="315"/>
      <c r="C18" s="337" t="s">
        <v>103</v>
      </c>
      <c r="D18" s="338"/>
      <c r="E18" s="338"/>
      <c r="F18" s="338"/>
      <c r="G18" s="339"/>
      <c r="H18" s="245"/>
      <c r="I18" s="240"/>
      <c r="J18" s="240"/>
      <c r="K18" s="340"/>
      <c r="L18" s="340"/>
      <c r="M18" s="340"/>
      <c r="N18" s="139" t="str">
        <f t="shared" si="1"/>
        <v>-</v>
      </c>
      <c r="O18" s="140"/>
      <c r="P18" s="141"/>
      <c r="Q18" s="325"/>
      <c r="R18" s="326"/>
      <c r="S18" s="274"/>
      <c r="T18" s="340"/>
      <c r="U18" s="340"/>
      <c r="V18" s="340"/>
      <c r="W18" s="139" t="str">
        <f t="shared" si="2"/>
        <v>-</v>
      </c>
      <c r="X18" s="140"/>
      <c r="Y18" s="141"/>
      <c r="Z18" s="341"/>
      <c r="AA18" s="342"/>
      <c r="AB18" s="343"/>
      <c r="AC18" s="340"/>
      <c r="AD18" s="340"/>
      <c r="AE18" s="340"/>
      <c r="AF18" s="139" t="str">
        <f t="shared" si="3"/>
        <v>-</v>
      </c>
      <c r="AG18" s="140"/>
      <c r="AH18" s="141"/>
      <c r="AK18" s="1" t="s">
        <v>104</v>
      </c>
      <c r="AR18" s="50"/>
      <c r="AS18" s="50"/>
      <c r="AT18" s="50"/>
      <c r="AU18" s="50"/>
      <c r="AV18" s="50"/>
      <c r="AW18" s="50"/>
      <c r="AZ18" s="2" t="s">
        <v>3</v>
      </c>
    </row>
    <row r="19" spans="1:52" ht="13.5" customHeight="1">
      <c r="A19" s="329" t="s">
        <v>105</v>
      </c>
      <c r="B19" s="330"/>
      <c r="C19" s="330"/>
      <c r="D19" s="330"/>
      <c r="E19" s="330"/>
      <c r="F19" s="330"/>
      <c r="G19" s="331"/>
      <c r="H19" s="332"/>
      <c r="I19" s="333"/>
      <c r="J19" s="333"/>
      <c r="K19" s="333"/>
      <c r="L19" s="333"/>
      <c r="M19" s="333"/>
      <c r="N19" s="215" t="str">
        <f t="shared" si="1"/>
        <v>-</v>
      </c>
      <c r="O19" s="216"/>
      <c r="P19" s="217"/>
      <c r="Q19" s="334"/>
      <c r="R19" s="335"/>
      <c r="S19" s="336"/>
      <c r="T19" s="333"/>
      <c r="U19" s="333"/>
      <c r="V19" s="333"/>
      <c r="W19" s="215" t="str">
        <f t="shared" si="2"/>
        <v>-</v>
      </c>
      <c r="X19" s="216"/>
      <c r="Y19" s="217"/>
      <c r="Z19" s="334"/>
      <c r="AA19" s="335"/>
      <c r="AB19" s="336"/>
      <c r="AC19" s="333"/>
      <c r="AD19" s="333"/>
      <c r="AE19" s="333"/>
      <c r="AF19" s="215" t="str">
        <f t="shared" si="3"/>
        <v>-</v>
      </c>
      <c r="AG19" s="216"/>
      <c r="AH19" s="217"/>
      <c r="AK19" s="234" t="s">
        <v>41</v>
      </c>
      <c r="AL19" s="235"/>
      <c r="AM19" s="235"/>
      <c r="AN19" s="235"/>
      <c r="AO19" s="235"/>
      <c r="AP19" s="235"/>
      <c r="AQ19" s="236"/>
      <c r="AR19" s="344" t="s">
        <v>267</v>
      </c>
      <c r="AS19" s="345"/>
      <c r="AT19" s="346"/>
      <c r="AU19" s="276" t="s">
        <v>269</v>
      </c>
      <c r="AV19" s="345"/>
      <c r="AW19" s="346"/>
      <c r="AX19" s="232" t="s">
        <v>8</v>
      </c>
      <c r="AY19" s="229"/>
      <c r="AZ19" s="233"/>
    </row>
    <row r="20" spans="1:52" ht="13.5" customHeight="1">
      <c r="A20" s="3" t="s">
        <v>106</v>
      </c>
      <c r="B20" s="53"/>
      <c r="C20" s="53"/>
      <c r="D20" s="53"/>
      <c r="E20" s="53"/>
      <c r="F20" s="53"/>
      <c r="G20" s="53"/>
      <c r="H20" s="3"/>
      <c r="I20" s="70"/>
      <c r="J20" s="70"/>
      <c r="K20" s="70"/>
      <c r="L20" s="70"/>
      <c r="M20" s="70"/>
      <c r="N20" s="71"/>
      <c r="O20" s="71"/>
      <c r="P20" s="71"/>
      <c r="Q20" s="70"/>
      <c r="R20" s="70"/>
      <c r="S20" s="70"/>
      <c r="T20" s="70"/>
      <c r="U20" s="70"/>
      <c r="V20" s="70"/>
      <c r="W20" s="71"/>
      <c r="X20" s="71"/>
      <c r="Y20" s="71"/>
      <c r="Z20" s="70"/>
      <c r="AA20" s="70"/>
      <c r="AB20" s="70"/>
      <c r="AC20" s="70"/>
      <c r="AD20" s="70"/>
      <c r="AE20" s="70"/>
      <c r="AF20" s="71"/>
      <c r="AG20" s="71"/>
      <c r="AH20" s="71"/>
      <c r="AK20" s="266" t="s">
        <v>107</v>
      </c>
      <c r="AL20" s="267"/>
      <c r="AM20" s="267"/>
      <c r="AN20" s="267"/>
      <c r="AO20" s="267"/>
      <c r="AP20" s="267"/>
      <c r="AQ20" s="267"/>
      <c r="AR20" s="202"/>
      <c r="AS20" s="201"/>
      <c r="AT20" s="201"/>
      <c r="AU20" s="201"/>
      <c r="AV20" s="201"/>
      <c r="AW20" s="201"/>
      <c r="AX20" s="253" t="str">
        <f>IF(AR20="-", "-", IF(AU20="-", "-", IF(ABS(AU20)=0, "-", ROUND(100*(AR20-AU20)/ABS(AU20),10))))</f>
        <v>-</v>
      </c>
      <c r="AY20" s="254"/>
      <c r="AZ20" s="255"/>
    </row>
    <row r="22" spans="1:52" ht="13.5" customHeight="1">
      <c r="A22" s="1" t="s">
        <v>108</v>
      </c>
      <c r="P22" s="2" t="s">
        <v>109</v>
      </c>
      <c r="S22" s="1" t="s">
        <v>110</v>
      </c>
      <c r="AD22" s="3"/>
      <c r="AE22" s="3"/>
      <c r="AF22" s="3"/>
      <c r="AG22" s="3"/>
      <c r="AH22" s="3"/>
    </row>
    <row r="23" spans="1:52" ht="13.5" customHeight="1">
      <c r="A23" s="234" t="s">
        <v>41</v>
      </c>
      <c r="B23" s="235"/>
      <c r="C23" s="235"/>
      <c r="D23" s="235"/>
      <c r="E23" s="235"/>
      <c r="F23" s="235"/>
      <c r="G23" s="236"/>
      <c r="H23" s="237" t="s">
        <v>267</v>
      </c>
      <c r="I23" s="230"/>
      <c r="J23" s="231"/>
      <c r="K23" s="229" t="s">
        <v>269</v>
      </c>
      <c r="L23" s="230"/>
      <c r="M23" s="231"/>
      <c r="N23" s="232" t="s">
        <v>8</v>
      </c>
      <c r="O23" s="229"/>
      <c r="P23" s="233"/>
      <c r="S23" s="1" t="s">
        <v>111</v>
      </c>
      <c r="AD23" s="3"/>
      <c r="AE23" s="3"/>
      <c r="AF23" s="3"/>
      <c r="AG23" s="3"/>
      <c r="AH23" s="2" t="s">
        <v>112</v>
      </c>
    </row>
    <row r="24" spans="1:52" ht="13.5" customHeight="1">
      <c r="A24" s="347" t="s">
        <v>113</v>
      </c>
      <c r="B24" s="348"/>
      <c r="C24" s="348"/>
      <c r="D24" s="348"/>
      <c r="E24" s="348"/>
      <c r="F24" s="348"/>
      <c r="G24" s="349"/>
      <c r="H24" s="299"/>
      <c r="I24" s="300"/>
      <c r="J24" s="300"/>
      <c r="K24" s="240"/>
      <c r="L24" s="240"/>
      <c r="M24" s="240"/>
      <c r="N24" s="224" t="str">
        <f t="shared" ref="N24:N29" si="4">IF(H24="-", "-", IF(K24="-", "-", IF(ABS(K24)=0, "-", ROUND(100*(H24-K24)/ABS(K24),10))))</f>
        <v>-</v>
      </c>
      <c r="O24" s="225"/>
      <c r="P24" s="226"/>
      <c r="S24" s="234"/>
      <c r="T24" s="235"/>
      <c r="U24" s="235"/>
      <c r="V24" s="235"/>
      <c r="W24" s="235"/>
      <c r="X24" s="235"/>
      <c r="Y24" s="236"/>
      <c r="Z24" s="237" t="s">
        <v>267</v>
      </c>
      <c r="AA24" s="230"/>
      <c r="AB24" s="231"/>
      <c r="AC24" s="229" t="s">
        <v>269</v>
      </c>
      <c r="AD24" s="230"/>
      <c r="AE24" s="231"/>
      <c r="AF24" s="232" t="s">
        <v>8</v>
      </c>
      <c r="AG24" s="229"/>
      <c r="AH24" s="233"/>
    </row>
    <row r="25" spans="1:52" ht="13.5" customHeight="1">
      <c r="A25" s="265" t="s">
        <v>114</v>
      </c>
      <c r="B25" s="162"/>
      <c r="C25" s="162"/>
      <c r="D25" s="162"/>
      <c r="E25" s="162"/>
      <c r="F25" s="162"/>
      <c r="G25" s="163"/>
      <c r="H25" s="310"/>
      <c r="I25" s="246"/>
      <c r="J25" s="246"/>
      <c r="K25" s="246"/>
      <c r="L25" s="246"/>
      <c r="M25" s="246"/>
      <c r="N25" s="221" t="str">
        <f t="shared" si="4"/>
        <v>-</v>
      </c>
      <c r="O25" s="222"/>
      <c r="P25" s="223"/>
      <c r="S25" s="289" t="s">
        <v>115</v>
      </c>
      <c r="T25" s="251"/>
      <c r="U25" s="251"/>
      <c r="V25" s="251"/>
      <c r="W25" s="251"/>
      <c r="X25" s="251"/>
      <c r="Y25" s="252"/>
      <c r="Z25" s="238"/>
      <c r="AA25" s="239"/>
      <c r="AB25" s="239"/>
      <c r="AC25" s="239"/>
      <c r="AD25" s="239"/>
      <c r="AE25" s="239"/>
      <c r="AF25" s="224" t="str">
        <f>IF(Z25="-", "-", IF(AC25="-", "-", IF(ABS(AC25)=0, "-", ROUND(100*(Z25-AC25)/ABS(AC25),10))))</f>
        <v>-</v>
      </c>
      <c r="AG25" s="225"/>
      <c r="AH25" s="226"/>
    </row>
    <row r="26" spans="1:52" ht="13.5" customHeight="1">
      <c r="A26" s="265" t="s">
        <v>116</v>
      </c>
      <c r="B26" s="162"/>
      <c r="C26" s="162"/>
      <c r="D26" s="162"/>
      <c r="E26" s="162"/>
      <c r="F26" s="162"/>
      <c r="G26" s="163"/>
      <c r="H26" s="310"/>
      <c r="I26" s="246"/>
      <c r="J26" s="246"/>
      <c r="K26" s="246"/>
      <c r="L26" s="246"/>
      <c r="M26" s="246"/>
      <c r="N26" s="221" t="str">
        <f t="shared" si="4"/>
        <v>-</v>
      </c>
      <c r="O26" s="222"/>
      <c r="P26" s="223"/>
      <c r="S26" s="256" t="s">
        <v>117</v>
      </c>
      <c r="T26" s="182"/>
      <c r="U26" s="182"/>
      <c r="V26" s="182"/>
      <c r="W26" s="182"/>
      <c r="X26" s="182"/>
      <c r="Y26" s="183"/>
      <c r="Z26" s="257"/>
      <c r="AA26" s="258"/>
      <c r="AB26" s="258"/>
      <c r="AC26" s="259"/>
      <c r="AD26" s="259"/>
      <c r="AE26" s="259"/>
      <c r="AF26" s="95" t="str">
        <f>IF(Z26="-", "-", IF(AC26="-", "-", IF(ABS(AC26)=0, "-", ROUND(100*(Z26-AC26)/ABS(AC26),10))))</f>
        <v>-</v>
      </c>
      <c r="AG26" s="96"/>
      <c r="AH26" s="97"/>
    </row>
    <row r="27" spans="1:52" ht="13.5" customHeight="1">
      <c r="A27" s="244" t="s">
        <v>266</v>
      </c>
      <c r="B27" s="153"/>
      <c r="C27" s="153"/>
      <c r="D27" s="153"/>
      <c r="E27" s="153"/>
      <c r="F27" s="153"/>
      <c r="G27" s="154"/>
      <c r="H27" s="310"/>
      <c r="I27" s="246"/>
      <c r="J27" s="246"/>
      <c r="K27" s="246"/>
      <c r="L27" s="246"/>
      <c r="M27" s="246"/>
      <c r="N27" s="221" t="str">
        <f t="shared" si="4"/>
        <v>-</v>
      </c>
      <c r="O27" s="222"/>
      <c r="P27" s="223"/>
    </row>
    <row r="28" spans="1:52" ht="13.5" customHeight="1">
      <c r="A28" s="244" t="s">
        <v>118</v>
      </c>
      <c r="B28" s="153"/>
      <c r="C28" s="153"/>
      <c r="D28" s="153"/>
      <c r="E28" s="153"/>
      <c r="F28" s="153"/>
      <c r="G28" s="154"/>
      <c r="H28" s="350"/>
      <c r="I28" s="351"/>
      <c r="J28" s="351"/>
      <c r="K28" s="340"/>
      <c r="L28" s="340"/>
      <c r="M28" s="340"/>
      <c r="N28" s="208" t="str">
        <f t="shared" si="4"/>
        <v>-</v>
      </c>
      <c r="O28" s="209"/>
      <c r="P28" s="210"/>
    </row>
    <row r="29" spans="1:52" ht="13.5" customHeight="1">
      <c r="A29" s="211" t="s">
        <v>7</v>
      </c>
      <c r="B29" s="212"/>
      <c r="C29" s="212"/>
      <c r="D29" s="212"/>
      <c r="E29" s="212"/>
      <c r="F29" s="212"/>
      <c r="G29" s="213"/>
      <c r="H29" s="332"/>
      <c r="I29" s="333"/>
      <c r="J29" s="333"/>
      <c r="K29" s="333"/>
      <c r="L29" s="333"/>
      <c r="M29" s="333"/>
      <c r="N29" s="215" t="str">
        <f t="shared" si="4"/>
        <v>-</v>
      </c>
      <c r="O29" s="216"/>
      <c r="P29" s="217"/>
    </row>
    <row r="31" spans="1:52" ht="13.5" customHeight="1">
      <c r="A31" s="1" t="s">
        <v>264</v>
      </c>
      <c r="B31" s="8"/>
      <c r="C31" s="8"/>
      <c r="D31" s="8"/>
      <c r="E31" s="8"/>
      <c r="F31" s="8"/>
      <c r="G31" s="8"/>
      <c r="H31" s="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 t="s">
        <v>119</v>
      </c>
    </row>
    <row r="32" spans="1:52" ht="13.5" customHeight="1">
      <c r="A32" s="127" t="s">
        <v>41</v>
      </c>
      <c r="B32" s="128"/>
      <c r="C32" s="128"/>
      <c r="D32" s="128"/>
      <c r="E32" s="128"/>
      <c r="F32" s="128"/>
      <c r="G32" s="129"/>
      <c r="H32" s="354" t="s">
        <v>120</v>
      </c>
      <c r="I32" s="354"/>
      <c r="J32" s="354"/>
      <c r="K32" s="354"/>
      <c r="L32" s="354"/>
      <c r="M32" s="354"/>
      <c r="N32" s="354"/>
      <c r="O32" s="354"/>
      <c r="P32" s="354"/>
      <c r="Q32" s="355" t="s">
        <v>121</v>
      </c>
      <c r="R32" s="354"/>
      <c r="S32" s="354"/>
      <c r="T32" s="354"/>
      <c r="U32" s="354"/>
      <c r="V32" s="354"/>
      <c r="W32" s="354"/>
      <c r="X32" s="354"/>
      <c r="Y32" s="356"/>
      <c r="Z32" s="355" t="s">
        <v>122</v>
      </c>
      <c r="AA32" s="354"/>
      <c r="AB32" s="354"/>
      <c r="AC32" s="354"/>
      <c r="AD32" s="354"/>
      <c r="AE32" s="354"/>
      <c r="AF32" s="354"/>
      <c r="AG32" s="354"/>
      <c r="AH32" s="356"/>
    </row>
    <row r="33" spans="1:34" ht="13.5" customHeight="1">
      <c r="A33" s="130"/>
      <c r="B33" s="131"/>
      <c r="C33" s="131"/>
      <c r="D33" s="131"/>
      <c r="E33" s="131"/>
      <c r="F33" s="131"/>
      <c r="G33" s="132"/>
      <c r="H33" s="125" t="s">
        <v>267</v>
      </c>
      <c r="I33" s="123"/>
      <c r="J33" s="126"/>
      <c r="K33" s="122" t="s">
        <v>269</v>
      </c>
      <c r="L33" s="123"/>
      <c r="M33" s="126"/>
      <c r="N33" s="227" t="s">
        <v>8</v>
      </c>
      <c r="O33" s="122"/>
      <c r="P33" s="228"/>
      <c r="Q33" s="125" t="s">
        <v>267</v>
      </c>
      <c r="R33" s="123"/>
      <c r="S33" s="126"/>
      <c r="T33" s="122" t="s">
        <v>269</v>
      </c>
      <c r="U33" s="123"/>
      <c r="V33" s="126"/>
      <c r="W33" s="227" t="s">
        <v>8</v>
      </c>
      <c r="X33" s="122"/>
      <c r="Y33" s="228"/>
      <c r="Z33" s="125" t="s">
        <v>267</v>
      </c>
      <c r="AA33" s="123"/>
      <c r="AB33" s="126"/>
      <c r="AC33" s="122" t="s">
        <v>269</v>
      </c>
      <c r="AD33" s="123"/>
      <c r="AE33" s="126"/>
      <c r="AF33" s="227" t="s">
        <v>8</v>
      </c>
      <c r="AG33" s="122"/>
      <c r="AH33" s="228"/>
    </row>
    <row r="34" spans="1:34" ht="13.5" customHeight="1">
      <c r="A34" s="314" t="s">
        <v>123</v>
      </c>
      <c r="B34" s="353" t="s">
        <v>124</v>
      </c>
      <c r="C34" s="145"/>
      <c r="D34" s="145"/>
      <c r="E34" s="145"/>
      <c r="F34" s="145"/>
      <c r="G34" s="146"/>
      <c r="H34" s="147"/>
      <c r="I34" s="143"/>
      <c r="J34" s="143"/>
      <c r="K34" s="143"/>
      <c r="L34" s="143"/>
      <c r="M34" s="143"/>
      <c r="N34" s="224" t="str">
        <f t="shared" ref="N34:N39" si="5">IF(H34="-", "-", IF(K34="-", "-", IF(ABS(K34)=0, "-", ROUND(100*(H34-K34)/ABS(K34),10))))</f>
        <v>-</v>
      </c>
      <c r="O34" s="225"/>
      <c r="P34" s="226"/>
      <c r="Q34" s="142"/>
      <c r="R34" s="143"/>
      <c r="S34" s="143"/>
      <c r="T34" s="143"/>
      <c r="U34" s="143"/>
      <c r="V34" s="143"/>
      <c r="W34" s="224" t="str">
        <f>IF(Q34="-", "-", IF(T34="-", "-", IF(ABS(T34)=0, "-", ROUND(100*(Q34-T34)/ABS(T34),10))))</f>
        <v>-</v>
      </c>
      <c r="X34" s="225"/>
      <c r="Y34" s="226"/>
      <c r="Z34" s="364"/>
      <c r="AA34" s="365"/>
      <c r="AB34" s="366"/>
      <c r="AC34" s="367"/>
      <c r="AD34" s="368"/>
      <c r="AE34" s="369"/>
      <c r="AF34" s="224" t="str">
        <f>IF(Z34="-", "-", IF(AC34="-", "-", IF(ABS(AC34)=0, "-", ROUND(100*(Z34-AC34)/ABS(AC34),10))))</f>
        <v>-</v>
      </c>
      <c r="AG34" s="225"/>
      <c r="AH34" s="226"/>
    </row>
    <row r="35" spans="1:34" ht="13.5" customHeight="1">
      <c r="A35" s="314"/>
      <c r="B35" s="73"/>
      <c r="C35" s="161" t="s">
        <v>98</v>
      </c>
      <c r="D35" s="162"/>
      <c r="E35" s="162"/>
      <c r="F35" s="162"/>
      <c r="G35" s="163"/>
      <c r="H35" s="147"/>
      <c r="I35" s="143"/>
      <c r="J35" s="143"/>
      <c r="K35" s="151"/>
      <c r="L35" s="151"/>
      <c r="M35" s="151"/>
      <c r="N35" s="221" t="str">
        <f t="shared" si="5"/>
        <v>-</v>
      </c>
      <c r="O35" s="222"/>
      <c r="P35" s="223"/>
      <c r="Q35" s="142"/>
      <c r="R35" s="143"/>
      <c r="S35" s="143"/>
      <c r="T35" s="151"/>
      <c r="U35" s="151"/>
      <c r="V35" s="151"/>
      <c r="W35" s="221" t="str">
        <f>IF(Q35="-", "-", IF(T35="-", "-", IF(ABS(T35)=0, "-", ROUND(100*(Q35-T35)/ABS(T35),10))))</f>
        <v>-</v>
      </c>
      <c r="X35" s="222"/>
      <c r="Y35" s="223"/>
      <c r="Z35" s="370"/>
      <c r="AA35" s="371"/>
      <c r="AB35" s="372"/>
      <c r="AC35" s="373"/>
      <c r="AD35" s="374"/>
      <c r="AE35" s="375"/>
      <c r="AF35" s="221" t="str">
        <f>IF(Z35="-", "-", IF(AC35="-", "-", IF(ABS(AC35)=0, "-", ROUND(100*(Z35-AC35)/ABS(AC35),10))))</f>
        <v>-</v>
      </c>
      <c r="AG35" s="222"/>
      <c r="AH35" s="223"/>
    </row>
    <row r="36" spans="1:34" ht="13.5" customHeight="1">
      <c r="A36" s="314"/>
      <c r="B36" s="54"/>
      <c r="C36" s="161" t="s">
        <v>125</v>
      </c>
      <c r="D36" s="162"/>
      <c r="E36" s="162"/>
      <c r="F36" s="162"/>
      <c r="G36" s="163"/>
      <c r="H36" s="147"/>
      <c r="I36" s="143"/>
      <c r="J36" s="143"/>
      <c r="K36" s="151"/>
      <c r="L36" s="151"/>
      <c r="M36" s="151"/>
      <c r="N36" s="221" t="str">
        <f t="shared" si="5"/>
        <v>-</v>
      </c>
      <c r="O36" s="222"/>
      <c r="P36" s="223"/>
      <c r="Q36" s="142"/>
      <c r="R36" s="143"/>
      <c r="S36" s="143"/>
      <c r="T36" s="151"/>
      <c r="U36" s="151"/>
      <c r="V36" s="151"/>
      <c r="W36" s="208" t="str">
        <f>IF(Q36="-", "-", IF(T36="-", "-", IF(ABS(T36)=0, "-", ROUND(100*(Q36-T36)/ABS(T36),10))))</f>
        <v>-</v>
      </c>
      <c r="X36" s="209"/>
      <c r="Y36" s="210"/>
      <c r="Z36" s="370"/>
      <c r="AA36" s="371"/>
      <c r="AB36" s="372"/>
      <c r="AC36" s="373"/>
      <c r="AD36" s="374"/>
      <c r="AE36" s="375"/>
      <c r="AF36" s="208" t="str">
        <f>IF(Z36="-", "-", IF(AC36="-", "-", IF(ABS(AC36)=0, "-", ROUND(100*(Z36-AC36)/ABS(AC36),10))))</f>
        <v>-</v>
      </c>
      <c r="AG36" s="209"/>
      <c r="AH36" s="210"/>
    </row>
    <row r="37" spans="1:34" ht="13.5" customHeight="1">
      <c r="A37" s="314"/>
      <c r="B37" s="161" t="s">
        <v>126</v>
      </c>
      <c r="C37" s="162"/>
      <c r="D37" s="162"/>
      <c r="E37" s="162"/>
      <c r="F37" s="162"/>
      <c r="G37" s="163"/>
      <c r="H37" s="147"/>
      <c r="I37" s="143"/>
      <c r="J37" s="143"/>
      <c r="K37" s="151"/>
      <c r="L37" s="151"/>
      <c r="M37" s="151"/>
      <c r="N37" s="221" t="str">
        <f t="shared" si="5"/>
        <v>-</v>
      </c>
      <c r="O37" s="222"/>
      <c r="P37" s="223"/>
      <c r="Q37" s="155"/>
      <c r="R37" s="156"/>
      <c r="S37" s="156"/>
      <c r="T37" s="157"/>
      <c r="U37" s="157"/>
      <c r="V37" s="157"/>
      <c r="W37" s="158"/>
      <c r="X37" s="159"/>
      <c r="Y37" s="160"/>
      <c r="Z37" s="357"/>
      <c r="AA37" s="157"/>
      <c r="AB37" s="157"/>
      <c r="AC37" s="157"/>
      <c r="AD37" s="157"/>
      <c r="AE37" s="157"/>
      <c r="AF37" s="158"/>
      <c r="AG37" s="159"/>
      <c r="AH37" s="160"/>
    </row>
    <row r="38" spans="1:34" ht="13.5" customHeight="1">
      <c r="A38" s="352"/>
      <c r="B38" s="181" t="s">
        <v>127</v>
      </c>
      <c r="C38" s="182"/>
      <c r="D38" s="182"/>
      <c r="E38" s="182"/>
      <c r="F38" s="182"/>
      <c r="G38" s="183"/>
      <c r="H38" s="107"/>
      <c r="I38" s="108"/>
      <c r="J38" s="108"/>
      <c r="K38" s="108"/>
      <c r="L38" s="108"/>
      <c r="M38" s="108"/>
      <c r="N38" s="208" t="str">
        <f t="shared" si="5"/>
        <v>-</v>
      </c>
      <c r="O38" s="209"/>
      <c r="P38" s="210"/>
      <c r="Q38" s="109"/>
      <c r="R38" s="110"/>
      <c r="S38" s="110"/>
      <c r="T38" s="111"/>
      <c r="U38" s="111"/>
      <c r="V38" s="111"/>
      <c r="W38" s="184"/>
      <c r="X38" s="185"/>
      <c r="Y38" s="186"/>
      <c r="Z38" s="363"/>
      <c r="AA38" s="111"/>
      <c r="AB38" s="111"/>
      <c r="AC38" s="111"/>
      <c r="AD38" s="111"/>
      <c r="AE38" s="111"/>
      <c r="AF38" s="184"/>
      <c r="AG38" s="185"/>
      <c r="AH38" s="186"/>
    </row>
    <row r="39" spans="1:34" ht="13.5" customHeight="1">
      <c r="A39" s="361" t="s">
        <v>128</v>
      </c>
      <c r="B39" s="230"/>
      <c r="C39" s="230"/>
      <c r="D39" s="230"/>
      <c r="E39" s="230"/>
      <c r="F39" s="230"/>
      <c r="G39" s="362"/>
      <c r="H39" s="274"/>
      <c r="I39" s="240"/>
      <c r="J39" s="240"/>
      <c r="K39" s="259"/>
      <c r="L39" s="259"/>
      <c r="M39" s="259"/>
      <c r="N39" s="215" t="str">
        <f t="shared" si="5"/>
        <v>-</v>
      </c>
      <c r="O39" s="216"/>
      <c r="P39" s="217"/>
      <c r="Q39" s="318"/>
      <c r="R39" s="108"/>
      <c r="S39" s="108"/>
      <c r="T39" s="108"/>
      <c r="U39" s="108"/>
      <c r="V39" s="108"/>
      <c r="W39" s="215" t="str">
        <f>IF(Q39="-", "-", IF(T39="-", "-", IF(ABS(T39)=0, "-", ROUND(100*(Q39-T39)/ABS(T39),10))))</f>
        <v>-</v>
      </c>
      <c r="X39" s="216"/>
      <c r="Y39" s="217"/>
      <c r="Z39" s="376"/>
      <c r="AA39" s="377"/>
      <c r="AB39" s="378"/>
      <c r="AC39" s="379"/>
      <c r="AD39" s="380"/>
      <c r="AE39" s="381"/>
      <c r="AF39" s="215" t="str">
        <f>IF(Z39="-", "-", IF(AC39="-", "-", IF(ABS(AC39)=0, "-", ROUND(100*(Z39-AC39)/ABS(AC39),10))))</f>
        <v>-</v>
      </c>
      <c r="AG39" s="216"/>
      <c r="AH39" s="217"/>
    </row>
    <row r="40" spans="1:34" ht="13.5" customHeight="1">
      <c r="A40" s="358" t="s">
        <v>129</v>
      </c>
      <c r="B40" s="359"/>
      <c r="C40" s="359"/>
      <c r="D40" s="359"/>
      <c r="E40" s="359"/>
      <c r="F40" s="359"/>
      <c r="G40" s="360"/>
      <c r="H40" s="207"/>
      <c r="I40" s="203"/>
      <c r="J40" s="203"/>
      <c r="K40" s="203"/>
      <c r="L40" s="203"/>
      <c r="M40" s="203"/>
      <c r="N40" s="204"/>
      <c r="O40" s="205"/>
      <c r="P40" s="206"/>
      <c r="Q40" s="318"/>
      <c r="R40" s="108"/>
      <c r="S40" s="108"/>
      <c r="T40" s="201"/>
      <c r="U40" s="201"/>
      <c r="V40" s="201"/>
      <c r="W40" s="215" t="str">
        <f>IF(Q40="-", "-", IF(T40="-", "-", IF(ABS(T40)=0, "-", ROUND(100*(Q40-T40)/ABS(T40),10))))</f>
        <v>-</v>
      </c>
      <c r="X40" s="216"/>
      <c r="Y40" s="217"/>
      <c r="Z40" s="207"/>
      <c r="AA40" s="203"/>
      <c r="AB40" s="203"/>
      <c r="AC40" s="203"/>
      <c r="AD40" s="203"/>
      <c r="AE40" s="203"/>
      <c r="AF40" s="204"/>
      <c r="AG40" s="205"/>
      <c r="AH40" s="206"/>
    </row>
    <row r="41" spans="1:34" ht="13.5" customHeight="1">
      <c r="A41" s="3" t="s">
        <v>265</v>
      </c>
    </row>
  </sheetData>
  <mergeCells count="286">
    <mergeCell ref="Z34:AB34"/>
    <mergeCell ref="AC34:AE34"/>
    <mergeCell ref="Z35:AB35"/>
    <mergeCell ref="AC35:AE35"/>
    <mergeCell ref="Z36:AB36"/>
    <mergeCell ref="AC36:AE36"/>
    <mergeCell ref="Z39:AB39"/>
    <mergeCell ref="AC39:AE39"/>
    <mergeCell ref="W40:Y40"/>
    <mergeCell ref="Z40:AB40"/>
    <mergeCell ref="AC40:AE40"/>
    <mergeCell ref="AC38:AE38"/>
    <mergeCell ref="AF40:AH40"/>
    <mergeCell ref="A40:G40"/>
    <mergeCell ref="H40:J40"/>
    <mergeCell ref="K40:M40"/>
    <mergeCell ref="N40:P40"/>
    <mergeCell ref="Q40:S40"/>
    <mergeCell ref="T40:V40"/>
    <mergeCell ref="AF38:AH38"/>
    <mergeCell ref="A39:G39"/>
    <mergeCell ref="H39:J39"/>
    <mergeCell ref="K39:M39"/>
    <mergeCell ref="N39:P39"/>
    <mergeCell ref="Q39:S39"/>
    <mergeCell ref="T39:V39"/>
    <mergeCell ref="W39:Y39"/>
    <mergeCell ref="AF39:AH39"/>
    <mergeCell ref="B38:G38"/>
    <mergeCell ref="H38:J38"/>
    <mergeCell ref="K38:M38"/>
    <mergeCell ref="N38:P38"/>
    <mergeCell ref="Q38:S38"/>
    <mergeCell ref="T38:V38"/>
    <mergeCell ref="W38:Y38"/>
    <mergeCell ref="Z38:AB38"/>
    <mergeCell ref="K35:M35"/>
    <mergeCell ref="N35:P35"/>
    <mergeCell ref="Q35:S35"/>
    <mergeCell ref="T35:V35"/>
    <mergeCell ref="W35:Y35"/>
    <mergeCell ref="AF35:AH35"/>
    <mergeCell ref="W36:Y36"/>
    <mergeCell ref="AF36:AH36"/>
    <mergeCell ref="B37:G37"/>
    <mergeCell ref="H37:J37"/>
    <mergeCell ref="K37:M37"/>
    <mergeCell ref="N37:P37"/>
    <mergeCell ref="Q37:S37"/>
    <mergeCell ref="T37:V37"/>
    <mergeCell ref="W37:Y37"/>
    <mergeCell ref="Z37:AB37"/>
    <mergeCell ref="C36:G36"/>
    <mergeCell ref="H36:J36"/>
    <mergeCell ref="K36:M36"/>
    <mergeCell ref="N36:P36"/>
    <mergeCell ref="Q36:S36"/>
    <mergeCell ref="T36:V36"/>
    <mergeCell ref="AC37:AE37"/>
    <mergeCell ref="AF37:AH37"/>
    <mergeCell ref="Z33:AB33"/>
    <mergeCell ref="AC33:AE33"/>
    <mergeCell ref="AF33:AH33"/>
    <mergeCell ref="A34:A38"/>
    <mergeCell ref="B34:G34"/>
    <mergeCell ref="H34:J34"/>
    <mergeCell ref="K34:M34"/>
    <mergeCell ref="N34:P34"/>
    <mergeCell ref="Q34:S34"/>
    <mergeCell ref="T34:V34"/>
    <mergeCell ref="A32:G33"/>
    <mergeCell ref="H32:P32"/>
    <mergeCell ref="Q32:Y32"/>
    <mergeCell ref="Z32:AH32"/>
    <mergeCell ref="H33:J33"/>
    <mergeCell ref="K33:M33"/>
    <mergeCell ref="N33:P33"/>
    <mergeCell ref="Q33:S33"/>
    <mergeCell ref="T33:V33"/>
    <mergeCell ref="W33:Y33"/>
    <mergeCell ref="W34:Y34"/>
    <mergeCell ref="AF34:AH34"/>
    <mergeCell ref="C35:G35"/>
    <mergeCell ref="H35:J35"/>
    <mergeCell ref="A28:G28"/>
    <mergeCell ref="H28:J28"/>
    <mergeCell ref="K28:M28"/>
    <mergeCell ref="N28:P28"/>
    <mergeCell ref="A29:G29"/>
    <mergeCell ref="H29:J29"/>
    <mergeCell ref="K29:M29"/>
    <mergeCell ref="N29:P29"/>
    <mergeCell ref="AC26:AE26"/>
    <mergeCell ref="AF26:AH26"/>
    <mergeCell ref="A27:G27"/>
    <mergeCell ref="H27:J27"/>
    <mergeCell ref="K27:M27"/>
    <mergeCell ref="N27:P27"/>
    <mergeCell ref="A26:G26"/>
    <mergeCell ref="H26:J26"/>
    <mergeCell ref="K26:M26"/>
    <mergeCell ref="N26:P26"/>
    <mergeCell ref="S26:Y26"/>
    <mergeCell ref="Z26:AB26"/>
    <mergeCell ref="AC24:AE24"/>
    <mergeCell ref="AF24:AH24"/>
    <mergeCell ref="A25:G25"/>
    <mergeCell ref="H25:J25"/>
    <mergeCell ref="K25:M25"/>
    <mergeCell ref="N25:P25"/>
    <mergeCell ref="S25:Y25"/>
    <mergeCell ref="Z25:AB25"/>
    <mergeCell ref="AC25:AE25"/>
    <mergeCell ref="AF25:AH25"/>
    <mergeCell ref="A24:G24"/>
    <mergeCell ref="H24:J24"/>
    <mergeCell ref="K24:M24"/>
    <mergeCell ref="N24:P24"/>
    <mergeCell ref="S24:Y24"/>
    <mergeCell ref="Z24:AB24"/>
    <mergeCell ref="AK20:AQ20"/>
    <mergeCell ref="AR20:AT20"/>
    <mergeCell ref="AU20:AW20"/>
    <mergeCell ref="AX20:AZ20"/>
    <mergeCell ref="A23:G23"/>
    <mergeCell ref="H23:J23"/>
    <mergeCell ref="K23:M23"/>
    <mergeCell ref="N23:P23"/>
    <mergeCell ref="Z19:AB19"/>
    <mergeCell ref="AC19:AE19"/>
    <mergeCell ref="AF19:AH19"/>
    <mergeCell ref="AK19:AQ19"/>
    <mergeCell ref="AR19:AT19"/>
    <mergeCell ref="AU19:AW19"/>
    <mergeCell ref="AF18:AH18"/>
    <mergeCell ref="A19:G19"/>
    <mergeCell ref="H19:J19"/>
    <mergeCell ref="K19:M19"/>
    <mergeCell ref="N19:P19"/>
    <mergeCell ref="Q19:S19"/>
    <mergeCell ref="T19:V19"/>
    <mergeCell ref="W19:Y19"/>
    <mergeCell ref="AX19:AZ19"/>
    <mergeCell ref="C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C16:G16"/>
    <mergeCell ref="H16:J16"/>
    <mergeCell ref="K16:M16"/>
    <mergeCell ref="N16:P16"/>
    <mergeCell ref="Q16:S16"/>
    <mergeCell ref="AR16:AT16"/>
    <mergeCell ref="AU16:AW16"/>
    <mergeCell ref="AX16:AZ16"/>
    <mergeCell ref="C17:G17"/>
    <mergeCell ref="H17:J17"/>
    <mergeCell ref="K17:M17"/>
    <mergeCell ref="N17:P17"/>
    <mergeCell ref="Q17:S17"/>
    <mergeCell ref="T17:V17"/>
    <mergeCell ref="W17:Y17"/>
    <mergeCell ref="T16:V16"/>
    <mergeCell ref="W16:Y16"/>
    <mergeCell ref="Z16:AB16"/>
    <mergeCell ref="AC16:AE16"/>
    <mergeCell ref="AF16:AH16"/>
    <mergeCell ref="AL16:AQ16"/>
    <mergeCell ref="Z17:AB17"/>
    <mergeCell ref="AC17:AE17"/>
    <mergeCell ref="AF17:AH17"/>
    <mergeCell ref="AF14:AH14"/>
    <mergeCell ref="AL14:AQ14"/>
    <mergeCell ref="AR14:AT14"/>
    <mergeCell ref="AU14:AW14"/>
    <mergeCell ref="AF15:AH15"/>
    <mergeCell ref="AK15:AQ15"/>
    <mergeCell ref="AR15:AT15"/>
    <mergeCell ref="AU15:AW15"/>
    <mergeCell ref="AX15:AZ15"/>
    <mergeCell ref="H15:J15"/>
    <mergeCell ref="K15:M15"/>
    <mergeCell ref="N15:P15"/>
    <mergeCell ref="Q15:S15"/>
    <mergeCell ref="T15:V15"/>
    <mergeCell ref="W15:Y15"/>
    <mergeCell ref="Z15:AB15"/>
    <mergeCell ref="AC15:AE15"/>
    <mergeCell ref="Z14:AB14"/>
    <mergeCell ref="AC14:AE14"/>
    <mergeCell ref="AU13:AW13"/>
    <mergeCell ref="AX13:AZ13"/>
    <mergeCell ref="A14:B18"/>
    <mergeCell ref="C14:G14"/>
    <mergeCell ref="H14:J14"/>
    <mergeCell ref="K14:M14"/>
    <mergeCell ref="N14:P14"/>
    <mergeCell ref="Q14:S14"/>
    <mergeCell ref="T14:V14"/>
    <mergeCell ref="W14:Y14"/>
    <mergeCell ref="W13:Y13"/>
    <mergeCell ref="Z13:AB13"/>
    <mergeCell ref="AC13:AE13"/>
    <mergeCell ref="AF13:AH13"/>
    <mergeCell ref="AK13:AQ13"/>
    <mergeCell ref="AR13:AT13"/>
    <mergeCell ref="C13:G13"/>
    <mergeCell ref="H13:J13"/>
    <mergeCell ref="K13:M13"/>
    <mergeCell ref="N13:P13"/>
    <mergeCell ref="Q13:S13"/>
    <mergeCell ref="T13:V13"/>
    <mergeCell ref="AX14:AZ14"/>
    <mergeCell ref="C15:G15"/>
    <mergeCell ref="AC12:AE12"/>
    <mergeCell ref="AF12:AH12"/>
    <mergeCell ref="AK12:AQ12"/>
    <mergeCell ref="AR12:AT12"/>
    <mergeCell ref="AU12:AW12"/>
    <mergeCell ref="AX12:AZ12"/>
    <mergeCell ref="AU11:AW11"/>
    <mergeCell ref="AX11:AZ11"/>
    <mergeCell ref="C12:G12"/>
    <mergeCell ref="H12:J12"/>
    <mergeCell ref="K12:M12"/>
    <mergeCell ref="N12:P12"/>
    <mergeCell ref="Q12:S12"/>
    <mergeCell ref="T12:V12"/>
    <mergeCell ref="W12:Y12"/>
    <mergeCell ref="Z12:AB12"/>
    <mergeCell ref="W11:Y11"/>
    <mergeCell ref="Z11:AB11"/>
    <mergeCell ref="AC11:AE11"/>
    <mergeCell ref="AF11:AH11"/>
    <mergeCell ref="AK11:AQ11"/>
    <mergeCell ref="AR11:AT11"/>
    <mergeCell ref="A11:A13"/>
    <mergeCell ref="B11:B13"/>
    <mergeCell ref="C11:G11"/>
    <mergeCell ref="H11:J11"/>
    <mergeCell ref="K11:M11"/>
    <mergeCell ref="N11:P11"/>
    <mergeCell ref="Q11:S11"/>
    <mergeCell ref="T11:V11"/>
    <mergeCell ref="A9:G10"/>
    <mergeCell ref="AU9:AW9"/>
    <mergeCell ref="AX9:AZ9"/>
    <mergeCell ref="AK9:AQ9"/>
    <mergeCell ref="AR9:AT9"/>
    <mergeCell ref="A5:E5"/>
    <mergeCell ref="F5:H5"/>
    <mergeCell ref="I5:R5"/>
    <mergeCell ref="H10:J10"/>
    <mergeCell ref="K10:M10"/>
    <mergeCell ref="N10:P10"/>
    <mergeCell ref="Q10:S10"/>
    <mergeCell ref="T10:V10"/>
    <mergeCell ref="W10:Y10"/>
    <mergeCell ref="Z10:AB10"/>
    <mergeCell ref="AC10:AE10"/>
    <mergeCell ref="H9:P9"/>
    <mergeCell ref="Q9:Y9"/>
    <mergeCell ref="Z9:AH9"/>
    <mergeCell ref="AF10:AH10"/>
    <mergeCell ref="AK10:AQ10"/>
    <mergeCell ref="AR10:AT10"/>
    <mergeCell ref="AU10:AW10"/>
    <mergeCell ref="AX10:AZ10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47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9"/>
    <col min="8" max="16384" width="2.625" style="3"/>
  </cols>
  <sheetData>
    <row r="1" spans="1:45" s="38" customFormat="1" ht="13.5" customHeight="1">
      <c r="A1" s="112" t="str">
        <f>IF(No.1!A1="","",No.1!A1)</f>
        <v/>
      </c>
      <c r="B1" s="113"/>
      <c r="C1" s="89" t="s">
        <v>379</v>
      </c>
      <c r="D1" s="36"/>
      <c r="E1" s="36"/>
      <c r="F1" s="36"/>
      <c r="G1" s="36"/>
      <c r="H1" s="37"/>
      <c r="I1" s="36"/>
      <c r="J1" s="36"/>
      <c r="K1" s="36"/>
      <c r="L1" s="36"/>
      <c r="M1" s="36"/>
      <c r="N1" s="36"/>
      <c r="O1" s="36"/>
      <c r="P1" s="36"/>
      <c r="T1" s="39"/>
      <c r="U1" s="39"/>
      <c r="AL1" s="64"/>
      <c r="AM1" s="64"/>
      <c r="AN1" s="64"/>
      <c r="AO1" s="64"/>
      <c r="AP1" s="64"/>
      <c r="AQ1" s="64"/>
      <c r="AR1" s="64"/>
      <c r="AS1" s="64"/>
    </row>
    <row r="2" spans="1:45" s="38" customFormat="1" ht="13.5" customHeight="1">
      <c r="A2" s="40" t="s">
        <v>1</v>
      </c>
      <c r="B2" s="36"/>
      <c r="C2" s="36"/>
      <c r="D2" s="36"/>
      <c r="E2" s="36"/>
      <c r="F2" s="36"/>
      <c r="G2" s="36"/>
      <c r="H2" s="37"/>
      <c r="I2" s="36"/>
      <c r="J2" s="36"/>
      <c r="K2" s="36"/>
      <c r="L2" s="36"/>
      <c r="M2" s="36"/>
      <c r="N2" s="36"/>
      <c r="O2" s="36"/>
      <c r="P2" s="36"/>
      <c r="T2" s="39"/>
      <c r="U2" s="39"/>
      <c r="AL2" s="66"/>
      <c r="AM2" s="66"/>
      <c r="AN2" s="66"/>
      <c r="AO2" s="66"/>
      <c r="AP2" s="66"/>
      <c r="AQ2" s="65"/>
      <c r="AR2" s="65"/>
      <c r="AS2" s="65"/>
    </row>
    <row r="3" spans="1:45" s="38" customFormat="1" ht="13.5" customHeight="1">
      <c r="A3" s="136"/>
      <c r="B3" s="136"/>
      <c r="C3" s="136"/>
      <c r="D3" s="136"/>
      <c r="E3" s="136"/>
      <c r="F3" s="137" t="s">
        <v>277</v>
      </c>
      <c r="G3" s="137"/>
      <c r="H3" s="137"/>
      <c r="I3" s="138" t="s">
        <v>278</v>
      </c>
      <c r="J3" s="138"/>
      <c r="K3" s="138"/>
      <c r="L3" s="138"/>
      <c r="M3" s="138"/>
      <c r="N3" s="138"/>
      <c r="O3" s="138"/>
      <c r="P3" s="115"/>
      <c r="Q3" s="115"/>
      <c r="R3" s="115"/>
      <c r="T3" s="116" t="s">
        <v>279</v>
      </c>
      <c r="U3" s="116"/>
      <c r="V3" s="116"/>
      <c r="W3" s="116"/>
      <c r="X3" s="116"/>
      <c r="Y3" s="116" t="s">
        <v>280</v>
      </c>
      <c r="Z3" s="117"/>
      <c r="AA3" s="117"/>
      <c r="AB3" s="117"/>
      <c r="AC3" s="117"/>
      <c r="AD3" s="117"/>
      <c r="AE3" s="117"/>
      <c r="AF3" s="121" t="s">
        <v>0</v>
      </c>
      <c r="AG3" s="119"/>
      <c r="AH3" s="119"/>
      <c r="AI3" s="119"/>
      <c r="AJ3" s="119"/>
      <c r="AK3" s="120"/>
    </row>
    <row r="4" spans="1:45" s="38" customFormat="1" ht="13.5" customHeight="1">
      <c r="A4" s="114" t="s">
        <v>384</v>
      </c>
      <c r="B4" s="114"/>
      <c r="C4" s="114"/>
      <c r="D4" s="114"/>
      <c r="E4" s="114"/>
      <c r="F4" s="114" t="str">
        <f>IF(No.1!F4="","",No.1!F4)</f>
        <v/>
      </c>
      <c r="G4" s="114"/>
      <c r="H4" s="114"/>
      <c r="I4" s="114" t="str">
        <f>IF(No.1!I4="","",No.1!I4)</f>
        <v/>
      </c>
      <c r="J4" s="114"/>
      <c r="K4" s="114"/>
      <c r="L4" s="114"/>
      <c r="M4" s="114"/>
      <c r="N4" s="114"/>
      <c r="O4" s="114"/>
      <c r="P4" s="115"/>
      <c r="Q4" s="115"/>
      <c r="R4" s="115"/>
      <c r="T4" s="76" t="str">
        <f>IF(No.1!AB4="","",No.1!AB4)</f>
        <v/>
      </c>
      <c r="U4" s="116" t="str">
        <f>IF(No.1!AC4="","",No.1!AC4)</f>
        <v/>
      </c>
      <c r="V4" s="116"/>
      <c r="W4" s="116"/>
      <c r="X4" s="116"/>
      <c r="Y4" s="76" t="str">
        <f>IF(No.1!AG4="","",No.1!AG4)</f>
        <v/>
      </c>
      <c r="Z4" s="114" t="str">
        <f>IF(No.1!AH4="","",No.1!AH4)</f>
        <v/>
      </c>
      <c r="AA4" s="117"/>
      <c r="AB4" s="117"/>
      <c r="AC4" s="117"/>
      <c r="AD4" s="117"/>
      <c r="AE4" s="117"/>
      <c r="AF4" s="76" t="str">
        <f>IF(No.1!AN4="","",No.1!AN4)</f>
        <v/>
      </c>
      <c r="AG4" s="118" t="str">
        <f>IF(No.1!AO4="","",No.1!AO4)</f>
        <v/>
      </c>
      <c r="AH4" s="119"/>
      <c r="AI4" s="119"/>
      <c r="AJ4" s="119"/>
      <c r="AK4" s="120"/>
    </row>
    <row r="5" spans="1:45" s="38" customFormat="1" ht="13.5" customHeight="1">
      <c r="A5" s="114" t="s">
        <v>268</v>
      </c>
      <c r="B5" s="114"/>
      <c r="C5" s="114"/>
      <c r="D5" s="114"/>
      <c r="E5" s="114"/>
      <c r="F5" s="114" t="str">
        <f>IF(No.1!F5="","",No.1!F5)</f>
        <v/>
      </c>
      <c r="G5" s="114"/>
      <c r="H5" s="114"/>
      <c r="I5" s="114" t="str">
        <f>IF(No.1!I5="","",No.1!I5)</f>
        <v/>
      </c>
      <c r="J5" s="114"/>
      <c r="K5" s="114"/>
      <c r="L5" s="114"/>
      <c r="M5" s="114"/>
      <c r="N5" s="114"/>
      <c r="O5" s="114"/>
      <c r="P5" s="115"/>
      <c r="Q5" s="115"/>
      <c r="R5" s="115"/>
    </row>
    <row r="6" spans="1:45" s="38" customFormat="1" ht="13.5" customHeight="1">
      <c r="A6" s="40"/>
      <c r="H6" s="41"/>
    </row>
    <row r="7" spans="1:45" ht="13.5" customHeight="1">
      <c r="A7" s="4" t="s">
        <v>37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5" ht="13.5" customHeight="1">
      <c r="A8" s="1" t="s">
        <v>130</v>
      </c>
      <c r="AH8" s="2"/>
      <c r="AQ8" s="2" t="s">
        <v>131</v>
      </c>
    </row>
    <row r="9" spans="1:45" s="9" customFormat="1" ht="13.5" customHeight="1">
      <c r="A9" s="127"/>
      <c r="B9" s="128"/>
      <c r="C9" s="128"/>
      <c r="D9" s="128"/>
      <c r="E9" s="128"/>
      <c r="F9" s="128"/>
      <c r="G9" s="129"/>
      <c r="H9" s="264" t="s">
        <v>132</v>
      </c>
      <c r="I9" s="262"/>
      <c r="J9" s="262"/>
      <c r="K9" s="262"/>
      <c r="L9" s="262"/>
      <c r="M9" s="262"/>
      <c r="N9" s="262"/>
      <c r="O9" s="262"/>
      <c r="P9" s="263"/>
      <c r="Q9" s="264" t="s">
        <v>133</v>
      </c>
      <c r="R9" s="262"/>
      <c r="S9" s="262"/>
      <c r="T9" s="262"/>
      <c r="U9" s="262"/>
      <c r="V9" s="262"/>
      <c r="W9" s="262"/>
      <c r="X9" s="262"/>
      <c r="Y9" s="263"/>
      <c r="Z9" s="264" t="s">
        <v>134</v>
      </c>
      <c r="AA9" s="262"/>
      <c r="AB9" s="262"/>
      <c r="AC9" s="262"/>
      <c r="AD9" s="262"/>
      <c r="AE9" s="262"/>
      <c r="AF9" s="262"/>
      <c r="AG9" s="262"/>
      <c r="AH9" s="262"/>
      <c r="AI9" s="389" t="s">
        <v>135</v>
      </c>
      <c r="AJ9" s="354"/>
      <c r="AK9" s="356"/>
      <c r="AL9" s="286" t="s">
        <v>136</v>
      </c>
      <c r="AM9" s="287"/>
      <c r="AN9" s="287"/>
      <c r="AO9" s="287"/>
      <c r="AP9" s="287"/>
      <c r="AQ9" s="288"/>
    </row>
    <row r="10" spans="1:45" s="9" customFormat="1" ht="13.5" customHeight="1">
      <c r="A10" s="130"/>
      <c r="B10" s="131"/>
      <c r="C10" s="131"/>
      <c r="D10" s="131"/>
      <c r="E10" s="131"/>
      <c r="F10" s="131"/>
      <c r="G10" s="132"/>
      <c r="H10" s="125" t="s">
        <v>267</v>
      </c>
      <c r="I10" s="123"/>
      <c r="J10" s="126"/>
      <c r="K10" s="122" t="s">
        <v>269</v>
      </c>
      <c r="L10" s="123"/>
      <c r="M10" s="126"/>
      <c r="N10" s="385" t="s">
        <v>8</v>
      </c>
      <c r="O10" s="386"/>
      <c r="P10" s="387"/>
      <c r="Q10" s="125" t="s">
        <v>267</v>
      </c>
      <c r="R10" s="123"/>
      <c r="S10" s="126"/>
      <c r="T10" s="122" t="s">
        <v>269</v>
      </c>
      <c r="U10" s="123"/>
      <c r="V10" s="126"/>
      <c r="W10" s="385" t="s">
        <v>8</v>
      </c>
      <c r="X10" s="386"/>
      <c r="Y10" s="387"/>
      <c r="Z10" s="125" t="s">
        <v>267</v>
      </c>
      <c r="AA10" s="123"/>
      <c r="AB10" s="126"/>
      <c r="AC10" s="122" t="s">
        <v>269</v>
      </c>
      <c r="AD10" s="123"/>
      <c r="AE10" s="126"/>
      <c r="AF10" s="385" t="s">
        <v>8</v>
      </c>
      <c r="AG10" s="386"/>
      <c r="AH10" s="386"/>
      <c r="AI10" s="390"/>
      <c r="AJ10" s="391"/>
      <c r="AK10" s="392"/>
      <c r="AL10" s="388" t="s">
        <v>267</v>
      </c>
      <c r="AM10" s="123"/>
      <c r="AN10" s="126"/>
      <c r="AO10" s="122" t="s">
        <v>269</v>
      </c>
      <c r="AP10" s="123"/>
      <c r="AQ10" s="124"/>
    </row>
    <row r="11" spans="1:45" ht="13.5" customHeight="1">
      <c r="A11" s="144" t="s">
        <v>137</v>
      </c>
      <c r="B11" s="145"/>
      <c r="C11" s="145"/>
      <c r="D11" s="145"/>
      <c r="E11" s="145"/>
      <c r="F11" s="145"/>
      <c r="G11" s="146"/>
      <c r="H11" s="299"/>
      <c r="I11" s="300"/>
      <c r="J11" s="300"/>
      <c r="K11" s="240"/>
      <c r="L11" s="240"/>
      <c r="M11" s="240"/>
      <c r="N11" s="224" t="str">
        <f t="shared" ref="N11:N40" si="0">IF(H11="-", "-", IF(K11="-", "-", IF(ABS(K11)=0, "-", ROUND(100*(H11-K11)/ABS(K11),10))))</f>
        <v>-</v>
      </c>
      <c r="O11" s="225"/>
      <c r="P11" s="226"/>
      <c r="Q11" s="173"/>
      <c r="R11" s="174"/>
      <c r="S11" s="174"/>
      <c r="T11" s="143"/>
      <c r="U11" s="143"/>
      <c r="V11" s="143"/>
      <c r="W11" s="224" t="str">
        <f t="shared" ref="W11:W42" si="1">IF(Q11="-", "-", IF(T11="-", "-", IF(ABS(T11)=0, "-", ROUND(100*(Q11-T11)/ABS(T11),10))))</f>
        <v>-</v>
      </c>
      <c r="X11" s="225"/>
      <c r="Y11" s="226"/>
      <c r="Z11" s="393"/>
      <c r="AA11" s="177"/>
      <c r="AB11" s="177"/>
      <c r="AC11" s="177"/>
      <c r="AD11" s="177"/>
      <c r="AE11" s="177"/>
      <c r="AF11" s="394"/>
      <c r="AG11" s="395"/>
      <c r="AH11" s="396"/>
      <c r="AI11" s="397"/>
      <c r="AJ11" s="177"/>
      <c r="AK11" s="398"/>
      <c r="AL11" s="393"/>
      <c r="AM11" s="177"/>
      <c r="AN11" s="177"/>
      <c r="AO11" s="177"/>
      <c r="AP11" s="177"/>
      <c r="AQ11" s="398"/>
    </row>
    <row r="12" spans="1:45" ht="13.5" customHeight="1">
      <c r="A12" s="55"/>
      <c r="B12" s="161" t="s">
        <v>138</v>
      </c>
      <c r="C12" s="162"/>
      <c r="D12" s="162"/>
      <c r="E12" s="162"/>
      <c r="F12" s="162"/>
      <c r="G12" s="163"/>
      <c r="H12" s="310"/>
      <c r="I12" s="246"/>
      <c r="J12" s="246"/>
      <c r="K12" s="246"/>
      <c r="L12" s="246"/>
      <c r="M12" s="246"/>
      <c r="N12" s="221" t="str">
        <f t="shared" si="0"/>
        <v>-</v>
      </c>
      <c r="O12" s="222"/>
      <c r="P12" s="223"/>
      <c r="Q12" s="168"/>
      <c r="R12" s="151"/>
      <c r="S12" s="151"/>
      <c r="T12" s="151"/>
      <c r="U12" s="151"/>
      <c r="V12" s="151"/>
      <c r="W12" s="221" t="str">
        <f t="shared" si="1"/>
        <v>-</v>
      </c>
      <c r="X12" s="222"/>
      <c r="Y12" s="223"/>
      <c r="Z12" s="399"/>
      <c r="AA12" s="374"/>
      <c r="AB12" s="375"/>
      <c r="AC12" s="400"/>
      <c r="AD12" s="400"/>
      <c r="AE12" s="400"/>
      <c r="AF12" s="221" t="str">
        <f t="shared" ref="AF12:AF17" si="2">IF(Z12="-", "-", IF(AC12="-", "-", IF(ABS(AC12)=0, "-", ROUND(100*(Z12-AC12)/ABS(AC12),10))))</f>
        <v>-</v>
      </c>
      <c r="AG12" s="222"/>
      <c r="AH12" s="401"/>
      <c r="AI12" s="402">
        <v>74.400000000000006</v>
      </c>
      <c r="AJ12" s="403"/>
      <c r="AK12" s="404"/>
      <c r="AL12" s="311"/>
      <c r="AM12" s="308"/>
      <c r="AN12" s="309"/>
      <c r="AO12" s="307"/>
      <c r="AP12" s="308"/>
      <c r="AQ12" s="428"/>
    </row>
    <row r="13" spans="1:45" ht="13.5" customHeight="1">
      <c r="A13" s="55"/>
      <c r="B13" s="161" t="s">
        <v>139</v>
      </c>
      <c r="C13" s="162"/>
      <c r="D13" s="162"/>
      <c r="E13" s="162"/>
      <c r="F13" s="162"/>
      <c r="G13" s="163"/>
      <c r="H13" s="310"/>
      <c r="I13" s="246"/>
      <c r="J13" s="246"/>
      <c r="K13" s="246"/>
      <c r="L13" s="246"/>
      <c r="M13" s="246"/>
      <c r="N13" s="221" t="str">
        <f t="shared" si="0"/>
        <v>-</v>
      </c>
      <c r="O13" s="222"/>
      <c r="P13" s="223"/>
      <c r="Q13" s="168"/>
      <c r="R13" s="151"/>
      <c r="S13" s="151"/>
      <c r="T13" s="151"/>
      <c r="U13" s="151"/>
      <c r="V13" s="151"/>
      <c r="W13" s="221" t="str">
        <f t="shared" si="1"/>
        <v>-</v>
      </c>
      <c r="X13" s="222"/>
      <c r="Y13" s="223"/>
      <c r="Z13" s="399"/>
      <c r="AA13" s="374"/>
      <c r="AB13" s="375"/>
      <c r="AC13" s="400"/>
      <c r="AD13" s="400"/>
      <c r="AE13" s="400"/>
      <c r="AF13" s="221" t="str">
        <f t="shared" si="2"/>
        <v>-</v>
      </c>
      <c r="AG13" s="222"/>
      <c r="AH13" s="401"/>
      <c r="AI13" s="402">
        <v>78.7</v>
      </c>
      <c r="AJ13" s="403"/>
      <c r="AK13" s="404"/>
      <c r="AL13" s="311"/>
      <c r="AM13" s="308"/>
      <c r="AN13" s="309"/>
      <c r="AO13" s="307"/>
      <c r="AP13" s="308"/>
      <c r="AQ13" s="428"/>
    </row>
    <row r="14" spans="1:45" ht="13.5" customHeight="1">
      <c r="A14" s="55"/>
      <c r="B14" s="161" t="s">
        <v>140</v>
      </c>
      <c r="C14" s="162"/>
      <c r="D14" s="162"/>
      <c r="E14" s="162"/>
      <c r="F14" s="162"/>
      <c r="G14" s="163"/>
      <c r="H14" s="310"/>
      <c r="I14" s="246"/>
      <c r="J14" s="246"/>
      <c r="K14" s="246"/>
      <c r="L14" s="246"/>
      <c r="M14" s="246"/>
      <c r="N14" s="221" t="str">
        <f t="shared" si="0"/>
        <v>-</v>
      </c>
      <c r="O14" s="222"/>
      <c r="P14" s="223"/>
      <c r="Q14" s="168"/>
      <c r="R14" s="151"/>
      <c r="S14" s="151"/>
      <c r="T14" s="151"/>
      <c r="U14" s="151"/>
      <c r="V14" s="151"/>
      <c r="W14" s="221" t="str">
        <f t="shared" si="1"/>
        <v>-</v>
      </c>
      <c r="X14" s="222"/>
      <c r="Y14" s="223"/>
      <c r="Z14" s="399"/>
      <c r="AA14" s="374"/>
      <c r="AB14" s="375"/>
      <c r="AC14" s="400"/>
      <c r="AD14" s="400"/>
      <c r="AE14" s="400"/>
      <c r="AF14" s="221" t="str">
        <f t="shared" si="2"/>
        <v>-</v>
      </c>
      <c r="AG14" s="222"/>
      <c r="AH14" s="401"/>
      <c r="AI14" s="402">
        <v>80</v>
      </c>
      <c r="AJ14" s="403"/>
      <c r="AK14" s="404"/>
      <c r="AL14" s="311"/>
      <c r="AM14" s="308"/>
      <c r="AN14" s="309"/>
      <c r="AO14" s="307"/>
      <c r="AP14" s="308"/>
      <c r="AQ14" s="428"/>
    </row>
    <row r="15" spans="1:45" ht="13.5" customHeight="1">
      <c r="A15" s="55"/>
      <c r="B15" s="161" t="s">
        <v>141</v>
      </c>
      <c r="C15" s="162"/>
      <c r="D15" s="162"/>
      <c r="E15" s="162"/>
      <c r="F15" s="162"/>
      <c r="G15" s="163"/>
      <c r="H15" s="310"/>
      <c r="I15" s="246"/>
      <c r="J15" s="246"/>
      <c r="K15" s="246"/>
      <c r="L15" s="246"/>
      <c r="M15" s="246"/>
      <c r="N15" s="221" t="str">
        <f t="shared" si="0"/>
        <v>-</v>
      </c>
      <c r="O15" s="222"/>
      <c r="P15" s="223"/>
      <c r="Q15" s="168"/>
      <c r="R15" s="151"/>
      <c r="S15" s="151"/>
      <c r="T15" s="151"/>
      <c r="U15" s="151"/>
      <c r="V15" s="151"/>
      <c r="W15" s="221" t="str">
        <f t="shared" si="1"/>
        <v>-</v>
      </c>
      <c r="X15" s="222"/>
      <c r="Y15" s="223"/>
      <c r="Z15" s="399"/>
      <c r="AA15" s="374"/>
      <c r="AB15" s="375"/>
      <c r="AC15" s="400"/>
      <c r="AD15" s="400"/>
      <c r="AE15" s="400"/>
      <c r="AF15" s="221" t="str">
        <f t="shared" si="2"/>
        <v>-</v>
      </c>
      <c r="AG15" s="222"/>
      <c r="AH15" s="401"/>
      <c r="AI15" s="402">
        <v>91</v>
      </c>
      <c r="AJ15" s="403"/>
      <c r="AK15" s="404"/>
      <c r="AL15" s="311"/>
      <c r="AM15" s="308"/>
      <c r="AN15" s="309"/>
      <c r="AO15" s="307"/>
      <c r="AP15" s="308"/>
      <c r="AQ15" s="428"/>
    </row>
    <row r="16" spans="1:45" ht="13.5" customHeight="1">
      <c r="A16" s="55"/>
      <c r="B16" s="161" t="s">
        <v>142</v>
      </c>
      <c r="C16" s="162"/>
      <c r="D16" s="162"/>
      <c r="E16" s="162"/>
      <c r="F16" s="162"/>
      <c r="G16" s="163"/>
      <c r="H16" s="310"/>
      <c r="I16" s="246"/>
      <c r="J16" s="246"/>
      <c r="K16" s="246"/>
      <c r="L16" s="246"/>
      <c r="M16" s="246"/>
      <c r="N16" s="221" t="str">
        <f t="shared" si="0"/>
        <v>-</v>
      </c>
      <c r="O16" s="222"/>
      <c r="P16" s="223"/>
      <c r="Q16" s="168"/>
      <c r="R16" s="151"/>
      <c r="S16" s="151"/>
      <c r="T16" s="151"/>
      <c r="U16" s="151"/>
      <c r="V16" s="151"/>
      <c r="W16" s="221" t="str">
        <f t="shared" si="1"/>
        <v>-</v>
      </c>
      <c r="X16" s="222"/>
      <c r="Y16" s="223"/>
      <c r="Z16" s="399"/>
      <c r="AA16" s="374"/>
      <c r="AB16" s="375"/>
      <c r="AC16" s="400"/>
      <c r="AD16" s="400"/>
      <c r="AE16" s="400"/>
      <c r="AF16" s="221" t="str">
        <f t="shared" si="2"/>
        <v>-</v>
      </c>
      <c r="AG16" s="222"/>
      <c r="AH16" s="401"/>
      <c r="AI16" s="402">
        <v>80.900000000000006</v>
      </c>
      <c r="AJ16" s="403"/>
      <c r="AK16" s="404"/>
      <c r="AL16" s="311"/>
      <c r="AM16" s="308"/>
      <c r="AN16" s="309"/>
      <c r="AO16" s="307"/>
      <c r="AP16" s="308"/>
      <c r="AQ16" s="428"/>
    </row>
    <row r="17" spans="1:43" ht="13.5" customHeight="1">
      <c r="A17" s="56"/>
      <c r="B17" s="181" t="s">
        <v>118</v>
      </c>
      <c r="C17" s="182"/>
      <c r="D17" s="182"/>
      <c r="E17" s="182"/>
      <c r="F17" s="182"/>
      <c r="G17" s="183"/>
      <c r="H17" s="350"/>
      <c r="I17" s="351"/>
      <c r="J17" s="351"/>
      <c r="K17" s="259"/>
      <c r="L17" s="259"/>
      <c r="M17" s="259"/>
      <c r="N17" s="139" t="str">
        <f t="shared" si="0"/>
        <v>-</v>
      </c>
      <c r="O17" s="140"/>
      <c r="P17" s="141"/>
      <c r="Q17" s="192"/>
      <c r="R17" s="193"/>
      <c r="S17" s="193"/>
      <c r="T17" s="108"/>
      <c r="U17" s="108"/>
      <c r="V17" s="108"/>
      <c r="W17" s="139" t="str">
        <f t="shared" si="1"/>
        <v>-</v>
      </c>
      <c r="X17" s="140"/>
      <c r="Y17" s="141"/>
      <c r="Z17" s="399"/>
      <c r="AA17" s="374"/>
      <c r="AB17" s="375"/>
      <c r="AC17" s="410"/>
      <c r="AD17" s="410"/>
      <c r="AE17" s="410"/>
      <c r="AF17" s="95" t="str">
        <f t="shared" si="2"/>
        <v>-</v>
      </c>
      <c r="AG17" s="96"/>
      <c r="AH17" s="411"/>
      <c r="AI17" s="412">
        <v>79.599999999999994</v>
      </c>
      <c r="AJ17" s="413"/>
      <c r="AK17" s="414"/>
      <c r="AL17" s="382"/>
      <c r="AM17" s="383"/>
      <c r="AN17" s="284"/>
      <c r="AO17" s="426"/>
      <c r="AP17" s="383"/>
      <c r="AQ17" s="427"/>
    </row>
    <row r="18" spans="1:43" ht="13.5" customHeight="1">
      <c r="A18" s="169" t="s">
        <v>143</v>
      </c>
      <c r="B18" s="170"/>
      <c r="C18" s="170"/>
      <c r="D18" s="170"/>
      <c r="E18" s="170"/>
      <c r="F18" s="170"/>
      <c r="G18" s="171"/>
      <c r="H18" s="299"/>
      <c r="I18" s="300"/>
      <c r="J18" s="300"/>
      <c r="K18" s="239"/>
      <c r="L18" s="239"/>
      <c r="M18" s="239"/>
      <c r="N18" s="224" t="str">
        <f t="shared" si="0"/>
        <v>-</v>
      </c>
      <c r="O18" s="225"/>
      <c r="P18" s="226"/>
      <c r="Q18" s="173"/>
      <c r="R18" s="174"/>
      <c r="S18" s="174"/>
      <c r="T18" s="172"/>
      <c r="U18" s="172"/>
      <c r="V18" s="172"/>
      <c r="W18" s="224" t="str">
        <f t="shared" si="1"/>
        <v>-</v>
      </c>
      <c r="X18" s="225"/>
      <c r="Y18" s="226"/>
      <c r="Z18" s="175"/>
      <c r="AA18" s="176"/>
      <c r="AB18" s="176"/>
      <c r="AC18" s="177"/>
      <c r="AD18" s="177"/>
      <c r="AE18" s="177"/>
      <c r="AF18" s="178"/>
      <c r="AG18" s="179"/>
      <c r="AH18" s="405"/>
      <c r="AI18" s="406"/>
      <c r="AJ18" s="407"/>
      <c r="AK18" s="408"/>
      <c r="AL18" s="393"/>
      <c r="AM18" s="177"/>
      <c r="AN18" s="177"/>
      <c r="AO18" s="177"/>
      <c r="AP18" s="177"/>
      <c r="AQ18" s="398"/>
    </row>
    <row r="19" spans="1:43" ht="13.5" customHeight="1">
      <c r="A19" s="55"/>
      <c r="B19" s="161" t="s">
        <v>144</v>
      </c>
      <c r="C19" s="162"/>
      <c r="D19" s="162"/>
      <c r="E19" s="162"/>
      <c r="F19" s="162"/>
      <c r="G19" s="163"/>
      <c r="H19" s="310"/>
      <c r="I19" s="246"/>
      <c r="J19" s="246"/>
      <c r="K19" s="246"/>
      <c r="L19" s="246"/>
      <c r="M19" s="246"/>
      <c r="N19" s="221" t="str">
        <f t="shared" si="0"/>
        <v>-</v>
      </c>
      <c r="O19" s="222"/>
      <c r="P19" s="223"/>
      <c r="Q19" s="168"/>
      <c r="R19" s="151"/>
      <c r="S19" s="151"/>
      <c r="T19" s="151"/>
      <c r="U19" s="151"/>
      <c r="V19" s="151"/>
      <c r="W19" s="221" t="str">
        <f t="shared" si="1"/>
        <v>-</v>
      </c>
      <c r="X19" s="222"/>
      <c r="Y19" s="223"/>
      <c r="Z19" s="409"/>
      <c r="AA19" s="400"/>
      <c r="AB19" s="400"/>
      <c r="AC19" s="400"/>
      <c r="AD19" s="400"/>
      <c r="AE19" s="400"/>
      <c r="AF19" s="221" t="str">
        <f>IF(Z19="-", "-", IF(AC19="-", "-", IF(ABS(AC19)=0, "-", ROUND(100*(Z19-AC19)/ABS(AC19),10))))</f>
        <v>-</v>
      </c>
      <c r="AG19" s="222"/>
      <c r="AH19" s="401"/>
      <c r="AI19" s="402">
        <v>62.7</v>
      </c>
      <c r="AJ19" s="403"/>
      <c r="AK19" s="404"/>
      <c r="AL19" s="311"/>
      <c r="AM19" s="308"/>
      <c r="AN19" s="309"/>
      <c r="AO19" s="307"/>
      <c r="AP19" s="308"/>
      <c r="AQ19" s="428"/>
    </row>
    <row r="20" spans="1:43" ht="13.5" customHeight="1">
      <c r="A20" s="55"/>
      <c r="B20" s="161" t="s">
        <v>145</v>
      </c>
      <c r="C20" s="162"/>
      <c r="D20" s="162"/>
      <c r="E20" s="162"/>
      <c r="F20" s="162"/>
      <c r="G20" s="163"/>
      <c r="H20" s="310"/>
      <c r="I20" s="246"/>
      <c r="J20" s="246"/>
      <c r="K20" s="246"/>
      <c r="L20" s="246"/>
      <c r="M20" s="246"/>
      <c r="N20" s="221" t="str">
        <f t="shared" si="0"/>
        <v>-</v>
      </c>
      <c r="O20" s="222"/>
      <c r="P20" s="223"/>
      <c r="Q20" s="168"/>
      <c r="R20" s="151"/>
      <c r="S20" s="151"/>
      <c r="T20" s="151"/>
      <c r="U20" s="151"/>
      <c r="V20" s="151"/>
      <c r="W20" s="221" t="str">
        <f t="shared" si="1"/>
        <v>-</v>
      </c>
      <c r="X20" s="222"/>
      <c r="Y20" s="223"/>
      <c r="Z20" s="409"/>
      <c r="AA20" s="400"/>
      <c r="AB20" s="400"/>
      <c r="AC20" s="400"/>
      <c r="AD20" s="400"/>
      <c r="AE20" s="400"/>
      <c r="AF20" s="221" t="str">
        <f>IF(Z20="-", "-", IF(AC20="-", "-", IF(ABS(AC20)=0, "-", ROUND(100*(Z20-AC20)/ABS(AC20),10))))</f>
        <v>-</v>
      </c>
      <c r="AG20" s="222"/>
      <c r="AH20" s="401"/>
      <c r="AI20" s="402">
        <v>69.3</v>
      </c>
      <c r="AJ20" s="403"/>
      <c r="AK20" s="404"/>
      <c r="AL20" s="311"/>
      <c r="AM20" s="308"/>
      <c r="AN20" s="309"/>
      <c r="AO20" s="307"/>
      <c r="AP20" s="308"/>
      <c r="AQ20" s="428"/>
    </row>
    <row r="21" spans="1:43" ht="13.5" customHeight="1">
      <c r="A21" s="56"/>
      <c r="B21" s="181" t="s">
        <v>118</v>
      </c>
      <c r="C21" s="182"/>
      <c r="D21" s="182"/>
      <c r="E21" s="182"/>
      <c r="F21" s="182"/>
      <c r="G21" s="183"/>
      <c r="H21" s="350"/>
      <c r="I21" s="351"/>
      <c r="J21" s="351"/>
      <c r="K21" s="259"/>
      <c r="L21" s="259"/>
      <c r="M21" s="259"/>
      <c r="N21" s="139" t="str">
        <f t="shared" si="0"/>
        <v>-</v>
      </c>
      <c r="O21" s="140"/>
      <c r="P21" s="141"/>
      <c r="Q21" s="192"/>
      <c r="R21" s="193"/>
      <c r="S21" s="193"/>
      <c r="T21" s="108"/>
      <c r="U21" s="108"/>
      <c r="V21" s="108"/>
      <c r="W21" s="139" t="str">
        <f t="shared" si="1"/>
        <v>-</v>
      </c>
      <c r="X21" s="140"/>
      <c r="Y21" s="141"/>
      <c r="Z21" s="409"/>
      <c r="AA21" s="400"/>
      <c r="AB21" s="400"/>
      <c r="AC21" s="410"/>
      <c r="AD21" s="410"/>
      <c r="AE21" s="410"/>
      <c r="AF21" s="95" t="str">
        <f>IF(Z21="-", "-", IF(AC21="-", "-", IF(ABS(AC21)=0, "-", ROUND(100*(Z21-AC21)/ABS(AC21),10))))</f>
        <v>-</v>
      </c>
      <c r="AG21" s="96"/>
      <c r="AH21" s="411"/>
      <c r="AI21" s="412">
        <v>63</v>
      </c>
      <c r="AJ21" s="413"/>
      <c r="AK21" s="414"/>
      <c r="AL21" s="382"/>
      <c r="AM21" s="383"/>
      <c r="AN21" s="284"/>
      <c r="AO21" s="426"/>
      <c r="AP21" s="383"/>
      <c r="AQ21" s="427"/>
    </row>
    <row r="22" spans="1:43" ht="13.5" customHeight="1">
      <c r="A22" s="169" t="s">
        <v>146</v>
      </c>
      <c r="B22" s="170"/>
      <c r="C22" s="170"/>
      <c r="D22" s="170"/>
      <c r="E22" s="170"/>
      <c r="F22" s="170"/>
      <c r="G22" s="171"/>
      <c r="H22" s="299"/>
      <c r="I22" s="300"/>
      <c r="J22" s="300"/>
      <c r="K22" s="239"/>
      <c r="L22" s="239"/>
      <c r="M22" s="239"/>
      <c r="N22" s="224" t="str">
        <f t="shared" si="0"/>
        <v>-</v>
      </c>
      <c r="O22" s="225"/>
      <c r="P22" s="226"/>
      <c r="Q22" s="173"/>
      <c r="R22" s="174"/>
      <c r="S22" s="174"/>
      <c r="T22" s="172"/>
      <c r="U22" s="172"/>
      <c r="V22" s="172"/>
      <c r="W22" s="224" t="str">
        <f t="shared" si="1"/>
        <v>-</v>
      </c>
      <c r="X22" s="225"/>
      <c r="Y22" s="226"/>
      <c r="Z22" s="175"/>
      <c r="AA22" s="176"/>
      <c r="AB22" s="176"/>
      <c r="AC22" s="177"/>
      <c r="AD22" s="177"/>
      <c r="AE22" s="177"/>
      <c r="AF22" s="178"/>
      <c r="AG22" s="179"/>
      <c r="AH22" s="405"/>
      <c r="AI22" s="406"/>
      <c r="AJ22" s="407"/>
      <c r="AK22" s="408"/>
      <c r="AL22" s="393"/>
      <c r="AM22" s="177"/>
      <c r="AN22" s="177"/>
      <c r="AO22" s="177"/>
      <c r="AP22" s="177"/>
      <c r="AQ22" s="398"/>
    </row>
    <row r="23" spans="1:43" ht="13.5" customHeight="1">
      <c r="A23" s="55"/>
      <c r="B23" s="161" t="s">
        <v>147</v>
      </c>
      <c r="C23" s="162"/>
      <c r="D23" s="162"/>
      <c r="E23" s="162"/>
      <c r="F23" s="162"/>
      <c r="G23" s="163"/>
      <c r="H23" s="310"/>
      <c r="I23" s="246"/>
      <c r="J23" s="246"/>
      <c r="K23" s="246"/>
      <c r="L23" s="246"/>
      <c r="M23" s="246"/>
      <c r="N23" s="221" t="str">
        <f t="shared" si="0"/>
        <v>-</v>
      </c>
      <c r="O23" s="222"/>
      <c r="P23" s="223"/>
      <c r="Q23" s="168"/>
      <c r="R23" s="151"/>
      <c r="S23" s="151"/>
      <c r="T23" s="151"/>
      <c r="U23" s="151"/>
      <c r="V23" s="151"/>
      <c r="W23" s="221" t="str">
        <f t="shared" si="1"/>
        <v>-</v>
      </c>
      <c r="X23" s="222"/>
      <c r="Y23" s="223"/>
      <c r="Z23" s="409"/>
      <c r="AA23" s="400"/>
      <c r="AB23" s="400"/>
      <c r="AC23" s="400"/>
      <c r="AD23" s="400"/>
      <c r="AE23" s="400"/>
      <c r="AF23" s="221" t="str">
        <f t="shared" ref="AF23:AF29" si="3">IF(Z23="-", "-", IF(AC23="-", "-", IF(ABS(AC23)=0, "-", ROUND(100*(Z23-AC23)/ABS(AC23),10))))</f>
        <v>-</v>
      </c>
      <c r="AG23" s="222"/>
      <c r="AH23" s="401"/>
      <c r="AI23" s="402">
        <v>76.8</v>
      </c>
      <c r="AJ23" s="403"/>
      <c r="AK23" s="404"/>
      <c r="AL23" s="311"/>
      <c r="AM23" s="308"/>
      <c r="AN23" s="309"/>
      <c r="AO23" s="307"/>
      <c r="AP23" s="308"/>
      <c r="AQ23" s="428"/>
    </row>
    <row r="24" spans="1:43" ht="13.5" customHeight="1">
      <c r="A24" s="55"/>
      <c r="B24" s="161" t="s">
        <v>148</v>
      </c>
      <c r="C24" s="162"/>
      <c r="D24" s="162"/>
      <c r="E24" s="162"/>
      <c r="F24" s="162"/>
      <c r="G24" s="163"/>
      <c r="H24" s="310"/>
      <c r="I24" s="246"/>
      <c r="J24" s="246"/>
      <c r="K24" s="246"/>
      <c r="L24" s="246"/>
      <c r="M24" s="246"/>
      <c r="N24" s="221" t="str">
        <f t="shared" si="0"/>
        <v>-</v>
      </c>
      <c r="O24" s="222"/>
      <c r="P24" s="223"/>
      <c r="Q24" s="168"/>
      <c r="R24" s="151"/>
      <c r="S24" s="151"/>
      <c r="T24" s="151"/>
      <c r="U24" s="151"/>
      <c r="V24" s="151"/>
      <c r="W24" s="221" t="str">
        <f t="shared" si="1"/>
        <v>-</v>
      </c>
      <c r="X24" s="222"/>
      <c r="Y24" s="223"/>
      <c r="Z24" s="409"/>
      <c r="AA24" s="400"/>
      <c r="AB24" s="400"/>
      <c r="AC24" s="400"/>
      <c r="AD24" s="400"/>
      <c r="AE24" s="400"/>
      <c r="AF24" s="221" t="str">
        <f t="shared" si="3"/>
        <v>-</v>
      </c>
      <c r="AG24" s="222"/>
      <c r="AH24" s="401"/>
      <c r="AI24" s="402">
        <v>67.3</v>
      </c>
      <c r="AJ24" s="403"/>
      <c r="AK24" s="404"/>
      <c r="AL24" s="311"/>
      <c r="AM24" s="308"/>
      <c r="AN24" s="309"/>
      <c r="AO24" s="307"/>
      <c r="AP24" s="308"/>
      <c r="AQ24" s="428"/>
    </row>
    <row r="25" spans="1:43" ht="13.5" customHeight="1">
      <c r="A25" s="56"/>
      <c r="B25" s="181" t="s">
        <v>118</v>
      </c>
      <c r="C25" s="182"/>
      <c r="D25" s="182"/>
      <c r="E25" s="182"/>
      <c r="F25" s="182"/>
      <c r="G25" s="183"/>
      <c r="H25" s="350"/>
      <c r="I25" s="351"/>
      <c r="J25" s="351"/>
      <c r="K25" s="259"/>
      <c r="L25" s="259"/>
      <c r="M25" s="259"/>
      <c r="N25" s="139" t="str">
        <f t="shared" si="0"/>
        <v>-</v>
      </c>
      <c r="O25" s="140"/>
      <c r="P25" s="141"/>
      <c r="Q25" s="192"/>
      <c r="R25" s="193"/>
      <c r="S25" s="193"/>
      <c r="T25" s="108"/>
      <c r="U25" s="108"/>
      <c r="V25" s="108"/>
      <c r="W25" s="139" t="str">
        <f t="shared" si="1"/>
        <v>-</v>
      </c>
      <c r="X25" s="140"/>
      <c r="Y25" s="141"/>
      <c r="Z25" s="420"/>
      <c r="AA25" s="410"/>
      <c r="AB25" s="410"/>
      <c r="AC25" s="410"/>
      <c r="AD25" s="410"/>
      <c r="AE25" s="410"/>
      <c r="AF25" s="95" t="str">
        <f t="shared" si="3"/>
        <v>-</v>
      </c>
      <c r="AG25" s="96"/>
      <c r="AH25" s="411"/>
      <c r="AI25" s="412">
        <v>34.1</v>
      </c>
      <c r="AJ25" s="413"/>
      <c r="AK25" s="414"/>
      <c r="AL25" s="382"/>
      <c r="AM25" s="383"/>
      <c r="AN25" s="284"/>
      <c r="AO25" s="426"/>
      <c r="AP25" s="383"/>
      <c r="AQ25" s="427"/>
    </row>
    <row r="26" spans="1:43" ht="13.5" customHeight="1">
      <c r="A26" s="211" t="s">
        <v>149</v>
      </c>
      <c r="B26" s="212"/>
      <c r="C26" s="212"/>
      <c r="D26" s="212"/>
      <c r="E26" s="212"/>
      <c r="F26" s="212"/>
      <c r="G26" s="213"/>
      <c r="H26" s="299"/>
      <c r="I26" s="300"/>
      <c r="J26" s="300"/>
      <c r="K26" s="333"/>
      <c r="L26" s="333"/>
      <c r="M26" s="333"/>
      <c r="N26" s="241" t="str">
        <f t="shared" si="0"/>
        <v>-</v>
      </c>
      <c r="O26" s="242"/>
      <c r="P26" s="243"/>
      <c r="Q26" s="173"/>
      <c r="R26" s="174"/>
      <c r="S26" s="174"/>
      <c r="T26" s="201"/>
      <c r="U26" s="201"/>
      <c r="V26" s="201"/>
      <c r="W26" s="241" t="str">
        <f t="shared" si="1"/>
        <v>-</v>
      </c>
      <c r="X26" s="242"/>
      <c r="Y26" s="243"/>
      <c r="Z26" s="415"/>
      <c r="AA26" s="416"/>
      <c r="AB26" s="416"/>
      <c r="AC26" s="416"/>
      <c r="AD26" s="416"/>
      <c r="AE26" s="416"/>
      <c r="AF26" s="241" t="str">
        <f t="shared" si="3"/>
        <v>-</v>
      </c>
      <c r="AG26" s="242"/>
      <c r="AH26" s="243"/>
      <c r="AI26" s="417">
        <v>72</v>
      </c>
      <c r="AJ26" s="418"/>
      <c r="AK26" s="419"/>
      <c r="AL26" s="334"/>
      <c r="AM26" s="335"/>
      <c r="AN26" s="336"/>
      <c r="AO26" s="335"/>
      <c r="AP26" s="335"/>
      <c r="AQ26" s="436"/>
    </row>
    <row r="27" spans="1:43" ht="13.5" customHeight="1">
      <c r="A27" s="211" t="s">
        <v>150</v>
      </c>
      <c r="B27" s="212"/>
      <c r="C27" s="212"/>
      <c r="D27" s="212"/>
      <c r="E27" s="212"/>
      <c r="F27" s="212"/>
      <c r="G27" s="213"/>
      <c r="H27" s="299"/>
      <c r="I27" s="300"/>
      <c r="J27" s="300"/>
      <c r="K27" s="333"/>
      <c r="L27" s="333"/>
      <c r="M27" s="333"/>
      <c r="N27" s="241" t="str">
        <f t="shared" si="0"/>
        <v>-</v>
      </c>
      <c r="O27" s="242"/>
      <c r="P27" s="243"/>
      <c r="Q27" s="173"/>
      <c r="R27" s="174"/>
      <c r="S27" s="174"/>
      <c r="T27" s="201"/>
      <c r="U27" s="201"/>
      <c r="V27" s="201"/>
      <c r="W27" s="241" t="str">
        <f t="shared" si="1"/>
        <v>-</v>
      </c>
      <c r="X27" s="242"/>
      <c r="Y27" s="243"/>
      <c r="Z27" s="415"/>
      <c r="AA27" s="416"/>
      <c r="AB27" s="416"/>
      <c r="AC27" s="416"/>
      <c r="AD27" s="416"/>
      <c r="AE27" s="416"/>
      <c r="AF27" s="241" t="str">
        <f t="shared" si="3"/>
        <v>-</v>
      </c>
      <c r="AG27" s="242"/>
      <c r="AH27" s="243"/>
      <c r="AI27" s="417">
        <v>31.4</v>
      </c>
      <c r="AJ27" s="418"/>
      <c r="AK27" s="419"/>
      <c r="AL27" s="334"/>
      <c r="AM27" s="335"/>
      <c r="AN27" s="336"/>
      <c r="AO27" s="335"/>
      <c r="AP27" s="335"/>
      <c r="AQ27" s="436"/>
    </row>
    <row r="28" spans="1:43" ht="13.5" customHeight="1">
      <c r="A28" s="211" t="s">
        <v>151</v>
      </c>
      <c r="B28" s="212"/>
      <c r="C28" s="212"/>
      <c r="D28" s="212"/>
      <c r="E28" s="212"/>
      <c r="F28" s="212"/>
      <c r="G28" s="213"/>
      <c r="H28" s="299"/>
      <c r="I28" s="300"/>
      <c r="J28" s="300"/>
      <c r="K28" s="333"/>
      <c r="L28" s="333"/>
      <c r="M28" s="333"/>
      <c r="N28" s="241" t="str">
        <f t="shared" si="0"/>
        <v>-</v>
      </c>
      <c r="O28" s="242"/>
      <c r="P28" s="243"/>
      <c r="Q28" s="173"/>
      <c r="R28" s="174"/>
      <c r="S28" s="174"/>
      <c r="T28" s="201"/>
      <c r="U28" s="201"/>
      <c r="V28" s="201"/>
      <c r="W28" s="241" t="str">
        <f t="shared" si="1"/>
        <v>-</v>
      </c>
      <c r="X28" s="242"/>
      <c r="Y28" s="243"/>
      <c r="Z28" s="415"/>
      <c r="AA28" s="416"/>
      <c r="AB28" s="416"/>
      <c r="AC28" s="416"/>
      <c r="AD28" s="416"/>
      <c r="AE28" s="416"/>
      <c r="AF28" s="241" t="str">
        <f t="shared" si="3"/>
        <v>-</v>
      </c>
      <c r="AG28" s="242"/>
      <c r="AH28" s="243"/>
      <c r="AI28" s="417">
        <v>76</v>
      </c>
      <c r="AJ28" s="418"/>
      <c r="AK28" s="419"/>
      <c r="AL28" s="334"/>
      <c r="AM28" s="335"/>
      <c r="AN28" s="336"/>
      <c r="AO28" s="335"/>
      <c r="AP28" s="335"/>
      <c r="AQ28" s="436"/>
    </row>
    <row r="29" spans="1:43" ht="13.5" customHeight="1">
      <c r="A29" s="211" t="s">
        <v>152</v>
      </c>
      <c r="B29" s="212"/>
      <c r="C29" s="212"/>
      <c r="D29" s="212"/>
      <c r="E29" s="212"/>
      <c r="F29" s="212"/>
      <c r="G29" s="213"/>
      <c r="H29" s="299"/>
      <c r="I29" s="300"/>
      <c r="J29" s="300"/>
      <c r="K29" s="333"/>
      <c r="L29" s="333"/>
      <c r="M29" s="333"/>
      <c r="N29" s="241" t="str">
        <f t="shared" si="0"/>
        <v>-</v>
      </c>
      <c r="O29" s="242"/>
      <c r="P29" s="243"/>
      <c r="Q29" s="173"/>
      <c r="R29" s="174"/>
      <c r="S29" s="174"/>
      <c r="T29" s="201"/>
      <c r="U29" s="201"/>
      <c r="V29" s="201"/>
      <c r="W29" s="241" t="str">
        <f t="shared" si="1"/>
        <v>-</v>
      </c>
      <c r="X29" s="242"/>
      <c r="Y29" s="243"/>
      <c r="Z29" s="421"/>
      <c r="AA29" s="422"/>
      <c r="AB29" s="422"/>
      <c r="AC29" s="416"/>
      <c r="AD29" s="416"/>
      <c r="AE29" s="416"/>
      <c r="AF29" s="241" t="str">
        <f t="shared" si="3"/>
        <v>-</v>
      </c>
      <c r="AG29" s="242"/>
      <c r="AH29" s="243"/>
      <c r="AI29" s="417">
        <v>12.3</v>
      </c>
      <c r="AJ29" s="418"/>
      <c r="AK29" s="419"/>
      <c r="AL29" s="334"/>
      <c r="AM29" s="335"/>
      <c r="AN29" s="336"/>
      <c r="AO29" s="335"/>
      <c r="AP29" s="335"/>
      <c r="AQ29" s="436"/>
    </row>
    <row r="30" spans="1:43" ht="13.5" customHeight="1">
      <c r="A30" s="169" t="s">
        <v>153</v>
      </c>
      <c r="B30" s="170"/>
      <c r="C30" s="170"/>
      <c r="D30" s="170"/>
      <c r="E30" s="170"/>
      <c r="F30" s="170"/>
      <c r="G30" s="171"/>
      <c r="H30" s="299"/>
      <c r="I30" s="300"/>
      <c r="J30" s="300"/>
      <c r="K30" s="239"/>
      <c r="L30" s="239"/>
      <c r="M30" s="239"/>
      <c r="N30" s="224" t="str">
        <f t="shared" si="0"/>
        <v>-</v>
      </c>
      <c r="O30" s="225"/>
      <c r="P30" s="226"/>
      <c r="Q30" s="173"/>
      <c r="R30" s="174"/>
      <c r="S30" s="174"/>
      <c r="T30" s="172"/>
      <c r="U30" s="172"/>
      <c r="V30" s="172"/>
      <c r="W30" s="224" t="str">
        <f t="shared" si="1"/>
        <v>-</v>
      </c>
      <c r="X30" s="225"/>
      <c r="Y30" s="226"/>
      <c r="Z30" s="175"/>
      <c r="AA30" s="176"/>
      <c r="AB30" s="176"/>
      <c r="AC30" s="177"/>
      <c r="AD30" s="177"/>
      <c r="AE30" s="177"/>
      <c r="AF30" s="178"/>
      <c r="AG30" s="179"/>
      <c r="AH30" s="405"/>
      <c r="AI30" s="406"/>
      <c r="AJ30" s="407"/>
      <c r="AK30" s="408"/>
      <c r="AL30" s="393"/>
      <c r="AM30" s="177"/>
      <c r="AN30" s="177"/>
      <c r="AO30" s="177"/>
      <c r="AP30" s="177"/>
      <c r="AQ30" s="398"/>
    </row>
    <row r="31" spans="1:43" ht="13.5" customHeight="1">
      <c r="A31" s="55"/>
      <c r="B31" s="161" t="s">
        <v>154</v>
      </c>
      <c r="C31" s="162"/>
      <c r="D31" s="162"/>
      <c r="E31" s="162"/>
      <c r="F31" s="162"/>
      <c r="G31" s="163"/>
      <c r="H31" s="310"/>
      <c r="I31" s="246"/>
      <c r="J31" s="246"/>
      <c r="K31" s="246"/>
      <c r="L31" s="246"/>
      <c r="M31" s="246"/>
      <c r="N31" s="221" t="str">
        <f t="shared" si="0"/>
        <v>-</v>
      </c>
      <c r="O31" s="222"/>
      <c r="P31" s="223"/>
      <c r="Q31" s="168"/>
      <c r="R31" s="151"/>
      <c r="S31" s="151"/>
      <c r="T31" s="151"/>
      <c r="U31" s="151"/>
      <c r="V31" s="151"/>
      <c r="W31" s="221" t="str">
        <f t="shared" si="1"/>
        <v>-</v>
      </c>
      <c r="X31" s="222"/>
      <c r="Y31" s="223"/>
      <c r="Z31" s="409"/>
      <c r="AA31" s="400"/>
      <c r="AB31" s="400"/>
      <c r="AC31" s="400"/>
      <c r="AD31" s="400"/>
      <c r="AE31" s="400"/>
      <c r="AF31" s="221" t="str">
        <f>IF(Z31="-", "-", IF(AC31="-", "-", IF(ABS(AC31)=0, "-", ROUND(100*(Z31-AC31)/ABS(AC31),10))))</f>
        <v>-</v>
      </c>
      <c r="AG31" s="222"/>
      <c r="AH31" s="223"/>
      <c r="AI31" s="402">
        <v>37.700000000000003</v>
      </c>
      <c r="AJ31" s="403"/>
      <c r="AK31" s="404"/>
      <c r="AL31" s="311"/>
      <c r="AM31" s="308"/>
      <c r="AN31" s="309"/>
      <c r="AO31" s="307"/>
      <c r="AP31" s="308"/>
      <c r="AQ31" s="428"/>
    </row>
    <row r="32" spans="1:43" ht="13.5" customHeight="1">
      <c r="A32" s="56"/>
      <c r="B32" s="181" t="s">
        <v>118</v>
      </c>
      <c r="C32" s="182"/>
      <c r="D32" s="182"/>
      <c r="E32" s="182"/>
      <c r="F32" s="182"/>
      <c r="G32" s="183"/>
      <c r="H32" s="350"/>
      <c r="I32" s="351"/>
      <c r="J32" s="351"/>
      <c r="K32" s="259"/>
      <c r="L32" s="259"/>
      <c r="M32" s="259"/>
      <c r="N32" s="139" t="str">
        <f t="shared" si="0"/>
        <v>-</v>
      </c>
      <c r="O32" s="140"/>
      <c r="P32" s="141"/>
      <c r="Q32" s="107"/>
      <c r="R32" s="108"/>
      <c r="S32" s="108"/>
      <c r="T32" s="108"/>
      <c r="U32" s="108"/>
      <c r="V32" s="108"/>
      <c r="W32" s="139" t="str">
        <f t="shared" si="1"/>
        <v>-</v>
      </c>
      <c r="X32" s="140"/>
      <c r="Y32" s="141"/>
      <c r="Z32" s="420"/>
      <c r="AA32" s="410"/>
      <c r="AB32" s="410"/>
      <c r="AC32" s="410"/>
      <c r="AD32" s="410"/>
      <c r="AE32" s="410"/>
      <c r="AF32" s="139" t="str">
        <f>IF(Z32="-", "-", IF(AC32="-", "-", IF(ABS(AC32)=0, "-", ROUND(100*(Z32-AC32)/ABS(AC32),10))))</f>
        <v>-</v>
      </c>
      <c r="AG32" s="140"/>
      <c r="AH32" s="141"/>
      <c r="AI32" s="412">
        <v>39</v>
      </c>
      <c r="AJ32" s="413"/>
      <c r="AK32" s="414"/>
      <c r="AL32" s="382"/>
      <c r="AM32" s="383"/>
      <c r="AN32" s="284"/>
      <c r="AO32" s="426"/>
      <c r="AP32" s="383"/>
      <c r="AQ32" s="427"/>
    </row>
    <row r="33" spans="1:43" ht="13.5" customHeight="1">
      <c r="A33" s="211" t="s">
        <v>155</v>
      </c>
      <c r="B33" s="212"/>
      <c r="C33" s="212"/>
      <c r="D33" s="212"/>
      <c r="E33" s="212"/>
      <c r="F33" s="212"/>
      <c r="G33" s="213"/>
      <c r="H33" s="299"/>
      <c r="I33" s="300"/>
      <c r="J33" s="300"/>
      <c r="K33" s="333"/>
      <c r="L33" s="333"/>
      <c r="M33" s="333"/>
      <c r="N33" s="241" t="str">
        <f t="shared" si="0"/>
        <v>-</v>
      </c>
      <c r="O33" s="242"/>
      <c r="P33" s="243"/>
      <c r="Q33" s="173"/>
      <c r="R33" s="174"/>
      <c r="S33" s="174"/>
      <c r="T33" s="201"/>
      <c r="U33" s="201"/>
      <c r="V33" s="201"/>
      <c r="W33" s="241" t="str">
        <f t="shared" si="1"/>
        <v>-</v>
      </c>
      <c r="X33" s="242"/>
      <c r="Y33" s="243"/>
      <c r="Z33" s="421"/>
      <c r="AA33" s="422"/>
      <c r="AB33" s="422"/>
      <c r="AC33" s="416"/>
      <c r="AD33" s="416"/>
      <c r="AE33" s="416"/>
      <c r="AF33" s="241" t="str">
        <f>IF(Z33="-", "-", IF(AC33="-", "-", IF(ABS(AC33)=0, "-", ROUND(100*(Z33-AC33)/ABS(AC33),10))))</f>
        <v>-</v>
      </c>
      <c r="AG33" s="242"/>
      <c r="AH33" s="243"/>
      <c r="AI33" s="417">
        <v>11.4</v>
      </c>
      <c r="AJ33" s="418"/>
      <c r="AK33" s="419"/>
      <c r="AL33" s="334"/>
      <c r="AM33" s="335"/>
      <c r="AN33" s="335"/>
      <c r="AO33" s="384"/>
      <c r="AP33" s="335"/>
      <c r="AQ33" s="436"/>
    </row>
    <row r="34" spans="1:43" ht="13.5" customHeight="1">
      <c r="A34" s="169" t="s">
        <v>156</v>
      </c>
      <c r="B34" s="170"/>
      <c r="C34" s="170"/>
      <c r="D34" s="170"/>
      <c r="E34" s="170"/>
      <c r="F34" s="170"/>
      <c r="G34" s="171"/>
      <c r="H34" s="299"/>
      <c r="I34" s="300"/>
      <c r="J34" s="300"/>
      <c r="K34" s="239"/>
      <c r="L34" s="239"/>
      <c r="M34" s="239"/>
      <c r="N34" s="224" t="str">
        <f t="shared" si="0"/>
        <v>-</v>
      </c>
      <c r="O34" s="225"/>
      <c r="P34" s="226"/>
      <c r="Q34" s="173"/>
      <c r="R34" s="174"/>
      <c r="S34" s="174"/>
      <c r="T34" s="172"/>
      <c r="U34" s="172"/>
      <c r="V34" s="172"/>
      <c r="W34" s="224" t="str">
        <f t="shared" si="1"/>
        <v>-</v>
      </c>
      <c r="X34" s="225"/>
      <c r="Y34" s="226"/>
      <c r="Z34" s="175"/>
      <c r="AA34" s="176"/>
      <c r="AB34" s="176"/>
      <c r="AC34" s="177"/>
      <c r="AD34" s="177"/>
      <c r="AE34" s="177"/>
      <c r="AF34" s="178"/>
      <c r="AG34" s="179"/>
      <c r="AH34" s="405"/>
      <c r="AI34" s="406"/>
      <c r="AJ34" s="407"/>
      <c r="AK34" s="408"/>
      <c r="AL34" s="393"/>
      <c r="AM34" s="177"/>
      <c r="AN34" s="177"/>
      <c r="AO34" s="177"/>
      <c r="AP34" s="177"/>
      <c r="AQ34" s="398"/>
    </row>
    <row r="35" spans="1:43" ht="13.5" customHeight="1">
      <c r="A35" s="57"/>
      <c r="B35" s="161" t="s">
        <v>157</v>
      </c>
      <c r="C35" s="162"/>
      <c r="D35" s="162"/>
      <c r="E35" s="162"/>
      <c r="F35" s="162"/>
      <c r="G35" s="163"/>
      <c r="H35" s="310"/>
      <c r="I35" s="246"/>
      <c r="J35" s="246"/>
      <c r="K35" s="246"/>
      <c r="L35" s="246"/>
      <c r="M35" s="246"/>
      <c r="N35" s="221" t="str">
        <f t="shared" si="0"/>
        <v>-</v>
      </c>
      <c r="O35" s="222"/>
      <c r="P35" s="223"/>
      <c r="Q35" s="168"/>
      <c r="R35" s="151"/>
      <c r="S35" s="151"/>
      <c r="T35" s="151"/>
      <c r="U35" s="151"/>
      <c r="V35" s="151"/>
      <c r="W35" s="221" t="str">
        <f t="shared" si="1"/>
        <v>-</v>
      </c>
      <c r="X35" s="222"/>
      <c r="Y35" s="223"/>
      <c r="Z35" s="409"/>
      <c r="AA35" s="400"/>
      <c r="AB35" s="400"/>
      <c r="AC35" s="400"/>
      <c r="AD35" s="400"/>
      <c r="AE35" s="400"/>
      <c r="AF35" s="221" t="str">
        <f>IF(Z35="-", "-", IF(AC35="-", "-", IF(ABS(AC35)=0, "-", ROUND(100*(Z35-AC35)/ABS(AC35),10))))</f>
        <v>-</v>
      </c>
      <c r="AG35" s="222"/>
      <c r="AH35" s="223"/>
      <c r="AI35" s="423">
        <v>52.6</v>
      </c>
      <c r="AJ35" s="424"/>
      <c r="AK35" s="425"/>
      <c r="AL35" s="311"/>
      <c r="AM35" s="308"/>
      <c r="AN35" s="309"/>
      <c r="AO35" s="307"/>
      <c r="AP35" s="308"/>
      <c r="AQ35" s="428"/>
    </row>
    <row r="36" spans="1:43" ht="13.5" customHeight="1">
      <c r="A36" s="58"/>
      <c r="B36" s="181" t="s">
        <v>118</v>
      </c>
      <c r="C36" s="182"/>
      <c r="D36" s="182"/>
      <c r="E36" s="182"/>
      <c r="F36" s="182"/>
      <c r="G36" s="183"/>
      <c r="H36" s="350"/>
      <c r="I36" s="351"/>
      <c r="J36" s="351"/>
      <c r="K36" s="259"/>
      <c r="L36" s="259"/>
      <c r="M36" s="259"/>
      <c r="N36" s="139" t="str">
        <f t="shared" si="0"/>
        <v>-</v>
      </c>
      <c r="O36" s="140"/>
      <c r="P36" s="141"/>
      <c r="Q36" s="192"/>
      <c r="R36" s="193"/>
      <c r="S36" s="193"/>
      <c r="T36" s="108"/>
      <c r="U36" s="108"/>
      <c r="V36" s="108"/>
      <c r="W36" s="139" t="str">
        <f t="shared" si="1"/>
        <v>-</v>
      </c>
      <c r="X36" s="140"/>
      <c r="Y36" s="141"/>
      <c r="Z36" s="409"/>
      <c r="AA36" s="400"/>
      <c r="AB36" s="400"/>
      <c r="AC36" s="410"/>
      <c r="AD36" s="410"/>
      <c r="AE36" s="410"/>
      <c r="AF36" s="139" t="str">
        <f>IF(Z36="-", "-", IF(AC36="-", "-", IF(ABS(AC36)=0, "-", ROUND(100*(Z36-AC36)/ABS(AC36),10))))</f>
        <v>-</v>
      </c>
      <c r="AG36" s="140"/>
      <c r="AH36" s="141"/>
      <c r="AI36" s="412">
        <v>49.1</v>
      </c>
      <c r="AJ36" s="413"/>
      <c r="AK36" s="414"/>
      <c r="AL36" s="382"/>
      <c r="AM36" s="383"/>
      <c r="AN36" s="284"/>
      <c r="AO36" s="426"/>
      <c r="AP36" s="383"/>
      <c r="AQ36" s="427"/>
    </row>
    <row r="37" spans="1:43" ht="13.5" customHeight="1">
      <c r="A37" s="169" t="s">
        <v>158</v>
      </c>
      <c r="B37" s="170"/>
      <c r="C37" s="170"/>
      <c r="D37" s="170"/>
      <c r="E37" s="170"/>
      <c r="F37" s="170"/>
      <c r="G37" s="171"/>
      <c r="H37" s="299"/>
      <c r="I37" s="300"/>
      <c r="J37" s="300"/>
      <c r="K37" s="239"/>
      <c r="L37" s="239"/>
      <c r="M37" s="239"/>
      <c r="N37" s="224" t="str">
        <f t="shared" si="0"/>
        <v>-</v>
      </c>
      <c r="O37" s="225"/>
      <c r="P37" s="226"/>
      <c r="Q37" s="173"/>
      <c r="R37" s="174"/>
      <c r="S37" s="174"/>
      <c r="T37" s="172"/>
      <c r="U37" s="172"/>
      <c r="V37" s="172"/>
      <c r="W37" s="224" t="str">
        <f t="shared" si="1"/>
        <v>-</v>
      </c>
      <c r="X37" s="225"/>
      <c r="Y37" s="226"/>
      <c r="Z37" s="175"/>
      <c r="AA37" s="176"/>
      <c r="AB37" s="176"/>
      <c r="AC37" s="177"/>
      <c r="AD37" s="177"/>
      <c r="AE37" s="177"/>
      <c r="AF37" s="178"/>
      <c r="AG37" s="179"/>
      <c r="AH37" s="405"/>
      <c r="AI37" s="406"/>
      <c r="AJ37" s="407"/>
      <c r="AK37" s="408"/>
      <c r="AL37" s="393"/>
      <c r="AM37" s="177"/>
      <c r="AN37" s="177"/>
      <c r="AO37" s="177"/>
      <c r="AP37" s="177"/>
      <c r="AQ37" s="398"/>
    </row>
    <row r="38" spans="1:43" ht="13.5" customHeight="1">
      <c r="A38" s="59"/>
      <c r="B38" s="429" t="s">
        <v>159</v>
      </c>
      <c r="C38" s="430"/>
      <c r="D38" s="152" t="s">
        <v>160</v>
      </c>
      <c r="E38" s="153"/>
      <c r="F38" s="153"/>
      <c r="G38" s="154"/>
      <c r="H38" s="310"/>
      <c r="I38" s="246"/>
      <c r="J38" s="246"/>
      <c r="K38" s="246"/>
      <c r="L38" s="246"/>
      <c r="M38" s="246"/>
      <c r="N38" s="221" t="str">
        <f t="shared" si="0"/>
        <v>-</v>
      </c>
      <c r="O38" s="222"/>
      <c r="P38" s="223"/>
      <c r="Q38" s="168"/>
      <c r="R38" s="151"/>
      <c r="S38" s="151"/>
      <c r="T38" s="151"/>
      <c r="U38" s="151"/>
      <c r="V38" s="151"/>
      <c r="W38" s="221" t="str">
        <f t="shared" si="1"/>
        <v>-</v>
      </c>
      <c r="X38" s="222"/>
      <c r="Y38" s="223"/>
      <c r="Z38" s="409"/>
      <c r="AA38" s="400"/>
      <c r="AB38" s="400"/>
      <c r="AC38" s="400"/>
      <c r="AD38" s="400"/>
      <c r="AE38" s="400"/>
      <c r="AF38" s="221" t="str">
        <f>IF(Z38="-", "-", IF(AC38="-", "-", IF(ABS(AC38)=0, "-", ROUND(100*(Z38-AC38)/ABS(AC38),10))))</f>
        <v>-</v>
      </c>
      <c r="AG38" s="222"/>
      <c r="AH38" s="223"/>
      <c r="AI38" s="402">
        <v>21.1</v>
      </c>
      <c r="AJ38" s="403"/>
      <c r="AK38" s="404"/>
      <c r="AL38" s="311"/>
      <c r="AM38" s="308"/>
      <c r="AN38" s="309"/>
      <c r="AO38" s="307"/>
      <c r="AP38" s="308"/>
      <c r="AQ38" s="428"/>
    </row>
    <row r="39" spans="1:43" ht="13.5" customHeight="1">
      <c r="A39" s="59"/>
      <c r="B39" s="431"/>
      <c r="C39" s="432"/>
      <c r="D39" s="161" t="s">
        <v>118</v>
      </c>
      <c r="E39" s="162"/>
      <c r="F39" s="162"/>
      <c r="G39" s="163"/>
      <c r="H39" s="310"/>
      <c r="I39" s="246"/>
      <c r="J39" s="246"/>
      <c r="K39" s="246"/>
      <c r="L39" s="246"/>
      <c r="M39" s="246"/>
      <c r="N39" s="221" t="str">
        <f t="shared" si="0"/>
        <v>-</v>
      </c>
      <c r="O39" s="222"/>
      <c r="P39" s="223"/>
      <c r="Q39" s="168"/>
      <c r="R39" s="151"/>
      <c r="S39" s="151"/>
      <c r="T39" s="151"/>
      <c r="U39" s="151"/>
      <c r="V39" s="151"/>
      <c r="W39" s="221" t="str">
        <f t="shared" si="1"/>
        <v>-</v>
      </c>
      <c r="X39" s="222"/>
      <c r="Y39" s="223"/>
      <c r="Z39" s="409"/>
      <c r="AA39" s="400"/>
      <c r="AB39" s="400"/>
      <c r="AC39" s="400"/>
      <c r="AD39" s="400"/>
      <c r="AE39" s="400"/>
      <c r="AF39" s="221" t="str">
        <f>IF(Z39="-", "-", IF(AC39="-", "-", IF(ABS(AC39)=0, "-", ROUND(100*(Z39-AC39)/ABS(AC39),10))))</f>
        <v>-</v>
      </c>
      <c r="AG39" s="222"/>
      <c r="AH39" s="223"/>
      <c r="AI39" s="402">
        <v>19</v>
      </c>
      <c r="AJ39" s="403"/>
      <c r="AK39" s="404"/>
      <c r="AL39" s="311"/>
      <c r="AM39" s="308"/>
      <c r="AN39" s="309"/>
      <c r="AO39" s="307"/>
      <c r="AP39" s="308"/>
      <c r="AQ39" s="428"/>
    </row>
    <row r="40" spans="1:43" ht="13.5" customHeight="1">
      <c r="A40" s="60"/>
      <c r="B40" s="181" t="s">
        <v>118</v>
      </c>
      <c r="C40" s="182"/>
      <c r="D40" s="182"/>
      <c r="E40" s="182"/>
      <c r="F40" s="182"/>
      <c r="G40" s="183"/>
      <c r="H40" s="257"/>
      <c r="I40" s="258"/>
      <c r="J40" s="258"/>
      <c r="K40" s="259"/>
      <c r="L40" s="259"/>
      <c r="M40" s="259"/>
      <c r="N40" s="139" t="str">
        <f t="shared" si="0"/>
        <v>-</v>
      </c>
      <c r="O40" s="140"/>
      <c r="P40" s="141"/>
      <c r="Q40" s="192"/>
      <c r="R40" s="193"/>
      <c r="S40" s="193"/>
      <c r="T40" s="108"/>
      <c r="U40" s="108"/>
      <c r="V40" s="108"/>
      <c r="W40" s="139" t="str">
        <f t="shared" si="1"/>
        <v>-</v>
      </c>
      <c r="X40" s="140"/>
      <c r="Y40" s="141"/>
      <c r="Z40" s="409"/>
      <c r="AA40" s="400"/>
      <c r="AB40" s="400"/>
      <c r="AC40" s="410"/>
      <c r="AD40" s="410"/>
      <c r="AE40" s="410"/>
      <c r="AF40" s="139" t="str">
        <f>IF(Z40="-", "-", IF(AC40="-", "-", IF(ABS(AC40)=0, "-", ROUND(100*(Z40-AC40)/ABS(AC40),10))))</f>
        <v>-</v>
      </c>
      <c r="AG40" s="140"/>
      <c r="AH40" s="141"/>
      <c r="AI40" s="412">
        <v>15.9</v>
      </c>
      <c r="AJ40" s="413"/>
      <c r="AK40" s="414"/>
      <c r="AL40" s="382"/>
      <c r="AM40" s="383"/>
      <c r="AN40" s="284"/>
      <c r="AO40" s="426"/>
      <c r="AP40" s="383"/>
      <c r="AQ40" s="427"/>
    </row>
    <row r="41" spans="1:43" ht="13.5" customHeight="1">
      <c r="A41" s="211" t="s">
        <v>118</v>
      </c>
      <c r="B41" s="212"/>
      <c r="C41" s="212"/>
      <c r="D41" s="212"/>
      <c r="E41" s="212"/>
      <c r="F41" s="212"/>
      <c r="G41" s="213"/>
      <c r="H41" s="207"/>
      <c r="I41" s="203"/>
      <c r="J41" s="203"/>
      <c r="K41" s="203"/>
      <c r="L41" s="203"/>
      <c r="M41" s="203"/>
      <c r="N41" s="204"/>
      <c r="O41" s="205"/>
      <c r="P41" s="206"/>
      <c r="Q41" s="173"/>
      <c r="R41" s="174"/>
      <c r="S41" s="174"/>
      <c r="T41" s="201"/>
      <c r="U41" s="201"/>
      <c r="V41" s="201"/>
      <c r="W41" s="241" t="str">
        <f t="shared" si="1"/>
        <v>-</v>
      </c>
      <c r="X41" s="242"/>
      <c r="Y41" s="243"/>
      <c r="Z41" s="207"/>
      <c r="AA41" s="203"/>
      <c r="AB41" s="203"/>
      <c r="AC41" s="203"/>
      <c r="AD41" s="203"/>
      <c r="AE41" s="203"/>
      <c r="AF41" s="204"/>
      <c r="AG41" s="205"/>
      <c r="AH41" s="435"/>
      <c r="AI41" s="434"/>
      <c r="AJ41" s="203"/>
      <c r="AK41" s="433"/>
      <c r="AL41" s="207"/>
      <c r="AM41" s="203"/>
      <c r="AN41" s="203"/>
      <c r="AO41" s="203"/>
      <c r="AP41" s="203"/>
      <c r="AQ41" s="433"/>
    </row>
    <row r="42" spans="1:43" ht="13.5" customHeight="1">
      <c r="A42" s="211" t="s">
        <v>161</v>
      </c>
      <c r="B42" s="212"/>
      <c r="C42" s="212"/>
      <c r="D42" s="212"/>
      <c r="E42" s="212"/>
      <c r="F42" s="212"/>
      <c r="G42" s="213"/>
      <c r="H42" s="207"/>
      <c r="I42" s="203"/>
      <c r="J42" s="203"/>
      <c r="K42" s="203"/>
      <c r="L42" s="203"/>
      <c r="M42" s="203"/>
      <c r="N42" s="204"/>
      <c r="O42" s="205"/>
      <c r="P42" s="206"/>
      <c r="Q42" s="202"/>
      <c r="R42" s="201"/>
      <c r="S42" s="201"/>
      <c r="T42" s="201"/>
      <c r="U42" s="201"/>
      <c r="V42" s="201"/>
      <c r="W42" s="215" t="str">
        <f t="shared" si="1"/>
        <v>-</v>
      </c>
      <c r="X42" s="216"/>
      <c r="Y42" s="217"/>
      <c r="Z42" s="207"/>
      <c r="AA42" s="203"/>
      <c r="AB42" s="203"/>
      <c r="AC42" s="203"/>
      <c r="AD42" s="203"/>
      <c r="AE42" s="203"/>
      <c r="AF42" s="204"/>
      <c r="AG42" s="205"/>
      <c r="AH42" s="205"/>
      <c r="AI42" s="434"/>
      <c r="AJ42" s="203"/>
      <c r="AK42" s="433"/>
      <c r="AL42" s="207"/>
      <c r="AM42" s="203"/>
      <c r="AN42" s="203"/>
      <c r="AO42" s="203"/>
      <c r="AP42" s="203"/>
      <c r="AQ42" s="433"/>
    </row>
    <row r="43" spans="1:43" ht="13.5" customHeight="1">
      <c r="A43" s="67" t="s">
        <v>274</v>
      </c>
    </row>
    <row r="44" spans="1:43" ht="13.5" customHeight="1">
      <c r="A44" s="264" t="s">
        <v>7</v>
      </c>
      <c r="B44" s="262"/>
      <c r="C44" s="262"/>
      <c r="D44" s="262"/>
      <c r="E44" s="262"/>
      <c r="F44" s="262"/>
      <c r="G44" s="262"/>
      <c r="H44" s="262"/>
      <c r="I44" s="263"/>
      <c r="J44" s="264" t="s">
        <v>275</v>
      </c>
      <c r="K44" s="262"/>
      <c r="L44" s="262"/>
      <c r="M44" s="262"/>
      <c r="N44" s="262"/>
      <c r="O44" s="262"/>
      <c r="P44" s="262"/>
      <c r="Q44" s="262"/>
      <c r="R44" s="263"/>
      <c r="S44" s="264" t="s">
        <v>276</v>
      </c>
      <c r="T44" s="262"/>
      <c r="U44" s="262"/>
      <c r="V44" s="262"/>
      <c r="W44" s="262"/>
      <c r="X44" s="262"/>
      <c r="Y44" s="262"/>
      <c r="Z44" s="262"/>
      <c r="AA44" s="263"/>
      <c r="AB44" s="264" t="s">
        <v>390</v>
      </c>
      <c r="AC44" s="262"/>
      <c r="AD44" s="262"/>
      <c r="AE44" s="262"/>
      <c r="AF44" s="262"/>
      <c r="AG44" s="262"/>
      <c r="AH44" s="262"/>
      <c r="AI44" s="262"/>
      <c r="AJ44" s="263"/>
    </row>
    <row r="45" spans="1:43" ht="13.5" customHeight="1">
      <c r="A45" s="388" t="s">
        <v>267</v>
      </c>
      <c r="B45" s="123"/>
      <c r="C45" s="126"/>
      <c r="D45" s="122" t="s">
        <v>268</v>
      </c>
      <c r="E45" s="123"/>
      <c r="F45" s="126"/>
      <c r="G45" s="122" t="s">
        <v>8</v>
      </c>
      <c r="H45" s="123"/>
      <c r="I45" s="124"/>
      <c r="J45" s="125" t="s">
        <v>267</v>
      </c>
      <c r="K45" s="123"/>
      <c r="L45" s="126"/>
      <c r="M45" s="122" t="s">
        <v>268</v>
      </c>
      <c r="N45" s="123"/>
      <c r="O45" s="126"/>
      <c r="P45" s="122" t="s">
        <v>8</v>
      </c>
      <c r="Q45" s="123"/>
      <c r="R45" s="124"/>
      <c r="S45" s="125" t="s">
        <v>267</v>
      </c>
      <c r="T45" s="123"/>
      <c r="U45" s="123"/>
      <c r="V45" s="122" t="s">
        <v>268</v>
      </c>
      <c r="W45" s="123"/>
      <c r="X45" s="126"/>
      <c r="Y45" s="122" t="s">
        <v>8</v>
      </c>
      <c r="Z45" s="123"/>
      <c r="AA45" s="124"/>
      <c r="AB45" s="125" t="s">
        <v>267</v>
      </c>
      <c r="AC45" s="123"/>
      <c r="AD45" s="126"/>
      <c r="AE45" s="122" t="s">
        <v>268</v>
      </c>
      <c r="AF45" s="123"/>
      <c r="AG45" s="126"/>
      <c r="AH45" s="122" t="s">
        <v>8</v>
      </c>
      <c r="AI45" s="123"/>
      <c r="AJ45" s="124"/>
    </row>
    <row r="46" spans="1:43" ht="13.5" customHeight="1">
      <c r="A46" s="382">
        <f>SUM(J46,S46)</f>
        <v>0</v>
      </c>
      <c r="B46" s="383"/>
      <c r="C46" s="383"/>
      <c r="D46" s="384">
        <f>SUM(M46,V46)</f>
        <v>0</v>
      </c>
      <c r="E46" s="335"/>
      <c r="F46" s="336"/>
      <c r="G46" s="253" t="str">
        <f>IF(A46="-", "-", IF(D46="-", "-", IF(ABS(D46)=0, "-", ROUND(100*(A46-D46)/ABS(D46),10))))</f>
        <v>-</v>
      </c>
      <c r="H46" s="254"/>
      <c r="I46" s="255"/>
      <c r="J46" s="382">
        <f>SUM(AL12:AL17,AL19:AL21,AL23:AL28)</f>
        <v>0</v>
      </c>
      <c r="K46" s="383"/>
      <c r="L46" s="383"/>
      <c r="M46" s="384">
        <f>SUM(AO12:AO17,AO19:AO21,AO23:AO28)</f>
        <v>0</v>
      </c>
      <c r="N46" s="335"/>
      <c r="O46" s="336"/>
      <c r="P46" s="253" t="str">
        <f>IF(J46="-", "-", IF(M46="-", "-", IF(ABS(M46)=0, "-", ROUND(100*(J46-M46)/ABS(M46),10))))</f>
        <v>-</v>
      </c>
      <c r="Q46" s="254"/>
      <c r="R46" s="255"/>
      <c r="S46" s="382">
        <f>SUM(AL29,AL31:AL33,AL35:AL36,AL38:AL40,No.6!AL11:AL12,No.6!AI20:AI28,No.6!AI29:AI31,No.6!AO20:AO32,No.6!AU20:AU28)</f>
        <v>0</v>
      </c>
      <c r="T46" s="383"/>
      <c r="U46" s="383"/>
      <c r="V46" s="384">
        <f>SUM(AO29,AO31:AO33,AO35:AO36,AO38:AO40,No.6!AO11:AO12,No.6!AL20:AL28,No.6!AL29:AL31,No.6!AR20:AR32,No.6!AX20:AX28)</f>
        <v>0</v>
      </c>
      <c r="W46" s="335"/>
      <c r="X46" s="336"/>
      <c r="Y46" s="253" t="str">
        <f>IF(S46="-", "-", IF(V46="-", "-", IF(ABS(V46)=0, "-", ROUND(100*(S46-V46)/ABS(V46),10))))</f>
        <v>-</v>
      </c>
      <c r="Z46" s="254"/>
      <c r="AA46" s="255"/>
      <c r="AB46" s="382">
        <f>SUM(No.6!AI20:AI31,
No.6!AO20:AO32,
No.6!AU20:AU28)</f>
        <v>0</v>
      </c>
      <c r="AC46" s="383"/>
      <c r="AD46" s="383"/>
      <c r="AE46" s="384">
        <f>SUM(No.6!AL20:AL31,
No.6!AR20:AR32,
No.6!AX20:AX28)</f>
        <v>0</v>
      </c>
      <c r="AF46" s="335"/>
      <c r="AG46" s="336"/>
      <c r="AH46" s="253" t="str">
        <f>IF(AB46="-", "-", IF(AE46="-", "-", IF(ABS(AE46)=0, "-", ROUND(100*(AB46-AE46)/ABS(AE46),10))))</f>
        <v>-</v>
      </c>
      <c r="AI46" s="254"/>
      <c r="AJ46" s="255"/>
    </row>
    <row r="47" spans="1:43" ht="13.5" customHeight="1">
      <c r="I47" s="61"/>
      <c r="J47" s="61"/>
      <c r="K47" s="61"/>
      <c r="L47" s="61"/>
      <c r="M47" s="61"/>
      <c r="N47" s="61"/>
      <c r="O47" s="61"/>
    </row>
  </sheetData>
  <mergeCells count="478">
    <mergeCell ref="A46:C46"/>
    <mergeCell ref="D46:F46"/>
    <mergeCell ref="G46:I46"/>
    <mergeCell ref="J46:L46"/>
    <mergeCell ref="M46:O46"/>
    <mergeCell ref="P46:R46"/>
    <mergeCell ref="S46:U46"/>
    <mergeCell ref="V46:X46"/>
    <mergeCell ref="Y46:AA46"/>
    <mergeCell ref="A44:I44"/>
    <mergeCell ref="J44:R44"/>
    <mergeCell ref="S44:AA44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L39:AN39"/>
    <mergeCell ref="AO39:AQ39"/>
    <mergeCell ref="AL40:AN40"/>
    <mergeCell ref="AO40:AQ40"/>
    <mergeCell ref="AL29:AN29"/>
    <mergeCell ref="AO29:AQ29"/>
    <mergeCell ref="AL31:AN31"/>
    <mergeCell ref="AO31:AQ31"/>
    <mergeCell ref="AL32:AN32"/>
    <mergeCell ref="AO32:AQ32"/>
    <mergeCell ref="AL33:AN33"/>
    <mergeCell ref="AO33:AQ33"/>
    <mergeCell ref="AL35:AN35"/>
    <mergeCell ref="AO35:AQ35"/>
    <mergeCell ref="AO30:AQ30"/>
    <mergeCell ref="AL24:AN24"/>
    <mergeCell ref="AO24:AQ24"/>
    <mergeCell ref="AL25:AN25"/>
    <mergeCell ref="AO25:AQ25"/>
    <mergeCell ref="AL26:AN26"/>
    <mergeCell ref="AO26:AQ26"/>
    <mergeCell ref="AL27:AN27"/>
    <mergeCell ref="AO27:AQ27"/>
    <mergeCell ref="AL28:AN28"/>
    <mergeCell ref="AO28:AQ28"/>
    <mergeCell ref="AL17:AN17"/>
    <mergeCell ref="AO17:AQ17"/>
    <mergeCell ref="AL19:AN19"/>
    <mergeCell ref="AO19:AQ19"/>
    <mergeCell ref="AL20:AN20"/>
    <mergeCell ref="AO20:AQ20"/>
    <mergeCell ref="AL21:AN21"/>
    <mergeCell ref="AO21:AQ21"/>
    <mergeCell ref="AL23:AN23"/>
    <mergeCell ref="AO23:AQ23"/>
    <mergeCell ref="AO18:AQ18"/>
    <mergeCell ref="AL18:AN18"/>
    <mergeCell ref="AL12:AN12"/>
    <mergeCell ref="AO12:AQ12"/>
    <mergeCell ref="AL13:AN13"/>
    <mergeCell ref="AO13:AQ13"/>
    <mergeCell ref="AL14:AN14"/>
    <mergeCell ref="AO14:AQ14"/>
    <mergeCell ref="AL15:AN15"/>
    <mergeCell ref="AO15:AQ15"/>
    <mergeCell ref="AL16:AN16"/>
    <mergeCell ref="AO16:AQ16"/>
    <mergeCell ref="AL42:AN42"/>
    <mergeCell ref="AO42:AQ42"/>
    <mergeCell ref="T42:V42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O41:AQ41"/>
    <mergeCell ref="AF40:AH40"/>
    <mergeCell ref="AI40:AK40"/>
    <mergeCell ref="A41:G41"/>
    <mergeCell ref="H41:J41"/>
    <mergeCell ref="K41:M41"/>
    <mergeCell ref="N41:P41"/>
    <mergeCell ref="Q41:S41"/>
    <mergeCell ref="T41:V41"/>
    <mergeCell ref="W41:Y41"/>
    <mergeCell ref="Z41:AB41"/>
    <mergeCell ref="T40:V40"/>
    <mergeCell ref="W40:Y40"/>
    <mergeCell ref="Z40:AB40"/>
    <mergeCell ref="AC40:AE40"/>
    <mergeCell ref="B38:C39"/>
    <mergeCell ref="D38:G38"/>
    <mergeCell ref="H38:J38"/>
    <mergeCell ref="K38:M38"/>
    <mergeCell ref="N38:P38"/>
    <mergeCell ref="Q38:S38"/>
    <mergeCell ref="D39:G39"/>
    <mergeCell ref="H39:J39"/>
    <mergeCell ref="A42:G42"/>
    <mergeCell ref="H42:J42"/>
    <mergeCell ref="K42:M42"/>
    <mergeCell ref="N42:P42"/>
    <mergeCell ref="Q42:S42"/>
    <mergeCell ref="B40:G40"/>
    <mergeCell ref="H40:J40"/>
    <mergeCell ref="K40:M40"/>
    <mergeCell ref="N40:P40"/>
    <mergeCell ref="Q40:S40"/>
    <mergeCell ref="K39:M39"/>
    <mergeCell ref="N39:P39"/>
    <mergeCell ref="AF37:AH37"/>
    <mergeCell ref="AI37:AK37"/>
    <mergeCell ref="AL37:AN37"/>
    <mergeCell ref="AO37:AQ37"/>
    <mergeCell ref="AC36:AE36"/>
    <mergeCell ref="AF36:AH36"/>
    <mergeCell ref="AI36:AK36"/>
    <mergeCell ref="T38:V38"/>
    <mergeCell ref="W38:Y38"/>
    <mergeCell ref="Z38:AB38"/>
    <mergeCell ref="AC38:AE38"/>
    <mergeCell ref="AF38:AH38"/>
    <mergeCell ref="AI38:AK38"/>
    <mergeCell ref="AL36:AN36"/>
    <mergeCell ref="AO36:AQ36"/>
    <mergeCell ref="AL38:AN38"/>
    <mergeCell ref="AO38:AQ38"/>
    <mergeCell ref="B36:G36"/>
    <mergeCell ref="H36:J36"/>
    <mergeCell ref="K36:M36"/>
    <mergeCell ref="N36:P36"/>
    <mergeCell ref="Q36:S36"/>
    <mergeCell ref="T36:V36"/>
    <mergeCell ref="W36:Y36"/>
    <mergeCell ref="Z36:AB36"/>
    <mergeCell ref="AI39:AK39"/>
    <mergeCell ref="Q39:S39"/>
    <mergeCell ref="T39:V39"/>
    <mergeCell ref="W39:Y39"/>
    <mergeCell ref="Z39:AB39"/>
    <mergeCell ref="AC39:AE39"/>
    <mergeCell ref="AF39:AH39"/>
    <mergeCell ref="A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34:G34"/>
    <mergeCell ref="H34:J34"/>
    <mergeCell ref="K34:M34"/>
    <mergeCell ref="N34:P34"/>
    <mergeCell ref="Q34:S34"/>
    <mergeCell ref="T34:V34"/>
    <mergeCell ref="AO34:AQ34"/>
    <mergeCell ref="B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W34:Y34"/>
    <mergeCell ref="Z34:AB34"/>
    <mergeCell ref="AC34:AE34"/>
    <mergeCell ref="AF34:AH34"/>
    <mergeCell ref="AI34:AK34"/>
    <mergeCell ref="AL34:AN34"/>
    <mergeCell ref="AF35:AH35"/>
    <mergeCell ref="AI35:AK35"/>
    <mergeCell ref="AF32:AH32"/>
    <mergeCell ref="AI32:AK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I33:AK33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B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W30:Y30"/>
    <mergeCell ref="Z30:AB30"/>
    <mergeCell ref="AC30:AE30"/>
    <mergeCell ref="AF30:AH30"/>
    <mergeCell ref="AI30:AK30"/>
    <mergeCell ref="AL30:AN30"/>
    <mergeCell ref="A30:G30"/>
    <mergeCell ref="H30:J30"/>
    <mergeCell ref="K30:M30"/>
    <mergeCell ref="N30:P30"/>
    <mergeCell ref="Q30:S30"/>
    <mergeCell ref="T30:V30"/>
    <mergeCell ref="AF31:AH31"/>
    <mergeCell ref="AI31:AK31"/>
    <mergeCell ref="AF26:AH26"/>
    <mergeCell ref="AI26:AK26"/>
    <mergeCell ref="A29:G29"/>
    <mergeCell ref="H29:J29"/>
    <mergeCell ref="K29:M29"/>
    <mergeCell ref="N29:P29"/>
    <mergeCell ref="Q29:S29"/>
    <mergeCell ref="A28:G28"/>
    <mergeCell ref="H28:J28"/>
    <mergeCell ref="K28:M28"/>
    <mergeCell ref="N28:P28"/>
    <mergeCell ref="Q28:S28"/>
    <mergeCell ref="T29:V29"/>
    <mergeCell ref="W29:Y29"/>
    <mergeCell ref="Z29:AB29"/>
    <mergeCell ref="AC29:AE29"/>
    <mergeCell ref="AF29:AH29"/>
    <mergeCell ref="AI29:AK29"/>
    <mergeCell ref="W28:Y28"/>
    <mergeCell ref="Z28:AB28"/>
    <mergeCell ref="AC28:AE28"/>
    <mergeCell ref="AF28:AH28"/>
    <mergeCell ref="AI28:AK28"/>
    <mergeCell ref="T28:V28"/>
    <mergeCell ref="A27:G27"/>
    <mergeCell ref="H27:J27"/>
    <mergeCell ref="K27:M27"/>
    <mergeCell ref="N27:P27"/>
    <mergeCell ref="Q27:S27"/>
    <mergeCell ref="Z25:AB25"/>
    <mergeCell ref="AC25:AE25"/>
    <mergeCell ref="AF25:AH25"/>
    <mergeCell ref="AI25:AK25"/>
    <mergeCell ref="A26:G26"/>
    <mergeCell ref="H26:J26"/>
    <mergeCell ref="K26:M26"/>
    <mergeCell ref="N26:P26"/>
    <mergeCell ref="Q26:S26"/>
    <mergeCell ref="T26:V26"/>
    <mergeCell ref="T27:V27"/>
    <mergeCell ref="W27:Y27"/>
    <mergeCell ref="Z27:AB27"/>
    <mergeCell ref="AC27:AE27"/>
    <mergeCell ref="AF27:AH27"/>
    <mergeCell ref="AI27:AK27"/>
    <mergeCell ref="W26:Y26"/>
    <mergeCell ref="Z26:AB26"/>
    <mergeCell ref="AC26:AE26"/>
    <mergeCell ref="AF24:AH24"/>
    <mergeCell ref="AI24:AK24"/>
    <mergeCell ref="B25:G25"/>
    <mergeCell ref="H25:J25"/>
    <mergeCell ref="K25:M25"/>
    <mergeCell ref="N25:P25"/>
    <mergeCell ref="Q25:S25"/>
    <mergeCell ref="T25:V25"/>
    <mergeCell ref="W25:Y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22:G22"/>
    <mergeCell ref="H22:J22"/>
    <mergeCell ref="K22:M22"/>
    <mergeCell ref="N22:P22"/>
    <mergeCell ref="Q22:S22"/>
    <mergeCell ref="T22:V22"/>
    <mergeCell ref="AO22:AQ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W22:Y22"/>
    <mergeCell ref="Z22:AB22"/>
    <mergeCell ref="AC22:AE22"/>
    <mergeCell ref="AF22:AH22"/>
    <mergeCell ref="AI22:AK22"/>
    <mergeCell ref="AL22:AN22"/>
    <mergeCell ref="AF23:AH23"/>
    <mergeCell ref="AI23:AK23"/>
    <mergeCell ref="AF20:AH20"/>
    <mergeCell ref="AI20:AK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18:G18"/>
    <mergeCell ref="H18:J18"/>
    <mergeCell ref="K18:M18"/>
    <mergeCell ref="N18:P18"/>
    <mergeCell ref="Q18:S18"/>
    <mergeCell ref="T18:V18"/>
    <mergeCell ref="B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T17:V17"/>
    <mergeCell ref="W17:Y17"/>
    <mergeCell ref="Z17:AB17"/>
    <mergeCell ref="AC17:AE17"/>
    <mergeCell ref="AF17:AH17"/>
    <mergeCell ref="AI17:AK17"/>
    <mergeCell ref="W16:Y16"/>
    <mergeCell ref="Z16:AB16"/>
    <mergeCell ref="AC16:AE16"/>
    <mergeCell ref="AF16:AH16"/>
    <mergeCell ref="AI16:AK16"/>
    <mergeCell ref="T16:V16"/>
    <mergeCell ref="W18:Y18"/>
    <mergeCell ref="Z18:AB18"/>
    <mergeCell ref="AC18:AE18"/>
    <mergeCell ref="AF18:AH18"/>
    <mergeCell ref="AI18:AK18"/>
    <mergeCell ref="B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AF12:AH12"/>
    <mergeCell ref="AI12:AK12"/>
    <mergeCell ref="B15:G15"/>
    <mergeCell ref="H15:J15"/>
    <mergeCell ref="K15:M15"/>
    <mergeCell ref="N15:P15"/>
    <mergeCell ref="Q15:S15"/>
    <mergeCell ref="B14:G14"/>
    <mergeCell ref="H14:J14"/>
    <mergeCell ref="K14:M14"/>
    <mergeCell ref="N14:P14"/>
    <mergeCell ref="Q14:S14"/>
    <mergeCell ref="T15:V15"/>
    <mergeCell ref="W15:Y15"/>
    <mergeCell ref="Z15:AB15"/>
    <mergeCell ref="AC15:AE15"/>
    <mergeCell ref="AF15:AH15"/>
    <mergeCell ref="AI15:AK15"/>
    <mergeCell ref="W14:Y14"/>
    <mergeCell ref="Z14:AB14"/>
    <mergeCell ref="AC14:AE14"/>
    <mergeCell ref="AF14:AH14"/>
    <mergeCell ref="AI14:AK14"/>
    <mergeCell ref="T14:V14"/>
    <mergeCell ref="B13:G13"/>
    <mergeCell ref="H13:J13"/>
    <mergeCell ref="K13:M13"/>
    <mergeCell ref="N13:P13"/>
    <mergeCell ref="Q13:S13"/>
    <mergeCell ref="AF11:AH11"/>
    <mergeCell ref="AI11:AK11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W13:Y13"/>
    <mergeCell ref="Z13:AB13"/>
    <mergeCell ref="AC13:AE13"/>
    <mergeCell ref="AF13:AH13"/>
    <mergeCell ref="AI13:AK13"/>
    <mergeCell ref="W12:Y12"/>
    <mergeCell ref="Z12:AB12"/>
    <mergeCell ref="AC12:AE12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I5:R5"/>
    <mergeCell ref="AO10:AQ10"/>
    <mergeCell ref="T10:V10"/>
    <mergeCell ref="W10:Y10"/>
    <mergeCell ref="Z10:AB10"/>
    <mergeCell ref="AC10:AE10"/>
    <mergeCell ref="AF10:AH10"/>
    <mergeCell ref="AL10:AN10"/>
    <mergeCell ref="A9:G10"/>
    <mergeCell ref="H9:P9"/>
    <mergeCell ref="Q9:Y9"/>
    <mergeCell ref="Z9:AH9"/>
    <mergeCell ref="AI9:AK10"/>
    <mergeCell ref="AL9:AQ9"/>
    <mergeCell ref="H10:J10"/>
    <mergeCell ref="K10:M10"/>
    <mergeCell ref="AB44:AJ44"/>
    <mergeCell ref="AB45:AD45"/>
    <mergeCell ref="AE45:AG45"/>
    <mergeCell ref="AH45:AJ45"/>
    <mergeCell ref="AB46:AD46"/>
    <mergeCell ref="AE46:AG46"/>
    <mergeCell ref="AH46:AJ46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  <mergeCell ref="N10:P10"/>
    <mergeCell ref="Q10:S10"/>
    <mergeCell ref="A5:E5"/>
    <mergeCell ref="F5:H5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47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0" width="2.625" style="9"/>
    <col min="11" max="16384" width="2.625" style="3"/>
  </cols>
  <sheetData>
    <row r="1" spans="1:52" s="38" customFormat="1" ht="13.5" customHeight="1">
      <c r="A1" s="112" t="str">
        <f>IF(No.1!A1="","",No.1!A1)</f>
        <v/>
      </c>
      <c r="B1" s="113"/>
      <c r="C1" s="89" t="s">
        <v>380</v>
      </c>
      <c r="D1" s="36"/>
      <c r="E1" s="36"/>
      <c r="F1" s="36"/>
      <c r="G1" s="36"/>
      <c r="H1" s="37"/>
      <c r="I1" s="36"/>
      <c r="J1" s="36"/>
      <c r="K1" s="36"/>
      <c r="L1" s="36"/>
      <c r="M1" s="36"/>
      <c r="N1" s="36"/>
      <c r="O1" s="36"/>
      <c r="P1" s="36"/>
      <c r="T1" s="39"/>
      <c r="U1" s="39"/>
      <c r="AL1" s="64"/>
      <c r="AM1" s="64"/>
      <c r="AN1" s="64"/>
      <c r="AO1" s="64"/>
      <c r="AP1" s="64"/>
      <c r="AQ1" s="64"/>
      <c r="AR1" s="64"/>
      <c r="AS1" s="64"/>
    </row>
    <row r="2" spans="1:52" s="38" customFormat="1" ht="13.5" customHeight="1">
      <c r="A2" s="40" t="s">
        <v>1</v>
      </c>
      <c r="B2" s="36"/>
      <c r="C2" s="36"/>
      <c r="D2" s="36"/>
      <c r="E2" s="36"/>
      <c r="F2" s="36"/>
      <c r="G2" s="36"/>
      <c r="H2" s="37"/>
      <c r="I2" s="36"/>
      <c r="J2" s="36"/>
      <c r="K2" s="36"/>
      <c r="L2" s="36"/>
      <c r="M2" s="36"/>
      <c r="N2" s="36"/>
      <c r="O2" s="36"/>
      <c r="P2" s="36"/>
      <c r="T2" s="39"/>
      <c r="U2" s="39"/>
      <c r="AL2" s="66"/>
      <c r="AM2" s="66"/>
      <c r="AN2" s="66"/>
      <c r="AO2" s="66"/>
      <c r="AP2" s="66"/>
      <c r="AQ2" s="65"/>
      <c r="AR2" s="65"/>
      <c r="AS2" s="65"/>
    </row>
    <row r="3" spans="1:52" s="38" customFormat="1" ht="13.5" customHeight="1">
      <c r="A3" s="136"/>
      <c r="B3" s="136"/>
      <c r="C3" s="136"/>
      <c r="D3" s="136"/>
      <c r="E3" s="136"/>
      <c r="F3" s="137" t="s">
        <v>277</v>
      </c>
      <c r="G3" s="137"/>
      <c r="H3" s="137"/>
      <c r="I3" s="138" t="s">
        <v>278</v>
      </c>
      <c r="J3" s="138"/>
      <c r="K3" s="138"/>
      <c r="L3" s="138"/>
      <c r="M3" s="138"/>
      <c r="N3" s="138"/>
      <c r="O3" s="138"/>
      <c r="P3" s="115"/>
      <c r="Q3" s="115"/>
      <c r="R3" s="115"/>
      <c r="T3" s="116" t="s">
        <v>279</v>
      </c>
      <c r="U3" s="116"/>
      <c r="V3" s="116"/>
      <c r="W3" s="116"/>
      <c r="X3" s="116"/>
      <c r="Y3" s="116" t="s">
        <v>280</v>
      </c>
      <c r="Z3" s="117"/>
      <c r="AA3" s="117"/>
      <c r="AB3" s="117"/>
      <c r="AC3" s="117"/>
      <c r="AD3" s="117"/>
      <c r="AE3" s="117"/>
      <c r="AF3" s="121" t="s">
        <v>0</v>
      </c>
      <c r="AG3" s="119"/>
      <c r="AH3" s="119"/>
      <c r="AI3" s="119"/>
      <c r="AJ3" s="119"/>
      <c r="AK3" s="120"/>
    </row>
    <row r="4" spans="1:52" s="38" customFormat="1" ht="13.5" customHeight="1">
      <c r="A4" s="114" t="s">
        <v>384</v>
      </c>
      <c r="B4" s="114"/>
      <c r="C4" s="114"/>
      <c r="D4" s="114"/>
      <c r="E4" s="114"/>
      <c r="F4" s="114" t="str">
        <f>IF(No.1!F4="","",No.1!F4)</f>
        <v/>
      </c>
      <c r="G4" s="114"/>
      <c r="H4" s="114"/>
      <c r="I4" s="114" t="str">
        <f>IF(No.1!I4="","",No.1!I4)</f>
        <v/>
      </c>
      <c r="J4" s="114"/>
      <c r="K4" s="114"/>
      <c r="L4" s="114"/>
      <c r="M4" s="114"/>
      <c r="N4" s="114"/>
      <c r="O4" s="114"/>
      <c r="P4" s="115"/>
      <c r="Q4" s="115"/>
      <c r="R4" s="115"/>
      <c r="T4" s="76" t="str">
        <f>IF(No.1!AB4="","",No.1!AB4)</f>
        <v/>
      </c>
      <c r="U4" s="116" t="str">
        <f>IF(No.1!AC4="","",No.1!AC4)</f>
        <v/>
      </c>
      <c r="V4" s="116"/>
      <c r="W4" s="116"/>
      <c r="X4" s="116"/>
      <c r="Y4" s="76" t="str">
        <f>IF(No.1!AG4="","",No.1!AG4)</f>
        <v/>
      </c>
      <c r="Z4" s="114" t="str">
        <f>IF(No.1!AH4="","",No.1!AH4)</f>
        <v/>
      </c>
      <c r="AA4" s="117"/>
      <c r="AB4" s="117"/>
      <c r="AC4" s="117"/>
      <c r="AD4" s="117"/>
      <c r="AE4" s="117"/>
      <c r="AF4" s="76" t="str">
        <f>IF(No.1!AN4="","",No.1!AN4)</f>
        <v/>
      </c>
      <c r="AG4" s="118" t="str">
        <f>IF(No.1!AO4="","",No.1!AO4)</f>
        <v/>
      </c>
      <c r="AH4" s="119"/>
      <c r="AI4" s="119"/>
      <c r="AJ4" s="119"/>
      <c r="AK4" s="120"/>
    </row>
    <row r="5" spans="1:52" s="38" customFormat="1" ht="13.5" customHeight="1">
      <c r="A5" s="114" t="s">
        <v>268</v>
      </c>
      <c r="B5" s="114"/>
      <c r="C5" s="114"/>
      <c r="D5" s="114"/>
      <c r="E5" s="114"/>
      <c r="F5" s="114" t="str">
        <f>IF(No.1!F5="","",No.1!F5)</f>
        <v/>
      </c>
      <c r="G5" s="114"/>
      <c r="H5" s="114"/>
      <c r="I5" s="114" t="str">
        <f>IF(No.1!I5="","",No.1!I5)</f>
        <v/>
      </c>
      <c r="J5" s="114"/>
      <c r="K5" s="114"/>
      <c r="L5" s="114"/>
      <c r="M5" s="114"/>
      <c r="N5" s="114"/>
      <c r="O5" s="114"/>
      <c r="P5" s="115"/>
      <c r="Q5" s="115"/>
      <c r="R5" s="115"/>
    </row>
    <row r="6" spans="1:52" s="38" customFormat="1" ht="13.5" customHeight="1">
      <c r="A6" s="40"/>
      <c r="H6" s="41"/>
    </row>
    <row r="7" spans="1:52" ht="13.5" customHeight="1">
      <c r="A7" s="4" t="s">
        <v>37</v>
      </c>
      <c r="S7" s="7"/>
      <c r="AB7" s="7"/>
      <c r="AL7" s="7"/>
      <c r="AM7" s="7"/>
      <c r="AN7" s="7"/>
      <c r="AO7" s="7"/>
      <c r="AP7" s="7"/>
      <c r="AQ7" s="7"/>
      <c r="AR7" s="7"/>
      <c r="AS7" s="7"/>
      <c r="AT7" s="7"/>
    </row>
    <row r="8" spans="1:52" ht="13.5" customHeight="1">
      <c r="A8" s="1" t="s">
        <v>162</v>
      </c>
      <c r="H8" s="3"/>
      <c r="I8" s="3"/>
      <c r="J8" s="3"/>
      <c r="AH8" s="2" t="s">
        <v>131</v>
      </c>
    </row>
    <row r="9" spans="1:52" s="9" customFormat="1" ht="13.5" customHeight="1">
      <c r="A9" s="127" t="s">
        <v>41</v>
      </c>
      <c r="B9" s="128"/>
      <c r="C9" s="128"/>
      <c r="D9" s="128"/>
      <c r="E9" s="128"/>
      <c r="F9" s="128"/>
      <c r="G9" s="129"/>
      <c r="H9" s="262" t="s">
        <v>132</v>
      </c>
      <c r="I9" s="262"/>
      <c r="J9" s="262"/>
      <c r="K9" s="262"/>
      <c r="L9" s="262"/>
      <c r="M9" s="262"/>
      <c r="N9" s="262"/>
      <c r="O9" s="262"/>
      <c r="P9" s="263"/>
      <c r="Q9" s="264" t="s">
        <v>133</v>
      </c>
      <c r="R9" s="262"/>
      <c r="S9" s="262"/>
      <c r="T9" s="262"/>
      <c r="U9" s="262"/>
      <c r="V9" s="262"/>
      <c r="W9" s="262"/>
      <c r="X9" s="262"/>
      <c r="Y9" s="263"/>
      <c r="Z9" s="264" t="s">
        <v>134</v>
      </c>
      <c r="AA9" s="262"/>
      <c r="AB9" s="262"/>
      <c r="AC9" s="262"/>
      <c r="AD9" s="262"/>
      <c r="AE9" s="262"/>
      <c r="AF9" s="262"/>
      <c r="AG9" s="262"/>
      <c r="AH9" s="262"/>
      <c r="AI9" s="437" t="s">
        <v>163</v>
      </c>
      <c r="AJ9" s="354"/>
      <c r="AK9" s="356"/>
      <c r="AL9" s="287" t="s">
        <v>164</v>
      </c>
      <c r="AM9" s="287"/>
      <c r="AN9" s="287"/>
      <c r="AO9" s="287"/>
      <c r="AP9" s="287"/>
      <c r="AQ9" s="288"/>
    </row>
    <row r="10" spans="1:52" s="9" customFormat="1" ht="13.5" customHeight="1">
      <c r="A10" s="130"/>
      <c r="B10" s="131"/>
      <c r="C10" s="131"/>
      <c r="D10" s="131"/>
      <c r="E10" s="131"/>
      <c r="F10" s="131"/>
      <c r="G10" s="132"/>
      <c r="H10" s="125" t="s">
        <v>267</v>
      </c>
      <c r="I10" s="123"/>
      <c r="J10" s="126"/>
      <c r="K10" s="122" t="s">
        <v>269</v>
      </c>
      <c r="L10" s="123"/>
      <c r="M10" s="126"/>
      <c r="N10" s="385" t="s">
        <v>8</v>
      </c>
      <c r="O10" s="386"/>
      <c r="P10" s="387"/>
      <c r="Q10" s="125" t="s">
        <v>267</v>
      </c>
      <c r="R10" s="123"/>
      <c r="S10" s="126"/>
      <c r="T10" s="122" t="s">
        <v>269</v>
      </c>
      <c r="U10" s="123"/>
      <c r="V10" s="126"/>
      <c r="W10" s="385" t="s">
        <v>8</v>
      </c>
      <c r="X10" s="386"/>
      <c r="Y10" s="387"/>
      <c r="Z10" s="125" t="s">
        <v>267</v>
      </c>
      <c r="AA10" s="123"/>
      <c r="AB10" s="126"/>
      <c r="AC10" s="122" t="s">
        <v>269</v>
      </c>
      <c r="AD10" s="123"/>
      <c r="AE10" s="126"/>
      <c r="AF10" s="385" t="s">
        <v>8</v>
      </c>
      <c r="AG10" s="386"/>
      <c r="AH10" s="386"/>
      <c r="AI10" s="438"/>
      <c r="AJ10" s="391"/>
      <c r="AK10" s="392"/>
      <c r="AL10" s="125" t="s">
        <v>267</v>
      </c>
      <c r="AM10" s="123"/>
      <c r="AN10" s="126"/>
      <c r="AO10" s="122" t="s">
        <v>269</v>
      </c>
      <c r="AP10" s="123"/>
      <c r="AQ10" s="124"/>
    </row>
    <row r="11" spans="1:52" ht="13.5" customHeight="1">
      <c r="A11" s="265" t="s">
        <v>154</v>
      </c>
      <c r="B11" s="162"/>
      <c r="C11" s="162"/>
      <c r="D11" s="162"/>
      <c r="E11" s="162"/>
      <c r="F11" s="162"/>
      <c r="G11" s="163"/>
      <c r="H11" s="238"/>
      <c r="I11" s="239"/>
      <c r="J11" s="239"/>
      <c r="K11" s="246"/>
      <c r="L11" s="246"/>
      <c r="M11" s="246"/>
      <c r="N11" s="241" t="str">
        <f>IF(H11="-", "-", IF(K11="-", "-", IF(ABS(K11)=0, "-", ROUND(100*(H11-K11)/ABS(K11),10))))</f>
        <v>-</v>
      </c>
      <c r="O11" s="242"/>
      <c r="P11" s="243"/>
      <c r="Q11" s="173"/>
      <c r="R11" s="174"/>
      <c r="S11" s="174"/>
      <c r="T11" s="151"/>
      <c r="U11" s="151"/>
      <c r="V11" s="151"/>
      <c r="W11" s="241" t="str">
        <f>IF(Q11="-", "-", IF(T11="-", "-", IF(ABS(T11)=0, "-", ROUND(100*(Q11-T11)/ABS(T11),10))))</f>
        <v>-</v>
      </c>
      <c r="X11" s="242"/>
      <c r="Y11" s="243"/>
      <c r="Z11" s="445"/>
      <c r="AA11" s="446"/>
      <c r="AB11" s="446"/>
      <c r="AC11" s="400"/>
      <c r="AD11" s="400"/>
      <c r="AE11" s="400"/>
      <c r="AF11" s="241" t="str">
        <f>IF(Z11="-", "-", IF(AC11="-", "-", IF(ABS(AC11)=0, "-", ROUND(100*(Z11-AC11)/ABS(AC11),10))))</f>
        <v>-</v>
      </c>
      <c r="AG11" s="242"/>
      <c r="AH11" s="243"/>
      <c r="AI11" s="439">
        <v>37.700000000000003</v>
      </c>
      <c r="AJ11" s="440"/>
      <c r="AK11" s="441"/>
      <c r="AL11" s="447"/>
      <c r="AM11" s="302"/>
      <c r="AN11" s="303"/>
      <c r="AO11" s="301"/>
      <c r="AP11" s="302"/>
      <c r="AQ11" s="448"/>
    </row>
    <row r="12" spans="1:52" ht="13.5" customHeight="1">
      <c r="A12" s="244" t="s">
        <v>118</v>
      </c>
      <c r="B12" s="153"/>
      <c r="C12" s="153"/>
      <c r="D12" s="153"/>
      <c r="E12" s="153"/>
      <c r="F12" s="153"/>
      <c r="G12" s="154"/>
      <c r="H12" s="350"/>
      <c r="I12" s="351"/>
      <c r="J12" s="351"/>
      <c r="K12" s="340"/>
      <c r="L12" s="340"/>
      <c r="M12" s="340"/>
      <c r="N12" s="208" t="str">
        <f>IF(H12="-", "-", IF(K12="-", "-", IF(ABS(K12)=0, "-", ROUND(100*(H12-K12)/ABS(K12),10))))</f>
        <v>-</v>
      </c>
      <c r="O12" s="209"/>
      <c r="P12" s="210"/>
      <c r="Q12" s="107"/>
      <c r="R12" s="108"/>
      <c r="S12" s="108"/>
      <c r="T12" s="188"/>
      <c r="U12" s="188"/>
      <c r="V12" s="188"/>
      <c r="W12" s="95" t="str">
        <f>IF(Q12="-", "-", IF(T12="-", "-", IF(ABS(T12)=0, "-", ROUND(100*(Q12-T12)/ABS(T12),10))))</f>
        <v>-</v>
      </c>
      <c r="X12" s="96"/>
      <c r="Y12" s="97"/>
      <c r="Z12" s="442"/>
      <c r="AA12" s="443"/>
      <c r="AB12" s="443"/>
      <c r="AC12" s="444"/>
      <c r="AD12" s="444"/>
      <c r="AE12" s="444"/>
      <c r="AF12" s="208" t="str">
        <f>IF(Z12="-", "-", IF(AC12="-", "-", IF(ABS(AC12)=0, "-", ROUND(100*(Z12-AC12)/ABS(AC12),10))))</f>
        <v>-</v>
      </c>
      <c r="AG12" s="209"/>
      <c r="AH12" s="210"/>
      <c r="AI12" s="517">
        <v>39</v>
      </c>
      <c r="AJ12" s="518"/>
      <c r="AK12" s="519"/>
      <c r="AL12" s="382"/>
      <c r="AM12" s="383"/>
      <c r="AN12" s="284"/>
      <c r="AO12" s="426"/>
      <c r="AP12" s="383"/>
      <c r="AQ12" s="427"/>
    </row>
    <row r="13" spans="1:52" ht="13.5" customHeight="1">
      <c r="A13" s="211" t="s">
        <v>161</v>
      </c>
      <c r="B13" s="212"/>
      <c r="C13" s="212"/>
      <c r="D13" s="212"/>
      <c r="E13" s="212"/>
      <c r="F13" s="212"/>
      <c r="G13" s="213"/>
      <c r="H13" s="449"/>
      <c r="I13" s="450"/>
      <c r="J13" s="450"/>
      <c r="K13" s="451"/>
      <c r="L13" s="450"/>
      <c r="M13" s="450"/>
      <c r="N13" s="452"/>
      <c r="O13" s="453"/>
      <c r="P13" s="454"/>
      <c r="Q13" s="202"/>
      <c r="R13" s="201"/>
      <c r="S13" s="201"/>
      <c r="T13" s="201"/>
      <c r="U13" s="201"/>
      <c r="V13" s="201"/>
      <c r="W13" s="253" t="str">
        <f>IF(Q13="-", "-", IF(T13="-", "-", IF(ABS(T13)=0, "-", ROUND(100*(Q13-T13)/ABS(T13),10))))</f>
        <v>-</v>
      </c>
      <c r="X13" s="254"/>
      <c r="Y13" s="255"/>
      <c r="Z13" s="455"/>
      <c r="AA13" s="456"/>
      <c r="AB13" s="456"/>
      <c r="AC13" s="457"/>
      <c r="AD13" s="456"/>
      <c r="AE13" s="456"/>
      <c r="AF13" s="452"/>
      <c r="AG13" s="453"/>
      <c r="AH13" s="453"/>
      <c r="AI13" s="455"/>
      <c r="AJ13" s="456"/>
      <c r="AK13" s="458"/>
      <c r="AL13" s="455"/>
      <c r="AM13" s="456"/>
      <c r="AN13" s="456"/>
      <c r="AO13" s="452"/>
      <c r="AP13" s="453"/>
      <c r="AQ13" s="454"/>
    </row>
    <row r="14" spans="1:52" ht="13.5" customHeight="1">
      <c r="A14" s="12"/>
      <c r="B14" s="8"/>
      <c r="C14" s="8"/>
      <c r="D14" s="8"/>
      <c r="E14" s="8"/>
      <c r="F14" s="8"/>
      <c r="G14" s="8"/>
      <c r="H14" s="33"/>
      <c r="I14" s="33"/>
      <c r="J14" s="33"/>
      <c r="K14" s="33"/>
      <c r="L14" s="33"/>
      <c r="M14" s="33"/>
      <c r="N14" s="35"/>
      <c r="O14" s="35"/>
      <c r="P14" s="35"/>
      <c r="Q14" s="33"/>
      <c r="R14" s="33"/>
      <c r="S14" s="33"/>
      <c r="T14" s="33"/>
      <c r="U14" s="33"/>
      <c r="V14" s="33"/>
      <c r="W14" s="35"/>
      <c r="X14" s="35"/>
      <c r="Y14" s="35"/>
      <c r="Z14" s="13"/>
      <c r="AA14" s="13"/>
      <c r="AB14" s="13"/>
      <c r="AC14" s="13"/>
      <c r="AD14" s="13"/>
      <c r="AE14" s="13"/>
      <c r="AF14" s="35"/>
      <c r="AG14" s="35"/>
      <c r="AH14" s="35"/>
    </row>
    <row r="15" spans="1:52" ht="13.5" customHeight="1">
      <c r="A15" s="1" t="s">
        <v>165</v>
      </c>
      <c r="AH15" s="2"/>
      <c r="AZ15" s="2" t="s">
        <v>35</v>
      </c>
    </row>
    <row r="16" spans="1:52" s="9" customFormat="1" ht="13.5" customHeight="1">
      <c r="A16" s="127"/>
      <c r="B16" s="128"/>
      <c r="C16" s="128"/>
      <c r="D16" s="128"/>
      <c r="E16" s="128"/>
      <c r="F16" s="128"/>
      <c r="G16" s="129"/>
      <c r="H16" s="355" t="s">
        <v>166</v>
      </c>
      <c r="I16" s="354"/>
      <c r="J16" s="354"/>
      <c r="K16" s="354"/>
      <c r="L16" s="354"/>
      <c r="M16" s="354"/>
      <c r="N16" s="354"/>
      <c r="O16" s="354"/>
      <c r="P16" s="356"/>
      <c r="Q16" s="355" t="s">
        <v>167</v>
      </c>
      <c r="R16" s="354"/>
      <c r="S16" s="354"/>
      <c r="T16" s="354"/>
      <c r="U16" s="354"/>
      <c r="V16" s="354"/>
      <c r="W16" s="354"/>
      <c r="X16" s="354"/>
      <c r="Y16" s="356"/>
      <c r="Z16" s="355" t="s">
        <v>168</v>
      </c>
      <c r="AA16" s="354"/>
      <c r="AB16" s="354"/>
      <c r="AC16" s="354"/>
      <c r="AD16" s="354"/>
      <c r="AE16" s="354"/>
      <c r="AF16" s="354"/>
      <c r="AG16" s="354"/>
      <c r="AH16" s="356"/>
      <c r="AI16" s="514" t="s">
        <v>164</v>
      </c>
      <c r="AJ16" s="515"/>
      <c r="AK16" s="515"/>
      <c r="AL16" s="515"/>
      <c r="AM16" s="515"/>
      <c r="AN16" s="515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6"/>
    </row>
    <row r="17" spans="1:52" s="9" customFormat="1" ht="13.5" customHeight="1">
      <c r="A17" s="462"/>
      <c r="B17" s="463"/>
      <c r="C17" s="463"/>
      <c r="D17" s="463"/>
      <c r="E17" s="463"/>
      <c r="F17" s="463"/>
      <c r="G17" s="464"/>
      <c r="H17" s="459"/>
      <c r="I17" s="460"/>
      <c r="J17" s="460"/>
      <c r="K17" s="460"/>
      <c r="L17" s="460"/>
      <c r="M17" s="460"/>
      <c r="N17" s="460"/>
      <c r="O17" s="460"/>
      <c r="P17" s="461"/>
      <c r="Q17" s="459"/>
      <c r="R17" s="460"/>
      <c r="S17" s="460"/>
      <c r="T17" s="460"/>
      <c r="U17" s="460"/>
      <c r="V17" s="460"/>
      <c r="W17" s="460"/>
      <c r="X17" s="460"/>
      <c r="Y17" s="461"/>
      <c r="Z17" s="459"/>
      <c r="AA17" s="460"/>
      <c r="AB17" s="460"/>
      <c r="AC17" s="460"/>
      <c r="AD17" s="460"/>
      <c r="AE17" s="460"/>
      <c r="AF17" s="460"/>
      <c r="AG17" s="460"/>
      <c r="AH17" s="461"/>
      <c r="AI17" s="264" t="s">
        <v>166</v>
      </c>
      <c r="AJ17" s="262"/>
      <c r="AK17" s="262"/>
      <c r="AL17" s="262"/>
      <c r="AM17" s="262"/>
      <c r="AN17" s="263"/>
      <c r="AO17" s="264" t="s">
        <v>167</v>
      </c>
      <c r="AP17" s="262"/>
      <c r="AQ17" s="262"/>
      <c r="AR17" s="262"/>
      <c r="AS17" s="262"/>
      <c r="AT17" s="263"/>
      <c r="AU17" s="264" t="s">
        <v>168</v>
      </c>
      <c r="AV17" s="262"/>
      <c r="AW17" s="262"/>
      <c r="AX17" s="262"/>
      <c r="AY17" s="262"/>
      <c r="AZ17" s="263"/>
    </row>
    <row r="18" spans="1:52" s="9" customFormat="1" ht="13.5" customHeight="1">
      <c r="A18" s="130"/>
      <c r="B18" s="131"/>
      <c r="C18" s="131"/>
      <c r="D18" s="131"/>
      <c r="E18" s="131"/>
      <c r="F18" s="131"/>
      <c r="G18" s="132"/>
      <c r="H18" s="125" t="s">
        <v>267</v>
      </c>
      <c r="I18" s="123"/>
      <c r="J18" s="126"/>
      <c r="K18" s="122" t="s">
        <v>269</v>
      </c>
      <c r="L18" s="123"/>
      <c r="M18" s="126"/>
      <c r="N18" s="385" t="s">
        <v>8</v>
      </c>
      <c r="O18" s="386"/>
      <c r="P18" s="387"/>
      <c r="Q18" s="125" t="s">
        <v>267</v>
      </c>
      <c r="R18" s="123"/>
      <c r="S18" s="126"/>
      <c r="T18" s="122" t="s">
        <v>269</v>
      </c>
      <c r="U18" s="123"/>
      <c r="V18" s="126"/>
      <c r="W18" s="385" t="s">
        <v>8</v>
      </c>
      <c r="X18" s="386"/>
      <c r="Y18" s="387"/>
      <c r="Z18" s="125" t="s">
        <v>267</v>
      </c>
      <c r="AA18" s="123"/>
      <c r="AB18" s="126"/>
      <c r="AC18" s="122" t="s">
        <v>269</v>
      </c>
      <c r="AD18" s="123"/>
      <c r="AE18" s="126"/>
      <c r="AF18" s="385" t="s">
        <v>8</v>
      </c>
      <c r="AG18" s="386"/>
      <c r="AH18" s="387"/>
      <c r="AI18" s="125" t="s">
        <v>267</v>
      </c>
      <c r="AJ18" s="123"/>
      <c r="AK18" s="126"/>
      <c r="AL18" s="122" t="s">
        <v>269</v>
      </c>
      <c r="AM18" s="123"/>
      <c r="AN18" s="124"/>
      <c r="AO18" s="125" t="s">
        <v>267</v>
      </c>
      <c r="AP18" s="123"/>
      <c r="AQ18" s="126"/>
      <c r="AR18" s="122" t="s">
        <v>269</v>
      </c>
      <c r="AS18" s="123"/>
      <c r="AT18" s="124"/>
      <c r="AU18" s="125" t="s">
        <v>267</v>
      </c>
      <c r="AV18" s="123"/>
      <c r="AW18" s="126"/>
      <c r="AX18" s="122" t="s">
        <v>269</v>
      </c>
      <c r="AY18" s="123"/>
      <c r="AZ18" s="124"/>
    </row>
    <row r="19" spans="1:52" ht="13.5" customHeight="1">
      <c r="A19" s="144" t="s">
        <v>169</v>
      </c>
      <c r="B19" s="145"/>
      <c r="C19" s="145"/>
      <c r="D19" s="145"/>
      <c r="E19" s="145"/>
      <c r="F19" s="145"/>
      <c r="G19" s="146"/>
      <c r="H19" s="299"/>
      <c r="I19" s="300"/>
      <c r="J19" s="300"/>
      <c r="K19" s="239"/>
      <c r="L19" s="239"/>
      <c r="M19" s="239"/>
      <c r="N19" s="241" t="str">
        <f>IF(H19="-", "-", IF(K19="-", "-", IF(ABS(K19)=0, "-", ROUND(100*(H19-K19)/ABS(K19),10))))</f>
        <v>-</v>
      </c>
      <c r="O19" s="242"/>
      <c r="P19" s="243"/>
      <c r="Q19" s="299"/>
      <c r="R19" s="300"/>
      <c r="S19" s="300"/>
      <c r="T19" s="239"/>
      <c r="U19" s="239"/>
      <c r="V19" s="239"/>
      <c r="W19" s="241" t="str">
        <f>IF(Q19="-", "-", IF(T19="-", "-", IF(ABS(T19)=0, "-", ROUND(100*(Q19-T19)/ABS(T19),10))))</f>
        <v>-</v>
      </c>
      <c r="X19" s="242"/>
      <c r="Y19" s="243"/>
      <c r="Z19" s="299"/>
      <c r="AA19" s="300"/>
      <c r="AB19" s="300"/>
      <c r="AC19" s="239"/>
      <c r="AD19" s="239"/>
      <c r="AE19" s="239"/>
      <c r="AF19" s="241" t="str">
        <f t="shared" ref="AF19:AF28" si="0">IF(Z19="-", "-", IF(AC19="-", "-", IF(ABS(AC19)=0, "-", ROUND(100*(Z19-AC19)/ABS(AC19),10))))</f>
        <v>-</v>
      </c>
      <c r="AG19" s="242"/>
      <c r="AH19" s="243"/>
      <c r="AI19" s="468"/>
      <c r="AJ19" s="466"/>
      <c r="AK19" s="466"/>
      <c r="AL19" s="465"/>
      <c r="AM19" s="466"/>
      <c r="AN19" s="467"/>
      <c r="AO19" s="468"/>
      <c r="AP19" s="466"/>
      <c r="AQ19" s="466"/>
      <c r="AR19" s="465"/>
      <c r="AS19" s="466"/>
      <c r="AT19" s="467"/>
      <c r="AU19" s="468"/>
      <c r="AV19" s="466"/>
      <c r="AW19" s="466"/>
      <c r="AX19" s="465"/>
      <c r="AY19" s="466"/>
      <c r="AZ19" s="467"/>
    </row>
    <row r="20" spans="1:52" ht="13.5" customHeight="1">
      <c r="A20" s="74"/>
      <c r="B20" s="161" t="s">
        <v>170</v>
      </c>
      <c r="C20" s="162"/>
      <c r="D20" s="162"/>
      <c r="E20" s="162"/>
      <c r="F20" s="162"/>
      <c r="G20" s="163"/>
      <c r="H20" s="310"/>
      <c r="I20" s="246"/>
      <c r="J20" s="246"/>
      <c r="K20" s="246"/>
      <c r="L20" s="246"/>
      <c r="M20" s="246"/>
      <c r="N20" s="208" t="str">
        <f>IF(H20="-", "-", IF(K20="-", "-", IF(ABS(K20)=0, "-", ROUND(100*(H20-K20)/ABS(K20),10))))</f>
        <v>-</v>
      </c>
      <c r="O20" s="209"/>
      <c r="P20" s="210"/>
      <c r="Q20" s="310"/>
      <c r="R20" s="246"/>
      <c r="S20" s="246"/>
      <c r="T20" s="246"/>
      <c r="U20" s="246"/>
      <c r="V20" s="246"/>
      <c r="W20" s="208" t="str">
        <f>IF(Q20="-", "-", IF(T20="-", "-", IF(ABS(T20)=0, "-", ROUND(100*(Q20-T20)/ABS(T20),10))))</f>
        <v>-</v>
      </c>
      <c r="X20" s="209"/>
      <c r="Y20" s="210"/>
      <c r="Z20" s="310"/>
      <c r="AA20" s="246"/>
      <c r="AB20" s="246"/>
      <c r="AC20" s="246"/>
      <c r="AD20" s="246"/>
      <c r="AE20" s="246"/>
      <c r="AF20" s="208" t="str">
        <f t="shared" si="0"/>
        <v>-</v>
      </c>
      <c r="AG20" s="209"/>
      <c r="AH20" s="210"/>
      <c r="AI20" s="311"/>
      <c r="AJ20" s="308"/>
      <c r="AK20" s="309"/>
      <c r="AL20" s="307"/>
      <c r="AM20" s="308"/>
      <c r="AN20" s="428"/>
      <c r="AO20" s="311"/>
      <c r="AP20" s="308"/>
      <c r="AQ20" s="309"/>
      <c r="AR20" s="307"/>
      <c r="AS20" s="308"/>
      <c r="AT20" s="428"/>
      <c r="AU20" s="311"/>
      <c r="AV20" s="308"/>
      <c r="AW20" s="309"/>
      <c r="AX20" s="307"/>
      <c r="AY20" s="308"/>
      <c r="AZ20" s="428"/>
    </row>
    <row r="21" spans="1:52" ht="13.5" customHeight="1">
      <c r="A21" s="74"/>
      <c r="B21" s="161" t="s">
        <v>171</v>
      </c>
      <c r="C21" s="162"/>
      <c r="D21" s="162"/>
      <c r="E21" s="162"/>
      <c r="F21" s="162"/>
      <c r="G21" s="163"/>
      <c r="H21" s="310"/>
      <c r="I21" s="246"/>
      <c r="J21" s="246"/>
      <c r="K21" s="246"/>
      <c r="L21" s="246"/>
      <c r="M21" s="246"/>
      <c r="N21" s="221" t="str">
        <f>IF(H21="-", "-", IF(K21="-", "-", IF(ABS(K21)=0, "-", ROUND(100*(H21-K21)/ABS(K21),10))))</f>
        <v>-</v>
      </c>
      <c r="O21" s="222"/>
      <c r="P21" s="223"/>
      <c r="Q21" s="310"/>
      <c r="R21" s="246"/>
      <c r="S21" s="246"/>
      <c r="T21" s="246"/>
      <c r="U21" s="246"/>
      <c r="V21" s="246"/>
      <c r="W21" s="221" t="str">
        <f>IF(Q21="-", "-", IF(T21="-", "-", IF(ABS(T21)=0, "-", ROUND(100*(Q21-T21)/ABS(T21),10))))</f>
        <v>-</v>
      </c>
      <c r="X21" s="222"/>
      <c r="Y21" s="223"/>
      <c r="Z21" s="310"/>
      <c r="AA21" s="246"/>
      <c r="AB21" s="246"/>
      <c r="AC21" s="246"/>
      <c r="AD21" s="246"/>
      <c r="AE21" s="246"/>
      <c r="AF21" s="221" t="str">
        <f t="shared" si="0"/>
        <v>-</v>
      </c>
      <c r="AG21" s="222"/>
      <c r="AH21" s="223"/>
      <c r="AI21" s="311"/>
      <c r="AJ21" s="308"/>
      <c r="AK21" s="309"/>
      <c r="AL21" s="307"/>
      <c r="AM21" s="308"/>
      <c r="AN21" s="428"/>
      <c r="AO21" s="311"/>
      <c r="AP21" s="308"/>
      <c r="AQ21" s="309"/>
      <c r="AR21" s="307"/>
      <c r="AS21" s="308"/>
      <c r="AT21" s="428"/>
      <c r="AU21" s="311"/>
      <c r="AV21" s="308"/>
      <c r="AW21" s="309"/>
      <c r="AX21" s="307"/>
      <c r="AY21" s="308"/>
      <c r="AZ21" s="428"/>
    </row>
    <row r="22" spans="1:52" ht="13.5" customHeight="1">
      <c r="A22" s="74"/>
      <c r="B22" s="161" t="s">
        <v>172</v>
      </c>
      <c r="C22" s="162"/>
      <c r="D22" s="162"/>
      <c r="E22" s="162"/>
      <c r="F22" s="162"/>
      <c r="G22" s="163"/>
      <c r="H22" s="350"/>
      <c r="I22" s="351"/>
      <c r="J22" s="351"/>
      <c r="K22" s="246"/>
      <c r="L22" s="246"/>
      <c r="M22" s="246"/>
      <c r="N22" s="208" t="str">
        <f>IF(H22="-", "-", IF(K22="-", "-", IF(ABS(K22)=0, "-", ROUND(100*(H22-K22)/ABS(K22),10))))</f>
        <v>-</v>
      </c>
      <c r="O22" s="209"/>
      <c r="P22" s="210"/>
      <c r="Q22" s="350"/>
      <c r="R22" s="351"/>
      <c r="S22" s="351"/>
      <c r="T22" s="246"/>
      <c r="U22" s="246"/>
      <c r="V22" s="246"/>
      <c r="W22" s="208" t="str">
        <f>IF(Q22="-", "-", IF(T22="-", "-", IF(ABS(T22)=0, "-", ROUND(100*(Q22-T22)/ABS(T22),10))))</f>
        <v>-</v>
      </c>
      <c r="X22" s="209"/>
      <c r="Y22" s="210"/>
      <c r="Z22" s="310"/>
      <c r="AA22" s="246"/>
      <c r="AB22" s="246"/>
      <c r="AC22" s="246"/>
      <c r="AD22" s="246"/>
      <c r="AE22" s="246"/>
      <c r="AF22" s="221" t="str">
        <f t="shared" si="0"/>
        <v>-</v>
      </c>
      <c r="AG22" s="222"/>
      <c r="AH22" s="223"/>
      <c r="AI22" s="311"/>
      <c r="AJ22" s="308"/>
      <c r="AK22" s="309"/>
      <c r="AL22" s="307"/>
      <c r="AM22" s="308"/>
      <c r="AN22" s="428"/>
      <c r="AO22" s="311"/>
      <c r="AP22" s="308"/>
      <c r="AQ22" s="309"/>
      <c r="AR22" s="307"/>
      <c r="AS22" s="308"/>
      <c r="AT22" s="428"/>
      <c r="AU22" s="311"/>
      <c r="AV22" s="308"/>
      <c r="AW22" s="309"/>
      <c r="AX22" s="307"/>
      <c r="AY22" s="308"/>
      <c r="AZ22" s="428"/>
    </row>
    <row r="23" spans="1:52" ht="13.5" customHeight="1">
      <c r="A23" s="74"/>
      <c r="B23" s="161" t="s">
        <v>173</v>
      </c>
      <c r="C23" s="162"/>
      <c r="D23" s="162"/>
      <c r="E23" s="162"/>
      <c r="F23" s="162"/>
      <c r="G23" s="163"/>
      <c r="H23" s="470"/>
      <c r="I23" s="471"/>
      <c r="J23" s="471"/>
      <c r="K23" s="472"/>
      <c r="L23" s="473"/>
      <c r="M23" s="473"/>
      <c r="N23" s="474"/>
      <c r="O23" s="475"/>
      <c r="P23" s="475"/>
      <c r="Q23" s="470"/>
      <c r="R23" s="471"/>
      <c r="S23" s="471"/>
      <c r="T23" s="472"/>
      <c r="U23" s="473"/>
      <c r="V23" s="473"/>
      <c r="W23" s="474"/>
      <c r="X23" s="475"/>
      <c r="Y23" s="476"/>
      <c r="Z23" s="310"/>
      <c r="AA23" s="246"/>
      <c r="AB23" s="246"/>
      <c r="AC23" s="246"/>
      <c r="AD23" s="246"/>
      <c r="AE23" s="246"/>
      <c r="AF23" s="208" t="str">
        <f t="shared" si="0"/>
        <v>-</v>
      </c>
      <c r="AG23" s="209"/>
      <c r="AH23" s="210"/>
      <c r="AI23" s="357"/>
      <c r="AJ23" s="157"/>
      <c r="AK23" s="157"/>
      <c r="AL23" s="157"/>
      <c r="AM23" s="157"/>
      <c r="AN23" s="469"/>
      <c r="AO23" s="357"/>
      <c r="AP23" s="157"/>
      <c r="AQ23" s="157"/>
      <c r="AR23" s="157"/>
      <c r="AS23" s="157"/>
      <c r="AT23" s="469"/>
      <c r="AU23" s="311"/>
      <c r="AV23" s="308"/>
      <c r="AW23" s="309"/>
      <c r="AX23" s="307"/>
      <c r="AY23" s="308"/>
      <c r="AZ23" s="428"/>
    </row>
    <row r="24" spans="1:52" ht="13.5" customHeight="1">
      <c r="A24" s="32"/>
      <c r="B24" s="181" t="s">
        <v>118</v>
      </c>
      <c r="C24" s="182"/>
      <c r="D24" s="182"/>
      <c r="E24" s="182"/>
      <c r="F24" s="182"/>
      <c r="G24" s="183"/>
      <c r="H24" s="285"/>
      <c r="I24" s="259"/>
      <c r="J24" s="259"/>
      <c r="K24" s="259"/>
      <c r="L24" s="259"/>
      <c r="M24" s="259"/>
      <c r="N24" s="95" t="str">
        <f t="shared" ref="N24:N31" si="1">IF(H24="-", "-", IF(K24="-", "-", IF(ABS(K24)=0, "-", ROUND(100*(H24-K24)/ABS(K24),10))))</f>
        <v>-</v>
      </c>
      <c r="O24" s="96"/>
      <c r="P24" s="97"/>
      <c r="Q24" s="285"/>
      <c r="R24" s="259"/>
      <c r="S24" s="259"/>
      <c r="T24" s="259"/>
      <c r="U24" s="259"/>
      <c r="V24" s="259"/>
      <c r="W24" s="95" t="str">
        <f>IF(Q24="-", "-", IF(T24="-", "-", IF(ABS(T24)=0, "-", ROUND(100*(Q24-T24)/ABS(T24),10))))</f>
        <v>-</v>
      </c>
      <c r="X24" s="96"/>
      <c r="Y24" s="97"/>
      <c r="Z24" s="350"/>
      <c r="AA24" s="351"/>
      <c r="AB24" s="351"/>
      <c r="AC24" s="259"/>
      <c r="AD24" s="259"/>
      <c r="AE24" s="259"/>
      <c r="AF24" s="95" t="str">
        <f t="shared" si="0"/>
        <v>-</v>
      </c>
      <c r="AG24" s="96"/>
      <c r="AH24" s="97"/>
      <c r="AI24" s="382"/>
      <c r="AJ24" s="383"/>
      <c r="AK24" s="284"/>
      <c r="AL24" s="426"/>
      <c r="AM24" s="383"/>
      <c r="AN24" s="427"/>
      <c r="AO24" s="382"/>
      <c r="AP24" s="383"/>
      <c r="AQ24" s="284"/>
      <c r="AR24" s="426"/>
      <c r="AS24" s="383"/>
      <c r="AT24" s="427"/>
      <c r="AU24" s="382"/>
      <c r="AV24" s="383"/>
      <c r="AW24" s="284"/>
      <c r="AX24" s="426"/>
      <c r="AY24" s="383"/>
      <c r="AZ24" s="427"/>
    </row>
    <row r="25" spans="1:52" ht="13.5" customHeight="1">
      <c r="A25" s="169" t="s">
        <v>174</v>
      </c>
      <c r="B25" s="170"/>
      <c r="C25" s="170"/>
      <c r="D25" s="170"/>
      <c r="E25" s="170"/>
      <c r="F25" s="170"/>
      <c r="G25" s="171"/>
      <c r="H25" s="477"/>
      <c r="I25" s="340"/>
      <c r="J25" s="340"/>
      <c r="K25" s="239"/>
      <c r="L25" s="239"/>
      <c r="M25" s="239"/>
      <c r="N25" s="139" t="str">
        <f t="shared" si="1"/>
        <v>-</v>
      </c>
      <c r="O25" s="140"/>
      <c r="P25" s="141"/>
      <c r="Q25" s="350"/>
      <c r="R25" s="351"/>
      <c r="S25" s="351"/>
      <c r="T25" s="239"/>
      <c r="U25" s="239"/>
      <c r="V25" s="239"/>
      <c r="W25" s="139" t="str">
        <f>IF(Q25="-", "-", IF(T25="-", "-", IF(ABS(T25)=0, "-", ROUND(100*(Q25-T25)/ABS(T25),10))))</f>
        <v>-</v>
      </c>
      <c r="X25" s="140"/>
      <c r="Y25" s="141"/>
      <c r="Z25" s="299"/>
      <c r="AA25" s="300"/>
      <c r="AB25" s="300"/>
      <c r="AC25" s="239"/>
      <c r="AD25" s="239"/>
      <c r="AE25" s="239"/>
      <c r="AF25" s="139" t="str">
        <f t="shared" si="0"/>
        <v>-</v>
      </c>
      <c r="AG25" s="140"/>
      <c r="AH25" s="141"/>
      <c r="AI25" s="393"/>
      <c r="AJ25" s="177"/>
      <c r="AK25" s="177"/>
      <c r="AL25" s="177"/>
      <c r="AM25" s="177"/>
      <c r="AN25" s="398"/>
      <c r="AO25" s="393"/>
      <c r="AP25" s="177"/>
      <c r="AQ25" s="177"/>
      <c r="AR25" s="177"/>
      <c r="AS25" s="177"/>
      <c r="AT25" s="398"/>
      <c r="AU25" s="393"/>
      <c r="AV25" s="177"/>
      <c r="AW25" s="177"/>
      <c r="AX25" s="177"/>
      <c r="AY25" s="177"/>
      <c r="AZ25" s="398"/>
    </row>
    <row r="26" spans="1:52" ht="13.5" customHeight="1">
      <c r="A26" s="74"/>
      <c r="B26" s="161" t="s">
        <v>175</v>
      </c>
      <c r="C26" s="162"/>
      <c r="D26" s="162"/>
      <c r="E26" s="162"/>
      <c r="F26" s="162"/>
      <c r="G26" s="163"/>
      <c r="H26" s="310"/>
      <c r="I26" s="246"/>
      <c r="J26" s="246"/>
      <c r="K26" s="246"/>
      <c r="L26" s="246"/>
      <c r="M26" s="246"/>
      <c r="N26" s="221" t="str">
        <f t="shared" si="1"/>
        <v>-</v>
      </c>
      <c r="O26" s="222"/>
      <c r="P26" s="223"/>
      <c r="Q26" s="310"/>
      <c r="R26" s="246"/>
      <c r="S26" s="246"/>
      <c r="T26" s="246"/>
      <c r="U26" s="246"/>
      <c r="V26" s="246"/>
      <c r="W26" s="221" t="str">
        <f>IF(Q26="-", "-", IF(T26="-", "-", IF(ABS(T26)=0, "-", ROUND(100*(Q26-T26)/ABS(T26),10))))</f>
        <v>-</v>
      </c>
      <c r="X26" s="222"/>
      <c r="Y26" s="223"/>
      <c r="Z26" s="310"/>
      <c r="AA26" s="246"/>
      <c r="AB26" s="246"/>
      <c r="AC26" s="246"/>
      <c r="AD26" s="246"/>
      <c r="AE26" s="246"/>
      <c r="AF26" s="221" t="str">
        <f t="shared" si="0"/>
        <v>-</v>
      </c>
      <c r="AG26" s="222"/>
      <c r="AH26" s="223"/>
      <c r="AI26" s="311"/>
      <c r="AJ26" s="308"/>
      <c r="AK26" s="309"/>
      <c r="AL26" s="307"/>
      <c r="AM26" s="308"/>
      <c r="AN26" s="428"/>
      <c r="AO26" s="311"/>
      <c r="AP26" s="308"/>
      <c r="AQ26" s="309"/>
      <c r="AR26" s="307"/>
      <c r="AS26" s="308"/>
      <c r="AT26" s="428"/>
      <c r="AU26" s="311"/>
      <c r="AV26" s="308"/>
      <c r="AW26" s="309"/>
      <c r="AX26" s="307"/>
      <c r="AY26" s="308"/>
      <c r="AZ26" s="428"/>
    </row>
    <row r="27" spans="1:52" ht="13.5" customHeight="1">
      <c r="A27" s="32"/>
      <c r="B27" s="181" t="s">
        <v>118</v>
      </c>
      <c r="C27" s="182"/>
      <c r="D27" s="182"/>
      <c r="E27" s="182"/>
      <c r="F27" s="182"/>
      <c r="G27" s="183"/>
      <c r="H27" s="257"/>
      <c r="I27" s="258"/>
      <c r="J27" s="258"/>
      <c r="K27" s="259"/>
      <c r="L27" s="259"/>
      <c r="M27" s="259"/>
      <c r="N27" s="95" t="str">
        <f t="shared" si="1"/>
        <v>-</v>
      </c>
      <c r="O27" s="96"/>
      <c r="P27" s="97"/>
      <c r="Q27" s="257"/>
      <c r="R27" s="258"/>
      <c r="S27" s="258"/>
      <c r="T27" s="259"/>
      <c r="U27" s="259"/>
      <c r="V27" s="259"/>
      <c r="W27" s="95" t="str">
        <f>IF(Q27="-", "-", IF(T27="-", "-", IF(ABS(T27)=0, "-", ROUND(100*(Q27-T27)/ABS(T27),10))))</f>
        <v>-</v>
      </c>
      <c r="X27" s="96"/>
      <c r="Y27" s="97"/>
      <c r="Z27" s="285"/>
      <c r="AA27" s="259"/>
      <c r="AB27" s="259"/>
      <c r="AC27" s="259"/>
      <c r="AD27" s="259"/>
      <c r="AE27" s="259"/>
      <c r="AF27" s="95" t="str">
        <f t="shared" si="0"/>
        <v>-</v>
      </c>
      <c r="AG27" s="96"/>
      <c r="AH27" s="97"/>
      <c r="AI27" s="382"/>
      <c r="AJ27" s="383"/>
      <c r="AK27" s="284"/>
      <c r="AL27" s="426"/>
      <c r="AM27" s="383"/>
      <c r="AN27" s="427"/>
      <c r="AO27" s="382"/>
      <c r="AP27" s="383"/>
      <c r="AQ27" s="284"/>
      <c r="AR27" s="426"/>
      <c r="AS27" s="383"/>
      <c r="AT27" s="427"/>
      <c r="AU27" s="382"/>
      <c r="AV27" s="383"/>
      <c r="AW27" s="284"/>
      <c r="AX27" s="426"/>
      <c r="AY27" s="383"/>
      <c r="AZ27" s="427"/>
    </row>
    <row r="28" spans="1:52" ht="13.5" customHeight="1">
      <c r="A28" s="169" t="s">
        <v>118</v>
      </c>
      <c r="B28" s="170"/>
      <c r="C28" s="170"/>
      <c r="D28" s="170"/>
      <c r="E28" s="170"/>
      <c r="F28" s="170"/>
      <c r="G28" s="171"/>
      <c r="H28" s="285"/>
      <c r="I28" s="259"/>
      <c r="J28" s="259"/>
      <c r="K28" s="300"/>
      <c r="L28" s="300"/>
      <c r="M28" s="300"/>
      <c r="N28" s="95" t="str">
        <f t="shared" si="1"/>
        <v>-</v>
      </c>
      <c r="O28" s="96"/>
      <c r="P28" s="97"/>
      <c r="Q28" s="350"/>
      <c r="R28" s="351"/>
      <c r="S28" s="351"/>
      <c r="T28" s="300"/>
      <c r="U28" s="300"/>
      <c r="V28" s="300"/>
      <c r="W28" s="95" t="str">
        <f>IF(Q28="-", "-", IF(T28="-", "-", IF(ABS(T28)=0, "-", ROUND(100*(Q28-T28)/ABS(T28),10))))</f>
        <v>-</v>
      </c>
      <c r="X28" s="96"/>
      <c r="Y28" s="97"/>
      <c r="Z28" s="350"/>
      <c r="AA28" s="351"/>
      <c r="AB28" s="351"/>
      <c r="AC28" s="300"/>
      <c r="AD28" s="300"/>
      <c r="AE28" s="300"/>
      <c r="AF28" s="95" t="str">
        <f t="shared" si="0"/>
        <v>-</v>
      </c>
      <c r="AG28" s="96"/>
      <c r="AH28" s="97"/>
      <c r="AI28" s="334"/>
      <c r="AJ28" s="335"/>
      <c r="AK28" s="336"/>
      <c r="AL28" s="384"/>
      <c r="AM28" s="335"/>
      <c r="AN28" s="436"/>
      <c r="AO28" s="334"/>
      <c r="AP28" s="335"/>
      <c r="AQ28" s="336"/>
      <c r="AR28" s="384"/>
      <c r="AS28" s="335"/>
      <c r="AT28" s="436"/>
      <c r="AU28" s="334"/>
      <c r="AV28" s="335"/>
      <c r="AW28" s="336"/>
      <c r="AX28" s="384"/>
      <c r="AY28" s="335"/>
      <c r="AZ28" s="436"/>
    </row>
    <row r="29" spans="1:52" ht="13.5" customHeight="1">
      <c r="A29" s="211" t="s">
        <v>176</v>
      </c>
      <c r="B29" s="212"/>
      <c r="C29" s="212"/>
      <c r="D29" s="212"/>
      <c r="E29" s="212"/>
      <c r="F29" s="212"/>
      <c r="G29" s="213"/>
      <c r="H29" s="285"/>
      <c r="I29" s="259"/>
      <c r="J29" s="259"/>
      <c r="K29" s="333"/>
      <c r="L29" s="333"/>
      <c r="M29" s="333"/>
      <c r="N29" s="95" t="str">
        <f t="shared" si="1"/>
        <v>-</v>
      </c>
      <c r="O29" s="96"/>
      <c r="P29" s="97"/>
      <c r="Q29" s="478"/>
      <c r="R29" s="479"/>
      <c r="S29" s="479"/>
      <c r="T29" s="451"/>
      <c r="U29" s="450"/>
      <c r="V29" s="450"/>
      <c r="W29" s="452"/>
      <c r="X29" s="453"/>
      <c r="Y29" s="454"/>
      <c r="Z29" s="449"/>
      <c r="AA29" s="450"/>
      <c r="AB29" s="450"/>
      <c r="AC29" s="451"/>
      <c r="AD29" s="450"/>
      <c r="AE29" s="450"/>
      <c r="AF29" s="452"/>
      <c r="AG29" s="453"/>
      <c r="AH29" s="454"/>
      <c r="AI29" s="334"/>
      <c r="AJ29" s="335"/>
      <c r="AK29" s="336"/>
      <c r="AL29" s="384"/>
      <c r="AM29" s="335"/>
      <c r="AN29" s="436"/>
      <c r="AO29" s="207"/>
      <c r="AP29" s="203"/>
      <c r="AQ29" s="203"/>
      <c r="AR29" s="203"/>
      <c r="AS29" s="203"/>
      <c r="AT29" s="433"/>
      <c r="AU29" s="207"/>
      <c r="AV29" s="203"/>
      <c r="AW29" s="203"/>
      <c r="AX29" s="203"/>
      <c r="AY29" s="203"/>
      <c r="AZ29" s="433"/>
    </row>
    <row r="30" spans="1:52" ht="13.5" customHeight="1">
      <c r="A30" s="211" t="s">
        <v>152</v>
      </c>
      <c r="B30" s="212"/>
      <c r="C30" s="212"/>
      <c r="D30" s="212"/>
      <c r="E30" s="212"/>
      <c r="F30" s="212"/>
      <c r="G30" s="213"/>
      <c r="H30" s="285"/>
      <c r="I30" s="259"/>
      <c r="J30" s="259"/>
      <c r="K30" s="333"/>
      <c r="L30" s="333"/>
      <c r="M30" s="333"/>
      <c r="N30" s="95" t="str">
        <f t="shared" si="1"/>
        <v>-</v>
      </c>
      <c r="O30" s="96"/>
      <c r="P30" s="97"/>
      <c r="Q30" s="478"/>
      <c r="R30" s="479"/>
      <c r="S30" s="479"/>
      <c r="T30" s="451"/>
      <c r="U30" s="450"/>
      <c r="V30" s="450"/>
      <c r="W30" s="452"/>
      <c r="X30" s="453"/>
      <c r="Y30" s="454"/>
      <c r="Z30" s="449"/>
      <c r="AA30" s="450"/>
      <c r="AB30" s="450"/>
      <c r="AC30" s="451"/>
      <c r="AD30" s="450"/>
      <c r="AE30" s="450"/>
      <c r="AF30" s="452"/>
      <c r="AG30" s="453"/>
      <c r="AH30" s="454"/>
      <c r="AI30" s="334"/>
      <c r="AJ30" s="335"/>
      <c r="AK30" s="336"/>
      <c r="AL30" s="384"/>
      <c r="AM30" s="335"/>
      <c r="AN30" s="436"/>
      <c r="AO30" s="207"/>
      <c r="AP30" s="203"/>
      <c r="AQ30" s="203"/>
      <c r="AR30" s="203"/>
      <c r="AS30" s="203"/>
      <c r="AT30" s="433"/>
      <c r="AU30" s="207"/>
      <c r="AV30" s="203"/>
      <c r="AW30" s="203"/>
      <c r="AX30" s="203"/>
      <c r="AY30" s="203"/>
      <c r="AZ30" s="433"/>
    </row>
    <row r="31" spans="1:52" ht="13.5" customHeight="1">
      <c r="A31" s="211" t="s">
        <v>177</v>
      </c>
      <c r="B31" s="212"/>
      <c r="C31" s="212"/>
      <c r="D31" s="212"/>
      <c r="E31" s="212"/>
      <c r="F31" s="212"/>
      <c r="G31" s="213"/>
      <c r="H31" s="285"/>
      <c r="I31" s="259"/>
      <c r="J31" s="259"/>
      <c r="K31" s="333"/>
      <c r="L31" s="333"/>
      <c r="M31" s="333"/>
      <c r="N31" s="95" t="str">
        <f t="shared" si="1"/>
        <v>-</v>
      </c>
      <c r="O31" s="96"/>
      <c r="P31" s="97"/>
      <c r="Q31" s="478"/>
      <c r="R31" s="479"/>
      <c r="S31" s="479"/>
      <c r="T31" s="451"/>
      <c r="U31" s="450"/>
      <c r="V31" s="450"/>
      <c r="W31" s="452"/>
      <c r="X31" s="453"/>
      <c r="Y31" s="454"/>
      <c r="Z31" s="449"/>
      <c r="AA31" s="450"/>
      <c r="AB31" s="450"/>
      <c r="AC31" s="451"/>
      <c r="AD31" s="450"/>
      <c r="AE31" s="450"/>
      <c r="AF31" s="452"/>
      <c r="AG31" s="453"/>
      <c r="AH31" s="454"/>
      <c r="AI31" s="334"/>
      <c r="AJ31" s="335"/>
      <c r="AK31" s="336"/>
      <c r="AL31" s="384"/>
      <c r="AM31" s="335"/>
      <c r="AN31" s="436"/>
      <c r="AO31" s="207"/>
      <c r="AP31" s="203"/>
      <c r="AQ31" s="203"/>
      <c r="AR31" s="203"/>
      <c r="AS31" s="203"/>
      <c r="AT31" s="433"/>
      <c r="AU31" s="207"/>
      <c r="AV31" s="203"/>
      <c r="AW31" s="203"/>
      <c r="AX31" s="203"/>
      <c r="AY31" s="203"/>
      <c r="AZ31" s="433"/>
    </row>
    <row r="32" spans="1:52" ht="13.5" customHeight="1">
      <c r="A32" s="211" t="s">
        <v>178</v>
      </c>
      <c r="B32" s="212"/>
      <c r="C32" s="212"/>
      <c r="D32" s="212"/>
      <c r="E32" s="212"/>
      <c r="F32" s="212"/>
      <c r="G32" s="213"/>
      <c r="H32" s="478"/>
      <c r="I32" s="479"/>
      <c r="J32" s="479"/>
      <c r="K32" s="451"/>
      <c r="L32" s="450"/>
      <c r="M32" s="450"/>
      <c r="N32" s="452"/>
      <c r="O32" s="453"/>
      <c r="P32" s="453"/>
      <c r="Q32" s="350"/>
      <c r="R32" s="351"/>
      <c r="S32" s="351"/>
      <c r="T32" s="333"/>
      <c r="U32" s="333"/>
      <c r="V32" s="333"/>
      <c r="W32" s="95" t="str">
        <f>IF(Q32="-", "-", IF(T32="-", "-", IF(ABS(T32)=0, "-", ROUND(100*(Q32-T32)/ABS(T32),10))))</f>
        <v>-</v>
      </c>
      <c r="X32" s="96"/>
      <c r="Y32" s="97"/>
      <c r="Z32" s="449"/>
      <c r="AA32" s="450"/>
      <c r="AB32" s="450"/>
      <c r="AC32" s="451"/>
      <c r="AD32" s="450"/>
      <c r="AE32" s="450"/>
      <c r="AF32" s="452"/>
      <c r="AG32" s="453"/>
      <c r="AH32" s="454"/>
      <c r="AI32" s="207"/>
      <c r="AJ32" s="203"/>
      <c r="AK32" s="203"/>
      <c r="AL32" s="203"/>
      <c r="AM32" s="203"/>
      <c r="AN32" s="433"/>
      <c r="AO32" s="334"/>
      <c r="AP32" s="335"/>
      <c r="AQ32" s="336"/>
      <c r="AR32" s="384"/>
      <c r="AS32" s="335"/>
      <c r="AT32" s="436"/>
      <c r="AU32" s="207"/>
      <c r="AV32" s="203"/>
      <c r="AW32" s="203"/>
      <c r="AX32" s="203"/>
      <c r="AY32" s="203"/>
      <c r="AZ32" s="433"/>
    </row>
    <row r="33" spans="1:52" ht="13.5" customHeight="1">
      <c r="A33" s="211" t="s">
        <v>179</v>
      </c>
      <c r="B33" s="212"/>
      <c r="C33" s="212"/>
      <c r="D33" s="212"/>
      <c r="E33" s="212"/>
      <c r="F33" s="212"/>
      <c r="G33" s="213"/>
      <c r="H33" s="285"/>
      <c r="I33" s="259"/>
      <c r="J33" s="259"/>
      <c r="K33" s="333"/>
      <c r="L33" s="333"/>
      <c r="M33" s="333"/>
      <c r="N33" s="95" t="str">
        <f>IF(H33="-", "-", IF(K33="-", "-", IF(ABS(K33)=0, "-", ROUND(100*(H33-K33)/ABS(K33),10))))</f>
        <v>-</v>
      </c>
      <c r="O33" s="96"/>
      <c r="P33" s="97"/>
      <c r="Q33" s="480"/>
      <c r="R33" s="450"/>
      <c r="S33" s="450"/>
      <c r="T33" s="451"/>
      <c r="U33" s="450"/>
      <c r="V33" s="450"/>
      <c r="W33" s="452"/>
      <c r="X33" s="453"/>
      <c r="Y33" s="454"/>
      <c r="Z33" s="449"/>
      <c r="AA33" s="450"/>
      <c r="AB33" s="450"/>
      <c r="AC33" s="451"/>
      <c r="AD33" s="450"/>
      <c r="AE33" s="450"/>
      <c r="AF33" s="452"/>
      <c r="AG33" s="453"/>
      <c r="AH33" s="454"/>
      <c r="AI33" s="480"/>
      <c r="AJ33" s="450"/>
      <c r="AK33" s="450"/>
      <c r="AL33" s="451"/>
      <c r="AM33" s="450"/>
      <c r="AN33" s="481"/>
      <c r="AO33" s="480"/>
      <c r="AP33" s="450"/>
      <c r="AQ33" s="450"/>
      <c r="AR33" s="451"/>
      <c r="AS33" s="450"/>
      <c r="AT33" s="481"/>
      <c r="AU33" s="480"/>
      <c r="AV33" s="450"/>
      <c r="AW33" s="450"/>
      <c r="AX33" s="451"/>
      <c r="AY33" s="450"/>
      <c r="AZ33" s="481"/>
    </row>
    <row r="34" spans="1:52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52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52" ht="13.5" customHeight="1">
      <c r="A36" s="127"/>
      <c r="B36" s="128"/>
      <c r="C36" s="128"/>
      <c r="D36" s="128"/>
      <c r="E36" s="128"/>
      <c r="F36" s="128"/>
      <c r="G36" s="129"/>
      <c r="H36" s="358" t="s">
        <v>135</v>
      </c>
      <c r="I36" s="359"/>
      <c r="J36" s="359"/>
      <c r="K36" s="359"/>
      <c r="L36" s="359"/>
      <c r="M36" s="359"/>
      <c r="N36" s="359"/>
      <c r="O36" s="359"/>
      <c r="P36" s="360"/>
      <c r="S36" s="127"/>
      <c r="T36" s="128"/>
      <c r="U36" s="128"/>
      <c r="V36" s="128"/>
      <c r="W36" s="128"/>
      <c r="X36" s="128"/>
      <c r="Y36" s="129"/>
      <c r="Z36" s="358" t="s">
        <v>135</v>
      </c>
      <c r="AA36" s="359"/>
      <c r="AB36" s="359"/>
      <c r="AC36" s="359"/>
      <c r="AD36" s="359"/>
      <c r="AE36" s="359"/>
      <c r="AF36" s="359"/>
      <c r="AG36" s="359"/>
      <c r="AH36" s="360"/>
      <c r="AK36" s="127"/>
      <c r="AL36" s="128"/>
      <c r="AM36" s="128"/>
      <c r="AN36" s="128"/>
      <c r="AO36" s="128"/>
      <c r="AP36" s="128"/>
      <c r="AQ36" s="129"/>
      <c r="AR36" s="286" t="s">
        <v>135</v>
      </c>
      <c r="AS36" s="287"/>
      <c r="AT36" s="288"/>
    </row>
    <row r="37" spans="1:52" ht="13.5" customHeight="1">
      <c r="A37" s="130"/>
      <c r="B37" s="131"/>
      <c r="C37" s="131"/>
      <c r="D37" s="131"/>
      <c r="E37" s="131"/>
      <c r="F37" s="131"/>
      <c r="G37" s="132"/>
      <c r="H37" s="485" t="s">
        <v>180</v>
      </c>
      <c r="I37" s="486"/>
      <c r="J37" s="486"/>
      <c r="K37" s="486" t="s">
        <v>181</v>
      </c>
      <c r="L37" s="486"/>
      <c r="M37" s="486"/>
      <c r="N37" s="486" t="s">
        <v>168</v>
      </c>
      <c r="O37" s="486"/>
      <c r="P37" s="487"/>
      <c r="S37" s="130"/>
      <c r="T37" s="131"/>
      <c r="U37" s="131"/>
      <c r="V37" s="131"/>
      <c r="W37" s="131"/>
      <c r="X37" s="131"/>
      <c r="Y37" s="132"/>
      <c r="Z37" s="485" t="s">
        <v>180</v>
      </c>
      <c r="AA37" s="486"/>
      <c r="AB37" s="486"/>
      <c r="AC37" s="486" t="s">
        <v>181</v>
      </c>
      <c r="AD37" s="486"/>
      <c r="AE37" s="486"/>
      <c r="AF37" s="486" t="s">
        <v>168</v>
      </c>
      <c r="AG37" s="486"/>
      <c r="AH37" s="487"/>
      <c r="AK37" s="130"/>
      <c r="AL37" s="131"/>
      <c r="AM37" s="131"/>
      <c r="AN37" s="131"/>
      <c r="AO37" s="131"/>
      <c r="AP37" s="131"/>
      <c r="AQ37" s="132"/>
      <c r="AR37" s="482"/>
      <c r="AS37" s="483"/>
      <c r="AT37" s="484"/>
    </row>
    <row r="38" spans="1:52" ht="13.5" customHeight="1">
      <c r="A38" s="144" t="s">
        <v>169</v>
      </c>
      <c r="B38" s="145"/>
      <c r="C38" s="145"/>
      <c r="D38" s="145"/>
      <c r="E38" s="145"/>
      <c r="F38" s="145"/>
      <c r="G38" s="145"/>
      <c r="H38" s="506"/>
      <c r="I38" s="507"/>
      <c r="J38" s="507"/>
      <c r="K38" s="507"/>
      <c r="L38" s="507"/>
      <c r="M38" s="507"/>
      <c r="N38" s="507"/>
      <c r="O38" s="507"/>
      <c r="P38" s="508"/>
      <c r="Q38" s="90"/>
      <c r="R38" s="90"/>
      <c r="S38" s="509" t="s">
        <v>174</v>
      </c>
      <c r="T38" s="510"/>
      <c r="U38" s="510"/>
      <c r="V38" s="510"/>
      <c r="W38" s="510"/>
      <c r="X38" s="510"/>
      <c r="Y38" s="510"/>
      <c r="Z38" s="506"/>
      <c r="AA38" s="507"/>
      <c r="AB38" s="507"/>
      <c r="AC38" s="507"/>
      <c r="AD38" s="507"/>
      <c r="AE38" s="507"/>
      <c r="AF38" s="507"/>
      <c r="AG38" s="507"/>
      <c r="AH38" s="508"/>
      <c r="AI38" s="90"/>
      <c r="AJ38" s="90"/>
      <c r="AK38" s="511" t="s">
        <v>176</v>
      </c>
      <c r="AL38" s="512"/>
      <c r="AM38" s="512"/>
      <c r="AN38" s="512"/>
      <c r="AO38" s="512"/>
      <c r="AP38" s="512"/>
      <c r="AQ38" s="513"/>
      <c r="AR38" s="502">
        <v>79.599999999999994</v>
      </c>
      <c r="AS38" s="503"/>
      <c r="AT38" s="504"/>
    </row>
    <row r="39" spans="1:52" ht="13.5" customHeight="1">
      <c r="A39" s="74"/>
      <c r="B39" s="161" t="s">
        <v>170</v>
      </c>
      <c r="C39" s="162"/>
      <c r="D39" s="162"/>
      <c r="E39" s="162"/>
      <c r="F39" s="162"/>
      <c r="G39" s="162"/>
      <c r="H39" s="492">
        <v>15.5</v>
      </c>
      <c r="I39" s="403"/>
      <c r="J39" s="403"/>
      <c r="K39" s="403">
        <v>49</v>
      </c>
      <c r="L39" s="403"/>
      <c r="M39" s="403"/>
      <c r="N39" s="403">
        <v>17.5</v>
      </c>
      <c r="O39" s="403"/>
      <c r="P39" s="404"/>
      <c r="Q39" s="90"/>
      <c r="R39" s="90"/>
      <c r="S39" s="91"/>
      <c r="T39" s="505" t="s">
        <v>175</v>
      </c>
      <c r="U39" s="490"/>
      <c r="V39" s="490"/>
      <c r="W39" s="490"/>
      <c r="X39" s="490"/>
      <c r="Y39" s="490"/>
      <c r="Z39" s="492">
        <v>11.4</v>
      </c>
      <c r="AA39" s="403"/>
      <c r="AB39" s="403"/>
      <c r="AC39" s="403">
        <v>51.5</v>
      </c>
      <c r="AD39" s="403"/>
      <c r="AE39" s="403"/>
      <c r="AF39" s="403">
        <v>19</v>
      </c>
      <c r="AG39" s="403"/>
      <c r="AH39" s="404"/>
      <c r="AI39" s="90"/>
      <c r="AJ39" s="90"/>
      <c r="AK39" s="489" t="s">
        <v>152</v>
      </c>
      <c r="AL39" s="490"/>
      <c r="AM39" s="490"/>
      <c r="AN39" s="490"/>
      <c r="AO39" s="490"/>
      <c r="AP39" s="490"/>
      <c r="AQ39" s="491"/>
      <c r="AR39" s="492">
        <v>11.2</v>
      </c>
      <c r="AS39" s="403"/>
      <c r="AT39" s="404"/>
    </row>
    <row r="40" spans="1:52" ht="13.5" customHeight="1">
      <c r="A40" s="74"/>
      <c r="B40" s="161" t="s">
        <v>171</v>
      </c>
      <c r="C40" s="162"/>
      <c r="D40" s="162"/>
      <c r="E40" s="162"/>
      <c r="F40" s="162"/>
      <c r="G40" s="162"/>
      <c r="H40" s="492">
        <v>11.8</v>
      </c>
      <c r="I40" s="403"/>
      <c r="J40" s="403"/>
      <c r="K40" s="403">
        <v>53.4</v>
      </c>
      <c r="L40" s="403"/>
      <c r="M40" s="403"/>
      <c r="N40" s="403">
        <v>22</v>
      </c>
      <c r="O40" s="403"/>
      <c r="P40" s="404"/>
      <c r="Q40" s="90"/>
      <c r="R40" s="90"/>
      <c r="S40" s="92"/>
      <c r="T40" s="493" t="s">
        <v>118</v>
      </c>
      <c r="U40" s="494"/>
      <c r="V40" s="494"/>
      <c r="W40" s="494"/>
      <c r="X40" s="494"/>
      <c r="Y40" s="494"/>
      <c r="Z40" s="488">
        <v>11.5</v>
      </c>
      <c r="AA40" s="413"/>
      <c r="AB40" s="413"/>
      <c r="AC40" s="413">
        <v>49</v>
      </c>
      <c r="AD40" s="413"/>
      <c r="AE40" s="413"/>
      <c r="AF40" s="413">
        <v>15.9</v>
      </c>
      <c r="AG40" s="413"/>
      <c r="AH40" s="414"/>
      <c r="AI40" s="90"/>
      <c r="AJ40" s="90"/>
      <c r="AK40" s="489" t="s">
        <v>177</v>
      </c>
      <c r="AL40" s="490"/>
      <c r="AM40" s="490"/>
      <c r="AN40" s="490"/>
      <c r="AO40" s="490"/>
      <c r="AP40" s="490"/>
      <c r="AQ40" s="491"/>
      <c r="AR40" s="492">
        <v>18.7</v>
      </c>
      <c r="AS40" s="403"/>
      <c r="AT40" s="404"/>
    </row>
    <row r="41" spans="1:52" ht="13.5" customHeight="1">
      <c r="A41" s="74"/>
      <c r="B41" s="161" t="s">
        <v>172</v>
      </c>
      <c r="C41" s="162"/>
      <c r="D41" s="162"/>
      <c r="E41" s="162"/>
      <c r="F41" s="162"/>
      <c r="G41" s="162"/>
      <c r="H41" s="492">
        <v>12.8</v>
      </c>
      <c r="I41" s="403"/>
      <c r="J41" s="403"/>
      <c r="K41" s="403">
        <v>47.5</v>
      </c>
      <c r="L41" s="403"/>
      <c r="M41" s="403"/>
      <c r="N41" s="403">
        <v>17.7</v>
      </c>
      <c r="O41" s="403"/>
      <c r="P41" s="404"/>
      <c r="Q41" s="90"/>
      <c r="R41" s="90"/>
      <c r="S41" s="500" t="s">
        <v>118</v>
      </c>
      <c r="T41" s="501"/>
      <c r="U41" s="501"/>
      <c r="V41" s="501"/>
      <c r="W41" s="501"/>
      <c r="X41" s="501"/>
      <c r="Y41" s="501"/>
      <c r="Z41" s="495">
        <v>8.5</v>
      </c>
      <c r="AA41" s="418"/>
      <c r="AB41" s="418"/>
      <c r="AC41" s="418">
        <v>49.1</v>
      </c>
      <c r="AD41" s="418"/>
      <c r="AE41" s="418"/>
      <c r="AF41" s="418">
        <v>15.9</v>
      </c>
      <c r="AG41" s="418"/>
      <c r="AH41" s="419"/>
      <c r="AI41" s="90"/>
      <c r="AJ41" s="90"/>
      <c r="AK41" s="496" t="s">
        <v>178</v>
      </c>
      <c r="AL41" s="494"/>
      <c r="AM41" s="494"/>
      <c r="AN41" s="494"/>
      <c r="AO41" s="494"/>
      <c r="AP41" s="494"/>
      <c r="AQ41" s="497"/>
      <c r="AR41" s="488">
        <v>40.6</v>
      </c>
      <c r="AS41" s="413"/>
      <c r="AT41" s="414"/>
    </row>
    <row r="42" spans="1:52" ht="13.5" customHeight="1">
      <c r="A42" s="74"/>
      <c r="B42" s="161" t="s">
        <v>173</v>
      </c>
      <c r="C42" s="162"/>
      <c r="D42" s="162"/>
      <c r="E42" s="162"/>
      <c r="F42" s="162"/>
      <c r="G42" s="162"/>
      <c r="H42" s="498"/>
      <c r="I42" s="499"/>
      <c r="J42" s="499"/>
      <c r="K42" s="499"/>
      <c r="L42" s="499"/>
      <c r="M42" s="499"/>
      <c r="N42" s="403">
        <v>21.1</v>
      </c>
      <c r="O42" s="403"/>
      <c r="P42" s="404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</row>
    <row r="43" spans="1:52" ht="13.5" customHeight="1">
      <c r="A43" s="32"/>
      <c r="B43" s="181" t="s">
        <v>118</v>
      </c>
      <c r="C43" s="182"/>
      <c r="D43" s="182"/>
      <c r="E43" s="182"/>
      <c r="F43" s="182"/>
      <c r="G43" s="182"/>
      <c r="H43" s="488">
        <v>11.6</v>
      </c>
      <c r="I43" s="413"/>
      <c r="J43" s="413"/>
      <c r="K43" s="413">
        <v>49.1</v>
      </c>
      <c r="L43" s="413"/>
      <c r="M43" s="413"/>
      <c r="N43" s="413">
        <v>19</v>
      </c>
      <c r="O43" s="413"/>
      <c r="P43" s="414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</row>
    <row r="44" spans="1:52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52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52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52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395">
    <mergeCell ref="AO32:AQ32"/>
    <mergeCell ref="AR32:AT32"/>
    <mergeCell ref="AI27:AK27"/>
    <mergeCell ref="AL27:AN27"/>
    <mergeCell ref="AO27:AQ27"/>
    <mergeCell ref="AR27:AT27"/>
    <mergeCell ref="AU26:AW26"/>
    <mergeCell ref="AX26:AZ26"/>
    <mergeCell ref="AX25:AZ25"/>
    <mergeCell ref="AL25:AN25"/>
    <mergeCell ref="AO25:AQ25"/>
    <mergeCell ref="AR25:AT25"/>
    <mergeCell ref="AI29:AK29"/>
    <mergeCell ref="AL29:AN29"/>
    <mergeCell ref="AI30:AK30"/>
    <mergeCell ref="AL30:AN30"/>
    <mergeCell ref="AU25:AW25"/>
    <mergeCell ref="AI22:AK22"/>
    <mergeCell ref="AL22:AN22"/>
    <mergeCell ref="AO22:AQ22"/>
    <mergeCell ref="AR22:AT22"/>
    <mergeCell ref="AU22:AW22"/>
    <mergeCell ref="AX22:AZ22"/>
    <mergeCell ref="AU27:AW27"/>
    <mergeCell ref="AX27:AZ27"/>
    <mergeCell ref="AI28:AK28"/>
    <mergeCell ref="AL28:AN28"/>
    <mergeCell ref="AO28:AQ28"/>
    <mergeCell ref="AR28:AT28"/>
    <mergeCell ref="AU28:AW28"/>
    <mergeCell ref="AX28:AZ28"/>
    <mergeCell ref="AI24:AK24"/>
    <mergeCell ref="AL24:AN24"/>
    <mergeCell ref="AO24:AQ24"/>
    <mergeCell ref="AR24:AT24"/>
    <mergeCell ref="AU24:AW24"/>
    <mergeCell ref="AX24:AZ24"/>
    <mergeCell ref="AI26:AK26"/>
    <mergeCell ref="AL26:AN26"/>
    <mergeCell ref="AO26:AQ26"/>
    <mergeCell ref="AR26:AT26"/>
    <mergeCell ref="AU20:AW20"/>
    <mergeCell ref="AI16:AZ16"/>
    <mergeCell ref="AI17:AN17"/>
    <mergeCell ref="AO17:AT17"/>
    <mergeCell ref="AU17:AZ17"/>
    <mergeCell ref="AX20:AZ20"/>
    <mergeCell ref="AI12:AK12"/>
    <mergeCell ref="AI21:AK21"/>
    <mergeCell ref="AL21:AN21"/>
    <mergeCell ref="AO21:AQ21"/>
    <mergeCell ref="AR21:AT21"/>
    <mergeCell ref="AU21:AW21"/>
    <mergeCell ref="AX21:AZ21"/>
    <mergeCell ref="H41:J41"/>
    <mergeCell ref="K41:M41"/>
    <mergeCell ref="N41:P41"/>
    <mergeCell ref="S41:Y41"/>
    <mergeCell ref="AK39:AQ39"/>
    <mergeCell ref="AR39:AT39"/>
    <mergeCell ref="AR38:AT38"/>
    <mergeCell ref="B39:G39"/>
    <mergeCell ref="H39:J39"/>
    <mergeCell ref="K39:M39"/>
    <mergeCell ref="N39:P39"/>
    <mergeCell ref="T39:Y39"/>
    <mergeCell ref="Z39:AB39"/>
    <mergeCell ref="A38:G38"/>
    <mergeCell ref="H38:J38"/>
    <mergeCell ref="K38:M38"/>
    <mergeCell ref="N38:P38"/>
    <mergeCell ref="S38:Y38"/>
    <mergeCell ref="Z38:AB38"/>
    <mergeCell ref="AC38:AE38"/>
    <mergeCell ref="AF38:AH38"/>
    <mergeCell ref="AK38:AQ38"/>
    <mergeCell ref="B43:G43"/>
    <mergeCell ref="H43:J43"/>
    <mergeCell ref="K43:M43"/>
    <mergeCell ref="N43:P43"/>
    <mergeCell ref="Z40:AB40"/>
    <mergeCell ref="AC40:AE40"/>
    <mergeCell ref="AF40:AH40"/>
    <mergeCell ref="AK40:AQ40"/>
    <mergeCell ref="AR40:AT40"/>
    <mergeCell ref="B40:G40"/>
    <mergeCell ref="H40:J40"/>
    <mergeCell ref="K40:M40"/>
    <mergeCell ref="N40:P40"/>
    <mergeCell ref="T40:Y40"/>
    <mergeCell ref="Z41:AB41"/>
    <mergeCell ref="AC41:AE41"/>
    <mergeCell ref="AF41:AH41"/>
    <mergeCell ref="AK41:AQ41"/>
    <mergeCell ref="AR41:AT41"/>
    <mergeCell ref="B42:G42"/>
    <mergeCell ref="H42:J42"/>
    <mergeCell ref="K42:M42"/>
    <mergeCell ref="N42:P42"/>
    <mergeCell ref="B41:G41"/>
    <mergeCell ref="A36:G37"/>
    <mergeCell ref="H36:P36"/>
    <mergeCell ref="S36:Y37"/>
    <mergeCell ref="H37:J37"/>
    <mergeCell ref="K37:M37"/>
    <mergeCell ref="N37:P37"/>
    <mergeCell ref="AC39:AE39"/>
    <mergeCell ref="AF39:AH39"/>
    <mergeCell ref="AF33:AH33"/>
    <mergeCell ref="AI33:AK33"/>
    <mergeCell ref="AL33:AN33"/>
    <mergeCell ref="AO33:AQ33"/>
    <mergeCell ref="Z36:AH36"/>
    <mergeCell ref="AK36:AQ37"/>
    <mergeCell ref="AR36:AT37"/>
    <mergeCell ref="Z37:AB37"/>
    <mergeCell ref="AC37:AE37"/>
    <mergeCell ref="AF37:AH37"/>
    <mergeCell ref="Z33:AB33"/>
    <mergeCell ref="AC33:AE33"/>
    <mergeCell ref="A32:G32"/>
    <mergeCell ref="H32:J32"/>
    <mergeCell ref="K32:M32"/>
    <mergeCell ref="N32:P32"/>
    <mergeCell ref="Q32:S32"/>
    <mergeCell ref="AL32:AN32"/>
    <mergeCell ref="AU32:AW32"/>
    <mergeCell ref="AX32:AZ32"/>
    <mergeCell ref="A33:G33"/>
    <mergeCell ref="H33:J33"/>
    <mergeCell ref="K33:M33"/>
    <mergeCell ref="N33:P33"/>
    <mergeCell ref="Q33:S33"/>
    <mergeCell ref="T33:V33"/>
    <mergeCell ref="W33:Y33"/>
    <mergeCell ref="T32:V32"/>
    <mergeCell ref="W32:Y32"/>
    <mergeCell ref="Z32:AB32"/>
    <mergeCell ref="AC32:AE32"/>
    <mergeCell ref="AF32:AH32"/>
    <mergeCell ref="AI32:AK32"/>
    <mergeCell ref="AR33:AT33"/>
    <mergeCell ref="AU33:AW33"/>
    <mergeCell ref="AX33:AZ33"/>
    <mergeCell ref="AF30:AH30"/>
    <mergeCell ref="AO30:AQ30"/>
    <mergeCell ref="AR30:AT30"/>
    <mergeCell ref="AU30:AW30"/>
    <mergeCell ref="AF31:AH31"/>
    <mergeCell ref="AO31:AQ31"/>
    <mergeCell ref="AR31:AT31"/>
    <mergeCell ref="AU31:AW31"/>
    <mergeCell ref="AX31:AZ31"/>
    <mergeCell ref="AI31:AK31"/>
    <mergeCell ref="AL31:AN31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29:G29"/>
    <mergeCell ref="H29:J29"/>
    <mergeCell ref="K29:M29"/>
    <mergeCell ref="N29:P29"/>
    <mergeCell ref="Q29:S29"/>
    <mergeCell ref="AR29:AT29"/>
    <mergeCell ref="AU29:AW29"/>
    <mergeCell ref="AX29:AZ29"/>
    <mergeCell ref="A30:G30"/>
    <mergeCell ref="H30:J30"/>
    <mergeCell ref="K30:M30"/>
    <mergeCell ref="N30:P30"/>
    <mergeCell ref="Q30:S30"/>
    <mergeCell ref="T30:V30"/>
    <mergeCell ref="W30:Y30"/>
    <mergeCell ref="T29:V29"/>
    <mergeCell ref="W29:Y29"/>
    <mergeCell ref="Z29:AB29"/>
    <mergeCell ref="AC29:AE29"/>
    <mergeCell ref="AF29:AH29"/>
    <mergeCell ref="AO29:AQ29"/>
    <mergeCell ref="AX30:AZ30"/>
    <mergeCell ref="Z30:AB30"/>
    <mergeCell ref="AC30:AE30"/>
    <mergeCell ref="AF27:AH27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B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F25:AH25"/>
    <mergeCell ref="AI25:AK25"/>
    <mergeCell ref="T26:V26"/>
    <mergeCell ref="W26:Y26"/>
    <mergeCell ref="Z26:AB26"/>
    <mergeCell ref="AC26:AE26"/>
    <mergeCell ref="AF26:AH26"/>
    <mergeCell ref="A25:G25"/>
    <mergeCell ref="H25:J25"/>
    <mergeCell ref="K25:M25"/>
    <mergeCell ref="N25:P25"/>
    <mergeCell ref="Q25:S25"/>
    <mergeCell ref="B26:G26"/>
    <mergeCell ref="H26:J26"/>
    <mergeCell ref="K26:M26"/>
    <mergeCell ref="N26:P26"/>
    <mergeCell ref="Q26:S26"/>
    <mergeCell ref="T25:V25"/>
    <mergeCell ref="W25:Y25"/>
    <mergeCell ref="Z25:AB25"/>
    <mergeCell ref="AC25:AE25"/>
    <mergeCell ref="AF23:AH23"/>
    <mergeCell ref="AI23:AK23"/>
    <mergeCell ref="AL23:AN23"/>
    <mergeCell ref="AO23:AQ23"/>
    <mergeCell ref="AR23:AT23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B23:G23"/>
    <mergeCell ref="H23:J23"/>
    <mergeCell ref="K23:M23"/>
    <mergeCell ref="N23:P23"/>
    <mergeCell ref="Q23:S23"/>
    <mergeCell ref="T23:V23"/>
    <mergeCell ref="W23:Y23"/>
    <mergeCell ref="Z23:AB23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16:G18"/>
    <mergeCell ref="H16:P17"/>
    <mergeCell ref="AX19:AZ19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9:AH19"/>
    <mergeCell ref="AI19:AK19"/>
    <mergeCell ref="AL19:AN19"/>
    <mergeCell ref="AO19:AQ19"/>
    <mergeCell ref="AR19:AT19"/>
    <mergeCell ref="AU19:AW19"/>
    <mergeCell ref="AF20:AH20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Q16:Y17"/>
    <mergeCell ref="Z16:AH17"/>
    <mergeCell ref="W18:Y18"/>
    <mergeCell ref="Z18:AB18"/>
    <mergeCell ref="AC18:AE18"/>
    <mergeCell ref="H18:J18"/>
    <mergeCell ref="K18:M18"/>
    <mergeCell ref="Z13:AB13"/>
    <mergeCell ref="AC13:AE13"/>
    <mergeCell ref="AF13:AH13"/>
    <mergeCell ref="AI13:AK13"/>
    <mergeCell ref="AL13:AN13"/>
    <mergeCell ref="AO13:AQ13"/>
    <mergeCell ref="AX18:AZ18"/>
    <mergeCell ref="AF18:AH18"/>
    <mergeCell ref="AI18:AK18"/>
    <mergeCell ref="AL18:AN18"/>
    <mergeCell ref="AO18:AQ18"/>
    <mergeCell ref="AR18:AT18"/>
    <mergeCell ref="AU18:AW18"/>
    <mergeCell ref="N18:P18"/>
    <mergeCell ref="Q18:S18"/>
    <mergeCell ref="T18:V18"/>
    <mergeCell ref="A13:G13"/>
    <mergeCell ref="H13:J13"/>
    <mergeCell ref="K13:M13"/>
    <mergeCell ref="N13:P13"/>
    <mergeCell ref="Q13:S13"/>
    <mergeCell ref="T13:V13"/>
    <mergeCell ref="W13:Y13"/>
    <mergeCell ref="A12:G12"/>
    <mergeCell ref="H12:J12"/>
    <mergeCell ref="K12:M12"/>
    <mergeCell ref="N12:P12"/>
    <mergeCell ref="Q12:S12"/>
    <mergeCell ref="T12:V12"/>
    <mergeCell ref="W12:Y12"/>
    <mergeCell ref="AF12:AH12"/>
    <mergeCell ref="AU23:AW23"/>
    <mergeCell ref="AX23:AZ23"/>
    <mergeCell ref="Z10:AB10"/>
    <mergeCell ref="AC10:AE10"/>
    <mergeCell ref="AF10:AH10"/>
    <mergeCell ref="AL10:AN10"/>
    <mergeCell ref="AF11:AH11"/>
    <mergeCell ref="AI11:AK11"/>
    <mergeCell ref="Z12:AB12"/>
    <mergeCell ref="AC12:AE12"/>
    <mergeCell ref="Z11:AB11"/>
    <mergeCell ref="AC11:AE11"/>
    <mergeCell ref="AC23:AE23"/>
    <mergeCell ref="AF21:AH21"/>
    <mergeCell ref="AF22:AH22"/>
    <mergeCell ref="AL11:AN11"/>
    <mergeCell ref="AO11:AQ11"/>
    <mergeCell ref="AL12:AN12"/>
    <mergeCell ref="AO12:AQ12"/>
    <mergeCell ref="AI20:AK20"/>
    <mergeCell ref="AL20:AN20"/>
    <mergeCell ref="AO20:AQ20"/>
    <mergeCell ref="AR20:AT20"/>
    <mergeCell ref="AL9:AQ9"/>
    <mergeCell ref="H10:J10"/>
    <mergeCell ref="K10:M10"/>
    <mergeCell ref="N10:P10"/>
    <mergeCell ref="Q10:S10"/>
    <mergeCell ref="AO10:AQ10"/>
    <mergeCell ref="T10:V10"/>
    <mergeCell ref="W10:Y10"/>
    <mergeCell ref="H11:J11"/>
    <mergeCell ref="K11:M11"/>
    <mergeCell ref="N11:P11"/>
    <mergeCell ref="Q11:S11"/>
    <mergeCell ref="T11:V11"/>
    <mergeCell ref="W11:Y11"/>
    <mergeCell ref="A11:G11"/>
    <mergeCell ref="A9:G10"/>
    <mergeCell ref="H9:P9"/>
    <mergeCell ref="Q9:Y9"/>
    <mergeCell ref="Z9:AH9"/>
    <mergeCell ref="AI9:AK10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36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8" width="2.625" style="9"/>
    <col min="9" max="16384" width="2.625" style="3"/>
  </cols>
  <sheetData>
    <row r="1" spans="1:52" s="38" customFormat="1" ht="13.5" customHeight="1">
      <c r="A1" s="112" t="str">
        <f>IF(No.1!A1="","",No.1!A1)</f>
        <v/>
      </c>
      <c r="B1" s="113"/>
      <c r="C1" s="89" t="s">
        <v>381</v>
      </c>
      <c r="D1" s="36"/>
      <c r="E1" s="36"/>
      <c r="F1" s="36"/>
      <c r="G1" s="36"/>
      <c r="H1" s="37"/>
      <c r="I1" s="36"/>
      <c r="J1" s="36"/>
      <c r="K1" s="36"/>
      <c r="L1" s="36"/>
      <c r="M1" s="36"/>
      <c r="N1" s="36"/>
      <c r="O1" s="36"/>
      <c r="P1" s="36"/>
      <c r="T1" s="39"/>
      <c r="U1" s="39"/>
      <c r="AL1" s="64"/>
      <c r="AM1" s="64"/>
      <c r="AN1" s="64"/>
      <c r="AO1" s="64"/>
      <c r="AP1" s="64"/>
      <c r="AQ1" s="64"/>
      <c r="AR1" s="64"/>
      <c r="AS1" s="64"/>
    </row>
    <row r="2" spans="1:52" s="38" customFormat="1" ht="13.5" customHeight="1">
      <c r="A2" s="40" t="s">
        <v>1</v>
      </c>
      <c r="B2" s="36"/>
      <c r="C2" s="36"/>
      <c r="D2" s="36"/>
      <c r="E2" s="36"/>
      <c r="F2" s="36"/>
      <c r="G2" s="36"/>
      <c r="H2" s="37"/>
      <c r="I2" s="36"/>
      <c r="J2" s="36"/>
      <c r="K2" s="36"/>
      <c r="L2" s="36"/>
      <c r="M2" s="36"/>
      <c r="N2" s="36"/>
      <c r="O2" s="36"/>
      <c r="P2" s="36"/>
      <c r="T2" s="39"/>
      <c r="U2" s="39"/>
      <c r="AL2" s="66"/>
      <c r="AM2" s="66"/>
      <c r="AN2" s="66"/>
      <c r="AO2" s="66"/>
      <c r="AP2" s="66"/>
      <c r="AQ2" s="65"/>
      <c r="AR2" s="65"/>
      <c r="AS2" s="65"/>
    </row>
    <row r="3" spans="1:52" s="38" customFormat="1" ht="13.5" customHeight="1">
      <c r="A3" s="136"/>
      <c r="B3" s="136"/>
      <c r="C3" s="136"/>
      <c r="D3" s="136"/>
      <c r="E3" s="136"/>
      <c r="F3" s="137" t="s">
        <v>277</v>
      </c>
      <c r="G3" s="137"/>
      <c r="H3" s="137"/>
      <c r="I3" s="138" t="s">
        <v>278</v>
      </c>
      <c r="J3" s="138"/>
      <c r="K3" s="138"/>
      <c r="L3" s="138"/>
      <c r="M3" s="138"/>
      <c r="N3" s="138"/>
      <c r="O3" s="138"/>
      <c r="P3" s="115"/>
      <c r="Q3" s="115"/>
      <c r="R3" s="115"/>
      <c r="T3" s="116" t="s">
        <v>279</v>
      </c>
      <c r="U3" s="116"/>
      <c r="V3" s="116"/>
      <c r="W3" s="116"/>
      <c r="X3" s="116"/>
      <c r="Y3" s="116" t="s">
        <v>280</v>
      </c>
      <c r="Z3" s="117"/>
      <c r="AA3" s="117"/>
      <c r="AB3" s="117"/>
      <c r="AC3" s="117"/>
      <c r="AD3" s="117"/>
      <c r="AE3" s="117"/>
      <c r="AF3" s="121" t="s">
        <v>0</v>
      </c>
      <c r="AG3" s="119"/>
      <c r="AH3" s="119"/>
      <c r="AI3" s="119"/>
      <c r="AJ3" s="119"/>
      <c r="AK3" s="120"/>
    </row>
    <row r="4" spans="1:52" s="38" customFormat="1" ht="13.5" customHeight="1">
      <c r="A4" s="114" t="s">
        <v>384</v>
      </c>
      <c r="B4" s="114"/>
      <c r="C4" s="114"/>
      <c r="D4" s="114"/>
      <c r="E4" s="114"/>
      <c r="F4" s="114" t="str">
        <f>IF(No.1!F4="","",No.1!F4)</f>
        <v/>
      </c>
      <c r="G4" s="114"/>
      <c r="H4" s="114"/>
      <c r="I4" s="114" t="str">
        <f>IF(No.1!I4="","",No.1!I4)</f>
        <v/>
      </c>
      <c r="J4" s="114"/>
      <c r="K4" s="114"/>
      <c r="L4" s="114"/>
      <c r="M4" s="114"/>
      <c r="N4" s="114"/>
      <c r="O4" s="114"/>
      <c r="P4" s="115"/>
      <c r="Q4" s="115"/>
      <c r="R4" s="115"/>
      <c r="T4" s="76" t="str">
        <f>IF(No.1!AB4="","",No.1!AB4)</f>
        <v/>
      </c>
      <c r="U4" s="116" t="str">
        <f>IF(No.1!AC4="","",No.1!AC4)</f>
        <v/>
      </c>
      <c r="V4" s="116"/>
      <c r="W4" s="116"/>
      <c r="X4" s="116"/>
      <c r="Y4" s="76" t="str">
        <f>IF(No.1!AG4="","",No.1!AG4)</f>
        <v/>
      </c>
      <c r="Z4" s="114" t="str">
        <f>IF(No.1!AH4="","",No.1!AH4)</f>
        <v/>
      </c>
      <c r="AA4" s="117"/>
      <c r="AB4" s="117"/>
      <c r="AC4" s="117"/>
      <c r="AD4" s="117"/>
      <c r="AE4" s="117"/>
      <c r="AF4" s="76" t="str">
        <f>IF(No.1!AN4="","",No.1!AN4)</f>
        <v/>
      </c>
      <c r="AG4" s="118" t="str">
        <f>IF(No.1!AO4="","",No.1!AO4)</f>
        <v/>
      </c>
      <c r="AH4" s="119"/>
      <c r="AI4" s="119"/>
      <c r="AJ4" s="119"/>
      <c r="AK4" s="120"/>
    </row>
    <row r="5" spans="1:52" s="38" customFormat="1" ht="13.5" customHeight="1">
      <c r="A5" s="114" t="s">
        <v>268</v>
      </c>
      <c r="B5" s="114"/>
      <c r="C5" s="114"/>
      <c r="D5" s="114"/>
      <c r="E5" s="114"/>
      <c r="F5" s="114" t="str">
        <f>IF(No.1!F5="","",No.1!F5)</f>
        <v/>
      </c>
      <c r="G5" s="114"/>
      <c r="H5" s="114"/>
      <c r="I5" s="114" t="str">
        <f>IF(No.1!I5="","",No.1!I5)</f>
        <v/>
      </c>
      <c r="J5" s="114"/>
      <c r="K5" s="114"/>
      <c r="L5" s="114"/>
      <c r="M5" s="114"/>
      <c r="N5" s="114"/>
      <c r="O5" s="114"/>
      <c r="P5" s="115"/>
      <c r="Q5" s="115"/>
      <c r="R5" s="115"/>
    </row>
    <row r="6" spans="1:52" s="38" customFormat="1" ht="13.5" customHeight="1">
      <c r="A6" s="40"/>
      <c r="H6" s="41"/>
    </row>
    <row r="7" spans="1:52" ht="13.5" customHeight="1">
      <c r="A7" s="4" t="s">
        <v>37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52" ht="13.5" customHeight="1">
      <c r="A8" s="1" t="s">
        <v>182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52" s="9" customFormat="1" ht="13.5" customHeight="1">
      <c r="A9" s="1" t="s">
        <v>183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 t="s">
        <v>3</v>
      </c>
      <c r="Z9" s="2"/>
      <c r="AA9" s="2"/>
      <c r="AB9" s="1" t="s">
        <v>184</v>
      </c>
      <c r="AC9" s="1"/>
      <c r="AD9" s="1"/>
      <c r="AJ9" s="3"/>
      <c r="AK9" s="3"/>
      <c r="AL9" s="3"/>
      <c r="AM9" s="3"/>
      <c r="AN9" s="3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2" t="s">
        <v>185</v>
      </c>
    </row>
    <row r="10" spans="1:52" s="9" customFormat="1" ht="13.5" customHeight="1">
      <c r="A10" s="127" t="s">
        <v>41</v>
      </c>
      <c r="B10" s="128"/>
      <c r="C10" s="128"/>
      <c r="D10" s="128"/>
      <c r="E10" s="128"/>
      <c r="F10" s="129"/>
      <c r="G10" s="354" t="s">
        <v>186</v>
      </c>
      <c r="H10" s="354"/>
      <c r="I10" s="354"/>
      <c r="J10" s="354"/>
      <c r="K10" s="354"/>
      <c r="L10" s="354"/>
      <c r="M10" s="354"/>
      <c r="N10" s="354"/>
      <c r="O10" s="354"/>
      <c r="P10" s="356"/>
      <c r="Q10" s="264" t="s">
        <v>187</v>
      </c>
      <c r="R10" s="262"/>
      <c r="S10" s="262"/>
      <c r="T10" s="262"/>
      <c r="U10" s="262"/>
      <c r="V10" s="262"/>
      <c r="W10" s="262"/>
      <c r="X10" s="262"/>
      <c r="Y10" s="263"/>
      <c r="Z10" s="14"/>
      <c r="AB10" s="127" t="s">
        <v>41</v>
      </c>
      <c r="AC10" s="128"/>
      <c r="AD10" s="128"/>
      <c r="AE10" s="128"/>
      <c r="AF10" s="128"/>
      <c r="AG10" s="128"/>
      <c r="AH10" s="129"/>
      <c r="AI10" s="262" t="s">
        <v>188</v>
      </c>
      <c r="AJ10" s="262"/>
      <c r="AK10" s="262"/>
      <c r="AL10" s="262"/>
      <c r="AM10" s="262"/>
      <c r="AN10" s="262"/>
      <c r="AO10" s="262"/>
      <c r="AP10" s="262"/>
      <c r="AQ10" s="262"/>
      <c r="AR10" s="264" t="s">
        <v>187</v>
      </c>
      <c r="AS10" s="262"/>
      <c r="AT10" s="262"/>
      <c r="AU10" s="262"/>
      <c r="AV10" s="262"/>
      <c r="AW10" s="262"/>
      <c r="AX10" s="262"/>
      <c r="AY10" s="262"/>
      <c r="AZ10" s="263"/>
    </row>
    <row r="11" spans="1:52" s="9" customFormat="1" ht="13.5" customHeight="1">
      <c r="A11" s="462"/>
      <c r="B11" s="463"/>
      <c r="C11" s="463"/>
      <c r="D11" s="463"/>
      <c r="E11" s="463"/>
      <c r="F11" s="464"/>
      <c r="G11" s="520" t="s">
        <v>189</v>
      </c>
      <c r="H11" s="521" t="s">
        <v>267</v>
      </c>
      <c r="I11" s="522"/>
      <c r="J11" s="522"/>
      <c r="K11" s="522" t="s">
        <v>269</v>
      </c>
      <c r="L11" s="522"/>
      <c r="M11" s="522"/>
      <c r="N11" s="524" t="s">
        <v>8</v>
      </c>
      <c r="O11" s="524"/>
      <c r="P11" s="525"/>
      <c r="Q11" s="521" t="s">
        <v>267</v>
      </c>
      <c r="R11" s="522"/>
      <c r="S11" s="522"/>
      <c r="T11" s="522" t="s">
        <v>269</v>
      </c>
      <c r="U11" s="522"/>
      <c r="V11" s="522"/>
      <c r="W11" s="524" t="s">
        <v>8</v>
      </c>
      <c r="X11" s="524"/>
      <c r="Y11" s="525"/>
      <c r="Z11" s="15"/>
      <c r="AB11" s="130"/>
      <c r="AC11" s="131"/>
      <c r="AD11" s="131"/>
      <c r="AE11" s="131"/>
      <c r="AF11" s="131"/>
      <c r="AG11" s="131"/>
      <c r="AH11" s="132"/>
      <c r="AI11" s="125" t="s">
        <v>267</v>
      </c>
      <c r="AJ11" s="123"/>
      <c r="AK11" s="126"/>
      <c r="AL11" s="122" t="s">
        <v>269</v>
      </c>
      <c r="AM11" s="123"/>
      <c r="AN11" s="126"/>
      <c r="AO11" s="385" t="s">
        <v>8</v>
      </c>
      <c r="AP11" s="386"/>
      <c r="AQ11" s="387"/>
      <c r="AR11" s="125" t="s">
        <v>267</v>
      </c>
      <c r="AS11" s="123"/>
      <c r="AT11" s="126"/>
      <c r="AU11" s="122" t="s">
        <v>269</v>
      </c>
      <c r="AV11" s="123"/>
      <c r="AW11" s="126"/>
      <c r="AX11" s="385" t="s">
        <v>8</v>
      </c>
      <c r="AY11" s="386"/>
      <c r="AZ11" s="387"/>
    </row>
    <row r="12" spans="1:52" ht="13.5" customHeight="1">
      <c r="A12" s="130"/>
      <c r="B12" s="131"/>
      <c r="C12" s="131"/>
      <c r="D12" s="131"/>
      <c r="E12" s="131"/>
      <c r="F12" s="132"/>
      <c r="G12" s="249"/>
      <c r="H12" s="523"/>
      <c r="I12" s="523"/>
      <c r="J12" s="523"/>
      <c r="K12" s="523"/>
      <c r="L12" s="523"/>
      <c r="M12" s="523"/>
      <c r="N12" s="275"/>
      <c r="O12" s="275"/>
      <c r="P12" s="277"/>
      <c r="Q12" s="523"/>
      <c r="R12" s="523"/>
      <c r="S12" s="523"/>
      <c r="T12" s="523"/>
      <c r="U12" s="523"/>
      <c r="V12" s="523"/>
      <c r="W12" s="275"/>
      <c r="X12" s="275"/>
      <c r="Y12" s="277"/>
      <c r="Z12" s="35"/>
      <c r="AB12" s="265" t="s">
        <v>190</v>
      </c>
      <c r="AC12" s="162"/>
      <c r="AD12" s="162"/>
      <c r="AE12" s="162"/>
      <c r="AF12" s="162"/>
      <c r="AG12" s="162"/>
      <c r="AH12" s="163"/>
      <c r="AI12" s="299"/>
      <c r="AJ12" s="300"/>
      <c r="AK12" s="300"/>
      <c r="AL12" s="246"/>
      <c r="AM12" s="246"/>
      <c r="AN12" s="246"/>
      <c r="AO12" s="224" t="str">
        <f t="shared" ref="AO12:AO22" si="0">IF(AI12="-", "-", IF(AL12="-", "-", IF(ABS(AL12)=0, "-", ROUND(100*(AI12-AL12)/ABS(AL12),10))))</f>
        <v>-</v>
      </c>
      <c r="AP12" s="225"/>
      <c r="AQ12" s="226"/>
      <c r="AR12" s="173"/>
      <c r="AS12" s="174"/>
      <c r="AT12" s="174"/>
      <c r="AU12" s="151"/>
      <c r="AV12" s="151"/>
      <c r="AW12" s="151"/>
      <c r="AX12" s="224" t="str">
        <f t="shared" ref="AX12:AX24" si="1">IF(AR12="-", "-", IF(AU12="-", "-", IF(ABS(AU12)=0, "-", ROUND(100*(AR12-AU12)/ABS(AU12),10))))</f>
        <v>-</v>
      </c>
      <c r="AY12" s="225"/>
      <c r="AZ12" s="226"/>
    </row>
    <row r="13" spans="1:52" ht="13.5" customHeight="1">
      <c r="A13" s="144" t="s">
        <v>191</v>
      </c>
      <c r="B13" s="145"/>
      <c r="C13" s="145"/>
      <c r="D13" s="145"/>
      <c r="E13" s="145"/>
      <c r="F13" s="146"/>
      <c r="G13" s="62" t="s">
        <v>192</v>
      </c>
      <c r="H13" s="306"/>
      <c r="I13" s="300"/>
      <c r="J13" s="300"/>
      <c r="K13" s="240"/>
      <c r="L13" s="240"/>
      <c r="M13" s="240"/>
      <c r="N13" s="224" t="str">
        <f t="shared" ref="N13:N18" si="2">IF(H13="-", "-", IF(K13="-", "-", IF(ABS(K13)=0, "-", ROUND(100*(H13-K13)/ABS(K13),10))))</f>
        <v>-</v>
      </c>
      <c r="O13" s="225"/>
      <c r="P13" s="226"/>
      <c r="Q13" s="173"/>
      <c r="R13" s="174"/>
      <c r="S13" s="174"/>
      <c r="T13" s="143"/>
      <c r="U13" s="143"/>
      <c r="V13" s="143"/>
      <c r="W13" s="224" t="str">
        <f t="shared" ref="W13:W20" si="3">IF(Q13="-", "-", IF(T13="-", "-", IF(ABS(T13)=0, "-", ROUND(100*(Q13-T13)/ABS(T13),10))))</f>
        <v>-</v>
      </c>
      <c r="X13" s="225"/>
      <c r="Y13" s="226"/>
      <c r="Z13" s="35"/>
      <c r="AB13" s="265" t="s">
        <v>193</v>
      </c>
      <c r="AC13" s="162"/>
      <c r="AD13" s="162"/>
      <c r="AE13" s="162"/>
      <c r="AF13" s="162"/>
      <c r="AG13" s="162"/>
      <c r="AH13" s="163"/>
      <c r="AI13" s="310"/>
      <c r="AJ13" s="246"/>
      <c r="AK13" s="246"/>
      <c r="AL13" s="246"/>
      <c r="AM13" s="246"/>
      <c r="AN13" s="246"/>
      <c r="AO13" s="221" t="str">
        <f t="shared" si="0"/>
        <v>-</v>
      </c>
      <c r="AP13" s="222"/>
      <c r="AQ13" s="223"/>
      <c r="AR13" s="168"/>
      <c r="AS13" s="151"/>
      <c r="AT13" s="151"/>
      <c r="AU13" s="151"/>
      <c r="AV13" s="151"/>
      <c r="AW13" s="151"/>
      <c r="AX13" s="221" t="str">
        <f t="shared" si="1"/>
        <v>-</v>
      </c>
      <c r="AY13" s="222"/>
      <c r="AZ13" s="223"/>
    </row>
    <row r="14" spans="1:52" ht="13.5" customHeight="1">
      <c r="A14" s="265" t="s">
        <v>194</v>
      </c>
      <c r="B14" s="162"/>
      <c r="C14" s="162"/>
      <c r="D14" s="162"/>
      <c r="E14" s="162"/>
      <c r="F14" s="163"/>
      <c r="G14" s="16" t="s">
        <v>192</v>
      </c>
      <c r="H14" s="309"/>
      <c r="I14" s="246"/>
      <c r="J14" s="246"/>
      <c r="K14" s="246"/>
      <c r="L14" s="246"/>
      <c r="M14" s="246"/>
      <c r="N14" s="221" t="str">
        <f t="shared" si="2"/>
        <v>-</v>
      </c>
      <c r="O14" s="222"/>
      <c r="P14" s="223"/>
      <c r="Q14" s="168"/>
      <c r="R14" s="151"/>
      <c r="S14" s="151"/>
      <c r="T14" s="151"/>
      <c r="U14" s="151"/>
      <c r="V14" s="151"/>
      <c r="W14" s="221" t="str">
        <f t="shared" si="3"/>
        <v>-</v>
      </c>
      <c r="X14" s="222"/>
      <c r="Y14" s="223"/>
      <c r="Z14" s="35"/>
      <c r="AB14" s="265" t="s">
        <v>195</v>
      </c>
      <c r="AC14" s="162"/>
      <c r="AD14" s="162"/>
      <c r="AE14" s="162"/>
      <c r="AF14" s="162"/>
      <c r="AG14" s="162"/>
      <c r="AH14" s="163"/>
      <c r="AI14" s="310"/>
      <c r="AJ14" s="246"/>
      <c r="AK14" s="246"/>
      <c r="AL14" s="246"/>
      <c r="AM14" s="246"/>
      <c r="AN14" s="246"/>
      <c r="AO14" s="221" t="str">
        <f t="shared" si="0"/>
        <v>-</v>
      </c>
      <c r="AP14" s="222"/>
      <c r="AQ14" s="223"/>
      <c r="AR14" s="168"/>
      <c r="AS14" s="151"/>
      <c r="AT14" s="151"/>
      <c r="AU14" s="151"/>
      <c r="AV14" s="151"/>
      <c r="AW14" s="151"/>
      <c r="AX14" s="221" t="str">
        <f t="shared" si="1"/>
        <v>-</v>
      </c>
      <c r="AY14" s="222"/>
      <c r="AZ14" s="223"/>
    </row>
    <row r="15" spans="1:52" ht="13.5" customHeight="1">
      <c r="A15" s="265" t="s">
        <v>196</v>
      </c>
      <c r="B15" s="162"/>
      <c r="C15" s="162"/>
      <c r="D15" s="162"/>
      <c r="E15" s="162"/>
      <c r="F15" s="163"/>
      <c r="G15" s="16" t="s">
        <v>192</v>
      </c>
      <c r="H15" s="309"/>
      <c r="I15" s="246"/>
      <c r="J15" s="246"/>
      <c r="K15" s="246"/>
      <c r="L15" s="246"/>
      <c r="M15" s="246"/>
      <c r="N15" s="221" t="str">
        <f t="shared" si="2"/>
        <v>-</v>
      </c>
      <c r="O15" s="222"/>
      <c r="P15" s="223"/>
      <c r="Q15" s="168"/>
      <c r="R15" s="151"/>
      <c r="S15" s="151"/>
      <c r="T15" s="151"/>
      <c r="U15" s="151"/>
      <c r="V15" s="151"/>
      <c r="W15" s="221" t="str">
        <f t="shared" si="3"/>
        <v>-</v>
      </c>
      <c r="X15" s="222"/>
      <c r="Y15" s="223"/>
      <c r="Z15" s="35"/>
      <c r="AB15" s="265" t="s">
        <v>197</v>
      </c>
      <c r="AC15" s="162"/>
      <c r="AD15" s="162"/>
      <c r="AE15" s="162"/>
      <c r="AF15" s="162"/>
      <c r="AG15" s="162"/>
      <c r="AH15" s="163"/>
      <c r="AI15" s="310"/>
      <c r="AJ15" s="246"/>
      <c r="AK15" s="246"/>
      <c r="AL15" s="246"/>
      <c r="AM15" s="246"/>
      <c r="AN15" s="246"/>
      <c r="AO15" s="221" t="str">
        <f t="shared" si="0"/>
        <v>-</v>
      </c>
      <c r="AP15" s="222"/>
      <c r="AQ15" s="223"/>
      <c r="AR15" s="168"/>
      <c r="AS15" s="151"/>
      <c r="AT15" s="151"/>
      <c r="AU15" s="151"/>
      <c r="AV15" s="151"/>
      <c r="AW15" s="151"/>
      <c r="AX15" s="221" t="str">
        <f t="shared" si="1"/>
        <v>-</v>
      </c>
      <c r="AY15" s="222"/>
      <c r="AZ15" s="223"/>
    </row>
    <row r="16" spans="1:52" ht="13.5" customHeight="1">
      <c r="A16" s="265" t="s">
        <v>198</v>
      </c>
      <c r="B16" s="162"/>
      <c r="C16" s="162"/>
      <c r="D16" s="162"/>
      <c r="E16" s="162"/>
      <c r="F16" s="163"/>
      <c r="G16" s="16" t="s">
        <v>199</v>
      </c>
      <c r="H16" s="309"/>
      <c r="I16" s="246"/>
      <c r="J16" s="246"/>
      <c r="K16" s="246"/>
      <c r="L16" s="246"/>
      <c r="M16" s="246"/>
      <c r="N16" s="221" t="str">
        <f t="shared" si="2"/>
        <v>-</v>
      </c>
      <c r="O16" s="222"/>
      <c r="P16" s="223"/>
      <c r="Q16" s="168"/>
      <c r="R16" s="151"/>
      <c r="S16" s="151"/>
      <c r="T16" s="151"/>
      <c r="U16" s="151"/>
      <c r="V16" s="151"/>
      <c r="W16" s="221" t="str">
        <f t="shared" si="3"/>
        <v>-</v>
      </c>
      <c r="X16" s="222"/>
      <c r="Y16" s="223"/>
      <c r="Z16" s="35"/>
      <c r="AB16" s="265" t="s">
        <v>200</v>
      </c>
      <c r="AC16" s="162"/>
      <c r="AD16" s="162"/>
      <c r="AE16" s="162"/>
      <c r="AF16" s="162"/>
      <c r="AG16" s="162"/>
      <c r="AH16" s="163"/>
      <c r="AI16" s="310"/>
      <c r="AJ16" s="246"/>
      <c r="AK16" s="246"/>
      <c r="AL16" s="246"/>
      <c r="AM16" s="246"/>
      <c r="AN16" s="246"/>
      <c r="AO16" s="221" t="str">
        <f t="shared" si="0"/>
        <v>-</v>
      </c>
      <c r="AP16" s="222"/>
      <c r="AQ16" s="223"/>
      <c r="AR16" s="168"/>
      <c r="AS16" s="151"/>
      <c r="AT16" s="151"/>
      <c r="AU16" s="151"/>
      <c r="AV16" s="151"/>
      <c r="AW16" s="151"/>
      <c r="AX16" s="221" t="str">
        <f t="shared" si="1"/>
        <v>-</v>
      </c>
      <c r="AY16" s="222"/>
      <c r="AZ16" s="223"/>
    </row>
    <row r="17" spans="1:52" ht="13.5" customHeight="1">
      <c r="A17" s="265" t="s">
        <v>263</v>
      </c>
      <c r="B17" s="162"/>
      <c r="C17" s="162"/>
      <c r="D17" s="162"/>
      <c r="E17" s="162"/>
      <c r="F17" s="163"/>
      <c r="G17" s="16" t="s">
        <v>192</v>
      </c>
      <c r="H17" s="309"/>
      <c r="I17" s="246"/>
      <c r="J17" s="246"/>
      <c r="K17" s="246"/>
      <c r="L17" s="246"/>
      <c r="M17" s="246"/>
      <c r="N17" s="221" t="str">
        <f t="shared" si="2"/>
        <v>-</v>
      </c>
      <c r="O17" s="222"/>
      <c r="P17" s="223"/>
      <c r="Q17" s="168"/>
      <c r="R17" s="151"/>
      <c r="S17" s="151"/>
      <c r="T17" s="151"/>
      <c r="U17" s="151"/>
      <c r="V17" s="151"/>
      <c r="W17" s="221" t="str">
        <f t="shared" si="3"/>
        <v>-</v>
      </c>
      <c r="X17" s="222"/>
      <c r="Y17" s="223"/>
      <c r="Z17" s="35"/>
      <c r="AB17" s="265" t="s">
        <v>201</v>
      </c>
      <c r="AC17" s="162"/>
      <c r="AD17" s="162"/>
      <c r="AE17" s="162"/>
      <c r="AF17" s="162"/>
      <c r="AG17" s="162"/>
      <c r="AH17" s="163"/>
      <c r="AI17" s="310"/>
      <c r="AJ17" s="246"/>
      <c r="AK17" s="246"/>
      <c r="AL17" s="246"/>
      <c r="AM17" s="246"/>
      <c r="AN17" s="246"/>
      <c r="AO17" s="139" t="str">
        <f t="shared" si="0"/>
        <v>-</v>
      </c>
      <c r="AP17" s="140"/>
      <c r="AQ17" s="141"/>
      <c r="AR17" s="168"/>
      <c r="AS17" s="151"/>
      <c r="AT17" s="151"/>
      <c r="AU17" s="151"/>
      <c r="AV17" s="151"/>
      <c r="AW17" s="151"/>
      <c r="AX17" s="139" t="str">
        <f t="shared" si="1"/>
        <v>-</v>
      </c>
      <c r="AY17" s="140"/>
      <c r="AZ17" s="141"/>
    </row>
    <row r="18" spans="1:52" ht="13.5" customHeight="1">
      <c r="A18" s="265" t="s">
        <v>202</v>
      </c>
      <c r="B18" s="162"/>
      <c r="C18" s="162"/>
      <c r="D18" s="162"/>
      <c r="E18" s="162"/>
      <c r="F18" s="163"/>
      <c r="G18" s="16" t="s">
        <v>199</v>
      </c>
      <c r="H18" s="343"/>
      <c r="I18" s="351"/>
      <c r="J18" s="351"/>
      <c r="K18" s="246"/>
      <c r="L18" s="246"/>
      <c r="M18" s="246"/>
      <c r="N18" s="139" t="str">
        <f t="shared" si="2"/>
        <v>-</v>
      </c>
      <c r="O18" s="140"/>
      <c r="P18" s="141"/>
      <c r="Q18" s="168"/>
      <c r="R18" s="151"/>
      <c r="S18" s="151"/>
      <c r="T18" s="151"/>
      <c r="U18" s="151"/>
      <c r="V18" s="151"/>
      <c r="W18" s="221" t="str">
        <f t="shared" si="3"/>
        <v>-</v>
      </c>
      <c r="X18" s="222"/>
      <c r="Y18" s="223"/>
      <c r="Z18" s="35"/>
      <c r="AB18" s="265" t="s">
        <v>203</v>
      </c>
      <c r="AC18" s="162"/>
      <c r="AD18" s="162"/>
      <c r="AE18" s="162"/>
      <c r="AF18" s="162"/>
      <c r="AG18" s="162"/>
      <c r="AH18" s="163"/>
      <c r="AI18" s="310"/>
      <c r="AJ18" s="246"/>
      <c r="AK18" s="246"/>
      <c r="AL18" s="246"/>
      <c r="AM18" s="246"/>
      <c r="AN18" s="246"/>
      <c r="AO18" s="139" t="str">
        <f t="shared" si="0"/>
        <v>-</v>
      </c>
      <c r="AP18" s="140"/>
      <c r="AQ18" s="141"/>
      <c r="AR18" s="168"/>
      <c r="AS18" s="151"/>
      <c r="AT18" s="151"/>
      <c r="AU18" s="151"/>
      <c r="AV18" s="151"/>
      <c r="AW18" s="151"/>
      <c r="AX18" s="139" t="str">
        <f t="shared" si="1"/>
        <v>-</v>
      </c>
      <c r="AY18" s="140"/>
      <c r="AZ18" s="141"/>
    </row>
    <row r="19" spans="1:52" ht="13.5" customHeight="1">
      <c r="A19" s="256" t="s">
        <v>118</v>
      </c>
      <c r="B19" s="182"/>
      <c r="C19" s="182"/>
      <c r="D19" s="182"/>
      <c r="E19" s="182"/>
      <c r="F19" s="183"/>
      <c r="G19" s="17" t="s">
        <v>204</v>
      </c>
      <c r="H19" s="526"/>
      <c r="I19" s="527"/>
      <c r="J19" s="527"/>
      <c r="K19" s="526"/>
      <c r="L19" s="527"/>
      <c r="M19" s="527"/>
      <c r="N19" s="528"/>
      <c r="O19" s="528"/>
      <c r="P19" s="529"/>
      <c r="Q19" s="192"/>
      <c r="R19" s="193"/>
      <c r="S19" s="193"/>
      <c r="T19" s="188"/>
      <c r="U19" s="188"/>
      <c r="V19" s="188"/>
      <c r="W19" s="95" t="str">
        <f t="shared" si="3"/>
        <v>-</v>
      </c>
      <c r="X19" s="96"/>
      <c r="Y19" s="97"/>
      <c r="Z19" s="35"/>
      <c r="AB19" s="265" t="s">
        <v>205</v>
      </c>
      <c r="AC19" s="162"/>
      <c r="AD19" s="162"/>
      <c r="AE19" s="162"/>
      <c r="AF19" s="162"/>
      <c r="AG19" s="162"/>
      <c r="AH19" s="163"/>
      <c r="AI19" s="310"/>
      <c r="AJ19" s="246"/>
      <c r="AK19" s="246"/>
      <c r="AL19" s="246"/>
      <c r="AM19" s="246"/>
      <c r="AN19" s="246"/>
      <c r="AO19" s="139" t="str">
        <f t="shared" si="0"/>
        <v>-</v>
      </c>
      <c r="AP19" s="140"/>
      <c r="AQ19" s="141"/>
      <c r="AR19" s="168"/>
      <c r="AS19" s="151"/>
      <c r="AT19" s="151"/>
      <c r="AU19" s="151"/>
      <c r="AV19" s="151"/>
      <c r="AW19" s="151"/>
      <c r="AX19" s="139" t="str">
        <f t="shared" si="1"/>
        <v>-</v>
      </c>
      <c r="AY19" s="140"/>
      <c r="AZ19" s="141"/>
    </row>
    <row r="20" spans="1:52" ht="13.5" customHeight="1">
      <c r="A20" s="211" t="s">
        <v>7</v>
      </c>
      <c r="B20" s="212"/>
      <c r="C20" s="212"/>
      <c r="D20" s="212"/>
      <c r="E20" s="212"/>
      <c r="F20" s="213"/>
      <c r="G20" s="18" t="s">
        <v>204</v>
      </c>
      <c r="H20" s="530"/>
      <c r="I20" s="531"/>
      <c r="J20" s="531"/>
      <c r="K20" s="530"/>
      <c r="L20" s="531"/>
      <c r="M20" s="531"/>
      <c r="N20" s="532"/>
      <c r="O20" s="532"/>
      <c r="P20" s="533"/>
      <c r="Q20" s="202"/>
      <c r="R20" s="201"/>
      <c r="S20" s="201"/>
      <c r="T20" s="201"/>
      <c r="U20" s="201"/>
      <c r="V20" s="201"/>
      <c r="W20" s="253" t="str">
        <f t="shared" si="3"/>
        <v>-</v>
      </c>
      <c r="X20" s="254"/>
      <c r="Y20" s="255"/>
      <c r="Z20" s="35"/>
      <c r="AB20" s="265" t="s">
        <v>206</v>
      </c>
      <c r="AC20" s="162"/>
      <c r="AD20" s="162"/>
      <c r="AE20" s="162"/>
      <c r="AF20" s="162"/>
      <c r="AG20" s="162"/>
      <c r="AH20" s="163"/>
      <c r="AI20" s="310"/>
      <c r="AJ20" s="246"/>
      <c r="AK20" s="246"/>
      <c r="AL20" s="246"/>
      <c r="AM20" s="246"/>
      <c r="AN20" s="246"/>
      <c r="AO20" s="139" t="str">
        <f t="shared" si="0"/>
        <v>-</v>
      </c>
      <c r="AP20" s="140"/>
      <c r="AQ20" s="141"/>
      <c r="AR20" s="168"/>
      <c r="AS20" s="151"/>
      <c r="AT20" s="151"/>
      <c r="AU20" s="151"/>
      <c r="AV20" s="151"/>
      <c r="AW20" s="151"/>
      <c r="AX20" s="139" t="str">
        <f t="shared" si="1"/>
        <v>-</v>
      </c>
      <c r="AY20" s="140"/>
      <c r="AZ20" s="141"/>
    </row>
    <row r="21" spans="1:52" ht="13.5" customHeight="1">
      <c r="A21" s="3" t="s">
        <v>207</v>
      </c>
      <c r="H21" s="3"/>
      <c r="Z21" s="35"/>
      <c r="AB21" s="265" t="s">
        <v>208</v>
      </c>
      <c r="AC21" s="162"/>
      <c r="AD21" s="162"/>
      <c r="AE21" s="162"/>
      <c r="AF21" s="162"/>
      <c r="AG21" s="162"/>
      <c r="AH21" s="163"/>
      <c r="AI21" s="310"/>
      <c r="AJ21" s="246"/>
      <c r="AK21" s="246"/>
      <c r="AL21" s="246"/>
      <c r="AM21" s="246"/>
      <c r="AN21" s="246"/>
      <c r="AO21" s="139" t="str">
        <f t="shared" si="0"/>
        <v>-</v>
      </c>
      <c r="AP21" s="140"/>
      <c r="AQ21" s="141"/>
      <c r="AR21" s="168"/>
      <c r="AS21" s="151"/>
      <c r="AT21" s="151"/>
      <c r="AU21" s="151"/>
      <c r="AV21" s="151"/>
      <c r="AW21" s="151"/>
      <c r="AX21" s="139" t="str">
        <f t="shared" si="1"/>
        <v>-</v>
      </c>
      <c r="AY21" s="140"/>
      <c r="AZ21" s="141"/>
    </row>
    <row r="22" spans="1:52" ht="13.5" customHeight="1">
      <c r="H22" s="3"/>
      <c r="Z22" s="35"/>
      <c r="AB22" s="265" t="s">
        <v>209</v>
      </c>
      <c r="AC22" s="162"/>
      <c r="AD22" s="162"/>
      <c r="AE22" s="162"/>
      <c r="AF22" s="162"/>
      <c r="AG22" s="162"/>
      <c r="AH22" s="163"/>
      <c r="AI22" s="350"/>
      <c r="AJ22" s="351"/>
      <c r="AK22" s="351"/>
      <c r="AL22" s="246"/>
      <c r="AM22" s="246"/>
      <c r="AN22" s="246"/>
      <c r="AO22" s="139" t="str">
        <f t="shared" si="0"/>
        <v>-</v>
      </c>
      <c r="AP22" s="140"/>
      <c r="AQ22" s="141"/>
      <c r="AR22" s="168"/>
      <c r="AS22" s="151"/>
      <c r="AT22" s="151"/>
      <c r="AU22" s="151"/>
      <c r="AV22" s="151"/>
      <c r="AW22" s="151"/>
      <c r="AX22" s="139" t="str">
        <f t="shared" si="1"/>
        <v>-</v>
      </c>
      <c r="AY22" s="140"/>
      <c r="AZ22" s="141"/>
    </row>
    <row r="23" spans="1:52" ht="13.5" customHeight="1">
      <c r="A23" s="1" t="s">
        <v>210</v>
      </c>
      <c r="H23" s="3"/>
      <c r="Y23" s="2" t="s">
        <v>185</v>
      </c>
      <c r="Z23" s="35"/>
      <c r="AB23" s="244" t="s">
        <v>118</v>
      </c>
      <c r="AC23" s="153"/>
      <c r="AD23" s="153"/>
      <c r="AE23" s="153"/>
      <c r="AF23" s="153"/>
      <c r="AG23" s="153"/>
      <c r="AH23" s="154"/>
      <c r="AI23" s="535"/>
      <c r="AJ23" s="527"/>
      <c r="AK23" s="527"/>
      <c r="AL23" s="526"/>
      <c r="AM23" s="527"/>
      <c r="AN23" s="527"/>
      <c r="AO23" s="536"/>
      <c r="AP23" s="537"/>
      <c r="AQ23" s="538"/>
      <c r="AR23" s="192"/>
      <c r="AS23" s="193"/>
      <c r="AT23" s="193"/>
      <c r="AU23" s="188"/>
      <c r="AV23" s="188"/>
      <c r="AW23" s="188"/>
      <c r="AX23" s="95" t="str">
        <f t="shared" si="1"/>
        <v>-</v>
      </c>
      <c r="AY23" s="96"/>
      <c r="AZ23" s="97"/>
    </row>
    <row r="24" spans="1:52" ht="13.5" customHeight="1">
      <c r="A24" s="127" t="s">
        <v>41</v>
      </c>
      <c r="B24" s="128"/>
      <c r="C24" s="128"/>
      <c r="D24" s="128"/>
      <c r="E24" s="128"/>
      <c r="F24" s="128"/>
      <c r="G24" s="129"/>
      <c r="H24" s="262" t="s">
        <v>188</v>
      </c>
      <c r="I24" s="262"/>
      <c r="J24" s="262"/>
      <c r="K24" s="262"/>
      <c r="L24" s="262"/>
      <c r="M24" s="262"/>
      <c r="N24" s="262"/>
      <c r="O24" s="262"/>
      <c r="P24" s="263"/>
      <c r="Q24" s="262" t="s">
        <v>187</v>
      </c>
      <c r="R24" s="262"/>
      <c r="S24" s="262"/>
      <c r="T24" s="262"/>
      <c r="U24" s="262"/>
      <c r="V24" s="262"/>
      <c r="W24" s="262"/>
      <c r="X24" s="262"/>
      <c r="Y24" s="263"/>
      <c r="Z24" s="35"/>
      <c r="AB24" s="211" t="s">
        <v>7</v>
      </c>
      <c r="AC24" s="212"/>
      <c r="AD24" s="212"/>
      <c r="AE24" s="212"/>
      <c r="AF24" s="212"/>
      <c r="AG24" s="212"/>
      <c r="AH24" s="213"/>
      <c r="AI24" s="534"/>
      <c r="AJ24" s="531"/>
      <c r="AK24" s="531"/>
      <c r="AL24" s="530"/>
      <c r="AM24" s="531"/>
      <c r="AN24" s="531"/>
      <c r="AO24" s="452"/>
      <c r="AP24" s="453"/>
      <c r="AQ24" s="454"/>
      <c r="AR24" s="202"/>
      <c r="AS24" s="201"/>
      <c r="AT24" s="201"/>
      <c r="AU24" s="201"/>
      <c r="AV24" s="201"/>
      <c r="AW24" s="201"/>
      <c r="AX24" s="253" t="str">
        <f t="shared" si="1"/>
        <v>-</v>
      </c>
      <c r="AY24" s="254"/>
      <c r="AZ24" s="255"/>
    </row>
    <row r="25" spans="1:52" ht="13.5" customHeight="1">
      <c r="A25" s="130"/>
      <c r="B25" s="131"/>
      <c r="C25" s="131"/>
      <c r="D25" s="131"/>
      <c r="E25" s="131"/>
      <c r="F25" s="131"/>
      <c r="G25" s="132"/>
      <c r="H25" s="125" t="s">
        <v>267</v>
      </c>
      <c r="I25" s="123"/>
      <c r="J25" s="126"/>
      <c r="K25" s="122" t="s">
        <v>269</v>
      </c>
      <c r="L25" s="123"/>
      <c r="M25" s="126"/>
      <c r="N25" s="385" t="s">
        <v>8</v>
      </c>
      <c r="O25" s="386"/>
      <c r="P25" s="387"/>
      <c r="Q25" s="125" t="s">
        <v>267</v>
      </c>
      <c r="R25" s="123"/>
      <c r="S25" s="126"/>
      <c r="T25" s="122" t="s">
        <v>269</v>
      </c>
      <c r="U25" s="123"/>
      <c r="V25" s="126"/>
      <c r="W25" s="385" t="s">
        <v>8</v>
      </c>
      <c r="X25" s="386"/>
      <c r="Y25" s="387"/>
      <c r="Z25" s="35"/>
      <c r="AB25" s="3" t="s">
        <v>211</v>
      </c>
    </row>
    <row r="26" spans="1:52" ht="13.5" customHeight="1">
      <c r="A26" s="347" t="s">
        <v>212</v>
      </c>
      <c r="B26" s="348"/>
      <c r="C26" s="348"/>
      <c r="D26" s="348"/>
      <c r="E26" s="348"/>
      <c r="F26" s="348"/>
      <c r="G26" s="349"/>
      <c r="H26" s="299"/>
      <c r="I26" s="300"/>
      <c r="J26" s="300"/>
      <c r="K26" s="240"/>
      <c r="L26" s="240"/>
      <c r="M26" s="240"/>
      <c r="N26" s="224" t="str">
        <f>IF(H26="-", "-", IF(K26="-", "-", IF(ABS(K26)=0, "-", ROUND(100*(H26-K26)/ABS(K26),10))))</f>
        <v>-</v>
      </c>
      <c r="O26" s="225"/>
      <c r="P26" s="226"/>
      <c r="Q26" s="200"/>
      <c r="R26" s="172"/>
      <c r="S26" s="172"/>
      <c r="T26" s="143"/>
      <c r="U26" s="143"/>
      <c r="V26" s="143"/>
      <c r="W26" s="221" t="str">
        <f>IF(Q26="-", "-", IF(T26="-", "-", IF(ABS(T26)=0, "-", ROUND(100*(Q26-T26)/ABS(T26),10))))</f>
        <v>-</v>
      </c>
      <c r="X26" s="222"/>
      <c r="Y26" s="223"/>
    </row>
    <row r="27" spans="1:52" ht="13.5" customHeight="1">
      <c r="A27" s="256" t="s">
        <v>118</v>
      </c>
      <c r="B27" s="182"/>
      <c r="C27" s="182"/>
      <c r="D27" s="182"/>
      <c r="E27" s="182"/>
      <c r="F27" s="182"/>
      <c r="G27" s="183"/>
      <c r="H27" s="539"/>
      <c r="I27" s="540"/>
      <c r="J27" s="540"/>
      <c r="K27" s="541"/>
      <c r="L27" s="540"/>
      <c r="M27" s="540"/>
      <c r="N27" s="542"/>
      <c r="O27" s="543"/>
      <c r="P27" s="544"/>
      <c r="Q27" s="192"/>
      <c r="R27" s="193"/>
      <c r="S27" s="193"/>
      <c r="T27" s="108"/>
      <c r="U27" s="108"/>
      <c r="V27" s="108"/>
      <c r="W27" s="95" t="str">
        <f>IF(Q27="-", "-", IF(T27="-", "-", IF(ABS(T27)=0, "-", ROUND(100*(Q27-T27)/ABS(T27),10))))</f>
        <v>-</v>
      </c>
      <c r="X27" s="96"/>
      <c r="Y27" s="97"/>
    </row>
    <row r="28" spans="1:52" ht="13.5" customHeight="1">
      <c r="A28" s="211" t="s">
        <v>7</v>
      </c>
      <c r="B28" s="212"/>
      <c r="C28" s="212"/>
      <c r="D28" s="212"/>
      <c r="E28" s="212"/>
      <c r="F28" s="212"/>
      <c r="G28" s="213"/>
      <c r="H28" s="548"/>
      <c r="I28" s="531"/>
      <c r="J28" s="531"/>
      <c r="K28" s="530"/>
      <c r="L28" s="531"/>
      <c r="M28" s="531"/>
      <c r="N28" s="452"/>
      <c r="O28" s="453"/>
      <c r="P28" s="454"/>
      <c r="Q28" s="202"/>
      <c r="R28" s="201"/>
      <c r="S28" s="201"/>
      <c r="T28" s="201"/>
      <c r="U28" s="201"/>
      <c r="V28" s="201"/>
      <c r="W28" s="253" t="str">
        <f>IF(Q28="-", "-", IF(T28="-", "-", IF(ABS(T28)=0, "-", ROUND(100*(Q28-T28)/ABS(T28),10))))</f>
        <v>-</v>
      </c>
      <c r="X28" s="254"/>
      <c r="Y28" s="255"/>
      <c r="Z28" s="2"/>
    </row>
    <row r="29" spans="1:52" ht="13.5" customHeight="1">
      <c r="A29" s="3" t="s">
        <v>211</v>
      </c>
      <c r="H29" s="3"/>
      <c r="Z29" s="14"/>
    </row>
    <row r="30" spans="1:52" ht="13.5" customHeight="1">
      <c r="Z30" s="15"/>
    </row>
    <row r="31" spans="1:52" ht="13.5" customHeight="1">
      <c r="A31" s="1" t="s">
        <v>213</v>
      </c>
      <c r="H31" s="50"/>
      <c r="I31" s="50"/>
      <c r="J31" s="50"/>
      <c r="K31" s="50"/>
      <c r="L31" s="50"/>
      <c r="M31" s="50"/>
      <c r="N31" s="50"/>
      <c r="O31" s="50"/>
      <c r="P31" s="50"/>
      <c r="Q31" s="9"/>
      <c r="Z31" s="35"/>
    </row>
    <row r="32" spans="1:52" ht="13.5" customHeight="1">
      <c r="A32" s="234" t="s">
        <v>41</v>
      </c>
      <c r="B32" s="235"/>
      <c r="C32" s="235"/>
      <c r="D32" s="235"/>
      <c r="E32" s="235"/>
      <c r="F32" s="235"/>
      <c r="G32" s="236"/>
      <c r="H32" s="344" t="s">
        <v>267</v>
      </c>
      <c r="I32" s="345"/>
      <c r="J32" s="346"/>
      <c r="K32" s="276" t="s">
        <v>269</v>
      </c>
      <c r="L32" s="345"/>
      <c r="M32" s="346"/>
      <c r="N32" s="545" t="s">
        <v>8</v>
      </c>
      <c r="O32" s="546"/>
      <c r="P32" s="547"/>
      <c r="Z32" s="35"/>
    </row>
    <row r="33" spans="1:26" ht="13.5" customHeight="1">
      <c r="A33" s="347" t="s">
        <v>55</v>
      </c>
      <c r="B33" s="348"/>
      <c r="C33" s="348"/>
      <c r="D33" s="348"/>
      <c r="E33" s="348"/>
      <c r="F33" s="348"/>
      <c r="G33" s="349"/>
      <c r="H33" s="173"/>
      <c r="I33" s="174"/>
      <c r="J33" s="174"/>
      <c r="K33" s="143"/>
      <c r="L33" s="143"/>
      <c r="M33" s="143"/>
      <c r="N33" s="224" t="str">
        <f>IF(H33="-", "-", IF(K33="-", "-", IF(ABS(K33)=0, "-", ROUND(100*(H33-K33)/ABS(K33),10))))</f>
        <v>-</v>
      </c>
      <c r="O33" s="225"/>
      <c r="P33" s="226"/>
      <c r="Z33" s="35"/>
    </row>
    <row r="34" spans="1:26" ht="13.5" customHeight="1">
      <c r="A34" s="265" t="s">
        <v>58</v>
      </c>
      <c r="B34" s="162"/>
      <c r="C34" s="162"/>
      <c r="D34" s="162"/>
      <c r="E34" s="162"/>
      <c r="F34" s="162"/>
      <c r="G34" s="163"/>
      <c r="H34" s="168"/>
      <c r="I34" s="151"/>
      <c r="J34" s="151"/>
      <c r="K34" s="151"/>
      <c r="L34" s="151"/>
      <c r="M34" s="151"/>
      <c r="N34" s="221" t="str">
        <f>IF(H34="-", "-", IF(K34="-", "-", IF(ABS(K34)=0, "-", ROUND(100*(H34-K34)/ABS(K34),10))))</f>
        <v>-</v>
      </c>
      <c r="O34" s="222"/>
      <c r="P34" s="223"/>
    </row>
    <row r="35" spans="1:26" ht="13.5" customHeight="1">
      <c r="A35" s="265" t="s">
        <v>61</v>
      </c>
      <c r="B35" s="162"/>
      <c r="C35" s="162"/>
      <c r="D35" s="162"/>
      <c r="E35" s="162"/>
      <c r="F35" s="162"/>
      <c r="G35" s="163"/>
      <c r="H35" s="168"/>
      <c r="I35" s="151"/>
      <c r="J35" s="151"/>
      <c r="K35" s="151"/>
      <c r="L35" s="151"/>
      <c r="M35" s="151"/>
      <c r="N35" s="221" t="str">
        <f>IF(H35="-", "-", IF(K35="-", "-", IF(ABS(K35)=0, "-", ROUND(100*(H35-K35)/ABS(K35),10))))</f>
        <v>-</v>
      </c>
      <c r="O35" s="222"/>
      <c r="P35" s="223"/>
    </row>
    <row r="36" spans="1:26" ht="13.5" customHeight="1">
      <c r="A36" s="256" t="s">
        <v>214</v>
      </c>
      <c r="B36" s="182"/>
      <c r="C36" s="182"/>
      <c r="D36" s="182"/>
      <c r="E36" s="182"/>
      <c r="F36" s="182"/>
      <c r="G36" s="183"/>
      <c r="H36" s="269"/>
      <c r="I36" s="270"/>
      <c r="J36" s="270"/>
      <c r="K36" s="108"/>
      <c r="L36" s="108"/>
      <c r="M36" s="108"/>
      <c r="N36" s="95" t="str">
        <f>IF(H36="-", "-", IF(K36="-", "-", IF(ABS(K36)=0, "-", ROUND(100*(H36-K36)/ABS(K36),10))))</f>
        <v>-</v>
      </c>
      <c r="O36" s="96"/>
      <c r="P36" s="97"/>
    </row>
  </sheetData>
  <mergeCells count="232">
    <mergeCell ref="A36:G36"/>
    <mergeCell ref="H36:J36"/>
    <mergeCell ref="K36:M36"/>
    <mergeCell ref="N36:P36"/>
    <mergeCell ref="A34:G34"/>
    <mergeCell ref="H34:J34"/>
    <mergeCell ref="K34:M34"/>
    <mergeCell ref="N34:P34"/>
    <mergeCell ref="A35:G35"/>
    <mergeCell ref="H35:J35"/>
    <mergeCell ref="K35:M35"/>
    <mergeCell ref="N35:P35"/>
    <mergeCell ref="W28:Y28"/>
    <mergeCell ref="A32:G32"/>
    <mergeCell ref="H32:J32"/>
    <mergeCell ref="K32:M32"/>
    <mergeCell ref="N32:P32"/>
    <mergeCell ref="A33:G33"/>
    <mergeCell ref="H33:J33"/>
    <mergeCell ref="K33:M33"/>
    <mergeCell ref="N33:P33"/>
    <mergeCell ref="A28:G28"/>
    <mergeCell ref="H28:J28"/>
    <mergeCell ref="K28:M28"/>
    <mergeCell ref="N28:P28"/>
    <mergeCell ref="Q28:S28"/>
    <mergeCell ref="T28:V28"/>
    <mergeCell ref="W26:Y26"/>
    <mergeCell ref="A27:G27"/>
    <mergeCell ref="H27:J27"/>
    <mergeCell ref="K27:M27"/>
    <mergeCell ref="N27:P27"/>
    <mergeCell ref="Q27:S27"/>
    <mergeCell ref="T27:V27"/>
    <mergeCell ref="W27:Y27"/>
    <mergeCell ref="A26:G26"/>
    <mergeCell ref="H26:J26"/>
    <mergeCell ref="K26:M26"/>
    <mergeCell ref="N26:P26"/>
    <mergeCell ref="Q26:S26"/>
    <mergeCell ref="T26:V26"/>
    <mergeCell ref="AX24:AZ24"/>
    <mergeCell ref="H25:J25"/>
    <mergeCell ref="K25:M25"/>
    <mergeCell ref="N25:P25"/>
    <mergeCell ref="Q25:S25"/>
    <mergeCell ref="T25:V25"/>
    <mergeCell ref="W25:Y25"/>
    <mergeCell ref="AX23:AZ23"/>
    <mergeCell ref="A24:G25"/>
    <mergeCell ref="H24:P24"/>
    <mergeCell ref="Q24:Y24"/>
    <mergeCell ref="AB24:AH24"/>
    <mergeCell ref="AI24:AK24"/>
    <mergeCell ref="AL24:AN24"/>
    <mergeCell ref="AO24:AQ24"/>
    <mergeCell ref="AR24:AT24"/>
    <mergeCell ref="AU24:AW24"/>
    <mergeCell ref="AB23:AH23"/>
    <mergeCell ref="AI23:AK23"/>
    <mergeCell ref="AL23:AN23"/>
    <mergeCell ref="AO23:AQ23"/>
    <mergeCell ref="AR23:AT23"/>
    <mergeCell ref="AU23:AW23"/>
    <mergeCell ref="AX21:AZ21"/>
    <mergeCell ref="AB22:AH22"/>
    <mergeCell ref="AI22:AK22"/>
    <mergeCell ref="AL22:AN22"/>
    <mergeCell ref="AO22:AQ22"/>
    <mergeCell ref="AR22:AT22"/>
    <mergeCell ref="AU22:AW22"/>
    <mergeCell ref="AX22:AZ22"/>
    <mergeCell ref="AB21:AH21"/>
    <mergeCell ref="AI21:AK21"/>
    <mergeCell ref="AL21:AN21"/>
    <mergeCell ref="AO21:AQ21"/>
    <mergeCell ref="AR21:AT21"/>
    <mergeCell ref="AU21:AW21"/>
    <mergeCell ref="AI20:AK20"/>
    <mergeCell ref="AL20:AN20"/>
    <mergeCell ref="AO20:AQ20"/>
    <mergeCell ref="AR20:AT20"/>
    <mergeCell ref="AU20:AW20"/>
    <mergeCell ref="AX20:AZ20"/>
    <mergeCell ref="AU19:AW19"/>
    <mergeCell ref="AX19:AZ19"/>
    <mergeCell ref="A20:F20"/>
    <mergeCell ref="H20:J20"/>
    <mergeCell ref="K20:M20"/>
    <mergeCell ref="N20:P20"/>
    <mergeCell ref="Q20:S20"/>
    <mergeCell ref="T20:V20"/>
    <mergeCell ref="W20:Y20"/>
    <mergeCell ref="AB20:AH20"/>
    <mergeCell ref="W19:Y19"/>
    <mergeCell ref="AB19:AH19"/>
    <mergeCell ref="AI19:AK19"/>
    <mergeCell ref="AL19:AN19"/>
    <mergeCell ref="AO19:AQ19"/>
    <mergeCell ref="AR19:AT19"/>
    <mergeCell ref="A19:F19"/>
    <mergeCell ref="H19:J19"/>
    <mergeCell ref="K19:M19"/>
    <mergeCell ref="N19:P19"/>
    <mergeCell ref="Q19:S19"/>
    <mergeCell ref="T19:V19"/>
    <mergeCell ref="AI18:AK18"/>
    <mergeCell ref="AL18:AN18"/>
    <mergeCell ref="AO18:AQ18"/>
    <mergeCell ref="AR18:AT18"/>
    <mergeCell ref="AU18:AW18"/>
    <mergeCell ref="AX18:AZ18"/>
    <mergeCell ref="AU17:AW17"/>
    <mergeCell ref="AX17:AZ17"/>
    <mergeCell ref="A18:F18"/>
    <mergeCell ref="H18:J18"/>
    <mergeCell ref="K18:M18"/>
    <mergeCell ref="N18:P18"/>
    <mergeCell ref="Q18:S18"/>
    <mergeCell ref="T18:V18"/>
    <mergeCell ref="W18:Y18"/>
    <mergeCell ref="AB18:AH18"/>
    <mergeCell ref="W17:Y17"/>
    <mergeCell ref="AB17:AH17"/>
    <mergeCell ref="AI17:AK17"/>
    <mergeCell ref="AL17:AN17"/>
    <mergeCell ref="AO17:AQ17"/>
    <mergeCell ref="AR17:AT17"/>
    <mergeCell ref="A17:F17"/>
    <mergeCell ref="H17:J17"/>
    <mergeCell ref="K17:M17"/>
    <mergeCell ref="N17:P17"/>
    <mergeCell ref="Q17:S17"/>
    <mergeCell ref="T17:V17"/>
    <mergeCell ref="A16:F16"/>
    <mergeCell ref="H16:J16"/>
    <mergeCell ref="K16:M16"/>
    <mergeCell ref="N16:P16"/>
    <mergeCell ref="Q16:S16"/>
    <mergeCell ref="T16:V16"/>
    <mergeCell ref="W16:Y16"/>
    <mergeCell ref="AB16:AH16"/>
    <mergeCell ref="W15:Y15"/>
    <mergeCell ref="AB15:AH15"/>
    <mergeCell ref="A15:F15"/>
    <mergeCell ref="H15:J15"/>
    <mergeCell ref="K15:M15"/>
    <mergeCell ref="N15:P15"/>
    <mergeCell ref="Q15:S15"/>
    <mergeCell ref="T15:V15"/>
    <mergeCell ref="AI16:AK16"/>
    <mergeCell ref="AL16:AN16"/>
    <mergeCell ref="AO16:AQ16"/>
    <mergeCell ref="AR16:AT16"/>
    <mergeCell ref="AU16:AW16"/>
    <mergeCell ref="AX16:AZ16"/>
    <mergeCell ref="AU15:AW15"/>
    <mergeCell ref="AX15:AZ15"/>
    <mergeCell ref="AI15:AK15"/>
    <mergeCell ref="AL15:AN15"/>
    <mergeCell ref="AO15:AQ15"/>
    <mergeCell ref="AR15:AT15"/>
    <mergeCell ref="AI14:AK14"/>
    <mergeCell ref="AL14:AN14"/>
    <mergeCell ref="AO14:AQ14"/>
    <mergeCell ref="AR14:AT14"/>
    <mergeCell ref="AU14:AW14"/>
    <mergeCell ref="AX14:AZ14"/>
    <mergeCell ref="AU13:AW13"/>
    <mergeCell ref="AX13:AZ13"/>
    <mergeCell ref="A14:F14"/>
    <mergeCell ref="H14:J14"/>
    <mergeCell ref="K14:M14"/>
    <mergeCell ref="N14:P14"/>
    <mergeCell ref="Q14:S14"/>
    <mergeCell ref="T14:V14"/>
    <mergeCell ref="W14:Y14"/>
    <mergeCell ref="AB14:AH14"/>
    <mergeCell ref="W13:Y13"/>
    <mergeCell ref="AB13:AH13"/>
    <mergeCell ref="AI13:AK13"/>
    <mergeCell ref="AL13:AN13"/>
    <mergeCell ref="AO13:AQ13"/>
    <mergeCell ref="AR13:AT13"/>
    <mergeCell ref="A13:F13"/>
    <mergeCell ref="H13:J13"/>
    <mergeCell ref="K13:M13"/>
    <mergeCell ref="N13:P13"/>
    <mergeCell ref="Q13:S13"/>
    <mergeCell ref="T13:V13"/>
    <mergeCell ref="AX11:AZ11"/>
    <mergeCell ref="AB12:AH12"/>
    <mergeCell ref="AI12:AK12"/>
    <mergeCell ref="AL12:AN12"/>
    <mergeCell ref="AO12:AQ12"/>
    <mergeCell ref="AR12:AT12"/>
    <mergeCell ref="AU12:AW12"/>
    <mergeCell ref="AX12:AZ12"/>
    <mergeCell ref="Q11:S12"/>
    <mergeCell ref="T11:V12"/>
    <mergeCell ref="W11:Y12"/>
    <mergeCell ref="AI11:AK11"/>
    <mergeCell ref="A5:E5"/>
    <mergeCell ref="F5:H5"/>
    <mergeCell ref="I5:R5"/>
    <mergeCell ref="AR10:AZ10"/>
    <mergeCell ref="AL11:AN11"/>
    <mergeCell ref="AO11:AQ11"/>
    <mergeCell ref="A10:F12"/>
    <mergeCell ref="G10:P10"/>
    <mergeCell ref="Q10:Y10"/>
    <mergeCell ref="AB10:AH11"/>
    <mergeCell ref="AI10:AQ10"/>
    <mergeCell ref="AR11:AT11"/>
    <mergeCell ref="AU11:AW11"/>
    <mergeCell ref="G11:G12"/>
    <mergeCell ref="H11:J12"/>
    <mergeCell ref="K11:M12"/>
    <mergeCell ref="N11:P12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51"/>
  <sheetViews>
    <sheetView view="pageBreakPreview" zoomScaleNormal="100" zoomScaleSheetLayoutView="100" workbookViewId="0">
      <selection sqref="A1:C1"/>
    </sheetView>
  </sheetViews>
  <sheetFormatPr defaultColWidth="2.625" defaultRowHeight="13.5" customHeight="1"/>
  <cols>
    <col min="1" max="9" width="2.375" style="9" customWidth="1"/>
    <col min="10" max="13" width="2.375" style="3" customWidth="1"/>
    <col min="14" max="15" width="2.875" style="3" customWidth="1"/>
    <col min="16" max="21" width="2.375" style="3" customWidth="1"/>
    <col min="22" max="23" width="2.875" style="3" customWidth="1"/>
    <col min="24" max="29" width="2.375" style="3" customWidth="1"/>
    <col min="30" max="31" width="2.875" style="3" customWidth="1"/>
    <col min="32" max="37" width="2.375" style="3" customWidth="1"/>
    <col min="38" max="39" width="2.875" style="3" customWidth="1"/>
    <col min="40" max="45" width="2.375" style="3" customWidth="1"/>
    <col min="46" max="47" width="2.875" style="3" customWidth="1"/>
    <col min="48" max="53" width="2.375" style="3" customWidth="1"/>
    <col min="54" max="55" width="2.875" style="3" customWidth="1"/>
    <col min="56" max="16384" width="2.625" style="3"/>
  </cols>
  <sheetData>
    <row r="1" spans="1:55" s="38" customFormat="1" ht="13.5" customHeight="1">
      <c r="A1" s="112" t="str">
        <f>IF(No.1!A1="","",No.1!A1)</f>
        <v/>
      </c>
      <c r="B1" s="112"/>
      <c r="C1" s="112"/>
      <c r="D1" s="89" t="s">
        <v>382</v>
      </c>
      <c r="E1" s="36"/>
      <c r="F1" s="36"/>
      <c r="G1" s="36"/>
      <c r="H1" s="37"/>
      <c r="I1" s="36"/>
      <c r="J1" s="36"/>
      <c r="K1" s="36"/>
      <c r="L1" s="36"/>
      <c r="M1" s="36"/>
      <c r="N1" s="36"/>
      <c r="O1" s="36"/>
      <c r="P1" s="36"/>
      <c r="T1" s="39"/>
      <c r="U1" s="39"/>
      <c r="AL1" s="64"/>
      <c r="AM1" s="64"/>
      <c r="AN1" s="64"/>
      <c r="AO1" s="64"/>
      <c r="AP1" s="64"/>
      <c r="AQ1" s="64"/>
      <c r="AR1" s="64"/>
      <c r="AS1" s="64"/>
    </row>
    <row r="2" spans="1:55" s="38" customFormat="1" ht="13.5" customHeight="1">
      <c r="A2" s="40" t="s">
        <v>1</v>
      </c>
      <c r="B2" s="36"/>
      <c r="C2" s="36"/>
      <c r="D2" s="36"/>
      <c r="E2" s="36"/>
      <c r="F2" s="36"/>
      <c r="G2" s="36"/>
      <c r="H2" s="37"/>
      <c r="I2" s="36"/>
      <c r="J2" s="36"/>
      <c r="K2" s="36"/>
      <c r="L2" s="36"/>
      <c r="M2" s="36"/>
      <c r="N2" s="36"/>
      <c r="O2" s="36"/>
      <c r="P2" s="36"/>
      <c r="T2" s="39"/>
      <c r="U2" s="39"/>
      <c r="AL2" s="66"/>
      <c r="AM2" s="66"/>
      <c r="AN2" s="66"/>
      <c r="AO2" s="66"/>
      <c r="AP2" s="66"/>
      <c r="AQ2" s="65"/>
      <c r="AR2" s="65"/>
      <c r="AS2" s="65"/>
    </row>
    <row r="3" spans="1:55" s="38" customFormat="1" ht="13.5" customHeight="1">
      <c r="A3" s="136"/>
      <c r="B3" s="136"/>
      <c r="C3" s="136"/>
      <c r="D3" s="136"/>
      <c r="E3" s="136"/>
      <c r="F3" s="137" t="s">
        <v>277</v>
      </c>
      <c r="G3" s="137"/>
      <c r="H3" s="137"/>
      <c r="I3" s="138" t="s">
        <v>278</v>
      </c>
      <c r="J3" s="138"/>
      <c r="K3" s="138"/>
      <c r="L3" s="138"/>
      <c r="M3" s="138"/>
      <c r="N3" s="138"/>
      <c r="O3" s="138"/>
      <c r="P3" s="115"/>
      <c r="Q3" s="115"/>
      <c r="R3" s="115"/>
      <c r="T3" s="116" t="s">
        <v>279</v>
      </c>
      <c r="U3" s="116"/>
      <c r="V3" s="116"/>
      <c r="W3" s="116"/>
      <c r="X3" s="116"/>
      <c r="Y3" s="116" t="s">
        <v>280</v>
      </c>
      <c r="Z3" s="117"/>
      <c r="AA3" s="117"/>
      <c r="AB3" s="117"/>
      <c r="AC3" s="117"/>
      <c r="AD3" s="117"/>
      <c r="AE3" s="117"/>
      <c r="AF3" s="121" t="s">
        <v>0</v>
      </c>
      <c r="AG3" s="119"/>
      <c r="AH3" s="119"/>
      <c r="AI3" s="119"/>
      <c r="AJ3" s="119"/>
      <c r="AK3" s="120"/>
    </row>
    <row r="4" spans="1:55" s="38" customFormat="1" ht="13.5" customHeight="1">
      <c r="A4" s="114" t="s">
        <v>384</v>
      </c>
      <c r="B4" s="114"/>
      <c r="C4" s="114"/>
      <c r="D4" s="114"/>
      <c r="E4" s="114"/>
      <c r="F4" s="114" t="str">
        <f>IF(No.1!F4="","",No.1!F4)</f>
        <v/>
      </c>
      <c r="G4" s="114"/>
      <c r="H4" s="114"/>
      <c r="I4" s="114" t="str">
        <f>IF(No.1!I4="","",No.1!I4)</f>
        <v/>
      </c>
      <c r="J4" s="114"/>
      <c r="K4" s="114"/>
      <c r="L4" s="114"/>
      <c r="M4" s="114"/>
      <c r="N4" s="114"/>
      <c r="O4" s="114"/>
      <c r="P4" s="115"/>
      <c r="Q4" s="115"/>
      <c r="R4" s="115"/>
      <c r="T4" s="76" t="str">
        <f>IF(No.1!AB4="","",No.1!AB4)</f>
        <v/>
      </c>
      <c r="U4" s="116" t="str">
        <f>IF(No.1!AC4="","",No.1!AC4)</f>
        <v/>
      </c>
      <c r="V4" s="116"/>
      <c r="W4" s="116"/>
      <c r="X4" s="116"/>
      <c r="Y4" s="76" t="str">
        <f>IF(No.1!AG4="","",No.1!AG4)</f>
        <v/>
      </c>
      <c r="Z4" s="114" t="str">
        <f>IF(No.1!AH4="","",No.1!AH4)</f>
        <v/>
      </c>
      <c r="AA4" s="117"/>
      <c r="AB4" s="117"/>
      <c r="AC4" s="117"/>
      <c r="AD4" s="117"/>
      <c r="AE4" s="117"/>
      <c r="AF4" s="76" t="str">
        <f>IF(No.1!AN4="","",No.1!AN4)</f>
        <v/>
      </c>
      <c r="AG4" s="118" t="str">
        <f>IF(No.1!AO4="","",No.1!AO4)</f>
        <v/>
      </c>
      <c r="AH4" s="119"/>
      <c r="AI4" s="119"/>
      <c r="AJ4" s="119"/>
      <c r="AK4" s="120"/>
    </row>
    <row r="5" spans="1:55" s="38" customFormat="1" ht="13.5" customHeight="1">
      <c r="A5" s="114" t="s">
        <v>268</v>
      </c>
      <c r="B5" s="114"/>
      <c r="C5" s="114"/>
      <c r="D5" s="114"/>
      <c r="E5" s="114"/>
      <c r="F5" s="114" t="str">
        <f>IF(No.1!F5="","",No.1!F5)</f>
        <v/>
      </c>
      <c r="G5" s="114"/>
      <c r="H5" s="114"/>
      <c r="I5" s="114" t="str">
        <f>IF(No.1!I5="","",No.1!I5)</f>
        <v/>
      </c>
      <c r="J5" s="114"/>
      <c r="K5" s="114"/>
      <c r="L5" s="114"/>
      <c r="M5" s="114"/>
      <c r="N5" s="114"/>
      <c r="O5" s="114"/>
      <c r="P5" s="115"/>
      <c r="Q5" s="115"/>
      <c r="R5" s="115"/>
    </row>
    <row r="6" spans="1:55" s="38" customFormat="1" ht="13.5" customHeight="1">
      <c r="A6" s="40"/>
      <c r="H6" s="41"/>
    </row>
    <row r="7" spans="1:55" ht="13.5" customHeight="1">
      <c r="A7" s="4" t="s">
        <v>37</v>
      </c>
      <c r="P7" s="7"/>
      <c r="Q7" s="7"/>
      <c r="R7" s="7"/>
      <c r="S7" s="7"/>
      <c r="T7" s="7"/>
      <c r="U7" s="7"/>
      <c r="V7" s="7"/>
      <c r="W7" s="7"/>
      <c r="X7" s="7"/>
      <c r="Y7" s="7"/>
    </row>
    <row r="8" spans="1:55" ht="13.5" customHeight="1">
      <c r="A8" s="1" t="s">
        <v>215</v>
      </c>
      <c r="H8" s="3"/>
      <c r="I8" s="3"/>
      <c r="N8" s="7"/>
      <c r="O8" s="7"/>
      <c r="P8" s="7"/>
      <c r="Q8" s="7"/>
      <c r="R8" s="7"/>
      <c r="S8" s="7"/>
      <c r="T8" s="7"/>
      <c r="U8" s="7"/>
      <c r="V8" s="7"/>
      <c r="W8" s="7"/>
      <c r="AF8" s="7"/>
      <c r="AG8" s="7"/>
      <c r="BC8" s="19" t="s">
        <v>216</v>
      </c>
    </row>
    <row r="9" spans="1:55" s="9" customFormat="1" ht="13.5" customHeight="1">
      <c r="A9" s="127"/>
      <c r="B9" s="128"/>
      <c r="C9" s="128"/>
      <c r="D9" s="128"/>
      <c r="E9" s="128"/>
      <c r="F9" s="128"/>
      <c r="G9" s="129"/>
      <c r="H9" s="555" t="s">
        <v>217</v>
      </c>
      <c r="I9" s="549"/>
      <c r="J9" s="549"/>
      <c r="K9" s="549"/>
      <c r="L9" s="549"/>
      <c r="M9" s="549"/>
      <c r="N9" s="549"/>
      <c r="O9" s="550"/>
      <c r="P9" s="555" t="s">
        <v>218</v>
      </c>
      <c r="Q9" s="549"/>
      <c r="R9" s="549"/>
      <c r="S9" s="549"/>
      <c r="T9" s="549"/>
      <c r="U9" s="549"/>
      <c r="V9" s="549"/>
      <c r="W9" s="550"/>
      <c r="X9" s="549" t="s">
        <v>219</v>
      </c>
      <c r="Y9" s="549"/>
      <c r="Z9" s="549"/>
      <c r="AA9" s="549"/>
      <c r="AB9" s="549"/>
      <c r="AC9" s="549"/>
      <c r="AD9" s="549"/>
      <c r="AE9" s="550"/>
      <c r="AF9" s="555" t="s">
        <v>220</v>
      </c>
      <c r="AG9" s="549"/>
      <c r="AH9" s="549"/>
      <c r="AI9" s="549"/>
      <c r="AJ9" s="549"/>
      <c r="AK9" s="549"/>
      <c r="AL9" s="549"/>
      <c r="AM9" s="550"/>
      <c r="AN9" s="555" t="s">
        <v>221</v>
      </c>
      <c r="AO9" s="549"/>
      <c r="AP9" s="549"/>
      <c r="AQ9" s="549"/>
      <c r="AR9" s="549"/>
      <c r="AS9" s="549"/>
      <c r="AT9" s="549"/>
      <c r="AU9" s="550"/>
      <c r="AV9" s="549" t="s">
        <v>222</v>
      </c>
      <c r="AW9" s="549"/>
      <c r="AX9" s="549"/>
      <c r="AY9" s="549"/>
      <c r="AZ9" s="549"/>
      <c r="BA9" s="549"/>
      <c r="BB9" s="549"/>
      <c r="BC9" s="550"/>
    </row>
    <row r="10" spans="1:55" s="9" customFormat="1" ht="13.5" customHeight="1">
      <c r="A10" s="130"/>
      <c r="B10" s="131"/>
      <c r="C10" s="131"/>
      <c r="D10" s="131"/>
      <c r="E10" s="131"/>
      <c r="F10" s="131"/>
      <c r="G10" s="132"/>
      <c r="H10" s="125" t="s">
        <v>267</v>
      </c>
      <c r="I10" s="123"/>
      <c r="J10" s="126"/>
      <c r="K10" s="122" t="s">
        <v>269</v>
      </c>
      <c r="L10" s="123"/>
      <c r="M10" s="126"/>
      <c r="N10" s="551" t="s">
        <v>8</v>
      </c>
      <c r="O10" s="552"/>
      <c r="P10" s="125" t="s">
        <v>267</v>
      </c>
      <c r="Q10" s="123"/>
      <c r="R10" s="126"/>
      <c r="S10" s="122" t="s">
        <v>269</v>
      </c>
      <c r="T10" s="123"/>
      <c r="U10" s="126"/>
      <c r="V10" s="553" t="s">
        <v>8</v>
      </c>
      <c r="W10" s="554"/>
      <c r="X10" s="125" t="s">
        <v>267</v>
      </c>
      <c r="Y10" s="123"/>
      <c r="Z10" s="126"/>
      <c r="AA10" s="122" t="s">
        <v>269</v>
      </c>
      <c r="AB10" s="123"/>
      <c r="AC10" s="126"/>
      <c r="AD10" s="553" t="s">
        <v>8</v>
      </c>
      <c r="AE10" s="554"/>
      <c r="AF10" s="125" t="s">
        <v>267</v>
      </c>
      <c r="AG10" s="123"/>
      <c r="AH10" s="126"/>
      <c r="AI10" s="122" t="s">
        <v>269</v>
      </c>
      <c r="AJ10" s="123"/>
      <c r="AK10" s="126"/>
      <c r="AL10" s="553" t="s">
        <v>8</v>
      </c>
      <c r="AM10" s="554"/>
      <c r="AN10" s="125" t="s">
        <v>267</v>
      </c>
      <c r="AO10" s="123"/>
      <c r="AP10" s="126"/>
      <c r="AQ10" s="122" t="s">
        <v>269</v>
      </c>
      <c r="AR10" s="123"/>
      <c r="AS10" s="126"/>
      <c r="AT10" s="553" t="s">
        <v>8</v>
      </c>
      <c r="AU10" s="554"/>
      <c r="AV10" s="125" t="s">
        <v>267</v>
      </c>
      <c r="AW10" s="123"/>
      <c r="AX10" s="126"/>
      <c r="AY10" s="122" t="s">
        <v>269</v>
      </c>
      <c r="AZ10" s="123"/>
      <c r="BA10" s="126"/>
      <c r="BB10" s="553" t="s">
        <v>8</v>
      </c>
      <c r="BC10" s="554"/>
    </row>
    <row r="11" spans="1:55" ht="13.5" customHeight="1">
      <c r="A11" s="556" t="s">
        <v>223</v>
      </c>
      <c r="B11" s="557"/>
      <c r="C11" s="557"/>
      <c r="D11" s="557"/>
      <c r="E11" s="557"/>
      <c r="F11" s="557"/>
      <c r="G11" s="558"/>
      <c r="H11" s="445"/>
      <c r="I11" s="446"/>
      <c r="J11" s="446"/>
      <c r="K11" s="422"/>
      <c r="L11" s="422"/>
      <c r="M11" s="422"/>
      <c r="N11" s="559" t="str">
        <f t="shared" ref="N11:N23" si="0">IF(H11="-", "-", IF(K11="-", "-", IF(ABS(K11)=0, "-", ROUND(100*(H11-K11)/ABS(K11),10))))</f>
        <v>-</v>
      </c>
      <c r="O11" s="560"/>
      <c r="P11" s="561"/>
      <c r="Q11" s="562"/>
      <c r="R11" s="563"/>
      <c r="S11" s="446"/>
      <c r="T11" s="446"/>
      <c r="U11" s="446"/>
      <c r="V11" s="559" t="str">
        <f t="shared" ref="V11:V23" si="1">IF(P11="-", "-", IF(S11="-", "-", IF(ABS(S11)=0, "-", ROUND(100*(P11-S11)/ABS(S11),10))))</f>
        <v>-</v>
      </c>
      <c r="W11" s="560"/>
      <c r="X11" s="561"/>
      <c r="Y11" s="562"/>
      <c r="Z11" s="563"/>
      <c r="AA11" s="422"/>
      <c r="AB11" s="422"/>
      <c r="AC11" s="422"/>
      <c r="AD11" s="559" t="str">
        <f t="shared" ref="AD11:AD23" si="2">IF(X11="-", "-", IF(AA11="-", "-", IF(ABS(AA11)=0, "-", ROUND(100*(X11-AA11)/ABS(AA11),10))))</f>
        <v>-</v>
      </c>
      <c r="AE11" s="560"/>
      <c r="AF11" s="561"/>
      <c r="AG11" s="562"/>
      <c r="AH11" s="563"/>
      <c r="AI11" s="422"/>
      <c r="AJ11" s="422"/>
      <c r="AK11" s="422"/>
      <c r="AL11" s="559" t="str">
        <f t="shared" ref="AL11:AL22" si="3">IF(AF11="-", "-", IF(AI11="-", "-", IF(ABS(AI11)=0, "-", ROUND(100*(AF11-AI11)/ABS(AI11),10))))</f>
        <v>-</v>
      </c>
      <c r="AM11" s="560"/>
      <c r="AN11" s="561"/>
      <c r="AO11" s="562"/>
      <c r="AP11" s="563"/>
      <c r="AQ11" s="446"/>
      <c r="AR11" s="446"/>
      <c r="AS11" s="446"/>
      <c r="AT11" s="559" t="str">
        <f t="shared" ref="AT11:AT22" si="4">IF(AN11="-", "-", IF(AQ11="-", "-", IF(ABS(AQ11)=0, "-", ROUND(100*(AN11-AQ11)/ABS(AQ11),10))))</f>
        <v>-</v>
      </c>
      <c r="AU11" s="560"/>
      <c r="AV11" s="561"/>
      <c r="AW11" s="562"/>
      <c r="AX11" s="563"/>
      <c r="AY11" s="422"/>
      <c r="AZ11" s="422"/>
      <c r="BA11" s="422"/>
      <c r="BB11" s="559" t="str">
        <f t="shared" ref="BB11:BB22" si="5">IF(AV11="-", "-", IF(AY11="-", "-", IF(ABS(AY11)=0, "-", ROUND(100*(AV11-AY11)/ABS(AY11),10))))</f>
        <v>-</v>
      </c>
      <c r="BC11" s="560"/>
    </row>
    <row r="12" spans="1:55" ht="13.5" customHeight="1">
      <c r="A12" s="75"/>
      <c r="B12" s="569" t="s">
        <v>224</v>
      </c>
      <c r="C12" s="570"/>
      <c r="D12" s="570"/>
      <c r="E12" s="570"/>
      <c r="F12" s="570"/>
      <c r="G12" s="571"/>
      <c r="H12" s="421"/>
      <c r="I12" s="422"/>
      <c r="J12" s="422"/>
      <c r="K12" s="400"/>
      <c r="L12" s="400"/>
      <c r="M12" s="400"/>
      <c r="N12" s="564" t="str">
        <f t="shared" si="0"/>
        <v>-</v>
      </c>
      <c r="O12" s="565"/>
      <c r="P12" s="409"/>
      <c r="Q12" s="375"/>
      <c r="R12" s="400"/>
      <c r="S12" s="400"/>
      <c r="T12" s="400"/>
      <c r="U12" s="400"/>
      <c r="V12" s="564" t="str">
        <f t="shared" si="1"/>
        <v>-</v>
      </c>
      <c r="W12" s="565"/>
      <c r="X12" s="409"/>
      <c r="Y12" s="375"/>
      <c r="Z12" s="400"/>
      <c r="AA12" s="400"/>
      <c r="AB12" s="400"/>
      <c r="AC12" s="400"/>
      <c r="AD12" s="564" t="str">
        <f t="shared" si="2"/>
        <v>-</v>
      </c>
      <c r="AE12" s="565"/>
      <c r="AF12" s="409"/>
      <c r="AG12" s="375"/>
      <c r="AH12" s="400"/>
      <c r="AI12" s="400"/>
      <c r="AJ12" s="400"/>
      <c r="AK12" s="400"/>
      <c r="AL12" s="564" t="str">
        <f t="shared" si="3"/>
        <v>-</v>
      </c>
      <c r="AM12" s="565"/>
      <c r="AN12" s="409"/>
      <c r="AO12" s="375"/>
      <c r="AP12" s="400"/>
      <c r="AQ12" s="400"/>
      <c r="AR12" s="400"/>
      <c r="AS12" s="400"/>
      <c r="AT12" s="564" t="str">
        <f t="shared" si="4"/>
        <v>-</v>
      </c>
      <c r="AU12" s="565"/>
      <c r="AV12" s="409"/>
      <c r="AW12" s="375"/>
      <c r="AX12" s="400"/>
      <c r="AY12" s="400"/>
      <c r="AZ12" s="400"/>
      <c r="BA12" s="400"/>
      <c r="BB12" s="564" t="str">
        <f t="shared" si="5"/>
        <v>-</v>
      </c>
      <c r="BC12" s="565"/>
    </row>
    <row r="13" spans="1:55" ht="13.5" customHeight="1">
      <c r="A13" s="75"/>
      <c r="B13" s="566" t="s">
        <v>225</v>
      </c>
      <c r="C13" s="567"/>
      <c r="D13" s="567"/>
      <c r="E13" s="567"/>
      <c r="F13" s="567"/>
      <c r="G13" s="568"/>
      <c r="H13" s="421"/>
      <c r="I13" s="422"/>
      <c r="J13" s="422"/>
      <c r="K13" s="400"/>
      <c r="L13" s="400"/>
      <c r="M13" s="400"/>
      <c r="N13" s="564" t="str">
        <f t="shared" si="0"/>
        <v>-</v>
      </c>
      <c r="O13" s="565"/>
      <c r="P13" s="409"/>
      <c r="Q13" s="375"/>
      <c r="R13" s="400"/>
      <c r="S13" s="400"/>
      <c r="T13" s="400"/>
      <c r="U13" s="400"/>
      <c r="V13" s="564" t="str">
        <f t="shared" si="1"/>
        <v>-</v>
      </c>
      <c r="W13" s="565"/>
      <c r="X13" s="409"/>
      <c r="Y13" s="375"/>
      <c r="Z13" s="400"/>
      <c r="AA13" s="400"/>
      <c r="AB13" s="400"/>
      <c r="AC13" s="400"/>
      <c r="AD13" s="564" t="str">
        <f t="shared" si="2"/>
        <v>-</v>
      </c>
      <c r="AE13" s="565"/>
      <c r="AF13" s="409"/>
      <c r="AG13" s="375"/>
      <c r="AH13" s="400"/>
      <c r="AI13" s="400"/>
      <c r="AJ13" s="400"/>
      <c r="AK13" s="400"/>
      <c r="AL13" s="564" t="str">
        <f t="shared" si="3"/>
        <v>-</v>
      </c>
      <c r="AM13" s="565"/>
      <c r="AN13" s="409"/>
      <c r="AO13" s="375"/>
      <c r="AP13" s="400"/>
      <c r="AQ13" s="400"/>
      <c r="AR13" s="400"/>
      <c r="AS13" s="400"/>
      <c r="AT13" s="564" t="str">
        <f t="shared" si="4"/>
        <v>-</v>
      </c>
      <c r="AU13" s="565"/>
      <c r="AV13" s="409"/>
      <c r="AW13" s="375"/>
      <c r="AX13" s="400"/>
      <c r="AY13" s="400"/>
      <c r="AZ13" s="400"/>
      <c r="BA13" s="400"/>
      <c r="BB13" s="564" t="str">
        <f t="shared" si="5"/>
        <v>-</v>
      </c>
      <c r="BC13" s="565"/>
    </row>
    <row r="14" spans="1:55" ht="13.5" customHeight="1">
      <c r="A14" s="75"/>
      <c r="B14" s="581" t="s">
        <v>118</v>
      </c>
      <c r="C14" s="582"/>
      <c r="D14" s="582"/>
      <c r="E14" s="582"/>
      <c r="F14" s="582"/>
      <c r="G14" s="583"/>
      <c r="H14" s="420"/>
      <c r="I14" s="410"/>
      <c r="J14" s="410"/>
      <c r="K14" s="444"/>
      <c r="L14" s="444"/>
      <c r="M14" s="444"/>
      <c r="N14" s="572" t="str">
        <f t="shared" si="0"/>
        <v>-</v>
      </c>
      <c r="O14" s="573"/>
      <c r="P14" s="421"/>
      <c r="Q14" s="574"/>
      <c r="R14" s="422"/>
      <c r="S14" s="444"/>
      <c r="T14" s="444"/>
      <c r="U14" s="444"/>
      <c r="V14" s="572" t="str">
        <f t="shared" si="1"/>
        <v>-</v>
      </c>
      <c r="W14" s="573"/>
      <c r="X14" s="442"/>
      <c r="Y14" s="575"/>
      <c r="Z14" s="443"/>
      <c r="AA14" s="444"/>
      <c r="AB14" s="444"/>
      <c r="AC14" s="444"/>
      <c r="AD14" s="572" t="str">
        <f t="shared" si="2"/>
        <v>-</v>
      </c>
      <c r="AE14" s="573"/>
      <c r="AF14" s="442"/>
      <c r="AG14" s="575"/>
      <c r="AH14" s="443"/>
      <c r="AI14" s="444"/>
      <c r="AJ14" s="444"/>
      <c r="AK14" s="444"/>
      <c r="AL14" s="572" t="str">
        <f t="shared" si="3"/>
        <v>-</v>
      </c>
      <c r="AM14" s="573"/>
      <c r="AN14" s="442"/>
      <c r="AO14" s="575"/>
      <c r="AP14" s="443"/>
      <c r="AQ14" s="444"/>
      <c r="AR14" s="444"/>
      <c r="AS14" s="444"/>
      <c r="AT14" s="572" t="str">
        <f t="shared" si="4"/>
        <v>-</v>
      </c>
      <c r="AU14" s="573"/>
      <c r="AV14" s="442"/>
      <c r="AW14" s="575"/>
      <c r="AX14" s="443"/>
      <c r="AY14" s="444"/>
      <c r="AZ14" s="444"/>
      <c r="BA14" s="444"/>
      <c r="BB14" s="572" t="str">
        <f t="shared" si="5"/>
        <v>-</v>
      </c>
      <c r="BC14" s="573"/>
    </row>
    <row r="15" spans="1:55" ht="13.5" customHeight="1">
      <c r="A15" s="576" t="s">
        <v>226</v>
      </c>
      <c r="B15" s="577"/>
      <c r="C15" s="577"/>
      <c r="D15" s="577"/>
      <c r="E15" s="577"/>
      <c r="F15" s="577"/>
      <c r="G15" s="578"/>
      <c r="H15" s="421"/>
      <c r="I15" s="422"/>
      <c r="J15" s="422"/>
      <c r="K15" s="446"/>
      <c r="L15" s="446"/>
      <c r="M15" s="446"/>
      <c r="N15" s="579" t="str">
        <f t="shared" si="0"/>
        <v>-</v>
      </c>
      <c r="O15" s="580"/>
      <c r="P15" s="445"/>
      <c r="Q15" s="369"/>
      <c r="R15" s="446"/>
      <c r="S15" s="446"/>
      <c r="T15" s="446"/>
      <c r="U15" s="446"/>
      <c r="V15" s="579" t="str">
        <f t="shared" si="1"/>
        <v>-</v>
      </c>
      <c r="W15" s="580"/>
      <c r="X15" s="445"/>
      <c r="Y15" s="369"/>
      <c r="Z15" s="446"/>
      <c r="AA15" s="446"/>
      <c r="AB15" s="446"/>
      <c r="AC15" s="446"/>
      <c r="AD15" s="579" t="str">
        <f t="shared" si="2"/>
        <v>-</v>
      </c>
      <c r="AE15" s="580"/>
      <c r="AF15" s="445"/>
      <c r="AG15" s="369"/>
      <c r="AH15" s="446"/>
      <c r="AI15" s="446"/>
      <c r="AJ15" s="446"/>
      <c r="AK15" s="446"/>
      <c r="AL15" s="579" t="str">
        <f t="shared" si="3"/>
        <v>-</v>
      </c>
      <c r="AM15" s="580"/>
      <c r="AN15" s="445"/>
      <c r="AO15" s="369"/>
      <c r="AP15" s="446"/>
      <c r="AQ15" s="446"/>
      <c r="AR15" s="446"/>
      <c r="AS15" s="446"/>
      <c r="AT15" s="579" t="str">
        <f t="shared" si="4"/>
        <v>-</v>
      </c>
      <c r="AU15" s="580"/>
      <c r="AV15" s="445"/>
      <c r="AW15" s="369"/>
      <c r="AX15" s="446"/>
      <c r="AY15" s="446"/>
      <c r="AZ15" s="446"/>
      <c r="BA15" s="446"/>
      <c r="BB15" s="579" t="str">
        <f t="shared" si="5"/>
        <v>-</v>
      </c>
      <c r="BC15" s="580"/>
    </row>
    <row r="16" spans="1:55" ht="13.5" customHeight="1">
      <c r="A16" s="20"/>
      <c r="B16" s="581" t="s">
        <v>227</v>
      </c>
      <c r="C16" s="582"/>
      <c r="D16" s="582"/>
      <c r="E16" s="582"/>
      <c r="F16" s="582"/>
      <c r="G16" s="583"/>
      <c r="H16" s="420"/>
      <c r="I16" s="410"/>
      <c r="J16" s="410"/>
      <c r="K16" s="410"/>
      <c r="L16" s="410"/>
      <c r="M16" s="410"/>
      <c r="N16" s="572" t="str">
        <f t="shared" si="0"/>
        <v>-</v>
      </c>
      <c r="O16" s="573"/>
      <c r="P16" s="421"/>
      <c r="Q16" s="574"/>
      <c r="R16" s="422"/>
      <c r="S16" s="410"/>
      <c r="T16" s="410"/>
      <c r="U16" s="410"/>
      <c r="V16" s="572" t="str">
        <f t="shared" si="1"/>
        <v>-</v>
      </c>
      <c r="W16" s="573"/>
      <c r="X16" s="442"/>
      <c r="Y16" s="575"/>
      <c r="Z16" s="443"/>
      <c r="AA16" s="410"/>
      <c r="AB16" s="410"/>
      <c r="AC16" s="410"/>
      <c r="AD16" s="572" t="str">
        <f t="shared" si="2"/>
        <v>-</v>
      </c>
      <c r="AE16" s="573"/>
      <c r="AF16" s="442"/>
      <c r="AG16" s="575"/>
      <c r="AH16" s="443"/>
      <c r="AI16" s="410"/>
      <c r="AJ16" s="410"/>
      <c r="AK16" s="410"/>
      <c r="AL16" s="572" t="str">
        <f t="shared" si="3"/>
        <v>-</v>
      </c>
      <c r="AM16" s="573"/>
      <c r="AN16" s="442"/>
      <c r="AO16" s="575"/>
      <c r="AP16" s="443"/>
      <c r="AQ16" s="410"/>
      <c r="AR16" s="410"/>
      <c r="AS16" s="410"/>
      <c r="AT16" s="572" t="str">
        <f t="shared" si="4"/>
        <v>-</v>
      </c>
      <c r="AU16" s="573"/>
      <c r="AV16" s="442"/>
      <c r="AW16" s="575"/>
      <c r="AX16" s="443"/>
      <c r="AY16" s="410"/>
      <c r="AZ16" s="410"/>
      <c r="BA16" s="410"/>
      <c r="BB16" s="572" t="str">
        <f t="shared" si="5"/>
        <v>-</v>
      </c>
      <c r="BC16" s="573"/>
    </row>
    <row r="17" spans="1:55" ht="13.5" customHeight="1">
      <c r="A17" s="584" t="s">
        <v>228</v>
      </c>
      <c r="B17" s="585"/>
      <c r="C17" s="585"/>
      <c r="D17" s="585"/>
      <c r="E17" s="585"/>
      <c r="F17" s="585"/>
      <c r="G17" s="586"/>
      <c r="H17" s="415"/>
      <c r="I17" s="416"/>
      <c r="J17" s="416"/>
      <c r="K17" s="416"/>
      <c r="L17" s="416"/>
      <c r="M17" s="416"/>
      <c r="N17" s="579" t="str">
        <f t="shared" si="0"/>
        <v>-</v>
      </c>
      <c r="O17" s="580"/>
      <c r="P17" s="445"/>
      <c r="Q17" s="369"/>
      <c r="R17" s="446"/>
      <c r="S17" s="416"/>
      <c r="T17" s="416"/>
      <c r="U17" s="416"/>
      <c r="V17" s="579" t="str">
        <f t="shared" si="1"/>
        <v>-</v>
      </c>
      <c r="W17" s="580"/>
      <c r="X17" s="561"/>
      <c r="Y17" s="562"/>
      <c r="Z17" s="563"/>
      <c r="AA17" s="416"/>
      <c r="AB17" s="416"/>
      <c r="AC17" s="416"/>
      <c r="AD17" s="579" t="str">
        <f t="shared" si="2"/>
        <v>-</v>
      </c>
      <c r="AE17" s="580"/>
      <c r="AF17" s="561"/>
      <c r="AG17" s="562"/>
      <c r="AH17" s="563"/>
      <c r="AI17" s="416"/>
      <c r="AJ17" s="416"/>
      <c r="AK17" s="416"/>
      <c r="AL17" s="579" t="str">
        <f t="shared" si="3"/>
        <v>-</v>
      </c>
      <c r="AM17" s="580"/>
      <c r="AN17" s="561"/>
      <c r="AO17" s="562"/>
      <c r="AP17" s="563"/>
      <c r="AQ17" s="416"/>
      <c r="AR17" s="416"/>
      <c r="AS17" s="416"/>
      <c r="AT17" s="579" t="str">
        <f t="shared" si="4"/>
        <v>-</v>
      </c>
      <c r="AU17" s="580"/>
      <c r="AV17" s="561"/>
      <c r="AW17" s="562"/>
      <c r="AX17" s="563"/>
      <c r="AY17" s="416"/>
      <c r="AZ17" s="416"/>
      <c r="BA17" s="416"/>
      <c r="BB17" s="579" t="str">
        <f t="shared" si="5"/>
        <v>-</v>
      </c>
      <c r="BC17" s="580"/>
    </row>
    <row r="18" spans="1:55" ht="13.5" customHeight="1">
      <c r="A18" s="576" t="s">
        <v>23</v>
      </c>
      <c r="B18" s="577"/>
      <c r="C18" s="577"/>
      <c r="D18" s="577"/>
      <c r="E18" s="577"/>
      <c r="F18" s="577"/>
      <c r="G18" s="578"/>
      <c r="H18" s="587"/>
      <c r="I18" s="588"/>
      <c r="J18" s="589"/>
      <c r="K18" s="143"/>
      <c r="L18" s="143"/>
      <c r="M18" s="143"/>
      <c r="N18" s="559" t="str">
        <f t="shared" si="0"/>
        <v>-</v>
      </c>
      <c r="O18" s="560"/>
      <c r="P18" s="173"/>
      <c r="Q18" s="590"/>
      <c r="R18" s="174"/>
      <c r="S18" s="143"/>
      <c r="T18" s="143"/>
      <c r="U18" s="143"/>
      <c r="V18" s="559" t="str">
        <f t="shared" si="1"/>
        <v>-</v>
      </c>
      <c r="W18" s="560"/>
      <c r="X18" s="173"/>
      <c r="Y18" s="590"/>
      <c r="Z18" s="174"/>
      <c r="AA18" s="143"/>
      <c r="AB18" s="143"/>
      <c r="AC18" s="143"/>
      <c r="AD18" s="559" t="str">
        <f t="shared" si="2"/>
        <v>-</v>
      </c>
      <c r="AE18" s="560"/>
      <c r="AF18" s="173"/>
      <c r="AG18" s="590"/>
      <c r="AH18" s="174"/>
      <c r="AI18" s="143"/>
      <c r="AJ18" s="143"/>
      <c r="AK18" s="143"/>
      <c r="AL18" s="559" t="str">
        <f t="shared" si="3"/>
        <v>-</v>
      </c>
      <c r="AM18" s="560"/>
      <c r="AN18" s="173"/>
      <c r="AO18" s="590"/>
      <c r="AP18" s="174"/>
      <c r="AQ18" s="143"/>
      <c r="AR18" s="143"/>
      <c r="AS18" s="143"/>
      <c r="AT18" s="559" t="str">
        <f t="shared" si="4"/>
        <v>-</v>
      </c>
      <c r="AU18" s="560"/>
      <c r="AV18" s="173"/>
      <c r="AW18" s="590"/>
      <c r="AX18" s="174"/>
      <c r="AY18" s="143"/>
      <c r="AZ18" s="143"/>
      <c r="BA18" s="143"/>
      <c r="BB18" s="559" t="str">
        <f t="shared" si="5"/>
        <v>-</v>
      </c>
      <c r="BC18" s="560"/>
    </row>
    <row r="19" spans="1:55" ht="13.5" customHeight="1">
      <c r="A19" s="75"/>
      <c r="B19" s="591" t="s">
        <v>24</v>
      </c>
      <c r="C19" s="592"/>
      <c r="D19" s="592"/>
      <c r="E19" s="592"/>
      <c r="F19" s="592"/>
      <c r="G19" s="593"/>
      <c r="H19" s="327"/>
      <c r="I19" s="328"/>
      <c r="J19" s="164"/>
      <c r="K19" s="151"/>
      <c r="L19" s="151"/>
      <c r="M19" s="151"/>
      <c r="N19" s="564" t="str">
        <f t="shared" si="0"/>
        <v>-</v>
      </c>
      <c r="O19" s="565"/>
      <c r="P19" s="168"/>
      <c r="Q19" s="164"/>
      <c r="R19" s="151"/>
      <c r="S19" s="151"/>
      <c r="T19" s="151"/>
      <c r="U19" s="151"/>
      <c r="V19" s="564" t="str">
        <f t="shared" si="1"/>
        <v>-</v>
      </c>
      <c r="W19" s="565"/>
      <c r="X19" s="168"/>
      <c r="Y19" s="164"/>
      <c r="Z19" s="151"/>
      <c r="AA19" s="151"/>
      <c r="AB19" s="151"/>
      <c r="AC19" s="151"/>
      <c r="AD19" s="564" t="str">
        <f t="shared" si="2"/>
        <v>-</v>
      </c>
      <c r="AE19" s="565"/>
      <c r="AF19" s="168"/>
      <c r="AG19" s="164"/>
      <c r="AH19" s="151"/>
      <c r="AI19" s="151"/>
      <c r="AJ19" s="151"/>
      <c r="AK19" s="151"/>
      <c r="AL19" s="564" t="str">
        <f t="shared" si="3"/>
        <v>-</v>
      </c>
      <c r="AM19" s="565"/>
      <c r="AN19" s="168"/>
      <c r="AO19" s="164"/>
      <c r="AP19" s="151"/>
      <c r="AQ19" s="151"/>
      <c r="AR19" s="151"/>
      <c r="AS19" s="151"/>
      <c r="AT19" s="564" t="str">
        <f t="shared" si="4"/>
        <v>-</v>
      </c>
      <c r="AU19" s="565"/>
      <c r="AV19" s="168"/>
      <c r="AW19" s="164"/>
      <c r="AX19" s="151"/>
      <c r="AY19" s="151"/>
      <c r="AZ19" s="151"/>
      <c r="BA19" s="151"/>
      <c r="BB19" s="564" t="str">
        <f t="shared" si="5"/>
        <v>-</v>
      </c>
      <c r="BC19" s="565"/>
    </row>
    <row r="20" spans="1:55" ht="13.5" customHeight="1">
      <c r="A20" s="75"/>
      <c r="B20" s="21"/>
      <c r="C20" s="594" t="s">
        <v>225</v>
      </c>
      <c r="D20" s="595"/>
      <c r="E20" s="595"/>
      <c r="F20" s="595"/>
      <c r="G20" s="596"/>
      <c r="H20" s="327"/>
      <c r="I20" s="328"/>
      <c r="J20" s="164"/>
      <c r="K20" s="151"/>
      <c r="L20" s="151"/>
      <c r="M20" s="151"/>
      <c r="N20" s="564" t="str">
        <f t="shared" si="0"/>
        <v>-</v>
      </c>
      <c r="O20" s="565"/>
      <c r="P20" s="168"/>
      <c r="Q20" s="164"/>
      <c r="R20" s="151"/>
      <c r="S20" s="151"/>
      <c r="T20" s="151"/>
      <c r="U20" s="151"/>
      <c r="V20" s="564" t="str">
        <f t="shared" si="1"/>
        <v>-</v>
      </c>
      <c r="W20" s="565"/>
      <c r="X20" s="168"/>
      <c r="Y20" s="164"/>
      <c r="Z20" s="151"/>
      <c r="AA20" s="151"/>
      <c r="AB20" s="151"/>
      <c r="AC20" s="151"/>
      <c r="AD20" s="564" t="str">
        <f t="shared" si="2"/>
        <v>-</v>
      </c>
      <c r="AE20" s="565"/>
      <c r="AF20" s="168"/>
      <c r="AG20" s="164"/>
      <c r="AH20" s="151"/>
      <c r="AI20" s="151"/>
      <c r="AJ20" s="151"/>
      <c r="AK20" s="151"/>
      <c r="AL20" s="564" t="str">
        <f t="shared" si="3"/>
        <v>-</v>
      </c>
      <c r="AM20" s="565"/>
      <c r="AN20" s="168"/>
      <c r="AO20" s="164"/>
      <c r="AP20" s="151"/>
      <c r="AQ20" s="151"/>
      <c r="AR20" s="151"/>
      <c r="AS20" s="151"/>
      <c r="AT20" s="564" t="str">
        <f t="shared" si="4"/>
        <v>-</v>
      </c>
      <c r="AU20" s="565"/>
      <c r="AV20" s="168"/>
      <c r="AW20" s="164"/>
      <c r="AX20" s="151"/>
      <c r="AY20" s="151"/>
      <c r="AZ20" s="151"/>
      <c r="BA20" s="151"/>
      <c r="BB20" s="564" t="str">
        <f t="shared" si="5"/>
        <v>-</v>
      </c>
      <c r="BC20" s="565"/>
    </row>
    <row r="21" spans="1:55" ht="13.5" customHeight="1">
      <c r="A21" s="75"/>
      <c r="B21" s="591" t="s">
        <v>25</v>
      </c>
      <c r="C21" s="592"/>
      <c r="D21" s="592"/>
      <c r="E21" s="592"/>
      <c r="F21" s="592"/>
      <c r="G21" s="593"/>
      <c r="H21" s="327"/>
      <c r="I21" s="328"/>
      <c r="J21" s="164"/>
      <c r="K21" s="151"/>
      <c r="L21" s="151"/>
      <c r="M21" s="151"/>
      <c r="N21" s="564" t="str">
        <f t="shared" si="0"/>
        <v>-</v>
      </c>
      <c r="O21" s="565"/>
      <c r="P21" s="168"/>
      <c r="Q21" s="164"/>
      <c r="R21" s="151"/>
      <c r="S21" s="151"/>
      <c r="T21" s="151"/>
      <c r="U21" s="151"/>
      <c r="V21" s="564" t="str">
        <f t="shared" si="1"/>
        <v>-</v>
      </c>
      <c r="W21" s="565"/>
      <c r="X21" s="168"/>
      <c r="Y21" s="164"/>
      <c r="Z21" s="151"/>
      <c r="AA21" s="151"/>
      <c r="AB21" s="151"/>
      <c r="AC21" s="151"/>
      <c r="AD21" s="564" t="str">
        <f t="shared" si="2"/>
        <v>-</v>
      </c>
      <c r="AE21" s="565"/>
      <c r="AF21" s="168"/>
      <c r="AG21" s="164"/>
      <c r="AH21" s="151"/>
      <c r="AI21" s="151"/>
      <c r="AJ21" s="151"/>
      <c r="AK21" s="151"/>
      <c r="AL21" s="564" t="str">
        <f t="shared" si="3"/>
        <v>-</v>
      </c>
      <c r="AM21" s="565"/>
      <c r="AN21" s="168"/>
      <c r="AO21" s="164"/>
      <c r="AP21" s="151"/>
      <c r="AQ21" s="151"/>
      <c r="AR21" s="151"/>
      <c r="AS21" s="151"/>
      <c r="AT21" s="564" t="str">
        <f t="shared" si="4"/>
        <v>-</v>
      </c>
      <c r="AU21" s="565"/>
      <c r="AV21" s="168"/>
      <c r="AW21" s="164"/>
      <c r="AX21" s="151"/>
      <c r="AY21" s="151"/>
      <c r="AZ21" s="151"/>
      <c r="BA21" s="151"/>
      <c r="BB21" s="564" t="str">
        <f t="shared" si="5"/>
        <v>-</v>
      </c>
      <c r="BC21" s="565"/>
    </row>
    <row r="22" spans="1:55" ht="13.5" customHeight="1">
      <c r="A22" s="75"/>
      <c r="B22" s="22"/>
      <c r="C22" s="581" t="s">
        <v>229</v>
      </c>
      <c r="D22" s="582"/>
      <c r="E22" s="582"/>
      <c r="F22" s="582"/>
      <c r="G22" s="583"/>
      <c r="H22" s="316"/>
      <c r="I22" s="317"/>
      <c r="J22" s="318"/>
      <c r="K22" s="188"/>
      <c r="L22" s="188"/>
      <c r="M22" s="188"/>
      <c r="N22" s="572" t="str">
        <f t="shared" si="0"/>
        <v>-</v>
      </c>
      <c r="O22" s="573"/>
      <c r="P22" s="142"/>
      <c r="Q22" s="147"/>
      <c r="R22" s="143"/>
      <c r="S22" s="188"/>
      <c r="T22" s="188"/>
      <c r="U22" s="188"/>
      <c r="V22" s="572" t="str">
        <f t="shared" si="1"/>
        <v>-</v>
      </c>
      <c r="W22" s="573"/>
      <c r="X22" s="192"/>
      <c r="Y22" s="597"/>
      <c r="Z22" s="193"/>
      <c r="AA22" s="188"/>
      <c r="AB22" s="188"/>
      <c r="AC22" s="188"/>
      <c r="AD22" s="572" t="str">
        <f t="shared" si="2"/>
        <v>-</v>
      </c>
      <c r="AE22" s="573"/>
      <c r="AF22" s="192"/>
      <c r="AG22" s="597"/>
      <c r="AH22" s="193"/>
      <c r="AI22" s="188"/>
      <c r="AJ22" s="188"/>
      <c r="AK22" s="188"/>
      <c r="AL22" s="572" t="str">
        <f t="shared" si="3"/>
        <v>-</v>
      </c>
      <c r="AM22" s="573"/>
      <c r="AN22" s="192"/>
      <c r="AO22" s="597"/>
      <c r="AP22" s="193"/>
      <c r="AQ22" s="188"/>
      <c r="AR22" s="188"/>
      <c r="AS22" s="188"/>
      <c r="AT22" s="572" t="str">
        <f t="shared" si="4"/>
        <v>-</v>
      </c>
      <c r="AU22" s="573"/>
      <c r="AV22" s="192"/>
      <c r="AW22" s="597"/>
      <c r="AX22" s="193"/>
      <c r="AY22" s="188"/>
      <c r="AZ22" s="188"/>
      <c r="BA22" s="188"/>
      <c r="BB22" s="572" t="str">
        <f t="shared" si="5"/>
        <v>-</v>
      </c>
      <c r="BC22" s="573"/>
    </row>
    <row r="23" spans="1:55" s="9" customFormat="1" ht="13.5" customHeight="1">
      <c r="A23" s="584" t="s">
        <v>230</v>
      </c>
      <c r="B23" s="585"/>
      <c r="C23" s="585"/>
      <c r="D23" s="585"/>
      <c r="E23" s="585"/>
      <c r="F23" s="585"/>
      <c r="G23" s="586"/>
      <c r="H23" s="598"/>
      <c r="I23" s="599"/>
      <c r="J23" s="599"/>
      <c r="K23" s="416"/>
      <c r="L23" s="416"/>
      <c r="M23" s="416"/>
      <c r="N23" s="600" t="str">
        <f t="shared" si="0"/>
        <v>-</v>
      </c>
      <c r="O23" s="601"/>
      <c r="P23" s="415"/>
      <c r="Q23" s="381"/>
      <c r="R23" s="416"/>
      <c r="S23" s="416"/>
      <c r="T23" s="416"/>
      <c r="U23" s="416"/>
      <c r="V23" s="600" t="str">
        <f t="shared" si="1"/>
        <v>-</v>
      </c>
      <c r="W23" s="601"/>
      <c r="X23" s="415"/>
      <c r="Y23" s="381"/>
      <c r="Z23" s="416"/>
      <c r="AA23" s="416"/>
      <c r="AB23" s="416"/>
      <c r="AC23" s="416"/>
      <c r="AD23" s="600" t="str">
        <f t="shared" si="2"/>
        <v>-</v>
      </c>
      <c r="AE23" s="601"/>
      <c r="AF23" s="548"/>
      <c r="AG23" s="534"/>
      <c r="AH23" s="531"/>
      <c r="AI23" s="451"/>
      <c r="AJ23" s="451"/>
      <c r="AK23" s="450"/>
      <c r="AL23" s="452"/>
      <c r="AM23" s="454"/>
      <c r="AN23" s="548"/>
      <c r="AO23" s="534"/>
      <c r="AP23" s="531"/>
      <c r="AQ23" s="451"/>
      <c r="AR23" s="451"/>
      <c r="AS23" s="450"/>
      <c r="AT23" s="452"/>
      <c r="AU23" s="454"/>
      <c r="AV23" s="548"/>
      <c r="AW23" s="534"/>
      <c r="AX23" s="531"/>
      <c r="AY23" s="451"/>
      <c r="AZ23" s="451"/>
      <c r="BA23" s="450"/>
      <c r="BB23" s="452"/>
      <c r="BC23" s="454"/>
    </row>
    <row r="25" spans="1:55" s="9" customFormat="1" ht="13.5" customHeight="1">
      <c r="A25" s="1" t="s">
        <v>231</v>
      </c>
      <c r="Y25" s="1" t="s">
        <v>272</v>
      </c>
      <c r="Z25" s="8"/>
      <c r="AA25" s="8"/>
      <c r="AB25" s="8"/>
      <c r="AC25" s="8"/>
      <c r="AD25" s="8"/>
      <c r="AE25" s="8"/>
      <c r="AF25" s="33"/>
      <c r="AG25" s="33"/>
      <c r="AH25" s="33"/>
      <c r="AI25" s="33"/>
      <c r="AJ25" s="33"/>
      <c r="AK25" s="33"/>
      <c r="AL25" s="35"/>
      <c r="AM25" s="35"/>
      <c r="AN25" s="33"/>
      <c r="AO25" s="33"/>
      <c r="AP25" s="33"/>
      <c r="AQ25" s="33"/>
      <c r="AR25" s="33"/>
      <c r="AS25" s="33"/>
      <c r="AT25" s="35"/>
      <c r="AU25" s="35"/>
      <c r="AV25" s="33"/>
      <c r="AW25" s="33"/>
      <c r="AX25" s="33"/>
      <c r="AY25" s="33"/>
      <c r="AZ25" s="33"/>
      <c r="BA25" s="33"/>
      <c r="BB25" s="35"/>
      <c r="BC25" s="19" t="s">
        <v>216</v>
      </c>
    </row>
    <row r="26" spans="1:55" s="9" customFormat="1" ht="13.5" customHeight="1">
      <c r="A26" s="127"/>
      <c r="B26" s="128"/>
      <c r="C26" s="128"/>
      <c r="D26" s="128"/>
      <c r="E26" s="128"/>
      <c r="F26" s="128"/>
      <c r="G26" s="129"/>
      <c r="H26" s="555" t="s">
        <v>161</v>
      </c>
      <c r="I26" s="549"/>
      <c r="J26" s="549"/>
      <c r="K26" s="549"/>
      <c r="L26" s="549"/>
      <c r="M26" s="549"/>
      <c r="N26" s="549"/>
      <c r="O26" s="550"/>
      <c r="P26" s="23"/>
      <c r="Q26" s="23"/>
      <c r="R26" s="23"/>
      <c r="S26" s="23"/>
      <c r="T26" s="23"/>
      <c r="U26" s="23"/>
      <c r="V26" s="23"/>
      <c r="W26" s="23"/>
      <c r="X26" s="23"/>
      <c r="Y26" s="602"/>
      <c r="Z26" s="603"/>
      <c r="AA26" s="603"/>
      <c r="AB26" s="603"/>
      <c r="AC26" s="603"/>
      <c r="AD26" s="603"/>
      <c r="AE26" s="604"/>
      <c r="AF26" s="555" t="s">
        <v>42</v>
      </c>
      <c r="AG26" s="549"/>
      <c r="AH26" s="549"/>
      <c r="AI26" s="549"/>
      <c r="AJ26" s="549"/>
      <c r="AK26" s="549"/>
      <c r="AL26" s="549"/>
      <c r="AM26" s="550"/>
      <c r="AN26" s="555" t="s">
        <v>43</v>
      </c>
      <c r="AO26" s="549"/>
      <c r="AP26" s="549"/>
      <c r="AQ26" s="549"/>
      <c r="AR26" s="549"/>
      <c r="AS26" s="549"/>
      <c r="AT26" s="549"/>
      <c r="AU26" s="550"/>
      <c r="AV26" s="555" t="s">
        <v>7</v>
      </c>
      <c r="AW26" s="549"/>
      <c r="AX26" s="549"/>
      <c r="AY26" s="549"/>
      <c r="AZ26" s="549"/>
      <c r="BA26" s="549"/>
      <c r="BB26" s="549"/>
      <c r="BC26" s="550"/>
    </row>
    <row r="27" spans="1:55" s="9" customFormat="1" ht="13.5" customHeight="1">
      <c r="A27" s="130"/>
      <c r="B27" s="131"/>
      <c r="C27" s="131"/>
      <c r="D27" s="131"/>
      <c r="E27" s="131"/>
      <c r="F27" s="131"/>
      <c r="G27" s="132"/>
      <c r="H27" s="125" t="s">
        <v>267</v>
      </c>
      <c r="I27" s="123"/>
      <c r="J27" s="126"/>
      <c r="K27" s="122" t="s">
        <v>269</v>
      </c>
      <c r="L27" s="123"/>
      <c r="M27" s="126"/>
      <c r="N27" s="551" t="s">
        <v>8</v>
      </c>
      <c r="O27" s="552"/>
      <c r="P27" s="23"/>
      <c r="Q27" s="23"/>
      <c r="R27" s="23"/>
      <c r="S27" s="23"/>
      <c r="T27" s="23"/>
      <c r="U27" s="23"/>
      <c r="V27" s="23"/>
      <c r="W27" s="23"/>
      <c r="X27" s="23"/>
      <c r="Y27" s="605"/>
      <c r="Z27" s="606"/>
      <c r="AA27" s="606"/>
      <c r="AB27" s="606"/>
      <c r="AC27" s="606"/>
      <c r="AD27" s="606"/>
      <c r="AE27" s="607"/>
      <c r="AF27" s="125" t="s">
        <v>267</v>
      </c>
      <c r="AG27" s="123"/>
      <c r="AH27" s="126"/>
      <c r="AI27" s="122" t="s">
        <v>269</v>
      </c>
      <c r="AJ27" s="123"/>
      <c r="AK27" s="126"/>
      <c r="AL27" s="551" t="s">
        <v>8</v>
      </c>
      <c r="AM27" s="552"/>
      <c r="AN27" s="125" t="s">
        <v>267</v>
      </c>
      <c r="AO27" s="123"/>
      <c r="AP27" s="126"/>
      <c r="AQ27" s="122" t="s">
        <v>269</v>
      </c>
      <c r="AR27" s="123"/>
      <c r="AS27" s="126"/>
      <c r="AT27" s="553" t="s">
        <v>8</v>
      </c>
      <c r="AU27" s="554"/>
      <c r="AV27" s="125" t="s">
        <v>267</v>
      </c>
      <c r="AW27" s="123"/>
      <c r="AX27" s="126"/>
      <c r="AY27" s="122" t="s">
        <v>269</v>
      </c>
      <c r="AZ27" s="123"/>
      <c r="BA27" s="126"/>
      <c r="BB27" s="553" t="s">
        <v>8</v>
      </c>
      <c r="BC27" s="554"/>
    </row>
    <row r="28" spans="1:55" ht="13.5" customHeight="1">
      <c r="A28" s="556" t="s">
        <v>223</v>
      </c>
      <c r="B28" s="557"/>
      <c r="C28" s="557"/>
      <c r="D28" s="557"/>
      <c r="E28" s="557"/>
      <c r="F28" s="557"/>
      <c r="G28" s="558"/>
      <c r="H28" s="561"/>
      <c r="I28" s="562"/>
      <c r="J28" s="563"/>
      <c r="K28" s="422"/>
      <c r="L28" s="422"/>
      <c r="M28" s="422"/>
      <c r="N28" s="559" t="str">
        <f t="shared" ref="N28:N40" si="6">IF(H28="-", "-", IF(K28="-", "-", IF(ABS(K28)=0, "-", ROUND(100*(H28-K28)/ABS(K28),10))))</f>
        <v>-</v>
      </c>
      <c r="O28" s="560"/>
      <c r="Y28" s="611" t="s">
        <v>232</v>
      </c>
      <c r="Z28" s="612"/>
      <c r="AA28" s="612"/>
      <c r="AB28" s="613"/>
      <c r="AC28" s="617" t="s">
        <v>233</v>
      </c>
      <c r="AD28" s="618"/>
      <c r="AE28" s="619"/>
      <c r="AF28" s="561"/>
      <c r="AG28" s="563"/>
      <c r="AH28" s="563"/>
      <c r="AI28" s="446"/>
      <c r="AJ28" s="446"/>
      <c r="AK28" s="446"/>
      <c r="AL28" s="559" t="str">
        <f t="shared" ref="AL28:AL42" si="7">IF(AF28="-", "-", IF(AI28="-", "-", IF(ABS(AI28)=0, "-", ROUND(100*(AF28-AI28)/ABS(AI28),10))))</f>
        <v>-</v>
      </c>
      <c r="AM28" s="560"/>
      <c r="AN28" s="561"/>
      <c r="AO28" s="563"/>
      <c r="AP28" s="563"/>
      <c r="AQ28" s="446"/>
      <c r="AR28" s="446"/>
      <c r="AS28" s="446"/>
      <c r="AT28" s="559" t="str">
        <f t="shared" ref="AT28:AT42" si="8">IF(AN28="-", "-", IF(AQ28="-", "-", IF(ABS(AQ28)=0, "-", ROUND(100*(AN28-AQ28)/ABS(AQ28),10))))</f>
        <v>-</v>
      </c>
      <c r="AU28" s="560"/>
      <c r="AV28" s="561"/>
      <c r="AW28" s="563"/>
      <c r="AX28" s="563"/>
      <c r="AY28" s="446"/>
      <c r="AZ28" s="446"/>
      <c r="BA28" s="446"/>
      <c r="BB28" s="559" t="str">
        <f t="shared" ref="BB28:BB42" si="9">IF(AV28="-", "-", IF(AY28="-", "-", IF(ABS(AY28)=0, "-", ROUND(100*(AV28-AY28)/ABS(AY28),10))))</f>
        <v>-</v>
      </c>
      <c r="BC28" s="560"/>
    </row>
    <row r="29" spans="1:55" ht="13.5" customHeight="1">
      <c r="A29" s="75"/>
      <c r="B29" s="569" t="s">
        <v>224</v>
      </c>
      <c r="C29" s="570"/>
      <c r="D29" s="570"/>
      <c r="E29" s="570"/>
      <c r="F29" s="570"/>
      <c r="G29" s="571"/>
      <c r="H29" s="409"/>
      <c r="I29" s="375"/>
      <c r="J29" s="400"/>
      <c r="K29" s="400"/>
      <c r="L29" s="400"/>
      <c r="M29" s="400"/>
      <c r="N29" s="564" t="str">
        <f t="shared" si="6"/>
        <v>-</v>
      </c>
      <c r="O29" s="565"/>
      <c r="Y29" s="611"/>
      <c r="Z29" s="612"/>
      <c r="AA29" s="612"/>
      <c r="AB29" s="613"/>
      <c r="AC29" s="608" t="s">
        <v>234</v>
      </c>
      <c r="AD29" s="609"/>
      <c r="AE29" s="610"/>
      <c r="AF29" s="409"/>
      <c r="AG29" s="400"/>
      <c r="AH29" s="400"/>
      <c r="AI29" s="400"/>
      <c r="AJ29" s="400"/>
      <c r="AK29" s="400"/>
      <c r="AL29" s="564" t="str">
        <f t="shared" si="7"/>
        <v>-</v>
      </c>
      <c r="AM29" s="565"/>
      <c r="AN29" s="409"/>
      <c r="AO29" s="400"/>
      <c r="AP29" s="400"/>
      <c r="AQ29" s="400"/>
      <c r="AR29" s="400"/>
      <c r="AS29" s="400"/>
      <c r="AT29" s="564" t="str">
        <f t="shared" si="8"/>
        <v>-</v>
      </c>
      <c r="AU29" s="565"/>
      <c r="AV29" s="409"/>
      <c r="AW29" s="400"/>
      <c r="AX29" s="400"/>
      <c r="AY29" s="400"/>
      <c r="AZ29" s="400"/>
      <c r="BA29" s="400"/>
      <c r="BB29" s="564" t="str">
        <f t="shared" si="9"/>
        <v>-</v>
      </c>
      <c r="BC29" s="565"/>
    </row>
    <row r="30" spans="1:55" ht="13.5" customHeight="1">
      <c r="A30" s="75"/>
      <c r="B30" s="566" t="s">
        <v>225</v>
      </c>
      <c r="C30" s="567"/>
      <c r="D30" s="567"/>
      <c r="E30" s="567"/>
      <c r="F30" s="567"/>
      <c r="G30" s="568"/>
      <c r="H30" s="409"/>
      <c r="I30" s="375"/>
      <c r="J30" s="400"/>
      <c r="K30" s="400"/>
      <c r="L30" s="400"/>
      <c r="M30" s="400"/>
      <c r="N30" s="564" t="str">
        <f t="shared" si="6"/>
        <v>-</v>
      </c>
      <c r="O30" s="565"/>
      <c r="Y30" s="611"/>
      <c r="Z30" s="612"/>
      <c r="AA30" s="612"/>
      <c r="AB30" s="613"/>
      <c r="AC30" s="608" t="s">
        <v>235</v>
      </c>
      <c r="AD30" s="609"/>
      <c r="AE30" s="610"/>
      <c r="AF30" s="409"/>
      <c r="AG30" s="400"/>
      <c r="AH30" s="400"/>
      <c r="AI30" s="400"/>
      <c r="AJ30" s="400"/>
      <c r="AK30" s="400"/>
      <c r="AL30" s="564" t="str">
        <f t="shared" si="7"/>
        <v>-</v>
      </c>
      <c r="AM30" s="565"/>
      <c r="AN30" s="409"/>
      <c r="AO30" s="400"/>
      <c r="AP30" s="400"/>
      <c r="AQ30" s="400"/>
      <c r="AR30" s="400"/>
      <c r="AS30" s="400"/>
      <c r="AT30" s="564" t="str">
        <f t="shared" si="8"/>
        <v>-</v>
      </c>
      <c r="AU30" s="565"/>
      <c r="AV30" s="409"/>
      <c r="AW30" s="400"/>
      <c r="AX30" s="400"/>
      <c r="AY30" s="400"/>
      <c r="AZ30" s="400"/>
      <c r="BA30" s="400"/>
      <c r="BB30" s="564" t="str">
        <f t="shared" si="9"/>
        <v>-</v>
      </c>
      <c r="BC30" s="565"/>
    </row>
    <row r="31" spans="1:55" ht="13.5" customHeight="1">
      <c r="A31" s="75"/>
      <c r="B31" s="581" t="s">
        <v>118</v>
      </c>
      <c r="C31" s="582"/>
      <c r="D31" s="582"/>
      <c r="E31" s="582"/>
      <c r="F31" s="582"/>
      <c r="G31" s="583"/>
      <c r="H31" s="442"/>
      <c r="I31" s="575"/>
      <c r="J31" s="443"/>
      <c r="K31" s="444"/>
      <c r="L31" s="444"/>
      <c r="M31" s="444"/>
      <c r="N31" s="572" t="str">
        <f t="shared" si="6"/>
        <v>-</v>
      </c>
      <c r="O31" s="573"/>
      <c r="Y31" s="611"/>
      <c r="Z31" s="612"/>
      <c r="AA31" s="612"/>
      <c r="AB31" s="613"/>
      <c r="AC31" s="608" t="s">
        <v>236</v>
      </c>
      <c r="AD31" s="609"/>
      <c r="AE31" s="610"/>
      <c r="AF31" s="409"/>
      <c r="AG31" s="400"/>
      <c r="AH31" s="400"/>
      <c r="AI31" s="400"/>
      <c r="AJ31" s="400"/>
      <c r="AK31" s="400"/>
      <c r="AL31" s="564" t="str">
        <f t="shared" si="7"/>
        <v>-</v>
      </c>
      <c r="AM31" s="565"/>
      <c r="AN31" s="409"/>
      <c r="AO31" s="400"/>
      <c r="AP31" s="400"/>
      <c r="AQ31" s="400"/>
      <c r="AR31" s="400"/>
      <c r="AS31" s="400"/>
      <c r="AT31" s="564" t="str">
        <f t="shared" si="8"/>
        <v>-</v>
      </c>
      <c r="AU31" s="565"/>
      <c r="AV31" s="409"/>
      <c r="AW31" s="400"/>
      <c r="AX31" s="400"/>
      <c r="AY31" s="400"/>
      <c r="AZ31" s="400"/>
      <c r="BA31" s="400"/>
      <c r="BB31" s="564" t="str">
        <f t="shared" si="9"/>
        <v>-</v>
      </c>
      <c r="BC31" s="565"/>
    </row>
    <row r="32" spans="1:55" ht="13.5" customHeight="1">
      <c r="A32" s="576" t="s">
        <v>226</v>
      </c>
      <c r="B32" s="577"/>
      <c r="C32" s="577"/>
      <c r="D32" s="577"/>
      <c r="E32" s="577"/>
      <c r="F32" s="577"/>
      <c r="G32" s="578"/>
      <c r="H32" s="445"/>
      <c r="I32" s="369"/>
      <c r="J32" s="446"/>
      <c r="K32" s="446"/>
      <c r="L32" s="446"/>
      <c r="M32" s="446"/>
      <c r="N32" s="579" t="str">
        <f t="shared" si="6"/>
        <v>-</v>
      </c>
      <c r="O32" s="580"/>
      <c r="Y32" s="614"/>
      <c r="Z32" s="615"/>
      <c r="AA32" s="615"/>
      <c r="AB32" s="616"/>
      <c r="AC32" s="620" t="s">
        <v>7</v>
      </c>
      <c r="AD32" s="621"/>
      <c r="AE32" s="622"/>
      <c r="AF32" s="421"/>
      <c r="AG32" s="422"/>
      <c r="AH32" s="422"/>
      <c r="AI32" s="410"/>
      <c r="AJ32" s="410"/>
      <c r="AK32" s="410"/>
      <c r="AL32" s="623" t="str">
        <f t="shared" si="7"/>
        <v>-</v>
      </c>
      <c r="AM32" s="624"/>
      <c r="AN32" s="442"/>
      <c r="AO32" s="443"/>
      <c r="AP32" s="443"/>
      <c r="AQ32" s="410"/>
      <c r="AR32" s="410"/>
      <c r="AS32" s="410"/>
      <c r="AT32" s="623" t="str">
        <f t="shared" si="8"/>
        <v>-</v>
      </c>
      <c r="AU32" s="624"/>
      <c r="AV32" s="442"/>
      <c r="AW32" s="443"/>
      <c r="AX32" s="443"/>
      <c r="AY32" s="410"/>
      <c r="AZ32" s="410"/>
      <c r="BA32" s="410"/>
      <c r="BB32" s="623" t="str">
        <f t="shared" si="9"/>
        <v>-</v>
      </c>
      <c r="BC32" s="624"/>
    </row>
    <row r="33" spans="1:55" ht="13.5" customHeight="1">
      <c r="A33" s="20"/>
      <c r="B33" s="581" t="s">
        <v>227</v>
      </c>
      <c r="C33" s="582"/>
      <c r="D33" s="582"/>
      <c r="E33" s="582"/>
      <c r="F33" s="582"/>
      <c r="G33" s="583"/>
      <c r="H33" s="442"/>
      <c r="I33" s="575"/>
      <c r="J33" s="443"/>
      <c r="K33" s="410"/>
      <c r="L33" s="410"/>
      <c r="M33" s="410"/>
      <c r="N33" s="572" t="str">
        <f t="shared" si="6"/>
        <v>-</v>
      </c>
      <c r="O33" s="573"/>
      <c r="Y33" s="625" t="s">
        <v>237</v>
      </c>
      <c r="Z33" s="626"/>
      <c r="AA33" s="626"/>
      <c r="AB33" s="627"/>
      <c r="AC33" s="634" t="s">
        <v>233</v>
      </c>
      <c r="AD33" s="549"/>
      <c r="AE33" s="550"/>
      <c r="AF33" s="644"/>
      <c r="AG33" s="645"/>
      <c r="AH33" s="590"/>
      <c r="AI33" s="646"/>
      <c r="AJ33" s="647"/>
      <c r="AK33" s="648"/>
      <c r="AL33" s="579" t="str">
        <f t="shared" si="7"/>
        <v>-</v>
      </c>
      <c r="AM33" s="580"/>
      <c r="AN33" s="644"/>
      <c r="AO33" s="645"/>
      <c r="AP33" s="590"/>
      <c r="AQ33" s="646"/>
      <c r="AR33" s="647"/>
      <c r="AS33" s="648"/>
      <c r="AT33" s="579" t="str">
        <f t="shared" si="8"/>
        <v>-</v>
      </c>
      <c r="AU33" s="580"/>
      <c r="AV33" s="644"/>
      <c r="AW33" s="645"/>
      <c r="AX33" s="590"/>
      <c r="AY33" s="646"/>
      <c r="AZ33" s="647"/>
      <c r="BA33" s="648"/>
      <c r="BB33" s="579" t="str">
        <f t="shared" si="9"/>
        <v>-</v>
      </c>
      <c r="BC33" s="580"/>
    </row>
    <row r="34" spans="1:55" ht="13.5" customHeight="1">
      <c r="A34" s="584" t="s">
        <v>228</v>
      </c>
      <c r="B34" s="585"/>
      <c r="C34" s="585"/>
      <c r="D34" s="585"/>
      <c r="E34" s="585"/>
      <c r="F34" s="585"/>
      <c r="G34" s="586"/>
      <c r="H34" s="561"/>
      <c r="I34" s="562"/>
      <c r="J34" s="563"/>
      <c r="K34" s="416"/>
      <c r="L34" s="416"/>
      <c r="M34" s="416"/>
      <c r="N34" s="579" t="str">
        <f t="shared" si="6"/>
        <v>-</v>
      </c>
      <c r="O34" s="580"/>
      <c r="Y34" s="628"/>
      <c r="Z34" s="629"/>
      <c r="AA34" s="629"/>
      <c r="AB34" s="630"/>
      <c r="AC34" s="608" t="s">
        <v>234</v>
      </c>
      <c r="AD34" s="609"/>
      <c r="AE34" s="610"/>
      <c r="AF34" s="327"/>
      <c r="AG34" s="328"/>
      <c r="AH34" s="164"/>
      <c r="AI34" s="649"/>
      <c r="AJ34" s="650"/>
      <c r="AK34" s="651"/>
      <c r="AL34" s="564" t="str">
        <f t="shared" si="7"/>
        <v>-</v>
      </c>
      <c r="AM34" s="565"/>
      <c r="AN34" s="327"/>
      <c r="AO34" s="328"/>
      <c r="AP34" s="164"/>
      <c r="AQ34" s="649"/>
      <c r="AR34" s="650"/>
      <c r="AS34" s="651"/>
      <c r="AT34" s="564" t="str">
        <f t="shared" si="8"/>
        <v>-</v>
      </c>
      <c r="AU34" s="565"/>
      <c r="AV34" s="327"/>
      <c r="AW34" s="328"/>
      <c r="AX34" s="164"/>
      <c r="AY34" s="649"/>
      <c r="AZ34" s="650"/>
      <c r="BA34" s="651"/>
      <c r="BB34" s="564" t="str">
        <f t="shared" si="9"/>
        <v>-</v>
      </c>
      <c r="BC34" s="565"/>
    </row>
    <row r="35" spans="1:55" ht="13.5" customHeight="1">
      <c r="A35" s="576" t="s">
        <v>23</v>
      </c>
      <c r="B35" s="577"/>
      <c r="C35" s="577"/>
      <c r="D35" s="577"/>
      <c r="E35" s="577"/>
      <c r="F35" s="577"/>
      <c r="G35" s="578"/>
      <c r="H35" s="173"/>
      <c r="I35" s="590"/>
      <c r="J35" s="174"/>
      <c r="K35" s="143"/>
      <c r="L35" s="143"/>
      <c r="M35" s="143"/>
      <c r="N35" s="559" t="str">
        <f t="shared" si="6"/>
        <v>-</v>
      </c>
      <c r="O35" s="560"/>
      <c r="Y35" s="628"/>
      <c r="Z35" s="629"/>
      <c r="AA35" s="629"/>
      <c r="AB35" s="630"/>
      <c r="AC35" s="608" t="s">
        <v>235</v>
      </c>
      <c r="AD35" s="609"/>
      <c r="AE35" s="610"/>
      <c r="AF35" s="327"/>
      <c r="AG35" s="328"/>
      <c r="AH35" s="164"/>
      <c r="AI35" s="649"/>
      <c r="AJ35" s="650"/>
      <c r="AK35" s="651"/>
      <c r="AL35" s="564" t="str">
        <f t="shared" si="7"/>
        <v>-</v>
      </c>
      <c r="AM35" s="565"/>
      <c r="AN35" s="327"/>
      <c r="AO35" s="328"/>
      <c r="AP35" s="164"/>
      <c r="AQ35" s="649"/>
      <c r="AR35" s="650"/>
      <c r="AS35" s="651"/>
      <c r="AT35" s="564" t="str">
        <f t="shared" si="8"/>
        <v>-</v>
      </c>
      <c r="AU35" s="565"/>
      <c r="AV35" s="327"/>
      <c r="AW35" s="328"/>
      <c r="AX35" s="164"/>
      <c r="AY35" s="649"/>
      <c r="AZ35" s="650"/>
      <c r="BA35" s="651"/>
      <c r="BB35" s="564" t="str">
        <f t="shared" si="9"/>
        <v>-</v>
      </c>
      <c r="BC35" s="565"/>
    </row>
    <row r="36" spans="1:55" ht="13.5" customHeight="1">
      <c r="A36" s="75"/>
      <c r="B36" s="591" t="s">
        <v>24</v>
      </c>
      <c r="C36" s="592"/>
      <c r="D36" s="592"/>
      <c r="E36" s="592"/>
      <c r="F36" s="592"/>
      <c r="G36" s="593"/>
      <c r="H36" s="168"/>
      <c r="I36" s="164"/>
      <c r="J36" s="151"/>
      <c r="K36" s="151"/>
      <c r="L36" s="151"/>
      <c r="M36" s="151"/>
      <c r="N36" s="564" t="str">
        <f t="shared" si="6"/>
        <v>-</v>
      </c>
      <c r="O36" s="565"/>
      <c r="Y36" s="628"/>
      <c r="Z36" s="629"/>
      <c r="AA36" s="629"/>
      <c r="AB36" s="630"/>
      <c r="AC36" s="608" t="s">
        <v>236</v>
      </c>
      <c r="AD36" s="609"/>
      <c r="AE36" s="610"/>
      <c r="AF36" s="327"/>
      <c r="AG36" s="328"/>
      <c r="AH36" s="164"/>
      <c r="AI36" s="649"/>
      <c r="AJ36" s="650"/>
      <c r="AK36" s="651"/>
      <c r="AL36" s="564" t="str">
        <f t="shared" si="7"/>
        <v>-</v>
      </c>
      <c r="AM36" s="565"/>
      <c r="AN36" s="327"/>
      <c r="AO36" s="328"/>
      <c r="AP36" s="164"/>
      <c r="AQ36" s="649"/>
      <c r="AR36" s="650"/>
      <c r="AS36" s="651"/>
      <c r="AT36" s="564" t="str">
        <f t="shared" si="8"/>
        <v>-</v>
      </c>
      <c r="AU36" s="565"/>
      <c r="AV36" s="327"/>
      <c r="AW36" s="328"/>
      <c r="AX36" s="164"/>
      <c r="AY36" s="649"/>
      <c r="AZ36" s="650"/>
      <c r="BA36" s="651"/>
      <c r="BB36" s="564" t="str">
        <f t="shared" si="9"/>
        <v>-</v>
      </c>
      <c r="BC36" s="565"/>
    </row>
    <row r="37" spans="1:55" ht="13.5" customHeight="1">
      <c r="A37" s="75"/>
      <c r="B37" s="21"/>
      <c r="C37" s="594" t="s">
        <v>225</v>
      </c>
      <c r="D37" s="595"/>
      <c r="E37" s="595"/>
      <c r="F37" s="595"/>
      <c r="G37" s="596"/>
      <c r="H37" s="168"/>
      <c r="I37" s="164"/>
      <c r="J37" s="151"/>
      <c r="K37" s="151"/>
      <c r="L37" s="151"/>
      <c r="M37" s="151"/>
      <c r="N37" s="564" t="str">
        <f t="shared" si="6"/>
        <v>-</v>
      </c>
      <c r="O37" s="565"/>
      <c r="Y37" s="631"/>
      <c r="Z37" s="632"/>
      <c r="AA37" s="632"/>
      <c r="AB37" s="633"/>
      <c r="AC37" s="551" t="s">
        <v>7</v>
      </c>
      <c r="AD37" s="635"/>
      <c r="AE37" s="552"/>
      <c r="AF37" s="652"/>
      <c r="AG37" s="653"/>
      <c r="AH37" s="654"/>
      <c r="AI37" s="655"/>
      <c r="AJ37" s="656"/>
      <c r="AK37" s="657"/>
      <c r="AL37" s="623" t="str">
        <f t="shared" si="7"/>
        <v>-</v>
      </c>
      <c r="AM37" s="624"/>
      <c r="AN37" s="652"/>
      <c r="AO37" s="653"/>
      <c r="AP37" s="654"/>
      <c r="AQ37" s="655"/>
      <c r="AR37" s="656"/>
      <c r="AS37" s="657"/>
      <c r="AT37" s="623" t="str">
        <f t="shared" si="8"/>
        <v>-</v>
      </c>
      <c r="AU37" s="624"/>
      <c r="AV37" s="652"/>
      <c r="AW37" s="653"/>
      <c r="AX37" s="654"/>
      <c r="AY37" s="655"/>
      <c r="AZ37" s="656"/>
      <c r="BA37" s="657"/>
      <c r="BB37" s="623" t="str">
        <f t="shared" si="9"/>
        <v>-</v>
      </c>
      <c r="BC37" s="624"/>
    </row>
    <row r="38" spans="1:55" ht="13.5" customHeight="1">
      <c r="A38" s="75"/>
      <c r="B38" s="591" t="s">
        <v>25</v>
      </c>
      <c r="C38" s="592"/>
      <c r="D38" s="592"/>
      <c r="E38" s="592"/>
      <c r="F38" s="592"/>
      <c r="G38" s="593"/>
      <c r="H38" s="168"/>
      <c r="I38" s="164"/>
      <c r="J38" s="151"/>
      <c r="K38" s="151"/>
      <c r="L38" s="151"/>
      <c r="M38" s="151"/>
      <c r="N38" s="564" t="str">
        <f t="shared" si="6"/>
        <v>-</v>
      </c>
      <c r="O38" s="565"/>
      <c r="Y38" s="636" t="s">
        <v>238</v>
      </c>
      <c r="Z38" s="637"/>
      <c r="AA38" s="637"/>
      <c r="AB38" s="638"/>
      <c r="AC38" s="617" t="s">
        <v>233</v>
      </c>
      <c r="AD38" s="618"/>
      <c r="AE38" s="619"/>
      <c r="AF38" s="173"/>
      <c r="AG38" s="174"/>
      <c r="AH38" s="174"/>
      <c r="AI38" s="172"/>
      <c r="AJ38" s="172"/>
      <c r="AK38" s="172"/>
      <c r="AL38" s="559" t="str">
        <f t="shared" si="7"/>
        <v>-</v>
      </c>
      <c r="AM38" s="560"/>
      <c r="AN38" s="173"/>
      <c r="AO38" s="174"/>
      <c r="AP38" s="174"/>
      <c r="AQ38" s="172"/>
      <c r="AR38" s="172"/>
      <c r="AS38" s="172"/>
      <c r="AT38" s="559" t="str">
        <f t="shared" si="8"/>
        <v>-</v>
      </c>
      <c r="AU38" s="560"/>
      <c r="AV38" s="173"/>
      <c r="AW38" s="174"/>
      <c r="AX38" s="174"/>
      <c r="AY38" s="172"/>
      <c r="AZ38" s="172"/>
      <c r="BA38" s="172"/>
      <c r="BB38" s="559" t="str">
        <f t="shared" si="9"/>
        <v>-</v>
      </c>
      <c r="BC38" s="560"/>
    </row>
    <row r="39" spans="1:55" ht="13.5" customHeight="1">
      <c r="A39" s="75"/>
      <c r="B39" s="22"/>
      <c r="C39" s="581" t="s">
        <v>229</v>
      </c>
      <c r="D39" s="582"/>
      <c r="E39" s="582"/>
      <c r="F39" s="582"/>
      <c r="G39" s="583"/>
      <c r="H39" s="192"/>
      <c r="I39" s="597"/>
      <c r="J39" s="193"/>
      <c r="K39" s="188"/>
      <c r="L39" s="188"/>
      <c r="M39" s="188"/>
      <c r="N39" s="572" t="str">
        <f t="shared" si="6"/>
        <v>-</v>
      </c>
      <c r="O39" s="573"/>
      <c r="Y39" s="611"/>
      <c r="Z39" s="612"/>
      <c r="AA39" s="612"/>
      <c r="AB39" s="613"/>
      <c r="AC39" s="608" t="s">
        <v>234</v>
      </c>
      <c r="AD39" s="609"/>
      <c r="AE39" s="610"/>
      <c r="AF39" s="168"/>
      <c r="AG39" s="151"/>
      <c r="AH39" s="151"/>
      <c r="AI39" s="151"/>
      <c r="AJ39" s="151"/>
      <c r="AK39" s="151"/>
      <c r="AL39" s="564" t="str">
        <f t="shared" si="7"/>
        <v>-</v>
      </c>
      <c r="AM39" s="565"/>
      <c r="AN39" s="168"/>
      <c r="AO39" s="151"/>
      <c r="AP39" s="151"/>
      <c r="AQ39" s="151"/>
      <c r="AR39" s="151"/>
      <c r="AS39" s="151"/>
      <c r="AT39" s="564" t="str">
        <f t="shared" si="8"/>
        <v>-</v>
      </c>
      <c r="AU39" s="565"/>
      <c r="AV39" s="168"/>
      <c r="AW39" s="151"/>
      <c r="AX39" s="151"/>
      <c r="AY39" s="151"/>
      <c r="AZ39" s="151"/>
      <c r="BA39" s="151"/>
      <c r="BB39" s="564" t="str">
        <f t="shared" si="9"/>
        <v>-</v>
      </c>
      <c r="BC39" s="565"/>
    </row>
    <row r="40" spans="1:55" ht="13.5" customHeight="1">
      <c r="A40" s="584" t="s">
        <v>230</v>
      </c>
      <c r="B40" s="585"/>
      <c r="C40" s="585"/>
      <c r="D40" s="585"/>
      <c r="E40" s="585"/>
      <c r="F40" s="585"/>
      <c r="G40" s="586"/>
      <c r="H40" s="639"/>
      <c r="I40" s="640"/>
      <c r="J40" s="641"/>
      <c r="K40" s="642"/>
      <c r="L40" s="642"/>
      <c r="M40" s="643"/>
      <c r="N40" s="600" t="str">
        <f t="shared" si="6"/>
        <v>-</v>
      </c>
      <c r="O40" s="601"/>
      <c r="Y40" s="611"/>
      <c r="Z40" s="612"/>
      <c r="AA40" s="612"/>
      <c r="AB40" s="613"/>
      <c r="AC40" s="608" t="s">
        <v>235</v>
      </c>
      <c r="AD40" s="609"/>
      <c r="AE40" s="610"/>
      <c r="AF40" s="168"/>
      <c r="AG40" s="151"/>
      <c r="AH40" s="151"/>
      <c r="AI40" s="151"/>
      <c r="AJ40" s="151"/>
      <c r="AK40" s="151"/>
      <c r="AL40" s="564" t="str">
        <f t="shared" si="7"/>
        <v>-</v>
      </c>
      <c r="AM40" s="565"/>
      <c r="AN40" s="168"/>
      <c r="AO40" s="151"/>
      <c r="AP40" s="151"/>
      <c r="AQ40" s="151"/>
      <c r="AR40" s="151"/>
      <c r="AS40" s="151"/>
      <c r="AT40" s="564" t="str">
        <f t="shared" si="8"/>
        <v>-</v>
      </c>
      <c r="AU40" s="565"/>
      <c r="AV40" s="168"/>
      <c r="AW40" s="151"/>
      <c r="AX40" s="151"/>
      <c r="AY40" s="151"/>
      <c r="AZ40" s="151"/>
      <c r="BA40" s="151"/>
      <c r="BB40" s="564" t="str">
        <f t="shared" si="9"/>
        <v>-</v>
      </c>
      <c r="BC40" s="565"/>
    </row>
    <row r="41" spans="1:55" ht="13.5" customHeight="1">
      <c r="Y41" s="611"/>
      <c r="Z41" s="612"/>
      <c r="AA41" s="612"/>
      <c r="AB41" s="613"/>
      <c r="AC41" s="608" t="s">
        <v>236</v>
      </c>
      <c r="AD41" s="609"/>
      <c r="AE41" s="610"/>
      <c r="AF41" s="168"/>
      <c r="AG41" s="151"/>
      <c r="AH41" s="151"/>
      <c r="AI41" s="151"/>
      <c r="AJ41" s="151"/>
      <c r="AK41" s="151"/>
      <c r="AL41" s="564" t="str">
        <f t="shared" si="7"/>
        <v>-</v>
      </c>
      <c r="AM41" s="565"/>
      <c r="AN41" s="168"/>
      <c r="AO41" s="151"/>
      <c r="AP41" s="151"/>
      <c r="AQ41" s="151"/>
      <c r="AR41" s="151"/>
      <c r="AS41" s="151"/>
      <c r="AT41" s="564" t="str">
        <f t="shared" si="8"/>
        <v>-</v>
      </c>
      <c r="AU41" s="565"/>
      <c r="AV41" s="168"/>
      <c r="AW41" s="151"/>
      <c r="AX41" s="151"/>
      <c r="AY41" s="151"/>
      <c r="AZ41" s="151"/>
      <c r="BA41" s="151"/>
      <c r="BB41" s="564" t="str">
        <f t="shared" si="9"/>
        <v>-</v>
      </c>
      <c r="BC41" s="565"/>
    </row>
    <row r="42" spans="1:55" ht="13.5" customHeight="1">
      <c r="Y42" s="614"/>
      <c r="Z42" s="615"/>
      <c r="AA42" s="615"/>
      <c r="AB42" s="616"/>
      <c r="AC42" s="551" t="s">
        <v>7</v>
      </c>
      <c r="AD42" s="635"/>
      <c r="AE42" s="552"/>
      <c r="AF42" s="269"/>
      <c r="AG42" s="270"/>
      <c r="AH42" s="270"/>
      <c r="AI42" s="108"/>
      <c r="AJ42" s="108"/>
      <c r="AK42" s="108"/>
      <c r="AL42" s="623" t="str">
        <f t="shared" si="7"/>
        <v>-</v>
      </c>
      <c r="AM42" s="624"/>
      <c r="AN42" s="269"/>
      <c r="AO42" s="270"/>
      <c r="AP42" s="270"/>
      <c r="AQ42" s="108"/>
      <c r="AR42" s="108"/>
      <c r="AS42" s="108"/>
      <c r="AT42" s="623" t="str">
        <f t="shared" si="8"/>
        <v>-</v>
      </c>
      <c r="AU42" s="624"/>
      <c r="AV42" s="192"/>
      <c r="AW42" s="193"/>
      <c r="AX42" s="193"/>
      <c r="AY42" s="108"/>
      <c r="AZ42" s="108"/>
      <c r="BA42" s="108"/>
      <c r="BB42" s="623" t="str">
        <f t="shared" si="9"/>
        <v>-</v>
      </c>
      <c r="BC42" s="624"/>
    </row>
    <row r="43" spans="1:55" ht="13.5" customHeight="1">
      <c r="P43" s="24"/>
      <c r="Y43" s="23" t="s">
        <v>239</v>
      </c>
      <c r="Z43" s="25"/>
      <c r="AA43" s="25"/>
      <c r="AB43" s="25"/>
      <c r="AC43" s="26"/>
      <c r="AD43" s="26"/>
      <c r="AE43" s="26"/>
      <c r="AF43" s="27"/>
      <c r="AG43" s="27"/>
      <c r="AH43" s="28"/>
      <c r="AI43" s="27"/>
      <c r="AJ43" s="27"/>
      <c r="AK43" s="28"/>
      <c r="AL43" s="29"/>
      <c r="AM43" s="29"/>
      <c r="AN43" s="27"/>
      <c r="AO43" s="27"/>
      <c r="AP43" s="28"/>
      <c r="AQ43" s="27"/>
      <c r="AR43" s="27"/>
      <c r="AS43" s="28"/>
      <c r="AT43" s="29"/>
      <c r="AU43" s="29"/>
      <c r="AV43" s="27"/>
      <c r="AW43" s="27"/>
      <c r="AX43" s="28"/>
      <c r="AY43" s="27"/>
      <c r="AZ43" s="27"/>
      <c r="BA43" s="28"/>
      <c r="BB43" s="29"/>
      <c r="BC43" s="29"/>
    </row>
    <row r="44" spans="1:55" ht="13.5" customHeight="1">
      <c r="P44" s="24"/>
      <c r="Q44" s="24"/>
      <c r="R44" s="30"/>
      <c r="S44" s="24"/>
      <c r="T44" s="24"/>
      <c r="U44" s="30"/>
      <c r="V44" s="11"/>
      <c r="W44" s="11"/>
      <c r="X44" s="24"/>
      <c r="Y44" s="24"/>
      <c r="Z44" s="30"/>
      <c r="AA44" s="24"/>
      <c r="AB44" s="24"/>
      <c r="AC44" s="30"/>
      <c r="AD44" s="11"/>
      <c r="AE44" s="11"/>
    </row>
    <row r="45" spans="1:55" ht="13.5" customHeight="1">
      <c r="P45" s="24"/>
      <c r="Q45" s="24"/>
      <c r="R45" s="30"/>
      <c r="S45" s="24"/>
      <c r="T45" s="24"/>
      <c r="U45" s="30"/>
      <c r="V45" s="11"/>
      <c r="W45" s="11"/>
      <c r="X45" s="24"/>
      <c r="Y45" s="24"/>
      <c r="Z45" s="30"/>
      <c r="AA45" s="24"/>
      <c r="AB45" s="24"/>
      <c r="AC45" s="30"/>
      <c r="AD45" s="11"/>
      <c r="AE45" s="11"/>
    </row>
    <row r="46" spans="1:55" ht="13.5" customHeight="1">
      <c r="P46" s="24"/>
      <c r="Q46" s="24"/>
      <c r="R46" s="30"/>
      <c r="S46" s="24"/>
      <c r="T46" s="24"/>
      <c r="U46" s="30"/>
      <c r="V46" s="11"/>
      <c r="W46" s="11"/>
      <c r="X46" s="24"/>
      <c r="Y46" s="24"/>
      <c r="Z46" s="30"/>
      <c r="AA46" s="24"/>
      <c r="AB46" s="24"/>
      <c r="AC46" s="30"/>
      <c r="AD46" s="11"/>
      <c r="AE46" s="11"/>
    </row>
    <row r="47" spans="1:55" ht="13.5" customHeight="1">
      <c r="P47" s="24"/>
      <c r="Q47" s="24"/>
      <c r="R47" s="30"/>
      <c r="S47" s="24"/>
      <c r="T47" s="24"/>
      <c r="U47" s="30"/>
      <c r="V47" s="11"/>
      <c r="W47" s="11"/>
      <c r="X47" s="24"/>
      <c r="Y47" s="24"/>
      <c r="Z47" s="30"/>
      <c r="AA47" s="24"/>
      <c r="AB47" s="24"/>
      <c r="AC47" s="30"/>
      <c r="AD47" s="11"/>
      <c r="AE47" s="11"/>
    </row>
    <row r="48" spans="1:55" ht="13.5" customHeight="1">
      <c r="P48" s="24"/>
      <c r="Q48" s="24"/>
      <c r="R48" s="30"/>
      <c r="S48" s="24"/>
      <c r="T48" s="24"/>
      <c r="U48" s="30"/>
      <c r="V48" s="11"/>
      <c r="W48" s="11"/>
      <c r="X48" s="24"/>
      <c r="Y48" s="24"/>
      <c r="Z48" s="30"/>
      <c r="AA48" s="24"/>
      <c r="AB48" s="24"/>
      <c r="AC48" s="30"/>
      <c r="AD48" s="11"/>
      <c r="AE48" s="11"/>
    </row>
    <row r="49" spans="16:31" ht="13.5" customHeight="1">
      <c r="P49" s="24"/>
      <c r="Q49" s="24"/>
      <c r="R49" s="30"/>
      <c r="S49" s="24"/>
      <c r="T49" s="24"/>
      <c r="U49" s="30"/>
      <c r="V49" s="11"/>
      <c r="W49" s="11"/>
      <c r="X49" s="24"/>
      <c r="Y49" s="24"/>
      <c r="Z49" s="30"/>
      <c r="AA49" s="24"/>
      <c r="AB49" s="24"/>
      <c r="AC49" s="30"/>
      <c r="AD49" s="11"/>
      <c r="AE49" s="11"/>
    </row>
    <row r="50" spans="16:31" ht="13.5" customHeight="1">
      <c r="P50" s="24"/>
      <c r="Q50" s="24"/>
      <c r="R50" s="30"/>
      <c r="S50" s="24"/>
      <c r="T50" s="24"/>
      <c r="U50" s="30"/>
      <c r="V50" s="11"/>
      <c r="W50" s="11"/>
      <c r="X50" s="24"/>
      <c r="Y50" s="24"/>
      <c r="Z50" s="30"/>
      <c r="AA50" s="24"/>
      <c r="AB50" s="24"/>
      <c r="AC50" s="30"/>
      <c r="AD50" s="11"/>
      <c r="AE50" s="11"/>
    </row>
    <row r="51" spans="16:31" ht="13.5" customHeight="1">
      <c r="Q51" s="24"/>
      <c r="R51" s="30"/>
      <c r="S51" s="24"/>
      <c r="T51" s="24"/>
      <c r="U51" s="30"/>
      <c r="V51" s="11"/>
      <c r="W51" s="11"/>
      <c r="X51" s="24"/>
      <c r="Y51" s="24"/>
      <c r="Z51" s="30"/>
      <c r="AA51" s="24"/>
      <c r="AB51" s="24"/>
      <c r="AC51" s="30"/>
      <c r="AD51" s="11"/>
      <c r="AE51" s="11"/>
    </row>
  </sheetData>
  <mergeCells count="511">
    <mergeCell ref="AV33:AX33"/>
    <mergeCell ref="AY33:BA33"/>
    <mergeCell ref="AV34:AX34"/>
    <mergeCell ref="AY34:BA34"/>
    <mergeCell ref="AV35:AX35"/>
    <mergeCell ref="AY35:BA35"/>
    <mergeCell ref="AV36:AX36"/>
    <mergeCell ref="AY36:BA36"/>
    <mergeCell ref="AV37:AX37"/>
    <mergeCell ref="AY37:BA37"/>
    <mergeCell ref="AN33:AP33"/>
    <mergeCell ref="AQ33:AS33"/>
    <mergeCell ref="AN34:AP34"/>
    <mergeCell ref="AQ34:AS34"/>
    <mergeCell ref="AN35:AP35"/>
    <mergeCell ref="AQ35:AS35"/>
    <mergeCell ref="AN36:AP36"/>
    <mergeCell ref="AQ36:AS36"/>
    <mergeCell ref="AN37:AP37"/>
    <mergeCell ref="AQ37:AS37"/>
    <mergeCell ref="AF33:AH33"/>
    <mergeCell ref="AI33:AK33"/>
    <mergeCell ref="AF34:AH34"/>
    <mergeCell ref="AI34:AK34"/>
    <mergeCell ref="AF35:AH35"/>
    <mergeCell ref="AI35:AK35"/>
    <mergeCell ref="AF36:AH36"/>
    <mergeCell ref="AI36:AK36"/>
    <mergeCell ref="AF37:AH37"/>
    <mergeCell ref="AI37:AK37"/>
    <mergeCell ref="AC42:AE42"/>
    <mergeCell ref="AF42:AH42"/>
    <mergeCell ref="AI42:AK42"/>
    <mergeCell ref="AL42:AM42"/>
    <mergeCell ref="AN42:AP42"/>
    <mergeCell ref="AQ42:AS42"/>
    <mergeCell ref="AT42:AU42"/>
    <mergeCell ref="AV42:AX42"/>
    <mergeCell ref="AY42:BA42"/>
    <mergeCell ref="AF41:AH41"/>
    <mergeCell ref="AI41:AK41"/>
    <mergeCell ref="AL41:AM41"/>
    <mergeCell ref="AN41:AP41"/>
    <mergeCell ref="BB42:BC42"/>
    <mergeCell ref="AQ41:AS41"/>
    <mergeCell ref="AT41:AU41"/>
    <mergeCell ref="AV41:AX41"/>
    <mergeCell ref="AY41:BA41"/>
    <mergeCell ref="BB41:BC41"/>
    <mergeCell ref="BB39:BC39"/>
    <mergeCell ref="A40:G40"/>
    <mergeCell ref="H40:J40"/>
    <mergeCell ref="K40:M40"/>
    <mergeCell ref="N40:O40"/>
    <mergeCell ref="AC40:AE40"/>
    <mergeCell ref="AF40:AH40"/>
    <mergeCell ref="AI40:AK40"/>
    <mergeCell ref="AL40:AM40"/>
    <mergeCell ref="AN40:AP40"/>
    <mergeCell ref="AL39:AM39"/>
    <mergeCell ref="AN39:AP39"/>
    <mergeCell ref="AQ39:AS39"/>
    <mergeCell ref="AT39:AU39"/>
    <mergeCell ref="AV39:AX39"/>
    <mergeCell ref="AY39:BA39"/>
    <mergeCell ref="AQ40:AS40"/>
    <mergeCell ref="AT40:AU40"/>
    <mergeCell ref="AV40:AX40"/>
    <mergeCell ref="AY40:BA40"/>
    <mergeCell ref="AV38:AX38"/>
    <mergeCell ref="AY38:BA38"/>
    <mergeCell ref="BB38:BC38"/>
    <mergeCell ref="C39:G39"/>
    <mergeCell ref="H39:J39"/>
    <mergeCell ref="K39:M39"/>
    <mergeCell ref="N39:O39"/>
    <mergeCell ref="AC39:AE39"/>
    <mergeCell ref="AF39:AH39"/>
    <mergeCell ref="AI39:AK39"/>
    <mergeCell ref="AF38:AH38"/>
    <mergeCell ref="AI38:AK38"/>
    <mergeCell ref="AL38:AM38"/>
    <mergeCell ref="AN38:AP38"/>
    <mergeCell ref="AQ38:AS38"/>
    <mergeCell ref="AT38:AU38"/>
    <mergeCell ref="B38:G38"/>
    <mergeCell ref="H38:J38"/>
    <mergeCell ref="K38:M38"/>
    <mergeCell ref="N38:O38"/>
    <mergeCell ref="Y38:AB42"/>
    <mergeCell ref="AC38:AE38"/>
    <mergeCell ref="BB40:BC40"/>
    <mergeCell ref="AC41:AE41"/>
    <mergeCell ref="C37:G37"/>
    <mergeCell ref="H37:J37"/>
    <mergeCell ref="K37:M37"/>
    <mergeCell ref="N37:O37"/>
    <mergeCell ref="AC37:AE37"/>
    <mergeCell ref="AL37:AM37"/>
    <mergeCell ref="AT37:AU37"/>
    <mergeCell ref="BB37:BC37"/>
    <mergeCell ref="B36:G36"/>
    <mergeCell ref="H36:J36"/>
    <mergeCell ref="K36:M36"/>
    <mergeCell ref="N36:O36"/>
    <mergeCell ref="AC36:AE36"/>
    <mergeCell ref="AL36:AM36"/>
    <mergeCell ref="AT35:AU35"/>
    <mergeCell ref="BB35:BC35"/>
    <mergeCell ref="A34:G34"/>
    <mergeCell ref="H34:J34"/>
    <mergeCell ref="K34:M34"/>
    <mergeCell ref="N34:O34"/>
    <mergeCell ref="AC34:AE34"/>
    <mergeCell ref="AL34:AM34"/>
    <mergeCell ref="AT36:AU36"/>
    <mergeCell ref="BB36:BC36"/>
    <mergeCell ref="BB32:BC32"/>
    <mergeCell ref="B33:G33"/>
    <mergeCell ref="H33:J33"/>
    <mergeCell ref="K33:M33"/>
    <mergeCell ref="N33:O33"/>
    <mergeCell ref="Y33:AB37"/>
    <mergeCell ref="AC33:AE33"/>
    <mergeCell ref="AL33:AM33"/>
    <mergeCell ref="AT33:AU33"/>
    <mergeCell ref="BB33:BC33"/>
    <mergeCell ref="AL32:AM32"/>
    <mergeCell ref="AN32:AP32"/>
    <mergeCell ref="AQ32:AS32"/>
    <mergeCell ref="AT32:AU32"/>
    <mergeCell ref="AV32:AX32"/>
    <mergeCell ref="AY32:BA32"/>
    <mergeCell ref="AT34:AU34"/>
    <mergeCell ref="BB34:BC34"/>
    <mergeCell ref="A35:G35"/>
    <mergeCell ref="H35:J35"/>
    <mergeCell ref="K35:M35"/>
    <mergeCell ref="N35:O35"/>
    <mergeCell ref="AC35:AE35"/>
    <mergeCell ref="AL35:AM35"/>
    <mergeCell ref="BB30:BC30"/>
    <mergeCell ref="B31:G31"/>
    <mergeCell ref="H31:J31"/>
    <mergeCell ref="K31:M31"/>
    <mergeCell ref="N31:O31"/>
    <mergeCell ref="AC31:AE31"/>
    <mergeCell ref="AV31:AX31"/>
    <mergeCell ref="AY31:BA31"/>
    <mergeCell ref="BB31:BC31"/>
    <mergeCell ref="AF31:AH31"/>
    <mergeCell ref="AI31:AK31"/>
    <mergeCell ref="AL31:AM31"/>
    <mergeCell ref="AN31:AP31"/>
    <mergeCell ref="AQ31:AS31"/>
    <mergeCell ref="AT31:AU31"/>
    <mergeCell ref="AL30:AM30"/>
    <mergeCell ref="AN30:AP30"/>
    <mergeCell ref="Y28:AB32"/>
    <mergeCell ref="AC28:AE28"/>
    <mergeCell ref="A32:G32"/>
    <mergeCell ref="H32:J32"/>
    <mergeCell ref="K32:M32"/>
    <mergeCell ref="N32:O32"/>
    <mergeCell ref="AC32:AE32"/>
    <mergeCell ref="AL29:AM29"/>
    <mergeCell ref="AN29:AP29"/>
    <mergeCell ref="AQ29:AS29"/>
    <mergeCell ref="AT29:AU29"/>
    <mergeCell ref="AV29:AX29"/>
    <mergeCell ref="AY29:BA29"/>
    <mergeCell ref="AQ30:AS30"/>
    <mergeCell ref="AT30:AU30"/>
    <mergeCell ref="AV30:AX30"/>
    <mergeCell ref="AY30:BA30"/>
    <mergeCell ref="AL27:AM27"/>
    <mergeCell ref="AN27:AP27"/>
    <mergeCell ref="AQ27:AS27"/>
    <mergeCell ref="AV28:AX28"/>
    <mergeCell ref="AY28:BA28"/>
    <mergeCell ref="BB28:BC28"/>
    <mergeCell ref="B29:G29"/>
    <mergeCell ref="H29:J29"/>
    <mergeCell ref="K29:M29"/>
    <mergeCell ref="N29:O29"/>
    <mergeCell ref="AC29:AE29"/>
    <mergeCell ref="AF29:AH29"/>
    <mergeCell ref="AI29:AK29"/>
    <mergeCell ref="AF28:AH28"/>
    <mergeCell ref="AI28:AK28"/>
    <mergeCell ref="AL28:AM28"/>
    <mergeCell ref="AN28:AP28"/>
    <mergeCell ref="AQ28:AS28"/>
    <mergeCell ref="AT28:AU28"/>
    <mergeCell ref="BB29:BC29"/>
    <mergeCell ref="A28:G28"/>
    <mergeCell ref="H28:J28"/>
    <mergeCell ref="K28:M28"/>
    <mergeCell ref="N28:O28"/>
    <mergeCell ref="AF32:AH32"/>
    <mergeCell ref="AI32:AK32"/>
    <mergeCell ref="A26:G27"/>
    <mergeCell ref="H26:O26"/>
    <mergeCell ref="Y26:AE27"/>
    <mergeCell ref="AF26:AM26"/>
    <mergeCell ref="AN26:AU26"/>
    <mergeCell ref="AV26:BC26"/>
    <mergeCell ref="H27:J27"/>
    <mergeCell ref="K27:M27"/>
    <mergeCell ref="AT27:AU27"/>
    <mergeCell ref="AV27:AX27"/>
    <mergeCell ref="AY27:BA27"/>
    <mergeCell ref="BB27:BC27"/>
    <mergeCell ref="N27:O27"/>
    <mergeCell ref="AF27:AH27"/>
    <mergeCell ref="AI27:AK27"/>
    <mergeCell ref="B30:G30"/>
    <mergeCell ref="H30:J30"/>
    <mergeCell ref="K30:M30"/>
    <mergeCell ref="N30:O30"/>
    <mergeCell ref="AC30:AE30"/>
    <mergeCell ref="AF30:AH30"/>
    <mergeCell ref="AI30:AK30"/>
    <mergeCell ref="AI23:AK23"/>
    <mergeCell ref="AL23:AM23"/>
    <mergeCell ref="AN23:AP23"/>
    <mergeCell ref="AQ23:AS23"/>
    <mergeCell ref="AT23:AU23"/>
    <mergeCell ref="AV23:AX23"/>
    <mergeCell ref="S23:U23"/>
    <mergeCell ref="V23:W23"/>
    <mergeCell ref="X23:Z23"/>
    <mergeCell ref="AA23:AC23"/>
    <mergeCell ref="AD23:AE23"/>
    <mergeCell ref="AF23:AH23"/>
    <mergeCell ref="AQ22:AS22"/>
    <mergeCell ref="AT22:AU22"/>
    <mergeCell ref="AV22:AX22"/>
    <mergeCell ref="AY22:BA22"/>
    <mergeCell ref="BB22:BC22"/>
    <mergeCell ref="A23:G23"/>
    <mergeCell ref="H23:J23"/>
    <mergeCell ref="K23:M23"/>
    <mergeCell ref="N23:O23"/>
    <mergeCell ref="P23:R23"/>
    <mergeCell ref="AA22:AC22"/>
    <mergeCell ref="AD22:AE22"/>
    <mergeCell ref="AF22:AH22"/>
    <mergeCell ref="AI22:AK22"/>
    <mergeCell ref="AL22:AM22"/>
    <mergeCell ref="AN22:AP22"/>
    <mergeCell ref="AY23:BA23"/>
    <mergeCell ref="BB23:BC23"/>
    <mergeCell ref="C22:G22"/>
    <mergeCell ref="H22:J22"/>
    <mergeCell ref="K22:M22"/>
    <mergeCell ref="N22:O22"/>
    <mergeCell ref="P22:R22"/>
    <mergeCell ref="S22:U22"/>
    <mergeCell ref="V22:W22"/>
    <mergeCell ref="X22:Z22"/>
    <mergeCell ref="AI21:AK21"/>
    <mergeCell ref="S21:U21"/>
    <mergeCell ref="V21:W21"/>
    <mergeCell ref="X21:Z21"/>
    <mergeCell ref="AA21:AC21"/>
    <mergeCell ref="AD21:AE21"/>
    <mergeCell ref="AF21:AH21"/>
    <mergeCell ref="AQ20:AS20"/>
    <mergeCell ref="AT20:AU20"/>
    <mergeCell ref="AV20:AX20"/>
    <mergeCell ref="AY20:BA20"/>
    <mergeCell ref="BB20:BC20"/>
    <mergeCell ref="B21:G21"/>
    <mergeCell ref="H21:J21"/>
    <mergeCell ref="K21:M21"/>
    <mergeCell ref="N21:O21"/>
    <mergeCell ref="P21:R21"/>
    <mergeCell ref="AA20:AC20"/>
    <mergeCell ref="AD20:AE20"/>
    <mergeCell ref="AF20:AH20"/>
    <mergeCell ref="AI20:AK20"/>
    <mergeCell ref="AL20:AM20"/>
    <mergeCell ref="AN20:AP20"/>
    <mergeCell ref="AY21:BA21"/>
    <mergeCell ref="BB21:BC21"/>
    <mergeCell ref="AL21:AM21"/>
    <mergeCell ref="AN21:AP21"/>
    <mergeCell ref="AQ21:AS21"/>
    <mergeCell ref="AT21:AU21"/>
    <mergeCell ref="AV21:AX21"/>
    <mergeCell ref="C20:G20"/>
    <mergeCell ref="H20:J20"/>
    <mergeCell ref="K20:M20"/>
    <mergeCell ref="N20:O20"/>
    <mergeCell ref="P20:R20"/>
    <mergeCell ref="S20:U20"/>
    <mergeCell ref="V20:W20"/>
    <mergeCell ref="X20:Z20"/>
    <mergeCell ref="AI19:AK19"/>
    <mergeCell ref="S19:U19"/>
    <mergeCell ref="V19:W19"/>
    <mergeCell ref="X19:Z19"/>
    <mergeCell ref="AA19:AC19"/>
    <mergeCell ref="AD19:AE19"/>
    <mergeCell ref="AF19:AH19"/>
    <mergeCell ref="AQ18:AS18"/>
    <mergeCell ref="AT18:AU18"/>
    <mergeCell ref="AV18:AX18"/>
    <mergeCell ref="AY18:BA18"/>
    <mergeCell ref="BB18:BC18"/>
    <mergeCell ref="B19:G19"/>
    <mergeCell ref="H19:J19"/>
    <mergeCell ref="K19:M19"/>
    <mergeCell ref="N19:O19"/>
    <mergeCell ref="P19:R19"/>
    <mergeCell ref="AA18:AC18"/>
    <mergeCell ref="AD18:AE18"/>
    <mergeCell ref="AF18:AH18"/>
    <mergeCell ref="AI18:AK18"/>
    <mergeCell ref="AL18:AM18"/>
    <mergeCell ref="AN18:AP18"/>
    <mergeCell ref="AY19:BA19"/>
    <mergeCell ref="BB19:BC19"/>
    <mergeCell ref="AL19:AM19"/>
    <mergeCell ref="AN19:AP19"/>
    <mergeCell ref="AQ19:AS19"/>
    <mergeCell ref="AT19:AU19"/>
    <mergeCell ref="AV19:AX19"/>
    <mergeCell ref="A18:G18"/>
    <mergeCell ref="H18:J18"/>
    <mergeCell ref="K18:M18"/>
    <mergeCell ref="N18:O18"/>
    <mergeCell ref="P18:R18"/>
    <mergeCell ref="S18:U18"/>
    <mergeCell ref="V18:W18"/>
    <mergeCell ref="X18:Z18"/>
    <mergeCell ref="AI17:AK17"/>
    <mergeCell ref="S17:U17"/>
    <mergeCell ref="V17:W17"/>
    <mergeCell ref="X17:Z17"/>
    <mergeCell ref="AA17:AC17"/>
    <mergeCell ref="AD17:AE17"/>
    <mergeCell ref="AF17:AH17"/>
    <mergeCell ref="AQ16:AS16"/>
    <mergeCell ref="AT16:AU16"/>
    <mergeCell ref="AV16:AX16"/>
    <mergeCell ref="AY16:BA16"/>
    <mergeCell ref="BB16:BC16"/>
    <mergeCell ref="A17:G17"/>
    <mergeCell ref="H17:J17"/>
    <mergeCell ref="K17:M17"/>
    <mergeCell ref="N17:O17"/>
    <mergeCell ref="P17:R17"/>
    <mergeCell ref="AA16:AC16"/>
    <mergeCell ref="AD16:AE16"/>
    <mergeCell ref="AF16:AH16"/>
    <mergeCell ref="AI16:AK16"/>
    <mergeCell ref="AL16:AM16"/>
    <mergeCell ref="AN16:AP16"/>
    <mergeCell ref="AY17:BA17"/>
    <mergeCell ref="BB17:BC17"/>
    <mergeCell ref="AL17:AM17"/>
    <mergeCell ref="AN17:AP17"/>
    <mergeCell ref="AQ17:AS17"/>
    <mergeCell ref="AT17:AU17"/>
    <mergeCell ref="AV17:AX17"/>
    <mergeCell ref="B16:G16"/>
    <mergeCell ref="H16:J16"/>
    <mergeCell ref="K16:M16"/>
    <mergeCell ref="N16:O16"/>
    <mergeCell ref="P16:R16"/>
    <mergeCell ref="S16:U16"/>
    <mergeCell ref="V16:W16"/>
    <mergeCell ref="X16:Z16"/>
    <mergeCell ref="AI15:AK15"/>
    <mergeCell ref="S15:U15"/>
    <mergeCell ref="V15:W15"/>
    <mergeCell ref="X15:Z15"/>
    <mergeCell ref="AA15:AC15"/>
    <mergeCell ref="AD15:AE15"/>
    <mergeCell ref="AF15:AH15"/>
    <mergeCell ref="AQ14:AS14"/>
    <mergeCell ref="AT14:AU14"/>
    <mergeCell ref="AV14:AX14"/>
    <mergeCell ref="AY14:BA14"/>
    <mergeCell ref="BB14:BC14"/>
    <mergeCell ref="A15:G15"/>
    <mergeCell ref="H15:J15"/>
    <mergeCell ref="K15:M15"/>
    <mergeCell ref="N15:O15"/>
    <mergeCell ref="P15:R15"/>
    <mergeCell ref="AA14:AC14"/>
    <mergeCell ref="AD14:AE14"/>
    <mergeCell ref="AF14:AH14"/>
    <mergeCell ref="AI14:AK14"/>
    <mergeCell ref="AL14:AM14"/>
    <mergeCell ref="AN14:AP14"/>
    <mergeCell ref="AY15:BA15"/>
    <mergeCell ref="BB15:BC15"/>
    <mergeCell ref="AL15:AM15"/>
    <mergeCell ref="AN15:AP15"/>
    <mergeCell ref="AQ15:AS15"/>
    <mergeCell ref="AT15:AU15"/>
    <mergeCell ref="AV15:AX15"/>
    <mergeCell ref="B14:G14"/>
    <mergeCell ref="H14:J14"/>
    <mergeCell ref="K14:M14"/>
    <mergeCell ref="N14:O14"/>
    <mergeCell ref="P14:R14"/>
    <mergeCell ref="S14:U14"/>
    <mergeCell ref="V14:W14"/>
    <mergeCell ref="X14:Z14"/>
    <mergeCell ref="AI13:AK13"/>
    <mergeCell ref="S13:U13"/>
    <mergeCell ref="V13:W13"/>
    <mergeCell ref="X13:Z13"/>
    <mergeCell ref="AA13:AC13"/>
    <mergeCell ref="AD13:AE13"/>
    <mergeCell ref="AF13:AH13"/>
    <mergeCell ref="AQ12:AS12"/>
    <mergeCell ref="AT12:AU12"/>
    <mergeCell ref="AV12:AX12"/>
    <mergeCell ref="AY12:BA12"/>
    <mergeCell ref="BB12:BC12"/>
    <mergeCell ref="B13:G13"/>
    <mergeCell ref="H13:J13"/>
    <mergeCell ref="K13:M13"/>
    <mergeCell ref="N13:O13"/>
    <mergeCell ref="P13:R13"/>
    <mergeCell ref="AA12:AC12"/>
    <mergeCell ref="AD12:AE12"/>
    <mergeCell ref="AF12:AH12"/>
    <mergeCell ref="AI12:AK12"/>
    <mergeCell ref="AL12:AM12"/>
    <mergeCell ref="AN12:AP12"/>
    <mergeCell ref="AY13:BA13"/>
    <mergeCell ref="BB13:BC13"/>
    <mergeCell ref="AL13:AM13"/>
    <mergeCell ref="AN13:AP13"/>
    <mergeCell ref="AQ13:AS13"/>
    <mergeCell ref="AT13:AU13"/>
    <mergeCell ref="AV13:AX13"/>
    <mergeCell ref="B12:G12"/>
    <mergeCell ref="H12:J12"/>
    <mergeCell ref="K12:M12"/>
    <mergeCell ref="N12:O12"/>
    <mergeCell ref="P12:R12"/>
    <mergeCell ref="S12:U12"/>
    <mergeCell ref="V12:W12"/>
    <mergeCell ref="X12:Z12"/>
    <mergeCell ref="AI11:AK11"/>
    <mergeCell ref="S11:U11"/>
    <mergeCell ref="V11:W11"/>
    <mergeCell ref="X11:Z11"/>
    <mergeCell ref="AA11:AC11"/>
    <mergeCell ref="AD11:AE11"/>
    <mergeCell ref="AF11:AH11"/>
    <mergeCell ref="AL10:AM10"/>
    <mergeCell ref="AN10:AP10"/>
    <mergeCell ref="AQ10:AS10"/>
    <mergeCell ref="AT10:AU10"/>
    <mergeCell ref="AV10:AX10"/>
    <mergeCell ref="AY10:BA10"/>
    <mergeCell ref="BB10:BC10"/>
    <mergeCell ref="A11:G11"/>
    <mergeCell ref="H11:J11"/>
    <mergeCell ref="K11:M11"/>
    <mergeCell ref="N11:O11"/>
    <mergeCell ref="P11:R11"/>
    <mergeCell ref="A9:G10"/>
    <mergeCell ref="AY11:BA11"/>
    <mergeCell ref="BB11:BC11"/>
    <mergeCell ref="AL11:AM11"/>
    <mergeCell ref="AN11:AP11"/>
    <mergeCell ref="AQ11:AS11"/>
    <mergeCell ref="AT11:AU11"/>
    <mergeCell ref="AV11:AX11"/>
    <mergeCell ref="AF3:AK3"/>
    <mergeCell ref="A4:E4"/>
    <mergeCell ref="F4:H4"/>
    <mergeCell ref="I4:R4"/>
    <mergeCell ref="U4:X4"/>
    <mergeCell ref="Z4:AE4"/>
    <mergeCell ref="AG4:AK4"/>
    <mergeCell ref="AV9:BC9"/>
    <mergeCell ref="H10:J10"/>
    <mergeCell ref="K10:M10"/>
    <mergeCell ref="N10:O10"/>
    <mergeCell ref="P10:R10"/>
    <mergeCell ref="S10:U10"/>
    <mergeCell ref="V10:W10"/>
    <mergeCell ref="X10:Z10"/>
    <mergeCell ref="AA10:AC10"/>
    <mergeCell ref="AD10:AE10"/>
    <mergeCell ref="H9:O9"/>
    <mergeCell ref="P9:W9"/>
    <mergeCell ref="X9:AE9"/>
    <mergeCell ref="AF9:AM9"/>
    <mergeCell ref="AN9:AU9"/>
    <mergeCell ref="AF10:AH10"/>
    <mergeCell ref="AI10:AK10"/>
    <mergeCell ref="A5:E5"/>
    <mergeCell ref="F5:H5"/>
    <mergeCell ref="I5:R5"/>
    <mergeCell ref="A3:E3"/>
    <mergeCell ref="F3:H3"/>
    <mergeCell ref="I3:R3"/>
    <mergeCell ref="T3:X3"/>
    <mergeCell ref="Y3:AE3"/>
    <mergeCell ref="A1:C1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54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3"/>
  </cols>
  <sheetData>
    <row r="1" spans="1:52" s="38" customFormat="1" ht="13.5" customHeight="1">
      <c r="A1" s="112" t="str">
        <f>IF(No.1!A1="","",No.1!A1)</f>
        <v/>
      </c>
      <c r="B1" s="113"/>
      <c r="C1" s="89" t="s">
        <v>383</v>
      </c>
      <c r="D1" s="36"/>
      <c r="E1" s="36"/>
      <c r="F1" s="36"/>
      <c r="G1" s="36"/>
      <c r="H1" s="37"/>
      <c r="I1" s="36"/>
      <c r="J1" s="36"/>
      <c r="K1" s="36"/>
      <c r="L1" s="36"/>
      <c r="M1" s="36"/>
      <c r="N1" s="36"/>
      <c r="O1" s="36"/>
      <c r="P1" s="36"/>
      <c r="T1" s="39"/>
      <c r="U1" s="39"/>
      <c r="AL1" s="64"/>
      <c r="AM1" s="64"/>
      <c r="AN1" s="64"/>
      <c r="AO1" s="64"/>
      <c r="AP1" s="64"/>
      <c r="AQ1" s="64"/>
      <c r="AR1" s="64"/>
      <c r="AS1" s="64"/>
    </row>
    <row r="2" spans="1:52" s="38" customFormat="1" ht="13.5" customHeight="1">
      <c r="A2" s="40" t="s">
        <v>1</v>
      </c>
      <c r="B2" s="36"/>
      <c r="C2" s="36"/>
      <c r="D2" s="36"/>
      <c r="E2" s="36"/>
      <c r="F2" s="36"/>
      <c r="G2" s="36"/>
      <c r="H2" s="37"/>
      <c r="I2" s="36"/>
      <c r="J2" s="36"/>
      <c r="K2" s="36"/>
      <c r="L2" s="36"/>
      <c r="M2" s="36"/>
      <c r="N2" s="36"/>
      <c r="O2" s="36"/>
      <c r="P2" s="36"/>
      <c r="T2" s="39"/>
      <c r="U2" s="39"/>
      <c r="AL2" s="66"/>
      <c r="AM2" s="66"/>
      <c r="AN2" s="66"/>
      <c r="AO2" s="66"/>
      <c r="AP2" s="66"/>
      <c r="AQ2" s="65"/>
      <c r="AR2" s="65"/>
      <c r="AS2" s="65"/>
    </row>
    <row r="3" spans="1:52" s="38" customFormat="1" ht="13.5" customHeight="1">
      <c r="A3" s="136"/>
      <c r="B3" s="136"/>
      <c r="C3" s="136"/>
      <c r="D3" s="136"/>
      <c r="E3" s="136"/>
      <c r="F3" s="137" t="s">
        <v>277</v>
      </c>
      <c r="G3" s="137"/>
      <c r="H3" s="137"/>
      <c r="I3" s="138" t="s">
        <v>278</v>
      </c>
      <c r="J3" s="138"/>
      <c r="K3" s="138"/>
      <c r="L3" s="138"/>
      <c r="M3" s="138"/>
      <c r="N3" s="138"/>
      <c r="O3" s="138"/>
      <c r="P3" s="115"/>
      <c r="Q3" s="115"/>
      <c r="R3" s="115"/>
      <c r="T3" s="116" t="s">
        <v>279</v>
      </c>
      <c r="U3" s="116"/>
      <c r="V3" s="116"/>
      <c r="W3" s="116"/>
      <c r="X3" s="116"/>
      <c r="Y3" s="116" t="s">
        <v>280</v>
      </c>
      <c r="Z3" s="117"/>
      <c r="AA3" s="117"/>
      <c r="AB3" s="117"/>
      <c r="AC3" s="117"/>
      <c r="AD3" s="117"/>
      <c r="AE3" s="117"/>
      <c r="AF3" s="121" t="s">
        <v>0</v>
      </c>
      <c r="AG3" s="119"/>
      <c r="AH3" s="119"/>
      <c r="AI3" s="119"/>
      <c r="AJ3" s="119"/>
      <c r="AK3" s="120"/>
    </row>
    <row r="4" spans="1:52" s="38" customFormat="1" ht="13.5" customHeight="1">
      <c r="A4" s="114" t="s">
        <v>384</v>
      </c>
      <c r="B4" s="114"/>
      <c r="C4" s="114"/>
      <c r="D4" s="114"/>
      <c r="E4" s="114"/>
      <c r="F4" s="114" t="str">
        <f>IF(No.1!F4="","",No.1!F4)</f>
        <v/>
      </c>
      <c r="G4" s="114"/>
      <c r="H4" s="114"/>
      <c r="I4" s="114" t="str">
        <f>IF(No.1!I4="","",No.1!I4)</f>
        <v/>
      </c>
      <c r="J4" s="114"/>
      <c r="K4" s="114"/>
      <c r="L4" s="114"/>
      <c r="M4" s="114"/>
      <c r="N4" s="114"/>
      <c r="O4" s="114"/>
      <c r="P4" s="115"/>
      <c r="Q4" s="115"/>
      <c r="R4" s="115"/>
      <c r="T4" s="76" t="str">
        <f>IF(No.1!AB4="","",No.1!AB4)</f>
        <v/>
      </c>
      <c r="U4" s="116" t="str">
        <f>IF(No.1!AC4="","",No.1!AC4)</f>
        <v/>
      </c>
      <c r="V4" s="116"/>
      <c r="W4" s="116"/>
      <c r="X4" s="116"/>
      <c r="Y4" s="76" t="str">
        <f>IF(No.1!AG4="","",No.1!AG4)</f>
        <v/>
      </c>
      <c r="Z4" s="114" t="str">
        <f>IF(No.1!AH4="","",No.1!AH4)</f>
        <v/>
      </c>
      <c r="AA4" s="117"/>
      <c r="AB4" s="117"/>
      <c r="AC4" s="117"/>
      <c r="AD4" s="117"/>
      <c r="AE4" s="117"/>
      <c r="AF4" s="76" t="str">
        <f>IF(No.1!AN4="","",No.1!AN4)</f>
        <v/>
      </c>
      <c r="AG4" s="118" t="str">
        <f>IF(No.1!AO4="","",No.1!AO4)</f>
        <v/>
      </c>
      <c r="AH4" s="119"/>
      <c r="AI4" s="119"/>
      <c r="AJ4" s="119"/>
      <c r="AK4" s="120"/>
    </row>
    <row r="5" spans="1:52" s="38" customFormat="1" ht="13.5" customHeight="1">
      <c r="A5" s="114" t="s">
        <v>268</v>
      </c>
      <c r="B5" s="114"/>
      <c r="C5" s="114"/>
      <c r="D5" s="114"/>
      <c r="E5" s="114"/>
      <c r="F5" s="114" t="str">
        <f>IF(No.1!F5="","",No.1!F5)</f>
        <v/>
      </c>
      <c r="G5" s="114"/>
      <c r="H5" s="114"/>
      <c r="I5" s="114" t="str">
        <f>IF(No.1!I5="","",No.1!I5)</f>
        <v/>
      </c>
      <c r="J5" s="114"/>
      <c r="K5" s="114"/>
      <c r="L5" s="114"/>
      <c r="M5" s="114"/>
      <c r="N5" s="114"/>
      <c r="O5" s="114"/>
      <c r="P5" s="115"/>
      <c r="Q5" s="115"/>
      <c r="R5" s="115"/>
    </row>
    <row r="6" spans="1:52" s="38" customFormat="1" ht="13.5" customHeight="1">
      <c r="A6" s="40"/>
      <c r="H6" s="41"/>
    </row>
    <row r="7" spans="1:52" ht="13.5" customHeight="1">
      <c r="A7" s="4" t="s">
        <v>37</v>
      </c>
      <c r="B7" s="5"/>
      <c r="C7" s="5"/>
      <c r="D7" s="5"/>
      <c r="E7" s="5"/>
      <c r="F7" s="5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52" ht="13.5" customHeight="1">
      <c r="A8" s="1" t="s">
        <v>240</v>
      </c>
      <c r="B8" s="9"/>
      <c r="C8" s="9"/>
      <c r="D8" s="9"/>
      <c r="E8" s="9"/>
      <c r="F8" s="9"/>
      <c r="G8" s="9"/>
      <c r="H8" s="50"/>
      <c r="I8" s="50"/>
      <c r="J8" s="50"/>
      <c r="K8" s="50"/>
      <c r="L8" s="50"/>
      <c r="M8" s="50"/>
      <c r="N8" s="50"/>
      <c r="O8" s="50"/>
      <c r="P8" s="52" t="s">
        <v>3</v>
      </c>
      <c r="S8" s="1" t="s">
        <v>250</v>
      </c>
      <c r="T8" s="1"/>
      <c r="U8" s="1"/>
      <c r="V8" s="1"/>
      <c r="W8" s="1"/>
      <c r="X8" s="1"/>
      <c r="Y8" s="1"/>
      <c r="Z8" s="63"/>
      <c r="AA8" s="63"/>
      <c r="AB8" s="63"/>
      <c r="AC8" s="63"/>
      <c r="AD8" s="63"/>
      <c r="AE8" s="63"/>
      <c r="AF8" s="63"/>
      <c r="AG8" s="52" t="s">
        <v>3</v>
      </c>
      <c r="AH8" s="51"/>
      <c r="AK8" s="1" t="s">
        <v>241</v>
      </c>
      <c r="AL8" s="1"/>
      <c r="AM8" s="1"/>
      <c r="AN8" s="1"/>
      <c r="AO8" s="1"/>
      <c r="AP8" s="1"/>
      <c r="AQ8" s="1"/>
      <c r="AR8" s="63"/>
      <c r="AS8" s="63"/>
      <c r="AT8" s="63"/>
      <c r="AU8" s="63"/>
      <c r="AV8" s="63"/>
      <c r="AW8" s="63"/>
      <c r="AX8" s="63"/>
      <c r="AY8" s="52" t="s">
        <v>3</v>
      </c>
      <c r="AZ8" s="51"/>
    </row>
    <row r="9" spans="1:52" ht="13.5" customHeight="1">
      <c r="A9" s="234" t="s">
        <v>41</v>
      </c>
      <c r="B9" s="235"/>
      <c r="C9" s="235"/>
      <c r="D9" s="235"/>
      <c r="E9" s="235"/>
      <c r="F9" s="235"/>
      <c r="G9" s="236"/>
      <c r="H9" s="344" t="s">
        <v>267</v>
      </c>
      <c r="I9" s="345"/>
      <c r="J9" s="346"/>
      <c r="K9" s="276" t="s">
        <v>269</v>
      </c>
      <c r="L9" s="345"/>
      <c r="M9" s="346"/>
      <c r="N9" s="545" t="s">
        <v>8</v>
      </c>
      <c r="O9" s="546"/>
      <c r="P9" s="547"/>
      <c r="S9" s="234"/>
      <c r="T9" s="235"/>
      <c r="U9" s="235"/>
      <c r="V9" s="235"/>
      <c r="W9" s="235"/>
      <c r="X9" s="235"/>
      <c r="Y9" s="236"/>
      <c r="Z9" s="344" t="s">
        <v>267</v>
      </c>
      <c r="AA9" s="345"/>
      <c r="AB9" s="346"/>
      <c r="AC9" s="276" t="s">
        <v>269</v>
      </c>
      <c r="AD9" s="345"/>
      <c r="AE9" s="346"/>
      <c r="AF9" s="545" t="s">
        <v>8</v>
      </c>
      <c r="AG9" s="546"/>
      <c r="AH9" s="547"/>
      <c r="AK9" s="234"/>
      <c r="AL9" s="235"/>
      <c r="AM9" s="235"/>
      <c r="AN9" s="235"/>
      <c r="AO9" s="235"/>
      <c r="AP9" s="235"/>
      <c r="AQ9" s="236"/>
      <c r="AR9" s="344" t="s">
        <v>267</v>
      </c>
      <c r="AS9" s="345"/>
      <c r="AT9" s="346"/>
      <c r="AU9" s="276" t="s">
        <v>269</v>
      </c>
      <c r="AV9" s="345"/>
      <c r="AW9" s="346"/>
      <c r="AX9" s="545" t="s">
        <v>8</v>
      </c>
      <c r="AY9" s="546"/>
      <c r="AZ9" s="547"/>
    </row>
    <row r="10" spans="1:52" ht="13.5" customHeight="1">
      <c r="A10" s="218" t="s">
        <v>242</v>
      </c>
      <c r="B10" s="219"/>
      <c r="C10" s="219"/>
      <c r="D10" s="219"/>
      <c r="E10" s="219"/>
      <c r="F10" s="219"/>
      <c r="G10" s="220"/>
      <c r="H10" s="200"/>
      <c r="I10" s="172"/>
      <c r="J10" s="172"/>
      <c r="K10" s="193"/>
      <c r="L10" s="193"/>
      <c r="M10" s="193"/>
      <c r="N10" s="221" t="str">
        <f>IF(H10="-", "-", IF(K10="-", "-", IF(ABS(K10)=0, "-", ROUND(100*(H10-K10)/ABS(K10),10))))</f>
        <v>-</v>
      </c>
      <c r="O10" s="222"/>
      <c r="P10" s="223"/>
      <c r="S10" s="289" t="s">
        <v>254</v>
      </c>
      <c r="T10" s="251"/>
      <c r="U10" s="251"/>
      <c r="V10" s="251"/>
      <c r="W10" s="251"/>
      <c r="X10" s="251"/>
      <c r="Y10" s="252"/>
      <c r="Z10" s="173"/>
      <c r="AA10" s="174"/>
      <c r="AB10" s="174"/>
      <c r="AC10" s="143"/>
      <c r="AD10" s="143"/>
      <c r="AE10" s="143"/>
      <c r="AF10" s="221" t="str">
        <f>IF(Z10="-", "-", IF(AC10="-", "-", IF(ABS(AC10)=0, "-", ROUND(100*(Z10-AC10)/ABS(AC10),10))))</f>
        <v>-</v>
      </c>
      <c r="AG10" s="222"/>
      <c r="AH10" s="223"/>
      <c r="AK10" s="289" t="s">
        <v>243</v>
      </c>
      <c r="AL10" s="251"/>
      <c r="AM10" s="251"/>
      <c r="AN10" s="251"/>
      <c r="AO10" s="251"/>
      <c r="AP10" s="251"/>
      <c r="AQ10" s="252"/>
      <c r="AR10" s="173"/>
      <c r="AS10" s="174"/>
      <c r="AT10" s="174"/>
      <c r="AU10" s="143"/>
      <c r="AV10" s="143"/>
      <c r="AW10" s="143"/>
      <c r="AX10" s="224" t="str">
        <f t="shared" ref="AX10:AX16" si="0">IF(AR10="-", "-", IF(AU10="-", "-", IF(ABS(AU10)=0, "-", ROUND(100*(AR10-AU10)/ABS(AU10),10))))</f>
        <v>-</v>
      </c>
      <c r="AY10" s="225"/>
      <c r="AZ10" s="226"/>
    </row>
    <row r="11" spans="1:52" ht="13.5" customHeight="1">
      <c r="A11" s="704" t="s">
        <v>244</v>
      </c>
      <c r="B11" s="705"/>
      <c r="C11" s="705"/>
      <c r="D11" s="705"/>
      <c r="E11" s="705"/>
      <c r="F11" s="705"/>
      <c r="G11" s="706"/>
      <c r="H11" s="142"/>
      <c r="I11" s="143"/>
      <c r="J11" s="143"/>
      <c r="K11" s="188"/>
      <c r="L11" s="188"/>
      <c r="M11" s="188"/>
      <c r="N11" s="95" t="str">
        <f>IF(H11="-", "-", IF(K11="-", "-", IF(ABS(K11)=0, "-", ROUND(100*(H11-K11)/ABS(K11),10))))</f>
        <v>-</v>
      </c>
      <c r="O11" s="96"/>
      <c r="P11" s="97"/>
      <c r="S11" s="707" t="s">
        <v>257</v>
      </c>
      <c r="T11" s="149"/>
      <c r="U11" s="149"/>
      <c r="V11" s="149"/>
      <c r="W11" s="149"/>
      <c r="X11" s="149"/>
      <c r="Y11" s="150"/>
      <c r="Z11" s="168"/>
      <c r="AA11" s="151"/>
      <c r="AB11" s="151"/>
      <c r="AC11" s="151"/>
      <c r="AD11" s="151"/>
      <c r="AE11" s="151"/>
      <c r="AF11" s="189" t="str">
        <f>IF(Z11="-", "-", IF(AC11="-", "-", IF(ABS(AC11)=0, "-", ROUND(100*(Z11-AC11)/ABS(AC11),10))))</f>
        <v>-</v>
      </c>
      <c r="AG11" s="190"/>
      <c r="AH11" s="191"/>
      <c r="AK11" s="707" t="s">
        <v>17</v>
      </c>
      <c r="AL11" s="149"/>
      <c r="AM11" s="149"/>
      <c r="AN11" s="149"/>
      <c r="AO11" s="149"/>
      <c r="AP11" s="149"/>
      <c r="AQ11" s="150"/>
      <c r="AR11" s="168"/>
      <c r="AS11" s="151"/>
      <c r="AT11" s="151"/>
      <c r="AU11" s="151"/>
      <c r="AV11" s="151"/>
      <c r="AW11" s="151"/>
      <c r="AX11" s="221" t="str">
        <f t="shared" si="0"/>
        <v>-</v>
      </c>
      <c r="AY11" s="222"/>
      <c r="AZ11" s="223"/>
    </row>
    <row r="12" spans="1:52" ht="13.5" customHeight="1">
      <c r="A12" s="709" t="s">
        <v>7</v>
      </c>
      <c r="B12" s="710"/>
      <c r="C12" s="710"/>
      <c r="D12" s="710"/>
      <c r="E12" s="710"/>
      <c r="F12" s="710"/>
      <c r="G12" s="711"/>
      <c r="H12" s="202"/>
      <c r="I12" s="201"/>
      <c r="J12" s="201"/>
      <c r="K12" s="201"/>
      <c r="L12" s="201"/>
      <c r="M12" s="201"/>
      <c r="N12" s="253" t="str">
        <f>IF(H12="-", "-", IF(K12="-", "-", IF(ABS(K12)=0, "-", ROUND(100*(H12-K12)/ABS(K12),10))))</f>
        <v>-</v>
      </c>
      <c r="O12" s="254"/>
      <c r="P12" s="255"/>
      <c r="S12" s="265" t="s">
        <v>23</v>
      </c>
      <c r="T12" s="162"/>
      <c r="U12" s="162"/>
      <c r="V12" s="162"/>
      <c r="W12" s="162"/>
      <c r="X12" s="162"/>
      <c r="Y12" s="163"/>
      <c r="Z12" s="142"/>
      <c r="AA12" s="143"/>
      <c r="AB12" s="143"/>
      <c r="AC12" s="151"/>
      <c r="AD12" s="151"/>
      <c r="AE12" s="151"/>
      <c r="AF12" s="95" t="str">
        <f>IF(Z12="-", "-", IF(AC12="-", "-", IF(ABS(AC12)=0, "-", ROUND(100*(Z12-AC12)/ABS(AC12),10))))</f>
        <v>-</v>
      </c>
      <c r="AG12" s="96"/>
      <c r="AH12" s="97"/>
      <c r="AK12" s="265" t="s">
        <v>245</v>
      </c>
      <c r="AL12" s="162"/>
      <c r="AM12" s="162"/>
      <c r="AN12" s="162"/>
      <c r="AO12" s="162"/>
      <c r="AP12" s="162"/>
      <c r="AQ12" s="163"/>
      <c r="AR12" s="168"/>
      <c r="AS12" s="151"/>
      <c r="AT12" s="151"/>
      <c r="AU12" s="151"/>
      <c r="AV12" s="151"/>
      <c r="AW12" s="151"/>
      <c r="AX12" s="221" t="str">
        <f t="shared" si="0"/>
        <v>-</v>
      </c>
      <c r="AY12" s="222"/>
      <c r="AZ12" s="223"/>
    </row>
    <row r="13" spans="1:52" ht="13.5" customHeight="1">
      <c r="S13" s="709" t="s">
        <v>7</v>
      </c>
      <c r="T13" s="710"/>
      <c r="U13" s="710"/>
      <c r="V13" s="710"/>
      <c r="W13" s="710"/>
      <c r="X13" s="710"/>
      <c r="Y13" s="711"/>
      <c r="Z13" s="202"/>
      <c r="AA13" s="201"/>
      <c r="AB13" s="201"/>
      <c r="AC13" s="201"/>
      <c r="AD13" s="201"/>
      <c r="AE13" s="201"/>
      <c r="AF13" s="253" t="str">
        <f>IF(Z13="-", "-", IF(AC13="-", "-", IF(ABS(AC13)=0, "-", ROUND(100*(Z13-AC13)/ABS(AC13),10))))</f>
        <v>-</v>
      </c>
      <c r="AG13" s="254"/>
      <c r="AH13" s="255"/>
      <c r="AK13" s="265" t="s">
        <v>19</v>
      </c>
      <c r="AL13" s="162"/>
      <c r="AM13" s="162"/>
      <c r="AN13" s="162"/>
      <c r="AO13" s="162"/>
      <c r="AP13" s="162"/>
      <c r="AQ13" s="163"/>
      <c r="AR13" s="168"/>
      <c r="AS13" s="151"/>
      <c r="AT13" s="151"/>
      <c r="AU13" s="151"/>
      <c r="AV13" s="151"/>
      <c r="AW13" s="151"/>
      <c r="AX13" s="221" t="str">
        <f t="shared" si="0"/>
        <v>-</v>
      </c>
      <c r="AY13" s="222"/>
      <c r="AZ13" s="223"/>
    </row>
    <row r="14" spans="1:52" ht="13.5" customHeight="1">
      <c r="A14" s="1" t="s">
        <v>246</v>
      </c>
      <c r="Y14" s="2" t="s">
        <v>3</v>
      </c>
      <c r="AK14" s="265" t="s">
        <v>20</v>
      </c>
      <c r="AL14" s="162"/>
      <c r="AM14" s="162"/>
      <c r="AN14" s="162"/>
      <c r="AO14" s="162"/>
      <c r="AP14" s="162"/>
      <c r="AQ14" s="163"/>
      <c r="AR14" s="168"/>
      <c r="AS14" s="151"/>
      <c r="AT14" s="151"/>
      <c r="AU14" s="151"/>
      <c r="AV14" s="151"/>
      <c r="AW14" s="151"/>
      <c r="AX14" s="221" t="str">
        <f t="shared" si="0"/>
        <v>-</v>
      </c>
      <c r="AY14" s="222"/>
      <c r="AZ14" s="223"/>
    </row>
    <row r="15" spans="1:52" ht="13.5" customHeight="1">
      <c r="A15" s="712" t="s">
        <v>41</v>
      </c>
      <c r="B15" s="712"/>
      <c r="C15" s="712"/>
      <c r="D15" s="712"/>
      <c r="E15" s="712"/>
      <c r="F15" s="712"/>
      <c r="G15" s="712"/>
      <c r="H15" s="133" t="s">
        <v>247</v>
      </c>
      <c r="I15" s="133"/>
      <c r="J15" s="133"/>
      <c r="K15" s="133"/>
      <c r="L15" s="133"/>
      <c r="M15" s="133"/>
      <c r="N15" s="133"/>
      <c r="O15" s="133"/>
      <c r="P15" s="134"/>
      <c r="Q15" s="135" t="s">
        <v>68</v>
      </c>
      <c r="R15" s="133"/>
      <c r="S15" s="133"/>
      <c r="T15" s="133"/>
      <c r="U15" s="133"/>
      <c r="V15" s="133"/>
      <c r="W15" s="133"/>
      <c r="X15" s="133"/>
      <c r="Y15" s="134"/>
      <c r="AK15" s="256" t="s">
        <v>21</v>
      </c>
      <c r="AL15" s="182"/>
      <c r="AM15" s="182"/>
      <c r="AN15" s="182"/>
      <c r="AO15" s="182"/>
      <c r="AP15" s="182"/>
      <c r="AQ15" s="183"/>
      <c r="AR15" s="269"/>
      <c r="AS15" s="270"/>
      <c r="AT15" s="270"/>
      <c r="AU15" s="108"/>
      <c r="AV15" s="108"/>
      <c r="AW15" s="108"/>
      <c r="AX15" s="95" t="str">
        <f t="shared" si="0"/>
        <v>-</v>
      </c>
      <c r="AY15" s="96"/>
      <c r="AZ15" s="97"/>
    </row>
    <row r="16" spans="1:52" ht="13.5" customHeight="1">
      <c r="A16" s="712"/>
      <c r="B16" s="712"/>
      <c r="C16" s="712"/>
      <c r="D16" s="712"/>
      <c r="E16" s="712"/>
      <c r="F16" s="712"/>
      <c r="G16" s="712"/>
      <c r="H16" s="125" t="s">
        <v>267</v>
      </c>
      <c r="I16" s="123"/>
      <c r="J16" s="126"/>
      <c r="K16" s="122" t="s">
        <v>269</v>
      </c>
      <c r="L16" s="123"/>
      <c r="M16" s="126"/>
      <c r="N16" s="385" t="s">
        <v>8</v>
      </c>
      <c r="O16" s="386"/>
      <c r="P16" s="387"/>
      <c r="Q16" s="125" t="s">
        <v>267</v>
      </c>
      <c r="R16" s="123"/>
      <c r="S16" s="126"/>
      <c r="T16" s="122" t="s">
        <v>269</v>
      </c>
      <c r="U16" s="123"/>
      <c r="V16" s="126"/>
      <c r="W16" s="385" t="s">
        <v>8</v>
      </c>
      <c r="X16" s="386"/>
      <c r="Y16" s="387"/>
      <c r="AK16" s="709" t="s">
        <v>7</v>
      </c>
      <c r="AL16" s="710"/>
      <c r="AM16" s="710"/>
      <c r="AN16" s="710"/>
      <c r="AO16" s="710"/>
      <c r="AP16" s="710"/>
      <c r="AQ16" s="711"/>
      <c r="AR16" s="202"/>
      <c r="AS16" s="201"/>
      <c r="AT16" s="201"/>
      <c r="AU16" s="201"/>
      <c r="AV16" s="201"/>
      <c r="AW16" s="201"/>
      <c r="AX16" s="253" t="str">
        <f t="shared" si="0"/>
        <v>-</v>
      </c>
      <c r="AY16" s="254"/>
      <c r="AZ16" s="255"/>
    </row>
    <row r="17" spans="1:60" ht="13.5" customHeight="1">
      <c r="A17" s="211" t="s">
        <v>248</v>
      </c>
      <c r="B17" s="212"/>
      <c r="C17" s="212"/>
      <c r="D17" s="212"/>
      <c r="E17" s="212"/>
      <c r="F17" s="212"/>
      <c r="G17" s="213"/>
      <c r="H17" s="202"/>
      <c r="I17" s="201"/>
      <c r="J17" s="201"/>
      <c r="K17" s="270"/>
      <c r="L17" s="270"/>
      <c r="M17" s="270"/>
      <c r="N17" s="253" t="str">
        <f>IF(H17="-", "-", IF(K17="-", "-", IF(ABS(K17)=0, "-", ROUND(100*(H17-K17)/ABS(K17),10))))</f>
        <v>-</v>
      </c>
      <c r="O17" s="254"/>
      <c r="P17" s="255"/>
      <c r="Q17" s="202"/>
      <c r="R17" s="201"/>
      <c r="S17" s="201"/>
      <c r="T17" s="270"/>
      <c r="U17" s="270"/>
      <c r="V17" s="270"/>
      <c r="W17" s="253" t="str">
        <f>IF(Q17="-", "-", IF(T17="-", "-", IF(ABS(T17)=0, "-", ROUND(100*(Q17-T17)/ABS(T17),10))))</f>
        <v>-</v>
      </c>
      <c r="X17" s="254"/>
      <c r="Y17" s="255"/>
      <c r="AK17" s="31"/>
      <c r="AL17" s="31"/>
      <c r="AM17" s="31"/>
      <c r="AN17" s="31"/>
      <c r="AO17" s="31"/>
      <c r="AP17" s="31"/>
      <c r="AQ17" s="31"/>
      <c r="AR17" s="33"/>
      <c r="AS17" s="34"/>
      <c r="AT17" s="34"/>
      <c r="AU17" s="33"/>
      <c r="AV17" s="34"/>
      <c r="AW17" s="34"/>
      <c r="AX17" s="35"/>
      <c r="AY17" s="35"/>
      <c r="AZ17" s="35"/>
    </row>
    <row r="18" spans="1:60" ht="13.5" customHeight="1">
      <c r="AK18" s="1" t="s">
        <v>400</v>
      </c>
      <c r="AL18" s="8"/>
      <c r="AM18" s="8"/>
      <c r="AN18" s="8"/>
      <c r="AO18" s="8"/>
      <c r="AP18" s="8"/>
      <c r="AQ18" s="8"/>
      <c r="AR18" s="70"/>
      <c r="AS18" s="70"/>
      <c r="AT18" s="70"/>
      <c r="AU18" s="70"/>
      <c r="AV18" s="70"/>
      <c r="AW18" s="70"/>
      <c r="AX18" s="71"/>
      <c r="AY18" s="71"/>
      <c r="AZ18" s="7" t="s">
        <v>399</v>
      </c>
    </row>
    <row r="19" spans="1:60" ht="13.5" customHeight="1">
      <c r="A19" s="1" t="s">
        <v>270</v>
      </c>
      <c r="AH19" s="2" t="s">
        <v>249</v>
      </c>
      <c r="AK19" s="234"/>
      <c r="AL19" s="235"/>
      <c r="AM19" s="235"/>
      <c r="AN19" s="235"/>
      <c r="AO19" s="235"/>
      <c r="AP19" s="235"/>
      <c r="AQ19" s="236"/>
      <c r="AR19" s="231" t="s">
        <v>398</v>
      </c>
      <c r="AS19" s="232"/>
      <c r="AT19" s="232"/>
      <c r="AU19" s="229" t="s">
        <v>268</v>
      </c>
      <c r="AV19" s="230"/>
      <c r="AW19" s="231"/>
      <c r="AX19" s="701" t="s">
        <v>8</v>
      </c>
      <c r="AY19" s="702"/>
      <c r="AZ19" s="703"/>
      <c r="BA19" s="9"/>
      <c r="BB19" s="9"/>
      <c r="BC19" s="9"/>
      <c r="BE19" s="34"/>
      <c r="BF19" s="35"/>
      <c r="BG19" s="35"/>
      <c r="BH19" s="35"/>
    </row>
    <row r="20" spans="1:60" s="9" customFormat="1" ht="13.5" customHeight="1">
      <c r="A20" s="127"/>
      <c r="B20" s="128"/>
      <c r="C20" s="128"/>
      <c r="D20" s="128"/>
      <c r="E20" s="128"/>
      <c r="F20" s="128"/>
      <c r="G20" s="129"/>
      <c r="H20" s="262" t="s">
        <v>251</v>
      </c>
      <c r="I20" s="262"/>
      <c r="J20" s="262"/>
      <c r="K20" s="262"/>
      <c r="L20" s="262"/>
      <c r="M20" s="262"/>
      <c r="N20" s="262"/>
      <c r="O20" s="262"/>
      <c r="P20" s="263"/>
      <c r="Q20" s="713" t="s">
        <v>252</v>
      </c>
      <c r="R20" s="714"/>
      <c r="S20" s="714"/>
      <c r="T20" s="714"/>
      <c r="U20" s="714"/>
      <c r="V20" s="714"/>
      <c r="W20" s="714"/>
      <c r="X20" s="714"/>
      <c r="Y20" s="715"/>
      <c r="Z20" s="713" t="s">
        <v>253</v>
      </c>
      <c r="AA20" s="714"/>
      <c r="AB20" s="714"/>
      <c r="AC20" s="714"/>
      <c r="AD20" s="714"/>
      <c r="AE20" s="714"/>
      <c r="AF20" s="714"/>
      <c r="AG20" s="714"/>
      <c r="AH20" s="715"/>
      <c r="AI20" s="10"/>
      <c r="AJ20" s="10"/>
      <c r="AK20" s="682" t="s">
        <v>397</v>
      </c>
      <c r="AL20" s="685" t="s">
        <v>159</v>
      </c>
      <c r="AM20" s="686"/>
      <c r="AN20" s="691" t="s">
        <v>395</v>
      </c>
      <c r="AO20" s="692"/>
      <c r="AP20" s="692"/>
      <c r="AQ20" s="693"/>
      <c r="AR20" s="694"/>
      <c r="AS20" s="695"/>
      <c r="AT20" s="696"/>
      <c r="AU20" s="697"/>
      <c r="AV20" s="695"/>
      <c r="AW20" s="696"/>
      <c r="AX20" s="221" t="str">
        <f t="shared" ref="AX20:AX36" si="1">IF(AR20="-", "-", IF(AU20="-", "-", IF(ABS(AU20)=0, "-", ROUND(100*(AR20-AU20)/ABS(AU20),10))))</f>
        <v>-</v>
      </c>
      <c r="AY20" s="222"/>
      <c r="AZ20" s="223"/>
    </row>
    <row r="21" spans="1:60" s="9" customFormat="1" ht="13.5" customHeight="1">
      <c r="A21" s="130"/>
      <c r="B21" s="131"/>
      <c r="C21" s="131"/>
      <c r="D21" s="131"/>
      <c r="E21" s="131"/>
      <c r="F21" s="131"/>
      <c r="G21" s="132"/>
      <c r="H21" s="125" t="s">
        <v>267</v>
      </c>
      <c r="I21" s="123"/>
      <c r="J21" s="126"/>
      <c r="K21" s="122" t="s">
        <v>269</v>
      </c>
      <c r="L21" s="123"/>
      <c r="M21" s="126"/>
      <c r="N21" s="385" t="s">
        <v>8</v>
      </c>
      <c r="O21" s="386"/>
      <c r="P21" s="387"/>
      <c r="Q21" s="125" t="s">
        <v>267</v>
      </c>
      <c r="R21" s="123"/>
      <c r="S21" s="126"/>
      <c r="T21" s="122" t="s">
        <v>269</v>
      </c>
      <c r="U21" s="123"/>
      <c r="V21" s="126"/>
      <c r="W21" s="385" t="s">
        <v>8</v>
      </c>
      <c r="X21" s="386"/>
      <c r="Y21" s="387"/>
      <c r="Z21" s="125" t="s">
        <v>267</v>
      </c>
      <c r="AA21" s="123"/>
      <c r="AB21" s="126"/>
      <c r="AC21" s="122" t="s">
        <v>269</v>
      </c>
      <c r="AD21" s="123"/>
      <c r="AE21" s="126"/>
      <c r="AF21" s="385" t="s">
        <v>8</v>
      </c>
      <c r="AG21" s="386"/>
      <c r="AH21" s="387"/>
      <c r="AK21" s="683"/>
      <c r="AL21" s="687"/>
      <c r="AM21" s="688"/>
      <c r="AN21" s="678" t="s">
        <v>394</v>
      </c>
      <c r="AO21" s="679"/>
      <c r="AP21" s="679"/>
      <c r="AQ21" s="680"/>
      <c r="AR21" s="681"/>
      <c r="AS21" s="672"/>
      <c r="AT21" s="673"/>
      <c r="AU21" s="671"/>
      <c r="AV21" s="672"/>
      <c r="AW21" s="673"/>
      <c r="AX21" s="221" t="str">
        <f t="shared" si="1"/>
        <v>-</v>
      </c>
      <c r="AY21" s="222"/>
      <c r="AZ21" s="223"/>
    </row>
    <row r="22" spans="1:60" s="9" customFormat="1" ht="13.5" customHeight="1">
      <c r="A22" s="247" t="s">
        <v>255</v>
      </c>
      <c r="B22" s="708" t="s">
        <v>256</v>
      </c>
      <c r="C22" s="348"/>
      <c r="D22" s="348"/>
      <c r="E22" s="348"/>
      <c r="F22" s="348"/>
      <c r="G22" s="349"/>
      <c r="H22" s="299"/>
      <c r="I22" s="300"/>
      <c r="J22" s="300"/>
      <c r="K22" s="240"/>
      <c r="L22" s="240"/>
      <c r="M22" s="240"/>
      <c r="N22" s="224" t="str">
        <f t="shared" ref="N22:N27" si="2">IF(H22="-", "-", IF(K22="-", "-", IF(ABS(K22)=0, "-", ROUND(100*(H22-K22)/ABS(K22),10))))</f>
        <v>-</v>
      </c>
      <c r="O22" s="225"/>
      <c r="P22" s="226"/>
      <c r="Q22" s="299"/>
      <c r="R22" s="300"/>
      <c r="S22" s="300"/>
      <c r="T22" s="240"/>
      <c r="U22" s="240"/>
      <c r="V22" s="240"/>
      <c r="W22" s="224" t="str">
        <f t="shared" ref="W22:W27" si="3">IF(Q22="-", "-", IF(T22="-", "-", IF(ABS(T22)=0, "-", ROUND(100*(Q22-T22)/ABS(T22),10))))</f>
        <v>-</v>
      </c>
      <c r="X22" s="225"/>
      <c r="Y22" s="226"/>
      <c r="Z22" s="299"/>
      <c r="AA22" s="300"/>
      <c r="AB22" s="300"/>
      <c r="AC22" s="240"/>
      <c r="AD22" s="240"/>
      <c r="AE22" s="240"/>
      <c r="AF22" s="224" t="str">
        <f t="shared" ref="AF22:AF27" si="4">IF(Z22="-", "-", IF(AC22="-", "-", IF(ABS(AC22)=0, "-", ROUND(100*(Z22-AC22)/ABS(AC22),10))))</f>
        <v>-</v>
      </c>
      <c r="AG22" s="225"/>
      <c r="AH22" s="226"/>
      <c r="AK22" s="683"/>
      <c r="AL22" s="687"/>
      <c r="AM22" s="688"/>
      <c r="AN22" s="678" t="s">
        <v>393</v>
      </c>
      <c r="AO22" s="679"/>
      <c r="AP22" s="679"/>
      <c r="AQ22" s="680"/>
      <c r="AR22" s="681"/>
      <c r="AS22" s="672"/>
      <c r="AT22" s="673"/>
      <c r="AU22" s="671"/>
      <c r="AV22" s="672"/>
      <c r="AW22" s="673"/>
      <c r="AX22" s="221" t="str">
        <f t="shared" si="1"/>
        <v>-</v>
      </c>
      <c r="AY22" s="222"/>
      <c r="AZ22" s="223"/>
      <c r="BA22" s="3"/>
      <c r="BB22" s="3"/>
      <c r="BC22" s="3"/>
    </row>
    <row r="23" spans="1:60" ht="13.5" customHeight="1">
      <c r="A23" s="248"/>
      <c r="B23" s="161" t="s">
        <v>258</v>
      </c>
      <c r="C23" s="162"/>
      <c r="D23" s="162"/>
      <c r="E23" s="162"/>
      <c r="F23" s="162"/>
      <c r="G23" s="163"/>
      <c r="H23" s="168"/>
      <c r="I23" s="151"/>
      <c r="J23" s="151"/>
      <c r="K23" s="151"/>
      <c r="L23" s="151"/>
      <c r="M23" s="151"/>
      <c r="N23" s="221" t="str">
        <f t="shared" si="2"/>
        <v>-</v>
      </c>
      <c r="O23" s="222"/>
      <c r="P23" s="223"/>
      <c r="Q23" s="168"/>
      <c r="R23" s="151"/>
      <c r="S23" s="151"/>
      <c r="T23" s="151"/>
      <c r="U23" s="151"/>
      <c r="V23" s="151"/>
      <c r="W23" s="221" t="str">
        <f t="shared" si="3"/>
        <v>-</v>
      </c>
      <c r="X23" s="222"/>
      <c r="Y23" s="223"/>
      <c r="Z23" s="168"/>
      <c r="AA23" s="151"/>
      <c r="AB23" s="151"/>
      <c r="AC23" s="151"/>
      <c r="AD23" s="151"/>
      <c r="AE23" s="151"/>
      <c r="AF23" s="221" t="str">
        <f t="shared" si="4"/>
        <v>-</v>
      </c>
      <c r="AG23" s="222"/>
      <c r="AH23" s="223"/>
      <c r="AK23" s="683"/>
      <c r="AL23" s="687"/>
      <c r="AM23" s="688"/>
      <c r="AN23" s="698" t="s">
        <v>173</v>
      </c>
      <c r="AO23" s="699"/>
      <c r="AP23" s="699"/>
      <c r="AQ23" s="700"/>
      <c r="AR23" s="681"/>
      <c r="AS23" s="672"/>
      <c r="AT23" s="673"/>
      <c r="AU23" s="671"/>
      <c r="AV23" s="672"/>
      <c r="AW23" s="673"/>
      <c r="AX23" s="221" t="str">
        <f t="shared" si="1"/>
        <v>-</v>
      </c>
      <c r="AY23" s="222"/>
      <c r="AZ23" s="223"/>
    </row>
    <row r="24" spans="1:60" ht="13.5" customHeight="1">
      <c r="A24" s="248"/>
      <c r="B24" s="152" t="s">
        <v>259</v>
      </c>
      <c r="C24" s="153"/>
      <c r="D24" s="153"/>
      <c r="E24" s="153"/>
      <c r="F24" s="153"/>
      <c r="G24" s="154"/>
      <c r="H24" s="187"/>
      <c r="I24" s="188"/>
      <c r="J24" s="188"/>
      <c r="K24" s="188"/>
      <c r="L24" s="188"/>
      <c r="M24" s="188"/>
      <c r="N24" s="189" t="str">
        <f t="shared" si="2"/>
        <v>-</v>
      </c>
      <c r="O24" s="190"/>
      <c r="P24" s="191"/>
      <c r="Q24" s="187"/>
      <c r="R24" s="188"/>
      <c r="S24" s="188"/>
      <c r="T24" s="188"/>
      <c r="U24" s="188"/>
      <c r="V24" s="188"/>
      <c r="W24" s="189" t="str">
        <f t="shared" si="3"/>
        <v>-</v>
      </c>
      <c r="X24" s="190"/>
      <c r="Y24" s="191"/>
      <c r="Z24" s="187"/>
      <c r="AA24" s="188"/>
      <c r="AB24" s="188"/>
      <c r="AC24" s="188"/>
      <c r="AD24" s="188"/>
      <c r="AE24" s="188"/>
      <c r="AF24" s="189" t="str">
        <f t="shared" si="4"/>
        <v>-</v>
      </c>
      <c r="AG24" s="190"/>
      <c r="AH24" s="191"/>
      <c r="AK24" s="683"/>
      <c r="AL24" s="689"/>
      <c r="AM24" s="690"/>
      <c r="AN24" s="678" t="s">
        <v>118</v>
      </c>
      <c r="AO24" s="679"/>
      <c r="AP24" s="679"/>
      <c r="AQ24" s="680"/>
      <c r="AR24" s="681"/>
      <c r="AS24" s="672"/>
      <c r="AT24" s="673"/>
      <c r="AU24" s="671"/>
      <c r="AV24" s="672"/>
      <c r="AW24" s="673"/>
      <c r="AX24" s="221" t="str">
        <f t="shared" si="1"/>
        <v>-</v>
      </c>
      <c r="AY24" s="222"/>
      <c r="AZ24" s="223"/>
    </row>
    <row r="25" spans="1:60" ht="13.5" customHeight="1">
      <c r="A25" s="247" t="s">
        <v>260</v>
      </c>
      <c r="B25" s="250" t="s">
        <v>256</v>
      </c>
      <c r="C25" s="251"/>
      <c r="D25" s="251"/>
      <c r="E25" s="251"/>
      <c r="F25" s="251"/>
      <c r="G25" s="252"/>
      <c r="H25" s="238"/>
      <c r="I25" s="239"/>
      <c r="J25" s="239"/>
      <c r="K25" s="239"/>
      <c r="L25" s="239"/>
      <c r="M25" s="239"/>
      <c r="N25" s="241" t="str">
        <f t="shared" si="2"/>
        <v>-</v>
      </c>
      <c r="O25" s="242"/>
      <c r="P25" s="243"/>
      <c r="Q25" s="238"/>
      <c r="R25" s="239"/>
      <c r="S25" s="239"/>
      <c r="T25" s="239"/>
      <c r="U25" s="239"/>
      <c r="V25" s="239"/>
      <c r="W25" s="241" t="str">
        <f t="shared" si="3"/>
        <v>-</v>
      </c>
      <c r="X25" s="242"/>
      <c r="Y25" s="243"/>
      <c r="Z25" s="238"/>
      <c r="AA25" s="239"/>
      <c r="AB25" s="239"/>
      <c r="AC25" s="239"/>
      <c r="AD25" s="239"/>
      <c r="AE25" s="239"/>
      <c r="AF25" s="241" t="str">
        <f t="shared" si="4"/>
        <v>-</v>
      </c>
      <c r="AG25" s="242"/>
      <c r="AH25" s="243"/>
      <c r="AK25" s="683"/>
      <c r="AL25" s="674" t="s">
        <v>392</v>
      </c>
      <c r="AM25" s="675"/>
      <c r="AN25" s="678" t="s">
        <v>175</v>
      </c>
      <c r="AO25" s="679"/>
      <c r="AP25" s="679"/>
      <c r="AQ25" s="680"/>
      <c r="AR25" s="681"/>
      <c r="AS25" s="672"/>
      <c r="AT25" s="673"/>
      <c r="AU25" s="671"/>
      <c r="AV25" s="672"/>
      <c r="AW25" s="673"/>
      <c r="AX25" s="221" t="str">
        <f t="shared" si="1"/>
        <v>-</v>
      </c>
      <c r="AY25" s="222"/>
      <c r="AZ25" s="223"/>
    </row>
    <row r="26" spans="1:60" ht="13.5" customHeight="1">
      <c r="A26" s="248"/>
      <c r="B26" s="708" t="s">
        <v>258</v>
      </c>
      <c r="C26" s="348"/>
      <c r="D26" s="348"/>
      <c r="E26" s="348"/>
      <c r="F26" s="348"/>
      <c r="G26" s="349"/>
      <c r="H26" s="192"/>
      <c r="I26" s="193"/>
      <c r="J26" s="193"/>
      <c r="K26" s="143"/>
      <c r="L26" s="143"/>
      <c r="M26" s="143"/>
      <c r="N26" s="139" t="str">
        <f t="shared" si="2"/>
        <v>-</v>
      </c>
      <c r="O26" s="140"/>
      <c r="P26" s="141"/>
      <c r="Q26" s="192"/>
      <c r="R26" s="193"/>
      <c r="S26" s="193"/>
      <c r="T26" s="143"/>
      <c r="U26" s="143"/>
      <c r="V26" s="143"/>
      <c r="W26" s="139" t="str">
        <f t="shared" si="3"/>
        <v>-</v>
      </c>
      <c r="X26" s="140"/>
      <c r="Y26" s="141"/>
      <c r="Z26" s="192"/>
      <c r="AA26" s="193"/>
      <c r="AB26" s="193"/>
      <c r="AC26" s="143"/>
      <c r="AD26" s="143"/>
      <c r="AE26" s="143"/>
      <c r="AF26" s="139" t="str">
        <f t="shared" si="4"/>
        <v>-</v>
      </c>
      <c r="AG26" s="140"/>
      <c r="AH26" s="141"/>
      <c r="AK26" s="683"/>
      <c r="AL26" s="676"/>
      <c r="AM26" s="677"/>
      <c r="AN26" s="678" t="s">
        <v>118</v>
      </c>
      <c r="AO26" s="679"/>
      <c r="AP26" s="679"/>
      <c r="AQ26" s="680"/>
      <c r="AR26" s="681"/>
      <c r="AS26" s="672"/>
      <c r="AT26" s="673"/>
      <c r="AU26" s="671"/>
      <c r="AV26" s="672"/>
      <c r="AW26" s="673"/>
      <c r="AX26" s="221" t="str">
        <f t="shared" si="1"/>
        <v>-</v>
      </c>
      <c r="AY26" s="222"/>
      <c r="AZ26" s="223"/>
    </row>
    <row r="27" spans="1:60" ht="13.5" customHeight="1">
      <c r="A27" s="249"/>
      <c r="B27" s="181" t="s">
        <v>259</v>
      </c>
      <c r="C27" s="182"/>
      <c r="D27" s="182"/>
      <c r="E27" s="182"/>
      <c r="F27" s="182"/>
      <c r="G27" s="183"/>
      <c r="H27" s="107"/>
      <c r="I27" s="108"/>
      <c r="J27" s="108"/>
      <c r="K27" s="108"/>
      <c r="L27" s="108"/>
      <c r="M27" s="108"/>
      <c r="N27" s="95" t="str">
        <f t="shared" si="2"/>
        <v>-</v>
      </c>
      <c r="O27" s="96"/>
      <c r="P27" s="97"/>
      <c r="Q27" s="107"/>
      <c r="R27" s="108"/>
      <c r="S27" s="108"/>
      <c r="T27" s="108"/>
      <c r="U27" s="108"/>
      <c r="V27" s="108"/>
      <c r="W27" s="95" t="str">
        <f t="shared" si="3"/>
        <v>-</v>
      </c>
      <c r="X27" s="96"/>
      <c r="Y27" s="97"/>
      <c r="Z27" s="107"/>
      <c r="AA27" s="108"/>
      <c r="AB27" s="108"/>
      <c r="AC27" s="108"/>
      <c r="AD27" s="108"/>
      <c r="AE27" s="108"/>
      <c r="AF27" s="95" t="str">
        <f t="shared" si="4"/>
        <v>-</v>
      </c>
      <c r="AG27" s="96"/>
      <c r="AH27" s="97"/>
      <c r="AK27" s="684"/>
      <c r="AL27" s="658" t="s">
        <v>118</v>
      </c>
      <c r="AM27" s="659"/>
      <c r="AN27" s="659"/>
      <c r="AO27" s="659"/>
      <c r="AP27" s="659"/>
      <c r="AQ27" s="660"/>
      <c r="AR27" s="661"/>
      <c r="AS27" s="662"/>
      <c r="AT27" s="663"/>
      <c r="AU27" s="664"/>
      <c r="AV27" s="662"/>
      <c r="AW27" s="663"/>
      <c r="AX27" s="95" t="str">
        <f t="shared" si="1"/>
        <v>-</v>
      </c>
      <c r="AY27" s="96"/>
      <c r="AZ27" s="97"/>
    </row>
    <row r="28" spans="1:60" ht="13.5" customHeight="1">
      <c r="A28" s="127"/>
      <c r="B28" s="128"/>
      <c r="C28" s="128"/>
      <c r="D28" s="128"/>
      <c r="E28" s="128"/>
      <c r="F28" s="128"/>
      <c r="G28" s="129"/>
      <c r="H28" s="714" t="s">
        <v>261</v>
      </c>
      <c r="I28" s="714"/>
      <c r="J28" s="714"/>
      <c r="K28" s="714"/>
      <c r="L28" s="714"/>
      <c r="M28" s="714"/>
      <c r="N28" s="714"/>
      <c r="O28" s="714"/>
      <c r="P28" s="715"/>
      <c r="Q28" s="264" t="s">
        <v>262</v>
      </c>
      <c r="R28" s="262"/>
      <c r="S28" s="262"/>
      <c r="T28" s="262"/>
      <c r="U28" s="262"/>
      <c r="V28" s="262"/>
      <c r="W28" s="262"/>
      <c r="X28" s="262"/>
      <c r="Y28" s="263"/>
      <c r="Z28" s="264" t="s">
        <v>7</v>
      </c>
      <c r="AA28" s="262"/>
      <c r="AB28" s="262"/>
      <c r="AC28" s="262"/>
      <c r="AD28" s="262"/>
      <c r="AE28" s="262"/>
      <c r="AF28" s="262"/>
      <c r="AG28" s="262"/>
      <c r="AH28" s="263"/>
      <c r="AK28" s="682" t="s">
        <v>396</v>
      </c>
      <c r="AL28" s="685" t="s">
        <v>159</v>
      </c>
      <c r="AM28" s="686"/>
      <c r="AN28" s="691" t="s">
        <v>395</v>
      </c>
      <c r="AO28" s="692"/>
      <c r="AP28" s="692"/>
      <c r="AQ28" s="693"/>
      <c r="AR28" s="694"/>
      <c r="AS28" s="695"/>
      <c r="AT28" s="696"/>
      <c r="AU28" s="697"/>
      <c r="AV28" s="695"/>
      <c r="AW28" s="696"/>
      <c r="AX28" s="241" t="str">
        <f t="shared" si="1"/>
        <v>-</v>
      </c>
      <c r="AY28" s="242"/>
      <c r="AZ28" s="243"/>
    </row>
    <row r="29" spans="1:60" ht="13.5" customHeight="1">
      <c r="A29" s="130"/>
      <c r="B29" s="131"/>
      <c r="C29" s="131"/>
      <c r="D29" s="131"/>
      <c r="E29" s="131"/>
      <c r="F29" s="131"/>
      <c r="G29" s="132"/>
      <c r="H29" s="125" t="s">
        <v>267</v>
      </c>
      <c r="I29" s="123"/>
      <c r="J29" s="126"/>
      <c r="K29" s="122" t="s">
        <v>269</v>
      </c>
      <c r="L29" s="123"/>
      <c r="M29" s="126"/>
      <c r="N29" s="385" t="s">
        <v>8</v>
      </c>
      <c r="O29" s="386"/>
      <c r="P29" s="387"/>
      <c r="Q29" s="125" t="s">
        <v>267</v>
      </c>
      <c r="R29" s="123"/>
      <c r="S29" s="126"/>
      <c r="T29" s="122" t="s">
        <v>269</v>
      </c>
      <c r="U29" s="123"/>
      <c r="V29" s="126"/>
      <c r="W29" s="385" t="s">
        <v>8</v>
      </c>
      <c r="X29" s="386"/>
      <c r="Y29" s="387"/>
      <c r="Z29" s="125" t="s">
        <v>267</v>
      </c>
      <c r="AA29" s="123"/>
      <c r="AB29" s="126"/>
      <c r="AC29" s="122" t="s">
        <v>269</v>
      </c>
      <c r="AD29" s="123"/>
      <c r="AE29" s="126"/>
      <c r="AF29" s="385" t="s">
        <v>8</v>
      </c>
      <c r="AG29" s="386"/>
      <c r="AH29" s="387"/>
      <c r="AK29" s="683"/>
      <c r="AL29" s="687"/>
      <c r="AM29" s="688"/>
      <c r="AN29" s="678" t="s">
        <v>394</v>
      </c>
      <c r="AO29" s="679"/>
      <c r="AP29" s="679"/>
      <c r="AQ29" s="680"/>
      <c r="AR29" s="681"/>
      <c r="AS29" s="672"/>
      <c r="AT29" s="673"/>
      <c r="AU29" s="671"/>
      <c r="AV29" s="672"/>
      <c r="AW29" s="673"/>
      <c r="AX29" s="221" t="str">
        <f t="shared" si="1"/>
        <v>-</v>
      </c>
      <c r="AY29" s="222"/>
      <c r="AZ29" s="223"/>
    </row>
    <row r="30" spans="1:60" ht="13.5" customHeight="1">
      <c r="A30" s="247" t="s">
        <v>255</v>
      </c>
      <c r="B30" s="708" t="s">
        <v>256</v>
      </c>
      <c r="C30" s="348"/>
      <c r="D30" s="348"/>
      <c r="E30" s="348"/>
      <c r="F30" s="348"/>
      <c r="G30" s="349"/>
      <c r="H30" s="299"/>
      <c r="I30" s="300"/>
      <c r="J30" s="300"/>
      <c r="K30" s="240"/>
      <c r="L30" s="240"/>
      <c r="M30" s="240"/>
      <c r="N30" s="224" t="str">
        <f t="shared" ref="N30:N35" si="5">IF(H30="-", "-", IF(K30="-", "-", IF(ABS(K30)=0, "-", ROUND(100*(H30-K30)/ABS(K30),10))))</f>
        <v>-</v>
      </c>
      <c r="O30" s="225"/>
      <c r="P30" s="226"/>
      <c r="Q30" s="299"/>
      <c r="R30" s="300"/>
      <c r="S30" s="300"/>
      <c r="T30" s="240"/>
      <c r="U30" s="240"/>
      <c r="V30" s="240"/>
      <c r="W30" s="224" t="str">
        <f t="shared" ref="W30:W35" si="6">IF(Q30="-", "-", IF(T30="-", "-", IF(ABS(T30)=0, "-", ROUND(100*(Q30-T30)/ABS(T30),10))))</f>
        <v>-</v>
      </c>
      <c r="X30" s="225"/>
      <c r="Y30" s="226"/>
      <c r="Z30" s="299"/>
      <c r="AA30" s="300"/>
      <c r="AB30" s="300"/>
      <c r="AC30" s="240"/>
      <c r="AD30" s="240"/>
      <c r="AE30" s="240"/>
      <c r="AF30" s="224" t="str">
        <f t="shared" ref="AF30:AF35" si="7">IF(Z30="-", "-", IF(AC30="-", "-", IF(ABS(AC30)=0, "-", ROUND(100*(Z30-AC30)/ABS(AC30),10))))</f>
        <v>-</v>
      </c>
      <c r="AG30" s="225"/>
      <c r="AH30" s="226"/>
      <c r="AK30" s="683"/>
      <c r="AL30" s="687"/>
      <c r="AM30" s="688"/>
      <c r="AN30" s="678" t="s">
        <v>393</v>
      </c>
      <c r="AO30" s="679"/>
      <c r="AP30" s="679"/>
      <c r="AQ30" s="680"/>
      <c r="AR30" s="681"/>
      <c r="AS30" s="672"/>
      <c r="AT30" s="673"/>
      <c r="AU30" s="671"/>
      <c r="AV30" s="672"/>
      <c r="AW30" s="673"/>
      <c r="AX30" s="221" t="str">
        <f t="shared" si="1"/>
        <v>-</v>
      </c>
      <c r="AY30" s="222"/>
      <c r="AZ30" s="223"/>
      <c r="BA30" s="9"/>
      <c r="BB30" s="9"/>
      <c r="BC30" s="9"/>
    </row>
    <row r="31" spans="1:60" s="9" customFormat="1" ht="13.5" customHeight="1">
      <c r="A31" s="248"/>
      <c r="B31" s="161" t="s">
        <v>258</v>
      </c>
      <c r="C31" s="162"/>
      <c r="D31" s="162"/>
      <c r="E31" s="162"/>
      <c r="F31" s="162"/>
      <c r="G31" s="163"/>
      <c r="H31" s="168"/>
      <c r="I31" s="151"/>
      <c r="J31" s="151"/>
      <c r="K31" s="151"/>
      <c r="L31" s="151"/>
      <c r="M31" s="151"/>
      <c r="N31" s="221" t="str">
        <f t="shared" si="5"/>
        <v>-</v>
      </c>
      <c r="O31" s="222"/>
      <c r="P31" s="223"/>
      <c r="Q31" s="168"/>
      <c r="R31" s="151"/>
      <c r="S31" s="151"/>
      <c r="T31" s="151"/>
      <c r="U31" s="151"/>
      <c r="V31" s="151"/>
      <c r="W31" s="221" t="str">
        <f t="shared" si="6"/>
        <v>-</v>
      </c>
      <c r="X31" s="222"/>
      <c r="Y31" s="223"/>
      <c r="Z31" s="168"/>
      <c r="AA31" s="151"/>
      <c r="AB31" s="151"/>
      <c r="AC31" s="151"/>
      <c r="AD31" s="151"/>
      <c r="AE31" s="151"/>
      <c r="AF31" s="221" t="str">
        <f t="shared" si="7"/>
        <v>-</v>
      </c>
      <c r="AG31" s="222"/>
      <c r="AH31" s="223"/>
      <c r="AK31" s="683"/>
      <c r="AL31" s="687"/>
      <c r="AM31" s="688"/>
      <c r="AN31" s="698" t="s">
        <v>173</v>
      </c>
      <c r="AO31" s="699"/>
      <c r="AP31" s="699"/>
      <c r="AQ31" s="700"/>
      <c r="AR31" s="681"/>
      <c r="AS31" s="672"/>
      <c r="AT31" s="673"/>
      <c r="AU31" s="671"/>
      <c r="AV31" s="672"/>
      <c r="AW31" s="673"/>
      <c r="AX31" s="221" t="str">
        <f t="shared" si="1"/>
        <v>-</v>
      </c>
      <c r="AY31" s="222"/>
      <c r="AZ31" s="223"/>
    </row>
    <row r="32" spans="1:60" s="9" customFormat="1" ht="13.5" customHeight="1">
      <c r="A32" s="248"/>
      <c r="B32" s="152" t="s">
        <v>259</v>
      </c>
      <c r="C32" s="153"/>
      <c r="D32" s="153"/>
      <c r="E32" s="153"/>
      <c r="F32" s="153"/>
      <c r="G32" s="154"/>
      <c r="H32" s="192"/>
      <c r="I32" s="193"/>
      <c r="J32" s="193"/>
      <c r="K32" s="188"/>
      <c r="L32" s="188"/>
      <c r="M32" s="188"/>
      <c r="N32" s="95" t="str">
        <f t="shared" si="5"/>
        <v>-</v>
      </c>
      <c r="O32" s="96"/>
      <c r="P32" s="97"/>
      <c r="Q32" s="192"/>
      <c r="R32" s="193"/>
      <c r="S32" s="193"/>
      <c r="T32" s="188"/>
      <c r="U32" s="188"/>
      <c r="V32" s="188"/>
      <c r="W32" s="95" t="str">
        <f t="shared" si="6"/>
        <v>-</v>
      </c>
      <c r="X32" s="96"/>
      <c r="Y32" s="97"/>
      <c r="Z32" s="192"/>
      <c r="AA32" s="193"/>
      <c r="AB32" s="193"/>
      <c r="AC32" s="188"/>
      <c r="AD32" s="188"/>
      <c r="AE32" s="188"/>
      <c r="AF32" s="95" t="str">
        <f t="shared" si="7"/>
        <v>-</v>
      </c>
      <c r="AG32" s="96"/>
      <c r="AH32" s="97"/>
      <c r="AK32" s="683"/>
      <c r="AL32" s="689"/>
      <c r="AM32" s="690"/>
      <c r="AN32" s="678" t="s">
        <v>118</v>
      </c>
      <c r="AO32" s="679"/>
      <c r="AP32" s="679"/>
      <c r="AQ32" s="680"/>
      <c r="AR32" s="681"/>
      <c r="AS32" s="672"/>
      <c r="AT32" s="673"/>
      <c r="AU32" s="671"/>
      <c r="AV32" s="672"/>
      <c r="AW32" s="673"/>
      <c r="AX32" s="221" t="str">
        <f t="shared" si="1"/>
        <v>-</v>
      </c>
      <c r="AY32" s="222"/>
      <c r="AZ32" s="223"/>
      <c r="BA32" s="3"/>
      <c r="BB32" s="3"/>
      <c r="BC32" s="3"/>
    </row>
    <row r="33" spans="1:52" ht="13.5" customHeight="1">
      <c r="A33" s="247" t="s">
        <v>260</v>
      </c>
      <c r="B33" s="250" t="s">
        <v>256</v>
      </c>
      <c r="C33" s="251"/>
      <c r="D33" s="251"/>
      <c r="E33" s="251"/>
      <c r="F33" s="251"/>
      <c r="G33" s="252"/>
      <c r="H33" s="299"/>
      <c r="I33" s="300"/>
      <c r="J33" s="300"/>
      <c r="K33" s="239"/>
      <c r="L33" s="239"/>
      <c r="M33" s="239"/>
      <c r="N33" s="139" t="str">
        <f t="shared" si="5"/>
        <v>-</v>
      </c>
      <c r="O33" s="140"/>
      <c r="P33" s="141"/>
      <c r="Q33" s="299"/>
      <c r="R33" s="300"/>
      <c r="S33" s="300"/>
      <c r="T33" s="239"/>
      <c r="U33" s="239"/>
      <c r="V33" s="239"/>
      <c r="W33" s="139" t="str">
        <f t="shared" si="6"/>
        <v>-</v>
      </c>
      <c r="X33" s="140"/>
      <c r="Y33" s="141"/>
      <c r="Z33" s="299"/>
      <c r="AA33" s="300"/>
      <c r="AB33" s="300"/>
      <c r="AC33" s="239"/>
      <c r="AD33" s="239"/>
      <c r="AE33" s="239"/>
      <c r="AF33" s="139" t="str">
        <f t="shared" si="7"/>
        <v>-</v>
      </c>
      <c r="AG33" s="140"/>
      <c r="AH33" s="141"/>
      <c r="AK33" s="683"/>
      <c r="AL33" s="674" t="s">
        <v>392</v>
      </c>
      <c r="AM33" s="675"/>
      <c r="AN33" s="678" t="s">
        <v>175</v>
      </c>
      <c r="AO33" s="679"/>
      <c r="AP33" s="679"/>
      <c r="AQ33" s="680"/>
      <c r="AR33" s="681"/>
      <c r="AS33" s="672"/>
      <c r="AT33" s="673"/>
      <c r="AU33" s="671"/>
      <c r="AV33" s="672"/>
      <c r="AW33" s="673"/>
      <c r="AX33" s="221" t="str">
        <f t="shared" si="1"/>
        <v>-</v>
      </c>
      <c r="AY33" s="222"/>
      <c r="AZ33" s="223"/>
    </row>
    <row r="34" spans="1:52" ht="13.5" customHeight="1">
      <c r="A34" s="248"/>
      <c r="B34" s="161" t="s">
        <v>258</v>
      </c>
      <c r="C34" s="162"/>
      <c r="D34" s="162"/>
      <c r="E34" s="162"/>
      <c r="F34" s="162"/>
      <c r="G34" s="163"/>
      <c r="H34" s="168"/>
      <c r="I34" s="151"/>
      <c r="J34" s="151"/>
      <c r="K34" s="151"/>
      <c r="L34" s="151"/>
      <c r="M34" s="151"/>
      <c r="N34" s="221" t="str">
        <f t="shared" si="5"/>
        <v>-</v>
      </c>
      <c r="O34" s="222"/>
      <c r="P34" s="223"/>
      <c r="Q34" s="168"/>
      <c r="R34" s="151"/>
      <c r="S34" s="151"/>
      <c r="T34" s="151"/>
      <c r="U34" s="151"/>
      <c r="V34" s="151"/>
      <c r="W34" s="221" t="str">
        <f t="shared" si="6"/>
        <v>-</v>
      </c>
      <c r="X34" s="222"/>
      <c r="Y34" s="223"/>
      <c r="Z34" s="168"/>
      <c r="AA34" s="151"/>
      <c r="AB34" s="151"/>
      <c r="AC34" s="151"/>
      <c r="AD34" s="151"/>
      <c r="AE34" s="151"/>
      <c r="AF34" s="221" t="str">
        <f t="shared" si="7"/>
        <v>-</v>
      </c>
      <c r="AG34" s="222"/>
      <c r="AH34" s="223"/>
      <c r="AK34" s="683"/>
      <c r="AL34" s="676"/>
      <c r="AM34" s="677"/>
      <c r="AN34" s="678" t="s">
        <v>118</v>
      </c>
      <c r="AO34" s="679"/>
      <c r="AP34" s="679"/>
      <c r="AQ34" s="680"/>
      <c r="AR34" s="681"/>
      <c r="AS34" s="672"/>
      <c r="AT34" s="673"/>
      <c r="AU34" s="671"/>
      <c r="AV34" s="672"/>
      <c r="AW34" s="673"/>
      <c r="AX34" s="221" t="str">
        <f t="shared" si="1"/>
        <v>-</v>
      </c>
      <c r="AY34" s="222"/>
      <c r="AZ34" s="223"/>
    </row>
    <row r="35" spans="1:52" ht="13.5" customHeight="1">
      <c r="A35" s="249"/>
      <c r="B35" s="181" t="s">
        <v>259</v>
      </c>
      <c r="C35" s="182"/>
      <c r="D35" s="182"/>
      <c r="E35" s="182"/>
      <c r="F35" s="182"/>
      <c r="G35" s="183"/>
      <c r="H35" s="269"/>
      <c r="I35" s="270"/>
      <c r="J35" s="270"/>
      <c r="K35" s="108"/>
      <c r="L35" s="108"/>
      <c r="M35" s="108"/>
      <c r="N35" s="253" t="str">
        <f t="shared" si="5"/>
        <v>-</v>
      </c>
      <c r="O35" s="254"/>
      <c r="P35" s="255"/>
      <c r="Q35" s="269"/>
      <c r="R35" s="270"/>
      <c r="S35" s="270"/>
      <c r="T35" s="108"/>
      <c r="U35" s="108"/>
      <c r="V35" s="108"/>
      <c r="W35" s="253" t="str">
        <f t="shared" si="6"/>
        <v>-</v>
      </c>
      <c r="X35" s="254"/>
      <c r="Y35" s="255"/>
      <c r="Z35" s="107"/>
      <c r="AA35" s="108"/>
      <c r="AB35" s="108"/>
      <c r="AC35" s="108"/>
      <c r="AD35" s="108"/>
      <c r="AE35" s="108"/>
      <c r="AF35" s="253" t="str">
        <f t="shared" si="7"/>
        <v>-</v>
      </c>
      <c r="AG35" s="254"/>
      <c r="AH35" s="255"/>
      <c r="AK35" s="684"/>
      <c r="AL35" s="658" t="s">
        <v>118</v>
      </c>
      <c r="AM35" s="659"/>
      <c r="AN35" s="659"/>
      <c r="AO35" s="659"/>
      <c r="AP35" s="659"/>
      <c r="AQ35" s="660"/>
      <c r="AR35" s="661"/>
      <c r="AS35" s="662"/>
      <c r="AT35" s="663"/>
      <c r="AU35" s="664"/>
      <c r="AV35" s="662"/>
      <c r="AW35" s="663"/>
      <c r="AX35" s="95" t="str">
        <f t="shared" si="1"/>
        <v>-</v>
      </c>
      <c r="AY35" s="96"/>
      <c r="AZ35" s="97"/>
    </row>
    <row r="36" spans="1:52" ht="13.5" customHeight="1">
      <c r="A36" s="3" t="s">
        <v>271</v>
      </c>
      <c r="AK36" s="256" t="s">
        <v>391</v>
      </c>
      <c r="AL36" s="182"/>
      <c r="AM36" s="182"/>
      <c r="AN36" s="182"/>
      <c r="AO36" s="182"/>
      <c r="AP36" s="182"/>
      <c r="AQ36" s="183"/>
      <c r="AR36" s="665"/>
      <c r="AS36" s="666"/>
      <c r="AT36" s="667"/>
      <c r="AU36" s="668"/>
      <c r="AV36" s="669"/>
      <c r="AW36" s="670"/>
      <c r="AX36" s="215" t="str">
        <f t="shared" si="1"/>
        <v>-</v>
      </c>
      <c r="AY36" s="216"/>
      <c r="AZ36" s="217"/>
    </row>
    <row r="54" spans="18:24" ht="13.5" customHeight="1">
      <c r="R54" s="9"/>
      <c r="S54" s="9"/>
      <c r="T54" s="9"/>
      <c r="U54" s="9"/>
      <c r="V54" s="9"/>
      <c r="W54" s="2"/>
      <c r="X54" s="2"/>
    </row>
  </sheetData>
  <mergeCells count="328">
    <mergeCell ref="B34:G34"/>
    <mergeCell ref="H34:J34"/>
    <mergeCell ref="K34:M34"/>
    <mergeCell ref="N34:P34"/>
    <mergeCell ref="Q34:S34"/>
    <mergeCell ref="T34:V34"/>
    <mergeCell ref="B35:G35"/>
    <mergeCell ref="H33:J33"/>
    <mergeCell ref="K33:M33"/>
    <mergeCell ref="N33:P33"/>
    <mergeCell ref="Q33:S33"/>
    <mergeCell ref="T33:V33"/>
    <mergeCell ref="AF33:AH33"/>
    <mergeCell ref="H35:J35"/>
    <mergeCell ref="K35:M35"/>
    <mergeCell ref="N35:P35"/>
    <mergeCell ref="W34:Y34"/>
    <mergeCell ref="Z34:AB34"/>
    <mergeCell ref="AC34:AE34"/>
    <mergeCell ref="AF34:AH34"/>
    <mergeCell ref="Q35:S35"/>
    <mergeCell ref="T35:V35"/>
    <mergeCell ref="W35:Y35"/>
    <mergeCell ref="Z35:AB35"/>
    <mergeCell ref="AC35:AE35"/>
    <mergeCell ref="AF35:AH35"/>
    <mergeCell ref="AF32:AH32"/>
    <mergeCell ref="B33:G33"/>
    <mergeCell ref="AF31:AH31"/>
    <mergeCell ref="B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W33:Y33"/>
    <mergeCell ref="Z33:AB33"/>
    <mergeCell ref="AC33:AE33"/>
    <mergeCell ref="A28:G29"/>
    <mergeCell ref="H28:P28"/>
    <mergeCell ref="Q28:Y28"/>
    <mergeCell ref="Z28:AH28"/>
    <mergeCell ref="H29:J29"/>
    <mergeCell ref="K29:M29"/>
    <mergeCell ref="AF29:AH29"/>
    <mergeCell ref="B30:G30"/>
    <mergeCell ref="H30:J30"/>
    <mergeCell ref="K30:M30"/>
    <mergeCell ref="N30:P30"/>
    <mergeCell ref="Q30:S30"/>
    <mergeCell ref="T30:V30"/>
    <mergeCell ref="W30:Y30"/>
    <mergeCell ref="Z30:AB30"/>
    <mergeCell ref="N29:P29"/>
    <mergeCell ref="Q29:S29"/>
    <mergeCell ref="T29:V29"/>
    <mergeCell ref="W29:Y29"/>
    <mergeCell ref="Z29:AB29"/>
    <mergeCell ref="AC29:AE29"/>
    <mergeCell ref="AC30:AE30"/>
    <mergeCell ref="AF30:AH30"/>
    <mergeCell ref="A30:A32"/>
    <mergeCell ref="N27:P27"/>
    <mergeCell ref="Q27:S27"/>
    <mergeCell ref="T27:V27"/>
    <mergeCell ref="W27:Y27"/>
    <mergeCell ref="Z27:AB27"/>
    <mergeCell ref="AC27:AE27"/>
    <mergeCell ref="AF27:AH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Z24:AB24"/>
    <mergeCell ref="AC24:AE24"/>
    <mergeCell ref="AF24:AH24"/>
    <mergeCell ref="S13:Y13"/>
    <mergeCell ref="Z25:AB25"/>
    <mergeCell ref="AC25:AE25"/>
    <mergeCell ref="AF25:AH25"/>
    <mergeCell ref="H24:J24"/>
    <mergeCell ref="K24:M24"/>
    <mergeCell ref="B25:G25"/>
    <mergeCell ref="H25:J25"/>
    <mergeCell ref="K25:M25"/>
    <mergeCell ref="N25:P25"/>
    <mergeCell ref="Q25:S25"/>
    <mergeCell ref="T25:V25"/>
    <mergeCell ref="W25:Y25"/>
    <mergeCell ref="T24:V24"/>
    <mergeCell ref="W24:Y24"/>
    <mergeCell ref="Z22:AB22"/>
    <mergeCell ref="AC22:AE22"/>
    <mergeCell ref="AF22:AH22"/>
    <mergeCell ref="S11:Y11"/>
    <mergeCell ref="Z11:AB11"/>
    <mergeCell ref="AC11:AE11"/>
    <mergeCell ref="AF23:AH23"/>
    <mergeCell ref="S12:Y12"/>
    <mergeCell ref="Z12:AB12"/>
    <mergeCell ref="AC12:AE12"/>
    <mergeCell ref="AF12:AH12"/>
    <mergeCell ref="Z13:AB13"/>
    <mergeCell ref="AC13:AE13"/>
    <mergeCell ref="AF13:AH13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R15:AT15"/>
    <mergeCell ref="AU15:AW15"/>
    <mergeCell ref="AC9:AE9"/>
    <mergeCell ref="AF9:AH9"/>
    <mergeCell ref="H21:J21"/>
    <mergeCell ref="K21:M21"/>
    <mergeCell ref="N21:P21"/>
    <mergeCell ref="Q21:S21"/>
    <mergeCell ref="T21:V21"/>
    <mergeCell ref="W21:Y21"/>
    <mergeCell ref="Z21:AB21"/>
    <mergeCell ref="AC21:AE21"/>
    <mergeCell ref="H20:P20"/>
    <mergeCell ref="Q20:Y20"/>
    <mergeCell ref="Z20:AH20"/>
    <mergeCell ref="S9:Y9"/>
    <mergeCell ref="Z9:AB9"/>
    <mergeCell ref="AF21:AH21"/>
    <mergeCell ref="S10:Y10"/>
    <mergeCell ref="Z10:AB10"/>
    <mergeCell ref="AC10:AE10"/>
    <mergeCell ref="AF10:AH10"/>
    <mergeCell ref="AK19:AQ19"/>
    <mergeCell ref="AR19:AT19"/>
    <mergeCell ref="AU11:AW11"/>
    <mergeCell ref="AX11:AZ11"/>
    <mergeCell ref="AX16:AZ16"/>
    <mergeCell ref="A17:G17"/>
    <mergeCell ref="H17:J17"/>
    <mergeCell ref="K17:M17"/>
    <mergeCell ref="N17:P17"/>
    <mergeCell ref="Q17:S17"/>
    <mergeCell ref="T17:V17"/>
    <mergeCell ref="W17:Y17"/>
    <mergeCell ref="AX15:AZ15"/>
    <mergeCell ref="H16:J16"/>
    <mergeCell ref="K16:M16"/>
    <mergeCell ref="N16:P16"/>
    <mergeCell ref="Q16:S16"/>
    <mergeCell ref="T16:V16"/>
    <mergeCell ref="W16:Y16"/>
    <mergeCell ref="AK16:AQ16"/>
    <mergeCell ref="AR16:AT16"/>
    <mergeCell ref="AU16:AW16"/>
    <mergeCell ref="A15:G16"/>
    <mergeCell ref="H15:P15"/>
    <mergeCell ref="Q15:Y15"/>
    <mergeCell ref="AK15:AQ15"/>
    <mergeCell ref="AR11:AT11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  <mergeCell ref="A5:E5"/>
    <mergeCell ref="F5:H5"/>
    <mergeCell ref="I5:R5"/>
    <mergeCell ref="AF11:AH11"/>
    <mergeCell ref="AR13:AT13"/>
    <mergeCell ref="AU13:AW13"/>
    <mergeCell ref="AX13:AZ13"/>
    <mergeCell ref="AK14:AQ14"/>
    <mergeCell ref="AR14:AT14"/>
    <mergeCell ref="AU14:AW14"/>
    <mergeCell ref="A12:G12"/>
    <mergeCell ref="H12:J12"/>
    <mergeCell ref="K12:M12"/>
    <mergeCell ref="N12:P12"/>
    <mergeCell ref="AK12:AQ12"/>
    <mergeCell ref="AR12:AT12"/>
    <mergeCell ref="AU12:AW12"/>
    <mergeCell ref="AX12:AZ12"/>
    <mergeCell ref="AX14:AZ14"/>
    <mergeCell ref="AU9:AW9"/>
    <mergeCell ref="AX9:AZ9"/>
    <mergeCell ref="A10:G10"/>
    <mergeCell ref="H10:J10"/>
    <mergeCell ref="K10:M10"/>
    <mergeCell ref="N10:P10"/>
    <mergeCell ref="AK10:AQ10"/>
    <mergeCell ref="AR10:AT10"/>
    <mergeCell ref="AU10:AW10"/>
    <mergeCell ref="AX10:AZ10"/>
    <mergeCell ref="A9:G9"/>
    <mergeCell ref="H9:J9"/>
    <mergeCell ref="K9:M9"/>
    <mergeCell ref="N9:P9"/>
    <mergeCell ref="AK9:AQ9"/>
    <mergeCell ref="AR9:AT9"/>
    <mergeCell ref="A33:A35"/>
    <mergeCell ref="AK13:AQ13"/>
    <mergeCell ref="A11:G11"/>
    <mergeCell ref="H11:J11"/>
    <mergeCell ref="K11:M11"/>
    <mergeCell ref="N11:P11"/>
    <mergeCell ref="AK11:AQ11"/>
    <mergeCell ref="B22:G22"/>
    <mergeCell ref="H22:J22"/>
    <mergeCell ref="K22:M22"/>
    <mergeCell ref="N22:P22"/>
    <mergeCell ref="Q22:S22"/>
    <mergeCell ref="T22:V22"/>
    <mergeCell ref="W22:Y22"/>
    <mergeCell ref="A20:G21"/>
    <mergeCell ref="B24:G24"/>
    <mergeCell ref="N24:P24"/>
    <mergeCell ref="Q24:S24"/>
    <mergeCell ref="A22:A24"/>
    <mergeCell ref="A25:A27"/>
    <mergeCell ref="AF26:AH26"/>
    <mergeCell ref="B27:G27"/>
    <mergeCell ref="H27:J27"/>
    <mergeCell ref="K27:M27"/>
    <mergeCell ref="AU19:AW19"/>
    <mergeCell ref="AX19:AZ19"/>
    <mergeCell ref="AK20:AK27"/>
    <mergeCell ref="AL20:AM24"/>
    <mergeCell ref="AN20:AQ20"/>
    <mergeCell ref="AR20:AT20"/>
    <mergeCell ref="AU20:AW20"/>
    <mergeCell ref="AX20:AZ20"/>
    <mergeCell ref="AN21:AQ21"/>
    <mergeCell ref="AR21:AT21"/>
    <mergeCell ref="AU21:AW21"/>
    <mergeCell ref="AX21:AZ21"/>
    <mergeCell ref="AN22:AQ22"/>
    <mergeCell ref="AR22:AT22"/>
    <mergeCell ref="AU22:AW22"/>
    <mergeCell ref="AX22:AZ22"/>
    <mergeCell ref="AN23:AQ23"/>
    <mergeCell ref="AR23:AT23"/>
    <mergeCell ref="AU23:AW23"/>
    <mergeCell ref="AX23:AZ23"/>
    <mergeCell ref="AN24:AQ24"/>
    <mergeCell ref="AR24:AT24"/>
    <mergeCell ref="AU24:AW24"/>
    <mergeCell ref="AX24:AZ24"/>
    <mergeCell ref="AL25:AM26"/>
    <mergeCell ref="AN25:AQ25"/>
    <mergeCell ref="AR25:AT25"/>
    <mergeCell ref="AU25:AW25"/>
    <mergeCell ref="AX25:AZ25"/>
    <mergeCell ref="AN26:AQ26"/>
    <mergeCell ref="AR26:AT26"/>
    <mergeCell ref="AU26:AW26"/>
    <mergeCell ref="AX26:AZ26"/>
    <mergeCell ref="AL27:AQ27"/>
    <mergeCell ref="AR27:AT27"/>
    <mergeCell ref="AU27:AW27"/>
    <mergeCell ref="AX27:AZ27"/>
    <mergeCell ref="AK28:AK35"/>
    <mergeCell ref="AL28:AM32"/>
    <mergeCell ref="AN28:AQ28"/>
    <mergeCell ref="AR28:AT28"/>
    <mergeCell ref="AU28:AW28"/>
    <mergeCell ref="AX28:AZ28"/>
    <mergeCell ref="AN29:AQ29"/>
    <mergeCell ref="AR29:AT29"/>
    <mergeCell ref="AU29:AW29"/>
    <mergeCell ref="AX29:AZ29"/>
    <mergeCell ref="AN30:AQ30"/>
    <mergeCell ref="AR30:AT30"/>
    <mergeCell ref="AU30:AW30"/>
    <mergeCell ref="AX30:AZ30"/>
    <mergeCell ref="AN31:AQ31"/>
    <mergeCell ref="AR31:AT31"/>
    <mergeCell ref="AU31:AW31"/>
    <mergeCell ref="AX31:AZ31"/>
    <mergeCell ref="AN32:AQ32"/>
    <mergeCell ref="AR32:AT32"/>
    <mergeCell ref="AL35:AQ35"/>
    <mergeCell ref="AR35:AT35"/>
    <mergeCell ref="AU35:AW35"/>
    <mergeCell ref="AX35:AZ35"/>
    <mergeCell ref="AK36:AQ36"/>
    <mergeCell ref="AR36:AT36"/>
    <mergeCell ref="AU36:AW36"/>
    <mergeCell ref="AX36:AZ36"/>
    <mergeCell ref="AU32:AW32"/>
    <mergeCell ref="AX32:AZ32"/>
    <mergeCell ref="AL33:AM34"/>
    <mergeCell ref="AN33:AQ33"/>
    <mergeCell ref="AR33:AT33"/>
    <mergeCell ref="AU33:AW33"/>
    <mergeCell ref="AX33:AZ33"/>
    <mergeCell ref="AN34:AQ34"/>
    <mergeCell ref="AR34:AT34"/>
    <mergeCell ref="AU34:AW34"/>
    <mergeCell ref="AX34:AZ3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4"/>
  <sheetViews>
    <sheetView workbookViewId="0"/>
  </sheetViews>
  <sheetFormatPr defaultRowHeight="13.5"/>
  <cols>
    <col min="1" max="1" width="16.875" style="82" bestFit="1" customWidth="1"/>
    <col min="2" max="2" width="9" style="82"/>
    <col min="4" max="4" width="17.25" bestFit="1" customWidth="1"/>
  </cols>
  <sheetData>
    <row r="1" spans="1:5">
      <c r="D1" t="s">
        <v>355</v>
      </c>
    </row>
    <row r="2" spans="1:5">
      <c r="A2" s="77" t="s">
        <v>281</v>
      </c>
      <c r="B2" s="77" t="s">
        <v>282</v>
      </c>
      <c r="D2" s="78" t="s">
        <v>283</v>
      </c>
      <c r="E2" s="78" t="s">
        <v>282</v>
      </c>
    </row>
    <row r="3" spans="1:5">
      <c r="A3" s="77" t="s">
        <v>284</v>
      </c>
      <c r="B3" s="77">
        <v>0</v>
      </c>
      <c r="D3" s="78" t="s">
        <v>385</v>
      </c>
      <c r="E3" s="78">
        <v>0</v>
      </c>
    </row>
    <row r="4" spans="1:5">
      <c r="A4" s="77" t="s">
        <v>285</v>
      </c>
      <c r="B4" s="77">
        <v>60</v>
      </c>
      <c r="D4" s="78" t="s">
        <v>357</v>
      </c>
      <c r="E4" s="78">
        <v>1</v>
      </c>
    </row>
    <row r="5" spans="1:5">
      <c r="A5" s="77" t="s">
        <v>286</v>
      </c>
      <c r="B5" s="77">
        <v>1</v>
      </c>
      <c r="D5" s="78" t="s">
        <v>358</v>
      </c>
      <c r="E5" s="78">
        <v>2</v>
      </c>
    </row>
    <row r="6" spans="1:5">
      <c r="A6" s="77" t="s">
        <v>287</v>
      </c>
      <c r="B6" s="77">
        <v>61</v>
      </c>
      <c r="D6" s="78" t="s">
        <v>359</v>
      </c>
      <c r="E6" s="78">
        <v>3</v>
      </c>
    </row>
    <row r="7" spans="1:5">
      <c r="A7" s="77" t="s">
        <v>288</v>
      </c>
      <c r="B7" s="77">
        <v>62</v>
      </c>
      <c r="D7" s="78" t="s">
        <v>360</v>
      </c>
      <c r="E7" s="78">
        <v>4</v>
      </c>
    </row>
    <row r="8" spans="1:5">
      <c r="A8" s="77" t="s">
        <v>289</v>
      </c>
      <c r="B8" s="77">
        <v>63</v>
      </c>
      <c r="D8" s="78" t="s">
        <v>361</v>
      </c>
      <c r="E8" s="78">
        <v>5</v>
      </c>
    </row>
    <row r="9" spans="1:5">
      <c r="A9" s="77" t="s">
        <v>290</v>
      </c>
      <c r="B9" s="77">
        <v>67</v>
      </c>
      <c r="D9" s="79"/>
      <c r="E9" s="79"/>
    </row>
    <row r="10" spans="1:5">
      <c r="A10" s="77" t="s">
        <v>291</v>
      </c>
      <c r="B10" s="77">
        <v>68</v>
      </c>
      <c r="D10" t="s">
        <v>356</v>
      </c>
    </row>
    <row r="11" spans="1:5">
      <c r="A11" s="77" t="s">
        <v>293</v>
      </c>
      <c r="B11" s="77">
        <v>71</v>
      </c>
      <c r="D11" s="78" t="s">
        <v>283</v>
      </c>
      <c r="E11" s="78" t="s">
        <v>282</v>
      </c>
    </row>
    <row r="12" spans="1:5">
      <c r="A12" s="77" t="s">
        <v>294</v>
      </c>
      <c r="B12" s="77">
        <v>74</v>
      </c>
      <c r="D12" s="78" t="s">
        <v>385</v>
      </c>
      <c r="E12" s="78">
        <v>0</v>
      </c>
    </row>
    <row r="13" spans="1:5">
      <c r="A13" s="77" t="s">
        <v>295</v>
      </c>
      <c r="B13" s="77">
        <v>75</v>
      </c>
      <c r="D13" s="78" t="s">
        <v>362</v>
      </c>
      <c r="E13" s="78">
        <v>1</v>
      </c>
    </row>
    <row r="14" spans="1:5">
      <c r="A14" s="77" t="s">
        <v>296</v>
      </c>
      <c r="B14" s="77">
        <v>47</v>
      </c>
      <c r="D14" s="78" t="s">
        <v>363</v>
      </c>
      <c r="E14" s="78">
        <v>2</v>
      </c>
    </row>
    <row r="15" spans="1:5">
      <c r="A15" s="77" t="s">
        <v>297</v>
      </c>
      <c r="B15" s="77">
        <v>64</v>
      </c>
      <c r="D15" s="78" t="s">
        <v>364</v>
      </c>
      <c r="E15" s="78">
        <v>3</v>
      </c>
    </row>
    <row r="16" spans="1:5">
      <c r="A16" s="77" t="s">
        <v>298</v>
      </c>
      <c r="B16" s="77">
        <v>65</v>
      </c>
      <c r="D16" s="78" t="s">
        <v>365</v>
      </c>
      <c r="E16" s="78">
        <v>4</v>
      </c>
    </row>
    <row r="17" spans="1:5">
      <c r="A17" s="77" t="s">
        <v>299</v>
      </c>
      <c r="B17" s="77">
        <v>66</v>
      </c>
      <c r="D17" s="78" t="s">
        <v>359</v>
      </c>
      <c r="E17" s="78">
        <v>5</v>
      </c>
    </row>
    <row r="18" spans="1:5">
      <c r="A18" s="77" t="s">
        <v>300</v>
      </c>
      <c r="B18" s="77">
        <v>69</v>
      </c>
      <c r="D18" s="78" t="s">
        <v>366</v>
      </c>
      <c r="E18" s="78">
        <v>6</v>
      </c>
    </row>
    <row r="19" spans="1:5">
      <c r="A19" s="77" t="s">
        <v>301</v>
      </c>
      <c r="B19" s="77">
        <v>70</v>
      </c>
      <c r="D19" s="78" t="s">
        <v>367</v>
      </c>
      <c r="E19" s="78">
        <v>7</v>
      </c>
    </row>
    <row r="20" spans="1:5">
      <c r="A20" s="77" t="s">
        <v>302</v>
      </c>
      <c r="B20" s="77">
        <v>72</v>
      </c>
      <c r="D20" s="78" t="s">
        <v>368</v>
      </c>
      <c r="E20" s="78">
        <v>8</v>
      </c>
    </row>
    <row r="21" spans="1:5">
      <c r="A21" s="77" t="s">
        <v>303</v>
      </c>
      <c r="B21" s="77">
        <v>73</v>
      </c>
      <c r="D21" s="85"/>
      <c r="E21" s="85"/>
    </row>
    <row r="22" spans="1:5">
      <c r="A22" s="77" t="s">
        <v>304</v>
      </c>
      <c r="B22" s="77">
        <v>76</v>
      </c>
      <c r="D22" s="79"/>
      <c r="E22" s="80" t="s">
        <v>292</v>
      </c>
    </row>
    <row r="23" spans="1:5">
      <c r="A23" s="77" t="s">
        <v>305</v>
      </c>
      <c r="B23" s="77">
        <v>77</v>
      </c>
      <c r="D23" s="79"/>
      <c r="E23" s="81" t="str">
        <f>"="&amp;No.1!AG4</f>
        <v>=</v>
      </c>
    </row>
    <row r="24" spans="1:5">
      <c r="A24" s="77" t="s">
        <v>306</v>
      </c>
      <c r="B24" s="77">
        <v>93</v>
      </c>
      <c r="D24" s="85"/>
      <c r="E24" s="85"/>
    </row>
    <row r="25" spans="1:5">
      <c r="A25" s="77" t="s">
        <v>307</v>
      </c>
      <c r="B25" s="77">
        <v>94</v>
      </c>
    </row>
    <row r="26" spans="1:5">
      <c r="A26" s="77" t="s">
        <v>308</v>
      </c>
      <c r="B26" s="77">
        <v>95</v>
      </c>
      <c r="D26" s="86" t="s">
        <v>369</v>
      </c>
      <c r="E26" s="86" t="s">
        <v>282</v>
      </c>
    </row>
    <row r="27" spans="1:5">
      <c r="A27" s="77" t="s">
        <v>309</v>
      </c>
      <c r="B27" s="77">
        <v>2</v>
      </c>
      <c r="D27" s="86" t="s">
        <v>373</v>
      </c>
      <c r="E27" s="86">
        <v>92</v>
      </c>
    </row>
    <row r="28" spans="1:5">
      <c r="A28" s="77" t="s">
        <v>310</v>
      </c>
      <c r="B28" s="77">
        <v>3</v>
      </c>
      <c r="D28" s="86" t="s">
        <v>370</v>
      </c>
      <c r="E28" s="86">
        <v>93</v>
      </c>
    </row>
    <row r="29" spans="1:5">
      <c r="A29" s="77" t="s">
        <v>311</v>
      </c>
      <c r="B29" s="77">
        <v>4</v>
      </c>
      <c r="D29" s="86" t="s">
        <v>371</v>
      </c>
      <c r="E29" s="86">
        <v>94</v>
      </c>
    </row>
    <row r="30" spans="1:5">
      <c r="A30" s="77" t="s">
        <v>312</v>
      </c>
      <c r="B30" s="77">
        <v>5</v>
      </c>
      <c r="D30" s="86" t="s">
        <v>372</v>
      </c>
      <c r="E30" s="86">
        <v>95</v>
      </c>
    </row>
    <row r="31" spans="1:5">
      <c r="A31" s="77" t="s">
        <v>313</v>
      </c>
      <c r="B31" s="77">
        <v>6</v>
      </c>
      <c r="D31" s="86" t="s">
        <v>374</v>
      </c>
      <c r="E31" s="86">
        <v>96</v>
      </c>
    </row>
    <row r="32" spans="1:5">
      <c r="A32" s="77" t="s">
        <v>314</v>
      </c>
      <c r="B32" s="77">
        <v>7</v>
      </c>
    </row>
    <row r="33" spans="1:5">
      <c r="A33" s="77" t="s">
        <v>315</v>
      </c>
      <c r="B33" s="77">
        <v>8</v>
      </c>
      <c r="E33" s="87" t="s">
        <v>292</v>
      </c>
    </row>
    <row r="34" spans="1:5">
      <c r="A34" s="77" t="s">
        <v>316</v>
      </c>
      <c r="B34" s="77">
        <v>9</v>
      </c>
      <c r="E34" s="88" t="str">
        <f>"="&amp;No.1!AN4</f>
        <v>=</v>
      </c>
    </row>
    <row r="35" spans="1:5">
      <c r="A35" s="77" t="s">
        <v>317</v>
      </c>
      <c r="B35" s="77">
        <v>10</v>
      </c>
    </row>
    <row r="36" spans="1:5">
      <c r="A36" s="77" t="s">
        <v>318</v>
      </c>
      <c r="B36" s="77">
        <v>11</v>
      </c>
    </row>
    <row r="37" spans="1:5">
      <c r="A37" s="77" t="s">
        <v>319</v>
      </c>
      <c r="B37" s="77">
        <v>12</v>
      </c>
    </row>
    <row r="38" spans="1:5">
      <c r="A38" s="77" t="s">
        <v>320</v>
      </c>
      <c r="B38" s="77">
        <v>13</v>
      </c>
    </row>
    <row r="39" spans="1:5">
      <c r="A39" s="77" t="s">
        <v>321</v>
      </c>
      <c r="B39" s="77">
        <v>14</v>
      </c>
    </row>
    <row r="40" spans="1:5">
      <c r="A40" s="77" t="s">
        <v>322</v>
      </c>
      <c r="B40" s="77">
        <v>15</v>
      </c>
    </row>
    <row r="41" spans="1:5">
      <c r="A41" s="77" t="s">
        <v>323</v>
      </c>
      <c r="B41" s="77">
        <v>16</v>
      </c>
    </row>
    <row r="42" spans="1:5">
      <c r="A42" s="77" t="s">
        <v>324</v>
      </c>
      <c r="B42" s="77">
        <v>17</v>
      </c>
    </row>
    <row r="43" spans="1:5">
      <c r="A43" s="77" t="s">
        <v>325</v>
      </c>
      <c r="B43" s="77">
        <v>18</v>
      </c>
    </row>
    <row r="44" spans="1:5">
      <c r="A44" s="77" t="s">
        <v>326</v>
      </c>
      <c r="B44" s="77">
        <v>19</v>
      </c>
    </row>
    <row r="45" spans="1:5">
      <c r="A45" s="77" t="s">
        <v>327</v>
      </c>
      <c r="B45" s="77">
        <v>20</v>
      </c>
    </row>
    <row r="46" spans="1:5">
      <c r="A46" s="77" t="s">
        <v>328</v>
      </c>
      <c r="B46" s="77">
        <v>21</v>
      </c>
    </row>
    <row r="47" spans="1:5">
      <c r="A47" s="77" t="s">
        <v>329</v>
      </c>
      <c r="B47" s="77">
        <v>22</v>
      </c>
    </row>
    <row r="48" spans="1:5">
      <c r="A48" s="77" t="s">
        <v>330</v>
      </c>
      <c r="B48" s="77">
        <v>23</v>
      </c>
    </row>
    <row r="49" spans="1:2">
      <c r="A49" s="77" t="s">
        <v>331</v>
      </c>
      <c r="B49" s="77">
        <v>24</v>
      </c>
    </row>
    <row r="50" spans="1:2">
      <c r="A50" s="77" t="s">
        <v>332</v>
      </c>
      <c r="B50" s="77">
        <v>25</v>
      </c>
    </row>
    <row r="51" spans="1:2">
      <c r="A51" s="77" t="s">
        <v>333</v>
      </c>
      <c r="B51" s="77">
        <v>26</v>
      </c>
    </row>
    <row r="52" spans="1:2">
      <c r="A52" s="77" t="s">
        <v>334</v>
      </c>
      <c r="B52" s="77">
        <v>27</v>
      </c>
    </row>
    <row r="53" spans="1:2">
      <c r="A53" s="77" t="s">
        <v>335</v>
      </c>
      <c r="B53" s="77">
        <v>28</v>
      </c>
    </row>
    <row r="54" spans="1:2">
      <c r="A54" s="77" t="s">
        <v>336</v>
      </c>
      <c r="B54" s="77">
        <v>29</v>
      </c>
    </row>
    <row r="55" spans="1:2">
      <c r="A55" s="77" t="s">
        <v>337</v>
      </c>
      <c r="B55" s="77">
        <v>30</v>
      </c>
    </row>
    <row r="56" spans="1:2">
      <c r="A56" s="77" t="s">
        <v>338</v>
      </c>
      <c r="B56" s="77">
        <v>31</v>
      </c>
    </row>
    <row r="57" spans="1:2">
      <c r="A57" s="77" t="s">
        <v>339</v>
      </c>
      <c r="B57" s="77">
        <v>32</v>
      </c>
    </row>
    <row r="58" spans="1:2">
      <c r="A58" s="77" t="s">
        <v>340</v>
      </c>
      <c r="B58" s="77">
        <v>33</v>
      </c>
    </row>
    <row r="59" spans="1:2">
      <c r="A59" s="77" t="s">
        <v>341</v>
      </c>
      <c r="B59" s="77">
        <v>34</v>
      </c>
    </row>
    <row r="60" spans="1:2">
      <c r="A60" s="77" t="s">
        <v>342</v>
      </c>
      <c r="B60" s="77">
        <v>35</v>
      </c>
    </row>
    <row r="61" spans="1:2">
      <c r="A61" s="77" t="s">
        <v>343</v>
      </c>
      <c r="B61" s="77">
        <v>36</v>
      </c>
    </row>
    <row r="62" spans="1:2">
      <c r="A62" s="77" t="s">
        <v>344</v>
      </c>
      <c r="B62" s="77">
        <v>37</v>
      </c>
    </row>
    <row r="63" spans="1:2">
      <c r="A63" s="77" t="s">
        <v>345</v>
      </c>
      <c r="B63" s="77">
        <v>38</v>
      </c>
    </row>
    <row r="64" spans="1:2">
      <c r="A64" s="77" t="s">
        <v>346</v>
      </c>
      <c r="B64" s="77">
        <v>39</v>
      </c>
    </row>
    <row r="65" spans="1:2">
      <c r="A65" s="77" t="s">
        <v>347</v>
      </c>
      <c r="B65" s="77">
        <v>40</v>
      </c>
    </row>
    <row r="66" spans="1:2">
      <c r="A66" s="77" t="s">
        <v>348</v>
      </c>
      <c r="B66" s="77">
        <v>41</v>
      </c>
    </row>
    <row r="67" spans="1:2">
      <c r="A67" s="77" t="s">
        <v>349</v>
      </c>
      <c r="B67" s="77">
        <v>42</v>
      </c>
    </row>
    <row r="68" spans="1:2">
      <c r="A68" s="77" t="s">
        <v>350</v>
      </c>
      <c r="B68" s="77">
        <v>43</v>
      </c>
    </row>
    <row r="69" spans="1:2">
      <c r="A69" s="77" t="s">
        <v>351</v>
      </c>
      <c r="B69" s="77">
        <v>44</v>
      </c>
    </row>
    <row r="70" spans="1:2">
      <c r="A70" s="77" t="s">
        <v>352</v>
      </c>
      <c r="B70" s="77">
        <v>45</v>
      </c>
    </row>
    <row r="71" spans="1:2">
      <c r="A71" s="77" t="s">
        <v>353</v>
      </c>
      <c r="B71" s="77">
        <v>46</v>
      </c>
    </row>
    <row r="73" spans="1:2">
      <c r="B73" s="83" t="s">
        <v>354</v>
      </c>
    </row>
    <row r="74" spans="1:2">
      <c r="B74" s="84" t="str">
        <f>"="&amp;No.1!AB4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9</vt:i4>
      </vt:variant>
    </vt:vector>
  </HeadingPairs>
  <TitlesOfParts>
    <vt:vector size="19" baseType="lpstr"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リスト</vt:lpstr>
      <vt:lpstr>No.1!Print_Area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  <vt:lpstr>No.8!Print_Area</vt:lpstr>
      <vt:lpstr>No.9!Print_Area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2023-01-18T07:02:15Z</dcterms:modified>
  <cp:category/>
</cp:coreProperties>
</file>