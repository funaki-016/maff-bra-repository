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A_R5\Excel\"/>
    </mc:Choice>
  </mc:AlternateContent>
  <xr:revisionPtr revIDLastSave="0" documentId="13_ncr:1_{31086AFC-F8BE-4AC0-8EDE-5D7F8042BF46}" xr6:coauthVersionLast="47" xr6:coauthVersionMax="47" xr10:uidLastSave="{00000000-0000-0000-0000-000000000000}"/>
  <bookViews>
    <workbookView xWindow="29595" yWindow="855" windowWidth="28005" windowHeight="15345" xr2:uid="{8FBC1919-166A-4663-B899-8810386155FA}"/>
  </bookViews>
  <sheets>
    <sheet name="農業経営体" sheetId="2" r:id="rId1"/>
  </sheets>
  <definedNames>
    <definedName name="_xlnm._FilterDatabase" localSheetId="0" hidden="1">農業経営体!$C$8:$AG$367</definedName>
    <definedName name="_xlnm.Print_Area" localSheetId="0">農業経営体!$A$1:$R$367</definedName>
    <definedName name="_xlnm.Print_Titles" localSheetId="0">農業経営体!$1:$8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0" i="2" l="1"/>
  <c r="K210" i="2"/>
  <c r="L209" i="2"/>
  <c r="K209" i="2"/>
  <c r="L208" i="2"/>
  <c r="K208" i="2"/>
  <c r="M111" i="2" l="1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J8" i="2"/>
  <c r="I8" i="2"/>
  <c r="C1" i="2"/>
  <c r="M82" i="2"/>
  <c r="K82" i="2"/>
  <c r="M81" i="2"/>
  <c r="K81" i="2"/>
  <c r="M80" i="2"/>
  <c r="K80" i="2"/>
  <c r="M79" i="2"/>
  <c r="K79" i="2"/>
  <c r="K367" i="2" l="1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1" i="2"/>
  <c r="K240" i="2"/>
  <c r="K239" i="2"/>
  <c r="K238" i="2"/>
  <c r="K237" i="2"/>
  <c r="K236" i="2"/>
  <c r="K235" i="2"/>
  <c r="K234" i="2"/>
  <c r="K233" i="2"/>
  <c r="K232" i="2"/>
  <c r="K231" i="2"/>
  <c r="K229" i="2"/>
  <c r="K228" i="2"/>
  <c r="K227" i="2"/>
  <c r="K226" i="2"/>
  <c r="K225" i="2"/>
  <c r="K224" i="2"/>
  <c r="K223" i="2"/>
  <c r="K222" i="2"/>
  <c r="K221" i="2"/>
  <c r="K219" i="2"/>
  <c r="K217" i="2"/>
  <c r="K216" i="2"/>
  <c r="K214" i="2"/>
  <c r="K213" i="2"/>
  <c r="K212" i="2"/>
  <c r="K211" i="2"/>
  <c r="K206" i="2"/>
  <c r="K205" i="2"/>
  <c r="K203" i="2"/>
  <c r="K201" i="2"/>
  <c r="K200" i="2"/>
  <c r="K198" i="2"/>
  <c r="K195" i="2"/>
  <c r="K194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3" i="2"/>
  <c r="K170" i="2"/>
  <c r="K167" i="2"/>
  <c r="K164" i="2"/>
  <c r="K161" i="2"/>
  <c r="K158" i="2"/>
  <c r="K155" i="2"/>
  <c r="K154" i="2"/>
  <c r="K145" i="2"/>
  <c r="K144" i="2"/>
  <c r="K143" i="2"/>
  <c r="K142" i="2"/>
  <c r="K141" i="2"/>
  <c r="K137" i="2"/>
  <c r="K135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M93" i="2"/>
  <c r="K93" i="2"/>
  <c r="M92" i="2"/>
  <c r="K92" i="2"/>
  <c r="M91" i="2"/>
  <c r="K91" i="2"/>
  <c r="M90" i="2"/>
  <c r="K90" i="2"/>
  <c r="M89" i="2"/>
  <c r="K89" i="2"/>
  <c r="M88" i="2"/>
  <c r="K88" i="2"/>
  <c r="M87" i="2"/>
  <c r="K87" i="2"/>
  <c r="M86" i="2"/>
  <c r="K86" i="2"/>
  <c r="M85" i="2"/>
  <c r="K85" i="2"/>
  <c r="M84" i="2"/>
  <c r="K84" i="2"/>
  <c r="M83" i="2"/>
  <c r="K83" i="2"/>
  <c r="M78" i="2"/>
  <c r="K78" i="2"/>
  <c r="M77" i="2"/>
  <c r="K77" i="2"/>
  <c r="M76" i="2"/>
  <c r="K76" i="2"/>
  <c r="M75" i="2"/>
  <c r="K75" i="2"/>
  <c r="M74" i="2"/>
  <c r="K74" i="2"/>
  <c r="M73" i="2"/>
  <c r="K73" i="2"/>
  <c r="M72" i="2"/>
  <c r="K72" i="2"/>
  <c r="M71" i="2"/>
  <c r="K71" i="2"/>
  <c r="M70" i="2"/>
  <c r="K70" i="2"/>
  <c r="M69" i="2"/>
  <c r="K69" i="2"/>
  <c r="M68" i="2"/>
  <c r="K68" i="2"/>
  <c r="M67" i="2"/>
  <c r="K67" i="2"/>
  <c r="M66" i="2"/>
  <c r="K66" i="2"/>
  <c r="M65" i="2"/>
  <c r="K65" i="2"/>
  <c r="M64" i="2"/>
  <c r="K64" i="2"/>
  <c r="M63" i="2"/>
  <c r="K63" i="2"/>
  <c r="M62" i="2"/>
  <c r="K62" i="2"/>
  <c r="M61" i="2"/>
  <c r="K61" i="2"/>
  <c r="M60" i="2"/>
  <c r="K60" i="2"/>
  <c r="M59" i="2"/>
  <c r="K59" i="2"/>
  <c r="M58" i="2"/>
  <c r="K58" i="2"/>
  <c r="M57" i="2"/>
  <c r="K57" i="2"/>
  <c r="M56" i="2"/>
  <c r="K56" i="2"/>
  <c r="M55" i="2"/>
  <c r="K55" i="2"/>
  <c r="M54" i="2"/>
  <c r="K54" i="2"/>
  <c r="M53" i="2"/>
  <c r="K53" i="2"/>
  <c r="M52" i="2"/>
  <c r="K52" i="2"/>
  <c r="M51" i="2"/>
  <c r="K51" i="2"/>
  <c r="M50" i="2"/>
  <c r="K50" i="2"/>
  <c r="M49" i="2"/>
  <c r="K49" i="2"/>
  <c r="M48" i="2"/>
  <c r="K48" i="2"/>
  <c r="M47" i="2"/>
  <c r="K47" i="2"/>
  <c r="M46" i="2"/>
  <c r="K46" i="2"/>
  <c r="M45" i="2"/>
  <c r="K45" i="2"/>
  <c r="M44" i="2"/>
  <c r="K44" i="2"/>
  <c r="M43" i="2"/>
  <c r="K43" i="2"/>
  <c r="M42" i="2"/>
  <c r="M41" i="2"/>
  <c r="K41" i="2"/>
  <c r="M40" i="2"/>
  <c r="K40" i="2"/>
  <c r="M39" i="2"/>
  <c r="K39" i="2"/>
  <c r="M38" i="2"/>
  <c r="K38" i="2"/>
  <c r="M37" i="2"/>
  <c r="K37" i="2"/>
  <c r="M36" i="2"/>
  <c r="K36" i="2"/>
  <c r="M35" i="2"/>
  <c r="K35" i="2"/>
  <c r="M34" i="2"/>
  <c r="K34" i="2"/>
  <c r="M33" i="2"/>
  <c r="K33" i="2"/>
  <c r="M32" i="2"/>
  <c r="K32" i="2"/>
  <c r="M31" i="2"/>
  <c r="K31" i="2"/>
  <c r="M30" i="2"/>
  <c r="K30" i="2"/>
  <c r="M29" i="2"/>
  <c r="K29" i="2"/>
  <c r="M28" i="2"/>
  <c r="K28" i="2"/>
  <c r="M27" i="2"/>
  <c r="K27" i="2"/>
  <c r="M26" i="2"/>
  <c r="K26" i="2"/>
  <c r="M25" i="2"/>
  <c r="K25" i="2"/>
  <c r="M24" i="2"/>
  <c r="K24" i="2"/>
  <c r="M23" i="2"/>
  <c r="K23" i="2"/>
  <c r="M22" i="2"/>
  <c r="K22" i="2"/>
  <c r="M21" i="2"/>
  <c r="K21" i="2"/>
  <c r="M20" i="2"/>
  <c r="K20" i="2"/>
  <c r="M19" i="2"/>
  <c r="K19" i="2"/>
  <c r="M18" i="2"/>
  <c r="K18" i="2"/>
  <c r="M17" i="2"/>
  <c r="K17" i="2"/>
  <c r="M16" i="2"/>
  <c r="K16" i="2"/>
  <c r="M15" i="2"/>
  <c r="K15" i="2"/>
  <c r="M14" i="2"/>
  <c r="K14" i="2"/>
  <c r="M13" i="2"/>
  <c r="K13" i="2"/>
  <c r="M12" i="2"/>
  <c r="K12" i="2"/>
  <c r="M11" i="2"/>
  <c r="K11" i="2"/>
  <c r="M10" i="2"/>
  <c r="K10" i="2"/>
  <c r="L9" i="2"/>
  <c r="T8" i="2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K148" i="2" l="1"/>
  <c r="K215" i="2"/>
  <c r="K218" i="2"/>
  <c r="K199" i="2"/>
  <c r="K150" i="2"/>
  <c r="K152" i="2"/>
  <c r="K168" i="2"/>
  <c r="K197" i="2"/>
  <c r="K163" i="2"/>
  <c r="K165" i="2"/>
  <c r="K134" i="2"/>
  <c r="K207" i="2"/>
  <c r="K138" i="2"/>
  <c r="K193" i="2"/>
  <c r="K156" i="2"/>
  <c r="K147" i="2"/>
  <c r="K160" i="2"/>
  <c r="K172" i="2"/>
  <c r="K149" i="2"/>
  <c r="K151" i="2"/>
  <c r="K157" i="2"/>
  <c r="K159" i="2"/>
  <c r="K162" i="2"/>
  <c r="K169" i="2"/>
  <c r="K171" i="2"/>
  <c r="K192" i="2"/>
  <c r="K230" i="2"/>
  <c r="K196" i="2"/>
  <c r="K139" i="2"/>
  <c r="K153" i="2"/>
  <c r="K166" i="2"/>
  <c r="K204" i="2"/>
  <c r="K220" i="2"/>
  <c r="K242" i="2"/>
  <c r="K136" i="2"/>
  <c r="K174" i="2"/>
  <c r="K175" i="2"/>
  <c r="K140" i="2"/>
  <c r="K146" i="2"/>
  <c r="K202" i="2"/>
  <c r="K42" i="2"/>
</calcChain>
</file>

<file path=xl/sharedStrings.xml><?xml version="1.0" encoding="utf-8"?>
<sst xmlns="http://schemas.openxmlformats.org/spreadsheetml/2006/main" count="516" uniqueCount="246">
  <si>
    <t>集計番号</t>
    <rPh sb="0" eb="2">
      <t>シュウケイ</t>
    </rPh>
    <rPh sb="2" eb="4">
      <t>バンゴウ</t>
    </rPh>
    <phoneticPr fontId="5"/>
  </si>
  <si>
    <t>集計名称</t>
    <rPh sb="0" eb="2">
      <t>シュウケイ</t>
    </rPh>
    <rPh sb="2" eb="4">
      <t>メイショウ</t>
    </rPh>
    <phoneticPr fontId="5"/>
  </si>
  <si>
    <t>集計経営体数</t>
    <phoneticPr fontId="5"/>
  </si>
  <si>
    <t>集計倍率</t>
    <phoneticPr fontId="5"/>
  </si>
  <si>
    <t>調査年</t>
    <rPh sb="0" eb="2">
      <t>チョウサ</t>
    </rPh>
    <rPh sb="2" eb="3">
      <t>ネン</t>
    </rPh>
    <phoneticPr fontId="5"/>
  </si>
  <si>
    <t>地域</t>
    <rPh sb="0" eb="2">
      <t>チイキ</t>
    </rPh>
    <phoneticPr fontId="5"/>
  </si>
  <si>
    <t>規模区分</t>
    <rPh sb="0" eb="2">
      <t>キボ</t>
    </rPh>
    <rPh sb="2" eb="4">
      <t>クブン</t>
    </rPh>
    <phoneticPr fontId="5"/>
  </si>
  <si>
    <t>本年</t>
    <rPh sb="0" eb="2">
      <t>ホンネン</t>
    </rPh>
    <phoneticPr fontId="5"/>
  </si>
  <si>
    <t>前年</t>
    <rPh sb="0" eb="2">
      <t>ゼンネン</t>
    </rPh>
    <phoneticPr fontId="5"/>
  </si>
  <si>
    <t>平均種類</t>
    <rPh sb="0" eb="2">
      <t>ヘイキン</t>
    </rPh>
    <rPh sb="2" eb="4">
      <t>シュルイ</t>
    </rPh>
    <phoneticPr fontId="5"/>
  </si>
  <si>
    <t>基本・詳細</t>
    <rPh sb="0" eb="2">
      <t>キホン</t>
    </rPh>
    <rPh sb="3" eb="5">
      <t>ショウサイ</t>
    </rPh>
    <phoneticPr fontId="5"/>
  </si>
  <si>
    <t>営農類型別表示行</t>
    <rPh sb="0" eb="2">
      <t>エイノウ</t>
    </rPh>
    <rPh sb="2" eb="4">
      <t>ルイケイ</t>
    </rPh>
    <rPh sb="4" eb="5">
      <t>ベツ</t>
    </rPh>
    <rPh sb="5" eb="7">
      <t>ヒョウジ</t>
    </rPh>
    <rPh sb="7" eb="8">
      <t>ギョウ</t>
    </rPh>
    <phoneticPr fontId="5"/>
  </si>
  <si>
    <t>区　　分</t>
    <phoneticPr fontId="3"/>
  </si>
  <si>
    <t>単位</t>
    <rPh sb="0" eb="2">
      <t>タンイ</t>
    </rPh>
    <phoneticPr fontId="3"/>
  </si>
  <si>
    <t>対前年
増減率(%)</t>
    <rPh sb="0" eb="1">
      <t>タイ</t>
    </rPh>
    <rPh sb="1" eb="3">
      <t>ゼンネン</t>
    </rPh>
    <phoneticPr fontId="3"/>
  </si>
  <si>
    <t>寄与率</t>
    <rPh sb="0" eb="3">
      <t>キヨリツ</t>
    </rPh>
    <phoneticPr fontId="3"/>
  </si>
  <si>
    <t>主な増減要因</t>
    <rPh sb="0" eb="1">
      <t>オモ</t>
    </rPh>
    <rPh sb="2" eb="4">
      <t>ゾウゲン</t>
    </rPh>
    <rPh sb="4" eb="6">
      <t>ヨウイン</t>
    </rPh>
    <phoneticPr fontId="3"/>
  </si>
  <si>
    <t>集計経営体数</t>
    <rPh sb="0" eb="2">
      <t>シュウケイ</t>
    </rPh>
    <rPh sb="2" eb="4">
      <t>ケイエイ</t>
    </rPh>
    <rPh sb="4" eb="6">
      <t>タイスウ</t>
    </rPh>
    <phoneticPr fontId="3"/>
  </si>
  <si>
    <t>経営体</t>
    <rPh sb="0" eb="3">
      <t>ケイエイタイ</t>
    </rPh>
    <phoneticPr fontId="3"/>
  </si>
  <si>
    <t>農業粗収益①</t>
    <rPh sb="0" eb="2">
      <t>ノウギョウ</t>
    </rPh>
    <rPh sb="2" eb="5">
      <t>ソシュウエキ</t>
    </rPh>
    <phoneticPr fontId="3"/>
  </si>
  <si>
    <t>千円</t>
    <rPh sb="0" eb="2">
      <t>センエン</t>
    </rPh>
    <phoneticPr fontId="3"/>
  </si>
  <si>
    <t>作物収入</t>
    <rPh sb="0" eb="2">
      <t>サクモツ</t>
    </rPh>
    <rPh sb="2" eb="4">
      <t>シュウニュウ</t>
    </rPh>
    <phoneticPr fontId="3"/>
  </si>
  <si>
    <t>稲作収入</t>
    <rPh sb="0" eb="2">
      <t>イナサク</t>
    </rPh>
    <rPh sb="2" eb="4">
      <t>シュウニュウ</t>
    </rPh>
    <phoneticPr fontId="3"/>
  </si>
  <si>
    <t>麦類収入</t>
    <rPh sb="0" eb="2">
      <t>ムギルイ</t>
    </rPh>
    <rPh sb="2" eb="4">
      <t>シュウニュウ</t>
    </rPh>
    <phoneticPr fontId="3"/>
  </si>
  <si>
    <t>豆類収入</t>
    <rPh sb="0" eb="2">
      <t>マメルイ</t>
    </rPh>
    <rPh sb="2" eb="4">
      <t>シュウニュウ</t>
    </rPh>
    <phoneticPr fontId="3"/>
  </si>
  <si>
    <t>かんしょ収入</t>
    <rPh sb="4" eb="6">
      <t>シュウニュウ</t>
    </rPh>
    <phoneticPr fontId="3"/>
  </si>
  <si>
    <t>ばれいしょ収入</t>
    <rPh sb="5" eb="7">
      <t>シュウニュウ</t>
    </rPh>
    <phoneticPr fontId="3"/>
  </si>
  <si>
    <t>工芸農作物収入</t>
    <rPh sb="0" eb="2">
      <t>コウゲイ</t>
    </rPh>
    <rPh sb="2" eb="5">
      <t>ノウサクモツ</t>
    </rPh>
    <rPh sb="5" eb="7">
      <t>シュウニュウ</t>
    </rPh>
    <phoneticPr fontId="3"/>
  </si>
  <si>
    <t>てんさい</t>
    <phoneticPr fontId="3"/>
  </si>
  <si>
    <t>さとうきび</t>
    <phoneticPr fontId="3"/>
  </si>
  <si>
    <t>茶</t>
    <rPh sb="0" eb="1">
      <t>チャ</t>
    </rPh>
    <phoneticPr fontId="3"/>
  </si>
  <si>
    <t>野菜収入</t>
    <rPh sb="0" eb="2">
      <t>ヤサイ</t>
    </rPh>
    <rPh sb="2" eb="4">
      <t>シュウニュウ</t>
    </rPh>
    <phoneticPr fontId="3"/>
  </si>
  <si>
    <t>露地野菜</t>
    <rPh sb="0" eb="2">
      <t>ロジ</t>
    </rPh>
    <rPh sb="2" eb="4">
      <t>ヤサイ</t>
    </rPh>
    <phoneticPr fontId="3"/>
  </si>
  <si>
    <t>施設野菜</t>
    <rPh sb="0" eb="2">
      <t>シセツ</t>
    </rPh>
    <rPh sb="2" eb="4">
      <t>ヤサイ</t>
    </rPh>
    <phoneticPr fontId="3"/>
  </si>
  <si>
    <t>果樹収入</t>
    <rPh sb="0" eb="2">
      <t>カジュ</t>
    </rPh>
    <rPh sb="2" eb="4">
      <t>シュウニュウ</t>
    </rPh>
    <phoneticPr fontId="3"/>
  </si>
  <si>
    <t>花き収入</t>
    <rPh sb="0" eb="1">
      <t>カ</t>
    </rPh>
    <rPh sb="2" eb="4">
      <t>シュウニュウ</t>
    </rPh>
    <phoneticPr fontId="3"/>
  </si>
  <si>
    <t>露地花き収入</t>
    <rPh sb="4" eb="6">
      <t>シュウニュウ</t>
    </rPh>
    <phoneticPr fontId="3"/>
  </si>
  <si>
    <t>露地切り花</t>
    <rPh sb="0" eb="2">
      <t>ロジ</t>
    </rPh>
    <rPh sb="2" eb="3">
      <t>キ</t>
    </rPh>
    <rPh sb="4" eb="5">
      <t>バナ</t>
    </rPh>
    <phoneticPr fontId="3"/>
  </si>
  <si>
    <t>施設花き収入</t>
    <rPh sb="0" eb="2">
      <t>シセツ</t>
    </rPh>
    <rPh sb="4" eb="6">
      <t>シュウニュウ</t>
    </rPh>
    <phoneticPr fontId="3"/>
  </si>
  <si>
    <t>施設切り花</t>
    <rPh sb="0" eb="2">
      <t>シセツ</t>
    </rPh>
    <rPh sb="2" eb="3">
      <t>キ</t>
    </rPh>
    <rPh sb="4" eb="5">
      <t>バナ</t>
    </rPh>
    <phoneticPr fontId="3"/>
  </si>
  <si>
    <t>施設鉢物</t>
    <rPh sb="0" eb="2">
      <t>シセツ</t>
    </rPh>
    <rPh sb="2" eb="4">
      <t>ハチモノ</t>
    </rPh>
    <phoneticPr fontId="3"/>
  </si>
  <si>
    <t>畜産収入</t>
    <rPh sb="0" eb="2">
      <t>チクサン</t>
    </rPh>
    <rPh sb="2" eb="4">
      <t>シュウニュウ</t>
    </rPh>
    <phoneticPr fontId="3"/>
  </si>
  <si>
    <t>酪農収入</t>
    <rPh sb="0" eb="2">
      <t>ラクノウ</t>
    </rPh>
    <rPh sb="2" eb="4">
      <t>シュウニュウ</t>
    </rPh>
    <phoneticPr fontId="3"/>
  </si>
  <si>
    <t>生乳</t>
    <rPh sb="0" eb="2">
      <t>セイニュウ</t>
    </rPh>
    <phoneticPr fontId="3"/>
  </si>
  <si>
    <t>繁殖牛収入</t>
    <rPh sb="0" eb="2">
      <t>ハンショク</t>
    </rPh>
    <rPh sb="2" eb="3">
      <t>ギュウ</t>
    </rPh>
    <rPh sb="3" eb="5">
      <t>シュウニュウ</t>
    </rPh>
    <phoneticPr fontId="3"/>
  </si>
  <si>
    <t>肥育牛収入</t>
    <rPh sb="0" eb="3">
      <t>ヒイクギュウ</t>
    </rPh>
    <rPh sb="3" eb="5">
      <t>シュウニュウ</t>
    </rPh>
    <phoneticPr fontId="3"/>
  </si>
  <si>
    <t>肉専用種</t>
    <rPh sb="0" eb="1">
      <t>ニク</t>
    </rPh>
    <rPh sb="1" eb="4">
      <t>センヨウシュ</t>
    </rPh>
    <phoneticPr fontId="3"/>
  </si>
  <si>
    <t>乳用種＋交雑種</t>
    <rPh sb="0" eb="3">
      <t>ニュウヨウシュ</t>
    </rPh>
    <rPh sb="4" eb="7">
      <t>コウザツシュ</t>
    </rPh>
    <phoneticPr fontId="3"/>
  </si>
  <si>
    <t>乳用種</t>
    <rPh sb="0" eb="2">
      <t>ニュウヨウ</t>
    </rPh>
    <rPh sb="2" eb="3">
      <t>シュ</t>
    </rPh>
    <phoneticPr fontId="3"/>
  </si>
  <si>
    <t>交雑種</t>
    <rPh sb="0" eb="3">
      <t>コウザツシュ</t>
    </rPh>
    <phoneticPr fontId="3"/>
  </si>
  <si>
    <t>養豚収入</t>
    <rPh sb="0" eb="2">
      <t>ヨウトン</t>
    </rPh>
    <rPh sb="2" eb="4">
      <t>シュウニュウ</t>
    </rPh>
    <phoneticPr fontId="3"/>
  </si>
  <si>
    <t>肉豚</t>
    <rPh sb="0" eb="1">
      <t>ニク</t>
    </rPh>
    <rPh sb="1" eb="2">
      <t>ブタ</t>
    </rPh>
    <phoneticPr fontId="3"/>
  </si>
  <si>
    <t>子豚</t>
    <rPh sb="0" eb="2">
      <t>コブタ</t>
    </rPh>
    <phoneticPr fontId="3"/>
  </si>
  <si>
    <t>採卵養鶏収入</t>
    <rPh sb="0" eb="2">
      <t>サイラン</t>
    </rPh>
    <rPh sb="2" eb="4">
      <t>ヨウケイ</t>
    </rPh>
    <rPh sb="4" eb="6">
      <t>シュウニュウ</t>
    </rPh>
    <phoneticPr fontId="3"/>
  </si>
  <si>
    <t>ブロイラー養鶏収入</t>
    <rPh sb="5" eb="7">
      <t>ヨウケイ</t>
    </rPh>
    <rPh sb="7" eb="9">
      <t>シュウニュウ</t>
    </rPh>
    <phoneticPr fontId="3"/>
  </si>
  <si>
    <t>受託収入</t>
    <rPh sb="0" eb="2">
      <t>ジュタク</t>
    </rPh>
    <rPh sb="2" eb="4">
      <t>シュウニュウ</t>
    </rPh>
    <phoneticPr fontId="3"/>
  </si>
  <si>
    <t>共済・補助金等受取金</t>
    <rPh sb="0" eb="2">
      <t>キョウサイ</t>
    </rPh>
    <rPh sb="3" eb="6">
      <t>ホジョキン</t>
    </rPh>
    <rPh sb="6" eb="7">
      <t>トウ</t>
    </rPh>
    <rPh sb="7" eb="9">
      <t>ウケトリ</t>
    </rPh>
    <rPh sb="9" eb="10">
      <t>キン</t>
    </rPh>
    <phoneticPr fontId="3"/>
  </si>
  <si>
    <t>雇人費</t>
    <rPh sb="0" eb="1">
      <t>ヤト</t>
    </rPh>
    <rPh sb="1" eb="2">
      <t>ニン</t>
    </rPh>
    <rPh sb="2" eb="3">
      <t>ヒ</t>
    </rPh>
    <phoneticPr fontId="3"/>
  </si>
  <si>
    <t>種苗費</t>
    <rPh sb="0" eb="2">
      <t>シュビョウ</t>
    </rPh>
    <rPh sb="2" eb="3">
      <t>ヒ</t>
    </rPh>
    <phoneticPr fontId="3"/>
  </si>
  <si>
    <t>素畜費</t>
    <rPh sb="0" eb="1">
      <t>モト</t>
    </rPh>
    <rPh sb="1" eb="3">
      <t>チクヒ</t>
    </rPh>
    <phoneticPr fontId="3"/>
  </si>
  <si>
    <t>肥料費</t>
    <rPh sb="0" eb="3">
      <t>ヒリョウヒ</t>
    </rPh>
    <phoneticPr fontId="3"/>
  </si>
  <si>
    <t>飼料費</t>
    <rPh sb="0" eb="3">
      <t>シリョウヒ</t>
    </rPh>
    <phoneticPr fontId="3"/>
  </si>
  <si>
    <t>農薬衛生費</t>
    <rPh sb="0" eb="2">
      <t>ノウヤク</t>
    </rPh>
    <rPh sb="2" eb="5">
      <t>エイセイヒ</t>
    </rPh>
    <phoneticPr fontId="3"/>
  </si>
  <si>
    <t>諸材料費</t>
    <rPh sb="0" eb="1">
      <t>ショ</t>
    </rPh>
    <rPh sb="1" eb="4">
      <t>ザイリョウヒ</t>
    </rPh>
    <phoneticPr fontId="3"/>
  </si>
  <si>
    <t>動力光熱費</t>
    <rPh sb="0" eb="2">
      <t>ドウリョク</t>
    </rPh>
    <rPh sb="2" eb="5">
      <t>コウネツヒ</t>
    </rPh>
    <phoneticPr fontId="3"/>
  </si>
  <si>
    <t>修繕費</t>
    <phoneticPr fontId="3"/>
  </si>
  <si>
    <t>農具費</t>
    <phoneticPr fontId="3"/>
  </si>
  <si>
    <t>地代・賃借料</t>
    <rPh sb="0" eb="2">
      <t>チダイ</t>
    </rPh>
    <rPh sb="3" eb="6">
      <t>チンシャクリョウ</t>
    </rPh>
    <phoneticPr fontId="3"/>
  </si>
  <si>
    <t>荷造運賃手数料</t>
    <rPh sb="0" eb="2">
      <t>ニヅク</t>
    </rPh>
    <rPh sb="2" eb="4">
      <t>ウンチン</t>
    </rPh>
    <rPh sb="4" eb="7">
      <t>テスウリョウ</t>
    </rPh>
    <phoneticPr fontId="3"/>
  </si>
  <si>
    <t>減価償却費</t>
    <rPh sb="0" eb="2">
      <t>ゲンカ</t>
    </rPh>
    <rPh sb="2" eb="5">
      <t>ショウキャクヒ</t>
    </rPh>
    <phoneticPr fontId="3"/>
  </si>
  <si>
    <t>事業収入⑤</t>
    <rPh sb="0" eb="2">
      <t>ジギョウ</t>
    </rPh>
    <rPh sb="2" eb="4">
      <t>シュウニュウ</t>
    </rPh>
    <phoneticPr fontId="3"/>
  </si>
  <si>
    <t>事業支出⑥</t>
    <rPh sb="0" eb="2">
      <t>ジギョウ</t>
    </rPh>
    <rPh sb="2" eb="4">
      <t>シシュツ</t>
    </rPh>
    <phoneticPr fontId="3"/>
  </si>
  <si>
    <t>経営概況</t>
    <rPh sb="0" eb="2">
      <t>ケイエイ</t>
    </rPh>
    <rPh sb="2" eb="4">
      <t>ガイキョウ</t>
    </rPh>
    <phoneticPr fontId="3"/>
  </si>
  <si>
    <t>農業従事者</t>
    <rPh sb="0" eb="2">
      <t>ノウギョウ</t>
    </rPh>
    <rPh sb="2" eb="5">
      <t>ジュウジシャ</t>
    </rPh>
    <phoneticPr fontId="3"/>
  </si>
  <si>
    <t>人</t>
    <rPh sb="0" eb="1">
      <t>ニン</t>
    </rPh>
    <phoneticPr fontId="3"/>
  </si>
  <si>
    <t>経営耕地面積</t>
    <rPh sb="0" eb="2">
      <t>ケイエイ</t>
    </rPh>
    <rPh sb="2" eb="4">
      <t>コウチ</t>
    </rPh>
    <rPh sb="4" eb="6">
      <t>メンセキ</t>
    </rPh>
    <phoneticPr fontId="3"/>
  </si>
  <si>
    <t>ａ</t>
    <phoneticPr fontId="3"/>
  </si>
  <si>
    <t>水田作作付延べ面積</t>
    <rPh sb="0" eb="2">
      <t>スイデン</t>
    </rPh>
    <rPh sb="2" eb="3">
      <t>サク</t>
    </rPh>
    <rPh sb="3" eb="5">
      <t>サクツケ</t>
    </rPh>
    <rPh sb="5" eb="6">
      <t>ノ</t>
    </rPh>
    <rPh sb="7" eb="9">
      <t>メンセキ</t>
    </rPh>
    <phoneticPr fontId="3"/>
  </si>
  <si>
    <t>作付面積</t>
    <rPh sb="0" eb="2">
      <t>サクツケ</t>
    </rPh>
    <rPh sb="2" eb="4">
      <t>メンセキ</t>
    </rPh>
    <phoneticPr fontId="3"/>
  </si>
  <si>
    <t>ａ</t>
  </si>
  <si>
    <t>10a当たり収量</t>
    <rPh sb="3" eb="4">
      <t>ア</t>
    </rPh>
    <rPh sb="6" eb="8">
      <t>シュウリョウ</t>
    </rPh>
    <phoneticPr fontId="3"/>
  </si>
  <si>
    <t>㎏</t>
    <phoneticPr fontId="3"/>
  </si>
  <si>
    <t>円</t>
    <rPh sb="0" eb="1">
      <t>エン</t>
    </rPh>
    <phoneticPr fontId="3"/>
  </si>
  <si>
    <t>畑作作付延べ面積</t>
    <rPh sb="0" eb="2">
      <t>ハタサク</t>
    </rPh>
    <rPh sb="2" eb="4">
      <t>サクツケ</t>
    </rPh>
    <rPh sb="4" eb="5">
      <t>ノ</t>
    </rPh>
    <rPh sb="6" eb="8">
      <t>メンセキ</t>
    </rPh>
    <phoneticPr fontId="3"/>
  </si>
  <si>
    <t>露地野菜
作付延べ面積</t>
    <rPh sb="0" eb="2">
      <t>ロジ</t>
    </rPh>
    <rPh sb="2" eb="4">
      <t>ヤサイ</t>
    </rPh>
    <rPh sb="5" eb="7">
      <t>サクツケ</t>
    </rPh>
    <rPh sb="7" eb="8">
      <t>ノ</t>
    </rPh>
    <rPh sb="9" eb="11">
      <t>メンセキ</t>
    </rPh>
    <phoneticPr fontId="3"/>
  </si>
  <si>
    <t>施設野菜
作付延べ面積</t>
    <rPh sb="0" eb="2">
      <t>シセツ</t>
    </rPh>
    <rPh sb="2" eb="4">
      <t>ヤサイ</t>
    </rPh>
    <rPh sb="5" eb="7">
      <t>サクツケ</t>
    </rPh>
    <rPh sb="7" eb="8">
      <t>ノ</t>
    </rPh>
    <rPh sb="9" eb="11">
      <t>メンセキ</t>
    </rPh>
    <phoneticPr fontId="3"/>
  </si>
  <si>
    <t>㎡</t>
    <phoneticPr fontId="3"/>
  </si>
  <si>
    <t>果樹植栽面積</t>
    <rPh sb="0" eb="2">
      <t>カジュ</t>
    </rPh>
    <rPh sb="2" eb="4">
      <t>ショクサイ</t>
    </rPh>
    <rPh sb="4" eb="6">
      <t>メンセキ</t>
    </rPh>
    <phoneticPr fontId="3"/>
  </si>
  <si>
    <t>露地花き
作付延べ面積</t>
    <rPh sb="0" eb="2">
      <t>ロジ</t>
    </rPh>
    <rPh sb="2" eb="3">
      <t>カ</t>
    </rPh>
    <rPh sb="5" eb="7">
      <t>サクツケ</t>
    </rPh>
    <rPh sb="7" eb="8">
      <t>ノ</t>
    </rPh>
    <rPh sb="9" eb="11">
      <t>メンセキ</t>
    </rPh>
    <phoneticPr fontId="3"/>
  </si>
  <si>
    <t>施設花き
作付延べ面積</t>
    <rPh sb="0" eb="2">
      <t>シセツ</t>
    </rPh>
    <rPh sb="2" eb="3">
      <t>カ</t>
    </rPh>
    <rPh sb="5" eb="7">
      <t>サクツケ</t>
    </rPh>
    <rPh sb="7" eb="8">
      <t>ノ</t>
    </rPh>
    <rPh sb="9" eb="11">
      <t>メンセキ</t>
    </rPh>
    <phoneticPr fontId="3"/>
  </si>
  <si>
    <t>月平均
搾乳牛飼養頭数</t>
    <rPh sb="0" eb="3">
      <t>ツキヘイキン</t>
    </rPh>
    <rPh sb="4" eb="6">
      <t>サクニュウ</t>
    </rPh>
    <rPh sb="6" eb="7">
      <t>ギュウ</t>
    </rPh>
    <rPh sb="7" eb="9">
      <t>シヨウ</t>
    </rPh>
    <rPh sb="9" eb="11">
      <t>トウスウ</t>
    </rPh>
    <phoneticPr fontId="3"/>
  </si>
  <si>
    <t>頭</t>
    <rPh sb="0" eb="1">
      <t>トウ</t>
    </rPh>
    <phoneticPr fontId="3"/>
  </si>
  <si>
    <t>酪農</t>
    <rPh sb="0" eb="2">
      <t>ラクノウ</t>
    </rPh>
    <phoneticPr fontId="3"/>
  </si>
  <si>
    <t>生乳生産量</t>
    <rPh sb="0" eb="2">
      <t>セイニュウ</t>
    </rPh>
    <rPh sb="2" eb="5">
      <t>セイサンリョウ</t>
    </rPh>
    <phoneticPr fontId="3"/>
  </si>
  <si>
    <t>㎏</t>
  </si>
  <si>
    <t>搾乳牛１頭
当たり乳量</t>
    <rPh sb="0" eb="2">
      <t>サクニュウ</t>
    </rPh>
    <rPh sb="2" eb="3">
      <t>ギュウ</t>
    </rPh>
    <rPh sb="4" eb="5">
      <t>トウ</t>
    </rPh>
    <rPh sb="6" eb="7">
      <t>ア</t>
    </rPh>
    <rPh sb="9" eb="11">
      <t>ニュウリョウ</t>
    </rPh>
    <phoneticPr fontId="3"/>
  </si>
  <si>
    <t>１kg当たり
生乳単価</t>
    <rPh sb="7" eb="9">
      <t>セイニュウ</t>
    </rPh>
    <rPh sb="9" eb="11">
      <t>タンカ</t>
    </rPh>
    <phoneticPr fontId="3"/>
  </si>
  <si>
    <t>自家生産和牛
販売頭数</t>
    <rPh sb="0" eb="2">
      <t>ジカ</t>
    </rPh>
    <rPh sb="2" eb="4">
      <t>セイサン</t>
    </rPh>
    <rPh sb="4" eb="6">
      <t>ワギュウ</t>
    </rPh>
    <rPh sb="7" eb="9">
      <t>ハンバイ</t>
    </rPh>
    <rPh sb="9" eb="11">
      <t>トウスウ</t>
    </rPh>
    <phoneticPr fontId="3"/>
  </si>
  <si>
    <t>自家生産和牛単価</t>
    <rPh sb="0" eb="2">
      <t>ジカ</t>
    </rPh>
    <rPh sb="2" eb="4">
      <t>セイサン</t>
    </rPh>
    <rPh sb="4" eb="6">
      <t>ワギュウ</t>
    </rPh>
    <rPh sb="6" eb="8">
      <t>タンカ</t>
    </rPh>
    <phoneticPr fontId="3"/>
  </si>
  <si>
    <t>月平均
肥育牛飼養頭数</t>
    <rPh sb="0" eb="3">
      <t>ツキヘイキン</t>
    </rPh>
    <rPh sb="4" eb="7">
      <t>ヒイクギュウ</t>
    </rPh>
    <rPh sb="7" eb="9">
      <t>シヨウ</t>
    </rPh>
    <rPh sb="9" eb="11">
      <t>トウスウ</t>
    </rPh>
    <phoneticPr fontId="3"/>
  </si>
  <si>
    <t>乳用種＋交雑種</t>
    <phoneticPr fontId="3"/>
  </si>
  <si>
    <t>乳用種</t>
    <phoneticPr fontId="3"/>
  </si>
  <si>
    <t>交雑種</t>
    <phoneticPr fontId="3"/>
  </si>
  <si>
    <t>肥育牛販売頭数</t>
    <rPh sb="0" eb="3">
      <t>ヒイクギュウ</t>
    </rPh>
    <rPh sb="3" eb="5">
      <t>ハンバイ</t>
    </rPh>
    <rPh sb="5" eb="7">
      <t>トウスウ</t>
    </rPh>
    <phoneticPr fontId="3"/>
  </si>
  <si>
    <t>乳用種＋交雑種</t>
  </si>
  <si>
    <t>乳用種</t>
  </si>
  <si>
    <t>交雑種</t>
  </si>
  <si>
    <t>肥育牛単価</t>
    <rPh sb="0" eb="3">
      <t>ヒイクギュウ</t>
    </rPh>
    <rPh sb="3" eb="5">
      <t>タンカ</t>
    </rPh>
    <phoneticPr fontId="3"/>
  </si>
  <si>
    <t>月平均
肥育豚飼養頭数</t>
    <rPh sb="0" eb="3">
      <t>ツキヘイキン</t>
    </rPh>
    <rPh sb="4" eb="6">
      <t>ヒイク</t>
    </rPh>
    <rPh sb="6" eb="7">
      <t>トン</t>
    </rPh>
    <rPh sb="7" eb="9">
      <t>シヨウ</t>
    </rPh>
    <rPh sb="9" eb="11">
      <t>トウスウ</t>
    </rPh>
    <phoneticPr fontId="3"/>
  </si>
  <si>
    <t>肉豚販売頭数</t>
    <rPh sb="0" eb="1">
      <t>ニク</t>
    </rPh>
    <rPh sb="1" eb="2">
      <t>ブタ</t>
    </rPh>
    <rPh sb="2" eb="4">
      <t>ハンバイ</t>
    </rPh>
    <rPh sb="4" eb="6">
      <t>トウスウ</t>
    </rPh>
    <phoneticPr fontId="3"/>
  </si>
  <si>
    <t>子豚販売頭数</t>
    <rPh sb="0" eb="2">
      <t>コブタ</t>
    </rPh>
    <rPh sb="2" eb="4">
      <t>ハンバイ</t>
    </rPh>
    <rPh sb="4" eb="6">
      <t>トウスウ</t>
    </rPh>
    <phoneticPr fontId="3"/>
  </si>
  <si>
    <t>肉豚単価</t>
    <rPh sb="0" eb="1">
      <t>ニク</t>
    </rPh>
    <rPh sb="1" eb="2">
      <t>ブタ</t>
    </rPh>
    <rPh sb="2" eb="4">
      <t>タンカ</t>
    </rPh>
    <phoneticPr fontId="3"/>
  </si>
  <si>
    <t>採卵養鶏</t>
    <rPh sb="0" eb="2">
      <t>サイラン</t>
    </rPh>
    <rPh sb="2" eb="4">
      <t>ヨウケイ</t>
    </rPh>
    <phoneticPr fontId="3"/>
  </si>
  <si>
    <t>月平均
採卵鶏飼養羽数</t>
    <rPh sb="0" eb="3">
      <t>ツキヘイキン</t>
    </rPh>
    <rPh sb="4" eb="7">
      <t>サイランケイ</t>
    </rPh>
    <rPh sb="7" eb="9">
      <t>シヨウ</t>
    </rPh>
    <rPh sb="9" eb="10">
      <t>ハネ</t>
    </rPh>
    <rPh sb="10" eb="11">
      <t>スウ</t>
    </rPh>
    <phoneticPr fontId="3"/>
  </si>
  <si>
    <t>羽</t>
    <rPh sb="0" eb="1">
      <t>ハ</t>
    </rPh>
    <phoneticPr fontId="3"/>
  </si>
  <si>
    <t>鶏卵生産量</t>
    <rPh sb="0" eb="2">
      <t>ケイラン</t>
    </rPh>
    <rPh sb="2" eb="5">
      <t>セイサンリョウ</t>
    </rPh>
    <phoneticPr fontId="3"/>
  </si>
  <si>
    <t>１㎏当たり
鶏卵単価</t>
    <rPh sb="2" eb="3">
      <t>ア</t>
    </rPh>
    <rPh sb="6" eb="8">
      <t>ケイラン</t>
    </rPh>
    <rPh sb="8" eb="10">
      <t>タンカ</t>
    </rPh>
    <phoneticPr fontId="3"/>
  </si>
  <si>
    <t>ブロイラー
養鶏</t>
    <rPh sb="6" eb="8">
      <t>ヨウケイ</t>
    </rPh>
    <phoneticPr fontId="3"/>
  </si>
  <si>
    <t>ブロイラー販売羽数</t>
    <rPh sb="5" eb="7">
      <t>ハンバイ</t>
    </rPh>
    <rPh sb="7" eb="8">
      <t>ハネ</t>
    </rPh>
    <rPh sb="8" eb="9">
      <t>スウ</t>
    </rPh>
    <phoneticPr fontId="3"/>
  </si>
  <si>
    <t>１羽当たり
ブロイラー単価</t>
    <rPh sb="1" eb="2">
      <t>ハ</t>
    </rPh>
    <rPh sb="2" eb="3">
      <t>ア</t>
    </rPh>
    <rPh sb="11" eb="13">
      <t>タンカ</t>
    </rPh>
    <phoneticPr fontId="3"/>
  </si>
  <si>
    <t>農業労働時間</t>
    <rPh sb="0" eb="2">
      <t>ノウギョウ</t>
    </rPh>
    <rPh sb="2" eb="4">
      <t>ロウドウ</t>
    </rPh>
    <rPh sb="4" eb="6">
      <t>ジカン</t>
    </rPh>
    <phoneticPr fontId="3"/>
  </si>
  <si>
    <t>時間</t>
    <rPh sb="0" eb="2">
      <t>ジカン</t>
    </rPh>
    <phoneticPr fontId="3"/>
  </si>
  <si>
    <t>有給役員・家族</t>
    <rPh sb="0" eb="2">
      <t>ユウキュウ</t>
    </rPh>
    <rPh sb="2" eb="4">
      <t>ヤクイン</t>
    </rPh>
    <rPh sb="5" eb="7">
      <t>カゾク</t>
    </rPh>
    <phoneticPr fontId="3"/>
  </si>
  <si>
    <t>雇用者</t>
    <rPh sb="0" eb="2">
      <t>コヨウ</t>
    </rPh>
    <rPh sb="2" eb="3">
      <t>シャ</t>
    </rPh>
    <phoneticPr fontId="3"/>
  </si>
  <si>
    <t>分析指標</t>
    <rPh sb="0" eb="2">
      <t>ブンセキ</t>
    </rPh>
    <rPh sb="2" eb="4">
      <t>シヒョウ</t>
    </rPh>
    <phoneticPr fontId="3"/>
  </si>
  <si>
    <t>農業労働１時間当たり
農業付加価値額</t>
    <rPh sb="0" eb="2">
      <t>ノウギョウ</t>
    </rPh>
    <rPh sb="2" eb="4">
      <t>ロウドウ</t>
    </rPh>
    <rPh sb="5" eb="7">
      <t>ジカン</t>
    </rPh>
    <rPh sb="7" eb="8">
      <t>ア</t>
    </rPh>
    <rPh sb="11" eb="13">
      <t>ノウギョウ</t>
    </rPh>
    <rPh sb="13" eb="15">
      <t>フカ</t>
    </rPh>
    <rPh sb="15" eb="18">
      <t>カチガク</t>
    </rPh>
    <phoneticPr fontId="3"/>
  </si>
  <si>
    <t>(個別）計算用</t>
    <rPh sb="1" eb="3">
      <t>コベツ</t>
    </rPh>
    <rPh sb="4" eb="6">
      <t>ケイサン</t>
    </rPh>
    <rPh sb="6" eb="7">
      <t>ヨウ</t>
    </rPh>
    <phoneticPr fontId="3"/>
  </si>
  <si>
    <t>水稲作付面積</t>
    <rPh sb="0" eb="2">
      <t>スイトウ</t>
    </rPh>
    <rPh sb="2" eb="4">
      <t>サクツケ</t>
    </rPh>
    <rPh sb="4" eb="6">
      <t>メンセキ</t>
    </rPh>
    <phoneticPr fontId="3"/>
  </si>
  <si>
    <t>主食用米</t>
    <rPh sb="0" eb="3">
      <t>シュショクヨウ</t>
    </rPh>
    <rPh sb="3" eb="4">
      <t>マイ</t>
    </rPh>
    <phoneticPr fontId="3"/>
  </si>
  <si>
    <t>主食用米（田）</t>
    <rPh sb="0" eb="3">
      <t>シュショクヨウ</t>
    </rPh>
    <rPh sb="3" eb="4">
      <t>マイ</t>
    </rPh>
    <rPh sb="5" eb="6">
      <t>デン</t>
    </rPh>
    <phoneticPr fontId="3"/>
  </si>
  <si>
    <t>加工用米</t>
    <rPh sb="0" eb="3">
      <t>カコウヨウ</t>
    </rPh>
    <rPh sb="3" eb="4">
      <t>マイ</t>
    </rPh>
    <phoneticPr fontId="3"/>
  </si>
  <si>
    <t>加工用米（田）</t>
    <rPh sb="0" eb="3">
      <t>カコウヨウ</t>
    </rPh>
    <rPh sb="3" eb="4">
      <t>マイ</t>
    </rPh>
    <rPh sb="5" eb="6">
      <t>タ</t>
    </rPh>
    <phoneticPr fontId="3"/>
  </si>
  <si>
    <t>麦類作付面積</t>
    <rPh sb="0" eb="1">
      <t>ムギ</t>
    </rPh>
    <rPh sb="1" eb="2">
      <t>ルイ</t>
    </rPh>
    <rPh sb="2" eb="4">
      <t>サクツケ</t>
    </rPh>
    <rPh sb="4" eb="6">
      <t>メンセキ</t>
    </rPh>
    <phoneticPr fontId="3"/>
  </si>
  <si>
    <t>いも類作付面積</t>
    <rPh sb="2" eb="3">
      <t>ルイ</t>
    </rPh>
    <rPh sb="3" eb="5">
      <t>サクツケ</t>
    </rPh>
    <rPh sb="5" eb="7">
      <t>メンセキ</t>
    </rPh>
    <phoneticPr fontId="3"/>
  </si>
  <si>
    <t>工芸農作物作付面積</t>
    <rPh sb="0" eb="2">
      <t>コウゲイ</t>
    </rPh>
    <rPh sb="2" eb="5">
      <t>ノウサクモツ</t>
    </rPh>
    <rPh sb="5" eb="7">
      <t>サクツケ</t>
    </rPh>
    <rPh sb="7" eb="9">
      <t>メンセキ</t>
    </rPh>
    <phoneticPr fontId="3"/>
  </si>
  <si>
    <t>麦類作付面積（田）</t>
    <rPh sb="0" eb="1">
      <t>ムギ</t>
    </rPh>
    <rPh sb="1" eb="2">
      <t>ルイ</t>
    </rPh>
    <rPh sb="2" eb="4">
      <t>サクツケ</t>
    </rPh>
    <rPh sb="4" eb="6">
      <t>メンセキ</t>
    </rPh>
    <rPh sb="7" eb="8">
      <t>デン</t>
    </rPh>
    <phoneticPr fontId="3"/>
  </si>
  <si>
    <t>いも類作付面積（田）</t>
    <rPh sb="2" eb="3">
      <t>ルイ</t>
    </rPh>
    <rPh sb="3" eb="5">
      <t>サクツケ</t>
    </rPh>
    <rPh sb="5" eb="7">
      <t>メンセキ</t>
    </rPh>
    <rPh sb="8" eb="9">
      <t>デン</t>
    </rPh>
    <phoneticPr fontId="3"/>
  </si>
  <si>
    <t>工芸農作物作付面積（田）</t>
    <rPh sb="0" eb="2">
      <t>コウゲイ</t>
    </rPh>
    <rPh sb="2" eb="5">
      <t>ノウサクモツ</t>
    </rPh>
    <rPh sb="5" eb="7">
      <t>サクツケ</t>
    </rPh>
    <rPh sb="7" eb="9">
      <t>メンセキ</t>
    </rPh>
    <rPh sb="10" eb="11">
      <t>デン</t>
    </rPh>
    <phoneticPr fontId="3"/>
  </si>
  <si>
    <t>陸稲作付面積（主食用米（畑））</t>
    <rPh sb="0" eb="2">
      <t>リクトウ</t>
    </rPh>
    <rPh sb="2" eb="4">
      <t>サクツケ</t>
    </rPh>
    <rPh sb="4" eb="6">
      <t>メンセキ</t>
    </rPh>
    <rPh sb="7" eb="10">
      <t>シュショクヨウ</t>
    </rPh>
    <rPh sb="10" eb="11">
      <t>マイ</t>
    </rPh>
    <rPh sb="12" eb="13">
      <t>ハタ</t>
    </rPh>
    <phoneticPr fontId="3"/>
  </si>
  <si>
    <t>加工用米（畑）</t>
    <rPh sb="0" eb="3">
      <t>カコウヨウ</t>
    </rPh>
    <rPh sb="3" eb="4">
      <t>マイ</t>
    </rPh>
    <rPh sb="5" eb="6">
      <t>ハタ</t>
    </rPh>
    <phoneticPr fontId="3"/>
  </si>
  <si>
    <t>麦類作付面積（畑）</t>
    <rPh sb="0" eb="1">
      <t>ムギ</t>
    </rPh>
    <rPh sb="1" eb="2">
      <t>ルイ</t>
    </rPh>
    <rPh sb="2" eb="4">
      <t>サクツケ</t>
    </rPh>
    <rPh sb="4" eb="6">
      <t>メンセキ</t>
    </rPh>
    <rPh sb="7" eb="8">
      <t>ハタ</t>
    </rPh>
    <phoneticPr fontId="3"/>
  </si>
  <si>
    <t>いも類作付面積（畑）</t>
    <rPh sb="2" eb="3">
      <t>ルイ</t>
    </rPh>
    <rPh sb="3" eb="5">
      <t>サクツケ</t>
    </rPh>
    <rPh sb="5" eb="7">
      <t>メンセキ</t>
    </rPh>
    <rPh sb="8" eb="9">
      <t>ハタ</t>
    </rPh>
    <phoneticPr fontId="3"/>
  </si>
  <si>
    <t>工芸農作物作付面積（畑）</t>
    <rPh sb="0" eb="2">
      <t>コウゲイ</t>
    </rPh>
    <rPh sb="2" eb="5">
      <t>ノウサクモツ</t>
    </rPh>
    <rPh sb="5" eb="7">
      <t>サクツケ</t>
    </rPh>
    <rPh sb="7" eb="9">
      <t>メンセキ</t>
    </rPh>
    <rPh sb="10" eb="11">
      <t>ハタ</t>
    </rPh>
    <phoneticPr fontId="3"/>
  </si>
  <si>
    <t>茶植栽面積</t>
    <rPh sb="0" eb="1">
      <t>チャ</t>
    </rPh>
    <rPh sb="1" eb="3">
      <t>ショクサイ</t>
    </rPh>
    <rPh sb="3" eb="5">
      <t>メンセキ</t>
    </rPh>
    <phoneticPr fontId="3"/>
  </si>
  <si>
    <t>生産量
（稲作（水稲））</t>
    <rPh sb="0" eb="3">
      <t>セイサンリョウ</t>
    </rPh>
    <phoneticPr fontId="3"/>
  </si>
  <si>
    <t>生産量
（主食用米）</t>
    <rPh sb="0" eb="3">
      <t>セイサンリョウ</t>
    </rPh>
    <rPh sb="5" eb="8">
      <t>シュショクヨウ</t>
    </rPh>
    <rPh sb="8" eb="9">
      <t>マイ</t>
    </rPh>
    <phoneticPr fontId="3"/>
  </si>
  <si>
    <t>生産量
（加工用米）</t>
    <rPh sb="0" eb="3">
      <t>セイサンリョウ</t>
    </rPh>
    <rPh sb="5" eb="8">
      <t>カコウヨウ</t>
    </rPh>
    <rPh sb="8" eb="9">
      <t>マイ</t>
    </rPh>
    <phoneticPr fontId="3"/>
  </si>
  <si>
    <t>販売数量
（食用米（主食用米））</t>
    <rPh sb="0" eb="2">
      <t>ハンバイ</t>
    </rPh>
    <rPh sb="2" eb="4">
      <t>スウリョウ</t>
    </rPh>
    <phoneticPr fontId="3"/>
  </si>
  <si>
    <t>収入金額
（食用米（主食用米））</t>
    <rPh sb="0" eb="2">
      <t>シュウニュウ</t>
    </rPh>
    <rPh sb="2" eb="4">
      <t>キンガク</t>
    </rPh>
    <rPh sb="6" eb="9">
      <t>ショクヨウマイ</t>
    </rPh>
    <rPh sb="10" eb="13">
      <t>シュショクヨウ</t>
    </rPh>
    <rPh sb="13" eb="14">
      <t>マイ</t>
    </rPh>
    <phoneticPr fontId="3"/>
  </si>
  <si>
    <t>農業付加価値額</t>
    <rPh sb="0" eb="2">
      <t>ノウギョウ</t>
    </rPh>
    <rPh sb="2" eb="4">
      <t>フカ</t>
    </rPh>
    <rPh sb="4" eb="7">
      <t>カチガク</t>
    </rPh>
    <phoneticPr fontId="3"/>
  </si>
  <si>
    <t>在庫・動植物増減額</t>
    <rPh sb="0" eb="2">
      <t>ザイコ</t>
    </rPh>
    <rPh sb="3" eb="6">
      <t>ドウショクブツ</t>
    </rPh>
    <rPh sb="6" eb="8">
      <t>ゾウゲン</t>
    </rPh>
    <rPh sb="8" eb="9">
      <t>ガク</t>
    </rPh>
    <phoneticPr fontId="3"/>
  </si>
  <si>
    <t>農業従事者１人当たり
農業付加価値額</t>
    <rPh sb="0" eb="2">
      <t>ノウギョウ</t>
    </rPh>
    <rPh sb="2" eb="5">
      <t>ジュウジシャ</t>
    </rPh>
    <rPh sb="6" eb="7">
      <t>ニン</t>
    </rPh>
    <rPh sb="7" eb="8">
      <t>ア</t>
    </rPh>
    <rPh sb="11" eb="13">
      <t>ノウギョウ</t>
    </rPh>
    <rPh sb="13" eb="15">
      <t>フカ</t>
    </rPh>
    <rPh sb="15" eb="18">
      <t>カチガク</t>
    </rPh>
    <phoneticPr fontId="3"/>
  </si>
  <si>
    <t>家事・事業消費</t>
    <rPh sb="0" eb="2">
      <t>カジ</t>
    </rPh>
    <rPh sb="3" eb="5">
      <t>ジギョウ</t>
    </rPh>
    <rPh sb="5" eb="7">
      <t>ショウヒ</t>
    </rPh>
    <phoneticPr fontId="3"/>
  </si>
  <si>
    <t>対前年
増減差</t>
    <rPh sb="0" eb="1">
      <t>タイ</t>
    </rPh>
    <rPh sb="1" eb="3">
      <t>ゼンネン</t>
    </rPh>
    <rPh sb="6" eb="7">
      <t>サ</t>
    </rPh>
    <phoneticPr fontId="3"/>
  </si>
  <si>
    <t>雑穀収入</t>
    <rPh sb="0" eb="2">
      <t>ザッコク</t>
    </rPh>
    <rPh sb="2" eb="4">
      <t>シュウニュウ</t>
    </rPh>
    <phoneticPr fontId="3"/>
  </si>
  <si>
    <t>露地鉢物</t>
    <rPh sb="0" eb="2">
      <t>ロジ</t>
    </rPh>
    <rPh sb="2" eb="4">
      <t>ハチモノ</t>
    </rPh>
    <phoneticPr fontId="3"/>
  </si>
  <si>
    <t>飼料作物収入</t>
    <rPh sb="0" eb="4">
      <t>シリョウサクモツ</t>
    </rPh>
    <rPh sb="4" eb="6">
      <t>シュウニュウ</t>
    </rPh>
    <phoneticPr fontId="3"/>
  </si>
  <si>
    <t>その他の作物収入</t>
    <rPh sb="2" eb="3">
      <t>タ</t>
    </rPh>
    <rPh sb="4" eb="6">
      <t>サクモツ</t>
    </rPh>
    <rPh sb="6" eb="8">
      <t>シュウニュウ</t>
    </rPh>
    <phoneticPr fontId="3"/>
  </si>
  <si>
    <t>農業経営費②</t>
    <rPh sb="0" eb="2">
      <t>ノウギョウ</t>
    </rPh>
    <rPh sb="2" eb="5">
      <t>ケイエイヒ</t>
    </rPh>
    <phoneticPr fontId="3"/>
  </si>
  <si>
    <t>作業用衣料費</t>
    <rPh sb="0" eb="6">
      <t>サギョウヨウイリョウヒ</t>
    </rPh>
    <phoneticPr fontId="3"/>
  </si>
  <si>
    <t>土地改良費</t>
    <rPh sb="0" eb="5">
      <t>トチカイリョウヒ</t>
    </rPh>
    <phoneticPr fontId="3"/>
  </si>
  <si>
    <t>租税公課</t>
    <rPh sb="0" eb="4">
      <t>ソゼイコウカ</t>
    </rPh>
    <phoneticPr fontId="3"/>
  </si>
  <si>
    <t>利子割引料</t>
    <rPh sb="0" eb="5">
      <t>リシワリビキリョウ</t>
    </rPh>
    <phoneticPr fontId="3"/>
  </si>
  <si>
    <t>農業雑支出</t>
    <rPh sb="0" eb="2">
      <t>ノウギョウ</t>
    </rPh>
    <rPh sb="2" eb="3">
      <t>ザツ</t>
    </rPh>
    <rPh sb="3" eb="5">
      <t>シシュツ</t>
    </rPh>
    <phoneticPr fontId="3"/>
  </si>
  <si>
    <t>農業共済掛金</t>
    <rPh sb="0" eb="6">
      <t>ノウギョウキョウサイカケキン</t>
    </rPh>
    <phoneticPr fontId="3"/>
  </si>
  <si>
    <t>棚卸高（農産物以外）</t>
    <rPh sb="0" eb="3">
      <t>タナオロシダカ</t>
    </rPh>
    <rPh sb="4" eb="9">
      <t>ノウサンブツイガイ</t>
    </rPh>
    <phoneticPr fontId="3"/>
  </si>
  <si>
    <t>牛馬等育成費用</t>
    <rPh sb="0" eb="7">
      <t>ギュウバトウイクセイヒヨウ</t>
    </rPh>
    <phoneticPr fontId="3"/>
  </si>
  <si>
    <t>農業所得　③＝①－②</t>
    <rPh sb="0" eb="2">
      <t>ノウギョウ</t>
    </rPh>
    <rPh sb="2" eb="4">
      <t>ショトク</t>
    </rPh>
    <phoneticPr fontId="3"/>
  </si>
  <si>
    <t>農業収入</t>
    <rPh sb="0" eb="4">
      <t>ノウギョウシュウニュウ</t>
    </rPh>
    <phoneticPr fontId="3"/>
  </si>
  <si>
    <t>農業生産関連事業収入</t>
    <rPh sb="0" eb="10">
      <t>ノウギョウセイサンカンレンジギョウシュウニュウ</t>
    </rPh>
    <phoneticPr fontId="3"/>
  </si>
  <si>
    <t>農外事業収入</t>
    <rPh sb="0" eb="4">
      <t>ノウガイジギョウ</t>
    </rPh>
    <rPh sb="4" eb="6">
      <t>シュウニュウ</t>
    </rPh>
    <phoneticPr fontId="3"/>
  </si>
  <si>
    <t>農業支出</t>
    <phoneticPr fontId="3"/>
  </si>
  <si>
    <t>農業生産関連事業支出</t>
    <phoneticPr fontId="3"/>
  </si>
  <si>
    <t>農外事業支出</t>
    <rPh sb="0" eb="4">
      <t>ノウガイジギョウ</t>
    </rPh>
    <phoneticPr fontId="3"/>
  </si>
  <si>
    <t>営業利益　④＝⑤－⑥</t>
    <phoneticPr fontId="5"/>
  </si>
  <si>
    <t>農業</t>
    <phoneticPr fontId="3"/>
  </si>
  <si>
    <t>農業生産関連事業</t>
    <phoneticPr fontId="3"/>
  </si>
  <si>
    <t>農外事業</t>
    <rPh sb="0" eb="4">
      <t>ノウガイジギョウ</t>
    </rPh>
    <phoneticPr fontId="3"/>
  </si>
  <si>
    <t>営業外収益⑦</t>
    <rPh sb="0" eb="3">
      <t>エイギョウガイ</t>
    </rPh>
    <rPh sb="3" eb="5">
      <t>シュウエキ</t>
    </rPh>
    <phoneticPr fontId="5"/>
  </si>
  <si>
    <t>営業外費用⑧</t>
    <rPh sb="0" eb="5">
      <t>エイギョウガイヒヨウ</t>
    </rPh>
    <phoneticPr fontId="5"/>
  </si>
  <si>
    <t>経常利益⑨＝④＋⑦－⑧</t>
    <rPh sb="0" eb="4">
      <t>ケイジョウリエキ</t>
    </rPh>
    <phoneticPr fontId="5"/>
  </si>
  <si>
    <t>有給役員・家族</t>
    <phoneticPr fontId="3"/>
  </si>
  <si>
    <t>雇用労賃単価</t>
    <rPh sb="0" eb="2">
      <t>コヨウ</t>
    </rPh>
    <rPh sb="2" eb="4">
      <t>ロウチン</t>
    </rPh>
    <rPh sb="4" eb="6">
      <t>タンカ</t>
    </rPh>
    <phoneticPr fontId="3"/>
  </si>
  <si>
    <t>円／時</t>
    <rPh sb="0" eb="1">
      <t>エン</t>
    </rPh>
    <rPh sb="2" eb="3">
      <t>トキ</t>
    </rPh>
    <phoneticPr fontId="3"/>
  </si>
  <si>
    <t>稲作(水稲)</t>
    <rPh sb="0" eb="2">
      <t>イナサク</t>
    </rPh>
    <rPh sb="3" eb="5">
      <t>スイトウ</t>
    </rPh>
    <phoneticPr fontId="3"/>
  </si>
  <si>
    <t>60kg当たり価格
（主食用米）</t>
  </si>
  <si>
    <t>小麦</t>
    <rPh sb="0" eb="2">
      <t>コムギ</t>
    </rPh>
    <phoneticPr fontId="3"/>
  </si>
  <si>
    <t>60kg当たり価格</t>
  </si>
  <si>
    <t>大豆</t>
    <rPh sb="0" eb="2">
      <t>ダイズ</t>
    </rPh>
    <phoneticPr fontId="3"/>
  </si>
  <si>
    <t>かんしょ</t>
    <phoneticPr fontId="3"/>
  </si>
  <si>
    <t>100kg当たり価格</t>
    <phoneticPr fontId="3"/>
  </si>
  <si>
    <t>ばれいしょ</t>
    <phoneticPr fontId="3"/>
  </si>
  <si>
    <t>1t当たり価格</t>
    <phoneticPr fontId="3"/>
  </si>
  <si>
    <t>植栽面積</t>
    <rPh sb="0" eb="2">
      <t>ショクサイ</t>
    </rPh>
    <rPh sb="2" eb="4">
      <t>メンセキ</t>
    </rPh>
    <phoneticPr fontId="3"/>
  </si>
  <si>
    <t>施設切り花</t>
    <rPh sb="2" eb="3">
      <t>キ</t>
    </rPh>
    <rPh sb="4" eb="5">
      <t>バナ</t>
    </rPh>
    <phoneticPr fontId="3"/>
  </si>
  <si>
    <t>施設鉢物</t>
    <rPh sb="2" eb="4">
      <t>ハチモノ</t>
    </rPh>
    <phoneticPr fontId="3"/>
  </si>
  <si>
    <t>飼料作物作付延べ面積</t>
    <rPh sb="0" eb="4">
      <t>シリョウサクモツ</t>
    </rPh>
    <rPh sb="4" eb="7">
      <t>サクツケノ</t>
    </rPh>
    <rPh sb="8" eb="10">
      <t>メンセキ</t>
    </rPh>
    <phoneticPr fontId="3"/>
  </si>
  <si>
    <t>飼料用米生産量</t>
    <rPh sb="0" eb="4">
      <t>シリョウヨウマイ</t>
    </rPh>
    <rPh sb="4" eb="7">
      <t>セイサンリョウ</t>
    </rPh>
    <phoneticPr fontId="3"/>
  </si>
  <si>
    <t>貸借対照表</t>
    <rPh sb="0" eb="5">
      <t>タイシャクタイショウヒョウ</t>
    </rPh>
    <phoneticPr fontId="5"/>
  </si>
  <si>
    <t>資産</t>
    <rPh sb="0" eb="2">
      <t>シサン</t>
    </rPh>
    <phoneticPr fontId="5"/>
  </si>
  <si>
    <t>流動資産</t>
    <rPh sb="0" eb="4">
      <t>リュウドウシサン</t>
    </rPh>
    <phoneticPr fontId="3"/>
  </si>
  <si>
    <t>固定資産</t>
    <rPh sb="0" eb="4">
      <t>コテイシサン</t>
    </rPh>
    <phoneticPr fontId="3"/>
  </si>
  <si>
    <t>負債</t>
    <rPh sb="0" eb="2">
      <t>フサイ</t>
    </rPh>
    <phoneticPr fontId="3"/>
  </si>
  <si>
    <t>流動負債</t>
    <rPh sb="0" eb="2">
      <t>リュウドウ</t>
    </rPh>
    <rPh sb="2" eb="4">
      <t>フサイ</t>
    </rPh>
    <phoneticPr fontId="3"/>
  </si>
  <si>
    <t>固定負債</t>
    <rPh sb="0" eb="2">
      <t>コテイ</t>
    </rPh>
    <rPh sb="2" eb="4">
      <t>フサイ</t>
    </rPh>
    <phoneticPr fontId="3"/>
  </si>
  <si>
    <t>純資産</t>
    <rPh sb="0" eb="3">
      <t>ジュンシサン</t>
    </rPh>
    <phoneticPr fontId="5"/>
  </si>
  <si>
    <t>農業固定資産額</t>
    <rPh sb="0" eb="6">
      <t>ノウギョウコテイシサン</t>
    </rPh>
    <rPh sb="6" eb="7">
      <t>ガク</t>
    </rPh>
    <phoneticPr fontId="5"/>
  </si>
  <si>
    <t>新規需要米（田）</t>
    <rPh sb="0" eb="2">
      <t>シンキ</t>
    </rPh>
    <rPh sb="2" eb="4">
      <t>ジュヨウ</t>
    </rPh>
    <rPh sb="4" eb="5">
      <t>マイ</t>
    </rPh>
    <rPh sb="6" eb="7">
      <t>タ</t>
    </rPh>
    <phoneticPr fontId="3"/>
  </si>
  <si>
    <t>小麦生産量</t>
    <rPh sb="0" eb="2">
      <t>コムギ</t>
    </rPh>
    <rPh sb="2" eb="5">
      <t>セイサンリョウ</t>
    </rPh>
    <phoneticPr fontId="3"/>
  </si>
  <si>
    <t>小麦販売数量</t>
    <rPh sb="0" eb="2">
      <t>コムギ</t>
    </rPh>
    <rPh sb="2" eb="6">
      <t>ハンバイスウリョウ</t>
    </rPh>
    <phoneticPr fontId="3"/>
  </si>
  <si>
    <t>小麦販売金額</t>
    <rPh sb="0" eb="2">
      <t>コムギ</t>
    </rPh>
    <rPh sb="2" eb="6">
      <t>ハンバイキンガク</t>
    </rPh>
    <phoneticPr fontId="3"/>
  </si>
  <si>
    <t>大豆生産量</t>
    <rPh sb="2" eb="5">
      <t>セイサンリョウ</t>
    </rPh>
    <phoneticPr fontId="3"/>
  </si>
  <si>
    <t>大豆販売数量</t>
    <rPh sb="2" eb="6">
      <t>ハンバイスウリョウ</t>
    </rPh>
    <phoneticPr fontId="3"/>
  </si>
  <si>
    <t>大豆販売金額</t>
    <rPh sb="2" eb="6">
      <t>ハンバイキンガク</t>
    </rPh>
    <phoneticPr fontId="3"/>
  </si>
  <si>
    <t>かんしょ生産量</t>
    <rPh sb="4" eb="7">
      <t>セイサンリョウ</t>
    </rPh>
    <phoneticPr fontId="3"/>
  </si>
  <si>
    <t>かんしょ販売数量</t>
    <rPh sb="4" eb="8">
      <t>ハンバイスウリョウ</t>
    </rPh>
    <phoneticPr fontId="3"/>
  </si>
  <si>
    <t>かんしょ販売金額</t>
    <rPh sb="4" eb="8">
      <t>ハンバイキンガク</t>
    </rPh>
    <phoneticPr fontId="3"/>
  </si>
  <si>
    <t>ばれいしょ生産量</t>
    <rPh sb="5" eb="8">
      <t>セイサンリョウ</t>
    </rPh>
    <phoneticPr fontId="3"/>
  </si>
  <si>
    <t>ばれいしょ販売数量</t>
    <rPh sb="5" eb="9">
      <t>ハンバイスウリョウ</t>
    </rPh>
    <phoneticPr fontId="3"/>
  </si>
  <si>
    <t>ばれいしょ販売金額</t>
    <rPh sb="5" eb="9">
      <t>ハンバイキンガク</t>
    </rPh>
    <phoneticPr fontId="3"/>
  </si>
  <si>
    <t>てんさい生産量</t>
    <rPh sb="4" eb="7">
      <t>セイサンリョウ</t>
    </rPh>
    <phoneticPr fontId="3"/>
  </si>
  <si>
    <t>てんさい販売数量</t>
    <rPh sb="4" eb="8">
      <t>ハンバイスウリョウ</t>
    </rPh>
    <phoneticPr fontId="3"/>
  </si>
  <si>
    <t>てんさい販売金額</t>
    <rPh sb="4" eb="8">
      <t>ハンバイキンガク</t>
    </rPh>
    <phoneticPr fontId="3"/>
  </si>
  <si>
    <t>さとうきび生産量</t>
    <rPh sb="5" eb="8">
      <t>セイサンリョウ</t>
    </rPh>
    <phoneticPr fontId="3"/>
  </si>
  <si>
    <t>さとうきび販売数量</t>
    <rPh sb="5" eb="9">
      <t>ハンバイスウリョウ</t>
    </rPh>
    <phoneticPr fontId="3"/>
  </si>
  <si>
    <t>さとうきび販売金額</t>
    <rPh sb="5" eb="9">
      <t>ハンバイキンガク</t>
    </rPh>
    <phoneticPr fontId="3"/>
  </si>
  <si>
    <t>荒茶生産量</t>
    <rPh sb="0" eb="2">
      <t>アラチャ</t>
    </rPh>
    <rPh sb="2" eb="5">
      <t>セイサンリョウ</t>
    </rPh>
    <phoneticPr fontId="3"/>
  </si>
  <si>
    <t>茶販売数量</t>
    <rPh sb="1" eb="5">
      <t>ハンバイスウリョウ</t>
    </rPh>
    <phoneticPr fontId="3"/>
  </si>
  <si>
    <t>茶販売金額</t>
    <rPh sb="1" eb="5">
      <t>ハンバイキンガク</t>
    </rPh>
    <phoneticPr fontId="3"/>
  </si>
  <si>
    <t>その他畜産物収入</t>
    <rPh sb="2" eb="3">
      <t>タ</t>
    </rPh>
    <rPh sb="3" eb="6">
      <t>チクサンブツ</t>
    </rPh>
    <rPh sb="6" eb="8">
      <t>シュウニュウ</t>
    </rPh>
    <phoneticPr fontId="3"/>
  </si>
  <si>
    <t>乳用種</t>
    <rPh sb="0" eb="3">
      <t>ニュウヨウシュ</t>
    </rPh>
    <phoneticPr fontId="2"/>
  </si>
  <si>
    <t>交雑種</t>
    <rPh sb="0" eb="3">
      <t>コウザツシュ</t>
    </rPh>
    <phoneticPr fontId="2"/>
  </si>
  <si>
    <t>自家生産乳牛等</t>
    <rPh sb="0" eb="2">
      <t>ジカ</t>
    </rPh>
    <rPh sb="2" eb="4">
      <t>セイサン</t>
    </rPh>
    <rPh sb="4" eb="6">
      <t>ニュウギュウ</t>
    </rPh>
    <rPh sb="6" eb="7">
      <t>ナド</t>
    </rPh>
    <phoneticPr fontId="3"/>
  </si>
  <si>
    <t>雑穀作付面積（田）</t>
    <rPh sb="0" eb="2">
      <t>ザッコク</t>
    </rPh>
    <rPh sb="2" eb="4">
      <t>サクツケ</t>
    </rPh>
    <rPh sb="4" eb="6">
      <t>メンセキ</t>
    </rPh>
    <rPh sb="7" eb="8">
      <t>デン</t>
    </rPh>
    <phoneticPr fontId="3"/>
  </si>
  <si>
    <t>豆類作付面積（田）</t>
    <rPh sb="0" eb="2">
      <t>マメルイ</t>
    </rPh>
    <rPh sb="2" eb="4">
      <t>サクツケ</t>
    </rPh>
    <rPh sb="4" eb="6">
      <t>メンセキ</t>
    </rPh>
    <rPh sb="7" eb="8">
      <t>デン</t>
    </rPh>
    <phoneticPr fontId="3"/>
  </si>
  <si>
    <t>雑穀作付面積（畑）</t>
    <rPh sb="0" eb="2">
      <t>ザッコク</t>
    </rPh>
    <rPh sb="2" eb="4">
      <t>サクツケ</t>
    </rPh>
    <rPh sb="4" eb="6">
      <t>メンセキ</t>
    </rPh>
    <rPh sb="7" eb="8">
      <t>ハタ</t>
    </rPh>
    <phoneticPr fontId="3"/>
  </si>
  <si>
    <t>豆類作付面積（畑）</t>
    <rPh sb="0" eb="2">
      <t>マメルイ</t>
    </rPh>
    <rPh sb="2" eb="4">
      <t>サクツケ</t>
    </rPh>
    <rPh sb="4" eb="6">
      <t>メンセキ</t>
    </rPh>
    <rPh sb="7" eb="8">
      <t>ハタ</t>
    </rPh>
    <phoneticPr fontId="3"/>
  </si>
  <si>
    <t>10kg当たり価格</t>
    <phoneticPr fontId="3"/>
  </si>
  <si>
    <t>月平均
繁殖雌牛飼養頭数</t>
    <rPh sb="0" eb="3">
      <t>ツキヘイキン</t>
    </rPh>
    <rPh sb="4" eb="6">
      <t>ハンショク</t>
    </rPh>
    <rPh sb="6" eb="7">
      <t>メス</t>
    </rPh>
    <rPh sb="7" eb="8">
      <t>ギュウ</t>
    </rPh>
    <rPh sb="8" eb="10">
      <t>シヨウ</t>
    </rPh>
    <rPh sb="10" eb="12">
      <t>トウスウ</t>
    </rPh>
    <phoneticPr fontId="3"/>
  </si>
  <si>
    <t>月平均
繁殖雌豚飼養頭数</t>
    <rPh sb="0" eb="3">
      <t>ツキヘイキン</t>
    </rPh>
    <rPh sb="4" eb="6">
      <t>ハンショク</t>
    </rPh>
    <rPh sb="6" eb="7">
      <t>メス</t>
    </rPh>
    <rPh sb="7" eb="8">
      <t>ブタ</t>
    </rPh>
    <rPh sb="8" eb="10">
      <t>シヨウ</t>
    </rPh>
    <rPh sb="10" eb="12">
      <t>トウスウ</t>
    </rPh>
    <phoneticPr fontId="3"/>
  </si>
  <si>
    <t>千円</t>
    <rPh sb="0" eb="1">
      <t>セン</t>
    </rPh>
    <rPh sb="1" eb="2">
      <t>エン</t>
    </rPh>
    <phoneticPr fontId="3"/>
  </si>
  <si>
    <t>雑穀作付面積</t>
    <rPh sb="0" eb="2">
      <t>ザッコク</t>
    </rPh>
    <rPh sb="2" eb="4">
      <t>サクツケ</t>
    </rPh>
    <rPh sb="4" eb="6">
      <t>メンセキ</t>
    </rPh>
    <phoneticPr fontId="3"/>
  </si>
  <si>
    <t>豆類作付面積</t>
    <rPh sb="0" eb="2">
      <t>マメルイ</t>
    </rPh>
    <rPh sb="2" eb="4">
      <t>サクツケ</t>
    </rPh>
    <rPh sb="4" eb="6">
      <t>メンセキ</t>
    </rPh>
    <phoneticPr fontId="3"/>
  </si>
  <si>
    <t>飼料用米作付延べ面積</t>
    <rPh sb="0" eb="4">
      <t>シリョウヨウマイ</t>
    </rPh>
    <rPh sb="4" eb="6">
      <t>サクツ</t>
    </rPh>
    <rPh sb="6" eb="7">
      <t>ノ</t>
    </rPh>
    <rPh sb="8" eb="10">
      <t>メンセキ</t>
    </rPh>
    <phoneticPr fontId="3"/>
  </si>
  <si>
    <t>ＷＣＳ用稲
作付延べ面積</t>
    <rPh sb="3" eb="4">
      <t>ヨウ</t>
    </rPh>
    <rPh sb="4" eb="5">
      <t>イネ</t>
    </rPh>
    <rPh sb="6" eb="8">
      <t>サクツ</t>
    </rPh>
    <rPh sb="8" eb="9">
      <t>ノ</t>
    </rPh>
    <rPh sb="10" eb="12">
      <t>メンセキ</t>
    </rPh>
    <phoneticPr fontId="3"/>
  </si>
  <si>
    <t>その他飼料作物
作付延べ面積</t>
    <rPh sb="2" eb="3">
      <t>タ</t>
    </rPh>
    <rPh sb="3" eb="7">
      <t>シリョウサクモツ</t>
    </rPh>
    <rPh sb="8" eb="10">
      <t>サクツ</t>
    </rPh>
    <rPh sb="10" eb="11">
      <t>ノ</t>
    </rPh>
    <rPh sb="12" eb="14">
      <t>メンセキ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</si>
</sst>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;&quot;▲ &quot;\ 0.0"/>
    <numFmt numFmtId="177" formatCode="#,##0;&quot;▲ &quot;#,##0"/>
    <numFmt numFmtId="178" formatCode="0.0;&quot;▲&quot;?0.0"/>
    <numFmt numFmtId="179" formatCode="#,##0.00;&quot;▲ &quot;#,##0.00"/>
    <numFmt numFmtId="180" formatCode="#,##0.0;&quot;▲ &quot;#,##0.0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b/>
      <sz val="1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Ｐゴシック"/>
      <family val="3"/>
      <charset val="128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trike/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8">
    <xf numFmtId="0" fontId="0" fillId="0" borderId="0" xfId="0">
      <alignment vertical="center"/>
    </xf>
    <xf numFmtId="0" fontId="4" fillId="0" borderId="0" xfId="1" applyFont="1" applyAlignment="1">
      <alignment horizontal="distributed" vertical="center"/>
    </xf>
    <xf numFmtId="178" fontId="7" fillId="2" borderId="28" xfId="1" applyNumberFormat="1" applyFont="1" applyFill="1" applyBorder="1" applyAlignment="1">
      <alignment horizontal="right" vertical="center" shrinkToFit="1"/>
    </xf>
    <xf numFmtId="178" fontId="4" fillId="2" borderId="28" xfId="1" applyNumberFormat="1" applyFont="1" applyFill="1" applyBorder="1" applyAlignment="1">
      <alignment horizontal="right" vertical="center" shrinkToFit="1"/>
    </xf>
    <xf numFmtId="0" fontId="6" fillId="0" borderId="0" xfId="1" applyFont="1" applyAlignment="1">
      <alignment vertical="center"/>
    </xf>
    <xf numFmtId="178" fontId="7" fillId="2" borderId="59" xfId="1" applyNumberFormat="1" applyFont="1" applyFill="1" applyBorder="1" applyAlignment="1">
      <alignment horizontal="right" vertical="center" shrinkToFit="1"/>
    </xf>
    <xf numFmtId="178" fontId="4" fillId="2" borderId="59" xfId="1" applyNumberFormat="1" applyFont="1" applyFill="1" applyBorder="1" applyAlignment="1">
      <alignment horizontal="right" vertical="center" shrinkToFit="1"/>
    </xf>
    <xf numFmtId="177" fontId="7" fillId="0" borderId="83" xfId="1" applyNumberFormat="1" applyFont="1" applyBorder="1" applyAlignment="1">
      <alignment horizontal="right" vertical="center"/>
    </xf>
    <xf numFmtId="177" fontId="7" fillId="0" borderId="20" xfId="1" applyNumberFormat="1" applyFont="1" applyBorder="1" applyAlignment="1">
      <alignment horizontal="right" vertical="center"/>
    </xf>
    <xf numFmtId="177" fontId="7" fillId="2" borderId="84" xfId="1" applyNumberFormat="1" applyFont="1" applyFill="1" applyBorder="1" applyAlignment="1">
      <alignment horizontal="right" vertical="center"/>
    </xf>
    <xf numFmtId="177" fontId="7" fillId="2" borderId="0" xfId="1" applyNumberFormat="1" applyFont="1" applyFill="1" applyAlignment="1">
      <alignment horizontal="right" vertical="center"/>
    </xf>
    <xf numFmtId="177" fontId="7" fillId="2" borderId="87" xfId="1" applyNumberFormat="1" applyFont="1" applyFill="1" applyBorder="1" applyAlignment="1">
      <alignment horizontal="right" vertical="center"/>
    </xf>
    <xf numFmtId="177" fontId="7" fillId="2" borderId="56" xfId="1" applyNumberFormat="1" applyFont="1" applyFill="1" applyBorder="1" applyAlignment="1">
      <alignment horizontal="right" vertical="center"/>
    </xf>
    <xf numFmtId="0" fontId="8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0" fillId="0" borderId="12" xfId="1" applyFont="1" applyBorder="1" applyAlignment="1">
      <alignment vertical="center" shrinkToFit="1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5" fillId="0" borderId="18" xfId="1" applyFont="1" applyBorder="1" applyAlignment="1">
      <alignment vertical="center"/>
    </xf>
    <xf numFmtId="0" fontId="10" fillId="0" borderId="18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 shrinkToFit="1"/>
    </xf>
    <xf numFmtId="0" fontId="10" fillId="0" borderId="18" xfId="1" applyFont="1" applyBorder="1" applyAlignment="1">
      <alignment vertical="center"/>
    </xf>
    <xf numFmtId="0" fontId="15" fillId="2" borderId="27" xfId="1" applyFont="1" applyFill="1" applyBorder="1" applyAlignment="1">
      <alignment horizontal="center" vertical="center" shrinkToFit="1"/>
    </xf>
    <xf numFmtId="0" fontId="15" fillId="2" borderId="58" xfId="1" applyFont="1" applyFill="1" applyBorder="1" applyAlignment="1">
      <alignment horizontal="center" vertical="center" shrinkToFit="1"/>
    </xf>
    <xf numFmtId="0" fontId="15" fillId="2" borderId="12" xfId="1" applyFont="1" applyFill="1" applyBorder="1" applyAlignment="1">
      <alignment horizontal="center" vertical="center" shrinkToFit="1"/>
    </xf>
    <xf numFmtId="177" fontId="7" fillId="2" borderId="11" xfId="1" applyNumberFormat="1" applyFont="1" applyFill="1" applyBorder="1" applyAlignment="1">
      <alignment horizontal="right" vertical="center"/>
    </xf>
    <xf numFmtId="177" fontId="7" fillId="2" borderId="65" xfId="1" applyNumberFormat="1" applyFont="1" applyFill="1" applyBorder="1" applyAlignment="1">
      <alignment horizontal="right" vertical="center"/>
    </xf>
    <xf numFmtId="178" fontId="7" fillId="2" borderId="66" xfId="1" applyNumberFormat="1" applyFont="1" applyFill="1" applyBorder="1" applyAlignment="1">
      <alignment horizontal="right" vertical="center" shrinkToFit="1"/>
    </xf>
    <xf numFmtId="178" fontId="4" fillId="2" borderId="66" xfId="1" applyNumberFormat="1" applyFont="1" applyFill="1" applyBorder="1" applyAlignment="1">
      <alignment horizontal="right" vertical="center" shrinkToFit="1"/>
    </xf>
    <xf numFmtId="0" fontId="10" fillId="0" borderId="5" xfId="1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 shrinkToFit="1"/>
    </xf>
    <xf numFmtId="0" fontId="10" fillId="0" borderId="10" xfId="1" applyFont="1" applyBorder="1" applyAlignment="1">
      <alignment horizontal="right" vertical="center" shrinkToFit="1"/>
    </xf>
    <xf numFmtId="0" fontId="10" fillId="0" borderId="11" xfId="1" applyFont="1" applyBorder="1" applyAlignment="1">
      <alignment horizontal="left" vertical="center" shrinkToFit="1"/>
    </xf>
    <xf numFmtId="0" fontId="10" fillId="0" borderId="12" xfId="1" applyFont="1" applyBorder="1" applyAlignment="1">
      <alignment horizontal="right" vertical="center" shrinkToFit="1"/>
    </xf>
    <xf numFmtId="0" fontId="18" fillId="0" borderId="15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0" fillId="0" borderId="10" xfId="1" applyFont="1" applyBorder="1" applyAlignment="1">
      <alignment horizontal="left" vertical="center" shrinkToFit="1"/>
    </xf>
    <xf numFmtId="0" fontId="18" fillId="0" borderId="11" xfId="1" applyFont="1" applyBorder="1" applyAlignment="1">
      <alignment horizontal="left" vertical="center" shrinkToFit="1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9" fillId="0" borderId="18" xfId="1" applyFont="1" applyBorder="1" applyAlignment="1">
      <alignment vertical="center"/>
    </xf>
    <xf numFmtId="0" fontId="9" fillId="0" borderId="29" xfId="1" applyFont="1" applyBorder="1" applyAlignment="1">
      <alignment vertical="center"/>
    </xf>
    <xf numFmtId="0" fontId="17" fillId="0" borderId="0" xfId="1" applyFont="1" applyAlignment="1">
      <alignment vertical="center" textRotation="255"/>
    </xf>
    <xf numFmtId="0" fontId="10" fillId="0" borderId="18" xfId="1" applyFont="1" applyBorder="1" applyAlignment="1">
      <alignment vertical="center" textRotation="255"/>
    </xf>
    <xf numFmtId="0" fontId="17" fillId="0" borderId="18" xfId="1" applyFont="1" applyBorder="1" applyAlignment="1">
      <alignment vertical="center" textRotation="255"/>
    </xf>
    <xf numFmtId="0" fontId="10" fillId="0" borderId="29" xfId="1" applyFont="1" applyBorder="1" applyAlignment="1">
      <alignment horizontal="distributed" vertical="center"/>
    </xf>
    <xf numFmtId="0" fontId="10" fillId="0" borderId="45" xfId="1" applyFont="1" applyBorder="1" applyAlignment="1">
      <alignment horizontal="distributed" vertical="center"/>
    </xf>
    <xf numFmtId="0" fontId="15" fillId="0" borderId="51" xfId="1" applyFont="1" applyBorder="1" applyAlignment="1">
      <alignment horizontal="center" vertical="center" shrinkToFit="1"/>
    </xf>
    <xf numFmtId="177" fontId="7" fillId="0" borderId="86" xfId="1" applyNumberFormat="1" applyFont="1" applyBorder="1" applyAlignment="1">
      <alignment horizontal="right" vertical="center"/>
    </xf>
    <xf numFmtId="177" fontId="7" fillId="0" borderId="49" xfId="1" applyNumberFormat="1" applyFont="1" applyBorder="1" applyAlignment="1">
      <alignment horizontal="right" vertical="center"/>
    </xf>
    <xf numFmtId="178" fontId="7" fillId="0" borderId="52" xfId="1" applyNumberFormat="1" applyFont="1" applyBorder="1" applyAlignment="1">
      <alignment horizontal="right" vertical="center" shrinkToFit="1"/>
    </xf>
    <xf numFmtId="178" fontId="4" fillId="0" borderId="52" xfId="1" applyNumberFormat="1" applyFont="1" applyBorder="1" applyAlignment="1">
      <alignment horizontal="right" vertical="center" shrinkToFit="1"/>
    </xf>
    <xf numFmtId="0" fontId="10" fillId="0" borderId="50" xfId="1" applyFont="1" applyBorder="1" applyAlignment="1">
      <alignment vertical="center"/>
    </xf>
    <xf numFmtId="0" fontId="10" fillId="0" borderId="32" xfId="1" applyFont="1" applyBorder="1" applyAlignment="1">
      <alignment horizontal="distributed" vertical="center"/>
    </xf>
    <xf numFmtId="0" fontId="15" fillId="0" borderId="33" xfId="1" applyFont="1" applyBorder="1" applyAlignment="1">
      <alignment horizontal="center" vertical="center" shrinkToFit="1"/>
    </xf>
    <xf numFmtId="177" fontId="7" fillId="0" borderId="85" xfId="1" applyNumberFormat="1" applyFont="1" applyBorder="1" applyAlignment="1">
      <alignment horizontal="right" vertical="center"/>
    </xf>
    <xf numFmtId="177" fontId="7" fillId="0" borderId="31" xfId="1" applyNumberFormat="1" applyFont="1" applyBorder="1" applyAlignment="1">
      <alignment horizontal="right" vertical="center"/>
    </xf>
    <xf numFmtId="178" fontId="7" fillId="0" borderId="34" xfId="1" applyNumberFormat="1" applyFont="1" applyBorder="1" applyAlignment="1">
      <alignment horizontal="right" vertical="center" shrinkToFit="1"/>
    </xf>
    <xf numFmtId="178" fontId="4" fillId="0" borderId="34" xfId="1" applyNumberFormat="1" applyFont="1" applyBorder="1" applyAlignment="1">
      <alignment horizontal="right" vertical="center" shrinkToFit="1"/>
    </xf>
    <xf numFmtId="0" fontId="10" fillId="0" borderId="29" xfId="1" applyFont="1" applyBorder="1" applyAlignment="1">
      <alignment vertical="center"/>
    </xf>
    <xf numFmtId="0" fontId="15" fillId="0" borderId="70" xfId="1" applyFont="1" applyBorder="1" applyAlignment="1">
      <alignment horizontal="center" vertical="center" shrinkToFit="1"/>
    </xf>
    <xf numFmtId="177" fontId="7" fillId="0" borderId="89" xfId="1" applyNumberFormat="1" applyFont="1" applyBorder="1" applyAlignment="1">
      <alignment horizontal="right" vertical="center"/>
    </xf>
    <xf numFmtId="177" fontId="7" fillId="0" borderId="68" xfId="1" applyNumberFormat="1" applyFont="1" applyBorder="1" applyAlignment="1">
      <alignment horizontal="right" vertical="center"/>
    </xf>
    <xf numFmtId="178" fontId="7" fillId="0" borderId="71" xfId="1" applyNumberFormat="1" applyFont="1" applyBorder="1" applyAlignment="1">
      <alignment horizontal="right" vertical="center" shrinkToFit="1"/>
    </xf>
    <xf numFmtId="178" fontId="4" fillId="0" borderId="71" xfId="1" applyNumberFormat="1" applyFont="1" applyBorder="1" applyAlignment="1">
      <alignment horizontal="right" vertical="center" shrinkToFit="1"/>
    </xf>
    <xf numFmtId="179" fontId="7" fillId="0" borderId="86" xfId="1" applyNumberFormat="1" applyFont="1" applyBorder="1" applyAlignment="1">
      <alignment horizontal="right" vertical="center"/>
    </xf>
    <xf numFmtId="179" fontId="7" fillId="0" borderId="49" xfId="1" applyNumberFormat="1" applyFont="1" applyBorder="1" applyAlignment="1">
      <alignment horizontal="right" vertical="center"/>
    </xf>
    <xf numFmtId="0" fontId="15" fillId="0" borderId="75" xfId="1" applyFont="1" applyBorder="1" applyAlignment="1">
      <alignment vertical="center" wrapText="1" shrinkToFit="1"/>
    </xf>
    <xf numFmtId="0" fontId="10" fillId="0" borderId="75" xfId="1" applyFont="1" applyBorder="1" applyAlignment="1">
      <alignment horizontal="distributed" vertical="center"/>
    </xf>
    <xf numFmtId="0" fontId="10" fillId="0" borderId="76" xfId="1" applyFont="1" applyBorder="1" applyAlignment="1">
      <alignment horizontal="distributed" vertical="center"/>
    </xf>
    <xf numFmtId="180" fontId="7" fillId="0" borderId="85" xfId="1" applyNumberFormat="1" applyFont="1" applyBorder="1" applyAlignment="1">
      <alignment horizontal="right" vertical="center"/>
    </xf>
    <xf numFmtId="180" fontId="7" fillId="0" borderId="31" xfId="1" applyNumberFormat="1" applyFont="1" applyBorder="1" applyAlignment="1">
      <alignment horizontal="right" vertical="center"/>
    </xf>
    <xf numFmtId="180" fontId="7" fillId="0" borderId="34" xfId="1" applyNumberFormat="1" applyFont="1" applyBorder="1" applyAlignment="1">
      <alignment horizontal="right" vertical="center" shrinkToFit="1"/>
    </xf>
    <xf numFmtId="177" fontId="7" fillId="0" borderId="34" xfId="1" applyNumberFormat="1" applyFont="1" applyBorder="1" applyAlignment="1">
      <alignment horizontal="right" vertical="center" shrinkToFit="1"/>
    </xf>
    <xf numFmtId="0" fontId="10" fillId="0" borderId="75" xfId="1" applyFont="1" applyBorder="1" applyAlignment="1">
      <alignment vertical="center" wrapText="1"/>
    </xf>
    <xf numFmtId="0" fontId="10" fillId="0" borderId="76" xfId="1" applyFont="1" applyBorder="1" applyAlignment="1">
      <alignment vertical="center" wrapText="1"/>
    </xf>
    <xf numFmtId="180" fontId="7" fillId="0" borderId="88" xfId="1" applyNumberFormat="1" applyFont="1" applyBorder="1" applyAlignment="1">
      <alignment horizontal="right" vertical="center"/>
    </xf>
    <xf numFmtId="0" fontId="15" fillId="0" borderId="75" xfId="1" applyFont="1" applyBorder="1" applyAlignment="1">
      <alignment horizontal="distributed" vertical="center"/>
    </xf>
    <xf numFmtId="0" fontId="15" fillId="0" borderId="76" xfId="1" applyFont="1" applyBorder="1" applyAlignment="1">
      <alignment horizontal="distributed" vertical="center"/>
    </xf>
    <xf numFmtId="180" fontId="7" fillId="0" borderId="49" xfId="1" applyNumberFormat="1" applyFont="1" applyBorder="1" applyAlignment="1">
      <alignment horizontal="right" vertical="center"/>
    </xf>
    <xf numFmtId="180" fontId="7" fillId="0" borderId="86" xfId="1" applyNumberFormat="1" applyFont="1" applyBorder="1" applyAlignment="1">
      <alignment horizontal="right" vertical="center"/>
    </xf>
    <xf numFmtId="0" fontId="15" fillId="0" borderId="27" xfId="1" applyFont="1" applyBorder="1" applyAlignment="1">
      <alignment horizontal="center" vertical="center" shrinkToFit="1"/>
    </xf>
    <xf numFmtId="180" fontId="7" fillId="0" borderId="84" xfId="1" applyNumberFormat="1" applyFont="1" applyBorder="1" applyAlignment="1">
      <alignment horizontal="right" vertical="center"/>
    </xf>
    <xf numFmtId="180" fontId="7" fillId="0" borderId="0" xfId="1" applyNumberFormat="1" applyFont="1" applyAlignment="1">
      <alignment horizontal="right" vertical="center"/>
    </xf>
    <xf numFmtId="178" fontId="7" fillId="0" borderId="28" xfId="1" applyNumberFormat="1" applyFont="1" applyBorder="1" applyAlignment="1">
      <alignment horizontal="right" vertical="center" shrinkToFit="1"/>
    </xf>
    <xf numFmtId="178" fontId="4" fillId="0" borderId="28" xfId="1" applyNumberFormat="1" applyFont="1" applyBorder="1" applyAlignment="1">
      <alignment horizontal="right" vertical="center" shrinkToFit="1"/>
    </xf>
    <xf numFmtId="0" fontId="15" fillId="0" borderId="102" xfId="1" applyFont="1" applyBorder="1" applyAlignment="1">
      <alignment horizontal="center" vertical="center" shrinkToFit="1"/>
    </xf>
    <xf numFmtId="177" fontId="7" fillId="0" borderId="103" xfId="1" applyNumberFormat="1" applyFont="1" applyBorder="1" applyAlignment="1">
      <alignment horizontal="right" vertical="center"/>
    </xf>
    <xf numFmtId="177" fontId="7" fillId="0" borderId="37" xfId="1" applyNumberFormat="1" applyFont="1" applyBorder="1" applyAlignment="1">
      <alignment horizontal="right" vertical="center"/>
    </xf>
    <xf numFmtId="178" fontId="7" fillId="0" borderId="104" xfId="1" applyNumberFormat="1" applyFont="1" applyBorder="1" applyAlignment="1">
      <alignment horizontal="right" vertical="center" shrinkToFit="1"/>
    </xf>
    <xf numFmtId="178" fontId="4" fillId="0" borderId="104" xfId="1" applyNumberFormat="1" applyFont="1" applyBorder="1" applyAlignment="1">
      <alignment horizontal="right" vertical="center" shrinkToFit="1"/>
    </xf>
    <xf numFmtId="0" fontId="15" fillId="0" borderId="106" xfId="1" applyFont="1" applyBorder="1" applyAlignment="1">
      <alignment horizontal="center" vertical="center" shrinkToFit="1"/>
    </xf>
    <xf numFmtId="177" fontId="7" fillId="0" borderId="107" xfId="1" applyNumberFormat="1" applyFont="1" applyBorder="1" applyAlignment="1">
      <alignment horizontal="right" vertical="center"/>
    </xf>
    <xf numFmtId="177" fontId="7" fillId="0" borderId="94" xfId="1" applyNumberFormat="1" applyFont="1" applyBorder="1" applyAlignment="1">
      <alignment horizontal="right" vertical="center"/>
    </xf>
    <xf numFmtId="178" fontId="7" fillId="0" borderId="81" xfId="1" applyNumberFormat="1" applyFont="1" applyBorder="1" applyAlignment="1">
      <alignment horizontal="right" vertical="center" shrinkToFit="1"/>
    </xf>
    <xf numFmtId="177" fontId="7" fillId="0" borderId="81" xfId="1" applyNumberFormat="1" applyFont="1" applyBorder="1" applyAlignment="1">
      <alignment horizontal="right" vertical="center" shrinkToFit="1"/>
    </xf>
    <xf numFmtId="177" fontId="7" fillId="0" borderId="71" xfId="1" applyNumberFormat="1" applyFont="1" applyBorder="1" applyAlignment="1">
      <alignment horizontal="right" vertical="center" shrinkToFit="1"/>
    </xf>
    <xf numFmtId="178" fontId="4" fillId="0" borderId="81" xfId="1" applyNumberFormat="1" applyFont="1" applyBorder="1" applyAlignment="1">
      <alignment horizontal="right" vertical="center" shrinkToFit="1"/>
    </xf>
    <xf numFmtId="0" fontId="7" fillId="0" borderId="107" xfId="1" applyFont="1" applyBorder="1" applyAlignment="1">
      <alignment horizontal="right" vertical="center"/>
    </xf>
    <xf numFmtId="0" fontId="7" fillId="0" borderId="94" xfId="1" applyFont="1" applyBorder="1" applyAlignment="1">
      <alignment horizontal="right" vertical="center"/>
    </xf>
    <xf numFmtId="180" fontId="7" fillId="0" borderId="81" xfId="1" applyNumberFormat="1" applyFont="1" applyBorder="1" applyAlignment="1">
      <alignment horizontal="right" vertical="center" shrinkToFit="1"/>
    </xf>
    <xf numFmtId="0" fontId="7" fillId="0" borderId="85" xfId="1" applyFont="1" applyBorder="1" applyAlignment="1">
      <alignment horizontal="right" vertical="center"/>
    </xf>
    <xf numFmtId="0" fontId="7" fillId="0" borderId="31" xfId="1" applyFont="1" applyBorder="1" applyAlignment="1">
      <alignment horizontal="right" vertical="center"/>
    </xf>
    <xf numFmtId="0" fontId="7" fillId="0" borderId="89" xfId="1" applyFont="1" applyBorder="1" applyAlignment="1">
      <alignment horizontal="right" vertical="center"/>
    </xf>
    <xf numFmtId="0" fontId="7" fillId="0" borderId="68" xfId="1" applyFont="1" applyBorder="1" applyAlignment="1">
      <alignment horizontal="right" vertical="center"/>
    </xf>
    <xf numFmtId="177" fontId="7" fillId="0" borderId="88" xfId="1" applyNumberFormat="1" applyFont="1" applyBorder="1" applyAlignment="1">
      <alignment horizontal="right" vertical="center"/>
    </xf>
    <xf numFmtId="0" fontId="10" fillId="0" borderId="43" xfId="1" applyFont="1" applyBorder="1" applyAlignment="1">
      <alignment vertical="center"/>
    </xf>
    <xf numFmtId="0" fontId="10" fillId="0" borderId="50" xfId="1" applyFont="1" applyBorder="1" applyAlignment="1">
      <alignment horizontal="distributed" vertical="center"/>
    </xf>
    <xf numFmtId="0" fontId="10" fillId="0" borderId="98" xfId="1" applyFont="1" applyBorder="1" applyAlignment="1">
      <alignment vertical="center"/>
    </xf>
    <xf numFmtId="0" fontId="15" fillId="0" borderId="62" xfId="1" applyFont="1" applyBorder="1" applyAlignment="1">
      <alignment horizontal="center" vertical="center" shrinkToFit="1"/>
    </xf>
    <xf numFmtId="177" fontId="7" fillId="0" borderId="96" xfId="1" applyNumberFormat="1" applyFont="1" applyBorder="1" applyAlignment="1">
      <alignment horizontal="right" vertical="center"/>
    </xf>
    <xf numFmtId="177" fontId="7" fillId="0" borderId="97" xfId="1" applyNumberFormat="1" applyFont="1" applyBorder="1" applyAlignment="1">
      <alignment horizontal="right" vertical="center"/>
    </xf>
    <xf numFmtId="178" fontId="7" fillId="0" borderId="63" xfId="1" applyNumberFormat="1" applyFont="1" applyBorder="1" applyAlignment="1">
      <alignment horizontal="right" vertical="center" shrinkToFit="1"/>
    </xf>
    <xf numFmtId="178" fontId="4" fillId="0" borderId="63" xfId="1" applyNumberFormat="1" applyFont="1" applyBorder="1" applyAlignment="1">
      <alignment horizontal="right" vertical="center" shrinkToFit="1"/>
    </xf>
    <xf numFmtId="0" fontId="10" fillId="0" borderId="36" xfId="1" applyFont="1" applyBorder="1" applyAlignment="1">
      <alignment horizontal="distributed" vertical="center"/>
    </xf>
    <xf numFmtId="0" fontId="10" fillId="0" borderId="38" xfId="1" applyFont="1" applyBorder="1" applyAlignment="1">
      <alignment horizontal="center" vertical="center"/>
    </xf>
    <xf numFmtId="0" fontId="10" fillId="0" borderId="38" xfId="1" applyFont="1" applyBorder="1" applyAlignment="1">
      <alignment horizontal="distributed" vertical="center"/>
    </xf>
    <xf numFmtId="0" fontId="10" fillId="0" borderId="36" xfId="1" applyFont="1" applyBorder="1" applyAlignment="1">
      <alignment vertical="center"/>
    </xf>
    <xf numFmtId="0" fontId="10" fillId="0" borderId="38" xfId="1" applyFont="1" applyBorder="1" applyAlignment="1">
      <alignment vertical="center"/>
    </xf>
    <xf numFmtId="0" fontId="10" fillId="0" borderId="36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0" fillId="0" borderId="46" xfId="1" applyFont="1" applyBorder="1" applyAlignment="1">
      <alignment horizontal="distributed" vertical="center"/>
    </xf>
    <xf numFmtId="177" fontId="7" fillId="0" borderId="0" xfId="1" applyNumberFormat="1" applyFont="1" applyAlignment="1">
      <alignment horizontal="right" vertical="center"/>
    </xf>
    <xf numFmtId="0" fontId="10" fillId="0" borderId="36" xfId="1" applyFont="1" applyBorder="1" applyAlignment="1">
      <alignment horizontal="distributed" vertical="center" wrapText="1"/>
    </xf>
    <xf numFmtId="0" fontId="10" fillId="0" borderId="36" xfId="1" applyFont="1" applyBorder="1" applyAlignment="1">
      <alignment vertical="center" wrapText="1"/>
    </xf>
    <xf numFmtId="0" fontId="10" fillId="0" borderId="47" xfId="1" applyFont="1" applyBorder="1" applyAlignment="1">
      <alignment horizontal="distributed" vertical="center" wrapText="1"/>
    </xf>
    <xf numFmtId="0" fontId="10" fillId="0" borderId="43" xfId="1" applyFont="1" applyBorder="1" applyAlignment="1">
      <alignment horizontal="distributed" vertical="center" wrapText="1"/>
    </xf>
    <xf numFmtId="0" fontId="10" fillId="0" borderId="43" xfId="1" applyFont="1" applyBorder="1" applyAlignment="1">
      <alignment vertical="center" wrapText="1"/>
    </xf>
    <xf numFmtId="0" fontId="10" fillId="0" borderId="48" xfId="1" applyFont="1" applyBorder="1" applyAlignment="1">
      <alignment horizontal="distributed" vertical="center" wrapText="1"/>
    </xf>
    <xf numFmtId="177" fontId="7" fillId="0" borderId="84" xfId="1" applyNumberFormat="1" applyFont="1" applyBorder="1" applyAlignment="1">
      <alignment horizontal="right" vertical="center"/>
    </xf>
    <xf numFmtId="0" fontId="10" fillId="0" borderId="36" xfId="1" applyFont="1" applyBorder="1" applyAlignment="1">
      <alignment horizontal="center" vertical="center" shrinkToFit="1"/>
    </xf>
    <xf numFmtId="0" fontId="10" fillId="0" borderId="39" xfId="1" applyFont="1" applyBorder="1" applyAlignment="1">
      <alignment horizontal="center" vertical="center" shrinkToFit="1"/>
    </xf>
    <xf numFmtId="0" fontId="17" fillId="0" borderId="50" xfId="1" applyFont="1" applyBorder="1" applyAlignment="1">
      <alignment vertical="center" textRotation="255"/>
    </xf>
    <xf numFmtId="0" fontId="15" fillId="0" borderId="53" xfId="1" applyFont="1" applyBorder="1" applyAlignment="1">
      <alignment horizontal="center" vertical="center" textRotation="255"/>
    </xf>
    <xf numFmtId="0" fontId="9" fillId="0" borderId="62" xfId="1" applyFont="1" applyBorder="1" applyAlignment="1">
      <alignment horizontal="center" vertical="center"/>
    </xf>
    <xf numFmtId="177" fontId="7" fillId="0" borderId="54" xfId="1" applyNumberFormat="1" applyFont="1" applyBorder="1" applyAlignment="1">
      <alignment horizontal="right" vertical="center"/>
    </xf>
    <xf numFmtId="180" fontId="7" fillId="0" borderId="107" xfId="1" applyNumberFormat="1" applyFont="1" applyBorder="1" applyAlignment="1">
      <alignment horizontal="right" vertical="center"/>
    </xf>
    <xf numFmtId="180" fontId="7" fillId="0" borderId="94" xfId="1" applyNumberFormat="1" applyFont="1" applyBorder="1" applyAlignment="1">
      <alignment horizontal="right" vertical="center"/>
    </xf>
    <xf numFmtId="177" fontId="7" fillId="2" borderId="28" xfId="1" applyNumberFormat="1" applyFont="1" applyFill="1" applyBorder="1" applyAlignment="1">
      <alignment horizontal="right" vertical="center" shrinkToFit="1"/>
    </xf>
    <xf numFmtId="177" fontId="7" fillId="0" borderId="28" xfId="1" applyNumberFormat="1" applyFont="1" applyBorder="1" applyAlignment="1">
      <alignment horizontal="right" vertical="center" shrinkToFit="1"/>
    </xf>
    <xf numFmtId="177" fontId="7" fillId="0" borderId="52" xfId="1" applyNumberFormat="1" applyFont="1" applyBorder="1" applyAlignment="1">
      <alignment horizontal="right" vertical="center" shrinkToFit="1"/>
    </xf>
    <xf numFmtId="177" fontId="7" fillId="0" borderId="63" xfId="1" applyNumberFormat="1" applyFont="1" applyBorder="1" applyAlignment="1">
      <alignment horizontal="right" vertical="center" shrinkToFit="1"/>
    </xf>
    <xf numFmtId="177" fontId="7" fillId="2" borderId="59" xfId="1" applyNumberFormat="1" applyFont="1" applyFill="1" applyBorder="1" applyAlignment="1">
      <alignment horizontal="right" vertical="center" shrinkToFit="1"/>
    </xf>
    <xf numFmtId="177" fontId="7" fillId="2" borderId="66" xfId="1" applyNumberFormat="1" applyFont="1" applyFill="1" applyBorder="1" applyAlignment="1">
      <alignment horizontal="right" vertical="center" shrinkToFit="1"/>
    </xf>
    <xf numFmtId="179" fontId="7" fillId="0" borderId="52" xfId="1" applyNumberFormat="1" applyFont="1" applyBorder="1" applyAlignment="1">
      <alignment horizontal="right" vertical="center" shrinkToFit="1"/>
    </xf>
    <xf numFmtId="0" fontId="7" fillId="0" borderId="81" xfId="1" applyFont="1" applyBorder="1" applyAlignment="1">
      <alignment horizontal="right" vertical="center" shrinkToFit="1"/>
    </xf>
    <xf numFmtId="0" fontId="7" fillId="0" borderId="34" xfId="1" applyFont="1" applyBorder="1" applyAlignment="1">
      <alignment horizontal="right" vertical="center" shrinkToFit="1"/>
    </xf>
    <xf numFmtId="0" fontId="7" fillId="0" borderId="71" xfId="1" applyFont="1" applyBorder="1" applyAlignment="1">
      <alignment horizontal="right" vertical="center" shrinkToFit="1"/>
    </xf>
    <xf numFmtId="178" fontId="4" fillId="0" borderId="23" xfId="1" applyNumberFormat="1" applyFont="1" applyBorder="1" applyAlignment="1">
      <alignment horizontal="right" vertical="center" shrinkToFit="1"/>
    </xf>
    <xf numFmtId="178" fontId="7" fillId="0" borderId="23" xfId="1" applyNumberFormat="1" applyFont="1" applyBorder="1" applyAlignment="1">
      <alignment horizontal="right" vertical="center" shrinkToFit="1"/>
    </xf>
    <xf numFmtId="178" fontId="7" fillId="0" borderId="88" xfId="1" applyNumberFormat="1" applyFont="1" applyBorder="1" applyAlignment="1">
      <alignment horizontal="right" vertical="center"/>
    </xf>
    <xf numFmtId="177" fontId="7" fillId="0" borderId="23" xfId="1" applyNumberFormat="1" applyFont="1" applyBorder="1" applyAlignment="1">
      <alignment horizontal="right" vertical="center" shrinkToFit="1"/>
    </xf>
    <xf numFmtId="1" fontId="7" fillId="0" borderId="34" xfId="1" applyNumberFormat="1" applyFont="1" applyBorder="1" applyAlignment="1">
      <alignment horizontal="right" vertical="center" shrinkToFit="1"/>
    </xf>
    <xf numFmtId="177" fontId="7" fillId="0" borderId="104" xfId="1" applyNumberFormat="1" applyFont="1" applyBorder="1" applyAlignment="1">
      <alignment horizontal="right" vertical="center" shrinkToFit="1"/>
    </xf>
    <xf numFmtId="180" fontId="7" fillId="0" borderId="52" xfId="1" applyNumberFormat="1" applyFont="1" applyBorder="1" applyAlignment="1">
      <alignment horizontal="right" vertical="center" shrinkToFit="1"/>
    </xf>
    <xf numFmtId="180" fontId="7" fillId="0" borderId="28" xfId="1" applyNumberFormat="1" applyFont="1" applyBorder="1" applyAlignment="1">
      <alignment horizontal="right" vertical="center" shrinkToFit="1"/>
    </xf>
    <xf numFmtId="0" fontId="15" fillId="0" borderId="118" xfId="1" applyFont="1" applyBorder="1" applyAlignment="1">
      <alignment horizontal="center" vertical="center" shrinkToFit="1"/>
    </xf>
    <xf numFmtId="176" fontId="15" fillId="0" borderId="23" xfId="1" applyNumberFormat="1" applyFont="1" applyBorder="1" applyAlignment="1">
      <alignment horizontal="center" vertical="center" wrapText="1"/>
    </xf>
    <xf numFmtId="176" fontId="15" fillId="0" borderId="23" xfId="1" applyNumberFormat="1" applyFont="1" applyBorder="1" applyAlignment="1">
      <alignment horizontal="center" vertical="center"/>
    </xf>
    <xf numFmtId="0" fontId="1" fillId="0" borderId="38" xfId="1" applyBorder="1" applyAlignment="1">
      <alignment vertical="center"/>
    </xf>
    <xf numFmtId="0" fontId="1" fillId="0" borderId="43" xfId="1" applyBorder="1" applyAlignment="1">
      <alignment vertical="center"/>
    </xf>
    <xf numFmtId="0" fontId="1" fillId="0" borderId="36" xfId="1" applyBorder="1" applyAlignment="1">
      <alignment vertical="center"/>
    </xf>
    <xf numFmtId="0" fontId="10" fillId="0" borderId="75" xfId="1" applyFont="1" applyBorder="1" applyAlignment="1">
      <alignment vertical="center"/>
    </xf>
    <xf numFmtId="0" fontId="10" fillId="0" borderId="76" xfId="1" applyFont="1" applyBorder="1" applyAlignment="1">
      <alignment vertical="center"/>
    </xf>
    <xf numFmtId="2" fontId="10" fillId="0" borderId="8" xfId="1" applyNumberFormat="1" applyFont="1" applyBorder="1" applyAlignment="1">
      <alignment horizontal="right" vertical="center" shrinkToFit="1"/>
    </xf>
    <xf numFmtId="2" fontId="10" fillId="0" borderId="13" xfId="1" applyNumberFormat="1" applyFont="1" applyBorder="1" applyAlignment="1">
      <alignment horizontal="right" vertical="center" shrinkToFit="1"/>
    </xf>
    <xf numFmtId="0" fontId="9" fillId="0" borderId="0" xfId="1" applyFont="1"/>
    <xf numFmtId="0" fontId="14" fillId="0" borderId="0" xfId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1" applyFont="1"/>
    <xf numFmtId="0" fontId="14" fillId="0" borderId="0" xfId="1" applyFont="1" applyAlignment="1">
      <alignment horizontal="center" vertical="top"/>
    </xf>
    <xf numFmtId="0" fontId="9" fillId="0" borderId="0" xfId="0" applyFont="1" applyAlignment="1"/>
    <xf numFmtId="0" fontId="19" fillId="0" borderId="0" xfId="0" applyFont="1" applyAlignment="1"/>
    <xf numFmtId="0" fontId="14" fillId="0" borderId="0" xfId="0" applyFont="1" applyAlignment="1"/>
    <xf numFmtId="0" fontId="4" fillId="0" borderId="35" xfId="1" applyFont="1" applyBorder="1" applyAlignment="1">
      <alignment horizontal="left" vertical="center" wrapText="1"/>
    </xf>
    <xf numFmtId="0" fontId="4" fillId="0" borderId="31" xfId="1" applyFont="1" applyBorder="1" applyAlignment="1">
      <alignment horizontal="left" vertical="center" wrapText="1"/>
    </xf>
    <xf numFmtId="0" fontId="4" fillId="0" borderId="88" xfId="1" applyFont="1" applyBorder="1" applyAlignment="1">
      <alignment horizontal="left" vertical="center" wrapText="1"/>
    </xf>
    <xf numFmtId="0" fontId="4" fillId="0" borderId="67" xfId="1" applyFont="1" applyBorder="1" applyAlignment="1">
      <alignment horizontal="left" vertical="center" wrapText="1" shrinkToFit="1"/>
    </xf>
    <xf numFmtId="0" fontId="4" fillId="0" borderId="68" xfId="1" applyFont="1" applyBorder="1" applyAlignment="1">
      <alignment horizontal="left" vertical="center" wrapText="1" shrinkToFit="1"/>
    </xf>
    <xf numFmtId="0" fontId="4" fillId="0" borderId="99" xfId="1" applyFont="1" applyBorder="1" applyAlignment="1">
      <alignment horizontal="left" vertical="center" wrapText="1" shrinkToFit="1"/>
    </xf>
    <xf numFmtId="0" fontId="4" fillId="0" borderId="110" xfId="1" applyFont="1" applyBorder="1" applyAlignment="1">
      <alignment horizontal="left" vertical="center" wrapText="1" shrinkToFit="1"/>
    </xf>
    <xf numFmtId="0" fontId="4" fillId="0" borderId="85" xfId="1" applyFont="1" applyBorder="1" applyAlignment="1">
      <alignment horizontal="left" vertical="center" wrapText="1" shrinkToFit="1"/>
    </xf>
    <xf numFmtId="0" fontId="4" fillId="0" borderId="33" xfId="1" applyFont="1" applyBorder="1" applyAlignment="1">
      <alignment horizontal="left" vertical="center" wrapText="1" shrinkToFit="1"/>
    </xf>
    <xf numFmtId="0" fontId="4" fillId="0" borderId="110" xfId="1" quotePrefix="1" applyFont="1" applyBorder="1" applyAlignment="1">
      <alignment horizontal="left" vertical="center" wrapText="1"/>
    </xf>
    <xf numFmtId="0" fontId="4" fillId="0" borderId="85" xfId="1" quotePrefix="1" applyFont="1" applyBorder="1" applyAlignment="1">
      <alignment horizontal="left" vertical="center" wrapText="1"/>
    </xf>
    <xf numFmtId="0" fontId="4" fillId="0" borderId="33" xfId="1" quotePrefix="1" applyFont="1" applyBorder="1" applyAlignment="1">
      <alignment horizontal="left" vertical="center" wrapText="1"/>
    </xf>
    <xf numFmtId="0" fontId="15" fillId="0" borderId="35" xfId="1" applyFont="1" applyBorder="1" applyAlignment="1">
      <alignment horizontal="distributed" vertical="center" wrapText="1" shrinkToFit="1"/>
    </xf>
    <xf numFmtId="0" fontId="15" fillId="0" borderId="31" xfId="1" applyFont="1" applyBorder="1" applyAlignment="1">
      <alignment horizontal="distributed" vertical="center" wrapText="1" shrinkToFit="1"/>
    </xf>
    <xf numFmtId="0" fontId="15" fillId="0" borderId="32" xfId="1" applyFont="1" applyBorder="1" applyAlignment="1">
      <alignment horizontal="distributed" vertical="center" wrapText="1" shrinkToFit="1"/>
    </xf>
    <xf numFmtId="0" fontId="15" fillId="0" borderId="67" xfId="1" applyFont="1" applyBorder="1" applyAlignment="1">
      <alignment horizontal="distributed" vertical="center" wrapText="1" shrinkToFit="1"/>
    </xf>
    <xf numFmtId="0" fontId="15" fillId="0" borderId="68" xfId="1" applyFont="1" applyBorder="1" applyAlignment="1">
      <alignment horizontal="distributed" vertical="center" wrapText="1" shrinkToFit="1"/>
    </xf>
    <xf numFmtId="0" fontId="15" fillId="0" borderId="69" xfId="1" applyFont="1" applyBorder="1" applyAlignment="1">
      <alignment horizontal="distributed" vertical="center" wrapText="1" shrinkToFit="1"/>
    </xf>
    <xf numFmtId="0" fontId="4" fillId="0" borderId="111" xfId="1" applyFont="1" applyBorder="1" applyAlignment="1">
      <alignment horizontal="left" vertical="center" wrapText="1" shrinkToFit="1"/>
    </xf>
    <xf numFmtId="0" fontId="4" fillId="0" borderId="89" xfId="1" applyFont="1" applyBorder="1" applyAlignment="1">
      <alignment horizontal="left" vertical="center" wrapText="1" shrinkToFit="1"/>
    </xf>
    <xf numFmtId="0" fontId="4" fillId="0" borderId="70" xfId="1" applyFont="1" applyBorder="1" applyAlignment="1">
      <alignment horizontal="left" vertical="center" wrapText="1" shrinkToFit="1"/>
    </xf>
    <xf numFmtId="0" fontId="15" fillId="0" borderId="93" xfId="1" applyFont="1" applyBorder="1" applyAlignment="1">
      <alignment horizontal="distributed" vertical="center" wrapText="1" shrinkToFit="1"/>
    </xf>
    <xf numFmtId="0" fontId="15" fillId="0" borderId="94" xfId="1" applyFont="1" applyBorder="1" applyAlignment="1">
      <alignment horizontal="distributed" vertical="center" wrapText="1" shrinkToFit="1"/>
    </xf>
    <xf numFmtId="0" fontId="15" fillId="0" borderId="105" xfId="1" applyFont="1" applyBorder="1" applyAlignment="1">
      <alignment horizontal="distributed" vertical="center" wrapText="1" shrinkToFit="1"/>
    </xf>
    <xf numFmtId="0" fontId="4" fillId="0" borderId="108" xfId="1" applyFont="1" applyBorder="1" applyAlignment="1">
      <alignment horizontal="left" vertical="center" wrapText="1" shrinkToFit="1"/>
    </xf>
    <xf numFmtId="0" fontId="4" fillId="0" borderId="107" xfId="1" applyFont="1" applyBorder="1" applyAlignment="1">
      <alignment horizontal="left" vertical="center" wrapText="1" shrinkToFit="1"/>
    </xf>
    <xf numFmtId="0" fontId="4" fillId="0" borderId="106" xfId="1" applyFont="1" applyBorder="1" applyAlignment="1">
      <alignment horizontal="left" vertical="center" wrapText="1" shrinkToFit="1"/>
    </xf>
    <xf numFmtId="0" fontId="17" fillId="0" borderId="74" xfId="1" applyFont="1" applyBorder="1" applyAlignment="1">
      <alignment horizontal="distributed" vertical="center" wrapText="1" shrinkToFit="1"/>
    </xf>
    <xf numFmtId="0" fontId="17" fillId="0" borderId="31" xfId="1" applyFont="1" applyBorder="1" applyAlignment="1">
      <alignment horizontal="distributed" vertical="center" shrinkToFit="1"/>
    </xf>
    <xf numFmtId="0" fontId="17" fillId="0" borderId="32" xfId="1" applyFont="1" applyBorder="1" applyAlignment="1">
      <alignment horizontal="distributed" vertical="center" shrinkToFit="1"/>
    </xf>
    <xf numFmtId="0" fontId="17" fillId="0" borderId="112" xfId="1" applyFont="1" applyBorder="1" applyAlignment="1">
      <alignment horizontal="distributed" vertical="center" wrapText="1" shrinkToFit="1"/>
    </xf>
    <xf numFmtId="0" fontId="17" fillId="0" borderId="68" xfId="1" applyFont="1" applyBorder="1" applyAlignment="1">
      <alignment horizontal="distributed" vertical="center" shrinkToFit="1"/>
    </xf>
    <xf numFmtId="0" fontId="17" fillId="0" borderId="69" xfId="1" applyFont="1" applyBorder="1" applyAlignment="1">
      <alignment horizontal="distributed" vertical="center" shrinkToFit="1"/>
    </xf>
    <xf numFmtId="0" fontId="17" fillId="0" borderId="80" xfId="1" applyFont="1" applyBorder="1" applyAlignment="1">
      <alignment horizontal="center" vertical="center" textRotation="255"/>
    </xf>
    <xf numFmtId="0" fontId="17" fillId="0" borderId="72" xfId="1" applyFont="1" applyBorder="1" applyAlignment="1">
      <alignment horizontal="center" vertical="center" textRotation="255"/>
    </xf>
    <xf numFmtId="0" fontId="15" fillId="0" borderId="109" xfId="1" applyFont="1" applyBorder="1" applyAlignment="1">
      <alignment horizontal="distributed" vertical="center" wrapText="1" shrinkToFit="1"/>
    </xf>
    <xf numFmtId="0" fontId="15" fillId="0" borderId="74" xfId="1" applyFont="1" applyBorder="1" applyAlignment="1">
      <alignment horizontal="distributed" vertical="center" wrapText="1" shrinkToFit="1"/>
    </xf>
    <xf numFmtId="0" fontId="17" fillId="0" borderId="31" xfId="1" applyFont="1" applyBorder="1" applyAlignment="1">
      <alignment horizontal="distributed" vertical="center" wrapText="1" shrinkToFit="1"/>
    </xf>
    <xf numFmtId="0" fontId="17" fillId="0" borderId="32" xfId="1" applyFont="1" applyBorder="1" applyAlignment="1">
      <alignment horizontal="distributed" vertical="center" wrapText="1" shrinkToFit="1"/>
    </xf>
    <xf numFmtId="0" fontId="15" fillId="0" borderId="112" xfId="1" applyFont="1" applyBorder="1" applyAlignment="1">
      <alignment horizontal="distributed" vertical="center" wrapText="1" shrinkToFit="1"/>
    </xf>
    <xf numFmtId="0" fontId="15" fillId="0" borderId="68" xfId="1" applyFont="1" applyBorder="1" applyAlignment="1">
      <alignment horizontal="distributed" vertical="center" shrinkToFit="1"/>
    </xf>
    <xf numFmtId="0" fontId="15" fillId="0" borderId="69" xfId="1" applyFont="1" applyBorder="1" applyAlignment="1">
      <alignment horizontal="distributed" vertical="center" shrinkToFit="1"/>
    </xf>
    <xf numFmtId="0" fontId="10" fillId="0" borderId="44" xfId="1" applyFont="1" applyBorder="1" applyAlignment="1">
      <alignment horizontal="distributed" vertical="center" shrinkToFit="1"/>
    </xf>
    <xf numFmtId="0" fontId="10" fillId="0" borderId="31" xfId="1" applyFont="1" applyBorder="1" applyAlignment="1">
      <alignment horizontal="distributed" vertical="center" shrinkToFit="1"/>
    </xf>
    <xf numFmtId="0" fontId="10" fillId="0" borderId="32" xfId="1" applyFont="1" applyBorder="1" applyAlignment="1">
      <alignment horizontal="distributed" vertical="center" shrinkToFit="1"/>
    </xf>
    <xf numFmtId="0" fontId="10" fillId="0" borderId="74" xfId="1" applyFont="1" applyBorder="1" applyAlignment="1">
      <alignment horizontal="distributed" vertical="center"/>
    </xf>
    <xf numFmtId="0" fontId="10" fillId="0" borderId="31" xfId="1" applyFont="1" applyBorder="1" applyAlignment="1">
      <alignment horizontal="distributed" vertical="center"/>
    </xf>
    <xf numFmtId="0" fontId="10" fillId="0" borderId="32" xfId="1" applyFont="1" applyBorder="1" applyAlignment="1">
      <alignment horizontal="distributed" vertical="center"/>
    </xf>
    <xf numFmtId="0" fontId="10" fillId="0" borderId="68" xfId="1" applyFont="1" applyBorder="1" applyAlignment="1">
      <alignment horizontal="distributed" vertical="center"/>
    </xf>
    <xf numFmtId="0" fontId="10" fillId="0" borderId="69" xfId="1" applyFont="1" applyBorder="1" applyAlignment="1">
      <alignment horizontal="distributed" vertical="center"/>
    </xf>
    <xf numFmtId="0" fontId="17" fillId="0" borderId="108" xfId="1" applyFont="1" applyBorder="1" applyAlignment="1">
      <alignment horizontal="center" vertical="center" wrapText="1"/>
    </xf>
    <xf numFmtId="0" fontId="17" fillId="0" borderId="110" xfId="1" applyFont="1" applyBorder="1" applyAlignment="1">
      <alignment horizontal="center" vertical="center" wrapText="1"/>
    </xf>
    <xf numFmtId="0" fontId="17" fillId="0" borderId="111" xfId="1" applyFont="1" applyBorder="1" applyAlignment="1">
      <alignment horizontal="center" vertical="center" wrapText="1"/>
    </xf>
    <xf numFmtId="0" fontId="10" fillId="0" borderId="109" xfId="1" applyFont="1" applyBorder="1" applyAlignment="1">
      <alignment horizontal="distributed" vertical="center" wrapText="1" shrinkToFit="1"/>
    </xf>
    <xf numFmtId="0" fontId="10" fillId="0" borderId="94" xfId="1" applyFont="1" applyBorder="1" applyAlignment="1">
      <alignment horizontal="distributed" vertical="center" shrinkToFit="1"/>
    </xf>
    <xf numFmtId="0" fontId="10" fillId="0" borderId="105" xfId="1" applyFont="1" applyBorder="1" applyAlignment="1">
      <alignment horizontal="distributed" vertical="center" shrinkToFit="1"/>
    </xf>
    <xf numFmtId="0" fontId="15" fillId="0" borderId="31" xfId="1" applyFont="1" applyBorder="1" applyAlignment="1">
      <alignment horizontal="distributed" vertical="center" shrinkToFit="1"/>
    </xf>
    <xf numFmtId="0" fontId="15" fillId="0" borderId="32" xfId="1" applyFont="1" applyBorder="1" applyAlignment="1">
      <alignment horizontal="distributed" vertical="center" shrinkToFit="1"/>
    </xf>
    <xf numFmtId="0" fontId="10" fillId="0" borderId="80" xfId="1" applyFont="1" applyBorder="1" applyAlignment="1">
      <alignment horizontal="center" vertical="center" textRotation="255"/>
    </xf>
    <xf numFmtId="0" fontId="10" fillId="0" borderId="72" xfId="1" applyFont="1" applyBorder="1" applyAlignment="1">
      <alignment horizontal="center" vertical="center" textRotation="255"/>
    </xf>
    <xf numFmtId="0" fontId="10" fillId="0" borderId="82" xfId="1" applyFont="1" applyBorder="1" applyAlignment="1">
      <alignment horizontal="center" vertical="center" textRotation="255"/>
    </xf>
    <xf numFmtId="0" fontId="10" fillId="0" borderId="37" xfId="1" applyFont="1" applyBorder="1" applyAlignment="1">
      <alignment horizontal="distributed" vertical="center"/>
    </xf>
    <xf numFmtId="0" fontId="1" fillId="0" borderId="31" xfId="1" applyBorder="1" applyAlignment="1">
      <alignment horizontal="distributed" vertical="center"/>
    </xf>
    <xf numFmtId="0" fontId="1" fillId="0" borderId="32" xfId="1" applyBorder="1" applyAlignment="1">
      <alignment horizontal="distributed" vertical="center"/>
    </xf>
    <xf numFmtId="0" fontId="15" fillId="0" borderId="77" xfId="1" applyFont="1" applyBorder="1" applyAlignment="1">
      <alignment horizontal="center" vertical="center" textRotation="255" wrapText="1"/>
    </xf>
    <xf numFmtId="0" fontId="15" fillId="0" borderId="37" xfId="1" applyFont="1" applyBorder="1" applyAlignment="1">
      <alignment horizontal="center" vertical="center" textRotation="255" wrapText="1"/>
    </xf>
    <xf numFmtId="0" fontId="15" fillId="0" borderId="78" xfId="1" applyFont="1" applyBorder="1" applyAlignment="1">
      <alignment horizontal="center" vertical="center" textRotation="255" wrapText="1"/>
    </xf>
    <xf numFmtId="0" fontId="15" fillId="0" borderId="0" xfId="1" applyFont="1" applyAlignment="1">
      <alignment horizontal="center" vertical="center" textRotation="255" wrapText="1"/>
    </xf>
    <xf numFmtId="0" fontId="15" fillId="0" borderId="73" xfId="1" applyFont="1" applyBorder="1" applyAlignment="1">
      <alignment horizontal="center" vertical="center" textRotation="255" wrapText="1"/>
    </xf>
    <xf numFmtId="0" fontId="15" fillId="0" borderId="49" xfId="1" applyFont="1" applyBorder="1" applyAlignment="1">
      <alignment horizontal="center" vertical="center" textRotation="255" wrapText="1"/>
    </xf>
    <xf numFmtId="0" fontId="14" fillId="0" borderId="44" xfId="1" applyFont="1" applyBorder="1" applyAlignment="1">
      <alignment horizontal="distributed" vertical="center"/>
    </xf>
    <xf numFmtId="0" fontId="14" fillId="0" borderId="32" xfId="1" applyFont="1" applyBorder="1" applyAlignment="1">
      <alignment horizontal="distributed" vertical="center"/>
    </xf>
    <xf numFmtId="0" fontId="4" fillId="0" borderId="110" xfId="1" applyFont="1" applyBorder="1" applyAlignment="1">
      <alignment horizontal="left" vertical="center" wrapText="1"/>
    </xf>
    <xf numFmtId="0" fontId="4" fillId="0" borderId="85" xfId="1" applyFont="1" applyBorder="1" applyAlignment="1">
      <alignment horizontal="left" vertical="center" wrapText="1"/>
    </xf>
    <xf numFmtId="0" fontId="4" fillId="0" borderId="33" xfId="1" applyFont="1" applyBorder="1" applyAlignment="1">
      <alignment horizontal="left" vertical="center" wrapText="1"/>
    </xf>
    <xf numFmtId="0" fontId="10" fillId="0" borderId="44" xfId="1" applyFont="1" applyBorder="1" applyAlignment="1">
      <alignment horizontal="distributed" vertical="center"/>
    </xf>
    <xf numFmtId="0" fontId="15" fillId="0" borderId="44" xfId="1" applyFont="1" applyBorder="1" applyAlignment="1">
      <alignment horizontal="distributed" vertical="center" wrapText="1"/>
    </xf>
    <xf numFmtId="0" fontId="15" fillId="0" borderId="32" xfId="1" applyFont="1" applyBorder="1" applyAlignment="1">
      <alignment horizontal="distributed" vertical="center"/>
    </xf>
    <xf numFmtId="0" fontId="16" fillId="0" borderId="77" xfId="1" applyFont="1" applyBorder="1" applyAlignment="1">
      <alignment horizontal="center" vertical="distributed" textRotation="255" wrapText="1"/>
    </xf>
    <xf numFmtId="0" fontId="16" fillId="0" borderId="37" xfId="1" applyFont="1" applyBorder="1" applyAlignment="1">
      <alignment horizontal="center" vertical="distributed" textRotation="255" wrapText="1"/>
    </xf>
    <xf numFmtId="0" fontId="16" fillId="0" borderId="78" xfId="1" applyFont="1" applyBorder="1" applyAlignment="1">
      <alignment horizontal="center" vertical="distributed" textRotation="255" wrapText="1"/>
    </xf>
    <xf numFmtId="0" fontId="16" fillId="0" borderId="0" xfId="1" applyFont="1" applyAlignment="1">
      <alignment horizontal="center" vertical="distributed" textRotation="255" wrapText="1"/>
    </xf>
    <xf numFmtId="0" fontId="15" fillId="0" borderId="30" xfId="1" applyFont="1" applyBorder="1" applyAlignment="1">
      <alignment horizontal="distributed" vertical="center" wrapText="1"/>
    </xf>
    <xf numFmtId="0" fontId="15" fillId="0" borderId="42" xfId="1" applyFont="1" applyBorder="1" applyAlignment="1">
      <alignment horizontal="distributed" vertical="center"/>
    </xf>
    <xf numFmtId="0" fontId="4" fillId="0" borderId="114" xfId="1" quotePrefix="1" applyFont="1" applyBorder="1" applyAlignment="1">
      <alignment horizontal="left" vertical="center" wrapText="1"/>
    </xf>
    <xf numFmtId="0" fontId="4" fillId="0" borderId="103" xfId="1" quotePrefix="1" applyFont="1" applyBorder="1" applyAlignment="1">
      <alignment horizontal="left" vertical="center" wrapText="1"/>
    </xf>
    <xf numFmtId="0" fontId="4" fillId="0" borderId="102" xfId="1" quotePrefix="1" applyFont="1" applyBorder="1" applyAlignment="1">
      <alignment horizontal="left" vertical="center" wrapText="1"/>
    </xf>
    <xf numFmtId="0" fontId="10" fillId="0" borderId="25" xfId="1" applyFont="1" applyBorder="1" applyAlignment="1">
      <alignment horizontal="distributed" vertical="center"/>
    </xf>
    <xf numFmtId="0" fontId="10" fillId="0" borderId="94" xfId="1" applyFont="1" applyBorder="1" applyAlignment="1">
      <alignment horizontal="distributed" vertical="center"/>
    </xf>
    <xf numFmtId="0" fontId="10" fillId="0" borderId="105" xfId="1" applyFont="1" applyBorder="1" applyAlignment="1">
      <alignment horizontal="distributed" vertical="center"/>
    </xf>
    <xf numFmtId="0" fontId="15" fillId="0" borderId="77" xfId="1" applyFont="1" applyBorder="1" applyAlignment="1">
      <alignment horizontal="distributed" vertical="center" wrapText="1"/>
    </xf>
    <xf numFmtId="0" fontId="10" fillId="0" borderId="77" xfId="1" applyFont="1" applyBorder="1" applyAlignment="1">
      <alignment horizontal="distributed" vertical="center"/>
    </xf>
    <xf numFmtId="0" fontId="1" fillId="0" borderId="44" xfId="1" applyBorder="1" applyAlignment="1">
      <alignment horizontal="distributed" vertical="center"/>
    </xf>
    <xf numFmtId="0" fontId="1" fillId="0" borderId="30" xfId="1" applyBorder="1" applyAlignment="1">
      <alignment horizontal="distributed" vertical="center"/>
    </xf>
    <xf numFmtId="0" fontId="1" fillId="0" borderId="37" xfId="1" applyBorder="1" applyAlignment="1">
      <alignment horizontal="distributed" vertical="center"/>
    </xf>
    <xf numFmtId="0" fontId="1" fillId="0" borderId="42" xfId="1" applyBorder="1" applyAlignment="1">
      <alignment horizontal="distributed" vertical="center"/>
    </xf>
    <xf numFmtId="0" fontId="15" fillId="0" borderId="74" xfId="1" applyFont="1" applyBorder="1" applyAlignment="1">
      <alignment horizontal="distributed" vertical="center" wrapText="1"/>
    </xf>
    <xf numFmtId="0" fontId="15" fillId="0" borderId="31" xfId="1" applyFont="1" applyBorder="1" applyAlignment="1">
      <alignment horizontal="distributed" vertical="center"/>
    </xf>
    <xf numFmtId="0" fontId="14" fillId="0" borderId="31" xfId="1" applyFont="1" applyBorder="1" applyAlignment="1">
      <alignment horizontal="distributed" vertical="center"/>
    </xf>
    <xf numFmtId="0" fontId="15" fillId="0" borderId="77" xfId="1" applyFont="1" applyBorder="1" applyAlignment="1">
      <alignment horizontal="center" vertical="center" textRotation="255"/>
    </xf>
    <xf numFmtId="0" fontId="15" fillId="0" borderId="78" xfId="1" applyFont="1" applyBorder="1" applyAlignment="1">
      <alignment horizontal="center" vertical="center" textRotation="255"/>
    </xf>
    <xf numFmtId="0" fontId="15" fillId="0" borderId="73" xfId="1" applyFont="1" applyBorder="1" applyAlignment="1">
      <alignment horizontal="center" vertical="center" textRotation="255"/>
    </xf>
    <xf numFmtId="0" fontId="15" fillId="0" borderId="44" xfId="1" applyFont="1" applyBorder="1" applyAlignment="1">
      <alignment horizontal="distributed" vertical="center"/>
    </xf>
    <xf numFmtId="0" fontId="10" fillId="0" borderId="74" xfId="1" applyFont="1" applyBorder="1" applyAlignment="1">
      <alignment horizontal="distributed" vertical="center" wrapText="1"/>
    </xf>
    <xf numFmtId="0" fontId="10" fillId="0" borderId="31" xfId="1" applyFont="1" applyBorder="1" applyAlignment="1">
      <alignment horizontal="distributed" vertical="center" wrapText="1"/>
    </xf>
    <xf numFmtId="0" fontId="10" fillId="0" borderId="32" xfId="1" applyFont="1" applyBorder="1" applyAlignment="1">
      <alignment horizontal="distributed" vertical="center" wrapText="1"/>
    </xf>
    <xf numFmtId="0" fontId="10" fillId="0" borderId="77" xfId="1" applyFont="1" applyBorder="1" applyAlignment="1">
      <alignment horizontal="distributed" vertical="center" wrapText="1"/>
    </xf>
    <xf numFmtId="0" fontId="15" fillId="0" borderId="79" xfId="1" applyFont="1" applyBorder="1" applyAlignment="1">
      <alignment horizontal="center" vertical="center" textRotation="255"/>
    </xf>
    <xf numFmtId="0" fontId="15" fillId="0" borderId="75" xfId="1" applyFont="1" applyBorder="1" applyAlignment="1">
      <alignment horizontal="center" vertical="center" textRotation="255"/>
    </xf>
    <xf numFmtId="0" fontId="15" fillId="0" borderId="76" xfId="1" applyFont="1" applyBorder="1" applyAlignment="1">
      <alignment horizontal="center" vertical="center" textRotation="255"/>
    </xf>
    <xf numFmtId="0" fontId="15" fillId="0" borderId="101" xfId="1" applyFont="1" applyBorder="1" applyAlignment="1">
      <alignment horizontal="distributed" vertical="center"/>
    </xf>
    <xf numFmtId="0" fontId="15" fillId="0" borderId="47" xfId="1" applyFont="1" applyBorder="1" applyAlignment="1">
      <alignment horizontal="distributed" vertical="center"/>
    </xf>
    <xf numFmtId="0" fontId="15" fillId="0" borderId="100" xfId="1" applyFont="1" applyBorder="1" applyAlignment="1">
      <alignment horizontal="center" vertical="center" textRotation="255"/>
    </xf>
    <xf numFmtId="0" fontId="10" fillId="0" borderId="67" xfId="1" applyFont="1" applyBorder="1" applyAlignment="1">
      <alignment horizontal="distributed" vertical="center"/>
    </xf>
    <xf numFmtId="0" fontId="10" fillId="0" borderId="78" xfId="1" applyFont="1" applyBorder="1" applyAlignment="1">
      <alignment horizontal="distributed" vertical="center" shrinkToFit="1"/>
    </xf>
    <xf numFmtId="0" fontId="10" fillId="0" borderId="49" xfId="1" applyFont="1" applyBorder="1" applyAlignment="1">
      <alignment horizontal="distributed" vertical="center" shrinkToFit="1"/>
    </xf>
    <xf numFmtId="0" fontId="10" fillId="0" borderId="45" xfId="1" applyFont="1" applyBorder="1" applyAlignment="1">
      <alignment horizontal="distributed" vertical="center" shrinkToFit="1"/>
    </xf>
    <xf numFmtId="0" fontId="4" fillId="0" borderId="117" xfId="1" applyFont="1" applyBorder="1" applyAlignment="1">
      <alignment horizontal="left" vertical="center" wrapText="1" shrinkToFit="1"/>
    </xf>
    <xf numFmtId="0" fontId="4" fillId="0" borderId="86" xfId="1" applyFont="1" applyBorder="1" applyAlignment="1">
      <alignment horizontal="left" vertical="center" wrapText="1" shrinkToFit="1"/>
    </xf>
    <xf numFmtId="0" fontId="4" fillId="0" borderId="51" xfId="1" applyFont="1" applyBorder="1" applyAlignment="1">
      <alignment horizontal="left" vertical="center" wrapText="1" shrinkToFit="1"/>
    </xf>
    <xf numFmtId="178" fontId="15" fillId="0" borderId="31" xfId="1" applyNumberFormat="1" applyFont="1" applyBorder="1" applyAlignment="1">
      <alignment horizontal="distributed" vertical="center" wrapText="1" shrinkToFit="1"/>
    </xf>
    <xf numFmtId="0" fontId="15" fillId="0" borderId="74" xfId="1" applyFont="1" applyBorder="1" applyAlignment="1">
      <alignment horizontal="center" vertical="center" textRotation="255"/>
    </xf>
    <xf numFmtId="0" fontId="10" fillId="0" borderId="95" xfId="1" applyFont="1" applyBorder="1" applyAlignment="1">
      <alignment horizontal="distributed" vertical="center"/>
    </xf>
    <xf numFmtId="0" fontId="10" fillId="0" borderId="35" xfId="1" applyFont="1" applyBorder="1" applyAlignment="1">
      <alignment horizontal="distributed" vertical="center"/>
    </xf>
    <xf numFmtId="0" fontId="10" fillId="0" borderId="30" xfId="1" applyFont="1" applyBorder="1" applyAlignment="1">
      <alignment horizontal="distributed" vertical="center" wrapText="1"/>
    </xf>
    <xf numFmtId="0" fontId="10" fillId="0" borderId="30" xfId="1" applyFont="1" applyBorder="1" applyAlignment="1">
      <alignment horizontal="distributed" vertical="center"/>
    </xf>
    <xf numFmtId="0" fontId="10" fillId="2" borderId="64" xfId="1" applyFont="1" applyFill="1" applyBorder="1" applyAlignment="1">
      <alignment horizontal="distributed" vertical="center"/>
    </xf>
    <xf numFmtId="0" fontId="10" fillId="2" borderId="65" xfId="1" applyFont="1" applyFill="1" applyBorder="1" applyAlignment="1">
      <alignment horizontal="distributed" vertical="center"/>
    </xf>
    <xf numFmtId="0" fontId="10" fillId="2" borderId="14" xfId="1" applyFont="1" applyFill="1" applyBorder="1" applyAlignment="1">
      <alignment horizontal="distributed" vertical="center"/>
    </xf>
    <xf numFmtId="0" fontId="4" fillId="0" borderId="10" xfId="1" applyFont="1" applyBorder="1" applyAlignment="1">
      <alignment horizontal="left" vertical="center" wrapText="1" shrinkToFit="1"/>
    </xf>
    <xf numFmtId="0" fontId="4" fillId="0" borderId="11" xfId="1" applyFont="1" applyBorder="1" applyAlignment="1">
      <alignment horizontal="left" vertical="center" wrapText="1" shrinkToFit="1"/>
    </xf>
    <xf numFmtId="0" fontId="4" fillId="0" borderId="12" xfId="1" applyFont="1" applyBorder="1" applyAlignment="1">
      <alignment horizontal="left" vertical="center" wrapText="1" shrinkToFit="1"/>
    </xf>
    <xf numFmtId="0" fontId="10" fillId="0" borderId="29" xfId="1" applyFont="1" applyBorder="1" applyAlignment="1">
      <alignment horizontal="distributed" vertical="center"/>
    </xf>
    <xf numFmtId="0" fontId="10" fillId="0" borderId="49" xfId="1" applyFont="1" applyBorder="1" applyAlignment="1">
      <alignment horizontal="distributed" vertical="center"/>
    </xf>
    <xf numFmtId="0" fontId="10" fillId="0" borderId="45" xfId="1" applyFont="1" applyBorder="1" applyAlignment="1">
      <alignment horizontal="distributed" vertical="center"/>
    </xf>
    <xf numFmtId="0" fontId="10" fillId="0" borderId="60" xfId="1" applyFont="1" applyBorder="1" applyAlignment="1">
      <alignment horizontal="distributed" vertical="center"/>
    </xf>
    <xf numFmtId="0" fontId="10" fillId="0" borderId="54" xfId="1" applyFont="1" applyBorder="1" applyAlignment="1">
      <alignment horizontal="distributed" vertical="center"/>
    </xf>
    <xf numFmtId="0" fontId="10" fillId="0" borderId="61" xfId="1" applyFont="1" applyBorder="1" applyAlignment="1">
      <alignment horizontal="distributed" vertical="center"/>
    </xf>
    <xf numFmtId="0" fontId="4" fillId="0" borderId="115" xfId="1" applyFont="1" applyBorder="1" applyAlignment="1">
      <alignment horizontal="left" vertical="center" wrapText="1"/>
    </xf>
    <xf numFmtId="0" fontId="4" fillId="0" borderId="96" xfId="1" applyFont="1" applyBorder="1" applyAlignment="1">
      <alignment horizontal="left" vertical="center" wrapText="1"/>
    </xf>
    <xf numFmtId="0" fontId="4" fillId="0" borderId="62" xfId="1" applyFont="1" applyBorder="1" applyAlignment="1">
      <alignment horizontal="left" vertical="center" wrapText="1"/>
    </xf>
    <xf numFmtId="0" fontId="15" fillId="0" borderId="31" xfId="1" applyFont="1" applyBorder="1" applyAlignment="1">
      <alignment horizontal="distributed" vertical="center" wrapText="1"/>
    </xf>
    <xf numFmtId="0" fontId="15" fillId="0" borderId="32" xfId="1" applyFont="1" applyBorder="1" applyAlignment="1">
      <alignment horizontal="distributed" vertical="center" wrapText="1"/>
    </xf>
    <xf numFmtId="0" fontId="10" fillId="0" borderId="85" xfId="1" applyFont="1" applyBorder="1" applyAlignment="1">
      <alignment horizontal="distributed" vertical="center"/>
    </xf>
    <xf numFmtId="0" fontId="10" fillId="0" borderId="61" xfId="1" applyFont="1" applyBorder="1" applyAlignment="1">
      <alignment horizontal="distributed" vertical="center" wrapText="1" shrinkToFit="1"/>
    </xf>
    <xf numFmtId="0" fontId="10" fillId="0" borderId="96" xfId="1" applyFont="1" applyBorder="1" applyAlignment="1">
      <alignment horizontal="distributed" vertical="center" shrinkToFit="1"/>
    </xf>
    <xf numFmtId="0" fontId="4" fillId="0" borderId="115" xfId="1" applyFont="1" applyBorder="1" applyAlignment="1">
      <alignment horizontal="left" vertical="center" wrapText="1" shrinkToFit="1"/>
    </xf>
    <xf numFmtId="0" fontId="4" fillId="0" borderId="96" xfId="1" applyFont="1" applyBorder="1" applyAlignment="1">
      <alignment horizontal="left" vertical="center" wrapText="1" shrinkToFit="1"/>
    </xf>
    <xf numFmtId="0" fontId="4" fillId="0" borderId="62" xfId="1" applyFont="1" applyBorder="1" applyAlignment="1">
      <alignment horizontal="left" vertical="center" wrapText="1" shrinkToFit="1"/>
    </xf>
    <xf numFmtId="0" fontId="10" fillId="2" borderId="55" xfId="1" applyFont="1" applyFill="1" applyBorder="1" applyAlignment="1">
      <alignment horizontal="distributed" vertical="center"/>
    </xf>
    <xf numFmtId="0" fontId="10" fillId="2" borderId="56" xfId="1" applyFont="1" applyFill="1" applyBorder="1" applyAlignment="1">
      <alignment horizontal="distributed" vertical="center"/>
    </xf>
    <xf numFmtId="0" fontId="10" fillId="2" borderId="57" xfId="1" applyFont="1" applyFill="1" applyBorder="1" applyAlignment="1">
      <alignment horizontal="distributed" vertical="center"/>
    </xf>
    <xf numFmtId="0" fontId="4" fillId="0" borderId="116" xfId="1" applyFont="1" applyBorder="1" applyAlignment="1">
      <alignment horizontal="left" vertical="center" wrapText="1" shrinkToFit="1"/>
    </xf>
    <xf numFmtId="0" fontId="4" fillId="0" borderId="87" xfId="1" applyFont="1" applyBorder="1" applyAlignment="1">
      <alignment horizontal="left" vertical="center" wrapText="1" shrinkToFit="1"/>
    </xf>
    <xf numFmtId="0" fontId="4" fillId="0" borderId="58" xfId="1" applyFont="1" applyBorder="1" applyAlignment="1">
      <alignment horizontal="left" vertical="center" wrapText="1" shrinkToFit="1"/>
    </xf>
    <xf numFmtId="0" fontId="15" fillId="0" borderId="0" xfId="1" applyFont="1" applyAlignment="1">
      <alignment horizontal="distributed" vertical="center" wrapText="1"/>
    </xf>
    <xf numFmtId="0" fontId="15" fillId="0" borderId="46" xfId="1" applyFont="1" applyBorder="1" applyAlignment="1">
      <alignment horizontal="distributed" vertical="center" wrapText="1"/>
    </xf>
    <xf numFmtId="0" fontId="4" fillId="0" borderId="114" xfId="1" applyFont="1" applyBorder="1" applyAlignment="1">
      <alignment horizontal="left" vertical="center" wrapText="1"/>
    </xf>
    <xf numFmtId="0" fontId="4" fillId="0" borderId="103" xfId="1" applyFont="1" applyBorder="1" applyAlignment="1">
      <alignment horizontal="left" vertical="center" wrapText="1"/>
    </xf>
    <xf numFmtId="0" fontId="4" fillId="0" borderId="102" xfId="1" applyFont="1" applyBorder="1" applyAlignment="1">
      <alignment horizontal="left" vertical="center" wrapText="1"/>
    </xf>
    <xf numFmtId="0" fontId="15" fillId="0" borderId="37" xfId="1" applyFont="1" applyBorder="1" applyAlignment="1">
      <alignment horizontal="distributed" vertical="center"/>
    </xf>
    <xf numFmtId="0" fontId="15" fillId="0" borderId="30" xfId="1" applyFont="1" applyBorder="1" applyAlignment="1">
      <alignment horizontal="distributed" vertical="center"/>
    </xf>
    <xf numFmtId="0" fontId="15" fillId="0" borderId="40" xfId="1" applyFont="1" applyBorder="1" applyAlignment="1">
      <alignment horizontal="distributed" vertical="center" wrapText="1"/>
    </xf>
    <xf numFmtId="0" fontId="15" fillId="0" borderId="49" xfId="1" applyFont="1" applyBorder="1" applyAlignment="1">
      <alignment horizontal="distributed" vertical="center" wrapText="1"/>
    </xf>
    <xf numFmtId="0" fontId="15" fillId="0" borderId="45" xfId="1" applyFont="1" applyBorder="1" applyAlignment="1">
      <alignment horizontal="distributed" vertical="center" wrapText="1"/>
    </xf>
    <xf numFmtId="0" fontId="10" fillId="0" borderId="30" xfId="1" applyFont="1" applyBorder="1" applyAlignment="1">
      <alignment horizontal="distributed" vertical="center" shrinkToFit="1"/>
    </xf>
    <xf numFmtId="0" fontId="10" fillId="0" borderId="37" xfId="1" applyFont="1" applyBorder="1" applyAlignment="1">
      <alignment horizontal="distributed" vertical="center" shrinkToFit="1"/>
    </xf>
    <xf numFmtId="0" fontId="10" fillId="0" borderId="42" xfId="1" applyFont="1" applyBorder="1" applyAlignment="1">
      <alignment horizontal="distributed" vertical="center" shrinkToFit="1"/>
    </xf>
    <xf numFmtId="0" fontId="10" fillId="0" borderId="44" xfId="1" applyFont="1" applyBorder="1" applyAlignment="1">
      <alignment horizontal="distributed" vertical="center" wrapText="1"/>
    </xf>
    <xf numFmtId="0" fontId="1" fillId="0" borderId="32" xfId="1" applyBorder="1" applyAlignment="1">
      <alignment horizontal="distributed" vertical="center" wrapText="1"/>
    </xf>
    <xf numFmtId="0" fontId="10" fillId="0" borderId="40" xfId="1" applyFont="1" applyBorder="1" applyAlignment="1">
      <alignment horizontal="distributed" vertical="center" wrapText="1"/>
    </xf>
    <xf numFmtId="0" fontId="1" fillId="0" borderId="45" xfId="1" applyBorder="1" applyAlignment="1">
      <alignment horizontal="distributed" vertical="center" wrapText="1"/>
    </xf>
    <xf numFmtId="0" fontId="10" fillId="0" borderId="42" xfId="1" applyFont="1" applyBorder="1" applyAlignment="1">
      <alignment horizontal="distributed" vertical="center"/>
    </xf>
    <xf numFmtId="0" fontId="10" fillId="0" borderId="38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10" fillId="0" borderId="40" xfId="1" applyFont="1" applyBorder="1" applyAlignment="1">
      <alignment horizontal="center" vertical="center"/>
    </xf>
    <xf numFmtId="0" fontId="10" fillId="0" borderId="4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10" fillId="0" borderId="90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left" vertical="center" shrinkToFit="1"/>
    </xf>
    <xf numFmtId="0" fontId="10" fillId="0" borderId="8" xfId="1" applyFont="1" applyBorder="1" applyAlignment="1">
      <alignment horizontal="right" vertical="center" shrinkToFit="1"/>
    </xf>
    <xf numFmtId="0" fontId="10" fillId="0" borderId="91" xfId="1" applyFont="1" applyBorder="1" applyAlignment="1">
      <alignment horizontal="right" vertical="center" shrinkToFit="1"/>
    </xf>
    <xf numFmtId="0" fontId="10" fillId="0" borderId="9" xfId="1" applyFont="1" applyBorder="1" applyAlignment="1">
      <alignment horizontal="right" vertical="center" shrinkToFit="1"/>
    </xf>
    <xf numFmtId="0" fontId="10" fillId="2" borderId="24" xfId="1" applyFont="1" applyFill="1" applyBorder="1" applyAlignment="1">
      <alignment horizontal="distributed" vertical="center"/>
    </xf>
    <xf numFmtId="0" fontId="10" fillId="2" borderId="25" xfId="1" applyFont="1" applyFill="1" applyBorder="1" applyAlignment="1">
      <alignment horizontal="distributed" vertical="center"/>
    </xf>
    <xf numFmtId="0" fontId="10" fillId="2" borderId="26" xfId="1" applyFont="1" applyFill="1" applyBorder="1" applyAlignment="1">
      <alignment horizontal="distributed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1" xfId="1" applyFont="1" applyBorder="1" applyAlignment="1">
      <alignment horizontal="left" vertical="center" shrinkToFit="1"/>
    </xf>
    <xf numFmtId="0" fontId="10" fillId="0" borderId="13" xfId="1" applyFont="1" applyBorder="1" applyAlignment="1">
      <alignment horizontal="right" vertical="center" shrinkToFit="1"/>
    </xf>
    <xf numFmtId="0" fontId="10" fillId="0" borderId="65" xfId="1" applyFont="1" applyBorder="1" applyAlignment="1">
      <alignment horizontal="right" vertical="center" shrinkToFit="1"/>
    </xf>
    <xf numFmtId="0" fontId="10" fillId="0" borderId="14" xfId="1" applyFont="1" applyBorder="1" applyAlignment="1">
      <alignment horizontal="right" vertical="center" shrinkToFit="1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92" xfId="1" applyFont="1" applyBorder="1" applyAlignment="1">
      <alignment horizontal="center" vertical="center"/>
    </xf>
    <xf numFmtId="0" fontId="10" fillId="0" borderId="19" xfId="1" applyFont="1" applyBorder="1" applyAlignment="1">
      <alignment horizontal="distributed" vertical="center"/>
    </xf>
    <xf numFmtId="0" fontId="10" fillId="0" borderId="20" xfId="1" applyFont="1" applyBorder="1" applyAlignment="1">
      <alignment horizontal="distributed" vertical="center"/>
    </xf>
    <xf numFmtId="0" fontId="10" fillId="0" borderId="21" xfId="1" applyFont="1" applyBorder="1" applyAlignment="1">
      <alignment horizontal="distributed" vertical="center"/>
    </xf>
    <xf numFmtId="0" fontId="4" fillId="0" borderId="113" xfId="1" applyFont="1" applyBorder="1" applyAlignment="1">
      <alignment horizontal="left" vertical="center" wrapText="1" shrinkToFit="1"/>
    </xf>
    <xf numFmtId="0" fontId="4" fillId="0" borderId="83" xfId="1" applyFont="1" applyBorder="1" applyAlignment="1">
      <alignment horizontal="left" vertical="center" wrapText="1" shrinkToFit="1"/>
    </xf>
    <xf numFmtId="0" fontId="4" fillId="0" borderId="22" xfId="1" applyFont="1" applyBorder="1" applyAlignment="1">
      <alignment horizontal="left" vertical="center" wrapText="1" shrinkToFit="1"/>
    </xf>
  </cellXfs>
  <cellStyles count="2">
    <cellStyle name="標準" xfId="0" builtinId="0"/>
    <cellStyle name="標準 2" xfId="1" xr:uid="{67E14A9A-DCFC-4B80-9DB4-FD0127F6C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B935-F3C7-41B3-9A00-2E3840F8B04C}">
  <sheetPr>
    <pageSetUpPr fitToPage="1"/>
  </sheetPr>
  <dimension ref="A1:AH367"/>
  <sheetViews>
    <sheetView showGridLines="0" tabSelected="1" view="pageBreakPreview" zoomScaleNormal="100" zoomScaleSheetLayoutView="100" workbookViewId="0">
      <pane ySplit="8" topLeftCell="A9" activePane="bottomLeft" state="frozen"/>
      <selection pane="bottomLeft" activeCell="A9" sqref="A9"/>
    </sheetView>
  </sheetViews>
  <sheetFormatPr defaultColWidth="8.125" defaultRowHeight="12" x14ac:dyDescent="0.15"/>
  <cols>
    <col min="1" max="6" width="2.75" style="45" customWidth="1"/>
    <col min="7" max="7" width="16.75" style="45" customWidth="1"/>
    <col min="8" max="8" width="4.75" style="45" customWidth="1"/>
    <col min="9" max="10" width="12.75" style="45" customWidth="1"/>
    <col min="11" max="13" width="8.75" style="45" customWidth="1"/>
    <col min="14" max="17" width="16.75" style="45" customWidth="1"/>
    <col min="18" max="18" width="2.75" style="45" customWidth="1"/>
    <col min="19" max="33" width="2.75" style="173" customWidth="1"/>
    <col min="34" max="16384" width="8.125" style="173"/>
  </cols>
  <sheetData>
    <row r="1" spans="2:33" ht="30" customHeight="1" x14ac:dyDescent="0.15">
      <c r="B1" s="13"/>
      <c r="C1" s="13" t="str">
        <f>O4&amp;"年営農類型別経営統計（農業経営体）　集計結果検討表"</f>
        <v>年営農類型別経営統計（農業経営体）　集計結果検討表</v>
      </c>
      <c r="D1" s="1"/>
      <c r="E1" s="1"/>
      <c r="F1" s="1"/>
      <c r="G1" s="1"/>
      <c r="H1" s="1"/>
    </row>
    <row r="2" spans="2:33" ht="18" customHeight="1" thickBot="1" x14ac:dyDescent="0.2">
      <c r="B2" s="13"/>
      <c r="C2" s="14"/>
      <c r="D2" s="14"/>
      <c r="E2" s="14"/>
      <c r="F2" s="14"/>
      <c r="G2" s="15"/>
      <c r="H2" s="14"/>
      <c r="I2" s="14"/>
      <c r="J2" s="15"/>
      <c r="K2" s="14"/>
      <c r="L2" s="14"/>
      <c r="M2" s="14"/>
      <c r="N2" s="16"/>
      <c r="O2" s="16"/>
      <c r="P2" s="16"/>
      <c r="Q2" s="16"/>
    </row>
    <row r="3" spans="2:33" ht="24" customHeight="1" x14ac:dyDescent="0.15">
      <c r="B3" s="13"/>
      <c r="C3" s="358"/>
      <c r="D3" s="359"/>
      <c r="E3" s="359"/>
      <c r="F3" s="359"/>
      <c r="G3" s="18" t="s">
        <v>0</v>
      </c>
      <c r="H3" s="359" t="s">
        <v>1</v>
      </c>
      <c r="I3" s="359"/>
      <c r="J3" s="359"/>
      <c r="K3" s="360" t="s">
        <v>2</v>
      </c>
      <c r="L3" s="361"/>
      <c r="M3" s="362"/>
      <c r="N3" s="19" t="s">
        <v>3</v>
      </c>
      <c r="O3" s="17" t="s">
        <v>4</v>
      </c>
      <c r="P3" s="18" t="s">
        <v>5</v>
      </c>
      <c r="Q3" s="36" t="s">
        <v>6</v>
      </c>
      <c r="S3" s="16"/>
      <c r="T3" s="16"/>
    </row>
    <row r="4" spans="2:33" ht="24" customHeight="1" thickBot="1" x14ac:dyDescent="0.2">
      <c r="B4" s="14"/>
      <c r="C4" s="363" t="s">
        <v>7</v>
      </c>
      <c r="D4" s="364"/>
      <c r="E4" s="364"/>
      <c r="F4" s="364"/>
      <c r="G4" s="37"/>
      <c r="H4" s="365"/>
      <c r="I4" s="365"/>
      <c r="J4" s="365"/>
      <c r="K4" s="366"/>
      <c r="L4" s="367"/>
      <c r="M4" s="368"/>
      <c r="N4" s="171"/>
      <c r="O4" s="38"/>
      <c r="P4" s="39"/>
      <c r="Q4" s="40"/>
      <c r="S4" s="16"/>
      <c r="T4" s="16"/>
    </row>
    <row r="5" spans="2:33" ht="24" customHeight="1" thickBot="1" x14ac:dyDescent="0.2">
      <c r="B5" s="14"/>
      <c r="C5" s="372" t="s">
        <v>8</v>
      </c>
      <c r="D5" s="373"/>
      <c r="E5" s="373"/>
      <c r="F5" s="373"/>
      <c r="G5" s="39"/>
      <c r="H5" s="374"/>
      <c r="I5" s="374"/>
      <c r="J5" s="374"/>
      <c r="K5" s="375"/>
      <c r="L5" s="376"/>
      <c r="M5" s="377"/>
      <c r="N5" s="172"/>
      <c r="O5" s="41" t="s">
        <v>9</v>
      </c>
      <c r="P5" s="42" t="s">
        <v>10</v>
      </c>
      <c r="Q5" s="20"/>
      <c r="S5" s="16"/>
      <c r="T5" s="16"/>
    </row>
    <row r="6" spans="2:33" ht="24" customHeight="1" thickBot="1" x14ac:dyDescent="0.2">
      <c r="B6" s="14"/>
      <c r="C6" s="15"/>
      <c r="D6" s="15"/>
      <c r="E6" s="14"/>
      <c r="F6" s="14"/>
      <c r="G6" s="14"/>
      <c r="H6" s="14"/>
      <c r="I6" s="14"/>
      <c r="J6" s="14"/>
      <c r="K6" s="14"/>
      <c r="L6" s="14"/>
      <c r="M6" s="14"/>
      <c r="N6" s="21"/>
      <c r="O6" s="43"/>
      <c r="P6" s="44"/>
      <c r="Q6" s="22"/>
      <c r="S6" s="16"/>
      <c r="T6" s="16"/>
    </row>
    <row r="7" spans="2:33" ht="18" customHeight="1" thickBot="1" x14ac:dyDescent="0.2">
      <c r="C7" s="23"/>
      <c r="D7" s="24"/>
      <c r="E7" s="24"/>
      <c r="F7" s="24"/>
      <c r="G7" s="24"/>
      <c r="H7" s="24"/>
      <c r="Q7" s="46"/>
      <c r="S7" s="174" t="s">
        <v>11</v>
      </c>
      <c r="T7" s="175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</row>
    <row r="8" spans="2:33" ht="31.9" customHeight="1" thickBot="1" x14ac:dyDescent="0.2">
      <c r="B8" s="25"/>
      <c r="C8" s="378" t="s">
        <v>12</v>
      </c>
      <c r="D8" s="379"/>
      <c r="E8" s="379"/>
      <c r="F8" s="379"/>
      <c r="G8" s="380"/>
      <c r="H8" s="27" t="s">
        <v>13</v>
      </c>
      <c r="I8" s="163" t="str">
        <f>O4-1&amp;"年"</f>
        <v>-1年</v>
      </c>
      <c r="J8" s="163" t="str">
        <f>O4&amp;"年"</f>
        <v>年</v>
      </c>
      <c r="K8" s="164" t="s">
        <v>14</v>
      </c>
      <c r="L8" s="164" t="s">
        <v>153</v>
      </c>
      <c r="M8" s="165" t="s">
        <v>15</v>
      </c>
      <c r="N8" s="378" t="s">
        <v>16</v>
      </c>
      <c r="O8" s="379"/>
      <c r="P8" s="379"/>
      <c r="Q8" s="381"/>
      <c r="R8" s="4"/>
      <c r="S8" s="177">
        <v>0</v>
      </c>
      <c r="T8" s="177">
        <f>S8+1</f>
        <v>1</v>
      </c>
      <c r="U8" s="177">
        <f t="shared" ref="U8:AG8" si="0">T8+1</f>
        <v>2</v>
      </c>
      <c r="V8" s="177">
        <f t="shared" si="0"/>
        <v>3</v>
      </c>
      <c r="W8" s="177">
        <f t="shared" si="0"/>
        <v>4</v>
      </c>
      <c r="X8" s="177">
        <f t="shared" si="0"/>
        <v>5</v>
      </c>
      <c r="Y8" s="177">
        <f t="shared" si="0"/>
        <v>6</v>
      </c>
      <c r="Z8" s="177">
        <f t="shared" si="0"/>
        <v>7</v>
      </c>
      <c r="AA8" s="177">
        <f t="shared" si="0"/>
        <v>8</v>
      </c>
      <c r="AB8" s="177">
        <f t="shared" si="0"/>
        <v>9</v>
      </c>
      <c r="AC8" s="177">
        <f t="shared" si="0"/>
        <v>10</v>
      </c>
      <c r="AD8" s="177">
        <f t="shared" si="0"/>
        <v>11</v>
      </c>
      <c r="AE8" s="177">
        <f t="shared" si="0"/>
        <v>12</v>
      </c>
      <c r="AF8" s="177">
        <f t="shared" si="0"/>
        <v>13</v>
      </c>
      <c r="AG8" s="177">
        <f t="shared" si="0"/>
        <v>14</v>
      </c>
    </row>
    <row r="9" spans="2:33" ht="23.25" customHeight="1" thickBot="1" x14ac:dyDescent="0.2">
      <c r="B9" s="26"/>
      <c r="C9" s="382" t="s">
        <v>17</v>
      </c>
      <c r="D9" s="383"/>
      <c r="E9" s="383"/>
      <c r="F9" s="383"/>
      <c r="G9" s="384"/>
      <c r="H9" s="27" t="s">
        <v>18</v>
      </c>
      <c r="I9" s="7"/>
      <c r="J9" s="8"/>
      <c r="K9" s="156"/>
      <c r="L9" s="158">
        <f>IFERROR(J9-I9,"-")</f>
        <v>0</v>
      </c>
      <c r="M9" s="155"/>
      <c r="N9" s="385"/>
      <c r="O9" s="386"/>
      <c r="P9" s="386"/>
      <c r="Q9" s="387"/>
      <c r="R9" s="4"/>
      <c r="S9" s="178">
        <v>1</v>
      </c>
      <c r="T9" s="178">
        <v>1</v>
      </c>
      <c r="U9" s="178">
        <v>1</v>
      </c>
      <c r="V9" s="178">
        <v>1</v>
      </c>
      <c r="W9" s="178">
        <v>1</v>
      </c>
      <c r="X9" s="178">
        <v>1</v>
      </c>
      <c r="Y9" s="178">
        <v>1</v>
      </c>
      <c r="Z9" s="178">
        <v>1</v>
      </c>
      <c r="AA9" s="178">
        <v>1</v>
      </c>
      <c r="AB9" s="178">
        <v>1</v>
      </c>
      <c r="AC9" s="178">
        <v>1</v>
      </c>
      <c r="AD9" s="178">
        <v>1</v>
      </c>
      <c r="AE9" s="178">
        <v>1</v>
      </c>
      <c r="AF9" s="178">
        <v>1</v>
      </c>
      <c r="AG9" s="178"/>
    </row>
    <row r="10" spans="2:33" ht="23.25" customHeight="1" x14ac:dyDescent="0.15">
      <c r="B10" s="28"/>
      <c r="C10" s="369" t="s">
        <v>19</v>
      </c>
      <c r="D10" s="370"/>
      <c r="E10" s="370"/>
      <c r="F10" s="370"/>
      <c r="G10" s="371"/>
      <c r="H10" s="29" t="s">
        <v>20</v>
      </c>
      <c r="I10" s="9"/>
      <c r="J10" s="10"/>
      <c r="K10" s="2" t="str">
        <f t="shared" ref="K10:K91" si="1">IFERROR(J10/I10*100-100,"-")</f>
        <v>-</v>
      </c>
      <c r="L10" s="145">
        <f t="shared" ref="L10:L73" si="2">IFERROR(J10-I10,"-")</f>
        <v>0</v>
      </c>
      <c r="M10" s="3" t="str">
        <f t="shared" ref="M10:M88" si="3">IFERROR(ROUND((J10-I10)/($J$10-$I$10)*100,1),"-")</f>
        <v>-</v>
      </c>
      <c r="N10" s="205"/>
      <c r="O10" s="206"/>
      <c r="P10" s="206"/>
      <c r="Q10" s="207"/>
      <c r="R10" s="4"/>
      <c r="S10" s="178">
        <v>1</v>
      </c>
      <c r="T10" s="178">
        <v>1</v>
      </c>
      <c r="U10" s="178">
        <v>1</v>
      </c>
      <c r="V10" s="178">
        <v>1</v>
      </c>
      <c r="W10" s="178">
        <v>1</v>
      </c>
      <c r="X10" s="178">
        <v>1</v>
      </c>
      <c r="Y10" s="178">
        <v>1</v>
      </c>
      <c r="Z10" s="178">
        <v>1</v>
      </c>
      <c r="AA10" s="178">
        <v>1</v>
      </c>
      <c r="AB10" s="178">
        <v>1</v>
      </c>
      <c r="AC10" s="178">
        <v>1</v>
      </c>
      <c r="AD10" s="178">
        <v>1</v>
      </c>
      <c r="AE10" s="178">
        <v>1</v>
      </c>
      <c r="AF10" s="178">
        <v>1</v>
      </c>
      <c r="AG10" s="178"/>
    </row>
    <row r="11" spans="2:33" ht="23.25" customHeight="1" x14ac:dyDescent="0.15">
      <c r="B11" s="28"/>
      <c r="C11" s="52"/>
      <c r="D11" s="306" t="s">
        <v>21</v>
      </c>
      <c r="E11" s="227"/>
      <c r="F11" s="227"/>
      <c r="G11" s="228"/>
      <c r="H11" s="61" t="s">
        <v>20</v>
      </c>
      <c r="I11" s="62"/>
      <c r="J11" s="63"/>
      <c r="K11" s="64" t="str">
        <f t="shared" si="1"/>
        <v>-</v>
      </c>
      <c r="L11" s="80">
        <f t="shared" si="2"/>
        <v>0</v>
      </c>
      <c r="M11" s="65" t="str">
        <f t="shared" si="3"/>
        <v>-</v>
      </c>
      <c r="N11" s="187"/>
      <c r="O11" s="188"/>
      <c r="P11" s="188"/>
      <c r="Q11" s="189"/>
      <c r="R11" s="4"/>
      <c r="S11" s="178">
        <v>1</v>
      </c>
      <c r="T11" s="178">
        <v>1</v>
      </c>
      <c r="U11" s="178">
        <v>1</v>
      </c>
      <c r="V11" s="178">
        <v>1</v>
      </c>
      <c r="W11" s="178">
        <v>1</v>
      </c>
      <c r="X11" s="178">
        <v>1</v>
      </c>
      <c r="Y11" s="178">
        <v>1</v>
      </c>
      <c r="Z11" s="178">
        <v>1</v>
      </c>
      <c r="AA11" s="178"/>
      <c r="AB11" s="178"/>
      <c r="AC11" s="178"/>
      <c r="AD11" s="178"/>
      <c r="AE11" s="178"/>
      <c r="AF11" s="178"/>
      <c r="AG11" s="178"/>
    </row>
    <row r="12" spans="2:33" ht="23.25" customHeight="1" x14ac:dyDescent="0.15">
      <c r="B12" s="28"/>
      <c r="C12" s="52"/>
      <c r="D12" s="121"/>
      <c r="E12" s="227" t="s">
        <v>22</v>
      </c>
      <c r="F12" s="227"/>
      <c r="G12" s="228"/>
      <c r="H12" s="61" t="s">
        <v>20</v>
      </c>
      <c r="I12" s="62"/>
      <c r="J12" s="63"/>
      <c r="K12" s="64" t="str">
        <f t="shared" si="1"/>
        <v>-</v>
      </c>
      <c r="L12" s="80">
        <f t="shared" si="2"/>
        <v>0</v>
      </c>
      <c r="M12" s="65" t="str">
        <f t="shared" si="3"/>
        <v>-</v>
      </c>
      <c r="N12" s="253"/>
      <c r="O12" s="254"/>
      <c r="P12" s="254"/>
      <c r="Q12" s="255"/>
      <c r="R12" s="4"/>
      <c r="S12" s="178">
        <v>1</v>
      </c>
      <c r="T12" s="178">
        <v>1</v>
      </c>
      <c r="U12" s="178">
        <v>1</v>
      </c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</row>
    <row r="13" spans="2:33" ht="23.25" customHeight="1" x14ac:dyDescent="0.15">
      <c r="B13" s="28"/>
      <c r="C13" s="52"/>
      <c r="D13" s="121"/>
      <c r="E13" s="227" t="s">
        <v>23</v>
      </c>
      <c r="F13" s="227"/>
      <c r="G13" s="228"/>
      <c r="H13" s="61" t="s">
        <v>20</v>
      </c>
      <c r="I13" s="62"/>
      <c r="J13" s="63"/>
      <c r="K13" s="64" t="str">
        <f t="shared" si="1"/>
        <v>-</v>
      </c>
      <c r="L13" s="80">
        <f t="shared" si="2"/>
        <v>0</v>
      </c>
      <c r="M13" s="65" t="str">
        <f t="shared" si="3"/>
        <v>-</v>
      </c>
      <c r="N13" s="253"/>
      <c r="O13" s="254"/>
      <c r="P13" s="254"/>
      <c r="Q13" s="255"/>
      <c r="R13" s="4"/>
      <c r="S13" s="178">
        <v>1</v>
      </c>
      <c r="T13" s="178">
        <v>1</v>
      </c>
      <c r="U13" s="178">
        <v>1</v>
      </c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</row>
    <row r="14" spans="2:33" ht="23.25" customHeight="1" x14ac:dyDescent="0.15">
      <c r="B14" s="28"/>
      <c r="C14" s="52"/>
      <c r="D14" s="121"/>
      <c r="E14" s="227" t="s">
        <v>154</v>
      </c>
      <c r="F14" s="227"/>
      <c r="G14" s="228"/>
      <c r="H14" s="61" t="s">
        <v>20</v>
      </c>
      <c r="I14" s="62"/>
      <c r="J14" s="63"/>
      <c r="K14" s="64" t="str">
        <f t="shared" si="1"/>
        <v>-</v>
      </c>
      <c r="L14" s="80">
        <f t="shared" si="2"/>
        <v>0</v>
      </c>
      <c r="M14" s="65" t="str">
        <f t="shared" si="3"/>
        <v>-</v>
      </c>
      <c r="N14" s="253"/>
      <c r="O14" s="254"/>
      <c r="P14" s="254"/>
      <c r="Q14" s="255"/>
      <c r="R14" s="4"/>
      <c r="S14" s="178">
        <v>1</v>
      </c>
      <c r="T14" s="178">
        <v>1</v>
      </c>
      <c r="U14" s="178">
        <v>1</v>
      </c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</row>
    <row r="15" spans="2:33" ht="23.25" customHeight="1" x14ac:dyDescent="0.15">
      <c r="B15" s="28"/>
      <c r="C15" s="52"/>
      <c r="D15" s="121"/>
      <c r="E15" s="227" t="s">
        <v>24</v>
      </c>
      <c r="F15" s="227"/>
      <c r="G15" s="228"/>
      <c r="H15" s="61" t="s">
        <v>20</v>
      </c>
      <c r="I15" s="62"/>
      <c r="J15" s="63"/>
      <c r="K15" s="64" t="str">
        <f t="shared" si="1"/>
        <v>-</v>
      </c>
      <c r="L15" s="80">
        <f t="shared" si="2"/>
        <v>0</v>
      </c>
      <c r="M15" s="65" t="str">
        <f t="shared" si="3"/>
        <v>-</v>
      </c>
      <c r="N15" s="253"/>
      <c r="O15" s="254"/>
      <c r="P15" s="254"/>
      <c r="Q15" s="255"/>
      <c r="R15" s="4"/>
      <c r="S15" s="178">
        <v>1</v>
      </c>
      <c r="T15" s="178">
        <v>1</v>
      </c>
      <c r="U15" s="178">
        <v>1</v>
      </c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</row>
    <row r="16" spans="2:33" ht="23.25" customHeight="1" x14ac:dyDescent="0.15">
      <c r="B16" s="28"/>
      <c r="C16" s="52"/>
      <c r="D16" s="121"/>
      <c r="E16" s="227" t="s">
        <v>25</v>
      </c>
      <c r="F16" s="227"/>
      <c r="G16" s="228"/>
      <c r="H16" s="61" t="s">
        <v>20</v>
      </c>
      <c r="I16" s="62"/>
      <c r="J16" s="63"/>
      <c r="K16" s="64" t="str">
        <f t="shared" si="1"/>
        <v>-</v>
      </c>
      <c r="L16" s="80">
        <f t="shared" si="2"/>
        <v>0</v>
      </c>
      <c r="M16" s="65" t="str">
        <f t="shared" si="3"/>
        <v>-</v>
      </c>
      <c r="N16" s="253"/>
      <c r="O16" s="254"/>
      <c r="P16" s="254"/>
      <c r="Q16" s="255"/>
      <c r="R16" s="4"/>
      <c r="S16" s="178">
        <v>1</v>
      </c>
      <c r="T16" s="178">
        <v>1</v>
      </c>
      <c r="U16" s="178">
        <v>1</v>
      </c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</row>
    <row r="17" spans="2:33" ht="23.25" customHeight="1" x14ac:dyDescent="0.15">
      <c r="B17" s="28"/>
      <c r="C17" s="52"/>
      <c r="D17" s="121"/>
      <c r="E17" s="227" t="s">
        <v>26</v>
      </c>
      <c r="F17" s="227"/>
      <c r="G17" s="228"/>
      <c r="H17" s="61" t="s">
        <v>20</v>
      </c>
      <c r="I17" s="62"/>
      <c r="J17" s="63"/>
      <c r="K17" s="64" t="str">
        <f t="shared" si="1"/>
        <v>-</v>
      </c>
      <c r="L17" s="80">
        <f t="shared" si="2"/>
        <v>0</v>
      </c>
      <c r="M17" s="65" t="str">
        <f t="shared" si="3"/>
        <v>-</v>
      </c>
      <c r="N17" s="253"/>
      <c r="O17" s="254"/>
      <c r="P17" s="254"/>
      <c r="Q17" s="255"/>
      <c r="R17" s="4"/>
      <c r="S17" s="178">
        <v>1</v>
      </c>
      <c r="T17" s="178">
        <v>1</v>
      </c>
      <c r="U17" s="178">
        <v>1</v>
      </c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</row>
    <row r="18" spans="2:33" ht="23.25" customHeight="1" x14ac:dyDescent="0.15">
      <c r="B18" s="28"/>
      <c r="C18" s="52"/>
      <c r="D18" s="121"/>
      <c r="E18" s="242" t="s">
        <v>27</v>
      </c>
      <c r="F18" s="242"/>
      <c r="G18" s="228"/>
      <c r="H18" s="61" t="s">
        <v>20</v>
      </c>
      <c r="I18" s="62"/>
      <c r="J18" s="63"/>
      <c r="K18" s="64" t="str">
        <f t="shared" si="1"/>
        <v>-</v>
      </c>
      <c r="L18" s="80">
        <f t="shared" si="2"/>
        <v>0</v>
      </c>
      <c r="M18" s="65" t="str">
        <f t="shared" si="3"/>
        <v>-</v>
      </c>
      <c r="N18" s="187"/>
      <c r="O18" s="188"/>
      <c r="P18" s="188"/>
      <c r="Q18" s="189"/>
      <c r="R18" s="4"/>
      <c r="S18" s="178">
        <v>1</v>
      </c>
      <c r="T18" s="178"/>
      <c r="U18" s="178">
        <v>1</v>
      </c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</row>
    <row r="19" spans="2:33" ht="23.25" customHeight="1" x14ac:dyDescent="0.15">
      <c r="B19" s="28"/>
      <c r="C19" s="52"/>
      <c r="D19" s="121"/>
      <c r="E19" s="354"/>
      <c r="F19" s="355"/>
      <c r="G19" s="60" t="s">
        <v>28</v>
      </c>
      <c r="H19" s="61" t="s">
        <v>20</v>
      </c>
      <c r="I19" s="62"/>
      <c r="J19" s="63"/>
      <c r="K19" s="64" t="str">
        <f t="shared" si="1"/>
        <v>-</v>
      </c>
      <c r="L19" s="80">
        <f t="shared" si="2"/>
        <v>0</v>
      </c>
      <c r="M19" s="65" t="str">
        <f t="shared" si="3"/>
        <v>-</v>
      </c>
      <c r="N19" s="253"/>
      <c r="O19" s="254"/>
      <c r="P19" s="254"/>
      <c r="Q19" s="255"/>
      <c r="R19" s="4"/>
      <c r="S19" s="178"/>
      <c r="T19" s="178"/>
      <c r="U19" s="178">
        <v>1</v>
      </c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</row>
    <row r="20" spans="2:33" ht="23.25" customHeight="1" x14ac:dyDescent="0.15">
      <c r="B20" s="28"/>
      <c r="C20" s="52"/>
      <c r="D20" s="121"/>
      <c r="E20" s="354"/>
      <c r="F20" s="355"/>
      <c r="G20" s="60" t="s">
        <v>29</v>
      </c>
      <c r="H20" s="61" t="s">
        <v>20</v>
      </c>
      <c r="I20" s="62"/>
      <c r="J20" s="63"/>
      <c r="K20" s="64" t="str">
        <f t="shared" si="1"/>
        <v>-</v>
      </c>
      <c r="L20" s="80">
        <f t="shared" si="2"/>
        <v>0</v>
      </c>
      <c r="M20" s="65" t="str">
        <f t="shared" si="3"/>
        <v>-</v>
      </c>
      <c r="N20" s="253"/>
      <c r="O20" s="254"/>
      <c r="P20" s="254"/>
      <c r="Q20" s="255"/>
      <c r="R20" s="4"/>
      <c r="S20" s="178"/>
      <c r="T20" s="178"/>
      <c r="U20" s="178">
        <v>1</v>
      </c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</row>
    <row r="21" spans="2:33" ht="23.25" customHeight="1" x14ac:dyDescent="0.15">
      <c r="B21" s="28"/>
      <c r="C21" s="52"/>
      <c r="D21" s="123"/>
      <c r="E21" s="356"/>
      <c r="F21" s="357"/>
      <c r="G21" s="60" t="s">
        <v>30</v>
      </c>
      <c r="H21" s="61" t="s">
        <v>20</v>
      </c>
      <c r="I21" s="62"/>
      <c r="J21" s="63"/>
      <c r="K21" s="64" t="str">
        <f t="shared" si="1"/>
        <v>-</v>
      </c>
      <c r="L21" s="80">
        <f t="shared" si="2"/>
        <v>0</v>
      </c>
      <c r="M21" s="65" t="str">
        <f t="shared" si="3"/>
        <v>-</v>
      </c>
      <c r="N21" s="253"/>
      <c r="O21" s="254"/>
      <c r="P21" s="254"/>
      <c r="Q21" s="255"/>
      <c r="R21" s="4"/>
      <c r="S21" s="178"/>
      <c r="T21" s="178"/>
      <c r="U21" s="178">
        <v>1</v>
      </c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</row>
    <row r="22" spans="2:33" ht="23.25" customHeight="1" x14ac:dyDescent="0.15">
      <c r="B22" s="28"/>
      <c r="C22" s="52"/>
      <c r="D22" s="121"/>
      <c r="E22" s="242" t="s">
        <v>31</v>
      </c>
      <c r="F22" s="242"/>
      <c r="G22" s="228"/>
      <c r="H22" s="61" t="s">
        <v>20</v>
      </c>
      <c r="I22" s="62"/>
      <c r="J22" s="63"/>
      <c r="K22" s="64" t="str">
        <f t="shared" si="1"/>
        <v>-</v>
      </c>
      <c r="L22" s="80">
        <f t="shared" si="2"/>
        <v>0</v>
      </c>
      <c r="M22" s="65" t="str">
        <f t="shared" si="3"/>
        <v>-</v>
      </c>
      <c r="N22" s="253"/>
      <c r="O22" s="254"/>
      <c r="P22" s="254"/>
      <c r="Q22" s="255"/>
      <c r="R22" s="4"/>
      <c r="S22" s="178">
        <v>1</v>
      </c>
      <c r="T22" s="178">
        <v>1</v>
      </c>
      <c r="U22" s="178">
        <v>1</v>
      </c>
      <c r="V22" s="178">
        <v>1</v>
      </c>
      <c r="W22" s="178">
        <v>1</v>
      </c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</row>
    <row r="23" spans="2:33" ht="23.25" customHeight="1" x14ac:dyDescent="0.15">
      <c r="B23" s="28"/>
      <c r="C23" s="52"/>
      <c r="D23" s="121"/>
      <c r="E23" s="354"/>
      <c r="F23" s="355"/>
      <c r="G23" s="60" t="s">
        <v>32</v>
      </c>
      <c r="H23" s="61" t="s">
        <v>20</v>
      </c>
      <c r="I23" s="62"/>
      <c r="J23" s="63"/>
      <c r="K23" s="64" t="str">
        <f t="shared" si="1"/>
        <v>-</v>
      </c>
      <c r="L23" s="80">
        <f t="shared" si="2"/>
        <v>0</v>
      </c>
      <c r="M23" s="65" t="str">
        <f t="shared" si="3"/>
        <v>-</v>
      </c>
      <c r="N23" s="253"/>
      <c r="O23" s="254"/>
      <c r="P23" s="254"/>
      <c r="Q23" s="255"/>
      <c r="R23" s="4"/>
      <c r="S23" s="178"/>
      <c r="T23" s="178"/>
      <c r="U23" s="178"/>
      <c r="V23" s="178">
        <v>1</v>
      </c>
      <c r="W23" s="178">
        <v>1</v>
      </c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</row>
    <row r="24" spans="2:33" ht="23.25" customHeight="1" x14ac:dyDescent="0.15">
      <c r="B24" s="28"/>
      <c r="C24" s="52"/>
      <c r="D24" s="121"/>
      <c r="E24" s="354"/>
      <c r="F24" s="355"/>
      <c r="G24" s="60" t="s">
        <v>33</v>
      </c>
      <c r="H24" s="61" t="s">
        <v>20</v>
      </c>
      <c r="I24" s="62"/>
      <c r="J24" s="63"/>
      <c r="K24" s="64" t="str">
        <f t="shared" si="1"/>
        <v>-</v>
      </c>
      <c r="L24" s="80">
        <f t="shared" si="2"/>
        <v>0</v>
      </c>
      <c r="M24" s="65" t="str">
        <f t="shared" si="3"/>
        <v>-</v>
      </c>
      <c r="N24" s="187"/>
      <c r="O24" s="188"/>
      <c r="P24" s="188"/>
      <c r="Q24" s="189"/>
      <c r="R24" s="4"/>
      <c r="S24" s="178"/>
      <c r="T24" s="178"/>
      <c r="U24" s="178"/>
      <c r="V24" s="178">
        <v>1</v>
      </c>
      <c r="W24" s="178">
        <v>1</v>
      </c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</row>
    <row r="25" spans="2:33" ht="23.25" customHeight="1" x14ac:dyDescent="0.15">
      <c r="B25" s="28"/>
      <c r="C25" s="52"/>
      <c r="D25" s="121"/>
      <c r="E25" s="227" t="s">
        <v>34</v>
      </c>
      <c r="F25" s="227"/>
      <c r="G25" s="228"/>
      <c r="H25" s="61" t="s">
        <v>20</v>
      </c>
      <c r="I25" s="62"/>
      <c r="J25" s="63"/>
      <c r="K25" s="64" t="str">
        <f t="shared" si="1"/>
        <v>-</v>
      </c>
      <c r="L25" s="80">
        <f t="shared" si="2"/>
        <v>0</v>
      </c>
      <c r="M25" s="65" t="str">
        <f t="shared" si="3"/>
        <v>-</v>
      </c>
      <c r="N25" s="253"/>
      <c r="O25" s="254"/>
      <c r="P25" s="254"/>
      <c r="Q25" s="255"/>
      <c r="R25" s="4"/>
      <c r="S25" s="178">
        <v>1</v>
      </c>
      <c r="T25" s="178"/>
      <c r="U25" s="178"/>
      <c r="V25" s="178"/>
      <c r="W25" s="178"/>
      <c r="X25" s="178">
        <v>1</v>
      </c>
      <c r="Y25" s="178"/>
      <c r="Z25" s="178"/>
      <c r="AA25" s="178"/>
      <c r="AB25" s="178"/>
      <c r="AC25" s="178"/>
      <c r="AD25" s="178"/>
      <c r="AE25" s="178"/>
      <c r="AF25" s="178"/>
      <c r="AG25" s="178"/>
    </row>
    <row r="26" spans="2:33" ht="23.25" customHeight="1" x14ac:dyDescent="0.15">
      <c r="B26" s="28"/>
      <c r="C26" s="52"/>
      <c r="D26" s="121"/>
      <c r="E26" s="242" t="s">
        <v>35</v>
      </c>
      <c r="F26" s="227"/>
      <c r="G26" s="228"/>
      <c r="H26" s="61" t="s">
        <v>20</v>
      </c>
      <c r="I26" s="62"/>
      <c r="J26" s="63"/>
      <c r="K26" s="64" t="str">
        <f t="shared" si="1"/>
        <v>-</v>
      </c>
      <c r="L26" s="80">
        <f t="shared" si="2"/>
        <v>0</v>
      </c>
      <c r="M26" s="65" t="str">
        <f t="shared" si="3"/>
        <v>-</v>
      </c>
      <c r="N26" s="187"/>
      <c r="O26" s="188"/>
      <c r="P26" s="188"/>
      <c r="Q26" s="189"/>
      <c r="R26" s="4"/>
      <c r="S26" s="178">
        <v>1</v>
      </c>
      <c r="T26" s="178"/>
      <c r="U26" s="178"/>
      <c r="V26" s="178"/>
      <c r="W26" s="178"/>
      <c r="X26" s="178"/>
      <c r="Y26" s="178">
        <v>1</v>
      </c>
      <c r="Z26" s="178">
        <v>1</v>
      </c>
      <c r="AA26" s="178"/>
      <c r="AB26" s="178"/>
      <c r="AC26" s="178"/>
      <c r="AD26" s="178"/>
      <c r="AE26" s="178"/>
      <c r="AF26" s="178"/>
      <c r="AG26" s="178"/>
    </row>
    <row r="27" spans="2:33" ht="23.25" customHeight="1" x14ac:dyDescent="0.15">
      <c r="B27" s="28"/>
      <c r="C27" s="52"/>
      <c r="D27" s="121"/>
      <c r="E27" s="124"/>
      <c r="F27" s="306" t="s">
        <v>36</v>
      </c>
      <c r="G27" s="353"/>
      <c r="H27" s="61" t="s">
        <v>20</v>
      </c>
      <c r="I27" s="62"/>
      <c r="J27" s="63"/>
      <c r="K27" s="64" t="str">
        <f t="shared" si="1"/>
        <v>-</v>
      </c>
      <c r="L27" s="80">
        <f t="shared" si="2"/>
        <v>0</v>
      </c>
      <c r="M27" s="65" t="str">
        <f t="shared" si="3"/>
        <v>-</v>
      </c>
      <c r="N27" s="187"/>
      <c r="O27" s="188"/>
      <c r="P27" s="188"/>
      <c r="Q27" s="189"/>
      <c r="R27" s="4"/>
      <c r="S27" s="178"/>
      <c r="T27" s="178"/>
      <c r="U27" s="178"/>
      <c r="V27" s="178"/>
      <c r="W27" s="178"/>
      <c r="X27" s="178"/>
      <c r="Y27" s="178">
        <v>1</v>
      </c>
      <c r="Z27" s="178">
        <v>1</v>
      </c>
      <c r="AA27" s="178"/>
      <c r="AB27" s="178"/>
      <c r="AC27" s="178"/>
      <c r="AD27" s="178"/>
      <c r="AE27" s="178"/>
      <c r="AF27" s="178"/>
      <c r="AG27" s="178"/>
    </row>
    <row r="28" spans="2:33" ht="23.25" customHeight="1" x14ac:dyDescent="0.15">
      <c r="B28" s="28"/>
      <c r="C28" s="52"/>
      <c r="D28" s="121"/>
      <c r="E28" s="125"/>
      <c r="F28" s="124"/>
      <c r="G28" s="60" t="s">
        <v>37</v>
      </c>
      <c r="H28" s="61" t="s">
        <v>20</v>
      </c>
      <c r="I28" s="62"/>
      <c r="J28" s="63"/>
      <c r="K28" s="64" t="str">
        <f t="shared" si="1"/>
        <v>-</v>
      </c>
      <c r="L28" s="80">
        <f t="shared" si="2"/>
        <v>0</v>
      </c>
      <c r="M28" s="65" t="str">
        <f t="shared" si="3"/>
        <v>-</v>
      </c>
      <c r="N28" s="253"/>
      <c r="O28" s="254"/>
      <c r="P28" s="254"/>
      <c r="Q28" s="255"/>
      <c r="R28" s="4"/>
      <c r="S28" s="178"/>
      <c r="T28" s="178"/>
      <c r="U28" s="178"/>
      <c r="V28" s="178"/>
      <c r="W28" s="178"/>
      <c r="X28" s="178"/>
      <c r="Y28" s="178">
        <v>1</v>
      </c>
      <c r="Z28" s="178">
        <v>1</v>
      </c>
      <c r="AA28" s="178"/>
      <c r="AB28" s="178"/>
      <c r="AC28" s="178"/>
      <c r="AD28" s="178"/>
      <c r="AE28" s="178"/>
      <c r="AF28" s="178"/>
      <c r="AG28" s="178"/>
    </row>
    <row r="29" spans="2:33" ht="23.25" customHeight="1" x14ac:dyDescent="0.15">
      <c r="B29" s="28"/>
      <c r="C29" s="52"/>
      <c r="D29" s="121"/>
      <c r="E29" s="125"/>
      <c r="F29" s="113"/>
      <c r="G29" s="60" t="s">
        <v>155</v>
      </c>
      <c r="H29" s="61" t="s">
        <v>20</v>
      </c>
      <c r="I29" s="62"/>
      <c r="J29" s="63"/>
      <c r="K29" s="64" t="str">
        <f t="shared" si="1"/>
        <v>-</v>
      </c>
      <c r="L29" s="80">
        <f t="shared" si="2"/>
        <v>0</v>
      </c>
      <c r="M29" s="65" t="str">
        <f t="shared" si="3"/>
        <v>-</v>
      </c>
      <c r="N29" s="253"/>
      <c r="O29" s="254"/>
      <c r="P29" s="254"/>
      <c r="Q29" s="255"/>
      <c r="R29" s="4"/>
      <c r="S29" s="178"/>
      <c r="T29" s="178"/>
      <c r="U29" s="178"/>
      <c r="V29" s="178"/>
      <c r="W29" s="178"/>
      <c r="X29" s="178"/>
      <c r="Y29" s="178">
        <v>1</v>
      </c>
      <c r="Z29" s="178">
        <v>1</v>
      </c>
      <c r="AA29" s="178"/>
      <c r="AB29" s="178"/>
      <c r="AC29" s="178"/>
      <c r="AD29" s="178"/>
      <c r="AE29" s="178"/>
      <c r="AF29" s="178"/>
      <c r="AG29" s="178"/>
    </row>
    <row r="30" spans="2:33" ht="23.25" customHeight="1" x14ac:dyDescent="0.15">
      <c r="B30" s="28"/>
      <c r="C30" s="52"/>
      <c r="D30" s="121"/>
      <c r="E30" s="125"/>
      <c r="F30" s="306" t="s">
        <v>38</v>
      </c>
      <c r="G30" s="228"/>
      <c r="H30" s="61" t="s">
        <v>20</v>
      </c>
      <c r="I30" s="62"/>
      <c r="J30" s="63"/>
      <c r="K30" s="64" t="str">
        <f t="shared" si="1"/>
        <v>-</v>
      </c>
      <c r="L30" s="80">
        <f t="shared" si="2"/>
        <v>0</v>
      </c>
      <c r="M30" s="65" t="str">
        <f t="shared" si="3"/>
        <v>-</v>
      </c>
      <c r="N30" s="187"/>
      <c r="O30" s="188"/>
      <c r="P30" s="188"/>
      <c r="Q30" s="189"/>
      <c r="R30" s="4"/>
      <c r="S30" s="178"/>
      <c r="T30" s="178"/>
      <c r="U30" s="178"/>
      <c r="V30" s="178"/>
      <c r="W30" s="178"/>
      <c r="X30" s="178"/>
      <c r="Y30" s="178">
        <v>1</v>
      </c>
      <c r="Z30" s="178">
        <v>1</v>
      </c>
      <c r="AA30" s="178"/>
      <c r="AB30" s="178"/>
      <c r="AC30" s="178"/>
      <c r="AD30" s="178"/>
      <c r="AE30" s="178"/>
      <c r="AF30" s="178"/>
      <c r="AG30" s="178"/>
    </row>
    <row r="31" spans="2:33" ht="23.25" customHeight="1" x14ac:dyDescent="0.15">
      <c r="B31" s="28"/>
      <c r="C31" s="52"/>
      <c r="D31" s="121"/>
      <c r="E31" s="122"/>
      <c r="F31" s="126"/>
      <c r="G31" s="53" t="s">
        <v>39</v>
      </c>
      <c r="H31" s="61" t="s">
        <v>20</v>
      </c>
      <c r="I31" s="62"/>
      <c r="J31" s="63"/>
      <c r="K31" s="64" t="str">
        <f t="shared" si="1"/>
        <v>-</v>
      </c>
      <c r="L31" s="80">
        <f t="shared" si="2"/>
        <v>0</v>
      </c>
      <c r="M31" s="65" t="str">
        <f t="shared" si="3"/>
        <v>-</v>
      </c>
      <c r="N31" s="253"/>
      <c r="O31" s="254"/>
      <c r="P31" s="254"/>
      <c r="Q31" s="255"/>
      <c r="R31" s="4"/>
      <c r="S31" s="178"/>
      <c r="T31" s="178"/>
      <c r="U31" s="178"/>
      <c r="V31" s="178"/>
      <c r="W31" s="178"/>
      <c r="X31" s="178"/>
      <c r="Y31" s="178">
        <v>1</v>
      </c>
      <c r="Z31" s="178">
        <v>1</v>
      </c>
      <c r="AA31" s="178"/>
      <c r="AB31" s="178"/>
      <c r="AC31" s="178"/>
      <c r="AD31" s="178"/>
      <c r="AE31" s="178"/>
      <c r="AF31" s="178"/>
      <c r="AG31" s="178"/>
    </row>
    <row r="32" spans="2:33" ht="23.25" customHeight="1" x14ac:dyDescent="0.15">
      <c r="B32" s="28"/>
      <c r="C32" s="52"/>
      <c r="D32" s="121"/>
      <c r="E32" s="127"/>
      <c r="F32" s="127"/>
      <c r="G32" s="128" t="s">
        <v>40</v>
      </c>
      <c r="H32" s="61" t="s">
        <v>20</v>
      </c>
      <c r="I32" s="62"/>
      <c r="J32" s="129"/>
      <c r="K32" s="91" t="str">
        <f t="shared" si="1"/>
        <v>-</v>
      </c>
      <c r="L32" s="146">
        <f t="shared" si="2"/>
        <v>0</v>
      </c>
      <c r="M32" s="92" t="str">
        <f t="shared" si="3"/>
        <v>-</v>
      </c>
      <c r="N32" s="253"/>
      <c r="O32" s="254"/>
      <c r="P32" s="254"/>
      <c r="Q32" s="255"/>
      <c r="R32" s="4"/>
      <c r="S32" s="178"/>
      <c r="T32" s="178"/>
      <c r="U32" s="178"/>
      <c r="V32" s="178"/>
      <c r="W32" s="178"/>
      <c r="X32" s="178"/>
      <c r="Y32" s="178">
        <v>1</v>
      </c>
      <c r="Z32" s="178">
        <v>1</v>
      </c>
      <c r="AA32" s="178"/>
      <c r="AB32" s="178"/>
      <c r="AC32" s="178"/>
      <c r="AD32" s="178"/>
      <c r="AE32" s="178"/>
      <c r="AF32" s="178"/>
      <c r="AG32" s="178"/>
    </row>
    <row r="33" spans="2:33" ht="23.25" customHeight="1" x14ac:dyDescent="0.15">
      <c r="B33" s="28"/>
      <c r="C33" s="52"/>
      <c r="D33" s="121"/>
      <c r="E33" s="227" t="s">
        <v>156</v>
      </c>
      <c r="F33" s="227"/>
      <c r="G33" s="228"/>
      <c r="H33" s="61" t="s">
        <v>20</v>
      </c>
      <c r="I33" s="62"/>
      <c r="J33" s="63"/>
      <c r="K33" s="64" t="str">
        <f t="shared" si="1"/>
        <v>-</v>
      </c>
      <c r="L33" s="80">
        <f t="shared" si="2"/>
        <v>0</v>
      </c>
      <c r="M33" s="65" t="str">
        <f t="shared" si="3"/>
        <v>-</v>
      </c>
      <c r="N33" s="253"/>
      <c r="O33" s="254"/>
      <c r="P33" s="254"/>
      <c r="Q33" s="255"/>
      <c r="R33" s="4"/>
      <c r="S33" s="178">
        <v>1</v>
      </c>
      <c r="T33" s="178">
        <v>1</v>
      </c>
      <c r="U33" s="178"/>
      <c r="V33" s="178"/>
      <c r="W33" s="178"/>
      <c r="X33" s="178"/>
      <c r="Y33" s="178"/>
      <c r="Z33" s="178"/>
      <c r="AA33" s="178">
        <v>1</v>
      </c>
      <c r="AB33" s="178">
        <v>1</v>
      </c>
      <c r="AC33" s="178"/>
      <c r="AD33" s="178"/>
      <c r="AE33" s="178"/>
      <c r="AF33" s="178"/>
      <c r="AG33" s="178"/>
    </row>
    <row r="34" spans="2:33" ht="23.25" customHeight="1" x14ac:dyDescent="0.15">
      <c r="B34" s="28"/>
      <c r="C34" s="52"/>
      <c r="D34" s="121"/>
      <c r="E34" s="227" t="s">
        <v>157</v>
      </c>
      <c r="F34" s="227"/>
      <c r="G34" s="228"/>
      <c r="H34" s="61" t="s">
        <v>20</v>
      </c>
      <c r="I34" s="62"/>
      <c r="J34" s="63"/>
      <c r="K34" s="64" t="str">
        <f t="shared" si="1"/>
        <v>-</v>
      </c>
      <c r="L34" s="80">
        <f t="shared" si="2"/>
        <v>0</v>
      </c>
      <c r="M34" s="65" t="str">
        <f t="shared" si="3"/>
        <v>-</v>
      </c>
      <c r="N34" s="253"/>
      <c r="O34" s="254"/>
      <c r="P34" s="254"/>
      <c r="Q34" s="255"/>
      <c r="R34" s="4"/>
      <c r="S34" s="178">
        <v>1</v>
      </c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</row>
    <row r="35" spans="2:33" ht="23.25" customHeight="1" x14ac:dyDescent="0.15">
      <c r="B35" s="28"/>
      <c r="C35" s="52"/>
      <c r="D35" s="306" t="s">
        <v>41</v>
      </c>
      <c r="E35" s="227"/>
      <c r="F35" s="227"/>
      <c r="G35" s="228"/>
      <c r="H35" s="61" t="s">
        <v>20</v>
      </c>
      <c r="I35" s="62"/>
      <c r="J35" s="63"/>
      <c r="K35" s="64" t="str">
        <f t="shared" si="1"/>
        <v>-</v>
      </c>
      <c r="L35" s="80">
        <f t="shared" si="2"/>
        <v>0</v>
      </c>
      <c r="M35" s="65" t="str">
        <f t="shared" si="3"/>
        <v>-</v>
      </c>
      <c r="N35" s="187"/>
      <c r="O35" s="188"/>
      <c r="P35" s="188"/>
      <c r="Q35" s="189"/>
      <c r="R35" s="4"/>
      <c r="S35" s="178">
        <v>1</v>
      </c>
      <c r="T35" s="178"/>
      <c r="U35" s="178"/>
      <c r="V35" s="178"/>
      <c r="W35" s="178"/>
      <c r="X35" s="178"/>
      <c r="Y35" s="178"/>
      <c r="Z35" s="178"/>
      <c r="AA35" s="178">
        <v>1</v>
      </c>
      <c r="AB35" s="178">
        <v>1</v>
      </c>
      <c r="AC35" s="178">
        <v>1</v>
      </c>
      <c r="AD35" s="178">
        <v>1</v>
      </c>
      <c r="AE35" s="178">
        <v>1</v>
      </c>
      <c r="AF35" s="178">
        <v>1</v>
      </c>
      <c r="AG35" s="178"/>
    </row>
    <row r="36" spans="2:33" ht="23.25" customHeight="1" x14ac:dyDescent="0.15">
      <c r="B36" s="28"/>
      <c r="C36" s="52"/>
      <c r="D36" s="121"/>
      <c r="E36" s="242" t="s">
        <v>42</v>
      </c>
      <c r="F36" s="227"/>
      <c r="G36" s="228"/>
      <c r="H36" s="61" t="s">
        <v>20</v>
      </c>
      <c r="I36" s="62"/>
      <c r="J36" s="63"/>
      <c r="K36" s="64" t="str">
        <f t="shared" si="1"/>
        <v>-</v>
      </c>
      <c r="L36" s="80">
        <f t="shared" si="2"/>
        <v>0</v>
      </c>
      <c r="M36" s="65" t="str">
        <f t="shared" si="3"/>
        <v>-</v>
      </c>
      <c r="N36" s="187"/>
      <c r="O36" s="188"/>
      <c r="P36" s="188"/>
      <c r="Q36" s="189"/>
      <c r="R36" s="4"/>
      <c r="S36" s="178">
        <v>1</v>
      </c>
      <c r="T36" s="178"/>
      <c r="U36" s="178"/>
      <c r="V36" s="178"/>
      <c r="W36" s="178"/>
      <c r="X36" s="178"/>
      <c r="Y36" s="178"/>
      <c r="Z36" s="178"/>
      <c r="AA36" s="178">
        <v>1</v>
      </c>
      <c r="AB36" s="178"/>
      <c r="AC36" s="178"/>
      <c r="AD36" s="178"/>
      <c r="AE36" s="178"/>
      <c r="AF36" s="178"/>
      <c r="AG36" s="178"/>
    </row>
    <row r="37" spans="2:33" ht="23.25" customHeight="1" x14ac:dyDescent="0.15">
      <c r="B37" s="28"/>
      <c r="C37" s="52"/>
      <c r="D37" s="121"/>
      <c r="E37" s="124"/>
      <c r="F37" s="256" t="s">
        <v>43</v>
      </c>
      <c r="G37" s="228"/>
      <c r="H37" s="61" t="s">
        <v>20</v>
      </c>
      <c r="I37" s="62"/>
      <c r="J37" s="63"/>
      <c r="K37" s="64" t="str">
        <f t="shared" si="1"/>
        <v>-</v>
      </c>
      <c r="L37" s="80">
        <f t="shared" si="2"/>
        <v>0</v>
      </c>
      <c r="M37" s="65" t="str">
        <f t="shared" si="3"/>
        <v>-</v>
      </c>
      <c r="N37" s="253"/>
      <c r="O37" s="254"/>
      <c r="P37" s="254"/>
      <c r="Q37" s="255"/>
      <c r="R37" s="4"/>
      <c r="S37" s="178"/>
      <c r="T37" s="178"/>
      <c r="U37" s="178"/>
      <c r="V37" s="178"/>
      <c r="W37" s="178"/>
      <c r="X37" s="178"/>
      <c r="Y37" s="178"/>
      <c r="Z37" s="178"/>
      <c r="AA37" s="178">
        <v>1</v>
      </c>
      <c r="AB37" s="178"/>
      <c r="AC37" s="178"/>
      <c r="AD37" s="178"/>
      <c r="AE37" s="178"/>
      <c r="AF37" s="178"/>
      <c r="AG37" s="178"/>
    </row>
    <row r="38" spans="2:33" ht="23.25" customHeight="1" x14ac:dyDescent="0.15">
      <c r="B38" s="28"/>
      <c r="C38" s="52"/>
      <c r="D38" s="121"/>
      <c r="E38" s="113"/>
      <c r="F38" s="256" t="s">
        <v>232</v>
      </c>
      <c r="G38" s="244"/>
      <c r="H38" s="61" t="s">
        <v>20</v>
      </c>
      <c r="I38" s="62"/>
      <c r="J38" s="63"/>
      <c r="K38" s="64" t="str">
        <f t="shared" si="1"/>
        <v>-</v>
      </c>
      <c r="L38" s="80">
        <f t="shared" si="2"/>
        <v>0</v>
      </c>
      <c r="M38" s="65" t="str">
        <f t="shared" si="3"/>
        <v>-</v>
      </c>
      <c r="N38" s="253"/>
      <c r="O38" s="254"/>
      <c r="P38" s="254"/>
      <c r="Q38" s="255"/>
      <c r="R38" s="4"/>
      <c r="S38" s="178"/>
      <c r="T38" s="178"/>
      <c r="U38" s="178"/>
      <c r="V38" s="178"/>
      <c r="W38" s="178"/>
      <c r="X38" s="178"/>
      <c r="Y38" s="178"/>
      <c r="Z38" s="178"/>
      <c r="AA38" s="178">
        <v>1</v>
      </c>
      <c r="AB38" s="178"/>
      <c r="AC38" s="178"/>
      <c r="AD38" s="178"/>
      <c r="AE38" s="178"/>
      <c r="AF38" s="178"/>
      <c r="AG38" s="178"/>
    </row>
    <row r="39" spans="2:33" ht="23.25" customHeight="1" x14ac:dyDescent="0.15">
      <c r="B39" s="28"/>
      <c r="C39" s="52"/>
      <c r="D39" s="121"/>
      <c r="E39" s="227" t="s">
        <v>44</v>
      </c>
      <c r="F39" s="227"/>
      <c r="G39" s="228"/>
      <c r="H39" s="61" t="s">
        <v>20</v>
      </c>
      <c r="I39" s="62"/>
      <c r="J39" s="63"/>
      <c r="K39" s="64" t="str">
        <f t="shared" si="1"/>
        <v>-</v>
      </c>
      <c r="L39" s="80">
        <f t="shared" si="2"/>
        <v>0</v>
      </c>
      <c r="M39" s="65" t="str">
        <f t="shared" si="3"/>
        <v>-</v>
      </c>
      <c r="N39" s="253"/>
      <c r="O39" s="254"/>
      <c r="P39" s="254"/>
      <c r="Q39" s="255"/>
      <c r="R39" s="4"/>
      <c r="S39" s="178">
        <v>1</v>
      </c>
      <c r="T39" s="178"/>
      <c r="U39" s="178"/>
      <c r="V39" s="178"/>
      <c r="W39" s="178"/>
      <c r="X39" s="178"/>
      <c r="Y39" s="178"/>
      <c r="Z39" s="178"/>
      <c r="AA39" s="178"/>
      <c r="AB39" s="178">
        <v>1</v>
      </c>
      <c r="AC39" s="178"/>
      <c r="AD39" s="178"/>
      <c r="AE39" s="178"/>
      <c r="AF39" s="178"/>
      <c r="AG39" s="178"/>
    </row>
    <row r="40" spans="2:33" ht="23.25" customHeight="1" x14ac:dyDescent="0.15">
      <c r="B40" s="28"/>
      <c r="C40" s="52"/>
      <c r="D40" s="121"/>
      <c r="E40" s="242" t="s">
        <v>45</v>
      </c>
      <c r="F40" s="227"/>
      <c r="G40" s="228"/>
      <c r="H40" s="61" t="s">
        <v>20</v>
      </c>
      <c r="I40" s="62"/>
      <c r="J40" s="63"/>
      <c r="K40" s="64" t="str">
        <f t="shared" si="1"/>
        <v>-</v>
      </c>
      <c r="L40" s="80">
        <f t="shared" si="2"/>
        <v>0</v>
      </c>
      <c r="M40" s="65" t="str">
        <f t="shared" si="3"/>
        <v>-</v>
      </c>
      <c r="N40" s="187"/>
      <c r="O40" s="188"/>
      <c r="P40" s="188"/>
      <c r="Q40" s="189"/>
      <c r="R40" s="4"/>
      <c r="S40" s="178">
        <v>1</v>
      </c>
      <c r="T40" s="178"/>
      <c r="U40" s="178"/>
      <c r="V40" s="178"/>
      <c r="W40" s="178"/>
      <c r="X40" s="178"/>
      <c r="Y40" s="178"/>
      <c r="Z40" s="178"/>
      <c r="AA40" s="178"/>
      <c r="AB40" s="178"/>
      <c r="AC40" s="178">
        <v>1</v>
      </c>
      <c r="AD40" s="178"/>
      <c r="AE40" s="178"/>
      <c r="AF40" s="178"/>
      <c r="AG40" s="178"/>
    </row>
    <row r="41" spans="2:33" ht="23.25" customHeight="1" x14ac:dyDescent="0.15">
      <c r="B41" s="28"/>
      <c r="C41" s="52"/>
      <c r="D41" s="123"/>
      <c r="E41" s="130"/>
      <c r="F41" s="349" t="s">
        <v>46</v>
      </c>
      <c r="G41" s="350"/>
      <c r="H41" s="61" t="s">
        <v>20</v>
      </c>
      <c r="I41" s="62"/>
      <c r="J41" s="63"/>
      <c r="K41" s="64" t="str">
        <f t="shared" si="1"/>
        <v>-</v>
      </c>
      <c r="L41" s="80">
        <f t="shared" si="2"/>
        <v>0</v>
      </c>
      <c r="M41" s="65" t="str">
        <f t="shared" si="3"/>
        <v>-</v>
      </c>
      <c r="N41" s="253"/>
      <c r="O41" s="254"/>
      <c r="P41" s="254"/>
      <c r="Q41" s="255"/>
      <c r="R41" s="4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>
        <v>1</v>
      </c>
      <c r="AD41" s="178"/>
      <c r="AE41" s="178"/>
      <c r="AF41" s="178"/>
      <c r="AG41" s="178"/>
    </row>
    <row r="42" spans="2:33" ht="23.25" customHeight="1" x14ac:dyDescent="0.15">
      <c r="B42" s="28"/>
      <c r="C42" s="52"/>
      <c r="D42" s="123"/>
      <c r="E42" s="130"/>
      <c r="F42" s="305" t="s">
        <v>47</v>
      </c>
      <c r="G42" s="286"/>
      <c r="H42" s="61" t="s">
        <v>20</v>
      </c>
      <c r="I42" s="62"/>
      <c r="J42" s="63"/>
      <c r="K42" s="64" t="str">
        <f t="shared" si="1"/>
        <v>-</v>
      </c>
      <c r="L42" s="80">
        <f t="shared" si="2"/>
        <v>0</v>
      </c>
      <c r="M42" s="65" t="str">
        <f t="shared" si="3"/>
        <v>-</v>
      </c>
      <c r="N42" s="187"/>
      <c r="O42" s="188"/>
      <c r="P42" s="188"/>
      <c r="Q42" s="189"/>
      <c r="R42" s="4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9"/>
      <c r="AD42" s="179"/>
      <c r="AE42" s="179"/>
      <c r="AF42" s="178"/>
      <c r="AG42" s="178"/>
    </row>
    <row r="43" spans="2:33" ht="23.25" customHeight="1" x14ac:dyDescent="0.15">
      <c r="B43" s="28"/>
      <c r="C43" s="52"/>
      <c r="D43" s="123"/>
      <c r="E43" s="130"/>
      <c r="F43" s="131"/>
      <c r="G43" s="132" t="s">
        <v>48</v>
      </c>
      <c r="H43" s="61" t="s">
        <v>20</v>
      </c>
      <c r="I43" s="62"/>
      <c r="J43" s="63"/>
      <c r="K43" s="64" t="str">
        <f t="shared" si="1"/>
        <v>-</v>
      </c>
      <c r="L43" s="80">
        <f t="shared" si="2"/>
        <v>0</v>
      </c>
      <c r="M43" s="65" t="str">
        <f t="shared" si="3"/>
        <v>-</v>
      </c>
      <c r="N43" s="253"/>
      <c r="O43" s="254"/>
      <c r="P43" s="254"/>
      <c r="Q43" s="255"/>
      <c r="R43" s="4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>
        <v>1</v>
      </c>
      <c r="AD43" s="178"/>
      <c r="AE43" s="178"/>
      <c r="AF43" s="178"/>
      <c r="AG43" s="178"/>
    </row>
    <row r="44" spans="2:33" ht="23.25" customHeight="1" x14ac:dyDescent="0.15">
      <c r="B44" s="28"/>
      <c r="C44" s="52"/>
      <c r="D44" s="123"/>
      <c r="E44" s="133"/>
      <c r="F44" s="134"/>
      <c r="G44" s="135" t="s">
        <v>49</v>
      </c>
      <c r="H44" s="88" t="s">
        <v>20</v>
      </c>
      <c r="I44" s="136"/>
      <c r="J44" s="129"/>
      <c r="K44" s="91" t="str">
        <f t="shared" si="1"/>
        <v>-</v>
      </c>
      <c r="L44" s="146">
        <f t="shared" si="2"/>
        <v>0</v>
      </c>
      <c r="M44" s="92" t="str">
        <f t="shared" si="3"/>
        <v>-</v>
      </c>
      <c r="N44" s="253"/>
      <c r="O44" s="254"/>
      <c r="P44" s="254"/>
      <c r="Q44" s="255"/>
      <c r="R44" s="4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>
        <v>1</v>
      </c>
      <c r="AD44" s="178"/>
      <c r="AE44" s="178"/>
      <c r="AF44" s="178"/>
      <c r="AG44" s="178"/>
    </row>
    <row r="45" spans="2:33" ht="23.25" customHeight="1" x14ac:dyDescent="0.15">
      <c r="B45" s="28"/>
      <c r="C45" s="52"/>
      <c r="D45" s="121"/>
      <c r="E45" s="242" t="s">
        <v>50</v>
      </c>
      <c r="F45" s="227"/>
      <c r="G45" s="228"/>
      <c r="H45" s="61" t="s">
        <v>20</v>
      </c>
      <c r="I45" s="62"/>
      <c r="J45" s="63"/>
      <c r="K45" s="64" t="str">
        <f t="shared" si="1"/>
        <v>-</v>
      </c>
      <c r="L45" s="80">
        <f t="shared" si="2"/>
        <v>0</v>
      </c>
      <c r="M45" s="65" t="str">
        <f t="shared" si="3"/>
        <v>-</v>
      </c>
      <c r="N45" s="253"/>
      <c r="O45" s="254"/>
      <c r="P45" s="254"/>
      <c r="Q45" s="255"/>
      <c r="R45" s="4"/>
      <c r="S45" s="178">
        <v>1</v>
      </c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>
        <v>1</v>
      </c>
      <c r="AE45" s="178"/>
      <c r="AF45" s="178"/>
      <c r="AG45" s="178"/>
    </row>
    <row r="46" spans="2:33" ht="23.25" customHeight="1" x14ac:dyDescent="0.15">
      <c r="B46" s="28"/>
      <c r="C46" s="52"/>
      <c r="D46" s="123"/>
      <c r="E46" s="130"/>
      <c r="F46" s="349" t="s">
        <v>51</v>
      </c>
      <c r="G46" s="350"/>
      <c r="H46" s="61" t="s">
        <v>20</v>
      </c>
      <c r="I46" s="62"/>
      <c r="J46" s="63"/>
      <c r="K46" s="64" t="str">
        <f t="shared" si="1"/>
        <v>-</v>
      </c>
      <c r="L46" s="80">
        <f t="shared" si="2"/>
        <v>0</v>
      </c>
      <c r="M46" s="65" t="str">
        <f t="shared" si="3"/>
        <v>-</v>
      </c>
      <c r="N46" s="187"/>
      <c r="O46" s="188"/>
      <c r="P46" s="188"/>
      <c r="Q46" s="189"/>
      <c r="R46" s="4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>
        <v>1</v>
      </c>
      <c r="AE46" s="178"/>
      <c r="AF46" s="178"/>
      <c r="AG46" s="178"/>
    </row>
    <row r="47" spans="2:33" ht="23.25" customHeight="1" x14ac:dyDescent="0.15">
      <c r="B47" s="28"/>
      <c r="C47" s="52"/>
      <c r="D47" s="123"/>
      <c r="E47" s="130"/>
      <c r="F47" s="351" t="s">
        <v>52</v>
      </c>
      <c r="G47" s="352"/>
      <c r="H47" s="88" t="s">
        <v>20</v>
      </c>
      <c r="I47" s="136"/>
      <c r="J47" s="129"/>
      <c r="K47" s="91" t="str">
        <f t="shared" si="1"/>
        <v>-</v>
      </c>
      <c r="L47" s="146">
        <f t="shared" si="2"/>
        <v>0</v>
      </c>
      <c r="M47" s="92" t="str">
        <f t="shared" si="3"/>
        <v>-</v>
      </c>
      <c r="N47" s="187"/>
      <c r="O47" s="188"/>
      <c r="P47" s="188"/>
      <c r="Q47" s="189"/>
      <c r="R47" s="4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>
        <v>1</v>
      </c>
      <c r="AE47" s="178"/>
      <c r="AF47" s="178"/>
      <c r="AG47" s="178"/>
    </row>
    <row r="48" spans="2:33" ht="23.25" customHeight="1" x14ac:dyDescent="0.15">
      <c r="B48" s="28"/>
      <c r="C48" s="52"/>
      <c r="D48" s="121"/>
      <c r="E48" s="227" t="s">
        <v>53</v>
      </c>
      <c r="F48" s="227"/>
      <c r="G48" s="228"/>
      <c r="H48" s="61" t="s">
        <v>20</v>
      </c>
      <c r="I48" s="62"/>
      <c r="J48" s="63"/>
      <c r="K48" s="64" t="str">
        <f t="shared" si="1"/>
        <v>-</v>
      </c>
      <c r="L48" s="80">
        <f t="shared" si="2"/>
        <v>0</v>
      </c>
      <c r="M48" s="65" t="str">
        <f t="shared" si="3"/>
        <v>-</v>
      </c>
      <c r="N48" s="253"/>
      <c r="O48" s="254"/>
      <c r="P48" s="254"/>
      <c r="Q48" s="255"/>
      <c r="R48" s="4"/>
      <c r="S48" s="178">
        <v>1</v>
      </c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>
        <v>1</v>
      </c>
      <c r="AF48" s="178"/>
      <c r="AG48" s="178"/>
    </row>
    <row r="49" spans="2:33" ht="23.25" customHeight="1" x14ac:dyDescent="0.15">
      <c r="B49" s="28"/>
      <c r="C49" s="52"/>
      <c r="D49" s="121"/>
      <c r="E49" s="278" t="s">
        <v>54</v>
      </c>
      <c r="F49" s="278"/>
      <c r="G49" s="258"/>
      <c r="H49" s="61" t="s">
        <v>20</v>
      </c>
      <c r="I49" s="62"/>
      <c r="J49" s="63"/>
      <c r="K49" s="64" t="str">
        <f t="shared" si="1"/>
        <v>-</v>
      </c>
      <c r="L49" s="80">
        <f t="shared" si="2"/>
        <v>0</v>
      </c>
      <c r="M49" s="65" t="str">
        <f t="shared" si="3"/>
        <v>-</v>
      </c>
      <c r="N49" s="253"/>
      <c r="O49" s="254"/>
      <c r="P49" s="254"/>
      <c r="Q49" s="255"/>
      <c r="R49" s="4"/>
      <c r="S49" s="178">
        <v>1</v>
      </c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>
        <v>1</v>
      </c>
      <c r="AG49" s="178"/>
    </row>
    <row r="50" spans="2:33" ht="23.25" customHeight="1" x14ac:dyDescent="0.15">
      <c r="B50" s="28"/>
      <c r="C50" s="52"/>
      <c r="D50" s="121"/>
      <c r="E50" s="278" t="s">
        <v>229</v>
      </c>
      <c r="F50" s="278"/>
      <c r="G50" s="258"/>
      <c r="H50" s="61" t="s">
        <v>20</v>
      </c>
      <c r="I50" s="62"/>
      <c r="J50" s="63"/>
      <c r="K50" s="64" t="str">
        <f t="shared" si="1"/>
        <v>-</v>
      </c>
      <c r="L50" s="80">
        <f t="shared" si="2"/>
        <v>0</v>
      </c>
      <c r="M50" s="65" t="str">
        <f t="shared" si="3"/>
        <v>-</v>
      </c>
      <c r="N50" s="253"/>
      <c r="O50" s="254"/>
      <c r="P50" s="254"/>
      <c r="Q50" s="255"/>
      <c r="R50" s="4"/>
      <c r="S50" s="178">
        <v>1</v>
      </c>
      <c r="T50" s="178"/>
      <c r="U50" s="178"/>
      <c r="V50" s="178"/>
      <c r="W50" s="178"/>
      <c r="X50" s="178"/>
      <c r="Y50" s="178"/>
      <c r="Z50" s="178"/>
      <c r="AA50" s="178">
        <v>1</v>
      </c>
      <c r="AB50" s="178">
        <v>1</v>
      </c>
      <c r="AC50" s="178">
        <v>1</v>
      </c>
      <c r="AD50" s="178">
        <v>1</v>
      </c>
      <c r="AE50" s="178">
        <v>1</v>
      </c>
      <c r="AF50" s="178">
        <v>1</v>
      </c>
      <c r="AG50" s="178"/>
    </row>
    <row r="51" spans="2:33" ht="23.25" customHeight="1" x14ac:dyDescent="0.15">
      <c r="B51" s="28"/>
      <c r="C51" s="52"/>
      <c r="D51" s="306" t="s">
        <v>55</v>
      </c>
      <c r="E51" s="227"/>
      <c r="F51" s="227"/>
      <c r="G51" s="228"/>
      <c r="H51" s="61" t="s">
        <v>20</v>
      </c>
      <c r="I51" s="62"/>
      <c r="J51" s="63"/>
      <c r="K51" s="64" t="str">
        <f t="shared" si="1"/>
        <v>-</v>
      </c>
      <c r="L51" s="80">
        <f t="shared" si="2"/>
        <v>0</v>
      </c>
      <c r="M51" s="65" t="str">
        <f t="shared" si="3"/>
        <v>-</v>
      </c>
      <c r="N51" s="187"/>
      <c r="O51" s="188"/>
      <c r="P51" s="188"/>
      <c r="Q51" s="189"/>
      <c r="R51" s="4"/>
      <c r="S51" s="178">
        <v>1</v>
      </c>
      <c r="T51" s="178">
        <v>1</v>
      </c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</row>
    <row r="52" spans="2:33" ht="23.25" customHeight="1" x14ac:dyDescent="0.15">
      <c r="B52" s="28"/>
      <c r="C52" s="52"/>
      <c r="D52" s="346" t="s">
        <v>56</v>
      </c>
      <c r="E52" s="347"/>
      <c r="F52" s="347"/>
      <c r="G52" s="348"/>
      <c r="H52" s="88" t="s">
        <v>20</v>
      </c>
      <c r="I52" s="136"/>
      <c r="J52" s="129"/>
      <c r="K52" s="91" t="str">
        <f t="shared" si="1"/>
        <v>-</v>
      </c>
      <c r="L52" s="146">
        <f t="shared" si="2"/>
        <v>0</v>
      </c>
      <c r="M52" s="92" t="str">
        <f t="shared" si="3"/>
        <v>-</v>
      </c>
      <c r="N52" s="187"/>
      <c r="O52" s="188"/>
      <c r="P52" s="188"/>
      <c r="Q52" s="189"/>
      <c r="R52" s="4"/>
      <c r="S52" s="178">
        <v>1</v>
      </c>
      <c r="T52" s="178">
        <v>1</v>
      </c>
      <c r="U52" s="178">
        <v>1</v>
      </c>
      <c r="V52" s="178">
        <v>1</v>
      </c>
      <c r="W52" s="178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78">
        <v>1</v>
      </c>
      <c r="AD52" s="178">
        <v>1</v>
      </c>
      <c r="AE52" s="178">
        <v>1</v>
      </c>
      <c r="AF52" s="178">
        <v>1</v>
      </c>
      <c r="AG52" s="178"/>
    </row>
    <row r="53" spans="2:33" ht="23.25" customHeight="1" x14ac:dyDescent="0.15">
      <c r="B53" s="28"/>
      <c r="C53" s="52"/>
      <c r="D53" s="137"/>
      <c r="E53" s="283"/>
      <c r="F53" s="278"/>
      <c r="G53" s="258"/>
      <c r="H53" s="61" t="s">
        <v>20</v>
      </c>
      <c r="I53" s="62"/>
      <c r="J53" s="63"/>
      <c r="K53" s="64" t="str">
        <f t="shared" si="1"/>
        <v>-</v>
      </c>
      <c r="L53" s="80">
        <f t="shared" si="2"/>
        <v>0</v>
      </c>
      <c r="M53" s="65" t="str">
        <f t="shared" si="3"/>
        <v>-</v>
      </c>
      <c r="N53" s="187"/>
      <c r="O53" s="188"/>
      <c r="P53" s="188"/>
      <c r="Q53" s="189"/>
      <c r="R53" s="4"/>
      <c r="S53" s="178">
        <v>1</v>
      </c>
      <c r="T53" s="178">
        <v>1</v>
      </c>
      <c r="U53" s="178">
        <v>1</v>
      </c>
      <c r="V53" s="178">
        <v>1</v>
      </c>
      <c r="W53" s="178">
        <v>1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78">
        <v>1</v>
      </c>
      <c r="AE53" s="178">
        <v>1</v>
      </c>
      <c r="AF53" s="178">
        <v>1</v>
      </c>
      <c r="AG53" s="178"/>
    </row>
    <row r="54" spans="2:33" ht="23.25" customHeight="1" x14ac:dyDescent="0.15">
      <c r="B54" s="28"/>
      <c r="C54" s="52"/>
      <c r="D54" s="137"/>
      <c r="E54" s="342"/>
      <c r="F54" s="341"/>
      <c r="G54" s="264"/>
      <c r="H54" s="61" t="s">
        <v>20</v>
      </c>
      <c r="I54" s="55"/>
      <c r="J54" s="56"/>
      <c r="K54" s="64" t="str">
        <f t="shared" si="1"/>
        <v>-</v>
      </c>
      <c r="L54" s="80">
        <f t="shared" si="2"/>
        <v>0</v>
      </c>
      <c r="M54" s="65" t="str">
        <f t="shared" si="3"/>
        <v>-</v>
      </c>
      <c r="N54" s="187"/>
      <c r="O54" s="188"/>
      <c r="P54" s="188"/>
      <c r="Q54" s="189"/>
      <c r="R54" s="4"/>
      <c r="S54" s="178">
        <v>1</v>
      </c>
      <c r="T54" s="178">
        <v>1</v>
      </c>
      <c r="U54" s="178">
        <v>1</v>
      </c>
      <c r="V54" s="178">
        <v>1</v>
      </c>
      <c r="W54" s="178">
        <v>1</v>
      </c>
      <c r="X54" s="178">
        <v>1</v>
      </c>
      <c r="Y54" s="178">
        <v>1</v>
      </c>
      <c r="Z54" s="178">
        <v>1</v>
      </c>
      <c r="AA54" s="178">
        <v>1</v>
      </c>
      <c r="AB54" s="178">
        <v>1</v>
      </c>
      <c r="AC54" s="178">
        <v>1</v>
      </c>
      <c r="AD54" s="178">
        <v>1</v>
      </c>
      <c r="AE54" s="178">
        <v>1</v>
      </c>
      <c r="AF54" s="178">
        <v>1</v>
      </c>
      <c r="AG54" s="178"/>
    </row>
    <row r="55" spans="2:33" ht="23.25" customHeight="1" x14ac:dyDescent="0.15">
      <c r="B55" s="28"/>
      <c r="C55" s="52"/>
      <c r="D55" s="137"/>
      <c r="E55" s="342"/>
      <c r="F55" s="341"/>
      <c r="G55" s="264"/>
      <c r="H55" s="61" t="s">
        <v>20</v>
      </c>
      <c r="I55" s="62"/>
      <c r="J55" s="63"/>
      <c r="K55" s="64" t="str">
        <f t="shared" si="1"/>
        <v>-</v>
      </c>
      <c r="L55" s="80">
        <f t="shared" si="2"/>
        <v>0</v>
      </c>
      <c r="M55" s="65" t="str">
        <f t="shared" si="3"/>
        <v>-</v>
      </c>
      <c r="N55" s="187"/>
      <c r="O55" s="188"/>
      <c r="P55" s="188"/>
      <c r="Q55" s="189"/>
      <c r="R55" s="4"/>
      <c r="S55" s="178">
        <v>1</v>
      </c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</row>
    <row r="56" spans="2:33" ht="23.25" customHeight="1" x14ac:dyDescent="0.15">
      <c r="B56" s="28"/>
      <c r="C56" s="52"/>
      <c r="D56" s="137"/>
      <c r="E56" s="342"/>
      <c r="F56" s="341"/>
      <c r="G56" s="264"/>
      <c r="H56" s="61" t="s">
        <v>20</v>
      </c>
      <c r="I56" s="62"/>
      <c r="J56" s="63"/>
      <c r="K56" s="64" t="str">
        <f t="shared" si="1"/>
        <v>-</v>
      </c>
      <c r="L56" s="80">
        <f t="shared" si="2"/>
        <v>0</v>
      </c>
      <c r="M56" s="65" t="str">
        <f t="shared" si="3"/>
        <v>-</v>
      </c>
      <c r="N56" s="187"/>
      <c r="O56" s="188"/>
      <c r="P56" s="188"/>
      <c r="Q56" s="189"/>
      <c r="R56" s="4"/>
      <c r="S56" s="178">
        <v>1</v>
      </c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</row>
    <row r="57" spans="2:33" ht="23.25" customHeight="1" x14ac:dyDescent="0.15">
      <c r="B57" s="28"/>
      <c r="C57" s="52"/>
      <c r="D57" s="137"/>
      <c r="E57" s="342"/>
      <c r="F57" s="341"/>
      <c r="G57" s="264"/>
      <c r="H57" s="61" t="s">
        <v>20</v>
      </c>
      <c r="I57" s="62"/>
      <c r="J57" s="63"/>
      <c r="K57" s="64" t="str">
        <f t="shared" si="1"/>
        <v>-</v>
      </c>
      <c r="L57" s="80">
        <f t="shared" si="2"/>
        <v>0</v>
      </c>
      <c r="M57" s="65" t="str">
        <f t="shared" si="3"/>
        <v>-</v>
      </c>
      <c r="N57" s="187"/>
      <c r="O57" s="188"/>
      <c r="P57" s="188"/>
      <c r="Q57" s="189"/>
      <c r="R57" s="4"/>
      <c r="S57" s="178">
        <v>1</v>
      </c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</row>
    <row r="58" spans="2:33" ht="23.25" customHeight="1" x14ac:dyDescent="0.15">
      <c r="B58" s="28"/>
      <c r="C58" s="52"/>
      <c r="D58" s="137"/>
      <c r="E58" s="342"/>
      <c r="F58" s="341"/>
      <c r="G58" s="264"/>
      <c r="H58" s="61" t="s">
        <v>20</v>
      </c>
      <c r="I58" s="62"/>
      <c r="J58" s="63"/>
      <c r="K58" s="64" t="str">
        <f t="shared" si="1"/>
        <v>-</v>
      </c>
      <c r="L58" s="80">
        <f t="shared" si="2"/>
        <v>0</v>
      </c>
      <c r="M58" s="65" t="str">
        <f t="shared" si="3"/>
        <v>-</v>
      </c>
      <c r="N58" s="253"/>
      <c r="O58" s="254"/>
      <c r="P58" s="254"/>
      <c r="Q58" s="255"/>
      <c r="R58" s="4"/>
      <c r="S58" s="178">
        <v>1</v>
      </c>
      <c r="T58" s="178">
        <v>1</v>
      </c>
      <c r="U58" s="178">
        <v>1</v>
      </c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</row>
    <row r="59" spans="2:33" ht="23.25" customHeight="1" x14ac:dyDescent="0.15">
      <c r="B59" s="28"/>
      <c r="C59" s="52"/>
      <c r="D59" s="137"/>
      <c r="E59" s="342"/>
      <c r="F59" s="341"/>
      <c r="G59" s="264"/>
      <c r="H59" s="61" t="s">
        <v>20</v>
      </c>
      <c r="I59" s="62"/>
      <c r="J59" s="63"/>
      <c r="K59" s="64" t="str">
        <f t="shared" si="1"/>
        <v>-</v>
      </c>
      <c r="L59" s="80">
        <f t="shared" si="2"/>
        <v>0</v>
      </c>
      <c r="M59" s="65" t="str">
        <f t="shared" si="3"/>
        <v>-</v>
      </c>
      <c r="N59" s="253"/>
      <c r="O59" s="254"/>
      <c r="P59" s="254"/>
      <c r="Q59" s="255"/>
      <c r="R59" s="4"/>
      <c r="S59" s="178">
        <v>1</v>
      </c>
      <c r="T59" s="178">
        <v>1</v>
      </c>
      <c r="U59" s="178">
        <v>1</v>
      </c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</row>
    <row r="60" spans="2:33" ht="23.25" customHeight="1" x14ac:dyDescent="0.15">
      <c r="B60" s="28"/>
      <c r="C60" s="52"/>
      <c r="D60" s="137"/>
      <c r="E60" s="263"/>
      <c r="F60" s="341"/>
      <c r="G60" s="264"/>
      <c r="H60" s="88" t="s">
        <v>20</v>
      </c>
      <c r="I60" s="136"/>
      <c r="J60" s="129"/>
      <c r="K60" s="91" t="str">
        <f t="shared" si="1"/>
        <v>-</v>
      </c>
      <c r="L60" s="146">
        <f t="shared" si="2"/>
        <v>0</v>
      </c>
      <c r="M60" s="92" t="str">
        <f t="shared" si="3"/>
        <v>-</v>
      </c>
      <c r="N60" s="253"/>
      <c r="O60" s="254"/>
      <c r="P60" s="254"/>
      <c r="Q60" s="255"/>
      <c r="R60" s="4"/>
      <c r="S60" s="178">
        <v>1</v>
      </c>
      <c r="T60" s="178">
        <v>1</v>
      </c>
      <c r="U60" s="178">
        <v>1</v>
      </c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</row>
    <row r="61" spans="2:33" ht="23.25" customHeight="1" x14ac:dyDescent="0.15">
      <c r="B61" s="28"/>
      <c r="C61" s="52"/>
      <c r="D61" s="137"/>
      <c r="E61" s="263"/>
      <c r="F61" s="341"/>
      <c r="G61" s="264"/>
      <c r="H61" s="61" t="s">
        <v>20</v>
      </c>
      <c r="I61" s="62"/>
      <c r="J61" s="63"/>
      <c r="K61" s="64" t="str">
        <f t="shared" si="1"/>
        <v>-</v>
      </c>
      <c r="L61" s="80">
        <f t="shared" si="2"/>
        <v>0</v>
      </c>
      <c r="M61" s="65" t="str">
        <f t="shared" si="3"/>
        <v>-</v>
      </c>
      <c r="N61" s="253"/>
      <c r="O61" s="254"/>
      <c r="P61" s="254"/>
      <c r="Q61" s="255"/>
      <c r="R61" s="4"/>
      <c r="S61" s="178">
        <v>1</v>
      </c>
      <c r="T61" s="178"/>
      <c r="U61" s="178">
        <v>1</v>
      </c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</row>
    <row r="62" spans="2:33" ht="23.25" customHeight="1" x14ac:dyDescent="0.15">
      <c r="B62" s="28"/>
      <c r="C62" s="52"/>
      <c r="D62" s="137"/>
      <c r="E62" s="263"/>
      <c r="F62" s="341"/>
      <c r="G62" s="264"/>
      <c r="H62" s="88" t="s">
        <v>20</v>
      </c>
      <c r="I62" s="136"/>
      <c r="J62" s="129"/>
      <c r="K62" s="91" t="str">
        <f t="shared" si="1"/>
        <v>-</v>
      </c>
      <c r="L62" s="146">
        <f t="shared" si="2"/>
        <v>0</v>
      </c>
      <c r="M62" s="92" t="str">
        <f t="shared" si="3"/>
        <v>-</v>
      </c>
      <c r="N62" s="187"/>
      <c r="O62" s="188"/>
      <c r="P62" s="188"/>
      <c r="Q62" s="189"/>
      <c r="R62" s="4"/>
      <c r="S62" s="178">
        <v>1</v>
      </c>
      <c r="T62" s="178">
        <v>1</v>
      </c>
      <c r="U62" s="178">
        <v>1</v>
      </c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</row>
    <row r="63" spans="2:33" ht="23.25" customHeight="1" x14ac:dyDescent="0.15">
      <c r="B63" s="28"/>
      <c r="C63" s="52"/>
      <c r="D63" s="137"/>
      <c r="E63" s="263"/>
      <c r="F63" s="341"/>
      <c r="G63" s="264"/>
      <c r="H63" s="61" t="s">
        <v>20</v>
      </c>
      <c r="I63" s="62"/>
      <c r="J63" s="63"/>
      <c r="K63" s="64" t="str">
        <f t="shared" si="1"/>
        <v>-</v>
      </c>
      <c r="L63" s="80">
        <f t="shared" si="2"/>
        <v>0</v>
      </c>
      <c r="M63" s="65" t="str">
        <f t="shared" si="3"/>
        <v>-</v>
      </c>
      <c r="N63" s="187"/>
      <c r="O63" s="188"/>
      <c r="P63" s="188"/>
      <c r="Q63" s="189"/>
      <c r="R63" s="4"/>
      <c r="S63" s="178"/>
      <c r="T63" s="178"/>
      <c r="U63" s="178"/>
      <c r="V63" s="178"/>
      <c r="W63" s="179"/>
      <c r="X63" s="179"/>
      <c r="Y63" s="179"/>
      <c r="Z63" s="179"/>
      <c r="AA63" s="179"/>
      <c r="AB63" s="179"/>
      <c r="AC63" s="178"/>
      <c r="AD63" s="178"/>
      <c r="AE63" s="178"/>
      <c r="AF63" s="178"/>
      <c r="AG63" s="178"/>
    </row>
    <row r="64" spans="2:33" ht="23.25" customHeight="1" x14ac:dyDescent="0.15">
      <c r="B64" s="28"/>
      <c r="C64" s="52"/>
      <c r="D64" s="137"/>
      <c r="E64" s="263"/>
      <c r="F64" s="341"/>
      <c r="G64" s="264"/>
      <c r="H64" s="61" t="s">
        <v>20</v>
      </c>
      <c r="I64" s="62"/>
      <c r="J64" s="63"/>
      <c r="K64" s="64" t="str">
        <f t="shared" si="1"/>
        <v>-</v>
      </c>
      <c r="L64" s="80">
        <f t="shared" si="2"/>
        <v>0</v>
      </c>
      <c r="M64" s="65" t="str">
        <f t="shared" si="3"/>
        <v>-</v>
      </c>
      <c r="N64" s="187"/>
      <c r="O64" s="188"/>
      <c r="P64" s="188"/>
      <c r="Q64" s="189"/>
      <c r="R64" s="4"/>
      <c r="S64" s="178">
        <v>1</v>
      </c>
      <c r="T64" s="178"/>
      <c r="U64" s="178"/>
      <c r="V64" s="179"/>
      <c r="W64" s="178">
        <v>1</v>
      </c>
      <c r="X64" s="178"/>
      <c r="Y64" s="178"/>
      <c r="Z64" s="178">
        <v>1</v>
      </c>
      <c r="AA64" s="178"/>
      <c r="AB64" s="178"/>
      <c r="AC64" s="178"/>
      <c r="AD64" s="178"/>
      <c r="AE64" s="178"/>
      <c r="AF64" s="178"/>
      <c r="AG64" s="178"/>
    </row>
    <row r="65" spans="2:33" ht="23.25" customHeight="1" x14ac:dyDescent="0.15">
      <c r="B65" s="28"/>
      <c r="C65" s="52"/>
      <c r="D65" s="137"/>
      <c r="E65" s="263"/>
      <c r="F65" s="341"/>
      <c r="G65" s="264"/>
      <c r="H65" s="88" t="s">
        <v>20</v>
      </c>
      <c r="I65" s="136"/>
      <c r="J65" s="129"/>
      <c r="K65" s="91" t="str">
        <f t="shared" si="1"/>
        <v>-</v>
      </c>
      <c r="L65" s="146">
        <f t="shared" si="2"/>
        <v>0</v>
      </c>
      <c r="M65" s="92" t="str">
        <f t="shared" si="3"/>
        <v>-</v>
      </c>
      <c r="N65" s="187"/>
      <c r="O65" s="188"/>
      <c r="P65" s="188"/>
      <c r="Q65" s="189"/>
      <c r="R65" s="4"/>
      <c r="S65" s="178"/>
      <c r="T65" s="178"/>
      <c r="U65" s="178">
        <v>1</v>
      </c>
      <c r="V65" s="179"/>
      <c r="W65" s="179"/>
      <c r="X65" s="179"/>
      <c r="Y65" s="179"/>
      <c r="Z65" s="178"/>
      <c r="AA65" s="178"/>
      <c r="AB65" s="178"/>
      <c r="AC65" s="178"/>
      <c r="AD65" s="178"/>
      <c r="AE65" s="178"/>
      <c r="AF65" s="178"/>
      <c r="AG65" s="178"/>
    </row>
    <row r="66" spans="2:33" ht="23.25" customHeight="1" x14ac:dyDescent="0.15">
      <c r="B66" s="28"/>
      <c r="C66" s="52"/>
      <c r="D66" s="137"/>
      <c r="E66" s="263"/>
      <c r="F66" s="341"/>
      <c r="G66" s="264"/>
      <c r="H66" s="61" t="s">
        <v>20</v>
      </c>
      <c r="I66" s="62"/>
      <c r="J66" s="63"/>
      <c r="K66" s="64" t="str">
        <f t="shared" si="1"/>
        <v>-</v>
      </c>
      <c r="L66" s="80">
        <f t="shared" si="2"/>
        <v>0</v>
      </c>
      <c r="M66" s="65" t="str">
        <f t="shared" si="3"/>
        <v>-</v>
      </c>
      <c r="N66" s="253"/>
      <c r="O66" s="254"/>
      <c r="P66" s="254"/>
      <c r="Q66" s="255"/>
      <c r="R66" s="4"/>
      <c r="S66" s="178">
        <v>1</v>
      </c>
      <c r="T66" s="178"/>
      <c r="U66" s="178"/>
      <c r="V66" s="178">
        <v>1</v>
      </c>
      <c r="W66" s="178">
        <v>1</v>
      </c>
      <c r="X66" s="179"/>
      <c r="Y66" s="179"/>
      <c r="Z66" s="179"/>
      <c r="AA66" s="178"/>
      <c r="AB66" s="178"/>
      <c r="AC66" s="178"/>
      <c r="AD66" s="178"/>
      <c r="AE66" s="178"/>
      <c r="AF66" s="178"/>
      <c r="AG66" s="178"/>
    </row>
    <row r="67" spans="2:33" ht="23.25" customHeight="1" x14ac:dyDescent="0.15">
      <c r="B67" s="28"/>
      <c r="C67" s="52"/>
      <c r="D67" s="137"/>
      <c r="E67" s="263"/>
      <c r="F67" s="341"/>
      <c r="G67" s="264"/>
      <c r="H67" s="61" t="s">
        <v>20</v>
      </c>
      <c r="I67" s="62"/>
      <c r="J67" s="63"/>
      <c r="K67" s="64" t="str">
        <f t="shared" si="1"/>
        <v>-</v>
      </c>
      <c r="L67" s="80">
        <f t="shared" si="2"/>
        <v>0</v>
      </c>
      <c r="M67" s="65" t="str">
        <f t="shared" si="3"/>
        <v>-</v>
      </c>
      <c r="N67" s="187"/>
      <c r="O67" s="188"/>
      <c r="P67" s="188"/>
      <c r="Q67" s="189"/>
      <c r="R67" s="4"/>
      <c r="S67" s="178"/>
      <c r="T67" s="178"/>
      <c r="U67" s="178"/>
      <c r="V67" s="178">
        <v>1</v>
      </c>
      <c r="W67" s="178">
        <v>1</v>
      </c>
      <c r="X67" s="179"/>
      <c r="Y67" s="179"/>
      <c r="Z67" s="179"/>
      <c r="AA67" s="178"/>
      <c r="AB67" s="178"/>
      <c r="AC67" s="178"/>
      <c r="AD67" s="178"/>
      <c r="AE67" s="178"/>
      <c r="AF67" s="178"/>
      <c r="AG67" s="178"/>
    </row>
    <row r="68" spans="2:33" ht="23.25" customHeight="1" x14ac:dyDescent="0.15">
      <c r="B68" s="28"/>
      <c r="C68" s="52"/>
      <c r="D68" s="137"/>
      <c r="E68" s="263"/>
      <c r="F68" s="341"/>
      <c r="G68" s="264"/>
      <c r="H68" s="88" t="s">
        <v>20</v>
      </c>
      <c r="I68" s="136"/>
      <c r="J68" s="129"/>
      <c r="K68" s="91" t="str">
        <f t="shared" si="1"/>
        <v>-</v>
      </c>
      <c r="L68" s="146">
        <f t="shared" si="2"/>
        <v>0</v>
      </c>
      <c r="M68" s="92" t="str">
        <f t="shared" si="3"/>
        <v>-</v>
      </c>
      <c r="N68" s="187"/>
      <c r="O68" s="188"/>
      <c r="P68" s="188"/>
      <c r="Q68" s="189"/>
      <c r="R68" s="4"/>
      <c r="S68" s="178"/>
      <c r="T68" s="178"/>
      <c r="U68" s="178"/>
      <c r="V68" s="178"/>
      <c r="W68" s="178"/>
      <c r="X68" s="178">
        <v>1</v>
      </c>
      <c r="Y68" s="178"/>
      <c r="Z68" s="178"/>
      <c r="AA68" s="178"/>
      <c r="AB68" s="178"/>
      <c r="AC68" s="178"/>
      <c r="AD68" s="178"/>
      <c r="AE68" s="178"/>
      <c r="AF68" s="178"/>
      <c r="AG68" s="178"/>
    </row>
    <row r="69" spans="2:33" ht="23.25" customHeight="1" x14ac:dyDescent="0.15">
      <c r="B69" s="28"/>
      <c r="C69" s="52"/>
      <c r="D69" s="137"/>
      <c r="E69" s="342"/>
      <c r="F69" s="341"/>
      <c r="G69" s="264"/>
      <c r="H69" s="61" t="s">
        <v>20</v>
      </c>
      <c r="I69" s="62"/>
      <c r="J69" s="63"/>
      <c r="K69" s="64" t="str">
        <f t="shared" si="1"/>
        <v>-</v>
      </c>
      <c r="L69" s="80">
        <f t="shared" si="2"/>
        <v>0</v>
      </c>
      <c r="M69" s="65" t="str">
        <f t="shared" si="3"/>
        <v>-</v>
      </c>
      <c r="N69" s="253"/>
      <c r="O69" s="254"/>
      <c r="P69" s="254"/>
      <c r="Q69" s="255"/>
      <c r="R69" s="4"/>
      <c r="S69" s="178"/>
      <c r="T69" s="178"/>
      <c r="U69" s="178"/>
      <c r="V69" s="178"/>
      <c r="W69" s="178"/>
      <c r="X69" s="178">
        <v>1</v>
      </c>
      <c r="Y69" s="178"/>
      <c r="Z69" s="178"/>
      <c r="AA69" s="179"/>
      <c r="AB69" s="179"/>
      <c r="AC69" s="179"/>
      <c r="AD69" s="179"/>
      <c r="AE69" s="179"/>
      <c r="AF69" s="179"/>
      <c r="AG69" s="179"/>
    </row>
    <row r="70" spans="2:33" ht="23.25" customHeight="1" x14ac:dyDescent="0.15">
      <c r="B70" s="28"/>
      <c r="C70" s="52"/>
      <c r="D70" s="137"/>
      <c r="E70" s="263"/>
      <c r="F70" s="341"/>
      <c r="G70" s="264"/>
      <c r="H70" s="88" t="s">
        <v>20</v>
      </c>
      <c r="I70" s="136"/>
      <c r="J70" s="129"/>
      <c r="K70" s="91" t="str">
        <f t="shared" si="1"/>
        <v>-</v>
      </c>
      <c r="L70" s="146">
        <f t="shared" si="2"/>
        <v>0</v>
      </c>
      <c r="M70" s="92" t="str">
        <f t="shared" si="3"/>
        <v>-</v>
      </c>
      <c r="N70" s="187"/>
      <c r="O70" s="188"/>
      <c r="P70" s="188"/>
      <c r="Q70" s="189"/>
      <c r="R70" s="4"/>
      <c r="S70" s="178"/>
      <c r="T70" s="178"/>
      <c r="U70" s="178"/>
      <c r="V70" s="178"/>
      <c r="W70" s="178"/>
      <c r="X70" s="178">
        <v>1</v>
      </c>
      <c r="Y70" s="178"/>
      <c r="Z70" s="178"/>
      <c r="AA70" s="179"/>
      <c r="AB70" s="179"/>
      <c r="AC70" s="179"/>
      <c r="AD70" s="178"/>
      <c r="AE70" s="178"/>
      <c r="AF70" s="178"/>
      <c r="AG70" s="178"/>
    </row>
    <row r="71" spans="2:33" ht="23.25" customHeight="1" x14ac:dyDescent="0.15">
      <c r="B71" s="28"/>
      <c r="C71" s="52"/>
      <c r="D71" s="137"/>
      <c r="E71" s="342"/>
      <c r="F71" s="341"/>
      <c r="G71" s="264"/>
      <c r="H71" s="61" t="s">
        <v>20</v>
      </c>
      <c r="I71" s="62"/>
      <c r="J71" s="63"/>
      <c r="K71" s="64" t="str">
        <f t="shared" si="1"/>
        <v>-</v>
      </c>
      <c r="L71" s="80">
        <f t="shared" si="2"/>
        <v>0</v>
      </c>
      <c r="M71" s="65" t="str">
        <f t="shared" si="3"/>
        <v>-</v>
      </c>
      <c r="N71" s="187"/>
      <c r="O71" s="188"/>
      <c r="P71" s="188"/>
      <c r="Q71" s="189"/>
      <c r="R71" s="4"/>
      <c r="S71" s="178">
        <v>1</v>
      </c>
      <c r="T71" s="178"/>
      <c r="U71" s="178"/>
      <c r="V71" s="178"/>
      <c r="W71" s="178"/>
      <c r="X71" s="178"/>
      <c r="Y71" s="178"/>
      <c r="Z71" s="178"/>
      <c r="AA71" s="178">
        <v>1</v>
      </c>
      <c r="AB71" s="178">
        <v>1</v>
      </c>
      <c r="AC71" s="178">
        <v>1</v>
      </c>
      <c r="AD71" s="178">
        <v>1</v>
      </c>
      <c r="AE71" s="178">
        <v>1</v>
      </c>
      <c r="AF71" s="178">
        <v>1</v>
      </c>
      <c r="AG71" s="178"/>
    </row>
    <row r="72" spans="2:33" ht="23.25" customHeight="1" x14ac:dyDescent="0.15">
      <c r="B72" s="28"/>
      <c r="C72" s="52"/>
      <c r="D72" s="137"/>
      <c r="E72" s="257"/>
      <c r="F72" s="322"/>
      <c r="G72" s="323"/>
      <c r="H72" s="61" t="s">
        <v>20</v>
      </c>
      <c r="I72" s="62"/>
      <c r="J72" s="63"/>
      <c r="K72" s="64" t="str">
        <f t="shared" si="1"/>
        <v>-</v>
      </c>
      <c r="L72" s="80">
        <f t="shared" si="2"/>
        <v>0</v>
      </c>
      <c r="M72" s="65" t="str">
        <f t="shared" si="3"/>
        <v>-</v>
      </c>
      <c r="N72" s="253"/>
      <c r="O72" s="254"/>
      <c r="P72" s="254"/>
      <c r="Q72" s="255"/>
      <c r="R72" s="4"/>
      <c r="S72" s="178">
        <v>1</v>
      </c>
      <c r="T72" s="178"/>
      <c r="U72" s="178"/>
      <c r="V72" s="178"/>
      <c r="W72" s="178"/>
      <c r="X72" s="178"/>
      <c r="Y72" s="178"/>
      <c r="Z72" s="178"/>
      <c r="AA72" s="178">
        <v>1</v>
      </c>
      <c r="AB72" s="178">
        <v>1</v>
      </c>
      <c r="AC72" s="178">
        <v>1</v>
      </c>
      <c r="AD72" s="178">
        <v>1</v>
      </c>
      <c r="AE72" s="178">
        <v>1</v>
      </c>
      <c r="AF72" s="178">
        <v>1</v>
      </c>
      <c r="AG72" s="178"/>
    </row>
    <row r="73" spans="2:33" ht="23.25" customHeight="1" x14ac:dyDescent="0.15">
      <c r="B73" s="28"/>
      <c r="C73" s="52"/>
      <c r="D73" s="137"/>
      <c r="E73" s="257"/>
      <c r="F73" s="322"/>
      <c r="G73" s="323"/>
      <c r="H73" s="88" t="s">
        <v>20</v>
      </c>
      <c r="I73" s="136"/>
      <c r="J73" s="129"/>
      <c r="K73" s="91" t="str">
        <f t="shared" si="1"/>
        <v>-</v>
      </c>
      <c r="L73" s="146">
        <f t="shared" si="2"/>
        <v>0</v>
      </c>
      <c r="M73" s="92" t="str">
        <f t="shared" si="3"/>
        <v>-</v>
      </c>
      <c r="N73" s="187"/>
      <c r="O73" s="188"/>
      <c r="P73" s="188"/>
      <c r="Q73" s="189"/>
      <c r="R73" s="4"/>
      <c r="S73" s="178"/>
      <c r="T73" s="178"/>
      <c r="U73" s="178"/>
      <c r="V73" s="178"/>
      <c r="W73" s="178"/>
      <c r="X73" s="178"/>
      <c r="Y73" s="178"/>
      <c r="Z73" s="178"/>
      <c r="AA73" s="178">
        <v>1</v>
      </c>
      <c r="AB73" s="179"/>
      <c r="AC73" s="179"/>
      <c r="AD73" s="179"/>
      <c r="AE73" s="179"/>
      <c r="AF73" s="178"/>
      <c r="AG73" s="178"/>
    </row>
    <row r="74" spans="2:33" ht="23.25" customHeight="1" x14ac:dyDescent="0.15">
      <c r="B74" s="28"/>
      <c r="C74" s="52"/>
      <c r="D74" s="137"/>
      <c r="E74" s="257"/>
      <c r="F74" s="322"/>
      <c r="G74" s="323"/>
      <c r="H74" s="61" t="s">
        <v>20</v>
      </c>
      <c r="I74" s="62"/>
      <c r="J74" s="63"/>
      <c r="K74" s="64" t="str">
        <f t="shared" si="1"/>
        <v>-</v>
      </c>
      <c r="L74" s="80">
        <f t="shared" ref="L74:L137" si="4">IFERROR(J74-I74,"-")</f>
        <v>0</v>
      </c>
      <c r="M74" s="65" t="str">
        <f t="shared" si="3"/>
        <v>-</v>
      </c>
      <c r="N74" s="187"/>
      <c r="O74" s="188"/>
      <c r="P74" s="188"/>
      <c r="Q74" s="189"/>
      <c r="R74" s="4"/>
      <c r="S74" s="178">
        <v>1</v>
      </c>
      <c r="T74" s="178"/>
      <c r="U74" s="178"/>
      <c r="V74" s="178"/>
      <c r="W74" s="178"/>
      <c r="X74" s="178"/>
      <c r="Y74" s="178"/>
      <c r="Z74" s="178"/>
      <c r="AA74" s="178"/>
      <c r="AB74" s="178">
        <v>1</v>
      </c>
      <c r="AC74" s="178">
        <v>1</v>
      </c>
      <c r="AD74" s="179"/>
      <c r="AE74" s="179"/>
      <c r="AF74" s="179"/>
      <c r="AG74" s="178"/>
    </row>
    <row r="75" spans="2:33" ht="23.25" customHeight="1" x14ac:dyDescent="0.15">
      <c r="B75" s="28"/>
      <c r="C75" s="52"/>
      <c r="D75" s="137"/>
      <c r="E75" s="257"/>
      <c r="F75" s="278"/>
      <c r="G75" s="258"/>
      <c r="H75" s="61" t="s">
        <v>20</v>
      </c>
      <c r="I75" s="62"/>
      <c r="J75" s="63"/>
      <c r="K75" s="64" t="str">
        <f t="shared" si="1"/>
        <v>-</v>
      </c>
      <c r="L75" s="80">
        <f t="shared" si="4"/>
        <v>0</v>
      </c>
      <c r="M75" s="65" t="str">
        <f t="shared" si="3"/>
        <v>-</v>
      </c>
      <c r="N75" s="253"/>
      <c r="O75" s="254"/>
      <c r="P75" s="254"/>
      <c r="Q75" s="255"/>
      <c r="R75" s="4"/>
      <c r="S75" s="178"/>
      <c r="T75" s="178"/>
      <c r="U75" s="178"/>
      <c r="V75" s="178"/>
      <c r="W75" s="178"/>
      <c r="X75" s="178"/>
      <c r="Y75" s="178"/>
      <c r="Z75" s="178"/>
      <c r="AA75" s="178">
        <v>1</v>
      </c>
      <c r="AB75" s="178">
        <v>1</v>
      </c>
      <c r="AC75" s="178">
        <v>1</v>
      </c>
      <c r="AD75" s="178"/>
      <c r="AE75" s="179"/>
      <c r="AF75" s="179"/>
      <c r="AG75" s="179"/>
    </row>
    <row r="76" spans="2:33" ht="23.25" customHeight="1" x14ac:dyDescent="0.15">
      <c r="B76" s="28"/>
      <c r="C76" s="114"/>
      <c r="D76" s="138"/>
      <c r="E76" s="343"/>
      <c r="F76" s="344"/>
      <c r="G76" s="345"/>
      <c r="H76" s="54" t="s">
        <v>20</v>
      </c>
      <c r="I76" s="55"/>
      <c r="J76" s="56"/>
      <c r="K76" s="57" t="str">
        <f t="shared" si="1"/>
        <v>-</v>
      </c>
      <c r="L76" s="147">
        <f t="shared" si="4"/>
        <v>0</v>
      </c>
      <c r="M76" s="58" t="str">
        <f t="shared" si="3"/>
        <v>-</v>
      </c>
      <c r="N76" s="253"/>
      <c r="O76" s="254"/>
      <c r="P76" s="254"/>
      <c r="Q76" s="255"/>
      <c r="R76" s="4"/>
      <c r="S76" s="178">
        <v>1</v>
      </c>
      <c r="T76" s="179"/>
      <c r="U76" s="179"/>
      <c r="V76" s="179"/>
      <c r="W76" s="179"/>
      <c r="X76" s="179"/>
      <c r="Y76" s="179"/>
      <c r="Z76" s="179"/>
      <c r="AA76" s="179"/>
      <c r="AB76" s="178">
        <v>1</v>
      </c>
      <c r="AC76" s="178">
        <v>1</v>
      </c>
      <c r="AD76" s="179"/>
      <c r="AE76" s="179"/>
      <c r="AF76" s="179"/>
      <c r="AG76" s="179"/>
    </row>
    <row r="77" spans="2:33" ht="23.25" customHeight="1" x14ac:dyDescent="0.15">
      <c r="B77" s="28"/>
      <c r="C77" s="114"/>
      <c r="D77" s="138"/>
      <c r="E77" s="257"/>
      <c r="F77" s="278"/>
      <c r="G77" s="258"/>
      <c r="H77" s="61" t="s">
        <v>20</v>
      </c>
      <c r="I77" s="62"/>
      <c r="J77" s="63"/>
      <c r="K77" s="57" t="str">
        <f t="shared" si="1"/>
        <v>-</v>
      </c>
      <c r="L77" s="147">
        <f t="shared" si="4"/>
        <v>0</v>
      </c>
      <c r="M77" s="58" t="str">
        <f t="shared" si="3"/>
        <v>-</v>
      </c>
      <c r="N77" s="181"/>
      <c r="O77" s="182"/>
      <c r="P77" s="182"/>
      <c r="Q77" s="183"/>
      <c r="R77" s="4"/>
      <c r="S77" s="179"/>
      <c r="T77" s="179"/>
      <c r="U77" s="179"/>
      <c r="V77" s="179"/>
      <c r="W77" s="179"/>
      <c r="X77" s="179"/>
      <c r="Y77" s="179"/>
      <c r="Z77" s="179"/>
      <c r="AA77" s="179"/>
      <c r="AB77" s="178">
        <v>1</v>
      </c>
      <c r="AC77" s="178">
        <v>1</v>
      </c>
      <c r="AD77" s="179"/>
      <c r="AE77" s="179"/>
      <c r="AF77" s="179"/>
      <c r="AG77" s="179"/>
    </row>
    <row r="78" spans="2:33" ht="23.25" customHeight="1" x14ac:dyDescent="0.15">
      <c r="B78" s="28"/>
      <c r="C78" s="114"/>
      <c r="D78" s="138"/>
      <c r="E78" s="257"/>
      <c r="F78" s="278"/>
      <c r="G78" s="258"/>
      <c r="H78" s="61" t="s">
        <v>20</v>
      </c>
      <c r="I78" s="62"/>
      <c r="J78" s="63"/>
      <c r="K78" s="57" t="str">
        <f t="shared" si="1"/>
        <v>-</v>
      </c>
      <c r="L78" s="147">
        <f t="shared" si="4"/>
        <v>0</v>
      </c>
      <c r="M78" s="58" t="str">
        <f t="shared" si="3"/>
        <v>-</v>
      </c>
      <c r="N78" s="181"/>
      <c r="O78" s="182"/>
      <c r="P78" s="182"/>
      <c r="Q78" s="183"/>
      <c r="R78" s="4"/>
      <c r="S78" s="178">
        <v>1</v>
      </c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>
        <v>1</v>
      </c>
      <c r="AE78" s="178"/>
      <c r="AF78" s="178"/>
      <c r="AG78" s="178"/>
    </row>
    <row r="79" spans="2:33" ht="23.25" customHeight="1" x14ac:dyDescent="0.15">
      <c r="B79" s="28"/>
      <c r="C79" s="114"/>
      <c r="D79" s="138"/>
      <c r="E79" s="257"/>
      <c r="F79" s="278"/>
      <c r="G79" s="258"/>
      <c r="H79" s="61" t="s">
        <v>20</v>
      </c>
      <c r="I79" s="62"/>
      <c r="J79" s="63"/>
      <c r="K79" s="57" t="str">
        <f t="shared" ref="K79:K82" si="5">IFERROR(J79/I79*100-100,"-")</f>
        <v>-</v>
      </c>
      <c r="L79" s="147">
        <f t="shared" si="4"/>
        <v>0</v>
      </c>
      <c r="M79" s="58" t="str">
        <f t="shared" ref="M79:M82" si="6">IFERROR(ROUND((J79-I79)/($J$10-$I$10)*100,1),"-")</f>
        <v>-</v>
      </c>
      <c r="N79" s="181"/>
      <c r="O79" s="182"/>
      <c r="P79" s="182"/>
      <c r="Q79" s="183"/>
      <c r="R79" s="4"/>
      <c r="S79" s="178">
        <v>1</v>
      </c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>
        <v>1</v>
      </c>
      <c r="AF79" s="178"/>
      <c r="AG79" s="178"/>
    </row>
    <row r="80" spans="2:33" ht="23.25" customHeight="1" x14ac:dyDescent="0.15">
      <c r="B80" s="28"/>
      <c r="C80" s="114"/>
      <c r="D80" s="138"/>
      <c r="E80" s="257"/>
      <c r="F80" s="278"/>
      <c r="G80" s="258"/>
      <c r="H80" s="61" t="s">
        <v>20</v>
      </c>
      <c r="I80" s="62"/>
      <c r="J80" s="63"/>
      <c r="K80" s="57" t="str">
        <f t="shared" si="5"/>
        <v>-</v>
      </c>
      <c r="L80" s="147">
        <f t="shared" si="4"/>
        <v>0</v>
      </c>
      <c r="M80" s="58" t="str">
        <f t="shared" si="6"/>
        <v>-</v>
      </c>
      <c r="N80" s="181"/>
      <c r="O80" s="182"/>
      <c r="P80" s="182"/>
      <c r="Q80" s="183"/>
      <c r="R80" s="4"/>
      <c r="S80" s="178">
        <v>1</v>
      </c>
      <c r="T80" s="178">
        <v>1</v>
      </c>
      <c r="U80" s="178">
        <v>1</v>
      </c>
      <c r="V80" s="178">
        <v>1</v>
      </c>
      <c r="W80" s="178">
        <v>1</v>
      </c>
      <c r="X80" s="178">
        <v>1</v>
      </c>
      <c r="Y80" s="178">
        <v>1</v>
      </c>
      <c r="Z80" s="178">
        <v>1</v>
      </c>
      <c r="AA80" s="178">
        <v>1</v>
      </c>
      <c r="AB80" s="178">
        <v>1</v>
      </c>
      <c r="AC80" s="178">
        <v>1</v>
      </c>
      <c r="AD80" s="178">
        <v>1</v>
      </c>
      <c r="AE80" s="178">
        <v>1</v>
      </c>
      <c r="AF80" s="178">
        <v>1</v>
      </c>
      <c r="AG80" s="178"/>
    </row>
    <row r="81" spans="2:33" ht="23.25" customHeight="1" x14ac:dyDescent="0.15">
      <c r="B81" s="28"/>
      <c r="C81" s="114"/>
      <c r="D81" s="138"/>
      <c r="E81" s="257"/>
      <c r="F81" s="278"/>
      <c r="G81" s="258"/>
      <c r="H81" s="61" t="s">
        <v>20</v>
      </c>
      <c r="I81" s="62"/>
      <c r="J81" s="63"/>
      <c r="K81" s="57" t="str">
        <f t="shared" si="5"/>
        <v>-</v>
      </c>
      <c r="L81" s="147">
        <f t="shared" si="4"/>
        <v>0</v>
      </c>
      <c r="M81" s="58" t="str">
        <f t="shared" si="6"/>
        <v>-</v>
      </c>
      <c r="N81" s="181"/>
      <c r="O81" s="182"/>
      <c r="P81" s="182"/>
      <c r="Q81" s="183"/>
      <c r="R81" s="4"/>
      <c r="S81" s="178">
        <v>1</v>
      </c>
      <c r="T81" s="178">
        <v>1</v>
      </c>
      <c r="U81" s="178">
        <v>1</v>
      </c>
      <c r="V81" s="178">
        <v>1</v>
      </c>
      <c r="W81" s="178">
        <v>1</v>
      </c>
      <c r="X81" s="178">
        <v>1</v>
      </c>
      <c r="Y81" s="178">
        <v>1</v>
      </c>
      <c r="Z81" s="178">
        <v>1</v>
      </c>
      <c r="AA81" s="178"/>
      <c r="AB81" s="178"/>
      <c r="AC81" s="178"/>
      <c r="AD81" s="178"/>
      <c r="AE81" s="178"/>
      <c r="AF81" s="178"/>
      <c r="AG81" s="178"/>
    </row>
    <row r="82" spans="2:33" ht="23.25" customHeight="1" x14ac:dyDescent="0.15">
      <c r="B82" s="28"/>
      <c r="C82" s="114"/>
      <c r="D82" s="138"/>
      <c r="E82" s="257"/>
      <c r="F82" s="278"/>
      <c r="G82" s="258"/>
      <c r="H82" s="61" t="s">
        <v>20</v>
      </c>
      <c r="I82" s="62"/>
      <c r="J82" s="63"/>
      <c r="K82" s="57" t="str">
        <f t="shared" si="5"/>
        <v>-</v>
      </c>
      <c r="L82" s="147">
        <f t="shared" si="4"/>
        <v>0</v>
      </c>
      <c r="M82" s="58" t="str">
        <f t="shared" si="6"/>
        <v>-</v>
      </c>
      <c r="N82" s="181"/>
      <c r="O82" s="182"/>
      <c r="P82" s="182"/>
      <c r="Q82" s="183"/>
      <c r="R82" s="4"/>
      <c r="S82" s="178">
        <v>1</v>
      </c>
      <c r="T82" s="178">
        <v>1</v>
      </c>
      <c r="U82" s="178">
        <v>1</v>
      </c>
      <c r="V82" s="178">
        <v>1</v>
      </c>
      <c r="W82" s="178">
        <v>1</v>
      </c>
      <c r="X82" s="178">
        <v>1</v>
      </c>
      <c r="Y82" s="178">
        <v>1</v>
      </c>
      <c r="Z82" s="178">
        <v>1</v>
      </c>
      <c r="AA82" s="178"/>
      <c r="AB82" s="178"/>
      <c r="AC82" s="178"/>
      <c r="AD82" s="178"/>
      <c r="AE82" s="178"/>
      <c r="AF82" s="178"/>
      <c r="AG82" s="178"/>
    </row>
    <row r="83" spans="2:33" ht="23.25" customHeight="1" x14ac:dyDescent="0.15">
      <c r="B83" s="28"/>
      <c r="C83" s="114"/>
      <c r="D83" s="138"/>
      <c r="E83" s="257"/>
      <c r="F83" s="278"/>
      <c r="G83" s="258"/>
      <c r="H83" s="61" t="s">
        <v>20</v>
      </c>
      <c r="I83" s="62"/>
      <c r="J83" s="63"/>
      <c r="K83" s="57" t="str">
        <f t="shared" si="1"/>
        <v>-</v>
      </c>
      <c r="L83" s="147">
        <f t="shared" si="4"/>
        <v>0</v>
      </c>
      <c r="M83" s="58" t="str">
        <f t="shared" si="3"/>
        <v>-</v>
      </c>
      <c r="N83" s="181"/>
      <c r="O83" s="182"/>
      <c r="P83" s="182"/>
      <c r="Q83" s="183"/>
      <c r="R83" s="4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</row>
    <row r="84" spans="2:33" ht="23.25" customHeight="1" x14ac:dyDescent="0.15">
      <c r="B84" s="28"/>
      <c r="C84" s="114"/>
      <c r="D84" s="138"/>
      <c r="E84" s="257"/>
      <c r="F84" s="278"/>
      <c r="G84" s="258"/>
      <c r="H84" s="61" t="s">
        <v>20</v>
      </c>
      <c r="I84" s="62"/>
      <c r="J84" s="63"/>
      <c r="K84" s="57" t="str">
        <f t="shared" si="1"/>
        <v>-</v>
      </c>
      <c r="L84" s="147">
        <f t="shared" si="4"/>
        <v>0</v>
      </c>
      <c r="M84" s="58" t="str">
        <f t="shared" si="3"/>
        <v>-</v>
      </c>
      <c r="N84" s="181"/>
      <c r="O84" s="182"/>
      <c r="P84" s="182"/>
      <c r="Q84" s="183"/>
      <c r="R84" s="4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</row>
    <row r="85" spans="2:33" ht="23.25" customHeight="1" x14ac:dyDescent="0.15">
      <c r="B85" s="28"/>
      <c r="C85" s="114"/>
      <c r="D85" s="138"/>
      <c r="E85" s="257"/>
      <c r="F85" s="278"/>
      <c r="G85" s="258"/>
      <c r="H85" s="61" t="s">
        <v>20</v>
      </c>
      <c r="I85" s="62"/>
      <c r="J85" s="63"/>
      <c r="K85" s="57" t="str">
        <f t="shared" si="1"/>
        <v>-</v>
      </c>
      <c r="L85" s="147">
        <f t="shared" si="4"/>
        <v>0</v>
      </c>
      <c r="M85" s="58" t="str">
        <f t="shared" si="3"/>
        <v>-</v>
      </c>
      <c r="N85" s="181"/>
      <c r="O85" s="182"/>
      <c r="P85" s="182"/>
      <c r="Q85" s="183"/>
      <c r="R85" s="4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</row>
    <row r="86" spans="2:33" ht="23.25" customHeight="1" x14ac:dyDescent="0.15">
      <c r="B86" s="28"/>
      <c r="C86" s="114"/>
      <c r="D86" s="138"/>
      <c r="E86" s="257"/>
      <c r="F86" s="278"/>
      <c r="G86" s="258"/>
      <c r="H86" s="61" t="s">
        <v>20</v>
      </c>
      <c r="I86" s="62"/>
      <c r="J86" s="63"/>
      <c r="K86" s="57" t="str">
        <f t="shared" si="1"/>
        <v>-</v>
      </c>
      <c r="L86" s="147">
        <f t="shared" si="4"/>
        <v>0</v>
      </c>
      <c r="M86" s="58" t="str">
        <f t="shared" si="3"/>
        <v>-</v>
      </c>
      <c r="N86" s="181"/>
      <c r="O86" s="182"/>
      <c r="P86" s="182"/>
      <c r="Q86" s="183"/>
      <c r="R86" s="4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</row>
    <row r="87" spans="2:33" ht="23.25" customHeight="1" x14ac:dyDescent="0.15">
      <c r="B87" s="28"/>
      <c r="C87" s="114"/>
      <c r="D87" s="138"/>
      <c r="E87" s="336"/>
      <c r="F87" s="336"/>
      <c r="G87" s="337"/>
      <c r="H87" s="61" t="s">
        <v>20</v>
      </c>
      <c r="I87" s="136"/>
      <c r="J87" s="129"/>
      <c r="K87" s="91" t="str">
        <f t="shared" si="1"/>
        <v>-</v>
      </c>
      <c r="L87" s="146">
        <f t="shared" si="4"/>
        <v>0</v>
      </c>
      <c r="M87" s="92" t="str">
        <f t="shared" si="3"/>
        <v>-</v>
      </c>
      <c r="N87" s="338"/>
      <c r="O87" s="339"/>
      <c r="P87" s="339"/>
      <c r="Q87" s="340"/>
      <c r="R87" s="4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</row>
    <row r="88" spans="2:33" ht="23.25" customHeight="1" x14ac:dyDescent="0.15">
      <c r="B88" s="47"/>
      <c r="C88" s="139"/>
      <c r="D88" s="228" t="s">
        <v>150</v>
      </c>
      <c r="E88" s="324"/>
      <c r="F88" s="324"/>
      <c r="G88" s="324"/>
      <c r="H88" s="61" t="s">
        <v>20</v>
      </c>
      <c r="I88" s="62"/>
      <c r="J88" s="112"/>
      <c r="K88" s="157" t="str">
        <f>IFERROR(J88/I88*100-100,"-")</f>
        <v>-</v>
      </c>
      <c r="L88" s="80">
        <f t="shared" si="4"/>
        <v>0</v>
      </c>
      <c r="M88" s="65" t="str">
        <f t="shared" si="3"/>
        <v>-</v>
      </c>
      <c r="N88" s="253"/>
      <c r="O88" s="254"/>
      <c r="P88" s="254"/>
      <c r="Q88" s="255"/>
      <c r="R88" s="48"/>
      <c r="S88" s="178">
        <v>1</v>
      </c>
      <c r="T88" s="178">
        <v>1</v>
      </c>
      <c r="U88" s="178">
        <v>1</v>
      </c>
      <c r="V88" s="178">
        <v>1</v>
      </c>
      <c r="W88" s="178">
        <v>1</v>
      </c>
      <c r="X88" s="178">
        <v>1</v>
      </c>
      <c r="Y88" s="178">
        <v>1</v>
      </c>
      <c r="Z88" s="178">
        <v>1</v>
      </c>
      <c r="AA88" s="178">
        <v>1</v>
      </c>
      <c r="AB88" s="178">
        <v>1</v>
      </c>
      <c r="AC88" s="178">
        <v>1</v>
      </c>
      <c r="AD88" s="178">
        <v>1</v>
      </c>
      <c r="AE88" s="178">
        <v>1</v>
      </c>
      <c r="AF88" s="178">
        <v>1</v>
      </c>
      <c r="AG88" s="178"/>
    </row>
    <row r="89" spans="2:33" ht="23.25" customHeight="1" x14ac:dyDescent="0.15">
      <c r="B89" s="49"/>
      <c r="C89" s="140"/>
      <c r="D89" s="325" t="s">
        <v>152</v>
      </c>
      <c r="E89" s="326"/>
      <c r="F89" s="326"/>
      <c r="G89" s="326"/>
      <c r="H89" s="141" t="s">
        <v>20</v>
      </c>
      <c r="I89" s="117"/>
      <c r="J89" s="142"/>
      <c r="K89" s="119" t="str">
        <f>IFERROR(J89/I89*100-100,"-")</f>
        <v>-</v>
      </c>
      <c r="L89" s="148">
        <f t="shared" si="4"/>
        <v>0</v>
      </c>
      <c r="M89" s="120" t="str">
        <f t="shared" ref="M89" si="7">IFERROR(ROUND((J89-I89)/($J$10-$I$10)*100,1),"-")</f>
        <v>-</v>
      </c>
      <c r="N89" s="327"/>
      <c r="O89" s="328"/>
      <c r="P89" s="328"/>
      <c r="Q89" s="329"/>
      <c r="S89" s="178">
        <v>1</v>
      </c>
      <c r="T89" s="178">
        <v>1</v>
      </c>
      <c r="U89" s="178">
        <v>1</v>
      </c>
      <c r="V89" s="178">
        <v>1</v>
      </c>
      <c r="W89" s="178">
        <v>1</v>
      </c>
      <c r="X89" s="178">
        <v>1</v>
      </c>
      <c r="Y89" s="178"/>
      <c r="Z89" s="178"/>
      <c r="AA89" s="178">
        <v>1</v>
      </c>
      <c r="AB89" s="178"/>
      <c r="AC89" s="178"/>
      <c r="AD89" s="178"/>
      <c r="AE89" s="178"/>
      <c r="AF89" s="178"/>
      <c r="AG89" s="178"/>
    </row>
    <row r="90" spans="2:33" ht="23.25" customHeight="1" x14ac:dyDescent="0.15">
      <c r="B90" s="28"/>
      <c r="C90" s="330" t="s">
        <v>158</v>
      </c>
      <c r="D90" s="331"/>
      <c r="E90" s="331"/>
      <c r="F90" s="331"/>
      <c r="G90" s="332"/>
      <c r="H90" s="30" t="s">
        <v>20</v>
      </c>
      <c r="I90" s="11"/>
      <c r="J90" s="12"/>
      <c r="K90" s="5" t="str">
        <f t="shared" si="1"/>
        <v>-</v>
      </c>
      <c r="L90" s="149">
        <f t="shared" si="4"/>
        <v>0</v>
      </c>
      <c r="M90" s="6" t="str">
        <f t="shared" ref="M90:M111" si="8">IFERROR(ROUND((J90-I90)/($J$90-$I$90)*100,1),"-")</f>
        <v>-</v>
      </c>
      <c r="N90" s="333"/>
      <c r="O90" s="334"/>
      <c r="P90" s="334"/>
      <c r="Q90" s="335"/>
      <c r="R90" s="4"/>
      <c r="S90" s="178">
        <v>1</v>
      </c>
      <c r="T90" s="178">
        <v>1</v>
      </c>
      <c r="U90" s="178">
        <v>1</v>
      </c>
      <c r="V90" s="178">
        <v>1</v>
      </c>
      <c r="W90" s="178">
        <v>1</v>
      </c>
      <c r="X90" s="178">
        <v>1</v>
      </c>
      <c r="Y90" s="178">
        <v>1</v>
      </c>
      <c r="Z90" s="178">
        <v>1</v>
      </c>
      <c r="AA90" s="178">
        <v>1</v>
      </c>
      <c r="AB90" s="178">
        <v>1</v>
      </c>
      <c r="AC90" s="178">
        <v>1</v>
      </c>
      <c r="AD90" s="178">
        <v>1</v>
      </c>
      <c r="AE90" s="178">
        <v>1</v>
      </c>
      <c r="AF90" s="178">
        <v>1</v>
      </c>
      <c r="AG90" s="178"/>
    </row>
    <row r="91" spans="2:33" ht="23.25" customHeight="1" x14ac:dyDescent="0.15">
      <c r="B91" s="28"/>
      <c r="C91" s="52"/>
      <c r="D91" s="256" t="s">
        <v>57</v>
      </c>
      <c r="E91" s="227"/>
      <c r="F91" s="227"/>
      <c r="G91" s="228"/>
      <c r="H91" s="61" t="s">
        <v>20</v>
      </c>
      <c r="I91" s="62"/>
      <c r="J91" s="63"/>
      <c r="K91" s="64" t="str">
        <f t="shared" si="1"/>
        <v>-</v>
      </c>
      <c r="L91" s="80">
        <f t="shared" si="4"/>
        <v>0</v>
      </c>
      <c r="M91" s="65" t="str">
        <f t="shared" si="8"/>
        <v>-</v>
      </c>
      <c r="N91" s="187"/>
      <c r="O91" s="188"/>
      <c r="P91" s="188"/>
      <c r="Q91" s="189"/>
      <c r="R91" s="4"/>
      <c r="S91" s="178">
        <v>1</v>
      </c>
      <c r="T91" s="178">
        <v>1</v>
      </c>
      <c r="U91" s="178">
        <v>1</v>
      </c>
      <c r="V91" s="178">
        <v>1</v>
      </c>
      <c r="W91" s="178">
        <v>1</v>
      </c>
      <c r="X91" s="178">
        <v>1</v>
      </c>
      <c r="Y91" s="178">
        <v>1</v>
      </c>
      <c r="Z91" s="178">
        <v>1</v>
      </c>
      <c r="AA91" s="178">
        <v>1</v>
      </c>
      <c r="AB91" s="178">
        <v>1</v>
      </c>
      <c r="AC91" s="178">
        <v>1</v>
      </c>
      <c r="AD91" s="178">
        <v>1</v>
      </c>
      <c r="AE91" s="178">
        <v>1</v>
      </c>
      <c r="AF91" s="178">
        <v>1</v>
      </c>
      <c r="AG91" s="178"/>
    </row>
    <row r="92" spans="2:33" ht="23.25" customHeight="1" x14ac:dyDescent="0.15">
      <c r="B92" s="28"/>
      <c r="C92" s="52"/>
      <c r="D92" s="256" t="s">
        <v>58</v>
      </c>
      <c r="E92" s="227"/>
      <c r="F92" s="227"/>
      <c r="G92" s="228"/>
      <c r="H92" s="61" t="s">
        <v>20</v>
      </c>
      <c r="I92" s="62"/>
      <c r="J92" s="63"/>
      <c r="K92" s="64" t="str">
        <f t="shared" ref="K92:K230" si="9">IFERROR(J92/I92*100-100,"-")</f>
        <v>-</v>
      </c>
      <c r="L92" s="80">
        <f t="shared" si="4"/>
        <v>0</v>
      </c>
      <c r="M92" s="65" t="str">
        <f t="shared" si="8"/>
        <v>-</v>
      </c>
      <c r="N92" s="253"/>
      <c r="O92" s="254"/>
      <c r="P92" s="254"/>
      <c r="Q92" s="255"/>
      <c r="R92" s="4"/>
      <c r="S92" s="178">
        <v>1</v>
      </c>
      <c r="T92" s="178">
        <v>1</v>
      </c>
      <c r="U92" s="178">
        <v>1</v>
      </c>
      <c r="V92" s="178">
        <v>1</v>
      </c>
      <c r="W92" s="178">
        <v>1</v>
      </c>
      <c r="X92" s="178">
        <v>1</v>
      </c>
      <c r="Y92" s="178">
        <v>1</v>
      </c>
      <c r="Z92" s="178">
        <v>1</v>
      </c>
      <c r="AA92" s="178"/>
      <c r="AB92" s="178"/>
      <c r="AC92" s="178"/>
      <c r="AD92" s="178"/>
      <c r="AE92" s="178"/>
      <c r="AF92" s="178"/>
      <c r="AG92" s="178"/>
    </row>
    <row r="93" spans="2:33" ht="23.25" customHeight="1" x14ac:dyDescent="0.15">
      <c r="B93" s="28"/>
      <c r="C93" s="52"/>
      <c r="D93" s="256" t="s">
        <v>59</v>
      </c>
      <c r="E93" s="227"/>
      <c r="F93" s="227"/>
      <c r="G93" s="228"/>
      <c r="H93" s="61" t="s">
        <v>20</v>
      </c>
      <c r="I93" s="62"/>
      <c r="J93" s="63"/>
      <c r="K93" s="64" t="str">
        <f t="shared" si="9"/>
        <v>-</v>
      </c>
      <c r="L93" s="80">
        <f t="shared" si="4"/>
        <v>0</v>
      </c>
      <c r="M93" s="65" t="str">
        <f t="shared" si="8"/>
        <v>-</v>
      </c>
      <c r="N93" s="253"/>
      <c r="O93" s="254"/>
      <c r="P93" s="254"/>
      <c r="Q93" s="255"/>
      <c r="R93" s="4"/>
      <c r="S93" s="178">
        <v>1</v>
      </c>
      <c r="T93" s="178"/>
      <c r="U93" s="178"/>
      <c r="V93" s="178"/>
      <c r="W93" s="178"/>
      <c r="X93" s="178"/>
      <c r="Y93" s="178"/>
      <c r="Z93" s="178"/>
      <c r="AA93" s="178">
        <v>1</v>
      </c>
      <c r="AB93" s="178">
        <v>1</v>
      </c>
      <c r="AC93" s="178">
        <v>1</v>
      </c>
      <c r="AD93" s="178">
        <v>1</v>
      </c>
      <c r="AE93" s="178">
        <v>1</v>
      </c>
      <c r="AF93" s="178">
        <v>1</v>
      </c>
      <c r="AG93" s="178"/>
    </row>
    <row r="94" spans="2:33" ht="23.25" customHeight="1" x14ac:dyDescent="0.15">
      <c r="B94" s="26"/>
      <c r="C94" s="52"/>
      <c r="D94" s="256" t="s">
        <v>60</v>
      </c>
      <c r="E94" s="227"/>
      <c r="F94" s="227"/>
      <c r="G94" s="228"/>
      <c r="H94" s="61" t="s">
        <v>20</v>
      </c>
      <c r="I94" s="62"/>
      <c r="J94" s="63"/>
      <c r="K94" s="64" t="str">
        <f t="shared" si="9"/>
        <v>-</v>
      </c>
      <c r="L94" s="80">
        <f t="shared" si="4"/>
        <v>0</v>
      </c>
      <c r="M94" s="65" t="str">
        <f t="shared" si="8"/>
        <v>-</v>
      </c>
      <c r="N94" s="253"/>
      <c r="O94" s="254"/>
      <c r="P94" s="254"/>
      <c r="Q94" s="255"/>
      <c r="R94" s="4"/>
      <c r="S94" s="178">
        <v>1</v>
      </c>
      <c r="T94" s="178">
        <v>1</v>
      </c>
      <c r="U94" s="178">
        <v>1</v>
      </c>
      <c r="V94" s="178">
        <v>1</v>
      </c>
      <c r="W94" s="178">
        <v>1</v>
      </c>
      <c r="X94" s="178">
        <v>1</v>
      </c>
      <c r="Y94" s="178">
        <v>1</v>
      </c>
      <c r="Z94" s="178">
        <v>1</v>
      </c>
      <c r="AA94" s="178"/>
      <c r="AB94" s="178"/>
      <c r="AC94" s="178"/>
      <c r="AD94" s="178"/>
      <c r="AE94" s="178"/>
      <c r="AF94" s="178"/>
      <c r="AG94" s="178"/>
    </row>
    <row r="95" spans="2:33" ht="23.25" customHeight="1" x14ac:dyDescent="0.15">
      <c r="B95" s="26"/>
      <c r="C95" s="52"/>
      <c r="D95" s="256" t="s">
        <v>61</v>
      </c>
      <c r="E95" s="227"/>
      <c r="F95" s="227"/>
      <c r="G95" s="228"/>
      <c r="H95" s="61" t="s">
        <v>20</v>
      </c>
      <c r="I95" s="62"/>
      <c r="J95" s="63"/>
      <c r="K95" s="64" t="str">
        <f t="shared" si="9"/>
        <v>-</v>
      </c>
      <c r="L95" s="80">
        <f t="shared" si="4"/>
        <v>0</v>
      </c>
      <c r="M95" s="65" t="str">
        <f t="shared" si="8"/>
        <v>-</v>
      </c>
      <c r="N95" s="253"/>
      <c r="O95" s="254"/>
      <c r="P95" s="254"/>
      <c r="Q95" s="255"/>
      <c r="R95" s="4"/>
      <c r="S95" s="178">
        <v>1</v>
      </c>
      <c r="T95" s="178"/>
      <c r="U95" s="178"/>
      <c r="V95" s="178"/>
      <c r="W95" s="178"/>
      <c r="X95" s="178"/>
      <c r="Y95" s="178"/>
      <c r="Z95" s="178"/>
      <c r="AA95" s="178">
        <v>1</v>
      </c>
      <c r="AB95" s="178">
        <v>1</v>
      </c>
      <c r="AC95" s="178">
        <v>1</v>
      </c>
      <c r="AD95" s="178">
        <v>1</v>
      </c>
      <c r="AE95" s="178">
        <v>1</v>
      </c>
      <c r="AF95" s="178">
        <v>1</v>
      </c>
      <c r="AG95" s="178"/>
    </row>
    <row r="96" spans="2:33" ht="23.25" customHeight="1" x14ac:dyDescent="0.15">
      <c r="B96" s="26"/>
      <c r="C96" s="52"/>
      <c r="D96" s="256" t="s">
        <v>62</v>
      </c>
      <c r="E96" s="227"/>
      <c r="F96" s="227"/>
      <c r="G96" s="228"/>
      <c r="H96" s="61" t="s">
        <v>20</v>
      </c>
      <c r="I96" s="62"/>
      <c r="J96" s="63"/>
      <c r="K96" s="64" t="str">
        <f t="shared" si="9"/>
        <v>-</v>
      </c>
      <c r="L96" s="80">
        <f t="shared" si="4"/>
        <v>0</v>
      </c>
      <c r="M96" s="65" t="str">
        <f t="shared" si="8"/>
        <v>-</v>
      </c>
      <c r="N96" s="253"/>
      <c r="O96" s="254"/>
      <c r="P96" s="254"/>
      <c r="Q96" s="255"/>
      <c r="R96" s="4"/>
      <c r="S96" s="178">
        <v>1</v>
      </c>
      <c r="T96" s="178">
        <v>1</v>
      </c>
      <c r="U96" s="178">
        <v>1</v>
      </c>
      <c r="V96" s="178">
        <v>1</v>
      </c>
      <c r="W96" s="178">
        <v>1</v>
      </c>
      <c r="X96" s="178">
        <v>1</v>
      </c>
      <c r="Y96" s="178">
        <v>1</v>
      </c>
      <c r="Z96" s="178">
        <v>1</v>
      </c>
      <c r="AA96" s="178">
        <v>1</v>
      </c>
      <c r="AB96" s="178">
        <v>1</v>
      </c>
      <c r="AC96" s="178">
        <v>1</v>
      </c>
      <c r="AD96" s="178">
        <v>1</v>
      </c>
      <c r="AE96" s="178">
        <v>1</v>
      </c>
      <c r="AF96" s="178">
        <v>1</v>
      </c>
      <c r="AG96" s="178"/>
    </row>
    <row r="97" spans="2:33" ht="23.25" customHeight="1" x14ac:dyDescent="0.15">
      <c r="B97" s="26"/>
      <c r="C97" s="52"/>
      <c r="D97" s="256" t="s">
        <v>63</v>
      </c>
      <c r="E97" s="243"/>
      <c r="F97" s="243"/>
      <c r="G97" s="244"/>
      <c r="H97" s="61" t="s">
        <v>20</v>
      </c>
      <c r="I97" s="62"/>
      <c r="J97" s="63"/>
      <c r="K97" s="64" t="str">
        <f t="shared" si="9"/>
        <v>-</v>
      </c>
      <c r="L97" s="80">
        <f t="shared" si="4"/>
        <v>0</v>
      </c>
      <c r="M97" s="65" t="str">
        <f t="shared" si="8"/>
        <v>-</v>
      </c>
      <c r="N97" s="253"/>
      <c r="O97" s="254"/>
      <c r="P97" s="254"/>
      <c r="Q97" s="255"/>
      <c r="R97" s="4"/>
      <c r="S97" s="178">
        <v>1</v>
      </c>
      <c r="T97" s="178">
        <v>1</v>
      </c>
      <c r="U97" s="178">
        <v>1</v>
      </c>
      <c r="V97" s="178">
        <v>1</v>
      </c>
      <c r="W97" s="178">
        <v>1</v>
      </c>
      <c r="X97" s="178">
        <v>1</v>
      </c>
      <c r="Y97" s="178">
        <v>1</v>
      </c>
      <c r="Z97" s="178">
        <v>1</v>
      </c>
      <c r="AA97" s="178">
        <v>1</v>
      </c>
      <c r="AB97" s="178">
        <v>1</v>
      </c>
      <c r="AC97" s="178">
        <v>1</v>
      </c>
      <c r="AD97" s="178">
        <v>1</v>
      </c>
      <c r="AE97" s="178">
        <v>1</v>
      </c>
      <c r="AF97" s="178">
        <v>1</v>
      </c>
      <c r="AG97" s="178"/>
    </row>
    <row r="98" spans="2:33" ht="23.25" customHeight="1" x14ac:dyDescent="0.15">
      <c r="B98" s="26"/>
      <c r="C98" s="52"/>
      <c r="D98" s="256" t="s">
        <v>64</v>
      </c>
      <c r="E98" s="227"/>
      <c r="F98" s="227"/>
      <c r="G98" s="228"/>
      <c r="H98" s="61" t="s">
        <v>20</v>
      </c>
      <c r="I98" s="62"/>
      <c r="J98" s="63"/>
      <c r="K98" s="64" t="str">
        <f t="shared" si="9"/>
        <v>-</v>
      </c>
      <c r="L98" s="80">
        <f t="shared" si="4"/>
        <v>0</v>
      </c>
      <c r="M98" s="65" t="str">
        <f t="shared" si="8"/>
        <v>-</v>
      </c>
      <c r="N98" s="253"/>
      <c r="O98" s="254"/>
      <c r="P98" s="254"/>
      <c r="Q98" s="255"/>
      <c r="R98" s="4"/>
      <c r="S98" s="178">
        <v>1</v>
      </c>
      <c r="T98" s="178">
        <v>1</v>
      </c>
      <c r="U98" s="178">
        <v>1</v>
      </c>
      <c r="V98" s="178">
        <v>1</v>
      </c>
      <c r="W98" s="178">
        <v>1</v>
      </c>
      <c r="X98" s="178">
        <v>1</v>
      </c>
      <c r="Y98" s="178">
        <v>1</v>
      </c>
      <c r="Z98" s="178">
        <v>1</v>
      </c>
      <c r="AA98" s="178">
        <v>1</v>
      </c>
      <c r="AB98" s="178">
        <v>1</v>
      </c>
      <c r="AC98" s="178">
        <v>1</v>
      </c>
      <c r="AD98" s="178">
        <v>1</v>
      </c>
      <c r="AE98" s="178">
        <v>1</v>
      </c>
      <c r="AF98" s="178">
        <v>1</v>
      </c>
      <c r="AG98" s="178"/>
    </row>
    <row r="99" spans="2:33" ht="23.25" customHeight="1" x14ac:dyDescent="0.15">
      <c r="B99" s="26"/>
      <c r="C99" s="52"/>
      <c r="D99" s="256" t="s">
        <v>65</v>
      </c>
      <c r="E99" s="227"/>
      <c r="F99" s="227"/>
      <c r="G99" s="228"/>
      <c r="H99" s="61" t="s">
        <v>20</v>
      </c>
      <c r="I99" s="62"/>
      <c r="J99" s="112"/>
      <c r="K99" s="64" t="str">
        <f t="shared" si="9"/>
        <v>-</v>
      </c>
      <c r="L99" s="80">
        <f t="shared" si="4"/>
        <v>0</v>
      </c>
      <c r="M99" s="65" t="str">
        <f t="shared" si="8"/>
        <v>-</v>
      </c>
      <c r="N99" s="187"/>
      <c r="O99" s="188"/>
      <c r="P99" s="188"/>
      <c r="Q99" s="189"/>
      <c r="R99" s="4"/>
      <c r="S99" s="178">
        <v>1</v>
      </c>
      <c r="T99" s="178">
        <v>1</v>
      </c>
      <c r="U99" s="178">
        <v>1</v>
      </c>
      <c r="V99" s="178">
        <v>1</v>
      </c>
      <c r="W99" s="178">
        <v>1</v>
      </c>
      <c r="X99" s="178">
        <v>1</v>
      </c>
      <c r="Y99" s="178">
        <v>1</v>
      </c>
      <c r="Z99" s="178">
        <v>1</v>
      </c>
      <c r="AA99" s="178">
        <v>1</v>
      </c>
      <c r="AB99" s="178">
        <v>1</v>
      </c>
      <c r="AC99" s="178">
        <v>1</v>
      </c>
      <c r="AD99" s="178">
        <v>1</v>
      </c>
      <c r="AE99" s="178">
        <v>1</v>
      </c>
      <c r="AF99" s="178">
        <v>1</v>
      </c>
      <c r="AG99" s="178"/>
    </row>
    <row r="100" spans="2:33" ht="23.25" customHeight="1" x14ac:dyDescent="0.15">
      <c r="B100" s="26"/>
      <c r="C100" s="66"/>
      <c r="D100" s="256" t="s">
        <v>66</v>
      </c>
      <c r="E100" s="227"/>
      <c r="F100" s="227"/>
      <c r="G100" s="228"/>
      <c r="H100" s="61" t="s">
        <v>20</v>
      </c>
      <c r="I100" s="62"/>
      <c r="J100" s="112"/>
      <c r="K100" s="64" t="str">
        <f t="shared" si="9"/>
        <v>-</v>
      </c>
      <c r="L100" s="80">
        <f t="shared" si="4"/>
        <v>0</v>
      </c>
      <c r="M100" s="65" t="str">
        <f t="shared" si="8"/>
        <v>-</v>
      </c>
      <c r="N100" s="253"/>
      <c r="O100" s="254"/>
      <c r="P100" s="254"/>
      <c r="Q100" s="255"/>
      <c r="R100" s="4"/>
      <c r="S100" s="178">
        <v>1</v>
      </c>
      <c r="T100" s="178">
        <v>1</v>
      </c>
      <c r="U100" s="178">
        <v>1</v>
      </c>
      <c r="V100" s="178">
        <v>1</v>
      </c>
      <c r="W100" s="178">
        <v>1</v>
      </c>
      <c r="X100" s="178">
        <v>1</v>
      </c>
      <c r="Y100" s="178">
        <v>1</v>
      </c>
      <c r="Z100" s="178">
        <v>1</v>
      </c>
      <c r="AA100" s="178">
        <v>1</v>
      </c>
      <c r="AB100" s="178">
        <v>1</v>
      </c>
      <c r="AC100" s="178">
        <v>1</v>
      </c>
      <c r="AD100" s="178">
        <v>1</v>
      </c>
      <c r="AE100" s="178">
        <v>1</v>
      </c>
      <c r="AF100" s="178">
        <v>1</v>
      </c>
      <c r="AG100" s="178"/>
    </row>
    <row r="101" spans="2:33" ht="23.25" customHeight="1" x14ac:dyDescent="0.15">
      <c r="B101" s="26"/>
      <c r="C101" s="66"/>
      <c r="D101" s="256" t="s">
        <v>159</v>
      </c>
      <c r="E101" s="227"/>
      <c r="F101" s="227"/>
      <c r="G101" s="228"/>
      <c r="H101" s="61" t="s">
        <v>20</v>
      </c>
      <c r="I101" s="62"/>
      <c r="J101" s="112"/>
      <c r="K101" s="64" t="str">
        <f t="shared" si="9"/>
        <v>-</v>
      </c>
      <c r="L101" s="80">
        <f t="shared" si="4"/>
        <v>0</v>
      </c>
      <c r="M101" s="65" t="str">
        <f t="shared" si="8"/>
        <v>-</v>
      </c>
      <c r="N101" s="253"/>
      <c r="O101" s="254"/>
      <c r="P101" s="254"/>
      <c r="Q101" s="255"/>
      <c r="R101" s="4"/>
      <c r="S101" s="178">
        <v>1</v>
      </c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</row>
    <row r="102" spans="2:33" ht="23.25" customHeight="1" x14ac:dyDescent="0.15">
      <c r="B102" s="26"/>
      <c r="C102" s="52"/>
      <c r="D102" s="256" t="s">
        <v>67</v>
      </c>
      <c r="E102" s="227"/>
      <c r="F102" s="227"/>
      <c r="G102" s="228"/>
      <c r="H102" s="61" t="s">
        <v>20</v>
      </c>
      <c r="I102" s="62"/>
      <c r="J102" s="63"/>
      <c r="K102" s="64" t="str">
        <f t="shared" si="9"/>
        <v>-</v>
      </c>
      <c r="L102" s="80">
        <f t="shared" si="4"/>
        <v>0</v>
      </c>
      <c r="M102" s="65" t="str">
        <f t="shared" si="8"/>
        <v>-</v>
      </c>
      <c r="N102" s="190"/>
      <c r="O102" s="191"/>
      <c r="P102" s="191"/>
      <c r="Q102" s="192"/>
      <c r="R102" s="4"/>
      <c r="S102" s="178">
        <v>1</v>
      </c>
      <c r="T102" s="178">
        <v>1</v>
      </c>
      <c r="U102" s="178">
        <v>1</v>
      </c>
      <c r="V102" s="178">
        <v>1</v>
      </c>
      <c r="W102" s="178">
        <v>1</v>
      </c>
      <c r="X102" s="178">
        <v>1</v>
      </c>
      <c r="Y102" s="178">
        <v>1</v>
      </c>
      <c r="Z102" s="178">
        <v>1</v>
      </c>
      <c r="AA102" s="178">
        <v>1</v>
      </c>
      <c r="AB102" s="178">
        <v>1</v>
      </c>
      <c r="AC102" s="178">
        <v>1</v>
      </c>
      <c r="AD102" s="178">
        <v>1</v>
      </c>
      <c r="AE102" s="178">
        <v>1</v>
      </c>
      <c r="AF102" s="178">
        <v>1</v>
      </c>
      <c r="AG102" s="178"/>
    </row>
    <row r="103" spans="2:33" ht="23.25" customHeight="1" x14ac:dyDescent="0.15">
      <c r="B103" s="26"/>
      <c r="C103" s="66"/>
      <c r="D103" s="256" t="s">
        <v>160</v>
      </c>
      <c r="E103" s="227"/>
      <c r="F103" s="227"/>
      <c r="G103" s="228"/>
      <c r="H103" s="61" t="s">
        <v>20</v>
      </c>
      <c r="I103" s="62"/>
      <c r="J103" s="112"/>
      <c r="K103" s="64" t="str">
        <f t="shared" si="9"/>
        <v>-</v>
      </c>
      <c r="L103" s="80">
        <f t="shared" si="4"/>
        <v>0</v>
      </c>
      <c r="M103" s="65" t="str">
        <f t="shared" si="8"/>
        <v>-</v>
      </c>
      <c r="N103" s="253"/>
      <c r="O103" s="254"/>
      <c r="P103" s="254"/>
      <c r="Q103" s="255"/>
      <c r="R103" s="4"/>
      <c r="S103" s="178">
        <v>1</v>
      </c>
      <c r="T103" s="178">
        <v>1</v>
      </c>
      <c r="U103" s="178">
        <v>1</v>
      </c>
      <c r="V103" s="178">
        <v>1</v>
      </c>
      <c r="W103" s="178">
        <v>1</v>
      </c>
      <c r="X103" s="178">
        <v>1</v>
      </c>
      <c r="Y103" s="178">
        <v>1</v>
      </c>
      <c r="Z103" s="178">
        <v>1</v>
      </c>
      <c r="AA103" s="179"/>
      <c r="AB103" s="179"/>
      <c r="AC103" s="179"/>
      <c r="AD103" s="179"/>
      <c r="AE103" s="179"/>
      <c r="AF103" s="179"/>
      <c r="AG103" s="179"/>
    </row>
    <row r="104" spans="2:33" ht="23.25" customHeight="1" x14ac:dyDescent="0.15">
      <c r="B104" s="26"/>
      <c r="C104" s="66"/>
      <c r="D104" s="256" t="s">
        <v>161</v>
      </c>
      <c r="E104" s="227"/>
      <c r="F104" s="227"/>
      <c r="G104" s="228"/>
      <c r="H104" s="61" t="s">
        <v>20</v>
      </c>
      <c r="I104" s="62"/>
      <c r="J104" s="112"/>
      <c r="K104" s="64" t="str">
        <f t="shared" si="9"/>
        <v>-</v>
      </c>
      <c r="L104" s="80">
        <f t="shared" si="4"/>
        <v>0</v>
      </c>
      <c r="M104" s="65" t="str">
        <f t="shared" si="8"/>
        <v>-</v>
      </c>
      <c r="N104" s="253"/>
      <c r="O104" s="254"/>
      <c r="P104" s="254"/>
      <c r="Q104" s="255"/>
      <c r="R104" s="4"/>
      <c r="S104" s="178">
        <v>1</v>
      </c>
      <c r="T104" s="178">
        <v>1</v>
      </c>
      <c r="U104" s="178">
        <v>1</v>
      </c>
      <c r="V104" s="178">
        <v>1</v>
      </c>
      <c r="W104" s="178">
        <v>1</v>
      </c>
      <c r="X104" s="178">
        <v>1</v>
      </c>
      <c r="Y104" s="178">
        <v>1</v>
      </c>
      <c r="Z104" s="178">
        <v>1</v>
      </c>
      <c r="AA104" s="178">
        <v>1</v>
      </c>
      <c r="AB104" s="178">
        <v>1</v>
      </c>
      <c r="AC104" s="178">
        <v>1</v>
      </c>
      <c r="AD104" s="178">
        <v>1</v>
      </c>
      <c r="AE104" s="178">
        <v>1</v>
      </c>
      <c r="AF104" s="178">
        <v>1</v>
      </c>
      <c r="AG104" s="178"/>
    </row>
    <row r="105" spans="2:33" ht="23.25" customHeight="1" x14ac:dyDescent="0.15">
      <c r="B105" s="26"/>
      <c r="C105" s="66"/>
      <c r="D105" s="256" t="s">
        <v>162</v>
      </c>
      <c r="E105" s="227"/>
      <c r="F105" s="227"/>
      <c r="G105" s="228"/>
      <c r="H105" s="61" t="s">
        <v>20</v>
      </c>
      <c r="I105" s="62"/>
      <c r="J105" s="112"/>
      <c r="K105" s="64" t="str">
        <f t="shared" si="9"/>
        <v>-</v>
      </c>
      <c r="L105" s="80">
        <f t="shared" si="4"/>
        <v>0</v>
      </c>
      <c r="M105" s="65" t="str">
        <f t="shared" si="8"/>
        <v>-</v>
      </c>
      <c r="N105" s="253"/>
      <c r="O105" s="254"/>
      <c r="P105" s="254"/>
      <c r="Q105" s="255"/>
      <c r="R105" s="4"/>
      <c r="S105" s="178">
        <v>1</v>
      </c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</row>
    <row r="106" spans="2:33" ht="23.25" customHeight="1" x14ac:dyDescent="0.15">
      <c r="B106" s="26"/>
      <c r="C106" s="52"/>
      <c r="D106" s="305" t="s">
        <v>68</v>
      </c>
      <c r="E106" s="285"/>
      <c r="F106" s="285"/>
      <c r="G106" s="286"/>
      <c r="H106" s="61" t="s">
        <v>20</v>
      </c>
      <c r="I106" s="62"/>
      <c r="J106" s="63"/>
      <c r="K106" s="64" t="str">
        <f t="shared" si="9"/>
        <v>-</v>
      </c>
      <c r="L106" s="80">
        <f t="shared" si="4"/>
        <v>0</v>
      </c>
      <c r="M106" s="65" t="str">
        <f t="shared" si="8"/>
        <v>-</v>
      </c>
      <c r="N106" s="187"/>
      <c r="O106" s="188"/>
      <c r="P106" s="188"/>
      <c r="Q106" s="189"/>
      <c r="R106" s="4"/>
      <c r="S106" s="178">
        <v>1</v>
      </c>
      <c r="T106" s="178">
        <v>1</v>
      </c>
      <c r="U106" s="178">
        <v>1</v>
      </c>
      <c r="V106" s="178">
        <v>1</v>
      </c>
      <c r="W106" s="178">
        <v>1</v>
      </c>
      <c r="X106" s="178">
        <v>1</v>
      </c>
      <c r="Y106" s="178">
        <v>1</v>
      </c>
      <c r="Z106" s="178">
        <v>1</v>
      </c>
      <c r="AA106" s="178">
        <v>1</v>
      </c>
      <c r="AB106" s="178">
        <v>1</v>
      </c>
      <c r="AC106" s="178">
        <v>1</v>
      </c>
      <c r="AD106" s="178">
        <v>1</v>
      </c>
      <c r="AE106" s="178">
        <v>1</v>
      </c>
      <c r="AF106" s="178">
        <v>1</v>
      </c>
      <c r="AG106" s="178"/>
    </row>
    <row r="107" spans="2:33" ht="23.25" customHeight="1" x14ac:dyDescent="0.15">
      <c r="B107" s="26"/>
      <c r="C107" s="66"/>
      <c r="D107" s="306" t="s">
        <v>163</v>
      </c>
      <c r="E107" s="227"/>
      <c r="F107" s="227"/>
      <c r="G107" s="228"/>
      <c r="H107" s="61" t="s">
        <v>20</v>
      </c>
      <c r="I107" s="62"/>
      <c r="J107" s="112"/>
      <c r="K107" s="64" t="str">
        <f t="shared" si="9"/>
        <v>-</v>
      </c>
      <c r="L107" s="80">
        <f t="shared" si="4"/>
        <v>0</v>
      </c>
      <c r="M107" s="65" t="str">
        <f t="shared" si="8"/>
        <v>-</v>
      </c>
      <c r="N107" s="253"/>
      <c r="O107" s="254"/>
      <c r="P107" s="254"/>
      <c r="Q107" s="255"/>
      <c r="R107" s="4"/>
      <c r="S107" s="178">
        <v>1</v>
      </c>
      <c r="T107" s="178">
        <v>1</v>
      </c>
      <c r="U107" s="178">
        <v>1</v>
      </c>
      <c r="V107" s="178">
        <v>1</v>
      </c>
      <c r="W107" s="178">
        <v>1</v>
      </c>
      <c r="X107" s="178">
        <v>1</v>
      </c>
      <c r="Y107" s="178">
        <v>1</v>
      </c>
      <c r="Z107" s="178">
        <v>1</v>
      </c>
      <c r="AA107" s="178">
        <v>1</v>
      </c>
      <c r="AB107" s="178">
        <v>1</v>
      </c>
      <c r="AC107" s="178">
        <v>1</v>
      </c>
      <c r="AD107" s="178">
        <v>1</v>
      </c>
      <c r="AE107" s="178">
        <v>1</v>
      </c>
      <c r="AF107" s="178">
        <v>1</v>
      </c>
      <c r="AG107" s="178"/>
    </row>
    <row r="108" spans="2:33" ht="23.25" customHeight="1" x14ac:dyDescent="0.15">
      <c r="B108" s="26"/>
      <c r="C108" s="66"/>
      <c r="D108" s="113"/>
      <c r="E108" s="227" t="s">
        <v>164</v>
      </c>
      <c r="F108" s="227"/>
      <c r="G108" s="228"/>
      <c r="H108" s="61" t="s">
        <v>20</v>
      </c>
      <c r="I108" s="62"/>
      <c r="J108" s="112"/>
      <c r="K108" s="64" t="str">
        <f t="shared" si="9"/>
        <v>-</v>
      </c>
      <c r="L108" s="80">
        <f t="shared" si="4"/>
        <v>0</v>
      </c>
      <c r="M108" s="65" t="str">
        <f t="shared" si="8"/>
        <v>-</v>
      </c>
      <c r="N108" s="253"/>
      <c r="O108" s="254"/>
      <c r="P108" s="254"/>
      <c r="Q108" s="255"/>
      <c r="R108" s="4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</row>
    <row r="109" spans="2:33" ht="23.25" customHeight="1" x14ac:dyDescent="0.15">
      <c r="B109" s="26"/>
      <c r="C109" s="114"/>
      <c r="D109" s="256" t="s">
        <v>69</v>
      </c>
      <c r="E109" s="227"/>
      <c r="F109" s="227"/>
      <c r="G109" s="228"/>
      <c r="H109" s="61" t="s">
        <v>20</v>
      </c>
      <c r="I109" s="62"/>
      <c r="J109" s="63"/>
      <c r="K109" s="64" t="str">
        <f t="shared" si="9"/>
        <v>-</v>
      </c>
      <c r="L109" s="80">
        <f t="shared" si="4"/>
        <v>0</v>
      </c>
      <c r="M109" s="65" t="str">
        <f t="shared" si="8"/>
        <v>-</v>
      </c>
      <c r="N109" s="187"/>
      <c r="O109" s="188"/>
      <c r="P109" s="188"/>
      <c r="Q109" s="189"/>
      <c r="R109" s="4"/>
      <c r="S109" s="178">
        <v>1</v>
      </c>
      <c r="T109" s="178">
        <v>1</v>
      </c>
      <c r="U109" s="178">
        <v>1</v>
      </c>
      <c r="V109" s="178">
        <v>1</v>
      </c>
      <c r="W109" s="178">
        <v>1</v>
      </c>
      <c r="X109" s="178">
        <v>1</v>
      </c>
      <c r="Y109" s="178">
        <v>1</v>
      </c>
      <c r="Z109" s="178">
        <v>1</v>
      </c>
      <c r="AA109" s="178">
        <v>1</v>
      </c>
      <c r="AB109" s="178">
        <v>1</v>
      </c>
      <c r="AC109" s="178">
        <v>1</v>
      </c>
      <c r="AD109" s="178">
        <v>1</v>
      </c>
      <c r="AE109" s="178">
        <v>1</v>
      </c>
      <c r="AF109" s="178">
        <v>1</v>
      </c>
      <c r="AG109" s="178"/>
    </row>
    <row r="110" spans="2:33" ht="23.25" customHeight="1" x14ac:dyDescent="0.15">
      <c r="B110" s="26"/>
      <c r="C110" s="66"/>
      <c r="D110" s="256" t="s">
        <v>165</v>
      </c>
      <c r="E110" s="227"/>
      <c r="F110" s="227"/>
      <c r="G110" s="228"/>
      <c r="H110" s="61" t="s">
        <v>20</v>
      </c>
      <c r="I110" s="62"/>
      <c r="J110" s="112"/>
      <c r="K110" s="64" t="str">
        <f t="shared" si="9"/>
        <v>-</v>
      </c>
      <c r="L110" s="80">
        <f t="shared" si="4"/>
        <v>0</v>
      </c>
      <c r="M110" s="65" t="str">
        <f t="shared" si="8"/>
        <v>-</v>
      </c>
      <c r="N110" s="253"/>
      <c r="O110" s="254"/>
      <c r="P110" s="254"/>
      <c r="Q110" s="255"/>
      <c r="R110" s="4"/>
      <c r="S110" s="178">
        <v>1</v>
      </c>
      <c r="T110" s="178">
        <v>1</v>
      </c>
      <c r="U110" s="178">
        <v>1</v>
      </c>
      <c r="V110" s="178">
        <v>1</v>
      </c>
      <c r="W110" s="178">
        <v>1</v>
      </c>
      <c r="X110" s="178">
        <v>1</v>
      </c>
      <c r="Y110" s="178">
        <v>1</v>
      </c>
      <c r="Z110" s="178">
        <v>1</v>
      </c>
      <c r="AA110" s="178">
        <v>1</v>
      </c>
      <c r="AB110" s="178">
        <v>1</v>
      </c>
      <c r="AC110" s="178">
        <v>1</v>
      </c>
      <c r="AD110" s="178">
        <v>1</v>
      </c>
      <c r="AE110" s="178">
        <v>1</v>
      </c>
      <c r="AF110" s="178">
        <v>1</v>
      </c>
      <c r="AG110" s="178"/>
    </row>
    <row r="111" spans="2:33" ht="23.25" customHeight="1" x14ac:dyDescent="0.15">
      <c r="B111" s="26"/>
      <c r="C111" s="115"/>
      <c r="D111" s="316" t="s">
        <v>166</v>
      </c>
      <c r="E111" s="317"/>
      <c r="F111" s="317"/>
      <c r="G111" s="318"/>
      <c r="H111" s="116" t="s">
        <v>20</v>
      </c>
      <c r="I111" s="117"/>
      <c r="J111" s="118"/>
      <c r="K111" s="119" t="str">
        <f t="shared" si="9"/>
        <v>-</v>
      </c>
      <c r="L111" s="148">
        <f t="shared" si="4"/>
        <v>0</v>
      </c>
      <c r="M111" s="120" t="str">
        <f t="shared" si="8"/>
        <v>-</v>
      </c>
      <c r="N111" s="319"/>
      <c r="O111" s="320"/>
      <c r="P111" s="320"/>
      <c r="Q111" s="321"/>
      <c r="R111" s="4"/>
      <c r="S111" s="179"/>
      <c r="T111" s="179"/>
      <c r="U111" s="179"/>
      <c r="V111" s="179"/>
      <c r="W111" s="179"/>
      <c r="X111" s="179"/>
      <c r="Y111" s="179"/>
      <c r="Z111" s="179"/>
      <c r="AA111" s="178">
        <v>1</v>
      </c>
      <c r="AB111" s="178">
        <v>1</v>
      </c>
      <c r="AC111" s="179"/>
      <c r="AD111" s="179"/>
      <c r="AE111" s="179"/>
      <c r="AF111" s="179"/>
      <c r="AG111" s="179"/>
    </row>
    <row r="112" spans="2:33" ht="23.25" customHeight="1" thickBot="1" x14ac:dyDescent="0.2">
      <c r="B112" s="26"/>
      <c r="C112" s="307" t="s">
        <v>167</v>
      </c>
      <c r="D112" s="308"/>
      <c r="E112" s="308"/>
      <c r="F112" s="308"/>
      <c r="G112" s="309"/>
      <c r="H112" s="31" t="s">
        <v>20</v>
      </c>
      <c r="I112" s="32"/>
      <c r="J112" s="33"/>
      <c r="K112" s="34" t="str">
        <f t="shared" si="9"/>
        <v>-</v>
      </c>
      <c r="L112" s="150">
        <f t="shared" si="4"/>
        <v>0</v>
      </c>
      <c r="M112" s="35"/>
      <c r="N112" s="310"/>
      <c r="O112" s="311"/>
      <c r="P112" s="311"/>
      <c r="Q112" s="312"/>
      <c r="R112" s="4"/>
      <c r="S112" s="178">
        <v>1</v>
      </c>
      <c r="T112" s="178">
        <v>1</v>
      </c>
      <c r="U112" s="178">
        <v>1</v>
      </c>
      <c r="V112" s="178">
        <v>1</v>
      </c>
      <c r="W112" s="178">
        <v>1</v>
      </c>
      <c r="X112" s="178">
        <v>1</v>
      </c>
      <c r="Y112" s="178">
        <v>1</v>
      </c>
      <c r="Z112" s="178">
        <v>1</v>
      </c>
      <c r="AA112" s="178">
        <v>1</v>
      </c>
      <c r="AB112" s="178">
        <v>1</v>
      </c>
      <c r="AC112" s="178">
        <v>1</v>
      </c>
      <c r="AD112" s="178">
        <v>1</v>
      </c>
      <c r="AE112" s="178">
        <v>1</v>
      </c>
      <c r="AF112" s="178">
        <v>1</v>
      </c>
      <c r="AG112" s="178"/>
    </row>
    <row r="113" spans="2:33" ht="23.25" customHeight="1" x14ac:dyDescent="0.15">
      <c r="B113" s="26"/>
      <c r="C113" s="313" t="s">
        <v>70</v>
      </c>
      <c r="D113" s="314"/>
      <c r="E113" s="314"/>
      <c r="F113" s="314"/>
      <c r="G113" s="315"/>
      <c r="H113" s="54" t="s">
        <v>20</v>
      </c>
      <c r="I113" s="55"/>
      <c r="J113" s="56"/>
      <c r="K113" s="57" t="str">
        <f t="shared" si="9"/>
        <v>-</v>
      </c>
      <c r="L113" s="147">
        <f t="shared" si="4"/>
        <v>0</v>
      </c>
      <c r="M113" s="58"/>
      <c r="N113" s="205"/>
      <c r="O113" s="206"/>
      <c r="P113" s="206"/>
      <c r="Q113" s="207"/>
      <c r="R113" s="4"/>
      <c r="S113" s="178">
        <v>1</v>
      </c>
      <c r="T113" s="178">
        <v>1</v>
      </c>
      <c r="U113" s="178">
        <v>1</v>
      </c>
      <c r="V113" s="178">
        <v>1</v>
      </c>
      <c r="W113" s="178">
        <v>1</v>
      </c>
      <c r="X113" s="178">
        <v>1</v>
      </c>
      <c r="Y113" s="178">
        <v>1</v>
      </c>
      <c r="Z113" s="178">
        <v>1</v>
      </c>
      <c r="AA113" s="178">
        <v>1</v>
      </c>
      <c r="AB113" s="178">
        <v>1</v>
      </c>
      <c r="AC113" s="178">
        <v>1</v>
      </c>
      <c r="AD113" s="178">
        <v>1</v>
      </c>
      <c r="AE113" s="178">
        <v>1</v>
      </c>
      <c r="AF113" s="178">
        <v>1</v>
      </c>
      <c r="AG113" s="178"/>
    </row>
    <row r="114" spans="2:33" ht="23.25" customHeight="1" x14ac:dyDescent="0.15">
      <c r="B114" s="26"/>
      <c r="C114" s="59"/>
      <c r="D114" s="256" t="s">
        <v>168</v>
      </c>
      <c r="E114" s="227"/>
      <c r="F114" s="227"/>
      <c r="G114" s="228"/>
      <c r="H114" s="61" t="s">
        <v>20</v>
      </c>
      <c r="I114" s="62"/>
      <c r="J114" s="63"/>
      <c r="K114" s="64" t="str">
        <f t="shared" si="9"/>
        <v>-</v>
      </c>
      <c r="L114" s="80">
        <f t="shared" si="4"/>
        <v>0</v>
      </c>
      <c r="M114" s="65"/>
      <c r="N114" s="187"/>
      <c r="O114" s="188"/>
      <c r="P114" s="188"/>
      <c r="Q114" s="189"/>
      <c r="R114" s="4"/>
      <c r="S114" s="178">
        <v>1</v>
      </c>
      <c r="T114" s="178">
        <v>1</v>
      </c>
      <c r="U114" s="178">
        <v>1</v>
      </c>
      <c r="V114" s="178">
        <v>1</v>
      </c>
      <c r="W114" s="178">
        <v>1</v>
      </c>
      <c r="X114" s="178">
        <v>1</v>
      </c>
      <c r="Y114" s="178">
        <v>1</v>
      </c>
      <c r="Z114" s="178">
        <v>1</v>
      </c>
      <c r="AA114" s="178">
        <v>1</v>
      </c>
      <c r="AB114" s="178">
        <v>1</v>
      </c>
      <c r="AC114" s="178">
        <v>1</v>
      </c>
      <c r="AD114" s="178">
        <v>1</v>
      </c>
      <c r="AE114" s="178">
        <v>1</v>
      </c>
      <c r="AF114" s="178">
        <v>1</v>
      </c>
      <c r="AG114" s="178"/>
    </row>
    <row r="115" spans="2:33" ht="23.25" customHeight="1" x14ac:dyDescent="0.15">
      <c r="B115" s="26"/>
      <c r="C115" s="66"/>
      <c r="D115" s="256" t="s">
        <v>169</v>
      </c>
      <c r="E115" s="227"/>
      <c r="F115" s="227"/>
      <c r="G115" s="228"/>
      <c r="H115" s="61" t="s">
        <v>20</v>
      </c>
      <c r="I115" s="62"/>
      <c r="J115" s="63"/>
      <c r="K115" s="64" t="str">
        <f t="shared" si="9"/>
        <v>-</v>
      </c>
      <c r="L115" s="80">
        <f t="shared" si="4"/>
        <v>0</v>
      </c>
      <c r="M115" s="65"/>
      <c r="N115" s="187"/>
      <c r="O115" s="188"/>
      <c r="P115" s="188"/>
      <c r="Q115" s="189"/>
      <c r="R115" s="4"/>
      <c r="S115" s="178">
        <v>1</v>
      </c>
      <c r="T115" s="178">
        <v>1</v>
      </c>
      <c r="U115" s="178">
        <v>1</v>
      </c>
      <c r="V115" s="178">
        <v>1</v>
      </c>
      <c r="W115" s="178">
        <v>1</v>
      </c>
      <c r="X115" s="178">
        <v>1</v>
      </c>
      <c r="Y115" s="178">
        <v>1</v>
      </c>
      <c r="Z115" s="178">
        <v>1</v>
      </c>
      <c r="AA115" s="178">
        <v>1</v>
      </c>
      <c r="AB115" s="178">
        <v>1</v>
      </c>
      <c r="AC115" s="178">
        <v>1</v>
      </c>
      <c r="AD115" s="178">
        <v>1</v>
      </c>
      <c r="AE115" s="178">
        <v>1</v>
      </c>
      <c r="AF115" s="178">
        <v>1</v>
      </c>
      <c r="AG115" s="178"/>
    </row>
    <row r="116" spans="2:33" ht="23.25" customHeight="1" x14ac:dyDescent="0.15">
      <c r="B116" s="26"/>
      <c r="C116" s="66"/>
      <c r="D116" s="256" t="s">
        <v>170</v>
      </c>
      <c r="E116" s="227"/>
      <c r="F116" s="227"/>
      <c r="G116" s="228"/>
      <c r="H116" s="61" t="s">
        <v>20</v>
      </c>
      <c r="I116" s="62"/>
      <c r="J116" s="63"/>
      <c r="K116" s="64" t="str">
        <f t="shared" si="9"/>
        <v>-</v>
      </c>
      <c r="L116" s="80">
        <f t="shared" si="4"/>
        <v>0</v>
      </c>
      <c r="M116" s="65"/>
      <c r="N116" s="187"/>
      <c r="O116" s="188"/>
      <c r="P116" s="188"/>
      <c r="Q116" s="189"/>
      <c r="R116" s="4"/>
      <c r="S116" s="178">
        <v>1</v>
      </c>
      <c r="T116" s="178">
        <v>1</v>
      </c>
      <c r="U116" s="178">
        <v>1</v>
      </c>
      <c r="V116" s="178">
        <v>1</v>
      </c>
      <c r="W116" s="178">
        <v>1</v>
      </c>
      <c r="X116" s="178">
        <v>1</v>
      </c>
      <c r="Y116" s="178">
        <v>1</v>
      </c>
      <c r="Z116" s="178">
        <v>1</v>
      </c>
      <c r="AA116" s="178">
        <v>1</v>
      </c>
      <c r="AB116" s="178">
        <v>1</v>
      </c>
      <c r="AC116" s="178">
        <v>1</v>
      </c>
      <c r="AD116" s="178">
        <v>1</v>
      </c>
      <c r="AE116" s="178">
        <v>1</v>
      </c>
      <c r="AF116" s="178">
        <v>1</v>
      </c>
      <c r="AG116" s="178"/>
    </row>
    <row r="117" spans="2:33" ht="23.25" customHeight="1" x14ac:dyDescent="0.15">
      <c r="B117" s="26"/>
      <c r="C117" s="303" t="s">
        <v>71</v>
      </c>
      <c r="D117" s="227"/>
      <c r="E117" s="227"/>
      <c r="F117" s="227"/>
      <c r="G117" s="228"/>
      <c r="H117" s="61" t="s">
        <v>20</v>
      </c>
      <c r="I117" s="62"/>
      <c r="J117" s="63"/>
      <c r="K117" s="64" t="str">
        <f t="shared" si="9"/>
        <v>-</v>
      </c>
      <c r="L117" s="80">
        <f t="shared" si="4"/>
        <v>0</v>
      </c>
      <c r="M117" s="65"/>
      <c r="N117" s="187"/>
      <c r="O117" s="188"/>
      <c r="P117" s="188"/>
      <c r="Q117" s="189"/>
      <c r="R117" s="4"/>
      <c r="S117" s="178">
        <v>1</v>
      </c>
      <c r="T117" s="178">
        <v>1</v>
      </c>
      <c r="U117" s="178">
        <v>1</v>
      </c>
      <c r="V117" s="178">
        <v>1</v>
      </c>
      <c r="W117" s="178">
        <v>1</v>
      </c>
      <c r="X117" s="178">
        <v>1</v>
      </c>
      <c r="Y117" s="178">
        <v>1</v>
      </c>
      <c r="Z117" s="178">
        <v>1</v>
      </c>
      <c r="AA117" s="178">
        <v>1</v>
      </c>
      <c r="AB117" s="178">
        <v>1</v>
      </c>
      <c r="AC117" s="178">
        <v>1</v>
      </c>
      <c r="AD117" s="178">
        <v>1</v>
      </c>
      <c r="AE117" s="178">
        <v>1</v>
      </c>
      <c r="AF117" s="178">
        <v>1</v>
      </c>
      <c r="AG117" s="178"/>
    </row>
    <row r="118" spans="2:33" ht="23.25" customHeight="1" x14ac:dyDescent="0.15">
      <c r="B118" s="26"/>
      <c r="C118" s="59"/>
      <c r="D118" s="256" t="s">
        <v>171</v>
      </c>
      <c r="E118" s="227"/>
      <c r="F118" s="227"/>
      <c r="G118" s="228"/>
      <c r="H118" s="61" t="s">
        <v>20</v>
      </c>
      <c r="I118" s="62"/>
      <c r="J118" s="63"/>
      <c r="K118" s="64" t="str">
        <f t="shared" si="9"/>
        <v>-</v>
      </c>
      <c r="L118" s="80">
        <f t="shared" si="4"/>
        <v>0</v>
      </c>
      <c r="M118" s="65"/>
      <c r="N118" s="187"/>
      <c r="O118" s="188"/>
      <c r="P118" s="188"/>
      <c r="Q118" s="189"/>
      <c r="R118" s="4"/>
      <c r="S118" s="178">
        <v>1</v>
      </c>
      <c r="T118" s="178">
        <v>1</v>
      </c>
      <c r="U118" s="178">
        <v>1</v>
      </c>
      <c r="V118" s="178">
        <v>1</v>
      </c>
      <c r="W118" s="178">
        <v>1</v>
      </c>
      <c r="X118" s="178">
        <v>1</v>
      </c>
      <c r="Y118" s="178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78">
        <v>1</v>
      </c>
      <c r="AF118" s="178">
        <v>1</v>
      </c>
      <c r="AG118" s="178"/>
    </row>
    <row r="119" spans="2:33" ht="23.25" customHeight="1" x14ac:dyDescent="0.15">
      <c r="B119" s="26"/>
      <c r="C119" s="66"/>
      <c r="D119" s="256" t="s">
        <v>172</v>
      </c>
      <c r="E119" s="227"/>
      <c r="F119" s="227"/>
      <c r="G119" s="228"/>
      <c r="H119" s="61" t="s">
        <v>20</v>
      </c>
      <c r="I119" s="62"/>
      <c r="J119" s="63"/>
      <c r="K119" s="64" t="str">
        <f t="shared" si="9"/>
        <v>-</v>
      </c>
      <c r="L119" s="80">
        <f t="shared" si="4"/>
        <v>0</v>
      </c>
      <c r="M119" s="65"/>
      <c r="N119" s="187"/>
      <c r="O119" s="188"/>
      <c r="P119" s="188"/>
      <c r="Q119" s="189"/>
      <c r="R119" s="4"/>
      <c r="S119" s="178">
        <v>1</v>
      </c>
      <c r="T119" s="178">
        <v>1</v>
      </c>
      <c r="U119" s="178">
        <v>1</v>
      </c>
      <c r="V119" s="178">
        <v>1</v>
      </c>
      <c r="W119" s="178">
        <v>1</v>
      </c>
      <c r="X119" s="178">
        <v>1</v>
      </c>
      <c r="Y119" s="178">
        <v>1</v>
      </c>
      <c r="Z119" s="178">
        <v>1</v>
      </c>
      <c r="AA119" s="178">
        <v>1</v>
      </c>
      <c r="AB119" s="178">
        <v>1</v>
      </c>
      <c r="AC119" s="178">
        <v>1</v>
      </c>
      <c r="AD119" s="178">
        <v>1</v>
      </c>
      <c r="AE119" s="178">
        <v>1</v>
      </c>
      <c r="AF119" s="178">
        <v>1</v>
      </c>
      <c r="AG119" s="178"/>
    </row>
    <row r="120" spans="2:33" ht="23.25" customHeight="1" x14ac:dyDescent="0.15">
      <c r="B120" s="26"/>
      <c r="C120" s="66"/>
      <c r="D120" s="256" t="s">
        <v>173</v>
      </c>
      <c r="E120" s="227"/>
      <c r="F120" s="227"/>
      <c r="G120" s="228"/>
      <c r="H120" s="61" t="s">
        <v>20</v>
      </c>
      <c r="I120" s="62"/>
      <c r="J120" s="63"/>
      <c r="K120" s="64" t="str">
        <f t="shared" si="9"/>
        <v>-</v>
      </c>
      <c r="L120" s="80">
        <f t="shared" si="4"/>
        <v>0</v>
      </c>
      <c r="M120" s="65"/>
      <c r="N120" s="187"/>
      <c r="O120" s="188"/>
      <c r="P120" s="188"/>
      <c r="Q120" s="189"/>
      <c r="R120" s="4"/>
      <c r="S120" s="178">
        <v>1</v>
      </c>
      <c r="T120" s="178">
        <v>1</v>
      </c>
      <c r="U120" s="178">
        <v>1</v>
      </c>
      <c r="V120" s="178">
        <v>1</v>
      </c>
      <c r="W120" s="178">
        <v>1</v>
      </c>
      <c r="X120" s="178">
        <v>1</v>
      </c>
      <c r="Y120" s="178">
        <v>1</v>
      </c>
      <c r="Z120" s="178">
        <v>1</v>
      </c>
      <c r="AA120" s="178">
        <v>1</v>
      </c>
      <c r="AB120" s="178">
        <v>1</v>
      </c>
      <c r="AC120" s="178">
        <v>1</v>
      </c>
      <c r="AD120" s="178">
        <v>1</v>
      </c>
      <c r="AE120" s="178">
        <v>1</v>
      </c>
      <c r="AF120" s="178">
        <v>1</v>
      </c>
      <c r="AG120" s="178"/>
    </row>
    <row r="121" spans="2:33" ht="23.25" customHeight="1" x14ac:dyDescent="0.15">
      <c r="B121" s="26"/>
      <c r="C121" s="303" t="s">
        <v>174</v>
      </c>
      <c r="D121" s="227"/>
      <c r="E121" s="227"/>
      <c r="F121" s="227"/>
      <c r="G121" s="228"/>
      <c r="H121" s="61" t="s">
        <v>20</v>
      </c>
      <c r="I121" s="62"/>
      <c r="J121" s="63"/>
      <c r="K121" s="64" t="str">
        <f t="shared" si="9"/>
        <v>-</v>
      </c>
      <c r="L121" s="80">
        <f t="shared" si="4"/>
        <v>0</v>
      </c>
      <c r="M121" s="65"/>
      <c r="N121" s="187"/>
      <c r="O121" s="188"/>
      <c r="P121" s="188"/>
      <c r="Q121" s="189"/>
      <c r="R121" s="4"/>
      <c r="S121" s="178">
        <v>1</v>
      </c>
      <c r="T121" s="178">
        <v>1</v>
      </c>
      <c r="U121" s="178">
        <v>1</v>
      </c>
      <c r="V121" s="178">
        <v>1</v>
      </c>
      <c r="W121" s="178">
        <v>1</v>
      </c>
      <c r="X121" s="178">
        <v>1</v>
      </c>
      <c r="Y121" s="178">
        <v>1</v>
      </c>
      <c r="Z121" s="178">
        <v>1</v>
      </c>
      <c r="AA121" s="178">
        <v>1</v>
      </c>
      <c r="AB121" s="178">
        <v>1</v>
      </c>
      <c r="AC121" s="178">
        <v>1</v>
      </c>
      <c r="AD121" s="178">
        <v>1</v>
      </c>
      <c r="AE121" s="178">
        <v>1</v>
      </c>
      <c r="AF121" s="178">
        <v>1</v>
      </c>
      <c r="AG121" s="178"/>
    </row>
    <row r="122" spans="2:33" ht="23.25" customHeight="1" x14ac:dyDescent="0.15">
      <c r="B122" s="26"/>
      <c r="C122" s="59"/>
      <c r="D122" s="256" t="s">
        <v>175</v>
      </c>
      <c r="E122" s="227"/>
      <c r="F122" s="227"/>
      <c r="G122" s="228"/>
      <c r="H122" s="61" t="s">
        <v>20</v>
      </c>
      <c r="I122" s="62"/>
      <c r="J122" s="63"/>
      <c r="K122" s="64" t="str">
        <f t="shared" si="9"/>
        <v>-</v>
      </c>
      <c r="L122" s="80">
        <f t="shared" si="4"/>
        <v>0</v>
      </c>
      <c r="M122" s="65"/>
      <c r="N122" s="187"/>
      <c r="O122" s="188"/>
      <c r="P122" s="188"/>
      <c r="Q122" s="189"/>
      <c r="R122" s="4"/>
      <c r="S122" s="178">
        <v>1</v>
      </c>
      <c r="T122" s="178">
        <v>1</v>
      </c>
      <c r="U122" s="178">
        <v>1</v>
      </c>
      <c r="V122" s="178">
        <v>1</v>
      </c>
      <c r="W122" s="178">
        <v>1</v>
      </c>
      <c r="X122" s="178">
        <v>1</v>
      </c>
      <c r="Y122" s="178">
        <v>1</v>
      </c>
      <c r="Z122" s="178">
        <v>1</v>
      </c>
      <c r="AA122" s="178">
        <v>1</v>
      </c>
      <c r="AB122" s="178">
        <v>1</v>
      </c>
      <c r="AC122" s="178">
        <v>1</v>
      </c>
      <c r="AD122" s="178">
        <v>1</v>
      </c>
      <c r="AE122" s="178">
        <v>1</v>
      </c>
      <c r="AF122" s="178">
        <v>1</v>
      </c>
      <c r="AG122" s="178"/>
    </row>
    <row r="123" spans="2:33" ht="23.25" customHeight="1" x14ac:dyDescent="0.15">
      <c r="B123" s="26"/>
      <c r="C123" s="66"/>
      <c r="D123" s="256" t="s">
        <v>176</v>
      </c>
      <c r="E123" s="227"/>
      <c r="F123" s="227"/>
      <c r="G123" s="228"/>
      <c r="H123" s="61" t="s">
        <v>20</v>
      </c>
      <c r="I123" s="62"/>
      <c r="J123" s="63"/>
      <c r="K123" s="64" t="str">
        <f t="shared" si="9"/>
        <v>-</v>
      </c>
      <c r="L123" s="80">
        <f t="shared" si="4"/>
        <v>0</v>
      </c>
      <c r="M123" s="65"/>
      <c r="N123" s="187"/>
      <c r="O123" s="188"/>
      <c r="P123" s="188"/>
      <c r="Q123" s="189"/>
      <c r="R123" s="4"/>
      <c r="S123" s="178">
        <v>1</v>
      </c>
      <c r="T123" s="178">
        <v>1</v>
      </c>
      <c r="U123" s="178">
        <v>1</v>
      </c>
      <c r="V123" s="178">
        <v>1</v>
      </c>
      <c r="W123" s="178">
        <v>1</v>
      </c>
      <c r="X123" s="178">
        <v>1</v>
      </c>
      <c r="Y123" s="178">
        <v>1</v>
      </c>
      <c r="Z123" s="178">
        <v>1</v>
      </c>
      <c r="AA123" s="178">
        <v>1</v>
      </c>
      <c r="AB123" s="178">
        <v>1</v>
      </c>
      <c r="AC123" s="178">
        <v>1</v>
      </c>
      <c r="AD123" s="178">
        <v>1</v>
      </c>
      <c r="AE123" s="178">
        <v>1</v>
      </c>
      <c r="AF123" s="178">
        <v>1</v>
      </c>
      <c r="AG123" s="178"/>
    </row>
    <row r="124" spans="2:33" ht="23.25" customHeight="1" x14ac:dyDescent="0.15">
      <c r="B124" s="26"/>
      <c r="C124" s="66"/>
      <c r="D124" s="256" t="s">
        <v>177</v>
      </c>
      <c r="E124" s="227"/>
      <c r="F124" s="227"/>
      <c r="G124" s="228"/>
      <c r="H124" s="61" t="s">
        <v>20</v>
      </c>
      <c r="I124" s="62"/>
      <c r="J124" s="63"/>
      <c r="K124" s="64" t="str">
        <f t="shared" si="9"/>
        <v>-</v>
      </c>
      <c r="L124" s="80">
        <f t="shared" si="4"/>
        <v>0</v>
      </c>
      <c r="M124" s="65"/>
      <c r="N124" s="187"/>
      <c r="O124" s="188"/>
      <c r="P124" s="188"/>
      <c r="Q124" s="189"/>
      <c r="R124" s="4"/>
      <c r="S124" s="178">
        <v>1</v>
      </c>
      <c r="T124" s="178">
        <v>1</v>
      </c>
      <c r="U124" s="178">
        <v>1</v>
      </c>
      <c r="V124" s="178">
        <v>1</v>
      </c>
      <c r="W124" s="178">
        <v>1</v>
      </c>
      <c r="X124" s="178">
        <v>1</v>
      </c>
      <c r="Y124" s="178">
        <v>1</v>
      </c>
      <c r="Z124" s="178">
        <v>1</v>
      </c>
      <c r="AA124" s="178">
        <v>1</v>
      </c>
      <c r="AB124" s="178">
        <v>1</v>
      </c>
      <c r="AC124" s="178">
        <v>1</v>
      </c>
      <c r="AD124" s="178">
        <v>1</v>
      </c>
      <c r="AE124" s="178">
        <v>1</v>
      </c>
      <c r="AF124" s="178">
        <v>1</v>
      </c>
      <c r="AG124" s="178"/>
    </row>
    <row r="125" spans="2:33" ht="23.25" customHeight="1" x14ac:dyDescent="0.15">
      <c r="B125" s="26"/>
      <c r="C125" s="304" t="s">
        <v>178</v>
      </c>
      <c r="D125" s="227"/>
      <c r="E125" s="227"/>
      <c r="F125" s="227"/>
      <c r="G125" s="228"/>
      <c r="H125" s="61" t="s">
        <v>20</v>
      </c>
      <c r="I125" s="62"/>
      <c r="J125" s="63"/>
      <c r="K125" s="64" t="str">
        <f t="shared" si="9"/>
        <v>-</v>
      </c>
      <c r="L125" s="80">
        <f t="shared" si="4"/>
        <v>0</v>
      </c>
      <c r="M125" s="65"/>
      <c r="N125" s="187"/>
      <c r="O125" s="188"/>
      <c r="P125" s="188"/>
      <c r="Q125" s="189"/>
      <c r="R125" s="4"/>
      <c r="S125" s="178">
        <v>1</v>
      </c>
      <c r="T125" s="178">
        <v>1</v>
      </c>
      <c r="U125" s="178">
        <v>1</v>
      </c>
      <c r="V125" s="178">
        <v>1</v>
      </c>
      <c r="W125" s="178">
        <v>1</v>
      </c>
      <c r="X125" s="178">
        <v>1</v>
      </c>
      <c r="Y125" s="178">
        <v>1</v>
      </c>
      <c r="Z125" s="178">
        <v>1</v>
      </c>
      <c r="AA125" s="178">
        <v>1</v>
      </c>
      <c r="AB125" s="178">
        <v>1</v>
      </c>
      <c r="AC125" s="178">
        <v>1</v>
      </c>
      <c r="AD125" s="178">
        <v>1</v>
      </c>
      <c r="AE125" s="178">
        <v>1</v>
      </c>
      <c r="AF125" s="178">
        <v>1</v>
      </c>
      <c r="AG125" s="178"/>
    </row>
    <row r="126" spans="2:33" ht="23.25" customHeight="1" x14ac:dyDescent="0.15">
      <c r="B126" s="26"/>
      <c r="C126" s="304" t="s">
        <v>179</v>
      </c>
      <c r="D126" s="227"/>
      <c r="E126" s="227"/>
      <c r="F126" s="227"/>
      <c r="G126" s="228"/>
      <c r="H126" s="61" t="s">
        <v>20</v>
      </c>
      <c r="I126" s="62"/>
      <c r="J126" s="63"/>
      <c r="K126" s="64" t="str">
        <f t="shared" si="9"/>
        <v>-</v>
      </c>
      <c r="L126" s="80">
        <f t="shared" si="4"/>
        <v>0</v>
      </c>
      <c r="M126" s="65"/>
      <c r="N126" s="187"/>
      <c r="O126" s="188"/>
      <c r="P126" s="188"/>
      <c r="Q126" s="189"/>
      <c r="R126" s="4"/>
      <c r="S126" s="178">
        <v>1</v>
      </c>
      <c r="T126" s="178">
        <v>1</v>
      </c>
      <c r="U126" s="178">
        <v>1</v>
      </c>
      <c r="V126" s="178">
        <v>1</v>
      </c>
      <c r="W126" s="178">
        <v>1</v>
      </c>
      <c r="X126" s="178">
        <v>1</v>
      </c>
      <c r="Y126" s="178">
        <v>1</v>
      </c>
      <c r="Z126" s="178">
        <v>1</v>
      </c>
      <c r="AA126" s="178">
        <v>1</v>
      </c>
      <c r="AB126" s="178">
        <v>1</v>
      </c>
      <c r="AC126" s="178">
        <v>1</v>
      </c>
      <c r="AD126" s="178">
        <v>1</v>
      </c>
      <c r="AE126" s="178">
        <v>1</v>
      </c>
      <c r="AF126" s="178">
        <v>1</v>
      </c>
      <c r="AG126" s="178"/>
    </row>
    <row r="127" spans="2:33" ht="23.25" customHeight="1" thickBot="1" x14ac:dyDescent="0.2">
      <c r="B127" s="26"/>
      <c r="C127" s="294" t="s">
        <v>180</v>
      </c>
      <c r="D127" s="229"/>
      <c r="E127" s="229"/>
      <c r="F127" s="229"/>
      <c r="G127" s="230"/>
      <c r="H127" s="67" t="s">
        <v>20</v>
      </c>
      <c r="I127" s="68"/>
      <c r="J127" s="69"/>
      <c r="K127" s="70" t="str">
        <f t="shared" si="9"/>
        <v>-</v>
      </c>
      <c r="L127" s="103">
        <f t="shared" si="4"/>
        <v>0</v>
      </c>
      <c r="M127" s="71"/>
      <c r="N127" s="199"/>
      <c r="O127" s="200"/>
      <c r="P127" s="200"/>
      <c r="Q127" s="201"/>
      <c r="R127" s="4"/>
      <c r="S127" s="178">
        <v>1</v>
      </c>
      <c r="T127" s="178">
        <v>1</v>
      </c>
      <c r="U127" s="178">
        <v>1</v>
      </c>
      <c r="V127" s="178">
        <v>1</v>
      </c>
      <c r="W127" s="178">
        <v>1</v>
      </c>
      <c r="X127" s="178">
        <v>1</v>
      </c>
      <c r="Y127" s="178">
        <v>1</v>
      </c>
      <c r="Z127" s="178">
        <v>1</v>
      </c>
      <c r="AA127" s="178">
        <v>1</v>
      </c>
      <c r="AB127" s="178">
        <v>1</v>
      </c>
      <c r="AC127" s="178">
        <v>1</v>
      </c>
      <c r="AD127" s="178">
        <v>1</v>
      </c>
      <c r="AE127" s="178">
        <v>1</v>
      </c>
      <c r="AF127" s="178">
        <v>1</v>
      </c>
      <c r="AG127" s="178"/>
    </row>
    <row r="128" spans="2:33" ht="23.25" customHeight="1" x14ac:dyDescent="0.15">
      <c r="B128" s="50"/>
      <c r="C128" s="239" t="s">
        <v>72</v>
      </c>
      <c r="D128" s="295" t="s">
        <v>73</v>
      </c>
      <c r="E128" s="296"/>
      <c r="F128" s="296"/>
      <c r="G128" s="297"/>
      <c r="H128" s="54" t="s">
        <v>74</v>
      </c>
      <c r="I128" s="72"/>
      <c r="J128" s="73"/>
      <c r="K128" s="57" t="str">
        <f t="shared" si="9"/>
        <v>-</v>
      </c>
      <c r="L128" s="151">
        <f t="shared" si="4"/>
        <v>0</v>
      </c>
      <c r="M128" s="58"/>
      <c r="N128" s="298"/>
      <c r="O128" s="299"/>
      <c r="P128" s="299"/>
      <c r="Q128" s="300"/>
      <c r="R128" s="4"/>
      <c r="S128" s="178">
        <v>1</v>
      </c>
      <c r="T128" s="178">
        <v>1</v>
      </c>
      <c r="U128" s="178">
        <v>1</v>
      </c>
      <c r="V128" s="178">
        <v>1</v>
      </c>
      <c r="W128" s="178">
        <v>1</v>
      </c>
      <c r="X128" s="178">
        <v>1</v>
      </c>
      <c r="Y128" s="178">
        <v>1</v>
      </c>
      <c r="Z128" s="178">
        <v>1</v>
      </c>
      <c r="AA128" s="178">
        <v>1</v>
      </c>
      <c r="AB128" s="178">
        <v>1</v>
      </c>
      <c r="AC128" s="178">
        <v>1</v>
      </c>
      <c r="AD128" s="178">
        <v>1</v>
      </c>
      <c r="AE128" s="178">
        <v>1</v>
      </c>
      <c r="AF128" s="178">
        <v>1</v>
      </c>
      <c r="AG128" s="178"/>
    </row>
    <row r="129" spans="2:33" ht="23.25" customHeight="1" x14ac:dyDescent="0.15">
      <c r="B129" s="50"/>
      <c r="C129" s="240"/>
      <c r="D129" s="74"/>
      <c r="E129" s="301" t="s">
        <v>181</v>
      </c>
      <c r="F129" s="194"/>
      <c r="G129" s="195"/>
      <c r="H129" s="54" t="s">
        <v>74</v>
      </c>
      <c r="I129" s="72"/>
      <c r="J129" s="73"/>
      <c r="K129" s="57" t="str">
        <f t="shared" si="9"/>
        <v>-</v>
      </c>
      <c r="L129" s="151">
        <f t="shared" si="4"/>
        <v>0</v>
      </c>
      <c r="M129" s="58"/>
      <c r="N129" s="298"/>
      <c r="O129" s="299"/>
      <c r="P129" s="299"/>
      <c r="Q129" s="300"/>
      <c r="R129" s="4"/>
      <c r="S129" s="178">
        <v>1</v>
      </c>
      <c r="T129" s="178">
        <v>1</v>
      </c>
      <c r="U129" s="178">
        <v>1</v>
      </c>
      <c r="V129" s="178">
        <v>1</v>
      </c>
      <c r="W129" s="178">
        <v>1</v>
      </c>
      <c r="X129" s="178">
        <v>1</v>
      </c>
      <c r="Y129" s="178">
        <v>1</v>
      </c>
      <c r="Z129" s="178">
        <v>1</v>
      </c>
      <c r="AA129" s="178">
        <v>1</v>
      </c>
      <c r="AB129" s="178">
        <v>1</v>
      </c>
      <c r="AC129" s="178">
        <v>1</v>
      </c>
      <c r="AD129" s="178">
        <v>1</v>
      </c>
      <c r="AE129" s="178">
        <v>1</v>
      </c>
      <c r="AF129" s="178">
        <v>1</v>
      </c>
      <c r="AG129" s="178"/>
    </row>
    <row r="130" spans="2:33" ht="23.25" customHeight="1" x14ac:dyDescent="0.15">
      <c r="B130" s="50"/>
      <c r="C130" s="240"/>
      <c r="D130" s="74"/>
      <c r="E130" s="194" t="s">
        <v>123</v>
      </c>
      <c r="F130" s="194"/>
      <c r="G130" s="195"/>
      <c r="H130" s="54" t="s">
        <v>74</v>
      </c>
      <c r="I130" s="72"/>
      <c r="J130" s="73"/>
      <c r="K130" s="57" t="str">
        <f t="shared" si="9"/>
        <v>-</v>
      </c>
      <c r="L130" s="151">
        <f t="shared" si="4"/>
        <v>0</v>
      </c>
      <c r="M130" s="58"/>
      <c r="N130" s="298"/>
      <c r="O130" s="299"/>
      <c r="P130" s="299"/>
      <c r="Q130" s="300"/>
      <c r="R130" s="4"/>
      <c r="S130" s="178">
        <v>1</v>
      </c>
      <c r="T130" s="178">
        <v>1</v>
      </c>
      <c r="U130" s="178">
        <v>1</v>
      </c>
      <c r="V130" s="178">
        <v>1</v>
      </c>
      <c r="W130" s="178">
        <v>1</v>
      </c>
      <c r="X130" s="178">
        <v>1</v>
      </c>
      <c r="Y130" s="178">
        <v>1</v>
      </c>
      <c r="Z130" s="178">
        <v>1</v>
      </c>
      <c r="AA130" s="178">
        <v>1</v>
      </c>
      <c r="AB130" s="178">
        <v>1</v>
      </c>
      <c r="AC130" s="178">
        <v>1</v>
      </c>
      <c r="AD130" s="178">
        <v>1</v>
      </c>
      <c r="AE130" s="178">
        <v>1</v>
      </c>
      <c r="AF130" s="178">
        <v>1</v>
      </c>
      <c r="AG130" s="178"/>
    </row>
    <row r="131" spans="2:33" ht="23.25" customHeight="1" x14ac:dyDescent="0.15">
      <c r="B131" s="50"/>
      <c r="C131" s="240"/>
      <c r="D131" s="272" t="s">
        <v>120</v>
      </c>
      <c r="E131" s="227"/>
      <c r="F131" s="227"/>
      <c r="G131" s="228"/>
      <c r="H131" s="61" t="s">
        <v>121</v>
      </c>
      <c r="I131" s="62"/>
      <c r="J131" s="63"/>
      <c r="K131" s="64" t="str">
        <f>IFERROR(J131/I131*100-100,"-")</f>
        <v>-</v>
      </c>
      <c r="L131" s="159">
        <f t="shared" si="4"/>
        <v>0</v>
      </c>
      <c r="M131" s="65"/>
      <c r="N131" s="187"/>
      <c r="O131" s="188"/>
      <c r="P131" s="188"/>
      <c r="Q131" s="189"/>
      <c r="R131" s="4"/>
      <c r="S131" s="178">
        <v>1</v>
      </c>
      <c r="T131" s="178">
        <v>1</v>
      </c>
      <c r="U131" s="178">
        <v>1</v>
      </c>
      <c r="V131" s="178">
        <v>1</v>
      </c>
      <c r="W131" s="178">
        <v>1</v>
      </c>
      <c r="X131" s="178">
        <v>1</v>
      </c>
      <c r="Y131" s="178">
        <v>1</v>
      </c>
      <c r="Z131" s="178">
        <v>1</v>
      </c>
      <c r="AA131" s="178">
        <v>1</v>
      </c>
      <c r="AB131" s="178">
        <v>1</v>
      </c>
      <c r="AC131" s="178">
        <v>1</v>
      </c>
      <c r="AD131" s="178">
        <v>1</v>
      </c>
      <c r="AE131" s="178">
        <v>1</v>
      </c>
      <c r="AF131" s="178">
        <v>1</v>
      </c>
      <c r="AG131" s="178"/>
    </row>
    <row r="132" spans="2:33" ht="23.25" customHeight="1" x14ac:dyDescent="0.15">
      <c r="B132" s="50"/>
      <c r="C132" s="240"/>
      <c r="D132" s="75"/>
      <c r="E132" s="223" t="s">
        <v>122</v>
      </c>
      <c r="F132" s="224"/>
      <c r="G132" s="225"/>
      <c r="H132" s="61" t="s">
        <v>121</v>
      </c>
      <c r="I132" s="62"/>
      <c r="J132" s="63"/>
      <c r="K132" s="64" t="str">
        <f>IFERROR(J132/I132*100-100,"-")</f>
        <v>-</v>
      </c>
      <c r="L132" s="159">
        <f t="shared" si="4"/>
        <v>0</v>
      </c>
      <c r="M132" s="65"/>
      <c r="N132" s="187"/>
      <c r="O132" s="188"/>
      <c r="P132" s="188"/>
      <c r="Q132" s="189"/>
      <c r="R132" s="4"/>
      <c r="S132" s="178">
        <v>1</v>
      </c>
      <c r="T132" s="178">
        <v>1</v>
      </c>
      <c r="U132" s="178">
        <v>1</v>
      </c>
      <c r="V132" s="178">
        <v>1</v>
      </c>
      <c r="W132" s="178">
        <v>1</v>
      </c>
      <c r="X132" s="178">
        <v>1</v>
      </c>
      <c r="Y132" s="178">
        <v>1</v>
      </c>
      <c r="Z132" s="178">
        <v>1</v>
      </c>
      <c r="AA132" s="178">
        <v>1</v>
      </c>
      <c r="AB132" s="178">
        <v>1</v>
      </c>
      <c r="AC132" s="178">
        <v>1</v>
      </c>
      <c r="AD132" s="178">
        <v>1</v>
      </c>
      <c r="AE132" s="178">
        <v>1</v>
      </c>
      <c r="AF132" s="178">
        <v>1</v>
      </c>
      <c r="AG132" s="178"/>
    </row>
    <row r="133" spans="2:33" ht="23.25" customHeight="1" x14ac:dyDescent="0.15">
      <c r="B133" s="50"/>
      <c r="C133" s="240"/>
      <c r="D133" s="76"/>
      <c r="E133" s="223" t="s">
        <v>123</v>
      </c>
      <c r="F133" s="224"/>
      <c r="G133" s="225"/>
      <c r="H133" s="61" t="s">
        <v>121</v>
      </c>
      <c r="I133" s="62"/>
      <c r="J133" s="63"/>
      <c r="K133" s="64" t="str">
        <f>IFERROR(J133/I133*100-100,"-")</f>
        <v>-</v>
      </c>
      <c r="L133" s="159">
        <f t="shared" si="4"/>
        <v>0</v>
      </c>
      <c r="M133" s="65"/>
      <c r="N133" s="187"/>
      <c r="O133" s="188"/>
      <c r="P133" s="188"/>
      <c r="Q133" s="189"/>
      <c r="R133" s="4"/>
      <c r="S133" s="178">
        <v>1</v>
      </c>
      <c r="T133" s="178">
        <v>1</v>
      </c>
      <c r="U133" s="178">
        <v>1</v>
      </c>
      <c r="V133" s="178">
        <v>1</v>
      </c>
      <c r="W133" s="178">
        <v>1</v>
      </c>
      <c r="X133" s="178">
        <v>1</v>
      </c>
      <c r="Y133" s="178">
        <v>1</v>
      </c>
      <c r="Z133" s="178">
        <v>1</v>
      </c>
      <c r="AA133" s="178">
        <v>1</v>
      </c>
      <c r="AB133" s="178">
        <v>1</v>
      </c>
      <c r="AC133" s="178">
        <v>1</v>
      </c>
      <c r="AD133" s="178">
        <v>1</v>
      </c>
      <c r="AE133" s="178">
        <v>1</v>
      </c>
      <c r="AF133" s="178">
        <v>1</v>
      </c>
      <c r="AG133" s="178"/>
    </row>
    <row r="134" spans="2:33" ht="23.25" customHeight="1" x14ac:dyDescent="0.15">
      <c r="B134" s="26"/>
      <c r="C134" s="240"/>
      <c r="D134" s="226" t="s">
        <v>182</v>
      </c>
      <c r="E134" s="227"/>
      <c r="F134" s="227"/>
      <c r="G134" s="228"/>
      <c r="H134" s="61" t="s">
        <v>183</v>
      </c>
      <c r="I134" s="62"/>
      <c r="J134" s="63"/>
      <c r="K134" s="64" t="str">
        <f t="shared" ref="K134" si="10">IFERROR(J134/I134*100-100,"-")</f>
        <v>-</v>
      </c>
      <c r="L134" s="80">
        <f t="shared" si="4"/>
        <v>0</v>
      </c>
      <c r="M134" s="65"/>
      <c r="N134" s="187"/>
      <c r="O134" s="188"/>
      <c r="P134" s="188"/>
      <c r="Q134" s="189"/>
      <c r="R134" s="4"/>
      <c r="S134" s="178">
        <v>1</v>
      </c>
      <c r="T134" s="178">
        <v>1</v>
      </c>
      <c r="U134" s="178">
        <v>1</v>
      </c>
      <c r="V134" s="178">
        <v>1</v>
      </c>
      <c r="W134" s="178">
        <v>1</v>
      </c>
      <c r="X134" s="178">
        <v>1</v>
      </c>
      <c r="Y134" s="178">
        <v>1</v>
      </c>
      <c r="Z134" s="178">
        <v>1</v>
      </c>
      <c r="AA134" s="178">
        <v>1</v>
      </c>
      <c r="AB134" s="178">
        <v>1</v>
      </c>
      <c r="AC134" s="178">
        <v>1</v>
      </c>
      <c r="AD134" s="178">
        <v>1</v>
      </c>
      <c r="AE134" s="178">
        <v>1</v>
      </c>
      <c r="AF134" s="178">
        <v>1</v>
      </c>
      <c r="AG134" s="178"/>
    </row>
    <row r="135" spans="2:33" ht="23.25" customHeight="1" x14ac:dyDescent="0.15">
      <c r="B135" s="50"/>
      <c r="C135" s="240"/>
      <c r="D135" s="226" t="s">
        <v>75</v>
      </c>
      <c r="E135" s="227"/>
      <c r="F135" s="227"/>
      <c r="G135" s="228"/>
      <c r="H135" s="61" t="s">
        <v>76</v>
      </c>
      <c r="I135" s="77"/>
      <c r="J135" s="78"/>
      <c r="K135" s="64" t="str">
        <f t="shared" si="9"/>
        <v>-</v>
      </c>
      <c r="L135" s="79">
        <f t="shared" si="4"/>
        <v>0</v>
      </c>
      <c r="M135" s="65"/>
      <c r="N135" s="187"/>
      <c r="O135" s="188"/>
      <c r="P135" s="188"/>
      <c r="Q135" s="189"/>
      <c r="R135" s="4"/>
      <c r="S135" s="178">
        <v>1</v>
      </c>
      <c r="T135" s="178">
        <v>1</v>
      </c>
      <c r="U135" s="178">
        <v>1</v>
      </c>
      <c r="V135" s="178">
        <v>1</v>
      </c>
      <c r="W135" s="178">
        <v>1</v>
      </c>
      <c r="X135" s="178">
        <v>1</v>
      </c>
      <c r="Y135" s="178">
        <v>1</v>
      </c>
      <c r="Z135" s="178">
        <v>1</v>
      </c>
      <c r="AA135" s="178">
        <v>1</v>
      </c>
      <c r="AB135" s="178">
        <v>1</v>
      </c>
      <c r="AC135" s="178">
        <v>1</v>
      </c>
      <c r="AD135" s="178">
        <v>1</v>
      </c>
      <c r="AE135" s="178">
        <v>1</v>
      </c>
      <c r="AF135" s="178">
        <v>1</v>
      </c>
      <c r="AG135" s="178"/>
    </row>
    <row r="136" spans="2:33" ht="23.25" customHeight="1" x14ac:dyDescent="0.15">
      <c r="B136" s="50"/>
      <c r="C136" s="240"/>
      <c r="D136" s="226" t="s">
        <v>77</v>
      </c>
      <c r="E136" s="227"/>
      <c r="F136" s="227"/>
      <c r="G136" s="228"/>
      <c r="H136" s="61" t="s">
        <v>76</v>
      </c>
      <c r="I136" s="77"/>
      <c r="J136" s="78"/>
      <c r="K136" s="64" t="str">
        <f t="shared" si="9"/>
        <v>-</v>
      </c>
      <c r="L136" s="79">
        <f t="shared" si="4"/>
        <v>0</v>
      </c>
      <c r="M136" s="65"/>
      <c r="N136" s="187"/>
      <c r="O136" s="188"/>
      <c r="P136" s="188"/>
      <c r="Q136" s="189"/>
      <c r="R136" s="4"/>
      <c r="S136" s="178"/>
      <c r="T136" s="178">
        <v>1</v>
      </c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</row>
    <row r="137" spans="2:33" ht="23.25" customHeight="1" x14ac:dyDescent="0.15">
      <c r="B137" s="50"/>
      <c r="C137" s="240"/>
      <c r="D137" s="302" t="s">
        <v>184</v>
      </c>
      <c r="E137" s="283" t="s">
        <v>78</v>
      </c>
      <c r="F137" s="278"/>
      <c r="G137" s="258"/>
      <c r="H137" s="61" t="s">
        <v>79</v>
      </c>
      <c r="I137" s="77"/>
      <c r="J137" s="78"/>
      <c r="K137" s="64" t="str">
        <f t="shared" si="9"/>
        <v>-</v>
      </c>
      <c r="L137" s="79">
        <f t="shared" si="4"/>
        <v>0</v>
      </c>
      <c r="M137" s="65"/>
      <c r="N137" s="187"/>
      <c r="O137" s="188"/>
      <c r="P137" s="188"/>
      <c r="Q137" s="189"/>
      <c r="R137" s="4"/>
      <c r="S137" s="178"/>
      <c r="T137" s="178">
        <v>1</v>
      </c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</row>
    <row r="138" spans="2:33" ht="23.25" customHeight="1" x14ac:dyDescent="0.15">
      <c r="B138" s="50"/>
      <c r="C138" s="240"/>
      <c r="D138" s="302"/>
      <c r="E138" s="283" t="s">
        <v>80</v>
      </c>
      <c r="F138" s="278"/>
      <c r="G138" s="258"/>
      <c r="H138" s="61" t="s">
        <v>81</v>
      </c>
      <c r="I138" s="62"/>
      <c r="J138" s="63"/>
      <c r="K138" s="64" t="str">
        <f t="shared" si="9"/>
        <v>-</v>
      </c>
      <c r="L138" s="64">
        <f t="shared" ref="L138:L201" si="11">IFERROR(J138-I138,"-")</f>
        <v>0</v>
      </c>
      <c r="M138" s="65"/>
      <c r="N138" s="190"/>
      <c r="O138" s="191"/>
      <c r="P138" s="191"/>
      <c r="Q138" s="192"/>
      <c r="R138" s="4"/>
      <c r="S138" s="178"/>
      <c r="T138" s="178">
        <v>1</v>
      </c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</row>
    <row r="139" spans="2:33" ht="23.25" customHeight="1" x14ac:dyDescent="0.15">
      <c r="B139" s="50"/>
      <c r="C139" s="240"/>
      <c r="D139" s="302"/>
      <c r="E139" s="283" t="s">
        <v>185</v>
      </c>
      <c r="F139" s="278"/>
      <c r="G139" s="258"/>
      <c r="H139" s="61" t="s">
        <v>82</v>
      </c>
      <c r="I139" s="62"/>
      <c r="J139" s="63"/>
      <c r="K139" s="64" t="str">
        <f t="shared" si="9"/>
        <v>-</v>
      </c>
      <c r="L139" s="64">
        <f t="shared" si="11"/>
        <v>0</v>
      </c>
      <c r="M139" s="65"/>
      <c r="N139" s="190"/>
      <c r="O139" s="191"/>
      <c r="P139" s="191"/>
      <c r="Q139" s="192"/>
      <c r="R139" s="4"/>
      <c r="S139" s="178"/>
      <c r="T139" s="178">
        <v>1</v>
      </c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</row>
    <row r="140" spans="2:33" ht="23.25" customHeight="1" x14ac:dyDescent="0.15">
      <c r="B140" s="51"/>
      <c r="C140" s="240"/>
      <c r="D140" s="217" t="s">
        <v>127</v>
      </c>
      <c r="E140" s="194"/>
      <c r="F140" s="194"/>
      <c r="G140" s="195"/>
      <c r="H140" s="61" t="s">
        <v>79</v>
      </c>
      <c r="I140" s="77"/>
      <c r="J140" s="78"/>
      <c r="K140" s="64" t="str">
        <f>IFERROR(J140/I140*100-100,"-")</f>
        <v>-</v>
      </c>
      <c r="L140" s="79">
        <f t="shared" si="11"/>
        <v>0</v>
      </c>
      <c r="M140" s="65"/>
      <c r="N140" s="187"/>
      <c r="O140" s="188"/>
      <c r="P140" s="188"/>
      <c r="Q140" s="189"/>
      <c r="R140" s="4"/>
      <c r="S140" s="178"/>
      <c r="T140" s="178">
        <v>1</v>
      </c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</row>
    <row r="141" spans="2:33" ht="23.25" customHeight="1" x14ac:dyDescent="0.15">
      <c r="B141" s="51"/>
      <c r="C141" s="240"/>
      <c r="D141" s="217" t="s">
        <v>135</v>
      </c>
      <c r="E141" s="194"/>
      <c r="F141" s="194"/>
      <c r="G141" s="195"/>
      <c r="H141" s="61" t="s">
        <v>79</v>
      </c>
      <c r="I141" s="77"/>
      <c r="J141" s="78"/>
      <c r="K141" s="64" t="str">
        <f t="shared" ref="K141:K145" si="12">IFERROR(J141/I141*100-100,"-")</f>
        <v>-</v>
      </c>
      <c r="L141" s="79">
        <f t="shared" si="11"/>
        <v>0</v>
      </c>
      <c r="M141" s="65"/>
      <c r="N141" s="187"/>
      <c r="O141" s="188"/>
      <c r="P141" s="188"/>
      <c r="Q141" s="189"/>
      <c r="R141" s="4"/>
      <c r="S141" s="178"/>
      <c r="T141" s="178">
        <v>1</v>
      </c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</row>
    <row r="142" spans="2:33" ht="23.25" customHeight="1" x14ac:dyDescent="0.15">
      <c r="B142" s="51"/>
      <c r="C142" s="240"/>
      <c r="D142" s="217" t="s">
        <v>233</v>
      </c>
      <c r="E142" s="194"/>
      <c r="F142" s="194"/>
      <c r="G142" s="195"/>
      <c r="H142" s="61" t="s">
        <v>79</v>
      </c>
      <c r="I142" s="77"/>
      <c r="J142" s="78"/>
      <c r="K142" s="64" t="str">
        <f t="shared" si="12"/>
        <v>-</v>
      </c>
      <c r="L142" s="79">
        <f t="shared" si="11"/>
        <v>0</v>
      </c>
      <c r="M142" s="65"/>
      <c r="N142" s="187"/>
      <c r="O142" s="188"/>
      <c r="P142" s="188"/>
      <c r="Q142" s="189"/>
      <c r="R142" s="4"/>
      <c r="S142" s="178"/>
      <c r="T142" s="178">
        <v>1</v>
      </c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</row>
    <row r="143" spans="2:33" ht="23.25" customHeight="1" x14ac:dyDescent="0.15">
      <c r="B143" s="51"/>
      <c r="C143" s="240"/>
      <c r="D143" s="217" t="s">
        <v>234</v>
      </c>
      <c r="E143" s="194"/>
      <c r="F143" s="194"/>
      <c r="G143" s="195"/>
      <c r="H143" s="61" t="s">
        <v>79</v>
      </c>
      <c r="I143" s="77"/>
      <c r="J143" s="78"/>
      <c r="K143" s="64" t="str">
        <f t="shared" si="12"/>
        <v>-</v>
      </c>
      <c r="L143" s="79">
        <f t="shared" si="11"/>
        <v>0</v>
      </c>
      <c r="M143" s="65"/>
      <c r="N143" s="187"/>
      <c r="O143" s="188"/>
      <c r="P143" s="188"/>
      <c r="Q143" s="189"/>
      <c r="R143" s="4"/>
      <c r="S143" s="178"/>
      <c r="T143" s="178">
        <v>1</v>
      </c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</row>
    <row r="144" spans="2:33" ht="23.25" customHeight="1" x14ac:dyDescent="0.15">
      <c r="B144" s="51"/>
      <c r="C144" s="240"/>
      <c r="D144" s="217" t="s">
        <v>136</v>
      </c>
      <c r="E144" s="194"/>
      <c r="F144" s="194"/>
      <c r="G144" s="195"/>
      <c r="H144" s="61" t="s">
        <v>79</v>
      </c>
      <c r="I144" s="77"/>
      <c r="J144" s="78"/>
      <c r="K144" s="64" t="str">
        <f t="shared" si="12"/>
        <v>-</v>
      </c>
      <c r="L144" s="79">
        <f t="shared" si="11"/>
        <v>0</v>
      </c>
      <c r="M144" s="65"/>
      <c r="N144" s="187"/>
      <c r="O144" s="188"/>
      <c r="P144" s="188"/>
      <c r="Q144" s="189"/>
      <c r="R144" s="4"/>
      <c r="S144" s="178"/>
      <c r="T144" s="178">
        <v>1</v>
      </c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</row>
    <row r="145" spans="2:34" ht="23.25" customHeight="1" x14ac:dyDescent="0.15">
      <c r="B145" s="51"/>
      <c r="C145" s="240"/>
      <c r="D145" s="217" t="s">
        <v>137</v>
      </c>
      <c r="E145" s="194"/>
      <c r="F145" s="194"/>
      <c r="G145" s="195"/>
      <c r="H145" s="61" t="s">
        <v>79</v>
      </c>
      <c r="I145" s="77"/>
      <c r="J145" s="78"/>
      <c r="K145" s="64" t="str">
        <f t="shared" si="12"/>
        <v>-</v>
      </c>
      <c r="L145" s="79">
        <f t="shared" si="11"/>
        <v>0</v>
      </c>
      <c r="M145" s="65"/>
      <c r="N145" s="187"/>
      <c r="O145" s="188"/>
      <c r="P145" s="188"/>
      <c r="Q145" s="189"/>
      <c r="R145" s="4"/>
      <c r="S145" s="178"/>
      <c r="T145" s="178">
        <v>1</v>
      </c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</row>
    <row r="146" spans="2:34" ht="23.25" customHeight="1" x14ac:dyDescent="0.15">
      <c r="B146" s="50"/>
      <c r="C146" s="240"/>
      <c r="D146" s="226" t="s">
        <v>83</v>
      </c>
      <c r="E146" s="227"/>
      <c r="F146" s="227"/>
      <c r="G146" s="228"/>
      <c r="H146" s="61" t="s">
        <v>76</v>
      </c>
      <c r="I146" s="77"/>
      <c r="J146" s="78"/>
      <c r="K146" s="64" t="str">
        <f t="shared" si="9"/>
        <v>-</v>
      </c>
      <c r="L146" s="79">
        <f t="shared" si="11"/>
        <v>0</v>
      </c>
      <c r="M146" s="65"/>
      <c r="N146" s="187"/>
      <c r="O146" s="188"/>
      <c r="P146" s="188"/>
      <c r="Q146" s="189"/>
      <c r="R146" s="4"/>
      <c r="S146" s="178"/>
      <c r="T146" s="178"/>
      <c r="U146" s="178">
        <v>1</v>
      </c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</row>
    <row r="147" spans="2:34" ht="23.25" customHeight="1" x14ac:dyDescent="0.15">
      <c r="B147" s="51"/>
      <c r="C147" s="240"/>
      <c r="D147" s="217" t="s">
        <v>138</v>
      </c>
      <c r="E147" s="194"/>
      <c r="F147" s="194"/>
      <c r="G147" s="195"/>
      <c r="H147" s="61" t="s">
        <v>79</v>
      </c>
      <c r="I147" s="77"/>
      <c r="J147" s="78"/>
      <c r="K147" s="64" t="str">
        <f t="shared" si="9"/>
        <v>-</v>
      </c>
      <c r="L147" s="79">
        <f t="shared" si="11"/>
        <v>0</v>
      </c>
      <c r="M147" s="65"/>
      <c r="N147" s="187"/>
      <c r="O147" s="188"/>
      <c r="P147" s="188"/>
      <c r="Q147" s="189"/>
      <c r="R147" s="4"/>
      <c r="S147" s="178"/>
      <c r="T147" s="178"/>
      <c r="U147" s="178">
        <v>1</v>
      </c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</row>
    <row r="148" spans="2:34" ht="23.25" customHeight="1" x14ac:dyDescent="0.15">
      <c r="B148" s="51"/>
      <c r="C148" s="240"/>
      <c r="D148" s="217" t="s">
        <v>139</v>
      </c>
      <c r="E148" s="194"/>
      <c r="F148" s="194"/>
      <c r="G148" s="195"/>
      <c r="H148" s="61" t="s">
        <v>79</v>
      </c>
      <c r="I148" s="77"/>
      <c r="J148" s="78"/>
      <c r="K148" s="64" t="str">
        <f t="shared" si="9"/>
        <v>-</v>
      </c>
      <c r="L148" s="79">
        <f t="shared" si="11"/>
        <v>0</v>
      </c>
      <c r="M148" s="65"/>
      <c r="N148" s="181"/>
      <c r="O148" s="182"/>
      <c r="P148" s="182"/>
      <c r="Q148" s="183"/>
      <c r="R148" s="4"/>
      <c r="S148" s="178"/>
      <c r="T148" s="178"/>
      <c r="U148" s="178">
        <v>1</v>
      </c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</row>
    <row r="149" spans="2:34" ht="23.25" customHeight="1" x14ac:dyDescent="0.15">
      <c r="B149" s="51"/>
      <c r="C149" s="240"/>
      <c r="D149" s="217" t="s">
        <v>140</v>
      </c>
      <c r="E149" s="194"/>
      <c r="F149" s="194"/>
      <c r="G149" s="195"/>
      <c r="H149" s="61" t="s">
        <v>79</v>
      </c>
      <c r="I149" s="77"/>
      <c r="J149" s="78"/>
      <c r="K149" s="64" t="str">
        <f t="shared" si="9"/>
        <v>-</v>
      </c>
      <c r="L149" s="79">
        <f t="shared" si="11"/>
        <v>0</v>
      </c>
      <c r="M149" s="65"/>
      <c r="N149" s="187"/>
      <c r="O149" s="188"/>
      <c r="P149" s="188"/>
      <c r="Q149" s="189"/>
      <c r="R149" s="4"/>
      <c r="S149" s="178"/>
      <c r="T149" s="178"/>
      <c r="U149" s="178">
        <v>1</v>
      </c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</row>
    <row r="150" spans="2:34" ht="23.25" customHeight="1" x14ac:dyDescent="0.15">
      <c r="B150" s="51"/>
      <c r="C150" s="240"/>
      <c r="D150" s="217" t="s">
        <v>235</v>
      </c>
      <c r="E150" s="194"/>
      <c r="F150" s="194"/>
      <c r="G150" s="195"/>
      <c r="H150" s="61" t="s">
        <v>79</v>
      </c>
      <c r="I150" s="77"/>
      <c r="J150" s="78"/>
      <c r="K150" s="64" t="str">
        <f t="shared" si="9"/>
        <v>-</v>
      </c>
      <c r="L150" s="79">
        <f t="shared" si="11"/>
        <v>0</v>
      </c>
      <c r="M150" s="65"/>
      <c r="N150" s="187"/>
      <c r="O150" s="188"/>
      <c r="P150" s="188"/>
      <c r="Q150" s="189"/>
      <c r="R150" s="4"/>
      <c r="S150" s="178"/>
      <c r="T150" s="178"/>
      <c r="U150" s="178">
        <v>1</v>
      </c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</row>
    <row r="151" spans="2:34" ht="23.25" customHeight="1" x14ac:dyDescent="0.15">
      <c r="B151" s="51"/>
      <c r="C151" s="240"/>
      <c r="D151" s="217" t="s">
        <v>236</v>
      </c>
      <c r="E151" s="194"/>
      <c r="F151" s="194"/>
      <c r="G151" s="195"/>
      <c r="H151" s="61" t="s">
        <v>79</v>
      </c>
      <c r="I151" s="77"/>
      <c r="J151" s="78"/>
      <c r="K151" s="64" t="str">
        <f t="shared" si="9"/>
        <v>-</v>
      </c>
      <c r="L151" s="79">
        <f t="shared" si="11"/>
        <v>0</v>
      </c>
      <c r="M151" s="65"/>
      <c r="N151" s="187"/>
      <c r="O151" s="188"/>
      <c r="P151" s="188"/>
      <c r="Q151" s="189"/>
      <c r="R151" s="4"/>
      <c r="S151" s="178"/>
      <c r="T151" s="178"/>
      <c r="U151" s="178">
        <v>1</v>
      </c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</row>
    <row r="152" spans="2:34" ht="23.25" customHeight="1" x14ac:dyDescent="0.15">
      <c r="B152" s="51"/>
      <c r="C152" s="240"/>
      <c r="D152" s="217" t="s">
        <v>141</v>
      </c>
      <c r="E152" s="194"/>
      <c r="F152" s="194"/>
      <c r="G152" s="195"/>
      <c r="H152" s="61" t="s">
        <v>79</v>
      </c>
      <c r="I152" s="77"/>
      <c r="J152" s="78"/>
      <c r="K152" s="64" t="str">
        <f t="shared" si="9"/>
        <v>-</v>
      </c>
      <c r="L152" s="79">
        <f t="shared" si="11"/>
        <v>0</v>
      </c>
      <c r="M152" s="65"/>
      <c r="N152" s="187"/>
      <c r="O152" s="188"/>
      <c r="P152" s="188"/>
      <c r="Q152" s="189"/>
      <c r="R152" s="4"/>
      <c r="S152" s="178"/>
      <c r="T152" s="178"/>
      <c r="U152" s="178">
        <v>1</v>
      </c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</row>
    <row r="153" spans="2:34" ht="23.25" customHeight="1" x14ac:dyDescent="0.15">
      <c r="B153" s="51"/>
      <c r="C153" s="240"/>
      <c r="D153" s="217" t="s">
        <v>142</v>
      </c>
      <c r="E153" s="194"/>
      <c r="F153" s="194"/>
      <c r="G153" s="195"/>
      <c r="H153" s="61" t="s">
        <v>79</v>
      </c>
      <c r="I153" s="77"/>
      <c r="J153" s="78"/>
      <c r="K153" s="64" t="str">
        <f t="shared" si="9"/>
        <v>-</v>
      </c>
      <c r="L153" s="79">
        <f t="shared" si="11"/>
        <v>0</v>
      </c>
      <c r="M153" s="65"/>
      <c r="N153" s="187"/>
      <c r="O153" s="188"/>
      <c r="P153" s="188"/>
      <c r="Q153" s="189"/>
      <c r="R153" s="4"/>
      <c r="S153" s="178"/>
      <c r="T153" s="178"/>
      <c r="U153" s="178">
        <v>1</v>
      </c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</row>
    <row r="154" spans="2:34" ht="23.25" customHeight="1" x14ac:dyDescent="0.15">
      <c r="B154" s="51"/>
      <c r="C154" s="240"/>
      <c r="D154" s="217" t="s">
        <v>143</v>
      </c>
      <c r="E154" s="194"/>
      <c r="F154" s="194"/>
      <c r="G154" s="195"/>
      <c r="H154" s="61" t="s">
        <v>79</v>
      </c>
      <c r="I154" s="77"/>
      <c r="J154" s="78"/>
      <c r="K154" s="64" t="str">
        <f t="shared" si="9"/>
        <v>-</v>
      </c>
      <c r="L154" s="79">
        <f t="shared" si="11"/>
        <v>0</v>
      </c>
      <c r="M154" s="65"/>
      <c r="N154" s="181"/>
      <c r="O154" s="182"/>
      <c r="P154" s="182"/>
      <c r="Q154" s="183"/>
      <c r="R154" s="4"/>
      <c r="S154" s="178"/>
      <c r="T154" s="178"/>
      <c r="U154" s="178">
        <v>1</v>
      </c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</row>
    <row r="155" spans="2:34" ht="23.25" customHeight="1" x14ac:dyDescent="0.15">
      <c r="B155" s="50"/>
      <c r="C155" s="240"/>
      <c r="D155" s="293" t="s">
        <v>186</v>
      </c>
      <c r="E155" s="291" t="s">
        <v>78</v>
      </c>
      <c r="F155" s="291"/>
      <c r="G155" s="292"/>
      <c r="H155" s="61" t="s">
        <v>79</v>
      </c>
      <c r="I155" s="77"/>
      <c r="J155" s="78"/>
      <c r="K155" s="64" t="str">
        <f t="shared" si="9"/>
        <v>-</v>
      </c>
      <c r="L155" s="79">
        <f t="shared" si="11"/>
        <v>0</v>
      </c>
      <c r="M155" s="65"/>
      <c r="N155" s="187"/>
      <c r="O155" s="188"/>
      <c r="P155" s="188"/>
      <c r="Q155" s="189"/>
      <c r="R155" s="4"/>
      <c r="S155" s="180"/>
      <c r="T155" s="178">
        <v>1</v>
      </c>
      <c r="U155" s="180">
        <v>1</v>
      </c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76"/>
    </row>
    <row r="156" spans="2:34" ht="23.25" customHeight="1" x14ac:dyDescent="0.15">
      <c r="B156" s="50"/>
      <c r="C156" s="240"/>
      <c r="D156" s="293"/>
      <c r="E156" s="291" t="s">
        <v>80</v>
      </c>
      <c r="F156" s="291"/>
      <c r="G156" s="292"/>
      <c r="H156" s="61" t="s">
        <v>81</v>
      </c>
      <c r="I156" s="62"/>
      <c r="J156" s="63"/>
      <c r="K156" s="64" t="str">
        <f t="shared" si="9"/>
        <v>-</v>
      </c>
      <c r="L156" s="80">
        <f t="shared" si="11"/>
        <v>0</v>
      </c>
      <c r="M156" s="65"/>
      <c r="N156" s="190"/>
      <c r="O156" s="191"/>
      <c r="P156" s="191"/>
      <c r="Q156" s="192"/>
      <c r="R156" s="4"/>
      <c r="S156" s="180"/>
      <c r="T156" s="178">
        <v>1</v>
      </c>
      <c r="U156" s="180">
        <v>1</v>
      </c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76"/>
    </row>
    <row r="157" spans="2:34" ht="23.25" customHeight="1" x14ac:dyDescent="0.15">
      <c r="B157" s="50"/>
      <c r="C157" s="240"/>
      <c r="D157" s="293"/>
      <c r="E157" s="291" t="s">
        <v>187</v>
      </c>
      <c r="F157" s="291"/>
      <c r="G157" s="292"/>
      <c r="H157" s="61" t="s">
        <v>82</v>
      </c>
      <c r="I157" s="62"/>
      <c r="J157" s="63"/>
      <c r="K157" s="64" t="str">
        <f t="shared" si="9"/>
        <v>-</v>
      </c>
      <c r="L157" s="80">
        <f t="shared" si="11"/>
        <v>0</v>
      </c>
      <c r="M157" s="65"/>
      <c r="N157" s="190"/>
      <c r="O157" s="191"/>
      <c r="P157" s="191"/>
      <c r="Q157" s="192"/>
      <c r="R157" s="4"/>
      <c r="S157" s="180"/>
      <c r="T157" s="178">
        <v>1</v>
      </c>
      <c r="U157" s="180">
        <v>1</v>
      </c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76"/>
    </row>
    <row r="158" spans="2:34" ht="23.25" customHeight="1" x14ac:dyDescent="0.15">
      <c r="B158" s="50"/>
      <c r="C158" s="240"/>
      <c r="D158" s="293" t="s">
        <v>188</v>
      </c>
      <c r="E158" s="291" t="s">
        <v>78</v>
      </c>
      <c r="F158" s="291"/>
      <c r="G158" s="292"/>
      <c r="H158" s="61" t="s">
        <v>79</v>
      </c>
      <c r="I158" s="77"/>
      <c r="J158" s="78"/>
      <c r="K158" s="64" t="str">
        <f t="shared" si="9"/>
        <v>-</v>
      </c>
      <c r="L158" s="79">
        <f t="shared" si="11"/>
        <v>0</v>
      </c>
      <c r="M158" s="65"/>
      <c r="N158" s="187"/>
      <c r="O158" s="188"/>
      <c r="P158" s="188"/>
      <c r="Q158" s="189"/>
      <c r="R158" s="4"/>
      <c r="S158" s="180"/>
      <c r="T158" s="178">
        <v>1</v>
      </c>
      <c r="U158" s="180">
        <v>1</v>
      </c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76"/>
    </row>
    <row r="159" spans="2:34" ht="23.25" customHeight="1" x14ac:dyDescent="0.15">
      <c r="B159" s="50"/>
      <c r="C159" s="240"/>
      <c r="D159" s="293"/>
      <c r="E159" s="291" t="s">
        <v>80</v>
      </c>
      <c r="F159" s="291"/>
      <c r="G159" s="292"/>
      <c r="H159" s="61" t="s">
        <v>81</v>
      </c>
      <c r="I159" s="62"/>
      <c r="J159" s="63"/>
      <c r="K159" s="64" t="str">
        <f t="shared" si="9"/>
        <v>-</v>
      </c>
      <c r="L159" s="80">
        <f t="shared" si="11"/>
        <v>0</v>
      </c>
      <c r="M159" s="65"/>
      <c r="N159" s="190"/>
      <c r="O159" s="191"/>
      <c r="P159" s="191"/>
      <c r="Q159" s="192"/>
      <c r="R159" s="4"/>
      <c r="S159" s="180"/>
      <c r="T159" s="178">
        <v>1</v>
      </c>
      <c r="U159" s="180">
        <v>1</v>
      </c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76"/>
    </row>
    <row r="160" spans="2:34" ht="23.25" customHeight="1" x14ac:dyDescent="0.15">
      <c r="B160" s="50"/>
      <c r="C160" s="240"/>
      <c r="D160" s="293"/>
      <c r="E160" s="291" t="s">
        <v>187</v>
      </c>
      <c r="F160" s="291"/>
      <c r="G160" s="292"/>
      <c r="H160" s="61" t="s">
        <v>82</v>
      </c>
      <c r="I160" s="62"/>
      <c r="J160" s="63"/>
      <c r="K160" s="64" t="str">
        <f t="shared" si="9"/>
        <v>-</v>
      </c>
      <c r="L160" s="80">
        <f t="shared" si="11"/>
        <v>0</v>
      </c>
      <c r="M160" s="65"/>
      <c r="N160" s="190"/>
      <c r="O160" s="191"/>
      <c r="P160" s="191"/>
      <c r="Q160" s="192"/>
      <c r="R160" s="4"/>
      <c r="S160" s="180"/>
      <c r="T160" s="178">
        <v>1</v>
      </c>
      <c r="U160" s="180">
        <v>1</v>
      </c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76"/>
    </row>
    <row r="161" spans="2:34" ht="23.25" customHeight="1" x14ac:dyDescent="0.15">
      <c r="B161" s="50"/>
      <c r="C161" s="240"/>
      <c r="D161" s="293" t="s">
        <v>189</v>
      </c>
      <c r="E161" s="291" t="s">
        <v>78</v>
      </c>
      <c r="F161" s="291"/>
      <c r="G161" s="292"/>
      <c r="H161" s="61" t="s">
        <v>79</v>
      </c>
      <c r="I161" s="77"/>
      <c r="J161" s="78"/>
      <c r="K161" s="64" t="str">
        <f t="shared" si="9"/>
        <v>-</v>
      </c>
      <c r="L161" s="79">
        <f t="shared" si="11"/>
        <v>0</v>
      </c>
      <c r="M161" s="65"/>
      <c r="N161" s="187"/>
      <c r="O161" s="188"/>
      <c r="P161" s="188"/>
      <c r="Q161" s="189"/>
      <c r="R161" s="4"/>
      <c r="S161" s="180"/>
      <c r="T161" s="180"/>
      <c r="U161" s="180">
        <v>1</v>
      </c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76"/>
    </row>
    <row r="162" spans="2:34" ht="23.25" customHeight="1" x14ac:dyDescent="0.15">
      <c r="B162" s="50"/>
      <c r="C162" s="240"/>
      <c r="D162" s="293"/>
      <c r="E162" s="291" t="s">
        <v>80</v>
      </c>
      <c r="F162" s="291"/>
      <c r="G162" s="292"/>
      <c r="H162" s="61" t="s">
        <v>81</v>
      </c>
      <c r="I162" s="62"/>
      <c r="J162" s="63"/>
      <c r="K162" s="64" t="str">
        <f t="shared" si="9"/>
        <v>-</v>
      </c>
      <c r="L162" s="80">
        <f t="shared" si="11"/>
        <v>0</v>
      </c>
      <c r="M162" s="65"/>
      <c r="N162" s="190"/>
      <c r="O162" s="191"/>
      <c r="P162" s="191"/>
      <c r="Q162" s="192"/>
      <c r="R162" s="4"/>
      <c r="S162" s="180"/>
      <c r="T162" s="180"/>
      <c r="U162" s="180">
        <v>1</v>
      </c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76"/>
    </row>
    <row r="163" spans="2:34" ht="23.25" customHeight="1" x14ac:dyDescent="0.15">
      <c r="B163" s="50"/>
      <c r="C163" s="240"/>
      <c r="D163" s="293"/>
      <c r="E163" s="291" t="s">
        <v>190</v>
      </c>
      <c r="F163" s="291"/>
      <c r="G163" s="292"/>
      <c r="H163" s="61" t="s">
        <v>82</v>
      </c>
      <c r="I163" s="62"/>
      <c r="J163" s="63"/>
      <c r="K163" s="64" t="str">
        <f t="shared" si="9"/>
        <v>-</v>
      </c>
      <c r="L163" s="80">
        <f t="shared" si="11"/>
        <v>0</v>
      </c>
      <c r="M163" s="65"/>
      <c r="N163" s="190"/>
      <c r="O163" s="191"/>
      <c r="P163" s="191"/>
      <c r="Q163" s="192"/>
      <c r="R163" s="4"/>
      <c r="S163" s="180"/>
      <c r="T163" s="180"/>
      <c r="U163" s="180">
        <v>1</v>
      </c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76"/>
    </row>
    <row r="164" spans="2:34" ht="23.25" customHeight="1" x14ac:dyDescent="0.15">
      <c r="B164" s="50"/>
      <c r="C164" s="240"/>
      <c r="D164" s="288" t="s">
        <v>191</v>
      </c>
      <c r="E164" s="291" t="s">
        <v>78</v>
      </c>
      <c r="F164" s="291"/>
      <c r="G164" s="292"/>
      <c r="H164" s="61" t="s">
        <v>79</v>
      </c>
      <c r="I164" s="77"/>
      <c r="J164" s="78"/>
      <c r="K164" s="64" t="str">
        <f t="shared" si="9"/>
        <v>-</v>
      </c>
      <c r="L164" s="79">
        <f t="shared" si="11"/>
        <v>0</v>
      </c>
      <c r="M164" s="65"/>
      <c r="N164" s="187"/>
      <c r="O164" s="188"/>
      <c r="P164" s="188"/>
      <c r="Q164" s="189"/>
      <c r="R164" s="4"/>
      <c r="S164" s="180"/>
      <c r="T164" s="180"/>
      <c r="U164" s="180">
        <v>1</v>
      </c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76"/>
    </row>
    <row r="165" spans="2:34" ht="23.25" customHeight="1" x14ac:dyDescent="0.15">
      <c r="B165" s="50"/>
      <c r="C165" s="240"/>
      <c r="D165" s="289"/>
      <c r="E165" s="291" t="s">
        <v>80</v>
      </c>
      <c r="F165" s="291"/>
      <c r="G165" s="292"/>
      <c r="H165" s="61" t="s">
        <v>81</v>
      </c>
      <c r="I165" s="62"/>
      <c r="J165" s="63"/>
      <c r="K165" s="64" t="str">
        <f t="shared" si="9"/>
        <v>-</v>
      </c>
      <c r="L165" s="80">
        <f t="shared" si="11"/>
        <v>0</v>
      </c>
      <c r="M165" s="65"/>
      <c r="N165" s="190"/>
      <c r="O165" s="191"/>
      <c r="P165" s="191"/>
      <c r="Q165" s="192"/>
      <c r="R165" s="4"/>
      <c r="S165" s="180"/>
      <c r="T165" s="180"/>
      <c r="U165" s="180">
        <v>1</v>
      </c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76"/>
    </row>
    <row r="166" spans="2:34" ht="23.25" customHeight="1" x14ac:dyDescent="0.15">
      <c r="B166" s="50"/>
      <c r="C166" s="240"/>
      <c r="D166" s="290"/>
      <c r="E166" s="291" t="s">
        <v>190</v>
      </c>
      <c r="F166" s="291"/>
      <c r="G166" s="292"/>
      <c r="H166" s="61" t="s">
        <v>82</v>
      </c>
      <c r="I166" s="62"/>
      <c r="J166" s="63"/>
      <c r="K166" s="64" t="str">
        <f t="shared" si="9"/>
        <v>-</v>
      </c>
      <c r="L166" s="80">
        <f t="shared" si="11"/>
        <v>0</v>
      </c>
      <c r="M166" s="65"/>
      <c r="N166" s="190"/>
      <c r="O166" s="191"/>
      <c r="P166" s="191"/>
      <c r="Q166" s="192"/>
      <c r="R166" s="4"/>
      <c r="S166" s="180"/>
      <c r="T166" s="180"/>
      <c r="U166" s="180">
        <v>1</v>
      </c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76"/>
    </row>
    <row r="167" spans="2:34" ht="23.25" customHeight="1" x14ac:dyDescent="0.15">
      <c r="B167" s="50"/>
      <c r="C167" s="240"/>
      <c r="D167" s="288" t="s">
        <v>28</v>
      </c>
      <c r="E167" s="291" t="s">
        <v>78</v>
      </c>
      <c r="F167" s="291"/>
      <c r="G167" s="292"/>
      <c r="H167" s="61" t="s">
        <v>79</v>
      </c>
      <c r="I167" s="77"/>
      <c r="J167" s="78"/>
      <c r="K167" s="64" t="str">
        <f t="shared" si="9"/>
        <v>-</v>
      </c>
      <c r="L167" s="79">
        <f t="shared" si="11"/>
        <v>0</v>
      </c>
      <c r="M167" s="65"/>
      <c r="N167" s="187"/>
      <c r="O167" s="188"/>
      <c r="P167" s="188"/>
      <c r="Q167" s="189"/>
      <c r="R167" s="4"/>
      <c r="S167" s="180"/>
      <c r="T167" s="180"/>
      <c r="U167" s="180">
        <v>1</v>
      </c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76"/>
    </row>
    <row r="168" spans="2:34" ht="23.25" customHeight="1" x14ac:dyDescent="0.15">
      <c r="B168" s="50"/>
      <c r="C168" s="240"/>
      <c r="D168" s="289"/>
      <c r="E168" s="291" t="s">
        <v>80</v>
      </c>
      <c r="F168" s="291"/>
      <c r="G168" s="292"/>
      <c r="H168" s="61" t="s">
        <v>81</v>
      </c>
      <c r="I168" s="62"/>
      <c r="J168" s="63"/>
      <c r="K168" s="64" t="str">
        <f t="shared" si="9"/>
        <v>-</v>
      </c>
      <c r="L168" s="80">
        <f t="shared" si="11"/>
        <v>0</v>
      </c>
      <c r="M168" s="65"/>
      <c r="N168" s="190"/>
      <c r="O168" s="191"/>
      <c r="P168" s="191"/>
      <c r="Q168" s="192"/>
      <c r="R168" s="4"/>
      <c r="S168" s="180"/>
      <c r="T168" s="180"/>
      <c r="U168" s="180">
        <v>1</v>
      </c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76"/>
    </row>
    <row r="169" spans="2:34" ht="23.25" customHeight="1" x14ac:dyDescent="0.15">
      <c r="B169" s="50"/>
      <c r="C169" s="240"/>
      <c r="D169" s="290"/>
      <c r="E169" s="291" t="s">
        <v>192</v>
      </c>
      <c r="F169" s="291"/>
      <c r="G169" s="292"/>
      <c r="H169" s="61" t="s">
        <v>82</v>
      </c>
      <c r="I169" s="62"/>
      <c r="J169" s="63"/>
      <c r="K169" s="64" t="str">
        <f t="shared" si="9"/>
        <v>-</v>
      </c>
      <c r="L169" s="80">
        <f t="shared" si="11"/>
        <v>0</v>
      </c>
      <c r="M169" s="65"/>
      <c r="N169" s="190"/>
      <c r="O169" s="191"/>
      <c r="P169" s="191"/>
      <c r="Q169" s="192"/>
      <c r="R169" s="4"/>
      <c r="S169" s="180"/>
      <c r="T169" s="180"/>
      <c r="U169" s="180">
        <v>1</v>
      </c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76"/>
    </row>
    <row r="170" spans="2:34" ht="23.25" customHeight="1" x14ac:dyDescent="0.15">
      <c r="B170" s="50"/>
      <c r="C170" s="240"/>
      <c r="D170" s="288" t="s">
        <v>29</v>
      </c>
      <c r="E170" s="291" t="s">
        <v>78</v>
      </c>
      <c r="F170" s="291"/>
      <c r="G170" s="292"/>
      <c r="H170" s="61" t="s">
        <v>79</v>
      </c>
      <c r="I170" s="77"/>
      <c r="J170" s="78"/>
      <c r="K170" s="64" t="str">
        <f t="shared" si="9"/>
        <v>-</v>
      </c>
      <c r="L170" s="79">
        <f t="shared" si="11"/>
        <v>0</v>
      </c>
      <c r="M170" s="65"/>
      <c r="N170" s="187"/>
      <c r="O170" s="188"/>
      <c r="P170" s="188"/>
      <c r="Q170" s="189"/>
      <c r="R170" s="4"/>
      <c r="S170" s="180"/>
      <c r="T170" s="180"/>
      <c r="U170" s="180">
        <v>1</v>
      </c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76"/>
    </row>
    <row r="171" spans="2:34" ht="23.25" customHeight="1" x14ac:dyDescent="0.15">
      <c r="B171" s="50"/>
      <c r="C171" s="240"/>
      <c r="D171" s="289"/>
      <c r="E171" s="291" t="s">
        <v>80</v>
      </c>
      <c r="F171" s="291"/>
      <c r="G171" s="292"/>
      <c r="H171" s="61" t="s">
        <v>81</v>
      </c>
      <c r="I171" s="62"/>
      <c r="J171" s="63"/>
      <c r="K171" s="64" t="str">
        <f t="shared" si="9"/>
        <v>-</v>
      </c>
      <c r="L171" s="80">
        <f t="shared" si="11"/>
        <v>0</v>
      </c>
      <c r="M171" s="65"/>
      <c r="N171" s="190"/>
      <c r="O171" s="191"/>
      <c r="P171" s="191"/>
      <c r="Q171" s="192"/>
      <c r="R171" s="4"/>
      <c r="S171" s="180"/>
      <c r="T171" s="180"/>
      <c r="U171" s="180">
        <v>1</v>
      </c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76"/>
    </row>
    <row r="172" spans="2:34" ht="23.25" customHeight="1" x14ac:dyDescent="0.15">
      <c r="B172" s="50"/>
      <c r="C172" s="240"/>
      <c r="D172" s="290"/>
      <c r="E172" s="291" t="s">
        <v>192</v>
      </c>
      <c r="F172" s="291"/>
      <c r="G172" s="292"/>
      <c r="H172" s="61" t="s">
        <v>82</v>
      </c>
      <c r="I172" s="62"/>
      <c r="J172" s="63"/>
      <c r="K172" s="64" t="str">
        <f t="shared" si="9"/>
        <v>-</v>
      </c>
      <c r="L172" s="80">
        <f t="shared" si="11"/>
        <v>0</v>
      </c>
      <c r="M172" s="65"/>
      <c r="N172" s="190"/>
      <c r="O172" s="191"/>
      <c r="P172" s="191"/>
      <c r="Q172" s="192"/>
      <c r="R172" s="4"/>
      <c r="S172" s="180"/>
      <c r="T172" s="180"/>
      <c r="U172" s="180">
        <v>1</v>
      </c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76"/>
    </row>
    <row r="173" spans="2:34" ht="23.25" customHeight="1" x14ac:dyDescent="0.15">
      <c r="B173" s="50"/>
      <c r="C173" s="240"/>
      <c r="D173" s="288" t="s">
        <v>30</v>
      </c>
      <c r="E173" s="291" t="s">
        <v>193</v>
      </c>
      <c r="F173" s="291"/>
      <c r="G173" s="292"/>
      <c r="H173" s="61" t="s">
        <v>79</v>
      </c>
      <c r="I173" s="77"/>
      <c r="J173" s="78"/>
      <c r="K173" s="64" t="str">
        <f t="shared" si="9"/>
        <v>-</v>
      </c>
      <c r="L173" s="79">
        <f t="shared" si="11"/>
        <v>0</v>
      </c>
      <c r="M173" s="65"/>
      <c r="N173" s="187"/>
      <c r="O173" s="188"/>
      <c r="P173" s="188"/>
      <c r="Q173" s="189"/>
      <c r="R173" s="4"/>
      <c r="S173" s="180"/>
      <c r="T173" s="180"/>
      <c r="U173" s="180">
        <v>1</v>
      </c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76"/>
    </row>
    <row r="174" spans="2:34" ht="23.25" customHeight="1" x14ac:dyDescent="0.15">
      <c r="B174" s="50"/>
      <c r="C174" s="240"/>
      <c r="D174" s="289"/>
      <c r="E174" s="291" t="s">
        <v>80</v>
      </c>
      <c r="F174" s="291"/>
      <c r="G174" s="292"/>
      <c r="H174" s="61" t="s">
        <v>81</v>
      </c>
      <c r="I174" s="62"/>
      <c r="J174" s="63"/>
      <c r="K174" s="64" t="str">
        <f t="shared" si="9"/>
        <v>-</v>
      </c>
      <c r="L174" s="80">
        <f t="shared" si="11"/>
        <v>0</v>
      </c>
      <c r="M174" s="65"/>
      <c r="N174" s="190"/>
      <c r="O174" s="191"/>
      <c r="P174" s="191"/>
      <c r="Q174" s="192"/>
      <c r="R174" s="4"/>
      <c r="S174" s="180"/>
      <c r="T174" s="180"/>
      <c r="U174" s="180">
        <v>1</v>
      </c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76"/>
    </row>
    <row r="175" spans="2:34" ht="23.25" customHeight="1" x14ac:dyDescent="0.15">
      <c r="B175" s="50"/>
      <c r="C175" s="240"/>
      <c r="D175" s="290"/>
      <c r="E175" s="291" t="s">
        <v>237</v>
      </c>
      <c r="F175" s="291"/>
      <c r="G175" s="292"/>
      <c r="H175" s="61" t="s">
        <v>82</v>
      </c>
      <c r="I175" s="62"/>
      <c r="J175" s="63"/>
      <c r="K175" s="64" t="str">
        <f t="shared" si="9"/>
        <v>-</v>
      </c>
      <c r="L175" s="80">
        <f t="shared" si="11"/>
        <v>0</v>
      </c>
      <c r="M175" s="65"/>
      <c r="N175" s="190"/>
      <c r="O175" s="191"/>
      <c r="P175" s="191"/>
      <c r="Q175" s="192"/>
      <c r="R175" s="4"/>
      <c r="S175" s="180"/>
      <c r="T175" s="180"/>
      <c r="U175" s="180">
        <v>1</v>
      </c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76"/>
    </row>
    <row r="176" spans="2:34" ht="23.25" customHeight="1" x14ac:dyDescent="0.15">
      <c r="B176" s="50"/>
      <c r="C176" s="240"/>
      <c r="D176" s="284" t="s">
        <v>84</v>
      </c>
      <c r="E176" s="227"/>
      <c r="F176" s="227"/>
      <c r="G176" s="228"/>
      <c r="H176" s="61" t="s">
        <v>76</v>
      </c>
      <c r="I176" s="77"/>
      <c r="J176" s="78"/>
      <c r="K176" s="64" t="str">
        <f t="shared" si="9"/>
        <v>-</v>
      </c>
      <c r="L176" s="79">
        <f t="shared" si="11"/>
        <v>0</v>
      </c>
      <c r="M176" s="65"/>
      <c r="N176" s="187"/>
      <c r="O176" s="188"/>
      <c r="P176" s="188"/>
      <c r="Q176" s="189"/>
      <c r="R176" s="4"/>
      <c r="S176" s="178"/>
      <c r="T176" s="178">
        <v>1</v>
      </c>
      <c r="U176" s="178"/>
      <c r="V176" s="178">
        <v>1</v>
      </c>
      <c r="W176" s="178">
        <v>1</v>
      </c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</row>
    <row r="177" spans="2:33" ht="23.25" customHeight="1" x14ac:dyDescent="0.15">
      <c r="B177" s="50"/>
      <c r="C177" s="240"/>
      <c r="D177" s="284" t="s">
        <v>85</v>
      </c>
      <c r="E177" s="227"/>
      <c r="F177" s="227"/>
      <c r="G177" s="228"/>
      <c r="H177" s="61" t="s">
        <v>86</v>
      </c>
      <c r="I177" s="77"/>
      <c r="J177" s="78"/>
      <c r="K177" s="64" t="str">
        <f t="shared" si="9"/>
        <v>-</v>
      </c>
      <c r="L177" s="79">
        <f t="shared" si="11"/>
        <v>0</v>
      </c>
      <c r="M177" s="65"/>
      <c r="N177" s="187"/>
      <c r="O177" s="188"/>
      <c r="P177" s="188"/>
      <c r="Q177" s="189"/>
      <c r="R177" s="4"/>
      <c r="S177" s="178"/>
      <c r="T177" s="178"/>
      <c r="U177" s="178"/>
      <c r="V177" s="178">
        <v>1</v>
      </c>
      <c r="W177" s="178">
        <v>1</v>
      </c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</row>
    <row r="178" spans="2:33" ht="23.25" customHeight="1" x14ac:dyDescent="0.15">
      <c r="B178" s="50"/>
      <c r="C178" s="240"/>
      <c r="D178" s="284" t="s">
        <v>87</v>
      </c>
      <c r="E178" s="227"/>
      <c r="F178" s="227"/>
      <c r="G178" s="228"/>
      <c r="H178" s="61" t="s">
        <v>76</v>
      </c>
      <c r="I178" s="77"/>
      <c r="J178" s="78"/>
      <c r="K178" s="64" t="str">
        <f t="shared" si="9"/>
        <v>-</v>
      </c>
      <c r="L178" s="79">
        <f t="shared" si="11"/>
        <v>0</v>
      </c>
      <c r="M178" s="65"/>
      <c r="N178" s="187"/>
      <c r="O178" s="188"/>
      <c r="P178" s="188"/>
      <c r="Q178" s="189"/>
      <c r="R178" s="4"/>
      <c r="S178" s="178"/>
      <c r="T178" s="178"/>
      <c r="U178" s="178"/>
      <c r="V178" s="178"/>
      <c r="W178" s="178"/>
      <c r="X178" s="178">
        <v>1</v>
      </c>
      <c r="Y178" s="178"/>
      <c r="Z178" s="178"/>
      <c r="AA178" s="178"/>
      <c r="AB178" s="178"/>
      <c r="AC178" s="178"/>
      <c r="AD178" s="178"/>
      <c r="AE178" s="178"/>
      <c r="AF178" s="178"/>
      <c r="AG178" s="178"/>
    </row>
    <row r="179" spans="2:33" ht="23.25" customHeight="1" x14ac:dyDescent="0.15">
      <c r="B179" s="50"/>
      <c r="C179" s="240"/>
      <c r="D179" s="287" t="s">
        <v>88</v>
      </c>
      <c r="E179" s="227"/>
      <c r="F179" s="227"/>
      <c r="G179" s="228"/>
      <c r="H179" s="61" t="s">
        <v>76</v>
      </c>
      <c r="I179" s="77"/>
      <c r="J179" s="78"/>
      <c r="K179" s="64" t="str">
        <f t="shared" si="9"/>
        <v>-</v>
      </c>
      <c r="L179" s="79">
        <f t="shared" si="11"/>
        <v>0</v>
      </c>
      <c r="M179" s="65"/>
      <c r="N179" s="253"/>
      <c r="O179" s="254"/>
      <c r="P179" s="254"/>
      <c r="Q179" s="255"/>
      <c r="R179" s="4"/>
      <c r="S179" s="178"/>
      <c r="T179" s="178"/>
      <c r="U179" s="178"/>
      <c r="V179" s="178"/>
      <c r="W179" s="178"/>
      <c r="X179" s="178"/>
      <c r="Y179" s="178">
        <v>1</v>
      </c>
      <c r="Z179" s="178">
        <v>1</v>
      </c>
      <c r="AA179" s="178"/>
      <c r="AB179" s="178"/>
      <c r="AC179" s="178"/>
      <c r="AD179" s="178"/>
      <c r="AE179" s="178"/>
      <c r="AF179" s="178"/>
      <c r="AG179" s="178"/>
    </row>
    <row r="180" spans="2:33" ht="23.25" customHeight="1" x14ac:dyDescent="0.15">
      <c r="B180" s="50"/>
      <c r="C180" s="240"/>
      <c r="D180" s="81"/>
      <c r="E180" s="285" t="s">
        <v>37</v>
      </c>
      <c r="F180" s="227"/>
      <c r="G180" s="228"/>
      <c r="H180" s="61" t="s">
        <v>76</v>
      </c>
      <c r="I180" s="77"/>
      <c r="J180" s="78"/>
      <c r="K180" s="64" t="str">
        <f t="shared" si="9"/>
        <v>-</v>
      </c>
      <c r="L180" s="79">
        <f t="shared" si="11"/>
        <v>0</v>
      </c>
      <c r="M180" s="65"/>
      <c r="N180" s="253"/>
      <c r="O180" s="254"/>
      <c r="P180" s="254"/>
      <c r="Q180" s="255"/>
      <c r="R180" s="4"/>
      <c r="S180" s="178"/>
      <c r="T180" s="178"/>
      <c r="U180" s="178"/>
      <c r="V180" s="178"/>
      <c r="W180" s="178"/>
      <c r="X180" s="178"/>
      <c r="Y180" s="178">
        <v>1</v>
      </c>
      <c r="Z180" s="178"/>
      <c r="AA180" s="178"/>
      <c r="AB180" s="178"/>
      <c r="AC180" s="178"/>
      <c r="AD180" s="178"/>
      <c r="AE180" s="178"/>
      <c r="AF180" s="178"/>
      <c r="AG180" s="178"/>
    </row>
    <row r="181" spans="2:33" ht="23.25" customHeight="1" x14ac:dyDescent="0.15">
      <c r="B181" s="50"/>
      <c r="C181" s="240"/>
      <c r="D181" s="82"/>
      <c r="E181" s="285" t="s">
        <v>155</v>
      </c>
      <c r="F181" s="227"/>
      <c r="G181" s="228"/>
      <c r="H181" s="61" t="s">
        <v>76</v>
      </c>
      <c r="I181" s="77"/>
      <c r="J181" s="78"/>
      <c r="K181" s="64" t="str">
        <f t="shared" si="9"/>
        <v>-</v>
      </c>
      <c r="L181" s="79">
        <f t="shared" si="11"/>
        <v>0</v>
      </c>
      <c r="M181" s="65"/>
      <c r="N181" s="253"/>
      <c r="O181" s="254"/>
      <c r="P181" s="254"/>
      <c r="Q181" s="255"/>
      <c r="R181" s="4"/>
      <c r="S181" s="178"/>
      <c r="T181" s="178"/>
      <c r="U181" s="178"/>
      <c r="V181" s="178"/>
      <c r="W181" s="178"/>
      <c r="X181" s="178"/>
      <c r="Y181" s="178">
        <v>1</v>
      </c>
      <c r="Z181" s="178"/>
      <c r="AA181" s="178"/>
      <c r="AB181" s="178"/>
      <c r="AC181" s="178"/>
      <c r="AD181" s="178"/>
      <c r="AE181" s="178"/>
      <c r="AF181" s="178"/>
      <c r="AG181" s="178"/>
    </row>
    <row r="182" spans="2:33" ht="23.25" customHeight="1" x14ac:dyDescent="0.15">
      <c r="B182" s="50"/>
      <c r="C182" s="240"/>
      <c r="D182" s="287" t="s">
        <v>89</v>
      </c>
      <c r="E182" s="227"/>
      <c r="F182" s="227"/>
      <c r="G182" s="228"/>
      <c r="H182" s="61" t="s">
        <v>86</v>
      </c>
      <c r="I182" s="77"/>
      <c r="J182" s="78"/>
      <c r="K182" s="64" t="str">
        <f t="shared" si="9"/>
        <v>-</v>
      </c>
      <c r="L182" s="79">
        <f t="shared" si="11"/>
        <v>0</v>
      </c>
      <c r="M182" s="65"/>
      <c r="N182" s="253"/>
      <c r="O182" s="254"/>
      <c r="P182" s="254"/>
      <c r="Q182" s="255"/>
      <c r="R182" s="4"/>
      <c r="S182" s="178"/>
      <c r="T182" s="178"/>
      <c r="U182" s="178"/>
      <c r="V182" s="178"/>
      <c r="W182" s="178"/>
      <c r="X182" s="178"/>
      <c r="Y182" s="178">
        <v>1</v>
      </c>
      <c r="Z182" s="178">
        <v>1</v>
      </c>
      <c r="AA182" s="178"/>
      <c r="AB182" s="178"/>
      <c r="AC182" s="178"/>
      <c r="AD182" s="178"/>
      <c r="AE182" s="178"/>
      <c r="AF182" s="178"/>
      <c r="AG182" s="178"/>
    </row>
    <row r="183" spans="2:33" ht="23.25" customHeight="1" x14ac:dyDescent="0.15">
      <c r="B183" s="50"/>
      <c r="C183" s="240"/>
      <c r="D183" s="81"/>
      <c r="E183" s="285" t="s">
        <v>194</v>
      </c>
      <c r="F183" s="227"/>
      <c r="G183" s="228"/>
      <c r="H183" s="61" t="s">
        <v>86</v>
      </c>
      <c r="I183" s="77"/>
      <c r="J183" s="78"/>
      <c r="K183" s="64" t="str">
        <f t="shared" si="9"/>
        <v>-</v>
      </c>
      <c r="L183" s="79">
        <f t="shared" si="11"/>
        <v>0</v>
      </c>
      <c r="M183" s="65"/>
      <c r="N183" s="253"/>
      <c r="O183" s="254"/>
      <c r="P183" s="254"/>
      <c r="Q183" s="255"/>
      <c r="R183" s="4"/>
      <c r="S183" s="178"/>
      <c r="T183" s="178"/>
      <c r="U183" s="178"/>
      <c r="V183" s="178"/>
      <c r="W183" s="178"/>
      <c r="X183" s="178"/>
      <c r="Y183" s="178"/>
      <c r="Z183" s="178">
        <v>1</v>
      </c>
      <c r="AA183" s="178"/>
      <c r="AB183" s="178"/>
      <c r="AC183" s="178"/>
      <c r="AD183" s="178"/>
      <c r="AE183" s="178"/>
      <c r="AF183" s="178"/>
      <c r="AG183" s="178"/>
    </row>
    <row r="184" spans="2:33" ht="23.25" customHeight="1" x14ac:dyDescent="0.15">
      <c r="B184" s="50"/>
      <c r="C184" s="240"/>
      <c r="D184" s="82"/>
      <c r="E184" s="285" t="s">
        <v>195</v>
      </c>
      <c r="F184" s="227"/>
      <c r="G184" s="228"/>
      <c r="H184" s="61" t="s">
        <v>86</v>
      </c>
      <c r="I184" s="77"/>
      <c r="J184" s="78"/>
      <c r="K184" s="64" t="str">
        <f t="shared" si="9"/>
        <v>-</v>
      </c>
      <c r="L184" s="79">
        <f t="shared" si="11"/>
        <v>0</v>
      </c>
      <c r="M184" s="65"/>
      <c r="N184" s="253"/>
      <c r="O184" s="254"/>
      <c r="P184" s="254"/>
      <c r="Q184" s="255"/>
      <c r="R184" s="4"/>
      <c r="S184" s="178"/>
      <c r="T184" s="178"/>
      <c r="U184" s="178"/>
      <c r="V184" s="178"/>
      <c r="W184" s="178"/>
      <c r="X184" s="178"/>
      <c r="Y184" s="178"/>
      <c r="Z184" s="178">
        <v>1</v>
      </c>
      <c r="AA184" s="178"/>
      <c r="AB184" s="178"/>
      <c r="AC184" s="178"/>
      <c r="AD184" s="178"/>
      <c r="AE184" s="178"/>
      <c r="AF184" s="178"/>
      <c r="AG184" s="178"/>
    </row>
    <row r="185" spans="2:33" ht="23.25" customHeight="1" x14ac:dyDescent="0.15">
      <c r="B185" s="50"/>
      <c r="C185" s="240"/>
      <c r="D185" s="284" t="s">
        <v>196</v>
      </c>
      <c r="E185" s="227"/>
      <c r="F185" s="227"/>
      <c r="G185" s="228"/>
      <c r="H185" s="61" t="s">
        <v>76</v>
      </c>
      <c r="I185" s="77"/>
      <c r="J185" s="83"/>
      <c r="K185" s="64" t="str">
        <f t="shared" si="9"/>
        <v>-</v>
      </c>
      <c r="L185" s="79">
        <f t="shared" si="11"/>
        <v>0</v>
      </c>
      <c r="M185" s="65"/>
      <c r="N185" s="187"/>
      <c r="O185" s="188"/>
      <c r="P185" s="188"/>
      <c r="Q185" s="189"/>
      <c r="R185" s="4"/>
      <c r="S185" s="178"/>
      <c r="T185" s="178">
        <v>1</v>
      </c>
      <c r="U185" s="178"/>
      <c r="V185" s="178"/>
      <c r="W185" s="178"/>
      <c r="X185" s="178"/>
      <c r="Y185" s="178"/>
      <c r="Z185" s="178"/>
      <c r="AA185" s="178">
        <v>1</v>
      </c>
      <c r="AB185" s="178">
        <v>1</v>
      </c>
      <c r="AC185" s="178">
        <v>1</v>
      </c>
      <c r="AD185" s="178"/>
      <c r="AE185" s="178"/>
      <c r="AF185" s="178"/>
      <c r="AG185" s="178"/>
    </row>
    <row r="186" spans="2:33" ht="23.25" customHeight="1" x14ac:dyDescent="0.15">
      <c r="B186" s="50"/>
      <c r="C186" s="240"/>
      <c r="D186" s="284" t="s">
        <v>243</v>
      </c>
      <c r="E186" s="285"/>
      <c r="F186" s="285"/>
      <c r="G186" s="286"/>
      <c r="H186" s="61" t="s">
        <v>76</v>
      </c>
      <c r="I186" s="77"/>
      <c r="J186" s="83"/>
      <c r="K186" s="64" t="str">
        <f t="shared" si="9"/>
        <v>-</v>
      </c>
      <c r="L186" s="79">
        <f t="shared" si="11"/>
        <v>0</v>
      </c>
      <c r="M186" s="65"/>
      <c r="N186" s="253"/>
      <c r="O186" s="254"/>
      <c r="P186" s="254"/>
      <c r="Q186" s="255"/>
      <c r="R186" s="4"/>
      <c r="S186" s="178"/>
      <c r="T186" s="178">
        <v>1</v>
      </c>
      <c r="U186" s="178"/>
      <c r="V186" s="178"/>
      <c r="W186" s="178"/>
      <c r="X186" s="178"/>
      <c r="Y186" s="178"/>
      <c r="Z186" s="178"/>
      <c r="AA186" s="178">
        <v>1</v>
      </c>
      <c r="AB186" s="178">
        <v>1</v>
      </c>
      <c r="AC186" s="178">
        <v>1</v>
      </c>
      <c r="AD186" s="178"/>
      <c r="AE186" s="178"/>
      <c r="AF186" s="178"/>
      <c r="AG186" s="178"/>
    </row>
    <row r="187" spans="2:33" ht="23.25" customHeight="1" x14ac:dyDescent="0.15">
      <c r="B187" s="50"/>
      <c r="C187" s="240"/>
      <c r="D187" s="284" t="s">
        <v>197</v>
      </c>
      <c r="E187" s="285"/>
      <c r="F187" s="285"/>
      <c r="G187" s="286"/>
      <c r="H187" s="61" t="s">
        <v>94</v>
      </c>
      <c r="I187" s="62"/>
      <c r="J187" s="112"/>
      <c r="K187" s="64" t="str">
        <f t="shared" si="9"/>
        <v>-</v>
      </c>
      <c r="L187" s="80">
        <f t="shared" si="11"/>
        <v>0</v>
      </c>
      <c r="M187" s="65"/>
      <c r="N187" s="253"/>
      <c r="O187" s="254"/>
      <c r="P187" s="254"/>
      <c r="Q187" s="255"/>
      <c r="R187" s="4"/>
      <c r="S187" s="178"/>
      <c r="T187" s="178">
        <v>1</v>
      </c>
      <c r="U187" s="178"/>
      <c r="V187" s="178"/>
      <c r="W187" s="178"/>
      <c r="X187" s="178"/>
      <c r="Y187" s="178"/>
      <c r="Z187" s="178"/>
      <c r="AA187" s="178">
        <v>1</v>
      </c>
      <c r="AB187" s="178">
        <v>1</v>
      </c>
      <c r="AC187" s="178">
        <v>1</v>
      </c>
      <c r="AD187" s="178"/>
      <c r="AE187" s="178"/>
      <c r="AF187" s="178"/>
      <c r="AG187" s="178"/>
    </row>
    <row r="188" spans="2:33" ht="23.25" customHeight="1" x14ac:dyDescent="0.15">
      <c r="B188" s="50"/>
      <c r="C188" s="240"/>
      <c r="D188" s="284" t="s">
        <v>244</v>
      </c>
      <c r="E188" s="285"/>
      <c r="F188" s="285"/>
      <c r="G188" s="286"/>
      <c r="H188" s="61" t="s">
        <v>76</v>
      </c>
      <c r="I188" s="77"/>
      <c r="J188" s="83"/>
      <c r="K188" s="64" t="str">
        <f t="shared" si="9"/>
        <v>-</v>
      </c>
      <c r="L188" s="79">
        <f t="shared" si="11"/>
        <v>0</v>
      </c>
      <c r="M188" s="65"/>
      <c r="N188" s="253"/>
      <c r="O188" s="254"/>
      <c r="P188" s="254"/>
      <c r="Q188" s="255"/>
      <c r="R188" s="4"/>
      <c r="S188" s="178"/>
      <c r="T188" s="178">
        <v>1</v>
      </c>
      <c r="U188" s="178"/>
      <c r="V188" s="178"/>
      <c r="W188" s="178"/>
      <c r="X188" s="178"/>
      <c r="Y188" s="178"/>
      <c r="Z188" s="178"/>
      <c r="AA188" s="178">
        <v>1</v>
      </c>
      <c r="AB188" s="178">
        <v>1</v>
      </c>
      <c r="AC188" s="178">
        <v>1</v>
      </c>
      <c r="AD188" s="178"/>
      <c r="AE188" s="178"/>
      <c r="AF188" s="178"/>
      <c r="AG188" s="178"/>
    </row>
    <row r="189" spans="2:33" ht="23.25" customHeight="1" x14ac:dyDescent="0.15">
      <c r="B189" s="50"/>
      <c r="C189" s="240"/>
      <c r="D189" s="284" t="s">
        <v>245</v>
      </c>
      <c r="E189" s="285"/>
      <c r="F189" s="285"/>
      <c r="G189" s="286"/>
      <c r="H189" s="61" t="s">
        <v>76</v>
      </c>
      <c r="I189" s="77"/>
      <c r="J189" s="83"/>
      <c r="K189" s="64" t="str">
        <f t="shared" si="9"/>
        <v>-</v>
      </c>
      <c r="L189" s="79">
        <f t="shared" si="11"/>
        <v>0</v>
      </c>
      <c r="M189" s="65"/>
      <c r="N189" s="253"/>
      <c r="O189" s="254"/>
      <c r="P189" s="254"/>
      <c r="Q189" s="255"/>
      <c r="R189" s="4"/>
      <c r="S189" s="178"/>
      <c r="T189" s="178">
        <v>1</v>
      </c>
      <c r="U189" s="178"/>
      <c r="V189" s="178"/>
      <c r="W189" s="178"/>
      <c r="X189" s="178"/>
      <c r="Y189" s="178"/>
      <c r="Z189" s="178"/>
      <c r="AA189" s="178">
        <v>1</v>
      </c>
      <c r="AB189" s="178">
        <v>1</v>
      </c>
      <c r="AC189" s="178">
        <v>1</v>
      </c>
      <c r="AD189" s="178"/>
      <c r="AE189" s="178"/>
      <c r="AF189" s="178"/>
      <c r="AG189" s="178"/>
    </row>
    <row r="190" spans="2:33" ht="23.25" customHeight="1" x14ac:dyDescent="0.15">
      <c r="B190" s="50"/>
      <c r="C190" s="240"/>
      <c r="D190" s="284" t="s">
        <v>90</v>
      </c>
      <c r="E190" s="227"/>
      <c r="F190" s="227"/>
      <c r="G190" s="228"/>
      <c r="H190" s="61" t="s">
        <v>91</v>
      </c>
      <c r="I190" s="77"/>
      <c r="J190" s="78"/>
      <c r="K190" s="64" t="str">
        <f t="shared" si="9"/>
        <v>-</v>
      </c>
      <c r="L190" s="79">
        <f t="shared" si="11"/>
        <v>0</v>
      </c>
      <c r="M190" s="65"/>
      <c r="N190" s="253"/>
      <c r="O190" s="254"/>
      <c r="P190" s="254"/>
      <c r="Q190" s="255"/>
      <c r="R190" s="4"/>
      <c r="S190" s="178"/>
      <c r="T190" s="178"/>
      <c r="U190" s="178"/>
      <c r="V190" s="178"/>
      <c r="W190" s="178"/>
      <c r="X190" s="178"/>
      <c r="Y190" s="178"/>
      <c r="Z190" s="178"/>
      <c r="AA190" s="178">
        <v>1</v>
      </c>
      <c r="AB190" s="178"/>
      <c r="AC190" s="178"/>
      <c r="AD190" s="178"/>
      <c r="AE190" s="178"/>
      <c r="AF190" s="178"/>
      <c r="AG190" s="178"/>
    </row>
    <row r="191" spans="2:33" ht="23.25" customHeight="1" x14ac:dyDescent="0.15">
      <c r="B191" s="50"/>
      <c r="C191" s="240"/>
      <c r="D191" s="280" t="s">
        <v>92</v>
      </c>
      <c r="E191" s="283" t="s">
        <v>93</v>
      </c>
      <c r="F191" s="278"/>
      <c r="G191" s="258"/>
      <c r="H191" s="61" t="s">
        <v>94</v>
      </c>
      <c r="I191" s="62"/>
      <c r="J191" s="63"/>
      <c r="K191" s="64" t="str">
        <f t="shared" si="9"/>
        <v>-</v>
      </c>
      <c r="L191" s="64">
        <f t="shared" si="11"/>
        <v>0</v>
      </c>
      <c r="M191" s="65"/>
      <c r="N191" s="253"/>
      <c r="O191" s="254"/>
      <c r="P191" s="254"/>
      <c r="Q191" s="255"/>
      <c r="R191" s="4"/>
      <c r="S191" s="178"/>
      <c r="T191" s="178"/>
      <c r="U191" s="178"/>
      <c r="V191" s="178"/>
      <c r="W191" s="178"/>
      <c r="X191" s="178"/>
      <c r="Y191" s="178"/>
      <c r="Z191" s="178"/>
      <c r="AA191" s="178">
        <v>1</v>
      </c>
      <c r="AB191" s="178"/>
      <c r="AC191" s="178"/>
      <c r="AD191" s="178"/>
      <c r="AE191" s="178"/>
      <c r="AF191" s="178"/>
      <c r="AG191" s="178"/>
    </row>
    <row r="192" spans="2:33" ht="23.25" customHeight="1" x14ac:dyDescent="0.15">
      <c r="B192" s="50"/>
      <c r="C192" s="240"/>
      <c r="D192" s="281"/>
      <c r="E192" s="283" t="s">
        <v>95</v>
      </c>
      <c r="F192" s="278"/>
      <c r="G192" s="258"/>
      <c r="H192" s="61" t="s">
        <v>81</v>
      </c>
      <c r="I192" s="62"/>
      <c r="J192" s="63"/>
      <c r="K192" s="64" t="str">
        <f t="shared" si="9"/>
        <v>-</v>
      </c>
      <c r="L192" s="64">
        <f t="shared" si="11"/>
        <v>0</v>
      </c>
      <c r="M192" s="65"/>
      <c r="N192" s="190"/>
      <c r="O192" s="191"/>
      <c r="P192" s="191"/>
      <c r="Q192" s="192"/>
      <c r="R192" s="4"/>
      <c r="S192" s="178"/>
      <c r="T192" s="178"/>
      <c r="U192" s="178"/>
      <c r="V192" s="178"/>
      <c r="W192" s="178"/>
      <c r="X192" s="178"/>
      <c r="Y192" s="178"/>
      <c r="Z192" s="178"/>
      <c r="AA192" s="178">
        <v>1</v>
      </c>
      <c r="AB192" s="178"/>
      <c r="AC192" s="178"/>
      <c r="AD192" s="178"/>
      <c r="AE192" s="178"/>
      <c r="AF192" s="178"/>
      <c r="AG192" s="178"/>
    </row>
    <row r="193" spans="2:33" ht="23.25" customHeight="1" x14ac:dyDescent="0.15">
      <c r="B193" s="50"/>
      <c r="C193" s="240"/>
      <c r="D193" s="282"/>
      <c r="E193" s="283" t="s">
        <v>96</v>
      </c>
      <c r="F193" s="278"/>
      <c r="G193" s="258"/>
      <c r="H193" s="61" t="s">
        <v>82</v>
      </c>
      <c r="I193" s="62"/>
      <c r="J193" s="63"/>
      <c r="K193" s="64" t="str">
        <f t="shared" si="9"/>
        <v>-</v>
      </c>
      <c r="L193" s="80">
        <f t="shared" si="11"/>
        <v>0</v>
      </c>
      <c r="M193" s="65"/>
      <c r="N193" s="190"/>
      <c r="O193" s="191"/>
      <c r="P193" s="191"/>
      <c r="Q193" s="192"/>
      <c r="R193" s="4"/>
      <c r="S193" s="178"/>
      <c r="T193" s="178"/>
      <c r="U193" s="178"/>
      <c r="V193" s="178"/>
      <c r="W193" s="178"/>
      <c r="X193" s="178"/>
      <c r="Y193" s="178"/>
      <c r="Z193" s="178"/>
      <c r="AA193" s="178">
        <v>1</v>
      </c>
      <c r="AB193" s="178"/>
      <c r="AC193" s="178"/>
      <c r="AD193" s="178"/>
      <c r="AE193" s="178"/>
      <c r="AF193" s="178"/>
      <c r="AG193" s="178"/>
    </row>
    <row r="194" spans="2:33" ht="23.25" customHeight="1" x14ac:dyDescent="0.15">
      <c r="B194" s="50"/>
      <c r="C194" s="240"/>
      <c r="D194" s="277" t="s">
        <v>238</v>
      </c>
      <c r="E194" s="278"/>
      <c r="F194" s="278"/>
      <c r="G194" s="258"/>
      <c r="H194" s="61" t="s">
        <v>91</v>
      </c>
      <c r="I194" s="77"/>
      <c r="J194" s="78"/>
      <c r="K194" s="64" t="str">
        <f t="shared" si="9"/>
        <v>-</v>
      </c>
      <c r="L194" s="79">
        <f t="shared" si="11"/>
        <v>0</v>
      </c>
      <c r="M194" s="65"/>
      <c r="N194" s="253"/>
      <c r="O194" s="254"/>
      <c r="P194" s="254"/>
      <c r="Q194" s="255"/>
      <c r="R194" s="4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>
        <v>1</v>
      </c>
      <c r="AC194" s="178">
        <v>1</v>
      </c>
      <c r="AD194" s="178"/>
      <c r="AE194" s="178"/>
      <c r="AF194" s="178"/>
      <c r="AG194" s="178"/>
    </row>
    <row r="195" spans="2:33" ht="23.25" customHeight="1" x14ac:dyDescent="0.15">
      <c r="B195" s="50"/>
      <c r="C195" s="240"/>
      <c r="D195" s="277" t="s">
        <v>97</v>
      </c>
      <c r="E195" s="279"/>
      <c r="F195" s="279"/>
      <c r="G195" s="252"/>
      <c r="H195" s="61" t="s">
        <v>91</v>
      </c>
      <c r="I195" s="77"/>
      <c r="J195" s="78"/>
      <c r="K195" s="64" t="str">
        <f t="shared" si="9"/>
        <v>-</v>
      </c>
      <c r="L195" s="79">
        <f t="shared" si="11"/>
        <v>0</v>
      </c>
      <c r="M195" s="65"/>
      <c r="N195" s="187"/>
      <c r="O195" s="188"/>
      <c r="P195" s="188"/>
      <c r="Q195" s="189"/>
      <c r="R195" s="4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>
        <v>1</v>
      </c>
      <c r="AC195" s="178">
        <v>1</v>
      </c>
      <c r="AD195" s="178"/>
      <c r="AE195" s="178"/>
      <c r="AF195" s="178"/>
      <c r="AG195" s="178"/>
    </row>
    <row r="196" spans="2:33" ht="23.25" customHeight="1" x14ac:dyDescent="0.15">
      <c r="B196" s="50"/>
      <c r="C196" s="240"/>
      <c r="D196" s="226" t="s">
        <v>98</v>
      </c>
      <c r="E196" s="243"/>
      <c r="F196" s="243"/>
      <c r="G196" s="244"/>
      <c r="H196" s="61" t="s">
        <v>82</v>
      </c>
      <c r="I196" s="62"/>
      <c r="J196" s="63"/>
      <c r="K196" s="64" t="str">
        <f t="shared" si="9"/>
        <v>-</v>
      </c>
      <c r="L196" s="80">
        <f t="shared" si="11"/>
        <v>0</v>
      </c>
      <c r="M196" s="65"/>
      <c r="N196" s="187"/>
      <c r="O196" s="188"/>
      <c r="P196" s="188"/>
      <c r="Q196" s="189"/>
      <c r="R196" s="4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>
        <v>1</v>
      </c>
      <c r="AC196" s="178">
        <v>1</v>
      </c>
      <c r="AD196" s="178"/>
      <c r="AE196" s="178"/>
      <c r="AF196" s="178"/>
      <c r="AG196" s="178"/>
    </row>
    <row r="197" spans="2:33" ht="23.25" customHeight="1" x14ac:dyDescent="0.15">
      <c r="B197" s="50"/>
      <c r="C197" s="240"/>
      <c r="D197" s="271" t="s">
        <v>99</v>
      </c>
      <c r="E197" s="279"/>
      <c r="F197" s="279"/>
      <c r="G197" s="252"/>
      <c r="H197" s="61" t="s">
        <v>91</v>
      </c>
      <c r="I197" s="77"/>
      <c r="J197" s="78"/>
      <c r="K197" s="64" t="str">
        <f t="shared" si="9"/>
        <v>-</v>
      </c>
      <c r="L197" s="79">
        <f t="shared" si="11"/>
        <v>0</v>
      </c>
      <c r="M197" s="65"/>
      <c r="N197" s="253"/>
      <c r="O197" s="254"/>
      <c r="P197" s="254"/>
      <c r="Q197" s="255"/>
      <c r="R197" s="4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>
        <v>1</v>
      </c>
      <c r="AC197" s="178">
        <v>1</v>
      </c>
      <c r="AD197" s="178"/>
      <c r="AE197" s="178"/>
      <c r="AF197" s="178"/>
      <c r="AG197" s="178"/>
    </row>
    <row r="198" spans="2:33" ht="23.25" customHeight="1" x14ac:dyDescent="0.15">
      <c r="B198" s="50"/>
      <c r="C198" s="240"/>
      <c r="D198" s="84"/>
      <c r="E198" s="273" t="s">
        <v>46</v>
      </c>
      <c r="F198" s="243"/>
      <c r="G198" s="244"/>
      <c r="H198" s="61" t="s">
        <v>91</v>
      </c>
      <c r="I198" s="77"/>
      <c r="J198" s="78"/>
      <c r="K198" s="64" t="str">
        <f t="shared" si="9"/>
        <v>-</v>
      </c>
      <c r="L198" s="79">
        <f t="shared" si="11"/>
        <v>0</v>
      </c>
      <c r="M198" s="65"/>
      <c r="N198" s="253"/>
      <c r="O198" s="254"/>
      <c r="P198" s="254"/>
      <c r="Q198" s="255"/>
      <c r="R198" s="4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>
        <v>1</v>
      </c>
      <c r="AD198" s="178"/>
      <c r="AE198" s="178"/>
      <c r="AF198" s="178"/>
      <c r="AG198" s="178"/>
    </row>
    <row r="199" spans="2:33" ht="23.25" customHeight="1" x14ac:dyDescent="0.15">
      <c r="B199" s="50"/>
      <c r="C199" s="240"/>
      <c r="D199" s="84"/>
      <c r="E199" s="274" t="s">
        <v>100</v>
      </c>
      <c r="F199" s="275"/>
      <c r="G199" s="276"/>
      <c r="H199" s="61" t="s">
        <v>91</v>
      </c>
      <c r="I199" s="77"/>
      <c r="J199" s="78"/>
      <c r="K199" s="64" t="str">
        <f t="shared" si="9"/>
        <v>-</v>
      </c>
      <c r="L199" s="79">
        <f t="shared" si="11"/>
        <v>0</v>
      </c>
      <c r="M199" s="65"/>
      <c r="N199" s="187"/>
      <c r="O199" s="188"/>
      <c r="P199" s="188"/>
      <c r="Q199" s="189"/>
      <c r="R199" s="4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9"/>
      <c r="AD199" s="179"/>
      <c r="AE199" s="179"/>
      <c r="AF199" s="178"/>
      <c r="AG199" s="178"/>
    </row>
    <row r="200" spans="2:33" ht="23.25" customHeight="1" x14ac:dyDescent="0.15">
      <c r="B200" s="50"/>
      <c r="C200" s="240"/>
      <c r="D200" s="84"/>
      <c r="E200" s="166"/>
      <c r="F200" s="273" t="s">
        <v>101</v>
      </c>
      <c r="G200" s="244"/>
      <c r="H200" s="61" t="s">
        <v>91</v>
      </c>
      <c r="I200" s="77"/>
      <c r="J200" s="78"/>
      <c r="K200" s="64" t="str">
        <f t="shared" si="9"/>
        <v>-</v>
      </c>
      <c r="L200" s="79">
        <f t="shared" si="11"/>
        <v>0</v>
      </c>
      <c r="M200" s="65"/>
      <c r="N200" s="253"/>
      <c r="O200" s="254"/>
      <c r="P200" s="254"/>
      <c r="Q200" s="255"/>
      <c r="R200" s="4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>
        <v>1</v>
      </c>
      <c r="AD200" s="178"/>
      <c r="AE200" s="178"/>
      <c r="AF200" s="178"/>
      <c r="AG200" s="178"/>
    </row>
    <row r="201" spans="2:33" ht="23.25" customHeight="1" x14ac:dyDescent="0.15">
      <c r="B201" s="50"/>
      <c r="C201" s="240"/>
      <c r="D201" s="85"/>
      <c r="E201" s="167"/>
      <c r="F201" s="273" t="s">
        <v>102</v>
      </c>
      <c r="G201" s="244"/>
      <c r="H201" s="61" t="s">
        <v>91</v>
      </c>
      <c r="I201" s="77"/>
      <c r="J201" s="78"/>
      <c r="K201" s="64" t="str">
        <f t="shared" si="9"/>
        <v>-</v>
      </c>
      <c r="L201" s="79">
        <f t="shared" si="11"/>
        <v>0</v>
      </c>
      <c r="M201" s="65"/>
      <c r="N201" s="187"/>
      <c r="O201" s="188"/>
      <c r="P201" s="188"/>
      <c r="Q201" s="189"/>
      <c r="R201" s="4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>
        <v>1</v>
      </c>
      <c r="AD201" s="178"/>
      <c r="AE201" s="178"/>
      <c r="AF201" s="178"/>
      <c r="AG201" s="178"/>
    </row>
    <row r="202" spans="2:33" ht="23.25" customHeight="1" x14ac:dyDescent="0.15">
      <c r="B202" s="50"/>
      <c r="C202" s="240"/>
      <c r="D202" s="272" t="s">
        <v>103</v>
      </c>
      <c r="E202" s="243"/>
      <c r="F202" s="243"/>
      <c r="G202" s="244"/>
      <c r="H202" s="61" t="s">
        <v>91</v>
      </c>
      <c r="I202" s="77"/>
      <c r="J202" s="78"/>
      <c r="K202" s="64" t="str">
        <f t="shared" si="9"/>
        <v>-</v>
      </c>
      <c r="L202" s="79">
        <f t="shared" ref="L202:L268" si="13">IFERROR(J202-I202,"-")</f>
        <v>0</v>
      </c>
      <c r="M202" s="65"/>
      <c r="N202" s="253"/>
      <c r="O202" s="254"/>
      <c r="P202" s="254"/>
      <c r="Q202" s="255"/>
      <c r="R202" s="4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>
        <v>1</v>
      </c>
      <c r="AD202" s="178"/>
      <c r="AE202" s="178"/>
      <c r="AF202" s="178"/>
      <c r="AG202" s="178"/>
    </row>
    <row r="203" spans="2:33" ht="23.25" customHeight="1" x14ac:dyDescent="0.15">
      <c r="B203" s="50"/>
      <c r="C203" s="240"/>
      <c r="D203" s="84"/>
      <c r="E203" s="273" t="s">
        <v>46</v>
      </c>
      <c r="F203" s="243"/>
      <c r="G203" s="244"/>
      <c r="H203" s="61" t="s">
        <v>91</v>
      </c>
      <c r="I203" s="77"/>
      <c r="J203" s="78"/>
      <c r="K203" s="64" t="str">
        <f t="shared" si="9"/>
        <v>-</v>
      </c>
      <c r="L203" s="79">
        <f t="shared" si="13"/>
        <v>0</v>
      </c>
      <c r="M203" s="65"/>
      <c r="N203" s="187"/>
      <c r="O203" s="188"/>
      <c r="P203" s="188"/>
      <c r="Q203" s="189"/>
      <c r="R203" s="4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>
        <v>1</v>
      </c>
      <c r="AD203" s="178"/>
      <c r="AE203" s="178"/>
      <c r="AF203" s="178"/>
      <c r="AG203" s="178"/>
    </row>
    <row r="204" spans="2:33" ht="23.25" customHeight="1" x14ac:dyDescent="0.15">
      <c r="B204" s="50"/>
      <c r="C204" s="240"/>
      <c r="D204" s="84"/>
      <c r="E204" s="274" t="s">
        <v>104</v>
      </c>
      <c r="F204" s="243"/>
      <c r="G204" s="244"/>
      <c r="H204" s="54" t="s">
        <v>91</v>
      </c>
      <c r="I204" s="77"/>
      <c r="J204" s="86"/>
      <c r="K204" s="57" t="str">
        <f t="shared" si="9"/>
        <v>-</v>
      </c>
      <c r="L204" s="161">
        <f t="shared" si="13"/>
        <v>0</v>
      </c>
      <c r="M204" s="58"/>
      <c r="N204" s="187"/>
      <c r="O204" s="188"/>
      <c r="P204" s="188"/>
      <c r="Q204" s="189"/>
      <c r="R204" s="4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9"/>
      <c r="AD204" s="179"/>
      <c r="AE204" s="179"/>
      <c r="AF204" s="178"/>
      <c r="AG204" s="178"/>
    </row>
    <row r="205" spans="2:33" ht="23.25" customHeight="1" x14ac:dyDescent="0.15">
      <c r="B205" s="50"/>
      <c r="C205" s="240"/>
      <c r="D205" s="84"/>
      <c r="E205" s="168"/>
      <c r="F205" s="243" t="s">
        <v>105</v>
      </c>
      <c r="G205" s="244"/>
      <c r="H205" s="54" t="s">
        <v>91</v>
      </c>
      <c r="I205" s="87"/>
      <c r="J205" s="86"/>
      <c r="K205" s="57" t="str">
        <f t="shared" si="9"/>
        <v>-</v>
      </c>
      <c r="L205" s="161">
        <f t="shared" si="13"/>
        <v>0</v>
      </c>
      <c r="M205" s="58"/>
      <c r="N205" s="187"/>
      <c r="O205" s="188"/>
      <c r="P205" s="188"/>
      <c r="Q205" s="189"/>
      <c r="R205" s="4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>
        <v>1</v>
      </c>
      <c r="AD205" s="178"/>
      <c r="AE205" s="178"/>
      <c r="AF205" s="178"/>
      <c r="AG205" s="178"/>
    </row>
    <row r="206" spans="2:33" ht="23.25" customHeight="1" x14ac:dyDescent="0.15">
      <c r="B206" s="50"/>
      <c r="C206" s="240"/>
      <c r="D206" s="85"/>
      <c r="E206" s="167"/>
      <c r="F206" s="243" t="s">
        <v>106</v>
      </c>
      <c r="G206" s="244"/>
      <c r="H206" s="88" t="s">
        <v>91</v>
      </c>
      <c r="I206" s="89"/>
      <c r="J206" s="90"/>
      <c r="K206" s="91" t="str">
        <f t="shared" si="9"/>
        <v>-</v>
      </c>
      <c r="L206" s="162">
        <f t="shared" si="13"/>
        <v>0</v>
      </c>
      <c r="M206" s="92"/>
      <c r="N206" s="187"/>
      <c r="O206" s="188"/>
      <c r="P206" s="188"/>
      <c r="Q206" s="189"/>
      <c r="R206" s="4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>
        <v>1</v>
      </c>
      <c r="AD206" s="178"/>
      <c r="AE206" s="178"/>
      <c r="AF206" s="178"/>
      <c r="AG206" s="178"/>
    </row>
    <row r="207" spans="2:33" ht="23.25" customHeight="1" x14ac:dyDescent="0.15">
      <c r="B207" s="50"/>
      <c r="C207" s="240"/>
      <c r="D207" s="272" t="s">
        <v>107</v>
      </c>
      <c r="E207" s="243"/>
      <c r="F207" s="243"/>
      <c r="G207" s="244"/>
      <c r="H207" s="61" t="s">
        <v>82</v>
      </c>
      <c r="I207" s="62"/>
      <c r="J207" s="63"/>
      <c r="K207" s="64" t="str">
        <f t="shared" si="9"/>
        <v>-</v>
      </c>
      <c r="L207" s="80">
        <f t="shared" si="13"/>
        <v>0</v>
      </c>
      <c r="M207" s="65"/>
      <c r="N207" s="190"/>
      <c r="O207" s="191"/>
      <c r="P207" s="191"/>
      <c r="Q207" s="192"/>
      <c r="R207" s="4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>
        <v>1</v>
      </c>
      <c r="AD207" s="178"/>
      <c r="AE207" s="178"/>
      <c r="AF207" s="178"/>
      <c r="AG207" s="178"/>
    </row>
    <row r="208" spans="2:33" ht="23.25" customHeight="1" x14ac:dyDescent="0.15">
      <c r="B208" s="50"/>
      <c r="C208" s="240"/>
      <c r="D208" s="169"/>
      <c r="E208" s="273" t="s">
        <v>46</v>
      </c>
      <c r="F208" s="243"/>
      <c r="G208" s="244"/>
      <c r="H208" s="61" t="s">
        <v>82</v>
      </c>
      <c r="I208" s="62"/>
      <c r="J208" s="63"/>
      <c r="K208" s="64" t="str">
        <f t="shared" ref="K208:K210" si="14">IFERROR(J208/I208*100-100,"-")</f>
        <v>-</v>
      </c>
      <c r="L208" s="80">
        <f t="shared" ref="L208:L210" si="15">IFERROR(J208-I208,"-")</f>
        <v>0</v>
      </c>
      <c r="M208" s="65"/>
      <c r="N208" s="190"/>
      <c r="O208" s="191"/>
      <c r="P208" s="191"/>
      <c r="Q208" s="192"/>
      <c r="R208" s="4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>
        <v>1</v>
      </c>
      <c r="AD208" s="178"/>
      <c r="AE208" s="178"/>
      <c r="AF208" s="178"/>
      <c r="AG208" s="178"/>
    </row>
    <row r="209" spans="2:34" ht="23.25" customHeight="1" x14ac:dyDescent="0.15">
      <c r="B209" s="50"/>
      <c r="C209" s="240"/>
      <c r="D209" s="169"/>
      <c r="E209" s="273" t="s">
        <v>230</v>
      </c>
      <c r="F209" s="243"/>
      <c r="G209" s="244"/>
      <c r="H209" s="61" t="s">
        <v>82</v>
      </c>
      <c r="I209" s="62"/>
      <c r="J209" s="63"/>
      <c r="K209" s="64" t="str">
        <f t="shared" si="14"/>
        <v>-</v>
      </c>
      <c r="L209" s="80">
        <f t="shared" si="15"/>
        <v>0</v>
      </c>
      <c r="M209" s="65"/>
      <c r="N209" s="190"/>
      <c r="O209" s="191"/>
      <c r="P209" s="191"/>
      <c r="Q209" s="192"/>
      <c r="R209" s="4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>
        <v>1</v>
      </c>
      <c r="AD209" s="178"/>
      <c r="AE209" s="178"/>
      <c r="AF209" s="178"/>
      <c r="AG209" s="178"/>
    </row>
    <row r="210" spans="2:34" ht="23.25" customHeight="1" x14ac:dyDescent="0.15">
      <c r="B210" s="50"/>
      <c r="C210" s="240"/>
      <c r="D210" s="170"/>
      <c r="E210" s="273" t="s">
        <v>231</v>
      </c>
      <c r="F210" s="243"/>
      <c r="G210" s="244"/>
      <c r="H210" s="61" t="s">
        <v>82</v>
      </c>
      <c r="I210" s="62"/>
      <c r="J210" s="63"/>
      <c r="K210" s="64" t="str">
        <f t="shared" si="14"/>
        <v>-</v>
      </c>
      <c r="L210" s="80">
        <f t="shared" si="15"/>
        <v>0</v>
      </c>
      <c r="M210" s="65"/>
      <c r="N210" s="190"/>
      <c r="O210" s="191"/>
      <c r="P210" s="191"/>
      <c r="Q210" s="192"/>
      <c r="R210" s="4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>
        <v>1</v>
      </c>
      <c r="AD210" s="178"/>
      <c r="AE210" s="178"/>
      <c r="AF210" s="178"/>
      <c r="AG210" s="178"/>
    </row>
    <row r="211" spans="2:34" ht="23.25" customHeight="1" x14ac:dyDescent="0.15">
      <c r="B211" s="50"/>
      <c r="C211" s="240"/>
      <c r="D211" s="271" t="s">
        <v>239</v>
      </c>
      <c r="E211" s="243"/>
      <c r="F211" s="243"/>
      <c r="G211" s="244"/>
      <c r="H211" s="61" t="s">
        <v>91</v>
      </c>
      <c r="I211" s="77"/>
      <c r="J211" s="78"/>
      <c r="K211" s="64" t="str">
        <f t="shared" si="9"/>
        <v>-</v>
      </c>
      <c r="L211" s="79">
        <f t="shared" si="13"/>
        <v>0</v>
      </c>
      <c r="M211" s="65"/>
      <c r="N211" s="187"/>
      <c r="O211" s="188"/>
      <c r="P211" s="188"/>
      <c r="Q211" s="189"/>
      <c r="R211" s="4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>
        <v>1</v>
      </c>
      <c r="AE211" s="178"/>
      <c r="AF211" s="178"/>
      <c r="AG211" s="178"/>
    </row>
    <row r="212" spans="2:34" ht="23.25" customHeight="1" x14ac:dyDescent="0.15">
      <c r="B212" s="50"/>
      <c r="C212" s="240"/>
      <c r="D212" s="271" t="s">
        <v>108</v>
      </c>
      <c r="E212" s="243"/>
      <c r="F212" s="243"/>
      <c r="G212" s="244"/>
      <c r="H212" s="61" t="s">
        <v>91</v>
      </c>
      <c r="I212" s="77"/>
      <c r="J212" s="78"/>
      <c r="K212" s="64" t="str">
        <f t="shared" si="9"/>
        <v>-</v>
      </c>
      <c r="L212" s="79">
        <f t="shared" si="13"/>
        <v>0</v>
      </c>
      <c r="M212" s="65"/>
      <c r="N212" s="253"/>
      <c r="O212" s="254"/>
      <c r="P212" s="254"/>
      <c r="Q212" s="255"/>
      <c r="R212" s="4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>
        <v>1</v>
      </c>
      <c r="AE212" s="178"/>
      <c r="AF212" s="178"/>
      <c r="AG212" s="178"/>
    </row>
    <row r="213" spans="2:34" ht="23.25" customHeight="1" x14ac:dyDescent="0.15">
      <c r="B213" s="50"/>
      <c r="C213" s="240"/>
      <c r="D213" s="272" t="s">
        <v>109</v>
      </c>
      <c r="E213" s="243"/>
      <c r="F213" s="243"/>
      <c r="G213" s="244"/>
      <c r="H213" s="61" t="s">
        <v>91</v>
      </c>
      <c r="I213" s="77"/>
      <c r="J213" s="78"/>
      <c r="K213" s="64" t="str">
        <f t="shared" si="9"/>
        <v>-</v>
      </c>
      <c r="L213" s="79">
        <f t="shared" si="13"/>
        <v>0</v>
      </c>
      <c r="M213" s="65"/>
      <c r="N213" s="253"/>
      <c r="O213" s="254"/>
      <c r="P213" s="254"/>
      <c r="Q213" s="255"/>
      <c r="R213" s="4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>
        <v>1</v>
      </c>
      <c r="AE213" s="178"/>
      <c r="AF213" s="178"/>
      <c r="AG213" s="178"/>
    </row>
    <row r="214" spans="2:34" ht="23.25" customHeight="1" x14ac:dyDescent="0.15">
      <c r="B214" s="50"/>
      <c r="C214" s="240"/>
      <c r="D214" s="272" t="s">
        <v>110</v>
      </c>
      <c r="E214" s="243"/>
      <c r="F214" s="243"/>
      <c r="G214" s="244"/>
      <c r="H214" s="61" t="s">
        <v>91</v>
      </c>
      <c r="I214" s="87"/>
      <c r="J214" s="86"/>
      <c r="K214" s="64" t="str">
        <f t="shared" si="9"/>
        <v>-</v>
      </c>
      <c r="L214" s="79">
        <f t="shared" si="13"/>
        <v>0</v>
      </c>
      <c r="M214" s="65"/>
      <c r="N214" s="187"/>
      <c r="O214" s="188"/>
      <c r="P214" s="188"/>
      <c r="Q214" s="189"/>
      <c r="R214" s="4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>
        <v>1</v>
      </c>
      <c r="AE214" s="178"/>
      <c r="AF214" s="178"/>
      <c r="AG214" s="178"/>
    </row>
    <row r="215" spans="2:34" ht="23.25" customHeight="1" x14ac:dyDescent="0.15">
      <c r="B215" s="50"/>
      <c r="C215" s="240"/>
      <c r="D215" s="226" t="s">
        <v>111</v>
      </c>
      <c r="E215" s="243"/>
      <c r="F215" s="243"/>
      <c r="G215" s="244"/>
      <c r="H215" s="61" t="s">
        <v>82</v>
      </c>
      <c r="I215" s="62"/>
      <c r="J215" s="63"/>
      <c r="K215" s="64" t="str">
        <f t="shared" si="9"/>
        <v>-</v>
      </c>
      <c r="L215" s="80">
        <f t="shared" si="13"/>
        <v>0</v>
      </c>
      <c r="M215" s="65"/>
      <c r="N215" s="190"/>
      <c r="O215" s="191"/>
      <c r="P215" s="191"/>
      <c r="Q215" s="192"/>
      <c r="R215" s="4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>
        <v>1</v>
      </c>
      <c r="AE215" s="178"/>
      <c r="AF215" s="178"/>
      <c r="AG215" s="178"/>
    </row>
    <row r="216" spans="2:34" ht="23.25" customHeight="1" x14ac:dyDescent="0.15">
      <c r="B216" s="50"/>
      <c r="C216" s="240"/>
      <c r="D216" s="245" t="s">
        <v>112</v>
      </c>
      <c r="E216" s="246"/>
      <c r="F216" s="251" t="s">
        <v>113</v>
      </c>
      <c r="G216" s="252"/>
      <c r="H216" s="61" t="s">
        <v>114</v>
      </c>
      <c r="I216" s="62"/>
      <c r="J216" s="63"/>
      <c r="K216" s="64" t="str">
        <f t="shared" si="9"/>
        <v>-</v>
      </c>
      <c r="L216" s="80">
        <f t="shared" si="13"/>
        <v>0</v>
      </c>
      <c r="M216" s="65"/>
      <c r="N216" s="253"/>
      <c r="O216" s="254"/>
      <c r="P216" s="254"/>
      <c r="Q216" s="255"/>
      <c r="R216" s="4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>
        <v>1</v>
      </c>
      <c r="AF216" s="178"/>
      <c r="AG216" s="178"/>
    </row>
    <row r="217" spans="2:34" ht="23.25" customHeight="1" x14ac:dyDescent="0.15">
      <c r="B217" s="50"/>
      <c r="C217" s="240"/>
      <c r="D217" s="247"/>
      <c r="E217" s="248"/>
      <c r="F217" s="256" t="s">
        <v>115</v>
      </c>
      <c r="G217" s="228"/>
      <c r="H217" s="61" t="s">
        <v>81</v>
      </c>
      <c r="I217" s="62"/>
      <c r="J217" s="63"/>
      <c r="K217" s="64" t="str">
        <f t="shared" si="9"/>
        <v>-</v>
      </c>
      <c r="L217" s="64">
        <f t="shared" si="13"/>
        <v>0</v>
      </c>
      <c r="M217" s="65"/>
      <c r="N217" s="253"/>
      <c r="O217" s="254"/>
      <c r="P217" s="254"/>
      <c r="Q217" s="255"/>
      <c r="R217" s="4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>
        <v>1</v>
      </c>
      <c r="AF217" s="178"/>
      <c r="AG217" s="178"/>
    </row>
    <row r="218" spans="2:34" ht="23.25" customHeight="1" x14ac:dyDescent="0.15">
      <c r="B218" s="50"/>
      <c r="C218" s="240"/>
      <c r="D218" s="249"/>
      <c r="E218" s="250"/>
      <c r="F218" s="257" t="s">
        <v>116</v>
      </c>
      <c r="G218" s="258"/>
      <c r="H218" s="61" t="s">
        <v>82</v>
      </c>
      <c r="I218" s="62"/>
      <c r="J218" s="63"/>
      <c r="K218" s="64" t="str">
        <f t="shared" si="9"/>
        <v>-</v>
      </c>
      <c r="L218" s="80">
        <f t="shared" si="13"/>
        <v>0</v>
      </c>
      <c r="M218" s="65"/>
      <c r="N218" s="190"/>
      <c r="O218" s="191"/>
      <c r="P218" s="191"/>
      <c r="Q218" s="192"/>
      <c r="R218" s="4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>
        <v>1</v>
      </c>
      <c r="AF218" s="178"/>
      <c r="AG218" s="178"/>
    </row>
    <row r="219" spans="2:34" ht="23.25" customHeight="1" x14ac:dyDescent="0.15">
      <c r="B219" s="50"/>
      <c r="C219" s="240"/>
      <c r="D219" s="259" t="s">
        <v>117</v>
      </c>
      <c r="E219" s="260"/>
      <c r="F219" s="251" t="s">
        <v>118</v>
      </c>
      <c r="G219" s="252"/>
      <c r="H219" s="61" t="s">
        <v>114</v>
      </c>
      <c r="I219" s="62"/>
      <c r="J219" s="63"/>
      <c r="K219" s="64" t="str">
        <f t="shared" si="9"/>
        <v>-</v>
      </c>
      <c r="L219" s="80">
        <f t="shared" si="13"/>
        <v>0</v>
      </c>
      <c r="M219" s="65"/>
      <c r="N219" s="253"/>
      <c r="O219" s="254"/>
      <c r="P219" s="254"/>
      <c r="Q219" s="255"/>
      <c r="R219" s="4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>
        <v>1</v>
      </c>
      <c r="AG219" s="178"/>
    </row>
    <row r="220" spans="2:34" ht="23.25" customHeight="1" thickBot="1" x14ac:dyDescent="0.2">
      <c r="B220" s="50"/>
      <c r="C220" s="241"/>
      <c r="D220" s="261"/>
      <c r="E220" s="262"/>
      <c r="F220" s="263" t="s">
        <v>119</v>
      </c>
      <c r="G220" s="264"/>
      <c r="H220" s="93" t="s">
        <v>82</v>
      </c>
      <c r="I220" s="94"/>
      <c r="J220" s="95"/>
      <c r="K220" s="96" t="str">
        <f t="shared" si="9"/>
        <v>-</v>
      </c>
      <c r="L220" s="160">
        <f t="shared" si="13"/>
        <v>0</v>
      </c>
      <c r="M220" s="97"/>
      <c r="N220" s="265"/>
      <c r="O220" s="266"/>
      <c r="P220" s="266"/>
      <c r="Q220" s="267"/>
      <c r="R220" s="4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>
        <v>1</v>
      </c>
      <c r="AG220" s="178"/>
    </row>
    <row r="221" spans="2:34" ht="23.25" customHeight="1" x14ac:dyDescent="0.15">
      <c r="B221" s="26"/>
      <c r="C221" s="239" t="s">
        <v>198</v>
      </c>
      <c r="D221" s="268" t="s">
        <v>199</v>
      </c>
      <c r="E221" s="269"/>
      <c r="F221" s="269"/>
      <c r="G221" s="270"/>
      <c r="H221" s="98" t="s">
        <v>20</v>
      </c>
      <c r="I221" s="99"/>
      <c r="J221" s="100"/>
      <c r="K221" s="101" t="str">
        <f t="shared" si="9"/>
        <v>-</v>
      </c>
      <c r="L221" s="102">
        <f t="shared" si="13"/>
        <v>0</v>
      </c>
      <c r="M221" s="104"/>
      <c r="N221" s="205"/>
      <c r="O221" s="206"/>
      <c r="P221" s="206"/>
      <c r="Q221" s="207"/>
      <c r="R221" s="4"/>
      <c r="S221" s="180">
        <v>1</v>
      </c>
      <c r="T221" s="180">
        <v>1</v>
      </c>
      <c r="U221" s="180">
        <v>1</v>
      </c>
      <c r="V221" s="180">
        <v>1</v>
      </c>
      <c r="W221" s="180">
        <v>1</v>
      </c>
      <c r="X221" s="180">
        <v>1</v>
      </c>
      <c r="Y221" s="180">
        <v>1</v>
      </c>
      <c r="Z221" s="180">
        <v>1</v>
      </c>
      <c r="AA221" s="180">
        <v>1</v>
      </c>
      <c r="AB221" s="180">
        <v>1</v>
      </c>
      <c r="AC221" s="180">
        <v>1</v>
      </c>
      <c r="AD221" s="180">
        <v>1</v>
      </c>
      <c r="AE221" s="180">
        <v>1</v>
      </c>
      <c r="AF221" s="180">
        <v>1</v>
      </c>
      <c r="AG221" s="180"/>
      <c r="AH221" s="176"/>
    </row>
    <row r="222" spans="2:34" ht="23.25" customHeight="1" x14ac:dyDescent="0.15">
      <c r="B222" s="26"/>
      <c r="C222" s="240"/>
      <c r="D222" s="75"/>
      <c r="E222" s="223" t="s">
        <v>200</v>
      </c>
      <c r="F222" s="224"/>
      <c r="G222" s="225"/>
      <c r="H222" s="61" t="s">
        <v>20</v>
      </c>
      <c r="I222" s="62"/>
      <c r="J222" s="63"/>
      <c r="K222" s="64" t="str">
        <f t="shared" si="9"/>
        <v>-</v>
      </c>
      <c r="L222" s="80">
        <f t="shared" si="13"/>
        <v>0</v>
      </c>
      <c r="M222" s="65"/>
      <c r="N222" s="187"/>
      <c r="O222" s="188"/>
      <c r="P222" s="188"/>
      <c r="Q222" s="189"/>
      <c r="R222" s="4"/>
      <c r="S222" s="180">
        <v>1</v>
      </c>
      <c r="T222" s="180">
        <v>1</v>
      </c>
      <c r="U222" s="180">
        <v>1</v>
      </c>
      <c r="V222" s="180">
        <v>1</v>
      </c>
      <c r="W222" s="180">
        <v>1</v>
      </c>
      <c r="X222" s="180">
        <v>1</v>
      </c>
      <c r="Y222" s="180">
        <v>1</v>
      </c>
      <c r="Z222" s="180">
        <v>1</v>
      </c>
      <c r="AA222" s="180">
        <v>1</v>
      </c>
      <c r="AB222" s="180">
        <v>1</v>
      </c>
      <c r="AC222" s="180">
        <v>1</v>
      </c>
      <c r="AD222" s="180">
        <v>1</v>
      </c>
      <c r="AE222" s="180">
        <v>1</v>
      </c>
      <c r="AF222" s="180">
        <v>1</v>
      </c>
      <c r="AG222" s="180"/>
      <c r="AH222" s="176"/>
    </row>
    <row r="223" spans="2:34" ht="23.25" customHeight="1" x14ac:dyDescent="0.15">
      <c r="B223" s="26"/>
      <c r="C223" s="240"/>
      <c r="D223" s="76"/>
      <c r="E223" s="223" t="s">
        <v>201</v>
      </c>
      <c r="F223" s="224"/>
      <c r="G223" s="225"/>
      <c r="H223" s="61" t="s">
        <v>20</v>
      </c>
      <c r="I223" s="62"/>
      <c r="J223" s="63"/>
      <c r="K223" s="64" t="str">
        <f t="shared" si="9"/>
        <v>-</v>
      </c>
      <c r="L223" s="80">
        <f t="shared" si="13"/>
        <v>0</v>
      </c>
      <c r="M223" s="65"/>
      <c r="N223" s="187"/>
      <c r="O223" s="188"/>
      <c r="P223" s="188"/>
      <c r="Q223" s="189"/>
      <c r="R223" s="4"/>
      <c r="S223" s="180">
        <v>1</v>
      </c>
      <c r="T223" s="180">
        <v>1</v>
      </c>
      <c r="U223" s="180">
        <v>1</v>
      </c>
      <c r="V223" s="180">
        <v>1</v>
      </c>
      <c r="W223" s="180">
        <v>1</v>
      </c>
      <c r="X223" s="180">
        <v>1</v>
      </c>
      <c r="Y223" s="180">
        <v>1</v>
      </c>
      <c r="Z223" s="180">
        <v>1</v>
      </c>
      <c r="AA223" s="180">
        <v>1</v>
      </c>
      <c r="AB223" s="180">
        <v>1</v>
      </c>
      <c r="AC223" s="180">
        <v>1</v>
      </c>
      <c r="AD223" s="180">
        <v>1</v>
      </c>
      <c r="AE223" s="180">
        <v>1</v>
      </c>
      <c r="AF223" s="180">
        <v>1</v>
      </c>
      <c r="AG223" s="180"/>
      <c r="AH223" s="176"/>
    </row>
    <row r="224" spans="2:34" ht="23.25" customHeight="1" x14ac:dyDescent="0.15">
      <c r="B224" s="26"/>
      <c r="C224" s="240"/>
      <c r="D224" s="242" t="s">
        <v>202</v>
      </c>
      <c r="E224" s="227"/>
      <c r="F224" s="227"/>
      <c r="G224" s="228"/>
      <c r="H224" s="61" t="s">
        <v>20</v>
      </c>
      <c r="I224" s="62"/>
      <c r="J224" s="63"/>
      <c r="K224" s="64" t="str">
        <f t="shared" si="9"/>
        <v>-</v>
      </c>
      <c r="L224" s="80">
        <f t="shared" si="13"/>
        <v>0</v>
      </c>
      <c r="M224" s="65"/>
      <c r="N224" s="187"/>
      <c r="O224" s="188"/>
      <c r="P224" s="188"/>
      <c r="Q224" s="189"/>
      <c r="R224" s="4"/>
      <c r="S224" s="180">
        <v>1</v>
      </c>
      <c r="T224" s="180">
        <v>1</v>
      </c>
      <c r="U224" s="180">
        <v>1</v>
      </c>
      <c r="V224" s="180">
        <v>1</v>
      </c>
      <c r="W224" s="180">
        <v>1</v>
      </c>
      <c r="X224" s="180">
        <v>1</v>
      </c>
      <c r="Y224" s="180">
        <v>1</v>
      </c>
      <c r="Z224" s="180">
        <v>1</v>
      </c>
      <c r="AA224" s="180">
        <v>1</v>
      </c>
      <c r="AB224" s="180">
        <v>1</v>
      </c>
      <c r="AC224" s="180">
        <v>1</v>
      </c>
      <c r="AD224" s="180">
        <v>1</v>
      </c>
      <c r="AE224" s="180">
        <v>1</v>
      </c>
      <c r="AF224" s="180">
        <v>1</v>
      </c>
      <c r="AG224" s="180"/>
      <c r="AH224" s="176"/>
    </row>
    <row r="225" spans="2:34" ht="23.25" customHeight="1" x14ac:dyDescent="0.15">
      <c r="B225" s="26"/>
      <c r="C225" s="240"/>
      <c r="D225" s="75"/>
      <c r="E225" s="223" t="s">
        <v>203</v>
      </c>
      <c r="F225" s="224"/>
      <c r="G225" s="225"/>
      <c r="H225" s="61" t="s">
        <v>20</v>
      </c>
      <c r="I225" s="62"/>
      <c r="J225" s="63"/>
      <c r="K225" s="64" t="str">
        <f t="shared" si="9"/>
        <v>-</v>
      </c>
      <c r="L225" s="80">
        <f t="shared" si="13"/>
        <v>0</v>
      </c>
      <c r="M225" s="65"/>
      <c r="N225" s="187"/>
      <c r="O225" s="188"/>
      <c r="P225" s="188"/>
      <c r="Q225" s="189"/>
      <c r="R225" s="4"/>
      <c r="S225" s="180">
        <v>1</v>
      </c>
      <c r="T225" s="180">
        <v>1</v>
      </c>
      <c r="U225" s="180">
        <v>1</v>
      </c>
      <c r="V225" s="180">
        <v>1</v>
      </c>
      <c r="W225" s="180">
        <v>1</v>
      </c>
      <c r="X225" s="180">
        <v>1</v>
      </c>
      <c r="Y225" s="180">
        <v>1</v>
      </c>
      <c r="Z225" s="180">
        <v>1</v>
      </c>
      <c r="AA225" s="180">
        <v>1</v>
      </c>
      <c r="AB225" s="180">
        <v>1</v>
      </c>
      <c r="AC225" s="180">
        <v>1</v>
      </c>
      <c r="AD225" s="180">
        <v>1</v>
      </c>
      <c r="AE225" s="180">
        <v>1</v>
      </c>
      <c r="AF225" s="180">
        <v>1</v>
      </c>
      <c r="AG225" s="180"/>
      <c r="AH225" s="176"/>
    </row>
    <row r="226" spans="2:34" ht="23.25" customHeight="1" x14ac:dyDescent="0.15">
      <c r="B226" s="26"/>
      <c r="C226" s="240"/>
      <c r="D226" s="76"/>
      <c r="E226" s="223" t="s">
        <v>204</v>
      </c>
      <c r="F226" s="224"/>
      <c r="G226" s="225"/>
      <c r="H226" s="61" t="s">
        <v>20</v>
      </c>
      <c r="I226" s="62"/>
      <c r="J226" s="63"/>
      <c r="K226" s="64" t="str">
        <f t="shared" si="9"/>
        <v>-</v>
      </c>
      <c r="L226" s="80">
        <f t="shared" si="13"/>
        <v>0</v>
      </c>
      <c r="M226" s="65"/>
      <c r="N226" s="187"/>
      <c r="O226" s="188"/>
      <c r="P226" s="188"/>
      <c r="Q226" s="189"/>
      <c r="R226" s="4"/>
      <c r="S226" s="180">
        <v>1</v>
      </c>
      <c r="T226" s="180">
        <v>1</v>
      </c>
      <c r="U226" s="180">
        <v>1</v>
      </c>
      <c r="V226" s="180">
        <v>1</v>
      </c>
      <c r="W226" s="180">
        <v>1</v>
      </c>
      <c r="X226" s="180">
        <v>1</v>
      </c>
      <c r="Y226" s="180">
        <v>1</v>
      </c>
      <c r="Z226" s="180">
        <v>1</v>
      </c>
      <c r="AA226" s="180">
        <v>1</v>
      </c>
      <c r="AB226" s="180">
        <v>1</v>
      </c>
      <c r="AC226" s="180">
        <v>1</v>
      </c>
      <c r="AD226" s="180">
        <v>1</v>
      </c>
      <c r="AE226" s="180">
        <v>1</v>
      </c>
      <c r="AF226" s="180">
        <v>1</v>
      </c>
      <c r="AG226" s="180"/>
      <c r="AH226" s="176"/>
    </row>
    <row r="227" spans="2:34" ht="23.25" customHeight="1" x14ac:dyDescent="0.15">
      <c r="B227" s="26"/>
      <c r="C227" s="240"/>
      <c r="D227" s="226" t="s">
        <v>205</v>
      </c>
      <c r="E227" s="227"/>
      <c r="F227" s="227"/>
      <c r="G227" s="228"/>
      <c r="H227" s="61" t="s">
        <v>20</v>
      </c>
      <c r="I227" s="62"/>
      <c r="J227" s="63"/>
      <c r="K227" s="64" t="str">
        <f t="shared" si="9"/>
        <v>-</v>
      </c>
      <c r="L227" s="80">
        <f t="shared" si="13"/>
        <v>0</v>
      </c>
      <c r="M227" s="65"/>
      <c r="N227" s="181"/>
      <c r="O227" s="182"/>
      <c r="P227" s="182"/>
      <c r="Q227" s="183"/>
      <c r="R227" s="4"/>
      <c r="S227" s="180">
        <v>1</v>
      </c>
      <c r="T227" s="180">
        <v>1</v>
      </c>
      <c r="U227" s="180">
        <v>1</v>
      </c>
      <c r="V227" s="180">
        <v>1</v>
      </c>
      <c r="W227" s="180">
        <v>1</v>
      </c>
      <c r="X227" s="180">
        <v>1</v>
      </c>
      <c r="Y227" s="180">
        <v>1</v>
      </c>
      <c r="Z227" s="180">
        <v>1</v>
      </c>
      <c r="AA227" s="180">
        <v>1</v>
      </c>
      <c r="AB227" s="180">
        <v>1</v>
      </c>
      <c r="AC227" s="180">
        <v>1</v>
      </c>
      <c r="AD227" s="180">
        <v>1</v>
      </c>
      <c r="AE227" s="180">
        <v>1</v>
      </c>
      <c r="AF227" s="180">
        <v>1</v>
      </c>
      <c r="AG227" s="180"/>
      <c r="AH227" s="176"/>
    </row>
    <row r="228" spans="2:34" ht="23.25" customHeight="1" thickBot="1" x14ac:dyDescent="0.2">
      <c r="B228" s="26"/>
      <c r="C228" s="241"/>
      <c r="D228" s="229" t="s">
        <v>206</v>
      </c>
      <c r="E228" s="229"/>
      <c r="F228" s="229"/>
      <c r="G228" s="230"/>
      <c r="H228" s="67" t="s">
        <v>20</v>
      </c>
      <c r="I228" s="68"/>
      <c r="J228" s="69"/>
      <c r="K228" s="70" t="str">
        <f t="shared" si="9"/>
        <v>-</v>
      </c>
      <c r="L228" s="103">
        <f t="shared" si="13"/>
        <v>0</v>
      </c>
      <c r="M228" s="71"/>
      <c r="N228" s="199"/>
      <c r="O228" s="200"/>
      <c r="P228" s="200"/>
      <c r="Q228" s="201"/>
      <c r="R228" s="4"/>
      <c r="S228" s="180">
        <v>1</v>
      </c>
      <c r="T228" s="180">
        <v>1</v>
      </c>
      <c r="U228" s="180">
        <v>1</v>
      </c>
      <c r="V228" s="180">
        <v>1</v>
      </c>
      <c r="W228" s="180">
        <v>1</v>
      </c>
      <c r="X228" s="180">
        <v>1</v>
      </c>
      <c r="Y228" s="180">
        <v>1</v>
      </c>
      <c r="Z228" s="180">
        <v>1</v>
      </c>
      <c r="AA228" s="180">
        <v>1</v>
      </c>
      <c r="AB228" s="180">
        <v>1</v>
      </c>
      <c r="AC228" s="180">
        <v>1</v>
      </c>
      <c r="AD228" s="180">
        <v>1</v>
      </c>
      <c r="AE228" s="180">
        <v>1</v>
      </c>
      <c r="AF228" s="180">
        <v>1</v>
      </c>
      <c r="AG228" s="180"/>
      <c r="AH228" s="176"/>
    </row>
    <row r="229" spans="2:34" ht="23.25" customHeight="1" x14ac:dyDescent="0.15">
      <c r="B229" s="51"/>
      <c r="C229" s="231" t="s">
        <v>124</v>
      </c>
      <c r="D229" s="234" t="s">
        <v>149</v>
      </c>
      <c r="E229" s="235"/>
      <c r="F229" s="235"/>
      <c r="G229" s="236"/>
      <c r="H229" s="98" t="s">
        <v>20</v>
      </c>
      <c r="I229" s="99"/>
      <c r="J229" s="100"/>
      <c r="K229" s="101" t="str">
        <f>IFERROR(J229/I229*100-100,"-")</f>
        <v>-</v>
      </c>
      <c r="L229" s="102">
        <f t="shared" si="13"/>
        <v>0</v>
      </c>
      <c r="M229" s="104"/>
      <c r="N229" s="205"/>
      <c r="O229" s="206"/>
      <c r="P229" s="206"/>
      <c r="Q229" s="207"/>
      <c r="R229" s="4"/>
      <c r="S229" s="178">
        <v>1</v>
      </c>
      <c r="T229" s="178">
        <v>1</v>
      </c>
      <c r="U229" s="178">
        <v>1</v>
      </c>
      <c r="V229" s="178">
        <v>1</v>
      </c>
      <c r="W229" s="178">
        <v>1</v>
      </c>
      <c r="X229" s="178">
        <v>1</v>
      </c>
      <c r="Y229" s="178">
        <v>1</v>
      </c>
      <c r="Z229" s="178">
        <v>1</v>
      </c>
      <c r="AA229" s="178">
        <v>1</v>
      </c>
      <c r="AB229" s="178">
        <v>1</v>
      </c>
      <c r="AC229" s="178">
        <v>1</v>
      </c>
      <c r="AD229" s="178">
        <v>1</v>
      </c>
      <c r="AE229" s="178">
        <v>1</v>
      </c>
      <c r="AF229" s="178">
        <v>1</v>
      </c>
      <c r="AG229" s="178"/>
    </row>
    <row r="230" spans="2:34" ht="23.25" customHeight="1" x14ac:dyDescent="0.15">
      <c r="B230" s="50"/>
      <c r="C230" s="232"/>
      <c r="D230" s="217" t="s">
        <v>125</v>
      </c>
      <c r="E230" s="237"/>
      <c r="F230" s="237"/>
      <c r="G230" s="238"/>
      <c r="H230" s="61" t="s">
        <v>82</v>
      </c>
      <c r="I230" s="62"/>
      <c r="J230" s="63"/>
      <c r="K230" s="64" t="str">
        <f t="shared" si="9"/>
        <v>-</v>
      </c>
      <c r="L230" s="80">
        <f t="shared" si="13"/>
        <v>0</v>
      </c>
      <c r="M230" s="65"/>
      <c r="N230" s="187"/>
      <c r="O230" s="188"/>
      <c r="P230" s="188"/>
      <c r="Q230" s="189"/>
      <c r="R230" s="4"/>
      <c r="S230" s="178">
        <v>1</v>
      </c>
      <c r="T230" s="178">
        <v>1</v>
      </c>
      <c r="U230" s="178">
        <v>1</v>
      </c>
      <c r="V230" s="178">
        <v>1</v>
      </c>
      <c r="W230" s="178">
        <v>1</v>
      </c>
      <c r="X230" s="178">
        <v>1</v>
      </c>
      <c r="Y230" s="178">
        <v>1</v>
      </c>
      <c r="Z230" s="178">
        <v>1</v>
      </c>
      <c r="AA230" s="178">
        <v>1</v>
      </c>
      <c r="AB230" s="178">
        <v>1</v>
      </c>
      <c r="AC230" s="178">
        <v>1</v>
      </c>
      <c r="AD230" s="178">
        <v>1</v>
      </c>
      <c r="AE230" s="178">
        <v>1</v>
      </c>
      <c r="AF230" s="178">
        <v>1</v>
      </c>
      <c r="AG230" s="178"/>
    </row>
    <row r="231" spans="2:34" ht="23.25" customHeight="1" thickBot="1" x14ac:dyDescent="0.2">
      <c r="B231" s="47"/>
      <c r="C231" s="233"/>
      <c r="D231" s="220" t="s">
        <v>151</v>
      </c>
      <c r="E231" s="221"/>
      <c r="F231" s="221"/>
      <c r="G231" s="222"/>
      <c r="H231" s="67" t="s">
        <v>240</v>
      </c>
      <c r="I231" s="68"/>
      <c r="J231" s="69"/>
      <c r="K231" s="70" t="str">
        <f>IFERROR(J231/I231*100-100,"-")</f>
        <v>-</v>
      </c>
      <c r="L231" s="103">
        <f t="shared" si="13"/>
        <v>0</v>
      </c>
      <c r="M231" s="71"/>
      <c r="N231" s="199"/>
      <c r="O231" s="200"/>
      <c r="P231" s="200"/>
      <c r="Q231" s="201"/>
      <c r="R231" s="4"/>
      <c r="S231" s="178">
        <v>1</v>
      </c>
      <c r="T231" s="178">
        <v>1</v>
      </c>
      <c r="U231" s="178">
        <v>1</v>
      </c>
      <c r="V231" s="178">
        <v>1</v>
      </c>
      <c r="W231" s="178">
        <v>1</v>
      </c>
      <c r="X231" s="178">
        <v>1</v>
      </c>
      <c r="Y231" s="178">
        <v>1</v>
      </c>
      <c r="Z231" s="178">
        <v>1</v>
      </c>
      <c r="AA231" s="178">
        <v>1</v>
      </c>
      <c r="AB231" s="178">
        <v>1</v>
      </c>
      <c r="AC231" s="178">
        <v>1</v>
      </c>
      <c r="AD231" s="178">
        <v>1</v>
      </c>
      <c r="AE231" s="178">
        <v>1</v>
      </c>
      <c r="AF231" s="178">
        <v>1</v>
      </c>
      <c r="AG231" s="178"/>
    </row>
    <row r="232" spans="2:34" ht="23.25" customHeight="1" x14ac:dyDescent="0.15">
      <c r="B232" s="51"/>
      <c r="C232" s="214" t="s">
        <v>126</v>
      </c>
      <c r="D232" s="216" t="s">
        <v>128</v>
      </c>
      <c r="E232" s="203"/>
      <c r="F232" s="203"/>
      <c r="G232" s="204"/>
      <c r="H232" s="98" t="s">
        <v>79</v>
      </c>
      <c r="I232" s="143"/>
      <c r="J232" s="144"/>
      <c r="K232" s="101" t="str">
        <f t="shared" ref="K232:K288" si="16">IFERROR(J232/I232*100-100,"-")</f>
        <v>-</v>
      </c>
      <c r="L232" s="107">
        <f t="shared" si="13"/>
        <v>0</v>
      </c>
      <c r="M232" s="104"/>
      <c r="N232" s="205"/>
      <c r="O232" s="206"/>
      <c r="P232" s="206"/>
      <c r="Q232" s="207"/>
      <c r="R232" s="4"/>
      <c r="S232" s="178"/>
      <c r="T232" s="178">
        <v>1</v>
      </c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</row>
    <row r="233" spans="2:34" ht="23.25" customHeight="1" x14ac:dyDescent="0.15">
      <c r="B233" s="51"/>
      <c r="C233" s="215"/>
      <c r="D233" s="217" t="s">
        <v>129</v>
      </c>
      <c r="E233" s="194"/>
      <c r="F233" s="194"/>
      <c r="G233" s="195"/>
      <c r="H233" s="61" t="s">
        <v>79</v>
      </c>
      <c r="I233" s="77"/>
      <c r="J233" s="78"/>
      <c r="K233" s="64" t="str">
        <f>IFERROR(J233/I233*100-100,"-")</f>
        <v>-</v>
      </c>
      <c r="L233" s="79">
        <f t="shared" si="13"/>
        <v>0</v>
      </c>
      <c r="M233" s="65"/>
      <c r="N233" s="187"/>
      <c r="O233" s="188"/>
      <c r="P233" s="188"/>
      <c r="Q233" s="189"/>
      <c r="R233" s="4"/>
      <c r="S233" s="178"/>
      <c r="T233" s="178">
        <v>1</v>
      </c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</row>
    <row r="234" spans="2:34" ht="23.25" customHeight="1" x14ac:dyDescent="0.15">
      <c r="B234" s="51"/>
      <c r="C234" s="215"/>
      <c r="D234" s="217" t="s">
        <v>130</v>
      </c>
      <c r="E234" s="194"/>
      <c r="F234" s="194"/>
      <c r="G234" s="195"/>
      <c r="H234" s="61" t="s">
        <v>79</v>
      </c>
      <c r="I234" s="77"/>
      <c r="J234" s="78"/>
      <c r="K234" s="64" t="str">
        <f t="shared" si="16"/>
        <v>-</v>
      </c>
      <c r="L234" s="79">
        <f t="shared" si="13"/>
        <v>0</v>
      </c>
      <c r="M234" s="65"/>
      <c r="N234" s="187"/>
      <c r="O234" s="188"/>
      <c r="P234" s="188"/>
      <c r="Q234" s="189"/>
      <c r="R234" s="4"/>
      <c r="S234" s="178"/>
      <c r="T234" s="178">
        <v>1</v>
      </c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</row>
    <row r="235" spans="2:34" ht="23.25" customHeight="1" x14ac:dyDescent="0.15">
      <c r="B235" s="51"/>
      <c r="C235" s="215"/>
      <c r="D235" s="217" t="s">
        <v>131</v>
      </c>
      <c r="E235" s="194"/>
      <c r="F235" s="194"/>
      <c r="G235" s="195"/>
      <c r="H235" s="61" t="s">
        <v>79</v>
      </c>
      <c r="I235" s="77"/>
      <c r="J235" s="78"/>
      <c r="K235" s="64" t="str">
        <f>IFERROR(J235/I235*100-100,"-")</f>
        <v>-</v>
      </c>
      <c r="L235" s="79">
        <f t="shared" si="13"/>
        <v>0</v>
      </c>
      <c r="M235" s="65"/>
      <c r="N235" s="181"/>
      <c r="O235" s="182"/>
      <c r="P235" s="182"/>
      <c r="Q235" s="183"/>
      <c r="R235" s="4"/>
      <c r="S235" s="178"/>
      <c r="T235" s="178">
        <v>1</v>
      </c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</row>
    <row r="236" spans="2:34" ht="23.25" customHeight="1" x14ac:dyDescent="0.15">
      <c r="B236" s="51"/>
      <c r="C236" s="215"/>
      <c r="D236" s="217" t="s">
        <v>207</v>
      </c>
      <c r="E236" s="194"/>
      <c r="F236" s="194"/>
      <c r="G236" s="195"/>
      <c r="H236" s="61" t="s">
        <v>79</v>
      </c>
      <c r="I236" s="77"/>
      <c r="J236" s="78"/>
      <c r="K236" s="64" t="str">
        <f t="shared" ref="K236" si="17">IFERROR(J236/I236*100-100,"-")</f>
        <v>-</v>
      </c>
      <c r="L236" s="79">
        <f t="shared" si="13"/>
        <v>0</v>
      </c>
      <c r="M236" s="65"/>
      <c r="N236" s="181"/>
      <c r="O236" s="182"/>
      <c r="P236" s="182"/>
      <c r="Q236" s="183"/>
      <c r="R236" s="4"/>
      <c r="S236" s="178"/>
      <c r="T236" s="178">
        <v>1</v>
      </c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</row>
    <row r="237" spans="2:34" ht="23.25" customHeight="1" x14ac:dyDescent="0.15">
      <c r="B237" s="51"/>
      <c r="C237" s="215"/>
      <c r="D237" s="217" t="s">
        <v>132</v>
      </c>
      <c r="E237" s="194"/>
      <c r="F237" s="194"/>
      <c r="G237" s="195"/>
      <c r="H237" s="61" t="s">
        <v>79</v>
      </c>
      <c r="I237" s="77"/>
      <c r="J237" s="78"/>
      <c r="K237" s="64" t="str">
        <f t="shared" si="16"/>
        <v>-</v>
      </c>
      <c r="L237" s="79">
        <f t="shared" si="13"/>
        <v>0</v>
      </c>
      <c r="M237" s="65"/>
      <c r="N237" s="187"/>
      <c r="O237" s="188"/>
      <c r="P237" s="188"/>
      <c r="Q237" s="189"/>
      <c r="R237" s="4"/>
      <c r="S237" s="178"/>
      <c r="T237" s="178"/>
      <c r="U237" s="178">
        <v>1</v>
      </c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</row>
    <row r="238" spans="2:34" ht="23.25" customHeight="1" x14ac:dyDescent="0.15">
      <c r="B238" s="51"/>
      <c r="C238" s="215"/>
      <c r="D238" s="217" t="s">
        <v>241</v>
      </c>
      <c r="E238" s="194"/>
      <c r="F238" s="194"/>
      <c r="G238" s="195"/>
      <c r="H238" s="61" t="s">
        <v>79</v>
      </c>
      <c r="I238" s="77"/>
      <c r="J238" s="78"/>
      <c r="K238" s="64" t="str">
        <f t="shared" si="16"/>
        <v>-</v>
      </c>
      <c r="L238" s="79">
        <f t="shared" si="13"/>
        <v>0</v>
      </c>
      <c r="M238" s="65"/>
      <c r="N238" s="187"/>
      <c r="O238" s="188"/>
      <c r="P238" s="188"/>
      <c r="Q238" s="189"/>
      <c r="R238" s="4"/>
      <c r="S238" s="178"/>
      <c r="T238" s="178"/>
      <c r="U238" s="178">
        <v>1</v>
      </c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</row>
    <row r="239" spans="2:34" ht="23.25" customHeight="1" x14ac:dyDescent="0.15">
      <c r="B239" s="51"/>
      <c r="C239" s="215"/>
      <c r="D239" s="217" t="s">
        <v>242</v>
      </c>
      <c r="E239" s="194"/>
      <c r="F239" s="194"/>
      <c r="G239" s="195"/>
      <c r="H239" s="61" t="s">
        <v>79</v>
      </c>
      <c r="I239" s="77"/>
      <c r="J239" s="78"/>
      <c r="K239" s="64" t="str">
        <f t="shared" si="16"/>
        <v>-</v>
      </c>
      <c r="L239" s="79">
        <f t="shared" si="13"/>
        <v>0</v>
      </c>
      <c r="M239" s="65"/>
      <c r="N239" s="187"/>
      <c r="O239" s="188"/>
      <c r="P239" s="188"/>
      <c r="Q239" s="189"/>
      <c r="R239" s="4"/>
      <c r="S239" s="178"/>
      <c r="T239" s="178"/>
      <c r="U239" s="178">
        <v>1</v>
      </c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</row>
    <row r="240" spans="2:34" ht="23.25" customHeight="1" x14ac:dyDescent="0.15">
      <c r="B240" s="51"/>
      <c r="C240" s="215"/>
      <c r="D240" s="217" t="s">
        <v>133</v>
      </c>
      <c r="E240" s="194"/>
      <c r="F240" s="194"/>
      <c r="G240" s="195"/>
      <c r="H240" s="61" t="s">
        <v>79</v>
      </c>
      <c r="I240" s="77"/>
      <c r="J240" s="78"/>
      <c r="K240" s="64" t="str">
        <f t="shared" si="16"/>
        <v>-</v>
      </c>
      <c r="L240" s="79">
        <f t="shared" si="13"/>
        <v>0</v>
      </c>
      <c r="M240" s="65"/>
      <c r="N240" s="187"/>
      <c r="O240" s="188"/>
      <c r="P240" s="188"/>
      <c r="Q240" s="189"/>
      <c r="R240" s="4"/>
      <c r="S240" s="178"/>
      <c r="T240" s="178"/>
      <c r="U240" s="178">
        <v>1</v>
      </c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</row>
    <row r="241" spans="2:34" ht="23.25" customHeight="1" x14ac:dyDescent="0.15">
      <c r="B241" s="51"/>
      <c r="C241" s="215"/>
      <c r="D241" s="217" t="s">
        <v>134</v>
      </c>
      <c r="E241" s="194"/>
      <c r="F241" s="194"/>
      <c r="G241" s="195"/>
      <c r="H241" s="61" t="s">
        <v>79</v>
      </c>
      <c r="I241" s="77"/>
      <c r="J241" s="78"/>
      <c r="K241" s="64" t="str">
        <f t="shared" si="16"/>
        <v>-</v>
      </c>
      <c r="L241" s="79">
        <f t="shared" si="13"/>
        <v>0</v>
      </c>
      <c r="M241" s="65"/>
      <c r="N241" s="187"/>
      <c r="O241" s="188"/>
      <c r="P241" s="188"/>
      <c r="Q241" s="189"/>
      <c r="R241" s="4"/>
      <c r="S241" s="178"/>
      <c r="T241" s="178"/>
      <c r="U241" s="178">
        <v>1</v>
      </c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</row>
    <row r="242" spans="2:34" ht="23.25" customHeight="1" x14ac:dyDescent="0.15">
      <c r="B242" s="51"/>
      <c r="C242" s="215"/>
      <c r="D242" s="208" t="s">
        <v>144</v>
      </c>
      <c r="E242" s="209"/>
      <c r="F242" s="209"/>
      <c r="G242" s="210"/>
      <c r="H242" s="61" t="s">
        <v>94</v>
      </c>
      <c r="I242" s="62"/>
      <c r="J242" s="63"/>
      <c r="K242" s="64" t="str">
        <f t="shared" si="16"/>
        <v>-</v>
      </c>
      <c r="L242" s="80">
        <f t="shared" si="13"/>
        <v>0</v>
      </c>
      <c r="M242" s="65"/>
      <c r="N242" s="187"/>
      <c r="O242" s="188"/>
      <c r="P242" s="188"/>
      <c r="Q242" s="189"/>
      <c r="R242" s="4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</row>
    <row r="243" spans="2:34" ht="23.25" customHeight="1" x14ac:dyDescent="0.15">
      <c r="B243" s="51"/>
      <c r="C243" s="215"/>
      <c r="D243" s="208" t="s">
        <v>145</v>
      </c>
      <c r="E243" s="218"/>
      <c r="F243" s="218"/>
      <c r="G243" s="219"/>
      <c r="H243" s="61" t="s">
        <v>94</v>
      </c>
      <c r="I243" s="62"/>
      <c r="J243" s="63"/>
      <c r="K243" s="64" t="str">
        <f t="shared" si="16"/>
        <v>-</v>
      </c>
      <c r="L243" s="80">
        <f t="shared" si="13"/>
        <v>0</v>
      </c>
      <c r="M243" s="65"/>
      <c r="N243" s="187"/>
      <c r="O243" s="188"/>
      <c r="P243" s="188"/>
      <c r="Q243" s="189"/>
      <c r="R243" s="4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</row>
    <row r="244" spans="2:34" ht="23.25" customHeight="1" x14ac:dyDescent="0.15">
      <c r="B244" s="51"/>
      <c r="C244" s="215"/>
      <c r="D244" s="208" t="s">
        <v>146</v>
      </c>
      <c r="E244" s="218"/>
      <c r="F244" s="218"/>
      <c r="G244" s="219"/>
      <c r="H244" s="61" t="s">
        <v>94</v>
      </c>
      <c r="I244" s="62"/>
      <c r="J244" s="63"/>
      <c r="K244" s="64" t="str">
        <f t="shared" si="16"/>
        <v>-</v>
      </c>
      <c r="L244" s="80">
        <f t="shared" si="13"/>
        <v>0</v>
      </c>
      <c r="M244" s="65"/>
      <c r="N244" s="187"/>
      <c r="O244" s="188"/>
      <c r="P244" s="188"/>
      <c r="Q244" s="189"/>
      <c r="R244" s="4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</row>
    <row r="245" spans="2:34" ht="23.25" customHeight="1" x14ac:dyDescent="0.15">
      <c r="B245" s="51"/>
      <c r="C245" s="215"/>
      <c r="D245" s="208" t="s">
        <v>147</v>
      </c>
      <c r="E245" s="209"/>
      <c r="F245" s="209"/>
      <c r="G245" s="210"/>
      <c r="H245" s="61" t="s">
        <v>94</v>
      </c>
      <c r="I245" s="62"/>
      <c r="J245" s="63"/>
      <c r="K245" s="64" t="str">
        <f t="shared" si="16"/>
        <v>-</v>
      </c>
      <c r="L245" s="80">
        <f t="shared" si="13"/>
        <v>0</v>
      </c>
      <c r="M245" s="65"/>
      <c r="N245" s="187"/>
      <c r="O245" s="188"/>
      <c r="P245" s="188"/>
      <c r="Q245" s="189"/>
      <c r="R245" s="4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</row>
    <row r="246" spans="2:34" ht="23.25" customHeight="1" x14ac:dyDescent="0.15">
      <c r="B246" s="51"/>
      <c r="C246" s="215"/>
      <c r="D246" s="208" t="s">
        <v>148</v>
      </c>
      <c r="E246" s="209"/>
      <c r="F246" s="209"/>
      <c r="G246" s="210"/>
      <c r="H246" s="61" t="s">
        <v>20</v>
      </c>
      <c r="I246" s="62"/>
      <c r="J246" s="63"/>
      <c r="K246" s="64" t="str">
        <f t="shared" si="16"/>
        <v>-</v>
      </c>
      <c r="L246" s="80">
        <f t="shared" si="13"/>
        <v>0</v>
      </c>
      <c r="M246" s="65"/>
      <c r="N246" s="187"/>
      <c r="O246" s="188"/>
      <c r="P246" s="188"/>
      <c r="Q246" s="189"/>
      <c r="R246" s="4"/>
      <c r="S246" s="178"/>
      <c r="T246" s="178">
        <v>1</v>
      </c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</row>
    <row r="247" spans="2:34" ht="23.25" customHeight="1" x14ac:dyDescent="0.15">
      <c r="B247" s="51"/>
      <c r="C247" s="215"/>
      <c r="D247" s="208" t="s">
        <v>208</v>
      </c>
      <c r="E247" s="209"/>
      <c r="F247" s="209"/>
      <c r="G247" s="210"/>
      <c r="H247" s="61" t="s">
        <v>94</v>
      </c>
      <c r="I247" s="62"/>
      <c r="J247" s="63"/>
      <c r="K247" s="64" t="str">
        <f t="shared" si="16"/>
        <v>-</v>
      </c>
      <c r="L247" s="80">
        <f t="shared" si="13"/>
        <v>0</v>
      </c>
      <c r="M247" s="65"/>
      <c r="N247" s="181"/>
      <c r="O247" s="182"/>
      <c r="P247" s="182"/>
      <c r="Q247" s="183"/>
      <c r="R247" s="4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76"/>
    </row>
    <row r="248" spans="2:34" ht="23.25" customHeight="1" x14ac:dyDescent="0.15">
      <c r="B248" s="51"/>
      <c r="C248" s="215"/>
      <c r="D248" s="208" t="s">
        <v>209</v>
      </c>
      <c r="E248" s="209"/>
      <c r="F248" s="209"/>
      <c r="G248" s="210"/>
      <c r="H248" s="61" t="s">
        <v>94</v>
      </c>
      <c r="I248" s="62"/>
      <c r="J248" s="63"/>
      <c r="K248" s="64" t="str">
        <f t="shared" si="16"/>
        <v>-</v>
      </c>
      <c r="L248" s="80">
        <f t="shared" si="13"/>
        <v>0</v>
      </c>
      <c r="M248" s="65"/>
      <c r="N248" s="181"/>
      <c r="O248" s="182"/>
      <c r="P248" s="182"/>
      <c r="Q248" s="183"/>
      <c r="R248" s="4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76"/>
    </row>
    <row r="249" spans="2:34" ht="23.25" customHeight="1" x14ac:dyDescent="0.15">
      <c r="B249" s="51"/>
      <c r="C249" s="215"/>
      <c r="D249" s="208" t="s">
        <v>210</v>
      </c>
      <c r="E249" s="209"/>
      <c r="F249" s="209"/>
      <c r="G249" s="210"/>
      <c r="H249" s="61" t="s">
        <v>20</v>
      </c>
      <c r="I249" s="62"/>
      <c r="J249" s="63"/>
      <c r="K249" s="64" t="str">
        <f t="shared" si="16"/>
        <v>-</v>
      </c>
      <c r="L249" s="80">
        <f t="shared" si="13"/>
        <v>0</v>
      </c>
      <c r="M249" s="65"/>
      <c r="N249" s="181"/>
      <c r="O249" s="182"/>
      <c r="P249" s="182"/>
      <c r="Q249" s="183"/>
      <c r="R249" s="4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76"/>
    </row>
    <row r="250" spans="2:34" ht="23.25" customHeight="1" x14ac:dyDescent="0.15">
      <c r="B250" s="51"/>
      <c r="C250" s="215"/>
      <c r="D250" s="208" t="s">
        <v>211</v>
      </c>
      <c r="E250" s="209"/>
      <c r="F250" s="209"/>
      <c r="G250" s="210"/>
      <c r="H250" s="61" t="s">
        <v>94</v>
      </c>
      <c r="I250" s="62"/>
      <c r="J250" s="63"/>
      <c r="K250" s="64" t="str">
        <f t="shared" si="16"/>
        <v>-</v>
      </c>
      <c r="L250" s="80">
        <f t="shared" si="13"/>
        <v>0</v>
      </c>
      <c r="M250" s="65"/>
      <c r="N250" s="181"/>
      <c r="O250" s="182"/>
      <c r="P250" s="182"/>
      <c r="Q250" s="183"/>
      <c r="R250" s="4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76"/>
    </row>
    <row r="251" spans="2:34" ht="23.25" customHeight="1" x14ac:dyDescent="0.15">
      <c r="B251" s="51"/>
      <c r="C251" s="215"/>
      <c r="D251" s="208" t="s">
        <v>212</v>
      </c>
      <c r="E251" s="209"/>
      <c r="F251" s="209"/>
      <c r="G251" s="210"/>
      <c r="H251" s="61" t="s">
        <v>94</v>
      </c>
      <c r="I251" s="62"/>
      <c r="J251" s="63"/>
      <c r="K251" s="64" t="str">
        <f t="shared" si="16"/>
        <v>-</v>
      </c>
      <c r="L251" s="80">
        <f t="shared" si="13"/>
        <v>0</v>
      </c>
      <c r="M251" s="65"/>
      <c r="N251" s="181"/>
      <c r="O251" s="182"/>
      <c r="P251" s="182"/>
      <c r="Q251" s="183"/>
      <c r="R251" s="4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76"/>
    </row>
    <row r="252" spans="2:34" ht="23.25" customHeight="1" x14ac:dyDescent="0.15">
      <c r="B252" s="51"/>
      <c r="C252" s="215"/>
      <c r="D252" s="208" t="s">
        <v>213</v>
      </c>
      <c r="E252" s="209"/>
      <c r="F252" s="209"/>
      <c r="G252" s="210"/>
      <c r="H252" s="61" t="s">
        <v>20</v>
      </c>
      <c r="I252" s="62"/>
      <c r="J252" s="63"/>
      <c r="K252" s="64" t="str">
        <f t="shared" si="16"/>
        <v>-</v>
      </c>
      <c r="L252" s="80">
        <f t="shared" si="13"/>
        <v>0</v>
      </c>
      <c r="M252" s="65"/>
      <c r="N252" s="181"/>
      <c r="O252" s="182"/>
      <c r="P252" s="182"/>
      <c r="Q252" s="183"/>
      <c r="R252" s="4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76"/>
    </row>
    <row r="253" spans="2:34" ht="23.25" customHeight="1" x14ac:dyDescent="0.15">
      <c r="B253" s="51"/>
      <c r="C253" s="215"/>
      <c r="D253" s="208" t="s">
        <v>214</v>
      </c>
      <c r="E253" s="209"/>
      <c r="F253" s="209"/>
      <c r="G253" s="210"/>
      <c r="H253" s="61" t="s">
        <v>94</v>
      </c>
      <c r="I253" s="62"/>
      <c r="J253" s="63"/>
      <c r="K253" s="64" t="str">
        <f t="shared" si="16"/>
        <v>-</v>
      </c>
      <c r="L253" s="80">
        <f t="shared" si="13"/>
        <v>0</v>
      </c>
      <c r="M253" s="65"/>
      <c r="N253" s="181"/>
      <c r="O253" s="182"/>
      <c r="P253" s="182"/>
      <c r="Q253" s="183"/>
      <c r="R253" s="4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76"/>
    </row>
    <row r="254" spans="2:34" ht="23.25" customHeight="1" x14ac:dyDescent="0.15">
      <c r="B254" s="51"/>
      <c r="C254" s="215"/>
      <c r="D254" s="208" t="s">
        <v>215</v>
      </c>
      <c r="E254" s="209"/>
      <c r="F254" s="209"/>
      <c r="G254" s="210"/>
      <c r="H254" s="61" t="s">
        <v>94</v>
      </c>
      <c r="I254" s="62"/>
      <c r="J254" s="63"/>
      <c r="K254" s="64" t="str">
        <f t="shared" si="16"/>
        <v>-</v>
      </c>
      <c r="L254" s="80">
        <f t="shared" si="13"/>
        <v>0</v>
      </c>
      <c r="M254" s="65"/>
      <c r="N254" s="181"/>
      <c r="O254" s="182"/>
      <c r="P254" s="182"/>
      <c r="Q254" s="183"/>
      <c r="R254" s="4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76"/>
    </row>
    <row r="255" spans="2:34" ht="23.25" customHeight="1" x14ac:dyDescent="0.15">
      <c r="B255" s="51"/>
      <c r="C255" s="215"/>
      <c r="D255" s="208" t="s">
        <v>216</v>
      </c>
      <c r="E255" s="209"/>
      <c r="F255" s="209"/>
      <c r="G255" s="210"/>
      <c r="H255" s="61" t="s">
        <v>20</v>
      </c>
      <c r="I255" s="62"/>
      <c r="J255" s="63"/>
      <c r="K255" s="64" t="str">
        <f t="shared" si="16"/>
        <v>-</v>
      </c>
      <c r="L255" s="80">
        <f t="shared" si="13"/>
        <v>0</v>
      </c>
      <c r="M255" s="65"/>
      <c r="N255" s="181"/>
      <c r="O255" s="182"/>
      <c r="P255" s="182"/>
      <c r="Q255" s="183"/>
      <c r="R255" s="4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76"/>
    </row>
    <row r="256" spans="2:34" ht="23.25" customHeight="1" x14ac:dyDescent="0.15">
      <c r="B256" s="51"/>
      <c r="C256" s="215"/>
      <c r="D256" s="208" t="s">
        <v>217</v>
      </c>
      <c r="E256" s="209"/>
      <c r="F256" s="209"/>
      <c r="G256" s="210"/>
      <c r="H256" s="61" t="s">
        <v>94</v>
      </c>
      <c r="I256" s="62"/>
      <c r="J256" s="63"/>
      <c r="K256" s="64" t="str">
        <f t="shared" si="16"/>
        <v>-</v>
      </c>
      <c r="L256" s="80">
        <f t="shared" si="13"/>
        <v>0</v>
      </c>
      <c r="M256" s="65"/>
      <c r="N256" s="181"/>
      <c r="O256" s="182"/>
      <c r="P256" s="182"/>
      <c r="Q256" s="183"/>
      <c r="R256" s="4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76"/>
    </row>
    <row r="257" spans="2:34" ht="23.25" customHeight="1" x14ac:dyDescent="0.15">
      <c r="B257" s="51"/>
      <c r="C257" s="215"/>
      <c r="D257" s="208" t="s">
        <v>218</v>
      </c>
      <c r="E257" s="209"/>
      <c r="F257" s="209"/>
      <c r="G257" s="210"/>
      <c r="H257" s="61" t="s">
        <v>94</v>
      </c>
      <c r="I257" s="62"/>
      <c r="J257" s="63"/>
      <c r="K257" s="64" t="str">
        <f t="shared" si="16"/>
        <v>-</v>
      </c>
      <c r="L257" s="80">
        <f t="shared" si="13"/>
        <v>0</v>
      </c>
      <c r="M257" s="65"/>
      <c r="N257" s="181"/>
      <c r="O257" s="182"/>
      <c r="P257" s="182"/>
      <c r="Q257" s="183"/>
      <c r="R257" s="4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76"/>
    </row>
    <row r="258" spans="2:34" ht="23.25" customHeight="1" x14ac:dyDescent="0.15">
      <c r="B258" s="51"/>
      <c r="C258" s="215"/>
      <c r="D258" s="208" t="s">
        <v>219</v>
      </c>
      <c r="E258" s="209"/>
      <c r="F258" s="209"/>
      <c r="G258" s="210"/>
      <c r="H258" s="61" t="s">
        <v>20</v>
      </c>
      <c r="I258" s="62"/>
      <c r="J258" s="63"/>
      <c r="K258" s="64" t="str">
        <f t="shared" si="16"/>
        <v>-</v>
      </c>
      <c r="L258" s="80">
        <f t="shared" si="13"/>
        <v>0</v>
      </c>
      <c r="M258" s="65"/>
      <c r="N258" s="181"/>
      <c r="O258" s="182"/>
      <c r="P258" s="182"/>
      <c r="Q258" s="183"/>
      <c r="R258" s="4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76"/>
    </row>
    <row r="259" spans="2:34" ht="23.25" customHeight="1" x14ac:dyDescent="0.15">
      <c r="B259" s="51"/>
      <c r="C259" s="215"/>
      <c r="D259" s="208" t="s">
        <v>220</v>
      </c>
      <c r="E259" s="209"/>
      <c r="F259" s="209"/>
      <c r="G259" s="210"/>
      <c r="H259" s="61" t="s">
        <v>94</v>
      </c>
      <c r="I259" s="62"/>
      <c r="J259" s="63"/>
      <c r="K259" s="64" t="str">
        <f t="shared" si="16"/>
        <v>-</v>
      </c>
      <c r="L259" s="80">
        <f t="shared" si="13"/>
        <v>0</v>
      </c>
      <c r="M259" s="65"/>
      <c r="N259" s="181"/>
      <c r="O259" s="182"/>
      <c r="P259" s="182"/>
      <c r="Q259" s="183"/>
      <c r="R259" s="4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76"/>
    </row>
    <row r="260" spans="2:34" ht="23.25" customHeight="1" x14ac:dyDescent="0.15">
      <c r="B260" s="51"/>
      <c r="C260" s="215"/>
      <c r="D260" s="208" t="s">
        <v>221</v>
      </c>
      <c r="E260" s="209"/>
      <c r="F260" s="209"/>
      <c r="G260" s="210"/>
      <c r="H260" s="61" t="s">
        <v>94</v>
      </c>
      <c r="I260" s="62"/>
      <c r="J260" s="63"/>
      <c r="K260" s="64" t="str">
        <f t="shared" si="16"/>
        <v>-</v>
      </c>
      <c r="L260" s="80">
        <f t="shared" si="13"/>
        <v>0</v>
      </c>
      <c r="M260" s="65"/>
      <c r="N260" s="181"/>
      <c r="O260" s="182"/>
      <c r="P260" s="182"/>
      <c r="Q260" s="183"/>
      <c r="R260" s="4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76"/>
    </row>
    <row r="261" spans="2:34" ht="23.25" customHeight="1" x14ac:dyDescent="0.15">
      <c r="B261" s="51"/>
      <c r="C261" s="215"/>
      <c r="D261" s="208" t="s">
        <v>222</v>
      </c>
      <c r="E261" s="209"/>
      <c r="F261" s="209"/>
      <c r="G261" s="210"/>
      <c r="H261" s="61" t="s">
        <v>20</v>
      </c>
      <c r="I261" s="62"/>
      <c r="J261" s="63"/>
      <c r="K261" s="64" t="str">
        <f t="shared" si="16"/>
        <v>-</v>
      </c>
      <c r="L261" s="80">
        <f t="shared" si="13"/>
        <v>0</v>
      </c>
      <c r="M261" s="65"/>
      <c r="N261" s="181"/>
      <c r="O261" s="182"/>
      <c r="P261" s="182"/>
      <c r="Q261" s="183"/>
      <c r="R261" s="4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76"/>
    </row>
    <row r="262" spans="2:34" ht="23.25" customHeight="1" x14ac:dyDescent="0.15">
      <c r="B262" s="51"/>
      <c r="C262" s="215"/>
      <c r="D262" s="208" t="s">
        <v>223</v>
      </c>
      <c r="E262" s="209"/>
      <c r="F262" s="209"/>
      <c r="G262" s="210"/>
      <c r="H262" s="61" t="s">
        <v>94</v>
      </c>
      <c r="I262" s="62"/>
      <c r="J262" s="63"/>
      <c r="K262" s="64" t="str">
        <f t="shared" si="16"/>
        <v>-</v>
      </c>
      <c r="L262" s="80">
        <f t="shared" si="13"/>
        <v>0</v>
      </c>
      <c r="M262" s="65"/>
      <c r="N262" s="181"/>
      <c r="O262" s="182"/>
      <c r="P262" s="182"/>
      <c r="Q262" s="183"/>
      <c r="R262" s="4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76"/>
    </row>
    <row r="263" spans="2:34" ht="23.25" customHeight="1" x14ac:dyDescent="0.15">
      <c r="B263" s="51"/>
      <c r="C263" s="215"/>
      <c r="D263" s="208" t="s">
        <v>224</v>
      </c>
      <c r="E263" s="209"/>
      <c r="F263" s="209"/>
      <c r="G263" s="210"/>
      <c r="H263" s="61" t="s">
        <v>94</v>
      </c>
      <c r="I263" s="62"/>
      <c r="J263" s="63"/>
      <c r="K263" s="64" t="str">
        <f t="shared" si="16"/>
        <v>-</v>
      </c>
      <c r="L263" s="80">
        <f t="shared" si="13"/>
        <v>0</v>
      </c>
      <c r="M263" s="65"/>
      <c r="N263" s="181"/>
      <c r="O263" s="182"/>
      <c r="P263" s="182"/>
      <c r="Q263" s="183"/>
      <c r="R263" s="4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76"/>
    </row>
    <row r="264" spans="2:34" ht="23.25" customHeight="1" x14ac:dyDescent="0.15">
      <c r="B264" s="51"/>
      <c r="C264" s="215"/>
      <c r="D264" s="208" t="s">
        <v>225</v>
      </c>
      <c r="E264" s="209"/>
      <c r="F264" s="209"/>
      <c r="G264" s="210"/>
      <c r="H264" s="61" t="s">
        <v>20</v>
      </c>
      <c r="I264" s="62"/>
      <c r="J264" s="63"/>
      <c r="K264" s="64" t="str">
        <f t="shared" si="16"/>
        <v>-</v>
      </c>
      <c r="L264" s="80">
        <f t="shared" si="13"/>
        <v>0</v>
      </c>
      <c r="M264" s="65"/>
      <c r="N264" s="181"/>
      <c r="O264" s="182"/>
      <c r="P264" s="182"/>
      <c r="Q264" s="183"/>
      <c r="R264" s="4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76"/>
    </row>
    <row r="265" spans="2:34" ht="23.25" customHeight="1" x14ac:dyDescent="0.15">
      <c r="B265" s="51"/>
      <c r="C265" s="215"/>
      <c r="D265" s="208" t="s">
        <v>226</v>
      </c>
      <c r="E265" s="209"/>
      <c r="F265" s="209"/>
      <c r="G265" s="210"/>
      <c r="H265" s="61" t="s">
        <v>94</v>
      </c>
      <c r="I265" s="62"/>
      <c r="J265" s="63"/>
      <c r="K265" s="64" t="str">
        <f t="shared" si="16"/>
        <v>-</v>
      </c>
      <c r="L265" s="80">
        <f t="shared" si="13"/>
        <v>0</v>
      </c>
      <c r="M265" s="65"/>
      <c r="N265" s="181"/>
      <c r="O265" s="182"/>
      <c r="P265" s="182"/>
      <c r="Q265" s="183"/>
      <c r="R265" s="4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76"/>
    </row>
    <row r="266" spans="2:34" ht="23.25" customHeight="1" x14ac:dyDescent="0.15">
      <c r="B266" s="51"/>
      <c r="C266" s="215"/>
      <c r="D266" s="208" t="s">
        <v>227</v>
      </c>
      <c r="E266" s="209"/>
      <c r="F266" s="209"/>
      <c r="G266" s="210"/>
      <c r="H266" s="61" t="s">
        <v>94</v>
      </c>
      <c r="I266" s="62"/>
      <c r="J266" s="63"/>
      <c r="K266" s="64" t="str">
        <f t="shared" si="16"/>
        <v>-</v>
      </c>
      <c r="L266" s="80">
        <f t="shared" si="13"/>
        <v>0</v>
      </c>
      <c r="M266" s="65"/>
      <c r="N266" s="181"/>
      <c r="O266" s="182"/>
      <c r="P266" s="182"/>
      <c r="Q266" s="183"/>
      <c r="R266" s="4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76"/>
    </row>
    <row r="267" spans="2:34" ht="23.25" customHeight="1" thickBot="1" x14ac:dyDescent="0.2">
      <c r="B267" s="51"/>
      <c r="C267" s="215"/>
      <c r="D267" s="211" t="s">
        <v>228</v>
      </c>
      <c r="E267" s="212"/>
      <c r="F267" s="212"/>
      <c r="G267" s="213"/>
      <c r="H267" s="67" t="s">
        <v>20</v>
      </c>
      <c r="I267" s="68"/>
      <c r="J267" s="69"/>
      <c r="K267" s="70" t="str">
        <f t="shared" si="16"/>
        <v>-</v>
      </c>
      <c r="L267" s="103">
        <f t="shared" si="13"/>
        <v>0</v>
      </c>
      <c r="M267" s="71"/>
      <c r="N267" s="184"/>
      <c r="O267" s="185"/>
      <c r="P267" s="185"/>
      <c r="Q267" s="186"/>
      <c r="R267" s="4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76"/>
    </row>
    <row r="268" spans="2:34" ht="23.25" customHeight="1" x14ac:dyDescent="0.15">
      <c r="B268" s="51"/>
      <c r="C268" s="202"/>
      <c r="D268" s="203"/>
      <c r="E268" s="203"/>
      <c r="F268" s="203"/>
      <c r="G268" s="204"/>
      <c r="H268" s="98"/>
      <c r="I268" s="105"/>
      <c r="J268" s="106"/>
      <c r="K268" s="101" t="str">
        <f t="shared" si="16"/>
        <v>-</v>
      </c>
      <c r="L268" s="152">
        <f t="shared" si="13"/>
        <v>0</v>
      </c>
      <c r="M268" s="104"/>
      <c r="N268" s="205"/>
      <c r="O268" s="206"/>
      <c r="P268" s="206"/>
      <c r="Q268" s="207"/>
      <c r="R268" s="4"/>
      <c r="S268" s="180"/>
      <c r="T268" s="178">
        <v>1</v>
      </c>
      <c r="U268" s="178">
        <v>1</v>
      </c>
      <c r="V268" s="178">
        <v>1</v>
      </c>
      <c r="W268" s="178">
        <v>1</v>
      </c>
      <c r="X268" s="178">
        <v>1</v>
      </c>
      <c r="Y268" s="178">
        <v>1</v>
      </c>
      <c r="Z268" s="178">
        <v>1</v>
      </c>
      <c r="AA268" s="178">
        <v>1</v>
      </c>
      <c r="AB268" s="178">
        <v>1</v>
      </c>
      <c r="AC268" s="178">
        <v>1</v>
      </c>
      <c r="AD268" s="178">
        <v>1</v>
      </c>
      <c r="AE268" s="178">
        <v>1</v>
      </c>
      <c r="AF268" s="178">
        <v>1</v>
      </c>
      <c r="AG268" s="178"/>
      <c r="AH268" s="176"/>
    </row>
    <row r="269" spans="2:34" ht="23.25" customHeight="1" x14ac:dyDescent="0.15">
      <c r="B269" s="51"/>
      <c r="C269" s="193"/>
      <c r="D269" s="194"/>
      <c r="E269" s="194"/>
      <c r="F269" s="194"/>
      <c r="G269" s="195"/>
      <c r="H269" s="61"/>
      <c r="I269" s="108"/>
      <c r="J269" s="109"/>
      <c r="K269" s="64" t="str">
        <f t="shared" si="16"/>
        <v>-</v>
      </c>
      <c r="L269" s="153">
        <f t="shared" ref="L269:L332" si="18">IFERROR(J269-I269,"-")</f>
        <v>0</v>
      </c>
      <c r="M269" s="65"/>
      <c r="N269" s="187"/>
      <c r="O269" s="188"/>
      <c r="P269" s="188"/>
      <c r="Q269" s="189"/>
      <c r="R269" s="4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76"/>
    </row>
    <row r="270" spans="2:34" ht="23.25" customHeight="1" x14ac:dyDescent="0.15">
      <c r="B270" s="51"/>
      <c r="C270" s="193"/>
      <c r="D270" s="194"/>
      <c r="E270" s="194"/>
      <c r="F270" s="194"/>
      <c r="G270" s="195"/>
      <c r="H270" s="61"/>
      <c r="I270" s="108"/>
      <c r="J270" s="109"/>
      <c r="K270" s="64" t="str">
        <f t="shared" si="16"/>
        <v>-</v>
      </c>
      <c r="L270" s="153">
        <f t="shared" si="18"/>
        <v>0</v>
      </c>
      <c r="M270" s="65"/>
      <c r="N270" s="187"/>
      <c r="O270" s="188"/>
      <c r="P270" s="188"/>
      <c r="Q270" s="189"/>
      <c r="R270" s="4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76"/>
    </row>
    <row r="271" spans="2:34" ht="23.25" customHeight="1" x14ac:dyDescent="0.15">
      <c r="B271" s="51"/>
      <c r="C271" s="193"/>
      <c r="D271" s="194"/>
      <c r="E271" s="194"/>
      <c r="F271" s="194"/>
      <c r="G271" s="195"/>
      <c r="H271" s="61"/>
      <c r="I271" s="108"/>
      <c r="J271" s="109"/>
      <c r="K271" s="64" t="str">
        <f t="shared" si="16"/>
        <v>-</v>
      </c>
      <c r="L271" s="153">
        <f t="shared" si="18"/>
        <v>0</v>
      </c>
      <c r="M271" s="65"/>
      <c r="N271" s="187"/>
      <c r="O271" s="188"/>
      <c r="P271" s="188"/>
      <c r="Q271" s="189"/>
      <c r="R271" s="4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76"/>
    </row>
    <row r="272" spans="2:34" ht="23.25" customHeight="1" x14ac:dyDescent="0.15">
      <c r="B272" s="51"/>
      <c r="C272" s="193"/>
      <c r="D272" s="194"/>
      <c r="E272" s="194"/>
      <c r="F272" s="194"/>
      <c r="G272" s="195"/>
      <c r="H272" s="61"/>
      <c r="I272" s="108"/>
      <c r="J272" s="109"/>
      <c r="K272" s="64" t="str">
        <f t="shared" si="16"/>
        <v>-</v>
      </c>
      <c r="L272" s="153">
        <f t="shared" si="18"/>
        <v>0</v>
      </c>
      <c r="M272" s="65"/>
      <c r="N272" s="187"/>
      <c r="O272" s="188"/>
      <c r="P272" s="188"/>
      <c r="Q272" s="189"/>
      <c r="R272" s="4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76"/>
    </row>
    <row r="273" spans="2:34" ht="23.25" customHeight="1" x14ac:dyDescent="0.15">
      <c r="B273" s="51"/>
      <c r="C273" s="193"/>
      <c r="D273" s="194"/>
      <c r="E273" s="194"/>
      <c r="F273" s="194"/>
      <c r="G273" s="195"/>
      <c r="H273" s="61"/>
      <c r="I273" s="108"/>
      <c r="J273" s="109"/>
      <c r="K273" s="64" t="str">
        <f t="shared" si="16"/>
        <v>-</v>
      </c>
      <c r="L273" s="153">
        <f t="shared" si="18"/>
        <v>0</v>
      </c>
      <c r="M273" s="65"/>
      <c r="N273" s="187"/>
      <c r="O273" s="188"/>
      <c r="P273" s="188"/>
      <c r="Q273" s="189"/>
      <c r="R273" s="4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76"/>
    </row>
    <row r="274" spans="2:34" ht="23.25" customHeight="1" x14ac:dyDescent="0.15">
      <c r="B274" s="51"/>
      <c r="C274" s="193"/>
      <c r="D274" s="194"/>
      <c r="E274" s="194"/>
      <c r="F274" s="194"/>
      <c r="G274" s="195"/>
      <c r="H274" s="61"/>
      <c r="I274" s="108"/>
      <c r="J274" s="109"/>
      <c r="K274" s="64" t="str">
        <f t="shared" si="16"/>
        <v>-</v>
      </c>
      <c r="L274" s="153">
        <f t="shared" si="18"/>
        <v>0</v>
      </c>
      <c r="M274" s="65"/>
      <c r="N274" s="187"/>
      <c r="O274" s="188"/>
      <c r="P274" s="188"/>
      <c r="Q274" s="189"/>
      <c r="R274" s="4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76"/>
    </row>
    <row r="275" spans="2:34" ht="23.25" customHeight="1" x14ac:dyDescent="0.15">
      <c r="B275" s="51"/>
      <c r="C275" s="193"/>
      <c r="D275" s="194"/>
      <c r="E275" s="194"/>
      <c r="F275" s="194"/>
      <c r="G275" s="195"/>
      <c r="H275" s="61"/>
      <c r="I275" s="108"/>
      <c r="J275" s="109"/>
      <c r="K275" s="64" t="str">
        <f t="shared" si="16"/>
        <v>-</v>
      </c>
      <c r="L275" s="153">
        <f t="shared" si="18"/>
        <v>0</v>
      </c>
      <c r="M275" s="65"/>
      <c r="N275" s="187"/>
      <c r="O275" s="188"/>
      <c r="P275" s="188"/>
      <c r="Q275" s="189"/>
      <c r="R275" s="4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76"/>
    </row>
    <row r="276" spans="2:34" ht="23.25" customHeight="1" x14ac:dyDescent="0.15">
      <c r="B276" s="51"/>
      <c r="C276" s="193"/>
      <c r="D276" s="194"/>
      <c r="E276" s="194"/>
      <c r="F276" s="194"/>
      <c r="G276" s="195"/>
      <c r="H276" s="61"/>
      <c r="I276" s="108"/>
      <c r="J276" s="109"/>
      <c r="K276" s="64" t="str">
        <f t="shared" si="16"/>
        <v>-</v>
      </c>
      <c r="L276" s="153">
        <f t="shared" si="18"/>
        <v>0</v>
      </c>
      <c r="M276" s="65"/>
      <c r="N276" s="187"/>
      <c r="O276" s="188"/>
      <c r="P276" s="188"/>
      <c r="Q276" s="189"/>
      <c r="R276" s="4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76"/>
    </row>
    <row r="277" spans="2:34" ht="23.25" customHeight="1" x14ac:dyDescent="0.15">
      <c r="B277" s="51"/>
      <c r="C277" s="193"/>
      <c r="D277" s="194"/>
      <c r="E277" s="194"/>
      <c r="F277" s="194"/>
      <c r="G277" s="195"/>
      <c r="H277" s="61"/>
      <c r="I277" s="108"/>
      <c r="J277" s="109"/>
      <c r="K277" s="64" t="str">
        <f t="shared" si="16"/>
        <v>-</v>
      </c>
      <c r="L277" s="153">
        <f t="shared" si="18"/>
        <v>0</v>
      </c>
      <c r="M277" s="65"/>
      <c r="N277" s="187"/>
      <c r="O277" s="188"/>
      <c r="P277" s="188"/>
      <c r="Q277" s="189"/>
      <c r="R277" s="4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76"/>
    </row>
    <row r="278" spans="2:34" ht="23.25" customHeight="1" x14ac:dyDescent="0.15">
      <c r="B278" s="51"/>
      <c r="C278" s="193"/>
      <c r="D278" s="194"/>
      <c r="E278" s="194"/>
      <c r="F278" s="194"/>
      <c r="G278" s="195"/>
      <c r="H278" s="61"/>
      <c r="I278" s="108"/>
      <c r="J278" s="109"/>
      <c r="K278" s="64" t="str">
        <f t="shared" si="16"/>
        <v>-</v>
      </c>
      <c r="L278" s="153">
        <f t="shared" si="18"/>
        <v>0</v>
      </c>
      <c r="M278" s="65"/>
      <c r="N278" s="187"/>
      <c r="O278" s="188"/>
      <c r="P278" s="188"/>
      <c r="Q278" s="189"/>
      <c r="R278" s="4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76"/>
    </row>
    <row r="279" spans="2:34" ht="23.25" customHeight="1" x14ac:dyDescent="0.15">
      <c r="B279" s="51"/>
      <c r="C279" s="193"/>
      <c r="D279" s="194"/>
      <c r="E279" s="194"/>
      <c r="F279" s="194"/>
      <c r="G279" s="195"/>
      <c r="H279" s="61"/>
      <c r="I279" s="108"/>
      <c r="J279" s="109"/>
      <c r="K279" s="64" t="str">
        <f t="shared" si="16"/>
        <v>-</v>
      </c>
      <c r="L279" s="153">
        <f t="shared" si="18"/>
        <v>0</v>
      </c>
      <c r="M279" s="65"/>
      <c r="N279" s="187"/>
      <c r="O279" s="188"/>
      <c r="P279" s="188"/>
      <c r="Q279" s="189"/>
      <c r="R279" s="4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76"/>
    </row>
    <row r="280" spans="2:34" ht="23.25" customHeight="1" x14ac:dyDescent="0.15">
      <c r="B280" s="51"/>
      <c r="C280" s="193"/>
      <c r="D280" s="194"/>
      <c r="E280" s="194"/>
      <c r="F280" s="194"/>
      <c r="G280" s="195"/>
      <c r="H280" s="61"/>
      <c r="I280" s="108"/>
      <c r="J280" s="109"/>
      <c r="K280" s="64" t="str">
        <f t="shared" si="16"/>
        <v>-</v>
      </c>
      <c r="L280" s="153">
        <f t="shared" si="18"/>
        <v>0</v>
      </c>
      <c r="M280" s="65"/>
      <c r="N280" s="187"/>
      <c r="O280" s="188"/>
      <c r="P280" s="188"/>
      <c r="Q280" s="189"/>
      <c r="R280" s="4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76"/>
    </row>
    <row r="281" spans="2:34" ht="23.25" customHeight="1" x14ac:dyDescent="0.15">
      <c r="B281" s="51"/>
      <c r="C281" s="193"/>
      <c r="D281" s="194"/>
      <c r="E281" s="194"/>
      <c r="F281" s="194"/>
      <c r="G281" s="195"/>
      <c r="H281" s="61"/>
      <c r="I281" s="108"/>
      <c r="J281" s="109"/>
      <c r="K281" s="64" t="str">
        <f t="shared" si="16"/>
        <v>-</v>
      </c>
      <c r="L281" s="153">
        <f t="shared" si="18"/>
        <v>0</v>
      </c>
      <c r="M281" s="65"/>
      <c r="N281" s="187"/>
      <c r="O281" s="188"/>
      <c r="P281" s="188"/>
      <c r="Q281" s="189"/>
      <c r="R281" s="4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76"/>
    </row>
    <row r="282" spans="2:34" ht="23.25" customHeight="1" x14ac:dyDescent="0.15">
      <c r="B282" s="51"/>
      <c r="C282" s="193"/>
      <c r="D282" s="194"/>
      <c r="E282" s="194"/>
      <c r="F282" s="194"/>
      <c r="G282" s="195"/>
      <c r="H282" s="61"/>
      <c r="I282" s="108"/>
      <c r="J282" s="109"/>
      <c r="K282" s="64" t="str">
        <f t="shared" si="16"/>
        <v>-</v>
      </c>
      <c r="L282" s="153">
        <f t="shared" si="18"/>
        <v>0</v>
      </c>
      <c r="M282" s="65"/>
      <c r="N282" s="187"/>
      <c r="O282" s="188"/>
      <c r="P282" s="188"/>
      <c r="Q282" s="189"/>
      <c r="R282" s="4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76"/>
    </row>
    <row r="283" spans="2:34" ht="23.25" customHeight="1" x14ac:dyDescent="0.15">
      <c r="B283" s="51"/>
      <c r="C283" s="193"/>
      <c r="D283" s="194"/>
      <c r="E283" s="194"/>
      <c r="F283" s="194"/>
      <c r="G283" s="195"/>
      <c r="H283" s="61"/>
      <c r="I283" s="108"/>
      <c r="J283" s="109"/>
      <c r="K283" s="64" t="str">
        <f t="shared" si="16"/>
        <v>-</v>
      </c>
      <c r="L283" s="153">
        <f t="shared" si="18"/>
        <v>0</v>
      </c>
      <c r="M283" s="65"/>
      <c r="N283" s="187"/>
      <c r="O283" s="188"/>
      <c r="P283" s="188"/>
      <c r="Q283" s="189"/>
      <c r="R283" s="4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76"/>
    </row>
    <row r="284" spans="2:34" ht="23.25" customHeight="1" x14ac:dyDescent="0.15">
      <c r="B284" s="51"/>
      <c r="C284" s="193"/>
      <c r="D284" s="194"/>
      <c r="E284" s="194"/>
      <c r="F284" s="194"/>
      <c r="G284" s="195"/>
      <c r="H284" s="61"/>
      <c r="I284" s="108"/>
      <c r="J284" s="109"/>
      <c r="K284" s="64" t="str">
        <f t="shared" si="16"/>
        <v>-</v>
      </c>
      <c r="L284" s="153">
        <f t="shared" si="18"/>
        <v>0</v>
      </c>
      <c r="M284" s="65"/>
      <c r="N284" s="187"/>
      <c r="O284" s="188"/>
      <c r="P284" s="188"/>
      <c r="Q284" s="189"/>
      <c r="R284" s="4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76"/>
    </row>
    <row r="285" spans="2:34" ht="23.25" customHeight="1" x14ac:dyDescent="0.15">
      <c r="B285" s="51"/>
      <c r="C285" s="193"/>
      <c r="D285" s="194"/>
      <c r="E285" s="194"/>
      <c r="F285" s="194"/>
      <c r="G285" s="195"/>
      <c r="H285" s="61"/>
      <c r="I285" s="108"/>
      <c r="J285" s="109"/>
      <c r="K285" s="64" t="str">
        <f t="shared" si="16"/>
        <v>-</v>
      </c>
      <c r="L285" s="153">
        <f t="shared" si="18"/>
        <v>0</v>
      </c>
      <c r="M285" s="65"/>
      <c r="N285" s="187"/>
      <c r="O285" s="188"/>
      <c r="P285" s="188"/>
      <c r="Q285" s="189"/>
      <c r="R285" s="4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76"/>
    </row>
    <row r="286" spans="2:34" ht="23.25" customHeight="1" x14ac:dyDescent="0.15">
      <c r="B286" s="51"/>
      <c r="C286" s="193"/>
      <c r="D286" s="194"/>
      <c r="E286" s="194"/>
      <c r="F286" s="194"/>
      <c r="G286" s="195"/>
      <c r="H286" s="61"/>
      <c r="I286" s="108"/>
      <c r="J286" s="109"/>
      <c r="K286" s="64" t="str">
        <f t="shared" si="16"/>
        <v>-</v>
      </c>
      <c r="L286" s="153">
        <f t="shared" si="18"/>
        <v>0</v>
      </c>
      <c r="M286" s="65"/>
      <c r="N286" s="187"/>
      <c r="O286" s="188"/>
      <c r="P286" s="188"/>
      <c r="Q286" s="189"/>
      <c r="R286" s="4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76"/>
    </row>
    <row r="287" spans="2:34" ht="23.25" customHeight="1" x14ac:dyDescent="0.15">
      <c r="B287" s="51"/>
      <c r="C287" s="193"/>
      <c r="D287" s="194"/>
      <c r="E287" s="194"/>
      <c r="F287" s="194"/>
      <c r="G287" s="195"/>
      <c r="H287" s="61"/>
      <c r="I287" s="108"/>
      <c r="J287" s="109"/>
      <c r="K287" s="64" t="str">
        <f t="shared" si="16"/>
        <v>-</v>
      </c>
      <c r="L287" s="153">
        <f t="shared" si="18"/>
        <v>0</v>
      </c>
      <c r="M287" s="65"/>
      <c r="N287" s="187"/>
      <c r="O287" s="188"/>
      <c r="P287" s="188"/>
      <c r="Q287" s="189"/>
      <c r="R287" s="4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76"/>
    </row>
    <row r="288" spans="2:34" ht="23.25" customHeight="1" x14ac:dyDescent="0.15">
      <c r="B288" s="51"/>
      <c r="C288" s="193"/>
      <c r="D288" s="194"/>
      <c r="E288" s="194"/>
      <c r="F288" s="194"/>
      <c r="G288" s="195"/>
      <c r="H288" s="61"/>
      <c r="I288" s="108"/>
      <c r="J288" s="109"/>
      <c r="K288" s="64" t="str">
        <f t="shared" si="16"/>
        <v>-</v>
      </c>
      <c r="L288" s="153">
        <f t="shared" si="18"/>
        <v>0</v>
      </c>
      <c r="M288" s="65"/>
      <c r="N288" s="187"/>
      <c r="O288" s="188"/>
      <c r="P288" s="188"/>
      <c r="Q288" s="189"/>
      <c r="R288" s="4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76"/>
    </row>
    <row r="289" spans="2:34" ht="23.25" customHeight="1" x14ac:dyDescent="0.15">
      <c r="B289" s="51"/>
      <c r="C289" s="193"/>
      <c r="D289" s="194"/>
      <c r="E289" s="194"/>
      <c r="F289" s="194"/>
      <c r="G289" s="195"/>
      <c r="H289" s="61"/>
      <c r="I289" s="108"/>
      <c r="J289" s="109"/>
      <c r="K289" s="64" t="str">
        <f t="shared" ref="K289:K352" si="19">IFERROR(J289/I289*100-100,"-")</f>
        <v>-</v>
      </c>
      <c r="L289" s="153">
        <f t="shared" si="18"/>
        <v>0</v>
      </c>
      <c r="M289" s="65"/>
      <c r="N289" s="187"/>
      <c r="O289" s="188"/>
      <c r="P289" s="188"/>
      <c r="Q289" s="189"/>
      <c r="R289" s="4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76"/>
    </row>
    <row r="290" spans="2:34" ht="23.25" customHeight="1" x14ac:dyDescent="0.15">
      <c r="B290" s="51"/>
      <c r="C290" s="193"/>
      <c r="D290" s="194"/>
      <c r="E290" s="194"/>
      <c r="F290" s="194"/>
      <c r="G290" s="195"/>
      <c r="H290" s="61"/>
      <c r="I290" s="108"/>
      <c r="J290" s="109"/>
      <c r="K290" s="64" t="str">
        <f t="shared" si="19"/>
        <v>-</v>
      </c>
      <c r="L290" s="153">
        <f t="shared" si="18"/>
        <v>0</v>
      </c>
      <c r="M290" s="65"/>
      <c r="N290" s="187"/>
      <c r="O290" s="188"/>
      <c r="P290" s="188"/>
      <c r="Q290" s="189"/>
      <c r="R290" s="4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76"/>
    </row>
    <row r="291" spans="2:34" ht="23.25" customHeight="1" x14ac:dyDescent="0.15">
      <c r="B291" s="51"/>
      <c r="C291" s="193"/>
      <c r="D291" s="194"/>
      <c r="E291" s="194"/>
      <c r="F291" s="194"/>
      <c r="G291" s="195"/>
      <c r="H291" s="61"/>
      <c r="I291" s="108"/>
      <c r="J291" s="109"/>
      <c r="K291" s="64" t="str">
        <f t="shared" si="19"/>
        <v>-</v>
      </c>
      <c r="L291" s="153">
        <f t="shared" si="18"/>
        <v>0</v>
      </c>
      <c r="M291" s="65"/>
      <c r="N291" s="187"/>
      <c r="O291" s="188"/>
      <c r="P291" s="188"/>
      <c r="Q291" s="189"/>
      <c r="R291" s="4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76"/>
    </row>
    <row r="292" spans="2:34" ht="23.25" customHeight="1" x14ac:dyDescent="0.15">
      <c r="B292" s="51"/>
      <c r="C292" s="193"/>
      <c r="D292" s="194"/>
      <c r="E292" s="194"/>
      <c r="F292" s="194"/>
      <c r="G292" s="195"/>
      <c r="H292" s="61"/>
      <c r="I292" s="108"/>
      <c r="J292" s="109"/>
      <c r="K292" s="64" t="str">
        <f t="shared" si="19"/>
        <v>-</v>
      </c>
      <c r="L292" s="153">
        <f t="shared" si="18"/>
        <v>0</v>
      </c>
      <c r="M292" s="65"/>
      <c r="N292" s="187"/>
      <c r="O292" s="188"/>
      <c r="P292" s="188"/>
      <c r="Q292" s="189"/>
      <c r="R292" s="4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76"/>
    </row>
    <row r="293" spans="2:34" ht="23.25" customHeight="1" x14ac:dyDescent="0.15">
      <c r="B293" s="51"/>
      <c r="C293" s="193"/>
      <c r="D293" s="194"/>
      <c r="E293" s="194"/>
      <c r="F293" s="194"/>
      <c r="G293" s="195"/>
      <c r="H293" s="61"/>
      <c r="I293" s="108"/>
      <c r="J293" s="109"/>
      <c r="K293" s="64" t="str">
        <f t="shared" si="19"/>
        <v>-</v>
      </c>
      <c r="L293" s="153">
        <f t="shared" si="18"/>
        <v>0</v>
      </c>
      <c r="M293" s="65"/>
      <c r="N293" s="187"/>
      <c r="O293" s="188"/>
      <c r="P293" s="188"/>
      <c r="Q293" s="189"/>
      <c r="R293" s="4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76"/>
    </row>
    <row r="294" spans="2:34" ht="23.25" customHeight="1" x14ac:dyDescent="0.15">
      <c r="B294" s="51"/>
      <c r="C294" s="193"/>
      <c r="D294" s="194"/>
      <c r="E294" s="194"/>
      <c r="F294" s="194"/>
      <c r="G294" s="195"/>
      <c r="H294" s="61"/>
      <c r="I294" s="108"/>
      <c r="J294" s="109"/>
      <c r="K294" s="64" t="str">
        <f t="shared" si="19"/>
        <v>-</v>
      </c>
      <c r="L294" s="153">
        <f t="shared" si="18"/>
        <v>0</v>
      </c>
      <c r="M294" s="65"/>
      <c r="N294" s="187"/>
      <c r="O294" s="188"/>
      <c r="P294" s="188"/>
      <c r="Q294" s="189"/>
      <c r="R294" s="4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76"/>
    </row>
    <row r="295" spans="2:34" ht="23.25" customHeight="1" x14ac:dyDescent="0.15">
      <c r="B295" s="51"/>
      <c r="C295" s="193"/>
      <c r="D295" s="194"/>
      <c r="E295" s="194"/>
      <c r="F295" s="194"/>
      <c r="G295" s="195"/>
      <c r="H295" s="61"/>
      <c r="I295" s="108"/>
      <c r="J295" s="109"/>
      <c r="K295" s="64" t="str">
        <f t="shared" si="19"/>
        <v>-</v>
      </c>
      <c r="L295" s="153">
        <f t="shared" si="18"/>
        <v>0</v>
      </c>
      <c r="M295" s="65"/>
      <c r="N295" s="187"/>
      <c r="O295" s="188"/>
      <c r="P295" s="188"/>
      <c r="Q295" s="189"/>
      <c r="R295" s="4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76"/>
    </row>
    <row r="296" spans="2:34" ht="23.25" customHeight="1" x14ac:dyDescent="0.15">
      <c r="B296" s="51"/>
      <c r="C296" s="193"/>
      <c r="D296" s="194"/>
      <c r="E296" s="194"/>
      <c r="F296" s="194"/>
      <c r="G296" s="195"/>
      <c r="H296" s="61"/>
      <c r="I296" s="108"/>
      <c r="J296" s="109"/>
      <c r="K296" s="64" t="str">
        <f t="shared" si="19"/>
        <v>-</v>
      </c>
      <c r="L296" s="153">
        <f t="shared" si="18"/>
        <v>0</v>
      </c>
      <c r="M296" s="65"/>
      <c r="N296" s="187"/>
      <c r="O296" s="188"/>
      <c r="P296" s="188"/>
      <c r="Q296" s="189"/>
      <c r="R296" s="4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76"/>
    </row>
    <row r="297" spans="2:34" ht="23.25" customHeight="1" x14ac:dyDescent="0.15">
      <c r="B297" s="51"/>
      <c r="C297" s="193"/>
      <c r="D297" s="194"/>
      <c r="E297" s="194"/>
      <c r="F297" s="194"/>
      <c r="G297" s="195"/>
      <c r="H297" s="61"/>
      <c r="I297" s="108"/>
      <c r="J297" s="109"/>
      <c r="K297" s="64" t="str">
        <f t="shared" si="19"/>
        <v>-</v>
      </c>
      <c r="L297" s="153">
        <f t="shared" si="18"/>
        <v>0</v>
      </c>
      <c r="M297" s="65"/>
      <c r="N297" s="187"/>
      <c r="O297" s="188"/>
      <c r="P297" s="188"/>
      <c r="Q297" s="189"/>
      <c r="R297" s="4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76"/>
    </row>
    <row r="298" spans="2:34" ht="23.25" customHeight="1" x14ac:dyDescent="0.15">
      <c r="B298" s="51"/>
      <c r="C298" s="193"/>
      <c r="D298" s="194"/>
      <c r="E298" s="194"/>
      <c r="F298" s="194"/>
      <c r="G298" s="195"/>
      <c r="H298" s="61"/>
      <c r="I298" s="108"/>
      <c r="J298" s="109"/>
      <c r="K298" s="64" t="str">
        <f t="shared" si="19"/>
        <v>-</v>
      </c>
      <c r="L298" s="153">
        <f t="shared" si="18"/>
        <v>0</v>
      </c>
      <c r="M298" s="65"/>
      <c r="N298" s="187"/>
      <c r="O298" s="188"/>
      <c r="P298" s="188"/>
      <c r="Q298" s="189"/>
      <c r="R298" s="4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76"/>
    </row>
    <row r="299" spans="2:34" ht="23.25" customHeight="1" x14ac:dyDescent="0.15">
      <c r="B299" s="51"/>
      <c r="C299" s="193"/>
      <c r="D299" s="194"/>
      <c r="E299" s="194"/>
      <c r="F299" s="194"/>
      <c r="G299" s="195"/>
      <c r="H299" s="61"/>
      <c r="I299" s="108"/>
      <c r="J299" s="109"/>
      <c r="K299" s="64" t="str">
        <f t="shared" si="19"/>
        <v>-</v>
      </c>
      <c r="L299" s="153">
        <f t="shared" si="18"/>
        <v>0</v>
      </c>
      <c r="M299" s="65"/>
      <c r="N299" s="187"/>
      <c r="O299" s="188"/>
      <c r="P299" s="188"/>
      <c r="Q299" s="189"/>
      <c r="R299" s="4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76"/>
    </row>
    <row r="300" spans="2:34" ht="23.25" customHeight="1" x14ac:dyDescent="0.15">
      <c r="B300" s="51"/>
      <c r="C300" s="193"/>
      <c r="D300" s="194"/>
      <c r="E300" s="194"/>
      <c r="F300" s="194"/>
      <c r="G300" s="195"/>
      <c r="H300" s="61"/>
      <c r="I300" s="108"/>
      <c r="J300" s="109"/>
      <c r="K300" s="64" t="str">
        <f t="shared" si="19"/>
        <v>-</v>
      </c>
      <c r="L300" s="153">
        <f t="shared" si="18"/>
        <v>0</v>
      </c>
      <c r="M300" s="65"/>
      <c r="N300" s="187"/>
      <c r="O300" s="188"/>
      <c r="P300" s="188"/>
      <c r="Q300" s="189"/>
      <c r="R300" s="4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76"/>
    </row>
    <row r="301" spans="2:34" ht="23.25" customHeight="1" x14ac:dyDescent="0.15">
      <c r="B301" s="51"/>
      <c r="C301" s="193"/>
      <c r="D301" s="194"/>
      <c r="E301" s="194"/>
      <c r="F301" s="194"/>
      <c r="G301" s="195"/>
      <c r="H301" s="61"/>
      <c r="I301" s="108"/>
      <c r="J301" s="109"/>
      <c r="K301" s="64" t="str">
        <f t="shared" si="19"/>
        <v>-</v>
      </c>
      <c r="L301" s="153">
        <f t="shared" si="18"/>
        <v>0</v>
      </c>
      <c r="M301" s="65"/>
      <c r="N301" s="187"/>
      <c r="O301" s="188"/>
      <c r="P301" s="188"/>
      <c r="Q301" s="189"/>
      <c r="R301" s="4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76"/>
    </row>
    <row r="302" spans="2:34" ht="23.25" customHeight="1" x14ac:dyDescent="0.15">
      <c r="B302" s="51"/>
      <c r="C302" s="193"/>
      <c r="D302" s="194"/>
      <c r="E302" s="194"/>
      <c r="F302" s="194"/>
      <c r="G302" s="195"/>
      <c r="H302" s="61"/>
      <c r="I302" s="108"/>
      <c r="J302" s="109"/>
      <c r="K302" s="64" t="str">
        <f t="shared" si="19"/>
        <v>-</v>
      </c>
      <c r="L302" s="153">
        <f t="shared" si="18"/>
        <v>0</v>
      </c>
      <c r="M302" s="65"/>
      <c r="N302" s="187"/>
      <c r="O302" s="188"/>
      <c r="P302" s="188"/>
      <c r="Q302" s="189"/>
      <c r="R302" s="4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76"/>
    </row>
    <row r="303" spans="2:34" ht="23.25" customHeight="1" x14ac:dyDescent="0.15">
      <c r="B303" s="51"/>
      <c r="C303" s="193"/>
      <c r="D303" s="194"/>
      <c r="E303" s="194"/>
      <c r="F303" s="194"/>
      <c r="G303" s="195"/>
      <c r="H303" s="61"/>
      <c r="I303" s="108"/>
      <c r="J303" s="109"/>
      <c r="K303" s="64" t="str">
        <f t="shared" si="19"/>
        <v>-</v>
      </c>
      <c r="L303" s="153">
        <f t="shared" si="18"/>
        <v>0</v>
      </c>
      <c r="M303" s="65"/>
      <c r="N303" s="187"/>
      <c r="O303" s="188"/>
      <c r="P303" s="188"/>
      <c r="Q303" s="189"/>
      <c r="R303" s="4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76"/>
    </row>
    <row r="304" spans="2:34" ht="23.25" customHeight="1" x14ac:dyDescent="0.15">
      <c r="B304" s="51"/>
      <c r="C304" s="193"/>
      <c r="D304" s="194"/>
      <c r="E304" s="194"/>
      <c r="F304" s="194"/>
      <c r="G304" s="195"/>
      <c r="H304" s="61"/>
      <c r="I304" s="108"/>
      <c r="J304" s="109"/>
      <c r="K304" s="64" t="str">
        <f t="shared" si="19"/>
        <v>-</v>
      </c>
      <c r="L304" s="153">
        <f t="shared" si="18"/>
        <v>0</v>
      </c>
      <c r="M304" s="65"/>
      <c r="N304" s="187"/>
      <c r="O304" s="188"/>
      <c r="P304" s="188"/>
      <c r="Q304" s="189"/>
      <c r="R304" s="4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76"/>
    </row>
    <row r="305" spans="2:34" ht="23.25" customHeight="1" x14ac:dyDescent="0.15">
      <c r="B305" s="51"/>
      <c r="C305" s="193"/>
      <c r="D305" s="194"/>
      <c r="E305" s="194"/>
      <c r="F305" s="194"/>
      <c r="G305" s="195"/>
      <c r="H305" s="61"/>
      <c r="I305" s="108"/>
      <c r="J305" s="109"/>
      <c r="K305" s="64" t="str">
        <f t="shared" si="19"/>
        <v>-</v>
      </c>
      <c r="L305" s="153">
        <f t="shared" si="18"/>
        <v>0</v>
      </c>
      <c r="M305" s="65"/>
      <c r="N305" s="187"/>
      <c r="O305" s="188"/>
      <c r="P305" s="188"/>
      <c r="Q305" s="189"/>
      <c r="R305" s="4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76"/>
    </row>
    <row r="306" spans="2:34" ht="23.25" customHeight="1" x14ac:dyDescent="0.15">
      <c r="B306" s="51"/>
      <c r="C306" s="193"/>
      <c r="D306" s="194"/>
      <c r="E306" s="194"/>
      <c r="F306" s="194"/>
      <c r="G306" s="195"/>
      <c r="H306" s="61"/>
      <c r="I306" s="108"/>
      <c r="J306" s="109"/>
      <c r="K306" s="64" t="str">
        <f t="shared" si="19"/>
        <v>-</v>
      </c>
      <c r="L306" s="153">
        <f t="shared" si="18"/>
        <v>0</v>
      </c>
      <c r="M306" s="65"/>
      <c r="N306" s="187"/>
      <c r="O306" s="188"/>
      <c r="P306" s="188"/>
      <c r="Q306" s="189"/>
      <c r="R306" s="4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76"/>
    </row>
    <row r="307" spans="2:34" ht="23.25" customHeight="1" x14ac:dyDescent="0.15">
      <c r="B307" s="51"/>
      <c r="C307" s="193"/>
      <c r="D307" s="194"/>
      <c r="E307" s="194"/>
      <c r="F307" s="194"/>
      <c r="G307" s="195"/>
      <c r="H307" s="61"/>
      <c r="I307" s="108"/>
      <c r="J307" s="109"/>
      <c r="K307" s="64" t="str">
        <f t="shared" si="19"/>
        <v>-</v>
      </c>
      <c r="L307" s="153">
        <f t="shared" si="18"/>
        <v>0</v>
      </c>
      <c r="M307" s="65"/>
      <c r="N307" s="187"/>
      <c r="O307" s="188"/>
      <c r="P307" s="188"/>
      <c r="Q307" s="189"/>
      <c r="R307" s="4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76"/>
    </row>
    <row r="308" spans="2:34" ht="23.25" customHeight="1" x14ac:dyDescent="0.15">
      <c r="B308" s="51"/>
      <c r="C308" s="193"/>
      <c r="D308" s="194"/>
      <c r="E308" s="194"/>
      <c r="F308" s="194"/>
      <c r="G308" s="195"/>
      <c r="H308" s="61"/>
      <c r="I308" s="108"/>
      <c r="J308" s="109"/>
      <c r="K308" s="64" t="str">
        <f t="shared" si="19"/>
        <v>-</v>
      </c>
      <c r="L308" s="153">
        <f t="shared" si="18"/>
        <v>0</v>
      </c>
      <c r="M308" s="65"/>
      <c r="N308" s="187"/>
      <c r="O308" s="188"/>
      <c r="P308" s="188"/>
      <c r="Q308" s="189"/>
      <c r="R308" s="4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76"/>
    </row>
    <row r="309" spans="2:34" ht="23.25" customHeight="1" x14ac:dyDescent="0.15">
      <c r="B309" s="51"/>
      <c r="C309" s="193"/>
      <c r="D309" s="194"/>
      <c r="E309" s="194"/>
      <c r="F309" s="194"/>
      <c r="G309" s="195"/>
      <c r="H309" s="61"/>
      <c r="I309" s="108"/>
      <c r="J309" s="109"/>
      <c r="K309" s="64" t="str">
        <f t="shared" si="19"/>
        <v>-</v>
      </c>
      <c r="L309" s="153">
        <f t="shared" si="18"/>
        <v>0</v>
      </c>
      <c r="M309" s="65"/>
      <c r="N309" s="187"/>
      <c r="O309" s="188"/>
      <c r="P309" s="188"/>
      <c r="Q309" s="189"/>
      <c r="R309" s="4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76"/>
    </row>
    <row r="310" spans="2:34" ht="23.25" customHeight="1" x14ac:dyDescent="0.15">
      <c r="B310" s="51"/>
      <c r="C310" s="193"/>
      <c r="D310" s="194"/>
      <c r="E310" s="194"/>
      <c r="F310" s="194"/>
      <c r="G310" s="195"/>
      <c r="H310" s="61"/>
      <c r="I310" s="108"/>
      <c r="J310" s="109"/>
      <c r="K310" s="64" t="str">
        <f t="shared" si="19"/>
        <v>-</v>
      </c>
      <c r="L310" s="153">
        <f t="shared" si="18"/>
        <v>0</v>
      </c>
      <c r="M310" s="65"/>
      <c r="N310" s="187"/>
      <c r="O310" s="188"/>
      <c r="P310" s="188"/>
      <c r="Q310" s="189"/>
      <c r="R310" s="4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76"/>
    </row>
    <row r="311" spans="2:34" ht="23.25" customHeight="1" x14ac:dyDescent="0.15">
      <c r="B311" s="51"/>
      <c r="C311" s="193"/>
      <c r="D311" s="194"/>
      <c r="E311" s="194"/>
      <c r="F311" s="194"/>
      <c r="G311" s="195"/>
      <c r="H311" s="61"/>
      <c r="I311" s="108"/>
      <c r="J311" s="109"/>
      <c r="K311" s="64" t="str">
        <f t="shared" si="19"/>
        <v>-</v>
      </c>
      <c r="L311" s="153">
        <f t="shared" si="18"/>
        <v>0</v>
      </c>
      <c r="M311" s="65"/>
      <c r="N311" s="187"/>
      <c r="O311" s="188"/>
      <c r="P311" s="188"/>
      <c r="Q311" s="189"/>
      <c r="R311" s="4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76"/>
    </row>
    <row r="312" spans="2:34" ht="23.25" customHeight="1" x14ac:dyDescent="0.15">
      <c r="B312" s="51"/>
      <c r="C312" s="193"/>
      <c r="D312" s="194"/>
      <c r="E312" s="194"/>
      <c r="F312" s="194"/>
      <c r="G312" s="195"/>
      <c r="H312" s="61"/>
      <c r="I312" s="108"/>
      <c r="J312" s="109"/>
      <c r="K312" s="64" t="str">
        <f t="shared" si="19"/>
        <v>-</v>
      </c>
      <c r="L312" s="153">
        <f t="shared" si="18"/>
        <v>0</v>
      </c>
      <c r="M312" s="65"/>
      <c r="N312" s="187"/>
      <c r="O312" s="188"/>
      <c r="P312" s="188"/>
      <c r="Q312" s="189"/>
      <c r="R312" s="4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76"/>
    </row>
    <row r="313" spans="2:34" ht="23.25" customHeight="1" x14ac:dyDescent="0.15">
      <c r="B313" s="51"/>
      <c r="C313" s="193"/>
      <c r="D313" s="194"/>
      <c r="E313" s="194"/>
      <c r="F313" s="194"/>
      <c r="G313" s="195"/>
      <c r="H313" s="61"/>
      <c r="I313" s="108"/>
      <c r="J313" s="109"/>
      <c r="K313" s="64" t="str">
        <f t="shared" si="19"/>
        <v>-</v>
      </c>
      <c r="L313" s="153">
        <f t="shared" si="18"/>
        <v>0</v>
      </c>
      <c r="M313" s="65"/>
      <c r="N313" s="187"/>
      <c r="O313" s="188"/>
      <c r="P313" s="188"/>
      <c r="Q313" s="189"/>
      <c r="R313" s="4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76"/>
    </row>
    <row r="314" spans="2:34" ht="23.25" customHeight="1" x14ac:dyDescent="0.15">
      <c r="B314" s="51"/>
      <c r="C314" s="193"/>
      <c r="D314" s="194"/>
      <c r="E314" s="194"/>
      <c r="F314" s="194"/>
      <c r="G314" s="195"/>
      <c r="H314" s="61"/>
      <c r="I314" s="108"/>
      <c r="J314" s="109"/>
      <c r="K314" s="64" t="str">
        <f t="shared" si="19"/>
        <v>-</v>
      </c>
      <c r="L314" s="153">
        <f t="shared" si="18"/>
        <v>0</v>
      </c>
      <c r="M314" s="65"/>
      <c r="N314" s="187"/>
      <c r="O314" s="188"/>
      <c r="P314" s="188"/>
      <c r="Q314" s="189"/>
      <c r="R314" s="4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76"/>
    </row>
    <row r="315" spans="2:34" ht="23.25" customHeight="1" x14ac:dyDescent="0.15">
      <c r="B315" s="51"/>
      <c r="C315" s="193"/>
      <c r="D315" s="194"/>
      <c r="E315" s="194"/>
      <c r="F315" s="194"/>
      <c r="G315" s="195"/>
      <c r="H315" s="61"/>
      <c r="I315" s="108"/>
      <c r="J315" s="109"/>
      <c r="K315" s="64" t="str">
        <f t="shared" si="19"/>
        <v>-</v>
      </c>
      <c r="L315" s="153">
        <f t="shared" si="18"/>
        <v>0</v>
      </c>
      <c r="M315" s="65"/>
      <c r="N315" s="187"/>
      <c r="O315" s="188"/>
      <c r="P315" s="188"/>
      <c r="Q315" s="189"/>
      <c r="R315" s="4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76"/>
    </row>
    <row r="316" spans="2:34" ht="23.25" customHeight="1" x14ac:dyDescent="0.15">
      <c r="B316" s="51"/>
      <c r="C316" s="193"/>
      <c r="D316" s="194"/>
      <c r="E316" s="194"/>
      <c r="F316" s="194"/>
      <c r="G316" s="195"/>
      <c r="H316" s="61"/>
      <c r="I316" s="108"/>
      <c r="J316" s="109"/>
      <c r="K316" s="64" t="str">
        <f t="shared" si="19"/>
        <v>-</v>
      </c>
      <c r="L316" s="153">
        <f t="shared" si="18"/>
        <v>0</v>
      </c>
      <c r="M316" s="65"/>
      <c r="N316" s="187"/>
      <c r="O316" s="188"/>
      <c r="P316" s="188"/>
      <c r="Q316" s="189"/>
      <c r="R316" s="4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76"/>
    </row>
    <row r="317" spans="2:34" ht="23.25" customHeight="1" x14ac:dyDescent="0.15">
      <c r="B317" s="51"/>
      <c r="C317" s="193"/>
      <c r="D317" s="194"/>
      <c r="E317" s="194"/>
      <c r="F317" s="194"/>
      <c r="G317" s="195"/>
      <c r="H317" s="61"/>
      <c r="I317" s="108"/>
      <c r="J317" s="109"/>
      <c r="K317" s="64" t="str">
        <f t="shared" si="19"/>
        <v>-</v>
      </c>
      <c r="L317" s="153">
        <f t="shared" si="18"/>
        <v>0</v>
      </c>
      <c r="M317" s="65"/>
      <c r="N317" s="187"/>
      <c r="O317" s="188"/>
      <c r="P317" s="188"/>
      <c r="Q317" s="189"/>
      <c r="R317" s="4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76"/>
    </row>
    <row r="318" spans="2:34" ht="23.25" customHeight="1" x14ac:dyDescent="0.15">
      <c r="B318" s="51"/>
      <c r="C318" s="193"/>
      <c r="D318" s="194"/>
      <c r="E318" s="194"/>
      <c r="F318" s="194"/>
      <c r="G318" s="195"/>
      <c r="H318" s="61"/>
      <c r="I318" s="108"/>
      <c r="J318" s="109"/>
      <c r="K318" s="64" t="str">
        <f t="shared" si="19"/>
        <v>-</v>
      </c>
      <c r="L318" s="153">
        <f t="shared" si="18"/>
        <v>0</v>
      </c>
      <c r="M318" s="65"/>
      <c r="N318" s="187"/>
      <c r="O318" s="188"/>
      <c r="P318" s="188"/>
      <c r="Q318" s="189"/>
      <c r="R318" s="4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76"/>
    </row>
    <row r="319" spans="2:34" ht="23.25" customHeight="1" x14ac:dyDescent="0.15">
      <c r="B319" s="51"/>
      <c r="C319" s="193"/>
      <c r="D319" s="194"/>
      <c r="E319" s="194"/>
      <c r="F319" s="194"/>
      <c r="G319" s="195"/>
      <c r="H319" s="61"/>
      <c r="I319" s="108"/>
      <c r="J319" s="109"/>
      <c r="K319" s="64" t="str">
        <f t="shared" si="19"/>
        <v>-</v>
      </c>
      <c r="L319" s="153">
        <f t="shared" si="18"/>
        <v>0</v>
      </c>
      <c r="M319" s="65"/>
      <c r="N319" s="187"/>
      <c r="O319" s="188"/>
      <c r="P319" s="188"/>
      <c r="Q319" s="189"/>
      <c r="R319" s="4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76"/>
    </row>
    <row r="320" spans="2:34" ht="23.25" customHeight="1" x14ac:dyDescent="0.15">
      <c r="B320" s="51"/>
      <c r="C320" s="193"/>
      <c r="D320" s="194"/>
      <c r="E320" s="194"/>
      <c r="F320" s="194"/>
      <c r="G320" s="195"/>
      <c r="H320" s="61"/>
      <c r="I320" s="108"/>
      <c r="J320" s="109"/>
      <c r="K320" s="64" t="str">
        <f t="shared" si="19"/>
        <v>-</v>
      </c>
      <c r="L320" s="153">
        <f t="shared" si="18"/>
        <v>0</v>
      </c>
      <c r="M320" s="65"/>
      <c r="N320" s="187"/>
      <c r="O320" s="188"/>
      <c r="P320" s="188"/>
      <c r="Q320" s="189"/>
      <c r="R320" s="4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76"/>
    </row>
    <row r="321" spans="2:34" ht="23.25" customHeight="1" x14ac:dyDescent="0.15">
      <c r="B321" s="51"/>
      <c r="C321" s="193"/>
      <c r="D321" s="194"/>
      <c r="E321" s="194"/>
      <c r="F321" s="194"/>
      <c r="G321" s="195"/>
      <c r="H321" s="61"/>
      <c r="I321" s="108"/>
      <c r="J321" s="109"/>
      <c r="K321" s="64" t="str">
        <f t="shared" si="19"/>
        <v>-</v>
      </c>
      <c r="L321" s="153">
        <f t="shared" si="18"/>
        <v>0</v>
      </c>
      <c r="M321" s="65"/>
      <c r="N321" s="187"/>
      <c r="O321" s="188"/>
      <c r="P321" s="188"/>
      <c r="Q321" s="189"/>
      <c r="R321" s="4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76"/>
    </row>
    <row r="322" spans="2:34" ht="23.25" customHeight="1" x14ac:dyDescent="0.15">
      <c r="B322" s="51"/>
      <c r="C322" s="193"/>
      <c r="D322" s="194"/>
      <c r="E322" s="194"/>
      <c r="F322" s="194"/>
      <c r="G322" s="195"/>
      <c r="H322" s="61"/>
      <c r="I322" s="108"/>
      <c r="J322" s="109"/>
      <c r="K322" s="64" t="str">
        <f t="shared" si="19"/>
        <v>-</v>
      </c>
      <c r="L322" s="153">
        <f t="shared" si="18"/>
        <v>0</v>
      </c>
      <c r="M322" s="65"/>
      <c r="N322" s="187"/>
      <c r="O322" s="188"/>
      <c r="P322" s="188"/>
      <c r="Q322" s="189"/>
      <c r="R322" s="4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76"/>
    </row>
    <row r="323" spans="2:34" ht="23.25" customHeight="1" x14ac:dyDescent="0.15">
      <c r="B323" s="51"/>
      <c r="C323" s="193"/>
      <c r="D323" s="194"/>
      <c r="E323" s="194"/>
      <c r="F323" s="194"/>
      <c r="G323" s="195"/>
      <c r="H323" s="61"/>
      <c r="I323" s="108"/>
      <c r="J323" s="109"/>
      <c r="K323" s="64" t="str">
        <f t="shared" si="19"/>
        <v>-</v>
      </c>
      <c r="L323" s="153">
        <f t="shared" si="18"/>
        <v>0</v>
      </c>
      <c r="M323" s="65"/>
      <c r="N323" s="187"/>
      <c r="O323" s="188"/>
      <c r="P323" s="188"/>
      <c r="Q323" s="189"/>
      <c r="R323" s="4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76"/>
    </row>
    <row r="324" spans="2:34" ht="23.25" customHeight="1" x14ac:dyDescent="0.15">
      <c r="B324" s="51"/>
      <c r="C324" s="193"/>
      <c r="D324" s="194"/>
      <c r="E324" s="194"/>
      <c r="F324" s="194"/>
      <c r="G324" s="195"/>
      <c r="H324" s="61"/>
      <c r="I324" s="108"/>
      <c r="J324" s="109"/>
      <c r="K324" s="64" t="str">
        <f t="shared" si="19"/>
        <v>-</v>
      </c>
      <c r="L324" s="153">
        <f t="shared" si="18"/>
        <v>0</v>
      </c>
      <c r="M324" s="65"/>
      <c r="N324" s="187"/>
      <c r="O324" s="188"/>
      <c r="P324" s="188"/>
      <c r="Q324" s="189"/>
      <c r="R324" s="4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76"/>
    </row>
    <row r="325" spans="2:34" ht="23.25" customHeight="1" x14ac:dyDescent="0.15">
      <c r="B325" s="51"/>
      <c r="C325" s="193"/>
      <c r="D325" s="194"/>
      <c r="E325" s="194"/>
      <c r="F325" s="194"/>
      <c r="G325" s="195"/>
      <c r="H325" s="61"/>
      <c r="I325" s="108"/>
      <c r="J325" s="109"/>
      <c r="K325" s="64" t="str">
        <f t="shared" si="19"/>
        <v>-</v>
      </c>
      <c r="L325" s="153">
        <f t="shared" si="18"/>
        <v>0</v>
      </c>
      <c r="M325" s="65"/>
      <c r="N325" s="187"/>
      <c r="O325" s="188"/>
      <c r="P325" s="188"/>
      <c r="Q325" s="189"/>
      <c r="R325" s="4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76"/>
    </row>
    <row r="326" spans="2:34" ht="23.25" customHeight="1" x14ac:dyDescent="0.15">
      <c r="B326" s="51"/>
      <c r="C326" s="193"/>
      <c r="D326" s="194"/>
      <c r="E326" s="194"/>
      <c r="F326" s="194"/>
      <c r="G326" s="195"/>
      <c r="H326" s="61"/>
      <c r="I326" s="108"/>
      <c r="J326" s="109"/>
      <c r="K326" s="64" t="str">
        <f t="shared" si="19"/>
        <v>-</v>
      </c>
      <c r="L326" s="153">
        <f t="shared" si="18"/>
        <v>0</v>
      </c>
      <c r="M326" s="65"/>
      <c r="N326" s="187"/>
      <c r="O326" s="188"/>
      <c r="P326" s="188"/>
      <c r="Q326" s="189"/>
      <c r="R326" s="4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76"/>
    </row>
    <row r="327" spans="2:34" ht="23.25" customHeight="1" x14ac:dyDescent="0.15">
      <c r="B327" s="51"/>
      <c r="C327" s="193"/>
      <c r="D327" s="194"/>
      <c r="E327" s="194"/>
      <c r="F327" s="194"/>
      <c r="G327" s="195"/>
      <c r="H327" s="61"/>
      <c r="I327" s="108"/>
      <c r="J327" s="109"/>
      <c r="K327" s="64" t="str">
        <f t="shared" si="19"/>
        <v>-</v>
      </c>
      <c r="L327" s="153">
        <f t="shared" si="18"/>
        <v>0</v>
      </c>
      <c r="M327" s="65"/>
      <c r="N327" s="187"/>
      <c r="O327" s="188"/>
      <c r="P327" s="188"/>
      <c r="Q327" s="189"/>
      <c r="R327" s="4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76"/>
    </row>
    <row r="328" spans="2:34" ht="23.25" customHeight="1" x14ac:dyDescent="0.15">
      <c r="B328" s="51"/>
      <c r="C328" s="193"/>
      <c r="D328" s="194"/>
      <c r="E328" s="194"/>
      <c r="F328" s="194"/>
      <c r="G328" s="195"/>
      <c r="H328" s="61"/>
      <c r="I328" s="108"/>
      <c r="J328" s="109"/>
      <c r="K328" s="64" t="str">
        <f t="shared" si="19"/>
        <v>-</v>
      </c>
      <c r="L328" s="153">
        <f t="shared" si="18"/>
        <v>0</v>
      </c>
      <c r="M328" s="65"/>
      <c r="N328" s="187"/>
      <c r="O328" s="188"/>
      <c r="P328" s="188"/>
      <c r="Q328" s="189"/>
      <c r="R328" s="4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76"/>
    </row>
    <row r="329" spans="2:34" ht="23.25" customHeight="1" x14ac:dyDescent="0.15">
      <c r="B329" s="51"/>
      <c r="C329" s="193"/>
      <c r="D329" s="194"/>
      <c r="E329" s="194"/>
      <c r="F329" s="194"/>
      <c r="G329" s="195"/>
      <c r="H329" s="61"/>
      <c r="I329" s="108"/>
      <c r="J329" s="109"/>
      <c r="K329" s="64" t="str">
        <f t="shared" si="19"/>
        <v>-</v>
      </c>
      <c r="L329" s="153">
        <f t="shared" si="18"/>
        <v>0</v>
      </c>
      <c r="M329" s="65"/>
      <c r="N329" s="187"/>
      <c r="O329" s="188"/>
      <c r="P329" s="188"/>
      <c r="Q329" s="189"/>
      <c r="R329" s="4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76"/>
    </row>
    <row r="330" spans="2:34" ht="23.25" customHeight="1" x14ac:dyDescent="0.15">
      <c r="B330" s="51"/>
      <c r="C330" s="193"/>
      <c r="D330" s="194"/>
      <c r="E330" s="194"/>
      <c r="F330" s="194"/>
      <c r="G330" s="195"/>
      <c r="H330" s="61"/>
      <c r="I330" s="108"/>
      <c r="J330" s="109"/>
      <c r="K330" s="64" t="str">
        <f t="shared" si="19"/>
        <v>-</v>
      </c>
      <c r="L330" s="153">
        <f t="shared" si="18"/>
        <v>0</v>
      </c>
      <c r="M330" s="65"/>
      <c r="N330" s="187"/>
      <c r="O330" s="188"/>
      <c r="P330" s="188"/>
      <c r="Q330" s="189"/>
      <c r="R330" s="4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76"/>
    </row>
    <row r="331" spans="2:34" ht="23.25" customHeight="1" x14ac:dyDescent="0.15">
      <c r="B331" s="51"/>
      <c r="C331" s="193"/>
      <c r="D331" s="194"/>
      <c r="E331" s="194"/>
      <c r="F331" s="194"/>
      <c r="G331" s="195"/>
      <c r="H331" s="61"/>
      <c r="I331" s="108"/>
      <c r="J331" s="109"/>
      <c r="K331" s="64" t="str">
        <f t="shared" si="19"/>
        <v>-</v>
      </c>
      <c r="L331" s="153">
        <f t="shared" si="18"/>
        <v>0</v>
      </c>
      <c r="M331" s="65"/>
      <c r="N331" s="187"/>
      <c r="O331" s="188"/>
      <c r="P331" s="188"/>
      <c r="Q331" s="189"/>
      <c r="R331" s="4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76"/>
    </row>
    <row r="332" spans="2:34" ht="23.25" customHeight="1" x14ac:dyDescent="0.15">
      <c r="B332" s="51"/>
      <c r="C332" s="193"/>
      <c r="D332" s="194"/>
      <c r="E332" s="194"/>
      <c r="F332" s="194"/>
      <c r="G332" s="195"/>
      <c r="H332" s="61"/>
      <c r="I332" s="108"/>
      <c r="J332" s="109"/>
      <c r="K332" s="64" t="str">
        <f t="shared" si="19"/>
        <v>-</v>
      </c>
      <c r="L332" s="153">
        <f t="shared" si="18"/>
        <v>0</v>
      </c>
      <c r="M332" s="65"/>
      <c r="N332" s="187"/>
      <c r="O332" s="188"/>
      <c r="P332" s="188"/>
      <c r="Q332" s="189"/>
      <c r="R332" s="4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76"/>
    </row>
    <row r="333" spans="2:34" ht="23.25" customHeight="1" x14ac:dyDescent="0.15">
      <c r="B333" s="51"/>
      <c r="C333" s="193"/>
      <c r="D333" s="194"/>
      <c r="E333" s="194"/>
      <c r="F333" s="194"/>
      <c r="G333" s="195"/>
      <c r="H333" s="61"/>
      <c r="I333" s="108"/>
      <c r="J333" s="109"/>
      <c r="K333" s="64" t="str">
        <f t="shared" si="19"/>
        <v>-</v>
      </c>
      <c r="L333" s="153">
        <f t="shared" ref="L333:L367" si="20">IFERROR(J333-I333,"-")</f>
        <v>0</v>
      </c>
      <c r="M333" s="65"/>
      <c r="N333" s="187"/>
      <c r="O333" s="188"/>
      <c r="P333" s="188"/>
      <c r="Q333" s="189"/>
      <c r="R333" s="4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76"/>
    </row>
    <row r="334" spans="2:34" ht="23.25" customHeight="1" x14ac:dyDescent="0.15">
      <c r="B334" s="51"/>
      <c r="C334" s="193"/>
      <c r="D334" s="194"/>
      <c r="E334" s="194"/>
      <c r="F334" s="194"/>
      <c r="G334" s="195"/>
      <c r="H334" s="61"/>
      <c r="I334" s="108"/>
      <c r="J334" s="109"/>
      <c r="K334" s="64" t="str">
        <f t="shared" si="19"/>
        <v>-</v>
      </c>
      <c r="L334" s="153">
        <f t="shared" si="20"/>
        <v>0</v>
      </c>
      <c r="M334" s="65"/>
      <c r="N334" s="187"/>
      <c r="O334" s="188"/>
      <c r="P334" s="188"/>
      <c r="Q334" s="189"/>
      <c r="R334" s="4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76"/>
    </row>
    <row r="335" spans="2:34" ht="23.25" customHeight="1" x14ac:dyDescent="0.15">
      <c r="B335" s="51"/>
      <c r="C335" s="193"/>
      <c r="D335" s="194"/>
      <c r="E335" s="194"/>
      <c r="F335" s="194"/>
      <c r="G335" s="195"/>
      <c r="H335" s="61"/>
      <c r="I335" s="108"/>
      <c r="J335" s="109"/>
      <c r="K335" s="64" t="str">
        <f t="shared" si="19"/>
        <v>-</v>
      </c>
      <c r="L335" s="153">
        <f t="shared" si="20"/>
        <v>0</v>
      </c>
      <c r="M335" s="65"/>
      <c r="N335" s="187"/>
      <c r="O335" s="188"/>
      <c r="P335" s="188"/>
      <c r="Q335" s="189"/>
      <c r="R335" s="4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76"/>
    </row>
    <row r="336" spans="2:34" ht="23.25" customHeight="1" x14ac:dyDescent="0.15">
      <c r="B336" s="51"/>
      <c r="C336" s="193"/>
      <c r="D336" s="194"/>
      <c r="E336" s="194"/>
      <c r="F336" s="194"/>
      <c r="G336" s="195"/>
      <c r="H336" s="61"/>
      <c r="I336" s="108"/>
      <c r="J336" s="109"/>
      <c r="K336" s="64" t="str">
        <f t="shared" si="19"/>
        <v>-</v>
      </c>
      <c r="L336" s="153">
        <f t="shared" si="20"/>
        <v>0</v>
      </c>
      <c r="M336" s="65"/>
      <c r="N336" s="187"/>
      <c r="O336" s="188"/>
      <c r="P336" s="188"/>
      <c r="Q336" s="189"/>
      <c r="R336" s="4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76"/>
    </row>
    <row r="337" spans="2:34" ht="23.25" customHeight="1" x14ac:dyDescent="0.15">
      <c r="B337" s="51"/>
      <c r="C337" s="193"/>
      <c r="D337" s="194"/>
      <c r="E337" s="194"/>
      <c r="F337" s="194"/>
      <c r="G337" s="195"/>
      <c r="H337" s="61"/>
      <c r="I337" s="108"/>
      <c r="J337" s="109"/>
      <c r="K337" s="64" t="str">
        <f t="shared" si="19"/>
        <v>-</v>
      </c>
      <c r="L337" s="153">
        <f t="shared" si="20"/>
        <v>0</v>
      </c>
      <c r="M337" s="65"/>
      <c r="N337" s="187"/>
      <c r="O337" s="188"/>
      <c r="P337" s="188"/>
      <c r="Q337" s="189"/>
      <c r="R337" s="4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76"/>
    </row>
    <row r="338" spans="2:34" ht="23.25" customHeight="1" x14ac:dyDescent="0.15">
      <c r="B338" s="51"/>
      <c r="C338" s="193"/>
      <c r="D338" s="194"/>
      <c r="E338" s="194"/>
      <c r="F338" s="194"/>
      <c r="G338" s="195"/>
      <c r="H338" s="61"/>
      <c r="I338" s="108"/>
      <c r="J338" s="109"/>
      <c r="K338" s="64" t="str">
        <f t="shared" si="19"/>
        <v>-</v>
      </c>
      <c r="L338" s="153">
        <f t="shared" si="20"/>
        <v>0</v>
      </c>
      <c r="M338" s="65"/>
      <c r="N338" s="187"/>
      <c r="O338" s="188"/>
      <c r="P338" s="188"/>
      <c r="Q338" s="189"/>
      <c r="R338" s="4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76"/>
    </row>
    <row r="339" spans="2:34" ht="23.25" customHeight="1" x14ac:dyDescent="0.15">
      <c r="B339" s="51"/>
      <c r="C339" s="193"/>
      <c r="D339" s="194"/>
      <c r="E339" s="194"/>
      <c r="F339" s="194"/>
      <c r="G339" s="195"/>
      <c r="H339" s="61"/>
      <c r="I339" s="108"/>
      <c r="J339" s="109"/>
      <c r="K339" s="64" t="str">
        <f t="shared" si="19"/>
        <v>-</v>
      </c>
      <c r="L339" s="153">
        <f t="shared" si="20"/>
        <v>0</v>
      </c>
      <c r="M339" s="65"/>
      <c r="N339" s="187"/>
      <c r="O339" s="188"/>
      <c r="P339" s="188"/>
      <c r="Q339" s="189"/>
      <c r="R339" s="4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76"/>
    </row>
    <row r="340" spans="2:34" ht="23.25" customHeight="1" x14ac:dyDescent="0.15">
      <c r="B340" s="51"/>
      <c r="C340" s="193"/>
      <c r="D340" s="194"/>
      <c r="E340" s="194"/>
      <c r="F340" s="194"/>
      <c r="G340" s="195"/>
      <c r="H340" s="61"/>
      <c r="I340" s="108"/>
      <c r="J340" s="109"/>
      <c r="K340" s="64" t="str">
        <f t="shared" si="19"/>
        <v>-</v>
      </c>
      <c r="L340" s="153">
        <f t="shared" si="20"/>
        <v>0</v>
      </c>
      <c r="M340" s="65"/>
      <c r="N340" s="187"/>
      <c r="O340" s="188"/>
      <c r="P340" s="188"/>
      <c r="Q340" s="189"/>
      <c r="R340" s="4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76"/>
    </row>
    <row r="341" spans="2:34" ht="23.25" customHeight="1" x14ac:dyDescent="0.15">
      <c r="B341" s="51"/>
      <c r="C341" s="193"/>
      <c r="D341" s="194"/>
      <c r="E341" s="194"/>
      <c r="F341" s="194"/>
      <c r="G341" s="195"/>
      <c r="H341" s="61"/>
      <c r="I341" s="108"/>
      <c r="J341" s="109"/>
      <c r="K341" s="64" t="str">
        <f t="shared" si="19"/>
        <v>-</v>
      </c>
      <c r="L341" s="153">
        <f t="shared" si="20"/>
        <v>0</v>
      </c>
      <c r="M341" s="65"/>
      <c r="N341" s="187"/>
      <c r="O341" s="188"/>
      <c r="P341" s="188"/>
      <c r="Q341" s="189"/>
      <c r="R341" s="4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76"/>
    </row>
    <row r="342" spans="2:34" ht="23.25" customHeight="1" x14ac:dyDescent="0.15">
      <c r="B342" s="51"/>
      <c r="C342" s="193"/>
      <c r="D342" s="194"/>
      <c r="E342" s="194"/>
      <c r="F342" s="194"/>
      <c r="G342" s="195"/>
      <c r="H342" s="61"/>
      <c r="I342" s="108"/>
      <c r="J342" s="109"/>
      <c r="K342" s="64" t="str">
        <f t="shared" si="19"/>
        <v>-</v>
      </c>
      <c r="L342" s="153">
        <f t="shared" si="20"/>
        <v>0</v>
      </c>
      <c r="M342" s="65"/>
      <c r="N342" s="187"/>
      <c r="O342" s="188"/>
      <c r="P342" s="188"/>
      <c r="Q342" s="189"/>
      <c r="R342" s="4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76"/>
    </row>
    <row r="343" spans="2:34" ht="23.25" customHeight="1" x14ac:dyDescent="0.15">
      <c r="B343" s="51"/>
      <c r="C343" s="193"/>
      <c r="D343" s="194"/>
      <c r="E343" s="194"/>
      <c r="F343" s="194"/>
      <c r="G343" s="195"/>
      <c r="H343" s="61"/>
      <c r="I343" s="108"/>
      <c r="J343" s="109"/>
      <c r="K343" s="64" t="str">
        <f t="shared" si="19"/>
        <v>-</v>
      </c>
      <c r="L343" s="153">
        <f t="shared" si="20"/>
        <v>0</v>
      </c>
      <c r="M343" s="65"/>
      <c r="N343" s="187"/>
      <c r="O343" s="188"/>
      <c r="P343" s="188"/>
      <c r="Q343" s="189"/>
      <c r="R343" s="4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76"/>
    </row>
    <row r="344" spans="2:34" ht="23.25" customHeight="1" x14ac:dyDescent="0.15">
      <c r="B344" s="51"/>
      <c r="C344" s="193"/>
      <c r="D344" s="194"/>
      <c r="E344" s="194"/>
      <c r="F344" s="194"/>
      <c r="G344" s="195"/>
      <c r="H344" s="61"/>
      <c r="I344" s="108"/>
      <c r="J344" s="109"/>
      <c r="K344" s="64" t="str">
        <f t="shared" si="19"/>
        <v>-</v>
      </c>
      <c r="L344" s="153">
        <f t="shared" si="20"/>
        <v>0</v>
      </c>
      <c r="M344" s="65"/>
      <c r="N344" s="187"/>
      <c r="O344" s="188"/>
      <c r="P344" s="188"/>
      <c r="Q344" s="189"/>
      <c r="R344" s="4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76"/>
    </row>
    <row r="345" spans="2:34" ht="23.25" customHeight="1" x14ac:dyDescent="0.15">
      <c r="B345" s="51"/>
      <c r="C345" s="193"/>
      <c r="D345" s="194"/>
      <c r="E345" s="194"/>
      <c r="F345" s="194"/>
      <c r="G345" s="195"/>
      <c r="H345" s="61"/>
      <c r="I345" s="108"/>
      <c r="J345" s="109"/>
      <c r="K345" s="64" t="str">
        <f t="shared" si="19"/>
        <v>-</v>
      </c>
      <c r="L345" s="153">
        <f t="shared" si="20"/>
        <v>0</v>
      </c>
      <c r="M345" s="65"/>
      <c r="N345" s="187"/>
      <c r="O345" s="188"/>
      <c r="P345" s="188"/>
      <c r="Q345" s="189"/>
      <c r="R345" s="4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76"/>
    </row>
    <row r="346" spans="2:34" ht="23.25" customHeight="1" x14ac:dyDescent="0.15">
      <c r="B346" s="51"/>
      <c r="C346" s="193"/>
      <c r="D346" s="194"/>
      <c r="E346" s="194"/>
      <c r="F346" s="194"/>
      <c r="G346" s="195"/>
      <c r="H346" s="61"/>
      <c r="I346" s="108"/>
      <c r="J346" s="109"/>
      <c r="K346" s="64" t="str">
        <f t="shared" si="19"/>
        <v>-</v>
      </c>
      <c r="L346" s="153">
        <f t="shared" si="20"/>
        <v>0</v>
      </c>
      <c r="M346" s="65"/>
      <c r="N346" s="187"/>
      <c r="O346" s="188"/>
      <c r="P346" s="188"/>
      <c r="Q346" s="189"/>
      <c r="R346" s="4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76"/>
    </row>
    <row r="347" spans="2:34" ht="23.25" customHeight="1" x14ac:dyDescent="0.15">
      <c r="B347" s="51"/>
      <c r="C347" s="193"/>
      <c r="D347" s="194"/>
      <c r="E347" s="194"/>
      <c r="F347" s="194"/>
      <c r="G347" s="195"/>
      <c r="H347" s="61"/>
      <c r="I347" s="108"/>
      <c r="J347" s="109"/>
      <c r="K347" s="64" t="str">
        <f t="shared" si="19"/>
        <v>-</v>
      </c>
      <c r="L347" s="153">
        <f t="shared" si="20"/>
        <v>0</v>
      </c>
      <c r="M347" s="65"/>
      <c r="N347" s="187"/>
      <c r="O347" s="188"/>
      <c r="P347" s="188"/>
      <c r="Q347" s="189"/>
      <c r="R347" s="4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76"/>
    </row>
    <row r="348" spans="2:34" ht="23.25" customHeight="1" x14ac:dyDescent="0.15">
      <c r="B348" s="51"/>
      <c r="C348" s="193"/>
      <c r="D348" s="194"/>
      <c r="E348" s="194"/>
      <c r="F348" s="194"/>
      <c r="G348" s="195"/>
      <c r="H348" s="61"/>
      <c r="I348" s="108"/>
      <c r="J348" s="109"/>
      <c r="K348" s="64" t="str">
        <f t="shared" si="19"/>
        <v>-</v>
      </c>
      <c r="L348" s="153">
        <f t="shared" si="20"/>
        <v>0</v>
      </c>
      <c r="M348" s="65"/>
      <c r="N348" s="187"/>
      <c r="O348" s="188"/>
      <c r="P348" s="188"/>
      <c r="Q348" s="189"/>
      <c r="R348" s="4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76"/>
    </row>
    <row r="349" spans="2:34" ht="23.25" customHeight="1" x14ac:dyDescent="0.15">
      <c r="B349" s="51"/>
      <c r="C349" s="193"/>
      <c r="D349" s="194"/>
      <c r="E349" s="194"/>
      <c r="F349" s="194"/>
      <c r="G349" s="195"/>
      <c r="H349" s="61"/>
      <c r="I349" s="108"/>
      <c r="J349" s="109"/>
      <c r="K349" s="64" t="str">
        <f t="shared" si="19"/>
        <v>-</v>
      </c>
      <c r="L349" s="153">
        <f t="shared" si="20"/>
        <v>0</v>
      </c>
      <c r="M349" s="65"/>
      <c r="N349" s="187"/>
      <c r="O349" s="188"/>
      <c r="P349" s="188"/>
      <c r="Q349" s="189"/>
      <c r="R349" s="4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76"/>
    </row>
    <row r="350" spans="2:34" ht="23.25" customHeight="1" x14ac:dyDescent="0.15">
      <c r="B350" s="51"/>
      <c r="C350" s="193"/>
      <c r="D350" s="194"/>
      <c r="E350" s="194"/>
      <c r="F350" s="194"/>
      <c r="G350" s="195"/>
      <c r="H350" s="61"/>
      <c r="I350" s="108"/>
      <c r="J350" s="109"/>
      <c r="K350" s="64" t="str">
        <f t="shared" si="19"/>
        <v>-</v>
      </c>
      <c r="L350" s="153">
        <f t="shared" si="20"/>
        <v>0</v>
      </c>
      <c r="M350" s="65"/>
      <c r="N350" s="187"/>
      <c r="O350" s="188"/>
      <c r="P350" s="188"/>
      <c r="Q350" s="189"/>
      <c r="R350" s="4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76"/>
    </row>
    <row r="351" spans="2:34" ht="23.25" customHeight="1" x14ac:dyDescent="0.15">
      <c r="B351" s="51"/>
      <c r="C351" s="193"/>
      <c r="D351" s="194"/>
      <c r="E351" s="194"/>
      <c r="F351" s="194"/>
      <c r="G351" s="195"/>
      <c r="H351" s="61"/>
      <c r="I351" s="108"/>
      <c r="J351" s="109"/>
      <c r="K351" s="64" t="str">
        <f t="shared" si="19"/>
        <v>-</v>
      </c>
      <c r="L351" s="153">
        <f t="shared" si="20"/>
        <v>0</v>
      </c>
      <c r="M351" s="65"/>
      <c r="N351" s="187"/>
      <c r="O351" s="188"/>
      <c r="P351" s="188"/>
      <c r="Q351" s="189"/>
      <c r="R351" s="4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76"/>
    </row>
    <row r="352" spans="2:34" ht="23.25" customHeight="1" x14ac:dyDescent="0.15">
      <c r="B352" s="51"/>
      <c r="C352" s="193"/>
      <c r="D352" s="194"/>
      <c r="E352" s="194"/>
      <c r="F352" s="194"/>
      <c r="G352" s="195"/>
      <c r="H352" s="61"/>
      <c r="I352" s="108"/>
      <c r="J352" s="109"/>
      <c r="K352" s="64" t="str">
        <f t="shared" si="19"/>
        <v>-</v>
      </c>
      <c r="L352" s="153">
        <f t="shared" si="20"/>
        <v>0</v>
      </c>
      <c r="M352" s="65"/>
      <c r="N352" s="187"/>
      <c r="O352" s="188"/>
      <c r="P352" s="188"/>
      <c r="Q352" s="189"/>
      <c r="R352" s="4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76"/>
    </row>
    <row r="353" spans="2:34" ht="23.25" customHeight="1" x14ac:dyDescent="0.15">
      <c r="B353" s="51"/>
      <c r="C353" s="193"/>
      <c r="D353" s="194"/>
      <c r="E353" s="194"/>
      <c r="F353" s="194"/>
      <c r="G353" s="195"/>
      <c r="H353" s="61"/>
      <c r="I353" s="108"/>
      <c r="J353" s="109"/>
      <c r="K353" s="64" t="str">
        <f t="shared" ref="K353:K367" si="21">IFERROR(J353/I353*100-100,"-")</f>
        <v>-</v>
      </c>
      <c r="L353" s="153">
        <f t="shared" si="20"/>
        <v>0</v>
      </c>
      <c r="M353" s="65"/>
      <c r="N353" s="187"/>
      <c r="O353" s="188"/>
      <c r="P353" s="188"/>
      <c r="Q353" s="189"/>
      <c r="R353" s="4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76"/>
    </row>
    <row r="354" spans="2:34" ht="23.25" customHeight="1" x14ac:dyDescent="0.15">
      <c r="B354" s="51"/>
      <c r="C354" s="193"/>
      <c r="D354" s="194"/>
      <c r="E354" s="194"/>
      <c r="F354" s="194"/>
      <c r="G354" s="195"/>
      <c r="H354" s="61"/>
      <c r="I354" s="108"/>
      <c r="J354" s="109"/>
      <c r="K354" s="64" t="str">
        <f t="shared" si="21"/>
        <v>-</v>
      </c>
      <c r="L354" s="153">
        <f t="shared" si="20"/>
        <v>0</v>
      </c>
      <c r="M354" s="65"/>
      <c r="N354" s="187"/>
      <c r="O354" s="188"/>
      <c r="P354" s="188"/>
      <c r="Q354" s="189"/>
      <c r="R354" s="4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76"/>
    </row>
    <row r="355" spans="2:34" ht="23.25" customHeight="1" x14ac:dyDescent="0.15">
      <c r="B355" s="51"/>
      <c r="C355" s="193"/>
      <c r="D355" s="194"/>
      <c r="E355" s="194"/>
      <c r="F355" s="194"/>
      <c r="G355" s="195"/>
      <c r="H355" s="61"/>
      <c r="I355" s="108"/>
      <c r="J355" s="109"/>
      <c r="K355" s="64" t="str">
        <f t="shared" si="21"/>
        <v>-</v>
      </c>
      <c r="L355" s="153">
        <f t="shared" si="20"/>
        <v>0</v>
      </c>
      <c r="M355" s="65"/>
      <c r="N355" s="187"/>
      <c r="O355" s="188"/>
      <c r="P355" s="188"/>
      <c r="Q355" s="189"/>
      <c r="R355" s="4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76"/>
    </row>
    <row r="356" spans="2:34" ht="23.25" customHeight="1" x14ac:dyDescent="0.15">
      <c r="B356" s="51"/>
      <c r="C356" s="193"/>
      <c r="D356" s="194"/>
      <c r="E356" s="194"/>
      <c r="F356" s="194"/>
      <c r="G356" s="195"/>
      <c r="H356" s="61"/>
      <c r="I356" s="108"/>
      <c r="J356" s="109"/>
      <c r="K356" s="64" t="str">
        <f t="shared" si="21"/>
        <v>-</v>
      </c>
      <c r="L356" s="153">
        <f t="shared" si="20"/>
        <v>0</v>
      </c>
      <c r="M356" s="65"/>
      <c r="N356" s="187"/>
      <c r="O356" s="188"/>
      <c r="P356" s="188"/>
      <c r="Q356" s="189"/>
      <c r="R356" s="4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76"/>
    </row>
    <row r="357" spans="2:34" ht="23.25" customHeight="1" x14ac:dyDescent="0.15">
      <c r="B357" s="51"/>
      <c r="C357" s="193"/>
      <c r="D357" s="194"/>
      <c r="E357" s="194"/>
      <c r="F357" s="194"/>
      <c r="G357" s="195"/>
      <c r="H357" s="61"/>
      <c r="I357" s="108"/>
      <c r="J357" s="109"/>
      <c r="K357" s="64" t="str">
        <f t="shared" si="21"/>
        <v>-</v>
      </c>
      <c r="L357" s="153">
        <f t="shared" si="20"/>
        <v>0</v>
      </c>
      <c r="M357" s="65"/>
      <c r="N357" s="187"/>
      <c r="O357" s="188"/>
      <c r="P357" s="188"/>
      <c r="Q357" s="189"/>
      <c r="R357" s="4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76"/>
    </row>
    <row r="358" spans="2:34" ht="23.25" customHeight="1" x14ac:dyDescent="0.15">
      <c r="B358" s="51"/>
      <c r="C358" s="193"/>
      <c r="D358" s="194"/>
      <c r="E358" s="194"/>
      <c r="F358" s="194"/>
      <c r="G358" s="195"/>
      <c r="H358" s="61"/>
      <c r="I358" s="108"/>
      <c r="J358" s="109"/>
      <c r="K358" s="64" t="str">
        <f t="shared" si="21"/>
        <v>-</v>
      </c>
      <c r="L358" s="153">
        <f t="shared" si="20"/>
        <v>0</v>
      </c>
      <c r="M358" s="65"/>
      <c r="N358" s="187"/>
      <c r="O358" s="188"/>
      <c r="P358" s="188"/>
      <c r="Q358" s="189"/>
      <c r="R358" s="4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76"/>
    </row>
    <row r="359" spans="2:34" ht="23.25" customHeight="1" x14ac:dyDescent="0.15">
      <c r="B359" s="51"/>
      <c r="C359" s="193"/>
      <c r="D359" s="194"/>
      <c r="E359" s="194"/>
      <c r="F359" s="194"/>
      <c r="G359" s="195"/>
      <c r="H359" s="61"/>
      <c r="I359" s="108"/>
      <c r="J359" s="109"/>
      <c r="K359" s="64" t="str">
        <f t="shared" si="21"/>
        <v>-</v>
      </c>
      <c r="L359" s="153">
        <f t="shared" si="20"/>
        <v>0</v>
      </c>
      <c r="M359" s="65"/>
      <c r="N359" s="187"/>
      <c r="O359" s="188"/>
      <c r="P359" s="188"/>
      <c r="Q359" s="189"/>
      <c r="R359" s="4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76"/>
    </row>
    <row r="360" spans="2:34" ht="23.25" customHeight="1" x14ac:dyDescent="0.15">
      <c r="B360" s="51"/>
      <c r="C360" s="193"/>
      <c r="D360" s="194"/>
      <c r="E360" s="194"/>
      <c r="F360" s="194"/>
      <c r="G360" s="195"/>
      <c r="H360" s="61"/>
      <c r="I360" s="108"/>
      <c r="J360" s="109"/>
      <c r="K360" s="64" t="str">
        <f t="shared" si="21"/>
        <v>-</v>
      </c>
      <c r="L360" s="153">
        <f t="shared" si="20"/>
        <v>0</v>
      </c>
      <c r="M360" s="65"/>
      <c r="N360" s="187"/>
      <c r="O360" s="188"/>
      <c r="P360" s="188"/>
      <c r="Q360" s="189"/>
      <c r="R360" s="4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76"/>
    </row>
    <row r="361" spans="2:34" ht="23.25" customHeight="1" x14ac:dyDescent="0.15">
      <c r="B361" s="51"/>
      <c r="C361" s="193"/>
      <c r="D361" s="194"/>
      <c r="E361" s="194"/>
      <c r="F361" s="194"/>
      <c r="G361" s="195"/>
      <c r="H361" s="61"/>
      <c r="I361" s="108"/>
      <c r="J361" s="109"/>
      <c r="K361" s="64" t="str">
        <f t="shared" si="21"/>
        <v>-</v>
      </c>
      <c r="L361" s="153">
        <f t="shared" si="20"/>
        <v>0</v>
      </c>
      <c r="M361" s="65"/>
      <c r="N361" s="187"/>
      <c r="O361" s="188"/>
      <c r="P361" s="188"/>
      <c r="Q361" s="189"/>
      <c r="R361" s="4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76"/>
    </row>
    <row r="362" spans="2:34" ht="23.25" customHeight="1" x14ac:dyDescent="0.15">
      <c r="B362" s="51"/>
      <c r="C362" s="193"/>
      <c r="D362" s="194"/>
      <c r="E362" s="194"/>
      <c r="F362" s="194"/>
      <c r="G362" s="195"/>
      <c r="H362" s="61"/>
      <c r="I362" s="108"/>
      <c r="J362" s="109"/>
      <c r="K362" s="64" t="str">
        <f t="shared" si="21"/>
        <v>-</v>
      </c>
      <c r="L362" s="153">
        <f t="shared" si="20"/>
        <v>0</v>
      </c>
      <c r="M362" s="65"/>
      <c r="N362" s="187"/>
      <c r="O362" s="188"/>
      <c r="P362" s="188"/>
      <c r="Q362" s="189"/>
      <c r="R362" s="4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76"/>
    </row>
    <row r="363" spans="2:34" ht="23.25" customHeight="1" x14ac:dyDescent="0.15">
      <c r="B363" s="51"/>
      <c r="C363" s="193"/>
      <c r="D363" s="194"/>
      <c r="E363" s="194"/>
      <c r="F363" s="194"/>
      <c r="G363" s="195"/>
      <c r="H363" s="61"/>
      <c r="I363" s="108"/>
      <c r="J363" s="109"/>
      <c r="K363" s="64" t="str">
        <f t="shared" si="21"/>
        <v>-</v>
      </c>
      <c r="L363" s="153">
        <f t="shared" si="20"/>
        <v>0</v>
      </c>
      <c r="M363" s="65"/>
      <c r="N363" s="187"/>
      <c r="O363" s="188"/>
      <c r="P363" s="188"/>
      <c r="Q363" s="189"/>
      <c r="R363" s="4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76"/>
    </row>
    <row r="364" spans="2:34" ht="23.25" customHeight="1" x14ac:dyDescent="0.15">
      <c r="B364" s="51"/>
      <c r="C364" s="193"/>
      <c r="D364" s="194"/>
      <c r="E364" s="194"/>
      <c r="F364" s="194"/>
      <c r="G364" s="195"/>
      <c r="H364" s="61"/>
      <c r="I364" s="108"/>
      <c r="J364" s="109"/>
      <c r="K364" s="64" t="str">
        <f t="shared" si="21"/>
        <v>-</v>
      </c>
      <c r="L364" s="153">
        <f t="shared" si="20"/>
        <v>0</v>
      </c>
      <c r="M364" s="65"/>
      <c r="N364" s="187"/>
      <c r="O364" s="188"/>
      <c r="P364" s="188"/>
      <c r="Q364" s="189"/>
      <c r="R364" s="4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76"/>
    </row>
    <row r="365" spans="2:34" ht="23.25" customHeight="1" x14ac:dyDescent="0.15">
      <c r="B365" s="51"/>
      <c r="C365" s="193"/>
      <c r="D365" s="194"/>
      <c r="E365" s="194"/>
      <c r="F365" s="194"/>
      <c r="G365" s="195"/>
      <c r="H365" s="61"/>
      <c r="I365" s="108"/>
      <c r="J365" s="109"/>
      <c r="K365" s="64" t="str">
        <f t="shared" si="21"/>
        <v>-</v>
      </c>
      <c r="L365" s="153">
        <f t="shared" si="20"/>
        <v>0</v>
      </c>
      <c r="M365" s="65"/>
      <c r="N365" s="187"/>
      <c r="O365" s="188"/>
      <c r="P365" s="188"/>
      <c r="Q365" s="189"/>
      <c r="R365" s="4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76"/>
    </row>
    <row r="366" spans="2:34" ht="23.25" customHeight="1" x14ac:dyDescent="0.15">
      <c r="B366" s="51"/>
      <c r="C366" s="193"/>
      <c r="D366" s="194"/>
      <c r="E366" s="194"/>
      <c r="F366" s="194"/>
      <c r="G366" s="195"/>
      <c r="H366" s="61"/>
      <c r="I366" s="108"/>
      <c r="J366" s="109"/>
      <c r="K366" s="64" t="str">
        <f t="shared" si="21"/>
        <v>-</v>
      </c>
      <c r="L366" s="153">
        <f t="shared" si="20"/>
        <v>0</v>
      </c>
      <c r="M366" s="65"/>
      <c r="N366" s="187"/>
      <c r="O366" s="188"/>
      <c r="P366" s="188"/>
      <c r="Q366" s="189"/>
      <c r="R366" s="4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76"/>
    </row>
    <row r="367" spans="2:34" ht="23.25" customHeight="1" thickBot="1" x14ac:dyDescent="0.2">
      <c r="B367" s="51"/>
      <c r="C367" s="196"/>
      <c r="D367" s="197"/>
      <c r="E367" s="197"/>
      <c r="F367" s="197"/>
      <c r="G367" s="198"/>
      <c r="H367" s="67"/>
      <c r="I367" s="110"/>
      <c r="J367" s="111"/>
      <c r="K367" s="70" t="str">
        <f t="shared" si="21"/>
        <v>-</v>
      </c>
      <c r="L367" s="154">
        <f t="shared" si="20"/>
        <v>0</v>
      </c>
      <c r="M367" s="71"/>
      <c r="N367" s="199"/>
      <c r="O367" s="200"/>
      <c r="P367" s="200"/>
      <c r="Q367" s="201"/>
      <c r="R367" s="4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76"/>
    </row>
  </sheetData>
  <autoFilter ref="C8:AG367" xr:uid="{3D8244B8-1FF9-41D8-8E86-6673355ABACD}">
    <filterColumn colId="0" showButton="0"/>
    <filterColumn colId="1" showButton="0"/>
    <filterColumn colId="2" showButton="0"/>
    <filterColumn colId="3" showButton="0"/>
    <filterColumn colId="11" showButton="0"/>
    <filterColumn colId="12" showButton="0"/>
    <filterColumn colId="13" showButton="0"/>
  </autoFilter>
  <mergeCells count="738">
    <mergeCell ref="C3:F3"/>
    <mergeCell ref="H3:J3"/>
    <mergeCell ref="K3:M3"/>
    <mergeCell ref="C4:F4"/>
    <mergeCell ref="H4:J4"/>
    <mergeCell ref="K4:M4"/>
    <mergeCell ref="C10:G10"/>
    <mergeCell ref="N10:Q10"/>
    <mergeCell ref="D11:G11"/>
    <mergeCell ref="N11:Q11"/>
    <mergeCell ref="E12:G12"/>
    <mergeCell ref="N12:Q12"/>
    <mergeCell ref="C5:F5"/>
    <mergeCell ref="H5:J5"/>
    <mergeCell ref="K5:M5"/>
    <mergeCell ref="C8:G8"/>
    <mergeCell ref="N8:Q8"/>
    <mergeCell ref="C9:G9"/>
    <mergeCell ref="N9:Q9"/>
    <mergeCell ref="E16:G16"/>
    <mergeCell ref="N16:Q16"/>
    <mergeCell ref="E17:G17"/>
    <mergeCell ref="N17:Q17"/>
    <mergeCell ref="E18:G18"/>
    <mergeCell ref="N18:Q18"/>
    <mergeCell ref="E13:G13"/>
    <mergeCell ref="N13:Q13"/>
    <mergeCell ref="E14:G14"/>
    <mergeCell ref="N14:Q14"/>
    <mergeCell ref="E15:G15"/>
    <mergeCell ref="N15:Q15"/>
    <mergeCell ref="E22:G22"/>
    <mergeCell ref="N22:Q22"/>
    <mergeCell ref="E23:F23"/>
    <mergeCell ref="N23:Q23"/>
    <mergeCell ref="E24:F24"/>
    <mergeCell ref="N24:Q24"/>
    <mergeCell ref="E19:F19"/>
    <mergeCell ref="N19:Q19"/>
    <mergeCell ref="E20:F20"/>
    <mergeCell ref="N20:Q20"/>
    <mergeCell ref="E21:F21"/>
    <mergeCell ref="N21:Q21"/>
    <mergeCell ref="N28:Q28"/>
    <mergeCell ref="N29:Q29"/>
    <mergeCell ref="F30:G30"/>
    <mergeCell ref="N30:Q30"/>
    <mergeCell ref="N31:Q31"/>
    <mergeCell ref="N32:Q32"/>
    <mergeCell ref="E25:G25"/>
    <mergeCell ref="N25:Q25"/>
    <mergeCell ref="E26:G26"/>
    <mergeCell ref="N26:Q26"/>
    <mergeCell ref="F27:G27"/>
    <mergeCell ref="N27:Q27"/>
    <mergeCell ref="E36:G36"/>
    <mergeCell ref="N36:Q36"/>
    <mergeCell ref="F37:G37"/>
    <mergeCell ref="N37:Q37"/>
    <mergeCell ref="F38:G38"/>
    <mergeCell ref="N38:Q38"/>
    <mergeCell ref="E33:G33"/>
    <mergeCell ref="N33:Q33"/>
    <mergeCell ref="E34:G34"/>
    <mergeCell ref="N34:Q34"/>
    <mergeCell ref="D35:G35"/>
    <mergeCell ref="N35:Q35"/>
    <mergeCell ref="F42:G42"/>
    <mergeCell ref="N42:Q42"/>
    <mergeCell ref="N43:Q43"/>
    <mergeCell ref="N44:Q44"/>
    <mergeCell ref="E45:G45"/>
    <mergeCell ref="N45:Q45"/>
    <mergeCell ref="E39:G39"/>
    <mergeCell ref="N39:Q39"/>
    <mergeCell ref="E40:G40"/>
    <mergeCell ref="N40:Q40"/>
    <mergeCell ref="F41:G41"/>
    <mergeCell ref="N41:Q41"/>
    <mergeCell ref="E49:G49"/>
    <mergeCell ref="N49:Q49"/>
    <mergeCell ref="E50:G50"/>
    <mergeCell ref="N50:Q50"/>
    <mergeCell ref="D51:G51"/>
    <mergeCell ref="N51:Q51"/>
    <mergeCell ref="F46:G46"/>
    <mergeCell ref="N46:Q46"/>
    <mergeCell ref="F47:G47"/>
    <mergeCell ref="N47:Q47"/>
    <mergeCell ref="E48:G48"/>
    <mergeCell ref="N48:Q48"/>
    <mergeCell ref="E55:G55"/>
    <mergeCell ref="N55:Q55"/>
    <mergeCell ref="E56:G56"/>
    <mergeCell ref="N56:Q56"/>
    <mergeCell ref="E57:G57"/>
    <mergeCell ref="N57:Q57"/>
    <mergeCell ref="D52:G52"/>
    <mergeCell ref="N52:Q52"/>
    <mergeCell ref="E53:G53"/>
    <mergeCell ref="N53:Q53"/>
    <mergeCell ref="E54:G54"/>
    <mergeCell ref="N54:Q54"/>
    <mergeCell ref="E62:G62"/>
    <mergeCell ref="N62:Q62"/>
    <mergeCell ref="E63:G63"/>
    <mergeCell ref="N63:Q63"/>
    <mergeCell ref="E64:G64"/>
    <mergeCell ref="N64:Q64"/>
    <mergeCell ref="E61:G61"/>
    <mergeCell ref="N61:Q61"/>
    <mergeCell ref="E58:G58"/>
    <mergeCell ref="N58:Q58"/>
    <mergeCell ref="E59:G59"/>
    <mergeCell ref="N59:Q59"/>
    <mergeCell ref="E60:G60"/>
    <mergeCell ref="N60:Q60"/>
    <mergeCell ref="E70:G70"/>
    <mergeCell ref="N70:Q70"/>
    <mergeCell ref="E71:G71"/>
    <mergeCell ref="N71:Q71"/>
    <mergeCell ref="E68:G68"/>
    <mergeCell ref="N68:Q68"/>
    <mergeCell ref="E69:G69"/>
    <mergeCell ref="N69:Q69"/>
    <mergeCell ref="E65:G65"/>
    <mergeCell ref="N65:Q65"/>
    <mergeCell ref="E66:G66"/>
    <mergeCell ref="N66:Q66"/>
    <mergeCell ref="E67:G67"/>
    <mergeCell ref="N67:Q67"/>
    <mergeCell ref="E75:G75"/>
    <mergeCell ref="N75:Q75"/>
    <mergeCell ref="E76:G76"/>
    <mergeCell ref="N76:Q76"/>
    <mergeCell ref="E77:G77"/>
    <mergeCell ref="E78:G78"/>
    <mergeCell ref="E72:G72"/>
    <mergeCell ref="N72:Q72"/>
    <mergeCell ref="E73:G73"/>
    <mergeCell ref="N73:Q73"/>
    <mergeCell ref="E74:G74"/>
    <mergeCell ref="N74:Q74"/>
    <mergeCell ref="D88:G88"/>
    <mergeCell ref="N88:Q88"/>
    <mergeCell ref="D89:G89"/>
    <mergeCell ref="N89:Q89"/>
    <mergeCell ref="C90:G90"/>
    <mergeCell ref="N90:Q90"/>
    <mergeCell ref="E83:G83"/>
    <mergeCell ref="E84:G84"/>
    <mergeCell ref="E85:G85"/>
    <mergeCell ref="E86:G86"/>
    <mergeCell ref="E87:G87"/>
    <mergeCell ref="N87:Q87"/>
    <mergeCell ref="N83:Q83"/>
    <mergeCell ref="N84:Q84"/>
    <mergeCell ref="N85:Q85"/>
    <mergeCell ref="N86:Q86"/>
    <mergeCell ref="E79:G79"/>
    <mergeCell ref="E80:G80"/>
    <mergeCell ref="E81:G81"/>
    <mergeCell ref="E82:G82"/>
    <mergeCell ref="N77:Q77"/>
    <mergeCell ref="N78:Q78"/>
    <mergeCell ref="N79:Q79"/>
    <mergeCell ref="N80:Q80"/>
    <mergeCell ref="D94:G94"/>
    <mergeCell ref="N94:Q94"/>
    <mergeCell ref="D95:G95"/>
    <mergeCell ref="N95:Q95"/>
    <mergeCell ref="D96:G96"/>
    <mergeCell ref="N96:Q96"/>
    <mergeCell ref="D91:G91"/>
    <mergeCell ref="N91:Q91"/>
    <mergeCell ref="D92:G92"/>
    <mergeCell ref="N92:Q92"/>
    <mergeCell ref="D93:G93"/>
    <mergeCell ref="N93:Q93"/>
    <mergeCell ref="D100:G100"/>
    <mergeCell ref="N100:Q100"/>
    <mergeCell ref="D101:G101"/>
    <mergeCell ref="N101:Q101"/>
    <mergeCell ref="D102:G102"/>
    <mergeCell ref="N102:Q102"/>
    <mergeCell ref="D97:G97"/>
    <mergeCell ref="N97:Q97"/>
    <mergeCell ref="D98:G98"/>
    <mergeCell ref="N98:Q98"/>
    <mergeCell ref="D99:G99"/>
    <mergeCell ref="N99:Q99"/>
    <mergeCell ref="D106:G106"/>
    <mergeCell ref="N106:Q106"/>
    <mergeCell ref="D107:G107"/>
    <mergeCell ref="N107:Q107"/>
    <mergeCell ref="E108:G108"/>
    <mergeCell ref="N108:Q108"/>
    <mergeCell ref="D103:G103"/>
    <mergeCell ref="N103:Q103"/>
    <mergeCell ref="D104:G104"/>
    <mergeCell ref="N104:Q104"/>
    <mergeCell ref="D105:G105"/>
    <mergeCell ref="N105:Q105"/>
    <mergeCell ref="C112:G112"/>
    <mergeCell ref="N112:Q112"/>
    <mergeCell ref="C113:G113"/>
    <mergeCell ref="N113:Q113"/>
    <mergeCell ref="D114:G114"/>
    <mergeCell ref="N114:Q114"/>
    <mergeCell ref="D109:G109"/>
    <mergeCell ref="N109:Q109"/>
    <mergeCell ref="D110:G110"/>
    <mergeCell ref="N110:Q110"/>
    <mergeCell ref="D111:G111"/>
    <mergeCell ref="N111:Q111"/>
    <mergeCell ref="D118:G118"/>
    <mergeCell ref="N118:Q118"/>
    <mergeCell ref="D119:G119"/>
    <mergeCell ref="N119:Q119"/>
    <mergeCell ref="D120:G120"/>
    <mergeCell ref="N120:Q120"/>
    <mergeCell ref="D115:G115"/>
    <mergeCell ref="N115:Q115"/>
    <mergeCell ref="D116:G116"/>
    <mergeCell ref="N116:Q116"/>
    <mergeCell ref="C117:G117"/>
    <mergeCell ref="N117:Q117"/>
    <mergeCell ref="D124:G124"/>
    <mergeCell ref="N124:Q124"/>
    <mergeCell ref="C125:G125"/>
    <mergeCell ref="N125:Q125"/>
    <mergeCell ref="C126:G126"/>
    <mergeCell ref="N126:Q126"/>
    <mergeCell ref="C121:G121"/>
    <mergeCell ref="N121:Q121"/>
    <mergeCell ref="D122:G122"/>
    <mergeCell ref="N122:Q122"/>
    <mergeCell ref="D123:G123"/>
    <mergeCell ref="N123:Q123"/>
    <mergeCell ref="E132:G132"/>
    <mergeCell ref="N132:Q132"/>
    <mergeCell ref="E133:G133"/>
    <mergeCell ref="N133:Q133"/>
    <mergeCell ref="D134:G134"/>
    <mergeCell ref="N134:Q134"/>
    <mergeCell ref="C127:G127"/>
    <mergeCell ref="N127:Q127"/>
    <mergeCell ref="C128:C220"/>
    <mergeCell ref="D128:G128"/>
    <mergeCell ref="N128:Q128"/>
    <mergeCell ref="E129:G129"/>
    <mergeCell ref="N129:Q129"/>
    <mergeCell ref="E130:G130"/>
    <mergeCell ref="N130:Q130"/>
    <mergeCell ref="D131:G131"/>
    <mergeCell ref="D135:G135"/>
    <mergeCell ref="N135:Q135"/>
    <mergeCell ref="D136:G136"/>
    <mergeCell ref="N136:Q136"/>
    <mergeCell ref="D137:D139"/>
    <mergeCell ref="E137:G137"/>
    <mergeCell ref="N137:Q137"/>
    <mergeCell ref="E138:G138"/>
    <mergeCell ref="N138:Q138"/>
    <mergeCell ref="E139:G139"/>
    <mergeCell ref="D143:G143"/>
    <mergeCell ref="N143:Q143"/>
    <mergeCell ref="D144:G144"/>
    <mergeCell ref="N144:Q144"/>
    <mergeCell ref="D145:G145"/>
    <mergeCell ref="D140:G140"/>
    <mergeCell ref="D141:G141"/>
    <mergeCell ref="N141:Q141"/>
    <mergeCell ref="D142:G142"/>
    <mergeCell ref="N142:Q142"/>
    <mergeCell ref="D150:G150"/>
    <mergeCell ref="N150:Q150"/>
    <mergeCell ref="D151:G151"/>
    <mergeCell ref="N151:Q151"/>
    <mergeCell ref="D152:G152"/>
    <mergeCell ref="N152:Q152"/>
    <mergeCell ref="D146:G146"/>
    <mergeCell ref="N146:Q146"/>
    <mergeCell ref="D147:G147"/>
    <mergeCell ref="N147:Q147"/>
    <mergeCell ref="D148:G148"/>
    <mergeCell ref="D149:G149"/>
    <mergeCell ref="N149:Q149"/>
    <mergeCell ref="N148:Q148"/>
    <mergeCell ref="D153:G153"/>
    <mergeCell ref="N153:Q153"/>
    <mergeCell ref="D154:G154"/>
    <mergeCell ref="D155:D157"/>
    <mergeCell ref="E155:G155"/>
    <mergeCell ref="N155:Q155"/>
    <mergeCell ref="E156:G156"/>
    <mergeCell ref="N156:Q156"/>
    <mergeCell ref="E157:G157"/>
    <mergeCell ref="N157:Q157"/>
    <mergeCell ref="D161:D163"/>
    <mergeCell ref="E161:G161"/>
    <mergeCell ref="N161:Q161"/>
    <mergeCell ref="E162:G162"/>
    <mergeCell ref="N162:Q162"/>
    <mergeCell ref="E163:G163"/>
    <mergeCell ref="N163:Q163"/>
    <mergeCell ref="D158:D160"/>
    <mergeCell ref="E158:G158"/>
    <mergeCell ref="N158:Q158"/>
    <mergeCell ref="E159:G159"/>
    <mergeCell ref="N159:Q159"/>
    <mergeCell ref="E160:G160"/>
    <mergeCell ref="N160:Q160"/>
    <mergeCell ref="D167:D169"/>
    <mergeCell ref="E167:G167"/>
    <mergeCell ref="N167:Q167"/>
    <mergeCell ref="E168:G168"/>
    <mergeCell ref="N168:Q168"/>
    <mergeCell ref="E169:G169"/>
    <mergeCell ref="N169:Q169"/>
    <mergeCell ref="D164:D166"/>
    <mergeCell ref="E164:G164"/>
    <mergeCell ref="N164:Q164"/>
    <mergeCell ref="E165:G165"/>
    <mergeCell ref="N165:Q165"/>
    <mergeCell ref="E166:G166"/>
    <mergeCell ref="N166:Q166"/>
    <mergeCell ref="D173:D175"/>
    <mergeCell ref="E173:G173"/>
    <mergeCell ref="N173:Q173"/>
    <mergeCell ref="E174:G174"/>
    <mergeCell ref="N174:Q174"/>
    <mergeCell ref="E175:G175"/>
    <mergeCell ref="N175:Q175"/>
    <mergeCell ref="D170:D172"/>
    <mergeCell ref="E170:G170"/>
    <mergeCell ref="N170:Q170"/>
    <mergeCell ref="E171:G171"/>
    <mergeCell ref="N171:Q171"/>
    <mergeCell ref="E172:G172"/>
    <mergeCell ref="N172:Q172"/>
    <mergeCell ref="D179:G179"/>
    <mergeCell ref="N179:Q179"/>
    <mergeCell ref="E180:G180"/>
    <mergeCell ref="N180:Q180"/>
    <mergeCell ref="E181:G181"/>
    <mergeCell ref="N181:Q181"/>
    <mergeCell ref="D176:G176"/>
    <mergeCell ref="N176:Q176"/>
    <mergeCell ref="D177:G177"/>
    <mergeCell ref="N177:Q177"/>
    <mergeCell ref="D178:G178"/>
    <mergeCell ref="N178:Q178"/>
    <mergeCell ref="D185:G185"/>
    <mergeCell ref="N185:Q185"/>
    <mergeCell ref="D186:G186"/>
    <mergeCell ref="N186:Q186"/>
    <mergeCell ref="D187:G187"/>
    <mergeCell ref="N187:Q187"/>
    <mergeCell ref="D182:G182"/>
    <mergeCell ref="N182:Q182"/>
    <mergeCell ref="E183:G183"/>
    <mergeCell ref="N183:Q183"/>
    <mergeCell ref="E184:G184"/>
    <mergeCell ref="N184:Q184"/>
    <mergeCell ref="D191:D193"/>
    <mergeCell ref="E191:G191"/>
    <mergeCell ref="N191:Q191"/>
    <mergeCell ref="E192:G192"/>
    <mergeCell ref="N192:Q192"/>
    <mergeCell ref="E193:G193"/>
    <mergeCell ref="N193:Q193"/>
    <mergeCell ref="D188:G188"/>
    <mergeCell ref="N188:Q188"/>
    <mergeCell ref="D189:G189"/>
    <mergeCell ref="N189:Q189"/>
    <mergeCell ref="D190:G190"/>
    <mergeCell ref="N190:Q190"/>
    <mergeCell ref="D197:G197"/>
    <mergeCell ref="N197:Q197"/>
    <mergeCell ref="E198:G198"/>
    <mergeCell ref="N198:Q198"/>
    <mergeCell ref="E199:G199"/>
    <mergeCell ref="N199:Q199"/>
    <mergeCell ref="D194:G194"/>
    <mergeCell ref="N194:Q194"/>
    <mergeCell ref="D195:G195"/>
    <mergeCell ref="N195:Q195"/>
    <mergeCell ref="D196:G196"/>
    <mergeCell ref="N196:Q196"/>
    <mergeCell ref="E203:G203"/>
    <mergeCell ref="N203:Q203"/>
    <mergeCell ref="E204:G204"/>
    <mergeCell ref="N204:Q204"/>
    <mergeCell ref="F205:G205"/>
    <mergeCell ref="N205:Q205"/>
    <mergeCell ref="F200:G200"/>
    <mergeCell ref="N200:Q200"/>
    <mergeCell ref="F201:G201"/>
    <mergeCell ref="N201:Q201"/>
    <mergeCell ref="D202:G202"/>
    <mergeCell ref="N202:Q202"/>
    <mergeCell ref="D212:G212"/>
    <mergeCell ref="N212:Q212"/>
    <mergeCell ref="D213:G213"/>
    <mergeCell ref="N213:Q213"/>
    <mergeCell ref="D214:G214"/>
    <mergeCell ref="N214:Q214"/>
    <mergeCell ref="F206:G206"/>
    <mergeCell ref="N206:Q206"/>
    <mergeCell ref="D207:G207"/>
    <mergeCell ref="N207:Q207"/>
    <mergeCell ref="D211:G211"/>
    <mergeCell ref="N211:Q211"/>
    <mergeCell ref="N208:Q208"/>
    <mergeCell ref="N209:Q209"/>
    <mergeCell ref="N210:Q210"/>
    <mergeCell ref="E208:G208"/>
    <mergeCell ref="E209:G209"/>
    <mergeCell ref="E210:G210"/>
    <mergeCell ref="C229:C231"/>
    <mergeCell ref="D229:G229"/>
    <mergeCell ref="N229:Q229"/>
    <mergeCell ref="D230:G230"/>
    <mergeCell ref="N230:Q230"/>
    <mergeCell ref="C221:C228"/>
    <mergeCell ref="E223:G223"/>
    <mergeCell ref="N223:Q223"/>
    <mergeCell ref="D224:G224"/>
    <mergeCell ref="N224:Q224"/>
    <mergeCell ref="E225:G225"/>
    <mergeCell ref="N225:Q225"/>
    <mergeCell ref="D215:G215"/>
    <mergeCell ref="N215:Q215"/>
    <mergeCell ref="D216:E218"/>
    <mergeCell ref="F216:G216"/>
    <mergeCell ref="N216:Q216"/>
    <mergeCell ref="F217:G217"/>
    <mergeCell ref="N217:Q217"/>
    <mergeCell ref="F218:G218"/>
    <mergeCell ref="N218:Q218"/>
    <mergeCell ref="D219:E220"/>
    <mergeCell ref="F219:G219"/>
    <mergeCell ref="N219:Q219"/>
    <mergeCell ref="F220:G220"/>
    <mergeCell ref="N220:Q220"/>
    <mergeCell ref="D221:G221"/>
    <mergeCell ref="N221:Q221"/>
    <mergeCell ref="E222:G222"/>
    <mergeCell ref="N222:Q222"/>
    <mergeCell ref="D236:G236"/>
    <mergeCell ref="D237:G237"/>
    <mergeCell ref="N237:Q237"/>
    <mergeCell ref="D238:G238"/>
    <mergeCell ref="N238:Q238"/>
    <mergeCell ref="D239:G239"/>
    <mergeCell ref="N239:Q239"/>
    <mergeCell ref="N236:Q236"/>
    <mergeCell ref="D246:G246"/>
    <mergeCell ref="N246:Q246"/>
    <mergeCell ref="D247:G247"/>
    <mergeCell ref="D231:G231"/>
    <mergeCell ref="N231:Q231"/>
    <mergeCell ref="E226:G226"/>
    <mergeCell ref="N226:Q226"/>
    <mergeCell ref="D227:G227"/>
    <mergeCell ref="D228:G228"/>
    <mergeCell ref="N228:Q228"/>
    <mergeCell ref="D257:G257"/>
    <mergeCell ref="D258:G258"/>
    <mergeCell ref="D259:G259"/>
    <mergeCell ref="D260:G260"/>
    <mergeCell ref="D261:G261"/>
    <mergeCell ref="D262:G262"/>
    <mergeCell ref="D251:G251"/>
    <mergeCell ref="D252:G252"/>
    <mergeCell ref="D253:G253"/>
    <mergeCell ref="D254:G254"/>
    <mergeCell ref="D255:G255"/>
    <mergeCell ref="D256:G256"/>
    <mergeCell ref="D242:G242"/>
    <mergeCell ref="N242:Q242"/>
    <mergeCell ref="D240:G240"/>
    <mergeCell ref="N240:Q240"/>
    <mergeCell ref="D241:G241"/>
    <mergeCell ref="N241:Q241"/>
    <mergeCell ref="C269:G269"/>
    <mergeCell ref="N269:Q269"/>
    <mergeCell ref="C270:G270"/>
    <mergeCell ref="N270:Q270"/>
    <mergeCell ref="C271:G271"/>
    <mergeCell ref="N271:Q271"/>
    <mergeCell ref="C268:G268"/>
    <mergeCell ref="N268:Q268"/>
    <mergeCell ref="D263:G263"/>
    <mergeCell ref="D264:G264"/>
    <mergeCell ref="D265:G265"/>
    <mergeCell ref="D266:G266"/>
    <mergeCell ref="D267:G267"/>
    <mergeCell ref="C232:C267"/>
    <mergeCell ref="D232:G232"/>
    <mergeCell ref="N232:Q232"/>
    <mergeCell ref="D233:G233"/>
    <mergeCell ref="N233:Q233"/>
    <mergeCell ref="D234:G234"/>
    <mergeCell ref="N234:Q234"/>
    <mergeCell ref="D235:G235"/>
    <mergeCell ref="N235:Q235"/>
    <mergeCell ref="N251:Q251"/>
    <mergeCell ref="N252:Q252"/>
    <mergeCell ref="D248:G248"/>
    <mergeCell ref="D249:G249"/>
    <mergeCell ref="D250:G250"/>
    <mergeCell ref="D243:G243"/>
    <mergeCell ref="N243:Q243"/>
    <mergeCell ref="D244:G244"/>
    <mergeCell ref="N244:Q244"/>
    <mergeCell ref="D245:G245"/>
    <mergeCell ref="C275:G275"/>
    <mergeCell ref="N275:Q275"/>
    <mergeCell ref="C276:G276"/>
    <mergeCell ref="N276:Q276"/>
    <mergeCell ref="C277:G277"/>
    <mergeCell ref="N277:Q277"/>
    <mergeCell ref="C272:G272"/>
    <mergeCell ref="N272:Q272"/>
    <mergeCell ref="C273:G273"/>
    <mergeCell ref="N273:Q273"/>
    <mergeCell ref="C274:G274"/>
    <mergeCell ref="N274:Q274"/>
    <mergeCell ref="C281:G281"/>
    <mergeCell ref="N281:Q281"/>
    <mergeCell ref="C282:G282"/>
    <mergeCell ref="N282:Q282"/>
    <mergeCell ref="C283:G283"/>
    <mergeCell ref="N283:Q283"/>
    <mergeCell ref="C278:G278"/>
    <mergeCell ref="N278:Q278"/>
    <mergeCell ref="C279:G279"/>
    <mergeCell ref="N279:Q279"/>
    <mergeCell ref="C280:G280"/>
    <mergeCell ref="N280:Q280"/>
    <mergeCell ref="C287:G287"/>
    <mergeCell ref="N287:Q287"/>
    <mergeCell ref="C288:G288"/>
    <mergeCell ref="N288:Q288"/>
    <mergeCell ref="C289:G289"/>
    <mergeCell ref="N289:Q289"/>
    <mergeCell ref="C284:G284"/>
    <mergeCell ref="N284:Q284"/>
    <mergeCell ref="C285:G285"/>
    <mergeCell ref="N285:Q285"/>
    <mergeCell ref="C286:G286"/>
    <mergeCell ref="N286:Q286"/>
    <mergeCell ref="C293:G293"/>
    <mergeCell ref="N293:Q293"/>
    <mergeCell ref="C294:G294"/>
    <mergeCell ref="N294:Q294"/>
    <mergeCell ref="C295:G295"/>
    <mergeCell ref="N295:Q295"/>
    <mergeCell ref="C290:G290"/>
    <mergeCell ref="N290:Q290"/>
    <mergeCell ref="C291:G291"/>
    <mergeCell ref="N291:Q291"/>
    <mergeCell ref="C292:G292"/>
    <mergeCell ref="N292:Q292"/>
    <mergeCell ref="C299:G299"/>
    <mergeCell ref="N299:Q299"/>
    <mergeCell ref="C300:G300"/>
    <mergeCell ref="N300:Q300"/>
    <mergeCell ref="C301:G301"/>
    <mergeCell ref="N301:Q301"/>
    <mergeCell ref="C296:G296"/>
    <mergeCell ref="N296:Q296"/>
    <mergeCell ref="C297:G297"/>
    <mergeCell ref="N297:Q297"/>
    <mergeCell ref="C298:G298"/>
    <mergeCell ref="N298:Q298"/>
    <mergeCell ref="C305:G305"/>
    <mergeCell ref="N305:Q305"/>
    <mergeCell ref="C306:G306"/>
    <mergeCell ref="N306:Q306"/>
    <mergeCell ref="C307:G307"/>
    <mergeCell ref="N307:Q307"/>
    <mergeCell ref="C302:G302"/>
    <mergeCell ref="N302:Q302"/>
    <mergeCell ref="C303:G303"/>
    <mergeCell ref="N303:Q303"/>
    <mergeCell ref="C304:G304"/>
    <mergeCell ref="N304:Q304"/>
    <mergeCell ref="C311:G311"/>
    <mergeCell ref="N311:Q311"/>
    <mergeCell ref="C312:G312"/>
    <mergeCell ref="N312:Q312"/>
    <mergeCell ref="C313:G313"/>
    <mergeCell ref="N313:Q313"/>
    <mergeCell ref="C308:G308"/>
    <mergeCell ref="N308:Q308"/>
    <mergeCell ref="C309:G309"/>
    <mergeCell ref="N309:Q309"/>
    <mergeCell ref="C310:G310"/>
    <mergeCell ref="N310:Q310"/>
    <mergeCell ref="C317:G317"/>
    <mergeCell ref="N317:Q317"/>
    <mergeCell ref="C318:G318"/>
    <mergeCell ref="N318:Q318"/>
    <mergeCell ref="C319:G319"/>
    <mergeCell ref="N319:Q319"/>
    <mergeCell ref="C314:G314"/>
    <mergeCell ref="N314:Q314"/>
    <mergeCell ref="C315:G315"/>
    <mergeCell ref="N315:Q315"/>
    <mergeCell ref="C316:G316"/>
    <mergeCell ref="N316:Q316"/>
    <mergeCell ref="C323:G323"/>
    <mergeCell ref="N323:Q323"/>
    <mergeCell ref="C324:G324"/>
    <mergeCell ref="N324:Q324"/>
    <mergeCell ref="C325:G325"/>
    <mergeCell ref="N325:Q325"/>
    <mergeCell ref="C320:G320"/>
    <mergeCell ref="N320:Q320"/>
    <mergeCell ref="C321:G321"/>
    <mergeCell ref="N321:Q321"/>
    <mergeCell ref="C322:G322"/>
    <mergeCell ref="N322:Q322"/>
    <mergeCell ref="C329:G329"/>
    <mergeCell ref="N329:Q329"/>
    <mergeCell ref="C330:G330"/>
    <mergeCell ref="N330:Q330"/>
    <mergeCell ref="C331:G331"/>
    <mergeCell ref="N331:Q331"/>
    <mergeCell ref="C326:G326"/>
    <mergeCell ref="N326:Q326"/>
    <mergeCell ref="C327:G327"/>
    <mergeCell ref="N327:Q327"/>
    <mergeCell ref="C328:G328"/>
    <mergeCell ref="N328:Q328"/>
    <mergeCell ref="C335:G335"/>
    <mergeCell ref="N335:Q335"/>
    <mergeCell ref="C336:G336"/>
    <mergeCell ref="N336:Q336"/>
    <mergeCell ref="C337:G337"/>
    <mergeCell ref="N337:Q337"/>
    <mergeCell ref="C332:G332"/>
    <mergeCell ref="N332:Q332"/>
    <mergeCell ref="C333:G333"/>
    <mergeCell ref="N333:Q333"/>
    <mergeCell ref="C334:G334"/>
    <mergeCell ref="N334:Q334"/>
    <mergeCell ref="C341:G341"/>
    <mergeCell ref="N341:Q341"/>
    <mergeCell ref="C342:G342"/>
    <mergeCell ref="N342:Q342"/>
    <mergeCell ref="C343:G343"/>
    <mergeCell ref="N343:Q343"/>
    <mergeCell ref="C338:G338"/>
    <mergeCell ref="N338:Q338"/>
    <mergeCell ref="C339:G339"/>
    <mergeCell ref="N339:Q339"/>
    <mergeCell ref="C340:G340"/>
    <mergeCell ref="N340:Q340"/>
    <mergeCell ref="C347:G347"/>
    <mergeCell ref="N347:Q347"/>
    <mergeCell ref="C348:G348"/>
    <mergeCell ref="N348:Q348"/>
    <mergeCell ref="C349:G349"/>
    <mergeCell ref="N349:Q349"/>
    <mergeCell ref="C344:G344"/>
    <mergeCell ref="N344:Q344"/>
    <mergeCell ref="C345:G345"/>
    <mergeCell ref="N345:Q345"/>
    <mergeCell ref="C346:G346"/>
    <mergeCell ref="N346:Q346"/>
    <mergeCell ref="C353:G353"/>
    <mergeCell ref="N353:Q353"/>
    <mergeCell ref="C354:G354"/>
    <mergeCell ref="N354:Q354"/>
    <mergeCell ref="C355:G355"/>
    <mergeCell ref="N355:Q355"/>
    <mergeCell ref="C350:G350"/>
    <mergeCell ref="N350:Q350"/>
    <mergeCell ref="C351:G351"/>
    <mergeCell ref="N351:Q351"/>
    <mergeCell ref="C352:G352"/>
    <mergeCell ref="N352:Q352"/>
    <mergeCell ref="C359:G359"/>
    <mergeCell ref="N359:Q359"/>
    <mergeCell ref="C360:G360"/>
    <mergeCell ref="N360:Q360"/>
    <mergeCell ref="C361:G361"/>
    <mergeCell ref="N361:Q361"/>
    <mergeCell ref="C356:G356"/>
    <mergeCell ref="N356:Q356"/>
    <mergeCell ref="C357:G357"/>
    <mergeCell ref="N357:Q357"/>
    <mergeCell ref="C358:G358"/>
    <mergeCell ref="N358:Q358"/>
    <mergeCell ref="C365:G365"/>
    <mergeCell ref="N365:Q365"/>
    <mergeCell ref="C366:G366"/>
    <mergeCell ref="N366:Q366"/>
    <mergeCell ref="C367:G367"/>
    <mergeCell ref="N367:Q367"/>
    <mergeCell ref="C362:G362"/>
    <mergeCell ref="N362:Q362"/>
    <mergeCell ref="C363:G363"/>
    <mergeCell ref="N363:Q363"/>
    <mergeCell ref="C364:G364"/>
    <mergeCell ref="N364:Q364"/>
    <mergeCell ref="N81:Q81"/>
    <mergeCell ref="N82:Q82"/>
    <mergeCell ref="N253:Q253"/>
    <mergeCell ref="N254:Q254"/>
    <mergeCell ref="N255:Q255"/>
    <mergeCell ref="N256:Q256"/>
    <mergeCell ref="N154:Q154"/>
    <mergeCell ref="N227:Q227"/>
    <mergeCell ref="N247:Q247"/>
    <mergeCell ref="N248:Q248"/>
    <mergeCell ref="N249:Q249"/>
    <mergeCell ref="N250:Q250"/>
    <mergeCell ref="N263:Q263"/>
    <mergeCell ref="N264:Q264"/>
    <mergeCell ref="N265:Q265"/>
    <mergeCell ref="N266:Q266"/>
    <mergeCell ref="N267:Q267"/>
    <mergeCell ref="N257:Q257"/>
    <mergeCell ref="N258:Q258"/>
    <mergeCell ref="N259:Q259"/>
    <mergeCell ref="N260:Q260"/>
    <mergeCell ref="N261:Q261"/>
    <mergeCell ref="N262:Q262"/>
    <mergeCell ref="N245:Q245"/>
    <mergeCell ref="N145:Q145"/>
    <mergeCell ref="N139:Q139"/>
    <mergeCell ref="N131:Q131"/>
    <mergeCell ref="N140:Q1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農業経営体</vt:lpstr>
      <vt:lpstr>農業経営体!Print_Area</vt:lpstr>
      <vt:lpstr>農業経営体!Print_Titles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 </cp:lastModifiedBy>
  <cp:lastPrinted>2022-11-25T02:51:05Z</cp:lastPrinted>
  <dcterms:created xsi:type="dcterms:W3CDTF">2022-11-25T02:47:59Z</dcterms:created>
  <dcterms:modified xsi:type="dcterms:W3CDTF">2024-03-11T01:51:16Z</dcterms:modified>
</cp:coreProperties>
</file>