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ikouser\Documents\農水統計\【BRA】\フェーズ2\SVN\phase_1\Excel\"/>
    </mc:Choice>
  </mc:AlternateContent>
  <xr:revisionPtr revIDLastSave="0" documentId="13_ncr:1_{C7E2FDFB-CC90-4638-9CD9-325C421DF25B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No.1" sheetId="18" r:id="rId1"/>
    <sheet name="No.2" sheetId="19" r:id="rId2"/>
    <sheet name="No.3" sheetId="21" r:id="rId3"/>
    <sheet name="No.4" sheetId="29" r:id="rId4"/>
    <sheet name="No.5" sheetId="28" r:id="rId5"/>
    <sheet name="No.6" sheetId="30" r:id="rId6"/>
  </sheets>
  <definedNames>
    <definedName name="_xlnm._FilterDatabase" localSheetId="0" hidden="1">No.1!$A$1</definedName>
    <definedName name="_xlnm._FilterDatabase" localSheetId="5" hidden="1">No.6!$A$1</definedName>
    <definedName name="_xlnm.Print_Area" localSheetId="0">No.1!$A$1:$Q$45</definedName>
    <definedName name="_xlnm.Print_Area" localSheetId="1">No.2!$A$1:$CI$41</definedName>
    <definedName name="_xlnm.Print_Area" localSheetId="2">No.3!$A$1:$U$48</definedName>
    <definedName name="_xlnm.Print_Area" localSheetId="3">No.4!$A$1:$R$46</definedName>
    <definedName name="_xlnm.Print_Area" localSheetId="4">No.5!$A$1:$AX$60</definedName>
    <definedName name="_xlnm.Print_Area" localSheetId="5">No.6!$A$1:$P$35</definedName>
  </definedNames>
  <calcPr calcId="181029"/>
</workbook>
</file>

<file path=xl/calcChain.xml><?xml version="1.0" encoding="utf-8"?>
<calcChain xmlns="http://schemas.openxmlformats.org/spreadsheetml/2006/main">
  <c r="J35" i="30" l="1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AJ28" i="28" l="1"/>
  <c r="K34" i="30"/>
  <c r="K33" i="30"/>
  <c r="K22" i="30"/>
  <c r="K21" i="30"/>
  <c r="K20" i="30"/>
  <c r="K19" i="30"/>
  <c r="K18" i="30"/>
  <c r="K17" i="30"/>
  <c r="K16" i="30"/>
  <c r="K13" i="30"/>
  <c r="K35" i="30"/>
  <c r="K32" i="30"/>
  <c r="K31" i="30"/>
  <c r="K30" i="30"/>
  <c r="K29" i="30"/>
  <c r="K28" i="30"/>
  <c r="K27" i="30"/>
  <c r="K26" i="30"/>
  <c r="K25" i="30"/>
  <c r="K24" i="30"/>
  <c r="K23" i="30"/>
  <c r="K15" i="30"/>
  <c r="K14" i="30"/>
  <c r="K12" i="30"/>
  <c r="K11" i="30"/>
  <c r="K10" i="30"/>
  <c r="K9" i="30"/>
  <c r="K8" i="30"/>
  <c r="K7" i="30"/>
  <c r="AS57" i="28"/>
  <c r="AS56" i="28"/>
  <c r="AS55" i="28"/>
  <c r="AS54" i="28"/>
  <c r="AS53" i="28"/>
  <c r="AS52" i="28"/>
  <c r="AS51" i="28"/>
  <c r="AS50" i="28"/>
  <c r="AS49" i="28"/>
  <c r="AS48" i="28"/>
  <c r="AS47" i="28"/>
  <c r="AS46" i="28"/>
  <c r="AS45" i="28"/>
  <c r="AS44" i="28"/>
  <c r="AS43" i="28"/>
  <c r="AS42" i="28"/>
  <c r="AS41" i="28"/>
  <c r="AS40" i="28"/>
  <c r="AS39" i="28"/>
  <c r="AS38" i="28"/>
  <c r="AS37" i="28"/>
  <c r="AS36" i="28"/>
  <c r="AS35" i="28"/>
  <c r="AS24" i="28"/>
  <c r="AS23" i="28"/>
  <c r="AS22" i="28"/>
  <c r="AS21" i="28"/>
  <c r="AS20" i="28"/>
  <c r="AS19" i="28"/>
  <c r="AS18" i="28"/>
  <c r="AS17" i="28"/>
  <c r="AS16" i="28"/>
  <c r="AS15" i="28"/>
  <c r="AS14" i="28"/>
  <c r="AS13" i="28"/>
  <c r="AS12" i="28"/>
  <c r="AS11" i="28"/>
  <c r="AS60" i="28"/>
  <c r="AS59" i="28"/>
  <c r="AS58" i="28"/>
  <c r="AS34" i="28"/>
  <c r="AS33" i="28"/>
  <c r="AS32" i="28"/>
  <c r="AS31" i="28"/>
  <c r="AS30" i="28"/>
  <c r="AS29" i="28"/>
  <c r="AS28" i="28"/>
  <c r="AS27" i="28"/>
  <c r="AS26" i="28"/>
  <c r="AS25" i="28"/>
  <c r="AS10" i="28"/>
  <c r="AS9" i="28"/>
  <c r="AS8" i="28"/>
  <c r="AJ57" i="28"/>
  <c r="AJ56" i="28"/>
  <c r="AJ55" i="28"/>
  <c r="AJ54" i="28"/>
  <c r="AJ53" i="28"/>
  <c r="AJ52" i="28"/>
  <c r="AJ51" i="28"/>
  <c r="AJ50" i="28"/>
  <c r="AJ49" i="28"/>
  <c r="AJ48" i="28"/>
  <c r="AJ47" i="28"/>
  <c r="AJ46" i="28"/>
  <c r="AJ45" i="28"/>
  <c r="AJ44" i="28"/>
  <c r="AJ43" i="28"/>
  <c r="AJ42" i="28"/>
  <c r="AJ41" i="28"/>
  <c r="AJ40" i="28"/>
  <c r="AJ39" i="28"/>
  <c r="AJ38" i="28"/>
  <c r="AJ37" i="28"/>
  <c r="AJ36" i="28"/>
  <c r="AJ35" i="28"/>
  <c r="AJ34" i="28"/>
  <c r="AJ33" i="28"/>
  <c r="AJ32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N45" i="29"/>
  <c r="M45" i="29"/>
  <c r="L45" i="29"/>
  <c r="N44" i="29"/>
  <c r="M44" i="29"/>
  <c r="L44" i="29"/>
  <c r="N43" i="29"/>
  <c r="M43" i="29"/>
  <c r="L43" i="29"/>
  <c r="N42" i="29"/>
  <c r="M42" i="29"/>
  <c r="L42" i="29"/>
  <c r="N41" i="29"/>
  <c r="M41" i="29"/>
  <c r="L41" i="29"/>
  <c r="N40" i="29"/>
  <c r="M40" i="29"/>
  <c r="L40" i="29"/>
  <c r="N39" i="29"/>
  <c r="M39" i="29"/>
  <c r="L39" i="29"/>
  <c r="N25" i="29"/>
  <c r="M25" i="29"/>
  <c r="L25" i="29"/>
  <c r="N20" i="29"/>
  <c r="M20" i="29"/>
  <c r="L20" i="29"/>
  <c r="N19" i="29"/>
  <c r="M19" i="29"/>
  <c r="L19" i="29"/>
  <c r="N18" i="29"/>
  <c r="M18" i="29"/>
  <c r="L18" i="29"/>
  <c r="N17" i="29"/>
  <c r="M17" i="29"/>
  <c r="L17" i="29"/>
  <c r="N16" i="29"/>
  <c r="M16" i="29"/>
  <c r="L16" i="29"/>
  <c r="N15" i="29"/>
  <c r="L15" i="29"/>
  <c r="M46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4" i="29"/>
  <c r="M23" i="29"/>
  <c r="M22" i="29"/>
  <c r="M21" i="29"/>
  <c r="M15" i="29"/>
  <c r="M14" i="29"/>
  <c r="M13" i="29"/>
  <c r="M12" i="29"/>
  <c r="M11" i="29"/>
  <c r="M10" i="29"/>
  <c r="M9" i="29"/>
  <c r="M8" i="29"/>
  <c r="N44" i="21"/>
  <c r="N43" i="21"/>
  <c r="N42" i="21"/>
  <c r="N41" i="21"/>
  <c r="N40" i="21"/>
  <c r="N48" i="21"/>
  <c r="O47" i="21"/>
  <c r="N47" i="21"/>
  <c r="M47" i="21"/>
  <c r="O46" i="21"/>
  <c r="N46" i="21"/>
  <c r="M46" i="21"/>
  <c r="O45" i="21"/>
  <c r="N45" i="21"/>
  <c r="M45" i="21"/>
  <c r="O43" i="21"/>
  <c r="M43" i="21"/>
  <c r="N35" i="21"/>
  <c r="O41" i="21"/>
  <c r="M41" i="21"/>
  <c r="O40" i="21"/>
  <c r="M40" i="21"/>
  <c r="O39" i="21"/>
  <c r="N39" i="21"/>
  <c r="M39" i="21"/>
  <c r="O38" i="21"/>
  <c r="N38" i="21"/>
  <c r="M38" i="21"/>
  <c r="O37" i="21"/>
  <c r="N37" i="21"/>
  <c r="M37" i="21"/>
  <c r="O36" i="21"/>
  <c r="N36" i="21"/>
  <c r="M36" i="21"/>
  <c r="O34" i="21"/>
  <c r="N34" i="21"/>
  <c r="M34" i="21"/>
  <c r="O33" i="21"/>
  <c r="N33" i="21"/>
  <c r="M33" i="21"/>
  <c r="O32" i="21"/>
  <c r="N32" i="21"/>
  <c r="M32" i="21"/>
  <c r="N31" i="21"/>
  <c r="N25" i="21"/>
  <c r="O24" i="21"/>
  <c r="N24" i="21"/>
  <c r="O23" i="21"/>
  <c r="N23" i="21"/>
  <c r="N22" i="21"/>
  <c r="O20" i="21"/>
  <c r="N20" i="21"/>
  <c r="O18" i="21"/>
  <c r="O17" i="21"/>
  <c r="O16" i="21"/>
  <c r="O15" i="21"/>
  <c r="O14" i="21"/>
  <c r="O13" i="21"/>
  <c r="O12" i="21"/>
  <c r="O11" i="21"/>
  <c r="O10" i="21"/>
  <c r="O9" i="21"/>
  <c r="O8" i="21"/>
  <c r="N18" i="21"/>
  <c r="N17" i="21"/>
  <c r="N16" i="21"/>
  <c r="N15" i="21"/>
  <c r="N14" i="21"/>
  <c r="N13" i="21"/>
  <c r="N12" i="21"/>
  <c r="N11" i="21"/>
  <c r="N10" i="21"/>
  <c r="N9" i="21"/>
  <c r="N8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AE41" i="19"/>
  <c r="AE40" i="19"/>
  <c r="AE39" i="19"/>
  <c r="AE38" i="19"/>
  <c r="AE37" i="19"/>
  <c r="AE36" i="19"/>
  <c r="AE35" i="19"/>
  <c r="AE34" i="19"/>
  <c r="V41" i="19"/>
  <c r="V40" i="19"/>
  <c r="V39" i="19"/>
  <c r="V38" i="19"/>
  <c r="V37" i="19"/>
  <c r="V36" i="19"/>
  <c r="V35" i="19"/>
  <c r="V34" i="19"/>
  <c r="M41" i="19"/>
  <c r="M40" i="19"/>
  <c r="M39" i="19"/>
  <c r="M38" i="19"/>
  <c r="M37" i="19"/>
  <c r="M36" i="19"/>
  <c r="M35" i="19"/>
  <c r="M34" i="19"/>
  <c r="BZ8" i="19"/>
  <c r="BZ7" i="19"/>
  <c r="BD23" i="19"/>
  <c r="BD22" i="19"/>
  <c r="BD21" i="19"/>
  <c r="BD20" i="19"/>
  <c r="BD19" i="19"/>
  <c r="BD18" i="19"/>
  <c r="BD17" i="19"/>
  <c r="BD16" i="19"/>
  <c r="BD15" i="19"/>
  <c r="BD14" i="19"/>
  <c r="BD13" i="19"/>
  <c r="BD12" i="19"/>
  <c r="BD11" i="19"/>
  <c r="BD10" i="19"/>
  <c r="BD9" i="19"/>
  <c r="BD8" i="19"/>
  <c r="BD7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M2" i="30" l="1"/>
  <c r="AQ2" i="28"/>
  <c r="N2" i="29"/>
  <c r="P2" i="21"/>
  <c r="AF2" i="19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K29" i="18"/>
  <c r="M28" i="18"/>
  <c r="K28" i="18"/>
  <c r="M27" i="18"/>
  <c r="K27" i="18"/>
  <c r="M26" i="18"/>
  <c r="K26" i="18"/>
  <c r="M25" i="18"/>
  <c r="K25" i="18"/>
  <c r="M24" i="18"/>
  <c r="K24" i="18"/>
  <c r="M23" i="18"/>
  <c r="K23" i="18"/>
  <c r="M22" i="18"/>
  <c r="K22" i="18"/>
  <c r="M21" i="18"/>
  <c r="K21" i="18"/>
  <c r="M20" i="18"/>
  <c r="K20" i="18"/>
  <c r="M19" i="18"/>
  <c r="K19" i="18"/>
  <c r="M18" i="18"/>
  <c r="K18" i="18"/>
  <c r="M17" i="18"/>
  <c r="K17" i="18"/>
  <c r="M16" i="18"/>
  <c r="K16" i="18"/>
  <c r="M15" i="18"/>
  <c r="K15" i="18"/>
  <c r="M14" i="18"/>
  <c r="K14" i="18"/>
  <c r="M13" i="18"/>
  <c r="K13" i="18"/>
  <c r="M12" i="18"/>
  <c r="K12" i="18"/>
  <c r="M11" i="18"/>
  <c r="K11" i="18"/>
  <c r="M10" i="18"/>
  <c r="K10" i="18"/>
  <c r="M9" i="18"/>
  <c r="K9" i="18"/>
  <c r="M8" i="18"/>
  <c r="K8" i="18"/>
  <c r="M7" i="18"/>
  <c r="K7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A1" i="30"/>
  <c r="A1" i="28"/>
  <c r="A1" i="29"/>
  <c r="A1" i="21"/>
  <c r="A1" i="19"/>
  <c r="H5" i="18"/>
  <c r="H5" i="30" s="1"/>
  <c r="I5" i="30" s="1"/>
  <c r="G5" i="21"/>
  <c r="J5" i="21" s="1"/>
  <c r="J28" i="21" s="1"/>
  <c r="J5" i="18"/>
  <c r="F5" i="29"/>
  <c r="I5" i="29" s="1"/>
  <c r="G5" i="19"/>
  <c r="AX5" i="19" s="1"/>
  <c r="G28" i="21"/>
  <c r="G5" i="28" l="1"/>
  <c r="G32" i="19"/>
  <c r="P32" i="19"/>
  <c r="Y32" i="19"/>
  <c r="J5" i="19"/>
  <c r="BT5" i="19"/>
  <c r="AM6" i="28" l="1"/>
  <c r="AD6" i="28"/>
  <c r="J5" i="28"/>
  <c r="BA5" i="19"/>
  <c r="BW5" i="19"/>
  <c r="AB32" i="19"/>
  <c r="S32" i="19"/>
  <c r="J32" i="19"/>
  <c r="AG6" i="28" l="1"/>
  <c r="AP6" i="28"/>
</calcChain>
</file>

<file path=xl/sharedStrings.xml><?xml version="1.0" encoding="utf-8"?>
<sst xmlns="http://schemas.openxmlformats.org/spreadsheetml/2006/main" count="521" uniqueCount="295">
  <si>
    <t>年産　米生産費統計（個別経営体）　個別結果検討表　№１</t>
  </si>
  <si>
    <t>センサス番号</t>
    <rPh sb="4" eb="6">
      <t>バンゴウ</t>
    </rPh>
    <phoneticPr fontId="4"/>
  </si>
  <si>
    <t>【生産費】</t>
    <rPh sb="1" eb="4">
      <t>セイサンヒ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</si>
  <si>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</si>
  <si>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</si>
  <si>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構成割合</t>
    <rPh sb="0" eb="2">
      <t>コウセイ</t>
    </rPh>
    <rPh sb="2" eb="4">
      <t>ワリアイ</t>
    </rPh>
    <phoneticPr fontId="1"/>
  </si>
  <si>
    <t>増減率</t>
    <rPh sb="0" eb="2">
      <t>ゾウゲン</t>
    </rPh>
    <rPh sb="2" eb="3">
      <t>リツ</t>
    </rPh>
    <phoneticPr fontId="1"/>
  </si>
  <si>
    <t>増減差</t>
    <rPh sb="0" eb="2">
      <t>ゾウゲン</t>
    </rPh>
    <rPh sb="2" eb="3">
      <t>サ</t>
    </rPh>
    <phoneticPr fontId="4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</si>
  <si>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</si>
  <si>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（％）</t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</si>
  <si>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</si>
  <si>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</si>
  <si>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</si>
  <si>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</si>
  <si>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</si>
  <si>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</si>
  <si>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</si>
  <si>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</si>
  <si>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</si>
  <si>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</si>
  <si>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</si>
  <si>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</si>
  <si>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</si>
  <si>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</si>
  <si>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</si>
  <si>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</si>
  <si>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</si>
  <si>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</si>
  <si>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家族</t>
    <rPh sb="0" eb="2">
      <t>カゾク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</si>
  <si>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</si>
  <si>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</si>
  <si>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</si>
  <si>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</si>
  <si>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</si>
  <si>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</si>
  <si>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</si>
  <si>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</si>
  <si>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</si>
  <si>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</si>
  <si>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</si>
  <si>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60kg当たり生産費</t>
    <rPh sb="4" eb="5">
      <t>ア</t>
    </rPh>
    <rPh sb="7" eb="10">
      <t>セイサンヒ</t>
    </rPh>
    <phoneticPr fontId="1"/>
  </si>
  <si>
    <t>60kg当たり支払利子・地代算入生産費</t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</si>
  <si>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60kg当たり全算入生産費</t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</si>
  <si>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</si>
  <si>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</si>
  <si>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kg</t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</si>
  <si>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</si>
  <si>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</si>
  <si>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</si>
  <si>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１経営体当たり作付面積</t>
    <rPh sb="4" eb="5">
      <t>ア</t>
    </rPh>
    <rPh sb="7" eb="9">
      <t>サクツケ</t>
    </rPh>
    <rPh sb="9" eb="11">
      <t>メンセキ</t>
    </rPh>
    <phoneticPr fontId="1"/>
  </si>
  <si>
    <t>ａ</t>
    <phoneticPr fontId="1"/>
  </si>
  <si>
    <t>センサス番号</t>
    <phoneticPr fontId="1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</si>
  <si>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</si>
  <si>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</si>
  <si>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【稲作作業の委託状況（１経営体当たり）】</t>
    <rPh sb="15" eb="16">
      <t>ア</t>
    </rPh>
    <phoneticPr fontId="4"/>
  </si>
  <si>
    <t>増減率</t>
    <rPh sb="0" eb="3">
      <t>ゾウゲンリツ</t>
    </rPh>
    <phoneticPr fontId="4"/>
  </si>
  <si>
    <t>備考欄</t>
    <rPh sb="0" eb="3">
      <t>ビコウラン</t>
    </rPh>
    <phoneticPr fontId="1"/>
  </si>
  <si>
    <t>増減率</t>
    <rPh sb="0" eb="2">
      <t>ゾウゲン</t>
    </rPh>
    <rPh sb="2" eb="3">
      <t>リツ</t>
    </rPh>
    <phoneticPr fontId="4"/>
  </si>
  <si>
    <t>（％）</t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</si>
  <si>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</si>
  <si>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</si>
  <si>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</si>
  <si>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育苗</t>
    <rPh sb="0" eb="2">
      <t>イクビョウ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</si>
  <si>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</si>
  <si>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</si>
  <si>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防除</t>
    <rPh sb="0" eb="2">
      <t>ボウジョ</t>
    </rPh>
    <phoneticPr fontId="4"/>
  </si>
  <si>
    <t>ａ</t>
  </si>
  <si>
    <t>種子予措</t>
    <rPh sb="0" eb="2">
      <t>シュシ</t>
    </rPh>
    <rPh sb="2" eb="3">
      <t>ヨ</t>
    </rPh>
    <rPh sb="3" eb="4">
      <t>ソチ</t>
    </rPh>
    <phoneticPr fontId="4"/>
  </si>
  <si>
    <t>副産物</t>
    <rPh sb="0" eb="3">
      <t>フクサンブツ</t>
    </rPh>
    <phoneticPr fontId="4"/>
  </si>
  <si>
    <t>くず米</t>
    <rPh sb="2" eb="3">
      <t>マイ</t>
    </rPh>
    <phoneticPr fontId="4"/>
  </si>
  <si>
    <t>耕起整地</t>
    <rPh sb="0" eb="2">
      <t>コウキ</t>
    </rPh>
    <rPh sb="2" eb="4">
      <t>セイチ</t>
    </rPh>
    <phoneticPr fontId="4"/>
  </si>
  <si>
    <t>稲わら
(もみがら含む)</t>
    <rPh sb="0" eb="1">
      <t>イナ</t>
    </rPh>
    <phoneticPr fontId="4"/>
  </si>
  <si>
    <t>基肥</t>
    <rPh sb="0" eb="2">
      <t>キヒ</t>
    </rPh>
    <phoneticPr fontId="4"/>
  </si>
  <si>
    <t>直まき</t>
    <rPh sb="0" eb="1">
      <t>ジカ</t>
    </rPh>
    <phoneticPr fontId="4"/>
  </si>
  <si>
    <t>粗収益</t>
    <rPh sb="0" eb="3">
      <t>ソシュウエキ</t>
    </rPh>
    <phoneticPr fontId="4"/>
  </si>
  <si>
    <t>田植</t>
    <rPh sb="0" eb="2">
      <t>タウ</t>
    </rPh>
    <phoneticPr fontId="4"/>
  </si>
  <si>
    <t>所得</t>
    <rPh sb="0" eb="2">
      <t>ショトク</t>
    </rPh>
    <phoneticPr fontId="4"/>
  </si>
  <si>
    <t>追肥</t>
    <rPh sb="0" eb="2">
      <t>ツイヒ</t>
    </rPh>
    <phoneticPr fontId="4"/>
  </si>
  <si>
    <t>１日当たり</t>
    <rPh sb="1" eb="2">
      <t>ニチ</t>
    </rPh>
    <rPh sb="2" eb="3">
      <t>ア</t>
    </rPh>
    <phoneticPr fontId="4"/>
  </si>
  <si>
    <t>除草</t>
    <rPh sb="0" eb="2">
      <t>チュウコウジョソウ</t>
    </rPh>
    <phoneticPr fontId="4"/>
  </si>
  <si>
    <t>家族労働報酬</t>
    <rPh sb="0" eb="2">
      <t>カゾク</t>
    </rPh>
    <rPh sb="2" eb="4">
      <t>ロウドウ</t>
    </rPh>
    <rPh sb="4" eb="6">
      <t>ホウシュウ</t>
    </rPh>
    <phoneticPr fontId="4"/>
  </si>
  <si>
    <t>管理</t>
    <rPh sb="0" eb="2">
      <t>カンリ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</si>
  <si>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</si>
  <si>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</si>
  <si>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粗収益</t>
    <rPh sb="0" eb="1">
      <t>ソ</t>
    </rPh>
    <rPh sb="1" eb="3">
      <t>シュウエキ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</si>
  <si>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</si>
  <si>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</si>
  <si>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</si>
  <si>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家族労働時間</t>
    <rPh sb="0" eb="2">
      <t>カゾク</t>
    </rPh>
    <rPh sb="2" eb="4">
      <t>ロウドウ</t>
    </rPh>
    <rPh sb="4" eb="6">
      <t>ジカン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</si>
  <si>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</si>
  <si>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</si>
  <si>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</si>
  <si>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</si>
  <si>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自作地</t>
    <rPh sb="0" eb="3">
      <t>ジサクチ</t>
    </rPh>
    <phoneticPr fontId="4"/>
  </si>
  <si>
    <t>借入地</t>
    <rPh sb="0" eb="2">
      <t>カリイレ</t>
    </rPh>
    <rPh sb="2" eb="3">
      <t>チ</t>
    </rPh>
    <phoneticPr fontId="4"/>
  </si>
  <si>
    <t>計</t>
    <rPh sb="0" eb="1">
      <t>ケイ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</si>
  <si>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</si>
  <si>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</si>
  <si>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（ａ）</t>
    <phoneticPr fontId="1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</si>
  <si>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</si>
  <si>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</si>
  <si>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（円）</t>
    <rPh sb="1" eb="2">
      <t>エン</t>
    </rPh>
    <phoneticPr fontId="1"/>
  </si>
  <si>
    <t>10ａ当たり負担地代</t>
    <rPh sb="3" eb="4">
      <t>ア</t>
    </rPh>
    <rPh sb="6" eb="8">
      <t>フタン</t>
    </rPh>
    <rPh sb="8" eb="10">
      <t>チダイ</t>
    </rPh>
    <phoneticPr fontId="10"/>
  </si>
  <si>
    <t>（円）</t>
    <phoneticPr fontId="1"/>
  </si>
  <si>
    <t>作付地
以外</t>
    <rPh sb="0" eb="3">
      <t>サクツケチ</t>
    </rPh>
    <rPh sb="4" eb="6">
      <t>イガイ</t>
    </rPh>
    <phoneticPr fontId="1"/>
  </si>
  <si>
    <t>使用面積</t>
    <rPh sb="0" eb="2">
      <t>シヨウ</t>
    </rPh>
    <rPh sb="2" eb="4">
      <t>メンセキ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</si>
  <si>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</si>
  <si>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</si>
  <si>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</si>
  <si>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増　　　減　　　率</t>
    <rPh sb="0" eb="9">
      <t>ゾウゲンリツ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</si>
  <si>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</si>
  <si>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</si>
  <si>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（kg）</t>
    <phoneticPr fontId="4"/>
  </si>
  <si>
    <t>（円）</t>
    <rPh sb="1" eb="2">
      <t>エン</t>
    </rPh>
    <phoneticPr fontId="4"/>
  </si>
  <si>
    <t>玄米（予定を含む）</t>
    <rPh sb="0" eb="2">
      <t>ゲンマイ</t>
    </rPh>
    <rPh sb="3" eb="5">
      <t>ヨテイ</t>
    </rPh>
    <rPh sb="6" eb="7">
      <t>フク</t>
    </rPh>
    <phoneticPr fontId="9"/>
  </si>
  <si>
    <t>販売用</t>
    <rPh sb="0" eb="3">
      <t>ハンバイヨウ</t>
    </rPh>
    <phoneticPr fontId="9"/>
  </si>
  <si>
    <t>主食用</t>
    <rPh sb="0" eb="3">
      <t>シュショクヨウ</t>
    </rPh>
    <phoneticPr fontId="9"/>
  </si>
  <si>
    <t>加工用</t>
    <rPh sb="0" eb="3">
      <t>カコウヨウ</t>
    </rPh>
    <phoneticPr fontId="9"/>
  </si>
  <si>
    <t>区分出荷</t>
    <rPh sb="0" eb="2">
      <t>クブン</t>
    </rPh>
    <rPh sb="2" eb="4">
      <t>シュッカ</t>
    </rPh>
    <phoneticPr fontId="9"/>
  </si>
  <si>
    <t>小計</t>
    <rPh sb="0" eb="2">
      <t>ショウケイ</t>
    </rPh>
    <phoneticPr fontId="9"/>
  </si>
  <si>
    <t>自家用</t>
    <rPh sb="0" eb="3">
      <t>ジカヨウ</t>
    </rPh>
    <phoneticPr fontId="9"/>
  </si>
  <si>
    <t>種子用</t>
    <rPh sb="0" eb="2">
      <t>シュシ</t>
    </rPh>
    <rPh sb="2" eb="3">
      <t>ヨウ</t>
    </rPh>
    <phoneticPr fontId="9"/>
  </si>
  <si>
    <t>飯米用</t>
    <rPh sb="0" eb="2">
      <t>ハンマイ</t>
    </rPh>
    <rPh sb="2" eb="3">
      <t>ヨウ</t>
    </rPh>
    <phoneticPr fontId="9"/>
  </si>
  <si>
    <t>その他</t>
    <rPh sb="2" eb="3">
      <t>タ</t>
    </rPh>
    <phoneticPr fontId="9"/>
  </si>
  <si>
    <t>合計</t>
    <rPh sb="0" eb="2">
      <t>ゴウケイ</t>
    </rPh>
    <phoneticPr fontId="9"/>
  </si>
  <si>
    <t>いなわら等</t>
    <rPh sb="4" eb="5">
      <t>トウ</t>
    </rPh>
    <phoneticPr fontId="9"/>
  </si>
  <si>
    <t>販売</t>
    <rPh sb="0" eb="2">
      <t>ハンバイヨウ</t>
    </rPh>
    <phoneticPr fontId="9"/>
  </si>
  <si>
    <t>加工用</t>
    <rPh sb="0" eb="2">
      <t>カコウ</t>
    </rPh>
    <rPh sb="2" eb="3">
      <t>ヨウ</t>
    </rPh>
    <phoneticPr fontId="9"/>
  </si>
  <si>
    <t>生わら</t>
    <rPh sb="0" eb="1">
      <t>ナマ</t>
    </rPh>
    <phoneticPr fontId="9"/>
  </si>
  <si>
    <t>乾燥わら</t>
    <rPh sb="0" eb="2">
      <t>カンソウ</t>
    </rPh>
    <phoneticPr fontId="9"/>
  </si>
  <si>
    <t>その他</t>
    <phoneticPr fontId="1"/>
  </si>
  <si>
    <t>いなわら小計</t>
    <rPh sb="4" eb="6">
      <t>ショウケイ</t>
    </rPh>
    <phoneticPr fontId="9"/>
  </si>
  <si>
    <t>くず米</t>
    <rPh sb="2" eb="3">
      <t>マイ</t>
    </rPh>
    <phoneticPr fontId="9"/>
  </si>
  <si>
    <t>もみがら</t>
  </si>
  <si>
    <t>【費用の内訳（10ａ当たり）】</t>
    <rPh sb="1" eb="3">
      <t>ヒヨウ</t>
    </rPh>
    <rPh sb="4" eb="6">
      <t>ウチワケ</t>
    </rPh>
    <rPh sb="10" eb="11">
      <t>ア</t>
    </rPh>
    <phoneticPr fontId="4"/>
  </si>
  <si>
    <t>増　　減　　率</t>
    <rPh sb="0" eb="7">
      <t>ゾウゲンリツ</t>
    </rPh>
    <phoneticPr fontId="4"/>
  </si>
  <si>
    <t>種苗費</t>
    <rPh sb="0" eb="3">
      <t>シュビョウヒ</t>
    </rPh>
    <phoneticPr fontId="4"/>
  </si>
  <si>
    <t>種子もみ</t>
    <rPh sb="0" eb="2">
      <t>シュシ</t>
    </rPh>
    <phoneticPr fontId="4"/>
  </si>
  <si>
    <t>購入</t>
    <rPh sb="0" eb="2">
      <t>コウニュウ</t>
    </rPh>
    <phoneticPr fontId="4"/>
  </si>
  <si>
    <t>（kg）</t>
    <phoneticPr fontId="1"/>
  </si>
  <si>
    <t>自給</t>
    <rPh sb="0" eb="2">
      <t>ジキュウ</t>
    </rPh>
    <phoneticPr fontId="4"/>
  </si>
  <si>
    <t>苗</t>
    <rPh sb="0" eb="1">
      <t>ナエ</t>
    </rPh>
    <phoneticPr fontId="4"/>
  </si>
  <si>
    <t>（ａ）</t>
    <phoneticPr fontId="4"/>
  </si>
  <si>
    <t>肥料費</t>
    <rPh sb="0" eb="3">
      <t>ヒリョウヒ</t>
    </rPh>
    <phoneticPr fontId="4"/>
  </si>
  <si>
    <t>窒素質肥料</t>
    <rPh sb="0" eb="2">
      <t>チッソ</t>
    </rPh>
    <rPh sb="2" eb="3">
      <t>シツ</t>
    </rPh>
    <rPh sb="3" eb="5">
      <t>ヒリョウ</t>
    </rPh>
    <phoneticPr fontId="4"/>
  </si>
  <si>
    <t>りん酸質肥料</t>
    <rPh sb="2" eb="3">
      <t>サン</t>
    </rPh>
    <rPh sb="3" eb="4">
      <t>シツ</t>
    </rPh>
    <rPh sb="4" eb="6">
      <t>ヒリョウ</t>
    </rPh>
    <phoneticPr fontId="4"/>
  </si>
  <si>
    <t>カリ質肥料</t>
    <rPh sb="2" eb="3">
      <t>シツ</t>
    </rPh>
    <rPh sb="3" eb="5">
      <t>ヒリョウ</t>
    </rPh>
    <phoneticPr fontId="4"/>
  </si>
  <si>
    <t>けい酸質肥料</t>
    <rPh sb="2" eb="3">
      <t>サン</t>
    </rPh>
    <rPh sb="3" eb="4">
      <t>シツ</t>
    </rPh>
    <rPh sb="4" eb="6">
      <t>ヒリョウ</t>
    </rPh>
    <phoneticPr fontId="4"/>
  </si>
  <si>
    <t>炭酸カルシウム（石灰含む）</t>
    <rPh sb="0" eb="2">
      <t>タンサン</t>
    </rPh>
    <rPh sb="8" eb="10">
      <t>セッカイ</t>
    </rPh>
    <rPh sb="10" eb="11">
      <t>フク</t>
    </rPh>
    <phoneticPr fontId="4"/>
  </si>
  <si>
    <t>複合肥料</t>
    <rPh sb="0" eb="2">
      <t>フクゴウ</t>
    </rPh>
    <rPh sb="2" eb="4">
      <t>ヒリョウ</t>
    </rPh>
    <phoneticPr fontId="4"/>
  </si>
  <si>
    <t>土壌改良資材</t>
    <rPh sb="0" eb="2">
      <t>ドジョウ</t>
    </rPh>
    <rPh sb="2" eb="4">
      <t>カイリョウ</t>
    </rPh>
    <rPh sb="4" eb="6">
      <t>シザイ</t>
    </rPh>
    <phoneticPr fontId="4"/>
  </si>
  <si>
    <t>たい肥・きゅう肥</t>
    <rPh sb="2" eb="3">
      <t>ヒ</t>
    </rPh>
    <rPh sb="7" eb="8">
      <t>ヒ</t>
    </rPh>
    <phoneticPr fontId="4"/>
  </si>
  <si>
    <t>その他</t>
    <rPh sb="2" eb="3">
      <t>タ</t>
    </rPh>
    <phoneticPr fontId="4"/>
  </si>
  <si>
    <t>たい肥</t>
    <rPh sb="2" eb="3">
      <t>ヒ</t>
    </rPh>
    <phoneticPr fontId="4"/>
  </si>
  <si>
    <t>きゅう肥</t>
    <rPh sb="3" eb="4">
      <t>ヒ</t>
    </rPh>
    <phoneticPr fontId="4"/>
  </si>
  <si>
    <t>稲・麦わら</t>
    <rPh sb="0" eb="1">
      <t>イネ</t>
    </rPh>
    <rPh sb="2" eb="3">
      <t>ムギ</t>
    </rPh>
    <phoneticPr fontId="4"/>
  </si>
  <si>
    <t>【費用の内訳（10ａ当たり）（続き）】</t>
    <rPh sb="1" eb="3">
      <t>ヒヨウ</t>
    </rPh>
    <rPh sb="4" eb="6">
      <t>ウチワケ</t>
    </rPh>
    <rPh sb="10" eb="11">
      <t>ア</t>
    </rPh>
    <rPh sb="15" eb="16">
      <t>ツヅ</t>
    </rPh>
    <phoneticPr fontId="4"/>
  </si>
  <si>
    <t>農業薬剤費</t>
    <rPh sb="0" eb="2">
      <t>ノウギョウ</t>
    </rPh>
    <rPh sb="2" eb="5">
      <t>ヤクザイヒ</t>
    </rPh>
    <phoneticPr fontId="4"/>
  </si>
  <si>
    <t>殺虫剤</t>
    <rPh sb="0" eb="3">
      <t>サッチュウザイ</t>
    </rPh>
    <phoneticPr fontId="4"/>
  </si>
  <si>
    <t>殺菌剤</t>
    <rPh sb="0" eb="3">
      <t>サッキンザイ</t>
    </rPh>
    <phoneticPr fontId="4"/>
  </si>
  <si>
    <t>殺虫殺菌剤</t>
    <rPh sb="0" eb="2">
      <t>サッチュウ</t>
    </rPh>
    <rPh sb="2" eb="5">
      <t>サッキンザイ</t>
    </rPh>
    <phoneticPr fontId="4"/>
  </si>
  <si>
    <t>除草剤</t>
    <rPh sb="0" eb="3">
      <t>ジョソウザイ</t>
    </rPh>
    <phoneticPr fontId="4"/>
  </si>
  <si>
    <t>光熱動力費</t>
    <rPh sb="0" eb="2">
      <t>コウネツ</t>
    </rPh>
    <rPh sb="2" eb="5">
      <t>ドウリョクヒ</t>
    </rPh>
    <phoneticPr fontId="4"/>
  </si>
  <si>
    <t>動力燃料</t>
    <rPh sb="0" eb="2">
      <t>ドウリョク</t>
    </rPh>
    <rPh sb="2" eb="4">
      <t>ネンリョウ</t>
    </rPh>
    <phoneticPr fontId="4"/>
  </si>
  <si>
    <t>重油</t>
    <rPh sb="0" eb="2">
      <t>ジュウユ</t>
    </rPh>
    <phoneticPr fontId="4"/>
  </si>
  <si>
    <t>（L）</t>
    <phoneticPr fontId="4"/>
  </si>
  <si>
    <t>軽油</t>
    <rPh sb="0" eb="2">
      <t>ケイユ</t>
    </rPh>
    <phoneticPr fontId="4"/>
  </si>
  <si>
    <t>灯油</t>
    <rPh sb="0" eb="2">
      <t>トウユ</t>
    </rPh>
    <phoneticPr fontId="4"/>
  </si>
  <si>
    <t>ガソリン</t>
    <phoneticPr fontId="4"/>
  </si>
  <si>
    <t>潤滑油</t>
    <rPh sb="0" eb="3">
      <t>ジュンカツユ</t>
    </rPh>
    <phoneticPr fontId="4"/>
  </si>
  <si>
    <t>混合油</t>
    <rPh sb="0" eb="3">
      <t>コンゴウユ</t>
    </rPh>
    <phoneticPr fontId="4"/>
  </si>
  <si>
    <t>電力料</t>
    <rPh sb="0" eb="3">
      <t>デンリョクリョウ</t>
    </rPh>
    <phoneticPr fontId="4"/>
  </si>
  <si>
    <t>その他の諸材料費</t>
    <rPh sb="2" eb="3">
      <t>タ</t>
    </rPh>
    <rPh sb="4" eb="7">
      <t>ショザイリョウ</t>
    </rPh>
    <phoneticPr fontId="4"/>
  </si>
  <si>
    <t>育苗用土（購入）（素土を含む）</t>
    <rPh sb="0" eb="2">
      <t>イクビョウ</t>
    </rPh>
    <rPh sb="2" eb="3">
      <t>ヨウ</t>
    </rPh>
    <rPh sb="3" eb="4">
      <t>ヨウド</t>
    </rPh>
    <rPh sb="5" eb="7">
      <t>コウニュウ</t>
    </rPh>
    <rPh sb="9" eb="10">
      <t>モト</t>
    </rPh>
    <rPh sb="10" eb="11">
      <t>ツチ</t>
    </rPh>
    <rPh sb="12" eb="13">
      <t>フク</t>
    </rPh>
    <phoneticPr fontId="4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</si>
  <si>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4"/>
  </si>
  <si>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4"/>
  </si>
  <si>
    <t>維持負担金</t>
    <rPh sb="0" eb="2">
      <t>イジ</t>
    </rPh>
    <rPh sb="2" eb="5">
      <t>フタンキン</t>
    </rPh>
    <phoneticPr fontId="4"/>
  </si>
  <si>
    <t>償還金</t>
    <rPh sb="0" eb="3">
      <t>ショウカンキン</t>
    </rPh>
    <phoneticPr fontId="4"/>
  </si>
  <si>
    <t>水利組合費</t>
    <rPh sb="0" eb="2">
      <t>スイリ</t>
    </rPh>
    <rPh sb="2" eb="5">
      <t>クミアイヒ</t>
    </rPh>
    <phoneticPr fontId="4"/>
  </si>
  <si>
    <t>揚水ポンプ組合費</t>
    <rPh sb="0" eb="2">
      <t>ヨウスイ</t>
    </rPh>
    <rPh sb="5" eb="8">
      <t>クミアイヒ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</si>
  <si>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</si>
  <si>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共　同
負担金</t>
    <rPh sb="0" eb="3">
      <t>キョウドウ</t>
    </rPh>
    <phoneticPr fontId="4"/>
  </si>
  <si>
    <t>薬剤散布</t>
    <rPh sb="0" eb="2">
      <t>ヤクザイ</t>
    </rPh>
    <rPh sb="2" eb="4">
      <t>サンプ</t>
    </rPh>
    <phoneticPr fontId="4"/>
  </si>
  <si>
    <t>共同施設</t>
    <rPh sb="0" eb="2">
      <t>キョウドウ</t>
    </rPh>
    <rPh sb="2" eb="4">
      <t>シセツ</t>
    </rPh>
    <phoneticPr fontId="4"/>
  </si>
  <si>
    <t>共同苗代</t>
    <rPh sb="0" eb="2">
      <t>キョウドウ</t>
    </rPh>
    <rPh sb="2" eb="4">
      <t>ナワシロ</t>
    </rPh>
    <phoneticPr fontId="4"/>
  </si>
  <si>
    <t>農機具借料</t>
    <rPh sb="0" eb="3">
      <t>ノウキグ</t>
    </rPh>
    <rPh sb="3" eb="5">
      <t>シャクリョウ</t>
    </rPh>
    <phoneticPr fontId="4"/>
  </si>
  <si>
    <t>航空防除賃</t>
    <rPh sb="0" eb="2">
      <t>コウクウ</t>
    </rPh>
    <rPh sb="2" eb="4">
      <t>ボウジョ</t>
    </rPh>
    <rPh sb="4" eb="5">
      <t>チン</t>
    </rPh>
    <phoneticPr fontId="4"/>
  </si>
  <si>
    <t>賃耕料</t>
    <rPh sb="0" eb="1">
      <t>チン</t>
    </rPh>
    <rPh sb="1" eb="2">
      <t>コウ</t>
    </rPh>
    <rPh sb="2" eb="3">
      <t>リョウ</t>
    </rPh>
    <phoneticPr fontId="4"/>
  </si>
  <si>
    <t>は種・田植賃</t>
    <rPh sb="1" eb="2">
      <t>シュ</t>
    </rPh>
    <rPh sb="3" eb="5">
      <t>タウ</t>
    </rPh>
    <rPh sb="5" eb="6">
      <t>チン</t>
    </rPh>
    <phoneticPr fontId="4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</si>
  <si>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4"/>
  </si>
  <si>
    <t>ライスセンター費</t>
    <rPh sb="7" eb="8">
      <t>ヒ</t>
    </rPh>
    <phoneticPr fontId="4"/>
  </si>
  <si>
    <t>カントリーエレベーター費</t>
    <rPh sb="11" eb="12">
      <t>ヒ</t>
    </rPh>
    <phoneticPr fontId="4"/>
  </si>
  <si>
    <t>上記以外の乾燥・調製委託料</t>
    <rPh sb="0" eb="2">
      <t>ジョウキ</t>
    </rPh>
    <rPh sb="2" eb="4">
      <t>イガイ</t>
    </rPh>
    <rPh sb="5" eb="7">
      <t>カンソウ</t>
    </rPh>
    <rPh sb="8" eb="10">
      <t>チョウセイ</t>
    </rPh>
    <rPh sb="10" eb="13">
      <t>イタクリョウ</t>
    </rPh>
    <phoneticPr fontId="4"/>
  </si>
  <si>
    <t>【費用の内訳（10ａ当たり）（続き）】</t>
    <rPh sb="1" eb="3">
      <t>ヒヨウ</t>
    </rPh>
    <rPh sb="4" eb="6">
      <t>ウチワケ</t>
    </rPh>
    <rPh sb="10" eb="11">
      <t>ア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</si>
  <si>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</si>
  <si>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（円）</t>
    <phoneticPr fontId="4"/>
  </si>
  <si>
    <t>物件税</t>
    <rPh sb="0" eb="2">
      <t>ブッケン</t>
    </rPh>
    <rPh sb="2" eb="3">
      <t>ゼイ</t>
    </rPh>
    <phoneticPr fontId="4"/>
  </si>
  <si>
    <t>（台）</t>
    <rPh sb="1" eb="2">
      <t>ダイ</t>
    </rPh>
    <phoneticPr fontId="4"/>
  </si>
  <si>
    <t>固定資産税</t>
    <rPh sb="0" eb="2">
      <t>コテイ</t>
    </rPh>
    <rPh sb="2" eb="5">
      <t>シサンゼイ</t>
    </rPh>
    <phoneticPr fontId="4"/>
  </si>
  <si>
    <t>減価償却費</t>
    <rPh sb="0" eb="2">
      <t>ゲンカ</t>
    </rPh>
    <rPh sb="2" eb="5">
      <t>ショウキャクヒ</t>
    </rPh>
    <phoneticPr fontId="4"/>
  </si>
  <si>
    <t>建物</t>
    <rPh sb="0" eb="2">
      <t>タテモノ</t>
    </rPh>
    <phoneticPr fontId="4"/>
  </si>
  <si>
    <t>建物・構築物</t>
    <rPh sb="0" eb="2">
      <t>タテモノ</t>
    </rPh>
    <rPh sb="3" eb="6">
      <t>コウチクブツ</t>
    </rPh>
    <phoneticPr fontId="4"/>
  </si>
  <si>
    <t>農機具</t>
    <rPh sb="0" eb="3">
      <t>ノウキグ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</si>
  <si>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</si>
  <si>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自動車重量税</t>
    <rPh sb="0" eb="3">
      <t>ジドウシャ</t>
    </rPh>
    <rPh sb="3" eb="6">
      <t>ジュウリョウゼイ</t>
    </rPh>
    <phoneticPr fontId="4"/>
  </si>
  <si>
    <t>住宅</t>
    <rPh sb="0" eb="2">
      <t>ジュウタク</t>
    </rPh>
    <phoneticPr fontId="4"/>
  </si>
  <si>
    <t>自動車税</t>
    <rPh sb="0" eb="3">
      <t>ジドウシャ</t>
    </rPh>
    <rPh sb="3" eb="4">
      <t>ジュウリョウゼイ</t>
    </rPh>
    <phoneticPr fontId="4"/>
  </si>
  <si>
    <t>事務所</t>
    <rPh sb="0" eb="3">
      <t>ジムショ</t>
    </rPh>
    <phoneticPr fontId="1"/>
  </si>
  <si>
    <t>不動産取得税</t>
    <rPh sb="0" eb="3">
      <t>フドウサン</t>
    </rPh>
    <rPh sb="3" eb="6">
      <t>シュトクゼイ</t>
    </rPh>
    <phoneticPr fontId="4"/>
  </si>
  <si>
    <t>納屋・倉庫</t>
    <rPh sb="0" eb="2">
      <t>ナヤ</t>
    </rPh>
    <rPh sb="3" eb="5">
      <t>ソウコ</t>
    </rPh>
    <phoneticPr fontId="4"/>
  </si>
  <si>
    <t>軽自動車税</t>
    <phoneticPr fontId="4"/>
  </si>
  <si>
    <t>作業場</t>
    <rPh sb="0" eb="3">
      <t>サギョウバ</t>
    </rPh>
    <phoneticPr fontId="1"/>
  </si>
  <si>
    <t>水利地益税</t>
    <rPh sb="0" eb="2">
      <t>スイリ</t>
    </rPh>
    <rPh sb="2" eb="3">
      <t>チ</t>
    </rPh>
    <rPh sb="3" eb="5">
      <t>エキゼイ</t>
    </rPh>
    <phoneticPr fontId="4"/>
  </si>
  <si>
    <t>車庫</t>
    <rPh sb="0" eb="2">
      <t>シャコ</t>
    </rPh>
    <phoneticPr fontId="1"/>
  </si>
  <si>
    <t>都市計画税</t>
    <rPh sb="0" eb="2">
      <t>トシ</t>
    </rPh>
    <rPh sb="2" eb="4">
      <t>ケイカク</t>
    </rPh>
    <rPh sb="4" eb="5">
      <t>ゼイ</t>
    </rPh>
    <phoneticPr fontId="4"/>
  </si>
  <si>
    <t>ライスセンター</t>
    <phoneticPr fontId="1"/>
  </si>
  <si>
    <t>共同施設税</t>
    <rPh sb="0" eb="2">
      <t>キョウドウ</t>
    </rPh>
    <rPh sb="2" eb="4">
      <t>シセツ</t>
    </rPh>
    <rPh sb="4" eb="5">
      <t>ゼイ</t>
    </rPh>
    <phoneticPr fontId="4"/>
  </si>
  <si>
    <t>育苗ハウス</t>
    <rPh sb="0" eb="2">
      <t>イクビョウ</t>
    </rPh>
    <phoneticPr fontId="1"/>
  </si>
  <si>
    <t>公課諸負担</t>
    <rPh sb="0" eb="2">
      <t>コウカ</t>
    </rPh>
    <rPh sb="2" eb="3">
      <t>ショ</t>
    </rPh>
    <rPh sb="3" eb="5">
      <t>フタン</t>
    </rPh>
    <phoneticPr fontId="4"/>
  </si>
  <si>
    <t>稲架</t>
    <rPh sb="0" eb="1">
      <t>イナ</t>
    </rPh>
    <rPh sb="1" eb="2">
      <t>カ</t>
    </rPh>
    <phoneticPr fontId="1"/>
  </si>
  <si>
    <t>集落協議会費</t>
    <rPh sb="0" eb="2">
      <t>シュウラク</t>
    </rPh>
    <rPh sb="2" eb="5">
      <t>キョウギカイ</t>
    </rPh>
    <rPh sb="5" eb="6">
      <t>ヒ</t>
    </rPh>
    <phoneticPr fontId="4"/>
  </si>
  <si>
    <t>コンクリートけい畔</t>
    <rPh sb="8" eb="9">
      <t>ハン</t>
    </rPh>
    <phoneticPr fontId="4"/>
  </si>
  <si>
    <t>農業協同組合費</t>
    <rPh sb="0" eb="2">
      <t>ノウギョウ</t>
    </rPh>
    <rPh sb="2" eb="4">
      <t>キョウドウ</t>
    </rPh>
    <rPh sb="4" eb="7">
      <t>クミアイヒ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</si>
  <si>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</si>
  <si>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農事実行組合費</t>
    <rPh sb="0" eb="2">
      <t>ノウジ</t>
    </rPh>
    <rPh sb="2" eb="4">
      <t>ジッコウ</t>
    </rPh>
    <rPh sb="4" eb="7">
      <t>クミアイヒ</t>
    </rPh>
    <phoneticPr fontId="4"/>
  </si>
  <si>
    <t>客土</t>
    <rPh sb="0" eb="2">
      <t>キャクド</t>
    </rPh>
    <phoneticPr fontId="4"/>
  </si>
  <si>
    <t>農業共済組合賦課金</t>
    <phoneticPr fontId="4"/>
  </si>
  <si>
    <t>作業道</t>
    <rPh sb="0" eb="3">
      <t>サギョウミチ</t>
    </rPh>
    <phoneticPr fontId="1"/>
  </si>
  <si>
    <t>自賠責保険</t>
    <rPh sb="0" eb="3">
      <t>ジバイセキ</t>
    </rPh>
    <rPh sb="3" eb="5">
      <t>ホケン</t>
    </rPh>
    <phoneticPr fontId="4"/>
  </si>
  <si>
    <t>用水路</t>
    <rPh sb="0" eb="3">
      <t>ヨウスイロ</t>
    </rPh>
    <phoneticPr fontId="4"/>
  </si>
  <si>
    <t>借入金・調査開始時残高合計</t>
    <rPh sb="0" eb="3">
      <t>カリイレキン</t>
    </rPh>
    <rPh sb="4" eb="6">
      <t>チョウサ</t>
    </rPh>
    <rPh sb="6" eb="8">
      <t>カイシ</t>
    </rPh>
    <rPh sb="8" eb="9">
      <t>トキ</t>
    </rPh>
    <rPh sb="9" eb="11">
      <t>ザンダカ</t>
    </rPh>
    <rPh sb="11" eb="13">
      <t>ゴウケイ</t>
    </rPh>
    <phoneticPr fontId="4"/>
  </si>
  <si>
    <t>たい肥盤</t>
    <rPh sb="2" eb="3">
      <t>ヒ</t>
    </rPh>
    <rPh sb="3" eb="4">
      <t>バン</t>
    </rPh>
    <phoneticPr fontId="4"/>
  </si>
  <si>
    <t>借入金</t>
    <rPh sb="0" eb="1">
      <t>シャク</t>
    </rPh>
    <rPh sb="1" eb="2">
      <t>イリ</t>
    </rPh>
    <rPh sb="2" eb="3">
      <t>キン</t>
    </rPh>
    <phoneticPr fontId="4"/>
  </si>
  <si>
    <t>短期</t>
    <phoneticPr fontId="4"/>
  </si>
  <si>
    <t>長期</t>
    <phoneticPr fontId="4"/>
  </si>
  <si>
    <t>自動車</t>
    <rPh sb="0" eb="3">
      <t>ジドウシャ</t>
    </rPh>
    <phoneticPr fontId="4"/>
  </si>
  <si>
    <t>買掛未払金</t>
    <rPh sb="0" eb="2">
      <t>カイカケ</t>
    </rPh>
    <rPh sb="2" eb="5">
      <t>ミバライキン</t>
    </rPh>
    <phoneticPr fontId="4"/>
  </si>
  <si>
    <t>貨物自動車</t>
    <rPh sb="0" eb="2">
      <t>カモツ</t>
    </rPh>
    <rPh sb="2" eb="5">
      <t>ジドウシャ</t>
    </rPh>
    <phoneticPr fontId="4"/>
  </si>
  <si>
    <t>電動機</t>
    <rPh sb="0" eb="3">
      <t>デンドウキ</t>
    </rPh>
    <phoneticPr fontId="4"/>
  </si>
  <si>
    <t>発動機</t>
    <rPh sb="0" eb="3">
      <t>ハツドウキ</t>
    </rPh>
    <phoneticPr fontId="4"/>
  </si>
  <si>
    <t>揚水ポンプ</t>
    <rPh sb="0" eb="2">
      <t>ヨウスイ</t>
    </rPh>
    <phoneticPr fontId="4"/>
  </si>
  <si>
    <t>乗　用
トラク
タ　ー</t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</si>
  <si>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</si>
  <si>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</si>
  <si>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50～80馬力未満</t>
    <rPh sb="5" eb="7">
      <t>バリキ</t>
    </rPh>
    <rPh sb="7" eb="9">
      <t>ミマン</t>
    </rPh>
    <phoneticPr fontId="4"/>
  </si>
  <si>
    <t>80～100馬力未満</t>
    <rPh sb="6" eb="8">
      <t>バリキ</t>
    </rPh>
    <rPh sb="8" eb="10">
      <t>ミマン</t>
    </rPh>
    <phoneticPr fontId="4"/>
  </si>
  <si>
    <t>100馬力以上</t>
    <rPh sb="3" eb="5">
      <t>バリキ</t>
    </rPh>
    <rPh sb="5" eb="7">
      <t>イジョウ</t>
    </rPh>
    <phoneticPr fontId="4"/>
  </si>
  <si>
    <t>歩行用トラクター</t>
    <rPh sb="0" eb="3">
      <t>ホコウヨウ</t>
    </rPh>
    <phoneticPr fontId="4"/>
  </si>
  <si>
    <t>電熱育苗機</t>
    <rPh sb="0" eb="2">
      <t>デンネツ</t>
    </rPh>
    <rPh sb="2" eb="5">
      <t>イクビョウキ</t>
    </rPh>
    <phoneticPr fontId="4"/>
  </si>
  <si>
    <t>田植機</t>
    <rPh sb="0" eb="3">
      <t>タウエキ</t>
    </rPh>
    <phoneticPr fontId="4"/>
  </si>
  <si>
    <t>２条植</t>
    <rPh sb="1" eb="2">
      <t>ジョウ</t>
    </rPh>
    <rPh sb="2" eb="3">
      <t>ウエ</t>
    </rPh>
    <phoneticPr fontId="4"/>
  </si>
  <si>
    <t>３～５条植</t>
    <rPh sb="3" eb="4">
      <t>ジョウ</t>
    </rPh>
    <rPh sb="4" eb="5">
      <t>ウエ</t>
    </rPh>
    <phoneticPr fontId="4"/>
  </si>
  <si>
    <t>６～７条植</t>
    <rPh sb="3" eb="4">
      <t>ジョウ</t>
    </rPh>
    <rPh sb="4" eb="5">
      <t>ウエ</t>
    </rPh>
    <phoneticPr fontId="4"/>
  </si>
  <si>
    <t>８条植以上</t>
    <rPh sb="1" eb="2">
      <t>ジョウ</t>
    </rPh>
    <rPh sb="2" eb="3">
      <t>ウエ</t>
    </rPh>
    <rPh sb="3" eb="5">
      <t>イジョウ</t>
    </rPh>
    <phoneticPr fontId="4"/>
  </si>
  <si>
    <t>動力噴霧機</t>
    <rPh sb="0" eb="2">
      <t>ドウリョク</t>
    </rPh>
    <rPh sb="2" eb="4">
      <t>フンム</t>
    </rPh>
    <rPh sb="4" eb="5">
      <t>キ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</si>
  <si>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</si>
  <si>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バインダー</t>
    <phoneticPr fontId="4"/>
  </si>
  <si>
    <t>自脱型コ
ンバイン</t>
    <phoneticPr fontId="4"/>
  </si>
  <si>
    <t>３条以下</t>
    <rPh sb="1" eb="2">
      <t>ジョウ</t>
    </rPh>
    <rPh sb="2" eb="4">
      <t>イカ</t>
    </rPh>
    <phoneticPr fontId="4"/>
  </si>
  <si>
    <t>４～５条刈</t>
    <rPh sb="3" eb="4">
      <t>ジョウ</t>
    </rPh>
    <rPh sb="4" eb="5">
      <t>カリ</t>
    </rPh>
    <phoneticPr fontId="4"/>
  </si>
  <si>
    <t>６条以上</t>
    <rPh sb="1" eb="2">
      <t>ジョウ</t>
    </rPh>
    <rPh sb="2" eb="4">
      <t>イジョウ</t>
    </rPh>
    <phoneticPr fontId="1"/>
  </si>
  <si>
    <t>普通型コンバイン</t>
    <rPh sb="0" eb="2">
      <t>フツウ</t>
    </rPh>
    <rPh sb="2" eb="3">
      <t>ガタ</t>
    </rPh>
    <phoneticPr fontId="4"/>
  </si>
  <si>
    <t>脱穀機</t>
    <rPh sb="0" eb="3">
      <t>ダッコクキ</t>
    </rPh>
    <phoneticPr fontId="4"/>
  </si>
  <si>
    <t>もみすり機</t>
    <rPh sb="4" eb="5">
      <t>キ</t>
    </rPh>
    <phoneticPr fontId="4"/>
  </si>
  <si>
    <t>乾燥機</t>
    <rPh sb="0" eb="3">
      <t>カンソウキ</t>
    </rPh>
    <phoneticPr fontId="1"/>
  </si>
  <si>
    <t>静置式</t>
    <rPh sb="0" eb="1">
      <t>セイ</t>
    </rPh>
    <rPh sb="1" eb="2">
      <t>チ</t>
    </rPh>
    <rPh sb="2" eb="3">
      <t>シキ</t>
    </rPh>
    <phoneticPr fontId="4"/>
  </si>
  <si>
    <t>循環式</t>
    <rPh sb="0" eb="2">
      <t>ジュンカン</t>
    </rPh>
    <rPh sb="2" eb="3">
      <t>シキ</t>
    </rPh>
    <phoneticPr fontId="4"/>
  </si>
  <si>
    <t>ドローン</t>
    <phoneticPr fontId="1"/>
  </si>
  <si>
    <t>生産管理機器</t>
    <rPh sb="0" eb="2">
      <t>セイサン</t>
    </rPh>
    <rPh sb="2" eb="4">
      <t>カンリ</t>
    </rPh>
    <rPh sb="4" eb="6">
      <t>キキ</t>
    </rPh>
    <phoneticPr fontId="4"/>
  </si>
  <si>
    <t>【飼料用米の生産費】</t>
    <rPh sb="1" eb="3">
      <t>シリョウ</t>
    </rPh>
    <rPh sb="3" eb="5">
      <t>ヨウマイ</t>
    </rPh>
    <rPh sb="6" eb="9">
      <t>セイサンヒ</t>
    </rPh>
    <phoneticPr fontId="4"/>
  </si>
  <si>
    <t>土地改良及び水利費</t>
    <rPh sb="0" eb="4">
      <t>トチカイリョウ</t>
    </rPh>
    <rPh sb="4" eb="5">
      <t>オヨ</t>
    </rPh>
    <rPh sb="6" eb="9">
      <t>スイリヒ</t>
    </rPh>
    <phoneticPr fontId="1"/>
  </si>
  <si>
    <t>賃借料及び料金</t>
    <rPh sb="0" eb="3">
      <t>チンシャクリョウ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</si>
  <si>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"/>
  </si>
  <si>
    <t>建物費</t>
    <rPh sb="0" eb="3">
      <t>タテモノヒ</t>
    </rPh>
    <phoneticPr fontId="1"/>
  </si>
  <si>
    <t>自動車費</t>
    <rPh sb="0" eb="4">
      <t>ジドウシャヒ</t>
    </rPh>
    <phoneticPr fontId="1"/>
  </si>
  <si>
    <t>農機具費</t>
    <phoneticPr fontId="1"/>
  </si>
  <si>
    <t>〃</t>
    <phoneticPr fontId="1"/>
  </si>
  <si>
    <t>生産管理費</t>
    <rPh sb="0" eb="5">
      <t>セイサンカンリヒ</t>
    </rPh>
    <phoneticPr fontId="1"/>
  </si>
  <si>
    <t>10
ａ
当
た
り
作
業
別
労
動
時
間</t>
    <rPh sb="11" eb="12">
      <t>サク</t>
    </rPh>
    <rPh sb="13" eb="14">
      <t>ギョウ</t>
    </rPh>
    <rPh sb="15" eb="16">
      <t>ベツ</t>
    </rPh>
    <rPh sb="17" eb="18">
      <t>ロウ</t>
    </rPh>
    <rPh sb="19" eb="20">
      <t>ウゴ</t>
    </rPh>
    <rPh sb="21" eb="22">
      <t>ジ</t>
    </rPh>
    <rPh sb="23" eb="24">
      <t>カン</t>
    </rPh>
    <phoneticPr fontId="1"/>
  </si>
  <si>
    <t>種子予措</t>
    <rPh sb="0" eb="2">
      <t>シュシ</t>
    </rPh>
    <rPh sb="2" eb="3">
      <t>ヨ</t>
    </rPh>
    <rPh sb="3" eb="4">
      <t>ソ</t>
    </rPh>
    <phoneticPr fontId="1"/>
  </si>
  <si>
    <t>育苗</t>
    <rPh sb="0" eb="2">
      <t>イクビョウ</t>
    </rPh>
    <phoneticPr fontId="1"/>
  </si>
  <si>
    <t>耕起整地</t>
    <rPh sb="0" eb="2">
      <t>コウキ</t>
    </rPh>
    <rPh sb="2" eb="4">
      <t>セイチ</t>
    </rPh>
    <phoneticPr fontId="1"/>
  </si>
  <si>
    <t>基肥</t>
    <rPh sb="0" eb="2">
      <t>キヒ</t>
    </rPh>
    <phoneticPr fontId="1"/>
  </si>
  <si>
    <t>直まき</t>
    <rPh sb="0" eb="1">
      <t>ジカ</t>
    </rPh>
    <phoneticPr fontId="1"/>
  </si>
  <si>
    <t>田植</t>
    <rPh sb="0" eb="2">
      <t>タウ</t>
    </rPh>
    <phoneticPr fontId="1"/>
  </si>
  <si>
    <t>追肥</t>
    <rPh sb="0" eb="2">
      <t>ツイヒ</t>
    </rPh>
    <phoneticPr fontId="1"/>
  </si>
  <si>
    <t>除草</t>
    <rPh sb="0" eb="2">
      <t>ジョソウ</t>
    </rPh>
    <phoneticPr fontId="1"/>
  </si>
  <si>
    <t>管理</t>
    <rPh sb="0" eb="2">
      <t>カンリ</t>
    </rPh>
    <phoneticPr fontId="1"/>
  </si>
  <si>
    <t>防除</t>
    <rPh sb="0" eb="2">
      <t>ボウジョ</t>
    </rPh>
    <phoneticPr fontId="1"/>
  </si>
  <si>
    <t>刈取脱穀</t>
    <rPh sb="0" eb="1">
      <t>カ</t>
    </rPh>
    <rPh sb="1" eb="2">
      <t>ト</t>
    </rPh>
    <rPh sb="2" eb="4">
      <t>ダッコク</t>
    </rPh>
    <phoneticPr fontId="1"/>
  </si>
  <si>
    <t>乾燥</t>
    <rPh sb="0" eb="2">
      <t>カンソウ</t>
    </rPh>
    <phoneticPr fontId="1"/>
  </si>
  <si>
    <t>生産管理</t>
    <rPh sb="0" eb="4">
      <t>セイサンカンリ</t>
    </rPh>
    <phoneticPr fontId="1"/>
  </si>
  <si>
    <t>間接労働</t>
    <rPh sb="0" eb="4">
      <t>カンセツロウドウ</t>
    </rPh>
    <phoneticPr fontId="1"/>
  </si>
  <si>
    <t>１経営体当たり飼料用米作付面積</t>
    <rPh sb="4" eb="5">
      <t>ア</t>
    </rPh>
    <rPh sb="7" eb="9">
      <t>シリョウ</t>
    </rPh>
    <rPh sb="9" eb="11">
      <t>ヨウマイ</t>
    </rPh>
    <rPh sb="11" eb="13">
      <t>サクツ</t>
    </rPh>
    <rPh sb="13" eb="15">
      <t>メンセキ</t>
    </rPh>
    <phoneticPr fontId="1"/>
  </si>
  <si>
    <t>使 用 台 数（ １ 経 営 体 当 た り ）</t>
    <rPh sb="0" eb="1">
      <t>シ</t>
    </rPh>
    <rPh sb="2" eb="3">
      <t>ヨウ</t>
    </rPh>
    <rPh sb="4" eb="5">
      <t>ダイ</t>
    </rPh>
    <rPh sb="6" eb="7">
      <t>カズ</t>
    </rPh>
    <rPh sb="17" eb="18">
      <t>ア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</si>
</sst>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&quot;=[&quot;@&quot;]&quot;"/>
    <numFmt numFmtId="177" formatCode="###\ ###\ ##0"/>
    <numFmt numFmtId="178" formatCode="###\ ###\ ##0.0"/>
    <numFmt numFmtId="179" formatCode="###\ ###\ ##0;\-###\ ###\ ##0;"/>
    <numFmt numFmtId="180" formatCode="###\ ###\ ##0.00;\-###\ ###\ ##0.00;"/>
    <numFmt numFmtId="181" formatCode="00&quot;&quot;"/>
    <numFmt numFmtId="182" formatCode="###\ ###\ ##0.000;\-###\ ###\ ##0.000;"/>
    <numFmt numFmtId="183" formatCode="0000"/>
    <numFmt numFmtId="184" formatCode="#0&quot;年産&quot;"/>
    <numFmt numFmtId="185" formatCode="#,##0_ "/>
    <numFmt numFmtId="186" formatCode="#,##0.0_ "/>
    <numFmt numFmtId="187" formatCode="#,##0.000_ "/>
    <numFmt numFmtId="188" formatCode="#,##0.00_ "/>
    <numFmt numFmtId="189" formatCode="#,##0.0_);[Red]\(#,##0.0\)"/>
  </numFmts>
  <fonts count="1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color indexed="10"/>
      <name val="ＭＳ Ｐ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7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77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8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thin">
        <color indexed="64"/>
      </diagonal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11" fillId="0" borderId="0"/>
    <xf numFmtId="0" fontId="14" fillId="0" borderId="0"/>
  </cellStyleXfs>
  <cellXfs count="69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25" xfId="1" applyFont="1" applyBorder="1" applyAlignment="1">
      <alignment horizontal="distributed" vertical="center" justifyLastLine="1"/>
    </xf>
    <xf numFmtId="0" fontId="7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14" xfId="1" applyFont="1" applyBorder="1" applyAlignment="1">
      <alignment horizontal="distributed" vertical="center"/>
    </xf>
    <xf numFmtId="0" fontId="2" fillId="0" borderId="0" xfId="1" applyFont="1"/>
    <xf numFmtId="0" fontId="5" fillId="0" borderId="38" xfId="1" applyFont="1" applyBorder="1" applyAlignment="1">
      <alignment horizontal="distributed" vertical="center" justifyLastLine="1"/>
    </xf>
    <xf numFmtId="0" fontId="5" fillId="0" borderId="1" xfId="1" applyFont="1" applyBorder="1" applyAlignment="1">
      <alignment horizontal="distributed" vertical="center" justifyLastLine="1"/>
    </xf>
    <xf numFmtId="0" fontId="7" fillId="0" borderId="39" xfId="1" applyFont="1" applyBorder="1" applyAlignment="1">
      <alignment horizontal="center" vertical="center"/>
    </xf>
    <xf numFmtId="179" fontId="5" fillId="0" borderId="0" xfId="1" applyNumberFormat="1" applyFont="1" applyAlignment="1">
      <alignment horizontal="right"/>
    </xf>
    <xf numFmtId="178" fontId="5" fillId="0" borderId="0" xfId="1" applyNumberFormat="1" applyFont="1" applyAlignment="1">
      <alignment horizontal="right" shrinkToFit="1"/>
    </xf>
    <xf numFmtId="0" fontId="5" fillId="0" borderId="1" xfId="1" applyFont="1" applyBorder="1" applyAlignment="1">
      <alignment horizontal="distributed" vertic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7" xfId="1" applyFont="1" applyBorder="1" applyAlignment="1">
      <alignment vertical="center" shrinkToFit="1"/>
    </xf>
    <xf numFmtId="0" fontId="5" fillId="0" borderId="17" xfId="1" applyFont="1" applyBorder="1" applyAlignment="1">
      <alignment vertical="center"/>
    </xf>
    <xf numFmtId="0" fontId="5" fillId="0" borderId="7" xfId="1" applyFont="1" applyBorder="1" applyAlignment="1">
      <alignment horizontal="center" vertical="center" shrinkToFit="1"/>
    </xf>
    <xf numFmtId="183" fontId="5" fillId="0" borderId="0" xfId="1" applyNumberFormat="1" applyFont="1" applyAlignment="1">
      <alignment horizontal="center" vertical="center"/>
    </xf>
    <xf numFmtId="177" fontId="5" fillId="2" borderId="111" xfId="3" applyNumberFormat="1" applyFont="1" applyFill="1" applyBorder="1" applyAlignment="1">
      <alignment horizontal="center" vertical="center" shrinkToFit="1"/>
    </xf>
    <xf numFmtId="177" fontId="5" fillId="2" borderId="119" xfId="3" applyNumberFormat="1" applyFont="1" applyFill="1" applyBorder="1" applyAlignment="1">
      <alignment horizontal="center" vertical="center" shrinkToFit="1"/>
    </xf>
    <xf numFmtId="0" fontId="5" fillId="0" borderId="45" xfId="2" applyFont="1" applyBorder="1" applyAlignment="1">
      <alignment horizontal="distributed" vertical="center"/>
    </xf>
    <xf numFmtId="0" fontId="5" fillId="1" borderId="46" xfId="2" applyFont="1" applyFill="1" applyBorder="1" applyAlignment="1">
      <alignment horizontal="distributed" vertical="center"/>
    </xf>
    <xf numFmtId="0" fontId="5" fillId="1" borderId="45" xfId="2" applyFont="1" applyFill="1" applyBorder="1" applyAlignment="1">
      <alignment horizontal="distributed" vertical="center"/>
    </xf>
    <xf numFmtId="176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 shrinkToFit="1"/>
    </xf>
    <xf numFmtId="0" fontId="2" fillId="0" borderId="0" xfId="1" applyFont="1" applyAlignment="1">
      <alignment horizontal="left" vertical="center"/>
    </xf>
    <xf numFmtId="177" fontId="5" fillId="0" borderId="83" xfId="1" applyNumberFormat="1" applyFont="1" applyBorder="1" applyAlignment="1">
      <alignment shrinkToFit="1"/>
    </xf>
    <xf numFmtId="177" fontId="5" fillId="0" borderId="20" xfId="1" applyNumberFormat="1" applyFont="1" applyBorder="1" applyAlignment="1">
      <alignment shrinkToFit="1"/>
    </xf>
    <xf numFmtId="177" fontId="5" fillId="0" borderId="42" xfId="1" applyNumberFormat="1" applyFont="1" applyBorder="1" applyAlignment="1">
      <alignment shrinkToFit="1"/>
    </xf>
    <xf numFmtId="177" fontId="5" fillId="0" borderId="75" xfId="1" applyNumberFormat="1" applyFont="1" applyBorder="1" applyAlignment="1">
      <alignment shrinkToFit="1"/>
    </xf>
    <xf numFmtId="0" fontId="5" fillId="2" borderId="93" xfId="3" applyFont="1" applyFill="1" applyBorder="1" applyAlignment="1">
      <alignment vertical="center"/>
    </xf>
    <xf numFmtId="0" fontId="5" fillId="2" borderId="95" xfId="3" applyFont="1" applyFill="1" applyBorder="1" applyAlignment="1">
      <alignment vertical="center"/>
    </xf>
    <xf numFmtId="177" fontId="5" fillId="0" borderId="45" xfId="1" applyNumberFormat="1" applyFont="1" applyBorder="1" applyAlignment="1">
      <alignment shrinkToFit="1"/>
    </xf>
    <xf numFmtId="0" fontId="5" fillId="2" borderId="0" xfId="3" applyFont="1" applyFill="1" applyAlignment="1">
      <alignment vertical="center"/>
    </xf>
    <xf numFmtId="177" fontId="5" fillId="0" borderId="0" xfId="1" applyNumberFormat="1" applyFont="1" applyAlignment="1">
      <alignment shrinkToFit="1"/>
    </xf>
    <xf numFmtId="181" fontId="5" fillId="0" borderId="0" xfId="1" applyNumberFormat="1" applyFont="1" applyAlignment="1">
      <alignment vertical="center"/>
    </xf>
    <xf numFmtId="0" fontId="5" fillId="0" borderId="19" xfId="1" applyFont="1" applyBorder="1" applyAlignment="1">
      <alignment horizontal="distributed" vertical="center"/>
    </xf>
    <xf numFmtId="0" fontId="8" fillId="0" borderId="0" xfId="1" applyFont="1" applyAlignment="1">
      <alignment vertical="center"/>
    </xf>
    <xf numFmtId="0" fontId="5" fillId="0" borderId="54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horizontal="distributed" vertical="center"/>
    </xf>
    <xf numFmtId="0" fontId="13" fillId="2" borderId="120" xfId="3" applyFont="1" applyFill="1" applyBorder="1" applyAlignment="1">
      <alignment horizontal="center" vertical="center" wrapText="1"/>
    </xf>
    <xf numFmtId="0" fontId="13" fillId="2" borderId="128" xfId="3" applyFont="1" applyFill="1" applyBorder="1" applyAlignment="1">
      <alignment horizontal="center" vertical="center" wrapText="1"/>
    </xf>
    <xf numFmtId="0" fontId="13" fillId="2" borderId="128" xfId="3" applyFont="1" applyFill="1" applyBorder="1" applyAlignment="1">
      <alignment horizontal="center" vertical="center"/>
    </xf>
    <xf numFmtId="0" fontId="13" fillId="2" borderId="129" xfId="3" applyFont="1" applyFill="1" applyBorder="1" applyAlignment="1">
      <alignment horizontal="center" vertical="center" wrapText="1"/>
    </xf>
    <xf numFmtId="0" fontId="13" fillId="2" borderId="130" xfId="3" applyFont="1" applyFill="1" applyBorder="1" applyAlignment="1">
      <alignment horizontal="center" vertical="center" wrapText="1"/>
    </xf>
    <xf numFmtId="0" fontId="13" fillId="2" borderId="131" xfId="3" applyFont="1" applyFill="1" applyBorder="1" applyAlignment="1">
      <alignment horizontal="center" vertical="center" wrapText="1"/>
    </xf>
    <xf numFmtId="182" fontId="5" fillId="0" borderId="0" xfId="1" applyNumberFormat="1" applyFont="1" applyAlignment="1">
      <alignment horizontal="right"/>
    </xf>
    <xf numFmtId="178" fontId="5" fillId="0" borderId="0" xfId="1" applyNumberFormat="1" applyFont="1" applyAlignment="1">
      <alignment horizontal="right"/>
    </xf>
    <xf numFmtId="0" fontId="7" fillId="0" borderId="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80" fontId="5" fillId="0" borderId="0" xfId="1" applyNumberFormat="1" applyFont="1" applyAlignment="1">
      <alignment horizontal="right"/>
    </xf>
    <xf numFmtId="0" fontId="5" fillId="0" borderId="0" xfId="1" applyFont="1" applyAlignment="1">
      <alignment horizontal="distributed" vertical="distributed" textRotation="255"/>
    </xf>
    <xf numFmtId="0" fontId="5" fillId="2" borderId="137" xfId="3" applyFont="1" applyFill="1" applyBorder="1" applyAlignment="1">
      <alignment horizontal="distributed" vertical="center" justifyLastLine="1" shrinkToFit="1"/>
    </xf>
    <xf numFmtId="0" fontId="5" fillId="2" borderId="105" xfId="3" applyFont="1" applyFill="1" applyBorder="1" applyAlignment="1">
      <alignment horizontal="distributed" vertical="center" justifyLastLine="1" shrinkToFit="1"/>
    </xf>
    <xf numFmtId="0" fontId="5" fillId="2" borderId="117" xfId="3" applyFont="1" applyFill="1" applyBorder="1" applyAlignment="1">
      <alignment horizontal="distributed" vertical="center" justifyLastLine="1" shrinkToFit="1"/>
    </xf>
    <xf numFmtId="0" fontId="6" fillId="0" borderId="12" xfId="1" applyFont="1" applyBorder="1" applyAlignment="1">
      <alignment vertical="center"/>
    </xf>
    <xf numFmtId="0" fontId="5" fillId="0" borderId="83" xfId="4" applyFont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5" fillId="0" borderId="24" xfId="1" applyFont="1" applyBorder="1" applyAlignment="1">
      <alignment vertical="center"/>
    </xf>
    <xf numFmtId="185" fontId="15" fillId="0" borderId="121" xfId="3" applyNumberFormat="1" applyFont="1" applyBorder="1" applyAlignment="1">
      <alignment horizontal="right" vertical="center" shrinkToFit="1"/>
    </xf>
    <xf numFmtId="186" fontId="15" fillId="0" borderId="122" xfId="3" applyNumberFormat="1" applyFont="1" applyBorder="1" applyAlignment="1">
      <alignment horizontal="right" vertical="center" shrinkToFit="1"/>
    </xf>
    <xf numFmtId="185" fontId="15" fillId="0" borderId="123" xfId="3" applyNumberFormat="1" applyFont="1" applyBorder="1" applyAlignment="1">
      <alignment horizontal="right" vertical="center" shrinkToFit="1"/>
    </xf>
    <xf numFmtId="186" fontId="16" fillId="0" borderId="124" xfId="3" applyNumberFormat="1" applyFont="1" applyBorder="1" applyAlignment="1">
      <alignment horizontal="right" vertical="center" shrinkToFit="1"/>
    </xf>
    <xf numFmtId="185" fontId="15" fillId="0" borderId="125" xfId="3" applyNumberFormat="1" applyFont="1" applyBorder="1" applyAlignment="1">
      <alignment horizontal="right" vertical="center" shrinkToFit="1"/>
    </xf>
    <xf numFmtId="185" fontId="15" fillId="0" borderId="99" xfId="3" applyNumberFormat="1" applyFont="1" applyBorder="1" applyAlignment="1">
      <alignment horizontal="right" vertical="center" shrinkToFit="1"/>
    </xf>
    <xf numFmtId="186" fontId="15" fillId="0" borderId="6" xfId="3" applyNumberFormat="1" applyFont="1" applyBorder="1" applyAlignment="1">
      <alignment horizontal="right" vertical="center" shrinkToFit="1"/>
    </xf>
    <xf numFmtId="185" fontId="15" fillId="0" borderId="5" xfId="3" applyNumberFormat="1" applyFont="1" applyBorder="1" applyAlignment="1">
      <alignment horizontal="right" vertical="center" shrinkToFit="1"/>
    </xf>
    <xf numFmtId="186" fontId="16" fillId="0" borderId="20" xfId="3" applyNumberFormat="1" applyFont="1" applyBorder="1" applyAlignment="1">
      <alignment horizontal="right" vertical="center" shrinkToFit="1"/>
    </xf>
    <xf numFmtId="185" fontId="15" fillId="0" borderId="29" xfId="3" applyNumberFormat="1" applyFont="1" applyBorder="1" applyAlignment="1">
      <alignment horizontal="right" vertical="center" shrinkToFit="1"/>
    </xf>
    <xf numFmtId="178" fontId="15" fillId="0" borderId="53" xfId="3" applyNumberFormat="1" applyFont="1" applyBorder="1" applyAlignment="1">
      <alignment horizontal="right" vertical="center" shrinkToFit="1"/>
    </xf>
    <xf numFmtId="178" fontId="16" fillId="0" borderId="53" xfId="3" applyNumberFormat="1" applyFont="1" applyBorder="1" applyAlignment="1">
      <alignment horizontal="right" vertical="center"/>
    </xf>
    <xf numFmtId="185" fontId="16" fillId="0" borderId="5" xfId="3" applyNumberFormat="1" applyFont="1" applyBorder="1" applyAlignment="1">
      <alignment horizontal="right" vertical="center" shrinkToFit="1"/>
    </xf>
    <xf numFmtId="185" fontId="16" fillId="0" borderId="29" xfId="3" applyNumberFormat="1" applyFont="1" applyBorder="1" applyAlignment="1">
      <alignment horizontal="right" vertical="center" shrinkToFit="1"/>
    </xf>
    <xf numFmtId="178" fontId="15" fillId="0" borderId="90" xfId="3" applyNumberFormat="1" applyFont="1" applyBorder="1" applyAlignment="1">
      <alignment horizontal="right" vertical="center" shrinkToFit="1"/>
    </xf>
    <xf numFmtId="185" fontId="15" fillId="0" borderId="133" xfId="3" applyNumberFormat="1" applyFont="1" applyBorder="1" applyAlignment="1">
      <alignment horizontal="right" vertical="center" shrinkToFit="1"/>
    </xf>
    <xf numFmtId="178" fontId="15" fillId="0" borderId="143" xfId="3" applyNumberFormat="1" applyFont="1" applyBorder="1" applyAlignment="1">
      <alignment horizontal="right" vertical="center" shrinkToFit="1"/>
    </xf>
    <xf numFmtId="186" fontId="16" fillId="0" borderId="21" xfId="3" applyNumberFormat="1" applyFont="1" applyBorder="1" applyAlignment="1">
      <alignment horizontal="right" vertical="center" shrinkToFit="1"/>
    </xf>
    <xf numFmtId="185" fontId="15" fillId="0" borderId="34" xfId="3" applyNumberFormat="1" applyFont="1" applyBorder="1" applyAlignment="1">
      <alignment horizontal="right" vertical="center" shrinkToFit="1"/>
    </xf>
    <xf numFmtId="185" fontId="15" fillId="0" borderId="98" xfId="3" applyNumberFormat="1" applyFont="1" applyBorder="1" applyAlignment="1">
      <alignment horizontal="right" vertical="center" shrinkToFit="1"/>
    </xf>
    <xf numFmtId="178" fontId="15" fillId="0" borderId="51" xfId="3" applyNumberFormat="1" applyFont="1" applyBorder="1" applyAlignment="1">
      <alignment horizontal="right" vertical="center" shrinkToFit="1"/>
    </xf>
    <xf numFmtId="185" fontId="15" fillId="0" borderId="35" xfId="3" applyNumberFormat="1" applyFont="1" applyBorder="1" applyAlignment="1">
      <alignment horizontal="right" vertical="center" shrinkToFit="1"/>
    </xf>
    <xf numFmtId="186" fontId="16" fillId="0" borderId="83" xfId="3" applyNumberFormat="1" applyFont="1" applyBorder="1" applyAlignment="1">
      <alignment horizontal="right" vertical="center" shrinkToFit="1"/>
    </xf>
    <xf numFmtId="185" fontId="15" fillId="0" borderId="47" xfId="3" applyNumberFormat="1" applyFont="1" applyBorder="1" applyAlignment="1">
      <alignment horizontal="right" vertical="center" shrinkToFit="1"/>
    </xf>
    <xf numFmtId="185" fontId="15" fillId="0" borderId="100" xfId="3" applyNumberFormat="1" applyFont="1" applyBorder="1" applyAlignment="1">
      <alignment horizontal="right" vertical="center" shrinkToFit="1"/>
    </xf>
    <xf numFmtId="185" fontId="15" fillId="0" borderId="8" xfId="3" applyNumberFormat="1" applyFont="1" applyBorder="1" applyAlignment="1">
      <alignment horizontal="right" vertical="center" shrinkToFit="1"/>
    </xf>
    <xf numFmtId="186" fontId="16" fillId="0" borderId="42" xfId="3" applyNumberFormat="1" applyFont="1" applyBorder="1" applyAlignment="1">
      <alignment horizontal="right" vertical="center" shrinkToFit="1"/>
    </xf>
    <xf numFmtId="185" fontId="15" fillId="0" borderId="31" xfId="3" applyNumberFormat="1" applyFont="1" applyBorder="1" applyAlignment="1">
      <alignment horizontal="right" vertical="center" shrinkToFit="1"/>
    </xf>
    <xf numFmtId="185" fontId="15" fillId="0" borderId="36" xfId="3" applyNumberFormat="1" applyFont="1" applyBorder="1" applyAlignment="1">
      <alignment horizontal="right" vertical="center" shrinkToFit="1"/>
    </xf>
    <xf numFmtId="178" fontId="15" fillId="0" borderId="144" xfId="3" applyNumberFormat="1" applyFont="1" applyBorder="1" applyAlignment="1">
      <alignment horizontal="right" vertical="center" shrinkToFit="1"/>
    </xf>
    <xf numFmtId="186" fontId="16" fillId="0" borderId="45" xfId="3" applyNumberFormat="1" applyFont="1" applyBorder="1" applyAlignment="1">
      <alignment horizontal="right" vertical="center" shrinkToFit="1"/>
    </xf>
    <xf numFmtId="185" fontId="15" fillId="0" borderId="33" xfId="3" applyNumberFormat="1" applyFont="1" applyBorder="1" applyAlignment="1">
      <alignment horizontal="right" vertical="center" shrinkToFit="1"/>
    </xf>
    <xf numFmtId="187" fontId="15" fillId="0" borderId="99" xfId="3" applyNumberFormat="1" applyFont="1" applyBorder="1" applyAlignment="1">
      <alignment horizontal="right" vertical="center" shrinkToFit="1"/>
    </xf>
    <xf numFmtId="187" fontId="16" fillId="0" borderId="5" xfId="3" applyNumberFormat="1" applyFont="1" applyBorder="1" applyAlignment="1">
      <alignment horizontal="right" vertical="center" shrinkToFit="1"/>
    </xf>
    <xf numFmtId="187" fontId="15" fillId="0" borderId="29" xfId="3" applyNumberFormat="1" applyFont="1" applyBorder="1" applyAlignment="1">
      <alignment vertical="center" shrinkToFit="1"/>
    </xf>
    <xf numFmtId="187" fontId="15" fillId="0" borderId="5" xfId="3" applyNumberFormat="1" applyFont="1" applyBorder="1" applyAlignment="1">
      <alignment horizontal="right" vertical="center" shrinkToFit="1"/>
    </xf>
    <xf numFmtId="186" fontId="15" fillId="0" borderId="132" xfId="3" applyNumberFormat="1" applyFont="1" applyBorder="1" applyAlignment="1">
      <alignment horizontal="right" vertical="center" shrinkToFit="1"/>
    </xf>
    <xf numFmtId="178" fontId="15" fillId="0" borderId="115" xfId="3" applyNumberFormat="1" applyFont="1" applyBorder="1" applyAlignment="1">
      <alignment horizontal="right" vertical="center" shrinkToFit="1"/>
    </xf>
    <xf numFmtId="186" fontId="15" fillId="0" borderId="114" xfId="3" applyNumberFormat="1" applyFont="1" applyBorder="1" applyAlignment="1">
      <alignment horizontal="right" vertical="center" shrinkToFit="1"/>
    </xf>
    <xf numFmtId="186" fontId="16" fillId="0" borderId="104" xfId="3" applyNumberFormat="1" applyFont="1" applyBorder="1" applyAlignment="1">
      <alignment horizontal="right" vertical="center" shrinkToFit="1"/>
    </xf>
    <xf numFmtId="186" fontId="15" fillId="0" borderId="110" xfId="3" applyNumberFormat="1" applyFont="1" applyBorder="1" applyAlignment="1">
      <alignment vertical="center" shrinkToFit="1"/>
    </xf>
    <xf numFmtId="186" fontId="15" fillId="0" borderId="50" xfId="1" applyNumberFormat="1" applyFont="1" applyBorder="1" applyAlignment="1">
      <alignment horizontal="right" vertical="center"/>
    </xf>
    <xf numFmtId="186" fontId="15" fillId="0" borderId="61" xfId="1" applyNumberFormat="1" applyFont="1" applyBorder="1" applyAlignment="1">
      <alignment horizontal="right" vertical="center"/>
    </xf>
    <xf numFmtId="186" fontId="15" fillId="0" borderId="40" xfId="1" applyNumberFormat="1" applyFont="1" applyBorder="1" applyAlignment="1">
      <alignment horizontal="right" vertical="center"/>
    </xf>
    <xf numFmtId="186" fontId="15" fillId="0" borderId="41" xfId="1" applyNumberFormat="1" applyFont="1" applyBorder="1" applyAlignment="1">
      <alignment horizontal="right" vertical="center"/>
    </xf>
    <xf numFmtId="186" fontId="15" fillId="0" borderId="44" xfId="1" applyNumberFormat="1" applyFont="1" applyBorder="1" applyAlignment="1">
      <alignment horizontal="right" vertical="center"/>
    </xf>
    <xf numFmtId="186" fontId="15" fillId="0" borderId="52" xfId="1" applyNumberFormat="1" applyFont="1" applyBorder="1" applyAlignment="1">
      <alignment horizontal="right" vertical="center"/>
    </xf>
    <xf numFmtId="186" fontId="15" fillId="0" borderId="64" xfId="1" applyNumberFormat="1" applyFont="1" applyBorder="1" applyAlignment="1">
      <alignment horizontal="right" vertical="center"/>
    </xf>
    <xf numFmtId="186" fontId="15" fillId="0" borderId="70" xfId="1" applyNumberFormat="1" applyFont="1" applyBorder="1" applyAlignment="1">
      <alignment horizontal="right" vertical="center"/>
    </xf>
    <xf numFmtId="186" fontId="15" fillId="0" borderId="71" xfId="1" applyNumberFormat="1" applyFont="1" applyBorder="1" applyAlignment="1">
      <alignment horizontal="right" vertical="center"/>
    </xf>
    <xf numFmtId="185" fontId="15" fillId="0" borderId="5" xfId="1" applyNumberFormat="1" applyFont="1" applyBorder="1" applyAlignment="1">
      <alignment horizontal="right" vertical="center"/>
    </xf>
    <xf numFmtId="185" fontId="15" fillId="0" borderId="40" xfId="1" applyNumberFormat="1" applyFont="1" applyBorder="1" applyAlignment="1">
      <alignment horizontal="right" vertical="center"/>
    </xf>
    <xf numFmtId="188" fontId="15" fillId="0" borderId="20" xfId="1" applyNumberFormat="1" applyFont="1" applyBorder="1" applyAlignment="1">
      <alignment horizontal="right" vertical="center"/>
    </xf>
    <xf numFmtId="186" fontId="15" fillId="0" borderId="6" xfId="1" applyNumberFormat="1" applyFont="1" applyBorder="1" applyAlignment="1">
      <alignment horizontal="right" vertical="center"/>
    </xf>
    <xf numFmtId="185" fontId="15" fillId="0" borderId="8" xfId="1" applyNumberFormat="1" applyFont="1" applyBorder="1" applyAlignment="1">
      <alignment horizontal="right" vertical="center"/>
    </xf>
    <xf numFmtId="185" fontId="15" fillId="0" borderId="41" xfId="1" applyNumberFormat="1" applyFont="1" applyBorder="1" applyAlignment="1">
      <alignment horizontal="right" vertical="center"/>
    </xf>
    <xf numFmtId="188" fontId="15" fillId="0" borderId="42" xfId="1" applyNumberFormat="1" applyFont="1" applyBorder="1" applyAlignment="1">
      <alignment horizontal="right" vertical="center"/>
    </xf>
    <xf numFmtId="186" fontId="15" fillId="0" borderId="30" xfId="1" applyNumberFormat="1" applyFont="1" applyBorder="1" applyAlignment="1">
      <alignment horizontal="right" vertical="center"/>
    </xf>
    <xf numFmtId="186" fontId="15" fillId="0" borderId="9" xfId="1" applyNumberFormat="1" applyFont="1" applyBorder="1" applyAlignment="1">
      <alignment horizontal="right" vertical="center"/>
    </xf>
    <xf numFmtId="185" fontId="15" fillId="0" borderId="36" xfId="1" applyNumberFormat="1" applyFont="1" applyBorder="1" applyAlignment="1">
      <alignment horizontal="right" vertical="center"/>
    </xf>
    <xf numFmtId="185" fontId="15" fillId="0" borderId="61" xfId="1" applyNumberFormat="1" applyFont="1" applyBorder="1" applyAlignment="1">
      <alignment horizontal="right" vertical="center"/>
    </xf>
    <xf numFmtId="188" fontId="15" fillId="0" borderId="83" xfId="1" applyNumberFormat="1" applyFont="1" applyBorder="1" applyAlignment="1">
      <alignment horizontal="right" vertical="center"/>
    </xf>
    <xf numFmtId="185" fontId="15" fillId="0" borderId="35" xfId="1" applyNumberFormat="1" applyFont="1" applyBorder="1" applyAlignment="1">
      <alignment horizontal="right" vertical="center"/>
    </xf>
    <xf numFmtId="186" fontId="15" fillId="0" borderId="13" xfId="1" applyNumberFormat="1" applyFont="1" applyBorder="1" applyAlignment="1">
      <alignment horizontal="right" vertical="center"/>
    </xf>
    <xf numFmtId="185" fontId="15" fillId="0" borderId="91" xfId="1" applyNumberFormat="1" applyFont="1" applyBorder="1" applyAlignment="1">
      <alignment horizontal="right" vertical="center"/>
    </xf>
    <xf numFmtId="188" fontId="15" fillId="0" borderId="64" xfId="1" applyNumberFormat="1" applyFont="1" applyBorder="1" applyAlignment="1">
      <alignment horizontal="right" vertical="center"/>
    </xf>
    <xf numFmtId="186" fontId="15" fillId="0" borderId="56" xfId="1" applyNumberFormat="1" applyFont="1" applyBorder="1" applyAlignment="1">
      <alignment horizontal="right" vertical="center"/>
    </xf>
    <xf numFmtId="186" fontId="15" fillId="0" borderId="53" xfId="1" applyNumberFormat="1" applyFont="1" applyBorder="1" applyAlignment="1">
      <alignment horizontal="right" vertical="center"/>
    </xf>
    <xf numFmtId="186" fontId="15" fillId="0" borderId="91" xfId="1" applyNumberFormat="1" applyFont="1" applyBorder="1" applyAlignment="1">
      <alignment horizontal="right" vertical="center"/>
    </xf>
    <xf numFmtId="185" fontId="15" fillId="0" borderId="68" xfId="1" applyNumberFormat="1" applyFont="1" applyBorder="1" applyAlignment="1">
      <alignment horizontal="right" vertical="center"/>
    </xf>
    <xf numFmtId="188" fontId="15" fillId="0" borderId="69" xfId="1" applyNumberFormat="1" applyFont="1" applyBorder="1" applyAlignment="1">
      <alignment horizontal="right" vertical="center"/>
    </xf>
    <xf numFmtId="186" fontId="15" fillId="0" borderId="90" xfId="1" applyNumberFormat="1" applyFont="1" applyBorder="1" applyAlignment="1">
      <alignment horizontal="right" vertical="center"/>
    </xf>
    <xf numFmtId="186" fontId="15" fillId="0" borderId="59" xfId="1" applyNumberFormat="1" applyFont="1" applyBorder="1" applyAlignment="1">
      <alignment horizontal="right" vertical="center"/>
    </xf>
    <xf numFmtId="188" fontId="15" fillId="0" borderId="72" xfId="1" applyNumberFormat="1" applyFont="1" applyBorder="1" applyAlignment="1">
      <alignment horizontal="right" vertical="center"/>
    </xf>
    <xf numFmtId="188" fontId="15" fillId="0" borderId="60" xfId="1" applyNumberFormat="1" applyFont="1" applyBorder="1" applyAlignment="1">
      <alignment horizontal="right" vertical="center"/>
    </xf>
    <xf numFmtId="186" fontId="15" fillId="0" borderId="5" xfId="1" applyNumberFormat="1" applyFont="1" applyBorder="1" applyAlignment="1">
      <alignment horizontal="right" vertical="center"/>
    </xf>
    <xf numFmtId="188" fontId="15" fillId="0" borderId="45" xfId="1" applyNumberFormat="1" applyFont="1" applyBorder="1" applyAlignment="1">
      <alignment horizontal="right" vertical="center"/>
    </xf>
    <xf numFmtId="188" fontId="15" fillId="0" borderId="51" xfId="1" applyNumberFormat="1" applyFont="1" applyBorder="1" applyAlignment="1">
      <alignment horizontal="right" vertical="center"/>
    </xf>
    <xf numFmtId="185" fontId="15" fillId="0" borderId="44" xfId="1" applyNumberFormat="1" applyFont="1" applyBorder="1" applyAlignment="1">
      <alignment horizontal="right" vertical="center"/>
    </xf>
    <xf numFmtId="188" fontId="15" fillId="0" borderId="62" xfId="1" applyNumberFormat="1" applyFont="1" applyBorder="1" applyAlignment="1">
      <alignment horizontal="right" vertical="center"/>
    </xf>
    <xf numFmtId="186" fontId="15" fillId="0" borderId="55" xfId="1" applyNumberFormat="1" applyFont="1" applyBorder="1" applyAlignment="1">
      <alignment horizontal="right" vertical="center"/>
    </xf>
    <xf numFmtId="188" fontId="15" fillId="0" borderId="7" xfId="1" applyNumberFormat="1" applyFont="1" applyBorder="1" applyAlignment="1">
      <alignment horizontal="right" vertical="center"/>
    </xf>
    <xf numFmtId="188" fontId="15" fillId="0" borderId="63" xfId="1" applyNumberFormat="1" applyFont="1" applyBorder="1" applyAlignment="1">
      <alignment horizontal="right" vertical="center"/>
    </xf>
    <xf numFmtId="186" fontId="15" fillId="0" borderId="68" xfId="1" applyNumberFormat="1" applyFont="1" applyBorder="1" applyAlignment="1">
      <alignment horizontal="right" vertical="center"/>
    </xf>
    <xf numFmtId="188" fontId="15" fillId="0" borderId="71" xfId="1" applyNumberFormat="1" applyFont="1" applyBorder="1" applyAlignment="1">
      <alignment horizontal="right" vertical="center"/>
    </xf>
    <xf numFmtId="186" fontId="15" fillId="0" borderId="66" xfId="1" applyNumberFormat="1" applyFont="1" applyBorder="1" applyAlignment="1">
      <alignment horizontal="right" vertical="center"/>
    </xf>
    <xf numFmtId="186" fontId="15" fillId="0" borderId="67" xfId="1" applyNumberFormat="1" applyFont="1" applyBorder="1" applyAlignment="1">
      <alignment horizontal="right" vertical="center"/>
    </xf>
    <xf numFmtId="185" fontId="15" fillId="0" borderId="38" xfId="1" applyNumberFormat="1" applyFont="1" applyBorder="1" applyAlignment="1">
      <alignment horizontal="right" vertical="center"/>
    </xf>
    <xf numFmtId="186" fontId="15" fillId="0" borderId="58" xfId="1" applyNumberFormat="1" applyFont="1" applyBorder="1" applyAlignment="1">
      <alignment horizontal="right" vertical="center"/>
    </xf>
    <xf numFmtId="188" fontId="15" fillId="0" borderId="65" xfId="1" applyNumberFormat="1" applyFont="1" applyBorder="1" applyAlignment="1">
      <alignment horizontal="right" vertical="center"/>
    </xf>
    <xf numFmtId="188" fontId="15" fillId="0" borderId="53" xfId="1" applyNumberFormat="1" applyFont="1" applyBorder="1" applyAlignment="1">
      <alignment horizontal="right" vertical="center"/>
    </xf>
    <xf numFmtId="0" fontId="5" fillId="0" borderId="117" xfId="3" applyFont="1" applyBorder="1" applyAlignment="1">
      <alignment horizontal="distributed" vertical="center" justifyLastLine="1" shrinkToFit="1"/>
    </xf>
    <xf numFmtId="177" fontId="5" fillId="0" borderId="119" xfId="3" applyNumberFormat="1" applyFont="1" applyBorder="1" applyAlignment="1">
      <alignment horizontal="center" vertical="center" shrinkToFit="1"/>
    </xf>
    <xf numFmtId="0" fontId="13" fillId="0" borderId="120" xfId="3" applyFont="1" applyBorder="1" applyAlignment="1">
      <alignment horizontal="center" vertical="center" wrapText="1"/>
    </xf>
    <xf numFmtId="186" fontId="15" fillId="0" borderId="169" xfId="1" applyNumberFormat="1" applyFont="1" applyBorder="1" applyAlignment="1">
      <alignment horizontal="right" vertical="center"/>
    </xf>
    <xf numFmtId="186" fontId="15" fillId="0" borderId="170" xfId="1" applyNumberFormat="1" applyFont="1" applyBorder="1" applyAlignment="1">
      <alignment horizontal="right" vertical="center"/>
    </xf>
    <xf numFmtId="186" fontId="5" fillId="0" borderId="0" xfId="1" applyNumberFormat="1" applyFont="1" applyAlignment="1">
      <alignment vertical="center"/>
    </xf>
    <xf numFmtId="0" fontId="5" fillId="0" borderId="17" xfId="1" applyFont="1" applyBorder="1" applyAlignment="1">
      <alignment horizontal="distributed" vertical="center" justifyLastLine="1"/>
    </xf>
    <xf numFmtId="0" fontId="5" fillId="0" borderId="18" xfId="1" applyFont="1" applyBorder="1" applyAlignment="1">
      <alignment horizontal="distributed" vertical="center"/>
    </xf>
    <xf numFmtId="0" fontId="7" fillId="0" borderId="18" xfId="1" applyFont="1" applyBorder="1" applyAlignment="1">
      <alignment horizontal="distributed" vertical="center" wrapText="1"/>
    </xf>
    <xf numFmtId="0" fontId="7" fillId="0" borderId="18" xfId="1" applyFont="1" applyBorder="1" applyAlignment="1">
      <alignment horizontal="distributed" vertical="center"/>
    </xf>
    <xf numFmtId="0" fontId="5" fillId="0" borderId="46" xfId="2" applyFont="1" applyBorder="1" applyAlignment="1">
      <alignment horizontal="distributed" vertical="center"/>
    </xf>
    <xf numFmtId="186" fontId="15" fillId="0" borderId="43" xfId="1" applyNumberFormat="1" applyFont="1" applyBorder="1" applyAlignment="1">
      <alignment horizontal="right" vertical="center"/>
    </xf>
    <xf numFmtId="186" fontId="15" fillId="0" borderId="23" xfId="1" applyNumberFormat="1" applyFont="1" applyBorder="1" applyAlignment="1">
      <alignment horizontal="right" vertical="center"/>
    </xf>
    <xf numFmtId="186" fontId="15" fillId="0" borderId="7" xfId="1" applyNumberFormat="1" applyFont="1" applyBorder="1" applyAlignment="1">
      <alignment horizontal="right" vertical="center"/>
    </xf>
    <xf numFmtId="186" fontId="15" fillId="0" borderId="26" xfId="1" applyNumberFormat="1" applyFont="1" applyBorder="1" applyAlignment="1">
      <alignment horizontal="right" vertical="center"/>
    </xf>
    <xf numFmtId="0" fontId="5" fillId="0" borderId="11" xfId="1" applyFont="1" applyBorder="1" applyAlignment="1">
      <alignment horizontal="distributed" vertical="center" justifyLastLine="1"/>
    </xf>
    <xf numFmtId="0" fontId="5" fillId="0" borderId="24" xfId="1" applyFont="1" applyBorder="1" applyAlignment="1">
      <alignment horizontal="distributed" vertical="center" justifyLastLine="1"/>
    </xf>
    <xf numFmtId="186" fontId="15" fillId="0" borderId="28" xfId="1" applyNumberFormat="1" applyFont="1" applyBorder="1" applyAlignment="1">
      <alignment horizontal="right" vertical="center"/>
    </xf>
    <xf numFmtId="0" fontId="5" fillId="0" borderId="23" xfId="1" applyFont="1" applyBorder="1" applyAlignment="1">
      <alignment horizontal="distributed" vertical="center"/>
    </xf>
    <xf numFmtId="0" fontId="5" fillId="0" borderId="16" xfId="1" applyFont="1" applyBorder="1" applyAlignment="1">
      <alignment horizontal="distributed" vertical="center"/>
    </xf>
    <xf numFmtId="0" fontId="5" fillId="0" borderId="10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5" xfId="1" applyFont="1" applyBorder="1" applyAlignment="1">
      <alignment horizontal="distributed" vertical="center"/>
    </xf>
    <xf numFmtId="186" fontId="15" fillId="0" borderId="84" xfId="1" applyNumberFormat="1" applyFont="1" applyBorder="1" applyAlignment="1">
      <alignment horizontal="right" vertical="center"/>
    </xf>
    <xf numFmtId="186" fontId="15" fillId="0" borderId="62" xfId="1" applyNumberFormat="1" applyFont="1" applyBorder="1" applyAlignment="1">
      <alignment horizontal="right" vertical="center"/>
    </xf>
    <xf numFmtId="0" fontId="5" fillId="0" borderId="24" xfId="1" applyFont="1" applyBorder="1" applyAlignment="1">
      <alignment horizontal="center" vertical="center"/>
    </xf>
    <xf numFmtId="0" fontId="5" fillId="0" borderId="27" xfId="1" applyFont="1" applyBorder="1" applyAlignment="1">
      <alignment horizontal="distributed" vertical="center" justifyLastLine="1"/>
    </xf>
    <xf numFmtId="0" fontId="17" fillId="0" borderId="0" xfId="1" applyFont="1" applyAlignment="1">
      <alignment horizontal="center" vertical="center" justifyLastLine="1"/>
    </xf>
    <xf numFmtId="0" fontId="5" fillId="0" borderId="19" xfId="1" applyFont="1" applyBorder="1" applyAlignment="1">
      <alignment horizontal="distributed" vertical="center" wrapText="1"/>
    </xf>
    <xf numFmtId="0" fontId="5" fillId="0" borderId="54" xfId="1" applyFont="1" applyBorder="1" applyAlignment="1">
      <alignment horizontal="distributed" vertical="center"/>
    </xf>
    <xf numFmtId="0" fontId="5" fillId="0" borderId="17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181" fontId="5" fillId="0" borderId="0" xfId="1" applyNumberFormat="1" applyFont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18" fillId="0" borderId="128" xfId="3" applyFont="1" applyBorder="1" applyAlignment="1">
      <alignment horizontal="center" vertical="center" wrapText="1"/>
    </xf>
    <xf numFmtId="0" fontId="18" fillId="0" borderId="129" xfId="3" applyFont="1" applyBorder="1" applyAlignment="1">
      <alignment horizontal="center" vertical="center" wrapText="1"/>
    </xf>
    <xf numFmtId="0" fontId="18" fillId="0" borderId="164" xfId="3" applyFont="1" applyBorder="1" applyAlignment="1">
      <alignment horizontal="center" vertical="center" wrapText="1"/>
    </xf>
    <xf numFmtId="0" fontId="18" fillId="0" borderId="118" xfId="3" applyFont="1" applyBorder="1" applyAlignment="1">
      <alignment horizontal="center" vertical="center" wrapText="1"/>
    </xf>
    <xf numFmtId="0" fontId="5" fillId="0" borderId="40" xfId="2" applyFont="1" applyBorder="1" applyAlignment="1">
      <alignment horizontal="distributed" vertical="center"/>
    </xf>
    <xf numFmtId="185" fontId="15" fillId="0" borderId="157" xfId="3" applyNumberFormat="1" applyFont="1" applyBorder="1" applyAlignment="1">
      <alignment horizontal="right" vertical="center"/>
    </xf>
    <xf numFmtId="185" fontId="15" fillId="0" borderId="125" xfId="3" applyNumberFormat="1" applyFont="1" applyBorder="1" applyAlignment="1">
      <alignment horizontal="right" vertical="center"/>
    </xf>
    <xf numFmtId="0" fontId="18" fillId="0" borderId="130" xfId="3" applyFont="1" applyBorder="1" applyAlignment="1">
      <alignment horizontal="center" vertical="center" wrapText="1"/>
    </xf>
    <xf numFmtId="185" fontId="15" fillId="0" borderId="163" xfId="3" applyNumberFormat="1" applyFont="1" applyBorder="1" applyAlignment="1">
      <alignment horizontal="right" vertical="center" shrinkToFit="1"/>
    </xf>
    <xf numFmtId="185" fontId="15" fillId="0" borderId="175" xfId="3" applyNumberFormat="1" applyFont="1" applyBorder="1" applyAlignment="1">
      <alignment horizontal="right" vertical="center" shrinkToFit="1"/>
    </xf>
    <xf numFmtId="186" fontId="15" fillId="0" borderId="124" xfId="3" applyNumberFormat="1" applyFont="1" applyBorder="1" applyAlignment="1">
      <alignment horizontal="right" vertical="center"/>
    </xf>
    <xf numFmtId="186" fontId="15" fillId="0" borderId="20" xfId="3" applyNumberFormat="1" applyFont="1" applyBorder="1" applyAlignment="1">
      <alignment horizontal="right" vertical="center" shrinkToFit="1"/>
    </xf>
    <xf numFmtId="186" fontId="15" fillId="0" borderId="45" xfId="3" applyNumberFormat="1" applyFont="1" applyBorder="1" applyAlignment="1">
      <alignment horizontal="right" vertical="center" shrinkToFit="1"/>
    </xf>
    <xf numFmtId="186" fontId="15" fillId="0" borderId="0" xfId="3" applyNumberFormat="1" applyFont="1" applyAlignment="1">
      <alignment horizontal="right" vertical="center" shrinkToFit="1"/>
    </xf>
    <xf numFmtId="186" fontId="15" fillId="0" borderId="83" xfId="3" applyNumberFormat="1" applyFont="1" applyBorder="1" applyAlignment="1">
      <alignment horizontal="right" vertical="center" shrinkToFit="1"/>
    </xf>
    <xf numFmtId="187" fontId="15" fillId="0" borderId="47" xfId="3" applyNumberFormat="1" applyFont="1" applyBorder="1" applyAlignment="1">
      <alignment horizontal="right" vertical="center" shrinkToFit="1"/>
    </xf>
    <xf numFmtId="187" fontId="15" fillId="0" borderId="29" xfId="3" applyNumberFormat="1" applyFont="1" applyBorder="1" applyAlignment="1">
      <alignment horizontal="right" vertical="center" shrinkToFit="1"/>
    </xf>
    <xf numFmtId="186" fontId="15" fillId="0" borderId="9" xfId="3" applyNumberFormat="1" applyFont="1" applyBorder="1" applyAlignment="1">
      <alignment horizontal="right" vertical="center" shrinkToFit="1"/>
    </xf>
    <xf numFmtId="187" fontId="15" fillId="0" borderId="31" xfId="3" applyNumberFormat="1" applyFont="1" applyBorder="1" applyAlignment="1">
      <alignment horizontal="right" vertical="center" shrinkToFit="1"/>
    </xf>
    <xf numFmtId="186" fontId="15" fillId="0" borderId="95" xfId="3" applyNumberFormat="1" applyFont="1" applyBorder="1" applyAlignment="1">
      <alignment horizontal="right" vertical="center" shrinkToFit="1"/>
    </xf>
    <xf numFmtId="186" fontId="15" fillId="0" borderId="119" xfId="3" applyNumberFormat="1" applyFont="1" applyBorder="1" applyAlignment="1">
      <alignment horizontal="right" vertical="center" shrinkToFit="1"/>
    </xf>
    <xf numFmtId="187" fontId="15" fillId="0" borderId="176" xfId="3" applyNumberFormat="1" applyFont="1" applyBorder="1" applyAlignment="1">
      <alignment horizontal="right" vertical="center" shrinkToFit="1"/>
    </xf>
    <xf numFmtId="187" fontId="15" fillId="0" borderId="163" xfId="3" applyNumberFormat="1" applyFont="1" applyBorder="1" applyAlignment="1">
      <alignment horizontal="right" vertical="center" shrinkToFit="1"/>
    </xf>
    <xf numFmtId="187" fontId="15" fillId="0" borderId="174" xfId="3" applyNumberFormat="1" applyFont="1" applyBorder="1" applyAlignment="1">
      <alignment horizontal="right" vertical="center" shrinkToFit="1"/>
    </xf>
    <xf numFmtId="186" fontId="15" fillId="0" borderId="173" xfId="3" applyNumberFormat="1" applyFont="1" applyBorder="1" applyAlignment="1">
      <alignment horizontal="right" vertical="center" shrinkToFit="1"/>
    </xf>
    <xf numFmtId="178" fontId="5" fillId="0" borderId="30" xfId="3" applyNumberFormat="1" applyFont="1" applyBorder="1" applyAlignment="1">
      <alignment horizontal="left" vertical="center" shrinkToFit="1"/>
    </xf>
    <xf numFmtId="178" fontId="5" fillId="0" borderId="42" xfId="3" applyNumberFormat="1" applyFont="1" applyBorder="1" applyAlignment="1">
      <alignment horizontal="left" vertical="center" shrinkToFit="1"/>
    </xf>
    <xf numFmtId="178" fontId="5" fillId="0" borderId="152" xfId="3" applyNumberFormat="1" applyFont="1" applyBorder="1" applyAlignment="1">
      <alignment horizontal="left" vertical="center" shrinkToFit="1"/>
    </xf>
    <xf numFmtId="0" fontId="5" fillId="0" borderId="74" xfId="1" applyFont="1" applyBorder="1" applyAlignment="1">
      <alignment horizontal="distributed" vertical="center"/>
    </xf>
    <xf numFmtId="0" fontId="5" fillId="0" borderId="75" xfId="1" applyFont="1" applyBorder="1" applyAlignment="1">
      <alignment horizontal="distributed" vertical="center"/>
    </xf>
    <xf numFmtId="0" fontId="5" fillId="0" borderId="76" xfId="1" applyFont="1" applyBorder="1" applyAlignment="1">
      <alignment horizontal="distributed" vertical="center"/>
    </xf>
    <xf numFmtId="178" fontId="5" fillId="0" borderId="26" xfId="3" applyNumberFormat="1" applyFont="1" applyBorder="1" applyAlignment="1">
      <alignment horizontal="left" vertical="center" shrinkToFit="1"/>
    </xf>
    <xf numFmtId="178" fontId="5" fillId="0" borderId="20" xfId="3" applyNumberFormat="1" applyFont="1" applyBorder="1" applyAlignment="1">
      <alignment horizontal="left" vertical="center" shrinkToFit="1"/>
    </xf>
    <xf numFmtId="178" fontId="5" fillId="0" borderId="109" xfId="3" applyNumberFormat="1" applyFont="1" applyBorder="1" applyAlignment="1">
      <alignment horizontal="left" vertical="center" shrinkToFit="1"/>
    </xf>
    <xf numFmtId="49" fontId="15" fillId="0" borderId="74" xfId="1" applyNumberFormat="1" applyFont="1" applyBorder="1" applyAlignment="1">
      <alignment horizontal="center" vertical="center"/>
    </xf>
    <xf numFmtId="49" fontId="15" fillId="0" borderId="75" xfId="1" applyNumberFormat="1" applyFont="1" applyBorder="1" applyAlignment="1">
      <alignment horizontal="center" vertical="center"/>
    </xf>
    <xf numFmtId="49" fontId="15" fillId="0" borderId="76" xfId="1" applyNumberFormat="1" applyFont="1" applyBorder="1" applyAlignment="1">
      <alignment horizontal="center" vertical="center"/>
    </xf>
    <xf numFmtId="0" fontId="5" fillId="2" borderId="107" xfId="3" applyFont="1" applyFill="1" applyBorder="1" applyAlignment="1">
      <alignment horizontal="center" vertical="center"/>
    </xf>
    <xf numFmtId="0" fontId="5" fillId="2" borderId="93" xfId="3" applyFont="1" applyFill="1" applyBorder="1" applyAlignment="1">
      <alignment horizontal="center" vertical="center"/>
    </xf>
    <xf numFmtId="0" fontId="5" fillId="2" borderId="108" xfId="3" applyFont="1" applyFill="1" applyBorder="1" applyAlignment="1">
      <alignment horizontal="center" vertical="center"/>
    </xf>
    <xf numFmtId="0" fontId="5" fillId="2" borderId="112" xfId="3" applyFont="1" applyFill="1" applyBorder="1" applyAlignment="1">
      <alignment horizontal="center" vertical="center"/>
    </xf>
    <xf numFmtId="0" fontId="5" fillId="2" borderId="95" xfId="3" applyFont="1" applyFill="1" applyBorder="1" applyAlignment="1">
      <alignment horizontal="center" vertical="center"/>
    </xf>
    <xf numFmtId="0" fontId="5" fillId="2" borderId="113" xfId="3" applyFont="1" applyFill="1" applyBorder="1" applyAlignment="1">
      <alignment horizontal="center" vertical="center"/>
    </xf>
    <xf numFmtId="178" fontId="5" fillId="0" borderId="126" xfId="3" applyNumberFormat="1" applyFont="1" applyBorder="1" applyAlignment="1">
      <alignment horizontal="left" vertical="center" shrinkToFit="1"/>
    </xf>
    <xf numFmtId="178" fontId="5" fillId="0" borderId="124" xfId="3" applyNumberFormat="1" applyFont="1" applyBorder="1" applyAlignment="1">
      <alignment horizontal="left" vertical="center" shrinkToFit="1"/>
    </xf>
    <xf numFmtId="178" fontId="5" fillId="0" borderId="127" xfId="3" applyNumberFormat="1" applyFont="1" applyBorder="1" applyAlignment="1">
      <alignment horizontal="left" vertical="center" shrinkToFit="1"/>
    </xf>
    <xf numFmtId="178" fontId="5" fillId="0" borderId="28" xfId="3" applyNumberFormat="1" applyFont="1" applyBorder="1" applyAlignment="1">
      <alignment horizontal="left" vertical="center" shrinkToFit="1"/>
    </xf>
    <xf numFmtId="178" fontId="5" fillId="0" borderId="83" xfId="3" applyNumberFormat="1" applyFont="1" applyBorder="1" applyAlignment="1">
      <alignment horizontal="left" vertical="center" shrinkToFit="1"/>
    </xf>
    <xf numFmtId="178" fontId="5" fillId="0" borderId="151" xfId="3" applyNumberFormat="1" applyFont="1" applyBorder="1" applyAlignment="1">
      <alignment horizontal="left" vertical="center" shrinkToFit="1"/>
    </xf>
    <xf numFmtId="0" fontId="5" fillId="0" borderId="101" xfId="2" applyFont="1" applyBorder="1" applyAlignment="1">
      <alignment horizontal="center" vertical="center" wrapText="1"/>
    </xf>
    <xf numFmtId="0" fontId="5" fillId="0" borderId="96" xfId="2" applyFont="1" applyBorder="1" applyAlignment="1">
      <alignment horizontal="center" vertical="center" wrapText="1"/>
    </xf>
    <xf numFmtId="0" fontId="5" fillId="0" borderId="102" xfId="2" applyFont="1" applyBorder="1" applyAlignment="1">
      <alignment horizontal="center" vertical="center" wrapText="1"/>
    </xf>
    <xf numFmtId="0" fontId="5" fillId="0" borderId="84" xfId="2" applyFont="1" applyBorder="1" applyAlignment="1">
      <alignment horizontal="distributed" vertical="center"/>
    </xf>
    <xf numFmtId="0" fontId="5" fillId="0" borderId="83" xfId="2" applyFont="1" applyBorder="1" applyAlignment="1">
      <alignment horizontal="distributed" vertical="center"/>
    </xf>
    <xf numFmtId="178" fontId="5" fillId="0" borderId="15" xfId="3" applyNumberFormat="1" applyFont="1" applyBorder="1" applyAlignment="1">
      <alignment horizontal="left" vertical="center" shrinkToFit="1"/>
    </xf>
    <xf numFmtId="178" fontId="5" fillId="0" borderId="45" xfId="3" applyNumberFormat="1" applyFont="1" applyBorder="1" applyAlignment="1">
      <alignment horizontal="left" vertical="center" shrinkToFit="1"/>
    </xf>
    <xf numFmtId="178" fontId="5" fillId="0" borderId="145" xfId="3" applyNumberFormat="1" applyFont="1" applyBorder="1" applyAlignment="1">
      <alignment horizontal="left" vertical="center" shrinkToFit="1"/>
    </xf>
    <xf numFmtId="0" fontId="5" fillId="0" borderId="23" xfId="2" applyFont="1" applyBorder="1" applyAlignment="1">
      <alignment horizontal="distributed" vertical="center"/>
    </xf>
    <xf numFmtId="0" fontId="5" fillId="0" borderId="20" xfId="2" applyFont="1" applyBorder="1" applyAlignment="1">
      <alignment horizontal="distributed" vertical="center"/>
    </xf>
    <xf numFmtId="0" fontId="5" fillId="1" borderId="57" xfId="2" applyFont="1" applyFill="1" applyBorder="1" applyAlignment="1">
      <alignment horizontal="distributed" vertical="center"/>
    </xf>
    <xf numFmtId="0" fontId="5" fillId="1" borderId="21" xfId="2" applyFont="1" applyFill="1" applyBorder="1" applyAlignment="1">
      <alignment horizontal="distributed" vertical="center"/>
    </xf>
    <xf numFmtId="0" fontId="5" fillId="0" borderId="103" xfId="2" applyFont="1" applyBorder="1" applyAlignment="1">
      <alignment horizontal="distributed" vertical="center"/>
    </xf>
    <xf numFmtId="0" fontId="5" fillId="0" borderId="104" xfId="2" applyFont="1" applyBorder="1" applyAlignment="1">
      <alignment horizontal="distributed" vertical="center"/>
    </xf>
    <xf numFmtId="177" fontId="5" fillId="0" borderId="112" xfId="1" applyNumberFormat="1" applyFont="1" applyBorder="1" applyAlignment="1">
      <alignment horizontal="left" shrinkToFit="1"/>
    </xf>
    <xf numFmtId="177" fontId="5" fillId="0" borderId="95" xfId="1" applyNumberFormat="1" applyFont="1" applyBorder="1" applyAlignment="1">
      <alignment horizontal="left" shrinkToFit="1"/>
    </xf>
    <xf numFmtId="177" fontId="5" fillId="0" borderId="113" xfId="1" applyNumberFormat="1" applyFont="1" applyBorder="1" applyAlignment="1">
      <alignment horizontal="left" shrinkToFit="1"/>
    </xf>
    <xf numFmtId="0" fontId="5" fillId="1" borderId="100" xfId="2" applyFont="1" applyFill="1" applyBorder="1" applyAlignment="1">
      <alignment horizontal="distributed" vertical="center"/>
    </xf>
    <xf numFmtId="0" fontId="5" fillId="1" borderId="41" xfId="2" applyFont="1" applyFill="1" applyBorder="1" applyAlignment="1">
      <alignment horizontal="distributed" vertical="center"/>
    </xf>
    <xf numFmtId="0" fontId="5" fillId="1" borderId="43" xfId="2" applyFont="1" applyFill="1" applyBorder="1" applyAlignment="1">
      <alignment horizontal="distributed" vertical="center"/>
    </xf>
    <xf numFmtId="0" fontId="5" fillId="1" borderId="40" xfId="2" applyFont="1" applyFill="1" applyBorder="1" applyAlignment="1">
      <alignment horizontal="distributed" vertical="center"/>
    </xf>
    <xf numFmtId="0" fontId="5" fillId="1" borderId="23" xfId="2" applyFont="1" applyFill="1" applyBorder="1" applyAlignment="1">
      <alignment horizontal="distributed" vertical="center"/>
    </xf>
    <xf numFmtId="0" fontId="5" fillId="0" borderId="40" xfId="2" applyFont="1" applyBorder="1" applyAlignment="1">
      <alignment horizontal="distributed" vertical="center"/>
    </xf>
    <xf numFmtId="0" fontId="5" fillId="0" borderId="97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distributed" vertical="center"/>
    </xf>
    <xf numFmtId="0" fontId="5" fillId="0" borderId="44" xfId="2" applyFont="1" applyBorder="1" applyAlignment="1">
      <alignment horizontal="distributed" vertical="center"/>
    </xf>
    <xf numFmtId="0" fontId="5" fillId="0" borderId="46" xfId="2" applyFont="1" applyBorder="1" applyAlignment="1">
      <alignment horizontal="distributed" vertical="center"/>
    </xf>
    <xf numFmtId="0" fontId="5" fillId="0" borderId="86" xfId="2" applyFont="1" applyBorder="1" applyAlignment="1">
      <alignment horizontal="distributed" vertical="center"/>
    </xf>
    <xf numFmtId="0" fontId="5" fillId="0" borderId="57" xfId="2" applyFont="1" applyBorder="1" applyAlignment="1">
      <alignment horizontal="distributed" vertical="center"/>
    </xf>
    <xf numFmtId="0" fontId="5" fillId="1" borderId="43" xfId="2" applyFont="1" applyFill="1" applyBorder="1" applyAlignment="1">
      <alignment horizontal="distributed" vertical="center" shrinkToFit="1"/>
    </xf>
    <xf numFmtId="0" fontId="5" fillId="1" borderId="42" xfId="2" applyFont="1" applyFill="1" applyBorder="1" applyAlignment="1">
      <alignment horizontal="distributed" vertical="center" shrinkToFit="1"/>
    </xf>
    <xf numFmtId="0" fontId="5" fillId="1" borderId="148" xfId="2" applyFont="1" applyFill="1" applyBorder="1" applyAlignment="1">
      <alignment horizontal="distributed" vertical="center" shrinkToFit="1"/>
    </xf>
    <xf numFmtId="0" fontId="5" fillId="0" borderId="117" xfId="1" applyFont="1" applyBorder="1" applyAlignment="1">
      <alignment horizontal="distributed" vertical="center" justifyLastLine="1"/>
    </xf>
    <xf numFmtId="0" fontId="5" fillId="0" borderId="119" xfId="1" applyFont="1" applyBorder="1" applyAlignment="1">
      <alignment horizontal="distributed" vertical="center" justifyLastLine="1"/>
    </xf>
    <xf numFmtId="184" fontId="5" fillId="0" borderId="106" xfId="1" applyNumberFormat="1" applyFont="1" applyBorder="1" applyAlignment="1">
      <alignment horizontal="distributed" vertical="center" justifyLastLine="1"/>
    </xf>
    <xf numFmtId="184" fontId="5" fillId="0" borderId="153" xfId="1" applyNumberFormat="1" applyFont="1" applyBorder="1" applyAlignment="1">
      <alignment horizontal="distributed" vertical="center" justifyLastLine="1"/>
    </xf>
    <xf numFmtId="184" fontId="5" fillId="0" borderId="136" xfId="1" applyNumberFormat="1" applyFont="1" applyBorder="1" applyAlignment="1">
      <alignment horizontal="distributed" vertical="center" justifyLastLine="1"/>
    </xf>
    <xf numFmtId="184" fontId="5" fillId="0" borderId="102" xfId="1" applyNumberFormat="1" applyFont="1" applyBorder="1" applyAlignment="1">
      <alignment horizontal="distributed" vertical="center" justifyLastLine="1"/>
    </xf>
    <xf numFmtId="0" fontId="5" fillId="0" borderId="98" xfId="2" applyFont="1" applyBorder="1" applyAlignment="1">
      <alignment horizontal="distributed" vertical="center"/>
    </xf>
    <xf numFmtId="0" fontId="5" fillId="0" borderId="61" xfId="2" applyFont="1" applyBorder="1" applyAlignment="1">
      <alignment horizontal="distributed" vertical="center"/>
    </xf>
    <xf numFmtId="0" fontId="5" fillId="0" borderId="99" xfId="2" applyFont="1" applyBorder="1" applyAlignment="1">
      <alignment horizontal="distributed" vertical="center" shrinkToFit="1"/>
    </xf>
    <xf numFmtId="0" fontId="5" fillId="0" borderId="40" xfId="2" applyFont="1" applyBorder="1" applyAlignment="1">
      <alignment horizontal="distributed" vertical="center" shrinkToFit="1"/>
    </xf>
    <xf numFmtId="0" fontId="5" fillId="0" borderId="23" xfId="2" applyFont="1" applyBorder="1" applyAlignment="1">
      <alignment horizontal="distributed" vertical="center" shrinkToFit="1"/>
    </xf>
    <xf numFmtId="0" fontId="2" fillId="0" borderId="0" xfId="1" applyFont="1" applyAlignment="1">
      <alignment horizontal="center" vertical="center"/>
    </xf>
    <xf numFmtId="0" fontId="5" fillId="0" borderId="92" xfId="2" applyFont="1" applyBorder="1" applyAlignment="1">
      <alignment horizontal="center" vertical="center"/>
    </xf>
    <xf numFmtId="0" fontId="5" fillId="0" borderId="93" xfId="2" applyFont="1" applyBorder="1" applyAlignment="1">
      <alignment horizontal="center" vertical="center"/>
    </xf>
    <xf numFmtId="0" fontId="5" fillId="0" borderId="94" xfId="2" applyFont="1" applyBorder="1" applyAlignment="1">
      <alignment horizontal="center" vertical="center"/>
    </xf>
    <xf numFmtId="0" fontId="5" fillId="0" borderId="95" xfId="2" applyFont="1" applyBorder="1" applyAlignment="1">
      <alignment horizontal="center" vertical="center"/>
    </xf>
    <xf numFmtId="0" fontId="12" fillId="2" borderId="116" xfId="3" applyFont="1" applyFill="1" applyBorder="1" applyAlignment="1">
      <alignment horizontal="center" vertical="center" wrapText="1"/>
    </xf>
    <xf numFmtId="0" fontId="12" fillId="2" borderId="118" xfId="3" applyFont="1" applyFill="1" applyBorder="1" applyAlignment="1">
      <alignment horizontal="center" vertical="center" wrapText="1"/>
    </xf>
    <xf numFmtId="186" fontId="5" fillId="0" borderId="30" xfId="1" applyNumberFormat="1" applyFont="1" applyBorder="1" applyAlignment="1">
      <alignment vertical="center"/>
    </xf>
    <xf numFmtId="186" fontId="5" fillId="0" borderId="42" xfId="1" applyNumberFormat="1" applyFont="1" applyBorder="1" applyAlignment="1">
      <alignment vertical="center"/>
    </xf>
    <xf numFmtId="186" fontId="5" fillId="0" borderId="10" xfId="1" applyNumberFormat="1" applyFont="1" applyBorder="1" applyAlignment="1">
      <alignment vertical="center"/>
    </xf>
    <xf numFmtId="186" fontId="5" fillId="0" borderId="26" xfId="1" applyNumberFormat="1" applyFont="1" applyBorder="1" applyAlignment="1">
      <alignment horizontal="left" vertical="center"/>
    </xf>
    <xf numFmtId="186" fontId="5" fillId="0" borderId="20" xfId="1" applyNumberFormat="1" applyFont="1" applyBorder="1" applyAlignment="1">
      <alignment horizontal="left" vertical="center"/>
    </xf>
    <xf numFmtId="186" fontId="5" fillId="0" borderId="7" xfId="1" applyNumberFormat="1" applyFont="1" applyBorder="1" applyAlignment="1">
      <alignment horizontal="left" vertical="center"/>
    </xf>
    <xf numFmtId="186" fontId="5" fillId="0" borderId="30" xfId="1" applyNumberFormat="1" applyFont="1" applyBorder="1" applyAlignment="1">
      <alignment horizontal="left" vertical="center"/>
    </xf>
    <xf numFmtId="186" fontId="5" fillId="0" borderId="42" xfId="1" applyNumberFormat="1" applyFont="1" applyBorder="1" applyAlignment="1">
      <alignment horizontal="left" vertical="center"/>
    </xf>
    <xf numFmtId="186" fontId="5" fillId="0" borderId="10" xfId="1" applyNumberFormat="1" applyFont="1" applyBorder="1" applyAlignment="1">
      <alignment horizontal="left" vertical="center"/>
    </xf>
    <xf numFmtId="186" fontId="5" fillId="0" borderId="26" xfId="1" applyNumberFormat="1" applyFont="1" applyBorder="1" applyAlignment="1">
      <alignment vertical="center"/>
    </xf>
    <xf numFmtId="186" fontId="5" fillId="0" borderId="20" xfId="1" applyNumberFormat="1" applyFont="1" applyBorder="1" applyAlignment="1">
      <alignment vertical="center"/>
    </xf>
    <xf numFmtId="186" fontId="5" fillId="0" borderId="7" xfId="1" applyNumberFormat="1" applyFont="1" applyBorder="1" applyAlignment="1">
      <alignment vertical="center"/>
    </xf>
    <xf numFmtId="186" fontId="5" fillId="0" borderId="32" xfId="1" applyNumberFormat="1" applyFont="1" applyBorder="1" applyAlignment="1">
      <alignment vertical="center"/>
    </xf>
    <xf numFmtId="186" fontId="5" fillId="0" borderId="21" xfId="1" applyNumberFormat="1" applyFont="1" applyBorder="1" applyAlignment="1">
      <alignment vertical="center"/>
    </xf>
    <xf numFmtId="186" fontId="5" fillId="0" borderId="22" xfId="1" applyNumberFormat="1" applyFont="1" applyBorder="1" applyAlignment="1">
      <alignment vertical="center"/>
    </xf>
    <xf numFmtId="186" fontId="5" fillId="0" borderId="165" xfId="1" applyNumberFormat="1" applyFont="1" applyBorder="1" applyAlignment="1">
      <alignment vertical="center"/>
    </xf>
    <xf numFmtId="186" fontId="5" fillId="0" borderId="166" xfId="1" applyNumberFormat="1" applyFont="1" applyBorder="1" applyAlignment="1">
      <alignment vertical="center"/>
    </xf>
    <xf numFmtId="186" fontId="5" fillId="0" borderId="167" xfId="1" applyNumberFormat="1" applyFont="1" applyBorder="1" applyAlignment="1">
      <alignment vertical="center"/>
    </xf>
    <xf numFmtId="185" fontId="15" fillId="0" borderId="23" xfId="1" applyNumberFormat="1" applyFont="1" applyBorder="1" applyAlignment="1">
      <alignment horizontal="right" vertical="center"/>
    </xf>
    <xf numFmtId="185" fontId="15" fillId="0" borderId="20" xfId="1" applyNumberFormat="1" applyFont="1" applyBorder="1" applyAlignment="1">
      <alignment horizontal="right" vertical="center"/>
    </xf>
    <xf numFmtId="185" fontId="15" fillId="0" borderId="147" xfId="1" applyNumberFormat="1" applyFont="1" applyBorder="1" applyAlignment="1">
      <alignment horizontal="right" vertical="center"/>
    </xf>
    <xf numFmtId="186" fontId="15" fillId="0" borderId="43" xfId="1" applyNumberFormat="1" applyFont="1" applyBorder="1" applyAlignment="1">
      <alignment horizontal="right" vertical="center"/>
    </xf>
    <xf numFmtId="186" fontId="15" fillId="0" borderId="42" xfId="1" applyNumberFormat="1" applyFont="1" applyBorder="1" applyAlignment="1">
      <alignment horizontal="right" vertical="center"/>
    </xf>
    <xf numFmtId="186" fontId="15" fillId="0" borderId="10" xfId="1" applyNumberFormat="1" applyFont="1" applyBorder="1" applyAlignment="1">
      <alignment horizontal="right" vertical="center"/>
    </xf>
    <xf numFmtId="186" fontId="15" fillId="0" borderId="23" xfId="1" applyNumberFormat="1" applyFont="1" applyBorder="1" applyAlignment="1">
      <alignment horizontal="right" vertical="center"/>
    </xf>
    <xf numFmtId="186" fontId="15" fillId="0" borderId="20" xfId="1" applyNumberFormat="1" applyFont="1" applyBorder="1" applyAlignment="1">
      <alignment horizontal="right" vertical="center"/>
    </xf>
    <xf numFmtId="186" fontId="15" fillId="0" borderId="7" xfId="1" applyNumberFormat="1" applyFont="1" applyBorder="1" applyAlignment="1">
      <alignment horizontal="right" vertical="center"/>
    </xf>
    <xf numFmtId="185" fontId="15" fillId="0" borderId="43" xfId="1" applyNumberFormat="1" applyFont="1" applyBorder="1" applyAlignment="1">
      <alignment horizontal="right" vertical="center"/>
    </xf>
    <xf numFmtId="185" fontId="15" fillId="0" borderId="42" xfId="1" applyNumberFormat="1" applyFont="1" applyBorder="1" applyAlignment="1">
      <alignment horizontal="right" vertical="center"/>
    </xf>
    <xf numFmtId="185" fontId="15" fillId="0" borderId="148" xfId="1" applyNumberFormat="1" applyFont="1" applyBorder="1" applyAlignment="1">
      <alignment horizontal="right" vertical="center"/>
    </xf>
    <xf numFmtId="185" fontId="15" fillId="0" borderId="15" xfId="1" applyNumberFormat="1" applyFont="1" applyBorder="1" applyAlignment="1">
      <alignment horizontal="right" vertical="center"/>
    </xf>
    <xf numFmtId="185" fontId="15" fillId="0" borderId="45" xfId="1" applyNumberFormat="1" applyFont="1" applyBorder="1" applyAlignment="1">
      <alignment horizontal="right" vertical="center"/>
    </xf>
    <xf numFmtId="185" fontId="15" fillId="0" borderId="26" xfId="1" applyNumberFormat="1" applyFont="1" applyBorder="1" applyAlignment="1">
      <alignment horizontal="right" vertical="center"/>
    </xf>
    <xf numFmtId="0" fontId="5" fillId="0" borderId="73" xfId="1" applyFont="1" applyBorder="1" applyAlignment="1">
      <alignment horizontal="center" vertical="center" justifyLastLine="1"/>
    </xf>
    <xf numFmtId="0" fontId="5" fillId="0" borderId="11" xfId="1" applyFont="1" applyBorder="1" applyAlignment="1">
      <alignment horizontal="center" vertical="center" justifyLastLine="1"/>
    </xf>
    <xf numFmtId="0" fontId="5" fillId="0" borderId="24" xfId="1" applyFont="1" applyBorder="1" applyAlignment="1">
      <alignment horizontal="center" vertical="center" justifyLastLine="1"/>
    </xf>
    <xf numFmtId="0" fontId="5" fillId="0" borderId="14" xfId="1" applyFont="1" applyBorder="1" applyAlignment="1">
      <alignment horizontal="center" vertical="center" justifyLastLine="1"/>
    </xf>
    <xf numFmtId="0" fontId="5" fillId="0" borderId="12" xfId="1" applyFont="1" applyBorder="1" applyAlignment="1">
      <alignment horizontal="center" vertical="center" justifyLastLine="1"/>
    </xf>
    <xf numFmtId="0" fontId="5" fillId="0" borderId="3" xfId="1" applyFont="1" applyBorder="1" applyAlignment="1">
      <alignment horizontal="center" vertical="center" justifyLastLine="1"/>
    </xf>
    <xf numFmtId="186" fontId="5" fillId="0" borderId="28" xfId="1" applyNumberFormat="1" applyFont="1" applyBorder="1" applyAlignment="1">
      <alignment vertical="center"/>
    </xf>
    <xf numFmtId="186" fontId="5" fillId="0" borderId="83" xfId="1" applyNumberFormat="1" applyFont="1" applyBorder="1" applyAlignment="1">
      <alignment vertical="center"/>
    </xf>
    <xf numFmtId="186" fontId="5" fillId="0" borderId="37" xfId="1" applyNumberFormat="1" applyFont="1" applyBorder="1" applyAlignment="1">
      <alignment vertical="center"/>
    </xf>
    <xf numFmtId="186" fontId="5" fillId="0" borderId="15" xfId="1" applyNumberFormat="1" applyFont="1" applyBorder="1" applyAlignment="1">
      <alignment vertical="center"/>
    </xf>
    <xf numFmtId="186" fontId="5" fillId="0" borderId="45" xfId="1" applyNumberFormat="1" applyFont="1" applyBorder="1" applyAlignment="1">
      <alignment vertical="center"/>
    </xf>
    <xf numFmtId="186" fontId="5" fillId="0" borderId="48" xfId="1" applyNumberFormat="1" applyFont="1" applyBorder="1" applyAlignment="1">
      <alignment vertical="center"/>
    </xf>
    <xf numFmtId="0" fontId="5" fillId="0" borderId="26" xfId="4" applyFont="1" applyBorder="1" applyAlignment="1">
      <alignment horizontal="distributed" vertical="center"/>
    </xf>
    <xf numFmtId="0" fontId="5" fillId="0" borderId="20" xfId="4" applyFont="1" applyBorder="1" applyAlignment="1">
      <alignment horizontal="distributed" vertical="center"/>
    </xf>
    <xf numFmtId="0" fontId="5" fillId="0" borderId="147" xfId="4" applyFont="1" applyBorder="1" applyAlignment="1">
      <alignment horizontal="distributed" vertical="center"/>
    </xf>
    <xf numFmtId="0" fontId="5" fillId="0" borderId="28" xfId="4" applyFont="1" applyBorder="1" applyAlignment="1">
      <alignment horizontal="distributed" vertical="center"/>
    </xf>
    <xf numFmtId="0" fontId="5" fillId="0" borderId="83" xfId="4" applyFont="1" applyBorder="1" applyAlignment="1">
      <alignment horizontal="distributed" vertical="center"/>
    </xf>
    <xf numFmtId="0" fontId="5" fillId="0" borderId="146" xfId="4" applyFont="1" applyBorder="1" applyAlignment="1">
      <alignment horizontal="distributed" vertical="center"/>
    </xf>
    <xf numFmtId="0" fontId="5" fillId="0" borderId="74" xfId="1" applyFont="1" applyBorder="1" applyAlignment="1">
      <alignment horizontal="distributed" vertical="center" wrapText="1"/>
    </xf>
    <xf numFmtId="0" fontId="5" fillId="0" borderId="75" xfId="1" applyFont="1" applyBorder="1" applyAlignment="1">
      <alignment horizontal="distributed" vertical="center" wrapText="1"/>
    </xf>
    <xf numFmtId="0" fontId="5" fillId="0" borderId="76" xfId="1" applyFont="1" applyBorder="1" applyAlignment="1">
      <alignment horizontal="distributed" vertical="center" wrapText="1"/>
    </xf>
    <xf numFmtId="0" fontId="15" fillId="0" borderId="74" xfId="1" applyFont="1" applyBorder="1" applyAlignment="1">
      <alignment horizontal="center" vertical="center" wrapText="1"/>
    </xf>
    <xf numFmtId="0" fontId="15" fillId="0" borderId="75" xfId="1" applyFont="1" applyBorder="1" applyAlignment="1">
      <alignment horizontal="center" vertical="center" wrapText="1"/>
    </xf>
    <xf numFmtId="0" fontId="15" fillId="0" borderId="76" xfId="1" applyFont="1" applyBorder="1" applyAlignment="1">
      <alignment horizontal="center" vertical="center" wrapText="1"/>
    </xf>
    <xf numFmtId="186" fontId="15" fillId="0" borderId="26" xfId="1" applyNumberFormat="1" applyFont="1" applyBorder="1" applyAlignment="1">
      <alignment horizontal="right" vertical="center"/>
    </xf>
    <xf numFmtId="186" fontId="15" fillId="0" borderId="147" xfId="1" applyNumberFormat="1" applyFont="1" applyBorder="1" applyAlignment="1">
      <alignment horizontal="right" vertical="center"/>
    </xf>
    <xf numFmtId="0" fontId="12" fillId="0" borderId="12" xfId="4" applyFont="1" applyBorder="1" applyAlignment="1">
      <alignment horizontal="center" vertical="center" justifyLastLine="1"/>
    </xf>
    <xf numFmtId="0" fontId="12" fillId="0" borderId="3" xfId="4" applyFont="1" applyBorder="1" applyAlignment="1">
      <alignment horizontal="center" vertical="center" justifyLastLine="1"/>
    </xf>
    <xf numFmtId="0" fontId="5" fillId="0" borderId="11" xfId="1" applyFont="1" applyBorder="1" applyAlignment="1">
      <alignment horizontal="distributed" vertical="center" justifyLastLine="1"/>
    </xf>
    <xf numFmtId="0" fontId="5" fillId="0" borderId="24" xfId="1" applyFont="1" applyBorder="1" applyAlignment="1">
      <alignment horizontal="distributed" vertical="center" justifyLastLine="1"/>
    </xf>
    <xf numFmtId="186" fontId="15" fillId="0" borderId="28" xfId="1" applyNumberFormat="1" applyFont="1" applyBorder="1" applyAlignment="1">
      <alignment horizontal="right" vertical="center"/>
    </xf>
    <xf numFmtId="186" fontId="15" fillId="0" borderId="83" xfId="1" applyNumberFormat="1" applyFont="1" applyBorder="1" applyAlignment="1">
      <alignment horizontal="right" vertical="center"/>
    </xf>
    <xf numFmtId="186" fontId="15" fillId="0" borderId="146" xfId="1" applyNumberFormat="1" applyFont="1" applyBorder="1" applyAlignment="1">
      <alignment horizontal="right" vertical="center"/>
    </xf>
    <xf numFmtId="0" fontId="14" fillId="0" borderId="77" xfId="4" applyBorder="1" applyAlignment="1">
      <alignment horizontal="center" vertical="center"/>
    </xf>
    <xf numFmtId="0" fontId="14" fillId="0" borderId="78" xfId="4" applyBorder="1" applyAlignment="1">
      <alignment horizontal="center" vertical="center"/>
    </xf>
    <xf numFmtId="0" fontId="14" fillId="0" borderId="79" xfId="4" applyBorder="1" applyAlignment="1">
      <alignment horizontal="center" vertical="center"/>
    </xf>
    <xf numFmtId="0" fontId="14" fillId="0" borderId="80" xfId="4" applyBorder="1" applyAlignment="1">
      <alignment horizontal="center" vertical="center"/>
    </xf>
    <xf numFmtId="0" fontId="14" fillId="0" borderId="81" xfId="4" applyBorder="1" applyAlignment="1">
      <alignment horizontal="center" vertical="center"/>
    </xf>
    <xf numFmtId="0" fontId="14" fillId="0" borderId="82" xfId="4" applyBorder="1" applyAlignment="1">
      <alignment horizontal="center" vertical="center"/>
    </xf>
    <xf numFmtId="0" fontId="5" fillId="0" borderId="77" xfId="1" applyFont="1" applyBorder="1" applyAlignment="1">
      <alignment horizontal="center" vertical="center"/>
    </xf>
    <xf numFmtId="0" fontId="5" fillId="0" borderId="78" xfId="1" applyFont="1" applyBorder="1" applyAlignment="1">
      <alignment horizontal="center" vertical="center"/>
    </xf>
    <xf numFmtId="0" fontId="5" fillId="0" borderId="79" xfId="1" applyFont="1" applyBorder="1" applyAlignment="1">
      <alignment horizontal="center" vertical="center"/>
    </xf>
    <xf numFmtId="0" fontId="5" fillId="0" borderId="80" xfId="1" applyFont="1" applyBorder="1" applyAlignment="1">
      <alignment horizontal="center" vertical="center"/>
    </xf>
    <xf numFmtId="0" fontId="5" fillId="0" borderId="81" xfId="1" applyFont="1" applyBorder="1" applyAlignment="1">
      <alignment horizontal="center" vertical="center"/>
    </xf>
    <xf numFmtId="0" fontId="5" fillId="0" borderId="82" xfId="1" applyFont="1" applyBorder="1" applyAlignment="1">
      <alignment horizontal="center" vertical="center"/>
    </xf>
    <xf numFmtId="0" fontId="5" fillId="0" borderId="57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23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7" xfId="1" applyFont="1" applyBorder="1" applyAlignment="1">
      <alignment horizontal="distributed" vertical="center"/>
    </xf>
    <xf numFmtId="0" fontId="5" fillId="0" borderId="139" xfId="1" applyFont="1" applyBorder="1" applyAlignment="1">
      <alignment horizontal="center" vertical="center" wrapText="1"/>
    </xf>
    <xf numFmtId="0" fontId="5" fillId="0" borderId="134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 wrapText="1"/>
    </xf>
    <xf numFmtId="0" fontId="5" fillId="0" borderId="8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35" xfId="1" applyFont="1" applyBorder="1" applyAlignment="1">
      <alignment horizontal="center" vertical="center" wrapText="1"/>
    </xf>
    <xf numFmtId="0" fontId="5" fillId="0" borderId="84" xfId="1" applyFont="1" applyBorder="1" applyAlignment="1">
      <alignment horizontal="distributed" vertical="center"/>
    </xf>
    <xf numFmtId="0" fontId="5" fillId="0" borderId="83" xfId="1" applyFont="1" applyBorder="1" applyAlignment="1">
      <alignment horizontal="distributed" vertical="center"/>
    </xf>
    <xf numFmtId="0" fontId="5" fillId="0" borderId="73" xfId="1" applyFont="1" applyBorder="1" applyAlignment="1">
      <alignment horizontal="distributed" vertical="center"/>
    </xf>
    <xf numFmtId="0" fontId="5" fillId="0" borderId="11" xfId="1" applyFont="1" applyBorder="1" applyAlignment="1">
      <alignment horizontal="distributed" vertical="center"/>
    </xf>
    <xf numFmtId="0" fontId="5" fillId="0" borderId="24" xfId="1" applyFont="1" applyBorder="1" applyAlignment="1">
      <alignment horizontal="distributed" vertical="center"/>
    </xf>
    <xf numFmtId="0" fontId="5" fillId="0" borderId="22" xfId="1" applyFont="1" applyBorder="1" applyAlignment="1">
      <alignment horizontal="distributed" vertical="center"/>
    </xf>
    <xf numFmtId="0" fontId="5" fillId="0" borderId="16" xfId="1" applyFont="1" applyBorder="1" applyAlignment="1">
      <alignment horizontal="distributed" vertical="center"/>
    </xf>
    <xf numFmtId="0" fontId="5" fillId="0" borderId="12" xfId="1" applyFont="1" applyBorder="1" applyAlignment="1">
      <alignment horizontal="distributed" vertical="center"/>
    </xf>
    <xf numFmtId="0" fontId="5" fillId="0" borderId="32" xfId="1" applyFont="1" applyBorder="1" applyAlignment="1">
      <alignment horizontal="distributed" vertical="center"/>
    </xf>
    <xf numFmtId="187" fontId="15" fillId="0" borderId="23" xfId="1" applyNumberFormat="1" applyFont="1" applyBorder="1" applyAlignment="1">
      <alignment horizontal="right" vertical="center"/>
    </xf>
    <xf numFmtId="187" fontId="15" fillId="0" borderId="20" xfId="1" applyNumberFormat="1" applyFont="1" applyBorder="1" applyAlignment="1">
      <alignment horizontal="right" vertical="center"/>
    </xf>
    <xf numFmtId="187" fontId="15" fillId="0" borderId="147" xfId="1" applyNumberFormat="1" applyFont="1" applyBorder="1" applyAlignment="1">
      <alignment horizontal="right" vertical="center"/>
    </xf>
    <xf numFmtId="187" fontId="15" fillId="0" borderId="26" xfId="1" applyNumberFormat="1" applyFont="1" applyBorder="1" applyAlignment="1">
      <alignment horizontal="right" vertical="center"/>
    </xf>
    <xf numFmtId="186" fontId="15" fillId="0" borderId="148" xfId="1" applyNumberFormat="1" applyFont="1" applyBorder="1" applyAlignment="1">
      <alignment horizontal="right" vertical="center"/>
    </xf>
    <xf numFmtId="0" fontId="5" fillId="0" borderId="30" xfId="4" applyFont="1" applyBorder="1" applyAlignment="1">
      <alignment horizontal="distributed" vertical="center"/>
    </xf>
    <xf numFmtId="0" fontId="5" fillId="0" borderId="42" xfId="4" applyFont="1" applyBorder="1" applyAlignment="1">
      <alignment horizontal="distributed" vertical="center"/>
    </xf>
    <xf numFmtId="0" fontId="5" fillId="0" borderId="148" xfId="4" applyFont="1" applyBorder="1" applyAlignment="1">
      <alignment horizontal="distributed" vertical="center"/>
    </xf>
    <xf numFmtId="0" fontId="5" fillId="0" borderId="32" xfId="4" applyFont="1" applyBorder="1" applyAlignment="1">
      <alignment horizontal="distributed" vertical="center"/>
    </xf>
    <xf numFmtId="0" fontId="5" fillId="0" borderId="21" xfId="4" applyFont="1" applyBorder="1" applyAlignment="1">
      <alignment horizontal="distributed" vertical="center"/>
    </xf>
    <xf numFmtId="0" fontId="5" fillId="0" borderId="85" xfId="4" applyFont="1" applyBorder="1" applyAlignment="1">
      <alignment horizontal="distributed" vertical="center"/>
    </xf>
    <xf numFmtId="0" fontId="5" fillId="0" borderId="74" xfId="0" applyFont="1" applyBorder="1" applyAlignment="1">
      <alignment horizontal="distributed" vertical="center" justifyLastLine="1"/>
    </xf>
    <xf numFmtId="0" fontId="5" fillId="0" borderId="75" xfId="0" applyFont="1" applyBorder="1" applyAlignment="1">
      <alignment horizontal="distributed" vertical="center" justifyLastLine="1"/>
    </xf>
    <xf numFmtId="0" fontId="5" fillId="0" borderId="138" xfId="0" applyFont="1" applyBorder="1" applyAlignment="1">
      <alignment horizontal="distributed" vertical="center" justifyLastLine="1"/>
    </xf>
    <xf numFmtId="0" fontId="5" fillId="0" borderId="32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center" wrapText="1"/>
    </xf>
    <xf numFmtId="0" fontId="5" fillId="0" borderId="73" xfId="1" applyFont="1" applyBorder="1" applyAlignment="1">
      <alignment horizontal="center" vertical="center" wrapText="1"/>
    </xf>
    <xf numFmtId="0" fontId="5" fillId="0" borderId="134" xfId="1" applyFont="1" applyBorder="1" applyAlignment="1">
      <alignment horizontal="center" vertical="center" wrapText="1"/>
    </xf>
    <xf numFmtId="184" fontId="5" fillId="0" borderId="73" xfId="1" applyNumberFormat="1" applyFont="1" applyBorder="1" applyAlignment="1">
      <alignment horizontal="distributed" vertical="center" justifyLastLine="1"/>
    </xf>
    <xf numFmtId="184" fontId="5" fillId="0" borderId="11" xfId="1" applyNumberFormat="1" applyFont="1" applyBorder="1" applyAlignment="1">
      <alignment horizontal="distributed" vertical="center" justifyLastLine="1"/>
    </xf>
    <xf numFmtId="184" fontId="5" fillId="0" borderId="134" xfId="1" applyNumberFormat="1" applyFont="1" applyBorder="1" applyAlignment="1">
      <alignment horizontal="distributed" vertical="center" justifyLastLine="1"/>
    </xf>
    <xf numFmtId="184" fontId="5" fillId="0" borderId="14" xfId="1" applyNumberFormat="1" applyFont="1" applyBorder="1" applyAlignment="1">
      <alignment horizontal="distributed" vertical="center" justifyLastLine="1"/>
    </xf>
    <xf numFmtId="184" fontId="5" fillId="0" borderId="12" xfId="1" applyNumberFormat="1" applyFont="1" applyBorder="1" applyAlignment="1">
      <alignment horizontal="distributed" vertical="center" justifyLastLine="1"/>
    </xf>
    <xf numFmtId="184" fontId="5" fillId="0" borderId="135" xfId="1" applyNumberFormat="1" applyFont="1" applyBorder="1" applyAlignment="1">
      <alignment horizontal="distributed" vertical="center" justifyLastLine="1"/>
    </xf>
    <xf numFmtId="184" fontId="5" fillId="0" borderId="139" xfId="1" applyNumberFormat="1" applyFont="1" applyBorder="1" applyAlignment="1">
      <alignment horizontal="distributed" vertical="center" justifyLastLine="1"/>
    </xf>
    <xf numFmtId="184" fontId="5" fillId="0" borderId="16" xfId="1" applyNumberFormat="1" applyFont="1" applyBorder="1" applyAlignment="1">
      <alignment horizontal="distributed" vertical="center" justifyLastLine="1"/>
    </xf>
    <xf numFmtId="0" fontId="5" fillId="0" borderId="23" xfId="1" applyFont="1" applyBorder="1" applyAlignment="1">
      <alignment horizontal="left" vertical="center" shrinkToFit="1"/>
    </xf>
    <xf numFmtId="0" fontId="5" fillId="0" borderId="20" xfId="1" applyFont="1" applyBorder="1" applyAlignment="1">
      <alignment horizontal="left" vertical="center" shrinkToFit="1"/>
    </xf>
    <xf numFmtId="0" fontId="5" fillId="0" borderId="43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57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187" fontId="15" fillId="0" borderId="30" xfId="1" applyNumberFormat="1" applyFont="1" applyBorder="1" applyAlignment="1">
      <alignment horizontal="right" vertical="center"/>
    </xf>
    <xf numFmtId="187" fontId="15" fillId="0" borderId="42" xfId="1" applyNumberFormat="1" applyFont="1" applyBorder="1" applyAlignment="1">
      <alignment horizontal="right" vertical="center"/>
    </xf>
    <xf numFmtId="187" fontId="15" fillId="0" borderId="43" xfId="1" applyNumberFormat="1" applyFont="1" applyBorder="1" applyAlignment="1">
      <alignment horizontal="right" vertical="center"/>
    </xf>
    <xf numFmtId="187" fontId="15" fillId="0" borderId="148" xfId="1" applyNumberFormat="1" applyFont="1" applyBorder="1" applyAlignment="1">
      <alignment horizontal="right" vertical="center"/>
    </xf>
    <xf numFmtId="186" fontId="15" fillId="0" borderId="37" xfId="1" applyNumberFormat="1" applyFont="1" applyBorder="1" applyAlignment="1">
      <alignment horizontal="right" vertical="center"/>
    </xf>
    <xf numFmtId="0" fontId="5" fillId="0" borderId="30" xfId="1" applyFont="1" applyBorder="1" applyAlignment="1">
      <alignment horizontal="distributed" vertical="center"/>
    </xf>
    <xf numFmtId="0" fontId="5" fillId="0" borderId="42" xfId="1" applyFont="1" applyBorder="1" applyAlignment="1">
      <alignment horizontal="distributed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37" xfId="1" applyFont="1" applyBorder="1" applyAlignment="1">
      <alignment horizontal="distributed" vertical="center"/>
    </xf>
    <xf numFmtId="0" fontId="5" fillId="0" borderId="1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43" xfId="1" applyFont="1" applyBorder="1" applyAlignment="1">
      <alignment horizontal="distributed" vertical="center"/>
    </xf>
    <xf numFmtId="0" fontId="5" fillId="0" borderId="10" xfId="1" applyFont="1" applyBorder="1" applyAlignment="1">
      <alignment horizontal="distributed" vertical="center"/>
    </xf>
    <xf numFmtId="187" fontId="15" fillId="0" borderId="46" xfId="1" applyNumberFormat="1" applyFont="1" applyBorder="1" applyAlignment="1">
      <alignment horizontal="right" vertical="center"/>
    </xf>
    <xf numFmtId="187" fontId="15" fillId="0" borderId="45" xfId="1" applyNumberFormat="1" applyFont="1" applyBorder="1" applyAlignment="1">
      <alignment horizontal="right" vertical="center"/>
    </xf>
    <xf numFmtId="187" fontId="15" fillId="0" borderId="54" xfId="1" applyNumberFormat="1" applyFont="1" applyBorder="1" applyAlignment="1">
      <alignment horizontal="right" vertical="center"/>
    </xf>
    <xf numFmtId="187" fontId="15" fillId="0" borderId="28" xfId="1" applyNumberFormat="1" applyFont="1" applyBorder="1" applyAlignment="1">
      <alignment horizontal="right" vertical="center"/>
    </xf>
    <xf numFmtId="187" fontId="15" fillId="0" borderId="83" xfId="1" applyNumberFormat="1" applyFont="1" applyBorder="1" applyAlignment="1">
      <alignment horizontal="right" vertical="center"/>
    </xf>
    <xf numFmtId="187" fontId="15" fillId="0" borderId="146" xfId="1" applyNumberFormat="1" applyFont="1" applyBorder="1" applyAlignment="1">
      <alignment horizontal="right" vertical="center"/>
    </xf>
    <xf numFmtId="187" fontId="15" fillId="0" borderId="84" xfId="1" applyNumberFormat="1" applyFont="1" applyBorder="1" applyAlignment="1">
      <alignment horizontal="right" vertical="center"/>
    </xf>
    <xf numFmtId="186" fontId="15" fillId="0" borderId="45" xfId="1" applyNumberFormat="1" applyFont="1" applyBorder="1" applyAlignment="1">
      <alignment horizontal="right" vertical="center"/>
    </xf>
    <xf numFmtId="186" fontId="15" fillId="0" borderId="48" xfId="1" applyNumberFormat="1" applyFont="1" applyBorder="1" applyAlignment="1">
      <alignment horizontal="right" vertical="center"/>
    </xf>
    <xf numFmtId="185" fontId="15" fillId="0" borderId="30" xfId="1" applyNumberFormat="1" applyFont="1" applyBorder="1" applyAlignment="1">
      <alignment horizontal="right" vertical="center"/>
    </xf>
    <xf numFmtId="0" fontId="5" fillId="0" borderId="15" xfId="1" applyFont="1" applyBorder="1" applyAlignment="1">
      <alignment horizontal="distributed" vertical="center"/>
    </xf>
    <xf numFmtId="0" fontId="5" fillId="0" borderId="45" xfId="1" applyFont="1" applyBorder="1" applyAlignment="1">
      <alignment horizontal="distributed" vertical="center"/>
    </xf>
    <xf numFmtId="0" fontId="5" fillId="0" borderId="23" xfId="1" applyFont="1" applyBorder="1" applyAlignment="1">
      <alignment horizontal="distributed" vertical="center" shrinkToFit="1"/>
    </xf>
    <xf numFmtId="0" fontId="5" fillId="0" borderId="20" xfId="1" applyFont="1" applyBorder="1" applyAlignment="1">
      <alignment horizontal="distributed" vertical="center" shrinkToFit="1"/>
    </xf>
    <xf numFmtId="0" fontId="5" fillId="0" borderId="7" xfId="1" applyFont="1" applyBorder="1" applyAlignment="1">
      <alignment horizontal="distributed" vertical="center" shrinkToFit="1"/>
    </xf>
    <xf numFmtId="0" fontId="5" fillId="0" borderId="73" xfId="1" applyFont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5" fillId="0" borderId="24" xfId="1" applyFont="1" applyBorder="1" applyAlignment="1">
      <alignment horizontal="center" vertical="center" shrinkToFit="1"/>
    </xf>
    <xf numFmtId="185" fontId="15" fillId="0" borderId="28" xfId="1" applyNumberFormat="1" applyFont="1" applyBorder="1" applyAlignment="1">
      <alignment horizontal="right" vertical="center"/>
    </xf>
    <xf numFmtId="185" fontId="15" fillId="0" borderId="83" xfId="1" applyNumberFormat="1" applyFont="1" applyBorder="1" applyAlignment="1">
      <alignment horizontal="right" vertical="center"/>
    </xf>
    <xf numFmtId="185" fontId="15" fillId="0" borderId="84" xfId="1" applyNumberFormat="1" applyFont="1" applyBorder="1" applyAlignment="1">
      <alignment horizontal="right" vertical="center"/>
    </xf>
    <xf numFmtId="185" fontId="15" fillId="0" borderId="146" xfId="1" applyNumberFormat="1" applyFont="1" applyBorder="1" applyAlignment="1">
      <alignment horizontal="right" vertical="center"/>
    </xf>
    <xf numFmtId="185" fontId="15" fillId="0" borderId="32" xfId="1" applyNumberFormat="1" applyFont="1" applyBorder="1" applyAlignment="1">
      <alignment horizontal="right" vertical="center"/>
    </xf>
    <xf numFmtId="185" fontId="15" fillId="0" borderId="21" xfId="1" applyNumberFormat="1" applyFont="1" applyBorder="1" applyAlignment="1">
      <alignment horizontal="right" vertical="center"/>
    </xf>
    <xf numFmtId="185" fontId="15" fillId="0" borderId="57" xfId="1" applyNumberFormat="1" applyFont="1" applyBorder="1" applyAlignment="1">
      <alignment horizontal="right" vertical="center"/>
    </xf>
    <xf numFmtId="185" fontId="15" fillId="0" borderId="85" xfId="1" applyNumberFormat="1" applyFont="1" applyBorder="1" applyAlignment="1">
      <alignment horizontal="right" vertical="center"/>
    </xf>
    <xf numFmtId="186" fontId="15" fillId="0" borderId="21" xfId="1" applyNumberFormat="1" applyFont="1" applyBorder="1" applyAlignment="1">
      <alignment horizontal="right" vertical="center"/>
    </xf>
    <xf numFmtId="186" fontId="15" fillId="0" borderId="22" xfId="1" applyNumberFormat="1" applyFont="1" applyBorder="1" applyAlignment="1">
      <alignment horizontal="right" vertical="center"/>
    </xf>
    <xf numFmtId="0" fontId="5" fillId="0" borderId="76" xfId="0" applyFont="1" applyBorder="1" applyAlignment="1">
      <alignment horizontal="distributed" vertical="center" justifyLastLine="1"/>
    </xf>
    <xf numFmtId="186" fontId="15" fillId="0" borderId="84" xfId="1" applyNumberFormat="1" applyFont="1" applyBorder="1" applyAlignment="1">
      <alignment horizontal="right" vertical="center"/>
    </xf>
    <xf numFmtId="0" fontId="5" fillId="0" borderId="27" xfId="1" applyFont="1" applyBorder="1" applyAlignment="1">
      <alignment horizontal="center" vertical="distributed" textRotation="255" justifyLastLine="1" shrinkToFit="1"/>
    </xf>
    <xf numFmtId="0" fontId="5" fillId="0" borderId="1" xfId="1" applyFont="1" applyBorder="1" applyAlignment="1">
      <alignment horizontal="center" vertical="distributed" textRotation="255" justifyLastLine="1" shrinkToFit="1"/>
    </xf>
    <xf numFmtId="0" fontId="2" fillId="0" borderId="1" xfId="1" applyFont="1" applyBorder="1" applyAlignment="1">
      <alignment horizontal="center" vertical="distributed" textRotation="255" justifyLastLine="1" shrinkToFit="1"/>
    </xf>
    <xf numFmtId="0" fontId="2" fillId="0" borderId="2" xfId="1" applyFont="1" applyBorder="1" applyAlignment="1">
      <alignment horizontal="center" vertical="distributed" textRotation="255" justifyLastLine="1" shrinkToFit="1"/>
    </xf>
    <xf numFmtId="186" fontId="15" fillId="0" borderId="30" xfId="1" applyNumberFormat="1" applyFont="1" applyBorder="1" applyAlignment="1">
      <alignment horizontal="right" vertical="center"/>
    </xf>
    <xf numFmtId="0" fontId="5" fillId="0" borderId="28" xfId="1" applyFont="1" applyBorder="1" applyAlignment="1">
      <alignment horizontal="center" vertical="center" justifyLastLine="1"/>
    </xf>
    <xf numFmtId="0" fontId="5" fillId="0" borderId="83" xfId="1" applyFont="1" applyBorder="1" applyAlignment="1">
      <alignment horizontal="center" vertical="center" justifyLastLine="1"/>
    </xf>
    <xf numFmtId="0" fontId="5" fillId="0" borderId="37" xfId="1" applyFont="1" applyBorder="1" applyAlignment="1">
      <alignment horizontal="center" vertical="center" justifyLastLine="1"/>
    </xf>
    <xf numFmtId="0" fontId="5" fillId="0" borderId="26" xfId="1" applyFont="1" applyBorder="1" applyAlignment="1">
      <alignment horizontal="center" vertical="center" justifyLastLine="1"/>
    </xf>
    <xf numFmtId="0" fontId="5" fillId="0" borderId="20" xfId="1" applyFont="1" applyBorder="1" applyAlignment="1">
      <alignment horizontal="center" vertical="center" justifyLastLine="1"/>
    </xf>
    <xf numFmtId="0" fontId="5" fillId="0" borderId="7" xfId="1" applyFont="1" applyBorder="1" applyAlignment="1">
      <alignment horizontal="center" vertical="center" justifyLastLine="1"/>
    </xf>
    <xf numFmtId="0" fontId="5" fillId="0" borderId="30" xfId="1" applyFont="1" applyBorder="1" applyAlignment="1">
      <alignment horizontal="center" vertical="center" justifyLastLine="1"/>
    </xf>
    <xf numFmtId="0" fontId="5" fillId="0" borderId="42" xfId="1" applyFont="1" applyBorder="1" applyAlignment="1">
      <alignment horizontal="center" vertical="center" justifyLastLine="1"/>
    </xf>
    <xf numFmtId="0" fontId="5" fillId="0" borderId="10" xfId="1" applyFont="1" applyBorder="1" applyAlignment="1">
      <alignment horizontal="center" vertical="center" justifyLastLine="1"/>
    </xf>
    <xf numFmtId="186" fontId="5" fillId="0" borderId="15" xfId="1" applyNumberFormat="1" applyFont="1" applyBorder="1" applyAlignment="1">
      <alignment horizontal="left" vertical="center"/>
    </xf>
    <xf numFmtId="186" fontId="5" fillId="0" borderId="45" xfId="1" applyNumberFormat="1" applyFont="1" applyBorder="1" applyAlignment="1">
      <alignment horizontal="left" vertical="center"/>
    </xf>
    <xf numFmtId="186" fontId="5" fillId="0" borderId="48" xfId="1" applyNumberFormat="1" applyFont="1" applyBorder="1" applyAlignment="1">
      <alignment horizontal="left" vertical="center"/>
    </xf>
    <xf numFmtId="186" fontId="15" fillId="0" borderId="149" xfId="1" applyNumberFormat="1" applyFont="1" applyBorder="1" applyAlignment="1">
      <alignment horizontal="right" vertical="center"/>
    </xf>
    <xf numFmtId="186" fontId="15" fillId="0" borderId="60" xfId="1" applyNumberFormat="1" applyFont="1" applyBorder="1" applyAlignment="1">
      <alignment horizontal="right" vertical="center"/>
    </xf>
    <xf numFmtId="186" fontId="15" fillId="0" borderId="62" xfId="1" applyNumberFormat="1" applyFont="1" applyBorder="1" applyAlignment="1">
      <alignment horizontal="right" vertical="center"/>
    </xf>
    <xf numFmtId="185" fontId="15" fillId="0" borderId="149" xfId="1" applyNumberFormat="1" applyFont="1" applyBorder="1" applyAlignment="1">
      <alignment horizontal="right" vertical="center"/>
    </xf>
    <xf numFmtId="185" fontId="15" fillId="0" borderId="60" xfId="1" applyNumberFormat="1" applyFont="1" applyBorder="1" applyAlignment="1">
      <alignment horizontal="right" vertical="center"/>
    </xf>
    <xf numFmtId="185" fontId="15" fillId="0" borderId="140" xfId="1" applyNumberFormat="1" applyFont="1" applyBorder="1" applyAlignment="1">
      <alignment horizontal="right" vertical="center"/>
    </xf>
    <xf numFmtId="185" fontId="15" fillId="0" borderId="50" xfId="1" applyNumberFormat="1" applyFont="1" applyBorder="1" applyAlignment="1">
      <alignment horizontal="right" vertical="center"/>
    </xf>
    <xf numFmtId="185" fontId="15" fillId="0" borderId="46" xfId="1" applyNumberFormat="1" applyFont="1" applyBorder="1" applyAlignment="1">
      <alignment horizontal="right" vertical="center"/>
    </xf>
    <xf numFmtId="185" fontId="15" fillId="0" borderId="54" xfId="1" applyNumberFormat="1" applyFont="1" applyBorder="1" applyAlignment="1">
      <alignment horizontal="right" vertical="center"/>
    </xf>
    <xf numFmtId="0" fontId="5" fillId="0" borderId="27" xfId="1" applyFont="1" applyBorder="1" applyAlignment="1">
      <alignment horizontal="center" vertical="center" textRotation="255" shrinkToFit="1"/>
    </xf>
    <xf numFmtId="0" fontId="5" fillId="0" borderId="1" xfId="1" applyFont="1" applyBorder="1" applyAlignment="1">
      <alignment horizontal="center" vertical="center" textRotation="255" shrinkToFit="1"/>
    </xf>
    <xf numFmtId="0" fontId="5" fillId="0" borderId="57" xfId="1" applyFont="1" applyBorder="1" applyAlignment="1">
      <alignment horizontal="center" vertical="center" shrinkToFit="1"/>
    </xf>
    <xf numFmtId="0" fontId="2" fillId="0" borderId="85" xfId="1" applyFont="1" applyBorder="1" applyAlignment="1">
      <alignment horizontal="center" vertical="center" shrinkToFit="1"/>
    </xf>
    <xf numFmtId="0" fontId="5" fillId="0" borderId="46" xfId="1" applyFont="1" applyBorder="1" applyAlignment="1">
      <alignment horizontal="center" vertical="center" shrinkToFit="1"/>
    </xf>
    <xf numFmtId="0" fontId="2" fillId="0" borderId="54" xfId="1" applyFont="1" applyBorder="1" applyAlignment="1">
      <alignment horizontal="center" vertical="center" shrinkToFit="1"/>
    </xf>
    <xf numFmtId="0" fontId="5" fillId="0" borderId="40" xfId="1" applyFont="1" applyBorder="1" applyAlignment="1">
      <alignment horizontal="distributed" vertical="center" shrinkToFit="1"/>
    </xf>
    <xf numFmtId="0" fontId="5" fillId="0" borderId="6" xfId="1" applyFont="1" applyBorder="1" applyAlignment="1">
      <alignment horizontal="distributed" vertical="center" shrinkToFit="1"/>
    </xf>
    <xf numFmtId="0" fontId="2" fillId="0" borderId="79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/>
    </xf>
    <xf numFmtId="0" fontId="5" fillId="0" borderId="88" xfId="1" applyFont="1" applyBorder="1" applyAlignment="1">
      <alignment horizontal="center" vertical="center"/>
    </xf>
    <xf numFmtId="0" fontId="2" fillId="0" borderId="89" xfId="1" applyFont="1" applyBorder="1" applyAlignment="1">
      <alignment horizontal="center" vertical="center"/>
    </xf>
    <xf numFmtId="0" fontId="2" fillId="0" borderId="82" xfId="1" applyFont="1" applyBorder="1" applyAlignment="1">
      <alignment horizontal="center" vertical="center"/>
    </xf>
    <xf numFmtId="0" fontId="5" fillId="0" borderId="35" xfId="1" applyFont="1" applyBorder="1" applyAlignment="1">
      <alignment horizontal="distributed" vertical="distributed" textRotation="255"/>
    </xf>
    <xf numFmtId="0" fontId="5" fillId="0" borderId="5" xfId="1" applyFont="1" applyBorder="1" applyAlignment="1">
      <alignment horizontal="distributed" vertical="distributed" textRotation="255"/>
    </xf>
    <xf numFmtId="0" fontId="5" fillId="0" borderId="8" xfId="1" applyFont="1" applyBorder="1" applyAlignment="1">
      <alignment horizontal="distributed" vertical="distributed" textRotation="255"/>
    </xf>
    <xf numFmtId="0" fontId="5" fillId="0" borderId="61" xfId="1" applyFont="1" applyBorder="1" applyAlignment="1">
      <alignment horizontal="distributed" vertical="center"/>
    </xf>
    <xf numFmtId="0" fontId="5" fillId="0" borderId="40" xfId="1" applyFont="1" applyBorder="1" applyAlignment="1">
      <alignment horizontal="distributed" vertical="center"/>
    </xf>
    <xf numFmtId="0" fontId="5" fillId="0" borderId="13" xfId="1" applyFont="1" applyBorder="1" applyAlignment="1">
      <alignment horizontal="distributed" vertical="center"/>
    </xf>
    <xf numFmtId="0" fontId="5" fillId="0" borderId="6" xfId="1" applyFont="1" applyBorder="1" applyAlignment="1">
      <alignment horizontal="distributed" vertical="center"/>
    </xf>
    <xf numFmtId="0" fontId="5" fillId="0" borderId="41" xfId="1" applyFont="1" applyBorder="1" applyAlignment="1">
      <alignment horizontal="distributed" vertical="center"/>
    </xf>
    <xf numFmtId="0" fontId="5" fillId="0" borderId="9" xfId="1" applyFont="1" applyBorder="1" applyAlignment="1">
      <alignment horizontal="distributed" vertical="center"/>
    </xf>
    <xf numFmtId="0" fontId="5" fillId="0" borderId="11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184" fontId="5" fillId="0" borderId="83" xfId="1" applyNumberFormat="1" applyFont="1" applyBorder="1" applyAlignment="1">
      <alignment horizontal="distributed" vertical="center" justifyLastLine="1"/>
    </xf>
    <xf numFmtId="184" fontId="5" fillId="0" borderId="24" xfId="1" applyNumberFormat="1" applyFont="1" applyBorder="1" applyAlignment="1">
      <alignment horizontal="distributed" vertical="center" justifyLastLine="1"/>
    </xf>
    <xf numFmtId="0" fontId="5" fillId="0" borderId="86" xfId="1" applyFont="1" applyBorder="1" applyAlignment="1">
      <alignment horizontal="center" vertical="distributed" textRotation="255" justifyLastLine="1"/>
    </xf>
    <xf numFmtId="0" fontId="5" fillId="0" borderId="18" xfId="1" applyFont="1" applyBorder="1" applyAlignment="1">
      <alignment horizontal="center" vertical="distributed" textRotation="255" justifyLastLine="1"/>
    </xf>
    <xf numFmtId="0" fontId="5" fillId="0" borderId="39" xfId="1" applyFont="1" applyBorder="1" applyAlignment="1">
      <alignment horizontal="center" vertical="distributed" textRotation="255" justifyLastLine="1"/>
    </xf>
    <xf numFmtId="0" fontId="5" fillId="0" borderId="27" xfId="1" applyFont="1" applyBorder="1" applyAlignment="1">
      <alignment horizontal="distributed" vertical="center" justifyLastLine="1"/>
    </xf>
    <xf numFmtId="0" fontId="5" fillId="0" borderId="2" xfId="1" applyFont="1" applyBorder="1" applyAlignment="1">
      <alignment horizontal="distributed" vertical="center" justifyLastLine="1"/>
    </xf>
    <xf numFmtId="0" fontId="5" fillId="0" borderId="86" xfId="1" applyFont="1" applyBorder="1" applyAlignment="1">
      <alignment horizontal="center" vertical="center" textRotation="255" shrinkToFit="1"/>
    </xf>
    <xf numFmtId="0" fontId="5" fillId="0" borderId="18" xfId="1" applyFont="1" applyBorder="1" applyAlignment="1">
      <alignment horizontal="center" vertical="center" textRotation="255" shrinkToFit="1"/>
    </xf>
    <xf numFmtId="0" fontId="5" fillId="0" borderId="44" xfId="1" applyFont="1" applyBorder="1" applyAlignment="1">
      <alignment horizontal="center" vertical="center" textRotation="255" shrinkToFit="1"/>
    </xf>
    <xf numFmtId="0" fontId="5" fillId="0" borderId="75" xfId="1" applyFont="1" applyBorder="1" applyAlignment="1">
      <alignment horizontal="center" vertical="center"/>
    </xf>
    <xf numFmtId="0" fontId="5" fillId="0" borderId="76" xfId="1" applyFont="1" applyBorder="1" applyAlignment="1">
      <alignment horizontal="center" vertical="center"/>
    </xf>
    <xf numFmtId="0" fontId="5" fillId="0" borderId="36" xfId="1" applyFont="1" applyBorder="1" applyAlignment="1">
      <alignment horizontal="distributed" vertical="distributed" textRotation="255"/>
    </xf>
    <xf numFmtId="0" fontId="5" fillId="0" borderId="44" xfId="1" applyFont="1" applyBorder="1" applyAlignment="1">
      <alignment horizontal="distributed" vertical="distributed" textRotation="255" justifyLastLine="1"/>
    </xf>
    <xf numFmtId="0" fontId="5" fillId="0" borderId="40" xfId="1" applyFont="1" applyBorder="1" applyAlignment="1">
      <alignment horizontal="distributed" vertical="distributed" textRotation="255" justifyLastLine="1"/>
    </xf>
    <xf numFmtId="0" fontId="5" fillId="0" borderId="44" xfId="1" applyFont="1" applyBorder="1" applyAlignment="1">
      <alignment horizontal="distributed" vertical="center"/>
    </xf>
    <xf numFmtId="0" fontId="5" fillId="0" borderId="46" xfId="1" applyFont="1" applyBorder="1" applyAlignment="1">
      <alignment horizontal="distributed" vertical="center"/>
    </xf>
    <xf numFmtId="0" fontId="5" fillId="0" borderId="4" xfId="1" applyFont="1" applyBorder="1" applyAlignment="1">
      <alignment horizontal="distributed" vertical="center"/>
    </xf>
    <xf numFmtId="0" fontId="5" fillId="0" borderId="17" xfId="1" applyFont="1" applyBorder="1" applyAlignment="1">
      <alignment horizontal="center" vertical="center" justifyLastLine="1"/>
    </xf>
    <xf numFmtId="0" fontId="5" fillId="0" borderId="0" xfId="1" applyFont="1" applyAlignment="1">
      <alignment horizontal="center" vertical="center" justifyLastLine="1"/>
    </xf>
    <xf numFmtId="0" fontId="5" fillId="0" borderId="25" xfId="1" applyFont="1" applyBorder="1" applyAlignment="1">
      <alignment horizontal="center" vertical="center" justifyLastLine="1"/>
    </xf>
    <xf numFmtId="0" fontId="5" fillId="0" borderId="168" xfId="1" applyFont="1" applyBorder="1" applyAlignment="1">
      <alignment horizontal="distributed" vertical="center"/>
    </xf>
    <xf numFmtId="0" fontId="15" fillId="0" borderId="168" xfId="1" applyFont="1" applyBorder="1" applyAlignment="1">
      <alignment horizontal="center" vertical="center"/>
    </xf>
    <xf numFmtId="0" fontId="15" fillId="0" borderId="74" xfId="1" applyFont="1" applyBorder="1" applyAlignment="1">
      <alignment horizontal="center" vertical="center"/>
    </xf>
    <xf numFmtId="0" fontId="15" fillId="0" borderId="75" xfId="1" applyFont="1" applyBorder="1" applyAlignment="1">
      <alignment horizontal="center" vertical="center"/>
    </xf>
    <xf numFmtId="0" fontId="15" fillId="0" borderId="76" xfId="1" applyFont="1" applyBorder="1" applyAlignment="1">
      <alignment horizontal="center" vertical="center"/>
    </xf>
    <xf numFmtId="0" fontId="5" fillId="0" borderId="89" xfId="1" applyFont="1" applyBorder="1" applyAlignment="1">
      <alignment horizontal="center" vertical="center"/>
    </xf>
    <xf numFmtId="184" fontId="5" fillId="0" borderId="73" xfId="1" applyNumberFormat="1" applyFont="1" applyBorder="1" applyAlignment="1">
      <alignment horizontal="distributed" vertical="center" wrapText="1" justifyLastLine="1"/>
    </xf>
    <xf numFmtId="184" fontId="5" fillId="0" borderId="83" xfId="1" applyNumberFormat="1" applyFont="1" applyBorder="1" applyAlignment="1">
      <alignment horizontal="distributed" vertical="center" wrapText="1" justifyLastLine="1"/>
    </xf>
    <xf numFmtId="184" fontId="5" fillId="0" borderId="11" xfId="1" applyNumberFormat="1" applyFont="1" applyBorder="1" applyAlignment="1">
      <alignment horizontal="distributed" vertical="center" wrapText="1" justifyLastLine="1"/>
    </xf>
    <xf numFmtId="184" fontId="5" fillId="0" borderId="24" xfId="1" applyNumberFormat="1" applyFont="1" applyBorder="1" applyAlignment="1">
      <alignment horizontal="distributed" vertical="center" wrapText="1" justifyLastLine="1"/>
    </xf>
    <xf numFmtId="0" fontId="5" fillId="0" borderId="74" xfId="1" applyFont="1" applyBorder="1" applyAlignment="1">
      <alignment horizontal="center" vertical="center"/>
    </xf>
    <xf numFmtId="0" fontId="5" fillId="0" borderId="86" xfId="1" applyFont="1" applyBorder="1" applyAlignment="1">
      <alignment horizontal="center" vertical="distributed" textRotation="255"/>
    </xf>
    <xf numFmtId="0" fontId="5" fillId="0" borderId="18" xfId="1" applyFont="1" applyBorder="1" applyAlignment="1">
      <alignment horizontal="center" vertical="distributed" textRotation="255"/>
    </xf>
    <xf numFmtId="0" fontId="5" fillId="0" borderId="44" xfId="1" applyFont="1" applyBorder="1" applyAlignment="1">
      <alignment horizontal="center" vertical="distributed" textRotation="255"/>
    </xf>
    <xf numFmtId="0" fontId="5" fillId="0" borderId="85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/>
    </xf>
    <xf numFmtId="0" fontId="5" fillId="0" borderId="28" xfId="1" applyFont="1" applyBorder="1" applyAlignment="1">
      <alignment vertical="center" justifyLastLine="1"/>
    </xf>
    <xf numFmtId="0" fontId="5" fillId="0" borderId="83" xfId="1" applyFont="1" applyBorder="1" applyAlignment="1">
      <alignment vertical="center" justifyLastLine="1"/>
    </xf>
    <xf numFmtId="0" fontId="5" fillId="0" borderId="37" xfId="1" applyFont="1" applyBorder="1" applyAlignment="1">
      <alignment vertical="center" justifyLastLine="1"/>
    </xf>
    <xf numFmtId="189" fontId="15" fillId="0" borderId="5" xfId="1" applyNumberFormat="1" applyFont="1" applyBorder="1" applyAlignment="1">
      <alignment horizontal="right" vertical="center"/>
    </xf>
    <xf numFmtId="189" fontId="15" fillId="0" borderId="40" xfId="1" applyNumberFormat="1" applyFont="1" applyBorder="1" applyAlignment="1">
      <alignment horizontal="right" vertical="center"/>
    </xf>
    <xf numFmtId="189" fontId="15" fillId="0" borderId="52" xfId="1" applyNumberFormat="1" applyFont="1" applyBorder="1" applyAlignment="1">
      <alignment horizontal="right" vertical="center"/>
    </xf>
    <xf numFmtId="189" fontId="15" fillId="0" borderId="63" xfId="1" applyNumberFormat="1" applyFont="1" applyBorder="1" applyAlignment="1">
      <alignment horizontal="right" vertical="center"/>
    </xf>
    <xf numFmtId="189" fontId="5" fillId="0" borderId="56" xfId="1" applyNumberFormat="1" applyFont="1" applyBorder="1" applyAlignment="1">
      <alignment horizontal="right"/>
    </xf>
    <xf numFmtId="189" fontId="5" fillId="0" borderId="63" xfId="1" applyNumberFormat="1" applyFont="1" applyBorder="1" applyAlignment="1">
      <alignment horizontal="right"/>
    </xf>
    <xf numFmtId="189" fontId="5" fillId="0" borderId="141" xfId="1" applyNumberFormat="1" applyFont="1" applyBorder="1" applyAlignment="1">
      <alignment horizontal="right"/>
    </xf>
    <xf numFmtId="189" fontId="15" fillId="0" borderId="70" xfId="1" applyNumberFormat="1" applyFont="1" applyBorder="1" applyAlignment="1">
      <alignment horizontal="right" vertical="center"/>
    </xf>
    <xf numFmtId="189" fontId="15" fillId="0" borderId="69" xfId="1" applyNumberFormat="1" applyFont="1" applyBorder="1" applyAlignment="1">
      <alignment horizontal="right" vertical="center"/>
    </xf>
    <xf numFmtId="189" fontId="5" fillId="0" borderId="150" xfId="1" applyNumberFormat="1" applyFont="1" applyBorder="1" applyAlignment="1">
      <alignment horizontal="right"/>
    </xf>
    <xf numFmtId="189" fontId="5" fillId="0" borderId="69" xfId="1" applyNumberFormat="1" applyFont="1" applyBorder="1" applyAlignment="1">
      <alignment horizontal="right"/>
    </xf>
    <xf numFmtId="189" fontId="5" fillId="0" borderId="142" xfId="1" applyNumberFormat="1" applyFont="1" applyBorder="1" applyAlignment="1">
      <alignment horizontal="right"/>
    </xf>
    <xf numFmtId="0" fontId="5" fillId="0" borderId="57" xfId="1" applyFont="1" applyBorder="1" applyAlignment="1">
      <alignment horizontal="distributed" vertical="center" shrinkToFit="1"/>
    </xf>
    <xf numFmtId="0" fontId="5" fillId="0" borderId="85" xfId="1" applyFont="1" applyBorder="1" applyAlignment="1">
      <alignment horizontal="distributed" vertical="center" shrinkToFit="1"/>
    </xf>
    <xf numFmtId="0" fontId="5" fillId="0" borderId="46" xfId="1" applyFont="1" applyBorder="1" applyAlignment="1">
      <alignment horizontal="distributed" vertical="center" shrinkToFit="1"/>
    </xf>
    <xf numFmtId="0" fontId="5" fillId="0" borderId="54" xfId="1" applyFont="1" applyBorder="1" applyAlignment="1">
      <alignment horizontal="distributed" vertical="center" shrinkToFit="1"/>
    </xf>
    <xf numFmtId="0" fontId="5" fillId="0" borderId="57" xfId="1" applyFont="1" applyBorder="1" applyAlignment="1">
      <alignment horizontal="distributed" vertical="center" wrapText="1" shrinkToFit="1"/>
    </xf>
    <xf numFmtId="0" fontId="5" fillId="0" borderId="85" xfId="1" applyFont="1" applyBorder="1" applyAlignment="1">
      <alignment horizontal="distributed" vertical="center" wrapText="1" shrinkToFit="1"/>
    </xf>
    <xf numFmtId="0" fontId="5" fillId="0" borderId="19" xfId="1" applyFont="1" applyBorder="1" applyAlignment="1">
      <alignment horizontal="distributed" vertical="center" wrapText="1" shrinkToFit="1"/>
    </xf>
    <xf numFmtId="0" fontId="5" fillId="0" borderId="49" xfId="1" applyFont="1" applyBorder="1" applyAlignment="1">
      <alignment horizontal="distributed" vertical="center" wrapText="1" shrinkToFit="1"/>
    </xf>
    <xf numFmtId="0" fontId="5" fillId="0" borderId="57" xfId="1" applyFont="1" applyBorder="1" applyAlignment="1">
      <alignment horizontal="distributed" vertical="center" wrapText="1"/>
    </xf>
    <xf numFmtId="0" fontId="5" fillId="0" borderId="85" xfId="1" applyFont="1" applyBorder="1" applyAlignment="1">
      <alignment horizontal="distributed" vertical="center" wrapText="1"/>
    </xf>
    <xf numFmtId="0" fontId="5" fillId="0" borderId="19" xfId="1" applyFont="1" applyBorder="1" applyAlignment="1">
      <alignment horizontal="distributed" vertical="center" wrapText="1"/>
    </xf>
    <xf numFmtId="0" fontId="5" fillId="0" borderId="49" xfId="1" applyFont="1" applyBorder="1" applyAlignment="1">
      <alignment horizontal="distributed" vertical="center" wrapText="1"/>
    </xf>
    <xf numFmtId="0" fontId="5" fillId="0" borderId="46" xfId="1" applyFont="1" applyBorder="1" applyAlignment="1">
      <alignment horizontal="distributed" vertical="center" wrapText="1"/>
    </xf>
    <xf numFmtId="0" fontId="5" fillId="0" borderId="54" xfId="1" applyFont="1" applyBorder="1" applyAlignment="1">
      <alignment horizontal="distributed" vertical="center" wrapText="1"/>
    </xf>
    <xf numFmtId="0" fontId="5" fillId="0" borderId="19" xfId="1" applyFont="1" applyBorder="1" applyAlignment="1">
      <alignment horizontal="distributed" vertical="center" shrinkToFit="1"/>
    </xf>
    <xf numFmtId="0" fontId="5" fillId="0" borderId="49" xfId="1" applyFont="1" applyBorder="1" applyAlignment="1">
      <alignment horizontal="distributed" vertical="center" shrinkToFit="1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35" xfId="1" applyFont="1" applyBorder="1" applyAlignment="1">
      <alignment horizontal="center" vertical="center"/>
    </xf>
    <xf numFmtId="189" fontId="5" fillId="0" borderId="60" xfId="1" applyNumberFormat="1" applyFont="1" applyBorder="1" applyAlignment="1">
      <alignment horizontal="center"/>
    </xf>
    <xf numFmtId="189" fontId="5" fillId="0" borderId="140" xfId="1" applyNumberFormat="1" applyFont="1" applyBorder="1" applyAlignment="1">
      <alignment horizontal="center"/>
    </xf>
    <xf numFmtId="189" fontId="5" fillId="0" borderId="63" xfId="1" applyNumberFormat="1" applyFont="1" applyBorder="1" applyAlignment="1">
      <alignment horizontal="center"/>
    </xf>
    <xf numFmtId="189" fontId="5" fillId="0" borderId="141" xfId="1" applyNumberFormat="1" applyFont="1" applyBorder="1" applyAlignment="1">
      <alignment horizontal="center"/>
    </xf>
    <xf numFmtId="189" fontId="5" fillId="0" borderId="161" xfId="1" applyNumberFormat="1" applyFont="1" applyBorder="1" applyAlignment="1">
      <alignment horizontal="center"/>
    </xf>
    <xf numFmtId="189" fontId="5" fillId="0" borderId="159" xfId="1" applyNumberFormat="1" applyFont="1" applyBorder="1" applyAlignment="1">
      <alignment horizontal="center"/>
    </xf>
    <xf numFmtId="189" fontId="5" fillId="0" borderId="162" xfId="1" applyNumberFormat="1" applyFont="1" applyBorder="1" applyAlignment="1">
      <alignment horizontal="center"/>
    </xf>
    <xf numFmtId="189" fontId="5" fillId="0" borderId="149" xfId="1" applyNumberFormat="1" applyFont="1" applyBorder="1" applyAlignment="1">
      <alignment horizontal="center"/>
    </xf>
    <xf numFmtId="189" fontId="5" fillId="0" borderId="56" xfId="1" applyNumberFormat="1" applyFont="1" applyBorder="1" applyAlignment="1">
      <alignment horizontal="center"/>
    </xf>
    <xf numFmtId="189" fontId="5" fillId="0" borderId="160" xfId="1" applyNumberFormat="1" applyFont="1" applyBorder="1" applyAlignment="1">
      <alignment horizontal="center"/>
    </xf>
    <xf numFmtId="0" fontId="5" fillId="0" borderId="28" xfId="1" applyFont="1" applyBorder="1" applyAlignment="1">
      <alignment horizontal="distributed" vertical="center" shrinkToFit="1"/>
    </xf>
    <xf numFmtId="0" fontId="5" fillId="0" borderId="83" xfId="1" applyFont="1" applyBorder="1" applyAlignment="1">
      <alignment horizontal="distributed" vertical="center" shrinkToFit="1"/>
    </xf>
    <xf numFmtId="0" fontId="5" fillId="0" borderId="85" xfId="1" applyFont="1" applyBorder="1" applyAlignment="1">
      <alignment horizontal="distributed" vertical="center"/>
    </xf>
    <xf numFmtId="0" fontId="5" fillId="0" borderId="54" xfId="1" applyFont="1" applyBorder="1" applyAlignment="1">
      <alignment horizontal="distributed" vertical="center"/>
    </xf>
    <xf numFmtId="0" fontId="5" fillId="0" borderId="17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181" fontId="5" fillId="0" borderId="0" xfId="1" applyNumberFormat="1" applyFont="1" applyAlignment="1">
      <alignment horizontal="center" vertical="center"/>
    </xf>
    <xf numFmtId="189" fontId="15" fillId="0" borderId="52" xfId="1" applyNumberFormat="1" applyFont="1" applyBorder="1" applyAlignment="1">
      <alignment horizontal="center" vertical="center"/>
    </xf>
    <xf numFmtId="189" fontId="15" fillId="0" borderId="63" xfId="1" applyNumberFormat="1" applyFont="1" applyBorder="1" applyAlignment="1">
      <alignment horizontal="center" vertical="center"/>
    </xf>
    <xf numFmtId="189" fontId="15" fillId="0" borderId="50" xfId="1" applyNumberFormat="1" applyFont="1" applyBorder="1" applyAlignment="1">
      <alignment horizontal="center" vertical="center"/>
    </xf>
    <xf numFmtId="189" fontId="15" fillId="0" borderId="60" xfId="1" applyNumberFormat="1" applyFont="1" applyBorder="1" applyAlignment="1">
      <alignment horizontal="center" vertical="center"/>
    </xf>
    <xf numFmtId="189" fontId="15" fillId="0" borderId="158" xfId="1" applyNumberFormat="1" applyFont="1" applyBorder="1" applyAlignment="1">
      <alignment horizontal="center" vertical="center"/>
    </xf>
    <xf numFmtId="189" fontId="15" fillId="0" borderId="159" xfId="1" applyNumberFormat="1" applyFont="1" applyBorder="1" applyAlignment="1">
      <alignment horizontal="center" vertical="center"/>
    </xf>
    <xf numFmtId="189" fontId="15" fillId="0" borderId="160" xfId="1" applyNumberFormat="1" applyFont="1" applyBorder="1" applyAlignment="1">
      <alignment horizontal="center" vertical="center"/>
    </xf>
    <xf numFmtId="189" fontId="15" fillId="0" borderId="141" xfId="1" applyNumberFormat="1" applyFont="1" applyBorder="1" applyAlignment="1">
      <alignment horizontal="center" vertical="center"/>
    </xf>
    <xf numFmtId="189" fontId="5" fillId="0" borderId="64" xfId="1" applyNumberFormat="1" applyFont="1" applyBorder="1" applyAlignment="1">
      <alignment horizontal="center"/>
    </xf>
    <xf numFmtId="189" fontId="15" fillId="0" borderId="55" xfId="1" applyNumberFormat="1" applyFont="1" applyBorder="1" applyAlignment="1">
      <alignment horizontal="right" vertical="center"/>
    </xf>
    <xf numFmtId="189" fontId="15" fillId="0" borderId="91" xfId="1" applyNumberFormat="1" applyFont="1" applyBorder="1" applyAlignment="1">
      <alignment horizontal="right" vertical="center"/>
    </xf>
    <xf numFmtId="189" fontId="5" fillId="0" borderId="91" xfId="1" applyNumberFormat="1" applyFont="1" applyBorder="1" applyAlignment="1">
      <alignment horizontal="right"/>
    </xf>
    <xf numFmtId="189" fontId="5" fillId="0" borderId="53" xfId="1" applyNumberFormat="1" applyFont="1" applyBorder="1" applyAlignment="1">
      <alignment horizontal="right"/>
    </xf>
    <xf numFmtId="0" fontId="5" fillId="0" borderId="74" xfId="1" applyFont="1" applyBorder="1" applyAlignment="1">
      <alignment horizontal="center" vertical="center" shrinkToFit="1"/>
    </xf>
    <xf numFmtId="0" fontId="5" fillId="0" borderId="75" xfId="1" applyFont="1" applyBorder="1" applyAlignment="1">
      <alignment horizontal="center" vertical="center" shrinkToFit="1"/>
    </xf>
    <xf numFmtId="0" fontId="5" fillId="0" borderId="76" xfId="1" applyFont="1" applyBorder="1" applyAlignment="1">
      <alignment horizontal="center" vertical="center" shrinkToFit="1"/>
    </xf>
    <xf numFmtId="0" fontId="5" fillId="0" borderId="26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73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8" xfId="1" applyFont="1" applyBorder="1" applyAlignment="1">
      <alignment vertical="center"/>
    </xf>
    <xf numFmtId="0" fontId="5" fillId="0" borderId="83" xfId="1" applyFont="1" applyBorder="1" applyAlignment="1">
      <alignment vertical="center"/>
    </xf>
    <xf numFmtId="0" fontId="5" fillId="0" borderId="37" xfId="1" applyFont="1" applyBorder="1" applyAlignment="1">
      <alignment vertical="center"/>
    </xf>
    <xf numFmtId="0" fontId="5" fillId="0" borderId="30" xfId="1" applyFont="1" applyBorder="1" applyAlignment="1">
      <alignment vertical="center"/>
    </xf>
    <xf numFmtId="0" fontId="5" fillId="0" borderId="42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136" xfId="2" applyFont="1" applyBorder="1" applyAlignment="1">
      <alignment horizontal="center" vertical="center" wrapText="1"/>
    </xf>
    <xf numFmtId="0" fontId="5" fillId="0" borderId="154" xfId="2" applyFont="1" applyBorder="1" applyAlignment="1">
      <alignment horizontal="distributed" vertical="center"/>
    </xf>
    <xf numFmtId="0" fontId="5" fillId="0" borderId="155" xfId="2" applyFont="1" applyBorder="1" applyAlignment="1">
      <alignment horizontal="distributed" vertical="center"/>
    </xf>
    <xf numFmtId="0" fontId="5" fillId="0" borderId="156" xfId="2" applyFont="1" applyBorder="1" applyAlignment="1">
      <alignment horizontal="distributed" vertical="center"/>
    </xf>
    <xf numFmtId="0" fontId="5" fillId="0" borderId="102" xfId="2" applyFont="1" applyBorder="1" applyAlignment="1">
      <alignment horizontal="distributed" vertical="center"/>
    </xf>
    <xf numFmtId="0" fontId="5" fillId="0" borderId="171" xfId="2" applyFont="1" applyBorder="1" applyAlignment="1">
      <alignment horizontal="distributed" vertical="center"/>
    </xf>
    <xf numFmtId="0" fontId="5" fillId="0" borderId="172" xfId="2" applyFont="1" applyBorder="1" applyAlignment="1">
      <alignment horizontal="distributed" vertical="center"/>
    </xf>
    <xf numFmtId="178" fontId="5" fillId="0" borderId="112" xfId="3" applyNumberFormat="1" applyFont="1" applyBorder="1" applyAlignment="1">
      <alignment horizontal="left" vertical="center" shrinkToFit="1"/>
    </xf>
    <xf numFmtId="178" fontId="5" fillId="0" borderId="95" xfId="3" applyNumberFormat="1" applyFont="1" applyBorder="1" applyAlignment="1">
      <alignment horizontal="left" vertical="center" shrinkToFit="1"/>
    </xf>
    <xf numFmtId="178" fontId="5" fillId="0" borderId="113" xfId="3" applyNumberFormat="1" applyFont="1" applyBorder="1" applyAlignment="1">
      <alignment horizontal="left" vertical="center" shrinkToFit="1"/>
    </xf>
    <xf numFmtId="0" fontId="5" fillId="0" borderId="147" xfId="2" applyFont="1" applyBorder="1" applyAlignment="1">
      <alignment horizontal="distributed" vertical="center"/>
    </xf>
    <xf numFmtId="0" fontId="5" fillId="0" borderId="43" xfId="2" applyFont="1" applyBorder="1" applyAlignment="1">
      <alignment horizontal="distributed" vertical="center"/>
    </xf>
    <xf numFmtId="0" fontId="5" fillId="0" borderId="42" xfId="2" applyFont="1" applyBorder="1" applyAlignment="1">
      <alignment horizontal="distributed" vertical="center"/>
    </xf>
    <xf numFmtId="0" fontId="5" fillId="0" borderId="148" xfId="2" applyFont="1" applyBorder="1" applyAlignment="1">
      <alignment horizontal="distributed" vertical="center"/>
    </xf>
    <xf numFmtId="0" fontId="5" fillId="0" borderId="101" xfId="2" applyFont="1" applyBorder="1" applyAlignment="1">
      <alignment horizontal="center" vertical="distributed" wrapText="1"/>
    </xf>
    <xf numFmtId="0" fontId="5" fillId="0" borderId="96" xfId="2" applyFont="1" applyBorder="1" applyAlignment="1">
      <alignment horizontal="center" vertical="distributed" wrapText="1"/>
    </xf>
    <xf numFmtId="0" fontId="5" fillId="0" borderId="97" xfId="2" applyFont="1" applyBorder="1" applyAlignment="1">
      <alignment horizontal="center" vertical="distributed" wrapText="1"/>
    </xf>
    <xf numFmtId="0" fontId="12" fillId="0" borderId="116" xfId="3" applyFont="1" applyBorder="1" applyAlignment="1">
      <alignment horizontal="center" vertical="center" wrapText="1"/>
    </xf>
    <xf numFmtId="0" fontId="12" fillId="0" borderId="118" xfId="3" applyFont="1" applyBorder="1" applyAlignment="1">
      <alignment horizontal="center" vertical="center" wrapText="1"/>
    </xf>
    <xf numFmtId="0" fontId="5" fillId="0" borderId="107" xfId="3" applyFont="1" applyBorder="1" applyAlignment="1">
      <alignment horizontal="center" vertical="center"/>
    </xf>
    <xf numFmtId="0" fontId="5" fillId="0" borderId="93" xfId="3" applyFont="1" applyBorder="1" applyAlignment="1">
      <alignment horizontal="center" vertical="center"/>
    </xf>
    <xf numFmtId="0" fontId="5" fillId="0" borderId="108" xfId="3" applyFont="1" applyBorder="1" applyAlignment="1">
      <alignment horizontal="center" vertical="center"/>
    </xf>
    <xf numFmtId="0" fontId="5" fillId="0" borderId="112" xfId="3" applyFont="1" applyBorder="1" applyAlignment="1">
      <alignment horizontal="center" vertical="center"/>
    </xf>
    <xf numFmtId="0" fontId="5" fillId="0" borderId="95" xfId="3" applyFont="1" applyBorder="1" applyAlignment="1">
      <alignment horizontal="center" vertical="center"/>
    </xf>
    <xf numFmtId="0" fontId="5" fillId="0" borderId="113" xfId="3" applyFont="1" applyBorder="1" applyAlignment="1">
      <alignment horizontal="center" vertical="center"/>
    </xf>
    <xf numFmtId="0" fontId="5" fillId="0" borderId="21" xfId="2" applyFont="1" applyBorder="1" applyAlignment="1">
      <alignment horizontal="distributed" vertical="center"/>
    </xf>
    <xf numFmtId="0" fontId="5" fillId="0" borderId="85" xfId="2" applyFont="1" applyBorder="1" applyAlignment="1">
      <alignment horizontal="distributed" vertical="center"/>
    </xf>
    <xf numFmtId="186" fontId="5" fillId="0" borderId="40" xfId="1" applyNumberFormat="1" applyFont="1" applyBorder="1" applyAlignment="1">
      <alignment horizontal="right" vertical="center"/>
    </xf>
    <xf numFmtId="186" fontId="5" fillId="0" borderId="6" xfId="1" applyNumberFormat="1" applyFont="1" applyBorder="1" applyAlignment="1">
      <alignment horizontal="right" vertical="center"/>
    </xf>
    <xf numFmtId="185" fontId="15" fillId="0" borderId="5" xfId="1" applyNumberFormat="1" applyFont="1" applyBorder="1" applyAlignment="1">
      <alignment horizontal="right" vertical="center"/>
    </xf>
    <xf numFmtId="185" fontId="15" fillId="0" borderId="40" xfId="1" applyNumberFormat="1" applyFont="1" applyBorder="1" applyAlignment="1">
      <alignment horizontal="right" vertical="center"/>
    </xf>
    <xf numFmtId="185" fontId="15" fillId="0" borderId="8" xfId="1" applyNumberFormat="1" applyFont="1" applyBorder="1" applyAlignment="1">
      <alignment horizontal="right" vertical="center"/>
    </xf>
    <xf numFmtId="185" fontId="15" fillId="0" borderId="41" xfId="1" applyNumberFormat="1" applyFont="1" applyBorder="1" applyAlignment="1">
      <alignment horizontal="right" vertical="center"/>
    </xf>
  </cellXfs>
  <cellStyles count="5">
    <cellStyle name="標準" xfId="0" builtinId="0"/>
    <cellStyle name="標準 2" xfId="3" xr:uid="{00000000-0005-0000-0000-000001000000}"/>
    <cellStyle name="標準 2 2" xfId="2" xr:uid="{00000000-0005-0000-0000-000002000000}"/>
    <cellStyle name="標準_BDA1S0T05201" xfId="4" xr:uid="{00000000-0005-0000-0000-000003000000}"/>
    <cellStyle name="標準_GQII0033" xfId="1" xr:uid="{00000000-0005-0000-0000-000004000000}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45"/>
  <sheetViews>
    <sheetView showGridLines="0" tabSelected="1" view="pageBreakPreview" zoomScaleNormal="100" zoomScaleSheetLayoutView="100" workbookViewId="0">
      <selection sqref="A1:B1"/>
    </sheetView>
  </sheetViews>
  <sheetFormatPr defaultColWidth="9" defaultRowHeight="12.75" customHeight="1"/>
  <cols>
    <col min="1" max="1" width="3.44140625" style="2" customWidth="1"/>
    <col min="2" max="4" width="2.6640625" style="2" customWidth="1"/>
    <col min="5" max="5" width="8.77734375" style="2" customWidth="1"/>
    <col min="6" max="6" width="9" style="2" customWidth="1"/>
    <col min="7" max="7" width="3.6640625" style="2" customWidth="1"/>
    <col min="8" max="8" width="10.6640625" style="2" customWidth="1"/>
    <col min="9" max="9" width="6.6640625" style="2" customWidth="1"/>
    <col min="10" max="10" width="10.6640625" style="2" customWidth="1"/>
    <col min="11" max="11" width="6.6640625" style="2" customWidth="1"/>
    <col min="12" max="12" width="7.6640625" style="2" customWidth="1"/>
    <col min="13" max="13" width="8.6640625" style="2" customWidth="1"/>
    <col min="14" max="14" width="30.6640625" style="2" customWidth="1"/>
    <col min="15" max="15" width="11.6640625" style="2" customWidth="1"/>
    <col min="16" max="17" width="9.6640625" style="2" customWidth="1"/>
    <col min="18" max="18" width="7.109375" style="2" hidden="1" customWidth="1"/>
    <col min="19" max="19" width="6.109375" style="2" customWidth="1"/>
    <col min="20" max="20" width="3.6640625" style="2" customWidth="1"/>
    <col min="21" max="23" width="2.6640625" style="2" customWidth="1"/>
    <col min="24" max="24" width="8.6640625" style="2" customWidth="1"/>
    <col min="25" max="25" width="7.6640625" style="2" customWidth="1"/>
    <col min="26" max="26" width="6" style="2" customWidth="1"/>
    <col min="27" max="27" width="6.109375" style="2" customWidth="1"/>
    <col min="28" max="16384" width="9" style="2"/>
  </cols>
  <sheetData>
    <row r="1" spans="1:27" ht="15" customHeight="1">
      <c r="A1" s="287">
        <v>2019</v>
      </c>
      <c r="B1" s="287"/>
      <c r="C1" s="1" t="s">
        <v>0</v>
      </c>
      <c r="D1" s="1"/>
      <c r="E1" s="1"/>
      <c r="F1" s="1"/>
      <c r="G1" s="1"/>
      <c r="H1" s="1"/>
      <c r="I1" s="1"/>
      <c r="J1" s="1"/>
      <c r="K1" s="1"/>
      <c r="O1" s="223" t="s">
        <v>1</v>
      </c>
      <c r="P1" s="224"/>
      <c r="Q1" s="225"/>
      <c r="X1" s="29"/>
      <c r="Y1" s="29"/>
    </row>
    <row r="2" spans="1:27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O2" s="229"/>
      <c r="P2" s="230"/>
      <c r="Q2" s="231"/>
      <c r="U2" s="40"/>
      <c r="V2" s="40"/>
      <c r="W2" s="40"/>
      <c r="X2" s="192"/>
      <c r="Y2" s="22"/>
    </row>
    <row r="3" spans="1:27" ht="14.25" customHeight="1">
      <c r="B3" s="1"/>
      <c r="C3" s="1"/>
      <c r="D3" s="1"/>
      <c r="E3" s="1"/>
      <c r="F3" s="1"/>
      <c r="G3" s="1"/>
      <c r="H3" s="1"/>
      <c r="I3" s="1"/>
      <c r="J3" s="1"/>
      <c r="K3" s="1"/>
      <c r="U3" s="8"/>
      <c r="V3" s="30"/>
      <c r="W3" s="30"/>
      <c r="X3" s="8"/>
      <c r="Y3" s="3"/>
      <c r="Z3" s="3"/>
      <c r="AA3" s="3"/>
    </row>
    <row r="4" spans="1:27" ht="14.4" customHeight="1" thickBot="1">
      <c r="A4" s="5" t="s">
        <v>2</v>
      </c>
      <c r="M4" s="5"/>
      <c r="U4" s="5"/>
    </row>
    <row r="5" spans="1:27" ht="15" customHeight="1">
      <c r="A5" s="288" t="s">
        <v>3</v>
      </c>
      <c r="B5" s="289"/>
      <c r="C5" s="289"/>
      <c r="D5" s="289"/>
      <c r="E5" s="289"/>
      <c r="F5" s="289"/>
      <c r="G5" s="292" t="s">
        <v>4</v>
      </c>
      <c r="H5" s="280">
        <f>A1-2000</f>
        <v>19</v>
      </c>
      <c r="I5" s="59" t="s">
        <v>5</v>
      </c>
      <c r="J5" s="278">
        <f>H5-1</f>
        <v>18</v>
      </c>
      <c r="K5" s="60" t="s">
        <v>5</v>
      </c>
      <c r="L5" s="61" t="s">
        <v>6</v>
      </c>
      <c r="M5" s="276" t="s">
        <v>7</v>
      </c>
      <c r="N5" s="232" t="s">
        <v>8</v>
      </c>
      <c r="O5" s="233"/>
      <c r="P5" s="233"/>
      <c r="Q5" s="234"/>
      <c r="R5" s="35"/>
      <c r="S5" s="38"/>
      <c r="T5" s="38"/>
      <c r="U5" s="38"/>
      <c r="V5" s="38"/>
      <c r="W5" s="38"/>
      <c r="X5" s="38"/>
      <c r="Y5" s="38"/>
      <c r="Z5" s="38"/>
      <c r="AA5" s="38"/>
    </row>
    <row r="6" spans="1:27" ht="15" customHeight="1" thickBot="1">
      <c r="A6" s="290"/>
      <c r="B6" s="291"/>
      <c r="C6" s="291"/>
      <c r="D6" s="291"/>
      <c r="E6" s="291"/>
      <c r="F6" s="291"/>
      <c r="G6" s="293"/>
      <c r="H6" s="281"/>
      <c r="I6" s="23" t="s">
        <v>9</v>
      </c>
      <c r="J6" s="279"/>
      <c r="K6" s="23" t="s">
        <v>9</v>
      </c>
      <c r="L6" s="24" t="s">
        <v>9</v>
      </c>
      <c r="M6" s="277"/>
      <c r="N6" s="235"/>
      <c r="O6" s="236"/>
      <c r="P6" s="236"/>
      <c r="Q6" s="237"/>
      <c r="R6" s="36"/>
      <c r="S6" s="38"/>
      <c r="T6" s="38"/>
      <c r="U6" s="38"/>
      <c r="V6" s="38"/>
      <c r="W6" s="38"/>
      <c r="X6" s="38"/>
      <c r="Y6" s="38"/>
      <c r="Z6" s="38"/>
      <c r="AA6" s="38"/>
    </row>
    <row r="7" spans="1:27" ht="14.25" customHeight="1">
      <c r="A7" s="245" t="s">
        <v>10</v>
      </c>
      <c r="B7" s="268" t="s">
        <v>11</v>
      </c>
      <c r="C7" s="269"/>
      <c r="D7" s="269"/>
      <c r="E7" s="269"/>
      <c r="F7" s="270"/>
      <c r="G7" s="46" t="s">
        <v>12</v>
      </c>
      <c r="H7" s="67"/>
      <c r="I7" s="68" t="str">
        <f>IFERROR(H7/$H$29*100,"-")</f>
        <v>-</v>
      </c>
      <c r="J7" s="69"/>
      <c r="K7" s="68" t="str">
        <f>IFERROR(J7/$J$29*100,"-")</f>
        <v>-</v>
      </c>
      <c r="L7" s="70" t="str">
        <f>IF(H7="-", "-", IF(J7="-", "-", IF(ABS(J7)=0, "-", ROUND(100*(H7-J7)/ABS(J7),1))))</f>
        <v>-</v>
      </c>
      <c r="M7" s="71">
        <f>H7-J7</f>
        <v>0</v>
      </c>
      <c r="N7" s="238"/>
      <c r="O7" s="239"/>
      <c r="P7" s="239"/>
      <c r="Q7" s="240"/>
      <c r="R7" s="37"/>
      <c r="S7" s="39"/>
      <c r="T7" s="39"/>
      <c r="U7" s="39"/>
      <c r="V7" s="39"/>
    </row>
    <row r="8" spans="1:27" ht="14.25" customHeight="1">
      <c r="A8" s="245"/>
      <c r="B8" s="269"/>
      <c r="C8" s="266" t="s">
        <v>13</v>
      </c>
      <c r="D8" s="266"/>
      <c r="E8" s="266"/>
      <c r="F8" s="252"/>
      <c r="G8" s="47" t="s">
        <v>14</v>
      </c>
      <c r="H8" s="72"/>
      <c r="I8" s="73" t="str">
        <f t="shared" ref="I8:I29" si="0">IFERROR(H8/$H$29*100,"-")</f>
        <v>-</v>
      </c>
      <c r="J8" s="74"/>
      <c r="K8" s="73" t="str">
        <f t="shared" ref="K8:K29" si="1">IFERROR(J8/$J$29*100,"-")</f>
        <v>-</v>
      </c>
      <c r="L8" s="75" t="str">
        <f t="shared" ref="L8:L45" si="2">IF(H8="-", "-", IF(J8="-", "-", IF(ABS(J8)=0, "-", ROUND(100*(H8-J8)/ABS(J8),1))))</f>
        <v>-</v>
      </c>
      <c r="M8" s="76">
        <f t="shared" ref="M8:M45" si="3">H8-J8</f>
        <v>0</v>
      </c>
      <c r="N8" s="226"/>
      <c r="O8" s="227"/>
      <c r="P8" s="227"/>
      <c r="Q8" s="228"/>
      <c r="R8" s="32"/>
      <c r="S8" s="39"/>
      <c r="T8" s="39"/>
      <c r="U8" s="39"/>
      <c r="V8" s="39"/>
    </row>
    <row r="9" spans="1:27" ht="14.25" customHeight="1">
      <c r="A9" s="245"/>
      <c r="B9" s="266"/>
      <c r="C9" s="266" t="s">
        <v>15</v>
      </c>
      <c r="D9" s="266"/>
      <c r="E9" s="266"/>
      <c r="F9" s="252"/>
      <c r="G9" s="47" t="s">
        <v>14</v>
      </c>
      <c r="H9" s="72"/>
      <c r="I9" s="73" t="str">
        <f t="shared" si="0"/>
        <v>-</v>
      </c>
      <c r="J9" s="74"/>
      <c r="K9" s="73" t="str">
        <f t="shared" si="1"/>
        <v>-</v>
      </c>
      <c r="L9" s="75" t="str">
        <f t="shared" si="2"/>
        <v>-</v>
      </c>
      <c r="M9" s="76">
        <f t="shared" si="3"/>
        <v>0</v>
      </c>
      <c r="N9" s="226"/>
      <c r="O9" s="227"/>
      <c r="P9" s="227"/>
      <c r="Q9" s="228"/>
      <c r="R9" s="32"/>
      <c r="S9" s="39"/>
      <c r="T9" s="39"/>
      <c r="U9" s="39"/>
      <c r="V9" s="39"/>
    </row>
    <row r="10" spans="1:27" ht="14.25" customHeight="1">
      <c r="A10" s="245"/>
      <c r="B10" s="266"/>
      <c r="C10" s="266" t="s">
        <v>16</v>
      </c>
      <c r="D10" s="266"/>
      <c r="E10" s="266"/>
      <c r="F10" s="252"/>
      <c r="G10" s="47" t="s">
        <v>14</v>
      </c>
      <c r="H10" s="72"/>
      <c r="I10" s="73" t="str">
        <f t="shared" si="0"/>
        <v>-</v>
      </c>
      <c r="J10" s="74"/>
      <c r="K10" s="73" t="str">
        <f t="shared" si="1"/>
        <v>-</v>
      </c>
      <c r="L10" s="75" t="str">
        <f t="shared" si="2"/>
        <v>-</v>
      </c>
      <c r="M10" s="76">
        <f t="shared" si="3"/>
        <v>0</v>
      </c>
      <c r="N10" s="226"/>
      <c r="O10" s="227"/>
      <c r="P10" s="227"/>
      <c r="Q10" s="228"/>
      <c r="R10" s="32"/>
      <c r="S10" s="39"/>
      <c r="T10" s="39"/>
      <c r="U10" s="39"/>
      <c r="V10" s="39"/>
    </row>
    <row r="11" spans="1:27" ht="14.25" customHeight="1">
      <c r="A11" s="245"/>
      <c r="B11" s="266"/>
      <c r="C11" s="266" t="s">
        <v>17</v>
      </c>
      <c r="D11" s="266"/>
      <c r="E11" s="266"/>
      <c r="F11" s="252"/>
      <c r="G11" s="47" t="s">
        <v>14</v>
      </c>
      <c r="H11" s="72"/>
      <c r="I11" s="73" t="str">
        <f t="shared" si="0"/>
        <v>-</v>
      </c>
      <c r="J11" s="74"/>
      <c r="K11" s="73" t="str">
        <f t="shared" si="1"/>
        <v>-</v>
      </c>
      <c r="L11" s="75" t="str">
        <f t="shared" si="2"/>
        <v>-</v>
      </c>
      <c r="M11" s="76">
        <f t="shared" si="3"/>
        <v>0</v>
      </c>
      <c r="N11" s="226"/>
      <c r="O11" s="227"/>
      <c r="P11" s="227"/>
      <c r="Q11" s="228"/>
      <c r="R11" s="32"/>
      <c r="S11" s="39"/>
      <c r="T11" s="39"/>
      <c r="U11" s="39"/>
      <c r="V11" s="39"/>
    </row>
    <row r="12" spans="1:27" ht="14.25" customHeight="1">
      <c r="A12" s="245"/>
      <c r="B12" s="266"/>
      <c r="C12" s="266" t="s">
        <v>18</v>
      </c>
      <c r="D12" s="266"/>
      <c r="E12" s="266"/>
      <c r="F12" s="252"/>
      <c r="G12" s="47" t="s">
        <v>14</v>
      </c>
      <c r="H12" s="72"/>
      <c r="I12" s="73" t="str">
        <f t="shared" si="0"/>
        <v>-</v>
      </c>
      <c r="J12" s="74"/>
      <c r="K12" s="73" t="str">
        <f t="shared" si="1"/>
        <v>-</v>
      </c>
      <c r="L12" s="75" t="str">
        <f t="shared" si="2"/>
        <v>-</v>
      </c>
      <c r="M12" s="76">
        <f t="shared" si="3"/>
        <v>0</v>
      </c>
      <c r="N12" s="226"/>
      <c r="O12" s="227"/>
      <c r="P12" s="227"/>
      <c r="Q12" s="228"/>
      <c r="R12" s="32"/>
      <c r="S12" s="39"/>
      <c r="T12" s="39"/>
      <c r="U12" s="39"/>
      <c r="V12" s="39"/>
    </row>
    <row r="13" spans="1:27" ht="14.25" customHeight="1">
      <c r="A13" s="245"/>
      <c r="B13" s="266"/>
      <c r="C13" s="266" t="s">
        <v>19</v>
      </c>
      <c r="D13" s="266"/>
      <c r="E13" s="266"/>
      <c r="F13" s="252"/>
      <c r="G13" s="47" t="s">
        <v>14</v>
      </c>
      <c r="H13" s="72"/>
      <c r="I13" s="73" t="str">
        <f t="shared" si="0"/>
        <v>-</v>
      </c>
      <c r="J13" s="74"/>
      <c r="K13" s="73" t="str">
        <f t="shared" si="1"/>
        <v>-</v>
      </c>
      <c r="L13" s="75" t="str">
        <f t="shared" si="2"/>
        <v>-</v>
      </c>
      <c r="M13" s="76">
        <f t="shared" si="3"/>
        <v>0</v>
      </c>
      <c r="N13" s="226"/>
      <c r="O13" s="227"/>
      <c r="P13" s="227"/>
      <c r="Q13" s="228"/>
      <c r="R13" s="32"/>
      <c r="S13" s="39"/>
      <c r="T13" s="39"/>
      <c r="U13" s="39"/>
      <c r="V13" s="39"/>
    </row>
    <row r="14" spans="1:27" ht="14.25" customHeight="1">
      <c r="A14" s="245"/>
      <c r="B14" s="266"/>
      <c r="C14" s="266" t="s">
        <v>20</v>
      </c>
      <c r="D14" s="266"/>
      <c r="E14" s="266"/>
      <c r="F14" s="252"/>
      <c r="G14" s="47" t="s">
        <v>14</v>
      </c>
      <c r="H14" s="72"/>
      <c r="I14" s="73" t="str">
        <f t="shared" si="0"/>
        <v>-</v>
      </c>
      <c r="J14" s="74"/>
      <c r="K14" s="73" t="str">
        <f t="shared" si="1"/>
        <v>-</v>
      </c>
      <c r="L14" s="75" t="str">
        <f t="shared" si="2"/>
        <v>-</v>
      </c>
      <c r="M14" s="76">
        <f t="shared" si="3"/>
        <v>0</v>
      </c>
      <c r="N14" s="226"/>
      <c r="O14" s="227"/>
      <c r="P14" s="227"/>
      <c r="Q14" s="228"/>
      <c r="R14" s="32"/>
      <c r="S14" s="39"/>
      <c r="T14" s="39"/>
      <c r="U14" s="39"/>
      <c r="V14" s="39"/>
    </row>
    <row r="15" spans="1:27" ht="14.25" customHeight="1">
      <c r="A15" s="245"/>
      <c r="B15" s="266"/>
      <c r="C15" s="285" t="s">
        <v>21</v>
      </c>
      <c r="D15" s="285"/>
      <c r="E15" s="285"/>
      <c r="F15" s="286"/>
      <c r="G15" s="47" t="s">
        <v>14</v>
      </c>
      <c r="H15" s="72"/>
      <c r="I15" s="73" t="str">
        <f t="shared" si="0"/>
        <v>-</v>
      </c>
      <c r="J15" s="74"/>
      <c r="K15" s="73" t="str">
        <f t="shared" si="1"/>
        <v>-</v>
      </c>
      <c r="L15" s="75" t="str">
        <f t="shared" si="2"/>
        <v>-</v>
      </c>
      <c r="M15" s="76">
        <f t="shared" si="3"/>
        <v>0</v>
      </c>
      <c r="N15" s="226"/>
      <c r="O15" s="227"/>
      <c r="P15" s="227"/>
      <c r="Q15" s="228"/>
      <c r="R15" s="32"/>
      <c r="S15" s="39"/>
      <c r="T15" s="39"/>
      <c r="U15" s="39"/>
      <c r="V15" s="39"/>
    </row>
    <row r="16" spans="1:27" ht="14.25" customHeight="1">
      <c r="A16" s="245"/>
      <c r="B16" s="266"/>
      <c r="C16" s="271" t="s">
        <v>22</v>
      </c>
      <c r="D16" s="271"/>
      <c r="E16" s="271"/>
      <c r="F16" s="272"/>
      <c r="G16" s="47" t="s">
        <v>14</v>
      </c>
      <c r="H16" s="72"/>
      <c r="I16" s="73" t="str">
        <f t="shared" si="0"/>
        <v>-</v>
      </c>
      <c r="J16" s="74"/>
      <c r="K16" s="73" t="str">
        <f t="shared" si="1"/>
        <v>-</v>
      </c>
      <c r="L16" s="75" t="str">
        <f t="shared" si="2"/>
        <v>-</v>
      </c>
      <c r="M16" s="76">
        <f t="shared" si="3"/>
        <v>0</v>
      </c>
      <c r="N16" s="226"/>
      <c r="O16" s="227"/>
      <c r="P16" s="227"/>
      <c r="Q16" s="228"/>
      <c r="R16" s="32"/>
      <c r="S16" s="39"/>
      <c r="T16" s="39"/>
      <c r="U16" s="39"/>
      <c r="V16" s="39"/>
    </row>
    <row r="17" spans="1:22" ht="14.25" customHeight="1">
      <c r="A17" s="245"/>
      <c r="B17" s="266"/>
      <c r="C17" s="168"/>
      <c r="D17" s="252" t="s">
        <v>23</v>
      </c>
      <c r="E17" s="253"/>
      <c r="F17" s="253"/>
      <c r="G17" s="47" t="s">
        <v>14</v>
      </c>
      <c r="H17" s="72"/>
      <c r="I17" s="73" t="str">
        <f t="shared" si="0"/>
        <v>-</v>
      </c>
      <c r="J17" s="74"/>
      <c r="K17" s="73" t="str">
        <f t="shared" si="1"/>
        <v>-</v>
      </c>
      <c r="L17" s="75" t="str">
        <f t="shared" si="2"/>
        <v>-</v>
      </c>
      <c r="M17" s="76">
        <f t="shared" si="3"/>
        <v>0</v>
      </c>
      <c r="N17" s="226"/>
      <c r="O17" s="227"/>
      <c r="P17" s="227"/>
      <c r="Q17" s="228"/>
      <c r="R17" s="32"/>
      <c r="S17" s="39"/>
      <c r="T17" s="39"/>
      <c r="U17" s="39"/>
      <c r="V17" s="39"/>
    </row>
    <row r="18" spans="1:22" ht="14.25" customHeight="1">
      <c r="A18" s="245"/>
      <c r="B18" s="266"/>
      <c r="C18" s="271" t="s">
        <v>24</v>
      </c>
      <c r="D18" s="271"/>
      <c r="E18" s="271"/>
      <c r="F18" s="272"/>
      <c r="G18" s="47" t="s">
        <v>14</v>
      </c>
      <c r="H18" s="72"/>
      <c r="I18" s="73" t="str">
        <f t="shared" si="0"/>
        <v>-</v>
      </c>
      <c r="J18" s="74"/>
      <c r="K18" s="73" t="str">
        <f t="shared" si="1"/>
        <v>-</v>
      </c>
      <c r="L18" s="75" t="str">
        <f t="shared" si="2"/>
        <v>-</v>
      </c>
      <c r="M18" s="76">
        <f t="shared" si="3"/>
        <v>0</v>
      </c>
      <c r="N18" s="226"/>
      <c r="O18" s="227"/>
      <c r="P18" s="227"/>
      <c r="Q18" s="228"/>
      <c r="R18" s="32"/>
      <c r="S18" s="39"/>
      <c r="T18" s="39"/>
      <c r="U18" s="39"/>
      <c r="V18" s="39"/>
    </row>
    <row r="19" spans="1:22" ht="14.25" customHeight="1">
      <c r="A19" s="245"/>
      <c r="B19" s="266"/>
      <c r="C19" s="168"/>
      <c r="D19" s="252" t="s">
        <v>23</v>
      </c>
      <c r="E19" s="253"/>
      <c r="F19" s="253"/>
      <c r="G19" s="47" t="s">
        <v>14</v>
      </c>
      <c r="H19" s="72"/>
      <c r="I19" s="73" t="str">
        <f t="shared" si="0"/>
        <v>-</v>
      </c>
      <c r="J19" s="74"/>
      <c r="K19" s="73" t="str">
        <f t="shared" si="1"/>
        <v>-</v>
      </c>
      <c r="L19" s="75" t="str">
        <f t="shared" si="2"/>
        <v>-</v>
      </c>
      <c r="M19" s="76">
        <f t="shared" si="3"/>
        <v>0</v>
      </c>
      <c r="N19" s="226"/>
      <c r="O19" s="227"/>
      <c r="P19" s="227"/>
      <c r="Q19" s="228"/>
      <c r="R19" s="32"/>
      <c r="S19" s="39"/>
      <c r="T19" s="39"/>
      <c r="U19" s="39"/>
      <c r="V19" s="39"/>
    </row>
    <row r="20" spans="1:22" ht="14.25" customHeight="1">
      <c r="A20" s="245"/>
      <c r="B20" s="266"/>
      <c r="C20" s="271" t="s">
        <v>25</v>
      </c>
      <c r="D20" s="271"/>
      <c r="E20" s="271"/>
      <c r="F20" s="272"/>
      <c r="G20" s="47" t="s">
        <v>14</v>
      </c>
      <c r="H20" s="72"/>
      <c r="I20" s="73" t="str">
        <f t="shared" si="0"/>
        <v>-</v>
      </c>
      <c r="J20" s="74"/>
      <c r="K20" s="73" t="str">
        <f t="shared" si="1"/>
        <v>-</v>
      </c>
      <c r="L20" s="75" t="str">
        <f t="shared" si="2"/>
        <v>-</v>
      </c>
      <c r="M20" s="76">
        <f t="shared" si="3"/>
        <v>0</v>
      </c>
      <c r="N20" s="226"/>
      <c r="O20" s="227"/>
      <c r="P20" s="227"/>
      <c r="Q20" s="228"/>
      <c r="R20" s="32"/>
      <c r="S20" s="39"/>
      <c r="T20" s="39"/>
      <c r="U20" s="39"/>
      <c r="V20" s="39"/>
    </row>
    <row r="21" spans="1:22" ht="14.25" customHeight="1">
      <c r="A21" s="245"/>
      <c r="B21" s="266"/>
      <c r="C21" s="168"/>
      <c r="D21" s="252" t="s">
        <v>23</v>
      </c>
      <c r="E21" s="253"/>
      <c r="F21" s="253"/>
      <c r="G21" s="47" t="s">
        <v>14</v>
      </c>
      <c r="H21" s="72"/>
      <c r="I21" s="73" t="str">
        <f t="shared" si="0"/>
        <v>-</v>
      </c>
      <c r="J21" s="74"/>
      <c r="K21" s="73" t="str">
        <f t="shared" si="1"/>
        <v>-</v>
      </c>
      <c r="L21" s="75" t="str">
        <f t="shared" si="2"/>
        <v>-</v>
      </c>
      <c r="M21" s="76">
        <f t="shared" si="3"/>
        <v>0</v>
      </c>
      <c r="N21" s="226"/>
      <c r="O21" s="227"/>
      <c r="P21" s="227"/>
      <c r="Q21" s="228"/>
      <c r="R21" s="32"/>
      <c r="S21" s="39"/>
      <c r="T21" s="39"/>
      <c r="U21" s="39"/>
      <c r="V21" s="39"/>
    </row>
    <row r="22" spans="1:22" ht="14.25" customHeight="1">
      <c r="A22" s="245"/>
      <c r="B22" s="266"/>
      <c r="C22" s="271" t="s">
        <v>26</v>
      </c>
      <c r="D22" s="271"/>
      <c r="E22" s="271"/>
      <c r="F22" s="272"/>
      <c r="G22" s="48" t="s">
        <v>14</v>
      </c>
      <c r="H22" s="72"/>
      <c r="I22" s="73" t="str">
        <f t="shared" si="0"/>
        <v>-</v>
      </c>
      <c r="J22" s="74"/>
      <c r="K22" s="73" t="str">
        <f t="shared" si="1"/>
        <v>-</v>
      </c>
      <c r="L22" s="75" t="str">
        <f t="shared" si="2"/>
        <v>-</v>
      </c>
      <c r="M22" s="76">
        <f t="shared" si="3"/>
        <v>0</v>
      </c>
      <c r="N22" s="226"/>
      <c r="O22" s="227"/>
      <c r="P22" s="227"/>
      <c r="Q22" s="228"/>
      <c r="R22" s="32"/>
      <c r="S22" s="39"/>
      <c r="T22" s="39"/>
      <c r="U22" s="39"/>
      <c r="V22" s="39"/>
    </row>
    <row r="23" spans="1:22" ht="14.25" customHeight="1">
      <c r="A23" s="245"/>
      <c r="B23" s="266"/>
      <c r="C23" s="168"/>
      <c r="D23" s="252" t="s">
        <v>23</v>
      </c>
      <c r="E23" s="253"/>
      <c r="F23" s="253"/>
      <c r="G23" s="47" t="s">
        <v>14</v>
      </c>
      <c r="H23" s="72"/>
      <c r="I23" s="73" t="str">
        <f t="shared" si="0"/>
        <v>-</v>
      </c>
      <c r="J23" s="74"/>
      <c r="K23" s="73" t="str">
        <f t="shared" si="1"/>
        <v>-</v>
      </c>
      <c r="L23" s="75" t="str">
        <f t="shared" si="2"/>
        <v>-</v>
      </c>
      <c r="M23" s="76">
        <f t="shared" si="3"/>
        <v>0</v>
      </c>
      <c r="N23" s="226"/>
      <c r="O23" s="227"/>
      <c r="P23" s="227"/>
      <c r="Q23" s="228"/>
      <c r="R23" s="33"/>
      <c r="S23" s="39"/>
      <c r="T23" s="39"/>
      <c r="U23" s="39"/>
      <c r="V23" s="39"/>
    </row>
    <row r="24" spans="1:22" ht="14.25" customHeight="1">
      <c r="A24" s="245"/>
      <c r="B24" s="271" t="s">
        <v>27</v>
      </c>
      <c r="C24" s="271"/>
      <c r="D24" s="271"/>
      <c r="E24" s="271"/>
      <c r="F24" s="272"/>
      <c r="G24" s="47" t="s">
        <v>14</v>
      </c>
      <c r="H24" s="72"/>
      <c r="I24" s="73" t="str">
        <f t="shared" si="0"/>
        <v>-</v>
      </c>
      <c r="J24" s="74"/>
      <c r="K24" s="73" t="str">
        <f t="shared" si="1"/>
        <v>-</v>
      </c>
      <c r="L24" s="75" t="str">
        <f t="shared" si="2"/>
        <v>-</v>
      </c>
      <c r="M24" s="76">
        <f t="shared" si="3"/>
        <v>0</v>
      </c>
      <c r="N24" s="226"/>
      <c r="O24" s="227"/>
      <c r="P24" s="227"/>
      <c r="Q24" s="228"/>
      <c r="R24" s="31"/>
      <c r="S24" s="39"/>
      <c r="T24" s="39"/>
      <c r="U24" s="39"/>
      <c r="V24" s="39"/>
    </row>
    <row r="25" spans="1:22" ht="14.25" customHeight="1">
      <c r="A25" s="245"/>
      <c r="B25" s="270"/>
      <c r="C25" s="25"/>
      <c r="D25" s="252" t="s">
        <v>28</v>
      </c>
      <c r="E25" s="253"/>
      <c r="F25" s="253"/>
      <c r="G25" s="47" t="s">
        <v>14</v>
      </c>
      <c r="H25" s="72"/>
      <c r="I25" s="73" t="str">
        <f t="shared" si="0"/>
        <v>-</v>
      </c>
      <c r="J25" s="74"/>
      <c r="K25" s="73" t="str">
        <f t="shared" si="1"/>
        <v>-</v>
      </c>
      <c r="L25" s="75" t="str">
        <f t="shared" si="2"/>
        <v>-</v>
      </c>
      <c r="M25" s="76">
        <f t="shared" si="3"/>
        <v>0</v>
      </c>
      <c r="N25" s="226"/>
      <c r="O25" s="227"/>
      <c r="P25" s="227"/>
      <c r="Q25" s="228"/>
      <c r="R25" s="32"/>
      <c r="S25" s="39"/>
      <c r="T25" s="39"/>
      <c r="U25" s="39"/>
      <c r="V25" s="39"/>
    </row>
    <row r="26" spans="1:22" ht="14.25" customHeight="1">
      <c r="A26" s="245"/>
      <c r="B26" s="266"/>
      <c r="C26" s="271" t="s">
        <v>29</v>
      </c>
      <c r="D26" s="271"/>
      <c r="E26" s="271"/>
      <c r="F26" s="272"/>
      <c r="G26" s="47" t="s">
        <v>14</v>
      </c>
      <c r="H26" s="72"/>
      <c r="I26" s="73" t="str">
        <f t="shared" si="0"/>
        <v>-</v>
      </c>
      <c r="J26" s="74"/>
      <c r="K26" s="73" t="str">
        <f t="shared" si="1"/>
        <v>-</v>
      </c>
      <c r="L26" s="75" t="str">
        <f t="shared" si="2"/>
        <v>-</v>
      </c>
      <c r="M26" s="76">
        <f t="shared" si="3"/>
        <v>0</v>
      </c>
      <c r="N26" s="226"/>
      <c r="O26" s="227"/>
      <c r="P26" s="227"/>
      <c r="Q26" s="228"/>
      <c r="R26" s="32"/>
      <c r="S26" s="39"/>
      <c r="T26" s="39"/>
      <c r="U26" s="39"/>
      <c r="V26" s="39"/>
    </row>
    <row r="27" spans="1:22" ht="14.25" customHeight="1">
      <c r="A27" s="245"/>
      <c r="B27" s="266"/>
      <c r="C27" s="168"/>
      <c r="D27" s="252" t="s">
        <v>28</v>
      </c>
      <c r="E27" s="253"/>
      <c r="F27" s="253"/>
      <c r="G27" s="47" t="s">
        <v>14</v>
      </c>
      <c r="H27" s="72"/>
      <c r="I27" s="73" t="str">
        <f t="shared" si="0"/>
        <v>-</v>
      </c>
      <c r="J27" s="74"/>
      <c r="K27" s="73" t="str">
        <f t="shared" si="1"/>
        <v>-</v>
      </c>
      <c r="L27" s="75" t="str">
        <f t="shared" si="2"/>
        <v>-</v>
      </c>
      <c r="M27" s="76">
        <f t="shared" si="3"/>
        <v>0</v>
      </c>
      <c r="N27" s="226"/>
      <c r="O27" s="227"/>
      <c r="P27" s="227"/>
      <c r="Q27" s="228"/>
      <c r="R27" s="32"/>
      <c r="S27" s="39"/>
      <c r="T27" s="39"/>
      <c r="U27" s="39"/>
      <c r="V27" s="39"/>
    </row>
    <row r="28" spans="1:22" ht="14.25" customHeight="1">
      <c r="A28" s="245"/>
      <c r="B28" s="266"/>
      <c r="C28" s="266" t="s">
        <v>30</v>
      </c>
      <c r="D28" s="266"/>
      <c r="E28" s="266"/>
      <c r="F28" s="252"/>
      <c r="G28" s="47" t="s">
        <v>14</v>
      </c>
      <c r="H28" s="72"/>
      <c r="I28" s="73" t="str">
        <f t="shared" si="0"/>
        <v>-</v>
      </c>
      <c r="J28" s="74"/>
      <c r="K28" s="73" t="str">
        <f t="shared" si="1"/>
        <v>-</v>
      </c>
      <c r="L28" s="75" t="str">
        <f t="shared" si="2"/>
        <v>-</v>
      </c>
      <c r="M28" s="76">
        <f t="shared" si="3"/>
        <v>0</v>
      </c>
      <c r="N28" s="226"/>
      <c r="O28" s="227"/>
      <c r="P28" s="227"/>
      <c r="Q28" s="228"/>
      <c r="R28" s="33"/>
      <c r="S28" s="39"/>
      <c r="T28" s="39"/>
      <c r="U28" s="39"/>
      <c r="V28" s="39"/>
    </row>
    <row r="29" spans="1:22" ht="14.25" customHeight="1">
      <c r="A29" s="245"/>
      <c r="B29" s="266" t="s">
        <v>31</v>
      </c>
      <c r="C29" s="266"/>
      <c r="D29" s="266"/>
      <c r="E29" s="266"/>
      <c r="F29" s="252"/>
      <c r="G29" s="47" t="s">
        <v>14</v>
      </c>
      <c r="H29" s="72"/>
      <c r="I29" s="73" t="str">
        <f t="shared" si="0"/>
        <v>-</v>
      </c>
      <c r="J29" s="74"/>
      <c r="K29" s="73" t="str">
        <f t="shared" si="1"/>
        <v>-</v>
      </c>
      <c r="L29" s="75" t="str">
        <f t="shared" si="2"/>
        <v>-</v>
      </c>
      <c r="M29" s="76">
        <f t="shared" si="3"/>
        <v>0</v>
      </c>
      <c r="N29" s="226"/>
      <c r="O29" s="227"/>
      <c r="P29" s="227"/>
      <c r="Q29" s="228"/>
      <c r="R29" s="34"/>
      <c r="S29" s="39"/>
      <c r="T29" s="39"/>
      <c r="U29" s="39"/>
      <c r="V29" s="39"/>
    </row>
    <row r="30" spans="1:22" ht="14.25" customHeight="1">
      <c r="A30" s="245"/>
      <c r="B30" s="266" t="s">
        <v>32</v>
      </c>
      <c r="C30" s="266"/>
      <c r="D30" s="266"/>
      <c r="E30" s="266"/>
      <c r="F30" s="252"/>
      <c r="G30" s="47" t="s">
        <v>14</v>
      </c>
      <c r="H30" s="72"/>
      <c r="I30" s="77"/>
      <c r="J30" s="74"/>
      <c r="K30" s="77"/>
      <c r="L30" s="75" t="str">
        <f t="shared" si="2"/>
        <v>-</v>
      </c>
      <c r="M30" s="76">
        <f t="shared" si="3"/>
        <v>0</v>
      </c>
      <c r="N30" s="226"/>
      <c r="O30" s="227"/>
      <c r="P30" s="227"/>
      <c r="Q30" s="228"/>
      <c r="R30" s="34"/>
      <c r="S30" s="39"/>
      <c r="T30" s="39"/>
      <c r="U30" s="39"/>
      <c r="V30" s="39"/>
    </row>
    <row r="31" spans="1:22" ht="14.25" customHeight="1">
      <c r="A31" s="245"/>
      <c r="B31" s="264" t="s">
        <v>33</v>
      </c>
      <c r="C31" s="264"/>
      <c r="D31" s="264"/>
      <c r="E31" s="264"/>
      <c r="F31" s="265"/>
      <c r="G31" s="47" t="s">
        <v>14</v>
      </c>
      <c r="H31" s="72"/>
      <c r="I31" s="77"/>
      <c r="J31" s="74"/>
      <c r="K31" s="77"/>
      <c r="L31" s="75" t="str">
        <f t="shared" si="2"/>
        <v>-</v>
      </c>
      <c r="M31" s="76">
        <f t="shared" si="3"/>
        <v>0</v>
      </c>
      <c r="N31" s="226"/>
      <c r="O31" s="227"/>
      <c r="P31" s="227"/>
      <c r="Q31" s="228"/>
      <c r="R31" s="34"/>
      <c r="S31" s="39"/>
      <c r="T31" s="39"/>
      <c r="U31" s="39"/>
      <c r="V31" s="39"/>
    </row>
    <row r="32" spans="1:22" ht="14.25" customHeight="1">
      <c r="A32" s="245"/>
      <c r="B32" s="266" t="s">
        <v>34</v>
      </c>
      <c r="C32" s="266"/>
      <c r="D32" s="266"/>
      <c r="E32" s="266"/>
      <c r="F32" s="252"/>
      <c r="G32" s="47" t="s">
        <v>14</v>
      </c>
      <c r="H32" s="72"/>
      <c r="I32" s="77"/>
      <c r="J32" s="74"/>
      <c r="K32" s="77"/>
      <c r="L32" s="75" t="str">
        <f t="shared" si="2"/>
        <v>-</v>
      </c>
      <c r="M32" s="76">
        <f t="shared" si="3"/>
        <v>0</v>
      </c>
      <c r="N32" s="226"/>
      <c r="O32" s="227"/>
      <c r="P32" s="227"/>
      <c r="Q32" s="228"/>
      <c r="R32" s="34"/>
      <c r="S32" s="39"/>
      <c r="T32" s="39"/>
      <c r="U32" s="39"/>
      <c r="V32" s="39"/>
    </row>
    <row r="33" spans="1:22" ht="14.25" customHeight="1">
      <c r="A33" s="245"/>
      <c r="B33" s="266" t="s">
        <v>35</v>
      </c>
      <c r="C33" s="266"/>
      <c r="D33" s="266"/>
      <c r="E33" s="266"/>
      <c r="F33" s="252"/>
      <c r="G33" s="47" t="s">
        <v>14</v>
      </c>
      <c r="H33" s="72"/>
      <c r="I33" s="78"/>
      <c r="J33" s="79"/>
      <c r="K33" s="78"/>
      <c r="L33" s="75" t="str">
        <f t="shared" si="2"/>
        <v>-</v>
      </c>
      <c r="M33" s="80">
        <f t="shared" si="3"/>
        <v>0</v>
      </c>
      <c r="N33" s="226"/>
      <c r="O33" s="227"/>
      <c r="P33" s="227"/>
      <c r="Q33" s="228"/>
      <c r="R33" s="34"/>
      <c r="S33" s="39"/>
      <c r="T33" s="39"/>
      <c r="U33" s="39"/>
      <c r="V33" s="39"/>
    </row>
    <row r="34" spans="1:22" ht="14.25" customHeight="1">
      <c r="A34" s="245"/>
      <c r="B34" s="285" t="s">
        <v>36</v>
      </c>
      <c r="C34" s="285"/>
      <c r="D34" s="285"/>
      <c r="E34" s="285"/>
      <c r="F34" s="286"/>
      <c r="G34" s="48" t="s">
        <v>14</v>
      </c>
      <c r="H34" s="72"/>
      <c r="I34" s="77"/>
      <c r="J34" s="79"/>
      <c r="K34" s="77"/>
      <c r="L34" s="75" t="str">
        <f t="shared" si="2"/>
        <v>-</v>
      </c>
      <c r="M34" s="80">
        <f t="shared" si="3"/>
        <v>0</v>
      </c>
      <c r="N34" s="226"/>
      <c r="O34" s="227"/>
      <c r="P34" s="227"/>
      <c r="Q34" s="228"/>
      <c r="R34" s="34"/>
      <c r="S34" s="39"/>
      <c r="T34" s="39"/>
      <c r="U34" s="39"/>
      <c r="V34" s="39"/>
    </row>
    <row r="35" spans="1:22" ht="14.25" customHeight="1">
      <c r="A35" s="245"/>
      <c r="B35" s="266" t="s">
        <v>37</v>
      </c>
      <c r="C35" s="266"/>
      <c r="D35" s="266"/>
      <c r="E35" s="266"/>
      <c r="F35" s="252"/>
      <c r="G35" s="47" t="s">
        <v>14</v>
      </c>
      <c r="H35" s="72"/>
      <c r="I35" s="77"/>
      <c r="J35" s="79"/>
      <c r="K35" s="77"/>
      <c r="L35" s="75" t="str">
        <f t="shared" si="2"/>
        <v>-</v>
      </c>
      <c r="M35" s="80">
        <f t="shared" si="3"/>
        <v>0</v>
      </c>
      <c r="N35" s="226"/>
      <c r="O35" s="227"/>
      <c r="P35" s="227"/>
      <c r="Q35" s="228"/>
      <c r="R35" s="34"/>
      <c r="S35" s="39"/>
      <c r="T35" s="39"/>
      <c r="U35" s="39"/>
      <c r="V35" s="39"/>
    </row>
    <row r="36" spans="1:22" ht="14.25" customHeight="1">
      <c r="A36" s="245"/>
      <c r="B36" s="266" t="s">
        <v>38</v>
      </c>
      <c r="C36" s="266"/>
      <c r="D36" s="266"/>
      <c r="E36" s="266"/>
      <c r="F36" s="252"/>
      <c r="G36" s="47" t="s">
        <v>14</v>
      </c>
      <c r="H36" s="72"/>
      <c r="I36" s="77"/>
      <c r="J36" s="74"/>
      <c r="K36" s="77"/>
      <c r="L36" s="75" t="str">
        <f t="shared" si="2"/>
        <v>-</v>
      </c>
      <c r="M36" s="76">
        <f t="shared" si="3"/>
        <v>0</v>
      </c>
      <c r="N36" s="226"/>
      <c r="O36" s="227"/>
      <c r="P36" s="227"/>
      <c r="Q36" s="228"/>
      <c r="R36" s="34"/>
      <c r="S36" s="39"/>
      <c r="T36" s="39"/>
      <c r="U36" s="39"/>
      <c r="V36" s="39"/>
    </row>
    <row r="37" spans="1:22" ht="12.75" customHeight="1">
      <c r="A37" s="267"/>
      <c r="B37" s="273" t="s">
        <v>39</v>
      </c>
      <c r="C37" s="274"/>
      <c r="D37" s="274"/>
      <c r="E37" s="274"/>
      <c r="F37" s="275"/>
      <c r="G37" s="49" t="s">
        <v>14</v>
      </c>
      <c r="H37" s="72"/>
      <c r="I37" s="81"/>
      <c r="J37" s="82"/>
      <c r="K37" s="83"/>
      <c r="L37" s="84" t="str">
        <f t="shared" si="2"/>
        <v>-</v>
      </c>
      <c r="M37" s="85">
        <f t="shared" si="3"/>
        <v>0</v>
      </c>
      <c r="N37" s="220"/>
      <c r="O37" s="221"/>
      <c r="P37" s="221"/>
      <c r="Q37" s="222"/>
      <c r="R37" s="34"/>
      <c r="S37" s="39"/>
      <c r="T37" s="39"/>
      <c r="U37" s="39"/>
      <c r="V37" s="39"/>
    </row>
    <row r="38" spans="1:22" ht="12.75" customHeight="1">
      <c r="A38" s="282" t="s">
        <v>40</v>
      </c>
      <c r="B38" s="283"/>
      <c r="C38" s="283"/>
      <c r="D38" s="283"/>
      <c r="E38" s="283"/>
      <c r="F38" s="247"/>
      <c r="G38" s="50" t="s">
        <v>14</v>
      </c>
      <c r="H38" s="86"/>
      <c r="I38" s="87"/>
      <c r="J38" s="88"/>
      <c r="K38" s="87"/>
      <c r="L38" s="89" t="str">
        <f t="shared" si="2"/>
        <v>-</v>
      </c>
      <c r="M38" s="90">
        <f t="shared" si="3"/>
        <v>0</v>
      </c>
      <c r="N38" s="241"/>
      <c r="O38" s="242"/>
      <c r="P38" s="242"/>
      <c r="Q38" s="243"/>
      <c r="R38" s="34"/>
      <c r="S38" s="39"/>
      <c r="T38" s="39"/>
      <c r="U38" s="39"/>
      <c r="V38" s="39"/>
    </row>
    <row r="39" spans="1:22" ht="12.75" customHeight="1">
      <c r="A39" s="284" t="s">
        <v>41</v>
      </c>
      <c r="B39" s="285"/>
      <c r="C39" s="285"/>
      <c r="D39" s="285"/>
      <c r="E39" s="285"/>
      <c r="F39" s="286"/>
      <c r="G39" s="47" t="s">
        <v>14</v>
      </c>
      <c r="H39" s="72"/>
      <c r="I39" s="77"/>
      <c r="J39" s="74"/>
      <c r="K39" s="77"/>
      <c r="L39" s="75" t="str">
        <f t="shared" si="2"/>
        <v>-</v>
      </c>
      <c r="M39" s="76">
        <f t="shared" si="3"/>
        <v>0</v>
      </c>
      <c r="N39" s="226"/>
      <c r="O39" s="227"/>
      <c r="P39" s="227"/>
      <c r="Q39" s="228"/>
      <c r="R39" s="34"/>
      <c r="S39" s="39"/>
      <c r="T39" s="39"/>
      <c r="U39" s="39"/>
      <c r="V39" s="39"/>
    </row>
    <row r="40" spans="1:22" ht="10.5" customHeight="1">
      <c r="A40" s="261" t="s">
        <v>42</v>
      </c>
      <c r="B40" s="262"/>
      <c r="C40" s="262"/>
      <c r="D40" s="262"/>
      <c r="E40" s="262"/>
      <c r="F40" s="263"/>
      <c r="G40" s="49" t="s">
        <v>14</v>
      </c>
      <c r="H40" s="91"/>
      <c r="I40" s="81"/>
      <c r="J40" s="92"/>
      <c r="K40" s="81"/>
      <c r="L40" s="93" t="str">
        <f t="shared" si="2"/>
        <v>-</v>
      </c>
      <c r="M40" s="94">
        <f t="shared" si="3"/>
        <v>0</v>
      </c>
      <c r="N40" s="220"/>
      <c r="O40" s="221"/>
      <c r="P40" s="221"/>
      <c r="Q40" s="222"/>
      <c r="R40" s="34"/>
      <c r="S40" s="39"/>
      <c r="T40" s="39"/>
      <c r="U40" s="39"/>
      <c r="V40" s="39"/>
    </row>
    <row r="41" spans="1:22" ht="12.75" customHeight="1">
      <c r="A41" s="244" t="s">
        <v>43</v>
      </c>
      <c r="B41" s="247" t="s">
        <v>44</v>
      </c>
      <c r="C41" s="248"/>
      <c r="D41" s="248"/>
      <c r="E41" s="248"/>
      <c r="F41" s="248"/>
      <c r="G41" s="50" t="s">
        <v>45</v>
      </c>
      <c r="H41" s="86"/>
      <c r="I41" s="87"/>
      <c r="J41" s="95"/>
      <c r="K41" s="96"/>
      <c r="L41" s="97" t="str">
        <f t="shared" si="2"/>
        <v>-</v>
      </c>
      <c r="M41" s="98">
        <f t="shared" si="3"/>
        <v>0</v>
      </c>
      <c r="N41" s="249"/>
      <c r="O41" s="250"/>
      <c r="P41" s="250"/>
      <c r="Q41" s="251"/>
    </row>
    <row r="42" spans="1:22" ht="12.75" customHeight="1">
      <c r="A42" s="245"/>
      <c r="B42" s="252" t="s">
        <v>46</v>
      </c>
      <c r="C42" s="253"/>
      <c r="D42" s="253"/>
      <c r="E42" s="253"/>
      <c r="F42" s="253"/>
      <c r="G42" s="47" t="s">
        <v>12</v>
      </c>
      <c r="H42" s="72"/>
      <c r="I42" s="77"/>
      <c r="J42" s="74"/>
      <c r="K42" s="77"/>
      <c r="L42" s="75" t="str">
        <f t="shared" si="2"/>
        <v>-</v>
      </c>
      <c r="M42" s="76">
        <f t="shared" si="3"/>
        <v>0</v>
      </c>
      <c r="N42" s="226"/>
      <c r="O42" s="227"/>
      <c r="P42" s="227"/>
      <c r="Q42" s="228"/>
    </row>
    <row r="43" spans="1:22" ht="12.75" customHeight="1">
      <c r="A43" s="245"/>
      <c r="B43" s="254" t="s">
        <v>47</v>
      </c>
      <c r="C43" s="255"/>
      <c r="D43" s="255"/>
      <c r="E43" s="255"/>
      <c r="F43" s="255"/>
      <c r="G43" s="47" t="s">
        <v>48</v>
      </c>
      <c r="H43" s="99"/>
      <c r="I43" s="78"/>
      <c r="J43" s="100"/>
      <c r="K43" s="78"/>
      <c r="L43" s="75" t="str">
        <f t="shared" si="2"/>
        <v>-</v>
      </c>
      <c r="M43" s="101">
        <f t="shared" si="3"/>
        <v>0</v>
      </c>
      <c r="N43" s="226"/>
      <c r="O43" s="227"/>
      <c r="P43" s="227"/>
      <c r="Q43" s="228"/>
    </row>
    <row r="44" spans="1:22" ht="12.75" customHeight="1">
      <c r="A44" s="245"/>
      <c r="B44" s="26"/>
      <c r="C44" s="27"/>
      <c r="D44" s="252" t="s">
        <v>28</v>
      </c>
      <c r="E44" s="253"/>
      <c r="F44" s="253"/>
      <c r="G44" s="47" t="s">
        <v>14</v>
      </c>
      <c r="H44" s="99"/>
      <c r="I44" s="77"/>
      <c r="J44" s="102"/>
      <c r="K44" s="77"/>
      <c r="L44" s="75" t="str">
        <f t="shared" si="2"/>
        <v>-</v>
      </c>
      <c r="M44" s="101">
        <f t="shared" si="3"/>
        <v>0</v>
      </c>
      <c r="N44" s="226"/>
      <c r="O44" s="227"/>
      <c r="P44" s="227"/>
      <c r="Q44" s="228"/>
    </row>
    <row r="45" spans="1:22" ht="12.75" customHeight="1" thickBot="1">
      <c r="A45" s="246"/>
      <c r="B45" s="256" t="s">
        <v>49</v>
      </c>
      <c r="C45" s="257"/>
      <c r="D45" s="257"/>
      <c r="E45" s="257"/>
      <c r="F45" s="257"/>
      <c r="G45" s="51" t="s">
        <v>50</v>
      </c>
      <c r="H45" s="103"/>
      <c r="I45" s="104"/>
      <c r="J45" s="105"/>
      <c r="K45" s="104"/>
      <c r="L45" s="106" t="str">
        <f t="shared" si="2"/>
        <v>-</v>
      </c>
      <c r="M45" s="107">
        <f t="shared" si="3"/>
        <v>0</v>
      </c>
      <c r="N45" s="258"/>
      <c r="O45" s="259"/>
      <c r="P45" s="259"/>
      <c r="Q45" s="260"/>
    </row>
  </sheetData>
  <mergeCells count="91">
    <mergeCell ref="A1:B1"/>
    <mergeCell ref="B30:F30"/>
    <mergeCell ref="N30:Q30"/>
    <mergeCell ref="D23:F23"/>
    <mergeCell ref="N23:Q23"/>
    <mergeCell ref="B24:F24"/>
    <mergeCell ref="N24:Q24"/>
    <mergeCell ref="B8:B23"/>
    <mergeCell ref="C8:F8"/>
    <mergeCell ref="C22:F22"/>
    <mergeCell ref="D17:F17"/>
    <mergeCell ref="C10:F10"/>
    <mergeCell ref="N10:Q10"/>
    <mergeCell ref="A5:F6"/>
    <mergeCell ref="G5:G6"/>
    <mergeCell ref="N29:Q29"/>
    <mergeCell ref="A38:F38"/>
    <mergeCell ref="A39:F39"/>
    <mergeCell ref="C9:F9"/>
    <mergeCell ref="B34:F34"/>
    <mergeCell ref="B25:B28"/>
    <mergeCell ref="C26:F26"/>
    <mergeCell ref="D27:F27"/>
    <mergeCell ref="C28:F28"/>
    <mergeCell ref="C15:F15"/>
    <mergeCell ref="C16:F16"/>
    <mergeCell ref="D25:F25"/>
    <mergeCell ref="M5:M6"/>
    <mergeCell ref="J5:J6"/>
    <mergeCell ref="H5:H6"/>
    <mergeCell ref="C13:F13"/>
    <mergeCell ref="C14:F14"/>
    <mergeCell ref="A40:F40"/>
    <mergeCell ref="B31:F31"/>
    <mergeCell ref="B32:F32"/>
    <mergeCell ref="B33:F33"/>
    <mergeCell ref="B36:F36"/>
    <mergeCell ref="A7:A37"/>
    <mergeCell ref="B7:F7"/>
    <mergeCell ref="B35:F35"/>
    <mergeCell ref="D19:F19"/>
    <mergeCell ref="C20:F20"/>
    <mergeCell ref="D21:F21"/>
    <mergeCell ref="C12:F12"/>
    <mergeCell ref="C11:F11"/>
    <mergeCell ref="C18:F18"/>
    <mergeCell ref="B29:F29"/>
    <mergeCell ref="B37:F37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N45:Q45"/>
    <mergeCell ref="N40:Q40"/>
    <mergeCell ref="N13:Q13"/>
    <mergeCell ref="N14:Q14"/>
    <mergeCell ref="N15:Q15"/>
    <mergeCell ref="N19:Q19"/>
    <mergeCell ref="N20:Q20"/>
    <mergeCell ref="N21:Q21"/>
    <mergeCell ref="N38:Q38"/>
    <mergeCell ref="N39:Q39"/>
    <mergeCell ref="N33:Q33"/>
    <mergeCell ref="N16:Q16"/>
    <mergeCell ref="N22:Q22"/>
    <mergeCell ref="N17:Q17"/>
    <mergeCell ref="N35:Q35"/>
    <mergeCell ref="N31:Q31"/>
    <mergeCell ref="N32:Q32"/>
    <mergeCell ref="N37:Q37"/>
    <mergeCell ref="O1:Q1"/>
    <mergeCell ref="N25:Q25"/>
    <mergeCell ref="N26:Q26"/>
    <mergeCell ref="N27:Q27"/>
    <mergeCell ref="N28:Q28"/>
    <mergeCell ref="N18:Q18"/>
    <mergeCell ref="N11:Q11"/>
    <mergeCell ref="N12:Q12"/>
    <mergeCell ref="O2:Q2"/>
    <mergeCell ref="N5:Q6"/>
    <mergeCell ref="N7:Q7"/>
    <mergeCell ref="N9:Q9"/>
    <mergeCell ref="N8:Q8"/>
    <mergeCell ref="N36:Q36"/>
    <mergeCell ref="N34:Q34"/>
  </mergeCells>
  <phoneticPr fontId="1"/>
  <pageMargins left="0.78740157480314965" right="0.43307086614173229" top="0.78740157480314965" bottom="0.39370078740157483" header="0.43307086614173229" footer="0.19685039370078741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I41"/>
  <sheetViews>
    <sheetView showGridLines="0" view="pageBreakPreview" zoomScaleNormal="100" zoomScaleSheetLayoutView="100" workbookViewId="0"/>
  </sheetViews>
  <sheetFormatPr defaultColWidth="9" defaultRowHeight="12.75" customHeight="1"/>
  <cols>
    <col min="1" max="55" width="3.6640625" style="2" customWidth="1"/>
    <col min="56" max="58" width="3.33203125" style="2" customWidth="1"/>
    <col min="59" max="66" width="3.6640625" style="2" customWidth="1"/>
    <col min="67" max="71" width="3.33203125" style="2" customWidth="1"/>
    <col min="72" max="77" width="3.6640625" style="2" customWidth="1"/>
    <col min="78" max="80" width="3.33203125" style="2" customWidth="1"/>
    <col min="81" max="87" width="3.6640625" style="2" customWidth="1"/>
    <col min="88" max="88" width="3.44140625" style="2" customWidth="1"/>
    <col min="89" max="16384" width="9" style="2"/>
  </cols>
  <sheetData>
    <row r="1" spans="1:87" ht="15" customHeight="1">
      <c r="A1" s="1" t="str">
        <f>No.1!A1&amp;"年産　米生産費統計（個別経営体）　個別結果検討表　№２"</f>
        <v>2019年産　米生産費統計（個別経営体）　個別結果検討表　№２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AF1" s="345" t="s">
        <v>51</v>
      </c>
      <c r="AG1" s="346"/>
      <c r="AH1" s="346"/>
      <c r="AI1" s="346"/>
      <c r="AJ1" s="346"/>
      <c r="AK1" s="346"/>
      <c r="AL1" s="346"/>
      <c r="AM1" s="346"/>
      <c r="AN1" s="346"/>
      <c r="AO1" s="346"/>
      <c r="AP1" s="347"/>
      <c r="AQ1" s="191"/>
      <c r="AR1"/>
      <c r="AS1"/>
      <c r="AT1"/>
      <c r="AU1"/>
      <c r="AV1"/>
      <c r="AW1"/>
      <c r="AX1"/>
      <c r="AY1"/>
      <c r="AZ1"/>
      <c r="BA1"/>
      <c r="BB1"/>
      <c r="BC1"/>
      <c r="BD1"/>
      <c r="BO1"/>
      <c r="BP1"/>
      <c r="BQ1"/>
      <c r="BR1"/>
    </row>
    <row r="2" spans="1:87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AF2" s="348" t="str">
        <f>IF(No.1!O2="","",No.1!O2)</f>
        <v/>
      </c>
      <c r="AG2" s="349"/>
      <c r="AH2" s="349"/>
      <c r="AI2" s="349"/>
      <c r="AJ2" s="349"/>
      <c r="AK2" s="349"/>
      <c r="AL2" s="349"/>
      <c r="AM2" s="349"/>
      <c r="AN2" s="349"/>
      <c r="AO2" s="349"/>
      <c r="AP2" s="350"/>
      <c r="AT2" s="40"/>
      <c r="AU2" s="40"/>
      <c r="AV2" s="40"/>
      <c r="AW2" s="40"/>
      <c r="AX2" s="40"/>
      <c r="AY2"/>
      <c r="AZ2"/>
      <c r="BA2"/>
      <c r="BB2"/>
      <c r="BC2"/>
      <c r="BD2"/>
      <c r="BO2"/>
      <c r="BP2"/>
      <c r="BQ2"/>
      <c r="BR2"/>
    </row>
    <row r="3" spans="1:87" ht="15" customHeight="1"/>
    <row r="4" spans="1:87" ht="15" customHeight="1">
      <c r="A4" s="5" t="s">
        <v>52</v>
      </c>
      <c r="AR4" s="5" t="s">
        <v>53</v>
      </c>
      <c r="BO4" s="62" t="s">
        <v>54</v>
      </c>
      <c r="BP4" s="62"/>
      <c r="BQ4" s="62"/>
      <c r="BR4" s="62"/>
    </row>
    <row r="5" spans="1:87" ht="15" customHeight="1">
      <c r="A5" s="366"/>
      <c r="B5" s="367"/>
      <c r="C5" s="367"/>
      <c r="D5" s="367"/>
      <c r="E5" s="367"/>
      <c r="F5" s="368"/>
      <c r="G5" s="415">
        <f>No.1!H5</f>
        <v>19</v>
      </c>
      <c r="H5" s="416"/>
      <c r="I5" s="417"/>
      <c r="J5" s="421">
        <f>G5-1</f>
        <v>18</v>
      </c>
      <c r="K5" s="416"/>
      <c r="L5" s="417"/>
      <c r="M5" s="355" t="s">
        <v>55</v>
      </c>
      <c r="N5" s="355"/>
      <c r="O5" s="356"/>
      <c r="P5" s="327" t="s">
        <v>56</v>
      </c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9"/>
      <c r="AQ5" s="187"/>
      <c r="AR5" s="366"/>
      <c r="AS5" s="367"/>
      <c r="AT5" s="367"/>
      <c r="AU5" s="367"/>
      <c r="AV5" s="367"/>
      <c r="AW5" s="367"/>
      <c r="AX5" s="415">
        <f>$G$5</f>
        <v>19</v>
      </c>
      <c r="AY5" s="416"/>
      <c r="AZ5" s="417"/>
      <c r="BA5" s="421">
        <f>$J$5</f>
        <v>18</v>
      </c>
      <c r="BB5" s="416"/>
      <c r="BC5" s="417"/>
      <c r="BD5" s="355" t="s">
        <v>55</v>
      </c>
      <c r="BE5" s="355"/>
      <c r="BF5" s="356"/>
      <c r="BG5" s="327" t="s">
        <v>56</v>
      </c>
      <c r="BH5" s="328"/>
      <c r="BI5" s="328"/>
      <c r="BJ5" s="328"/>
      <c r="BK5" s="328"/>
      <c r="BL5" s="328"/>
      <c r="BM5" s="329"/>
      <c r="BO5" s="360"/>
      <c r="BP5" s="361"/>
      <c r="BQ5" s="361"/>
      <c r="BR5" s="361"/>
      <c r="BS5" s="362"/>
      <c r="BT5" s="415">
        <f>$G$5</f>
        <v>19</v>
      </c>
      <c r="BU5" s="416"/>
      <c r="BV5" s="417"/>
      <c r="BW5" s="421">
        <f>$J$5</f>
        <v>18</v>
      </c>
      <c r="BX5" s="416"/>
      <c r="BY5" s="417"/>
      <c r="BZ5" s="355" t="s">
        <v>57</v>
      </c>
      <c r="CA5" s="355"/>
      <c r="CB5" s="356"/>
      <c r="CC5" s="327" t="s">
        <v>56</v>
      </c>
      <c r="CD5" s="328"/>
      <c r="CE5" s="328"/>
      <c r="CF5" s="328"/>
      <c r="CG5" s="328"/>
      <c r="CH5" s="328"/>
      <c r="CI5" s="329"/>
    </row>
    <row r="6" spans="1:87" ht="15" customHeight="1">
      <c r="A6" s="369"/>
      <c r="B6" s="370"/>
      <c r="C6" s="370"/>
      <c r="D6" s="370"/>
      <c r="E6" s="370"/>
      <c r="F6" s="371"/>
      <c r="G6" s="418"/>
      <c r="H6" s="419"/>
      <c r="I6" s="420"/>
      <c r="J6" s="422"/>
      <c r="K6" s="419"/>
      <c r="L6" s="420"/>
      <c r="M6" s="447" t="s">
        <v>58</v>
      </c>
      <c r="N6" s="447"/>
      <c r="O6" s="448"/>
      <c r="P6" s="330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2"/>
      <c r="AQ6" s="187"/>
      <c r="AR6" s="369"/>
      <c r="AS6" s="370"/>
      <c r="AT6" s="370"/>
      <c r="AU6" s="370"/>
      <c r="AV6" s="370"/>
      <c r="AW6" s="370"/>
      <c r="AX6" s="418"/>
      <c r="AY6" s="419"/>
      <c r="AZ6" s="420"/>
      <c r="BA6" s="422"/>
      <c r="BB6" s="419"/>
      <c r="BC6" s="420"/>
      <c r="BD6" s="447" t="s">
        <v>58</v>
      </c>
      <c r="BE6" s="447"/>
      <c r="BF6" s="448"/>
      <c r="BG6" s="330"/>
      <c r="BH6" s="331"/>
      <c r="BI6" s="331"/>
      <c r="BJ6" s="331"/>
      <c r="BK6" s="331"/>
      <c r="BL6" s="331"/>
      <c r="BM6" s="332"/>
      <c r="BO6" s="363"/>
      <c r="BP6" s="364"/>
      <c r="BQ6" s="364"/>
      <c r="BR6" s="364"/>
      <c r="BS6" s="365"/>
      <c r="BT6" s="418"/>
      <c r="BU6" s="419"/>
      <c r="BV6" s="420"/>
      <c r="BW6" s="422"/>
      <c r="BX6" s="419"/>
      <c r="BY6" s="420"/>
      <c r="BZ6" s="353" t="s">
        <v>9</v>
      </c>
      <c r="CA6" s="353"/>
      <c r="CB6" s="354"/>
      <c r="CC6" s="330"/>
      <c r="CD6" s="331"/>
      <c r="CE6" s="331"/>
      <c r="CF6" s="331"/>
      <c r="CG6" s="331"/>
      <c r="CH6" s="331"/>
      <c r="CI6" s="332"/>
    </row>
    <row r="7" spans="1:87" ht="15" customHeight="1">
      <c r="A7" s="387" t="s">
        <v>59</v>
      </c>
      <c r="B7" s="388"/>
      <c r="C7" s="388"/>
      <c r="D7" s="388"/>
      <c r="E7" s="388"/>
      <c r="F7" s="389"/>
      <c r="G7" s="461"/>
      <c r="H7" s="462"/>
      <c r="I7" s="463"/>
      <c r="J7" s="464"/>
      <c r="K7" s="462"/>
      <c r="L7" s="463"/>
      <c r="M7" s="358" t="str">
        <f>IF(G7="-", "-", IF(J7="-", "-", IF(ABS(J7)=0, "-", ROUND(100*(G7-J7)/ABS(J7),1))))</f>
        <v>-</v>
      </c>
      <c r="N7" s="358"/>
      <c r="O7" s="435"/>
      <c r="P7" s="333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34"/>
      <c r="AK7" s="334"/>
      <c r="AL7" s="334"/>
      <c r="AM7" s="334"/>
      <c r="AN7" s="334"/>
      <c r="AO7" s="334"/>
      <c r="AP7" s="335"/>
      <c r="AQ7" s="163"/>
      <c r="AR7" s="514" t="s">
        <v>60</v>
      </c>
      <c r="AS7" s="385" t="s">
        <v>61</v>
      </c>
      <c r="AT7" s="386"/>
      <c r="AU7" s="386"/>
      <c r="AV7" s="386"/>
      <c r="AW7" s="386"/>
      <c r="AX7" s="476"/>
      <c r="AY7" s="477"/>
      <c r="AZ7" s="477"/>
      <c r="BA7" s="478"/>
      <c r="BB7" s="477"/>
      <c r="BC7" s="479"/>
      <c r="BD7" s="358" t="str">
        <f>IF(AX7="-", "-", IF(BA7="-", "-", IF(ABS(BA7)=0, "-", ROUND(100*(AX7-BA7)/ABS(BA7),1))))</f>
        <v>-</v>
      </c>
      <c r="BE7" s="358"/>
      <c r="BF7" s="435"/>
      <c r="BG7" s="333"/>
      <c r="BH7" s="334"/>
      <c r="BI7" s="334"/>
      <c r="BJ7" s="334"/>
      <c r="BK7" s="334"/>
      <c r="BL7" s="334"/>
      <c r="BM7" s="335"/>
      <c r="BO7" s="342" t="s">
        <v>62</v>
      </c>
      <c r="BP7" s="343"/>
      <c r="BQ7" s="343"/>
      <c r="BR7" s="344"/>
      <c r="BS7" s="63" t="s">
        <v>50</v>
      </c>
      <c r="BT7" s="357"/>
      <c r="BU7" s="358"/>
      <c r="BV7" s="359"/>
      <c r="BW7" s="487"/>
      <c r="BX7" s="358"/>
      <c r="BY7" s="359"/>
      <c r="BZ7" s="358" t="str">
        <f>IF(BT7="-", "-", IF(BW7="-", "-", IF(ABS(BW7)=0, "-", ROUND(100*(BT7-BW7)/ABS(BW7),1))))</f>
        <v>-</v>
      </c>
      <c r="CA7" s="358"/>
      <c r="CB7" s="435"/>
      <c r="CC7" s="333"/>
      <c r="CD7" s="334"/>
      <c r="CE7" s="334"/>
      <c r="CF7" s="334"/>
      <c r="CG7" s="334"/>
      <c r="CH7" s="334"/>
      <c r="CI7" s="335"/>
    </row>
    <row r="8" spans="1:87" ht="15" customHeight="1">
      <c r="A8" s="190"/>
      <c r="B8" s="372" t="s">
        <v>63</v>
      </c>
      <c r="C8" s="373"/>
      <c r="D8" s="373"/>
      <c r="E8" s="373"/>
      <c r="F8" s="390"/>
      <c r="G8" s="397"/>
      <c r="H8" s="395"/>
      <c r="I8" s="396"/>
      <c r="J8" s="394"/>
      <c r="K8" s="395"/>
      <c r="L8" s="396"/>
      <c r="M8" s="319" t="str">
        <f t="shared" ref="M8:M28" si="0">IF(G8="-", "-", IF(J8="-", "-", IF(ABS(J8)=0, "-", ROUND(100*(G8-J8)/ABS(J8),1))))</f>
        <v>-</v>
      </c>
      <c r="N8" s="319"/>
      <c r="O8" s="320"/>
      <c r="P8" s="303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4"/>
      <c r="AE8" s="304"/>
      <c r="AF8" s="304"/>
      <c r="AG8" s="304"/>
      <c r="AH8" s="304"/>
      <c r="AI8" s="304"/>
      <c r="AJ8" s="304"/>
      <c r="AK8" s="304"/>
      <c r="AL8" s="304"/>
      <c r="AM8" s="304"/>
      <c r="AN8" s="304"/>
      <c r="AO8" s="304"/>
      <c r="AP8" s="305"/>
      <c r="AQ8" s="163"/>
      <c r="AR8" s="515"/>
      <c r="AS8" s="372" t="s">
        <v>64</v>
      </c>
      <c r="AT8" s="373"/>
      <c r="AU8" s="373"/>
      <c r="AV8" s="373"/>
      <c r="AW8" s="373"/>
      <c r="AX8" s="480"/>
      <c r="AY8" s="481"/>
      <c r="AZ8" s="481"/>
      <c r="BA8" s="482"/>
      <c r="BB8" s="481"/>
      <c r="BC8" s="483"/>
      <c r="BD8" s="484" t="str">
        <f t="shared" ref="BD8:BD23" si="1">IF(AX8="-", "-", IF(BA8="-", "-", IF(ABS(BA8)=0, "-", ROUND(100*(AX8-BA8)/ABS(BA8),1))))</f>
        <v>-</v>
      </c>
      <c r="BE8" s="484"/>
      <c r="BF8" s="485"/>
      <c r="BG8" s="306"/>
      <c r="BH8" s="307"/>
      <c r="BI8" s="307"/>
      <c r="BJ8" s="307"/>
      <c r="BK8" s="307"/>
      <c r="BL8" s="307"/>
      <c r="BM8" s="308"/>
      <c r="BO8" s="339" t="s">
        <v>65</v>
      </c>
      <c r="BP8" s="340"/>
      <c r="BQ8" s="340"/>
      <c r="BR8" s="341"/>
      <c r="BS8" s="64" t="s">
        <v>66</v>
      </c>
      <c r="BT8" s="351"/>
      <c r="BU8" s="319"/>
      <c r="BV8" s="352"/>
      <c r="BW8" s="318"/>
      <c r="BX8" s="319"/>
      <c r="BY8" s="352"/>
      <c r="BZ8" s="319" t="str">
        <f t="shared" ref="BZ8" si="2">IF(BT8="-", "-", IF(BW8="-", "-", IF(ABS(BW8)=0, "-", ROUND(100*(BT8-BW8)/ABS(BW8),1))))</f>
        <v>-</v>
      </c>
      <c r="CA8" s="319"/>
      <c r="CB8" s="320"/>
      <c r="CC8" s="303"/>
      <c r="CD8" s="304"/>
      <c r="CE8" s="304"/>
      <c r="CF8" s="304"/>
      <c r="CG8" s="304"/>
      <c r="CH8" s="304"/>
      <c r="CI8" s="305"/>
    </row>
    <row r="9" spans="1:87" ht="15" customHeight="1">
      <c r="A9" s="190"/>
      <c r="B9" s="41"/>
      <c r="C9" s="374" t="s">
        <v>67</v>
      </c>
      <c r="D9" s="375"/>
      <c r="E9" s="375"/>
      <c r="F9" s="376"/>
      <c r="G9" s="397"/>
      <c r="H9" s="395"/>
      <c r="I9" s="396"/>
      <c r="J9" s="394"/>
      <c r="K9" s="395"/>
      <c r="L9" s="396"/>
      <c r="M9" s="319" t="str">
        <f t="shared" si="0"/>
        <v>-</v>
      </c>
      <c r="N9" s="319"/>
      <c r="O9" s="320"/>
      <c r="P9" s="303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5"/>
      <c r="AQ9" s="163"/>
      <c r="AR9" s="488" t="s">
        <v>68</v>
      </c>
      <c r="AS9" s="377" t="s">
        <v>69</v>
      </c>
      <c r="AT9" s="378"/>
      <c r="AU9" s="385" t="s">
        <v>61</v>
      </c>
      <c r="AV9" s="386"/>
      <c r="AW9" s="386"/>
      <c r="AX9" s="476"/>
      <c r="AY9" s="477"/>
      <c r="AZ9" s="477"/>
      <c r="BA9" s="478"/>
      <c r="BB9" s="477"/>
      <c r="BC9" s="479"/>
      <c r="BD9" s="358" t="str">
        <f t="shared" si="1"/>
        <v>-</v>
      </c>
      <c r="BE9" s="358"/>
      <c r="BF9" s="435"/>
      <c r="BG9" s="333"/>
      <c r="BH9" s="334"/>
      <c r="BI9" s="334"/>
      <c r="BJ9" s="334"/>
      <c r="BK9" s="334"/>
      <c r="BL9" s="334"/>
      <c r="BM9" s="335"/>
      <c r="BO9" s="339"/>
      <c r="BP9" s="340"/>
      <c r="BQ9" s="340"/>
      <c r="BR9" s="341"/>
      <c r="BS9" s="64"/>
      <c r="BT9" s="351"/>
      <c r="BU9" s="319"/>
      <c r="BV9" s="352"/>
      <c r="BW9" s="318"/>
      <c r="BX9" s="319"/>
      <c r="BY9" s="352"/>
      <c r="BZ9" s="319"/>
      <c r="CA9" s="319"/>
      <c r="CB9" s="320"/>
      <c r="CC9" s="303"/>
      <c r="CD9" s="304"/>
      <c r="CE9" s="304"/>
      <c r="CF9" s="304"/>
      <c r="CG9" s="304"/>
      <c r="CH9" s="304"/>
      <c r="CI9" s="305"/>
    </row>
    <row r="10" spans="1:87" ht="15" customHeight="1">
      <c r="A10" s="190"/>
      <c r="B10" s="41"/>
      <c r="C10" s="374" t="s">
        <v>62</v>
      </c>
      <c r="D10" s="375"/>
      <c r="E10" s="375"/>
      <c r="F10" s="376"/>
      <c r="G10" s="397"/>
      <c r="H10" s="395"/>
      <c r="I10" s="396"/>
      <c r="J10" s="394"/>
      <c r="K10" s="395"/>
      <c r="L10" s="396"/>
      <c r="M10" s="319" t="str">
        <f t="shared" si="0"/>
        <v>-</v>
      </c>
      <c r="N10" s="319"/>
      <c r="O10" s="320"/>
      <c r="P10" s="303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4"/>
      <c r="AH10" s="304"/>
      <c r="AI10" s="304"/>
      <c r="AJ10" s="304"/>
      <c r="AK10" s="304"/>
      <c r="AL10" s="304"/>
      <c r="AM10" s="304"/>
      <c r="AN10" s="304"/>
      <c r="AO10" s="304"/>
      <c r="AP10" s="305"/>
      <c r="AQ10" s="163"/>
      <c r="AR10" s="489"/>
      <c r="AS10" s="379"/>
      <c r="AT10" s="380"/>
      <c r="AU10" s="374" t="s">
        <v>64</v>
      </c>
      <c r="AV10" s="375"/>
      <c r="AW10" s="375"/>
      <c r="AX10" s="326"/>
      <c r="AY10" s="313"/>
      <c r="AZ10" s="313"/>
      <c r="BA10" s="312"/>
      <c r="BB10" s="313"/>
      <c r="BC10" s="314"/>
      <c r="BD10" s="319" t="str">
        <f t="shared" si="1"/>
        <v>-</v>
      </c>
      <c r="BE10" s="319"/>
      <c r="BF10" s="320"/>
      <c r="BG10" s="303"/>
      <c r="BH10" s="304"/>
      <c r="BI10" s="304"/>
      <c r="BJ10" s="304"/>
      <c r="BK10" s="304"/>
      <c r="BL10" s="304"/>
      <c r="BM10" s="305"/>
      <c r="BO10" s="339"/>
      <c r="BP10" s="340"/>
      <c r="BQ10" s="340"/>
      <c r="BR10" s="341"/>
      <c r="BS10" s="64"/>
      <c r="BT10" s="351"/>
      <c r="BU10" s="319"/>
      <c r="BV10" s="352"/>
      <c r="BW10" s="318"/>
      <c r="BX10" s="319"/>
      <c r="BY10" s="352"/>
      <c r="BZ10" s="319"/>
      <c r="CA10" s="319"/>
      <c r="CB10" s="320"/>
      <c r="CC10" s="303"/>
      <c r="CD10" s="304"/>
      <c r="CE10" s="304"/>
      <c r="CF10" s="304"/>
      <c r="CG10" s="304"/>
      <c r="CH10" s="304"/>
      <c r="CI10" s="305"/>
    </row>
    <row r="11" spans="1:87" ht="15" customHeight="1">
      <c r="A11" s="190"/>
      <c r="B11" s="41"/>
      <c r="C11" s="374" t="s">
        <v>70</v>
      </c>
      <c r="D11" s="375"/>
      <c r="E11" s="375"/>
      <c r="F11" s="376"/>
      <c r="G11" s="397"/>
      <c r="H11" s="395"/>
      <c r="I11" s="396"/>
      <c r="J11" s="394"/>
      <c r="K11" s="395"/>
      <c r="L11" s="396"/>
      <c r="M11" s="319" t="str">
        <f t="shared" si="0"/>
        <v>-</v>
      </c>
      <c r="N11" s="319"/>
      <c r="O11" s="320"/>
      <c r="P11" s="303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304"/>
      <c r="AI11" s="304"/>
      <c r="AJ11" s="304"/>
      <c r="AK11" s="304"/>
      <c r="AL11" s="304"/>
      <c r="AM11" s="304"/>
      <c r="AN11" s="304"/>
      <c r="AO11" s="304"/>
      <c r="AP11" s="305"/>
      <c r="AQ11" s="163"/>
      <c r="AR11" s="490"/>
      <c r="AS11" s="381" t="s">
        <v>71</v>
      </c>
      <c r="AT11" s="382"/>
      <c r="AU11" s="374" t="s">
        <v>61</v>
      </c>
      <c r="AV11" s="375"/>
      <c r="AW11" s="375"/>
      <c r="AX11" s="326"/>
      <c r="AY11" s="313"/>
      <c r="AZ11" s="313"/>
      <c r="BA11" s="312"/>
      <c r="BB11" s="313"/>
      <c r="BC11" s="314"/>
      <c r="BD11" s="319" t="str">
        <f t="shared" si="1"/>
        <v>-</v>
      </c>
      <c r="BE11" s="319"/>
      <c r="BF11" s="320"/>
      <c r="BG11" s="303"/>
      <c r="BH11" s="304"/>
      <c r="BI11" s="304"/>
      <c r="BJ11" s="304"/>
      <c r="BK11" s="304"/>
      <c r="BL11" s="304"/>
      <c r="BM11" s="305"/>
      <c r="BO11" s="339"/>
      <c r="BP11" s="340"/>
      <c r="BQ11" s="340"/>
      <c r="BR11" s="341"/>
      <c r="BS11" s="64"/>
      <c r="BT11" s="351"/>
      <c r="BU11" s="319"/>
      <c r="BV11" s="352"/>
      <c r="BW11" s="318"/>
      <c r="BX11" s="319"/>
      <c r="BY11" s="352"/>
      <c r="BZ11" s="319"/>
      <c r="CA11" s="319"/>
      <c r="CB11" s="320"/>
      <c r="CC11" s="303"/>
      <c r="CD11" s="304"/>
      <c r="CE11" s="304"/>
      <c r="CF11" s="304"/>
      <c r="CG11" s="304"/>
      <c r="CH11" s="304"/>
      <c r="CI11" s="305"/>
    </row>
    <row r="12" spans="1:87" ht="15" customHeight="1">
      <c r="A12" s="190"/>
      <c r="B12" s="41"/>
      <c r="C12" s="374" t="s">
        <v>72</v>
      </c>
      <c r="D12" s="375"/>
      <c r="E12" s="375"/>
      <c r="F12" s="376"/>
      <c r="G12" s="397"/>
      <c r="H12" s="395"/>
      <c r="I12" s="396"/>
      <c r="J12" s="394"/>
      <c r="K12" s="395"/>
      <c r="L12" s="396"/>
      <c r="M12" s="319" t="str">
        <f t="shared" si="0"/>
        <v>-</v>
      </c>
      <c r="N12" s="319"/>
      <c r="O12" s="320"/>
      <c r="P12" s="303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  <c r="AO12" s="304"/>
      <c r="AP12" s="305"/>
      <c r="AQ12" s="163"/>
      <c r="AR12" s="491"/>
      <c r="AS12" s="383"/>
      <c r="AT12" s="384"/>
      <c r="AU12" s="391" t="s">
        <v>64</v>
      </c>
      <c r="AV12" s="392"/>
      <c r="AW12" s="392"/>
      <c r="AX12" s="467"/>
      <c r="AY12" s="322"/>
      <c r="AZ12" s="322"/>
      <c r="BA12" s="321"/>
      <c r="BB12" s="322"/>
      <c r="BC12" s="323"/>
      <c r="BD12" s="316" t="str">
        <f t="shared" si="1"/>
        <v>-</v>
      </c>
      <c r="BE12" s="316"/>
      <c r="BF12" s="317"/>
      <c r="BG12" s="294"/>
      <c r="BH12" s="295"/>
      <c r="BI12" s="295"/>
      <c r="BJ12" s="295"/>
      <c r="BK12" s="295"/>
      <c r="BL12" s="295"/>
      <c r="BM12" s="296"/>
      <c r="BO12" s="402"/>
      <c r="BP12" s="403"/>
      <c r="BQ12" s="403"/>
      <c r="BR12" s="404"/>
      <c r="BS12" s="64"/>
      <c r="BT12" s="351"/>
      <c r="BU12" s="319"/>
      <c r="BV12" s="352"/>
      <c r="BW12" s="318"/>
      <c r="BX12" s="319"/>
      <c r="BY12" s="352"/>
      <c r="BZ12" s="319"/>
      <c r="CA12" s="319"/>
      <c r="CB12" s="320"/>
      <c r="CC12" s="303"/>
      <c r="CD12" s="304"/>
      <c r="CE12" s="304"/>
      <c r="CF12" s="304"/>
      <c r="CG12" s="304"/>
      <c r="CH12" s="304"/>
      <c r="CI12" s="305"/>
    </row>
    <row r="13" spans="1:87" ht="15" customHeight="1">
      <c r="A13" s="190"/>
      <c r="B13" s="41"/>
      <c r="C13" s="374" t="s">
        <v>73</v>
      </c>
      <c r="D13" s="375"/>
      <c r="E13" s="375"/>
      <c r="F13" s="376"/>
      <c r="G13" s="397"/>
      <c r="H13" s="395"/>
      <c r="I13" s="396"/>
      <c r="J13" s="394"/>
      <c r="K13" s="395"/>
      <c r="L13" s="396"/>
      <c r="M13" s="319" t="str">
        <f t="shared" si="0"/>
        <v>-</v>
      </c>
      <c r="N13" s="319"/>
      <c r="O13" s="320"/>
      <c r="P13" s="303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304"/>
      <c r="AJ13" s="304"/>
      <c r="AK13" s="304"/>
      <c r="AL13" s="304"/>
      <c r="AM13" s="304"/>
      <c r="AN13" s="304"/>
      <c r="AO13" s="304"/>
      <c r="AP13" s="305"/>
      <c r="AQ13" s="163"/>
      <c r="AR13" s="468" t="s">
        <v>74</v>
      </c>
      <c r="AS13" s="469"/>
      <c r="AT13" s="469"/>
      <c r="AU13" s="469"/>
      <c r="AV13" s="469"/>
      <c r="AW13" s="469"/>
      <c r="AX13" s="324"/>
      <c r="AY13" s="325"/>
      <c r="AZ13" s="325"/>
      <c r="BA13" s="512"/>
      <c r="BB13" s="325"/>
      <c r="BC13" s="513"/>
      <c r="BD13" s="465" t="str">
        <f t="shared" si="1"/>
        <v>-</v>
      </c>
      <c r="BE13" s="465"/>
      <c r="BF13" s="466"/>
      <c r="BG13" s="336"/>
      <c r="BH13" s="337"/>
      <c r="BI13" s="337"/>
      <c r="BJ13" s="337"/>
      <c r="BK13" s="337"/>
      <c r="BL13" s="337"/>
      <c r="BM13" s="338"/>
      <c r="BO13" s="339"/>
      <c r="BP13" s="340"/>
      <c r="BQ13" s="340"/>
      <c r="BR13" s="341"/>
      <c r="BS13" s="64"/>
      <c r="BT13" s="351"/>
      <c r="BU13" s="319"/>
      <c r="BV13" s="352"/>
      <c r="BW13" s="318"/>
      <c r="BX13" s="319"/>
      <c r="BY13" s="352"/>
      <c r="BZ13" s="319"/>
      <c r="CA13" s="319"/>
      <c r="CB13" s="320"/>
      <c r="CC13" s="303"/>
      <c r="CD13" s="304"/>
      <c r="CE13" s="304"/>
      <c r="CF13" s="304"/>
      <c r="CG13" s="304"/>
      <c r="CH13" s="304"/>
      <c r="CI13" s="305"/>
    </row>
    <row r="14" spans="1:87" ht="15" customHeight="1">
      <c r="A14" s="190"/>
      <c r="B14" s="41"/>
      <c r="C14" s="374" t="s">
        <v>75</v>
      </c>
      <c r="D14" s="375"/>
      <c r="E14" s="375"/>
      <c r="F14" s="376"/>
      <c r="G14" s="397"/>
      <c r="H14" s="395"/>
      <c r="I14" s="396"/>
      <c r="J14" s="394"/>
      <c r="K14" s="395"/>
      <c r="L14" s="396"/>
      <c r="M14" s="319" t="str">
        <f t="shared" si="0"/>
        <v>-</v>
      </c>
      <c r="N14" s="319"/>
      <c r="O14" s="320"/>
      <c r="P14" s="303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4"/>
      <c r="AH14" s="304"/>
      <c r="AI14" s="304"/>
      <c r="AJ14" s="304"/>
      <c r="AK14" s="304"/>
      <c r="AL14" s="304"/>
      <c r="AM14" s="304"/>
      <c r="AN14" s="304"/>
      <c r="AO14" s="304"/>
      <c r="AP14" s="305"/>
      <c r="AQ14" s="163"/>
      <c r="AR14" s="393" t="s">
        <v>76</v>
      </c>
      <c r="AS14" s="373"/>
      <c r="AT14" s="373"/>
      <c r="AU14" s="373"/>
      <c r="AV14" s="373"/>
      <c r="AW14" s="390"/>
      <c r="AX14" s="326"/>
      <c r="AY14" s="313"/>
      <c r="AZ14" s="313"/>
      <c r="BA14" s="312"/>
      <c r="BB14" s="313"/>
      <c r="BC14" s="314"/>
      <c r="BD14" s="318" t="str">
        <f t="shared" si="1"/>
        <v>-</v>
      </c>
      <c r="BE14" s="319"/>
      <c r="BF14" s="320"/>
      <c r="BG14" s="303"/>
      <c r="BH14" s="304"/>
      <c r="BI14" s="304"/>
      <c r="BJ14" s="304"/>
      <c r="BK14" s="304"/>
      <c r="BL14" s="304"/>
      <c r="BM14" s="305"/>
      <c r="BO14" s="399"/>
      <c r="BP14" s="400"/>
      <c r="BQ14" s="400"/>
      <c r="BR14" s="401"/>
      <c r="BS14" s="65"/>
      <c r="BT14" s="492"/>
      <c r="BU14" s="316"/>
      <c r="BV14" s="398"/>
      <c r="BW14" s="315"/>
      <c r="BX14" s="316"/>
      <c r="BY14" s="398"/>
      <c r="BZ14" s="316"/>
      <c r="CA14" s="316"/>
      <c r="CB14" s="317"/>
      <c r="CC14" s="294"/>
      <c r="CD14" s="295"/>
      <c r="CE14" s="295"/>
      <c r="CF14" s="295"/>
      <c r="CG14" s="295"/>
      <c r="CH14" s="295"/>
      <c r="CI14" s="296"/>
    </row>
    <row r="15" spans="1:87" ht="15" customHeight="1">
      <c r="A15" s="190"/>
      <c r="B15" s="41"/>
      <c r="C15" s="374" t="s">
        <v>77</v>
      </c>
      <c r="D15" s="375"/>
      <c r="E15" s="375"/>
      <c r="F15" s="376"/>
      <c r="G15" s="397"/>
      <c r="H15" s="395"/>
      <c r="I15" s="396"/>
      <c r="J15" s="394"/>
      <c r="K15" s="395"/>
      <c r="L15" s="396"/>
      <c r="M15" s="319" t="str">
        <f t="shared" si="0"/>
        <v>-</v>
      </c>
      <c r="N15" s="319"/>
      <c r="O15" s="320"/>
      <c r="P15" s="303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4"/>
      <c r="AI15" s="304"/>
      <c r="AJ15" s="304"/>
      <c r="AK15" s="304"/>
      <c r="AL15" s="304"/>
      <c r="AM15" s="304"/>
      <c r="AN15" s="304"/>
      <c r="AO15" s="304"/>
      <c r="AP15" s="305"/>
      <c r="AQ15" s="163"/>
      <c r="AR15" s="182"/>
      <c r="AS15" s="374" t="s">
        <v>78</v>
      </c>
      <c r="AT15" s="375"/>
      <c r="AU15" s="375"/>
      <c r="AV15" s="375"/>
      <c r="AW15" s="376"/>
      <c r="AX15" s="326"/>
      <c r="AY15" s="313"/>
      <c r="AZ15" s="313"/>
      <c r="BA15" s="312"/>
      <c r="BB15" s="313"/>
      <c r="BC15" s="314"/>
      <c r="BD15" s="318" t="str">
        <f t="shared" si="1"/>
        <v>-</v>
      </c>
      <c r="BE15" s="319"/>
      <c r="BF15" s="320"/>
      <c r="BG15" s="303"/>
      <c r="BH15" s="304"/>
      <c r="BI15" s="304"/>
      <c r="BJ15" s="304"/>
      <c r="BK15" s="304"/>
      <c r="BL15" s="304"/>
      <c r="BM15" s="305"/>
    </row>
    <row r="16" spans="1:87" ht="15" customHeight="1">
      <c r="A16" s="190"/>
      <c r="B16" s="41"/>
      <c r="C16" s="374" t="s">
        <v>79</v>
      </c>
      <c r="D16" s="375"/>
      <c r="E16" s="375"/>
      <c r="F16" s="376"/>
      <c r="G16" s="397"/>
      <c r="H16" s="395"/>
      <c r="I16" s="396"/>
      <c r="J16" s="394"/>
      <c r="K16" s="395"/>
      <c r="L16" s="396"/>
      <c r="M16" s="319" t="str">
        <f t="shared" si="0"/>
        <v>-</v>
      </c>
      <c r="N16" s="319"/>
      <c r="O16" s="320"/>
      <c r="P16" s="303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4"/>
      <c r="AO16" s="304"/>
      <c r="AP16" s="305"/>
      <c r="AQ16" s="163"/>
      <c r="AR16" s="393" t="s">
        <v>80</v>
      </c>
      <c r="AS16" s="373"/>
      <c r="AT16" s="373"/>
      <c r="AU16" s="373"/>
      <c r="AV16" s="373"/>
      <c r="AW16" s="390"/>
      <c r="AX16" s="326"/>
      <c r="AY16" s="313"/>
      <c r="AZ16" s="313"/>
      <c r="BA16" s="312"/>
      <c r="BB16" s="313"/>
      <c r="BC16" s="314"/>
      <c r="BD16" s="318" t="str">
        <f t="shared" si="1"/>
        <v>-</v>
      </c>
      <c r="BE16" s="319"/>
      <c r="BF16" s="320"/>
      <c r="BG16" s="303"/>
      <c r="BH16" s="304"/>
      <c r="BI16" s="304"/>
      <c r="BJ16" s="304"/>
      <c r="BK16" s="304"/>
      <c r="BL16" s="304"/>
      <c r="BM16" s="305"/>
    </row>
    <row r="17" spans="1:65" ht="15" customHeight="1">
      <c r="A17" s="190"/>
      <c r="B17" s="41"/>
      <c r="C17" s="374" t="s">
        <v>81</v>
      </c>
      <c r="D17" s="375"/>
      <c r="E17" s="375"/>
      <c r="F17" s="376"/>
      <c r="G17" s="397"/>
      <c r="H17" s="395"/>
      <c r="I17" s="396"/>
      <c r="J17" s="394"/>
      <c r="K17" s="395"/>
      <c r="L17" s="396"/>
      <c r="M17" s="319" t="str">
        <f t="shared" si="0"/>
        <v>-</v>
      </c>
      <c r="N17" s="319"/>
      <c r="O17" s="320"/>
      <c r="P17" s="303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5"/>
      <c r="AQ17" s="163"/>
      <c r="AR17" s="9"/>
      <c r="AS17" s="456" t="s">
        <v>78</v>
      </c>
      <c r="AT17" s="437"/>
      <c r="AU17" s="437"/>
      <c r="AV17" s="437"/>
      <c r="AW17" s="457"/>
      <c r="AX17" s="467"/>
      <c r="AY17" s="322"/>
      <c r="AZ17" s="322"/>
      <c r="BA17" s="321"/>
      <c r="BB17" s="322"/>
      <c r="BC17" s="323"/>
      <c r="BD17" s="315" t="str">
        <f t="shared" si="1"/>
        <v>-</v>
      </c>
      <c r="BE17" s="316"/>
      <c r="BF17" s="317"/>
      <c r="BG17" s="306"/>
      <c r="BH17" s="307"/>
      <c r="BI17" s="307"/>
      <c r="BJ17" s="307"/>
      <c r="BK17" s="307"/>
      <c r="BL17" s="307"/>
      <c r="BM17" s="308"/>
    </row>
    <row r="18" spans="1:65" ht="15" customHeight="1">
      <c r="A18" s="190"/>
      <c r="B18" s="41"/>
      <c r="C18" s="374" t="s">
        <v>65</v>
      </c>
      <c r="D18" s="375"/>
      <c r="E18" s="375"/>
      <c r="F18" s="376"/>
      <c r="G18" s="397"/>
      <c r="H18" s="395"/>
      <c r="I18" s="396"/>
      <c r="J18" s="394"/>
      <c r="K18" s="395"/>
      <c r="L18" s="396"/>
      <c r="M18" s="319" t="str">
        <f t="shared" si="0"/>
        <v>-</v>
      </c>
      <c r="N18" s="319"/>
      <c r="O18" s="320"/>
      <c r="P18" s="303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04"/>
      <c r="AN18" s="304"/>
      <c r="AO18" s="304"/>
      <c r="AP18" s="305"/>
      <c r="AQ18" s="163"/>
      <c r="AR18" s="473" t="s">
        <v>82</v>
      </c>
      <c r="AS18" s="474"/>
      <c r="AT18" s="474"/>
      <c r="AU18" s="474"/>
      <c r="AV18" s="474"/>
      <c r="AW18" s="475"/>
      <c r="AX18" s="511"/>
      <c r="AY18" s="509"/>
      <c r="AZ18" s="510"/>
      <c r="BA18" s="508"/>
      <c r="BB18" s="509"/>
      <c r="BC18" s="510"/>
      <c r="BD18" s="505" t="str">
        <f t="shared" si="1"/>
        <v>-</v>
      </c>
      <c r="BE18" s="506"/>
      <c r="BF18" s="507"/>
      <c r="BG18" s="309"/>
      <c r="BH18" s="310"/>
      <c r="BI18" s="310"/>
      <c r="BJ18" s="310"/>
      <c r="BK18" s="310"/>
      <c r="BL18" s="310"/>
      <c r="BM18" s="311"/>
    </row>
    <row r="19" spans="1:65" ht="15" customHeight="1">
      <c r="A19" s="190"/>
      <c r="B19" s="41"/>
      <c r="C19" s="374" t="s">
        <v>83</v>
      </c>
      <c r="D19" s="375"/>
      <c r="E19" s="375"/>
      <c r="F19" s="376"/>
      <c r="G19" s="397"/>
      <c r="H19" s="395"/>
      <c r="I19" s="396"/>
      <c r="J19" s="394"/>
      <c r="K19" s="395"/>
      <c r="L19" s="396"/>
      <c r="M19" s="319" t="str">
        <f t="shared" si="0"/>
        <v>-</v>
      </c>
      <c r="N19" s="319"/>
      <c r="O19" s="320"/>
      <c r="P19" s="303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  <c r="AH19" s="304"/>
      <c r="AI19" s="304"/>
      <c r="AJ19" s="304"/>
      <c r="AK19" s="304"/>
      <c r="AL19" s="304"/>
      <c r="AM19" s="304"/>
      <c r="AN19" s="304"/>
      <c r="AO19" s="304"/>
      <c r="AP19" s="305"/>
      <c r="AQ19" s="163"/>
      <c r="AR19" s="19"/>
      <c r="AS19" s="470" t="s">
        <v>84</v>
      </c>
      <c r="AT19" s="471"/>
      <c r="AU19" s="471"/>
      <c r="AV19" s="471"/>
      <c r="AW19" s="472"/>
      <c r="AX19" s="324"/>
      <c r="AY19" s="325"/>
      <c r="AZ19" s="325"/>
      <c r="BA19" s="312"/>
      <c r="BB19" s="313"/>
      <c r="BC19" s="314"/>
      <c r="BD19" s="318" t="str">
        <f t="shared" si="1"/>
        <v>-</v>
      </c>
      <c r="BE19" s="319"/>
      <c r="BF19" s="320"/>
      <c r="BG19" s="303"/>
      <c r="BH19" s="304"/>
      <c r="BI19" s="304"/>
      <c r="BJ19" s="304"/>
      <c r="BK19" s="304"/>
      <c r="BL19" s="304"/>
      <c r="BM19" s="305"/>
    </row>
    <row r="20" spans="1:65" ht="15" customHeight="1">
      <c r="A20" s="190"/>
      <c r="B20" s="41"/>
      <c r="C20" s="374" t="s">
        <v>85</v>
      </c>
      <c r="D20" s="375"/>
      <c r="E20" s="375"/>
      <c r="F20" s="376"/>
      <c r="G20" s="397"/>
      <c r="H20" s="395"/>
      <c r="I20" s="396"/>
      <c r="J20" s="394"/>
      <c r="K20" s="395"/>
      <c r="L20" s="396"/>
      <c r="M20" s="319" t="str">
        <f t="shared" si="0"/>
        <v>-</v>
      </c>
      <c r="N20" s="319"/>
      <c r="O20" s="320"/>
      <c r="P20" s="303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  <c r="AH20" s="304"/>
      <c r="AI20" s="304"/>
      <c r="AJ20" s="304"/>
      <c r="AK20" s="304"/>
      <c r="AL20" s="304"/>
      <c r="AM20" s="304"/>
      <c r="AN20" s="304"/>
      <c r="AO20" s="304"/>
      <c r="AP20" s="305"/>
      <c r="AQ20" s="163"/>
      <c r="AR20" s="20"/>
      <c r="AS20" s="372" t="s">
        <v>76</v>
      </c>
      <c r="AT20" s="373"/>
      <c r="AU20" s="373"/>
      <c r="AV20" s="373"/>
      <c r="AW20" s="390"/>
      <c r="AX20" s="326"/>
      <c r="AY20" s="313"/>
      <c r="AZ20" s="313"/>
      <c r="BA20" s="312"/>
      <c r="BB20" s="313"/>
      <c r="BC20" s="314"/>
      <c r="BD20" s="318" t="str">
        <f t="shared" si="1"/>
        <v>-</v>
      </c>
      <c r="BE20" s="319"/>
      <c r="BF20" s="320"/>
      <c r="BG20" s="303"/>
      <c r="BH20" s="304"/>
      <c r="BI20" s="304"/>
      <c r="BJ20" s="304"/>
      <c r="BK20" s="304"/>
      <c r="BL20" s="304"/>
      <c r="BM20" s="305"/>
    </row>
    <row r="21" spans="1:65" ht="15" customHeight="1">
      <c r="A21" s="190"/>
      <c r="B21" s="41"/>
      <c r="C21" s="374" t="s">
        <v>86</v>
      </c>
      <c r="D21" s="375"/>
      <c r="E21" s="375"/>
      <c r="F21" s="376"/>
      <c r="G21" s="397"/>
      <c r="H21" s="395"/>
      <c r="I21" s="396"/>
      <c r="J21" s="394"/>
      <c r="K21" s="395"/>
      <c r="L21" s="396"/>
      <c r="M21" s="319" t="str">
        <f t="shared" si="0"/>
        <v>-</v>
      </c>
      <c r="N21" s="319"/>
      <c r="O21" s="320"/>
      <c r="P21" s="303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4"/>
      <c r="AH21" s="304"/>
      <c r="AI21" s="304"/>
      <c r="AJ21" s="304"/>
      <c r="AK21" s="304"/>
      <c r="AL21" s="304"/>
      <c r="AM21" s="304"/>
      <c r="AN21" s="304"/>
      <c r="AO21" s="304"/>
      <c r="AP21" s="305"/>
      <c r="AQ21" s="163"/>
      <c r="AR21" s="190"/>
      <c r="AS21" s="41"/>
      <c r="AT21" s="374" t="s">
        <v>78</v>
      </c>
      <c r="AU21" s="375"/>
      <c r="AV21" s="375"/>
      <c r="AW21" s="376"/>
      <c r="AX21" s="326"/>
      <c r="AY21" s="313"/>
      <c r="AZ21" s="313"/>
      <c r="BA21" s="312"/>
      <c r="BB21" s="313"/>
      <c r="BC21" s="314"/>
      <c r="BD21" s="318" t="str">
        <f t="shared" si="1"/>
        <v>-</v>
      </c>
      <c r="BE21" s="319"/>
      <c r="BF21" s="320"/>
      <c r="BG21" s="303"/>
      <c r="BH21" s="304"/>
      <c r="BI21" s="304"/>
      <c r="BJ21" s="304"/>
      <c r="BK21" s="304"/>
      <c r="BL21" s="304"/>
      <c r="BM21" s="305"/>
    </row>
    <row r="22" spans="1:65" ht="15" customHeight="1">
      <c r="A22" s="9"/>
      <c r="B22" s="456" t="s">
        <v>87</v>
      </c>
      <c r="C22" s="437"/>
      <c r="D22" s="437"/>
      <c r="E22" s="437"/>
      <c r="F22" s="457"/>
      <c r="G22" s="431"/>
      <c r="H22" s="432"/>
      <c r="I22" s="434"/>
      <c r="J22" s="433"/>
      <c r="K22" s="432"/>
      <c r="L22" s="434"/>
      <c r="M22" s="316" t="str">
        <f t="shared" si="0"/>
        <v>-</v>
      </c>
      <c r="N22" s="316"/>
      <c r="O22" s="317"/>
      <c r="P22" s="306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  <c r="AG22" s="307"/>
      <c r="AH22" s="307"/>
      <c r="AI22" s="307"/>
      <c r="AJ22" s="307"/>
      <c r="AK22" s="307"/>
      <c r="AL22" s="307"/>
      <c r="AM22" s="307"/>
      <c r="AN22" s="307"/>
      <c r="AO22" s="307"/>
      <c r="AP22" s="308"/>
      <c r="AQ22" s="163"/>
      <c r="AR22" s="20"/>
      <c r="AS22" s="372" t="s">
        <v>80</v>
      </c>
      <c r="AT22" s="373"/>
      <c r="AU22" s="373"/>
      <c r="AV22" s="373"/>
      <c r="AW22" s="390"/>
      <c r="AX22" s="326"/>
      <c r="AY22" s="313"/>
      <c r="AZ22" s="313"/>
      <c r="BA22" s="312"/>
      <c r="BB22" s="313"/>
      <c r="BC22" s="314"/>
      <c r="BD22" s="318" t="str">
        <f t="shared" si="1"/>
        <v>-</v>
      </c>
      <c r="BE22" s="319"/>
      <c r="BF22" s="320"/>
      <c r="BG22" s="303"/>
      <c r="BH22" s="304"/>
      <c r="BI22" s="304"/>
      <c r="BJ22" s="304"/>
      <c r="BK22" s="304"/>
      <c r="BL22" s="304"/>
      <c r="BM22" s="305"/>
    </row>
    <row r="23" spans="1:65" ht="15" customHeight="1">
      <c r="A23" s="387" t="s">
        <v>88</v>
      </c>
      <c r="B23" s="386"/>
      <c r="C23" s="386"/>
      <c r="D23" s="386"/>
      <c r="E23" s="386"/>
      <c r="F23" s="449"/>
      <c r="G23" s="461"/>
      <c r="H23" s="462"/>
      <c r="I23" s="463"/>
      <c r="J23" s="458"/>
      <c r="K23" s="459"/>
      <c r="L23" s="460"/>
      <c r="M23" s="465" t="str">
        <f t="shared" si="0"/>
        <v>-</v>
      </c>
      <c r="N23" s="465"/>
      <c r="O23" s="466"/>
      <c r="P23" s="333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4"/>
      <c r="AJ23" s="334"/>
      <c r="AK23" s="334"/>
      <c r="AL23" s="334"/>
      <c r="AM23" s="334"/>
      <c r="AN23" s="334"/>
      <c r="AO23" s="334"/>
      <c r="AP23" s="335"/>
      <c r="AQ23" s="163"/>
      <c r="AR23" s="9"/>
      <c r="AS23" s="177"/>
      <c r="AT23" s="456" t="s">
        <v>78</v>
      </c>
      <c r="AU23" s="437"/>
      <c r="AV23" s="437"/>
      <c r="AW23" s="457"/>
      <c r="AX23" s="467"/>
      <c r="AY23" s="322"/>
      <c r="AZ23" s="322"/>
      <c r="BA23" s="321"/>
      <c r="BB23" s="322"/>
      <c r="BC23" s="323"/>
      <c r="BD23" s="315" t="str">
        <f t="shared" si="1"/>
        <v>-</v>
      </c>
      <c r="BE23" s="316"/>
      <c r="BF23" s="317"/>
      <c r="BG23" s="294"/>
      <c r="BH23" s="295"/>
      <c r="BI23" s="295"/>
      <c r="BJ23" s="295"/>
      <c r="BK23" s="295"/>
      <c r="BL23" s="295"/>
      <c r="BM23" s="296"/>
    </row>
    <row r="24" spans="1:65" ht="15" customHeight="1">
      <c r="A24" s="16"/>
      <c r="B24" s="453" t="s">
        <v>89</v>
      </c>
      <c r="C24" s="454"/>
      <c r="D24" s="454"/>
      <c r="E24" s="454"/>
      <c r="F24" s="455"/>
      <c r="G24" s="397"/>
      <c r="H24" s="395"/>
      <c r="I24" s="396"/>
      <c r="J24" s="394"/>
      <c r="K24" s="395"/>
      <c r="L24" s="396"/>
      <c r="M24" s="319" t="str">
        <f t="shared" si="0"/>
        <v>-</v>
      </c>
      <c r="N24" s="319"/>
      <c r="O24" s="320"/>
      <c r="P24" s="303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4"/>
      <c r="AN24" s="304"/>
      <c r="AO24" s="304"/>
      <c r="AP24" s="305"/>
      <c r="AQ24" s="163"/>
    </row>
    <row r="25" spans="1:65" ht="15" customHeight="1">
      <c r="A25" s="190"/>
      <c r="B25" s="450" t="s">
        <v>90</v>
      </c>
      <c r="C25" s="451"/>
      <c r="D25" s="451"/>
      <c r="E25" s="451"/>
      <c r="F25" s="452"/>
      <c r="G25" s="397"/>
      <c r="H25" s="395"/>
      <c r="I25" s="396"/>
      <c r="J25" s="394"/>
      <c r="K25" s="395"/>
      <c r="L25" s="396"/>
      <c r="M25" s="319" t="str">
        <f t="shared" si="0"/>
        <v>-</v>
      </c>
      <c r="N25" s="319"/>
      <c r="O25" s="320"/>
      <c r="P25" s="303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5"/>
    </row>
    <row r="26" spans="1:65" ht="15" customHeight="1">
      <c r="A26" s="393" t="s">
        <v>91</v>
      </c>
      <c r="B26" s="373"/>
      <c r="C26" s="373"/>
      <c r="D26" s="373"/>
      <c r="E26" s="373"/>
      <c r="F26" s="390"/>
      <c r="G26" s="397"/>
      <c r="H26" s="395"/>
      <c r="I26" s="395"/>
      <c r="J26" s="394"/>
      <c r="K26" s="395"/>
      <c r="L26" s="396"/>
      <c r="M26" s="319" t="str">
        <f t="shared" si="0"/>
        <v>-</v>
      </c>
      <c r="N26" s="319"/>
      <c r="O26" s="320"/>
      <c r="P26" s="303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5"/>
    </row>
    <row r="27" spans="1:65" ht="15" customHeight="1">
      <c r="A27" s="190"/>
      <c r="B27" s="428" t="s">
        <v>89</v>
      </c>
      <c r="C27" s="429"/>
      <c r="D27" s="429"/>
      <c r="E27" s="429"/>
      <c r="F27" s="430"/>
      <c r="G27" s="397"/>
      <c r="H27" s="395"/>
      <c r="I27" s="395"/>
      <c r="J27" s="394"/>
      <c r="K27" s="395"/>
      <c r="L27" s="396"/>
      <c r="M27" s="319" t="str">
        <f t="shared" si="0"/>
        <v>-</v>
      </c>
      <c r="N27" s="319"/>
      <c r="O27" s="320"/>
      <c r="P27" s="303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  <c r="AM27" s="304"/>
      <c r="AN27" s="304"/>
      <c r="AO27" s="304"/>
      <c r="AP27" s="305"/>
    </row>
    <row r="28" spans="1:65" ht="15" customHeight="1">
      <c r="A28" s="9"/>
      <c r="B28" s="425" t="s">
        <v>90</v>
      </c>
      <c r="C28" s="426"/>
      <c r="D28" s="426"/>
      <c r="E28" s="426"/>
      <c r="F28" s="427"/>
      <c r="G28" s="431"/>
      <c r="H28" s="432"/>
      <c r="I28" s="432"/>
      <c r="J28" s="433"/>
      <c r="K28" s="432"/>
      <c r="L28" s="434"/>
      <c r="M28" s="316" t="str">
        <f t="shared" si="0"/>
        <v>-</v>
      </c>
      <c r="N28" s="316"/>
      <c r="O28" s="317"/>
      <c r="P28" s="294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295"/>
      <c r="AM28" s="295"/>
      <c r="AN28" s="295"/>
      <c r="AO28" s="295"/>
      <c r="AP28" s="296"/>
    </row>
    <row r="29" spans="1:65" ht="15" customHeight="1">
      <c r="A29" s="191"/>
      <c r="B29" s="191"/>
      <c r="C29" s="191"/>
      <c r="D29" s="191"/>
      <c r="E29" s="191"/>
      <c r="F29" s="191"/>
      <c r="G29" s="52"/>
      <c r="H29" s="52"/>
      <c r="I29" s="52"/>
      <c r="J29" s="52"/>
      <c r="K29" s="52"/>
      <c r="L29" s="53"/>
      <c r="M29" s="53"/>
    </row>
    <row r="30" spans="1:65" ht="15" customHeight="1">
      <c r="A30" s="5" t="s">
        <v>92</v>
      </c>
    </row>
    <row r="31" spans="1:65" ht="15" customHeight="1">
      <c r="A31" s="438"/>
      <c r="B31" s="439"/>
      <c r="C31" s="439"/>
      <c r="D31" s="439"/>
      <c r="E31" s="439"/>
      <c r="F31" s="440"/>
      <c r="G31" s="405" t="s">
        <v>93</v>
      </c>
      <c r="H31" s="406"/>
      <c r="I31" s="406"/>
      <c r="J31" s="406"/>
      <c r="K31" s="406"/>
      <c r="L31" s="406"/>
      <c r="M31" s="406"/>
      <c r="N31" s="406"/>
      <c r="O31" s="407"/>
      <c r="P31" s="405" t="s">
        <v>94</v>
      </c>
      <c r="Q31" s="406"/>
      <c r="R31" s="406"/>
      <c r="S31" s="406"/>
      <c r="T31" s="406"/>
      <c r="U31" s="406"/>
      <c r="V31" s="406"/>
      <c r="W31" s="406"/>
      <c r="X31" s="486"/>
      <c r="Y31" s="405" t="s">
        <v>95</v>
      </c>
      <c r="Z31" s="406"/>
      <c r="AA31" s="406"/>
      <c r="AB31" s="406"/>
      <c r="AC31" s="406"/>
      <c r="AD31" s="406"/>
      <c r="AE31" s="406"/>
      <c r="AF31" s="406"/>
      <c r="AG31" s="486"/>
      <c r="AH31" s="493" t="s">
        <v>56</v>
      </c>
      <c r="AI31" s="494"/>
      <c r="AJ31" s="494"/>
      <c r="AK31" s="494"/>
      <c r="AL31" s="494"/>
      <c r="AM31" s="494"/>
      <c r="AN31" s="494"/>
      <c r="AO31" s="494"/>
      <c r="AP31" s="495"/>
    </row>
    <row r="32" spans="1:65" ht="15" customHeight="1">
      <c r="A32" s="441"/>
      <c r="B32" s="442"/>
      <c r="C32" s="442"/>
      <c r="D32" s="442"/>
      <c r="E32" s="442"/>
      <c r="F32" s="443"/>
      <c r="G32" s="415">
        <f>$G$5</f>
        <v>19</v>
      </c>
      <c r="H32" s="416"/>
      <c r="I32" s="417"/>
      <c r="J32" s="421">
        <f>$J$5</f>
        <v>18</v>
      </c>
      <c r="K32" s="416"/>
      <c r="L32" s="417"/>
      <c r="M32" s="355" t="s">
        <v>55</v>
      </c>
      <c r="N32" s="355"/>
      <c r="O32" s="356"/>
      <c r="P32" s="415">
        <f>$G$5</f>
        <v>19</v>
      </c>
      <c r="Q32" s="416"/>
      <c r="R32" s="417"/>
      <c r="S32" s="421">
        <f>$J$5</f>
        <v>18</v>
      </c>
      <c r="T32" s="416"/>
      <c r="U32" s="417"/>
      <c r="V32" s="355" t="s">
        <v>55</v>
      </c>
      <c r="W32" s="355"/>
      <c r="X32" s="356"/>
      <c r="Y32" s="415">
        <f>$G$5</f>
        <v>19</v>
      </c>
      <c r="Z32" s="416"/>
      <c r="AA32" s="417"/>
      <c r="AB32" s="421">
        <f>$J$5</f>
        <v>18</v>
      </c>
      <c r="AC32" s="416"/>
      <c r="AD32" s="417"/>
      <c r="AE32" s="355" t="s">
        <v>55</v>
      </c>
      <c r="AF32" s="355"/>
      <c r="AG32" s="356"/>
      <c r="AH32" s="496"/>
      <c r="AI32" s="497"/>
      <c r="AJ32" s="497"/>
      <c r="AK32" s="497"/>
      <c r="AL32" s="497"/>
      <c r="AM32" s="497"/>
      <c r="AN32" s="497"/>
      <c r="AO32" s="497"/>
      <c r="AP32" s="498"/>
    </row>
    <row r="33" spans="1:42" ht="15" customHeight="1">
      <c r="A33" s="444"/>
      <c r="B33" s="445"/>
      <c r="C33" s="445"/>
      <c r="D33" s="445"/>
      <c r="E33" s="445"/>
      <c r="F33" s="446"/>
      <c r="G33" s="418"/>
      <c r="H33" s="419"/>
      <c r="I33" s="420"/>
      <c r="J33" s="422"/>
      <c r="K33" s="419"/>
      <c r="L33" s="420"/>
      <c r="M33" s="447" t="s">
        <v>58</v>
      </c>
      <c r="N33" s="447"/>
      <c r="O33" s="448"/>
      <c r="P33" s="418"/>
      <c r="Q33" s="419"/>
      <c r="R33" s="420"/>
      <c r="S33" s="422"/>
      <c r="T33" s="419"/>
      <c r="U33" s="420"/>
      <c r="V33" s="447" t="s">
        <v>58</v>
      </c>
      <c r="W33" s="447"/>
      <c r="X33" s="448"/>
      <c r="Y33" s="418"/>
      <c r="Z33" s="419"/>
      <c r="AA33" s="420"/>
      <c r="AB33" s="422"/>
      <c r="AC33" s="419"/>
      <c r="AD33" s="420"/>
      <c r="AE33" s="447" t="s">
        <v>58</v>
      </c>
      <c r="AF33" s="447"/>
      <c r="AG33" s="448"/>
      <c r="AH33" s="499"/>
      <c r="AI33" s="500"/>
      <c r="AJ33" s="500"/>
      <c r="AK33" s="500"/>
      <c r="AL33" s="500"/>
      <c r="AM33" s="500"/>
      <c r="AN33" s="500"/>
      <c r="AO33" s="500"/>
      <c r="AP33" s="501"/>
    </row>
    <row r="34" spans="1:42" ht="15" customHeight="1">
      <c r="A34" s="413" t="s">
        <v>96</v>
      </c>
      <c r="B34" s="414"/>
      <c r="C34" s="385" t="s">
        <v>97</v>
      </c>
      <c r="D34" s="386"/>
      <c r="E34" s="386"/>
      <c r="F34" s="54" t="s">
        <v>98</v>
      </c>
      <c r="G34" s="357"/>
      <c r="H34" s="358"/>
      <c r="I34" s="359"/>
      <c r="J34" s="487"/>
      <c r="K34" s="358"/>
      <c r="L34" s="359"/>
      <c r="M34" s="358" t="str">
        <f>IF(G34="-", "-", IF(J34="-", "-", IF(ABS(J34)=0, "-", ROUND(100*(G34-J34)/ABS(J34),1))))</f>
        <v>-</v>
      </c>
      <c r="N34" s="358"/>
      <c r="O34" s="435"/>
      <c r="P34" s="357"/>
      <c r="Q34" s="358"/>
      <c r="R34" s="359"/>
      <c r="S34" s="487"/>
      <c r="T34" s="358"/>
      <c r="U34" s="359"/>
      <c r="V34" s="358" t="str">
        <f t="shared" ref="V34:V41" si="3">IF(P34="-", "-", IF(S34="-", "-", IF(ABS(S34)=0, "-", ROUND(100*(P34-S34)/ABS(S34),1))))</f>
        <v>-</v>
      </c>
      <c r="W34" s="358"/>
      <c r="X34" s="435"/>
      <c r="Y34" s="357"/>
      <c r="Z34" s="358"/>
      <c r="AA34" s="359"/>
      <c r="AB34" s="487"/>
      <c r="AC34" s="358"/>
      <c r="AD34" s="359"/>
      <c r="AE34" s="358" t="str">
        <f>IF(Y34="-", "-", IF(AB34="-", "-", IF(ABS(AB34)=0, "-", ROUND(100*(Y34-AB34)/ABS(AB34),1))))</f>
        <v>-</v>
      </c>
      <c r="AF34" s="358"/>
      <c r="AG34" s="435"/>
      <c r="AH34" s="502"/>
      <c r="AI34" s="503"/>
      <c r="AJ34" s="503"/>
      <c r="AK34" s="503"/>
      <c r="AL34" s="503"/>
      <c r="AM34" s="503"/>
      <c r="AN34" s="503"/>
      <c r="AO34" s="503"/>
      <c r="AP34" s="504"/>
    </row>
    <row r="35" spans="1:42" ht="15" customHeight="1">
      <c r="A35" s="409"/>
      <c r="B35" s="410"/>
      <c r="C35" s="374" t="s">
        <v>99</v>
      </c>
      <c r="D35" s="375"/>
      <c r="E35" s="375"/>
      <c r="F35" s="54" t="s">
        <v>98</v>
      </c>
      <c r="G35" s="351"/>
      <c r="H35" s="319"/>
      <c r="I35" s="352"/>
      <c r="J35" s="318"/>
      <c r="K35" s="319"/>
      <c r="L35" s="352"/>
      <c r="M35" s="319" t="str">
        <f t="shared" ref="M35:M41" si="4">IF(G35="-", "-", IF(J35="-", "-", IF(ABS(J35)=0, "-", ROUND(100*(G35-J35)/ABS(J35),1))))</f>
        <v>-</v>
      </c>
      <c r="N35" s="319"/>
      <c r="O35" s="320"/>
      <c r="P35" s="351"/>
      <c r="Q35" s="319"/>
      <c r="R35" s="352"/>
      <c r="S35" s="318"/>
      <c r="T35" s="319"/>
      <c r="U35" s="352"/>
      <c r="V35" s="319" t="str">
        <f t="shared" si="3"/>
        <v>-</v>
      </c>
      <c r="W35" s="319"/>
      <c r="X35" s="320"/>
      <c r="Y35" s="351"/>
      <c r="Z35" s="319"/>
      <c r="AA35" s="352"/>
      <c r="AB35" s="318"/>
      <c r="AC35" s="319"/>
      <c r="AD35" s="352"/>
      <c r="AE35" s="319" t="str">
        <f t="shared" ref="AE35:AE41" si="5">IF(Y35="-", "-", IF(AB35="-", "-", IF(ABS(AB35)=0, "-", ROUND(100*(Y35-AB35)/ABS(AB35),1))))</f>
        <v>-</v>
      </c>
      <c r="AF35" s="319"/>
      <c r="AG35" s="320"/>
      <c r="AH35" s="297"/>
      <c r="AI35" s="298"/>
      <c r="AJ35" s="298"/>
      <c r="AK35" s="298"/>
      <c r="AL35" s="298"/>
      <c r="AM35" s="298"/>
      <c r="AN35" s="298"/>
      <c r="AO35" s="298"/>
      <c r="AP35" s="299"/>
    </row>
    <row r="36" spans="1:42" ht="15" customHeight="1">
      <c r="A36" s="409"/>
      <c r="B36" s="410"/>
      <c r="C36" s="423" t="s">
        <v>100</v>
      </c>
      <c r="D36" s="424"/>
      <c r="E36" s="424"/>
      <c r="F36" s="54" t="s">
        <v>101</v>
      </c>
      <c r="G36" s="326"/>
      <c r="H36" s="313"/>
      <c r="I36" s="314"/>
      <c r="J36" s="312"/>
      <c r="K36" s="313"/>
      <c r="L36" s="314"/>
      <c r="M36" s="318" t="str">
        <f t="shared" si="4"/>
        <v>-</v>
      </c>
      <c r="N36" s="319"/>
      <c r="O36" s="320"/>
      <c r="P36" s="326"/>
      <c r="Q36" s="313"/>
      <c r="R36" s="314"/>
      <c r="S36" s="312"/>
      <c r="T36" s="313"/>
      <c r="U36" s="314"/>
      <c r="V36" s="318" t="str">
        <f t="shared" si="3"/>
        <v>-</v>
      </c>
      <c r="W36" s="319"/>
      <c r="X36" s="320"/>
      <c r="Y36" s="326"/>
      <c r="Z36" s="313"/>
      <c r="AA36" s="314"/>
      <c r="AB36" s="312"/>
      <c r="AC36" s="313"/>
      <c r="AD36" s="314"/>
      <c r="AE36" s="318" t="str">
        <f t="shared" si="5"/>
        <v>-</v>
      </c>
      <c r="AF36" s="319"/>
      <c r="AG36" s="320"/>
      <c r="AH36" s="297"/>
      <c r="AI36" s="298"/>
      <c r="AJ36" s="298"/>
      <c r="AK36" s="298"/>
      <c r="AL36" s="298"/>
      <c r="AM36" s="298"/>
      <c r="AN36" s="298"/>
      <c r="AO36" s="298"/>
      <c r="AP36" s="299"/>
    </row>
    <row r="37" spans="1:42" ht="15" customHeight="1">
      <c r="A37" s="411"/>
      <c r="B37" s="412"/>
      <c r="C37" s="423" t="s">
        <v>102</v>
      </c>
      <c r="D37" s="424"/>
      <c r="E37" s="424"/>
      <c r="F37" s="54" t="s">
        <v>103</v>
      </c>
      <c r="G37" s="326"/>
      <c r="H37" s="313"/>
      <c r="I37" s="314"/>
      <c r="J37" s="312"/>
      <c r="K37" s="313"/>
      <c r="L37" s="314"/>
      <c r="M37" s="319" t="str">
        <f t="shared" si="4"/>
        <v>-</v>
      </c>
      <c r="N37" s="319"/>
      <c r="O37" s="320"/>
      <c r="P37" s="326"/>
      <c r="Q37" s="313"/>
      <c r="R37" s="314"/>
      <c r="S37" s="312"/>
      <c r="T37" s="313"/>
      <c r="U37" s="314"/>
      <c r="V37" s="319" t="str">
        <f t="shared" si="3"/>
        <v>-</v>
      </c>
      <c r="W37" s="319"/>
      <c r="X37" s="320"/>
      <c r="Y37" s="326"/>
      <c r="Z37" s="313"/>
      <c r="AA37" s="314"/>
      <c r="AB37" s="312"/>
      <c r="AC37" s="313"/>
      <c r="AD37" s="314"/>
      <c r="AE37" s="319" t="str">
        <f t="shared" si="5"/>
        <v>-</v>
      </c>
      <c r="AF37" s="319"/>
      <c r="AG37" s="320"/>
      <c r="AH37" s="297"/>
      <c r="AI37" s="298"/>
      <c r="AJ37" s="298"/>
      <c r="AK37" s="298"/>
      <c r="AL37" s="298"/>
      <c r="AM37" s="298"/>
      <c r="AN37" s="298"/>
      <c r="AO37" s="298"/>
      <c r="AP37" s="299"/>
    </row>
    <row r="38" spans="1:42" ht="15" customHeight="1">
      <c r="A38" s="408" t="s">
        <v>104</v>
      </c>
      <c r="B38" s="382"/>
      <c r="C38" s="374" t="s">
        <v>105</v>
      </c>
      <c r="D38" s="375"/>
      <c r="E38" s="375"/>
      <c r="F38" s="54" t="s">
        <v>98</v>
      </c>
      <c r="G38" s="351"/>
      <c r="H38" s="319"/>
      <c r="I38" s="352"/>
      <c r="J38" s="318"/>
      <c r="K38" s="319"/>
      <c r="L38" s="352"/>
      <c r="M38" s="318" t="str">
        <f t="shared" si="4"/>
        <v>-</v>
      </c>
      <c r="N38" s="319"/>
      <c r="O38" s="320"/>
      <c r="P38" s="351"/>
      <c r="Q38" s="319"/>
      <c r="R38" s="352"/>
      <c r="S38" s="318"/>
      <c r="T38" s="319"/>
      <c r="U38" s="352"/>
      <c r="V38" s="319" t="str">
        <f t="shared" si="3"/>
        <v>-</v>
      </c>
      <c r="W38" s="319"/>
      <c r="X38" s="320"/>
      <c r="Y38" s="351"/>
      <c r="Z38" s="319"/>
      <c r="AA38" s="352"/>
      <c r="AB38" s="318"/>
      <c r="AC38" s="319"/>
      <c r="AD38" s="352"/>
      <c r="AE38" s="319" t="str">
        <f t="shared" si="5"/>
        <v>-</v>
      </c>
      <c r="AF38" s="319"/>
      <c r="AG38" s="320"/>
      <c r="AH38" s="297"/>
      <c r="AI38" s="298"/>
      <c r="AJ38" s="298"/>
      <c r="AK38" s="298"/>
      <c r="AL38" s="298"/>
      <c r="AM38" s="298"/>
      <c r="AN38" s="298"/>
      <c r="AO38" s="298"/>
      <c r="AP38" s="299"/>
    </row>
    <row r="39" spans="1:42" ht="15" customHeight="1">
      <c r="A39" s="409"/>
      <c r="B39" s="410"/>
      <c r="C39" s="423" t="s">
        <v>106</v>
      </c>
      <c r="D39" s="424"/>
      <c r="E39" s="424"/>
      <c r="F39" s="54" t="s">
        <v>103</v>
      </c>
      <c r="G39" s="326"/>
      <c r="H39" s="313"/>
      <c r="I39" s="314"/>
      <c r="J39" s="312"/>
      <c r="K39" s="313"/>
      <c r="L39" s="314"/>
      <c r="M39" s="319" t="str">
        <f t="shared" si="4"/>
        <v>-</v>
      </c>
      <c r="N39" s="319"/>
      <c r="O39" s="320"/>
      <c r="P39" s="326"/>
      <c r="Q39" s="313"/>
      <c r="R39" s="314"/>
      <c r="S39" s="312"/>
      <c r="T39" s="313"/>
      <c r="U39" s="314"/>
      <c r="V39" s="318" t="str">
        <f t="shared" si="3"/>
        <v>-</v>
      </c>
      <c r="W39" s="319"/>
      <c r="X39" s="320"/>
      <c r="Y39" s="326"/>
      <c r="Z39" s="313"/>
      <c r="AA39" s="314"/>
      <c r="AB39" s="312"/>
      <c r="AC39" s="313"/>
      <c r="AD39" s="314"/>
      <c r="AE39" s="318" t="str">
        <f t="shared" si="5"/>
        <v>-</v>
      </c>
      <c r="AF39" s="319"/>
      <c r="AG39" s="320"/>
      <c r="AH39" s="297"/>
      <c r="AI39" s="298"/>
      <c r="AJ39" s="298"/>
      <c r="AK39" s="298"/>
      <c r="AL39" s="298"/>
      <c r="AM39" s="298"/>
      <c r="AN39" s="298"/>
      <c r="AO39" s="298"/>
      <c r="AP39" s="299"/>
    </row>
    <row r="40" spans="1:42" ht="15" customHeight="1">
      <c r="A40" s="411"/>
      <c r="B40" s="412"/>
      <c r="C40" s="423" t="s">
        <v>102</v>
      </c>
      <c r="D40" s="424"/>
      <c r="E40" s="424"/>
      <c r="F40" s="54" t="s">
        <v>103</v>
      </c>
      <c r="G40" s="326"/>
      <c r="H40" s="313"/>
      <c r="I40" s="314"/>
      <c r="J40" s="312"/>
      <c r="K40" s="313"/>
      <c r="L40" s="314"/>
      <c r="M40" s="318" t="str">
        <f t="shared" si="4"/>
        <v>-</v>
      </c>
      <c r="N40" s="319"/>
      <c r="O40" s="320"/>
      <c r="P40" s="326"/>
      <c r="Q40" s="313"/>
      <c r="R40" s="314"/>
      <c r="S40" s="312"/>
      <c r="T40" s="313"/>
      <c r="U40" s="314"/>
      <c r="V40" s="319" t="str">
        <f t="shared" si="3"/>
        <v>-</v>
      </c>
      <c r="W40" s="319"/>
      <c r="X40" s="320"/>
      <c r="Y40" s="326"/>
      <c r="Z40" s="313"/>
      <c r="AA40" s="314"/>
      <c r="AB40" s="312"/>
      <c r="AC40" s="313"/>
      <c r="AD40" s="314"/>
      <c r="AE40" s="319" t="str">
        <f t="shared" si="5"/>
        <v>-</v>
      </c>
      <c r="AF40" s="319"/>
      <c r="AG40" s="320"/>
      <c r="AH40" s="297"/>
      <c r="AI40" s="298"/>
      <c r="AJ40" s="298"/>
      <c r="AK40" s="298"/>
      <c r="AL40" s="298"/>
      <c r="AM40" s="298"/>
      <c r="AN40" s="298"/>
      <c r="AO40" s="298"/>
      <c r="AP40" s="299"/>
    </row>
    <row r="41" spans="1:42" ht="15" customHeight="1">
      <c r="A41" s="436" t="s">
        <v>107</v>
      </c>
      <c r="B41" s="437"/>
      <c r="C41" s="437"/>
      <c r="D41" s="437"/>
      <c r="E41" s="437"/>
      <c r="F41" s="55" t="s">
        <v>103</v>
      </c>
      <c r="G41" s="467"/>
      <c r="H41" s="322"/>
      <c r="I41" s="322"/>
      <c r="J41" s="321"/>
      <c r="K41" s="322"/>
      <c r="L41" s="323"/>
      <c r="M41" s="316" t="str">
        <f t="shared" si="4"/>
        <v>-</v>
      </c>
      <c r="N41" s="316"/>
      <c r="O41" s="317"/>
      <c r="P41" s="467"/>
      <c r="Q41" s="322"/>
      <c r="R41" s="322"/>
      <c r="S41" s="321"/>
      <c r="T41" s="322"/>
      <c r="U41" s="323"/>
      <c r="V41" s="316" t="str">
        <f t="shared" si="3"/>
        <v>-</v>
      </c>
      <c r="W41" s="316"/>
      <c r="X41" s="317"/>
      <c r="Y41" s="467"/>
      <c r="Z41" s="322"/>
      <c r="AA41" s="322"/>
      <c r="AB41" s="321"/>
      <c r="AC41" s="322"/>
      <c r="AD41" s="323"/>
      <c r="AE41" s="316" t="str">
        <f t="shared" si="5"/>
        <v>-</v>
      </c>
      <c r="AF41" s="316"/>
      <c r="AG41" s="317"/>
      <c r="AH41" s="300"/>
      <c r="AI41" s="301"/>
      <c r="AJ41" s="301"/>
      <c r="AK41" s="301"/>
      <c r="AL41" s="301"/>
      <c r="AM41" s="301"/>
      <c r="AN41" s="301"/>
      <c r="AO41" s="301"/>
      <c r="AP41" s="302"/>
    </row>
  </sheetData>
  <mergeCells count="366">
    <mergeCell ref="BT14:BV14"/>
    <mergeCell ref="BZ7:CB7"/>
    <mergeCell ref="BW7:BY7"/>
    <mergeCell ref="AH31:AP33"/>
    <mergeCell ref="AH34:AP34"/>
    <mergeCell ref="AH35:AP35"/>
    <mergeCell ref="AH36:AP36"/>
    <mergeCell ref="AH37:AP37"/>
    <mergeCell ref="AH38:AP38"/>
    <mergeCell ref="BA12:BC12"/>
    <mergeCell ref="BD9:BF9"/>
    <mergeCell ref="AX10:AZ10"/>
    <mergeCell ref="AX14:AZ14"/>
    <mergeCell ref="BD18:BF18"/>
    <mergeCell ref="BA18:BC18"/>
    <mergeCell ref="AX18:AZ18"/>
    <mergeCell ref="BA10:BC10"/>
    <mergeCell ref="BD10:BF10"/>
    <mergeCell ref="BD12:BF12"/>
    <mergeCell ref="AX13:AZ13"/>
    <mergeCell ref="BA13:BC13"/>
    <mergeCell ref="BD13:BF13"/>
    <mergeCell ref="AX11:AZ11"/>
    <mergeCell ref="AR7:AR8"/>
    <mergeCell ref="P5:AP6"/>
    <mergeCell ref="P7:AP7"/>
    <mergeCell ref="P8:AP8"/>
    <mergeCell ref="P9:AP9"/>
    <mergeCell ref="P10:AP10"/>
    <mergeCell ref="P11:AP11"/>
    <mergeCell ref="P12:AP12"/>
    <mergeCell ref="P13:AP13"/>
    <mergeCell ref="CC5:CI6"/>
    <mergeCell ref="CC7:CI7"/>
    <mergeCell ref="CC8:CI8"/>
    <mergeCell ref="CC9:CI9"/>
    <mergeCell ref="CC10:CI10"/>
    <mergeCell ref="CC11:CI11"/>
    <mergeCell ref="CC12:CI12"/>
    <mergeCell ref="CC13:CI13"/>
    <mergeCell ref="BA11:BC11"/>
    <mergeCell ref="BD11:BF11"/>
    <mergeCell ref="BT5:BV6"/>
    <mergeCell ref="BW5:BY6"/>
    <mergeCell ref="AR9:AR12"/>
    <mergeCell ref="AX9:AZ9"/>
    <mergeCell ref="BA9:BC9"/>
    <mergeCell ref="AX12:AZ12"/>
    <mergeCell ref="AE34:AG34"/>
    <mergeCell ref="Y35:AA35"/>
    <mergeCell ref="AB35:AD35"/>
    <mergeCell ref="AE35:AG35"/>
    <mergeCell ref="AB40:AD40"/>
    <mergeCell ref="AE40:AG40"/>
    <mergeCell ref="Y41:AA41"/>
    <mergeCell ref="AB41:AD41"/>
    <mergeCell ref="AE41:AG41"/>
    <mergeCell ref="Y38:AA38"/>
    <mergeCell ref="AB38:AD38"/>
    <mergeCell ref="AE38:AG38"/>
    <mergeCell ref="Y40:AA40"/>
    <mergeCell ref="Y37:AA37"/>
    <mergeCell ref="AE36:AG36"/>
    <mergeCell ref="AB36:AD36"/>
    <mergeCell ref="Y36:AA36"/>
    <mergeCell ref="Y34:AA34"/>
    <mergeCell ref="AB34:AD34"/>
    <mergeCell ref="P41:R41"/>
    <mergeCell ref="S41:U41"/>
    <mergeCell ref="M35:O35"/>
    <mergeCell ref="G34:I34"/>
    <mergeCell ref="J34:L34"/>
    <mergeCell ref="G35:I35"/>
    <mergeCell ref="V41:X41"/>
    <mergeCell ref="P37:R37"/>
    <mergeCell ref="S37:U37"/>
    <mergeCell ref="V37:X37"/>
    <mergeCell ref="P38:R38"/>
    <mergeCell ref="S38:U38"/>
    <mergeCell ref="V38:X38"/>
    <mergeCell ref="P40:R40"/>
    <mergeCell ref="S40:U40"/>
    <mergeCell ref="V40:X40"/>
    <mergeCell ref="P34:R34"/>
    <mergeCell ref="S34:U34"/>
    <mergeCell ref="P35:R35"/>
    <mergeCell ref="S35:U35"/>
    <mergeCell ref="V34:X34"/>
    <mergeCell ref="V35:X35"/>
    <mergeCell ref="G41:I41"/>
    <mergeCell ref="J41:L41"/>
    <mergeCell ref="V33:X33"/>
    <mergeCell ref="Y31:AG31"/>
    <mergeCell ref="AB32:AD33"/>
    <mergeCell ref="Y32:AA33"/>
    <mergeCell ref="AE32:AG32"/>
    <mergeCell ref="AE33:AG33"/>
    <mergeCell ref="V32:X32"/>
    <mergeCell ref="S32:U33"/>
    <mergeCell ref="P32:R33"/>
    <mergeCell ref="P31:X31"/>
    <mergeCell ref="AS7:AW7"/>
    <mergeCell ref="BD5:BF5"/>
    <mergeCell ref="BD6:BF6"/>
    <mergeCell ref="AX7:AZ7"/>
    <mergeCell ref="BA7:BC7"/>
    <mergeCell ref="BD7:BF7"/>
    <mergeCell ref="AX8:AZ8"/>
    <mergeCell ref="BA8:BC8"/>
    <mergeCell ref="BD8:BF8"/>
    <mergeCell ref="AX5:AZ6"/>
    <mergeCell ref="BA5:BC6"/>
    <mergeCell ref="AX21:AZ21"/>
    <mergeCell ref="G13:I13"/>
    <mergeCell ref="G24:I24"/>
    <mergeCell ref="AS20:AW20"/>
    <mergeCell ref="M20:O20"/>
    <mergeCell ref="M21:O21"/>
    <mergeCell ref="M22:O22"/>
    <mergeCell ref="M23:O23"/>
    <mergeCell ref="AX22:AZ22"/>
    <mergeCell ref="AX23:AZ23"/>
    <mergeCell ref="AR13:AW13"/>
    <mergeCell ref="AT23:AW23"/>
    <mergeCell ref="AS17:AW17"/>
    <mergeCell ref="AR16:AW16"/>
    <mergeCell ref="AS15:AW15"/>
    <mergeCell ref="AS22:AW22"/>
    <mergeCell ref="AT21:AW21"/>
    <mergeCell ref="AS19:AW19"/>
    <mergeCell ref="M24:O24"/>
    <mergeCell ref="AR18:AW18"/>
    <mergeCell ref="AX15:AZ15"/>
    <mergeCell ref="AX16:AZ16"/>
    <mergeCell ref="AX17:AZ17"/>
    <mergeCell ref="G15:I15"/>
    <mergeCell ref="M12:O12"/>
    <mergeCell ref="G12:I12"/>
    <mergeCell ref="G5:I6"/>
    <mergeCell ref="J10:L10"/>
    <mergeCell ref="J11:L11"/>
    <mergeCell ref="J5:L6"/>
    <mergeCell ref="M5:O5"/>
    <mergeCell ref="M6:O6"/>
    <mergeCell ref="G7:I7"/>
    <mergeCell ref="G8:I8"/>
    <mergeCell ref="G9:I9"/>
    <mergeCell ref="G10:I10"/>
    <mergeCell ref="G11:I11"/>
    <mergeCell ref="J9:L9"/>
    <mergeCell ref="M7:O7"/>
    <mergeCell ref="M8:O8"/>
    <mergeCell ref="J12:L12"/>
    <mergeCell ref="M9:O9"/>
    <mergeCell ref="M10:O10"/>
    <mergeCell ref="J8:L8"/>
    <mergeCell ref="J7:L7"/>
    <mergeCell ref="C18:F18"/>
    <mergeCell ref="M18:O18"/>
    <mergeCell ref="M19:O19"/>
    <mergeCell ref="M25:O25"/>
    <mergeCell ref="M26:O26"/>
    <mergeCell ref="M27:O27"/>
    <mergeCell ref="A23:F23"/>
    <mergeCell ref="A26:F26"/>
    <mergeCell ref="B25:F25"/>
    <mergeCell ref="B24:F24"/>
    <mergeCell ref="B22:F22"/>
    <mergeCell ref="C21:F21"/>
    <mergeCell ref="G25:I25"/>
    <mergeCell ref="J25:L25"/>
    <mergeCell ref="J21:L21"/>
    <mergeCell ref="J22:L22"/>
    <mergeCell ref="J23:L23"/>
    <mergeCell ref="J24:L24"/>
    <mergeCell ref="G22:I22"/>
    <mergeCell ref="G23:I23"/>
    <mergeCell ref="G21:I21"/>
    <mergeCell ref="J15:L15"/>
    <mergeCell ref="M16:O16"/>
    <mergeCell ref="M17:O17"/>
    <mergeCell ref="G16:I16"/>
    <mergeCell ref="G17:I17"/>
    <mergeCell ref="G18:I18"/>
    <mergeCell ref="J20:L20"/>
    <mergeCell ref="J19:L19"/>
    <mergeCell ref="G20:I20"/>
    <mergeCell ref="J16:L16"/>
    <mergeCell ref="J17:L17"/>
    <mergeCell ref="G19:I19"/>
    <mergeCell ref="J18:L18"/>
    <mergeCell ref="M41:O41"/>
    <mergeCell ref="B28:F28"/>
    <mergeCell ref="B27:F27"/>
    <mergeCell ref="G26:I26"/>
    <mergeCell ref="G27:I27"/>
    <mergeCell ref="G28:I28"/>
    <mergeCell ref="J28:L28"/>
    <mergeCell ref="M28:O28"/>
    <mergeCell ref="J26:L26"/>
    <mergeCell ref="J27:L27"/>
    <mergeCell ref="M37:O37"/>
    <mergeCell ref="G38:I38"/>
    <mergeCell ref="J38:L38"/>
    <mergeCell ref="M38:O38"/>
    <mergeCell ref="M34:O34"/>
    <mergeCell ref="G40:I40"/>
    <mergeCell ref="J40:L40"/>
    <mergeCell ref="M40:O40"/>
    <mergeCell ref="J37:L37"/>
    <mergeCell ref="A41:E41"/>
    <mergeCell ref="G37:I37"/>
    <mergeCell ref="A31:F33"/>
    <mergeCell ref="M32:O32"/>
    <mergeCell ref="M33:O33"/>
    <mergeCell ref="BW14:BY14"/>
    <mergeCell ref="BZ14:CB14"/>
    <mergeCell ref="BO13:BR13"/>
    <mergeCell ref="BO14:BR14"/>
    <mergeCell ref="BO12:BR12"/>
    <mergeCell ref="G31:O31"/>
    <mergeCell ref="A38:B40"/>
    <mergeCell ref="A34:B37"/>
    <mergeCell ref="G32:I33"/>
    <mergeCell ref="J32:L33"/>
    <mergeCell ref="C37:E37"/>
    <mergeCell ref="C38:E38"/>
    <mergeCell ref="C39:E39"/>
    <mergeCell ref="C40:E40"/>
    <mergeCell ref="C34:E34"/>
    <mergeCell ref="C35:E35"/>
    <mergeCell ref="C36:E36"/>
    <mergeCell ref="J35:L35"/>
    <mergeCell ref="C16:F16"/>
    <mergeCell ref="C17:F17"/>
    <mergeCell ref="C19:F19"/>
    <mergeCell ref="C20:F20"/>
    <mergeCell ref="C15:F15"/>
    <mergeCell ref="M15:O15"/>
    <mergeCell ref="A5:F6"/>
    <mergeCell ref="AS8:AW8"/>
    <mergeCell ref="C13:F13"/>
    <mergeCell ref="C14:F14"/>
    <mergeCell ref="AS9:AT10"/>
    <mergeCell ref="AS11:AT12"/>
    <mergeCell ref="AU9:AW9"/>
    <mergeCell ref="AU10:AW10"/>
    <mergeCell ref="C11:F11"/>
    <mergeCell ref="C12:F12"/>
    <mergeCell ref="C9:F9"/>
    <mergeCell ref="C10:F10"/>
    <mergeCell ref="A7:F7"/>
    <mergeCell ref="B8:F8"/>
    <mergeCell ref="AR5:AW6"/>
    <mergeCell ref="AU11:AW11"/>
    <mergeCell ref="AU12:AW12"/>
    <mergeCell ref="AR14:AW14"/>
    <mergeCell ref="J13:L13"/>
    <mergeCell ref="J14:L14"/>
    <mergeCell ref="M14:O14"/>
    <mergeCell ref="G14:I14"/>
    <mergeCell ref="M13:O13"/>
    <mergeCell ref="M11:O11"/>
    <mergeCell ref="AF1:AP1"/>
    <mergeCell ref="AF2:AP2"/>
    <mergeCell ref="BT11:BV11"/>
    <mergeCell ref="BW11:BY11"/>
    <mergeCell ref="BZ11:CB11"/>
    <mergeCell ref="BT12:BV12"/>
    <mergeCell ref="BW12:BY12"/>
    <mergeCell ref="BZ12:CB12"/>
    <mergeCell ref="BT13:BV13"/>
    <mergeCell ref="BW13:BY13"/>
    <mergeCell ref="BZ13:CB13"/>
    <mergeCell ref="BT8:BV8"/>
    <mergeCell ref="BW8:BY8"/>
    <mergeCell ref="BZ8:CB8"/>
    <mergeCell ref="BT9:BV9"/>
    <mergeCell ref="BW9:BY9"/>
    <mergeCell ref="BZ9:CB9"/>
    <mergeCell ref="BT10:BV10"/>
    <mergeCell ref="BW10:BY10"/>
    <mergeCell ref="BZ10:CB10"/>
    <mergeCell ref="BZ6:CB6"/>
    <mergeCell ref="BZ5:CB5"/>
    <mergeCell ref="BT7:BV7"/>
    <mergeCell ref="BO5:BS6"/>
    <mergeCell ref="BO11:BR11"/>
    <mergeCell ref="BO10:BR10"/>
    <mergeCell ref="BO9:BR9"/>
    <mergeCell ref="BO8:BR8"/>
    <mergeCell ref="BO7:BR7"/>
    <mergeCell ref="V36:X36"/>
    <mergeCell ref="S36:U36"/>
    <mergeCell ref="P36:R36"/>
    <mergeCell ref="M36:O36"/>
    <mergeCell ref="P14:AP14"/>
    <mergeCell ref="P15:AP15"/>
    <mergeCell ref="P16:AP16"/>
    <mergeCell ref="P17:AP17"/>
    <mergeCell ref="P18:AP18"/>
    <mergeCell ref="P19:AP19"/>
    <mergeCell ref="P20:AP20"/>
    <mergeCell ref="P21:AP21"/>
    <mergeCell ref="P22:AP22"/>
    <mergeCell ref="P23:AP23"/>
    <mergeCell ref="P24:AP24"/>
    <mergeCell ref="P25:AP25"/>
    <mergeCell ref="P26:AP26"/>
    <mergeCell ref="P27:AP27"/>
    <mergeCell ref="P28:AP28"/>
    <mergeCell ref="J36:L36"/>
    <mergeCell ref="G36:I36"/>
    <mergeCell ref="AE39:AG39"/>
    <mergeCell ref="AB39:AD39"/>
    <mergeCell ref="Y39:AA39"/>
    <mergeCell ref="V39:X39"/>
    <mergeCell ref="S39:U39"/>
    <mergeCell ref="P39:R39"/>
    <mergeCell ref="M39:O39"/>
    <mergeCell ref="J39:L39"/>
    <mergeCell ref="G39:I39"/>
    <mergeCell ref="AB37:AD37"/>
    <mergeCell ref="AE37:AG37"/>
    <mergeCell ref="AX20:AZ20"/>
    <mergeCell ref="BG5:BM6"/>
    <mergeCell ref="BG7:BM7"/>
    <mergeCell ref="BG8:BM8"/>
    <mergeCell ref="BG9:BM9"/>
    <mergeCell ref="BG10:BM10"/>
    <mergeCell ref="BG11:BM11"/>
    <mergeCell ref="BG12:BM12"/>
    <mergeCell ref="BG13:BM13"/>
    <mergeCell ref="BG14:BM14"/>
    <mergeCell ref="BD17:BF17"/>
    <mergeCell ref="BD16:BF16"/>
    <mergeCell ref="BD15:BF15"/>
    <mergeCell ref="BD14:BF14"/>
    <mergeCell ref="BA17:BC17"/>
    <mergeCell ref="BA16:BC16"/>
    <mergeCell ref="BA15:BC15"/>
    <mergeCell ref="BA14:BC14"/>
    <mergeCell ref="CC14:CI14"/>
    <mergeCell ref="AH39:AP39"/>
    <mergeCell ref="AH40:AP40"/>
    <mergeCell ref="AH41:AP41"/>
    <mergeCell ref="BG15:BM15"/>
    <mergeCell ref="BG16:BM16"/>
    <mergeCell ref="BG17:BM17"/>
    <mergeCell ref="BG18:BM18"/>
    <mergeCell ref="BG19:BM19"/>
    <mergeCell ref="BG20:BM20"/>
    <mergeCell ref="BG21:BM21"/>
    <mergeCell ref="BG22:BM22"/>
    <mergeCell ref="BG23:BM23"/>
    <mergeCell ref="BA20:BC20"/>
    <mergeCell ref="BA19:BC19"/>
    <mergeCell ref="BD23:BF23"/>
    <mergeCell ref="BD22:BF22"/>
    <mergeCell ref="BD21:BF21"/>
    <mergeCell ref="BD20:BF20"/>
    <mergeCell ref="BD19:BF19"/>
    <mergeCell ref="BA23:BC23"/>
    <mergeCell ref="BA22:BC22"/>
    <mergeCell ref="BA21:BC21"/>
    <mergeCell ref="AX19:AZ19"/>
  </mergeCells>
  <phoneticPr fontId="1"/>
  <pageMargins left="0.78740157480314965" right="0.43307086614173229" top="0.78740157480314965" bottom="0.39370078740157483" header="0.43307086614173229" footer="0.19685039370078741"/>
  <pageSetup paperSize="9" scale="86" orientation="landscape" r:id="rId1"/>
  <headerFooter alignWithMargins="0"/>
  <colBreaks count="1" manualBreakCount="1">
    <brk id="43" max="4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48"/>
  <sheetViews>
    <sheetView showGridLines="0" view="pageBreakPreview" zoomScaleNormal="100" zoomScaleSheetLayoutView="100" workbookViewId="0"/>
  </sheetViews>
  <sheetFormatPr defaultColWidth="9" defaultRowHeight="11.25" customHeight="1"/>
  <cols>
    <col min="1" max="3" width="2.6640625" style="2" customWidth="1"/>
    <col min="4" max="4" width="13.6640625" style="2" customWidth="1"/>
    <col min="5" max="5" width="4.6640625" style="17" customWidth="1"/>
    <col min="6" max="6" width="5" style="17" customWidth="1"/>
    <col min="7" max="15" width="11.6640625" style="2" customWidth="1"/>
    <col min="16" max="21" width="4.6640625" style="2" customWidth="1"/>
    <col min="22" max="29" width="5.6640625" style="2" customWidth="1"/>
    <col min="30" max="16384" width="9" style="2"/>
  </cols>
  <sheetData>
    <row r="1" spans="1:29" ht="15" customHeight="1">
      <c r="A1" s="1" t="str">
        <f>No.1!A1&amp;"年産　米生産費統計（個別経営体）　個別結果検討表　№３"</f>
        <v>2019年産　米生産費統計（個別経営体）　個別結果検討表　№３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559" t="s">
        <v>1</v>
      </c>
      <c r="Q1" s="559"/>
      <c r="R1" s="559"/>
      <c r="S1" s="559"/>
      <c r="T1" s="559"/>
      <c r="U1" s="559"/>
      <c r="AB1" s="29"/>
      <c r="AC1" s="29"/>
    </row>
    <row r="2" spans="1:29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560" t="str">
        <f>IF(No.1!O2="","",No.1!O2)</f>
        <v/>
      </c>
      <c r="Q2" s="560"/>
      <c r="R2" s="560"/>
      <c r="S2" s="560"/>
      <c r="T2" s="560"/>
      <c r="U2" s="560"/>
    </row>
    <row r="3" spans="1:29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8"/>
      <c r="O3" s="8"/>
      <c r="P3" s="3"/>
      <c r="Q3" s="3"/>
      <c r="R3" s="3"/>
    </row>
    <row r="4" spans="1:29" ht="15" customHeight="1">
      <c r="A4" s="5" t="s">
        <v>108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9" ht="12.15" customHeight="1">
      <c r="A5" s="366"/>
      <c r="B5" s="367"/>
      <c r="C5" s="367"/>
      <c r="D5" s="367"/>
      <c r="E5" s="367"/>
      <c r="F5" s="367"/>
      <c r="G5" s="415">
        <f>No.1!H5</f>
        <v>19</v>
      </c>
      <c r="H5" s="538"/>
      <c r="I5" s="416"/>
      <c r="J5" s="415">
        <f>G5-1</f>
        <v>18</v>
      </c>
      <c r="K5" s="538"/>
      <c r="L5" s="539"/>
      <c r="M5" s="548" t="s">
        <v>109</v>
      </c>
      <c r="N5" s="548"/>
      <c r="O5" s="549"/>
      <c r="P5" s="327" t="s">
        <v>56</v>
      </c>
      <c r="Q5" s="328"/>
      <c r="R5" s="328"/>
      <c r="S5" s="328"/>
      <c r="T5" s="328"/>
      <c r="U5" s="329"/>
    </row>
    <row r="6" spans="1:29" ht="10.5" customHeight="1">
      <c r="A6" s="523"/>
      <c r="B6" s="524"/>
      <c r="C6" s="524"/>
      <c r="D6" s="524"/>
      <c r="E6" s="524"/>
      <c r="F6" s="524"/>
      <c r="G6" s="186" t="s">
        <v>110</v>
      </c>
      <c r="H6" s="11" t="s">
        <v>64</v>
      </c>
      <c r="I6" s="174" t="s">
        <v>111</v>
      </c>
      <c r="J6" s="186" t="s">
        <v>110</v>
      </c>
      <c r="K6" s="11" t="s">
        <v>64</v>
      </c>
      <c r="L6" s="174" t="s">
        <v>111</v>
      </c>
      <c r="M6" s="12" t="s">
        <v>110</v>
      </c>
      <c r="N6" s="11" t="s">
        <v>64</v>
      </c>
      <c r="O6" s="6" t="s">
        <v>111</v>
      </c>
      <c r="P6" s="556"/>
      <c r="Q6" s="557"/>
      <c r="R6" s="557"/>
      <c r="S6" s="557"/>
      <c r="T6" s="557"/>
      <c r="U6" s="558"/>
    </row>
    <row r="7" spans="1:29" ht="10.5" customHeight="1">
      <c r="A7" s="369"/>
      <c r="B7" s="370"/>
      <c r="C7" s="370"/>
      <c r="D7" s="370"/>
      <c r="E7" s="370"/>
      <c r="F7" s="370"/>
      <c r="G7" s="7" t="s">
        <v>112</v>
      </c>
      <c r="H7" s="13" t="s">
        <v>113</v>
      </c>
      <c r="I7" s="180" t="s">
        <v>113</v>
      </c>
      <c r="J7" s="7" t="s">
        <v>112</v>
      </c>
      <c r="K7" s="13" t="s">
        <v>113</v>
      </c>
      <c r="L7" s="180" t="s">
        <v>113</v>
      </c>
      <c r="M7" s="7" t="s">
        <v>58</v>
      </c>
      <c r="N7" s="13" t="s">
        <v>58</v>
      </c>
      <c r="O7" s="180" t="s">
        <v>58</v>
      </c>
      <c r="P7" s="330"/>
      <c r="Q7" s="331"/>
      <c r="R7" s="331"/>
      <c r="S7" s="331"/>
      <c r="T7" s="331"/>
      <c r="U7" s="332"/>
    </row>
    <row r="8" spans="1:29" ht="12.75" customHeight="1">
      <c r="A8" s="550" t="s">
        <v>114</v>
      </c>
      <c r="B8" s="551" t="s">
        <v>115</v>
      </c>
      <c r="C8" s="553" t="s">
        <v>116</v>
      </c>
      <c r="D8" s="553"/>
      <c r="E8" s="554"/>
      <c r="F8" s="555"/>
      <c r="G8" s="117"/>
      <c r="H8" s="118"/>
      <c r="I8" s="119"/>
      <c r="J8" s="117"/>
      <c r="K8" s="118"/>
      <c r="L8" s="119"/>
      <c r="M8" s="172" t="str">
        <f>IF(G8="-", "-", IF(J8="-", "-", IF(ABS(J8)=0, "-", ROUND(100*(G8-J8)/ABS(J8),1))))</f>
        <v>-</v>
      </c>
      <c r="N8" s="170" t="str">
        <f>IF(H8="-", "-", IF(K8="-", "-", IF(ABS(K8)=0, "-", ROUND(100*(H8-K8)/ABS(K8),1))))</f>
        <v>-</v>
      </c>
      <c r="O8" s="120" t="str">
        <f>IF(I8="-", "-", IF(L8="-", "-", IF(ABS(L8)=0, "-", ROUND(100*(I8-L8)/ABS(L8),1))))</f>
        <v>-</v>
      </c>
      <c r="P8" s="333"/>
      <c r="Q8" s="334"/>
      <c r="R8" s="334"/>
      <c r="S8" s="334"/>
      <c r="T8" s="334"/>
      <c r="U8" s="335"/>
    </row>
    <row r="9" spans="1:29" ht="12.75" customHeight="1">
      <c r="A9" s="528"/>
      <c r="B9" s="552"/>
      <c r="C9" s="531" t="s">
        <v>117</v>
      </c>
      <c r="D9" s="531"/>
      <c r="E9" s="374"/>
      <c r="F9" s="533"/>
      <c r="G9" s="117"/>
      <c r="H9" s="118"/>
      <c r="I9" s="119"/>
      <c r="J9" s="117"/>
      <c r="K9" s="118"/>
      <c r="L9" s="119"/>
      <c r="M9" s="172" t="str">
        <f t="shared" ref="M9:O24" si="0">IF(G9="-", "-", IF(J9="-", "-", IF(ABS(J9)=0, "-", ROUND(100*(G9-J9)/ABS(J9),1))))</f>
        <v>-</v>
      </c>
      <c r="N9" s="170" t="str">
        <f t="shared" si="0"/>
        <v>-</v>
      </c>
      <c r="O9" s="120" t="str">
        <f t="shared" si="0"/>
        <v>-</v>
      </c>
      <c r="P9" s="303"/>
      <c r="Q9" s="304"/>
      <c r="R9" s="304"/>
      <c r="S9" s="304"/>
      <c r="T9" s="304"/>
      <c r="U9" s="305"/>
    </row>
    <row r="10" spans="1:29" ht="12.75" customHeight="1">
      <c r="A10" s="528"/>
      <c r="B10" s="552"/>
      <c r="C10" s="531" t="s">
        <v>118</v>
      </c>
      <c r="D10" s="531"/>
      <c r="E10" s="374"/>
      <c r="F10" s="533"/>
      <c r="G10" s="117"/>
      <c r="H10" s="118"/>
      <c r="I10" s="119"/>
      <c r="J10" s="117"/>
      <c r="K10" s="118"/>
      <c r="L10" s="119"/>
      <c r="M10" s="172" t="str">
        <f t="shared" si="0"/>
        <v>-</v>
      </c>
      <c r="N10" s="170" t="str">
        <f t="shared" si="0"/>
        <v>-</v>
      </c>
      <c r="O10" s="120" t="str">
        <f t="shared" si="0"/>
        <v>-</v>
      </c>
      <c r="P10" s="303"/>
      <c r="Q10" s="304"/>
      <c r="R10" s="304"/>
      <c r="S10" s="304"/>
      <c r="T10" s="304"/>
      <c r="U10" s="305"/>
    </row>
    <row r="11" spans="1:29" ht="12.75" customHeight="1">
      <c r="A11" s="528"/>
      <c r="B11" s="552"/>
      <c r="C11" s="531" t="s">
        <v>119</v>
      </c>
      <c r="D11" s="531"/>
      <c r="E11" s="374"/>
      <c r="F11" s="533"/>
      <c r="G11" s="117"/>
      <c r="H11" s="118"/>
      <c r="I11" s="119"/>
      <c r="J11" s="117"/>
      <c r="K11" s="118"/>
      <c r="L11" s="119"/>
      <c r="M11" s="172" t="str">
        <f t="shared" si="0"/>
        <v>-</v>
      </c>
      <c r="N11" s="170" t="str">
        <f t="shared" si="0"/>
        <v>-</v>
      </c>
      <c r="O11" s="120" t="str">
        <f t="shared" si="0"/>
        <v>-</v>
      </c>
      <c r="P11" s="303"/>
      <c r="Q11" s="304"/>
      <c r="R11" s="304"/>
      <c r="S11" s="304"/>
      <c r="T11" s="304"/>
      <c r="U11" s="305"/>
    </row>
    <row r="12" spans="1:29" ht="12.75" customHeight="1">
      <c r="A12" s="528"/>
      <c r="B12" s="552" t="s">
        <v>120</v>
      </c>
      <c r="C12" s="531" t="s">
        <v>121</v>
      </c>
      <c r="D12" s="531"/>
      <c r="E12" s="374"/>
      <c r="F12" s="533"/>
      <c r="G12" s="117"/>
      <c r="H12" s="118"/>
      <c r="I12" s="119"/>
      <c r="J12" s="117"/>
      <c r="K12" s="118"/>
      <c r="L12" s="119"/>
      <c r="M12" s="172" t="str">
        <f t="shared" si="0"/>
        <v>-</v>
      </c>
      <c r="N12" s="170" t="str">
        <f t="shared" si="0"/>
        <v>-</v>
      </c>
      <c r="O12" s="120" t="str">
        <f t="shared" si="0"/>
        <v>-</v>
      </c>
      <c r="P12" s="303"/>
      <c r="Q12" s="304"/>
      <c r="R12" s="304"/>
      <c r="S12" s="304"/>
      <c r="T12" s="304"/>
      <c r="U12" s="305"/>
    </row>
    <row r="13" spans="1:29" ht="12.75" customHeight="1">
      <c r="A13" s="528"/>
      <c r="B13" s="552"/>
      <c r="C13" s="531" t="s">
        <v>122</v>
      </c>
      <c r="D13" s="531"/>
      <c r="E13" s="374"/>
      <c r="F13" s="533"/>
      <c r="G13" s="117"/>
      <c r="H13" s="118"/>
      <c r="I13" s="119"/>
      <c r="J13" s="117"/>
      <c r="K13" s="118"/>
      <c r="L13" s="119"/>
      <c r="M13" s="172" t="str">
        <f t="shared" si="0"/>
        <v>-</v>
      </c>
      <c r="N13" s="170" t="str">
        <f t="shared" si="0"/>
        <v>-</v>
      </c>
      <c r="O13" s="120" t="str">
        <f t="shared" si="0"/>
        <v>-</v>
      </c>
      <c r="P13" s="303"/>
      <c r="Q13" s="304"/>
      <c r="R13" s="304"/>
      <c r="S13" s="304"/>
      <c r="T13" s="304"/>
      <c r="U13" s="305"/>
    </row>
    <row r="14" spans="1:29" ht="12.75" customHeight="1">
      <c r="A14" s="528"/>
      <c r="B14" s="552"/>
      <c r="C14" s="531" t="s">
        <v>123</v>
      </c>
      <c r="D14" s="531"/>
      <c r="E14" s="374"/>
      <c r="F14" s="533"/>
      <c r="G14" s="117"/>
      <c r="H14" s="118"/>
      <c r="I14" s="119"/>
      <c r="J14" s="117"/>
      <c r="K14" s="118"/>
      <c r="L14" s="119"/>
      <c r="M14" s="172" t="str">
        <f t="shared" si="0"/>
        <v>-</v>
      </c>
      <c r="N14" s="170" t="str">
        <f t="shared" si="0"/>
        <v>-</v>
      </c>
      <c r="O14" s="120" t="str">
        <f t="shared" si="0"/>
        <v>-</v>
      </c>
      <c r="P14" s="303"/>
      <c r="Q14" s="304"/>
      <c r="R14" s="304"/>
      <c r="S14" s="304"/>
      <c r="T14" s="304"/>
      <c r="U14" s="305"/>
    </row>
    <row r="15" spans="1:29" ht="12.75" customHeight="1">
      <c r="A15" s="528"/>
      <c r="B15" s="552"/>
      <c r="C15" s="531" t="s">
        <v>119</v>
      </c>
      <c r="D15" s="531"/>
      <c r="E15" s="374"/>
      <c r="F15" s="533"/>
      <c r="G15" s="117"/>
      <c r="H15" s="118"/>
      <c r="I15" s="119"/>
      <c r="J15" s="117"/>
      <c r="K15" s="118"/>
      <c r="L15" s="119"/>
      <c r="M15" s="172" t="str">
        <f t="shared" si="0"/>
        <v>-</v>
      </c>
      <c r="N15" s="170" t="str">
        <f t="shared" si="0"/>
        <v>-</v>
      </c>
      <c r="O15" s="120" t="str">
        <f t="shared" si="0"/>
        <v>-</v>
      </c>
      <c r="P15" s="303"/>
      <c r="Q15" s="304"/>
      <c r="R15" s="304"/>
      <c r="S15" s="304"/>
      <c r="T15" s="304"/>
      <c r="U15" s="305"/>
    </row>
    <row r="16" spans="1:29" ht="12.75" customHeight="1">
      <c r="A16" s="529"/>
      <c r="B16" s="534" t="s">
        <v>124</v>
      </c>
      <c r="C16" s="534"/>
      <c r="D16" s="534"/>
      <c r="E16" s="456"/>
      <c r="F16" s="535"/>
      <c r="G16" s="121"/>
      <c r="H16" s="122"/>
      <c r="I16" s="123"/>
      <c r="J16" s="121"/>
      <c r="K16" s="122"/>
      <c r="L16" s="123"/>
      <c r="M16" s="124" t="str">
        <f t="shared" si="0"/>
        <v>-</v>
      </c>
      <c r="N16" s="169" t="str">
        <f t="shared" si="0"/>
        <v>-</v>
      </c>
      <c r="O16" s="125" t="str">
        <f t="shared" si="0"/>
        <v>-</v>
      </c>
      <c r="P16" s="303"/>
      <c r="Q16" s="304"/>
      <c r="R16" s="304"/>
      <c r="S16" s="304"/>
      <c r="T16" s="304"/>
      <c r="U16" s="305"/>
    </row>
    <row r="17" spans="1:29" ht="12.75" customHeight="1">
      <c r="A17" s="527" t="s">
        <v>125</v>
      </c>
      <c r="B17" s="530" t="s">
        <v>126</v>
      </c>
      <c r="C17" s="530" t="s">
        <v>127</v>
      </c>
      <c r="D17" s="530"/>
      <c r="E17" s="385"/>
      <c r="F17" s="532"/>
      <c r="G17" s="126"/>
      <c r="H17" s="127"/>
      <c r="I17" s="128"/>
      <c r="J17" s="129"/>
      <c r="K17" s="127"/>
      <c r="L17" s="128"/>
      <c r="M17" s="175" t="str">
        <f t="shared" si="0"/>
        <v>-</v>
      </c>
      <c r="N17" s="183" t="str">
        <f t="shared" si="0"/>
        <v>-</v>
      </c>
      <c r="O17" s="130" t="str">
        <f t="shared" si="0"/>
        <v>-</v>
      </c>
      <c r="P17" s="303"/>
      <c r="Q17" s="304"/>
      <c r="R17" s="304"/>
      <c r="S17" s="304"/>
      <c r="T17" s="304"/>
      <c r="U17" s="305"/>
    </row>
    <row r="18" spans="1:29" ht="12.75" customHeight="1">
      <c r="A18" s="528"/>
      <c r="B18" s="531"/>
      <c r="C18" s="531" t="s">
        <v>123</v>
      </c>
      <c r="D18" s="531"/>
      <c r="E18" s="374"/>
      <c r="F18" s="533"/>
      <c r="G18" s="117"/>
      <c r="H18" s="118"/>
      <c r="I18" s="119"/>
      <c r="J18" s="117"/>
      <c r="K18" s="118"/>
      <c r="L18" s="119"/>
      <c r="M18" s="172" t="str">
        <f t="shared" si="0"/>
        <v>-</v>
      </c>
      <c r="N18" s="170" t="str">
        <f t="shared" si="0"/>
        <v>-</v>
      </c>
      <c r="O18" s="120" t="str">
        <f t="shared" si="0"/>
        <v>-</v>
      </c>
      <c r="P18" s="303"/>
      <c r="Q18" s="304"/>
      <c r="R18" s="304"/>
      <c r="S18" s="304"/>
      <c r="T18" s="304"/>
      <c r="U18" s="305"/>
    </row>
    <row r="19" spans="1:29" ht="12.75" customHeight="1">
      <c r="A19" s="528"/>
      <c r="B19" s="545" t="s">
        <v>120</v>
      </c>
      <c r="C19" s="531" t="s">
        <v>128</v>
      </c>
      <c r="D19" s="531"/>
      <c r="E19" s="374"/>
      <c r="F19" s="533"/>
      <c r="G19" s="117"/>
      <c r="H19" s="131"/>
      <c r="I19" s="132"/>
      <c r="J19" s="117"/>
      <c r="K19" s="131"/>
      <c r="L19" s="132"/>
      <c r="M19" s="172" t="str">
        <f t="shared" si="0"/>
        <v>-</v>
      </c>
      <c r="N19" s="133"/>
      <c r="O19" s="134"/>
      <c r="P19" s="303"/>
      <c r="Q19" s="304"/>
      <c r="R19" s="304"/>
      <c r="S19" s="304"/>
      <c r="T19" s="304"/>
      <c r="U19" s="305"/>
    </row>
    <row r="20" spans="1:29" ht="12.75" customHeight="1">
      <c r="A20" s="528"/>
      <c r="B20" s="546"/>
      <c r="C20" s="531" t="s">
        <v>129</v>
      </c>
      <c r="D20" s="531"/>
      <c r="E20" s="374"/>
      <c r="F20" s="533"/>
      <c r="G20" s="117"/>
      <c r="H20" s="118"/>
      <c r="I20" s="119"/>
      <c r="J20" s="117"/>
      <c r="K20" s="118"/>
      <c r="L20" s="119"/>
      <c r="M20" s="172" t="str">
        <f t="shared" si="0"/>
        <v>-</v>
      </c>
      <c r="N20" s="170" t="str">
        <f t="shared" ref="N20:N22" si="1">IF(H20="-", "-", IF(K20="-", "-", IF(ABS(K20)=0, "-", ROUND(100*(H20-K20)/ABS(K20),1))))</f>
        <v>-</v>
      </c>
      <c r="O20" s="120" t="str">
        <f t="shared" ref="O20" si="2">IF(I20="-", "-", IF(L20="-", "-", IF(ABS(L20)=0, "-", ROUND(100*(I20-L20)/ABS(L20),1))))</f>
        <v>-</v>
      </c>
      <c r="P20" s="303"/>
      <c r="Q20" s="304"/>
      <c r="R20" s="304"/>
      <c r="S20" s="304"/>
      <c r="T20" s="304"/>
      <c r="U20" s="305"/>
    </row>
    <row r="21" spans="1:29" ht="12.75" customHeight="1">
      <c r="A21" s="528"/>
      <c r="B21" s="547"/>
      <c r="C21" s="374" t="s">
        <v>130</v>
      </c>
      <c r="D21" s="375"/>
      <c r="E21" s="375"/>
      <c r="F21" s="376"/>
      <c r="G21" s="117"/>
      <c r="H21" s="131"/>
      <c r="I21" s="132"/>
      <c r="J21" s="117"/>
      <c r="K21" s="131"/>
      <c r="L21" s="132"/>
      <c r="M21" s="172" t="str">
        <f t="shared" si="0"/>
        <v>-</v>
      </c>
      <c r="N21" s="135"/>
      <c r="O21" s="114"/>
      <c r="P21" s="303"/>
      <c r="Q21" s="304"/>
      <c r="R21" s="304"/>
      <c r="S21" s="304"/>
      <c r="T21" s="304"/>
      <c r="U21" s="305"/>
    </row>
    <row r="22" spans="1:29" ht="12.75" customHeight="1">
      <c r="A22" s="528"/>
      <c r="B22" s="531" t="s">
        <v>131</v>
      </c>
      <c r="C22" s="531"/>
      <c r="D22" s="531"/>
      <c r="E22" s="374"/>
      <c r="F22" s="533"/>
      <c r="G22" s="117"/>
      <c r="H22" s="118"/>
      <c r="I22" s="132"/>
      <c r="J22" s="117"/>
      <c r="K22" s="118"/>
      <c r="L22" s="132"/>
      <c r="M22" s="172" t="str">
        <f t="shared" si="0"/>
        <v>-</v>
      </c>
      <c r="N22" s="170" t="str">
        <f t="shared" si="1"/>
        <v>-</v>
      </c>
      <c r="O22" s="114"/>
      <c r="P22" s="303"/>
      <c r="Q22" s="304"/>
      <c r="R22" s="304"/>
      <c r="S22" s="304"/>
      <c r="T22" s="304"/>
      <c r="U22" s="305"/>
    </row>
    <row r="23" spans="1:29" ht="12.75" customHeight="1">
      <c r="A23" s="528"/>
      <c r="B23" s="520" t="s">
        <v>132</v>
      </c>
      <c r="C23" s="520"/>
      <c r="D23" s="520"/>
      <c r="E23" s="470"/>
      <c r="F23" s="521"/>
      <c r="G23" s="117"/>
      <c r="H23" s="118"/>
      <c r="I23" s="119"/>
      <c r="J23" s="117"/>
      <c r="K23" s="118"/>
      <c r="L23" s="119"/>
      <c r="M23" s="172" t="str">
        <f t="shared" si="0"/>
        <v>-</v>
      </c>
      <c r="N23" s="170" t="str">
        <f t="shared" ref="N23:N25" si="3">IF(H23="-", "-", IF(K23="-", "-", IF(ABS(K23)=0, "-", ROUND(100*(H23-K23)/ABS(K23),1))))</f>
        <v>-</v>
      </c>
      <c r="O23" s="120" t="str">
        <f t="shared" ref="O23:O24" si="4">IF(I23="-", "-", IF(L23="-", "-", IF(ABS(L23)=0, "-", ROUND(100*(I23-L23)/ABS(L23),1))))</f>
        <v>-</v>
      </c>
      <c r="P23" s="303"/>
      <c r="Q23" s="304"/>
      <c r="R23" s="304"/>
      <c r="S23" s="304"/>
      <c r="T23" s="304"/>
      <c r="U23" s="305"/>
    </row>
    <row r="24" spans="1:29" ht="12.75" customHeight="1">
      <c r="A24" s="528"/>
      <c r="B24" s="531" t="s">
        <v>133</v>
      </c>
      <c r="C24" s="531"/>
      <c r="D24" s="531"/>
      <c r="E24" s="374"/>
      <c r="F24" s="533"/>
      <c r="G24" s="117"/>
      <c r="H24" s="118"/>
      <c r="I24" s="119"/>
      <c r="J24" s="117"/>
      <c r="K24" s="118"/>
      <c r="L24" s="119"/>
      <c r="M24" s="172" t="str">
        <f t="shared" si="0"/>
        <v>-</v>
      </c>
      <c r="N24" s="170" t="str">
        <f t="shared" si="3"/>
        <v>-</v>
      </c>
      <c r="O24" s="120" t="str">
        <f t="shared" si="4"/>
        <v>-</v>
      </c>
      <c r="P24" s="303"/>
      <c r="Q24" s="304"/>
      <c r="R24" s="304"/>
      <c r="S24" s="304"/>
      <c r="T24" s="304"/>
      <c r="U24" s="305"/>
    </row>
    <row r="25" spans="1:29" ht="12.75" customHeight="1">
      <c r="A25" s="529"/>
      <c r="B25" s="534" t="s">
        <v>124</v>
      </c>
      <c r="C25" s="534"/>
      <c r="D25" s="534"/>
      <c r="E25" s="456"/>
      <c r="F25" s="535"/>
      <c r="G25" s="136"/>
      <c r="H25" s="122"/>
      <c r="I25" s="137"/>
      <c r="J25" s="136"/>
      <c r="K25" s="122"/>
      <c r="L25" s="137"/>
      <c r="M25" s="115"/>
      <c r="N25" s="169" t="str">
        <f t="shared" si="3"/>
        <v>-</v>
      </c>
      <c r="O25" s="138"/>
      <c r="P25" s="294"/>
      <c r="Q25" s="295"/>
      <c r="R25" s="295"/>
      <c r="S25" s="295"/>
      <c r="T25" s="295"/>
      <c r="U25" s="296"/>
    </row>
    <row r="26" spans="1:29" ht="12.75" customHeight="1">
      <c r="A26" s="58"/>
      <c r="B26" s="191"/>
      <c r="C26" s="191"/>
      <c r="D26" s="191"/>
      <c r="E26" s="191"/>
      <c r="F26" s="191"/>
      <c r="G26" s="14"/>
      <c r="H26" s="14"/>
      <c r="I26" s="57"/>
      <c r="J26" s="14"/>
      <c r="K26" s="14"/>
      <c r="L26" s="57"/>
      <c r="M26" s="53"/>
      <c r="N26" s="53"/>
      <c r="O26" s="53"/>
    </row>
    <row r="27" spans="1:29" ht="15" customHeight="1">
      <c r="A27" s="5" t="s">
        <v>134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2.15" customHeight="1">
      <c r="A28" s="366"/>
      <c r="B28" s="367"/>
      <c r="C28" s="367"/>
      <c r="D28" s="367"/>
      <c r="E28" s="367"/>
      <c r="F28" s="522"/>
      <c r="G28" s="415">
        <f>G5</f>
        <v>19</v>
      </c>
      <c r="H28" s="538"/>
      <c r="I28" s="416"/>
      <c r="J28" s="415">
        <f>J5</f>
        <v>18</v>
      </c>
      <c r="K28" s="538"/>
      <c r="L28" s="539"/>
      <c r="M28" s="536" t="s">
        <v>135</v>
      </c>
      <c r="N28" s="536"/>
      <c r="O28" s="537"/>
      <c r="P28" s="327" t="s">
        <v>56</v>
      </c>
      <c r="Q28" s="328"/>
      <c r="R28" s="328"/>
      <c r="S28" s="328"/>
      <c r="T28" s="328"/>
      <c r="U28" s="329"/>
      <c r="V28" s="10"/>
      <c r="W28" s="10"/>
      <c r="X28" s="10"/>
      <c r="Y28" s="10"/>
      <c r="Z28" s="10"/>
      <c r="AA28" s="10"/>
      <c r="AB28" s="10"/>
      <c r="AC28" s="10"/>
    </row>
    <row r="29" spans="1:29" ht="10.5" customHeight="1">
      <c r="A29" s="523"/>
      <c r="B29" s="524"/>
      <c r="C29" s="524"/>
      <c r="D29" s="524"/>
      <c r="E29" s="524"/>
      <c r="F29" s="525"/>
      <c r="G29" s="543" t="s">
        <v>110</v>
      </c>
      <c r="H29" s="11" t="s">
        <v>64</v>
      </c>
      <c r="I29" s="173" t="s">
        <v>111</v>
      </c>
      <c r="J29" s="543" t="s">
        <v>110</v>
      </c>
      <c r="K29" s="11" t="s">
        <v>64</v>
      </c>
      <c r="L29" s="174" t="s">
        <v>111</v>
      </c>
      <c r="M29" s="186" t="s">
        <v>110</v>
      </c>
      <c r="N29" s="11" t="s">
        <v>64</v>
      </c>
      <c r="O29" s="174" t="s">
        <v>111</v>
      </c>
      <c r="P29" s="556"/>
      <c r="Q29" s="557"/>
      <c r="R29" s="557"/>
      <c r="S29" s="557"/>
      <c r="T29" s="557"/>
      <c r="U29" s="558"/>
      <c r="V29" s="10"/>
      <c r="W29" s="10"/>
      <c r="X29" s="10"/>
      <c r="Y29" s="10"/>
      <c r="Z29" s="10"/>
      <c r="AA29" s="10"/>
      <c r="AB29" s="10"/>
      <c r="AC29" s="10"/>
    </row>
    <row r="30" spans="1:29" ht="10.5" customHeight="1">
      <c r="A30" s="369"/>
      <c r="B30" s="370"/>
      <c r="C30" s="370"/>
      <c r="D30" s="370"/>
      <c r="E30" s="370"/>
      <c r="F30" s="526"/>
      <c r="G30" s="544"/>
      <c r="H30" s="13" t="s">
        <v>113</v>
      </c>
      <c r="I30" s="179" t="s">
        <v>113</v>
      </c>
      <c r="J30" s="544"/>
      <c r="K30" s="13" t="s">
        <v>113</v>
      </c>
      <c r="L30" s="180" t="s">
        <v>113</v>
      </c>
      <c r="M30" s="7" t="s">
        <v>58</v>
      </c>
      <c r="N30" s="13" t="s">
        <v>58</v>
      </c>
      <c r="O30" s="180" t="s">
        <v>58</v>
      </c>
      <c r="P30" s="330"/>
      <c r="Q30" s="331"/>
      <c r="R30" s="331"/>
      <c r="S30" s="331"/>
      <c r="T30" s="331"/>
      <c r="U30" s="332"/>
      <c r="V30" s="10"/>
      <c r="W30" s="10"/>
      <c r="X30" s="10"/>
      <c r="Y30" s="10"/>
      <c r="Z30" s="10"/>
      <c r="AA30" s="10"/>
      <c r="AB30" s="10"/>
      <c r="AC30" s="10"/>
    </row>
    <row r="31" spans="1:29" ht="12.15" customHeight="1">
      <c r="A31" s="387" t="s">
        <v>136</v>
      </c>
      <c r="B31" s="388"/>
      <c r="C31" s="388"/>
      <c r="D31" s="388"/>
      <c r="E31" s="388"/>
      <c r="F31" s="66"/>
      <c r="G31" s="139"/>
      <c r="H31" s="127"/>
      <c r="I31" s="140"/>
      <c r="J31" s="139"/>
      <c r="K31" s="118"/>
      <c r="L31" s="141"/>
      <c r="M31" s="108"/>
      <c r="N31" s="109" t="str">
        <f>IF(H31="-", "-", IF(K31="-", "-", IF(ABS(K31)=0, "-", ROUND(100*(H31-K31)/ABS(K31),1))))</f>
        <v>-</v>
      </c>
      <c r="O31" s="184"/>
      <c r="P31" s="333"/>
      <c r="Q31" s="334"/>
      <c r="R31" s="334"/>
      <c r="S31" s="334"/>
      <c r="T31" s="334"/>
      <c r="U31" s="335"/>
    </row>
    <row r="32" spans="1:29" ht="12.15" customHeight="1">
      <c r="A32" s="190"/>
      <c r="B32" s="516" t="s">
        <v>137</v>
      </c>
      <c r="C32" s="517"/>
      <c r="D32" s="374" t="s">
        <v>138</v>
      </c>
      <c r="E32" s="375"/>
      <c r="F32" s="193" t="s">
        <v>139</v>
      </c>
      <c r="G32" s="142"/>
      <c r="H32" s="118"/>
      <c r="I32" s="143"/>
      <c r="J32" s="142"/>
      <c r="K32" s="118"/>
      <c r="L32" s="119"/>
      <c r="M32" s="172" t="str">
        <f t="shared" ref="M32:M34" si="5">IF(G32="-", "-", IF(J32="-", "-", IF(ABS(J32)=0, "-", ROUND(100*(G32-J32)/ABS(J32),1))))</f>
        <v>-</v>
      </c>
      <c r="N32" s="170" t="str">
        <f t="shared" ref="N32:N34" si="6">IF(H32="-", "-", IF(K32="-", "-", IF(ABS(K32)=0, "-", ROUND(100*(H32-K32)/ABS(K32),1))))</f>
        <v>-</v>
      </c>
      <c r="O32" s="120" t="str">
        <f t="shared" ref="O32:O34" si="7">IF(I32="-", "-", IF(L32="-", "-", IF(ABS(L32)=0, "-", ROUND(100*(I32-L32)/ABS(L32),1))))</f>
        <v>-</v>
      </c>
      <c r="P32" s="303"/>
      <c r="Q32" s="304"/>
      <c r="R32" s="304"/>
      <c r="S32" s="304"/>
      <c r="T32" s="304"/>
      <c r="U32" s="305"/>
    </row>
    <row r="33" spans="1:21" ht="12.15" customHeight="1">
      <c r="A33" s="190"/>
      <c r="B33" s="518"/>
      <c r="C33" s="519"/>
      <c r="D33" s="374" t="s">
        <v>140</v>
      </c>
      <c r="E33" s="375"/>
      <c r="F33" s="193" t="s">
        <v>139</v>
      </c>
      <c r="G33" s="142"/>
      <c r="H33" s="118"/>
      <c r="I33" s="119"/>
      <c r="J33" s="142"/>
      <c r="K33" s="118"/>
      <c r="L33" s="119"/>
      <c r="M33" s="172" t="str">
        <f t="shared" si="5"/>
        <v>-</v>
      </c>
      <c r="N33" s="170" t="str">
        <f t="shared" si="6"/>
        <v>-</v>
      </c>
      <c r="O33" s="120" t="str">
        <f t="shared" si="7"/>
        <v>-</v>
      </c>
      <c r="P33" s="303"/>
      <c r="Q33" s="304"/>
      <c r="R33" s="304"/>
      <c r="S33" s="304"/>
      <c r="T33" s="304"/>
      <c r="U33" s="305"/>
    </row>
    <row r="34" spans="1:21" ht="12.15" customHeight="1">
      <c r="A34" s="190"/>
      <c r="B34" s="456" t="s">
        <v>141</v>
      </c>
      <c r="C34" s="437"/>
      <c r="D34" s="437"/>
      <c r="E34" s="437"/>
      <c r="F34" s="181" t="s">
        <v>142</v>
      </c>
      <c r="G34" s="142"/>
      <c r="H34" s="118"/>
      <c r="I34" s="119"/>
      <c r="J34" s="142"/>
      <c r="K34" s="122"/>
      <c r="L34" s="119"/>
      <c r="M34" s="124" t="str">
        <f t="shared" si="5"/>
        <v>-</v>
      </c>
      <c r="N34" s="169" t="str">
        <f t="shared" si="6"/>
        <v>-</v>
      </c>
      <c r="O34" s="125" t="str">
        <f t="shared" si="7"/>
        <v>-</v>
      </c>
      <c r="P34" s="303"/>
      <c r="Q34" s="304"/>
      <c r="R34" s="304"/>
      <c r="S34" s="304"/>
      <c r="T34" s="304"/>
      <c r="U34" s="305"/>
    </row>
    <row r="35" spans="1:21" ht="12.15" customHeight="1">
      <c r="A35" s="387" t="s">
        <v>143</v>
      </c>
      <c r="B35" s="388"/>
      <c r="C35" s="388"/>
      <c r="D35" s="388"/>
      <c r="E35" s="388"/>
      <c r="F35" s="66"/>
      <c r="G35" s="139"/>
      <c r="H35" s="127"/>
      <c r="I35" s="144"/>
      <c r="J35" s="139"/>
      <c r="K35" s="145"/>
      <c r="L35" s="146"/>
      <c r="M35" s="161"/>
      <c r="N35" s="109" t="str">
        <f>IF(H35="-", "-", IF(K35="-", "-", IF(ABS(K35)=0, "-", ROUND(100*(H35-K35)/ABS(K35),1))))</f>
        <v>-</v>
      </c>
      <c r="O35" s="162"/>
      <c r="P35" s="303"/>
      <c r="Q35" s="304"/>
      <c r="R35" s="304"/>
      <c r="S35" s="304"/>
      <c r="T35" s="304"/>
      <c r="U35" s="305"/>
    </row>
    <row r="36" spans="1:21" ht="12.15" customHeight="1">
      <c r="A36" s="190"/>
      <c r="B36" s="374" t="s">
        <v>144</v>
      </c>
      <c r="C36" s="375"/>
      <c r="D36" s="375"/>
      <c r="E36" s="375"/>
      <c r="F36" s="193" t="s">
        <v>139</v>
      </c>
      <c r="G36" s="142"/>
      <c r="H36" s="118"/>
      <c r="I36" s="119"/>
      <c r="J36" s="142"/>
      <c r="K36" s="118"/>
      <c r="L36" s="119"/>
      <c r="M36" s="172" t="str">
        <f t="shared" ref="M36:M41" si="8">IF(G36="-", "-", IF(J36="-", "-", IF(ABS(J36)=0, "-", ROUND(100*(G36-J36)/ABS(J36),1))))</f>
        <v>-</v>
      </c>
      <c r="N36" s="170" t="str">
        <f t="shared" ref="N36:N44" si="9">IF(H36="-", "-", IF(K36="-", "-", IF(ABS(K36)=0, "-", ROUND(100*(H36-K36)/ABS(K36),1))))</f>
        <v>-</v>
      </c>
      <c r="O36" s="120" t="str">
        <f t="shared" ref="O36:O41" si="10">IF(I36="-", "-", IF(L36="-", "-", IF(ABS(L36)=0, "-", ROUND(100*(I36-L36)/ABS(L36),1))))</f>
        <v>-</v>
      </c>
      <c r="P36" s="303"/>
      <c r="Q36" s="304"/>
      <c r="R36" s="304"/>
      <c r="S36" s="304"/>
      <c r="T36" s="304"/>
      <c r="U36" s="305"/>
    </row>
    <row r="37" spans="1:21" ht="12.15" customHeight="1">
      <c r="A37" s="190"/>
      <c r="B37" s="470" t="s">
        <v>145</v>
      </c>
      <c r="C37" s="471"/>
      <c r="D37" s="471"/>
      <c r="E37" s="471"/>
      <c r="F37" s="193" t="s">
        <v>139</v>
      </c>
      <c r="G37" s="142"/>
      <c r="H37" s="118"/>
      <c r="I37" s="119"/>
      <c r="J37" s="142"/>
      <c r="K37" s="118"/>
      <c r="L37" s="119"/>
      <c r="M37" s="172" t="str">
        <f t="shared" si="8"/>
        <v>-</v>
      </c>
      <c r="N37" s="170" t="str">
        <f t="shared" si="9"/>
        <v>-</v>
      </c>
      <c r="O37" s="120" t="str">
        <f t="shared" si="10"/>
        <v>-</v>
      </c>
      <c r="P37" s="303"/>
      <c r="Q37" s="304"/>
      <c r="R37" s="304"/>
      <c r="S37" s="304"/>
      <c r="T37" s="304"/>
      <c r="U37" s="305"/>
    </row>
    <row r="38" spans="1:21" ht="12.15" customHeight="1">
      <c r="A38" s="190"/>
      <c r="B38" s="374" t="s">
        <v>146</v>
      </c>
      <c r="C38" s="375"/>
      <c r="D38" s="375"/>
      <c r="E38" s="375"/>
      <c r="F38" s="193" t="s">
        <v>139</v>
      </c>
      <c r="G38" s="142"/>
      <c r="H38" s="118"/>
      <c r="I38" s="119"/>
      <c r="J38" s="142"/>
      <c r="K38" s="118"/>
      <c r="L38" s="119"/>
      <c r="M38" s="172" t="str">
        <f t="shared" si="8"/>
        <v>-</v>
      </c>
      <c r="N38" s="170" t="str">
        <f t="shared" si="9"/>
        <v>-</v>
      </c>
      <c r="O38" s="120" t="str">
        <f t="shared" si="10"/>
        <v>-</v>
      </c>
      <c r="P38" s="303"/>
      <c r="Q38" s="304"/>
      <c r="R38" s="304"/>
      <c r="S38" s="304"/>
      <c r="T38" s="304"/>
      <c r="U38" s="305"/>
    </row>
    <row r="39" spans="1:21" ht="12.15" customHeight="1">
      <c r="A39" s="190"/>
      <c r="B39" s="374" t="s">
        <v>147</v>
      </c>
      <c r="C39" s="375"/>
      <c r="D39" s="375"/>
      <c r="E39" s="375"/>
      <c r="F39" s="193" t="s">
        <v>139</v>
      </c>
      <c r="G39" s="142"/>
      <c r="H39" s="118"/>
      <c r="I39" s="119"/>
      <c r="J39" s="142"/>
      <c r="K39" s="118"/>
      <c r="L39" s="119"/>
      <c r="M39" s="172" t="str">
        <f t="shared" si="8"/>
        <v>-</v>
      </c>
      <c r="N39" s="170" t="str">
        <f t="shared" si="9"/>
        <v>-</v>
      </c>
      <c r="O39" s="120" t="str">
        <f t="shared" si="10"/>
        <v>-</v>
      </c>
      <c r="P39" s="303"/>
      <c r="Q39" s="304"/>
      <c r="R39" s="304"/>
      <c r="S39" s="304"/>
      <c r="T39" s="304"/>
      <c r="U39" s="305"/>
    </row>
    <row r="40" spans="1:21" ht="12.15" customHeight="1">
      <c r="A40" s="190"/>
      <c r="B40" s="374" t="s">
        <v>148</v>
      </c>
      <c r="C40" s="375"/>
      <c r="D40" s="375"/>
      <c r="E40" s="375"/>
      <c r="F40" s="193" t="s">
        <v>139</v>
      </c>
      <c r="G40" s="142"/>
      <c r="H40" s="118"/>
      <c r="I40" s="119"/>
      <c r="J40" s="142"/>
      <c r="K40" s="118"/>
      <c r="L40" s="119"/>
      <c r="M40" s="172" t="str">
        <f t="shared" si="8"/>
        <v>-</v>
      </c>
      <c r="N40" s="170" t="str">
        <f t="shared" si="9"/>
        <v>-</v>
      </c>
      <c r="O40" s="120" t="str">
        <f t="shared" si="10"/>
        <v>-</v>
      </c>
      <c r="P40" s="303"/>
      <c r="Q40" s="304"/>
      <c r="R40" s="304"/>
      <c r="S40" s="304"/>
      <c r="T40" s="304"/>
      <c r="U40" s="305"/>
    </row>
    <row r="41" spans="1:21" ht="12.15" customHeight="1">
      <c r="A41" s="190"/>
      <c r="B41" s="374" t="s">
        <v>149</v>
      </c>
      <c r="C41" s="375"/>
      <c r="D41" s="375"/>
      <c r="E41" s="375"/>
      <c r="F41" s="193" t="s">
        <v>139</v>
      </c>
      <c r="G41" s="142"/>
      <c r="H41" s="118"/>
      <c r="I41" s="119"/>
      <c r="J41" s="142"/>
      <c r="K41" s="118"/>
      <c r="L41" s="119"/>
      <c r="M41" s="172" t="str">
        <f t="shared" si="8"/>
        <v>-</v>
      </c>
      <c r="N41" s="170" t="str">
        <f t="shared" si="9"/>
        <v>-</v>
      </c>
      <c r="O41" s="120" t="str">
        <f t="shared" si="10"/>
        <v>-</v>
      </c>
      <c r="P41" s="303"/>
      <c r="Q41" s="304"/>
      <c r="R41" s="304"/>
      <c r="S41" s="304"/>
      <c r="T41" s="304"/>
      <c r="U41" s="305"/>
    </row>
    <row r="42" spans="1:21" ht="12.15" customHeight="1">
      <c r="A42" s="190"/>
      <c r="B42" s="374" t="s">
        <v>150</v>
      </c>
      <c r="C42" s="375"/>
      <c r="D42" s="375"/>
      <c r="E42" s="375"/>
      <c r="F42" s="193"/>
      <c r="G42" s="147"/>
      <c r="H42" s="118"/>
      <c r="I42" s="132"/>
      <c r="J42" s="147"/>
      <c r="K42" s="118"/>
      <c r="L42" s="132"/>
      <c r="M42" s="113"/>
      <c r="N42" s="110" t="str">
        <f t="shared" si="9"/>
        <v>-</v>
      </c>
      <c r="O42" s="114"/>
      <c r="P42" s="303"/>
      <c r="Q42" s="304"/>
      <c r="R42" s="304"/>
      <c r="S42" s="304"/>
      <c r="T42" s="304"/>
      <c r="U42" s="305"/>
    </row>
    <row r="43" spans="1:21" ht="12.15" customHeight="1">
      <c r="A43" s="190"/>
      <c r="B43" s="374" t="s">
        <v>151</v>
      </c>
      <c r="C43" s="375"/>
      <c r="D43" s="375"/>
      <c r="E43" s="375"/>
      <c r="F43" s="193" t="s">
        <v>139</v>
      </c>
      <c r="G43" s="142"/>
      <c r="H43" s="118"/>
      <c r="I43" s="148"/>
      <c r="J43" s="142"/>
      <c r="K43" s="118"/>
      <c r="L43" s="119"/>
      <c r="M43" s="172" t="str">
        <f t="shared" ref="M43" si="11">IF(G43="-", "-", IF(J43="-", "-", IF(ABS(J43)=0, "-", ROUND(100*(G43-J43)/ABS(J43),1))))</f>
        <v>-</v>
      </c>
      <c r="N43" s="110" t="str">
        <f t="shared" si="9"/>
        <v>-</v>
      </c>
      <c r="O43" s="171" t="str">
        <f t="shared" ref="O43" si="12">IF(I43="-", "-", IF(L43="-", "-", IF(ABS(L43)=0, "-", ROUND(100*(I43-L43)/ABS(L43),1))))</f>
        <v>-</v>
      </c>
      <c r="P43" s="303"/>
      <c r="Q43" s="304"/>
      <c r="R43" s="304"/>
      <c r="S43" s="304"/>
      <c r="T43" s="304"/>
      <c r="U43" s="305"/>
    </row>
    <row r="44" spans="1:21" ht="12.15" customHeight="1">
      <c r="A44" s="190"/>
      <c r="B44" s="374" t="s">
        <v>152</v>
      </c>
      <c r="C44" s="375"/>
      <c r="D44" s="375"/>
      <c r="E44" s="375"/>
      <c r="F44" s="193"/>
      <c r="G44" s="147"/>
      <c r="H44" s="118"/>
      <c r="I44" s="149"/>
      <c r="J44" s="147"/>
      <c r="K44" s="118"/>
      <c r="L44" s="132"/>
      <c r="M44" s="113"/>
      <c r="N44" s="110" t="str">
        <f t="shared" si="9"/>
        <v>-</v>
      </c>
      <c r="O44" s="114"/>
      <c r="P44" s="303"/>
      <c r="Q44" s="304"/>
      <c r="R44" s="304"/>
      <c r="S44" s="304"/>
      <c r="T44" s="304"/>
      <c r="U44" s="305"/>
    </row>
    <row r="45" spans="1:21" ht="12.15" customHeight="1">
      <c r="A45" s="190"/>
      <c r="B45" s="540" t="s">
        <v>140</v>
      </c>
      <c r="C45" s="374" t="s">
        <v>153</v>
      </c>
      <c r="D45" s="375"/>
      <c r="E45" s="375"/>
      <c r="F45" s="193" t="s">
        <v>139</v>
      </c>
      <c r="G45" s="142"/>
      <c r="H45" s="118"/>
      <c r="I45" s="119"/>
      <c r="J45" s="142"/>
      <c r="K45" s="118"/>
      <c r="L45" s="119"/>
      <c r="M45" s="172" t="str">
        <f t="shared" ref="M45:M47" si="13">IF(G45="-", "-", IF(J45="-", "-", IF(ABS(J45)=0, "-", ROUND(100*(G45-J45)/ABS(J45),1))))</f>
        <v>-</v>
      </c>
      <c r="N45" s="110" t="str">
        <f t="shared" ref="N45:N48" si="14">IF(H45="-", "-", IF(K45="-", "-", IF(ABS(K45)=0, "-", ROUND(100*(H45-K45)/ABS(K45),1))))</f>
        <v>-</v>
      </c>
      <c r="O45" s="171" t="str">
        <f t="shared" ref="O45:O47" si="15">IF(I45="-", "-", IF(L45="-", "-", IF(ABS(L45)=0, "-", ROUND(100*(I45-L45)/ABS(L45),1))))</f>
        <v>-</v>
      </c>
      <c r="P45" s="303"/>
      <c r="Q45" s="304"/>
      <c r="R45" s="304"/>
      <c r="S45" s="304"/>
      <c r="T45" s="304"/>
      <c r="U45" s="305"/>
    </row>
    <row r="46" spans="1:21" ht="12.15" customHeight="1">
      <c r="A46" s="190"/>
      <c r="B46" s="541"/>
      <c r="C46" s="374" t="s">
        <v>154</v>
      </c>
      <c r="D46" s="375"/>
      <c r="E46" s="375"/>
      <c r="F46" s="193" t="s">
        <v>139</v>
      </c>
      <c r="G46" s="142"/>
      <c r="H46" s="118"/>
      <c r="I46" s="119"/>
      <c r="J46" s="142"/>
      <c r="K46" s="118"/>
      <c r="L46" s="119"/>
      <c r="M46" s="172" t="str">
        <f t="shared" si="13"/>
        <v>-</v>
      </c>
      <c r="N46" s="170" t="str">
        <f t="shared" si="14"/>
        <v>-</v>
      </c>
      <c r="O46" s="120" t="str">
        <f t="shared" si="15"/>
        <v>-</v>
      </c>
      <c r="P46" s="303"/>
      <c r="Q46" s="304"/>
      <c r="R46" s="304"/>
      <c r="S46" s="304"/>
      <c r="T46" s="304"/>
      <c r="U46" s="305"/>
    </row>
    <row r="47" spans="1:21" ht="12.15" customHeight="1">
      <c r="A47" s="190"/>
      <c r="B47" s="541"/>
      <c r="C47" s="374" t="s">
        <v>155</v>
      </c>
      <c r="D47" s="375"/>
      <c r="E47" s="375"/>
      <c r="F47" s="193" t="s">
        <v>139</v>
      </c>
      <c r="G47" s="142"/>
      <c r="H47" s="118"/>
      <c r="I47" s="119"/>
      <c r="J47" s="142"/>
      <c r="K47" s="118"/>
      <c r="L47" s="119"/>
      <c r="M47" s="172" t="str">
        <f t="shared" si="13"/>
        <v>-</v>
      </c>
      <c r="N47" s="170" t="str">
        <f t="shared" si="14"/>
        <v>-</v>
      </c>
      <c r="O47" s="120" t="str">
        <f t="shared" si="15"/>
        <v>-</v>
      </c>
      <c r="P47" s="303"/>
      <c r="Q47" s="304"/>
      <c r="R47" s="304"/>
      <c r="S47" s="304"/>
      <c r="T47" s="304"/>
      <c r="U47" s="305"/>
    </row>
    <row r="48" spans="1:21" ht="12.15" customHeight="1">
      <c r="A48" s="9"/>
      <c r="B48" s="542"/>
      <c r="C48" s="456" t="s">
        <v>152</v>
      </c>
      <c r="D48" s="437"/>
      <c r="E48" s="437"/>
      <c r="F48" s="194"/>
      <c r="G48" s="150"/>
      <c r="H48" s="122"/>
      <c r="I48" s="137"/>
      <c r="J48" s="150"/>
      <c r="K48" s="122"/>
      <c r="L48" s="151"/>
      <c r="M48" s="115"/>
      <c r="N48" s="111" t="str">
        <f t="shared" si="14"/>
        <v>-</v>
      </c>
      <c r="O48" s="116"/>
      <c r="P48" s="294"/>
      <c r="Q48" s="295"/>
      <c r="R48" s="295"/>
      <c r="S48" s="295"/>
      <c r="T48" s="295"/>
      <c r="U48" s="296"/>
    </row>
  </sheetData>
  <mergeCells count="94">
    <mergeCell ref="P46:U46"/>
    <mergeCell ref="P47:U47"/>
    <mergeCell ref="P48:U48"/>
    <mergeCell ref="P1:U1"/>
    <mergeCell ref="P2:U2"/>
    <mergeCell ref="P41:U41"/>
    <mergeCell ref="P42:U42"/>
    <mergeCell ref="P43:U43"/>
    <mergeCell ref="P44:U44"/>
    <mergeCell ref="P45:U45"/>
    <mergeCell ref="P36:U36"/>
    <mergeCell ref="P37:U37"/>
    <mergeCell ref="P38:U38"/>
    <mergeCell ref="P39:U39"/>
    <mergeCell ref="P40:U40"/>
    <mergeCell ref="P31:U31"/>
    <mergeCell ref="P32:U32"/>
    <mergeCell ref="P33:U33"/>
    <mergeCell ref="P34:U34"/>
    <mergeCell ref="P35:U35"/>
    <mergeCell ref="P22:U22"/>
    <mergeCell ref="P23:U23"/>
    <mergeCell ref="P24:U24"/>
    <mergeCell ref="P25:U25"/>
    <mergeCell ref="P28:U30"/>
    <mergeCell ref="P17:U17"/>
    <mergeCell ref="P18:U18"/>
    <mergeCell ref="P19:U19"/>
    <mergeCell ref="P20:U20"/>
    <mergeCell ref="P21:U21"/>
    <mergeCell ref="P12:U12"/>
    <mergeCell ref="P13:U13"/>
    <mergeCell ref="P14:U14"/>
    <mergeCell ref="P15:U15"/>
    <mergeCell ref="P16:U16"/>
    <mergeCell ref="P5:U7"/>
    <mergeCell ref="P8:U8"/>
    <mergeCell ref="P9:U9"/>
    <mergeCell ref="P10:U10"/>
    <mergeCell ref="P11:U11"/>
    <mergeCell ref="M5:O5"/>
    <mergeCell ref="A5:F7"/>
    <mergeCell ref="C19:F19"/>
    <mergeCell ref="A8:A16"/>
    <mergeCell ref="B8:B11"/>
    <mergeCell ref="C8:F8"/>
    <mergeCell ref="C9:F9"/>
    <mergeCell ref="C10:F10"/>
    <mergeCell ref="B16:F16"/>
    <mergeCell ref="C11:F11"/>
    <mergeCell ref="B12:B15"/>
    <mergeCell ref="C12:F12"/>
    <mergeCell ref="C13:F13"/>
    <mergeCell ref="C14:F14"/>
    <mergeCell ref="J29:J30"/>
    <mergeCell ref="G29:G30"/>
    <mergeCell ref="B19:B21"/>
    <mergeCell ref="C21:F21"/>
    <mergeCell ref="C15:F15"/>
    <mergeCell ref="C20:F20"/>
    <mergeCell ref="B22:F22"/>
    <mergeCell ref="G28:I28"/>
    <mergeCell ref="J28:L28"/>
    <mergeCell ref="M28:O28"/>
    <mergeCell ref="G5:I5"/>
    <mergeCell ref="J5:L5"/>
    <mergeCell ref="C47:E47"/>
    <mergeCell ref="C46:E46"/>
    <mergeCell ref="C45:E45"/>
    <mergeCell ref="B44:E44"/>
    <mergeCell ref="B43:E43"/>
    <mergeCell ref="B45:B48"/>
    <mergeCell ref="C48:E48"/>
    <mergeCell ref="B42:E42"/>
    <mergeCell ref="B41:E41"/>
    <mergeCell ref="B40:E40"/>
    <mergeCell ref="B39:E39"/>
    <mergeCell ref="B38:E38"/>
    <mergeCell ref="B36:E36"/>
    <mergeCell ref="B37:E37"/>
    <mergeCell ref="B32:C33"/>
    <mergeCell ref="B23:F23"/>
    <mergeCell ref="A31:E31"/>
    <mergeCell ref="D33:E33"/>
    <mergeCell ref="D32:E32"/>
    <mergeCell ref="A35:E35"/>
    <mergeCell ref="B34:E34"/>
    <mergeCell ref="A28:F30"/>
    <mergeCell ref="A17:A25"/>
    <mergeCell ref="B17:B18"/>
    <mergeCell ref="C17:F17"/>
    <mergeCell ref="C18:F18"/>
    <mergeCell ref="B24:F24"/>
    <mergeCell ref="B25:F25"/>
  </mergeCells>
  <phoneticPr fontId="1"/>
  <pageMargins left="0.78740157480314965" right="0.43307086614173229" top="0.78740157480314965" bottom="0.39370078740157483" header="0.43307086614173229" footer="0.19685039370078741"/>
  <pageSetup paperSize="9" scale="8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47"/>
  <sheetViews>
    <sheetView showGridLines="0" view="pageBreakPreview" zoomScaleNormal="100" zoomScaleSheetLayoutView="100" workbookViewId="0"/>
  </sheetViews>
  <sheetFormatPr defaultColWidth="9" defaultRowHeight="15" customHeight="1"/>
  <cols>
    <col min="1" max="3" width="2.6640625" style="2" customWidth="1"/>
    <col min="4" max="4" width="17.6640625" style="2" customWidth="1"/>
    <col min="5" max="5" width="4.88671875" style="17" customWidth="1"/>
    <col min="6" max="6" width="11.109375" style="2" customWidth="1"/>
    <col min="7" max="8" width="10.44140625" style="2" customWidth="1"/>
    <col min="9" max="9" width="10.6640625" style="2" customWidth="1"/>
    <col min="10" max="10" width="10.109375" style="2" customWidth="1"/>
    <col min="11" max="11" width="10.44140625" style="2" customWidth="1"/>
    <col min="12" max="12" width="9.33203125" style="2" customWidth="1"/>
    <col min="13" max="13" width="8.33203125" style="2" customWidth="1"/>
    <col min="14" max="14" width="9.21875" style="2" customWidth="1"/>
    <col min="15" max="16" width="8.6640625" style="2" customWidth="1"/>
    <col min="17" max="18" width="6.88671875" style="2" customWidth="1"/>
    <col min="19" max="19" width="3.44140625" style="2" customWidth="1"/>
    <col min="20" max="21" width="8.6640625" style="2" customWidth="1"/>
    <col min="22" max="23" width="6.88671875" style="2" customWidth="1"/>
    <col min="24" max="28" width="5.6640625" style="2" customWidth="1"/>
    <col min="29" max="16384" width="9" style="2"/>
  </cols>
  <sheetData>
    <row r="1" spans="1:28" ht="15" customHeight="1">
      <c r="A1" s="1" t="str">
        <f>No.1!A1&amp;"年産　米生産費統計（個別経営体）　個別結果検討表　№４"</f>
        <v>2019年産　米生産費統計（個別経営体）　個別結果検討表　№４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23" t="s">
        <v>1</v>
      </c>
      <c r="O1" s="224"/>
      <c r="P1" s="225"/>
      <c r="Z1" s="29"/>
      <c r="AA1" s="29"/>
    </row>
    <row r="2" spans="1:28" ht="1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561" t="str">
        <f>IF(No.1!O2="","",No.1!O2)</f>
        <v/>
      </c>
      <c r="O2" s="562"/>
      <c r="P2" s="563"/>
    </row>
    <row r="3" spans="1:28" ht="15" customHeight="1">
      <c r="A3" s="4"/>
      <c r="B3" s="4"/>
      <c r="C3" s="4"/>
      <c r="D3" s="4"/>
      <c r="E3" s="4"/>
      <c r="F3" s="4"/>
      <c r="G3" s="4"/>
      <c r="H3" s="4"/>
      <c r="P3" s="3"/>
      <c r="S3" s="3"/>
      <c r="T3" s="3"/>
      <c r="U3" s="3"/>
    </row>
    <row r="4" spans="1:28" ht="15" customHeight="1">
      <c r="A4" s="5" t="s">
        <v>156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2.15" customHeight="1">
      <c r="A5" s="366"/>
      <c r="B5" s="367"/>
      <c r="C5" s="367"/>
      <c r="D5" s="367"/>
      <c r="E5" s="368"/>
      <c r="F5" s="565">
        <f>No.1!H5</f>
        <v>19</v>
      </c>
      <c r="G5" s="566"/>
      <c r="H5" s="567"/>
      <c r="I5" s="565">
        <f>F5-1</f>
        <v>18</v>
      </c>
      <c r="J5" s="566"/>
      <c r="K5" s="568"/>
      <c r="L5" s="569" t="s">
        <v>109</v>
      </c>
      <c r="M5" s="548"/>
      <c r="N5" s="549"/>
      <c r="O5" s="327" t="s">
        <v>56</v>
      </c>
      <c r="P5" s="328"/>
      <c r="Q5" s="328"/>
      <c r="R5" s="329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0.5" customHeight="1">
      <c r="A6" s="523"/>
      <c r="B6" s="524"/>
      <c r="C6" s="524"/>
      <c r="D6" s="524"/>
      <c r="E6" s="564"/>
      <c r="F6" s="543" t="s">
        <v>110</v>
      </c>
      <c r="G6" s="11" t="s">
        <v>64</v>
      </c>
      <c r="H6" s="174" t="s">
        <v>111</v>
      </c>
      <c r="I6" s="543" t="s">
        <v>110</v>
      </c>
      <c r="J6" s="11" t="s">
        <v>64</v>
      </c>
      <c r="K6" s="174" t="s">
        <v>111</v>
      </c>
      <c r="L6" s="12" t="s">
        <v>110</v>
      </c>
      <c r="M6" s="11" t="s">
        <v>64</v>
      </c>
      <c r="N6" s="6" t="s">
        <v>111</v>
      </c>
      <c r="O6" s="556"/>
      <c r="P6" s="557"/>
      <c r="Q6" s="557"/>
      <c r="R6" s="558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0.5" customHeight="1">
      <c r="A7" s="369"/>
      <c r="B7" s="370"/>
      <c r="C7" s="370"/>
      <c r="D7" s="370"/>
      <c r="E7" s="371"/>
      <c r="F7" s="544"/>
      <c r="G7" s="13" t="s">
        <v>113</v>
      </c>
      <c r="H7" s="180" t="s">
        <v>113</v>
      </c>
      <c r="I7" s="544"/>
      <c r="J7" s="13" t="s">
        <v>113</v>
      </c>
      <c r="K7" s="180" t="s">
        <v>113</v>
      </c>
      <c r="L7" s="7" t="s">
        <v>58</v>
      </c>
      <c r="M7" s="13" t="s">
        <v>58</v>
      </c>
      <c r="N7" s="180" t="s">
        <v>58</v>
      </c>
      <c r="O7" s="330"/>
      <c r="P7" s="331"/>
      <c r="Q7" s="331"/>
      <c r="R7" s="332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2.15" customHeight="1">
      <c r="A8" s="387" t="s">
        <v>157</v>
      </c>
      <c r="B8" s="388"/>
      <c r="C8" s="388"/>
      <c r="D8" s="388"/>
      <c r="E8" s="185"/>
      <c r="F8" s="139"/>
      <c r="G8" s="127"/>
      <c r="H8" s="141"/>
      <c r="I8" s="139"/>
      <c r="J8" s="145"/>
      <c r="K8" s="146"/>
      <c r="L8" s="108"/>
      <c r="M8" s="112" t="str">
        <f>IF(G8="-", "-", IF(J8="-", "-", IF(ABS(J8)=0, "-", ROUND(100*(G8-J8)/ABS(J8),1))))</f>
        <v>-</v>
      </c>
      <c r="N8" s="184"/>
      <c r="O8" s="333"/>
      <c r="P8" s="334"/>
      <c r="Q8" s="334"/>
      <c r="R8" s="335"/>
    </row>
    <row r="9" spans="1:28" ht="12.15" customHeight="1">
      <c r="A9" s="190"/>
      <c r="B9" s="374" t="s">
        <v>158</v>
      </c>
      <c r="C9" s="375"/>
      <c r="D9" s="375"/>
      <c r="E9" s="181"/>
      <c r="F9" s="147"/>
      <c r="G9" s="118"/>
      <c r="H9" s="149"/>
      <c r="I9" s="147"/>
      <c r="J9" s="118"/>
      <c r="K9" s="132"/>
      <c r="L9" s="113"/>
      <c r="M9" s="110" t="str">
        <f t="shared" ref="L9:N46" si="0">IF(G9="-", "-", IF(J9="-", "-", IF(ABS(J9)=0, "-", ROUND(100*(G9-J9)/ABS(J9),1))))</f>
        <v>-</v>
      </c>
      <c r="N9" s="114"/>
      <c r="O9" s="303"/>
      <c r="P9" s="304"/>
      <c r="Q9" s="304"/>
      <c r="R9" s="305"/>
    </row>
    <row r="10" spans="1:28" ht="12.15" customHeight="1">
      <c r="A10" s="190"/>
      <c r="B10" s="374" t="s">
        <v>159</v>
      </c>
      <c r="C10" s="375"/>
      <c r="D10" s="375"/>
      <c r="E10" s="181"/>
      <c r="F10" s="147"/>
      <c r="G10" s="118"/>
      <c r="H10" s="149"/>
      <c r="I10" s="147"/>
      <c r="J10" s="118"/>
      <c r="K10" s="132"/>
      <c r="L10" s="113"/>
      <c r="M10" s="110" t="str">
        <f t="shared" si="0"/>
        <v>-</v>
      </c>
      <c r="N10" s="114"/>
      <c r="O10" s="303"/>
      <c r="P10" s="304"/>
      <c r="Q10" s="304"/>
      <c r="R10" s="305"/>
    </row>
    <row r="11" spans="1:28" ht="12.15" customHeight="1">
      <c r="A11" s="190"/>
      <c r="B11" s="374" t="s">
        <v>160</v>
      </c>
      <c r="C11" s="375"/>
      <c r="D11" s="375"/>
      <c r="E11" s="181"/>
      <c r="F11" s="147"/>
      <c r="G11" s="118"/>
      <c r="H11" s="149"/>
      <c r="I11" s="147"/>
      <c r="J11" s="118"/>
      <c r="K11" s="132"/>
      <c r="L11" s="113"/>
      <c r="M11" s="110" t="str">
        <f t="shared" si="0"/>
        <v>-</v>
      </c>
      <c r="N11" s="114"/>
      <c r="O11" s="303"/>
      <c r="P11" s="304"/>
      <c r="Q11" s="304"/>
      <c r="R11" s="305"/>
    </row>
    <row r="12" spans="1:28" ht="12.15" customHeight="1">
      <c r="A12" s="190"/>
      <c r="B12" s="374" t="s">
        <v>161</v>
      </c>
      <c r="C12" s="375"/>
      <c r="D12" s="375"/>
      <c r="E12" s="181"/>
      <c r="F12" s="147"/>
      <c r="G12" s="118"/>
      <c r="H12" s="149"/>
      <c r="I12" s="147"/>
      <c r="J12" s="118"/>
      <c r="K12" s="132"/>
      <c r="L12" s="113"/>
      <c r="M12" s="110" t="str">
        <f t="shared" si="0"/>
        <v>-</v>
      </c>
      <c r="N12" s="114"/>
      <c r="O12" s="303"/>
      <c r="P12" s="304"/>
      <c r="Q12" s="304"/>
      <c r="R12" s="305"/>
    </row>
    <row r="13" spans="1:28" ht="12.15" customHeight="1">
      <c r="A13" s="9"/>
      <c r="B13" s="456" t="s">
        <v>152</v>
      </c>
      <c r="C13" s="437"/>
      <c r="D13" s="437"/>
      <c r="E13" s="178"/>
      <c r="F13" s="150"/>
      <c r="G13" s="118"/>
      <c r="H13" s="137"/>
      <c r="I13" s="150"/>
      <c r="J13" s="122"/>
      <c r="K13" s="151"/>
      <c r="L13" s="115"/>
      <c r="M13" s="111" t="str">
        <f t="shared" si="0"/>
        <v>-</v>
      </c>
      <c r="N13" s="116"/>
      <c r="O13" s="303"/>
      <c r="P13" s="304"/>
      <c r="Q13" s="304"/>
      <c r="R13" s="305"/>
    </row>
    <row r="14" spans="1:28" ht="12.15" customHeight="1">
      <c r="A14" s="387" t="s">
        <v>162</v>
      </c>
      <c r="B14" s="388"/>
      <c r="C14" s="388"/>
      <c r="D14" s="388"/>
      <c r="E14" s="185"/>
      <c r="F14" s="139"/>
      <c r="G14" s="154"/>
      <c r="H14" s="141"/>
      <c r="I14" s="139"/>
      <c r="J14" s="154"/>
      <c r="K14" s="141"/>
      <c r="L14" s="108"/>
      <c r="M14" s="109" t="str">
        <f t="shared" si="0"/>
        <v>-</v>
      </c>
      <c r="N14" s="184"/>
      <c r="O14" s="303"/>
      <c r="P14" s="304"/>
      <c r="Q14" s="304"/>
      <c r="R14" s="305"/>
    </row>
    <row r="15" spans="1:28" ht="12.15" customHeight="1">
      <c r="A15" s="190"/>
      <c r="B15" s="570" t="s">
        <v>163</v>
      </c>
      <c r="C15" s="374" t="s">
        <v>164</v>
      </c>
      <c r="D15" s="375"/>
      <c r="E15" s="181" t="s">
        <v>165</v>
      </c>
      <c r="F15" s="142"/>
      <c r="G15" s="118"/>
      <c r="H15" s="119"/>
      <c r="I15" s="142"/>
      <c r="J15" s="118"/>
      <c r="K15" s="119"/>
      <c r="L15" s="172" t="str">
        <f t="shared" si="0"/>
        <v>-</v>
      </c>
      <c r="M15" s="170" t="str">
        <f t="shared" si="0"/>
        <v>-</v>
      </c>
      <c r="N15" s="120" t="str">
        <f t="shared" si="0"/>
        <v>-</v>
      </c>
      <c r="O15" s="303"/>
      <c r="P15" s="304"/>
      <c r="Q15" s="304"/>
      <c r="R15" s="305"/>
    </row>
    <row r="16" spans="1:28" ht="12.15" customHeight="1">
      <c r="A16" s="190"/>
      <c r="B16" s="571"/>
      <c r="C16" s="374" t="s">
        <v>166</v>
      </c>
      <c r="D16" s="375"/>
      <c r="E16" s="181" t="s">
        <v>165</v>
      </c>
      <c r="F16" s="142"/>
      <c r="G16" s="118"/>
      <c r="H16" s="119"/>
      <c r="I16" s="142"/>
      <c r="J16" s="118"/>
      <c r="K16" s="119"/>
      <c r="L16" s="172" t="str">
        <f t="shared" ref="L16:L20" si="1">IF(F16="-", "-", IF(I16="-", "-", IF(ABS(I16)=0, "-", ROUND(100*(F16-I16)/ABS(I16),1))))</f>
        <v>-</v>
      </c>
      <c r="M16" s="170" t="str">
        <f t="shared" ref="M16:M20" si="2">IF(G16="-", "-", IF(J16="-", "-", IF(ABS(J16)=0, "-", ROUND(100*(G16-J16)/ABS(J16),1))))</f>
        <v>-</v>
      </c>
      <c r="N16" s="120" t="str">
        <f t="shared" ref="N16:N20" si="3">IF(H16="-", "-", IF(K16="-", "-", IF(ABS(K16)=0, "-", ROUND(100*(H16-K16)/ABS(K16),1))))</f>
        <v>-</v>
      </c>
      <c r="O16" s="303"/>
      <c r="P16" s="304"/>
      <c r="Q16" s="304"/>
      <c r="R16" s="305"/>
    </row>
    <row r="17" spans="1:18" ht="12.15" customHeight="1">
      <c r="A17" s="190"/>
      <c r="B17" s="571"/>
      <c r="C17" s="374" t="s">
        <v>167</v>
      </c>
      <c r="D17" s="375"/>
      <c r="E17" s="181" t="s">
        <v>165</v>
      </c>
      <c r="F17" s="142"/>
      <c r="G17" s="118"/>
      <c r="H17" s="119"/>
      <c r="I17" s="142"/>
      <c r="J17" s="118"/>
      <c r="K17" s="119"/>
      <c r="L17" s="172" t="str">
        <f t="shared" si="1"/>
        <v>-</v>
      </c>
      <c r="M17" s="170" t="str">
        <f t="shared" si="2"/>
        <v>-</v>
      </c>
      <c r="N17" s="120" t="str">
        <f t="shared" si="3"/>
        <v>-</v>
      </c>
      <c r="O17" s="303"/>
      <c r="P17" s="304"/>
      <c r="Q17" s="304"/>
      <c r="R17" s="305"/>
    </row>
    <row r="18" spans="1:18" ht="12.15" customHeight="1">
      <c r="A18" s="190"/>
      <c r="B18" s="571"/>
      <c r="C18" s="374" t="s">
        <v>168</v>
      </c>
      <c r="D18" s="375"/>
      <c r="E18" s="181" t="s">
        <v>165</v>
      </c>
      <c r="F18" s="142"/>
      <c r="G18" s="118"/>
      <c r="H18" s="119"/>
      <c r="I18" s="142"/>
      <c r="J18" s="118"/>
      <c r="K18" s="119"/>
      <c r="L18" s="172" t="str">
        <f t="shared" si="1"/>
        <v>-</v>
      </c>
      <c r="M18" s="170" t="str">
        <f t="shared" si="2"/>
        <v>-</v>
      </c>
      <c r="N18" s="120" t="str">
        <f t="shared" si="3"/>
        <v>-</v>
      </c>
      <c r="O18" s="303"/>
      <c r="P18" s="304"/>
      <c r="Q18" s="304"/>
      <c r="R18" s="305"/>
    </row>
    <row r="19" spans="1:18" ht="12.15" customHeight="1">
      <c r="A19" s="190"/>
      <c r="B19" s="571"/>
      <c r="C19" s="374" t="s">
        <v>169</v>
      </c>
      <c r="D19" s="375"/>
      <c r="E19" s="181" t="s">
        <v>165</v>
      </c>
      <c r="F19" s="142"/>
      <c r="G19" s="118"/>
      <c r="H19" s="119"/>
      <c r="I19" s="142"/>
      <c r="J19" s="118"/>
      <c r="K19" s="119"/>
      <c r="L19" s="172" t="str">
        <f t="shared" si="1"/>
        <v>-</v>
      </c>
      <c r="M19" s="170" t="str">
        <f t="shared" si="2"/>
        <v>-</v>
      </c>
      <c r="N19" s="120" t="str">
        <f t="shared" si="3"/>
        <v>-</v>
      </c>
      <c r="O19" s="303"/>
      <c r="P19" s="304"/>
      <c r="Q19" s="304"/>
      <c r="R19" s="305"/>
    </row>
    <row r="20" spans="1:18" ht="12.15" customHeight="1">
      <c r="A20" s="190"/>
      <c r="B20" s="572"/>
      <c r="C20" s="374" t="s">
        <v>170</v>
      </c>
      <c r="D20" s="375"/>
      <c r="E20" s="181" t="s">
        <v>165</v>
      </c>
      <c r="F20" s="142"/>
      <c r="G20" s="118"/>
      <c r="H20" s="119"/>
      <c r="I20" s="142"/>
      <c r="J20" s="118"/>
      <c r="K20" s="119"/>
      <c r="L20" s="172" t="str">
        <f t="shared" si="1"/>
        <v>-</v>
      </c>
      <c r="M20" s="170" t="str">
        <f t="shared" si="2"/>
        <v>-</v>
      </c>
      <c r="N20" s="120" t="str">
        <f t="shared" si="3"/>
        <v>-</v>
      </c>
      <c r="O20" s="303"/>
      <c r="P20" s="304"/>
      <c r="Q20" s="304"/>
      <c r="R20" s="305"/>
    </row>
    <row r="21" spans="1:18" ht="12.15" customHeight="1">
      <c r="A21" s="190"/>
      <c r="B21" s="374" t="s">
        <v>171</v>
      </c>
      <c r="C21" s="375"/>
      <c r="D21" s="375"/>
      <c r="E21" s="181"/>
      <c r="F21" s="147"/>
      <c r="G21" s="118"/>
      <c r="H21" s="149"/>
      <c r="I21" s="147"/>
      <c r="J21" s="118"/>
      <c r="K21" s="149"/>
      <c r="L21" s="113"/>
      <c r="M21" s="110" t="str">
        <f t="shared" si="0"/>
        <v>-</v>
      </c>
      <c r="N21" s="114"/>
      <c r="O21" s="303"/>
      <c r="P21" s="304"/>
      <c r="Q21" s="304"/>
      <c r="R21" s="305"/>
    </row>
    <row r="22" spans="1:18" ht="12.15" customHeight="1">
      <c r="A22" s="190"/>
      <c r="B22" s="374" t="s">
        <v>152</v>
      </c>
      <c r="C22" s="375"/>
      <c r="D22" s="375"/>
      <c r="E22" s="181"/>
      <c r="F22" s="147"/>
      <c r="G22" s="118"/>
      <c r="H22" s="149"/>
      <c r="I22" s="147"/>
      <c r="J22" s="118"/>
      <c r="K22" s="149"/>
      <c r="L22" s="113"/>
      <c r="M22" s="110" t="str">
        <f t="shared" si="0"/>
        <v>-</v>
      </c>
      <c r="N22" s="114"/>
      <c r="O22" s="303"/>
      <c r="P22" s="304"/>
      <c r="Q22" s="304"/>
      <c r="R22" s="305"/>
    </row>
    <row r="23" spans="1:18" ht="12.15" customHeight="1">
      <c r="A23" s="9"/>
      <c r="B23" s="456" t="s">
        <v>140</v>
      </c>
      <c r="C23" s="437"/>
      <c r="D23" s="437"/>
      <c r="E23" s="178"/>
      <c r="F23" s="155"/>
      <c r="G23" s="122"/>
      <c r="H23" s="156"/>
      <c r="I23" s="155"/>
      <c r="J23" s="122"/>
      <c r="K23" s="156"/>
      <c r="L23" s="152"/>
      <c r="M23" s="111" t="str">
        <f t="shared" si="0"/>
        <v>-</v>
      </c>
      <c r="N23" s="153"/>
      <c r="O23" s="303"/>
      <c r="P23" s="304"/>
      <c r="Q23" s="304"/>
      <c r="R23" s="305"/>
    </row>
    <row r="24" spans="1:18" ht="12.15" customHeight="1">
      <c r="A24" s="387" t="s">
        <v>172</v>
      </c>
      <c r="B24" s="388"/>
      <c r="C24" s="388"/>
      <c r="D24" s="388"/>
      <c r="E24" s="185"/>
      <c r="F24" s="139"/>
      <c r="G24" s="145"/>
      <c r="H24" s="141"/>
      <c r="I24" s="139"/>
      <c r="J24" s="145"/>
      <c r="K24" s="141"/>
      <c r="L24" s="108"/>
      <c r="M24" s="112" t="str">
        <f t="shared" si="0"/>
        <v>-</v>
      </c>
      <c r="N24" s="184"/>
      <c r="O24" s="303"/>
      <c r="P24" s="304"/>
      <c r="Q24" s="304"/>
      <c r="R24" s="305"/>
    </row>
    <row r="25" spans="1:18" ht="12.15" customHeight="1">
      <c r="A25" s="190"/>
      <c r="B25" s="453" t="s">
        <v>173</v>
      </c>
      <c r="C25" s="454"/>
      <c r="D25" s="454"/>
      <c r="E25" s="21" t="s">
        <v>139</v>
      </c>
      <c r="F25" s="142"/>
      <c r="G25" s="118"/>
      <c r="H25" s="119"/>
      <c r="I25" s="142"/>
      <c r="J25" s="118"/>
      <c r="K25" s="119"/>
      <c r="L25" s="172" t="str">
        <f t="shared" ref="L25" si="4">IF(F25="-", "-", IF(I25="-", "-", IF(ABS(I25)=0, "-", ROUND(100*(F25-I25)/ABS(I25),1))))</f>
        <v>-</v>
      </c>
      <c r="M25" s="170" t="str">
        <f t="shared" si="0"/>
        <v>-</v>
      </c>
      <c r="N25" s="120" t="str">
        <f t="shared" ref="N25" si="5">IF(H25="-", "-", IF(K25="-", "-", IF(ABS(K25)=0, "-", ROUND(100*(H25-K25)/ABS(K25),1))))</f>
        <v>-</v>
      </c>
      <c r="O25" s="303"/>
      <c r="P25" s="304"/>
      <c r="Q25" s="304"/>
      <c r="R25" s="305"/>
    </row>
    <row r="26" spans="1:18" ht="12.15" customHeight="1">
      <c r="A26" s="190"/>
      <c r="B26" s="374" t="s">
        <v>152</v>
      </c>
      <c r="C26" s="375"/>
      <c r="D26" s="375"/>
      <c r="E26" s="181"/>
      <c r="F26" s="147"/>
      <c r="G26" s="118"/>
      <c r="H26" s="149"/>
      <c r="I26" s="147"/>
      <c r="J26" s="118"/>
      <c r="K26" s="149"/>
      <c r="L26" s="113"/>
      <c r="M26" s="110" t="str">
        <f t="shared" si="0"/>
        <v>-</v>
      </c>
      <c r="N26" s="114"/>
      <c r="O26" s="303"/>
      <c r="P26" s="304"/>
      <c r="Q26" s="304"/>
      <c r="R26" s="305"/>
    </row>
    <row r="27" spans="1:18" ht="12.15" customHeight="1">
      <c r="A27" s="9"/>
      <c r="B27" s="456" t="s">
        <v>140</v>
      </c>
      <c r="C27" s="437"/>
      <c r="D27" s="437"/>
      <c r="E27" s="178"/>
      <c r="F27" s="155"/>
      <c r="G27" s="122"/>
      <c r="H27" s="156"/>
      <c r="I27" s="155"/>
      <c r="J27" s="122"/>
      <c r="K27" s="156"/>
      <c r="L27" s="152"/>
      <c r="M27" s="111" t="str">
        <f t="shared" si="0"/>
        <v>-</v>
      </c>
      <c r="N27" s="153"/>
      <c r="O27" s="303"/>
      <c r="P27" s="304"/>
      <c r="Q27" s="304"/>
      <c r="R27" s="305"/>
    </row>
    <row r="28" spans="1:18" ht="12.15" customHeight="1">
      <c r="A28" s="387" t="s">
        <v>174</v>
      </c>
      <c r="B28" s="388"/>
      <c r="C28" s="388"/>
      <c r="D28" s="388"/>
      <c r="E28" s="185"/>
      <c r="F28" s="139"/>
      <c r="G28" s="145"/>
      <c r="H28" s="141"/>
      <c r="I28" s="139"/>
      <c r="J28" s="145"/>
      <c r="K28" s="141"/>
      <c r="L28" s="108"/>
      <c r="M28" s="112" t="str">
        <f t="shared" si="0"/>
        <v>-</v>
      </c>
      <c r="N28" s="184"/>
      <c r="O28" s="303"/>
      <c r="P28" s="304"/>
      <c r="Q28" s="304"/>
      <c r="R28" s="305"/>
    </row>
    <row r="29" spans="1:18" ht="12.15" customHeight="1">
      <c r="A29" s="190"/>
      <c r="B29" s="381" t="s">
        <v>175</v>
      </c>
      <c r="C29" s="573"/>
      <c r="D29" s="176" t="s">
        <v>176</v>
      </c>
      <c r="E29" s="181"/>
      <c r="F29" s="147"/>
      <c r="G29" s="118"/>
      <c r="H29" s="157"/>
      <c r="I29" s="147"/>
      <c r="J29" s="118"/>
      <c r="K29" s="157"/>
      <c r="L29" s="147"/>
      <c r="M29" s="110" t="str">
        <f t="shared" si="0"/>
        <v>-</v>
      </c>
      <c r="N29" s="114"/>
      <c r="O29" s="303"/>
      <c r="P29" s="304"/>
      <c r="Q29" s="304"/>
      <c r="R29" s="305"/>
    </row>
    <row r="30" spans="1:18" ht="12.15" customHeight="1">
      <c r="A30" s="190"/>
      <c r="B30" s="379"/>
      <c r="C30" s="380"/>
      <c r="D30" s="176" t="s">
        <v>177</v>
      </c>
      <c r="E30" s="181"/>
      <c r="F30" s="147"/>
      <c r="G30" s="118"/>
      <c r="H30" s="157"/>
      <c r="I30" s="147"/>
      <c r="J30" s="118"/>
      <c r="K30" s="157"/>
      <c r="L30" s="147"/>
      <c r="M30" s="110" t="str">
        <f t="shared" si="0"/>
        <v>-</v>
      </c>
      <c r="N30" s="114"/>
      <c r="O30" s="303"/>
      <c r="P30" s="304"/>
      <c r="Q30" s="304"/>
      <c r="R30" s="305"/>
    </row>
    <row r="31" spans="1:18" ht="12.15" customHeight="1">
      <c r="A31" s="16"/>
      <c r="B31" s="374" t="s">
        <v>178</v>
      </c>
      <c r="C31" s="375"/>
      <c r="D31" s="375"/>
      <c r="E31" s="181"/>
      <c r="F31" s="147"/>
      <c r="G31" s="118"/>
      <c r="H31" s="149"/>
      <c r="I31" s="147"/>
      <c r="J31" s="118"/>
      <c r="K31" s="149"/>
      <c r="L31" s="113"/>
      <c r="M31" s="110" t="str">
        <f t="shared" si="0"/>
        <v>-</v>
      </c>
      <c r="N31" s="114"/>
      <c r="O31" s="303"/>
      <c r="P31" s="304"/>
      <c r="Q31" s="304"/>
      <c r="R31" s="305"/>
    </row>
    <row r="32" spans="1:18" ht="12.15" customHeight="1">
      <c r="A32" s="16"/>
      <c r="B32" s="374" t="s">
        <v>179</v>
      </c>
      <c r="C32" s="375"/>
      <c r="D32" s="375"/>
      <c r="E32" s="181"/>
      <c r="F32" s="147"/>
      <c r="G32" s="118"/>
      <c r="H32" s="149"/>
      <c r="I32" s="147"/>
      <c r="J32" s="118"/>
      <c r="K32" s="149"/>
      <c r="L32" s="113"/>
      <c r="M32" s="110" t="str">
        <f t="shared" si="0"/>
        <v>-</v>
      </c>
      <c r="N32" s="114"/>
      <c r="O32" s="303"/>
      <c r="P32" s="304"/>
      <c r="Q32" s="304"/>
      <c r="R32" s="305"/>
    </row>
    <row r="33" spans="1:18" ht="12.15" customHeight="1">
      <c r="A33" s="9"/>
      <c r="B33" s="391" t="s">
        <v>152</v>
      </c>
      <c r="C33" s="392"/>
      <c r="D33" s="392"/>
      <c r="E33" s="18"/>
      <c r="F33" s="155"/>
      <c r="G33" s="122"/>
      <c r="H33" s="156"/>
      <c r="I33" s="155"/>
      <c r="J33" s="122"/>
      <c r="K33" s="156"/>
      <c r="L33" s="152"/>
      <c r="M33" s="111" t="str">
        <f t="shared" si="0"/>
        <v>-</v>
      </c>
      <c r="N33" s="153"/>
      <c r="O33" s="303"/>
      <c r="P33" s="304"/>
      <c r="Q33" s="304"/>
      <c r="R33" s="305"/>
    </row>
    <row r="34" spans="1:18" ht="12.75" customHeight="1">
      <c r="A34" s="387" t="s">
        <v>180</v>
      </c>
      <c r="B34" s="388"/>
      <c r="C34" s="388"/>
      <c r="D34" s="388"/>
      <c r="E34" s="185"/>
      <c r="F34" s="139"/>
      <c r="G34" s="145"/>
      <c r="H34" s="141"/>
      <c r="I34" s="139"/>
      <c r="J34" s="127"/>
      <c r="K34" s="141"/>
      <c r="L34" s="108"/>
      <c r="M34" s="109" t="str">
        <f t="shared" si="0"/>
        <v>-</v>
      </c>
      <c r="N34" s="184"/>
      <c r="O34" s="303"/>
      <c r="P34" s="304"/>
      <c r="Q34" s="304"/>
      <c r="R34" s="305"/>
    </row>
    <row r="35" spans="1:18" ht="12.75" customHeight="1">
      <c r="A35" s="190"/>
      <c r="B35" s="381" t="s">
        <v>181</v>
      </c>
      <c r="C35" s="573"/>
      <c r="D35" s="176" t="s">
        <v>182</v>
      </c>
      <c r="E35" s="181"/>
      <c r="F35" s="147"/>
      <c r="G35" s="118"/>
      <c r="H35" s="149"/>
      <c r="I35" s="147"/>
      <c r="J35" s="118"/>
      <c r="K35" s="149"/>
      <c r="L35" s="113"/>
      <c r="M35" s="110" t="str">
        <f t="shared" si="0"/>
        <v>-</v>
      </c>
      <c r="N35" s="114"/>
      <c r="O35" s="303"/>
      <c r="P35" s="304"/>
      <c r="Q35" s="304"/>
      <c r="R35" s="305"/>
    </row>
    <row r="36" spans="1:18" ht="12.75" customHeight="1">
      <c r="A36" s="190"/>
      <c r="B36" s="574"/>
      <c r="C36" s="575"/>
      <c r="D36" s="176" t="s">
        <v>183</v>
      </c>
      <c r="E36" s="181"/>
      <c r="F36" s="147"/>
      <c r="G36" s="118"/>
      <c r="H36" s="149"/>
      <c r="I36" s="147"/>
      <c r="J36" s="118"/>
      <c r="K36" s="149"/>
      <c r="L36" s="113"/>
      <c r="M36" s="112" t="str">
        <f t="shared" si="0"/>
        <v>-</v>
      </c>
      <c r="N36" s="114"/>
      <c r="O36" s="303"/>
      <c r="P36" s="304"/>
      <c r="Q36" s="304"/>
      <c r="R36" s="305"/>
    </row>
    <row r="37" spans="1:18" ht="12.75" customHeight="1">
      <c r="A37" s="190"/>
      <c r="B37" s="379"/>
      <c r="C37" s="380"/>
      <c r="D37" s="176" t="s">
        <v>184</v>
      </c>
      <c r="E37" s="181"/>
      <c r="F37" s="147"/>
      <c r="G37" s="118"/>
      <c r="H37" s="149"/>
      <c r="I37" s="147"/>
      <c r="J37" s="118"/>
      <c r="K37" s="149"/>
      <c r="L37" s="113"/>
      <c r="M37" s="110" t="str">
        <f t="shared" si="0"/>
        <v>-</v>
      </c>
      <c r="N37" s="114"/>
      <c r="O37" s="303"/>
      <c r="P37" s="304"/>
      <c r="Q37" s="304"/>
      <c r="R37" s="305"/>
    </row>
    <row r="38" spans="1:18" ht="12.75" customHeight="1">
      <c r="A38" s="190"/>
      <c r="B38" s="374" t="s">
        <v>185</v>
      </c>
      <c r="C38" s="375"/>
      <c r="D38" s="375"/>
      <c r="E38" s="181"/>
      <c r="F38" s="147"/>
      <c r="G38" s="118"/>
      <c r="H38" s="149"/>
      <c r="I38" s="147"/>
      <c r="J38" s="118"/>
      <c r="K38" s="149"/>
      <c r="L38" s="113"/>
      <c r="M38" s="110" t="str">
        <f t="shared" si="0"/>
        <v>-</v>
      </c>
      <c r="N38" s="114"/>
      <c r="O38" s="303"/>
      <c r="P38" s="304"/>
      <c r="Q38" s="304"/>
      <c r="R38" s="305"/>
    </row>
    <row r="39" spans="1:18" ht="12.75" customHeight="1">
      <c r="A39" s="190"/>
      <c r="B39" s="374" t="s">
        <v>186</v>
      </c>
      <c r="C39" s="375"/>
      <c r="D39" s="375"/>
      <c r="E39" s="181" t="s">
        <v>142</v>
      </c>
      <c r="F39" s="142"/>
      <c r="G39" s="118"/>
      <c r="H39" s="119"/>
      <c r="I39" s="142"/>
      <c r="J39" s="118"/>
      <c r="K39" s="119"/>
      <c r="L39" s="172" t="str">
        <f t="shared" ref="L39:L45" si="6">IF(F39="-", "-", IF(I39="-", "-", IF(ABS(I39)=0, "-", ROUND(100*(F39-I39)/ABS(I39),1))))</f>
        <v>-</v>
      </c>
      <c r="M39" s="170" t="str">
        <f t="shared" si="0"/>
        <v>-</v>
      </c>
      <c r="N39" s="120" t="str">
        <f t="shared" ref="N39:N45" si="7">IF(H39="-", "-", IF(K39="-", "-", IF(ABS(K39)=0, "-", ROUND(100*(H39-K39)/ABS(K39),1))))</f>
        <v>-</v>
      </c>
      <c r="O39" s="303"/>
      <c r="P39" s="304"/>
      <c r="Q39" s="304"/>
      <c r="R39" s="305"/>
    </row>
    <row r="40" spans="1:18" ht="12.75" customHeight="1">
      <c r="A40" s="190"/>
      <c r="B40" s="374" t="s">
        <v>187</v>
      </c>
      <c r="C40" s="375"/>
      <c r="D40" s="375"/>
      <c r="E40" s="181" t="s">
        <v>142</v>
      </c>
      <c r="F40" s="142"/>
      <c r="G40" s="118"/>
      <c r="H40" s="119"/>
      <c r="I40" s="142"/>
      <c r="J40" s="118"/>
      <c r="K40" s="119"/>
      <c r="L40" s="172" t="str">
        <f t="shared" si="6"/>
        <v>-</v>
      </c>
      <c r="M40" s="170" t="str">
        <f t="shared" si="0"/>
        <v>-</v>
      </c>
      <c r="N40" s="120" t="str">
        <f t="shared" si="7"/>
        <v>-</v>
      </c>
      <c r="O40" s="303"/>
      <c r="P40" s="304"/>
      <c r="Q40" s="304"/>
      <c r="R40" s="305"/>
    </row>
    <row r="41" spans="1:18" ht="12.75" customHeight="1">
      <c r="A41" s="190"/>
      <c r="B41" s="374" t="s">
        <v>188</v>
      </c>
      <c r="C41" s="375"/>
      <c r="D41" s="375"/>
      <c r="E41" s="181" t="s">
        <v>142</v>
      </c>
      <c r="F41" s="142"/>
      <c r="G41" s="118"/>
      <c r="H41" s="119"/>
      <c r="I41" s="142"/>
      <c r="J41" s="118"/>
      <c r="K41" s="119"/>
      <c r="L41" s="172" t="str">
        <f t="shared" si="6"/>
        <v>-</v>
      </c>
      <c r="M41" s="170" t="str">
        <f t="shared" si="0"/>
        <v>-</v>
      </c>
      <c r="N41" s="120" t="str">
        <f t="shared" si="7"/>
        <v>-</v>
      </c>
      <c r="O41" s="303"/>
      <c r="P41" s="304"/>
      <c r="Q41" s="304"/>
      <c r="R41" s="305"/>
    </row>
    <row r="42" spans="1:18" ht="12.75" customHeight="1">
      <c r="A42" s="190"/>
      <c r="B42" s="374" t="s">
        <v>189</v>
      </c>
      <c r="C42" s="375"/>
      <c r="D42" s="375"/>
      <c r="E42" s="181" t="s">
        <v>142</v>
      </c>
      <c r="F42" s="142"/>
      <c r="G42" s="118"/>
      <c r="H42" s="119"/>
      <c r="I42" s="142"/>
      <c r="J42" s="118"/>
      <c r="K42" s="119"/>
      <c r="L42" s="172" t="str">
        <f t="shared" si="6"/>
        <v>-</v>
      </c>
      <c r="M42" s="170" t="str">
        <f t="shared" si="0"/>
        <v>-</v>
      </c>
      <c r="N42" s="120" t="str">
        <f t="shared" si="7"/>
        <v>-</v>
      </c>
      <c r="O42" s="303"/>
      <c r="P42" s="304"/>
      <c r="Q42" s="304"/>
      <c r="R42" s="305"/>
    </row>
    <row r="43" spans="1:18" ht="12.75" customHeight="1">
      <c r="A43" s="190"/>
      <c r="B43" s="374" t="s">
        <v>190</v>
      </c>
      <c r="C43" s="375"/>
      <c r="D43" s="375"/>
      <c r="E43" s="21" t="s">
        <v>139</v>
      </c>
      <c r="F43" s="142"/>
      <c r="G43" s="118"/>
      <c r="H43" s="119"/>
      <c r="I43" s="142"/>
      <c r="J43" s="118"/>
      <c r="K43" s="119"/>
      <c r="L43" s="172" t="str">
        <f t="shared" si="6"/>
        <v>-</v>
      </c>
      <c r="M43" s="170" t="str">
        <f t="shared" si="0"/>
        <v>-</v>
      </c>
      <c r="N43" s="120" t="str">
        <f t="shared" si="7"/>
        <v>-</v>
      </c>
      <c r="O43" s="303"/>
      <c r="P43" s="304"/>
      <c r="Q43" s="304"/>
      <c r="R43" s="305"/>
    </row>
    <row r="44" spans="1:18" ht="12.75" customHeight="1">
      <c r="A44" s="190"/>
      <c r="B44" s="374" t="s">
        <v>191</v>
      </c>
      <c r="C44" s="375"/>
      <c r="D44" s="375"/>
      <c r="E44" s="21" t="s">
        <v>139</v>
      </c>
      <c r="F44" s="142"/>
      <c r="G44" s="118"/>
      <c r="H44" s="119"/>
      <c r="I44" s="142"/>
      <c r="J44" s="118"/>
      <c r="K44" s="119"/>
      <c r="L44" s="172" t="str">
        <f t="shared" si="6"/>
        <v>-</v>
      </c>
      <c r="M44" s="170" t="str">
        <f t="shared" si="0"/>
        <v>-</v>
      </c>
      <c r="N44" s="120" t="str">
        <f t="shared" si="7"/>
        <v>-</v>
      </c>
      <c r="O44" s="303"/>
      <c r="P44" s="304"/>
      <c r="Q44" s="304"/>
      <c r="R44" s="305"/>
    </row>
    <row r="45" spans="1:18" ht="12.75" customHeight="1">
      <c r="A45" s="190"/>
      <c r="B45" s="374" t="s">
        <v>192</v>
      </c>
      <c r="C45" s="375"/>
      <c r="D45" s="375"/>
      <c r="E45" s="21" t="s">
        <v>139</v>
      </c>
      <c r="F45" s="142"/>
      <c r="G45" s="118"/>
      <c r="H45" s="119"/>
      <c r="I45" s="142"/>
      <c r="J45" s="118"/>
      <c r="K45" s="119"/>
      <c r="L45" s="172" t="str">
        <f t="shared" si="6"/>
        <v>-</v>
      </c>
      <c r="M45" s="170" t="str">
        <f t="shared" si="0"/>
        <v>-</v>
      </c>
      <c r="N45" s="120" t="str">
        <f t="shared" si="7"/>
        <v>-</v>
      </c>
      <c r="O45" s="303"/>
      <c r="P45" s="304"/>
      <c r="Q45" s="304"/>
      <c r="R45" s="305"/>
    </row>
    <row r="46" spans="1:18" ht="12.75" customHeight="1">
      <c r="A46" s="9"/>
      <c r="B46" s="456" t="s">
        <v>152</v>
      </c>
      <c r="C46" s="437"/>
      <c r="D46" s="437"/>
      <c r="E46" s="178"/>
      <c r="F46" s="150"/>
      <c r="G46" s="122"/>
      <c r="H46" s="137"/>
      <c r="I46" s="150"/>
      <c r="J46" s="122"/>
      <c r="K46" s="137"/>
      <c r="L46" s="115"/>
      <c r="M46" s="111" t="str">
        <f t="shared" si="0"/>
        <v>-</v>
      </c>
      <c r="N46" s="116"/>
      <c r="O46" s="294"/>
      <c r="P46" s="295"/>
      <c r="Q46" s="295"/>
      <c r="R46" s="296"/>
    </row>
    <row r="47" spans="1:18" ht="12.75" customHeight="1">
      <c r="A47" s="191"/>
      <c r="B47" s="191"/>
      <c r="C47" s="191"/>
      <c r="D47" s="191"/>
      <c r="F47" s="28"/>
      <c r="G47" s="14"/>
      <c r="H47" s="28"/>
      <c r="I47" s="28"/>
      <c r="J47" s="14"/>
      <c r="K47" s="28"/>
      <c r="L47" s="53"/>
      <c r="M47" s="53"/>
      <c r="N47" s="53"/>
    </row>
  </sheetData>
  <mergeCells count="85">
    <mergeCell ref="O43:R43"/>
    <mergeCell ref="O44:R44"/>
    <mergeCell ref="O45:R45"/>
    <mergeCell ref="O46:R46"/>
    <mergeCell ref="O38:R38"/>
    <mergeCell ref="O39:R39"/>
    <mergeCell ref="O40:R40"/>
    <mergeCell ref="O41:R41"/>
    <mergeCell ref="O42:R42"/>
    <mergeCell ref="O33:R33"/>
    <mergeCell ref="O34:R34"/>
    <mergeCell ref="O35:R35"/>
    <mergeCell ref="O36:R36"/>
    <mergeCell ref="O37:R37"/>
    <mergeCell ref="O28:R28"/>
    <mergeCell ref="O29:R29"/>
    <mergeCell ref="O30:R30"/>
    <mergeCell ref="O31:R31"/>
    <mergeCell ref="O32:R32"/>
    <mergeCell ref="O23:R23"/>
    <mergeCell ref="O24:R24"/>
    <mergeCell ref="O25:R25"/>
    <mergeCell ref="O26:R26"/>
    <mergeCell ref="O27:R27"/>
    <mergeCell ref="O18:R18"/>
    <mergeCell ref="O19:R19"/>
    <mergeCell ref="O20:R20"/>
    <mergeCell ref="O21:R21"/>
    <mergeCell ref="O22:R22"/>
    <mergeCell ref="O13:R13"/>
    <mergeCell ref="O14:R14"/>
    <mergeCell ref="O15:R15"/>
    <mergeCell ref="O16:R16"/>
    <mergeCell ref="O17:R17"/>
    <mergeCell ref="O8:R8"/>
    <mergeCell ref="O9:R9"/>
    <mergeCell ref="O10:R10"/>
    <mergeCell ref="O11:R11"/>
    <mergeCell ref="O12:R12"/>
    <mergeCell ref="C18:D18"/>
    <mergeCell ref="C19:D19"/>
    <mergeCell ref="B31:D31"/>
    <mergeCell ref="B32:D32"/>
    <mergeCell ref="B33:D33"/>
    <mergeCell ref="A24:D24"/>
    <mergeCell ref="B25:D25"/>
    <mergeCell ref="B26:D26"/>
    <mergeCell ref="B27:D27"/>
    <mergeCell ref="A28:D28"/>
    <mergeCell ref="B29:C30"/>
    <mergeCell ref="B43:D43"/>
    <mergeCell ref="B44:D44"/>
    <mergeCell ref="B46:D46"/>
    <mergeCell ref="B35:C37"/>
    <mergeCell ref="B38:D38"/>
    <mergeCell ref="B39:D39"/>
    <mergeCell ref="B40:D40"/>
    <mergeCell ref="B41:D41"/>
    <mergeCell ref="B42:D42"/>
    <mergeCell ref="B45:D45"/>
    <mergeCell ref="A8:D8"/>
    <mergeCell ref="B11:D11"/>
    <mergeCell ref="B12:D12"/>
    <mergeCell ref="B13:D13"/>
    <mergeCell ref="A34:D34"/>
    <mergeCell ref="C20:D20"/>
    <mergeCell ref="B21:D21"/>
    <mergeCell ref="B22:D22"/>
    <mergeCell ref="B23:D23"/>
    <mergeCell ref="B9:D9"/>
    <mergeCell ref="B10:D10"/>
    <mergeCell ref="A14:D14"/>
    <mergeCell ref="B15:B20"/>
    <mergeCell ref="C15:D15"/>
    <mergeCell ref="C16:D16"/>
    <mergeCell ref="C17:D17"/>
    <mergeCell ref="N1:P1"/>
    <mergeCell ref="N2:P2"/>
    <mergeCell ref="A5:E7"/>
    <mergeCell ref="F5:H5"/>
    <mergeCell ref="I5:K5"/>
    <mergeCell ref="L5:N5"/>
    <mergeCell ref="I6:I7"/>
    <mergeCell ref="F6:F7"/>
    <mergeCell ref="O5:R7"/>
  </mergeCells>
  <phoneticPr fontId="1"/>
  <pageMargins left="0.78740157480314965" right="0.43307086614173229" top="0.78740157480314965" bottom="0.39370078740157483" header="0.43307086614173229" footer="0.19685039370078741"/>
  <pageSetup paperSize="9" scale="7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B60"/>
  <sheetViews>
    <sheetView showGridLines="0" view="pageBreakPreview" zoomScaleNormal="100" zoomScaleSheetLayoutView="100" workbookViewId="0"/>
  </sheetViews>
  <sheetFormatPr defaultColWidth="9" defaultRowHeight="15" customHeight="1"/>
  <cols>
    <col min="1" max="46" width="3.6640625" style="2" customWidth="1"/>
    <col min="47" max="49" width="5.6640625" style="2" customWidth="1"/>
    <col min="50" max="16384" width="9" style="2"/>
  </cols>
  <sheetData>
    <row r="1" spans="1:54" ht="15" customHeight="1">
      <c r="A1" s="1" t="str">
        <f>No.1!A1&amp;"年産　米生産費統計（個別経営体）　個別結果検討表　№５"</f>
        <v>2019年産　米生産費統計（個別経営体）　個別結果検討表　№５</v>
      </c>
      <c r="B1" s="1"/>
      <c r="C1" s="1"/>
      <c r="D1" s="1"/>
      <c r="E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625"/>
      <c r="AE1" s="625"/>
      <c r="AF1" s="625"/>
      <c r="AG1" s="625"/>
      <c r="AH1" s="625"/>
      <c r="AI1" s="625"/>
      <c r="AJ1" s="625"/>
      <c r="AK1" s="625"/>
      <c r="AL1" s="191"/>
      <c r="AM1" s="191"/>
      <c r="AN1" s="191"/>
      <c r="AO1" s="191"/>
      <c r="AQ1" s="223" t="s">
        <v>1</v>
      </c>
      <c r="AR1" s="224"/>
      <c r="AS1" s="224"/>
      <c r="AT1" s="224"/>
      <c r="AU1" s="224"/>
      <c r="AV1" s="224"/>
      <c r="AW1" s="224"/>
      <c r="AX1" s="225"/>
    </row>
    <row r="2" spans="1:5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626"/>
      <c r="AE2" s="626"/>
      <c r="AF2" s="626"/>
      <c r="AG2" s="626"/>
      <c r="AH2" s="626"/>
      <c r="AI2" s="626"/>
      <c r="AJ2" s="626"/>
      <c r="AK2" s="626"/>
      <c r="AL2" s="192"/>
      <c r="AM2" s="192"/>
      <c r="AN2" s="192"/>
      <c r="AO2" s="192"/>
      <c r="AQ2" s="561" t="str">
        <f>IF(No.1!O2="","",No.1!O2)</f>
        <v/>
      </c>
      <c r="AR2" s="562"/>
      <c r="AS2" s="562"/>
      <c r="AT2" s="562"/>
      <c r="AU2" s="562"/>
      <c r="AV2" s="562"/>
      <c r="AW2" s="562"/>
      <c r="AX2" s="563"/>
    </row>
    <row r="3" spans="1:54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54" ht="15" customHeight="1">
      <c r="A4" s="5" t="s">
        <v>193</v>
      </c>
      <c r="W4" s="5"/>
      <c r="AP4" s="10"/>
      <c r="AQ4" s="10"/>
      <c r="AR4" s="10"/>
      <c r="AS4" s="10"/>
      <c r="AU4" s="10"/>
      <c r="AV4" s="10"/>
      <c r="AW4" s="10"/>
      <c r="AX4" s="10"/>
      <c r="AY4" s="10"/>
      <c r="AZ4" s="10"/>
      <c r="BA4" s="10"/>
      <c r="BB4" s="10"/>
    </row>
    <row r="5" spans="1:54" ht="15" customHeight="1">
      <c r="A5" s="366"/>
      <c r="B5" s="367"/>
      <c r="C5" s="367"/>
      <c r="D5" s="367"/>
      <c r="E5" s="367"/>
      <c r="F5" s="368"/>
      <c r="G5" s="415">
        <f>No.1!H5</f>
        <v>19</v>
      </c>
      <c r="H5" s="416"/>
      <c r="I5" s="416"/>
      <c r="J5" s="421">
        <f>G5-1</f>
        <v>18</v>
      </c>
      <c r="K5" s="416"/>
      <c r="L5" s="417"/>
      <c r="M5" s="355" t="s">
        <v>55</v>
      </c>
      <c r="N5" s="355"/>
      <c r="O5" s="356"/>
      <c r="P5" s="327" t="s">
        <v>56</v>
      </c>
      <c r="Q5" s="328"/>
      <c r="R5" s="328"/>
      <c r="S5" s="328"/>
      <c r="T5" s="328"/>
      <c r="U5" s="329"/>
      <c r="V5" s="164"/>
      <c r="W5" s="366"/>
      <c r="X5" s="367"/>
      <c r="Y5" s="367"/>
      <c r="Z5" s="367"/>
      <c r="AA5" s="367"/>
      <c r="AB5" s="367"/>
      <c r="AC5" s="367"/>
      <c r="AD5" s="569" t="s">
        <v>294</v>
      </c>
      <c r="AE5" s="548"/>
      <c r="AF5" s="548"/>
      <c r="AG5" s="548"/>
      <c r="AH5" s="548"/>
      <c r="AI5" s="548"/>
      <c r="AJ5" s="548"/>
      <c r="AK5" s="548"/>
      <c r="AL5" s="549"/>
      <c r="AM5" s="640" t="s">
        <v>194</v>
      </c>
      <c r="AN5" s="641"/>
      <c r="AO5" s="641"/>
      <c r="AP5" s="641"/>
      <c r="AQ5" s="641"/>
      <c r="AR5" s="641"/>
      <c r="AS5" s="641"/>
      <c r="AT5" s="641"/>
      <c r="AU5" s="642"/>
      <c r="AV5" s="646" t="s">
        <v>56</v>
      </c>
      <c r="AW5" s="536"/>
      <c r="AX5" s="537"/>
      <c r="AY5" s="10"/>
    </row>
    <row r="6" spans="1:54" ht="15" customHeight="1">
      <c r="A6" s="369"/>
      <c r="B6" s="370"/>
      <c r="C6" s="370"/>
      <c r="D6" s="370"/>
      <c r="E6" s="370"/>
      <c r="F6" s="371"/>
      <c r="G6" s="607" t="s">
        <v>113</v>
      </c>
      <c r="H6" s="447"/>
      <c r="I6" s="447"/>
      <c r="J6" s="608" t="s">
        <v>195</v>
      </c>
      <c r="K6" s="447"/>
      <c r="L6" s="609"/>
      <c r="M6" s="447" t="s">
        <v>58</v>
      </c>
      <c r="N6" s="447"/>
      <c r="O6" s="448"/>
      <c r="P6" s="330"/>
      <c r="Q6" s="331"/>
      <c r="R6" s="331"/>
      <c r="S6" s="331"/>
      <c r="T6" s="331"/>
      <c r="U6" s="332"/>
      <c r="V6" s="56"/>
      <c r="W6" s="523"/>
      <c r="X6" s="524"/>
      <c r="Y6" s="524"/>
      <c r="Z6" s="524"/>
      <c r="AA6" s="524"/>
      <c r="AB6" s="524"/>
      <c r="AC6" s="524"/>
      <c r="AD6" s="415">
        <f>$G$5</f>
        <v>19</v>
      </c>
      <c r="AE6" s="416"/>
      <c r="AF6" s="416"/>
      <c r="AG6" s="421">
        <f>$J$5</f>
        <v>18</v>
      </c>
      <c r="AH6" s="416"/>
      <c r="AI6" s="417"/>
      <c r="AJ6" s="355" t="s">
        <v>55</v>
      </c>
      <c r="AK6" s="355"/>
      <c r="AL6" s="356"/>
      <c r="AM6" s="415">
        <f>$G$5</f>
        <v>19</v>
      </c>
      <c r="AN6" s="416"/>
      <c r="AO6" s="416"/>
      <c r="AP6" s="421">
        <f>$J$5</f>
        <v>18</v>
      </c>
      <c r="AQ6" s="416"/>
      <c r="AR6" s="417"/>
      <c r="AS6" s="355" t="s">
        <v>55</v>
      </c>
      <c r="AT6" s="355"/>
      <c r="AU6" s="356"/>
      <c r="AV6" s="647"/>
      <c r="AW6" s="451"/>
      <c r="AX6" s="452"/>
      <c r="AY6" s="10"/>
    </row>
    <row r="7" spans="1:54" ht="12.75" customHeight="1">
      <c r="A7" s="387" t="s">
        <v>196</v>
      </c>
      <c r="B7" s="388"/>
      <c r="C7" s="388"/>
      <c r="D7" s="388"/>
      <c r="E7" s="388"/>
      <c r="F7" s="388"/>
      <c r="G7" s="476"/>
      <c r="H7" s="477"/>
      <c r="I7" s="477"/>
      <c r="J7" s="478"/>
      <c r="K7" s="477"/>
      <c r="L7" s="479"/>
      <c r="M7" s="487" t="str">
        <f>IF(G7="-", "-", IF(J7="-", "-", IF(ABS(J7)=0, "-", ROUND(100*(G7-J7)/ABS(J7),1))))</f>
        <v>-</v>
      </c>
      <c r="N7" s="358"/>
      <c r="O7" s="435"/>
      <c r="P7" s="576"/>
      <c r="Q7" s="577"/>
      <c r="R7" s="577"/>
      <c r="S7" s="577"/>
      <c r="T7" s="577"/>
      <c r="U7" s="578"/>
      <c r="V7" s="15"/>
      <c r="W7" s="369"/>
      <c r="X7" s="370"/>
      <c r="Y7" s="370"/>
      <c r="Z7" s="370"/>
      <c r="AA7" s="370"/>
      <c r="AB7" s="370"/>
      <c r="AC7" s="370"/>
      <c r="AD7" s="607" t="s">
        <v>197</v>
      </c>
      <c r="AE7" s="447"/>
      <c r="AF7" s="447"/>
      <c r="AG7" s="608" t="s">
        <v>197</v>
      </c>
      <c r="AH7" s="447"/>
      <c r="AI7" s="609"/>
      <c r="AJ7" s="447" t="s">
        <v>58</v>
      </c>
      <c r="AK7" s="447"/>
      <c r="AL7" s="448"/>
      <c r="AM7" s="607" t="s">
        <v>113</v>
      </c>
      <c r="AN7" s="447"/>
      <c r="AO7" s="447"/>
      <c r="AP7" s="608" t="s">
        <v>195</v>
      </c>
      <c r="AQ7" s="447"/>
      <c r="AR7" s="609"/>
      <c r="AS7" s="447" t="s">
        <v>58</v>
      </c>
      <c r="AT7" s="447"/>
      <c r="AU7" s="448"/>
      <c r="AV7" s="648"/>
      <c r="AW7" s="649"/>
      <c r="AX7" s="650"/>
      <c r="AY7" s="10"/>
    </row>
    <row r="8" spans="1:54" ht="12.75" customHeight="1">
      <c r="A8" s="190"/>
      <c r="B8" s="372" t="s">
        <v>198</v>
      </c>
      <c r="C8" s="373"/>
      <c r="D8" s="373"/>
      <c r="E8" s="373"/>
      <c r="F8" s="390"/>
      <c r="G8" s="326"/>
      <c r="H8" s="313"/>
      <c r="I8" s="313"/>
      <c r="J8" s="312"/>
      <c r="K8" s="313"/>
      <c r="L8" s="314"/>
      <c r="M8" s="319" t="str">
        <f t="shared" ref="M8:M13" si="0">IF(G8="-", "-", IF(J8="-", "-", IF(ABS(J8)=0, "-", ROUND(100*(G8-J8)/ABS(J8),1))))</f>
        <v>-</v>
      </c>
      <c r="N8" s="319"/>
      <c r="O8" s="320"/>
      <c r="P8" s="303"/>
      <c r="Q8" s="304"/>
      <c r="R8" s="304"/>
      <c r="S8" s="304"/>
      <c r="T8" s="304"/>
      <c r="U8" s="305"/>
      <c r="V8" s="15"/>
      <c r="W8" s="624" t="s">
        <v>199</v>
      </c>
      <c r="X8" s="625"/>
      <c r="Y8" s="625"/>
      <c r="Z8" s="625"/>
      <c r="AA8" s="625"/>
      <c r="AB8" s="625"/>
      <c r="AC8" s="625"/>
      <c r="AD8" s="629"/>
      <c r="AE8" s="630"/>
      <c r="AF8" s="630"/>
      <c r="AG8" s="617"/>
      <c r="AH8" s="610"/>
      <c r="AI8" s="611"/>
      <c r="AJ8" s="610"/>
      <c r="AK8" s="610"/>
      <c r="AL8" s="611"/>
      <c r="AM8" s="476"/>
      <c r="AN8" s="477"/>
      <c r="AO8" s="479"/>
      <c r="AP8" s="478"/>
      <c r="AQ8" s="477"/>
      <c r="AR8" s="479"/>
      <c r="AS8" s="358" t="str">
        <f t="shared" ref="AS8" si="1">IF(AM8="-", "-", IF(AP8="-", "-", IF(ABS(AP8)=0, "-", ROUND(100*(AM8-AP8)/ABS(AP8),1))))</f>
        <v>-</v>
      </c>
      <c r="AT8" s="358"/>
      <c r="AU8" s="435"/>
      <c r="AV8" s="651"/>
      <c r="AW8" s="652"/>
      <c r="AX8" s="653"/>
    </row>
    <row r="9" spans="1:54" ht="12.75" customHeight="1">
      <c r="A9" s="190"/>
      <c r="B9" s="41"/>
      <c r="C9" s="374" t="s">
        <v>200</v>
      </c>
      <c r="D9" s="375"/>
      <c r="E9" s="375"/>
      <c r="F9" s="376"/>
      <c r="G9" s="326"/>
      <c r="H9" s="313"/>
      <c r="I9" s="313"/>
      <c r="J9" s="312"/>
      <c r="K9" s="313"/>
      <c r="L9" s="314"/>
      <c r="M9" s="319" t="str">
        <f t="shared" si="0"/>
        <v>-</v>
      </c>
      <c r="N9" s="319"/>
      <c r="O9" s="320"/>
      <c r="P9" s="303"/>
      <c r="Q9" s="304"/>
      <c r="R9" s="304"/>
      <c r="S9" s="304"/>
      <c r="T9" s="304"/>
      <c r="U9" s="305"/>
      <c r="V9" s="15"/>
      <c r="W9" s="190"/>
      <c r="X9" s="372" t="s">
        <v>201</v>
      </c>
      <c r="Y9" s="373"/>
      <c r="Z9" s="373"/>
      <c r="AA9" s="373"/>
      <c r="AB9" s="373"/>
      <c r="AC9" s="373"/>
      <c r="AD9" s="627"/>
      <c r="AE9" s="628"/>
      <c r="AF9" s="628"/>
      <c r="AG9" s="618"/>
      <c r="AH9" s="612"/>
      <c r="AI9" s="613"/>
      <c r="AJ9" s="612"/>
      <c r="AK9" s="612"/>
      <c r="AL9" s="613"/>
      <c r="AM9" s="326"/>
      <c r="AN9" s="313"/>
      <c r="AO9" s="314"/>
      <c r="AP9" s="312"/>
      <c r="AQ9" s="313"/>
      <c r="AR9" s="314"/>
      <c r="AS9" s="319" t="str">
        <f t="shared" ref="AS9:AS60" si="2">IF(AM9="-", "-", IF(AP9="-", "-", IF(ABS(AP9)=0, "-", ROUND(100*(AM9-AP9)/ABS(AP9),1))))</f>
        <v>-</v>
      </c>
      <c r="AT9" s="319"/>
      <c r="AU9" s="320"/>
      <c r="AV9" s="643"/>
      <c r="AW9" s="644"/>
      <c r="AX9" s="645"/>
    </row>
    <row r="10" spans="1:54" ht="12.75" customHeight="1">
      <c r="A10" s="16"/>
      <c r="B10" s="41"/>
      <c r="C10" s="374" t="s">
        <v>202</v>
      </c>
      <c r="D10" s="375"/>
      <c r="E10" s="375"/>
      <c r="F10" s="376"/>
      <c r="G10" s="326"/>
      <c r="H10" s="313"/>
      <c r="I10" s="313"/>
      <c r="J10" s="312"/>
      <c r="K10" s="313"/>
      <c r="L10" s="314"/>
      <c r="M10" s="319" t="str">
        <f t="shared" si="0"/>
        <v>-</v>
      </c>
      <c r="N10" s="319"/>
      <c r="O10" s="320"/>
      <c r="P10" s="303"/>
      <c r="Q10" s="304"/>
      <c r="R10" s="304"/>
      <c r="S10" s="304"/>
      <c r="T10" s="304"/>
      <c r="U10" s="305"/>
      <c r="V10" s="15"/>
      <c r="W10" s="190"/>
      <c r="X10" s="41"/>
      <c r="Y10" s="43"/>
      <c r="Z10" s="374" t="s">
        <v>203</v>
      </c>
      <c r="AA10" s="375"/>
      <c r="AB10" s="375"/>
      <c r="AC10" s="376"/>
      <c r="AD10" s="627"/>
      <c r="AE10" s="628"/>
      <c r="AF10" s="628"/>
      <c r="AG10" s="618"/>
      <c r="AH10" s="612"/>
      <c r="AI10" s="613"/>
      <c r="AJ10" s="612"/>
      <c r="AK10" s="612"/>
      <c r="AL10" s="613"/>
      <c r="AM10" s="326"/>
      <c r="AN10" s="313"/>
      <c r="AO10" s="314"/>
      <c r="AP10" s="312"/>
      <c r="AQ10" s="313"/>
      <c r="AR10" s="314"/>
      <c r="AS10" s="319" t="str">
        <f t="shared" si="2"/>
        <v>-</v>
      </c>
      <c r="AT10" s="319"/>
      <c r="AU10" s="320"/>
      <c r="AV10" s="643"/>
      <c r="AW10" s="644"/>
      <c r="AX10" s="645"/>
    </row>
    <row r="11" spans="1:54" ht="12.75" customHeight="1">
      <c r="A11" s="190"/>
      <c r="B11" s="372" t="s">
        <v>204</v>
      </c>
      <c r="C11" s="373"/>
      <c r="D11" s="373"/>
      <c r="E11" s="373"/>
      <c r="F11" s="373"/>
      <c r="G11" s="326"/>
      <c r="H11" s="313"/>
      <c r="I11" s="313"/>
      <c r="J11" s="312"/>
      <c r="K11" s="313"/>
      <c r="L11" s="314"/>
      <c r="M11" s="319" t="str">
        <f t="shared" si="0"/>
        <v>-</v>
      </c>
      <c r="N11" s="319"/>
      <c r="O11" s="320"/>
      <c r="P11" s="303"/>
      <c r="Q11" s="304"/>
      <c r="R11" s="304"/>
      <c r="S11" s="304"/>
      <c r="T11" s="304"/>
      <c r="U11" s="305"/>
      <c r="V11" s="15"/>
      <c r="W11" s="190"/>
      <c r="X11" s="41"/>
      <c r="Y11" s="374" t="s">
        <v>205</v>
      </c>
      <c r="Z11" s="375"/>
      <c r="AA11" s="375"/>
      <c r="AB11" s="375"/>
      <c r="AC11" s="376"/>
      <c r="AD11" s="627"/>
      <c r="AE11" s="628"/>
      <c r="AF11" s="628"/>
      <c r="AG11" s="618"/>
      <c r="AH11" s="612"/>
      <c r="AI11" s="613"/>
      <c r="AJ11" s="612"/>
      <c r="AK11" s="612"/>
      <c r="AL11" s="613"/>
      <c r="AM11" s="686"/>
      <c r="AN11" s="687"/>
      <c r="AO11" s="687"/>
      <c r="AP11" s="687"/>
      <c r="AQ11" s="687"/>
      <c r="AR11" s="687"/>
      <c r="AS11" s="319" t="str">
        <f t="shared" ref="AS11:AS24" si="3">IF(AM11="-", "-", IF(AP11="-", "-", IF(ABS(AP11)=0, "-", ROUND(100*(AM11-AP11)/ABS(AP11),1))))</f>
        <v>-</v>
      </c>
      <c r="AT11" s="319"/>
      <c r="AU11" s="320"/>
      <c r="AV11" s="643"/>
      <c r="AW11" s="644"/>
      <c r="AX11" s="645"/>
    </row>
    <row r="12" spans="1:54" ht="12.75" customHeight="1">
      <c r="A12" s="190"/>
      <c r="B12" s="372" t="s">
        <v>206</v>
      </c>
      <c r="C12" s="373"/>
      <c r="D12" s="373"/>
      <c r="E12" s="373"/>
      <c r="F12" s="373"/>
      <c r="G12" s="326"/>
      <c r="H12" s="313"/>
      <c r="I12" s="313"/>
      <c r="J12" s="312"/>
      <c r="K12" s="313"/>
      <c r="L12" s="314"/>
      <c r="M12" s="319" t="str">
        <f t="shared" si="0"/>
        <v>-</v>
      </c>
      <c r="N12" s="319"/>
      <c r="O12" s="320"/>
      <c r="P12" s="303"/>
      <c r="Q12" s="304"/>
      <c r="R12" s="304"/>
      <c r="S12" s="304"/>
      <c r="T12" s="304"/>
      <c r="U12" s="305"/>
      <c r="V12" s="15"/>
      <c r="W12" s="190"/>
      <c r="X12" s="41"/>
      <c r="Y12" s="374" t="s">
        <v>207</v>
      </c>
      <c r="Z12" s="375"/>
      <c r="AA12" s="375"/>
      <c r="AB12" s="375"/>
      <c r="AC12" s="376"/>
      <c r="AD12" s="631"/>
      <c r="AE12" s="632"/>
      <c r="AF12" s="633"/>
      <c r="AG12" s="614"/>
      <c r="AH12" s="615"/>
      <c r="AI12" s="619"/>
      <c r="AJ12" s="614"/>
      <c r="AK12" s="615"/>
      <c r="AL12" s="616"/>
      <c r="AM12" s="686"/>
      <c r="AN12" s="687"/>
      <c r="AO12" s="687"/>
      <c r="AP12" s="687"/>
      <c r="AQ12" s="687"/>
      <c r="AR12" s="687"/>
      <c r="AS12" s="319" t="str">
        <f t="shared" si="3"/>
        <v>-</v>
      </c>
      <c r="AT12" s="319"/>
      <c r="AU12" s="320"/>
      <c r="AV12" s="643"/>
      <c r="AW12" s="644"/>
      <c r="AX12" s="645"/>
    </row>
    <row r="13" spans="1:54" ht="12.75" customHeight="1">
      <c r="A13" s="190"/>
      <c r="B13" s="372" t="s">
        <v>208</v>
      </c>
      <c r="C13" s="373"/>
      <c r="D13" s="373"/>
      <c r="E13" s="373"/>
      <c r="F13" s="373"/>
      <c r="G13" s="326"/>
      <c r="H13" s="313"/>
      <c r="I13" s="313"/>
      <c r="J13" s="312"/>
      <c r="K13" s="313"/>
      <c r="L13" s="314"/>
      <c r="M13" s="319" t="str">
        <f t="shared" si="0"/>
        <v>-</v>
      </c>
      <c r="N13" s="319"/>
      <c r="O13" s="320"/>
      <c r="P13" s="303"/>
      <c r="Q13" s="304"/>
      <c r="R13" s="304"/>
      <c r="S13" s="304"/>
      <c r="T13" s="304"/>
      <c r="U13" s="305"/>
      <c r="V13" s="15"/>
      <c r="W13" s="190"/>
      <c r="X13" s="41"/>
      <c r="Y13" s="374" t="s">
        <v>209</v>
      </c>
      <c r="Z13" s="375"/>
      <c r="AA13" s="375"/>
      <c r="AB13" s="375"/>
      <c r="AC13" s="376"/>
      <c r="AD13" s="627"/>
      <c r="AE13" s="628"/>
      <c r="AF13" s="628"/>
      <c r="AG13" s="618"/>
      <c r="AH13" s="612"/>
      <c r="AI13" s="613"/>
      <c r="AJ13" s="612"/>
      <c r="AK13" s="612"/>
      <c r="AL13" s="613"/>
      <c r="AM13" s="686"/>
      <c r="AN13" s="687"/>
      <c r="AO13" s="687"/>
      <c r="AP13" s="687"/>
      <c r="AQ13" s="687"/>
      <c r="AR13" s="687"/>
      <c r="AS13" s="319" t="str">
        <f t="shared" si="3"/>
        <v>-</v>
      </c>
      <c r="AT13" s="319"/>
      <c r="AU13" s="320"/>
      <c r="AV13" s="643"/>
      <c r="AW13" s="644"/>
      <c r="AX13" s="645"/>
    </row>
    <row r="14" spans="1:54" ht="12.75" customHeight="1">
      <c r="A14" s="190"/>
      <c r="B14" s="372" t="s">
        <v>210</v>
      </c>
      <c r="C14" s="373"/>
      <c r="D14" s="373"/>
      <c r="E14" s="373"/>
      <c r="F14" s="373"/>
      <c r="G14" s="326"/>
      <c r="H14" s="313"/>
      <c r="I14" s="313"/>
      <c r="J14" s="312"/>
      <c r="K14" s="313"/>
      <c r="L14" s="314"/>
      <c r="M14" s="319" t="str">
        <f t="shared" ref="M14:M27" si="4">IF(G14="-", "-", IF(J14="-", "-", IF(ABS(J14)=0, "-", ROUND(100*(G14-J14)/ABS(J14),1))))</f>
        <v>-</v>
      </c>
      <c r="N14" s="319"/>
      <c r="O14" s="320"/>
      <c r="P14" s="303"/>
      <c r="Q14" s="304"/>
      <c r="R14" s="304"/>
      <c r="S14" s="304"/>
      <c r="T14" s="304"/>
      <c r="U14" s="305"/>
      <c r="V14" s="15"/>
      <c r="W14" s="190"/>
      <c r="X14" s="41"/>
      <c r="Y14" s="374" t="s">
        <v>211</v>
      </c>
      <c r="Z14" s="375"/>
      <c r="AA14" s="375"/>
      <c r="AB14" s="375"/>
      <c r="AC14" s="376"/>
      <c r="AD14" s="627"/>
      <c r="AE14" s="628"/>
      <c r="AF14" s="634"/>
      <c r="AG14" s="618"/>
      <c r="AH14" s="612"/>
      <c r="AI14" s="613"/>
      <c r="AJ14" s="618"/>
      <c r="AK14" s="612"/>
      <c r="AL14" s="635"/>
      <c r="AM14" s="686"/>
      <c r="AN14" s="687"/>
      <c r="AO14" s="687"/>
      <c r="AP14" s="687"/>
      <c r="AQ14" s="687"/>
      <c r="AR14" s="687"/>
      <c r="AS14" s="319" t="str">
        <f t="shared" si="3"/>
        <v>-</v>
      </c>
      <c r="AT14" s="319"/>
      <c r="AU14" s="320"/>
      <c r="AV14" s="643"/>
      <c r="AW14" s="644"/>
      <c r="AX14" s="645"/>
    </row>
    <row r="15" spans="1:54" ht="12.75" customHeight="1">
      <c r="A15" s="190"/>
      <c r="B15" s="372" t="s">
        <v>212</v>
      </c>
      <c r="C15" s="373"/>
      <c r="D15" s="373"/>
      <c r="E15" s="373"/>
      <c r="F15" s="373"/>
      <c r="G15" s="326"/>
      <c r="H15" s="313"/>
      <c r="I15" s="313"/>
      <c r="J15" s="312"/>
      <c r="K15" s="313"/>
      <c r="L15" s="314"/>
      <c r="M15" s="319" t="str">
        <f t="shared" si="4"/>
        <v>-</v>
      </c>
      <c r="N15" s="319"/>
      <c r="O15" s="320"/>
      <c r="P15" s="303"/>
      <c r="Q15" s="304"/>
      <c r="R15" s="304"/>
      <c r="S15" s="304"/>
      <c r="T15" s="304"/>
      <c r="U15" s="305"/>
      <c r="V15" s="15"/>
      <c r="W15" s="190"/>
      <c r="X15" s="41"/>
      <c r="Y15" s="374" t="s">
        <v>213</v>
      </c>
      <c r="Z15" s="375"/>
      <c r="AA15" s="375"/>
      <c r="AB15" s="375"/>
      <c r="AC15" s="376"/>
      <c r="AD15" s="627"/>
      <c r="AE15" s="628"/>
      <c r="AF15" s="634"/>
      <c r="AG15" s="618"/>
      <c r="AH15" s="612"/>
      <c r="AI15" s="613"/>
      <c r="AJ15" s="618"/>
      <c r="AK15" s="612"/>
      <c r="AL15" s="635"/>
      <c r="AM15" s="686"/>
      <c r="AN15" s="687"/>
      <c r="AO15" s="687"/>
      <c r="AP15" s="687"/>
      <c r="AQ15" s="687"/>
      <c r="AR15" s="687"/>
      <c r="AS15" s="319" t="str">
        <f t="shared" si="3"/>
        <v>-</v>
      </c>
      <c r="AT15" s="319"/>
      <c r="AU15" s="320"/>
      <c r="AV15" s="643"/>
      <c r="AW15" s="644"/>
      <c r="AX15" s="645"/>
    </row>
    <row r="16" spans="1:54" ht="12.75" customHeight="1">
      <c r="A16" s="190"/>
      <c r="B16" s="372" t="s">
        <v>214</v>
      </c>
      <c r="C16" s="373"/>
      <c r="D16" s="373"/>
      <c r="E16" s="373"/>
      <c r="F16" s="373"/>
      <c r="G16" s="326"/>
      <c r="H16" s="313"/>
      <c r="I16" s="313"/>
      <c r="J16" s="312"/>
      <c r="K16" s="313"/>
      <c r="L16" s="314"/>
      <c r="M16" s="319" t="str">
        <f t="shared" si="4"/>
        <v>-</v>
      </c>
      <c r="N16" s="319"/>
      <c r="O16" s="320"/>
      <c r="P16" s="303"/>
      <c r="Q16" s="304"/>
      <c r="R16" s="304"/>
      <c r="S16" s="304"/>
      <c r="T16" s="304"/>
      <c r="U16" s="305"/>
      <c r="V16" s="15"/>
      <c r="W16" s="190"/>
      <c r="X16" s="41"/>
      <c r="Y16" s="374" t="s">
        <v>215</v>
      </c>
      <c r="Z16" s="375"/>
      <c r="AA16" s="375"/>
      <c r="AB16" s="375"/>
      <c r="AC16" s="376"/>
      <c r="AD16" s="627"/>
      <c r="AE16" s="628"/>
      <c r="AF16" s="634"/>
      <c r="AG16" s="618"/>
      <c r="AH16" s="612"/>
      <c r="AI16" s="613"/>
      <c r="AJ16" s="618"/>
      <c r="AK16" s="612"/>
      <c r="AL16" s="635"/>
      <c r="AM16" s="686"/>
      <c r="AN16" s="687"/>
      <c r="AO16" s="687"/>
      <c r="AP16" s="687"/>
      <c r="AQ16" s="687"/>
      <c r="AR16" s="687"/>
      <c r="AS16" s="319" t="str">
        <f t="shared" si="3"/>
        <v>-</v>
      </c>
      <c r="AT16" s="319"/>
      <c r="AU16" s="320"/>
      <c r="AV16" s="643"/>
      <c r="AW16" s="644"/>
      <c r="AX16" s="645"/>
    </row>
    <row r="17" spans="1:50" ht="12.75" customHeight="1">
      <c r="A17" s="9"/>
      <c r="B17" s="456" t="s">
        <v>216</v>
      </c>
      <c r="C17" s="437"/>
      <c r="D17" s="437"/>
      <c r="E17" s="437"/>
      <c r="F17" s="437"/>
      <c r="G17" s="326"/>
      <c r="H17" s="313"/>
      <c r="I17" s="313"/>
      <c r="J17" s="321"/>
      <c r="K17" s="322"/>
      <c r="L17" s="323"/>
      <c r="M17" s="316" t="str">
        <f t="shared" si="4"/>
        <v>-</v>
      </c>
      <c r="N17" s="316"/>
      <c r="O17" s="317"/>
      <c r="P17" s="306"/>
      <c r="Q17" s="307"/>
      <c r="R17" s="307"/>
      <c r="S17" s="307"/>
      <c r="T17" s="307"/>
      <c r="U17" s="308"/>
      <c r="V17" s="15"/>
      <c r="W17" s="190"/>
      <c r="X17" s="41"/>
      <c r="Y17" s="374" t="s">
        <v>217</v>
      </c>
      <c r="Z17" s="375"/>
      <c r="AA17" s="375"/>
      <c r="AB17" s="375"/>
      <c r="AC17" s="376"/>
      <c r="AD17" s="627"/>
      <c r="AE17" s="628"/>
      <c r="AF17" s="634"/>
      <c r="AG17" s="618"/>
      <c r="AH17" s="612"/>
      <c r="AI17" s="613"/>
      <c r="AJ17" s="618"/>
      <c r="AK17" s="612"/>
      <c r="AL17" s="635"/>
      <c r="AM17" s="686"/>
      <c r="AN17" s="687"/>
      <c r="AO17" s="687"/>
      <c r="AP17" s="687"/>
      <c r="AQ17" s="687"/>
      <c r="AR17" s="687"/>
      <c r="AS17" s="319" t="str">
        <f t="shared" si="3"/>
        <v>-</v>
      </c>
      <c r="AT17" s="319"/>
      <c r="AU17" s="320"/>
      <c r="AV17" s="643"/>
      <c r="AW17" s="644"/>
      <c r="AX17" s="645"/>
    </row>
    <row r="18" spans="1:50" ht="12.75" customHeight="1">
      <c r="A18" s="387" t="s">
        <v>218</v>
      </c>
      <c r="B18" s="388"/>
      <c r="C18" s="388"/>
      <c r="D18" s="388"/>
      <c r="E18" s="388"/>
      <c r="F18" s="389"/>
      <c r="G18" s="476"/>
      <c r="H18" s="477"/>
      <c r="I18" s="477"/>
      <c r="J18" s="478"/>
      <c r="K18" s="477"/>
      <c r="L18" s="479"/>
      <c r="M18" s="358" t="str">
        <f t="shared" si="4"/>
        <v>-</v>
      </c>
      <c r="N18" s="358"/>
      <c r="O18" s="435"/>
      <c r="P18" s="333"/>
      <c r="Q18" s="334"/>
      <c r="R18" s="334"/>
      <c r="S18" s="334"/>
      <c r="T18" s="334"/>
      <c r="U18" s="335"/>
      <c r="V18" s="15"/>
      <c r="W18" s="190"/>
      <c r="X18" s="41"/>
      <c r="Y18" s="374" t="s">
        <v>219</v>
      </c>
      <c r="Z18" s="375"/>
      <c r="AA18" s="375"/>
      <c r="AB18" s="375"/>
      <c r="AC18" s="376"/>
      <c r="AD18" s="627"/>
      <c r="AE18" s="628"/>
      <c r="AF18" s="634"/>
      <c r="AG18" s="618"/>
      <c r="AH18" s="612"/>
      <c r="AI18" s="613"/>
      <c r="AJ18" s="618"/>
      <c r="AK18" s="612"/>
      <c r="AL18" s="635"/>
      <c r="AM18" s="686"/>
      <c r="AN18" s="687"/>
      <c r="AO18" s="687"/>
      <c r="AP18" s="687"/>
      <c r="AQ18" s="687"/>
      <c r="AR18" s="687"/>
      <c r="AS18" s="319" t="str">
        <f t="shared" si="3"/>
        <v>-</v>
      </c>
      <c r="AT18" s="319"/>
      <c r="AU18" s="320"/>
      <c r="AV18" s="643"/>
      <c r="AW18" s="644"/>
      <c r="AX18" s="645"/>
    </row>
    <row r="19" spans="1:50" ht="12.75" customHeight="1">
      <c r="A19" s="190"/>
      <c r="B19" s="374" t="s">
        <v>220</v>
      </c>
      <c r="C19" s="375"/>
      <c r="D19" s="375"/>
      <c r="E19" s="375"/>
      <c r="F19" s="375"/>
      <c r="G19" s="326"/>
      <c r="H19" s="313"/>
      <c r="I19" s="313"/>
      <c r="J19" s="312"/>
      <c r="K19" s="313"/>
      <c r="L19" s="314"/>
      <c r="M19" s="319" t="str">
        <f t="shared" si="4"/>
        <v>-</v>
      </c>
      <c r="N19" s="319"/>
      <c r="O19" s="320"/>
      <c r="P19" s="303"/>
      <c r="Q19" s="304"/>
      <c r="R19" s="304"/>
      <c r="S19" s="304"/>
      <c r="T19" s="304"/>
      <c r="U19" s="305"/>
      <c r="V19" s="15"/>
      <c r="W19" s="190"/>
      <c r="X19" s="41"/>
      <c r="Y19" s="470" t="s">
        <v>221</v>
      </c>
      <c r="Z19" s="471"/>
      <c r="AA19" s="471"/>
      <c r="AB19" s="471"/>
      <c r="AC19" s="472"/>
      <c r="AD19" s="627"/>
      <c r="AE19" s="628"/>
      <c r="AF19" s="628"/>
      <c r="AG19" s="618"/>
      <c r="AH19" s="612"/>
      <c r="AI19" s="613"/>
      <c r="AJ19" s="612"/>
      <c r="AK19" s="612"/>
      <c r="AL19" s="613"/>
      <c r="AM19" s="686"/>
      <c r="AN19" s="687"/>
      <c r="AO19" s="687"/>
      <c r="AP19" s="687"/>
      <c r="AQ19" s="687"/>
      <c r="AR19" s="687"/>
      <c r="AS19" s="319" t="str">
        <f t="shared" si="3"/>
        <v>-</v>
      </c>
      <c r="AT19" s="319"/>
      <c r="AU19" s="320"/>
      <c r="AV19" s="643"/>
      <c r="AW19" s="644"/>
      <c r="AX19" s="645"/>
    </row>
    <row r="20" spans="1:50" ht="12.75" customHeight="1">
      <c r="A20" s="190"/>
      <c r="B20" s="374" t="s">
        <v>222</v>
      </c>
      <c r="C20" s="375"/>
      <c r="D20" s="375"/>
      <c r="E20" s="375"/>
      <c r="F20" s="375"/>
      <c r="G20" s="326"/>
      <c r="H20" s="313"/>
      <c r="I20" s="313"/>
      <c r="J20" s="312"/>
      <c r="K20" s="313"/>
      <c r="L20" s="314"/>
      <c r="M20" s="319" t="str">
        <f t="shared" si="4"/>
        <v>-</v>
      </c>
      <c r="N20" s="319"/>
      <c r="O20" s="320"/>
      <c r="P20" s="303"/>
      <c r="Q20" s="304"/>
      <c r="R20" s="304"/>
      <c r="S20" s="304"/>
      <c r="T20" s="304"/>
      <c r="U20" s="305"/>
      <c r="V20" s="15"/>
      <c r="W20" s="190"/>
      <c r="X20" s="41"/>
      <c r="Y20" s="374" t="s">
        <v>223</v>
      </c>
      <c r="Z20" s="375"/>
      <c r="AA20" s="375"/>
      <c r="AB20" s="375"/>
      <c r="AC20" s="376"/>
      <c r="AD20" s="627"/>
      <c r="AE20" s="628"/>
      <c r="AF20" s="628"/>
      <c r="AG20" s="618"/>
      <c r="AH20" s="612"/>
      <c r="AI20" s="613"/>
      <c r="AJ20" s="612"/>
      <c r="AK20" s="612"/>
      <c r="AL20" s="613"/>
      <c r="AM20" s="686"/>
      <c r="AN20" s="687"/>
      <c r="AO20" s="687"/>
      <c r="AP20" s="687"/>
      <c r="AQ20" s="687"/>
      <c r="AR20" s="687"/>
      <c r="AS20" s="319" t="str">
        <f t="shared" si="3"/>
        <v>-</v>
      </c>
      <c r="AT20" s="319"/>
      <c r="AU20" s="320"/>
      <c r="AV20" s="643"/>
      <c r="AW20" s="644"/>
      <c r="AX20" s="645"/>
    </row>
    <row r="21" spans="1:50" ht="12.75" customHeight="1">
      <c r="A21" s="190"/>
      <c r="B21" s="374" t="s">
        <v>224</v>
      </c>
      <c r="C21" s="375"/>
      <c r="D21" s="375"/>
      <c r="E21" s="375"/>
      <c r="F21" s="375"/>
      <c r="G21" s="326"/>
      <c r="H21" s="313"/>
      <c r="I21" s="313"/>
      <c r="J21" s="312"/>
      <c r="K21" s="313"/>
      <c r="L21" s="314"/>
      <c r="M21" s="319" t="str">
        <f t="shared" si="4"/>
        <v>-</v>
      </c>
      <c r="N21" s="319"/>
      <c r="O21" s="320"/>
      <c r="P21" s="303"/>
      <c r="Q21" s="304"/>
      <c r="R21" s="304"/>
      <c r="S21" s="304"/>
      <c r="T21" s="304"/>
      <c r="U21" s="305"/>
      <c r="V21" s="15"/>
      <c r="W21" s="16"/>
      <c r="X21" s="41"/>
      <c r="Y21" s="374" t="s">
        <v>225</v>
      </c>
      <c r="Z21" s="375"/>
      <c r="AA21" s="375"/>
      <c r="AB21" s="375"/>
      <c r="AC21" s="376"/>
      <c r="AD21" s="627"/>
      <c r="AE21" s="628"/>
      <c r="AF21" s="628"/>
      <c r="AG21" s="618"/>
      <c r="AH21" s="612"/>
      <c r="AI21" s="613"/>
      <c r="AJ21" s="612"/>
      <c r="AK21" s="612"/>
      <c r="AL21" s="613"/>
      <c r="AM21" s="686"/>
      <c r="AN21" s="687"/>
      <c r="AO21" s="687"/>
      <c r="AP21" s="687"/>
      <c r="AQ21" s="687"/>
      <c r="AR21" s="687"/>
      <c r="AS21" s="319" t="str">
        <f t="shared" si="3"/>
        <v>-</v>
      </c>
      <c r="AT21" s="319"/>
      <c r="AU21" s="320"/>
      <c r="AV21" s="643"/>
      <c r="AW21" s="644"/>
      <c r="AX21" s="645"/>
    </row>
    <row r="22" spans="1:50" ht="12.75" customHeight="1">
      <c r="A22" s="190"/>
      <c r="B22" s="374" t="s">
        <v>226</v>
      </c>
      <c r="C22" s="375"/>
      <c r="D22" s="375"/>
      <c r="E22" s="375"/>
      <c r="F22" s="375"/>
      <c r="G22" s="326"/>
      <c r="H22" s="313"/>
      <c r="I22" s="313"/>
      <c r="J22" s="312"/>
      <c r="K22" s="313"/>
      <c r="L22" s="314"/>
      <c r="M22" s="319" t="str">
        <f t="shared" si="4"/>
        <v>-</v>
      </c>
      <c r="N22" s="319"/>
      <c r="O22" s="320"/>
      <c r="P22" s="303"/>
      <c r="Q22" s="304"/>
      <c r="R22" s="304"/>
      <c r="S22" s="304"/>
      <c r="T22" s="304"/>
      <c r="U22" s="305"/>
      <c r="V22" s="15"/>
      <c r="W22" s="16"/>
      <c r="X22" s="41"/>
      <c r="Y22" s="374" t="s">
        <v>227</v>
      </c>
      <c r="Z22" s="375"/>
      <c r="AA22" s="375"/>
      <c r="AB22" s="375"/>
      <c r="AC22" s="376"/>
      <c r="AD22" s="627"/>
      <c r="AE22" s="628"/>
      <c r="AF22" s="634"/>
      <c r="AG22" s="618"/>
      <c r="AH22" s="612"/>
      <c r="AI22" s="613"/>
      <c r="AJ22" s="618"/>
      <c r="AK22" s="612"/>
      <c r="AL22" s="635"/>
      <c r="AM22" s="686"/>
      <c r="AN22" s="687"/>
      <c r="AO22" s="687"/>
      <c r="AP22" s="687"/>
      <c r="AQ22" s="687"/>
      <c r="AR22" s="687"/>
      <c r="AS22" s="319" t="str">
        <f t="shared" si="3"/>
        <v>-</v>
      </c>
      <c r="AT22" s="319"/>
      <c r="AU22" s="320"/>
      <c r="AV22" s="643"/>
      <c r="AW22" s="644"/>
      <c r="AX22" s="645"/>
    </row>
    <row r="23" spans="1:50" ht="12.75" customHeight="1">
      <c r="A23" s="9"/>
      <c r="B23" s="391" t="s">
        <v>228</v>
      </c>
      <c r="C23" s="392"/>
      <c r="D23" s="392"/>
      <c r="E23" s="392"/>
      <c r="F23" s="392"/>
      <c r="G23" s="467"/>
      <c r="H23" s="322"/>
      <c r="I23" s="323"/>
      <c r="J23" s="321"/>
      <c r="K23" s="322"/>
      <c r="L23" s="323"/>
      <c r="M23" s="316" t="str">
        <f t="shared" si="4"/>
        <v>-</v>
      </c>
      <c r="N23" s="316"/>
      <c r="O23" s="317"/>
      <c r="P23" s="294"/>
      <c r="Q23" s="295"/>
      <c r="R23" s="295"/>
      <c r="S23" s="295"/>
      <c r="T23" s="295"/>
      <c r="U23" s="296"/>
      <c r="V23" s="15"/>
      <c r="W23" s="16"/>
      <c r="X23" s="41"/>
      <c r="Y23" s="374" t="s">
        <v>229</v>
      </c>
      <c r="Z23" s="375"/>
      <c r="AA23" s="375"/>
      <c r="AB23" s="375"/>
      <c r="AC23" s="376"/>
      <c r="AD23" s="627"/>
      <c r="AE23" s="628"/>
      <c r="AF23" s="628"/>
      <c r="AG23" s="618"/>
      <c r="AH23" s="612"/>
      <c r="AI23" s="613"/>
      <c r="AJ23" s="612"/>
      <c r="AK23" s="612"/>
      <c r="AL23" s="613"/>
      <c r="AM23" s="686"/>
      <c r="AN23" s="687"/>
      <c r="AO23" s="687"/>
      <c r="AP23" s="687"/>
      <c r="AQ23" s="687"/>
      <c r="AR23" s="687"/>
      <c r="AS23" s="319" t="str">
        <f t="shared" si="3"/>
        <v>-</v>
      </c>
      <c r="AT23" s="319"/>
      <c r="AU23" s="320"/>
      <c r="AV23" s="643"/>
      <c r="AW23" s="644"/>
      <c r="AX23" s="645"/>
    </row>
    <row r="24" spans="1:50" ht="12.75" customHeight="1">
      <c r="A24" s="620" t="s">
        <v>230</v>
      </c>
      <c r="B24" s="621"/>
      <c r="C24" s="621"/>
      <c r="D24" s="621"/>
      <c r="E24" s="621"/>
      <c r="F24" s="621"/>
      <c r="G24" s="324"/>
      <c r="H24" s="325"/>
      <c r="I24" s="325"/>
      <c r="J24" s="512"/>
      <c r="K24" s="325"/>
      <c r="L24" s="513"/>
      <c r="M24" s="465" t="str">
        <f t="shared" si="4"/>
        <v>-</v>
      </c>
      <c r="N24" s="465"/>
      <c r="O24" s="466"/>
      <c r="P24" s="336"/>
      <c r="Q24" s="337"/>
      <c r="R24" s="337"/>
      <c r="S24" s="337"/>
      <c r="T24" s="337"/>
      <c r="U24" s="338"/>
      <c r="V24" s="15"/>
      <c r="W24" s="190"/>
      <c r="X24" s="41"/>
      <c r="Y24" s="374" t="s">
        <v>231</v>
      </c>
      <c r="Z24" s="375"/>
      <c r="AA24" s="375"/>
      <c r="AB24" s="375"/>
      <c r="AC24" s="376"/>
      <c r="AD24" s="627"/>
      <c r="AE24" s="628"/>
      <c r="AF24" s="628"/>
      <c r="AG24" s="618"/>
      <c r="AH24" s="612"/>
      <c r="AI24" s="613"/>
      <c r="AJ24" s="612"/>
      <c r="AK24" s="612"/>
      <c r="AL24" s="613"/>
      <c r="AM24" s="686"/>
      <c r="AN24" s="687"/>
      <c r="AO24" s="687"/>
      <c r="AP24" s="687"/>
      <c r="AQ24" s="687"/>
      <c r="AR24" s="687"/>
      <c r="AS24" s="319" t="str">
        <f t="shared" si="3"/>
        <v>-</v>
      </c>
      <c r="AT24" s="319"/>
      <c r="AU24" s="320"/>
      <c r="AV24" s="643"/>
      <c r="AW24" s="644"/>
      <c r="AX24" s="645"/>
    </row>
    <row r="25" spans="1:50" ht="12.75" customHeight="1">
      <c r="A25" s="393" t="s">
        <v>232</v>
      </c>
      <c r="B25" s="622"/>
      <c r="C25" s="374" t="s">
        <v>233</v>
      </c>
      <c r="D25" s="375"/>
      <c r="E25" s="375"/>
      <c r="F25" s="376"/>
      <c r="G25" s="326"/>
      <c r="H25" s="313"/>
      <c r="I25" s="313"/>
      <c r="J25" s="312"/>
      <c r="K25" s="313"/>
      <c r="L25" s="314"/>
      <c r="M25" s="319" t="str">
        <f t="shared" si="4"/>
        <v>-</v>
      </c>
      <c r="N25" s="319"/>
      <c r="O25" s="320"/>
      <c r="P25" s="303"/>
      <c r="Q25" s="304"/>
      <c r="R25" s="304"/>
      <c r="S25" s="304"/>
      <c r="T25" s="304"/>
      <c r="U25" s="305"/>
      <c r="V25" s="15"/>
      <c r="W25" s="190"/>
      <c r="X25" s="41"/>
      <c r="Y25" s="374" t="s">
        <v>152</v>
      </c>
      <c r="Z25" s="375"/>
      <c r="AA25" s="375"/>
      <c r="AB25" s="375"/>
      <c r="AC25" s="376"/>
      <c r="AD25" s="627"/>
      <c r="AE25" s="628"/>
      <c r="AF25" s="628"/>
      <c r="AG25" s="618"/>
      <c r="AH25" s="612"/>
      <c r="AI25" s="613"/>
      <c r="AJ25" s="612"/>
      <c r="AK25" s="612"/>
      <c r="AL25" s="613"/>
      <c r="AM25" s="686"/>
      <c r="AN25" s="687"/>
      <c r="AO25" s="687"/>
      <c r="AP25" s="687"/>
      <c r="AQ25" s="687"/>
      <c r="AR25" s="687"/>
      <c r="AS25" s="319" t="str">
        <f t="shared" si="2"/>
        <v>-</v>
      </c>
      <c r="AT25" s="319"/>
      <c r="AU25" s="320"/>
      <c r="AV25" s="643"/>
      <c r="AW25" s="644"/>
      <c r="AX25" s="645"/>
    </row>
    <row r="26" spans="1:50" ht="12.75" customHeight="1">
      <c r="A26" s="468"/>
      <c r="B26" s="623"/>
      <c r="C26" s="374" t="s">
        <v>234</v>
      </c>
      <c r="D26" s="375"/>
      <c r="E26" s="375"/>
      <c r="F26" s="376"/>
      <c r="G26" s="326"/>
      <c r="H26" s="313"/>
      <c r="I26" s="313"/>
      <c r="J26" s="312"/>
      <c r="K26" s="313"/>
      <c r="L26" s="314"/>
      <c r="M26" s="319" t="str">
        <f t="shared" si="4"/>
        <v>-</v>
      </c>
      <c r="N26" s="319"/>
      <c r="O26" s="320"/>
      <c r="P26" s="303"/>
      <c r="Q26" s="304"/>
      <c r="R26" s="304"/>
      <c r="S26" s="304"/>
      <c r="T26" s="304"/>
      <c r="U26" s="305"/>
      <c r="V26" s="15"/>
      <c r="W26" s="16"/>
      <c r="X26" s="372" t="s">
        <v>235</v>
      </c>
      <c r="Y26" s="373"/>
      <c r="Z26" s="373"/>
      <c r="AA26" s="373"/>
      <c r="AB26" s="373"/>
      <c r="AC26" s="373"/>
      <c r="AD26" s="627"/>
      <c r="AE26" s="628"/>
      <c r="AF26" s="628"/>
      <c r="AG26" s="618"/>
      <c r="AH26" s="612"/>
      <c r="AI26" s="613"/>
      <c r="AJ26" s="612"/>
      <c r="AK26" s="612"/>
      <c r="AL26" s="613"/>
      <c r="AM26" s="686"/>
      <c r="AN26" s="687"/>
      <c r="AO26" s="687"/>
      <c r="AP26" s="687"/>
      <c r="AQ26" s="687"/>
      <c r="AR26" s="687"/>
      <c r="AS26" s="319" t="str">
        <f t="shared" si="2"/>
        <v>-</v>
      </c>
      <c r="AT26" s="319"/>
      <c r="AU26" s="320"/>
      <c r="AV26" s="643"/>
      <c r="AW26" s="644"/>
      <c r="AX26" s="645"/>
    </row>
    <row r="27" spans="1:50" ht="12.75" customHeight="1">
      <c r="A27" s="436" t="s">
        <v>236</v>
      </c>
      <c r="B27" s="437"/>
      <c r="C27" s="437"/>
      <c r="D27" s="437"/>
      <c r="E27" s="437"/>
      <c r="F27" s="437"/>
      <c r="G27" s="467"/>
      <c r="H27" s="322"/>
      <c r="I27" s="323"/>
      <c r="J27" s="321"/>
      <c r="K27" s="322"/>
      <c r="L27" s="323"/>
      <c r="M27" s="316" t="str">
        <f t="shared" si="4"/>
        <v>-</v>
      </c>
      <c r="N27" s="316"/>
      <c r="O27" s="317"/>
      <c r="P27" s="294"/>
      <c r="Q27" s="295"/>
      <c r="R27" s="295"/>
      <c r="S27" s="295"/>
      <c r="T27" s="295"/>
      <c r="U27" s="296"/>
      <c r="V27" s="15"/>
      <c r="W27" s="190"/>
      <c r="X27" s="41"/>
      <c r="Y27" s="189"/>
      <c r="Z27" s="374" t="s">
        <v>203</v>
      </c>
      <c r="AA27" s="375"/>
      <c r="AB27" s="375"/>
      <c r="AC27" s="376"/>
      <c r="AD27" s="627"/>
      <c r="AE27" s="628"/>
      <c r="AF27" s="628"/>
      <c r="AG27" s="618"/>
      <c r="AH27" s="612"/>
      <c r="AI27" s="613"/>
      <c r="AJ27" s="612"/>
      <c r="AK27" s="612"/>
      <c r="AL27" s="613"/>
      <c r="AM27" s="686"/>
      <c r="AN27" s="687"/>
      <c r="AO27" s="687"/>
      <c r="AP27" s="687"/>
      <c r="AQ27" s="687"/>
      <c r="AR27" s="687"/>
      <c r="AS27" s="319" t="str">
        <f t="shared" si="2"/>
        <v>-</v>
      </c>
      <c r="AT27" s="319"/>
      <c r="AU27" s="320"/>
      <c r="AV27" s="643"/>
      <c r="AW27" s="644"/>
      <c r="AX27" s="645"/>
    </row>
    <row r="28" spans="1:50" ht="12.75" customHeight="1">
      <c r="U28"/>
      <c r="V28"/>
      <c r="W28" s="16"/>
      <c r="X28" s="41"/>
      <c r="Y28" s="374" t="s">
        <v>237</v>
      </c>
      <c r="Z28" s="375"/>
      <c r="AA28" s="375"/>
      <c r="AB28" s="375"/>
      <c r="AC28" s="375"/>
      <c r="AD28" s="579"/>
      <c r="AE28" s="580"/>
      <c r="AF28" s="580"/>
      <c r="AG28" s="580"/>
      <c r="AH28" s="580"/>
      <c r="AI28" s="580"/>
      <c r="AJ28" s="684" t="str">
        <f t="shared" ref="AJ28" si="5">IF(AD28="-", "-", IF(AG28="-", "-", IF(ABS(AG28)=0, "-", ROUND(100*(AD28-AG28)/ABS(AG28),1))))</f>
        <v>-</v>
      </c>
      <c r="AK28" s="684"/>
      <c r="AL28" s="685"/>
      <c r="AM28" s="686"/>
      <c r="AN28" s="687"/>
      <c r="AO28" s="687"/>
      <c r="AP28" s="687"/>
      <c r="AQ28" s="687"/>
      <c r="AR28" s="687"/>
      <c r="AS28" s="319" t="str">
        <f t="shared" si="2"/>
        <v>-</v>
      </c>
      <c r="AT28" s="319"/>
      <c r="AU28" s="320"/>
      <c r="AV28" s="643"/>
      <c r="AW28" s="644"/>
      <c r="AX28" s="645"/>
    </row>
    <row r="29" spans="1:50" ht="12.75" customHeight="1">
      <c r="W29" s="16"/>
      <c r="X29" s="41"/>
      <c r="Y29" s="374" t="s">
        <v>152</v>
      </c>
      <c r="Z29" s="375"/>
      <c r="AA29" s="375"/>
      <c r="AB29" s="375"/>
      <c r="AC29" s="375"/>
      <c r="AD29" s="636"/>
      <c r="AE29" s="637"/>
      <c r="AF29" s="637"/>
      <c r="AG29" s="638"/>
      <c r="AH29" s="638"/>
      <c r="AI29" s="638"/>
      <c r="AJ29" s="638"/>
      <c r="AK29" s="638"/>
      <c r="AL29" s="639"/>
      <c r="AM29" s="686"/>
      <c r="AN29" s="687"/>
      <c r="AO29" s="687"/>
      <c r="AP29" s="687"/>
      <c r="AQ29" s="687"/>
      <c r="AR29" s="687"/>
      <c r="AS29" s="319" t="str">
        <f t="shared" si="2"/>
        <v>-</v>
      </c>
      <c r="AT29" s="319"/>
      <c r="AU29" s="320"/>
      <c r="AV29" s="643"/>
      <c r="AW29" s="644"/>
      <c r="AX29" s="645"/>
    </row>
    <row r="30" spans="1:50" ht="12.75" customHeight="1">
      <c r="W30" s="16"/>
      <c r="X30" s="372" t="s">
        <v>202</v>
      </c>
      <c r="Y30" s="373"/>
      <c r="Z30" s="373"/>
      <c r="AA30" s="373"/>
      <c r="AB30" s="373"/>
      <c r="AC30" s="390"/>
      <c r="AD30" s="636"/>
      <c r="AE30" s="637"/>
      <c r="AF30" s="637"/>
      <c r="AG30" s="638"/>
      <c r="AH30" s="638"/>
      <c r="AI30" s="638"/>
      <c r="AJ30" s="638"/>
      <c r="AK30" s="638"/>
      <c r="AL30" s="639"/>
      <c r="AM30" s="686"/>
      <c r="AN30" s="687"/>
      <c r="AO30" s="687"/>
      <c r="AP30" s="687"/>
      <c r="AQ30" s="687"/>
      <c r="AR30" s="687"/>
      <c r="AS30" s="319" t="str">
        <f t="shared" si="2"/>
        <v>-</v>
      </c>
      <c r="AT30" s="319"/>
      <c r="AU30" s="320"/>
      <c r="AV30" s="643"/>
      <c r="AW30" s="644"/>
      <c r="AX30" s="645"/>
    </row>
    <row r="31" spans="1:50" ht="12.75" customHeight="1">
      <c r="W31" s="190"/>
      <c r="X31" s="41"/>
      <c r="Y31" s="189"/>
      <c r="Z31" s="374" t="s">
        <v>203</v>
      </c>
      <c r="AA31" s="375"/>
      <c r="AB31" s="375"/>
      <c r="AC31" s="376"/>
      <c r="AD31" s="636"/>
      <c r="AE31" s="637"/>
      <c r="AF31" s="637"/>
      <c r="AG31" s="638"/>
      <c r="AH31" s="638"/>
      <c r="AI31" s="638"/>
      <c r="AJ31" s="638"/>
      <c r="AK31" s="638"/>
      <c r="AL31" s="639"/>
      <c r="AM31" s="686"/>
      <c r="AN31" s="687"/>
      <c r="AO31" s="687"/>
      <c r="AP31" s="687"/>
      <c r="AQ31" s="687"/>
      <c r="AR31" s="687"/>
      <c r="AS31" s="319" t="str">
        <f t="shared" si="2"/>
        <v>-</v>
      </c>
      <c r="AT31" s="319"/>
      <c r="AU31" s="320"/>
      <c r="AV31" s="643"/>
      <c r="AW31" s="644"/>
      <c r="AX31" s="645"/>
    </row>
    <row r="32" spans="1:50" ht="12.75" customHeight="1">
      <c r="W32" s="44"/>
      <c r="X32" s="165"/>
      <c r="Y32" s="374" t="s">
        <v>238</v>
      </c>
      <c r="Z32" s="375"/>
      <c r="AA32" s="375"/>
      <c r="AB32" s="375"/>
      <c r="AC32" s="375"/>
      <c r="AD32" s="579"/>
      <c r="AE32" s="580"/>
      <c r="AF32" s="580"/>
      <c r="AG32" s="580"/>
      <c r="AH32" s="580"/>
      <c r="AI32" s="580"/>
      <c r="AJ32" s="684" t="str">
        <f t="shared" ref="AJ32:AJ57" si="6">IF(AD32="-", "-", IF(AG32="-", "-", IF(ABS(AG32)=0, "-", ROUND(100*(AD32-AG32)/ABS(AG32),1))))</f>
        <v>-</v>
      </c>
      <c r="AK32" s="684"/>
      <c r="AL32" s="685"/>
      <c r="AM32" s="686"/>
      <c r="AN32" s="687"/>
      <c r="AO32" s="687"/>
      <c r="AP32" s="687"/>
      <c r="AQ32" s="687"/>
      <c r="AR32" s="687"/>
      <c r="AS32" s="319" t="str">
        <f t="shared" si="2"/>
        <v>-</v>
      </c>
      <c r="AT32" s="319"/>
      <c r="AU32" s="320"/>
      <c r="AV32" s="643"/>
      <c r="AW32" s="644"/>
      <c r="AX32" s="645"/>
    </row>
    <row r="33" spans="23:50" ht="12.75" customHeight="1">
      <c r="W33" s="44"/>
      <c r="X33" s="165"/>
      <c r="Y33" s="374" t="s">
        <v>239</v>
      </c>
      <c r="Z33" s="375"/>
      <c r="AA33" s="375"/>
      <c r="AB33" s="375"/>
      <c r="AC33" s="375"/>
      <c r="AD33" s="579"/>
      <c r="AE33" s="580"/>
      <c r="AF33" s="580"/>
      <c r="AG33" s="580"/>
      <c r="AH33" s="580"/>
      <c r="AI33" s="580"/>
      <c r="AJ33" s="684" t="str">
        <f t="shared" si="6"/>
        <v>-</v>
      </c>
      <c r="AK33" s="684"/>
      <c r="AL33" s="685"/>
      <c r="AM33" s="686"/>
      <c r="AN33" s="687"/>
      <c r="AO33" s="687"/>
      <c r="AP33" s="687"/>
      <c r="AQ33" s="687"/>
      <c r="AR33" s="687"/>
      <c r="AS33" s="319" t="str">
        <f t="shared" si="2"/>
        <v>-</v>
      </c>
      <c r="AT33" s="319"/>
      <c r="AU33" s="320"/>
      <c r="AV33" s="643"/>
      <c r="AW33" s="644"/>
      <c r="AX33" s="645"/>
    </row>
    <row r="34" spans="23:50" ht="12.75" customHeight="1">
      <c r="W34" s="44"/>
      <c r="X34" s="165"/>
      <c r="Y34" s="374" t="s">
        <v>240</v>
      </c>
      <c r="Z34" s="375"/>
      <c r="AA34" s="375"/>
      <c r="AB34" s="375"/>
      <c r="AC34" s="375"/>
      <c r="AD34" s="579"/>
      <c r="AE34" s="580"/>
      <c r="AF34" s="580"/>
      <c r="AG34" s="580"/>
      <c r="AH34" s="580"/>
      <c r="AI34" s="580"/>
      <c r="AJ34" s="684" t="str">
        <f t="shared" si="6"/>
        <v>-</v>
      </c>
      <c r="AK34" s="684"/>
      <c r="AL34" s="685"/>
      <c r="AM34" s="686"/>
      <c r="AN34" s="687"/>
      <c r="AO34" s="687"/>
      <c r="AP34" s="687"/>
      <c r="AQ34" s="687"/>
      <c r="AR34" s="687"/>
      <c r="AS34" s="319" t="str">
        <f t="shared" si="2"/>
        <v>-</v>
      </c>
      <c r="AT34" s="319"/>
      <c r="AU34" s="320"/>
      <c r="AV34" s="643"/>
      <c r="AW34" s="644"/>
      <c r="AX34" s="645"/>
    </row>
    <row r="35" spans="23:50" ht="12.75" customHeight="1">
      <c r="W35" s="190"/>
      <c r="X35" s="188"/>
      <c r="Y35" s="599" t="s">
        <v>241</v>
      </c>
      <c r="Z35" s="600"/>
      <c r="AA35" s="374" t="s">
        <v>242</v>
      </c>
      <c r="AB35" s="375"/>
      <c r="AC35" s="376"/>
      <c r="AD35" s="579"/>
      <c r="AE35" s="580"/>
      <c r="AF35" s="580"/>
      <c r="AG35" s="580"/>
      <c r="AH35" s="580"/>
      <c r="AI35" s="580"/>
      <c r="AJ35" s="684" t="str">
        <f t="shared" si="6"/>
        <v>-</v>
      </c>
      <c r="AK35" s="684"/>
      <c r="AL35" s="685"/>
      <c r="AM35" s="686"/>
      <c r="AN35" s="687"/>
      <c r="AO35" s="687"/>
      <c r="AP35" s="687"/>
      <c r="AQ35" s="687"/>
      <c r="AR35" s="687"/>
      <c r="AS35" s="319" t="str">
        <f t="shared" ref="AS35:AS57" si="7">IF(AM35="-", "-", IF(AP35="-", "-", IF(ABS(AP35)=0, "-", ROUND(100*(AM35-AP35)/ABS(AP35),1))))</f>
        <v>-</v>
      </c>
      <c r="AT35" s="319"/>
      <c r="AU35" s="320"/>
      <c r="AV35" s="643"/>
      <c r="AW35" s="644"/>
      <c r="AX35" s="645"/>
    </row>
    <row r="36" spans="23:50" ht="12.75" customHeight="1">
      <c r="W36" s="190"/>
      <c r="X36" s="188"/>
      <c r="Y36" s="601"/>
      <c r="Z36" s="602"/>
      <c r="AA36" s="374" t="s">
        <v>243</v>
      </c>
      <c r="AB36" s="375"/>
      <c r="AC36" s="376"/>
      <c r="AD36" s="579"/>
      <c r="AE36" s="580"/>
      <c r="AF36" s="580"/>
      <c r="AG36" s="580"/>
      <c r="AH36" s="580"/>
      <c r="AI36" s="580"/>
      <c r="AJ36" s="684" t="str">
        <f t="shared" si="6"/>
        <v>-</v>
      </c>
      <c r="AK36" s="684"/>
      <c r="AL36" s="685"/>
      <c r="AM36" s="686"/>
      <c r="AN36" s="687"/>
      <c r="AO36" s="687"/>
      <c r="AP36" s="687"/>
      <c r="AQ36" s="687"/>
      <c r="AR36" s="687"/>
      <c r="AS36" s="319" t="str">
        <f t="shared" si="7"/>
        <v>-</v>
      </c>
      <c r="AT36" s="319"/>
      <c r="AU36" s="320"/>
      <c r="AV36" s="643"/>
      <c r="AW36" s="644"/>
      <c r="AX36" s="645"/>
    </row>
    <row r="37" spans="23:50" ht="12.75" customHeight="1">
      <c r="W37" s="190"/>
      <c r="X37" s="41"/>
      <c r="Y37" s="601"/>
      <c r="Z37" s="602"/>
      <c r="AA37" s="374" t="s">
        <v>244</v>
      </c>
      <c r="AB37" s="375"/>
      <c r="AC37" s="376"/>
      <c r="AD37" s="579"/>
      <c r="AE37" s="580"/>
      <c r="AF37" s="580"/>
      <c r="AG37" s="580"/>
      <c r="AH37" s="580"/>
      <c r="AI37" s="580"/>
      <c r="AJ37" s="684" t="str">
        <f t="shared" si="6"/>
        <v>-</v>
      </c>
      <c r="AK37" s="684"/>
      <c r="AL37" s="685"/>
      <c r="AM37" s="686"/>
      <c r="AN37" s="687"/>
      <c r="AO37" s="687"/>
      <c r="AP37" s="687"/>
      <c r="AQ37" s="687"/>
      <c r="AR37" s="687"/>
      <c r="AS37" s="319" t="str">
        <f t="shared" si="7"/>
        <v>-</v>
      </c>
      <c r="AT37" s="319"/>
      <c r="AU37" s="320"/>
      <c r="AV37" s="643"/>
      <c r="AW37" s="644"/>
      <c r="AX37" s="645"/>
    </row>
    <row r="38" spans="23:50" ht="12.75" customHeight="1">
      <c r="W38" s="44"/>
      <c r="X38" s="165"/>
      <c r="Y38" s="601"/>
      <c r="Z38" s="602"/>
      <c r="AA38" s="374" t="s">
        <v>245</v>
      </c>
      <c r="AB38" s="375"/>
      <c r="AC38" s="376"/>
      <c r="AD38" s="579"/>
      <c r="AE38" s="580"/>
      <c r="AF38" s="580"/>
      <c r="AG38" s="580"/>
      <c r="AH38" s="580"/>
      <c r="AI38" s="580"/>
      <c r="AJ38" s="684" t="str">
        <f t="shared" si="6"/>
        <v>-</v>
      </c>
      <c r="AK38" s="684"/>
      <c r="AL38" s="685"/>
      <c r="AM38" s="686"/>
      <c r="AN38" s="687"/>
      <c r="AO38" s="687"/>
      <c r="AP38" s="687"/>
      <c r="AQ38" s="687"/>
      <c r="AR38" s="687"/>
      <c r="AS38" s="319" t="str">
        <f t="shared" si="7"/>
        <v>-</v>
      </c>
      <c r="AT38" s="319"/>
      <c r="AU38" s="320"/>
      <c r="AV38" s="643"/>
      <c r="AW38" s="644"/>
      <c r="AX38" s="645"/>
    </row>
    <row r="39" spans="23:50" ht="12.75" customHeight="1">
      <c r="W39" s="44"/>
      <c r="X39" s="165"/>
      <c r="Y39" s="603"/>
      <c r="Z39" s="604"/>
      <c r="AA39" s="374" t="s">
        <v>246</v>
      </c>
      <c r="AB39" s="375"/>
      <c r="AC39" s="376"/>
      <c r="AD39" s="579"/>
      <c r="AE39" s="580"/>
      <c r="AF39" s="580"/>
      <c r="AG39" s="580"/>
      <c r="AH39" s="580"/>
      <c r="AI39" s="580"/>
      <c r="AJ39" s="684" t="str">
        <f t="shared" si="6"/>
        <v>-</v>
      </c>
      <c r="AK39" s="684"/>
      <c r="AL39" s="685"/>
      <c r="AM39" s="686"/>
      <c r="AN39" s="687"/>
      <c r="AO39" s="687"/>
      <c r="AP39" s="687"/>
      <c r="AQ39" s="687"/>
      <c r="AR39" s="687"/>
      <c r="AS39" s="319" t="str">
        <f t="shared" si="7"/>
        <v>-</v>
      </c>
      <c r="AT39" s="319"/>
      <c r="AU39" s="320"/>
      <c r="AV39" s="643"/>
      <c r="AW39" s="644"/>
      <c r="AX39" s="645"/>
    </row>
    <row r="40" spans="23:50" ht="12.75" customHeight="1">
      <c r="W40" s="190"/>
      <c r="X40" s="188"/>
      <c r="Y40" s="374" t="s">
        <v>247</v>
      </c>
      <c r="Z40" s="375"/>
      <c r="AA40" s="375"/>
      <c r="AB40" s="375"/>
      <c r="AC40" s="375"/>
      <c r="AD40" s="579"/>
      <c r="AE40" s="580"/>
      <c r="AF40" s="580"/>
      <c r="AG40" s="580"/>
      <c r="AH40" s="580"/>
      <c r="AI40" s="580"/>
      <c r="AJ40" s="684" t="str">
        <f t="shared" si="6"/>
        <v>-</v>
      </c>
      <c r="AK40" s="684"/>
      <c r="AL40" s="685"/>
      <c r="AM40" s="686"/>
      <c r="AN40" s="687"/>
      <c r="AO40" s="687"/>
      <c r="AP40" s="687"/>
      <c r="AQ40" s="687"/>
      <c r="AR40" s="687"/>
      <c r="AS40" s="319" t="str">
        <f t="shared" si="7"/>
        <v>-</v>
      </c>
      <c r="AT40" s="319"/>
      <c r="AU40" s="320"/>
      <c r="AV40" s="643"/>
      <c r="AW40" s="644"/>
      <c r="AX40" s="645"/>
    </row>
    <row r="41" spans="23:50" ht="12.75" customHeight="1">
      <c r="W41" s="190"/>
      <c r="X41" s="188"/>
      <c r="Y41" s="374" t="s">
        <v>248</v>
      </c>
      <c r="Z41" s="375"/>
      <c r="AA41" s="375"/>
      <c r="AB41" s="375"/>
      <c r="AC41" s="375"/>
      <c r="AD41" s="579"/>
      <c r="AE41" s="580"/>
      <c r="AF41" s="580"/>
      <c r="AG41" s="580"/>
      <c r="AH41" s="580"/>
      <c r="AI41" s="580"/>
      <c r="AJ41" s="684" t="str">
        <f t="shared" si="6"/>
        <v>-</v>
      </c>
      <c r="AK41" s="684"/>
      <c r="AL41" s="685"/>
      <c r="AM41" s="686"/>
      <c r="AN41" s="687"/>
      <c r="AO41" s="687"/>
      <c r="AP41" s="687"/>
      <c r="AQ41" s="687"/>
      <c r="AR41" s="687"/>
      <c r="AS41" s="319" t="str">
        <f t="shared" si="7"/>
        <v>-</v>
      </c>
      <c r="AT41" s="319"/>
      <c r="AU41" s="320"/>
      <c r="AV41" s="643"/>
      <c r="AW41" s="644"/>
      <c r="AX41" s="645"/>
    </row>
    <row r="42" spans="23:50" ht="12.75" customHeight="1">
      <c r="W42" s="190"/>
      <c r="X42" s="41"/>
      <c r="Y42" s="591" t="s">
        <v>249</v>
      </c>
      <c r="Z42" s="592"/>
      <c r="AA42" s="373" t="s">
        <v>250</v>
      </c>
      <c r="AB42" s="373"/>
      <c r="AC42" s="390"/>
      <c r="AD42" s="579"/>
      <c r="AE42" s="580"/>
      <c r="AF42" s="580"/>
      <c r="AG42" s="580"/>
      <c r="AH42" s="580"/>
      <c r="AI42" s="580"/>
      <c r="AJ42" s="684" t="str">
        <f t="shared" si="6"/>
        <v>-</v>
      </c>
      <c r="AK42" s="684"/>
      <c r="AL42" s="685"/>
      <c r="AM42" s="686"/>
      <c r="AN42" s="687"/>
      <c r="AO42" s="687"/>
      <c r="AP42" s="687"/>
      <c r="AQ42" s="687"/>
      <c r="AR42" s="687"/>
      <c r="AS42" s="319" t="str">
        <f t="shared" si="7"/>
        <v>-</v>
      </c>
      <c r="AT42" s="319"/>
      <c r="AU42" s="320"/>
      <c r="AV42" s="643"/>
      <c r="AW42" s="644"/>
      <c r="AX42" s="645"/>
    </row>
    <row r="43" spans="23:50" ht="12.75" customHeight="1">
      <c r="W43" s="44"/>
      <c r="X43" s="165"/>
      <c r="Y43" s="605"/>
      <c r="Z43" s="606"/>
      <c r="AA43" s="470" t="s">
        <v>251</v>
      </c>
      <c r="AB43" s="471"/>
      <c r="AC43" s="472"/>
      <c r="AD43" s="579"/>
      <c r="AE43" s="580"/>
      <c r="AF43" s="580"/>
      <c r="AG43" s="580"/>
      <c r="AH43" s="580"/>
      <c r="AI43" s="580"/>
      <c r="AJ43" s="684" t="str">
        <f t="shared" si="6"/>
        <v>-</v>
      </c>
      <c r="AK43" s="684"/>
      <c r="AL43" s="685"/>
      <c r="AM43" s="686"/>
      <c r="AN43" s="687"/>
      <c r="AO43" s="687"/>
      <c r="AP43" s="687"/>
      <c r="AQ43" s="687"/>
      <c r="AR43" s="687"/>
      <c r="AS43" s="319" t="str">
        <f t="shared" si="7"/>
        <v>-</v>
      </c>
      <c r="AT43" s="319"/>
      <c r="AU43" s="320"/>
      <c r="AV43" s="643"/>
      <c r="AW43" s="644"/>
      <c r="AX43" s="645"/>
    </row>
    <row r="44" spans="23:50" ht="12.75" customHeight="1">
      <c r="W44" s="44"/>
      <c r="X44" s="165"/>
      <c r="Y44" s="605"/>
      <c r="Z44" s="606"/>
      <c r="AA44" s="470" t="s">
        <v>252</v>
      </c>
      <c r="AB44" s="471"/>
      <c r="AC44" s="472"/>
      <c r="AD44" s="579"/>
      <c r="AE44" s="580"/>
      <c r="AF44" s="580"/>
      <c r="AG44" s="580"/>
      <c r="AH44" s="580"/>
      <c r="AI44" s="580"/>
      <c r="AJ44" s="684" t="str">
        <f t="shared" si="6"/>
        <v>-</v>
      </c>
      <c r="AK44" s="684"/>
      <c r="AL44" s="685"/>
      <c r="AM44" s="686"/>
      <c r="AN44" s="687"/>
      <c r="AO44" s="687"/>
      <c r="AP44" s="687"/>
      <c r="AQ44" s="687"/>
      <c r="AR44" s="687"/>
      <c r="AS44" s="319" t="str">
        <f t="shared" si="7"/>
        <v>-</v>
      </c>
      <c r="AT44" s="319"/>
      <c r="AU44" s="320"/>
      <c r="AV44" s="643"/>
      <c r="AW44" s="644"/>
      <c r="AX44" s="645"/>
    </row>
    <row r="45" spans="23:50" ht="12.75" customHeight="1">
      <c r="W45" s="44"/>
      <c r="X45" s="165"/>
      <c r="Y45" s="605"/>
      <c r="Z45" s="606"/>
      <c r="AA45" s="470" t="s">
        <v>253</v>
      </c>
      <c r="AB45" s="471"/>
      <c r="AC45" s="472"/>
      <c r="AD45" s="579"/>
      <c r="AE45" s="580"/>
      <c r="AF45" s="580"/>
      <c r="AG45" s="580"/>
      <c r="AH45" s="580"/>
      <c r="AI45" s="580"/>
      <c r="AJ45" s="684" t="str">
        <f t="shared" si="6"/>
        <v>-</v>
      </c>
      <c r="AK45" s="684"/>
      <c r="AL45" s="685"/>
      <c r="AM45" s="686"/>
      <c r="AN45" s="687"/>
      <c r="AO45" s="687"/>
      <c r="AP45" s="687"/>
      <c r="AQ45" s="687"/>
      <c r="AR45" s="687"/>
      <c r="AS45" s="319" t="str">
        <f t="shared" si="7"/>
        <v>-</v>
      </c>
      <c r="AT45" s="319"/>
      <c r="AU45" s="320"/>
      <c r="AV45" s="643"/>
      <c r="AW45" s="644"/>
      <c r="AX45" s="645"/>
    </row>
    <row r="46" spans="23:50" ht="12.75" customHeight="1">
      <c r="W46" s="44"/>
      <c r="X46" s="165"/>
      <c r="Y46" s="374" t="s">
        <v>254</v>
      </c>
      <c r="Z46" s="375"/>
      <c r="AA46" s="375"/>
      <c r="AB46" s="375"/>
      <c r="AC46" s="375"/>
      <c r="AD46" s="579"/>
      <c r="AE46" s="580"/>
      <c r="AF46" s="580"/>
      <c r="AG46" s="580"/>
      <c r="AH46" s="580"/>
      <c r="AI46" s="580"/>
      <c r="AJ46" s="684" t="str">
        <f t="shared" si="6"/>
        <v>-</v>
      </c>
      <c r="AK46" s="684"/>
      <c r="AL46" s="685"/>
      <c r="AM46" s="686"/>
      <c r="AN46" s="687"/>
      <c r="AO46" s="687"/>
      <c r="AP46" s="687"/>
      <c r="AQ46" s="687"/>
      <c r="AR46" s="687"/>
      <c r="AS46" s="319" t="str">
        <f t="shared" si="7"/>
        <v>-</v>
      </c>
      <c r="AT46" s="319"/>
      <c r="AU46" s="320"/>
      <c r="AV46" s="643"/>
      <c r="AW46" s="644"/>
      <c r="AX46" s="645"/>
    </row>
    <row r="47" spans="23:50" ht="15" customHeight="1">
      <c r="W47" s="44"/>
      <c r="X47" s="165"/>
      <c r="Y47" s="374" t="s">
        <v>255</v>
      </c>
      <c r="Z47" s="375"/>
      <c r="AA47" s="375"/>
      <c r="AB47" s="375"/>
      <c r="AC47" s="375"/>
      <c r="AD47" s="579"/>
      <c r="AE47" s="580"/>
      <c r="AF47" s="580"/>
      <c r="AG47" s="580"/>
      <c r="AH47" s="580"/>
      <c r="AI47" s="580"/>
      <c r="AJ47" s="684" t="str">
        <f t="shared" si="6"/>
        <v>-</v>
      </c>
      <c r="AK47" s="684"/>
      <c r="AL47" s="685"/>
      <c r="AM47" s="686"/>
      <c r="AN47" s="687"/>
      <c r="AO47" s="687"/>
      <c r="AP47" s="687"/>
      <c r="AQ47" s="687"/>
      <c r="AR47" s="687"/>
      <c r="AS47" s="319" t="str">
        <f t="shared" si="7"/>
        <v>-</v>
      </c>
      <c r="AT47" s="319"/>
      <c r="AU47" s="320"/>
      <c r="AV47" s="643"/>
      <c r="AW47" s="644"/>
      <c r="AX47" s="645"/>
    </row>
    <row r="48" spans="23:50" ht="15" customHeight="1">
      <c r="W48" s="44"/>
      <c r="X48" s="165"/>
      <c r="Y48" s="374" t="s">
        <v>256</v>
      </c>
      <c r="Z48" s="375"/>
      <c r="AA48" s="375"/>
      <c r="AB48" s="375"/>
      <c r="AC48" s="375"/>
      <c r="AD48" s="579"/>
      <c r="AE48" s="580"/>
      <c r="AF48" s="580"/>
      <c r="AG48" s="580"/>
      <c r="AH48" s="580"/>
      <c r="AI48" s="580"/>
      <c r="AJ48" s="684" t="str">
        <f t="shared" si="6"/>
        <v>-</v>
      </c>
      <c r="AK48" s="684"/>
      <c r="AL48" s="685"/>
      <c r="AM48" s="686"/>
      <c r="AN48" s="687"/>
      <c r="AO48" s="687"/>
      <c r="AP48" s="687"/>
      <c r="AQ48" s="687"/>
      <c r="AR48" s="687"/>
      <c r="AS48" s="319" t="str">
        <f t="shared" si="7"/>
        <v>-</v>
      </c>
      <c r="AT48" s="319"/>
      <c r="AU48" s="320"/>
      <c r="AV48" s="643"/>
      <c r="AW48" s="644"/>
      <c r="AX48" s="645"/>
    </row>
    <row r="49" spans="23:50" ht="15" customHeight="1">
      <c r="W49" s="44"/>
      <c r="X49" s="165"/>
      <c r="Y49" s="595" t="s">
        <v>257</v>
      </c>
      <c r="Z49" s="596"/>
      <c r="AA49" s="374" t="s">
        <v>258</v>
      </c>
      <c r="AB49" s="375"/>
      <c r="AC49" s="376"/>
      <c r="AD49" s="579"/>
      <c r="AE49" s="580"/>
      <c r="AF49" s="580"/>
      <c r="AG49" s="580"/>
      <c r="AH49" s="580"/>
      <c r="AI49" s="580"/>
      <c r="AJ49" s="684" t="str">
        <f t="shared" si="6"/>
        <v>-</v>
      </c>
      <c r="AK49" s="684"/>
      <c r="AL49" s="685"/>
      <c r="AM49" s="686"/>
      <c r="AN49" s="687"/>
      <c r="AO49" s="687"/>
      <c r="AP49" s="687"/>
      <c r="AQ49" s="687"/>
      <c r="AR49" s="687"/>
      <c r="AS49" s="319" t="str">
        <f t="shared" si="7"/>
        <v>-</v>
      </c>
      <c r="AT49" s="319"/>
      <c r="AU49" s="320"/>
      <c r="AV49" s="643"/>
      <c r="AW49" s="644"/>
      <c r="AX49" s="645"/>
    </row>
    <row r="50" spans="23:50" ht="15" customHeight="1">
      <c r="W50" s="44"/>
      <c r="X50" s="165"/>
      <c r="Y50" s="597"/>
      <c r="Z50" s="598"/>
      <c r="AA50" s="374" t="s">
        <v>259</v>
      </c>
      <c r="AB50" s="375"/>
      <c r="AC50" s="376"/>
      <c r="AD50" s="579"/>
      <c r="AE50" s="580"/>
      <c r="AF50" s="580"/>
      <c r="AG50" s="580"/>
      <c r="AH50" s="580"/>
      <c r="AI50" s="580"/>
      <c r="AJ50" s="684" t="str">
        <f t="shared" si="6"/>
        <v>-</v>
      </c>
      <c r="AK50" s="684"/>
      <c r="AL50" s="685"/>
      <c r="AM50" s="686"/>
      <c r="AN50" s="687"/>
      <c r="AO50" s="687"/>
      <c r="AP50" s="687"/>
      <c r="AQ50" s="687"/>
      <c r="AR50" s="687"/>
      <c r="AS50" s="319" t="str">
        <f t="shared" si="7"/>
        <v>-</v>
      </c>
      <c r="AT50" s="319"/>
      <c r="AU50" s="320"/>
      <c r="AV50" s="643"/>
      <c r="AW50" s="644"/>
      <c r="AX50" s="645"/>
    </row>
    <row r="51" spans="23:50" ht="15" customHeight="1">
      <c r="W51" s="20"/>
      <c r="X51" s="165"/>
      <c r="Y51" s="597"/>
      <c r="Z51" s="598"/>
      <c r="AA51" s="374" t="s">
        <v>260</v>
      </c>
      <c r="AB51" s="375"/>
      <c r="AC51" s="376"/>
      <c r="AD51" s="579"/>
      <c r="AE51" s="580"/>
      <c r="AF51" s="580"/>
      <c r="AG51" s="580"/>
      <c r="AH51" s="580"/>
      <c r="AI51" s="580"/>
      <c r="AJ51" s="684" t="str">
        <f t="shared" si="6"/>
        <v>-</v>
      </c>
      <c r="AK51" s="684"/>
      <c r="AL51" s="685"/>
      <c r="AM51" s="686"/>
      <c r="AN51" s="687"/>
      <c r="AO51" s="687"/>
      <c r="AP51" s="687"/>
      <c r="AQ51" s="687"/>
      <c r="AR51" s="687"/>
      <c r="AS51" s="319" t="str">
        <f t="shared" si="7"/>
        <v>-</v>
      </c>
      <c r="AT51" s="319"/>
      <c r="AU51" s="320"/>
      <c r="AV51" s="643"/>
      <c r="AW51" s="644"/>
      <c r="AX51" s="645"/>
    </row>
    <row r="52" spans="23:50" ht="15" customHeight="1">
      <c r="W52" s="190"/>
      <c r="X52" s="166"/>
      <c r="Y52" s="374" t="s">
        <v>261</v>
      </c>
      <c r="Z52" s="375"/>
      <c r="AA52" s="375"/>
      <c r="AB52" s="375"/>
      <c r="AC52" s="375"/>
      <c r="AD52" s="579"/>
      <c r="AE52" s="580"/>
      <c r="AF52" s="580"/>
      <c r="AG52" s="580"/>
      <c r="AH52" s="580"/>
      <c r="AI52" s="580"/>
      <c r="AJ52" s="684" t="str">
        <f t="shared" si="6"/>
        <v>-</v>
      </c>
      <c r="AK52" s="684"/>
      <c r="AL52" s="685"/>
      <c r="AM52" s="686"/>
      <c r="AN52" s="687"/>
      <c r="AO52" s="687"/>
      <c r="AP52" s="687"/>
      <c r="AQ52" s="687"/>
      <c r="AR52" s="687"/>
      <c r="AS52" s="319" t="str">
        <f t="shared" si="7"/>
        <v>-</v>
      </c>
      <c r="AT52" s="319"/>
      <c r="AU52" s="320"/>
      <c r="AV52" s="643"/>
      <c r="AW52" s="644"/>
      <c r="AX52" s="645"/>
    </row>
    <row r="53" spans="23:50" ht="15" customHeight="1">
      <c r="W53" s="190"/>
      <c r="X53" s="167"/>
      <c r="Y53" s="374" t="s">
        <v>262</v>
      </c>
      <c r="Z53" s="375"/>
      <c r="AA53" s="375"/>
      <c r="AB53" s="375"/>
      <c r="AC53" s="375"/>
      <c r="AD53" s="579"/>
      <c r="AE53" s="580"/>
      <c r="AF53" s="580"/>
      <c r="AG53" s="580"/>
      <c r="AH53" s="580"/>
      <c r="AI53" s="580"/>
      <c r="AJ53" s="684" t="str">
        <f t="shared" si="6"/>
        <v>-</v>
      </c>
      <c r="AK53" s="684"/>
      <c r="AL53" s="685"/>
      <c r="AM53" s="686"/>
      <c r="AN53" s="687"/>
      <c r="AO53" s="687"/>
      <c r="AP53" s="687"/>
      <c r="AQ53" s="687"/>
      <c r="AR53" s="687"/>
      <c r="AS53" s="319" t="str">
        <f t="shared" si="7"/>
        <v>-</v>
      </c>
      <c r="AT53" s="319"/>
      <c r="AU53" s="320"/>
      <c r="AV53" s="643"/>
      <c r="AW53" s="644"/>
      <c r="AX53" s="645"/>
    </row>
    <row r="54" spans="23:50" ht="15" customHeight="1">
      <c r="W54" s="44"/>
      <c r="X54" s="165"/>
      <c r="Y54" s="374" t="s">
        <v>263</v>
      </c>
      <c r="Z54" s="375"/>
      <c r="AA54" s="375"/>
      <c r="AB54" s="375"/>
      <c r="AC54" s="375"/>
      <c r="AD54" s="579"/>
      <c r="AE54" s="580"/>
      <c r="AF54" s="580"/>
      <c r="AG54" s="580"/>
      <c r="AH54" s="580"/>
      <c r="AI54" s="580"/>
      <c r="AJ54" s="684" t="str">
        <f t="shared" si="6"/>
        <v>-</v>
      </c>
      <c r="AK54" s="684"/>
      <c r="AL54" s="685"/>
      <c r="AM54" s="686"/>
      <c r="AN54" s="687"/>
      <c r="AO54" s="687"/>
      <c r="AP54" s="687"/>
      <c r="AQ54" s="687"/>
      <c r="AR54" s="687"/>
      <c r="AS54" s="319" t="str">
        <f t="shared" si="7"/>
        <v>-</v>
      </c>
      <c r="AT54" s="319"/>
      <c r="AU54" s="320"/>
      <c r="AV54" s="643"/>
      <c r="AW54" s="644"/>
      <c r="AX54" s="645"/>
    </row>
    <row r="55" spans="23:50" ht="15" customHeight="1">
      <c r="W55" s="44"/>
      <c r="X55" s="165"/>
      <c r="Y55" s="591" t="s">
        <v>264</v>
      </c>
      <c r="Z55" s="592"/>
      <c r="AA55" s="374" t="s">
        <v>265</v>
      </c>
      <c r="AB55" s="375"/>
      <c r="AC55" s="376"/>
      <c r="AD55" s="579"/>
      <c r="AE55" s="580"/>
      <c r="AF55" s="580"/>
      <c r="AG55" s="580"/>
      <c r="AH55" s="580"/>
      <c r="AI55" s="580"/>
      <c r="AJ55" s="684" t="str">
        <f t="shared" si="6"/>
        <v>-</v>
      </c>
      <c r="AK55" s="684"/>
      <c r="AL55" s="685"/>
      <c r="AM55" s="686"/>
      <c r="AN55" s="687"/>
      <c r="AO55" s="687"/>
      <c r="AP55" s="687"/>
      <c r="AQ55" s="687"/>
      <c r="AR55" s="687"/>
      <c r="AS55" s="319" t="str">
        <f t="shared" si="7"/>
        <v>-</v>
      </c>
      <c r="AT55" s="319"/>
      <c r="AU55" s="320"/>
      <c r="AV55" s="643"/>
      <c r="AW55" s="644"/>
      <c r="AX55" s="645"/>
    </row>
    <row r="56" spans="23:50" ht="15" customHeight="1">
      <c r="W56" s="44"/>
      <c r="X56" s="165"/>
      <c r="Y56" s="593"/>
      <c r="Z56" s="594"/>
      <c r="AA56" s="374" t="s">
        <v>266</v>
      </c>
      <c r="AB56" s="375"/>
      <c r="AC56" s="376"/>
      <c r="AD56" s="579"/>
      <c r="AE56" s="580"/>
      <c r="AF56" s="580"/>
      <c r="AG56" s="580"/>
      <c r="AH56" s="580"/>
      <c r="AI56" s="580"/>
      <c r="AJ56" s="684" t="str">
        <f t="shared" si="6"/>
        <v>-</v>
      </c>
      <c r="AK56" s="684"/>
      <c r="AL56" s="685"/>
      <c r="AM56" s="686"/>
      <c r="AN56" s="687"/>
      <c r="AO56" s="687"/>
      <c r="AP56" s="687"/>
      <c r="AQ56" s="687"/>
      <c r="AR56" s="687"/>
      <c r="AS56" s="319" t="str">
        <f t="shared" si="7"/>
        <v>-</v>
      </c>
      <c r="AT56" s="319"/>
      <c r="AU56" s="320"/>
      <c r="AV56" s="643"/>
      <c r="AW56" s="644"/>
      <c r="AX56" s="645"/>
    </row>
    <row r="57" spans="23:50" ht="15" customHeight="1">
      <c r="W57" s="44"/>
      <c r="X57" s="165"/>
      <c r="Y57" s="470" t="s">
        <v>267</v>
      </c>
      <c r="Z57" s="471"/>
      <c r="AA57" s="471"/>
      <c r="AB57" s="471"/>
      <c r="AC57" s="472"/>
      <c r="AD57" s="579"/>
      <c r="AE57" s="580"/>
      <c r="AF57" s="580"/>
      <c r="AG57" s="580"/>
      <c r="AH57" s="580"/>
      <c r="AI57" s="580"/>
      <c r="AJ57" s="684" t="str">
        <f t="shared" si="6"/>
        <v>-</v>
      </c>
      <c r="AK57" s="684"/>
      <c r="AL57" s="685"/>
      <c r="AM57" s="686"/>
      <c r="AN57" s="687"/>
      <c r="AO57" s="687"/>
      <c r="AP57" s="687"/>
      <c r="AQ57" s="687"/>
      <c r="AR57" s="687"/>
      <c r="AS57" s="319" t="str">
        <f t="shared" si="7"/>
        <v>-</v>
      </c>
      <c r="AT57" s="319"/>
      <c r="AU57" s="320"/>
      <c r="AV57" s="643"/>
      <c r="AW57" s="644"/>
      <c r="AX57" s="645"/>
    </row>
    <row r="58" spans="23:50" ht="15" customHeight="1">
      <c r="W58" s="44"/>
      <c r="X58" s="165"/>
      <c r="Y58" s="374" t="s">
        <v>152</v>
      </c>
      <c r="Z58" s="375"/>
      <c r="AA58" s="375"/>
      <c r="AB58" s="375"/>
      <c r="AC58" s="375"/>
      <c r="AD58" s="581"/>
      <c r="AE58" s="582"/>
      <c r="AF58" s="582"/>
      <c r="AG58" s="583"/>
      <c r="AH58" s="584"/>
      <c r="AI58" s="585"/>
      <c r="AJ58" s="584"/>
      <c r="AK58" s="584"/>
      <c r="AL58" s="585"/>
      <c r="AM58" s="686"/>
      <c r="AN58" s="687"/>
      <c r="AO58" s="687"/>
      <c r="AP58" s="687"/>
      <c r="AQ58" s="687"/>
      <c r="AR58" s="687"/>
      <c r="AS58" s="319" t="str">
        <f t="shared" si="2"/>
        <v>-</v>
      </c>
      <c r="AT58" s="319"/>
      <c r="AU58" s="320"/>
      <c r="AV58" s="643"/>
      <c r="AW58" s="644"/>
      <c r="AX58" s="645"/>
    </row>
    <row r="59" spans="23:50" ht="15" customHeight="1">
      <c r="W59" s="44"/>
      <c r="X59" s="372" t="s">
        <v>268</v>
      </c>
      <c r="Y59" s="373"/>
      <c r="Z59" s="373"/>
      <c r="AA59" s="373"/>
      <c r="AB59" s="373"/>
      <c r="AC59" s="373"/>
      <c r="AD59" s="581"/>
      <c r="AE59" s="582"/>
      <c r="AF59" s="582"/>
      <c r="AG59" s="583"/>
      <c r="AH59" s="584"/>
      <c r="AI59" s="585"/>
      <c r="AJ59" s="584"/>
      <c r="AK59" s="584"/>
      <c r="AL59" s="585"/>
      <c r="AM59" s="686"/>
      <c r="AN59" s="687"/>
      <c r="AO59" s="687"/>
      <c r="AP59" s="687"/>
      <c r="AQ59" s="687"/>
      <c r="AR59" s="687"/>
      <c r="AS59" s="319" t="str">
        <f t="shared" si="2"/>
        <v>-</v>
      </c>
      <c r="AT59" s="319"/>
      <c r="AU59" s="320"/>
      <c r="AV59" s="643"/>
      <c r="AW59" s="644"/>
      <c r="AX59" s="645"/>
    </row>
    <row r="60" spans="23:50" ht="15" customHeight="1">
      <c r="W60" s="45"/>
      <c r="X60" s="177"/>
      <c r="Y60" s="456" t="s">
        <v>203</v>
      </c>
      <c r="Z60" s="437"/>
      <c r="AA60" s="437"/>
      <c r="AB60" s="437"/>
      <c r="AC60" s="457"/>
      <c r="AD60" s="586"/>
      <c r="AE60" s="587"/>
      <c r="AF60" s="587"/>
      <c r="AG60" s="588"/>
      <c r="AH60" s="589"/>
      <c r="AI60" s="590"/>
      <c r="AJ60" s="589"/>
      <c r="AK60" s="589"/>
      <c r="AL60" s="590"/>
      <c r="AM60" s="688"/>
      <c r="AN60" s="689"/>
      <c r="AO60" s="689"/>
      <c r="AP60" s="689"/>
      <c r="AQ60" s="689"/>
      <c r="AR60" s="689"/>
      <c r="AS60" s="316" t="str">
        <f t="shared" si="2"/>
        <v>-</v>
      </c>
      <c r="AT60" s="316"/>
      <c r="AU60" s="317"/>
      <c r="AV60" s="654"/>
      <c r="AW60" s="655"/>
      <c r="AX60" s="656"/>
    </row>
  </sheetData>
  <mergeCells count="562">
    <mergeCell ref="AV53:AX53"/>
    <mergeCell ref="AV54:AX54"/>
    <mergeCell ref="AV55:AX55"/>
    <mergeCell ref="AV56:AX56"/>
    <mergeCell ref="AV57:AX57"/>
    <mergeCell ref="AV58:AX58"/>
    <mergeCell ref="AV59:AX59"/>
    <mergeCell ref="AV60:AX60"/>
    <mergeCell ref="AV46:AX46"/>
    <mergeCell ref="AV47:AX47"/>
    <mergeCell ref="AV48:AX48"/>
    <mergeCell ref="AV49:AX49"/>
    <mergeCell ref="AV50:AX50"/>
    <mergeCell ref="AV51:AX51"/>
    <mergeCell ref="AV52:AX52"/>
    <mergeCell ref="AS51:AU51"/>
    <mergeCell ref="AS57:AU57"/>
    <mergeCell ref="AS14:AU14"/>
    <mergeCell ref="AV5:AX7"/>
    <mergeCell ref="AV8:AX8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18:AX18"/>
    <mergeCell ref="AV19:AX19"/>
    <mergeCell ref="AV20:AX20"/>
    <mergeCell ref="AV21:AX21"/>
    <mergeCell ref="AV22:AX22"/>
    <mergeCell ref="AV23:AX23"/>
    <mergeCell ref="AV24:AX24"/>
    <mergeCell ref="AV25:AX25"/>
    <mergeCell ref="AV26:AX26"/>
    <mergeCell ref="AV27:AX27"/>
    <mergeCell ref="AS50:AU50"/>
    <mergeCell ref="AV28:AX28"/>
    <mergeCell ref="AS15:AU15"/>
    <mergeCell ref="AV29:AX29"/>
    <mergeCell ref="AV30:AX30"/>
    <mergeCell ref="AV31:AX31"/>
    <mergeCell ref="AV32:AX32"/>
    <mergeCell ref="AV33:AX33"/>
    <mergeCell ref="AV34:AX34"/>
    <mergeCell ref="AV35:AX35"/>
    <mergeCell ref="AV36:AX36"/>
    <mergeCell ref="AV37:AX37"/>
    <mergeCell ref="AV38:AX38"/>
    <mergeCell ref="AV39:AX39"/>
    <mergeCell ref="AV40:AX40"/>
    <mergeCell ref="AS35:AU35"/>
    <mergeCell ref="AV41:AX41"/>
    <mergeCell ref="AV42:AX42"/>
    <mergeCell ref="AV43:AX43"/>
    <mergeCell ref="AV44:AX44"/>
    <mergeCell ref="AV45:AX45"/>
    <mergeCell ref="AS44:AU44"/>
    <mergeCell ref="AS45:AU45"/>
    <mergeCell ref="AS42:AU42"/>
    <mergeCell ref="AQ1:AX1"/>
    <mergeCell ref="AQ2:AX2"/>
    <mergeCell ref="AS19:AU19"/>
    <mergeCell ref="AM5:AU5"/>
    <mergeCell ref="AS6:AU6"/>
    <mergeCell ref="AS7:AU7"/>
    <mergeCell ref="AS8:AU8"/>
    <mergeCell ref="AS9:AU9"/>
    <mergeCell ref="AG38:AI38"/>
    <mergeCell ref="AJ38:AL38"/>
    <mergeCell ref="AG36:AI36"/>
    <mergeCell ref="AJ36:AL36"/>
    <mergeCell ref="AG37:AI37"/>
    <mergeCell ref="AG25:AI25"/>
    <mergeCell ref="AJ25:AL25"/>
    <mergeCell ref="AS28:AU28"/>
    <mergeCell ref="AS29:AU29"/>
    <mergeCell ref="AM24:AO24"/>
    <mergeCell ref="AP24:AR24"/>
    <mergeCell ref="AS24:AU24"/>
    <mergeCell ref="AM25:AO25"/>
    <mergeCell ref="AP25:AR25"/>
    <mergeCell ref="AP17:AR17"/>
    <mergeCell ref="AM22:AO22"/>
    <mergeCell ref="AD43:AF43"/>
    <mergeCell ref="AG43:AI43"/>
    <mergeCell ref="AJ43:AL43"/>
    <mergeCell ref="AD44:AF44"/>
    <mergeCell ref="AG44:AI44"/>
    <mergeCell ref="AJ44:AL44"/>
    <mergeCell ref="AA45:AC45"/>
    <mergeCell ref="AS16:AU16"/>
    <mergeCell ref="AS17:AU17"/>
    <mergeCell ref="AS18:AU18"/>
    <mergeCell ref="AS22:AU22"/>
    <mergeCell ref="AS37:AU37"/>
    <mergeCell ref="AS38:AU38"/>
    <mergeCell ref="AS39:AU39"/>
    <mergeCell ref="AD41:AF41"/>
    <mergeCell ref="AG41:AI41"/>
    <mergeCell ref="AJ41:AL41"/>
    <mergeCell ref="AD42:AF42"/>
    <mergeCell ref="AG42:AI42"/>
    <mergeCell ref="AD40:AF40"/>
    <mergeCell ref="AS43:AU43"/>
    <mergeCell ref="AS36:AU36"/>
    <mergeCell ref="AS41:AU41"/>
    <mergeCell ref="AS34:AU34"/>
    <mergeCell ref="AP44:AR44"/>
    <mergeCell ref="AM38:AO38"/>
    <mergeCell ref="AP38:AR38"/>
    <mergeCell ref="AM34:AO34"/>
    <mergeCell ref="AP34:AR34"/>
    <mergeCell ref="AJ42:AL42"/>
    <mergeCell ref="AM37:AO37"/>
    <mergeCell ref="AP37:AR37"/>
    <mergeCell ref="AM41:AO41"/>
    <mergeCell ref="AP41:AR41"/>
    <mergeCell ref="AM35:AO35"/>
    <mergeCell ref="AP35:AR35"/>
    <mergeCell ref="AJ37:AL37"/>
    <mergeCell ref="AP43:AR43"/>
    <mergeCell ref="AM43:AO43"/>
    <mergeCell ref="AJ34:AL34"/>
    <mergeCell ref="AJ35:AL35"/>
    <mergeCell ref="AM44:AO44"/>
    <mergeCell ref="AJ40:AL40"/>
    <mergeCell ref="AJ39:AL39"/>
    <mergeCell ref="AD26:AF26"/>
    <mergeCell ref="AG26:AI26"/>
    <mergeCell ref="AJ26:AL26"/>
    <mergeCell ref="AD27:AF27"/>
    <mergeCell ref="AG27:AI27"/>
    <mergeCell ref="AJ27:AL27"/>
    <mergeCell ref="AM42:AO42"/>
    <mergeCell ref="AP42:AR42"/>
    <mergeCell ref="AM40:AO40"/>
    <mergeCell ref="AP40:AR40"/>
    <mergeCell ref="AG40:AI40"/>
    <mergeCell ref="AD34:AF34"/>
    <mergeCell ref="AG34:AI34"/>
    <mergeCell ref="AD39:AF39"/>
    <mergeCell ref="AG39:AI39"/>
    <mergeCell ref="AD36:AF36"/>
    <mergeCell ref="AD37:AF37"/>
    <mergeCell ref="AP28:AR28"/>
    <mergeCell ref="AM29:AO29"/>
    <mergeCell ref="AP29:AR29"/>
    <mergeCell ref="AG35:AI35"/>
    <mergeCell ref="AD38:AF38"/>
    <mergeCell ref="AP26:AR26"/>
    <mergeCell ref="AS26:AU26"/>
    <mergeCell ref="AM27:AO27"/>
    <mergeCell ref="AP27:AR27"/>
    <mergeCell ref="AS27:AU27"/>
    <mergeCell ref="AS40:AU40"/>
    <mergeCell ref="AM39:AO39"/>
    <mergeCell ref="AP39:AR39"/>
    <mergeCell ref="AM36:AO36"/>
    <mergeCell ref="AP36:AR36"/>
    <mergeCell ref="AM32:AO32"/>
    <mergeCell ref="AP32:AR32"/>
    <mergeCell ref="AS32:AU32"/>
    <mergeCell ref="AS33:AU33"/>
    <mergeCell ref="AM33:AO33"/>
    <mergeCell ref="AP33:AR33"/>
    <mergeCell ref="AM30:AO30"/>
    <mergeCell ref="AP30:AR30"/>
    <mergeCell ref="AS30:AU30"/>
    <mergeCell ref="AM31:AO31"/>
    <mergeCell ref="AP31:AR31"/>
    <mergeCell ref="AS31:AU31"/>
    <mergeCell ref="AM28:AO28"/>
    <mergeCell ref="AP22:AR22"/>
    <mergeCell ref="AM23:AO23"/>
    <mergeCell ref="AP23:AR23"/>
    <mergeCell ref="AS23:AU23"/>
    <mergeCell ref="AM20:AO20"/>
    <mergeCell ref="AP20:AR20"/>
    <mergeCell ref="AS20:AU20"/>
    <mergeCell ref="AM21:AO21"/>
    <mergeCell ref="AP21:AR21"/>
    <mergeCell ref="AS21:AU21"/>
    <mergeCell ref="AS25:AU25"/>
    <mergeCell ref="AG24:AI24"/>
    <mergeCell ref="AJ24:AL24"/>
    <mergeCell ref="AA39:AC39"/>
    <mergeCell ref="AA35:AC35"/>
    <mergeCell ref="AD28:AF28"/>
    <mergeCell ref="AG28:AI28"/>
    <mergeCell ref="AJ28:AL28"/>
    <mergeCell ref="AD29:AF29"/>
    <mergeCell ref="AG29:AI29"/>
    <mergeCell ref="AJ29:AL29"/>
    <mergeCell ref="AD30:AF30"/>
    <mergeCell ref="AG30:AI30"/>
    <mergeCell ref="AJ30:AL30"/>
    <mergeCell ref="AD31:AF31"/>
    <mergeCell ref="AG31:AI31"/>
    <mergeCell ref="AJ31:AL31"/>
    <mergeCell ref="AD32:AF32"/>
    <mergeCell ref="AG32:AI32"/>
    <mergeCell ref="AJ32:AL32"/>
    <mergeCell ref="AD33:AF33"/>
    <mergeCell ref="AJ33:AL33"/>
    <mergeCell ref="AD35:AF35"/>
    <mergeCell ref="AD25:AF25"/>
    <mergeCell ref="AG22:AI22"/>
    <mergeCell ref="AG33:AI33"/>
    <mergeCell ref="AM26:AO26"/>
    <mergeCell ref="AJ22:AL22"/>
    <mergeCell ref="AD23:AF23"/>
    <mergeCell ref="AG23:AI23"/>
    <mergeCell ref="AJ23:AL23"/>
    <mergeCell ref="AM14:AO14"/>
    <mergeCell ref="AP14:AR14"/>
    <mergeCell ref="AM15:AO15"/>
    <mergeCell ref="AP15:AR15"/>
    <mergeCell ref="AG15:AI15"/>
    <mergeCell ref="AG16:AI16"/>
    <mergeCell ref="AG17:AI17"/>
    <mergeCell ref="AM18:AO18"/>
    <mergeCell ref="AP18:AR18"/>
    <mergeCell ref="AM19:AO19"/>
    <mergeCell ref="AP19:AR19"/>
    <mergeCell ref="AD21:AF21"/>
    <mergeCell ref="AG21:AI21"/>
    <mergeCell ref="AJ21:AL21"/>
    <mergeCell ref="AG19:AI19"/>
    <mergeCell ref="AG20:AI20"/>
    <mergeCell ref="AJ17:AL17"/>
    <mergeCell ref="AJ18:AL18"/>
    <mergeCell ref="AJ19:AL19"/>
    <mergeCell ref="AJ20:AL20"/>
    <mergeCell ref="AJ13:AL13"/>
    <mergeCell ref="AJ14:AL14"/>
    <mergeCell ref="AJ15:AL15"/>
    <mergeCell ref="AJ16:AL16"/>
    <mergeCell ref="AM13:AO13"/>
    <mergeCell ref="AP13:AR13"/>
    <mergeCell ref="AM17:AO17"/>
    <mergeCell ref="AS13:AU13"/>
    <mergeCell ref="AM10:AO10"/>
    <mergeCell ref="AP10:AR10"/>
    <mergeCell ref="AS10:AU10"/>
    <mergeCell ref="AM11:AO11"/>
    <mergeCell ref="AP11:AR11"/>
    <mergeCell ref="AS11:AU11"/>
    <mergeCell ref="AS12:AU12"/>
    <mergeCell ref="AM16:AO16"/>
    <mergeCell ref="AP16:AR16"/>
    <mergeCell ref="G24:I24"/>
    <mergeCell ref="J24:L24"/>
    <mergeCell ref="M24:O24"/>
    <mergeCell ref="G25:I25"/>
    <mergeCell ref="J25:L25"/>
    <mergeCell ref="M25:O25"/>
    <mergeCell ref="M5:O5"/>
    <mergeCell ref="M6:O6"/>
    <mergeCell ref="G5:I5"/>
    <mergeCell ref="G6:I6"/>
    <mergeCell ref="J5:L5"/>
    <mergeCell ref="J6:L6"/>
    <mergeCell ref="G22:I22"/>
    <mergeCell ref="J22:L22"/>
    <mergeCell ref="M22:O22"/>
    <mergeCell ref="G23:I23"/>
    <mergeCell ref="J23:L23"/>
    <mergeCell ref="M23:O23"/>
    <mergeCell ref="G20:I20"/>
    <mergeCell ref="J20:L20"/>
    <mergeCell ref="M20:O20"/>
    <mergeCell ref="G21:I21"/>
    <mergeCell ref="J21:L21"/>
    <mergeCell ref="M21:O21"/>
    <mergeCell ref="J15:L15"/>
    <mergeCell ref="M15:O15"/>
    <mergeCell ref="G13:I13"/>
    <mergeCell ref="G19:I19"/>
    <mergeCell ref="J19:L19"/>
    <mergeCell ref="M19:O19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C9:F9"/>
    <mergeCell ref="C10:F10"/>
    <mergeCell ref="G9:I9"/>
    <mergeCell ref="J9:L9"/>
    <mergeCell ref="M9:O9"/>
    <mergeCell ref="G10:I10"/>
    <mergeCell ref="J10:L10"/>
    <mergeCell ref="M10:O10"/>
    <mergeCell ref="B8:F8"/>
    <mergeCell ref="G7:I7"/>
    <mergeCell ref="J7:L7"/>
    <mergeCell ref="M7:O7"/>
    <mergeCell ref="G8:I8"/>
    <mergeCell ref="J8:L8"/>
    <mergeCell ref="M8:O8"/>
    <mergeCell ref="J13:L13"/>
    <mergeCell ref="M13:O13"/>
    <mergeCell ref="G11:I11"/>
    <mergeCell ref="J11:L11"/>
    <mergeCell ref="M11:O11"/>
    <mergeCell ref="G12:I12"/>
    <mergeCell ref="J12:L12"/>
    <mergeCell ref="M12:O12"/>
    <mergeCell ref="B15:F15"/>
    <mergeCell ref="B16:F16"/>
    <mergeCell ref="B17:F17"/>
    <mergeCell ref="A18:F18"/>
    <mergeCell ref="B11:F11"/>
    <mergeCell ref="AD24:AF24"/>
    <mergeCell ref="AD18:AF18"/>
    <mergeCell ref="AD19:AF19"/>
    <mergeCell ref="AD20:AF20"/>
    <mergeCell ref="AD22:AF22"/>
    <mergeCell ref="AD13:AF13"/>
    <mergeCell ref="AD14:AF14"/>
    <mergeCell ref="AD15:AF15"/>
    <mergeCell ref="AD16:AF16"/>
    <mergeCell ref="AD17:AF17"/>
    <mergeCell ref="B12:F12"/>
    <mergeCell ref="B13:F13"/>
    <mergeCell ref="B19:F19"/>
    <mergeCell ref="B20:F20"/>
    <mergeCell ref="B21:F21"/>
    <mergeCell ref="G14:I14"/>
    <mergeCell ref="J14:L14"/>
    <mergeCell ref="M14:O14"/>
    <mergeCell ref="G15:I15"/>
    <mergeCell ref="A24:F24"/>
    <mergeCell ref="A25:B26"/>
    <mergeCell ref="A27:F27"/>
    <mergeCell ref="W8:AC8"/>
    <mergeCell ref="AD1:AK1"/>
    <mergeCell ref="AD2:AK2"/>
    <mergeCell ref="W5:AC7"/>
    <mergeCell ref="AD6:AF6"/>
    <mergeCell ref="AD7:AF7"/>
    <mergeCell ref="AG6:AI6"/>
    <mergeCell ref="AG7:AI7"/>
    <mergeCell ref="Y21:AC21"/>
    <mergeCell ref="Y22:AC22"/>
    <mergeCell ref="Y25:AC25"/>
    <mergeCell ref="A5:F6"/>
    <mergeCell ref="A7:F7"/>
    <mergeCell ref="AD9:AF9"/>
    <mergeCell ref="AD10:AF10"/>
    <mergeCell ref="AD8:AF8"/>
    <mergeCell ref="AD11:AF11"/>
    <mergeCell ref="AD12:AF12"/>
    <mergeCell ref="B22:F22"/>
    <mergeCell ref="B23:F23"/>
    <mergeCell ref="B14:F14"/>
    <mergeCell ref="Y13:AC13"/>
    <mergeCell ref="Y14:AC14"/>
    <mergeCell ref="Y15:AC15"/>
    <mergeCell ref="Y16:AC16"/>
    <mergeCell ref="Y17:AC17"/>
    <mergeCell ref="Y18:AC18"/>
    <mergeCell ref="AG8:AI8"/>
    <mergeCell ref="AG9:AI9"/>
    <mergeCell ref="AG10:AI10"/>
    <mergeCell ref="AG11:AI11"/>
    <mergeCell ref="AG12:AI12"/>
    <mergeCell ref="AG18:AI18"/>
    <mergeCell ref="AG13:AI13"/>
    <mergeCell ref="AG14:AI14"/>
    <mergeCell ref="AJ6:AL6"/>
    <mergeCell ref="AJ7:AL7"/>
    <mergeCell ref="AD5:AL5"/>
    <mergeCell ref="AM6:AO6"/>
    <mergeCell ref="X9:AC9"/>
    <mergeCell ref="Z10:AC10"/>
    <mergeCell ref="Y11:AC11"/>
    <mergeCell ref="Y12:AC12"/>
    <mergeCell ref="AP6:AR6"/>
    <mergeCell ref="AM7:AO7"/>
    <mergeCell ref="AP7:AR7"/>
    <mergeCell ref="AM8:AO8"/>
    <mergeCell ref="AP8:AR8"/>
    <mergeCell ref="AM9:AO9"/>
    <mergeCell ref="AP9:AR9"/>
    <mergeCell ref="AM12:AO12"/>
    <mergeCell ref="AP12:AR12"/>
    <mergeCell ref="AJ8:AL8"/>
    <mergeCell ref="AJ9:AL9"/>
    <mergeCell ref="AJ10:AL10"/>
    <mergeCell ref="AJ11:AL11"/>
    <mergeCell ref="AJ12:AL12"/>
    <mergeCell ref="C25:F25"/>
    <mergeCell ref="C26:F26"/>
    <mergeCell ref="Y46:AC46"/>
    <mergeCell ref="Y32:AC32"/>
    <mergeCell ref="Y40:AC40"/>
    <mergeCell ref="Y41:AC41"/>
    <mergeCell ref="Z31:AC31"/>
    <mergeCell ref="Y33:AC33"/>
    <mergeCell ref="Y34:AC34"/>
    <mergeCell ref="Y35:Z39"/>
    <mergeCell ref="AA36:AC36"/>
    <mergeCell ref="AA37:AC37"/>
    <mergeCell ref="AA38:AC38"/>
    <mergeCell ref="Y42:Z45"/>
    <mergeCell ref="AA42:AC42"/>
    <mergeCell ref="G27:I27"/>
    <mergeCell ref="J27:L27"/>
    <mergeCell ref="M27:O27"/>
    <mergeCell ref="G26:I26"/>
    <mergeCell ref="J26:L26"/>
    <mergeCell ref="M26:O26"/>
    <mergeCell ref="AA43:AC43"/>
    <mergeCell ref="AA44:AC44"/>
    <mergeCell ref="Y19:AC19"/>
    <mergeCell ref="Y20:AC20"/>
    <mergeCell ref="Y23:AC23"/>
    <mergeCell ref="Y24:AC24"/>
    <mergeCell ref="X26:AC26"/>
    <mergeCell ref="Z27:AC27"/>
    <mergeCell ref="Y28:AC28"/>
    <mergeCell ref="Y29:AC29"/>
    <mergeCell ref="X30:AC30"/>
    <mergeCell ref="Y47:AC47"/>
    <mergeCell ref="AD47:AF47"/>
    <mergeCell ref="AG47:AI47"/>
    <mergeCell ref="AJ47:AL47"/>
    <mergeCell ref="AM47:AO47"/>
    <mergeCell ref="AP47:AR47"/>
    <mergeCell ref="AS47:AU47"/>
    <mergeCell ref="AS46:AU46"/>
    <mergeCell ref="AM45:AO45"/>
    <mergeCell ref="AP45:AR45"/>
    <mergeCell ref="AD46:AF46"/>
    <mergeCell ref="AG46:AI46"/>
    <mergeCell ref="AD45:AF45"/>
    <mergeCell ref="AG45:AI45"/>
    <mergeCell ref="AM46:AO46"/>
    <mergeCell ref="AP46:AR46"/>
    <mergeCell ref="AJ46:AL46"/>
    <mergeCell ref="AJ45:AL45"/>
    <mergeCell ref="Y48:AC48"/>
    <mergeCell ref="AD48:AF48"/>
    <mergeCell ref="AG48:AI48"/>
    <mergeCell ref="AJ48:AL48"/>
    <mergeCell ref="AM48:AO48"/>
    <mergeCell ref="AP48:AR48"/>
    <mergeCell ref="AS48:AU48"/>
    <mergeCell ref="Y49:Z51"/>
    <mergeCell ref="AA49:AC49"/>
    <mergeCell ref="AD49:AF49"/>
    <mergeCell ref="AG49:AI49"/>
    <mergeCell ref="AJ49:AL49"/>
    <mergeCell ref="AM49:AO49"/>
    <mergeCell ref="AP49:AR49"/>
    <mergeCell ref="AS49:AU49"/>
    <mergeCell ref="AA50:AC50"/>
    <mergeCell ref="AD50:AF50"/>
    <mergeCell ref="AG50:AI50"/>
    <mergeCell ref="AJ50:AL50"/>
    <mergeCell ref="AM50:AO50"/>
    <mergeCell ref="AP50:AR50"/>
    <mergeCell ref="AA51:AC51"/>
    <mergeCell ref="AD51:AF51"/>
    <mergeCell ref="AG51:AI51"/>
    <mergeCell ref="AJ51:AL51"/>
    <mergeCell ref="AM51:AO51"/>
    <mergeCell ref="AP51:AR51"/>
    <mergeCell ref="Y52:AC52"/>
    <mergeCell ref="AD52:AF52"/>
    <mergeCell ref="AG52:AI52"/>
    <mergeCell ref="AJ52:AL52"/>
    <mergeCell ref="AM52:AO52"/>
    <mergeCell ref="AP52:AR52"/>
    <mergeCell ref="AS52:AU52"/>
    <mergeCell ref="Y53:AC53"/>
    <mergeCell ref="AD53:AF53"/>
    <mergeCell ref="AG53:AI53"/>
    <mergeCell ref="AJ53:AL53"/>
    <mergeCell ref="AM53:AO53"/>
    <mergeCell ref="AP53:AR53"/>
    <mergeCell ref="AS53:AU53"/>
    <mergeCell ref="AJ54:AL54"/>
    <mergeCell ref="AM54:AO54"/>
    <mergeCell ref="AP54:AR54"/>
    <mergeCell ref="AS54:AU54"/>
    <mergeCell ref="Y55:Z56"/>
    <mergeCell ref="AA55:AC55"/>
    <mergeCell ref="AD55:AF55"/>
    <mergeCell ref="AG55:AI55"/>
    <mergeCell ref="AJ55:AL55"/>
    <mergeCell ref="AM55:AO55"/>
    <mergeCell ref="AP55:AR55"/>
    <mergeCell ref="AS55:AU55"/>
    <mergeCell ref="AA56:AC56"/>
    <mergeCell ref="AD56:AF56"/>
    <mergeCell ref="AG56:AI56"/>
    <mergeCell ref="AJ56:AL56"/>
    <mergeCell ref="AM56:AO56"/>
    <mergeCell ref="AP56:AR56"/>
    <mergeCell ref="AS56:AU56"/>
    <mergeCell ref="AD59:AF59"/>
    <mergeCell ref="AG59:AI59"/>
    <mergeCell ref="AJ59:AL59"/>
    <mergeCell ref="AM59:AO59"/>
    <mergeCell ref="AP59:AR59"/>
    <mergeCell ref="AS59:AU59"/>
    <mergeCell ref="Y60:AC60"/>
    <mergeCell ref="AD60:AF60"/>
    <mergeCell ref="AG60:AI60"/>
    <mergeCell ref="AJ60:AL60"/>
    <mergeCell ref="AM60:AO60"/>
    <mergeCell ref="AP60:AR60"/>
    <mergeCell ref="AS60:AU60"/>
    <mergeCell ref="X59:AC59"/>
    <mergeCell ref="P5:U6"/>
    <mergeCell ref="P7:U7"/>
    <mergeCell ref="P8:U8"/>
    <mergeCell ref="P9:U9"/>
    <mergeCell ref="P10:U10"/>
    <mergeCell ref="P11:U11"/>
    <mergeCell ref="P12:U12"/>
    <mergeCell ref="P13:U13"/>
    <mergeCell ref="AS58:AU58"/>
    <mergeCell ref="Y57:AC57"/>
    <mergeCell ref="AD57:AF57"/>
    <mergeCell ref="AG57:AI57"/>
    <mergeCell ref="AJ57:AL57"/>
    <mergeCell ref="AM57:AO57"/>
    <mergeCell ref="AP57:AR57"/>
    <mergeCell ref="Y58:AC58"/>
    <mergeCell ref="AD58:AF58"/>
    <mergeCell ref="AG58:AI58"/>
    <mergeCell ref="AJ58:AL58"/>
    <mergeCell ref="AM58:AO58"/>
    <mergeCell ref="AP58:AR58"/>
    <mergeCell ref="Y54:AC54"/>
    <mergeCell ref="AD54:AF54"/>
    <mergeCell ref="AG54:AI54"/>
    <mergeCell ref="P23:U23"/>
    <mergeCell ref="P24:U24"/>
    <mergeCell ref="P25:U25"/>
    <mergeCell ref="P26:U26"/>
    <mergeCell ref="P27:U27"/>
    <mergeCell ref="P14:U14"/>
    <mergeCell ref="P15:U15"/>
    <mergeCell ref="P16:U16"/>
    <mergeCell ref="P17:U17"/>
    <mergeCell ref="P18:U18"/>
    <mergeCell ref="P19:U19"/>
    <mergeCell ref="P20:U20"/>
    <mergeCell ref="P21:U21"/>
    <mergeCell ref="P22:U22"/>
  </mergeCells>
  <phoneticPr fontId="1"/>
  <pageMargins left="0.78740157480314965" right="0.43307086614173229" top="0.78740157480314965" bottom="0.39370078740157483" header="0.43307086614173229" footer="0.19685039370078741"/>
  <pageSetup paperSize="9" scale="64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36"/>
  <sheetViews>
    <sheetView showGridLines="0" view="pageBreakPreview" zoomScaleNormal="100" zoomScaleSheetLayoutView="100" workbookViewId="0"/>
  </sheetViews>
  <sheetFormatPr defaultColWidth="9" defaultRowHeight="12.75" customHeight="1"/>
  <cols>
    <col min="1" max="1" width="3.44140625" style="2" customWidth="1"/>
    <col min="2" max="4" width="2.6640625" style="2" customWidth="1"/>
    <col min="5" max="5" width="8.77734375" style="2" customWidth="1"/>
    <col min="6" max="6" width="9" style="2" customWidth="1"/>
    <col min="7" max="7" width="3.6640625" style="2" customWidth="1"/>
    <col min="8" max="9" width="10.6640625" style="2" customWidth="1"/>
    <col min="10" max="10" width="7.6640625" style="2" customWidth="1"/>
    <col min="11" max="11" width="8.6640625" style="2" customWidth="1"/>
    <col min="12" max="12" width="30.6640625" style="2" customWidth="1"/>
    <col min="13" max="13" width="11.6640625" style="2" customWidth="1"/>
    <col min="14" max="15" width="9.6640625" style="2" customWidth="1"/>
    <col min="16" max="16" width="7.109375" style="2" hidden="1" customWidth="1"/>
    <col min="17" max="17" width="6.109375" style="2" customWidth="1"/>
    <col min="18" max="18" width="3.6640625" style="2" customWidth="1"/>
    <col min="19" max="21" width="2.6640625" style="2" customWidth="1"/>
    <col min="22" max="22" width="8.6640625" style="2" customWidth="1"/>
    <col min="23" max="23" width="7.6640625" style="2" customWidth="1"/>
    <col min="24" max="24" width="6" style="2" customWidth="1"/>
    <col min="25" max="25" width="6.109375" style="2" customWidth="1"/>
    <col min="26" max="16384" width="9" style="2"/>
  </cols>
  <sheetData>
    <row r="1" spans="1:25" ht="15" customHeight="1">
      <c r="A1" s="1" t="str">
        <f>No.1!A1&amp;"年産　米生産費統計（個別経営体）　個別結果検討表　№６"</f>
        <v>2019年産　米生産費統計（個別経営体）　個別結果検討表　№６</v>
      </c>
      <c r="C1" s="1"/>
      <c r="D1" s="1"/>
      <c r="E1" s="1"/>
      <c r="F1" s="1"/>
      <c r="G1" s="1"/>
      <c r="H1" s="1"/>
      <c r="I1" s="1"/>
      <c r="M1" s="223" t="s">
        <v>1</v>
      </c>
      <c r="N1" s="224"/>
      <c r="O1" s="225"/>
      <c r="V1" s="29"/>
      <c r="W1" s="29"/>
    </row>
    <row r="2" spans="1:25" ht="15" customHeight="1">
      <c r="B2" s="1"/>
      <c r="C2" s="1"/>
      <c r="D2" s="1"/>
      <c r="E2" s="1"/>
      <c r="F2" s="1"/>
      <c r="G2" s="1"/>
      <c r="H2" s="1"/>
      <c r="I2" s="1"/>
      <c r="M2" s="561" t="str">
        <f>IF(No.1!O2="","",No.1!O2)</f>
        <v/>
      </c>
      <c r="N2" s="562"/>
      <c r="O2" s="563"/>
      <c r="S2" s="40"/>
      <c r="T2" s="40"/>
      <c r="U2" s="40"/>
      <c r="V2" s="192"/>
      <c r="W2" s="22"/>
    </row>
    <row r="3" spans="1:25" ht="14.25" customHeight="1">
      <c r="B3" s="1"/>
      <c r="C3" s="1"/>
      <c r="D3" s="1"/>
      <c r="E3" s="1"/>
      <c r="F3" s="1"/>
      <c r="G3" s="1"/>
      <c r="H3" s="1"/>
      <c r="I3" s="1"/>
      <c r="S3" s="8"/>
      <c r="T3" s="30"/>
      <c r="U3" s="30"/>
      <c r="V3" s="8"/>
      <c r="W3" s="3"/>
      <c r="X3" s="3"/>
      <c r="Y3" s="3"/>
    </row>
    <row r="4" spans="1:25" ht="14.4" customHeight="1" thickBot="1">
      <c r="A4" s="5" t="s">
        <v>269</v>
      </c>
      <c r="K4" s="5"/>
      <c r="S4" s="5"/>
    </row>
    <row r="5" spans="1:25" ht="15" customHeight="1">
      <c r="A5" s="288" t="s">
        <v>3</v>
      </c>
      <c r="B5" s="289"/>
      <c r="C5" s="289"/>
      <c r="D5" s="289"/>
      <c r="E5" s="289"/>
      <c r="F5" s="289"/>
      <c r="G5" s="674" t="s">
        <v>4</v>
      </c>
      <c r="H5" s="280">
        <f>No.1!H5</f>
        <v>19</v>
      </c>
      <c r="I5" s="278">
        <f>H5-1</f>
        <v>18</v>
      </c>
      <c r="J5" s="158" t="s">
        <v>6</v>
      </c>
      <c r="K5" s="276" t="s">
        <v>7</v>
      </c>
      <c r="L5" s="676" t="s">
        <v>8</v>
      </c>
      <c r="M5" s="677"/>
      <c r="N5" s="677"/>
      <c r="O5" s="678"/>
      <c r="P5" s="35"/>
      <c r="Q5" s="38"/>
      <c r="R5" s="38"/>
      <c r="S5" s="38"/>
      <c r="T5" s="38"/>
      <c r="U5" s="38"/>
      <c r="V5" s="38"/>
      <c r="W5" s="38"/>
      <c r="X5" s="38"/>
      <c r="Y5" s="38"/>
    </row>
    <row r="6" spans="1:25" ht="15" customHeight="1" thickBot="1">
      <c r="A6" s="290"/>
      <c r="B6" s="291"/>
      <c r="C6" s="291"/>
      <c r="D6" s="291"/>
      <c r="E6" s="291"/>
      <c r="F6" s="291"/>
      <c r="G6" s="675"/>
      <c r="H6" s="281"/>
      <c r="I6" s="279"/>
      <c r="J6" s="159" t="s">
        <v>9</v>
      </c>
      <c r="K6" s="277"/>
      <c r="L6" s="679"/>
      <c r="M6" s="680"/>
      <c r="N6" s="680"/>
      <c r="O6" s="681"/>
      <c r="P6" s="36"/>
      <c r="Q6" s="38"/>
      <c r="R6" s="38"/>
      <c r="S6" s="38"/>
      <c r="T6" s="38"/>
      <c r="U6" s="38"/>
      <c r="V6" s="38"/>
      <c r="W6" s="38"/>
      <c r="X6" s="38"/>
      <c r="Y6" s="38"/>
    </row>
    <row r="7" spans="1:25" ht="17.100000000000001" customHeight="1">
      <c r="A7" s="657" t="s">
        <v>10</v>
      </c>
      <c r="B7" s="658" t="s">
        <v>11</v>
      </c>
      <c r="C7" s="659"/>
      <c r="D7" s="659"/>
      <c r="E7" s="659"/>
      <c r="F7" s="660"/>
      <c r="G7" s="160" t="s">
        <v>12</v>
      </c>
      <c r="H7" s="200"/>
      <c r="I7" s="201"/>
      <c r="J7" s="205" t="str">
        <f>IF(H7="-", "-", IF(I7="-", "-", IF(ABS(I7)=0, "-", ROUND(100*(H7-I7)/ABS(I7),1))))</f>
        <v>-</v>
      </c>
      <c r="K7" s="71">
        <f>H7-I7</f>
        <v>0</v>
      </c>
      <c r="L7" s="238"/>
      <c r="M7" s="239"/>
      <c r="N7" s="239"/>
      <c r="O7" s="240"/>
      <c r="P7" s="37"/>
      <c r="Q7" s="39"/>
      <c r="R7" s="39"/>
      <c r="S7" s="39"/>
      <c r="T7" s="39"/>
    </row>
    <row r="8" spans="1:25" ht="17.100000000000001" customHeight="1">
      <c r="A8" s="245"/>
      <c r="B8" s="269"/>
      <c r="C8" s="266" t="s">
        <v>13</v>
      </c>
      <c r="D8" s="266"/>
      <c r="E8" s="266"/>
      <c r="F8" s="252"/>
      <c r="G8" s="195" t="s">
        <v>14</v>
      </c>
      <c r="H8" s="72"/>
      <c r="I8" s="76"/>
      <c r="J8" s="206" t="str">
        <f>IF(H8="-", "-", IF(I8="-", "-", IF(ABS(I8)=0, "-", ROUND(100*(H8-I8)/ABS(I8),1))))</f>
        <v>-</v>
      </c>
      <c r="K8" s="76">
        <f t="shared" ref="K8:K35" si="0">H8-I8</f>
        <v>0</v>
      </c>
      <c r="L8" s="226"/>
      <c r="M8" s="227"/>
      <c r="N8" s="227"/>
      <c r="O8" s="228"/>
      <c r="P8" s="32"/>
      <c r="Q8" s="39"/>
      <c r="R8" s="39"/>
      <c r="S8" s="39"/>
      <c r="T8" s="39"/>
    </row>
    <row r="9" spans="1:25" ht="17.100000000000001" customHeight="1">
      <c r="A9" s="245"/>
      <c r="B9" s="266"/>
      <c r="C9" s="266" t="s">
        <v>15</v>
      </c>
      <c r="D9" s="266"/>
      <c r="E9" s="266"/>
      <c r="F9" s="252"/>
      <c r="G9" s="195" t="s">
        <v>14</v>
      </c>
      <c r="H9" s="72"/>
      <c r="I9" s="76"/>
      <c r="J9" s="206" t="str">
        <f t="shared" ref="J9:J35" si="1">IF(H9="-", "-", IF(I9="-", "-", IF(ABS(I9)=0, "-", ROUND(100*(H9-I9)/ABS(I9),1))))</f>
        <v>-</v>
      </c>
      <c r="K9" s="76">
        <f t="shared" si="0"/>
        <v>0</v>
      </c>
      <c r="L9" s="226"/>
      <c r="M9" s="227"/>
      <c r="N9" s="227"/>
      <c r="O9" s="228"/>
      <c r="P9" s="32"/>
      <c r="Q9" s="39"/>
      <c r="R9" s="39"/>
      <c r="S9" s="39"/>
      <c r="T9" s="39"/>
    </row>
    <row r="10" spans="1:25" ht="17.100000000000001" customHeight="1">
      <c r="A10" s="245"/>
      <c r="B10" s="266"/>
      <c r="C10" s="266" t="s">
        <v>16</v>
      </c>
      <c r="D10" s="266"/>
      <c r="E10" s="266"/>
      <c r="F10" s="252"/>
      <c r="G10" s="195" t="s">
        <v>14</v>
      </c>
      <c r="H10" s="72"/>
      <c r="I10" s="76"/>
      <c r="J10" s="206" t="str">
        <f t="shared" si="1"/>
        <v>-</v>
      </c>
      <c r="K10" s="76">
        <f t="shared" si="0"/>
        <v>0</v>
      </c>
      <c r="L10" s="226"/>
      <c r="M10" s="227"/>
      <c r="N10" s="227"/>
      <c r="O10" s="228"/>
      <c r="P10" s="32"/>
      <c r="Q10" s="39"/>
      <c r="R10" s="39"/>
      <c r="S10" s="39"/>
      <c r="T10" s="39"/>
    </row>
    <row r="11" spans="1:25" ht="17.100000000000001" customHeight="1">
      <c r="A11" s="245"/>
      <c r="B11" s="266"/>
      <c r="C11" s="266" t="s">
        <v>17</v>
      </c>
      <c r="D11" s="266"/>
      <c r="E11" s="266"/>
      <c r="F11" s="252"/>
      <c r="G11" s="195" t="s">
        <v>14</v>
      </c>
      <c r="H11" s="72"/>
      <c r="I11" s="76"/>
      <c r="J11" s="206" t="str">
        <f t="shared" si="1"/>
        <v>-</v>
      </c>
      <c r="K11" s="76">
        <f t="shared" si="0"/>
        <v>0</v>
      </c>
      <c r="L11" s="226"/>
      <c r="M11" s="227"/>
      <c r="N11" s="227"/>
      <c r="O11" s="228"/>
      <c r="P11" s="32"/>
      <c r="Q11" s="39"/>
      <c r="R11" s="39"/>
      <c r="S11" s="39"/>
      <c r="T11" s="39"/>
    </row>
    <row r="12" spans="1:25" ht="17.100000000000001" customHeight="1">
      <c r="A12" s="245"/>
      <c r="B12" s="266"/>
      <c r="C12" s="266" t="s">
        <v>18</v>
      </c>
      <c r="D12" s="266"/>
      <c r="E12" s="266"/>
      <c r="F12" s="252"/>
      <c r="G12" s="195" t="s">
        <v>14</v>
      </c>
      <c r="H12" s="72"/>
      <c r="I12" s="76"/>
      <c r="J12" s="206" t="str">
        <f t="shared" si="1"/>
        <v>-</v>
      </c>
      <c r="K12" s="76">
        <f t="shared" si="0"/>
        <v>0</v>
      </c>
      <c r="L12" s="226"/>
      <c r="M12" s="227"/>
      <c r="N12" s="227"/>
      <c r="O12" s="228"/>
      <c r="P12" s="32"/>
      <c r="Q12" s="39"/>
      <c r="R12" s="39"/>
      <c r="S12" s="39"/>
      <c r="T12" s="39"/>
    </row>
    <row r="13" spans="1:25" ht="17.100000000000001" customHeight="1">
      <c r="A13" s="245"/>
      <c r="B13" s="266"/>
      <c r="C13" s="252" t="s">
        <v>270</v>
      </c>
      <c r="D13" s="253"/>
      <c r="E13" s="253"/>
      <c r="F13" s="667"/>
      <c r="G13" s="195" t="s">
        <v>14</v>
      </c>
      <c r="H13" s="72"/>
      <c r="I13" s="76"/>
      <c r="J13" s="206" t="str">
        <f t="shared" si="1"/>
        <v>-</v>
      </c>
      <c r="K13" s="76">
        <f t="shared" si="0"/>
        <v>0</v>
      </c>
      <c r="L13" s="226"/>
      <c r="M13" s="227"/>
      <c r="N13" s="227"/>
      <c r="O13" s="228"/>
      <c r="P13" s="32"/>
      <c r="Q13" s="39"/>
      <c r="R13" s="39"/>
      <c r="S13" s="39"/>
      <c r="T13" s="39"/>
    </row>
    <row r="14" spans="1:25" ht="17.100000000000001" customHeight="1">
      <c r="A14" s="245"/>
      <c r="B14" s="266"/>
      <c r="C14" s="285" t="s">
        <v>271</v>
      </c>
      <c r="D14" s="285"/>
      <c r="E14" s="285"/>
      <c r="F14" s="286"/>
      <c r="G14" s="195" t="s">
        <v>14</v>
      </c>
      <c r="H14" s="203"/>
      <c r="I14" s="76"/>
      <c r="J14" s="206" t="str">
        <f t="shared" si="1"/>
        <v>-</v>
      </c>
      <c r="K14" s="76">
        <f t="shared" si="0"/>
        <v>0</v>
      </c>
      <c r="L14" s="226"/>
      <c r="M14" s="227"/>
      <c r="N14" s="227"/>
      <c r="O14" s="228"/>
      <c r="P14" s="32"/>
      <c r="Q14" s="39"/>
      <c r="R14" s="39"/>
      <c r="S14" s="39"/>
      <c r="T14" s="39"/>
    </row>
    <row r="15" spans="1:25" ht="17.100000000000001" customHeight="1">
      <c r="A15" s="245"/>
      <c r="B15" s="266"/>
      <c r="C15" s="285" t="s">
        <v>272</v>
      </c>
      <c r="D15" s="285"/>
      <c r="E15" s="285"/>
      <c r="F15" s="286"/>
      <c r="G15" s="195" t="s">
        <v>14</v>
      </c>
      <c r="H15" s="203"/>
      <c r="I15" s="76"/>
      <c r="J15" s="206" t="str">
        <f t="shared" si="1"/>
        <v>-</v>
      </c>
      <c r="K15" s="76">
        <f t="shared" si="0"/>
        <v>0</v>
      </c>
      <c r="L15" s="226"/>
      <c r="M15" s="227"/>
      <c r="N15" s="227"/>
      <c r="O15" s="228"/>
      <c r="P15" s="32"/>
      <c r="Q15" s="39"/>
      <c r="R15" s="39"/>
      <c r="S15" s="39"/>
      <c r="T15" s="39"/>
    </row>
    <row r="16" spans="1:25" ht="17.100000000000001" customHeight="1">
      <c r="A16" s="245"/>
      <c r="B16" s="266"/>
      <c r="C16" s="285" t="s">
        <v>273</v>
      </c>
      <c r="D16" s="285"/>
      <c r="E16" s="285"/>
      <c r="F16" s="286"/>
      <c r="G16" s="195" t="s">
        <v>14</v>
      </c>
      <c r="H16" s="203"/>
      <c r="I16" s="76"/>
      <c r="J16" s="206" t="str">
        <f t="shared" si="1"/>
        <v>-</v>
      </c>
      <c r="K16" s="76">
        <f t="shared" si="0"/>
        <v>0</v>
      </c>
      <c r="L16" s="226"/>
      <c r="M16" s="227"/>
      <c r="N16" s="227"/>
      <c r="O16" s="228"/>
      <c r="P16" s="37"/>
      <c r="Q16" s="39"/>
      <c r="R16" s="39"/>
      <c r="S16" s="39"/>
      <c r="T16" s="39"/>
    </row>
    <row r="17" spans="1:20" ht="17.100000000000001" customHeight="1">
      <c r="A17" s="245"/>
      <c r="B17" s="266"/>
      <c r="C17" s="285" t="s">
        <v>274</v>
      </c>
      <c r="D17" s="285"/>
      <c r="E17" s="285"/>
      <c r="F17" s="286"/>
      <c r="G17" s="195" t="s">
        <v>14</v>
      </c>
      <c r="H17" s="203"/>
      <c r="I17" s="76"/>
      <c r="J17" s="206" t="str">
        <f t="shared" si="1"/>
        <v>-</v>
      </c>
      <c r="K17" s="76">
        <f t="shared" si="0"/>
        <v>0</v>
      </c>
      <c r="L17" s="226"/>
      <c r="M17" s="227"/>
      <c r="N17" s="227"/>
      <c r="O17" s="228"/>
      <c r="P17" s="32"/>
      <c r="Q17" s="39"/>
      <c r="R17" s="39"/>
      <c r="S17" s="39"/>
      <c r="T17" s="39"/>
    </row>
    <row r="18" spans="1:20" ht="17.100000000000001" customHeight="1">
      <c r="A18" s="245"/>
      <c r="B18" s="266"/>
      <c r="C18" s="266" t="s">
        <v>275</v>
      </c>
      <c r="D18" s="266"/>
      <c r="E18" s="266"/>
      <c r="F18" s="252"/>
      <c r="G18" s="195" t="s">
        <v>276</v>
      </c>
      <c r="H18" s="203"/>
      <c r="I18" s="76"/>
      <c r="J18" s="206" t="str">
        <f t="shared" si="1"/>
        <v>-</v>
      </c>
      <c r="K18" s="76">
        <f t="shared" si="0"/>
        <v>0</v>
      </c>
      <c r="L18" s="226"/>
      <c r="M18" s="227"/>
      <c r="N18" s="227"/>
      <c r="O18" s="228"/>
      <c r="P18" s="32"/>
      <c r="Q18" s="39"/>
      <c r="R18" s="39"/>
      <c r="S18" s="39"/>
      <c r="T18" s="39"/>
    </row>
    <row r="19" spans="1:20" ht="17.100000000000001" customHeight="1">
      <c r="A19" s="245"/>
      <c r="B19" s="199"/>
      <c r="C19" s="266" t="s">
        <v>277</v>
      </c>
      <c r="D19" s="266"/>
      <c r="E19" s="266"/>
      <c r="F19" s="252"/>
      <c r="G19" s="195" t="s">
        <v>276</v>
      </c>
      <c r="H19" s="203"/>
      <c r="I19" s="76"/>
      <c r="J19" s="207" t="str">
        <f t="shared" si="1"/>
        <v>-</v>
      </c>
      <c r="K19" s="76">
        <f t="shared" si="0"/>
        <v>0</v>
      </c>
      <c r="L19" s="226"/>
      <c r="M19" s="227"/>
      <c r="N19" s="227"/>
      <c r="O19" s="228"/>
      <c r="P19" s="32"/>
      <c r="Q19" s="39"/>
      <c r="R19" s="39"/>
      <c r="S19" s="39"/>
      <c r="T19" s="39"/>
    </row>
    <row r="20" spans="1:20" ht="17.100000000000001" customHeight="1">
      <c r="A20" s="245"/>
      <c r="B20" s="272" t="s">
        <v>27</v>
      </c>
      <c r="C20" s="682"/>
      <c r="D20" s="682"/>
      <c r="E20" s="682"/>
      <c r="F20" s="683"/>
      <c r="G20" s="197" t="s">
        <v>14</v>
      </c>
      <c r="H20" s="204"/>
      <c r="I20" s="85"/>
      <c r="J20" s="208" t="str">
        <f t="shared" si="1"/>
        <v>-</v>
      </c>
      <c r="K20" s="85">
        <f t="shared" si="0"/>
        <v>0</v>
      </c>
      <c r="L20" s="226"/>
      <c r="M20" s="227"/>
      <c r="N20" s="227"/>
      <c r="O20" s="228"/>
      <c r="P20" s="32"/>
      <c r="Q20" s="39"/>
      <c r="R20" s="39"/>
      <c r="S20" s="39"/>
      <c r="T20" s="39"/>
    </row>
    <row r="21" spans="1:20" ht="17.100000000000001" customHeight="1">
      <c r="A21" s="671" t="s">
        <v>278</v>
      </c>
      <c r="B21" s="283" t="s">
        <v>279</v>
      </c>
      <c r="C21" s="283"/>
      <c r="D21" s="283"/>
      <c r="E21" s="283"/>
      <c r="F21" s="283"/>
      <c r="G21" s="202" t="s">
        <v>48</v>
      </c>
      <c r="H21" s="216"/>
      <c r="I21" s="210"/>
      <c r="J21" s="209" t="str">
        <f t="shared" si="1"/>
        <v>-</v>
      </c>
      <c r="K21" s="210">
        <f t="shared" si="0"/>
        <v>0</v>
      </c>
      <c r="L21" s="241"/>
      <c r="M21" s="242"/>
      <c r="N21" s="242"/>
      <c r="O21" s="243"/>
      <c r="P21" s="32"/>
      <c r="Q21" s="39"/>
      <c r="R21" s="39"/>
      <c r="S21" s="39"/>
      <c r="T21" s="39"/>
    </row>
    <row r="22" spans="1:20" ht="17.100000000000001" customHeight="1">
      <c r="A22" s="672"/>
      <c r="B22" s="266" t="s">
        <v>280</v>
      </c>
      <c r="C22" s="266"/>
      <c r="D22" s="266"/>
      <c r="E22" s="266"/>
      <c r="F22" s="266"/>
      <c r="G22" s="195" t="s">
        <v>14</v>
      </c>
      <c r="H22" s="217"/>
      <c r="I22" s="211"/>
      <c r="J22" s="206" t="str">
        <f t="shared" si="1"/>
        <v>-</v>
      </c>
      <c r="K22" s="211">
        <f t="shared" si="0"/>
        <v>0</v>
      </c>
      <c r="L22" s="226"/>
      <c r="M22" s="227"/>
      <c r="N22" s="227"/>
      <c r="O22" s="228"/>
      <c r="P22" s="32"/>
      <c r="Q22" s="39"/>
      <c r="R22" s="39"/>
      <c r="S22" s="39"/>
      <c r="T22" s="39"/>
    </row>
    <row r="23" spans="1:20" ht="17.100000000000001" customHeight="1">
      <c r="A23" s="672"/>
      <c r="B23" s="266" t="s">
        <v>281</v>
      </c>
      <c r="C23" s="266"/>
      <c r="D23" s="266"/>
      <c r="E23" s="266"/>
      <c r="F23" s="266"/>
      <c r="G23" s="195" t="s">
        <v>14</v>
      </c>
      <c r="H23" s="217"/>
      <c r="I23" s="211"/>
      <c r="J23" s="206" t="str">
        <f t="shared" si="1"/>
        <v>-</v>
      </c>
      <c r="K23" s="211">
        <f t="shared" si="0"/>
        <v>0</v>
      </c>
      <c r="L23" s="226"/>
      <c r="M23" s="227"/>
      <c r="N23" s="227"/>
      <c r="O23" s="228"/>
      <c r="P23" s="32"/>
      <c r="Q23" s="39"/>
      <c r="R23" s="39"/>
      <c r="S23" s="39"/>
      <c r="T23" s="39"/>
    </row>
    <row r="24" spans="1:20" ht="17.100000000000001" customHeight="1">
      <c r="A24" s="672"/>
      <c r="B24" s="266" t="s">
        <v>282</v>
      </c>
      <c r="C24" s="266"/>
      <c r="D24" s="266"/>
      <c r="E24" s="266"/>
      <c r="F24" s="266"/>
      <c r="G24" s="195" t="s">
        <v>14</v>
      </c>
      <c r="H24" s="217"/>
      <c r="I24" s="211"/>
      <c r="J24" s="206" t="str">
        <f t="shared" si="1"/>
        <v>-</v>
      </c>
      <c r="K24" s="211">
        <f t="shared" si="0"/>
        <v>0</v>
      </c>
      <c r="L24" s="226"/>
      <c r="M24" s="227"/>
      <c r="N24" s="227"/>
      <c r="O24" s="228"/>
      <c r="P24" s="32"/>
      <c r="Q24" s="39"/>
      <c r="R24" s="39"/>
      <c r="S24" s="39"/>
      <c r="T24" s="39"/>
    </row>
    <row r="25" spans="1:20" ht="17.100000000000001" customHeight="1">
      <c r="A25" s="672"/>
      <c r="B25" s="266" t="s">
        <v>283</v>
      </c>
      <c r="C25" s="266"/>
      <c r="D25" s="266"/>
      <c r="E25" s="266"/>
      <c r="F25" s="266"/>
      <c r="G25" s="195" t="s">
        <v>14</v>
      </c>
      <c r="H25" s="217"/>
      <c r="I25" s="211"/>
      <c r="J25" s="206" t="str">
        <f t="shared" si="1"/>
        <v>-</v>
      </c>
      <c r="K25" s="211">
        <f t="shared" si="0"/>
        <v>0</v>
      </c>
      <c r="L25" s="226"/>
      <c r="M25" s="227"/>
      <c r="N25" s="227"/>
      <c r="O25" s="228"/>
      <c r="P25" s="32"/>
      <c r="Q25" s="39"/>
      <c r="R25" s="39"/>
      <c r="S25" s="39"/>
      <c r="T25" s="39"/>
    </row>
    <row r="26" spans="1:20" ht="17.100000000000001" customHeight="1">
      <c r="A26" s="672"/>
      <c r="B26" s="266" t="s">
        <v>284</v>
      </c>
      <c r="C26" s="266"/>
      <c r="D26" s="266"/>
      <c r="E26" s="266"/>
      <c r="F26" s="266"/>
      <c r="G26" s="195" t="s">
        <v>14</v>
      </c>
      <c r="H26" s="217"/>
      <c r="I26" s="211"/>
      <c r="J26" s="206" t="str">
        <f t="shared" si="1"/>
        <v>-</v>
      </c>
      <c r="K26" s="211">
        <f t="shared" si="0"/>
        <v>0</v>
      </c>
      <c r="L26" s="226"/>
      <c r="M26" s="227"/>
      <c r="N26" s="227"/>
      <c r="O26" s="228"/>
      <c r="P26" s="32"/>
      <c r="Q26" s="39"/>
      <c r="R26" s="39"/>
      <c r="S26" s="39"/>
      <c r="T26" s="39"/>
    </row>
    <row r="27" spans="1:20" ht="17.100000000000001" customHeight="1">
      <c r="A27" s="672"/>
      <c r="B27" s="266" t="s">
        <v>285</v>
      </c>
      <c r="C27" s="266"/>
      <c r="D27" s="266"/>
      <c r="E27" s="266"/>
      <c r="F27" s="266"/>
      <c r="G27" s="195" t="s">
        <v>14</v>
      </c>
      <c r="H27" s="217"/>
      <c r="I27" s="211"/>
      <c r="J27" s="206" t="str">
        <f t="shared" si="1"/>
        <v>-</v>
      </c>
      <c r="K27" s="211">
        <f t="shared" si="0"/>
        <v>0</v>
      </c>
      <c r="L27" s="226"/>
      <c r="M27" s="227"/>
      <c r="N27" s="227"/>
      <c r="O27" s="228"/>
      <c r="P27" s="32"/>
      <c r="Q27" s="39"/>
      <c r="R27" s="39"/>
      <c r="S27" s="39"/>
      <c r="T27" s="39"/>
    </row>
    <row r="28" spans="1:20" ht="17.100000000000001" customHeight="1">
      <c r="A28" s="672"/>
      <c r="B28" s="266" t="s">
        <v>286</v>
      </c>
      <c r="C28" s="266"/>
      <c r="D28" s="266"/>
      <c r="E28" s="266"/>
      <c r="F28" s="266"/>
      <c r="G28" s="195" t="s">
        <v>14</v>
      </c>
      <c r="H28" s="217"/>
      <c r="I28" s="211"/>
      <c r="J28" s="206" t="str">
        <f t="shared" si="1"/>
        <v>-</v>
      </c>
      <c r="K28" s="211">
        <f t="shared" si="0"/>
        <v>0</v>
      </c>
      <c r="L28" s="226"/>
      <c r="M28" s="227"/>
      <c r="N28" s="227"/>
      <c r="O28" s="228"/>
      <c r="P28" s="34"/>
      <c r="Q28" s="39"/>
      <c r="R28" s="39"/>
      <c r="S28" s="39"/>
      <c r="T28" s="39"/>
    </row>
    <row r="29" spans="1:20" ht="17.100000000000001" customHeight="1">
      <c r="A29" s="672"/>
      <c r="B29" s="266" t="s">
        <v>287</v>
      </c>
      <c r="C29" s="266"/>
      <c r="D29" s="266"/>
      <c r="E29" s="266"/>
      <c r="F29" s="266"/>
      <c r="G29" s="195" t="s">
        <v>14</v>
      </c>
      <c r="H29" s="217"/>
      <c r="I29" s="211"/>
      <c r="J29" s="206" t="str">
        <f t="shared" si="1"/>
        <v>-</v>
      </c>
      <c r="K29" s="211">
        <f t="shared" si="0"/>
        <v>0</v>
      </c>
      <c r="L29" s="226"/>
      <c r="M29" s="227"/>
      <c r="N29" s="227"/>
      <c r="O29" s="228"/>
    </row>
    <row r="30" spans="1:20" ht="17.100000000000001" customHeight="1">
      <c r="A30" s="672"/>
      <c r="B30" s="266" t="s">
        <v>288</v>
      </c>
      <c r="C30" s="266"/>
      <c r="D30" s="266"/>
      <c r="E30" s="266"/>
      <c r="F30" s="266"/>
      <c r="G30" s="195" t="s">
        <v>14</v>
      </c>
      <c r="H30" s="217"/>
      <c r="I30" s="211"/>
      <c r="J30" s="206" t="str">
        <f t="shared" si="1"/>
        <v>-</v>
      </c>
      <c r="K30" s="211">
        <f t="shared" si="0"/>
        <v>0</v>
      </c>
      <c r="L30" s="226"/>
      <c r="M30" s="227"/>
      <c r="N30" s="227"/>
      <c r="O30" s="228"/>
    </row>
    <row r="31" spans="1:20" ht="17.100000000000001" customHeight="1">
      <c r="A31" s="672"/>
      <c r="B31" s="266" t="s">
        <v>289</v>
      </c>
      <c r="C31" s="266"/>
      <c r="D31" s="266"/>
      <c r="E31" s="266"/>
      <c r="F31" s="266"/>
      <c r="G31" s="195" t="s">
        <v>14</v>
      </c>
      <c r="H31" s="217"/>
      <c r="I31" s="211"/>
      <c r="J31" s="206" t="str">
        <f t="shared" si="1"/>
        <v>-</v>
      </c>
      <c r="K31" s="211">
        <f t="shared" si="0"/>
        <v>0</v>
      </c>
      <c r="L31" s="226"/>
      <c r="M31" s="227"/>
      <c r="N31" s="227"/>
      <c r="O31" s="228"/>
    </row>
    <row r="32" spans="1:20" ht="17.100000000000001" customHeight="1">
      <c r="A32" s="672"/>
      <c r="B32" s="266" t="s">
        <v>290</v>
      </c>
      <c r="C32" s="266"/>
      <c r="D32" s="266"/>
      <c r="E32" s="266"/>
      <c r="F32" s="266"/>
      <c r="G32" s="195" t="s">
        <v>14</v>
      </c>
      <c r="H32" s="217"/>
      <c r="I32" s="211"/>
      <c r="J32" s="206" t="str">
        <f t="shared" si="1"/>
        <v>-</v>
      </c>
      <c r="K32" s="211">
        <f t="shared" si="0"/>
        <v>0</v>
      </c>
      <c r="L32" s="226"/>
      <c r="M32" s="227"/>
      <c r="N32" s="227"/>
      <c r="O32" s="228"/>
    </row>
    <row r="33" spans="1:15" ht="17.100000000000001" customHeight="1">
      <c r="A33" s="672"/>
      <c r="B33" s="252" t="s">
        <v>291</v>
      </c>
      <c r="C33" s="253"/>
      <c r="D33" s="253"/>
      <c r="E33" s="253"/>
      <c r="F33" s="667"/>
      <c r="G33" s="195" t="s">
        <v>276</v>
      </c>
      <c r="H33" s="217"/>
      <c r="I33" s="211"/>
      <c r="J33" s="206" t="str">
        <f t="shared" si="1"/>
        <v>-</v>
      </c>
      <c r="K33" s="211">
        <f t="shared" si="0"/>
        <v>0</v>
      </c>
      <c r="L33" s="226"/>
      <c r="M33" s="227"/>
      <c r="N33" s="227"/>
      <c r="O33" s="228"/>
    </row>
    <row r="34" spans="1:15" ht="17.100000000000001" customHeight="1">
      <c r="A34" s="673"/>
      <c r="B34" s="668" t="s">
        <v>292</v>
      </c>
      <c r="C34" s="669"/>
      <c r="D34" s="669"/>
      <c r="E34" s="669"/>
      <c r="F34" s="670"/>
      <c r="G34" s="196" t="s">
        <v>276</v>
      </c>
      <c r="H34" s="218"/>
      <c r="I34" s="213"/>
      <c r="J34" s="212" t="str">
        <f t="shared" si="1"/>
        <v>-</v>
      </c>
      <c r="K34" s="213">
        <f t="shared" si="0"/>
        <v>0</v>
      </c>
      <c r="L34" s="220"/>
      <c r="M34" s="221"/>
      <c r="N34" s="221"/>
      <c r="O34" s="222"/>
    </row>
    <row r="35" spans="1:15" ht="17.100000000000001" customHeight="1" thickBot="1">
      <c r="A35" s="661" t="s">
        <v>293</v>
      </c>
      <c r="B35" s="662"/>
      <c r="C35" s="662"/>
      <c r="D35" s="662"/>
      <c r="E35" s="662"/>
      <c r="F35" s="663"/>
      <c r="G35" s="198" t="s">
        <v>50</v>
      </c>
      <c r="H35" s="219"/>
      <c r="I35" s="215"/>
      <c r="J35" s="214" t="str">
        <f t="shared" si="1"/>
        <v>-</v>
      </c>
      <c r="K35" s="215">
        <f t="shared" si="0"/>
        <v>0</v>
      </c>
      <c r="L35" s="664"/>
      <c r="M35" s="665"/>
      <c r="N35" s="665"/>
      <c r="O35" s="666"/>
    </row>
    <row r="36" spans="1:15" ht="12.75" customHeight="1">
      <c r="J36" s="3"/>
    </row>
  </sheetData>
  <mergeCells count="69">
    <mergeCell ref="L11:O11"/>
    <mergeCell ref="C12:F12"/>
    <mergeCell ref="L12:O12"/>
    <mergeCell ref="B22:F22"/>
    <mergeCell ref="B23:F23"/>
    <mergeCell ref="L22:O22"/>
    <mergeCell ref="L23:O23"/>
    <mergeCell ref="B8:B18"/>
    <mergeCell ref="C16:F16"/>
    <mergeCell ref="C17:F17"/>
    <mergeCell ref="C18:F18"/>
    <mergeCell ref="C15:F15"/>
    <mergeCell ref="C11:F11"/>
    <mergeCell ref="B20:F20"/>
    <mergeCell ref="C13:F13"/>
    <mergeCell ref="C14:F14"/>
    <mergeCell ref="L9:O9"/>
    <mergeCell ref="C10:F10"/>
    <mergeCell ref="L10:O10"/>
    <mergeCell ref="C8:F8"/>
    <mergeCell ref="L8:O8"/>
    <mergeCell ref="C9:F9"/>
    <mergeCell ref="M1:O1"/>
    <mergeCell ref="M2:O2"/>
    <mergeCell ref="A5:F6"/>
    <mergeCell ref="G5:G6"/>
    <mergeCell ref="H5:H6"/>
    <mergeCell ref="I5:I6"/>
    <mergeCell ref="K5:K6"/>
    <mergeCell ref="L5:O6"/>
    <mergeCell ref="A7:A20"/>
    <mergeCell ref="B7:F7"/>
    <mergeCell ref="C19:F19"/>
    <mergeCell ref="A35:F35"/>
    <mergeCell ref="L35:O35"/>
    <mergeCell ref="L31:O31"/>
    <mergeCell ref="B32:F32"/>
    <mergeCell ref="L32:O32"/>
    <mergeCell ref="B33:F33"/>
    <mergeCell ref="B34:F34"/>
    <mergeCell ref="A21:A34"/>
    <mergeCell ref="B29:F29"/>
    <mergeCell ref="L29:O29"/>
    <mergeCell ref="B30:F30"/>
    <mergeCell ref="L30:O30"/>
    <mergeCell ref="L7:O7"/>
    <mergeCell ref="B31:F31"/>
    <mergeCell ref="B21:F21"/>
    <mergeCell ref="L21:O21"/>
    <mergeCell ref="L33:O33"/>
    <mergeCell ref="L34:O34"/>
    <mergeCell ref="L28:O28"/>
    <mergeCell ref="B27:F27"/>
    <mergeCell ref="B28:F28"/>
    <mergeCell ref="L27:O27"/>
    <mergeCell ref="B24:F24"/>
    <mergeCell ref="L24:O24"/>
    <mergeCell ref="B25:F25"/>
    <mergeCell ref="L25:O25"/>
    <mergeCell ref="B26:F26"/>
    <mergeCell ref="L26:O26"/>
    <mergeCell ref="L13:O13"/>
    <mergeCell ref="L16:O16"/>
    <mergeCell ref="L17:O17"/>
    <mergeCell ref="L19:O19"/>
    <mergeCell ref="L20:O20"/>
    <mergeCell ref="L18:O18"/>
    <mergeCell ref="L15:O15"/>
    <mergeCell ref="L14:O14"/>
  </mergeCells>
  <phoneticPr fontId="1"/>
  <pageMargins left="0.78740157480314965" right="0.43307086614173229" top="0.78740157480314965" bottom="0.39370078740157483" header="0.43307086614173229" footer="0.19685039370078741"/>
  <pageSetup paperSize="9" scale="9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No.1</vt:lpstr>
      <vt:lpstr>No.2</vt:lpstr>
      <vt:lpstr>No.3</vt:lpstr>
      <vt:lpstr>No.4</vt:lpstr>
      <vt:lpstr>No.5</vt:lpstr>
      <vt:lpstr>No.6</vt:lpstr>
      <vt:lpstr>No.1!Print_Area</vt:lpstr>
      <vt:lpstr>No.2!Print_Area</vt:lpstr>
      <vt:lpstr>No.3!Print_Area</vt:lpstr>
      <vt:lpstr>No.4!Print_Area</vt:lpstr>
      <vt:lpstr>No.5!Print_Area</vt:lpstr>
      <vt:lpstr>No.6!Print_Area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川上　優貴</dc:creator>
  <cp:keywords/>
  <dc:description/>
  <cp:lastModifiedBy>daiko_lee</cp:lastModifiedBy>
  <cp:revision/>
  <cp:lastPrinted>2022-12-19T06:22:58Z</cp:lastPrinted>
  <dcterms:created xsi:type="dcterms:W3CDTF">2011-03-14T15:00:00Z</dcterms:created>
  <dcterms:modified xsi:type="dcterms:W3CDTF">2022-12-19T06:25:54Z</dcterms:modified>
  <cp:category/>
  <cp:contentStatus/>
</cp:coreProperties>
</file>