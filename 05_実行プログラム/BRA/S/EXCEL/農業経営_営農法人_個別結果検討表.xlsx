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urceSafe\User_Work\kawasuzaki\Phase3\Excel\"/>
    </mc:Choice>
  </mc:AlternateContent>
  <xr:revisionPtr revIDLastSave="0" documentId="13_ncr:1_{3F3A158B-1846-4AA9-A7EC-F90DB4E4C3FD}" xr6:coauthVersionLast="36" xr6:coauthVersionMax="36" xr10:uidLastSave="{00000000-0000-0000-0000-000000000000}"/>
  <bookViews>
    <workbookView xWindow="930" yWindow="0" windowWidth="19200" windowHeight="6750" tabRatio="688" xr2:uid="{00000000-000D-0000-FFFF-FFFF00000000}"/>
  </bookViews>
  <sheets>
    <sheet name="個別検討表" sheetId="17" r:id="rId1"/>
    <sheet name="指標部" sheetId="10" state="hidden" r:id="rId2"/>
  </sheets>
  <definedNames>
    <definedName name="_xlnm.Print_Area" localSheetId="0">個別検討表!$A$1:$N$58</definedName>
    <definedName name="_xlnm.Print_Area" localSheetId="1">指標部!$A$1:$I$25</definedName>
    <definedName name="経費範囲" localSheetId="1">#REF!</definedName>
    <definedName name="経費範囲">#REF!</definedName>
    <definedName name="経理範囲2" localSheetId="1">#REF!</definedName>
    <definedName name="経理範囲2">#REF!</definedName>
    <definedName name="現場調査費" localSheetId="1">#REF!</definedName>
    <definedName name="現場調査費">#REF!</definedName>
    <definedName name="現調単価" localSheetId="1">#REF!</definedName>
    <definedName name="現調単価">#REF!</definedName>
    <definedName name="合計" localSheetId="1">#REF!</definedName>
    <definedName name="合計">#REF!</definedName>
    <definedName name="材料範囲" localSheetId="1">#REF!</definedName>
    <definedName name="材料範囲">#REF!</definedName>
    <definedName name="資産編" localSheetId="1">#REF!</definedName>
    <definedName name="資産編">#REF!</definedName>
    <definedName name="資産編２" localSheetId="1">#REF!</definedName>
    <definedName name="資産編２">#REF!</definedName>
    <definedName name="諸経費率" localSheetId="1">#REF!</definedName>
    <definedName name="諸経費率">#REF!</definedName>
    <definedName name="範囲" localSheetId="1">#REF!</definedName>
    <definedName name="範囲">#REF!</definedName>
    <definedName name="労務範囲" localSheetId="1">#REF!</definedName>
    <definedName name="労務範囲">#REF!</definedName>
    <definedName name="労務範囲２" localSheetId="1">#REF!</definedName>
    <definedName name="労務範囲２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7" l="1"/>
  <c r="J10" i="17"/>
  <c r="J25" i="17"/>
  <c r="J23" i="17"/>
  <c r="J22" i="17"/>
  <c r="J32" i="17" l="1"/>
  <c r="J24" i="17"/>
  <c r="J26" i="17"/>
  <c r="J27" i="17"/>
  <c r="J28" i="17"/>
  <c r="J29" i="17"/>
  <c r="J30" i="17"/>
  <c r="J31" i="17"/>
  <c r="J19" i="17"/>
  <c r="J11" i="17"/>
  <c r="J12" i="17"/>
  <c r="J13" i="17"/>
  <c r="J16" i="17"/>
  <c r="J17" i="17"/>
  <c r="J18" i="17"/>
  <c r="G6" i="17" l="1"/>
  <c r="H6" i="17" s="1"/>
  <c r="H40" i="17" s="1"/>
  <c r="I9" i="17"/>
  <c r="M9" i="17"/>
  <c r="I10" i="17"/>
  <c r="M10" i="17"/>
  <c r="I11" i="17"/>
  <c r="M11" i="17"/>
  <c r="I12" i="17"/>
  <c r="M12" i="17"/>
  <c r="I13" i="17"/>
  <c r="M13" i="17"/>
  <c r="I14" i="17"/>
  <c r="M14" i="17"/>
  <c r="I16" i="17"/>
  <c r="I17" i="17"/>
  <c r="I18" i="17"/>
  <c r="I19" i="17"/>
  <c r="I20" i="17"/>
  <c r="I21" i="17"/>
  <c r="M21" i="17"/>
  <c r="I22" i="17"/>
  <c r="M22" i="17"/>
  <c r="I23" i="17"/>
  <c r="M23" i="17"/>
  <c r="I24" i="17"/>
  <c r="M24" i="17"/>
  <c r="I25" i="17"/>
  <c r="M25" i="17"/>
  <c r="I26" i="17"/>
  <c r="M26" i="17"/>
  <c r="I27" i="17"/>
  <c r="M27" i="17"/>
  <c r="I28" i="17"/>
  <c r="I29" i="17"/>
  <c r="I30" i="17"/>
  <c r="I31" i="17"/>
  <c r="I32" i="17"/>
  <c r="I33" i="17"/>
  <c r="M33" i="17"/>
  <c r="I34" i="17"/>
  <c r="I35" i="17"/>
  <c r="I37" i="17"/>
  <c r="M37" i="17"/>
  <c r="G40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A1" i="17" l="1"/>
  <c r="A7" i="10"/>
</calcChain>
</file>

<file path=xl/sharedStrings.xml><?xml version="1.0" encoding="utf-8"?>
<sst xmlns="http://schemas.openxmlformats.org/spreadsheetml/2006/main" count="84" uniqueCount="50">
  <si>
    <t>個別結果検討表（営農類型別経営統計）　</t>
    <rPh sb="0" eb="2">
      <t>コベツ</t>
    </rPh>
    <rPh sb="2" eb="4">
      <t>ケッカ</t>
    </rPh>
    <rPh sb="4" eb="6">
      <t>ケントウ</t>
    </rPh>
    <rPh sb="6" eb="7">
      <t>ヒョウ</t>
    </rPh>
    <rPh sb="8" eb="10">
      <t>エイノウ</t>
    </rPh>
    <rPh sb="10" eb="12">
      <t>ルイケイ</t>
    </rPh>
    <rPh sb="12" eb="13">
      <t>ベツ</t>
    </rPh>
    <rPh sb="13" eb="15">
      <t>ケイエイ</t>
    </rPh>
    <rPh sb="15" eb="17">
      <t>トウケイ</t>
    </rPh>
    <phoneticPr fontId="2"/>
  </si>
  <si>
    <t>単位</t>
    <rPh sb="0" eb="2">
      <t>タンイ</t>
    </rPh>
    <phoneticPr fontId="2"/>
  </si>
  <si>
    <t>増減率(%)</t>
    <rPh sb="0" eb="2">
      <t>ゾウゲン</t>
    </rPh>
    <rPh sb="2" eb="3">
      <t>リツ</t>
    </rPh>
    <phoneticPr fontId="2"/>
  </si>
  <si>
    <t>寄与率(%)</t>
    <rPh sb="0" eb="3">
      <t>キヨリツ</t>
    </rPh>
    <phoneticPr fontId="2"/>
  </si>
  <si>
    <t>検討結果の概要（増減要因）</t>
    <rPh sb="0" eb="1">
      <t>ケン</t>
    </rPh>
    <rPh sb="1" eb="2">
      <t>ウ</t>
    </rPh>
    <rPh sb="2" eb="3">
      <t>ムスブ</t>
    </rPh>
    <rPh sb="3" eb="4">
      <t>ハタシ</t>
    </rPh>
    <rPh sb="5" eb="6">
      <t>オオムネ</t>
    </rPh>
    <rPh sb="6" eb="7">
      <t>ヨウ</t>
    </rPh>
    <rPh sb="8" eb="10">
      <t>ゾウゲン</t>
    </rPh>
    <rPh sb="10" eb="12">
      <t>ヨウイン</t>
    </rPh>
    <phoneticPr fontId="2"/>
  </si>
  <si>
    <t>　　　年［本年］</t>
    <rPh sb="3" eb="4">
      <t>ネン</t>
    </rPh>
    <rPh sb="5" eb="7">
      <t>ホンネン</t>
    </rPh>
    <phoneticPr fontId="7"/>
  </si>
  <si>
    <t>　　　年［前年］</t>
    <rPh sb="5" eb="6">
      <t>ゼン</t>
    </rPh>
    <phoneticPr fontId="7"/>
  </si>
  <si>
    <t>［収支の概要］</t>
    <rPh sb="1" eb="3">
      <t>シュウシ</t>
    </rPh>
    <rPh sb="4" eb="6">
      <t>ガイヨウ</t>
    </rPh>
    <phoneticPr fontId="2"/>
  </si>
  <si>
    <t>農業粗収益</t>
    <rPh sb="0" eb="2">
      <t>ノウギョウ</t>
    </rPh>
    <rPh sb="2" eb="5">
      <t>ソシュウエキ</t>
    </rPh>
    <phoneticPr fontId="2"/>
  </si>
  <si>
    <t>〃</t>
  </si>
  <si>
    <t>制度受取金等</t>
    <rPh sb="0" eb="2">
      <t>セイド</t>
    </rPh>
    <rPh sb="2" eb="5">
      <t>ウケトリキン</t>
    </rPh>
    <rPh sb="5" eb="6">
      <t>トウ</t>
    </rPh>
    <phoneticPr fontId="2"/>
  </si>
  <si>
    <t>農業生産関連事業の収入</t>
    <rPh sb="0" eb="2">
      <t>ノウギョウ</t>
    </rPh>
    <rPh sb="2" eb="4">
      <t>セイサン</t>
    </rPh>
    <rPh sb="4" eb="6">
      <t>カンレン</t>
    </rPh>
    <rPh sb="6" eb="8">
      <t>ジギョウ</t>
    </rPh>
    <rPh sb="9" eb="11">
      <t>シュウニュウ</t>
    </rPh>
    <phoneticPr fontId="2"/>
  </si>
  <si>
    <t>農業経営費</t>
    <rPh sb="0" eb="2">
      <t>ノウギョウ</t>
    </rPh>
    <rPh sb="2" eb="5">
      <t>ケイエイヒ</t>
    </rPh>
    <phoneticPr fontId="2"/>
  </si>
  <si>
    <t>制度積立金等</t>
    <rPh sb="0" eb="2">
      <t>セイド</t>
    </rPh>
    <rPh sb="2" eb="3">
      <t>ツ</t>
    </rPh>
    <rPh sb="3" eb="4">
      <t>タ</t>
    </rPh>
    <rPh sb="4" eb="5">
      <t>キン</t>
    </rPh>
    <rPh sb="5" eb="6">
      <t>トウ</t>
    </rPh>
    <phoneticPr fontId="2"/>
  </si>
  <si>
    <t>減価償却費</t>
    <rPh sb="0" eb="2">
      <t>ゲンカ</t>
    </rPh>
    <rPh sb="2" eb="5">
      <t>ショウキャクヒ</t>
    </rPh>
    <phoneticPr fontId="2"/>
  </si>
  <si>
    <t>農業所得</t>
    <rPh sb="0" eb="2">
      <t>ノウギョウ</t>
    </rPh>
    <rPh sb="2" eb="4">
      <t>ショトク</t>
    </rPh>
    <phoneticPr fontId="2"/>
  </si>
  <si>
    <t>農業生産関連事業の支出</t>
    <rPh sb="0" eb="2">
      <t>ノウギョウ</t>
    </rPh>
    <rPh sb="2" eb="4">
      <t>セイサン</t>
    </rPh>
    <rPh sb="4" eb="6">
      <t>カンレン</t>
    </rPh>
    <rPh sb="6" eb="8">
      <t>ジギョウ</t>
    </rPh>
    <rPh sb="9" eb="11">
      <t>シシュツ</t>
    </rPh>
    <phoneticPr fontId="2"/>
  </si>
  <si>
    <t>農業生産関連事業所得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ショトク</t>
    </rPh>
    <phoneticPr fontId="2"/>
  </si>
  <si>
    <t>［資産］</t>
    <rPh sb="1" eb="3">
      <t>シサン</t>
    </rPh>
    <phoneticPr fontId="2"/>
  </si>
  <si>
    <t>農業固定資産額</t>
    <rPh sb="0" eb="2">
      <t>ノウギョウ</t>
    </rPh>
    <rPh sb="2" eb="4">
      <t>コテイ</t>
    </rPh>
    <rPh sb="4" eb="7">
      <t>シサンガク</t>
    </rPh>
    <phoneticPr fontId="2"/>
  </si>
  <si>
    <t>円</t>
    <rPh sb="0" eb="1">
      <t>エン</t>
    </rPh>
    <phoneticPr fontId="2"/>
  </si>
  <si>
    <t>No.2</t>
  </si>
  <si>
    <t>［経営概況］</t>
    <rPh sb="1" eb="3">
      <t>ケイエイ</t>
    </rPh>
    <rPh sb="3" eb="5">
      <t>ガイキョウ</t>
    </rPh>
    <phoneticPr fontId="2"/>
  </si>
  <si>
    <t>農業従事者</t>
    <rPh sb="0" eb="2">
      <t>ノウギョウ</t>
    </rPh>
    <rPh sb="2" eb="5">
      <t>ジュウジシャ</t>
    </rPh>
    <phoneticPr fontId="2"/>
  </si>
  <si>
    <t>人</t>
    <rPh sb="0" eb="1">
      <t>ニン</t>
    </rPh>
    <phoneticPr fontId="2"/>
  </si>
  <si>
    <t>時間</t>
    <rPh sb="0" eb="2">
      <t>ジカン</t>
    </rPh>
    <phoneticPr fontId="2"/>
  </si>
  <si>
    <t>経営耕地面積</t>
    <rPh sb="0" eb="2">
      <t>ケイエイ</t>
    </rPh>
    <rPh sb="2" eb="4">
      <t>コウチ</t>
    </rPh>
    <rPh sb="4" eb="6">
      <t>メンセキ</t>
    </rPh>
    <phoneticPr fontId="2"/>
  </si>
  <si>
    <t>a㎡頭羽</t>
    <rPh sb="2" eb="3">
      <t>トウ</t>
    </rPh>
    <rPh sb="3" eb="4">
      <t>ハ</t>
    </rPh>
    <phoneticPr fontId="2"/>
  </si>
  <si>
    <t>営農類型規模</t>
    <rPh sb="0" eb="2">
      <t>エイノウ</t>
    </rPh>
    <rPh sb="2" eb="4">
      <t>ルイケイ</t>
    </rPh>
    <rPh sb="4" eb="6">
      <t>キボ</t>
    </rPh>
    <phoneticPr fontId="2"/>
  </si>
  <si>
    <t>指標部</t>
    <rPh sb="0" eb="2">
      <t>シヒョウ</t>
    </rPh>
    <rPh sb="2" eb="3">
      <t>ブ</t>
    </rPh>
    <phoneticPr fontId="2"/>
  </si>
  <si>
    <t>都道府県</t>
    <rPh sb="0" eb="4">
      <t>トドウフケン</t>
    </rPh>
    <phoneticPr fontId="2"/>
  </si>
  <si>
    <t>地方農政局等</t>
    <rPh sb="0" eb="2">
      <t>チホウ</t>
    </rPh>
    <rPh sb="2" eb="5">
      <t>ノウセイキョク</t>
    </rPh>
    <rPh sb="5" eb="6">
      <t>トウ</t>
    </rPh>
    <phoneticPr fontId="2"/>
  </si>
  <si>
    <t>センサス番号</t>
    <rPh sb="4" eb="6">
      <t>バンゴウ</t>
    </rPh>
    <phoneticPr fontId="2"/>
  </si>
  <si>
    <t>経営種類</t>
    <rPh sb="0" eb="2">
      <t>ケイエイ</t>
    </rPh>
    <rPh sb="2" eb="4">
      <t>シュルイ</t>
    </rPh>
    <phoneticPr fontId="2"/>
  </si>
  <si>
    <t>営農類型区分</t>
    <rPh sb="0" eb="2">
      <t>エイノウ</t>
    </rPh>
    <rPh sb="2" eb="4">
      <t>ルイケイ</t>
    </rPh>
    <rPh sb="4" eb="6">
      <t>クブン</t>
    </rPh>
    <phoneticPr fontId="2"/>
  </si>
  <si>
    <t>営農類型
規模区分</t>
    <rPh sb="0" eb="2">
      <t>エイノウ</t>
    </rPh>
    <rPh sb="2" eb="4">
      <t>ルイケイ</t>
    </rPh>
    <rPh sb="5" eb="7">
      <t>キボ</t>
    </rPh>
    <rPh sb="7" eb="9">
      <t>クブン</t>
    </rPh>
    <phoneticPr fontId="2"/>
  </si>
  <si>
    <t>No.1</t>
    <phoneticPr fontId="2"/>
  </si>
  <si>
    <t>雇用者数</t>
    <rPh sb="0" eb="3">
      <t>コヨウシャ</t>
    </rPh>
    <rPh sb="3" eb="4">
      <t>スウ</t>
    </rPh>
    <phoneticPr fontId="2"/>
  </si>
  <si>
    <t>投下労働時間</t>
    <rPh sb="0" eb="2">
      <t>トウカ</t>
    </rPh>
    <rPh sb="2" eb="4">
      <t>ロウドウ</t>
    </rPh>
    <rPh sb="4" eb="6">
      <t>ジカン</t>
    </rPh>
    <phoneticPr fontId="2"/>
  </si>
  <si>
    <t>投下労働時間（雇用者）</t>
    <rPh sb="0" eb="2">
      <t>トウカ</t>
    </rPh>
    <rPh sb="2" eb="4">
      <t>ロウドウ</t>
    </rPh>
    <rPh sb="4" eb="6">
      <t>ジカン</t>
    </rPh>
    <rPh sb="7" eb="10">
      <t>コヨウシャ</t>
    </rPh>
    <phoneticPr fontId="2"/>
  </si>
  <si>
    <t>「都道府県」・・・個別結果表の≪000001≫に対応する名称を表示（別表７「都道府県、地方農政局等」参照）</t>
    <rPh sb="1" eb="5">
      <t>トドウフケン</t>
    </rPh>
    <rPh sb="9" eb="11">
      <t>コベツ</t>
    </rPh>
    <rPh sb="11" eb="14">
      <t>ケッカヒョウ</t>
    </rPh>
    <rPh sb="24" eb="26">
      <t>タイオウ</t>
    </rPh>
    <rPh sb="28" eb="30">
      <t>メイショウ</t>
    </rPh>
    <rPh sb="31" eb="33">
      <t>ヒョウジ</t>
    </rPh>
    <rPh sb="34" eb="36">
      <t>ベッピョウ</t>
    </rPh>
    <rPh sb="38" eb="42">
      <t>トドウフケン</t>
    </rPh>
    <rPh sb="43" eb="45">
      <t>チホウ</t>
    </rPh>
    <rPh sb="45" eb="48">
      <t>ノウセイキョク</t>
    </rPh>
    <rPh sb="48" eb="49">
      <t>トウ</t>
    </rPh>
    <rPh sb="50" eb="52">
      <t>サンショウ</t>
    </rPh>
    <phoneticPr fontId="2"/>
  </si>
  <si>
    <t>「地方農政局等」・・・「都道府県」に対応する名称を表示（別表７「都道府県、地方農政局等」参照）</t>
    <rPh sb="1" eb="3">
      <t>チホウ</t>
    </rPh>
    <rPh sb="3" eb="6">
      <t>ノウセイキョク</t>
    </rPh>
    <rPh sb="6" eb="7">
      <t>トウ</t>
    </rPh>
    <rPh sb="12" eb="16">
      <t>トドウフケン</t>
    </rPh>
    <rPh sb="18" eb="20">
      <t>タイオウ</t>
    </rPh>
    <rPh sb="22" eb="24">
      <t>メイショウ</t>
    </rPh>
    <rPh sb="25" eb="27">
      <t>ヒョウジ</t>
    </rPh>
    <phoneticPr fontId="2"/>
  </si>
  <si>
    <t>「営農類型区分」・・・個別結果表の≪000004≫に対応する名称を表示（別表８「営農類型区分」参照）</t>
    <rPh sb="1" eb="3">
      <t>エイノウ</t>
    </rPh>
    <rPh sb="3" eb="5">
      <t>ルイケイ</t>
    </rPh>
    <rPh sb="5" eb="7">
      <t>クブン</t>
    </rPh>
    <rPh sb="11" eb="13">
      <t>コベツ</t>
    </rPh>
    <rPh sb="13" eb="15">
      <t>ケッカ</t>
    </rPh>
    <rPh sb="15" eb="16">
      <t>オモテ</t>
    </rPh>
    <rPh sb="26" eb="28">
      <t>タイオウ</t>
    </rPh>
    <rPh sb="30" eb="32">
      <t>メイショウ</t>
    </rPh>
    <rPh sb="33" eb="35">
      <t>ヒョウジ</t>
    </rPh>
    <rPh sb="40" eb="42">
      <t>エイノウ</t>
    </rPh>
    <rPh sb="42" eb="44">
      <t>ルイケイ</t>
    </rPh>
    <rPh sb="44" eb="46">
      <t>クブン</t>
    </rPh>
    <phoneticPr fontId="2"/>
  </si>
  <si>
    <t>「営農類型規模区分」・・・個別結果表の≪000005≫に対応する名称を表示（別表10「営農類型規模区分、指定部門規模区分」参照）</t>
    <rPh sb="1" eb="3">
      <t>エイノウ</t>
    </rPh>
    <rPh sb="3" eb="5">
      <t>ルイケイ</t>
    </rPh>
    <rPh sb="5" eb="7">
      <t>キボ</t>
    </rPh>
    <rPh sb="7" eb="9">
      <t>クブン</t>
    </rPh>
    <rPh sb="13" eb="15">
      <t>コベツ</t>
    </rPh>
    <rPh sb="15" eb="17">
      <t>ケッカ</t>
    </rPh>
    <rPh sb="17" eb="18">
      <t>オモテ</t>
    </rPh>
    <rPh sb="28" eb="30">
      <t>タイオウ</t>
    </rPh>
    <rPh sb="32" eb="34">
      <t>メイショウ</t>
    </rPh>
    <rPh sb="35" eb="37">
      <t>ヒョウジ</t>
    </rPh>
    <phoneticPr fontId="2"/>
  </si>
  <si>
    <t>「センサス番号」・・・個別結果表の≪000002≫を表示</t>
    <rPh sb="5" eb="7">
      <t>バンゴウ</t>
    </rPh>
    <rPh sb="26" eb="28">
      <t>ヒョウジ</t>
    </rPh>
    <phoneticPr fontId="2"/>
  </si>
  <si>
    <t>「経営種類」・・・『法人経営体』と表示</t>
    <rPh sb="1" eb="3">
      <t>ケイエイ</t>
    </rPh>
    <rPh sb="3" eb="5">
      <t>シュルイ</t>
    </rPh>
    <rPh sb="10" eb="12">
      <t>ホウジン</t>
    </rPh>
    <rPh sb="17" eb="19">
      <t>ヒョウジ</t>
    </rPh>
    <phoneticPr fontId="2"/>
  </si>
  <si>
    <t>作物収入</t>
    <rPh sb="0" eb="2">
      <t>サクモツ</t>
    </rPh>
    <rPh sb="2" eb="4">
      <t>シュウニュウ</t>
    </rPh>
    <phoneticPr fontId="2"/>
  </si>
  <si>
    <t>畜産収入</t>
    <rPh sb="0" eb="2">
      <t>チクサン</t>
    </rPh>
    <rPh sb="2" eb="4">
      <t>シュウニュウ</t>
    </rPh>
    <phoneticPr fontId="2"/>
  </si>
  <si>
    <t>〃</t>
    <phoneticPr fontId="2"/>
  </si>
  <si>
    <t>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</si>
</sst>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0&quot;年[前年]&quot;"/>
    <numFmt numFmtId="177" formatCode="#\ ###\ ##0.0;\-#\ ###\ ##0.0;"/>
    <numFmt numFmtId="178" formatCode="#0&quot;年[本年]&quot;"/>
    <numFmt numFmtId="179" formatCode="00"/>
    <numFmt numFmtId="180" formatCode="#,##0.0"/>
  </numFmts>
  <fonts count="13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明朝"/>
      <family val="1"/>
      <charset val="128"/>
    </font>
    <font>
      <b/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0" fillId="0" borderId="0">
      <alignment vertical="center"/>
    </xf>
    <xf numFmtId="0" fontId="12" fillId="0" borderId="0"/>
    <xf numFmtId="0" fontId="12" fillId="0" borderId="0"/>
    <xf numFmtId="0" fontId="10" fillId="0" borderId="0">
      <alignment vertical="center"/>
    </xf>
    <xf numFmtId="0" fontId="11" fillId="0" borderId="0"/>
  </cellStyleXfs>
  <cellXfs count="208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176" fontId="3" fillId="2" borderId="4" xfId="0" applyNumberFormat="1" applyFont="1" applyFill="1" applyBorder="1" applyAlignment="1">
      <alignment horizontal="center" vertical="center" wrapText="1" shrinkToFit="1"/>
    </xf>
    <xf numFmtId="176" fontId="3" fillId="2" borderId="6" xfId="0" applyNumberFormat="1" applyFont="1" applyFill="1" applyBorder="1" applyAlignment="1">
      <alignment horizontal="center" vertical="center" wrapText="1" shrinkToFit="1"/>
    </xf>
    <xf numFmtId="176" fontId="3" fillId="2" borderId="5" xfId="0" applyNumberFormat="1" applyFont="1" applyFill="1" applyBorder="1" applyAlignment="1">
      <alignment horizontal="center" vertical="center" wrapText="1" shrinkToFit="1"/>
    </xf>
    <xf numFmtId="0" fontId="3" fillId="2" borderId="8" xfId="0" applyFont="1" applyFill="1" applyBorder="1" applyAlignment="1">
      <alignment horizontal="center" shrinkToFit="1"/>
    </xf>
    <xf numFmtId="176" fontId="6" fillId="2" borderId="12" xfId="0" applyNumberFormat="1" applyFont="1" applyFill="1" applyBorder="1" applyAlignment="1">
      <alignment horizontal="right"/>
    </xf>
    <xf numFmtId="176" fontId="6" fillId="2" borderId="14" xfId="0" applyNumberFormat="1" applyFont="1" applyFill="1" applyBorder="1" applyAlignment="1">
      <alignment horizontal="right"/>
    </xf>
    <xf numFmtId="176" fontId="6" fillId="2" borderId="13" xfId="0" applyNumberFormat="1" applyFont="1" applyFill="1" applyBorder="1" applyAlignment="1">
      <alignment horizontal="right"/>
    </xf>
    <xf numFmtId="0" fontId="8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distributed" vertical="center" justifyLastLine="1"/>
    </xf>
    <xf numFmtId="0" fontId="3" fillId="2" borderId="3" xfId="0" applyFont="1" applyFill="1" applyBorder="1" applyAlignment="1">
      <alignment horizontal="center" shrinkToFit="1"/>
    </xf>
    <xf numFmtId="0" fontId="3" fillId="2" borderId="17" xfId="0" applyFont="1" applyFill="1" applyBorder="1" applyAlignment="1">
      <alignment horizontal="center" shrinkToFit="1"/>
    </xf>
    <xf numFmtId="0" fontId="8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distributed" vertical="center" justifyLastLine="1"/>
    </xf>
    <xf numFmtId="0" fontId="3" fillId="2" borderId="20" xfId="0" applyFont="1" applyFill="1" applyBorder="1" applyAlignment="1">
      <alignment horizontal="distributed" vertical="center" justifyLastLine="1"/>
    </xf>
    <xf numFmtId="0" fontId="3" fillId="2" borderId="21" xfId="0" applyFont="1" applyFill="1" applyBorder="1" applyAlignment="1">
      <alignment horizontal="center" shrinkToFit="1"/>
    </xf>
    <xf numFmtId="0" fontId="8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distributed" vertical="center" justifyLastLine="1"/>
    </xf>
    <xf numFmtId="0" fontId="3" fillId="2" borderId="17" xfId="0" applyFont="1" applyFill="1" applyBorder="1" applyAlignment="1">
      <alignment horizontal="distributed" vertical="center" justifyLastLine="1"/>
    </xf>
    <xf numFmtId="0" fontId="3" fillId="2" borderId="25" xfId="0" applyFont="1" applyFill="1" applyBorder="1" applyAlignment="1">
      <alignment horizontal="center" shrinkToFit="1"/>
    </xf>
    <xf numFmtId="0" fontId="3" fillId="2" borderId="23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distributed" vertical="center" justifyLastLine="1"/>
    </xf>
    <xf numFmtId="0" fontId="3" fillId="2" borderId="30" xfId="0" applyFont="1" applyFill="1" applyBorder="1" applyAlignment="1">
      <alignment horizontal="distributed" vertical="center" justifyLastLine="1"/>
    </xf>
    <xf numFmtId="0" fontId="3" fillId="2" borderId="31" xfId="0" applyFont="1" applyFill="1" applyBorder="1" applyAlignment="1">
      <alignment horizontal="center" shrinkToFit="1"/>
    </xf>
    <xf numFmtId="0" fontId="3" fillId="2" borderId="35" xfId="0" applyFont="1" applyFill="1" applyBorder="1" applyAlignment="1">
      <alignment vertical="center"/>
    </xf>
    <xf numFmtId="0" fontId="3" fillId="2" borderId="39" xfId="0" applyFont="1" applyFill="1" applyBorder="1" applyAlignment="1">
      <alignment horizontal="center" shrinkToFit="1"/>
    </xf>
    <xf numFmtId="0" fontId="3" fillId="2" borderId="40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3" fillId="2" borderId="42" xfId="0" applyFont="1" applyFill="1" applyBorder="1" applyAlignment="1">
      <alignment horizontal="distributed" vertical="center" justifyLastLine="1"/>
    </xf>
    <xf numFmtId="0" fontId="3" fillId="2" borderId="43" xfId="0" applyFont="1" applyFill="1" applyBorder="1" applyAlignment="1">
      <alignment horizontal="center" shrinkToFit="1"/>
    </xf>
    <xf numFmtId="0" fontId="8" fillId="2" borderId="48" xfId="0" applyFont="1" applyFill="1" applyBorder="1" applyAlignment="1">
      <alignment vertical="center"/>
    </xf>
    <xf numFmtId="0" fontId="3" fillId="2" borderId="49" xfId="0" applyFont="1" applyFill="1" applyBorder="1" applyAlignment="1">
      <alignment horizontal="distributed" vertical="center" justifyLastLine="1"/>
    </xf>
    <xf numFmtId="0" fontId="3" fillId="2" borderId="39" xfId="0" applyFont="1" applyFill="1" applyBorder="1" applyAlignment="1">
      <alignment horizontal="distributed" vertical="center" justifyLastLine="1"/>
    </xf>
    <xf numFmtId="0" fontId="3" fillId="2" borderId="0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3" fillId="2" borderId="49" xfId="0" applyFont="1" applyFill="1" applyBorder="1" applyAlignment="1">
      <alignment vertical="center"/>
    </xf>
    <xf numFmtId="0" fontId="3" fillId="2" borderId="30" xfId="0" applyFont="1" applyFill="1" applyBorder="1" applyAlignment="1">
      <alignment horizontal="center" shrinkToFit="1"/>
    </xf>
    <xf numFmtId="0" fontId="3" fillId="2" borderId="51" xfId="0" applyFont="1" applyFill="1" applyBorder="1" applyAlignment="1">
      <alignment vertical="center"/>
    </xf>
    <xf numFmtId="0" fontId="3" fillId="2" borderId="52" xfId="0" applyFont="1" applyFill="1" applyBorder="1" applyAlignment="1">
      <alignment horizontal="distributed" vertical="center" justifyLastLine="1"/>
    </xf>
    <xf numFmtId="0" fontId="3" fillId="2" borderId="8" xfId="0" applyFont="1" applyFill="1" applyBorder="1" applyAlignment="1">
      <alignment horizontal="distributed" vertical="center" justifyLastLine="1"/>
    </xf>
    <xf numFmtId="0" fontId="3" fillId="2" borderId="52" xfId="0" applyFont="1" applyFill="1" applyBorder="1" applyAlignment="1">
      <alignment vertical="center"/>
    </xf>
    <xf numFmtId="0" fontId="3" fillId="2" borderId="58" xfId="0" applyFont="1" applyFill="1" applyBorder="1" applyAlignment="1">
      <alignment vertical="center"/>
    </xf>
    <xf numFmtId="0" fontId="3" fillId="2" borderId="59" xfId="0" applyFont="1" applyFill="1" applyBorder="1" applyAlignment="1">
      <alignment vertical="center"/>
    </xf>
    <xf numFmtId="0" fontId="3" fillId="2" borderId="60" xfId="0" applyFont="1" applyFill="1" applyBorder="1" applyAlignment="1">
      <alignment horizontal="distributed" vertical="center" justifyLastLine="1"/>
    </xf>
    <xf numFmtId="0" fontId="3" fillId="2" borderId="60" xfId="0" applyFont="1" applyFill="1" applyBorder="1" applyAlignment="1">
      <alignment horizontal="center" shrinkToFit="1"/>
    </xf>
    <xf numFmtId="0" fontId="8" fillId="2" borderId="63" xfId="0" applyFont="1" applyFill="1" applyBorder="1" applyAlignment="1">
      <alignment horizontal="left" vertical="center"/>
    </xf>
    <xf numFmtId="0" fontId="3" fillId="2" borderId="64" xfId="0" applyFont="1" applyFill="1" applyBorder="1" applyAlignment="1"/>
    <xf numFmtId="0" fontId="3" fillId="2" borderId="64" xfId="0" applyFont="1" applyFill="1" applyBorder="1" applyAlignment="1">
      <alignment horizontal="center" textRotation="255"/>
    </xf>
    <xf numFmtId="0" fontId="3" fillId="2" borderId="64" xfId="0" applyFont="1" applyFill="1" applyBorder="1" applyAlignment="1">
      <alignment horizontal="left"/>
    </xf>
    <xf numFmtId="0" fontId="3" fillId="2" borderId="65" xfId="0" applyFont="1" applyFill="1" applyBorder="1" applyAlignment="1">
      <alignment horizontal="center" shrinkToFit="1"/>
    </xf>
    <xf numFmtId="0" fontId="3" fillId="2" borderId="58" xfId="0" applyFont="1" applyFill="1" applyBorder="1" applyAlignment="1">
      <alignment horizontal="left" vertical="center"/>
    </xf>
    <xf numFmtId="0" fontId="3" fillId="2" borderId="59" xfId="0" applyFont="1" applyFill="1" applyBorder="1" applyAlignment="1"/>
    <xf numFmtId="0" fontId="3" fillId="2" borderId="59" xfId="0" applyFont="1" applyFill="1" applyBorder="1" applyAlignment="1">
      <alignment horizontal="left" vertical="center"/>
    </xf>
    <xf numFmtId="0" fontId="3" fillId="2" borderId="59" xfId="0" applyFont="1" applyFill="1" applyBorder="1" applyAlignment="1">
      <alignment horizontal="left"/>
    </xf>
    <xf numFmtId="0" fontId="3" fillId="2" borderId="62" xfId="0" applyFont="1" applyFill="1" applyBorder="1" applyAlignment="1">
      <alignment horizontal="center" shrinkToFi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 shrinkToFit="1"/>
    </xf>
    <xf numFmtId="0" fontId="3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/>
    <xf numFmtId="0" fontId="3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 shrinkToFit="1"/>
    </xf>
    <xf numFmtId="176" fontId="6" fillId="2" borderId="16" xfId="0" applyNumberFormat="1" applyFont="1" applyFill="1" applyBorder="1" applyAlignment="1">
      <alignment horizontal="center" vertical="center" wrapText="1" shrinkToFit="1"/>
    </xf>
    <xf numFmtId="0" fontId="3" fillId="2" borderId="0" xfId="0" applyFont="1" applyFill="1" applyBorder="1" applyAlignment="1">
      <alignment vertical="center" wrapText="1"/>
    </xf>
    <xf numFmtId="0" fontId="3" fillId="2" borderId="49" xfId="0" applyFont="1" applyFill="1" applyBorder="1" applyAlignment="1"/>
    <xf numFmtId="0" fontId="3" fillId="2" borderId="49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left"/>
    </xf>
    <xf numFmtId="0" fontId="3" fillId="2" borderId="24" xfId="0" applyFont="1" applyFill="1" applyBorder="1" applyAlignment="1"/>
    <xf numFmtId="0" fontId="3" fillId="2" borderId="24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 vertical="center" textRotation="255"/>
    </xf>
    <xf numFmtId="0" fontId="3" fillId="2" borderId="41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center" shrinkToFit="1"/>
    </xf>
    <xf numFmtId="0" fontId="3" fillId="2" borderId="54" xfId="0" applyFont="1" applyFill="1" applyBorder="1" applyAlignment="1">
      <alignment horizontal="center" vertical="center"/>
    </xf>
    <xf numFmtId="0" fontId="7" fillId="2" borderId="0" xfId="0" applyFont="1" applyFill="1"/>
    <xf numFmtId="0" fontId="3" fillId="2" borderId="54" xfId="0" applyFont="1" applyFill="1" applyBorder="1"/>
    <xf numFmtId="0" fontId="3" fillId="2" borderId="51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distributed" vertical="center" justifyLastLine="1"/>
    </xf>
    <xf numFmtId="0" fontId="3" fillId="2" borderId="54" xfId="0" applyFont="1" applyFill="1" applyBorder="1" applyAlignment="1">
      <alignment horizontal="center" vertical="center" wrapText="1" justifyLastLine="1"/>
    </xf>
    <xf numFmtId="0" fontId="3" fillId="2" borderId="54" xfId="0" applyFont="1" applyFill="1" applyBorder="1" applyAlignment="1">
      <alignment horizontal="center" vertical="center" justifyLastLine="1"/>
    </xf>
    <xf numFmtId="178" fontId="3" fillId="2" borderId="35" xfId="0" applyNumberFormat="1" applyFont="1" applyFill="1" applyBorder="1" applyAlignment="1">
      <alignment horizontal="center" vertical="center"/>
    </xf>
    <xf numFmtId="179" fontId="3" fillId="2" borderId="35" xfId="0" applyNumberFormat="1" applyFont="1" applyFill="1" applyBorder="1" applyAlignment="1">
      <alignment horizontal="center" vertical="center" shrinkToFit="1"/>
    </xf>
    <xf numFmtId="179" fontId="3" fillId="2" borderId="54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distributed" vertical="center" justifyLastLine="1"/>
    </xf>
    <xf numFmtId="178" fontId="3" fillId="2" borderId="71" xfId="0" applyNumberFormat="1" applyFont="1" applyFill="1" applyBorder="1" applyAlignment="1">
      <alignment horizontal="center" vertical="center"/>
    </xf>
    <xf numFmtId="176" fontId="3" fillId="2" borderId="54" xfId="0" applyNumberFormat="1" applyFont="1" applyFill="1" applyBorder="1" applyAlignment="1">
      <alignment horizontal="center" vertical="center"/>
    </xf>
    <xf numFmtId="179" fontId="3" fillId="2" borderId="75" xfId="0" applyNumberFormat="1" applyFont="1" applyFill="1" applyBorder="1" applyAlignment="1">
      <alignment horizontal="center" vertical="center"/>
    </xf>
    <xf numFmtId="179" fontId="3" fillId="2" borderId="54" xfId="0" applyNumberFormat="1" applyFont="1" applyFill="1" applyBorder="1" applyAlignment="1">
      <alignment horizontal="center" vertical="center"/>
    </xf>
    <xf numFmtId="177" fontId="9" fillId="2" borderId="0" xfId="0" applyNumberFormat="1" applyFont="1" applyFill="1" applyBorder="1" applyAlignment="1">
      <alignment horizontal="right" shrinkToFit="1"/>
    </xf>
    <xf numFmtId="0" fontId="3" fillId="2" borderId="0" xfId="0" applyFont="1" applyFill="1" applyBorder="1"/>
    <xf numFmtId="177" fontId="9" fillId="2" borderId="10" xfId="0" applyNumberFormat="1" applyFont="1" applyFill="1" applyBorder="1" applyAlignment="1">
      <alignment horizontal="right" shrinkToFit="1"/>
    </xf>
    <xf numFmtId="177" fontId="1" fillId="2" borderId="10" xfId="0" applyNumberFormat="1" applyFont="1" applyFill="1" applyBorder="1" applyAlignment="1">
      <alignment horizontal="right" shrinkToFit="1"/>
    </xf>
    <xf numFmtId="0" fontId="1" fillId="2" borderId="0" xfId="0" applyFont="1" applyFill="1" applyBorder="1" applyAlignment="1">
      <alignment horizontal="right"/>
    </xf>
    <xf numFmtId="176" fontId="6" fillId="2" borderId="67" xfId="0" applyNumberFormat="1" applyFont="1" applyFill="1" applyBorder="1" applyAlignment="1">
      <alignment horizontal="right"/>
    </xf>
    <xf numFmtId="49" fontId="3" fillId="2" borderId="35" xfId="0" applyNumberFormat="1" applyFont="1" applyFill="1" applyBorder="1" applyAlignment="1">
      <alignment horizontal="center" vertical="center" shrinkToFit="1"/>
    </xf>
    <xf numFmtId="176" fontId="3" fillId="2" borderId="4" xfId="0" applyNumberFormat="1" applyFont="1" applyFill="1" applyBorder="1" applyAlignment="1">
      <alignment horizontal="right" vertical="center" shrinkToFit="1"/>
    </xf>
    <xf numFmtId="176" fontId="3" fillId="2" borderId="5" xfId="0" applyNumberFormat="1" applyFont="1" applyFill="1" applyBorder="1" applyAlignment="1">
      <alignment horizontal="right" vertical="center" shrinkToFit="1"/>
    </xf>
    <xf numFmtId="176" fontId="3" fillId="2" borderId="3" xfId="0" applyNumberFormat="1" applyFont="1" applyFill="1" applyBorder="1" applyAlignment="1">
      <alignment horizontal="right" vertical="center" shrinkToFit="1"/>
    </xf>
    <xf numFmtId="3" fontId="3" fillId="2" borderId="76" xfId="0" applyNumberFormat="1" applyFont="1" applyFill="1" applyBorder="1" applyAlignment="1">
      <alignment horizontal="right" vertical="center" shrinkToFit="1"/>
    </xf>
    <xf numFmtId="3" fontId="3" fillId="2" borderId="22" xfId="0" applyNumberFormat="1" applyFont="1" applyFill="1" applyBorder="1" applyAlignment="1">
      <alignment horizontal="right" vertical="center" shrinkToFit="1"/>
    </xf>
    <xf numFmtId="180" fontId="3" fillId="2" borderId="22" xfId="0" applyNumberFormat="1" applyFont="1" applyFill="1" applyBorder="1" applyAlignment="1">
      <alignment horizontal="right" vertical="center" shrinkToFit="1"/>
    </xf>
    <xf numFmtId="180" fontId="3" fillId="2" borderId="77" xfId="0" applyNumberFormat="1" applyFont="1" applyFill="1" applyBorder="1" applyAlignment="1">
      <alignment horizontal="right" vertical="center" shrinkToFit="1"/>
    </xf>
    <xf numFmtId="3" fontId="3" fillId="2" borderId="78" xfId="0" applyNumberFormat="1" applyFont="1" applyFill="1" applyBorder="1" applyAlignment="1">
      <alignment horizontal="right" vertical="center" shrinkToFit="1"/>
    </xf>
    <xf numFmtId="3" fontId="3" fillId="2" borderId="27" xfId="0" applyNumberFormat="1" applyFont="1" applyFill="1" applyBorder="1" applyAlignment="1">
      <alignment horizontal="right" vertical="center" shrinkToFit="1"/>
    </xf>
    <xf numFmtId="180" fontId="3" fillId="2" borderId="27" xfId="0" applyNumberFormat="1" applyFont="1" applyFill="1" applyBorder="1" applyAlignment="1">
      <alignment horizontal="right" vertical="center" shrinkToFit="1"/>
    </xf>
    <xf numFmtId="180" fontId="3" fillId="2" borderId="79" xfId="0" applyNumberFormat="1" applyFont="1" applyFill="1" applyBorder="1" applyAlignment="1">
      <alignment horizontal="right" vertical="center" shrinkToFit="1"/>
    </xf>
    <xf numFmtId="3" fontId="3" fillId="2" borderId="80" xfId="0" applyNumberFormat="1" applyFont="1" applyFill="1" applyBorder="1" applyAlignment="1">
      <alignment horizontal="right" vertical="center" shrinkToFit="1"/>
    </xf>
    <xf numFmtId="3" fontId="3" fillId="2" borderId="44" xfId="0" applyNumberFormat="1" applyFont="1" applyFill="1" applyBorder="1" applyAlignment="1">
      <alignment horizontal="right" vertical="center" shrinkToFit="1"/>
    </xf>
    <xf numFmtId="176" fontId="3" fillId="2" borderId="70" xfId="0" applyNumberFormat="1" applyFont="1" applyFill="1" applyBorder="1" applyAlignment="1">
      <alignment horizontal="right" vertical="center" shrinkToFit="1"/>
    </xf>
    <xf numFmtId="180" fontId="3" fillId="2" borderId="44" xfId="0" applyNumberFormat="1" applyFont="1" applyFill="1" applyBorder="1" applyAlignment="1">
      <alignment horizontal="right" vertical="center" shrinkToFit="1"/>
    </xf>
    <xf numFmtId="3" fontId="3" fillId="2" borderId="75" xfId="0" applyNumberFormat="1" applyFont="1" applyFill="1" applyBorder="1" applyAlignment="1">
      <alignment horizontal="right" vertical="center" shrinkToFit="1"/>
    </xf>
    <xf numFmtId="3" fontId="3" fillId="2" borderId="53" xfId="0" applyNumberFormat="1" applyFont="1" applyFill="1" applyBorder="1" applyAlignment="1">
      <alignment horizontal="right" vertical="center" shrinkToFit="1"/>
    </xf>
    <xf numFmtId="180" fontId="3" fillId="2" borderId="53" xfId="0" applyNumberFormat="1" applyFont="1" applyFill="1" applyBorder="1" applyAlignment="1">
      <alignment horizontal="right" vertical="center" shrinkToFit="1"/>
    </xf>
    <xf numFmtId="176" fontId="3" fillId="2" borderId="81" xfId="0" applyNumberFormat="1" applyFont="1" applyFill="1" applyBorder="1" applyAlignment="1">
      <alignment horizontal="right" vertical="center" shrinkToFit="1"/>
    </xf>
    <xf numFmtId="176" fontId="3" fillId="2" borderId="82" xfId="0" applyNumberFormat="1" applyFont="1" applyFill="1" applyBorder="1" applyAlignment="1">
      <alignment horizontal="right" vertical="center" shrinkToFit="1"/>
    </xf>
    <xf numFmtId="177" fontId="9" fillId="2" borderId="83" xfId="0" applyNumberFormat="1" applyFont="1" applyFill="1" applyBorder="1" applyAlignment="1">
      <alignment horizontal="right" vertical="center" shrinkToFit="1"/>
    </xf>
    <xf numFmtId="177" fontId="9" fillId="2" borderId="66" xfId="0" applyNumberFormat="1" applyFont="1" applyFill="1" applyBorder="1" applyAlignment="1">
      <alignment horizontal="right" vertical="center" shrinkToFit="1"/>
    </xf>
    <xf numFmtId="3" fontId="3" fillId="2" borderId="86" xfId="0" applyNumberFormat="1" applyFont="1" applyFill="1" applyBorder="1" applyAlignment="1">
      <alignment horizontal="right" vertical="center" shrinkToFit="1"/>
    </xf>
    <xf numFmtId="3" fontId="3" fillId="2" borderId="61" xfId="0" applyNumberFormat="1" applyFont="1" applyFill="1" applyBorder="1" applyAlignment="1">
      <alignment horizontal="right" vertical="center" shrinkToFit="1"/>
    </xf>
    <xf numFmtId="180" fontId="3" fillId="2" borderId="61" xfId="0" applyNumberFormat="1" applyFont="1" applyFill="1" applyBorder="1" applyAlignment="1">
      <alignment horizontal="right" vertical="center" shrinkToFit="1"/>
    </xf>
    <xf numFmtId="176" fontId="3" fillId="2" borderId="2" xfId="0" applyNumberFormat="1" applyFont="1" applyFill="1" applyBorder="1" applyAlignment="1">
      <alignment horizontal="right" vertical="center" shrinkToFit="1"/>
    </xf>
    <xf numFmtId="177" fontId="9" fillId="2" borderId="63" xfId="0" applyNumberFormat="1" applyFont="1" applyFill="1" applyBorder="1" applyAlignment="1">
      <alignment horizontal="right" vertical="center" shrinkToFit="1"/>
    </xf>
    <xf numFmtId="177" fontId="9" fillId="2" borderId="85" xfId="0" applyNumberFormat="1" applyFont="1" applyFill="1" applyBorder="1" applyAlignment="1">
      <alignment horizontal="right" vertical="center" shrinkToFit="1"/>
    </xf>
    <xf numFmtId="180" fontId="3" fillId="2" borderId="87" xfId="0" applyNumberFormat="1" applyFont="1" applyFill="1" applyBorder="1" applyAlignment="1">
      <alignment horizontal="right" vertical="center" shrinkToFit="1"/>
    </xf>
    <xf numFmtId="0" fontId="3" fillId="2" borderId="16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left" vertical="center" wrapText="1"/>
    </xf>
    <xf numFmtId="0" fontId="3" fillId="2" borderId="43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4" xfId="0" applyFont="1" applyFill="1" applyBorder="1" applyAlignment="1">
      <alignment horizontal="left" vertical="center"/>
    </xf>
    <xf numFmtId="0" fontId="3" fillId="2" borderId="62" xfId="0" applyFont="1" applyFill="1" applyBorder="1" applyAlignment="1">
      <alignment horizontal="left" vertical="center"/>
    </xf>
    <xf numFmtId="0" fontId="3" fillId="2" borderId="65" xfId="0" applyFont="1" applyFill="1" applyBorder="1" applyAlignment="1">
      <alignment horizontal="left" vertical="center"/>
    </xf>
    <xf numFmtId="3" fontId="3" fillId="2" borderId="88" xfId="0" applyNumberFormat="1" applyFont="1" applyFill="1" applyBorder="1" applyAlignment="1">
      <alignment horizontal="right" vertical="center" shrinkToFit="1"/>
    </xf>
    <xf numFmtId="3" fontId="3" fillId="2" borderId="25" xfId="0" applyNumberFormat="1" applyFont="1" applyFill="1" applyBorder="1" applyAlignment="1">
      <alignment horizontal="right" vertical="center" shrinkToFit="1"/>
    </xf>
    <xf numFmtId="3" fontId="3" fillId="2" borderId="62" xfId="0" applyNumberFormat="1" applyFont="1" applyFill="1" applyBorder="1" applyAlignment="1">
      <alignment horizontal="right" vertical="center" shrinkToFit="1"/>
    </xf>
    <xf numFmtId="180" fontId="3" fillId="2" borderId="43" xfId="0" applyNumberFormat="1" applyFont="1" applyFill="1" applyBorder="1" applyAlignment="1">
      <alignment horizontal="right" vertical="center" shrinkToFit="1"/>
    </xf>
    <xf numFmtId="178" fontId="3" fillId="2" borderId="4" xfId="0" applyNumberFormat="1" applyFont="1" applyFill="1" applyBorder="1" applyAlignment="1">
      <alignment horizontal="center" vertical="center" wrapText="1" shrinkToFit="1"/>
    </xf>
    <xf numFmtId="177" fontId="9" fillId="2" borderId="40" xfId="0" applyNumberFormat="1" applyFont="1" applyFill="1" applyBorder="1" applyAlignment="1">
      <alignment horizontal="right" vertical="center" shrinkToFit="1"/>
    </xf>
    <xf numFmtId="177" fontId="9" fillId="2" borderId="41" xfId="0" applyNumberFormat="1" applyFont="1" applyFill="1" applyBorder="1" applyAlignment="1">
      <alignment horizontal="right" vertical="center" shrinkToFit="1"/>
    </xf>
    <xf numFmtId="177" fontId="9" fillId="2" borderId="42" xfId="0" applyNumberFormat="1" applyFont="1" applyFill="1" applyBorder="1" applyAlignment="1">
      <alignment horizontal="right" vertical="center" shrinkToFit="1"/>
    </xf>
    <xf numFmtId="177" fontId="9" fillId="2" borderId="23" xfId="0" applyNumberFormat="1" applyFont="1" applyFill="1" applyBorder="1" applyAlignment="1">
      <alignment horizontal="right" vertical="center" shrinkToFit="1"/>
    </xf>
    <xf numFmtId="177" fontId="9" fillId="2" borderId="24" xfId="0" applyNumberFormat="1" applyFont="1" applyFill="1" applyBorder="1" applyAlignment="1">
      <alignment horizontal="right" vertical="center" shrinkToFit="1"/>
    </xf>
    <xf numFmtId="177" fontId="9" fillId="2" borderId="17" xfId="0" applyNumberFormat="1" applyFont="1" applyFill="1" applyBorder="1" applyAlignment="1">
      <alignment horizontal="right" vertical="center" shrinkToFit="1"/>
    </xf>
    <xf numFmtId="177" fontId="9" fillId="2" borderId="91" xfId="0" applyNumberFormat="1" applyFont="1" applyFill="1" applyBorder="1" applyAlignment="1">
      <alignment horizontal="right" vertical="center" shrinkToFit="1"/>
    </xf>
    <xf numFmtId="177" fontId="9" fillId="2" borderId="68" xfId="0" applyNumberFormat="1" applyFont="1" applyFill="1" applyBorder="1" applyAlignment="1">
      <alignment horizontal="right" vertical="center" shrinkToFit="1"/>
    </xf>
    <xf numFmtId="177" fontId="9" fillId="2" borderId="69" xfId="0" applyNumberFormat="1" applyFont="1" applyFill="1" applyBorder="1" applyAlignment="1">
      <alignment horizontal="right" vertical="center" shrinkToFi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justifyLastLine="1"/>
    </xf>
    <xf numFmtId="0" fontId="3" fillId="2" borderId="2" xfId="0" applyFont="1" applyFill="1" applyBorder="1" applyAlignment="1">
      <alignment horizontal="center" vertical="center" justifyLastLine="1"/>
    </xf>
    <xf numFmtId="0" fontId="3" fillId="2" borderId="3" xfId="0" applyFont="1" applyFill="1" applyBorder="1" applyAlignment="1">
      <alignment horizontal="center" vertical="center" justifyLastLine="1"/>
    </xf>
    <xf numFmtId="0" fontId="3" fillId="2" borderId="9" xfId="0" applyFont="1" applyFill="1" applyBorder="1" applyAlignment="1">
      <alignment horizontal="center" vertical="center" justifyLastLine="1"/>
    </xf>
    <xf numFmtId="0" fontId="3" fillId="2" borderId="10" xfId="0" applyFont="1" applyFill="1" applyBorder="1" applyAlignment="1">
      <alignment horizontal="center" vertical="center" justifyLastLine="1"/>
    </xf>
    <xf numFmtId="0" fontId="3" fillId="2" borderId="11" xfId="0" applyFont="1" applyFill="1" applyBorder="1" applyAlignment="1">
      <alignment horizontal="center" vertical="center" justifyLastLine="1"/>
    </xf>
    <xf numFmtId="0" fontId="3" fillId="2" borderId="16" xfId="0" applyFont="1" applyFill="1" applyBorder="1" applyAlignment="1">
      <alignment horizontal="center" vertical="center" textRotation="255" shrinkToFit="1"/>
    </xf>
    <xf numFmtId="0" fontId="3" fillId="2" borderId="67" xfId="0" applyFont="1" applyFill="1" applyBorder="1" applyAlignment="1">
      <alignment horizontal="center" vertical="center" textRotation="255" shrinkToFit="1"/>
    </xf>
    <xf numFmtId="176" fontId="5" fillId="2" borderId="5" xfId="0" applyNumberFormat="1" applyFont="1" applyFill="1" applyBorder="1" applyAlignment="1">
      <alignment horizontal="center" vertical="center" wrapText="1" shrinkToFit="1"/>
    </xf>
    <xf numFmtId="176" fontId="5" fillId="2" borderId="13" xfId="0" applyNumberFormat="1" applyFont="1" applyFill="1" applyBorder="1" applyAlignment="1">
      <alignment horizontal="center" vertical="center" wrapText="1" shrinkToFit="1"/>
    </xf>
    <xf numFmtId="176" fontId="5" fillId="2" borderId="89" xfId="0" applyNumberFormat="1" applyFont="1" applyFill="1" applyBorder="1" applyAlignment="1">
      <alignment horizontal="center" vertical="center" wrapText="1" shrinkToFit="1"/>
    </xf>
    <xf numFmtId="176" fontId="5" fillId="2" borderId="90" xfId="0" applyNumberFormat="1" applyFont="1" applyFill="1" applyBorder="1" applyAlignment="1">
      <alignment horizontal="center" vertical="center" wrapText="1" shrinkToFit="1"/>
    </xf>
    <xf numFmtId="176" fontId="3" fillId="2" borderId="32" xfId="0" applyNumberFormat="1" applyFont="1" applyFill="1" applyBorder="1" applyAlignment="1">
      <alignment horizontal="right" vertical="center" shrinkToFit="1"/>
    </xf>
    <xf numFmtId="176" fontId="3" fillId="2" borderId="33" xfId="0" applyNumberFormat="1" applyFont="1" applyFill="1" applyBorder="1" applyAlignment="1">
      <alignment horizontal="right" vertical="center" shrinkToFit="1"/>
    </xf>
    <xf numFmtId="176" fontId="3" fillId="2" borderId="34" xfId="0" applyNumberFormat="1" applyFont="1" applyFill="1" applyBorder="1" applyAlignment="1">
      <alignment horizontal="right" vertical="center" shrinkToFit="1"/>
    </xf>
    <xf numFmtId="176" fontId="3" fillId="2" borderId="36" xfId="0" applyNumberFormat="1" applyFont="1" applyFill="1" applyBorder="1" applyAlignment="1">
      <alignment horizontal="right" vertical="center" shrinkToFit="1"/>
    </xf>
    <xf numFmtId="176" fontId="3" fillId="2" borderId="37" xfId="0" applyNumberFormat="1" applyFont="1" applyFill="1" applyBorder="1" applyAlignment="1">
      <alignment horizontal="right" vertical="center" shrinkToFit="1"/>
    </xf>
    <xf numFmtId="176" fontId="3" fillId="2" borderId="38" xfId="0" applyNumberFormat="1" applyFont="1" applyFill="1" applyBorder="1" applyAlignment="1">
      <alignment horizontal="right" vertical="center" shrinkToFit="1"/>
    </xf>
    <xf numFmtId="176" fontId="3" fillId="2" borderId="45" xfId="0" applyNumberFormat="1" applyFont="1" applyFill="1" applyBorder="1" applyAlignment="1">
      <alignment horizontal="right" vertical="center" shrinkToFit="1"/>
    </xf>
    <xf numFmtId="176" fontId="3" fillId="2" borderId="46" xfId="0" applyNumberFormat="1" applyFont="1" applyFill="1" applyBorder="1" applyAlignment="1">
      <alignment horizontal="right" vertical="center" shrinkToFit="1"/>
    </xf>
    <xf numFmtId="176" fontId="3" fillId="2" borderId="47" xfId="0" applyNumberFormat="1" applyFont="1" applyFill="1" applyBorder="1" applyAlignment="1">
      <alignment horizontal="right" vertical="center" shrinkToFit="1"/>
    </xf>
    <xf numFmtId="0" fontId="3" fillId="2" borderId="26" xfId="0" applyFont="1" applyFill="1" applyBorder="1" applyAlignment="1">
      <alignment horizontal="left" vertical="center" justifyLastLine="1"/>
    </xf>
    <xf numFmtId="0" fontId="3" fillId="2" borderId="24" xfId="0" applyFont="1" applyFill="1" applyBorder="1" applyAlignment="1">
      <alignment horizontal="left" vertical="center" justifyLastLine="1"/>
    </xf>
    <xf numFmtId="0" fontId="3" fillId="2" borderId="17" xfId="0" applyFont="1" applyFill="1" applyBorder="1" applyAlignment="1">
      <alignment horizontal="left" vertical="center" justifyLastLine="1"/>
    </xf>
    <xf numFmtId="0" fontId="3" fillId="2" borderId="26" xfId="0" applyFont="1" applyFill="1" applyBorder="1" applyAlignment="1">
      <alignment vertical="center" justifyLastLine="1"/>
    </xf>
    <xf numFmtId="0" fontId="3" fillId="2" borderId="17" xfId="0" applyFont="1" applyFill="1" applyBorder="1" applyAlignment="1">
      <alignment vertical="center" justifyLastLine="1"/>
    </xf>
    <xf numFmtId="176" fontId="3" fillId="2" borderId="55" xfId="0" applyNumberFormat="1" applyFont="1" applyFill="1" applyBorder="1" applyAlignment="1">
      <alignment horizontal="right" vertical="center" shrinkToFit="1"/>
    </xf>
    <xf numFmtId="176" fontId="3" fillId="2" borderId="56" xfId="0" applyNumberFormat="1" applyFont="1" applyFill="1" applyBorder="1" applyAlignment="1">
      <alignment horizontal="right" vertical="center" shrinkToFit="1"/>
    </xf>
    <xf numFmtId="176" fontId="3" fillId="2" borderId="57" xfId="0" applyNumberFormat="1" applyFont="1" applyFill="1" applyBorder="1" applyAlignment="1">
      <alignment horizontal="right" vertical="center" shrinkToFit="1"/>
    </xf>
    <xf numFmtId="177" fontId="9" fillId="2" borderId="84" xfId="0" applyNumberFormat="1" applyFont="1" applyFill="1" applyBorder="1" applyAlignment="1">
      <alignment horizontal="right" vertical="center" shrinkToFit="1"/>
    </xf>
    <xf numFmtId="177" fontId="9" fillId="2" borderId="82" xfId="0" applyNumberFormat="1" applyFont="1" applyFill="1" applyBorder="1" applyAlignment="1">
      <alignment horizontal="right" vertical="center" shrinkToFit="1"/>
    </xf>
    <xf numFmtId="0" fontId="3" fillId="2" borderId="6" xfId="0" applyFont="1" applyFill="1" applyBorder="1" applyAlignment="1">
      <alignment horizontal="center" vertical="center" justifyLastLine="1"/>
    </xf>
    <xf numFmtId="0" fontId="3" fillId="2" borderId="14" xfId="0" applyFont="1" applyFill="1" applyBorder="1" applyAlignment="1">
      <alignment horizontal="center" vertical="center" justifyLastLine="1"/>
    </xf>
    <xf numFmtId="176" fontId="3" fillId="2" borderId="16" xfId="0" applyNumberFormat="1" applyFont="1" applyFill="1" applyBorder="1" applyAlignment="1">
      <alignment horizontal="center" vertical="center" shrinkToFit="1"/>
    </xf>
    <xf numFmtId="176" fontId="3" fillId="2" borderId="67" xfId="0" applyNumberFormat="1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76" fontId="3" fillId="2" borderId="72" xfId="0" applyNumberFormat="1" applyFont="1" applyFill="1" applyBorder="1" applyAlignment="1">
      <alignment horizontal="center" vertical="center"/>
    </xf>
    <xf numFmtId="176" fontId="3" fillId="2" borderId="73" xfId="0" applyNumberFormat="1" applyFont="1" applyFill="1" applyBorder="1" applyAlignment="1">
      <alignment horizontal="center" vertical="center"/>
    </xf>
    <xf numFmtId="176" fontId="3" fillId="2" borderId="74" xfId="0" applyNumberFormat="1" applyFont="1" applyFill="1" applyBorder="1" applyAlignment="1">
      <alignment horizontal="center" vertical="center"/>
    </xf>
    <xf numFmtId="178" fontId="6" fillId="2" borderId="6" xfId="0" applyNumberFormat="1" applyFont="1" applyFill="1" applyBorder="1" applyAlignment="1">
      <alignment horizontal="center" vertical="center" wrapText="1" shrinkToFit="1"/>
    </xf>
  </cellXfs>
  <cellStyles count="6">
    <cellStyle name="標準" xfId="0" builtinId="0"/>
    <cellStyle name="標準 2" xfId="2" xr:uid="{00000000-0005-0000-0000-000001000000}"/>
    <cellStyle name="標準 3" xfId="4" xr:uid="{00000000-0005-0000-0000-000002000000}"/>
    <cellStyle name="標準 3 3" xfId="3" xr:uid="{00000000-0005-0000-0000-000003000000}"/>
    <cellStyle name="標準 4" xfId="5" xr:uid="{00000000-0005-0000-0000-000004000000}"/>
    <cellStyle name="標準 6" xfId="1" xr:uid="{00000000-0005-0000-0000-000005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333375</xdr:colOff>
          <xdr:row>0</xdr:row>
          <xdr:rowOff>142875</xdr:rowOff>
        </xdr:from>
        <xdr:to>
          <xdr:col>13</xdr:col>
          <xdr:colOff>2800350</xdr:colOff>
          <xdr:row>4</xdr:row>
          <xdr:rowOff>12996</xdr:rowOff>
        </xdr:to>
        <xdr:pic>
          <xdr:nvPicPr>
            <xdr:cNvPr id="44" name="図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指標部!$A$5:$I$7" spid="_x0000_s11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64455" y="142875"/>
              <a:ext cx="7656195" cy="70832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335280</xdr:colOff>
      <xdr:row>0</xdr:row>
      <xdr:rowOff>144780</xdr:rowOff>
    </xdr:from>
    <xdr:to>
      <xdr:col>13</xdr:col>
      <xdr:colOff>2804160</xdr:colOff>
      <xdr:row>4</xdr:row>
      <xdr:rowOff>15240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F5C322EF-67AC-4A40-977F-D61CF5B2EB50}"/>
            </a:ext>
          </a:extLst>
        </xdr:cNvPr>
        <xdr:cNvSpPr>
          <a:spLocks noChangeAspect="1" noChangeArrowheads="1"/>
        </xdr:cNvSpPr>
      </xdr:nvSpPr>
      <xdr:spPr bwMode="auto">
        <a:xfrm>
          <a:off x="5166360" y="144780"/>
          <a:ext cx="765810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335280</xdr:colOff>
      <xdr:row>0</xdr:row>
      <xdr:rowOff>152400</xdr:rowOff>
    </xdr:from>
    <xdr:to>
      <xdr:col>13</xdr:col>
      <xdr:colOff>2804160</xdr:colOff>
      <xdr:row>4</xdr:row>
      <xdr:rowOff>22860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EC0A66C8-FD25-4FBA-8FD5-E14420F675E5}"/>
            </a:ext>
          </a:extLst>
        </xdr:cNvPr>
        <xdr:cNvSpPr>
          <a:spLocks noChangeAspect="1" noChangeArrowheads="1"/>
        </xdr:cNvSpPr>
      </xdr:nvSpPr>
      <xdr:spPr bwMode="auto">
        <a:xfrm>
          <a:off x="5166360" y="152400"/>
          <a:ext cx="765810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5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1" width="1.75" style="2" customWidth="1"/>
    <col min="2" max="2" width="1.875" style="2" customWidth="1"/>
    <col min="3" max="3" width="3.75" style="2" customWidth="1"/>
    <col min="4" max="4" width="5.5" style="3" customWidth="1"/>
    <col min="5" max="5" width="19.5" style="3" customWidth="1"/>
    <col min="6" max="6" width="6.5" style="3" customWidth="1"/>
    <col min="7" max="7" width="16" style="3" customWidth="1"/>
    <col min="8" max="8" width="15.625" style="3" customWidth="1"/>
    <col min="9" max="10" width="14.75" style="3" customWidth="1"/>
    <col min="11" max="12" width="15.625" style="3" customWidth="1"/>
    <col min="13" max="13" width="14.75" style="3" customWidth="1"/>
    <col min="14" max="14" width="44.25" style="2" customWidth="1"/>
    <col min="15" max="15" width="12.5" style="2" bestFit="1" customWidth="1"/>
    <col min="16" max="16" width="3.875" style="2" customWidth="1"/>
    <col min="17" max="18" width="9.625" style="2" customWidth="1"/>
    <col min="19" max="19" width="7.625" style="2" customWidth="1"/>
    <col min="20" max="16384" width="9" style="2"/>
  </cols>
  <sheetData>
    <row r="1" spans="1:14" ht="20.25" customHeight="1" x14ac:dyDescent="0.2">
      <c r="A1" s="1" t="str">
        <f>G6&amp;"年  　農業経営統計調査"</f>
        <v>0年  　農業経営統計調査</v>
      </c>
      <c r="C1" s="3"/>
      <c r="G1" s="2"/>
      <c r="H1" s="2"/>
      <c r="I1" s="2"/>
      <c r="J1" s="2"/>
      <c r="K1" s="2"/>
      <c r="L1" s="2"/>
      <c r="M1" s="2"/>
      <c r="N1" s="4" t="s">
        <v>36</v>
      </c>
    </row>
    <row r="2" spans="1:14" ht="14.25" customHeight="1" x14ac:dyDescent="0.1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15"/>
    <row r="4" spans="1:14" ht="18.75" customHeight="1" x14ac:dyDescent="0.15"/>
    <row r="5" spans="1:14" ht="16.5" customHeight="1" thickBot="1" x14ac:dyDescent="0.2"/>
    <row r="6" spans="1:14" ht="28.5" customHeight="1" thickTop="1" x14ac:dyDescent="0.15">
      <c r="B6" s="163"/>
      <c r="C6" s="164"/>
      <c r="D6" s="164"/>
      <c r="E6" s="165"/>
      <c r="F6" s="169" t="s">
        <v>1</v>
      </c>
      <c r="G6" s="151">
        <f>指標部!A6</f>
        <v>0</v>
      </c>
      <c r="H6" s="6">
        <f>G6-1</f>
        <v>-1</v>
      </c>
      <c r="I6" s="171" t="s">
        <v>2</v>
      </c>
      <c r="J6" s="173" t="s">
        <v>3</v>
      </c>
      <c r="K6" s="7"/>
      <c r="L6" s="8"/>
      <c r="M6" s="173" t="s">
        <v>2</v>
      </c>
      <c r="N6" s="161" t="s">
        <v>4</v>
      </c>
    </row>
    <row r="7" spans="1:14" ht="18" customHeight="1" thickBot="1" x14ac:dyDescent="0.2">
      <c r="B7" s="166"/>
      <c r="C7" s="167"/>
      <c r="D7" s="167"/>
      <c r="E7" s="168"/>
      <c r="F7" s="170"/>
      <c r="G7" s="10" t="s">
        <v>5</v>
      </c>
      <c r="H7" s="10" t="s">
        <v>6</v>
      </c>
      <c r="I7" s="172"/>
      <c r="J7" s="174"/>
      <c r="K7" s="11" t="s">
        <v>5</v>
      </c>
      <c r="L7" s="12" t="s">
        <v>6</v>
      </c>
      <c r="M7" s="174"/>
      <c r="N7" s="162"/>
    </row>
    <row r="8" spans="1:14" ht="20.25" customHeight="1" thickTop="1" thickBot="1" x14ac:dyDescent="0.2">
      <c r="B8" s="13" t="s">
        <v>7</v>
      </c>
      <c r="C8" s="95"/>
      <c r="D8" s="95"/>
      <c r="E8" s="14"/>
      <c r="F8" s="15"/>
      <c r="G8" s="107"/>
      <c r="H8" s="107"/>
      <c r="I8" s="108"/>
      <c r="J8" s="109"/>
      <c r="K8" s="132"/>
      <c r="L8" s="108"/>
      <c r="M8" s="132"/>
      <c r="N8" s="136"/>
    </row>
    <row r="9" spans="1:14" ht="21.6" customHeight="1" x14ac:dyDescent="0.15">
      <c r="B9" s="17" t="s">
        <v>8</v>
      </c>
      <c r="C9" s="18"/>
      <c r="D9" s="18"/>
      <c r="E9" s="19"/>
      <c r="F9" s="20" t="s">
        <v>20</v>
      </c>
      <c r="G9" s="110"/>
      <c r="H9" s="111"/>
      <c r="I9" s="112" t="str">
        <f>IFERROR(100*(G9-H9)/H9,"-")</f>
        <v>-</v>
      </c>
      <c r="J9" s="113">
        <v>100</v>
      </c>
      <c r="K9" s="110"/>
      <c r="L9" s="111"/>
      <c r="M9" s="112" t="str">
        <f>IFERROR(100*(K9-L9)/L9,"-")</f>
        <v>-</v>
      </c>
      <c r="N9" s="137"/>
    </row>
    <row r="10" spans="1:14" ht="21.6" customHeight="1" x14ac:dyDescent="0.15">
      <c r="B10" s="21"/>
      <c r="C10" s="22" t="s">
        <v>46</v>
      </c>
      <c r="D10" s="23"/>
      <c r="E10" s="24"/>
      <c r="F10" s="25" t="s">
        <v>9</v>
      </c>
      <c r="G10" s="114"/>
      <c r="H10" s="115"/>
      <c r="I10" s="116" t="str">
        <f t="shared" ref="I10:I14" si="0">IFERROR(100*(G10-H10)/H10,"-")</f>
        <v>-</v>
      </c>
      <c r="J10" s="117" t="str">
        <f>IFERROR(100*(G10-H10)/($G$9-$H$9),"-")</f>
        <v>-</v>
      </c>
      <c r="K10" s="114"/>
      <c r="L10" s="115"/>
      <c r="M10" s="116" t="str">
        <f t="shared" ref="M10:M14" si="1">IFERROR(100*(K10-L10)/L10,"-")</f>
        <v>-</v>
      </c>
      <c r="N10" s="138"/>
    </row>
    <row r="11" spans="1:14" ht="21.6" customHeight="1" x14ac:dyDescent="0.15">
      <c r="B11" s="26"/>
      <c r="C11" s="22" t="s">
        <v>47</v>
      </c>
      <c r="D11" s="22"/>
      <c r="E11" s="23"/>
      <c r="F11" s="25" t="s">
        <v>9</v>
      </c>
      <c r="G11" s="114"/>
      <c r="H11" s="115"/>
      <c r="I11" s="116" t="str">
        <f t="shared" si="0"/>
        <v>-</v>
      </c>
      <c r="J11" s="117" t="str">
        <f t="shared" ref="J11:J18" si="2">IFERROR(100*(G11-H11)/($G$9-$H$9),"-")</f>
        <v>-</v>
      </c>
      <c r="K11" s="114"/>
      <c r="L11" s="115"/>
      <c r="M11" s="116" t="str">
        <f t="shared" si="1"/>
        <v>-</v>
      </c>
      <c r="N11" s="138"/>
    </row>
    <row r="12" spans="1:14" ht="21.6" customHeight="1" x14ac:dyDescent="0.15">
      <c r="B12" s="26"/>
      <c r="C12" s="22"/>
      <c r="D12" s="22"/>
      <c r="E12" s="23"/>
      <c r="F12" s="25" t="s">
        <v>9</v>
      </c>
      <c r="G12" s="114"/>
      <c r="H12" s="115"/>
      <c r="I12" s="116" t="str">
        <f t="shared" si="0"/>
        <v>-</v>
      </c>
      <c r="J12" s="117" t="str">
        <f t="shared" si="2"/>
        <v>-</v>
      </c>
      <c r="K12" s="114"/>
      <c r="L12" s="115"/>
      <c r="M12" s="116" t="str">
        <f t="shared" si="1"/>
        <v>-</v>
      </c>
      <c r="N12" s="138"/>
    </row>
    <row r="13" spans="1:14" ht="21.6" customHeight="1" x14ac:dyDescent="0.15">
      <c r="B13" s="26"/>
      <c r="C13" s="22"/>
      <c r="D13" s="22"/>
      <c r="E13" s="23"/>
      <c r="F13" s="25" t="s">
        <v>9</v>
      </c>
      <c r="G13" s="114"/>
      <c r="H13" s="115"/>
      <c r="I13" s="116" t="str">
        <f t="shared" si="0"/>
        <v>-</v>
      </c>
      <c r="J13" s="117" t="str">
        <f t="shared" si="2"/>
        <v>-</v>
      </c>
      <c r="K13" s="114"/>
      <c r="L13" s="115"/>
      <c r="M13" s="116" t="str">
        <f t="shared" si="1"/>
        <v>-</v>
      </c>
      <c r="N13" s="138"/>
    </row>
    <row r="14" spans="1:14" ht="21.6" customHeight="1" x14ac:dyDescent="0.15">
      <c r="B14" s="26"/>
      <c r="C14" s="22"/>
      <c r="D14" s="22"/>
      <c r="E14" s="23"/>
      <c r="F14" s="25" t="s">
        <v>9</v>
      </c>
      <c r="G14" s="114"/>
      <c r="H14" s="115"/>
      <c r="I14" s="116" t="str">
        <f t="shared" si="0"/>
        <v>-</v>
      </c>
      <c r="J14" s="117" t="str">
        <f>IFERROR(100*(G14-H14)/($G$9-$H$9),"-")</f>
        <v>-</v>
      </c>
      <c r="K14" s="114"/>
      <c r="L14" s="115"/>
      <c r="M14" s="116" t="str">
        <f t="shared" si="1"/>
        <v>-</v>
      </c>
      <c r="N14" s="138"/>
    </row>
    <row r="15" spans="1:14" ht="21.6" customHeight="1" x14ac:dyDescent="0.15">
      <c r="B15" s="26"/>
      <c r="C15" s="22"/>
      <c r="D15" s="22"/>
      <c r="E15" s="23"/>
      <c r="F15" s="25"/>
      <c r="G15" s="114"/>
      <c r="H15" s="115"/>
      <c r="I15" s="116"/>
      <c r="J15" s="117"/>
      <c r="K15" s="114"/>
      <c r="L15" s="115"/>
      <c r="M15" s="116"/>
      <c r="N15" s="138"/>
    </row>
    <row r="16" spans="1:14" ht="21.6" customHeight="1" x14ac:dyDescent="0.15">
      <c r="B16" s="27"/>
      <c r="C16" s="28" t="s">
        <v>10</v>
      </c>
      <c r="D16" s="29"/>
      <c r="E16" s="30"/>
      <c r="F16" s="31" t="s">
        <v>48</v>
      </c>
      <c r="G16" s="114"/>
      <c r="H16" s="115"/>
      <c r="I16" s="116" t="str">
        <f t="shared" ref="I16:I35" si="3">IFERROR(100*(G16-H16)/H16,"-")</f>
        <v>-</v>
      </c>
      <c r="J16" s="117" t="str">
        <f t="shared" si="2"/>
        <v>-</v>
      </c>
      <c r="K16" s="175"/>
      <c r="L16" s="176"/>
      <c r="M16" s="177"/>
      <c r="N16" s="139"/>
    </row>
    <row r="17" spans="2:14" ht="21.6" customHeight="1" x14ac:dyDescent="0.15">
      <c r="B17" s="32"/>
      <c r="C17" s="184"/>
      <c r="D17" s="185"/>
      <c r="E17" s="186"/>
      <c r="F17" s="31" t="s">
        <v>9</v>
      </c>
      <c r="G17" s="114"/>
      <c r="H17" s="115"/>
      <c r="I17" s="116" t="str">
        <f t="shared" si="3"/>
        <v>-</v>
      </c>
      <c r="J17" s="117" t="str">
        <f t="shared" si="2"/>
        <v>-</v>
      </c>
      <c r="K17" s="178"/>
      <c r="L17" s="179"/>
      <c r="M17" s="180"/>
      <c r="N17" s="140"/>
    </row>
    <row r="18" spans="2:14" ht="21.6" customHeight="1" x14ac:dyDescent="0.15">
      <c r="B18" s="32"/>
      <c r="C18" s="184"/>
      <c r="D18" s="185"/>
      <c r="E18" s="186"/>
      <c r="F18" s="31" t="s">
        <v>9</v>
      </c>
      <c r="G18" s="114"/>
      <c r="H18" s="115"/>
      <c r="I18" s="116" t="str">
        <f t="shared" si="3"/>
        <v>-</v>
      </c>
      <c r="J18" s="117" t="str">
        <f t="shared" si="2"/>
        <v>-</v>
      </c>
      <c r="K18" s="178"/>
      <c r="L18" s="179"/>
      <c r="M18" s="180"/>
      <c r="N18" s="140"/>
    </row>
    <row r="19" spans="2:14" ht="21.6" customHeight="1" x14ac:dyDescent="0.15">
      <c r="B19" s="32"/>
      <c r="C19" s="184"/>
      <c r="D19" s="185"/>
      <c r="E19" s="186"/>
      <c r="F19" s="31" t="s">
        <v>9</v>
      </c>
      <c r="G19" s="114"/>
      <c r="H19" s="115"/>
      <c r="I19" s="116" t="str">
        <f t="shared" si="3"/>
        <v>-</v>
      </c>
      <c r="J19" s="117" t="str">
        <f>IFERROR(100*(G19-H19)/($G$9-$H$9),"-")</f>
        <v>-</v>
      </c>
      <c r="K19" s="178"/>
      <c r="L19" s="179"/>
      <c r="M19" s="180"/>
      <c r="N19" s="140"/>
    </row>
    <row r="20" spans="2:14" ht="21.6" customHeight="1" thickBot="1" x14ac:dyDescent="0.2">
      <c r="B20" s="34" t="s">
        <v>11</v>
      </c>
      <c r="C20" s="35"/>
      <c r="D20" s="35"/>
      <c r="E20" s="36"/>
      <c r="F20" s="37" t="s">
        <v>9</v>
      </c>
      <c r="G20" s="118"/>
      <c r="H20" s="119"/>
      <c r="I20" s="116" t="str">
        <f t="shared" si="3"/>
        <v>-</v>
      </c>
      <c r="J20" s="120"/>
      <c r="K20" s="181"/>
      <c r="L20" s="182"/>
      <c r="M20" s="183"/>
      <c r="N20" s="141"/>
    </row>
    <row r="21" spans="2:14" ht="21.6" customHeight="1" x14ac:dyDescent="0.15">
      <c r="B21" s="38" t="s">
        <v>12</v>
      </c>
      <c r="C21" s="39"/>
      <c r="D21" s="39"/>
      <c r="E21" s="40"/>
      <c r="F21" s="33" t="s">
        <v>9</v>
      </c>
      <c r="G21" s="110"/>
      <c r="H21" s="111"/>
      <c r="I21" s="112" t="str">
        <f t="shared" si="3"/>
        <v>-</v>
      </c>
      <c r="J21" s="113">
        <v>100</v>
      </c>
      <c r="K21" s="110"/>
      <c r="L21" s="111"/>
      <c r="M21" s="112" t="str">
        <f t="shared" ref="M21:M27" si="4">IFERROR(100*(K21-L21)/L21,"-")</f>
        <v>-</v>
      </c>
      <c r="N21" s="142"/>
    </row>
    <row r="22" spans="2:14" ht="21.6" customHeight="1" x14ac:dyDescent="0.15">
      <c r="B22" s="26"/>
      <c r="C22" s="22"/>
      <c r="D22" s="23"/>
      <c r="E22" s="24"/>
      <c r="F22" s="16" t="s">
        <v>9</v>
      </c>
      <c r="G22" s="114"/>
      <c r="H22" s="115"/>
      <c r="I22" s="116" t="str">
        <f t="shared" si="3"/>
        <v>-</v>
      </c>
      <c r="J22" s="117" t="str">
        <f>IFERROR(100*(G22-H22)/($G$21-$H$21),"-")</f>
        <v>-</v>
      </c>
      <c r="K22" s="114"/>
      <c r="L22" s="115"/>
      <c r="M22" s="116" t="str">
        <f t="shared" si="4"/>
        <v>-</v>
      </c>
      <c r="N22" s="138"/>
    </row>
    <row r="23" spans="2:14" ht="21.6" customHeight="1" x14ac:dyDescent="0.15">
      <c r="B23" s="26"/>
      <c r="C23" s="22"/>
      <c r="D23" s="23"/>
      <c r="E23" s="24"/>
      <c r="F23" s="16" t="s">
        <v>9</v>
      </c>
      <c r="G23" s="114"/>
      <c r="H23" s="115"/>
      <c r="I23" s="116" t="str">
        <f t="shared" si="3"/>
        <v>-</v>
      </c>
      <c r="J23" s="117" t="str">
        <f>IFERROR(100*(G23-H23)/($G$21-$H$21),"-")</f>
        <v>-</v>
      </c>
      <c r="K23" s="114"/>
      <c r="L23" s="115"/>
      <c r="M23" s="116" t="str">
        <f t="shared" si="4"/>
        <v>-</v>
      </c>
      <c r="N23" s="138"/>
    </row>
    <row r="24" spans="2:14" ht="21.6" customHeight="1" x14ac:dyDescent="0.15">
      <c r="B24" s="26"/>
      <c r="C24" s="22"/>
      <c r="D24" s="23"/>
      <c r="E24" s="24"/>
      <c r="F24" s="16" t="s">
        <v>9</v>
      </c>
      <c r="G24" s="114"/>
      <c r="H24" s="115"/>
      <c r="I24" s="116" t="str">
        <f t="shared" si="3"/>
        <v>-</v>
      </c>
      <c r="J24" s="117" t="str">
        <f t="shared" ref="J24:J31" si="5">IFERROR(100*(G24-H24)/($G$21-$H$21),"-")</f>
        <v>-</v>
      </c>
      <c r="K24" s="114"/>
      <c r="L24" s="115"/>
      <c r="M24" s="116" t="str">
        <f t="shared" si="4"/>
        <v>-</v>
      </c>
      <c r="N24" s="138"/>
    </row>
    <row r="25" spans="2:14" ht="21.6" customHeight="1" x14ac:dyDescent="0.15">
      <c r="B25" s="26"/>
      <c r="C25" s="22"/>
      <c r="D25" s="23"/>
      <c r="E25" s="24"/>
      <c r="F25" s="16" t="s">
        <v>9</v>
      </c>
      <c r="G25" s="114"/>
      <c r="H25" s="115"/>
      <c r="I25" s="116" t="str">
        <f t="shared" si="3"/>
        <v>-</v>
      </c>
      <c r="J25" s="117" t="str">
        <f>IFERROR(100*(G25-H25)/($G$21-$H$21),"-")</f>
        <v>-</v>
      </c>
      <c r="K25" s="114"/>
      <c r="L25" s="115"/>
      <c r="M25" s="116" t="str">
        <f t="shared" si="4"/>
        <v>-</v>
      </c>
      <c r="N25" s="138"/>
    </row>
    <row r="26" spans="2:14" ht="21.6" customHeight="1" x14ac:dyDescent="0.15">
      <c r="B26" s="26"/>
      <c r="C26" s="22"/>
      <c r="D26" s="23"/>
      <c r="E26" s="24"/>
      <c r="F26" s="16" t="s">
        <v>9</v>
      </c>
      <c r="G26" s="114"/>
      <c r="H26" s="115"/>
      <c r="I26" s="116" t="str">
        <f t="shared" si="3"/>
        <v>-</v>
      </c>
      <c r="J26" s="117" t="str">
        <f t="shared" si="5"/>
        <v>-</v>
      </c>
      <c r="K26" s="114"/>
      <c r="L26" s="115"/>
      <c r="M26" s="116" t="str">
        <f t="shared" si="4"/>
        <v>-</v>
      </c>
      <c r="N26" s="138"/>
    </row>
    <row r="27" spans="2:14" ht="21.6" customHeight="1" x14ac:dyDescent="0.15">
      <c r="B27" s="26"/>
      <c r="C27" s="22"/>
      <c r="D27" s="23"/>
      <c r="E27" s="24"/>
      <c r="F27" s="16" t="s">
        <v>9</v>
      </c>
      <c r="G27" s="114"/>
      <c r="H27" s="115"/>
      <c r="I27" s="116" t="str">
        <f t="shared" si="3"/>
        <v>-</v>
      </c>
      <c r="J27" s="117" t="str">
        <f t="shared" si="5"/>
        <v>-</v>
      </c>
      <c r="K27" s="114"/>
      <c r="L27" s="115"/>
      <c r="M27" s="116" t="str">
        <f t="shared" si="4"/>
        <v>-</v>
      </c>
      <c r="N27" s="138"/>
    </row>
    <row r="28" spans="2:14" ht="21.6" customHeight="1" x14ac:dyDescent="0.15">
      <c r="B28" s="27"/>
      <c r="C28" s="28"/>
      <c r="D28" s="22" t="s">
        <v>13</v>
      </c>
      <c r="E28" s="24"/>
      <c r="F28" s="16" t="s">
        <v>9</v>
      </c>
      <c r="G28" s="114"/>
      <c r="H28" s="115"/>
      <c r="I28" s="116" t="str">
        <f t="shared" si="3"/>
        <v>-</v>
      </c>
      <c r="J28" s="117" t="str">
        <f t="shared" si="5"/>
        <v>-</v>
      </c>
      <c r="K28" s="175"/>
      <c r="L28" s="176"/>
      <c r="M28" s="177"/>
      <c r="N28" s="139"/>
    </row>
    <row r="29" spans="2:14" ht="21.6" customHeight="1" x14ac:dyDescent="0.15">
      <c r="B29" s="32"/>
      <c r="C29" s="41"/>
      <c r="D29" s="187"/>
      <c r="E29" s="188"/>
      <c r="F29" s="16" t="s">
        <v>9</v>
      </c>
      <c r="G29" s="114"/>
      <c r="H29" s="115"/>
      <c r="I29" s="116" t="str">
        <f t="shared" si="3"/>
        <v>-</v>
      </c>
      <c r="J29" s="117" t="str">
        <f t="shared" si="5"/>
        <v>-</v>
      </c>
      <c r="K29" s="178"/>
      <c r="L29" s="179"/>
      <c r="M29" s="180"/>
      <c r="N29" s="139"/>
    </row>
    <row r="30" spans="2:14" ht="21.6" customHeight="1" x14ac:dyDescent="0.15">
      <c r="B30" s="32"/>
      <c r="C30" s="41"/>
      <c r="D30" s="187"/>
      <c r="E30" s="188"/>
      <c r="F30" s="16" t="s">
        <v>9</v>
      </c>
      <c r="G30" s="114"/>
      <c r="H30" s="115"/>
      <c r="I30" s="116" t="str">
        <f t="shared" si="3"/>
        <v>-</v>
      </c>
      <c r="J30" s="117" t="str">
        <f t="shared" si="5"/>
        <v>-</v>
      </c>
      <c r="K30" s="178"/>
      <c r="L30" s="179"/>
      <c r="M30" s="180"/>
      <c r="N30" s="139"/>
    </row>
    <row r="31" spans="2:14" ht="21.6" customHeight="1" x14ac:dyDescent="0.15">
      <c r="B31" s="42"/>
      <c r="C31" s="43"/>
      <c r="D31" s="187"/>
      <c r="E31" s="188"/>
      <c r="F31" s="16" t="s">
        <v>9</v>
      </c>
      <c r="G31" s="114"/>
      <c r="H31" s="115"/>
      <c r="I31" s="116" t="str">
        <f t="shared" si="3"/>
        <v>-</v>
      </c>
      <c r="J31" s="117" t="str">
        <f t="shared" si="5"/>
        <v>-</v>
      </c>
      <c r="K31" s="178"/>
      <c r="L31" s="179"/>
      <c r="M31" s="180"/>
      <c r="N31" s="139"/>
    </row>
    <row r="32" spans="2:14" ht="21.6" customHeight="1" thickBot="1" x14ac:dyDescent="0.2">
      <c r="B32" s="27"/>
      <c r="C32" s="28" t="s">
        <v>14</v>
      </c>
      <c r="D32" s="28"/>
      <c r="E32" s="30"/>
      <c r="F32" s="44" t="s">
        <v>9</v>
      </c>
      <c r="G32" s="118"/>
      <c r="H32" s="119"/>
      <c r="I32" s="121" t="str">
        <f t="shared" si="3"/>
        <v>-</v>
      </c>
      <c r="J32" s="117" t="str">
        <f>IFERROR(100*(G32-H32)/($G$21-$H$21),"-")</f>
        <v>-</v>
      </c>
      <c r="K32" s="181"/>
      <c r="L32" s="182"/>
      <c r="M32" s="183"/>
      <c r="N32" s="143"/>
    </row>
    <row r="33" spans="2:14" ht="25.9" customHeight="1" thickBot="1" x14ac:dyDescent="0.2">
      <c r="B33" s="45" t="s">
        <v>15</v>
      </c>
      <c r="C33" s="46"/>
      <c r="D33" s="46"/>
      <c r="E33" s="47"/>
      <c r="F33" s="9" t="s">
        <v>9</v>
      </c>
      <c r="G33" s="122"/>
      <c r="H33" s="123"/>
      <c r="I33" s="124" t="str">
        <f t="shared" si="3"/>
        <v>-</v>
      </c>
      <c r="J33" s="125"/>
      <c r="K33" s="114"/>
      <c r="L33" s="115"/>
      <c r="M33" s="116" t="str">
        <f>IFERROR(100*(K33-L33)/L33,"-")</f>
        <v>-</v>
      </c>
      <c r="N33" s="144"/>
    </row>
    <row r="34" spans="2:14" ht="28.15" customHeight="1" thickBot="1" x14ac:dyDescent="0.2">
      <c r="B34" s="45" t="s">
        <v>16</v>
      </c>
      <c r="C34" s="48"/>
      <c r="D34" s="48"/>
      <c r="E34" s="47"/>
      <c r="F34" s="9" t="s">
        <v>9</v>
      </c>
      <c r="G34" s="122"/>
      <c r="H34" s="123"/>
      <c r="I34" s="124" t="str">
        <f t="shared" si="3"/>
        <v>-</v>
      </c>
      <c r="J34" s="125"/>
      <c r="K34" s="189"/>
      <c r="L34" s="190"/>
      <c r="M34" s="191"/>
      <c r="N34" s="144"/>
    </row>
    <row r="35" spans="2:14" ht="26.45" customHeight="1" thickBot="1" x14ac:dyDescent="0.2">
      <c r="B35" s="49" t="s">
        <v>17</v>
      </c>
      <c r="C35" s="50"/>
      <c r="D35" s="50"/>
      <c r="E35" s="51"/>
      <c r="F35" s="52" t="s">
        <v>48</v>
      </c>
      <c r="G35" s="122"/>
      <c r="H35" s="123"/>
      <c r="I35" s="124" t="str">
        <f t="shared" si="3"/>
        <v>-</v>
      </c>
      <c r="J35" s="126"/>
      <c r="K35" s="181"/>
      <c r="L35" s="182"/>
      <c r="M35" s="183"/>
      <c r="N35" s="145"/>
    </row>
    <row r="36" spans="2:14" ht="12.75" customHeight="1" x14ac:dyDescent="0.15">
      <c r="B36" s="53" t="s">
        <v>18</v>
      </c>
      <c r="C36" s="54"/>
      <c r="D36" s="55"/>
      <c r="E36" s="56"/>
      <c r="F36" s="57"/>
      <c r="G36" s="127"/>
      <c r="H36" s="128"/>
      <c r="I36" s="128"/>
      <c r="J36" s="192"/>
      <c r="K36" s="133"/>
      <c r="L36" s="128"/>
      <c r="M36" s="134"/>
      <c r="N36" s="146"/>
    </row>
    <row r="37" spans="2:14" ht="22.15" customHeight="1" thickBot="1" x14ac:dyDescent="0.2">
      <c r="B37" s="58" t="s">
        <v>19</v>
      </c>
      <c r="C37" s="59"/>
      <c r="D37" s="60"/>
      <c r="E37" s="61"/>
      <c r="F37" s="62" t="s">
        <v>20</v>
      </c>
      <c r="G37" s="129"/>
      <c r="H37" s="130"/>
      <c r="I37" s="131" t="str">
        <f>IFERROR(100*(G37-H37)/H37,"-")</f>
        <v>-</v>
      </c>
      <c r="J37" s="193"/>
      <c r="K37" s="129"/>
      <c r="L37" s="130"/>
      <c r="M37" s="135" t="str">
        <f>IFERROR(100*(K37-L37)/L37,"-")</f>
        <v>-</v>
      </c>
      <c r="N37" s="145"/>
    </row>
    <row r="38" spans="2:14" ht="6" customHeight="1" x14ac:dyDescent="0.15">
      <c r="B38" s="63"/>
      <c r="C38" s="64"/>
      <c r="D38" s="63"/>
      <c r="E38" s="65"/>
      <c r="F38" s="66"/>
      <c r="G38" s="100"/>
      <c r="H38" s="100"/>
      <c r="I38" s="100"/>
      <c r="J38" s="100"/>
      <c r="K38" s="100"/>
      <c r="L38" s="100"/>
      <c r="M38" s="100"/>
      <c r="N38" s="101"/>
    </row>
    <row r="39" spans="2:14" ht="28.5" customHeight="1" thickBot="1" x14ac:dyDescent="0.25">
      <c r="B39" s="67"/>
      <c r="C39" s="68"/>
      <c r="D39" s="67"/>
      <c r="E39" s="69"/>
      <c r="F39" s="70"/>
      <c r="G39" s="102"/>
      <c r="H39" s="102"/>
      <c r="I39" s="102"/>
      <c r="J39" s="102"/>
      <c r="K39" s="102"/>
      <c r="L39" s="102"/>
      <c r="M39" s="103" t="s">
        <v>21</v>
      </c>
      <c r="N39" s="104"/>
    </row>
    <row r="40" spans="2:14" ht="34.5" customHeight="1" thickTop="1" x14ac:dyDescent="0.15">
      <c r="B40" s="194"/>
      <c r="C40" s="164"/>
      <c r="D40" s="164"/>
      <c r="E40" s="165"/>
      <c r="F40" s="169" t="s">
        <v>1</v>
      </c>
      <c r="G40" s="207">
        <f>G6</f>
        <v>0</v>
      </c>
      <c r="H40" s="71">
        <f>H6</f>
        <v>-1</v>
      </c>
      <c r="I40" s="196" t="s">
        <v>2</v>
      </c>
      <c r="J40" s="198" t="s">
        <v>4</v>
      </c>
      <c r="K40" s="199"/>
      <c r="L40" s="199"/>
      <c r="M40" s="200"/>
      <c r="N40" s="72"/>
    </row>
    <row r="41" spans="2:14" ht="24" customHeight="1" thickBot="1" x14ac:dyDescent="0.2">
      <c r="B41" s="195"/>
      <c r="C41" s="167"/>
      <c r="D41" s="167"/>
      <c r="E41" s="168"/>
      <c r="F41" s="170"/>
      <c r="G41" s="11" t="s">
        <v>5</v>
      </c>
      <c r="H41" s="105" t="s">
        <v>6</v>
      </c>
      <c r="I41" s="197"/>
      <c r="J41" s="201"/>
      <c r="K41" s="202"/>
      <c r="L41" s="202"/>
      <c r="M41" s="203"/>
      <c r="N41" s="72"/>
    </row>
    <row r="42" spans="2:14" ht="27" customHeight="1" thickTop="1" x14ac:dyDescent="0.15">
      <c r="B42" s="38" t="s">
        <v>22</v>
      </c>
      <c r="C42" s="73"/>
      <c r="D42" s="74"/>
      <c r="E42" s="75"/>
      <c r="F42" s="33"/>
      <c r="G42" s="147"/>
      <c r="H42" s="147"/>
      <c r="I42" s="116"/>
      <c r="J42" s="158"/>
      <c r="K42" s="159"/>
      <c r="L42" s="159"/>
      <c r="M42" s="160"/>
      <c r="N42" s="101"/>
    </row>
    <row r="43" spans="2:14" ht="27" customHeight="1" x14ac:dyDescent="0.15">
      <c r="B43" s="26" t="s">
        <v>23</v>
      </c>
      <c r="C43" s="76"/>
      <c r="D43" s="77"/>
      <c r="E43" s="78"/>
      <c r="F43" s="16" t="s">
        <v>24</v>
      </c>
      <c r="G43" s="148"/>
      <c r="H43" s="148"/>
      <c r="I43" s="116" t="str">
        <f>IFERROR(100*(G43-H43)/H43,"-")</f>
        <v>-</v>
      </c>
      <c r="J43" s="155"/>
      <c r="K43" s="156"/>
      <c r="L43" s="156"/>
      <c r="M43" s="157"/>
      <c r="N43" s="101"/>
    </row>
    <row r="44" spans="2:14" ht="27" customHeight="1" x14ac:dyDescent="0.15">
      <c r="B44" s="26" t="s">
        <v>37</v>
      </c>
      <c r="C44" s="76"/>
      <c r="D44" s="77"/>
      <c r="E44" s="78"/>
      <c r="F44" s="16" t="s">
        <v>24</v>
      </c>
      <c r="G44" s="148"/>
      <c r="H44" s="148"/>
      <c r="I44" s="116" t="str">
        <f t="shared" ref="I44:I57" si="6">IFERROR(100*(G44-H44)/H44,"-")</f>
        <v>-</v>
      </c>
      <c r="J44" s="155"/>
      <c r="K44" s="156"/>
      <c r="L44" s="156"/>
      <c r="M44" s="157"/>
      <c r="N44" s="101"/>
    </row>
    <row r="45" spans="2:14" ht="27" customHeight="1" x14ac:dyDescent="0.15">
      <c r="B45" s="26" t="s">
        <v>38</v>
      </c>
      <c r="C45" s="76"/>
      <c r="D45" s="77"/>
      <c r="E45" s="78"/>
      <c r="F45" s="16" t="s">
        <v>25</v>
      </c>
      <c r="G45" s="148"/>
      <c r="H45" s="148"/>
      <c r="I45" s="116" t="str">
        <f t="shared" si="6"/>
        <v>-</v>
      </c>
      <c r="J45" s="155"/>
      <c r="K45" s="156"/>
      <c r="L45" s="156"/>
      <c r="M45" s="157"/>
      <c r="N45" s="101"/>
    </row>
    <row r="46" spans="2:14" ht="27" customHeight="1" x14ac:dyDescent="0.15">
      <c r="B46" s="26" t="s">
        <v>39</v>
      </c>
      <c r="C46" s="22"/>
      <c r="D46" s="77"/>
      <c r="E46" s="78"/>
      <c r="F46" s="16" t="s">
        <v>25</v>
      </c>
      <c r="G46" s="148"/>
      <c r="H46" s="148"/>
      <c r="I46" s="116" t="str">
        <f t="shared" si="6"/>
        <v>-</v>
      </c>
      <c r="J46" s="155"/>
      <c r="K46" s="156"/>
      <c r="L46" s="156"/>
      <c r="M46" s="157"/>
      <c r="N46" s="101"/>
    </row>
    <row r="47" spans="2:14" ht="27" customHeight="1" x14ac:dyDescent="0.15">
      <c r="B47" s="26" t="s">
        <v>26</v>
      </c>
      <c r="C47" s="76"/>
      <c r="D47" s="77"/>
      <c r="E47" s="78"/>
      <c r="F47" s="16" t="s">
        <v>49</v>
      </c>
      <c r="G47" s="148"/>
      <c r="H47" s="148"/>
      <c r="I47" s="116" t="str">
        <f t="shared" si="6"/>
        <v>-</v>
      </c>
      <c r="J47" s="155"/>
      <c r="K47" s="156"/>
      <c r="L47" s="156"/>
      <c r="M47" s="157"/>
      <c r="N47" s="101"/>
    </row>
    <row r="48" spans="2:14" ht="27" customHeight="1" x14ac:dyDescent="0.15">
      <c r="B48" s="26" t="s">
        <v>28</v>
      </c>
      <c r="C48" s="76"/>
      <c r="D48" s="77"/>
      <c r="E48" s="78"/>
      <c r="F48" s="16" t="s">
        <v>27</v>
      </c>
      <c r="G48" s="148"/>
      <c r="H48" s="148"/>
      <c r="I48" s="116" t="str">
        <f t="shared" si="6"/>
        <v>-</v>
      </c>
      <c r="J48" s="155"/>
      <c r="K48" s="156"/>
      <c r="L48" s="156"/>
      <c r="M48" s="157"/>
      <c r="N48" s="101"/>
    </row>
    <row r="49" spans="2:14" ht="27" customHeight="1" x14ac:dyDescent="0.15">
      <c r="B49" s="26"/>
      <c r="C49" s="22"/>
      <c r="D49" s="79"/>
      <c r="E49" s="78"/>
      <c r="F49" s="16"/>
      <c r="G49" s="148"/>
      <c r="H49" s="148"/>
      <c r="I49" s="116" t="str">
        <f t="shared" si="6"/>
        <v>-</v>
      </c>
      <c r="J49" s="155"/>
      <c r="K49" s="156"/>
      <c r="L49" s="156"/>
      <c r="M49" s="157"/>
      <c r="N49" s="101"/>
    </row>
    <row r="50" spans="2:14" ht="21.75" customHeight="1" x14ac:dyDescent="0.15">
      <c r="B50" s="26"/>
      <c r="C50" s="22"/>
      <c r="D50" s="77"/>
      <c r="E50" s="78"/>
      <c r="F50" s="16"/>
      <c r="G50" s="148"/>
      <c r="H50" s="148"/>
      <c r="I50" s="116" t="str">
        <f t="shared" si="6"/>
        <v>-</v>
      </c>
      <c r="J50" s="155"/>
      <c r="K50" s="156"/>
      <c r="L50" s="156"/>
      <c r="M50" s="157"/>
      <c r="N50" s="101"/>
    </row>
    <row r="51" spans="2:14" ht="27" customHeight="1" x14ac:dyDescent="0.15">
      <c r="B51" s="26"/>
      <c r="C51" s="22"/>
      <c r="D51" s="77"/>
      <c r="E51" s="78"/>
      <c r="F51" s="16"/>
      <c r="G51" s="148"/>
      <c r="H51" s="148"/>
      <c r="I51" s="116" t="str">
        <f t="shared" si="6"/>
        <v>-</v>
      </c>
      <c r="J51" s="155"/>
      <c r="K51" s="156"/>
      <c r="L51" s="156"/>
      <c r="M51" s="157"/>
      <c r="N51" s="101"/>
    </row>
    <row r="52" spans="2:14" ht="27" customHeight="1" x14ac:dyDescent="0.15">
      <c r="B52" s="26"/>
      <c r="C52" s="22"/>
      <c r="D52" s="79"/>
      <c r="E52" s="78"/>
      <c r="F52" s="16"/>
      <c r="G52" s="148"/>
      <c r="H52" s="148"/>
      <c r="I52" s="116" t="str">
        <f t="shared" si="6"/>
        <v>-</v>
      </c>
      <c r="J52" s="155"/>
      <c r="K52" s="156"/>
      <c r="L52" s="156"/>
      <c r="M52" s="157"/>
      <c r="N52" s="101"/>
    </row>
    <row r="53" spans="2:14" ht="21" customHeight="1" x14ac:dyDescent="0.15">
      <c r="B53" s="26"/>
      <c r="C53" s="22"/>
      <c r="D53" s="77"/>
      <c r="E53" s="78"/>
      <c r="F53" s="16"/>
      <c r="G53" s="148"/>
      <c r="H53" s="148"/>
      <c r="I53" s="116" t="str">
        <f t="shared" si="6"/>
        <v>-</v>
      </c>
      <c r="J53" s="155"/>
      <c r="K53" s="156"/>
      <c r="L53" s="156"/>
      <c r="M53" s="157"/>
      <c r="N53" s="101"/>
    </row>
    <row r="54" spans="2:14" ht="27" customHeight="1" x14ac:dyDescent="0.15">
      <c r="B54" s="26"/>
      <c r="C54" s="22"/>
      <c r="D54" s="77"/>
      <c r="E54" s="78"/>
      <c r="F54" s="16"/>
      <c r="G54" s="148"/>
      <c r="H54" s="148"/>
      <c r="I54" s="116" t="str">
        <f t="shared" si="6"/>
        <v>-</v>
      </c>
      <c r="J54" s="155"/>
      <c r="K54" s="156"/>
      <c r="L54" s="156"/>
      <c r="M54" s="157"/>
      <c r="N54" s="101"/>
    </row>
    <row r="55" spans="2:14" ht="27" customHeight="1" x14ac:dyDescent="0.15">
      <c r="B55" s="26"/>
      <c r="C55" s="22"/>
      <c r="D55" s="79"/>
      <c r="E55" s="78"/>
      <c r="F55" s="16"/>
      <c r="G55" s="148"/>
      <c r="H55" s="148"/>
      <c r="I55" s="116" t="str">
        <f t="shared" si="6"/>
        <v>-</v>
      </c>
      <c r="J55" s="155"/>
      <c r="K55" s="156"/>
      <c r="L55" s="156"/>
      <c r="M55" s="157"/>
      <c r="N55" s="101"/>
    </row>
    <row r="56" spans="2:14" ht="26.25" customHeight="1" x14ac:dyDescent="0.15">
      <c r="B56" s="26"/>
      <c r="C56" s="22"/>
      <c r="D56" s="77"/>
      <c r="E56" s="78"/>
      <c r="F56" s="16"/>
      <c r="G56" s="148"/>
      <c r="H56" s="148"/>
      <c r="I56" s="116" t="str">
        <f t="shared" si="6"/>
        <v>-</v>
      </c>
      <c r="J56" s="155"/>
      <c r="K56" s="156"/>
      <c r="L56" s="156"/>
      <c r="M56" s="157"/>
      <c r="N56" s="101"/>
    </row>
    <row r="57" spans="2:14" ht="26.25" customHeight="1" thickBot="1" x14ac:dyDescent="0.2">
      <c r="B57" s="34"/>
      <c r="C57" s="35"/>
      <c r="D57" s="80"/>
      <c r="E57" s="81"/>
      <c r="F57" s="82"/>
      <c r="G57" s="149"/>
      <c r="H57" s="149"/>
      <c r="I57" s="150" t="str">
        <f t="shared" si="6"/>
        <v>-</v>
      </c>
      <c r="J57" s="152"/>
      <c r="K57" s="153"/>
      <c r="L57" s="153"/>
      <c r="M57" s="154"/>
      <c r="N57" s="101"/>
    </row>
    <row r="58" spans="2:14" ht="9.75" customHeight="1" x14ac:dyDescent="0.15"/>
  </sheetData>
  <mergeCells count="36">
    <mergeCell ref="K34:M35"/>
    <mergeCell ref="J36:J37"/>
    <mergeCell ref="B40:E41"/>
    <mergeCell ref="F40:F41"/>
    <mergeCell ref="I40:I41"/>
    <mergeCell ref="J40:M41"/>
    <mergeCell ref="K16:M20"/>
    <mergeCell ref="C17:E17"/>
    <mergeCell ref="C18:E18"/>
    <mergeCell ref="C19:E19"/>
    <mergeCell ref="K28:M32"/>
    <mergeCell ref="D29:E29"/>
    <mergeCell ref="D30:E30"/>
    <mergeCell ref="D31:E31"/>
    <mergeCell ref="N6:N7"/>
    <mergeCell ref="B6:E7"/>
    <mergeCell ref="F6:F7"/>
    <mergeCell ref="I6:I7"/>
    <mergeCell ref="J6:J7"/>
    <mergeCell ref="M6:M7"/>
    <mergeCell ref="J42:M4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  <mergeCell ref="J57:M57"/>
    <mergeCell ref="J52:M52"/>
    <mergeCell ref="J53:M53"/>
    <mergeCell ref="J54:M54"/>
    <mergeCell ref="J55:M55"/>
    <mergeCell ref="J56:M56"/>
  </mergeCells>
  <phoneticPr fontId="2"/>
  <printOptions horizontalCentered="1"/>
  <pageMargins left="0.39370078740157483" right="0.39370078740157483" top="0.23622047244094491" bottom="0" header="0.39370078740157483" footer="0.19685039370078741"/>
  <pageSetup paperSize="9" scale="74" fitToHeight="0" orientation="landscape" r:id="rId1"/>
  <headerFooter alignWithMargins="0">
    <oddHeader>&amp;L&amp;12別紙２</oddHeader>
  </headerFooter>
  <rowBreaks count="1" manualBreakCount="1">
    <brk id="37" max="1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I21"/>
  <sheetViews>
    <sheetView workbookViewId="0"/>
  </sheetViews>
  <sheetFormatPr defaultColWidth="9" defaultRowHeight="12" x14ac:dyDescent="0.15"/>
  <cols>
    <col min="1" max="1" width="13.25" style="84" customWidth="1"/>
    <col min="2" max="2" width="12.75" style="84" customWidth="1"/>
    <col min="3" max="3" width="13.375" style="84" customWidth="1"/>
    <col min="4" max="4" width="27.375" style="84" customWidth="1"/>
    <col min="5" max="5" width="11" style="84" customWidth="1"/>
    <col min="6" max="6" width="14.625" style="84" customWidth="1"/>
    <col min="7" max="7" width="12.125" style="84" customWidth="1"/>
    <col min="8" max="8" width="13.125" style="84" customWidth="1"/>
    <col min="9" max="9" width="13.625" style="84" customWidth="1"/>
    <col min="10" max="16384" width="9" style="84"/>
  </cols>
  <sheetData>
    <row r="3" spans="1:9" x14ac:dyDescent="0.15">
      <c r="A3" s="84" t="s">
        <v>29</v>
      </c>
    </row>
    <row r="4" spans="1:9" ht="12.75" thickBot="1" x14ac:dyDescent="0.2"/>
    <row r="5" spans="1:9" ht="36.6" customHeight="1" thickBot="1" x14ac:dyDescent="0.2">
      <c r="A5" s="85"/>
      <c r="B5" s="86" t="s">
        <v>30</v>
      </c>
      <c r="C5" s="83" t="s">
        <v>31</v>
      </c>
      <c r="D5" s="87" t="s">
        <v>32</v>
      </c>
      <c r="E5" s="88" t="s">
        <v>33</v>
      </c>
      <c r="F5" s="89" t="s">
        <v>34</v>
      </c>
      <c r="G5" s="90" t="s">
        <v>35</v>
      </c>
      <c r="H5" s="91"/>
      <c r="I5" s="90"/>
    </row>
    <row r="6" spans="1:9" ht="16.899999999999999" customHeight="1" thickBot="1" x14ac:dyDescent="0.2">
      <c r="A6" s="96"/>
      <c r="B6" s="92"/>
      <c r="C6" s="96"/>
      <c r="D6" s="106"/>
      <c r="E6" s="93"/>
      <c r="F6" s="93"/>
      <c r="G6" s="93"/>
      <c r="H6" s="93"/>
      <c r="I6" s="94"/>
    </row>
    <row r="7" spans="1:9" ht="16.899999999999999" customHeight="1" thickBot="1" x14ac:dyDescent="0.2">
      <c r="A7" s="97">
        <f>A6-1</f>
        <v>-1</v>
      </c>
      <c r="B7" s="204"/>
      <c r="C7" s="205"/>
      <c r="D7" s="206"/>
      <c r="E7" s="86"/>
      <c r="F7" s="98"/>
      <c r="G7" s="83"/>
      <c r="H7" s="99"/>
      <c r="I7" s="99"/>
    </row>
    <row r="11" spans="1:9" x14ac:dyDescent="0.15">
      <c r="A11" s="84" t="s">
        <v>40</v>
      </c>
    </row>
    <row r="13" spans="1:9" x14ac:dyDescent="0.15">
      <c r="A13" s="84" t="s">
        <v>41</v>
      </c>
    </row>
    <row r="15" spans="1:9" x14ac:dyDescent="0.15">
      <c r="A15" s="84" t="s">
        <v>44</v>
      </c>
    </row>
    <row r="17" spans="1:1" x14ac:dyDescent="0.15">
      <c r="A17" s="84" t="s">
        <v>45</v>
      </c>
    </row>
    <row r="19" spans="1:1" x14ac:dyDescent="0.15">
      <c r="A19" s="84" t="s">
        <v>42</v>
      </c>
    </row>
    <row r="21" spans="1:1" x14ac:dyDescent="0.15">
      <c r="A21" s="84" t="s">
        <v>43</v>
      </c>
    </row>
  </sheetData>
  <mergeCells count="1">
    <mergeCell ref="B7:D7"/>
  </mergeCells>
  <phoneticPr fontId="2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AF59FB-1281-43F3-9FDE-EA6835C80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F73260-D51B-4940-8402-4B602F17612F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1f80570b-921c-4f4d-b36a-d1e87defc2ad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A91ECE6-AAF5-43A6-9B8E-AB88F53A5D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個別検討表</vt:lpstr>
      <vt:lpstr>指標部</vt:lpstr>
      <vt:lpstr>個別検討表!Print_Area</vt:lpstr>
      <vt:lpstr>指標部!Print_Area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経営・構造統計課</dc:creator>
  <cp:lastModifiedBy>kaihatu02</cp:lastModifiedBy>
  <cp:lastPrinted>2019-05-13T08:49:41Z</cp:lastPrinted>
  <dcterms:created xsi:type="dcterms:W3CDTF">2019-04-11T04:19:41Z</dcterms:created>
  <dcterms:modified xsi:type="dcterms:W3CDTF">2021-03-17T10:17:46Z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