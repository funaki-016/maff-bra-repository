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users\testuser002\BRA\branches\phase_1\Excel\"/>
    </mc:Choice>
  </mc:AlternateContent>
  <xr:revisionPtr revIDLastSave="0" documentId="13_ncr:1_{804020A2-FE67-486F-992C-5C001D6E0BDD}" xr6:coauthVersionLast="45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No.1" sheetId="26" r:id="rId1"/>
    <sheet name="No.2" sheetId="27" r:id="rId2"/>
    <sheet name="No.3" sheetId="28" r:id="rId3"/>
    <sheet name="No.4" sheetId="29" r:id="rId4"/>
    <sheet name="No.5" sheetId="30" r:id="rId5"/>
    <sheet name="No.5 (2)" sheetId="31" r:id="rId6"/>
    <sheet name="No.5 (3)" sheetId="32" r:id="rId7"/>
  </sheets>
  <definedNames>
    <definedName name="_xlnm.Print_Area" localSheetId="0">No.1!$A$1:$R$45</definedName>
    <definedName name="_xlnm.Print_Area" localSheetId="1">No.2!$A$1:$AC$38</definedName>
    <definedName name="_xlnm.Print_Area" localSheetId="2">No.3!$A$1:$U$40</definedName>
    <definedName name="_xlnm.Print_Area" localSheetId="3">No.4!$A$1:$P$58</definedName>
    <definedName name="_xlnm.Print_Area" localSheetId="4">No.5!$A$1:$R$40</definedName>
    <definedName name="_xlnm.Print_Area" localSheetId="5">'No.5 (2)'!$A$1:$R$39</definedName>
    <definedName name="_xlnm.Print_Area" localSheetId="6">'No.5 (3)'!$A$1:$R$37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28" i="27" l="1"/>
  <c r="Y28" i="27"/>
  <c r="N22" i="32" l="1"/>
  <c r="M22" i="32"/>
  <c r="O16" i="32"/>
  <c r="N16" i="32"/>
  <c r="M16" i="32"/>
  <c r="O15" i="32"/>
  <c r="N15" i="32"/>
  <c r="M15" i="32"/>
  <c r="O14" i="32"/>
  <c r="N14" i="32"/>
  <c r="M14" i="32"/>
  <c r="O13" i="32"/>
  <c r="N13" i="32"/>
  <c r="M13" i="32"/>
  <c r="O12" i="32"/>
  <c r="N12" i="32"/>
  <c r="M12" i="32"/>
  <c r="O11" i="32"/>
  <c r="N11" i="32"/>
  <c r="M11" i="32"/>
  <c r="O10" i="32"/>
  <c r="N10" i="32"/>
  <c r="M10" i="32"/>
  <c r="O9" i="32"/>
  <c r="N9" i="32"/>
  <c r="M9" i="32"/>
  <c r="O8" i="32"/>
  <c r="N8" i="32"/>
  <c r="M8" i="32"/>
  <c r="O38" i="31"/>
  <c r="N38" i="31"/>
  <c r="M38" i="31"/>
  <c r="O37" i="31"/>
  <c r="N37" i="31"/>
  <c r="M37" i="31"/>
  <c r="O36" i="31"/>
  <c r="N36" i="31"/>
  <c r="M36" i="31"/>
  <c r="O35" i="31"/>
  <c r="N35" i="31"/>
  <c r="M35" i="31"/>
  <c r="O34" i="31"/>
  <c r="N34" i="31"/>
  <c r="M34" i="31"/>
  <c r="O33" i="31"/>
  <c r="N33" i="31"/>
  <c r="M33" i="31"/>
  <c r="O32" i="31"/>
  <c r="N32" i="31"/>
  <c r="M32" i="31"/>
  <c r="O31" i="31"/>
  <c r="N31" i="31"/>
  <c r="M31" i="31"/>
  <c r="O30" i="31"/>
  <c r="N30" i="31"/>
  <c r="M30" i="31"/>
  <c r="O29" i="31"/>
  <c r="N29" i="31"/>
  <c r="M29" i="31"/>
  <c r="O28" i="31"/>
  <c r="N28" i="31"/>
  <c r="M28" i="31"/>
  <c r="O27" i="31"/>
  <c r="N27" i="31"/>
  <c r="M27" i="31"/>
  <c r="O26" i="31"/>
  <c r="N26" i="31"/>
  <c r="M26" i="31"/>
  <c r="O21" i="31"/>
  <c r="N21" i="31"/>
  <c r="M21" i="31"/>
  <c r="O20" i="31"/>
  <c r="N20" i="31"/>
  <c r="M20" i="31"/>
  <c r="O19" i="31"/>
  <c r="N19" i="31"/>
  <c r="M19" i="31"/>
  <c r="O18" i="31"/>
  <c r="N18" i="31"/>
  <c r="M18" i="31"/>
  <c r="O17" i="31"/>
  <c r="N17" i="31"/>
  <c r="M17" i="31"/>
  <c r="O16" i="31"/>
  <c r="N16" i="31"/>
  <c r="M16" i="31"/>
  <c r="O15" i="31"/>
  <c r="N15" i="31"/>
  <c r="M15" i="31"/>
  <c r="O14" i="31"/>
  <c r="N14" i="31"/>
  <c r="M14" i="31"/>
  <c r="O13" i="31"/>
  <c r="N13" i="31"/>
  <c r="M13" i="31"/>
  <c r="O12" i="31"/>
  <c r="N12" i="31"/>
  <c r="M12" i="31"/>
  <c r="O11" i="31"/>
  <c r="N11" i="31"/>
  <c r="M11" i="31"/>
  <c r="O10" i="31"/>
  <c r="N10" i="31"/>
  <c r="M10" i="31"/>
  <c r="O9" i="31"/>
  <c r="N9" i="31"/>
  <c r="M9" i="31"/>
  <c r="O8" i="31"/>
  <c r="N8" i="31"/>
  <c r="M8" i="31"/>
  <c r="O38" i="30"/>
  <c r="N38" i="30"/>
  <c r="M38" i="30"/>
  <c r="O37" i="30"/>
  <c r="N37" i="30"/>
  <c r="M37" i="30"/>
  <c r="O36" i="30"/>
  <c r="N36" i="30"/>
  <c r="M36" i="30"/>
  <c r="O35" i="30"/>
  <c r="N35" i="30"/>
  <c r="M35" i="30"/>
  <c r="O34" i="30"/>
  <c r="N34" i="30"/>
  <c r="M34" i="30"/>
  <c r="O33" i="30"/>
  <c r="N33" i="30"/>
  <c r="M33" i="30"/>
  <c r="O32" i="30"/>
  <c r="N32" i="30"/>
  <c r="M32" i="30"/>
  <c r="O31" i="30"/>
  <c r="N31" i="30"/>
  <c r="M31" i="30"/>
  <c r="O30" i="30"/>
  <c r="N30" i="30"/>
  <c r="M30" i="30"/>
  <c r="N29" i="30"/>
  <c r="N28" i="30"/>
  <c r="M27" i="30"/>
  <c r="O26" i="30"/>
  <c r="N26" i="30"/>
  <c r="M26" i="30"/>
  <c r="O25" i="30"/>
  <c r="N25" i="30"/>
  <c r="M25" i="30"/>
  <c r="O24" i="30"/>
  <c r="N24" i="30"/>
  <c r="M24" i="30"/>
  <c r="O23" i="30"/>
  <c r="N23" i="30"/>
  <c r="M23" i="30"/>
  <c r="N22" i="30"/>
  <c r="O21" i="30"/>
  <c r="N21" i="30"/>
  <c r="M21" i="30"/>
  <c r="O20" i="30"/>
  <c r="N20" i="30"/>
  <c r="M20" i="30"/>
  <c r="O19" i="30"/>
  <c r="N19" i="30"/>
  <c r="M19" i="30"/>
  <c r="O18" i="30"/>
  <c r="N18" i="30"/>
  <c r="M18" i="30"/>
  <c r="O17" i="30"/>
  <c r="N17" i="30"/>
  <c r="M17" i="30"/>
  <c r="O16" i="30"/>
  <c r="N16" i="30"/>
  <c r="M16" i="30"/>
  <c r="O15" i="30"/>
  <c r="N15" i="30"/>
  <c r="M15" i="30"/>
  <c r="O14" i="30"/>
  <c r="N14" i="30"/>
  <c r="M14" i="30"/>
  <c r="O13" i="30"/>
  <c r="N13" i="30"/>
  <c r="M13" i="30"/>
  <c r="O12" i="30"/>
  <c r="N12" i="30"/>
  <c r="M12" i="30"/>
  <c r="O11" i="30"/>
  <c r="N11" i="30"/>
  <c r="M11" i="30"/>
  <c r="O10" i="30"/>
  <c r="N10" i="30"/>
  <c r="M10" i="30"/>
  <c r="O9" i="30"/>
  <c r="N9" i="30"/>
  <c r="M9" i="30"/>
  <c r="O8" i="30"/>
  <c r="N8" i="30"/>
  <c r="M8" i="30"/>
  <c r="K57" i="29"/>
  <c r="K56" i="29"/>
  <c r="K55" i="29"/>
  <c r="K54" i="29"/>
  <c r="K53" i="29"/>
  <c r="K52" i="29"/>
  <c r="K51" i="29"/>
  <c r="K50" i="29"/>
  <c r="K49" i="29"/>
  <c r="K48" i="29"/>
  <c r="K47" i="29"/>
  <c r="K46" i="29"/>
  <c r="K45" i="29"/>
  <c r="K44" i="29"/>
  <c r="K43" i="29"/>
  <c r="K42" i="29"/>
  <c r="K41" i="29"/>
  <c r="K40" i="29"/>
  <c r="K39" i="29"/>
  <c r="K38" i="29"/>
  <c r="K37" i="29"/>
  <c r="K36" i="29"/>
  <c r="K35" i="29"/>
  <c r="K34" i="29"/>
  <c r="K33" i="29"/>
  <c r="K32" i="29"/>
  <c r="K31" i="29"/>
  <c r="K30" i="29"/>
  <c r="K29" i="29"/>
  <c r="K28" i="29"/>
  <c r="K27" i="29"/>
  <c r="K26" i="29"/>
  <c r="K25" i="29"/>
  <c r="K24" i="29"/>
  <c r="K23" i="29"/>
  <c r="K22" i="29"/>
  <c r="K21" i="29"/>
  <c r="K20" i="29"/>
  <c r="K19" i="29"/>
  <c r="K18" i="29"/>
  <c r="K17" i="29"/>
  <c r="K16" i="29"/>
  <c r="K15" i="29"/>
  <c r="K14" i="29"/>
  <c r="K13" i="29"/>
  <c r="K12" i="29"/>
  <c r="K11" i="29"/>
  <c r="K10" i="29"/>
  <c r="K9" i="29"/>
  <c r="K8" i="29"/>
  <c r="H54" i="29"/>
  <c r="H53" i="29"/>
  <c r="H52" i="29"/>
  <c r="H51" i="29"/>
  <c r="H50" i="29"/>
  <c r="H49" i="29"/>
  <c r="H48" i="29"/>
  <c r="H47" i="29"/>
  <c r="H46" i="29"/>
  <c r="H45" i="29"/>
  <c r="H44" i="29"/>
  <c r="H43" i="29"/>
  <c r="H42" i="29"/>
  <c r="H41" i="29"/>
  <c r="H40" i="29"/>
  <c r="H39" i="29"/>
  <c r="H38" i="29"/>
  <c r="H37" i="29"/>
  <c r="H36" i="29"/>
  <c r="H35" i="29"/>
  <c r="H34" i="29"/>
  <c r="H33" i="29"/>
  <c r="H32" i="29"/>
  <c r="H28" i="29"/>
  <c r="K38" i="28"/>
  <c r="K37" i="28"/>
  <c r="K36" i="28"/>
  <c r="K35" i="28"/>
  <c r="K34" i="28"/>
  <c r="T28" i="28"/>
  <c r="Q28" i="28"/>
  <c r="N28" i="28"/>
  <c r="K28" i="28"/>
  <c r="Q22" i="28"/>
  <c r="N22" i="28"/>
  <c r="K22" i="28"/>
  <c r="Q15" i="28"/>
  <c r="Q14" i="28"/>
  <c r="Q13" i="28"/>
  <c r="Q12" i="28"/>
  <c r="Q11" i="28"/>
  <c r="Q10" i="28"/>
  <c r="Q9" i="28"/>
  <c r="Q8" i="28"/>
  <c r="N15" i="28"/>
  <c r="N14" i="28"/>
  <c r="N13" i="28"/>
  <c r="N12" i="28"/>
  <c r="N11" i="28"/>
  <c r="N10" i="28"/>
  <c r="N9" i="28"/>
  <c r="N8" i="28"/>
  <c r="K15" i="28"/>
  <c r="K14" i="28"/>
  <c r="K13" i="28"/>
  <c r="K12" i="28"/>
  <c r="K11" i="28"/>
  <c r="K10" i="28"/>
  <c r="K9" i="28"/>
  <c r="K8" i="28"/>
  <c r="AA31" i="27"/>
  <c r="AA30" i="27"/>
  <c r="AA21" i="27"/>
  <c r="AA20" i="27"/>
  <c r="AA19" i="27"/>
  <c r="AA18" i="27"/>
  <c r="AA17" i="27"/>
  <c r="AA15" i="27"/>
  <c r="AA14" i="27"/>
  <c r="AA13" i="27"/>
  <c r="AA12" i="27"/>
  <c r="AA11" i="27"/>
  <c r="AA10" i="27"/>
  <c r="AA9" i="27"/>
  <c r="AA8" i="27"/>
  <c r="AA7" i="27"/>
  <c r="G31" i="27"/>
  <c r="G30" i="27"/>
  <c r="G29" i="27"/>
  <c r="G28" i="27"/>
  <c r="G27" i="27"/>
  <c r="G26" i="27"/>
  <c r="G25" i="27"/>
  <c r="G24" i="27"/>
  <c r="G23" i="27"/>
  <c r="G22" i="27"/>
  <c r="G21" i="27"/>
  <c r="G20" i="27"/>
  <c r="G19" i="27"/>
  <c r="G18" i="27"/>
  <c r="G17" i="27"/>
  <c r="G16" i="27"/>
  <c r="G15" i="27"/>
  <c r="G14" i="27"/>
  <c r="G13" i="27"/>
  <c r="G12" i="27"/>
  <c r="G11" i="27"/>
  <c r="G10" i="27"/>
  <c r="G9" i="27"/>
  <c r="G8" i="27"/>
  <c r="G7" i="27"/>
  <c r="L45" i="26"/>
  <c r="L44" i="26"/>
  <c r="L43" i="26"/>
  <c r="L42" i="26"/>
  <c r="L41" i="26"/>
  <c r="L40" i="26"/>
  <c r="L39" i="26"/>
  <c r="L38" i="26"/>
  <c r="L37" i="26"/>
  <c r="L36" i="26"/>
  <c r="L35" i="26"/>
  <c r="L34" i="26"/>
  <c r="L33" i="26"/>
  <c r="L32" i="26"/>
  <c r="L31" i="26"/>
  <c r="L30" i="26"/>
  <c r="L29" i="26"/>
  <c r="L28" i="26"/>
  <c r="L27" i="26"/>
  <c r="L26" i="26"/>
  <c r="L25" i="26"/>
  <c r="L24" i="26"/>
  <c r="L23" i="26"/>
  <c r="L22" i="26"/>
  <c r="L21" i="26"/>
  <c r="L20" i="26"/>
  <c r="L19" i="26"/>
  <c r="L18" i="26"/>
  <c r="L17" i="26"/>
  <c r="L16" i="26"/>
  <c r="L15" i="26"/>
  <c r="L14" i="26"/>
  <c r="L13" i="26"/>
  <c r="L12" i="26"/>
  <c r="L11" i="26"/>
  <c r="L10" i="26"/>
  <c r="L9" i="26"/>
  <c r="L8" i="26"/>
  <c r="L7" i="26"/>
  <c r="K2" i="29"/>
  <c r="K27" i="26" l="1"/>
  <c r="I27" i="26"/>
  <c r="M17" i="26"/>
  <c r="K17" i="26"/>
  <c r="I17" i="26"/>
  <c r="M7" i="26"/>
  <c r="K7" i="26"/>
  <c r="I7" i="26"/>
  <c r="M37" i="26"/>
  <c r="M27" i="26"/>
  <c r="M2" i="32" l="1"/>
  <c r="M2" i="31"/>
  <c r="M2" i="30"/>
  <c r="O2" i="28"/>
  <c r="Q2" i="27"/>
  <c r="O22" i="32"/>
  <c r="M45" i="26"/>
  <c r="M44" i="26"/>
  <c r="M43" i="26"/>
  <c r="M42" i="26"/>
  <c r="M41" i="26"/>
  <c r="M40" i="26"/>
  <c r="M39" i="26"/>
  <c r="M38" i="26"/>
  <c r="M36" i="26"/>
  <c r="M35" i="26"/>
  <c r="M34" i="26"/>
  <c r="M33" i="26"/>
  <c r="M32" i="26"/>
  <c r="M31" i="26"/>
  <c r="M30" i="26"/>
  <c r="M29" i="26"/>
  <c r="K29" i="26"/>
  <c r="M28" i="26"/>
  <c r="K28" i="26"/>
  <c r="M26" i="26"/>
  <c r="K26" i="26"/>
  <c r="M25" i="26"/>
  <c r="K25" i="26"/>
  <c r="M24" i="26"/>
  <c r="K24" i="26"/>
  <c r="M23" i="26"/>
  <c r="K23" i="26"/>
  <c r="M22" i="26"/>
  <c r="K22" i="26"/>
  <c r="M21" i="26"/>
  <c r="K21" i="26"/>
  <c r="M20" i="26"/>
  <c r="K20" i="26"/>
  <c r="M19" i="26"/>
  <c r="K19" i="26"/>
  <c r="M18" i="26"/>
  <c r="K18" i="26"/>
  <c r="M16" i="26"/>
  <c r="K16" i="26"/>
  <c r="M15" i="26"/>
  <c r="K15" i="26"/>
  <c r="M14" i="26"/>
  <c r="K14" i="26"/>
  <c r="M13" i="26"/>
  <c r="K13" i="26"/>
  <c r="M12" i="26"/>
  <c r="K12" i="26"/>
  <c r="M11" i="26"/>
  <c r="K11" i="26"/>
  <c r="M10" i="26"/>
  <c r="K10" i="26"/>
  <c r="M9" i="26"/>
  <c r="K9" i="26"/>
  <c r="M8" i="26"/>
  <c r="K8" i="26"/>
  <c r="I29" i="26"/>
  <c r="I28" i="26"/>
  <c r="I26" i="26"/>
  <c r="I25" i="26"/>
  <c r="I24" i="26"/>
  <c r="I23" i="26"/>
  <c r="I22" i="26"/>
  <c r="I21" i="26"/>
  <c r="I20" i="26"/>
  <c r="I19" i="26"/>
  <c r="I18" i="26"/>
  <c r="I16" i="26"/>
  <c r="I15" i="26"/>
  <c r="I14" i="26"/>
  <c r="I13" i="26"/>
  <c r="I12" i="26"/>
  <c r="I11" i="26"/>
  <c r="I10" i="26"/>
  <c r="I9" i="26"/>
  <c r="I8" i="26"/>
  <c r="A1" i="32"/>
  <c r="A1" i="31"/>
  <c r="A1" i="30"/>
  <c r="A1" i="29"/>
  <c r="A1" i="28"/>
  <c r="A1" i="27"/>
  <c r="H5" i="26"/>
  <c r="G5" i="32" s="1"/>
  <c r="L19" i="32"/>
  <c r="K19" i="32"/>
  <c r="I19" i="32"/>
  <c r="H19" i="32"/>
  <c r="F6" i="29" l="1"/>
  <c r="G6" i="29" s="1"/>
  <c r="J6" i="29" s="1"/>
  <c r="G19" i="32"/>
  <c r="J5" i="32"/>
  <c r="J19" i="32" s="1"/>
  <c r="I6" i="29"/>
  <c r="G5" i="30"/>
  <c r="J5" i="30" s="1"/>
  <c r="I6" i="28"/>
  <c r="E5" i="27"/>
  <c r="J5" i="26"/>
  <c r="G5" i="31"/>
  <c r="Y5" i="27" l="1"/>
  <c r="F5" i="27"/>
  <c r="J5" i="31"/>
  <c r="J23" i="31" s="1"/>
  <c r="G23" i="31"/>
  <c r="J6" i="28"/>
  <c r="L26" i="28"/>
  <c r="I20" i="28"/>
  <c r="O26" i="28"/>
  <c r="I26" i="28"/>
  <c r="L20" i="28"/>
  <c r="O6" i="28"/>
  <c r="I32" i="28"/>
  <c r="R26" i="28"/>
  <c r="O20" i="28"/>
  <c r="L6" i="28"/>
  <c r="Z5" i="27" l="1"/>
  <c r="P26" i="28"/>
  <c r="J26" i="28"/>
  <c r="M20" i="28"/>
  <c r="P6" i="28"/>
  <c r="P20" i="28"/>
  <c r="J32" i="28"/>
  <c r="S26" i="28"/>
  <c r="M26" i="28"/>
  <c r="J20" i="28"/>
  <c r="M6" i="28"/>
</calcChain>
</file>

<file path=xl/sharedStrings.xml><?xml version="1.0" encoding="utf-8"?>
<sst xmlns="http://schemas.openxmlformats.org/spreadsheetml/2006/main" count="497" uniqueCount="243">
  <si>
    <t>【生産費】</t>
    <rPh sb="1" eb="4">
      <t>セイサンヒ</t>
    </rPh>
    <phoneticPr fontId="4"/>
  </si>
  <si>
    <t>増減率</t>
    <rPh sb="0" eb="3">
      <t>ゾウゲンリツ</t>
    </rPh>
    <phoneticPr fontId="4"/>
  </si>
  <si>
    <t>（円）</t>
    <rPh sb="1" eb="2">
      <t>エン</t>
    </rPh>
    <phoneticPr fontId="4"/>
  </si>
  <si>
    <t>（％）</t>
    <phoneticPr fontId="4"/>
  </si>
  <si>
    <t>副産物価額</t>
    <rPh sb="0" eb="3">
      <t>フクサンブツ</t>
    </rPh>
    <rPh sb="3" eb="5">
      <t>カガク</t>
    </rPh>
    <phoneticPr fontId="4"/>
  </si>
  <si>
    <t>【労働時間（10ａ当たり）】</t>
    <rPh sb="1" eb="3">
      <t>ロウドウ</t>
    </rPh>
    <rPh sb="3" eb="5">
      <t>ジカン</t>
    </rPh>
    <rPh sb="9" eb="10">
      <t>ア</t>
    </rPh>
    <phoneticPr fontId="4"/>
  </si>
  <si>
    <t>【生産物の概要（10ａ当たり）】</t>
    <rPh sb="1" eb="4">
      <t>セイサンブツ</t>
    </rPh>
    <rPh sb="5" eb="7">
      <t>ガイヨウ</t>
    </rPh>
    <rPh sb="11" eb="12">
      <t>ア</t>
    </rPh>
    <phoneticPr fontId="4"/>
  </si>
  <si>
    <t>労働時間計</t>
    <rPh sb="0" eb="2">
      <t>ロウドウ</t>
    </rPh>
    <rPh sb="2" eb="4">
      <t>ジカン</t>
    </rPh>
    <rPh sb="4" eb="5">
      <t>ケイ</t>
    </rPh>
    <phoneticPr fontId="4"/>
  </si>
  <si>
    <t>主産物</t>
    <rPh sb="0" eb="3">
      <t>シュサンブツ</t>
    </rPh>
    <phoneticPr fontId="4"/>
  </si>
  <si>
    <t>数量（kg）</t>
    <rPh sb="0" eb="2">
      <t>スウリョウ</t>
    </rPh>
    <phoneticPr fontId="4"/>
  </si>
  <si>
    <t>直接労働時間</t>
    <rPh sb="0" eb="2">
      <t>チョクセツ</t>
    </rPh>
    <rPh sb="2" eb="4">
      <t>ロウドウ</t>
    </rPh>
    <rPh sb="4" eb="6">
      <t>ジカン</t>
    </rPh>
    <phoneticPr fontId="4"/>
  </si>
  <si>
    <t>価額</t>
    <rPh sb="0" eb="2">
      <t>カガク</t>
    </rPh>
    <phoneticPr fontId="4"/>
  </si>
  <si>
    <t>種子予措</t>
    <rPh sb="0" eb="2">
      <t>シュシ</t>
    </rPh>
    <rPh sb="2" eb="3">
      <t>ヨ</t>
    </rPh>
    <rPh sb="3" eb="4">
      <t>ソチ</t>
    </rPh>
    <phoneticPr fontId="4"/>
  </si>
  <si>
    <t>育苗</t>
    <rPh sb="0" eb="2">
      <t>イクビョウ</t>
    </rPh>
    <phoneticPr fontId="4"/>
  </si>
  <si>
    <t>粗収益</t>
    <rPh sb="0" eb="3">
      <t>ソシュウエキ</t>
    </rPh>
    <phoneticPr fontId="4"/>
  </si>
  <si>
    <t>耕起整地</t>
    <rPh sb="0" eb="2">
      <t>コウキ</t>
    </rPh>
    <rPh sb="2" eb="4">
      <t>セイチ</t>
    </rPh>
    <phoneticPr fontId="4"/>
  </si>
  <si>
    <t>基肥</t>
    <rPh sb="0" eb="2">
      <t>キヒ</t>
    </rPh>
    <phoneticPr fontId="4"/>
  </si>
  <si>
    <t>所得</t>
    <rPh sb="0" eb="2">
      <t>ショトク</t>
    </rPh>
    <phoneticPr fontId="4"/>
  </si>
  <si>
    <t>は種</t>
    <rPh sb="1" eb="2">
      <t>シュ</t>
    </rPh>
    <phoneticPr fontId="4"/>
  </si>
  <si>
    <t>１日当たり</t>
    <rPh sb="1" eb="2">
      <t>ニチ</t>
    </rPh>
    <rPh sb="2" eb="3">
      <t>ア</t>
    </rPh>
    <phoneticPr fontId="4"/>
  </si>
  <si>
    <t>定植</t>
    <rPh sb="0" eb="2">
      <t>テイショク</t>
    </rPh>
    <phoneticPr fontId="4"/>
  </si>
  <si>
    <t>家族労働報酬</t>
    <rPh sb="0" eb="2">
      <t>カゾク</t>
    </rPh>
    <rPh sb="2" eb="4">
      <t>ロウドウ</t>
    </rPh>
    <rPh sb="4" eb="6">
      <t>ホウシュウ</t>
    </rPh>
    <phoneticPr fontId="4"/>
  </si>
  <si>
    <t>株分け</t>
    <rPh sb="0" eb="2">
      <t>カブワ</t>
    </rPh>
    <phoneticPr fontId="4"/>
  </si>
  <si>
    <t>追肥</t>
    <rPh sb="0" eb="2">
      <t>ツイヒ</t>
    </rPh>
    <phoneticPr fontId="4"/>
  </si>
  <si>
    <t>中耕除草</t>
    <rPh sb="0" eb="4">
      <t>チュウコウジョソウ</t>
    </rPh>
    <phoneticPr fontId="4"/>
  </si>
  <si>
    <t>麦踏み</t>
    <rPh sb="0" eb="2">
      <t>ムギフ</t>
    </rPh>
    <phoneticPr fontId="4"/>
  </si>
  <si>
    <t>管理</t>
    <rPh sb="0" eb="2">
      <t>カンリ</t>
    </rPh>
    <phoneticPr fontId="4"/>
  </si>
  <si>
    <t>防除</t>
    <rPh sb="0" eb="2">
      <t>ボウジョ</t>
    </rPh>
    <phoneticPr fontId="4"/>
  </si>
  <si>
    <t>自作地</t>
    <rPh sb="0" eb="3">
      <t>ジサクチ</t>
    </rPh>
    <phoneticPr fontId="4"/>
  </si>
  <si>
    <t>はく葉</t>
    <rPh sb="2" eb="3">
      <t>ヨウ</t>
    </rPh>
    <phoneticPr fontId="4"/>
  </si>
  <si>
    <t>借入地</t>
    <rPh sb="0" eb="3">
      <t>カリイレチ</t>
    </rPh>
    <phoneticPr fontId="4"/>
  </si>
  <si>
    <t>刈取脱穀</t>
    <rPh sb="0" eb="1">
      <t>カ</t>
    </rPh>
    <rPh sb="1" eb="2">
      <t>ト</t>
    </rPh>
    <rPh sb="2" eb="4">
      <t>ダッコク</t>
    </rPh>
    <phoneticPr fontId="4"/>
  </si>
  <si>
    <t>乾燥</t>
    <rPh sb="0" eb="2">
      <t>カンソウ</t>
    </rPh>
    <phoneticPr fontId="4"/>
  </si>
  <si>
    <t>生産管理</t>
    <rPh sb="0" eb="2">
      <t>セイサン</t>
    </rPh>
    <rPh sb="2" eb="4">
      <t>カンリ</t>
    </rPh>
    <phoneticPr fontId="4"/>
  </si>
  <si>
    <t>間接労働時間</t>
    <rPh sb="0" eb="2">
      <t>カンセツ</t>
    </rPh>
    <rPh sb="2" eb="4">
      <t>ロウドウ</t>
    </rPh>
    <rPh sb="4" eb="6">
      <t>ジカン</t>
    </rPh>
    <phoneticPr fontId="4"/>
  </si>
  <si>
    <t>家族労働時間</t>
    <rPh sb="0" eb="2">
      <t>カゾク</t>
    </rPh>
    <rPh sb="2" eb="4">
      <t>ロウドウ</t>
    </rPh>
    <rPh sb="4" eb="6">
      <t>ジカン</t>
    </rPh>
    <phoneticPr fontId="4"/>
  </si>
  <si>
    <t>男</t>
    <rPh sb="0" eb="1">
      <t>オトコ</t>
    </rPh>
    <phoneticPr fontId="4"/>
  </si>
  <si>
    <t>女</t>
    <rPh sb="0" eb="1">
      <t>オンナ</t>
    </rPh>
    <phoneticPr fontId="4"/>
  </si>
  <si>
    <t>雇用労働時間</t>
    <rPh sb="0" eb="2">
      <t>コヨウ</t>
    </rPh>
    <rPh sb="2" eb="4">
      <t>ロウドウ</t>
    </rPh>
    <rPh sb="4" eb="6">
      <t>ジカン</t>
    </rPh>
    <phoneticPr fontId="4"/>
  </si>
  <si>
    <t>数量</t>
    <rPh sb="0" eb="2">
      <t>スウリョウ</t>
    </rPh>
    <phoneticPr fontId="4"/>
  </si>
  <si>
    <t>単価</t>
    <rPh sb="0" eb="2">
      <t>タンカ</t>
    </rPh>
    <phoneticPr fontId="4"/>
  </si>
  <si>
    <t>その他</t>
    <rPh sb="2" eb="3">
      <t>タ</t>
    </rPh>
    <phoneticPr fontId="4"/>
  </si>
  <si>
    <t>増　　　減　　　率</t>
    <rPh sb="0" eb="9">
      <t>ゾウゲンリツ</t>
    </rPh>
    <phoneticPr fontId="4"/>
  </si>
  <si>
    <t>調 査 作 物 負 担 分 （ 1 0 ａ 当 た り ）</t>
    <rPh sb="0" eb="3">
      <t>チョウサ</t>
    </rPh>
    <rPh sb="4" eb="7">
      <t>サクモツ</t>
    </rPh>
    <rPh sb="8" eb="13">
      <t>フタンブン</t>
    </rPh>
    <rPh sb="22" eb="23">
      <t>ア</t>
    </rPh>
    <phoneticPr fontId="4"/>
  </si>
  <si>
    <t>(円)</t>
    <rPh sb="1" eb="2">
      <t>エン</t>
    </rPh>
    <phoneticPr fontId="4"/>
  </si>
  <si>
    <t>納屋・倉庫</t>
    <rPh sb="0" eb="2">
      <t>ナヤ</t>
    </rPh>
    <rPh sb="3" eb="5">
      <t>ソウコ</t>
    </rPh>
    <phoneticPr fontId="4"/>
  </si>
  <si>
    <t>用水路</t>
    <rPh sb="0" eb="3">
      <t>ヨウスイロ</t>
    </rPh>
    <phoneticPr fontId="4"/>
  </si>
  <si>
    <t>暗きょ排水施設</t>
    <rPh sb="0" eb="1">
      <t>アン</t>
    </rPh>
    <rPh sb="3" eb="5">
      <t>ハイスイ</t>
    </rPh>
    <rPh sb="5" eb="7">
      <t>シセツ</t>
    </rPh>
    <phoneticPr fontId="4"/>
  </si>
  <si>
    <t>コンクリートけい畔</t>
    <rPh sb="8" eb="9">
      <t>ハン</t>
    </rPh>
    <phoneticPr fontId="4"/>
  </si>
  <si>
    <t>客土</t>
    <rPh sb="0" eb="2">
      <t>キャクド</t>
    </rPh>
    <phoneticPr fontId="4"/>
  </si>
  <si>
    <t>たい肥盤</t>
    <rPh sb="2" eb="3">
      <t>ヒ</t>
    </rPh>
    <rPh sb="3" eb="4">
      <t>バン</t>
    </rPh>
    <phoneticPr fontId="4"/>
  </si>
  <si>
    <t>自動車</t>
    <rPh sb="0" eb="3">
      <t>ジドウシャ</t>
    </rPh>
    <phoneticPr fontId="4"/>
  </si>
  <si>
    <t>農機具</t>
    <rPh sb="0" eb="3">
      <t>ノウキグ</t>
    </rPh>
    <phoneticPr fontId="4"/>
  </si>
  <si>
    <t>20馬力未満</t>
    <rPh sb="2" eb="4">
      <t>バリキ</t>
    </rPh>
    <rPh sb="4" eb="6">
      <t>ミマン</t>
    </rPh>
    <phoneticPr fontId="4"/>
  </si>
  <si>
    <t>20～50馬力未満</t>
    <rPh sb="5" eb="7">
      <t>バリキ</t>
    </rPh>
    <rPh sb="7" eb="9">
      <t>ミマン</t>
    </rPh>
    <phoneticPr fontId="4"/>
  </si>
  <si>
    <t>総合は種機</t>
    <rPh sb="0" eb="2">
      <t>ソウゴウ</t>
    </rPh>
    <rPh sb="3" eb="4">
      <t>シュ</t>
    </rPh>
    <rPh sb="4" eb="5">
      <t>キ</t>
    </rPh>
    <phoneticPr fontId="4"/>
  </si>
  <si>
    <t>移植機</t>
    <rPh sb="0" eb="3">
      <t>イショクキ</t>
    </rPh>
    <phoneticPr fontId="4"/>
  </si>
  <si>
    <t>中耕除草機</t>
    <rPh sb="0" eb="4">
      <t>チュウコウジョソウ</t>
    </rPh>
    <rPh sb="4" eb="5">
      <t>キ</t>
    </rPh>
    <phoneticPr fontId="4"/>
  </si>
  <si>
    <t>肥料散布機</t>
    <rPh sb="0" eb="2">
      <t>ヒリョウ</t>
    </rPh>
    <rPh sb="2" eb="4">
      <t>サンプ</t>
    </rPh>
    <rPh sb="4" eb="5">
      <t>キ</t>
    </rPh>
    <phoneticPr fontId="4"/>
  </si>
  <si>
    <t>動力散粉機</t>
    <rPh sb="0" eb="2">
      <t>ドウリョク</t>
    </rPh>
    <rPh sb="2" eb="3">
      <t>サン</t>
    </rPh>
    <rPh sb="3" eb="4">
      <t>コナ</t>
    </rPh>
    <rPh sb="4" eb="5">
      <t>キ</t>
    </rPh>
    <phoneticPr fontId="4"/>
  </si>
  <si>
    <t>３条以下</t>
    <rPh sb="1" eb="2">
      <t>ジョウ</t>
    </rPh>
    <rPh sb="2" eb="4">
      <t>イカ</t>
    </rPh>
    <phoneticPr fontId="4"/>
  </si>
  <si>
    <t>普通型コンバイン</t>
    <rPh sb="0" eb="2">
      <t>フツウ</t>
    </rPh>
    <rPh sb="2" eb="3">
      <t>ガタ</t>
    </rPh>
    <phoneticPr fontId="4"/>
  </si>
  <si>
    <t>調査作物収穫機</t>
    <rPh sb="0" eb="2">
      <t>チョウサ</t>
    </rPh>
    <rPh sb="2" eb="4">
      <t>サクモツ</t>
    </rPh>
    <rPh sb="4" eb="7">
      <t>シュウカクキ</t>
    </rPh>
    <phoneticPr fontId="4"/>
  </si>
  <si>
    <t>脱穀機</t>
    <rPh sb="0" eb="3">
      <t>ダッコクキ</t>
    </rPh>
    <phoneticPr fontId="4"/>
  </si>
  <si>
    <t>きび脱葉機</t>
    <rPh sb="2" eb="4">
      <t>ダツヨウ</t>
    </rPh>
    <rPh sb="4" eb="5">
      <t>キ</t>
    </rPh>
    <phoneticPr fontId="4"/>
  </si>
  <si>
    <t>乾燥機</t>
    <rPh sb="0" eb="3">
      <t>カンソウキ</t>
    </rPh>
    <phoneticPr fontId="4"/>
  </si>
  <si>
    <t>生産管理機器</t>
    <rPh sb="0" eb="2">
      <t>セイサン</t>
    </rPh>
    <rPh sb="2" eb="4">
      <t>カンリ</t>
    </rPh>
    <rPh sb="4" eb="6">
      <t>キキ</t>
    </rPh>
    <phoneticPr fontId="4"/>
  </si>
  <si>
    <t>（参考）各種助成措置を加えた場合</t>
    <rPh sb="1" eb="3">
      <t>サンコウ</t>
    </rPh>
    <rPh sb="4" eb="6">
      <t>カクシュ</t>
    </rPh>
    <rPh sb="6" eb="8">
      <t>ジョセイ</t>
    </rPh>
    <rPh sb="8" eb="10">
      <t>ソチ</t>
    </rPh>
    <rPh sb="11" eb="12">
      <t>クワ</t>
    </rPh>
    <rPh sb="14" eb="16">
      <t>バアイ</t>
    </rPh>
    <phoneticPr fontId="4"/>
  </si>
  <si>
    <t>粗収益</t>
    <rPh sb="0" eb="1">
      <t>ソ</t>
    </rPh>
    <rPh sb="1" eb="3">
      <t>シュウエキ</t>
    </rPh>
    <phoneticPr fontId="4"/>
  </si>
  <si>
    <t>（参考）奨励金</t>
  </si>
  <si>
    <t>歩行用トラクター</t>
    <rPh sb="0" eb="3">
      <t>ホコウヨウ</t>
    </rPh>
    <phoneticPr fontId="4"/>
  </si>
  <si>
    <t>たい肥等散布機</t>
    <rPh sb="2" eb="3">
      <t>ヒ</t>
    </rPh>
    <rPh sb="3" eb="4">
      <t>トウ</t>
    </rPh>
    <rPh sb="4" eb="7">
      <t>サンプキ</t>
    </rPh>
    <phoneticPr fontId="4"/>
  </si>
  <si>
    <t>処分差損失</t>
    <rPh sb="0" eb="2">
      <t>ショブン</t>
    </rPh>
    <rPh sb="2" eb="3">
      <t>サ</t>
    </rPh>
    <rPh sb="3" eb="5">
      <t>ソンシツ</t>
    </rPh>
    <phoneticPr fontId="4"/>
  </si>
  <si>
    <t>主産物</t>
    <rPh sb="0" eb="3">
      <t>シュサンブツ</t>
    </rPh>
    <phoneticPr fontId="1"/>
  </si>
  <si>
    <t>販売用</t>
    <rPh sb="0" eb="3">
      <t>ハンバイヨウ</t>
    </rPh>
    <phoneticPr fontId="1"/>
  </si>
  <si>
    <t>１等</t>
    <rPh sb="1" eb="2">
      <t>トウ</t>
    </rPh>
    <phoneticPr fontId="1"/>
  </si>
  <si>
    <t>２等</t>
    <rPh sb="1" eb="2">
      <t>トウ</t>
    </rPh>
    <phoneticPr fontId="1"/>
  </si>
  <si>
    <t>規格外Ａ</t>
    <rPh sb="0" eb="3">
      <t>キカクガイ</t>
    </rPh>
    <phoneticPr fontId="1"/>
  </si>
  <si>
    <t>その他</t>
    <rPh sb="2" eb="3">
      <t>タ</t>
    </rPh>
    <phoneticPr fontId="1"/>
  </si>
  <si>
    <t>小計</t>
    <rPh sb="0" eb="2">
      <t>ショウケイ</t>
    </rPh>
    <phoneticPr fontId="1"/>
  </si>
  <si>
    <t>食用</t>
    <rPh sb="0" eb="2">
      <t>ショクヨウ</t>
    </rPh>
    <phoneticPr fontId="1"/>
  </si>
  <si>
    <t>種子用</t>
    <rPh sb="0" eb="2">
      <t>シュシ</t>
    </rPh>
    <rPh sb="2" eb="3">
      <t>ヨウ</t>
    </rPh>
    <phoneticPr fontId="1"/>
  </si>
  <si>
    <t>合計</t>
    <rPh sb="0" eb="2">
      <t>ゴウケイ</t>
    </rPh>
    <phoneticPr fontId="1"/>
  </si>
  <si>
    <t>副産物</t>
    <rPh sb="0" eb="3">
      <t>フクサンブツ</t>
    </rPh>
    <phoneticPr fontId="1"/>
  </si>
  <si>
    <t>規格外Ｂ</t>
    <rPh sb="0" eb="3">
      <t>キカクガイ</t>
    </rPh>
    <phoneticPr fontId="1"/>
  </si>
  <si>
    <t>規格外Ｃ</t>
    <rPh sb="0" eb="3">
      <t>キカクガイ</t>
    </rPh>
    <phoneticPr fontId="1"/>
  </si>
  <si>
    <t>くず麦</t>
    <rPh sb="2" eb="3">
      <t>ムギ</t>
    </rPh>
    <phoneticPr fontId="1"/>
  </si>
  <si>
    <t>麦わら</t>
    <rPh sb="0" eb="1">
      <t>ムギ</t>
    </rPh>
    <phoneticPr fontId="1"/>
  </si>
  <si>
    <t>無評価</t>
    <rPh sb="0" eb="1">
      <t>ム</t>
    </rPh>
    <rPh sb="1" eb="3">
      <t>ヒョウカ</t>
    </rPh>
    <phoneticPr fontId="1"/>
  </si>
  <si>
    <t>種子用</t>
    <rPh sb="0" eb="3">
      <t>シュシヨウ</t>
    </rPh>
    <phoneticPr fontId="1"/>
  </si>
  <si>
    <t>麦類</t>
    <rPh sb="0" eb="2">
      <t>ムギルイ</t>
    </rPh>
    <phoneticPr fontId="1"/>
  </si>
  <si>
    <t>販売用</t>
    <rPh sb="0" eb="3">
      <t>ハンバイヨウ</t>
    </rPh>
    <phoneticPr fontId="4"/>
  </si>
  <si>
    <t>食用</t>
    <rPh sb="0" eb="2">
      <t>ショクヨウ</t>
    </rPh>
    <phoneticPr fontId="4"/>
  </si>
  <si>
    <t>小計</t>
    <rPh sb="0" eb="2">
      <t>ショウケイ</t>
    </rPh>
    <phoneticPr fontId="4"/>
  </si>
  <si>
    <t>合計</t>
    <rPh sb="0" eb="2">
      <t>ゴウケイ</t>
    </rPh>
    <phoneticPr fontId="4"/>
  </si>
  <si>
    <t>副産物</t>
    <rPh sb="0" eb="3">
      <t>フクサンブツ</t>
    </rPh>
    <phoneticPr fontId="4"/>
  </si>
  <si>
    <t>畑作物・なたね</t>
    <rPh sb="0" eb="2">
      <t>ハタサク</t>
    </rPh>
    <rPh sb="2" eb="3">
      <t>モツ</t>
    </rPh>
    <phoneticPr fontId="1"/>
  </si>
  <si>
    <t>【取引糖度（てんさい、さとうきび）】</t>
    <rPh sb="1" eb="3">
      <t>トリヒキ</t>
    </rPh>
    <rPh sb="3" eb="5">
      <t>トウド</t>
    </rPh>
    <phoneticPr fontId="4"/>
  </si>
  <si>
    <t>計</t>
    <rPh sb="0" eb="1">
      <t>ケイ</t>
    </rPh>
    <phoneticPr fontId="4"/>
  </si>
  <si>
    <t>出荷量</t>
    <rPh sb="0" eb="3">
      <t>シュッカリョウ</t>
    </rPh>
    <phoneticPr fontId="4"/>
  </si>
  <si>
    <t>糖度換算出荷量</t>
    <rPh sb="0" eb="2">
      <t>トウド</t>
    </rPh>
    <rPh sb="2" eb="4">
      <t>カンザン</t>
    </rPh>
    <rPh sb="4" eb="7">
      <t>シュッカリョウ</t>
    </rPh>
    <phoneticPr fontId="4"/>
  </si>
  <si>
    <t>取引糖度</t>
    <rPh sb="0" eb="2">
      <t>トリヒキ</t>
    </rPh>
    <rPh sb="2" eb="4">
      <t>トウド</t>
    </rPh>
    <phoneticPr fontId="4"/>
  </si>
  <si>
    <t>作付地</t>
    <rPh sb="0" eb="3">
      <t>サクツケチ</t>
    </rPh>
    <phoneticPr fontId="1"/>
  </si>
  <si>
    <t>作付実面積</t>
    <rPh sb="0" eb="2">
      <t>サクツケ</t>
    </rPh>
    <rPh sb="2" eb="3">
      <t>ジツ</t>
    </rPh>
    <rPh sb="3" eb="5">
      <t>メンセキ</t>
    </rPh>
    <phoneticPr fontId="10"/>
  </si>
  <si>
    <t>土地台帳面積</t>
    <rPh sb="0" eb="2">
      <t>トチ</t>
    </rPh>
    <rPh sb="2" eb="4">
      <t>ダイチョウ</t>
    </rPh>
    <rPh sb="4" eb="6">
      <t>メンセキ</t>
    </rPh>
    <phoneticPr fontId="10"/>
  </si>
  <si>
    <t>作付地以外</t>
    <rPh sb="0" eb="3">
      <t>サクツケチ</t>
    </rPh>
    <rPh sb="3" eb="5">
      <t>イガイ</t>
    </rPh>
    <phoneticPr fontId="1"/>
  </si>
  <si>
    <t>使用面積</t>
    <rPh sb="0" eb="2">
      <t>シヨウ</t>
    </rPh>
    <rPh sb="2" eb="4">
      <t>メンセキ</t>
    </rPh>
    <phoneticPr fontId="10"/>
  </si>
  <si>
    <t>収穫面積</t>
    <rPh sb="0" eb="2">
      <t>シュウカク</t>
    </rPh>
    <rPh sb="2" eb="4">
      <t>メンセキ</t>
    </rPh>
    <phoneticPr fontId="4"/>
  </si>
  <si>
    <t>株出し</t>
    <rPh sb="0" eb="1">
      <t>カブ</t>
    </rPh>
    <rPh sb="1" eb="2">
      <t>ダ</t>
    </rPh>
    <phoneticPr fontId="4"/>
  </si>
  <si>
    <t>春植え</t>
    <rPh sb="0" eb="1">
      <t>ハル</t>
    </rPh>
    <rPh sb="1" eb="2">
      <t>ウ</t>
    </rPh>
    <phoneticPr fontId="4"/>
  </si>
  <si>
    <t>夏植え</t>
    <rPh sb="0" eb="1">
      <t>ナツ</t>
    </rPh>
    <rPh sb="1" eb="2">
      <t>ウ</t>
    </rPh>
    <phoneticPr fontId="4"/>
  </si>
  <si>
    <t>移植</t>
    <rPh sb="0" eb="2">
      <t>イショク</t>
    </rPh>
    <phoneticPr fontId="4"/>
  </si>
  <si>
    <t>【作付面積、地代】</t>
    <rPh sb="1" eb="3">
      <t>サクツケ</t>
    </rPh>
    <rPh sb="3" eb="5">
      <t>メンセキ</t>
    </rPh>
    <rPh sb="6" eb="8">
      <t>チダイ</t>
    </rPh>
    <phoneticPr fontId="4"/>
  </si>
  <si>
    <t>センサス番号</t>
    <rPh sb="4" eb="6">
      <t>バンゴウ</t>
    </rPh>
    <phoneticPr fontId="4"/>
  </si>
  <si>
    <t>区　　　　　分</t>
    <rPh sb="0" eb="1">
      <t>ク</t>
    </rPh>
    <rPh sb="6" eb="7">
      <t>ブン</t>
    </rPh>
    <phoneticPr fontId="1"/>
  </si>
  <si>
    <t>単位</t>
    <rPh sb="0" eb="2">
      <t>タンイ</t>
    </rPh>
    <phoneticPr fontId="1"/>
  </si>
  <si>
    <t>増減率</t>
    <rPh sb="0" eb="2">
      <t>ゾウゲン</t>
    </rPh>
    <rPh sb="2" eb="3">
      <t>リツ</t>
    </rPh>
    <phoneticPr fontId="1"/>
  </si>
  <si>
    <t>主　　　　な　　　　増　　　　減　　　　要　　　　因</t>
    <rPh sb="0" eb="1">
      <t>オモ</t>
    </rPh>
    <rPh sb="10" eb="11">
      <t>ゾウ</t>
    </rPh>
    <rPh sb="15" eb="16">
      <t>ゲン</t>
    </rPh>
    <rPh sb="20" eb="21">
      <t>ヨウ</t>
    </rPh>
    <rPh sb="25" eb="26">
      <t>イン</t>
    </rPh>
    <phoneticPr fontId="1"/>
  </si>
  <si>
    <t>10
ａ
当
た
り
生
産
費</t>
    <rPh sb="7" eb="8">
      <t>ア</t>
    </rPh>
    <rPh sb="16" eb="23">
      <t>セイサンヒ</t>
    </rPh>
    <phoneticPr fontId="1"/>
  </si>
  <si>
    <t>物財費</t>
    <rPh sb="0" eb="1">
      <t>ブツ</t>
    </rPh>
    <rPh sb="1" eb="3">
      <t>ザイヒ</t>
    </rPh>
    <phoneticPr fontId="1"/>
  </si>
  <si>
    <t>円</t>
    <rPh sb="0" eb="1">
      <t>エン</t>
    </rPh>
    <phoneticPr fontId="1"/>
  </si>
  <si>
    <t>種苗費</t>
    <rPh sb="0" eb="2">
      <t>シュビョウ</t>
    </rPh>
    <rPh sb="2" eb="3">
      <t>ヒ</t>
    </rPh>
    <phoneticPr fontId="1"/>
  </si>
  <si>
    <t>〃</t>
  </si>
  <si>
    <t>肥料費</t>
    <rPh sb="0" eb="3">
      <t>ヒリョウヒ</t>
    </rPh>
    <phoneticPr fontId="1"/>
  </si>
  <si>
    <t>農業薬剤費</t>
    <rPh sb="0" eb="2">
      <t>ノウギョウ</t>
    </rPh>
    <rPh sb="2" eb="5">
      <t>ヤクザイヒ</t>
    </rPh>
    <phoneticPr fontId="1"/>
  </si>
  <si>
    <t>光熱動力費</t>
    <rPh sb="0" eb="2">
      <t>コウネツ</t>
    </rPh>
    <rPh sb="2" eb="5">
      <t>ドウリョクヒ</t>
    </rPh>
    <phoneticPr fontId="1"/>
  </si>
  <si>
    <t>その他の諸材料費</t>
    <rPh sb="2" eb="3">
      <t>タ</t>
    </rPh>
    <rPh sb="4" eb="5">
      <t>ショ</t>
    </rPh>
    <rPh sb="5" eb="8">
      <t>ザイリョウヒ</t>
    </rPh>
    <phoneticPr fontId="1"/>
  </si>
  <si>
    <t>土地改良及び水利費</t>
    <rPh sb="0" eb="2">
      <t>トチ</t>
    </rPh>
    <rPh sb="2" eb="4">
      <t>カイリョウ</t>
    </rPh>
    <rPh sb="4" eb="5">
      <t>オヨ</t>
    </rPh>
    <rPh sb="6" eb="9">
      <t>スイリヒ</t>
    </rPh>
    <phoneticPr fontId="1"/>
  </si>
  <si>
    <t>賃借料及び料金</t>
    <rPh sb="0" eb="1">
      <t>チン</t>
    </rPh>
    <rPh sb="1" eb="3">
      <t>シャクリョウ</t>
    </rPh>
    <rPh sb="3" eb="4">
      <t>オヨ</t>
    </rPh>
    <rPh sb="5" eb="7">
      <t>リョウキン</t>
    </rPh>
    <phoneticPr fontId="1"/>
  </si>
  <si>
    <t>物件税及び公課諸負担</t>
    <rPh sb="0" eb="2">
      <t>ブッケン</t>
    </rPh>
    <rPh sb="2" eb="3">
      <t>ゼイ</t>
    </rPh>
    <rPh sb="3" eb="4">
      <t>オヨ</t>
    </rPh>
    <rPh sb="5" eb="6">
      <t>コウ</t>
    </rPh>
    <rPh sb="6" eb="7">
      <t>カ</t>
    </rPh>
    <rPh sb="7" eb="8">
      <t>ショ</t>
    </rPh>
    <rPh sb="8" eb="10">
      <t>フタン</t>
    </rPh>
    <phoneticPr fontId="1"/>
  </si>
  <si>
    <t>建物費</t>
    <rPh sb="0" eb="2">
      <t>タテモノ</t>
    </rPh>
    <rPh sb="2" eb="3">
      <t>ヒ</t>
    </rPh>
    <phoneticPr fontId="1"/>
  </si>
  <si>
    <t>償却費</t>
    <rPh sb="0" eb="3">
      <t>ショウキャクヒ</t>
    </rPh>
    <phoneticPr fontId="1"/>
  </si>
  <si>
    <t>自動車費</t>
    <rPh sb="0" eb="3">
      <t>ジドウシャ</t>
    </rPh>
    <rPh sb="3" eb="4">
      <t>ヒ</t>
    </rPh>
    <phoneticPr fontId="1"/>
  </si>
  <si>
    <t>農機具費</t>
    <rPh sb="0" eb="3">
      <t>ノウキグ</t>
    </rPh>
    <rPh sb="3" eb="4">
      <t>ヒ</t>
    </rPh>
    <phoneticPr fontId="1"/>
  </si>
  <si>
    <t>生産管理費</t>
    <rPh sb="0" eb="2">
      <t>セイサン</t>
    </rPh>
    <rPh sb="2" eb="5">
      <t>カンリヒ</t>
    </rPh>
    <phoneticPr fontId="1"/>
  </si>
  <si>
    <t>労働費</t>
    <rPh sb="0" eb="3">
      <t>ロウドウヒ</t>
    </rPh>
    <phoneticPr fontId="1"/>
  </si>
  <si>
    <t>家族</t>
    <rPh sb="0" eb="2">
      <t>カゾク</t>
    </rPh>
    <phoneticPr fontId="1"/>
  </si>
  <si>
    <t>直接労働費</t>
    <rPh sb="0" eb="2">
      <t>チョクセツ</t>
    </rPh>
    <rPh sb="2" eb="5">
      <t>ロウドウヒ</t>
    </rPh>
    <phoneticPr fontId="1"/>
  </si>
  <si>
    <t>間接労働費</t>
    <rPh sb="0" eb="2">
      <t>カンセツ</t>
    </rPh>
    <rPh sb="2" eb="5">
      <t>ロウドウヒ</t>
    </rPh>
    <phoneticPr fontId="1"/>
  </si>
  <si>
    <t>費用合計</t>
    <rPh sb="0" eb="2">
      <t>ヒヨウ</t>
    </rPh>
    <rPh sb="2" eb="4">
      <t>ゴウケイ</t>
    </rPh>
    <phoneticPr fontId="1"/>
  </si>
  <si>
    <t>副産物価額</t>
    <rPh sb="0" eb="3">
      <t>フクサンブツ</t>
    </rPh>
    <rPh sb="3" eb="5">
      <t>カガク</t>
    </rPh>
    <phoneticPr fontId="1"/>
  </si>
  <si>
    <t>生産費（副産物価額差引）</t>
    <rPh sb="0" eb="2">
      <t>セイサン</t>
    </rPh>
    <rPh sb="2" eb="3">
      <t>ヒ</t>
    </rPh>
    <rPh sb="4" eb="7">
      <t>フクサンブツ</t>
    </rPh>
    <rPh sb="7" eb="9">
      <t>カガク</t>
    </rPh>
    <rPh sb="9" eb="11">
      <t>サシヒキ</t>
    </rPh>
    <phoneticPr fontId="1"/>
  </si>
  <si>
    <t>支払利子</t>
    <rPh sb="0" eb="2">
      <t>シハライ</t>
    </rPh>
    <rPh sb="2" eb="4">
      <t>リシ</t>
    </rPh>
    <phoneticPr fontId="1"/>
  </si>
  <si>
    <t>支払地代</t>
    <rPh sb="0" eb="2">
      <t>シハライ</t>
    </rPh>
    <rPh sb="2" eb="4">
      <t>チダイ</t>
    </rPh>
    <phoneticPr fontId="1"/>
  </si>
  <si>
    <t>支払利子・地代算入生産費</t>
    <rPh sb="0" eb="2">
      <t>シハライ</t>
    </rPh>
    <rPh sb="2" eb="4">
      <t>リシ</t>
    </rPh>
    <rPh sb="5" eb="7">
      <t>チダイ</t>
    </rPh>
    <rPh sb="7" eb="9">
      <t>サンニュウ</t>
    </rPh>
    <rPh sb="9" eb="12">
      <t>セイサンヒ</t>
    </rPh>
    <phoneticPr fontId="1"/>
  </si>
  <si>
    <t>自己資本利子</t>
    <rPh sb="0" eb="2">
      <t>ジコ</t>
    </rPh>
    <rPh sb="2" eb="4">
      <t>シホン</t>
    </rPh>
    <rPh sb="4" eb="6">
      <t>リシ</t>
    </rPh>
    <phoneticPr fontId="1"/>
  </si>
  <si>
    <t>自作地地代</t>
    <rPh sb="0" eb="3">
      <t>ジサクチ</t>
    </rPh>
    <rPh sb="3" eb="5">
      <t>チダイ</t>
    </rPh>
    <phoneticPr fontId="1"/>
  </si>
  <si>
    <t>資本利子・地代全算入生産費</t>
    <rPh sb="0" eb="2">
      <t>シホン</t>
    </rPh>
    <rPh sb="2" eb="4">
      <t>リシ</t>
    </rPh>
    <rPh sb="5" eb="7">
      <t>チダイ</t>
    </rPh>
    <rPh sb="7" eb="8">
      <t>ゼン</t>
    </rPh>
    <rPh sb="8" eb="10">
      <t>サンニュウ</t>
    </rPh>
    <rPh sb="10" eb="13">
      <t>セイサンヒ</t>
    </rPh>
    <phoneticPr fontId="1"/>
  </si>
  <si>
    <t>単位数量当たり生産費</t>
    <rPh sb="0" eb="2">
      <t>タンイ</t>
    </rPh>
    <rPh sb="2" eb="4">
      <t>スウリョウ</t>
    </rPh>
    <rPh sb="4" eb="5">
      <t>ア</t>
    </rPh>
    <rPh sb="7" eb="10">
      <t>セイサンヒ</t>
    </rPh>
    <phoneticPr fontId="1"/>
  </si>
  <si>
    <t>単位数量当たり支払利子・地代算入生産費</t>
    <rPh sb="0" eb="2">
      <t>タンイ</t>
    </rPh>
    <rPh sb="2" eb="4">
      <t>スウリョウ</t>
    </rPh>
    <rPh sb="4" eb="5">
      <t>ア</t>
    </rPh>
    <rPh sb="7" eb="9">
      <t>シハライ</t>
    </rPh>
    <rPh sb="9" eb="11">
      <t>リシ</t>
    </rPh>
    <rPh sb="12" eb="14">
      <t>チダイ</t>
    </rPh>
    <rPh sb="14" eb="16">
      <t>サンニュウ</t>
    </rPh>
    <rPh sb="16" eb="19">
      <t>セイサンヒ</t>
    </rPh>
    <phoneticPr fontId="1"/>
  </si>
  <si>
    <t>単位数量当たり全算入生産費</t>
    <rPh sb="0" eb="2">
      <t>タンイ</t>
    </rPh>
    <rPh sb="2" eb="4">
      <t>スウリョウ</t>
    </rPh>
    <rPh sb="4" eb="5">
      <t>ア</t>
    </rPh>
    <rPh sb="7" eb="8">
      <t>ゼン</t>
    </rPh>
    <rPh sb="8" eb="10">
      <t>サンニュウ</t>
    </rPh>
    <rPh sb="10" eb="13">
      <t>セイサンヒ</t>
    </rPh>
    <phoneticPr fontId="1"/>
  </si>
  <si>
    <t>経営概況</t>
    <rPh sb="0" eb="2">
      <t>ケイエイ</t>
    </rPh>
    <rPh sb="2" eb="4">
      <t>ガイキョウ</t>
    </rPh>
    <phoneticPr fontId="1"/>
  </si>
  <si>
    <t>10ａ当たり収量</t>
    <rPh sb="3" eb="4">
      <t>ア</t>
    </rPh>
    <rPh sb="6" eb="8">
      <t>シュウリョウ</t>
    </rPh>
    <phoneticPr fontId="1"/>
  </si>
  <si>
    <t>10ａ当たり粗収益</t>
    <rPh sb="3" eb="4">
      <t>ア</t>
    </rPh>
    <rPh sb="6" eb="9">
      <t>ソシュウエキ</t>
    </rPh>
    <phoneticPr fontId="1"/>
  </si>
  <si>
    <t>10ａ当たり投下労働時間</t>
    <rPh sb="3" eb="4">
      <t>ア</t>
    </rPh>
    <rPh sb="6" eb="8">
      <t>トウカ</t>
    </rPh>
    <rPh sb="8" eb="10">
      <t>ロウドウ</t>
    </rPh>
    <rPh sb="10" eb="12">
      <t>ジカン</t>
    </rPh>
    <phoneticPr fontId="1"/>
  </si>
  <si>
    <t>時間</t>
    <rPh sb="0" eb="2">
      <t>ジカン</t>
    </rPh>
    <phoneticPr fontId="1"/>
  </si>
  <si>
    <t>耕うん・整地</t>
    <rPh sb="0" eb="1">
      <t>タガヤシ</t>
    </rPh>
    <rPh sb="4" eb="6">
      <t>セイチ</t>
    </rPh>
    <phoneticPr fontId="4"/>
  </si>
  <si>
    <t>刈取・脱穀</t>
    <rPh sb="0" eb="2">
      <t>カリトリ</t>
    </rPh>
    <rPh sb="3" eb="5">
      <t>ダッコク</t>
    </rPh>
    <phoneticPr fontId="4"/>
  </si>
  <si>
    <t>乾燥・調製</t>
    <rPh sb="0" eb="2">
      <t>カンソウ</t>
    </rPh>
    <rPh sb="3" eb="5">
      <t>チョウセイ</t>
    </rPh>
    <phoneticPr fontId="4"/>
  </si>
  <si>
    <t>kg</t>
    <phoneticPr fontId="1"/>
  </si>
  <si>
    <t>ａ</t>
    <phoneticPr fontId="1"/>
  </si>
  <si>
    <t>　個別結果検討表　№１</t>
    <phoneticPr fontId="1"/>
  </si>
  <si>
    <t>　個別結果検討表　№２</t>
    <phoneticPr fontId="4"/>
  </si>
  <si>
    <t>（％）</t>
    <phoneticPr fontId="4"/>
  </si>
  <si>
    <t>　個別結果検討表　№３</t>
    <phoneticPr fontId="1"/>
  </si>
  <si>
    <t>　個別結果検討表　№４</t>
    <phoneticPr fontId="4"/>
  </si>
  <si>
    <t>乗　用
トラク
タ　ー</t>
    <phoneticPr fontId="4"/>
  </si>
  <si>
    <t>自脱型コ
ンバイン</t>
    <phoneticPr fontId="4"/>
  </si>
  <si>
    <t>トレーラー</t>
    <phoneticPr fontId="4"/>
  </si>
  <si>
    <t>　個別結果検討表　№５</t>
    <phoneticPr fontId="1"/>
  </si>
  <si>
    <t>（kg）</t>
    <phoneticPr fontId="4"/>
  </si>
  <si>
    <t>（％）</t>
    <phoneticPr fontId="4"/>
  </si>
  <si>
    <t>てんさい</t>
    <phoneticPr fontId="1"/>
  </si>
  <si>
    <t>（％）</t>
  </si>
  <si>
    <t>さとうきび</t>
    <phoneticPr fontId="4"/>
  </si>
  <si>
    <t>（％）</t>
    <phoneticPr fontId="1"/>
  </si>
  <si>
    <t>貨物自動車</t>
    <rPh sb="0" eb="2">
      <t>カモツ</t>
    </rPh>
    <rPh sb="2" eb="5">
      <t>ジドウシャ</t>
    </rPh>
    <phoneticPr fontId="4"/>
  </si>
  <si>
    <t>大豆</t>
    <rPh sb="0" eb="2">
      <t>ダイズ</t>
    </rPh>
    <phoneticPr fontId="1"/>
  </si>
  <si>
    <t>そば</t>
    <phoneticPr fontId="1"/>
  </si>
  <si>
    <t>３等・規格外</t>
    <rPh sb="1" eb="2">
      <t>トウ</t>
    </rPh>
    <rPh sb="3" eb="6">
      <t>キカクガイ</t>
    </rPh>
    <phoneticPr fontId="1"/>
  </si>
  <si>
    <t>特定加工用</t>
    <rPh sb="0" eb="2">
      <t>トクテイ</t>
    </rPh>
    <rPh sb="2" eb="4">
      <t>カコウ</t>
    </rPh>
    <rPh sb="4" eb="5">
      <t>ヨウ</t>
    </rPh>
    <phoneticPr fontId="1"/>
  </si>
  <si>
    <t>規格外</t>
    <rPh sb="0" eb="3">
      <t>キカクガイ</t>
    </rPh>
    <phoneticPr fontId="1"/>
  </si>
  <si>
    <t>直まき</t>
    <rPh sb="0" eb="1">
      <t>ジカ</t>
    </rPh>
    <phoneticPr fontId="4"/>
  </si>
  <si>
    <t>減価償却費</t>
    <rPh sb="0" eb="2">
      <t>ゲンカ</t>
    </rPh>
    <rPh sb="2" eb="5">
      <t>ショウキャクヒ</t>
    </rPh>
    <phoneticPr fontId="4"/>
  </si>
  <si>
    <t>建物・構築物</t>
    <rPh sb="0" eb="2">
      <t>タテモノ</t>
    </rPh>
    <rPh sb="3" eb="6">
      <t>コウチクブツ</t>
    </rPh>
    <phoneticPr fontId="4"/>
  </si>
  <si>
    <t>増減差</t>
    <rPh sb="0" eb="2">
      <t>ゾウゲン</t>
    </rPh>
    <rPh sb="2" eb="3">
      <t>サ</t>
    </rPh>
    <phoneticPr fontId="4"/>
  </si>
  <si>
    <t>（ａ）</t>
    <phoneticPr fontId="1"/>
  </si>
  <si>
    <t>（ａ）</t>
    <phoneticPr fontId="1"/>
  </si>
  <si>
    <t>（ａ）</t>
    <phoneticPr fontId="1"/>
  </si>
  <si>
    <t>（円）</t>
    <rPh sb="1" eb="2">
      <t>エン</t>
    </rPh>
    <phoneticPr fontId="1"/>
  </si>
  <si>
    <t>（円）</t>
    <phoneticPr fontId="1"/>
  </si>
  <si>
    <t>【物件税及び公課諸負担（10ａ当たり）】</t>
    <rPh sb="1" eb="3">
      <t>ブッケン</t>
    </rPh>
    <rPh sb="3" eb="4">
      <t>ゼイ</t>
    </rPh>
    <rPh sb="4" eb="5">
      <t>オヨ</t>
    </rPh>
    <rPh sb="6" eb="8">
      <t>コウカ</t>
    </rPh>
    <rPh sb="8" eb="9">
      <t>ショ</t>
    </rPh>
    <rPh sb="9" eb="11">
      <t>フタン</t>
    </rPh>
    <rPh sb="15" eb="16">
      <t>ア</t>
    </rPh>
    <phoneticPr fontId="4"/>
  </si>
  <si>
    <t>（％）</t>
    <phoneticPr fontId="4"/>
  </si>
  <si>
    <t>物件税</t>
    <rPh sb="0" eb="2">
      <t>ブッケン</t>
    </rPh>
    <rPh sb="2" eb="3">
      <t>ゼイ</t>
    </rPh>
    <phoneticPr fontId="4"/>
  </si>
  <si>
    <t>公課諸負担</t>
    <rPh sb="0" eb="2">
      <t>コウカ</t>
    </rPh>
    <rPh sb="2" eb="3">
      <t>ショ</t>
    </rPh>
    <rPh sb="3" eb="5">
      <t>フタン</t>
    </rPh>
    <phoneticPr fontId="1"/>
  </si>
  <si>
    <t>（台）</t>
    <rPh sb="1" eb="2">
      <t>ダイ</t>
    </rPh>
    <phoneticPr fontId="4"/>
  </si>
  <si>
    <t>10ａ当たり実勢地代</t>
    <rPh sb="3" eb="4">
      <t>ア</t>
    </rPh>
    <rPh sb="6" eb="8">
      <t>ジッセイ</t>
    </rPh>
    <rPh sb="8" eb="10">
      <t>チダイ</t>
    </rPh>
    <phoneticPr fontId="4"/>
  </si>
  <si>
    <t>10ａ当たり地代総額</t>
    <rPh sb="3" eb="4">
      <t>ア</t>
    </rPh>
    <rPh sb="6" eb="8">
      <t>チダイ</t>
    </rPh>
    <rPh sb="8" eb="10">
      <t>ソウガク</t>
    </rPh>
    <phoneticPr fontId="10"/>
  </si>
  <si>
    <t>10ａ当たり負担地代</t>
    <rPh sb="3" eb="4">
      <t>ア</t>
    </rPh>
    <rPh sb="6" eb="8">
      <t>フタン</t>
    </rPh>
    <rPh sb="8" eb="10">
      <t>チダイ</t>
    </rPh>
    <phoneticPr fontId="10"/>
  </si>
  <si>
    <t>10ａ当たり賃借料総額</t>
    <rPh sb="3" eb="4">
      <t>ア</t>
    </rPh>
    <rPh sb="6" eb="9">
      <t>チンシャクリョウ</t>
    </rPh>
    <rPh sb="9" eb="11">
      <t>ソウガク</t>
    </rPh>
    <phoneticPr fontId="10"/>
  </si>
  <si>
    <t>【生産物の処分内訳（10ａ当たり）】</t>
    <rPh sb="1" eb="4">
      <t>セイサンブツ</t>
    </rPh>
    <rPh sb="5" eb="7">
      <t>ショブン</t>
    </rPh>
    <rPh sb="7" eb="9">
      <t>ウチワケ</t>
    </rPh>
    <rPh sb="13" eb="14">
      <t>ア</t>
    </rPh>
    <phoneticPr fontId="4"/>
  </si>
  <si>
    <t>種苗用</t>
    <rPh sb="0" eb="2">
      <t>シュビョウ</t>
    </rPh>
    <rPh sb="2" eb="3">
      <t>ヨウ</t>
    </rPh>
    <phoneticPr fontId="4"/>
  </si>
  <si>
    <t>自家用</t>
    <rPh sb="0" eb="3">
      <t>ジカヨウ</t>
    </rPh>
    <phoneticPr fontId="1"/>
  </si>
  <si>
    <t>自家用</t>
    <phoneticPr fontId="1"/>
  </si>
  <si>
    <t>自家用</t>
    <phoneticPr fontId="4"/>
  </si>
  <si>
    <t>１　　　等</t>
    <phoneticPr fontId="1"/>
  </si>
  <si>
    <t>２　　　等</t>
    <phoneticPr fontId="1"/>
  </si>
  <si>
    <t>等外上</t>
    <phoneticPr fontId="1"/>
  </si>
  <si>
    <t>小計</t>
    <rPh sb="0" eb="2">
      <t>ショウケイ</t>
    </rPh>
    <phoneticPr fontId="1"/>
  </si>
  <si>
    <t>食用</t>
    <rPh sb="0" eb="2">
      <t>ショクヨウ</t>
    </rPh>
    <phoneticPr fontId="1"/>
  </si>
  <si>
    <t>種子用</t>
    <rPh sb="0" eb="3">
      <t>シュシヨウ</t>
    </rPh>
    <phoneticPr fontId="1"/>
  </si>
  <si>
    <t>その他</t>
    <rPh sb="2" eb="3">
      <t>タ</t>
    </rPh>
    <phoneticPr fontId="1"/>
  </si>
  <si>
    <t>合計</t>
    <rPh sb="0" eb="2">
      <t>ゴウケイ</t>
    </rPh>
    <phoneticPr fontId="1"/>
  </si>
  <si>
    <t>主産物</t>
    <rPh sb="0" eb="3">
      <t>シュサンブツ</t>
    </rPh>
    <phoneticPr fontId="1"/>
  </si>
  <si>
    <t>販売用</t>
    <rPh sb="0" eb="3">
      <t>ハンバイヨウ</t>
    </rPh>
    <phoneticPr fontId="1"/>
  </si>
  <si>
    <t>自家用</t>
    <rPh sb="0" eb="3">
      <t>ジカヨウ</t>
    </rPh>
    <phoneticPr fontId="1"/>
  </si>
  <si>
    <t>ビール麦の販売内訳</t>
    <phoneticPr fontId="1"/>
  </si>
  <si>
    <t>動力噴霧機</t>
    <rPh sb="0" eb="2">
      <t>ドウリョク</t>
    </rPh>
    <rPh sb="2" eb="4">
      <t>フンム</t>
    </rPh>
    <rPh sb="4" eb="5">
      <t>キ</t>
    </rPh>
    <phoneticPr fontId="4"/>
  </si>
  <si>
    <t>住宅</t>
    <rPh sb="0" eb="2">
      <t>ジュウタク</t>
    </rPh>
    <phoneticPr fontId="4"/>
  </si>
  <si>
    <t>計</t>
    <rPh sb="0" eb="1">
      <t>ケイ</t>
    </rPh>
    <phoneticPr fontId="1"/>
  </si>
  <si>
    <t>てんさい・さとうきび　</t>
    <phoneticPr fontId="1"/>
  </si>
  <si>
    <t>１経営体当たり作付面積</t>
    <rPh sb="4" eb="5">
      <t>ア</t>
    </rPh>
    <rPh sb="7" eb="9">
      <t>サクツケ</t>
    </rPh>
    <rPh sb="9" eb="11">
      <t>メンセキ</t>
    </rPh>
    <phoneticPr fontId="1"/>
  </si>
  <si>
    <t>【調査対象栽培型を含む調査作物の収穫面積等（１経営体当たり）】</t>
    <rPh sb="1" eb="3">
      <t>チョウサ</t>
    </rPh>
    <rPh sb="3" eb="5">
      <t>タイショウ</t>
    </rPh>
    <rPh sb="5" eb="7">
      <t>サイバイ</t>
    </rPh>
    <rPh sb="7" eb="8">
      <t>ガタ</t>
    </rPh>
    <rPh sb="9" eb="10">
      <t>フク</t>
    </rPh>
    <rPh sb="11" eb="13">
      <t>チョウサ</t>
    </rPh>
    <rPh sb="13" eb="15">
      <t>サクモツ</t>
    </rPh>
    <rPh sb="16" eb="18">
      <t>シュウカク</t>
    </rPh>
    <rPh sb="18" eb="21">
      <t>メンセキトウ</t>
    </rPh>
    <phoneticPr fontId="4"/>
  </si>
  <si>
    <t>【麦類・大豆・そば・なたねの委託状況（１経営体当たり）】</t>
  </si>
  <si>
    <t>【費用の内訳（１経営体当たり・10ａ当たり）】</t>
    <rPh sb="1" eb="3">
      <t>ヒヨウ</t>
    </rPh>
    <rPh sb="4" eb="6">
      <t>ウチワケ</t>
    </rPh>
    <rPh sb="11" eb="12">
      <t>ア</t>
    </rPh>
    <rPh sb="18" eb="19">
      <t>ア</t>
    </rPh>
    <phoneticPr fontId="4"/>
  </si>
  <si>
    <t>構成割合</t>
    <rPh sb="0" eb="2">
      <t>コウセイ</t>
    </rPh>
    <rPh sb="2" eb="4">
      <t>ワリアイ</t>
    </rPh>
    <phoneticPr fontId="1"/>
  </si>
  <si>
    <t>増減率（取引糖度は増減差）</t>
    <rPh sb="0" eb="2">
      <t>ゾウゲン</t>
    </rPh>
    <rPh sb="2" eb="3">
      <t>リツ</t>
    </rPh>
    <rPh sb="4" eb="6">
      <t>トリヒキ</t>
    </rPh>
    <rPh sb="6" eb="8">
      <t>トウド</t>
    </rPh>
    <rPh sb="9" eb="11">
      <t>ゾウゲン</t>
    </rPh>
    <rPh sb="11" eb="12">
      <t>サ</t>
    </rPh>
    <phoneticPr fontId="4"/>
  </si>
  <si>
    <t>年産　麦類・大豆・そば・なたね・畑作物生産費統計（個別経営体）</t>
    <phoneticPr fontId="1"/>
  </si>
  <si>
    <t>使 用 台 数 （ １ 経 営 体 当 た り ）</t>
    <rPh sb="0" eb="1">
      <t>シ</t>
    </rPh>
    <rPh sb="2" eb="3">
      <t>ヨウ</t>
    </rPh>
    <rPh sb="4" eb="5">
      <t>ダイ</t>
    </rPh>
    <rPh sb="6" eb="7">
      <t>カズ</t>
    </rPh>
    <rPh sb="18" eb="19">
      <t>ア</t>
    </rPh>
    <phoneticPr fontId="4"/>
  </si>
  <si>
    <t>事務所</t>
    <rPh sb="0" eb="3">
      <t>ジムショ</t>
    </rPh>
    <phoneticPr fontId="4"/>
  </si>
  <si>
    <t>作業場</t>
    <rPh sb="0" eb="2">
      <t>サギョウ</t>
    </rPh>
    <rPh sb="2" eb="3">
      <t>ジョウ</t>
    </rPh>
    <phoneticPr fontId="4"/>
  </si>
  <si>
    <t>車庫</t>
    <rPh sb="0" eb="2">
      <t>シャコ</t>
    </rPh>
    <phoneticPr fontId="4"/>
  </si>
  <si>
    <t>ライスセンター</t>
    <phoneticPr fontId="4"/>
  </si>
  <si>
    <t>育苗ハウス</t>
    <phoneticPr fontId="4"/>
  </si>
  <si>
    <t>稲架</t>
    <rPh sb="0" eb="2">
      <t>ハザ</t>
    </rPh>
    <phoneticPr fontId="4"/>
  </si>
  <si>
    <t>作業道</t>
    <rPh sb="0" eb="2">
      <t>サギョウ</t>
    </rPh>
    <rPh sb="2" eb="3">
      <t>ドウ</t>
    </rPh>
    <phoneticPr fontId="4"/>
  </si>
  <si>
    <t>50～80馬力未満</t>
    <rPh sb="5" eb="7">
      <t>バリキ</t>
    </rPh>
    <rPh sb="7" eb="9">
      <t>ミマン</t>
    </rPh>
    <phoneticPr fontId="4"/>
  </si>
  <si>
    <t>80～100馬力未満</t>
    <rPh sb="6" eb="8">
      <t>バリキ</t>
    </rPh>
    <rPh sb="8" eb="10">
      <t>ミマン</t>
    </rPh>
    <phoneticPr fontId="4"/>
  </si>
  <si>
    <t>100馬力以上</t>
    <rPh sb="3" eb="5">
      <t>バリキ</t>
    </rPh>
    <rPh sb="5" eb="7">
      <t>イジョウ</t>
    </rPh>
    <phoneticPr fontId="4"/>
  </si>
  <si>
    <t>４～５条刈</t>
    <rPh sb="3" eb="4">
      <t>ジョウ</t>
    </rPh>
    <rPh sb="4" eb="5">
      <t>カリ</t>
    </rPh>
    <phoneticPr fontId="4"/>
  </si>
  <si>
    <t>６条以上</t>
    <phoneticPr fontId="4"/>
  </si>
  <si>
    <t>ドローン</t>
    <phoneticPr fontId="4"/>
  </si>
  <si>
    <t>備考欄</t>
    <rPh sb="0" eb="3">
      <t>ビコウラン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</si>
</sst>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76" formatCode="00"/>
    <numFmt numFmtId="177" formatCode="&quot;=[&quot;@&quot;]&quot;"/>
    <numFmt numFmtId="178" formatCode="###\ ###\ ##0"/>
    <numFmt numFmtId="179" formatCode="###\ ###\ ##0.0"/>
    <numFmt numFmtId="180" formatCode="###\ ###\ ##0;\-###\ ###\ ##0;"/>
    <numFmt numFmtId="181" formatCode="###\ ###\ ##0.0;\-###\ ###\ ##0.0;"/>
    <numFmt numFmtId="182" formatCode="###\ ###\ ##0.00;\-###\ ###\ ##0.00;"/>
    <numFmt numFmtId="183" formatCode="#0&quot;年&quot;"/>
    <numFmt numFmtId="184" formatCode="###\ ###\ ##0.000;\-###\ ###\ ##0.000;"/>
    <numFmt numFmtId="185" formatCode="0000"/>
    <numFmt numFmtId="186" formatCode="#0&quot;年産&quot;"/>
    <numFmt numFmtId="187" formatCode="#,##0_ "/>
    <numFmt numFmtId="188" formatCode="#,##0.0_ "/>
    <numFmt numFmtId="189" formatCode="#,##0.00_ "/>
    <numFmt numFmtId="190" formatCode="#,##0.000_ "/>
  </numFmts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8"/>
      <name val="ＭＳ 明朝"/>
      <family val="1"/>
      <charset val="128"/>
    </font>
    <font>
      <sz val="12"/>
      <name val="ＭＳ ゴシック"/>
      <family val="3"/>
      <charset val="128"/>
    </font>
    <font>
      <b/>
      <sz val="12"/>
      <color indexed="52"/>
      <name val="ＭＳ Ｐゴシック"/>
      <family val="3"/>
      <charset val="128"/>
    </font>
    <font>
      <sz val="10.5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7"/>
      <name val="ＭＳ ゴシック"/>
      <family val="3"/>
      <charset val="128"/>
    </font>
    <font>
      <sz val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68">
    <border>
      <left/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/>
      <diagonal style="hair">
        <color indexed="64"/>
      </diagonal>
    </border>
    <border diagonalDown="1">
      <left style="hair">
        <color indexed="64"/>
      </left>
      <right/>
      <top style="hair">
        <color indexed="64"/>
      </top>
      <bottom/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hair">
        <color indexed="64"/>
      </top>
      <bottom/>
      <diagonal style="hair">
        <color indexed="64"/>
      </diagonal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 diagonalDown="1">
      <left style="thin">
        <color indexed="64"/>
      </left>
      <right style="hair">
        <color indexed="64"/>
      </right>
      <top/>
      <bottom style="thin">
        <color indexed="64"/>
      </bottom>
      <diagonal style="hair">
        <color indexed="64"/>
      </diagonal>
    </border>
    <border diagonalDown="1">
      <left style="hair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 diagonalDown="1">
      <left/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hair">
        <color indexed="64"/>
      </diagonal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/>
      <right/>
      <top style="thin">
        <color indexed="64"/>
      </top>
      <bottom style="hair">
        <color indexed="64"/>
      </bottom>
      <diagonal/>
    </border>
    <border diagonalDown="1">
      <left style="thin">
        <color indexed="64"/>
      </left>
      <right/>
      <top style="thin">
        <color indexed="64"/>
      </top>
      <bottom/>
      <diagonal style="thin">
        <color indexed="64"/>
      </diagonal>
    </border>
    <border diagonalDown="1">
      <left/>
      <right/>
      <top style="thin">
        <color indexed="64"/>
      </top>
      <bottom/>
      <diagonal style="thin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/>
      <bottom/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 style="thin">
        <color indexed="64"/>
      </right>
      <top/>
      <bottom/>
      <diagonal style="thin">
        <color indexed="64"/>
      </diagonal>
    </border>
    <border diagonalDown="1">
      <left style="thin">
        <color indexed="64"/>
      </left>
      <right/>
      <top style="hair">
        <color indexed="64"/>
      </top>
      <bottom style="hair">
        <color indexed="64"/>
      </bottom>
      <diagonal style="hair">
        <color indexed="64"/>
      </diagonal>
    </border>
    <border diagonalDown="1">
      <left style="thin">
        <color indexed="64"/>
      </left>
      <right/>
      <top style="hair">
        <color indexed="64"/>
      </top>
      <bottom style="thin">
        <color indexed="64"/>
      </bottom>
      <diagonal style="hair">
        <color indexed="64"/>
      </diagonal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 diagonalDown="1"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 style="hair">
        <color indexed="64"/>
      </diagonal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/>
      <top style="thin">
        <color indexed="64"/>
      </top>
      <bottom/>
      <diagonal style="hair">
        <color indexed="64"/>
      </diagonal>
    </border>
    <border diagonalDown="1">
      <left/>
      <right/>
      <top style="thin">
        <color indexed="64"/>
      </top>
      <bottom/>
      <diagonal style="hair">
        <color indexed="64"/>
      </diagonal>
    </border>
    <border diagonalDown="1">
      <left/>
      <right style="thin">
        <color indexed="64"/>
      </right>
      <top style="thin">
        <color indexed="64"/>
      </top>
      <bottom/>
      <diagonal style="hair">
        <color indexed="64"/>
      </diagonal>
    </border>
    <border diagonalDown="1">
      <left style="thin">
        <color indexed="64"/>
      </left>
      <right/>
      <top/>
      <bottom style="thin">
        <color indexed="64"/>
      </bottom>
      <diagonal style="hair">
        <color indexed="64"/>
      </diagonal>
    </border>
    <border diagonalDown="1">
      <left/>
      <right/>
      <top/>
      <bottom style="thin">
        <color indexed="64"/>
      </bottom>
      <diagonal style="hair">
        <color indexed="64"/>
      </diagonal>
    </border>
    <border diagonalDown="1">
      <left/>
      <right style="thin">
        <color indexed="64"/>
      </right>
      <top/>
      <bottom style="thin">
        <color indexed="64"/>
      </bottom>
      <diagonal style="hair">
        <color indexed="64"/>
      </diagonal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 diagonalDown="1">
      <left style="hair">
        <color indexed="64"/>
      </left>
      <right/>
      <top style="hair">
        <color indexed="64"/>
      </top>
      <bottom style="medium">
        <color indexed="64"/>
      </bottom>
      <diagonal style="hair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hair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>
      <alignment vertical="center"/>
    </xf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13" fillId="0" borderId="0">
      <alignment vertical="center"/>
    </xf>
  </cellStyleXfs>
  <cellXfs count="636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vertical="center"/>
    </xf>
    <xf numFmtId="0" fontId="5" fillId="0" borderId="18" xfId="1" applyFont="1" applyBorder="1" applyAlignment="1">
      <alignment horizontal="distributed" vertical="center" justifyLastLine="1"/>
    </xf>
    <xf numFmtId="0" fontId="7" fillId="0" borderId="4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5" fillId="0" borderId="3" xfId="1" applyFont="1" applyBorder="1" applyAlignment="1">
      <alignment horizontal="distributed" vertical="center"/>
    </xf>
    <xf numFmtId="0" fontId="5" fillId="0" borderId="27" xfId="1" applyFont="1" applyBorder="1" applyAlignment="1">
      <alignment horizontal="distributed" vertical="center"/>
    </xf>
    <xf numFmtId="0" fontId="9" fillId="0" borderId="0" xfId="1" applyFont="1" applyAlignment="1">
      <alignment horizontal="center" vertical="center"/>
    </xf>
    <xf numFmtId="0" fontId="2" fillId="0" borderId="0" xfId="1" applyFont="1"/>
    <xf numFmtId="0" fontId="5" fillId="0" borderId="20" xfId="2" applyFont="1" applyBorder="1" applyAlignment="1">
      <alignment horizontal="distributed" vertical="center" justifyLastLine="1"/>
    </xf>
    <xf numFmtId="0" fontId="5" fillId="0" borderId="39" xfId="2" applyFont="1" applyBorder="1" applyAlignment="1">
      <alignment horizontal="distributed" vertical="center" justifyLastLine="1"/>
    </xf>
    <xf numFmtId="0" fontId="5" fillId="0" borderId="18" xfId="2" applyFont="1" applyBorder="1" applyAlignment="1">
      <alignment horizontal="distributed" vertical="center" justifyLastLine="1"/>
    </xf>
    <xf numFmtId="0" fontId="5" fillId="0" borderId="1" xfId="2" applyFont="1" applyBorder="1" applyAlignment="1">
      <alignment horizontal="distributed" vertical="center" justifyLastLine="1"/>
    </xf>
    <xf numFmtId="0" fontId="5" fillId="0" borderId="2" xfId="2" applyFont="1" applyBorder="1" applyAlignment="1">
      <alignment horizontal="distributed" vertical="center" justifyLastLine="1"/>
    </xf>
    <xf numFmtId="0" fontId="7" fillId="0" borderId="3" xfId="2" applyFont="1" applyBorder="1" applyAlignment="1">
      <alignment horizontal="center" vertical="center"/>
    </xf>
    <xf numFmtId="0" fontId="7" fillId="0" borderId="40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180" fontId="5" fillId="0" borderId="0" xfId="1" applyNumberFormat="1" applyFont="1" applyAlignment="1">
      <alignment vertical="center" shrinkToFit="1"/>
    </xf>
    <xf numFmtId="180" fontId="5" fillId="0" borderId="0" xfId="1" applyNumberFormat="1" applyFont="1" applyAlignment="1">
      <alignment horizontal="right" shrinkToFit="1"/>
    </xf>
    <xf numFmtId="179" fontId="5" fillId="0" borderId="0" xfId="1" applyNumberFormat="1" applyFont="1" applyAlignment="1">
      <alignment horizontal="right" shrinkToFit="1"/>
    </xf>
    <xf numFmtId="0" fontId="5" fillId="0" borderId="0" xfId="1" applyFont="1" applyAlignment="1">
      <alignment vertical="distributed" textRotation="255" justifyLastLine="1"/>
    </xf>
    <xf numFmtId="0" fontId="5" fillId="0" borderId="0" xfId="1" applyFont="1" applyAlignment="1">
      <alignment vertical="distributed" textRotation="255"/>
    </xf>
    <xf numFmtId="0" fontId="6" fillId="0" borderId="0" xfId="2" applyFont="1" applyAlignment="1">
      <alignment vertical="center"/>
    </xf>
    <xf numFmtId="0" fontId="5" fillId="0" borderId="0" xfId="2" applyFont="1" applyAlignment="1">
      <alignment horizontal="distributed" vertical="center" justifyLastLine="1"/>
    </xf>
    <xf numFmtId="0" fontId="7" fillId="0" borderId="6" xfId="2" applyFont="1" applyBorder="1" applyAlignment="1">
      <alignment horizontal="center" vertical="center"/>
    </xf>
    <xf numFmtId="0" fontId="5" fillId="0" borderId="10" xfId="2" applyFont="1" applyBorder="1" applyAlignment="1">
      <alignment horizontal="distributed" vertical="center"/>
    </xf>
    <xf numFmtId="0" fontId="5" fillId="0" borderId="46" xfId="1" applyFont="1" applyBorder="1" applyAlignment="1">
      <alignment horizontal="distributed" vertical="center"/>
    </xf>
    <xf numFmtId="0" fontId="5" fillId="0" borderId="30" xfId="1" applyFont="1" applyBorder="1" applyAlignment="1">
      <alignment horizontal="distributed" vertical="center" justifyLastLine="1"/>
    </xf>
    <xf numFmtId="0" fontId="5" fillId="0" borderId="1" xfId="1" applyFont="1" applyBorder="1" applyAlignment="1">
      <alignment horizontal="distributed" vertical="center"/>
    </xf>
    <xf numFmtId="0" fontId="7" fillId="0" borderId="35" xfId="1" applyFont="1" applyBorder="1" applyAlignment="1">
      <alignment horizontal="center" vertical="center"/>
    </xf>
    <xf numFmtId="0" fontId="7" fillId="0" borderId="52" xfId="1" applyFont="1" applyBorder="1" applyAlignment="1">
      <alignment horizontal="center" vertical="center"/>
    </xf>
    <xf numFmtId="0" fontId="5" fillId="0" borderId="60" xfId="1" applyFont="1" applyBorder="1" applyAlignment="1">
      <alignment vertical="center"/>
    </xf>
    <xf numFmtId="0" fontId="5" fillId="0" borderId="60" xfId="1" applyFont="1" applyBorder="1" applyAlignment="1">
      <alignment horizontal="distributed" vertical="center"/>
    </xf>
    <xf numFmtId="0" fontId="5" fillId="0" borderId="1" xfId="1" applyFont="1" applyBorder="1" applyAlignment="1">
      <alignment vertical="center"/>
    </xf>
    <xf numFmtId="0" fontId="5" fillId="0" borderId="25" xfId="1" applyFont="1" applyBorder="1" applyAlignment="1">
      <alignment vertical="center"/>
    </xf>
    <xf numFmtId="0" fontId="5" fillId="0" borderId="25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/>
    </xf>
    <xf numFmtId="0" fontId="5" fillId="0" borderId="68" xfId="1" applyFont="1" applyBorder="1" applyAlignment="1">
      <alignment vertical="center"/>
    </xf>
    <xf numFmtId="0" fontId="7" fillId="0" borderId="68" xfId="1" applyFont="1" applyBorder="1" applyAlignment="1">
      <alignment horizontal="center" vertical="center" wrapText="1"/>
    </xf>
    <xf numFmtId="0" fontId="7" fillId="0" borderId="68" xfId="1" applyFont="1" applyBorder="1" applyAlignment="1">
      <alignment horizontal="center" vertical="center"/>
    </xf>
    <xf numFmtId="0" fontId="5" fillId="0" borderId="28" xfId="1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5" fillId="0" borderId="0" xfId="2" applyFont="1" applyAlignment="1">
      <alignment vertical="center"/>
    </xf>
    <xf numFmtId="0" fontId="6" fillId="0" borderId="0" xfId="0" applyFont="1">
      <alignment vertical="center"/>
    </xf>
    <xf numFmtId="0" fontId="11" fillId="0" borderId="0" xfId="0" applyFont="1">
      <alignment vertical="center"/>
    </xf>
    <xf numFmtId="0" fontId="8" fillId="0" borderId="0" xfId="1" applyFont="1" applyAlignment="1">
      <alignment vertical="center"/>
    </xf>
    <xf numFmtId="0" fontId="8" fillId="0" borderId="0" xfId="1" applyFont="1" applyAlignment="1">
      <alignment horizontal="center" vertical="center"/>
    </xf>
    <xf numFmtId="0" fontId="8" fillId="0" borderId="0" xfId="1" applyFont="1" applyAlignment="1">
      <alignment horizontal="left" vertical="center"/>
    </xf>
    <xf numFmtId="0" fontId="8" fillId="0" borderId="0" xfId="1" applyFont="1" applyAlignment="1">
      <alignment horizontal="right" vertical="center"/>
    </xf>
    <xf numFmtId="0" fontId="5" fillId="0" borderId="19" xfId="1" applyFont="1" applyBorder="1" applyAlignment="1">
      <alignment horizontal="distributed" vertical="center"/>
    </xf>
    <xf numFmtId="0" fontId="5" fillId="0" borderId="10" xfId="2" applyFont="1" applyBorder="1" applyAlignment="1">
      <alignment vertical="center" shrinkToFit="1"/>
    </xf>
    <xf numFmtId="0" fontId="5" fillId="0" borderId="25" xfId="2" applyFont="1" applyBorder="1" applyAlignment="1">
      <alignment horizontal="distributed" vertical="center"/>
    </xf>
    <xf numFmtId="0" fontId="5" fillId="0" borderId="27" xfId="2" applyFont="1" applyBorder="1" applyAlignment="1">
      <alignment horizontal="distributed" vertical="center"/>
    </xf>
    <xf numFmtId="0" fontId="5" fillId="0" borderId="28" xfId="2" applyFont="1" applyBorder="1" applyAlignment="1">
      <alignment horizontal="distributed" vertical="center"/>
    </xf>
    <xf numFmtId="0" fontId="5" fillId="0" borderId="9" xfId="2" applyFont="1" applyBorder="1" applyAlignment="1">
      <alignment vertical="center"/>
    </xf>
    <xf numFmtId="0" fontId="5" fillId="0" borderId="13" xfId="2" applyFont="1" applyBorder="1" applyAlignment="1">
      <alignment vertical="center"/>
    </xf>
    <xf numFmtId="0" fontId="5" fillId="0" borderId="10" xfId="2" applyFont="1" applyBorder="1" applyAlignment="1">
      <alignment vertical="center"/>
    </xf>
    <xf numFmtId="0" fontId="5" fillId="0" borderId="17" xfId="2" applyFont="1" applyBorder="1" applyAlignment="1">
      <alignment vertical="center"/>
    </xf>
    <xf numFmtId="178" fontId="5" fillId="2" borderId="111" xfId="4" applyNumberFormat="1" applyFont="1" applyFill="1" applyBorder="1" applyAlignment="1">
      <alignment horizontal="center" vertical="center" shrinkToFit="1"/>
    </xf>
    <xf numFmtId="178" fontId="5" fillId="2" borderId="112" xfId="4" applyNumberFormat="1" applyFont="1" applyFill="1" applyBorder="1" applyAlignment="1">
      <alignment horizontal="center" vertical="center" shrinkToFit="1"/>
    </xf>
    <xf numFmtId="0" fontId="5" fillId="0" borderId="47" xfId="5" applyFont="1" applyBorder="1" applyAlignment="1">
      <alignment horizontal="distributed" vertical="center"/>
    </xf>
    <xf numFmtId="0" fontId="5" fillId="1" borderId="48" xfId="5" applyFont="1" applyFill="1" applyBorder="1" applyAlignment="1">
      <alignment horizontal="distributed" vertical="center"/>
    </xf>
    <xf numFmtId="0" fontId="5" fillId="1" borderId="47" xfId="5" applyFont="1" applyFill="1" applyBorder="1" applyAlignment="1">
      <alignment horizontal="distributed" vertical="center"/>
    </xf>
    <xf numFmtId="176" fontId="5" fillId="0" borderId="10" xfId="1" applyNumberFormat="1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80" fontId="5" fillId="0" borderId="0" xfId="2" applyNumberFormat="1" applyFont="1" applyAlignment="1">
      <alignment horizontal="right"/>
    </xf>
    <xf numFmtId="183" fontId="5" fillId="0" borderId="0" xfId="2" applyNumberFormat="1" applyFont="1" applyAlignment="1">
      <alignment horizontal="distributed" vertical="center" justifyLastLine="1"/>
    </xf>
    <xf numFmtId="179" fontId="5" fillId="0" borderId="0" xfId="2" applyNumberFormat="1" applyFont="1" applyAlignment="1">
      <alignment horizontal="right" shrinkToFit="1"/>
    </xf>
    <xf numFmtId="0" fontId="5" fillId="0" borderId="0" xfId="0" applyFont="1">
      <alignment vertical="center"/>
    </xf>
    <xf numFmtId="176" fontId="5" fillId="0" borderId="0" xfId="1" applyNumberFormat="1" applyFont="1" applyAlignment="1">
      <alignment horizontal="center" vertical="center"/>
    </xf>
    <xf numFmtId="0" fontId="5" fillId="0" borderId="48" xfId="5" applyFont="1" applyBorder="1" applyAlignment="1">
      <alignment horizontal="distributed" vertical="center"/>
    </xf>
    <xf numFmtId="178" fontId="5" fillId="0" borderId="37" xfId="2" applyNumberFormat="1" applyFont="1" applyBorder="1" applyAlignment="1">
      <alignment horizontal="center" shrinkToFit="1"/>
    </xf>
    <xf numFmtId="0" fontId="5" fillId="0" borderId="6" xfId="2" applyFont="1" applyBorder="1" applyAlignment="1">
      <alignment vertical="center"/>
    </xf>
    <xf numFmtId="0" fontId="2" fillId="0" borderId="83" xfId="1" applyFont="1" applyBorder="1" applyAlignment="1">
      <alignment shrinkToFit="1"/>
    </xf>
    <xf numFmtId="0" fontId="2" fillId="0" borderId="26" xfId="1" applyFont="1" applyBorder="1" applyAlignment="1">
      <alignment shrinkToFit="1"/>
    </xf>
    <xf numFmtId="0" fontId="2" fillId="0" borderId="44" xfId="1" applyFont="1" applyBorder="1" applyAlignment="1">
      <alignment shrinkToFit="1"/>
    </xf>
    <xf numFmtId="0" fontId="2" fillId="0" borderId="37" xfId="1" applyFont="1" applyBorder="1" applyAlignment="1">
      <alignment shrinkToFit="1"/>
    </xf>
    <xf numFmtId="0" fontId="5" fillId="0" borderId="42" xfId="1" applyFont="1" applyBorder="1" applyAlignment="1">
      <alignment horizontal="distributed" vertical="center"/>
    </xf>
    <xf numFmtId="0" fontId="5" fillId="0" borderId="0" xfId="2" applyFont="1" applyAlignment="1">
      <alignment horizontal="center" vertical="center"/>
    </xf>
    <xf numFmtId="0" fontId="5" fillId="0" borderId="10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0" fontId="5" fillId="0" borderId="25" xfId="1" applyFont="1" applyBorder="1" applyAlignment="1">
      <alignment horizontal="distributed" vertical="center"/>
    </xf>
    <xf numFmtId="0" fontId="14" fillId="2" borderId="116" xfId="4" applyFont="1" applyFill="1" applyBorder="1" applyAlignment="1">
      <alignment horizontal="center" vertical="center" wrapText="1"/>
    </xf>
    <xf numFmtId="0" fontId="14" fillId="2" borderId="124" xfId="4" applyFont="1" applyFill="1" applyBorder="1" applyAlignment="1">
      <alignment horizontal="center" vertical="center" wrapText="1"/>
    </xf>
    <xf numFmtId="0" fontId="14" fillId="2" borderId="124" xfId="4" applyFont="1" applyFill="1" applyBorder="1" applyAlignment="1">
      <alignment horizontal="center" vertical="center"/>
    </xf>
    <xf numFmtId="0" fontId="14" fillId="2" borderId="128" xfId="4" applyFont="1" applyFill="1" applyBorder="1" applyAlignment="1">
      <alignment horizontal="center" vertical="center" wrapText="1"/>
    </xf>
    <xf numFmtId="0" fontId="14" fillId="2" borderId="131" xfId="4" applyFont="1" applyFill="1" applyBorder="1" applyAlignment="1">
      <alignment horizontal="center" vertical="center" wrapText="1"/>
    </xf>
    <xf numFmtId="0" fontId="14" fillId="2" borderId="136" xfId="4" applyFont="1" applyFill="1" applyBorder="1" applyAlignment="1">
      <alignment horizontal="center" vertical="center" wrapText="1"/>
    </xf>
    <xf numFmtId="184" fontId="5" fillId="0" borderId="17" xfId="1" applyNumberFormat="1" applyFont="1" applyBorder="1" applyAlignment="1">
      <alignment horizontal="right" shrinkToFit="1"/>
    </xf>
    <xf numFmtId="179" fontId="5" fillId="0" borderId="17" xfId="1" applyNumberFormat="1" applyFont="1" applyBorder="1" applyAlignment="1">
      <alignment horizontal="right" shrinkToFit="1"/>
    </xf>
    <xf numFmtId="0" fontId="5" fillId="0" borderId="17" xfId="1" applyFont="1" applyBorder="1" applyAlignment="1">
      <alignment vertical="center"/>
    </xf>
    <xf numFmtId="180" fontId="5" fillId="0" borderId="17" xfId="1" applyNumberFormat="1" applyFont="1" applyBorder="1" applyAlignment="1">
      <alignment vertical="center" shrinkToFit="1"/>
    </xf>
    <xf numFmtId="180" fontId="5" fillId="0" borderId="17" xfId="1" applyNumberFormat="1" applyFont="1" applyBorder="1" applyAlignment="1">
      <alignment horizontal="right" shrinkToFit="1"/>
    </xf>
    <xf numFmtId="0" fontId="5" fillId="0" borderId="39" xfId="2" applyFont="1" applyBorder="1" applyAlignment="1">
      <alignment horizontal="center" vertical="center" shrinkToFit="1"/>
    </xf>
    <xf numFmtId="183" fontId="5" fillId="0" borderId="0" xfId="2" applyNumberFormat="1" applyFont="1" applyAlignment="1">
      <alignment horizontal="center" vertical="center"/>
    </xf>
    <xf numFmtId="180" fontId="5" fillId="0" borderId="17" xfId="2" applyNumberFormat="1" applyFont="1" applyBorder="1" applyAlignment="1">
      <alignment horizontal="right"/>
    </xf>
    <xf numFmtId="0" fontId="5" fillId="0" borderId="6" xfId="0" applyFont="1" applyBorder="1">
      <alignment vertical="center"/>
    </xf>
    <xf numFmtId="0" fontId="6" fillId="0" borderId="6" xfId="0" applyFont="1" applyBorder="1">
      <alignment vertical="center"/>
    </xf>
    <xf numFmtId="176" fontId="5" fillId="0" borderId="0" xfId="1" applyNumberFormat="1" applyFont="1" applyAlignment="1">
      <alignment vertical="center"/>
    </xf>
    <xf numFmtId="0" fontId="5" fillId="0" borderId="0" xfId="2" applyFont="1" applyAlignment="1">
      <alignment horizontal="distributed" vertical="center"/>
    </xf>
    <xf numFmtId="185" fontId="5" fillId="0" borderId="0" xfId="1" applyNumberFormat="1" applyFont="1" applyAlignment="1">
      <alignment horizontal="center" vertical="center"/>
    </xf>
    <xf numFmtId="177" fontId="5" fillId="0" borderId="0" xfId="2" applyNumberFormat="1" applyFont="1" applyAlignment="1">
      <alignment horizontal="right"/>
    </xf>
    <xf numFmtId="177" fontId="5" fillId="0" borderId="0" xfId="2" applyNumberFormat="1" applyFont="1" applyAlignment="1">
      <alignment horizontal="right" shrinkToFit="1"/>
    </xf>
    <xf numFmtId="0" fontId="5" fillId="0" borderId="42" xfId="1" applyFont="1" applyBorder="1" applyAlignment="1">
      <alignment horizontal="distributed" vertical="center" shrinkToFit="1"/>
    </xf>
    <xf numFmtId="180" fontId="5" fillId="0" borderId="0" xfId="2" applyNumberFormat="1" applyFont="1" applyAlignment="1">
      <alignment vertical="center"/>
    </xf>
    <xf numFmtId="181" fontId="5" fillId="0" borderId="0" xfId="2" applyNumberFormat="1" applyFont="1" applyAlignment="1">
      <alignment horizontal="right"/>
    </xf>
    <xf numFmtId="0" fontId="5" fillId="0" borderId="17" xfId="1" applyFont="1" applyBorder="1" applyAlignment="1">
      <alignment vertical="distributed" textRotation="255" justifyLastLine="1"/>
    </xf>
    <xf numFmtId="182" fontId="5" fillId="0" borderId="17" xfId="2" applyNumberFormat="1" applyFont="1" applyBorder="1" applyAlignment="1">
      <alignment horizontal="right"/>
    </xf>
    <xf numFmtId="179" fontId="5" fillId="0" borderId="17" xfId="2" applyNumberFormat="1" applyFont="1" applyBorder="1" applyAlignment="1">
      <alignment horizontal="right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0" fontId="5" fillId="2" borderId="143" xfId="4" applyFont="1" applyFill="1" applyBorder="1" applyAlignment="1">
      <alignment horizontal="distributed" vertical="center" justifyLastLine="1" shrinkToFit="1"/>
    </xf>
    <xf numFmtId="0" fontId="5" fillId="2" borderId="103" xfId="4" applyFont="1" applyFill="1" applyBorder="1" applyAlignment="1">
      <alignment horizontal="distributed" vertical="center" justifyLastLine="1" shrinkToFit="1"/>
    </xf>
    <xf numFmtId="0" fontId="5" fillId="2" borderId="105" xfId="4" applyFont="1" applyFill="1" applyBorder="1" applyAlignment="1">
      <alignment horizontal="distributed" vertical="center" justifyLastLine="1" shrinkToFit="1"/>
    </xf>
    <xf numFmtId="0" fontId="5" fillId="0" borderId="38" xfId="0" applyFont="1" applyBorder="1" applyAlignment="1">
      <alignment horizontal="center" vertical="center"/>
    </xf>
    <xf numFmtId="0" fontId="5" fillId="0" borderId="33" xfId="1" applyFont="1" applyBorder="1" applyAlignment="1">
      <alignment horizontal="distributed" vertical="center"/>
    </xf>
    <xf numFmtId="0" fontId="5" fillId="0" borderId="32" xfId="2" applyFont="1" applyBorder="1" applyAlignment="1">
      <alignment horizontal="left" vertical="center"/>
    </xf>
    <xf numFmtId="0" fontId="7" fillId="0" borderId="3" xfId="1" applyFont="1" applyBorder="1" applyAlignment="1">
      <alignment horizontal="center" vertical="center"/>
    </xf>
    <xf numFmtId="0" fontId="7" fillId="0" borderId="28" xfId="1" applyFont="1" applyBorder="1" applyAlignment="1">
      <alignment horizontal="center" vertical="center"/>
    </xf>
    <xf numFmtId="186" fontId="5" fillId="0" borderId="1" xfId="1" applyNumberFormat="1" applyFont="1" applyBorder="1" applyAlignment="1">
      <alignment horizontal="distributed" vertical="center" justifyLastLine="1"/>
    </xf>
    <xf numFmtId="186" fontId="5" fillId="0" borderId="25" xfId="1" applyNumberFormat="1" applyFont="1" applyBorder="1" applyAlignment="1">
      <alignment horizontal="distributed" vertical="center" justifyLastLine="1"/>
    </xf>
    <xf numFmtId="186" fontId="5" fillId="0" borderId="51" xfId="1" applyNumberFormat="1" applyFont="1" applyBorder="1" applyAlignment="1">
      <alignment horizontal="distributed" vertical="center" justifyLastLine="1"/>
    </xf>
    <xf numFmtId="190" fontId="15" fillId="0" borderId="125" xfId="4" applyNumberFormat="1" applyFont="1" applyBorder="1" applyAlignment="1">
      <alignment horizontal="right" vertical="center" shrinkToFit="1"/>
    </xf>
    <xf numFmtId="190" fontId="15" fillId="0" borderId="7" xfId="4" applyNumberFormat="1" applyFont="1" applyBorder="1" applyAlignment="1">
      <alignment horizontal="right" vertical="center" shrinkToFit="1"/>
    </xf>
    <xf numFmtId="188" fontId="15" fillId="0" borderId="137" xfId="4" applyNumberFormat="1" applyFont="1" applyBorder="1" applyAlignment="1">
      <alignment horizontal="right" vertical="center" shrinkToFit="1"/>
    </xf>
    <xf numFmtId="188" fontId="15" fillId="0" borderId="139" xfId="4" applyNumberFormat="1" applyFont="1" applyBorder="1" applyAlignment="1">
      <alignment horizontal="right" vertical="center" shrinkToFit="1"/>
    </xf>
    <xf numFmtId="190" fontId="15" fillId="0" borderId="16" xfId="1" applyNumberFormat="1" applyFont="1" applyBorder="1" applyAlignment="1">
      <alignment horizontal="right" vertical="center" shrinkToFit="1"/>
    </xf>
    <xf numFmtId="190" fontId="15" fillId="0" borderId="21" xfId="1" applyNumberFormat="1" applyFont="1" applyBorder="1" applyAlignment="1">
      <alignment horizontal="right" vertical="center" shrinkToFit="1"/>
    </xf>
    <xf numFmtId="190" fontId="15" fillId="0" borderId="22" xfId="1" applyNumberFormat="1" applyFont="1" applyBorder="1" applyAlignment="1">
      <alignment horizontal="right" vertical="center" shrinkToFit="1"/>
    </xf>
    <xf numFmtId="190" fontId="15" fillId="0" borderId="8" xfId="1" applyNumberFormat="1" applyFont="1" applyBorder="1" applyAlignment="1">
      <alignment horizontal="right" vertical="center" shrinkToFit="1"/>
    </xf>
    <xf numFmtId="190" fontId="15" fillId="0" borderId="67" xfId="1" applyNumberFormat="1" applyFont="1" applyBorder="1" applyAlignment="1">
      <alignment horizontal="right" vertical="center" shrinkToFit="1"/>
    </xf>
    <xf numFmtId="190" fontId="15" fillId="0" borderId="23" xfId="1" applyNumberFormat="1" applyFont="1" applyBorder="1" applyAlignment="1">
      <alignment horizontal="right" vertical="center" shrinkToFit="1"/>
    </xf>
    <xf numFmtId="190" fontId="15" fillId="0" borderId="12" xfId="1" applyNumberFormat="1" applyFont="1" applyBorder="1" applyAlignment="1">
      <alignment horizontal="right" vertical="center" shrinkToFit="1"/>
    </xf>
    <xf numFmtId="188" fontId="15" fillId="0" borderId="15" xfId="1" applyNumberFormat="1" applyFont="1" applyBorder="1" applyAlignment="1">
      <alignment horizontal="right" vertical="center" shrinkToFit="1"/>
    </xf>
    <xf numFmtId="190" fontId="15" fillId="0" borderId="19" xfId="1" applyNumberFormat="1" applyFont="1" applyBorder="1" applyAlignment="1">
      <alignment horizontal="right" vertical="center" shrinkToFit="1"/>
    </xf>
    <xf numFmtId="190" fontId="15" fillId="0" borderId="24" xfId="1" applyNumberFormat="1" applyFont="1" applyBorder="1" applyAlignment="1">
      <alignment horizontal="right" vertical="center" shrinkToFit="1"/>
    </xf>
    <xf numFmtId="190" fontId="15" fillId="0" borderId="61" xfId="1" applyNumberFormat="1" applyFont="1" applyBorder="1" applyAlignment="1">
      <alignment horizontal="right" vertical="center" shrinkToFit="1"/>
    </xf>
    <xf numFmtId="188" fontId="15" fillId="0" borderId="14" xfId="1" applyNumberFormat="1" applyFont="1" applyBorder="1" applyAlignment="1">
      <alignment horizontal="right" vertical="center" shrinkToFit="1"/>
    </xf>
    <xf numFmtId="187" fontId="15" fillId="0" borderId="77" xfId="1" applyNumberFormat="1" applyFont="1" applyBorder="1" applyAlignment="1">
      <alignment horizontal="right" vertical="center" shrinkToFit="1"/>
    </xf>
    <xf numFmtId="187" fontId="15" fillId="0" borderId="21" xfId="1" applyNumberFormat="1" applyFont="1" applyBorder="1" applyAlignment="1">
      <alignment horizontal="right" vertical="center" shrinkToFit="1"/>
    </xf>
    <xf numFmtId="187" fontId="15" fillId="0" borderId="19" xfId="1" applyNumberFormat="1" applyFont="1" applyBorder="1" applyAlignment="1">
      <alignment horizontal="right" vertical="center" shrinkToFit="1"/>
    </xf>
    <xf numFmtId="187" fontId="15" fillId="0" borderId="24" xfId="1" applyNumberFormat="1" applyFont="1" applyBorder="1" applyAlignment="1">
      <alignment horizontal="right" vertical="center" shrinkToFit="1"/>
    </xf>
    <xf numFmtId="188" fontId="15" fillId="0" borderId="18" xfId="1" applyNumberFormat="1" applyFont="1" applyBorder="1" applyAlignment="1">
      <alignment horizontal="right" vertical="center" shrinkToFit="1"/>
    </xf>
    <xf numFmtId="187" fontId="15" fillId="0" borderId="22" xfId="1" applyNumberFormat="1" applyFont="1" applyBorder="1" applyAlignment="1">
      <alignment horizontal="right" vertical="center" shrinkToFit="1"/>
    </xf>
    <xf numFmtId="187" fontId="15" fillId="0" borderId="8" xfId="1" applyNumberFormat="1" applyFont="1" applyBorder="1" applyAlignment="1">
      <alignment horizontal="right" vertical="center" shrinkToFit="1"/>
    </xf>
    <xf numFmtId="187" fontId="15" fillId="0" borderId="61" xfId="1" applyNumberFormat="1" applyFont="1" applyBorder="1" applyAlignment="1">
      <alignment horizontal="right" vertical="center" shrinkToFit="1"/>
    </xf>
    <xf numFmtId="187" fontId="15" fillId="0" borderId="67" xfId="1" applyNumberFormat="1" applyFont="1" applyBorder="1" applyAlignment="1">
      <alignment horizontal="right" vertical="center" shrinkToFit="1"/>
    </xf>
    <xf numFmtId="187" fontId="15" fillId="0" borderId="78" xfId="2" applyNumberFormat="1" applyFont="1" applyBorder="1" applyAlignment="1">
      <alignment horizontal="right" vertical="center"/>
    </xf>
    <xf numFmtId="187" fontId="15" fillId="0" borderId="79" xfId="2" applyNumberFormat="1" applyFont="1" applyBorder="1" applyAlignment="1">
      <alignment horizontal="right" vertical="center"/>
    </xf>
    <xf numFmtId="187" fontId="15" fillId="0" borderId="22" xfId="2" applyNumberFormat="1" applyFont="1" applyBorder="1" applyAlignment="1">
      <alignment horizontal="right" vertical="center"/>
    </xf>
    <xf numFmtId="187" fontId="15" fillId="0" borderId="8" xfId="2" applyNumberFormat="1" applyFont="1" applyBorder="1" applyAlignment="1">
      <alignment horizontal="right" vertical="center"/>
    </xf>
    <xf numFmtId="187" fontId="15" fillId="0" borderId="26" xfId="2" applyNumberFormat="1" applyFont="1" applyBorder="1" applyAlignment="1">
      <alignment horizontal="right" vertical="center"/>
    </xf>
    <xf numFmtId="187" fontId="15" fillId="0" borderId="23" xfId="2" applyNumberFormat="1" applyFont="1" applyBorder="1" applyAlignment="1">
      <alignment horizontal="right" vertical="center"/>
    </xf>
    <xf numFmtId="187" fontId="15" fillId="0" borderId="12" xfId="2" applyNumberFormat="1" applyFont="1" applyBorder="1" applyAlignment="1">
      <alignment horizontal="right" vertical="center"/>
    </xf>
    <xf numFmtId="187" fontId="15" fillId="0" borderId="23" xfId="1" applyNumberFormat="1" applyFont="1" applyBorder="1" applyAlignment="1">
      <alignment horizontal="right" vertical="center" shrinkToFit="1"/>
    </xf>
    <xf numFmtId="187" fontId="15" fillId="0" borderId="12" xfId="1" applyNumberFormat="1" applyFont="1" applyBorder="1" applyAlignment="1">
      <alignment horizontal="right" vertical="center" shrinkToFit="1"/>
    </xf>
    <xf numFmtId="188" fontId="15" fillId="0" borderId="31" xfId="2" applyNumberFormat="1" applyFont="1" applyBorder="1" applyAlignment="1">
      <alignment horizontal="right" vertical="center"/>
    </xf>
    <xf numFmtId="188" fontId="15" fillId="0" borderId="21" xfId="2" applyNumberFormat="1" applyFont="1" applyBorder="1" applyAlignment="1">
      <alignment horizontal="right" vertical="center"/>
    </xf>
    <xf numFmtId="188" fontId="15" fillId="0" borderId="7" xfId="2" applyNumberFormat="1" applyFont="1" applyBorder="1" applyAlignment="1">
      <alignment horizontal="right" vertical="center"/>
    </xf>
    <xf numFmtId="188" fontId="15" fillId="0" borderId="8" xfId="2" applyNumberFormat="1" applyFont="1" applyBorder="1" applyAlignment="1">
      <alignment horizontal="right" vertical="center"/>
    </xf>
    <xf numFmtId="187" fontId="15" fillId="0" borderId="11" xfId="2" applyNumberFormat="1" applyFont="1" applyBorder="1" applyAlignment="1">
      <alignment horizontal="right" vertical="center"/>
    </xf>
    <xf numFmtId="188" fontId="15" fillId="0" borderId="34" xfId="2" applyNumberFormat="1" applyFont="1" applyBorder="1" applyAlignment="1">
      <alignment horizontal="right" vertical="center"/>
    </xf>
    <xf numFmtId="188" fontId="15" fillId="0" borderId="80" xfId="2" applyNumberFormat="1" applyFont="1" applyBorder="1" applyAlignment="1">
      <alignment horizontal="right" vertical="center"/>
    </xf>
    <xf numFmtId="188" fontId="15" fillId="0" borderId="56" xfId="2" applyNumberFormat="1" applyFont="1" applyBorder="1" applyAlignment="1">
      <alignment horizontal="right" vertical="center" shrinkToFit="1"/>
    </xf>
    <xf numFmtId="188" fontId="15" fillId="0" borderId="14" xfId="2" applyNumberFormat="1" applyFont="1" applyBorder="1" applyAlignment="1">
      <alignment horizontal="right" vertical="center" shrinkToFit="1"/>
    </xf>
    <xf numFmtId="187" fontId="15" fillId="0" borderId="7" xfId="2" applyNumberFormat="1" applyFont="1" applyBorder="1" applyAlignment="1">
      <alignment horizontal="right" vertical="center"/>
    </xf>
    <xf numFmtId="188" fontId="15" fillId="0" borderId="15" xfId="2" applyNumberFormat="1" applyFont="1" applyBorder="1" applyAlignment="1">
      <alignment horizontal="right" vertical="center" shrinkToFit="1"/>
    </xf>
    <xf numFmtId="188" fontId="15" fillId="0" borderId="53" xfId="1" applyNumberFormat="1" applyFont="1" applyBorder="1" applyAlignment="1">
      <alignment horizontal="right" vertical="center" shrinkToFit="1"/>
    </xf>
    <xf numFmtId="188" fontId="15" fillId="0" borderId="54" xfId="1" applyNumberFormat="1" applyFont="1" applyBorder="1" applyAlignment="1">
      <alignment horizontal="right" vertical="center" shrinkToFit="1"/>
    </xf>
    <xf numFmtId="188" fontId="15" fillId="0" borderId="55" xfId="1" applyNumberFormat="1" applyFont="1" applyBorder="1" applyAlignment="1">
      <alignment horizontal="right" vertical="center" shrinkToFit="1"/>
    </xf>
    <xf numFmtId="187" fontId="15" fillId="0" borderId="7" xfId="1" applyNumberFormat="1" applyFont="1" applyBorder="1" applyAlignment="1">
      <alignment horizontal="right" vertical="center" shrinkToFit="1"/>
    </xf>
    <xf numFmtId="188" fontId="15" fillId="0" borderId="56" xfId="1" applyNumberFormat="1" applyFont="1" applyBorder="1" applyAlignment="1">
      <alignment horizontal="right" vertical="center" shrinkToFit="1"/>
    </xf>
    <xf numFmtId="188" fontId="15" fillId="0" borderId="57" xfId="1" applyNumberFormat="1" applyFont="1" applyBorder="1" applyAlignment="1">
      <alignment horizontal="right" vertical="center" shrinkToFit="1"/>
    </xf>
    <xf numFmtId="188" fontId="15" fillId="0" borderId="58" xfId="1" applyNumberFormat="1" applyFont="1" applyBorder="1" applyAlignment="1">
      <alignment horizontal="right" vertical="center" shrinkToFit="1"/>
    </xf>
    <xf numFmtId="188" fontId="15" fillId="0" borderId="59" xfId="1" applyNumberFormat="1" applyFont="1" applyBorder="1" applyAlignment="1">
      <alignment horizontal="right" vertical="center" shrinkToFit="1"/>
    </xf>
    <xf numFmtId="188" fontId="15" fillId="0" borderId="7" xfId="1" applyNumberFormat="1" applyFont="1" applyBorder="1" applyAlignment="1">
      <alignment horizontal="right" vertical="center" shrinkToFit="1"/>
    </xf>
    <xf numFmtId="188" fontId="15" fillId="0" borderId="42" xfId="1" applyNumberFormat="1" applyFont="1" applyBorder="1" applyAlignment="1">
      <alignment horizontal="right" vertical="center" shrinkToFit="1"/>
    </xf>
    <xf numFmtId="188" fontId="15" fillId="0" borderId="63" xfId="1" applyNumberFormat="1" applyFont="1" applyBorder="1" applyAlignment="1">
      <alignment horizontal="right" vertical="center" shrinkToFit="1"/>
    </xf>
    <xf numFmtId="188" fontId="15" fillId="0" borderId="64" xfId="1" applyNumberFormat="1" applyFont="1" applyBorder="1" applyAlignment="1">
      <alignment horizontal="right" vertical="center" shrinkToFit="1"/>
    </xf>
    <xf numFmtId="188" fontId="15" fillId="0" borderId="65" xfId="1" applyNumberFormat="1" applyFont="1" applyBorder="1" applyAlignment="1">
      <alignment horizontal="right" vertical="center" shrinkToFit="1"/>
    </xf>
    <xf numFmtId="188" fontId="15" fillId="0" borderId="66" xfId="1" applyNumberFormat="1" applyFont="1" applyBorder="1" applyAlignment="1">
      <alignment horizontal="right" vertical="center" shrinkToFit="1"/>
    </xf>
    <xf numFmtId="188" fontId="15" fillId="0" borderId="48" xfId="1" applyNumberFormat="1" applyFont="1" applyBorder="1" applyAlignment="1">
      <alignment horizontal="right" vertical="center" shrinkToFit="1"/>
    </xf>
    <xf numFmtId="188" fontId="15" fillId="0" borderId="69" xfId="1" applyNumberFormat="1" applyFont="1" applyBorder="1" applyAlignment="1">
      <alignment horizontal="right" vertical="center" shrinkToFit="1"/>
    </xf>
    <xf numFmtId="188" fontId="15" fillId="0" borderId="70" xfId="1" applyNumberFormat="1" applyFont="1" applyBorder="1" applyAlignment="1">
      <alignment horizontal="right" vertical="center" shrinkToFit="1"/>
    </xf>
    <xf numFmtId="188" fontId="15" fillId="0" borderId="71" xfId="1" applyNumberFormat="1" applyFont="1" applyBorder="1" applyAlignment="1">
      <alignment horizontal="right" vertical="center" shrinkToFit="1"/>
    </xf>
    <xf numFmtId="187" fontId="15" fillId="0" borderId="11" xfId="1" applyNumberFormat="1" applyFont="1" applyBorder="1" applyAlignment="1">
      <alignment horizontal="right" vertical="center" shrinkToFit="1"/>
    </xf>
    <xf numFmtId="187" fontId="15" fillId="0" borderId="4" xfId="1" applyNumberFormat="1" applyFont="1" applyBorder="1" applyAlignment="1">
      <alignment horizontal="right" vertical="center" shrinkToFit="1"/>
    </xf>
    <xf numFmtId="187" fontId="15" fillId="0" borderId="41" xfId="2" applyNumberFormat="1" applyFont="1" applyBorder="1" applyAlignment="1">
      <alignment horizontal="right" vertical="center"/>
    </xf>
    <xf numFmtId="189" fontId="15" fillId="0" borderId="26" xfId="2" applyNumberFormat="1" applyFont="1" applyBorder="1" applyAlignment="1">
      <alignment horizontal="right" vertical="center"/>
    </xf>
    <xf numFmtId="188" fontId="15" fillId="0" borderId="22" xfId="2" applyNumberFormat="1" applyFont="1" applyBorder="1" applyAlignment="1">
      <alignment horizontal="right" vertical="center"/>
    </xf>
    <xf numFmtId="189" fontId="15" fillId="0" borderId="9" xfId="2" applyNumberFormat="1" applyFont="1" applyBorder="1" applyAlignment="1">
      <alignment horizontal="right" vertical="center"/>
    </xf>
    <xf numFmtId="187" fontId="15" fillId="0" borderId="57" xfId="2" applyNumberFormat="1" applyFont="1" applyBorder="1" applyAlignment="1">
      <alignment horizontal="right" vertical="center"/>
    </xf>
    <xf numFmtId="189" fontId="15" fillId="0" borderId="81" xfId="2" applyNumberFormat="1" applyFont="1" applyBorder="1" applyAlignment="1">
      <alignment horizontal="right" vertical="center"/>
    </xf>
    <xf numFmtId="189" fontId="15" fillId="0" borderId="73" xfId="2" applyNumberFormat="1" applyFont="1" applyBorder="1" applyAlignment="1">
      <alignment horizontal="right" vertical="center"/>
    </xf>
    <xf numFmtId="188" fontId="15" fillId="0" borderId="98" xfId="2" applyNumberFormat="1" applyFont="1" applyBorder="1" applyAlignment="1">
      <alignment horizontal="right" vertical="center"/>
    </xf>
    <xf numFmtId="188" fontId="15" fillId="0" borderId="81" xfId="2" applyNumberFormat="1" applyFont="1" applyBorder="1" applyAlignment="1">
      <alignment horizontal="right" vertical="center"/>
    </xf>
    <xf numFmtId="187" fontId="15" fillId="0" borderId="94" xfId="2" applyNumberFormat="1" applyFont="1" applyBorder="1" applyAlignment="1">
      <alignment horizontal="right" vertical="center"/>
    </xf>
    <xf numFmtId="188" fontId="15" fillId="0" borderId="58" xfId="2" applyNumberFormat="1" applyFont="1" applyBorder="1" applyAlignment="1">
      <alignment horizontal="right" vertical="center"/>
    </xf>
    <xf numFmtId="187" fontId="15" fillId="0" borderId="75" xfId="2" applyNumberFormat="1" applyFont="1" applyBorder="1" applyAlignment="1">
      <alignment horizontal="right" vertical="center"/>
    </xf>
    <xf numFmtId="187" fontId="15" fillId="0" borderId="43" xfId="2" applyNumberFormat="1" applyFont="1" applyBorder="1" applyAlignment="1">
      <alignment horizontal="right" vertical="center"/>
    </xf>
    <xf numFmtId="189" fontId="15" fillId="0" borderId="82" xfId="2" applyNumberFormat="1" applyFont="1" applyBorder="1" applyAlignment="1">
      <alignment horizontal="right" vertical="center"/>
    </xf>
    <xf numFmtId="187" fontId="15" fillId="0" borderId="63" xfId="2" applyNumberFormat="1" applyFont="1" applyBorder="1" applyAlignment="1">
      <alignment horizontal="right" vertical="center"/>
    </xf>
    <xf numFmtId="189" fontId="15" fillId="0" borderId="76" xfId="2" applyNumberFormat="1" applyFont="1" applyBorder="1" applyAlignment="1">
      <alignment horizontal="right" vertical="center"/>
    </xf>
    <xf numFmtId="188" fontId="15" fillId="0" borderId="99" xfId="2" applyNumberFormat="1" applyFont="1" applyBorder="1" applyAlignment="1">
      <alignment horizontal="right" vertical="center"/>
    </xf>
    <xf numFmtId="188" fontId="15" fillId="0" borderId="82" xfId="2" applyNumberFormat="1" applyFont="1" applyBorder="1" applyAlignment="1">
      <alignment horizontal="right" vertical="center"/>
    </xf>
    <xf numFmtId="187" fontId="15" fillId="0" borderId="7" xfId="2" applyNumberFormat="1" applyFont="1" applyBorder="1" applyAlignment="1">
      <alignment horizontal="right" vertical="center" shrinkToFit="1"/>
    </xf>
    <xf numFmtId="187" fontId="15" fillId="0" borderId="41" xfId="2" applyNumberFormat="1" applyFont="1" applyBorder="1" applyAlignment="1">
      <alignment horizontal="right" vertical="center" shrinkToFit="1"/>
    </xf>
    <xf numFmtId="189" fontId="15" fillId="0" borderId="41" xfId="2" applyNumberFormat="1" applyFont="1" applyBorder="1" applyAlignment="1">
      <alignment horizontal="right" vertical="center" shrinkToFit="1"/>
    </xf>
    <xf numFmtId="187" fontId="15" fillId="0" borderId="31" xfId="2" applyNumberFormat="1" applyFont="1" applyBorder="1" applyAlignment="1">
      <alignment horizontal="right" vertical="center"/>
    </xf>
    <xf numFmtId="187" fontId="15" fillId="0" borderId="11" xfId="2" applyNumberFormat="1" applyFont="1" applyBorder="1" applyAlignment="1">
      <alignment horizontal="right" vertical="center" shrinkToFit="1"/>
    </xf>
    <xf numFmtId="187" fontId="15" fillId="0" borderId="43" xfId="2" applyNumberFormat="1" applyFont="1" applyBorder="1" applyAlignment="1">
      <alignment horizontal="right" vertical="center" shrinkToFit="1"/>
    </xf>
    <xf numFmtId="189" fontId="15" fillId="0" borderId="43" xfId="2" applyNumberFormat="1" applyFont="1" applyBorder="1" applyAlignment="1">
      <alignment horizontal="right" vertical="center" shrinkToFit="1"/>
    </xf>
    <xf numFmtId="189" fontId="15" fillId="0" borderId="13" xfId="2" applyNumberFormat="1" applyFont="1" applyBorder="1" applyAlignment="1">
      <alignment horizontal="right" vertical="center"/>
    </xf>
    <xf numFmtId="188" fontId="15" fillId="0" borderId="12" xfId="2" applyNumberFormat="1" applyFont="1" applyBorder="1" applyAlignment="1">
      <alignment horizontal="right" vertical="center"/>
    </xf>
    <xf numFmtId="187" fontId="15" fillId="0" borderId="33" xfId="2" applyNumberFormat="1" applyFont="1" applyBorder="1" applyAlignment="1">
      <alignment horizontal="right" vertical="center"/>
    </xf>
    <xf numFmtId="187" fontId="15" fillId="0" borderId="46" xfId="2" applyNumberFormat="1" applyFont="1" applyBorder="1" applyAlignment="1">
      <alignment horizontal="right" vertical="center"/>
    </xf>
    <xf numFmtId="189" fontId="15" fillId="0" borderId="47" xfId="2" applyNumberFormat="1" applyFont="1" applyBorder="1" applyAlignment="1">
      <alignment horizontal="right" vertical="center"/>
    </xf>
    <xf numFmtId="188" fontId="15" fillId="0" borderId="24" xfId="2" applyNumberFormat="1" applyFont="1" applyBorder="1" applyAlignment="1">
      <alignment horizontal="right" vertical="center"/>
    </xf>
    <xf numFmtId="189" fontId="15" fillId="0" borderId="44" xfId="2" applyNumberFormat="1" applyFont="1" applyBorder="1" applyAlignment="1">
      <alignment horizontal="right" vertical="center"/>
    </xf>
    <xf numFmtId="3" fontId="15" fillId="0" borderId="34" xfId="2" applyNumberFormat="1" applyFont="1" applyBorder="1" applyAlignment="1">
      <alignment horizontal="right" vertical="center"/>
    </xf>
    <xf numFmtId="187" fontId="15" fillId="0" borderId="90" xfId="2" applyNumberFormat="1" applyFont="1" applyBorder="1" applyAlignment="1">
      <alignment horizontal="right" vertical="center"/>
    </xf>
    <xf numFmtId="188" fontId="15" fillId="0" borderId="37" xfId="2" applyNumberFormat="1" applyFont="1" applyBorder="1" applyAlignment="1">
      <alignment horizontal="right" vertical="center"/>
    </xf>
    <xf numFmtId="187" fontId="15" fillId="0" borderId="117" xfId="4" applyNumberFormat="1" applyFont="1" applyBorder="1" applyAlignment="1">
      <alignment horizontal="right" vertical="center" shrinkToFit="1"/>
    </xf>
    <xf numFmtId="188" fontId="15" fillId="0" borderId="118" xfId="4" applyNumberFormat="1" applyFont="1" applyBorder="1" applyAlignment="1">
      <alignment horizontal="right" vertical="center" shrinkToFit="1"/>
    </xf>
    <xf numFmtId="187" fontId="15" fillId="0" borderId="119" xfId="4" applyNumberFormat="1" applyFont="1" applyBorder="1" applyAlignment="1">
      <alignment horizontal="right" vertical="center" shrinkToFit="1"/>
    </xf>
    <xf numFmtId="188" fontId="15" fillId="0" borderId="120" xfId="4" applyNumberFormat="1" applyFont="1" applyBorder="1" applyAlignment="1">
      <alignment horizontal="right" vertical="center" shrinkToFit="1"/>
    </xf>
    <xf numFmtId="187" fontId="15" fillId="0" borderId="121" xfId="4" applyNumberFormat="1" applyFont="1" applyBorder="1" applyAlignment="1">
      <alignment horizontal="right" vertical="center" shrinkToFit="1"/>
    </xf>
    <xf numFmtId="187" fontId="15" fillId="0" borderId="125" xfId="4" applyNumberFormat="1" applyFont="1" applyBorder="1" applyAlignment="1">
      <alignment horizontal="right" vertical="center" shrinkToFit="1"/>
    </xf>
    <xf numFmtId="188" fontId="15" fillId="0" borderId="8" xfId="4" applyNumberFormat="1" applyFont="1" applyBorder="1" applyAlignment="1">
      <alignment horizontal="right" vertical="center" shrinkToFit="1"/>
    </xf>
    <xf numFmtId="187" fontId="15" fillId="0" borderId="7" xfId="4" applyNumberFormat="1" applyFont="1" applyBorder="1" applyAlignment="1">
      <alignment horizontal="right" vertical="center" shrinkToFit="1"/>
    </xf>
    <xf numFmtId="188" fontId="15" fillId="0" borderId="26" xfId="4" applyNumberFormat="1" applyFont="1" applyBorder="1" applyAlignment="1">
      <alignment horizontal="right" vertical="center" shrinkToFit="1"/>
    </xf>
    <xf numFmtId="187" fontId="15" fillId="0" borderId="14" xfId="4" applyNumberFormat="1" applyFont="1" applyBorder="1" applyAlignment="1">
      <alignment horizontal="right" vertical="center" shrinkToFit="1"/>
    </xf>
    <xf numFmtId="187" fontId="15" fillId="0" borderId="81" xfId="4" applyNumberFormat="1" applyFont="1" applyBorder="1" applyAlignment="1">
      <alignment horizontal="right" vertical="center" shrinkToFit="1"/>
    </xf>
    <xf numFmtId="187" fontId="15" fillId="0" borderId="81" xfId="4" applyNumberFormat="1" applyFont="1" applyBorder="1" applyAlignment="1">
      <alignment horizontal="right" vertical="center"/>
    </xf>
    <xf numFmtId="187" fontId="15" fillId="0" borderId="82" xfId="4" applyNumberFormat="1" applyFont="1" applyBorder="1" applyAlignment="1">
      <alignment horizontal="right" vertical="center" shrinkToFit="1"/>
    </xf>
    <xf numFmtId="187" fontId="15" fillId="0" borderId="11" xfId="4" applyNumberFormat="1" applyFont="1" applyBorder="1" applyAlignment="1">
      <alignment horizontal="right" vertical="center" shrinkToFit="1"/>
    </xf>
    <xf numFmtId="187" fontId="15" fillId="0" borderId="15" xfId="4" applyNumberFormat="1" applyFont="1" applyBorder="1" applyAlignment="1">
      <alignment horizontal="right" vertical="center" shrinkToFit="1"/>
    </xf>
    <xf numFmtId="187" fontId="15" fillId="0" borderId="130" xfId="4" applyNumberFormat="1" applyFont="1" applyBorder="1" applyAlignment="1">
      <alignment horizontal="right" vertical="center" shrinkToFit="1"/>
    </xf>
    <xf numFmtId="187" fontId="15" fillId="0" borderId="79" xfId="4" applyNumberFormat="1" applyFont="1" applyBorder="1" applyAlignment="1">
      <alignment horizontal="right" vertical="center" shrinkToFit="1"/>
    </xf>
    <xf numFmtId="187" fontId="15" fillId="0" borderId="31" xfId="4" applyNumberFormat="1" applyFont="1" applyBorder="1" applyAlignment="1">
      <alignment horizontal="right" vertical="center" shrinkToFit="1"/>
    </xf>
    <xf numFmtId="187" fontId="15" fillId="0" borderId="56" xfId="4" applyNumberFormat="1" applyFont="1" applyBorder="1" applyAlignment="1">
      <alignment horizontal="right" vertical="center" shrinkToFit="1"/>
    </xf>
    <xf numFmtId="187" fontId="15" fillId="0" borderId="129" xfId="4" applyNumberFormat="1" applyFont="1" applyBorder="1" applyAlignment="1">
      <alignment horizontal="right" vertical="center" shrinkToFit="1"/>
    </xf>
    <xf numFmtId="187" fontId="15" fillId="0" borderId="58" xfId="4" applyNumberFormat="1" applyFont="1" applyBorder="1" applyAlignment="1">
      <alignment horizontal="right" vertical="center"/>
    </xf>
    <xf numFmtId="190" fontId="15" fillId="0" borderId="14" xfId="4" applyNumberFormat="1" applyFont="1" applyBorder="1" applyAlignment="1">
      <alignment horizontal="right" vertical="center" shrinkToFit="1"/>
    </xf>
    <xf numFmtId="187" fontId="15" fillId="0" borderId="58" xfId="4" applyNumberFormat="1" applyFont="1" applyBorder="1" applyAlignment="1">
      <alignment horizontal="right" vertical="center" shrinkToFit="1"/>
    </xf>
    <xf numFmtId="187" fontId="15" fillId="0" borderId="165" xfId="4" applyNumberFormat="1" applyFont="1" applyBorder="1" applyAlignment="1">
      <alignment horizontal="right" vertical="center" shrinkToFit="1"/>
    </xf>
    <xf numFmtId="187" fontId="15" fillId="0" borderId="138" xfId="4" applyNumberFormat="1" applyFont="1" applyBorder="1" applyAlignment="1">
      <alignment horizontal="right" vertical="center" shrinkToFit="1"/>
    </xf>
    <xf numFmtId="188" fontId="15" fillId="0" borderId="140" xfId="4" applyNumberFormat="1" applyFont="1" applyBorder="1" applyAlignment="1">
      <alignment horizontal="right" vertical="center" shrinkToFit="1"/>
    </xf>
    <xf numFmtId="0" fontId="5" fillId="0" borderId="0" xfId="2" applyFont="1" applyAlignment="1">
      <alignment horizontal="right"/>
    </xf>
    <xf numFmtId="0" fontId="5" fillId="0" borderId="0" xfId="2" applyFont="1" applyAlignment="1">
      <alignment horizontal="right" shrinkToFit="1"/>
    </xf>
    <xf numFmtId="0" fontId="5" fillId="0" borderId="0" xfId="1" applyFont="1" applyAlignment="1">
      <alignment horizontal="right" shrinkToFit="1"/>
    </xf>
    <xf numFmtId="188" fontId="15" fillId="0" borderId="56" xfId="4" applyNumberFormat="1" applyFont="1" applyBorder="1" applyAlignment="1">
      <alignment horizontal="right" vertical="center" shrinkToFit="1"/>
    </xf>
    <xf numFmtId="188" fontId="15" fillId="0" borderId="62" xfId="4" applyNumberFormat="1" applyFont="1" applyBorder="1" applyAlignment="1">
      <alignment horizontal="right" vertical="center" shrinkToFit="1"/>
    </xf>
    <xf numFmtId="188" fontId="15" fillId="0" borderId="14" xfId="4" applyNumberFormat="1" applyFont="1" applyBorder="1" applyAlignment="1">
      <alignment horizontal="right" vertical="center" shrinkToFit="1"/>
    </xf>
    <xf numFmtId="188" fontId="15" fillId="0" borderId="15" xfId="4" applyNumberFormat="1" applyFont="1" applyBorder="1" applyAlignment="1">
      <alignment horizontal="right" vertical="center" shrinkToFit="1"/>
    </xf>
    <xf numFmtId="188" fontId="15" fillId="0" borderId="41" xfId="2" applyNumberFormat="1" applyFont="1" applyBorder="1" applyAlignment="1">
      <alignment horizontal="right" vertical="center"/>
    </xf>
    <xf numFmtId="188" fontId="15" fillId="0" borderId="11" xfId="2" applyNumberFormat="1" applyFont="1" applyBorder="1" applyAlignment="1">
      <alignment horizontal="right" vertical="center"/>
    </xf>
    <xf numFmtId="188" fontId="15" fillId="0" borderId="43" xfId="2" applyNumberFormat="1" applyFont="1" applyBorder="1" applyAlignment="1">
      <alignment horizontal="right" vertical="center"/>
    </xf>
    <xf numFmtId="188" fontId="15" fillId="0" borderId="46" xfId="2" applyNumberFormat="1" applyFont="1" applyBorder="1" applyAlignment="1">
      <alignment horizontal="right" vertical="center"/>
    </xf>
    <xf numFmtId="188" fontId="15" fillId="0" borderId="72" xfId="2" applyNumberFormat="1" applyFont="1" applyBorder="1" applyAlignment="1">
      <alignment horizontal="right" vertical="center"/>
    </xf>
    <xf numFmtId="188" fontId="15" fillId="0" borderId="57" xfId="2" applyNumberFormat="1" applyFont="1" applyBorder="1" applyAlignment="1">
      <alignment horizontal="right" vertical="center"/>
    </xf>
    <xf numFmtId="188" fontId="15" fillId="0" borderId="33" xfId="2" applyNumberFormat="1" applyFont="1" applyBorder="1" applyAlignment="1">
      <alignment horizontal="right" vertical="center"/>
    </xf>
    <xf numFmtId="188" fontId="15" fillId="0" borderId="3" xfId="2" applyNumberFormat="1" applyFont="1" applyBorder="1" applyAlignment="1">
      <alignment horizontal="right" vertical="center"/>
    </xf>
    <xf numFmtId="188" fontId="15" fillId="0" borderId="40" xfId="2" applyNumberFormat="1" applyFont="1" applyBorder="1" applyAlignment="1">
      <alignment horizontal="right" vertical="center"/>
    </xf>
    <xf numFmtId="188" fontId="15" fillId="0" borderId="4" xfId="2" applyNumberFormat="1" applyFont="1" applyBorder="1" applyAlignment="1">
      <alignment horizontal="right" vertical="center"/>
    </xf>
    <xf numFmtId="0" fontId="5" fillId="0" borderId="0" xfId="0" applyFont="1" applyAlignment="1">
      <alignment horizontal="distributed" vertical="center" wrapText="1" justifyLastLine="1"/>
    </xf>
    <xf numFmtId="188" fontId="15" fillId="0" borderId="166" xfId="2" applyNumberFormat="1" applyFont="1" applyBorder="1" applyAlignment="1">
      <alignment horizontal="right" vertical="center"/>
    </xf>
    <xf numFmtId="49" fontId="15" fillId="0" borderId="21" xfId="1" applyNumberFormat="1" applyFont="1" applyBorder="1" applyAlignment="1">
      <alignment vertical="center" shrinkToFit="1"/>
    </xf>
    <xf numFmtId="49" fontId="15" fillId="0" borderId="24" xfId="1" applyNumberFormat="1" applyFont="1" applyBorder="1" applyAlignment="1">
      <alignment vertical="center" shrinkToFit="1"/>
    </xf>
    <xf numFmtId="49" fontId="15" fillId="0" borderId="8" xfId="1" applyNumberFormat="1" applyFont="1" applyBorder="1" applyAlignment="1">
      <alignment vertical="center" shrinkToFit="1"/>
    </xf>
    <xf numFmtId="49" fontId="15" fillId="0" borderId="67" xfId="1" applyNumberFormat="1" applyFont="1" applyBorder="1" applyAlignment="1">
      <alignment vertical="center" shrinkToFit="1"/>
    </xf>
    <xf numFmtId="49" fontId="15" fillId="0" borderId="79" xfId="2" applyNumberFormat="1" applyFont="1" applyBorder="1" applyAlignment="1">
      <alignment vertical="center"/>
    </xf>
    <xf numFmtId="49" fontId="15" fillId="0" borderId="8" xfId="2" applyNumberFormat="1" applyFont="1" applyBorder="1" applyAlignment="1">
      <alignment vertical="center"/>
    </xf>
    <xf numFmtId="49" fontId="15" fillId="0" borderId="12" xfId="2" applyNumberFormat="1" applyFont="1" applyBorder="1" applyAlignment="1">
      <alignment vertical="center"/>
    </xf>
    <xf numFmtId="49" fontId="15" fillId="0" borderId="12" xfId="1" applyNumberFormat="1" applyFont="1" applyBorder="1" applyAlignment="1">
      <alignment vertical="center" shrinkToFit="1"/>
    </xf>
    <xf numFmtId="0" fontId="13" fillId="0" borderId="0" xfId="0" applyFont="1">
      <alignment vertical="center"/>
    </xf>
    <xf numFmtId="186" fontId="5" fillId="0" borderId="29" xfId="1" applyNumberFormat="1" applyFont="1" applyBorder="1" applyAlignment="1">
      <alignment horizontal="distributed" vertical="center" justifyLastLine="1"/>
    </xf>
    <xf numFmtId="186" fontId="5" fillId="0" borderId="20" xfId="1" applyNumberFormat="1" applyFont="1" applyBorder="1" applyAlignment="1">
      <alignment horizontal="distributed" vertical="center" justifyLastLine="1"/>
    </xf>
    <xf numFmtId="188" fontId="15" fillId="0" borderId="21" xfId="1" applyNumberFormat="1" applyFont="1" applyBorder="1" applyAlignment="1">
      <alignment horizontal="right" vertical="center" shrinkToFit="1"/>
    </xf>
    <xf numFmtId="188" fontId="15" fillId="0" borderId="80" xfId="2" applyNumberFormat="1" applyFont="1" applyBorder="1" applyAlignment="1">
      <alignment horizontal="left" vertical="center"/>
    </xf>
    <xf numFmtId="179" fontId="5" fillId="0" borderId="23" xfId="4" applyNumberFormat="1" applyFont="1" applyBorder="1" applyAlignment="1">
      <alignment vertical="center" shrinkToFit="1"/>
    </xf>
    <xf numFmtId="179" fontId="5" fillId="0" borderId="44" xfId="4" applyNumberFormat="1" applyFont="1" applyBorder="1" applyAlignment="1">
      <alignment vertical="center" shrinkToFit="1"/>
    </xf>
    <xf numFmtId="179" fontId="5" fillId="0" borderId="164" xfId="4" applyNumberFormat="1" applyFont="1" applyBorder="1" applyAlignment="1">
      <alignment vertical="center" shrinkToFit="1"/>
    </xf>
    <xf numFmtId="0" fontId="5" fillId="0" borderId="115" xfId="5" applyFont="1" applyBorder="1" applyAlignment="1">
      <alignment horizontal="center" vertical="center" wrapText="1"/>
    </xf>
    <xf numFmtId="0" fontId="5" fillId="0" borderId="127" xfId="5" applyFont="1" applyBorder="1" applyAlignment="1">
      <alignment horizontal="center" vertical="center" wrapText="1"/>
    </xf>
    <xf numFmtId="0" fontId="5" fillId="0" borderId="41" xfId="5" applyFont="1" applyBorder="1" applyAlignment="1">
      <alignment horizontal="distributed" vertical="center" shrinkToFit="1"/>
    </xf>
    <xf numFmtId="0" fontId="5" fillId="0" borderId="42" xfId="5" applyFont="1" applyBorder="1" applyAlignment="1">
      <alignment horizontal="distributed" vertical="center" shrinkToFit="1"/>
    </xf>
    <xf numFmtId="179" fontId="5" fillId="0" borderId="22" xfId="4" applyNumberFormat="1" applyFont="1" applyBorder="1" applyAlignment="1">
      <alignment horizontal="left" vertical="center" shrinkToFit="1"/>
    </xf>
    <xf numFmtId="179" fontId="5" fillId="0" borderId="26" xfId="4" applyNumberFormat="1" applyFont="1" applyBorder="1" applyAlignment="1">
      <alignment horizontal="left" vertical="center" shrinkToFit="1"/>
    </xf>
    <xf numFmtId="179" fontId="5" fillId="0" borderId="126" xfId="4" applyNumberFormat="1" applyFont="1" applyBorder="1" applyAlignment="1">
      <alignment horizontal="left" vertical="center" shrinkToFit="1"/>
    </xf>
    <xf numFmtId="0" fontId="5" fillId="0" borderId="41" xfId="5" applyFont="1" applyBorder="1" applyAlignment="1">
      <alignment horizontal="distributed" vertical="center"/>
    </xf>
    <xf numFmtId="0" fontId="5" fillId="0" borderId="42" xfId="5" applyFont="1" applyBorder="1" applyAlignment="1">
      <alignment horizontal="distributed" vertical="center"/>
    </xf>
    <xf numFmtId="0" fontId="5" fillId="0" borderId="26" xfId="5" applyFont="1" applyBorder="1" applyAlignment="1">
      <alignment horizontal="distributed" vertical="center"/>
    </xf>
    <xf numFmtId="0" fontId="5" fillId="0" borderId="74" xfId="5" applyFont="1" applyBorder="1" applyAlignment="1">
      <alignment horizontal="distributed" vertical="center"/>
    </xf>
    <xf numFmtId="0" fontId="5" fillId="0" borderId="66" xfId="5" applyFont="1" applyBorder="1" applyAlignment="1">
      <alignment horizontal="distributed" vertical="center"/>
    </xf>
    <xf numFmtId="0" fontId="5" fillId="0" borderId="68" xfId="5" applyFont="1" applyBorder="1" applyAlignment="1">
      <alignment horizontal="distributed" vertical="center"/>
    </xf>
    <xf numFmtId="0" fontId="5" fillId="0" borderId="46" xfId="5" applyFont="1" applyBorder="1" applyAlignment="1">
      <alignment horizontal="distributed" vertical="center"/>
    </xf>
    <xf numFmtId="0" fontId="5" fillId="0" borderId="48" xfId="5" applyFont="1" applyBorder="1" applyAlignment="1">
      <alignment horizontal="distributed" vertical="center"/>
    </xf>
    <xf numFmtId="179" fontId="5" fillId="0" borderId="122" xfId="4" applyNumberFormat="1" applyFont="1" applyBorder="1" applyAlignment="1">
      <alignment horizontal="left" vertical="center" shrinkToFit="1"/>
    </xf>
    <xf numFmtId="179" fontId="5" fillId="0" borderId="120" xfId="4" applyNumberFormat="1" applyFont="1" applyBorder="1" applyAlignment="1">
      <alignment horizontal="left" vertical="center" shrinkToFit="1"/>
    </xf>
    <xf numFmtId="179" fontId="5" fillId="0" borderId="123" xfId="4" applyNumberFormat="1" applyFont="1" applyBorder="1" applyAlignment="1">
      <alignment horizontal="left" vertical="center" shrinkToFit="1"/>
    </xf>
    <xf numFmtId="179" fontId="5" fillId="0" borderId="77" xfId="4" applyNumberFormat="1" applyFont="1" applyBorder="1" applyAlignment="1">
      <alignment horizontal="left" vertical="center" shrinkToFit="1"/>
    </xf>
    <xf numFmtId="179" fontId="5" fillId="0" borderId="83" xfId="4" applyNumberFormat="1" applyFont="1" applyBorder="1" applyAlignment="1">
      <alignment horizontal="left" vertical="center" shrinkToFit="1"/>
    </xf>
    <xf numFmtId="179" fontId="5" fillId="0" borderId="162" xfId="4" applyNumberFormat="1" applyFont="1" applyBorder="1" applyAlignment="1">
      <alignment horizontal="left" vertical="center" shrinkToFit="1"/>
    </xf>
    <xf numFmtId="0" fontId="5" fillId="0" borderId="125" xfId="5" applyFont="1" applyBorder="1" applyAlignment="1">
      <alignment horizontal="center" vertical="center" shrinkToFit="1"/>
    </xf>
    <xf numFmtId="0" fontId="5" fillId="0" borderId="41" xfId="5" applyFont="1" applyBorder="1" applyAlignment="1">
      <alignment horizontal="center" vertical="center" shrinkToFit="1"/>
    </xf>
    <xf numFmtId="0" fontId="5" fillId="0" borderId="42" xfId="5" applyFont="1" applyBorder="1" applyAlignment="1">
      <alignment horizontal="center" vertical="center" shrinkToFit="1"/>
    </xf>
    <xf numFmtId="0" fontId="5" fillId="1" borderId="129" xfId="5" applyFont="1" applyFill="1" applyBorder="1" applyAlignment="1">
      <alignment horizontal="distributed" vertical="center"/>
    </xf>
    <xf numFmtId="0" fontId="5" fillId="1" borderId="43" xfId="5" applyFont="1" applyFill="1" applyBorder="1" applyAlignment="1">
      <alignment horizontal="distributed" vertical="center"/>
    </xf>
    <xf numFmtId="0" fontId="5" fillId="1" borderId="45" xfId="5" applyFont="1" applyFill="1" applyBorder="1" applyAlignment="1">
      <alignment horizontal="distributed" vertical="center"/>
    </xf>
    <xf numFmtId="179" fontId="5" fillId="0" borderId="23" xfId="4" applyNumberFormat="1" applyFont="1" applyBorder="1" applyAlignment="1">
      <alignment horizontal="left" vertical="center" shrinkToFit="1"/>
    </xf>
    <xf numFmtId="179" fontId="5" fillId="0" borderId="44" xfId="4" applyNumberFormat="1" applyFont="1" applyBorder="1" applyAlignment="1">
      <alignment horizontal="left" vertical="center" shrinkToFit="1"/>
    </xf>
    <xf numFmtId="179" fontId="5" fillId="0" borderId="164" xfId="4" applyNumberFormat="1" applyFont="1" applyBorder="1" applyAlignment="1">
      <alignment horizontal="left" vertical="center" shrinkToFit="1"/>
    </xf>
    <xf numFmtId="0" fontId="5" fillId="1" borderId="41" xfId="5" applyFont="1" applyFill="1" applyBorder="1" applyAlignment="1">
      <alignment horizontal="distributed" vertical="center"/>
    </xf>
    <xf numFmtId="0" fontId="5" fillId="1" borderId="42" xfId="5" applyFont="1" applyFill="1" applyBorder="1" applyAlignment="1">
      <alignment horizontal="distributed" vertical="center"/>
    </xf>
    <xf numFmtId="178" fontId="5" fillId="0" borderId="113" xfId="2" applyNumberFormat="1" applyFont="1" applyBorder="1" applyAlignment="1">
      <alignment horizontal="left" shrinkToFit="1"/>
    </xf>
    <xf numFmtId="178" fontId="5" fillId="0" borderId="109" xfId="2" applyNumberFormat="1" applyFont="1" applyBorder="1" applyAlignment="1">
      <alignment horizontal="left" shrinkToFit="1"/>
    </xf>
    <xf numFmtId="178" fontId="5" fillId="0" borderId="114" xfId="2" applyNumberFormat="1" applyFont="1" applyBorder="1" applyAlignment="1">
      <alignment horizontal="left" shrinkToFit="1"/>
    </xf>
    <xf numFmtId="0" fontId="5" fillId="0" borderId="36" xfId="2" applyFont="1" applyBorder="1" applyAlignment="1">
      <alignment horizontal="distributed" vertical="center"/>
    </xf>
    <xf numFmtId="0" fontId="5" fillId="0" borderId="37" xfId="2" applyFont="1" applyBorder="1" applyAlignment="1">
      <alignment horizontal="distributed" vertical="center"/>
    </xf>
    <xf numFmtId="0" fontId="5" fillId="0" borderId="38" xfId="2" applyFont="1" applyBorder="1" applyAlignment="1">
      <alignment horizontal="distributed" vertical="center"/>
    </xf>
    <xf numFmtId="0" fontId="5" fillId="0" borderId="132" xfId="5" applyFont="1" applyBorder="1" applyAlignment="1">
      <alignment horizontal="center" vertical="center" wrapText="1"/>
    </xf>
    <xf numFmtId="0" fontId="5" fillId="0" borderId="133" xfId="5" applyFont="1" applyBorder="1" applyAlignment="1">
      <alignment horizontal="center" vertical="center" wrapText="1"/>
    </xf>
    <xf numFmtId="0" fontId="5" fillId="0" borderId="92" xfId="5" applyFont="1" applyBorder="1" applyAlignment="1">
      <alignment horizontal="distributed" vertical="center"/>
    </xf>
    <xf numFmtId="0" fontId="5" fillId="0" borderId="83" xfId="5" applyFont="1" applyBorder="1" applyAlignment="1">
      <alignment horizontal="distributed" vertical="center"/>
    </xf>
    <xf numFmtId="179" fontId="5" fillId="0" borderId="19" xfId="4" applyNumberFormat="1" applyFont="1" applyBorder="1" applyAlignment="1">
      <alignment horizontal="left" vertical="center" shrinkToFit="1"/>
    </xf>
    <xf numFmtId="179" fontId="5" fillId="0" borderId="47" xfId="4" applyNumberFormat="1" applyFont="1" applyBorder="1" applyAlignment="1">
      <alignment horizontal="left" vertical="center" shrinkToFit="1"/>
    </xf>
    <xf numFmtId="179" fontId="5" fillId="0" borderId="163" xfId="4" applyNumberFormat="1" applyFont="1" applyBorder="1" applyAlignment="1">
      <alignment horizontal="left" vertical="center" shrinkToFit="1"/>
    </xf>
    <xf numFmtId="0" fontId="5" fillId="1" borderId="66" xfId="5" applyFont="1" applyFill="1" applyBorder="1" applyAlignment="1">
      <alignment horizontal="distributed" vertical="center"/>
    </xf>
    <xf numFmtId="0" fontId="5" fillId="1" borderId="62" xfId="5" applyFont="1" applyFill="1" applyBorder="1" applyAlignment="1">
      <alignment horizontal="distributed" vertical="center"/>
    </xf>
    <xf numFmtId="0" fontId="5" fillId="0" borderId="134" xfId="5" applyFont="1" applyBorder="1" applyAlignment="1">
      <alignment horizontal="distributed" vertical="center"/>
    </xf>
    <xf numFmtId="0" fontId="5" fillId="0" borderId="135" xfId="5" applyFont="1" applyBorder="1" applyAlignment="1">
      <alignment horizontal="distributed" vertical="center"/>
    </xf>
    <xf numFmtId="0" fontId="5" fillId="1" borderId="45" xfId="5" applyFont="1" applyFill="1" applyBorder="1" applyAlignment="1">
      <alignment horizontal="distributed" vertical="center" shrinkToFit="1"/>
    </xf>
    <xf numFmtId="0" fontId="5" fillId="1" borderId="44" xfId="5" applyFont="1" applyFill="1" applyBorder="1" applyAlignment="1">
      <alignment horizontal="distributed" vertical="center" shrinkToFit="1"/>
    </xf>
    <xf numFmtId="0" fontId="5" fillId="1" borderId="145" xfId="5" applyFont="1" applyFill="1" applyBorder="1" applyAlignment="1">
      <alignment horizontal="distributed" vertical="center" shrinkToFit="1"/>
    </xf>
    <xf numFmtId="0" fontId="5" fillId="0" borderId="130" xfId="5" applyFont="1" applyBorder="1" applyAlignment="1">
      <alignment horizontal="distributed" vertical="center"/>
    </xf>
    <xf numFmtId="0" fontId="5" fillId="0" borderId="72" xfId="5" applyFont="1" applyBorder="1" applyAlignment="1">
      <alignment horizontal="distributed" vertical="center"/>
    </xf>
    <xf numFmtId="0" fontId="2" fillId="0" borderId="0" xfId="1" applyFont="1" applyAlignment="1">
      <alignment horizontal="center" vertical="center"/>
    </xf>
    <xf numFmtId="186" fontId="5" fillId="0" borderId="104" xfId="2" applyNumberFormat="1" applyFont="1" applyBorder="1" applyAlignment="1">
      <alignment horizontal="distributed" vertical="center" justifyLastLine="1"/>
    </xf>
    <xf numFmtId="186" fontId="5" fillId="0" borderId="144" xfId="2" applyNumberFormat="1" applyFont="1" applyBorder="1" applyAlignment="1">
      <alignment horizontal="distributed" vertical="center" justifyLastLine="1"/>
    </xf>
    <xf numFmtId="186" fontId="5" fillId="0" borderId="142" xfId="2" applyNumberFormat="1" applyFont="1" applyBorder="1" applyAlignment="1">
      <alignment horizontal="distributed" vertical="center" justifyLastLine="1"/>
    </xf>
    <xf numFmtId="186" fontId="5" fillId="0" borderId="133" xfId="2" applyNumberFormat="1" applyFont="1" applyBorder="1" applyAlignment="1">
      <alignment horizontal="distributed" vertical="center" justifyLastLine="1"/>
    </xf>
    <xf numFmtId="0" fontId="5" fillId="0" borderId="105" xfId="2" applyFont="1" applyBorder="1" applyAlignment="1">
      <alignment horizontal="distributed" vertical="center" justifyLastLine="1"/>
    </xf>
    <xf numFmtId="0" fontId="5" fillId="0" borderId="112" xfId="2" applyFont="1" applyBorder="1" applyAlignment="1">
      <alignment horizontal="distributed" vertical="center" justifyLastLine="1"/>
    </xf>
    <xf numFmtId="49" fontId="15" fillId="0" borderId="36" xfId="2" applyNumberFormat="1" applyFont="1" applyBorder="1" applyAlignment="1">
      <alignment horizontal="center" vertical="center"/>
    </xf>
    <xf numFmtId="49" fontId="15" fillId="0" borderId="37" xfId="2" applyNumberFormat="1" applyFont="1" applyBorder="1" applyAlignment="1">
      <alignment horizontal="center" vertical="center"/>
    </xf>
    <xf numFmtId="49" fontId="15" fillId="0" borderId="38" xfId="2" applyNumberFormat="1" applyFont="1" applyBorder="1" applyAlignment="1">
      <alignment horizontal="center" vertical="center"/>
    </xf>
    <xf numFmtId="0" fontId="5" fillId="0" borderId="100" xfId="5" applyFont="1" applyBorder="1" applyAlignment="1">
      <alignment horizontal="center" vertical="center"/>
    </xf>
    <xf numFmtId="0" fontId="5" fillId="0" borderId="101" xfId="5" applyFont="1" applyBorder="1" applyAlignment="1">
      <alignment horizontal="center" vertical="center"/>
    </xf>
    <xf numFmtId="0" fontId="5" fillId="0" borderId="108" xfId="5" applyFont="1" applyBorder="1" applyAlignment="1">
      <alignment horizontal="center" vertical="center"/>
    </xf>
    <xf numFmtId="0" fontId="5" fillId="0" borderId="109" xfId="5" applyFont="1" applyBorder="1" applyAlignment="1">
      <alignment horizontal="center" vertical="center"/>
    </xf>
    <xf numFmtId="0" fontId="5" fillId="2" borderId="102" xfId="4" applyFont="1" applyFill="1" applyBorder="1" applyAlignment="1">
      <alignment horizontal="center" vertical="center" wrapText="1"/>
    </xf>
    <xf numFmtId="0" fontId="5" fillId="2" borderId="110" xfId="4" applyFont="1" applyFill="1" applyBorder="1" applyAlignment="1">
      <alignment horizontal="center" vertical="center" wrapText="1"/>
    </xf>
    <xf numFmtId="0" fontId="5" fillId="2" borderId="106" xfId="4" applyFont="1" applyFill="1" applyBorder="1" applyAlignment="1">
      <alignment horizontal="center" vertical="center"/>
    </xf>
    <xf numFmtId="0" fontId="5" fillId="2" borderId="101" xfId="4" applyFont="1" applyFill="1" applyBorder="1" applyAlignment="1">
      <alignment horizontal="center" vertical="center"/>
    </xf>
    <xf numFmtId="0" fontId="5" fillId="2" borderId="107" xfId="4" applyFont="1" applyFill="1" applyBorder="1" applyAlignment="1">
      <alignment horizontal="center" vertical="center"/>
    </xf>
    <xf numFmtId="0" fontId="5" fillId="2" borderId="113" xfId="4" applyFont="1" applyFill="1" applyBorder="1" applyAlignment="1">
      <alignment horizontal="center" vertical="center"/>
    </xf>
    <xf numFmtId="0" fontId="5" fillId="2" borderId="109" xfId="4" applyFont="1" applyFill="1" applyBorder="1" applyAlignment="1">
      <alignment horizontal="center" vertical="center"/>
    </xf>
    <xf numFmtId="0" fontId="5" fillId="2" borderId="114" xfId="4" applyFont="1" applyFill="1" applyBorder="1" applyAlignment="1">
      <alignment horizontal="center" vertical="center"/>
    </xf>
    <xf numFmtId="49" fontId="15" fillId="0" borderId="22" xfId="1" applyNumberFormat="1" applyFont="1" applyBorder="1" applyAlignment="1">
      <alignment vertical="center" shrinkToFit="1"/>
    </xf>
    <xf numFmtId="49" fontId="15" fillId="0" borderId="26" xfId="1" applyNumberFormat="1" applyFont="1" applyBorder="1" applyAlignment="1">
      <alignment vertical="center" shrinkToFit="1"/>
    </xf>
    <xf numFmtId="49" fontId="15" fillId="0" borderId="9" xfId="1" applyNumberFormat="1" applyFont="1" applyBorder="1" applyAlignment="1">
      <alignment vertical="center" shrinkToFit="1"/>
    </xf>
    <xf numFmtId="49" fontId="15" fillId="0" borderId="23" xfId="1" applyNumberFormat="1" applyFont="1" applyBorder="1" applyAlignment="1">
      <alignment vertical="center" shrinkToFit="1"/>
    </xf>
    <xf numFmtId="49" fontId="15" fillId="0" borderId="44" xfId="1" applyNumberFormat="1" applyFont="1" applyBorder="1" applyAlignment="1">
      <alignment vertical="center" shrinkToFit="1"/>
    </xf>
    <xf numFmtId="49" fontId="15" fillId="0" borderId="13" xfId="1" applyNumberFormat="1" applyFont="1" applyBorder="1" applyAlignment="1">
      <alignment vertical="center" shrinkToFit="1"/>
    </xf>
    <xf numFmtId="49" fontId="15" fillId="0" borderId="19" xfId="1" applyNumberFormat="1" applyFont="1" applyBorder="1" applyAlignment="1">
      <alignment vertical="center" shrinkToFit="1"/>
    </xf>
    <xf numFmtId="49" fontId="15" fillId="0" borderId="47" xfId="1" applyNumberFormat="1" applyFont="1" applyBorder="1" applyAlignment="1">
      <alignment vertical="center" shrinkToFit="1"/>
    </xf>
    <xf numFmtId="49" fontId="15" fillId="0" borderId="50" xfId="1" applyNumberFormat="1" applyFont="1" applyBorder="1" applyAlignment="1">
      <alignment vertical="center" shrinkToFit="1"/>
    </xf>
    <xf numFmtId="0" fontId="5" fillId="0" borderId="23" xfId="1" applyFont="1" applyBorder="1" applyAlignment="1">
      <alignment horizontal="distributed" vertical="center"/>
    </xf>
    <xf numFmtId="0" fontId="5" fillId="0" borderId="44" xfId="1" applyFont="1" applyBorder="1" applyAlignment="1">
      <alignment horizontal="distributed" vertical="center"/>
    </xf>
    <xf numFmtId="0" fontId="5" fillId="0" borderId="13" xfId="1" applyFont="1" applyBorder="1" applyAlignment="1">
      <alignment horizontal="distributed" vertical="center"/>
    </xf>
    <xf numFmtId="0" fontId="5" fillId="0" borderId="77" xfId="1" applyFont="1" applyBorder="1" applyAlignment="1">
      <alignment horizontal="distributed" vertical="center"/>
    </xf>
    <xf numFmtId="0" fontId="5" fillId="0" borderId="83" xfId="1" applyFont="1" applyBorder="1" applyAlignment="1">
      <alignment horizontal="distributed" vertical="center"/>
    </xf>
    <xf numFmtId="0" fontId="5" fillId="0" borderId="32" xfId="1" applyFont="1" applyBorder="1" applyAlignment="1">
      <alignment horizontal="distributed" vertical="center"/>
    </xf>
    <xf numFmtId="0" fontId="5" fillId="0" borderId="22" xfId="1" applyFont="1" applyBorder="1" applyAlignment="1">
      <alignment horizontal="distributed" vertical="center"/>
    </xf>
    <xf numFmtId="0" fontId="5" fillId="0" borderId="26" xfId="1" applyFont="1" applyBorder="1" applyAlignment="1">
      <alignment horizontal="distributed" vertical="center"/>
    </xf>
    <xf numFmtId="0" fontId="5" fillId="0" borderId="9" xfId="1" applyFont="1" applyBorder="1" applyAlignment="1">
      <alignment horizontal="distributed" vertical="center"/>
    </xf>
    <xf numFmtId="0" fontId="5" fillId="0" borderId="42" xfId="1" applyFont="1" applyBorder="1" applyAlignment="1">
      <alignment horizontal="distributed" vertical="center"/>
    </xf>
    <xf numFmtId="0" fontId="5" fillId="0" borderId="156" xfId="1" applyFont="1" applyBorder="1" applyAlignment="1">
      <alignment horizontal="center" vertical="center"/>
    </xf>
    <xf numFmtId="0" fontId="5" fillId="0" borderId="157" xfId="1" applyFont="1" applyBorder="1" applyAlignment="1">
      <alignment horizontal="center" vertical="center"/>
    </xf>
    <xf numFmtId="0" fontId="5" fillId="0" borderId="158" xfId="1" applyFont="1" applyBorder="1" applyAlignment="1">
      <alignment horizontal="center" vertical="center"/>
    </xf>
    <xf numFmtId="0" fontId="5" fillId="0" borderId="159" xfId="1" applyFont="1" applyBorder="1" applyAlignment="1">
      <alignment horizontal="center" vertical="center"/>
    </xf>
    <xf numFmtId="0" fontId="5" fillId="0" borderId="160" xfId="1" applyFont="1" applyBorder="1" applyAlignment="1">
      <alignment horizontal="center" vertical="center"/>
    </xf>
    <xf numFmtId="0" fontId="5" fillId="0" borderId="161" xfId="1" applyFont="1" applyBorder="1" applyAlignment="1">
      <alignment horizontal="center" vertical="center"/>
    </xf>
    <xf numFmtId="0" fontId="5" fillId="0" borderId="10" xfId="1" applyFont="1" applyBorder="1" applyAlignment="1">
      <alignment horizontal="distributed" vertical="center"/>
    </xf>
    <xf numFmtId="0" fontId="5" fillId="0" borderId="0" xfId="1" applyFont="1" applyAlignment="1">
      <alignment horizontal="distributed" vertical="center"/>
    </xf>
    <xf numFmtId="0" fontId="5" fillId="0" borderId="2" xfId="1" applyFont="1" applyBorder="1" applyAlignment="1">
      <alignment horizontal="distributed" vertical="center"/>
    </xf>
    <xf numFmtId="0" fontId="5" fillId="0" borderId="42" xfId="2" applyFont="1" applyBorder="1" applyAlignment="1">
      <alignment horizontal="distributed" vertical="center" shrinkToFit="1"/>
    </xf>
    <xf numFmtId="0" fontId="5" fillId="0" borderId="26" xfId="2" applyFont="1" applyBorder="1" applyAlignment="1">
      <alignment horizontal="distributed" vertical="center" shrinkToFit="1"/>
    </xf>
    <xf numFmtId="0" fontId="5" fillId="0" borderId="9" xfId="2" applyFont="1" applyBorder="1" applyAlignment="1">
      <alignment horizontal="distributed" vertical="center" shrinkToFit="1"/>
    </xf>
    <xf numFmtId="0" fontId="5" fillId="0" borderId="17" xfId="1" applyFont="1" applyBorder="1" applyAlignment="1">
      <alignment horizontal="distributed" vertical="center"/>
    </xf>
    <xf numFmtId="0" fontId="5" fillId="0" borderId="0" xfId="2" applyFont="1" applyAlignment="1">
      <alignment vertical="center"/>
    </xf>
    <xf numFmtId="0" fontId="5" fillId="0" borderId="66" xfId="2" applyFont="1" applyBorder="1" applyAlignment="1">
      <alignment horizontal="distributed" vertical="center"/>
    </xf>
    <xf numFmtId="0" fontId="5" fillId="0" borderId="62" xfId="2" applyFont="1" applyBorder="1" applyAlignment="1">
      <alignment horizontal="distributed" vertical="center"/>
    </xf>
    <xf numFmtId="0" fontId="5" fillId="0" borderId="49" xfId="2" applyFont="1" applyBorder="1" applyAlignment="1">
      <alignment horizontal="distributed" vertical="center"/>
    </xf>
    <xf numFmtId="0" fontId="5" fillId="0" borderId="45" xfId="2" applyFont="1" applyBorder="1" applyAlignment="1">
      <alignment horizontal="distributed" vertical="center"/>
    </xf>
    <xf numFmtId="0" fontId="5" fillId="0" borderId="13" xfId="2" applyFont="1" applyBorder="1" applyAlignment="1">
      <alignment horizontal="distributed" vertical="center"/>
    </xf>
    <xf numFmtId="0" fontId="5" fillId="0" borderId="42" xfId="2" applyFont="1" applyBorder="1" applyAlignment="1">
      <alignment horizontal="distributed" vertical="center"/>
    </xf>
    <xf numFmtId="0" fontId="5" fillId="0" borderId="9" xfId="2" applyFont="1" applyBorder="1" applyAlignment="1">
      <alignment horizontal="distributed" vertical="center"/>
    </xf>
    <xf numFmtId="0" fontId="5" fillId="0" borderId="45" xfId="1" applyFont="1" applyBorder="1" applyAlignment="1">
      <alignment horizontal="distributed" vertical="center"/>
    </xf>
    <xf numFmtId="0" fontId="5" fillId="0" borderId="16" xfId="2" applyFont="1" applyBorder="1" applyAlignment="1">
      <alignment vertical="center" shrinkToFit="1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15" fillId="0" borderId="36" xfId="2" applyFont="1" applyBorder="1" applyAlignment="1">
      <alignment horizontal="center" vertical="center"/>
    </xf>
    <xf numFmtId="0" fontId="15" fillId="0" borderId="37" xfId="2" applyFont="1" applyBorder="1" applyAlignment="1">
      <alignment horizontal="center" vertical="center"/>
    </xf>
    <xf numFmtId="0" fontId="15" fillId="0" borderId="38" xfId="2" applyFont="1" applyBorder="1" applyAlignment="1">
      <alignment horizontal="center" vertical="center"/>
    </xf>
    <xf numFmtId="0" fontId="5" fillId="0" borderId="84" xfId="1" applyFont="1" applyBorder="1" applyAlignment="1">
      <alignment horizontal="center" vertical="center"/>
    </xf>
    <xf numFmtId="0" fontId="5" fillId="0" borderId="85" xfId="1" applyFont="1" applyBorder="1" applyAlignment="1">
      <alignment horizontal="center" vertical="center"/>
    </xf>
    <xf numFmtId="0" fontId="5" fillId="0" borderId="86" xfId="1" applyFont="1" applyBorder="1" applyAlignment="1">
      <alignment horizontal="center" vertical="center"/>
    </xf>
    <xf numFmtId="0" fontId="5" fillId="0" borderId="87" xfId="1" applyFont="1" applyBorder="1" applyAlignment="1">
      <alignment horizontal="center" vertical="center"/>
    </xf>
    <xf numFmtId="0" fontId="5" fillId="0" borderId="88" xfId="1" applyFont="1" applyBorder="1" applyAlignment="1">
      <alignment horizontal="center" vertical="center"/>
    </xf>
    <xf numFmtId="0" fontId="5" fillId="0" borderId="89" xfId="1" applyFont="1" applyBorder="1" applyAlignment="1">
      <alignment horizontal="center" vertical="center"/>
    </xf>
    <xf numFmtId="0" fontId="5" fillId="0" borderId="16" xfId="1" applyFont="1" applyBorder="1" applyAlignment="1">
      <alignment horizontal="distributed" vertical="center"/>
    </xf>
    <xf numFmtId="0" fontId="5" fillId="0" borderId="18" xfId="1" applyFont="1" applyBorder="1" applyAlignment="1">
      <alignment horizontal="distributed" vertical="center"/>
    </xf>
    <xf numFmtId="186" fontId="5" fillId="0" borderId="29" xfId="1" applyNumberFormat="1" applyFont="1" applyBorder="1" applyAlignment="1">
      <alignment horizontal="distributed" vertical="center" justifyLastLine="1"/>
    </xf>
    <xf numFmtId="186" fontId="5" fillId="0" borderId="4" xfId="1" applyNumberFormat="1" applyFont="1" applyBorder="1" applyAlignment="1">
      <alignment horizontal="distributed" vertical="center" justifyLastLine="1"/>
    </xf>
    <xf numFmtId="186" fontId="5" fillId="0" borderId="20" xfId="1" applyNumberFormat="1" applyFont="1" applyBorder="1" applyAlignment="1">
      <alignment horizontal="distributed" vertical="center" justifyLastLine="1"/>
    </xf>
    <xf numFmtId="186" fontId="5" fillId="0" borderId="3" xfId="1" applyNumberFormat="1" applyFont="1" applyBorder="1" applyAlignment="1">
      <alignment horizontal="distributed" vertical="center" justifyLastLine="1"/>
    </xf>
    <xf numFmtId="0" fontId="5" fillId="0" borderId="66" xfId="1" applyFont="1" applyBorder="1" applyAlignment="1">
      <alignment horizontal="distributed" vertical="center"/>
    </xf>
    <xf numFmtId="0" fontId="5" fillId="0" borderId="62" xfId="1" applyFont="1" applyBorder="1" applyAlignment="1">
      <alignment horizontal="distributed" vertical="center"/>
    </xf>
    <xf numFmtId="0" fontId="5" fillId="0" borderId="49" xfId="1" applyFont="1" applyBorder="1" applyAlignment="1">
      <alignment horizontal="distributed" vertical="center"/>
    </xf>
    <xf numFmtId="0" fontId="5" fillId="0" borderId="1" xfId="1" applyFont="1" applyBorder="1" applyAlignment="1">
      <alignment horizontal="center" vertical="center" textRotation="255" shrinkToFit="1"/>
    </xf>
    <xf numFmtId="0" fontId="5" fillId="0" borderId="3" xfId="1" applyFont="1" applyBorder="1" applyAlignment="1">
      <alignment horizontal="center" vertical="center" textRotation="255" shrinkToFit="1"/>
    </xf>
    <xf numFmtId="0" fontId="5" fillId="0" borderId="77" xfId="2" applyFont="1" applyBorder="1" applyAlignment="1">
      <alignment horizontal="center" vertical="center"/>
    </xf>
    <xf numFmtId="0" fontId="5" fillId="0" borderId="83" xfId="2" applyFont="1" applyBorder="1" applyAlignment="1">
      <alignment horizontal="center" vertical="center"/>
    </xf>
    <xf numFmtId="0" fontId="5" fillId="0" borderId="32" xfId="2" applyFont="1" applyBorder="1" applyAlignment="1">
      <alignment horizontal="center" vertical="center"/>
    </xf>
    <xf numFmtId="0" fontId="5" fillId="0" borderId="61" xfId="2" applyFont="1" applyBorder="1" applyAlignment="1">
      <alignment horizontal="center" vertical="center"/>
    </xf>
    <xf numFmtId="0" fontId="5" fillId="0" borderId="62" xfId="2" applyFont="1" applyBorder="1" applyAlignment="1">
      <alignment horizontal="center" vertical="center"/>
    </xf>
    <xf numFmtId="0" fontId="5" fillId="0" borderId="49" xfId="2" applyFont="1" applyBorder="1" applyAlignment="1">
      <alignment horizontal="center" vertical="center"/>
    </xf>
    <xf numFmtId="49" fontId="15" fillId="0" borderId="77" xfId="1" applyNumberFormat="1" applyFont="1" applyBorder="1" applyAlignment="1">
      <alignment vertical="center" shrinkToFit="1"/>
    </xf>
    <xf numFmtId="49" fontId="15" fillId="0" borderId="83" xfId="1" applyNumberFormat="1" applyFont="1" applyBorder="1" applyAlignment="1">
      <alignment vertical="center" shrinkToFit="1"/>
    </xf>
    <xf numFmtId="49" fontId="15" fillId="0" borderId="32" xfId="1" applyNumberFormat="1" applyFont="1" applyBorder="1" applyAlignment="1">
      <alignment vertical="center" shrinkToFit="1"/>
    </xf>
    <xf numFmtId="0" fontId="5" fillId="0" borderId="141" xfId="2" applyFont="1" applyBorder="1" applyAlignment="1">
      <alignment horizontal="center" vertical="center"/>
    </xf>
    <xf numFmtId="0" fontId="5" fillId="0" borderId="48" xfId="1" applyFont="1" applyBorder="1" applyAlignment="1">
      <alignment horizontal="distributed" vertical="center"/>
    </xf>
    <xf numFmtId="0" fontId="5" fillId="0" borderId="47" xfId="1" applyFont="1" applyBorder="1" applyAlignment="1">
      <alignment horizontal="distributed" vertical="center"/>
    </xf>
    <xf numFmtId="0" fontId="5" fillId="0" borderId="50" xfId="1" applyFont="1" applyBorder="1" applyAlignment="1">
      <alignment horizontal="distributed" vertical="center"/>
    </xf>
    <xf numFmtId="186" fontId="5" fillId="0" borderId="30" xfId="2" applyNumberFormat="1" applyFont="1" applyBorder="1" applyAlignment="1">
      <alignment horizontal="center" vertical="center" justifyLastLine="1"/>
    </xf>
    <xf numFmtId="186" fontId="5" fillId="0" borderId="167" xfId="2" applyNumberFormat="1" applyFont="1" applyBorder="1" applyAlignment="1">
      <alignment horizontal="center" vertical="center" justifyLastLine="1"/>
    </xf>
    <xf numFmtId="186" fontId="5" fillId="0" borderId="35" xfId="2" applyNumberFormat="1" applyFont="1" applyBorder="1" applyAlignment="1">
      <alignment horizontal="center" vertical="center" justifyLastLine="1"/>
    </xf>
    <xf numFmtId="0" fontId="5" fillId="0" borderId="16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2" xfId="0" applyFont="1" applyBorder="1" applyAlignment="1">
      <alignment horizontal="distributed" vertical="center"/>
    </xf>
    <xf numFmtId="0" fontId="5" fillId="0" borderId="26" xfId="0" applyFont="1" applyBorder="1" applyAlignment="1">
      <alignment horizontal="distributed" vertical="center"/>
    </xf>
    <xf numFmtId="0" fontId="5" fillId="0" borderId="146" xfId="0" applyFont="1" applyBorder="1" applyAlignment="1">
      <alignment horizontal="distributed" vertical="center"/>
    </xf>
    <xf numFmtId="0" fontId="5" fillId="0" borderId="23" xfId="0" applyFont="1" applyBorder="1" applyAlignment="1">
      <alignment horizontal="distributed" vertical="center"/>
    </xf>
    <xf numFmtId="0" fontId="5" fillId="0" borderId="44" xfId="0" applyFont="1" applyBorder="1" applyAlignment="1">
      <alignment horizontal="distributed" vertical="center"/>
    </xf>
    <xf numFmtId="0" fontId="5" fillId="0" borderId="145" xfId="0" applyFont="1" applyBorder="1" applyAlignment="1">
      <alignment horizontal="distributed" vertical="center"/>
    </xf>
    <xf numFmtId="0" fontId="5" fillId="0" borderId="84" xfId="0" applyFont="1" applyBorder="1" applyAlignment="1">
      <alignment horizontal="center" vertical="center"/>
    </xf>
    <xf numFmtId="0" fontId="5" fillId="0" borderId="85" xfId="0" applyFont="1" applyBorder="1" applyAlignment="1">
      <alignment horizontal="center" vertical="center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186" fontId="5" fillId="0" borderId="20" xfId="2" applyNumberFormat="1" applyFont="1" applyBorder="1" applyAlignment="1">
      <alignment horizontal="distributed" vertical="center" justifyLastLine="1"/>
    </xf>
    <xf numFmtId="186" fontId="5" fillId="0" borderId="3" xfId="2" applyNumberFormat="1" applyFont="1" applyBorder="1" applyAlignment="1">
      <alignment horizontal="distributed" vertical="center" justifyLastLine="1"/>
    </xf>
    <xf numFmtId="0" fontId="5" fillId="0" borderId="19" xfId="0" applyFont="1" applyBorder="1" applyAlignment="1">
      <alignment horizontal="distributed" vertical="center"/>
    </xf>
    <xf numFmtId="0" fontId="5" fillId="0" borderId="47" xfId="0" applyFont="1" applyBorder="1" applyAlignment="1">
      <alignment horizontal="distributed" vertical="center"/>
    </xf>
    <xf numFmtId="0" fontId="5" fillId="0" borderId="60" xfId="0" applyFont="1" applyBorder="1" applyAlignment="1">
      <alignment horizontal="distributed" vertical="center"/>
    </xf>
    <xf numFmtId="0" fontId="5" fillId="0" borderId="36" xfId="0" applyFont="1" applyBorder="1" applyAlignment="1">
      <alignment horizontal="distributed" vertical="center"/>
    </xf>
    <xf numFmtId="0" fontId="5" fillId="0" borderId="37" xfId="0" applyFont="1" applyBorder="1" applyAlignment="1">
      <alignment horizontal="distributed" vertical="center"/>
    </xf>
    <xf numFmtId="186" fontId="5" fillId="0" borderId="29" xfId="2" applyNumberFormat="1" applyFont="1" applyBorder="1" applyAlignment="1">
      <alignment horizontal="distributed" vertical="center" justifyLastLine="1"/>
    </xf>
    <xf numFmtId="186" fontId="5" fillId="0" borderId="4" xfId="2" applyNumberFormat="1" applyFont="1" applyBorder="1" applyAlignment="1">
      <alignment horizontal="distributed" vertical="center" justifyLastLine="1"/>
    </xf>
    <xf numFmtId="0" fontId="5" fillId="0" borderId="77" xfId="1" applyFont="1" applyBorder="1" applyAlignment="1">
      <alignment horizontal="left" vertical="center"/>
    </xf>
    <xf numFmtId="0" fontId="5" fillId="0" borderId="83" xfId="1" applyFont="1" applyBorder="1" applyAlignment="1">
      <alignment horizontal="left" vertical="center"/>
    </xf>
    <xf numFmtId="0" fontId="5" fillId="0" borderId="32" xfId="1" applyFont="1" applyBorder="1" applyAlignment="1">
      <alignment horizontal="left" vertical="center"/>
    </xf>
    <xf numFmtId="0" fontId="5" fillId="0" borderId="22" xfId="1" applyFont="1" applyBorder="1" applyAlignment="1">
      <alignment horizontal="left" vertical="center"/>
    </xf>
    <xf numFmtId="0" fontId="5" fillId="0" borderId="26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/>
    </xf>
    <xf numFmtId="0" fontId="5" fillId="0" borderId="23" xfId="2" applyFont="1" applyBorder="1" applyAlignment="1">
      <alignment horizontal="distributed" vertical="center"/>
    </xf>
    <xf numFmtId="0" fontId="5" fillId="0" borderId="44" xfId="2" applyFont="1" applyBorder="1" applyAlignment="1">
      <alignment horizontal="distributed" vertical="center"/>
    </xf>
    <xf numFmtId="0" fontId="11" fillId="0" borderId="147" xfId="0" applyFont="1" applyBorder="1">
      <alignment vertical="center"/>
    </xf>
    <xf numFmtId="0" fontId="11" fillId="0" borderId="148" xfId="0" applyFont="1" applyBorder="1">
      <alignment vertical="center"/>
    </xf>
    <xf numFmtId="0" fontId="11" fillId="0" borderId="149" xfId="0" applyFont="1" applyBorder="1">
      <alignment vertical="center"/>
    </xf>
    <xf numFmtId="0" fontId="11" fillId="0" borderId="150" xfId="0" applyFont="1" applyBorder="1">
      <alignment vertical="center"/>
    </xf>
    <xf numFmtId="0" fontId="11" fillId="0" borderId="151" xfId="0" applyFont="1" applyBorder="1">
      <alignment vertical="center"/>
    </xf>
    <xf numFmtId="0" fontId="11" fillId="0" borderId="152" xfId="0" applyFont="1" applyBorder="1">
      <alignment vertical="center"/>
    </xf>
    <xf numFmtId="0" fontId="12" fillId="0" borderId="153" xfId="0" applyFont="1" applyBorder="1">
      <alignment vertical="center"/>
    </xf>
    <xf numFmtId="0" fontId="12" fillId="0" borderId="154" xfId="0" applyFont="1" applyBorder="1">
      <alignment vertical="center"/>
    </xf>
    <xf numFmtId="0" fontId="12" fillId="0" borderId="155" xfId="0" applyFont="1" applyBorder="1">
      <alignment vertical="center"/>
    </xf>
    <xf numFmtId="0" fontId="5" fillId="0" borderId="36" xfId="0" applyFont="1" applyBorder="1" applyAlignment="1">
      <alignment horizontal="center" vertical="center" justifyLastLine="1"/>
    </xf>
    <xf numFmtId="0" fontId="5" fillId="0" borderId="37" xfId="0" applyFont="1" applyBorder="1" applyAlignment="1">
      <alignment horizontal="center" vertical="center" justifyLastLine="1"/>
    </xf>
    <xf numFmtId="0" fontId="5" fillId="0" borderId="61" xfId="2" applyFont="1" applyBorder="1" applyAlignment="1">
      <alignment horizontal="center" vertical="center" wrapText="1"/>
    </xf>
    <xf numFmtId="0" fontId="5" fillId="0" borderId="93" xfId="2" applyFont="1" applyBorder="1" applyAlignment="1">
      <alignment horizontal="center" vertical="center" wrapText="1"/>
    </xf>
    <xf numFmtId="0" fontId="5" fillId="0" borderId="10" xfId="2" applyFont="1" applyBorder="1" applyAlignment="1">
      <alignment horizontal="center" vertical="center" wrapText="1"/>
    </xf>
    <xf numFmtId="0" fontId="5" fillId="0" borderId="51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 wrapText="1"/>
    </xf>
    <xf numFmtId="0" fontId="5" fillId="0" borderId="60" xfId="2" applyFont="1" applyBorder="1" applyAlignment="1">
      <alignment horizontal="center" vertical="center" wrapText="1"/>
    </xf>
    <xf numFmtId="0" fontId="5" fillId="0" borderId="42" xfId="3" applyFont="1" applyBorder="1" applyAlignment="1">
      <alignment horizontal="distributed" vertical="center"/>
    </xf>
    <xf numFmtId="0" fontId="5" fillId="0" borderId="26" xfId="3" applyFont="1" applyBorder="1" applyAlignment="1">
      <alignment horizontal="distributed" vertical="center"/>
    </xf>
    <xf numFmtId="0" fontId="5" fillId="0" borderId="42" xfId="3" applyFont="1" applyBorder="1" applyAlignment="1">
      <alignment horizontal="left" vertical="center" shrinkToFit="1"/>
    </xf>
    <xf numFmtId="0" fontId="5" fillId="0" borderId="26" xfId="3" applyFont="1" applyBorder="1" applyAlignment="1">
      <alignment horizontal="left" vertical="center" shrinkToFit="1"/>
    </xf>
    <xf numFmtId="0" fontId="5" fillId="0" borderId="95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5" fillId="0" borderId="97" xfId="0" applyFont="1" applyBorder="1" applyAlignment="1">
      <alignment horizontal="center" vertical="center"/>
    </xf>
    <xf numFmtId="0" fontId="5" fillId="0" borderId="16" xfId="2" applyFont="1" applyBorder="1" applyAlignment="1">
      <alignment horizontal="center" vertical="center" wrapText="1"/>
    </xf>
    <xf numFmtId="0" fontId="5" fillId="0" borderId="91" xfId="2" applyFont="1" applyBorder="1" applyAlignment="1">
      <alignment horizontal="center" vertical="center" wrapText="1"/>
    </xf>
    <xf numFmtId="0" fontId="5" fillId="0" borderId="92" xfId="3" applyFont="1" applyBorder="1" applyAlignment="1">
      <alignment horizontal="distributed" vertical="center"/>
    </xf>
    <xf numFmtId="0" fontId="5" fillId="0" borderId="83" xfId="3" applyFont="1" applyBorder="1" applyAlignment="1">
      <alignment horizontal="distributed" vertical="center"/>
    </xf>
    <xf numFmtId="0" fontId="5" fillId="0" borderId="42" xfId="3" applyFont="1" applyBorder="1" applyAlignment="1">
      <alignment vertical="center" shrinkToFit="1"/>
    </xf>
    <xf numFmtId="0" fontId="5" fillId="0" borderId="26" xfId="3" applyFont="1" applyBorder="1" applyAlignment="1">
      <alignment vertical="center" shrinkToFit="1"/>
    </xf>
    <xf numFmtId="0" fontId="5" fillId="0" borderId="0" xfId="0" applyFont="1" applyAlignment="1">
      <alignment horizontal="distributed" vertical="center" wrapText="1" justifyLastLine="1"/>
    </xf>
    <xf numFmtId="0" fontId="5" fillId="0" borderId="0" xfId="0" applyFont="1" applyAlignment="1">
      <alignment horizontal="distributed" vertical="center" justifyLastLine="1"/>
    </xf>
    <xf numFmtId="0" fontId="5" fillId="0" borderId="23" xfId="1" applyFont="1" applyBorder="1" applyAlignment="1">
      <alignment horizontal="left" vertical="center"/>
    </xf>
    <xf numFmtId="0" fontId="5" fillId="0" borderId="44" xfId="1" applyFont="1" applyBorder="1" applyAlignment="1">
      <alignment horizontal="left" vertical="center"/>
    </xf>
    <xf numFmtId="0" fontId="5" fillId="0" borderId="13" xfId="1" applyFont="1" applyBorder="1" applyAlignment="1">
      <alignment horizontal="left" vertical="center"/>
    </xf>
    <xf numFmtId="0" fontId="5" fillId="0" borderId="141" xfId="2" applyFont="1" applyBorder="1" applyAlignment="1">
      <alignment horizontal="distributed" vertical="center"/>
    </xf>
    <xf numFmtId="188" fontId="15" fillId="0" borderId="22" xfId="2" applyNumberFormat="1" applyFont="1" applyBorder="1" applyAlignment="1">
      <alignment horizontal="left" vertical="center"/>
    </xf>
    <xf numFmtId="188" fontId="15" fillId="0" borderId="26" xfId="2" applyNumberFormat="1" applyFont="1" applyBorder="1" applyAlignment="1">
      <alignment horizontal="left" vertical="center"/>
    </xf>
    <xf numFmtId="188" fontId="15" fillId="0" borderId="9" xfId="2" applyNumberFormat="1" applyFont="1" applyBorder="1" applyAlignment="1">
      <alignment horizontal="left" vertical="center"/>
    </xf>
    <xf numFmtId="188" fontId="15" fillId="0" borderId="77" xfId="2" applyNumberFormat="1" applyFont="1" applyBorder="1" applyAlignment="1">
      <alignment horizontal="left" vertical="center"/>
    </xf>
    <xf numFmtId="188" fontId="15" fillId="0" borderId="83" xfId="2" applyNumberFormat="1" applyFont="1" applyBorder="1" applyAlignment="1">
      <alignment horizontal="left" vertical="center"/>
    </xf>
    <xf numFmtId="188" fontId="15" fillId="0" borderId="32" xfId="2" applyNumberFormat="1" applyFont="1" applyBorder="1" applyAlignment="1">
      <alignment horizontal="left" vertical="center"/>
    </xf>
    <xf numFmtId="187" fontId="15" fillId="0" borderId="22" xfId="2" applyNumberFormat="1" applyFont="1" applyBorder="1" applyAlignment="1">
      <alignment horizontal="left" vertical="center"/>
    </xf>
    <xf numFmtId="187" fontId="15" fillId="0" borderId="26" xfId="2" applyNumberFormat="1" applyFont="1" applyBorder="1" applyAlignment="1">
      <alignment horizontal="left" vertical="center"/>
    </xf>
    <xf numFmtId="187" fontId="15" fillId="0" borderId="9" xfId="2" applyNumberFormat="1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188" fontId="15" fillId="0" borderId="23" xfId="2" applyNumberFormat="1" applyFont="1" applyBorder="1" applyAlignment="1">
      <alignment horizontal="left" vertical="center"/>
    </xf>
    <xf numFmtId="188" fontId="15" fillId="0" borderId="44" xfId="2" applyNumberFormat="1" applyFont="1" applyBorder="1" applyAlignment="1">
      <alignment horizontal="left" vertical="center"/>
    </xf>
    <xf numFmtId="188" fontId="15" fillId="0" borderId="13" xfId="2" applyNumberFormat="1" applyFont="1" applyBorder="1" applyAlignment="1">
      <alignment horizontal="left" vertical="center"/>
    </xf>
    <xf numFmtId="188" fontId="15" fillId="0" borderId="36" xfId="2" applyNumberFormat="1" applyFont="1" applyBorder="1" applyAlignment="1">
      <alignment horizontal="left" vertical="center"/>
    </xf>
    <xf numFmtId="188" fontId="15" fillId="0" borderId="37" xfId="2" applyNumberFormat="1" applyFont="1" applyBorder="1" applyAlignment="1">
      <alignment horizontal="left" vertical="center"/>
    </xf>
    <xf numFmtId="188" fontId="15" fillId="0" borderId="38" xfId="2" applyNumberFormat="1" applyFont="1" applyBorder="1" applyAlignment="1">
      <alignment horizontal="left" vertical="center"/>
    </xf>
    <xf numFmtId="0" fontId="5" fillId="0" borderId="22" xfId="2" applyFont="1" applyBorder="1" applyAlignment="1">
      <alignment horizontal="left" vertical="center"/>
    </xf>
    <xf numFmtId="0" fontId="5" fillId="0" borderId="26" xfId="2" applyFont="1" applyBorder="1" applyAlignment="1">
      <alignment horizontal="left" vertical="center"/>
    </xf>
    <xf numFmtId="0" fontId="5" fillId="0" borderId="9" xfId="2" applyFont="1" applyBorder="1" applyAlignment="1">
      <alignment horizontal="left" vertical="center"/>
    </xf>
    <xf numFmtId="0" fontId="5" fillId="0" borderId="77" xfId="2" applyFont="1" applyBorder="1" applyAlignment="1">
      <alignment horizontal="left" vertical="center"/>
    </xf>
    <xf numFmtId="0" fontId="5" fillId="0" borderId="83" xfId="2" applyFont="1" applyBorder="1" applyAlignment="1">
      <alignment horizontal="left" vertical="center"/>
    </xf>
    <xf numFmtId="0" fontId="5" fillId="0" borderId="32" xfId="2" applyFont="1" applyBorder="1" applyAlignment="1">
      <alignment horizontal="left" vertical="center"/>
    </xf>
    <xf numFmtId="0" fontId="5" fillId="0" borderId="36" xfId="1" applyFont="1" applyBorder="1" applyAlignment="1">
      <alignment horizontal="center" vertical="center"/>
    </xf>
    <xf numFmtId="0" fontId="5" fillId="0" borderId="37" xfId="1" applyFont="1" applyBorder="1" applyAlignment="1">
      <alignment horizontal="center" vertical="center"/>
    </xf>
    <xf numFmtId="0" fontId="5" fillId="0" borderId="38" xfId="1" applyFont="1" applyBorder="1" applyAlignment="1">
      <alignment horizontal="center" vertical="center"/>
    </xf>
    <xf numFmtId="0" fontId="5" fillId="0" borderId="95" xfId="1" applyFont="1" applyBorder="1" applyAlignment="1">
      <alignment horizontal="center" vertical="center"/>
    </xf>
    <xf numFmtId="0" fontId="5" fillId="0" borderId="96" xfId="1" applyFont="1" applyBorder="1" applyAlignment="1">
      <alignment horizontal="center" vertical="center"/>
    </xf>
    <xf numFmtId="0" fontId="5" fillId="0" borderId="42" xfId="1" applyFont="1" applyBorder="1" applyAlignment="1">
      <alignment horizontal="distributed" vertical="center" shrinkToFit="1"/>
    </xf>
    <xf numFmtId="0" fontId="5" fillId="0" borderId="26" xfId="1" applyFont="1" applyBorder="1" applyAlignment="1">
      <alignment horizontal="distributed" vertical="center" shrinkToFit="1"/>
    </xf>
    <xf numFmtId="0" fontId="5" fillId="0" borderId="9" xfId="1" applyFont="1" applyBorder="1" applyAlignment="1">
      <alignment horizontal="distributed" vertical="center" shrinkToFit="1"/>
    </xf>
    <xf numFmtId="0" fontId="7" fillId="0" borderId="66" xfId="1" applyFont="1" applyBorder="1" applyAlignment="1">
      <alignment horizontal="center" vertical="center" wrapText="1" shrinkToFit="1"/>
    </xf>
    <xf numFmtId="0" fontId="7" fillId="0" borderId="62" xfId="1" applyFont="1" applyBorder="1" applyAlignment="1">
      <alignment horizontal="center" vertical="center" wrapText="1" shrinkToFit="1"/>
    </xf>
    <xf numFmtId="0" fontId="7" fillId="0" borderId="25" xfId="1" applyFont="1" applyBorder="1" applyAlignment="1">
      <alignment horizontal="center" vertical="center" wrapText="1" shrinkToFit="1"/>
    </xf>
    <xf numFmtId="0" fontId="7" fillId="0" borderId="0" xfId="1" applyFont="1" applyAlignment="1">
      <alignment horizontal="center" vertical="center" wrapText="1" shrinkToFit="1"/>
    </xf>
    <xf numFmtId="0" fontId="7" fillId="0" borderId="48" xfId="1" applyFont="1" applyBorder="1" applyAlignment="1">
      <alignment horizontal="center" vertical="center" wrapText="1" shrinkToFit="1"/>
    </xf>
    <xf numFmtId="0" fontId="7" fillId="0" borderId="47" xfId="1" applyFont="1" applyBorder="1" applyAlignment="1">
      <alignment horizontal="center" vertical="center" wrapText="1" shrinkToFit="1"/>
    </xf>
    <xf numFmtId="0" fontId="5" fillId="0" borderId="66" xfId="1" applyFont="1" applyBorder="1" applyAlignment="1">
      <alignment horizontal="center" vertical="distributed" wrapText="1"/>
    </xf>
    <xf numFmtId="0" fontId="5" fillId="0" borderId="62" xfId="1" applyFont="1" applyBorder="1" applyAlignment="1">
      <alignment horizontal="center" vertical="distributed" wrapText="1"/>
    </xf>
    <xf numFmtId="0" fontId="5" fillId="0" borderId="25" xfId="1" applyFont="1" applyBorder="1" applyAlignment="1">
      <alignment horizontal="center" vertical="distributed" wrapText="1"/>
    </xf>
    <xf numFmtId="0" fontId="5" fillId="0" borderId="0" xfId="1" applyFont="1" applyAlignment="1">
      <alignment horizontal="center" vertical="distributed" wrapText="1"/>
    </xf>
    <xf numFmtId="0" fontId="5" fillId="0" borderId="48" xfId="1" applyFont="1" applyBorder="1" applyAlignment="1">
      <alignment horizontal="center" vertical="distributed" wrapText="1"/>
    </xf>
    <xf numFmtId="0" fontId="5" fillId="0" borderId="47" xfId="1" applyFont="1" applyBorder="1" applyAlignment="1">
      <alignment horizontal="center" vertical="distributed" wrapText="1"/>
    </xf>
    <xf numFmtId="0" fontId="5" fillId="0" borderId="23" xfId="2" applyFont="1" applyBorder="1" applyAlignment="1">
      <alignment horizontal="left" vertical="center"/>
    </xf>
    <xf numFmtId="0" fontId="5" fillId="0" borderId="44" xfId="2" applyFont="1" applyBorder="1" applyAlignment="1">
      <alignment horizontal="left" vertical="center"/>
    </xf>
    <xf numFmtId="0" fontId="5" fillId="0" borderId="13" xfId="2" applyFont="1" applyBorder="1" applyAlignment="1">
      <alignment horizontal="left" vertical="center"/>
    </xf>
    <xf numFmtId="186" fontId="5" fillId="0" borderId="16" xfId="2" applyNumberFormat="1" applyFont="1" applyBorder="1" applyAlignment="1">
      <alignment horizontal="distributed" vertical="center" justifyLastLine="1"/>
    </xf>
    <xf numFmtId="186" fontId="5" fillId="0" borderId="83" xfId="2" applyNumberFormat="1" applyFont="1" applyBorder="1" applyAlignment="1">
      <alignment horizontal="distributed" vertical="center" justifyLastLine="1"/>
    </xf>
    <xf numFmtId="186" fontId="5" fillId="0" borderId="18" xfId="2" applyNumberFormat="1" applyFont="1" applyBorder="1" applyAlignment="1">
      <alignment horizontal="distributed" vertical="center" justifyLastLine="1"/>
    </xf>
    <xf numFmtId="0" fontId="5" fillId="0" borderId="37" xfId="2" applyFont="1" applyBorder="1" applyAlignment="1">
      <alignment horizontal="center" vertical="center"/>
    </xf>
    <xf numFmtId="0" fontId="5" fillId="0" borderId="38" xfId="2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distributed" textRotation="255" justifyLastLine="1"/>
    </xf>
    <xf numFmtId="0" fontId="5" fillId="0" borderId="10" xfId="1" applyFont="1" applyBorder="1" applyAlignment="1">
      <alignment horizontal="center" vertical="distributed" textRotation="255" justifyLastLine="1"/>
    </xf>
    <xf numFmtId="0" fontId="5" fillId="0" borderId="27" xfId="1" applyFont="1" applyBorder="1" applyAlignment="1">
      <alignment horizontal="center" vertical="distributed" textRotation="255" justifyLastLine="1"/>
    </xf>
    <xf numFmtId="0" fontId="5" fillId="0" borderId="72" xfId="1" applyFont="1" applyBorder="1" applyAlignment="1">
      <alignment horizontal="center" vertical="distributed" textRotation="255" justifyLastLine="1"/>
    </xf>
    <xf numFmtId="0" fontId="5" fillId="0" borderId="41" xfId="1" applyFont="1" applyBorder="1" applyAlignment="1">
      <alignment horizontal="center" vertical="distributed" textRotation="255" justifyLastLine="1"/>
    </xf>
    <xf numFmtId="0" fontId="5" fillId="0" borderId="72" xfId="1" applyFont="1" applyBorder="1" applyAlignment="1">
      <alignment horizontal="distributed" vertical="distributed" textRotation="255" justifyLastLine="1"/>
    </xf>
    <xf numFmtId="0" fontId="5" fillId="0" borderId="41" xfId="1" applyFont="1" applyBorder="1" applyAlignment="1">
      <alignment horizontal="distributed" vertical="distributed" textRotation="255" justifyLastLine="1"/>
    </xf>
    <xf numFmtId="0" fontId="5" fillId="0" borderId="72" xfId="1" applyFont="1" applyBorder="1" applyAlignment="1">
      <alignment horizontal="distributed" vertical="center"/>
    </xf>
    <xf numFmtId="0" fontId="5" fillId="0" borderId="92" xfId="1" applyFont="1" applyBorder="1" applyAlignment="1">
      <alignment horizontal="distributed" vertical="center"/>
    </xf>
    <xf numFmtId="0" fontId="5" fillId="0" borderId="21" xfId="1" applyFont="1" applyBorder="1" applyAlignment="1">
      <alignment horizontal="distributed" vertical="center"/>
    </xf>
    <xf numFmtId="0" fontId="5" fillId="0" borderId="41" xfId="1" applyFont="1" applyBorder="1" applyAlignment="1">
      <alignment horizontal="distributed" vertical="center"/>
    </xf>
    <xf numFmtId="0" fontId="5" fillId="0" borderId="8" xfId="1" applyFont="1" applyBorder="1" applyAlignment="1">
      <alignment horizontal="distributed" vertical="center"/>
    </xf>
    <xf numFmtId="0" fontId="5" fillId="0" borderId="97" xfId="1" applyFont="1" applyBorder="1" applyAlignment="1">
      <alignment horizontal="center" vertical="center"/>
    </xf>
    <xf numFmtId="186" fontId="5" fillId="0" borderId="17" xfId="2" applyNumberFormat="1" applyFont="1" applyBorder="1" applyAlignment="1">
      <alignment horizontal="distributed" vertical="center" justifyLastLine="1"/>
    </xf>
    <xf numFmtId="0" fontId="5" fillId="0" borderId="43" xfId="1" applyFont="1" applyBorder="1" applyAlignment="1">
      <alignment horizontal="center" vertical="distributed" textRotation="255" justifyLastLine="1"/>
    </xf>
    <xf numFmtId="0" fontId="5" fillId="0" borderId="43" xfId="1" applyFont="1" applyBorder="1" applyAlignment="1">
      <alignment horizontal="distributed" vertical="center"/>
    </xf>
    <xf numFmtId="0" fontId="5" fillId="0" borderId="12" xfId="1" applyFont="1" applyBorder="1" applyAlignment="1">
      <alignment horizontal="distributed" vertical="center"/>
    </xf>
    <xf numFmtId="0" fontId="5" fillId="0" borderId="74" xfId="1" applyFont="1" applyBorder="1" applyAlignment="1">
      <alignment horizontal="distributed" vertical="center"/>
    </xf>
    <xf numFmtId="0" fontId="5" fillId="0" borderId="67" xfId="1" applyFont="1" applyBorder="1" applyAlignment="1">
      <alignment horizontal="distributed" vertical="center"/>
    </xf>
    <xf numFmtId="0" fontId="5" fillId="0" borderId="74" xfId="1" applyFont="1" applyBorder="1" applyAlignment="1">
      <alignment vertical="distributed" textRotation="255" justifyLastLine="1"/>
    </xf>
    <xf numFmtId="0" fontId="5" fillId="0" borderId="68" xfId="1" applyFont="1" applyBorder="1" applyAlignment="1">
      <alignment vertical="distributed" textRotation="255" justifyLastLine="1"/>
    </xf>
    <xf numFmtId="0" fontId="5" fillId="0" borderId="46" xfId="1" applyFont="1" applyBorder="1" applyAlignment="1">
      <alignment vertical="distributed" textRotation="255" justifyLastLine="1"/>
    </xf>
    <xf numFmtId="0" fontId="5" fillId="0" borderId="0" xfId="2" applyFont="1" applyAlignment="1">
      <alignment horizontal="distributed" vertical="center"/>
    </xf>
    <xf numFmtId="180" fontId="5" fillId="0" borderId="0" xfId="2" applyNumberFormat="1" applyFont="1" applyAlignment="1">
      <alignment horizontal="center" vertical="center"/>
    </xf>
    <xf numFmtId="180" fontId="5" fillId="0" borderId="0" xfId="2" applyNumberFormat="1" applyFont="1" applyAlignment="1">
      <alignment vertical="center"/>
    </xf>
    <xf numFmtId="0" fontId="5" fillId="0" borderId="40" xfId="1" applyFont="1" applyBorder="1" applyAlignment="1">
      <alignment vertical="distributed" textRotation="255" justifyLastLine="1"/>
    </xf>
    <xf numFmtId="0" fontId="5" fillId="0" borderId="1" xfId="1" applyFont="1" applyBorder="1" applyAlignment="1">
      <alignment horizontal="center" vertical="distributed" textRotation="255" justifyLastLine="1"/>
    </xf>
    <xf numFmtId="0" fontId="5" fillId="0" borderId="3" xfId="1" applyFont="1" applyBorder="1" applyAlignment="1">
      <alignment horizontal="center" vertical="distributed" textRotation="255" justifyLastLine="1"/>
    </xf>
    <xf numFmtId="0" fontId="5" fillId="0" borderId="0" xfId="2" applyFont="1" applyAlignment="1">
      <alignment horizontal="distributed" vertical="center" justifyLastLine="1"/>
    </xf>
    <xf numFmtId="0" fontId="5" fillId="0" borderId="61" xfId="2" applyFont="1" applyBorder="1" applyAlignment="1">
      <alignment horizontal="left" vertical="center"/>
    </xf>
    <xf numFmtId="0" fontId="5" fillId="0" borderId="62" xfId="2" applyFont="1" applyBorder="1" applyAlignment="1">
      <alignment horizontal="left" vertical="center"/>
    </xf>
    <xf numFmtId="0" fontId="5" fillId="0" borderId="49" xfId="2" applyFont="1" applyBorder="1" applyAlignment="1">
      <alignment horizontal="left" vertical="center"/>
    </xf>
    <xf numFmtId="0" fontId="5" fillId="0" borderId="41" xfId="1" applyFont="1" applyBorder="1" applyAlignment="1">
      <alignment horizontal="distributed" vertical="center" shrinkToFit="1"/>
    </xf>
    <xf numFmtId="0" fontId="5" fillId="0" borderId="8" xfId="1" applyFont="1" applyBorder="1" applyAlignment="1">
      <alignment horizontal="distributed" vertical="center" shrinkToFit="1"/>
    </xf>
    <xf numFmtId="0" fontId="5" fillId="0" borderId="31" xfId="1" applyFont="1" applyBorder="1" applyAlignment="1">
      <alignment horizontal="center" vertical="distributed" textRotation="255" justifyLastLine="1"/>
    </xf>
    <xf numFmtId="0" fontId="5" fillId="0" borderId="7" xfId="1" applyFont="1" applyBorder="1" applyAlignment="1">
      <alignment horizontal="center" vertical="distributed" textRotation="255" justifyLastLine="1"/>
    </xf>
    <xf numFmtId="0" fontId="5" fillId="0" borderId="11" xfId="1" applyFont="1" applyBorder="1" applyAlignment="1">
      <alignment horizontal="center" vertical="distributed" textRotation="255" justifyLastLine="1"/>
    </xf>
    <xf numFmtId="0" fontId="13" fillId="0" borderId="26" xfId="0" applyFont="1" applyBorder="1" applyAlignment="1">
      <alignment horizontal="distributed" vertical="center"/>
    </xf>
    <xf numFmtId="0" fontId="13" fillId="0" borderId="9" xfId="0" applyFont="1" applyBorder="1" applyAlignment="1">
      <alignment horizontal="distributed" vertical="center"/>
    </xf>
    <xf numFmtId="0" fontId="5" fillId="0" borderId="20" xfId="1" applyFont="1" applyBorder="1" applyAlignment="1">
      <alignment vertical="distributed" textRotation="255" justifyLastLine="1"/>
    </xf>
    <xf numFmtId="0" fontId="5" fillId="0" borderId="1" xfId="1" applyFont="1" applyBorder="1" applyAlignment="1">
      <alignment vertical="distributed" textRotation="255" justifyLastLine="1"/>
    </xf>
    <xf numFmtId="0" fontId="5" fillId="0" borderId="3" xfId="1" applyFont="1" applyBorder="1" applyAlignment="1">
      <alignment vertical="distributed" textRotation="255" justifyLastLine="1"/>
    </xf>
    <xf numFmtId="0" fontId="5" fillId="0" borderId="39" xfId="1" applyFont="1" applyBorder="1" applyAlignment="1">
      <alignment vertical="distributed" textRotation="255" justifyLastLine="1"/>
    </xf>
    <xf numFmtId="0" fontId="5" fillId="0" borderId="41" xfId="0" applyFont="1" applyBorder="1" applyAlignment="1">
      <alignment horizontal="distributed" vertical="center"/>
    </xf>
    <xf numFmtId="0" fontId="5" fillId="0" borderId="8" xfId="0" applyFont="1" applyBorder="1" applyAlignment="1">
      <alignment horizontal="distributed" vertical="center"/>
    </xf>
    <xf numFmtId="0" fontId="5" fillId="0" borderId="74" xfId="0" applyFont="1" applyBorder="1" applyAlignment="1">
      <alignment horizontal="center" vertical="center" textRotation="255" shrinkToFit="1"/>
    </xf>
    <xf numFmtId="0" fontId="5" fillId="0" borderId="68" xfId="0" applyFont="1" applyBorder="1" applyAlignment="1">
      <alignment horizontal="center" vertical="center" textRotation="255" shrinkToFit="1"/>
    </xf>
    <xf numFmtId="0" fontId="5" fillId="0" borderId="40" xfId="0" applyFont="1" applyBorder="1" applyAlignment="1">
      <alignment horizontal="center" vertical="center" textRotation="255" shrinkToFit="1"/>
    </xf>
    <xf numFmtId="0" fontId="5" fillId="0" borderId="0" xfId="2" applyFont="1" applyAlignment="1">
      <alignment horizontal="center" vertical="center"/>
    </xf>
    <xf numFmtId="0" fontId="5" fillId="0" borderId="36" xfId="1" applyFont="1" applyBorder="1" applyAlignment="1">
      <alignment horizontal="distributed" vertical="distributed"/>
    </xf>
    <xf numFmtId="0" fontId="5" fillId="0" borderId="37" xfId="1" applyFont="1" applyBorder="1" applyAlignment="1">
      <alignment horizontal="distributed" vertical="distributed"/>
    </xf>
    <xf numFmtId="0" fontId="5" fillId="0" borderId="38" xfId="1" applyFont="1" applyBorder="1" applyAlignment="1">
      <alignment horizontal="distributed" vertical="distributed"/>
    </xf>
    <xf numFmtId="0" fontId="5" fillId="0" borderId="36" xfId="2" applyFont="1" applyBorder="1" applyAlignment="1">
      <alignment horizontal="center" vertical="center"/>
    </xf>
    <xf numFmtId="0" fontId="5" fillId="0" borderId="41" xfId="0" applyFont="1" applyBorder="1" applyAlignment="1">
      <alignment horizontal="distributed" vertical="center" shrinkToFit="1"/>
    </xf>
    <xf numFmtId="0" fontId="5" fillId="0" borderId="72" xfId="0" applyFont="1" applyBorder="1" applyAlignment="1">
      <alignment horizontal="center" vertical="distributed" textRotation="255" justifyLastLine="1" shrinkToFit="1"/>
    </xf>
    <xf numFmtId="0" fontId="5" fillId="0" borderId="41" xfId="0" applyFont="1" applyBorder="1" applyAlignment="1">
      <alignment horizontal="center" vertical="distributed" textRotation="255" justifyLastLine="1" shrinkToFit="1"/>
    </xf>
    <xf numFmtId="0" fontId="5" fillId="0" borderId="72" xfId="0" applyFont="1" applyBorder="1" applyAlignment="1">
      <alignment horizontal="distributed" vertical="center"/>
    </xf>
    <xf numFmtId="0" fontId="5" fillId="0" borderId="21" xfId="0" applyFont="1" applyBorder="1" applyAlignment="1">
      <alignment horizontal="distributed" vertical="center"/>
    </xf>
    <xf numFmtId="0" fontId="5" fillId="0" borderId="74" xfId="0" applyFont="1" applyBorder="1" applyAlignment="1">
      <alignment horizontal="center" vertical="distributed" textRotation="255" justifyLastLine="1"/>
    </xf>
    <xf numFmtId="0" fontId="5" fillId="0" borderId="68" xfId="0" applyFont="1" applyBorder="1" applyAlignment="1">
      <alignment horizontal="center" vertical="distributed" textRotation="255" justifyLastLine="1"/>
    </xf>
    <xf numFmtId="0" fontId="5" fillId="0" borderId="46" xfId="0" applyFont="1" applyBorder="1" applyAlignment="1">
      <alignment horizontal="center" vertical="distributed" textRotation="255" justifyLastLine="1"/>
    </xf>
    <xf numFmtId="0" fontId="5" fillId="0" borderId="43" xfId="0" applyFont="1" applyBorder="1" applyAlignment="1">
      <alignment horizontal="distributed" vertical="center" shrinkToFit="1"/>
    </xf>
    <xf numFmtId="0" fontId="5" fillId="0" borderId="43" xfId="0" applyFont="1" applyBorder="1" applyAlignment="1">
      <alignment horizontal="distributed" vertical="center"/>
    </xf>
    <xf numFmtId="0" fontId="5" fillId="0" borderId="12" xfId="0" applyFont="1" applyBorder="1" applyAlignment="1">
      <alignment horizontal="distributed" vertical="center"/>
    </xf>
    <xf numFmtId="0" fontId="5" fillId="0" borderId="36" xfId="1" applyFont="1" applyBorder="1" applyAlignment="1">
      <alignment horizontal="left" vertical="center"/>
    </xf>
    <xf numFmtId="0" fontId="5" fillId="0" borderId="37" xfId="1" applyFont="1" applyBorder="1" applyAlignment="1">
      <alignment horizontal="left" vertical="center"/>
    </xf>
    <xf numFmtId="0" fontId="5" fillId="0" borderId="38" xfId="1" applyFont="1" applyBorder="1" applyAlignment="1">
      <alignment horizontal="left" vertical="center"/>
    </xf>
  </cellXfs>
  <cellStyles count="7">
    <cellStyle name="Normal 4" xfId="6" xr:uid="{00000000-0005-0000-0000-000000000000}"/>
    <cellStyle name="標準" xfId="0" builtinId="0"/>
    <cellStyle name="標準 2" xfId="4" xr:uid="{00000000-0005-0000-0000-000002000000}"/>
    <cellStyle name="標準 2 2" xfId="5" xr:uid="{00000000-0005-0000-0000-000003000000}"/>
    <cellStyle name="標準_GQII0027" xfId="1" xr:uid="{00000000-0005-0000-0000-000004000000}"/>
    <cellStyle name="標準_GQII0033" xfId="2" xr:uid="{00000000-0005-0000-0000-000005000000}"/>
    <cellStyle name="標準_GQII0033 2" xfId="3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45"/>
  <sheetViews>
    <sheetView showGridLines="0" tabSelected="1" zoomScaleNormal="100" zoomScaleSheetLayoutView="100" workbookViewId="0">
      <selection sqref="A1:B1"/>
    </sheetView>
  </sheetViews>
  <sheetFormatPr defaultColWidth="9" defaultRowHeight="12.75" customHeight="1"/>
  <cols>
    <col min="1" max="1" width="3.5" style="2" customWidth="1"/>
    <col min="2" max="4" width="2.625" style="2" customWidth="1"/>
    <col min="5" max="5" width="8.875" style="2" customWidth="1"/>
    <col min="6" max="6" width="9" style="2"/>
    <col min="7" max="7" width="3.625" style="2" customWidth="1"/>
    <col min="8" max="8" width="9.5" style="2" customWidth="1"/>
    <col min="9" max="9" width="8.75" style="2" customWidth="1"/>
    <col min="10" max="10" width="8.375" style="2" customWidth="1"/>
    <col min="11" max="11" width="8.75" style="2" customWidth="1"/>
    <col min="12" max="12" width="7.625" style="2" customWidth="1"/>
    <col min="13" max="13" width="8.625" style="2" customWidth="1"/>
    <col min="14" max="14" width="30.625" style="2" customWidth="1"/>
    <col min="15" max="15" width="11.625" style="2" customWidth="1"/>
    <col min="16" max="17" width="9.5" style="2" customWidth="1"/>
    <col min="18" max="18" width="18.625" style="2" hidden="1" customWidth="1"/>
    <col min="19" max="16384" width="9" style="2"/>
  </cols>
  <sheetData>
    <row r="1" spans="1:18" ht="15" customHeight="1">
      <c r="A1" s="342">
        <v>2019</v>
      </c>
      <c r="B1" s="342"/>
      <c r="C1" s="1" t="s">
        <v>227</v>
      </c>
      <c r="D1" s="1"/>
      <c r="E1" s="1"/>
      <c r="F1" s="1"/>
      <c r="G1" s="1"/>
      <c r="H1" s="1"/>
      <c r="I1" s="1"/>
      <c r="J1" s="1"/>
      <c r="K1" s="3"/>
      <c r="O1" s="323" t="s">
        <v>113</v>
      </c>
      <c r="P1" s="324"/>
      <c r="Q1" s="325"/>
    </row>
    <row r="2" spans="1:18" ht="15" customHeight="1">
      <c r="A2" s="1" t="s">
        <v>161</v>
      </c>
      <c r="B2" s="1"/>
      <c r="C2" s="1"/>
      <c r="D2" s="1"/>
      <c r="E2" s="1"/>
      <c r="F2" s="1"/>
      <c r="G2" s="1"/>
      <c r="H2" s="1"/>
      <c r="I2" s="1"/>
      <c r="J2" s="1"/>
      <c r="K2" s="4"/>
      <c r="O2" s="349"/>
      <c r="P2" s="350"/>
      <c r="Q2" s="351"/>
    </row>
    <row r="3" spans="1:18" ht="14.25" customHeigh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1:18" ht="14.25" customHeight="1" thickBot="1">
      <c r="A4" s="26" t="s">
        <v>0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6"/>
      <c r="N4" s="46"/>
      <c r="O4" s="46"/>
      <c r="P4" s="46"/>
      <c r="Q4" s="46"/>
    </row>
    <row r="5" spans="1:18" ht="15" customHeight="1">
      <c r="A5" s="352" t="s">
        <v>114</v>
      </c>
      <c r="B5" s="353"/>
      <c r="C5" s="353"/>
      <c r="D5" s="353"/>
      <c r="E5" s="353"/>
      <c r="F5" s="353"/>
      <c r="G5" s="356" t="s">
        <v>115</v>
      </c>
      <c r="H5" s="345">
        <f>A1-2000</f>
        <v>19</v>
      </c>
      <c r="I5" s="116" t="s">
        <v>225</v>
      </c>
      <c r="J5" s="343">
        <f>H5-1</f>
        <v>18</v>
      </c>
      <c r="K5" s="117" t="s">
        <v>225</v>
      </c>
      <c r="L5" s="118" t="s">
        <v>116</v>
      </c>
      <c r="M5" s="347" t="s">
        <v>185</v>
      </c>
      <c r="N5" s="358" t="s">
        <v>117</v>
      </c>
      <c r="O5" s="359"/>
      <c r="P5" s="359"/>
      <c r="Q5" s="360"/>
      <c r="R5" s="61"/>
    </row>
    <row r="6" spans="1:18" ht="15" customHeight="1" thickBot="1">
      <c r="A6" s="354"/>
      <c r="B6" s="355"/>
      <c r="C6" s="355"/>
      <c r="D6" s="355"/>
      <c r="E6" s="355"/>
      <c r="F6" s="355"/>
      <c r="G6" s="357"/>
      <c r="H6" s="346"/>
      <c r="I6" s="62" t="s">
        <v>175</v>
      </c>
      <c r="J6" s="344"/>
      <c r="K6" s="62" t="s">
        <v>175</v>
      </c>
      <c r="L6" s="63" t="s">
        <v>175</v>
      </c>
      <c r="M6" s="348"/>
      <c r="N6" s="361"/>
      <c r="O6" s="362"/>
      <c r="P6" s="362"/>
      <c r="Q6" s="363"/>
      <c r="R6" s="76"/>
    </row>
    <row r="7" spans="1:18" ht="14.25" customHeight="1">
      <c r="A7" s="288" t="s">
        <v>118</v>
      </c>
      <c r="B7" s="300" t="s">
        <v>119</v>
      </c>
      <c r="C7" s="301"/>
      <c r="D7" s="301"/>
      <c r="E7" s="301"/>
      <c r="F7" s="302"/>
      <c r="G7" s="86" t="s">
        <v>120</v>
      </c>
      <c r="H7" s="227"/>
      <c r="I7" s="228" t="str">
        <f>IFERROR(H7/$H$29*100,"-")</f>
        <v>-</v>
      </c>
      <c r="J7" s="229"/>
      <c r="K7" s="228" t="str">
        <f>IFERROR(J7/$J$29*100,"-")</f>
        <v>-</v>
      </c>
      <c r="L7" s="230" t="str">
        <f>IF(H7="-", "-", IF(J7="-", "-", IF(ABS(J7)=0, "-", ROUND(100*(H7-J7)/ABS(J7),10))))</f>
        <v>-</v>
      </c>
      <c r="M7" s="231">
        <f>H7-J7</f>
        <v>0</v>
      </c>
      <c r="N7" s="303"/>
      <c r="O7" s="304"/>
      <c r="P7" s="304"/>
      <c r="Q7" s="305"/>
      <c r="R7" s="77"/>
    </row>
    <row r="8" spans="1:18" ht="14.25" customHeight="1">
      <c r="A8" s="288"/>
      <c r="B8" s="301"/>
      <c r="C8" s="295" t="s">
        <v>121</v>
      </c>
      <c r="D8" s="295"/>
      <c r="E8" s="295"/>
      <c r="F8" s="296"/>
      <c r="G8" s="87" t="s">
        <v>122</v>
      </c>
      <c r="H8" s="232"/>
      <c r="I8" s="233" t="str">
        <f t="shared" ref="I8:I29" si="0">IFERROR(H8/$H$29*100,"-")</f>
        <v>-</v>
      </c>
      <c r="J8" s="234"/>
      <c r="K8" s="233" t="str">
        <f t="shared" ref="K8:K29" si="1">IFERROR(J8/$J$29*100,"-")</f>
        <v>-</v>
      </c>
      <c r="L8" s="235" t="str">
        <f t="shared" ref="L8:L45" si="2">IF(H8="-", "-", IF(J8="-", "-", IF(ABS(J8)=0, "-", ROUND(100*(H8-J8)/ABS(J8),10))))</f>
        <v>-</v>
      </c>
      <c r="M8" s="236">
        <f t="shared" ref="M8:M45" si="3">H8-J8</f>
        <v>0</v>
      </c>
      <c r="N8" s="292"/>
      <c r="O8" s="293"/>
      <c r="P8" s="293"/>
      <c r="Q8" s="294"/>
      <c r="R8" s="78"/>
    </row>
    <row r="9" spans="1:18" ht="14.25" customHeight="1">
      <c r="A9" s="288"/>
      <c r="B9" s="295"/>
      <c r="C9" s="295" t="s">
        <v>123</v>
      </c>
      <c r="D9" s="295"/>
      <c r="E9" s="295"/>
      <c r="F9" s="296"/>
      <c r="G9" s="87" t="s">
        <v>122</v>
      </c>
      <c r="H9" s="232"/>
      <c r="I9" s="233" t="str">
        <f t="shared" si="0"/>
        <v>-</v>
      </c>
      <c r="J9" s="234"/>
      <c r="K9" s="233" t="str">
        <f t="shared" si="1"/>
        <v>-</v>
      </c>
      <c r="L9" s="235" t="str">
        <f t="shared" si="2"/>
        <v>-</v>
      </c>
      <c r="M9" s="236">
        <f t="shared" si="3"/>
        <v>0</v>
      </c>
      <c r="N9" s="292"/>
      <c r="O9" s="293"/>
      <c r="P9" s="293"/>
      <c r="Q9" s="294"/>
      <c r="R9" s="78"/>
    </row>
    <row r="10" spans="1:18" ht="14.25" customHeight="1">
      <c r="A10" s="288"/>
      <c r="B10" s="295"/>
      <c r="C10" s="295" t="s">
        <v>124</v>
      </c>
      <c r="D10" s="295"/>
      <c r="E10" s="295"/>
      <c r="F10" s="296"/>
      <c r="G10" s="87" t="s">
        <v>122</v>
      </c>
      <c r="H10" s="232"/>
      <c r="I10" s="233" t="str">
        <f t="shared" si="0"/>
        <v>-</v>
      </c>
      <c r="J10" s="234"/>
      <c r="K10" s="233" t="str">
        <f t="shared" si="1"/>
        <v>-</v>
      </c>
      <c r="L10" s="235" t="str">
        <f t="shared" si="2"/>
        <v>-</v>
      </c>
      <c r="M10" s="236">
        <f t="shared" si="3"/>
        <v>0</v>
      </c>
      <c r="N10" s="292"/>
      <c r="O10" s="293"/>
      <c r="P10" s="293"/>
      <c r="Q10" s="294"/>
      <c r="R10" s="78"/>
    </row>
    <row r="11" spans="1:18" ht="14.25" customHeight="1">
      <c r="A11" s="288"/>
      <c r="B11" s="295"/>
      <c r="C11" s="295" t="s">
        <v>125</v>
      </c>
      <c r="D11" s="295"/>
      <c r="E11" s="295"/>
      <c r="F11" s="296"/>
      <c r="G11" s="87" t="s">
        <v>122</v>
      </c>
      <c r="H11" s="232"/>
      <c r="I11" s="233" t="str">
        <f t="shared" si="0"/>
        <v>-</v>
      </c>
      <c r="J11" s="234"/>
      <c r="K11" s="233" t="str">
        <f t="shared" si="1"/>
        <v>-</v>
      </c>
      <c r="L11" s="235" t="str">
        <f t="shared" si="2"/>
        <v>-</v>
      </c>
      <c r="M11" s="236">
        <f t="shared" si="3"/>
        <v>0</v>
      </c>
      <c r="N11" s="292"/>
      <c r="O11" s="293"/>
      <c r="P11" s="293"/>
      <c r="Q11" s="294"/>
      <c r="R11" s="78"/>
    </row>
    <row r="12" spans="1:18" ht="14.25" customHeight="1">
      <c r="A12" s="288"/>
      <c r="B12" s="295"/>
      <c r="C12" s="295" t="s">
        <v>126</v>
      </c>
      <c r="D12" s="295"/>
      <c r="E12" s="295"/>
      <c r="F12" s="296"/>
      <c r="G12" s="87" t="s">
        <v>122</v>
      </c>
      <c r="H12" s="232"/>
      <c r="I12" s="233" t="str">
        <f t="shared" si="0"/>
        <v>-</v>
      </c>
      <c r="J12" s="234"/>
      <c r="K12" s="233" t="str">
        <f t="shared" si="1"/>
        <v>-</v>
      </c>
      <c r="L12" s="235" t="str">
        <f t="shared" si="2"/>
        <v>-</v>
      </c>
      <c r="M12" s="236">
        <f t="shared" si="3"/>
        <v>0</v>
      </c>
      <c r="N12" s="292"/>
      <c r="O12" s="293"/>
      <c r="P12" s="293"/>
      <c r="Q12" s="294"/>
      <c r="R12" s="78"/>
    </row>
    <row r="13" spans="1:18" ht="14.25" customHeight="1">
      <c r="A13" s="288"/>
      <c r="B13" s="295"/>
      <c r="C13" s="295" t="s">
        <v>127</v>
      </c>
      <c r="D13" s="295"/>
      <c r="E13" s="295"/>
      <c r="F13" s="296"/>
      <c r="G13" s="87" t="s">
        <v>122</v>
      </c>
      <c r="H13" s="232"/>
      <c r="I13" s="233" t="str">
        <f t="shared" si="0"/>
        <v>-</v>
      </c>
      <c r="J13" s="234"/>
      <c r="K13" s="233" t="str">
        <f t="shared" si="1"/>
        <v>-</v>
      </c>
      <c r="L13" s="235" t="str">
        <f t="shared" si="2"/>
        <v>-</v>
      </c>
      <c r="M13" s="236">
        <f t="shared" si="3"/>
        <v>0</v>
      </c>
      <c r="N13" s="292"/>
      <c r="O13" s="293"/>
      <c r="P13" s="293"/>
      <c r="Q13" s="294"/>
      <c r="R13" s="78"/>
    </row>
    <row r="14" spans="1:18" ht="14.25" customHeight="1">
      <c r="A14" s="288"/>
      <c r="B14" s="295"/>
      <c r="C14" s="295" t="s">
        <v>128</v>
      </c>
      <c r="D14" s="295"/>
      <c r="E14" s="295"/>
      <c r="F14" s="296"/>
      <c r="G14" s="87" t="s">
        <v>122</v>
      </c>
      <c r="H14" s="232"/>
      <c r="I14" s="233" t="str">
        <f t="shared" si="0"/>
        <v>-</v>
      </c>
      <c r="J14" s="234"/>
      <c r="K14" s="233" t="str">
        <f t="shared" si="1"/>
        <v>-</v>
      </c>
      <c r="L14" s="235" t="str">
        <f t="shared" si="2"/>
        <v>-</v>
      </c>
      <c r="M14" s="236">
        <f t="shared" si="3"/>
        <v>0</v>
      </c>
      <c r="N14" s="292"/>
      <c r="O14" s="293"/>
      <c r="P14" s="293"/>
      <c r="Q14" s="294"/>
      <c r="R14" s="78"/>
    </row>
    <row r="15" spans="1:18" ht="14.25" customHeight="1">
      <c r="A15" s="288"/>
      <c r="B15" s="295"/>
      <c r="C15" s="290" t="s">
        <v>129</v>
      </c>
      <c r="D15" s="290"/>
      <c r="E15" s="290"/>
      <c r="F15" s="291"/>
      <c r="G15" s="87" t="s">
        <v>122</v>
      </c>
      <c r="H15" s="232"/>
      <c r="I15" s="233" t="str">
        <f t="shared" si="0"/>
        <v>-</v>
      </c>
      <c r="J15" s="234"/>
      <c r="K15" s="233" t="str">
        <f t="shared" si="1"/>
        <v>-</v>
      </c>
      <c r="L15" s="235" t="str">
        <f t="shared" si="2"/>
        <v>-</v>
      </c>
      <c r="M15" s="236">
        <f t="shared" si="3"/>
        <v>0</v>
      </c>
      <c r="N15" s="292"/>
      <c r="O15" s="293"/>
      <c r="P15" s="293"/>
      <c r="Q15" s="294"/>
      <c r="R15" s="78"/>
    </row>
    <row r="16" spans="1:18" ht="14.25" customHeight="1">
      <c r="A16" s="288"/>
      <c r="B16" s="295"/>
      <c r="C16" s="298" t="s">
        <v>130</v>
      </c>
      <c r="D16" s="298"/>
      <c r="E16" s="298"/>
      <c r="F16" s="299"/>
      <c r="G16" s="87" t="s">
        <v>122</v>
      </c>
      <c r="H16" s="232"/>
      <c r="I16" s="233" t="str">
        <f t="shared" si="0"/>
        <v>-</v>
      </c>
      <c r="J16" s="234"/>
      <c r="K16" s="233" t="str">
        <f t="shared" si="1"/>
        <v>-</v>
      </c>
      <c r="L16" s="235" t="str">
        <f t="shared" si="2"/>
        <v>-</v>
      </c>
      <c r="M16" s="236">
        <f t="shared" si="3"/>
        <v>0</v>
      </c>
      <c r="N16" s="292"/>
      <c r="O16" s="293"/>
      <c r="P16" s="293"/>
      <c r="Q16" s="294"/>
      <c r="R16" s="78"/>
    </row>
    <row r="17" spans="1:18" ht="14.25" customHeight="1">
      <c r="A17" s="288"/>
      <c r="B17" s="295"/>
      <c r="C17" s="74"/>
      <c r="D17" s="296" t="s">
        <v>131</v>
      </c>
      <c r="E17" s="297"/>
      <c r="F17" s="297"/>
      <c r="G17" s="87" t="s">
        <v>122</v>
      </c>
      <c r="H17" s="232"/>
      <c r="I17" s="233" t="str">
        <f t="shared" si="0"/>
        <v>-</v>
      </c>
      <c r="J17" s="234"/>
      <c r="K17" s="233" t="str">
        <f t="shared" si="1"/>
        <v>-</v>
      </c>
      <c r="L17" s="235" t="str">
        <f t="shared" si="2"/>
        <v>-</v>
      </c>
      <c r="M17" s="236">
        <f t="shared" si="3"/>
        <v>0</v>
      </c>
      <c r="N17" s="292"/>
      <c r="O17" s="293"/>
      <c r="P17" s="293"/>
      <c r="Q17" s="294"/>
      <c r="R17" s="78"/>
    </row>
    <row r="18" spans="1:18" ht="14.25" customHeight="1">
      <c r="A18" s="288"/>
      <c r="B18" s="295"/>
      <c r="C18" s="298" t="s">
        <v>132</v>
      </c>
      <c r="D18" s="298"/>
      <c r="E18" s="298"/>
      <c r="F18" s="299"/>
      <c r="G18" s="87" t="s">
        <v>122</v>
      </c>
      <c r="H18" s="232"/>
      <c r="I18" s="233" t="str">
        <f t="shared" si="0"/>
        <v>-</v>
      </c>
      <c r="J18" s="234"/>
      <c r="K18" s="233" t="str">
        <f t="shared" si="1"/>
        <v>-</v>
      </c>
      <c r="L18" s="235" t="str">
        <f t="shared" si="2"/>
        <v>-</v>
      </c>
      <c r="M18" s="236">
        <f t="shared" si="3"/>
        <v>0</v>
      </c>
      <c r="N18" s="292"/>
      <c r="O18" s="293"/>
      <c r="P18" s="293"/>
      <c r="Q18" s="294"/>
      <c r="R18" s="78"/>
    </row>
    <row r="19" spans="1:18" ht="14.25" customHeight="1">
      <c r="A19" s="288"/>
      <c r="B19" s="295"/>
      <c r="C19" s="74"/>
      <c r="D19" s="296" t="s">
        <v>131</v>
      </c>
      <c r="E19" s="297"/>
      <c r="F19" s="297"/>
      <c r="G19" s="87" t="s">
        <v>122</v>
      </c>
      <c r="H19" s="232"/>
      <c r="I19" s="233" t="str">
        <f t="shared" si="0"/>
        <v>-</v>
      </c>
      <c r="J19" s="234"/>
      <c r="K19" s="233" t="str">
        <f t="shared" si="1"/>
        <v>-</v>
      </c>
      <c r="L19" s="235" t="str">
        <f t="shared" si="2"/>
        <v>-</v>
      </c>
      <c r="M19" s="236">
        <f t="shared" si="3"/>
        <v>0</v>
      </c>
      <c r="N19" s="292"/>
      <c r="O19" s="293"/>
      <c r="P19" s="293"/>
      <c r="Q19" s="294"/>
      <c r="R19" s="78"/>
    </row>
    <row r="20" spans="1:18" ht="14.25" customHeight="1">
      <c r="A20" s="288"/>
      <c r="B20" s="295"/>
      <c r="C20" s="298" t="s">
        <v>133</v>
      </c>
      <c r="D20" s="298"/>
      <c r="E20" s="298"/>
      <c r="F20" s="299"/>
      <c r="G20" s="87" t="s">
        <v>122</v>
      </c>
      <c r="H20" s="232"/>
      <c r="I20" s="233" t="str">
        <f t="shared" si="0"/>
        <v>-</v>
      </c>
      <c r="J20" s="234"/>
      <c r="K20" s="233" t="str">
        <f t="shared" si="1"/>
        <v>-</v>
      </c>
      <c r="L20" s="235" t="str">
        <f t="shared" si="2"/>
        <v>-</v>
      </c>
      <c r="M20" s="236">
        <f t="shared" si="3"/>
        <v>0</v>
      </c>
      <c r="N20" s="292"/>
      <c r="O20" s="293"/>
      <c r="P20" s="293"/>
      <c r="Q20" s="294"/>
      <c r="R20" s="78"/>
    </row>
    <row r="21" spans="1:18" ht="14.25" customHeight="1">
      <c r="A21" s="288"/>
      <c r="B21" s="295"/>
      <c r="C21" s="74"/>
      <c r="D21" s="296" t="s">
        <v>131</v>
      </c>
      <c r="E21" s="297"/>
      <c r="F21" s="297"/>
      <c r="G21" s="87" t="s">
        <v>122</v>
      </c>
      <c r="H21" s="232"/>
      <c r="I21" s="233" t="str">
        <f t="shared" si="0"/>
        <v>-</v>
      </c>
      <c r="J21" s="234"/>
      <c r="K21" s="233" t="str">
        <f t="shared" si="1"/>
        <v>-</v>
      </c>
      <c r="L21" s="235" t="str">
        <f t="shared" si="2"/>
        <v>-</v>
      </c>
      <c r="M21" s="236">
        <f t="shared" si="3"/>
        <v>0</v>
      </c>
      <c r="N21" s="292"/>
      <c r="O21" s="293"/>
      <c r="P21" s="293"/>
      <c r="Q21" s="294"/>
      <c r="R21" s="78"/>
    </row>
    <row r="22" spans="1:18" ht="14.25" customHeight="1">
      <c r="A22" s="288"/>
      <c r="B22" s="295"/>
      <c r="C22" s="298" t="s">
        <v>134</v>
      </c>
      <c r="D22" s="298"/>
      <c r="E22" s="298"/>
      <c r="F22" s="299"/>
      <c r="G22" s="88" t="s">
        <v>122</v>
      </c>
      <c r="H22" s="232"/>
      <c r="I22" s="233" t="str">
        <f t="shared" si="0"/>
        <v>-</v>
      </c>
      <c r="J22" s="234"/>
      <c r="K22" s="233" t="str">
        <f t="shared" si="1"/>
        <v>-</v>
      </c>
      <c r="L22" s="235" t="str">
        <f t="shared" si="2"/>
        <v>-</v>
      </c>
      <c r="M22" s="236">
        <f t="shared" si="3"/>
        <v>0</v>
      </c>
      <c r="N22" s="292"/>
      <c r="O22" s="293"/>
      <c r="P22" s="293"/>
      <c r="Q22" s="294"/>
      <c r="R22" s="78"/>
    </row>
    <row r="23" spans="1:18" ht="14.25" customHeight="1">
      <c r="A23" s="288"/>
      <c r="B23" s="295"/>
      <c r="C23" s="74"/>
      <c r="D23" s="296" t="s">
        <v>131</v>
      </c>
      <c r="E23" s="297"/>
      <c r="F23" s="297"/>
      <c r="G23" s="87" t="s">
        <v>122</v>
      </c>
      <c r="H23" s="232"/>
      <c r="I23" s="233" t="str">
        <f t="shared" si="0"/>
        <v>-</v>
      </c>
      <c r="J23" s="234"/>
      <c r="K23" s="233" t="str">
        <f t="shared" si="1"/>
        <v>-</v>
      </c>
      <c r="L23" s="235" t="str">
        <f t="shared" si="2"/>
        <v>-</v>
      </c>
      <c r="M23" s="236">
        <f t="shared" si="3"/>
        <v>0</v>
      </c>
      <c r="N23" s="292"/>
      <c r="O23" s="293"/>
      <c r="P23" s="293"/>
      <c r="Q23" s="294"/>
      <c r="R23" s="79"/>
    </row>
    <row r="24" spans="1:18" ht="14.25" customHeight="1">
      <c r="A24" s="288"/>
      <c r="B24" s="298" t="s">
        <v>135</v>
      </c>
      <c r="C24" s="298"/>
      <c r="D24" s="298"/>
      <c r="E24" s="298"/>
      <c r="F24" s="299"/>
      <c r="G24" s="87" t="s">
        <v>122</v>
      </c>
      <c r="H24" s="232"/>
      <c r="I24" s="233" t="str">
        <f t="shared" si="0"/>
        <v>-</v>
      </c>
      <c r="J24" s="234"/>
      <c r="K24" s="233" t="str">
        <f t="shared" si="1"/>
        <v>-</v>
      </c>
      <c r="L24" s="235" t="str">
        <f t="shared" si="2"/>
        <v>-</v>
      </c>
      <c r="M24" s="236">
        <f t="shared" si="3"/>
        <v>0</v>
      </c>
      <c r="N24" s="292"/>
      <c r="O24" s="293"/>
      <c r="P24" s="293"/>
      <c r="Q24" s="294"/>
      <c r="R24" s="77"/>
    </row>
    <row r="25" spans="1:18" ht="14.25" customHeight="1">
      <c r="A25" s="288"/>
      <c r="B25" s="302"/>
      <c r="C25" s="64"/>
      <c r="D25" s="296" t="s">
        <v>136</v>
      </c>
      <c r="E25" s="297"/>
      <c r="F25" s="297"/>
      <c r="G25" s="87" t="s">
        <v>122</v>
      </c>
      <c r="H25" s="232"/>
      <c r="I25" s="233" t="str">
        <f t="shared" si="0"/>
        <v>-</v>
      </c>
      <c r="J25" s="234"/>
      <c r="K25" s="233" t="str">
        <f t="shared" si="1"/>
        <v>-</v>
      </c>
      <c r="L25" s="235" t="str">
        <f t="shared" si="2"/>
        <v>-</v>
      </c>
      <c r="M25" s="236">
        <f t="shared" si="3"/>
        <v>0</v>
      </c>
      <c r="N25" s="292"/>
      <c r="O25" s="293"/>
      <c r="P25" s="293"/>
      <c r="Q25" s="294"/>
      <c r="R25" s="78"/>
    </row>
    <row r="26" spans="1:18" ht="14.25" customHeight="1">
      <c r="A26" s="288"/>
      <c r="B26" s="295"/>
      <c r="C26" s="298" t="s">
        <v>137</v>
      </c>
      <c r="D26" s="298"/>
      <c r="E26" s="298"/>
      <c r="F26" s="299"/>
      <c r="G26" s="87" t="s">
        <v>122</v>
      </c>
      <c r="H26" s="232"/>
      <c r="I26" s="233" t="str">
        <f t="shared" si="0"/>
        <v>-</v>
      </c>
      <c r="J26" s="234"/>
      <c r="K26" s="233" t="str">
        <f t="shared" si="1"/>
        <v>-</v>
      </c>
      <c r="L26" s="235" t="str">
        <f t="shared" si="2"/>
        <v>-</v>
      </c>
      <c r="M26" s="236">
        <f t="shared" si="3"/>
        <v>0</v>
      </c>
      <c r="N26" s="292"/>
      <c r="O26" s="293"/>
      <c r="P26" s="293"/>
      <c r="Q26" s="294"/>
      <c r="R26" s="78"/>
    </row>
    <row r="27" spans="1:18" ht="14.25" customHeight="1">
      <c r="A27" s="288"/>
      <c r="B27" s="295"/>
      <c r="C27" s="74"/>
      <c r="D27" s="296" t="s">
        <v>136</v>
      </c>
      <c r="E27" s="297"/>
      <c r="F27" s="297"/>
      <c r="G27" s="87" t="s">
        <v>122</v>
      </c>
      <c r="H27" s="232"/>
      <c r="I27" s="233" t="str">
        <f t="shared" si="0"/>
        <v>-</v>
      </c>
      <c r="J27" s="234"/>
      <c r="K27" s="233" t="str">
        <f t="shared" si="1"/>
        <v>-</v>
      </c>
      <c r="L27" s="235" t="str">
        <f t="shared" si="2"/>
        <v>-</v>
      </c>
      <c r="M27" s="236">
        <f t="shared" si="3"/>
        <v>0</v>
      </c>
      <c r="N27" s="292"/>
      <c r="O27" s="293"/>
      <c r="P27" s="293"/>
      <c r="Q27" s="294"/>
      <c r="R27" s="78"/>
    </row>
    <row r="28" spans="1:18" ht="14.25" customHeight="1">
      <c r="A28" s="288"/>
      <c r="B28" s="295"/>
      <c r="C28" s="295" t="s">
        <v>138</v>
      </c>
      <c r="D28" s="295"/>
      <c r="E28" s="295"/>
      <c r="F28" s="296"/>
      <c r="G28" s="87" t="s">
        <v>122</v>
      </c>
      <c r="H28" s="232"/>
      <c r="I28" s="233" t="str">
        <f t="shared" si="0"/>
        <v>-</v>
      </c>
      <c r="J28" s="234"/>
      <c r="K28" s="233" t="str">
        <f t="shared" si="1"/>
        <v>-</v>
      </c>
      <c r="L28" s="235" t="str">
        <f t="shared" si="2"/>
        <v>-</v>
      </c>
      <c r="M28" s="236">
        <f t="shared" si="3"/>
        <v>0</v>
      </c>
      <c r="N28" s="292"/>
      <c r="O28" s="293"/>
      <c r="P28" s="293"/>
      <c r="Q28" s="294"/>
      <c r="R28" s="79"/>
    </row>
    <row r="29" spans="1:18" ht="14.25" customHeight="1">
      <c r="A29" s="288"/>
      <c r="B29" s="295" t="s">
        <v>139</v>
      </c>
      <c r="C29" s="295"/>
      <c r="D29" s="295"/>
      <c r="E29" s="295"/>
      <c r="F29" s="296"/>
      <c r="G29" s="87" t="s">
        <v>122</v>
      </c>
      <c r="H29" s="232"/>
      <c r="I29" s="233" t="str">
        <f t="shared" si="0"/>
        <v>-</v>
      </c>
      <c r="J29" s="234"/>
      <c r="K29" s="233" t="str">
        <f t="shared" si="1"/>
        <v>-</v>
      </c>
      <c r="L29" s="235" t="str">
        <f t="shared" si="2"/>
        <v>-</v>
      </c>
      <c r="M29" s="236">
        <f t="shared" si="3"/>
        <v>0</v>
      </c>
      <c r="N29" s="292"/>
      <c r="O29" s="293"/>
      <c r="P29" s="293"/>
      <c r="Q29" s="294"/>
      <c r="R29" s="80"/>
    </row>
    <row r="30" spans="1:18" ht="14.25" customHeight="1">
      <c r="A30" s="288"/>
      <c r="B30" s="295" t="s">
        <v>140</v>
      </c>
      <c r="C30" s="295"/>
      <c r="D30" s="295"/>
      <c r="E30" s="295"/>
      <c r="F30" s="296"/>
      <c r="G30" s="87" t="s">
        <v>122</v>
      </c>
      <c r="H30" s="232"/>
      <c r="I30" s="237"/>
      <c r="J30" s="234"/>
      <c r="K30" s="237"/>
      <c r="L30" s="235" t="str">
        <f t="shared" si="2"/>
        <v>-</v>
      </c>
      <c r="M30" s="236">
        <f t="shared" si="3"/>
        <v>0</v>
      </c>
      <c r="N30" s="292"/>
      <c r="O30" s="293"/>
      <c r="P30" s="293"/>
      <c r="Q30" s="294"/>
      <c r="R30" s="75"/>
    </row>
    <row r="31" spans="1:18" ht="14.25" customHeight="1">
      <c r="A31" s="288"/>
      <c r="B31" s="318" t="s">
        <v>141</v>
      </c>
      <c r="C31" s="318"/>
      <c r="D31" s="318"/>
      <c r="E31" s="318"/>
      <c r="F31" s="319"/>
      <c r="G31" s="87" t="s">
        <v>122</v>
      </c>
      <c r="H31" s="232"/>
      <c r="I31" s="237"/>
      <c r="J31" s="234"/>
      <c r="K31" s="237"/>
      <c r="L31" s="235" t="str">
        <f t="shared" si="2"/>
        <v>-</v>
      </c>
      <c r="M31" s="236">
        <f t="shared" si="3"/>
        <v>0</v>
      </c>
      <c r="N31" s="292"/>
      <c r="O31" s="293"/>
      <c r="P31" s="293"/>
      <c r="Q31" s="294"/>
      <c r="R31" s="80"/>
    </row>
    <row r="32" spans="1:18" ht="14.25" customHeight="1">
      <c r="A32" s="288"/>
      <c r="B32" s="295" t="s">
        <v>142</v>
      </c>
      <c r="C32" s="295"/>
      <c r="D32" s="295"/>
      <c r="E32" s="295"/>
      <c r="F32" s="296"/>
      <c r="G32" s="87" t="s">
        <v>122</v>
      </c>
      <c r="H32" s="232"/>
      <c r="I32" s="237"/>
      <c r="J32" s="234"/>
      <c r="K32" s="237"/>
      <c r="L32" s="235" t="str">
        <f t="shared" si="2"/>
        <v>-</v>
      </c>
      <c r="M32" s="236">
        <f t="shared" si="3"/>
        <v>0</v>
      </c>
      <c r="N32" s="292"/>
      <c r="O32" s="293"/>
      <c r="P32" s="293"/>
      <c r="Q32" s="294"/>
      <c r="R32" s="80"/>
    </row>
    <row r="33" spans="1:18" ht="14.25" customHeight="1">
      <c r="A33" s="288"/>
      <c r="B33" s="295" t="s">
        <v>143</v>
      </c>
      <c r="C33" s="295"/>
      <c r="D33" s="295"/>
      <c r="E33" s="295"/>
      <c r="F33" s="296"/>
      <c r="G33" s="87" t="s">
        <v>122</v>
      </c>
      <c r="H33" s="232"/>
      <c r="I33" s="238"/>
      <c r="J33" s="234"/>
      <c r="K33" s="238"/>
      <c r="L33" s="235" t="str">
        <f t="shared" si="2"/>
        <v>-</v>
      </c>
      <c r="M33" s="236">
        <f t="shared" si="3"/>
        <v>0</v>
      </c>
      <c r="N33" s="292"/>
      <c r="O33" s="293"/>
      <c r="P33" s="293"/>
      <c r="Q33" s="294"/>
      <c r="R33" s="80"/>
    </row>
    <row r="34" spans="1:18" ht="14.25" customHeight="1">
      <c r="A34" s="288"/>
      <c r="B34" s="290" t="s">
        <v>144</v>
      </c>
      <c r="C34" s="290"/>
      <c r="D34" s="290"/>
      <c r="E34" s="290"/>
      <c r="F34" s="291"/>
      <c r="G34" s="88" t="s">
        <v>122</v>
      </c>
      <c r="H34" s="232"/>
      <c r="I34" s="237"/>
      <c r="J34" s="234"/>
      <c r="K34" s="237"/>
      <c r="L34" s="235" t="str">
        <f t="shared" si="2"/>
        <v>-</v>
      </c>
      <c r="M34" s="236">
        <f t="shared" si="3"/>
        <v>0</v>
      </c>
      <c r="N34" s="292"/>
      <c r="O34" s="293"/>
      <c r="P34" s="293"/>
      <c r="Q34" s="294"/>
      <c r="R34" s="80"/>
    </row>
    <row r="35" spans="1:18" ht="14.25" customHeight="1">
      <c r="A35" s="288"/>
      <c r="B35" s="295" t="s">
        <v>145</v>
      </c>
      <c r="C35" s="295"/>
      <c r="D35" s="295"/>
      <c r="E35" s="295"/>
      <c r="F35" s="296"/>
      <c r="G35" s="87" t="s">
        <v>122</v>
      </c>
      <c r="H35" s="232"/>
      <c r="I35" s="237"/>
      <c r="J35" s="234"/>
      <c r="K35" s="237"/>
      <c r="L35" s="235" t="str">
        <f t="shared" si="2"/>
        <v>-</v>
      </c>
      <c r="M35" s="236">
        <f t="shared" si="3"/>
        <v>0</v>
      </c>
      <c r="N35" s="292"/>
      <c r="O35" s="293"/>
      <c r="P35" s="293"/>
      <c r="Q35" s="294"/>
      <c r="R35" s="80"/>
    </row>
    <row r="36" spans="1:18" ht="14.25" customHeight="1">
      <c r="A36" s="288"/>
      <c r="B36" s="295" t="s">
        <v>146</v>
      </c>
      <c r="C36" s="295"/>
      <c r="D36" s="295"/>
      <c r="E36" s="295"/>
      <c r="F36" s="296"/>
      <c r="G36" s="87" t="s">
        <v>122</v>
      </c>
      <c r="H36" s="232"/>
      <c r="I36" s="237"/>
      <c r="J36" s="234"/>
      <c r="K36" s="237"/>
      <c r="L36" s="235" t="str">
        <f t="shared" si="2"/>
        <v>-</v>
      </c>
      <c r="M36" s="236">
        <f t="shared" si="3"/>
        <v>0</v>
      </c>
      <c r="N36" s="292"/>
      <c r="O36" s="293"/>
      <c r="P36" s="293"/>
      <c r="Q36" s="294"/>
      <c r="R36" s="80"/>
    </row>
    <row r="37" spans="1:18" ht="14.25" customHeight="1">
      <c r="A37" s="289"/>
      <c r="B37" s="337" t="s">
        <v>147</v>
      </c>
      <c r="C37" s="338"/>
      <c r="D37" s="338"/>
      <c r="E37" s="338"/>
      <c r="F37" s="339"/>
      <c r="G37" s="89" t="s">
        <v>122</v>
      </c>
      <c r="H37" s="232"/>
      <c r="I37" s="239"/>
      <c r="J37" s="240"/>
      <c r="K37" s="239"/>
      <c r="L37" s="257" t="str">
        <f t="shared" si="2"/>
        <v>-</v>
      </c>
      <c r="M37" s="241">
        <f t="shared" si="3"/>
        <v>0</v>
      </c>
      <c r="N37" s="285"/>
      <c r="O37" s="286"/>
      <c r="P37" s="286"/>
      <c r="Q37" s="287"/>
      <c r="R37" s="80"/>
    </row>
    <row r="38" spans="1:18" ht="14.25" customHeight="1">
      <c r="A38" s="340" t="s">
        <v>148</v>
      </c>
      <c r="B38" s="341"/>
      <c r="C38" s="341"/>
      <c r="D38" s="341"/>
      <c r="E38" s="341"/>
      <c r="F38" s="328"/>
      <c r="G38" s="90" t="s">
        <v>122</v>
      </c>
      <c r="H38" s="242"/>
      <c r="I38" s="243"/>
      <c r="J38" s="244"/>
      <c r="K38" s="243"/>
      <c r="L38" s="256" t="str">
        <f t="shared" si="2"/>
        <v>-</v>
      </c>
      <c r="M38" s="245">
        <f t="shared" si="3"/>
        <v>0</v>
      </c>
      <c r="N38" s="306"/>
      <c r="O38" s="307"/>
      <c r="P38" s="307"/>
      <c r="Q38" s="308"/>
      <c r="R38" s="80"/>
    </row>
    <row r="39" spans="1:18" ht="14.25" customHeight="1">
      <c r="A39" s="309" t="s">
        <v>149</v>
      </c>
      <c r="B39" s="310"/>
      <c r="C39" s="310"/>
      <c r="D39" s="310"/>
      <c r="E39" s="310"/>
      <c r="F39" s="311"/>
      <c r="G39" s="87" t="s">
        <v>122</v>
      </c>
      <c r="H39" s="232"/>
      <c r="I39" s="237"/>
      <c r="J39" s="234"/>
      <c r="K39" s="237"/>
      <c r="L39" s="258" t="str">
        <f t="shared" si="2"/>
        <v>-</v>
      </c>
      <c r="M39" s="236">
        <f t="shared" si="3"/>
        <v>0</v>
      </c>
      <c r="N39" s="292"/>
      <c r="O39" s="293"/>
      <c r="P39" s="293"/>
      <c r="Q39" s="294"/>
      <c r="R39" s="80"/>
    </row>
    <row r="40" spans="1:18" ht="14.25" customHeight="1">
      <c r="A40" s="312" t="s">
        <v>150</v>
      </c>
      <c r="B40" s="313"/>
      <c r="C40" s="313"/>
      <c r="D40" s="313"/>
      <c r="E40" s="313"/>
      <c r="F40" s="314"/>
      <c r="G40" s="89" t="s">
        <v>122</v>
      </c>
      <c r="H40" s="246"/>
      <c r="I40" s="239"/>
      <c r="J40" s="240"/>
      <c r="K40" s="239"/>
      <c r="L40" s="259" t="str">
        <f t="shared" si="2"/>
        <v>-</v>
      </c>
      <c r="M40" s="241">
        <f t="shared" si="3"/>
        <v>0</v>
      </c>
      <c r="N40" s="315"/>
      <c r="O40" s="316"/>
      <c r="P40" s="316"/>
      <c r="Q40" s="317"/>
      <c r="R40" s="80"/>
    </row>
    <row r="41" spans="1:18" ht="12.75" customHeight="1">
      <c r="A41" s="326" t="s">
        <v>151</v>
      </c>
      <c r="B41" s="328" t="s">
        <v>152</v>
      </c>
      <c r="C41" s="329"/>
      <c r="D41" s="329"/>
      <c r="E41" s="329"/>
      <c r="F41" s="329"/>
      <c r="G41" s="90" t="s">
        <v>159</v>
      </c>
      <c r="H41" s="242"/>
      <c r="I41" s="243"/>
      <c r="J41" s="244"/>
      <c r="K41" s="243"/>
      <c r="L41" s="256" t="str">
        <f t="shared" si="2"/>
        <v>-</v>
      </c>
      <c r="M41" s="245">
        <f t="shared" si="3"/>
        <v>0</v>
      </c>
      <c r="N41" s="330"/>
      <c r="O41" s="331"/>
      <c r="P41" s="331"/>
      <c r="Q41" s="332"/>
    </row>
    <row r="42" spans="1:18" ht="12.75" customHeight="1">
      <c r="A42" s="288"/>
      <c r="B42" s="296" t="s">
        <v>153</v>
      </c>
      <c r="C42" s="297"/>
      <c r="D42" s="297"/>
      <c r="E42" s="297"/>
      <c r="F42" s="297"/>
      <c r="G42" s="87" t="s">
        <v>120</v>
      </c>
      <c r="H42" s="232"/>
      <c r="I42" s="237"/>
      <c r="J42" s="234"/>
      <c r="K42" s="237"/>
      <c r="L42" s="258" t="str">
        <f t="shared" si="2"/>
        <v>-</v>
      </c>
      <c r="M42" s="236">
        <f t="shared" si="3"/>
        <v>0</v>
      </c>
      <c r="N42" s="292"/>
      <c r="O42" s="293"/>
      <c r="P42" s="293"/>
      <c r="Q42" s="294"/>
    </row>
    <row r="43" spans="1:18" ht="12.75" customHeight="1">
      <c r="A43" s="288"/>
      <c r="B43" s="333" t="s">
        <v>154</v>
      </c>
      <c r="C43" s="334"/>
      <c r="D43" s="334"/>
      <c r="E43" s="334"/>
      <c r="F43" s="334"/>
      <c r="G43" s="87" t="s">
        <v>155</v>
      </c>
      <c r="H43" s="127"/>
      <c r="I43" s="247"/>
      <c r="J43" s="128"/>
      <c r="K43" s="238"/>
      <c r="L43" s="258" t="str">
        <f t="shared" si="2"/>
        <v>-</v>
      </c>
      <c r="M43" s="248">
        <f t="shared" si="3"/>
        <v>0</v>
      </c>
      <c r="N43" s="292"/>
      <c r="O43" s="293"/>
      <c r="P43" s="293"/>
      <c r="Q43" s="294"/>
    </row>
    <row r="44" spans="1:18" ht="12.75" customHeight="1">
      <c r="A44" s="288"/>
      <c r="B44" s="65"/>
      <c r="C44" s="66"/>
      <c r="D44" s="296" t="s">
        <v>136</v>
      </c>
      <c r="E44" s="297"/>
      <c r="F44" s="297"/>
      <c r="G44" s="87" t="s">
        <v>122</v>
      </c>
      <c r="H44" s="127"/>
      <c r="I44" s="249"/>
      <c r="J44" s="128"/>
      <c r="K44" s="237"/>
      <c r="L44" s="258" t="str">
        <f t="shared" si="2"/>
        <v>-</v>
      </c>
      <c r="M44" s="248">
        <f t="shared" si="3"/>
        <v>0</v>
      </c>
      <c r="N44" s="292"/>
      <c r="O44" s="293"/>
      <c r="P44" s="293"/>
      <c r="Q44" s="294"/>
    </row>
    <row r="45" spans="1:18" ht="12.75" customHeight="1" thickBot="1">
      <c r="A45" s="327"/>
      <c r="B45" s="335" t="s">
        <v>221</v>
      </c>
      <c r="C45" s="336"/>
      <c r="D45" s="336"/>
      <c r="E45" s="336"/>
      <c r="F45" s="336"/>
      <c r="G45" s="91" t="s">
        <v>160</v>
      </c>
      <c r="H45" s="129"/>
      <c r="I45" s="250"/>
      <c r="J45" s="130"/>
      <c r="K45" s="251"/>
      <c r="L45" s="252" t="str">
        <f t="shared" si="2"/>
        <v>-</v>
      </c>
      <c r="M45" s="252">
        <f t="shared" si="3"/>
        <v>0</v>
      </c>
      <c r="N45" s="320"/>
      <c r="O45" s="321"/>
      <c r="P45" s="321"/>
      <c r="Q45" s="322"/>
    </row>
  </sheetData>
  <mergeCells count="91">
    <mergeCell ref="A1:B1"/>
    <mergeCell ref="J5:J6"/>
    <mergeCell ref="H5:H6"/>
    <mergeCell ref="M5:M6"/>
    <mergeCell ref="O2:Q2"/>
    <mergeCell ref="A5:F6"/>
    <mergeCell ref="G5:G6"/>
    <mergeCell ref="N5:Q6"/>
    <mergeCell ref="N45:Q45"/>
    <mergeCell ref="N39:Q39"/>
    <mergeCell ref="N18:Q18"/>
    <mergeCell ref="O1:Q1"/>
    <mergeCell ref="A41:A45"/>
    <mergeCell ref="B41:F41"/>
    <mergeCell ref="N41:Q41"/>
    <mergeCell ref="B42:F42"/>
    <mergeCell ref="N42:Q42"/>
    <mergeCell ref="B43:F43"/>
    <mergeCell ref="N43:Q43"/>
    <mergeCell ref="D44:F44"/>
    <mergeCell ref="N44:Q44"/>
    <mergeCell ref="B45:F45"/>
    <mergeCell ref="B37:F37"/>
    <mergeCell ref="A38:F38"/>
    <mergeCell ref="N38:Q38"/>
    <mergeCell ref="A39:F39"/>
    <mergeCell ref="N28:Q28"/>
    <mergeCell ref="A40:F40"/>
    <mergeCell ref="N40:Q40"/>
    <mergeCell ref="B30:F30"/>
    <mergeCell ref="N30:Q30"/>
    <mergeCell ref="B31:F31"/>
    <mergeCell ref="N31:Q31"/>
    <mergeCell ref="B32:F32"/>
    <mergeCell ref="N32:Q32"/>
    <mergeCell ref="B34:F34"/>
    <mergeCell ref="N34:Q34"/>
    <mergeCell ref="B36:F36"/>
    <mergeCell ref="N36:Q36"/>
    <mergeCell ref="B29:F29"/>
    <mergeCell ref="N29:Q29"/>
    <mergeCell ref="B25:B28"/>
    <mergeCell ref="B35:F35"/>
    <mergeCell ref="N35:Q35"/>
    <mergeCell ref="B33:F33"/>
    <mergeCell ref="N33:Q33"/>
    <mergeCell ref="D27:F27"/>
    <mergeCell ref="N27:Q27"/>
    <mergeCell ref="N26:Q26"/>
    <mergeCell ref="C28:F28"/>
    <mergeCell ref="C26:F26"/>
    <mergeCell ref="B7:F7"/>
    <mergeCell ref="N7:Q7"/>
    <mergeCell ref="B8:B23"/>
    <mergeCell ref="C8:F8"/>
    <mergeCell ref="N8:Q8"/>
    <mergeCell ref="C9:F9"/>
    <mergeCell ref="N9:Q9"/>
    <mergeCell ref="C22:F22"/>
    <mergeCell ref="N22:Q22"/>
    <mergeCell ref="D23:F23"/>
    <mergeCell ref="N23:Q23"/>
    <mergeCell ref="C16:F16"/>
    <mergeCell ref="N16:Q16"/>
    <mergeCell ref="D17:F17"/>
    <mergeCell ref="N17:Q17"/>
    <mergeCell ref="C18:F18"/>
    <mergeCell ref="D19:F19"/>
    <mergeCell ref="N19:Q19"/>
    <mergeCell ref="C20:F20"/>
    <mergeCell ref="N20:Q20"/>
    <mergeCell ref="D25:F25"/>
    <mergeCell ref="N25:Q25"/>
    <mergeCell ref="B24:F24"/>
    <mergeCell ref="N24:Q24"/>
    <mergeCell ref="N37:Q37"/>
    <mergeCell ref="A7:A37"/>
    <mergeCell ref="C15:F15"/>
    <mergeCell ref="N15:Q15"/>
    <mergeCell ref="C10:F10"/>
    <mergeCell ref="N10:Q10"/>
    <mergeCell ref="C11:F11"/>
    <mergeCell ref="N11:Q11"/>
    <mergeCell ref="C12:F12"/>
    <mergeCell ref="N12:Q12"/>
    <mergeCell ref="C13:F13"/>
    <mergeCell ref="N13:Q13"/>
    <mergeCell ref="C14:F14"/>
    <mergeCell ref="N14:Q14"/>
    <mergeCell ref="D21:F21"/>
    <mergeCell ref="N21:Q21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J40"/>
  <sheetViews>
    <sheetView showGridLines="0" view="pageBreakPreview" zoomScaleNormal="100" zoomScaleSheetLayoutView="100" workbookViewId="0"/>
  </sheetViews>
  <sheetFormatPr defaultColWidth="9" defaultRowHeight="12.75" customHeight="1"/>
  <cols>
    <col min="1" max="3" width="2.625" style="49" customWidth="1"/>
    <col min="4" max="4" width="7" style="49" customWidth="1"/>
    <col min="5" max="19" width="9.125" style="49" customWidth="1"/>
    <col min="20" max="20" width="3.75" style="49" customWidth="1"/>
    <col min="21" max="21" width="2.625" style="49" customWidth="1"/>
    <col min="22" max="22" width="3.125" style="49" customWidth="1"/>
    <col min="23" max="23" width="2.875" style="49" customWidth="1"/>
    <col min="24" max="24" width="8.375" style="49" customWidth="1"/>
    <col min="25" max="26" width="9.125" style="49" customWidth="1"/>
    <col min="27" max="27" width="10.25" style="49" customWidth="1"/>
    <col min="28" max="28" width="100" style="49" customWidth="1"/>
    <col min="29" max="29" width="9.125" style="49" customWidth="1"/>
    <col min="30" max="30" width="1.75" style="49" customWidth="1"/>
    <col min="31" max="31" width="1.875" style="49" customWidth="1"/>
    <col min="32" max="32" width="2.625" style="49" customWidth="1"/>
    <col min="33" max="33" width="8.625" style="49" customWidth="1"/>
    <col min="34" max="35" width="11.75" style="49" customWidth="1"/>
    <col min="36" max="36" width="6" style="49" bestFit="1" customWidth="1"/>
    <col min="37" max="16384" width="9" style="49"/>
  </cols>
  <sheetData>
    <row r="1" spans="1:36" s="2" customFormat="1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23" t="s">
        <v>113</v>
      </c>
      <c r="R1" s="324"/>
      <c r="S1" s="325"/>
      <c r="T1" s="1"/>
      <c r="V1" s="82"/>
      <c r="W1" s="82"/>
      <c r="X1" s="82"/>
    </row>
    <row r="2" spans="1:36" ht="15" customHeight="1">
      <c r="A2" s="1" t="s">
        <v>162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408" t="str">
        <f>IF(No.1!O2="","",No.1!O2)</f>
        <v/>
      </c>
      <c r="R2" s="409"/>
      <c r="S2" s="410"/>
      <c r="T2" s="1"/>
      <c r="AB2" s="73"/>
      <c r="AE2" s="50"/>
    </row>
    <row r="3" spans="1:36" ht="1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AE3" s="51"/>
      <c r="AF3" s="51"/>
      <c r="AG3" s="52"/>
      <c r="AH3" s="51"/>
      <c r="AI3" s="50"/>
      <c r="AJ3" s="50"/>
    </row>
    <row r="4" spans="1:36" ht="15" customHeight="1">
      <c r="A4" s="5" t="s">
        <v>5</v>
      </c>
      <c r="U4" s="5" t="s">
        <v>6</v>
      </c>
      <c r="AB4"/>
      <c r="AC4"/>
      <c r="AD4"/>
      <c r="AE4"/>
    </row>
    <row r="5" spans="1:36" ht="15" customHeight="1">
      <c r="A5" s="411"/>
      <c r="B5" s="412"/>
      <c r="C5" s="412"/>
      <c r="D5" s="413"/>
      <c r="E5" s="421">
        <f>No.1!H5</f>
        <v>19</v>
      </c>
      <c r="F5" s="419">
        <f>E5-1</f>
        <v>18</v>
      </c>
      <c r="G5" s="6" t="s">
        <v>1</v>
      </c>
      <c r="H5" s="428" t="s">
        <v>242</v>
      </c>
      <c r="I5" s="429"/>
      <c r="J5" s="429"/>
      <c r="K5" s="429"/>
      <c r="L5" s="429"/>
      <c r="M5" s="429"/>
      <c r="N5" s="429"/>
      <c r="O5" s="429"/>
      <c r="P5" s="429"/>
      <c r="Q5" s="429"/>
      <c r="R5" s="429"/>
      <c r="S5" s="430"/>
      <c r="T5" s="46"/>
      <c r="U5" s="411"/>
      <c r="V5" s="412"/>
      <c r="W5" s="412"/>
      <c r="X5" s="413"/>
      <c r="Y5" s="421">
        <f>E5</f>
        <v>19</v>
      </c>
      <c r="Z5" s="419">
        <f>F5</f>
        <v>18</v>
      </c>
      <c r="AA5" s="6" t="s">
        <v>1</v>
      </c>
      <c r="AB5" s="437" t="s">
        <v>242</v>
      </c>
      <c r="AC5" s="46"/>
      <c r="AD5" s="46"/>
      <c r="AE5" s="46"/>
    </row>
    <row r="6" spans="1:36" ht="15" customHeight="1">
      <c r="A6" s="414"/>
      <c r="B6" s="415"/>
      <c r="C6" s="415"/>
      <c r="D6" s="416"/>
      <c r="E6" s="422"/>
      <c r="F6" s="420"/>
      <c r="G6" s="8" t="s">
        <v>163</v>
      </c>
      <c r="H6" s="431"/>
      <c r="I6" s="432"/>
      <c r="J6" s="432"/>
      <c r="K6" s="432"/>
      <c r="L6" s="432"/>
      <c r="M6" s="432"/>
      <c r="N6" s="432"/>
      <c r="O6" s="432"/>
      <c r="P6" s="432"/>
      <c r="Q6" s="432"/>
      <c r="R6" s="432"/>
      <c r="S6" s="433"/>
      <c r="T6" s="46"/>
      <c r="U6" s="414"/>
      <c r="V6" s="415"/>
      <c r="W6" s="415"/>
      <c r="X6" s="416"/>
      <c r="Y6" s="422"/>
      <c r="Z6" s="420"/>
      <c r="AA6" s="8" t="s">
        <v>163</v>
      </c>
      <c r="AB6" s="437"/>
      <c r="AC6" s="46"/>
      <c r="AD6" s="46"/>
      <c r="AE6" s="46"/>
    </row>
    <row r="7" spans="1:36" ht="14.25" customHeight="1">
      <c r="A7" s="417" t="s">
        <v>7</v>
      </c>
      <c r="B7" s="395"/>
      <c r="C7" s="395"/>
      <c r="D7" s="418"/>
      <c r="E7" s="131"/>
      <c r="F7" s="132"/>
      <c r="G7" s="147" t="str">
        <f>IF(E7="-", "-", IF(F7="-", "-", IF(ABS(F7)=0, "-", ROUND(100*(E7-F7)/ABS(F7),10))))</f>
        <v>-</v>
      </c>
      <c r="H7" s="434"/>
      <c r="I7" s="435"/>
      <c r="J7" s="435"/>
      <c r="K7" s="435"/>
      <c r="L7" s="435"/>
      <c r="M7" s="435"/>
      <c r="N7" s="435"/>
      <c r="O7" s="435"/>
      <c r="P7" s="435"/>
      <c r="Q7" s="435"/>
      <c r="R7" s="435"/>
      <c r="S7" s="436"/>
      <c r="T7" s="46"/>
      <c r="U7" s="426" t="s">
        <v>8</v>
      </c>
      <c r="V7" s="382" t="s">
        <v>9</v>
      </c>
      <c r="W7" s="380"/>
      <c r="X7" s="381"/>
      <c r="Y7" s="143"/>
      <c r="Z7" s="144"/>
      <c r="AA7" s="176" t="str">
        <f>IF(Y7="-", "-", IF(Z7="-", "-", IF(ABS(Z7)=0, "-", ROUND(100*(Y7-Z7)/ABS(Z7),10))))</f>
        <v>-</v>
      </c>
      <c r="AB7" s="272"/>
      <c r="AC7" s="46"/>
      <c r="AD7" s="46"/>
      <c r="AE7" s="46"/>
    </row>
    <row r="8" spans="1:36" ht="14.25" customHeight="1">
      <c r="A8" s="83"/>
      <c r="B8" s="423" t="s">
        <v>10</v>
      </c>
      <c r="C8" s="424"/>
      <c r="D8" s="425"/>
      <c r="E8" s="133"/>
      <c r="F8" s="134"/>
      <c r="G8" s="142" t="str">
        <f t="shared" ref="G8:G31" si="0">IF(E8="-", "-", IF(F8="-", "-", IF(ABS(F8)=0, "-", ROUND(100*(E8-F8)/ABS(F8),10))))</f>
        <v>-</v>
      </c>
      <c r="H8" s="364"/>
      <c r="I8" s="365"/>
      <c r="J8" s="365"/>
      <c r="K8" s="365"/>
      <c r="L8" s="365"/>
      <c r="M8" s="365"/>
      <c r="N8" s="365"/>
      <c r="O8" s="365"/>
      <c r="P8" s="365"/>
      <c r="Q8" s="365"/>
      <c r="R8" s="365"/>
      <c r="S8" s="366"/>
      <c r="T8" s="46"/>
      <c r="U8" s="427"/>
      <c r="V8" s="382" t="s">
        <v>11</v>
      </c>
      <c r="W8" s="380"/>
      <c r="X8" s="381"/>
      <c r="Y8" s="145"/>
      <c r="Z8" s="146"/>
      <c r="AA8" s="138" t="str">
        <f t="shared" ref="AA8:AA21" si="1">IF(Y8="-", "-", IF(Z8="-", "-", IF(ABS(Z8)=0, "-", ROUND(100*(Y8-Z8)/ABS(Z8),10))))</f>
        <v>-</v>
      </c>
      <c r="AB8" s="273"/>
      <c r="AC8" s="46"/>
      <c r="AD8" s="46"/>
      <c r="AE8" s="46"/>
    </row>
    <row r="9" spans="1:36" ht="14.25" customHeight="1">
      <c r="A9" s="83"/>
      <c r="B9" s="85"/>
      <c r="C9" s="382" t="s">
        <v>12</v>
      </c>
      <c r="D9" s="381"/>
      <c r="E9" s="133"/>
      <c r="F9" s="134"/>
      <c r="G9" s="142" t="str">
        <f t="shared" si="0"/>
        <v>-</v>
      </c>
      <c r="H9" s="364"/>
      <c r="I9" s="365"/>
      <c r="J9" s="365"/>
      <c r="K9" s="365"/>
      <c r="L9" s="365"/>
      <c r="M9" s="365"/>
      <c r="N9" s="365"/>
      <c r="O9" s="365"/>
      <c r="P9" s="365"/>
      <c r="Q9" s="365"/>
      <c r="R9" s="365"/>
      <c r="S9" s="366"/>
      <c r="T9" s="46"/>
      <c r="U9" s="417" t="s">
        <v>4</v>
      </c>
      <c r="V9" s="395"/>
      <c r="W9" s="395"/>
      <c r="X9" s="418"/>
      <c r="Y9" s="143"/>
      <c r="Z9" s="144"/>
      <c r="AA9" s="283" t="str">
        <f t="shared" si="1"/>
        <v>-</v>
      </c>
      <c r="AB9" s="272"/>
    </row>
    <row r="10" spans="1:36" ht="14.25" customHeight="1">
      <c r="A10" s="83"/>
      <c r="B10" s="85"/>
      <c r="C10" s="382" t="s">
        <v>13</v>
      </c>
      <c r="D10" s="381"/>
      <c r="E10" s="133"/>
      <c r="F10" s="134"/>
      <c r="G10" s="142" t="str">
        <f t="shared" si="0"/>
        <v>-</v>
      </c>
      <c r="H10" s="364"/>
      <c r="I10" s="365"/>
      <c r="J10" s="365"/>
      <c r="K10" s="365"/>
      <c r="L10" s="365"/>
      <c r="M10" s="365"/>
      <c r="N10" s="365"/>
      <c r="O10" s="365"/>
      <c r="P10" s="365"/>
      <c r="Q10" s="365"/>
      <c r="R10" s="365"/>
      <c r="S10" s="366"/>
      <c r="T10" s="46"/>
      <c r="U10" s="376" t="s">
        <v>14</v>
      </c>
      <c r="V10" s="377"/>
      <c r="W10" s="377"/>
      <c r="X10" s="378"/>
      <c r="Y10" s="143"/>
      <c r="Z10" s="144"/>
      <c r="AA10" s="176" t="str">
        <f t="shared" si="1"/>
        <v>-</v>
      </c>
      <c r="AB10" s="272"/>
    </row>
    <row r="11" spans="1:36" ht="14.25" customHeight="1">
      <c r="A11" s="83"/>
      <c r="B11" s="85"/>
      <c r="C11" s="382" t="s">
        <v>15</v>
      </c>
      <c r="D11" s="381"/>
      <c r="E11" s="133"/>
      <c r="F11" s="134"/>
      <c r="G11" s="142" t="str">
        <f t="shared" si="0"/>
        <v>-</v>
      </c>
      <c r="H11" s="364"/>
      <c r="I11" s="365"/>
      <c r="J11" s="365"/>
      <c r="K11" s="365"/>
      <c r="L11" s="365"/>
      <c r="M11" s="365"/>
      <c r="N11" s="365"/>
      <c r="O11" s="365"/>
      <c r="P11" s="365"/>
      <c r="Q11" s="365"/>
      <c r="R11" s="365"/>
      <c r="S11" s="366"/>
      <c r="T11" s="46"/>
      <c r="U11" s="379" t="s">
        <v>69</v>
      </c>
      <c r="V11" s="380"/>
      <c r="W11" s="380"/>
      <c r="X11" s="381"/>
      <c r="Y11" s="148"/>
      <c r="Z11" s="149"/>
      <c r="AA11" s="142" t="str">
        <f t="shared" si="1"/>
        <v>-</v>
      </c>
      <c r="AB11" s="274"/>
    </row>
    <row r="12" spans="1:36" ht="14.25" customHeight="1">
      <c r="A12" s="83"/>
      <c r="B12" s="85"/>
      <c r="C12" s="382" t="s">
        <v>16</v>
      </c>
      <c r="D12" s="381"/>
      <c r="E12" s="133"/>
      <c r="F12" s="134"/>
      <c r="G12" s="142" t="str">
        <f t="shared" si="0"/>
        <v>-</v>
      </c>
      <c r="H12" s="364"/>
      <c r="I12" s="365"/>
      <c r="J12" s="365"/>
      <c r="K12" s="365"/>
      <c r="L12" s="365"/>
      <c r="M12" s="365"/>
      <c r="N12" s="365"/>
      <c r="O12" s="365"/>
      <c r="P12" s="365"/>
      <c r="Q12" s="365"/>
      <c r="R12" s="365"/>
      <c r="S12" s="366"/>
      <c r="T12" s="46"/>
      <c r="U12" s="389" t="s">
        <v>17</v>
      </c>
      <c r="V12" s="390"/>
      <c r="W12" s="390"/>
      <c r="X12" s="391"/>
      <c r="Y12" s="148"/>
      <c r="Z12" s="149"/>
      <c r="AA12" s="142" t="str">
        <f t="shared" si="1"/>
        <v>-</v>
      </c>
      <c r="AB12" s="274"/>
    </row>
    <row r="13" spans="1:36" ht="14.25" customHeight="1">
      <c r="A13" s="83"/>
      <c r="B13" s="85"/>
      <c r="C13" s="382" t="s">
        <v>18</v>
      </c>
      <c r="D13" s="381"/>
      <c r="E13" s="133"/>
      <c r="F13" s="134"/>
      <c r="G13" s="142" t="str">
        <f t="shared" si="0"/>
        <v>-</v>
      </c>
      <c r="H13" s="364"/>
      <c r="I13" s="365"/>
      <c r="J13" s="365"/>
      <c r="K13" s="365"/>
      <c r="L13" s="365"/>
      <c r="M13" s="365"/>
      <c r="N13" s="365"/>
      <c r="O13" s="365"/>
      <c r="P13" s="365"/>
      <c r="Q13" s="365"/>
      <c r="R13" s="365"/>
      <c r="S13" s="366"/>
      <c r="T13" s="46"/>
      <c r="U13" s="53"/>
      <c r="V13" s="382" t="s">
        <v>19</v>
      </c>
      <c r="W13" s="380"/>
      <c r="X13" s="381"/>
      <c r="Y13" s="148"/>
      <c r="Z13" s="149"/>
      <c r="AA13" s="142" t="str">
        <f t="shared" si="1"/>
        <v>-</v>
      </c>
      <c r="AB13" s="274"/>
    </row>
    <row r="14" spans="1:36" ht="14.25" customHeight="1">
      <c r="A14" s="83"/>
      <c r="B14" s="85"/>
      <c r="C14" s="382" t="s">
        <v>20</v>
      </c>
      <c r="D14" s="381"/>
      <c r="E14" s="133"/>
      <c r="F14" s="134"/>
      <c r="G14" s="142" t="str">
        <f t="shared" si="0"/>
        <v>-</v>
      </c>
      <c r="H14" s="364"/>
      <c r="I14" s="365"/>
      <c r="J14" s="365"/>
      <c r="K14" s="365"/>
      <c r="L14" s="365"/>
      <c r="M14" s="365"/>
      <c r="N14" s="365"/>
      <c r="O14" s="365"/>
      <c r="P14" s="365"/>
      <c r="Q14" s="365"/>
      <c r="R14" s="365"/>
      <c r="S14" s="366"/>
      <c r="T14" s="46"/>
      <c r="U14" s="389" t="s">
        <v>21</v>
      </c>
      <c r="V14" s="390"/>
      <c r="W14" s="390"/>
      <c r="X14" s="391"/>
      <c r="Y14" s="148"/>
      <c r="Z14" s="149"/>
      <c r="AA14" s="142" t="str">
        <f t="shared" si="1"/>
        <v>-</v>
      </c>
      <c r="AB14" s="274"/>
    </row>
    <row r="15" spans="1:36" ht="14.25" customHeight="1">
      <c r="A15" s="83"/>
      <c r="B15" s="85"/>
      <c r="C15" s="382" t="s">
        <v>22</v>
      </c>
      <c r="D15" s="381"/>
      <c r="E15" s="133"/>
      <c r="F15" s="134"/>
      <c r="G15" s="142" t="str">
        <f t="shared" si="0"/>
        <v>-</v>
      </c>
      <c r="H15" s="364"/>
      <c r="I15" s="365"/>
      <c r="J15" s="365"/>
      <c r="K15" s="365"/>
      <c r="L15" s="365"/>
      <c r="M15" s="365"/>
      <c r="N15" s="365"/>
      <c r="O15" s="365"/>
      <c r="P15" s="365"/>
      <c r="Q15" s="365"/>
      <c r="R15" s="365"/>
      <c r="S15" s="366"/>
      <c r="T15" s="46"/>
      <c r="U15" s="83"/>
      <c r="V15" s="423" t="s">
        <v>19</v>
      </c>
      <c r="W15" s="424"/>
      <c r="X15" s="425"/>
      <c r="Y15" s="150"/>
      <c r="Z15" s="151"/>
      <c r="AA15" s="138" t="str">
        <f t="shared" si="1"/>
        <v>-</v>
      </c>
      <c r="AB15" s="275"/>
    </row>
    <row r="16" spans="1:36" ht="14.25" customHeight="1">
      <c r="A16" s="83"/>
      <c r="B16" s="85"/>
      <c r="C16" s="382" t="s">
        <v>23</v>
      </c>
      <c r="D16" s="381"/>
      <c r="E16" s="133"/>
      <c r="F16" s="134"/>
      <c r="G16" s="142" t="str">
        <f t="shared" si="0"/>
        <v>-</v>
      </c>
      <c r="H16" s="364"/>
      <c r="I16" s="365"/>
      <c r="J16" s="365"/>
      <c r="K16" s="365"/>
      <c r="L16" s="365"/>
      <c r="M16" s="365"/>
      <c r="N16" s="365"/>
      <c r="O16" s="365"/>
      <c r="P16" s="365"/>
      <c r="Q16" s="365"/>
      <c r="R16" s="365"/>
      <c r="S16" s="366"/>
      <c r="T16" s="46"/>
      <c r="U16" s="405" t="s">
        <v>67</v>
      </c>
      <c r="V16" s="406"/>
      <c r="W16" s="406"/>
      <c r="X16" s="407"/>
      <c r="Y16" s="152"/>
      <c r="Z16" s="153"/>
      <c r="AA16" s="271"/>
      <c r="AB16" s="276"/>
    </row>
    <row r="17" spans="1:31" ht="14.25" customHeight="1">
      <c r="A17" s="83"/>
      <c r="B17" s="85"/>
      <c r="C17" s="382" t="s">
        <v>24</v>
      </c>
      <c r="D17" s="381"/>
      <c r="E17" s="133"/>
      <c r="F17" s="134"/>
      <c r="G17" s="142" t="str">
        <f t="shared" si="0"/>
        <v>-</v>
      </c>
      <c r="H17" s="364"/>
      <c r="I17" s="365"/>
      <c r="J17" s="365"/>
      <c r="K17" s="365"/>
      <c r="L17" s="365"/>
      <c r="M17" s="365"/>
      <c r="N17" s="365"/>
      <c r="O17" s="365"/>
      <c r="P17" s="365"/>
      <c r="Q17" s="365"/>
      <c r="R17" s="365"/>
      <c r="S17" s="366"/>
      <c r="T17" s="46"/>
      <c r="U17" s="54"/>
      <c r="V17" s="392" t="s">
        <v>68</v>
      </c>
      <c r="W17" s="393"/>
      <c r="X17" s="394"/>
      <c r="Y17" s="154"/>
      <c r="Z17" s="155"/>
      <c r="AA17" s="142" t="str">
        <f t="shared" si="1"/>
        <v>-</v>
      </c>
      <c r="AB17" s="277"/>
    </row>
    <row r="18" spans="1:31" ht="14.25" customHeight="1">
      <c r="A18" s="83"/>
      <c r="B18" s="85"/>
      <c r="C18" s="382" t="s">
        <v>25</v>
      </c>
      <c r="D18" s="381"/>
      <c r="E18" s="133"/>
      <c r="F18" s="134"/>
      <c r="G18" s="142" t="str">
        <f t="shared" si="0"/>
        <v>-</v>
      </c>
      <c r="H18" s="364"/>
      <c r="I18" s="365"/>
      <c r="J18" s="365"/>
      <c r="K18" s="365"/>
      <c r="L18" s="365"/>
      <c r="M18" s="365"/>
      <c r="N18" s="365"/>
      <c r="O18" s="365"/>
      <c r="P18" s="365"/>
      <c r="Q18" s="365"/>
      <c r="R18" s="365"/>
      <c r="S18" s="366"/>
      <c r="T18" s="46"/>
      <c r="U18" s="60"/>
      <c r="V18" s="397" t="s">
        <v>17</v>
      </c>
      <c r="W18" s="398"/>
      <c r="X18" s="399"/>
      <c r="Y18" s="154"/>
      <c r="Z18" s="155"/>
      <c r="AA18" s="142" t="str">
        <f t="shared" si="1"/>
        <v>-</v>
      </c>
      <c r="AB18" s="277"/>
    </row>
    <row r="19" spans="1:31" ht="14.25" customHeight="1">
      <c r="A19" s="83"/>
      <c r="B19" s="85"/>
      <c r="C19" s="382" t="s">
        <v>26</v>
      </c>
      <c r="D19" s="381"/>
      <c r="E19" s="133"/>
      <c r="F19" s="134"/>
      <c r="G19" s="142" t="str">
        <f t="shared" si="0"/>
        <v>-</v>
      </c>
      <c r="H19" s="364"/>
      <c r="I19" s="365"/>
      <c r="J19" s="365"/>
      <c r="K19" s="365"/>
      <c r="L19" s="365"/>
      <c r="M19" s="365"/>
      <c r="N19" s="365"/>
      <c r="O19" s="365"/>
      <c r="P19" s="365"/>
      <c r="Q19" s="365"/>
      <c r="R19" s="365"/>
      <c r="S19" s="366"/>
      <c r="T19" s="46"/>
      <c r="U19" s="29"/>
      <c r="V19" s="55"/>
      <c r="W19" s="402" t="s">
        <v>19</v>
      </c>
      <c r="X19" s="403"/>
      <c r="Y19" s="156"/>
      <c r="Z19" s="155"/>
      <c r="AA19" s="142" t="str">
        <f t="shared" si="1"/>
        <v>-</v>
      </c>
      <c r="AB19" s="277"/>
    </row>
    <row r="20" spans="1:31" ht="14.25" customHeight="1">
      <c r="A20" s="83"/>
      <c r="B20" s="85"/>
      <c r="C20" s="382" t="s">
        <v>27</v>
      </c>
      <c r="D20" s="381"/>
      <c r="E20" s="133"/>
      <c r="F20" s="134"/>
      <c r="G20" s="142" t="str">
        <f t="shared" si="0"/>
        <v>-</v>
      </c>
      <c r="H20" s="364"/>
      <c r="I20" s="365"/>
      <c r="J20" s="365"/>
      <c r="K20" s="365"/>
      <c r="L20" s="365"/>
      <c r="M20" s="365"/>
      <c r="N20" s="365"/>
      <c r="O20" s="365"/>
      <c r="P20" s="365"/>
      <c r="Q20" s="365"/>
      <c r="R20" s="365"/>
      <c r="S20" s="366"/>
      <c r="T20" s="46"/>
      <c r="U20" s="60"/>
      <c r="V20" s="397" t="s">
        <v>21</v>
      </c>
      <c r="W20" s="398"/>
      <c r="X20" s="399"/>
      <c r="Y20" s="154"/>
      <c r="Z20" s="155"/>
      <c r="AA20" s="142" t="str">
        <f t="shared" si="1"/>
        <v>-</v>
      </c>
      <c r="AB20" s="277"/>
    </row>
    <row r="21" spans="1:31" ht="14.25" customHeight="1">
      <c r="A21" s="83"/>
      <c r="B21" s="85"/>
      <c r="C21" s="382" t="s">
        <v>29</v>
      </c>
      <c r="D21" s="381"/>
      <c r="E21" s="133"/>
      <c r="F21" s="134"/>
      <c r="G21" s="142" t="str">
        <f t="shared" si="0"/>
        <v>-</v>
      </c>
      <c r="H21" s="364"/>
      <c r="I21" s="365"/>
      <c r="J21" s="365"/>
      <c r="K21" s="365"/>
      <c r="L21" s="365"/>
      <c r="M21" s="365"/>
      <c r="N21" s="365"/>
      <c r="O21" s="365"/>
      <c r="P21" s="365"/>
      <c r="Q21" s="365"/>
      <c r="R21" s="365"/>
      <c r="S21" s="366"/>
      <c r="T21" s="46"/>
      <c r="U21" s="56"/>
      <c r="V21" s="57"/>
      <c r="W21" s="400" t="s">
        <v>19</v>
      </c>
      <c r="X21" s="401"/>
      <c r="Y21" s="157"/>
      <c r="Z21" s="158"/>
      <c r="AA21" s="138" t="str">
        <f t="shared" si="1"/>
        <v>-</v>
      </c>
      <c r="AB21" s="278"/>
    </row>
    <row r="22" spans="1:31" ht="14.25" customHeight="1">
      <c r="A22" s="83"/>
      <c r="B22" s="85"/>
      <c r="C22" s="382" t="s">
        <v>31</v>
      </c>
      <c r="D22" s="381"/>
      <c r="E22" s="133"/>
      <c r="F22" s="135"/>
      <c r="G22" s="142" t="str">
        <f t="shared" si="0"/>
        <v>-</v>
      </c>
      <c r="H22" s="364"/>
      <c r="I22" s="365"/>
      <c r="J22" s="365"/>
      <c r="K22" s="365"/>
      <c r="L22" s="365"/>
      <c r="M22" s="365"/>
      <c r="N22" s="365"/>
      <c r="O22" s="365"/>
      <c r="P22" s="365"/>
      <c r="Q22" s="365"/>
      <c r="R22" s="365"/>
      <c r="S22" s="366"/>
      <c r="T22" s="46"/>
      <c r="AB22" s="46"/>
    </row>
    <row r="23" spans="1:31" ht="14.25" customHeight="1">
      <c r="A23" s="83"/>
      <c r="B23" s="85"/>
      <c r="C23" s="382" t="s">
        <v>32</v>
      </c>
      <c r="D23" s="381"/>
      <c r="E23" s="133"/>
      <c r="F23" s="134"/>
      <c r="G23" s="142" t="str">
        <f t="shared" si="0"/>
        <v>-</v>
      </c>
      <c r="H23" s="364"/>
      <c r="I23" s="365"/>
      <c r="J23" s="365"/>
      <c r="K23" s="365"/>
      <c r="L23" s="365"/>
      <c r="M23" s="365"/>
      <c r="N23" s="365"/>
      <c r="O23" s="365"/>
      <c r="P23" s="365"/>
      <c r="Q23" s="365"/>
      <c r="R23" s="365"/>
      <c r="S23" s="366"/>
      <c r="T23" s="46"/>
      <c r="AB23" s="46"/>
    </row>
    <row r="24" spans="1:31" ht="14.25" customHeight="1">
      <c r="A24" s="83"/>
      <c r="B24" s="85"/>
      <c r="C24" s="382" t="s">
        <v>33</v>
      </c>
      <c r="D24" s="381"/>
      <c r="E24" s="133"/>
      <c r="F24" s="134"/>
      <c r="G24" s="142" t="str">
        <f t="shared" si="0"/>
        <v>-</v>
      </c>
      <c r="H24" s="364"/>
      <c r="I24" s="365"/>
      <c r="J24" s="365"/>
      <c r="K24" s="365"/>
      <c r="L24" s="365"/>
      <c r="M24" s="365"/>
      <c r="N24" s="365"/>
      <c r="O24" s="365"/>
      <c r="P24" s="365"/>
      <c r="Q24" s="365"/>
      <c r="R24" s="365"/>
      <c r="S24" s="366"/>
      <c r="T24" s="46"/>
      <c r="AB24" s="46"/>
    </row>
    <row r="25" spans="1:31" ht="14.25" customHeight="1">
      <c r="A25" s="10"/>
      <c r="B25" s="404" t="s">
        <v>34</v>
      </c>
      <c r="C25" s="374"/>
      <c r="D25" s="375"/>
      <c r="E25" s="136"/>
      <c r="F25" s="137"/>
      <c r="G25" s="138" t="str">
        <f t="shared" si="0"/>
        <v>-</v>
      </c>
      <c r="H25" s="367"/>
      <c r="I25" s="368"/>
      <c r="J25" s="368"/>
      <c r="K25" s="368"/>
      <c r="L25" s="368"/>
      <c r="M25" s="368"/>
      <c r="N25" s="368"/>
      <c r="O25" s="368"/>
      <c r="P25" s="368"/>
      <c r="Q25" s="368"/>
      <c r="R25" s="368"/>
      <c r="S25" s="369"/>
      <c r="T25" s="46"/>
      <c r="AB25" s="46"/>
    </row>
    <row r="26" spans="1:31" ht="14.25" customHeight="1">
      <c r="A26" s="417" t="s">
        <v>35</v>
      </c>
      <c r="B26" s="395"/>
      <c r="C26" s="395"/>
      <c r="D26" s="418"/>
      <c r="E26" s="139"/>
      <c r="F26" s="140"/>
      <c r="G26" s="176" t="str">
        <f t="shared" si="0"/>
        <v>-</v>
      </c>
      <c r="H26" s="370"/>
      <c r="I26" s="371"/>
      <c r="J26" s="371"/>
      <c r="K26" s="371"/>
      <c r="L26" s="371"/>
      <c r="M26" s="371"/>
      <c r="N26" s="371"/>
      <c r="O26" s="371"/>
      <c r="P26" s="371"/>
      <c r="Q26" s="371"/>
      <c r="R26" s="371"/>
      <c r="S26" s="372"/>
      <c r="T26" s="46"/>
      <c r="AB26" s="46"/>
    </row>
    <row r="27" spans="1:31" ht="14.25" customHeight="1">
      <c r="A27" s="83"/>
      <c r="B27" s="382" t="s">
        <v>36</v>
      </c>
      <c r="C27" s="380"/>
      <c r="D27" s="381"/>
      <c r="E27" s="133"/>
      <c r="F27" s="134"/>
      <c r="G27" s="142" t="str">
        <f t="shared" si="0"/>
        <v>-</v>
      </c>
      <c r="H27" s="364"/>
      <c r="I27" s="365"/>
      <c r="J27" s="365"/>
      <c r="K27" s="365"/>
      <c r="L27" s="365"/>
      <c r="M27" s="365"/>
      <c r="N27" s="365"/>
      <c r="O27" s="365"/>
      <c r="P27" s="365"/>
      <c r="Q27" s="365"/>
      <c r="R27" s="365"/>
      <c r="S27" s="366"/>
      <c r="T27" s="46"/>
      <c r="U27" s="5" t="s">
        <v>191</v>
      </c>
      <c r="AB27" s="46"/>
      <c r="AC27" s="46"/>
      <c r="AD27" s="46"/>
      <c r="AE27" s="46"/>
    </row>
    <row r="28" spans="1:31" ht="14.25" customHeight="1">
      <c r="A28" s="120"/>
      <c r="B28" s="438" t="s">
        <v>37</v>
      </c>
      <c r="C28" s="439"/>
      <c r="D28" s="440"/>
      <c r="E28" s="141"/>
      <c r="F28" s="135"/>
      <c r="G28" s="142" t="str">
        <f t="shared" si="0"/>
        <v>-</v>
      </c>
      <c r="H28" s="364"/>
      <c r="I28" s="365"/>
      <c r="J28" s="365"/>
      <c r="K28" s="365"/>
      <c r="L28" s="365"/>
      <c r="M28" s="365"/>
      <c r="N28" s="365"/>
      <c r="O28" s="365"/>
      <c r="P28" s="365"/>
      <c r="Q28" s="365"/>
      <c r="R28" s="365"/>
      <c r="S28" s="366"/>
      <c r="T28" s="46"/>
      <c r="U28" s="383"/>
      <c r="V28" s="384"/>
      <c r="W28" s="384"/>
      <c r="X28" s="385"/>
      <c r="Y28" s="282">
        <f>E5</f>
        <v>19</v>
      </c>
      <c r="Z28" s="281">
        <f>F5</f>
        <v>18</v>
      </c>
      <c r="AA28" s="6" t="s">
        <v>1</v>
      </c>
      <c r="AB28" s="437" t="s">
        <v>242</v>
      </c>
      <c r="AC28" s="46"/>
      <c r="AD28" s="46"/>
      <c r="AE28" s="46"/>
    </row>
    <row r="29" spans="1:31" ht="14.25" customHeight="1">
      <c r="A29" s="389" t="s">
        <v>38</v>
      </c>
      <c r="B29" s="390"/>
      <c r="C29" s="390"/>
      <c r="D29" s="391"/>
      <c r="E29" s="133"/>
      <c r="F29" s="134"/>
      <c r="G29" s="142" t="str">
        <f t="shared" si="0"/>
        <v>-</v>
      </c>
      <c r="H29" s="364"/>
      <c r="I29" s="365"/>
      <c r="J29" s="365"/>
      <c r="K29" s="365"/>
      <c r="L29" s="365"/>
      <c r="M29" s="365"/>
      <c r="N29" s="365"/>
      <c r="O29" s="365"/>
      <c r="P29" s="365"/>
      <c r="Q29" s="365"/>
      <c r="R29" s="365"/>
      <c r="S29" s="366"/>
      <c r="T29" s="46"/>
      <c r="U29" s="386"/>
      <c r="V29" s="387"/>
      <c r="W29" s="387"/>
      <c r="X29" s="388"/>
      <c r="Y29" s="122" t="s">
        <v>2</v>
      </c>
      <c r="Z29" s="7" t="s">
        <v>2</v>
      </c>
      <c r="AA29" s="8" t="s">
        <v>192</v>
      </c>
      <c r="AB29" s="437"/>
      <c r="AC29" s="46"/>
      <c r="AD29" s="46"/>
      <c r="AE29" s="46"/>
    </row>
    <row r="30" spans="1:31" ht="14.25" customHeight="1">
      <c r="A30" s="83"/>
      <c r="B30" s="423" t="s">
        <v>36</v>
      </c>
      <c r="C30" s="424"/>
      <c r="D30" s="425"/>
      <c r="E30" s="139"/>
      <c r="F30" s="140"/>
      <c r="G30" s="142" t="str">
        <f t="shared" si="0"/>
        <v>-</v>
      </c>
      <c r="H30" s="364"/>
      <c r="I30" s="365"/>
      <c r="J30" s="365"/>
      <c r="K30" s="365"/>
      <c r="L30" s="365"/>
      <c r="M30" s="365"/>
      <c r="N30" s="365"/>
      <c r="O30" s="365"/>
      <c r="P30" s="365"/>
      <c r="Q30" s="365"/>
      <c r="R30" s="365"/>
      <c r="S30" s="366"/>
      <c r="T30" s="46"/>
      <c r="U30" s="376" t="s">
        <v>193</v>
      </c>
      <c r="V30" s="377"/>
      <c r="W30" s="377"/>
      <c r="X30" s="378"/>
      <c r="Y30" s="143"/>
      <c r="Z30" s="144"/>
      <c r="AA30" s="176" t="str">
        <f>IF(Y30="-", "-", IF(Z30="-", "-", IF(ABS(Z30)=0, "-", ROUND(100*(Y30-Z30)/ABS(Z30),10))))</f>
        <v>-</v>
      </c>
      <c r="AB30" s="272"/>
      <c r="AC30" s="46"/>
      <c r="AD30" s="46"/>
      <c r="AE30" s="46"/>
    </row>
    <row r="31" spans="1:31" ht="14.25" customHeight="1">
      <c r="A31" s="10"/>
      <c r="B31" s="404" t="s">
        <v>37</v>
      </c>
      <c r="C31" s="374"/>
      <c r="D31" s="375"/>
      <c r="E31" s="136"/>
      <c r="F31" s="137"/>
      <c r="G31" s="138" t="str">
        <f t="shared" si="0"/>
        <v>-</v>
      </c>
      <c r="H31" s="367"/>
      <c r="I31" s="368"/>
      <c r="J31" s="368"/>
      <c r="K31" s="368"/>
      <c r="L31" s="368"/>
      <c r="M31" s="368"/>
      <c r="N31" s="368"/>
      <c r="O31" s="368"/>
      <c r="P31" s="368"/>
      <c r="Q31" s="368"/>
      <c r="R31" s="368"/>
      <c r="S31" s="369"/>
      <c r="T31" s="46"/>
      <c r="U31" s="373" t="s">
        <v>194</v>
      </c>
      <c r="V31" s="374"/>
      <c r="W31" s="374"/>
      <c r="X31" s="375"/>
      <c r="Y31" s="159"/>
      <c r="Z31" s="160"/>
      <c r="AA31" s="138" t="str">
        <f>IF(Y31="-", "-", IF(Z31="-", "-", IF(ABS(Z31)=0, "-", ROUND(100*(Y31-Z31)/ABS(Z31),10))))</f>
        <v>-</v>
      </c>
      <c r="AB31" s="279"/>
      <c r="AC31"/>
    </row>
    <row r="32" spans="1:31" ht="14.25" customHeight="1">
      <c r="A32" s="395"/>
      <c r="B32" s="395"/>
      <c r="C32" s="395"/>
      <c r="D32" s="395"/>
      <c r="E32" s="92"/>
      <c r="F32" s="92"/>
      <c r="G32" s="93"/>
      <c r="H32" s="396"/>
      <c r="I32" s="396"/>
      <c r="J32" s="396"/>
      <c r="K32" s="396"/>
      <c r="L32" s="396"/>
      <c r="M32" s="396"/>
      <c r="N32" s="396"/>
      <c r="O32" s="396"/>
      <c r="P32" s="396"/>
      <c r="Q32" s="396"/>
      <c r="R32" s="396"/>
      <c r="S32" s="396"/>
      <c r="T32" s="396"/>
      <c r="U32"/>
      <c r="V32"/>
      <c r="W32"/>
      <c r="X32"/>
      <c r="Y32"/>
      <c r="Z32"/>
      <c r="AA32"/>
      <c r="AB32"/>
      <c r="AC32"/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</sheetData>
  <mergeCells count="82">
    <mergeCell ref="AB5:AB6"/>
    <mergeCell ref="AB28:AB29"/>
    <mergeCell ref="A26:D26"/>
    <mergeCell ref="B31:D31"/>
    <mergeCell ref="B30:D30"/>
    <mergeCell ref="B28:D28"/>
    <mergeCell ref="B27:D27"/>
    <mergeCell ref="A29:D29"/>
    <mergeCell ref="C15:D15"/>
    <mergeCell ref="C16:D16"/>
    <mergeCell ref="C17:D17"/>
    <mergeCell ref="C13:D13"/>
    <mergeCell ref="C14:D14"/>
    <mergeCell ref="V8:X8"/>
    <mergeCell ref="B8:D8"/>
    <mergeCell ref="C9:D9"/>
    <mergeCell ref="Z5:Z6"/>
    <mergeCell ref="C23:D23"/>
    <mergeCell ref="U14:X14"/>
    <mergeCell ref="C24:D24"/>
    <mergeCell ref="V15:X15"/>
    <mergeCell ref="Y5:Y6"/>
    <mergeCell ref="U7:U8"/>
    <mergeCell ref="V7:X7"/>
    <mergeCell ref="H5:S6"/>
    <mergeCell ref="H7:S7"/>
    <mergeCell ref="H8:S8"/>
    <mergeCell ref="H9:S9"/>
    <mergeCell ref="H10:S10"/>
    <mergeCell ref="H11:S11"/>
    <mergeCell ref="H12:S12"/>
    <mergeCell ref="H13:S13"/>
    <mergeCell ref="Q1:S1"/>
    <mergeCell ref="A32:D32"/>
    <mergeCell ref="H32:T32"/>
    <mergeCell ref="V20:X20"/>
    <mergeCell ref="W21:X21"/>
    <mergeCell ref="V18:X18"/>
    <mergeCell ref="W19:X19"/>
    <mergeCell ref="B25:D25"/>
    <mergeCell ref="U16:X16"/>
    <mergeCell ref="Q2:S2"/>
    <mergeCell ref="A5:D6"/>
    <mergeCell ref="A7:D7"/>
    <mergeCell ref="F5:F6"/>
    <mergeCell ref="E5:E6"/>
    <mergeCell ref="U9:X9"/>
    <mergeCell ref="U5:X6"/>
    <mergeCell ref="U31:X31"/>
    <mergeCell ref="U10:X10"/>
    <mergeCell ref="U11:X11"/>
    <mergeCell ref="C10:D10"/>
    <mergeCell ref="C11:D11"/>
    <mergeCell ref="C12:D12"/>
    <mergeCell ref="U28:X29"/>
    <mergeCell ref="U30:X30"/>
    <mergeCell ref="C21:D21"/>
    <mergeCell ref="U12:X12"/>
    <mergeCell ref="C22:D22"/>
    <mergeCell ref="V13:X13"/>
    <mergeCell ref="C19:D19"/>
    <mergeCell ref="C20:D20"/>
    <mergeCell ref="V17:X17"/>
    <mergeCell ref="C18:D18"/>
    <mergeCell ref="H14:S14"/>
    <mergeCell ref="H15:S15"/>
    <mergeCell ref="H16:S16"/>
    <mergeCell ref="H17:S17"/>
    <mergeCell ref="H18:S18"/>
    <mergeCell ref="H19:S19"/>
    <mergeCell ref="H20:S20"/>
    <mergeCell ref="H21:S21"/>
    <mergeCell ref="H22:S22"/>
    <mergeCell ref="H23:S23"/>
    <mergeCell ref="H24:S24"/>
    <mergeCell ref="H30:S30"/>
    <mergeCell ref="H31:S31"/>
    <mergeCell ref="H25:S25"/>
    <mergeCell ref="H26:S26"/>
    <mergeCell ref="H27:S27"/>
    <mergeCell ref="H28:S28"/>
    <mergeCell ref="H29:S29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  <colBreaks count="1" manualBreakCount="1">
    <brk id="19" max="37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45"/>
  <sheetViews>
    <sheetView showGridLines="0" view="pageBreakPreview" topLeftCell="A13" zoomScaleNormal="100" zoomScaleSheetLayoutView="100" workbookViewId="0">
      <selection activeCell="L32" sqref="L32:O33"/>
    </sheetView>
  </sheetViews>
  <sheetFormatPr defaultColWidth="9" defaultRowHeight="15" customHeight="1"/>
  <cols>
    <col min="1" max="7" width="2.625" style="2" customWidth="1"/>
    <col min="8" max="8" width="5.125" style="3" customWidth="1"/>
    <col min="9" max="10" width="9.625" style="2" customWidth="1"/>
    <col min="11" max="11" width="7.375" style="2" customWidth="1"/>
    <col min="12" max="13" width="9.625" style="2" customWidth="1"/>
    <col min="14" max="14" width="7.375" style="2" customWidth="1"/>
    <col min="15" max="16" width="9.625" style="2" customWidth="1"/>
    <col min="17" max="17" width="7.375" style="2" customWidth="1"/>
    <col min="18" max="19" width="9.125" style="2" customWidth="1"/>
    <col min="20" max="20" width="7.375" style="2" customWidth="1"/>
    <col min="21" max="21" width="40.625" style="2" customWidth="1"/>
    <col min="22" max="23" width="6.625" style="2" customWidth="1"/>
    <col min="24" max="26" width="6.875" style="2" customWidth="1"/>
    <col min="27" max="31" width="5.625" style="2" customWidth="1"/>
    <col min="32" max="16384" width="9" style="2"/>
  </cols>
  <sheetData>
    <row r="1" spans="1:24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O1" s="517" t="s">
        <v>113</v>
      </c>
      <c r="P1" s="517"/>
      <c r="Q1" s="517"/>
    </row>
    <row r="2" spans="1:24" ht="15" customHeight="1">
      <c r="A2" s="1" t="s">
        <v>164</v>
      </c>
      <c r="B2" s="1"/>
      <c r="C2" s="1"/>
      <c r="D2" s="1"/>
      <c r="E2" s="1"/>
      <c r="F2" s="1"/>
      <c r="G2" s="1"/>
      <c r="H2" s="1"/>
      <c r="I2" s="1"/>
      <c r="J2" s="1"/>
      <c r="K2" s="4"/>
      <c r="O2" s="408" t="str">
        <f>IF(No.1!O2="","",No.1!O2)</f>
        <v/>
      </c>
      <c r="P2" s="409"/>
      <c r="Q2" s="410"/>
      <c r="R2" s="73"/>
    </row>
    <row r="3" spans="1:24" ht="15" customHeight="1">
      <c r="A3" s="11"/>
      <c r="B3" s="11"/>
      <c r="C3" s="11"/>
      <c r="D3" s="11"/>
      <c r="E3" s="11"/>
      <c r="F3" s="11"/>
      <c r="G3" s="11"/>
      <c r="H3" s="11"/>
      <c r="V3" s="4"/>
      <c r="W3" s="4"/>
      <c r="X3" s="4"/>
    </row>
    <row r="4" spans="1:24" ht="14.25" customHeight="1">
      <c r="A4" s="26" t="s">
        <v>112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280"/>
    </row>
    <row r="5" spans="1:24" ht="12.2" customHeight="1">
      <c r="A5" s="459"/>
      <c r="B5" s="460"/>
      <c r="C5" s="460"/>
      <c r="D5" s="460"/>
      <c r="E5" s="460"/>
      <c r="F5" s="460"/>
      <c r="G5" s="460"/>
      <c r="H5" s="461"/>
      <c r="I5" s="491" t="s">
        <v>28</v>
      </c>
      <c r="J5" s="492"/>
      <c r="K5" s="492"/>
      <c r="L5" s="491" t="s">
        <v>30</v>
      </c>
      <c r="M5" s="492"/>
      <c r="N5" s="492"/>
      <c r="O5" s="491" t="s">
        <v>98</v>
      </c>
      <c r="P5" s="492"/>
      <c r="Q5" s="492"/>
      <c r="R5" s="444" t="s">
        <v>242</v>
      </c>
      <c r="S5" s="445"/>
      <c r="T5" s="446"/>
      <c r="U5" s="280"/>
    </row>
    <row r="6" spans="1:24" ht="12.2" customHeight="1">
      <c r="A6" s="503"/>
      <c r="B6" s="504"/>
      <c r="C6" s="504"/>
      <c r="D6" s="504"/>
      <c r="E6" s="504"/>
      <c r="F6" s="504"/>
      <c r="G6" s="504"/>
      <c r="H6" s="505"/>
      <c r="I6" s="465">
        <f>No.1!H5</f>
        <v>19</v>
      </c>
      <c r="J6" s="472">
        <f>I6-1</f>
        <v>18</v>
      </c>
      <c r="K6" s="17" t="s">
        <v>1</v>
      </c>
      <c r="L6" s="465">
        <f>$I$6</f>
        <v>19</v>
      </c>
      <c r="M6" s="472">
        <f>$J$6</f>
        <v>18</v>
      </c>
      <c r="N6" s="17" t="s">
        <v>1</v>
      </c>
      <c r="O6" s="465">
        <f>$I$6</f>
        <v>19</v>
      </c>
      <c r="P6" s="472">
        <f>$J$6</f>
        <v>18</v>
      </c>
      <c r="Q6" s="27" t="s">
        <v>1</v>
      </c>
      <c r="R6" s="447"/>
      <c r="S6" s="448"/>
      <c r="T6" s="449"/>
      <c r="U6" s="280"/>
    </row>
    <row r="7" spans="1:24" ht="12.2" customHeight="1">
      <c r="A7" s="462"/>
      <c r="B7" s="463"/>
      <c r="C7" s="463"/>
      <c r="D7" s="463"/>
      <c r="E7" s="463"/>
      <c r="F7" s="463"/>
      <c r="G7" s="463"/>
      <c r="H7" s="464"/>
      <c r="I7" s="466"/>
      <c r="J7" s="473"/>
      <c r="K7" s="20" t="s">
        <v>163</v>
      </c>
      <c r="L7" s="466"/>
      <c r="M7" s="473"/>
      <c r="N7" s="20" t="s">
        <v>163</v>
      </c>
      <c r="O7" s="466"/>
      <c r="P7" s="473"/>
      <c r="Q7" s="28" t="s">
        <v>163</v>
      </c>
      <c r="R7" s="450"/>
      <c r="S7" s="451"/>
      <c r="T7" s="452"/>
      <c r="U7" s="280"/>
    </row>
    <row r="8" spans="1:24" ht="12.75" customHeight="1">
      <c r="A8" s="506" t="s">
        <v>102</v>
      </c>
      <c r="B8" s="507"/>
      <c r="C8" s="508" t="s">
        <v>103</v>
      </c>
      <c r="D8" s="509"/>
      <c r="E8" s="509"/>
      <c r="F8" s="509"/>
      <c r="G8" s="509"/>
      <c r="H8" s="121" t="s">
        <v>187</v>
      </c>
      <c r="I8" s="161"/>
      <c r="J8" s="162"/>
      <c r="K8" s="168" t="str">
        <f>IF(I8="-", "-", IF(J8="-", "-", IF(ABS(J8)=0, "-", ROUND(100*(I8-J8)/ABS(J8),10))))</f>
        <v>-</v>
      </c>
      <c r="L8" s="161"/>
      <c r="M8" s="162"/>
      <c r="N8" s="168" t="str">
        <f>IF(L8="-", "-", IF(M8="-", "-", IF(ABS(M8)=0, "-", ROUND(100*(L8-M8)/ABS(M8),10))))</f>
        <v>-</v>
      </c>
      <c r="O8" s="161"/>
      <c r="P8" s="162"/>
      <c r="Q8" s="168" t="str">
        <f>IF(O8="-", "-", IF(P8="-", "-", IF(ABS(P8)=0, "-", ROUND(100*(O8-P8)/ABS(P8),10))))</f>
        <v>-</v>
      </c>
      <c r="R8" s="521"/>
      <c r="S8" s="522"/>
      <c r="T8" s="523"/>
      <c r="U8" s="280"/>
    </row>
    <row r="9" spans="1:24" ht="12.75" customHeight="1">
      <c r="A9" s="495"/>
      <c r="B9" s="496"/>
      <c r="C9" s="499" t="s">
        <v>104</v>
      </c>
      <c r="D9" s="500"/>
      <c r="E9" s="500"/>
      <c r="F9" s="500"/>
      <c r="G9" s="500"/>
      <c r="H9" s="58" t="s">
        <v>188</v>
      </c>
      <c r="I9" s="163"/>
      <c r="J9" s="164"/>
      <c r="K9" s="169" t="str">
        <f t="shared" ref="K9:K15" si="0">IF(I9="-", "-", IF(J9="-", "-", IF(ABS(J9)=0, "-", ROUND(100*(I9-J9)/ABS(J9),10))))</f>
        <v>-</v>
      </c>
      <c r="L9" s="163"/>
      <c r="M9" s="164"/>
      <c r="N9" s="169" t="str">
        <f t="shared" ref="N9:N15" si="1">IF(L9="-", "-", IF(M9="-", "-", IF(ABS(M9)=0, "-", ROUND(100*(L9-M9)/ABS(M9),10))))</f>
        <v>-</v>
      </c>
      <c r="O9" s="163"/>
      <c r="P9" s="164"/>
      <c r="Q9" s="169" t="str">
        <f t="shared" ref="Q9:Q15" si="2">IF(O9="-", "-", IF(P9="-", "-", IF(ABS(P9)=0, "-", ROUND(100*(O9-P9)/ABS(P9),10))))</f>
        <v>-</v>
      </c>
      <c r="R9" s="518"/>
      <c r="S9" s="519"/>
      <c r="T9" s="520"/>
      <c r="U9" s="280"/>
    </row>
    <row r="10" spans="1:24" ht="12.75" customHeight="1">
      <c r="A10" s="495"/>
      <c r="B10" s="496"/>
      <c r="C10" s="510" t="s">
        <v>197</v>
      </c>
      <c r="D10" s="511"/>
      <c r="E10" s="511"/>
      <c r="F10" s="511"/>
      <c r="G10" s="511"/>
      <c r="H10" s="58" t="s">
        <v>189</v>
      </c>
      <c r="I10" s="170"/>
      <c r="J10" s="155"/>
      <c r="K10" s="169" t="str">
        <f t="shared" si="0"/>
        <v>-</v>
      </c>
      <c r="L10" s="170"/>
      <c r="M10" s="155"/>
      <c r="N10" s="169" t="str">
        <f t="shared" si="1"/>
        <v>-</v>
      </c>
      <c r="O10" s="170"/>
      <c r="P10" s="155"/>
      <c r="Q10" s="169" t="str">
        <f t="shared" si="2"/>
        <v>-</v>
      </c>
      <c r="R10" s="524"/>
      <c r="S10" s="525"/>
      <c r="T10" s="526"/>
      <c r="U10" s="46"/>
    </row>
    <row r="11" spans="1:24" ht="12.75" customHeight="1">
      <c r="A11" s="497"/>
      <c r="B11" s="498"/>
      <c r="C11" s="501" t="s">
        <v>198</v>
      </c>
      <c r="D11" s="502"/>
      <c r="E11" s="502"/>
      <c r="F11" s="502"/>
      <c r="G11" s="502"/>
      <c r="H11" s="58" t="s">
        <v>189</v>
      </c>
      <c r="I11" s="170"/>
      <c r="J11" s="155"/>
      <c r="K11" s="169" t="str">
        <f t="shared" si="0"/>
        <v>-</v>
      </c>
      <c r="L11" s="170"/>
      <c r="M11" s="155"/>
      <c r="N11" s="169" t="str">
        <f t="shared" si="1"/>
        <v>-</v>
      </c>
      <c r="O11" s="170"/>
      <c r="P11" s="155"/>
      <c r="Q11" s="169" t="str">
        <f t="shared" si="2"/>
        <v>-</v>
      </c>
      <c r="R11" s="524"/>
      <c r="S11" s="525"/>
      <c r="T11" s="526"/>
      <c r="U11" s="46"/>
    </row>
    <row r="12" spans="1:24" ht="12.75" customHeight="1">
      <c r="A12" s="493" t="s">
        <v>105</v>
      </c>
      <c r="B12" s="494"/>
      <c r="C12" s="499" t="s">
        <v>106</v>
      </c>
      <c r="D12" s="500"/>
      <c r="E12" s="500"/>
      <c r="F12" s="500"/>
      <c r="G12" s="500"/>
      <c r="H12" s="58" t="s">
        <v>188</v>
      </c>
      <c r="I12" s="163"/>
      <c r="J12" s="164"/>
      <c r="K12" s="169" t="str">
        <f t="shared" si="0"/>
        <v>-</v>
      </c>
      <c r="L12" s="163"/>
      <c r="M12" s="164"/>
      <c r="N12" s="169" t="str">
        <f t="shared" si="1"/>
        <v>-</v>
      </c>
      <c r="O12" s="163"/>
      <c r="P12" s="164"/>
      <c r="Q12" s="169" t="str">
        <f t="shared" si="2"/>
        <v>-</v>
      </c>
      <c r="R12" s="518"/>
      <c r="S12" s="519"/>
      <c r="T12" s="520"/>
      <c r="U12" s="46"/>
    </row>
    <row r="13" spans="1:24" ht="12.75" customHeight="1">
      <c r="A13" s="495"/>
      <c r="B13" s="496"/>
      <c r="C13" s="501" t="s">
        <v>199</v>
      </c>
      <c r="D13" s="502"/>
      <c r="E13" s="502"/>
      <c r="F13" s="502"/>
      <c r="G13" s="502"/>
      <c r="H13" s="58" t="s">
        <v>189</v>
      </c>
      <c r="I13" s="170"/>
      <c r="J13" s="155"/>
      <c r="K13" s="169" t="str">
        <f t="shared" si="0"/>
        <v>-</v>
      </c>
      <c r="L13" s="170"/>
      <c r="M13" s="155"/>
      <c r="N13" s="169" t="str">
        <f t="shared" si="1"/>
        <v>-</v>
      </c>
      <c r="O13" s="170"/>
      <c r="P13" s="155"/>
      <c r="Q13" s="169" t="str">
        <f t="shared" si="2"/>
        <v>-</v>
      </c>
      <c r="R13" s="518"/>
      <c r="S13" s="519"/>
      <c r="T13" s="520"/>
      <c r="U13" s="46"/>
    </row>
    <row r="14" spans="1:24" ht="12.75" customHeight="1">
      <c r="A14" s="497"/>
      <c r="B14" s="498"/>
      <c r="C14" s="501" t="s">
        <v>198</v>
      </c>
      <c r="D14" s="502"/>
      <c r="E14" s="502"/>
      <c r="F14" s="502"/>
      <c r="G14" s="502"/>
      <c r="H14" s="58" t="s">
        <v>189</v>
      </c>
      <c r="I14" s="170"/>
      <c r="J14" s="155"/>
      <c r="K14" s="169" t="str">
        <f t="shared" si="0"/>
        <v>-</v>
      </c>
      <c r="L14" s="170"/>
      <c r="M14" s="155"/>
      <c r="N14" s="169" t="str">
        <f t="shared" si="1"/>
        <v>-</v>
      </c>
      <c r="O14" s="170"/>
      <c r="P14" s="155"/>
      <c r="Q14" s="169" t="str">
        <f t="shared" si="2"/>
        <v>-</v>
      </c>
      <c r="R14" s="518"/>
      <c r="S14" s="519"/>
      <c r="T14" s="520"/>
      <c r="U14" s="46"/>
    </row>
    <row r="15" spans="1:24" ht="12.75" customHeight="1">
      <c r="A15" s="480" t="s">
        <v>196</v>
      </c>
      <c r="B15" s="481"/>
      <c r="C15" s="481"/>
      <c r="D15" s="481"/>
      <c r="E15" s="481"/>
      <c r="F15" s="481"/>
      <c r="G15" s="481"/>
      <c r="H15" s="59" t="s">
        <v>190</v>
      </c>
      <c r="I15" s="165"/>
      <c r="J15" s="158"/>
      <c r="K15" s="171" t="str">
        <f t="shared" si="0"/>
        <v>-</v>
      </c>
      <c r="L15" s="165"/>
      <c r="M15" s="158"/>
      <c r="N15" s="171" t="str">
        <f t="shared" si="1"/>
        <v>-</v>
      </c>
      <c r="O15" s="165"/>
      <c r="P15" s="158"/>
      <c r="Q15" s="171" t="str">
        <f t="shared" si="2"/>
        <v>-</v>
      </c>
      <c r="R15" s="529"/>
      <c r="S15" s="530"/>
      <c r="T15" s="531"/>
      <c r="U15" s="46"/>
    </row>
    <row r="16" spans="1:24" ht="13.7" customHeight="1"/>
    <row r="17" spans="1:21" ht="15" customHeight="1">
      <c r="A17" s="47" t="s">
        <v>222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R17" s="46"/>
      <c r="S17" s="46"/>
      <c r="T17" s="46"/>
      <c r="U17" s="46"/>
    </row>
    <row r="18" spans="1:21" ht="12.2" customHeight="1">
      <c r="A18" s="101" t="s">
        <v>172</v>
      </c>
      <c r="B18" s="100"/>
      <c r="C18" s="100"/>
      <c r="D18" s="100"/>
      <c r="E18" s="100"/>
      <c r="F18" s="100"/>
      <c r="G18" s="100"/>
      <c r="H18" s="72"/>
      <c r="I18" s="69"/>
      <c r="J18" s="69"/>
      <c r="K18" s="71"/>
      <c r="L18" s="69"/>
      <c r="M18" s="69"/>
      <c r="N18" s="71"/>
      <c r="O18" s="69"/>
      <c r="P18" s="69"/>
      <c r="Q18" s="71"/>
      <c r="R18" s="46"/>
      <c r="S18" s="46"/>
      <c r="T18" s="46"/>
      <c r="U18" s="46"/>
    </row>
    <row r="19" spans="1:21" ht="12.2" customHeight="1">
      <c r="A19" s="482"/>
      <c r="B19" s="483"/>
      <c r="C19" s="483"/>
      <c r="D19" s="483"/>
      <c r="E19" s="483"/>
      <c r="F19" s="483"/>
      <c r="G19" s="483"/>
      <c r="H19" s="484"/>
      <c r="I19" s="491" t="s">
        <v>182</v>
      </c>
      <c r="J19" s="492"/>
      <c r="K19" s="492"/>
      <c r="L19" s="491" t="s">
        <v>111</v>
      </c>
      <c r="M19" s="492"/>
      <c r="N19" s="492"/>
      <c r="O19" s="527" t="s">
        <v>98</v>
      </c>
      <c r="P19" s="528"/>
      <c r="Q19" s="528"/>
      <c r="R19" s="444" t="s">
        <v>242</v>
      </c>
      <c r="S19" s="445"/>
      <c r="T19" s="446"/>
      <c r="U19" s="46"/>
    </row>
    <row r="20" spans="1:21" ht="12.2" customHeight="1">
      <c r="A20" s="485"/>
      <c r="B20" s="486"/>
      <c r="C20" s="486"/>
      <c r="D20" s="486"/>
      <c r="E20" s="486"/>
      <c r="F20" s="486"/>
      <c r="G20" s="486"/>
      <c r="H20" s="487"/>
      <c r="I20" s="465">
        <f>$I$6</f>
        <v>19</v>
      </c>
      <c r="J20" s="472">
        <f>$J$6</f>
        <v>18</v>
      </c>
      <c r="K20" s="17" t="s">
        <v>1</v>
      </c>
      <c r="L20" s="465">
        <f>$I$6</f>
        <v>19</v>
      </c>
      <c r="M20" s="472">
        <f>$J$6</f>
        <v>18</v>
      </c>
      <c r="N20" s="27" t="s">
        <v>1</v>
      </c>
      <c r="O20" s="465">
        <f>$I$6</f>
        <v>19</v>
      </c>
      <c r="P20" s="472">
        <f>$J$6</f>
        <v>18</v>
      </c>
      <c r="Q20" s="27" t="s">
        <v>1</v>
      </c>
      <c r="R20" s="447"/>
      <c r="S20" s="448"/>
      <c r="T20" s="449"/>
      <c r="U20" s="46"/>
    </row>
    <row r="21" spans="1:21" ht="12.75" customHeight="1">
      <c r="A21" s="488"/>
      <c r="B21" s="489"/>
      <c r="C21" s="489"/>
      <c r="D21" s="489"/>
      <c r="E21" s="489"/>
      <c r="F21" s="489"/>
      <c r="G21" s="489"/>
      <c r="H21" s="490"/>
      <c r="I21" s="466"/>
      <c r="J21" s="473"/>
      <c r="K21" s="20" t="s">
        <v>173</v>
      </c>
      <c r="L21" s="466"/>
      <c r="M21" s="473"/>
      <c r="N21" s="28" t="s">
        <v>173</v>
      </c>
      <c r="O21" s="466"/>
      <c r="P21" s="473"/>
      <c r="Q21" s="28" t="s">
        <v>173</v>
      </c>
      <c r="R21" s="450"/>
      <c r="S21" s="451"/>
      <c r="T21" s="452"/>
      <c r="U21" s="46"/>
    </row>
    <row r="22" spans="1:21" ht="12.75" customHeight="1">
      <c r="A22" s="470" t="s">
        <v>107</v>
      </c>
      <c r="B22" s="471"/>
      <c r="C22" s="471"/>
      <c r="D22" s="471"/>
      <c r="E22" s="471"/>
      <c r="F22" s="471"/>
      <c r="G22" s="471"/>
      <c r="H22" s="119" t="s">
        <v>186</v>
      </c>
      <c r="I22" s="166"/>
      <c r="J22" s="167"/>
      <c r="K22" s="171" t="str">
        <f>IF(I22="-", "-", IF(J22="-", "-", IF(ABS(J22)=0, "-", ROUND(100*(I22-J22)/ABS(J22),10))))</f>
        <v>-</v>
      </c>
      <c r="L22" s="166"/>
      <c r="M22" s="167"/>
      <c r="N22" s="171" t="str">
        <f>IF(L22="-", "-", IF(M22="-", "-", IF(ABS(M22)=0, "-", ROUND(100*(L22-M22)/ABS(M22),10))))</f>
        <v>-</v>
      </c>
      <c r="O22" s="166"/>
      <c r="P22" s="167"/>
      <c r="Q22" s="171" t="str">
        <f>IF(O22="-", "-", IF(P22="-", "-", IF(ABS(P22)=0, "-", ROUND(100*(O22-P22)/ABS(P22),10))))</f>
        <v>-</v>
      </c>
      <c r="R22" s="532"/>
      <c r="S22" s="533"/>
      <c r="T22" s="534"/>
      <c r="U22" s="46"/>
    </row>
    <row r="23" spans="1:21" ht="12.75" customHeight="1">
      <c r="R23" s="46"/>
      <c r="S23" s="46"/>
      <c r="T23" s="46"/>
      <c r="U23" s="46"/>
    </row>
    <row r="24" spans="1:21" ht="12.75" customHeight="1">
      <c r="A24" s="47" t="s">
        <v>174</v>
      </c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</row>
    <row r="25" spans="1:21" ht="12.75" customHeight="1">
      <c r="A25" s="482"/>
      <c r="B25" s="483"/>
      <c r="C25" s="483"/>
      <c r="D25" s="483"/>
      <c r="E25" s="483"/>
      <c r="F25" s="483"/>
      <c r="G25" s="483"/>
      <c r="H25" s="484"/>
      <c r="I25" s="491" t="s">
        <v>108</v>
      </c>
      <c r="J25" s="492"/>
      <c r="K25" s="492"/>
      <c r="L25" s="491" t="s">
        <v>109</v>
      </c>
      <c r="M25" s="492"/>
      <c r="N25" s="492"/>
      <c r="O25" s="491" t="s">
        <v>110</v>
      </c>
      <c r="P25" s="492"/>
      <c r="Q25" s="492"/>
      <c r="R25" s="527" t="s">
        <v>98</v>
      </c>
      <c r="S25" s="528"/>
      <c r="T25" s="528"/>
      <c r="U25" s="441" t="s">
        <v>242</v>
      </c>
    </row>
    <row r="26" spans="1:21" ht="12.75" customHeight="1">
      <c r="A26" s="485"/>
      <c r="B26" s="486"/>
      <c r="C26" s="486"/>
      <c r="D26" s="486"/>
      <c r="E26" s="486"/>
      <c r="F26" s="486"/>
      <c r="G26" s="486"/>
      <c r="H26" s="487"/>
      <c r="I26" s="465">
        <f>$I$6</f>
        <v>19</v>
      </c>
      <c r="J26" s="472">
        <f>$J$6</f>
        <v>18</v>
      </c>
      <c r="K26" s="17" t="s">
        <v>1</v>
      </c>
      <c r="L26" s="465">
        <f>$I$6</f>
        <v>19</v>
      </c>
      <c r="M26" s="472">
        <f>$J$6</f>
        <v>18</v>
      </c>
      <c r="N26" s="27" t="s">
        <v>1</v>
      </c>
      <c r="O26" s="465">
        <f>$I$6</f>
        <v>19</v>
      </c>
      <c r="P26" s="472">
        <f>$J$6</f>
        <v>18</v>
      </c>
      <c r="Q26" s="17" t="s">
        <v>1</v>
      </c>
      <c r="R26" s="465">
        <f>$I$6</f>
        <v>19</v>
      </c>
      <c r="S26" s="472">
        <f>$J$6</f>
        <v>18</v>
      </c>
      <c r="T26" s="27" t="s">
        <v>1</v>
      </c>
      <c r="U26" s="442"/>
    </row>
    <row r="27" spans="1:21" ht="12.75" customHeight="1">
      <c r="A27" s="488"/>
      <c r="B27" s="489"/>
      <c r="C27" s="489"/>
      <c r="D27" s="489"/>
      <c r="E27" s="489"/>
      <c r="F27" s="489"/>
      <c r="G27" s="489"/>
      <c r="H27" s="490"/>
      <c r="I27" s="466"/>
      <c r="J27" s="473"/>
      <c r="K27" s="20" t="s">
        <v>173</v>
      </c>
      <c r="L27" s="466"/>
      <c r="M27" s="473"/>
      <c r="N27" s="28" t="s">
        <v>173</v>
      </c>
      <c r="O27" s="466"/>
      <c r="P27" s="473"/>
      <c r="Q27" s="20" t="s">
        <v>173</v>
      </c>
      <c r="R27" s="466"/>
      <c r="S27" s="473"/>
      <c r="T27" s="28" t="s">
        <v>173</v>
      </c>
      <c r="U27" s="443"/>
    </row>
    <row r="28" spans="1:21" ht="12.75" customHeight="1">
      <c r="A28" s="470" t="s">
        <v>107</v>
      </c>
      <c r="B28" s="471"/>
      <c r="C28" s="471"/>
      <c r="D28" s="471"/>
      <c r="E28" s="471"/>
      <c r="F28" s="471"/>
      <c r="G28" s="471"/>
      <c r="H28" s="119" t="s">
        <v>186</v>
      </c>
      <c r="I28" s="166"/>
      <c r="J28" s="167"/>
      <c r="K28" s="171" t="str">
        <f>IF(I28="-", "-", IF(J28="-", "-", IF(ABS(J28)=0, "-", ROUND(100*(I28-J28)/ABS(J28),10))))</f>
        <v>-</v>
      </c>
      <c r="L28" s="166"/>
      <c r="M28" s="167"/>
      <c r="N28" s="171" t="str">
        <f>IF(L28="-", "-", IF(M28="-", "-", IF(ABS(M28)=0, "-", ROUND(100*(L28-M28)/ABS(M28),10))))</f>
        <v>-</v>
      </c>
      <c r="O28" s="166"/>
      <c r="P28" s="167"/>
      <c r="Q28" s="171" t="str">
        <f>IF(O28="-", "-", IF(P28="-", "-", IF(ABS(P28)=0, "-", ROUND(100*(O28-P28)/ABS(P28),10))))</f>
        <v>-</v>
      </c>
      <c r="R28" s="166"/>
      <c r="S28" s="167"/>
      <c r="T28" s="171" t="str">
        <f>IF(R28="-", "-", IF(S28="-", "-", IF(ABS(S28)=0, "-", ROUND(100*(R28-S28)/ABS(S28),10))))</f>
        <v>-</v>
      </c>
      <c r="U28" s="284"/>
    </row>
    <row r="29" spans="1:21" ht="13.7" customHeight="1"/>
    <row r="30" spans="1:21" ht="12.75" customHeight="1">
      <c r="A30" s="280"/>
      <c r="B30" s="280"/>
      <c r="C30" s="280"/>
      <c r="D30" s="280"/>
      <c r="E30" s="280"/>
      <c r="F30" s="280"/>
      <c r="G30" s="280"/>
      <c r="H30" s="280"/>
      <c r="I30" s="280"/>
      <c r="J30" s="280"/>
      <c r="K30" s="280"/>
      <c r="L30" s="69"/>
      <c r="M30" s="69"/>
      <c r="N30" s="71"/>
      <c r="O30" s="69"/>
      <c r="P30" s="69"/>
      <c r="Q30" s="71"/>
      <c r="R30" s="69"/>
      <c r="S30" s="69"/>
      <c r="T30" s="71"/>
      <c r="U30" s="71"/>
    </row>
    <row r="31" spans="1:21" ht="15" customHeight="1">
      <c r="A31" s="26" t="s">
        <v>223</v>
      </c>
      <c r="B31" s="46"/>
      <c r="C31" s="46"/>
      <c r="D31" s="46"/>
      <c r="E31" s="46"/>
      <c r="F31" s="49"/>
      <c r="G31" s="49"/>
      <c r="H31" s="26"/>
      <c r="I31" s="46"/>
    </row>
    <row r="32" spans="1:21" ht="12.2" customHeight="1">
      <c r="A32" s="459"/>
      <c r="B32" s="460"/>
      <c r="C32" s="460"/>
      <c r="D32" s="460"/>
      <c r="E32" s="460"/>
      <c r="F32" s="460"/>
      <c r="G32" s="460"/>
      <c r="H32" s="461"/>
      <c r="I32" s="465">
        <f>$I$6</f>
        <v>19</v>
      </c>
      <c r="J32" s="472">
        <f>$J$6</f>
        <v>18</v>
      </c>
      <c r="K32" s="15" t="s">
        <v>1</v>
      </c>
      <c r="L32" s="444" t="s">
        <v>242</v>
      </c>
      <c r="M32" s="445"/>
      <c r="N32" s="445"/>
      <c r="O32" s="446"/>
      <c r="R32" s="98"/>
      <c r="S32" s="98"/>
      <c r="T32" s="27"/>
      <c r="U32" s="27"/>
    </row>
    <row r="33" spans="1:21" ht="12.2" customHeight="1">
      <c r="A33" s="462"/>
      <c r="B33" s="463"/>
      <c r="C33" s="463"/>
      <c r="D33" s="463"/>
      <c r="E33" s="463"/>
      <c r="F33" s="463"/>
      <c r="G33" s="463"/>
      <c r="H33" s="464"/>
      <c r="I33" s="466"/>
      <c r="J33" s="473"/>
      <c r="K33" s="20" t="s">
        <v>3</v>
      </c>
      <c r="L33" s="450"/>
      <c r="M33" s="451"/>
      <c r="N33" s="451"/>
      <c r="O33" s="452"/>
      <c r="R33" s="68"/>
      <c r="S33" s="68"/>
      <c r="T33" s="68"/>
      <c r="U33" s="68"/>
    </row>
    <row r="34" spans="1:21" ht="12.2" customHeight="1">
      <c r="A34" s="467" t="s">
        <v>156</v>
      </c>
      <c r="B34" s="468"/>
      <c r="C34" s="468"/>
      <c r="D34" s="468"/>
      <c r="E34" s="468"/>
      <c r="F34" s="468"/>
      <c r="G34" s="469"/>
      <c r="H34" s="115" t="s">
        <v>160</v>
      </c>
      <c r="I34" s="161"/>
      <c r="J34" s="162"/>
      <c r="K34" s="168" t="str">
        <f>IF(I34="-", "-", IF(J34="-", "-", IF(ABS(J34)=0, "-", ROUND(100*(I34-J34)/ABS(J34),10))))</f>
        <v>-</v>
      </c>
      <c r="L34" s="474"/>
      <c r="M34" s="475"/>
      <c r="N34" s="475"/>
      <c r="O34" s="476"/>
      <c r="R34" s="109"/>
      <c r="S34" s="109"/>
      <c r="T34" s="71"/>
      <c r="U34" s="71"/>
    </row>
    <row r="35" spans="1:21" ht="12.2" customHeight="1">
      <c r="A35" s="453" t="s">
        <v>18</v>
      </c>
      <c r="B35" s="454"/>
      <c r="C35" s="454"/>
      <c r="D35" s="454"/>
      <c r="E35" s="454"/>
      <c r="F35" s="454"/>
      <c r="G35" s="455"/>
      <c r="H35" s="113" t="s">
        <v>160</v>
      </c>
      <c r="I35" s="163"/>
      <c r="J35" s="164"/>
      <c r="K35" s="169" t="str">
        <f t="shared" ref="K35:K38" si="3">IF(I35="-", "-", IF(J35="-", "-", IF(ABS(J35)=0, "-", ROUND(100*(I35-J35)/ABS(J35),10))))</f>
        <v>-</v>
      </c>
      <c r="L35" s="477"/>
      <c r="M35" s="478"/>
      <c r="N35" s="478"/>
      <c r="O35" s="479"/>
    </row>
    <row r="36" spans="1:21" ht="12.75" customHeight="1">
      <c r="A36" s="453" t="s">
        <v>27</v>
      </c>
      <c r="B36" s="454"/>
      <c r="C36" s="454"/>
      <c r="D36" s="454"/>
      <c r="E36" s="454"/>
      <c r="F36" s="454"/>
      <c r="G36" s="455"/>
      <c r="H36" s="113" t="s">
        <v>160</v>
      </c>
      <c r="I36" s="163"/>
      <c r="J36" s="164"/>
      <c r="K36" s="169" t="str">
        <f t="shared" si="3"/>
        <v>-</v>
      </c>
      <c r="L36" s="477"/>
      <c r="M36" s="478"/>
      <c r="N36" s="478"/>
      <c r="O36" s="479"/>
    </row>
    <row r="37" spans="1:21" ht="12.75" customHeight="1">
      <c r="A37" s="453" t="s">
        <v>157</v>
      </c>
      <c r="B37" s="454"/>
      <c r="C37" s="454"/>
      <c r="D37" s="454"/>
      <c r="E37" s="454"/>
      <c r="F37" s="454"/>
      <c r="G37" s="455"/>
      <c r="H37" s="113" t="s">
        <v>160</v>
      </c>
      <c r="I37" s="163"/>
      <c r="J37" s="164"/>
      <c r="K37" s="169" t="str">
        <f t="shared" si="3"/>
        <v>-</v>
      </c>
      <c r="L37" s="477"/>
      <c r="M37" s="478"/>
      <c r="N37" s="478"/>
      <c r="O37" s="479"/>
      <c r="P37" s="69"/>
      <c r="Q37" s="71"/>
      <c r="R37" s="69"/>
      <c r="S37" s="69"/>
      <c r="T37" s="71"/>
      <c r="U37" s="71"/>
    </row>
    <row r="38" spans="1:21" ht="12.75" customHeight="1">
      <c r="A38" s="456" t="s">
        <v>158</v>
      </c>
      <c r="B38" s="457"/>
      <c r="C38" s="457"/>
      <c r="D38" s="457"/>
      <c r="E38" s="457"/>
      <c r="F38" s="457"/>
      <c r="G38" s="458"/>
      <c r="H38" s="114" t="s">
        <v>159</v>
      </c>
      <c r="I38" s="165"/>
      <c r="J38" s="158"/>
      <c r="K38" s="171" t="str">
        <f t="shared" si="3"/>
        <v>-</v>
      </c>
      <c r="L38" s="514"/>
      <c r="M38" s="515"/>
      <c r="N38" s="515"/>
      <c r="O38" s="516"/>
      <c r="P38" s="69"/>
      <c r="Q38" s="71"/>
      <c r="R38" s="69"/>
      <c r="S38" s="69"/>
      <c r="T38" s="71"/>
      <c r="U38" s="71"/>
    </row>
    <row r="39" spans="1:21" ht="12.75" customHeight="1">
      <c r="A39" s="280"/>
      <c r="B39" s="280"/>
      <c r="C39" s="280"/>
      <c r="D39" s="280"/>
      <c r="E39" s="280"/>
      <c r="F39" s="280"/>
      <c r="G39" s="280"/>
      <c r="H39" s="280"/>
      <c r="I39" s="280"/>
      <c r="J39" s="280"/>
      <c r="K39" s="280"/>
      <c r="R39" s="69"/>
      <c r="S39" s="69"/>
      <c r="T39" s="71"/>
      <c r="U39" s="71"/>
    </row>
    <row r="40" spans="1:21" ht="6.75" customHeight="1"/>
    <row r="44" spans="1:21" ht="15" customHeight="1">
      <c r="I44" s="513"/>
      <c r="J44" s="513"/>
      <c r="K44" s="513"/>
      <c r="L44" s="513"/>
      <c r="M44" s="513"/>
      <c r="N44" s="513"/>
      <c r="O44" s="513"/>
      <c r="P44" s="513"/>
      <c r="Q44" s="513"/>
      <c r="R44" s="512"/>
      <c r="S44" s="512"/>
      <c r="T44" s="512"/>
      <c r="U44" s="270"/>
    </row>
    <row r="45" spans="1:21" ht="15" customHeight="1">
      <c r="I45" s="513"/>
      <c r="J45" s="513"/>
      <c r="K45" s="513"/>
      <c r="L45" s="513"/>
      <c r="M45" s="513"/>
      <c r="N45" s="513"/>
      <c r="O45" s="513"/>
      <c r="P45" s="513"/>
      <c r="Q45" s="513"/>
      <c r="R45" s="512"/>
      <c r="S45" s="512"/>
      <c r="T45" s="512"/>
      <c r="U45" s="270"/>
    </row>
  </sheetData>
  <mergeCells count="80">
    <mergeCell ref="J32:J33"/>
    <mergeCell ref="O19:Q19"/>
    <mergeCell ref="R11:T11"/>
    <mergeCell ref="R12:T12"/>
    <mergeCell ref="I25:K25"/>
    <mergeCell ref="I19:K19"/>
    <mergeCell ref="L19:N19"/>
    <mergeCell ref="L25:N25"/>
    <mergeCell ref="R15:T15"/>
    <mergeCell ref="P20:P21"/>
    <mergeCell ref="R25:T25"/>
    <mergeCell ref="R22:T22"/>
    <mergeCell ref="O25:Q25"/>
    <mergeCell ref="R26:R27"/>
    <mergeCell ref="S26:S27"/>
    <mergeCell ref="I26:I27"/>
    <mergeCell ref="R13:T13"/>
    <mergeCell ref="R14:T14"/>
    <mergeCell ref="P6:P7"/>
    <mergeCell ref="J26:J27"/>
    <mergeCell ref="I20:I21"/>
    <mergeCell ref="J20:J21"/>
    <mergeCell ref="L20:L21"/>
    <mergeCell ref="I6:I7"/>
    <mergeCell ref="L6:L7"/>
    <mergeCell ref="R5:T7"/>
    <mergeCell ref="R8:T8"/>
    <mergeCell ref="R9:T9"/>
    <mergeCell ref="R10:T10"/>
    <mergeCell ref="O6:O7"/>
    <mergeCell ref="L38:O38"/>
    <mergeCell ref="L26:L27"/>
    <mergeCell ref="M26:M27"/>
    <mergeCell ref="O1:Q1"/>
    <mergeCell ref="O2:Q2"/>
    <mergeCell ref="L5:N5"/>
    <mergeCell ref="L32:O33"/>
    <mergeCell ref="O5:Q5"/>
    <mergeCell ref="M6:M7"/>
    <mergeCell ref="M20:M21"/>
    <mergeCell ref="O20:O21"/>
    <mergeCell ref="R44:T45"/>
    <mergeCell ref="I45:K45"/>
    <mergeCell ref="L45:N45"/>
    <mergeCell ref="O45:Q45"/>
    <mergeCell ref="I44:K44"/>
    <mergeCell ref="L44:N44"/>
    <mergeCell ref="O44:Q44"/>
    <mergeCell ref="A15:G15"/>
    <mergeCell ref="A25:H27"/>
    <mergeCell ref="A22:G22"/>
    <mergeCell ref="A19:H21"/>
    <mergeCell ref="I5:K5"/>
    <mergeCell ref="A12:B14"/>
    <mergeCell ref="C12:G12"/>
    <mergeCell ref="C13:G13"/>
    <mergeCell ref="C14:G14"/>
    <mergeCell ref="A5:H7"/>
    <mergeCell ref="A8:B11"/>
    <mergeCell ref="C8:G8"/>
    <mergeCell ref="C9:G9"/>
    <mergeCell ref="C10:G10"/>
    <mergeCell ref="C11:G11"/>
    <mergeCell ref="J6:J7"/>
    <mergeCell ref="U25:U27"/>
    <mergeCell ref="R19:T21"/>
    <mergeCell ref="A37:G37"/>
    <mergeCell ref="A38:G38"/>
    <mergeCell ref="A32:H33"/>
    <mergeCell ref="I32:I33"/>
    <mergeCell ref="A34:G34"/>
    <mergeCell ref="A35:G35"/>
    <mergeCell ref="A36:G36"/>
    <mergeCell ref="A28:G28"/>
    <mergeCell ref="O26:O27"/>
    <mergeCell ref="P26:P27"/>
    <mergeCell ref="L34:O34"/>
    <mergeCell ref="L35:O35"/>
    <mergeCell ref="L36:O36"/>
    <mergeCell ref="L37:O37"/>
  </mergeCells>
  <phoneticPr fontId="1"/>
  <pageMargins left="0.78740157480314965" right="0.39370078740157483" top="0.78740157480314965" bottom="0.39370078740157483" header="0.31496062992125984" footer="0.19685039370078741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66"/>
  <sheetViews>
    <sheetView showGridLines="0" view="pageBreakPreview" zoomScaleNormal="100" zoomScaleSheetLayoutView="100" workbookViewId="0">
      <selection activeCell="L8" sqref="L8:P8"/>
    </sheetView>
  </sheetViews>
  <sheetFormatPr defaultColWidth="9" defaultRowHeight="15" customHeight="1"/>
  <cols>
    <col min="1" max="4" width="2.625" style="2" customWidth="1"/>
    <col min="5" max="5" width="17.625" style="2" customWidth="1"/>
    <col min="6" max="7" width="11.75" style="2" customWidth="1"/>
    <col min="8" max="8" width="9.625" style="2" customWidth="1"/>
    <col min="9" max="10" width="11.75" style="2" customWidth="1"/>
    <col min="11" max="11" width="9.625" style="2" customWidth="1"/>
    <col min="12" max="12" width="4.125" style="2" customWidth="1"/>
    <col min="13" max="13" width="3.375" style="2" customWidth="1"/>
    <col min="14" max="14" width="3.875" style="2" customWidth="1"/>
    <col min="15" max="15" width="4.875" style="2" customWidth="1"/>
    <col min="16" max="16" width="66.625" style="2" customWidth="1"/>
    <col min="17" max="19" width="6.875" style="2" customWidth="1"/>
    <col min="20" max="24" width="5.625" style="2" customWidth="1"/>
    <col min="25" max="16384" width="9" style="2"/>
  </cols>
  <sheetData>
    <row r="1" spans="1:24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23" t="s">
        <v>113</v>
      </c>
      <c r="L1" s="324"/>
      <c r="M1" s="324"/>
      <c r="N1" s="324"/>
      <c r="O1" s="325"/>
      <c r="P1" s="46"/>
    </row>
    <row r="2" spans="1:24" ht="15" customHeight="1">
      <c r="A2" s="1" t="s">
        <v>165</v>
      </c>
      <c r="B2" s="1"/>
      <c r="C2" s="1"/>
      <c r="D2" s="1"/>
      <c r="E2" s="1"/>
      <c r="F2" s="1"/>
      <c r="G2" s="1"/>
      <c r="H2" s="1"/>
      <c r="I2" s="102"/>
      <c r="J2" s="102"/>
      <c r="K2" s="408" t="str">
        <f>IF(No.1!O2="","",No.1!O2)</f>
        <v/>
      </c>
      <c r="L2" s="409"/>
      <c r="M2" s="409"/>
      <c r="N2" s="409"/>
      <c r="O2" s="410"/>
    </row>
    <row r="3" spans="1:24" ht="13.7" customHeight="1">
      <c r="A3" s="11"/>
      <c r="B3" s="11"/>
      <c r="C3" s="11"/>
      <c r="D3" s="11"/>
      <c r="E3" s="11"/>
      <c r="F3" s="11"/>
      <c r="G3" s="11"/>
      <c r="H3" s="11"/>
      <c r="P3" s="4"/>
      <c r="Q3" s="4"/>
    </row>
    <row r="4" spans="1:24" ht="13.7" customHeight="1">
      <c r="A4" s="5" t="s">
        <v>224</v>
      </c>
      <c r="J4" s="12"/>
      <c r="K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</row>
    <row r="5" spans="1:24" ht="13.7" customHeight="1">
      <c r="A5" s="411"/>
      <c r="B5" s="412"/>
      <c r="C5" s="412"/>
      <c r="D5" s="412"/>
      <c r="E5" s="412"/>
      <c r="F5" s="541" t="s">
        <v>228</v>
      </c>
      <c r="G5" s="542"/>
      <c r="H5" s="542"/>
      <c r="I5" s="541" t="s">
        <v>43</v>
      </c>
      <c r="J5" s="542"/>
      <c r="K5" s="543"/>
      <c r="L5" s="444" t="s">
        <v>242</v>
      </c>
      <c r="M5" s="445"/>
      <c r="N5" s="445"/>
      <c r="O5" s="445"/>
      <c r="P5" s="446"/>
      <c r="Q5" s="12"/>
      <c r="R5" s="12"/>
      <c r="S5" s="12"/>
      <c r="T5" s="12"/>
      <c r="U5" s="12"/>
    </row>
    <row r="6" spans="1:24" ht="13.7" customHeight="1">
      <c r="A6" s="544"/>
      <c r="B6" s="545"/>
      <c r="C6" s="545"/>
      <c r="D6" s="545"/>
      <c r="E6" s="545"/>
      <c r="F6" s="124">
        <f>No.1!H5</f>
        <v>19</v>
      </c>
      <c r="G6" s="125">
        <f>F6-1</f>
        <v>18</v>
      </c>
      <c r="H6" s="31" t="s">
        <v>1</v>
      </c>
      <c r="I6" s="126">
        <f>F6</f>
        <v>19</v>
      </c>
      <c r="J6" s="125">
        <f>G6</f>
        <v>18</v>
      </c>
      <c r="K6" s="31" t="s">
        <v>1</v>
      </c>
      <c r="L6" s="447"/>
      <c r="M6" s="448"/>
      <c r="N6" s="448"/>
      <c r="O6" s="448"/>
      <c r="P6" s="449"/>
      <c r="Q6" s="12"/>
      <c r="R6" s="12"/>
      <c r="S6" s="12"/>
      <c r="T6" s="12"/>
      <c r="U6" s="12"/>
    </row>
    <row r="7" spans="1:24" ht="13.7" customHeight="1">
      <c r="A7" s="414"/>
      <c r="B7" s="415"/>
      <c r="C7" s="415"/>
      <c r="D7" s="415"/>
      <c r="E7" s="415"/>
      <c r="F7" s="122" t="s">
        <v>195</v>
      </c>
      <c r="G7" s="123" t="s">
        <v>195</v>
      </c>
      <c r="H7" s="33" t="s">
        <v>163</v>
      </c>
      <c r="I7" s="34" t="s">
        <v>44</v>
      </c>
      <c r="J7" s="7" t="s">
        <v>2</v>
      </c>
      <c r="K7" s="8" t="s">
        <v>163</v>
      </c>
      <c r="L7" s="450"/>
      <c r="M7" s="451"/>
      <c r="N7" s="451"/>
      <c r="O7" s="451"/>
      <c r="P7" s="452"/>
      <c r="Q7" s="12"/>
      <c r="R7" s="12"/>
      <c r="S7" s="12"/>
      <c r="T7" s="12"/>
      <c r="U7" s="12"/>
    </row>
    <row r="8" spans="1:24" ht="12.2" customHeight="1">
      <c r="A8" s="389" t="s">
        <v>183</v>
      </c>
      <c r="B8" s="390"/>
      <c r="C8" s="390"/>
      <c r="D8" s="390"/>
      <c r="E8" s="390"/>
      <c r="F8" s="172"/>
      <c r="G8" s="173"/>
      <c r="H8" s="174"/>
      <c r="I8" s="175"/>
      <c r="J8" s="149"/>
      <c r="K8" s="176" t="str">
        <f>IF(I8="-", "-", IF(J8="-", "-", IF(ABS(J8)=0, "-", ROUND(100*(I8-J8)/ABS(J8),10))))</f>
        <v>-</v>
      </c>
      <c r="L8" s="538"/>
      <c r="M8" s="539"/>
      <c r="N8" s="539"/>
      <c r="O8" s="539"/>
      <c r="P8" s="540"/>
    </row>
    <row r="9" spans="1:24" ht="12.2" customHeight="1">
      <c r="A9" s="83"/>
      <c r="B9" s="423" t="s">
        <v>184</v>
      </c>
      <c r="C9" s="424"/>
      <c r="D9" s="424"/>
      <c r="E9" s="424"/>
      <c r="F9" s="177"/>
      <c r="G9" s="178"/>
      <c r="H9" s="179"/>
      <c r="I9" s="175"/>
      <c r="J9" s="149"/>
      <c r="K9" s="142" t="str">
        <f t="shared" ref="K9:K57" si="0">IF(I9="-", "-", IF(J9="-", "-", IF(ABS(J9)=0, "-", ROUND(100*(I9-J9)/ABS(J9),10))))</f>
        <v>-</v>
      </c>
      <c r="L9" s="535"/>
      <c r="M9" s="536"/>
      <c r="N9" s="536"/>
      <c r="O9" s="536"/>
      <c r="P9" s="537"/>
    </row>
    <row r="10" spans="1:24" ht="12.2" customHeight="1">
      <c r="A10" s="32"/>
      <c r="B10" s="85"/>
      <c r="C10" s="35"/>
      <c r="D10" s="382" t="s">
        <v>72</v>
      </c>
      <c r="E10" s="381"/>
      <c r="F10" s="177"/>
      <c r="G10" s="178"/>
      <c r="H10" s="179"/>
      <c r="I10" s="175"/>
      <c r="J10" s="149"/>
      <c r="K10" s="142" t="str">
        <f t="shared" si="0"/>
        <v>-</v>
      </c>
      <c r="L10" s="535"/>
      <c r="M10" s="536"/>
      <c r="N10" s="536"/>
      <c r="O10" s="536"/>
      <c r="P10" s="537"/>
    </row>
    <row r="11" spans="1:24" ht="12.2" customHeight="1">
      <c r="A11" s="83"/>
      <c r="B11" s="85"/>
      <c r="C11" s="382" t="s">
        <v>218</v>
      </c>
      <c r="D11" s="380"/>
      <c r="E11" s="380"/>
      <c r="F11" s="177"/>
      <c r="G11" s="178"/>
      <c r="H11" s="179"/>
      <c r="I11" s="175"/>
      <c r="J11" s="149"/>
      <c r="K11" s="142" t="str">
        <f t="shared" si="0"/>
        <v>-</v>
      </c>
      <c r="L11" s="535"/>
      <c r="M11" s="536"/>
      <c r="N11" s="536"/>
      <c r="O11" s="536"/>
      <c r="P11" s="537"/>
    </row>
    <row r="12" spans="1:24" ht="12.2" customHeight="1">
      <c r="A12" s="83"/>
      <c r="B12" s="85"/>
      <c r="C12" s="382" t="s">
        <v>229</v>
      </c>
      <c r="D12" s="380"/>
      <c r="E12" s="380"/>
      <c r="F12" s="177"/>
      <c r="G12" s="178"/>
      <c r="H12" s="179"/>
      <c r="I12" s="175"/>
      <c r="J12" s="149"/>
      <c r="K12" s="142" t="str">
        <f t="shared" si="0"/>
        <v>-</v>
      </c>
      <c r="L12" s="535"/>
      <c r="M12" s="536"/>
      <c r="N12" s="536"/>
      <c r="O12" s="536"/>
      <c r="P12" s="537"/>
    </row>
    <row r="13" spans="1:24" ht="12.2" customHeight="1">
      <c r="A13" s="83"/>
      <c r="B13" s="85"/>
      <c r="C13" s="382" t="s">
        <v>45</v>
      </c>
      <c r="D13" s="380"/>
      <c r="E13" s="380"/>
      <c r="F13" s="177"/>
      <c r="G13" s="178"/>
      <c r="H13" s="179"/>
      <c r="I13" s="175"/>
      <c r="J13" s="149"/>
      <c r="K13" s="142" t="str">
        <f t="shared" si="0"/>
        <v>-</v>
      </c>
      <c r="L13" s="535"/>
      <c r="M13" s="536"/>
      <c r="N13" s="536"/>
      <c r="O13" s="536"/>
      <c r="P13" s="537"/>
    </row>
    <row r="14" spans="1:24" ht="12.2" customHeight="1">
      <c r="A14" s="83"/>
      <c r="B14" s="85"/>
      <c r="C14" s="382" t="s">
        <v>230</v>
      </c>
      <c r="D14" s="380"/>
      <c r="E14" s="380"/>
      <c r="F14" s="177"/>
      <c r="G14" s="178"/>
      <c r="H14" s="179"/>
      <c r="I14" s="175"/>
      <c r="J14" s="149"/>
      <c r="K14" s="142" t="str">
        <f t="shared" si="0"/>
        <v>-</v>
      </c>
      <c r="L14" s="535"/>
      <c r="M14" s="536"/>
      <c r="N14" s="536"/>
      <c r="O14" s="536"/>
      <c r="P14" s="537"/>
    </row>
    <row r="15" spans="1:24" ht="12.2" customHeight="1">
      <c r="A15" s="83"/>
      <c r="B15" s="85"/>
      <c r="C15" s="382" t="s">
        <v>231</v>
      </c>
      <c r="D15" s="380"/>
      <c r="E15" s="380"/>
      <c r="F15" s="177"/>
      <c r="G15" s="178"/>
      <c r="H15" s="179"/>
      <c r="I15" s="175"/>
      <c r="J15" s="149"/>
      <c r="K15" s="142" t="str">
        <f t="shared" si="0"/>
        <v>-</v>
      </c>
      <c r="L15" s="535"/>
      <c r="M15" s="536"/>
      <c r="N15" s="536"/>
      <c r="O15" s="536"/>
      <c r="P15" s="537"/>
    </row>
    <row r="16" spans="1:24" ht="12.2" customHeight="1">
      <c r="A16" s="83"/>
      <c r="B16" s="85"/>
      <c r="C16" s="382" t="s">
        <v>232</v>
      </c>
      <c r="D16" s="380"/>
      <c r="E16" s="380"/>
      <c r="F16" s="177"/>
      <c r="G16" s="178"/>
      <c r="H16" s="179"/>
      <c r="I16" s="175"/>
      <c r="J16" s="149"/>
      <c r="K16" s="142" t="str">
        <f t="shared" si="0"/>
        <v>-</v>
      </c>
      <c r="L16" s="535"/>
      <c r="M16" s="536"/>
      <c r="N16" s="536"/>
      <c r="O16" s="536"/>
      <c r="P16" s="537"/>
    </row>
    <row r="17" spans="1:16" ht="12.2" customHeight="1">
      <c r="A17" s="83"/>
      <c r="B17" s="85"/>
      <c r="C17" s="382" t="s">
        <v>233</v>
      </c>
      <c r="D17" s="380"/>
      <c r="E17" s="380"/>
      <c r="F17" s="177"/>
      <c r="G17" s="178"/>
      <c r="H17" s="179"/>
      <c r="I17" s="175"/>
      <c r="J17" s="149"/>
      <c r="K17" s="142" t="str">
        <f t="shared" si="0"/>
        <v>-</v>
      </c>
      <c r="L17" s="535"/>
      <c r="M17" s="536"/>
      <c r="N17" s="536"/>
      <c r="O17" s="536"/>
      <c r="P17" s="537"/>
    </row>
    <row r="18" spans="1:16" ht="12.2" customHeight="1">
      <c r="A18" s="83"/>
      <c r="B18" s="85"/>
      <c r="C18" s="382" t="s">
        <v>234</v>
      </c>
      <c r="D18" s="380"/>
      <c r="E18" s="380"/>
      <c r="F18" s="177"/>
      <c r="G18" s="178"/>
      <c r="H18" s="179"/>
      <c r="I18" s="175"/>
      <c r="J18" s="149"/>
      <c r="K18" s="142" t="str">
        <f t="shared" si="0"/>
        <v>-</v>
      </c>
      <c r="L18" s="535"/>
      <c r="M18" s="536"/>
      <c r="N18" s="536"/>
      <c r="O18" s="536"/>
      <c r="P18" s="537"/>
    </row>
    <row r="19" spans="1:16" ht="12.2" customHeight="1">
      <c r="A19" s="32"/>
      <c r="B19" s="85"/>
      <c r="C19" s="546" t="s">
        <v>48</v>
      </c>
      <c r="D19" s="547"/>
      <c r="E19" s="548"/>
      <c r="F19" s="177"/>
      <c r="G19" s="178"/>
      <c r="H19" s="179"/>
      <c r="I19" s="175"/>
      <c r="J19" s="149"/>
      <c r="K19" s="142" t="str">
        <f t="shared" si="0"/>
        <v>-</v>
      </c>
      <c r="L19" s="535"/>
      <c r="M19" s="536"/>
      <c r="N19" s="536"/>
      <c r="O19" s="536"/>
      <c r="P19" s="537"/>
    </row>
    <row r="20" spans="1:16" ht="12.2" customHeight="1">
      <c r="A20" s="83"/>
      <c r="B20" s="85"/>
      <c r="C20" s="382" t="s">
        <v>47</v>
      </c>
      <c r="D20" s="380"/>
      <c r="E20" s="380"/>
      <c r="F20" s="177"/>
      <c r="G20" s="178"/>
      <c r="H20" s="179"/>
      <c r="I20" s="175"/>
      <c r="J20" s="149"/>
      <c r="K20" s="142" t="str">
        <f t="shared" si="0"/>
        <v>-</v>
      </c>
      <c r="L20" s="535"/>
      <c r="M20" s="536"/>
      <c r="N20" s="536"/>
      <c r="O20" s="536"/>
      <c r="P20" s="537"/>
    </row>
    <row r="21" spans="1:16" ht="12.2" customHeight="1">
      <c r="A21" s="32"/>
      <c r="B21" s="85"/>
      <c r="C21" s="382" t="s">
        <v>49</v>
      </c>
      <c r="D21" s="380"/>
      <c r="E21" s="380"/>
      <c r="F21" s="177"/>
      <c r="G21" s="178"/>
      <c r="H21" s="179"/>
      <c r="I21" s="175"/>
      <c r="J21" s="149"/>
      <c r="K21" s="142" t="str">
        <f t="shared" si="0"/>
        <v>-</v>
      </c>
      <c r="L21" s="535"/>
      <c r="M21" s="536"/>
      <c r="N21" s="536"/>
      <c r="O21" s="536"/>
      <c r="P21" s="537"/>
    </row>
    <row r="22" spans="1:16" ht="12.2" customHeight="1">
      <c r="A22" s="83"/>
      <c r="B22" s="85"/>
      <c r="C22" s="382" t="s">
        <v>235</v>
      </c>
      <c r="D22" s="380"/>
      <c r="E22" s="380"/>
      <c r="F22" s="177"/>
      <c r="G22" s="178"/>
      <c r="H22" s="179"/>
      <c r="I22" s="175"/>
      <c r="J22" s="149"/>
      <c r="K22" s="142" t="str">
        <f t="shared" si="0"/>
        <v>-</v>
      </c>
      <c r="L22" s="535"/>
      <c r="M22" s="536"/>
      <c r="N22" s="536"/>
      <c r="O22" s="536"/>
      <c r="P22" s="537"/>
    </row>
    <row r="23" spans="1:16" ht="12.2" customHeight="1">
      <c r="A23" s="83"/>
      <c r="B23" s="85"/>
      <c r="C23" s="382" t="s">
        <v>46</v>
      </c>
      <c r="D23" s="380"/>
      <c r="E23" s="380"/>
      <c r="F23" s="177"/>
      <c r="G23" s="178"/>
      <c r="H23" s="179"/>
      <c r="I23" s="175"/>
      <c r="J23" s="149"/>
      <c r="K23" s="142" t="str">
        <f t="shared" si="0"/>
        <v>-</v>
      </c>
      <c r="L23" s="535"/>
      <c r="M23" s="536"/>
      <c r="N23" s="536"/>
      <c r="O23" s="536"/>
      <c r="P23" s="537"/>
    </row>
    <row r="24" spans="1:16" ht="12.2" customHeight="1">
      <c r="A24" s="83"/>
      <c r="B24" s="85"/>
      <c r="C24" s="382" t="s">
        <v>50</v>
      </c>
      <c r="D24" s="380"/>
      <c r="E24" s="381"/>
      <c r="F24" s="177"/>
      <c r="G24" s="178"/>
      <c r="H24" s="179"/>
      <c r="I24" s="175"/>
      <c r="J24" s="149"/>
      <c r="K24" s="142" t="str">
        <f t="shared" si="0"/>
        <v>-</v>
      </c>
      <c r="L24" s="535"/>
      <c r="M24" s="536"/>
      <c r="N24" s="536"/>
      <c r="O24" s="536"/>
      <c r="P24" s="537"/>
    </row>
    <row r="25" spans="1:16" ht="12.2" customHeight="1">
      <c r="A25" s="32"/>
      <c r="B25" s="85"/>
      <c r="C25" s="382" t="s">
        <v>41</v>
      </c>
      <c r="D25" s="380"/>
      <c r="E25" s="381"/>
      <c r="F25" s="177"/>
      <c r="G25" s="178"/>
      <c r="H25" s="179"/>
      <c r="I25" s="175"/>
      <c r="J25" s="149"/>
      <c r="K25" s="142" t="str">
        <f t="shared" si="0"/>
        <v>-</v>
      </c>
      <c r="L25" s="535"/>
      <c r="M25" s="536"/>
      <c r="N25" s="536"/>
      <c r="O25" s="536"/>
      <c r="P25" s="537"/>
    </row>
    <row r="26" spans="1:16" ht="12.2" customHeight="1">
      <c r="A26" s="32"/>
      <c r="B26" s="423" t="s">
        <v>51</v>
      </c>
      <c r="C26" s="424"/>
      <c r="D26" s="424"/>
      <c r="E26" s="424"/>
      <c r="F26" s="177"/>
      <c r="G26" s="178"/>
      <c r="H26" s="179"/>
      <c r="I26" s="175"/>
      <c r="J26" s="149"/>
      <c r="K26" s="142" t="str">
        <f t="shared" si="0"/>
        <v>-</v>
      </c>
      <c r="L26" s="535"/>
      <c r="M26" s="536"/>
      <c r="N26" s="536"/>
      <c r="O26" s="536"/>
      <c r="P26" s="537"/>
    </row>
    <row r="27" spans="1:16" ht="12.2" customHeight="1">
      <c r="A27" s="32"/>
      <c r="B27" s="85"/>
      <c r="C27" s="36"/>
      <c r="D27" s="382" t="s">
        <v>72</v>
      </c>
      <c r="E27" s="381"/>
      <c r="F27" s="177"/>
      <c r="G27" s="178"/>
      <c r="H27" s="179"/>
      <c r="I27" s="175"/>
      <c r="J27" s="149"/>
      <c r="K27" s="142" t="str">
        <f t="shared" si="0"/>
        <v>-</v>
      </c>
      <c r="L27" s="535"/>
      <c r="M27" s="536"/>
      <c r="N27" s="536"/>
      <c r="O27" s="536"/>
      <c r="P27" s="537"/>
    </row>
    <row r="28" spans="1:16" ht="12.2" customHeight="1">
      <c r="A28" s="32"/>
      <c r="B28" s="85"/>
      <c r="C28" s="382" t="s">
        <v>176</v>
      </c>
      <c r="D28" s="380"/>
      <c r="E28" s="380"/>
      <c r="F28" s="180"/>
      <c r="G28" s="181"/>
      <c r="H28" s="142" t="str">
        <f>IF(F28="-", "-", IF(G28="-", "-", IF(ABS(G28)=0, "-", ROUND(100*(F28-G28)/ABS(G28),10))))</f>
        <v>-</v>
      </c>
      <c r="I28" s="175"/>
      <c r="J28" s="149"/>
      <c r="K28" s="142" t="str">
        <f t="shared" si="0"/>
        <v>-</v>
      </c>
      <c r="L28" s="535"/>
      <c r="M28" s="536"/>
      <c r="N28" s="536"/>
      <c r="O28" s="536"/>
      <c r="P28" s="537"/>
    </row>
    <row r="29" spans="1:16" ht="12.2" customHeight="1">
      <c r="A29" s="32"/>
      <c r="B29" s="85"/>
      <c r="C29" s="382" t="s">
        <v>41</v>
      </c>
      <c r="D29" s="380"/>
      <c r="E29" s="380"/>
      <c r="F29" s="177"/>
      <c r="G29" s="178"/>
      <c r="H29" s="179"/>
      <c r="I29" s="175"/>
      <c r="J29" s="149"/>
      <c r="K29" s="142" t="str">
        <f t="shared" si="0"/>
        <v>-</v>
      </c>
      <c r="L29" s="535"/>
      <c r="M29" s="536"/>
      <c r="N29" s="536"/>
      <c r="O29" s="536"/>
      <c r="P29" s="537"/>
    </row>
    <row r="30" spans="1:16" ht="12.2" customHeight="1">
      <c r="A30" s="32"/>
      <c r="B30" s="423" t="s">
        <v>52</v>
      </c>
      <c r="C30" s="424"/>
      <c r="D30" s="424"/>
      <c r="E30" s="424"/>
      <c r="F30" s="177"/>
      <c r="G30" s="178"/>
      <c r="H30" s="179"/>
      <c r="I30" s="175"/>
      <c r="J30" s="149"/>
      <c r="K30" s="142" t="str">
        <f t="shared" si="0"/>
        <v>-</v>
      </c>
      <c r="L30" s="535"/>
      <c r="M30" s="536"/>
      <c r="N30" s="536"/>
      <c r="O30" s="536"/>
      <c r="P30" s="537"/>
    </row>
    <row r="31" spans="1:16" ht="12.2" customHeight="1">
      <c r="A31" s="37"/>
      <c r="B31" s="38"/>
      <c r="C31" s="84"/>
      <c r="D31" s="382" t="s">
        <v>72</v>
      </c>
      <c r="E31" s="381"/>
      <c r="F31" s="182"/>
      <c r="G31" s="183"/>
      <c r="H31" s="184"/>
      <c r="I31" s="175"/>
      <c r="J31" s="151"/>
      <c r="K31" s="142" t="str">
        <f t="shared" si="0"/>
        <v>-</v>
      </c>
      <c r="L31" s="535"/>
      <c r="M31" s="536"/>
      <c r="N31" s="536"/>
      <c r="O31" s="536"/>
      <c r="P31" s="537"/>
    </row>
    <row r="32" spans="1:16" ht="12.2" customHeight="1">
      <c r="A32" s="83"/>
      <c r="B32" s="39"/>
      <c r="C32" s="555" t="s">
        <v>166</v>
      </c>
      <c r="D32" s="556"/>
      <c r="E32" s="81" t="s">
        <v>53</v>
      </c>
      <c r="F32" s="180"/>
      <c r="G32" s="181"/>
      <c r="H32" s="142" t="str">
        <f t="shared" ref="H32:H54" si="1">IF(F32="-", "-", IF(G32="-", "-", IF(ABS(G32)=0, "-", ROUND(100*(F32-G32)/ABS(G32),10))))</f>
        <v>-</v>
      </c>
      <c r="I32" s="175"/>
      <c r="J32" s="149"/>
      <c r="K32" s="142" t="str">
        <f t="shared" si="0"/>
        <v>-</v>
      </c>
      <c r="L32" s="535"/>
      <c r="M32" s="536"/>
      <c r="N32" s="536"/>
      <c r="O32" s="536"/>
      <c r="P32" s="537"/>
    </row>
    <row r="33" spans="1:16" ht="12.2" customHeight="1">
      <c r="A33" s="83"/>
      <c r="B33" s="39"/>
      <c r="C33" s="557"/>
      <c r="D33" s="558"/>
      <c r="E33" s="107" t="s">
        <v>54</v>
      </c>
      <c r="F33" s="180"/>
      <c r="G33" s="185"/>
      <c r="H33" s="142" t="str">
        <f t="shared" si="1"/>
        <v>-</v>
      </c>
      <c r="I33" s="175"/>
      <c r="J33" s="149"/>
      <c r="K33" s="142" t="str">
        <f t="shared" si="0"/>
        <v>-</v>
      </c>
      <c r="L33" s="535"/>
      <c r="M33" s="536"/>
      <c r="N33" s="536"/>
      <c r="O33" s="536"/>
      <c r="P33" s="537"/>
    </row>
    <row r="34" spans="1:16" ht="12.2" customHeight="1">
      <c r="A34" s="83"/>
      <c r="B34" s="40"/>
      <c r="C34" s="557"/>
      <c r="D34" s="558"/>
      <c r="E34" s="81" t="s">
        <v>236</v>
      </c>
      <c r="F34" s="180"/>
      <c r="G34" s="185"/>
      <c r="H34" s="142" t="str">
        <f t="shared" si="1"/>
        <v>-</v>
      </c>
      <c r="I34" s="175"/>
      <c r="J34" s="149"/>
      <c r="K34" s="142" t="str">
        <f t="shared" si="0"/>
        <v>-</v>
      </c>
      <c r="L34" s="535"/>
      <c r="M34" s="536"/>
      <c r="N34" s="536"/>
      <c r="O34" s="536"/>
      <c r="P34" s="537"/>
    </row>
    <row r="35" spans="1:16" ht="12.2" customHeight="1">
      <c r="A35" s="83"/>
      <c r="B35" s="40"/>
      <c r="C35" s="557"/>
      <c r="D35" s="558"/>
      <c r="E35" s="81" t="s">
        <v>237</v>
      </c>
      <c r="F35" s="180"/>
      <c r="G35" s="185"/>
      <c r="H35" s="142" t="str">
        <f t="shared" si="1"/>
        <v>-</v>
      </c>
      <c r="I35" s="175"/>
      <c r="J35" s="149"/>
      <c r="K35" s="142" t="str">
        <f t="shared" si="0"/>
        <v>-</v>
      </c>
      <c r="L35" s="535"/>
      <c r="M35" s="536"/>
      <c r="N35" s="536"/>
      <c r="O35" s="536"/>
      <c r="P35" s="537"/>
    </row>
    <row r="36" spans="1:16" ht="12.2" customHeight="1">
      <c r="A36" s="83"/>
      <c r="B36" s="40"/>
      <c r="C36" s="559"/>
      <c r="D36" s="560"/>
      <c r="E36" s="81" t="s">
        <v>238</v>
      </c>
      <c r="F36" s="180"/>
      <c r="G36" s="185"/>
      <c r="H36" s="142" t="str">
        <f t="shared" si="1"/>
        <v>-</v>
      </c>
      <c r="I36" s="175"/>
      <c r="J36" s="149"/>
      <c r="K36" s="142" t="str">
        <f t="shared" si="0"/>
        <v>-</v>
      </c>
      <c r="L36" s="535"/>
      <c r="M36" s="536"/>
      <c r="N36" s="536"/>
      <c r="O36" s="536"/>
      <c r="P36" s="537"/>
    </row>
    <row r="37" spans="1:16" ht="12.2" customHeight="1">
      <c r="A37" s="37"/>
      <c r="B37" s="41"/>
      <c r="C37" s="382" t="s">
        <v>70</v>
      </c>
      <c r="D37" s="380"/>
      <c r="E37" s="380"/>
      <c r="F37" s="180"/>
      <c r="G37" s="185"/>
      <c r="H37" s="142" t="str">
        <f t="shared" si="1"/>
        <v>-</v>
      </c>
      <c r="I37" s="175"/>
      <c r="J37" s="149"/>
      <c r="K37" s="142" t="str">
        <f t="shared" si="0"/>
        <v>-</v>
      </c>
      <c r="L37" s="535"/>
      <c r="M37" s="536"/>
      <c r="N37" s="536"/>
      <c r="O37" s="536"/>
      <c r="P37" s="537"/>
    </row>
    <row r="38" spans="1:16" ht="12.2" customHeight="1">
      <c r="A38" s="37"/>
      <c r="B38" s="41"/>
      <c r="C38" s="382" t="s">
        <v>71</v>
      </c>
      <c r="D38" s="380"/>
      <c r="E38" s="380"/>
      <c r="F38" s="180"/>
      <c r="G38" s="185"/>
      <c r="H38" s="142" t="str">
        <f t="shared" si="1"/>
        <v>-</v>
      </c>
      <c r="I38" s="175"/>
      <c r="J38" s="149"/>
      <c r="K38" s="142" t="str">
        <f t="shared" si="0"/>
        <v>-</v>
      </c>
      <c r="L38" s="535"/>
      <c r="M38" s="536"/>
      <c r="N38" s="536"/>
      <c r="O38" s="536"/>
      <c r="P38" s="537"/>
    </row>
    <row r="39" spans="1:16" ht="12.2" customHeight="1">
      <c r="A39" s="37"/>
      <c r="B39" s="41"/>
      <c r="C39" s="382" t="s">
        <v>55</v>
      </c>
      <c r="D39" s="380"/>
      <c r="E39" s="380"/>
      <c r="F39" s="180"/>
      <c r="G39" s="181"/>
      <c r="H39" s="142" t="str">
        <f t="shared" si="1"/>
        <v>-</v>
      </c>
      <c r="I39" s="175"/>
      <c r="J39" s="149"/>
      <c r="K39" s="142" t="str">
        <f t="shared" si="0"/>
        <v>-</v>
      </c>
      <c r="L39" s="535"/>
      <c r="M39" s="536"/>
      <c r="N39" s="536"/>
      <c r="O39" s="536"/>
      <c r="P39" s="537"/>
    </row>
    <row r="40" spans="1:16" ht="12.2" customHeight="1">
      <c r="A40" s="37"/>
      <c r="B40" s="41"/>
      <c r="C40" s="382" t="s">
        <v>56</v>
      </c>
      <c r="D40" s="380"/>
      <c r="E40" s="380"/>
      <c r="F40" s="180"/>
      <c r="G40" s="181"/>
      <c r="H40" s="142" t="str">
        <f t="shared" si="1"/>
        <v>-</v>
      </c>
      <c r="I40" s="175"/>
      <c r="J40" s="149"/>
      <c r="K40" s="142" t="str">
        <f t="shared" si="0"/>
        <v>-</v>
      </c>
      <c r="L40" s="535"/>
      <c r="M40" s="536"/>
      <c r="N40" s="536"/>
      <c r="O40" s="536"/>
      <c r="P40" s="537"/>
    </row>
    <row r="41" spans="1:16" ht="12.2" customHeight="1">
      <c r="A41" s="37"/>
      <c r="B41" s="41"/>
      <c r="C41" s="382" t="s">
        <v>57</v>
      </c>
      <c r="D41" s="380"/>
      <c r="E41" s="380"/>
      <c r="F41" s="180"/>
      <c r="G41" s="181"/>
      <c r="H41" s="142" t="str">
        <f t="shared" si="1"/>
        <v>-</v>
      </c>
      <c r="I41" s="175"/>
      <c r="J41" s="149"/>
      <c r="K41" s="142" t="str">
        <f t="shared" si="0"/>
        <v>-</v>
      </c>
      <c r="L41" s="535"/>
      <c r="M41" s="536"/>
      <c r="N41" s="536"/>
      <c r="O41" s="536"/>
      <c r="P41" s="537"/>
    </row>
    <row r="42" spans="1:16" ht="12.2" customHeight="1">
      <c r="A42" s="37"/>
      <c r="B42" s="41"/>
      <c r="C42" s="382" t="s">
        <v>58</v>
      </c>
      <c r="D42" s="380"/>
      <c r="E42" s="380"/>
      <c r="F42" s="180"/>
      <c r="G42" s="181"/>
      <c r="H42" s="142" t="str">
        <f t="shared" si="1"/>
        <v>-</v>
      </c>
      <c r="I42" s="175"/>
      <c r="J42" s="149"/>
      <c r="K42" s="142" t="str">
        <f t="shared" si="0"/>
        <v>-</v>
      </c>
      <c r="L42" s="535"/>
      <c r="M42" s="536"/>
      <c r="N42" s="536"/>
      <c r="O42" s="536"/>
      <c r="P42" s="537"/>
    </row>
    <row r="43" spans="1:16" ht="12.2" customHeight="1">
      <c r="A43" s="37"/>
      <c r="B43" s="41"/>
      <c r="C43" s="423" t="s">
        <v>217</v>
      </c>
      <c r="D43" s="424"/>
      <c r="E43" s="424"/>
      <c r="F43" s="180"/>
      <c r="G43" s="185"/>
      <c r="H43" s="142" t="str">
        <f t="shared" si="1"/>
        <v>-</v>
      </c>
      <c r="I43" s="175"/>
      <c r="J43" s="149"/>
      <c r="K43" s="142" t="str">
        <f t="shared" si="0"/>
        <v>-</v>
      </c>
      <c r="L43" s="535"/>
      <c r="M43" s="536"/>
      <c r="N43" s="536"/>
      <c r="O43" s="536"/>
      <c r="P43" s="537"/>
    </row>
    <row r="44" spans="1:16" ht="12.2" customHeight="1">
      <c r="A44" s="37"/>
      <c r="B44" s="41"/>
      <c r="C44" s="382" t="s">
        <v>59</v>
      </c>
      <c r="D44" s="380"/>
      <c r="E44" s="380"/>
      <c r="F44" s="180"/>
      <c r="G44" s="181"/>
      <c r="H44" s="142" t="str">
        <f t="shared" si="1"/>
        <v>-</v>
      </c>
      <c r="I44" s="175"/>
      <c r="J44" s="149"/>
      <c r="K44" s="142" t="str">
        <f t="shared" si="0"/>
        <v>-</v>
      </c>
      <c r="L44" s="535"/>
      <c r="M44" s="536"/>
      <c r="N44" s="536"/>
      <c r="O44" s="536"/>
      <c r="P44" s="537"/>
    </row>
    <row r="45" spans="1:16" ht="12.2" customHeight="1">
      <c r="A45" s="83"/>
      <c r="B45" s="42"/>
      <c r="C45" s="549" t="s">
        <v>167</v>
      </c>
      <c r="D45" s="550"/>
      <c r="E45" s="81" t="s">
        <v>60</v>
      </c>
      <c r="F45" s="180"/>
      <c r="G45" s="181"/>
      <c r="H45" s="142" t="str">
        <f t="shared" si="1"/>
        <v>-</v>
      </c>
      <c r="I45" s="175"/>
      <c r="J45" s="149"/>
      <c r="K45" s="142" t="str">
        <f t="shared" si="0"/>
        <v>-</v>
      </c>
      <c r="L45" s="535"/>
      <c r="M45" s="536"/>
      <c r="N45" s="536"/>
      <c r="O45" s="536"/>
      <c r="P45" s="537"/>
    </row>
    <row r="46" spans="1:16" ht="12.2" customHeight="1">
      <c r="A46" s="83"/>
      <c r="B46" s="43"/>
      <c r="C46" s="551"/>
      <c r="D46" s="552"/>
      <c r="E46" s="81" t="s">
        <v>239</v>
      </c>
      <c r="F46" s="180"/>
      <c r="G46" s="181"/>
      <c r="H46" s="142" t="str">
        <f t="shared" si="1"/>
        <v>-</v>
      </c>
      <c r="I46" s="175"/>
      <c r="J46" s="149"/>
      <c r="K46" s="142" t="str">
        <f t="shared" si="0"/>
        <v>-</v>
      </c>
      <c r="L46" s="535"/>
      <c r="M46" s="536"/>
      <c r="N46" s="536"/>
      <c r="O46" s="536"/>
      <c r="P46" s="537"/>
    </row>
    <row r="47" spans="1:16" ht="12.2" customHeight="1">
      <c r="A47" s="83"/>
      <c r="B47" s="43"/>
      <c r="C47" s="553"/>
      <c r="D47" s="554"/>
      <c r="E47" s="81" t="s">
        <v>240</v>
      </c>
      <c r="F47" s="180"/>
      <c r="G47" s="181"/>
      <c r="H47" s="142" t="str">
        <f t="shared" si="1"/>
        <v>-</v>
      </c>
      <c r="I47" s="175"/>
      <c r="J47" s="149"/>
      <c r="K47" s="142" t="str">
        <f t="shared" si="0"/>
        <v>-</v>
      </c>
      <c r="L47" s="535"/>
      <c r="M47" s="536"/>
      <c r="N47" s="536"/>
      <c r="O47" s="536"/>
      <c r="P47" s="537"/>
    </row>
    <row r="48" spans="1:16" ht="12.2" customHeight="1">
      <c r="A48" s="37"/>
      <c r="B48" s="41"/>
      <c r="C48" s="382" t="s">
        <v>61</v>
      </c>
      <c r="D48" s="380"/>
      <c r="E48" s="380"/>
      <c r="F48" s="180"/>
      <c r="G48" s="181"/>
      <c r="H48" s="142" t="str">
        <f t="shared" si="1"/>
        <v>-</v>
      </c>
      <c r="I48" s="175"/>
      <c r="J48" s="149"/>
      <c r="K48" s="142" t="str">
        <f t="shared" si="0"/>
        <v>-</v>
      </c>
      <c r="L48" s="535"/>
      <c r="M48" s="536"/>
      <c r="N48" s="536"/>
      <c r="O48" s="536"/>
      <c r="P48" s="537"/>
    </row>
    <row r="49" spans="1:16" ht="12.2" customHeight="1">
      <c r="A49" s="37"/>
      <c r="B49" s="41"/>
      <c r="C49" s="382" t="s">
        <v>62</v>
      </c>
      <c r="D49" s="380"/>
      <c r="E49" s="380"/>
      <c r="F49" s="180"/>
      <c r="G49" s="181"/>
      <c r="H49" s="142" t="str">
        <f t="shared" si="1"/>
        <v>-</v>
      </c>
      <c r="I49" s="175"/>
      <c r="J49" s="149"/>
      <c r="K49" s="142" t="str">
        <f t="shared" si="0"/>
        <v>-</v>
      </c>
      <c r="L49" s="535"/>
      <c r="M49" s="536"/>
      <c r="N49" s="536"/>
      <c r="O49" s="536"/>
      <c r="P49" s="537"/>
    </row>
    <row r="50" spans="1:16" ht="12.2" customHeight="1">
      <c r="A50" s="37"/>
      <c r="B50" s="41"/>
      <c r="C50" s="382" t="s">
        <v>63</v>
      </c>
      <c r="D50" s="380"/>
      <c r="E50" s="380"/>
      <c r="F50" s="180"/>
      <c r="G50" s="181"/>
      <c r="H50" s="142" t="str">
        <f t="shared" si="1"/>
        <v>-</v>
      </c>
      <c r="I50" s="175"/>
      <c r="J50" s="149"/>
      <c r="K50" s="142" t="str">
        <f t="shared" si="0"/>
        <v>-</v>
      </c>
      <c r="L50" s="535"/>
      <c r="M50" s="536"/>
      <c r="N50" s="536"/>
      <c r="O50" s="536"/>
      <c r="P50" s="537"/>
    </row>
    <row r="51" spans="1:16" ht="12.2" customHeight="1">
      <c r="A51" s="37"/>
      <c r="B51" s="41"/>
      <c r="C51" s="382" t="s">
        <v>64</v>
      </c>
      <c r="D51" s="380"/>
      <c r="E51" s="380"/>
      <c r="F51" s="180"/>
      <c r="G51" s="181"/>
      <c r="H51" s="142" t="str">
        <f t="shared" si="1"/>
        <v>-</v>
      </c>
      <c r="I51" s="175"/>
      <c r="J51" s="149"/>
      <c r="K51" s="142" t="str">
        <f t="shared" si="0"/>
        <v>-</v>
      </c>
      <c r="L51" s="535"/>
      <c r="M51" s="536"/>
      <c r="N51" s="536"/>
      <c r="O51" s="536"/>
      <c r="P51" s="537"/>
    </row>
    <row r="52" spans="1:16" ht="12.2" customHeight="1">
      <c r="A52" s="37"/>
      <c r="B52" s="41"/>
      <c r="C52" s="382" t="s">
        <v>65</v>
      </c>
      <c r="D52" s="380"/>
      <c r="E52" s="380"/>
      <c r="F52" s="180"/>
      <c r="G52" s="181"/>
      <c r="H52" s="142" t="str">
        <f t="shared" si="1"/>
        <v>-</v>
      </c>
      <c r="I52" s="175"/>
      <c r="J52" s="149"/>
      <c r="K52" s="142" t="str">
        <f t="shared" si="0"/>
        <v>-</v>
      </c>
      <c r="L52" s="535"/>
      <c r="M52" s="536"/>
      <c r="N52" s="536"/>
      <c r="O52" s="536"/>
      <c r="P52" s="537"/>
    </row>
    <row r="53" spans="1:16" ht="12.2" customHeight="1">
      <c r="A53" s="37"/>
      <c r="B53" s="41"/>
      <c r="C53" s="382" t="s">
        <v>241</v>
      </c>
      <c r="D53" s="380"/>
      <c r="E53" s="380"/>
      <c r="F53" s="180"/>
      <c r="G53" s="181"/>
      <c r="H53" s="142" t="str">
        <f t="shared" si="1"/>
        <v>-</v>
      </c>
      <c r="I53" s="175"/>
      <c r="J53" s="149"/>
      <c r="K53" s="142" t="str">
        <f t="shared" si="0"/>
        <v>-</v>
      </c>
      <c r="L53" s="535"/>
      <c r="M53" s="536"/>
      <c r="N53" s="536"/>
      <c r="O53" s="536"/>
      <c r="P53" s="537"/>
    </row>
    <row r="54" spans="1:16" ht="12.2" customHeight="1">
      <c r="A54" s="37"/>
      <c r="B54" s="41"/>
      <c r="C54" s="438" t="s">
        <v>168</v>
      </c>
      <c r="D54" s="439"/>
      <c r="E54" s="439"/>
      <c r="F54" s="180"/>
      <c r="G54" s="186"/>
      <c r="H54" s="142" t="str">
        <f t="shared" si="1"/>
        <v>-</v>
      </c>
      <c r="I54" s="175"/>
      <c r="J54" s="149"/>
      <c r="K54" s="142" t="str">
        <f t="shared" si="0"/>
        <v>-</v>
      </c>
      <c r="L54" s="535"/>
      <c r="M54" s="536"/>
      <c r="N54" s="536"/>
      <c r="O54" s="536"/>
      <c r="P54" s="537"/>
    </row>
    <row r="55" spans="1:16" ht="12.2" customHeight="1">
      <c r="A55" s="37"/>
      <c r="B55" s="41"/>
      <c r="C55" s="438" t="s">
        <v>41</v>
      </c>
      <c r="D55" s="439"/>
      <c r="E55" s="439"/>
      <c r="F55" s="177"/>
      <c r="G55" s="178"/>
      <c r="H55" s="179"/>
      <c r="I55" s="175"/>
      <c r="J55" s="149"/>
      <c r="K55" s="142" t="str">
        <f t="shared" si="0"/>
        <v>-</v>
      </c>
      <c r="L55" s="535"/>
      <c r="M55" s="536"/>
      <c r="N55" s="536"/>
      <c r="O55" s="536"/>
      <c r="P55" s="537"/>
    </row>
    <row r="56" spans="1:16" ht="12.2" customHeight="1">
      <c r="A56" s="32"/>
      <c r="B56" s="423" t="s">
        <v>66</v>
      </c>
      <c r="C56" s="424"/>
      <c r="D56" s="424"/>
      <c r="E56" s="424"/>
      <c r="F56" s="177"/>
      <c r="G56" s="178"/>
      <c r="H56" s="179"/>
      <c r="I56" s="175"/>
      <c r="J56" s="149"/>
      <c r="K56" s="142" t="str">
        <f t="shared" si="0"/>
        <v>-</v>
      </c>
      <c r="L56" s="535"/>
      <c r="M56" s="536"/>
      <c r="N56" s="536"/>
      <c r="O56" s="536"/>
      <c r="P56" s="537"/>
    </row>
    <row r="57" spans="1:16" ht="12.2" customHeight="1">
      <c r="A57" s="9"/>
      <c r="B57" s="44"/>
      <c r="C57" s="45"/>
      <c r="D57" s="404" t="s">
        <v>72</v>
      </c>
      <c r="E57" s="375"/>
      <c r="F57" s="187"/>
      <c r="G57" s="188"/>
      <c r="H57" s="189"/>
      <c r="I57" s="190"/>
      <c r="J57" s="191"/>
      <c r="K57" s="138" t="str">
        <f t="shared" si="0"/>
        <v>-</v>
      </c>
      <c r="L57" s="561"/>
      <c r="M57" s="562"/>
      <c r="N57" s="562"/>
      <c r="O57" s="562"/>
      <c r="P57" s="563"/>
    </row>
    <row r="58" spans="1:16" ht="13.7" customHeight="1"/>
    <row r="59" spans="1:16" ht="13.7" customHeight="1"/>
    <row r="60" spans="1:16" ht="13.7" customHeight="1"/>
    <row r="61" spans="1:16" ht="13.7" customHeight="1"/>
    <row r="62" spans="1:16" ht="13.7" customHeight="1"/>
    <row r="63" spans="1:16" ht="13.7" customHeight="1"/>
    <row r="64" spans="1:16" ht="13.7" customHeight="1"/>
    <row r="65" ht="13.7" customHeight="1"/>
    <row r="66" ht="13.7" customHeight="1"/>
  </sheetData>
  <mergeCells count="100">
    <mergeCell ref="L56:P56"/>
    <mergeCell ref="L57:P57"/>
    <mergeCell ref="L51:P51"/>
    <mergeCell ref="L52:P52"/>
    <mergeCell ref="L53:P53"/>
    <mergeCell ref="L54:P54"/>
    <mergeCell ref="L55:P55"/>
    <mergeCell ref="L46:P46"/>
    <mergeCell ref="L47:P47"/>
    <mergeCell ref="L48:P48"/>
    <mergeCell ref="L49:P49"/>
    <mergeCell ref="L50:P50"/>
    <mergeCell ref="L41:P41"/>
    <mergeCell ref="L42:P42"/>
    <mergeCell ref="L43:P43"/>
    <mergeCell ref="L44:P44"/>
    <mergeCell ref="L45:P45"/>
    <mergeCell ref="L36:P36"/>
    <mergeCell ref="L37:P37"/>
    <mergeCell ref="L38:P38"/>
    <mergeCell ref="L39:P39"/>
    <mergeCell ref="L40:P40"/>
    <mergeCell ref="L31:P31"/>
    <mergeCell ref="L32:P32"/>
    <mergeCell ref="L33:P33"/>
    <mergeCell ref="L34:P34"/>
    <mergeCell ref="L35:P35"/>
    <mergeCell ref="L26:P26"/>
    <mergeCell ref="L27:P27"/>
    <mergeCell ref="L28:P28"/>
    <mergeCell ref="L29:P29"/>
    <mergeCell ref="L30:P30"/>
    <mergeCell ref="L21:P21"/>
    <mergeCell ref="L22:P22"/>
    <mergeCell ref="L23:P23"/>
    <mergeCell ref="L24:P24"/>
    <mergeCell ref="L25:P25"/>
    <mergeCell ref="L16:P16"/>
    <mergeCell ref="L17:P17"/>
    <mergeCell ref="L18:P18"/>
    <mergeCell ref="L19:P19"/>
    <mergeCell ref="L20:P20"/>
    <mergeCell ref="L5:P7"/>
    <mergeCell ref="C45:D47"/>
    <mergeCell ref="C53:E53"/>
    <mergeCell ref="K2:O2"/>
    <mergeCell ref="K1:O1"/>
    <mergeCell ref="C40:E40"/>
    <mergeCell ref="C41:E41"/>
    <mergeCell ref="C42:E42"/>
    <mergeCell ref="C37:E37"/>
    <mergeCell ref="C38:E38"/>
    <mergeCell ref="C39:E39"/>
    <mergeCell ref="C29:E29"/>
    <mergeCell ref="B30:E30"/>
    <mergeCell ref="D31:E31"/>
    <mergeCell ref="C32:D36"/>
    <mergeCell ref="C25:E25"/>
    <mergeCell ref="C48:E48"/>
    <mergeCell ref="C49:E49"/>
    <mergeCell ref="C50:E50"/>
    <mergeCell ref="C43:E43"/>
    <mergeCell ref="C44:E44"/>
    <mergeCell ref="B56:E56"/>
    <mergeCell ref="D57:E57"/>
    <mergeCell ref="C51:E51"/>
    <mergeCell ref="C52:E52"/>
    <mergeCell ref="C54:E54"/>
    <mergeCell ref="C55:E55"/>
    <mergeCell ref="B26:E26"/>
    <mergeCell ref="D27:E27"/>
    <mergeCell ref="C28:E28"/>
    <mergeCell ref="C19:E19"/>
    <mergeCell ref="C21:E21"/>
    <mergeCell ref="C24:E24"/>
    <mergeCell ref="C22:E22"/>
    <mergeCell ref="C23:E23"/>
    <mergeCell ref="C20:E20"/>
    <mergeCell ref="C16:E16"/>
    <mergeCell ref="C17:E17"/>
    <mergeCell ref="C18:E18"/>
    <mergeCell ref="A5:E7"/>
    <mergeCell ref="B9:E9"/>
    <mergeCell ref="D10:E10"/>
    <mergeCell ref="C11:E11"/>
    <mergeCell ref="C12:E12"/>
    <mergeCell ref="C14:E14"/>
    <mergeCell ref="I5:K5"/>
    <mergeCell ref="A8:E8"/>
    <mergeCell ref="C13:E13"/>
    <mergeCell ref="C15:E15"/>
    <mergeCell ref="F5:H5"/>
    <mergeCell ref="L13:P13"/>
    <mergeCell ref="L14:P14"/>
    <mergeCell ref="L15:P15"/>
    <mergeCell ref="L8:P8"/>
    <mergeCell ref="L9:P9"/>
    <mergeCell ref="L10:P10"/>
    <mergeCell ref="L11:P11"/>
    <mergeCell ref="L12:P12"/>
  </mergeCells>
  <phoneticPr fontId="1"/>
  <pageMargins left="0.78740157480314965" right="0.39370078740157483" top="0.78740157480314965" bottom="0.39370078740157483" header="0.31496062992125984" footer="0.19685039370078741"/>
  <pageSetup paperSize="9" scale="7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59"/>
  <sheetViews>
    <sheetView showGridLines="0" view="pageBreakPreview" zoomScaleNormal="100" zoomScaleSheetLayoutView="100" workbookViewId="0">
      <selection activeCell="J31" sqref="J31:J32"/>
    </sheetView>
  </sheetViews>
  <sheetFormatPr defaultColWidth="9" defaultRowHeight="15" customHeight="1"/>
  <cols>
    <col min="1" max="5" width="2.625" style="2" customWidth="1"/>
    <col min="6" max="6" width="6.125" style="2" customWidth="1"/>
    <col min="7" max="15" width="9.125" style="2" customWidth="1"/>
    <col min="16" max="18" width="17.75" style="2" customWidth="1"/>
    <col min="19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M1" s="323" t="s">
        <v>113</v>
      </c>
      <c r="N1" s="324"/>
      <c r="O1" s="325"/>
    </row>
    <row r="2" spans="1:30" ht="15" customHeight="1">
      <c r="A2" s="1" t="s">
        <v>169</v>
      </c>
      <c r="B2" s="1"/>
      <c r="C2" s="1"/>
      <c r="D2" s="1"/>
      <c r="E2" s="1"/>
      <c r="F2" s="1"/>
      <c r="G2" s="1"/>
      <c r="H2" s="1"/>
      <c r="I2" s="1"/>
      <c r="J2" s="1"/>
      <c r="M2" s="408" t="str">
        <f>IF(No.1!O2="","",No.1!O2)</f>
        <v/>
      </c>
      <c r="N2" s="409"/>
      <c r="O2" s="410"/>
      <c r="S2" s="73"/>
    </row>
    <row r="3" spans="1:30" ht="15" customHeight="1">
      <c r="A3" s="11"/>
      <c r="B3" s="11"/>
      <c r="C3" s="11"/>
      <c r="D3" s="11"/>
      <c r="E3" s="11"/>
      <c r="F3" s="11"/>
      <c r="G3" s="11"/>
      <c r="H3" s="11"/>
      <c r="I3" s="11"/>
      <c r="U3" s="4"/>
      <c r="V3" s="4"/>
      <c r="W3" s="4"/>
    </row>
    <row r="4" spans="1:30" ht="15" customHeight="1">
      <c r="A4" s="5" t="s">
        <v>200</v>
      </c>
      <c r="K4" s="12"/>
      <c r="L4" s="12"/>
      <c r="N4" s="12"/>
      <c r="O4" s="12"/>
      <c r="Q4" s="12"/>
      <c r="R4" s="12"/>
      <c r="S4" s="280"/>
      <c r="T4" s="280"/>
      <c r="U4" s="280"/>
      <c r="V4" s="280"/>
      <c r="W4" s="12"/>
      <c r="X4" s="12"/>
      <c r="Y4" s="12"/>
      <c r="Z4" s="12"/>
      <c r="AA4" s="12"/>
      <c r="AB4" s="12"/>
      <c r="AC4" s="12"/>
      <c r="AD4" s="12"/>
    </row>
    <row r="5" spans="1:30" ht="13.7" customHeight="1">
      <c r="A5" s="411"/>
      <c r="B5" s="412"/>
      <c r="C5" s="412"/>
      <c r="D5" s="412"/>
      <c r="E5" s="412"/>
      <c r="F5" s="413"/>
      <c r="G5" s="564">
        <f>No.1!H5</f>
        <v>19</v>
      </c>
      <c r="H5" s="565"/>
      <c r="I5" s="582"/>
      <c r="J5" s="564">
        <f>G5-1</f>
        <v>18</v>
      </c>
      <c r="K5" s="565"/>
      <c r="L5" s="566"/>
      <c r="M5" s="567" t="s">
        <v>42</v>
      </c>
      <c r="N5" s="567"/>
      <c r="O5" s="568"/>
      <c r="P5" s="444" t="s">
        <v>242</v>
      </c>
      <c r="Q5" s="445"/>
      <c r="R5" s="446"/>
      <c r="S5" s="280"/>
      <c r="T5" s="280"/>
      <c r="U5" s="280"/>
      <c r="V5" s="280"/>
      <c r="W5" s="12"/>
      <c r="X5" s="12"/>
      <c r="Y5" s="12"/>
      <c r="Z5" s="12"/>
      <c r="AA5" s="12"/>
    </row>
    <row r="6" spans="1:30" ht="13.7" customHeight="1">
      <c r="A6" s="544"/>
      <c r="B6" s="545"/>
      <c r="C6" s="545"/>
      <c r="D6" s="545"/>
      <c r="E6" s="545"/>
      <c r="F6" s="581"/>
      <c r="G6" s="13" t="s">
        <v>39</v>
      </c>
      <c r="H6" s="14" t="s">
        <v>11</v>
      </c>
      <c r="I6" s="15" t="s">
        <v>40</v>
      </c>
      <c r="J6" s="13" t="s">
        <v>39</v>
      </c>
      <c r="K6" s="14" t="s">
        <v>11</v>
      </c>
      <c r="L6" s="15" t="s">
        <v>40</v>
      </c>
      <c r="M6" s="16" t="s">
        <v>39</v>
      </c>
      <c r="N6" s="14" t="s">
        <v>11</v>
      </c>
      <c r="O6" s="17" t="s">
        <v>40</v>
      </c>
      <c r="P6" s="447"/>
      <c r="Q6" s="448"/>
      <c r="R6" s="449"/>
      <c r="S6" s="280"/>
      <c r="T6" s="280"/>
      <c r="U6" s="280"/>
      <c r="V6" s="280"/>
      <c r="W6" s="12"/>
      <c r="X6" s="12"/>
      <c r="Y6" s="12"/>
      <c r="Z6" s="12"/>
      <c r="AA6" s="12"/>
    </row>
    <row r="7" spans="1:30" ht="13.7" customHeight="1">
      <c r="A7" s="414"/>
      <c r="B7" s="415"/>
      <c r="C7" s="415"/>
      <c r="D7" s="415"/>
      <c r="E7" s="415"/>
      <c r="F7" s="416"/>
      <c r="G7" s="18" t="s">
        <v>170</v>
      </c>
      <c r="H7" s="19" t="s">
        <v>2</v>
      </c>
      <c r="I7" s="20" t="s">
        <v>2</v>
      </c>
      <c r="J7" s="18" t="s">
        <v>170</v>
      </c>
      <c r="K7" s="19" t="s">
        <v>2</v>
      </c>
      <c r="L7" s="20" t="s">
        <v>2</v>
      </c>
      <c r="M7" s="18" t="s">
        <v>171</v>
      </c>
      <c r="N7" s="19" t="s">
        <v>171</v>
      </c>
      <c r="O7" s="20" t="s">
        <v>171</v>
      </c>
      <c r="P7" s="450"/>
      <c r="Q7" s="451"/>
      <c r="R7" s="452"/>
      <c r="S7" s="280"/>
      <c r="T7" s="280"/>
      <c r="U7" s="280"/>
      <c r="V7" s="280"/>
      <c r="W7" s="12"/>
      <c r="X7" s="12"/>
      <c r="Y7" s="12"/>
      <c r="Z7" s="12"/>
      <c r="AA7" s="12"/>
    </row>
    <row r="8" spans="1:30" ht="13.7" customHeight="1">
      <c r="A8" s="569" t="s">
        <v>90</v>
      </c>
      <c r="B8" s="572" t="s">
        <v>73</v>
      </c>
      <c r="C8" s="574" t="s">
        <v>74</v>
      </c>
      <c r="D8" s="576" t="s">
        <v>75</v>
      </c>
      <c r="E8" s="577"/>
      <c r="F8" s="578"/>
      <c r="G8" s="170"/>
      <c r="H8" s="192"/>
      <c r="I8" s="193"/>
      <c r="J8" s="170"/>
      <c r="K8" s="192"/>
      <c r="L8" s="193"/>
      <c r="M8" s="161" t="str">
        <f>IF(G8="-", "-", IF(J8="-", "-", IF(ABS(J8)=0, "-", ROUND(100*(G8-J8)/ABS(J8),10))))</f>
        <v>-</v>
      </c>
      <c r="N8" s="264" t="str">
        <f>IF(H8="-", "-", IF(K8="-", "-", IF(ABS(K8)=0, "-", ROUND(100*(H8-K8)/ABS(K8),10))))</f>
        <v>-</v>
      </c>
      <c r="O8" s="162" t="str">
        <f>IF(I8="-", "-", IF(L8="-", "-", IF(ABS(L8)=0, "-", ROUND(100*(I8-L8)/ABS(L8),10))))</f>
        <v>-</v>
      </c>
      <c r="P8" s="538"/>
      <c r="Q8" s="539"/>
      <c r="R8" s="540"/>
      <c r="S8" s="280"/>
      <c r="T8" s="280"/>
      <c r="U8" s="280"/>
      <c r="V8" s="280"/>
    </row>
    <row r="9" spans="1:30" ht="13.7" customHeight="1">
      <c r="A9" s="570"/>
      <c r="B9" s="573"/>
      <c r="C9" s="575"/>
      <c r="D9" s="579" t="s">
        <v>76</v>
      </c>
      <c r="E9" s="382"/>
      <c r="F9" s="580"/>
      <c r="G9" s="170"/>
      <c r="H9" s="192"/>
      <c r="I9" s="193"/>
      <c r="J9" s="170"/>
      <c r="K9" s="192"/>
      <c r="L9" s="195"/>
      <c r="M9" s="163" t="str">
        <f t="shared" ref="M9:M38" si="0">IF(G9="-", "-", IF(J9="-", "-", IF(ABS(J9)=0, "-", ROUND(100*(G9-J9)/ABS(J9),10))))</f>
        <v>-</v>
      </c>
      <c r="N9" s="260" t="str">
        <f t="shared" ref="N9:N38" si="1">IF(H9="-", "-", IF(K9="-", "-", IF(ABS(K9)=0, "-", ROUND(100*(H9-K9)/ABS(K9),10))))</f>
        <v>-</v>
      </c>
      <c r="O9" s="164" t="str">
        <f t="shared" ref="O9:O38" si="2">IF(I9="-", "-", IF(L9="-", "-", IF(ABS(L9)=0, "-", ROUND(100*(I9-L9)/ABS(L9),10))))</f>
        <v>-</v>
      </c>
      <c r="P9" s="535"/>
      <c r="Q9" s="536"/>
      <c r="R9" s="537"/>
      <c r="S9" s="280"/>
      <c r="T9" s="280"/>
      <c r="U9" s="280"/>
      <c r="V9" s="280"/>
    </row>
    <row r="10" spans="1:30" ht="13.7" customHeight="1">
      <c r="A10" s="570"/>
      <c r="B10" s="573"/>
      <c r="C10" s="575"/>
      <c r="D10" s="579" t="s">
        <v>77</v>
      </c>
      <c r="E10" s="382"/>
      <c r="F10" s="580"/>
      <c r="G10" s="170"/>
      <c r="H10" s="192"/>
      <c r="I10" s="193"/>
      <c r="J10" s="170"/>
      <c r="K10" s="192"/>
      <c r="L10" s="195"/>
      <c r="M10" s="163" t="str">
        <f t="shared" si="0"/>
        <v>-</v>
      </c>
      <c r="N10" s="260" t="str">
        <f t="shared" si="1"/>
        <v>-</v>
      </c>
      <c r="O10" s="164" t="str">
        <f t="shared" si="2"/>
        <v>-</v>
      </c>
      <c r="P10" s="535"/>
      <c r="Q10" s="536"/>
      <c r="R10" s="537"/>
      <c r="S10" s="280"/>
      <c r="T10" s="280"/>
      <c r="U10" s="280"/>
      <c r="V10" s="280"/>
    </row>
    <row r="11" spans="1:30" ht="13.7" customHeight="1">
      <c r="A11" s="570"/>
      <c r="B11" s="573"/>
      <c r="C11" s="575"/>
      <c r="D11" s="579" t="s">
        <v>78</v>
      </c>
      <c r="E11" s="382"/>
      <c r="F11" s="580"/>
      <c r="G11" s="170"/>
      <c r="H11" s="192"/>
      <c r="I11" s="193"/>
      <c r="J11" s="170"/>
      <c r="K11" s="192"/>
      <c r="L11" s="195"/>
      <c r="M11" s="163" t="str">
        <f t="shared" si="0"/>
        <v>-</v>
      </c>
      <c r="N11" s="260" t="str">
        <f t="shared" si="1"/>
        <v>-</v>
      </c>
      <c r="O11" s="164" t="str">
        <f t="shared" si="2"/>
        <v>-</v>
      </c>
      <c r="P11" s="535"/>
      <c r="Q11" s="536"/>
      <c r="R11" s="537"/>
      <c r="S11" s="280"/>
      <c r="T11" s="280"/>
      <c r="U11" s="280"/>
      <c r="V11" s="280"/>
    </row>
    <row r="12" spans="1:30" ht="13.7" customHeight="1">
      <c r="A12" s="570"/>
      <c r="B12" s="573"/>
      <c r="C12" s="575"/>
      <c r="D12" s="579" t="s">
        <v>79</v>
      </c>
      <c r="E12" s="382"/>
      <c r="F12" s="580"/>
      <c r="G12" s="170"/>
      <c r="H12" s="192"/>
      <c r="I12" s="193"/>
      <c r="J12" s="170"/>
      <c r="K12" s="192"/>
      <c r="L12" s="195"/>
      <c r="M12" s="163" t="str">
        <f t="shared" si="0"/>
        <v>-</v>
      </c>
      <c r="N12" s="260" t="str">
        <f t="shared" si="1"/>
        <v>-</v>
      </c>
      <c r="O12" s="164" t="str">
        <f t="shared" si="2"/>
        <v>-</v>
      </c>
      <c r="P12" s="535"/>
      <c r="Q12" s="536"/>
      <c r="R12" s="537"/>
      <c r="S12" s="46"/>
      <c r="T12" s="46"/>
      <c r="U12" s="12"/>
      <c r="V12" s="12"/>
    </row>
    <row r="13" spans="1:30" ht="13.7" customHeight="1">
      <c r="A13" s="570"/>
      <c r="B13" s="573"/>
      <c r="C13" s="575" t="s">
        <v>202</v>
      </c>
      <c r="D13" s="579" t="s">
        <v>80</v>
      </c>
      <c r="E13" s="382"/>
      <c r="F13" s="580"/>
      <c r="G13" s="170"/>
      <c r="H13" s="192"/>
      <c r="I13" s="193"/>
      <c r="J13" s="170"/>
      <c r="K13" s="192"/>
      <c r="L13" s="195"/>
      <c r="M13" s="163" t="str">
        <f t="shared" si="0"/>
        <v>-</v>
      </c>
      <c r="N13" s="260" t="str">
        <f t="shared" si="1"/>
        <v>-</v>
      </c>
      <c r="O13" s="164" t="str">
        <f t="shared" si="2"/>
        <v>-</v>
      </c>
      <c r="P13" s="535"/>
      <c r="Q13" s="536"/>
      <c r="R13" s="537"/>
      <c r="S13" s="46"/>
      <c r="T13" s="46"/>
      <c r="U13" s="12"/>
      <c r="V13" s="12"/>
    </row>
    <row r="14" spans="1:30" ht="13.7" customHeight="1">
      <c r="A14" s="570"/>
      <c r="B14" s="573"/>
      <c r="C14" s="575"/>
      <c r="D14" s="579" t="s">
        <v>81</v>
      </c>
      <c r="E14" s="382"/>
      <c r="F14" s="580"/>
      <c r="G14" s="170"/>
      <c r="H14" s="192"/>
      <c r="I14" s="193"/>
      <c r="J14" s="170"/>
      <c r="K14" s="192"/>
      <c r="L14" s="195"/>
      <c r="M14" s="163" t="str">
        <f t="shared" si="0"/>
        <v>-</v>
      </c>
      <c r="N14" s="260" t="str">
        <f t="shared" si="1"/>
        <v>-</v>
      </c>
      <c r="O14" s="164" t="str">
        <f t="shared" si="2"/>
        <v>-</v>
      </c>
      <c r="P14" s="535"/>
      <c r="Q14" s="536"/>
      <c r="R14" s="537"/>
      <c r="S14" s="46"/>
      <c r="T14" s="46"/>
      <c r="U14" s="12"/>
      <c r="V14" s="12"/>
    </row>
    <row r="15" spans="1:30" ht="13.7" customHeight="1">
      <c r="A15" s="570"/>
      <c r="B15" s="573"/>
      <c r="C15" s="575"/>
      <c r="D15" s="579" t="s">
        <v>78</v>
      </c>
      <c r="E15" s="382"/>
      <c r="F15" s="580"/>
      <c r="G15" s="170"/>
      <c r="H15" s="192"/>
      <c r="I15" s="193"/>
      <c r="J15" s="170"/>
      <c r="K15" s="192"/>
      <c r="L15" s="195"/>
      <c r="M15" s="163" t="str">
        <f t="shared" si="0"/>
        <v>-</v>
      </c>
      <c r="N15" s="260" t="str">
        <f t="shared" si="1"/>
        <v>-</v>
      </c>
      <c r="O15" s="164" t="str">
        <f t="shared" si="2"/>
        <v>-</v>
      </c>
      <c r="P15" s="535"/>
      <c r="Q15" s="536"/>
      <c r="R15" s="537"/>
      <c r="S15" s="46"/>
      <c r="T15" s="46"/>
      <c r="U15" s="12"/>
      <c r="V15" s="12"/>
    </row>
    <row r="16" spans="1:30" ht="13.7" customHeight="1">
      <c r="A16" s="570"/>
      <c r="B16" s="573"/>
      <c r="C16" s="575"/>
      <c r="D16" s="579" t="s">
        <v>79</v>
      </c>
      <c r="E16" s="382"/>
      <c r="F16" s="580"/>
      <c r="G16" s="170"/>
      <c r="H16" s="192"/>
      <c r="I16" s="193"/>
      <c r="J16" s="170"/>
      <c r="K16" s="192"/>
      <c r="L16" s="195"/>
      <c r="M16" s="163" t="str">
        <f t="shared" si="0"/>
        <v>-</v>
      </c>
      <c r="N16" s="260" t="str">
        <f t="shared" si="1"/>
        <v>-</v>
      </c>
      <c r="O16" s="164" t="str">
        <f t="shared" si="2"/>
        <v>-</v>
      </c>
      <c r="P16" s="535"/>
      <c r="Q16" s="536"/>
      <c r="R16" s="537"/>
      <c r="S16" s="46"/>
      <c r="T16" s="46"/>
      <c r="U16" s="12"/>
      <c r="V16" s="12"/>
    </row>
    <row r="17" spans="1:22" ht="13.7" customHeight="1">
      <c r="A17" s="570"/>
      <c r="B17" s="573"/>
      <c r="C17" s="579" t="s">
        <v>82</v>
      </c>
      <c r="D17" s="579"/>
      <c r="E17" s="382"/>
      <c r="F17" s="580"/>
      <c r="G17" s="170"/>
      <c r="H17" s="192"/>
      <c r="I17" s="193"/>
      <c r="J17" s="170"/>
      <c r="K17" s="192"/>
      <c r="L17" s="195"/>
      <c r="M17" s="163" t="str">
        <f t="shared" si="0"/>
        <v>-</v>
      </c>
      <c r="N17" s="260" t="str">
        <f t="shared" si="1"/>
        <v>-</v>
      </c>
      <c r="O17" s="164" t="str">
        <f t="shared" si="2"/>
        <v>-</v>
      </c>
      <c r="P17" s="535"/>
      <c r="Q17" s="536"/>
      <c r="R17" s="537"/>
      <c r="S17" s="1"/>
      <c r="T17" s="1"/>
      <c r="U17" s="12"/>
      <c r="V17" s="12"/>
    </row>
    <row r="18" spans="1:22" ht="13.7" customHeight="1">
      <c r="A18" s="570"/>
      <c r="B18" s="573" t="s">
        <v>83</v>
      </c>
      <c r="C18" s="575" t="s">
        <v>74</v>
      </c>
      <c r="D18" s="579" t="s">
        <v>84</v>
      </c>
      <c r="E18" s="382"/>
      <c r="F18" s="580"/>
      <c r="G18" s="170"/>
      <c r="H18" s="192"/>
      <c r="I18" s="193"/>
      <c r="J18" s="170"/>
      <c r="K18" s="192"/>
      <c r="L18" s="195"/>
      <c r="M18" s="163" t="str">
        <f t="shared" si="0"/>
        <v>-</v>
      </c>
      <c r="N18" s="260" t="str">
        <f t="shared" si="1"/>
        <v>-</v>
      </c>
      <c r="O18" s="164" t="str">
        <f t="shared" si="2"/>
        <v>-</v>
      </c>
      <c r="P18" s="535"/>
      <c r="Q18" s="536"/>
      <c r="R18" s="537"/>
      <c r="S18" s="46"/>
      <c r="T18" s="46"/>
      <c r="U18" s="12"/>
      <c r="V18" s="12"/>
    </row>
    <row r="19" spans="1:22" ht="13.7" customHeight="1">
      <c r="A19" s="570"/>
      <c r="B19" s="573"/>
      <c r="C19" s="575"/>
      <c r="D19" s="579" t="s">
        <v>85</v>
      </c>
      <c r="E19" s="382"/>
      <c r="F19" s="580"/>
      <c r="G19" s="170"/>
      <c r="H19" s="192"/>
      <c r="I19" s="193"/>
      <c r="J19" s="170"/>
      <c r="K19" s="192"/>
      <c r="L19" s="195"/>
      <c r="M19" s="163" t="str">
        <f t="shared" si="0"/>
        <v>-</v>
      </c>
      <c r="N19" s="260" t="str">
        <f t="shared" si="1"/>
        <v>-</v>
      </c>
      <c r="O19" s="164" t="str">
        <f t="shared" si="2"/>
        <v>-</v>
      </c>
      <c r="P19" s="535"/>
      <c r="Q19" s="536"/>
      <c r="R19" s="537"/>
      <c r="S19" s="46"/>
      <c r="T19" s="46"/>
      <c r="U19" s="12"/>
      <c r="V19" s="12"/>
    </row>
    <row r="20" spans="1:22" ht="13.7" customHeight="1">
      <c r="A20" s="570"/>
      <c r="B20" s="573"/>
      <c r="C20" s="575"/>
      <c r="D20" s="579" t="s">
        <v>86</v>
      </c>
      <c r="E20" s="382"/>
      <c r="F20" s="580"/>
      <c r="G20" s="170"/>
      <c r="H20" s="192"/>
      <c r="I20" s="193"/>
      <c r="J20" s="170"/>
      <c r="K20" s="192"/>
      <c r="L20" s="195"/>
      <c r="M20" s="163" t="str">
        <f t="shared" si="0"/>
        <v>-</v>
      </c>
      <c r="N20" s="260" t="str">
        <f t="shared" si="1"/>
        <v>-</v>
      </c>
      <c r="O20" s="164" t="str">
        <f t="shared" si="2"/>
        <v>-</v>
      </c>
      <c r="P20" s="535"/>
      <c r="Q20" s="536"/>
      <c r="R20" s="537"/>
      <c r="S20" s="46"/>
      <c r="T20" s="46"/>
      <c r="U20" s="12"/>
      <c r="V20" s="12"/>
    </row>
    <row r="21" spans="1:22" ht="13.7" customHeight="1">
      <c r="A21" s="570"/>
      <c r="B21" s="573"/>
      <c r="C21" s="575"/>
      <c r="D21" s="579" t="s">
        <v>87</v>
      </c>
      <c r="E21" s="382"/>
      <c r="F21" s="580"/>
      <c r="G21" s="170"/>
      <c r="H21" s="192"/>
      <c r="I21" s="193"/>
      <c r="J21" s="170"/>
      <c r="K21" s="192"/>
      <c r="L21" s="195"/>
      <c r="M21" s="163" t="str">
        <f t="shared" si="0"/>
        <v>-</v>
      </c>
      <c r="N21" s="260" t="str">
        <f t="shared" si="1"/>
        <v>-</v>
      </c>
      <c r="O21" s="164" t="str">
        <f t="shared" si="2"/>
        <v>-</v>
      </c>
      <c r="P21" s="535"/>
      <c r="Q21" s="536"/>
      <c r="R21" s="537"/>
      <c r="S21" s="46"/>
      <c r="T21" s="46"/>
      <c r="U21" s="12"/>
      <c r="V21" s="12"/>
    </row>
    <row r="22" spans="1:22" ht="13.7" customHeight="1">
      <c r="A22" s="570"/>
      <c r="B22" s="573"/>
      <c r="C22" s="575"/>
      <c r="D22" s="579" t="s">
        <v>79</v>
      </c>
      <c r="E22" s="382"/>
      <c r="F22" s="580"/>
      <c r="G22" s="196"/>
      <c r="H22" s="192"/>
      <c r="I22" s="197"/>
      <c r="J22" s="196"/>
      <c r="K22" s="192"/>
      <c r="L22" s="198"/>
      <c r="M22" s="265"/>
      <c r="N22" s="260" t="str">
        <f t="shared" si="1"/>
        <v>-</v>
      </c>
      <c r="O22" s="200"/>
      <c r="P22" s="535"/>
      <c r="Q22" s="536"/>
      <c r="R22" s="537"/>
      <c r="S22" s="46"/>
      <c r="T22" s="46"/>
      <c r="U22" s="12"/>
      <c r="V22" s="12"/>
    </row>
    <row r="23" spans="1:22" ht="13.7" customHeight="1">
      <c r="A23" s="570"/>
      <c r="B23" s="573"/>
      <c r="C23" s="575" t="s">
        <v>203</v>
      </c>
      <c r="D23" s="579" t="s">
        <v>84</v>
      </c>
      <c r="E23" s="382"/>
      <c r="F23" s="580"/>
      <c r="G23" s="170"/>
      <c r="H23" s="192"/>
      <c r="I23" s="193"/>
      <c r="J23" s="170"/>
      <c r="K23" s="192"/>
      <c r="L23" s="195"/>
      <c r="M23" s="163" t="str">
        <f t="shared" si="0"/>
        <v>-</v>
      </c>
      <c r="N23" s="260" t="str">
        <f t="shared" si="1"/>
        <v>-</v>
      </c>
      <c r="O23" s="164" t="str">
        <f t="shared" si="2"/>
        <v>-</v>
      </c>
      <c r="P23" s="535"/>
      <c r="Q23" s="536"/>
      <c r="R23" s="537"/>
      <c r="S23" s="46"/>
      <c r="T23" s="46"/>
      <c r="U23" s="12"/>
      <c r="V23" s="12"/>
    </row>
    <row r="24" spans="1:22" ht="13.7" customHeight="1">
      <c r="A24" s="570"/>
      <c r="B24" s="573"/>
      <c r="C24" s="575"/>
      <c r="D24" s="579" t="s">
        <v>85</v>
      </c>
      <c r="E24" s="382"/>
      <c r="F24" s="580"/>
      <c r="G24" s="170"/>
      <c r="H24" s="192"/>
      <c r="I24" s="193"/>
      <c r="J24" s="170"/>
      <c r="K24" s="192"/>
      <c r="L24" s="195"/>
      <c r="M24" s="163" t="str">
        <f t="shared" si="0"/>
        <v>-</v>
      </c>
      <c r="N24" s="260" t="str">
        <f t="shared" si="1"/>
        <v>-</v>
      </c>
      <c r="O24" s="164" t="str">
        <f t="shared" si="2"/>
        <v>-</v>
      </c>
      <c r="P24" s="535"/>
      <c r="Q24" s="536"/>
      <c r="R24" s="537"/>
      <c r="S24" s="46"/>
      <c r="T24" s="46"/>
    </row>
    <row r="25" spans="1:22" ht="13.7" customHeight="1">
      <c r="A25" s="570"/>
      <c r="B25" s="573"/>
      <c r="C25" s="575"/>
      <c r="D25" s="579" t="s">
        <v>86</v>
      </c>
      <c r="E25" s="382"/>
      <c r="F25" s="580"/>
      <c r="G25" s="170"/>
      <c r="H25" s="192"/>
      <c r="I25" s="193"/>
      <c r="J25" s="170"/>
      <c r="K25" s="192"/>
      <c r="L25" s="195"/>
      <c r="M25" s="163" t="str">
        <f t="shared" si="0"/>
        <v>-</v>
      </c>
      <c r="N25" s="260" t="str">
        <f t="shared" si="1"/>
        <v>-</v>
      </c>
      <c r="O25" s="164" t="str">
        <f t="shared" si="2"/>
        <v>-</v>
      </c>
      <c r="P25" s="535"/>
      <c r="Q25" s="536"/>
      <c r="R25" s="537"/>
      <c r="S25" s="46"/>
      <c r="T25" s="46"/>
    </row>
    <row r="26" spans="1:22" ht="13.7" customHeight="1">
      <c r="A26" s="570"/>
      <c r="B26" s="573"/>
      <c r="C26" s="575"/>
      <c r="D26" s="586" t="s">
        <v>87</v>
      </c>
      <c r="E26" s="423"/>
      <c r="F26" s="587"/>
      <c r="G26" s="170"/>
      <c r="H26" s="192"/>
      <c r="I26" s="193"/>
      <c r="J26" s="170"/>
      <c r="K26" s="192"/>
      <c r="L26" s="195"/>
      <c r="M26" s="163" t="str">
        <f t="shared" si="0"/>
        <v>-</v>
      </c>
      <c r="N26" s="260" t="str">
        <f t="shared" si="1"/>
        <v>-</v>
      </c>
      <c r="O26" s="164" t="str">
        <f t="shared" si="2"/>
        <v>-</v>
      </c>
      <c r="P26" s="535"/>
      <c r="Q26" s="536"/>
      <c r="R26" s="537"/>
      <c r="S26" s="1"/>
      <c r="T26" s="1"/>
    </row>
    <row r="27" spans="1:22" ht="13.7" customHeight="1">
      <c r="A27" s="570"/>
      <c r="B27" s="573"/>
      <c r="C27" s="575"/>
      <c r="D27" s="30"/>
      <c r="E27" s="382" t="s">
        <v>88</v>
      </c>
      <c r="F27" s="381"/>
      <c r="G27" s="170"/>
      <c r="H27" s="201"/>
      <c r="I27" s="197"/>
      <c r="J27" s="170"/>
      <c r="K27" s="201"/>
      <c r="L27" s="198"/>
      <c r="M27" s="194" t="str">
        <f t="shared" si="0"/>
        <v>-</v>
      </c>
      <c r="N27" s="202"/>
      <c r="O27" s="200"/>
      <c r="P27" s="535"/>
      <c r="Q27" s="536"/>
      <c r="R27" s="537"/>
      <c r="S27" s="1"/>
      <c r="T27" s="1"/>
    </row>
    <row r="28" spans="1:22" ht="13.7" customHeight="1">
      <c r="A28" s="570"/>
      <c r="B28" s="573"/>
      <c r="C28" s="575"/>
      <c r="D28" s="579" t="s">
        <v>79</v>
      </c>
      <c r="E28" s="382"/>
      <c r="F28" s="580"/>
      <c r="G28" s="196"/>
      <c r="H28" s="192"/>
      <c r="I28" s="197"/>
      <c r="J28" s="196"/>
      <c r="K28" s="192"/>
      <c r="L28" s="198"/>
      <c r="M28" s="199"/>
      <c r="N28" s="260" t="str">
        <f t="shared" si="1"/>
        <v>-</v>
      </c>
      <c r="O28" s="200"/>
      <c r="P28" s="535"/>
      <c r="Q28" s="536"/>
      <c r="R28" s="537"/>
      <c r="S28" s="46"/>
      <c r="T28" s="46"/>
    </row>
    <row r="29" spans="1:22" ht="13.7" customHeight="1">
      <c r="A29" s="571"/>
      <c r="B29" s="583"/>
      <c r="C29" s="584" t="s">
        <v>82</v>
      </c>
      <c r="D29" s="584"/>
      <c r="E29" s="404"/>
      <c r="F29" s="585"/>
      <c r="G29" s="203"/>
      <c r="H29" s="204"/>
      <c r="I29" s="205"/>
      <c r="J29" s="206"/>
      <c r="K29" s="204"/>
      <c r="L29" s="207"/>
      <c r="M29" s="208"/>
      <c r="N29" s="262" t="str">
        <f t="shared" si="1"/>
        <v>-</v>
      </c>
      <c r="O29" s="209"/>
      <c r="P29" s="598"/>
      <c r="Q29" s="599"/>
      <c r="R29" s="600"/>
      <c r="S29" s="46"/>
      <c r="T29" s="46"/>
    </row>
    <row r="30" spans="1:22" ht="13.7" customHeight="1">
      <c r="A30" s="595" t="s">
        <v>216</v>
      </c>
      <c r="B30" s="588" t="s">
        <v>213</v>
      </c>
      <c r="C30" s="588" t="s">
        <v>214</v>
      </c>
      <c r="D30" s="380" t="s">
        <v>205</v>
      </c>
      <c r="E30" s="380"/>
      <c r="F30" s="381"/>
      <c r="G30" s="210"/>
      <c r="H30" s="211"/>
      <c r="I30" s="212"/>
      <c r="J30" s="213"/>
      <c r="K30" s="192"/>
      <c r="L30" s="195"/>
      <c r="M30" s="163" t="str">
        <f t="shared" si="0"/>
        <v>-</v>
      </c>
      <c r="N30" s="263" t="str">
        <f t="shared" si="1"/>
        <v>-</v>
      </c>
      <c r="O30" s="164" t="str">
        <f t="shared" si="2"/>
        <v>-</v>
      </c>
      <c r="P30" s="538"/>
      <c r="Q30" s="539"/>
      <c r="R30" s="540"/>
      <c r="S30" s="46"/>
      <c r="T30" s="46"/>
    </row>
    <row r="31" spans="1:22" ht="13.7" customHeight="1">
      <c r="A31" s="595"/>
      <c r="B31" s="589"/>
      <c r="C31" s="589"/>
      <c r="D31" s="380" t="s">
        <v>206</v>
      </c>
      <c r="E31" s="380"/>
      <c r="F31" s="381"/>
      <c r="G31" s="210"/>
      <c r="H31" s="211"/>
      <c r="I31" s="212"/>
      <c r="J31" s="170"/>
      <c r="K31" s="192"/>
      <c r="L31" s="195"/>
      <c r="M31" s="163" t="str">
        <f t="shared" si="0"/>
        <v>-</v>
      </c>
      <c r="N31" s="260" t="str">
        <f t="shared" si="1"/>
        <v>-</v>
      </c>
      <c r="O31" s="164" t="str">
        <f t="shared" si="2"/>
        <v>-</v>
      </c>
      <c r="P31" s="535"/>
      <c r="Q31" s="536"/>
      <c r="R31" s="537"/>
      <c r="S31" s="46"/>
      <c r="T31" s="46"/>
    </row>
    <row r="32" spans="1:22" ht="13.7" customHeight="1">
      <c r="A32" s="595"/>
      <c r="B32" s="589"/>
      <c r="C32" s="589"/>
      <c r="D32" s="380" t="s">
        <v>207</v>
      </c>
      <c r="E32" s="380"/>
      <c r="F32" s="381"/>
      <c r="G32" s="210"/>
      <c r="H32" s="211"/>
      <c r="I32" s="212"/>
      <c r="J32" s="170"/>
      <c r="K32" s="192"/>
      <c r="L32" s="195"/>
      <c r="M32" s="163" t="str">
        <f t="shared" si="0"/>
        <v>-</v>
      </c>
      <c r="N32" s="260" t="str">
        <f t="shared" si="1"/>
        <v>-</v>
      </c>
      <c r="O32" s="164" t="str">
        <f t="shared" si="2"/>
        <v>-</v>
      </c>
      <c r="P32" s="535"/>
      <c r="Q32" s="536"/>
      <c r="R32" s="537"/>
      <c r="S32" s="46"/>
      <c r="T32" s="46"/>
    </row>
    <row r="33" spans="1:20" ht="13.7" customHeight="1">
      <c r="A33" s="595"/>
      <c r="B33" s="589"/>
      <c r="C33" s="590"/>
      <c r="D33" s="380" t="s">
        <v>208</v>
      </c>
      <c r="E33" s="380"/>
      <c r="F33" s="381"/>
      <c r="G33" s="210"/>
      <c r="H33" s="211"/>
      <c r="I33" s="212"/>
      <c r="J33" s="170"/>
      <c r="K33" s="192"/>
      <c r="L33" s="195"/>
      <c r="M33" s="163" t="str">
        <f t="shared" si="0"/>
        <v>-</v>
      </c>
      <c r="N33" s="260" t="str">
        <f t="shared" si="1"/>
        <v>-</v>
      </c>
      <c r="O33" s="164" t="str">
        <f t="shared" si="2"/>
        <v>-</v>
      </c>
      <c r="P33" s="535"/>
      <c r="Q33" s="536"/>
      <c r="R33" s="537"/>
      <c r="S33" s="46"/>
      <c r="T33" s="46"/>
    </row>
    <row r="34" spans="1:20" ht="13.7" customHeight="1">
      <c r="A34" s="595"/>
      <c r="B34" s="589"/>
      <c r="C34" s="588" t="s">
        <v>215</v>
      </c>
      <c r="D34" s="380" t="s">
        <v>209</v>
      </c>
      <c r="E34" s="380"/>
      <c r="F34" s="381"/>
      <c r="G34" s="210"/>
      <c r="H34" s="211"/>
      <c r="I34" s="212"/>
      <c r="J34" s="170"/>
      <c r="K34" s="192"/>
      <c r="L34" s="195"/>
      <c r="M34" s="163" t="str">
        <f t="shared" si="0"/>
        <v>-</v>
      </c>
      <c r="N34" s="260" t="str">
        <f t="shared" si="1"/>
        <v>-</v>
      </c>
      <c r="O34" s="164" t="str">
        <f t="shared" si="2"/>
        <v>-</v>
      </c>
      <c r="P34" s="535"/>
      <c r="Q34" s="536"/>
      <c r="R34" s="537"/>
      <c r="S34" s="46"/>
      <c r="T34" s="46"/>
    </row>
    <row r="35" spans="1:20" ht="13.7" customHeight="1">
      <c r="A35" s="595"/>
      <c r="B35" s="589"/>
      <c r="C35" s="589"/>
      <c r="D35" s="380" t="s">
        <v>210</v>
      </c>
      <c r="E35" s="380"/>
      <c r="F35" s="381"/>
      <c r="G35" s="210"/>
      <c r="H35" s="211"/>
      <c r="I35" s="212"/>
      <c r="J35" s="170"/>
      <c r="K35" s="192"/>
      <c r="L35" s="195"/>
      <c r="M35" s="163" t="str">
        <f t="shared" si="0"/>
        <v>-</v>
      </c>
      <c r="N35" s="260" t="str">
        <f t="shared" si="1"/>
        <v>-</v>
      </c>
      <c r="O35" s="164" t="str">
        <f t="shared" si="2"/>
        <v>-</v>
      </c>
      <c r="P35" s="535"/>
      <c r="Q35" s="536"/>
      <c r="R35" s="537"/>
      <c r="S35" s="46"/>
      <c r="T35" s="46"/>
    </row>
    <row r="36" spans="1:20" ht="13.7" customHeight="1">
      <c r="A36" s="595"/>
      <c r="B36" s="589"/>
      <c r="C36" s="589"/>
      <c r="D36" s="380" t="s">
        <v>211</v>
      </c>
      <c r="E36" s="380"/>
      <c r="F36" s="381"/>
      <c r="G36" s="210"/>
      <c r="H36" s="211"/>
      <c r="I36" s="212"/>
      <c r="J36" s="170"/>
      <c r="K36" s="192"/>
      <c r="L36" s="195"/>
      <c r="M36" s="163" t="str">
        <f t="shared" si="0"/>
        <v>-</v>
      </c>
      <c r="N36" s="260" t="str">
        <f t="shared" si="1"/>
        <v>-</v>
      </c>
      <c r="O36" s="164" t="str">
        <f t="shared" si="2"/>
        <v>-</v>
      </c>
      <c r="P36" s="535"/>
      <c r="Q36" s="536"/>
      <c r="R36" s="537"/>
      <c r="S36" s="46"/>
      <c r="T36" s="46"/>
    </row>
    <row r="37" spans="1:20" ht="13.7" customHeight="1">
      <c r="A37" s="595"/>
      <c r="B37" s="589"/>
      <c r="C37" s="590"/>
      <c r="D37" s="380" t="s">
        <v>208</v>
      </c>
      <c r="E37" s="380"/>
      <c r="F37" s="381"/>
      <c r="G37" s="210"/>
      <c r="H37" s="211"/>
      <c r="I37" s="212"/>
      <c r="J37" s="170"/>
      <c r="K37" s="192"/>
      <c r="L37" s="195"/>
      <c r="M37" s="163" t="str">
        <f t="shared" si="0"/>
        <v>-</v>
      </c>
      <c r="N37" s="260" t="str">
        <f t="shared" si="1"/>
        <v>-</v>
      </c>
      <c r="O37" s="164" t="str">
        <f t="shared" si="2"/>
        <v>-</v>
      </c>
      <c r="P37" s="535"/>
      <c r="Q37" s="536"/>
      <c r="R37" s="537"/>
      <c r="S37" s="46"/>
      <c r="T37" s="46"/>
    </row>
    <row r="38" spans="1:20" ht="13.5" customHeight="1">
      <c r="A38" s="596"/>
      <c r="B38" s="594"/>
      <c r="C38" s="374" t="s">
        <v>212</v>
      </c>
      <c r="D38" s="374"/>
      <c r="E38" s="374"/>
      <c r="F38" s="375"/>
      <c r="G38" s="214"/>
      <c r="H38" s="215"/>
      <c r="I38" s="216"/>
      <c r="J38" s="165"/>
      <c r="K38" s="204"/>
      <c r="L38" s="217"/>
      <c r="M38" s="261" t="str">
        <f t="shared" si="0"/>
        <v>-</v>
      </c>
      <c r="N38" s="262" t="str">
        <f t="shared" si="1"/>
        <v>-</v>
      </c>
      <c r="O38" s="218" t="str">
        <f t="shared" si="2"/>
        <v>-</v>
      </c>
      <c r="P38" s="561"/>
      <c r="Q38" s="562"/>
      <c r="R38" s="563"/>
      <c r="S38" s="46"/>
      <c r="T38" s="46"/>
    </row>
    <row r="39" spans="1:20" ht="13.7" customHeight="1">
      <c r="A39" s="24"/>
      <c r="B39" s="24"/>
      <c r="C39" s="25"/>
      <c r="G39" s="22"/>
      <c r="H39" s="22"/>
      <c r="I39" s="23"/>
      <c r="J39" s="22"/>
      <c r="K39" s="22"/>
      <c r="L39" s="23"/>
      <c r="M39" s="22"/>
      <c r="N39" s="22"/>
      <c r="O39" s="23"/>
      <c r="P39" s="46"/>
      <c r="Q39" s="46"/>
      <c r="R39" s="46"/>
      <c r="S39" s="46"/>
      <c r="T39" s="46"/>
    </row>
    <row r="40" spans="1:20" ht="13.7" customHeight="1">
      <c r="J40" s="22"/>
      <c r="K40" s="22"/>
      <c r="L40" s="23"/>
      <c r="M40" s="22"/>
      <c r="N40" s="22"/>
      <c r="O40" s="23"/>
      <c r="P40" s="82"/>
      <c r="Q40" s="82"/>
      <c r="R40" s="82"/>
      <c r="S40" s="82"/>
      <c r="T40" s="82"/>
    </row>
    <row r="41" spans="1:20" ht="12.2" customHeight="1">
      <c r="J41" s="592"/>
      <c r="K41" s="592"/>
      <c r="L41" s="592"/>
      <c r="M41" s="592"/>
      <c r="N41" s="597"/>
      <c r="O41" s="597"/>
      <c r="P41" s="597"/>
      <c r="Q41" s="592"/>
      <c r="R41" s="592"/>
      <c r="S41" s="592"/>
      <c r="T41" s="592"/>
    </row>
    <row r="42" spans="1:20" ht="12.2" customHeight="1">
      <c r="J42" s="592"/>
      <c r="K42" s="592"/>
      <c r="L42" s="592"/>
      <c r="M42" s="592"/>
      <c r="N42" s="70"/>
      <c r="O42" s="70"/>
      <c r="P42" s="27"/>
      <c r="Q42" s="592"/>
      <c r="R42" s="592"/>
      <c r="S42" s="592"/>
      <c r="T42" s="592"/>
    </row>
    <row r="43" spans="1:20" ht="12.2" customHeight="1">
      <c r="J43" s="592"/>
      <c r="K43" s="592"/>
      <c r="L43" s="592"/>
      <c r="M43" s="592"/>
      <c r="N43" s="68"/>
      <c r="O43" s="68"/>
      <c r="P43" s="68"/>
      <c r="Q43" s="592"/>
      <c r="R43" s="592"/>
      <c r="S43" s="592"/>
      <c r="T43" s="592"/>
    </row>
    <row r="44" spans="1:20" ht="12.2" customHeight="1">
      <c r="J44" s="593"/>
      <c r="K44" s="593"/>
      <c r="L44" s="593"/>
      <c r="M44" s="593"/>
      <c r="N44" s="69"/>
      <c r="O44" s="69"/>
      <c r="P44" s="71"/>
      <c r="Q44" s="593"/>
      <c r="R44" s="593"/>
      <c r="S44" s="593"/>
      <c r="T44" s="593"/>
    </row>
    <row r="45" spans="1:20" ht="12.2" customHeight="1">
      <c r="J45" s="592"/>
      <c r="K45" s="592"/>
      <c r="L45" s="592"/>
      <c r="M45" s="592"/>
      <c r="N45" s="69"/>
      <c r="O45" s="69"/>
      <c r="P45" s="71"/>
      <c r="Q45" s="593"/>
      <c r="R45" s="593"/>
      <c r="S45" s="593"/>
      <c r="T45" s="593"/>
    </row>
    <row r="46" spans="1:20" ht="12.2" customHeight="1">
      <c r="J46" s="592"/>
      <c r="K46" s="592"/>
      <c r="L46" s="592"/>
      <c r="M46" s="592"/>
      <c r="N46" s="69"/>
      <c r="O46" s="69"/>
      <c r="P46" s="71"/>
      <c r="Q46" s="593"/>
      <c r="R46" s="593"/>
      <c r="S46" s="593"/>
      <c r="T46" s="593"/>
    </row>
    <row r="47" spans="1:20" ht="12.2" customHeight="1">
      <c r="J47" s="592"/>
      <c r="K47" s="592"/>
      <c r="L47" s="592"/>
      <c r="M47" s="592"/>
      <c r="N47" s="69"/>
      <c r="O47" s="69"/>
      <c r="P47" s="71"/>
      <c r="Q47" s="593"/>
      <c r="R47" s="593"/>
      <c r="S47" s="593"/>
      <c r="T47" s="593"/>
    </row>
    <row r="48" spans="1:20" ht="12.2" customHeight="1">
      <c r="A48" s="103"/>
      <c r="B48" s="591"/>
      <c r="C48" s="591"/>
      <c r="D48" s="591"/>
      <c r="E48" s="591"/>
      <c r="F48" s="591"/>
      <c r="G48" s="105"/>
      <c r="H48" s="105"/>
      <c r="I48" s="106"/>
      <c r="J48" s="592"/>
      <c r="K48" s="592"/>
      <c r="L48" s="592"/>
      <c r="M48" s="592"/>
      <c r="N48" s="69"/>
      <c r="O48" s="69"/>
      <c r="P48" s="71"/>
      <c r="Q48" s="593"/>
      <c r="R48" s="593"/>
      <c r="S48" s="593"/>
      <c r="T48" s="593"/>
    </row>
    <row r="49" spans="1:22" ht="12.2" customHeight="1">
      <c r="A49" s="103"/>
      <c r="B49" s="591"/>
      <c r="C49" s="591"/>
      <c r="D49" s="591"/>
      <c r="E49" s="591"/>
      <c r="F49" s="591"/>
      <c r="G49" s="105"/>
      <c r="H49" s="105"/>
      <c r="I49" s="106"/>
      <c r="J49" s="592"/>
      <c r="K49" s="592"/>
      <c r="L49" s="592"/>
      <c r="M49" s="592"/>
      <c r="N49" s="69"/>
      <c r="O49" s="69"/>
      <c r="P49" s="71"/>
      <c r="Q49" s="593"/>
      <c r="R49" s="593"/>
      <c r="S49" s="593"/>
      <c r="T49" s="593"/>
    </row>
    <row r="50" spans="1:22" ht="12.2" customHeight="1">
      <c r="A50" s="591"/>
      <c r="B50" s="591"/>
      <c r="C50" s="591"/>
      <c r="D50" s="591"/>
      <c r="E50" s="591"/>
      <c r="F50" s="591"/>
      <c r="G50" s="69"/>
      <c r="H50" s="69"/>
      <c r="I50" s="71"/>
      <c r="J50" s="592"/>
      <c r="K50" s="592"/>
      <c r="L50" s="592"/>
      <c r="M50" s="592"/>
      <c r="N50" s="69"/>
      <c r="O50" s="69"/>
      <c r="P50" s="71"/>
      <c r="Q50" s="593"/>
      <c r="R50" s="593"/>
      <c r="S50" s="593"/>
      <c r="T50" s="593"/>
    </row>
    <row r="51" spans="1:22" ht="12.2" customHeight="1">
      <c r="A51" s="591"/>
      <c r="B51" s="591"/>
      <c r="C51" s="591"/>
      <c r="D51" s="591"/>
      <c r="E51" s="591"/>
      <c r="F51" s="591"/>
      <c r="G51" s="69"/>
      <c r="H51" s="69"/>
      <c r="I51" s="71"/>
      <c r="J51" s="592"/>
      <c r="K51" s="592"/>
      <c r="L51" s="592"/>
      <c r="M51" s="592"/>
      <c r="N51" s="69"/>
      <c r="O51" s="69"/>
      <c r="P51" s="71"/>
      <c r="Q51" s="593"/>
      <c r="R51" s="593"/>
      <c r="S51" s="593"/>
      <c r="T51" s="593"/>
      <c r="U51" s="12"/>
      <c r="V51" s="12"/>
    </row>
    <row r="52" spans="1:22" ht="12.2" customHeight="1">
      <c r="A52" s="591"/>
      <c r="B52" s="591"/>
      <c r="C52" s="591"/>
      <c r="D52" s="591"/>
      <c r="E52" s="591"/>
      <c r="F52" s="591"/>
      <c r="G52" s="69"/>
      <c r="H52" s="69"/>
      <c r="I52" s="71"/>
      <c r="J52" s="592"/>
      <c r="K52" s="592"/>
      <c r="L52" s="592"/>
      <c r="M52" s="592"/>
      <c r="N52" s="69"/>
      <c r="O52" s="69"/>
      <c r="P52" s="71"/>
      <c r="Q52" s="593"/>
      <c r="R52" s="593"/>
      <c r="S52" s="593"/>
      <c r="T52" s="593"/>
      <c r="U52" s="12"/>
      <c r="V52" s="12"/>
    </row>
    <row r="53" spans="1:22" ht="12.2" customHeight="1">
      <c r="A53" s="591"/>
      <c r="B53" s="591"/>
      <c r="C53" s="591"/>
      <c r="D53" s="591"/>
      <c r="E53" s="591"/>
      <c r="F53" s="591"/>
      <c r="G53" s="69"/>
      <c r="H53" s="69"/>
      <c r="I53" s="71"/>
      <c r="J53" s="592"/>
      <c r="K53" s="592"/>
      <c r="L53" s="592"/>
      <c r="M53" s="592"/>
      <c r="N53" s="69"/>
      <c r="O53" s="69"/>
      <c r="P53" s="71"/>
      <c r="Q53" s="593"/>
      <c r="R53" s="593"/>
      <c r="S53" s="593"/>
      <c r="T53" s="593"/>
    </row>
    <row r="54" spans="1:22" ht="12.2" customHeight="1">
      <c r="A54" s="591"/>
      <c r="B54" s="591"/>
      <c r="C54" s="591"/>
      <c r="D54" s="591"/>
      <c r="E54" s="591"/>
      <c r="F54" s="591"/>
      <c r="G54" s="69"/>
      <c r="H54" s="69"/>
      <c r="I54" s="71"/>
      <c r="J54" s="592"/>
      <c r="K54" s="592"/>
      <c r="L54" s="592"/>
      <c r="M54" s="592"/>
      <c r="N54" s="69"/>
      <c r="O54" s="69"/>
      <c r="P54" s="71"/>
      <c r="Q54" s="593"/>
      <c r="R54" s="593"/>
      <c r="S54" s="593"/>
      <c r="T54" s="593"/>
    </row>
    <row r="55" spans="1:22" ht="12.2" customHeight="1">
      <c r="A55" s="591"/>
      <c r="B55" s="591"/>
      <c r="C55" s="591"/>
      <c r="D55" s="591"/>
      <c r="E55" s="591"/>
      <c r="F55" s="591"/>
      <c r="G55" s="69"/>
      <c r="H55" s="69"/>
      <c r="I55" s="71"/>
      <c r="J55" s="592"/>
      <c r="K55" s="592"/>
      <c r="L55" s="592"/>
      <c r="M55" s="592"/>
      <c r="N55" s="69"/>
      <c r="O55" s="69"/>
      <c r="P55" s="71"/>
      <c r="Q55" s="593"/>
      <c r="R55" s="593"/>
      <c r="S55" s="593"/>
      <c r="T55" s="593"/>
    </row>
    <row r="56" spans="1:22" ht="12.2" customHeight="1">
      <c r="A56" s="591"/>
      <c r="B56" s="591"/>
      <c r="C56" s="591"/>
      <c r="D56" s="591"/>
      <c r="E56" s="591"/>
      <c r="F56" s="591"/>
      <c r="G56" s="69"/>
      <c r="H56" s="69"/>
      <c r="I56" s="71"/>
      <c r="J56" s="592"/>
      <c r="K56" s="592"/>
      <c r="L56" s="592"/>
      <c r="M56" s="592"/>
      <c r="N56" s="69"/>
      <c r="O56" s="69"/>
      <c r="P56" s="71"/>
      <c r="Q56" s="593"/>
      <c r="R56" s="593"/>
      <c r="S56" s="593"/>
      <c r="T56" s="593"/>
    </row>
    <row r="57" spans="1:22" ht="12.2" customHeight="1">
      <c r="A57" s="591"/>
      <c r="B57" s="591"/>
      <c r="C57" s="591"/>
      <c r="D57" s="591"/>
      <c r="E57" s="591"/>
      <c r="F57" s="591"/>
      <c r="G57" s="105"/>
      <c r="H57" s="105"/>
      <c r="I57" s="106"/>
      <c r="J57" s="592"/>
      <c r="K57" s="592"/>
      <c r="L57" s="592"/>
      <c r="M57" s="592"/>
      <c r="N57" s="69"/>
      <c r="O57" s="69"/>
      <c r="P57" s="71"/>
      <c r="Q57" s="593"/>
      <c r="R57" s="593"/>
      <c r="S57" s="593"/>
      <c r="T57" s="593"/>
    </row>
    <row r="58" spans="1:22" ht="13.7" customHeight="1"/>
    <row r="59" spans="1:22" ht="13.7" customHeight="1"/>
  </sheetData>
  <mergeCells count="121">
    <mergeCell ref="P5:R7"/>
    <mergeCell ref="P8:R8"/>
    <mergeCell ref="M1:O1"/>
    <mergeCell ref="M2:O2"/>
    <mergeCell ref="P19:R19"/>
    <mergeCell ref="P20:R20"/>
    <mergeCell ref="P21:R21"/>
    <mergeCell ref="P22:R22"/>
    <mergeCell ref="P23:R23"/>
    <mergeCell ref="P14:R14"/>
    <mergeCell ref="P15:R15"/>
    <mergeCell ref="P16:R16"/>
    <mergeCell ref="P17:R17"/>
    <mergeCell ref="P18:R18"/>
    <mergeCell ref="Q53:T53"/>
    <mergeCell ref="J46:M46"/>
    <mergeCell ref="Q46:T46"/>
    <mergeCell ref="J47:M47"/>
    <mergeCell ref="Q47:T47"/>
    <mergeCell ref="P9:R9"/>
    <mergeCell ref="P10:R10"/>
    <mergeCell ref="P11:R11"/>
    <mergeCell ref="P12:R12"/>
    <mergeCell ref="P13:R13"/>
    <mergeCell ref="J44:M44"/>
    <mergeCell ref="Q44:T44"/>
    <mergeCell ref="J45:M45"/>
    <mergeCell ref="Q45:T45"/>
    <mergeCell ref="P29:R29"/>
    <mergeCell ref="Q50:T50"/>
    <mergeCell ref="E27:F27"/>
    <mergeCell ref="D33:F33"/>
    <mergeCell ref="J41:M43"/>
    <mergeCell ref="N41:P41"/>
    <mergeCell ref="Q41:T43"/>
    <mergeCell ref="D30:F30"/>
    <mergeCell ref="A57:F57"/>
    <mergeCell ref="J57:M57"/>
    <mergeCell ref="Q57:T57"/>
    <mergeCell ref="A54:F54"/>
    <mergeCell ref="J54:M54"/>
    <mergeCell ref="Q54:T54"/>
    <mergeCell ref="A55:F55"/>
    <mergeCell ref="J55:M55"/>
    <mergeCell ref="Q55:T55"/>
    <mergeCell ref="A56:F56"/>
    <mergeCell ref="J56:M56"/>
    <mergeCell ref="Q56:T56"/>
    <mergeCell ref="A52:F52"/>
    <mergeCell ref="J52:M52"/>
    <mergeCell ref="Q52:T52"/>
    <mergeCell ref="A53:F53"/>
    <mergeCell ref="J53:M53"/>
    <mergeCell ref="A51:F51"/>
    <mergeCell ref="J51:M51"/>
    <mergeCell ref="Q51:T51"/>
    <mergeCell ref="B30:B38"/>
    <mergeCell ref="A30:A38"/>
    <mergeCell ref="D36:F36"/>
    <mergeCell ref="D37:F37"/>
    <mergeCell ref="D31:F31"/>
    <mergeCell ref="D32:F32"/>
    <mergeCell ref="D34:F34"/>
    <mergeCell ref="D35:F35"/>
    <mergeCell ref="P30:R30"/>
    <mergeCell ref="P31:R31"/>
    <mergeCell ref="P32:R32"/>
    <mergeCell ref="P36:R36"/>
    <mergeCell ref="P37:R37"/>
    <mergeCell ref="B48:F48"/>
    <mergeCell ref="J48:M48"/>
    <mergeCell ref="Q48:T48"/>
    <mergeCell ref="B49:F49"/>
    <mergeCell ref="J49:M49"/>
    <mergeCell ref="Q49:T49"/>
    <mergeCell ref="A50:F50"/>
    <mergeCell ref="J50:M50"/>
    <mergeCell ref="D22:F22"/>
    <mergeCell ref="C23:C28"/>
    <mergeCell ref="D23:F23"/>
    <mergeCell ref="D24:F24"/>
    <mergeCell ref="D28:F28"/>
    <mergeCell ref="C29:F29"/>
    <mergeCell ref="D25:F25"/>
    <mergeCell ref="D26:F26"/>
    <mergeCell ref="P38:R38"/>
    <mergeCell ref="P33:R33"/>
    <mergeCell ref="P34:R34"/>
    <mergeCell ref="P35:R35"/>
    <mergeCell ref="C30:C33"/>
    <mergeCell ref="C34:C37"/>
    <mergeCell ref="C38:F38"/>
    <mergeCell ref="P24:R24"/>
    <mergeCell ref="P25:R25"/>
    <mergeCell ref="P26:R26"/>
    <mergeCell ref="P27:R27"/>
    <mergeCell ref="P28:R28"/>
    <mergeCell ref="J5:L5"/>
    <mergeCell ref="M5:O5"/>
    <mergeCell ref="A8:A29"/>
    <mergeCell ref="B8:B17"/>
    <mergeCell ref="C8:C12"/>
    <mergeCell ref="D8:F8"/>
    <mergeCell ref="D9:F9"/>
    <mergeCell ref="D10:F10"/>
    <mergeCell ref="D11:F11"/>
    <mergeCell ref="A5:F7"/>
    <mergeCell ref="G5:I5"/>
    <mergeCell ref="D12:F12"/>
    <mergeCell ref="C13:C16"/>
    <mergeCell ref="D13:F13"/>
    <mergeCell ref="D14:F14"/>
    <mergeCell ref="D15:F15"/>
    <mergeCell ref="D16:F16"/>
    <mergeCell ref="C17:F17"/>
    <mergeCell ref="B18:B29"/>
    <mergeCell ref="C18:C22"/>
    <mergeCell ref="D18:F18"/>
    <mergeCell ref="D19:F19"/>
    <mergeCell ref="D20:F20"/>
    <mergeCell ref="D21:F21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D40"/>
  <sheetViews>
    <sheetView showGridLines="0" view="pageBreakPreview" zoomScaleNormal="100" zoomScaleSheetLayoutView="100" workbookViewId="0">
      <selection activeCell="P20" sqref="P20:R20"/>
    </sheetView>
  </sheetViews>
  <sheetFormatPr defaultColWidth="9" defaultRowHeight="15" customHeight="1"/>
  <cols>
    <col min="1" max="5" width="2.625" style="2" customWidth="1"/>
    <col min="6" max="6" width="6.125" style="2" customWidth="1"/>
    <col min="7" max="15" width="9.125" style="2" customWidth="1"/>
    <col min="16" max="18" width="17.75" style="2" customWidth="1"/>
    <col min="19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M1" s="323" t="s">
        <v>113</v>
      </c>
      <c r="N1" s="324"/>
      <c r="O1" s="325"/>
    </row>
    <row r="2" spans="1:30" ht="15" customHeight="1">
      <c r="A2" s="1" t="s">
        <v>169</v>
      </c>
      <c r="B2" s="1"/>
      <c r="C2" s="1"/>
      <c r="D2" s="1"/>
      <c r="E2" s="1"/>
      <c r="F2" s="1"/>
      <c r="G2" s="1"/>
      <c r="H2" s="1"/>
      <c r="I2" s="1"/>
      <c r="J2" s="1"/>
      <c r="M2" s="408" t="str">
        <f>IF(No.1!O2="","",No.1!O2)</f>
        <v/>
      </c>
      <c r="N2" s="409"/>
      <c r="O2" s="410"/>
      <c r="P2" s="67"/>
    </row>
    <row r="3" spans="1:30" ht="15" customHeight="1">
      <c r="A3" s="11"/>
      <c r="B3" s="11"/>
      <c r="C3" s="11"/>
      <c r="D3" s="11"/>
      <c r="E3" s="11"/>
      <c r="F3" s="11"/>
      <c r="G3" s="11"/>
      <c r="H3" s="11"/>
      <c r="I3" s="11"/>
      <c r="U3" s="4"/>
      <c r="V3" s="4"/>
      <c r="W3" s="4"/>
    </row>
    <row r="4" spans="1:30" ht="15" customHeight="1">
      <c r="A4" s="5" t="s">
        <v>200</v>
      </c>
      <c r="K4" s="12"/>
      <c r="L4" s="12"/>
      <c r="N4" s="12"/>
      <c r="O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3.7" customHeight="1">
      <c r="A5" s="411"/>
      <c r="B5" s="412"/>
      <c r="C5" s="412"/>
      <c r="D5" s="412"/>
      <c r="E5" s="412"/>
      <c r="F5" s="413"/>
      <c r="G5" s="564">
        <f>No.1!H5</f>
        <v>19</v>
      </c>
      <c r="H5" s="565"/>
      <c r="I5" s="582"/>
      <c r="J5" s="564">
        <f>G5-1</f>
        <v>18</v>
      </c>
      <c r="K5" s="565"/>
      <c r="L5" s="566"/>
      <c r="M5" s="567" t="s">
        <v>42</v>
      </c>
      <c r="N5" s="567"/>
      <c r="O5" s="568"/>
      <c r="P5" s="444" t="s">
        <v>242</v>
      </c>
      <c r="Q5" s="445"/>
      <c r="R5" s="446"/>
      <c r="S5" s="1"/>
      <c r="T5" s="1"/>
      <c r="U5" s="12"/>
      <c r="V5" s="12"/>
      <c r="W5" s="12"/>
      <c r="X5" s="12"/>
      <c r="Y5" s="12"/>
      <c r="Z5" s="12"/>
      <c r="AA5" s="12"/>
    </row>
    <row r="6" spans="1:30" ht="13.7" customHeight="1">
      <c r="A6" s="544"/>
      <c r="B6" s="545"/>
      <c r="C6" s="545"/>
      <c r="D6" s="545"/>
      <c r="E6" s="545"/>
      <c r="F6" s="581"/>
      <c r="G6" s="13" t="s">
        <v>39</v>
      </c>
      <c r="H6" s="14" t="s">
        <v>11</v>
      </c>
      <c r="I6" s="15" t="s">
        <v>40</v>
      </c>
      <c r="J6" s="13" t="s">
        <v>39</v>
      </c>
      <c r="K6" s="14" t="s">
        <v>11</v>
      </c>
      <c r="L6" s="15" t="s">
        <v>40</v>
      </c>
      <c r="M6" s="16" t="s">
        <v>39</v>
      </c>
      <c r="N6" s="14" t="s">
        <v>11</v>
      </c>
      <c r="O6" s="17" t="s">
        <v>40</v>
      </c>
      <c r="P6" s="447"/>
      <c r="Q6" s="448"/>
      <c r="R6" s="449"/>
      <c r="S6" s="1"/>
      <c r="T6" s="1"/>
      <c r="U6" s="12"/>
      <c r="V6" s="12"/>
      <c r="W6" s="12"/>
      <c r="X6" s="12"/>
      <c r="Y6" s="12"/>
      <c r="Z6" s="12"/>
      <c r="AA6" s="12"/>
    </row>
    <row r="7" spans="1:30" ht="13.7" customHeight="1">
      <c r="A7" s="414"/>
      <c r="B7" s="415"/>
      <c r="C7" s="415"/>
      <c r="D7" s="415"/>
      <c r="E7" s="415"/>
      <c r="F7" s="416"/>
      <c r="G7" s="18" t="s">
        <v>170</v>
      </c>
      <c r="H7" s="19" t="s">
        <v>2</v>
      </c>
      <c r="I7" s="20" t="s">
        <v>2</v>
      </c>
      <c r="J7" s="18" t="s">
        <v>170</v>
      </c>
      <c r="K7" s="19" t="s">
        <v>2</v>
      </c>
      <c r="L7" s="20" t="s">
        <v>2</v>
      </c>
      <c r="M7" s="18" t="s">
        <v>171</v>
      </c>
      <c r="N7" s="19" t="s">
        <v>171</v>
      </c>
      <c r="O7" s="20" t="s">
        <v>171</v>
      </c>
      <c r="P7" s="450"/>
      <c r="Q7" s="451"/>
      <c r="R7" s="452"/>
      <c r="S7" s="1"/>
      <c r="T7" s="1"/>
      <c r="U7" s="12"/>
      <c r="V7" s="12"/>
      <c r="W7" s="12"/>
      <c r="X7" s="12"/>
      <c r="Y7" s="12"/>
      <c r="Z7" s="12"/>
      <c r="AA7" s="12"/>
    </row>
    <row r="8" spans="1:30" ht="13.7" customHeight="1">
      <c r="A8" s="603" t="s">
        <v>177</v>
      </c>
      <c r="B8" s="572" t="s">
        <v>73</v>
      </c>
      <c r="C8" s="572" t="s">
        <v>74</v>
      </c>
      <c r="D8" s="577" t="s">
        <v>75</v>
      </c>
      <c r="E8" s="377"/>
      <c r="F8" s="378"/>
      <c r="G8" s="219"/>
      <c r="H8" s="220"/>
      <c r="I8" s="221"/>
      <c r="J8" s="219"/>
      <c r="K8" s="220"/>
      <c r="L8" s="221"/>
      <c r="M8" s="161" t="str">
        <f>IF(G8="-", "-", IF(J8="-", "-", IF(ABS(J8)=0, "-", ROUND(100*(G8-J8)/ABS(J8),10))))</f>
        <v>-</v>
      </c>
      <c r="N8" s="264" t="str">
        <f>IF(H8="-", "-", IF(K8="-", "-", IF(ABS(K8)=0, "-", ROUND(100*(H8-K8)/ABS(K8),10))))</f>
        <v>-</v>
      </c>
      <c r="O8" s="162" t="str">
        <f>IF(I8="-", "-", IF(L8="-", "-", IF(ABS(L8)=0, "-", ROUND(100*(I8-L8)/ABS(L8),10))))</f>
        <v>-</v>
      </c>
      <c r="P8" s="538"/>
      <c r="Q8" s="539"/>
      <c r="R8" s="540"/>
      <c r="S8" s="46"/>
      <c r="T8" s="46"/>
    </row>
    <row r="9" spans="1:30" ht="13.7" customHeight="1">
      <c r="A9" s="604"/>
      <c r="B9" s="573"/>
      <c r="C9" s="573"/>
      <c r="D9" s="382" t="s">
        <v>76</v>
      </c>
      <c r="E9" s="380"/>
      <c r="F9" s="381"/>
      <c r="G9" s="170"/>
      <c r="H9" s="192"/>
      <c r="I9" s="221"/>
      <c r="J9" s="170"/>
      <c r="K9" s="192"/>
      <c r="L9" s="193"/>
      <c r="M9" s="266" t="str">
        <f t="shared" ref="M9:M21" si="0">IF(G9="-", "-", IF(J9="-", "-", IF(ABS(J9)=0, "-", ROUND(100*(G9-J9)/ABS(J9),10))))</f>
        <v>-</v>
      </c>
      <c r="N9" s="263" t="str">
        <f t="shared" ref="N9:N21" si="1">IF(H9="-", "-", IF(K9="-", "-", IF(ABS(K9)=0, "-", ROUND(100*(H9-K9)/ABS(K9),10))))</f>
        <v>-</v>
      </c>
      <c r="O9" s="222" t="str">
        <f t="shared" ref="O9:O21" si="2">IF(I9="-", "-", IF(L9="-", "-", IF(ABS(L9)=0, "-", ROUND(100*(I9-L9)/ABS(L9),10))))</f>
        <v>-</v>
      </c>
      <c r="P9" s="535"/>
      <c r="Q9" s="536"/>
      <c r="R9" s="537"/>
      <c r="S9" s="1"/>
      <c r="T9" s="1"/>
    </row>
    <row r="10" spans="1:30" ht="13.7" customHeight="1">
      <c r="A10" s="604"/>
      <c r="B10" s="573"/>
      <c r="C10" s="573"/>
      <c r="D10" s="382" t="s">
        <v>179</v>
      </c>
      <c r="E10" s="380"/>
      <c r="F10" s="381"/>
      <c r="G10" s="219"/>
      <c r="H10" s="220"/>
      <c r="I10" s="221"/>
      <c r="J10" s="170"/>
      <c r="K10" s="192"/>
      <c r="L10" s="193"/>
      <c r="M10" s="266" t="str">
        <f t="shared" si="0"/>
        <v>-</v>
      </c>
      <c r="N10" s="263" t="str">
        <f t="shared" si="1"/>
        <v>-</v>
      </c>
      <c r="O10" s="222" t="str">
        <f t="shared" si="2"/>
        <v>-</v>
      </c>
      <c r="P10" s="535"/>
      <c r="Q10" s="536"/>
      <c r="R10" s="537"/>
      <c r="S10" s="1"/>
      <c r="T10" s="1"/>
    </row>
    <row r="11" spans="1:30" ht="13.7" customHeight="1">
      <c r="A11" s="604"/>
      <c r="B11" s="573"/>
      <c r="C11" s="573"/>
      <c r="D11" s="382" t="s">
        <v>180</v>
      </c>
      <c r="E11" s="606"/>
      <c r="F11" s="607"/>
      <c r="G11" s="170"/>
      <c r="H11" s="192"/>
      <c r="I11" s="221"/>
      <c r="J11" s="170"/>
      <c r="K11" s="192"/>
      <c r="L11" s="193"/>
      <c r="M11" s="266" t="str">
        <f t="shared" si="0"/>
        <v>-</v>
      </c>
      <c r="N11" s="263" t="str">
        <f t="shared" si="1"/>
        <v>-</v>
      </c>
      <c r="O11" s="222" t="str">
        <f t="shared" si="2"/>
        <v>-</v>
      </c>
      <c r="P11" s="535"/>
      <c r="Q11" s="536"/>
      <c r="R11" s="537"/>
      <c r="S11" s="46"/>
      <c r="T11" s="46"/>
    </row>
    <row r="12" spans="1:30" ht="13.7" customHeight="1">
      <c r="A12" s="604"/>
      <c r="B12" s="573"/>
      <c r="C12" s="573"/>
      <c r="D12" s="579" t="s">
        <v>78</v>
      </c>
      <c r="E12" s="579"/>
      <c r="F12" s="580"/>
      <c r="G12" s="219"/>
      <c r="H12" s="220"/>
      <c r="I12" s="221"/>
      <c r="J12" s="170"/>
      <c r="K12" s="192"/>
      <c r="L12" s="193"/>
      <c r="M12" s="266" t="str">
        <f t="shared" si="0"/>
        <v>-</v>
      </c>
      <c r="N12" s="263" t="str">
        <f t="shared" si="1"/>
        <v>-</v>
      </c>
      <c r="O12" s="222" t="str">
        <f t="shared" si="2"/>
        <v>-</v>
      </c>
      <c r="P12" s="535"/>
      <c r="Q12" s="536"/>
      <c r="R12" s="537"/>
      <c r="S12" s="46"/>
      <c r="T12" s="46"/>
    </row>
    <row r="13" spans="1:30" ht="13.7" customHeight="1">
      <c r="A13" s="604"/>
      <c r="B13" s="573"/>
      <c r="C13" s="573"/>
      <c r="D13" s="579" t="s">
        <v>79</v>
      </c>
      <c r="E13" s="579"/>
      <c r="F13" s="580"/>
      <c r="G13" s="219"/>
      <c r="H13" s="220"/>
      <c r="I13" s="221"/>
      <c r="J13" s="170"/>
      <c r="K13" s="192"/>
      <c r="L13" s="193"/>
      <c r="M13" s="266" t="str">
        <f t="shared" si="0"/>
        <v>-</v>
      </c>
      <c r="N13" s="263" t="str">
        <f t="shared" si="1"/>
        <v>-</v>
      </c>
      <c r="O13" s="222" t="str">
        <f t="shared" si="2"/>
        <v>-</v>
      </c>
      <c r="P13" s="535"/>
      <c r="Q13" s="536"/>
      <c r="R13" s="537"/>
      <c r="S13" s="46"/>
      <c r="T13" s="46"/>
    </row>
    <row r="14" spans="1:30" ht="13.7" customHeight="1">
      <c r="A14" s="604"/>
      <c r="B14" s="573"/>
      <c r="C14" s="573" t="s">
        <v>203</v>
      </c>
      <c r="D14" s="601" t="s">
        <v>80</v>
      </c>
      <c r="E14" s="601"/>
      <c r="F14" s="602"/>
      <c r="G14" s="170"/>
      <c r="H14" s="192"/>
      <c r="I14" s="221"/>
      <c r="J14" s="170"/>
      <c r="K14" s="192"/>
      <c r="L14" s="193"/>
      <c r="M14" s="266" t="str">
        <f t="shared" si="0"/>
        <v>-</v>
      </c>
      <c r="N14" s="263" t="str">
        <f t="shared" si="1"/>
        <v>-</v>
      </c>
      <c r="O14" s="222" t="str">
        <f t="shared" si="2"/>
        <v>-</v>
      </c>
      <c r="P14" s="535"/>
      <c r="Q14" s="536"/>
      <c r="R14" s="537"/>
      <c r="S14" s="46"/>
      <c r="T14" s="46"/>
    </row>
    <row r="15" spans="1:30" ht="13.7" customHeight="1">
      <c r="A15" s="604"/>
      <c r="B15" s="573"/>
      <c r="C15" s="573"/>
      <c r="D15" s="601" t="s">
        <v>89</v>
      </c>
      <c r="E15" s="601"/>
      <c r="F15" s="602"/>
      <c r="G15" s="219"/>
      <c r="H15" s="220"/>
      <c r="I15" s="221"/>
      <c r="J15" s="170"/>
      <c r="K15" s="192"/>
      <c r="L15" s="193"/>
      <c r="M15" s="266" t="str">
        <f t="shared" si="0"/>
        <v>-</v>
      </c>
      <c r="N15" s="263" t="str">
        <f t="shared" si="1"/>
        <v>-</v>
      </c>
      <c r="O15" s="222" t="str">
        <f t="shared" si="2"/>
        <v>-</v>
      </c>
      <c r="P15" s="535"/>
      <c r="Q15" s="536"/>
      <c r="R15" s="537"/>
      <c r="S15" s="46"/>
      <c r="T15" s="46"/>
    </row>
    <row r="16" spans="1:30" ht="13.7" customHeight="1">
      <c r="A16" s="604"/>
      <c r="B16" s="573"/>
      <c r="C16" s="573"/>
      <c r="D16" s="579" t="s">
        <v>78</v>
      </c>
      <c r="E16" s="579"/>
      <c r="F16" s="580"/>
      <c r="G16" s="170"/>
      <c r="H16" s="192"/>
      <c r="I16" s="221"/>
      <c r="J16" s="170"/>
      <c r="K16" s="192"/>
      <c r="L16" s="193"/>
      <c r="M16" s="266" t="str">
        <f t="shared" si="0"/>
        <v>-</v>
      </c>
      <c r="N16" s="263" t="str">
        <f t="shared" si="1"/>
        <v>-</v>
      </c>
      <c r="O16" s="222" t="str">
        <f t="shared" si="2"/>
        <v>-</v>
      </c>
      <c r="P16" s="535"/>
      <c r="Q16" s="536"/>
      <c r="R16" s="537"/>
      <c r="S16" s="46"/>
      <c r="T16" s="46"/>
    </row>
    <row r="17" spans="1:22" ht="13.7" customHeight="1">
      <c r="A17" s="604"/>
      <c r="B17" s="573"/>
      <c r="C17" s="573"/>
      <c r="D17" s="579" t="s">
        <v>79</v>
      </c>
      <c r="E17" s="579"/>
      <c r="F17" s="580"/>
      <c r="G17" s="219"/>
      <c r="H17" s="220"/>
      <c r="I17" s="221"/>
      <c r="J17" s="170"/>
      <c r="K17" s="192"/>
      <c r="L17" s="193"/>
      <c r="M17" s="266" t="str">
        <f t="shared" si="0"/>
        <v>-</v>
      </c>
      <c r="N17" s="263" t="str">
        <f t="shared" si="1"/>
        <v>-</v>
      </c>
      <c r="O17" s="222" t="str">
        <f t="shared" si="2"/>
        <v>-</v>
      </c>
      <c r="P17" s="535"/>
      <c r="Q17" s="536"/>
      <c r="R17" s="537"/>
      <c r="S17" s="46"/>
      <c r="T17" s="46"/>
    </row>
    <row r="18" spans="1:22" ht="13.7" customHeight="1">
      <c r="A18" s="604"/>
      <c r="B18" s="573"/>
      <c r="C18" s="579" t="s">
        <v>82</v>
      </c>
      <c r="D18" s="579"/>
      <c r="E18" s="579"/>
      <c r="F18" s="580"/>
      <c r="G18" s="219"/>
      <c r="H18" s="220"/>
      <c r="I18" s="221"/>
      <c r="J18" s="170"/>
      <c r="K18" s="192"/>
      <c r="L18" s="193"/>
      <c r="M18" s="266" t="str">
        <f t="shared" si="0"/>
        <v>-</v>
      </c>
      <c r="N18" s="263" t="str">
        <f t="shared" si="1"/>
        <v>-</v>
      </c>
      <c r="O18" s="222" t="str">
        <f t="shared" si="2"/>
        <v>-</v>
      </c>
      <c r="P18" s="535"/>
      <c r="Q18" s="536"/>
      <c r="R18" s="537"/>
      <c r="S18" s="46"/>
      <c r="T18" s="46"/>
    </row>
    <row r="19" spans="1:22" ht="13.7" customHeight="1">
      <c r="A19" s="604"/>
      <c r="B19" s="573" t="s">
        <v>83</v>
      </c>
      <c r="C19" s="579" t="s">
        <v>74</v>
      </c>
      <c r="D19" s="579"/>
      <c r="E19" s="579"/>
      <c r="F19" s="580"/>
      <c r="G19" s="170"/>
      <c r="H19" s="192"/>
      <c r="I19" s="221"/>
      <c r="J19" s="170"/>
      <c r="K19" s="192"/>
      <c r="L19" s="193"/>
      <c r="M19" s="266" t="str">
        <f t="shared" si="0"/>
        <v>-</v>
      </c>
      <c r="N19" s="263" t="str">
        <f t="shared" si="1"/>
        <v>-</v>
      </c>
      <c r="O19" s="222" t="str">
        <f t="shared" si="2"/>
        <v>-</v>
      </c>
      <c r="P19" s="535"/>
      <c r="Q19" s="536"/>
      <c r="R19" s="537"/>
      <c r="S19" s="46"/>
      <c r="T19" s="46"/>
    </row>
    <row r="20" spans="1:22" ht="13.7" customHeight="1">
      <c r="A20" s="604"/>
      <c r="B20" s="573"/>
      <c r="C20" s="579" t="s">
        <v>203</v>
      </c>
      <c r="D20" s="579"/>
      <c r="E20" s="579"/>
      <c r="F20" s="580"/>
      <c r="G20" s="219"/>
      <c r="H20" s="220"/>
      <c r="I20" s="221"/>
      <c r="J20" s="170"/>
      <c r="K20" s="192"/>
      <c r="L20" s="193"/>
      <c r="M20" s="266" t="str">
        <f t="shared" si="0"/>
        <v>-</v>
      </c>
      <c r="N20" s="263" t="str">
        <f t="shared" si="1"/>
        <v>-</v>
      </c>
      <c r="O20" s="222" t="str">
        <f t="shared" si="2"/>
        <v>-</v>
      </c>
      <c r="P20" s="535"/>
      <c r="Q20" s="536"/>
      <c r="R20" s="537"/>
      <c r="S20" s="46"/>
      <c r="T20" s="46"/>
      <c r="U20" s="12"/>
      <c r="V20" s="12"/>
    </row>
    <row r="21" spans="1:22" ht="13.7" customHeight="1">
      <c r="A21" s="605"/>
      <c r="B21" s="583"/>
      <c r="C21" s="584" t="s">
        <v>219</v>
      </c>
      <c r="D21" s="584"/>
      <c r="E21" s="584"/>
      <c r="F21" s="585"/>
      <c r="G21" s="165"/>
      <c r="H21" s="204"/>
      <c r="I21" s="223"/>
      <c r="J21" s="165"/>
      <c r="K21" s="204"/>
      <c r="L21" s="217"/>
      <c r="M21" s="267" t="str">
        <f t="shared" si="0"/>
        <v>-</v>
      </c>
      <c r="N21" s="268" t="str">
        <f t="shared" si="1"/>
        <v>-</v>
      </c>
      <c r="O21" s="269" t="str">
        <f t="shared" si="2"/>
        <v>-</v>
      </c>
      <c r="P21" s="561"/>
      <c r="Q21" s="562"/>
      <c r="R21" s="563"/>
      <c r="S21" s="46"/>
      <c r="T21" s="46"/>
      <c r="U21" s="12"/>
      <c r="V21" s="12"/>
    </row>
    <row r="22" spans="1:22" ht="13.7" customHeight="1"/>
    <row r="23" spans="1:22" ht="13.7" customHeight="1">
      <c r="A23" s="411"/>
      <c r="B23" s="412"/>
      <c r="C23" s="412"/>
      <c r="D23" s="412"/>
      <c r="E23" s="412"/>
      <c r="F23" s="413"/>
      <c r="G23" s="564">
        <f>G5</f>
        <v>19</v>
      </c>
      <c r="H23" s="565"/>
      <c r="I23" s="582"/>
      <c r="J23" s="564">
        <f>J5</f>
        <v>18</v>
      </c>
      <c r="K23" s="565"/>
      <c r="L23" s="566"/>
      <c r="M23" s="567" t="s">
        <v>42</v>
      </c>
      <c r="N23" s="567"/>
      <c r="O23" s="568"/>
      <c r="P23" s="444" t="s">
        <v>242</v>
      </c>
      <c r="Q23" s="445"/>
      <c r="R23" s="446"/>
      <c r="S23" s="82"/>
      <c r="T23" s="82"/>
    </row>
    <row r="24" spans="1:22" ht="13.7" customHeight="1">
      <c r="A24" s="544"/>
      <c r="B24" s="545"/>
      <c r="C24" s="545"/>
      <c r="D24" s="545"/>
      <c r="E24" s="545"/>
      <c r="F24" s="581"/>
      <c r="G24" s="13" t="s">
        <v>39</v>
      </c>
      <c r="H24" s="14" t="s">
        <v>11</v>
      </c>
      <c r="I24" s="15" t="s">
        <v>40</v>
      </c>
      <c r="J24" s="13" t="s">
        <v>39</v>
      </c>
      <c r="K24" s="14" t="s">
        <v>11</v>
      </c>
      <c r="L24" s="15" t="s">
        <v>40</v>
      </c>
      <c r="M24" s="16" t="s">
        <v>39</v>
      </c>
      <c r="N24" s="14" t="s">
        <v>11</v>
      </c>
      <c r="O24" s="17" t="s">
        <v>40</v>
      </c>
      <c r="P24" s="447"/>
      <c r="Q24" s="448"/>
      <c r="R24" s="449"/>
      <c r="S24" s="108"/>
      <c r="T24" s="108"/>
    </row>
    <row r="25" spans="1:22" ht="13.7" customHeight="1">
      <c r="A25" s="414"/>
      <c r="B25" s="415"/>
      <c r="C25" s="415"/>
      <c r="D25" s="415"/>
      <c r="E25" s="415"/>
      <c r="F25" s="416"/>
      <c r="G25" s="18" t="s">
        <v>170</v>
      </c>
      <c r="H25" s="19" t="s">
        <v>2</v>
      </c>
      <c r="I25" s="20" t="s">
        <v>2</v>
      </c>
      <c r="J25" s="18" t="s">
        <v>170</v>
      </c>
      <c r="K25" s="19" t="s">
        <v>2</v>
      </c>
      <c r="L25" s="20" t="s">
        <v>2</v>
      </c>
      <c r="M25" s="18" t="s">
        <v>3</v>
      </c>
      <c r="N25" s="19" t="s">
        <v>3</v>
      </c>
      <c r="O25" s="20" t="s">
        <v>3</v>
      </c>
      <c r="P25" s="450"/>
      <c r="Q25" s="451"/>
      <c r="R25" s="452"/>
      <c r="S25" s="108"/>
      <c r="T25" s="108"/>
    </row>
    <row r="26" spans="1:22" ht="13.7" customHeight="1">
      <c r="A26" s="608" t="s">
        <v>178</v>
      </c>
      <c r="B26" s="611" t="s">
        <v>73</v>
      </c>
      <c r="C26" s="611" t="s">
        <v>74</v>
      </c>
      <c r="D26" s="577" t="s">
        <v>75</v>
      </c>
      <c r="E26" s="377"/>
      <c r="F26" s="378"/>
      <c r="G26" s="219"/>
      <c r="H26" s="220"/>
      <c r="I26" s="221"/>
      <c r="J26" s="219"/>
      <c r="K26" s="220"/>
      <c r="L26" s="221"/>
      <c r="M26" s="161" t="str">
        <f>IF(G26="-", "-", IF(J26="-", "-", IF(ABS(J26)=0, "-", ROUND(100*(G26-J26)/ABS(J26),10))))</f>
        <v>-</v>
      </c>
      <c r="N26" s="264" t="str">
        <f>IF(H26="-", "-", IF(K26="-", "-", IF(ABS(K26)=0, "-", ROUND(100*(H26-K26)/ABS(K26),10))))</f>
        <v>-</v>
      </c>
      <c r="O26" s="162" t="str">
        <f>IF(I26="-", "-", IF(L26="-", "-", IF(ABS(L26)=0, "-", ROUND(100*(I26-L26)/ABS(L26),10))))</f>
        <v>-</v>
      </c>
      <c r="P26" s="538"/>
      <c r="Q26" s="539"/>
      <c r="R26" s="540"/>
      <c r="S26" s="108"/>
      <c r="T26" s="108"/>
    </row>
    <row r="27" spans="1:22" ht="13.7" customHeight="1">
      <c r="A27" s="609"/>
      <c r="B27" s="589"/>
      <c r="C27" s="589"/>
      <c r="D27" s="382" t="s">
        <v>76</v>
      </c>
      <c r="E27" s="380"/>
      <c r="F27" s="381"/>
      <c r="G27" s="170"/>
      <c r="H27" s="192"/>
      <c r="I27" s="221"/>
      <c r="J27" s="170"/>
      <c r="K27" s="192"/>
      <c r="L27" s="193"/>
      <c r="M27" s="266" t="str">
        <f t="shared" ref="M27:M38" si="3">IF(G27="-", "-", IF(J27="-", "-", IF(ABS(J27)=0, "-", ROUND(100*(G27-J27)/ABS(J27),10))))</f>
        <v>-</v>
      </c>
      <c r="N27" s="263" t="str">
        <f t="shared" ref="N27:N38" si="4">IF(H27="-", "-", IF(K27="-", "-", IF(ABS(K27)=0, "-", ROUND(100*(H27-K27)/ABS(K27),10))))</f>
        <v>-</v>
      </c>
      <c r="O27" s="222" t="str">
        <f t="shared" ref="O27:O38" si="5">IF(I27="-", "-", IF(L27="-", "-", IF(ABS(L27)=0, "-", ROUND(100*(I27-L27)/ABS(L27),10))))</f>
        <v>-</v>
      </c>
      <c r="P27" s="535"/>
      <c r="Q27" s="536"/>
      <c r="R27" s="537"/>
      <c r="S27" s="108"/>
      <c r="T27" s="108"/>
    </row>
    <row r="28" spans="1:22" ht="13.7" customHeight="1">
      <c r="A28" s="609"/>
      <c r="B28" s="589"/>
      <c r="C28" s="589"/>
      <c r="D28" s="382" t="s">
        <v>181</v>
      </c>
      <c r="E28" s="380"/>
      <c r="F28" s="381"/>
      <c r="G28" s="219"/>
      <c r="H28" s="220"/>
      <c r="I28" s="221"/>
      <c r="J28" s="170"/>
      <c r="K28" s="192"/>
      <c r="L28" s="193"/>
      <c r="M28" s="266" t="str">
        <f t="shared" si="3"/>
        <v>-</v>
      </c>
      <c r="N28" s="263" t="str">
        <f t="shared" si="4"/>
        <v>-</v>
      </c>
      <c r="O28" s="222" t="str">
        <f t="shared" si="5"/>
        <v>-</v>
      </c>
      <c r="P28" s="535"/>
      <c r="Q28" s="536"/>
      <c r="R28" s="537"/>
      <c r="S28" s="108"/>
      <c r="T28" s="108"/>
    </row>
    <row r="29" spans="1:22" ht="15" customHeight="1">
      <c r="A29" s="609"/>
      <c r="B29" s="589"/>
      <c r="C29" s="589"/>
      <c r="D29" s="382" t="s">
        <v>78</v>
      </c>
      <c r="E29" s="380"/>
      <c r="F29" s="381"/>
      <c r="G29" s="170"/>
      <c r="H29" s="192"/>
      <c r="I29" s="221"/>
      <c r="J29" s="170"/>
      <c r="K29" s="192"/>
      <c r="L29" s="193"/>
      <c r="M29" s="266" t="str">
        <f t="shared" si="3"/>
        <v>-</v>
      </c>
      <c r="N29" s="263" t="str">
        <f t="shared" si="4"/>
        <v>-</v>
      </c>
      <c r="O29" s="222" t="str">
        <f t="shared" si="5"/>
        <v>-</v>
      </c>
      <c r="P29" s="535"/>
      <c r="Q29" s="536"/>
      <c r="R29" s="537"/>
      <c r="S29" s="108"/>
      <c r="T29" s="108"/>
    </row>
    <row r="30" spans="1:22" ht="15" customHeight="1">
      <c r="A30" s="609"/>
      <c r="B30" s="589"/>
      <c r="C30" s="589"/>
      <c r="D30" s="579" t="s">
        <v>79</v>
      </c>
      <c r="E30" s="579"/>
      <c r="F30" s="580"/>
      <c r="G30" s="170"/>
      <c r="H30" s="192"/>
      <c r="I30" s="221"/>
      <c r="J30" s="170"/>
      <c r="K30" s="192"/>
      <c r="L30" s="193"/>
      <c r="M30" s="266" t="str">
        <f t="shared" si="3"/>
        <v>-</v>
      </c>
      <c r="N30" s="263" t="str">
        <f t="shared" si="4"/>
        <v>-</v>
      </c>
      <c r="O30" s="222" t="str">
        <f t="shared" si="5"/>
        <v>-</v>
      </c>
      <c r="P30" s="535"/>
      <c r="Q30" s="536"/>
      <c r="R30" s="537"/>
      <c r="S30" s="108"/>
      <c r="T30" s="108"/>
    </row>
    <row r="31" spans="1:22" ht="15" customHeight="1">
      <c r="A31" s="609"/>
      <c r="B31" s="589"/>
      <c r="C31" s="588" t="s">
        <v>203</v>
      </c>
      <c r="D31" s="546" t="s">
        <v>80</v>
      </c>
      <c r="E31" s="547"/>
      <c r="F31" s="548"/>
      <c r="G31" s="170"/>
      <c r="H31" s="192"/>
      <c r="I31" s="221"/>
      <c r="J31" s="170"/>
      <c r="K31" s="192"/>
      <c r="L31" s="193"/>
      <c r="M31" s="266" t="str">
        <f t="shared" si="3"/>
        <v>-</v>
      </c>
      <c r="N31" s="263" t="str">
        <f t="shared" si="4"/>
        <v>-</v>
      </c>
      <c r="O31" s="222" t="str">
        <f t="shared" si="5"/>
        <v>-</v>
      </c>
      <c r="P31" s="535"/>
      <c r="Q31" s="536"/>
      <c r="R31" s="537"/>
      <c r="S31" s="108"/>
      <c r="T31" s="108"/>
    </row>
    <row r="32" spans="1:22" ht="15" customHeight="1">
      <c r="A32" s="609"/>
      <c r="B32" s="589"/>
      <c r="C32" s="589"/>
      <c r="D32" s="546" t="s">
        <v>89</v>
      </c>
      <c r="E32" s="547"/>
      <c r="F32" s="548"/>
      <c r="G32" s="170"/>
      <c r="H32" s="192"/>
      <c r="I32" s="221"/>
      <c r="J32" s="170"/>
      <c r="K32" s="192"/>
      <c r="L32" s="193"/>
      <c r="M32" s="266" t="str">
        <f t="shared" si="3"/>
        <v>-</v>
      </c>
      <c r="N32" s="263" t="str">
        <f t="shared" si="4"/>
        <v>-</v>
      </c>
      <c r="O32" s="222" t="str">
        <f t="shared" si="5"/>
        <v>-</v>
      </c>
      <c r="P32" s="535"/>
      <c r="Q32" s="536"/>
      <c r="R32" s="537"/>
      <c r="S32" s="108"/>
      <c r="T32" s="108"/>
    </row>
    <row r="33" spans="1:20" ht="15" customHeight="1">
      <c r="A33" s="609"/>
      <c r="B33" s="589"/>
      <c r="C33" s="589"/>
      <c r="D33" s="382" t="s">
        <v>78</v>
      </c>
      <c r="E33" s="380"/>
      <c r="F33" s="381"/>
      <c r="G33" s="170"/>
      <c r="H33" s="192"/>
      <c r="I33" s="221"/>
      <c r="J33" s="170"/>
      <c r="K33" s="192"/>
      <c r="L33" s="193"/>
      <c r="M33" s="266" t="str">
        <f t="shared" si="3"/>
        <v>-</v>
      </c>
      <c r="N33" s="263" t="str">
        <f t="shared" si="4"/>
        <v>-</v>
      </c>
      <c r="O33" s="222" t="str">
        <f t="shared" si="5"/>
        <v>-</v>
      </c>
      <c r="P33" s="535"/>
      <c r="Q33" s="536"/>
      <c r="R33" s="537"/>
      <c r="S33" s="108"/>
      <c r="T33" s="108"/>
    </row>
    <row r="34" spans="1:20" ht="15" customHeight="1">
      <c r="A34" s="609"/>
      <c r="B34" s="589"/>
      <c r="C34" s="590"/>
      <c r="D34" s="579" t="s">
        <v>79</v>
      </c>
      <c r="E34" s="579"/>
      <c r="F34" s="580"/>
      <c r="G34" s="170"/>
      <c r="H34" s="192"/>
      <c r="I34" s="221"/>
      <c r="J34" s="170"/>
      <c r="K34" s="192"/>
      <c r="L34" s="193"/>
      <c r="M34" s="266" t="str">
        <f t="shared" si="3"/>
        <v>-</v>
      </c>
      <c r="N34" s="263" t="str">
        <f t="shared" si="4"/>
        <v>-</v>
      </c>
      <c r="O34" s="222" t="str">
        <f t="shared" si="5"/>
        <v>-</v>
      </c>
      <c r="P34" s="535"/>
      <c r="Q34" s="536"/>
      <c r="R34" s="537"/>
      <c r="S34" s="108"/>
      <c r="T34" s="108"/>
    </row>
    <row r="35" spans="1:20" ht="15" customHeight="1">
      <c r="A35" s="609"/>
      <c r="B35" s="589"/>
      <c r="C35" s="579" t="s">
        <v>82</v>
      </c>
      <c r="D35" s="579"/>
      <c r="E35" s="579"/>
      <c r="F35" s="580"/>
      <c r="G35" s="170"/>
      <c r="H35" s="192"/>
      <c r="I35" s="221"/>
      <c r="J35" s="170"/>
      <c r="K35" s="192"/>
      <c r="L35" s="193"/>
      <c r="M35" s="266" t="str">
        <f t="shared" si="3"/>
        <v>-</v>
      </c>
      <c r="N35" s="263" t="str">
        <f t="shared" si="4"/>
        <v>-</v>
      </c>
      <c r="O35" s="222" t="str">
        <f t="shared" si="5"/>
        <v>-</v>
      </c>
      <c r="P35" s="535"/>
      <c r="Q35" s="536"/>
      <c r="R35" s="537"/>
      <c r="S35" s="108"/>
      <c r="T35" s="108"/>
    </row>
    <row r="36" spans="1:20" ht="15" customHeight="1">
      <c r="A36" s="609"/>
      <c r="B36" s="588" t="s">
        <v>83</v>
      </c>
      <c r="C36" s="382" t="s">
        <v>74</v>
      </c>
      <c r="D36" s="380"/>
      <c r="E36" s="380"/>
      <c r="F36" s="381"/>
      <c r="G36" s="170"/>
      <c r="H36" s="192"/>
      <c r="I36" s="221"/>
      <c r="J36" s="170"/>
      <c r="K36" s="192"/>
      <c r="L36" s="193"/>
      <c r="M36" s="266" t="str">
        <f t="shared" si="3"/>
        <v>-</v>
      </c>
      <c r="N36" s="263" t="str">
        <f t="shared" si="4"/>
        <v>-</v>
      </c>
      <c r="O36" s="222" t="str">
        <f t="shared" si="5"/>
        <v>-</v>
      </c>
      <c r="P36" s="535"/>
      <c r="Q36" s="536"/>
      <c r="R36" s="537"/>
      <c r="S36" s="108"/>
      <c r="T36" s="108"/>
    </row>
    <row r="37" spans="1:20" ht="15" customHeight="1">
      <c r="A37" s="609"/>
      <c r="B37" s="589"/>
      <c r="C37" s="382" t="s">
        <v>203</v>
      </c>
      <c r="D37" s="380"/>
      <c r="E37" s="380"/>
      <c r="F37" s="381"/>
      <c r="G37" s="170"/>
      <c r="H37" s="192"/>
      <c r="I37" s="221"/>
      <c r="J37" s="170"/>
      <c r="K37" s="192"/>
      <c r="L37" s="193"/>
      <c r="M37" s="266" t="str">
        <f t="shared" si="3"/>
        <v>-</v>
      </c>
      <c r="N37" s="263" t="str">
        <f t="shared" si="4"/>
        <v>-</v>
      </c>
      <c r="O37" s="222" t="str">
        <f t="shared" si="5"/>
        <v>-</v>
      </c>
      <c r="P37" s="535"/>
      <c r="Q37" s="536"/>
      <c r="R37" s="537"/>
      <c r="S37" s="108"/>
      <c r="T37" s="108"/>
    </row>
    <row r="38" spans="1:20" ht="15" customHeight="1">
      <c r="A38" s="610"/>
      <c r="B38" s="594"/>
      <c r="C38" s="584" t="s">
        <v>219</v>
      </c>
      <c r="D38" s="584"/>
      <c r="E38" s="584"/>
      <c r="F38" s="585"/>
      <c r="G38" s="165"/>
      <c r="H38" s="204"/>
      <c r="I38" s="223"/>
      <c r="J38" s="165"/>
      <c r="K38" s="204"/>
      <c r="L38" s="223"/>
      <c r="M38" s="266" t="str">
        <f t="shared" si="3"/>
        <v>-</v>
      </c>
      <c r="N38" s="263" t="str">
        <f t="shared" si="4"/>
        <v>-</v>
      </c>
      <c r="O38" s="222" t="str">
        <f t="shared" si="5"/>
        <v>-</v>
      </c>
      <c r="P38" s="561"/>
      <c r="Q38" s="562"/>
      <c r="R38" s="563"/>
      <c r="S38" s="108"/>
      <c r="T38" s="108"/>
    </row>
    <row r="39" spans="1:20" ht="15" customHeight="1">
      <c r="A39" s="110"/>
      <c r="B39" s="110"/>
      <c r="C39" s="395"/>
      <c r="D39" s="395"/>
      <c r="E39" s="395"/>
      <c r="F39" s="395"/>
      <c r="G39" s="99"/>
      <c r="H39" s="99"/>
      <c r="I39" s="111"/>
      <c r="J39" s="99"/>
      <c r="K39" s="99"/>
      <c r="L39" s="111"/>
      <c r="M39" s="112"/>
      <c r="N39" s="112"/>
      <c r="O39" s="112"/>
      <c r="P39" s="71"/>
      <c r="Q39" s="108"/>
      <c r="R39" s="108"/>
      <c r="S39" s="108"/>
      <c r="T39" s="108"/>
    </row>
    <row r="40" spans="1:20" ht="15" customHeight="1">
      <c r="A40" s="46"/>
      <c r="B40" s="46"/>
      <c r="C40" s="46"/>
      <c r="D40" s="46"/>
      <c r="E40" s="46"/>
      <c r="F40" s="46"/>
      <c r="G40" s="105"/>
      <c r="H40" s="105"/>
      <c r="I40" s="106"/>
      <c r="J40" s="108"/>
      <c r="K40" s="108"/>
      <c r="L40" s="108"/>
      <c r="M40" s="108"/>
      <c r="N40" s="69"/>
      <c r="O40" s="69"/>
      <c r="P40" s="71"/>
      <c r="Q40" s="108"/>
      <c r="R40" s="108"/>
      <c r="S40" s="108"/>
      <c r="T40" s="108"/>
    </row>
  </sheetData>
  <mergeCells count="77">
    <mergeCell ref="P37:R37"/>
    <mergeCell ref="P38:R38"/>
    <mergeCell ref="P32:R32"/>
    <mergeCell ref="P33:R33"/>
    <mergeCell ref="P34:R34"/>
    <mergeCell ref="P35:R35"/>
    <mergeCell ref="P36:R36"/>
    <mergeCell ref="P27:R27"/>
    <mergeCell ref="P28:R28"/>
    <mergeCell ref="P29:R29"/>
    <mergeCell ref="P30:R30"/>
    <mergeCell ref="P31:R31"/>
    <mergeCell ref="P18:R18"/>
    <mergeCell ref="P19:R19"/>
    <mergeCell ref="P20:R20"/>
    <mergeCell ref="P21:R21"/>
    <mergeCell ref="P26:R26"/>
    <mergeCell ref="P13:R13"/>
    <mergeCell ref="P14:R14"/>
    <mergeCell ref="P15:R15"/>
    <mergeCell ref="P16:R16"/>
    <mergeCell ref="P17:R17"/>
    <mergeCell ref="P8:R8"/>
    <mergeCell ref="P9:R9"/>
    <mergeCell ref="P10:R10"/>
    <mergeCell ref="P11:R11"/>
    <mergeCell ref="P12:R12"/>
    <mergeCell ref="P5:R7"/>
    <mergeCell ref="P23:R25"/>
    <mergeCell ref="M1:O1"/>
    <mergeCell ref="M2:O2"/>
    <mergeCell ref="A26:A38"/>
    <mergeCell ref="C31:C34"/>
    <mergeCell ref="C35:F35"/>
    <mergeCell ref="B26:B35"/>
    <mergeCell ref="B36:B38"/>
    <mergeCell ref="C38:F38"/>
    <mergeCell ref="B19:B21"/>
    <mergeCell ref="C19:F19"/>
    <mergeCell ref="C20:F20"/>
    <mergeCell ref="C21:F21"/>
    <mergeCell ref="D28:F28"/>
    <mergeCell ref="C26:C30"/>
    <mergeCell ref="G23:I23"/>
    <mergeCell ref="J23:L23"/>
    <mergeCell ref="M5:O5"/>
    <mergeCell ref="A8:A21"/>
    <mergeCell ref="B8:B18"/>
    <mergeCell ref="C8:C13"/>
    <mergeCell ref="D11:F11"/>
    <mergeCell ref="D12:F12"/>
    <mergeCell ref="A5:F7"/>
    <mergeCell ref="G5:I5"/>
    <mergeCell ref="J5:L5"/>
    <mergeCell ref="D13:F13"/>
    <mergeCell ref="C14:C17"/>
    <mergeCell ref="D14:F14"/>
    <mergeCell ref="M23:O23"/>
    <mergeCell ref="C39:F39"/>
    <mergeCell ref="D33:F33"/>
    <mergeCell ref="D34:F34"/>
    <mergeCell ref="C36:F36"/>
    <mergeCell ref="C37:F37"/>
    <mergeCell ref="D29:F29"/>
    <mergeCell ref="D30:F30"/>
    <mergeCell ref="D31:F31"/>
    <mergeCell ref="D32:F32"/>
    <mergeCell ref="D8:F8"/>
    <mergeCell ref="D9:F9"/>
    <mergeCell ref="D10:F10"/>
    <mergeCell ref="D26:F26"/>
    <mergeCell ref="D27:F27"/>
    <mergeCell ref="D15:F15"/>
    <mergeCell ref="D16:F16"/>
    <mergeCell ref="D17:F17"/>
    <mergeCell ref="C18:F18"/>
    <mergeCell ref="A23:F25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44"/>
  <sheetViews>
    <sheetView showGridLines="0" view="pageBreakPreview" zoomScaleNormal="100" zoomScaleSheetLayoutView="100" workbookViewId="0">
      <selection activeCell="P8" sqref="P8:R8"/>
    </sheetView>
  </sheetViews>
  <sheetFormatPr defaultColWidth="9" defaultRowHeight="15" customHeight="1"/>
  <cols>
    <col min="1" max="5" width="2.625" style="2" customWidth="1"/>
    <col min="6" max="6" width="6.125" style="2" customWidth="1"/>
    <col min="7" max="15" width="9.125" style="2" customWidth="1"/>
    <col min="16" max="18" width="17.75" style="2" customWidth="1"/>
    <col min="19" max="20" width="9.125" style="2" customWidth="1"/>
    <col min="21" max="22" width="6.625" style="2" customWidth="1"/>
    <col min="23" max="25" width="6.875" style="2" customWidth="1"/>
    <col min="26" max="30" width="5.625" style="2" customWidth="1"/>
    <col min="31" max="16384" width="9" style="2"/>
  </cols>
  <sheetData>
    <row r="1" spans="1:30" ht="14.25" customHeight="1">
      <c r="A1" s="1" t="str">
        <f>No.1!A1&amp;"年産　麦類・大豆・そば・なたね・畑作物生産費統計（個別経営体）"</f>
        <v>2019年産　麦類・大豆・そば・なたね・畑作物生産費統計（個別経営体）</v>
      </c>
      <c r="B1" s="1"/>
      <c r="C1" s="1"/>
      <c r="D1" s="1"/>
      <c r="E1" s="1"/>
      <c r="F1" s="1"/>
      <c r="G1" s="1"/>
      <c r="H1" s="1"/>
      <c r="I1" s="1"/>
      <c r="J1" s="1"/>
      <c r="K1" s="3"/>
      <c r="M1" s="323" t="s">
        <v>113</v>
      </c>
      <c r="N1" s="324"/>
      <c r="O1" s="325"/>
    </row>
    <row r="2" spans="1:30" ht="15" customHeight="1">
      <c r="A2" s="1" t="s">
        <v>169</v>
      </c>
      <c r="B2" s="1"/>
      <c r="C2" s="1"/>
      <c r="D2" s="1"/>
      <c r="E2" s="1"/>
      <c r="F2" s="1"/>
      <c r="G2" s="1"/>
      <c r="H2" s="1"/>
      <c r="I2" s="1"/>
      <c r="J2" s="1"/>
      <c r="M2" s="408" t="str">
        <f>IF(No.1!O2="","",No.1!O2)</f>
        <v/>
      </c>
      <c r="N2" s="409"/>
      <c r="O2" s="410"/>
      <c r="P2" s="73"/>
      <c r="Q2" s="73"/>
      <c r="R2" s="104"/>
      <c r="S2" s="73"/>
    </row>
    <row r="3" spans="1:30" ht="15" customHeight="1">
      <c r="A3" s="11"/>
      <c r="B3" s="11"/>
      <c r="C3" s="11"/>
      <c r="D3" s="11"/>
      <c r="E3" s="11"/>
      <c r="F3" s="11"/>
      <c r="G3" s="11"/>
      <c r="H3" s="11"/>
      <c r="I3" s="11"/>
      <c r="U3" s="4"/>
      <c r="V3" s="4"/>
      <c r="W3" s="4"/>
    </row>
    <row r="4" spans="1:30" ht="15" customHeight="1">
      <c r="A4" s="5" t="s">
        <v>200</v>
      </c>
      <c r="K4" s="12"/>
      <c r="L4" s="12"/>
      <c r="N4" s="12"/>
      <c r="O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3.7" customHeight="1">
      <c r="A5" s="411"/>
      <c r="B5" s="412"/>
      <c r="C5" s="412"/>
      <c r="D5" s="412"/>
      <c r="E5" s="412"/>
      <c r="F5" s="413"/>
      <c r="G5" s="564">
        <f>No.1!H5</f>
        <v>19</v>
      </c>
      <c r="H5" s="565"/>
      <c r="I5" s="582"/>
      <c r="J5" s="564">
        <f>G5-1</f>
        <v>18</v>
      </c>
      <c r="K5" s="565"/>
      <c r="L5" s="566"/>
      <c r="M5" s="567" t="s">
        <v>42</v>
      </c>
      <c r="N5" s="567"/>
      <c r="O5" s="568"/>
      <c r="P5" s="444" t="s">
        <v>242</v>
      </c>
      <c r="Q5" s="445"/>
      <c r="R5" s="446"/>
      <c r="S5" s="1"/>
      <c r="T5" s="1"/>
      <c r="U5" s="12"/>
      <c r="V5" s="12"/>
      <c r="W5" s="12"/>
      <c r="X5" s="12"/>
      <c r="Y5" s="12"/>
      <c r="Z5" s="12"/>
      <c r="AA5" s="12"/>
    </row>
    <row r="6" spans="1:30" ht="13.7" customHeight="1">
      <c r="A6" s="544"/>
      <c r="B6" s="545"/>
      <c r="C6" s="545"/>
      <c r="D6" s="545"/>
      <c r="E6" s="545"/>
      <c r="F6" s="581"/>
      <c r="G6" s="13" t="s">
        <v>39</v>
      </c>
      <c r="H6" s="14" t="s">
        <v>11</v>
      </c>
      <c r="I6" s="15" t="s">
        <v>40</v>
      </c>
      <c r="J6" s="13" t="s">
        <v>39</v>
      </c>
      <c r="K6" s="14" t="s">
        <v>11</v>
      </c>
      <c r="L6" s="15" t="s">
        <v>40</v>
      </c>
      <c r="M6" s="16" t="s">
        <v>39</v>
      </c>
      <c r="N6" s="14" t="s">
        <v>11</v>
      </c>
      <c r="O6" s="17" t="s">
        <v>40</v>
      </c>
      <c r="P6" s="447"/>
      <c r="Q6" s="448"/>
      <c r="R6" s="449"/>
      <c r="S6" s="1"/>
      <c r="T6" s="1"/>
      <c r="U6" s="12"/>
      <c r="V6" s="12"/>
      <c r="W6" s="12"/>
      <c r="X6" s="12"/>
      <c r="Y6" s="12"/>
      <c r="Z6" s="12"/>
      <c r="AA6" s="12"/>
    </row>
    <row r="7" spans="1:30" ht="13.7" customHeight="1">
      <c r="A7" s="414"/>
      <c r="B7" s="415"/>
      <c r="C7" s="415"/>
      <c r="D7" s="415"/>
      <c r="E7" s="415"/>
      <c r="F7" s="416"/>
      <c r="G7" s="18" t="s">
        <v>170</v>
      </c>
      <c r="H7" s="19" t="s">
        <v>2</v>
      </c>
      <c r="I7" s="20" t="s">
        <v>2</v>
      </c>
      <c r="J7" s="18" t="s">
        <v>170</v>
      </c>
      <c r="K7" s="19" t="s">
        <v>2</v>
      </c>
      <c r="L7" s="20" t="s">
        <v>2</v>
      </c>
      <c r="M7" s="18" t="s">
        <v>171</v>
      </c>
      <c r="N7" s="19" t="s">
        <v>171</v>
      </c>
      <c r="O7" s="20" t="s">
        <v>171</v>
      </c>
      <c r="P7" s="450"/>
      <c r="Q7" s="451"/>
      <c r="R7" s="452"/>
      <c r="S7" s="1"/>
      <c r="T7" s="1"/>
      <c r="U7" s="12"/>
      <c r="V7" s="12"/>
      <c r="W7" s="12"/>
      <c r="X7" s="12"/>
      <c r="Y7" s="12"/>
      <c r="Z7" s="12"/>
      <c r="AA7" s="12"/>
    </row>
    <row r="8" spans="1:30" ht="15" customHeight="1">
      <c r="A8" s="603" t="s">
        <v>96</v>
      </c>
      <c r="B8" s="623" t="s">
        <v>8</v>
      </c>
      <c r="C8" s="625" t="s">
        <v>91</v>
      </c>
      <c r="D8" s="625"/>
      <c r="E8" s="625"/>
      <c r="F8" s="626"/>
      <c r="G8" s="170"/>
      <c r="H8" s="192"/>
      <c r="I8" s="193"/>
      <c r="J8" s="170"/>
      <c r="K8" s="192"/>
      <c r="L8" s="193"/>
      <c r="M8" s="161" t="str">
        <f>IF(G8="-", "-", IF(J8="-", "-", IF(ABS(J8)=0, "-", ROUND(100*(G8-J8)/ABS(J8),10))))</f>
        <v>-</v>
      </c>
      <c r="N8" s="264" t="str">
        <f>IF(H8="-", "-", IF(K8="-", "-", IF(ABS(K8)=0, "-", ROUND(100*(H8-K8)/ABS(K8),10))))</f>
        <v>-</v>
      </c>
      <c r="O8" s="162" t="str">
        <f>IF(I8="-", "-", IF(L8="-", "-", IF(ABS(L8)=0, "-", ROUND(100*(I8-L8)/ABS(L8),10))))</f>
        <v>-</v>
      </c>
      <c r="P8" s="474"/>
      <c r="Q8" s="475"/>
      <c r="R8" s="476"/>
      <c r="S8" s="46"/>
      <c r="T8" s="46"/>
      <c r="U8" s="12"/>
      <c r="V8" s="12"/>
    </row>
    <row r="9" spans="1:30" ht="15" customHeight="1">
      <c r="A9" s="604"/>
      <c r="B9" s="624"/>
      <c r="C9" s="627" t="s">
        <v>204</v>
      </c>
      <c r="D9" s="612" t="s">
        <v>92</v>
      </c>
      <c r="E9" s="612"/>
      <c r="F9" s="613"/>
      <c r="G9" s="170"/>
      <c r="H9" s="192"/>
      <c r="I9" s="193"/>
      <c r="J9" s="170"/>
      <c r="K9" s="192"/>
      <c r="L9" s="193"/>
      <c r="M9" s="163" t="str">
        <f t="shared" ref="M9:M16" si="0">IF(G9="-", "-", IF(J9="-", "-", IF(ABS(J9)=0, "-", ROUND(100*(G9-J9)/ABS(J9),10))))</f>
        <v>-</v>
      </c>
      <c r="N9" s="260" t="str">
        <f t="shared" ref="N9:N16" si="1">IF(H9="-", "-", IF(K9="-", "-", IF(ABS(K9)=0, "-", ROUND(100*(H9-K9)/ABS(K9),10))))</f>
        <v>-</v>
      </c>
      <c r="O9" s="164" t="str">
        <f t="shared" ref="O9:O16" si="2">IF(I9="-", "-", IF(L9="-", "-", IF(ABS(L9)=0, "-", ROUND(100*(I9-L9)/ABS(L9),10))))</f>
        <v>-</v>
      </c>
      <c r="P9" s="477"/>
      <c r="Q9" s="478"/>
      <c r="R9" s="479"/>
      <c r="S9" s="46"/>
      <c r="T9" s="46"/>
      <c r="U9" s="12"/>
      <c r="V9" s="12"/>
    </row>
    <row r="10" spans="1:30" ht="15" customHeight="1">
      <c r="A10" s="604"/>
      <c r="B10" s="624"/>
      <c r="C10" s="628"/>
      <c r="D10" s="612" t="s">
        <v>201</v>
      </c>
      <c r="E10" s="612"/>
      <c r="F10" s="613"/>
      <c r="G10" s="170"/>
      <c r="H10" s="192"/>
      <c r="I10" s="193"/>
      <c r="J10" s="170"/>
      <c r="K10" s="192"/>
      <c r="L10" s="193"/>
      <c r="M10" s="163" t="str">
        <f t="shared" si="0"/>
        <v>-</v>
      </c>
      <c r="N10" s="260" t="str">
        <f t="shared" si="1"/>
        <v>-</v>
      </c>
      <c r="O10" s="164" t="str">
        <f t="shared" si="2"/>
        <v>-</v>
      </c>
      <c r="P10" s="477"/>
      <c r="Q10" s="478"/>
      <c r="R10" s="479"/>
      <c r="S10" s="46"/>
      <c r="T10" s="46"/>
      <c r="U10" s="12"/>
      <c r="V10" s="12"/>
    </row>
    <row r="11" spans="1:30" ht="15" customHeight="1">
      <c r="A11" s="604"/>
      <c r="B11" s="624"/>
      <c r="C11" s="628"/>
      <c r="D11" s="612" t="s">
        <v>41</v>
      </c>
      <c r="E11" s="612"/>
      <c r="F11" s="613"/>
      <c r="G11" s="170"/>
      <c r="H11" s="192"/>
      <c r="I11" s="193"/>
      <c r="J11" s="170"/>
      <c r="K11" s="192"/>
      <c r="L11" s="193"/>
      <c r="M11" s="163" t="str">
        <f t="shared" si="0"/>
        <v>-</v>
      </c>
      <c r="N11" s="260" t="str">
        <f t="shared" si="1"/>
        <v>-</v>
      </c>
      <c r="O11" s="164" t="str">
        <f t="shared" si="2"/>
        <v>-</v>
      </c>
      <c r="P11" s="477"/>
      <c r="Q11" s="478"/>
      <c r="R11" s="479"/>
      <c r="S11" s="46"/>
      <c r="T11" s="46"/>
      <c r="U11" s="12"/>
      <c r="V11" s="12"/>
    </row>
    <row r="12" spans="1:30" ht="15" customHeight="1">
      <c r="A12" s="604"/>
      <c r="B12" s="624"/>
      <c r="C12" s="629"/>
      <c r="D12" s="612" t="s">
        <v>93</v>
      </c>
      <c r="E12" s="612"/>
      <c r="F12" s="613"/>
      <c r="G12" s="170"/>
      <c r="H12" s="192"/>
      <c r="I12" s="193"/>
      <c r="J12" s="170"/>
      <c r="K12" s="192"/>
      <c r="L12" s="193"/>
      <c r="M12" s="163" t="str">
        <f t="shared" si="0"/>
        <v>-</v>
      </c>
      <c r="N12" s="260" t="str">
        <f t="shared" si="1"/>
        <v>-</v>
      </c>
      <c r="O12" s="164" t="str">
        <f t="shared" si="2"/>
        <v>-</v>
      </c>
      <c r="P12" s="477"/>
      <c r="Q12" s="478"/>
      <c r="R12" s="479"/>
      <c r="S12" s="46"/>
      <c r="T12" s="46"/>
      <c r="U12" s="12"/>
      <c r="V12" s="12"/>
    </row>
    <row r="13" spans="1:30" ht="15" customHeight="1">
      <c r="A13" s="604"/>
      <c r="B13" s="624"/>
      <c r="C13" s="612" t="s">
        <v>94</v>
      </c>
      <c r="D13" s="612"/>
      <c r="E13" s="612"/>
      <c r="F13" s="613"/>
      <c r="G13" s="170"/>
      <c r="H13" s="192"/>
      <c r="I13" s="193"/>
      <c r="J13" s="170"/>
      <c r="K13" s="192"/>
      <c r="L13" s="193"/>
      <c r="M13" s="163" t="str">
        <f t="shared" si="0"/>
        <v>-</v>
      </c>
      <c r="N13" s="260" t="str">
        <f t="shared" si="1"/>
        <v>-</v>
      </c>
      <c r="O13" s="164" t="str">
        <f t="shared" si="2"/>
        <v>-</v>
      </c>
      <c r="P13" s="477"/>
      <c r="Q13" s="478"/>
      <c r="R13" s="479"/>
      <c r="S13" s="46"/>
      <c r="T13" s="46"/>
      <c r="U13" s="12"/>
      <c r="V13" s="12"/>
    </row>
    <row r="14" spans="1:30" ht="15" customHeight="1">
      <c r="A14" s="604"/>
      <c r="B14" s="614" t="s">
        <v>95</v>
      </c>
      <c r="C14" s="622" t="s">
        <v>91</v>
      </c>
      <c r="D14" s="612"/>
      <c r="E14" s="612"/>
      <c r="F14" s="613"/>
      <c r="G14" s="170"/>
      <c r="H14" s="192"/>
      <c r="I14" s="193"/>
      <c r="J14" s="170"/>
      <c r="K14" s="192"/>
      <c r="L14" s="193"/>
      <c r="M14" s="163" t="str">
        <f t="shared" si="0"/>
        <v>-</v>
      </c>
      <c r="N14" s="260" t="str">
        <f t="shared" si="1"/>
        <v>-</v>
      </c>
      <c r="O14" s="164" t="str">
        <f t="shared" si="2"/>
        <v>-</v>
      </c>
      <c r="P14" s="477"/>
      <c r="Q14" s="478"/>
      <c r="R14" s="479"/>
      <c r="S14" s="46"/>
      <c r="T14" s="46"/>
      <c r="U14" s="12"/>
      <c r="V14" s="12"/>
    </row>
    <row r="15" spans="1:30" ht="15" customHeight="1">
      <c r="A15" s="604"/>
      <c r="B15" s="615"/>
      <c r="C15" s="622" t="s">
        <v>204</v>
      </c>
      <c r="D15" s="612"/>
      <c r="E15" s="612"/>
      <c r="F15" s="613"/>
      <c r="G15" s="170"/>
      <c r="H15" s="192"/>
      <c r="I15" s="193"/>
      <c r="J15" s="170"/>
      <c r="K15" s="192"/>
      <c r="L15" s="193"/>
      <c r="M15" s="163" t="str">
        <f t="shared" si="0"/>
        <v>-</v>
      </c>
      <c r="N15" s="260" t="str">
        <f t="shared" si="1"/>
        <v>-</v>
      </c>
      <c r="O15" s="164" t="str">
        <f t="shared" si="2"/>
        <v>-</v>
      </c>
      <c r="P15" s="477"/>
      <c r="Q15" s="478"/>
      <c r="R15" s="479"/>
      <c r="S15" s="46"/>
      <c r="T15" s="46"/>
      <c r="U15" s="12"/>
      <c r="V15" s="12"/>
    </row>
    <row r="16" spans="1:30" ht="15" customHeight="1">
      <c r="A16" s="605"/>
      <c r="B16" s="616"/>
      <c r="C16" s="630" t="s">
        <v>98</v>
      </c>
      <c r="D16" s="631"/>
      <c r="E16" s="631"/>
      <c r="F16" s="632"/>
      <c r="G16" s="170"/>
      <c r="H16" s="192"/>
      <c r="I16" s="223"/>
      <c r="J16" s="165"/>
      <c r="K16" s="204"/>
      <c r="L16" s="223"/>
      <c r="M16" s="261" t="str">
        <f t="shared" si="0"/>
        <v>-</v>
      </c>
      <c r="N16" s="262" t="str">
        <f t="shared" si="1"/>
        <v>-</v>
      </c>
      <c r="O16" s="218" t="str">
        <f t="shared" si="2"/>
        <v>-</v>
      </c>
      <c r="P16" s="514"/>
      <c r="Q16" s="515"/>
      <c r="R16" s="516"/>
      <c r="S16" s="46"/>
      <c r="T16" s="46"/>
      <c r="U16" s="12"/>
      <c r="V16" s="12"/>
    </row>
    <row r="17" spans="1:22" ht="15" customHeight="1">
      <c r="A17" s="94"/>
      <c r="B17" s="94"/>
      <c r="C17" s="94"/>
      <c r="D17" s="94"/>
      <c r="E17" s="94"/>
      <c r="F17" s="94"/>
      <c r="G17" s="95"/>
      <c r="H17" s="96"/>
      <c r="I17" s="93"/>
      <c r="J17" s="96"/>
      <c r="K17" s="96"/>
      <c r="L17" s="93"/>
      <c r="M17" s="96"/>
      <c r="N17" s="96"/>
      <c r="O17" s="93"/>
      <c r="P17" s="46"/>
      <c r="Q17" s="1"/>
      <c r="R17" s="1"/>
      <c r="S17" s="1"/>
      <c r="T17" s="1"/>
      <c r="U17" s="12"/>
      <c r="V17" s="12"/>
    </row>
    <row r="18" spans="1:22" ht="15" customHeight="1">
      <c r="A18" s="5" t="s">
        <v>97</v>
      </c>
      <c r="G18" s="21"/>
      <c r="H18" s="22"/>
      <c r="I18" s="23"/>
      <c r="J18" s="22"/>
      <c r="K18" s="22"/>
      <c r="L18" s="23"/>
      <c r="M18" s="22"/>
      <c r="N18" s="22"/>
      <c r="O18" s="23"/>
      <c r="P18" s="48"/>
      <c r="Q18" s="48"/>
      <c r="R18" s="280"/>
      <c r="S18" s="280"/>
      <c r="T18" s="280"/>
    </row>
    <row r="19" spans="1:22" ht="15" customHeight="1">
      <c r="A19" s="411"/>
      <c r="B19" s="412"/>
      <c r="C19" s="412"/>
      <c r="D19" s="412"/>
      <c r="E19" s="412"/>
      <c r="F19" s="413"/>
      <c r="G19" s="564">
        <f>$G$5</f>
        <v>19</v>
      </c>
      <c r="H19" s="565" t="str">
        <f t="shared" ref="H19:L19" si="3">$I$6</f>
        <v>単価</v>
      </c>
      <c r="I19" s="582" t="str">
        <f t="shared" si="3"/>
        <v>単価</v>
      </c>
      <c r="J19" s="564">
        <f>$J$5</f>
        <v>18</v>
      </c>
      <c r="K19" s="565" t="str">
        <f t="shared" si="3"/>
        <v>単価</v>
      </c>
      <c r="L19" s="582" t="str">
        <f t="shared" si="3"/>
        <v>単価</v>
      </c>
      <c r="M19" s="621" t="s">
        <v>226</v>
      </c>
      <c r="N19" s="567"/>
      <c r="O19" s="568"/>
      <c r="P19" s="444" t="s">
        <v>242</v>
      </c>
      <c r="Q19" s="445"/>
      <c r="R19" s="446"/>
    </row>
    <row r="20" spans="1:22" ht="12.2" customHeight="1">
      <c r="A20" s="544"/>
      <c r="B20" s="545"/>
      <c r="C20" s="545"/>
      <c r="D20" s="545"/>
      <c r="E20" s="545"/>
      <c r="F20" s="581"/>
      <c r="G20" s="13" t="s">
        <v>99</v>
      </c>
      <c r="H20" s="97" t="s">
        <v>100</v>
      </c>
      <c r="I20" s="15" t="s">
        <v>101</v>
      </c>
      <c r="J20" s="13" t="s">
        <v>99</v>
      </c>
      <c r="K20" s="97" t="s">
        <v>100</v>
      </c>
      <c r="L20" s="15" t="s">
        <v>101</v>
      </c>
      <c r="M20" s="13" t="s">
        <v>99</v>
      </c>
      <c r="N20" s="97" t="s">
        <v>100</v>
      </c>
      <c r="O20" s="15" t="s">
        <v>101</v>
      </c>
      <c r="P20" s="447"/>
      <c r="Q20" s="448"/>
      <c r="R20" s="449"/>
    </row>
    <row r="21" spans="1:22" ht="12.2" customHeight="1">
      <c r="A21" s="414"/>
      <c r="B21" s="415"/>
      <c r="C21" s="415"/>
      <c r="D21" s="415"/>
      <c r="E21" s="415"/>
      <c r="F21" s="416"/>
      <c r="G21" s="18" t="s">
        <v>170</v>
      </c>
      <c r="H21" s="19" t="s">
        <v>170</v>
      </c>
      <c r="I21" s="20" t="s">
        <v>3</v>
      </c>
      <c r="J21" s="18" t="s">
        <v>170</v>
      </c>
      <c r="K21" s="19" t="s">
        <v>170</v>
      </c>
      <c r="L21" s="20" t="s">
        <v>3</v>
      </c>
      <c r="M21" s="18" t="s">
        <v>3</v>
      </c>
      <c r="N21" s="19" t="s">
        <v>3</v>
      </c>
      <c r="O21" s="20" t="s">
        <v>3</v>
      </c>
      <c r="P21" s="450"/>
      <c r="Q21" s="451"/>
      <c r="R21" s="452"/>
    </row>
    <row r="22" spans="1:22" ht="12.2" customHeight="1">
      <c r="A22" s="618" t="s">
        <v>220</v>
      </c>
      <c r="B22" s="619"/>
      <c r="C22" s="619"/>
      <c r="D22" s="619"/>
      <c r="E22" s="619"/>
      <c r="F22" s="620"/>
      <c r="G22" s="224"/>
      <c r="H22" s="225"/>
      <c r="I22" s="226"/>
      <c r="J22" s="224"/>
      <c r="K22" s="225"/>
      <c r="L22" s="226"/>
      <c r="M22" s="261" t="str">
        <f>IF(G22="-", "-", IF(J22="-", "-", IF(ABS(J22)=0, "-", ROUND(100*(G22-J22)/ABS(J22),10))))</f>
        <v>-</v>
      </c>
      <c r="N22" s="262" t="str">
        <f>IF(H22="-", "-", IF(K22="-", "-", IF(ABS(K22)=0, "-", ROUND(100*(H22-K22)/ABS(K22),10))))</f>
        <v>-</v>
      </c>
      <c r="O22" s="167">
        <f>I22-L22</f>
        <v>0</v>
      </c>
      <c r="P22" s="633"/>
      <c r="Q22" s="634"/>
      <c r="R22" s="635"/>
    </row>
    <row r="23" spans="1:22" ht="12.75" customHeight="1">
      <c r="A23" s="280"/>
      <c r="B23" s="280"/>
      <c r="C23" s="280"/>
      <c r="D23" s="280"/>
      <c r="E23" s="280"/>
      <c r="F23" s="280"/>
      <c r="G23" s="280"/>
      <c r="H23" s="280"/>
      <c r="I23" s="280"/>
      <c r="J23" s="280"/>
      <c r="K23" s="280"/>
      <c r="L23" s="280"/>
      <c r="M23" s="280"/>
      <c r="N23" s="280"/>
      <c r="O23" s="280"/>
    </row>
    <row r="24" spans="1:22" ht="15" customHeight="1">
      <c r="J24" s="617"/>
      <c r="K24" s="617"/>
      <c r="L24" s="617"/>
      <c r="M24" s="617"/>
      <c r="N24" s="253"/>
      <c r="O24" s="253"/>
      <c r="P24" s="254"/>
      <c r="Q24" s="396"/>
      <c r="R24" s="396"/>
      <c r="S24" s="396"/>
      <c r="T24" s="396"/>
    </row>
    <row r="25" spans="1:22" ht="15" customHeight="1">
      <c r="J25" s="617"/>
      <c r="K25" s="617"/>
      <c r="L25" s="617"/>
      <c r="M25" s="617"/>
      <c r="N25" s="253"/>
      <c r="O25" s="253"/>
      <c r="P25" s="254"/>
      <c r="Q25" s="396"/>
      <c r="R25" s="396"/>
      <c r="S25" s="396"/>
      <c r="T25" s="396"/>
    </row>
    <row r="26" spans="1:22" ht="15" customHeight="1">
      <c r="J26" s="617"/>
      <c r="K26" s="617"/>
      <c r="L26" s="617"/>
      <c r="M26" s="617"/>
      <c r="N26" s="253"/>
      <c r="O26" s="253"/>
      <c r="P26" s="254"/>
      <c r="Q26" s="396"/>
      <c r="R26" s="396"/>
      <c r="S26" s="396"/>
      <c r="T26" s="396"/>
    </row>
    <row r="27" spans="1:22" ht="15" customHeight="1">
      <c r="A27" s="103"/>
      <c r="B27" s="591"/>
      <c r="C27" s="591"/>
      <c r="D27" s="591"/>
      <c r="E27" s="591"/>
      <c r="F27" s="591"/>
      <c r="G27" s="253"/>
      <c r="H27" s="253"/>
      <c r="I27" s="254"/>
      <c r="J27" s="617"/>
      <c r="K27" s="617"/>
      <c r="L27" s="617"/>
      <c r="M27" s="617"/>
      <c r="N27" s="253"/>
      <c r="O27" s="253"/>
      <c r="P27" s="254"/>
      <c r="Q27" s="396"/>
      <c r="R27" s="396"/>
      <c r="S27" s="396"/>
      <c r="T27" s="396"/>
    </row>
    <row r="28" spans="1:22" ht="15" customHeight="1">
      <c r="A28" s="103"/>
      <c r="B28" s="591"/>
      <c r="C28" s="591"/>
      <c r="D28" s="591"/>
      <c r="E28" s="591"/>
      <c r="F28" s="591"/>
      <c r="G28" s="253"/>
      <c r="H28" s="253"/>
      <c r="I28" s="254"/>
      <c r="J28" s="617"/>
      <c r="K28" s="617"/>
      <c r="L28" s="617"/>
      <c r="M28" s="617"/>
      <c r="N28" s="253"/>
      <c r="O28" s="253"/>
      <c r="P28" s="254"/>
      <c r="Q28" s="396"/>
      <c r="R28" s="396"/>
      <c r="S28" s="396"/>
      <c r="T28" s="396"/>
    </row>
    <row r="29" spans="1:22" ht="15" customHeight="1">
      <c r="A29" s="591"/>
      <c r="B29" s="591"/>
      <c r="C29" s="591"/>
      <c r="D29" s="591"/>
      <c r="E29" s="591"/>
      <c r="F29" s="591"/>
      <c r="G29" s="253"/>
      <c r="H29" s="253"/>
      <c r="I29" s="254"/>
      <c r="J29" s="617"/>
      <c r="K29" s="617"/>
      <c r="L29" s="617"/>
      <c r="M29" s="617"/>
      <c r="N29" s="253"/>
      <c r="O29" s="253"/>
      <c r="P29" s="254"/>
      <c r="Q29" s="396"/>
      <c r="R29" s="396"/>
      <c r="S29" s="396"/>
      <c r="T29" s="396"/>
    </row>
    <row r="30" spans="1:22" ht="15" customHeight="1">
      <c r="A30" s="591"/>
      <c r="B30" s="591"/>
      <c r="C30" s="591"/>
      <c r="D30" s="591"/>
      <c r="E30" s="591"/>
      <c r="F30" s="591"/>
      <c r="G30" s="253"/>
      <c r="H30" s="253"/>
      <c r="I30" s="254"/>
      <c r="J30" s="617"/>
      <c r="K30" s="617"/>
      <c r="L30" s="617"/>
      <c r="M30" s="617"/>
      <c r="N30" s="253"/>
      <c r="O30" s="253"/>
      <c r="P30" s="254"/>
      <c r="Q30" s="396"/>
      <c r="R30" s="396"/>
      <c r="S30" s="396"/>
      <c r="T30" s="396"/>
    </row>
    <row r="31" spans="1:22" ht="15" customHeight="1">
      <c r="A31" s="591"/>
      <c r="B31" s="591"/>
      <c r="C31" s="591"/>
      <c r="D31" s="591"/>
      <c r="E31" s="591"/>
      <c r="F31" s="591"/>
      <c r="G31" s="253"/>
      <c r="H31" s="253"/>
      <c r="I31" s="254"/>
      <c r="J31" s="617"/>
      <c r="K31" s="617"/>
      <c r="L31" s="617"/>
      <c r="M31" s="617"/>
      <c r="N31" s="253"/>
      <c r="O31" s="253"/>
      <c r="P31" s="254"/>
      <c r="Q31" s="396"/>
      <c r="R31" s="396"/>
      <c r="S31" s="396"/>
      <c r="T31" s="396"/>
    </row>
    <row r="32" spans="1:22" ht="15" customHeight="1">
      <c r="A32" s="591"/>
      <c r="B32" s="591"/>
      <c r="C32" s="591"/>
      <c r="D32" s="591"/>
      <c r="E32" s="591"/>
      <c r="F32" s="591"/>
      <c r="G32" s="253"/>
      <c r="H32" s="253"/>
      <c r="I32" s="254"/>
      <c r="J32" s="617"/>
      <c r="K32" s="617"/>
      <c r="L32" s="617"/>
      <c r="M32" s="617"/>
      <c r="N32" s="253"/>
      <c r="O32" s="253"/>
      <c r="P32" s="254"/>
      <c r="Q32" s="396"/>
      <c r="R32" s="396"/>
      <c r="S32" s="396"/>
      <c r="T32" s="396"/>
    </row>
    <row r="33" spans="1:22" ht="15" customHeight="1">
      <c r="A33" s="591"/>
      <c r="B33" s="591"/>
      <c r="C33" s="591"/>
      <c r="D33" s="591"/>
      <c r="E33" s="591"/>
      <c r="F33" s="591"/>
      <c r="G33" s="253"/>
      <c r="H33" s="253"/>
      <c r="I33" s="254"/>
      <c r="J33" s="617"/>
      <c r="K33" s="617"/>
      <c r="L33" s="617"/>
      <c r="M33" s="617"/>
      <c r="N33" s="253"/>
      <c r="O33" s="253"/>
      <c r="P33" s="254"/>
      <c r="Q33" s="396"/>
      <c r="R33" s="396"/>
      <c r="S33" s="396"/>
      <c r="T33" s="396"/>
    </row>
    <row r="34" spans="1:22" ht="15" customHeight="1">
      <c r="A34" s="591"/>
      <c r="B34" s="591"/>
      <c r="C34" s="591"/>
      <c r="D34" s="591"/>
      <c r="E34" s="591"/>
      <c r="F34" s="591"/>
      <c r="G34" s="253"/>
      <c r="H34" s="253"/>
      <c r="I34" s="254"/>
      <c r="J34" s="617"/>
      <c r="K34" s="617"/>
      <c r="L34" s="617"/>
      <c r="M34" s="617"/>
      <c r="N34" s="253"/>
      <c r="O34" s="253"/>
      <c r="P34" s="254"/>
      <c r="Q34" s="396"/>
      <c r="R34" s="396"/>
      <c r="S34" s="396"/>
      <c r="T34" s="396"/>
    </row>
    <row r="35" spans="1:22" ht="15" customHeight="1">
      <c r="A35" s="591"/>
      <c r="B35" s="591"/>
      <c r="C35" s="591"/>
      <c r="D35" s="591"/>
      <c r="E35" s="591"/>
      <c r="F35" s="591"/>
      <c r="G35" s="253"/>
      <c r="H35" s="253"/>
      <c r="I35" s="254"/>
      <c r="J35" s="617"/>
      <c r="K35" s="617"/>
      <c r="L35" s="617"/>
      <c r="M35" s="617"/>
      <c r="N35" s="253"/>
      <c r="O35" s="253"/>
      <c r="P35" s="254"/>
      <c r="Q35" s="396"/>
      <c r="R35" s="396"/>
      <c r="S35" s="396"/>
      <c r="T35" s="396"/>
    </row>
    <row r="36" spans="1:22" ht="15" customHeight="1">
      <c r="A36" s="591"/>
      <c r="B36" s="591"/>
      <c r="C36" s="591"/>
      <c r="D36" s="591"/>
      <c r="E36" s="591"/>
      <c r="F36" s="591"/>
      <c r="G36" s="253"/>
      <c r="H36" s="253"/>
      <c r="I36" s="254"/>
      <c r="J36" s="617"/>
      <c r="K36" s="617"/>
      <c r="L36" s="617"/>
      <c r="M36" s="617"/>
      <c r="N36" s="253"/>
      <c r="O36" s="253"/>
      <c r="P36" s="254"/>
      <c r="Q36" s="396"/>
      <c r="R36" s="396"/>
      <c r="S36" s="396"/>
      <c r="T36" s="396"/>
    </row>
    <row r="37" spans="1:22" ht="12.2" customHeight="1">
      <c r="A37" s="24"/>
      <c r="B37" s="24"/>
      <c r="G37" s="255"/>
      <c r="H37" s="255"/>
      <c r="I37" s="255"/>
      <c r="J37" s="255"/>
      <c r="K37" s="255"/>
      <c r="L37" s="255"/>
      <c r="M37" s="255"/>
      <c r="N37" s="255"/>
      <c r="O37" s="255"/>
      <c r="P37" s="46"/>
      <c r="Q37" s="46"/>
      <c r="R37" s="46"/>
      <c r="S37" s="46"/>
      <c r="T37" s="46"/>
      <c r="U37" s="12"/>
      <c r="V37" s="12"/>
    </row>
    <row r="38" spans="1:22" ht="13.7" customHeight="1"/>
    <row r="39" spans="1:22" ht="13.7" customHeight="1"/>
    <row r="40" spans="1:22" ht="13.7" customHeight="1"/>
    <row r="41" spans="1:22" ht="13.7" customHeight="1"/>
    <row r="42" spans="1:22" ht="13.7" customHeight="1"/>
    <row r="43" spans="1:22" ht="13.7" customHeight="1"/>
    <row r="44" spans="1:22" ht="13.7" customHeight="1"/>
  </sheetData>
  <mergeCells count="72">
    <mergeCell ref="P5:R7"/>
    <mergeCell ref="P19:R21"/>
    <mergeCell ref="P22:R22"/>
    <mergeCell ref="P8:R8"/>
    <mergeCell ref="P9:R9"/>
    <mergeCell ref="P10:R10"/>
    <mergeCell ref="P11:R11"/>
    <mergeCell ref="P12:R12"/>
    <mergeCell ref="P13:R13"/>
    <mergeCell ref="P14:R14"/>
    <mergeCell ref="P15:R15"/>
    <mergeCell ref="P16:R16"/>
    <mergeCell ref="M1:O1"/>
    <mergeCell ref="M2:O2"/>
    <mergeCell ref="J25:M25"/>
    <mergeCell ref="D12:F12"/>
    <mergeCell ref="C13:F13"/>
    <mergeCell ref="C14:F14"/>
    <mergeCell ref="C15:F15"/>
    <mergeCell ref="G5:I5"/>
    <mergeCell ref="J5:L5"/>
    <mergeCell ref="M5:O5"/>
    <mergeCell ref="A5:F7"/>
    <mergeCell ref="B8:B13"/>
    <mergeCell ref="C8:F8"/>
    <mergeCell ref="C9:C12"/>
    <mergeCell ref="C16:F16"/>
    <mergeCell ref="A19:F21"/>
    <mergeCell ref="A33:F33"/>
    <mergeCell ref="J33:M33"/>
    <mergeCell ref="Q33:T33"/>
    <mergeCell ref="A34:F34"/>
    <mergeCell ref="J34:M34"/>
    <mergeCell ref="Q34:T34"/>
    <mergeCell ref="A35:F35"/>
    <mergeCell ref="J35:M35"/>
    <mergeCell ref="Q35:T35"/>
    <mergeCell ref="A36:F36"/>
    <mergeCell ref="J36:M36"/>
    <mergeCell ref="Q36:T36"/>
    <mergeCell ref="A32:F32"/>
    <mergeCell ref="J32:M32"/>
    <mergeCell ref="Q32:T32"/>
    <mergeCell ref="A29:F29"/>
    <mergeCell ref="J29:M29"/>
    <mergeCell ref="Q29:T29"/>
    <mergeCell ref="A30:F30"/>
    <mergeCell ref="J30:M30"/>
    <mergeCell ref="Q30:T30"/>
    <mergeCell ref="A31:F31"/>
    <mergeCell ref="J31:M31"/>
    <mergeCell ref="Q31:T31"/>
    <mergeCell ref="B27:F27"/>
    <mergeCell ref="J27:M27"/>
    <mergeCell ref="Q27:T27"/>
    <mergeCell ref="B28:F28"/>
    <mergeCell ref="J28:M28"/>
    <mergeCell ref="Q28:T28"/>
    <mergeCell ref="Q26:T26"/>
    <mergeCell ref="J24:M24"/>
    <mergeCell ref="Q24:T24"/>
    <mergeCell ref="Q25:T25"/>
    <mergeCell ref="M19:O19"/>
    <mergeCell ref="J19:L19"/>
    <mergeCell ref="D10:F10"/>
    <mergeCell ref="D11:F11"/>
    <mergeCell ref="B14:B16"/>
    <mergeCell ref="A8:A16"/>
    <mergeCell ref="J26:M26"/>
    <mergeCell ref="D9:F9"/>
    <mergeCell ref="A22:F22"/>
    <mergeCell ref="G19:I19"/>
  </mergeCells>
  <phoneticPr fontId="1"/>
  <pageMargins left="0.78740157480314965" right="0.39370078740157483" top="0.78740157480314965" bottom="0.39370078740157483" header="0.31496062992125984" footer="0.19685039370078741"/>
  <pageSetup paperSize="9" scale="8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No.1</vt:lpstr>
      <vt:lpstr>No.2</vt:lpstr>
      <vt:lpstr>No.3</vt:lpstr>
      <vt:lpstr>No.4</vt:lpstr>
      <vt:lpstr>No.5</vt:lpstr>
      <vt:lpstr>No.5 (2)</vt:lpstr>
      <vt:lpstr>No.5 (3)</vt:lpstr>
      <vt:lpstr>No.1!Print_Area</vt:lpstr>
      <vt:lpstr>No.2!Print_Area</vt:lpstr>
      <vt:lpstr>No.3!Print_Area</vt:lpstr>
      <vt:lpstr>No.4!Print_Area</vt:lpstr>
      <vt:lpstr>No.5!Print_Area</vt:lpstr>
      <vt:lpstr>'No.5 (2)'!Print_Area</vt:lpstr>
      <vt:lpstr>'No.5 (3)'!Print_Area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川上　優貴</dc:creator>
  <cp:lastModifiedBy>照会</cp:lastModifiedBy>
  <cp:lastPrinted>2022-09-23T06:59:38Z</cp:lastPrinted>
  <dcterms:created xsi:type="dcterms:W3CDTF">2011-03-14T15:00:00Z</dcterms:created>
  <dcterms:modified xsi:type="dcterms:W3CDTF">2023-01-06T00:37:27Z</dcterms:modified>
</cp:coreProperties>
</file>